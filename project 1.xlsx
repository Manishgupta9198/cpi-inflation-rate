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文档\"/>
    </mc:Choice>
  </mc:AlternateContent>
  <xr:revisionPtr revIDLastSave="0" documentId="13_ncr:1_{E48CB513-BFD2-470F-B56F-19BE4725A080}" xr6:coauthVersionLast="47" xr6:coauthVersionMax="47" xr10:uidLastSave="{00000000-0000-0000-0000-000000000000}"/>
  <bookViews>
    <workbookView xWindow="-108" yWindow="-108" windowWidth="23256" windowHeight="12456" tabRatio="609" activeTab="7" xr2:uid="{5ABD62CE-90C8-4432-A4A7-0C1780FCB10C}"/>
  </bookViews>
  <sheets>
    <sheet name="Q1" sheetId="4" r:id="rId1"/>
    <sheet name="Q2" sheetId="7" r:id="rId2"/>
    <sheet name="Q3.1" sheetId="10" r:id="rId3"/>
    <sheet name="Cpi" sheetId="3" state="hidden" r:id="rId4"/>
    <sheet name="Q3.2" sheetId="14" r:id="rId5"/>
    <sheet name="Q4" sheetId="18" r:id="rId6"/>
    <sheet name="project all india cpi data" sheetId="1" state="hidden" r:id="rId7"/>
    <sheet name="Q5.1" sheetId="19" r:id="rId8"/>
    <sheet name="Q5.2" sheetId="20" r:id="rId9"/>
  </sheets>
  <definedNames>
    <definedName name="_xlchart.v1.0" hidden="1">'Q4'!$A$19:$A$29</definedName>
    <definedName name="_xlchart.v1.1" hidden="1">'Q4'!$B$18</definedName>
    <definedName name="_xlchart.v1.2" hidden="1">'Q4'!$B$19:$B$29</definedName>
    <definedName name="ExternalData_1" localSheetId="3" hidden="1">'Cpi'!$A$1:$F$10045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31" i="3" l="1"/>
  <c r="I10030" i="3"/>
  <c r="I10029" i="3"/>
  <c r="I10028" i="3"/>
  <c r="I10027" i="3"/>
  <c r="I10026" i="3"/>
  <c r="I10025" i="3"/>
  <c r="I10024" i="3"/>
  <c r="I10023" i="3"/>
  <c r="I10022" i="3"/>
  <c r="I10021" i="3"/>
  <c r="I10020" i="3"/>
  <c r="I9950" i="3"/>
  <c r="I9949" i="3"/>
  <c r="I9948" i="3"/>
  <c r="I9947" i="3"/>
  <c r="I9946" i="3"/>
  <c r="I9945" i="3"/>
  <c r="I9944" i="3"/>
  <c r="I9943" i="3"/>
  <c r="I9942" i="3"/>
  <c r="I9941" i="3"/>
  <c r="I9940" i="3"/>
  <c r="I9939" i="3"/>
  <c r="I9869" i="3"/>
  <c r="I9868" i="3"/>
  <c r="I9867" i="3"/>
  <c r="I9866" i="3"/>
  <c r="I9865" i="3"/>
  <c r="I9864" i="3"/>
  <c r="I9863" i="3"/>
  <c r="I9862" i="3"/>
  <c r="I9861" i="3"/>
  <c r="I9860" i="3"/>
  <c r="I9859" i="3"/>
  <c r="I9858" i="3"/>
  <c r="I9788" i="3"/>
  <c r="I9787" i="3"/>
  <c r="I9786" i="3"/>
  <c r="I9785" i="3"/>
  <c r="I9784" i="3"/>
  <c r="I9783" i="3"/>
  <c r="I9782" i="3"/>
  <c r="I9781" i="3"/>
  <c r="I9780" i="3"/>
  <c r="I9779" i="3"/>
  <c r="I9778" i="3"/>
  <c r="I9777" i="3"/>
  <c r="I9707" i="3"/>
  <c r="I9706" i="3"/>
  <c r="I9705" i="3"/>
  <c r="I9704" i="3"/>
  <c r="I9703" i="3"/>
  <c r="I9702" i="3"/>
  <c r="I9701" i="3"/>
  <c r="I9700" i="3"/>
  <c r="I9699" i="3"/>
  <c r="I9698" i="3"/>
  <c r="I9697" i="3"/>
  <c r="I9696" i="3"/>
  <c r="I9626" i="3"/>
  <c r="I9625" i="3"/>
  <c r="I9624" i="3"/>
  <c r="I9623" i="3"/>
  <c r="I9622" i="3"/>
  <c r="I9621" i="3"/>
  <c r="I9620" i="3"/>
  <c r="I9619" i="3"/>
  <c r="I9618" i="3"/>
  <c r="I9617" i="3"/>
  <c r="I9616" i="3"/>
  <c r="I9615" i="3"/>
  <c r="I9545" i="3"/>
  <c r="I9544" i="3"/>
  <c r="I9543" i="3"/>
  <c r="I9542" i="3"/>
  <c r="I9541" i="3"/>
  <c r="I9540" i="3"/>
  <c r="I9539" i="3"/>
  <c r="I9538" i="3"/>
  <c r="I9537" i="3"/>
  <c r="I9536" i="3"/>
  <c r="I9535" i="3"/>
  <c r="I9534" i="3"/>
  <c r="I9464" i="3"/>
  <c r="I9463" i="3"/>
  <c r="I9462" i="3"/>
  <c r="I9461" i="3"/>
  <c r="I9460" i="3"/>
  <c r="I9459" i="3"/>
  <c r="I9458" i="3"/>
  <c r="I9457" i="3"/>
  <c r="I9456" i="3"/>
  <c r="I9455" i="3"/>
  <c r="I9454" i="3"/>
  <c r="I9453" i="3"/>
  <c r="I9383" i="3"/>
  <c r="I9382" i="3"/>
  <c r="I9381" i="3"/>
  <c r="I9380" i="3"/>
  <c r="I9379" i="3"/>
  <c r="I9378" i="3"/>
  <c r="I9377" i="3"/>
  <c r="I9376" i="3"/>
  <c r="I9375" i="3"/>
  <c r="I9374" i="3"/>
  <c r="I9373" i="3"/>
  <c r="I9372" i="3"/>
  <c r="I9302" i="3"/>
  <c r="I9301" i="3"/>
  <c r="I9300" i="3"/>
  <c r="I9299" i="3"/>
  <c r="I9298" i="3"/>
  <c r="I9297" i="3"/>
  <c r="I9296" i="3"/>
  <c r="I9295" i="3"/>
  <c r="I9294" i="3"/>
  <c r="I9293" i="3"/>
  <c r="I9292" i="3"/>
  <c r="I9291" i="3"/>
  <c r="I9221" i="3"/>
  <c r="I9220" i="3"/>
  <c r="I9219" i="3"/>
  <c r="I9218" i="3"/>
  <c r="I9217" i="3"/>
  <c r="I9216" i="3"/>
  <c r="I9215" i="3"/>
  <c r="I9214" i="3"/>
  <c r="I9213" i="3"/>
  <c r="I9212" i="3"/>
  <c r="I9211" i="3"/>
  <c r="I9210" i="3"/>
  <c r="I9140" i="3"/>
  <c r="I9139" i="3"/>
  <c r="I9138" i="3"/>
  <c r="I9137" i="3"/>
  <c r="I9136" i="3"/>
  <c r="I9135" i="3"/>
  <c r="I9134" i="3"/>
  <c r="I9133" i="3"/>
  <c r="I9132" i="3"/>
  <c r="I9131" i="3"/>
  <c r="I9130" i="3"/>
  <c r="I9129" i="3"/>
  <c r="I9059" i="3"/>
  <c r="I9058" i="3"/>
  <c r="I9057" i="3"/>
  <c r="I9056" i="3"/>
  <c r="I9055" i="3"/>
  <c r="I9054" i="3"/>
  <c r="I9053" i="3"/>
  <c r="I9052" i="3"/>
  <c r="I9051" i="3"/>
  <c r="I9050" i="3"/>
  <c r="I9049" i="3"/>
  <c r="I9048" i="3"/>
  <c r="I8978" i="3"/>
  <c r="I8977" i="3"/>
  <c r="I8976" i="3"/>
  <c r="I8975" i="3"/>
  <c r="I8974" i="3"/>
  <c r="I8973" i="3"/>
  <c r="I8972" i="3"/>
  <c r="I8971" i="3"/>
  <c r="I8970" i="3"/>
  <c r="I8969" i="3"/>
  <c r="I8968" i="3"/>
  <c r="I8967" i="3"/>
  <c r="I8897" i="3"/>
  <c r="I8896" i="3"/>
  <c r="I8895" i="3"/>
  <c r="I8894" i="3"/>
  <c r="I8893" i="3"/>
  <c r="I8892" i="3"/>
  <c r="I8891" i="3"/>
  <c r="I8890" i="3"/>
  <c r="I8889" i="3"/>
  <c r="I8888" i="3"/>
  <c r="I8887" i="3"/>
  <c r="I8886" i="3"/>
  <c r="I8816" i="3"/>
  <c r="I8815" i="3"/>
  <c r="I8814" i="3"/>
  <c r="I8813" i="3"/>
  <c r="I8812" i="3"/>
  <c r="I8811" i="3"/>
  <c r="I8810" i="3"/>
  <c r="I8809" i="3"/>
  <c r="I8808" i="3"/>
  <c r="I8807" i="3"/>
  <c r="I8806" i="3"/>
  <c r="I8805" i="3"/>
  <c r="I8735" i="3"/>
  <c r="I8734" i="3"/>
  <c r="I8733" i="3"/>
  <c r="I8732" i="3"/>
  <c r="I8731" i="3"/>
  <c r="I8730" i="3"/>
  <c r="I8729" i="3"/>
  <c r="I8728" i="3"/>
  <c r="I8727" i="3"/>
  <c r="I8726" i="3"/>
  <c r="I8725" i="3"/>
  <c r="I8724" i="3"/>
  <c r="I8654" i="3"/>
  <c r="I8653" i="3"/>
  <c r="I8652" i="3"/>
  <c r="I8651" i="3"/>
  <c r="I8650" i="3"/>
  <c r="I8649" i="3"/>
  <c r="I8648" i="3"/>
  <c r="I8647" i="3"/>
  <c r="I8646" i="3"/>
  <c r="I8645" i="3"/>
  <c r="I8644" i="3"/>
  <c r="I8643" i="3"/>
  <c r="I8573" i="3"/>
  <c r="I8572" i="3"/>
  <c r="I8571" i="3"/>
  <c r="I8570" i="3"/>
  <c r="I8569" i="3"/>
  <c r="I8568" i="3"/>
  <c r="I8567" i="3"/>
  <c r="I8566" i="3"/>
  <c r="I8565" i="3"/>
  <c r="I8564" i="3"/>
  <c r="I8563" i="3"/>
  <c r="I8562" i="3"/>
  <c r="I8492" i="3"/>
  <c r="I8491" i="3"/>
  <c r="I8490" i="3"/>
  <c r="I8489" i="3"/>
  <c r="I8488" i="3"/>
  <c r="I8487" i="3"/>
  <c r="I8486" i="3"/>
  <c r="I8485" i="3"/>
  <c r="I8484" i="3"/>
  <c r="I8483" i="3"/>
  <c r="I8482" i="3"/>
  <c r="I8481" i="3"/>
  <c r="I8411" i="3"/>
  <c r="I8410" i="3"/>
  <c r="I8409" i="3"/>
  <c r="I8408" i="3"/>
  <c r="I8407" i="3"/>
  <c r="I8406" i="3"/>
  <c r="I8405" i="3"/>
  <c r="I8404" i="3"/>
  <c r="I8403" i="3"/>
  <c r="I8402" i="3"/>
  <c r="I8401" i="3"/>
  <c r="I8400" i="3"/>
  <c r="I8330" i="3"/>
  <c r="I8329" i="3"/>
  <c r="I8328" i="3"/>
  <c r="I8327" i="3"/>
  <c r="I8326" i="3"/>
  <c r="I8325" i="3"/>
  <c r="I8324" i="3"/>
  <c r="I8323" i="3"/>
  <c r="I8322" i="3"/>
  <c r="I8321" i="3"/>
  <c r="I8320" i="3"/>
  <c r="I8319" i="3"/>
  <c r="I8249" i="3"/>
  <c r="I8248" i="3"/>
  <c r="I8247" i="3"/>
  <c r="I8246" i="3"/>
  <c r="I8245" i="3"/>
  <c r="I8244" i="3"/>
  <c r="I8243" i="3"/>
  <c r="I8242" i="3"/>
  <c r="I8241" i="3"/>
  <c r="I8240" i="3"/>
  <c r="I8239" i="3"/>
  <c r="I8238" i="3"/>
  <c r="I8168" i="3"/>
  <c r="I8167" i="3"/>
  <c r="I8166" i="3"/>
  <c r="I8165" i="3"/>
  <c r="I8164" i="3"/>
  <c r="I8163" i="3"/>
  <c r="I8162" i="3"/>
  <c r="I8161" i="3"/>
  <c r="I8160" i="3"/>
  <c r="I8159" i="3"/>
  <c r="I8158" i="3"/>
  <c r="I8157" i="3"/>
  <c r="I8087" i="3"/>
  <c r="I8086" i="3"/>
  <c r="I8085" i="3"/>
  <c r="I8084" i="3"/>
  <c r="I8083" i="3"/>
  <c r="I8082" i="3"/>
  <c r="I8081" i="3"/>
  <c r="I8080" i="3"/>
  <c r="I8079" i="3"/>
  <c r="I8078" i="3"/>
  <c r="I8077" i="3"/>
  <c r="I8076" i="3"/>
  <c r="I8006" i="3"/>
  <c r="I8005" i="3"/>
  <c r="I8004" i="3"/>
  <c r="I8003" i="3"/>
  <c r="I8002" i="3"/>
  <c r="I8001" i="3"/>
  <c r="I8000" i="3"/>
  <c r="I7999" i="3"/>
  <c r="I7998" i="3"/>
  <c r="I7997" i="3"/>
  <c r="I7996" i="3"/>
  <c r="I7995" i="3"/>
  <c r="I7925" i="3"/>
  <c r="I7924" i="3"/>
  <c r="I7923" i="3"/>
  <c r="I7922" i="3"/>
  <c r="I7921" i="3"/>
  <c r="I7920" i="3"/>
  <c r="I7919" i="3"/>
  <c r="I7918" i="3"/>
  <c r="I7917" i="3"/>
  <c r="I7916" i="3"/>
  <c r="I7915" i="3"/>
  <c r="I7914" i="3"/>
  <c r="I7844" i="3"/>
  <c r="I7843" i="3"/>
  <c r="I7842" i="3"/>
  <c r="I7841" i="3"/>
  <c r="I7840" i="3"/>
  <c r="I7839" i="3"/>
  <c r="I7838" i="3"/>
  <c r="I7837" i="3"/>
  <c r="I7836" i="3"/>
  <c r="I7835" i="3"/>
  <c r="I7834" i="3"/>
  <c r="I7833" i="3"/>
  <c r="I7763" i="3"/>
  <c r="I7762" i="3"/>
  <c r="I7761" i="3"/>
  <c r="I7760" i="3"/>
  <c r="I7759" i="3"/>
  <c r="I7758" i="3"/>
  <c r="I7757" i="3"/>
  <c r="I7756" i="3"/>
  <c r="I7755" i="3"/>
  <c r="I7754" i="3"/>
  <c r="I7753" i="3"/>
  <c r="I7752" i="3"/>
  <c r="H10031" i="3"/>
  <c r="J10031" i="3" s="1"/>
  <c r="H10030" i="3"/>
  <c r="J10030" i="3" s="1"/>
  <c r="H10029" i="3"/>
  <c r="J10029" i="3" s="1"/>
  <c r="H10028" i="3"/>
  <c r="J10028" i="3" s="1"/>
  <c r="H10027" i="3"/>
  <c r="J10027" i="3" s="1"/>
  <c r="H10026" i="3"/>
  <c r="J10026" i="3" s="1"/>
  <c r="H10025" i="3"/>
  <c r="J10025" i="3" s="1"/>
  <c r="H10024" i="3"/>
  <c r="J10024" i="3" s="1"/>
  <c r="H10023" i="3"/>
  <c r="J10023" i="3" s="1"/>
  <c r="H10022" i="3"/>
  <c r="J10022" i="3" s="1"/>
  <c r="H10021" i="3"/>
  <c r="J10021" i="3" s="1"/>
  <c r="H10020" i="3"/>
  <c r="J10020" i="3" s="1"/>
  <c r="H9950" i="3"/>
  <c r="J9950" i="3" s="1"/>
  <c r="H9949" i="3"/>
  <c r="J9949" i="3" s="1"/>
  <c r="H9948" i="3"/>
  <c r="J9948" i="3" s="1"/>
  <c r="H9947" i="3"/>
  <c r="J9947" i="3" s="1"/>
  <c r="H9946" i="3"/>
  <c r="J9946" i="3" s="1"/>
  <c r="H9945" i="3"/>
  <c r="J9945" i="3" s="1"/>
  <c r="H9944" i="3"/>
  <c r="J9944" i="3" s="1"/>
  <c r="H9943" i="3"/>
  <c r="J9943" i="3" s="1"/>
  <c r="H9942" i="3"/>
  <c r="J9942" i="3" s="1"/>
  <c r="H9941" i="3"/>
  <c r="J9941" i="3" s="1"/>
  <c r="H9940" i="3"/>
  <c r="J9940" i="3" s="1"/>
  <c r="H9939" i="3"/>
  <c r="J9939" i="3" s="1"/>
  <c r="H9869" i="3"/>
  <c r="J9869" i="3" s="1"/>
  <c r="H9868" i="3"/>
  <c r="J9868" i="3" s="1"/>
  <c r="H9867" i="3"/>
  <c r="J9867" i="3" s="1"/>
  <c r="H9866" i="3"/>
  <c r="J9866" i="3" s="1"/>
  <c r="H9865" i="3"/>
  <c r="J9865" i="3" s="1"/>
  <c r="H9864" i="3"/>
  <c r="J9864" i="3" s="1"/>
  <c r="H9863" i="3"/>
  <c r="J9863" i="3" s="1"/>
  <c r="H9862" i="3"/>
  <c r="J9862" i="3" s="1"/>
  <c r="H9861" i="3"/>
  <c r="J9861" i="3" s="1"/>
  <c r="H9860" i="3"/>
  <c r="J9860" i="3" s="1"/>
  <c r="H9859" i="3"/>
  <c r="J9859" i="3" s="1"/>
  <c r="H9858" i="3"/>
  <c r="J9858" i="3" s="1"/>
  <c r="H9788" i="3"/>
  <c r="J9788" i="3" s="1"/>
  <c r="H9787" i="3"/>
  <c r="J9787" i="3" s="1"/>
  <c r="H9786" i="3"/>
  <c r="J9786" i="3" s="1"/>
  <c r="H9785" i="3"/>
  <c r="J9785" i="3" s="1"/>
  <c r="H9784" i="3"/>
  <c r="J9784" i="3" s="1"/>
  <c r="H9783" i="3"/>
  <c r="J9783" i="3" s="1"/>
  <c r="H9782" i="3"/>
  <c r="J9782" i="3" s="1"/>
  <c r="H9781" i="3"/>
  <c r="J9781" i="3" s="1"/>
  <c r="H9780" i="3"/>
  <c r="J9780" i="3" s="1"/>
  <c r="H9779" i="3"/>
  <c r="J9779" i="3" s="1"/>
  <c r="H9778" i="3"/>
  <c r="J9778" i="3" s="1"/>
  <c r="H9777" i="3"/>
  <c r="J9777" i="3" s="1"/>
  <c r="H9707" i="3"/>
  <c r="J9707" i="3" s="1"/>
  <c r="H9706" i="3"/>
  <c r="J9706" i="3" s="1"/>
  <c r="H9705" i="3"/>
  <c r="J9705" i="3" s="1"/>
  <c r="H9704" i="3"/>
  <c r="J9704" i="3" s="1"/>
  <c r="H9703" i="3"/>
  <c r="J9703" i="3" s="1"/>
  <c r="H9702" i="3"/>
  <c r="J9702" i="3" s="1"/>
  <c r="H9701" i="3"/>
  <c r="J9701" i="3" s="1"/>
  <c r="H9700" i="3"/>
  <c r="J9700" i="3" s="1"/>
  <c r="H9699" i="3"/>
  <c r="J9699" i="3" s="1"/>
  <c r="H9698" i="3"/>
  <c r="J9698" i="3" s="1"/>
  <c r="H9697" i="3"/>
  <c r="J9697" i="3" s="1"/>
  <c r="H9696" i="3"/>
  <c r="J9696" i="3" s="1"/>
  <c r="H9626" i="3"/>
  <c r="J9626" i="3" s="1"/>
  <c r="H9625" i="3"/>
  <c r="J9625" i="3" s="1"/>
  <c r="H9624" i="3"/>
  <c r="J9624" i="3" s="1"/>
  <c r="H9623" i="3"/>
  <c r="J9623" i="3" s="1"/>
  <c r="H9622" i="3"/>
  <c r="J9622" i="3" s="1"/>
  <c r="H9621" i="3"/>
  <c r="J9621" i="3" s="1"/>
  <c r="H9620" i="3"/>
  <c r="J9620" i="3" s="1"/>
  <c r="H9619" i="3"/>
  <c r="J9619" i="3" s="1"/>
  <c r="H9618" i="3"/>
  <c r="J9618" i="3" s="1"/>
  <c r="H9617" i="3"/>
  <c r="J9617" i="3" s="1"/>
  <c r="H9616" i="3"/>
  <c r="J9616" i="3" s="1"/>
  <c r="H9615" i="3"/>
  <c r="J9615" i="3" s="1"/>
  <c r="H9545" i="3"/>
  <c r="J9545" i="3" s="1"/>
  <c r="H9544" i="3"/>
  <c r="J9544" i="3" s="1"/>
  <c r="H9543" i="3"/>
  <c r="J9543" i="3" s="1"/>
  <c r="H9542" i="3"/>
  <c r="J9542" i="3" s="1"/>
  <c r="H9541" i="3"/>
  <c r="J9541" i="3" s="1"/>
  <c r="H9540" i="3"/>
  <c r="J9540" i="3" s="1"/>
  <c r="H9539" i="3"/>
  <c r="J9539" i="3" s="1"/>
  <c r="H9538" i="3"/>
  <c r="J9538" i="3" s="1"/>
  <c r="H9537" i="3"/>
  <c r="J9537" i="3" s="1"/>
  <c r="H9536" i="3"/>
  <c r="J9536" i="3" s="1"/>
  <c r="H9535" i="3"/>
  <c r="J9535" i="3" s="1"/>
  <c r="H9534" i="3"/>
  <c r="J9534" i="3" s="1"/>
  <c r="H9464" i="3"/>
  <c r="J9464" i="3" s="1"/>
  <c r="H9463" i="3"/>
  <c r="J9463" i="3" s="1"/>
  <c r="H9462" i="3"/>
  <c r="J9462" i="3" s="1"/>
  <c r="H9461" i="3"/>
  <c r="J9461" i="3" s="1"/>
  <c r="H9460" i="3"/>
  <c r="J9460" i="3" s="1"/>
  <c r="H9459" i="3"/>
  <c r="J9459" i="3" s="1"/>
  <c r="H9458" i="3"/>
  <c r="J9458" i="3" s="1"/>
  <c r="H9457" i="3"/>
  <c r="J9457" i="3" s="1"/>
  <c r="H9456" i="3"/>
  <c r="J9456" i="3" s="1"/>
  <c r="H9455" i="3"/>
  <c r="J9455" i="3" s="1"/>
  <c r="H9454" i="3"/>
  <c r="J9454" i="3" s="1"/>
  <c r="H9453" i="3"/>
  <c r="J9453" i="3" s="1"/>
  <c r="H9383" i="3"/>
  <c r="J9383" i="3" s="1"/>
  <c r="H9382" i="3"/>
  <c r="J9382" i="3" s="1"/>
  <c r="H9381" i="3"/>
  <c r="J9381" i="3" s="1"/>
  <c r="H9380" i="3"/>
  <c r="J9380" i="3" s="1"/>
  <c r="H9379" i="3"/>
  <c r="J9379" i="3" s="1"/>
  <c r="H9378" i="3"/>
  <c r="J9378" i="3" s="1"/>
  <c r="H9377" i="3"/>
  <c r="J9377" i="3" s="1"/>
  <c r="H9376" i="3"/>
  <c r="J9376" i="3" s="1"/>
  <c r="H9375" i="3"/>
  <c r="J9375" i="3" s="1"/>
  <c r="H9374" i="3"/>
  <c r="J9374" i="3" s="1"/>
  <c r="H9373" i="3"/>
  <c r="J9373" i="3" s="1"/>
  <c r="H9372" i="3"/>
  <c r="J9372" i="3" s="1"/>
  <c r="H9302" i="3"/>
  <c r="J9302" i="3" s="1"/>
  <c r="H9301" i="3"/>
  <c r="J9301" i="3" s="1"/>
  <c r="H9300" i="3"/>
  <c r="J9300" i="3" s="1"/>
  <c r="H9299" i="3"/>
  <c r="J9299" i="3" s="1"/>
  <c r="H9298" i="3"/>
  <c r="J9298" i="3" s="1"/>
  <c r="H9297" i="3"/>
  <c r="J9297" i="3" s="1"/>
  <c r="H9296" i="3"/>
  <c r="J9296" i="3" s="1"/>
  <c r="H9295" i="3"/>
  <c r="J9295" i="3" s="1"/>
  <c r="H9294" i="3"/>
  <c r="J9294" i="3" s="1"/>
  <c r="H9293" i="3"/>
  <c r="J9293" i="3" s="1"/>
  <c r="H9292" i="3"/>
  <c r="J9292" i="3" s="1"/>
  <c r="H9291" i="3"/>
  <c r="J9291" i="3" s="1"/>
  <c r="H9221" i="3"/>
  <c r="J9221" i="3" s="1"/>
  <c r="H9220" i="3"/>
  <c r="J9220" i="3" s="1"/>
  <c r="H9219" i="3"/>
  <c r="J9219" i="3" s="1"/>
  <c r="H9218" i="3"/>
  <c r="J9218" i="3" s="1"/>
  <c r="H9217" i="3"/>
  <c r="J9217" i="3" s="1"/>
  <c r="H9216" i="3"/>
  <c r="J9216" i="3" s="1"/>
  <c r="H9215" i="3"/>
  <c r="J9215" i="3" s="1"/>
  <c r="H9214" i="3"/>
  <c r="J9214" i="3" s="1"/>
  <c r="H9213" i="3"/>
  <c r="J9213" i="3" s="1"/>
  <c r="H9212" i="3"/>
  <c r="J9212" i="3" s="1"/>
  <c r="H9211" i="3"/>
  <c r="J9211" i="3" s="1"/>
  <c r="H9210" i="3"/>
  <c r="J9210" i="3" s="1"/>
  <c r="H9140" i="3"/>
  <c r="J9140" i="3" s="1"/>
  <c r="H9139" i="3"/>
  <c r="J9139" i="3" s="1"/>
  <c r="H9138" i="3"/>
  <c r="J9138" i="3" s="1"/>
  <c r="H9137" i="3"/>
  <c r="J9137" i="3" s="1"/>
  <c r="H9136" i="3"/>
  <c r="J9136" i="3" s="1"/>
  <c r="H9135" i="3"/>
  <c r="J9135" i="3" s="1"/>
  <c r="H9134" i="3"/>
  <c r="J9134" i="3" s="1"/>
  <c r="H9133" i="3"/>
  <c r="J9133" i="3" s="1"/>
  <c r="H9132" i="3"/>
  <c r="J9132" i="3" s="1"/>
  <c r="H9131" i="3"/>
  <c r="J9131" i="3" s="1"/>
  <c r="H9130" i="3"/>
  <c r="J9130" i="3" s="1"/>
  <c r="H9129" i="3"/>
  <c r="J9129" i="3" s="1"/>
  <c r="H9059" i="3"/>
  <c r="J9059" i="3" s="1"/>
  <c r="H9058" i="3"/>
  <c r="J9058" i="3" s="1"/>
  <c r="H9057" i="3"/>
  <c r="J9057" i="3" s="1"/>
  <c r="H9056" i="3"/>
  <c r="J9056" i="3" s="1"/>
  <c r="H9055" i="3"/>
  <c r="J9055" i="3" s="1"/>
  <c r="H9054" i="3"/>
  <c r="J9054" i="3" s="1"/>
  <c r="H9053" i="3"/>
  <c r="J9053" i="3" s="1"/>
  <c r="H9052" i="3"/>
  <c r="J9052" i="3" s="1"/>
  <c r="H9051" i="3"/>
  <c r="J9051" i="3" s="1"/>
  <c r="H9050" i="3"/>
  <c r="J9050" i="3" s="1"/>
  <c r="H9049" i="3"/>
  <c r="J9049" i="3" s="1"/>
  <c r="H9048" i="3"/>
  <c r="J9048" i="3" s="1"/>
  <c r="H8978" i="3"/>
  <c r="J8978" i="3" s="1"/>
  <c r="H8977" i="3"/>
  <c r="J8977" i="3" s="1"/>
  <c r="H8976" i="3"/>
  <c r="J8976" i="3" s="1"/>
  <c r="H8975" i="3"/>
  <c r="J8975" i="3" s="1"/>
  <c r="H8974" i="3"/>
  <c r="J8974" i="3" s="1"/>
  <c r="H8973" i="3"/>
  <c r="J8973" i="3" s="1"/>
  <c r="H8972" i="3"/>
  <c r="J8972" i="3" s="1"/>
  <c r="H8971" i="3"/>
  <c r="J8971" i="3" s="1"/>
  <c r="H8970" i="3"/>
  <c r="J8970" i="3" s="1"/>
  <c r="H8969" i="3"/>
  <c r="J8969" i="3" s="1"/>
  <c r="H8968" i="3"/>
  <c r="J8968" i="3" s="1"/>
  <c r="H8967" i="3"/>
  <c r="J8967" i="3" s="1"/>
  <c r="H8897" i="3"/>
  <c r="J8897" i="3" s="1"/>
  <c r="H8896" i="3"/>
  <c r="J8896" i="3" s="1"/>
  <c r="H8895" i="3"/>
  <c r="J8895" i="3" s="1"/>
  <c r="H8894" i="3"/>
  <c r="J8894" i="3" s="1"/>
  <c r="H8893" i="3"/>
  <c r="J8893" i="3" s="1"/>
  <c r="H8892" i="3"/>
  <c r="J8892" i="3" s="1"/>
  <c r="H8891" i="3"/>
  <c r="J8891" i="3" s="1"/>
  <c r="H8890" i="3"/>
  <c r="J8890" i="3" s="1"/>
  <c r="H8889" i="3"/>
  <c r="J8889" i="3" s="1"/>
  <c r="H8888" i="3"/>
  <c r="J8888" i="3" s="1"/>
  <c r="H8887" i="3"/>
  <c r="J8887" i="3" s="1"/>
  <c r="H8886" i="3"/>
  <c r="J8886" i="3" s="1"/>
  <c r="H8816" i="3"/>
  <c r="J8816" i="3" s="1"/>
  <c r="H8815" i="3"/>
  <c r="J8815" i="3" s="1"/>
  <c r="H8814" i="3"/>
  <c r="J8814" i="3" s="1"/>
  <c r="H8813" i="3"/>
  <c r="J8813" i="3" s="1"/>
  <c r="H8812" i="3"/>
  <c r="J8812" i="3" s="1"/>
  <c r="H8811" i="3"/>
  <c r="J8811" i="3" s="1"/>
  <c r="H8810" i="3"/>
  <c r="J8810" i="3" s="1"/>
  <c r="H8809" i="3"/>
  <c r="J8809" i="3" s="1"/>
  <c r="H8808" i="3"/>
  <c r="J8808" i="3" s="1"/>
  <c r="H8807" i="3"/>
  <c r="J8807" i="3" s="1"/>
  <c r="H8806" i="3"/>
  <c r="J8806" i="3" s="1"/>
  <c r="H8805" i="3"/>
  <c r="J8805" i="3" s="1"/>
  <c r="H8735" i="3"/>
  <c r="J8735" i="3" s="1"/>
  <c r="H8734" i="3"/>
  <c r="J8734" i="3" s="1"/>
  <c r="H8733" i="3"/>
  <c r="J8733" i="3" s="1"/>
  <c r="H8732" i="3"/>
  <c r="J8732" i="3" s="1"/>
  <c r="H8731" i="3"/>
  <c r="J8731" i="3" s="1"/>
  <c r="H8730" i="3"/>
  <c r="J8730" i="3" s="1"/>
  <c r="H8729" i="3"/>
  <c r="J8729" i="3" s="1"/>
  <c r="H8728" i="3"/>
  <c r="J8728" i="3" s="1"/>
  <c r="H8727" i="3"/>
  <c r="J8727" i="3" s="1"/>
  <c r="H8726" i="3"/>
  <c r="J8726" i="3" s="1"/>
  <c r="H8725" i="3"/>
  <c r="J8725" i="3" s="1"/>
  <c r="H8724" i="3"/>
  <c r="J8724" i="3" s="1"/>
  <c r="H8654" i="3"/>
  <c r="J8654" i="3" s="1"/>
  <c r="H8653" i="3"/>
  <c r="J8653" i="3" s="1"/>
  <c r="H8652" i="3"/>
  <c r="J8652" i="3" s="1"/>
  <c r="H8651" i="3"/>
  <c r="J8651" i="3" s="1"/>
  <c r="H8650" i="3"/>
  <c r="J8650" i="3" s="1"/>
  <c r="H8649" i="3"/>
  <c r="J8649" i="3" s="1"/>
  <c r="H8648" i="3"/>
  <c r="J8648" i="3" s="1"/>
  <c r="H8647" i="3"/>
  <c r="J8647" i="3" s="1"/>
  <c r="H8646" i="3"/>
  <c r="J8646" i="3" s="1"/>
  <c r="H8645" i="3"/>
  <c r="J8645" i="3" s="1"/>
  <c r="H8644" i="3"/>
  <c r="J8644" i="3" s="1"/>
  <c r="H8643" i="3"/>
  <c r="J8643" i="3" s="1"/>
  <c r="H8573" i="3"/>
  <c r="J8573" i="3" s="1"/>
  <c r="H8572" i="3"/>
  <c r="J8572" i="3" s="1"/>
  <c r="H8571" i="3"/>
  <c r="J8571" i="3" s="1"/>
  <c r="H8570" i="3"/>
  <c r="J8570" i="3" s="1"/>
  <c r="H8569" i="3"/>
  <c r="J8569" i="3" s="1"/>
  <c r="H8568" i="3"/>
  <c r="J8568" i="3" s="1"/>
  <c r="H8567" i="3"/>
  <c r="J8567" i="3" s="1"/>
  <c r="H8566" i="3"/>
  <c r="J8566" i="3" s="1"/>
  <c r="H8565" i="3"/>
  <c r="J8565" i="3" s="1"/>
  <c r="H8564" i="3"/>
  <c r="J8564" i="3" s="1"/>
  <c r="H8563" i="3"/>
  <c r="J8563" i="3" s="1"/>
  <c r="H8562" i="3"/>
  <c r="J8562" i="3" s="1"/>
  <c r="H8492" i="3"/>
  <c r="J8492" i="3" s="1"/>
  <c r="H8491" i="3"/>
  <c r="J8491" i="3" s="1"/>
  <c r="H8490" i="3"/>
  <c r="J8490" i="3" s="1"/>
  <c r="H8489" i="3"/>
  <c r="J8489" i="3" s="1"/>
  <c r="H8488" i="3"/>
  <c r="J8488" i="3" s="1"/>
  <c r="H8487" i="3"/>
  <c r="J8487" i="3" s="1"/>
  <c r="H8486" i="3"/>
  <c r="J8486" i="3" s="1"/>
  <c r="H8485" i="3"/>
  <c r="J8485" i="3" s="1"/>
  <c r="H8484" i="3"/>
  <c r="J8484" i="3" s="1"/>
  <c r="H8483" i="3"/>
  <c r="J8483" i="3" s="1"/>
  <c r="H8482" i="3"/>
  <c r="J8482" i="3" s="1"/>
  <c r="H8481" i="3"/>
  <c r="J8481" i="3" s="1"/>
  <c r="H8411" i="3"/>
  <c r="J8411" i="3" s="1"/>
  <c r="H8410" i="3"/>
  <c r="J8410" i="3" s="1"/>
  <c r="H8409" i="3"/>
  <c r="J8409" i="3" s="1"/>
  <c r="H8408" i="3"/>
  <c r="J8408" i="3" s="1"/>
  <c r="H8407" i="3"/>
  <c r="J8407" i="3" s="1"/>
  <c r="H8406" i="3"/>
  <c r="J8406" i="3" s="1"/>
  <c r="H8405" i="3"/>
  <c r="J8405" i="3" s="1"/>
  <c r="H8404" i="3"/>
  <c r="J8404" i="3" s="1"/>
  <c r="H8403" i="3"/>
  <c r="J8403" i="3" s="1"/>
  <c r="H8402" i="3"/>
  <c r="J8402" i="3" s="1"/>
  <c r="H8401" i="3"/>
  <c r="J8401" i="3" s="1"/>
  <c r="H8400" i="3"/>
  <c r="J8400" i="3" s="1"/>
  <c r="H8330" i="3"/>
  <c r="J8330" i="3" s="1"/>
  <c r="H8329" i="3"/>
  <c r="J8329" i="3" s="1"/>
  <c r="H8328" i="3"/>
  <c r="J8328" i="3" s="1"/>
  <c r="H8327" i="3"/>
  <c r="J8327" i="3" s="1"/>
  <c r="H8326" i="3"/>
  <c r="J8326" i="3" s="1"/>
  <c r="H8325" i="3"/>
  <c r="J8325" i="3" s="1"/>
  <c r="H8324" i="3"/>
  <c r="J8324" i="3" s="1"/>
  <c r="H8323" i="3"/>
  <c r="J8323" i="3" s="1"/>
  <c r="H8322" i="3"/>
  <c r="J8322" i="3" s="1"/>
  <c r="H8321" i="3"/>
  <c r="J8321" i="3" s="1"/>
  <c r="H8320" i="3"/>
  <c r="J8320" i="3" s="1"/>
  <c r="H8319" i="3"/>
  <c r="J8319" i="3" s="1"/>
  <c r="H8249" i="3"/>
  <c r="J8249" i="3" s="1"/>
  <c r="H8239" i="3"/>
  <c r="J8239" i="3" s="1"/>
  <c r="H8240" i="3"/>
  <c r="J8240" i="3" s="1"/>
  <c r="H8241" i="3"/>
  <c r="J8241" i="3" s="1"/>
  <c r="H8242" i="3"/>
  <c r="J8242" i="3" s="1"/>
  <c r="H8243" i="3"/>
  <c r="J8243" i="3" s="1"/>
  <c r="H8244" i="3"/>
  <c r="J8244" i="3" s="1"/>
  <c r="H8245" i="3"/>
  <c r="J8245" i="3" s="1"/>
  <c r="H8246" i="3"/>
  <c r="J8246" i="3" s="1"/>
  <c r="H8247" i="3"/>
  <c r="J8247" i="3" s="1"/>
  <c r="H8248" i="3"/>
  <c r="J8248" i="3" s="1"/>
  <c r="H8238" i="3"/>
  <c r="J8238" i="3" s="1"/>
  <c r="H8158" i="3"/>
  <c r="J8158" i="3" s="1"/>
  <c r="H8159" i="3"/>
  <c r="J8159" i="3" s="1"/>
  <c r="H8160" i="3"/>
  <c r="J8160" i="3" s="1"/>
  <c r="H8161" i="3"/>
  <c r="J8161" i="3" s="1"/>
  <c r="H8162" i="3"/>
  <c r="J8162" i="3" s="1"/>
  <c r="H8163" i="3"/>
  <c r="J8163" i="3" s="1"/>
  <c r="H8164" i="3"/>
  <c r="J8164" i="3" s="1"/>
  <c r="H8165" i="3"/>
  <c r="J8165" i="3" s="1"/>
  <c r="H8166" i="3"/>
  <c r="J8166" i="3" s="1"/>
  <c r="H8167" i="3"/>
  <c r="J8167" i="3" s="1"/>
  <c r="H8168" i="3"/>
  <c r="J8168" i="3" s="1"/>
  <c r="H8157" i="3"/>
  <c r="J8157" i="3" s="1"/>
  <c r="H8077" i="3"/>
  <c r="J8077" i="3" s="1"/>
  <c r="H8078" i="3"/>
  <c r="J8078" i="3" s="1"/>
  <c r="H8079" i="3"/>
  <c r="J8079" i="3" s="1"/>
  <c r="H8080" i="3"/>
  <c r="J8080" i="3" s="1"/>
  <c r="H8081" i="3"/>
  <c r="J8081" i="3" s="1"/>
  <c r="H8082" i="3"/>
  <c r="J8082" i="3" s="1"/>
  <c r="H8083" i="3"/>
  <c r="J8083" i="3" s="1"/>
  <c r="H8084" i="3"/>
  <c r="J8084" i="3" s="1"/>
  <c r="H8085" i="3"/>
  <c r="J8085" i="3" s="1"/>
  <c r="H8086" i="3"/>
  <c r="J8086" i="3" s="1"/>
  <c r="H8087" i="3"/>
  <c r="J8087" i="3" s="1"/>
  <c r="H8076" i="3"/>
  <c r="J8076" i="3" s="1"/>
  <c r="H7996" i="3"/>
  <c r="J7996" i="3" s="1"/>
  <c r="H7997" i="3"/>
  <c r="J7997" i="3" s="1"/>
  <c r="H7998" i="3"/>
  <c r="J7998" i="3" s="1"/>
  <c r="H7999" i="3"/>
  <c r="J7999" i="3" s="1"/>
  <c r="H8000" i="3"/>
  <c r="J8000" i="3" s="1"/>
  <c r="H8001" i="3"/>
  <c r="J8001" i="3" s="1"/>
  <c r="H8002" i="3"/>
  <c r="J8002" i="3" s="1"/>
  <c r="H8003" i="3"/>
  <c r="J8003" i="3" s="1"/>
  <c r="H8004" i="3"/>
  <c r="J8004" i="3" s="1"/>
  <c r="H8005" i="3"/>
  <c r="J8005" i="3" s="1"/>
  <c r="H8006" i="3"/>
  <c r="J8006" i="3" s="1"/>
  <c r="H7995" i="3"/>
  <c r="J7995" i="3" s="1"/>
  <c r="H7914" i="3"/>
  <c r="J7914" i="3" s="1"/>
  <c r="H7915" i="3"/>
  <c r="J7915" i="3" s="1"/>
  <c r="H7916" i="3"/>
  <c r="J7916" i="3" s="1"/>
  <c r="H7917" i="3"/>
  <c r="J7917" i="3" s="1"/>
  <c r="H7918" i="3"/>
  <c r="J7918" i="3" s="1"/>
  <c r="H7919" i="3"/>
  <c r="J7919" i="3" s="1"/>
  <c r="H7920" i="3"/>
  <c r="J7920" i="3" s="1"/>
  <c r="H7921" i="3"/>
  <c r="J7921" i="3" s="1"/>
  <c r="H7922" i="3"/>
  <c r="J7922" i="3" s="1"/>
  <c r="H7923" i="3"/>
  <c r="J7923" i="3" s="1"/>
  <c r="H7924" i="3"/>
  <c r="J7924" i="3" s="1"/>
  <c r="H7925" i="3"/>
  <c r="J7925" i="3" s="1"/>
  <c r="H7834" i="3"/>
  <c r="J7834" i="3" s="1"/>
  <c r="H7835" i="3"/>
  <c r="J7835" i="3" s="1"/>
  <c r="H7836" i="3"/>
  <c r="J7836" i="3" s="1"/>
  <c r="H7837" i="3"/>
  <c r="J7837" i="3" s="1"/>
  <c r="H7838" i="3"/>
  <c r="J7838" i="3" s="1"/>
  <c r="H7839" i="3"/>
  <c r="J7839" i="3" s="1"/>
  <c r="H7840" i="3"/>
  <c r="J7840" i="3" s="1"/>
  <c r="H7841" i="3"/>
  <c r="J7841" i="3" s="1"/>
  <c r="H7842" i="3"/>
  <c r="J7842" i="3" s="1"/>
  <c r="H7843" i="3"/>
  <c r="J7843" i="3" s="1"/>
  <c r="H7844" i="3"/>
  <c r="J7844" i="3" s="1"/>
  <c r="H7833" i="3"/>
  <c r="J7833" i="3" s="1"/>
  <c r="H7752" i="3"/>
  <c r="J7752" i="3" s="1"/>
  <c r="H7753" i="3"/>
  <c r="J7753" i="3" s="1"/>
  <c r="H7754" i="3"/>
  <c r="J7754" i="3" s="1"/>
  <c r="H7755" i="3"/>
  <c r="J7755" i="3" s="1"/>
  <c r="H7756" i="3"/>
  <c r="J7756" i="3" s="1"/>
  <c r="H7757" i="3"/>
  <c r="J7757" i="3" s="1"/>
  <c r="H7758" i="3"/>
  <c r="J7758" i="3" s="1"/>
  <c r="H7759" i="3"/>
  <c r="J7759" i="3" s="1"/>
  <c r="H7760" i="3"/>
  <c r="J7760" i="3" s="1"/>
  <c r="H7761" i="3"/>
  <c r="J7761" i="3" s="1"/>
  <c r="H7762" i="3"/>
  <c r="J7762" i="3" s="1"/>
  <c r="H7763" i="3"/>
  <c r="J7763" i="3" s="1"/>
  <c r="H2" i="3" a="1"/>
  <c r="H3" i="3" a="1"/>
  <c r="H4" i="3" a="1"/>
  <c r="H5" i="3" a="1"/>
  <c r="H6" i="3" a="1"/>
  <c r="H7" i="3" a="1"/>
  <c r="H8" i="3" a="1"/>
  <c r="H9" i="3" a="1"/>
  <c r="H10" i="3" a="1"/>
  <c r="H11" i="3" a="1"/>
  <c r="H12" i="3" a="1"/>
  <c r="H13" i="3" a="1"/>
  <c r="H14" i="3" a="1"/>
  <c r="H15" i="3" a="1"/>
  <c r="H16" i="3" a="1"/>
  <c r="H17" i="3" a="1"/>
  <c r="H18" i="3" a="1"/>
  <c r="H19" i="3" a="1"/>
  <c r="H20" i="3" a="1"/>
  <c r="H21" i="3" a="1"/>
  <c r="H22" i="3" a="1"/>
  <c r="H23" i="3" a="1"/>
  <c r="H24" i="3" a="1"/>
  <c r="H25" i="3" a="1"/>
  <c r="H26" i="3" a="1"/>
  <c r="H27" i="3" a="1"/>
  <c r="H28" i="3" a="1"/>
  <c r="H29" i="3" a="1"/>
  <c r="H30" i="3" a="1"/>
  <c r="H31" i="3" a="1"/>
  <c r="H32" i="3" a="1"/>
  <c r="H33" i="3" a="1"/>
  <c r="H34" i="3" a="1"/>
  <c r="H35" i="3" a="1"/>
  <c r="H36" i="3" a="1"/>
  <c r="H37" i="3" a="1"/>
  <c r="H38" i="3" a="1"/>
  <c r="H39" i="3" a="1"/>
  <c r="H40" i="3" a="1"/>
  <c r="H41" i="3" a="1"/>
  <c r="H42" i="3" a="1"/>
  <c r="H43" i="3" a="1"/>
  <c r="H44" i="3" a="1"/>
  <c r="H45" i="3" a="1"/>
  <c r="H46" i="3" a="1"/>
  <c r="H47" i="3" a="1"/>
  <c r="H48" i="3" a="1"/>
  <c r="H49" i="3" a="1"/>
  <c r="H50" i="3" a="1"/>
  <c r="H51" i="3" a="1"/>
  <c r="H52" i="3" a="1"/>
  <c r="H53" i="3" a="1"/>
  <c r="H54" i="3" a="1"/>
  <c r="H55" i="3" a="1"/>
  <c r="H56" i="3" a="1"/>
  <c r="H57" i="3" a="1"/>
  <c r="H58" i="3" a="1"/>
  <c r="H59" i="3" a="1"/>
  <c r="H60" i="3" a="1"/>
  <c r="H61" i="3" a="1"/>
  <c r="H62" i="3" a="1"/>
  <c r="H63" i="3" a="1"/>
  <c r="H64" i="3" a="1"/>
  <c r="H65" i="3" a="1"/>
  <c r="H66" i="3" a="1"/>
  <c r="H67" i="3" a="1"/>
  <c r="H68" i="3" a="1"/>
  <c r="H69" i="3" a="1"/>
  <c r="H70" i="3" a="1"/>
  <c r="H71" i="3" a="1"/>
  <c r="H72" i="3" a="1"/>
  <c r="H73" i="3" a="1"/>
  <c r="H74" i="3" a="1"/>
  <c r="H75" i="3" a="1"/>
  <c r="H76" i="3" a="1"/>
  <c r="H77" i="3" a="1"/>
  <c r="H78" i="3" a="1"/>
  <c r="H79" i="3" a="1"/>
  <c r="H80" i="3" a="1"/>
  <c r="H81" i="3" a="1"/>
  <c r="H82" i="3" a="1"/>
  <c r="H83" i="3" a="1"/>
  <c r="H84" i="3" a="1"/>
  <c r="H85" i="3" a="1"/>
  <c r="H86" i="3" a="1"/>
  <c r="H87" i="3" a="1"/>
  <c r="H88" i="3" a="1"/>
  <c r="H89" i="3" a="1"/>
  <c r="H90" i="3" a="1"/>
  <c r="H91" i="3" a="1"/>
  <c r="H92" i="3" a="1"/>
  <c r="H93" i="3" a="1"/>
  <c r="H94" i="3" a="1"/>
  <c r="H95" i="3" a="1"/>
  <c r="H96" i="3" a="1"/>
  <c r="H97" i="3" a="1"/>
  <c r="H98" i="3" a="1"/>
  <c r="H99" i="3" a="1"/>
  <c r="H100" i="3" a="1"/>
  <c r="H101" i="3" a="1"/>
  <c r="H102" i="3" a="1"/>
  <c r="H103" i="3" a="1"/>
  <c r="H104" i="3" a="1"/>
  <c r="H105" i="3" a="1"/>
  <c r="H106" i="3" a="1"/>
  <c r="H107" i="3" a="1"/>
  <c r="H108" i="3" a="1"/>
  <c r="H109" i="3" a="1"/>
  <c r="H110" i="3" a="1"/>
  <c r="H111" i="3" a="1"/>
  <c r="H112" i="3" a="1"/>
  <c r="H113" i="3" a="1"/>
  <c r="H114" i="3" a="1"/>
  <c r="H115" i="3" a="1"/>
  <c r="H116" i="3" a="1"/>
  <c r="H117" i="3" a="1"/>
  <c r="H118" i="3" a="1"/>
  <c r="H119" i="3" a="1"/>
  <c r="H120" i="3" a="1"/>
  <c r="H121" i="3" a="1"/>
  <c r="H122" i="3" a="1"/>
  <c r="H123" i="3" a="1"/>
  <c r="H124" i="3" a="1"/>
  <c r="H125" i="3" a="1"/>
  <c r="H126" i="3" a="1"/>
  <c r="H127" i="3" a="1"/>
  <c r="H128" i="3" a="1"/>
  <c r="H129" i="3" a="1"/>
  <c r="H130" i="3" a="1"/>
  <c r="H131" i="3" a="1"/>
  <c r="H132" i="3" a="1"/>
  <c r="H133" i="3" a="1"/>
  <c r="H134" i="3" a="1"/>
  <c r="H135" i="3" a="1"/>
  <c r="H136" i="3" a="1"/>
  <c r="H137" i="3" a="1"/>
  <c r="H138" i="3" a="1"/>
  <c r="H139" i="3" a="1"/>
  <c r="H140" i="3" a="1"/>
  <c r="H141" i="3" a="1"/>
  <c r="H142" i="3" a="1"/>
  <c r="H143" i="3" a="1"/>
  <c r="H144" i="3" a="1"/>
  <c r="H145" i="3" a="1"/>
  <c r="H146" i="3" a="1"/>
  <c r="H147" i="3" a="1"/>
  <c r="H148" i="3" a="1"/>
  <c r="H149" i="3" a="1"/>
  <c r="H150" i="3" a="1"/>
  <c r="H151" i="3" a="1"/>
  <c r="H152" i="3" a="1"/>
  <c r="H153" i="3" a="1"/>
  <c r="H154" i="3" a="1"/>
  <c r="H155" i="3" a="1"/>
  <c r="H156" i="3" a="1"/>
  <c r="H157" i="3" a="1"/>
  <c r="H158" i="3" a="1"/>
  <c r="H159" i="3" a="1"/>
  <c r="H160" i="3" a="1"/>
  <c r="H161" i="3" a="1"/>
  <c r="H162" i="3" a="1"/>
  <c r="H163" i="3" a="1"/>
  <c r="H164" i="3" a="1"/>
  <c r="H165" i="3" a="1"/>
  <c r="H166" i="3" a="1"/>
  <c r="H167" i="3" a="1"/>
  <c r="H168" i="3" a="1"/>
  <c r="H169" i="3" a="1"/>
  <c r="H170" i="3" a="1"/>
  <c r="H171" i="3" a="1"/>
  <c r="H172" i="3" a="1"/>
  <c r="H173" i="3" a="1"/>
  <c r="H174" i="3" a="1"/>
  <c r="H175" i="3" a="1"/>
  <c r="H176" i="3" a="1"/>
  <c r="H177" i="3" a="1"/>
  <c r="H178" i="3" a="1"/>
  <c r="H179" i="3" a="1"/>
  <c r="H180" i="3" a="1"/>
  <c r="H181" i="3" a="1"/>
  <c r="H182" i="3" a="1"/>
  <c r="H183" i="3" a="1"/>
  <c r="H184" i="3" a="1"/>
  <c r="H185" i="3" a="1"/>
  <c r="H186" i="3" a="1"/>
  <c r="H187" i="3" a="1"/>
  <c r="H188" i="3" a="1"/>
  <c r="H189" i="3" a="1"/>
  <c r="H190" i="3" a="1"/>
  <c r="H191" i="3" a="1"/>
  <c r="H192" i="3" a="1"/>
  <c r="H193" i="3" a="1"/>
  <c r="H194" i="3" a="1"/>
  <c r="H195" i="3" a="1"/>
  <c r="H196" i="3" a="1"/>
  <c r="H197" i="3" a="1"/>
  <c r="H198" i="3" a="1"/>
  <c r="H199" i="3" a="1"/>
  <c r="H200" i="3" a="1"/>
  <c r="H201" i="3" a="1"/>
  <c r="H202" i="3" a="1"/>
  <c r="H203" i="3" a="1"/>
  <c r="H204" i="3" a="1"/>
  <c r="H205" i="3" a="1"/>
  <c r="H206" i="3" a="1"/>
  <c r="H207" i="3" a="1"/>
  <c r="H208" i="3" a="1"/>
  <c r="H209" i="3" a="1"/>
  <c r="H210" i="3" a="1"/>
  <c r="H211" i="3" a="1"/>
  <c r="H212" i="3" a="1"/>
  <c r="H213" i="3" a="1"/>
  <c r="H214" i="3" a="1"/>
  <c r="H215" i="3" a="1"/>
  <c r="H216" i="3" a="1"/>
  <c r="H217" i="3" a="1"/>
  <c r="H218" i="3" a="1"/>
  <c r="H219" i="3" a="1"/>
  <c r="H220" i="3" a="1"/>
  <c r="H221" i="3" a="1"/>
  <c r="H222" i="3" a="1"/>
  <c r="H223" i="3" a="1"/>
  <c r="H224" i="3" a="1"/>
  <c r="H225" i="3" a="1"/>
  <c r="H226" i="3" a="1"/>
  <c r="H227" i="3" a="1"/>
  <c r="H228" i="3" a="1"/>
  <c r="H229" i="3" a="1"/>
  <c r="H230" i="3" a="1"/>
  <c r="H231" i="3" a="1"/>
  <c r="H232" i="3" a="1"/>
  <c r="H233" i="3" a="1"/>
  <c r="H234" i="3" a="1"/>
  <c r="H235" i="3" a="1"/>
  <c r="H236" i="3" a="1"/>
  <c r="H237" i="3" a="1"/>
  <c r="H238" i="3" a="1"/>
  <c r="H239" i="3" a="1"/>
  <c r="H240" i="3" a="1"/>
  <c r="H241" i="3" a="1"/>
  <c r="H242" i="3" a="1"/>
  <c r="H243" i="3" a="1"/>
  <c r="H244" i="3" a="1"/>
  <c r="H245" i="3" a="1"/>
  <c r="H246" i="3" a="1"/>
  <c r="H247" i="3" a="1"/>
  <c r="H248" i="3" a="1"/>
  <c r="H249" i="3" a="1"/>
  <c r="H250" i="3" a="1"/>
  <c r="H251" i="3" a="1"/>
  <c r="H252" i="3" a="1"/>
  <c r="H253" i="3" a="1"/>
  <c r="H254" i="3" a="1"/>
  <c r="H255" i="3" a="1"/>
  <c r="H256" i="3" a="1"/>
  <c r="H257" i="3" a="1"/>
  <c r="H258" i="3" a="1"/>
  <c r="H259" i="3" a="1"/>
  <c r="H260" i="3" a="1"/>
  <c r="H261" i="3" a="1"/>
  <c r="H262" i="3" a="1"/>
  <c r="H263" i="3" a="1"/>
  <c r="H264" i="3" a="1"/>
  <c r="H265" i="3" a="1"/>
  <c r="H266" i="3" a="1"/>
  <c r="H267" i="3" a="1"/>
  <c r="H268" i="3" a="1"/>
  <c r="H269" i="3" a="1"/>
  <c r="H270" i="3" a="1"/>
  <c r="H271" i="3" a="1"/>
  <c r="H272" i="3" a="1"/>
  <c r="H273" i="3" a="1"/>
  <c r="H274" i="3" a="1"/>
  <c r="H275" i="3" a="1"/>
  <c r="H276" i="3" a="1"/>
  <c r="H277" i="3" a="1"/>
  <c r="H278" i="3" a="1"/>
  <c r="H279" i="3" a="1"/>
  <c r="H280" i="3" a="1"/>
  <c r="H281" i="3" a="1"/>
  <c r="H282" i="3" a="1"/>
  <c r="H283" i="3" a="1"/>
  <c r="H284" i="3" a="1"/>
  <c r="H285" i="3" a="1"/>
  <c r="H286" i="3" a="1"/>
  <c r="H287" i="3" a="1"/>
  <c r="H288" i="3" a="1"/>
  <c r="H289" i="3" a="1"/>
  <c r="H290" i="3" a="1"/>
  <c r="H291" i="3" a="1"/>
  <c r="H292" i="3" a="1"/>
  <c r="H293" i="3" a="1"/>
  <c r="H294" i="3" a="1"/>
  <c r="H295" i="3" a="1"/>
  <c r="H296" i="3" a="1"/>
  <c r="H297" i="3" a="1"/>
  <c r="H298" i="3" a="1"/>
  <c r="H299" i="3" a="1"/>
  <c r="H300" i="3" a="1"/>
  <c r="H301" i="3" a="1"/>
  <c r="H302" i="3" a="1"/>
  <c r="H303" i="3" a="1"/>
  <c r="H304" i="3" a="1"/>
  <c r="H305" i="3" a="1"/>
  <c r="H306" i="3" a="1"/>
  <c r="H307" i="3" a="1"/>
  <c r="H308" i="3" a="1"/>
  <c r="H309" i="3" a="1"/>
  <c r="H310" i="3" a="1"/>
  <c r="H311" i="3" a="1"/>
  <c r="H312" i="3" a="1"/>
  <c r="H313" i="3" a="1"/>
  <c r="H314" i="3" a="1"/>
  <c r="H315" i="3" a="1"/>
  <c r="H316" i="3" a="1"/>
  <c r="H317" i="3" a="1"/>
  <c r="H318" i="3" a="1"/>
  <c r="H319" i="3" a="1"/>
  <c r="H320" i="3" a="1"/>
  <c r="H321" i="3" a="1"/>
  <c r="H322" i="3" a="1"/>
  <c r="H323" i="3" a="1"/>
  <c r="H324" i="3" a="1"/>
  <c r="H325" i="3" a="1"/>
  <c r="H326" i="3" a="1"/>
  <c r="H327" i="3" a="1"/>
  <c r="H328" i="3" a="1"/>
  <c r="H329" i="3" a="1"/>
  <c r="H330" i="3" a="1"/>
  <c r="H331" i="3" a="1"/>
  <c r="H332" i="3" a="1"/>
  <c r="H333" i="3" a="1"/>
  <c r="H334" i="3" a="1"/>
  <c r="H335" i="3" a="1"/>
  <c r="H336" i="3" a="1"/>
  <c r="H337" i="3" a="1"/>
  <c r="H338" i="3" a="1"/>
  <c r="H339" i="3" a="1"/>
  <c r="H340" i="3" a="1"/>
  <c r="H341" i="3" a="1"/>
  <c r="H342" i="3" a="1"/>
  <c r="H343" i="3" a="1"/>
  <c r="H344" i="3" a="1"/>
  <c r="H345" i="3" a="1"/>
  <c r="H346" i="3" a="1"/>
  <c r="H347" i="3" a="1"/>
  <c r="H348" i="3" a="1"/>
  <c r="H349" i="3" a="1"/>
  <c r="H350" i="3" a="1"/>
  <c r="H351" i="3" a="1"/>
  <c r="H352" i="3" a="1"/>
  <c r="H353" i="3" a="1"/>
  <c r="H354" i="3" a="1"/>
  <c r="H355" i="3" a="1"/>
  <c r="H356" i="3" a="1"/>
  <c r="H357" i="3" a="1"/>
  <c r="H358" i="3" a="1"/>
  <c r="H359" i="3" a="1"/>
  <c r="H360" i="3" a="1"/>
  <c r="H361" i="3" a="1"/>
  <c r="H362" i="3" a="1"/>
  <c r="H363" i="3" a="1"/>
  <c r="H364" i="3" a="1"/>
  <c r="H365" i="3" a="1"/>
  <c r="H366" i="3" a="1"/>
  <c r="H367" i="3" a="1"/>
  <c r="H368" i="3" a="1"/>
  <c r="H369" i="3" a="1"/>
  <c r="H370" i="3" a="1"/>
  <c r="H371" i="3" a="1"/>
  <c r="H372" i="3" a="1"/>
  <c r="H373" i="3" a="1"/>
  <c r="H374" i="3" a="1"/>
  <c r="H375" i="3" a="1"/>
  <c r="H376" i="3" a="1"/>
  <c r="H377" i="3" a="1"/>
  <c r="H378" i="3" a="1"/>
  <c r="H379" i="3" a="1"/>
  <c r="H380" i="3" a="1"/>
  <c r="H381" i="3" a="1"/>
  <c r="H382" i="3" a="1"/>
  <c r="H383" i="3" a="1"/>
  <c r="H384" i="3" a="1"/>
  <c r="H385" i="3" a="1"/>
  <c r="H386" i="3" a="1"/>
  <c r="H387" i="3" a="1"/>
  <c r="H388" i="3" a="1"/>
  <c r="H389" i="3" a="1"/>
  <c r="H390" i="3" a="1"/>
  <c r="H391" i="3" a="1"/>
  <c r="H392" i="3" a="1"/>
  <c r="H393" i="3" a="1"/>
  <c r="H394" i="3" a="1"/>
  <c r="H395" i="3" a="1"/>
  <c r="H396" i="3" a="1"/>
  <c r="H397" i="3" a="1"/>
  <c r="H398" i="3" a="1"/>
  <c r="H399" i="3" a="1"/>
  <c r="H400" i="3" a="1"/>
  <c r="H401" i="3" a="1"/>
  <c r="H402" i="3" a="1"/>
  <c r="H403" i="3" a="1"/>
  <c r="H404" i="3" a="1"/>
  <c r="H405" i="3" a="1"/>
  <c r="H406" i="3" a="1"/>
  <c r="H407" i="3" a="1"/>
  <c r="H408" i="3" a="1"/>
  <c r="H409" i="3" a="1"/>
  <c r="H410" i="3" a="1"/>
  <c r="H411" i="3" a="1"/>
  <c r="H412" i="3" a="1"/>
  <c r="H413" i="3" a="1"/>
  <c r="H414" i="3" a="1"/>
  <c r="H415" i="3" a="1"/>
  <c r="H416" i="3" a="1"/>
  <c r="H417" i="3" a="1"/>
  <c r="H418" i="3" a="1"/>
  <c r="H419" i="3" a="1"/>
  <c r="H420" i="3" a="1"/>
  <c r="H421" i="3" a="1"/>
  <c r="H422" i="3" a="1"/>
  <c r="H423" i="3" a="1"/>
  <c r="H424" i="3" a="1"/>
  <c r="H425" i="3" a="1"/>
  <c r="H426" i="3" a="1"/>
  <c r="H427" i="3" a="1"/>
  <c r="H428" i="3" a="1"/>
  <c r="H429" i="3" a="1"/>
  <c r="H430" i="3" a="1"/>
  <c r="H431" i="3" a="1"/>
  <c r="H432" i="3" a="1"/>
  <c r="H433" i="3" a="1"/>
  <c r="H434" i="3" a="1"/>
  <c r="H435" i="3" a="1"/>
  <c r="H436" i="3" a="1"/>
  <c r="H437" i="3" a="1"/>
  <c r="H438" i="3" a="1"/>
  <c r="H439" i="3" a="1"/>
  <c r="H440" i="3" a="1"/>
  <c r="H441" i="3" a="1"/>
  <c r="H442" i="3" a="1"/>
  <c r="H443" i="3" a="1"/>
  <c r="H444" i="3" a="1"/>
  <c r="H445" i="3" a="1"/>
  <c r="H446" i="3" a="1"/>
  <c r="H447" i="3" a="1"/>
  <c r="H448" i="3" a="1"/>
  <c r="H449" i="3" a="1"/>
  <c r="H450" i="3" a="1"/>
  <c r="H451" i="3" a="1"/>
  <c r="H452" i="3" a="1"/>
  <c r="H453" i="3" a="1"/>
  <c r="H454" i="3" a="1"/>
  <c r="H455" i="3" a="1"/>
  <c r="H456" i="3" a="1"/>
  <c r="H457" i="3" a="1"/>
  <c r="H458" i="3" a="1"/>
  <c r="H459" i="3" a="1"/>
  <c r="H460" i="3" a="1"/>
  <c r="H461" i="3" a="1"/>
  <c r="H462" i="3" a="1"/>
  <c r="H463" i="3" a="1"/>
  <c r="H464" i="3" a="1"/>
  <c r="H465" i="3" a="1"/>
  <c r="H466" i="3" a="1"/>
  <c r="H467" i="3" a="1"/>
  <c r="H468" i="3" a="1"/>
  <c r="H469" i="3" a="1"/>
  <c r="H470" i="3" a="1"/>
  <c r="H471" i="3" a="1"/>
  <c r="H472" i="3" a="1"/>
  <c r="H473" i="3" a="1"/>
  <c r="H474" i="3" a="1"/>
  <c r="H475" i="3" a="1"/>
  <c r="H476" i="3" a="1"/>
  <c r="H477" i="3" a="1"/>
  <c r="H478" i="3" a="1"/>
  <c r="H479" i="3" a="1"/>
  <c r="H480" i="3" a="1"/>
  <c r="H481" i="3" a="1"/>
  <c r="H482" i="3" a="1"/>
  <c r="H483" i="3" a="1"/>
  <c r="H484" i="3" a="1"/>
  <c r="H485" i="3" a="1"/>
  <c r="H486" i="3" a="1"/>
  <c r="H487" i="3" a="1"/>
  <c r="H488" i="3" a="1"/>
  <c r="H489" i="3" a="1"/>
  <c r="H490" i="3" a="1"/>
  <c r="H491" i="3" a="1"/>
  <c r="H492" i="3" a="1"/>
  <c r="H493" i="3" a="1"/>
  <c r="H494" i="3" a="1"/>
  <c r="H495" i="3" a="1"/>
  <c r="H496" i="3" a="1"/>
  <c r="H497" i="3" a="1"/>
  <c r="H498" i="3" a="1"/>
  <c r="H499" i="3" a="1"/>
  <c r="H500" i="3" a="1"/>
  <c r="H501" i="3" a="1"/>
  <c r="H502" i="3" a="1"/>
  <c r="H503" i="3" a="1"/>
  <c r="H504" i="3" a="1"/>
  <c r="H505" i="3" a="1"/>
  <c r="H506" i="3" a="1"/>
  <c r="H507" i="3" a="1"/>
  <c r="H508" i="3" a="1"/>
  <c r="H509" i="3" a="1"/>
  <c r="H510" i="3" a="1"/>
  <c r="H511" i="3" a="1"/>
  <c r="H512" i="3" a="1"/>
  <c r="H513" i="3" a="1"/>
  <c r="H514" i="3" a="1"/>
  <c r="H515" i="3" a="1"/>
  <c r="H516" i="3" a="1"/>
  <c r="H517" i="3" a="1"/>
  <c r="H518" i="3" a="1"/>
  <c r="H519" i="3" a="1"/>
  <c r="H520" i="3" a="1"/>
  <c r="H521" i="3" a="1"/>
  <c r="H522" i="3" a="1"/>
  <c r="H523" i="3" a="1"/>
  <c r="H524" i="3" a="1"/>
  <c r="H525" i="3" a="1"/>
  <c r="H526" i="3" a="1"/>
  <c r="H527" i="3" a="1"/>
  <c r="H528" i="3" a="1"/>
  <c r="H529" i="3" a="1"/>
  <c r="H530" i="3" a="1"/>
  <c r="H531" i="3" a="1"/>
  <c r="H532" i="3" a="1"/>
  <c r="H533" i="3" a="1"/>
  <c r="H534" i="3" a="1"/>
  <c r="H535" i="3" a="1"/>
  <c r="H536" i="3" a="1"/>
  <c r="H537" i="3" a="1"/>
  <c r="H538" i="3" a="1"/>
  <c r="H539" i="3" a="1"/>
  <c r="H540" i="3" a="1"/>
  <c r="H541" i="3" a="1"/>
  <c r="H542" i="3" a="1"/>
  <c r="H543" i="3" a="1"/>
  <c r="H544" i="3" a="1"/>
  <c r="H545" i="3" a="1"/>
  <c r="H546" i="3" a="1"/>
  <c r="H547" i="3" a="1"/>
  <c r="H548" i="3" a="1"/>
  <c r="H549" i="3" a="1"/>
  <c r="H550" i="3" a="1"/>
  <c r="H551" i="3" a="1"/>
  <c r="H552" i="3" a="1"/>
  <c r="H553" i="3" a="1"/>
  <c r="H554" i="3" a="1"/>
  <c r="H555" i="3" a="1"/>
  <c r="H556" i="3" a="1"/>
  <c r="H557" i="3" a="1"/>
  <c r="H558" i="3" a="1"/>
  <c r="H559" i="3" a="1"/>
  <c r="H560" i="3" a="1"/>
  <c r="H561" i="3" a="1"/>
  <c r="H562" i="3" a="1"/>
  <c r="H563" i="3" a="1"/>
  <c r="H564" i="3" a="1"/>
  <c r="H565" i="3" a="1"/>
  <c r="H566" i="3" a="1"/>
  <c r="H567" i="3" a="1"/>
  <c r="H568" i="3" a="1"/>
  <c r="H569" i="3" a="1"/>
  <c r="H570" i="3" a="1"/>
  <c r="H571" i="3" a="1"/>
  <c r="H572" i="3" a="1"/>
  <c r="H573" i="3" a="1"/>
  <c r="H574" i="3" a="1"/>
  <c r="H575" i="3" a="1"/>
  <c r="H576" i="3" a="1"/>
  <c r="H577" i="3" a="1"/>
  <c r="H578" i="3" a="1"/>
  <c r="H579" i="3" a="1"/>
  <c r="H580" i="3" a="1"/>
  <c r="H581" i="3" a="1"/>
  <c r="H582" i="3" a="1"/>
  <c r="H583" i="3" a="1"/>
  <c r="H584" i="3" a="1"/>
  <c r="H585" i="3" a="1"/>
  <c r="H586" i="3" a="1"/>
  <c r="H587" i="3" a="1"/>
  <c r="H588" i="3" a="1"/>
  <c r="H589" i="3" a="1"/>
  <c r="H590" i="3" a="1"/>
  <c r="H591" i="3" a="1"/>
  <c r="H592" i="3" a="1"/>
  <c r="H593" i="3" a="1"/>
  <c r="H594" i="3" a="1"/>
  <c r="H595" i="3" a="1"/>
  <c r="H596" i="3" a="1"/>
  <c r="H597" i="3" a="1"/>
  <c r="H598" i="3" a="1"/>
  <c r="H599" i="3" a="1"/>
  <c r="H600" i="3" a="1"/>
  <c r="H601" i="3" a="1"/>
  <c r="H602" i="3" a="1"/>
  <c r="H603" i="3" a="1"/>
  <c r="H604" i="3" a="1"/>
  <c r="H605" i="3" a="1"/>
  <c r="H606" i="3" a="1"/>
  <c r="H607" i="3" a="1"/>
  <c r="H608" i="3" a="1"/>
  <c r="H609" i="3" a="1"/>
  <c r="H610" i="3" a="1"/>
  <c r="H611" i="3" a="1"/>
  <c r="H612" i="3" a="1"/>
  <c r="H613" i="3" a="1"/>
  <c r="H614" i="3" a="1"/>
  <c r="H615" i="3" a="1"/>
  <c r="H616" i="3" a="1"/>
  <c r="H617" i="3" a="1"/>
  <c r="H618" i="3" a="1"/>
  <c r="H619" i="3" a="1"/>
  <c r="H620" i="3" a="1"/>
  <c r="H621" i="3" a="1"/>
  <c r="H622" i="3" a="1"/>
  <c r="H623" i="3" a="1"/>
  <c r="H624" i="3" a="1"/>
  <c r="H625" i="3" a="1"/>
  <c r="H626" i="3" a="1"/>
  <c r="H627" i="3" a="1"/>
  <c r="H628" i="3" a="1"/>
  <c r="H629" i="3" a="1"/>
  <c r="H630" i="3" a="1"/>
  <c r="H631" i="3" a="1"/>
  <c r="H632" i="3" a="1"/>
  <c r="H633" i="3" a="1"/>
  <c r="H634" i="3" a="1"/>
  <c r="H635" i="3" a="1"/>
  <c r="H636" i="3" a="1"/>
  <c r="H637" i="3" a="1"/>
  <c r="H638" i="3" a="1"/>
  <c r="H639" i="3" a="1"/>
  <c r="H640" i="3" a="1"/>
  <c r="H641" i="3" a="1"/>
  <c r="H642" i="3" a="1"/>
  <c r="H643" i="3" a="1"/>
  <c r="H644" i="3" a="1"/>
  <c r="H645" i="3" a="1"/>
  <c r="H646" i="3" a="1"/>
  <c r="H647" i="3" a="1"/>
  <c r="H648" i="3" a="1"/>
  <c r="H649" i="3" a="1"/>
  <c r="H650" i="3" a="1"/>
  <c r="H651" i="3" a="1"/>
  <c r="H652" i="3" a="1"/>
  <c r="H653" i="3" a="1"/>
  <c r="H654" i="3" a="1"/>
  <c r="H655" i="3" a="1"/>
  <c r="H656" i="3" a="1"/>
  <c r="H657" i="3" a="1"/>
  <c r="H658" i="3" a="1"/>
  <c r="H659" i="3" a="1"/>
  <c r="H660" i="3" a="1"/>
  <c r="H661" i="3" a="1"/>
  <c r="H662" i="3" a="1"/>
  <c r="H663" i="3" a="1"/>
  <c r="H664" i="3" a="1"/>
  <c r="H665" i="3" a="1"/>
  <c r="H666" i="3" a="1"/>
  <c r="H667" i="3" a="1"/>
  <c r="H668" i="3" a="1"/>
  <c r="H669" i="3" a="1"/>
  <c r="H670" i="3" a="1"/>
  <c r="H671" i="3" a="1"/>
  <c r="H672" i="3" a="1"/>
  <c r="H673" i="3" a="1"/>
  <c r="H674" i="3" a="1"/>
  <c r="H675" i="3" a="1"/>
  <c r="H676" i="3" a="1"/>
  <c r="H677" i="3" a="1"/>
  <c r="H678" i="3" a="1"/>
  <c r="H679" i="3" a="1"/>
  <c r="H680" i="3" a="1"/>
  <c r="H681" i="3" a="1"/>
  <c r="H682" i="3" a="1"/>
  <c r="H683" i="3" a="1"/>
  <c r="H684" i="3" a="1"/>
  <c r="H685" i="3" a="1"/>
  <c r="H686" i="3" a="1"/>
  <c r="H687" i="3" a="1"/>
  <c r="H688" i="3" a="1"/>
  <c r="H689" i="3" a="1"/>
  <c r="H690" i="3" a="1"/>
  <c r="H691" i="3" a="1"/>
  <c r="H692" i="3" a="1"/>
  <c r="H693" i="3" a="1"/>
  <c r="H694" i="3" a="1"/>
  <c r="H695" i="3" a="1"/>
  <c r="H696" i="3" a="1"/>
  <c r="H697" i="3" a="1"/>
  <c r="H698" i="3" a="1"/>
  <c r="H699" i="3" a="1"/>
  <c r="H700" i="3" a="1"/>
  <c r="H701" i="3" a="1"/>
  <c r="H702" i="3" a="1"/>
  <c r="H703" i="3" a="1"/>
  <c r="H704" i="3" a="1"/>
  <c r="H705" i="3" a="1"/>
  <c r="H706" i="3" a="1"/>
  <c r="H707" i="3" a="1"/>
  <c r="H708" i="3" a="1"/>
  <c r="H709" i="3" a="1"/>
  <c r="H710" i="3" a="1"/>
  <c r="H711" i="3" a="1"/>
  <c r="H712" i="3" a="1"/>
  <c r="H713" i="3" a="1"/>
  <c r="H714" i="3" a="1"/>
  <c r="H715" i="3" a="1"/>
  <c r="H716" i="3" a="1"/>
  <c r="H717" i="3" a="1"/>
  <c r="H718" i="3" a="1"/>
  <c r="H719" i="3" a="1"/>
  <c r="H720" i="3" a="1"/>
  <c r="H721" i="3" a="1"/>
  <c r="H722" i="3" a="1"/>
  <c r="H723" i="3" a="1"/>
  <c r="H724" i="3" a="1"/>
  <c r="H725" i="3" a="1"/>
  <c r="H726" i="3" a="1"/>
  <c r="H727" i="3" a="1"/>
  <c r="H728" i="3" a="1"/>
  <c r="H729" i="3" a="1"/>
  <c r="H730" i="3" a="1"/>
  <c r="H731" i="3" a="1"/>
  <c r="H732" i="3" a="1"/>
  <c r="H733" i="3" a="1"/>
  <c r="H734" i="3" a="1"/>
  <c r="H735" i="3" a="1"/>
  <c r="H736" i="3" a="1"/>
  <c r="H737" i="3" a="1"/>
  <c r="H738" i="3" a="1"/>
  <c r="H739" i="3" a="1"/>
  <c r="H740" i="3" a="1"/>
  <c r="H741" i="3" a="1"/>
  <c r="H742" i="3" a="1"/>
  <c r="H743" i="3" a="1"/>
  <c r="H744" i="3" a="1"/>
  <c r="H745" i="3" a="1"/>
  <c r="H746" i="3" a="1"/>
  <c r="H747" i="3" a="1"/>
  <c r="H748" i="3" a="1"/>
  <c r="H749" i="3" a="1"/>
  <c r="H750" i="3" a="1"/>
  <c r="H751" i="3" a="1"/>
  <c r="H752" i="3" a="1"/>
  <c r="H753" i="3" a="1"/>
  <c r="H754" i="3" a="1"/>
  <c r="H755" i="3" a="1"/>
  <c r="H756" i="3" a="1"/>
  <c r="H757" i="3" a="1"/>
  <c r="H758" i="3" a="1"/>
  <c r="H759" i="3" a="1"/>
  <c r="H760" i="3" a="1"/>
  <c r="H761" i="3" a="1"/>
  <c r="H762" i="3" a="1"/>
  <c r="H763" i="3" a="1"/>
  <c r="H764" i="3" a="1"/>
  <c r="H765" i="3" a="1"/>
  <c r="H766" i="3" a="1"/>
  <c r="H767" i="3" a="1"/>
  <c r="H768" i="3" a="1"/>
  <c r="H769" i="3" a="1"/>
  <c r="H770" i="3" a="1"/>
  <c r="H771" i="3" a="1"/>
  <c r="H772" i="3" a="1"/>
  <c r="H773" i="3" a="1"/>
  <c r="H774" i="3" a="1"/>
  <c r="H775" i="3" a="1"/>
  <c r="H776" i="3" a="1"/>
  <c r="H777" i="3" a="1"/>
  <c r="H778" i="3" a="1"/>
  <c r="H779" i="3" a="1"/>
  <c r="H780" i="3" a="1"/>
  <c r="H781" i="3" a="1"/>
  <c r="H782" i="3" a="1"/>
  <c r="H783" i="3" a="1"/>
  <c r="H784" i="3" a="1"/>
  <c r="H785" i="3" a="1"/>
  <c r="H786" i="3" a="1"/>
  <c r="H787" i="3" a="1"/>
  <c r="H788" i="3" a="1"/>
  <c r="H789" i="3" a="1"/>
  <c r="H790" i="3" a="1"/>
  <c r="H791" i="3" a="1"/>
  <c r="H792" i="3" a="1"/>
  <c r="H793" i="3" a="1"/>
  <c r="H794" i="3" a="1"/>
  <c r="H795" i="3" a="1"/>
  <c r="H796" i="3" a="1"/>
  <c r="H797" i="3" a="1"/>
  <c r="H798" i="3" a="1"/>
  <c r="H799" i="3" a="1"/>
  <c r="H800" i="3" a="1"/>
  <c r="H801" i="3" a="1"/>
  <c r="H802" i="3" a="1"/>
  <c r="H803" i="3" a="1"/>
  <c r="H804" i="3" a="1"/>
  <c r="H805" i="3" a="1"/>
  <c r="H806" i="3" a="1"/>
  <c r="H807" i="3" a="1"/>
  <c r="H808" i="3" a="1"/>
  <c r="H809" i="3" a="1"/>
  <c r="H810" i="3" a="1"/>
  <c r="H811" i="3" a="1"/>
  <c r="H812" i="3" a="1"/>
  <c r="H813" i="3" a="1"/>
  <c r="H814" i="3" a="1"/>
  <c r="H815" i="3" a="1"/>
  <c r="H816" i="3" a="1"/>
  <c r="H817" i="3" a="1"/>
  <c r="H818" i="3" a="1"/>
  <c r="H819" i="3" a="1"/>
  <c r="H820" i="3" a="1"/>
  <c r="H821" i="3" a="1"/>
  <c r="H822" i="3" a="1"/>
  <c r="H823" i="3" a="1"/>
  <c r="H824" i="3" a="1"/>
  <c r="H825" i="3" a="1"/>
  <c r="H826" i="3" a="1"/>
  <c r="H827" i="3" a="1"/>
  <c r="H828" i="3" a="1"/>
  <c r="H829" i="3" a="1"/>
  <c r="H830" i="3" a="1"/>
  <c r="H831" i="3" a="1"/>
  <c r="H832" i="3" a="1"/>
  <c r="H833" i="3" a="1"/>
  <c r="H834" i="3" a="1"/>
  <c r="H835" i="3" a="1"/>
  <c r="H836" i="3" a="1"/>
  <c r="H837" i="3" a="1"/>
  <c r="H838" i="3" a="1"/>
  <c r="H839" i="3" a="1"/>
  <c r="H840" i="3" a="1"/>
  <c r="H841" i="3" a="1"/>
  <c r="H842" i="3" a="1"/>
  <c r="H843" i="3" a="1"/>
  <c r="H844" i="3" a="1"/>
  <c r="H845" i="3" a="1"/>
  <c r="H846" i="3" a="1"/>
  <c r="H847" i="3" a="1"/>
  <c r="H848" i="3" a="1"/>
  <c r="H849" i="3" a="1"/>
  <c r="H850" i="3" a="1"/>
  <c r="H851" i="3" a="1"/>
  <c r="H852" i="3" a="1"/>
  <c r="H853" i="3" a="1"/>
  <c r="H854" i="3" a="1"/>
  <c r="H855" i="3" a="1"/>
  <c r="H856" i="3" a="1"/>
  <c r="H857" i="3" a="1"/>
  <c r="H858" i="3" a="1"/>
  <c r="H859" i="3" a="1"/>
  <c r="H860" i="3" a="1"/>
  <c r="H861" i="3" a="1"/>
  <c r="H862" i="3" a="1"/>
  <c r="H863" i="3" a="1"/>
  <c r="H864" i="3" a="1"/>
  <c r="H865" i="3" a="1"/>
  <c r="H866" i="3" a="1"/>
  <c r="H867" i="3" a="1"/>
  <c r="H868" i="3" a="1"/>
  <c r="H869" i="3" a="1"/>
  <c r="H870" i="3" a="1"/>
  <c r="H871" i="3" a="1"/>
  <c r="H872" i="3" a="1"/>
  <c r="H873" i="3" a="1"/>
  <c r="H874" i="3" a="1"/>
  <c r="H875" i="3" a="1"/>
  <c r="H876" i="3" a="1"/>
  <c r="H877" i="3" a="1"/>
  <c r="H878" i="3" a="1"/>
  <c r="H879" i="3" a="1"/>
  <c r="H880" i="3" a="1"/>
  <c r="H881" i="3" a="1"/>
  <c r="H882" i="3" a="1"/>
  <c r="H883" i="3" a="1"/>
  <c r="H884" i="3" a="1"/>
  <c r="H885" i="3" a="1"/>
  <c r="H886" i="3" a="1"/>
  <c r="H887" i="3" a="1"/>
  <c r="H888" i="3" a="1"/>
  <c r="H889" i="3" a="1"/>
  <c r="H890" i="3" a="1"/>
  <c r="H891" i="3" a="1"/>
  <c r="H892" i="3" a="1"/>
  <c r="H893" i="3" a="1"/>
  <c r="H894" i="3" a="1"/>
  <c r="H895" i="3" a="1"/>
  <c r="H896" i="3" a="1"/>
  <c r="H897" i="3" a="1"/>
  <c r="H898" i="3" a="1"/>
  <c r="H899" i="3" a="1"/>
  <c r="H900" i="3" a="1"/>
  <c r="H901" i="3" a="1"/>
  <c r="H902" i="3" a="1"/>
  <c r="H903" i="3" a="1"/>
  <c r="H904" i="3" a="1"/>
  <c r="H905" i="3" a="1"/>
  <c r="H906" i="3" a="1"/>
  <c r="H907" i="3" a="1"/>
  <c r="H908" i="3" a="1"/>
  <c r="H909" i="3" a="1"/>
  <c r="H910" i="3" a="1"/>
  <c r="H911" i="3" a="1"/>
  <c r="H912" i="3" a="1"/>
  <c r="H913" i="3" a="1"/>
  <c r="H914" i="3" a="1"/>
  <c r="H915" i="3" a="1"/>
  <c r="H916" i="3" a="1"/>
  <c r="H917" i="3" a="1"/>
  <c r="H918" i="3" a="1"/>
  <c r="H919" i="3" a="1"/>
  <c r="H920" i="3" a="1"/>
  <c r="H921" i="3" a="1"/>
  <c r="H922" i="3" a="1"/>
  <c r="H923" i="3" a="1"/>
  <c r="H924" i="3" a="1"/>
  <c r="H925" i="3" a="1"/>
  <c r="H926" i="3" a="1"/>
  <c r="H927" i="3" a="1"/>
  <c r="H928" i="3" a="1"/>
  <c r="H929" i="3" a="1"/>
  <c r="H930" i="3" a="1"/>
  <c r="H931" i="3" a="1"/>
  <c r="H932" i="3" a="1"/>
  <c r="H933" i="3" a="1"/>
  <c r="H934" i="3" a="1"/>
  <c r="H935" i="3" a="1"/>
  <c r="H936" i="3" a="1"/>
  <c r="H937" i="3" a="1"/>
  <c r="H938" i="3" a="1"/>
  <c r="H939" i="3" a="1"/>
  <c r="H940" i="3" a="1"/>
  <c r="H941" i="3" a="1"/>
  <c r="H942" i="3" a="1"/>
  <c r="H943" i="3" a="1"/>
  <c r="H944" i="3" a="1"/>
  <c r="H945" i="3" a="1"/>
  <c r="H946" i="3" a="1"/>
  <c r="H947" i="3" a="1"/>
  <c r="H948" i="3" a="1"/>
  <c r="H949" i="3" a="1"/>
  <c r="H950" i="3" a="1"/>
  <c r="H951" i="3" a="1"/>
  <c r="H952" i="3" a="1"/>
  <c r="H953" i="3" a="1"/>
  <c r="H954" i="3" a="1"/>
  <c r="H955" i="3" a="1"/>
  <c r="H956" i="3" a="1"/>
  <c r="H957" i="3" a="1"/>
  <c r="H958" i="3" a="1"/>
  <c r="H959" i="3" a="1"/>
  <c r="H960" i="3" a="1"/>
  <c r="H961" i="3" a="1"/>
  <c r="H962" i="3" a="1"/>
  <c r="H963" i="3" a="1"/>
  <c r="H964" i="3" a="1"/>
  <c r="H965" i="3" a="1"/>
  <c r="H966" i="3" a="1"/>
  <c r="H967" i="3" a="1"/>
  <c r="H968" i="3" a="1"/>
  <c r="H969" i="3" a="1"/>
  <c r="H970" i="3" a="1"/>
  <c r="H971" i="3" a="1"/>
  <c r="H972" i="3" a="1"/>
  <c r="H973" i="3" a="1"/>
  <c r="H974" i="3" a="1"/>
  <c r="H975" i="3" a="1"/>
  <c r="H976" i="3" a="1"/>
  <c r="H977" i="3" a="1"/>
  <c r="H978" i="3" a="1"/>
  <c r="H979" i="3" a="1"/>
  <c r="H980" i="3" a="1"/>
  <c r="H981" i="3" a="1"/>
  <c r="H982" i="3" a="1"/>
  <c r="H983" i="3" a="1"/>
  <c r="H984" i="3" a="1"/>
  <c r="H985" i="3" a="1"/>
  <c r="H986" i="3" a="1"/>
  <c r="H987" i="3" a="1"/>
  <c r="H988" i="3" a="1"/>
  <c r="H989" i="3" a="1"/>
  <c r="H990" i="3" a="1"/>
  <c r="H991" i="3" a="1"/>
  <c r="H992" i="3" a="1"/>
  <c r="H993" i="3" a="1"/>
  <c r="H994" i="3" a="1"/>
  <c r="H995" i="3" a="1"/>
  <c r="H996" i="3" a="1"/>
  <c r="H997" i="3" a="1"/>
  <c r="H998" i="3" a="1"/>
  <c r="H999" i="3" a="1"/>
  <c r="H1000" i="3" a="1"/>
  <c r="H1001" i="3" a="1"/>
  <c r="H1002" i="3" a="1"/>
  <c r="H1003" i="3" a="1"/>
  <c r="H1004" i="3" a="1"/>
  <c r="H1005" i="3" a="1"/>
  <c r="H1006" i="3" a="1"/>
  <c r="H1007" i="3" a="1"/>
  <c r="H1008" i="3" a="1"/>
  <c r="H1009" i="3" a="1"/>
  <c r="H1010" i="3" a="1"/>
  <c r="H1011" i="3" a="1"/>
  <c r="H1012" i="3" a="1"/>
  <c r="H1013" i="3" a="1"/>
  <c r="H1014" i="3" a="1"/>
  <c r="H1015" i="3" a="1"/>
  <c r="H1016" i="3" a="1"/>
  <c r="H1017" i="3" a="1"/>
  <c r="H1018" i="3" a="1"/>
  <c r="H1019" i="3" a="1"/>
  <c r="H1020" i="3" a="1"/>
  <c r="H1021" i="3" a="1"/>
  <c r="H1022" i="3" a="1"/>
  <c r="H1023" i="3" a="1"/>
  <c r="H1024" i="3" a="1"/>
  <c r="H1025" i="3" a="1"/>
  <c r="H1026" i="3" a="1"/>
  <c r="H1027" i="3" a="1"/>
  <c r="H1028" i="3" a="1"/>
  <c r="H1029" i="3" a="1"/>
  <c r="H1030" i="3" a="1"/>
  <c r="H1031" i="3" a="1"/>
  <c r="H1032" i="3" a="1"/>
  <c r="H1033" i="3" a="1"/>
  <c r="H1034" i="3" a="1"/>
  <c r="H1035" i="3" a="1"/>
  <c r="H1036" i="3" a="1"/>
  <c r="H1037" i="3" a="1"/>
  <c r="H1038" i="3" a="1"/>
  <c r="H1039" i="3" a="1"/>
  <c r="H1040" i="3" a="1"/>
  <c r="H1041" i="3" a="1"/>
  <c r="H1042" i="3" a="1"/>
  <c r="H1043" i="3" a="1"/>
  <c r="H1044" i="3" a="1"/>
  <c r="H1045" i="3" a="1"/>
  <c r="H1046" i="3" a="1"/>
  <c r="H1047" i="3" a="1"/>
  <c r="H1048" i="3" a="1"/>
  <c r="H1049" i="3" a="1"/>
  <c r="H1050" i="3" a="1"/>
  <c r="H1051" i="3" a="1"/>
  <c r="H1052" i="3" a="1"/>
  <c r="H1053" i="3" a="1"/>
  <c r="H1054" i="3" a="1"/>
  <c r="H1055" i="3" a="1"/>
  <c r="H1056" i="3" a="1"/>
  <c r="H1057" i="3" a="1"/>
  <c r="H1058" i="3" a="1"/>
  <c r="H1059" i="3" a="1"/>
  <c r="H1060" i="3" a="1"/>
  <c r="H1061" i="3" a="1"/>
  <c r="H1062" i="3" a="1"/>
  <c r="H1063" i="3" a="1"/>
  <c r="H1064" i="3" a="1"/>
  <c r="H1065" i="3" a="1"/>
  <c r="H1066" i="3" a="1"/>
  <c r="H1067" i="3" a="1"/>
  <c r="H1068" i="3" a="1"/>
  <c r="H1069" i="3" a="1"/>
  <c r="H1070" i="3" a="1"/>
  <c r="H1071" i="3" a="1"/>
  <c r="H1072" i="3" a="1"/>
  <c r="H1073" i="3" a="1"/>
  <c r="H1074" i="3" a="1"/>
  <c r="H1075" i="3" a="1"/>
  <c r="H1076" i="3" a="1"/>
  <c r="H1077" i="3" a="1"/>
  <c r="H1078" i="3" a="1"/>
  <c r="H1079" i="3" a="1"/>
  <c r="H1080" i="3" a="1"/>
  <c r="H1081" i="3" a="1"/>
  <c r="H1082" i="3" a="1"/>
  <c r="H1083" i="3" a="1"/>
  <c r="H1084" i="3" a="1"/>
  <c r="H1085" i="3" a="1"/>
  <c r="H1086" i="3" a="1"/>
  <c r="H1087" i="3" a="1"/>
  <c r="H1088" i="3" a="1"/>
  <c r="H1089" i="3" a="1"/>
  <c r="H1090" i="3" a="1"/>
  <c r="H1091" i="3" a="1"/>
  <c r="H1092" i="3" a="1"/>
  <c r="H1093" i="3" a="1"/>
  <c r="H1094" i="3" a="1"/>
  <c r="H1095" i="3" a="1"/>
  <c r="H1096" i="3" a="1"/>
  <c r="H1097" i="3" a="1"/>
  <c r="H1098" i="3" a="1"/>
  <c r="H1099" i="3" a="1"/>
  <c r="H1100" i="3" a="1"/>
  <c r="H1101" i="3" a="1"/>
  <c r="H1102" i="3" a="1"/>
  <c r="H1103" i="3" a="1"/>
  <c r="H1104" i="3" a="1"/>
  <c r="H1105" i="3" a="1"/>
  <c r="H1106" i="3" a="1"/>
  <c r="H1107" i="3" a="1"/>
  <c r="H1108" i="3" a="1"/>
  <c r="H1109" i="3" a="1"/>
  <c r="H1110" i="3" a="1"/>
  <c r="H1111" i="3" a="1"/>
  <c r="H1112" i="3" a="1"/>
  <c r="H1113" i="3" a="1"/>
  <c r="H1114" i="3" a="1"/>
  <c r="H1115" i="3" a="1"/>
  <c r="H1116" i="3" a="1"/>
  <c r="H1117" i="3" a="1"/>
  <c r="H1118" i="3" a="1"/>
  <c r="H1119" i="3" a="1"/>
  <c r="H1120" i="3" a="1"/>
  <c r="H1121" i="3" a="1"/>
  <c r="H1122" i="3" a="1"/>
  <c r="H1123" i="3" a="1"/>
  <c r="H1124" i="3" a="1"/>
  <c r="H1125" i="3" a="1"/>
  <c r="H1126" i="3" a="1"/>
  <c r="H1127" i="3" a="1"/>
  <c r="H1128" i="3" a="1"/>
  <c r="H1129" i="3" a="1"/>
  <c r="H1130" i="3" a="1"/>
  <c r="H1131" i="3" a="1"/>
  <c r="H1132" i="3" a="1"/>
  <c r="H1133" i="3" a="1"/>
  <c r="H1134" i="3" a="1"/>
  <c r="H1135" i="3" a="1"/>
  <c r="H1136" i="3" a="1"/>
  <c r="H1137" i="3" a="1"/>
  <c r="H1138" i="3" a="1"/>
  <c r="H1139" i="3" a="1"/>
  <c r="H1140" i="3" a="1"/>
  <c r="H1141" i="3" a="1"/>
  <c r="H1142" i="3" a="1"/>
  <c r="H1143" i="3" a="1"/>
  <c r="H1144" i="3" a="1"/>
  <c r="H1145" i="3" a="1"/>
  <c r="H1146" i="3" a="1"/>
  <c r="H1147" i="3" a="1"/>
  <c r="H1148" i="3" a="1"/>
  <c r="H1149" i="3" a="1"/>
  <c r="H1150" i="3" a="1"/>
  <c r="H1151" i="3" a="1"/>
  <c r="H1152" i="3" a="1"/>
  <c r="H1153" i="3" a="1"/>
  <c r="H1154" i="3" a="1"/>
  <c r="H1155" i="3" a="1"/>
  <c r="H1156" i="3" a="1"/>
  <c r="H1157" i="3" a="1"/>
  <c r="H1158" i="3" a="1"/>
  <c r="H1159" i="3" a="1"/>
  <c r="H1160" i="3" a="1"/>
  <c r="H1161" i="3" a="1"/>
  <c r="H1162" i="3" a="1"/>
  <c r="H1163" i="3" a="1"/>
  <c r="H1164" i="3" a="1"/>
  <c r="H1165" i="3" a="1"/>
  <c r="H1166" i="3" a="1"/>
  <c r="H1167" i="3" a="1"/>
  <c r="H1168" i="3" a="1"/>
  <c r="H1169" i="3" a="1"/>
  <c r="H1170" i="3" a="1"/>
  <c r="H1171" i="3" a="1"/>
  <c r="H1172" i="3" a="1"/>
  <c r="H1173" i="3" a="1"/>
  <c r="H1174" i="3" a="1"/>
  <c r="H1175" i="3" a="1"/>
  <c r="H1176" i="3" a="1"/>
  <c r="H1177" i="3" a="1"/>
  <c r="H1178" i="3" a="1"/>
  <c r="H1179" i="3" a="1"/>
  <c r="H1180" i="3" a="1"/>
  <c r="H1181" i="3" a="1"/>
  <c r="H1182" i="3" a="1"/>
  <c r="H1183" i="3" a="1"/>
  <c r="H1184" i="3" a="1"/>
  <c r="H1185" i="3" a="1"/>
  <c r="H1186" i="3" a="1"/>
  <c r="H1187" i="3" a="1"/>
  <c r="H1188" i="3" a="1"/>
  <c r="H1189" i="3" a="1"/>
  <c r="H1190" i="3" a="1"/>
  <c r="H1191" i="3" a="1"/>
  <c r="H1192" i="3" a="1"/>
  <c r="H1193" i="3" a="1"/>
  <c r="H1194" i="3" a="1"/>
  <c r="H1195" i="3" a="1"/>
  <c r="H1196" i="3" a="1"/>
  <c r="H1197" i="3" a="1"/>
  <c r="H1198" i="3" a="1"/>
  <c r="H1199" i="3" a="1"/>
  <c r="H1200" i="3" a="1"/>
  <c r="H1201" i="3" a="1"/>
  <c r="H1202" i="3" a="1"/>
  <c r="H1203" i="3" a="1"/>
  <c r="H1204" i="3" a="1"/>
  <c r="H1205" i="3" a="1"/>
  <c r="H1206" i="3" a="1"/>
  <c r="H1207" i="3" a="1"/>
  <c r="H1208" i="3" a="1"/>
  <c r="H1209" i="3" a="1"/>
  <c r="H1210" i="3" a="1"/>
  <c r="H1211" i="3" a="1"/>
  <c r="H1212" i="3" a="1"/>
  <c r="H1213" i="3" a="1"/>
  <c r="H1214" i="3" a="1"/>
  <c r="H1215" i="3" a="1"/>
  <c r="H1216" i="3" a="1"/>
  <c r="H1217" i="3" a="1"/>
  <c r="H1218" i="3" a="1"/>
  <c r="H1219" i="3" a="1"/>
  <c r="H1220" i="3" a="1"/>
  <c r="H1221" i="3" a="1"/>
  <c r="H1222" i="3" a="1"/>
  <c r="H1223" i="3" a="1"/>
  <c r="H1224" i="3" a="1"/>
  <c r="H1225" i="3" a="1"/>
  <c r="H1226" i="3" a="1"/>
  <c r="H1227" i="3" a="1"/>
  <c r="H1228" i="3" a="1"/>
  <c r="H1229" i="3" a="1"/>
  <c r="H1230" i="3" a="1"/>
  <c r="H1231" i="3" a="1"/>
  <c r="H1232" i="3" a="1"/>
  <c r="H1233" i="3" a="1"/>
  <c r="H1234" i="3" a="1"/>
  <c r="H1235" i="3" a="1"/>
  <c r="H1236" i="3" a="1"/>
  <c r="H1237" i="3" a="1"/>
  <c r="H1238" i="3" a="1"/>
  <c r="H1239" i="3" a="1"/>
  <c r="H1240" i="3" a="1"/>
  <c r="H1241" i="3" a="1"/>
  <c r="H1242" i="3" a="1"/>
  <c r="H1243" i="3" a="1"/>
  <c r="H1244" i="3" a="1"/>
  <c r="H1245" i="3" a="1"/>
  <c r="H1246" i="3" a="1"/>
  <c r="H1247" i="3" a="1"/>
  <c r="H1248" i="3" a="1"/>
  <c r="H1249" i="3" a="1"/>
  <c r="H1250" i="3" a="1"/>
  <c r="H1251" i="3" a="1"/>
  <c r="H1252" i="3" a="1"/>
  <c r="H1253" i="3" a="1"/>
  <c r="H1254" i="3" a="1"/>
  <c r="H1255" i="3" a="1"/>
  <c r="H1256" i="3" a="1"/>
  <c r="H1257" i="3" a="1"/>
  <c r="H1258" i="3" a="1"/>
  <c r="H1259" i="3" a="1"/>
  <c r="H1260" i="3" a="1"/>
  <c r="H1261" i="3" a="1"/>
  <c r="H1262" i="3" a="1"/>
  <c r="H1263" i="3" a="1"/>
  <c r="H1264" i="3" a="1"/>
  <c r="H1265" i="3" a="1"/>
  <c r="H1266" i="3" a="1"/>
  <c r="H1267" i="3" a="1"/>
  <c r="H1268" i="3" a="1"/>
  <c r="H1269" i="3" a="1"/>
  <c r="H1270" i="3" a="1"/>
  <c r="H1271" i="3" a="1"/>
  <c r="H1272" i="3" a="1"/>
  <c r="H1273" i="3" a="1"/>
  <c r="H1274" i="3" a="1"/>
  <c r="H1275" i="3" a="1"/>
  <c r="H1276" i="3" a="1"/>
  <c r="H1277" i="3" a="1"/>
  <c r="H1278" i="3" a="1"/>
  <c r="H1279" i="3" a="1"/>
  <c r="H1280" i="3" a="1"/>
  <c r="H1281" i="3" a="1"/>
  <c r="H1282" i="3" a="1"/>
  <c r="H1283" i="3" a="1"/>
  <c r="H1284" i="3" a="1"/>
  <c r="H1285" i="3" a="1"/>
  <c r="H1286" i="3" a="1"/>
  <c r="H1287" i="3" a="1"/>
  <c r="H1288" i="3" a="1"/>
  <c r="H1289" i="3" a="1"/>
  <c r="H1290" i="3" a="1"/>
  <c r="H1291" i="3" a="1"/>
  <c r="H1292" i="3" a="1"/>
  <c r="H1293" i="3" a="1"/>
  <c r="H1294" i="3" a="1"/>
  <c r="H1295" i="3" a="1"/>
  <c r="H1296" i="3" a="1"/>
  <c r="H1297" i="3" a="1"/>
  <c r="H1298" i="3" a="1"/>
  <c r="H1299" i="3" a="1"/>
  <c r="H1300" i="3" a="1"/>
  <c r="H1301" i="3" a="1"/>
  <c r="H1302" i="3" a="1"/>
  <c r="H1303" i="3" a="1"/>
  <c r="H1304" i="3" a="1"/>
  <c r="H1305" i="3" a="1"/>
  <c r="H1306" i="3" a="1"/>
  <c r="H1307" i="3" a="1"/>
  <c r="H1308" i="3" a="1"/>
  <c r="H1309" i="3" a="1"/>
  <c r="H1310" i="3" a="1"/>
  <c r="H1311" i="3" a="1"/>
  <c r="H1312" i="3" a="1"/>
  <c r="H1313" i="3" a="1"/>
  <c r="H1314" i="3" a="1"/>
  <c r="H1315" i="3" a="1"/>
  <c r="H1316" i="3" a="1"/>
  <c r="H1317" i="3" a="1"/>
  <c r="H1318" i="3" a="1"/>
  <c r="H1319" i="3" a="1"/>
  <c r="H1320" i="3" a="1"/>
  <c r="H1321" i="3" a="1"/>
  <c r="H1322" i="3" a="1"/>
  <c r="H1323" i="3" a="1"/>
  <c r="H1324" i="3" a="1"/>
  <c r="H1325" i="3" a="1"/>
  <c r="H1326" i="3" a="1"/>
  <c r="H1327" i="3" a="1"/>
  <c r="H1328" i="3" a="1"/>
  <c r="H1329" i="3" a="1"/>
  <c r="H1330" i="3" a="1"/>
  <c r="H1331" i="3" a="1"/>
  <c r="H1332" i="3" a="1"/>
  <c r="H1333" i="3" a="1"/>
  <c r="H1334" i="3" a="1"/>
  <c r="H1335" i="3" a="1"/>
  <c r="H1336" i="3" a="1"/>
  <c r="H1337" i="3" a="1"/>
  <c r="H1338" i="3" a="1"/>
  <c r="H1339" i="3" a="1"/>
  <c r="H1340" i="3" a="1"/>
  <c r="H1341" i="3" a="1"/>
  <c r="H1342" i="3" a="1"/>
  <c r="H1343" i="3" a="1"/>
  <c r="H1344" i="3" a="1"/>
  <c r="H1345" i="3" a="1"/>
  <c r="H1346" i="3" a="1"/>
  <c r="H1347" i="3" a="1"/>
  <c r="H1348" i="3" a="1"/>
  <c r="H1349" i="3" a="1"/>
  <c r="H1350" i="3" a="1"/>
  <c r="H1351" i="3" a="1"/>
  <c r="H1352" i="3" a="1"/>
  <c r="H1353" i="3" a="1"/>
  <c r="H1354" i="3" a="1"/>
  <c r="H1355" i="3" a="1"/>
  <c r="H1356" i="3" a="1"/>
  <c r="H1357" i="3" a="1"/>
  <c r="H1358" i="3" a="1"/>
  <c r="H1359" i="3" a="1"/>
  <c r="H1360" i="3" a="1"/>
  <c r="H1361" i="3" a="1"/>
  <c r="H1362" i="3" a="1"/>
  <c r="H1363" i="3" a="1"/>
  <c r="H1364" i="3" a="1"/>
  <c r="H1365" i="3" a="1"/>
  <c r="H1366" i="3" a="1"/>
  <c r="H1367" i="3" a="1"/>
  <c r="H1368" i="3" a="1"/>
  <c r="H1369" i="3" a="1"/>
  <c r="H1370" i="3" a="1"/>
  <c r="H1371" i="3" a="1"/>
  <c r="H1372" i="3" a="1"/>
  <c r="H1373" i="3" a="1"/>
  <c r="H1374" i="3" a="1"/>
  <c r="H1375" i="3" a="1"/>
  <c r="H1376" i="3" a="1"/>
  <c r="H1377" i="3" a="1"/>
  <c r="H1378" i="3" a="1"/>
  <c r="H1379" i="3" a="1"/>
  <c r="H1380" i="3" a="1"/>
  <c r="H1381" i="3" a="1"/>
  <c r="H1382" i="3" a="1"/>
  <c r="H1383" i="3" a="1"/>
  <c r="H1384" i="3" a="1"/>
  <c r="H1385" i="3" a="1"/>
  <c r="H1386" i="3" a="1"/>
  <c r="H1387" i="3" a="1"/>
  <c r="H1388" i="3" a="1"/>
  <c r="H1389" i="3" a="1"/>
  <c r="H1390" i="3" a="1"/>
  <c r="H1391" i="3" a="1"/>
  <c r="H1392" i="3" a="1"/>
  <c r="H1393" i="3" a="1"/>
  <c r="H1394" i="3" a="1"/>
  <c r="H1395" i="3" a="1"/>
  <c r="H1396" i="3" a="1"/>
  <c r="H1397" i="3" a="1"/>
  <c r="H1398" i="3" a="1"/>
  <c r="H1399" i="3" a="1"/>
  <c r="H1400" i="3" a="1"/>
  <c r="H1401" i="3" a="1"/>
  <c r="H1402" i="3" a="1"/>
  <c r="H1403" i="3" a="1"/>
  <c r="H1404" i="3" a="1"/>
  <c r="H1405" i="3" a="1"/>
  <c r="H1406" i="3" a="1"/>
  <c r="H1407" i="3" a="1"/>
  <c r="H1408" i="3" a="1"/>
  <c r="H1409" i="3" a="1"/>
  <c r="H1410" i="3" a="1"/>
  <c r="H1411" i="3" a="1"/>
  <c r="H1412" i="3" a="1"/>
  <c r="H1413" i="3" a="1"/>
  <c r="H1414" i="3" a="1"/>
  <c r="H1415" i="3" a="1"/>
  <c r="H1416" i="3" a="1"/>
  <c r="H1417" i="3" a="1"/>
  <c r="H1418" i="3" a="1"/>
  <c r="H1419" i="3" a="1"/>
  <c r="H1420" i="3" a="1"/>
  <c r="H1421" i="3" a="1"/>
  <c r="H1422" i="3" a="1"/>
  <c r="H1423" i="3" a="1"/>
  <c r="H1424" i="3" a="1"/>
  <c r="H1425" i="3" a="1"/>
  <c r="H1426" i="3" a="1"/>
  <c r="H1427" i="3" a="1"/>
  <c r="H1428" i="3" a="1"/>
  <c r="H1429" i="3" a="1"/>
  <c r="H1430" i="3" a="1"/>
  <c r="H1431" i="3" a="1"/>
  <c r="H1432" i="3" a="1"/>
  <c r="H1433" i="3" a="1"/>
  <c r="H1434" i="3" a="1"/>
  <c r="H1435" i="3" a="1"/>
  <c r="H1436" i="3" a="1"/>
  <c r="H1437" i="3" a="1"/>
  <c r="H1438" i="3" a="1"/>
  <c r="H1439" i="3" a="1"/>
  <c r="H1440" i="3" a="1"/>
  <c r="H1441" i="3" a="1"/>
  <c r="H1442" i="3" a="1"/>
  <c r="H1443" i="3" a="1"/>
  <c r="H1444" i="3" a="1"/>
  <c r="H1445" i="3" a="1"/>
  <c r="H1446" i="3" a="1"/>
  <c r="H1447" i="3" a="1"/>
  <c r="H1448" i="3" a="1"/>
  <c r="H1449" i="3" a="1"/>
  <c r="H1450" i="3" a="1"/>
  <c r="H1451" i="3" a="1"/>
  <c r="H1452" i="3" a="1"/>
  <c r="H1453" i="3" a="1"/>
  <c r="H1454" i="3" a="1"/>
  <c r="H1455" i="3" a="1"/>
  <c r="H1456" i="3" a="1"/>
  <c r="H1457" i="3" a="1"/>
  <c r="H1458" i="3" a="1"/>
  <c r="H1459" i="3" a="1"/>
  <c r="H1460" i="3" a="1"/>
  <c r="H1461" i="3" a="1"/>
  <c r="H1462" i="3" a="1"/>
  <c r="H1463" i="3" a="1"/>
  <c r="H1464" i="3" a="1"/>
  <c r="H1465" i="3" a="1"/>
  <c r="H1466" i="3" a="1"/>
  <c r="H1467" i="3" a="1"/>
  <c r="H1468" i="3" a="1"/>
  <c r="H1469" i="3" a="1"/>
  <c r="H1470" i="3" a="1"/>
  <c r="H1471" i="3" a="1"/>
  <c r="H1472" i="3" a="1"/>
  <c r="H1473" i="3" a="1"/>
  <c r="H1474" i="3" a="1"/>
  <c r="H1475" i="3" a="1"/>
  <c r="H1476" i="3" a="1"/>
  <c r="H1477" i="3" a="1"/>
  <c r="H1478" i="3" a="1"/>
  <c r="H1479" i="3" a="1"/>
  <c r="H1480" i="3" a="1"/>
  <c r="H1481" i="3" a="1"/>
  <c r="H1482" i="3" a="1"/>
  <c r="H1483" i="3" a="1"/>
  <c r="H1484" i="3" a="1"/>
  <c r="H1485" i="3" a="1"/>
  <c r="H1486" i="3" a="1"/>
  <c r="H1487" i="3" a="1"/>
  <c r="H1488" i="3" a="1"/>
  <c r="H1489" i="3" a="1"/>
  <c r="H1490" i="3" a="1"/>
  <c r="H1491" i="3" a="1"/>
  <c r="H1492" i="3" a="1"/>
  <c r="H1493" i="3" a="1"/>
  <c r="H1494" i="3" a="1"/>
  <c r="H1495" i="3" a="1"/>
  <c r="H1496" i="3" a="1"/>
  <c r="H1497" i="3" a="1"/>
  <c r="H1498" i="3" a="1"/>
  <c r="H1499" i="3" a="1"/>
  <c r="H1500" i="3" a="1"/>
  <c r="H1501" i="3" a="1"/>
  <c r="H1502" i="3" a="1"/>
  <c r="H1503" i="3" a="1"/>
  <c r="H1504" i="3" a="1"/>
  <c r="H1505" i="3" a="1"/>
  <c r="H1506" i="3" a="1"/>
  <c r="H1507" i="3" a="1"/>
  <c r="H1508" i="3" a="1"/>
  <c r="H1509" i="3" a="1"/>
  <c r="H1510" i="3" a="1"/>
  <c r="H1511" i="3" a="1"/>
  <c r="H1512" i="3" a="1"/>
  <c r="H1513" i="3" a="1"/>
  <c r="H1514" i="3" a="1"/>
  <c r="H1515" i="3" a="1"/>
  <c r="H1516" i="3" a="1"/>
  <c r="H1517" i="3" a="1"/>
  <c r="H1518" i="3" a="1"/>
  <c r="H1519" i="3" a="1"/>
  <c r="H1520" i="3" a="1"/>
  <c r="H1521" i="3" a="1"/>
  <c r="H1522" i="3" a="1"/>
  <c r="H1523" i="3" a="1"/>
  <c r="H1524" i="3" a="1"/>
  <c r="H1525" i="3" a="1"/>
  <c r="H1526" i="3" a="1"/>
  <c r="H1527" i="3" a="1"/>
  <c r="H1528" i="3" a="1"/>
  <c r="H1529" i="3" a="1"/>
  <c r="H1530" i="3" a="1"/>
  <c r="H1531" i="3" a="1"/>
  <c r="H1532" i="3" a="1"/>
  <c r="H1533" i="3" a="1"/>
  <c r="H1534" i="3" a="1"/>
  <c r="H1535" i="3" a="1"/>
  <c r="H1536" i="3" a="1"/>
  <c r="H1537" i="3" a="1"/>
  <c r="H1538" i="3" a="1"/>
  <c r="H1539" i="3" a="1"/>
  <c r="H1540" i="3" a="1"/>
  <c r="H1541" i="3" a="1"/>
  <c r="H1542" i="3" a="1"/>
  <c r="H1543" i="3" a="1"/>
  <c r="H1544" i="3" a="1"/>
  <c r="H1545" i="3" a="1"/>
  <c r="H1546" i="3" a="1"/>
  <c r="H1547" i="3" a="1"/>
  <c r="H1548" i="3" a="1"/>
  <c r="H1549" i="3" a="1"/>
  <c r="H1550" i="3" a="1"/>
  <c r="H1551" i="3" a="1"/>
  <c r="H1552" i="3" a="1"/>
  <c r="H1553" i="3" a="1"/>
  <c r="H1554" i="3" a="1"/>
  <c r="H1555" i="3" a="1"/>
  <c r="H1556" i="3" a="1"/>
  <c r="H1557" i="3" a="1"/>
  <c r="H1558" i="3" a="1"/>
  <c r="H1559" i="3" a="1"/>
  <c r="H1560" i="3" a="1"/>
  <c r="H1561" i="3" a="1"/>
  <c r="H1562" i="3" a="1"/>
  <c r="H1563" i="3" a="1"/>
  <c r="H1564" i="3" a="1"/>
  <c r="H1565" i="3" a="1"/>
  <c r="H1566" i="3" a="1"/>
  <c r="H1567" i="3" a="1"/>
  <c r="H1568" i="3" a="1"/>
  <c r="H1569" i="3" a="1"/>
  <c r="H1570" i="3" a="1"/>
  <c r="H1571" i="3" a="1"/>
  <c r="H1572" i="3" a="1"/>
  <c r="H1573" i="3" a="1"/>
  <c r="H1574" i="3" a="1"/>
  <c r="H1575" i="3" a="1"/>
  <c r="H1576" i="3" a="1"/>
  <c r="H1577" i="3" a="1"/>
  <c r="H1578" i="3" a="1"/>
  <c r="H1579" i="3" a="1"/>
  <c r="H1580" i="3" a="1"/>
  <c r="H1581" i="3" a="1"/>
  <c r="H1582" i="3" a="1"/>
  <c r="H1583" i="3" a="1"/>
  <c r="H1584" i="3" a="1"/>
  <c r="H1585" i="3" a="1"/>
  <c r="H1586" i="3" a="1"/>
  <c r="H1587" i="3" a="1"/>
  <c r="H1588" i="3" a="1"/>
  <c r="H1589" i="3" a="1"/>
  <c r="H1590" i="3" a="1"/>
  <c r="H1591" i="3" a="1"/>
  <c r="H1592" i="3" a="1"/>
  <c r="H1593" i="3" a="1"/>
  <c r="H1594" i="3" a="1"/>
  <c r="H1595" i="3" a="1"/>
  <c r="H1596" i="3" a="1"/>
  <c r="H1597" i="3" a="1"/>
  <c r="H1598" i="3" a="1"/>
  <c r="H1599" i="3" a="1"/>
  <c r="H1600" i="3" a="1"/>
  <c r="H1601" i="3" a="1"/>
  <c r="H1602" i="3" a="1"/>
  <c r="H1603" i="3" a="1"/>
  <c r="H1604" i="3" a="1"/>
  <c r="H1605" i="3" a="1"/>
  <c r="H1606" i="3" a="1"/>
  <c r="H1607" i="3" a="1"/>
  <c r="H1608" i="3" a="1"/>
  <c r="H1609" i="3" a="1"/>
  <c r="H1610" i="3" a="1"/>
  <c r="H1611" i="3" a="1"/>
  <c r="H1612" i="3" a="1"/>
  <c r="H1613" i="3" a="1"/>
  <c r="H1614" i="3" a="1"/>
  <c r="H1615" i="3" a="1"/>
  <c r="H1616" i="3" a="1"/>
  <c r="H1617" i="3" a="1"/>
  <c r="H1618" i="3" a="1"/>
  <c r="H1619" i="3" a="1"/>
  <c r="H1620" i="3" a="1"/>
  <c r="H1621" i="3" a="1"/>
  <c r="H1622" i="3" a="1"/>
  <c r="H1623" i="3" a="1"/>
  <c r="H1624" i="3" a="1"/>
  <c r="H1625" i="3" a="1"/>
  <c r="H1626" i="3" a="1"/>
  <c r="H1627" i="3" a="1"/>
  <c r="H1628" i="3" a="1"/>
  <c r="H1629" i="3" a="1"/>
  <c r="H1630" i="3" a="1"/>
  <c r="H1631" i="3" a="1"/>
  <c r="H1632" i="3" a="1"/>
  <c r="H1633" i="3" a="1"/>
  <c r="H1634" i="3" a="1"/>
  <c r="H1635" i="3" a="1"/>
  <c r="H1636" i="3" a="1"/>
  <c r="H1637" i="3" a="1"/>
  <c r="H1638" i="3" a="1"/>
  <c r="H1639" i="3" a="1"/>
  <c r="H1640" i="3" a="1"/>
  <c r="H1641" i="3" a="1"/>
  <c r="H1642" i="3" a="1"/>
  <c r="H1643" i="3" a="1"/>
  <c r="H1644" i="3" a="1"/>
  <c r="H1645" i="3" a="1"/>
  <c r="H1646" i="3" a="1"/>
  <c r="H1647" i="3" a="1"/>
  <c r="H1648" i="3" a="1"/>
  <c r="H1649" i="3" a="1"/>
  <c r="H1650" i="3" a="1"/>
  <c r="H1651" i="3" a="1"/>
  <c r="H1652" i="3" a="1"/>
  <c r="H1653" i="3" a="1"/>
  <c r="H1654" i="3" a="1"/>
  <c r="H1655" i="3" a="1"/>
  <c r="H1656" i="3" a="1"/>
  <c r="H1657" i="3" a="1"/>
  <c r="H1658" i="3" a="1"/>
  <c r="H1659" i="3" a="1"/>
  <c r="H1660" i="3" a="1"/>
  <c r="H1661" i="3" a="1"/>
  <c r="H1662" i="3" a="1"/>
  <c r="H1663" i="3" a="1"/>
  <c r="H1664" i="3" a="1"/>
  <c r="H1665" i="3" a="1"/>
  <c r="H1666" i="3" a="1"/>
  <c r="H1667" i="3" a="1"/>
  <c r="H1668" i="3" a="1"/>
  <c r="H1669" i="3" a="1"/>
  <c r="H1670" i="3" a="1"/>
  <c r="H1671" i="3" a="1"/>
  <c r="H1672" i="3" a="1"/>
  <c r="H1673" i="3" a="1"/>
  <c r="H1674" i="3" a="1"/>
  <c r="H1675" i="3" a="1"/>
  <c r="H1676" i="3" a="1"/>
  <c r="H1677" i="3" a="1"/>
  <c r="H1678" i="3" a="1"/>
  <c r="H1679" i="3" a="1"/>
  <c r="H1680" i="3" a="1"/>
  <c r="H1681" i="3" a="1"/>
  <c r="H1682" i="3" a="1"/>
  <c r="H1683" i="3" a="1"/>
  <c r="H1684" i="3" a="1"/>
  <c r="H1685" i="3" a="1"/>
  <c r="H1686" i="3" a="1"/>
  <c r="H1687" i="3" a="1"/>
  <c r="H1688" i="3" a="1"/>
  <c r="H1689" i="3" a="1"/>
  <c r="H1690" i="3" a="1"/>
  <c r="H1691" i="3" a="1"/>
  <c r="H1692" i="3" a="1"/>
  <c r="H1693" i="3" a="1"/>
  <c r="H1694" i="3" a="1"/>
  <c r="H1695" i="3" a="1"/>
  <c r="H1696" i="3" a="1"/>
  <c r="H1697" i="3" a="1"/>
  <c r="H1698" i="3" a="1"/>
  <c r="H1699" i="3" a="1"/>
  <c r="H1700" i="3" a="1"/>
  <c r="H1701" i="3" a="1"/>
  <c r="H1702" i="3" a="1"/>
  <c r="H1703" i="3" a="1"/>
  <c r="H1704" i="3" a="1"/>
  <c r="H1705" i="3" a="1"/>
  <c r="H1706" i="3" a="1"/>
  <c r="H1707" i="3" a="1"/>
  <c r="H1708" i="3" a="1"/>
  <c r="H1709" i="3" a="1"/>
  <c r="H1710" i="3" a="1"/>
  <c r="H1711" i="3" a="1"/>
  <c r="H1712" i="3" a="1"/>
  <c r="H1713" i="3" a="1"/>
  <c r="H1714" i="3" a="1"/>
  <c r="H1715" i="3" a="1"/>
  <c r="H1716" i="3" a="1"/>
  <c r="H1717" i="3" a="1"/>
  <c r="H1718" i="3" a="1"/>
  <c r="H1719" i="3" a="1"/>
  <c r="H1720" i="3" a="1"/>
  <c r="H1721" i="3" a="1"/>
  <c r="H1722" i="3" a="1"/>
  <c r="H1723" i="3" a="1"/>
  <c r="H1724" i="3" a="1"/>
  <c r="H1725" i="3" a="1"/>
  <c r="H1726" i="3" a="1"/>
  <c r="H1727" i="3" a="1"/>
  <c r="H1728" i="3" a="1"/>
  <c r="H1729" i="3" a="1"/>
  <c r="H1730" i="3" a="1"/>
  <c r="H1731" i="3" a="1"/>
  <c r="H1732" i="3" a="1"/>
  <c r="H1733" i="3" a="1"/>
  <c r="H1734" i="3" a="1"/>
  <c r="H1735" i="3" a="1"/>
  <c r="H1736" i="3" a="1"/>
  <c r="H1737" i="3" a="1"/>
  <c r="H1738" i="3" a="1"/>
  <c r="H1739" i="3" a="1"/>
  <c r="H1740" i="3" a="1"/>
  <c r="H1741" i="3" a="1"/>
  <c r="H1742" i="3" a="1"/>
  <c r="H1743" i="3" a="1"/>
  <c r="H1744" i="3" a="1"/>
  <c r="H1745" i="3" a="1"/>
  <c r="H1746" i="3" a="1"/>
  <c r="H1747" i="3" a="1"/>
  <c r="H1748" i="3" a="1"/>
  <c r="H1749" i="3" a="1"/>
  <c r="H1750" i="3" a="1"/>
  <c r="H1751" i="3" a="1"/>
  <c r="H1752" i="3" a="1"/>
  <c r="H1753" i="3" a="1"/>
  <c r="H1754" i="3" a="1"/>
  <c r="H1755" i="3" a="1"/>
  <c r="H1756" i="3" a="1"/>
  <c r="H1757" i="3" a="1"/>
  <c r="H1758" i="3" a="1"/>
  <c r="H1759" i="3" a="1"/>
  <c r="H1760" i="3" a="1"/>
  <c r="H1761" i="3" a="1"/>
  <c r="H1762" i="3" a="1"/>
  <c r="H1763" i="3" a="1"/>
  <c r="H1764" i="3" a="1"/>
  <c r="H1765" i="3" a="1"/>
  <c r="H1766" i="3" a="1"/>
  <c r="H1767" i="3" a="1"/>
  <c r="H1768" i="3" a="1"/>
  <c r="H1769" i="3" a="1"/>
  <c r="H1770" i="3" a="1"/>
  <c r="H1771" i="3" a="1"/>
  <c r="H1772" i="3" a="1"/>
  <c r="H1773" i="3" a="1"/>
  <c r="H1774" i="3" a="1"/>
  <c r="H1775" i="3" a="1"/>
  <c r="H1776" i="3" a="1"/>
  <c r="H1777" i="3" a="1"/>
  <c r="H1778" i="3" a="1"/>
  <c r="H1779" i="3" a="1"/>
  <c r="H1780" i="3" a="1"/>
  <c r="H1781" i="3" a="1"/>
  <c r="H1782" i="3" a="1"/>
  <c r="H1783" i="3" a="1"/>
  <c r="H1784" i="3" a="1"/>
  <c r="H1785" i="3" a="1"/>
  <c r="H1786" i="3" a="1"/>
  <c r="H1787" i="3" a="1"/>
  <c r="H1788" i="3" a="1"/>
  <c r="H1789" i="3" a="1"/>
  <c r="H1790" i="3" a="1"/>
  <c r="H1791" i="3" a="1"/>
  <c r="H1792" i="3" a="1"/>
  <c r="H1793" i="3" a="1"/>
  <c r="H1794" i="3" a="1"/>
  <c r="H1795" i="3" a="1"/>
  <c r="H1796" i="3" a="1"/>
  <c r="H1797" i="3" a="1"/>
  <c r="H1798" i="3" a="1"/>
  <c r="H1799" i="3" a="1"/>
  <c r="H1800" i="3" a="1"/>
  <c r="H1801" i="3" a="1"/>
  <c r="H1802" i="3" a="1"/>
  <c r="H1803" i="3" a="1"/>
  <c r="H1804" i="3" a="1"/>
  <c r="H1805" i="3" a="1"/>
  <c r="H1806" i="3" a="1"/>
  <c r="H1807" i="3" a="1"/>
  <c r="H1808" i="3" a="1"/>
  <c r="H1809" i="3" a="1"/>
  <c r="H1810" i="3" a="1"/>
  <c r="H1811" i="3" a="1"/>
  <c r="H1812" i="3" a="1"/>
  <c r="H1813" i="3" a="1"/>
  <c r="H1814" i="3" a="1"/>
  <c r="H1815" i="3" a="1"/>
  <c r="H1816" i="3" a="1"/>
  <c r="H1817" i="3" a="1"/>
  <c r="H1818" i="3" a="1"/>
  <c r="H1819" i="3" a="1"/>
  <c r="H1820" i="3" a="1"/>
  <c r="H1821" i="3" a="1"/>
  <c r="H1822" i="3" a="1"/>
  <c r="H1823" i="3" a="1"/>
  <c r="H1824" i="3" a="1"/>
  <c r="H1825" i="3" a="1"/>
  <c r="H1826" i="3" a="1"/>
  <c r="H1827" i="3" a="1"/>
  <c r="H1828" i="3" a="1"/>
  <c r="H1829" i="3" a="1"/>
  <c r="H1830" i="3" a="1"/>
  <c r="H1831" i="3" a="1"/>
  <c r="H1832" i="3" a="1"/>
  <c r="H1833" i="3" a="1"/>
  <c r="H1834" i="3" a="1"/>
  <c r="H1835" i="3" a="1"/>
  <c r="H1836" i="3" a="1"/>
  <c r="H1837" i="3" a="1"/>
  <c r="H1838" i="3" a="1"/>
  <c r="H1839" i="3" a="1"/>
  <c r="H1840" i="3" a="1"/>
  <c r="H1841" i="3" a="1"/>
  <c r="H1842" i="3" a="1"/>
  <c r="H1843" i="3" a="1"/>
  <c r="H1844" i="3" a="1"/>
  <c r="H1845" i="3" a="1"/>
  <c r="H1846" i="3" a="1"/>
  <c r="H1847" i="3" a="1"/>
  <c r="H1848" i="3" a="1"/>
  <c r="H1849" i="3" a="1"/>
  <c r="H1850" i="3" a="1"/>
  <c r="H1851" i="3" a="1"/>
  <c r="H1852" i="3" a="1"/>
  <c r="H1853" i="3" a="1"/>
  <c r="H1854" i="3" a="1"/>
  <c r="H1855" i="3" a="1"/>
  <c r="H1856" i="3" a="1"/>
  <c r="H1857" i="3" a="1"/>
  <c r="H1858" i="3" a="1"/>
  <c r="H1859" i="3" a="1"/>
  <c r="H1860" i="3" a="1"/>
  <c r="H1861" i="3" a="1"/>
  <c r="H1862" i="3" a="1"/>
  <c r="H1863" i="3" a="1"/>
  <c r="H1864" i="3" a="1"/>
  <c r="H1865" i="3" a="1"/>
  <c r="H1866" i="3" a="1"/>
  <c r="H1867" i="3" a="1"/>
  <c r="H1868" i="3" a="1"/>
  <c r="H1869" i="3" a="1"/>
  <c r="H1870" i="3" a="1"/>
  <c r="H1871" i="3" a="1"/>
  <c r="H1872" i="3" a="1"/>
  <c r="H1873" i="3" a="1"/>
  <c r="H1874" i="3" a="1"/>
  <c r="H1875" i="3" a="1"/>
  <c r="H1876" i="3" a="1"/>
  <c r="H1877" i="3" a="1"/>
  <c r="H1878" i="3" a="1"/>
  <c r="H1879" i="3" a="1"/>
  <c r="H1880" i="3" a="1"/>
  <c r="H1881" i="3" a="1"/>
  <c r="H1882" i="3" a="1"/>
  <c r="H1883" i="3" a="1"/>
  <c r="H1884" i="3" a="1"/>
  <c r="H1885" i="3" a="1"/>
  <c r="H1886" i="3" a="1"/>
  <c r="H1887" i="3" a="1"/>
  <c r="H1888" i="3" a="1"/>
  <c r="H1889" i="3" a="1"/>
  <c r="H1890" i="3" a="1"/>
  <c r="H1891" i="3" a="1"/>
  <c r="H1892" i="3" a="1"/>
  <c r="H1893" i="3" a="1"/>
  <c r="H1894" i="3" a="1"/>
  <c r="H1895" i="3" a="1"/>
  <c r="H1896" i="3" a="1"/>
  <c r="H1897" i="3" a="1"/>
  <c r="H1898" i="3" a="1"/>
  <c r="H1899" i="3" a="1"/>
  <c r="H1900" i="3" a="1"/>
  <c r="H1901" i="3" a="1"/>
  <c r="H1902" i="3" a="1"/>
  <c r="H1903" i="3" a="1"/>
  <c r="H1904" i="3" a="1"/>
  <c r="H1905" i="3" a="1"/>
  <c r="H1906" i="3" a="1"/>
  <c r="H1907" i="3" a="1"/>
  <c r="H1908" i="3" a="1"/>
  <c r="H1909" i="3" a="1"/>
  <c r="H1910" i="3" a="1"/>
  <c r="H1911" i="3" a="1"/>
  <c r="H1912" i="3" a="1"/>
  <c r="H1913" i="3" a="1"/>
  <c r="H1914" i="3" a="1"/>
  <c r="H1915" i="3" a="1"/>
  <c r="H1916" i="3" a="1"/>
  <c r="H1917" i="3" a="1"/>
  <c r="H1918" i="3" a="1"/>
  <c r="H1919" i="3" a="1"/>
  <c r="H1920" i="3" a="1"/>
  <c r="H1921" i="3" a="1"/>
  <c r="H1922" i="3" a="1"/>
  <c r="H1923" i="3" a="1"/>
  <c r="H1924" i="3" a="1"/>
  <c r="H1925" i="3" a="1"/>
  <c r="H1926" i="3" a="1"/>
  <c r="H1927" i="3" a="1"/>
  <c r="H1928" i="3" a="1"/>
  <c r="H1929" i="3" a="1"/>
  <c r="H1930" i="3" a="1"/>
  <c r="H1931" i="3" a="1"/>
  <c r="H1932" i="3" a="1"/>
  <c r="H1933" i="3" a="1"/>
  <c r="H1934" i="3" a="1"/>
  <c r="H1935" i="3" a="1"/>
  <c r="H1936" i="3" a="1"/>
  <c r="H1937" i="3" a="1"/>
  <c r="H1938" i="3" a="1"/>
  <c r="H1939" i="3" a="1"/>
  <c r="H1940" i="3" a="1"/>
  <c r="H1941" i="3" a="1"/>
  <c r="H1942" i="3" a="1"/>
  <c r="H1943" i="3" a="1"/>
  <c r="H1944" i="3" a="1"/>
  <c r="H1945" i="3" a="1"/>
  <c r="H1946" i="3" a="1"/>
  <c r="H1947" i="3" a="1"/>
  <c r="H1948" i="3" a="1"/>
  <c r="H1949" i="3" a="1"/>
  <c r="H1950" i="3" a="1"/>
  <c r="H1951" i="3" a="1"/>
  <c r="H1952" i="3" a="1"/>
  <c r="H1953" i="3" a="1"/>
  <c r="H1954" i="3" a="1"/>
  <c r="H1955" i="3" a="1"/>
  <c r="H1956" i="3" a="1"/>
  <c r="H1957" i="3" a="1"/>
  <c r="H1958" i="3" a="1"/>
  <c r="H1959" i="3" a="1"/>
  <c r="H1960" i="3" a="1"/>
  <c r="H1961" i="3" a="1"/>
  <c r="H1962" i="3" a="1"/>
  <c r="H1963" i="3" a="1"/>
  <c r="H1964" i="3" a="1"/>
  <c r="H1965" i="3" a="1"/>
  <c r="H1966" i="3" a="1"/>
  <c r="H1967" i="3" a="1"/>
  <c r="H1968" i="3" a="1"/>
  <c r="H1969" i="3" a="1"/>
  <c r="H1970" i="3" a="1"/>
  <c r="H1971" i="3" a="1"/>
  <c r="H1972" i="3" a="1"/>
  <c r="H1973" i="3" a="1"/>
  <c r="H1974" i="3" a="1"/>
  <c r="H1975" i="3" a="1"/>
  <c r="H1976" i="3" a="1"/>
  <c r="H1977" i="3" a="1"/>
  <c r="H1978" i="3" a="1"/>
  <c r="H1979" i="3" a="1"/>
  <c r="H1980" i="3" a="1"/>
  <c r="H1981" i="3" a="1"/>
  <c r="H1982" i="3" a="1"/>
  <c r="H1983" i="3" a="1"/>
  <c r="H1984" i="3" a="1"/>
  <c r="H1985" i="3" a="1"/>
  <c r="H1986" i="3" a="1"/>
  <c r="H1987" i="3" a="1"/>
  <c r="H1988" i="3" a="1"/>
  <c r="H1989" i="3" a="1"/>
  <c r="H1990" i="3" a="1"/>
  <c r="H1991" i="3" a="1"/>
  <c r="H1992" i="3" a="1"/>
  <c r="H1993" i="3" a="1"/>
  <c r="H1994" i="3" a="1"/>
  <c r="H1995" i="3" a="1"/>
  <c r="H1996" i="3" a="1"/>
  <c r="H1997" i="3" a="1"/>
  <c r="H1998" i="3" a="1"/>
  <c r="H1999" i="3" a="1"/>
  <c r="H2000" i="3" a="1"/>
  <c r="H2001" i="3" a="1"/>
  <c r="H2002" i="3" a="1"/>
  <c r="H2003" i="3" a="1"/>
  <c r="H2004" i="3" a="1"/>
  <c r="H2005" i="3" a="1"/>
  <c r="H2006" i="3" a="1"/>
  <c r="H2007" i="3" a="1"/>
  <c r="H2008" i="3" a="1"/>
  <c r="H2009" i="3" a="1"/>
  <c r="H2010" i="3" a="1"/>
  <c r="H2011" i="3" a="1"/>
  <c r="H2012" i="3" a="1"/>
  <c r="H2013" i="3" a="1"/>
  <c r="H2014" i="3" a="1"/>
  <c r="H2015" i="3" a="1"/>
  <c r="H2016" i="3" a="1"/>
  <c r="H2017" i="3" a="1"/>
  <c r="H2018" i="3" a="1"/>
  <c r="H2019" i="3" a="1"/>
  <c r="H2020" i="3" a="1"/>
  <c r="H2021" i="3" a="1"/>
  <c r="H2022" i="3" a="1"/>
  <c r="H2023" i="3" a="1"/>
  <c r="H2024" i="3" a="1"/>
  <c r="H2025" i="3" a="1"/>
  <c r="H2026" i="3" a="1"/>
  <c r="H2027" i="3" a="1"/>
  <c r="H2028" i="3" a="1"/>
  <c r="H2029" i="3" a="1"/>
  <c r="H2030" i="3" a="1"/>
  <c r="H2031" i="3" a="1"/>
  <c r="H2032" i="3" a="1"/>
  <c r="H2033" i="3" a="1"/>
  <c r="H2034" i="3" a="1"/>
  <c r="H2035" i="3" a="1"/>
  <c r="H2036" i="3" a="1"/>
  <c r="H2037" i="3" a="1"/>
  <c r="H2038" i="3" a="1"/>
  <c r="H2039" i="3" a="1"/>
  <c r="H2040" i="3" a="1"/>
  <c r="H2041" i="3" a="1"/>
  <c r="H2042" i="3" a="1"/>
  <c r="H2043" i="3" a="1"/>
  <c r="H2044" i="3" a="1"/>
  <c r="H2045" i="3" a="1"/>
  <c r="H2046" i="3" a="1"/>
  <c r="H2047" i="3" a="1"/>
  <c r="H2048" i="3" a="1"/>
  <c r="H2049" i="3" a="1"/>
  <c r="H2050" i="3" a="1"/>
  <c r="H2051" i="3" a="1"/>
  <c r="H2052" i="3" a="1"/>
  <c r="H2053" i="3" a="1"/>
  <c r="H2054" i="3" a="1"/>
  <c r="H2055" i="3" a="1"/>
  <c r="H2056" i="3" a="1"/>
  <c r="H2057" i="3" a="1"/>
  <c r="H2058" i="3" a="1"/>
  <c r="H2059" i="3" a="1"/>
  <c r="H2060" i="3" a="1"/>
  <c r="H2061" i="3" a="1"/>
  <c r="H2062" i="3" a="1"/>
  <c r="H2063" i="3" a="1"/>
  <c r="H2064" i="3" a="1"/>
  <c r="H2065" i="3" a="1"/>
  <c r="H2066" i="3" a="1"/>
  <c r="H2067" i="3" a="1"/>
  <c r="H2068" i="3" a="1"/>
  <c r="H2069" i="3" a="1"/>
  <c r="H2070" i="3" a="1"/>
  <c r="H2071" i="3" a="1"/>
  <c r="H2072" i="3" a="1"/>
  <c r="H2073" i="3" a="1"/>
  <c r="H2074" i="3" a="1"/>
  <c r="H2075" i="3" a="1"/>
  <c r="H2076" i="3" a="1"/>
  <c r="H2077" i="3" a="1"/>
  <c r="H2078" i="3" a="1"/>
  <c r="H2079" i="3" a="1"/>
  <c r="H2080" i="3" a="1"/>
  <c r="H2081" i="3" a="1"/>
  <c r="H2082" i="3" a="1"/>
  <c r="H2083" i="3" a="1"/>
  <c r="H2084" i="3" a="1"/>
  <c r="H2085" i="3" a="1"/>
  <c r="H2086" i="3" a="1"/>
  <c r="H2087" i="3" a="1"/>
  <c r="H2088" i="3" a="1"/>
  <c r="H2089" i="3" a="1"/>
  <c r="H2090" i="3" a="1"/>
  <c r="H2091" i="3" a="1"/>
  <c r="H2092" i="3" a="1"/>
  <c r="H2093" i="3" a="1"/>
  <c r="H2094" i="3" a="1"/>
  <c r="H2095" i="3" a="1"/>
  <c r="H2096" i="3" a="1"/>
  <c r="H2097" i="3" a="1"/>
  <c r="H2098" i="3" a="1"/>
  <c r="H2099" i="3" a="1"/>
  <c r="H2100" i="3" a="1"/>
  <c r="H2101" i="3" a="1"/>
  <c r="H2102" i="3" a="1"/>
  <c r="H2103" i="3" a="1"/>
  <c r="H2104" i="3" a="1"/>
  <c r="H2105" i="3" a="1"/>
  <c r="H2106" i="3" a="1"/>
  <c r="H2107" i="3" a="1"/>
  <c r="H2108" i="3" a="1"/>
  <c r="H2109" i="3" a="1"/>
  <c r="H2110" i="3" a="1"/>
  <c r="H2111" i="3" a="1"/>
  <c r="H2112" i="3" a="1"/>
  <c r="H2113" i="3" a="1"/>
  <c r="H2114" i="3" a="1"/>
  <c r="H2115" i="3" a="1"/>
  <c r="H2116" i="3" a="1"/>
  <c r="H2117" i="3" a="1"/>
  <c r="H2118" i="3" a="1"/>
  <c r="H2119" i="3" a="1"/>
  <c r="H2120" i="3" a="1"/>
  <c r="H2121" i="3" a="1"/>
  <c r="H2122" i="3" a="1"/>
  <c r="H2123" i="3" a="1"/>
  <c r="H2124" i="3" a="1"/>
  <c r="H2125" i="3" a="1"/>
  <c r="H2126" i="3" a="1"/>
  <c r="H2127" i="3" a="1"/>
  <c r="H2128" i="3" a="1"/>
  <c r="H2129" i="3" a="1"/>
  <c r="H2130" i="3" a="1"/>
  <c r="H2131" i="3" a="1"/>
  <c r="H2132" i="3" a="1"/>
  <c r="H2133" i="3" a="1"/>
  <c r="H2134" i="3" a="1"/>
  <c r="H2135" i="3" a="1"/>
  <c r="H2136" i="3" a="1"/>
  <c r="H2137" i="3" a="1"/>
  <c r="H2138" i="3" a="1"/>
  <c r="H2139" i="3" a="1"/>
  <c r="H2140" i="3" a="1"/>
  <c r="H2141" i="3" a="1"/>
  <c r="H2142" i="3" a="1"/>
  <c r="H2143" i="3" a="1"/>
  <c r="H2144" i="3" a="1"/>
  <c r="H2145" i="3" a="1"/>
  <c r="H2146" i="3" a="1"/>
  <c r="H2147" i="3" a="1"/>
  <c r="H2148" i="3" a="1"/>
  <c r="H2149" i="3" a="1"/>
  <c r="H2150" i="3" a="1"/>
  <c r="H2151" i="3" a="1"/>
  <c r="H2152" i="3" a="1"/>
  <c r="H2153" i="3" a="1"/>
  <c r="H2154" i="3" a="1"/>
  <c r="H2155" i="3" a="1"/>
  <c r="H2156" i="3" a="1"/>
  <c r="H2157" i="3" a="1"/>
  <c r="H2158" i="3" a="1"/>
  <c r="H2159" i="3" a="1"/>
  <c r="H2160" i="3" a="1"/>
  <c r="H2161" i="3" a="1"/>
  <c r="H2162" i="3" a="1"/>
  <c r="H2163" i="3" a="1"/>
  <c r="H2164" i="3" a="1"/>
  <c r="H2165" i="3" a="1"/>
  <c r="H2166" i="3" a="1"/>
  <c r="H2167" i="3" a="1"/>
  <c r="H2168" i="3" a="1"/>
  <c r="H2169" i="3" a="1"/>
  <c r="H2170" i="3" a="1"/>
  <c r="H2171" i="3" a="1"/>
  <c r="H2172" i="3" a="1"/>
  <c r="H2173" i="3" a="1"/>
  <c r="H2174" i="3" a="1"/>
  <c r="H2175" i="3" a="1"/>
  <c r="H2176" i="3" a="1"/>
  <c r="H2177" i="3" a="1"/>
  <c r="H2178" i="3" a="1"/>
  <c r="H2179" i="3" a="1"/>
  <c r="H2180" i="3" a="1"/>
  <c r="H2181" i="3" a="1"/>
  <c r="H2182" i="3" a="1"/>
  <c r="H2183" i="3" a="1"/>
  <c r="H2184" i="3" a="1"/>
  <c r="H2185" i="3" a="1"/>
  <c r="H2186" i="3" a="1"/>
  <c r="H2187" i="3" a="1"/>
  <c r="H2188" i="3" a="1"/>
  <c r="H2189" i="3" a="1"/>
  <c r="H2190" i="3" a="1"/>
  <c r="H2191" i="3" a="1"/>
  <c r="H2192" i="3" a="1"/>
  <c r="H2193" i="3" a="1"/>
  <c r="H2194" i="3" a="1"/>
  <c r="H2195" i="3" a="1"/>
  <c r="H2196" i="3" a="1"/>
  <c r="H2197" i="3" a="1"/>
  <c r="H2198" i="3" a="1"/>
  <c r="H2199" i="3" a="1"/>
  <c r="H2200" i="3" a="1"/>
  <c r="H2201" i="3" a="1"/>
  <c r="H2202" i="3" a="1"/>
  <c r="H2203" i="3" a="1"/>
  <c r="H2204" i="3" a="1"/>
  <c r="H2205" i="3" a="1"/>
  <c r="H2206" i="3" a="1"/>
  <c r="H2207" i="3" a="1"/>
  <c r="H2208" i="3" a="1"/>
  <c r="H2209" i="3" a="1"/>
  <c r="H2210" i="3" a="1"/>
  <c r="H2211" i="3" a="1"/>
  <c r="H2212" i="3" a="1"/>
  <c r="H2213" i="3" a="1"/>
  <c r="H2214" i="3" a="1"/>
  <c r="H2215" i="3" a="1"/>
  <c r="H2216" i="3" a="1"/>
  <c r="H2217" i="3" a="1"/>
  <c r="H2218" i="3" a="1"/>
  <c r="H2219" i="3" a="1"/>
  <c r="H2220" i="3" a="1"/>
  <c r="H2221" i="3" a="1"/>
  <c r="H2222" i="3" a="1"/>
  <c r="H2223" i="3" a="1"/>
  <c r="H2224" i="3" a="1"/>
  <c r="H2225" i="3" a="1"/>
  <c r="H2226" i="3" a="1"/>
  <c r="H2227" i="3" a="1"/>
  <c r="H2228" i="3" a="1"/>
  <c r="H2229" i="3" a="1"/>
  <c r="H2230" i="3" a="1"/>
  <c r="H2231" i="3" a="1"/>
  <c r="H2232" i="3" a="1"/>
  <c r="H2233" i="3" a="1"/>
  <c r="H2234" i="3" a="1"/>
  <c r="H2235" i="3" a="1"/>
  <c r="H2236" i="3" a="1"/>
  <c r="H2237" i="3" a="1"/>
  <c r="H2238" i="3" a="1"/>
  <c r="H2239" i="3" a="1"/>
  <c r="H2240" i="3" a="1"/>
  <c r="H2241" i="3" a="1"/>
  <c r="H2242" i="3" a="1"/>
  <c r="H2243" i="3" a="1"/>
  <c r="H2244" i="3" a="1"/>
  <c r="H2245" i="3" a="1"/>
  <c r="H2246" i="3" a="1"/>
  <c r="H2247" i="3" a="1"/>
  <c r="H2248" i="3" a="1"/>
  <c r="H2249" i="3" a="1"/>
  <c r="H2250" i="3" a="1"/>
  <c r="H2251" i="3" a="1"/>
  <c r="H2252" i="3" a="1"/>
  <c r="H2253" i="3" a="1"/>
  <c r="H2254" i="3" a="1"/>
  <c r="H2255" i="3" a="1"/>
  <c r="H2256" i="3" a="1"/>
  <c r="H2257" i="3" a="1"/>
  <c r="H2258" i="3" a="1"/>
  <c r="H2259" i="3" a="1"/>
  <c r="H2260" i="3" a="1"/>
  <c r="H2261" i="3" a="1"/>
  <c r="H2262" i="3" a="1"/>
  <c r="H2263" i="3" a="1"/>
  <c r="H2264" i="3" a="1"/>
  <c r="H2265" i="3" a="1"/>
  <c r="H2266" i="3" a="1"/>
  <c r="H2267" i="3" a="1"/>
  <c r="H2268" i="3" a="1"/>
  <c r="H2269" i="3" a="1"/>
  <c r="H2270" i="3" a="1"/>
  <c r="H2271" i="3" a="1"/>
  <c r="H2272" i="3" a="1"/>
  <c r="H2273" i="3" a="1"/>
  <c r="H2274" i="3" a="1"/>
  <c r="H2275" i="3" a="1"/>
  <c r="H2276" i="3" a="1"/>
  <c r="H2277" i="3" a="1"/>
  <c r="H2278" i="3" a="1"/>
  <c r="H2279" i="3" a="1"/>
  <c r="H2280" i="3" a="1"/>
  <c r="H2281" i="3" a="1"/>
  <c r="H2282" i="3" a="1"/>
  <c r="H2283" i="3" a="1"/>
  <c r="H2284" i="3" a="1"/>
  <c r="H2285" i="3" a="1"/>
  <c r="H2286" i="3" a="1"/>
  <c r="H2287" i="3" a="1"/>
  <c r="H2288" i="3" a="1"/>
  <c r="H2289" i="3" a="1"/>
  <c r="H2290" i="3" a="1"/>
  <c r="H2291" i="3" a="1"/>
  <c r="H2292" i="3" a="1"/>
  <c r="H2293" i="3" a="1"/>
  <c r="H2294" i="3" a="1"/>
  <c r="H2295" i="3" a="1"/>
  <c r="H2296" i="3" a="1"/>
  <c r="H2297" i="3" a="1"/>
  <c r="H2298" i="3" a="1"/>
  <c r="H2299" i="3" a="1"/>
  <c r="H2300" i="3" a="1"/>
  <c r="H2301" i="3" a="1"/>
  <c r="H2302" i="3" a="1"/>
  <c r="H2303" i="3" a="1"/>
  <c r="H2304" i="3" a="1"/>
  <c r="H2305" i="3" a="1"/>
  <c r="H2306" i="3" a="1"/>
  <c r="H2307" i="3" a="1"/>
  <c r="H2308" i="3" a="1"/>
  <c r="H2309" i="3" a="1"/>
  <c r="H2310" i="3" a="1"/>
  <c r="H2311" i="3" a="1"/>
  <c r="H2312" i="3" a="1"/>
  <c r="H2313" i="3" a="1"/>
  <c r="H2314" i="3" a="1"/>
  <c r="H2315" i="3" a="1"/>
  <c r="H2316" i="3" a="1"/>
  <c r="H2317" i="3" a="1"/>
  <c r="H2318" i="3" a="1"/>
  <c r="H2319" i="3" a="1"/>
  <c r="H2320" i="3" a="1"/>
  <c r="H2321" i="3" a="1"/>
  <c r="H2322" i="3" a="1"/>
  <c r="H2323" i="3" a="1"/>
  <c r="H2324" i="3" a="1"/>
  <c r="H2325" i="3" a="1"/>
  <c r="H2326" i="3" a="1"/>
  <c r="H2327" i="3" a="1"/>
  <c r="H2328" i="3" a="1"/>
  <c r="H2329" i="3" a="1"/>
  <c r="H2330" i="3" a="1"/>
  <c r="H2331" i="3" a="1"/>
  <c r="H2332" i="3" a="1"/>
  <c r="H2333" i="3" a="1"/>
  <c r="H2334" i="3" a="1"/>
  <c r="H2335" i="3" a="1"/>
  <c r="H2336" i="3" a="1"/>
  <c r="H2337" i="3" a="1"/>
  <c r="H2338" i="3" a="1"/>
  <c r="H2339" i="3" a="1"/>
  <c r="H2340" i="3" a="1"/>
  <c r="H2341" i="3" a="1"/>
  <c r="H2342" i="3" a="1"/>
  <c r="H2343" i="3" a="1"/>
  <c r="H2344" i="3" a="1"/>
  <c r="H2345" i="3" a="1"/>
  <c r="H2346" i="3" a="1"/>
  <c r="H2347" i="3" a="1"/>
  <c r="H2348" i="3" a="1"/>
  <c r="H2349" i="3" a="1"/>
  <c r="H2350" i="3" a="1"/>
  <c r="H2351" i="3" a="1"/>
  <c r="H2352" i="3" a="1"/>
  <c r="H2353" i="3" a="1"/>
  <c r="H2354" i="3" a="1"/>
  <c r="H2355" i="3" a="1"/>
  <c r="H2356" i="3" a="1"/>
  <c r="H2357" i="3" a="1"/>
  <c r="H2358" i="3" a="1"/>
  <c r="H2359" i="3" a="1"/>
  <c r="H2360" i="3" a="1"/>
  <c r="H2361" i="3" a="1"/>
  <c r="H2362" i="3" a="1"/>
  <c r="H2363" i="3" a="1"/>
  <c r="H2364" i="3" a="1"/>
  <c r="H2365" i="3" a="1"/>
  <c r="H2366" i="3" a="1"/>
  <c r="H2367" i="3" a="1"/>
  <c r="H2368" i="3" a="1"/>
  <c r="H2369" i="3" a="1"/>
  <c r="H2370" i="3" a="1"/>
  <c r="H2371" i="3" a="1"/>
  <c r="H2372" i="3" a="1"/>
  <c r="H2373" i="3" a="1"/>
  <c r="H2374" i="3" a="1"/>
  <c r="H2375" i="3" a="1"/>
  <c r="H2376" i="3" a="1"/>
  <c r="H2377" i="3" a="1"/>
  <c r="H2378" i="3" a="1"/>
  <c r="H2379" i="3" a="1"/>
  <c r="H2380" i="3" a="1"/>
  <c r="H2381" i="3" a="1"/>
  <c r="H2382" i="3" a="1"/>
  <c r="H2383" i="3" a="1"/>
  <c r="H2384" i="3" a="1"/>
  <c r="H2385" i="3" a="1"/>
  <c r="H2386" i="3" a="1"/>
  <c r="H2387" i="3" a="1"/>
  <c r="H2388" i="3" a="1"/>
  <c r="H2389" i="3" a="1"/>
  <c r="H2390" i="3" a="1"/>
  <c r="H2391" i="3" a="1"/>
  <c r="H2392" i="3" a="1"/>
  <c r="H2393" i="3" a="1"/>
  <c r="H2394" i="3" a="1"/>
  <c r="H2395" i="3" a="1"/>
  <c r="H2396" i="3" a="1"/>
  <c r="H2397" i="3" a="1"/>
  <c r="H2398" i="3" a="1"/>
  <c r="H2399" i="3" a="1"/>
  <c r="H2400" i="3" a="1"/>
  <c r="H2401" i="3" a="1"/>
  <c r="H2402" i="3" a="1"/>
  <c r="H2403" i="3" a="1"/>
  <c r="H2404" i="3" a="1"/>
  <c r="H2405" i="3" a="1"/>
  <c r="H2406" i="3" a="1"/>
  <c r="H2407" i="3" a="1"/>
  <c r="H2408" i="3" a="1"/>
  <c r="H2409" i="3" a="1"/>
  <c r="H2410" i="3" a="1"/>
  <c r="H2411" i="3" a="1"/>
  <c r="H2412" i="3" a="1"/>
  <c r="H2413" i="3" a="1"/>
  <c r="H2414" i="3" a="1"/>
  <c r="H2415" i="3" a="1"/>
  <c r="H2416" i="3" a="1"/>
  <c r="H2417" i="3" a="1"/>
  <c r="H2418" i="3" a="1"/>
  <c r="H2419" i="3" a="1"/>
  <c r="H2420" i="3" a="1"/>
  <c r="H2421" i="3" a="1"/>
  <c r="H2422" i="3" a="1"/>
  <c r="H2423" i="3" a="1"/>
  <c r="H2424" i="3" a="1"/>
  <c r="H2425" i="3" a="1"/>
  <c r="H2426" i="3" a="1"/>
  <c r="H2427" i="3" a="1"/>
  <c r="H2428" i="3" a="1"/>
  <c r="H2429" i="3" a="1"/>
  <c r="H2430" i="3" a="1"/>
  <c r="H2431" i="3" a="1"/>
  <c r="H2432" i="3" a="1"/>
  <c r="H2433" i="3" a="1"/>
  <c r="H2434" i="3" a="1"/>
  <c r="H2435" i="3" a="1"/>
  <c r="H2436" i="3" a="1"/>
  <c r="H2437" i="3" a="1"/>
  <c r="H2438" i="3" a="1"/>
  <c r="H2439" i="3" a="1"/>
  <c r="H2440" i="3" a="1"/>
  <c r="H2441" i="3" a="1"/>
  <c r="H2442" i="3" a="1"/>
  <c r="H2443" i="3" a="1"/>
  <c r="H2444" i="3" a="1"/>
  <c r="H2445" i="3" a="1"/>
  <c r="H2446" i="3" a="1"/>
  <c r="H2447" i="3" a="1"/>
  <c r="H2448" i="3" a="1"/>
  <c r="H2449" i="3" a="1"/>
  <c r="H2450" i="3" a="1"/>
  <c r="H2451" i="3" a="1"/>
  <c r="H2452" i="3" a="1"/>
  <c r="H2453" i="3" a="1"/>
  <c r="H2454" i="3" a="1"/>
  <c r="H2455" i="3" a="1"/>
  <c r="H2456" i="3" a="1"/>
  <c r="H2457" i="3" a="1"/>
  <c r="H2458" i="3" a="1"/>
  <c r="H2459" i="3" a="1"/>
  <c r="H2460" i="3" a="1"/>
  <c r="H2461" i="3" a="1"/>
  <c r="H2462" i="3" a="1"/>
  <c r="H2463" i="3" a="1"/>
  <c r="H2464" i="3" a="1"/>
  <c r="H2465" i="3" a="1"/>
  <c r="H2466" i="3" a="1"/>
  <c r="H2467" i="3" a="1"/>
  <c r="H2468" i="3" a="1"/>
  <c r="H2469" i="3" a="1"/>
  <c r="H2470" i="3" a="1"/>
  <c r="H2471" i="3" a="1"/>
  <c r="H2472" i="3" a="1"/>
  <c r="H2473" i="3" a="1"/>
  <c r="H2474" i="3" a="1"/>
  <c r="H2475" i="3" a="1"/>
  <c r="H2476" i="3" a="1"/>
  <c r="H2477" i="3" a="1"/>
  <c r="H2478" i="3" a="1"/>
  <c r="H2479" i="3" a="1"/>
  <c r="H2480" i="3" a="1"/>
  <c r="H2481" i="3" a="1"/>
  <c r="H2482" i="3" a="1"/>
  <c r="H2483" i="3" a="1"/>
  <c r="H2484" i="3" a="1"/>
  <c r="H2485" i="3" a="1"/>
  <c r="H2486" i="3" a="1"/>
  <c r="H2487" i="3" a="1"/>
  <c r="H2488" i="3" a="1"/>
  <c r="H2489" i="3" a="1"/>
  <c r="H2490" i="3" a="1"/>
  <c r="H2491" i="3" a="1"/>
  <c r="H2492" i="3" a="1"/>
  <c r="H2493" i="3" a="1"/>
  <c r="H2494" i="3" a="1"/>
  <c r="H2495" i="3" a="1"/>
  <c r="H2496" i="3" a="1"/>
  <c r="H2497" i="3" a="1"/>
  <c r="H2498" i="3" a="1"/>
  <c r="H2499" i="3" a="1"/>
  <c r="H2500" i="3" a="1"/>
  <c r="H2501" i="3" a="1"/>
  <c r="H2502" i="3" a="1"/>
  <c r="H2503" i="3" a="1"/>
  <c r="H2504" i="3" a="1"/>
  <c r="H2505" i="3" a="1"/>
  <c r="H2506" i="3" a="1"/>
  <c r="H2507" i="3" a="1"/>
  <c r="H2508" i="3" a="1"/>
  <c r="H2509" i="3" a="1"/>
  <c r="H2510" i="3" a="1"/>
  <c r="H2511" i="3" a="1"/>
  <c r="H2512" i="3" a="1"/>
  <c r="H2513" i="3" a="1"/>
  <c r="H2514" i="3" a="1"/>
  <c r="H2515" i="3" a="1"/>
  <c r="H2516" i="3" a="1"/>
  <c r="H2517" i="3" a="1"/>
  <c r="H2518" i="3" a="1"/>
  <c r="H2519" i="3" a="1"/>
  <c r="H2520" i="3" a="1"/>
  <c r="H2521" i="3" a="1"/>
  <c r="H2522" i="3" a="1"/>
  <c r="H2523" i="3" a="1"/>
  <c r="H2524" i="3" a="1"/>
  <c r="H2525" i="3" a="1"/>
  <c r="H2526" i="3" a="1"/>
  <c r="H2527" i="3" a="1"/>
  <c r="H2528" i="3" a="1"/>
  <c r="H2529" i="3" a="1"/>
  <c r="H2530" i="3" a="1"/>
  <c r="H2531" i="3" a="1"/>
  <c r="H2532" i="3" a="1"/>
  <c r="H2533" i="3" a="1"/>
  <c r="H2534" i="3" a="1"/>
  <c r="H2535" i="3" a="1"/>
  <c r="H2536" i="3" a="1"/>
  <c r="H2537" i="3" a="1"/>
  <c r="H2538" i="3" a="1"/>
  <c r="H2539" i="3" a="1"/>
  <c r="H2540" i="3" a="1"/>
  <c r="H2541" i="3" a="1"/>
  <c r="H2542" i="3" a="1"/>
  <c r="H2543" i="3" a="1"/>
  <c r="H2544" i="3" a="1"/>
  <c r="H2545" i="3" a="1"/>
  <c r="H2546" i="3" a="1"/>
  <c r="H2547" i="3" a="1"/>
  <c r="H2548" i="3" a="1"/>
  <c r="H2549" i="3" a="1"/>
  <c r="H2550" i="3" a="1"/>
  <c r="H2551" i="3" a="1"/>
  <c r="H2552" i="3" a="1"/>
  <c r="H2553" i="3" a="1"/>
  <c r="H2554" i="3" a="1"/>
  <c r="H2555" i="3" a="1"/>
  <c r="H2556" i="3" a="1"/>
  <c r="H2557" i="3" a="1"/>
  <c r="H2558" i="3" a="1"/>
  <c r="H2559" i="3" a="1"/>
  <c r="H2560" i="3" a="1"/>
  <c r="H2561" i="3" a="1"/>
  <c r="H2562" i="3" a="1"/>
  <c r="H2563" i="3" a="1"/>
  <c r="H2564" i="3" a="1"/>
  <c r="H2565" i="3" a="1"/>
  <c r="H2566" i="3" a="1"/>
  <c r="H2567" i="3" a="1"/>
  <c r="H2568" i="3" a="1"/>
  <c r="H2569" i="3" a="1"/>
  <c r="H2570" i="3" a="1"/>
  <c r="H2571" i="3" a="1"/>
  <c r="H2572" i="3" a="1"/>
  <c r="H2573" i="3" a="1"/>
  <c r="H2574" i="3" a="1"/>
  <c r="H2575" i="3" a="1"/>
  <c r="H2576" i="3" a="1"/>
  <c r="H2577" i="3" a="1"/>
  <c r="H2578" i="3" a="1"/>
  <c r="H2579" i="3" a="1"/>
  <c r="H2580" i="3" a="1"/>
  <c r="H2581" i="3" a="1"/>
  <c r="H2582" i="3" a="1"/>
  <c r="H2583" i="3" a="1"/>
  <c r="H2584" i="3" a="1"/>
  <c r="H2585" i="3" a="1"/>
  <c r="H2586" i="3" a="1"/>
  <c r="H2587" i="3" a="1"/>
  <c r="H2588" i="3" a="1"/>
  <c r="H2589" i="3" a="1"/>
  <c r="H2590" i="3" a="1"/>
  <c r="H2591" i="3" a="1"/>
  <c r="H2592" i="3" a="1"/>
  <c r="H2593" i="3" a="1"/>
  <c r="H2594" i="3" a="1"/>
  <c r="H2595" i="3" a="1"/>
  <c r="H2596" i="3" a="1"/>
  <c r="H2597" i="3" a="1"/>
  <c r="H2598" i="3" a="1"/>
  <c r="H2599" i="3" a="1"/>
  <c r="H2600" i="3" a="1"/>
  <c r="H2601" i="3" a="1"/>
  <c r="H2602" i="3" a="1"/>
  <c r="H2603" i="3" a="1"/>
  <c r="H2604" i="3" a="1"/>
  <c r="H2605" i="3" a="1"/>
  <c r="H2606" i="3" a="1"/>
  <c r="H2607" i="3" a="1"/>
  <c r="H2608" i="3" a="1"/>
  <c r="H2609" i="3" a="1"/>
  <c r="H2610" i="3" a="1"/>
  <c r="H2611" i="3" a="1"/>
  <c r="H2612" i="3" a="1"/>
  <c r="H2613" i="3" a="1"/>
  <c r="H2614" i="3" a="1"/>
  <c r="H2615" i="3" a="1"/>
  <c r="H2616" i="3" a="1"/>
  <c r="H2617" i="3" a="1"/>
  <c r="H2618" i="3" a="1"/>
  <c r="H2619" i="3" a="1"/>
  <c r="H2620" i="3" a="1"/>
  <c r="H2621" i="3" a="1"/>
  <c r="H2622" i="3" a="1"/>
  <c r="H2623" i="3" a="1"/>
  <c r="H2624" i="3" a="1"/>
  <c r="H2625" i="3" a="1"/>
  <c r="H2626" i="3" a="1"/>
  <c r="H2627" i="3" a="1"/>
  <c r="H2628" i="3" a="1"/>
  <c r="H2629" i="3" a="1"/>
  <c r="H2630" i="3" a="1"/>
  <c r="H2631" i="3" a="1"/>
  <c r="H2632" i="3" a="1"/>
  <c r="H2633" i="3" a="1"/>
  <c r="H2634" i="3" a="1"/>
  <c r="H2635" i="3" a="1"/>
  <c r="H2636" i="3" a="1"/>
  <c r="H2637" i="3" a="1"/>
  <c r="H2638" i="3" a="1"/>
  <c r="H2639" i="3" a="1"/>
  <c r="H2640" i="3" a="1"/>
  <c r="H2641" i="3" a="1"/>
  <c r="H2642" i="3" a="1"/>
  <c r="H2643" i="3" a="1"/>
  <c r="H2644" i="3" a="1"/>
  <c r="H2645" i="3" a="1"/>
  <c r="H2646" i="3" a="1"/>
  <c r="H2647" i="3" a="1"/>
  <c r="H2648" i="3" a="1"/>
  <c r="H2649" i="3" a="1"/>
  <c r="H2650" i="3" a="1"/>
  <c r="H2651" i="3" a="1"/>
  <c r="H2652" i="3" a="1"/>
  <c r="H2653" i="3" a="1"/>
  <c r="H2654" i="3" a="1"/>
  <c r="H2655" i="3" a="1"/>
  <c r="H2656" i="3" a="1"/>
  <c r="H2657" i="3" a="1"/>
  <c r="H2658" i="3" a="1"/>
  <c r="H2659" i="3" a="1"/>
  <c r="H2660" i="3" a="1"/>
  <c r="H2661" i="3" a="1"/>
  <c r="H2662" i="3" a="1"/>
  <c r="H2663" i="3" a="1"/>
  <c r="H2664" i="3" a="1"/>
  <c r="H2665" i="3" a="1"/>
  <c r="H2666" i="3" a="1"/>
  <c r="H2667" i="3" a="1"/>
  <c r="H2668" i="3" a="1"/>
  <c r="H2669" i="3" a="1"/>
  <c r="H2670" i="3" a="1"/>
  <c r="H2671" i="3" a="1"/>
  <c r="H2672" i="3" a="1"/>
  <c r="H2673" i="3" a="1"/>
  <c r="H2674" i="3" a="1"/>
  <c r="H2675" i="3" a="1"/>
  <c r="H2676" i="3" a="1"/>
  <c r="H2677" i="3" a="1"/>
  <c r="H2678" i="3" a="1"/>
  <c r="H2679" i="3" a="1"/>
  <c r="H2680" i="3" a="1"/>
  <c r="H2681" i="3" a="1"/>
  <c r="H2682" i="3" a="1"/>
  <c r="H2683" i="3" a="1"/>
  <c r="H2684" i="3" a="1"/>
  <c r="H2685" i="3" a="1"/>
  <c r="H2686" i="3" a="1"/>
  <c r="H2687" i="3" a="1"/>
  <c r="H2688" i="3" a="1"/>
  <c r="H2689" i="3" a="1"/>
  <c r="H2690" i="3" a="1"/>
  <c r="H2691" i="3" a="1"/>
  <c r="H2692" i="3" a="1"/>
  <c r="H2693" i="3" a="1"/>
  <c r="H2694" i="3" a="1"/>
  <c r="H2695" i="3" a="1"/>
  <c r="H2696" i="3" a="1"/>
  <c r="H2697" i="3" a="1"/>
  <c r="H2698" i="3" a="1"/>
  <c r="H2699" i="3" a="1"/>
  <c r="H2700" i="3" a="1"/>
  <c r="H2701" i="3" a="1"/>
  <c r="H2702" i="3" a="1"/>
  <c r="H2703" i="3" a="1"/>
  <c r="H2704" i="3" a="1"/>
  <c r="H2705" i="3" a="1"/>
  <c r="H2706" i="3" a="1"/>
  <c r="H2707" i="3" a="1"/>
  <c r="H2708" i="3" a="1"/>
  <c r="H2709" i="3" a="1"/>
  <c r="H2710" i="3" a="1"/>
  <c r="H2711" i="3" a="1"/>
  <c r="H2712" i="3" a="1"/>
  <c r="H2713" i="3" a="1"/>
  <c r="H2714" i="3" a="1"/>
  <c r="H2715" i="3" a="1"/>
  <c r="H2716" i="3" a="1"/>
  <c r="H2717" i="3" a="1"/>
  <c r="H2718" i="3" a="1"/>
  <c r="H2719" i="3" a="1"/>
  <c r="H2720" i="3" a="1"/>
  <c r="H2721" i="3" a="1"/>
  <c r="H2722" i="3" a="1"/>
  <c r="H2723" i="3" a="1"/>
  <c r="H2724" i="3" a="1"/>
  <c r="H2725" i="3" a="1"/>
  <c r="H2726" i="3" a="1"/>
  <c r="H2727" i="3" a="1"/>
  <c r="H2728" i="3" a="1"/>
  <c r="H2729" i="3" a="1"/>
  <c r="H2730" i="3" a="1"/>
  <c r="H2731" i="3" a="1"/>
  <c r="H2732" i="3" a="1"/>
  <c r="H2733" i="3" a="1"/>
  <c r="H2734" i="3" a="1"/>
  <c r="H2735" i="3" a="1"/>
  <c r="H2736" i="3" a="1"/>
  <c r="H2737" i="3" a="1"/>
  <c r="H2738" i="3" a="1"/>
  <c r="H2739" i="3" a="1"/>
  <c r="H2740" i="3" a="1"/>
  <c r="H2741" i="3" a="1"/>
  <c r="H2742" i="3" a="1"/>
  <c r="H2743" i="3" a="1"/>
  <c r="H2744" i="3" a="1"/>
  <c r="H2745" i="3" a="1"/>
  <c r="H2746" i="3" a="1"/>
  <c r="H2747" i="3" a="1"/>
  <c r="H2748" i="3" a="1"/>
  <c r="H2749" i="3" a="1"/>
  <c r="H2750" i="3" a="1"/>
  <c r="H2751" i="3" a="1"/>
  <c r="H2752" i="3" a="1"/>
  <c r="H2753" i="3" a="1"/>
  <c r="H2754" i="3" a="1"/>
  <c r="H2755" i="3" a="1"/>
  <c r="H2756" i="3" a="1"/>
  <c r="H2757" i="3" a="1"/>
  <c r="H2758" i="3" a="1"/>
  <c r="H2759" i="3" a="1"/>
  <c r="H2760" i="3" a="1"/>
  <c r="H2761" i="3" a="1"/>
  <c r="H2762" i="3" a="1"/>
  <c r="H2763" i="3" a="1"/>
  <c r="H2764" i="3" a="1"/>
  <c r="H2765" i="3" a="1"/>
  <c r="H2766" i="3" a="1"/>
  <c r="H2767" i="3" a="1"/>
  <c r="H2768" i="3" a="1"/>
  <c r="H2769" i="3" a="1"/>
  <c r="H2770" i="3" a="1"/>
  <c r="H2771" i="3" a="1"/>
  <c r="H2772" i="3" a="1"/>
  <c r="H2773" i="3" a="1"/>
  <c r="H2774" i="3" a="1"/>
  <c r="H2775" i="3" a="1"/>
  <c r="H2776" i="3" a="1"/>
  <c r="H2777" i="3" a="1"/>
  <c r="H2778" i="3" a="1"/>
  <c r="H2779" i="3" a="1"/>
  <c r="H2780" i="3" a="1"/>
  <c r="H2781" i="3" a="1"/>
  <c r="H2782" i="3" a="1"/>
  <c r="H2783" i="3" a="1"/>
  <c r="H2784" i="3" a="1"/>
  <c r="H2785" i="3" a="1"/>
  <c r="H2786" i="3" a="1"/>
  <c r="H2787" i="3" a="1"/>
  <c r="H2788" i="3" a="1"/>
  <c r="H2789" i="3" a="1"/>
  <c r="H2790" i="3" a="1"/>
  <c r="H2791" i="3" a="1"/>
  <c r="H2792" i="3" a="1"/>
  <c r="H2793" i="3" a="1"/>
  <c r="H2794" i="3" a="1"/>
  <c r="H2795" i="3" a="1"/>
  <c r="H2796" i="3" a="1"/>
  <c r="H2797" i="3" a="1"/>
  <c r="H2798" i="3" a="1"/>
  <c r="H2799" i="3" a="1"/>
  <c r="H2800" i="3" a="1"/>
  <c r="H2801" i="3" a="1"/>
  <c r="H2802" i="3" a="1"/>
  <c r="H2803" i="3" a="1"/>
  <c r="H2804" i="3" a="1"/>
  <c r="H2805" i="3" a="1"/>
  <c r="H2806" i="3" a="1"/>
  <c r="H2807" i="3" a="1"/>
  <c r="H2808" i="3" a="1"/>
  <c r="H2809" i="3" a="1"/>
  <c r="H2810" i="3" a="1"/>
  <c r="H2811" i="3" a="1"/>
  <c r="H2812" i="3" a="1"/>
  <c r="H2813" i="3" a="1"/>
  <c r="H2814" i="3" a="1"/>
  <c r="H2815" i="3" a="1"/>
  <c r="H2816" i="3" a="1"/>
  <c r="H2817" i="3" a="1"/>
  <c r="H2818" i="3" a="1"/>
  <c r="H2819" i="3" a="1"/>
  <c r="H2820" i="3" a="1"/>
  <c r="H2821" i="3" a="1"/>
  <c r="H2822" i="3" a="1"/>
  <c r="H2823" i="3" a="1"/>
  <c r="H2824" i="3" a="1"/>
  <c r="H2825" i="3" a="1"/>
  <c r="H2826" i="3" a="1"/>
  <c r="H2827" i="3" a="1"/>
  <c r="H2828" i="3" a="1"/>
  <c r="H2829" i="3" a="1"/>
  <c r="H2830" i="3" a="1"/>
  <c r="H2831" i="3" a="1"/>
  <c r="H2832" i="3" a="1"/>
  <c r="H2833" i="3" a="1"/>
  <c r="H2834" i="3" a="1"/>
  <c r="H2835" i="3" a="1"/>
  <c r="H2836" i="3" a="1"/>
  <c r="H2837" i="3" a="1"/>
  <c r="H2838" i="3" a="1"/>
  <c r="H2839" i="3" a="1"/>
  <c r="H2840" i="3" a="1"/>
  <c r="H2841" i="3" a="1"/>
  <c r="H2842" i="3" a="1"/>
  <c r="H2843" i="3" a="1"/>
  <c r="H2844" i="3" a="1"/>
  <c r="H2845" i="3" a="1"/>
  <c r="H2846" i="3" a="1"/>
  <c r="H2847" i="3" a="1"/>
  <c r="H2848" i="3" a="1"/>
  <c r="H2849" i="3" a="1"/>
  <c r="H2850" i="3" a="1"/>
  <c r="H2851" i="3" a="1"/>
  <c r="H2852" i="3" a="1"/>
  <c r="H2853" i="3" a="1"/>
  <c r="H2854" i="3" a="1"/>
  <c r="H2855" i="3" a="1"/>
  <c r="H2856" i="3" a="1"/>
  <c r="H2857" i="3" a="1"/>
  <c r="H2858" i="3" a="1"/>
  <c r="H2859" i="3" a="1"/>
  <c r="H2860" i="3" a="1"/>
  <c r="H2861" i="3" a="1"/>
  <c r="H2862" i="3" a="1"/>
  <c r="H2863" i="3" a="1"/>
  <c r="H2864" i="3" a="1"/>
  <c r="H2865" i="3" a="1"/>
  <c r="H2866" i="3" a="1"/>
  <c r="H2867" i="3" a="1"/>
  <c r="H2868" i="3" a="1"/>
  <c r="H2869" i="3" a="1"/>
  <c r="H2870" i="3" a="1"/>
  <c r="H2871" i="3" a="1"/>
  <c r="H2872" i="3" a="1"/>
  <c r="H2873" i="3" a="1"/>
  <c r="H2874" i="3" a="1"/>
  <c r="H2875" i="3" a="1"/>
  <c r="H2876" i="3" a="1"/>
  <c r="H2877" i="3" a="1"/>
  <c r="H2878" i="3" a="1"/>
  <c r="H2879" i="3" a="1"/>
  <c r="H2880" i="3" a="1"/>
  <c r="H2881" i="3" a="1"/>
  <c r="H2882" i="3" a="1"/>
  <c r="H2883" i="3" a="1"/>
  <c r="H2884" i="3" a="1"/>
  <c r="H2885" i="3" a="1"/>
  <c r="H2886" i="3" a="1"/>
  <c r="H2887" i="3" a="1"/>
  <c r="H2888" i="3" a="1"/>
  <c r="H2889" i="3" a="1"/>
  <c r="H2890" i="3" a="1"/>
  <c r="H2891" i="3" a="1"/>
  <c r="H2892" i="3" a="1"/>
  <c r="H2893" i="3" a="1"/>
  <c r="H2894" i="3" a="1"/>
  <c r="H2895" i="3" a="1"/>
  <c r="H2896" i="3" a="1"/>
  <c r="H2897" i="3" a="1"/>
  <c r="H2898" i="3" a="1"/>
  <c r="H2899" i="3" a="1"/>
  <c r="H2900" i="3" a="1"/>
  <c r="H2901" i="3" a="1"/>
  <c r="H2902" i="3" a="1"/>
  <c r="H2903" i="3" a="1"/>
  <c r="H2904" i="3" a="1"/>
  <c r="H2905" i="3" a="1"/>
  <c r="H2906" i="3" a="1"/>
  <c r="H2907" i="3" a="1"/>
  <c r="H2908" i="3" a="1"/>
  <c r="H2909" i="3" a="1"/>
  <c r="H2910" i="3" a="1"/>
  <c r="H2911" i="3" a="1"/>
  <c r="H2912" i="3" a="1"/>
  <c r="H2913" i="3" a="1"/>
  <c r="H2914" i="3" a="1"/>
  <c r="H2915" i="3" a="1"/>
  <c r="H2916" i="3" a="1"/>
  <c r="H2917" i="3" a="1"/>
  <c r="H2918" i="3" a="1"/>
  <c r="H2919" i="3" a="1"/>
  <c r="H2920" i="3" a="1"/>
  <c r="H2921" i="3" a="1"/>
  <c r="H2922" i="3" a="1"/>
  <c r="H2923" i="3" a="1"/>
  <c r="H2924" i="3" a="1"/>
  <c r="H2925" i="3" a="1"/>
  <c r="H2926" i="3" a="1"/>
  <c r="H2927" i="3" a="1"/>
  <c r="H2928" i="3" a="1"/>
  <c r="H2929" i="3" a="1"/>
  <c r="H2930" i="3" a="1"/>
  <c r="H2931" i="3" a="1"/>
  <c r="H2932" i="3" a="1"/>
  <c r="H2933" i="3" a="1"/>
  <c r="H2934" i="3" a="1"/>
  <c r="H2935" i="3" a="1"/>
  <c r="H2936" i="3" a="1"/>
  <c r="H2937" i="3" a="1"/>
  <c r="H2938" i="3" a="1"/>
  <c r="H2939" i="3" a="1"/>
  <c r="H2940" i="3" a="1"/>
  <c r="H2941" i="3" a="1"/>
  <c r="H2942" i="3" a="1"/>
  <c r="H2943" i="3" a="1"/>
  <c r="H2944" i="3" a="1"/>
  <c r="H2945" i="3" a="1"/>
  <c r="H2946" i="3" a="1"/>
  <c r="H2947" i="3" a="1"/>
  <c r="H2948" i="3" a="1"/>
  <c r="H2949" i="3" a="1"/>
  <c r="H2950" i="3" a="1"/>
  <c r="H2951" i="3" a="1"/>
  <c r="H2952" i="3" a="1"/>
  <c r="H2953" i="3" a="1"/>
  <c r="H2954" i="3" a="1"/>
  <c r="H2955" i="3" a="1"/>
  <c r="H2956" i="3" a="1"/>
  <c r="H2957" i="3" a="1"/>
  <c r="H2958" i="3" a="1"/>
  <c r="H2959" i="3" a="1"/>
  <c r="H2960" i="3" a="1"/>
  <c r="H2961" i="3" a="1"/>
  <c r="H2962" i="3" a="1"/>
  <c r="H2963" i="3" a="1"/>
  <c r="H2964" i="3" a="1"/>
  <c r="H2965" i="3" a="1"/>
  <c r="H2966" i="3" a="1"/>
  <c r="H2967" i="3" a="1"/>
  <c r="H2968" i="3" a="1"/>
  <c r="H2969" i="3" a="1"/>
  <c r="H2970" i="3" a="1"/>
  <c r="H2971" i="3" a="1"/>
  <c r="H2972" i="3" a="1"/>
  <c r="H2973" i="3" a="1"/>
  <c r="H2974" i="3" a="1"/>
  <c r="H2975" i="3" a="1"/>
  <c r="H2976" i="3" a="1"/>
  <c r="H2977" i="3" a="1"/>
  <c r="H2978" i="3" a="1"/>
  <c r="H2979" i="3" a="1"/>
  <c r="H2980" i="3" a="1"/>
  <c r="H2981" i="3" a="1"/>
  <c r="H2982" i="3" a="1"/>
  <c r="H2983" i="3" a="1"/>
  <c r="H2984" i="3" a="1"/>
  <c r="H2985" i="3" a="1"/>
  <c r="H2986" i="3" a="1"/>
  <c r="H2987" i="3" a="1"/>
  <c r="H2988" i="3" a="1"/>
  <c r="H2989" i="3" a="1"/>
  <c r="H2990" i="3" a="1"/>
  <c r="H2991" i="3" a="1"/>
  <c r="H2992" i="3" a="1"/>
  <c r="H2993" i="3" a="1"/>
  <c r="H2994" i="3" a="1"/>
  <c r="H2995" i="3" a="1"/>
  <c r="H2996" i="3" a="1"/>
  <c r="H2997" i="3" a="1"/>
  <c r="H2998" i="3" a="1"/>
  <c r="H2999" i="3" a="1"/>
  <c r="H3000" i="3" a="1"/>
  <c r="H3001" i="3" a="1"/>
  <c r="H3002" i="3" a="1"/>
  <c r="H3003" i="3" a="1"/>
  <c r="H3004" i="3" a="1"/>
  <c r="H3005" i="3" a="1"/>
  <c r="H3006" i="3" a="1"/>
  <c r="H3007" i="3" a="1"/>
  <c r="H3008" i="3" a="1"/>
  <c r="H3009" i="3" a="1"/>
  <c r="H3010" i="3" a="1"/>
  <c r="H3011" i="3" a="1"/>
  <c r="H3012" i="3" a="1"/>
  <c r="H3013" i="3" a="1"/>
  <c r="H3014" i="3" a="1"/>
  <c r="H3015" i="3" a="1"/>
  <c r="H3016" i="3" a="1"/>
  <c r="H3017" i="3" a="1"/>
  <c r="H3018" i="3" a="1"/>
  <c r="H3019" i="3" a="1"/>
  <c r="H3020" i="3" a="1"/>
  <c r="H3021" i="3" a="1"/>
  <c r="H3022" i="3" a="1"/>
  <c r="H3023" i="3" a="1"/>
  <c r="H3024" i="3" a="1"/>
  <c r="H3025" i="3" a="1"/>
  <c r="H3026" i="3" a="1"/>
  <c r="H3027" i="3" a="1"/>
  <c r="H3028" i="3" a="1"/>
  <c r="H3029" i="3" a="1"/>
  <c r="H3030" i="3" a="1"/>
  <c r="H3031" i="3" a="1"/>
  <c r="H3032" i="3" a="1"/>
  <c r="H3033" i="3" a="1"/>
  <c r="H3034" i="3" a="1"/>
  <c r="H3035" i="3" a="1"/>
  <c r="H3036" i="3" a="1"/>
  <c r="H3037" i="3" a="1"/>
  <c r="H3038" i="3" a="1"/>
  <c r="H3039" i="3" a="1"/>
  <c r="H3040" i="3" a="1"/>
  <c r="H3041" i="3" a="1"/>
  <c r="H3042" i="3" a="1"/>
  <c r="H3043" i="3" a="1"/>
  <c r="H3044" i="3" a="1"/>
  <c r="H3045" i="3" a="1"/>
  <c r="H3046" i="3" a="1"/>
  <c r="H3047" i="3" a="1"/>
  <c r="H3048" i="3" a="1"/>
  <c r="H3049" i="3" a="1"/>
  <c r="H3050" i="3" a="1"/>
  <c r="H3051" i="3" a="1"/>
  <c r="H3052" i="3" a="1"/>
  <c r="H3053" i="3" a="1"/>
  <c r="H3054" i="3" a="1"/>
  <c r="H3055" i="3" a="1"/>
  <c r="H3056" i="3" a="1"/>
  <c r="H3057" i="3" a="1"/>
  <c r="H3058" i="3" a="1"/>
  <c r="H3059" i="3" a="1"/>
  <c r="H3060" i="3" a="1"/>
  <c r="H3061" i="3" a="1"/>
  <c r="H3062" i="3" a="1"/>
  <c r="H3063" i="3" a="1"/>
  <c r="H3064" i="3" a="1"/>
  <c r="H3065" i="3" a="1"/>
  <c r="H3066" i="3" a="1"/>
  <c r="H3067" i="3" a="1"/>
  <c r="H3068" i="3" a="1"/>
  <c r="H3069" i="3" a="1"/>
  <c r="H3070" i="3" a="1"/>
  <c r="H3071" i="3" a="1"/>
  <c r="H3072" i="3" a="1"/>
  <c r="H3073" i="3" a="1"/>
  <c r="H3074" i="3" a="1"/>
  <c r="H3075" i="3" a="1"/>
  <c r="H3076" i="3" a="1"/>
  <c r="H3077" i="3" a="1"/>
  <c r="H3078" i="3" a="1"/>
  <c r="H3079" i="3" a="1"/>
  <c r="H3080" i="3" a="1"/>
  <c r="H3081" i="3" a="1"/>
  <c r="H3082" i="3" a="1"/>
  <c r="H3083" i="3" a="1"/>
  <c r="H3084" i="3" a="1"/>
  <c r="H3085" i="3" a="1"/>
  <c r="H3086" i="3" a="1"/>
  <c r="H3087" i="3" a="1"/>
  <c r="H3088" i="3" a="1"/>
  <c r="H3089" i="3" a="1"/>
  <c r="H3090" i="3" a="1"/>
  <c r="H3091" i="3" a="1"/>
  <c r="H3092" i="3" a="1"/>
  <c r="H3093" i="3" a="1"/>
  <c r="H3094" i="3" a="1"/>
  <c r="H3095" i="3" a="1"/>
  <c r="H3096" i="3" a="1"/>
  <c r="H3097" i="3" a="1"/>
  <c r="H3098" i="3" a="1"/>
  <c r="H3099" i="3" a="1"/>
  <c r="H3100" i="3" a="1"/>
  <c r="H3101" i="3" a="1"/>
  <c r="H3102" i="3" a="1"/>
  <c r="H3103" i="3" a="1"/>
  <c r="H3104" i="3" a="1"/>
  <c r="H3105" i="3" a="1"/>
  <c r="H3106" i="3" a="1"/>
  <c r="H3107" i="3" a="1"/>
  <c r="H3108" i="3" a="1"/>
  <c r="H3109" i="3" a="1"/>
  <c r="H3110" i="3" a="1"/>
  <c r="H3111" i="3" a="1"/>
  <c r="H3112" i="3" a="1"/>
  <c r="H3113" i="3" a="1"/>
  <c r="H3114" i="3" a="1"/>
  <c r="H3115" i="3" a="1"/>
  <c r="H3116" i="3" a="1"/>
  <c r="H3117" i="3" a="1"/>
  <c r="H3118" i="3" a="1"/>
  <c r="H3119" i="3" a="1"/>
  <c r="H3120" i="3" a="1"/>
  <c r="H3121" i="3" a="1"/>
  <c r="H3122" i="3" a="1"/>
  <c r="H3123" i="3" a="1"/>
  <c r="H3124" i="3" a="1"/>
  <c r="H3125" i="3" a="1"/>
  <c r="H3126" i="3" a="1"/>
  <c r="H3127" i="3" a="1"/>
  <c r="H3128" i="3" a="1"/>
  <c r="H3129" i="3" a="1"/>
  <c r="H3130" i="3" a="1"/>
  <c r="H3131" i="3" a="1"/>
  <c r="H3132" i="3" a="1"/>
  <c r="H3133" i="3" a="1"/>
  <c r="H3134" i="3" a="1"/>
  <c r="H3135" i="3" a="1"/>
  <c r="H3136" i="3" a="1"/>
  <c r="H3137" i="3" a="1"/>
  <c r="H3138" i="3" a="1"/>
  <c r="H3139" i="3" a="1"/>
  <c r="H3140" i="3" a="1"/>
  <c r="H3141" i="3" a="1"/>
  <c r="H3142" i="3" a="1"/>
  <c r="H3143" i="3" a="1"/>
  <c r="H3144" i="3" a="1"/>
  <c r="H3145" i="3" a="1"/>
  <c r="H3146" i="3" a="1"/>
  <c r="H3147" i="3" a="1"/>
  <c r="H3148" i="3" a="1"/>
  <c r="H3149" i="3" a="1"/>
  <c r="H3150" i="3" a="1"/>
  <c r="H3151" i="3" a="1"/>
  <c r="H3152" i="3" a="1"/>
  <c r="H3153" i="3" a="1"/>
  <c r="H3154" i="3" a="1"/>
  <c r="H3155" i="3" a="1"/>
  <c r="H3156" i="3" a="1"/>
  <c r="H3157" i="3" a="1"/>
  <c r="H3158" i="3" a="1"/>
  <c r="H3159" i="3" a="1"/>
  <c r="H3160" i="3" a="1"/>
  <c r="H3161" i="3" a="1"/>
  <c r="H3162" i="3" a="1"/>
  <c r="H3163" i="3" a="1"/>
  <c r="H3164" i="3" a="1"/>
  <c r="H3165" i="3" a="1"/>
  <c r="H3166" i="3" a="1"/>
  <c r="H3167" i="3" a="1"/>
  <c r="H3168" i="3" a="1"/>
  <c r="H3169" i="3" a="1"/>
  <c r="H3170" i="3" a="1"/>
  <c r="H3171" i="3" a="1"/>
  <c r="H3172" i="3" a="1"/>
  <c r="H3173" i="3" a="1"/>
  <c r="H3174" i="3" a="1"/>
  <c r="H3175" i="3" a="1"/>
  <c r="H3176" i="3" a="1"/>
  <c r="H3177" i="3" a="1"/>
  <c r="H3178" i="3" a="1"/>
  <c r="H3179" i="3" a="1"/>
  <c r="H3180" i="3" a="1"/>
  <c r="H3181" i="3" a="1"/>
  <c r="H3182" i="3" a="1"/>
  <c r="H3183" i="3" a="1"/>
  <c r="H3184" i="3" a="1"/>
  <c r="H3185" i="3" a="1"/>
  <c r="H3186" i="3" a="1"/>
  <c r="H3187" i="3" a="1"/>
  <c r="H3188" i="3" a="1"/>
  <c r="H3189" i="3" a="1"/>
  <c r="H3190" i="3" a="1"/>
  <c r="H3191" i="3" a="1"/>
  <c r="H3192" i="3" a="1"/>
  <c r="H3193" i="3" a="1"/>
  <c r="H3194" i="3" a="1"/>
  <c r="H3195" i="3" a="1"/>
  <c r="H3196" i="3" a="1"/>
  <c r="H3197" i="3" a="1"/>
  <c r="H3198" i="3" a="1"/>
  <c r="H3199" i="3" a="1"/>
  <c r="H3200" i="3" a="1"/>
  <c r="H3201" i="3" a="1"/>
  <c r="H3202" i="3" a="1"/>
  <c r="H3203" i="3" a="1"/>
  <c r="H3204" i="3" a="1"/>
  <c r="H3205" i="3" a="1"/>
  <c r="H3206" i="3" a="1"/>
  <c r="H3207" i="3" a="1"/>
  <c r="H3208" i="3" a="1"/>
  <c r="H3209" i="3" a="1"/>
  <c r="H3210" i="3" a="1"/>
  <c r="H3211" i="3" a="1"/>
  <c r="H3212" i="3" a="1"/>
  <c r="H3213" i="3" a="1"/>
  <c r="H3214" i="3" a="1"/>
  <c r="H3215" i="3" a="1"/>
  <c r="H3216" i="3" a="1"/>
  <c r="H3217" i="3" a="1"/>
  <c r="H3218" i="3" a="1"/>
  <c r="H3219" i="3" a="1"/>
  <c r="H3220" i="3" a="1"/>
  <c r="H3221" i="3" a="1"/>
  <c r="H3222" i="3" a="1"/>
  <c r="H3223" i="3" a="1"/>
  <c r="H3224" i="3" a="1"/>
  <c r="H3225" i="3" a="1"/>
  <c r="H3226" i="3" a="1"/>
  <c r="H3227" i="3" a="1"/>
  <c r="H3228" i="3" a="1"/>
  <c r="H3229" i="3" a="1"/>
  <c r="H3230" i="3" a="1"/>
  <c r="H3231" i="3" a="1"/>
  <c r="H3232" i="3" a="1"/>
  <c r="H3233" i="3" a="1"/>
  <c r="H3234" i="3" a="1"/>
  <c r="H3235" i="3" a="1"/>
  <c r="H3236" i="3" a="1"/>
  <c r="H3237" i="3" a="1"/>
  <c r="H3238" i="3" a="1"/>
  <c r="H3239" i="3" a="1"/>
  <c r="H3240" i="3" a="1"/>
  <c r="H3241" i="3" a="1"/>
  <c r="H3242" i="3" a="1"/>
  <c r="H3243" i="3" a="1"/>
  <c r="H3244" i="3" a="1"/>
  <c r="H3245" i="3" a="1"/>
  <c r="H3246" i="3" a="1"/>
  <c r="H3247" i="3" a="1"/>
  <c r="H3248" i="3" a="1"/>
  <c r="H3249" i="3" a="1"/>
  <c r="H3250" i="3" a="1"/>
  <c r="H3251" i="3" a="1"/>
  <c r="H3252" i="3" a="1"/>
  <c r="H3253" i="3" a="1"/>
  <c r="H3254" i="3" a="1"/>
  <c r="H3255" i="3" a="1"/>
  <c r="H3256" i="3" a="1"/>
  <c r="H3257" i="3" a="1"/>
  <c r="H3258" i="3" a="1"/>
  <c r="H3259" i="3" a="1"/>
  <c r="H3260" i="3" a="1"/>
  <c r="H3261" i="3" a="1"/>
  <c r="H3262" i="3" a="1"/>
  <c r="H3263" i="3" a="1"/>
  <c r="H3264" i="3" a="1"/>
  <c r="H3265" i="3" a="1"/>
  <c r="H3266" i="3" a="1"/>
  <c r="H3267" i="3" a="1"/>
  <c r="H3268" i="3" a="1"/>
  <c r="H3269" i="3" a="1"/>
  <c r="H3270" i="3" a="1"/>
  <c r="H3271" i="3" a="1"/>
  <c r="H3272" i="3" a="1"/>
  <c r="H3273" i="3" a="1"/>
  <c r="H3274" i="3" a="1"/>
  <c r="H3275" i="3" a="1"/>
  <c r="H3276" i="3" a="1"/>
  <c r="H3277" i="3" a="1"/>
  <c r="H3278" i="3" a="1"/>
  <c r="H3279" i="3" a="1"/>
  <c r="H3280" i="3" a="1"/>
  <c r="H3281" i="3" a="1"/>
  <c r="H3282" i="3" a="1"/>
  <c r="H3283" i="3" a="1"/>
  <c r="H3284" i="3" a="1"/>
  <c r="H3285" i="3" a="1"/>
  <c r="H3286" i="3" a="1"/>
  <c r="H3287" i="3" a="1"/>
  <c r="H3288" i="3" a="1"/>
  <c r="H3289" i="3" a="1"/>
  <c r="H3290" i="3" a="1"/>
  <c r="H3291" i="3" a="1"/>
  <c r="H3292" i="3" a="1"/>
  <c r="H3293" i="3" a="1"/>
  <c r="H3294" i="3" a="1"/>
  <c r="H3295" i="3" a="1"/>
  <c r="H3296" i="3" a="1"/>
  <c r="H3297" i="3" a="1"/>
  <c r="H3298" i="3" a="1"/>
  <c r="H3299" i="3" a="1"/>
  <c r="H3300" i="3" a="1"/>
  <c r="H3301" i="3" a="1"/>
  <c r="H3302" i="3" a="1"/>
  <c r="H3303" i="3" a="1"/>
  <c r="H3304" i="3" a="1"/>
  <c r="H3305" i="3" a="1"/>
  <c r="H3306" i="3" a="1"/>
  <c r="H3307" i="3" a="1"/>
  <c r="H3308" i="3" a="1"/>
  <c r="H3309" i="3" a="1"/>
  <c r="H3310" i="3" a="1"/>
  <c r="H3311" i="3" a="1"/>
  <c r="H3312" i="3" a="1"/>
  <c r="H3313" i="3" a="1"/>
  <c r="H3314" i="3" a="1"/>
  <c r="H3315" i="3" a="1"/>
  <c r="H3316" i="3" a="1"/>
  <c r="H3317" i="3" a="1"/>
  <c r="H3318" i="3" a="1"/>
  <c r="H3319" i="3" a="1"/>
  <c r="H3320" i="3" a="1"/>
  <c r="H3321" i="3" a="1"/>
  <c r="H3322" i="3" a="1"/>
  <c r="H3323" i="3" a="1"/>
  <c r="H3324" i="3" a="1"/>
  <c r="H3325" i="3" a="1"/>
  <c r="H3326" i="3" a="1"/>
  <c r="H3327" i="3" a="1"/>
  <c r="H3328" i="3" a="1"/>
  <c r="H3329" i="3" a="1"/>
  <c r="H3330" i="3" a="1"/>
  <c r="H3331" i="3" a="1"/>
  <c r="H3332" i="3" a="1"/>
  <c r="H3333" i="3" a="1"/>
  <c r="H3334" i="3" a="1"/>
  <c r="H3335" i="3" a="1"/>
  <c r="H3336" i="3" a="1"/>
  <c r="H3337" i="3" a="1"/>
  <c r="H3338" i="3" a="1"/>
  <c r="H3339" i="3" a="1"/>
  <c r="H3340" i="3" a="1"/>
  <c r="H3341" i="3" a="1"/>
  <c r="H3342" i="3" a="1"/>
  <c r="H3343" i="3" a="1"/>
  <c r="H3344" i="3" a="1"/>
  <c r="H3345" i="3" a="1"/>
  <c r="H3346" i="3" a="1"/>
  <c r="H3347" i="3" a="1"/>
  <c r="H3348" i="3" a="1"/>
  <c r="H3349" i="3" a="1"/>
  <c r="H3350" i="3" a="1"/>
  <c r="H3351" i="3" a="1"/>
  <c r="H3352" i="3" a="1"/>
  <c r="H3353" i="3" a="1"/>
  <c r="H3354" i="3" a="1"/>
  <c r="H3355" i="3" a="1"/>
  <c r="H3356" i="3" a="1"/>
  <c r="H3357" i="3" a="1"/>
  <c r="H3358" i="3" a="1"/>
  <c r="H3359" i="3" a="1"/>
  <c r="H3360" i="3" a="1"/>
  <c r="H3361" i="3" a="1"/>
  <c r="H3362" i="3" a="1"/>
  <c r="H3363" i="3" a="1"/>
  <c r="H3364" i="3" a="1"/>
  <c r="H3365" i="3" a="1"/>
  <c r="H3366" i="3" a="1"/>
  <c r="H3367" i="3" a="1"/>
  <c r="H3368" i="3" a="1"/>
  <c r="H3369" i="3" a="1"/>
  <c r="H3370" i="3" a="1"/>
  <c r="H3371" i="3" a="1"/>
  <c r="H3372" i="3" a="1"/>
  <c r="H3373" i="3" a="1"/>
  <c r="H3374" i="3" a="1"/>
  <c r="H3375" i="3" a="1"/>
  <c r="H3376" i="3" a="1"/>
  <c r="H3377" i="3" a="1"/>
  <c r="H3378" i="3" a="1"/>
  <c r="H3379" i="3" a="1"/>
  <c r="H3380" i="3" a="1"/>
  <c r="H3381" i="3" a="1"/>
  <c r="H3382" i="3" a="1"/>
  <c r="H3383" i="3" a="1"/>
  <c r="H3384" i="3" a="1"/>
  <c r="H3385" i="3" a="1"/>
  <c r="H3386" i="3" a="1"/>
  <c r="H3387" i="3" a="1"/>
  <c r="H3388" i="3" a="1"/>
  <c r="H3389" i="3" a="1"/>
  <c r="H3390" i="3" a="1"/>
  <c r="H3391" i="3" a="1"/>
  <c r="H3392" i="3" a="1"/>
  <c r="H3393" i="3" a="1"/>
  <c r="H3394" i="3" a="1"/>
  <c r="H3395" i="3" a="1"/>
  <c r="H3396" i="3" a="1"/>
  <c r="H3397" i="3" a="1"/>
  <c r="H3398" i="3" a="1"/>
  <c r="H3399" i="3" a="1"/>
  <c r="H3400" i="3" a="1"/>
  <c r="H3401" i="3" a="1"/>
  <c r="H3402" i="3" a="1"/>
  <c r="H3403" i="3" a="1"/>
  <c r="H3404" i="3" a="1"/>
  <c r="H3405" i="3" a="1"/>
  <c r="H3406" i="3" a="1"/>
  <c r="H3407" i="3" a="1"/>
  <c r="H3408" i="3" a="1"/>
  <c r="H3409" i="3" a="1"/>
  <c r="H3410" i="3" a="1"/>
  <c r="H3411" i="3" a="1"/>
  <c r="H3412" i="3" a="1"/>
  <c r="H3413" i="3" a="1"/>
  <c r="H3414" i="3" a="1"/>
  <c r="H3415" i="3" a="1"/>
  <c r="H3416" i="3" a="1"/>
  <c r="H3417" i="3" a="1"/>
  <c r="H3418" i="3" a="1"/>
  <c r="H3419" i="3" a="1"/>
  <c r="H3420" i="3" a="1"/>
  <c r="H3421" i="3" a="1"/>
  <c r="H3422" i="3" a="1"/>
  <c r="H3423" i="3" a="1"/>
  <c r="H3424" i="3" a="1"/>
  <c r="H3425" i="3" a="1"/>
  <c r="H3426" i="3" a="1"/>
  <c r="H3427" i="3" a="1"/>
  <c r="H3428" i="3" a="1"/>
  <c r="H3429" i="3" a="1"/>
  <c r="H3430" i="3" a="1"/>
  <c r="H3431" i="3" a="1"/>
  <c r="H3432" i="3" a="1"/>
  <c r="H3433" i="3" a="1"/>
  <c r="H3434" i="3" a="1"/>
  <c r="H3435" i="3" a="1"/>
  <c r="H3436" i="3" a="1"/>
  <c r="H3437" i="3" a="1"/>
  <c r="H3438" i="3" a="1"/>
  <c r="H3439" i="3" a="1"/>
  <c r="H3440" i="3" a="1"/>
  <c r="H3441" i="3" a="1"/>
  <c r="H3442" i="3" a="1"/>
  <c r="H3443" i="3" a="1"/>
  <c r="H3444" i="3" a="1"/>
  <c r="H3445" i="3" a="1"/>
  <c r="H3446" i="3" a="1"/>
  <c r="H3447" i="3" a="1"/>
  <c r="H3448" i="3" a="1"/>
  <c r="H3449" i="3" a="1"/>
  <c r="H3450" i="3" a="1"/>
  <c r="H3451" i="3" a="1"/>
  <c r="H3452" i="3" a="1"/>
  <c r="H3453" i="3" a="1"/>
  <c r="H3454" i="3" a="1"/>
  <c r="H3455" i="3" a="1"/>
  <c r="H3456" i="3" a="1"/>
  <c r="H3457" i="3" a="1"/>
  <c r="H3458" i="3" a="1"/>
  <c r="H3459" i="3" a="1"/>
  <c r="H3460" i="3" a="1"/>
  <c r="H3461" i="3" a="1"/>
  <c r="H3462" i="3" a="1"/>
  <c r="H3463" i="3" a="1"/>
  <c r="H3464" i="3" a="1"/>
  <c r="H3465" i="3" a="1"/>
  <c r="H3466" i="3" a="1"/>
  <c r="H3467" i="3" a="1"/>
  <c r="H3468" i="3" a="1"/>
  <c r="H3469" i="3" a="1"/>
  <c r="H3470" i="3" a="1"/>
  <c r="H3471" i="3" a="1"/>
  <c r="H3472" i="3" a="1"/>
  <c r="H3473" i="3" a="1"/>
  <c r="H3474" i="3" a="1"/>
  <c r="H3475" i="3" a="1"/>
  <c r="H3476" i="3" a="1"/>
  <c r="H3477" i="3" a="1"/>
  <c r="H3478" i="3" a="1"/>
  <c r="H3479" i="3" a="1"/>
  <c r="H3480" i="3" a="1"/>
  <c r="H3481" i="3" a="1"/>
  <c r="H3482" i="3" a="1"/>
  <c r="H3483" i="3" a="1"/>
  <c r="H3484" i="3" a="1"/>
  <c r="H3485" i="3" a="1"/>
  <c r="H3486" i="3" a="1"/>
  <c r="H3487" i="3" a="1"/>
  <c r="H3488" i="3" a="1"/>
  <c r="H3489" i="3" a="1"/>
  <c r="H3490" i="3" a="1"/>
  <c r="H3491" i="3" a="1"/>
  <c r="H3492" i="3" a="1"/>
  <c r="H3493" i="3" a="1"/>
  <c r="H3494" i="3" a="1"/>
  <c r="H3495" i="3" a="1"/>
  <c r="H3496" i="3" a="1"/>
  <c r="H3497" i="3" a="1"/>
  <c r="H3498" i="3" a="1"/>
  <c r="H3499" i="3" a="1"/>
  <c r="H3500" i="3" a="1"/>
  <c r="H3501" i="3" a="1"/>
  <c r="H3502" i="3" a="1"/>
  <c r="H3503" i="3" a="1"/>
  <c r="H3504" i="3" a="1"/>
  <c r="H3505" i="3" a="1"/>
  <c r="H3506" i="3" a="1"/>
  <c r="H3507" i="3" a="1"/>
  <c r="H3508" i="3" a="1"/>
  <c r="H3509" i="3" a="1"/>
  <c r="H3510" i="3" a="1"/>
  <c r="H3511" i="3" a="1"/>
  <c r="H3512" i="3" a="1"/>
  <c r="H3513" i="3" a="1"/>
  <c r="H3514" i="3" a="1"/>
  <c r="H3515" i="3" a="1"/>
  <c r="H3516" i="3" a="1"/>
  <c r="H3517" i="3" a="1"/>
  <c r="H3518" i="3" a="1"/>
  <c r="H3519" i="3" a="1"/>
  <c r="H3520" i="3" a="1"/>
  <c r="H3521" i="3" a="1"/>
  <c r="H3522" i="3" a="1"/>
  <c r="H3523" i="3" a="1"/>
  <c r="H3524" i="3" a="1"/>
  <c r="H3525" i="3" a="1"/>
  <c r="H3526" i="3" a="1"/>
  <c r="H3527" i="3" a="1"/>
  <c r="H3528" i="3" a="1"/>
  <c r="H3529" i="3" a="1"/>
  <c r="H3530" i="3" a="1"/>
  <c r="H3531" i="3" a="1"/>
  <c r="H3532" i="3" a="1"/>
  <c r="H3533" i="3" a="1"/>
  <c r="H3534" i="3" a="1"/>
  <c r="H3535" i="3" a="1"/>
  <c r="H3536" i="3" a="1"/>
  <c r="H3537" i="3" a="1"/>
  <c r="H3538" i="3" a="1"/>
  <c r="H3539" i="3" a="1"/>
  <c r="H3540" i="3" a="1"/>
  <c r="H3541" i="3" a="1"/>
  <c r="H3542" i="3" a="1"/>
  <c r="H3543" i="3" a="1"/>
  <c r="H3544" i="3" a="1"/>
  <c r="H3545" i="3" a="1"/>
  <c r="H3546" i="3" a="1"/>
  <c r="H3547" i="3" a="1"/>
  <c r="H3548" i="3" a="1"/>
  <c r="H3549" i="3" a="1"/>
  <c r="H3550" i="3" a="1"/>
  <c r="H3551" i="3" a="1"/>
  <c r="H3552" i="3" a="1"/>
  <c r="H3553" i="3" a="1"/>
  <c r="H3554" i="3" a="1"/>
  <c r="H3555" i="3" a="1"/>
  <c r="H3556" i="3" a="1"/>
  <c r="H3557" i="3" a="1"/>
  <c r="H3558" i="3" a="1"/>
  <c r="H3559" i="3" a="1"/>
  <c r="H3560" i="3" a="1"/>
  <c r="H3561" i="3" a="1"/>
  <c r="H3562" i="3" a="1"/>
  <c r="H3563" i="3" a="1"/>
  <c r="H3564" i="3" a="1"/>
  <c r="H3565" i="3" a="1"/>
  <c r="H3566" i="3" a="1"/>
  <c r="H3567" i="3" a="1"/>
  <c r="H3568" i="3" a="1"/>
  <c r="H3569" i="3" a="1"/>
  <c r="H3570" i="3" a="1"/>
  <c r="H3571" i="3" a="1"/>
  <c r="H3572" i="3" a="1"/>
  <c r="H3573" i="3" a="1"/>
  <c r="H3574" i="3" a="1"/>
  <c r="H3575" i="3" a="1"/>
  <c r="H3576" i="3" a="1"/>
  <c r="H3577" i="3" a="1"/>
  <c r="H3578" i="3" a="1"/>
  <c r="H3579" i="3" a="1"/>
  <c r="H3580" i="3" a="1"/>
  <c r="H3581" i="3" a="1"/>
  <c r="H3582" i="3" a="1"/>
  <c r="H3583" i="3" a="1"/>
  <c r="H3584" i="3" a="1"/>
  <c r="H3585" i="3" a="1"/>
  <c r="H3586" i="3" a="1"/>
  <c r="H3587" i="3" a="1"/>
  <c r="H3588" i="3" a="1"/>
  <c r="H3589" i="3" a="1"/>
  <c r="H3590" i="3" a="1"/>
  <c r="H3591" i="3" a="1"/>
  <c r="H3592" i="3" a="1"/>
  <c r="H3593" i="3" a="1"/>
  <c r="H3594" i="3" a="1"/>
  <c r="H3595" i="3" a="1"/>
  <c r="H3596" i="3" a="1"/>
  <c r="H3597" i="3" a="1"/>
  <c r="H3598" i="3" a="1"/>
  <c r="H3599" i="3" a="1"/>
  <c r="H3600" i="3" a="1"/>
  <c r="H3601" i="3" a="1"/>
  <c r="H3602" i="3" a="1"/>
  <c r="H3603" i="3" a="1"/>
  <c r="H3604" i="3" a="1"/>
  <c r="H3605" i="3" a="1"/>
  <c r="H3606" i="3" a="1"/>
  <c r="H3607" i="3" a="1"/>
  <c r="H3608" i="3" a="1"/>
  <c r="H3609" i="3" a="1"/>
  <c r="H3610" i="3" a="1"/>
  <c r="H3611" i="3" a="1"/>
  <c r="H3612" i="3" a="1"/>
  <c r="H3613" i="3" a="1"/>
  <c r="H3614" i="3" a="1"/>
  <c r="H3615" i="3" a="1"/>
  <c r="H3616" i="3" a="1"/>
  <c r="H3617" i="3" a="1"/>
  <c r="H3618" i="3" a="1"/>
  <c r="H3619" i="3" a="1"/>
  <c r="H3620" i="3" a="1"/>
  <c r="H3621" i="3" a="1"/>
  <c r="H3622" i="3" a="1"/>
  <c r="H3623" i="3" a="1"/>
  <c r="H3624" i="3" a="1"/>
  <c r="H3625" i="3" a="1"/>
  <c r="H3626" i="3" a="1"/>
  <c r="H3627" i="3" a="1"/>
  <c r="H3628" i="3" a="1"/>
  <c r="H3629" i="3" a="1"/>
  <c r="H3630" i="3" a="1"/>
  <c r="H3631" i="3" a="1"/>
  <c r="H3632" i="3" a="1"/>
  <c r="H3633" i="3" a="1"/>
  <c r="H3634" i="3" a="1"/>
  <c r="H3635" i="3" a="1"/>
  <c r="H3636" i="3" a="1"/>
  <c r="H3637" i="3" a="1"/>
  <c r="H3638" i="3" a="1"/>
  <c r="H3639" i="3" a="1"/>
  <c r="H3640" i="3" a="1"/>
  <c r="H3641" i="3" a="1"/>
  <c r="H3642" i="3" a="1"/>
  <c r="H3643" i="3" a="1"/>
  <c r="H3644" i="3" a="1"/>
  <c r="H3645" i="3" a="1"/>
  <c r="H3646" i="3" a="1"/>
  <c r="H3647" i="3" a="1"/>
  <c r="H3648" i="3" a="1"/>
  <c r="H3649" i="3" a="1"/>
  <c r="H3650" i="3" a="1"/>
  <c r="H3651" i="3" a="1"/>
  <c r="H3652" i="3" a="1"/>
  <c r="H3653" i="3" a="1"/>
  <c r="H3654" i="3" a="1"/>
  <c r="H3655" i="3" a="1"/>
  <c r="H3656" i="3" a="1"/>
  <c r="H3657" i="3" a="1"/>
  <c r="H3658" i="3" a="1"/>
  <c r="H3659" i="3" a="1"/>
  <c r="H3660" i="3" a="1"/>
  <c r="H3661" i="3" a="1"/>
  <c r="H3662" i="3" a="1"/>
  <c r="H3663" i="3" a="1"/>
  <c r="H3664" i="3" a="1"/>
  <c r="H3665" i="3" a="1"/>
  <c r="H3666" i="3" a="1"/>
  <c r="H3667" i="3" a="1"/>
  <c r="H3668" i="3" a="1"/>
  <c r="H3669" i="3" a="1"/>
  <c r="H3670" i="3" a="1"/>
  <c r="H3671" i="3" a="1"/>
  <c r="H3672" i="3" a="1"/>
  <c r="H3673" i="3" a="1"/>
  <c r="H3674" i="3" a="1"/>
  <c r="H3675" i="3" a="1"/>
  <c r="H3676" i="3" a="1"/>
  <c r="H3677" i="3" a="1"/>
  <c r="H3678" i="3" a="1"/>
  <c r="H3679" i="3" a="1"/>
  <c r="H3680" i="3" a="1"/>
  <c r="H3681" i="3" a="1"/>
  <c r="H3682" i="3" a="1"/>
  <c r="H3683" i="3" a="1"/>
  <c r="H3684" i="3" a="1"/>
  <c r="H3685" i="3" a="1"/>
  <c r="H3686" i="3" a="1"/>
  <c r="H3687" i="3" a="1"/>
  <c r="H3688" i="3" a="1"/>
  <c r="H3689" i="3" a="1"/>
  <c r="H3690" i="3" a="1"/>
  <c r="H3691" i="3" a="1"/>
  <c r="H3692" i="3" a="1"/>
  <c r="H3693" i="3" a="1"/>
  <c r="H3694" i="3" a="1"/>
  <c r="H3695" i="3" a="1"/>
  <c r="H3696" i="3" a="1"/>
  <c r="H3697" i="3" a="1"/>
  <c r="H3698" i="3" a="1"/>
  <c r="H3699" i="3" a="1"/>
  <c r="H3700" i="3" a="1"/>
  <c r="H3701" i="3" a="1"/>
  <c r="H3702" i="3" a="1"/>
  <c r="H3703" i="3" a="1"/>
  <c r="H3704" i="3" a="1"/>
  <c r="H3705" i="3" a="1"/>
  <c r="H3706" i="3" a="1"/>
  <c r="H3707" i="3" a="1"/>
  <c r="H3708" i="3" a="1"/>
  <c r="H3709" i="3" a="1"/>
  <c r="H3710" i="3" a="1"/>
  <c r="H3711" i="3" a="1"/>
  <c r="H3712" i="3" a="1"/>
  <c r="H3713" i="3" a="1"/>
  <c r="H3714" i="3" a="1"/>
  <c r="H3715" i="3" a="1"/>
  <c r="H3716" i="3" a="1"/>
  <c r="H3717" i="3" a="1"/>
  <c r="H3718" i="3" a="1"/>
  <c r="H3719" i="3" a="1"/>
  <c r="H3720" i="3" a="1"/>
  <c r="H3721" i="3" a="1"/>
  <c r="H3722" i="3" a="1"/>
  <c r="H3723" i="3" a="1"/>
  <c r="H3724" i="3" a="1"/>
  <c r="H3725" i="3" a="1"/>
  <c r="H3726" i="3" a="1"/>
  <c r="H3727" i="3" a="1"/>
  <c r="H3728" i="3" a="1"/>
  <c r="H3729" i="3" a="1"/>
  <c r="H3730" i="3" a="1"/>
  <c r="H3731" i="3" a="1"/>
  <c r="H3732" i="3" a="1"/>
  <c r="H3733" i="3" a="1"/>
  <c r="H3734" i="3" a="1"/>
  <c r="H3735" i="3" a="1"/>
  <c r="H3736" i="3" a="1"/>
  <c r="H3737" i="3" a="1"/>
  <c r="H3738" i="3" a="1"/>
  <c r="H3739" i="3" a="1"/>
  <c r="H3740" i="3" a="1"/>
  <c r="H3741" i="3" a="1"/>
  <c r="H3742" i="3" a="1"/>
  <c r="H3743" i="3" a="1"/>
  <c r="H3744" i="3" a="1"/>
  <c r="H3745" i="3" a="1"/>
  <c r="H3746" i="3" a="1"/>
  <c r="H3747" i="3" a="1"/>
  <c r="H3748" i="3" a="1"/>
  <c r="H3749" i="3" a="1"/>
  <c r="H3750" i="3" a="1"/>
  <c r="H3751" i="3" a="1"/>
  <c r="H3752" i="3" a="1"/>
  <c r="H3753" i="3" a="1"/>
  <c r="H3754" i="3" a="1"/>
  <c r="H3755" i="3" a="1"/>
  <c r="H3756" i="3" a="1"/>
  <c r="H3757" i="3" a="1"/>
  <c r="H3758" i="3" a="1"/>
  <c r="H3759" i="3" a="1"/>
  <c r="H3760" i="3" a="1"/>
  <c r="H3761" i="3" a="1"/>
  <c r="H3762" i="3" a="1"/>
  <c r="H3763" i="3" a="1"/>
  <c r="H3764" i="3" a="1"/>
  <c r="H3765" i="3" a="1"/>
  <c r="H3766" i="3" a="1"/>
  <c r="H3767" i="3" a="1"/>
  <c r="H3768" i="3" a="1"/>
  <c r="H3769" i="3" a="1"/>
  <c r="H3770" i="3" a="1"/>
  <c r="H3771" i="3" a="1"/>
  <c r="H3772" i="3" a="1"/>
  <c r="H3773" i="3" a="1"/>
  <c r="H3774" i="3" a="1"/>
  <c r="H3775" i="3" a="1"/>
  <c r="H3776" i="3" a="1"/>
  <c r="H3777" i="3" a="1"/>
  <c r="H3778" i="3" a="1"/>
  <c r="H3779" i="3" a="1"/>
  <c r="H3780" i="3" a="1"/>
  <c r="H3781" i="3" a="1"/>
  <c r="H3782" i="3" a="1"/>
  <c r="H3783" i="3" a="1"/>
  <c r="H3784" i="3" a="1"/>
  <c r="H3785" i="3" a="1"/>
  <c r="H3786" i="3" a="1"/>
  <c r="H3787" i="3" a="1"/>
  <c r="H3788" i="3" a="1"/>
  <c r="H3789" i="3" a="1"/>
  <c r="H3790" i="3" a="1"/>
  <c r="H3791" i="3" a="1"/>
  <c r="H3792" i="3" a="1"/>
  <c r="H3793" i="3" a="1"/>
  <c r="H3794" i="3" a="1"/>
  <c r="H3795" i="3" a="1"/>
  <c r="H3796" i="3" a="1"/>
  <c r="H3797" i="3" a="1"/>
  <c r="H3798" i="3" a="1"/>
  <c r="H3799" i="3" a="1"/>
  <c r="H3800" i="3" a="1"/>
  <c r="H3801" i="3" a="1"/>
  <c r="H3802" i="3" a="1"/>
  <c r="H3803" i="3" a="1"/>
  <c r="H3804" i="3" a="1"/>
  <c r="H3805" i="3" a="1"/>
  <c r="H3806" i="3" a="1"/>
  <c r="H3807" i="3" a="1"/>
  <c r="H3808" i="3" a="1"/>
  <c r="H3809" i="3" a="1"/>
  <c r="H3810" i="3" a="1"/>
  <c r="H3811" i="3" a="1"/>
  <c r="H3812" i="3" a="1"/>
  <c r="H3813" i="3" a="1"/>
  <c r="H3814" i="3" a="1"/>
  <c r="H3815" i="3" a="1"/>
  <c r="H3816" i="3" a="1"/>
  <c r="H3817" i="3" a="1"/>
  <c r="H3818" i="3" a="1"/>
  <c r="H3819" i="3" a="1"/>
  <c r="H3820" i="3" a="1"/>
  <c r="H3821" i="3" a="1"/>
  <c r="H3822" i="3" a="1"/>
  <c r="H3823" i="3" a="1"/>
  <c r="H3824" i="3" a="1"/>
  <c r="H3825" i="3" a="1"/>
  <c r="H3826" i="3" a="1"/>
  <c r="H3827" i="3" a="1"/>
  <c r="H3828" i="3" a="1"/>
  <c r="H3829" i="3" a="1"/>
  <c r="H3830" i="3" a="1"/>
  <c r="H3831" i="3" a="1"/>
  <c r="H3832" i="3" a="1"/>
  <c r="H3833" i="3" a="1"/>
  <c r="H3834" i="3" a="1"/>
  <c r="H3835" i="3" a="1"/>
  <c r="H3836" i="3" a="1"/>
  <c r="H3837" i="3" a="1"/>
  <c r="H3838" i="3" a="1"/>
  <c r="H3839" i="3" a="1"/>
  <c r="H3840" i="3" a="1"/>
  <c r="H3841" i="3" a="1"/>
  <c r="H3842" i="3" a="1"/>
  <c r="H3843" i="3" a="1"/>
  <c r="H3844" i="3" a="1"/>
  <c r="H3845" i="3" a="1"/>
  <c r="H3846" i="3" a="1"/>
  <c r="H3847" i="3" a="1"/>
  <c r="H3848" i="3" a="1"/>
  <c r="H3849" i="3" a="1"/>
  <c r="H3850" i="3" a="1"/>
  <c r="H3851" i="3" a="1"/>
  <c r="H3852" i="3" a="1"/>
  <c r="H3853" i="3" a="1"/>
  <c r="H3854" i="3" a="1"/>
  <c r="H3855" i="3" a="1"/>
  <c r="H3856" i="3" a="1"/>
  <c r="H3857" i="3" a="1"/>
  <c r="H3858" i="3" a="1"/>
  <c r="H3859" i="3" a="1"/>
  <c r="H3860" i="3" a="1"/>
  <c r="H3861" i="3" a="1"/>
  <c r="H3862" i="3" a="1"/>
  <c r="H3863" i="3" a="1"/>
  <c r="H3864" i="3" a="1"/>
  <c r="H3865" i="3" a="1"/>
  <c r="H3866" i="3" a="1"/>
  <c r="H3867" i="3" a="1"/>
  <c r="H3868" i="3" a="1"/>
  <c r="H3869" i="3" a="1"/>
  <c r="H3870" i="3" a="1"/>
  <c r="H3871" i="3" a="1"/>
  <c r="H3872" i="3" a="1"/>
  <c r="H3873" i="3" a="1"/>
  <c r="H3874" i="3" a="1"/>
  <c r="H3875" i="3" a="1"/>
  <c r="H3876" i="3" a="1"/>
  <c r="H3877" i="3" a="1"/>
  <c r="H3878" i="3" a="1"/>
  <c r="H3879" i="3" a="1"/>
  <c r="H3880" i="3" a="1"/>
  <c r="H3881" i="3" a="1"/>
  <c r="H3882" i="3" a="1"/>
  <c r="H3883" i="3" a="1"/>
  <c r="H3884" i="3" a="1"/>
  <c r="H3885" i="3" a="1"/>
  <c r="H3886" i="3" a="1"/>
  <c r="H3887" i="3" a="1"/>
  <c r="H3888" i="3" a="1"/>
  <c r="H3889" i="3" a="1"/>
  <c r="H3890" i="3" a="1"/>
  <c r="H3891" i="3" a="1"/>
  <c r="H3892" i="3" a="1"/>
  <c r="H3893" i="3" a="1"/>
  <c r="H3894" i="3" a="1"/>
  <c r="H3895" i="3" a="1"/>
  <c r="H3896" i="3" a="1"/>
  <c r="H3897" i="3" a="1"/>
  <c r="H3898" i="3" a="1"/>
  <c r="H3899" i="3" a="1"/>
  <c r="H3900" i="3" a="1"/>
  <c r="H3901" i="3" a="1"/>
  <c r="H3902" i="3" a="1"/>
  <c r="H3903" i="3" a="1"/>
  <c r="H3904" i="3" a="1"/>
  <c r="H3905" i="3" a="1"/>
  <c r="H3906" i="3" a="1"/>
  <c r="H3907" i="3" a="1"/>
  <c r="H3908" i="3" a="1"/>
  <c r="H3909" i="3" a="1"/>
  <c r="H3910" i="3" a="1"/>
  <c r="H3911" i="3" a="1"/>
  <c r="H3912" i="3" a="1"/>
  <c r="H3913" i="3" a="1"/>
  <c r="H3914" i="3" a="1"/>
  <c r="H3915" i="3" a="1"/>
  <c r="H3916" i="3" a="1"/>
  <c r="H3917" i="3" a="1"/>
  <c r="H3918" i="3" a="1"/>
  <c r="H3919" i="3" a="1"/>
  <c r="H3920" i="3" a="1"/>
  <c r="H3921" i="3" a="1"/>
  <c r="H3922" i="3" a="1"/>
  <c r="H3923" i="3" a="1"/>
  <c r="H3924" i="3" a="1"/>
  <c r="H3925" i="3" a="1"/>
  <c r="H3926" i="3" a="1"/>
  <c r="H3927" i="3" a="1"/>
  <c r="H3928" i="3" a="1"/>
  <c r="H3929" i="3" a="1"/>
  <c r="H3930" i="3" a="1"/>
  <c r="H3931" i="3" a="1"/>
  <c r="H3932" i="3" a="1"/>
  <c r="H3933" i="3" a="1"/>
  <c r="H3934" i="3" a="1"/>
  <c r="H3935" i="3" a="1"/>
  <c r="H3936" i="3" a="1"/>
  <c r="H3937" i="3" a="1"/>
  <c r="H3938" i="3" a="1"/>
  <c r="H3939" i="3" a="1"/>
  <c r="H3940" i="3" a="1"/>
  <c r="H3941" i="3" a="1"/>
  <c r="H3942" i="3" a="1"/>
  <c r="H3943" i="3" a="1"/>
  <c r="H3944" i="3" a="1"/>
  <c r="H3945" i="3" a="1"/>
  <c r="H3946" i="3" a="1"/>
  <c r="H3947" i="3" a="1"/>
  <c r="H3948" i="3" a="1"/>
  <c r="H3949" i="3" a="1"/>
  <c r="H3950" i="3" a="1"/>
  <c r="H3951" i="3" a="1"/>
  <c r="H3952" i="3" a="1"/>
  <c r="H3953" i="3" a="1"/>
  <c r="H3954" i="3" a="1"/>
  <c r="H3955" i="3" a="1"/>
  <c r="H3956" i="3" a="1"/>
  <c r="H3957" i="3" a="1"/>
  <c r="H3958" i="3" a="1"/>
  <c r="H3959" i="3" a="1"/>
  <c r="H3960" i="3" a="1"/>
  <c r="H3961" i="3" a="1"/>
  <c r="H3962" i="3" a="1"/>
  <c r="H3963" i="3" a="1"/>
  <c r="H3964" i="3" a="1"/>
  <c r="H3965" i="3" a="1"/>
  <c r="H3966" i="3" a="1"/>
  <c r="H3967" i="3" a="1"/>
  <c r="H3968" i="3" a="1"/>
  <c r="H3969" i="3" a="1"/>
  <c r="H3970" i="3" a="1"/>
  <c r="H3971" i="3" a="1"/>
  <c r="H3972" i="3" a="1"/>
  <c r="H3973" i="3" a="1"/>
  <c r="H3974" i="3" a="1"/>
  <c r="H3975" i="3" a="1"/>
  <c r="H3976" i="3" a="1"/>
  <c r="H3977" i="3" a="1"/>
  <c r="H3978" i="3" a="1"/>
  <c r="H3979" i="3" a="1"/>
  <c r="H3980" i="3" a="1"/>
  <c r="H3981" i="3" a="1"/>
  <c r="H3982" i="3" a="1"/>
  <c r="H3983" i="3" a="1"/>
  <c r="H3984" i="3" a="1"/>
  <c r="H3985" i="3" a="1"/>
  <c r="H3986" i="3" a="1"/>
  <c r="H3987" i="3" a="1"/>
  <c r="H3988" i="3" a="1"/>
  <c r="H3989" i="3" a="1"/>
  <c r="H3990" i="3" a="1"/>
  <c r="H3991" i="3" a="1"/>
  <c r="H3992" i="3" a="1"/>
  <c r="H3993" i="3" a="1"/>
  <c r="H3994" i="3" a="1"/>
  <c r="H3995" i="3" a="1"/>
  <c r="H3996" i="3" a="1"/>
  <c r="H3997" i="3" a="1"/>
  <c r="H3998" i="3" a="1"/>
  <c r="H3999" i="3" a="1"/>
  <c r="H4000" i="3" a="1"/>
  <c r="H4001" i="3" a="1"/>
  <c r="H4002" i="3" a="1"/>
  <c r="H4003" i="3" a="1"/>
  <c r="H4004" i="3" a="1"/>
  <c r="H4005" i="3" a="1"/>
  <c r="H4006" i="3" a="1"/>
  <c r="H4007" i="3" a="1"/>
  <c r="H4008" i="3" a="1"/>
  <c r="H4009" i="3" a="1"/>
  <c r="H4010" i="3" a="1"/>
  <c r="H4011" i="3" a="1"/>
  <c r="H4012" i="3" a="1"/>
  <c r="H4013" i="3" a="1"/>
  <c r="H4014" i="3" a="1"/>
  <c r="H4015" i="3" a="1"/>
  <c r="H4016" i="3" a="1"/>
  <c r="H4017" i="3" a="1"/>
  <c r="H4018" i="3" a="1"/>
  <c r="H4019" i="3" a="1"/>
  <c r="H4020" i="3" a="1"/>
  <c r="H4021" i="3" a="1"/>
  <c r="H4022" i="3" a="1"/>
  <c r="H4023" i="3" a="1"/>
  <c r="H4024" i="3" a="1"/>
  <c r="H4025" i="3" a="1"/>
  <c r="H4026" i="3" a="1"/>
  <c r="H4027" i="3" a="1"/>
  <c r="H4028" i="3" a="1"/>
  <c r="H4029" i="3" a="1"/>
  <c r="H4030" i="3" a="1"/>
  <c r="H4031" i="3" a="1"/>
  <c r="H4032" i="3" a="1"/>
  <c r="H4033" i="3" a="1"/>
  <c r="H4034" i="3" a="1"/>
  <c r="H4035" i="3" a="1"/>
  <c r="H4036" i="3" a="1"/>
  <c r="H4037" i="3" a="1"/>
  <c r="H4038" i="3" a="1"/>
  <c r="H4039" i="3" a="1"/>
  <c r="H4040" i="3" a="1"/>
  <c r="H4041" i="3" a="1"/>
  <c r="H4042" i="3" a="1"/>
  <c r="H4043" i="3" a="1"/>
  <c r="H4044" i="3" a="1"/>
  <c r="H4045" i="3" a="1"/>
  <c r="H4046" i="3" a="1"/>
  <c r="H4047" i="3" a="1"/>
  <c r="H4048" i="3" a="1"/>
  <c r="H4049" i="3" a="1"/>
  <c r="H4050" i="3" a="1"/>
  <c r="H4051" i="3" a="1"/>
  <c r="H4052" i="3" a="1"/>
  <c r="H4053" i="3" a="1"/>
  <c r="H4054" i="3" a="1"/>
  <c r="H4055" i="3" a="1"/>
  <c r="H4056" i="3" a="1"/>
  <c r="H4057" i="3" a="1"/>
  <c r="H4058" i="3" a="1"/>
  <c r="H4059" i="3" a="1"/>
  <c r="H4060" i="3" a="1"/>
  <c r="H4061" i="3" a="1"/>
  <c r="H4062" i="3" a="1"/>
  <c r="H4063" i="3" a="1"/>
  <c r="H4064" i="3" a="1"/>
  <c r="H4065" i="3" a="1"/>
  <c r="H4066" i="3" a="1"/>
  <c r="H4067" i="3" a="1"/>
  <c r="H4068" i="3" a="1"/>
  <c r="H4069" i="3" a="1"/>
  <c r="H4070" i="3" a="1"/>
  <c r="H4071" i="3" a="1"/>
  <c r="H4072" i="3" a="1"/>
  <c r="H4073" i="3" a="1"/>
  <c r="H4074" i="3" a="1"/>
  <c r="H4075" i="3" a="1"/>
  <c r="H4076" i="3" a="1"/>
  <c r="H4077" i="3" a="1"/>
  <c r="H4078" i="3" a="1"/>
  <c r="H4079" i="3" a="1"/>
  <c r="H4080" i="3" a="1"/>
  <c r="H4081" i="3" a="1"/>
  <c r="H4082" i="3" a="1"/>
  <c r="H4083" i="3" a="1"/>
  <c r="H4084" i="3" a="1"/>
  <c r="H4085" i="3" a="1"/>
  <c r="H4086" i="3" a="1"/>
  <c r="H4087" i="3" a="1"/>
  <c r="H4088" i="3" a="1"/>
  <c r="H4089" i="3" a="1"/>
  <c r="H4090" i="3" a="1"/>
  <c r="H4091" i="3" a="1"/>
  <c r="H4092" i="3" a="1"/>
  <c r="H4093" i="3" a="1"/>
  <c r="H4094" i="3" a="1"/>
  <c r="H4095" i="3" a="1"/>
  <c r="H4096" i="3" a="1"/>
  <c r="H4097" i="3" a="1"/>
  <c r="H4098" i="3" a="1"/>
  <c r="H4099" i="3" a="1"/>
  <c r="H4100" i="3" a="1"/>
  <c r="H4101" i="3" a="1"/>
  <c r="H4102" i="3" a="1"/>
  <c r="H4103" i="3" a="1"/>
  <c r="H4104" i="3" a="1"/>
  <c r="H4105" i="3" a="1"/>
  <c r="H4106" i="3" a="1"/>
  <c r="H4107" i="3" a="1"/>
  <c r="H4108" i="3" a="1"/>
  <c r="H4109" i="3" a="1"/>
  <c r="H4110" i="3" a="1"/>
  <c r="H4111" i="3" a="1"/>
  <c r="H4112" i="3" a="1"/>
  <c r="H4113" i="3" a="1"/>
  <c r="H4114" i="3" a="1"/>
  <c r="H4115" i="3" a="1"/>
  <c r="H4116" i="3" a="1"/>
  <c r="H4117" i="3" a="1"/>
  <c r="H4118" i="3" a="1"/>
  <c r="H4119" i="3" a="1"/>
  <c r="H4120" i="3" a="1"/>
  <c r="H4121" i="3" a="1"/>
  <c r="H4122" i="3" a="1"/>
  <c r="H4123" i="3" a="1"/>
  <c r="H4124" i="3" a="1"/>
  <c r="H4125" i="3" a="1"/>
  <c r="H4126" i="3" a="1"/>
  <c r="H4127" i="3" a="1"/>
  <c r="H4128" i="3" a="1"/>
  <c r="H4129" i="3" a="1"/>
  <c r="H4130" i="3" a="1"/>
  <c r="H4131" i="3" a="1"/>
  <c r="H4132" i="3" a="1"/>
  <c r="H4133" i="3" a="1"/>
  <c r="H4134" i="3" a="1"/>
  <c r="H4135" i="3" a="1"/>
  <c r="H4136" i="3" a="1"/>
  <c r="H4137" i="3" a="1"/>
  <c r="H4138" i="3" a="1"/>
  <c r="H4139" i="3" a="1"/>
  <c r="H4140" i="3" a="1"/>
  <c r="H4141" i="3" a="1"/>
  <c r="H4142" i="3" a="1"/>
  <c r="H4143" i="3" a="1"/>
  <c r="H4144" i="3" a="1"/>
  <c r="H4145" i="3" a="1"/>
  <c r="H4146" i="3" a="1"/>
  <c r="H4147" i="3" a="1"/>
  <c r="H4148" i="3" a="1"/>
  <c r="H4149" i="3" a="1"/>
  <c r="H4150" i="3" a="1"/>
  <c r="H4151" i="3" a="1"/>
  <c r="H4152" i="3" a="1"/>
  <c r="H4153" i="3" a="1"/>
  <c r="H4154" i="3" a="1"/>
  <c r="H4155" i="3" a="1"/>
  <c r="H4156" i="3" a="1"/>
  <c r="H4157" i="3" a="1"/>
  <c r="H4158" i="3" a="1"/>
  <c r="H4159" i="3" a="1"/>
  <c r="H4160" i="3" a="1"/>
  <c r="H4161" i="3" a="1"/>
  <c r="H4162" i="3" a="1"/>
  <c r="H4163" i="3" a="1"/>
  <c r="H4164" i="3" a="1"/>
  <c r="H4165" i="3" a="1"/>
  <c r="H4166" i="3" a="1"/>
  <c r="H4167" i="3" a="1"/>
  <c r="H4168" i="3" a="1"/>
  <c r="H4169" i="3" a="1"/>
  <c r="H4170" i="3" a="1"/>
  <c r="H4171" i="3" a="1"/>
  <c r="H4172" i="3" a="1"/>
  <c r="H4173" i="3" a="1"/>
  <c r="H4174" i="3" a="1"/>
  <c r="H4175" i="3" a="1"/>
  <c r="H4176" i="3" a="1"/>
  <c r="H4177" i="3" a="1"/>
  <c r="H4178" i="3" a="1"/>
  <c r="H4179" i="3" a="1"/>
  <c r="H4180" i="3" a="1"/>
  <c r="H4181" i="3" a="1"/>
  <c r="H4182" i="3" a="1"/>
  <c r="H4183" i="3" a="1"/>
  <c r="H4184" i="3" a="1"/>
  <c r="H4185" i="3" a="1"/>
  <c r="H4186" i="3" a="1"/>
  <c r="H4187" i="3" a="1"/>
  <c r="H4188" i="3" a="1"/>
  <c r="H4189" i="3" a="1"/>
  <c r="H4190" i="3" a="1"/>
  <c r="H4191" i="3" a="1"/>
  <c r="H4192" i="3" a="1"/>
  <c r="H4193" i="3" a="1"/>
  <c r="H4194" i="3" a="1"/>
  <c r="H4195" i="3" a="1"/>
  <c r="H4196" i="3" a="1"/>
  <c r="H4197" i="3" a="1"/>
  <c r="H4198" i="3" a="1"/>
  <c r="H4199" i="3" a="1"/>
  <c r="H4200" i="3" a="1"/>
  <c r="H4201" i="3" a="1"/>
  <c r="H4202" i="3" a="1"/>
  <c r="H4203" i="3" a="1"/>
  <c r="H4204" i="3" a="1"/>
  <c r="H4205" i="3" a="1"/>
  <c r="H4206" i="3" a="1"/>
  <c r="H4207" i="3" a="1"/>
  <c r="H4208" i="3" a="1"/>
  <c r="H4209" i="3" a="1"/>
  <c r="H4210" i="3" a="1"/>
  <c r="H4211" i="3" a="1"/>
  <c r="H4212" i="3" a="1"/>
  <c r="H4213" i="3" a="1"/>
  <c r="H4214" i="3" a="1"/>
  <c r="H4215" i="3" a="1"/>
  <c r="H4216" i="3" a="1"/>
  <c r="H4217" i="3" a="1"/>
  <c r="H4218" i="3" a="1"/>
  <c r="H4219" i="3" a="1"/>
  <c r="H4220" i="3" a="1"/>
  <c r="H4221" i="3" a="1"/>
  <c r="H4222" i="3" a="1"/>
  <c r="H4223" i="3" a="1"/>
  <c r="H4224" i="3" a="1"/>
  <c r="H4225" i="3" a="1"/>
  <c r="H4226" i="3" a="1"/>
  <c r="H4227" i="3" a="1"/>
  <c r="H4228" i="3" a="1"/>
  <c r="H4229" i="3" a="1"/>
  <c r="H4230" i="3" a="1"/>
  <c r="H4231" i="3" a="1"/>
  <c r="H4232" i="3" a="1"/>
  <c r="H4233" i="3" a="1"/>
  <c r="H4234" i="3" a="1"/>
  <c r="H4235" i="3" a="1"/>
  <c r="H4236" i="3" a="1"/>
  <c r="H4237" i="3" a="1"/>
  <c r="H4238" i="3" a="1"/>
  <c r="H4239" i="3" a="1"/>
  <c r="H4240" i="3" a="1"/>
  <c r="H4241" i="3" a="1"/>
  <c r="H4242" i="3" a="1"/>
  <c r="H4243" i="3" a="1"/>
  <c r="H4244" i="3" a="1"/>
  <c r="H4245" i="3" a="1"/>
  <c r="H4246" i="3" a="1"/>
  <c r="H4247" i="3" a="1"/>
  <c r="H4248" i="3" a="1"/>
  <c r="H4249" i="3" a="1"/>
  <c r="H4250" i="3" a="1"/>
  <c r="H4251" i="3" a="1"/>
  <c r="H4252" i="3" a="1"/>
  <c r="H4253" i="3" a="1"/>
  <c r="H4254" i="3" a="1"/>
  <c r="H4255" i="3" a="1"/>
  <c r="H4256" i="3" a="1"/>
  <c r="H4257" i="3" a="1"/>
  <c r="H4258" i="3" a="1"/>
  <c r="H4259" i="3" a="1"/>
  <c r="H4260" i="3" a="1"/>
  <c r="H4261" i="3" a="1"/>
  <c r="H4262" i="3" a="1"/>
  <c r="H4263" i="3" a="1"/>
  <c r="H4264" i="3" a="1"/>
  <c r="H4265" i="3" a="1"/>
  <c r="H4266" i="3" a="1"/>
  <c r="H4267" i="3" a="1"/>
  <c r="H4268" i="3" a="1"/>
  <c r="H4269" i="3" a="1"/>
  <c r="H4270" i="3" a="1"/>
  <c r="H4271" i="3" a="1"/>
  <c r="H4272" i="3" a="1"/>
  <c r="H4273" i="3" a="1"/>
  <c r="H4274" i="3" a="1"/>
  <c r="H4275" i="3" a="1"/>
  <c r="H4276" i="3" a="1"/>
  <c r="H4277" i="3" a="1"/>
  <c r="H4278" i="3" a="1"/>
  <c r="H4279" i="3" a="1"/>
  <c r="H4280" i="3" a="1"/>
  <c r="H4281" i="3" a="1"/>
  <c r="H4282" i="3" a="1"/>
  <c r="H4283" i="3" a="1"/>
  <c r="H4284" i="3" a="1"/>
  <c r="H4285" i="3" a="1"/>
  <c r="H4286" i="3" a="1"/>
  <c r="H4287" i="3" a="1"/>
  <c r="H4288" i="3" a="1"/>
  <c r="H4289" i="3" a="1"/>
  <c r="H4290" i="3" a="1"/>
  <c r="H4291" i="3" a="1"/>
  <c r="H4292" i="3" a="1"/>
  <c r="H4293" i="3" a="1"/>
  <c r="H4294" i="3" a="1"/>
  <c r="H4295" i="3" a="1"/>
  <c r="H4296" i="3" a="1"/>
  <c r="H4297" i="3" a="1"/>
  <c r="H4298" i="3" a="1"/>
  <c r="H4299" i="3" a="1"/>
  <c r="H4300" i="3" a="1"/>
  <c r="H4301" i="3" a="1"/>
  <c r="H4302" i="3" a="1"/>
  <c r="H4303" i="3" a="1"/>
  <c r="H4304" i="3" a="1"/>
  <c r="H4305" i="3" a="1"/>
  <c r="H4306" i="3" a="1"/>
  <c r="H4307" i="3" a="1"/>
  <c r="H4308" i="3" a="1"/>
  <c r="H4309" i="3" a="1"/>
  <c r="H4310" i="3" a="1"/>
  <c r="H4311" i="3" a="1"/>
  <c r="H4312" i="3" a="1"/>
  <c r="H4313" i="3" a="1"/>
  <c r="H4314" i="3" a="1"/>
  <c r="H4315" i="3" a="1"/>
  <c r="H4316" i="3" a="1"/>
  <c r="H4317" i="3" a="1"/>
  <c r="H4318" i="3" a="1"/>
  <c r="H4319" i="3" a="1"/>
  <c r="H4320" i="3" a="1"/>
  <c r="H4321" i="3" a="1"/>
  <c r="H4322" i="3" a="1"/>
  <c r="H4323" i="3" a="1"/>
  <c r="H4324" i="3" a="1"/>
  <c r="H4325" i="3" a="1"/>
  <c r="H4326" i="3" a="1"/>
  <c r="H4327" i="3" a="1"/>
  <c r="H4328" i="3" a="1"/>
  <c r="H4329" i="3" a="1"/>
  <c r="H4330" i="3" a="1"/>
  <c r="H4331" i="3" a="1"/>
  <c r="H4332" i="3" a="1"/>
  <c r="H4333" i="3" a="1"/>
  <c r="H4334" i="3" a="1"/>
  <c r="H4335" i="3" a="1"/>
  <c r="H4336" i="3" a="1"/>
  <c r="H4337" i="3" a="1"/>
  <c r="H4338" i="3" a="1"/>
  <c r="H4339" i="3" a="1"/>
  <c r="H4340" i="3" a="1"/>
  <c r="H4341" i="3" a="1"/>
  <c r="H4342" i="3" a="1"/>
  <c r="H4343" i="3" a="1"/>
  <c r="H4344" i="3" a="1"/>
  <c r="H4345" i="3" a="1"/>
  <c r="H4346" i="3" a="1"/>
  <c r="H4347" i="3" a="1"/>
  <c r="H4348" i="3" a="1"/>
  <c r="H4349" i="3" a="1"/>
  <c r="H4350" i="3" a="1"/>
  <c r="H4351" i="3" a="1"/>
  <c r="H4352" i="3" a="1"/>
  <c r="H4353" i="3" a="1"/>
  <c r="H4354" i="3" a="1"/>
  <c r="H4355" i="3" a="1"/>
  <c r="H4356" i="3" a="1"/>
  <c r="H4357" i="3" a="1"/>
  <c r="H4358" i="3" a="1"/>
  <c r="H4359" i="3" a="1"/>
  <c r="H4360" i="3" a="1"/>
  <c r="H4361" i="3" a="1"/>
  <c r="H4362" i="3" a="1"/>
  <c r="H4363" i="3" a="1"/>
  <c r="H4364" i="3" a="1"/>
  <c r="H4365" i="3" a="1"/>
  <c r="H4366" i="3" a="1"/>
  <c r="H4367" i="3" a="1"/>
  <c r="H4368" i="3" a="1"/>
  <c r="H4369" i="3" a="1"/>
  <c r="H4370" i="3" a="1"/>
  <c r="H4371" i="3" a="1"/>
  <c r="H4372" i="3" a="1"/>
  <c r="H4373" i="3" a="1"/>
  <c r="H4374" i="3" a="1"/>
  <c r="H4375" i="3" a="1"/>
  <c r="H4376" i="3" a="1"/>
  <c r="H4377" i="3" a="1"/>
  <c r="H4378" i="3" a="1"/>
  <c r="H4379" i="3" a="1"/>
  <c r="H4380" i="3" a="1"/>
  <c r="H4381" i="3" a="1"/>
  <c r="H4382" i="3" a="1"/>
  <c r="H4383" i="3" a="1"/>
  <c r="H4384" i="3" a="1"/>
  <c r="H4385" i="3" a="1"/>
  <c r="H4386" i="3" a="1"/>
  <c r="H4387" i="3" a="1"/>
  <c r="H4388" i="3" a="1"/>
  <c r="H4389" i="3" a="1"/>
  <c r="H4390" i="3" a="1"/>
  <c r="H4391" i="3" a="1"/>
  <c r="H4392" i="3" a="1"/>
  <c r="H4393" i="3" a="1"/>
  <c r="H4394" i="3" a="1"/>
  <c r="H4395" i="3" a="1"/>
  <c r="H4396" i="3" a="1"/>
  <c r="H4397" i="3" a="1"/>
  <c r="H4398" i="3" a="1"/>
  <c r="H4399" i="3" a="1"/>
  <c r="H4400" i="3" a="1"/>
  <c r="H4401" i="3" a="1"/>
  <c r="H4402" i="3" a="1"/>
  <c r="H4403" i="3" a="1"/>
  <c r="H4404" i="3" a="1"/>
  <c r="H4405" i="3" a="1"/>
  <c r="H4406" i="3" a="1"/>
  <c r="H4407" i="3" a="1"/>
  <c r="H4408" i="3" a="1"/>
  <c r="H4409" i="3" a="1"/>
  <c r="H4410" i="3" a="1"/>
  <c r="H4411" i="3" a="1"/>
  <c r="H4412" i="3" a="1"/>
  <c r="H4413" i="3" a="1"/>
  <c r="H4414" i="3" a="1"/>
  <c r="H4415" i="3" a="1"/>
  <c r="H4416" i="3" a="1"/>
  <c r="H4417" i="3" a="1"/>
  <c r="H4418" i="3" a="1"/>
  <c r="H4419" i="3" a="1"/>
  <c r="H4420" i="3" a="1"/>
  <c r="H4421" i="3" a="1"/>
  <c r="H4422" i="3" a="1"/>
  <c r="H4423" i="3" a="1"/>
  <c r="H4424" i="3" a="1"/>
  <c r="H4425" i="3" a="1"/>
  <c r="H4426" i="3" a="1"/>
  <c r="H4427" i="3" a="1"/>
  <c r="H4428" i="3" a="1"/>
  <c r="H4429" i="3" a="1"/>
  <c r="H4430" i="3" a="1"/>
  <c r="H4431" i="3" a="1"/>
  <c r="H4432" i="3" a="1"/>
  <c r="H4433" i="3" a="1"/>
  <c r="H4434" i="3" a="1"/>
  <c r="H4435" i="3" a="1"/>
  <c r="H4436" i="3" a="1"/>
  <c r="H4437" i="3" a="1"/>
  <c r="H4438" i="3" a="1"/>
  <c r="H4439" i="3" a="1"/>
  <c r="H4440" i="3" a="1"/>
  <c r="H4441" i="3" a="1"/>
  <c r="H4442" i="3" a="1"/>
  <c r="H4443" i="3" a="1"/>
  <c r="H4444" i="3" a="1"/>
  <c r="H4445" i="3" a="1"/>
  <c r="H4446" i="3" a="1"/>
  <c r="H4447" i="3" a="1"/>
  <c r="H4448" i="3" a="1"/>
  <c r="H4449" i="3" a="1"/>
  <c r="H4450" i="3" a="1"/>
  <c r="H4451" i="3" a="1"/>
  <c r="H4452" i="3" a="1"/>
  <c r="H4453" i="3" a="1"/>
  <c r="H4454" i="3" a="1"/>
  <c r="H4455" i="3" a="1"/>
  <c r="H4456" i="3" a="1"/>
  <c r="H4457" i="3" a="1"/>
  <c r="H4458" i="3" a="1"/>
  <c r="H4459" i="3" a="1"/>
  <c r="H4460" i="3" a="1"/>
  <c r="H4461" i="3" a="1"/>
  <c r="H4462" i="3" a="1"/>
  <c r="H4463" i="3" a="1"/>
  <c r="H4464" i="3" a="1"/>
  <c r="H4465" i="3" a="1"/>
  <c r="H4466" i="3" a="1"/>
  <c r="H4467" i="3" a="1"/>
  <c r="H4468" i="3" a="1"/>
  <c r="H4469" i="3" a="1"/>
  <c r="H4470" i="3" a="1"/>
  <c r="H4471" i="3" a="1"/>
  <c r="H4472" i="3" a="1"/>
  <c r="H4473" i="3" a="1"/>
  <c r="H4474" i="3" a="1"/>
  <c r="H4475" i="3" a="1"/>
  <c r="H4476" i="3" a="1"/>
  <c r="H4477" i="3" a="1"/>
  <c r="H4478" i="3" a="1"/>
  <c r="H4479" i="3" a="1"/>
  <c r="H4480" i="3" a="1"/>
  <c r="H4481" i="3" a="1"/>
  <c r="H4482" i="3" a="1"/>
  <c r="H4483" i="3" a="1"/>
  <c r="H4484" i="3" a="1"/>
  <c r="H4485" i="3" a="1"/>
  <c r="H4486" i="3" a="1"/>
  <c r="H4487" i="3" a="1"/>
  <c r="H4488" i="3" a="1"/>
  <c r="H4489" i="3" a="1"/>
  <c r="H4490" i="3" a="1"/>
  <c r="H4491" i="3" a="1"/>
  <c r="H4492" i="3" a="1"/>
  <c r="H4493" i="3" a="1"/>
  <c r="H4494" i="3" a="1"/>
  <c r="H4495" i="3" a="1"/>
  <c r="H4496" i="3" a="1"/>
  <c r="H4497" i="3" a="1"/>
  <c r="H4498" i="3" a="1"/>
  <c r="H4499" i="3" a="1"/>
  <c r="H4500" i="3" a="1"/>
  <c r="H4501" i="3" a="1"/>
  <c r="H4502" i="3" a="1"/>
  <c r="H4503" i="3" a="1"/>
  <c r="H4504" i="3" a="1"/>
  <c r="H4505" i="3" a="1"/>
  <c r="H4506" i="3" a="1"/>
  <c r="H4507" i="3" a="1"/>
  <c r="H4508" i="3" a="1"/>
  <c r="H4509" i="3" a="1"/>
  <c r="H4510" i="3" a="1"/>
  <c r="H4511" i="3" a="1"/>
  <c r="H4512" i="3" a="1"/>
  <c r="H4513" i="3" a="1"/>
  <c r="H4514" i="3" a="1"/>
  <c r="H4515" i="3" a="1"/>
  <c r="H4516" i="3" a="1"/>
  <c r="H4517" i="3" a="1"/>
  <c r="H4518" i="3" a="1"/>
  <c r="H4519" i="3" a="1"/>
  <c r="H4520" i="3" a="1"/>
  <c r="H4521" i="3" a="1"/>
  <c r="H4522" i="3" a="1"/>
  <c r="H4523" i="3" a="1"/>
  <c r="H4524" i="3" a="1"/>
  <c r="H4525" i="3" a="1"/>
  <c r="H4526" i="3" a="1"/>
  <c r="H4527" i="3" a="1"/>
  <c r="H4528" i="3" a="1"/>
  <c r="H4529" i="3" a="1"/>
  <c r="H4530" i="3" a="1"/>
  <c r="H4531" i="3" a="1"/>
  <c r="H4532" i="3" a="1"/>
  <c r="H4533" i="3" a="1"/>
  <c r="H4534" i="3" a="1"/>
  <c r="H4535" i="3" a="1"/>
  <c r="H4536" i="3" a="1"/>
  <c r="H4537" i="3" a="1"/>
  <c r="H4538" i="3" a="1"/>
  <c r="H4539" i="3" a="1"/>
  <c r="H4540" i="3" a="1"/>
  <c r="H4541" i="3" a="1"/>
  <c r="H4542" i="3" a="1"/>
  <c r="H4543" i="3" a="1"/>
  <c r="H4544" i="3" a="1"/>
  <c r="H4545" i="3" a="1"/>
  <c r="H4546" i="3" a="1"/>
  <c r="H4547" i="3" a="1"/>
  <c r="H4548" i="3" a="1"/>
  <c r="H4549" i="3" a="1"/>
  <c r="H4550" i="3" a="1"/>
  <c r="H4551" i="3" a="1"/>
  <c r="H4552" i="3" a="1"/>
  <c r="H4553" i="3" a="1"/>
  <c r="H4554" i="3" a="1"/>
  <c r="H4555" i="3" a="1"/>
  <c r="H4556" i="3" a="1"/>
  <c r="H4557" i="3" a="1"/>
  <c r="H4558" i="3" a="1"/>
  <c r="H4559" i="3" a="1"/>
  <c r="H4560" i="3" a="1"/>
  <c r="H4561" i="3" a="1"/>
  <c r="H4562" i="3" a="1"/>
  <c r="H4563" i="3" a="1"/>
  <c r="H4564" i="3" a="1"/>
  <c r="H4565" i="3" a="1"/>
  <c r="H4566" i="3" a="1"/>
  <c r="H4567" i="3" a="1"/>
  <c r="H4568" i="3" a="1"/>
  <c r="H4569" i="3" a="1"/>
  <c r="H4570" i="3" a="1"/>
  <c r="H4571" i="3" a="1"/>
  <c r="H4572" i="3" a="1"/>
  <c r="H4573" i="3" a="1"/>
  <c r="H4574" i="3" a="1"/>
  <c r="H4575" i="3" a="1"/>
  <c r="H4576" i="3" a="1"/>
  <c r="H4577" i="3" a="1"/>
  <c r="H4578" i="3" a="1"/>
  <c r="H4579" i="3" a="1"/>
  <c r="H4580" i="3" a="1"/>
  <c r="H4581" i="3" a="1"/>
  <c r="H4582" i="3" a="1"/>
  <c r="H4583" i="3" a="1"/>
  <c r="H4584" i="3" a="1"/>
  <c r="H4585" i="3" a="1"/>
  <c r="H4586" i="3" a="1"/>
  <c r="H4587" i="3" a="1"/>
  <c r="H4588" i="3" a="1"/>
  <c r="H4589" i="3" a="1"/>
  <c r="H4590" i="3" a="1"/>
  <c r="H4591" i="3" a="1"/>
  <c r="H4592" i="3" a="1"/>
  <c r="H4593" i="3" a="1"/>
  <c r="H4594" i="3" a="1"/>
  <c r="H4595" i="3" a="1"/>
  <c r="H4596" i="3" a="1"/>
  <c r="H4597" i="3" a="1"/>
  <c r="H4598" i="3" a="1"/>
  <c r="H4599" i="3" a="1"/>
  <c r="H4600" i="3" a="1"/>
  <c r="H4601" i="3" a="1"/>
  <c r="H4602" i="3" a="1"/>
  <c r="H4603" i="3" a="1"/>
  <c r="H4604" i="3" a="1"/>
  <c r="H4605" i="3" a="1"/>
  <c r="H4606" i="3" a="1"/>
  <c r="H4607" i="3" a="1"/>
  <c r="H4608" i="3" a="1"/>
  <c r="H4609" i="3" a="1"/>
  <c r="H4610" i="3" a="1"/>
  <c r="H4611" i="3" a="1"/>
  <c r="H4612" i="3" a="1"/>
  <c r="H4613" i="3" a="1"/>
  <c r="H4614" i="3" a="1"/>
  <c r="H4615" i="3" a="1"/>
  <c r="H4616" i="3" a="1"/>
  <c r="H4617" i="3" a="1"/>
  <c r="H4618" i="3" a="1"/>
  <c r="H4619" i="3" a="1"/>
  <c r="H4620" i="3" a="1"/>
  <c r="H4621" i="3" a="1"/>
  <c r="H4622" i="3" a="1"/>
  <c r="H4623" i="3" a="1"/>
  <c r="H4624" i="3" a="1"/>
  <c r="H4625" i="3" a="1"/>
  <c r="H4626" i="3" a="1"/>
  <c r="H4627" i="3" a="1"/>
  <c r="H4628" i="3" a="1"/>
  <c r="H4629" i="3" a="1"/>
  <c r="H4630" i="3" a="1"/>
  <c r="H4631" i="3" a="1"/>
  <c r="H4632" i="3" a="1"/>
  <c r="H4633" i="3" a="1"/>
  <c r="H4634" i="3" a="1"/>
  <c r="H4635" i="3" a="1"/>
  <c r="H4636" i="3" a="1"/>
  <c r="H4637" i="3" a="1"/>
  <c r="H4638" i="3" a="1"/>
  <c r="H4639" i="3" a="1"/>
  <c r="H4640" i="3" a="1"/>
  <c r="H4641" i="3" a="1"/>
  <c r="H4642" i="3" a="1"/>
  <c r="H4643" i="3" a="1"/>
  <c r="H4644" i="3" a="1"/>
  <c r="H4645" i="3" a="1"/>
  <c r="H4646" i="3" a="1"/>
  <c r="H4647" i="3" a="1"/>
  <c r="H4648" i="3" a="1"/>
  <c r="H4649" i="3" a="1"/>
  <c r="H4650" i="3" a="1"/>
  <c r="H4651" i="3" a="1"/>
  <c r="H4652" i="3" a="1"/>
  <c r="H4653" i="3" a="1"/>
  <c r="H4654" i="3" a="1"/>
  <c r="H4655" i="3" a="1"/>
  <c r="H4656" i="3" a="1"/>
  <c r="H4657" i="3" a="1"/>
  <c r="H4658" i="3" a="1"/>
  <c r="H4659" i="3" a="1"/>
  <c r="H4660" i="3" a="1"/>
  <c r="H4661" i="3" a="1"/>
  <c r="H4662" i="3" a="1"/>
  <c r="H4663" i="3" a="1"/>
  <c r="H4664" i="3" a="1"/>
  <c r="H4665" i="3" a="1"/>
  <c r="H4666" i="3" a="1"/>
  <c r="H4667" i="3" a="1"/>
  <c r="H4668" i="3" a="1"/>
  <c r="H4669" i="3" a="1"/>
  <c r="H4670" i="3" a="1"/>
  <c r="H4671" i="3" a="1"/>
  <c r="H4672" i="3" a="1"/>
  <c r="H4673" i="3" a="1"/>
  <c r="H4674" i="3" a="1"/>
  <c r="H4675" i="3" a="1"/>
  <c r="H4676" i="3" a="1"/>
  <c r="H4677" i="3" a="1"/>
  <c r="H4678" i="3" a="1"/>
  <c r="H4679" i="3" a="1"/>
  <c r="H4680" i="3" a="1"/>
  <c r="H4681" i="3" a="1"/>
  <c r="H4682" i="3" a="1"/>
  <c r="H4683" i="3" a="1"/>
  <c r="H4684" i="3" a="1"/>
  <c r="H4685" i="3" a="1"/>
  <c r="H4686" i="3" a="1"/>
  <c r="H4687" i="3" a="1"/>
  <c r="H4688" i="3" a="1"/>
  <c r="H4689" i="3" a="1"/>
  <c r="H4690" i="3" a="1"/>
  <c r="H4691" i="3" a="1"/>
  <c r="H4692" i="3" a="1"/>
  <c r="H4693" i="3" a="1"/>
  <c r="H4694" i="3" a="1"/>
  <c r="H4695" i="3" a="1"/>
  <c r="H4696" i="3" a="1"/>
  <c r="H4697" i="3" a="1"/>
  <c r="H4698" i="3" a="1"/>
  <c r="H4699" i="3" a="1"/>
  <c r="H4700" i="3" a="1"/>
  <c r="H4701" i="3" a="1"/>
  <c r="H4702" i="3" a="1"/>
  <c r="H4703" i="3" a="1"/>
  <c r="H4704" i="3" a="1"/>
  <c r="H4705" i="3" a="1"/>
  <c r="H4706" i="3" a="1"/>
  <c r="H4707" i="3" a="1"/>
  <c r="H4708" i="3" a="1"/>
  <c r="H4709" i="3" a="1"/>
  <c r="H4710" i="3" a="1"/>
  <c r="H4711" i="3" a="1"/>
  <c r="H4712" i="3" a="1"/>
  <c r="H4713" i="3" a="1"/>
  <c r="H4714" i="3" a="1"/>
  <c r="H4715" i="3" a="1"/>
  <c r="H4716" i="3" a="1"/>
  <c r="H4717" i="3" a="1"/>
  <c r="H4718" i="3" a="1"/>
  <c r="H4719" i="3" a="1"/>
  <c r="H4720" i="3" a="1"/>
  <c r="H4721" i="3" a="1"/>
  <c r="H4722" i="3" a="1"/>
  <c r="H4723" i="3" a="1"/>
  <c r="H4724" i="3" a="1"/>
  <c r="H4725" i="3" a="1"/>
  <c r="H4726" i="3" a="1"/>
  <c r="H4727" i="3" a="1"/>
  <c r="H4728" i="3" a="1"/>
  <c r="H4729" i="3" a="1"/>
  <c r="H4730" i="3" a="1"/>
  <c r="H4731" i="3" a="1"/>
  <c r="H4732" i="3" a="1"/>
  <c r="H4733" i="3" a="1"/>
  <c r="H4734" i="3" a="1"/>
  <c r="H4735" i="3" a="1"/>
  <c r="H4736" i="3" a="1"/>
  <c r="H4737" i="3" a="1"/>
  <c r="H4738" i="3" a="1"/>
  <c r="H4739" i="3" a="1"/>
  <c r="H4740" i="3" a="1"/>
  <c r="H4741" i="3" a="1"/>
  <c r="H4742" i="3" a="1"/>
  <c r="H4743" i="3" a="1"/>
  <c r="H4744" i="3" a="1"/>
  <c r="H4745" i="3" a="1"/>
  <c r="H4746" i="3" a="1"/>
  <c r="H4747" i="3" a="1"/>
  <c r="H4748" i="3" a="1"/>
  <c r="H4749" i="3" a="1"/>
  <c r="H4750" i="3" a="1"/>
  <c r="H4751" i="3" a="1"/>
  <c r="H4752" i="3" a="1"/>
  <c r="H4753" i="3" a="1"/>
  <c r="H4754" i="3" a="1"/>
  <c r="H4755" i="3" a="1"/>
  <c r="H4756" i="3" a="1"/>
  <c r="H4757" i="3" a="1"/>
  <c r="H4758" i="3" a="1"/>
  <c r="H4759" i="3" a="1"/>
  <c r="H4760" i="3" a="1"/>
  <c r="H4761" i="3" a="1"/>
  <c r="H4762" i="3" a="1"/>
  <c r="H4763" i="3" a="1"/>
  <c r="H4764" i="3" a="1"/>
  <c r="H4765" i="3" a="1"/>
  <c r="H4766" i="3" a="1"/>
  <c r="H4767" i="3" a="1"/>
  <c r="H4768" i="3" a="1"/>
  <c r="H4769" i="3" a="1"/>
  <c r="H4770" i="3" a="1"/>
  <c r="H4771" i="3" a="1"/>
  <c r="H4772" i="3" a="1"/>
  <c r="H4773" i="3" a="1"/>
  <c r="H4774" i="3" a="1"/>
  <c r="H4775" i="3" a="1"/>
  <c r="H4776" i="3" a="1"/>
  <c r="H4777" i="3" a="1"/>
  <c r="H4778" i="3" a="1"/>
  <c r="H4779" i="3" a="1"/>
  <c r="H4780" i="3" a="1"/>
  <c r="H4781" i="3" a="1"/>
  <c r="H4782" i="3" a="1"/>
  <c r="H4783" i="3" a="1"/>
  <c r="H4784" i="3" a="1"/>
  <c r="H4785" i="3" a="1"/>
  <c r="H4786" i="3" a="1"/>
  <c r="H4787" i="3" a="1"/>
  <c r="H4788" i="3" a="1"/>
  <c r="H4789" i="3" a="1"/>
  <c r="H4790" i="3" a="1"/>
  <c r="H4791" i="3" a="1"/>
  <c r="H4792" i="3" a="1"/>
  <c r="H4793" i="3" a="1"/>
  <c r="H4794" i="3" a="1"/>
  <c r="H4795" i="3" a="1"/>
  <c r="H4796" i="3" a="1"/>
  <c r="H4797" i="3" a="1"/>
  <c r="H4798" i="3" a="1"/>
  <c r="H4799" i="3" a="1"/>
  <c r="H4800" i="3" a="1"/>
  <c r="H4801" i="3" a="1"/>
  <c r="H4802" i="3" a="1"/>
  <c r="H4803" i="3" a="1"/>
  <c r="H4804" i="3" a="1"/>
  <c r="H4805" i="3" a="1"/>
  <c r="H4806" i="3" a="1"/>
  <c r="H4807" i="3" a="1"/>
  <c r="H4808" i="3" a="1"/>
  <c r="H4809" i="3" a="1"/>
  <c r="H4810" i="3" a="1"/>
  <c r="H4811" i="3" a="1"/>
  <c r="H4812" i="3" a="1"/>
  <c r="H4813" i="3" a="1"/>
  <c r="H4814" i="3" a="1"/>
  <c r="H4815" i="3" a="1"/>
  <c r="H4816" i="3" a="1"/>
  <c r="H4817" i="3" a="1"/>
  <c r="H4818" i="3" a="1"/>
  <c r="H4819" i="3" a="1"/>
  <c r="H4820" i="3" a="1"/>
  <c r="H4821" i="3" a="1"/>
  <c r="H4822" i="3" a="1"/>
  <c r="H4823" i="3" a="1"/>
  <c r="H4824" i="3" a="1"/>
  <c r="H4825" i="3" a="1"/>
  <c r="H4826" i="3" a="1"/>
  <c r="H4827" i="3" a="1"/>
  <c r="H4828" i="3" a="1"/>
  <c r="H4829" i="3" a="1"/>
  <c r="H4830" i="3" a="1"/>
  <c r="H4831" i="3" a="1"/>
  <c r="H4832" i="3" a="1"/>
  <c r="H4833" i="3" a="1"/>
  <c r="H4834" i="3" a="1"/>
  <c r="H4835" i="3" a="1"/>
  <c r="H4836" i="3" a="1"/>
  <c r="H4837" i="3" a="1"/>
  <c r="H4838" i="3" a="1"/>
  <c r="H4839" i="3" a="1"/>
  <c r="H4840" i="3" a="1"/>
  <c r="H4841" i="3" a="1"/>
  <c r="H4842" i="3" a="1"/>
  <c r="H4843" i="3" a="1"/>
  <c r="H4844" i="3" a="1"/>
  <c r="H4845" i="3" a="1"/>
  <c r="H4846" i="3" a="1"/>
  <c r="H4847" i="3" a="1"/>
  <c r="H4848" i="3" a="1"/>
  <c r="H4849" i="3" a="1"/>
  <c r="H4850" i="3" a="1"/>
  <c r="H4851" i="3" a="1"/>
  <c r="H4852" i="3" a="1"/>
  <c r="H4853" i="3" a="1"/>
  <c r="H4854" i="3" a="1"/>
  <c r="H4855" i="3" a="1"/>
  <c r="H4856" i="3" a="1"/>
  <c r="H4857" i="3" a="1"/>
  <c r="H4858" i="3" a="1"/>
  <c r="H4859" i="3" a="1"/>
  <c r="H4860" i="3" a="1"/>
  <c r="H4861" i="3" a="1"/>
  <c r="H4862" i="3" a="1"/>
  <c r="H4863" i="3" a="1"/>
  <c r="H4864" i="3" a="1"/>
  <c r="H4865" i="3" a="1"/>
  <c r="H4866" i="3" a="1"/>
  <c r="H4867" i="3" a="1"/>
  <c r="H4868" i="3" a="1"/>
  <c r="H4869" i="3" a="1"/>
  <c r="H4870" i="3" a="1"/>
  <c r="H4871" i="3" a="1"/>
  <c r="H4872" i="3" a="1"/>
  <c r="H4873" i="3" a="1"/>
  <c r="H4874" i="3" a="1"/>
  <c r="H4875" i="3" a="1"/>
  <c r="H4876" i="3" a="1"/>
  <c r="H4877" i="3" a="1"/>
  <c r="H4878" i="3" a="1"/>
  <c r="H4879" i="3" a="1"/>
  <c r="H4880" i="3" a="1"/>
  <c r="H4881" i="3" a="1"/>
  <c r="H4882" i="3" a="1"/>
  <c r="H4883" i="3" a="1"/>
  <c r="H4884" i="3" a="1"/>
  <c r="H4885" i="3" a="1"/>
  <c r="H4886" i="3" a="1"/>
  <c r="H4887" i="3" a="1"/>
  <c r="H4888" i="3" a="1"/>
  <c r="H4889" i="3" a="1"/>
  <c r="H4890" i="3" a="1"/>
  <c r="H4891" i="3" a="1"/>
  <c r="H4892" i="3" a="1"/>
  <c r="H4893" i="3" a="1"/>
  <c r="H4894" i="3" a="1"/>
  <c r="H4895" i="3" a="1"/>
  <c r="H4896" i="3" a="1"/>
  <c r="H4897" i="3" a="1"/>
  <c r="H4898" i="3" a="1"/>
  <c r="H4899" i="3" a="1"/>
  <c r="H4900" i="3" a="1"/>
  <c r="H4901" i="3" a="1"/>
  <c r="H4902" i="3" a="1"/>
  <c r="H4903" i="3" a="1"/>
  <c r="H4904" i="3" a="1"/>
  <c r="H4905" i="3" a="1"/>
  <c r="H4906" i="3" a="1"/>
  <c r="H4907" i="3" a="1"/>
  <c r="H4908" i="3" a="1"/>
  <c r="H4909" i="3" a="1"/>
  <c r="H4910" i="3" a="1"/>
  <c r="H4911" i="3" a="1"/>
  <c r="H4912" i="3" a="1"/>
  <c r="H4913" i="3" a="1"/>
  <c r="H4914" i="3" a="1"/>
  <c r="H4915" i="3" a="1"/>
  <c r="H4916" i="3" a="1"/>
  <c r="H4917" i="3" a="1"/>
  <c r="H4918" i="3" a="1"/>
  <c r="H4919" i="3" a="1"/>
  <c r="H4920" i="3" a="1"/>
  <c r="H4921" i="3" a="1"/>
  <c r="H4922" i="3" a="1"/>
  <c r="H4923" i="3" a="1"/>
  <c r="H4924" i="3" a="1"/>
  <c r="H4925" i="3" a="1"/>
  <c r="H4926" i="3" a="1"/>
  <c r="H4927" i="3" a="1"/>
  <c r="H4928" i="3" a="1"/>
  <c r="H4929" i="3" a="1"/>
  <c r="H4930" i="3" a="1"/>
  <c r="H4931" i="3" a="1"/>
  <c r="H4932" i="3" a="1"/>
  <c r="H4933" i="3" a="1"/>
  <c r="H4934" i="3" a="1"/>
  <c r="H4935" i="3" a="1"/>
  <c r="H4936" i="3" a="1"/>
  <c r="H4937" i="3" a="1"/>
  <c r="H4938" i="3" a="1"/>
  <c r="H4939" i="3" a="1"/>
  <c r="H4940" i="3" a="1"/>
  <c r="H4941" i="3" a="1"/>
  <c r="H4942" i="3" a="1"/>
  <c r="H4943" i="3" a="1"/>
  <c r="H4944" i="3" a="1"/>
  <c r="H4945" i="3" a="1"/>
  <c r="H4946" i="3" a="1"/>
  <c r="H4947" i="3" a="1"/>
  <c r="H4948" i="3" a="1"/>
  <c r="H4949" i="3" a="1"/>
  <c r="H4950" i="3" a="1"/>
  <c r="H4951" i="3" a="1"/>
  <c r="H4952" i="3" a="1"/>
  <c r="H4953" i="3" a="1"/>
  <c r="H4954" i="3" a="1"/>
  <c r="H4955" i="3" a="1"/>
  <c r="H4956" i="3" a="1"/>
  <c r="H4957" i="3" a="1"/>
  <c r="H4958" i="3" a="1"/>
  <c r="H4959" i="3" a="1"/>
  <c r="H4960" i="3" a="1"/>
  <c r="H4961" i="3" a="1"/>
  <c r="H4962" i="3" a="1"/>
  <c r="H4963" i="3" a="1"/>
  <c r="H4964" i="3" a="1"/>
  <c r="H4965" i="3" a="1"/>
  <c r="H4966" i="3" a="1"/>
  <c r="H4967" i="3" a="1"/>
  <c r="H4968" i="3" a="1"/>
  <c r="H4969" i="3" a="1"/>
  <c r="H4970" i="3" a="1"/>
  <c r="H4971" i="3" a="1"/>
  <c r="H4972" i="3" a="1"/>
  <c r="H4973" i="3" a="1"/>
  <c r="H4974" i="3" a="1"/>
  <c r="H4975" i="3" a="1"/>
  <c r="H4976" i="3" a="1"/>
  <c r="H4977" i="3" a="1"/>
  <c r="H4978" i="3" a="1"/>
  <c r="H4979" i="3" a="1"/>
  <c r="H4980" i="3" a="1"/>
  <c r="H4981" i="3" a="1"/>
  <c r="H4982" i="3" a="1"/>
  <c r="H4983" i="3" a="1"/>
  <c r="H4984" i="3" a="1"/>
  <c r="H4985" i="3" a="1"/>
  <c r="H4986" i="3" a="1"/>
  <c r="H4987" i="3" a="1"/>
  <c r="H4988" i="3" a="1"/>
  <c r="H4989" i="3" a="1"/>
  <c r="H4990" i="3" a="1"/>
  <c r="H4991" i="3" a="1"/>
  <c r="H4992" i="3" a="1"/>
  <c r="H4993" i="3" a="1"/>
  <c r="H4994" i="3" a="1"/>
  <c r="H4995" i="3" a="1"/>
  <c r="H4996" i="3" a="1"/>
  <c r="H4997" i="3" a="1"/>
  <c r="H4998" i="3" a="1"/>
  <c r="H4999" i="3" a="1"/>
  <c r="H5000" i="3" a="1"/>
  <c r="H5001" i="3" a="1"/>
  <c r="H5002" i="3" a="1"/>
  <c r="H5003" i="3" a="1"/>
  <c r="H5004" i="3" a="1"/>
  <c r="H5005" i="3" a="1"/>
  <c r="H5006" i="3" a="1"/>
  <c r="H5007" i="3" a="1"/>
  <c r="H5008" i="3" a="1"/>
  <c r="H5009" i="3" a="1"/>
  <c r="H5010" i="3" a="1"/>
  <c r="H5011" i="3" a="1"/>
  <c r="H5012" i="3" a="1"/>
  <c r="H5013" i="3" a="1"/>
  <c r="H5014" i="3" a="1"/>
  <c r="H5015" i="3" a="1"/>
  <c r="H5016" i="3" a="1"/>
  <c r="H5017" i="3" a="1"/>
  <c r="H5018" i="3" a="1"/>
  <c r="H5019" i="3" a="1"/>
  <c r="H5020" i="3" a="1"/>
  <c r="H5021" i="3" a="1"/>
  <c r="H5022" i="3" a="1"/>
  <c r="H5023" i="3" a="1"/>
  <c r="H5024" i="3" a="1"/>
  <c r="H5025" i="3" a="1"/>
  <c r="H5026" i="3" a="1"/>
  <c r="H5027" i="3" a="1"/>
  <c r="H5028" i="3" a="1"/>
  <c r="H5029" i="3" a="1"/>
  <c r="H5030" i="3" a="1"/>
  <c r="H5031" i="3" a="1"/>
  <c r="H5032" i="3" a="1"/>
  <c r="H5033" i="3" a="1"/>
  <c r="H5034" i="3" a="1"/>
  <c r="H5035" i="3" a="1"/>
  <c r="H5036" i="3" a="1"/>
  <c r="H5037" i="3" a="1"/>
  <c r="H5038" i="3" a="1"/>
  <c r="H5039" i="3" a="1"/>
  <c r="H5040" i="3" a="1"/>
  <c r="H5041" i="3" a="1"/>
  <c r="H5042" i="3" a="1"/>
  <c r="H5043" i="3" a="1"/>
  <c r="H5044" i="3" a="1"/>
  <c r="H5045" i="3" a="1"/>
  <c r="H5046" i="3" a="1"/>
  <c r="H5047" i="3" a="1"/>
  <c r="H5048" i="3" a="1"/>
  <c r="H5049" i="3" a="1"/>
  <c r="H5050" i="3" a="1"/>
  <c r="H5051" i="3" a="1"/>
  <c r="H5052" i="3" a="1"/>
  <c r="H5053" i="3" a="1"/>
  <c r="H5054" i="3" a="1"/>
  <c r="H5055" i="3" a="1"/>
  <c r="H5056" i="3" a="1"/>
  <c r="H5057" i="3" a="1"/>
  <c r="H5058" i="3" a="1"/>
  <c r="H5059" i="3" a="1"/>
  <c r="H5060" i="3" a="1"/>
  <c r="H5061" i="3" a="1"/>
  <c r="H5062" i="3" a="1"/>
  <c r="H5063" i="3" a="1"/>
  <c r="H5064" i="3" a="1"/>
  <c r="H5065" i="3" a="1"/>
  <c r="H5066" i="3" a="1"/>
  <c r="H5067" i="3" a="1"/>
  <c r="H5068" i="3" a="1"/>
  <c r="H5069" i="3" a="1"/>
  <c r="H5070" i="3" a="1"/>
  <c r="H5071" i="3" a="1"/>
  <c r="H5072" i="3" a="1"/>
  <c r="H5073" i="3" a="1"/>
  <c r="H5074" i="3" a="1"/>
  <c r="H5075" i="3" a="1"/>
  <c r="H5076" i="3" a="1"/>
  <c r="H5077" i="3" a="1"/>
  <c r="H5078" i="3" a="1"/>
  <c r="H5079" i="3" a="1"/>
  <c r="H5080" i="3" a="1"/>
  <c r="H5081" i="3" a="1"/>
  <c r="H5082" i="3" a="1"/>
  <c r="H5083" i="3" a="1"/>
  <c r="H5084" i="3" a="1"/>
  <c r="H5085" i="3" a="1"/>
  <c r="H5086" i="3" a="1"/>
  <c r="H5087" i="3" a="1"/>
  <c r="H5088" i="3" a="1"/>
  <c r="H5089" i="3" a="1"/>
  <c r="H5090" i="3" a="1"/>
  <c r="H5091" i="3" a="1"/>
  <c r="H5092" i="3" a="1"/>
  <c r="H5093" i="3" a="1"/>
  <c r="H5094" i="3" a="1"/>
  <c r="H5095" i="3" a="1"/>
  <c r="H5096" i="3" a="1"/>
  <c r="H5097" i="3" a="1"/>
  <c r="H5098" i="3" a="1"/>
  <c r="H5099" i="3" a="1"/>
  <c r="H5100" i="3" a="1"/>
  <c r="H5101" i="3" a="1"/>
  <c r="H5102" i="3" a="1"/>
  <c r="H5103" i="3" a="1"/>
  <c r="H5104" i="3" a="1"/>
  <c r="H5105" i="3" a="1"/>
  <c r="H5106" i="3" a="1"/>
  <c r="H5107" i="3" a="1"/>
  <c r="H5108" i="3" a="1"/>
  <c r="H5109" i="3" a="1"/>
  <c r="H5110" i="3" a="1"/>
  <c r="H5111" i="3" a="1"/>
  <c r="H5112" i="3" a="1"/>
  <c r="H5113" i="3" a="1"/>
  <c r="H5114" i="3" a="1"/>
  <c r="H5115" i="3" a="1"/>
  <c r="H5116" i="3" a="1"/>
  <c r="H5117" i="3" a="1"/>
  <c r="H5118" i="3" a="1"/>
  <c r="H5119" i="3" a="1"/>
  <c r="H5120" i="3" a="1"/>
  <c r="H5121" i="3" a="1"/>
  <c r="H5122" i="3" a="1"/>
  <c r="H5123" i="3" a="1"/>
  <c r="H5124" i="3" a="1"/>
  <c r="H5125" i="3" a="1"/>
  <c r="H5126" i="3" a="1"/>
  <c r="H5127" i="3" a="1"/>
  <c r="H5128" i="3" a="1"/>
  <c r="H5129" i="3" a="1"/>
  <c r="H5130" i="3" a="1"/>
  <c r="H5131" i="3" a="1"/>
  <c r="H5132" i="3" a="1"/>
  <c r="H5133" i="3" a="1"/>
  <c r="H5134" i="3" a="1"/>
  <c r="H5135" i="3" a="1"/>
  <c r="H5136" i="3" a="1"/>
  <c r="H5137" i="3" a="1"/>
  <c r="H5138" i="3" a="1"/>
  <c r="H5139" i="3" a="1"/>
  <c r="H5140" i="3" a="1"/>
  <c r="H5141" i="3" a="1"/>
  <c r="H5142" i="3" a="1"/>
  <c r="H5143" i="3" a="1"/>
  <c r="H5144" i="3" a="1"/>
  <c r="H5145" i="3" a="1"/>
  <c r="H5146" i="3" a="1"/>
  <c r="H5147" i="3" a="1"/>
  <c r="H5148" i="3" a="1"/>
  <c r="H5149" i="3" a="1"/>
  <c r="H5150" i="3" a="1"/>
  <c r="H5151" i="3" a="1"/>
  <c r="H5152" i="3" a="1"/>
  <c r="H5153" i="3" a="1"/>
  <c r="H5154" i="3" a="1"/>
  <c r="H5155" i="3" a="1"/>
  <c r="H5156" i="3" a="1"/>
  <c r="H5157" i="3" a="1"/>
  <c r="H5158" i="3" a="1"/>
  <c r="H5159" i="3" a="1"/>
  <c r="H5160" i="3" a="1"/>
  <c r="H5161" i="3" a="1"/>
  <c r="H5162" i="3" a="1"/>
  <c r="H5163" i="3" a="1"/>
  <c r="H5164" i="3" a="1"/>
  <c r="H5165" i="3" a="1"/>
  <c r="H5166" i="3" a="1"/>
  <c r="H5167" i="3" a="1"/>
  <c r="H5168" i="3" a="1"/>
  <c r="H5169" i="3" a="1"/>
  <c r="H5170" i="3" a="1"/>
  <c r="H5171" i="3" a="1"/>
  <c r="H5172" i="3" a="1"/>
  <c r="H5173" i="3" a="1"/>
  <c r="H5174" i="3" a="1"/>
  <c r="H5175" i="3" a="1"/>
  <c r="H5176" i="3" a="1"/>
  <c r="H5177" i="3" a="1"/>
  <c r="H5178" i="3" a="1"/>
  <c r="H5179" i="3" a="1"/>
  <c r="H5180" i="3" a="1"/>
  <c r="H5181" i="3" a="1"/>
  <c r="H5182" i="3" a="1"/>
  <c r="H5183" i="3" a="1"/>
  <c r="H5184" i="3" a="1"/>
  <c r="H5185" i="3" a="1"/>
  <c r="H5186" i="3" a="1"/>
  <c r="H5187" i="3" a="1"/>
  <c r="H5188" i="3" a="1"/>
  <c r="H5189" i="3" a="1"/>
  <c r="H5190" i="3" a="1"/>
  <c r="H5191" i="3" a="1"/>
  <c r="H5192" i="3" a="1"/>
  <c r="H5193" i="3" a="1"/>
  <c r="H5194" i="3" a="1"/>
  <c r="H5195" i="3" a="1"/>
  <c r="H5196" i="3" a="1"/>
  <c r="H5197" i="3" a="1"/>
  <c r="H5198" i="3" a="1"/>
  <c r="H5199" i="3" a="1"/>
  <c r="H5200" i="3" a="1"/>
  <c r="H5201" i="3" a="1"/>
  <c r="H5202" i="3" a="1"/>
  <c r="H5203" i="3" a="1"/>
  <c r="H5204" i="3" a="1"/>
  <c r="H5205" i="3" a="1"/>
  <c r="H5206" i="3" a="1"/>
  <c r="H5207" i="3" a="1"/>
  <c r="H5208" i="3" a="1"/>
  <c r="H5209" i="3" a="1"/>
  <c r="H5210" i="3" a="1"/>
  <c r="H5211" i="3" a="1"/>
  <c r="H5212" i="3" a="1"/>
  <c r="H5213" i="3" a="1"/>
  <c r="H5214" i="3" a="1"/>
  <c r="H5215" i="3" a="1"/>
  <c r="H5216" i="3" a="1"/>
  <c r="H5217" i="3" a="1"/>
  <c r="H5218" i="3" a="1"/>
  <c r="H5219" i="3" a="1"/>
  <c r="H5220" i="3" a="1"/>
  <c r="H5221" i="3" a="1"/>
  <c r="H5222" i="3" a="1"/>
  <c r="H5223" i="3" a="1"/>
  <c r="H5224" i="3" a="1"/>
  <c r="H5225" i="3" a="1"/>
  <c r="H5226" i="3" a="1"/>
  <c r="H5227" i="3" a="1"/>
  <c r="H5228" i="3" a="1"/>
  <c r="H5229" i="3" a="1"/>
  <c r="H5230" i="3" a="1"/>
  <c r="H5231" i="3" a="1"/>
  <c r="H5232" i="3" a="1"/>
  <c r="H5233" i="3" a="1"/>
  <c r="H5234" i="3" a="1"/>
  <c r="H5235" i="3" a="1"/>
  <c r="H5236" i="3" a="1"/>
  <c r="H5237" i="3" a="1"/>
  <c r="H5238" i="3" a="1"/>
  <c r="H5239" i="3" a="1"/>
  <c r="H5240" i="3" a="1"/>
  <c r="H5241" i="3" a="1"/>
  <c r="H5242" i="3" a="1"/>
  <c r="H5243" i="3" a="1"/>
  <c r="H5244" i="3" a="1"/>
  <c r="H5245" i="3" a="1"/>
  <c r="H5246" i="3" a="1"/>
  <c r="H5247" i="3" a="1"/>
  <c r="H5248" i="3" a="1"/>
  <c r="H5249" i="3" a="1"/>
  <c r="H5250" i="3" a="1"/>
  <c r="H5251" i="3" a="1"/>
  <c r="H5252" i="3" a="1"/>
  <c r="H5253" i="3" a="1"/>
  <c r="H5254" i="3" a="1"/>
  <c r="H5255" i="3" a="1"/>
  <c r="H5256" i="3" a="1"/>
  <c r="H5257" i="3" a="1"/>
  <c r="H5258" i="3" a="1"/>
  <c r="H5259" i="3" a="1"/>
  <c r="H5260" i="3" a="1"/>
  <c r="H5261" i="3" a="1"/>
  <c r="H5262" i="3" a="1"/>
  <c r="H5263" i="3" a="1"/>
  <c r="H5264" i="3" a="1"/>
  <c r="H5265" i="3" a="1"/>
  <c r="H5266" i="3" a="1"/>
  <c r="H5267" i="3" a="1"/>
  <c r="H5268" i="3" a="1"/>
  <c r="H5269" i="3" a="1"/>
  <c r="H5270" i="3" a="1"/>
  <c r="H5271" i="3" a="1"/>
  <c r="H5272" i="3" a="1"/>
  <c r="H5273" i="3" a="1"/>
  <c r="H5274" i="3" a="1"/>
  <c r="H5275" i="3" a="1"/>
  <c r="H5276" i="3" a="1"/>
  <c r="H5277" i="3" a="1"/>
  <c r="H5278" i="3" a="1"/>
  <c r="H5279" i="3" a="1"/>
  <c r="H5280" i="3" a="1"/>
  <c r="H5281" i="3" a="1"/>
  <c r="H5282" i="3" a="1"/>
  <c r="H5283" i="3" a="1"/>
  <c r="H5284" i="3" a="1"/>
  <c r="H5285" i="3" a="1"/>
  <c r="H5286" i="3" a="1"/>
  <c r="H5287" i="3" a="1"/>
  <c r="H5288" i="3" a="1"/>
  <c r="H5289" i="3" a="1"/>
  <c r="H5290" i="3" a="1"/>
  <c r="H5291" i="3" a="1"/>
  <c r="H5292" i="3" a="1"/>
  <c r="H5293" i="3" a="1"/>
  <c r="H5294" i="3" a="1"/>
  <c r="H5295" i="3" a="1"/>
  <c r="H5296" i="3" a="1"/>
  <c r="H5297" i="3" a="1"/>
  <c r="H5298" i="3" a="1"/>
  <c r="H5299" i="3" a="1"/>
  <c r="H5300" i="3" a="1"/>
  <c r="H5301" i="3" a="1"/>
  <c r="H5302" i="3" a="1"/>
  <c r="H5303" i="3" a="1"/>
  <c r="H5304" i="3" a="1"/>
  <c r="H5305" i="3" a="1"/>
  <c r="H5306" i="3" a="1"/>
  <c r="H5307" i="3" a="1"/>
  <c r="H5308" i="3" a="1"/>
  <c r="H5309" i="3" a="1"/>
  <c r="H5310" i="3" a="1"/>
  <c r="H5311" i="3" a="1"/>
  <c r="H5312" i="3" a="1"/>
  <c r="H5313" i="3" a="1"/>
  <c r="H5314" i="3" a="1"/>
  <c r="H5315" i="3" a="1"/>
  <c r="H5316" i="3" a="1"/>
  <c r="H5317" i="3" a="1"/>
  <c r="H5318" i="3" a="1"/>
  <c r="H5319" i="3" a="1"/>
  <c r="H5320" i="3" a="1"/>
  <c r="H5321" i="3" a="1"/>
  <c r="H5322" i="3" a="1"/>
  <c r="H5323" i="3" a="1"/>
  <c r="H5324" i="3" a="1"/>
  <c r="H5325" i="3" a="1"/>
  <c r="H5326" i="3" a="1"/>
  <c r="H5327" i="3" a="1"/>
  <c r="H5328" i="3" a="1"/>
  <c r="H5329" i="3" a="1"/>
  <c r="H5330" i="3" a="1"/>
  <c r="H5331" i="3" a="1"/>
  <c r="H5332" i="3" a="1"/>
  <c r="H5333" i="3" a="1"/>
  <c r="H5334" i="3" a="1"/>
  <c r="H5335" i="3" a="1"/>
  <c r="H5336" i="3" a="1"/>
  <c r="H5337" i="3" a="1"/>
  <c r="H5338" i="3" a="1"/>
  <c r="H5339" i="3" a="1"/>
  <c r="H5340" i="3" a="1"/>
  <c r="H5341" i="3" a="1"/>
  <c r="H5342" i="3" a="1"/>
  <c r="H5343" i="3" a="1"/>
  <c r="H5344" i="3" a="1"/>
  <c r="H5345" i="3" a="1"/>
  <c r="H5346" i="3" a="1"/>
  <c r="H5347" i="3" a="1"/>
  <c r="H5348" i="3" a="1"/>
  <c r="H5349" i="3" a="1"/>
  <c r="H5350" i="3" a="1"/>
  <c r="H5351" i="3" a="1"/>
  <c r="H5352" i="3" a="1"/>
  <c r="H5353" i="3" a="1"/>
  <c r="H5354" i="3" a="1"/>
  <c r="H5355" i="3" a="1"/>
  <c r="H5356" i="3" a="1"/>
  <c r="H5357" i="3" a="1"/>
  <c r="H5358" i="3" a="1"/>
  <c r="H5359" i="3" a="1"/>
  <c r="H5360" i="3" a="1"/>
  <c r="H5361" i="3" a="1"/>
  <c r="H5362" i="3" a="1"/>
  <c r="H5363" i="3" a="1"/>
  <c r="H5364" i="3" a="1"/>
  <c r="H5365" i="3" a="1"/>
  <c r="H5366" i="3" a="1"/>
  <c r="H5367" i="3" a="1"/>
  <c r="H5368" i="3" a="1"/>
  <c r="H5369" i="3" a="1"/>
  <c r="H5370" i="3" a="1"/>
  <c r="H5371" i="3" a="1"/>
  <c r="H5372" i="3" a="1"/>
  <c r="H5373" i="3" a="1"/>
  <c r="H5374" i="3" a="1"/>
  <c r="H5375" i="3" a="1"/>
  <c r="H5376" i="3" a="1"/>
  <c r="H5377" i="3" a="1"/>
  <c r="H5378" i="3" a="1"/>
  <c r="H5379" i="3" a="1"/>
  <c r="H5380" i="3" a="1"/>
  <c r="H5381" i="3" a="1"/>
  <c r="H5382" i="3" a="1"/>
  <c r="H5383" i="3" a="1"/>
  <c r="H5384" i="3" a="1"/>
  <c r="H5385" i="3" a="1"/>
  <c r="H5386" i="3" a="1"/>
  <c r="H5387" i="3" a="1"/>
  <c r="H5388" i="3" a="1"/>
  <c r="H5389" i="3" a="1"/>
  <c r="H5390" i="3" a="1"/>
  <c r="H5391" i="3" a="1"/>
  <c r="H5392" i="3" a="1"/>
  <c r="H5393" i="3" a="1"/>
  <c r="H5394" i="3" a="1"/>
  <c r="H5395" i="3" a="1"/>
  <c r="H5396" i="3" a="1"/>
  <c r="H5397" i="3" a="1"/>
  <c r="H5398" i="3" a="1"/>
  <c r="H5399" i="3" a="1"/>
  <c r="H5400" i="3" a="1"/>
  <c r="H5401" i="3" a="1"/>
  <c r="H5402" i="3" a="1"/>
  <c r="H5403" i="3" a="1"/>
  <c r="H5404" i="3" a="1"/>
  <c r="H5405" i="3" a="1"/>
  <c r="H5406" i="3" a="1"/>
  <c r="H5407" i="3" a="1"/>
  <c r="H5408" i="3" a="1"/>
  <c r="H5409" i="3" a="1"/>
  <c r="H5410" i="3" a="1"/>
  <c r="H5411" i="3" a="1"/>
  <c r="H5412" i="3" a="1"/>
  <c r="H5413" i="3" a="1"/>
  <c r="H5414" i="3" a="1"/>
  <c r="H5415" i="3" a="1"/>
  <c r="H5416" i="3" a="1"/>
  <c r="H5417" i="3" a="1"/>
  <c r="H5418" i="3" a="1"/>
  <c r="H5419" i="3" a="1"/>
  <c r="H5420" i="3" a="1"/>
  <c r="H5421" i="3" a="1"/>
  <c r="H5422" i="3" a="1"/>
  <c r="H5423" i="3" a="1"/>
  <c r="H5424" i="3" a="1"/>
  <c r="H5425" i="3" a="1"/>
  <c r="H5426" i="3" a="1"/>
  <c r="H5427" i="3" a="1"/>
  <c r="H5428" i="3" a="1"/>
  <c r="H5429" i="3" a="1"/>
  <c r="H5430" i="3" a="1"/>
  <c r="H5431" i="3" a="1"/>
  <c r="H5432" i="3" a="1"/>
  <c r="H5433" i="3" a="1"/>
  <c r="H5434" i="3" a="1"/>
  <c r="H5435" i="3" a="1"/>
  <c r="H5436" i="3" a="1"/>
  <c r="H5437" i="3" a="1"/>
  <c r="H5438" i="3" a="1"/>
  <c r="H5439" i="3" a="1"/>
  <c r="H5440" i="3" a="1"/>
  <c r="H5441" i="3" a="1"/>
  <c r="H5442" i="3" a="1"/>
  <c r="H5443" i="3" a="1"/>
  <c r="H5444" i="3" a="1"/>
  <c r="H5445" i="3" a="1"/>
  <c r="H5446" i="3" a="1"/>
  <c r="H5447" i="3" a="1"/>
  <c r="H5448" i="3" a="1"/>
  <c r="H5449" i="3" a="1"/>
  <c r="H5450" i="3" a="1"/>
  <c r="H5451" i="3" a="1"/>
  <c r="H5452" i="3" a="1"/>
  <c r="H5453" i="3" a="1"/>
  <c r="H5454" i="3" a="1"/>
  <c r="H5455" i="3" a="1"/>
  <c r="H5456" i="3" a="1"/>
  <c r="H5457" i="3" a="1"/>
  <c r="H5458" i="3" a="1"/>
  <c r="H5459" i="3" a="1"/>
  <c r="H5460" i="3" a="1"/>
  <c r="H5461" i="3" a="1"/>
  <c r="H5462" i="3" a="1"/>
  <c r="H5463" i="3" a="1"/>
  <c r="H5464" i="3" a="1"/>
  <c r="H5465" i="3" a="1"/>
  <c r="H5466" i="3" a="1"/>
  <c r="H5467" i="3" a="1"/>
  <c r="H5468" i="3" a="1"/>
  <c r="H5469" i="3" a="1"/>
  <c r="H5470" i="3" a="1"/>
  <c r="H5471" i="3" a="1"/>
  <c r="H5472" i="3" a="1"/>
  <c r="H5473" i="3" a="1"/>
  <c r="H5474" i="3" a="1"/>
  <c r="H5475" i="3" a="1"/>
  <c r="H5476" i="3" a="1"/>
  <c r="H5477" i="3" a="1"/>
  <c r="H5478" i="3" a="1"/>
  <c r="H5479" i="3" a="1"/>
  <c r="H5480" i="3" a="1"/>
  <c r="H5481" i="3" a="1"/>
  <c r="H5482" i="3" a="1"/>
  <c r="H5483" i="3" a="1"/>
  <c r="H5484" i="3" a="1"/>
  <c r="H5485" i="3" a="1"/>
  <c r="H5486" i="3" a="1"/>
  <c r="H5487" i="3" a="1"/>
  <c r="H5488" i="3" a="1"/>
  <c r="H5489" i="3" a="1"/>
  <c r="H5490" i="3" a="1"/>
  <c r="H5491" i="3" a="1"/>
  <c r="H5492" i="3" a="1"/>
  <c r="H5493" i="3" a="1"/>
  <c r="H5494" i="3" a="1"/>
  <c r="H5495" i="3" a="1"/>
  <c r="H5496" i="3" a="1"/>
  <c r="H5497" i="3" a="1"/>
  <c r="H5498" i="3" a="1"/>
  <c r="H5499" i="3" a="1"/>
  <c r="H5500" i="3" a="1"/>
  <c r="H5501" i="3" a="1"/>
  <c r="H5502" i="3" a="1"/>
  <c r="H5503" i="3" a="1"/>
  <c r="H5504" i="3" a="1"/>
  <c r="H5505" i="3" a="1"/>
  <c r="H5506" i="3" a="1"/>
  <c r="H5507" i="3" a="1"/>
  <c r="H5508" i="3" a="1"/>
  <c r="H5509" i="3" a="1"/>
  <c r="H5510" i="3" a="1"/>
  <c r="H5511" i="3" a="1"/>
  <c r="H5512" i="3" a="1"/>
  <c r="H5513" i="3" a="1"/>
  <c r="H5514" i="3" a="1"/>
  <c r="H5515" i="3" a="1"/>
  <c r="H5516" i="3" a="1"/>
  <c r="H5517" i="3" a="1"/>
  <c r="H5518" i="3" a="1"/>
  <c r="H5519" i="3" a="1"/>
  <c r="H5520" i="3" a="1"/>
  <c r="H5521" i="3" a="1"/>
  <c r="H5522" i="3" a="1"/>
  <c r="H5523" i="3" a="1"/>
  <c r="H5524" i="3" a="1"/>
  <c r="H5525" i="3" a="1"/>
  <c r="H5526" i="3" a="1"/>
  <c r="H5527" i="3" a="1"/>
  <c r="H5528" i="3" a="1"/>
  <c r="H5529" i="3" a="1"/>
  <c r="H5530" i="3" a="1"/>
  <c r="H5531" i="3" a="1"/>
  <c r="H5532" i="3" a="1"/>
  <c r="H5533" i="3" a="1"/>
  <c r="H5534" i="3" a="1"/>
  <c r="H5535" i="3" a="1"/>
  <c r="H5536" i="3" a="1"/>
  <c r="H5537" i="3" a="1"/>
  <c r="H5538" i="3" a="1"/>
  <c r="H5539" i="3" a="1"/>
  <c r="H5540" i="3" a="1"/>
  <c r="H5541" i="3" a="1"/>
  <c r="H5542" i="3" a="1"/>
  <c r="H5543" i="3" a="1"/>
  <c r="H5544" i="3" a="1"/>
  <c r="H5545" i="3" a="1"/>
  <c r="H5546" i="3" a="1"/>
  <c r="H5547" i="3" a="1"/>
  <c r="H5548" i="3" a="1"/>
  <c r="H5549" i="3" a="1"/>
  <c r="H5550" i="3" a="1"/>
  <c r="H5551" i="3" a="1"/>
  <c r="H5552" i="3" a="1"/>
  <c r="H5553" i="3" a="1"/>
  <c r="H5554" i="3" a="1"/>
  <c r="H5555" i="3" a="1"/>
  <c r="H5556" i="3" a="1"/>
  <c r="H5557" i="3" a="1"/>
  <c r="H5558" i="3" a="1"/>
  <c r="H5559" i="3" a="1"/>
  <c r="H5560" i="3" a="1"/>
  <c r="H5561" i="3" a="1"/>
  <c r="H5562" i="3" a="1"/>
  <c r="H5563" i="3" a="1"/>
  <c r="H5564" i="3" a="1"/>
  <c r="H5565" i="3" a="1"/>
  <c r="H5566" i="3" a="1"/>
  <c r="H5567" i="3" a="1"/>
  <c r="H5568" i="3" a="1"/>
  <c r="H5569" i="3" a="1"/>
  <c r="H5570" i="3" a="1"/>
  <c r="H5571" i="3" a="1"/>
  <c r="H5572" i="3" a="1"/>
  <c r="H5573" i="3" a="1"/>
  <c r="H5574" i="3" a="1"/>
  <c r="H5575" i="3" a="1"/>
  <c r="H5576" i="3" a="1"/>
  <c r="H5577" i="3" a="1"/>
  <c r="H5578" i="3" a="1"/>
  <c r="H5579" i="3" a="1"/>
  <c r="H5580" i="3" a="1"/>
  <c r="H5581" i="3" a="1"/>
  <c r="H5582" i="3" a="1"/>
  <c r="H5583" i="3" a="1"/>
  <c r="H5584" i="3" a="1"/>
  <c r="H5585" i="3" a="1"/>
  <c r="H5586" i="3" a="1"/>
  <c r="H5587" i="3" a="1"/>
  <c r="H5588" i="3" a="1"/>
  <c r="H5589" i="3" a="1"/>
  <c r="H5590" i="3" a="1"/>
  <c r="H5591" i="3" a="1"/>
  <c r="H5592" i="3" a="1"/>
  <c r="H5593" i="3" a="1"/>
  <c r="H5594" i="3" a="1"/>
  <c r="H5595" i="3" a="1"/>
  <c r="H5596" i="3" a="1"/>
  <c r="H5597" i="3" a="1"/>
  <c r="H5598" i="3" a="1"/>
  <c r="H5599" i="3" a="1"/>
  <c r="H5600" i="3" a="1"/>
  <c r="H5601" i="3" a="1"/>
  <c r="H5602" i="3" a="1"/>
  <c r="H5603" i="3" a="1"/>
  <c r="H5604" i="3" a="1"/>
  <c r="H5605" i="3" a="1"/>
  <c r="H5606" i="3" a="1"/>
  <c r="H5607" i="3" a="1"/>
  <c r="H5608" i="3" a="1"/>
  <c r="H5609" i="3" a="1"/>
  <c r="H5610" i="3" a="1"/>
  <c r="H5611" i="3" a="1"/>
  <c r="H5612" i="3" a="1"/>
  <c r="H5613" i="3" a="1"/>
  <c r="H5614" i="3" a="1"/>
  <c r="H5615" i="3" a="1"/>
  <c r="H5616" i="3" a="1"/>
  <c r="H5617" i="3" a="1"/>
  <c r="H5618" i="3" a="1"/>
  <c r="H5619" i="3" a="1"/>
  <c r="H5620" i="3" a="1"/>
  <c r="H5621" i="3" a="1"/>
  <c r="H5622" i="3" a="1"/>
  <c r="H5623" i="3" a="1"/>
  <c r="H5624" i="3" a="1"/>
  <c r="H5625" i="3" a="1"/>
  <c r="H5626" i="3" a="1"/>
  <c r="H5627" i="3" a="1"/>
  <c r="H5628" i="3" a="1"/>
  <c r="H5629" i="3" a="1"/>
  <c r="H5630" i="3" a="1"/>
  <c r="H5631" i="3" a="1"/>
  <c r="H5632" i="3" a="1"/>
  <c r="H5633" i="3" a="1"/>
  <c r="H5634" i="3" a="1"/>
  <c r="H5635" i="3" a="1"/>
  <c r="H5636" i="3" a="1"/>
  <c r="H5637" i="3" a="1"/>
  <c r="H5638" i="3" a="1"/>
  <c r="H5639" i="3" a="1"/>
  <c r="H5640" i="3" a="1"/>
  <c r="H5641" i="3" a="1"/>
  <c r="H5642" i="3" a="1"/>
  <c r="H5643" i="3" a="1"/>
  <c r="H5644" i="3" a="1"/>
  <c r="H5645" i="3" a="1"/>
  <c r="H5646" i="3" a="1"/>
  <c r="H5647" i="3" a="1"/>
  <c r="H5648" i="3" a="1"/>
  <c r="H5649" i="3" a="1"/>
  <c r="H5650" i="3" a="1"/>
  <c r="H5651" i="3" a="1"/>
  <c r="H5652" i="3" a="1"/>
  <c r="H5653" i="3" a="1"/>
  <c r="H5654" i="3" a="1"/>
  <c r="H5655" i="3" a="1"/>
  <c r="H5656" i="3" a="1"/>
  <c r="H5657" i="3" a="1"/>
  <c r="H5658" i="3" a="1"/>
  <c r="H5659" i="3" a="1"/>
  <c r="H5660" i="3" a="1"/>
  <c r="H5661" i="3" a="1"/>
  <c r="H5662" i="3" a="1"/>
  <c r="H5663" i="3" a="1"/>
  <c r="H5664" i="3" a="1"/>
  <c r="H5665" i="3" a="1"/>
  <c r="H5666" i="3" a="1"/>
  <c r="H5667" i="3" a="1"/>
  <c r="H5668" i="3" a="1"/>
  <c r="H5669" i="3" a="1"/>
  <c r="H5670" i="3" a="1"/>
  <c r="H5671" i="3" a="1"/>
  <c r="H5672" i="3" a="1"/>
  <c r="H5673" i="3" a="1"/>
  <c r="H5674" i="3" a="1"/>
  <c r="H5675" i="3" a="1"/>
  <c r="H5676" i="3" a="1"/>
  <c r="H5677" i="3" a="1"/>
  <c r="H5678" i="3" a="1"/>
  <c r="H5679" i="3" a="1"/>
  <c r="H5680" i="3" a="1"/>
  <c r="H5681" i="3" a="1"/>
  <c r="H5682" i="3" a="1"/>
  <c r="H5683" i="3" a="1"/>
  <c r="H5684" i="3" a="1"/>
  <c r="H5685" i="3" a="1"/>
  <c r="H5686" i="3" a="1"/>
  <c r="H5687" i="3" a="1"/>
  <c r="H5688" i="3" a="1"/>
  <c r="H5689" i="3" a="1"/>
  <c r="H5690" i="3" a="1"/>
  <c r="H5691" i="3" a="1"/>
  <c r="H5692" i="3" a="1"/>
  <c r="H5693" i="3" a="1"/>
  <c r="H5694" i="3" a="1"/>
  <c r="H5695" i="3" a="1"/>
  <c r="H5696" i="3" a="1"/>
  <c r="H5697" i="3" a="1"/>
  <c r="H5698" i="3" a="1"/>
  <c r="H5699" i="3" a="1"/>
  <c r="H5700" i="3" a="1"/>
  <c r="H5701" i="3" a="1"/>
  <c r="H5702" i="3" a="1"/>
  <c r="H5703" i="3" a="1"/>
  <c r="H5704" i="3" a="1"/>
  <c r="H5705" i="3" a="1"/>
  <c r="H5706" i="3" a="1"/>
  <c r="H5707" i="3" a="1"/>
  <c r="H5708" i="3" a="1"/>
  <c r="H5709" i="3" a="1"/>
  <c r="H5710" i="3" a="1"/>
  <c r="H5711" i="3" a="1"/>
  <c r="H5712" i="3" a="1"/>
  <c r="H5713" i="3" a="1"/>
  <c r="H5714" i="3" a="1"/>
  <c r="H5715" i="3" a="1"/>
  <c r="H5716" i="3" a="1"/>
  <c r="H5717" i="3" a="1"/>
  <c r="H5718" i="3" a="1"/>
  <c r="H5719" i="3" a="1"/>
  <c r="H5720" i="3" a="1"/>
  <c r="H5721" i="3" a="1"/>
  <c r="H5722" i="3" a="1"/>
  <c r="H5723" i="3" a="1"/>
  <c r="H5724" i="3" a="1"/>
  <c r="H5725" i="3" a="1"/>
  <c r="H5726" i="3" a="1"/>
  <c r="H5727" i="3" a="1"/>
  <c r="H5728" i="3" a="1"/>
  <c r="H5729" i="3" a="1"/>
  <c r="H5730" i="3" a="1"/>
  <c r="H5731" i="3" a="1"/>
  <c r="H5732" i="3" a="1"/>
  <c r="H5733" i="3" a="1"/>
  <c r="H5734" i="3" a="1"/>
  <c r="H5735" i="3" a="1"/>
  <c r="H5736" i="3" a="1"/>
  <c r="H5737" i="3" a="1"/>
  <c r="H5738" i="3" a="1"/>
  <c r="H5739" i="3" a="1"/>
  <c r="H5740" i="3" a="1"/>
  <c r="H5741" i="3" a="1"/>
  <c r="H5742" i="3" a="1"/>
  <c r="H5743" i="3" a="1"/>
  <c r="H5744" i="3" a="1"/>
  <c r="H5745" i="3" a="1"/>
  <c r="H5746" i="3" a="1"/>
  <c r="H5747" i="3" a="1"/>
  <c r="H5748" i="3" a="1"/>
  <c r="H5749" i="3" a="1"/>
  <c r="H5750" i="3" a="1"/>
  <c r="H5751" i="3" a="1"/>
  <c r="H5752" i="3" a="1"/>
  <c r="H5753" i="3" a="1"/>
  <c r="H5754" i="3" a="1"/>
  <c r="H5755" i="3" a="1"/>
  <c r="H5756" i="3" a="1"/>
  <c r="H5757" i="3" a="1"/>
  <c r="H5758" i="3" a="1"/>
  <c r="H5759" i="3" a="1"/>
  <c r="H5760" i="3" a="1"/>
  <c r="H5761" i="3" a="1"/>
  <c r="H5762" i="3" a="1"/>
  <c r="H5763" i="3" a="1"/>
  <c r="H5764" i="3" a="1"/>
  <c r="H5765" i="3" a="1"/>
  <c r="H5766" i="3" a="1"/>
  <c r="H5767" i="3" a="1"/>
  <c r="H5768" i="3" a="1"/>
  <c r="H5769" i="3" a="1"/>
  <c r="H5770" i="3" a="1"/>
  <c r="H5771" i="3" a="1"/>
  <c r="H5772" i="3" a="1"/>
  <c r="H5773" i="3" a="1"/>
  <c r="H5774" i="3" a="1"/>
  <c r="H5775" i="3" a="1"/>
  <c r="H5776" i="3" a="1"/>
  <c r="H5777" i="3" a="1"/>
  <c r="H5778" i="3" a="1"/>
  <c r="H5779" i="3" a="1"/>
  <c r="H5780" i="3" a="1"/>
  <c r="H5781" i="3" a="1"/>
  <c r="H5782" i="3" a="1"/>
  <c r="H5783" i="3" a="1"/>
  <c r="H5784" i="3" a="1"/>
  <c r="H5785" i="3" a="1"/>
  <c r="H5786" i="3" a="1"/>
  <c r="H5787" i="3" a="1"/>
  <c r="H5788" i="3" a="1"/>
  <c r="H5789" i="3" a="1"/>
  <c r="H5790" i="3" a="1"/>
  <c r="H5791" i="3" a="1"/>
  <c r="H5792" i="3" a="1"/>
  <c r="H5793" i="3" a="1"/>
  <c r="H5794" i="3" a="1"/>
  <c r="H5795" i="3" a="1"/>
  <c r="H5796" i="3" a="1"/>
  <c r="H5797" i="3" a="1"/>
  <c r="H5798" i="3" a="1"/>
  <c r="H5799" i="3" a="1"/>
  <c r="H5800" i="3" a="1"/>
  <c r="H5801" i="3" a="1"/>
  <c r="H5802" i="3" a="1"/>
  <c r="H5803" i="3" a="1"/>
  <c r="H5804" i="3" a="1"/>
  <c r="H5805" i="3" a="1"/>
  <c r="H5806" i="3" a="1"/>
  <c r="H5807" i="3" a="1"/>
  <c r="H5808" i="3" a="1"/>
  <c r="H5809" i="3" a="1"/>
  <c r="H5810" i="3" a="1"/>
  <c r="H5811" i="3" a="1"/>
  <c r="H5812" i="3" a="1"/>
  <c r="H5813" i="3" a="1"/>
  <c r="H5814" i="3" a="1"/>
  <c r="H5815" i="3" a="1"/>
  <c r="H5816" i="3" a="1"/>
  <c r="H5817" i="3" a="1"/>
  <c r="H5818" i="3" a="1"/>
  <c r="H5819" i="3" a="1"/>
  <c r="H5820" i="3" a="1"/>
  <c r="H5821" i="3" a="1"/>
  <c r="H5822" i="3" a="1"/>
  <c r="H5823" i="3" a="1"/>
  <c r="H5824" i="3" a="1"/>
  <c r="H5825" i="3" a="1"/>
  <c r="H5826" i="3" a="1"/>
  <c r="H5827" i="3" a="1"/>
  <c r="H5828" i="3" a="1"/>
  <c r="H5829" i="3" a="1"/>
  <c r="H5830" i="3" a="1"/>
  <c r="H5831" i="3" a="1"/>
  <c r="H5832" i="3" a="1"/>
  <c r="H5833" i="3" a="1"/>
  <c r="H5834" i="3" a="1"/>
  <c r="H5835" i="3" a="1"/>
  <c r="H5836" i="3" a="1"/>
  <c r="H5837" i="3" a="1"/>
  <c r="H5838" i="3" a="1"/>
  <c r="H5839" i="3" a="1"/>
  <c r="H5840" i="3" a="1"/>
  <c r="H5841" i="3" a="1"/>
  <c r="H5842" i="3" a="1"/>
  <c r="H5843" i="3" a="1"/>
  <c r="H5844" i="3" a="1"/>
  <c r="H5845" i="3" a="1"/>
  <c r="H5846" i="3" a="1"/>
  <c r="H5847" i="3" a="1"/>
  <c r="H5848" i="3" a="1"/>
  <c r="H5849" i="3" a="1"/>
  <c r="H5850" i="3" a="1"/>
  <c r="H5851" i="3" a="1"/>
  <c r="H5852" i="3" a="1"/>
  <c r="H5853" i="3" a="1"/>
  <c r="H5854" i="3" a="1"/>
  <c r="H5855" i="3" a="1"/>
  <c r="H5856" i="3" a="1"/>
  <c r="H5857" i="3" a="1"/>
  <c r="H5858" i="3" a="1"/>
  <c r="H5859" i="3" a="1"/>
  <c r="H5860" i="3" a="1"/>
  <c r="H5861" i="3" a="1"/>
  <c r="H5862" i="3" a="1"/>
  <c r="H5863" i="3" a="1"/>
  <c r="H5864" i="3" a="1"/>
  <c r="H5865" i="3" a="1"/>
  <c r="H5866" i="3" a="1"/>
  <c r="H5867" i="3" a="1"/>
  <c r="H5868" i="3" a="1"/>
  <c r="H5869" i="3" a="1"/>
  <c r="H5870" i="3" a="1"/>
  <c r="H5871" i="3" a="1"/>
  <c r="H5872" i="3" a="1"/>
  <c r="H5873" i="3" a="1"/>
  <c r="H5874" i="3" a="1"/>
  <c r="H5875" i="3" a="1"/>
  <c r="H5876" i="3" a="1"/>
  <c r="H5877" i="3" a="1"/>
  <c r="H5878" i="3" a="1"/>
  <c r="H5879" i="3" a="1"/>
  <c r="H5880" i="3" a="1"/>
  <c r="H5881" i="3" a="1"/>
  <c r="H5882" i="3" a="1"/>
  <c r="H5883" i="3" a="1"/>
  <c r="H5884" i="3" a="1"/>
  <c r="H5885" i="3" a="1"/>
  <c r="H5886" i="3" a="1"/>
  <c r="H5887" i="3" a="1"/>
  <c r="H5888" i="3" a="1"/>
  <c r="H5889" i="3" a="1"/>
  <c r="H5890" i="3" a="1"/>
  <c r="H5891" i="3" a="1"/>
  <c r="H5892" i="3" a="1"/>
  <c r="H5893" i="3" a="1"/>
  <c r="H5894" i="3" a="1"/>
  <c r="H5895" i="3" a="1"/>
  <c r="H5896" i="3" a="1"/>
  <c r="H5897" i="3" a="1"/>
  <c r="H5898" i="3" a="1"/>
  <c r="H5899" i="3" a="1"/>
  <c r="H5900" i="3" a="1"/>
  <c r="H5901" i="3" a="1"/>
  <c r="H5902" i="3" a="1"/>
  <c r="H5903" i="3" a="1"/>
  <c r="H5904" i="3" a="1"/>
  <c r="H5905" i="3" a="1"/>
  <c r="H5906" i="3" a="1"/>
  <c r="H5907" i="3" a="1"/>
  <c r="H5908" i="3" a="1"/>
  <c r="H5909" i="3" a="1"/>
  <c r="H5910" i="3" a="1"/>
  <c r="H5911" i="3" a="1"/>
  <c r="H5912" i="3" a="1"/>
  <c r="H5913" i="3" a="1"/>
  <c r="H5914" i="3" a="1"/>
  <c r="H5915" i="3" a="1"/>
  <c r="H5916" i="3" a="1"/>
  <c r="H5917" i="3" a="1"/>
  <c r="H5918" i="3" a="1"/>
  <c r="H5919" i="3" a="1"/>
  <c r="H5920" i="3" a="1"/>
  <c r="H5921" i="3" a="1"/>
  <c r="H5922" i="3" a="1"/>
  <c r="H5923" i="3" a="1"/>
  <c r="H5924" i="3" a="1"/>
  <c r="H5925" i="3" a="1"/>
  <c r="H5926" i="3" a="1"/>
  <c r="H5927" i="3" a="1"/>
  <c r="H5928" i="3" a="1"/>
  <c r="H5929" i="3" a="1"/>
  <c r="H5930" i="3" a="1"/>
  <c r="H5931" i="3" a="1"/>
  <c r="H5932" i="3" a="1"/>
  <c r="H5933" i="3" a="1"/>
  <c r="H5934" i="3" a="1"/>
  <c r="H5935" i="3" a="1"/>
  <c r="H5936" i="3" a="1"/>
  <c r="H5937" i="3" a="1"/>
  <c r="H5938" i="3" a="1"/>
  <c r="H5939" i="3" a="1"/>
  <c r="H5940" i="3" a="1"/>
  <c r="H5941" i="3" a="1"/>
  <c r="H5942" i="3" a="1"/>
  <c r="H5943" i="3" a="1"/>
  <c r="H5944" i="3" a="1"/>
  <c r="H5945" i="3" a="1"/>
  <c r="H5946" i="3" a="1"/>
  <c r="H5947" i="3" a="1"/>
  <c r="H5948" i="3" a="1"/>
  <c r="H5949" i="3" a="1"/>
  <c r="H5950" i="3" a="1"/>
  <c r="H5951" i="3" a="1"/>
  <c r="H5952" i="3" a="1"/>
  <c r="H5953" i="3" a="1"/>
  <c r="H5954" i="3" a="1"/>
  <c r="H5955" i="3" a="1"/>
  <c r="H5956" i="3" a="1"/>
  <c r="H5957" i="3" a="1"/>
  <c r="H5958" i="3" a="1"/>
  <c r="H5959" i="3" a="1"/>
  <c r="H5960" i="3" a="1"/>
  <c r="H5961" i="3" a="1"/>
  <c r="H5962" i="3" a="1"/>
  <c r="H5963" i="3" a="1"/>
  <c r="H5964" i="3" a="1"/>
  <c r="H5965" i="3" a="1"/>
  <c r="H5966" i="3" a="1"/>
  <c r="H5967" i="3" a="1"/>
  <c r="H5968" i="3" a="1"/>
  <c r="H5969" i="3" a="1"/>
  <c r="H5970" i="3" a="1"/>
  <c r="H5971" i="3" a="1"/>
  <c r="H5972" i="3" a="1"/>
  <c r="H5973" i="3" a="1"/>
  <c r="H5974" i="3" a="1"/>
  <c r="H5975" i="3" a="1"/>
  <c r="H5976" i="3" a="1"/>
  <c r="H5977" i="3" a="1"/>
  <c r="H5978" i="3" a="1"/>
  <c r="H5979" i="3" a="1"/>
  <c r="H5980" i="3" a="1"/>
  <c r="H5981" i="3" a="1"/>
  <c r="H5982" i="3" a="1"/>
  <c r="H5983" i="3" a="1"/>
  <c r="H5984" i="3" a="1"/>
  <c r="H5985" i="3" a="1"/>
  <c r="H5986" i="3" a="1"/>
  <c r="H5987" i="3" a="1"/>
  <c r="H5988" i="3" a="1"/>
  <c r="H5989" i="3" a="1"/>
  <c r="H5990" i="3" a="1"/>
  <c r="H5991" i="3" a="1"/>
  <c r="H5992" i="3" a="1"/>
  <c r="H5993" i="3" a="1"/>
  <c r="H5994" i="3" a="1"/>
  <c r="H5995" i="3" a="1"/>
  <c r="H5996" i="3" a="1"/>
  <c r="H5997" i="3" a="1"/>
  <c r="H5998" i="3" a="1"/>
  <c r="H5999" i="3" a="1"/>
  <c r="H6000" i="3" a="1"/>
  <c r="H6001" i="3" a="1"/>
  <c r="H6002" i="3" a="1"/>
  <c r="H6003" i="3" a="1"/>
  <c r="H6004" i="3" a="1"/>
  <c r="H6005" i="3" a="1"/>
  <c r="H6006" i="3" a="1"/>
  <c r="H6007" i="3" a="1"/>
  <c r="H6008" i="3" a="1"/>
  <c r="H6009" i="3" a="1"/>
  <c r="H6010" i="3" a="1"/>
  <c r="H6011" i="3" a="1"/>
  <c r="H6012" i="3" a="1"/>
  <c r="H6013" i="3" a="1"/>
  <c r="H6014" i="3" a="1"/>
  <c r="H6015" i="3" a="1"/>
  <c r="H6016" i="3" a="1"/>
  <c r="H6017" i="3" a="1"/>
  <c r="H6018" i="3" a="1"/>
  <c r="H6019" i="3" a="1"/>
  <c r="H6020" i="3" a="1"/>
  <c r="H6021" i="3" a="1"/>
  <c r="H6022" i="3" a="1"/>
  <c r="H6023" i="3" a="1"/>
  <c r="H6024" i="3" a="1"/>
  <c r="H6025" i="3" a="1"/>
  <c r="H6026" i="3" a="1"/>
  <c r="H6027" i="3" a="1"/>
  <c r="H6028" i="3" a="1"/>
  <c r="H6029" i="3" a="1"/>
  <c r="H6030" i="3" a="1"/>
  <c r="H6031" i="3" a="1"/>
  <c r="H6032" i="3" a="1"/>
  <c r="H6033" i="3" a="1"/>
  <c r="H6034" i="3" a="1"/>
  <c r="H6035" i="3" a="1"/>
  <c r="H6036" i="3" a="1"/>
  <c r="H6037" i="3" a="1"/>
  <c r="H6038" i="3" a="1"/>
  <c r="H6039" i="3" a="1"/>
  <c r="H6040" i="3" a="1"/>
  <c r="H6041" i="3" a="1"/>
  <c r="H6042" i="3" a="1"/>
  <c r="H6043" i="3" a="1"/>
  <c r="H6044" i="3" a="1"/>
  <c r="H6045" i="3" a="1"/>
  <c r="H6046" i="3" a="1"/>
  <c r="H6047" i="3" a="1"/>
  <c r="H6048" i="3" a="1"/>
  <c r="H6049" i="3" a="1"/>
  <c r="H6050" i="3" a="1"/>
  <c r="H6051" i="3" a="1"/>
  <c r="H6052" i="3" a="1"/>
  <c r="H6053" i="3" a="1"/>
  <c r="H6054" i="3" a="1"/>
  <c r="H6055" i="3" a="1"/>
  <c r="H6056" i="3" a="1"/>
  <c r="H6057" i="3" a="1"/>
  <c r="H6058" i="3" a="1"/>
  <c r="H6059" i="3" a="1"/>
  <c r="H6060" i="3" a="1"/>
  <c r="H6061" i="3" a="1"/>
  <c r="H6062" i="3" a="1"/>
  <c r="H6063" i="3" a="1"/>
  <c r="H6064" i="3" a="1"/>
  <c r="H6065" i="3" a="1"/>
  <c r="H6066" i="3" a="1"/>
  <c r="H6067" i="3" a="1"/>
  <c r="H6068" i="3" a="1"/>
  <c r="H6069" i="3" a="1"/>
  <c r="H6070" i="3" a="1"/>
  <c r="H6071" i="3" a="1"/>
  <c r="H6072" i="3" a="1"/>
  <c r="H6073" i="3" a="1"/>
  <c r="H6074" i="3" a="1"/>
  <c r="H6075" i="3" a="1"/>
  <c r="H6076" i="3" a="1"/>
  <c r="H6077" i="3" a="1"/>
  <c r="H6078" i="3" a="1"/>
  <c r="H6079" i="3" a="1"/>
  <c r="H6080" i="3" a="1"/>
  <c r="H6081" i="3" a="1"/>
  <c r="H6082" i="3" a="1"/>
  <c r="H6083" i="3" a="1"/>
  <c r="H6084" i="3" a="1"/>
  <c r="H6085" i="3" a="1"/>
  <c r="H6086" i="3" a="1"/>
  <c r="H6087" i="3" a="1"/>
  <c r="H6088" i="3" a="1"/>
  <c r="H6089" i="3" a="1"/>
  <c r="H6090" i="3" a="1"/>
  <c r="H6091" i="3" a="1"/>
  <c r="H6092" i="3" a="1"/>
  <c r="H6093" i="3" a="1"/>
  <c r="H6094" i="3" a="1"/>
  <c r="H6095" i="3" a="1"/>
  <c r="H6096" i="3" a="1"/>
  <c r="H6097" i="3" a="1"/>
  <c r="H6098" i="3" a="1"/>
  <c r="H6099" i="3" a="1"/>
  <c r="H6100" i="3" a="1"/>
  <c r="H6101" i="3" a="1"/>
  <c r="H6102" i="3" a="1"/>
  <c r="H6103" i="3" a="1"/>
  <c r="H6104" i="3" a="1"/>
  <c r="H6105" i="3" a="1"/>
  <c r="H6106" i="3" a="1"/>
  <c r="H6107" i="3" a="1"/>
  <c r="H6108" i="3" a="1"/>
  <c r="H6109" i="3" a="1"/>
  <c r="H6110" i="3" a="1"/>
  <c r="H6111" i="3" a="1"/>
  <c r="H6112" i="3" a="1"/>
  <c r="H6113" i="3" a="1"/>
  <c r="H6114" i="3" a="1"/>
  <c r="H6115" i="3" a="1"/>
  <c r="H6116" i="3" a="1"/>
  <c r="H6117" i="3" a="1"/>
  <c r="H6118" i="3" a="1"/>
  <c r="H6119" i="3" a="1"/>
  <c r="H6120" i="3" a="1"/>
  <c r="H6121" i="3" a="1"/>
  <c r="H6122" i="3" a="1"/>
  <c r="H6123" i="3" a="1"/>
  <c r="H6124" i="3" a="1"/>
  <c r="H6125" i="3" a="1"/>
  <c r="H6126" i="3" a="1"/>
  <c r="H6127" i="3" a="1"/>
  <c r="H6128" i="3" a="1"/>
  <c r="H6129" i="3" a="1"/>
  <c r="H6130" i="3" a="1"/>
  <c r="H6131" i="3" a="1"/>
  <c r="H6132" i="3" a="1"/>
  <c r="H6133" i="3" a="1"/>
  <c r="H6134" i="3" a="1"/>
  <c r="H6135" i="3" a="1"/>
  <c r="H6136" i="3" a="1"/>
  <c r="H6137" i="3" a="1"/>
  <c r="H6138" i="3" a="1"/>
  <c r="H6139" i="3" a="1"/>
  <c r="H6140" i="3" a="1"/>
  <c r="H6141" i="3" a="1"/>
  <c r="H6142" i="3" a="1"/>
  <c r="H6143" i="3" a="1"/>
  <c r="H6144" i="3" a="1"/>
  <c r="H6145" i="3" a="1"/>
  <c r="H6146" i="3" a="1"/>
  <c r="H6147" i="3" a="1"/>
  <c r="H6148" i="3" a="1"/>
  <c r="H6149" i="3" a="1"/>
  <c r="H6150" i="3" a="1"/>
  <c r="H6151" i="3" a="1"/>
  <c r="H6152" i="3" a="1"/>
  <c r="H6153" i="3" a="1"/>
  <c r="H6154" i="3" a="1"/>
  <c r="H6155" i="3" a="1"/>
  <c r="H6156" i="3" a="1"/>
  <c r="H6157" i="3" a="1"/>
  <c r="H6158" i="3" a="1"/>
  <c r="H6159" i="3" a="1"/>
  <c r="H6160" i="3" a="1"/>
  <c r="H6161" i="3" a="1"/>
  <c r="H6162" i="3" a="1"/>
  <c r="H6163" i="3" a="1"/>
  <c r="H6164" i="3" a="1"/>
  <c r="H6165" i="3" a="1"/>
  <c r="H6166" i="3" a="1"/>
  <c r="H6167" i="3" a="1"/>
  <c r="H6168" i="3" a="1"/>
  <c r="H6169" i="3" a="1"/>
  <c r="H6170" i="3" a="1"/>
  <c r="H6171" i="3" a="1"/>
  <c r="H6172" i="3" a="1"/>
  <c r="H6173" i="3" a="1"/>
  <c r="H6174" i="3" a="1"/>
  <c r="H6175" i="3" a="1"/>
  <c r="H6176" i="3" a="1"/>
  <c r="H6177" i="3" a="1"/>
  <c r="H6178" i="3" a="1"/>
  <c r="H6179" i="3" a="1"/>
  <c r="H6180" i="3" a="1"/>
  <c r="H6181" i="3" a="1"/>
  <c r="H6182" i="3" a="1"/>
  <c r="H6183" i="3" a="1"/>
  <c r="H6184" i="3" a="1"/>
  <c r="H6185" i="3" a="1"/>
  <c r="H6186" i="3" a="1"/>
  <c r="H6187" i="3" a="1"/>
  <c r="H6188" i="3" a="1"/>
  <c r="H6189" i="3" a="1"/>
  <c r="H6190" i="3" a="1"/>
  <c r="H6191" i="3" a="1"/>
  <c r="H6192" i="3" a="1"/>
  <c r="H6193" i="3" a="1"/>
  <c r="H6194" i="3" a="1"/>
  <c r="H6195" i="3" a="1"/>
  <c r="H6196" i="3" a="1"/>
  <c r="H6197" i="3" a="1"/>
  <c r="H6198" i="3" a="1"/>
  <c r="H6199" i="3" a="1"/>
  <c r="H6200" i="3" a="1"/>
  <c r="H6201" i="3" a="1"/>
  <c r="H6202" i="3" a="1"/>
  <c r="H6203" i="3" a="1"/>
  <c r="H6204" i="3" a="1"/>
  <c r="H6205" i="3" a="1"/>
  <c r="H6206" i="3" a="1"/>
  <c r="H6207" i="3" a="1"/>
  <c r="H6208" i="3" a="1"/>
  <c r="H6209" i="3" a="1"/>
  <c r="H6210" i="3" a="1"/>
  <c r="H6211" i="3" a="1"/>
  <c r="H6212" i="3" a="1"/>
  <c r="H6213" i="3" a="1"/>
  <c r="H6214" i="3" a="1"/>
  <c r="H6215" i="3" a="1"/>
  <c r="H6216" i="3" a="1"/>
  <c r="H6217" i="3" a="1"/>
  <c r="H6218" i="3" a="1"/>
  <c r="H6219" i="3" a="1"/>
  <c r="H6220" i="3" a="1"/>
  <c r="H6221" i="3" a="1"/>
  <c r="H6222" i="3" a="1"/>
  <c r="H6223" i="3" a="1"/>
  <c r="H6224" i="3" a="1"/>
  <c r="H6225" i="3" a="1"/>
  <c r="H6226" i="3" a="1"/>
  <c r="H6227" i="3" a="1"/>
  <c r="H6228" i="3" a="1"/>
  <c r="H6229" i="3" a="1"/>
  <c r="H6230" i="3" a="1"/>
  <c r="H6231" i="3" a="1"/>
  <c r="H6232" i="3" a="1"/>
  <c r="H6233" i="3" a="1"/>
  <c r="H6234" i="3" a="1"/>
  <c r="H6235" i="3" a="1"/>
  <c r="H6236" i="3" a="1"/>
  <c r="H6237" i="3" a="1"/>
  <c r="H6238" i="3" a="1"/>
  <c r="H6239" i="3" a="1"/>
  <c r="H6240" i="3" a="1"/>
  <c r="H6241" i="3" a="1"/>
  <c r="H6242" i="3" a="1"/>
  <c r="H6243" i="3" a="1"/>
  <c r="H6244" i="3" a="1"/>
  <c r="H6245" i="3" a="1"/>
  <c r="H6246" i="3" a="1"/>
  <c r="H6247" i="3" a="1"/>
  <c r="H6248" i="3" a="1"/>
  <c r="H6249" i="3" a="1"/>
  <c r="H6250" i="3" a="1"/>
  <c r="H6251" i="3" a="1"/>
  <c r="H6252" i="3" a="1"/>
  <c r="H6253" i="3" a="1"/>
  <c r="H6254" i="3" a="1"/>
  <c r="H6255" i="3" a="1"/>
  <c r="H6256" i="3" a="1"/>
  <c r="H6257" i="3" a="1"/>
  <c r="H6258" i="3" a="1"/>
  <c r="H6259" i="3" a="1"/>
  <c r="H6260" i="3" a="1"/>
  <c r="H6261" i="3" a="1"/>
  <c r="H6262" i="3" a="1"/>
  <c r="H6263" i="3" a="1"/>
  <c r="H6264" i="3" a="1"/>
  <c r="H6265" i="3" a="1"/>
  <c r="H6266" i="3" a="1"/>
  <c r="H6267" i="3" a="1"/>
  <c r="H6268" i="3" a="1"/>
  <c r="H6269" i="3" a="1"/>
  <c r="H6270" i="3" a="1"/>
  <c r="H6271" i="3" a="1"/>
  <c r="H6272" i="3" a="1"/>
  <c r="H6273" i="3" a="1"/>
  <c r="H6274" i="3" a="1"/>
  <c r="H6275" i="3" a="1"/>
  <c r="H6276" i="3" a="1"/>
  <c r="H6277" i="3" a="1"/>
  <c r="H6278" i="3" a="1"/>
  <c r="H6279" i="3" a="1"/>
  <c r="H6280" i="3" a="1"/>
  <c r="H6281" i="3" a="1"/>
  <c r="H6282" i="3" a="1"/>
  <c r="H6283" i="3" a="1"/>
  <c r="H6284" i="3" a="1"/>
  <c r="H6285" i="3" a="1"/>
  <c r="H6286" i="3" a="1"/>
  <c r="H6287" i="3" a="1"/>
  <c r="H6288" i="3" a="1"/>
  <c r="H6289" i="3" a="1"/>
  <c r="H6290" i="3" a="1"/>
  <c r="H6291" i="3" a="1"/>
  <c r="H6292" i="3" a="1"/>
  <c r="H6293" i="3" a="1"/>
  <c r="H6294" i="3" a="1"/>
  <c r="H6295" i="3" a="1"/>
  <c r="H6296" i="3" a="1"/>
  <c r="H6297" i="3" a="1"/>
  <c r="H6298" i="3" a="1"/>
  <c r="H6299" i="3" a="1"/>
  <c r="H6300" i="3" a="1"/>
  <c r="H6301" i="3" a="1"/>
  <c r="H6302" i="3" a="1"/>
  <c r="H6303" i="3" a="1"/>
  <c r="H6304" i="3" a="1"/>
  <c r="H6305" i="3" a="1"/>
  <c r="H6306" i="3" a="1"/>
  <c r="H6307" i="3" a="1"/>
  <c r="H6308" i="3" a="1"/>
  <c r="H6309" i="3" a="1"/>
  <c r="H6310" i="3" a="1"/>
  <c r="H6311" i="3" a="1"/>
  <c r="H6312" i="3" a="1"/>
  <c r="H6313" i="3" a="1"/>
  <c r="H6314" i="3" a="1"/>
  <c r="H6315" i="3" a="1"/>
  <c r="H6316" i="3" a="1"/>
  <c r="H6317" i="3" a="1"/>
  <c r="H6318" i="3" a="1"/>
  <c r="H6319" i="3" a="1"/>
  <c r="H6320" i="3" a="1"/>
  <c r="H6321" i="3" a="1"/>
  <c r="H6322" i="3" a="1"/>
  <c r="H6323" i="3" a="1"/>
  <c r="H6324" i="3" a="1"/>
  <c r="H6325" i="3" a="1"/>
  <c r="H6326" i="3" a="1"/>
  <c r="H6327" i="3" a="1"/>
  <c r="H6328" i="3" a="1"/>
  <c r="H6329" i="3" a="1"/>
  <c r="H6330" i="3" a="1"/>
  <c r="H6331" i="3" a="1"/>
  <c r="H6332" i="3" a="1"/>
  <c r="H6333" i="3" a="1"/>
  <c r="H6334" i="3" a="1"/>
  <c r="H6335" i="3" a="1"/>
  <c r="H6336" i="3" a="1"/>
  <c r="H6337" i="3" a="1"/>
  <c r="H6338" i="3" a="1"/>
  <c r="H6339" i="3" a="1"/>
  <c r="H6340" i="3" a="1"/>
  <c r="H6341" i="3" a="1"/>
  <c r="H6342" i="3" a="1"/>
  <c r="H6343" i="3" a="1"/>
  <c r="H6344" i="3" a="1"/>
  <c r="H6345" i="3" a="1"/>
  <c r="H6346" i="3" a="1"/>
  <c r="H6347" i="3" a="1"/>
  <c r="H6348" i="3" a="1"/>
  <c r="H6349" i="3" a="1"/>
  <c r="H6350" i="3" a="1"/>
  <c r="H6351" i="3" a="1"/>
  <c r="H6352" i="3" a="1"/>
  <c r="H6353" i="3" a="1"/>
  <c r="H6354" i="3" a="1"/>
  <c r="H6355" i="3" a="1"/>
  <c r="H6356" i="3" a="1"/>
  <c r="H6357" i="3" a="1"/>
  <c r="H6358" i="3" a="1"/>
  <c r="H6359" i="3" a="1"/>
  <c r="H6360" i="3" a="1"/>
  <c r="H6361" i="3" a="1"/>
  <c r="H6362" i="3" a="1"/>
  <c r="H6363" i="3" a="1"/>
  <c r="H6364" i="3" a="1"/>
  <c r="H6365" i="3" a="1"/>
  <c r="H6366" i="3" a="1"/>
  <c r="H6367" i="3" a="1"/>
  <c r="H6368" i="3" a="1"/>
  <c r="H6369" i="3" a="1"/>
  <c r="H6370" i="3" a="1"/>
  <c r="H6371" i="3" a="1"/>
  <c r="H6372" i="3" a="1"/>
  <c r="H6373" i="3" a="1"/>
  <c r="H6374" i="3" a="1"/>
  <c r="H6375" i="3" a="1"/>
  <c r="H6376" i="3" a="1"/>
  <c r="H6377" i="3" a="1"/>
  <c r="H6378" i="3" a="1"/>
  <c r="H6379" i="3" a="1"/>
  <c r="H6380" i="3" a="1"/>
  <c r="H6381" i="3" a="1"/>
  <c r="H6382" i="3" a="1"/>
  <c r="H6383" i="3" a="1"/>
  <c r="H6384" i="3" a="1"/>
  <c r="H6385" i="3" a="1"/>
  <c r="H6386" i="3" a="1"/>
  <c r="H6387" i="3" a="1"/>
  <c r="H6388" i="3" a="1"/>
  <c r="H6389" i="3" a="1"/>
  <c r="H6390" i="3" a="1"/>
  <c r="H6391" i="3" a="1"/>
  <c r="H6392" i="3" a="1"/>
  <c r="H6393" i="3" a="1"/>
  <c r="H6394" i="3" a="1"/>
  <c r="H6395" i="3" a="1"/>
  <c r="H6396" i="3" a="1"/>
  <c r="H6397" i="3" a="1"/>
  <c r="H6398" i="3" a="1"/>
  <c r="H6399" i="3" a="1"/>
  <c r="H6400" i="3" a="1"/>
  <c r="H6401" i="3" a="1"/>
  <c r="H6402" i="3" a="1"/>
  <c r="H6403" i="3" a="1"/>
  <c r="H6404" i="3" a="1"/>
  <c r="H6405" i="3" a="1"/>
  <c r="H6406" i="3" a="1"/>
  <c r="H6407" i="3" a="1"/>
  <c r="H6408" i="3" a="1"/>
  <c r="H6409" i="3" a="1"/>
  <c r="H6410" i="3" a="1"/>
  <c r="H6411" i="3" a="1"/>
  <c r="H6412" i="3" a="1"/>
  <c r="H6413" i="3" a="1"/>
  <c r="H6414" i="3" a="1"/>
  <c r="H6415" i="3" a="1"/>
  <c r="H6416" i="3" a="1"/>
  <c r="H6417" i="3" a="1"/>
  <c r="H6418" i="3" a="1"/>
  <c r="H6419" i="3" a="1"/>
  <c r="H6420" i="3" a="1"/>
  <c r="H6421" i="3" a="1"/>
  <c r="H6422" i="3" a="1"/>
  <c r="H6423" i="3" a="1"/>
  <c r="H6424" i="3" a="1"/>
  <c r="H6425" i="3" a="1"/>
  <c r="H6426" i="3" a="1"/>
  <c r="H6427" i="3" a="1"/>
  <c r="H6428" i="3" a="1"/>
  <c r="H6429" i="3" a="1"/>
  <c r="H6430" i="3" a="1"/>
  <c r="H6431" i="3" a="1"/>
  <c r="H6432" i="3" a="1"/>
  <c r="H6433" i="3" a="1"/>
  <c r="H6434" i="3" a="1"/>
  <c r="H6435" i="3" a="1"/>
  <c r="H6436" i="3" a="1"/>
  <c r="H6437" i="3" a="1"/>
  <c r="H6438" i="3" a="1"/>
  <c r="H6439" i="3" a="1"/>
  <c r="H6440" i="3" a="1"/>
  <c r="H6441" i="3" a="1"/>
  <c r="H6442" i="3" a="1"/>
  <c r="H6443" i="3" a="1"/>
  <c r="H6444" i="3" a="1"/>
  <c r="H6445" i="3" a="1"/>
  <c r="H6446" i="3" a="1"/>
  <c r="H6447" i="3" a="1"/>
  <c r="H6448" i="3" a="1"/>
  <c r="H6449" i="3" a="1"/>
  <c r="H6450" i="3" a="1"/>
  <c r="H6451" i="3" a="1"/>
  <c r="H6452" i="3" a="1"/>
  <c r="H6453" i="3" a="1"/>
  <c r="H6454" i="3" a="1"/>
  <c r="H6455" i="3" a="1"/>
  <c r="H6456" i="3" a="1"/>
  <c r="H6457" i="3" a="1"/>
  <c r="H6458" i="3" a="1"/>
  <c r="H6459" i="3" a="1"/>
  <c r="H6460" i="3" a="1"/>
  <c r="H6461" i="3" a="1"/>
  <c r="H6462" i="3" a="1"/>
  <c r="H6463" i="3" a="1"/>
  <c r="H6464" i="3" a="1"/>
  <c r="H6465" i="3" a="1"/>
  <c r="H6466" i="3" a="1"/>
  <c r="H6467" i="3" a="1"/>
  <c r="H6468" i="3" a="1"/>
  <c r="H6469" i="3" a="1"/>
  <c r="H6470" i="3" a="1"/>
  <c r="H6471" i="3" a="1"/>
  <c r="H6472" i="3" a="1"/>
  <c r="H6473" i="3" a="1"/>
  <c r="H6474" i="3" a="1"/>
  <c r="H6475" i="3" a="1"/>
  <c r="H6476" i="3" a="1"/>
  <c r="H6477" i="3" a="1"/>
  <c r="H6478" i="3" a="1"/>
  <c r="H6479" i="3" a="1"/>
  <c r="H6480" i="3" a="1"/>
  <c r="H6481" i="3" a="1"/>
  <c r="H6482" i="3" a="1"/>
  <c r="H6483" i="3" a="1"/>
  <c r="H6484" i="3" a="1"/>
  <c r="H6485" i="3" a="1"/>
  <c r="H6486" i="3" a="1"/>
  <c r="H6487" i="3" a="1"/>
  <c r="H6488" i="3" a="1"/>
  <c r="H6489" i="3" a="1"/>
  <c r="H6490" i="3" a="1"/>
  <c r="H6491" i="3" a="1"/>
  <c r="H6492" i="3" a="1"/>
  <c r="H6493" i="3" a="1"/>
  <c r="H6494" i="3" a="1"/>
  <c r="H6495" i="3" a="1"/>
  <c r="H6496" i="3" a="1"/>
  <c r="H6497" i="3" a="1"/>
  <c r="H6498" i="3" a="1"/>
  <c r="H6499" i="3" a="1"/>
  <c r="H6500" i="3" a="1"/>
  <c r="H6501" i="3" a="1"/>
  <c r="H6502" i="3" a="1"/>
  <c r="H6503" i="3" a="1"/>
  <c r="H6504" i="3" a="1"/>
  <c r="H6505" i="3" a="1"/>
  <c r="H6506" i="3" a="1"/>
  <c r="H6507" i="3" a="1"/>
  <c r="H6508" i="3" a="1"/>
  <c r="H6509" i="3" a="1"/>
  <c r="H6510" i="3" a="1"/>
  <c r="H6511" i="3" a="1"/>
  <c r="H6512" i="3" a="1"/>
  <c r="H6513" i="3" a="1"/>
  <c r="H6514" i="3" a="1"/>
  <c r="H6515" i="3" a="1"/>
  <c r="H6516" i="3" a="1"/>
  <c r="H6517" i="3" a="1"/>
  <c r="H6518" i="3" a="1"/>
  <c r="H6519" i="3" a="1"/>
  <c r="H6520" i="3" a="1"/>
  <c r="H6521" i="3" a="1"/>
  <c r="H6522" i="3" a="1"/>
  <c r="H6523" i="3" a="1"/>
  <c r="H6524" i="3" a="1"/>
  <c r="H6525" i="3" a="1"/>
  <c r="H6526" i="3" a="1"/>
  <c r="H6527" i="3" a="1"/>
  <c r="H6528" i="3" a="1"/>
  <c r="H6529" i="3" a="1"/>
  <c r="H6530" i="3" a="1"/>
  <c r="H6531" i="3" a="1"/>
  <c r="H6532" i="3" a="1"/>
  <c r="H6533" i="3" a="1"/>
  <c r="H6534" i="3" a="1"/>
  <c r="H6535" i="3" a="1"/>
  <c r="H6536" i="3" a="1"/>
  <c r="H6537" i="3" a="1"/>
  <c r="H6538" i="3" a="1"/>
  <c r="H6539" i="3" a="1"/>
  <c r="H6540" i="3" a="1"/>
  <c r="H6541" i="3" a="1"/>
  <c r="H6542" i="3" a="1"/>
  <c r="H6543" i="3" a="1"/>
  <c r="H6544" i="3" a="1"/>
  <c r="H6545" i="3" a="1"/>
  <c r="H6546" i="3" a="1"/>
  <c r="H6547" i="3" a="1"/>
  <c r="H6548" i="3" a="1"/>
  <c r="H6549" i="3" a="1"/>
  <c r="H6550" i="3" a="1"/>
  <c r="H6551" i="3" a="1"/>
  <c r="H6552" i="3" a="1"/>
  <c r="H6553" i="3" a="1"/>
  <c r="H6554" i="3" a="1"/>
  <c r="H6555" i="3" a="1"/>
  <c r="H6556" i="3" a="1"/>
  <c r="H6557" i="3" a="1"/>
  <c r="H6558" i="3" a="1"/>
  <c r="H6559" i="3" a="1"/>
  <c r="H6560" i="3" a="1"/>
  <c r="H6561" i="3" a="1"/>
  <c r="H6562" i="3" a="1"/>
  <c r="H6563" i="3" a="1"/>
  <c r="H6564" i="3" a="1"/>
  <c r="H6565" i="3" a="1"/>
  <c r="H6566" i="3" a="1"/>
  <c r="H6567" i="3" a="1"/>
  <c r="H6568" i="3" a="1"/>
  <c r="H6569" i="3" a="1"/>
  <c r="H6570" i="3" a="1"/>
  <c r="H6571" i="3" a="1"/>
  <c r="H6572" i="3" a="1"/>
  <c r="H6573" i="3" a="1"/>
  <c r="H6574" i="3" a="1"/>
  <c r="H6575" i="3" a="1"/>
  <c r="H6576" i="3" a="1"/>
  <c r="H6577" i="3" a="1"/>
  <c r="H6578" i="3" a="1"/>
  <c r="H6579" i="3" a="1"/>
  <c r="H6580" i="3" a="1"/>
  <c r="H6581" i="3" a="1"/>
  <c r="H6582" i="3" a="1"/>
  <c r="H6583" i="3" a="1"/>
  <c r="H6584" i="3" a="1"/>
  <c r="H6585" i="3" a="1"/>
  <c r="H6586" i="3" a="1"/>
  <c r="H6587" i="3" a="1"/>
  <c r="H6588" i="3" a="1"/>
  <c r="H6589" i="3" a="1"/>
  <c r="H6590" i="3" a="1"/>
  <c r="H6591" i="3" a="1"/>
  <c r="H6592" i="3" a="1"/>
  <c r="H6593" i="3" a="1"/>
  <c r="H6594" i="3" a="1"/>
  <c r="H6595" i="3" a="1"/>
  <c r="H6596" i="3" a="1"/>
  <c r="H6597" i="3" a="1"/>
  <c r="H6598" i="3" a="1"/>
  <c r="H6599" i="3" a="1"/>
  <c r="H6600" i="3" a="1"/>
  <c r="H6601" i="3" a="1"/>
  <c r="H6602" i="3" a="1"/>
  <c r="H6603" i="3" a="1"/>
  <c r="H6604" i="3" a="1"/>
  <c r="H6605" i="3" a="1"/>
  <c r="H6606" i="3" a="1"/>
  <c r="H6607" i="3" a="1"/>
  <c r="H6608" i="3" a="1"/>
  <c r="H6609" i="3" a="1"/>
  <c r="H6610" i="3" a="1"/>
  <c r="H6611" i="3" a="1"/>
  <c r="H6612" i="3" a="1"/>
  <c r="H6613" i="3" a="1"/>
  <c r="H6614" i="3" a="1"/>
  <c r="H6615" i="3" a="1"/>
  <c r="H6616" i="3" a="1"/>
  <c r="H6617" i="3" a="1"/>
  <c r="H6618" i="3" a="1"/>
  <c r="H6619" i="3" a="1"/>
  <c r="H6620" i="3" a="1"/>
  <c r="H6621" i="3" a="1"/>
  <c r="H6622" i="3" a="1"/>
  <c r="H6623" i="3" a="1"/>
  <c r="H6624" i="3" a="1"/>
  <c r="H6625" i="3" a="1"/>
  <c r="H6626" i="3" a="1"/>
  <c r="H6627" i="3" a="1"/>
  <c r="H6628" i="3" a="1"/>
  <c r="H6629" i="3" a="1"/>
  <c r="H6630" i="3" a="1"/>
  <c r="H6631" i="3" a="1"/>
  <c r="H6632" i="3" a="1"/>
  <c r="H6633" i="3" a="1"/>
  <c r="H6634" i="3" a="1"/>
  <c r="H6635" i="3" a="1"/>
  <c r="H6636" i="3" a="1"/>
  <c r="H6637" i="3" a="1"/>
  <c r="H6638" i="3" a="1"/>
  <c r="H6639" i="3" a="1"/>
  <c r="H6640" i="3" a="1"/>
  <c r="H6641" i="3" a="1"/>
  <c r="H6642" i="3" a="1"/>
  <c r="H6643" i="3" a="1"/>
  <c r="H6644" i="3" a="1"/>
  <c r="H6645" i="3" a="1"/>
  <c r="H6646" i="3" a="1"/>
  <c r="H6647" i="3" a="1"/>
  <c r="H6648" i="3" a="1"/>
  <c r="H6649" i="3" a="1"/>
  <c r="H6650" i="3" a="1"/>
  <c r="H6651" i="3" a="1"/>
  <c r="H6652" i="3" a="1"/>
  <c r="H6653" i="3" a="1"/>
  <c r="H6654" i="3" a="1"/>
  <c r="H6655" i="3" a="1"/>
  <c r="H6656" i="3" a="1"/>
  <c r="H6657" i="3" a="1"/>
  <c r="H6658" i="3" a="1"/>
  <c r="H6659" i="3" a="1"/>
  <c r="H6660" i="3" a="1"/>
  <c r="H6661" i="3" a="1"/>
  <c r="H6662" i="3" a="1"/>
  <c r="H6663" i="3" a="1"/>
  <c r="H6664" i="3" a="1"/>
  <c r="H6665" i="3" a="1"/>
  <c r="H6666" i="3" a="1"/>
  <c r="H6667" i="3" a="1"/>
  <c r="H6668" i="3" a="1"/>
  <c r="H6669" i="3" a="1"/>
  <c r="H6670" i="3" a="1"/>
  <c r="H6671" i="3" a="1"/>
  <c r="H6672" i="3" a="1"/>
  <c r="H6673" i="3" a="1"/>
  <c r="H6674" i="3" a="1"/>
  <c r="H6675" i="3" a="1"/>
  <c r="H6676" i="3" a="1"/>
  <c r="H6677" i="3" a="1"/>
  <c r="H6678" i="3" a="1"/>
  <c r="H6679" i="3" a="1"/>
  <c r="H6680" i="3" a="1"/>
  <c r="H6681" i="3" a="1"/>
  <c r="H6682" i="3" a="1"/>
  <c r="H6683" i="3" a="1"/>
  <c r="H6684" i="3" a="1"/>
  <c r="H6685" i="3" a="1"/>
  <c r="H6686" i="3" a="1"/>
  <c r="H6687" i="3" a="1"/>
  <c r="H6688" i="3" a="1"/>
  <c r="H6689" i="3" a="1"/>
  <c r="H6690" i="3" a="1"/>
  <c r="H6691" i="3" a="1"/>
  <c r="H6692" i="3" a="1"/>
  <c r="H6693" i="3" a="1"/>
  <c r="H6694" i="3" a="1"/>
  <c r="H6695" i="3" a="1"/>
  <c r="H6696" i="3" a="1"/>
  <c r="H6697" i="3" a="1"/>
  <c r="H6698" i="3" a="1"/>
  <c r="H6699" i="3" a="1"/>
  <c r="H6700" i="3" a="1"/>
  <c r="H6701" i="3" a="1"/>
  <c r="H6702" i="3" a="1"/>
  <c r="H6703" i="3" a="1"/>
  <c r="H6704" i="3" a="1"/>
  <c r="H6705" i="3" a="1"/>
  <c r="H6706" i="3" a="1"/>
  <c r="H6707" i="3" a="1"/>
  <c r="H6708" i="3" a="1"/>
  <c r="H6709" i="3" a="1"/>
  <c r="H6710" i="3" a="1"/>
  <c r="H6711" i="3" a="1"/>
  <c r="H6712" i="3" a="1"/>
  <c r="H6713" i="3" a="1"/>
  <c r="H6714" i="3" a="1"/>
  <c r="H6715" i="3" a="1"/>
  <c r="H6716" i="3" a="1"/>
  <c r="H6717" i="3" a="1"/>
  <c r="H6718" i="3" a="1"/>
  <c r="H6719" i="3" a="1"/>
  <c r="H6720" i="3" a="1"/>
  <c r="H6721" i="3" a="1"/>
  <c r="H6722" i="3" a="1"/>
  <c r="H6723" i="3" a="1"/>
  <c r="H6724" i="3" a="1"/>
  <c r="H6725" i="3" a="1"/>
  <c r="H6726" i="3" a="1"/>
  <c r="H6727" i="3" a="1"/>
  <c r="H6728" i="3" a="1"/>
  <c r="H6729" i="3" a="1"/>
  <c r="H6730" i="3" a="1"/>
  <c r="H6731" i="3" a="1"/>
  <c r="H6732" i="3" a="1"/>
  <c r="H6733" i="3" a="1"/>
  <c r="H6734" i="3" a="1"/>
  <c r="H6735" i="3" a="1"/>
  <c r="H6736" i="3" a="1"/>
  <c r="H6737" i="3" a="1"/>
  <c r="H6738" i="3" a="1"/>
  <c r="H6739" i="3" a="1"/>
  <c r="H6740" i="3" a="1"/>
  <c r="H6741" i="3" a="1"/>
  <c r="H6742" i="3" a="1"/>
  <c r="H6743" i="3" a="1"/>
  <c r="H6744" i="3" a="1"/>
  <c r="H6745" i="3" a="1"/>
  <c r="H6746" i="3" a="1"/>
  <c r="H6747" i="3" a="1"/>
  <c r="H6748" i="3" a="1"/>
  <c r="H6749" i="3" a="1"/>
  <c r="H6750" i="3" a="1"/>
  <c r="H6751" i="3" a="1"/>
  <c r="H6752" i="3" a="1"/>
  <c r="H6753" i="3" a="1"/>
  <c r="H6754" i="3" a="1"/>
  <c r="H6755" i="3" a="1"/>
  <c r="H6756" i="3" a="1"/>
  <c r="H6757" i="3" a="1"/>
  <c r="H6758" i="3" a="1"/>
  <c r="H6759" i="3" a="1"/>
  <c r="H6760" i="3" a="1"/>
  <c r="H6761" i="3" a="1"/>
  <c r="H6762" i="3" a="1"/>
  <c r="H6763" i="3" a="1"/>
  <c r="H6764" i="3" a="1"/>
  <c r="H6765" i="3" a="1"/>
  <c r="H6766" i="3" a="1"/>
  <c r="H6767" i="3" a="1"/>
  <c r="H6768" i="3" a="1"/>
  <c r="H6769" i="3" a="1"/>
  <c r="H6770" i="3" a="1"/>
  <c r="H6771" i="3" a="1"/>
  <c r="H6772" i="3" a="1"/>
  <c r="H6773" i="3" a="1"/>
  <c r="H6774" i="3" a="1"/>
  <c r="H6775" i="3" a="1"/>
  <c r="H6776" i="3" a="1"/>
  <c r="H6777" i="3" a="1"/>
  <c r="H6778" i="3" a="1"/>
  <c r="H6779" i="3" a="1"/>
  <c r="H6780" i="3" a="1"/>
  <c r="H6781" i="3" a="1"/>
  <c r="H6782" i="3" a="1"/>
  <c r="H6783" i="3" a="1"/>
  <c r="H6784" i="3" a="1"/>
  <c r="H6785" i="3" a="1"/>
  <c r="H6786" i="3" a="1"/>
  <c r="H6787" i="3" a="1"/>
  <c r="H6788" i="3" a="1"/>
  <c r="H6789" i="3" a="1"/>
  <c r="H6790" i="3" a="1"/>
  <c r="H6791" i="3" a="1"/>
  <c r="H6792" i="3" a="1"/>
  <c r="H6793" i="3" a="1"/>
  <c r="H6794" i="3" a="1"/>
  <c r="H6795" i="3" a="1"/>
  <c r="H6796" i="3" a="1"/>
  <c r="H6797" i="3" a="1"/>
  <c r="H6798" i="3" a="1"/>
  <c r="H6799" i="3" a="1"/>
  <c r="H6800" i="3" a="1"/>
  <c r="H6801" i="3" a="1"/>
  <c r="H6802" i="3" a="1"/>
  <c r="H6803" i="3" a="1"/>
  <c r="H6804" i="3" a="1"/>
  <c r="H6805" i="3" a="1"/>
  <c r="H6806" i="3" a="1"/>
  <c r="H6807" i="3" a="1"/>
  <c r="H6808" i="3" a="1"/>
  <c r="H6809" i="3" a="1"/>
  <c r="H6810" i="3" a="1"/>
  <c r="H6811" i="3" a="1"/>
  <c r="H6812" i="3" a="1"/>
  <c r="H6813" i="3" a="1"/>
  <c r="H6814" i="3" a="1"/>
  <c r="H6815" i="3" a="1"/>
  <c r="H6816" i="3" a="1"/>
  <c r="H6817" i="3" a="1"/>
  <c r="H6818" i="3" a="1"/>
  <c r="H6819" i="3" a="1"/>
  <c r="H6820" i="3" a="1"/>
  <c r="H6821" i="3" a="1"/>
  <c r="H6822" i="3" a="1"/>
  <c r="H6823" i="3" a="1"/>
  <c r="H6824" i="3" a="1"/>
  <c r="H6825" i="3" a="1"/>
  <c r="H6826" i="3" a="1"/>
  <c r="H6827" i="3" a="1"/>
  <c r="H6828" i="3" a="1"/>
  <c r="H6829" i="3" a="1"/>
  <c r="H6830" i="3" a="1"/>
  <c r="H6831" i="3" a="1"/>
  <c r="H6832" i="3" a="1"/>
  <c r="H6833" i="3" a="1"/>
  <c r="H6834" i="3" a="1"/>
  <c r="H6835" i="3" a="1"/>
  <c r="H6836" i="3" a="1"/>
  <c r="H6837" i="3" a="1"/>
  <c r="H6838" i="3" a="1"/>
  <c r="H6839" i="3" a="1"/>
  <c r="H6840" i="3" a="1"/>
  <c r="H6841" i="3" a="1"/>
  <c r="H6842" i="3" a="1"/>
  <c r="H6843" i="3" a="1"/>
  <c r="H6844" i="3" a="1"/>
  <c r="H6845" i="3" a="1"/>
  <c r="H6846" i="3" a="1"/>
  <c r="H6847" i="3" a="1"/>
  <c r="H6848" i="3" a="1"/>
  <c r="H6849" i="3" a="1"/>
  <c r="H6850" i="3" a="1"/>
  <c r="H6851" i="3" a="1"/>
  <c r="H6852" i="3" a="1"/>
  <c r="H6853" i="3" a="1"/>
  <c r="H6854" i="3" a="1"/>
  <c r="H6855" i="3" a="1"/>
  <c r="H6856" i="3" a="1"/>
  <c r="H6857" i="3" a="1"/>
  <c r="H6858" i="3" a="1"/>
  <c r="H6859" i="3" a="1"/>
  <c r="H6860" i="3" a="1"/>
  <c r="H6861" i="3" a="1"/>
  <c r="H6862" i="3" a="1"/>
  <c r="H6863" i="3" a="1"/>
  <c r="H6864" i="3" a="1"/>
  <c r="H6865" i="3" a="1"/>
  <c r="H6866" i="3" a="1"/>
  <c r="H6867" i="3" a="1"/>
  <c r="H6868" i="3" a="1"/>
  <c r="H6869" i="3" a="1"/>
  <c r="H6870" i="3" a="1"/>
  <c r="H6871" i="3" a="1"/>
  <c r="H6872" i="3" a="1"/>
  <c r="H6873" i="3" a="1"/>
  <c r="H6874" i="3" a="1"/>
  <c r="H6875" i="3" a="1"/>
  <c r="H6876" i="3" a="1"/>
  <c r="H6877" i="3" a="1"/>
  <c r="H6878" i="3" a="1"/>
  <c r="H6879" i="3" a="1"/>
  <c r="H6880" i="3" a="1"/>
  <c r="H6881" i="3" a="1"/>
  <c r="H6882" i="3" a="1"/>
  <c r="H6883" i="3" a="1"/>
  <c r="H6884" i="3" a="1"/>
  <c r="H6885" i="3" a="1"/>
  <c r="H6886" i="3" a="1"/>
  <c r="H6887" i="3" a="1"/>
  <c r="H6888" i="3" a="1"/>
  <c r="H6889" i="3" a="1"/>
  <c r="H6890" i="3" a="1"/>
  <c r="H6891" i="3" a="1"/>
  <c r="H6892" i="3" a="1"/>
  <c r="H6893" i="3" a="1"/>
  <c r="H6894" i="3" a="1"/>
  <c r="H6895" i="3" a="1"/>
  <c r="H6896" i="3" a="1"/>
  <c r="H6897" i="3" a="1"/>
  <c r="H6898" i="3" a="1"/>
  <c r="H6899" i="3" a="1"/>
  <c r="H6900" i="3" a="1"/>
  <c r="H6901" i="3" a="1"/>
  <c r="H6902" i="3" a="1"/>
  <c r="H6903" i="3" a="1"/>
  <c r="H6904" i="3" a="1"/>
  <c r="H6905" i="3" a="1"/>
  <c r="H6906" i="3" a="1"/>
  <c r="H6907" i="3" a="1"/>
  <c r="H6908" i="3" a="1"/>
  <c r="H6909" i="3" a="1"/>
  <c r="H6910" i="3" a="1"/>
  <c r="H6911" i="3" a="1"/>
  <c r="H6912" i="3" a="1"/>
  <c r="H6913" i="3" a="1"/>
  <c r="H6914" i="3" a="1"/>
  <c r="H6915" i="3" a="1"/>
  <c r="H6916" i="3" a="1"/>
  <c r="H6917" i="3" a="1"/>
  <c r="H6918" i="3" a="1"/>
  <c r="H6919" i="3" a="1"/>
  <c r="H6920" i="3" a="1"/>
  <c r="H6921" i="3" a="1"/>
  <c r="H6922" i="3" a="1"/>
  <c r="H6923" i="3" a="1"/>
  <c r="H6924" i="3" a="1"/>
  <c r="H6925" i="3" a="1"/>
  <c r="H6926" i="3" a="1"/>
  <c r="H6927" i="3" a="1"/>
  <c r="H6928" i="3" a="1"/>
  <c r="H6929" i="3" a="1"/>
  <c r="H6930" i="3" a="1"/>
  <c r="H6931" i="3" a="1"/>
  <c r="H6932" i="3" a="1"/>
  <c r="H6933" i="3" a="1"/>
  <c r="H6934" i="3" a="1"/>
  <c r="H6935" i="3" a="1"/>
  <c r="H6936" i="3" a="1"/>
  <c r="H6937" i="3" a="1"/>
  <c r="H6938" i="3" a="1"/>
  <c r="H6939" i="3" a="1"/>
  <c r="H6940" i="3" a="1"/>
  <c r="H6941" i="3" a="1"/>
  <c r="H6942" i="3" a="1"/>
  <c r="H6943" i="3" a="1"/>
  <c r="H6944" i="3" a="1"/>
  <c r="H6945" i="3" a="1"/>
  <c r="H6946" i="3" a="1"/>
  <c r="H6947" i="3" a="1"/>
  <c r="H6948" i="3" a="1"/>
  <c r="H6949" i="3" a="1"/>
  <c r="H6950" i="3" a="1"/>
  <c r="H6951" i="3" a="1"/>
  <c r="H6952" i="3" a="1"/>
  <c r="H6953" i="3" a="1"/>
  <c r="H6954" i="3" a="1"/>
  <c r="H6955" i="3" a="1"/>
  <c r="H6956" i="3" a="1"/>
  <c r="H6957" i="3" a="1"/>
  <c r="H6958" i="3" a="1"/>
  <c r="H6959" i="3" a="1"/>
  <c r="H6960" i="3" a="1"/>
  <c r="H6961" i="3" a="1"/>
  <c r="H6962" i="3" a="1"/>
  <c r="H6963" i="3" a="1"/>
  <c r="H6964" i="3" a="1"/>
  <c r="H6965" i="3" a="1"/>
  <c r="H6966" i="3" a="1"/>
  <c r="H6967" i="3" a="1"/>
  <c r="H6968" i="3" a="1"/>
  <c r="H6969" i="3" a="1"/>
  <c r="H6970" i="3" a="1"/>
  <c r="H6971" i="3" a="1"/>
  <c r="H6972" i="3" a="1"/>
  <c r="H6973" i="3" a="1"/>
  <c r="H6974" i="3" a="1"/>
  <c r="H6975" i="3" a="1"/>
  <c r="H6976" i="3" a="1"/>
  <c r="H6977" i="3" a="1"/>
  <c r="H6978" i="3" a="1"/>
  <c r="H6979" i="3" a="1"/>
  <c r="H6980" i="3" a="1"/>
  <c r="H6981" i="3" a="1"/>
  <c r="H6982" i="3" a="1"/>
  <c r="H6983" i="3" a="1"/>
  <c r="H6984" i="3" a="1"/>
  <c r="H6985" i="3" a="1"/>
  <c r="H6986" i="3" a="1"/>
  <c r="H6987" i="3" a="1"/>
  <c r="H6988" i="3" a="1"/>
  <c r="H6989" i="3" a="1"/>
  <c r="H6990" i="3" a="1"/>
  <c r="H6991" i="3" a="1"/>
  <c r="H6992" i="3" a="1"/>
  <c r="H6993" i="3" a="1"/>
  <c r="H6994" i="3" a="1"/>
  <c r="H6995" i="3" a="1"/>
  <c r="H6996" i="3" a="1"/>
  <c r="H6997" i="3" a="1"/>
  <c r="H6998" i="3" a="1"/>
  <c r="H6999" i="3" a="1"/>
  <c r="H7000" i="3" a="1"/>
  <c r="H7001" i="3" a="1"/>
  <c r="H7002" i="3" a="1"/>
  <c r="H7003" i="3" a="1"/>
  <c r="H7004" i="3" a="1"/>
  <c r="H7005" i="3" a="1"/>
  <c r="H7006" i="3" a="1"/>
  <c r="H7007" i="3" a="1"/>
  <c r="H7008" i="3" a="1"/>
  <c r="H7009" i="3" a="1"/>
  <c r="H7010" i="3" a="1"/>
  <c r="H7011" i="3" a="1"/>
  <c r="H7012" i="3" a="1"/>
  <c r="H7013" i="3" a="1"/>
  <c r="H7014" i="3" a="1"/>
  <c r="H7015" i="3" a="1"/>
  <c r="H7016" i="3" a="1"/>
  <c r="H7017" i="3" a="1"/>
  <c r="H7018" i="3" a="1"/>
  <c r="H7019" i="3" a="1"/>
  <c r="H7020" i="3" a="1"/>
  <c r="H7021" i="3" a="1"/>
  <c r="H7022" i="3" a="1"/>
  <c r="H7023" i="3" a="1"/>
  <c r="H7024" i="3" a="1"/>
  <c r="H7025" i="3" a="1"/>
  <c r="H7026" i="3" a="1"/>
  <c r="H7027" i="3" a="1"/>
  <c r="H7028" i="3" a="1"/>
  <c r="H7029" i="3" a="1"/>
  <c r="H7030" i="3" a="1"/>
  <c r="H7031" i="3" a="1"/>
  <c r="H7032" i="3" a="1"/>
  <c r="H7033" i="3" a="1"/>
  <c r="H7034" i="3" a="1"/>
  <c r="H7035" i="3" a="1"/>
  <c r="H7036" i="3" a="1"/>
  <c r="H7037" i="3" a="1"/>
  <c r="H7038" i="3" a="1"/>
  <c r="H7039" i="3" a="1"/>
  <c r="H7040" i="3" a="1"/>
  <c r="H7041" i="3" a="1"/>
  <c r="H7042" i="3" a="1"/>
  <c r="H7043" i="3" a="1"/>
  <c r="H7044" i="3" a="1"/>
  <c r="H7045" i="3" a="1"/>
  <c r="H7046" i="3" a="1"/>
  <c r="H7047" i="3" a="1"/>
  <c r="H7048" i="3" a="1"/>
  <c r="H7049" i="3" a="1"/>
  <c r="H7050" i="3" a="1"/>
  <c r="H7051" i="3" a="1"/>
  <c r="H7052" i="3" a="1"/>
  <c r="H7053" i="3" a="1"/>
  <c r="H7054" i="3" a="1"/>
  <c r="H7055" i="3" a="1"/>
  <c r="H7056" i="3" a="1"/>
  <c r="H7057" i="3" a="1"/>
  <c r="H7058" i="3" a="1"/>
  <c r="H7059" i="3" a="1"/>
  <c r="H7060" i="3" a="1"/>
  <c r="H7061" i="3" a="1"/>
  <c r="H7062" i="3" a="1"/>
  <c r="H7063" i="3" a="1"/>
  <c r="H7064" i="3" a="1"/>
  <c r="H7065" i="3" a="1"/>
  <c r="H7066" i="3" a="1"/>
  <c r="H7067" i="3" a="1"/>
  <c r="H7068" i="3" a="1"/>
  <c r="H7069" i="3" a="1"/>
  <c r="H7070" i="3" a="1"/>
  <c r="H7071" i="3" a="1"/>
  <c r="H7072" i="3" a="1"/>
  <c r="H7073" i="3" a="1"/>
  <c r="H7074" i="3" a="1"/>
  <c r="H7075" i="3" a="1"/>
  <c r="H7076" i="3" a="1"/>
  <c r="H7077" i="3" a="1"/>
  <c r="H7078" i="3" a="1"/>
  <c r="H7079" i="3" a="1"/>
  <c r="H7080" i="3" a="1"/>
  <c r="H7081" i="3" a="1"/>
  <c r="H7082" i="3" a="1"/>
  <c r="H7083" i="3" a="1"/>
  <c r="H7084" i="3" a="1"/>
  <c r="H7085" i="3" a="1"/>
  <c r="H7086" i="3" a="1"/>
  <c r="H7087" i="3" a="1"/>
  <c r="H7088" i="3" a="1"/>
  <c r="H7089" i="3" a="1"/>
  <c r="H7090" i="3" a="1"/>
  <c r="H7091" i="3" a="1"/>
  <c r="H7092" i="3" a="1"/>
  <c r="H7093" i="3" a="1"/>
  <c r="H7094" i="3" a="1"/>
  <c r="H7095" i="3" a="1"/>
  <c r="H7096" i="3" a="1"/>
  <c r="H7097" i="3" a="1"/>
  <c r="H7098" i="3" a="1"/>
  <c r="H7099" i="3" a="1"/>
  <c r="H7100" i="3" a="1"/>
  <c r="H7101" i="3" a="1"/>
  <c r="H7102" i="3" a="1"/>
  <c r="H7103" i="3" a="1"/>
  <c r="H7104" i="3" a="1"/>
  <c r="H7105" i="3" a="1"/>
  <c r="H7106" i="3" a="1"/>
  <c r="H7107" i="3" a="1"/>
  <c r="H7108" i="3" a="1"/>
  <c r="H7109" i="3" a="1"/>
  <c r="H7110" i="3" a="1"/>
  <c r="H7111" i="3" a="1"/>
  <c r="H7112" i="3" a="1"/>
  <c r="H7113" i="3" a="1"/>
  <c r="H7114" i="3" a="1"/>
  <c r="H7115" i="3" a="1"/>
  <c r="H7116" i="3" a="1"/>
  <c r="H7117" i="3" a="1"/>
  <c r="H7118" i="3" a="1"/>
  <c r="H7119" i="3" a="1"/>
  <c r="H7120" i="3" a="1"/>
  <c r="H7121" i="3" a="1"/>
  <c r="H7122" i="3" a="1"/>
  <c r="H7123" i="3" a="1"/>
  <c r="H7124" i="3" a="1"/>
  <c r="H7125" i="3" a="1"/>
  <c r="H7126" i="3" a="1"/>
  <c r="H7127" i="3" a="1"/>
  <c r="H7128" i="3" a="1"/>
  <c r="H7129" i="3" a="1"/>
  <c r="H7130" i="3" a="1"/>
  <c r="H7131" i="3" a="1"/>
  <c r="H7132" i="3" a="1"/>
  <c r="H7133" i="3" a="1"/>
  <c r="H7134" i="3" a="1"/>
  <c r="H7135" i="3" a="1"/>
  <c r="H7136" i="3" a="1"/>
  <c r="H7137" i="3" a="1"/>
  <c r="H7138" i="3" a="1"/>
  <c r="H7139" i="3" a="1"/>
  <c r="H7140" i="3" a="1"/>
  <c r="H7141" i="3" a="1"/>
  <c r="H7142" i="3" a="1"/>
  <c r="H7143" i="3" a="1"/>
  <c r="H7144" i="3" a="1"/>
  <c r="H7145" i="3" a="1"/>
  <c r="H7146" i="3" a="1"/>
  <c r="H7147" i="3" a="1"/>
  <c r="H7148" i="3" a="1"/>
  <c r="H7149" i="3" a="1"/>
  <c r="H7150" i="3" a="1"/>
  <c r="H7151" i="3" a="1"/>
  <c r="H7152" i="3" a="1"/>
  <c r="H7153" i="3" a="1"/>
  <c r="H7154" i="3" a="1"/>
  <c r="H7155" i="3" a="1"/>
  <c r="H7156" i="3" a="1"/>
  <c r="H7157" i="3" a="1"/>
  <c r="H7158" i="3" a="1"/>
  <c r="H7159" i="3" a="1"/>
  <c r="H7160" i="3" a="1"/>
  <c r="H7161" i="3" a="1"/>
  <c r="H7162" i="3" a="1"/>
  <c r="H7163" i="3" a="1"/>
  <c r="H7164" i="3" a="1"/>
  <c r="H7165" i="3" a="1"/>
  <c r="H7166" i="3" a="1"/>
  <c r="H7167" i="3" a="1"/>
  <c r="H7168" i="3" a="1"/>
  <c r="H7169" i="3" a="1"/>
  <c r="H7170" i="3" a="1"/>
  <c r="H7171" i="3" a="1"/>
  <c r="H7172" i="3" a="1"/>
  <c r="H7173" i="3" a="1"/>
  <c r="H7174" i="3" a="1"/>
  <c r="H7175" i="3" a="1"/>
  <c r="H7176" i="3" a="1"/>
  <c r="H7177" i="3" a="1"/>
  <c r="H7178" i="3" a="1"/>
  <c r="H7179" i="3" a="1"/>
  <c r="H7180" i="3" a="1"/>
  <c r="H7181" i="3" a="1"/>
  <c r="H7182" i="3" a="1"/>
  <c r="H7183" i="3" a="1"/>
  <c r="H7184" i="3" a="1"/>
  <c r="H7185" i="3" a="1"/>
  <c r="H7186" i="3" a="1"/>
  <c r="H7187" i="3" a="1"/>
  <c r="H7188" i="3" a="1"/>
  <c r="H7189" i="3" a="1"/>
  <c r="H7190" i="3" a="1"/>
  <c r="H7191" i="3" a="1"/>
  <c r="H7192" i="3" a="1"/>
  <c r="H7193" i="3" a="1"/>
  <c r="H7194" i="3" a="1"/>
  <c r="H7195" i="3" a="1"/>
  <c r="H7196" i="3" a="1"/>
  <c r="H7197" i="3" a="1"/>
  <c r="H7198" i="3" a="1"/>
  <c r="H7199" i="3" a="1"/>
  <c r="H7200" i="3" a="1"/>
  <c r="H7201" i="3" a="1"/>
  <c r="H7202" i="3" a="1"/>
  <c r="H7203" i="3" a="1"/>
  <c r="H7204" i="3" a="1"/>
  <c r="H7205" i="3" a="1"/>
  <c r="H7206" i="3" a="1"/>
  <c r="H7207" i="3" a="1"/>
  <c r="H7208" i="3" a="1"/>
  <c r="H7209" i="3" a="1"/>
  <c r="H7210" i="3" a="1"/>
  <c r="H7211" i="3" a="1"/>
  <c r="H7212" i="3" a="1"/>
  <c r="H7213" i="3" a="1"/>
  <c r="H7214" i="3" a="1"/>
  <c r="H7215" i="3" a="1"/>
  <c r="H7216" i="3" a="1"/>
  <c r="H7217" i="3" a="1"/>
  <c r="H7218" i="3" a="1"/>
  <c r="H7219" i="3" a="1"/>
  <c r="H7220" i="3" a="1"/>
  <c r="H7221" i="3" a="1"/>
  <c r="H7222" i="3" a="1"/>
  <c r="H7223" i="3" a="1"/>
  <c r="H7224" i="3" a="1"/>
  <c r="H7225" i="3" a="1"/>
  <c r="H7226" i="3" a="1"/>
  <c r="H7227" i="3" a="1"/>
  <c r="H7228" i="3" a="1"/>
  <c r="H7229" i="3" a="1"/>
  <c r="H7230" i="3" a="1"/>
  <c r="H7231" i="3" a="1"/>
  <c r="H7232" i="3" a="1"/>
  <c r="H7233" i="3" a="1"/>
  <c r="H7234" i="3" a="1"/>
  <c r="H7235" i="3" a="1"/>
  <c r="H7236" i="3" a="1"/>
  <c r="H7237" i="3" a="1"/>
  <c r="H7238" i="3" a="1"/>
  <c r="H7239" i="3" a="1"/>
  <c r="H7240" i="3" a="1"/>
  <c r="H7241" i="3" a="1"/>
  <c r="H7242" i="3" a="1"/>
  <c r="H7243" i="3" a="1"/>
  <c r="H7244" i="3" a="1"/>
  <c r="H7245" i="3" a="1"/>
  <c r="H7246" i="3" a="1"/>
  <c r="H7247" i="3" a="1"/>
  <c r="H7248" i="3" a="1"/>
  <c r="H7249" i="3" a="1"/>
  <c r="H7250" i="3" a="1"/>
  <c r="H7251" i="3" a="1"/>
  <c r="H7252" i="3" a="1"/>
  <c r="H7253" i="3" a="1"/>
  <c r="H7254" i="3" a="1"/>
  <c r="H7255" i="3" a="1"/>
  <c r="H7256" i="3" a="1"/>
  <c r="H7257" i="3" a="1"/>
  <c r="H7258" i="3" a="1"/>
  <c r="H7259" i="3" a="1"/>
  <c r="H7260" i="3" a="1"/>
  <c r="H7261" i="3" a="1"/>
  <c r="H7262" i="3" a="1"/>
  <c r="H7263" i="3" a="1"/>
  <c r="H7264" i="3" a="1"/>
  <c r="H7265" i="3" a="1"/>
  <c r="H7266" i="3" a="1"/>
  <c r="H7267" i="3" a="1"/>
  <c r="H7268" i="3" a="1"/>
  <c r="H7269" i="3" a="1"/>
  <c r="H7270" i="3" a="1"/>
  <c r="H7271" i="3" a="1"/>
  <c r="H7272" i="3" a="1"/>
  <c r="H7273" i="3" a="1"/>
  <c r="H7274" i="3" a="1"/>
  <c r="H7275" i="3" a="1"/>
  <c r="H7276" i="3" a="1"/>
  <c r="H7277" i="3" a="1"/>
  <c r="H7278" i="3" a="1"/>
  <c r="H7279" i="3" a="1"/>
  <c r="H7280" i="3" a="1"/>
  <c r="H7281" i="3" a="1"/>
  <c r="H7282" i="3" a="1"/>
  <c r="H7283" i="3" a="1"/>
  <c r="H7284" i="3" a="1"/>
  <c r="H7285" i="3" a="1"/>
  <c r="H7286" i="3" a="1"/>
  <c r="H7287" i="3" a="1"/>
  <c r="H7288" i="3" a="1"/>
  <c r="H7289" i="3" a="1"/>
  <c r="H7290" i="3" a="1"/>
  <c r="H7291" i="3" a="1"/>
  <c r="H7292" i="3" a="1"/>
  <c r="H7293" i="3" a="1"/>
  <c r="H7294" i="3" a="1"/>
  <c r="H7295" i="3" a="1"/>
  <c r="H7296" i="3" a="1"/>
  <c r="H7297" i="3" a="1"/>
  <c r="H7298" i="3" a="1"/>
  <c r="H7299" i="3" a="1"/>
  <c r="H7300" i="3" a="1"/>
  <c r="H7301" i="3" a="1"/>
  <c r="H7302" i="3" a="1"/>
  <c r="H7303" i="3" a="1"/>
  <c r="H7304" i="3" a="1"/>
  <c r="H7305" i="3" a="1"/>
  <c r="H7306" i="3" a="1"/>
  <c r="H7307" i="3" a="1"/>
  <c r="H7308" i="3" a="1"/>
  <c r="H7309" i="3" a="1"/>
  <c r="H7310" i="3" a="1"/>
  <c r="H7311" i="3" a="1"/>
  <c r="H7312" i="3" a="1"/>
  <c r="H7313" i="3" a="1"/>
  <c r="H7314" i="3" a="1"/>
  <c r="H7315" i="3" a="1"/>
  <c r="H7316" i="3" a="1"/>
  <c r="H7317" i="3" a="1"/>
  <c r="H7318" i="3" a="1"/>
  <c r="H7319" i="3" a="1"/>
  <c r="H7320" i="3" a="1"/>
  <c r="H7321" i="3" a="1"/>
  <c r="H7322" i="3" a="1"/>
  <c r="H7323" i="3" a="1"/>
  <c r="H7324" i="3" a="1"/>
  <c r="H7325" i="3" a="1"/>
  <c r="H7326" i="3" a="1"/>
  <c r="H7327" i="3" a="1"/>
  <c r="H7328" i="3" a="1"/>
  <c r="H7329" i="3" a="1"/>
  <c r="H7330" i="3" a="1"/>
  <c r="H7331" i="3" a="1"/>
  <c r="H7332" i="3" a="1"/>
  <c r="H7333" i="3" a="1"/>
  <c r="H7334" i="3" a="1"/>
  <c r="H7335" i="3" a="1"/>
  <c r="H7336" i="3" a="1"/>
  <c r="H7337" i="3" a="1"/>
  <c r="H7338" i="3" a="1"/>
  <c r="H7339" i="3" a="1"/>
  <c r="H7340" i="3" a="1"/>
  <c r="H7341" i="3" a="1"/>
  <c r="H7342" i="3" a="1"/>
  <c r="H7343" i="3" a="1"/>
  <c r="H7344" i="3" a="1"/>
  <c r="H7345" i="3" a="1"/>
  <c r="H7346" i="3" a="1"/>
  <c r="H7347" i="3" a="1"/>
  <c r="H7348" i="3" a="1"/>
  <c r="H7349" i="3" a="1"/>
  <c r="H7350" i="3" a="1"/>
  <c r="H7351" i="3" a="1"/>
  <c r="H7352" i="3" a="1"/>
  <c r="H7353" i="3" a="1"/>
  <c r="H7354" i="3" a="1"/>
  <c r="H7355" i="3" a="1"/>
  <c r="H7356" i="3" a="1"/>
  <c r="H7357" i="3" a="1"/>
  <c r="H7358" i="3" a="1"/>
  <c r="H7359" i="3" a="1"/>
  <c r="H7360" i="3" a="1"/>
  <c r="H7361" i="3" a="1"/>
  <c r="H7362" i="3" a="1"/>
  <c r="H7363" i="3" a="1"/>
  <c r="H7364" i="3" a="1"/>
  <c r="H7365" i="3" a="1"/>
  <c r="H7366" i="3" a="1"/>
  <c r="H7367" i="3" a="1"/>
  <c r="H7368" i="3" a="1"/>
  <c r="H7369" i="3" a="1"/>
  <c r="H7370" i="3" a="1"/>
  <c r="H7371" i="3" a="1"/>
  <c r="H7372" i="3" a="1"/>
  <c r="H7373" i="3" a="1"/>
  <c r="H7374" i="3" a="1"/>
  <c r="H7375" i="3" a="1"/>
  <c r="H7376" i="3" a="1"/>
  <c r="H7377" i="3" a="1"/>
  <c r="H7378" i="3" a="1"/>
  <c r="H7379" i="3" a="1"/>
  <c r="H7380" i="3" a="1"/>
  <c r="H7381" i="3" a="1"/>
  <c r="H7382" i="3" a="1"/>
  <c r="H7383" i="3" a="1"/>
  <c r="H7384" i="3" a="1"/>
  <c r="H7385" i="3" a="1"/>
  <c r="H7386" i="3" a="1"/>
  <c r="H7387" i="3" a="1"/>
  <c r="H7388" i="3" a="1"/>
  <c r="H7389" i="3" a="1"/>
  <c r="H7390" i="3" a="1"/>
  <c r="H7391" i="3" a="1"/>
  <c r="H7392" i="3" a="1"/>
  <c r="H7393" i="3" a="1"/>
  <c r="H7394" i="3" a="1"/>
  <c r="H7395" i="3" a="1"/>
  <c r="H7396" i="3" a="1"/>
  <c r="H7397" i="3" a="1"/>
  <c r="H7398" i="3" a="1"/>
  <c r="H7399" i="3" a="1"/>
  <c r="H7400" i="3" a="1"/>
  <c r="H7401" i="3" a="1"/>
  <c r="H7402" i="3" a="1"/>
  <c r="H7403" i="3" a="1"/>
  <c r="H7404" i="3" a="1"/>
  <c r="H7405" i="3" a="1"/>
  <c r="H7406" i="3" a="1"/>
  <c r="H7407" i="3" a="1"/>
  <c r="H7408" i="3" a="1"/>
  <c r="H7409" i="3" a="1"/>
  <c r="H7410" i="3" a="1"/>
  <c r="H7411" i="3" a="1"/>
  <c r="H7412" i="3" a="1"/>
  <c r="H7413" i="3" a="1"/>
  <c r="H7414" i="3" a="1"/>
  <c r="H7415" i="3" a="1"/>
  <c r="H7416" i="3" a="1"/>
  <c r="H7417" i="3" a="1"/>
  <c r="H7418" i="3" a="1"/>
  <c r="H7419" i="3" a="1"/>
  <c r="H7420" i="3" a="1"/>
  <c r="H7421" i="3" a="1"/>
  <c r="H7422" i="3" a="1"/>
  <c r="H7423" i="3" a="1"/>
  <c r="H7424" i="3" a="1"/>
  <c r="H7425" i="3" a="1"/>
  <c r="H7426" i="3" a="1"/>
  <c r="H7427" i="3" a="1"/>
  <c r="H7428" i="3" a="1"/>
  <c r="H7429" i="3" a="1"/>
  <c r="H7430" i="3" a="1"/>
  <c r="H7431" i="3" a="1"/>
  <c r="H7432" i="3" a="1"/>
  <c r="H7433" i="3" a="1"/>
  <c r="H7434" i="3" a="1"/>
  <c r="H7435" i="3" a="1"/>
  <c r="H7436" i="3" a="1"/>
  <c r="H7437" i="3" a="1"/>
  <c r="H7438" i="3" a="1"/>
  <c r="H7439" i="3" a="1"/>
  <c r="H7440" i="3" a="1"/>
  <c r="H7441" i="3" a="1"/>
  <c r="H7442" i="3" a="1"/>
  <c r="H7443" i="3" a="1"/>
  <c r="H7444" i="3" a="1"/>
  <c r="H7445" i="3" a="1"/>
  <c r="H7446" i="3" a="1"/>
  <c r="H7447" i="3" a="1"/>
  <c r="H7448" i="3" a="1"/>
  <c r="H7449" i="3" a="1"/>
  <c r="H7450" i="3" a="1"/>
  <c r="H7451" i="3" a="1"/>
  <c r="H7452" i="3" a="1"/>
  <c r="H7453" i="3" a="1"/>
  <c r="H7454" i="3" a="1"/>
  <c r="H7455" i="3" a="1"/>
  <c r="H7456" i="3" a="1"/>
  <c r="H7457" i="3" a="1"/>
  <c r="H7458" i="3" a="1"/>
  <c r="H7459" i="3" a="1"/>
  <c r="H7460" i="3" a="1"/>
  <c r="H7461" i="3" a="1"/>
  <c r="H7462" i="3" a="1"/>
  <c r="H7463" i="3" a="1"/>
  <c r="H7464" i="3" a="1"/>
  <c r="H7465" i="3" a="1"/>
  <c r="H7466" i="3" a="1"/>
  <c r="H7467" i="3" a="1"/>
  <c r="H7468" i="3" a="1"/>
  <c r="H7469" i="3" a="1"/>
  <c r="H7470" i="3" a="1"/>
  <c r="H7471" i="3" a="1"/>
  <c r="H7472" i="3" a="1"/>
  <c r="H7473" i="3" a="1"/>
  <c r="H7474" i="3" a="1"/>
  <c r="H7475" i="3" a="1"/>
  <c r="H7476" i="3" a="1"/>
  <c r="H7477" i="3" a="1"/>
  <c r="H7478" i="3" a="1"/>
  <c r="H7479" i="3" a="1"/>
  <c r="H7480" i="3" a="1"/>
  <c r="H7481" i="3" a="1"/>
  <c r="H7482" i="3" a="1"/>
  <c r="H7483" i="3" a="1"/>
  <c r="H7484" i="3" a="1"/>
  <c r="H7485" i="3" a="1"/>
  <c r="H7486" i="3" a="1"/>
  <c r="H7487" i="3" a="1"/>
  <c r="H7488" i="3" a="1"/>
  <c r="H7489" i="3" a="1"/>
  <c r="H7490" i="3" a="1"/>
  <c r="H7491" i="3" a="1"/>
  <c r="H7492" i="3" a="1"/>
  <c r="H7493" i="3" a="1"/>
  <c r="H7494" i="3" a="1"/>
  <c r="H7495" i="3" a="1"/>
  <c r="H7496" i="3" a="1"/>
  <c r="H7497" i="3" a="1"/>
  <c r="H7498" i="3" a="1"/>
  <c r="H7499" i="3" a="1"/>
  <c r="H7500" i="3" a="1"/>
  <c r="H7501" i="3" a="1"/>
  <c r="H7502" i="3" a="1"/>
  <c r="H7503" i="3" a="1"/>
  <c r="H7504" i="3" a="1"/>
  <c r="H7505" i="3" a="1"/>
  <c r="H7506" i="3" a="1"/>
  <c r="H7507" i="3" a="1"/>
  <c r="H7508" i="3" a="1"/>
  <c r="H7509" i="3" a="1"/>
  <c r="H7510" i="3" a="1"/>
  <c r="H7511" i="3" a="1"/>
  <c r="H7512" i="3" a="1"/>
  <c r="H7513" i="3" a="1"/>
  <c r="H7514" i="3" a="1"/>
  <c r="H7515" i="3" a="1"/>
  <c r="H7516" i="3" a="1"/>
  <c r="H7517" i="3" a="1"/>
  <c r="H7518" i="3" a="1"/>
  <c r="H7519" i="3" a="1"/>
  <c r="H7520" i="3" a="1"/>
  <c r="H7521" i="3" a="1"/>
  <c r="H7522" i="3" a="1"/>
  <c r="H7523" i="3" a="1"/>
  <c r="H7524" i="3" a="1"/>
  <c r="H7525" i="3" a="1"/>
  <c r="H7526" i="3" a="1"/>
  <c r="H7527" i="3" a="1"/>
  <c r="H7528" i="3" a="1"/>
  <c r="H7529" i="3" a="1"/>
  <c r="H7530" i="3" a="1"/>
  <c r="H7531" i="3" a="1"/>
  <c r="H7532" i="3" a="1"/>
  <c r="H7533" i="3" a="1"/>
  <c r="H7534" i="3" a="1"/>
  <c r="H7535" i="3" a="1"/>
  <c r="H7536" i="3" a="1"/>
  <c r="H7537" i="3" a="1"/>
  <c r="H7538" i="3" a="1"/>
  <c r="H7539" i="3" a="1"/>
  <c r="H7540" i="3" a="1"/>
  <c r="H7541" i="3" a="1"/>
  <c r="H7542" i="3" a="1"/>
  <c r="H7543" i="3" a="1"/>
  <c r="H7544" i="3" a="1"/>
  <c r="H7545" i="3" a="1"/>
  <c r="H7546" i="3" a="1"/>
  <c r="H7547" i="3" a="1"/>
  <c r="H7548" i="3" a="1"/>
  <c r="H7549" i="3" a="1"/>
  <c r="H7550" i="3" a="1"/>
  <c r="H7551" i="3" a="1"/>
  <c r="H7552" i="3" a="1"/>
  <c r="H7553" i="3" a="1"/>
  <c r="H7554" i="3" a="1"/>
  <c r="H7555" i="3" a="1"/>
  <c r="H7556" i="3" a="1"/>
  <c r="H7557" i="3" a="1"/>
  <c r="H7558" i="3" a="1"/>
  <c r="H7559" i="3" a="1"/>
  <c r="H7560" i="3" a="1"/>
  <c r="H7561" i="3" a="1"/>
  <c r="H7562" i="3" a="1"/>
  <c r="H7563" i="3" a="1"/>
  <c r="H7564" i="3" a="1"/>
  <c r="H7565" i="3" a="1"/>
  <c r="H7566" i="3" a="1"/>
  <c r="H7567" i="3" a="1"/>
  <c r="H7568" i="3" a="1"/>
  <c r="H7569" i="3" a="1"/>
  <c r="H7570" i="3" a="1"/>
  <c r="H7571" i="3" a="1"/>
  <c r="H7572" i="3" a="1"/>
  <c r="H7573" i="3" a="1"/>
  <c r="H7574" i="3" a="1"/>
  <c r="H7575" i="3" a="1"/>
  <c r="H7576" i="3" a="1"/>
  <c r="H7577" i="3" a="1"/>
  <c r="H7578" i="3" a="1"/>
  <c r="H7579" i="3" a="1"/>
  <c r="H7580" i="3" a="1"/>
  <c r="H7581" i="3" a="1"/>
  <c r="H7582" i="3" a="1"/>
  <c r="H7583" i="3" a="1"/>
  <c r="H7584" i="3" a="1"/>
  <c r="H7585" i="3" a="1"/>
  <c r="H7586" i="3" a="1"/>
  <c r="H7587" i="3" a="1"/>
  <c r="H7588" i="3" a="1"/>
  <c r="H7589" i="3" a="1"/>
  <c r="H7590" i="3" a="1"/>
  <c r="H7591" i="3" a="1"/>
  <c r="H7592" i="3" a="1"/>
  <c r="H7593" i="3" a="1"/>
  <c r="H7594" i="3" a="1"/>
  <c r="H7595" i="3" a="1"/>
  <c r="H7596" i="3" a="1"/>
  <c r="H7597" i="3" a="1"/>
  <c r="H7598" i="3" a="1"/>
  <c r="H7599" i="3" a="1"/>
  <c r="H7600" i="3" a="1"/>
  <c r="H7601" i="3" a="1"/>
  <c r="H7602" i="3" a="1"/>
  <c r="H7603" i="3" a="1"/>
  <c r="H7604" i="3" a="1"/>
  <c r="H7605" i="3" a="1"/>
  <c r="H7606" i="3" a="1"/>
  <c r="H7607" i="3" a="1"/>
  <c r="H7608" i="3" a="1"/>
  <c r="H7609" i="3" a="1"/>
  <c r="H7610" i="3" a="1"/>
  <c r="H7611" i="3" a="1"/>
  <c r="H7612" i="3" a="1"/>
  <c r="H7613" i="3" a="1"/>
  <c r="H7614" i="3" a="1"/>
  <c r="H7615" i="3" a="1"/>
  <c r="H7616" i="3" a="1"/>
  <c r="H7617" i="3" a="1"/>
  <c r="H7618" i="3" a="1"/>
  <c r="H7619" i="3" a="1"/>
  <c r="H7620" i="3" a="1"/>
  <c r="H7621" i="3" a="1"/>
  <c r="H7622" i="3" a="1"/>
  <c r="H7623" i="3" a="1"/>
  <c r="H7624" i="3" a="1"/>
  <c r="H7625" i="3" a="1"/>
  <c r="H7626" i="3" a="1"/>
  <c r="H7627" i="3" a="1"/>
  <c r="H7628" i="3" a="1"/>
  <c r="H7629" i="3" a="1"/>
  <c r="H7630" i="3" a="1"/>
  <c r="H7631" i="3" a="1"/>
  <c r="H7632" i="3" a="1"/>
  <c r="H7633" i="3" a="1"/>
  <c r="H7634" i="3" a="1"/>
  <c r="H7635" i="3" a="1"/>
  <c r="H7636" i="3" a="1"/>
  <c r="H7637" i="3" a="1"/>
  <c r="H7638" i="3" a="1"/>
  <c r="H7639" i="3" a="1"/>
  <c r="H7640" i="3" a="1"/>
  <c r="H7641" i="3" a="1"/>
  <c r="H7642" i="3" a="1"/>
  <c r="H7643" i="3" a="1"/>
  <c r="H7644" i="3" a="1"/>
  <c r="H7645" i="3" a="1"/>
  <c r="H7646" i="3" a="1"/>
  <c r="H7647" i="3" a="1"/>
  <c r="H7648" i="3" a="1"/>
  <c r="H7649" i="3" a="1"/>
  <c r="H7650" i="3" a="1"/>
  <c r="H7651" i="3" a="1"/>
  <c r="H7652" i="3" a="1"/>
  <c r="H7653" i="3" a="1"/>
  <c r="H7654" i="3" a="1"/>
  <c r="H7655" i="3" a="1"/>
  <c r="H7656" i="3" a="1"/>
  <c r="H7657" i="3" a="1"/>
  <c r="H7658" i="3" a="1"/>
  <c r="H7659" i="3" a="1"/>
  <c r="H7660" i="3" a="1"/>
  <c r="H7661" i="3" a="1"/>
  <c r="H7662" i="3" a="1"/>
  <c r="H7663" i="3" a="1"/>
  <c r="H7664" i="3" a="1"/>
  <c r="H7665" i="3" a="1"/>
  <c r="H7666" i="3" a="1"/>
  <c r="H7667" i="3" a="1"/>
  <c r="H7668" i="3" a="1"/>
  <c r="H7669" i="3" a="1"/>
  <c r="H7670" i="3" a="1"/>
  <c r="H7671" i="3" a="1"/>
  <c r="H7672" i="3" a="1"/>
  <c r="H7673" i="3" a="1"/>
  <c r="H7674" i="3" a="1"/>
  <c r="H7675" i="3" a="1"/>
  <c r="H7676" i="3" a="1"/>
  <c r="H7677" i="3" a="1"/>
  <c r="H7678" i="3" a="1"/>
  <c r="H7679" i="3" a="1"/>
  <c r="H7680" i="3" a="1"/>
  <c r="H7681" i="3" a="1"/>
  <c r="H7682" i="3" a="1"/>
  <c r="H7683" i="3" a="1"/>
  <c r="H7684" i="3" a="1"/>
  <c r="H7685" i="3" a="1"/>
  <c r="H7686" i="3" a="1"/>
  <c r="H7687" i="3" a="1"/>
  <c r="H7688" i="3" a="1"/>
  <c r="H7689" i="3" a="1"/>
  <c r="H7690" i="3" a="1"/>
  <c r="H7691" i="3" a="1"/>
  <c r="H7692" i="3" a="1"/>
  <c r="H7693" i="3" a="1"/>
  <c r="H7694" i="3" a="1"/>
  <c r="H7695" i="3" a="1"/>
  <c r="H7696" i="3" a="1"/>
  <c r="H7697" i="3" a="1"/>
  <c r="H7698" i="3" a="1"/>
  <c r="H7699" i="3" a="1"/>
  <c r="H7700" i="3" a="1"/>
  <c r="H7701" i="3" a="1"/>
  <c r="H7702" i="3" a="1"/>
  <c r="H7703" i="3" a="1"/>
  <c r="H7704" i="3" a="1"/>
  <c r="H7705" i="3" a="1"/>
  <c r="H7706" i="3" a="1"/>
  <c r="H7707" i="3" a="1"/>
  <c r="H7708" i="3" a="1"/>
  <c r="H7709" i="3" a="1"/>
  <c r="H7710" i="3" a="1"/>
  <c r="H7711" i="3" a="1"/>
  <c r="H7712" i="3" a="1"/>
  <c r="H7713" i="3" a="1"/>
  <c r="H7714" i="3" a="1"/>
  <c r="H7715" i="3" a="1"/>
  <c r="H7716" i="3" a="1"/>
  <c r="H7717" i="3" a="1"/>
  <c r="H7718" i="3" a="1"/>
  <c r="H7719" i="3" a="1"/>
  <c r="H7720" i="3" a="1"/>
  <c r="H7721" i="3" a="1"/>
  <c r="H7722" i="3" a="1"/>
  <c r="H7723" i="3" a="1"/>
  <c r="H7724" i="3" a="1"/>
  <c r="H7725" i="3" a="1"/>
  <c r="H7726" i="3" a="1"/>
  <c r="H7727" i="3" a="1"/>
  <c r="H7728" i="3" a="1"/>
  <c r="H7729" i="3" a="1"/>
  <c r="H7730" i="3" a="1"/>
  <c r="H7731" i="3" a="1"/>
  <c r="H7732" i="3" a="1"/>
  <c r="H7733" i="3" a="1"/>
  <c r="H7734" i="3" a="1"/>
  <c r="H7735" i="3" a="1"/>
  <c r="H7736" i="3" a="1"/>
  <c r="H7737" i="3" a="1"/>
  <c r="H7738" i="3" a="1"/>
  <c r="H7739" i="3" a="1"/>
  <c r="H7740" i="3" a="1"/>
  <c r="H7741" i="3" a="1"/>
  <c r="H7742" i="3" a="1"/>
  <c r="H7743" i="3" a="1"/>
  <c r="H7744" i="3" a="1"/>
  <c r="H7745" i="3" a="1"/>
  <c r="H7746" i="3" a="1"/>
  <c r="H7747" i="3" a="1"/>
  <c r="H7748" i="3" a="1"/>
  <c r="H7749" i="3" a="1"/>
  <c r="H7750" i="3" a="1"/>
  <c r="H7751" i="3" a="1"/>
  <c r="H7764" i="3" a="1"/>
  <c r="H7765" i="3" a="1"/>
  <c r="H7766" i="3" a="1"/>
  <c r="H7767" i="3" a="1"/>
  <c r="H7768" i="3" a="1"/>
  <c r="H7769" i="3" a="1"/>
  <c r="H7770" i="3" a="1"/>
  <c r="H7771" i="3" a="1"/>
  <c r="H7772" i="3" a="1"/>
  <c r="H7773" i="3" a="1"/>
  <c r="H7774" i="3" a="1"/>
  <c r="H7775" i="3" a="1"/>
  <c r="H7776" i="3" a="1"/>
  <c r="H7777" i="3" a="1"/>
  <c r="H7778" i="3" a="1"/>
  <c r="H7779" i="3" a="1"/>
  <c r="H7780" i="3" a="1"/>
  <c r="H7781" i="3" a="1"/>
  <c r="H7782" i="3" a="1"/>
  <c r="H7783" i="3" a="1"/>
  <c r="H7784" i="3" a="1"/>
  <c r="H7785" i="3" a="1"/>
  <c r="H7786" i="3" a="1"/>
  <c r="H7787" i="3" a="1"/>
  <c r="H7788" i="3" a="1"/>
  <c r="H7789" i="3" a="1"/>
  <c r="H7790" i="3" a="1"/>
  <c r="H7791" i="3" a="1"/>
  <c r="H7792" i="3" a="1"/>
  <c r="H7793" i="3" a="1"/>
  <c r="H7794" i="3" a="1"/>
  <c r="H7795" i="3" a="1"/>
  <c r="H7796" i="3" a="1"/>
  <c r="H7797" i="3" a="1"/>
  <c r="H7798" i="3" a="1"/>
  <c r="H7799" i="3" a="1"/>
  <c r="H7800" i="3" a="1"/>
  <c r="H7801" i="3" a="1"/>
  <c r="H7802" i="3" a="1"/>
  <c r="H7803" i="3" a="1"/>
  <c r="H7804" i="3" a="1"/>
  <c r="H7805" i="3" a="1"/>
  <c r="H7806" i="3" a="1"/>
  <c r="H7807" i="3" a="1"/>
  <c r="H7808" i="3" a="1"/>
  <c r="H7809" i="3" a="1"/>
  <c r="H7810" i="3" a="1"/>
  <c r="H7811" i="3" a="1"/>
  <c r="H7812" i="3" a="1"/>
  <c r="H7813" i="3" a="1"/>
  <c r="H7814" i="3" a="1"/>
  <c r="H7815" i="3" a="1"/>
  <c r="H7816" i="3" a="1"/>
  <c r="H7817" i="3" a="1"/>
  <c r="H7818" i="3" a="1"/>
  <c r="H7819" i="3" a="1"/>
  <c r="H7820" i="3" a="1"/>
  <c r="H7821" i="3" a="1"/>
  <c r="H7822" i="3" a="1"/>
  <c r="H7823" i="3" a="1"/>
  <c r="H7824" i="3" a="1"/>
  <c r="H7825" i="3" a="1"/>
  <c r="H7826" i="3" a="1"/>
  <c r="H7827" i="3" a="1"/>
  <c r="H7828" i="3" a="1"/>
  <c r="H7829" i="3" a="1"/>
  <c r="H7830" i="3" a="1"/>
  <c r="H7831" i="3" a="1"/>
  <c r="H7832" i="3" a="1"/>
  <c r="H7845" i="3" a="1"/>
  <c r="H7846" i="3" a="1"/>
  <c r="H7847" i="3" a="1"/>
  <c r="H7848" i="3" a="1"/>
  <c r="H7849" i="3" a="1"/>
  <c r="H7850" i="3" a="1"/>
  <c r="H7851" i="3" a="1"/>
  <c r="H7852" i="3" a="1"/>
  <c r="H7853" i="3" a="1"/>
  <c r="H7854" i="3" a="1"/>
  <c r="H7855" i="3" a="1"/>
  <c r="H7856" i="3" a="1"/>
  <c r="H7857" i="3" a="1"/>
  <c r="H7858" i="3" a="1"/>
  <c r="H7859" i="3" a="1"/>
  <c r="H7860" i="3" a="1"/>
  <c r="H7861" i="3" a="1"/>
  <c r="H7862" i="3" a="1"/>
  <c r="H7863" i="3" a="1"/>
  <c r="H7864" i="3" a="1"/>
  <c r="H7865" i="3" a="1"/>
  <c r="H7866" i="3" a="1"/>
  <c r="H7867" i="3" a="1"/>
  <c r="H7868" i="3" a="1"/>
  <c r="H7869" i="3" a="1"/>
  <c r="H7870" i="3" a="1"/>
  <c r="H7871" i="3" a="1"/>
  <c r="H7872" i="3" a="1"/>
  <c r="H7873" i="3" a="1"/>
  <c r="H7874" i="3" a="1"/>
  <c r="H7875" i="3" a="1"/>
  <c r="H7876" i="3" a="1"/>
  <c r="H7877" i="3" a="1"/>
  <c r="H7878" i="3" a="1"/>
  <c r="H7879" i="3" a="1"/>
  <c r="H7880" i="3" a="1"/>
  <c r="H7881" i="3" a="1"/>
  <c r="H7882" i="3" a="1"/>
  <c r="H7883" i="3" a="1"/>
  <c r="H7884" i="3" a="1"/>
  <c r="H7885" i="3" a="1"/>
  <c r="H7886" i="3" a="1"/>
  <c r="H7887" i="3" a="1"/>
  <c r="H7888" i="3" a="1"/>
  <c r="H7889" i="3" a="1"/>
  <c r="H7890" i="3" a="1"/>
  <c r="H7891" i="3" a="1"/>
  <c r="H7892" i="3" a="1"/>
  <c r="H7893" i="3" a="1"/>
  <c r="H7894" i="3" a="1"/>
  <c r="H7895" i="3" a="1"/>
  <c r="H7896" i="3" a="1"/>
  <c r="H7897" i="3" a="1"/>
  <c r="H7898" i="3" a="1"/>
  <c r="H7899" i="3" a="1"/>
  <c r="H7900" i="3" a="1"/>
  <c r="H7901" i="3" a="1"/>
  <c r="H7902" i="3" a="1"/>
  <c r="H7903" i="3" a="1"/>
  <c r="H7904" i="3" a="1"/>
  <c r="H7905" i="3" a="1"/>
  <c r="H7906" i="3" a="1"/>
  <c r="H7907" i="3" a="1"/>
  <c r="H7908" i="3" a="1"/>
  <c r="H7909" i="3" a="1"/>
  <c r="H7910" i="3" a="1"/>
  <c r="H7911" i="3" a="1"/>
  <c r="H7912" i="3" a="1"/>
  <c r="H7913" i="3" a="1"/>
  <c r="H7926" i="3" a="1"/>
  <c r="H7927" i="3" a="1"/>
  <c r="H7928" i="3" a="1"/>
  <c r="H7929" i="3" a="1"/>
  <c r="H7930" i="3" a="1"/>
  <c r="H7931" i="3" a="1"/>
  <c r="H7932" i="3" a="1"/>
  <c r="H7933" i="3" a="1"/>
  <c r="H7934" i="3" a="1"/>
  <c r="H7935" i="3" a="1"/>
  <c r="H7936" i="3" a="1"/>
  <c r="H7937" i="3" a="1"/>
  <c r="H7938" i="3" a="1"/>
  <c r="H7939" i="3" a="1"/>
  <c r="H7940" i="3" a="1"/>
  <c r="H7941" i="3" a="1"/>
  <c r="H7942" i="3" a="1"/>
  <c r="H7943" i="3" a="1"/>
  <c r="H7944" i="3" a="1"/>
  <c r="H7945" i="3" a="1"/>
  <c r="H7946" i="3" a="1"/>
  <c r="H7947" i="3" a="1"/>
  <c r="H7948" i="3" a="1"/>
  <c r="H7949" i="3" a="1"/>
  <c r="H7950" i="3" a="1"/>
  <c r="H7951" i="3" a="1"/>
  <c r="H7952" i="3" a="1"/>
  <c r="H7953" i="3" a="1"/>
  <c r="H7954" i="3" a="1"/>
  <c r="H7955" i="3" a="1"/>
  <c r="H7956" i="3" a="1"/>
  <c r="H7957" i="3" a="1"/>
  <c r="H7958" i="3" a="1"/>
  <c r="H7959" i="3" a="1"/>
  <c r="H7960" i="3" a="1"/>
  <c r="H7961" i="3" a="1"/>
  <c r="H7962" i="3" a="1"/>
  <c r="H7963" i="3" a="1"/>
  <c r="H7964" i="3" a="1"/>
  <c r="H7965" i="3" a="1"/>
  <c r="H7966" i="3" a="1"/>
  <c r="H7967" i="3" a="1"/>
  <c r="H7968" i="3" a="1"/>
  <c r="H7969" i="3" a="1"/>
  <c r="H7970" i="3" a="1"/>
  <c r="H7971" i="3" a="1"/>
  <c r="H7972" i="3" a="1"/>
  <c r="H7973" i="3" a="1"/>
  <c r="H7974" i="3" a="1"/>
  <c r="H7975" i="3" a="1"/>
  <c r="H7976" i="3" a="1"/>
  <c r="H7977" i="3" a="1"/>
  <c r="H7978" i="3" a="1"/>
  <c r="H7979" i="3" a="1"/>
  <c r="H7980" i="3" a="1"/>
  <c r="H7981" i="3" a="1"/>
  <c r="H7982" i="3" a="1"/>
  <c r="H7983" i="3" a="1"/>
  <c r="H7984" i="3" a="1"/>
  <c r="H7985" i="3" a="1"/>
  <c r="H7986" i="3" a="1"/>
  <c r="H7987" i="3" a="1"/>
  <c r="H7988" i="3" a="1"/>
  <c r="H7989" i="3" a="1"/>
  <c r="H7990" i="3" a="1"/>
  <c r="H7991" i="3" a="1"/>
  <c r="H7992" i="3" a="1"/>
  <c r="H7993" i="3" a="1"/>
  <c r="H7994" i="3" a="1"/>
  <c r="H8007" i="3" a="1"/>
  <c r="H8008" i="3" a="1"/>
  <c r="H8009" i="3" a="1"/>
  <c r="H8010" i="3" a="1"/>
  <c r="H8011" i="3" a="1"/>
  <c r="H8012" i="3" a="1"/>
  <c r="H8013" i="3" a="1"/>
  <c r="H8014" i="3" a="1"/>
  <c r="H8015" i="3" a="1"/>
  <c r="H8016" i="3" a="1"/>
  <c r="H8017" i="3" a="1"/>
  <c r="H8018" i="3" a="1"/>
  <c r="H8019" i="3" a="1"/>
  <c r="H8020" i="3" a="1"/>
  <c r="H8021" i="3" a="1"/>
  <c r="H8022" i="3" a="1"/>
  <c r="H8023" i="3" a="1"/>
  <c r="H8024" i="3" a="1"/>
  <c r="H8025" i="3" a="1"/>
  <c r="H8026" i="3" a="1"/>
  <c r="H8027" i="3" a="1"/>
  <c r="H8028" i="3" a="1"/>
  <c r="H8029" i="3" a="1"/>
  <c r="H8030" i="3" a="1"/>
  <c r="H8031" i="3" a="1"/>
  <c r="H8032" i="3" a="1"/>
  <c r="H8033" i="3" a="1"/>
  <c r="H8034" i="3" a="1"/>
  <c r="H8035" i="3" a="1"/>
  <c r="H8036" i="3" a="1"/>
  <c r="H8037" i="3" a="1"/>
  <c r="H8038" i="3" a="1"/>
  <c r="H8039" i="3" a="1"/>
  <c r="H8040" i="3" a="1"/>
  <c r="H8041" i="3" a="1"/>
  <c r="H8042" i="3" a="1"/>
  <c r="H8043" i="3" a="1"/>
  <c r="H8044" i="3" a="1"/>
  <c r="H8045" i="3" a="1"/>
  <c r="H8046" i="3" a="1"/>
  <c r="H8047" i="3" a="1"/>
  <c r="H8048" i="3" a="1"/>
  <c r="H8049" i="3" a="1"/>
  <c r="H8050" i="3" a="1"/>
  <c r="H8051" i="3" a="1"/>
  <c r="H8052" i="3" a="1"/>
  <c r="H8053" i="3" a="1"/>
  <c r="H8054" i="3" a="1"/>
  <c r="H8055" i="3" a="1"/>
  <c r="H8056" i="3" a="1"/>
  <c r="H8057" i="3" a="1"/>
  <c r="H8058" i="3" a="1"/>
  <c r="H8059" i="3" a="1"/>
  <c r="H8060" i="3" a="1"/>
  <c r="H8061" i="3" a="1"/>
  <c r="H8062" i="3" a="1"/>
  <c r="H8063" i="3" a="1"/>
  <c r="H8064" i="3" a="1"/>
  <c r="H8065" i="3" a="1"/>
  <c r="H8066" i="3" a="1"/>
  <c r="H8067" i="3" a="1"/>
  <c r="H8068" i="3" a="1"/>
  <c r="H8069" i="3" a="1"/>
  <c r="H8070" i="3" a="1"/>
  <c r="H8071" i="3" a="1"/>
  <c r="H8072" i="3" a="1"/>
  <c r="H8073" i="3" a="1"/>
  <c r="H8074" i="3" a="1"/>
  <c r="H8075" i="3" a="1"/>
  <c r="H8088" i="3" a="1"/>
  <c r="H8089" i="3" a="1"/>
  <c r="H8090" i="3" a="1"/>
  <c r="H8091" i="3" a="1"/>
  <c r="H8092" i="3" a="1"/>
  <c r="H8093" i="3" a="1"/>
  <c r="H8094" i="3" a="1"/>
  <c r="H8095" i="3" a="1"/>
  <c r="H8096" i="3" a="1"/>
  <c r="H8097" i="3" a="1"/>
  <c r="H8098" i="3" a="1"/>
  <c r="H8099" i="3" a="1"/>
  <c r="H8100" i="3" a="1"/>
  <c r="H8101" i="3" a="1"/>
  <c r="H8102" i="3" a="1"/>
  <c r="H8103" i="3" a="1"/>
  <c r="H8104" i="3" a="1"/>
  <c r="H8105" i="3" a="1"/>
  <c r="H8106" i="3" a="1"/>
  <c r="H8107" i="3" a="1"/>
  <c r="H8108" i="3" a="1"/>
  <c r="H8109" i="3" a="1"/>
  <c r="H8110" i="3" a="1"/>
  <c r="H8111" i="3" a="1"/>
  <c r="H8112" i="3" a="1"/>
  <c r="H8113" i="3" a="1"/>
  <c r="H8114" i="3" a="1"/>
  <c r="H8115" i="3" a="1"/>
  <c r="H8116" i="3" a="1"/>
  <c r="H8117" i="3" a="1"/>
  <c r="H8118" i="3" a="1"/>
  <c r="H8119" i="3" a="1"/>
  <c r="H8120" i="3" a="1"/>
  <c r="H8121" i="3" a="1"/>
  <c r="H8122" i="3" a="1"/>
  <c r="H8123" i="3" a="1"/>
  <c r="H8124" i="3" a="1"/>
  <c r="H8125" i="3" a="1"/>
  <c r="H8126" i="3" a="1"/>
  <c r="H8127" i="3" a="1"/>
  <c r="H8128" i="3" a="1"/>
  <c r="H8129" i="3" a="1"/>
  <c r="H8130" i="3" a="1"/>
  <c r="H8131" i="3" a="1"/>
  <c r="H8132" i="3" a="1"/>
  <c r="H8133" i="3" a="1"/>
  <c r="H8134" i="3" a="1"/>
  <c r="H8135" i="3" a="1"/>
  <c r="H8136" i="3" a="1"/>
  <c r="H8137" i="3" a="1"/>
  <c r="H8138" i="3" a="1"/>
  <c r="H8139" i="3" a="1"/>
  <c r="H8140" i="3" a="1"/>
  <c r="H8141" i="3" a="1"/>
  <c r="H8142" i="3" a="1"/>
  <c r="H8143" i="3" a="1"/>
  <c r="H8144" i="3" a="1"/>
  <c r="H8145" i="3" a="1"/>
  <c r="H8146" i="3" a="1"/>
  <c r="H8147" i="3" a="1"/>
  <c r="H8148" i="3" a="1"/>
  <c r="H8149" i="3" a="1"/>
  <c r="H8150" i="3" a="1"/>
  <c r="H8151" i="3" a="1"/>
  <c r="H8152" i="3" a="1"/>
  <c r="H8153" i="3" a="1"/>
  <c r="H8154" i="3" a="1"/>
  <c r="H8155" i="3" a="1"/>
  <c r="H8156" i="3" a="1"/>
  <c r="H8169" i="3" a="1"/>
  <c r="H8170" i="3" a="1"/>
  <c r="H8171" i="3" a="1"/>
  <c r="H8172" i="3" a="1"/>
  <c r="H8173" i="3" a="1"/>
  <c r="H8174" i="3" a="1"/>
  <c r="H8175" i="3" a="1"/>
  <c r="H8176" i="3" a="1"/>
  <c r="H8177" i="3" a="1"/>
  <c r="H8178" i="3" a="1"/>
  <c r="H8179" i="3" a="1"/>
  <c r="H8180" i="3" a="1"/>
  <c r="H8181" i="3" a="1"/>
  <c r="H8182" i="3" a="1"/>
  <c r="H8183" i="3" a="1"/>
  <c r="H8184" i="3" a="1"/>
  <c r="H8185" i="3" a="1"/>
  <c r="H8186" i="3" a="1"/>
  <c r="H8187" i="3" a="1"/>
  <c r="H8188" i="3" a="1"/>
  <c r="H8189" i="3" a="1"/>
  <c r="H8190" i="3" a="1"/>
  <c r="H8191" i="3" a="1"/>
  <c r="H8192" i="3" a="1"/>
  <c r="H8193" i="3" a="1"/>
  <c r="H8194" i="3" a="1"/>
  <c r="H8195" i="3" a="1"/>
  <c r="H8196" i="3" a="1"/>
  <c r="H8197" i="3" a="1"/>
  <c r="H8198" i="3" a="1"/>
  <c r="H8199" i="3" a="1"/>
  <c r="H8200" i="3" a="1"/>
  <c r="H8201" i="3" a="1"/>
  <c r="H8202" i="3" a="1"/>
  <c r="H8203" i="3" a="1"/>
  <c r="H8204" i="3" a="1"/>
  <c r="H8205" i="3" a="1"/>
  <c r="H8206" i="3" a="1"/>
  <c r="H8207" i="3" a="1"/>
  <c r="H8208" i="3" a="1"/>
  <c r="H8209" i="3" a="1"/>
  <c r="H8210" i="3" a="1"/>
  <c r="H8211" i="3" a="1"/>
  <c r="H8212" i="3" a="1"/>
  <c r="H8213" i="3" a="1"/>
  <c r="H8214" i="3" a="1"/>
  <c r="H8215" i="3" a="1"/>
  <c r="H8216" i="3" a="1"/>
  <c r="H8217" i="3" a="1"/>
  <c r="H8218" i="3" a="1"/>
  <c r="H8219" i="3" a="1"/>
  <c r="H8220" i="3" a="1"/>
  <c r="H8221" i="3" a="1"/>
  <c r="H8222" i="3" a="1"/>
  <c r="H8223" i="3" a="1"/>
  <c r="H8224" i="3" a="1"/>
  <c r="H8225" i="3" a="1"/>
  <c r="H8226" i="3" a="1"/>
  <c r="H8227" i="3" a="1"/>
  <c r="H8228" i="3" a="1"/>
  <c r="H8229" i="3" a="1"/>
  <c r="H8230" i="3" a="1"/>
  <c r="H8231" i="3" a="1"/>
  <c r="H8232" i="3" a="1"/>
  <c r="H8233" i="3" a="1"/>
  <c r="H8234" i="3" a="1"/>
  <c r="H8235" i="3" a="1"/>
  <c r="H8236" i="3" a="1"/>
  <c r="H8237" i="3" a="1"/>
  <c r="H8250" i="3" a="1"/>
  <c r="H8251" i="3" a="1"/>
  <c r="H8252" i="3" a="1"/>
  <c r="H8253" i="3" a="1"/>
  <c r="H8254" i="3" a="1"/>
  <c r="H8255" i="3" a="1"/>
  <c r="H8256" i="3" a="1"/>
  <c r="H8257" i="3" a="1"/>
  <c r="H8258" i="3" a="1"/>
  <c r="H8259" i="3" a="1"/>
  <c r="H8260" i="3" a="1"/>
  <c r="H8261" i="3" a="1"/>
  <c r="H8262" i="3" a="1"/>
  <c r="H8263" i="3" a="1"/>
  <c r="H8264" i="3" a="1"/>
  <c r="H8265" i="3" a="1"/>
  <c r="H8266" i="3" a="1"/>
  <c r="H8267" i="3" a="1"/>
  <c r="H8268" i="3" a="1"/>
  <c r="H8269" i="3" a="1"/>
  <c r="H8270" i="3" a="1"/>
  <c r="H8271" i="3" a="1"/>
  <c r="H8272" i="3" a="1"/>
  <c r="H8273" i="3" a="1"/>
  <c r="H8274" i="3" a="1"/>
  <c r="H8275" i="3" a="1"/>
  <c r="H8276" i="3" a="1"/>
  <c r="H8277" i="3" a="1"/>
  <c r="H8278" i="3" a="1"/>
  <c r="H8279" i="3" a="1"/>
  <c r="H8280" i="3" a="1"/>
  <c r="H8281" i="3" a="1"/>
  <c r="H8282" i="3" a="1"/>
  <c r="H8283" i="3" a="1"/>
  <c r="H8284" i="3" a="1"/>
  <c r="H8285" i="3" a="1"/>
  <c r="H8286" i="3" a="1"/>
  <c r="H8287" i="3" a="1"/>
  <c r="H8288" i="3" a="1"/>
  <c r="H8289" i="3" a="1"/>
  <c r="H8290" i="3" a="1"/>
  <c r="H8291" i="3" a="1"/>
  <c r="H8292" i="3" a="1"/>
  <c r="H8293" i="3" a="1"/>
  <c r="H8294" i="3" a="1"/>
  <c r="H8295" i="3" a="1"/>
  <c r="H8296" i="3" a="1"/>
  <c r="H8297" i="3" a="1"/>
  <c r="H8298" i="3" a="1"/>
  <c r="H8299" i="3" a="1"/>
  <c r="H8300" i="3" a="1"/>
  <c r="H8301" i="3" a="1"/>
  <c r="H8302" i="3" a="1"/>
  <c r="H8303" i="3" a="1"/>
  <c r="H8304" i="3" a="1"/>
  <c r="H8305" i="3" a="1"/>
  <c r="H8306" i="3" a="1"/>
  <c r="H8307" i="3" a="1"/>
  <c r="H8308" i="3" a="1"/>
  <c r="H8309" i="3" a="1"/>
  <c r="H8310" i="3" a="1"/>
  <c r="H8311" i="3" a="1"/>
  <c r="H8312" i="3" a="1"/>
  <c r="H8313" i="3" a="1"/>
  <c r="H8314" i="3" a="1"/>
  <c r="H8315" i="3" a="1"/>
  <c r="H8316" i="3" a="1"/>
  <c r="H8317" i="3" a="1"/>
  <c r="H8318" i="3" a="1"/>
  <c r="H8331" i="3" a="1"/>
  <c r="H8332" i="3" a="1"/>
  <c r="H8333" i="3" a="1"/>
  <c r="H8334" i="3" a="1"/>
  <c r="H8335" i="3" a="1"/>
  <c r="H8336" i="3" a="1"/>
  <c r="H8337" i="3" a="1"/>
  <c r="H8338" i="3" a="1"/>
  <c r="H8339" i="3" a="1"/>
  <c r="H8340" i="3" a="1"/>
  <c r="H8341" i="3" a="1"/>
  <c r="H8342" i="3" a="1"/>
  <c r="H8343" i="3" a="1"/>
  <c r="H8344" i="3" a="1"/>
  <c r="H8345" i="3" a="1"/>
  <c r="H8346" i="3" a="1"/>
  <c r="H8347" i="3" a="1"/>
  <c r="H8348" i="3" a="1"/>
  <c r="H8349" i="3" a="1"/>
  <c r="H8350" i="3" a="1"/>
  <c r="H8351" i="3" a="1"/>
  <c r="H8352" i="3" a="1"/>
  <c r="H8353" i="3" a="1"/>
  <c r="H8354" i="3" a="1"/>
  <c r="H8355" i="3" a="1"/>
  <c r="H8356" i="3" a="1"/>
  <c r="H8357" i="3" a="1"/>
  <c r="H8358" i="3" a="1"/>
  <c r="H8359" i="3" a="1"/>
  <c r="H8360" i="3" a="1"/>
  <c r="H8361" i="3" a="1"/>
  <c r="H8362" i="3" a="1"/>
  <c r="H8363" i="3" a="1"/>
  <c r="H8364" i="3" a="1"/>
  <c r="H8365" i="3" a="1"/>
  <c r="H8366" i="3" a="1"/>
  <c r="H8367" i="3" a="1"/>
  <c r="H8368" i="3" a="1"/>
  <c r="H8369" i="3" a="1"/>
  <c r="H8370" i="3" a="1"/>
  <c r="H8371" i="3" a="1"/>
  <c r="H8372" i="3" a="1"/>
  <c r="H8373" i="3" a="1"/>
  <c r="H8374" i="3" a="1"/>
  <c r="H8375" i="3" a="1"/>
  <c r="H8376" i="3" a="1"/>
  <c r="H8377" i="3" a="1"/>
  <c r="H8378" i="3" a="1"/>
  <c r="H8379" i="3" a="1"/>
  <c r="H8380" i="3" a="1"/>
  <c r="H8381" i="3" a="1"/>
  <c r="H8382" i="3" a="1"/>
  <c r="H8383" i="3" a="1"/>
  <c r="H8384" i="3" a="1"/>
  <c r="H8385" i="3" a="1"/>
  <c r="H8386" i="3" a="1"/>
  <c r="H8387" i="3" a="1"/>
  <c r="H8388" i="3" a="1"/>
  <c r="H8389" i="3" a="1"/>
  <c r="H8390" i="3" a="1"/>
  <c r="H8391" i="3" a="1"/>
  <c r="H8392" i="3" a="1"/>
  <c r="H8393" i="3" a="1"/>
  <c r="H8394" i="3" a="1"/>
  <c r="H8395" i="3" a="1"/>
  <c r="H8396" i="3" a="1"/>
  <c r="H8397" i="3" a="1"/>
  <c r="H8398" i="3" a="1"/>
  <c r="H8399" i="3" a="1"/>
  <c r="H8412" i="3" a="1"/>
  <c r="H8413" i="3" a="1"/>
  <c r="H8414" i="3" a="1"/>
  <c r="H8415" i="3" a="1"/>
  <c r="H8416" i="3" a="1"/>
  <c r="H8417" i="3" a="1"/>
  <c r="H8418" i="3" a="1"/>
  <c r="H8419" i="3" a="1"/>
  <c r="H8420" i="3" a="1"/>
  <c r="H8421" i="3" a="1"/>
  <c r="H8422" i="3" a="1"/>
  <c r="H8423" i="3" a="1"/>
  <c r="H8424" i="3" a="1"/>
  <c r="H8425" i="3" a="1"/>
  <c r="H8426" i="3" a="1"/>
  <c r="H8427" i="3" a="1"/>
  <c r="H8428" i="3" a="1"/>
  <c r="H8429" i="3" a="1"/>
  <c r="H8430" i="3" a="1"/>
  <c r="H8431" i="3" a="1"/>
  <c r="H8432" i="3" a="1"/>
  <c r="H8433" i="3" a="1"/>
  <c r="H8434" i="3" a="1"/>
  <c r="H8435" i="3" a="1"/>
  <c r="H8436" i="3" a="1"/>
  <c r="H8437" i="3" a="1"/>
  <c r="H8438" i="3" a="1"/>
  <c r="H8439" i="3" a="1"/>
  <c r="H8440" i="3" a="1"/>
  <c r="H8441" i="3" a="1"/>
  <c r="H8442" i="3" a="1"/>
  <c r="H8443" i="3" a="1"/>
  <c r="H8444" i="3" a="1"/>
  <c r="H8445" i="3" a="1"/>
  <c r="H8446" i="3" a="1"/>
  <c r="H8447" i="3" a="1"/>
  <c r="H8448" i="3" a="1"/>
  <c r="H8449" i="3" a="1"/>
  <c r="H8450" i="3" a="1"/>
  <c r="H8451" i="3" a="1"/>
  <c r="H8452" i="3" a="1"/>
  <c r="H8453" i="3" a="1"/>
  <c r="H8454" i="3" a="1"/>
  <c r="H8455" i="3" a="1"/>
  <c r="H8456" i="3" a="1"/>
  <c r="H8457" i="3" a="1"/>
  <c r="H8458" i="3" a="1"/>
  <c r="H8459" i="3" a="1"/>
  <c r="H8460" i="3" a="1"/>
  <c r="H8461" i="3" a="1"/>
  <c r="H8462" i="3" a="1"/>
  <c r="H8463" i="3" a="1"/>
  <c r="H8464" i="3" a="1"/>
  <c r="H8465" i="3" a="1"/>
  <c r="H8466" i="3" a="1"/>
  <c r="H8467" i="3" a="1"/>
  <c r="H8468" i="3" a="1"/>
  <c r="H8469" i="3" a="1"/>
  <c r="H8470" i="3" a="1"/>
  <c r="H8471" i="3" a="1"/>
  <c r="H8472" i="3" a="1"/>
  <c r="H8473" i="3" a="1"/>
  <c r="H8474" i="3" a="1"/>
  <c r="H8475" i="3" a="1"/>
  <c r="H8476" i="3" a="1"/>
  <c r="H8477" i="3" a="1"/>
  <c r="H8478" i="3" a="1"/>
  <c r="H8479" i="3" a="1"/>
  <c r="H8480" i="3" a="1"/>
  <c r="H8493" i="3" a="1"/>
  <c r="H8494" i="3" a="1"/>
  <c r="H8495" i="3" a="1"/>
  <c r="H8496" i="3" a="1"/>
  <c r="H8497" i="3" a="1"/>
  <c r="H8498" i="3" a="1"/>
  <c r="H8499" i="3" a="1"/>
  <c r="H8500" i="3" a="1"/>
  <c r="H8501" i="3" a="1"/>
  <c r="H8502" i="3" a="1"/>
  <c r="H8503" i="3" a="1"/>
  <c r="H8504" i="3" a="1"/>
  <c r="H8505" i="3" a="1"/>
  <c r="H8506" i="3" a="1"/>
  <c r="H8507" i="3" a="1"/>
  <c r="H8508" i="3" a="1"/>
  <c r="H8509" i="3" a="1"/>
  <c r="H8510" i="3" a="1"/>
  <c r="H8511" i="3" a="1"/>
  <c r="H8512" i="3" a="1"/>
  <c r="H8513" i="3" a="1"/>
  <c r="H8514" i="3" a="1"/>
  <c r="H8515" i="3" a="1"/>
  <c r="H8516" i="3" a="1"/>
  <c r="H8517" i="3" a="1"/>
  <c r="H8518" i="3" a="1"/>
  <c r="H8519" i="3" a="1"/>
  <c r="H8520" i="3" a="1"/>
  <c r="H8521" i="3" a="1"/>
  <c r="H8522" i="3" a="1"/>
  <c r="H8523" i="3" a="1"/>
  <c r="H8524" i="3" a="1"/>
  <c r="H8525" i="3" a="1"/>
  <c r="H8526" i="3" a="1"/>
  <c r="H8527" i="3" a="1"/>
  <c r="H8528" i="3" a="1"/>
  <c r="H8529" i="3" a="1"/>
  <c r="H8530" i="3" a="1"/>
  <c r="H8531" i="3" a="1"/>
  <c r="H8532" i="3" a="1"/>
  <c r="H8533" i="3" a="1"/>
  <c r="H8534" i="3" a="1"/>
  <c r="H8535" i="3" a="1"/>
  <c r="H8536" i="3" a="1"/>
  <c r="H8537" i="3" a="1"/>
  <c r="H8538" i="3" a="1"/>
  <c r="H8539" i="3" a="1"/>
  <c r="H8540" i="3" a="1"/>
  <c r="H8541" i="3" a="1"/>
  <c r="H8542" i="3" a="1"/>
  <c r="H8543" i="3" a="1"/>
  <c r="H8544" i="3" a="1"/>
  <c r="H8545" i="3" a="1"/>
  <c r="H8546" i="3" a="1"/>
  <c r="H8547" i="3" a="1"/>
  <c r="H8548" i="3" a="1"/>
  <c r="H8549" i="3" a="1"/>
  <c r="H8550" i="3" a="1"/>
  <c r="H8551" i="3" a="1"/>
  <c r="H8552" i="3" a="1"/>
  <c r="H8553" i="3" a="1"/>
  <c r="H8554" i="3" a="1"/>
  <c r="H8555" i="3" a="1"/>
  <c r="H8556" i="3" a="1"/>
  <c r="H8557" i="3" a="1"/>
  <c r="H8558" i="3" a="1"/>
  <c r="H8559" i="3" a="1"/>
  <c r="H8560" i="3" a="1"/>
  <c r="H8561" i="3" a="1"/>
  <c r="H8574" i="3" a="1"/>
  <c r="H8575" i="3" a="1"/>
  <c r="H8576" i="3" a="1"/>
  <c r="H8577" i="3" a="1"/>
  <c r="H8578" i="3" a="1"/>
  <c r="H8579" i="3" a="1"/>
  <c r="H8580" i="3" a="1"/>
  <c r="H8581" i="3" a="1"/>
  <c r="H8582" i="3" a="1"/>
  <c r="H8583" i="3" a="1"/>
  <c r="H8584" i="3" a="1"/>
  <c r="H8585" i="3" a="1"/>
  <c r="H8586" i="3" a="1"/>
  <c r="H8587" i="3" a="1"/>
  <c r="H8588" i="3" a="1"/>
  <c r="H8589" i="3" a="1"/>
  <c r="H8590" i="3" a="1"/>
  <c r="H8591" i="3" a="1"/>
  <c r="H8592" i="3" a="1"/>
  <c r="H8593" i="3" a="1"/>
  <c r="H8594" i="3" a="1"/>
  <c r="H8595" i="3" a="1"/>
  <c r="H8596" i="3" a="1"/>
  <c r="H8597" i="3" a="1"/>
  <c r="H8598" i="3" a="1"/>
  <c r="H8599" i="3" a="1"/>
  <c r="H8600" i="3" a="1"/>
  <c r="H8601" i="3" a="1"/>
  <c r="H8602" i="3" a="1"/>
  <c r="H8603" i="3" a="1"/>
  <c r="H8604" i="3" a="1"/>
  <c r="H8605" i="3" a="1"/>
  <c r="H8606" i="3" a="1"/>
  <c r="H8607" i="3" a="1"/>
  <c r="H8608" i="3" a="1"/>
  <c r="H8609" i="3" a="1"/>
  <c r="H8610" i="3" a="1"/>
  <c r="H8611" i="3" a="1"/>
  <c r="H8612" i="3" a="1"/>
  <c r="H8613" i="3" a="1"/>
  <c r="H8614" i="3" a="1"/>
  <c r="H8615" i="3" a="1"/>
  <c r="H8616" i="3" a="1"/>
  <c r="H8617" i="3" a="1"/>
  <c r="H8618" i="3" a="1"/>
  <c r="H8619" i="3" a="1"/>
  <c r="H8620" i="3" a="1"/>
  <c r="H8621" i="3" a="1"/>
  <c r="H8622" i="3" a="1"/>
  <c r="H8623" i="3" a="1"/>
  <c r="H8624" i="3" a="1"/>
  <c r="H8625" i="3" a="1"/>
  <c r="H8626" i="3" a="1"/>
  <c r="H8627" i="3" a="1"/>
  <c r="H8628" i="3" a="1"/>
  <c r="H8629" i="3" a="1"/>
  <c r="H8630" i="3" a="1"/>
  <c r="H8631" i="3" a="1"/>
  <c r="H8632" i="3" a="1"/>
  <c r="H8633" i="3" a="1"/>
  <c r="H8634" i="3" a="1"/>
  <c r="H8635" i="3" a="1"/>
  <c r="H8636" i="3" a="1"/>
  <c r="H8637" i="3" a="1"/>
  <c r="H8638" i="3" a="1"/>
  <c r="H8639" i="3" a="1"/>
  <c r="H8640" i="3" a="1"/>
  <c r="H8641" i="3" a="1"/>
  <c r="H8642" i="3" a="1"/>
  <c r="H8655" i="3" a="1"/>
  <c r="H8656" i="3" a="1"/>
  <c r="H8657" i="3" a="1"/>
  <c r="H8658" i="3" a="1"/>
  <c r="H8659" i="3" a="1"/>
  <c r="H8660" i="3" a="1"/>
  <c r="H8661" i="3" a="1"/>
  <c r="H8662" i="3" a="1"/>
  <c r="H8663" i="3" a="1"/>
  <c r="H8664" i="3" a="1"/>
  <c r="H8665" i="3" a="1"/>
  <c r="H8666" i="3" a="1"/>
  <c r="H8667" i="3" a="1"/>
  <c r="H8668" i="3" a="1"/>
  <c r="H8669" i="3" a="1"/>
  <c r="H8670" i="3" a="1"/>
  <c r="H8671" i="3" a="1"/>
  <c r="H8672" i="3" a="1"/>
  <c r="H8673" i="3" a="1"/>
  <c r="H8674" i="3" a="1"/>
  <c r="H8675" i="3" a="1"/>
  <c r="H8676" i="3" a="1"/>
  <c r="H8677" i="3" a="1"/>
  <c r="H8678" i="3" a="1"/>
  <c r="H8679" i="3" a="1"/>
  <c r="H8680" i="3" a="1"/>
  <c r="H8681" i="3" a="1"/>
  <c r="H8682" i="3" a="1"/>
  <c r="H8683" i="3" a="1"/>
  <c r="H8684" i="3" a="1"/>
  <c r="H8685" i="3" a="1"/>
  <c r="H8686" i="3" a="1"/>
  <c r="H8687" i="3" a="1"/>
  <c r="H8688" i="3" a="1"/>
  <c r="H8689" i="3" a="1"/>
  <c r="H8690" i="3" a="1"/>
  <c r="H8691" i="3" a="1"/>
  <c r="H8692" i="3" a="1"/>
  <c r="H8693" i="3" a="1"/>
  <c r="H8694" i="3" a="1"/>
  <c r="H8695" i="3" a="1"/>
  <c r="H8696" i="3" a="1"/>
  <c r="H8697" i="3" a="1"/>
  <c r="H8698" i="3" a="1"/>
  <c r="H8699" i="3" a="1"/>
  <c r="H8700" i="3" a="1"/>
  <c r="H8701" i="3" a="1"/>
  <c r="H8702" i="3" a="1"/>
  <c r="H8703" i="3" a="1"/>
  <c r="H8704" i="3" a="1"/>
  <c r="H8705" i="3" a="1"/>
  <c r="H8706" i="3" a="1"/>
  <c r="H8707" i="3" a="1"/>
  <c r="H8708" i="3" a="1"/>
  <c r="H8709" i="3" a="1"/>
  <c r="H8710" i="3" a="1"/>
  <c r="H8711" i="3" a="1"/>
  <c r="H8712" i="3" a="1"/>
  <c r="H8713" i="3" a="1"/>
  <c r="H8714" i="3" a="1"/>
  <c r="H8715" i="3" a="1"/>
  <c r="H8716" i="3" a="1"/>
  <c r="H8717" i="3" a="1"/>
  <c r="H8718" i="3" a="1"/>
  <c r="H8719" i="3" a="1"/>
  <c r="H8720" i="3" a="1"/>
  <c r="H8721" i="3" a="1"/>
  <c r="H8722" i="3" a="1"/>
  <c r="H8723" i="3" a="1"/>
  <c r="H8736" i="3" a="1"/>
  <c r="H8737" i="3" a="1"/>
  <c r="H8738" i="3" a="1"/>
  <c r="H8739" i="3" a="1"/>
  <c r="H8740" i="3" a="1"/>
  <c r="H8741" i="3" a="1"/>
  <c r="H8742" i="3" a="1"/>
  <c r="H8743" i="3" a="1"/>
  <c r="H8744" i="3" a="1"/>
  <c r="H8745" i="3" a="1"/>
  <c r="H8746" i="3" a="1"/>
  <c r="H8747" i="3" a="1"/>
  <c r="H8748" i="3" a="1"/>
  <c r="H8749" i="3" a="1"/>
  <c r="H8750" i="3" a="1"/>
  <c r="H8751" i="3" a="1"/>
  <c r="H8752" i="3" a="1"/>
  <c r="H8753" i="3" a="1"/>
  <c r="H8754" i="3" a="1"/>
  <c r="H8755" i="3" a="1"/>
  <c r="H8756" i="3" a="1"/>
  <c r="H8757" i="3" a="1"/>
  <c r="H8758" i="3" a="1"/>
  <c r="H8759" i="3" a="1"/>
  <c r="H8760" i="3" a="1"/>
  <c r="H8761" i="3" a="1"/>
  <c r="H8762" i="3" a="1"/>
  <c r="H8763" i="3" a="1"/>
  <c r="H8764" i="3" a="1"/>
  <c r="H8765" i="3" a="1"/>
  <c r="H8766" i="3" a="1"/>
  <c r="H8767" i="3" a="1"/>
  <c r="H8768" i="3" a="1"/>
  <c r="H8769" i="3" a="1"/>
  <c r="H8770" i="3" a="1"/>
  <c r="H8771" i="3" a="1"/>
  <c r="H8772" i="3" a="1"/>
  <c r="H8773" i="3" a="1"/>
  <c r="H8774" i="3" a="1"/>
  <c r="H8775" i="3" a="1"/>
  <c r="H8776" i="3" a="1"/>
  <c r="H8777" i="3" a="1"/>
  <c r="H8778" i="3" a="1"/>
  <c r="H8779" i="3" a="1"/>
  <c r="H8780" i="3" a="1"/>
  <c r="H8781" i="3" a="1"/>
  <c r="H8782" i="3" a="1"/>
  <c r="H8783" i="3" a="1"/>
  <c r="H8784" i="3" a="1"/>
  <c r="H8785" i="3" a="1"/>
  <c r="H8786" i="3" a="1"/>
  <c r="H8787" i="3" a="1"/>
  <c r="H8788" i="3" a="1"/>
  <c r="H8789" i="3" a="1"/>
  <c r="H8790" i="3" a="1"/>
  <c r="H8791" i="3" a="1"/>
  <c r="H8792" i="3" a="1"/>
  <c r="H8793" i="3" a="1"/>
  <c r="H8794" i="3" a="1"/>
  <c r="H8795" i="3" a="1"/>
  <c r="H8796" i="3" a="1"/>
  <c r="H8797" i="3" a="1"/>
  <c r="H8798" i="3" a="1"/>
  <c r="H8799" i="3" a="1"/>
  <c r="H8800" i="3" a="1"/>
  <c r="H8801" i="3" a="1"/>
  <c r="H8802" i="3" a="1"/>
  <c r="H8803" i="3" a="1"/>
  <c r="H8804" i="3" a="1"/>
  <c r="H8817" i="3" a="1"/>
  <c r="H8818" i="3" a="1"/>
  <c r="H8819" i="3" a="1"/>
  <c r="H8820" i="3" a="1"/>
  <c r="H8821" i="3" a="1"/>
  <c r="H8822" i="3" a="1"/>
  <c r="H8823" i="3" a="1"/>
  <c r="H8824" i="3" a="1"/>
  <c r="H8825" i="3" a="1"/>
  <c r="H8826" i="3" a="1"/>
  <c r="H8827" i="3" a="1"/>
  <c r="H8828" i="3" a="1"/>
  <c r="H8829" i="3" a="1"/>
  <c r="H8830" i="3" a="1"/>
  <c r="H8831" i="3" a="1"/>
  <c r="H8832" i="3" a="1"/>
  <c r="H8833" i="3" a="1"/>
  <c r="H8834" i="3" a="1"/>
  <c r="H8835" i="3" a="1"/>
  <c r="H8836" i="3" a="1"/>
  <c r="H8837" i="3" a="1"/>
  <c r="H8838" i="3" a="1"/>
  <c r="H8839" i="3" a="1"/>
  <c r="H8840" i="3" a="1"/>
  <c r="H8841" i="3" a="1"/>
  <c r="H8842" i="3" a="1"/>
  <c r="H8843" i="3" a="1"/>
  <c r="H8844" i="3" a="1"/>
  <c r="H8845" i="3" a="1"/>
  <c r="H8846" i="3" a="1"/>
  <c r="H8847" i="3" a="1"/>
  <c r="H8848" i="3" a="1"/>
  <c r="H8849" i="3" a="1"/>
  <c r="H8850" i="3" a="1"/>
  <c r="H8851" i="3" a="1"/>
  <c r="H8852" i="3" a="1"/>
  <c r="H8853" i="3" a="1"/>
  <c r="H8854" i="3" a="1"/>
  <c r="H8855" i="3" a="1"/>
  <c r="H8856" i="3" a="1"/>
  <c r="H8857" i="3" a="1"/>
  <c r="H8858" i="3" a="1"/>
  <c r="H8859" i="3" a="1"/>
  <c r="H8860" i="3" a="1"/>
  <c r="H8861" i="3" a="1"/>
  <c r="H8862" i="3" a="1"/>
  <c r="H8863" i="3" a="1"/>
  <c r="H8864" i="3" a="1"/>
  <c r="H8865" i="3" a="1"/>
  <c r="H8866" i="3" a="1"/>
  <c r="H8867" i="3" a="1"/>
  <c r="H8868" i="3" a="1"/>
  <c r="H8869" i="3" a="1"/>
  <c r="H8870" i="3" a="1"/>
  <c r="H8871" i="3" a="1"/>
  <c r="H8872" i="3" a="1"/>
  <c r="H8873" i="3" a="1"/>
  <c r="H8874" i="3" a="1"/>
  <c r="H8875" i="3" a="1"/>
  <c r="H8876" i="3" a="1"/>
  <c r="H8877" i="3" a="1"/>
  <c r="H8878" i="3" a="1"/>
  <c r="H8879" i="3" a="1"/>
  <c r="H8880" i="3" a="1"/>
  <c r="H8881" i="3" a="1"/>
  <c r="H8882" i="3" a="1"/>
  <c r="H8883" i="3" a="1"/>
  <c r="H8884" i="3" a="1"/>
  <c r="H8885" i="3" a="1"/>
  <c r="H8898" i="3" a="1"/>
  <c r="H8899" i="3" a="1"/>
  <c r="H8900" i="3" a="1"/>
  <c r="H8901" i="3" a="1"/>
  <c r="H8902" i="3" a="1"/>
  <c r="H8903" i="3" a="1"/>
  <c r="H8904" i="3" a="1"/>
  <c r="H8905" i="3" a="1"/>
  <c r="H8906" i="3" a="1"/>
  <c r="H8907" i="3" a="1"/>
  <c r="H8908" i="3" a="1"/>
  <c r="H8909" i="3" a="1"/>
  <c r="H8910" i="3" a="1"/>
  <c r="H8911" i="3" a="1"/>
  <c r="H8912" i="3" a="1"/>
  <c r="H8913" i="3" a="1"/>
  <c r="H8914" i="3" a="1"/>
  <c r="H8915" i="3" a="1"/>
  <c r="H8916" i="3" a="1"/>
  <c r="H8917" i="3" a="1"/>
  <c r="H8918" i="3" a="1"/>
  <c r="H8919" i="3" a="1"/>
  <c r="H8920" i="3" a="1"/>
  <c r="H8921" i="3" a="1"/>
  <c r="H8922" i="3" a="1"/>
  <c r="H8923" i="3" a="1"/>
  <c r="H8924" i="3" a="1"/>
  <c r="H8925" i="3" a="1"/>
  <c r="H8926" i="3" a="1"/>
  <c r="H8927" i="3" a="1"/>
  <c r="H8928" i="3" a="1"/>
  <c r="H8929" i="3" a="1"/>
  <c r="H8930" i="3" a="1"/>
  <c r="H8931" i="3" a="1"/>
  <c r="H8932" i="3" a="1"/>
  <c r="H8933" i="3" a="1"/>
  <c r="H8934" i="3" a="1"/>
  <c r="H8935" i="3" a="1"/>
  <c r="H8936" i="3" a="1"/>
  <c r="H8937" i="3" a="1"/>
  <c r="H8938" i="3" a="1"/>
  <c r="H8939" i="3" a="1"/>
  <c r="H8940" i="3" a="1"/>
  <c r="H8941" i="3" a="1"/>
  <c r="H8942" i="3" a="1"/>
  <c r="H8943" i="3" a="1"/>
  <c r="H8944" i="3" a="1"/>
  <c r="H8945" i="3" a="1"/>
  <c r="H8946" i="3" a="1"/>
  <c r="H8947" i="3" a="1"/>
  <c r="H8948" i="3" a="1"/>
  <c r="H8949" i="3" a="1"/>
  <c r="H8950" i="3" a="1"/>
  <c r="H8951" i="3" a="1"/>
  <c r="H8952" i="3" a="1"/>
  <c r="H8953" i="3" a="1"/>
  <c r="H8954" i="3" a="1"/>
  <c r="H8955" i="3" a="1"/>
  <c r="H8956" i="3" a="1"/>
  <c r="H8957" i="3" a="1"/>
  <c r="H8958" i="3" a="1"/>
  <c r="H8959" i="3" a="1"/>
  <c r="H8960" i="3" a="1"/>
  <c r="H8961" i="3" a="1"/>
  <c r="H8962" i="3" a="1"/>
  <c r="H8963" i="3" a="1"/>
  <c r="H8964" i="3" a="1"/>
  <c r="H8965" i="3" a="1"/>
  <c r="H8966" i="3" a="1"/>
  <c r="H8979" i="3" a="1"/>
  <c r="H8980" i="3" a="1"/>
  <c r="H8981" i="3" a="1"/>
  <c r="H8982" i="3" a="1"/>
  <c r="H8983" i="3" a="1"/>
  <c r="H8984" i="3" a="1"/>
  <c r="H8985" i="3" a="1"/>
  <c r="H8986" i="3" a="1"/>
  <c r="H8987" i="3" a="1"/>
  <c r="H8988" i="3" a="1"/>
  <c r="H8989" i="3" a="1"/>
  <c r="H8990" i="3" a="1"/>
  <c r="H8991" i="3" a="1"/>
  <c r="H8992" i="3" a="1"/>
  <c r="H8993" i="3" a="1"/>
  <c r="H8994" i="3" a="1"/>
  <c r="H8995" i="3" a="1"/>
  <c r="H8996" i="3" a="1"/>
  <c r="H8997" i="3" a="1"/>
  <c r="H8998" i="3" a="1"/>
  <c r="H8999" i="3" a="1"/>
  <c r="H9000" i="3" a="1"/>
  <c r="H9001" i="3" a="1"/>
  <c r="H9002" i="3" a="1"/>
  <c r="H9003" i="3" a="1"/>
  <c r="H9004" i="3" a="1"/>
  <c r="H9005" i="3" a="1"/>
  <c r="H9006" i="3" a="1"/>
  <c r="H9007" i="3" a="1"/>
  <c r="H9008" i="3" a="1"/>
  <c r="H9009" i="3" a="1"/>
  <c r="H9010" i="3" a="1"/>
  <c r="H9011" i="3" a="1"/>
  <c r="H9012" i="3" a="1"/>
  <c r="H9013" i="3" a="1"/>
  <c r="H9014" i="3" a="1"/>
  <c r="H9015" i="3" a="1"/>
  <c r="H9016" i="3" a="1"/>
  <c r="H9017" i="3" a="1"/>
  <c r="H9018" i="3" a="1"/>
  <c r="H9019" i="3" a="1"/>
  <c r="H9020" i="3" a="1"/>
  <c r="H9021" i="3" a="1"/>
  <c r="H9022" i="3" a="1"/>
  <c r="H9023" i="3" a="1"/>
  <c r="H9024" i="3" a="1"/>
  <c r="H9025" i="3" a="1"/>
  <c r="H9026" i="3" a="1"/>
  <c r="H9027" i="3" a="1"/>
  <c r="H9028" i="3" a="1"/>
  <c r="H9029" i="3" a="1"/>
  <c r="H9030" i="3" a="1"/>
  <c r="H9031" i="3" a="1"/>
  <c r="H9032" i="3" a="1"/>
  <c r="H9033" i="3" a="1"/>
  <c r="H9034" i="3" a="1"/>
  <c r="H9035" i="3" a="1"/>
  <c r="H9036" i="3" a="1"/>
  <c r="H9037" i="3" a="1"/>
  <c r="H9038" i="3" a="1"/>
  <c r="H9039" i="3" a="1"/>
  <c r="H9040" i="3" a="1"/>
  <c r="H9041" i="3" a="1"/>
  <c r="H9042" i="3" a="1"/>
  <c r="H9043" i="3" a="1"/>
  <c r="H9044" i="3" a="1"/>
  <c r="H9045" i="3" a="1"/>
  <c r="H9046" i="3" a="1"/>
  <c r="H9047" i="3" a="1"/>
  <c r="H9060" i="3" a="1"/>
  <c r="H9061" i="3" a="1"/>
  <c r="H9062" i="3" a="1"/>
  <c r="H9063" i="3" a="1"/>
  <c r="H9064" i="3" a="1"/>
  <c r="H9065" i="3" a="1"/>
  <c r="H9066" i="3" a="1"/>
  <c r="H9067" i="3" a="1"/>
  <c r="H9068" i="3" a="1"/>
  <c r="H9069" i="3" a="1"/>
  <c r="H9070" i="3" a="1"/>
  <c r="H9071" i="3" a="1"/>
  <c r="H9072" i="3" a="1"/>
  <c r="H9073" i="3" a="1"/>
  <c r="H9074" i="3" a="1"/>
  <c r="H9075" i="3" a="1"/>
  <c r="H9076" i="3" a="1"/>
  <c r="H9077" i="3" a="1"/>
  <c r="H9078" i="3" a="1"/>
  <c r="H9079" i="3" a="1"/>
  <c r="H9080" i="3" a="1"/>
  <c r="H9081" i="3" a="1"/>
  <c r="H9082" i="3" a="1"/>
  <c r="H9083" i="3" a="1"/>
  <c r="H9084" i="3" a="1"/>
  <c r="H9085" i="3" a="1"/>
  <c r="H9086" i="3" a="1"/>
  <c r="H9087" i="3" a="1"/>
  <c r="H9088" i="3" a="1"/>
  <c r="H9089" i="3" a="1"/>
  <c r="H9090" i="3" a="1"/>
  <c r="H9091" i="3" a="1"/>
  <c r="H9092" i="3" a="1"/>
  <c r="H9093" i="3" a="1"/>
  <c r="H9094" i="3" a="1"/>
  <c r="H9095" i="3" a="1"/>
  <c r="H9096" i="3" a="1"/>
  <c r="H9097" i="3" a="1"/>
  <c r="H9098" i="3" a="1"/>
  <c r="H9099" i="3" a="1"/>
  <c r="H9100" i="3" a="1"/>
  <c r="H9101" i="3" a="1"/>
  <c r="H9102" i="3" a="1"/>
  <c r="H9103" i="3" a="1"/>
  <c r="H9104" i="3" a="1"/>
  <c r="H9105" i="3" a="1"/>
  <c r="H9106" i="3" a="1"/>
  <c r="H9107" i="3" a="1"/>
  <c r="H9108" i="3" a="1"/>
  <c r="H9109" i="3" a="1"/>
  <c r="H9110" i="3" a="1"/>
  <c r="H9111" i="3" a="1"/>
  <c r="H9112" i="3" a="1"/>
  <c r="H9113" i="3" a="1"/>
  <c r="H9114" i="3" a="1"/>
  <c r="H9115" i="3" a="1"/>
  <c r="H9116" i="3" a="1"/>
  <c r="H9117" i="3" a="1"/>
  <c r="H9118" i="3" a="1"/>
  <c r="H9119" i="3" a="1"/>
  <c r="H9120" i="3" a="1"/>
  <c r="H9121" i="3" a="1"/>
  <c r="H9122" i="3" a="1"/>
  <c r="H9123" i="3" a="1"/>
  <c r="H9124" i="3" a="1"/>
  <c r="H9125" i="3" a="1"/>
  <c r="H9126" i="3" a="1"/>
  <c r="H9127" i="3" a="1"/>
  <c r="H9128" i="3" a="1"/>
  <c r="H9141" i="3" a="1"/>
  <c r="H9142" i="3" a="1"/>
  <c r="H9143" i="3" a="1"/>
  <c r="H9144" i="3" a="1"/>
  <c r="H9145" i="3" a="1"/>
  <c r="H9146" i="3" a="1"/>
  <c r="H9147" i="3" a="1"/>
  <c r="H9148" i="3" a="1"/>
  <c r="H9149" i="3" a="1"/>
  <c r="H9150" i="3" a="1"/>
  <c r="H9151" i="3" a="1"/>
  <c r="H9152" i="3" a="1"/>
  <c r="H9153" i="3" a="1"/>
  <c r="H9154" i="3" a="1"/>
  <c r="H9155" i="3" a="1"/>
  <c r="H9156" i="3" a="1"/>
  <c r="H9157" i="3" a="1"/>
  <c r="H9158" i="3" a="1"/>
  <c r="H9159" i="3" a="1"/>
  <c r="H9160" i="3" a="1"/>
  <c r="H9161" i="3" a="1"/>
  <c r="H9162" i="3" a="1"/>
  <c r="H9163" i="3" a="1"/>
  <c r="H9164" i="3" a="1"/>
  <c r="H9165" i="3" a="1"/>
  <c r="H9166" i="3" a="1"/>
  <c r="H9167" i="3" a="1"/>
  <c r="H9168" i="3" a="1"/>
  <c r="H9169" i="3" a="1"/>
  <c r="H9170" i="3" a="1"/>
  <c r="H9171" i="3" a="1"/>
  <c r="H9172" i="3" a="1"/>
  <c r="H9173" i="3" a="1"/>
  <c r="H9174" i="3" a="1"/>
  <c r="H9175" i="3" a="1"/>
  <c r="H9176" i="3" a="1"/>
  <c r="H9177" i="3" a="1"/>
  <c r="H9178" i="3" a="1"/>
  <c r="H9179" i="3" a="1"/>
  <c r="H9180" i="3" a="1"/>
  <c r="H9181" i="3" a="1"/>
  <c r="H9182" i="3" a="1"/>
  <c r="H9183" i="3" a="1"/>
  <c r="H9184" i="3" a="1"/>
  <c r="H9185" i="3" a="1"/>
  <c r="H9186" i="3" a="1"/>
  <c r="H9187" i="3" a="1"/>
  <c r="H9188" i="3" a="1"/>
  <c r="H9189" i="3" a="1"/>
  <c r="H9190" i="3" a="1"/>
  <c r="H9191" i="3" a="1"/>
  <c r="H9192" i="3" a="1"/>
  <c r="H9193" i="3" a="1"/>
  <c r="H9194" i="3" a="1"/>
  <c r="H9195" i="3" a="1"/>
  <c r="H9196" i="3" a="1"/>
  <c r="H9197" i="3" a="1"/>
  <c r="H9198" i="3" a="1"/>
  <c r="H9199" i="3" a="1"/>
  <c r="H9200" i="3" a="1"/>
  <c r="H9201" i="3" a="1"/>
  <c r="H9202" i="3" a="1"/>
  <c r="H9203" i="3" a="1"/>
  <c r="H9204" i="3" a="1"/>
  <c r="H9205" i="3" a="1"/>
  <c r="H9206" i="3" a="1"/>
  <c r="H9207" i="3" a="1"/>
  <c r="H9208" i="3" a="1"/>
  <c r="H9209" i="3" a="1"/>
  <c r="H9222" i="3" a="1"/>
  <c r="H9223" i="3" a="1"/>
  <c r="H9224" i="3" a="1"/>
  <c r="H9225" i="3" a="1"/>
  <c r="H9226" i="3" a="1"/>
  <c r="H9227" i="3" a="1"/>
  <c r="H9228" i="3" a="1"/>
  <c r="H9229" i="3" a="1"/>
  <c r="H9230" i="3" a="1"/>
  <c r="H9231" i="3" a="1"/>
  <c r="H9232" i="3" a="1"/>
  <c r="H9233" i="3" a="1"/>
  <c r="H9234" i="3" a="1"/>
  <c r="H9235" i="3" a="1"/>
  <c r="H9236" i="3" a="1"/>
  <c r="H9237" i="3" a="1"/>
  <c r="H9238" i="3" a="1"/>
  <c r="H9239" i="3" a="1"/>
  <c r="H9240" i="3" a="1"/>
  <c r="H9241" i="3" a="1"/>
  <c r="H9242" i="3" a="1"/>
  <c r="H9243" i="3" a="1"/>
  <c r="H9244" i="3" a="1"/>
  <c r="H9245" i="3" a="1"/>
  <c r="H9246" i="3" a="1"/>
  <c r="H9247" i="3" a="1"/>
  <c r="H9248" i="3" a="1"/>
  <c r="H9249" i="3" a="1"/>
  <c r="H9250" i="3" a="1"/>
  <c r="H9251" i="3" a="1"/>
  <c r="H9252" i="3" a="1"/>
  <c r="H9253" i="3" a="1"/>
  <c r="H9254" i="3" a="1"/>
  <c r="H9255" i="3" a="1"/>
  <c r="H9256" i="3" a="1"/>
  <c r="H9257" i="3" a="1"/>
  <c r="H9258" i="3" a="1"/>
  <c r="H9259" i="3" a="1"/>
  <c r="H9260" i="3" a="1"/>
  <c r="H9261" i="3" a="1"/>
  <c r="H9262" i="3" a="1"/>
  <c r="H9263" i="3" a="1"/>
  <c r="H9264" i="3" a="1"/>
  <c r="H9265" i="3" a="1"/>
  <c r="H9266" i="3" a="1"/>
  <c r="H9267" i="3" a="1"/>
  <c r="H9268" i="3" a="1"/>
  <c r="H9269" i="3" a="1"/>
  <c r="H9270" i="3" a="1"/>
  <c r="H9271" i="3" a="1"/>
  <c r="H9272" i="3" a="1"/>
  <c r="H9273" i="3" a="1"/>
  <c r="H9274" i="3" a="1"/>
  <c r="H9275" i="3" a="1"/>
  <c r="H9276" i="3" a="1"/>
  <c r="H9277" i="3" a="1"/>
  <c r="H9278" i="3" a="1"/>
  <c r="H9279" i="3" a="1"/>
  <c r="H9280" i="3" a="1"/>
  <c r="H9281" i="3" a="1"/>
  <c r="H9282" i="3" a="1"/>
  <c r="H9283" i="3" a="1"/>
  <c r="H9284" i="3" a="1"/>
  <c r="H9285" i="3" a="1"/>
  <c r="H9286" i="3" a="1"/>
  <c r="H9287" i="3" a="1"/>
  <c r="H9288" i="3" a="1"/>
  <c r="H9289" i="3" a="1"/>
  <c r="H9290" i="3" a="1"/>
  <c r="H9303" i="3" a="1"/>
  <c r="H9304" i="3" a="1"/>
  <c r="H9305" i="3" a="1"/>
  <c r="H9306" i="3" a="1"/>
  <c r="H9307" i="3" a="1"/>
  <c r="H9308" i="3" a="1"/>
  <c r="H9309" i="3" a="1"/>
  <c r="H9310" i="3" a="1"/>
  <c r="H9311" i="3" a="1"/>
  <c r="H9312" i="3" a="1"/>
  <c r="H9313" i="3" a="1"/>
  <c r="H9314" i="3" a="1"/>
  <c r="H9315" i="3" a="1"/>
  <c r="H9316" i="3" a="1"/>
  <c r="H9317" i="3" a="1"/>
  <c r="H9318" i="3" a="1"/>
  <c r="H9319" i="3" a="1"/>
  <c r="H9320" i="3" a="1"/>
  <c r="H9321" i="3" a="1"/>
  <c r="H9322" i="3" a="1"/>
  <c r="H9323" i="3" a="1"/>
  <c r="H9324" i="3" a="1"/>
  <c r="H9325" i="3" a="1"/>
  <c r="H9326" i="3" a="1"/>
  <c r="H9327" i="3" a="1"/>
  <c r="H9328" i="3" a="1"/>
  <c r="H9329" i="3" a="1"/>
  <c r="H9330" i="3" a="1"/>
  <c r="H9331" i="3" a="1"/>
  <c r="H9332" i="3" a="1"/>
  <c r="H9333" i="3" a="1"/>
  <c r="H9334" i="3" a="1"/>
  <c r="H9335" i="3" a="1"/>
  <c r="H9336" i="3" a="1"/>
  <c r="H9337" i="3" a="1"/>
  <c r="H9338" i="3" a="1"/>
  <c r="H9339" i="3" a="1"/>
  <c r="H9340" i="3" a="1"/>
  <c r="H9341" i="3" a="1"/>
  <c r="H9342" i="3" a="1"/>
  <c r="H9343" i="3" a="1"/>
  <c r="H9344" i="3" a="1"/>
  <c r="H9345" i="3" a="1"/>
  <c r="H9346" i="3" a="1"/>
  <c r="H9347" i="3" a="1"/>
  <c r="H9348" i="3" a="1"/>
  <c r="H9349" i="3" a="1"/>
  <c r="H9350" i="3" a="1"/>
  <c r="H9351" i="3" a="1"/>
  <c r="H9352" i="3" a="1"/>
  <c r="H9353" i="3" a="1"/>
  <c r="H9354" i="3" a="1"/>
  <c r="H9355" i="3" a="1"/>
  <c r="H9356" i="3" a="1"/>
  <c r="H9357" i="3" a="1"/>
  <c r="H9358" i="3" a="1"/>
  <c r="H9359" i="3" a="1"/>
  <c r="H9360" i="3" a="1"/>
  <c r="H9361" i="3" a="1"/>
  <c r="H9362" i="3" a="1"/>
  <c r="H9363" i="3" a="1"/>
  <c r="H9364" i="3" a="1"/>
  <c r="H9365" i="3" a="1"/>
  <c r="H9366" i="3" a="1"/>
  <c r="H9367" i="3" a="1"/>
  <c r="H9368" i="3" a="1"/>
  <c r="H9369" i="3" a="1"/>
  <c r="H9370" i="3" a="1"/>
  <c r="H9371" i="3" a="1"/>
  <c r="H9384" i="3" a="1"/>
  <c r="H9385" i="3" a="1"/>
  <c r="H9386" i="3" a="1"/>
  <c r="H9387" i="3" a="1"/>
  <c r="H9388" i="3" a="1"/>
  <c r="H9389" i="3" a="1"/>
  <c r="H9390" i="3" a="1"/>
  <c r="H9391" i="3" a="1"/>
  <c r="H9392" i="3" a="1"/>
  <c r="H9393" i="3" a="1"/>
  <c r="H9394" i="3" a="1"/>
  <c r="H9395" i="3" a="1"/>
  <c r="H9396" i="3" a="1"/>
  <c r="H9397" i="3" a="1"/>
  <c r="H9398" i="3" a="1"/>
  <c r="H9399" i="3" a="1"/>
  <c r="H9400" i="3" a="1"/>
  <c r="H9401" i="3" a="1"/>
  <c r="H9402" i="3" a="1"/>
  <c r="H9403" i="3" a="1"/>
  <c r="H9404" i="3" a="1"/>
  <c r="H9405" i="3" a="1"/>
  <c r="H9406" i="3" a="1"/>
  <c r="H9407" i="3" a="1"/>
  <c r="H9408" i="3" a="1"/>
  <c r="H9409" i="3" a="1"/>
  <c r="H9410" i="3" a="1"/>
  <c r="H9411" i="3" a="1"/>
  <c r="H9412" i="3" a="1"/>
  <c r="H9413" i="3" a="1"/>
  <c r="H9414" i="3" a="1"/>
  <c r="H9415" i="3" a="1"/>
  <c r="H9416" i="3" a="1"/>
  <c r="H9417" i="3" a="1"/>
  <c r="H9418" i="3" a="1"/>
  <c r="H9419" i="3" a="1"/>
  <c r="H9420" i="3" a="1"/>
  <c r="H9421" i="3" a="1"/>
  <c r="H9422" i="3" a="1"/>
  <c r="H9423" i="3" a="1"/>
  <c r="H9424" i="3" a="1"/>
  <c r="H9425" i="3" a="1"/>
  <c r="H9426" i="3" a="1"/>
  <c r="H9427" i="3" a="1"/>
  <c r="H9428" i="3" a="1"/>
  <c r="H9429" i="3" a="1"/>
  <c r="H9430" i="3" a="1"/>
  <c r="H9431" i="3" a="1"/>
  <c r="H9432" i="3" a="1"/>
  <c r="H9433" i="3" a="1"/>
  <c r="H9434" i="3" a="1"/>
  <c r="H9435" i="3" a="1"/>
  <c r="H9436" i="3" a="1"/>
  <c r="H9437" i="3" a="1"/>
  <c r="H9438" i="3" a="1"/>
  <c r="H9439" i="3" a="1"/>
  <c r="H9440" i="3" a="1"/>
  <c r="H9441" i="3" a="1"/>
  <c r="H9442" i="3" a="1"/>
  <c r="H9443" i="3" a="1"/>
  <c r="H9444" i="3" a="1"/>
  <c r="H9445" i="3" a="1"/>
  <c r="H9446" i="3" a="1"/>
  <c r="H9447" i="3" a="1"/>
  <c r="H9448" i="3" a="1"/>
  <c r="H9449" i="3" a="1"/>
  <c r="H9450" i="3" a="1"/>
  <c r="H9451" i="3" a="1"/>
  <c r="H9452" i="3" a="1"/>
  <c r="H9465" i="3" a="1"/>
  <c r="H9466" i="3" a="1"/>
  <c r="H9467" i="3" a="1"/>
  <c r="H9468" i="3" a="1"/>
  <c r="H9469" i="3" a="1"/>
  <c r="H9470" i="3" a="1"/>
  <c r="H9471" i="3" a="1"/>
  <c r="H9472" i="3" a="1"/>
  <c r="H9473" i="3" a="1"/>
  <c r="H9474" i="3" a="1"/>
  <c r="H9475" i="3" a="1"/>
  <c r="H9476" i="3" a="1"/>
  <c r="H9477" i="3" a="1"/>
  <c r="H9478" i="3" a="1"/>
  <c r="H9479" i="3" a="1"/>
  <c r="H9480" i="3" a="1"/>
  <c r="H9481" i="3" a="1"/>
  <c r="H9482" i="3" a="1"/>
  <c r="H9483" i="3" a="1"/>
  <c r="H9484" i="3" a="1"/>
  <c r="H9485" i="3" a="1"/>
  <c r="H9486" i="3" a="1"/>
  <c r="H9487" i="3" a="1"/>
  <c r="H9488" i="3" a="1"/>
  <c r="H9489" i="3" a="1"/>
  <c r="H9490" i="3" a="1"/>
  <c r="H9491" i="3" a="1"/>
  <c r="H9492" i="3" a="1"/>
  <c r="H9493" i="3" a="1"/>
  <c r="H9494" i="3" a="1"/>
  <c r="H9495" i="3" a="1"/>
  <c r="H9496" i="3" a="1"/>
  <c r="H9497" i="3" a="1"/>
  <c r="H9498" i="3" a="1"/>
  <c r="H9499" i="3" a="1"/>
  <c r="H9500" i="3" a="1"/>
  <c r="H9501" i="3" a="1"/>
  <c r="H9502" i="3" a="1"/>
  <c r="H9503" i="3" a="1"/>
  <c r="H9504" i="3" a="1"/>
  <c r="H9505" i="3" a="1"/>
  <c r="H9506" i="3" a="1"/>
  <c r="H9507" i="3" a="1"/>
  <c r="H9508" i="3" a="1"/>
  <c r="H9509" i="3" a="1"/>
  <c r="H9510" i="3" a="1"/>
  <c r="H9511" i="3" a="1"/>
  <c r="H9512" i="3" a="1"/>
  <c r="H9513" i="3" a="1"/>
  <c r="H9514" i="3" a="1"/>
  <c r="H9515" i="3" a="1"/>
  <c r="H9516" i="3" a="1"/>
  <c r="H9517" i="3" a="1"/>
  <c r="H9518" i="3" a="1"/>
  <c r="H9519" i="3" a="1"/>
  <c r="H9520" i="3" a="1"/>
  <c r="H9521" i="3" a="1"/>
  <c r="H9522" i="3" a="1"/>
  <c r="H9523" i="3" a="1"/>
  <c r="H9524" i="3" a="1"/>
  <c r="H9525" i="3" a="1"/>
  <c r="H9526" i="3" a="1"/>
  <c r="H9527" i="3" a="1"/>
  <c r="H9528" i="3" a="1"/>
  <c r="H9529" i="3" a="1"/>
  <c r="H9530" i="3" a="1"/>
  <c r="H9531" i="3" a="1"/>
  <c r="H9532" i="3" a="1"/>
  <c r="H9533" i="3" a="1"/>
  <c r="H9546" i="3" a="1"/>
  <c r="H9547" i="3" a="1"/>
  <c r="H9548" i="3" a="1"/>
  <c r="H9549" i="3" a="1"/>
  <c r="H9550" i="3" a="1"/>
  <c r="H9551" i="3" a="1"/>
  <c r="H9552" i="3" a="1"/>
  <c r="H9553" i="3" a="1"/>
  <c r="H9554" i="3" a="1"/>
  <c r="H9555" i="3" a="1"/>
  <c r="H9556" i="3" a="1"/>
  <c r="H9557" i="3" a="1"/>
  <c r="H9558" i="3" a="1"/>
  <c r="H9559" i="3" a="1"/>
  <c r="H9560" i="3" a="1"/>
  <c r="H9561" i="3" a="1"/>
  <c r="H9562" i="3" a="1"/>
  <c r="H9563" i="3" a="1"/>
  <c r="H9564" i="3" a="1"/>
  <c r="H9565" i="3" a="1"/>
  <c r="H9566" i="3" a="1"/>
  <c r="H9567" i="3" a="1"/>
  <c r="H9568" i="3" a="1"/>
  <c r="H9569" i="3" a="1"/>
  <c r="H9570" i="3" a="1"/>
  <c r="H9571" i="3" a="1"/>
  <c r="H9572" i="3" a="1"/>
  <c r="H9573" i="3" a="1"/>
  <c r="H9574" i="3" a="1"/>
  <c r="H9575" i="3" a="1"/>
  <c r="H9576" i="3" a="1"/>
  <c r="H9577" i="3" a="1"/>
  <c r="H9578" i="3" a="1"/>
  <c r="H9579" i="3" a="1"/>
  <c r="H9580" i="3" a="1"/>
  <c r="H9581" i="3" a="1"/>
  <c r="H9582" i="3" a="1"/>
  <c r="H9583" i="3" a="1"/>
  <c r="H9584" i="3" a="1"/>
  <c r="H9585" i="3" a="1"/>
  <c r="H9586" i="3" a="1"/>
  <c r="H9587" i="3" a="1"/>
  <c r="H9588" i="3" a="1"/>
  <c r="H9589" i="3" a="1"/>
  <c r="H9590" i="3" a="1"/>
  <c r="H9591" i="3" a="1"/>
  <c r="H9592" i="3" a="1"/>
  <c r="H9593" i="3" a="1"/>
  <c r="H9594" i="3" a="1"/>
  <c r="H9595" i="3" a="1"/>
  <c r="H9596" i="3" a="1"/>
  <c r="H9597" i="3" a="1"/>
  <c r="H9598" i="3" a="1"/>
  <c r="H9599" i="3" a="1"/>
  <c r="H9600" i="3" a="1"/>
  <c r="H9601" i="3" a="1"/>
  <c r="H9602" i="3" a="1"/>
  <c r="H9603" i="3" a="1"/>
  <c r="H9604" i="3" a="1"/>
  <c r="H9605" i="3" a="1"/>
  <c r="H9606" i="3" a="1"/>
  <c r="H9607" i="3" a="1"/>
  <c r="H9608" i="3" a="1"/>
  <c r="H9609" i="3" a="1"/>
  <c r="H9610" i="3" a="1"/>
  <c r="H9611" i="3" a="1"/>
  <c r="H9612" i="3" a="1"/>
  <c r="H9613" i="3" a="1"/>
  <c r="H9614" i="3" a="1"/>
  <c r="H9627" i="3" a="1"/>
  <c r="H9628" i="3" a="1"/>
  <c r="H9629" i="3" a="1"/>
  <c r="H9630" i="3" a="1"/>
  <c r="H9631" i="3" a="1"/>
  <c r="H9632" i="3" a="1"/>
  <c r="H9633" i="3" a="1"/>
  <c r="H9634" i="3" a="1"/>
  <c r="H9635" i="3" a="1"/>
  <c r="H9636" i="3" a="1"/>
  <c r="H9637" i="3" a="1"/>
  <c r="H9638" i="3" a="1"/>
  <c r="H9639" i="3" a="1"/>
  <c r="H9640" i="3" a="1"/>
  <c r="H9641" i="3" a="1"/>
  <c r="H9642" i="3" a="1"/>
  <c r="H9643" i="3" a="1"/>
  <c r="H9644" i="3" a="1"/>
  <c r="H9645" i="3" a="1"/>
  <c r="H9646" i="3" a="1"/>
  <c r="H9647" i="3" a="1"/>
  <c r="H9648" i="3" a="1"/>
  <c r="H9649" i="3" a="1"/>
  <c r="H9650" i="3" a="1"/>
  <c r="H9651" i="3" a="1"/>
  <c r="H9652" i="3" a="1"/>
  <c r="H9653" i="3" a="1"/>
  <c r="H9654" i="3" a="1"/>
  <c r="H9655" i="3" a="1"/>
  <c r="H9656" i="3" a="1"/>
  <c r="H9657" i="3" a="1"/>
  <c r="H9658" i="3" a="1"/>
  <c r="H9659" i="3" a="1"/>
  <c r="H9660" i="3" a="1"/>
  <c r="H9661" i="3" a="1"/>
  <c r="H9662" i="3" a="1"/>
  <c r="H9663" i="3" a="1"/>
  <c r="H9664" i="3" a="1"/>
  <c r="H9665" i="3" a="1"/>
  <c r="H9666" i="3" a="1"/>
  <c r="H9667" i="3" a="1"/>
  <c r="H9668" i="3" a="1"/>
  <c r="H9669" i="3" a="1"/>
  <c r="H9670" i="3" a="1"/>
  <c r="H9671" i="3" a="1"/>
  <c r="H9672" i="3" a="1"/>
  <c r="H9673" i="3" a="1"/>
  <c r="H9674" i="3" a="1"/>
  <c r="H9675" i="3" a="1"/>
  <c r="H9676" i="3" a="1"/>
  <c r="H9677" i="3" a="1"/>
  <c r="H9678" i="3" a="1"/>
  <c r="H9679" i="3" a="1"/>
  <c r="H9680" i="3" a="1"/>
  <c r="H9681" i="3" a="1"/>
  <c r="H9682" i="3" a="1"/>
  <c r="H9683" i="3" a="1"/>
  <c r="H9684" i="3" a="1"/>
  <c r="H9685" i="3" a="1"/>
  <c r="H9686" i="3" a="1"/>
  <c r="H9687" i="3" a="1"/>
  <c r="H9688" i="3" a="1"/>
  <c r="H9689" i="3" a="1"/>
  <c r="H9690" i="3" a="1"/>
  <c r="H9691" i="3" a="1"/>
  <c r="H9692" i="3" a="1"/>
  <c r="H9693" i="3" a="1"/>
  <c r="H9694" i="3" a="1"/>
  <c r="H9695" i="3" a="1"/>
  <c r="H9708" i="3" a="1"/>
  <c r="H9709" i="3" a="1"/>
  <c r="H9710" i="3" a="1"/>
  <c r="H9711" i="3" a="1"/>
  <c r="H9712" i="3" a="1"/>
  <c r="H9713" i="3" a="1"/>
  <c r="H9714" i="3" a="1"/>
  <c r="H9715" i="3" a="1"/>
  <c r="H9716" i="3" a="1"/>
  <c r="H9717" i="3" a="1"/>
  <c r="H9718" i="3" a="1"/>
  <c r="H9719" i="3" a="1"/>
  <c r="H9720" i="3" a="1"/>
  <c r="H9721" i="3" a="1"/>
  <c r="H9722" i="3" a="1"/>
  <c r="H9723" i="3" a="1"/>
  <c r="H9724" i="3" a="1"/>
  <c r="H9725" i="3" a="1"/>
  <c r="H9726" i="3" a="1"/>
  <c r="H9727" i="3" a="1"/>
  <c r="H9728" i="3" a="1"/>
  <c r="H9729" i="3" a="1"/>
  <c r="H9730" i="3" a="1"/>
  <c r="H9731" i="3" a="1"/>
  <c r="H9732" i="3" a="1"/>
  <c r="H9733" i="3" a="1"/>
  <c r="H9734" i="3" a="1"/>
  <c r="H9735" i="3" a="1"/>
  <c r="H9736" i="3" a="1"/>
  <c r="H9737" i="3" a="1"/>
  <c r="H9738" i="3" a="1"/>
  <c r="H9739" i="3" a="1"/>
  <c r="H9740" i="3" a="1"/>
  <c r="H9741" i="3" a="1"/>
  <c r="H9742" i="3" a="1"/>
  <c r="H9743" i="3" a="1"/>
  <c r="H9744" i="3" a="1"/>
  <c r="H9745" i="3" a="1"/>
  <c r="H9746" i="3" a="1"/>
  <c r="H9747" i="3" a="1"/>
  <c r="H9748" i="3" a="1"/>
  <c r="H9749" i="3" a="1"/>
  <c r="H9750" i="3" a="1"/>
  <c r="H9751" i="3" a="1"/>
  <c r="H9752" i="3" a="1"/>
  <c r="H9753" i="3" a="1"/>
  <c r="H9754" i="3" a="1"/>
  <c r="H9755" i="3" a="1"/>
  <c r="H9756" i="3" a="1"/>
  <c r="H9757" i="3" a="1"/>
  <c r="H9758" i="3" a="1"/>
  <c r="H9759" i="3" a="1"/>
  <c r="H9760" i="3" a="1"/>
  <c r="H9761" i="3" a="1"/>
  <c r="H9762" i="3" a="1"/>
  <c r="H9763" i="3" a="1"/>
  <c r="H9764" i="3" a="1"/>
  <c r="H9765" i="3" a="1"/>
  <c r="H9766" i="3" a="1"/>
  <c r="H9767" i="3" a="1"/>
  <c r="H9768" i="3" a="1"/>
  <c r="H9769" i="3" a="1"/>
  <c r="H9770" i="3" a="1"/>
  <c r="H9771" i="3" a="1"/>
  <c r="H9772" i="3" a="1"/>
  <c r="H9773" i="3" a="1"/>
  <c r="H9774" i="3" a="1"/>
  <c r="H9775" i="3" a="1"/>
  <c r="H9776" i="3" a="1"/>
  <c r="H9789" i="3" a="1"/>
  <c r="H9790" i="3" a="1"/>
  <c r="H9791" i="3" a="1"/>
  <c r="H9792" i="3" a="1"/>
  <c r="H9793" i="3" a="1"/>
  <c r="H9794" i="3" a="1"/>
  <c r="H9795" i="3" a="1"/>
  <c r="H9796" i="3" a="1"/>
  <c r="H9797" i="3" a="1"/>
  <c r="H9798" i="3" a="1"/>
  <c r="H9799" i="3" a="1"/>
  <c r="H9800" i="3" a="1"/>
  <c r="H9801" i="3" a="1"/>
  <c r="H9802" i="3" a="1"/>
  <c r="H9803" i="3" a="1"/>
  <c r="H9804" i="3" a="1"/>
  <c r="H9805" i="3" a="1"/>
  <c r="H9806" i="3" a="1"/>
  <c r="H9807" i="3" a="1"/>
  <c r="H9808" i="3" a="1"/>
  <c r="H9809" i="3" a="1"/>
  <c r="H9810" i="3" a="1"/>
  <c r="H9811" i="3" a="1"/>
  <c r="H9812" i="3" a="1"/>
  <c r="H9813" i="3" a="1"/>
  <c r="H9814" i="3" a="1"/>
  <c r="H9815" i="3" a="1"/>
  <c r="H9816" i="3" a="1"/>
  <c r="H9817" i="3" a="1"/>
  <c r="H9818" i="3" a="1"/>
  <c r="H9819" i="3" a="1"/>
  <c r="H9820" i="3" a="1"/>
  <c r="H9821" i="3" a="1"/>
  <c r="H9822" i="3" a="1"/>
  <c r="H9823" i="3" a="1"/>
  <c r="H9824" i="3" a="1"/>
  <c r="H9825" i="3" a="1"/>
  <c r="H9826" i="3" a="1"/>
  <c r="H9827" i="3" a="1"/>
  <c r="H9828" i="3" a="1"/>
  <c r="H9829" i="3" a="1"/>
  <c r="H9830" i="3" a="1"/>
  <c r="H9831" i="3" a="1"/>
  <c r="H9832" i="3" a="1"/>
  <c r="H9833" i="3" a="1"/>
  <c r="H9834" i="3" a="1"/>
  <c r="H9835" i="3" a="1"/>
  <c r="H9836" i="3" a="1"/>
  <c r="H9837" i="3" a="1"/>
  <c r="H9838" i="3" a="1"/>
  <c r="H9839" i="3" a="1"/>
  <c r="H9840" i="3" a="1"/>
  <c r="H9841" i="3" a="1"/>
  <c r="H9842" i="3" a="1"/>
  <c r="H9843" i="3" a="1"/>
  <c r="H9844" i="3" a="1"/>
  <c r="H9845" i="3" a="1"/>
  <c r="H9846" i="3" a="1"/>
  <c r="H9847" i="3" a="1"/>
  <c r="H9848" i="3" a="1"/>
  <c r="H9849" i="3" a="1"/>
  <c r="H9850" i="3" a="1"/>
  <c r="H9851" i="3" a="1"/>
  <c r="H9852" i="3" a="1"/>
  <c r="H9853" i="3" a="1"/>
  <c r="H9854" i="3" a="1"/>
  <c r="H9855" i="3" a="1"/>
  <c r="H9856" i="3" a="1"/>
  <c r="H9857" i="3" a="1"/>
  <c r="H9870" i="3" a="1"/>
  <c r="H9871" i="3" a="1"/>
  <c r="H9872" i="3" a="1"/>
  <c r="H9873" i="3" a="1"/>
  <c r="H9874" i="3" a="1"/>
  <c r="H9875" i="3" a="1"/>
  <c r="H9876" i="3" a="1"/>
  <c r="H9877" i="3" a="1"/>
  <c r="H9878" i="3" a="1"/>
  <c r="H9879" i="3" a="1"/>
  <c r="H9880" i="3" a="1"/>
  <c r="H9881" i="3" a="1"/>
  <c r="H9882" i="3" a="1"/>
  <c r="H9883" i="3" a="1"/>
  <c r="H9884" i="3" a="1"/>
  <c r="H9885" i="3" a="1"/>
  <c r="H9886" i="3" a="1"/>
  <c r="H9887" i="3" a="1"/>
  <c r="H9888" i="3" a="1"/>
  <c r="H9889" i="3" a="1"/>
  <c r="H9890" i="3" a="1"/>
  <c r="H9891" i="3" a="1"/>
  <c r="H9892" i="3" a="1"/>
  <c r="H9893" i="3" a="1"/>
  <c r="H9894" i="3" a="1"/>
  <c r="H9895" i="3" a="1"/>
  <c r="H9896" i="3" a="1"/>
  <c r="H9897" i="3" a="1"/>
  <c r="H9898" i="3" a="1"/>
  <c r="H9899" i="3" a="1"/>
  <c r="H9900" i="3" a="1"/>
  <c r="H9901" i="3" a="1"/>
  <c r="H9902" i="3" a="1"/>
  <c r="H9903" i="3" a="1"/>
  <c r="H9904" i="3" a="1"/>
  <c r="H9905" i="3" a="1"/>
  <c r="H9906" i="3" a="1"/>
  <c r="H9907" i="3" a="1"/>
  <c r="H9908" i="3" a="1"/>
  <c r="H9909" i="3" a="1"/>
  <c r="H9910" i="3" a="1"/>
  <c r="H9911" i="3" a="1"/>
  <c r="H9912" i="3" a="1"/>
  <c r="H9913" i="3" a="1"/>
  <c r="H9914" i="3" a="1"/>
  <c r="H9915" i="3" a="1"/>
  <c r="H9916" i="3" a="1"/>
  <c r="H9917" i="3" a="1"/>
  <c r="H9918" i="3" a="1"/>
  <c r="H9919" i="3" a="1"/>
  <c r="H9920" i="3" a="1"/>
  <c r="H9921" i="3" a="1"/>
  <c r="H9922" i="3" a="1"/>
  <c r="H9923" i="3" a="1"/>
  <c r="H9924" i="3" a="1"/>
  <c r="H9925" i="3" a="1"/>
  <c r="H9926" i="3" a="1"/>
  <c r="H9927" i="3" a="1"/>
  <c r="H9928" i="3" a="1"/>
  <c r="H9929" i="3" a="1"/>
  <c r="H9930" i="3" a="1"/>
  <c r="H9931" i="3" a="1"/>
  <c r="H9932" i="3" a="1"/>
  <c r="H9933" i="3" a="1"/>
  <c r="H9934" i="3" a="1"/>
  <c r="H9935" i="3" a="1"/>
  <c r="H9936" i="3" a="1"/>
  <c r="H9937" i="3" a="1"/>
  <c r="H9938" i="3" a="1"/>
  <c r="H9951" i="3" a="1"/>
  <c r="H9952" i="3" a="1"/>
  <c r="H9953" i="3" a="1"/>
  <c r="H9954" i="3" a="1"/>
  <c r="H9955" i="3" a="1"/>
  <c r="H9956" i="3" a="1"/>
  <c r="H9957" i="3" a="1"/>
  <c r="H9958" i="3" a="1"/>
  <c r="H9959" i="3" a="1"/>
  <c r="H9960" i="3" a="1"/>
  <c r="H9961" i="3" a="1"/>
  <c r="H9962" i="3" a="1"/>
  <c r="H9963" i="3" a="1"/>
  <c r="H9964" i="3" a="1"/>
  <c r="H9965" i="3" a="1"/>
  <c r="H9966" i="3" a="1"/>
  <c r="H9967" i="3" a="1"/>
  <c r="H9968" i="3" a="1"/>
  <c r="H9969" i="3" a="1"/>
  <c r="H9970" i="3" a="1"/>
  <c r="H9971" i="3" a="1"/>
  <c r="H9972" i="3" a="1"/>
  <c r="H9973" i="3" a="1"/>
  <c r="H9974" i="3" a="1"/>
  <c r="H9975" i="3" a="1"/>
  <c r="H9976" i="3" a="1"/>
  <c r="H9977" i="3" a="1"/>
  <c r="H9978" i="3" a="1"/>
  <c r="H9979" i="3" a="1"/>
  <c r="H9980" i="3" a="1"/>
  <c r="H9981" i="3" a="1"/>
  <c r="H9982" i="3" a="1"/>
  <c r="H9983" i="3" a="1"/>
  <c r="H9984" i="3" a="1"/>
  <c r="H9985" i="3" a="1"/>
  <c r="H9986" i="3" a="1"/>
  <c r="H9987" i="3" a="1"/>
  <c r="H9988" i="3" a="1"/>
  <c r="H9989" i="3" a="1"/>
  <c r="H9990" i="3" a="1"/>
  <c r="H9991" i="3" a="1"/>
  <c r="H9992" i="3" a="1"/>
  <c r="H9993" i="3" a="1"/>
  <c r="H9994" i="3" a="1"/>
  <c r="H9995" i="3" a="1"/>
  <c r="H9996" i="3" a="1"/>
  <c r="H9997" i="3" a="1"/>
  <c r="H9998" i="3" a="1"/>
  <c r="H9999" i="3" a="1"/>
  <c r="H10000" i="3" a="1"/>
  <c r="H10001" i="3" a="1"/>
  <c r="H10002" i="3" a="1"/>
  <c r="H10003" i="3" a="1"/>
  <c r="H10004" i="3" a="1"/>
  <c r="H10005" i="3" a="1"/>
  <c r="H10006" i="3" a="1"/>
  <c r="H10007" i="3" a="1"/>
  <c r="H10008" i="3" a="1"/>
  <c r="H10009" i="3" a="1"/>
  <c r="H10010" i="3" a="1"/>
  <c r="H10011" i="3" a="1"/>
  <c r="H10012" i="3" a="1"/>
  <c r="H10013" i="3" a="1"/>
  <c r="H10014" i="3" a="1"/>
  <c r="H10015" i="3" a="1"/>
  <c r="H10016" i="3" a="1"/>
  <c r="H10017" i="3" a="1"/>
  <c r="H10018" i="3" a="1"/>
  <c r="H10019" i="3" a="1"/>
  <c r="H10032" i="3" a="1"/>
  <c r="H10033" i="3" a="1"/>
  <c r="H10034" i="3" a="1"/>
  <c r="H10035" i="3" a="1"/>
  <c r="H10036" i="3" a="1"/>
  <c r="H10037" i="3" a="1"/>
  <c r="H10038" i="3" a="1"/>
  <c r="H10039" i="3" a="1"/>
  <c r="H10040" i="3" a="1"/>
  <c r="H10041" i="3" a="1"/>
  <c r="H10042" i="3" a="1"/>
  <c r="H10043" i="3" a="1"/>
  <c r="H10044" i="3" a="1"/>
  <c r="H10045" i="3" a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D7" i="18"/>
  <c r="D8" i="18"/>
  <c r="D9" i="18"/>
  <c r="D10" i="18"/>
  <c r="D11" i="18"/>
  <c r="D12" i="18"/>
  <c r="D13" i="18"/>
  <c r="D14" i="18"/>
  <c r="D15" i="18"/>
  <c r="D6" i="18"/>
  <c r="E28" i="3" a="1"/>
  <c r="E10045" i="3" a="1"/>
  <c r="E10018" i="3" a="1"/>
  <c r="E9991" i="3" a="1"/>
  <c r="E9964" i="3" a="1"/>
  <c r="E9937" i="3" a="1"/>
  <c r="E9910" i="3" a="1"/>
  <c r="E9883" i="3" a="1"/>
  <c r="E9856" i="3" a="1"/>
  <c r="E9829" i="3" a="1"/>
  <c r="E9802" i="3" a="1"/>
  <c r="E9775" i="3" a="1"/>
  <c r="E9748" i="3" a="1"/>
  <c r="E9721" i="3" a="1"/>
  <c r="E9694" i="3" a="1"/>
  <c r="E9667" i="3" a="1"/>
  <c r="E9640" i="3" a="1"/>
  <c r="E9613" i="3" a="1"/>
  <c r="E9586" i="3" a="1"/>
  <c r="E9559" i="3" a="1"/>
  <c r="E9532" i="3" a="1"/>
  <c r="E9505" i="3" a="1"/>
  <c r="E9478" i="3" a="1"/>
  <c r="E9451" i="3" a="1"/>
  <c r="E9424" i="3" a="1"/>
  <c r="E9397" i="3" a="1"/>
  <c r="E9370" i="3" a="1"/>
  <c r="E9343" i="3" a="1"/>
  <c r="E9316" i="3" a="1"/>
  <c r="E9289" i="3" a="1"/>
  <c r="E9262" i="3" a="1"/>
  <c r="E9235" i="3" a="1"/>
  <c r="E9208" i="3" a="1"/>
  <c r="E9181" i="3" a="1"/>
  <c r="E9154" i="3" a="1"/>
  <c r="E9127" i="3" a="1"/>
  <c r="E9100" i="3" a="1"/>
  <c r="E9073" i="3" a="1"/>
  <c r="E9046" i="3" a="1"/>
  <c r="E9019" i="3" a="1"/>
  <c r="E8992" i="3" a="1"/>
  <c r="E8965" i="3" a="1"/>
  <c r="E8938" i="3" a="1"/>
  <c r="E8911" i="3" a="1"/>
  <c r="E8884" i="3" a="1"/>
  <c r="E8857" i="3" a="1"/>
  <c r="E8830" i="3" a="1"/>
  <c r="E8803" i="3" a="1"/>
  <c r="E8776" i="3" a="1"/>
  <c r="E8749" i="3" a="1"/>
  <c r="E8722" i="3" a="1"/>
  <c r="E8695" i="3" a="1"/>
  <c r="E8668" i="3" a="1"/>
  <c r="E8641" i="3" a="1"/>
  <c r="E8614" i="3" a="1"/>
  <c r="E8587" i="3" a="1"/>
  <c r="E8560" i="3" a="1"/>
  <c r="E8533" i="3" a="1"/>
  <c r="E8506" i="3" a="1"/>
  <c r="E8479" i="3" a="1"/>
  <c r="E8452" i="3" a="1"/>
  <c r="E8425" i="3" a="1"/>
  <c r="E8398" i="3" a="1"/>
  <c r="E8371" i="3" a="1"/>
  <c r="E8344" i="3" a="1"/>
  <c r="E8317" i="3" a="1"/>
  <c r="E8290" i="3" a="1"/>
  <c r="E8263" i="3" a="1"/>
  <c r="E8236" i="3" a="1"/>
  <c r="E8209" i="3" a="1"/>
  <c r="E8182" i="3" a="1"/>
  <c r="E8155" i="3" a="1"/>
  <c r="E8128" i="3" a="1"/>
  <c r="E8101" i="3" a="1"/>
  <c r="E8074" i="3" a="1"/>
  <c r="E8047" i="3" a="1"/>
  <c r="E8020" i="3" a="1"/>
  <c r="E7993" i="3" a="1"/>
  <c r="E7966" i="3" a="1"/>
  <c r="E7939" i="3" a="1"/>
  <c r="E7912" i="3" a="1"/>
  <c r="E7885" i="3" a="1"/>
  <c r="E7858" i="3" a="1"/>
  <c r="E7831" i="3" a="1"/>
  <c r="E7804" i="3" a="1"/>
  <c r="E7777" i="3" a="1"/>
  <c r="E7750" i="3" a="1"/>
  <c r="E7723" i="3" a="1"/>
  <c r="E7696" i="3" a="1"/>
  <c r="E7669" i="3" a="1"/>
  <c r="E7642" i="3" a="1"/>
  <c r="E7615" i="3" a="1"/>
  <c r="E7588" i="3" a="1"/>
  <c r="E7561" i="3" a="1"/>
  <c r="E7534" i="3" a="1"/>
  <c r="E7507" i="3" a="1"/>
  <c r="E7480" i="3" a="1"/>
  <c r="E7453" i="3" a="1"/>
  <c r="E7426" i="3" a="1"/>
  <c r="E7399" i="3" a="1"/>
  <c r="E7372" i="3" a="1"/>
  <c r="E7345" i="3" a="1"/>
  <c r="E7318" i="3" a="1"/>
  <c r="E7291" i="3" a="1"/>
  <c r="E7264" i="3" a="1"/>
  <c r="E7237" i="3" a="1"/>
  <c r="E7210" i="3" a="1"/>
  <c r="E7183" i="3" a="1"/>
  <c r="E7156" i="3" a="1"/>
  <c r="E7129" i="3" a="1"/>
  <c r="E7102" i="3" a="1"/>
  <c r="E7075" i="3" a="1"/>
  <c r="E7048" i="3" a="1"/>
  <c r="E7021" i="3" a="1"/>
  <c r="E6994" i="3" a="1"/>
  <c r="E6967" i="3" a="1"/>
  <c r="E6940" i="3" a="1"/>
  <c r="E6913" i="3" a="1"/>
  <c r="E6886" i="3" a="1"/>
  <c r="E6859" i="3" a="1"/>
  <c r="E6832" i="3" a="1"/>
  <c r="E6805" i="3" a="1"/>
  <c r="E6778" i="3" a="1"/>
  <c r="E6751" i="3" a="1"/>
  <c r="E6724" i="3" a="1"/>
  <c r="E6697" i="3" a="1"/>
  <c r="E6670" i="3" a="1"/>
  <c r="E6643" i="3" a="1"/>
  <c r="E6616" i="3" a="1"/>
  <c r="E6589" i="3" a="1"/>
  <c r="E6562" i="3" a="1"/>
  <c r="E6535" i="3" a="1"/>
  <c r="E6508" i="3" a="1"/>
  <c r="E6481" i="3" a="1"/>
  <c r="E6454" i="3" a="1"/>
  <c r="E6427" i="3" a="1"/>
  <c r="E6400" i="3" a="1"/>
  <c r="E6373" i="3" a="1"/>
  <c r="E6346" i="3" a="1"/>
  <c r="E6319" i="3" a="1"/>
  <c r="E6292" i="3" a="1"/>
  <c r="E6265" i="3" a="1"/>
  <c r="E6238" i="3" a="1"/>
  <c r="E6211" i="3" a="1"/>
  <c r="E6184" i="3" a="1"/>
  <c r="E6157" i="3" a="1"/>
  <c r="E6130" i="3" a="1"/>
  <c r="E6103" i="3" a="1"/>
  <c r="E6076" i="3" a="1"/>
  <c r="E6049" i="3" a="1"/>
  <c r="E6022" i="3" a="1"/>
  <c r="E5995" i="3" a="1"/>
  <c r="E5968" i="3" a="1"/>
  <c r="E5941" i="3" a="1"/>
  <c r="E5914" i="3" a="1"/>
  <c r="E5887" i="3" a="1"/>
  <c r="E5860" i="3" a="1"/>
  <c r="E5833" i="3" a="1"/>
  <c r="E5806" i="3" a="1"/>
  <c r="E5779" i="3" a="1"/>
  <c r="E5752" i="3" a="1"/>
  <c r="E5725" i="3" a="1"/>
  <c r="E5698" i="3" a="1"/>
  <c r="E5671" i="3" a="1"/>
  <c r="E5644" i="3" a="1"/>
  <c r="E5617" i="3" a="1"/>
  <c r="E5590" i="3" a="1"/>
  <c r="E5563" i="3" a="1"/>
  <c r="E5536" i="3" a="1"/>
  <c r="E5509" i="3" a="1"/>
  <c r="E5482" i="3" a="1"/>
  <c r="E5455" i="3" a="1"/>
  <c r="E5428" i="3" a="1"/>
  <c r="E5401" i="3" a="1"/>
  <c r="E5374" i="3" a="1"/>
  <c r="E5347" i="3" a="1"/>
  <c r="E5320" i="3" a="1"/>
  <c r="E5293" i="3" a="1"/>
  <c r="E5266" i="3" a="1"/>
  <c r="E5239" i="3" a="1"/>
  <c r="E5212" i="3" a="1"/>
  <c r="E5185" i="3" a="1"/>
  <c r="E5158" i="3" a="1"/>
  <c r="E5131" i="3" a="1"/>
  <c r="E5104" i="3" a="1"/>
  <c r="E5077" i="3" a="1"/>
  <c r="E5050" i="3" a="1"/>
  <c r="E5023" i="3" a="1"/>
  <c r="E4996" i="3" a="1"/>
  <c r="E4969" i="3" a="1"/>
  <c r="E4942" i="3" a="1"/>
  <c r="E4915" i="3" a="1"/>
  <c r="E4888" i="3" a="1"/>
  <c r="E4861" i="3" a="1"/>
  <c r="E4834" i="3" a="1"/>
  <c r="E4807" i="3" a="1"/>
  <c r="E4780" i="3" a="1"/>
  <c r="E4753" i="3" a="1"/>
  <c r="E4726" i="3" a="1"/>
  <c r="E4699" i="3" a="1"/>
  <c r="E4672" i="3" a="1"/>
  <c r="E4645" i="3" a="1"/>
  <c r="E4618" i="3" a="1"/>
  <c r="E4591" i="3" a="1"/>
  <c r="E4564" i="3" a="1"/>
  <c r="E4537" i="3" a="1"/>
  <c r="E4510" i="3" a="1"/>
  <c r="E4483" i="3" a="1"/>
  <c r="E4456" i="3" a="1"/>
  <c r="E4429" i="3" a="1"/>
  <c r="E4402" i="3" a="1"/>
  <c r="E4375" i="3" a="1"/>
  <c r="E4348" i="3" a="1"/>
  <c r="E4321" i="3" a="1"/>
  <c r="E4294" i="3" a="1"/>
  <c r="E4267" i="3" a="1"/>
  <c r="E4240" i="3" a="1"/>
  <c r="E4213" i="3" a="1"/>
  <c r="E4186" i="3" a="1"/>
  <c r="E4159" i="3" a="1"/>
  <c r="E4132" i="3" a="1"/>
  <c r="E4105" i="3" a="1"/>
  <c r="E4078" i="3" a="1"/>
  <c r="E4051" i="3" a="1"/>
  <c r="E4024" i="3" a="1"/>
  <c r="E3997" i="3" a="1"/>
  <c r="E3970" i="3" a="1"/>
  <c r="E3943" i="3" a="1"/>
  <c r="E3916" i="3" a="1"/>
  <c r="E3889" i="3" a="1"/>
  <c r="E3862" i="3" a="1"/>
  <c r="E3835" i="3" a="1"/>
  <c r="E3808" i="3" a="1"/>
  <c r="E3781" i="3" a="1"/>
  <c r="E3754" i="3" a="1"/>
  <c r="E3727" i="3" a="1"/>
  <c r="E3700" i="3" a="1"/>
  <c r="E3673" i="3" a="1"/>
  <c r="E3646" i="3" a="1"/>
  <c r="E3619" i="3" a="1"/>
  <c r="E3592" i="3" a="1"/>
  <c r="E3565" i="3" a="1"/>
  <c r="E3538" i="3" a="1"/>
  <c r="E3511" i="3" a="1"/>
  <c r="E3484" i="3" a="1"/>
  <c r="E3457" i="3" a="1"/>
  <c r="E3430" i="3" a="1"/>
  <c r="E3403" i="3" a="1"/>
  <c r="E3376" i="3" a="1"/>
  <c r="E3349" i="3" a="1"/>
  <c r="E3322" i="3" a="1"/>
  <c r="E3295" i="3" a="1"/>
  <c r="E3268" i="3" a="1"/>
  <c r="E3241" i="3" a="1"/>
  <c r="E3214" i="3" a="1"/>
  <c r="E3187" i="3" a="1"/>
  <c r="E3160" i="3" a="1"/>
  <c r="E3133" i="3" a="1"/>
  <c r="E3106" i="3" a="1"/>
  <c r="E3079" i="3" a="1"/>
  <c r="E3052" i="3" a="1"/>
  <c r="E3025" i="3" a="1"/>
  <c r="E2998" i="3" a="1"/>
  <c r="E2971" i="3" a="1"/>
  <c r="E2944" i="3" a="1"/>
  <c r="E2917" i="3" a="1"/>
  <c r="E2890" i="3" a="1"/>
  <c r="E2863" i="3" a="1"/>
  <c r="E2836" i="3" a="1"/>
  <c r="E2809" i="3" a="1"/>
  <c r="E2782" i="3" a="1"/>
  <c r="E2755" i="3" a="1"/>
  <c r="E2728" i="3" a="1"/>
  <c r="E2701" i="3" a="1"/>
  <c r="E2674" i="3" a="1"/>
  <c r="E2647" i="3" a="1"/>
  <c r="E2620" i="3" a="1"/>
  <c r="E2593" i="3" a="1"/>
  <c r="E2566" i="3" a="1"/>
  <c r="E2539" i="3" a="1"/>
  <c r="E2512" i="3" a="1"/>
  <c r="E2485" i="3" a="1"/>
  <c r="E2458" i="3" a="1"/>
  <c r="E2431" i="3" a="1"/>
  <c r="E2404" i="3" a="1"/>
  <c r="E2377" i="3" a="1"/>
  <c r="E2350" i="3" a="1"/>
  <c r="E2323" i="3" a="1"/>
  <c r="E2296" i="3" a="1"/>
  <c r="E2269" i="3" a="1"/>
  <c r="E2242" i="3" a="1"/>
  <c r="E2215" i="3" a="1"/>
  <c r="E2188" i="3" a="1"/>
  <c r="E2161" i="3" a="1"/>
  <c r="E2134" i="3" a="1"/>
  <c r="E2107" i="3" a="1"/>
  <c r="E2080" i="3" a="1"/>
  <c r="E2053" i="3" a="1"/>
  <c r="E2026" i="3" a="1"/>
  <c r="E1999" i="3" a="1"/>
  <c r="E1972" i="3" a="1"/>
  <c r="E1945" i="3" a="1"/>
  <c r="E1918" i="3" a="1"/>
  <c r="E1891" i="3" a="1"/>
  <c r="E1864" i="3" a="1"/>
  <c r="E1837" i="3" a="1"/>
  <c r="E1810" i="3" a="1"/>
  <c r="E1783" i="3" a="1"/>
  <c r="E1756" i="3" a="1"/>
  <c r="E1729" i="3" a="1"/>
  <c r="E1702" i="3" a="1"/>
  <c r="E1675" i="3" a="1"/>
  <c r="E1648" i="3" a="1"/>
  <c r="E1621" i="3" a="1"/>
  <c r="E1594" i="3" a="1"/>
  <c r="E1567" i="3" a="1"/>
  <c r="E1540" i="3" a="1"/>
  <c r="E1513" i="3" a="1"/>
  <c r="E1486" i="3" a="1"/>
  <c r="E1459" i="3" a="1"/>
  <c r="E1432" i="3" a="1"/>
  <c r="E1405" i="3" a="1"/>
  <c r="E1378" i="3" a="1"/>
  <c r="E1351" i="3" a="1"/>
  <c r="E1324" i="3" a="1"/>
  <c r="E1297" i="3" a="1"/>
  <c r="E1270" i="3" a="1"/>
  <c r="E1243" i="3" a="1"/>
  <c r="E1216" i="3" a="1"/>
  <c r="E1189" i="3" a="1"/>
  <c r="E1162" i="3" a="1"/>
  <c r="E1135" i="3" a="1"/>
  <c r="E1108" i="3" a="1"/>
  <c r="E1081" i="3" a="1"/>
  <c r="E1054" i="3" a="1"/>
  <c r="E1027" i="3" a="1"/>
  <c r="E1000" i="3" a="1"/>
  <c r="E973" i="3" a="1"/>
  <c r="E946" i="3" a="1"/>
  <c r="E919" i="3" a="1"/>
  <c r="E892" i="3" a="1"/>
  <c r="E865" i="3" a="1"/>
  <c r="E838" i="3" a="1"/>
  <c r="E811" i="3" a="1"/>
  <c r="E784" i="3" a="1"/>
  <c r="E757" i="3" a="1"/>
  <c r="E730" i="3" a="1"/>
  <c r="E703" i="3" a="1"/>
  <c r="E676" i="3" a="1"/>
  <c r="E649" i="3" a="1"/>
  <c r="E622" i="3" a="1"/>
  <c r="E595" i="3" a="1"/>
  <c r="E568" i="3" a="1"/>
  <c r="E541" i="3" a="1"/>
  <c r="E514" i="3" a="1"/>
  <c r="E487" i="3" a="1"/>
  <c r="E460" i="3" a="1"/>
  <c r="E433" i="3" a="1"/>
  <c r="E406" i="3" a="1"/>
  <c r="E379" i="3" a="1"/>
  <c r="E352" i="3" a="1"/>
  <c r="E325" i="3" a="1"/>
  <c r="E298" i="3" a="1"/>
  <c r="E271" i="3" a="1"/>
  <c r="E244" i="3" a="1"/>
  <c r="E217" i="3" a="1"/>
  <c r="E190" i="3" a="1"/>
  <c r="E163" i="3" a="1"/>
  <c r="E136" i="3" a="1"/>
  <c r="E109" i="3" a="1"/>
  <c r="E82" i="3" a="1"/>
  <c r="E55" i="3" a="1"/>
  <c r="O263" i="1"/>
  <c r="D7" i="14"/>
  <c r="D8" i="14"/>
  <c r="D9" i="14"/>
  <c r="D10" i="14"/>
  <c r="D11" i="14"/>
  <c r="D12" i="14"/>
  <c r="D13" i="14"/>
  <c r="D14" i="14"/>
  <c r="D15" i="14"/>
  <c r="D16" i="14"/>
  <c r="D17" i="14"/>
  <c r="D18" i="14"/>
  <c r="D6" i="14"/>
  <c r="C13" i="10"/>
  <c r="C14" i="10"/>
  <c r="C15" i="10"/>
  <c r="C16" i="10"/>
  <c r="C17" i="10"/>
  <c r="C18" i="10"/>
  <c r="C22" i="10"/>
  <c r="C23" i="10"/>
  <c r="C24" i="10"/>
  <c r="C21" i="10"/>
  <c r="C20" i="10"/>
  <c r="C12" i="10"/>
  <c r="C11" i="10"/>
  <c r="C10" i="10"/>
  <c r="C9" i="10"/>
  <c r="C8" i="10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U2" i="1"/>
  <c r="U5" i="1"/>
  <c r="U8" i="1"/>
  <c r="U11" i="1"/>
  <c r="U14" i="1"/>
  <c r="U17" i="1"/>
  <c r="U20" i="1"/>
  <c r="U23" i="1"/>
  <c r="U26" i="1"/>
  <c r="U29" i="1"/>
  <c r="U32" i="1"/>
  <c r="U35" i="1"/>
  <c r="U38" i="1"/>
  <c r="U41" i="1"/>
  <c r="U44" i="1"/>
  <c r="U47" i="1"/>
  <c r="U50" i="1"/>
  <c r="U53" i="1"/>
  <c r="U56" i="1"/>
  <c r="U59" i="1"/>
  <c r="U62" i="1"/>
  <c r="U65" i="1"/>
  <c r="U68" i="1"/>
  <c r="U71" i="1"/>
  <c r="U74" i="1"/>
  <c r="U77" i="1"/>
  <c r="U80" i="1"/>
  <c r="U83" i="1"/>
  <c r="U86" i="1"/>
  <c r="U89" i="1"/>
  <c r="U92" i="1"/>
  <c r="U95" i="1"/>
  <c r="U98" i="1"/>
  <c r="U101" i="1"/>
  <c r="U104" i="1"/>
  <c r="U107" i="1"/>
  <c r="U110" i="1"/>
  <c r="U113" i="1"/>
  <c r="U116" i="1"/>
  <c r="U119" i="1"/>
  <c r="U122" i="1"/>
  <c r="U125" i="1"/>
  <c r="U128" i="1"/>
  <c r="U131" i="1"/>
  <c r="U134" i="1"/>
  <c r="U137" i="1"/>
  <c r="U140" i="1"/>
  <c r="U143" i="1"/>
  <c r="U146" i="1"/>
  <c r="U149" i="1"/>
  <c r="U152" i="1"/>
  <c r="U155" i="1"/>
  <c r="U158" i="1"/>
  <c r="U161" i="1"/>
  <c r="U164" i="1"/>
  <c r="U167" i="1"/>
  <c r="U170" i="1"/>
  <c r="U173" i="1"/>
  <c r="U176" i="1"/>
  <c r="U179" i="1"/>
  <c r="U182" i="1"/>
  <c r="U185" i="1"/>
  <c r="U188" i="1"/>
  <c r="U191" i="1"/>
  <c r="U194" i="1"/>
  <c r="U197" i="1"/>
  <c r="U200" i="1"/>
  <c r="U203" i="1"/>
  <c r="U206" i="1"/>
  <c r="U209" i="1"/>
  <c r="U212" i="1"/>
  <c r="U215" i="1"/>
  <c r="U218" i="1"/>
  <c r="U221" i="1"/>
  <c r="U224" i="1"/>
  <c r="U227" i="1"/>
  <c r="U230" i="1"/>
  <c r="U233" i="1"/>
  <c r="U236" i="1"/>
  <c r="U239" i="1"/>
  <c r="U242" i="1"/>
  <c r="U245" i="1"/>
  <c r="U248" i="1"/>
  <c r="U251" i="1"/>
  <c r="U254" i="1"/>
  <c r="U257" i="1"/>
  <c r="U260" i="1"/>
  <c r="U266" i="1"/>
  <c r="U265" i="1" s="1"/>
  <c r="U264" i="1" s="1"/>
  <c r="U263" i="1" s="1"/>
  <c r="U269" i="1"/>
  <c r="U272" i="1"/>
  <c r="U275" i="1"/>
  <c r="U278" i="1"/>
  <c r="U281" i="1"/>
  <c r="U284" i="1"/>
  <c r="U287" i="1"/>
  <c r="U290" i="1"/>
  <c r="U299" i="1"/>
  <c r="U302" i="1"/>
  <c r="U305" i="1"/>
  <c r="U308" i="1"/>
  <c r="U311" i="1"/>
  <c r="U314" i="1"/>
  <c r="U317" i="1"/>
  <c r="U320" i="1"/>
  <c r="U323" i="1"/>
  <c r="U326" i="1"/>
  <c r="U329" i="1"/>
  <c r="U332" i="1"/>
  <c r="U335" i="1"/>
  <c r="U338" i="1"/>
  <c r="U341" i="1"/>
  <c r="U344" i="1"/>
  <c r="U347" i="1"/>
  <c r="U350" i="1"/>
  <c r="U353" i="1"/>
  <c r="U356" i="1"/>
  <c r="U359" i="1"/>
  <c r="U362" i="1"/>
  <c r="U365" i="1"/>
  <c r="M264" i="1"/>
  <c r="N264" i="1"/>
  <c r="O264" i="1"/>
  <c r="M265" i="1"/>
  <c r="N265" i="1"/>
  <c r="O265" i="1"/>
  <c r="N263" i="1"/>
  <c r="E261" i="1"/>
  <c r="E262" i="1"/>
  <c r="E260" i="1"/>
  <c r="D264" i="1"/>
  <c r="E264" i="1"/>
  <c r="F264" i="1"/>
  <c r="G264" i="1"/>
  <c r="H264" i="1"/>
  <c r="I264" i="1"/>
  <c r="J264" i="1"/>
  <c r="K264" i="1"/>
  <c r="L264" i="1"/>
  <c r="D265" i="1"/>
  <c r="E265" i="1"/>
  <c r="F265" i="1"/>
  <c r="G265" i="1"/>
  <c r="H265" i="1"/>
  <c r="I265" i="1"/>
  <c r="J265" i="1"/>
  <c r="K265" i="1"/>
  <c r="L265" i="1"/>
  <c r="L263" i="1"/>
  <c r="M263" i="1"/>
  <c r="H263" i="1"/>
  <c r="I263" i="1"/>
  <c r="J263" i="1"/>
  <c r="K263" i="1"/>
  <c r="E263" i="1"/>
  <c r="F263" i="1"/>
  <c r="G263" i="1"/>
  <c r="D263" i="1"/>
  <c r="Q260" i="1"/>
  <c r="Q261" i="1" s="1"/>
  <c r="Q262" i="1" s="1"/>
  <c r="Q263" i="1" s="1"/>
  <c r="Q264" i="1" s="1"/>
  <c r="Q26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622D87-E013-402E-AB85-4C70F7C512B9}" keepAlive="1" name="Query - Cpi" description="Connection to the 'Cpi' query in the workbook." type="5" refreshedVersion="8" background="1" saveData="1">
    <dbPr connection="Provider=Microsoft.Mashup.OleDb.1;Data Source=$Workbook$;Location=Cpi;Extended Properties=&quot;&quot;" command="SELECT * FROM [Cpi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<sst xmlns="http://schemas.openxmlformats.org/spreadsheetml/2006/main" count="31317" uniqueCount="89">
  <si>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</si>
  <si>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</si>
  <si>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</si>
  <si>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</si>
  <si>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</si>
  <si>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</si>
  <si>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</si>
  <si>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</si>
  <si>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</si>
  <si>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</si>
  <si>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</si>
  <si>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</si>
  <si>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</si>
  <si>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</si>
  <si>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</si>
  <si>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</si>
  <si>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</si>
  <si>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</si>
  <si>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</si>
  <si>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</si>
  <si>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</si>
  <si>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</si>
  <si>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</si>
  <si>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</si>
  <si>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</si>
  <si>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</si>
  <si>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</si>
  <si>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</si>
  <si>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</si>
  <si>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</si>
  <si>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</si>
  <si>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</si>
  <si>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</si>
  <si>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</si>
  <si>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</si>
  <si>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</si>
  <si>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</si>
  <si>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</si>
  <si>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</si>
  <si>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</si>
  <si>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</si>
  <si>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</si>
  <si>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</si>
  <si>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</si>
  <si>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</si>
  <si>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</si>
  <si>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</si>
  <si>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</si>
  <si>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</si>
  <si>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Food</t>
  </si>
  <si>
    <t>Tobacco</t>
  </si>
  <si>
    <t>Column1</t>
  </si>
  <si>
    <t>Attribute</t>
  </si>
  <si>
    <t>Value</t>
  </si>
  <si>
    <t>Row Labels</t>
  </si>
  <si>
    <t>Grand Total</t>
  </si>
  <si>
    <t>(All)</t>
  </si>
  <si>
    <t>Sum of Value</t>
  </si>
  <si>
    <t>(Multiple Items)</t>
  </si>
  <si>
    <t>Average of Value</t>
  </si>
  <si>
    <t>MOM%</t>
  </si>
  <si>
    <t>%Change</t>
  </si>
  <si>
    <t>Highest</t>
  </si>
  <si>
    <t>Lowest</t>
  </si>
  <si>
    <t>June-22</t>
  </si>
  <si>
    <t>Absolute Change</t>
  </si>
  <si>
    <t>after covid</t>
  </si>
  <si>
    <t>Before coivd</t>
  </si>
  <si>
    <t>inflation rate</t>
  </si>
  <si>
    <t>supply chain crunches and the 2022 energy crisis from the Ukraine war.</t>
  </si>
  <si>
    <t>supply chains healed , and commodity and oil prices cooled down</t>
  </si>
  <si>
    <t>&gt;Between 2017 and 2022, global inflation rose due to pandemic disruptions</t>
  </si>
  <si>
    <t>&gt;in 2023 inflation dropped because central banks hiked interest rates,</t>
  </si>
  <si>
    <t>Crude Oil Price</t>
  </si>
  <si>
    <t>MoM % Change</t>
  </si>
  <si>
    <t>—</t>
  </si>
  <si>
    <t>Column2</t>
  </si>
  <si>
    <t>Column3</t>
  </si>
  <si>
    <t>Column4</t>
  </si>
  <si>
    <t>Column5</t>
  </si>
  <si>
    <t>Rank</t>
  </si>
  <si>
    <t>CPI Category</t>
  </si>
  <si>
    <t>CORREL with Crude Oil</t>
  </si>
  <si>
    <t>Strength</t>
  </si>
  <si>
    <t>Moderate</t>
  </si>
  <si>
    <t>Weak</t>
  </si>
  <si>
    <t>Very Weak</t>
  </si>
  <si>
    <t>this is the highest correlation</t>
  </si>
  <si>
    <t>meat and fish this is the highest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</si>
</sst>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35" borderId="0" xfId="0" applyFill="1"/>
    <xf numFmtId="0" fontId="0" fillId="0" borderId="10" xfId="0" applyBorder="1"/>
    <xf numFmtId="0" fontId="0" fillId="0" borderId="10" xfId="0" applyBorder="1" applyAlignment="1">
      <alignment horizontal="left" indent="2"/>
    </xf>
    <xf numFmtId="10" fontId="0" fillId="0" borderId="10" xfId="1" applyNumberFormat="1" applyFont="1" applyBorder="1"/>
    <xf numFmtId="10" fontId="0" fillId="0" borderId="10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34" borderId="10" xfId="0" applyFill="1" applyBorder="1"/>
    <xf numFmtId="0" fontId="18" fillId="36" borderId="10" xfId="0" applyFont="1" applyFill="1" applyBorder="1"/>
    <xf numFmtId="0" fontId="0" fillId="37" borderId="10" xfId="0" applyFill="1" applyBorder="1" applyAlignment="1">
      <alignment horizontal="left" indent="2"/>
    </xf>
    <xf numFmtId="0" fontId="0" fillId="37" borderId="10" xfId="0" applyFill="1" applyBorder="1"/>
    <xf numFmtId="10" fontId="0" fillId="37" borderId="10" xfId="1" applyNumberFormat="1" applyFont="1" applyFill="1" applyBorder="1"/>
    <xf numFmtId="0" fontId="0" fillId="35" borderId="10" xfId="0" applyFill="1" applyBorder="1" applyAlignment="1">
      <alignment horizontal="left" indent="2"/>
    </xf>
    <xf numFmtId="0" fontId="0" fillId="35" borderId="10" xfId="0" applyFill="1" applyBorder="1"/>
    <xf numFmtId="10" fontId="0" fillId="35" borderId="10" xfId="1" applyNumberFormat="1" applyFont="1" applyFill="1" applyBorder="1"/>
    <xf numFmtId="0" fontId="0" fillId="37" borderId="0" xfId="0" applyFill="1"/>
    <xf numFmtId="0" fontId="0" fillId="38" borderId="10" xfId="0" applyFill="1" applyBorder="1" applyAlignment="1">
      <alignment horizontal="left" indent="2"/>
    </xf>
    <xf numFmtId="10" fontId="0" fillId="39" borderId="10" xfId="1" applyNumberFormat="1" applyFont="1" applyFill="1" applyBorder="1"/>
    <xf numFmtId="10" fontId="0" fillId="39" borderId="10" xfId="0" applyNumberFormat="1" applyFill="1" applyBorder="1"/>
    <xf numFmtId="0" fontId="16" fillId="0" borderId="10" xfId="0" applyFont="1" applyBorder="1"/>
    <xf numFmtId="17" fontId="16" fillId="36" borderId="10" xfId="0" applyNumberFormat="1" applyFont="1" applyFill="1" applyBorder="1"/>
    <xf numFmtId="0" fontId="16" fillId="36" borderId="10" xfId="0" applyFont="1" applyFill="1" applyBorder="1"/>
    <xf numFmtId="0" fontId="16" fillId="33" borderId="10" xfId="0" applyFont="1" applyFill="1" applyBorder="1"/>
    <xf numFmtId="0" fontId="16" fillId="0" borderId="10" xfId="0" applyFont="1" applyBorder="1" applyAlignment="1">
      <alignment horizontal="left"/>
    </xf>
    <xf numFmtId="0" fontId="16" fillId="33" borderId="10" xfId="0" applyFont="1" applyFill="1" applyBorder="1" applyAlignment="1">
      <alignment horizontal="left"/>
    </xf>
    <xf numFmtId="10" fontId="16" fillId="33" borderId="10" xfId="0" applyNumberFormat="1" applyFont="1" applyFill="1" applyBorder="1"/>
    <xf numFmtId="10" fontId="16" fillId="36" borderId="10" xfId="1" applyNumberFormat="1" applyFont="1" applyFill="1" applyBorder="1"/>
    <xf numFmtId="10" fontId="0" fillId="36" borderId="10" xfId="1" applyNumberFormat="1" applyFont="1" applyFill="1" applyBorder="1"/>
    <xf numFmtId="10" fontId="0" fillId="36" borderId="10" xfId="0" applyNumberFormat="1" applyFill="1" applyBorder="1"/>
    <xf numFmtId="0" fontId="0" fillId="40" borderId="0" xfId="0" applyFill="1"/>
    <xf numFmtId="0" fontId="0" fillId="34" borderId="0" xfId="0" applyFill="1"/>
    <xf numFmtId="0" fontId="0" fillId="41" borderId="0" xfId="0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16" fillId="0" borderId="0" xfId="0" applyFont="1" applyAlignment="1">
      <alignment horizontal="center" vertical="center"/>
    </xf>
    <xf numFmtId="17" fontId="0" fillId="0" borderId="0" xfId="0" applyNumberFormat="1" applyAlignment="1">
      <alignment vertical="center"/>
    </xf>
    <xf numFmtId="0" fontId="16" fillId="0" borderId="0" xfId="0" applyFont="1" applyAlignment="1">
      <alignment vertical="center" wrapText="1"/>
    </xf>
    <xf numFmtId="0" fontId="16" fillId="42" borderId="0" xfId="0" applyFont="1" applyFill="1" applyAlignment="1">
      <alignment vertical="center" wrapText="1"/>
    </xf>
    <xf numFmtId="0" fontId="16" fillId="43" borderId="0" xfId="0" applyFont="1" applyFill="1" applyAlignment="1">
      <alignment vertical="center" wrapText="1"/>
    </xf>
    <xf numFmtId="0" fontId="0" fillId="44" borderId="0" xfId="0" applyFill="1" applyAlignment="1">
      <alignment horizontal="right" vertical="center" wrapText="1"/>
    </xf>
    <xf numFmtId="0" fontId="16" fillId="44" borderId="0" xfId="0" applyFont="1" applyFill="1" applyAlignment="1">
      <alignment vertical="center" wrapText="1"/>
    </xf>
    <xf numFmtId="0" fontId="20" fillId="44" borderId="0" xfId="0" applyFont="1" applyFill="1"/>
    <xf numFmtId="0" fontId="21" fillId="44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2" formatCode="mmm/yy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1.xlsx]Q1!PivotTable6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9C-46C3-97B8-6DE6FBDD7A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E9C-46C3-97B8-6DE6FBDD7A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E9C-46C3-97B8-6DE6FBDD7A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E9C-46C3-97B8-6DE6FBDD7A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E9C-46C3-97B8-6DE6FBDD7A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E9C-46C3-97B8-6DE6FBDD7A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E9C-46C3-97B8-6DE6FBDD7A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E9C-46C3-97B8-6DE6FBDD7A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E9C-46C3-97B8-6DE6FBDD7A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E9C-46C3-97B8-6DE6FBDD7A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'Q1'!$A$5:$A$15</c:f>
              <c:strCache>
                <c:ptCount val="10"/>
                <c:pt idx="0">
                  <c:v>Clothing and footwear</c:v>
                </c:pt>
                <c:pt idx="1">
                  <c:v>Education</c:v>
                </c:pt>
                <c:pt idx="2">
                  <c:v>Food</c:v>
                </c:pt>
                <c:pt idx="3">
                  <c:v>Fuel and light</c:v>
                </c:pt>
                <c:pt idx="4">
                  <c:v>Health</c:v>
                </c:pt>
                <c:pt idx="5">
                  <c:v>Housing</c:v>
                </c:pt>
                <c:pt idx="6">
                  <c:v>Miscellaneous</c:v>
                </c:pt>
                <c:pt idx="7">
                  <c:v>Recreation and amusement</c:v>
                </c:pt>
                <c:pt idx="8">
                  <c:v>Tobacco</c:v>
                </c:pt>
                <c:pt idx="9">
                  <c:v>Transport and communication</c:v>
                </c:pt>
              </c:strCache>
            </c:strRef>
          </c:cat>
          <c:val>
            <c:numRef>
              <c:f>'Q1'!$B$5:$B$15</c:f>
              <c:numCache>
                <c:formatCode>0.00%</c:formatCode>
                <c:ptCount val="10"/>
                <c:pt idx="0">
                  <c:v>0.11974684829021102</c:v>
                </c:pt>
                <c:pt idx="1">
                  <c:v>3.8581712471273948E-2</c:v>
                </c:pt>
                <c:pt idx="2">
                  <c:v>0.50258443827433463</c:v>
                </c:pt>
                <c:pt idx="3">
                  <c:v>3.9777876048455493E-2</c:v>
                </c:pt>
                <c:pt idx="4">
                  <c:v>4.0285339384229485E-2</c:v>
                </c:pt>
                <c:pt idx="5">
                  <c:v>2.5460160503403623E-2</c:v>
                </c:pt>
                <c:pt idx="6">
                  <c:v>7.6257240414380062E-2</c:v>
                </c:pt>
                <c:pt idx="7">
                  <c:v>7.7562146134941751E-2</c:v>
                </c:pt>
                <c:pt idx="8">
                  <c:v>4.3866580639548784E-2</c:v>
                </c:pt>
                <c:pt idx="9">
                  <c:v>3.5877657839221117E-2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E-4ED7-B9B5-FF48EE1E56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1.xlsx]Q2!PivotTable9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Y-O-Y trends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'Q2'!$A$4:$A$18</c:f>
              <c:multiLvlStrCache>
                <c:ptCount val="7"/>
                <c:lvl>
                  <c:pt idx="0">
                    <c:v>Rural+Urban</c:v>
                  </c:pt>
                  <c:pt idx="1">
                    <c:v>Rural+Urban</c:v>
                  </c:pt>
                  <c:pt idx="2">
                    <c:v>Rural+Urban</c:v>
                  </c:pt>
                  <c:pt idx="3">
                    <c:v>Rural+Urban</c:v>
                  </c:pt>
                  <c:pt idx="4">
                    <c:v>Rural+Urban</c:v>
                  </c:pt>
                  <c:pt idx="5">
                    <c:v>Rural+Urban</c:v>
                  </c:pt>
                  <c:pt idx="6">
                    <c:v>Rural+Urban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'Q2'!$B$4:$B$18</c:f>
              <c:numCache>
                <c:formatCode>0.00%</c:formatCode>
                <c:ptCount val="7"/>
                <c:pt idx="0">
                  <c:v>0.14131078348516779</c:v>
                </c:pt>
                <c:pt idx="1">
                  <c:v>0.14602846629537664</c:v>
                </c:pt>
                <c:pt idx="2">
                  <c:v>0.13872733722277894</c:v>
                </c:pt>
                <c:pt idx="3">
                  <c:v>0.14134184238100764</c:v>
                </c:pt>
                <c:pt idx="4">
                  <c:v>0.17159614935078746</c:v>
                </c:pt>
                <c:pt idx="5">
                  <c:v>0.18255863183929141</c:v>
                </c:pt>
                <c:pt idx="6">
                  <c:v>7.8436789425590236E-2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F-430A-A410-92AD44C202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846041071"/>
        <c:axId val="1691040335"/>
      </c:lineChart>
      <c:catAx>
        <c:axId val="184604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Rural+Urban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040335"/>
        <c:crosses val="autoZero"/>
        <c:auto val="1"/>
        <c:lblAlgn val="ctr"/>
        <c:lblOffset val="100"/>
        <c:noMultiLvlLbl val="0"/>
      </c:catAx>
      <c:valAx>
        <c:axId val="1691040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Inflatiion 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041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73471210289586"/>
          <c:y val="1.4258877687018095E-2"/>
          <c:w val="0.90181517258796262"/>
          <c:h val="0.86109185441941072"/>
        </c:manualLayout>
      </c:layout>
      <c:lineChart>
        <c:grouping val="standard"/>
        <c:varyColors val="0"/>
        <c:ser>
          <c:idx val="0"/>
          <c:order val="0"/>
          <c:tx>
            <c:strRef>
              <c:f>'Q3.1'!$G$7</c:f>
              <c:strCache>
                <c:ptCount val="1"/>
                <c:pt idx="0">
                  <c:v>%Change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'Q3.1'!$F$8:$F$19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'Q3.1'!$G$8:$G$19</c:f>
              <c:numCache>
                <c:formatCode>0.00%</c:formatCode>
                <c:ptCount val="12"/>
                <c:pt idx="0">
                  <c:v>1.0374708304225964E-2</c:v>
                </c:pt>
                <c:pt idx="1">
                  <c:v>1.8682789767130823E-3</c:v>
                </c:pt>
                <c:pt idx="2">
                  <c:v>1.218724304005644E-3</c:v>
                </c:pt>
                <c:pt idx="3">
                  <c:v>5.3382609588334901E-3</c:v>
                </c:pt>
                <c:pt idx="4">
                  <c:v>7.1479628305932356E-3</c:v>
                </c:pt>
                <c:pt idx="5">
                  <c:v>-7.5317564925185109E-4</c:v>
                </c:pt>
                <c:pt idx="6">
                  <c:v>-6.1748974474194335E-3</c:v>
                </c:pt>
                <c:pt idx="7">
                  <c:v>4.3463675743479696E-3</c:v>
                </c:pt>
                <c:pt idx="8">
                  <c:v>-5.5328850873501709E-3</c:v>
                </c:pt>
                <c:pt idx="9">
                  <c:v>5.8411214953554102E-5</c:v>
                </c:pt>
                <c:pt idx="10">
                  <c:v>4.8332457216283221E-3</c:v>
                </c:pt>
                <c:pt idx="11">
                  <c:v>7.4402383201338275E-3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3-47D9-8C0B-465AA6D53D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3357791"/>
        <c:axId val="201710415"/>
      </c:lineChart>
      <c:catAx>
        <c:axId val="70335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10415"/>
        <c:crosses val="autoZero"/>
        <c:auto val="1"/>
        <c:lblAlgn val="ctr"/>
        <c:lblOffset val="100"/>
        <c:noMultiLvlLbl val="0"/>
      </c:catAx>
      <c:valAx>
        <c:axId val="2017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357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3500000" scaled="1"/>
          <a:tileRect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056250529167725E-2"/>
          <c:y val="0.11267555371368054"/>
          <c:w val="0.68965926890187113"/>
          <c:h val="0.816803195653174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'Q3.2'!$G$5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078-49F0-A96F-DB63F14F4CD5}"/>
            </c:ext>
          </c:extLst>
        </c:ser>
        <c:ser>
          <c:idx val="1"/>
          <c:order val="1"/>
          <c:tx>
            <c:strRef>
              <c:f>'Q3.2'!$G$6</c:f>
              <c:strCache>
                <c:ptCount val="1"/>
                <c:pt idx="0">
                  <c:v>Cereals and products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'Q3.2'!$H$6</c:f>
              <c:numCache>
                <c:formatCode>General</c:formatCode>
                <c:ptCount val="1"/>
                <c:pt idx="0">
                  <c:v>18.43333333333365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8-49F0-A96F-DB63F14F4CD5}"/>
            </c:ext>
          </c:extLst>
        </c:ser>
        <c:ser>
          <c:idx val="2"/>
          <c:order val="2"/>
          <c:tx>
            <c:strRef>
              <c:f>'Q3.2'!$G$7</c:f>
              <c:strCache>
                <c:ptCount val="1"/>
                <c:pt idx="0">
                  <c:v>Egg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'Q3.2'!$H$7</c:f>
              <c:numCache>
                <c:formatCode>General</c:formatCode>
                <c:ptCount val="1"/>
                <c:pt idx="0">
                  <c:v>18.199999999999989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78-49F0-A96F-DB63F14F4CD5}"/>
            </c:ext>
          </c:extLst>
        </c:ser>
        <c:ser>
          <c:idx val="3"/>
          <c:order val="3"/>
          <c:tx>
            <c:strRef>
              <c:f>'Q3.2'!$G$8</c:f>
              <c:strCache>
                <c:ptCount val="1"/>
                <c:pt idx="0">
                  <c:v>Food and beverages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'Q3.2'!$H$8</c:f>
              <c:numCache>
                <c:formatCode>General</c:formatCode>
                <c:ptCount val="1"/>
                <c:pt idx="0">
                  <c:v>24.23333333333332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78-49F0-A96F-DB63F14F4CD5}"/>
            </c:ext>
          </c:extLst>
        </c:ser>
        <c:ser>
          <c:idx val="4"/>
          <c:order val="4"/>
          <c:tx>
            <c:strRef>
              <c:f>'Q3.2'!$G$9</c:f>
              <c:strCache>
                <c:ptCount val="1"/>
                <c:pt idx="0">
                  <c:v>Fruits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'Q3.2'!$H$9</c:f>
              <c:numCache>
                <c:formatCode>General</c:formatCode>
                <c:ptCount val="1"/>
                <c:pt idx="0">
                  <c:v>16.900000000000006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78-49F0-A96F-DB63F14F4CD5}"/>
            </c:ext>
          </c:extLst>
        </c:ser>
        <c:ser>
          <c:idx val="5"/>
          <c:order val="5"/>
          <c:tx>
            <c:strRef>
              <c:f>'Q3.2'!$G$10</c:f>
              <c:strCache>
                <c:ptCount val="1"/>
                <c:pt idx="0">
                  <c:v>Meat and fish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'Q3.2'!$H$10</c:f>
              <c:numCache>
                <c:formatCode>General</c:formatCode>
                <c:ptCount val="1"/>
                <c:pt idx="0">
                  <c:v>59.633333333333354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78-49F0-A96F-DB63F14F4CD5}"/>
            </c:ext>
          </c:extLst>
        </c:ser>
        <c:ser>
          <c:idx val="6"/>
          <c:order val="6"/>
          <c:tx>
            <c:strRef>
              <c:f>'Q3.2'!$G$11</c:f>
              <c:strCache>
                <c:ptCount val="1"/>
                <c:pt idx="0">
                  <c:v>Milk and products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'Q3.2'!$H$11</c:f>
              <c:numCache>
                <c:formatCode>General</c:formatCode>
                <c:ptCount val="1"/>
                <c:pt idx="0">
                  <c:v>24.066666666666663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78-49F0-A96F-DB63F14F4CD5}"/>
            </c:ext>
          </c:extLst>
        </c:ser>
        <c:ser>
          <c:idx val="7"/>
          <c:order val="7"/>
          <c:tx>
            <c:strRef>
              <c:f>'Q3.2'!$G$12</c:f>
              <c:strCache>
                <c:ptCount val="1"/>
                <c:pt idx="0">
                  <c:v>Non-alcoholic beverages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'Q3.2'!$H$12</c:f>
              <c:numCache>
                <c:formatCode>General</c:formatCode>
                <c:ptCount val="1"/>
                <c:pt idx="0">
                  <c:v>17.23333333333332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78-49F0-A96F-DB63F14F4CD5}"/>
            </c:ext>
          </c:extLst>
        </c:ser>
        <c:ser>
          <c:idx val="8"/>
          <c:order val="8"/>
          <c:tx>
            <c:strRef>
              <c:f>'Q3.2'!$G$13</c:f>
              <c:strCache>
                <c:ptCount val="1"/>
                <c:pt idx="0">
                  <c:v>Oils and fats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'Q3.2'!$H$13</c:f>
              <c:numCache>
                <c:formatCode>General</c:formatCode>
                <c:ptCount val="1"/>
                <c:pt idx="0">
                  <c:v>13.799999999999983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78-49F0-A96F-DB63F14F4CD5}"/>
            </c:ext>
          </c:extLst>
        </c:ser>
        <c:ser>
          <c:idx val="9"/>
          <c:order val="9"/>
          <c:tx>
            <c:strRef>
              <c:f>'Q3.2'!$G$14</c:f>
              <c:strCache>
                <c:ptCount val="1"/>
                <c:pt idx="0">
                  <c:v>Prepared meals, snacks, sweets etc.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'Q3.2'!$H$14</c:f>
              <c:numCache>
                <c:formatCode>General</c:formatCode>
                <c:ptCount val="1"/>
                <c:pt idx="0">
                  <c:v>38.900000000000006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78-49F0-A96F-DB63F14F4CD5}"/>
            </c:ext>
          </c:extLst>
        </c:ser>
        <c:ser>
          <c:idx val="10"/>
          <c:order val="10"/>
          <c:tx>
            <c:strRef>
              <c:f>'Q3.2'!$G$15</c:f>
              <c:strCache>
                <c:ptCount val="1"/>
                <c:pt idx="0">
                  <c:v>Pulses and products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'Q3.2'!$H$15</c:f>
              <c:numCache>
                <c:formatCode>General</c:formatCode>
                <c:ptCount val="1"/>
                <c:pt idx="0">
                  <c:v>20.366666666666646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78-49F0-A96F-DB63F14F4CD5}"/>
            </c:ext>
          </c:extLst>
        </c:ser>
        <c:ser>
          <c:idx val="11"/>
          <c:order val="11"/>
          <c:tx>
            <c:strRef>
              <c:f>'Q3.2'!$G$16</c:f>
              <c:strCache>
                <c:ptCount val="1"/>
                <c:pt idx="0">
                  <c:v>Spices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'Q3.2'!$H$16</c:f>
              <c:numCache>
                <c:formatCode>General</c:formatCode>
                <c:ptCount val="1"/>
                <c:pt idx="0">
                  <c:v>61.533333333333331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078-49F0-A96F-DB63F14F4CD5}"/>
            </c:ext>
          </c:extLst>
        </c:ser>
        <c:ser>
          <c:idx val="12"/>
          <c:order val="12"/>
          <c:tx>
            <c:strRef>
              <c:f>'Q3.2'!$G$17</c:f>
              <c:strCache>
                <c:ptCount val="1"/>
                <c:pt idx="0">
                  <c:v>Sugar and Confectionery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'Q3.2'!$H$17</c:f>
              <c:numCache>
                <c:formatCode>General</c:formatCode>
                <c:ptCount val="1"/>
                <c:pt idx="0">
                  <c:v>-32.5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78-49F0-A96F-DB63F14F4CD5}"/>
            </c:ext>
          </c:extLst>
        </c:ser>
        <c:ser>
          <c:idx val="13"/>
          <c:order val="13"/>
          <c:tx>
            <c:strRef>
              <c:f>'Q3.2'!$G$18</c:f>
              <c:strCache>
                <c:ptCount val="1"/>
                <c:pt idx="0">
                  <c:v>Vegetables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'Q3.2'!$H$18</c:f>
              <c:numCache>
                <c:formatCode>General</c:formatCode>
                <c:ptCount val="1"/>
                <c:pt idx="0">
                  <c:v>9.4666666666666686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078-49F0-A96F-DB63F14F4CD5}"/>
            </c:ext>
          </c:extLst>
        </c:ser>
        <c:ser>
          <c:idx val="14"/>
          <c:order val="14"/>
          <c:tx>
            <c:strRef>
              <c:f>'Q3.2'!$G$19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'Q3.2'!$H$4</c:f>
              <c:strCache>
                <c:ptCount val="1"/>
                <c:pt idx="0">
                  <c:v>Absolute Change</c:v>
                </c:pt>
              </c:strCache>
            </c:strRef>
          </c:cat>
          <c:val>
            <c:numRef>
              <c:f>'Q3.2'!$H$19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6078-49F0-A96F-DB63F14F4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08953775"/>
        <c:axId val="85407280"/>
      </c:barChart>
      <c:catAx>
        <c:axId val="19089537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7280"/>
        <c:crosses val="autoZero"/>
        <c:auto val="1"/>
        <c:lblAlgn val="ctr"/>
        <c:lblOffset val="100"/>
        <c:noMultiLvlLbl val="0"/>
      </c:catAx>
      <c:valAx>
        <c:axId val="8540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5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171966209141894E-2"/>
          <c:y val="4.1247744263985565E-2"/>
          <c:w val="0.94424984993467742"/>
          <c:h val="0.912043651156134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'Q5.2'!$A$2:$B$28</c15:sqref>
                  </c15:fullRef>
                  <c15:levelRef>
                    <c15:sqref>'Q5.2'!$B$2:$B$28</c15:sqref>
                  </c15:levelRef>
                </c:ext>
              </c:extLst>
              <c:f>'Q5.2'!$B$2:$B$28</c:f>
              <c:strCache>
                <c:ptCount val="27"/>
                <c:pt idx="0">
                  <c:v>Meat and fish</c:v>
                </c:pt>
                <c:pt idx="1">
                  <c:v>Oils and fats</c:v>
                </c:pt>
                <c:pt idx="2">
                  <c:v>Cereals and products</c:v>
                </c:pt>
                <c:pt idx="3">
                  <c:v>Milk and products</c:v>
                </c:pt>
                <c:pt idx="4">
                  <c:v>Egg</c:v>
                </c:pt>
                <c:pt idx="5">
                  <c:v>Sugar and Confectionery</c:v>
                </c:pt>
                <c:pt idx="6">
                  <c:v>Non-alcoholic beverages</c:v>
                </c:pt>
                <c:pt idx="7">
                  <c:v>Pan, tobacco and intoxicants</c:v>
                </c:pt>
                <c:pt idx="8">
                  <c:v>Pulses and products</c:v>
                </c:pt>
                <c:pt idx="9">
                  <c:v>Footwear</c:v>
                </c:pt>
                <c:pt idx="10">
                  <c:v>General index</c:v>
                </c:pt>
                <c:pt idx="11">
                  <c:v>Education</c:v>
                </c:pt>
                <c:pt idx="12">
                  <c:v>Housing</c:v>
                </c:pt>
                <c:pt idx="13">
                  <c:v>Recreation and amusement</c:v>
                </c:pt>
                <c:pt idx="14">
                  <c:v>Food and beverages</c:v>
                </c:pt>
                <c:pt idx="15">
                  <c:v>Fuel and light</c:v>
                </c:pt>
                <c:pt idx="16">
                  <c:v>Spices</c:v>
                </c:pt>
                <c:pt idx="17">
                  <c:v>Transport and communication</c:v>
                </c:pt>
                <c:pt idx="18">
                  <c:v>Clothing and footwear</c:v>
                </c:pt>
                <c:pt idx="19">
                  <c:v>Miscellaneous</c:v>
                </c:pt>
                <c:pt idx="20">
                  <c:v>Vegetables</c:v>
                </c:pt>
                <c:pt idx="21">
                  <c:v>Prepared meals, snacks, sweets etc.</c:v>
                </c:pt>
                <c:pt idx="22">
                  <c:v>Health</c:v>
                </c:pt>
                <c:pt idx="23">
                  <c:v>Clothing</c:v>
                </c:pt>
                <c:pt idx="24">
                  <c:v>Personal care and effects</c:v>
                </c:pt>
                <c:pt idx="25">
                  <c:v>Household goods and services</c:v>
                </c:pt>
                <c:pt idx="26">
                  <c:v>Fruits</c:v>
                </c:pt>
              </c:strCache>
            </c:strRef>
          </c:cat>
          <c:val>
            <c:numRef>
              <c:f>'Q5.2'!$C$2:$C$28</c:f>
              <c:numCache>
                <c:formatCode>General</c:formatCode>
                <c:ptCount val="27"/>
                <c:pt idx="0">
                  <c:v>0.48599999999999999</c:v>
                </c:pt>
                <c:pt idx="1">
                  <c:v>0.33900000000000002</c:v>
                </c:pt>
                <c:pt idx="2">
                  <c:v>-0.29699999999999999</c:v>
                </c:pt>
                <c:pt idx="3">
                  <c:v>-0.251</c:v>
                </c:pt>
                <c:pt idx="4">
                  <c:v>-0.219</c:v>
                </c:pt>
                <c:pt idx="5">
                  <c:v>-0.158</c:v>
                </c:pt>
                <c:pt idx="6">
                  <c:v>0.158</c:v>
                </c:pt>
                <c:pt idx="7">
                  <c:v>0.153</c:v>
                </c:pt>
                <c:pt idx="8">
                  <c:v>-0.152</c:v>
                </c:pt>
                <c:pt idx="9">
                  <c:v>0.14399999999999999</c:v>
                </c:pt>
                <c:pt idx="10">
                  <c:v>0.13300000000000001</c:v>
                </c:pt>
                <c:pt idx="11">
                  <c:v>-0.11899999999999999</c:v>
                </c:pt>
                <c:pt idx="12">
                  <c:v>0.11600000000000001</c:v>
                </c:pt>
                <c:pt idx="13">
                  <c:v>0.114</c:v>
                </c:pt>
                <c:pt idx="14">
                  <c:v>0.112</c:v>
                </c:pt>
                <c:pt idx="15">
                  <c:v>0.109</c:v>
                </c:pt>
                <c:pt idx="16">
                  <c:v>-9.5000000000000001E-2</c:v>
                </c:pt>
                <c:pt idx="17">
                  <c:v>8.5999999999999993E-2</c:v>
                </c:pt>
                <c:pt idx="18">
                  <c:v>8.1000000000000003E-2</c:v>
                </c:pt>
                <c:pt idx="19">
                  <c:v>7.9000000000000001E-2</c:v>
                </c:pt>
                <c:pt idx="20">
                  <c:v>7.0999999999999994E-2</c:v>
                </c:pt>
                <c:pt idx="21">
                  <c:v>6.9000000000000006E-2</c:v>
                </c:pt>
                <c:pt idx="22">
                  <c:v>6.4000000000000001E-2</c:v>
                </c:pt>
                <c:pt idx="23">
                  <c:v>5.0999999999999997E-2</c:v>
                </c:pt>
                <c:pt idx="24">
                  <c:v>3.2000000000000001E-2</c:v>
                </c:pt>
                <c:pt idx="25">
                  <c:v>-2.5000000000000001E-2</c:v>
                </c:pt>
                <c:pt idx="26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B-4B28-B818-A2D10E6CC5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38705712"/>
        <c:axId val="956260304"/>
      </c:barChart>
      <c:catAx>
        <c:axId val="143870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60304"/>
        <c:crosses val="autoZero"/>
        <c:auto val="1"/>
        <c:lblAlgn val="ctr"/>
        <c:lblOffset val="100"/>
        <c:noMultiLvlLbl val="0"/>
      </c:catAx>
      <c:valAx>
        <c:axId val="95626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0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inflation 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inflation %</a:t>
          </a:r>
        </a:p>
      </cx:txPr>
    </cx:title>
    <cx:plotArea>
      <cx:plotAreaRegion>
        <cx:series layoutId="waterfall" uniqueId="{2C3565A0-34CA-4623-A042-4A45815511A7}">
          <cx:tx>
            <cx:txData>
              <cx:f>_xlchart.v1.1</cx:f>
              <cx:v>inflation rate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12</xdr:col>
      <xdr:colOff>297180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32413-21F0-A1A0-BA52-B13A281EB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0</xdr:row>
      <xdr:rowOff>30480</xdr:rowOff>
    </xdr:from>
    <xdr:to>
      <xdr:col>13</xdr:col>
      <xdr:colOff>297180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E3A74-467B-0BE5-D2B2-8193B8C86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0</xdr:row>
      <xdr:rowOff>0</xdr:rowOff>
    </xdr:from>
    <xdr:to>
      <xdr:col>16</xdr:col>
      <xdr:colOff>121920</xdr:colOff>
      <xdr:row>26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2863CB-1557-8807-2D8F-7B7FDBA75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1</xdr:row>
      <xdr:rowOff>53340</xdr:rowOff>
    </xdr:from>
    <xdr:to>
      <xdr:col>20</xdr:col>
      <xdr:colOff>571500</xdr:colOff>
      <xdr:row>25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17E0B7-0BDA-222D-9978-76CDD90DA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114300</xdr:rowOff>
    </xdr:from>
    <xdr:to>
      <xdr:col>15</xdr:col>
      <xdr:colOff>182880</xdr:colOff>
      <xdr:row>26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CAD154A-050C-4C2F-EE0E-D7D3914CB5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7240" y="114300"/>
              <a:ext cx="8107680" cy="480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83820</xdr:rowOff>
    </xdr:from>
    <xdr:to>
      <xdr:col>19</xdr:col>
      <xdr:colOff>388620</xdr:colOff>
      <xdr:row>10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23823-F054-1731-C1C9-AEE05FCE1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6.378079050926" createdVersion="8" refreshedVersion="8" minRefreshableVersion="3" recordCount="10044" xr:uid="{48821528-8E9E-4E97-A616-9C62ADD3B5B8}">
  <cacheSource type="worksheet">
    <worksheetSource name="Cpi_"/>
  </cacheSource>
  <cacheFields count="6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4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  <s v="Marcrh"/>
      </sharedItems>
    </cacheField>
    <cacheField name="Attribute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Buckets" numFmtId="0">
      <sharedItems containsMixedTypes="1" containsNumber="1" containsInteger="1" minValue="0" maxValue="0" count="11">
        <s v="Food"/>
        <s v="Tobacco"/>
        <s v="Clothing and footwear"/>
        <s v="Housing"/>
        <s v="Fuel and light"/>
        <s v="Miscellaneous"/>
        <s v="Health"/>
        <s v="Transport and communication"/>
        <s v="Recreation and amusement"/>
        <s v="Education"/>
        <n v="0"/>
      </sharedItems>
    </cacheField>
    <cacheField name="Value" numFmtId="0">
      <sharedItems containsBlank="1" containsMixedTypes="1" containsNumber="1" minValue="85.3" maxValue="245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4">
  <r>
    <x v="0"/>
    <x v="0"/>
    <x v="0"/>
    <x v="0"/>
    <x v="0"/>
    <n v="107.5"/>
  </r>
  <r>
    <x v="0"/>
    <x v="0"/>
    <x v="0"/>
    <x v="1"/>
    <x v="0"/>
    <n v="106.3"/>
  </r>
  <r>
    <x v="0"/>
    <x v="0"/>
    <x v="0"/>
    <x v="2"/>
    <x v="0"/>
    <n v="108.1"/>
  </r>
  <r>
    <x v="0"/>
    <x v="0"/>
    <x v="0"/>
    <x v="3"/>
    <x v="0"/>
    <n v="104.9"/>
  </r>
  <r>
    <x v="0"/>
    <x v="0"/>
    <x v="0"/>
    <x v="4"/>
    <x v="0"/>
    <n v="106.1"/>
  </r>
  <r>
    <x v="0"/>
    <x v="0"/>
    <x v="0"/>
    <x v="5"/>
    <x v="0"/>
    <n v="103.9"/>
  </r>
  <r>
    <x v="0"/>
    <x v="0"/>
    <x v="0"/>
    <x v="6"/>
    <x v="0"/>
    <n v="101.9"/>
  </r>
  <r>
    <x v="0"/>
    <x v="0"/>
    <x v="0"/>
    <x v="7"/>
    <x v="0"/>
    <n v="106.1"/>
  </r>
  <r>
    <x v="0"/>
    <x v="0"/>
    <x v="0"/>
    <x v="8"/>
    <x v="0"/>
    <n v="106.8"/>
  </r>
  <r>
    <x v="0"/>
    <x v="0"/>
    <x v="0"/>
    <x v="9"/>
    <x v="0"/>
    <n v="103.1"/>
  </r>
  <r>
    <x v="0"/>
    <x v="0"/>
    <x v="0"/>
    <x v="10"/>
    <x v="0"/>
    <n v="104.8"/>
  </r>
  <r>
    <x v="0"/>
    <x v="0"/>
    <x v="0"/>
    <x v="11"/>
    <x v="0"/>
    <n v="106.7"/>
  </r>
  <r>
    <x v="0"/>
    <x v="0"/>
    <x v="0"/>
    <x v="12"/>
    <x v="0"/>
    <n v="105.5"/>
  </r>
  <r>
    <x v="0"/>
    <x v="0"/>
    <x v="0"/>
    <x v="13"/>
    <x v="1"/>
    <n v="105.1"/>
  </r>
  <r>
    <x v="0"/>
    <x v="0"/>
    <x v="0"/>
    <x v="14"/>
    <x v="2"/>
    <n v="106.5"/>
  </r>
  <r>
    <x v="0"/>
    <x v="0"/>
    <x v="0"/>
    <x v="15"/>
    <x v="2"/>
    <n v="105.8"/>
  </r>
  <r>
    <x v="0"/>
    <x v="0"/>
    <x v="0"/>
    <x v="16"/>
    <x v="2"/>
    <n v="106.4"/>
  </r>
  <r>
    <x v="0"/>
    <x v="0"/>
    <x v="0"/>
    <x v="17"/>
    <x v="3"/>
    <s v="NA"/>
  </r>
  <r>
    <x v="0"/>
    <x v="0"/>
    <x v="0"/>
    <x v="18"/>
    <x v="4"/>
    <n v="105.5"/>
  </r>
  <r>
    <x v="0"/>
    <x v="0"/>
    <x v="0"/>
    <x v="19"/>
    <x v="5"/>
    <n v="104.8"/>
  </r>
  <r>
    <x v="0"/>
    <x v="0"/>
    <x v="0"/>
    <x v="20"/>
    <x v="6"/>
    <n v="104"/>
  </r>
  <r>
    <x v="0"/>
    <x v="0"/>
    <x v="0"/>
    <x v="21"/>
    <x v="7"/>
    <n v="103.3"/>
  </r>
  <r>
    <x v="0"/>
    <x v="0"/>
    <x v="0"/>
    <x v="22"/>
    <x v="8"/>
    <n v="103.4"/>
  </r>
  <r>
    <x v="0"/>
    <x v="0"/>
    <x v="0"/>
    <x v="23"/>
    <x v="9"/>
    <n v="103.8"/>
  </r>
  <r>
    <x v="0"/>
    <x v="0"/>
    <x v="0"/>
    <x v="24"/>
    <x v="8"/>
    <n v="104.7"/>
  </r>
  <r>
    <x v="0"/>
    <x v="0"/>
    <x v="0"/>
    <x v="25"/>
    <x v="5"/>
    <n v="104"/>
  </r>
  <r>
    <x v="0"/>
    <x v="0"/>
    <x v="0"/>
    <x v="26"/>
    <x v="10"/>
    <n v="105.1"/>
  </r>
  <r>
    <x v="1"/>
    <x v="0"/>
    <x v="0"/>
    <x v="0"/>
    <x v="0"/>
    <n v="110.5"/>
  </r>
  <r>
    <x v="1"/>
    <x v="0"/>
    <x v="0"/>
    <x v="1"/>
    <x v="0"/>
    <n v="109.1"/>
  </r>
  <r>
    <x v="1"/>
    <x v="0"/>
    <x v="0"/>
    <x v="2"/>
    <x v="0"/>
    <n v="113"/>
  </r>
  <r>
    <x v="1"/>
    <x v="0"/>
    <x v="0"/>
    <x v="3"/>
    <x v="0"/>
    <n v="103.6"/>
  </r>
  <r>
    <x v="1"/>
    <x v="0"/>
    <x v="0"/>
    <x v="4"/>
    <x v="0"/>
    <n v="103.4"/>
  </r>
  <r>
    <x v="1"/>
    <x v="0"/>
    <x v="0"/>
    <x v="5"/>
    <x v="0"/>
    <n v="102.3"/>
  </r>
  <r>
    <x v="1"/>
    <x v="0"/>
    <x v="0"/>
    <x v="6"/>
    <x v="0"/>
    <n v="102.9"/>
  </r>
  <r>
    <x v="1"/>
    <x v="0"/>
    <x v="0"/>
    <x v="7"/>
    <x v="0"/>
    <n v="105.8"/>
  </r>
  <r>
    <x v="1"/>
    <x v="0"/>
    <x v="0"/>
    <x v="8"/>
    <x v="0"/>
    <n v="105.1"/>
  </r>
  <r>
    <x v="1"/>
    <x v="0"/>
    <x v="0"/>
    <x v="9"/>
    <x v="0"/>
    <n v="101.8"/>
  </r>
  <r>
    <x v="1"/>
    <x v="0"/>
    <x v="0"/>
    <x v="10"/>
    <x v="0"/>
    <n v="105.1"/>
  </r>
  <r>
    <x v="1"/>
    <x v="0"/>
    <x v="0"/>
    <x v="11"/>
    <x v="0"/>
    <n v="107.9"/>
  </r>
  <r>
    <x v="1"/>
    <x v="0"/>
    <x v="0"/>
    <x v="12"/>
    <x v="0"/>
    <n v="105.9"/>
  </r>
  <r>
    <x v="1"/>
    <x v="0"/>
    <x v="0"/>
    <x v="13"/>
    <x v="1"/>
    <n v="105.2"/>
  </r>
  <r>
    <x v="1"/>
    <x v="0"/>
    <x v="0"/>
    <x v="14"/>
    <x v="2"/>
    <n v="105.9"/>
  </r>
  <r>
    <x v="1"/>
    <x v="0"/>
    <x v="0"/>
    <x v="15"/>
    <x v="2"/>
    <n v="105"/>
  </r>
  <r>
    <x v="1"/>
    <x v="0"/>
    <x v="0"/>
    <x v="16"/>
    <x v="2"/>
    <n v="105.8"/>
  </r>
  <r>
    <x v="1"/>
    <x v="0"/>
    <x v="0"/>
    <x v="17"/>
    <x v="3"/>
    <n v="100.3"/>
  </r>
  <r>
    <x v="1"/>
    <x v="0"/>
    <x v="0"/>
    <x v="18"/>
    <x v="4"/>
    <n v="105.4"/>
  </r>
  <r>
    <x v="1"/>
    <x v="0"/>
    <x v="0"/>
    <x v="19"/>
    <x v="5"/>
    <n v="104.8"/>
  </r>
  <r>
    <x v="1"/>
    <x v="0"/>
    <x v="0"/>
    <x v="20"/>
    <x v="6"/>
    <n v="104.1"/>
  </r>
  <r>
    <x v="1"/>
    <x v="0"/>
    <x v="0"/>
    <x v="21"/>
    <x v="7"/>
    <n v="103.2"/>
  </r>
  <r>
    <x v="1"/>
    <x v="0"/>
    <x v="0"/>
    <x v="22"/>
    <x v="8"/>
    <n v="102.9"/>
  </r>
  <r>
    <x v="1"/>
    <x v="0"/>
    <x v="0"/>
    <x v="23"/>
    <x v="9"/>
    <n v="103.5"/>
  </r>
  <r>
    <x v="1"/>
    <x v="0"/>
    <x v="0"/>
    <x v="24"/>
    <x v="8"/>
    <n v="104.3"/>
  </r>
  <r>
    <x v="1"/>
    <x v="0"/>
    <x v="0"/>
    <x v="25"/>
    <x v="5"/>
    <n v="103.7"/>
  </r>
  <r>
    <x v="1"/>
    <x v="0"/>
    <x v="0"/>
    <x v="26"/>
    <x v="10"/>
    <n v="104"/>
  </r>
  <r>
    <x v="2"/>
    <x v="0"/>
    <x v="0"/>
    <x v="0"/>
    <x v="0"/>
    <n v="108.4"/>
  </r>
  <r>
    <x v="2"/>
    <x v="0"/>
    <x v="0"/>
    <x v="1"/>
    <x v="0"/>
    <n v="107.3"/>
  </r>
  <r>
    <x v="2"/>
    <x v="0"/>
    <x v="0"/>
    <x v="2"/>
    <x v="0"/>
    <n v="110"/>
  </r>
  <r>
    <x v="2"/>
    <x v="0"/>
    <x v="0"/>
    <x v="3"/>
    <x v="0"/>
    <n v="104.4"/>
  </r>
  <r>
    <x v="2"/>
    <x v="0"/>
    <x v="0"/>
    <x v="4"/>
    <x v="0"/>
    <n v="105.1"/>
  </r>
  <r>
    <x v="2"/>
    <x v="0"/>
    <x v="0"/>
    <x v="5"/>
    <x v="0"/>
    <n v="103.2"/>
  </r>
  <r>
    <x v="2"/>
    <x v="0"/>
    <x v="0"/>
    <x v="6"/>
    <x v="0"/>
    <n v="102.2"/>
  </r>
  <r>
    <x v="2"/>
    <x v="0"/>
    <x v="0"/>
    <x v="7"/>
    <x v="0"/>
    <n v="106"/>
  </r>
  <r>
    <x v="2"/>
    <x v="0"/>
    <x v="0"/>
    <x v="8"/>
    <x v="0"/>
    <n v="106.2"/>
  </r>
  <r>
    <x v="2"/>
    <x v="0"/>
    <x v="0"/>
    <x v="9"/>
    <x v="0"/>
    <n v="102.7"/>
  </r>
  <r>
    <x v="2"/>
    <x v="0"/>
    <x v="0"/>
    <x v="10"/>
    <x v="0"/>
    <n v="104.9"/>
  </r>
  <r>
    <x v="2"/>
    <x v="0"/>
    <x v="0"/>
    <x v="11"/>
    <x v="0"/>
    <n v="107.3"/>
  </r>
  <r>
    <x v="2"/>
    <x v="0"/>
    <x v="0"/>
    <x v="12"/>
    <x v="0"/>
    <n v="105.6"/>
  </r>
  <r>
    <x v="2"/>
    <x v="0"/>
    <x v="0"/>
    <x v="13"/>
    <x v="1"/>
    <n v="105.1"/>
  </r>
  <r>
    <x v="2"/>
    <x v="0"/>
    <x v="0"/>
    <x v="14"/>
    <x v="2"/>
    <n v="106.3"/>
  </r>
  <r>
    <x v="2"/>
    <x v="0"/>
    <x v="0"/>
    <x v="15"/>
    <x v="2"/>
    <n v="105.5"/>
  </r>
  <r>
    <x v="2"/>
    <x v="0"/>
    <x v="0"/>
    <x v="16"/>
    <x v="2"/>
    <n v="106.2"/>
  </r>
  <r>
    <x v="2"/>
    <x v="0"/>
    <x v="0"/>
    <x v="17"/>
    <x v="3"/>
    <n v="100.3"/>
  </r>
  <r>
    <x v="2"/>
    <x v="0"/>
    <x v="0"/>
    <x v="18"/>
    <x v="4"/>
    <n v="105.5"/>
  </r>
  <r>
    <x v="2"/>
    <x v="0"/>
    <x v="0"/>
    <x v="19"/>
    <x v="5"/>
    <n v="104.8"/>
  </r>
  <r>
    <x v="2"/>
    <x v="0"/>
    <x v="0"/>
    <x v="20"/>
    <x v="6"/>
    <n v="104"/>
  </r>
  <r>
    <x v="2"/>
    <x v="0"/>
    <x v="0"/>
    <x v="21"/>
    <x v="7"/>
    <n v="103.2"/>
  </r>
  <r>
    <x v="2"/>
    <x v="0"/>
    <x v="0"/>
    <x v="22"/>
    <x v="8"/>
    <n v="103.1"/>
  </r>
  <r>
    <x v="2"/>
    <x v="0"/>
    <x v="0"/>
    <x v="23"/>
    <x v="9"/>
    <n v="103.6"/>
  </r>
  <r>
    <x v="2"/>
    <x v="0"/>
    <x v="0"/>
    <x v="24"/>
    <x v="8"/>
    <n v="104.5"/>
  </r>
  <r>
    <x v="2"/>
    <x v="0"/>
    <x v="0"/>
    <x v="25"/>
    <x v="5"/>
    <n v="103.9"/>
  </r>
  <r>
    <x v="2"/>
    <x v="0"/>
    <x v="0"/>
    <x v="26"/>
    <x v="10"/>
    <n v="104.6"/>
  </r>
  <r>
    <x v="0"/>
    <x v="0"/>
    <x v="1"/>
    <x v="0"/>
    <x v="0"/>
    <n v="109.2"/>
  </r>
  <r>
    <x v="0"/>
    <x v="0"/>
    <x v="1"/>
    <x v="1"/>
    <x v="0"/>
    <n v="108.7"/>
  </r>
  <r>
    <x v="0"/>
    <x v="0"/>
    <x v="1"/>
    <x v="2"/>
    <x v="0"/>
    <n v="110.2"/>
  </r>
  <r>
    <x v="0"/>
    <x v="0"/>
    <x v="1"/>
    <x v="3"/>
    <x v="0"/>
    <n v="105.4"/>
  </r>
  <r>
    <x v="0"/>
    <x v="0"/>
    <x v="1"/>
    <x v="4"/>
    <x v="0"/>
    <n v="106.7"/>
  </r>
  <r>
    <x v="0"/>
    <x v="0"/>
    <x v="1"/>
    <x v="5"/>
    <x v="0"/>
    <n v="104"/>
  </r>
  <r>
    <x v="0"/>
    <x v="0"/>
    <x v="1"/>
    <x v="6"/>
    <x v="0"/>
    <n v="102.4"/>
  </r>
  <r>
    <x v="0"/>
    <x v="0"/>
    <x v="1"/>
    <x v="7"/>
    <x v="0"/>
    <n v="105.9"/>
  </r>
  <r>
    <x v="0"/>
    <x v="0"/>
    <x v="1"/>
    <x v="8"/>
    <x v="0"/>
    <n v="105.7"/>
  </r>
  <r>
    <x v="0"/>
    <x v="0"/>
    <x v="1"/>
    <x v="9"/>
    <x v="0"/>
    <n v="103.1"/>
  </r>
  <r>
    <x v="0"/>
    <x v="0"/>
    <x v="1"/>
    <x v="10"/>
    <x v="0"/>
    <n v="105.1"/>
  </r>
  <r>
    <x v="0"/>
    <x v="0"/>
    <x v="1"/>
    <x v="11"/>
    <x v="0"/>
    <n v="107.7"/>
  </r>
  <r>
    <x v="0"/>
    <x v="0"/>
    <x v="1"/>
    <x v="12"/>
    <x v="0"/>
    <n v="106.3"/>
  </r>
  <r>
    <x v="0"/>
    <x v="0"/>
    <x v="1"/>
    <x v="13"/>
    <x v="1"/>
    <n v="105.6"/>
  </r>
  <r>
    <x v="0"/>
    <x v="0"/>
    <x v="1"/>
    <x v="14"/>
    <x v="2"/>
    <n v="107.1"/>
  </r>
  <r>
    <x v="0"/>
    <x v="0"/>
    <x v="1"/>
    <x v="15"/>
    <x v="2"/>
    <n v="106.3"/>
  </r>
  <r>
    <x v="0"/>
    <x v="0"/>
    <x v="1"/>
    <x v="16"/>
    <x v="2"/>
    <n v="107"/>
  </r>
  <r>
    <x v="0"/>
    <x v="0"/>
    <x v="1"/>
    <x v="17"/>
    <x v="3"/>
    <s v="NA"/>
  </r>
  <r>
    <x v="0"/>
    <x v="0"/>
    <x v="1"/>
    <x v="18"/>
    <x v="4"/>
    <n v="106.2"/>
  </r>
  <r>
    <x v="0"/>
    <x v="0"/>
    <x v="1"/>
    <x v="19"/>
    <x v="5"/>
    <n v="105.2"/>
  </r>
  <r>
    <x v="0"/>
    <x v="0"/>
    <x v="1"/>
    <x v="20"/>
    <x v="6"/>
    <n v="104.4"/>
  </r>
  <r>
    <x v="0"/>
    <x v="0"/>
    <x v="1"/>
    <x v="21"/>
    <x v="7"/>
    <n v="103.9"/>
  </r>
  <r>
    <x v="0"/>
    <x v="0"/>
    <x v="1"/>
    <x v="22"/>
    <x v="8"/>
    <n v="104"/>
  </r>
  <r>
    <x v="0"/>
    <x v="0"/>
    <x v="1"/>
    <x v="23"/>
    <x v="9"/>
    <n v="104.1"/>
  </r>
  <r>
    <x v="0"/>
    <x v="0"/>
    <x v="1"/>
    <x v="24"/>
    <x v="8"/>
    <n v="104.6"/>
  </r>
  <r>
    <x v="0"/>
    <x v="0"/>
    <x v="1"/>
    <x v="25"/>
    <x v="5"/>
    <n v="104.4"/>
  </r>
  <r>
    <x v="0"/>
    <x v="0"/>
    <x v="1"/>
    <x v="26"/>
    <x v="10"/>
    <n v="105.8"/>
  </r>
  <r>
    <x v="1"/>
    <x v="0"/>
    <x v="1"/>
    <x v="0"/>
    <x v="0"/>
    <n v="112.9"/>
  </r>
  <r>
    <x v="1"/>
    <x v="0"/>
    <x v="1"/>
    <x v="1"/>
    <x v="0"/>
    <n v="112.9"/>
  </r>
  <r>
    <x v="1"/>
    <x v="0"/>
    <x v="1"/>
    <x v="2"/>
    <x v="0"/>
    <n v="116.9"/>
  </r>
  <r>
    <x v="1"/>
    <x v="0"/>
    <x v="1"/>
    <x v="3"/>
    <x v="0"/>
    <n v="104"/>
  </r>
  <r>
    <x v="1"/>
    <x v="0"/>
    <x v="1"/>
    <x v="4"/>
    <x v="0"/>
    <n v="103.5"/>
  </r>
  <r>
    <x v="1"/>
    <x v="0"/>
    <x v="1"/>
    <x v="5"/>
    <x v="0"/>
    <n v="103.1"/>
  </r>
  <r>
    <x v="1"/>
    <x v="0"/>
    <x v="1"/>
    <x v="6"/>
    <x v="0"/>
    <n v="104.9"/>
  </r>
  <r>
    <x v="1"/>
    <x v="0"/>
    <x v="1"/>
    <x v="7"/>
    <x v="0"/>
    <n v="104.1"/>
  </r>
  <r>
    <x v="1"/>
    <x v="0"/>
    <x v="1"/>
    <x v="8"/>
    <x v="0"/>
    <n v="103.8"/>
  </r>
  <r>
    <x v="1"/>
    <x v="0"/>
    <x v="1"/>
    <x v="9"/>
    <x v="0"/>
    <n v="102.3"/>
  </r>
  <r>
    <x v="1"/>
    <x v="0"/>
    <x v="1"/>
    <x v="10"/>
    <x v="0"/>
    <n v="106"/>
  </r>
  <r>
    <x v="1"/>
    <x v="0"/>
    <x v="1"/>
    <x v="11"/>
    <x v="0"/>
    <n v="109"/>
  </r>
  <r>
    <x v="1"/>
    <x v="0"/>
    <x v="1"/>
    <x v="12"/>
    <x v="0"/>
    <n v="107.2"/>
  </r>
  <r>
    <x v="1"/>
    <x v="0"/>
    <x v="1"/>
    <x v="13"/>
    <x v="1"/>
    <n v="106"/>
  </r>
  <r>
    <x v="1"/>
    <x v="0"/>
    <x v="1"/>
    <x v="14"/>
    <x v="2"/>
    <n v="106.6"/>
  </r>
  <r>
    <x v="1"/>
    <x v="0"/>
    <x v="1"/>
    <x v="15"/>
    <x v="2"/>
    <n v="105.5"/>
  </r>
  <r>
    <x v="1"/>
    <x v="0"/>
    <x v="1"/>
    <x v="16"/>
    <x v="2"/>
    <n v="106.4"/>
  </r>
  <r>
    <x v="1"/>
    <x v="0"/>
    <x v="1"/>
    <x v="17"/>
    <x v="3"/>
    <n v="100.4"/>
  </r>
  <r>
    <x v="1"/>
    <x v="0"/>
    <x v="1"/>
    <x v="18"/>
    <x v="4"/>
    <n v="105.7"/>
  </r>
  <r>
    <x v="1"/>
    <x v="0"/>
    <x v="1"/>
    <x v="19"/>
    <x v="5"/>
    <n v="105.2"/>
  </r>
  <r>
    <x v="1"/>
    <x v="0"/>
    <x v="1"/>
    <x v="20"/>
    <x v="6"/>
    <n v="104.7"/>
  </r>
  <r>
    <x v="1"/>
    <x v="0"/>
    <x v="1"/>
    <x v="21"/>
    <x v="7"/>
    <n v="104.4"/>
  </r>
  <r>
    <x v="1"/>
    <x v="0"/>
    <x v="1"/>
    <x v="22"/>
    <x v="8"/>
    <n v="103.3"/>
  </r>
  <r>
    <x v="1"/>
    <x v="0"/>
    <x v="1"/>
    <x v="23"/>
    <x v="9"/>
    <n v="103.7"/>
  </r>
  <r>
    <x v="1"/>
    <x v="0"/>
    <x v="1"/>
    <x v="24"/>
    <x v="8"/>
    <n v="104.3"/>
  </r>
  <r>
    <x v="1"/>
    <x v="0"/>
    <x v="1"/>
    <x v="25"/>
    <x v="5"/>
    <n v="104.3"/>
  </r>
  <r>
    <x v="1"/>
    <x v="0"/>
    <x v="1"/>
    <x v="26"/>
    <x v="10"/>
    <n v="104.7"/>
  </r>
  <r>
    <x v="2"/>
    <x v="0"/>
    <x v="1"/>
    <x v="0"/>
    <x v="0"/>
    <n v="110.4"/>
  </r>
  <r>
    <x v="2"/>
    <x v="0"/>
    <x v="1"/>
    <x v="1"/>
    <x v="0"/>
    <n v="110.2"/>
  </r>
  <r>
    <x v="2"/>
    <x v="0"/>
    <x v="1"/>
    <x v="2"/>
    <x v="0"/>
    <n v="112.8"/>
  </r>
  <r>
    <x v="2"/>
    <x v="0"/>
    <x v="1"/>
    <x v="3"/>
    <x v="0"/>
    <n v="104.9"/>
  </r>
  <r>
    <x v="2"/>
    <x v="0"/>
    <x v="1"/>
    <x v="4"/>
    <x v="0"/>
    <n v="105.5"/>
  </r>
  <r>
    <x v="2"/>
    <x v="0"/>
    <x v="1"/>
    <x v="5"/>
    <x v="0"/>
    <n v="103.6"/>
  </r>
  <r>
    <x v="2"/>
    <x v="0"/>
    <x v="1"/>
    <x v="6"/>
    <x v="0"/>
    <n v="103.2"/>
  </r>
  <r>
    <x v="2"/>
    <x v="0"/>
    <x v="1"/>
    <x v="7"/>
    <x v="0"/>
    <n v="105.3"/>
  </r>
  <r>
    <x v="2"/>
    <x v="0"/>
    <x v="1"/>
    <x v="8"/>
    <x v="0"/>
    <n v="105.1"/>
  </r>
  <r>
    <x v="2"/>
    <x v="0"/>
    <x v="1"/>
    <x v="9"/>
    <x v="0"/>
    <n v="102.8"/>
  </r>
  <r>
    <x v="2"/>
    <x v="0"/>
    <x v="1"/>
    <x v="10"/>
    <x v="0"/>
    <n v="105.5"/>
  </r>
  <r>
    <x v="2"/>
    <x v="0"/>
    <x v="1"/>
    <x v="11"/>
    <x v="0"/>
    <n v="108.3"/>
  </r>
  <r>
    <x v="2"/>
    <x v="0"/>
    <x v="1"/>
    <x v="12"/>
    <x v="0"/>
    <n v="106.6"/>
  </r>
  <r>
    <x v="2"/>
    <x v="0"/>
    <x v="1"/>
    <x v="13"/>
    <x v="1"/>
    <n v="105.7"/>
  </r>
  <r>
    <x v="2"/>
    <x v="0"/>
    <x v="1"/>
    <x v="14"/>
    <x v="2"/>
    <n v="106.9"/>
  </r>
  <r>
    <x v="2"/>
    <x v="0"/>
    <x v="1"/>
    <x v="15"/>
    <x v="2"/>
    <n v="106"/>
  </r>
  <r>
    <x v="2"/>
    <x v="0"/>
    <x v="1"/>
    <x v="16"/>
    <x v="2"/>
    <n v="106.8"/>
  </r>
  <r>
    <x v="2"/>
    <x v="0"/>
    <x v="1"/>
    <x v="17"/>
    <x v="3"/>
    <n v="100.4"/>
  </r>
  <r>
    <x v="2"/>
    <x v="0"/>
    <x v="1"/>
    <x v="18"/>
    <x v="4"/>
    <n v="106"/>
  </r>
  <r>
    <x v="2"/>
    <x v="0"/>
    <x v="1"/>
    <x v="19"/>
    <x v="5"/>
    <n v="105.2"/>
  </r>
  <r>
    <x v="2"/>
    <x v="0"/>
    <x v="1"/>
    <x v="20"/>
    <x v="6"/>
    <n v="104.5"/>
  </r>
  <r>
    <x v="2"/>
    <x v="0"/>
    <x v="1"/>
    <x v="21"/>
    <x v="7"/>
    <n v="104.2"/>
  </r>
  <r>
    <x v="2"/>
    <x v="0"/>
    <x v="1"/>
    <x v="22"/>
    <x v="8"/>
    <n v="103.6"/>
  </r>
  <r>
    <x v="2"/>
    <x v="0"/>
    <x v="1"/>
    <x v="23"/>
    <x v="9"/>
    <n v="103.9"/>
  </r>
  <r>
    <x v="2"/>
    <x v="0"/>
    <x v="1"/>
    <x v="24"/>
    <x v="8"/>
    <n v="104.5"/>
  </r>
  <r>
    <x v="2"/>
    <x v="0"/>
    <x v="1"/>
    <x v="25"/>
    <x v="5"/>
    <n v="104.4"/>
  </r>
  <r>
    <x v="2"/>
    <x v="0"/>
    <x v="1"/>
    <x v="26"/>
    <x v="10"/>
    <n v="105.3"/>
  </r>
  <r>
    <x v="0"/>
    <x v="0"/>
    <x v="2"/>
    <x v="0"/>
    <x v="0"/>
    <n v="110.2"/>
  </r>
  <r>
    <x v="0"/>
    <x v="0"/>
    <x v="2"/>
    <x v="1"/>
    <x v="0"/>
    <n v="108.8"/>
  </r>
  <r>
    <x v="0"/>
    <x v="0"/>
    <x v="2"/>
    <x v="2"/>
    <x v="0"/>
    <n v="109.9"/>
  </r>
  <r>
    <x v="0"/>
    <x v="0"/>
    <x v="2"/>
    <x v="3"/>
    <x v="0"/>
    <n v="105.6"/>
  </r>
  <r>
    <x v="0"/>
    <x v="0"/>
    <x v="2"/>
    <x v="4"/>
    <x v="0"/>
    <n v="106.2"/>
  </r>
  <r>
    <x v="0"/>
    <x v="0"/>
    <x v="2"/>
    <x v="5"/>
    <x v="0"/>
    <n v="105.7"/>
  </r>
  <r>
    <x v="0"/>
    <x v="0"/>
    <x v="2"/>
    <x v="6"/>
    <x v="0"/>
    <n v="101.4"/>
  </r>
  <r>
    <x v="0"/>
    <x v="0"/>
    <x v="2"/>
    <x v="7"/>
    <x v="0"/>
    <n v="105.7"/>
  </r>
  <r>
    <x v="0"/>
    <x v="0"/>
    <x v="2"/>
    <x v="8"/>
    <x v="0"/>
    <n v="105"/>
  </r>
  <r>
    <x v="0"/>
    <x v="0"/>
    <x v="2"/>
    <x v="9"/>
    <x v="0"/>
    <n v="103.3"/>
  </r>
  <r>
    <x v="0"/>
    <x v="0"/>
    <x v="2"/>
    <x v="10"/>
    <x v="0"/>
    <n v="105.6"/>
  </r>
  <r>
    <x v="0"/>
    <x v="0"/>
    <x v="2"/>
    <x v="11"/>
    <x v="0"/>
    <n v="108.2"/>
  </r>
  <r>
    <x v="0"/>
    <x v="0"/>
    <x v="2"/>
    <x v="12"/>
    <x v="0"/>
    <n v="106.6"/>
  </r>
  <r>
    <x v="0"/>
    <x v="0"/>
    <x v="2"/>
    <x v="13"/>
    <x v="1"/>
    <n v="106.5"/>
  </r>
  <r>
    <x v="0"/>
    <x v="0"/>
    <x v="2"/>
    <x v="14"/>
    <x v="2"/>
    <n v="107.6"/>
  </r>
  <r>
    <x v="0"/>
    <x v="0"/>
    <x v="2"/>
    <x v="15"/>
    <x v="2"/>
    <n v="106.8"/>
  </r>
  <r>
    <x v="0"/>
    <x v="0"/>
    <x v="2"/>
    <x v="16"/>
    <x v="2"/>
    <n v="107.5"/>
  </r>
  <r>
    <x v="0"/>
    <x v="0"/>
    <x v="2"/>
    <x v="17"/>
    <x v="3"/>
    <s v="NA"/>
  </r>
  <r>
    <x v="0"/>
    <x v="0"/>
    <x v="2"/>
    <x v="18"/>
    <x v="4"/>
    <n v="106.1"/>
  </r>
  <r>
    <x v="0"/>
    <x v="0"/>
    <x v="2"/>
    <x v="19"/>
    <x v="5"/>
    <n v="105.6"/>
  </r>
  <r>
    <x v="0"/>
    <x v="0"/>
    <x v="2"/>
    <x v="20"/>
    <x v="6"/>
    <n v="104.7"/>
  </r>
  <r>
    <x v="0"/>
    <x v="0"/>
    <x v="2"/>
    <x v="21"/>
    <x v="7"/>
    <n v="104.6"/>
  </r>
  <r>
    <x v="0"/>
    <x v="0"/>
    <x v="2"/>
    <x v="22"/>
    <x v="8"/>
    <n v="104"/>
  </r>
  <r>
    <x v="0"/>
    <x v="0"/>
    <x v="2"/>
    <x v="23"/>
    <x v="9"/>
    <n v="104.3"/>
  </r>
  <r>
    <x v="0"/>
    <x v="0"/>
    <x v="2"/>
    <x v="24"/>
    <x v="8"/>
    <n v="104.3"/>
  </r>
  <r>
    <x v="0"/>
    <x v="0"/>
    <x v="2"/>
    <x v="25"/>
    <x v="5"/>
    <n v="104.6"/>
  </r>
  <r>
    <x v="0"/>
    <x v="0"/>
    <x v="2"/>
    <x v="26"/>
    <x v="10"/>
    <n v="106"/>
  </r>
  <r>
    <x v="1"/>
    <x v="0"/>
    <x v="2"/>
    <x v="0"/>
    <x v="0"/>
    <n v="113.9"/>
  </r>
  <r>
    <x v="1"/>
    <x v="0"/>
    <x v="2"/>
    <x v="1"/>
    <x v="0"/>
    <n v="111.4"/>
  </r>
  <r>
    <x v="1"/>
    <x v="0"/>
    <x v="2"/>
    <x v="2"/>
    <x v="0"/>
    <n v="113.2"/>
  </r>
  <r>
    <x v="1"/>
    <x v="0"/>
    <x v="2"/>
    <x v="3"/>
    <x v="0"/>
    <n v="104.3"/>
  </r>
  <r>
    <x v="1"/>
    <x v="0"/>
    <x v="2"/>
    <x v="4"/>
    <x v="0"/>
    <n v="102.7"/>
  </r>
  <r>
    <x v="1"/>
    <x v="0"/>
    <x v="2"/>
    <x v="5"/>
    <x v="0"/>
    <n v="104.9"/>
  </r>
  <r>
    <x v="1"/>
    <x v="0"/>
    <x v="2"/>
    <x v="6"/>
    <x v="0"/>
    <n v="103.8"/>
  </r>
  <r>
    <x v="1"/>
    <x v="0"/>
    <x v="2"/>
    <x v="7"/>
    <x v="0"/>
    <n v="103.5"/>
  </r>
  <r>
    <x v="1"/>
    <x v="0"/>
    <x v="2"/>
    <x v="8"/>
    <x v="0"/>
    <n v="102.6"/>
  </r>
  <r>
    <x v="1"/>
    <x v="0"/>
    <x v="2"/>
    <x v="9"/>
    <x v="0"/>
    <n v="102.4"/>
  </r>
  <r>
    <x v="1"/>
    <x v="0"/>
    <x v="2"/>
    <x v="10"/>
    <x v="0"/>
    <n v="107"/>
  </r>
  <r>
    <x v="1"/>
    <x v="0"/>
    <x v="2"/>
    <x v="11"/>
    <x v="0"/>
    <n v="109.8"/>
  </r>
  <r>
    <x v="1"/>
    <x v="0"/>
    <x v="2"/>
    <x v="12"/>
    <x v="0"/>
    <n v="107.3"/>
  </r>
  <r>
    <x v="1"/>
    <x v="0"/>
    <x v="2"/>
    <x v="13"/>
    <x v="1"/>
    <n v="106.8"/>
  </r>
  <r>
    <x v="1"/>
    <x v="0"/>
    <x v="2"/>
    <x v="14"/>
    <x v="2"/>
    <n v="107.2"/>
  </r>
  <r>
    <x v="1"/>
    <x v="0"/>
    <x v="2"/>
    <x v="15"/>
    <x v="2"/>
    <n v="106"/>
  </r>
  <r>
    <x v="1"/>
    <x v="0"/>
    <x v="2"/>
    <x v="16"/>
    <x v="2"/>
    <n v="107"/>
  </r>
  <r>
    <x v="1"/>
    <x v="0"/>
    <x v="2"/>
    <x v="17"/>
    <x v="3"/>
    <n v="100.4"/>
  </r>
  <r>
    <x v="1"/>
    <x v="0"/>
    <x v="2"/>
    <x v="18"/>
    <x v="4"/>
    <n v="106"/>
  </r>
  <r>
    <x v="1"/>
    <x v="0"/>
    <x v="2"/>
    <x v="19"/>
    <x v="5"/>
    <n v="105.7"/>
  </r>
  <r>
    <x v="1"/>
    <x v="0"/>
    <x v="2"/>
    <x v="20"/>
    <x v="6"/>
    <n v="105.2"/>
  </r>
  <r>
    <x v="1"/>
    <x v="0"/>
    <x v="2"/>
    <x v="21"/>
    <x v="7"/>
    <n v="105.5"/>
  </r>
  <r>
    <x v="1"/>
    <x v="0"/>
    <x v="2"/>
    <x v="22"/>
    <x v="8"/>
    <n v="103.5"/>
  </r>
  <r>
    <x v="1"/>
    <x v="0"/>
    <x v="2"/>
    <x v="23"/>
    <x v="9"/>
    <n v="103.8"/>
  </r>
  <r>
    <x v="1"/>
    <x v="0"/>
    <x v="2"/>
    <x v="24"/>
    <x v="8"/>
    <n v="104.2"/>
  </r>
  <r>
    <x v="1"/>
    <x v="0"/>
    <x v="2"/>
    <x v="25"/>
    <x v="5"/>
    <n v="104.9"/>
  </r>
  <r>
    <x v="1"/>
    <x v="0"/>
    <x v="2"/>
    <x v="26"/>
    <x v="10"/>
    <n v="105"/>
  </r>
  <r>
    <x v="2"/>
    <x v="0"/>
    <x v="2"/>
    <x v="0"/>
    <x v="0"/>
    <n v="111.4"/>
  </r>
  <r>
    <x v="2"/>
    <x v="0"/>
    <x v="2"/>
    <x v="1"/>
    <x v="0"/>
    <n v="109.7"/>
  </r>
  <r>
    <x v="2"/>
    <x v="0"/>
    <x v="2"/>
    <x v="2"/>
    <x v="0"/>
    <n v="111.2"/>
  </r>
  <r>
    <x v="2"/>
    <x v="0"/>
    <x v="2"/>
    <x v="3"/>
    <x v="0"/>
    <n v="105.1"/>
  </r>
  <r>
    <x v="2"/>
    <x v="0"/>
    <x v="2"/>
    <x v="4"/>
    <x v="0"/>
    <n v="104.9"/>
  </r>
  <r>
    <x v="2"/>
    <x v="0"/>
    <x v="2"/>
    <x v="5"/>
    <x v="0"/>
    <n v="105.3"/>
  </r>
  <r>
    <x v="2"/>
    <x v="0"/>
    <x v="2"/>
    <x v="6"/>
    <x v="0"/>
    <n v="102.2"/>
  </r>
  <r>
    <x v="2"/>
    <x v="0"/>
    <x v="2"/>
    <x v="7"/>
    <x v="0"/>
    <n v="105"/>
  </r>
  <r>
    <x v="2"/>
    <x v="0"/>
    <x v="2"/>
    <x v="8"/>
    <x v="0"/>
    <n v="104.2"/>
  </r>
  <r>
    <x v="2"/>
    <x v="0"/>
    <x v="2"/>
    <x v="9"/>
    <x v="0"/>
    <n v="103"/>
  </r>
  <r>
    <x v="2"/>
    <x v="0"/>
    <x v="2"/>
    <x v="10"/>
    <x v="0"/>
    <n v="106.2"/>
  </r>
  <r>
    <x v="2"/>
    <x v="0"/>
    <x v="2"/>
    <x v="11"/>
    <x v="0"/>
    <n v="108.9"/>
  </r>
  <r>
    <x v="2"/>
    <x v="0"/>
    <x v="2"/>
    <x v="12"/>
    <x v="0"/>
    <n v="106.9"/>
  </r>
  <r>
    <x v="2"/>
    <x v="0"/>
    <x v="2"/>
    <x v="13"/>
    <x v="1"/>
    <n v="106.6"/>
  </r>
  <r>
    <x v="2"/>
    <x v="0"/>
    <x v="2"/>
    <x v="14"/>
    <x v="2"/>
    <n v="107.4"/>
  </r>
  <r>
    <x v="2"/>
    <x v="0"/>
    <x v="2"/>
    <x v="15"/>
    <x v="2"/>
    <n v="106.5"/>
  </r>
  <r>
    <x v="2"/>
    <x v="0"/>
    <x v="2"/>
    <x v="16"/>
    <x v="2"/>
    <n v="107.3"/>
  </r>
  <r>
    <x v="2"/>
    <x v="0"/>
    <x v="2"/>
    <x v="17"/>
    <x v="3"/>
    <n v="100.4"/>
  </r>
  <r>
    <x v="2"/>
    <x v="0"/>
    <x v="2"/>
    <x v="18"/>
    <x v="4"/>
    <n v="106.1"/>
  </r>
  <r>
    <x v="2"/>
    <x v="0"/>
    <x v="2"/>
    <x v="19"/>
    <x v="5"/>
    <n v="105.6"/>
  </r>
  <r>
    <x v="2"/>
    <x v="0"/>
    <x v="2"/>
    <x v="20"/>
    <x v="6"/>
    <n v="104.9"/>
  </r>
  <r>
    <x v="2"/>
    <x v="0"/>
    <x v="2"/>
    <x v="21"/>
    <x v="7"/>
    <n v="105.1"/>
  </r>
  <r>
    <x v="2"/>
    <x v="0"/>
    <x v="2"/>
    <x v="22"/>
    <x v="8"/>
    <n v="103.7"/>
  </r>
  <r>
    <x v="2"/>
    <x v="0"/>
    <x v="2"/>
    <x v="23"/>
    <x v="9"/>
    <n v="104"/>
  </r>
  <r>
    <x v="2"/>
    <x v="0"/>
    <x v="2"/>
    <x v="24"/>
    <x v="8"/>
    <n v="104.3"/>
  </r>
  <r>
    <x v="2"/>
    <x v="0"/>
    <x v="2"/>
    <x v="25"/>
    <x v="5"/>
    <n v="104.7"/>
  </r>
  <r>
    <x v="2"/>
    <x v="0"/>
    <x v="2"/>
    <x v="26"/>
    <x v="10"/>
    <n v="105.5"/>
  </r>
  <r>
    <x v="0"/>
    <x v="0"/>
    <x v="3"/>
    <x v="0"/>
    <x v="0"/>
    <n v="110.2"/>
  </r>
  <r>
    <x v="0"/>
    <x v="0"/>
    <x v="3"/>
    <x v="1"/>
    <x v="0"/>
    <n v="109.5"/>
  </r>
  <r>
    <x v="0"/>
    <x v="0"/>
    <x v="3"/>
    <x v="2"/>
    <x v="0"/>
    <n v="106.9"/>
  </r>
  <r>
    <x v="0"/>
    <x v="0"/>
    <x v="3"/>
    <x v="3"/>
    <x v="0"/>
    <n v="106.3"/>
  </r>
  <r>
    <x v="0"/>
    <x v="0"/>
    <x v="3"/>
    <x v="4"/>
    <x v="0"/>
    <n v="105.7"/>
  </r>
  <r>
    <x v="0"/>
    <x v="0"/>
    <x v="3"/>
    <x v="5"/>
    <x v="0"/>
    <n v="108.3"/>
  </r>
  <r>
    <x v="0"/>
    <x v="0"/>
    <x v="3"/>
    <x v="6"/>
    <x v="0"/>
    <n v="103.4"/>
  </r>
  <r>
    <x v="0"/>
    <x v="0"/>
    <x v="3"/>
    <x v="7"/>
    <x v="0"/>
    <n v="105.7"/>
  </r>
  <r>
    <x v="0"/>
    <x v="0"/>
    <x v="3"/>
    <x v="8"/>
    <x v="0"/>
    <n v="104.2"/>
  </r>
  <r>
    <x v="0"/>
    <x v="0"/>
    <x v="3"/>
    <x v="9"/>
    <x v="0"/>
    <n v="103.2"/>
  </r>
  <r>
    <x v="0"/>
    <x v="0"/>
    <x v="3"/>
    <x v="10"/>
    <x v="0"/>
    <n v="106.5"/>
  </r>
  <r>
    <x v="0"/>
    <x v="0"/>
    <x v="3"/>
    <x v="11"/>
    <x v="0"/>
    <n v="108.8"/>
  </r>
  <r>
    <x v="0"/>
    <x v="0"/>
    <x v="3"/>
    <x v="12"/>
    <x v="0"/>
    <n v="107.1"/>
  </r>
  <r>
    <x v="0"/>
    <x v="0"/>
    <x v="3"/>
    <x v="13"/>
    <x v="1"/>
    <n v="107.1"/>
  </r>
  <r>
    <x v="0"/>
    <x v="0"/>
    <x v="3"/>
    <x v="14"/>
    <x v="2"/>
    <n v="108.1"/>
  </r>
  <r>
    <x v="0"/>
    <x v="0"/>
    <x v="3"/>
    <x v="15"/>
    <x v="2"/>
    <n v="107.4"/>
  </r>
  <r>
    <x v="0"/>
    <x v="0"/>
    <x v="3"/>
    <x v="16"/>
    <x v="2"/>
    <n v="108"/>
  </r>
  <r>
    <x v="0"/>
    <x v="0"/>
    <x v="3"/>
    <x v="17"/>
    <x v="3"/>
    <s v="NA"/>
  </r>
  <r>
    <x v="0"/>
    <x v="0"/>
    <x v="3"/>
    <x v="18"/>
    <x v="4"/>
    <n v="106.5"/>
  </r>
  <r>
    <x v="0"/>
    <x v="0"/>
    <x v="3"/>
    <x v="19"/>
    <x v="5"/>
    <n v="106.1"/>
  </r>
  <r>
    <x v="0"/>
    <x v="0"/>
    <x v="3"/>
    <x v="20"/>
    <x v="6"/>
    <n v="105.1"/>
  </r>
  <r>
    <x v="0"/>
    <x v="0"/>
    <x v="3"/>
    <x v="21"/>
    <x v="7"/>
    <n v="104.4"/>
  </r>
  <r>
    <x v="0"/>
    <x v="0"/>
    <x v="3"/>
    <x v="22"/>
    <x v="8"/>
    <n v="104.5"/>
  </r>
  <r>
    <x v="0"/>
    <x v="0"/>
    <x v="3"/>
    <x v="23"/>
    <x v="9"/>
    <n v="104.8"/>
  </r>
  <r>
    <x v="0"/>
    <x v="0"/>
    <x v="3"/>
    <x v="24"/>
    <x v="8"/>
    <n v="102.7"/>
  </r>
  <r>
    <x v="0"/>
    <x v="0"/>
    <x v="3"/>
    <x v="25"/>
    <x v="5"/>
    <n v="104.6"/>
  </r>
  <r>
    <x v="0"/>
    <x v="0"/>
    <x v="3"/>
    <x v="26"/>
    <x v="10"/>
    <n v="106.4"/>
  </r>
  <r>
    <x v="1"/>
    <x v="0"/>
    <x v="3"/>
    <x v="0"/>
    <x v="0"/>
    <n v="114.6"/>
  </r>
  <r>
    <x v="1"/>
    <x v="0"/>
    <x v="3"/>
    <x v="1"/>
    <x v="0"/>
    <n v="113.4"/>
  </r>
  <r>
    <x v="1"/>
    <x v="0"/>
    <x v="3"/>
    <x v="2"/>
    <x v="0"/>
    <n v="106"/>
  </r>
  <r>
    <x v="1"/>
    <x v="0"/>
    <x v="3"/>
    <x v="3"/>
    <x v="0"/>
    <n v="104.7"/>
  </r>
  <r>
    <x v="1"/>
    <x v="0"/>
    <x v="3"/>
    <x v="4"/>
    <x v="0"/>
    <n v="102.1"/>
  </r>
  <r>
    <x v="1"/>
    <x v="0"/>
    <x v="3"/>
    <x v="5"/>
    <x v="0"/>
    <n v="109.5"/>
  </r>
  <r>
    <x v="1"/>
    <x v="0"/>
    <x v="3"/>
    <x v="6"/>
    <x v="0"/>
    <n v="109.7"/>
  </r>
  <r>
    <x v="1"/>
    <x v="0"/>
    <x v="3"/>
    <x v="7"/>
    <x v="0"/>
    <n v="104.6"/>
  </r>
  <r>
    <x v="1"/>
    <x v="0"/>
    <x v="3"/>
    <x v="8"/>
    <x v="0"/>
    <n v="102"/>
  </r>
  <r>
    <x v="1"/>
    <x v="0"/>
    <x v="3"/>
    <x v="9"/>
    <x v="0"/>
    <n v="103.5"/>
  </r>
  <r>
    <x v="1"/>
    <x v="0"/>
    <x v="3"/>
    <x v="10"/>
    <x v="0"/>
    <n v="108.2"/>
  </r>
  <r>
    <x v="1"/>
    <x v="0"/>
    <x v="3"/>
    <x v="11"/>
    <x v="0"/>
    <n v="110.6"/>
  </r>
  <r>
    <x v="1"/>
    <x v="0"/>
    <x v="3"/>
    <x v="12"/>
    <x v="0"/>
    <n v="108.8"/>
  </r>
  <r>
    <x v="1"/>
    <x v="0"/>
    <x v="3"/>
    <x v="13"/>
    <x v="1"/>
    <n v="108.5"/>
  </r>
  <r>
    <x v="1"/>
    <x v="0"/>
    <x v="3"/>
    <x v="14"/>
    <x v="2"/>
    <n v="107.9"/>
  </r>
  <r>
    <x v="1"/>
    <x v="0"/>
    <x v="3"/>
    <x v="15"/>
    <x v="2"/>
    <n v="106.4"/>
  </r>
  <r>
    <x v="1"/>
    <x v="0"/>
    <x v="3"/>
    <x v="16"/>
    <x v="2"/>
    <n v="107.7"/>
  </r>
  <r>
    <x v="1"/>
    <x v="0"/>
    <x v="3"/>
    <x v="17"/>
    <x v="3"/>
    <n v="100.5"/>
  </r>
  <r>
    <x v="1"/>
    <x v="0"/>
    <x v="3"/>
    <x v="18"/>
    <x v="4"/>
    <n v="106.4"/>
  </r>
  <r>
    <x v="1"/>
    <x v="0"/>
    <x v="3"/>
    <x v="19"/>
    <x v="5"/>
    <n v="106.5"/>
  </r>
  <r>
    <x v="1"/>
    <x v="0"/>
    <x v="3"/>
    <x v="20"/>
    <x v="6"/>
    <n v="105.7"/>
  </r>
  <r>
    <x v="1"/>
    <x v="0"/>
    <x v="3"/>
    <x v="21"/>
    <x v="7"/>
    <n v="105"/>
  </r>
  <r>
    <x v="1"/>
    <x v="0"/>
    <x v="3"/>
    <x v="22"/>
    <x v="8"/>
    <n v="104"/>
  </r>
  <r>
    <x v="1"/>
    <x v="0"/>
    <x v="3"/>
    <x v="23"/>
    <x v="9"/>
    <n v="105.2"/>
  </r>
  <r>
    <x v="1"/>
    <x v="0"/>
    <x v="3"/>
    <x v="24"/>
    <x v="8"/>
    <n v="103.2"/>
  </r>
  <r>
    <x v="1"/>
    <x v="0"/>
    <x v="3"/>
    <x v="25"/>
    <x v="5"/>
    <n v="105.1"/>
  </r>
  <r>
    <x v="1"/>
    <x v="0"/>
    <x v="3"/>
    <x v="26"/>
    <x v="10"/>
    <n v="105.7"/>
  </r>
  <r>
    <x v="2"/>
    <x v="0"/>
    <x v="3"/>
    <x v="0"/>
    <x v="0"/>
    <n v="111.6"/>
  </r>
  <r>
    <x v="2"/>
    <x v="0"/>
    <x v="3"/>
    <x v="1"/>
    <x v="0"/>
    <n v="110.9"/>
  </r>
  <r>
    <x v="2"/>
    <x v="0"/>
    <x v="3"/>
    <x v="2"/>
    <x v="0"/>
    <n v="106.6"/>
  </r>
  <r>
    <x v="2"/>
    <x v="0"/>
    <x v="3"/>
    <x v="3"/>
    <x v="0"/>
    <n v="105.7"/>
  </r>
  <r>
    <x v="2"/>
    <x v="0"/>
    <x v="3"/>
    <x v="4"/>
    <x v="0"/>
    <n v="104.4"/>
  </r>
  <r>
    <x v="2"/>
    <x v="0"/>
    <x v="3"/>
    <x v="5"/>
    <x v="0"/>
    <n v="108.9"/>
  </r>
  <r>
    <x v="2"/>
    <x v="0"/>
    <x v="3"/>
    <x v="6"/>
    <x v="0"/>
    <n v="105.5"/>
  </r>
  <r>
    <x v="2"/>
    <x v="0"/>
    <x v="3"/>
    <x v="7"/>
    <x v="0"/>
    <n v="105.3"/>
  </r>
  <r>
    <x v="2"/>
    <x v="0"/>
    <x v="3"/>
    <x v="8"/>
    <x v="0"/>
    <n v="103.5"/>
  </r>
  <r>
    <x v="2"/>
    <x v="0"/>
    <x v="3"/>
    <x v="9"/>
    <x v="0"/>
    <n v="103.3"/>
  </r>
  <r>
    <x v="2"/>
    <x v="0"/>
    <x v="3"/>
    <x v="10"/>
    <x v="0"/>
    <n v="107.2"/>
  </r>
  <r>
    <x v="2"/>
    <x v="0"/>
    <x v="3"/>
    <x v="11"/>
    <x v="0"/>
    <n v="109.6"/>
  </r>
  <r>
    <x v="2"/>
    <x v="0"/>
    <x v="3"/>
    <x v="12"/>
    <x v="0"/>
    <n v="107.7"/>
  </r>
  <r>
    <x v="2"/>
    <x v="0"/>
    <x v="3"/>
    <x v="13"/>
    <x v="1"/>
    <n v="107.5"/>
  </r>
  <r>
    <x v="2"/>
    <x v="0"/>
    <x v="3"/>
    <x v="14"/>
    <x v="2"/>
    <n v="108"/>
  </r>
  <r>
    <x v="2"/>
    <x v="0"/>
    <x v="3"/>
    <x v="15"/>
    <x v="2"/>
    <n v="107"/>
  </r>
  <r>
    <x v="2"/>
    <x v="0"/>
    <x v="3"/>
    <x v="16"/>
    <x v="2"/>
    <n v="107.9"/>
  </r>
  <r>
    <x v="2"/>
    <x v="0"/>
    <x v="3"/>
    <x v="17"/>
    <x v="3"/>
    <n v="100.5"/>
  </r>
  <r>
    <x v="2"/>
    <x v="0"/>
    <x v="3"/>
    <x v="18"/>
    <x v="4"/>
    <n v="106.5"/>
  </r>
  <r>
    <x v="2"/>
    <x v="0"/>
    <x v="3"/>
    <x v="19"/>
    <x v="5"/>
    <n v="106.3"/>
  </r>
  <r>
    <x v="2"/>
    <x v="0"/>
    <x v="3"/>
    <x v="20"/>
    <x v="6"/>
    <n v="105.3"/>
  </r>
  <r>
    <x v="2"/>
    <x v="0"/>
    <x v="3"/>
    <x v="21"/>
    <x v="7"/>
    <n v="104.7"/>
  </r>
  <r>
    <x v="2"/>
    <x v="0"/>
    <x v="3"/>
    <x v="22"/>
    <x v="8"/>
    <n v="104.2"/>
  </r>
  <r>
    <x v="2"/>
    <x v="0"/>
    <x v="3"/>
    <x v="23"/>
    <x v="9"/>
    <n v="105"/>
  </r>
  <r>
    <x v="2"/>
    <x v="0"/>
    <x v="3"/>
    <x v="24"/>
    <x v="8"/>
    <n v="102.9"/>
  </r>
  <r>
    <x v="2"/>
    <x v="0"/>
    <x v="3"/>
    <x v="25"/>
    <x v="5"/>
    <n v="104.8"/>
  </r>
  <r>
    <x v="2"/>
    <x v="0"/>
    <x v="3"/>
    <x v="26"/>
    <x v="10"/>
    <n v="106.1"/>
  </r>
  <r>
    <x v="0"/>
    <x v="0"/>
    <x v="4"/>
    <x v="0"/>
    <x v="0"/>
    <n v="110.9"/>
  </r>
  <r>
    <x v="0"/>
    <x v="0"/>
    <x v="4"/>
    <x v="1"/>
    <x v="0"/>
    <n v="109.8"/>
  </r>
  <r>
    <x v="0"/>
    <x v="0"/>
    <x v="4"/>
    <x v="2"/>
    <x v="0"/>
    <n v="105.9"/>
  </r>
  <r>
    <x v="0"/>
    <x v="0"/>
    <x v="4"/>
    <x v="3"/>
    <x v="0"/>
    <n v="107.5"/>
  </r>
  <r>
    <x v="0"/>
    <x v="0"/>
    <x v="4"/>
    <x v="4"/>
    <x v="0"/>
    <n v="105.3"/>
  </r>
  <r>
    <x v="0"/>
    <x v="0"/>
    <x v="4"/>
    <x v="5"/>
    <x v="0"/>
    <n v="108.1"/>
  </r>
  <r>
    <x v="0"/>
    <x v="0"/>
    <x v="4"/>
    <x v="6"/>
    <x v="0"/>
    <n v="107.3"/>
  </r>
  <r>
    <x v="0"/>
    <x v="0"/>
    <x v="4"/>
    <x v="7"/>
    <x v="0"/>
    <n v="106.1"/>
  </r>
  <r>
    <x v="0"/>
    <x v="0"/>
    <x v="4"/>
    <x v="8"/>
    <x v="0"/>
    <n v="103.7"/>
  </r>
  <r>
    <x v="0"/>
    <x v="0"/>
    <x v="4"/>
    <x v="9"/>
    <x v="0"/>
    <n v="104"/>
  </r>
  <r>
    <x v="0"/>
    <x v="0"/>
    <x v="4"/>
    <x v="10"/>
    <x v="0"/>
    <n v="107.4"/>
  </r>
  <r>
    <x v="0"/>
    <x v="0"/>
    <x v="4"/>
    <x v="11"/>
    <x v="0"/>
    <n v="109.9"/>
  </r>
  <r>
    <x v="0"/>
    <x v="0"/>
    <x v="4"/>
    <x v="12"/>
    <x v="0"/>
    <n v="108.1"/>
  </r>
  <r>
    <x v="0"/>
    <x v="0"/>
    <x v="4"/>
    <x v="13"/>
    <x v="1"/>
    <n v="108.1"/>
  </r>
  <r>
    <x v="0"/>
    <x v="0"/>
    <x v="4"/>
    <x v="14"/>
    <x v="2"/>
    <n v="108.8"/>
  </r>
  <r>
    <x v="0"/>
    <x v="0"/>
    <x v="4"/>
    <x v="15"/>
    <x v="2"/>
    <n v="107.9"/>
  </r>
  <r>
    <x v="0"/>
    <x v="0"/>
    <x v="4"/>
    <x v="16"/>
    <x v="2"/>
    <n v="108.6"/>
  </r>
  <r>
    <x v="0"/>
    <x v="0"/>
    <x v="4"/>
    <x v="17"/>
    <x v="3"/>
    <s v="NA"/>
  </r>
  <r>
    <x v="0"/>
    <x v="0"/>
    <x v="4"/>
    <x v="18"/>
    <x v="4"/>
    <n v="107.5"/>
  </r>
  <r>
    <x v="0"/>
    <x v="0"/>
    <x v="4"/>
    <x v="19"/>
    <x v="5"/>
    <n v="106.8"/>
  </r>
  <r>
    <x v="0"/>
    <x v="0"/>
    <x v="4"/>
    <x v="20"/>
    <x v="6"/>
    <n v="105.7"/>
  </r>
  <r>
    <x v="0"/>
    <x v="0"/>
    <x v="4"/>
    <x v="21"/>
    <x v="7"/>
    <n v="104.1"/>
  </r>
  <r>
    <x v="0"/>
    <x v="0"/>
    <x v="4"/>
    <x v="22"/>
    <x v="8"/>
    <n v="105"/>
  </r>
  <r>
    <x v="0"/>
    <x v="0"/>
    <x v="4"/>
    <x v="23"/>
    <x v="9"/>
    <n v="105.5"/>
  </r>
  <r>
    <x v="0"/>
    <x v="0"/>
    <x v="4"/>
    <x v="24"/>
    <x v="8"/>
    <n v="102.1"/>
  </r>
  <r>
    <x v="0"/>
    <x v="0"/>
    <x v="4"/>
    <x v="25"/>
    <x v="5"/>
    <n v="104.8"/>
  </r>
  <r>
    <x v="0"/>
    <x v="0"/>
    <x v="4"/>
    <x v="26"/>
    <x v="10"/>
    <n v="107.2"/>
  </r>
  <r>
    <x v="1"/>
    <x v="0"/>
    <x v="4"/>
    <x v="0"/>
    <x v="0"/>
    <n v="115.4"/>
  </r>
  <r>
    <x v="1"/>
    <x v="0"/>
    <x v="4"/>
    <x v="1"/>
    <x v="0"/>
    <n v="114.2"/>
  </r>
  <r>
    <x v="1"/>
    <x v="0"/>
    <x v="4"/>
    <x v="2"/>
    <x v="0"/>
    <n v="102.7"/>
  </r>
  <r>
    <x v="1"/>
    <x v="0"/>
    <x v="4"/>
    <x v="3"/>
    <x v="0"/>
    <n v="105.5"/>
  </r>
  <r>
    <x v="1"/>
    <x v="0"/>
    <x v="4"/>
    <x v="4"/>
    <x v="0"/>
    <n v="101.5"/>
  </r>
  <r>
    <x v="1"/>
    <x v="0"/>
    <x v="4"/>
    <x v="5"/>
    <x v="0"/>
    <n v="110.6"/>
  </r>
  <r>
    <x v="1"/>
    <x v="0"/>
    <x v="4"/>
    <x v="6"/>
    <x v="0"/>
    <n v="123.7"/>
  </r>
  <r>
    <x v="1"/>
    <x v="0"/>
    <x v="4"/>
    <x v="7"/>
    <x v="0"/>
    <n v="105.2"/>
  </r>
  <r>
    <x v="1"/>
    <x v="0"/>
    <x v="4"/>
    <x v="8"/>
    <x v="0"/>
    <n v="101.9"/>
  </r>
  <r>
    <x v="1"/>
    <x v="0"/>
    <x v="4"/>
    <x v="9"/>
    <x v="0"/>
    <n v="105"/>
  </r>
  <r>
    <x v="1"/>
    <x v="0"/>
    <x v="4"/>
    <x v="10"/>
    <x v="0"/>
    <n v="109.1"/>
  </r>
  <r>
    <x v="1"/>
    <x v="0"/>
    <x v="4"/>
    <x v="11"/>
    <x v="0"/>
    <n v="111.3"/>
  </r>
  <r>
    <x v="1"/>
    <x v="0"/>
    <x v="4"/>
    <x v="12"/>
    <x v="0"/>
    <n v="111.1"/>
  </r>
  <r>
    <x v="1"/>
    <x v="0"/>
    <x v="4"/>
    <x v="13"/>
    <x v="1"/>
    <n v="109.8"/>
  </r>
  <r>
    <x v="1"/>
    <x v="0"/>
    <x v="4"/>
    <x v="14"/>
    <x v="2"/>
    <n v="108.5"/>
  </r>
  <r>
    <x v="1"/>
    <x v="0"/>
    <x v="4"/>
    <x v="15"/>
    <x v="2"/>
    <n v="106.7"/>
  </r>
  <r>
    <x v="1"/>
    <x v="0"/>
    <x v="4"/>
    <x v="16"/>
    <x v="2"/>
    <n v="108.3"/>
  </r>
  <r>
    <x v="1"/>
    <x v="0"/>
    <x v="4"/>
    <x v="17"/>
    <x v="3"/>
    <n v="100.5"/>
  </r>
  <r>
    <x v="1"/>
    <x v="0"/>
    <x v="4"/>
    <x v="18"/>
    <x v="4"/>
    <n v="107.2"/>
  </r>
  <r>
    <x v="1"/>
    <x v="0"/>
    <x v="4"/>
    <x v="19"/>
    <x v="5"/>
    <n v="107.1"/>
  </r>
  <r>
    <x v="1"/>
    <x v="0"/>
    <x v="4"/>
    <x v="20"/>
    <x v="6"/>
    <n v="106.2"/>
  </r>
  <r>
    <x v="1"/>
    <x v="0"/>
    <x v="4"/>
    <x v="21"/>
    <x v="7"/>
    <n v="103.9"/>
  </r>
  <r>
    <x v="1"/>
    <x v="0"/>
    <x v="4"/>
    <x v="22"/>
    <x v="8"/>
    <n v="104.6"/>
  </r>
  <r>
    <x v="1"/>
    <x v="0"/>
    <x v="4"/>
    <x v="23"/>
    <x v="9"/>
    <n v="105.7"/>
  </r>
  <r>
    <x v="1"/>
    <x v="0"/>
    <x v="4"/>
    <x v="24"/>
    <x v="8"/>
    <n v="102.6"/>
  </r>
  <r>
    <x v="1"/>
    <x v="0"/>
    <x v="4"/>
    <x v="25"/>
    <x v="5"/>
    <n v="104.9"/>
  </r>
  <r>
    <x v="1"/>
    <x v="0"/>
    <x v="4"/>
    <x v="26"/>
    <x v="10"/>
    <n v="106.6"/>
  </r>
  <r>
    <x v="2"/>
    <x v="0"/>
    <x v="4"/>
    <x v="0"/>
    <x v="0"/>
    <n v="112.3"/>
  </r>
  <r>
    <x v="2"/>
    <x v="0"/>
    <x v="4"/>
    <x v="1"/>
    <x v="0"/>
    <n v="111.3"/>
  </r>
  <r>
    <x v="2"/>
    <x v="0"/>
    <x v="4"/>
    <x v="2"/>
    <x v="0"/>
    <n v="104.7"/>
  </r>
  <r>
    <x v="2"/>
    <x v="0"/>
    <x v="4"/>
    <x v="3"/>
    <x v="0"/>
    <n v="106.8"/>
  </r>
  <r>
    <x v="2"/>
    <x v="0"/>
    <x v="4"/>
    <x v="4"/>
    <x v="0"/>
    <n v="103.9"/>
  </r>
  <r>
    <x v="2"/>
    <x v="0"/>
    <x v="4"/>
    <x v="5"/>
    <x v="0"/>
    <n v="109.3"/>
  </r>
  <r>
    <x v="2"/>
    <x v="0"/>
    <x v="4"/>
    <x v="6"/>
    <x v="0"/>
    <n v="112.9"/>
  </r>
  <r>
    <x v="2"/>
    <x v="0"/>
    <x v="4"/>
    <x v="7"/>
    <x v="0"/>
    <n v="105.8"/>
  </r>
  <r>
    <x v="2"/>
    <x v="0"/>
    <x v="4"/>
    <x v="8"/>
    <x v="0"/>
    <n v="103.1"/>
  </r>
  <r>
    <x v="2"/>
    <x v="0"/>
    <x v="4"/>
    <x v="9"/>
    <x v="0"/>
    <n v="104.3"/>
  </r>
  <r>
    <x v="2"/>
    <x v="0"/>
    <x v="4"/>
    <x v="10"/>
    <x v="0"/>
    <n v="108.1"/>
  </r>
  <r>
    <x v="2"/>
    <x v="0"/>
    <x v="4"/>
    <x v="11"/>
    <x v="0"/>
    <n v="110.5"/>
  </r>
  <r>
    <x v="2"/>
    <x v="0"/>
    <x v="4"/>
    <x v="12"/>
    <x v="0"/>
    <n v="109.2"/>
  </r>
  <r>
    <x v="2"/>
    <x v="0"/>
    <x v="4"/>
    <x v="13"/>
    <x v="1"/>
    <n v="108.6"/>
  </r>
  <r>
    <x v="2"/>
    <x v="0"/>
    <x v="4"/>
    <x v="14"/>
    <x v="2"/>
    <n v="108.7"/>
  </r>
  <r>
    <x v="2"/>
    <x v="0"/>
    <x v="4"/>
    <x v="15"/>
    <x v="2"/>
    <n v="107.4"/>
  </r>
  <r>
    <x v="2"/>
    <x v="0"/>
    <x v="4"/>
    <x v="16"/>
    <x v="2"/>
    <n v="108.5"/>
  </r>
  <r>
    <x v="2"/>
    <x v="0"/>
    <x v="4"/>
    <x v="17"/>
    <x v="3"/>
    <n v="100.5"/>
  </r>
  <r>
    <x v="2"/>
    <x v="0"/>
    <x v="4"/>
    <x v="18"/>
    <x v="4"/>
    <n v="107.4"/>
  </r>
  <r>
    <x v="2"/>
    <x v="0"/>
    <x v="4"/>
    <x v="19"/>
    <x v="5"/>
    <n v="106.9"/>
  </r>
  <r>
    <x v="2"/>
    <x v="0"/>
    <x v="4"/>
    <x v="20"/>
    <x v="6"/>
    <n v="105.9"/>
  </r>
  <r>
    <x v="2"/>
    <x v="0"/>
    <x v="4"/>
    <x v="21"/>
    <x v="7"/>
    <n v="104"/>
  </r>
  <r>
    <x v="2"/>
    <x v="0"/>
    <x v="4"/>
    <x v="22"/>
    <x v="8"/>
    <n v="104.8"/>
  </r>
  <r>
    <x v="2"/>
    <x v="0"/>
    <x v="4"/>
    <x v="23"/>
    <x v="9"/>
    <n v="105.6"/>
  </r>
  <r>
    <x v="2"/>
    <x v="0"/>
    <x v="4"/>
    <x v="24"/>
    <x v="8"/>
    <n v="102.3"/>
  </r>
  <r>
    <x v="2"/>
    <x v="0"/>
    <x v="4"/>
    <x v="25"/>
    <x v="5"/>
    <n v="104.8"/>
  </r>
  <r>
    <x v="2"/>
    <x v="0"/>
    <x v="4"/>
    <x v="26"/>
    <x v="10"/>
    <n v="106.9"/>
  </r>
  <r>
    <x v="0"/>
    <x v="0"/>
    <x v="5"/>
    <x v="0"/>
    <x v="0"/>
    <n v="112.3"/>
  </r>
  <r>
    <x v="0"/>
    <x v="0"/>
    <x v="5"/>
    <x v="1"/>
    <x v="0"/>
    <n v="112.1"/>
  </r>
  <r>
    <x v="0"/>
    <x v="0"/>
    <x v="5"/>
    <x v="2"/>
    <x v="0"/>
    <n v="108.1"/>
  </r>
  <r>
    <x v="0"/>
    <x v="0"/>
    <x v="5"/>
    <x v="3"/>
    <x v="0"/>
    <n v="108.3"/>
  </r>
  <r>
    <x v="0"/>
    <x v="0"/>
    <x v="5"/>
    <x v="4"/>
    <x v="0"/>
    <n v="105.9"/>
  </r>
  <r>
    <x v="0"/>
    <x v="0"/>
    <x v="5"/>
    <x v="5"/>
    <x v="0"/>
    <n v="109.2"/>
  </r>
  <r>
    <x v="0"/>
    <x v="0"/>
    <x v="5"/>
    <x v="6"/>
    <x v="0"/>
    <n v="118"/>
  </r>
  <r>
    <x v="0"/>
    <x v="0"/>
    <x v="5"/>
    <x v="7"/>
    <x v="0"/>
    <n v="106.8"/>
  </r>
  <r>
    <x v="0"/>
    <x v="0"/>
    <x v="5"/>
    <x v="8"/>
    <x v="0"/>
    <n v="104.1"/>
  </r>
  <r>
    <x v="0"/>
    <x v="0"/>
    <x v="5"/>
    <x v="9"/>
    <x v="0"/>
    <n v="105.4"/>
  </r>
  <r>
    <x v="0"/>
    <x v="0"/>
    <x v="5"/>
    <x v="10"/>
    <x v="0"/>
    <n v="108.2"/>
  </r>
  <r>
    <x v="0"/>
    <x v="0"/>
    <x v="5"/>
    <x v="11"/>
    <x v="0"/>
    <n v="111"/>
  </r>
  <r>
    <x v="0"/>
    <x v="0"/>
    <x v="5"/>
    <x v="12"/>
    <x v="0"/>
    <n v="110.6"/>
  </r>
  <r>
    <x v="0"/>
    <x v="0"/>
    <x v="5"/>
    <x v="13"/>
    <x v="1"/>
    <n v="109"/>
  </r>
  <r>
    <x v="0"/>
    <x v="0"/>
    <x v="5"/>
    <x v="14"/>
    <x v="2"/>
    <n v="109.7"/>
  </r>
  <r>
    <x v="0"/>
    <x v="0"/>
    <x v="5"/>
    <x v="15"/>
    <x v="2"/>
    <n v="108.8"/>
  </r>
  <r>
    <x v="0"/>
    <x v="0"/>
    <x v="5"/>
    <x v="16"/>
    <x v="2"/>
    <n v="109.5"/>
  </r>
  <r>
    <x v="0"/>
    <x v="0"/>
    <x v="5"/>
    <x v="17"/>
    <x v="3"/>
    <s v="NA"/>
  </r>
  <r>
    <x v="0"/>
    <x v="0"/>
    <x v="5"/>
    <x v="18"/>
    <x v="4"/>
    <n v="108.5"/>
  </r>
  <r>
    <x v="0"/>
    <x v="0"/>
    <x v="5"/>
    <x v="19"/>
    <x v="5"/>
    <n v="107.5"/>
  </r>
  <r>
    <x v="0"/>
    <x v="0"/>
    <x v="5"/>
    <x v="20"/>
    <x v="6"/>
    <n v="106.3"/>
  </r>
  <r>
    <x v="0"/>
    <x v="0"/>
    <x v="5"/>
    <x v="21"/>
    <x v="7"/>
    <n v="105"/>
  </r>
  <r>
    <x v="0"/>
    <x v="0"/>
    <x v="5"/>
    <x v="22"/>
    <x v="8"/>
    <n v="105.6"/>
  </r>
  <r>
    <x v="0"/>
    <x v="0"/>
    <x v="5"/>
    <x v="23"/>
    <x v="9"/>
    <n v="106.5"/>
  </r>
  <r>
    <x v="0"/>
    <x v="0"/>
    <x v="5"/>
    <x v="24"/>
    <x v="8"/>
    <n v="102.5"/>
  </r>
  <r>
    <x v="0"/>
    <x v="0"/>
    <x v="5"/>
    <x v="25"/>
    <x v="5"/>
    <n v="105.5"/>
  </r>
  <r>
    <x v="0"/>
    <x v="0"/>
    <x v="5"/>
    <x v="26"/>
    <x v="10"/>
    <n v="108.9"/>
  </r>
  <r>
    <x v="1"/>
    <x v="0"/>
    <x v="5"/>
    <x v="0"/>
    <x v="0"/>
    <n v="117"/>
  </r>
  <r>
    <x v="1"/>
    <x v="0"/>
    <x v="5"/>
    <x v="1"/>
    <x v="0"/>
    <n v="120.1"/>
  </r>
  <r>
    <x v="1"/>
    <x v="0"/>
    <x v="5"/>
    <x v="2"/>
    <x v="0"/>
    <n v="112.5"/>
  </r>
  <r>
    <x v="1"/>
    <x v="0"/>
    <x v="5"/>
    <x v="3"/>
    <x v="0"/>
    <n v="107.3"/>
  </r>
  <r>
    <x v="1"/>
    <x v="0"/>
    <x v="5"/>
    <x v="4"/>
    <x v="0"/>
    <n v="101.3"/>
  </r>
  <r>
    <x v="1"/>
    <x v="0"/>
    <x v="5"/>
    <x v="5"/>
    <x v="0"/>
    <n v="112.4"/>
  </r>
  <r>
    <x v="1"/>
    <x v="0"/>
    <x v="5"/>
    <x v="6"/>
    <x v="0"/>
    <n v="143.6"/>
  </r>
  <r>
    <x v="1"/>
    <x v="0"/>
    <x v="5"/>
    <x v="7"/>
    <x v="0"/>
    <n v="105.4"/>
  </r>
  <r>
    <x v="1"/>
    <x v="0"/>
    <x v="5"/>
    <x v="8"/>
    <x v="0"/>
    <n v="101.4"/>
  </r>
  <r>
    <x v="1"/>
    <x v="0"/>
    <x v="5"/>
    <x v="9"/>
    <x v="0"/>
    <n v="106.4"/>
  </r>
  <r>
    <x v="1"/>
    <x v="0"/>
    <x v="5"/>
    <x v="10"/>
    <x v="0"/>
    <n v="110"/>
  </r>
  <r>
    <x v="1"/>
    <x v="0"/>
    <x v="5"/>
    <x v="11"/>
    <x v="0"/>
    <n v="112.2"/>
  </r>
  <r>
    <x v="1"/>
    <x v="0"/>
    <x v="5"/>
    <x v="12"/>
    <x v="0"/>
    <n v="115"/>
  </r>
  <r>
    <x v="1"/>
    <x v="0"/>
    <x v="5"/>
    <x v="13"/>
    <x v="1"/>
    <n v="110.9"/>
  </r>
  <r>
    <x v="1"/>
    <x v="0"/>
    <x v="5"/>
    <x v="14"/>
    <x v="2"/>
    <n v="109.2"/>
  </r>
  <r>
    <x v="1"/>
    <x v="0"/>
    <x v="5"/>
    <x v="15"/>
    <x v="2"/>
    <n v="107.2"/>
  </r>
  <r>
    <x v="1"/>
    <x v="0"/>
    <x v="5"/>
    <x v="16"/>
    <x v="2"/>
    <n v="108.9"/>
  </r>
  <r>
    <x v="1"/>
    <x v="0"/>
    <x v="5"/>
    <x v="17"/>
    <x v="3"/>
    <n v="106.6"/>
  </r>
  <r>
    <x v="1"/>
    <x v="0"/>
    <x v="5"/>
    <x v="18"/>
    <x v="4"/>
    <n v="108"/>
  </r>
  <r>
    <x v="1"/>
    <x v="0"/>
    <x v="5"/>
    <x v="19"/>
    <x v="5"/>
    <n v="107.7"/>
  </r>
  <r>
    <x v="1"/>
    <x v="0"/>
    <x v="5"/>
    <x v="20"/>
    <x v="6"/>
    <n v="106.5"/>
  </r>
  <r>
    <x v="1"/>
    <x v="0"/>
    <x v="5"/>
    <x v="21"/>
    <x v="7"/>
    <n v="105.2"/>
  </r>
  <r>
    <x v="1"/>
    <x v="0"/>
    <x v="5"/>
    <x v="22"/>
    <x v="8"/>
    <n v="105.2"/>
  </r>
  <r>
    <x v="1"/>
    <x v="0"/>
    <x v="5"/>
    <x v="23"/>
    <x v="9"/>
    <n v="108.1"/>
  </r>
  <r>
    <x v="1"/>
    <x v="0"/>
    <x v="5"/>
    <x v="24"/>
    <x v="8"/>
    <n v="103.3"/>
  </r>
  <r>
    <x v="1"/>
    <x v="0"/>
    <x v="5"/>
    <x v="25"/>
    <x v="5"/>
    <n v="106.1"/>
  </r>
  <r>
    <x v="1"/>
    <x v="0"/>
    <x v="5"/>
    <x v="26"/>
    <x v="10"/>
    <n v="109.7"/>
  </r>
  <r>
    <x v="2"/>
    <x v="0"/>
    <x v="5"/>
    <x v="0"/>
    <x v="0"/>
    <n v="113.8"/>
  </r>
  <r>
    <x v="2"/>
    <x v="0"/>
    <x v="5"/>
    <x v="1"/>
    <x v="0"/>
    <n v="114.9"/>
  </r>
  <r>
    <x v="2"/>
    <x v="0"/>
    <x v="5"/>
    <x v="2"/>
    <x v="0"/>
    <n v="109.8"/>
  </r>
  <r>
    <x v="2"/>
    <x v="0"/>
    <x v="5"/>
    <x v="3"/>
    <x v="0"/>
    <n v="107.9"/>
  </r>
  <r>
    <x v="2"/>
    <x v="0"/>
    <x v="5"/>
    <x v="4"/>
    <x v="0"/>
    <n v="104.2"/>
  </r>
  <r>
    <x v="2"/>
    <x v="0"/>
    <x v="5"/>
    <x v="5"/>
    <x v="0"/>
    <n v="110.7"/>
  </r>
  <r>
    <x v="2"/>
    <x v="0"/>
    <x v="5"/>
    <x v="6"/>
    <x v="0"/>
    <n v="126.7"/>
  </r>
  <r>
    <x v="2"/>
    <x v="0"/>
    <x v="5"/>
    <x v="7"/>
    <x v="0"/>
    <n v="106.3"/>
  </r>
  <r>
    <x v="2"/>
    <x v="0"/>
    <x v="5"/>
    <x v="8"/>
    <x v="0"/>
    <n v="103.2"/>
  </r>
  <r>
    <x v="2"/>
    <x v="0"/>
    <x v="5"/>
    <x v="9"/>
    <x v="0"/>
    <n v="105.7"/>
  </r>
  <r>
    <x v="2"/>
    <x v="0"/>
    <x v="5"/>
    <x v="10"/>
    <x v="0"/>
    <n v="109"/>
  </r>
  <r>
    <x v="2"/>
    <x v="0"/>
    <x v="5"/>
    <x v="11"/>
    <x v="0"/>
    <n v="111.6"/>
  </r>
  <r>
    <x v="2"/>
    <x v="0"/>
    <x v="5"/>
    <x v="12"/>
    <x v="0"/>
    <n v="112.2"/>
  </r>
  <r>
    <x v="2"/>
    <x v="0"/>
    <x v="5"/>
    <x v="13"/>
    <x v="1"/>
    <n v="109.5"/>
  </r>
  <r>
    <x v="2"/>
    <x v="0"/>
    <x v="5"/>
    <x v="14"/>
    <x v="2"/>
    <n v="109.5"/>
  </r>
  <r>
    <x v="2"/>
    <x v="0"/>
    <x v="5"/>
    <x v="15"/>
    <x v="2"/>
    <n v="108.1"/>
  </r>
  <r>
    <x v="2"/>
    <x v="0"/>
    <x v="5"/>
    <x v="16"/>
    <x v="2"/>
    <n v="109.3"/>
  </r>
  <r>
    <x v="2"/>
    <x v="0"/>
    <x v="5"/>
    <x v="17"/>
    <x v="3"/>
    <n v="106.6"/>
  </r>
  <r>
    <x v="2"/>
    <x v="0"/>
    <x v="5"/>
    <x v="18"/>
    <x v="4"/>
    <n v="108.3"/>
  </r>
  <r>
    <x v="2"/>
    <x v="0"/>
    <x v="5"/>
    <x v="19"/>
    <x v="5"/>
    <n v="107.6"/>
  </r>
  <r>
    <x v="2"/>
    <x v="0"/>
    <x v="5"/>
    <x v="20"/>
    <x v="6"/>
    <n v="106.4"/>
  </r>
  <r>
    <x v="2"/>
    <x v="0"/>
    <x v="5"/>
    <x v="21"/>
    <x v="7"/>
    <n v="105.1"/>
  </r>
  <r>
    <x v="2"/>
    <x v="0"/>
    <x v="5"/>
    <x v="22"/>
    <x v="8"/>
    <n v="105.4"/>
  </r>
  <r>
    <x v="2"/>
    <x v="0"/>
    <x v="5"/>
    <x v="23"/>
    <x v="9"/>
    <n v="107.4"/>
  </r>
  <r>
    <x v="2"/>
    <x v="0"/>
    <x v="5"/>
    <x v="24"/>
    <x v="8"/>
    <n v="102.8"/>
  </r>
  <r>
    <x v="2"/>
    <x v="0"/>
    <x v="5"/>
    <x v="25"/>
    <x v="5"/>
    <n v="105.8"/>
  </r>
  <r>
    <x v="2"/>
    <x v="0"/>
    <x v="5"/>
    <x v="26"/>
    <x v="10"/>
    <n v="109.3"/>
  </r>
  <r>
    <x v="0"/>
    <x v="0"/>
    <x v="6"/>
    <x v="0"/>
    <x v="0"/>
    <n v="113.4"/>
  </r>
  <r>
    <x v="0"/>
    <x v="0"/>
    <x v="6"/>
    <x v="1"/>
    <x v="0"/>
    <n v="114.9"/>
  </r>
  <r>
    <x v="0"/>
    <x v="0"/>
    <x v="6"/>
    <x v="2"/>
    <x v="0"/>
    <n v="110.5"/>
  </r>
  <r>
    <x v="0"/>
    <x v="0"/>
    <x v="6"/>
    <x v="3"/>
    <x v="0"/>
    <n v="109.3"/>
  </r>
  <r>
    <x v="0"/>
    <x v="0"/>
    <x v="6"/>
    <x v="4"/>
    <x v="0"/>
    <n v="106.2"/>
  </r>
  <r>
    <x v="0"/>
    <x v="0"/>
    <x v="6"/>
    <x v="5"/>
    <x v="0"/>
    <n v="110.3"/>
  </r>
  <r>
    <x v="0"/>
    <x v="0"/>
    <x v="6"/>
    <x v="6"/>
    <x v="0"/>
    <n v="129.19999999999999"/>
  </r>
  <r>
    <x v="0"/>
    <x v="0"/>
    <x v="6"/>
    <x v="7"/>
    <x v="0"/>
    <n v="107.1"/>
  </r>
  <r>
    <x v="0"/>
    <x v="0"/>
    <x v="6"/>
    <x v="8"/>
    <x v="0"/>
    <n v="104.3"/>
  </r>
  <r>
    <x v="0"/>
    <x v="0"/>
    <x v="6"/>
    <x v="9"/>
    <x v="0"/>
    <n v="106.4"/>
  </r>
  <r>
    <x v="0"/>
    <x v="0"/>
    <x v="6"/>
    <x v="10"/>
    <x v="0"/>
    <n v="109.1"/>
  </r>
  <r>
    <x v="0"/>
    <x v="0"/>
    <x v="6"/>
    <x v="11"/>
    <x v="0"/>
    <n v="112.1"/>
  </r>
  <r>
    <x v="0"/>
    <x v="0"/>
    <x v="6"/>
    <x v="12"/>
    <x v="0"/>
    <n v="113.1"/>
  </r>
  <r>
    <x v="0"/>
    <x v="0"/>
    <x v="6"/>
    <x v="13"/>
    <x v="1"/>
    <n v="109.8"/>
  </r>
  <r>
    <x v="0"/>
    <x v="0"/>
    <x v="6"/>
    <x v="14"/>
    <x v="2"/>
    <n v="110.5"/>
  </r>
  <r>
    <x v="0"/>
    <x v="0"/>
    <x v="6"/>
    <x v="15"/>
    <x v="2"/>
    <n v="109.5"/>
  </r>
  <r>
    <x v="0"/>
    <x v="0"/>
    <x v="6"/>
    <x v="16"/>
    <x v="2"/>
    <n v="110.3"/>
  </r>
  <r>
    <x v="0"/>
    <x v="0"/>
    <x v="6"/>
    <x v="17"/>
    <x v="3"/>
    <s v="NA"/>
  </r>
  <r>
    <x v="0"/>
    <x v="0"/>
    <x v="6"/>
    <x v="18"/>
    <x v="4"/>
    <n v="109.5"/>
  </r>
  <r>
    <x v="0"/>
    <x v="0"/>
    <x v="6"/>
    <x v="19"/>
    <x v="5"/>
    <n v="108.3"/>
  </r>
  <r>
    <x v="0"/>
    <x v="0"/>
    <x v="6"/>
    <x v="20"/>
    <x v="6"/>
    <n v="106.9"/>
  </r>
  <r>
    <x v="0"/>
    <x v="0"/>
    <x v="6"/>
    <x v="21"/>
    <x v="7"/>
    <n v="106.8"/>
  </r>
  <r>
    <x v="0"/>
    <x v="0"/>
    <x v="6"/>
    <x v="22"/>
    <x v="8"/>
    <n v="106.4"/>
  </r>
  <r>
    <x v="0"/>
    <x v="0"/>
    <x v="6"/>
    <x v="23"/>
    <x v="9"/>
    <n v="107.8"/>
  </r>
  <r>
    <x v="0"/>
    <x v="0"/>
    <x v="6"/>
    <x v="24"/>
    <x v="8"/>
    <n v="102.5"/>
  </r>
  <r>
    <x v="0"/>
    <x v="0"/>
    <x v="6"/>
    <x v="25"/>
    <x v="5"/>
    <n v="106.5"/>
  </r>
  <r>
    <x v="0"/>
    <x v="0"/>
    <x v="6"/>
    <x v="26"/>
    <x v="10"/>
    <n v="110.7"/>
  </r>
  <r>
    <x v="1"/>
    <x v="0"/>
    <x v="6"/>
    <x v="0"/>
    <x v="0"/>
    <n v="117.8"/>
  </r>
  <r>
    <x v="1"/>
    <x v="0"/>
    <x v="6"/>
    <x v="1"/>
    <x v="0"/>
    <n v="119.2"/>
  </r>
  <r>
    <x v="1"/>
    <x v="0"/>
    <x v="6"/>
    <x v="2"/>
    <x v="0"/>
    <n v="114"/>
  </r>
  <r>
    <x v="1"/>
    <x v="0"/>
    <x v="6"/>
    <x v="3"/>
    <x v="0"/>
    <n v="108.3"/>
  </r>
  <r>
    <x v="1"/>
    <x v="0"/>
    <x v="6"/>
    <x v="4"/>
    <x v="0"/>
    <n v="101.1"/>
  </r>
  <r>
    <x v="1"/>
    <x v="0"/>
    <x v="6"/>
    <x v="5"/>
    <x v="0"/>
    <n v="113.2"/>
  </r>
  <r>
    <x v="1"/>
    <x v="0"/>
    <x v="6"/>
    <x v="6"/>
    <x v="0"/>
    <n v="160.9"/>
  </r>
  <r>
    <x v="1"/>
    <x v="0"/>
    <x v="6"/>
    <x v="7"/>
    <x v="0"/>
    <n v="105.1"/>
  </r>
  <r>
    <x v="1"/>
    <x v="0"/>
    <x v="6"/>
    <x v="8"/>
    <x v="0"/>
    <n v="101.3"/>
  </r>
  <r>
    <x v="1"/>
    <x v="0"/>
    <x v="6"/>
    <x v="9"/>
    <x v="0"/>
    <n v="107.5"/>
  </r>
  <r>
    <x v="1"/>
    <x v="0"/>
    <x v="6"/>
    <x v="10"/>
    <x v="0"/>
    <n v="110.4"/>
  </r>
  <r>
    <x v="1"/>
    <x v="0"/>
    <x v="6"/>
    <x v="11"/>
    <x v="0"/>
    <n v="113.1"/>
  </r>
  <r>
    <x v="1"/>
    <x v="0"/>
    <x v="6"/>
    <x v="12"/>
    <x v="0"/>
    <n v="117.5"/>
  </r>
  <r>
    <x v="1"/>
    <x v="0"/>
    <x v="6"/>
    <x v="13"/>
    <x v="1"/>
    <n v="111.7"/>
  </r>
  <r>
    <x v="1"/>
    <x v="0"/>
    <x v="6"/>
    <x v="14"/>
    <x v="2"/>
    <n v="109.8"/>
  </r>
  <r>
    <x v="1"/>
    <x v="0"/>
    <x v="6"/>
    <x v="15"/>
    <x v="2"/>
    <n v="107.8"/>
  </r>
  <r>
    <x v="1"/>
    <x v="0"/>
    <x v="6"/>
    <x v="16"/>
    <x v="2"/>
    <n v="109.5"/>
  </r>
  <r>
    <x v="1"/>
    <x v="0"/>
    <x v="6"/>
    <x v="17"/>
    <x v="3"/>
    <n v="107.7"/>
  </r>
  <r>
    <x v="1"/>
    <x v="0"/>
    <x v="6"/>
    <x v="18"/>
    <x v="4"/>
    <n v="108.6"/>
  </r>
  <r>
    <x v="1"/>
    <x v="0"/>
    <x v="6"/>
    <x v="19"/>
    <x v="5"/>
    <n v="108.1"/>
  </r>
  <r>
    <x v="1"/>
    <x v="0"/>
    <x v="6"/>
    <x v="20"/>
    <x v="6"/>
    <n v="107.1"/>
  </r>
  <r>
    <x v="1"/>
    <x v="0"/>
    <x v="6"/>
    <x v="21"/>
    <x v="7"/>
    <n v="107.3"/>
  </r>
  <r>
    <x v="1"/>
    <x v="0"/>
    <x v="6"/>
    <x v="22"/>
    <x v="8"/>
    <n v="105.9"/>
  </r>
  <r>
    <x v="1"/>
    <x v="0"/>
    <x v="6"/>
    <x v="23"/>
    <x v="9"/>
    <n v="110.1"/>
  </r>
  <r>
    <x v="1"/>
    <x v="0"/>
    <x v="6"/>
    <x v="24"/>
    <x v="8"/>
    <n v="103.2"/>
  </r>
  <r>
    <x v="1"/>
    <x v="0"/>
    <x v="6"/>
    <x v="25"/>
    <x v="5"/>
    <n v="107.3"/>
  </r>
  <r>
    <x v="1"/>
    <x v="0"/>
    <x v="6"/>
    <x v="26"/>
    <x v="10"/>
    <n v="111.4"/>
  </r>
  <r>
    <x v="2"/>
    <x v="0"/>
    <x v="6"/>
    <x v="0"/>
    <x v="0"/>
    <n v="114.8"/>
  </r>
  <r>
    <x v="2"/>
    <x v="0"/>
    <x v="6"/>
    <x v="1"/>
    <x v="0"/>
    <n v="116.4"/>
  </r>
  <r>
    <x v="2"/>
    <x v="0"/>
    <x v="6"/>
    <x v="2"/>
    <x v="0"/>
    <n v="111.9"/>
  </r>
  <r>
    <x v="2"/>
    <x v="0"/>
    <x v="6"/>
    <x v="3"/>
    <x v="0"/>
    <n v="108.9"/>
  </r>
  <r>
    <x v="2"/>
    <x v="0"/>
    <x v="6"/>
    <x v="4"/>
    <x v="0"/>
    <n v="104.3"/>
  </r>
  <r>
    <x v="2"/>
    <x v="0"/>
    <x v="6"/>
    <x v="5"/>
    <x v="0"/>
    <n v="111.7"/>
  </r>
  <r>
    <x v="2"/>
    <x v="0"/>
    <x v="6"/>
    <x v="6"/>
    <x v="0"/>
    <n v="140"/>
  </r>
  <r>
    <x v="2"/>
    <x v="0"/>
    <x v="6"/>
    <x v="7"/>
    <x v="0"/>
    <n v="106.4"/>
  </r>
  <r>
    <x v="2"/>
    <x v="0"/>
    <x v="6"/>
    <x v="8"/>
    <x v="0"/>
    <n v="103.3"/>
  </r>
  <r>
    <x v="2"/>
    <x v="0"/>
    <x v="6"/>
    <x v="9"/>
    <x v="0"/>
    <n v="106.8"/>
  </r>
  <r>
    <x v="2"/>
    <x v="0"/>
    <x v="6"/>
    <x v="10"/>
    <x v="0"/>
    <n v="109.6"/>
  </r>
  <r>
    <x v="2"/>
    <x v="0"/>
    <x v="6"/>
    <x v="11"/>
    <x v="0"/>
    <n v="112.6"/>
  </r>
  <r>
    <x v="2"/>
    <x v="0"/>
    <x v="6"/>
    <x v="12"/>
    <x v="0"/>
    <n v="114.7"/>
  </r>
  <r>
    <x v="2"/>
    <x v="0"/>
    <x v="6"/>
    <x v="13"/>
    <x v="1"/>
    <n v="110.3"/>
  </r>
  <r>
    <x v="2"/>
    <x v="0"/>
    <x v="6"/>
    <x v="14"/>
    <x v="2"/>
    <n v="110.2"/>
  </r>
  <r>
    <x v="2"/>
    <x v="0"/>
    <x v="6"/>
    <x v="15"/>
    <x v="2"/>
    <n v="108.8"/>
  </r>
  <r>
    <x v="2"/>
    <x v="0"/>
    <x v="6"/>
    <x v="16"/>
    <x v="2"/>
    <n v="110"/>
  </r>
  <r>
    <x v="2"/>
    <x v="0"/>
    <x v="6"/>
    <x v="17"/>
    <x v="3"/>
    <n v="107.7"/>
  </r>
  <r>
    <x v="2"/>
    <x v="0"/>
    <x v="6"/>
    <x v="18"/>
    <x v="4"/>
    <n v="109.2"/>
  </r>
  <r>
    <x v="2"/>
    <x v="0"/>
    <x v="6"/>
    <x v="19"/>
    <x v="5"/>
    <n v="108.2"/>
  </r>
  <r>
    <x v="2"/>
    <x v="0"/>
    <x v="6"/>
    <x v="20"/>
    <x v="6"/>
    <n v="107"/>
  </r>
  <r>
    <x v="2"/>
    <x v="0"/>
    <x v="6"/>
    <x v="21"/>
    <x v="7"/>
    <n v="107.1"/>
  </r>
  <r>
    <x v="2"/>
    <x v="0"/>
    <x v="6"/>
    <x v="22"/>
    <x v="8"/>
    <n v="106.1"/>
  </r>
  <r>
    <x v="2"/>
    <x v="0"/>
    <x v="6"/>
    <x v="23"/>
    <x v="9"/>
    <n v="109.1"/>
  </r>
  <r>
    <x v="2"/>
    <x v="0"/>
    <x v="6"/>
    <x v="24"/>
    <x v="8"/>
    <n v="102.8"/>
  </r>
  <r>
    <x v="2"/>
    <x v="0"/>
    <x v="6"/>
    <x v="25"/>
    <x v="5"/>
    <n v="106.9"/>
  </r>
  <r>
    <x v="2"/>
    <x v="0"/>
    <x v="6"/>
    <x v="26"/>
    <x v="10"/>
    <n v="111"/>
  </r>
  <r>
    <x v="0"/>
    <x v="0"/>
    <x v="7"/>
    <x v="0"/>
    <x v="0"/>
    <n v="114.3"/>
  </r>
  <r>
    <x v="0"/>
    <x v="0"/>
    <x v="7"/>
    <x v="1"/>
    <x v="0"/>
    <n v="115.4"/>
  </r>
  <r>
    <x v="0"/>
    <x v="0"/>
    <x v="7"/>
    <x v="2"/>
    <x v="0"/>
    <n v="111.1"/>
  </r>
  <r>
    <x v="0"/>
    <x v="0"/>
    <x v="7"/>
    <x v="3"/>
    <x v="0"/>
    <n v="110"/>
  </r>
  <r>
    <x v="0"/>
    <x v="0"/>
    <x v="7"/>
    <x v="4"/>
    <x v="0"/>
    <n v="106.4"/>
  </r>
  <r>
    <x v="0"/>
    <x v="0"/>
    <x v="7"/>
    <x v="5"/>
    <x v="0"/>
    <n v="110.8"/>
  </r>
  <r>
    <x v="0"/>
    <x v="0"/>
    <x v="7"/>
    <x v="6"/>
    <x v="0"/>
    <n v="138.9"/>
  </r>
  <r>
    <x v="0"/>
    <x v="0"/>
    <x v="7"/>
    <x v="7"/>
    <x v="0"/>
    <n v="107.4"/>
  </r>
  <r>
    <x v="0"/>
    <x v="0"/>
    <x v="7"/>
    <x v="8"/>
    <x v="0"/>
    <n v="104.1"/>
  </r>
  <r>
    <x v="0"/>
    <x v="0"/>
    <x v="7"/>
    <x v="9"/>
    <x v="0"/>
    <n v="106.9"/>
  </r>
  <r>
    <x v="0"/>
    <x v="0"/>
    <x v="7"/>
    <x v="10"/>
    <x v="0"/>
    <n v="109.7"/>
  </r>
  <r>
    <x v="0"/>
    <x v="0"/>
    <x v="7"/>
    <x v="11"/>
    <x v="0"/>
    <n v="112.6"/>
  </r>
  <r>
    <x v="0"/>
    <x v="0"/>
    <x v="7"/>
    <x v="12"/>
    <x v="0"/>
    <n v="114.9"/>
  </r>
  <r>
    <x v="0"/>
    <x v="0"/>
    <x v="7"/>
    <x v="13"/>
    <x v="1"/>
    <n v="110.7"/>
  </r>
  <r>
    <x v="0"/>
    <x v="0"/>
    <x v="7"/>
    <x v="14"/>
    <x v="2"/>
    <n v="111.3"/>
  </r>
  <r>
    <x v="0"/>
    <x v="0"/>
    <x v="7"/>
    <x v="15"/>
    <x v="2"/>
    <n v="110.2"/>
  </r>
  <r>
    <x v="0"/>
    <x v="0"/>
    <x v="7"/>
    <x v="16"/>
    <x v="2"/>
    <n v="111.1"/>
  </r>
  <r>
    <x v="0"/>
    <x v="0"/>
    <x v="7"/>
    <x v="17"/>
    <x v="3"/>
    <s v="NA"/>
  </r>
  <r>
    <x v="0"/>
    <x v="0"/>
    <x v="7"/>
    <x v="18"/>
    <x v="4"/>
    <n v="109.9"/>
  </r>
  <r>
    <x v="0"/>
    <x v="0"/>
    <x v="7"/>
    <x v="19"/>
    <x v="5"/>
    <n v="108.7"/>
  </r>
  <r>
    <x v="0"/>
    <x v="0"/>
    <x v="7"/>
    <x v="20"/>
    <x v="6"/>
    <n v="107.5"/>
  </r>
  <r>
    <x v="0"/>
    <x v="0"/>
    <x v="7"/>
    <x v="21"/>
    <x v="7"/>
    <n v="107.8"/>
  </r>
  <r>
    <x v="0"/>
    <x v="0"/>
    <x v="7"/>
    <x v="22"/>
    <x v="8"/>
    <n v="106.8"/>
  </r>
  <r>
    <x v="0"/>
    <x v="0"/>
    <x v="7"/>
    <x v="23"/>
    <x v="9"/>
    <n v="108.7"/>
  </r>
  <r>
    <x v="0"/>
    <x v="0"/>
    <x v="7"/>
    <x v="24"/>
    <x v="8"/>
    <n v="105"/>
  </r>
  <r>
    <x v="0"/>
    <x v="0"/>
    <x v="7"/>
    <x v="25"/>
    <x v="5"/>
    <n v="107.5"/>
  </r>
  <r>
    <x v="0"/>
    <x v="0"/>
    <x v="7"/>
    <x v="26"/>
    <x v="10"/>
    <n v="112.1"/>
  </r>
  <r>
    <x v="1"/>
    <x v="0"/>
    <x v="7"/>
    <x v="0"/>
    <x v="0"/>
    <n v="118.3"/>
  </r>
  <r>
    <x v="1"/>
    <x v="0"/>
    <x v="7"/>
    <x v="1"/>
    <x v="0"/>
    <n v="120.4"/>
  </r>
  <r>
    <x v="1"/>
    <x v="0"/>
    <x v="7"/>
    <x v="2"/>
    <x v="0"/>
    <n v="112.7"/>
  </r>
  <r>
    <x v="1"/>
    <x v="0"/>
    <x v="7"/>
    <x v="3"/>
    <x v="0"/>
    <n v="108.9"/>
  </r>
  <r>
    <x v="1"/>
    <x v="0"/>
    <x v="7"/>
    <x v="4"/>
    <x v="0"/>
    <n v="101.1"/>
  </r>
  <r>
    <x v="1"/>
    <x v="0"/>
    <x v="7"/>
    <x v="5"/>
    <x v="0"/>
    <n v="108.7"/>
  </r>
  <r>
    <x v="1"/>
    <x v="0"/>
    <x v="7"/>
    <x v="6"/>
    <x v="0"/>
    <n v="177"/>
  </r>
  <r>
    <x v="1"/>
    <x v="0"/>
    <x v="7"/>
    <x v="7"/>
    <x v="0"/>
    <n v="104.7"/>
  </r>
  <r>
    <x v="1"/>
    <x v="0"/>
    <x v="7"/>
    <x v="8"/>
    <x v="0"/>
    <n v="101"/>
  </r>
  <r>
    <x v="1"/>
    <x v="0"/>
    <x v="7"/>
    <x v="9"/>
    <x v="0"/>
    <n v="108.5"/>
  </r>
  <r>
    <x v="1"/>
    <x v="0"/>
    <x v="7"/>
    <x v="10"/>
    <x v="0"/>
    <n v="110.9"/>
  </r>
  <r>
    <x v="1"/>
    <x v="0"/>
    <x v="7"/>
    <x v="11"/>
    <x v="0"/>
    <n v="114.3"/>
  </r>
  <r>
    <x v="1"/>
    <x v="0"/>
    <x v="7"/>
    <x v="12"/>
    <x v="0"/>
    <n v="119.6"/>
  </r>
  <r>
    <x v="1"/>
    <x v="0"/>
    <x v="7"/>
    <x v="13"/>
    <x v="1"/>
    <n v="112.4"/>
  </r>
  <r>
    <x v="1"/>
    <x v="0"/>
    <x v="7"/>
    <x v="14"/>
    <x v="2"/>
    <n v="110.6"/>
  </r>
  <r>
    <x v="1"/>
    <x v="0"/>
    <x v="7"/>
    <x v="15"/>
    <x v="2"/>
    <n v="108.3"/>
  </r>
  <r>
    <x v="1"/>
    <x v="0"/>
    <x v="7"/>
    <x v="16"/>
    <x v="2"/>
    <n v="110.2"/>
  </r>
  <r>
    <x v="1"/>
    <x v="0"/>
    <x v="7"/>
    <x v="17"/>
    <x v="3"/>
    <n v="108.9"/>
  </r>
  <r>
    <x v="1"/>
    <x v="0"/>
    <x v="7"/>
    <x v="18"/>
    <x v="4"/>
    <n v="109.3"/>
  </r>
  <r>
    <x v="1"/>
    <x v="0"/>
    <x v="7"/>
    <x v="19"/>
    <x v="5"/>
    <n v="108.7"/>
  </r>
  <r>
    <x v="1"/>
    <x v="0"/>
    <x v="7"/>
    <x v="20"/>
    <x v="6"/>
    <n v="107.6"/>
  </r>
  <r>
    <x v="1"/>
    <x v="0"/>
    <x v="7"/>
    <x v="21"/>
    <x v="7"/>
    <n v="108.1"/>
  </r>
  <r>
    <x v="1"/>
    <x v="0"/>
    <x v="7"/>
    <x v="22"/>
    <x v="8"/>
    <n v="106.5"/>
  </r>
  <r>
    <x v="1"/>
    <x v="0"/>
    <x v="7"/>
    <x v="23"/>
    <x v="9"/>
    <n v="110.8"/>
  </r>
  <r>
    <x v="1"/>
    <x v="0"/>
    <x v="7"/>
    <x v="24"/>
    <x v="8"/>
    <n v="106"/>
  </r>
  <r>
    <x v="1"/>
    <x v="0"/>
    <x v="7"/>
    <x v="25"/>
    <x v="5"/>
    <n v="108.3"/>
  </r>
  <r>
    <x v="1"/>
    <x v="0"/>
    <x v="7"/>
    <x v="26"/>
    <x v="10"/>
    <n v="112.7"/>
  </r>
  <r>
    <x v="2"/>
    <x v="0"/>
    <x v="7"/>
    <x v="0"/>
    <x v="0"/>
    <n v="115.6"/>
  </r>
  <r>
    <x v="2"/>
    <x v="0"/>
    <x v="7"/>
    <x v="1"/>
    <x v="0"/>
    <n v="117.2"/>
  </r>
  <r>
    <x v="2"/>
    <x v="0"/>
    <x v="7"/>
    <x v="2"/>
    <x v="0"/>
    <n v="111.7"/>
  </r>
  <r>
    <x v="2"/>
    <x v="0"/>
    <x v="7"/>
    <x v="3"/>
    <x v="0"/>
    <n v="109.6"/>
  </r>
  <r>
    <x v="2"/>
    <x v="0"/>
    <x v="7"/>
    <x v="4"/>
    <x v="0"/>
    <n v="104.5"/>
  </r>
  <r>
    <x v="2"/>
    <x v="0"/>
    <x v="7"/>
    <x v="5"/>
    <x v="0"/>
    <n v="109.8"/>
  </r>
  <r>
    <x v="2"/>
    <x v="0"/>
    <x v="7"/>
    <x v="6"/>
    <x v="0"/>
    <n v="151.80000000000001"/>
  </r>
  <r>
    <x v="2"/>
    <x v="0"/>
    <x v="7"/>
    <x v="7"/>
    <x v="0"/>
    <n v="106.5"/>
  </r>
  <r>
    <x v="2"/>
    <x v="0"/>
    <x v="7"/>
    <x v="8"/>
    <x v="0"/>
    <n v="103.1"/>
  </r>
  <r>
    <x v="2"/>
    <x v="0"/>
    <x v="7"/>
    <x v="9"/>
    <x v="0"/>
    <n v="107.4"/>
  </r>
  <r>
    <x v="2"/>
    <x v="0"/>
    <x v="7"/>
    <x v="10"/>
    <x v="0"/>
    <n v="110.2"/>
  </r>
  <r>
    <x v="2"/>
    <x v="0"/>
    <x v="7"/>
    <x v="11"/>
    <x v="0"/>
    <n v="113.4"/>
  </r>
  <r>
    <x v="2"/>
    <x v="0"/>
    <x v="7"/>
    <x v="12"/>
    <x v="0"/>
    <n v="116.6"/>
  </r>
  <r>
    <x v="2"/>
    <x v="0"/>
    <x v="7"/>
    <x v="13"/>
    <x v="1"/>
    <n v="111.2"/>
  </r>
  <r>
    <x v="2"/>
    <x v="0"/>
    <x v="7"/>
    <x v="14"/>
    <x v="2"/>
    <n v="111"/>
  </r>
  <r>
    <x v="2"/>
    <x v="0"/>
    <x v="7"/>
    <x v="15"/>
    <x v="2"/>
    <n v="109.4"/>
  </r>
  <r>
    <x v="2"/>
    <x v="0"/>
    <x v="7"/>
    <x v="16"/>
    <x v="2"/>
    <n v="110.7"/>
  </r>
  <r>
    <x v="2"/>
    <x v="0"/>
    <x v="7"/>
    <x v="17"/>
    <x v="3"/>
    <n v="108.9"/>
  </r>
  <r>
    <x v="2"/>
    <x v="0"/>
    <x v="7"/>
    <x v="18"/>
    <x v="4"/>
    <n v="109.7"/>
  </r>
  <r>
    <x v="2"/>
    <x v="0"/>
    <x v="7"/>
    <x v="19"/>
    <x v="5"/>
    <n v="108.7"/>
  </r>
  <r>
    <x v="2"/>
    <x v="0"/>
    <x v="7"/>
    <x v="20"/>
    <x v="6"/>
    <n v="107.5"/>
  </r>
  <r>
    <x v="2"/>
    <x v="0"/>
    <x v="7"/>
    <x v="21"/>
    <x v="7"/>
    <n v="108"/>
  </r>
  <r>
    <x v="2"/>
    <x v="0"/>
    <x v="7"/>
    <x v="22"/>
    <x v="8"/>
    <n v="106.6"/>
  </r>
  <r>
    <x v="2"/>
    <x v="0"/>
    <x v="7"/>
    <x v="23"/>
    <x v="9"/>
    <n v="109.9"/>
  </r>
  <r>
    <x v="2"/>
    <x v="0"/>
    <x v="7"/>
    <x v="24"/>
    <x v="8"/>
    <n v="105.4"/>
  </r>
  <r>
    <x v="2"/>
    <x v="0"/>
    <x v="7"/>
    <x v="25"/>
    <x v="5"/>
    <n v="107.9"/>
  </r>
  <r>
    <x v="2"/>
    <x v="0"/>
    <x v="7"/>
    <x v="26"/>
    <x v="10"/>
    <n v="112.4"/>
  </r>
  <r>
    <x v="0"/>
    <x v="0"/>
    <x v="8"/>
    <x v="0"/>
    <x v="0"/>
    <n v="115.4"/>
  </r>
  <r>
    <x v="0"/>
    <x v="0"/>
    <x v="8"/>
    <x v="1"/>
    <x v="0"/>
    <n v="115.7"/>
  </r>
  <r>
    <x v="0"/>
    <x v="0"/>
    <x v="8"/>
    <x v="2"/>
    <x v="0"/>
    <n v="111.7"/>
  </r>
  <r>
    <x v="0"/>
    <x v="0"/>
    <x v="8"/>
    <x v="3"/>
    <x v="0"/>
    <n v="111"/>
  </r>
  <r>
    <x v="0"/>
    <x v="0"/>
    <x v="8"/>
    <x v="4"/>
    <x v="0"/>
    <n v="107.4"/>
  </r>
  <r>
    <x v="0"/>
    <x v="0"/>
    <x v="8"/>
    <x v="5"/>
    <x v="0"/>
    <n v="110.9"/>
  </r>
  <r>
    <x v="0"/>
    <x v="0"/>
    <x v="8"/>
    <x v="6"/>
    <x v="0"/>
    <n v="154"/>
  </r>
  <r>
    <x v="0"/>
    <x v="0"/>
    <x v="8"/>
    <x v="7"/>
    <x v="0"/>
    <n v="108.1"/>
  </r>
  <r>
    <x v="0"/>
    <x v="0"/>
    <x v="8"/>
    <x v="8"/>
    <x v="0"/>
    <n v="104.2"/>
  </r>
  <r>
    <x v="0"/>
    <x v="0"/>
    <x v="8"/>
    <x v="9"/>
    <x v="0"/>
    <n v="107.9"/>
  </r>
  <r>
    <x v="0"/>
    <x v="0"/>
    <x v="8"/>
    <x v="10"/>
    <x v="0"/>
    <n v="110.4"/>
  </r>
  <r>
    <x v="0"/>
    <x v="0"/>
    <x v="8"/>
    <x v="11"/>
    <x v="0"/>
    <n v="114"/>
  </r>
  <r>
    <x v="0"/>
    <x v="0"/>
    <x v="8"/>
    <x v="12"/>
    <x v="0"/>
    <n v="117.8"/>
  </r>
  <r>
    <x v="0"/>
    <x v="0"/>
    <x v="8"/>
    <x v="13"/>
    <x v="1"/>
    <n v="111.7"/>
  </r>
  <r>
    <x v="0"/>
    <x v="0"/>
    <x v="8"/>
    <x v="14"/>
    <x v="2"/>
    <n v="112.7"/>
  </r>
  <r>
    <x v="0"/>
    <x v="0"/>
    <x v="8"/>
    <x v="15"/>
    <x v="2"/>
    <n v="111.4"/>
  </r>
  <r>
    <x v="0"/>
    <x v="0"/>
    <x v="8"/>
    <x v="16"/>
    <x v="2"/>
    <n v="112.5"/>
  </r>
  <r>
    <x v="0"/>
    <x v="0"/>
    <x v="8"/>
    <x v="17"/>
    <x v="3"/>
    <s v="NA"/>
  </r>
  <r>
    <x v="0"/>
    <x v="0"/>
    <x v="8"/>
    <x v="18"/>
    <x v="4"/>
    <n v="111.1"/>
  </r>
  <r>
    <x v="0"/>
    <x v="0"/>
    <x v="8"/>
    <x v="19"/>
    <x v="5"/>
    <n v="109.6"/>
  </r>
  <r>
    <x v="0"/>
    <x v="0"/>
    <x v="8"/>
    <x v="20"/>
    <x v="6"/>
    <n v="108.3"/>
  </r>
  <r>
    <x v="0"/>
    <x v="0"/>
    <x v="8"/>
    <x v="21"/>
    <x v="7"/>
    <n v="109.3"/>
  </r>
  <r>
    <x v="0"/>
    <x v="0"/>
    <x v="8"/>
    <x v="22"/>
    <x v="8"/>
    <n v="107.7"/>
  </r>
  <r>
    <x v="0"/>
    <x v="0"/>
    <x v="8"/>
    <x v="23"/>
    <x v="9"/>
    <n v="109.8"/>
  </r>
  <r>
    <x v="0"/>
    <x v="0"/>
    <x v="8"/>
    <x v="24"/>
    <x v="8"/>
    <n v="106.7"/>
  </r>
  <r>
    <x v="0"/>
    <x v="0"/>
    <x v="8"/>
    <x v="25"/>
    <x v="5"/>
    <n v="108.7"/>
  </r>
  <r>
    <x v="0"/>
    <x v="0"/>
    <x v="8"/>
    <x v="26"/>
    <x v="10"/>
    <n v="114.2"/>
  </r>
  <r>
    <x v="1"/>
    <x v="0"/>
    <x v="8"/>
    <x v="0"/>
    <x v="0"/>
    <n v="118.6"/>
  </r>
  <r>
    <x v="1"/>
    <x v="0"/>
    <x v="8"/>
    <x v="1"/>
    <x v="0"/>
    <n v="119.1"/>
  </r>
  <r>
    <x v="1"/>
    <x v="0"/>
    <x v="8"/>
    <x v="2"/>
    <x v="0"/>
    <n v="113.2"/>
  </r>
  <r>
    <x v="1"/>
    <x v="0"/>
    <x v="8"/>
    <x v="3"/>
    <x v="0"/>
    <n v="109.6"/>
  </r>
  <r>
    <x v="1"/>
    <x v="0"/>
    <x v="8"/>
    <x v="4"/>
    <x v="0"/>
    <n v="101.7"/>
  </r>
  <r>
    <x v="1"/>
    <x v="0"/>
    <x v="8"/>
    <x v="5"/>
    <x v="0"/>
    <n v="103.2"/>
  </r>
  <r>
    <x v="1"/>
    <x v="0"/>
    <x v="8"/>
    <x v="6"/>
    <x v="0"/>
    <n v="174.3"/>
  </r>
  <r>
    <x v="1"/>
    <x v="0"/>
    <x v="8"/>
    <x v="7"/>
    <x v="0"/>
    <n v="105.1"/>
  </r>
  <r>
    <x v="1"/>
    <x v="0"/>
    <x v="8"/>
    <x v="8"/>
    <x v="0"/>
    <n v="100.8"/>
  </r>
  <r>
    <x v="1"/>
    <x v="0"/>
    <x v="8"/>
    <x v="9"/>
    <x v="0"/>
    <n v="109.1"/>
  </r>
  <r>
    <x v="1"/>
    <x v="0"/>
    <x v="8"/>
    <x v="10"/>
    <x v="0"/>
    <n v="111.1"/>
  </r>
  <r>
    <x v="1"/>
    <x v="0"/>
    <x v="8"/>
    <x v="11"/>
    <x v="0"/>
    <n v="115.4"/>
  </r>
  <r>
    <x v="1"/>
    <x v="0"/>
    <x v="8"/>
    <x v="12"/>
    <x v="0"/>
    <n v="119.2"/>
  </r>
  <r>
    <x v="1"/>
    <x v="0"/>
    <x v="8"/>
    <x v="13"/>
    <x v="1"/>
    <n v="112.9"/>
  </r>
  <r>
    <x v="1"/>
    <x v="0"/>
    <x v="8"/>
    <x v="14"/>
    <x v="2"/>
    <n v="111.4"/>
  </r>
  <r>
    <x v="1"/>
    <x v="0"/>
    <x v="8"/>
    <x v="15"/>
    <x v="2"/>
    <n v="109"/>
  </r>
  <r>
    <x v="1"/>
    <x v="0"/>
    <x v="8"/>
    <x v="16"/>
    <x v="2"/>
    <n v="111.1"/>
  </r>
  <r>
    <x v="1"/>
    <x v="0"/>
    <x v="8"/>
    <x v="17"/>
    <x v="3"/>
    <n v="109.7"/>
  </r>
  <r>
    <x v="1"/>
    <x v="0"/>
    <x v="8"/>
    <x v="18"/>
    <x v="4"/>
    <n v="109.5"/>
  </r>
  <r>
    <x v="1"/>
    <x v="0"/>
    <x v="8"/>
    <x v="19"/>
    <x v="5"/>
    <n v="109.6"/>
  </r>
  <r>
    <x v="1"/>
    <x v="0"/>
    <x v="8"/>
    <x v="20"/>
    <x v="6"/>
    <n v="107.9"/>
  </r>
  <r>
    <x v="1"/>
    <x v="0"/>
    <x v="8"/>
    <x v="21"/>
    <x v="7"/>
    <n v="110.4"/>
  </r>
  <r>
    <x v="1"/>
    <x v="0"/>
    <x v="8"/>
    <x v="22"/>
    <x v="8"/>
    <n v="107.4"/>
  </r>
  <r>
    <x v="1"/>
    <x v="0"/>
    <x v="8"/>
    <x v="23"/>
    <x v="9"/>
    <n v="111.2"/>
  </r>
  <r>
    <x v="1"/>
    <x v="0"/>
    <x v="8"/>
    <x v="24"/>
    <x v="8"/>
    <n v="106.9"/>
  </r>
  <r>
    <x v="1"/>
    <x v="0"/>
    <x v="8"/>
    <x v="25"/>
    <x v="5"/>
    <n v="109.4"/>
  </r>
  <r>
    <x v="1"/>
    <x v="0"/>
    <x v="8"/>
    <x v="26"/>
    <x v="10"/>
    <n v="113.2"/>
  </r>
  <r>
    <x v="2"/>
    <x v="0"/>
    <x v="8"/>
    <x v="0"/>
    <x v="0"/>
    <n v="116.4"/>
  </r>
  <r>
    <x v="2"/>
    <x v="0"/>
    <x v="8"/>
    <x v="1"/>
    <x v="0"/>
    <n v="116.9"/>
  </r>
  <r>
    <x v="2"/>
    <x v="0"/>
    <x v="8"/>
    <x v="2"/>
    <x v="0"/>
    <n v="112.3"/>
  </r>
  <r>
    <x v="2"/>
    <x v="0"/>
    <x v="8"/>
    <x v="3"/>
    <x v="0"/>
    <n v="110.5"/>
  </r>
  <r>
    <x v="2"/>
    <x v="0"/>
    <x v="8"/>
    <x v="4"/>
    <x v="0"/>
    <n v="105.3"/>
  </r>
  <r>
    <x v="2"/>
    <x v="0"/>
    <x v="8"/>
    <x v="5"/>
    <x v="0"/>
    <n v="107.3"/>
  </r>
  <r>
    <x v="2"/>
    <x v="0"/>
    <x v="8"/>
    <x v="6"/>
    <x v="0"/>
    <n v="160.9"/>
  </r>
  <r>
    <x v="2"/>
    <x v="0"/>
    <x v="8"/>
    <x v="7"/>
    <x v="0"/>
    <n v="107.1"/>
  </r>
  <r>
    <x v="2"/>
    <x v="0"/>
    <x v="8"/>
    <x v="8"/>
    <x v="0"/>
    <n v="103.1"/>
  </r>
  <r>
    <x v="2"/>
    <x v="0"/>
    <x v="8"/>
    <x v="9"/>
    <x v="0"/>
    <n v="108.3"/>
  </r>
  <r>
    <x v="2"/>
    <x v="0"/>
    <x v="8"/>
    <x v="10"/>
    <x v="0"/>
    <n v="110.7"/>
  </r>
  <r>
    <x v="2"/>
    <x v="0"/>
    <x v="8"/>
    <x v="11"/>
    <x v="0"/>
    <n v="114.6"/>
  </r>
  <r>
    <x v="2"/>
    <x v="0"/>
    <x v="8"/>
    <x v="12"/>
    <x v="0"/>
    <n v="118.3"/>
  </r>
  <r>
    <x v="2"/>
    <x v="0"/>
    <x v="8"/>
    <x v="13"/>
    <x v="1"/>
    <n v="112"/>
  </r>
  <r>
    <x v="2"/>
    <x v="0"/>
    <x v="8"/>
    <x v="14"/>
    <x v="2"/>
    <n v="112.2"/>
  </r>
  <r>
    <x v="2"/>
    <x v="0"/>
    <x v="8"/>
    <x v="15"/>
    <x v="2"/>
    <n v="110.4"/>
  </r>
  <r>
    <x v="2"/>
    <x v="0"/>
    <x v="8"/>
    <x v="16"/>
    <x v="2"/>
    <n v="111.9"/>
  </r>
  <r>
    <x v="2"/>
    <x v="0"/>
    <x v="8"/>
    <x v="17"/>
    <x v="3"/>
    <n v="109.7"/>
  </r>
  <r>
    <x v="2"/>
    <x v="0"/>
    <x v="8"/>
    <x v="18"/>
    <x v="4"/>
    <n v="110.5"/>
  </r>
  <r>
    <x v="2"/>
    <x v="0"/>
    <x v="8"/>
    <x v="19"/>
    <x v="5"/>
    <n v="109.6"/>
  </r>
  <r>
    <x v="2"/>
    <x v="0"/>
    <x v="8"/>
    <x v="20"/>
    <x v="6"/>
    <n v="108.1"/>
  </r>
  <r>
    <x v="2"/>
    <x v="0"/>
    <x v="8"/>
    <x v="21"/>
    <x v="7"/>
    <n v="109.9"/>
  </r>
  <r>
    <x v="2"/>
    <x v="0"/>
    <x v="8"/>
    <x v="22"/>
    <x v="8"/>
    <n v="107.5"/>
  </r>
  <r>
    <x v="2"/>
    <x v="0"/>
    <x v="8"/>
    <x v="23"/>
    <x v="9"/>
    <n v="110.6"/>
  </r>
  <r>
    <x v="2"/>
    <x v="0"/>
    <x v="8"/>
    <x v="24"/>
    <x v="8"/>
    <n v="106.8"/>
  </r>
  <r>
    <x v="2"/>
    <x v="0"/>
    <x v="8"/>
    <x v="25"/>
    <x v="5"/>
    <n v="109"/>
  </r>
  <r>
    <x v="2"/>
    <x v="0"/>
    <x v="8"/>
    <x v="26"/>
    <x v="10"/>
    <n v="113.7"/>
  </r>
  <r>
    <x v="0"/>
    <x v="0"/>
    <x v="9"/>
    <x v="0"/>
    <x v="0"/>
    <n v="116.3"/>
  </r>
  <r>
    <x v="0"/>
    <x v="0"/>
    <x v="9"/>
    <x v="1"/>
    <x v="0"/>
    <n v="115.4"/>
  </r>
  <r>
    <x v="0"/>
    <x v="0"/>
    <x v="9"/>
    <x v="2"/>
    <x v="0"/>
    <n v="112.6"/>
  </r>
  <r>
    <x v="0"/>
    <x v="0"/>
    <x v="9"/>
    <x v="3"/>
    <x v="0"/>
    <n v="111.7"/>
  </r>
  <r>
    <x v="0"/>
    <x v="0"/>
    <x v="9"/>
    <x v="4"/>
    <x v="0"/>
    <n v="107.7"/>
  </r>
  <r>
    <x v="0"/>
    <x v="0"/>
    <x v="9"/>
    <x v="5"/>
    <x v="0"/>
    <n v="113.2"/>
  </r>
  <r>
    <x v="0"/>
    <x v="0"/>
    <x v="9"/>
    <x v="6"/>
    <x v="0"/>
    <n v="164.9"/>
  </r>
  <r>
    <x v="0"/>
    <x v="0"/>
    <x v="9"/>
    <x v="7"/>
    <x v="0"/>
    <n v="108.3"/>
  </r>
  <r>
    <x v="0"/>
    <x v="0"/>
    <x v="9"/>
    <x v="8"/>
    <x v="0"/>
    <n v="103.9"/>
  </r>
  <r>
    <x v="0"/>
    <x v="0"/>
    <x v="9"/>
    <x v="9"/>
    <x v="0"/>
    <n v="108.2"/>
  </r>
  <r>
    <x v="0"/>
    <x v="0"/>
    <x v="9"/>
    <x v="10"/>
    <x v="0"/>
    <n v="111.1"/>
  </r>
  <r>
    <x v="0"/>
    <x v="0"/>
    <x v="9"/>
    <x v="11"/>
    <x v="0"/>
    <n v="114.9"/>
  </r>
  <r>
    <x v="0"/>
    <x v="0"/>
    <x v="9"/>
    <x v="12"/>
    <x v="0"/>
    <n v="119.8"/>
  </r>
  <r>
    <x v="0"/>
    <x v="0"/>
    <x v="9"/>
    <x v="13"/>
    <x v="1"/>
    <n v="112.2"/>
  </r>
  <r>
    <x v="0"/>
    <x v="0"/>
    <x v="9"/>
    <x v="14"/>
    <x v="2"/>
    <n v="113.6"/>
  </r>
  <r>
    <x v="0"/>
    <x v="0"/>
    <x v="9"/>
    <x v="15"/>
    <x v="2"/>
    <n v="112.3"/>
  </r>
  <r>
    <x v="0"/>
    <x v="0"/>
    <x v="9"/>
    <x v="16"/>
    <x v="2"/>
    <n v="113.4"/>
  </r>
  <r>
    <x v="0"/>
    <x v="0"/>
    <x v="9"/>
    <x v="17"/>
    <x v="3"/>
    <s v="NA"/>
  </r>
  <r>
    <x v="0"/>
    <x v="0"/>
    <x v="9"/>
    <x v="18"/>
    <x v="4"/>
    <n v="111.6"/>
  </r>
  <r>
    <x v="0"/>
    <x v="0"/>
    <x v="9"/>
    <x v="19"/>
    <x v="5"/>
    <n v="110.4"/>
  </r>
  <r>
    <x v="0"/>
    <x v="0"/>
    <x v="9"/>
    <x v="20"/>
    <x v="6"/>
    <n v="108.9"/>
  </r>
  <r>
    <x v="0"/>
    <x v="0"/>
    <x v="9"/>
    <x v="21"/>
    <x v="7"/>
    <n v="109.3"/>
  </r>
  <r>
    <x v="0"/>
    <x v="0"/>
    <x v="9"/>
    <x v="22"/>
    <x v="8"/>
    <n v="108.3"/>
  </r>
  <r>
    <x v="0"/>
    <x v="0"/>
    <x v="9"/>
    <x v="23"/>
    <x v="9"/>
    <n v="110.2"/>
  </r>
  <r>
    <x v="0"/>
    <x v="0"/>
    <x v="9"/>
    <x v="24"/>
    <x v="8"/>
    <n v="107.5"/>
  </r>
  <r>
    <x v="0"/>
    <x v="0"/>
    <x v="9"/>
    <x v="25"/>
    <x v="5"/>
    <n v="109.1"/>
  </r>
  <r>
    <x v="0"/>
    <x v="0"/>
    <x v="9"/>
    <x v="26"/>
    <x v="10"/>
    <n v="115.5"/>
  </r>
  <r>
    <x v="1"/>
    <x v="0"/>
    <x v="9"/>
    <x v="0"/>
    <x v="0"/>
    <n v="118.9"/>
  </r>
  <r>
    <x v="1"/>
    <x v="0"/>
    <x v="9"/>
    <x v="1"/>
    <x v="0"/>
    <n v="118.1"/>
  </r>
  <r>
    <x v="1"/>
    <x v="0"/>
    <x v="9"/>
    <x v="2"/>
    <x v="0"/>
    <n v="114.5"/>
  </r>
  <r>
    <x v="1"/>
    <x v="0"/>
    <x v="9"/>
    <x v="3"/>
    <x v="0"/>
    <n v="110.4"/>
  </r>
  <r>
    <x v="1"/>
    <x v="0"/>
    <x v="9"/>
    <x v="4"/>
    <x v="0"/>
    <n v="102.3"/>
  </r>
  <r>
    <x v="1"/>
    <x v="0"/>
    <x v="9"/>
    <x v="5"/>
    <x v="0"/>
    <n v="106.2"/>
  </r>
  <r>
    <x v="1"/>
    <x v="0"/>
    <x v="9"/>
    <x v="6"/>
    <x v="0"/>
    <n v="183.5"/>
  </r>
  <r>
    <x v="1"/>
    <x v="0"/>
    <x v="9"/>
    <x v="7"/>
    <x v="0"/>
    <n v="105.3"/>
  </r>
  <r>
    <x v="1"/>
    <x v="0"/>
    <x v="9"/>
    <x v="8"/>
    <x v="0"/>
    <n v="100.2"/>
  </r>
  <r>
    <x v="1"/>
    <x v="0"/>
    <x v="9"/>
    <x v="9"/>
    <x v="0"/>
    <n v="109.6"/>
  </r>
  <r>
    <x v="1"/>
    <x v="0"/>
    <x v="9"/>
    <x v="10"/>
    <x v="0"/>
    <n v="111.4"/>
  </r>
  <r>
    <x v="1"/>
    <x v="0"/>
    <x v="9"/>
    <x v="11"/>
    <x v="0"/>
    <n v="116"/>
  </r>
  <r>
    <x v="1"/>
    <x v="0"/>
    <x v="9"/>
    <x v="12"/>
    <x v="0"/>
    <n v="120.8"/>
  </r>
  <r>
    <x v="1"/>
    <x v="0"/>
    <x v="9"/>
    <x v="13"/>
    <x v="1"/>
    <n v="113.5"/>
  </r>
  <r>
    <x v="1"/>
    <x v="0"/>
    <x v="9"/>
    <x v="14"/>
    <x v="2"/>
    <n v="112.5"/>
  </r>
  <r>
    <x v="1"/>
    <x v="0"/>
    <x v="9"/>
    <x v="15"/>
    <x v="2"/>
    <n v="109.7"/>
  </r>
  <r>
    <x v="1"/>
    <x v="0"/>
    <x v="9"/>
    <x v="16"/>
    <x v="2"/>
    <n v="112"/>
  </r>
  <r>
    <x v="1"/>
    <x v="0"/>
    <x v="9"/>
    <x v="17"/>
    <x v="3"/>
    <n v="110.5"/>
  </r>
  <r>
    <x v="1"/>
    <x v="0"/>
    <x v="9"/>
    <x v="18"/>
    <x v="4"/>
    <n v="109.7"/>
  </r>
  <r>
    <x v="1"/>
    <x v="0"/>
    <x v="9"/>
    <x v="19"/>
    <x v="5"/>
    <n v="110.2"/>
  </r>
  <r>
    <x v="1"/>
    <x v="0"/>
    <x v="9"/>
    <x v="20"/>
    <x v="6"/>
    <n v="108.2"/>
  </r>
  <r>
    <x v="1"/>
    <x v="0"/>
    <x v="9"/>
    <x v="21"/>
    <x v="7"/>
    <n v="109.7"/>
  </r>
  <r>
    <x v="1"/>
    <x v="0"/>
    <x v="9"/>
    <x v="22"/>
    <x v="8"/>
    <n v="108"/>
  </r>
  <r>
    <x v="1"/>
    <x v="0"/>
    <x v="9"/>
    <x v="23"/>
    <x v="9"/>
    <n v="111.3"/>
  </r>
  <r>
    <x v="1"/>
    <x v="0"/>
    <x v="9"/>
    <x v="24"/>
    <x v="8"/>
    <n v="107.3"/>
  </r>
  <r>
    <x v="1"/>
    <x v="0"/>
    <x v="9"/>
    <x v="25"/>
    <x v="5"/>
    <n v="109.4"/>
  </r>
  <r>
    <x v="1"/>
    <x v="0"/>
    <x v="9"/>
    <x v="26"/>
    <x v="10"/>
    <n v="114"/>
  </r>
  <r>
    <x v="2"/>
    <x v="0"/>
    <x v="9"/>
    <x v="0"/>
    <x v="0"/>
    <n v="117.1"/>
  </r>
  <r>
    <x v="2"/>
    <x v="0"/>
    <x v="9"/>
    <x v="1"/>
    <x v="0"/>
    <n v="116.3"/>
  </r>
  <r>
    <x v="2"/>
    <x v="0"/>
    <x v="9"/>
    <x v="2"/>
    <x v="0"/>
    <n v="113.3"/>
  </r>
  <r>
    <x v="2"/>
    <x v="0"/>
    <x v="9"/>
    <x v="3"/>
    <x v="0"/>
    <n v="111.2"/>
  </r>
  <r>
    <x v="2"/>
    <x v="0"/>
    <x v="9"/>
    <x v="4"/>
    <x v="0"/>
    <n v="105.7"/>
  </r>
  <r>
    <x v="2"/>
    <x v="0"/>
    <x v="9"/>
    <x v="5"/>
    <x v="0"/>
    <n v="109.9"/>
  </r>
  <r>
    <x v="2"/>
    <x v="0"/>
    <x v="9"/>
    <x v="6"/>
    <x v="0"/>
    <n v="171.2"/>
  </r>
  <r>
    <x v="2"/>
    <x v="0"/>
    <x v="9"/>
    <x v="7"/>
    <x v="0"/>
    <n v="107.3"/>
  </r>
  <r>
    <x v="2"/>
    <x v="0"/>
    <x v="9"/>
    <x v="8"/>
    <x v="0"/>
    <n v="102.7"/>
  </r>
  <r>
    <x v="2"/>
    <x v="0"/>
    <x v="9"/>
    <x v="9"/>
    <x v="0"/>
    <n v="108.7"/>
  </r>
  <r>
    <x v="2"/>
    <x v="0"/>
    <x v="9"/>
    <x v="10"/>
    <x v="0"/>
    <n v="111.2"/>
  </r>
  <r>
    <x v="2"/>
    <x v="0"/>
    <x v="9"/>
    <x v="11"/>
    <x v="0"/>
    <n v="115.4"/>
  </r>
  <r>
    <x v="2"/>
    <x v="0"/>
    <x v="9"/>
    <x v="12"/>
    <x v="0"/>
    <n v="120.2"/>
  </r>
  <r>
    <x v="2"/>
    <x v="0"/>
    <x v="9"/>
    <x v="13"/>
    <x v="1"/>
    <n v="112.5"/>
  </r>
  <r>
    <x v="2"/>
    <x v="0"/>
    <x v="9"/>
    <x v="14"/>
    <x v="2"/>
    <n v="113.2"/>
  </r>
  <r>
    <x v="2"/>
    <x v="0"/>
    <x v="9"/>
    <x v="15"/>
    <x v="2"/>
    <n v="111.2"/>
  </r>
  <r>
    <x v="2"/>
    <x v="0"/>
    <x v="9"/>
    <x v="16"/>
    <x v="2"/>
    <n v="112.8"/>
  </r>
  <r>
    <x v="2"/>
    <x v="0"/>
    <x v="9"/>
    <x v="17"/>
    <x v="3"/>
    <n v="110.5"/>
  </r>
  <r>
    <x v="2"/>
    <x v="0"/>
    <x v="9"/>
    <x v="18"/>
    <x v="4"/>
    <n v="110.9"/>
  </r>
  <r>
    <x v="2"/>
    <x v="0"/>
    <x v="9"/>
    <x v="19"/>
    <x v="5"/>
    <n v="110.3"/>
  </r>
  <r>
    <x v="2"/>
    <x v="0"/>
    <x v="9"/>
    <x v="20"/>
    <x v="6"/>
    <n v="108.6"/>
  </r>
  <r>
    <x v="2"/>
    <x v="0"/>
    <x v="9"/>
    <x v="21"/>
    <x v="7"/>
    <n v="109.5"/>
  </r>
  <r>
    <x v="2"/>
    <x v="0"/>
    <x v="9"/>
    <x v="22"/>
    <x v="8"/>
    <n v="108.1"/>
  </r>
  <r>
    <x v="2"/>
    <x v="0"/>
    <x v="9"/>
    <x v="23"/>
    <x v="9"/>
    <n v="110.8"/>
  </r>
  <r>
    <x v="2"/>
    <x v="0"/>
    <x v="9"/>
    <x v="24"/>
    <x v="8"/>
    <n v="107.4"/>
  </r>
  <r>
    <x v="2"/>
    <x v="0"/>
    <x v="9"/>
    <x v="25"/>
    <x v="5"/>
    <n v="109.2"/>
  </r>
  <r>
    <x v="2"/>
    <x v="0"/>
    <x v="9"/>
    <x v="26"/>
    <x v="10"/>
    <n v="114.8"/>
  </r>
  <r>
    <x v="0"/>
    <x v="0"/>
    <x v="10"/>
    <x v="0"/>
    <x v="0"/>
    <n v="117.3"/>
  </r>
  <r>
    <x v="0"/>
    <x v="0"/>
    <x v="10"/>
    <x v="1"/>
    <x v="0"/>
    <n v="114.9"/>
  </r>
  <r>
    <x v="0"/>
    <x v="0"/>
    <x v="10"/>
    <x v="2"/>
    <x v="0"/>
    <n v="116.2"/>
  </r>
  <r>
    <x v="0"/>
    <x v="0"/>
    <x v="10"/>
    <x v="3"/>
    <x v="0"/>
    <n v="112.8"/>
  </r>
  <r>
    <x v="0"/>
    <x v="0"/>
    <x v="10"/>
    <x v="4"/>
    <x v="0"/>
    <n v="108.9"/>
  </r>
  <r>
    <x v="0"/>
    <x v="0"/>
    <x v="10"/>
    <x v="5"/>
    <x v="0"/>
    <n v="116.6"/>
  </r>
  <r>
    <x v="0"/>
    <x v="0"/>
    <x v="10"/>
    <x v="6"/>
    <x v="0"/>
    <n v="178.1"/>
  </r>
  <r>
    <x v="0"/>
    <x v="0"/>
    <x v="10"/>
    <x v="7"/>
    <x v="0"/>
    <n v="109.1"/>
  </r>
  <r>
    <x v="0"/>
    <x v="0"/>
    <x v="10"/>
    <x v="8"/>
    <x v="0"/>
    <n v="103.6"/>
  </r>
  <r>
    <x v="0"/>
    <x v="0"/>
    <x v="10"/>
    <x v="9"/>
    <x v="0"/>
    <n v="109"/>
  </r>
  <r>
    <x v="0"/>
    <x v="0"/>
    <x v="10"/>
    <x v="10"/>
    <x v="0"/>
    <n v="111.8"/>
  </r>
  <r>
    <x v="0"/>
    <x v="0"/>
    <x v="10"/>
    <x v="11"/>
    <x v="0"/>
    <n v="116"/>
  </r>
  <r>
    <x v="0"/>
    <x v="0"/>
    <x v="10"/>
    <x v="12"/>
    <x v="0"/>
    <n v="122.5"/>
  </r>
  <r>
    <x v="0"/>
    <x v="0"/>
    <x v="10"/>
    <x v="13"/>
    <x v="1"/>
    <n v="112.8"/>
  </r>
  <r>
    <x v="0"/>
    <x v="0"/>
    <x v="10"/>
    <x v="14"/>
    <x v="2"/>
    <n v="114.6"/>
  </r>
  <r>
    <x v="0"/>
    <x v="0"/>
    <x v="10"/>
    <x v="15"/>
    <x v="2"/>
    <n v="113.1"/>
  </r>
  <r>
    <x v="0"/>
    <x v="0"/>
    <x v="10"/>
    <x v="16"/>
    <x v="2"/>
    <n v="114.4"/>
  </r>
  <r>
    <x v="0"/>
    <x v="0"/>
    <x v="10"/>
    <x v="17"/>
    <x v="3"/>
    <s v="NA"/>
  </r>
  <r>
    <x v="0"/>
    <x v="0"/>
    <x v="10"/>
    <x v="18"/>
    <x v="4"/>
    <n v="112.6"/>
  </r>
  <r>
    <x v="0"/>
    <x v="0"/>
    <x v="10"/>
    <x v="19"/>
    <x v="5"/>
    <n v="111.3"/>
  </r>
  <r>
    <x v="0"/>
    <x v="0"/>
    <x v="10"/>
    <x v="20"/>
    <x v="6"/>
    <n v="109.7"/>
  </r>
  <r>
    <x v="0"/>
    <x v="0"/>
    <x v="10"/>
    <x v="21"/>
    <x v="7"/>
    <n v="109.6"/>
  </r>
  <r>
    <x v="0"/>
    <x v="0"/>
    <x v="10"/>
    <x v="22"/>
    <x v="8"/>
    <n v="108.7"/>
  </r>
  <r>
    <x v="0"/>
    <x v="0"/>
    <x v="10"/>
    <x v="23"/>
    <x v="9"/>
    <n v="111"/>
  </r>
  <r>
    <x v="0"/>
    <x v="0"/>
    <x v="10"/>
    <x v="24"/>
    <x v="8"/>
    <n v="108.2"/>
  </r>
  <r>
    <x v="0"/>
    <x v="0"/>
    <x v="10"/>
    <x v="25"/>
    <x v="5"/>
    <n v="109.8"/>
  </r>
  <r>
    <x v="0"/>
    <x v="0"/>
    <x v="10"/>
    <x v="26"/>
    <x v="10"/>
    <n v="117.4"/>
  </r>
  <r>
    <x v="1"/>
    <x v="0"/>
    <x v="11"/>
    <x v="0"/>
    <x v="0"/>
    <n v="119.8"/>
  </r>
  <r>
    <x v="1"/>
    <x v="0"/>
    <x v="11"/>
    <x v="1"/>
    <x v="0"/>
    <n v="116.3"/>
  </r>
  <r>
    <x v="1"/>
    <x v="0"/>
    <x v="11"/>
    <x v="2"/>
    <x v="0"/>
    <n v="122.6"/>
  </r>
  <r>
    <x v="1"/>
    <x v="0"/>
    <x v="11"/>
    <x v="3"/>
    <x v="0"/>
    <n v="112"/>
  </r>
  <r>
    <x v="1"/>
    <x v="0"/>
    <x v="11"/>
    <x v="4"/>
    <x v="0"/>
    <n v="103.2"/>
  </r>
  <r>
    <x v="1"/>
    <x v="0"/>
    <x v="11"/>
    <x v="5"/>
    <x v="0"/>
    <n v="110"/>
  </r>
  <r>
    <x v="1"/>
    <x v="0"/>
    <x v="11"/>
    <x v="6"/>
    <x v="0"/>
    <n v="192.8"/>
  </r>
  <r>
    <x v="1"/>
    <x v="0"/>
    <x v="11"/>
    <x v="7"/>
    <x v="0"/>
    <n v="106.3"/>
  </r>
  <r>
    <x v="1"/>
    <x v="0"/>
    <x v="11"/>
    <x v="8"/>
    <x v="0"/>
    <n v="99.5"/>
  </r>
  <r>
    <x v="1"/>
    <x v="0"/>
    <x v="11"/>
    <x v="9"/>
    <x v="0"/>
    <n v="110.3"/>
  </r>
  <r>
    <x v="1"/>
    <x v="0"/>
    <x v="11"/>
    <x v="10"/>
    <x v="0"/>
    <n v="111.8"/>
  </r>
  <r>
    <x v="1"/>
    <x v="0"/>
    <x v="11"/>
    <x v="11"/>
    <x v="0"/>
    <n v="117.1"/>
  </r>
  <r>
    <x v="1"/>
    <x v="0"/>
    <x v="11"/>
    <x v="12"/>
    <x v="0"/>
    <n v="122.9"/>
  </r>
  <r>
    <x v="1"/>
    <x v="0"/>
    <x v="11"/>
    <x v="13"/>
    <x v="1"/>
    <n v="114.1"/>
  </r>
  <r>
    <x v="1"/>
    <x v="0"/>
    <x v="11"/>
    <x v="14"/>
    <x v="2"/>
    <n v="113.5"/>
  </r>
  <r>
    <x v="1"/>
    <x v="0"/>
    <x v="11"/>
    <x v="15"/>
    <x v="2"/>
    <n v="110.3"/>
  </r>
  <r>
    <x v="1"/>
    <x v="0"/>
    <x v="11"/>
    <x v="16"/>
    <x v="2"/>
    <n v="113"/>
  </r>
  <r>
    <x v="1"/>
    <x v="0"/>
    <x v="11"/>
    <x v="17"/>
    <x v="3"/>
    <n v="111.1"/>
  </r>
  <r>
    <x v="1"/>
    <x v="0"/>
    <x v="11"/>
    <x v="18"/>
    <x v="4"/>
    <n v="110"/>
  </r>
  <r>
    <x v="1"/>
    <x v="0"/>
    <x v="11"/>
    <x v="19"/>
    <x v="5"/>
    <n v="110.9"/>
  </r>
  <r>
    <x v="1"/>
    <x v="0"/>
    <x v="11"/>
    <x v="20"/>
    <x v="6"/>
    <n v="108.6"/>
  </r>
  <r>
    <x v="1"/>
    <x v="0"/>
    <x v="11"/>
    <x v="21"/>
    <x v="7"/>
    <n v="109.5"/>
  </r>
  <r>
    <x v="1"/>
    <x v="0"/>
    <x v="11"/>
    <x v="22"/>
    <x v="8"/>
    <n v="108.5"/>
  </r>
  <r>
    <x v="1"/>
    <x v="0"/>
    <x v="11"/>
    <x v="23"/>
    <x v="9"/>
    <n v="111.3"/>
  </r>
  <r>
    <x v="1"/>
    <x v="0"/>
    <x v="11"/>
    <x v="24"/>
    <x v="8"/>
    <n v="107.9"/>
  </r>
  <r>
    <x v="1"/>
    <x v="0"/>
    <x v="11"/>
    <x v="25"/>
    <x v="5"/>
    <n v="109.6"/>
  </r>
  <r>
    <x v="1"/>
    <x v="0"/>
    <x v="11"/>
    <x v="26"/>
    <x v="10"/>
    <n v="115"/>
  </r>
  <r>
    <x v="2"/>
    <x v="0"/>
    <x v="11"/>
    <x v="0"/>
    <x v="0"/>
    <n v="118.1"/>
  </r>
  <r>
    <x v="2"/>
    <x v="0"/>
    <x v="11"/>
    <x v="1"/>
    <x v="0"/>
    <n v="115.4"/>
  </r>
  <r>
    <x v="2"/>
    <x v="0"/>
    <x v="11"/>
    <x v="2"/>
    <x v="0"/>
    <n v="118.7"/>
  </r>
  <r>
    <x v="2"/>
    <x v="0"/>
    <x v="11"/>
    <x v="3"/>
    <x v="0"/>
    <n v="112.5"/>
  </r>
  <r>
    <x v="2"/>
    <x v="0"/>
    <x v="11"/>
    <x v="4"/>
    <x v="0"/>
    <n v="106.8"/>
  </r>
  <r>
    <x v="2"/>
    <x v="0"/>
    <x v="11"/>
    <x v="5"/>
    <x v="0"/>
    <n v="113.5"/>
  </r>
  <r>
    <x v="2"/>
    <x v="0"/>
    <x v="11"/>
    <x v="6"/>
    <x v="0"/>
    <n v="183.1"/>
  </r>
  <r>
    <x v="2"/>
    <x v="0"/>
    <x v="11"/>
    <x v="7"/>
    <x v="0"/>
    <n v="108.2"/>
  </r>
  <r>
    <x v="2"/>
    <x v="0"/>
    <x v="11"/>
    <x v="8"/>
    <x v="0"/>
    <n v="102.2"/>
  </r>
  <r>
    <x v="2"/>
    <x v="0"/>
    <x v="11"/>
    <x v="9"/>
    <x v="0"/>
    <n v="109.4"/>
  </r>
  <r>
    <x v="2"/>
    <x v="0"/>
    <x v="11"/>
    <x v="10"/>
    <x v="0"/>
    <n v="111.8"/>
  </r>
  <r>
    <x v="2"/>
    <x v="0"/>
    <x v="11"/>
    <x v="11"/>
    <x v="0"/>
    <n v="116.5"/>
  </r>
  <r>
    <x v="2"/>
    <x v="0"/>
    <x v="11"/>
    <x v="12"/>
    <x v="0"/>
    <n v="122.6"/>
  </r>
  <r>
    <x v="2"/>
    <x v="0"/>
    <x v="11"/>
    <x v="13"/>
    <x v="1"/>
    <n v="113.1"/>
  </r>
  <r>
    <x v="2"/>
    <x v="0"/>
    <x v="11"/>
    <x v="14"/>
    <x v="2"/>
    <n v="114.2"/>
  </r>
  <r>
    <x v="2"/>
    <x v="0"/>
    <x v="11"/>
    <x v="15"/>
    <x v="2"/>
    <n v="111.9"/>
  </r>
  <r>
    <x v="2"/>
    <x v="0"/>
    <x v="11"/>
    <x v="16"/>
    <x v="2"/>
    <n v="113.8"/>
  </r>
  <r>
    <x v="2"/>
    <x v="0"/>
    <x v="11"/>
    <x v="17"/>
    <x v="3"/>
    <n v="111.1"/>
  </r>
  <r>
    <x v="2"/>
    <x v="0"/>
    <x v="11"/>
    <x v="18"/>
    <x v="4"/>
    <n v="111.6"/>
  </r>
  <r>
    <x v="2"/>
    <x v="0"/>
    <x v="11"/>
    <x v="19"/>
    <x v="5"/>
    <n v="111.1"/>
  </r>
  <r>
    <x v="2"/>
    <x v="0"/>
    <x v="11"/>
    <x v="20"/>
    <x v="6"/>
    <n v="109.3"/>
  </r>
  <r>
    <x v="2"/>
    <x v="0"/>
    <x v="11"/>
    <x v="21"/>
    <x v="7"/>
    <n v="109.5"/>
  </r>
  <r>
    <x v="2"/>
    <x v="0"/>
    <x v="11"/>
    <x v="22"/>
    <x v="8"/>
    <n v="108.6"/>
  </r>
  <r>
    <x v="2"/>
    <x v="0"/>
    <x v="11"/>
    <x v="23"/>
    <x v="9"/>
    <n v="111.2"/>
  </r>
  <r>
    <x v="2"/>
    <x v="0"/>
    <x v="11"/>
    <x v="24"/>
    <x v="8"/>
    <n v="108.1"/>
  </r>
  <r>
    <x v="2"/>
    <x v="0"/>
    <x v="11"/>
    <x v="25"/>
    <x v="5"/>
    <n v="109.7"/>
  </r>
  <r>
    <x v="2"/>
    <x v="0"/>
    <x v="11"/>
    <x v="26"/>
    <x v="10"/>
    <n v="116.3"/>
  </r>
  <r>
    <x v="0"/>
    <x v="0"/>
    <x v="12"/>
    <x v="0"/>
    <x v="0"/>
    <n v="118.4"/>
  </r>
  <r>
    <x v="0"/>
    <x v="0"/>
    <x v="12"/>
    <x v="1"/>
    <x v="0"/>
    <n v="115.9"/>
  </r>
  <r>
    <x v="0"/>
    <x v="0"/>
    <x v="12"/>
    <x v="2"/>
    <x v="0"/>
    <n v="120.4"/>
  </r>
  <r>
    <x v="0"/>
    <x v="0"/>
    <x v="12"/>
    <x v="3"/>
    <x v="0"/>
    <n v="113.8"/>
  </r>
  <r>
    <x v="0"/>
    <x v="0"/>
    <x v="12"/>
    <x v="4"/>
    <x v="0"/>
    <n v="109.5"/>
  </r>
  <r>
    <x v="0"/>
    <x v="0"/>
    <x v="12"/>
    <x v="5"/>
    <x v="0"/>
    <n v="115.5"/>
  </r>
  <r>
    <x v="0"/>
    <x v="0"/>
    <x v="12"/>
    <x v="6"/>
    <x v="0"/>
    <n v="145.69999999999999"/>
  </r>
  <r>
    <x v="0"/>
    <x v="0"/>
    <x v="12"/>
    <x v="7"/>
    <x v="0"/>
    <n v="109.5"/>
  </r>
  <r>
    <x v="0"/>
    <x v="0"/>
    <x v="12"/>
    <x v="8"/>
    <x v="0"/>
    <n v="102.9"/>
  </r>
  <r>
    <x v="0"/>
    <x v="0"/>
    <x v="12"/>
    <x v="9"/>
    <x v="0"/>
    <n v="109.8"/>
  </r>
  <r>
    <x v="0"/>
    <x v="0"/>
    <x v="12"/>
    <x v="10"/>
    <x v="0"/>
    <n v="112.1"/>
  </r>
  <r>
    <x v="0"/>
    <x v="0"/>
    <x v="12"/>
    <x v="11"/>
    <x v="0"/>
    <n v="116.8"/>
  </r>
  <r>
    <x v="0"/>
    <x v="0"/>
    <x v="12"/>
    <x v="12"/>
    <x v="0"/>
    <n v="118.7"/>
  </r>
  <r>
    <x v="0"/>
    <x v="0"/>
    <x v="12"/>
    <x v="13"/>
    <x v="1"/>
    <n v="113.6"/>
  </r>
  <r>
    <x v="0"/>
    <x v="0"/>
    <x v="12"/>
    <x v="14"/>
    <x v="2"/>
    <n v="115.8"/>
  </r>
  <r>
    <x v="0"/>
    <x v="0"/>
    <x v="12"/>
    <x v="15"/>
    <x v="2"/>
    <n v="114"/>
  </r>
  <r>
    <x v="0"/>
    <x v="0"/>
    <x v="12"/>
    <x v="16"/>
    <x v="2"/>
    <n v="115.5"/>
  </r>
  <r>
    <x v="0"/>
    <x v="0"/>
    <x v="12"/>
    <x v="17"/>
    <x v="3"/>
    <s v="NA"/>
  </r>
  <r>
    <x v="0"/>
    <x v="0"/>
    <x v="12"/>
    <x v="18"/>
    <x v="4"/>
    <n v="112.8"/>
  </r>
  <r>
    <x v="0"/>
    <x v="0"/>
    <x v="12"/>
    <x v="19"/>
    <x v="5"/>
    <n v="112.1"/>
  </r>
  <r>
    <x v="0"/>
    <x v="0"/>
    <x v="12"/>
    <x v="20"/>
    <x v="6"/>
    <n v="110.1"/>
  </r>
  <r>
    <x v="0"/>
    <x v="0"/>
    <x v="12"/>
    <x v="21"/>
    <x v="7"/>
    <n v="109.9"/>
  </r>
  <r>
    <x v="0"/>
    <x v="0"/>
    <x v="12"/>
    <x v="22"/>
    <x v="8"/>
    <n v="109.2"/>
  </r>
  <r>
    <x v="0"/>
    <x v="0"/>
    <x v="12"/>
    <x v="23"/>
    <x v="9"/>
    <n v="111.6"/>
  </r>
  <r>
    <x v="0"/>
    <x v="0"/>
    <x v="12"/>
    <x v="24"/>
    <x v="8"/>
    <n v="108.1"/>
  </r>
  <r>
    <x v="0"/>
    <x v="0"/>
    <x v="12"/>
    <x v="25"/>
    <x v="5"/>
    <n v="110.1"/>
  </r>
  <r>
    <x v="0"/>
    <x v="0"/>
    <x v="12"/>
    <x v="26"/>
    <x v="10"/>
    <n v="115.5"/>
  </r>
  <r>
    <x v="1"/>
    <x v="0"/>
    <x v="12"/>
    <x v="0"/>
    <x v="0"/>
    <n v="120.5"/>
  </r>
  <r>
    <x v="1"/>
    <x v="0"/>
    <x v="12"/>
    <x v="1"/>
    <x v="0"/>
    <n v="118.1"/>
  </r>
  <r>
    <x v="1"/>
    <x v="0"/>
    <x v="12"/>
    <x v="2"/>
    <x v="0"/>
    <n v="128.5"/>
  </r>
  <r>
    <x v="1"/>
    <x v="0"/>
    <x v="12"/>
    <x v="3"/>
    <x v="0"/>
    <n v="112.8"/>
  </r>
  <r>
    <x v="1"/>
    <x v="0"/>
    <x v="12"/>
    <x v="4"/>
    <x v="0"/>
    <n v="103.4"/>
  </r>
  <r>
    <x v="1"/>
    <x v="0"/>
    <x v="12"/>
    <x v="5"/>
    <x v="0"/>
    <n v="110.7"/>
  </r>
  <r>
    <x v="1"/>
    <x v="0"/>
    <x v="12"/>
    <x v="6"/>
    <x v="0"/>
    <n v="144.80000000000001"/>
  </r>
  <r>
    <x v="1"/>
    <x v="0"/>
    <x v="12"/>
    <x v="7"/>
    <x v="0"/>
    <n v="107.1"/>
  </r>
  <r>
    <x v="1"/>
    <x v="0"/>
    <x v="12"/>
    <x v="8"/>
    <x v="0"/>
    <n v="98.6"/>
  </r>
  <r>
    <x v="1"/>
    <x v="0"/>
    <x v="12"/>
    <x v="9"/>
    <x v="0"/>
    <n v="111.9"/>
  </r>
  <r>
    <x v="1"/>
    <x v="0"/>
    <x v="12"/>
    <x v="10"/>
    <x v="0"/>
    <n v="112.1"/>
  </r>
  <r>
    <x v="1"/>
    <x v="0"/>
    <x v="12"/>
    <x v="11"/>
    <x v="0"/>
    <n v="118.1"/>
  </r>
  <r>
    <x v="1"/>
    <x v="0"/>
    <x v="12"/>
    <x v="12"/>
    <x v="0"/>
    <n v="117.8"/>
  </r>
  <r>
    <x v="1"/>
    <x v="0"/>
    <x v="12"/>
    <x v="13"/>
    <x v="1"/>
    <n v="115"/>
  </r>
  <r>
    <x v="1"/>
    <x v="0"/>
    <x v="12"/>
    <x v="14"/>
    <x v="2"/>
    <n v="114.2"/>
  </r>
  <r>
    <x v="1"/>
    <x v="0"/>
    <x v="12"/>
    <x v="15"/>
    <x v="2"/>
    <n v="110.9"/>
  </r>
  <r>
    <x v="1"/>
    <x v="0"/>
    <x v="12"/>
    <x v="16"/>
    <x v="2"/>
    <n v="113.7"/>
  </r>
  <r>
    <x v="1"/>
    <x v="0"/>
    <x v="12"/>
    <x v="17"/>
    <x v="3"/>
    <n v="110.7"/>
  </r>
  <r>
    <x v="1"/>
    <x v="0"/>
    <x v="12"/>
    <x v="18"/>
    <x v="4"/>
    <n v="110.4"/>
  </r>
  <r>
    <x v="1"/>
    <x v="0"/>
    <x v="12"/>
    <x v="19"/>
    <x v="5"/>
    <n v="111.3"/>
  </r>
  <r>
    <x v="1"/>
    <x v="0"/>
    <x v="12"/>
    <x v="20"/>
    <x v="6"/>
    <n v="109"/>
  </r>
  <r>
    <x v="1"/>
    <x v="0"/>
    <x v="12"/>
    <x v="21"/>
    <x v="7"/>
    <n v="109.7"/>
  </r>
  <r>
    <x v="1"/>
    <x v="0"/>
    <x v="12"/>
    <x v="22"/>
    <x v="8"/>
    <n v="108.9"/>
  </r>
  <r>
    <x v="1"/>
    <x v="0"/>
    <x v="12"/>
    <x v="23"/>
    <x v="9"/>
    <n v="111.4"/>
  </r>
  <r>
    <x v="1"/>
    <x v="0"/>
    <x v="12"/>
    <x v="24"/>
    <x v="8"/>
    <n v="107.7"/>
  </r>
  <r>
    <x v="1"/>
    <x v="0"/>
    <x v="12"/>
    <x v="25"/>
    <x v="5"/>
    <n v="109.8"/>
  </r>
  <r>
    <x v="1"/>
    <x v="0"/>
    <x v="12"/>
    <x v="26"/>
    <x v="10"/>
    <n v="113.3"/>
  </r>
  <r>
    <x v="2"/>
    <x v="0"/>
    <x v="12"/>
    <x v="0"/>
    <x v="0"/>
    <n v="119.1"/>
  </r>
  <r>
    <x v="2"/>
    <x v="0"/>
    <x v="12"/>
    <x v="1"/>
    <x v="0"/>
    <n v="116.7"/>
  </r>
  <r>
    <x v="2"/>
    <x v="0"/>
    <x v="12"/>
    <x v="2"/>
    <x v="0"/>
    <n v="123.5"/>
  </r>
  <r>
    <x v="2"/>
    <x v="0"/>
    <x v="12"/>
    <x v="3"/>
    <x v="0"/>
    <n v="113.4"/>
  </r>
  <r>
    <x v="2"/>
    <x v="0"/>
    <x v="12"/>
    <x v="4"/>
    <x v="0"/>
    <n v="107.3"/>
  </r>
  <r>
    <x v="2"/>
    <x v="0"/>
    <x v="12"/>
    <x v="5"/>
    <x v="0"/>
    <n v="113.3"/>
  </r>
  <r>
    <x v="2"/>
    <x v="0"/>
    <x v="12"/>
    <x v="6"/>
    <x v="0"/>
    <n v="145.4"/>
  </r>
  <r>
    <x v="2"/>
    <x v="0"/>
    <x v="12"/>
    <x v="7"/>
    <x v="0"/>
    <n v="108.7"/>
  </r>
  <r>
    <x v="2"/>
    <x v="0"/>
    <x v="12"/>
    <x v="8"/>
    <x v="0"/>
    <n v="101.5"/>
  </r>
  <r>
    <x v="2"/>
    <x v="0"/>
    <x v="12"/>
    <x v="9"/>
    <x v="0"/>
    <n v="110.5"/>
  </r>
  <r>
    <x v="2"/>
    <x v="0"/>
    <x v="12"/>
    <x v="10"/>
    <x v="0"/>
    <n v="112.1"/>
  </r>
  <r>
    <x v="2"/>
    <x v="0"/>
    <x v="12"/>
    <x v="11"/>
    <x v="0"/>
    <n v="117.4"/>
  </r>
  <r>
    <x v="2"/>
    <x v="0"/>
    <x v="12"/>
    <x v="12"/>
    <x v="0"/>
    <n v="118.4"/>
  </r>
  <r>
    <x v="2"/>
    <x v="0"/>
    <x v="12"/>
    <x v="13"/>
    <x v="1"/>
    <n v="114"/>
  </r>
  <r>
    <x v="2"/>
    <x v="0"/>
    <x v="12"/>
    <x v="14"/>
    <x v="2"/>
    <n v="115.2"/>
  </r>
  <r>
    <x v="2"/>
    <x v="0"/>
    <x v="12"/>
    <x v="15"/>
    <x v="2"/>
    <n v="112.7"/>
  </r>
  <r>
    <x v="2"/>
    <x v="0"/>
    <x v="12"/>
    <x v="16"/>
    <x v="2"/>
    <n v="114.8"/>
  </r>
  <r>
    <x v="2"/>
    <x v="0"/>
    <x v="12"/>
    <x v="17"/>
    <x v="3"/>
    <n v="110.7"/>
  </r>
  <r>
    <x v="2"/>
    <x v="0"/>
    <x v="12"/>
    <x v="18"/>
    <x v="4"/>
    <n v="111.9"/>
  </r>
  <r>
    <x v="2"/>
    <x v="0"/>
    <x v="12"/>
    <x v="19"/>
    <x v="5"/>
    <n v="111.7"/>
  </r>
  <r>
    <x v="2"/>
    <x v="0"/>
    <x v="12"/>
    <x v="20"/>
    <x v="6"/>
    <n v="109.7"/>
  </r>
  <r>
    <x v="2"/>
    <x v="0"/>
    <x v="12"/>
    <x v="21"/>
    <x v="7"/>
    <n v="109.8"/>
  </r>
  <r>
    <x v="2"/>
    <x v="0"/>
    <x v="12"/>
    <x v="22"/>
    <x v="8"/>
    <n v="109"/>
  </r>
  <r>
    <x v="2"/>
    <x v="0"/>
    <x v="12"/>
    <x v="23"/>
    <x v="9"/>
    <n v="111.5"/>
  </r>
  <r>
    <x v="2"/>
    <x v="0"/>
    <x v="12"/>
    <x v="24"/>
    <x v="8"/>
    <n v="107.9"/>
  </r>
  <r>
    <x v="2"/>
    <x v="0"/>
    <x v="12"/>
    <x v="25"/>
    <x v="5"/>
    <n v="110"/>
  </r>
  <r>
    <x v="2"/>
    <x v="0"/>
    <x v="12"/>
    <x v="26"/>
    <x v="10"/>
    <n v="114.5"/>
  </r>
  <r>
    <x v="0"/>
    <x v="1"/>
    <x v="0"/>
    <x v="0"/>
    <x v="0"/>
    <n v="118.9"/>
  </r>
  <r>
    <x v="0"/>
    <x v="1"/>
    <x v="0"/>
    <x v="1"/>
    <x v="0"/>
    <n v="117.1"/>
  </r>
  <r>
    <x v="0"/>
    <x v="1"/>
    <x v="0"/>
    <x v="2"/>
    <x v="0"/>
    <n v="120.5"/>
  </r>
  <r>
    <x v="0"/>
    <x v="1"/>
    <x v="0"/>
    <x v="3"/>
    <x v="0"/>
    <n v="114.4"/>
  </r>
  <r>
    <x v="0"/>
    <x v="1"/>
    <x v="0"/>
    <x v="4"/>
    <x v="0"/>
    <n v="109"/>
  </r>
  <r>
    <x v="0"/>
    <x v="1"/>
    <x v="0"/>
    <x v="5"/>
    <x v="0"/>
    <n v="115.5"/>
  </r>
  <r>
    <x v="0"/>
    <x v="1"/>
    <x v="0"/>
    <x v="6"/>
    <x v="0"/>
    <n v="123.9"/>
  </r>
  <r>
    <x v="0"/>
    <x v="1"/>
    <x v="0"/>
    <x v="7"/>
    <x v="0"/>
    <n v="109.6"/>
  </r>
  <r>
    <x v="0"/>
    <x v="1"/>
    <x v="0"/>
    <x v="8"/>
    <x v="0"/>
    <n v="101.8"/>
  </r>
  <r>
    <x v="0"/>
    <x v="1"/>
    <x v="0"/>
    <x v="9"/>
    <x v="0"/>
    <n v="110.2"/>
  </r>
  <r>
    <x v="0"/>
    <x v="1"/>
    <x v="0"/>
    <x v="10"/>
    <x v="0"/>
    <n v="112.4"/>
  </r>
  <r>
    <x v="0"/>
    <x v="1"/>
    <x v="0"/>
    <x v="11"/>
    <x v="0"/>
    <n v="117.3"/>
  </r>
  <r>
    <x v="0"/>
    <x v="1"/>
    <x v="0"/>
    <x v="12"/>
    <x v="0"/>
    <n v="116"/>
  </r>
  <r>
    <x v="0"/>
    <x v="1"/>
    <x v="0"/>
    <x v="13"/>
    <x v="1"/>
    <n v="114"/>
  </r>
  <r>
    <x v="0"/>
    <x v="1"/>
    <x v="0"/>
    <x v="14"/>
    <x v="2"/>
    <n v="116.5"/>
  </r>
  <r>
    <x v="0"/>
    <x v="1"/>
    <x v="0"/>
    <x v="15"/>
    <x v="2"/>
    <n v="114.5"/>
  </r>
  <r>
    <x v="0"/>
    <x v="1"/>
    <x v="0"/>
    <x v="16"/>
    <x v="2"/>
    <n v="116.2"/>
  </r>
  <r>
    <x v="0"/>
    <x v="1"/>
    <x v="0"/>
    <x v="17"/>
    <x v="3"/>
    <s v="NA"/>
  </r>
  <r>
    <x v="0"/>
    <x v="1"/>
    <x v="0"/>
    <x v="18"/>
    <x v="4"/>
    <n v="113"/>
  </r>
  <r>
    <x v="0"/>
    <x v="1"/>
    <x v="0"/>
    <x v="19"/>
    <x v="5"/>
    <n v="112.6"/>
  </r>
  <r>
    <x v="0"/>
    <x v="1"/>
    <x v="0"/>
    <x v="20"/>
    <x v="6"/>
    <n v="110.6"/>
  </r>
  <r>
    <x v="0"/>
    <x v="1"/>
    <x v="0"/>
    <x v="21"/>
    <x v="7"/>
    <n v="110.5"/>
  </r>
  <r>
    <x v="0"/>
    <x v="1"/>
    <x v="0"/>
    <x v="22"/>
    <x v="8"/>
    <n v="109.6"/>
  </r>
  <r>
    <x v="0"/>
    <x v="1"/>
    <x v="0"/>
    <x v="23"/>
    <x v="9"/>
    <n v="111.8"/>
  </r>
  <r>
    <x v="0"/>
    <x v="1"/>
    <x v="0"/>
    <x v="24"/>
    <x v="8"/>
    <n v="108.3"/>
  </r>
  <r>
    <x v="0"/>
    <x v="1"/>
    <x v="0"/>
    <x v="25"/>
    <x v="5"/>
    <n v="110.6"/>
  </r>
  <r>
    <x v="0"/>
    <x v="1"/>
    <x v="0"/>
    <x v="26"/>
    <x v="10"/>
    <n v="114.2"/>
  </r>
  <r>
    <x v="1"/>
    <x v="1"/>
    <x v="0"/>
    <x v="0"/>
    <x v="0"/>
    <n v="121.2"/>
  </r>
  <r>
    <x v="1"/>
    <x v="1"/>
    <x v="0"/>
    <x v="1"/>
    <x v="0"/>
    <n v="122"/>
  </r>
  <r>
    <x v="1"/>
    <x v="1"/>
    <x v="0"/>
    <x v="2"/>
    <x v="0"/>
    <n v="129.9"/>
  </r>
  <r>
    <x v="1"/>
    <x v="1"/>
    <x v="0"/>
    <x v="3"/>
    <x v="0"/>
    <n v="113.6"/>
  </r>
  <r>
    <x v="1"/>
    <x v="1"/>
    <x v="0"/>
    <x v="4"/>
    <x v="0"/>
    <n v="102.9"/>
  </r>
  <r>
    <x v="1"/>
    <x v="1"/>
    <x v="0"/>
    <x v="5"/>
    <x v="0"/>
    <n v="112.1"/>
  </r>
  <r>
    <x v="1"/>
    <x v="1"/>
    <x v="0"/>
    <x v="6"/>
    <x v="0"/>
    <n v="118.9"/>
  </r>
  <r>
    <x v="1"/>
    <x v="1"/>
    <x v="0"/>
    <x v="7"/>
    <x v="0"/>
    <n v="107.5"/>
  </r>
  <r>
    <x v="1"/>
    <x v="1"/>
    <x v="0"/>
    <x v="8"/>
    <x v="0"/>
    <n v="96.9"/>
  </r>
  <r>
    <x v="1"/>
    <x v="1"/>
    <x v="0"/>
    <x v="9"/>
    <x v="0"/>
    <n v="112.7"/>
  </r>
  <r>
    <x v="1"/>
    <x v="1"/>
    <x v="0"/>
    <x v="10"/>
    <x v="0"/>
    <n v="112.1"/>
  </r>
  <r>
    <x v="1"/>
    <x v="1"/>
    <x v="0"/>
    <x v="11"/>
    <x v="0"/>
    <n v="119"/>
  </r>
  <r>
    <x v="1"/>
    <x v="1"/>
    <x v="0"/>
    <x v="12"/>
    <x v="0"/>
    <n v="115.5"/>
  </r>
  <r>
    <x v="1"/>
    <x v="1"/>
    <x v="0"/>
    <x v="13"/>
    <x v="1"/>
    <n v="115.7"/>
  </r>
  <r>
    <x v="1"/>
    <x v="1"/>
    <x v="0"/>
    <x v="14"/>
    <x v="2"/>
    <n v="114.8"/>
  </r>
  <r>
    <x v="1"/>
    <x v="1"/>
    <x v="0"/>
    <x v="15"/>
    <x v="2"/>
    <n v="111.3"/>
  </r>
  <r>
    <x v="1"/>
    <x v="1"/>
    <x v="0"/>
    <x v="16"/>
    <x v="2"/>
    <n v="114.3"/>
  </r>
  <r>
    <x v="1"/>
    <x v="1"/>
    <x v="0"/>
    <x v="17"/>
    <x v="3"/>
    <n v="111.6"/>
  </r>
  <r>
    <x v="1"/>
    <x v="1"/>
    <x v="0"/>
    <x v="18"/>
    <x v="4"/>
    <n v="111"/>
  </r>
  <r>
    <x v="1"/>
    <x v="1"/>
    <x v="0"/>
    <x v="19"/>
    <x v="5"/>
    <n v="111.9"/>
  </r>
  <r>
    <x v="1"/>
    <x v="1"/>
    <x v="0"/>
    <x v="20"/>
    <x v="6"/>
    <n v="109.7"/>
  </r>
  <r>
    <x v="1"/>
    <x v="1"/>
    <x v="0"/>
    <x v="21"/>
    <x v="7"/>
    <n v="110.8"/>
  </r>
  <r>
    <x v="1"/>
    <x v="1"/>
    <x v="0"/>
    <x v="22"/>
    <x v="8"/>
    <n v="109.8"/>
  </r>
  <r>
    <x v="1"/>
    <x v="1"/>
    <x v="0"/>
    <x v="23"/>
    <x v="9"/>
    <n v="111.5"/>
  </r>
  <r>
    <x v="1"/>
    <x v="1"/>
    <x v="0"/>
    <x v="24"/>
    <x v="8"/>
    <n v="108"/>
  </r>
  <r>
    <x v="1"/>
    <x v="1"/>
    <x v="0"/>
    <x v="25"/>
    <x v="5"/>
    <n v="110.5"/>
  </r>
  <r>
    <x v="1"/>
    <x v="1"/>
    <x v="0"/>
    <x v="26"/>
    <x v="10"/>
    <n v="112.9"/>
  </r>
  <r>
    <x v="2"/>
    <x v="1"/>
    <x v="0"/>
    <x v="0"/>
    <x v="0"/>
    <n v="119.6"/>
  </r>
  <r>
    <x v="2"/>
    <x v="1"/>
    <x v="0"/>
    <x v="1"/>
    <x v="0"/>
    <n v="118.8"/>
  </r>
  <r>
    <x v="2"/>
    <x v="1"/>
    <x v="0"/>
    <x v="2"/>
    <x v="0"/>
    <n v="124.1"/>
  </r>
  <r>
    <x v="2"/>
    <x v="1"/>
    <x v="0"/>
    <x v="3"/>
    <x v="0"/>
    <n v="114.1"/>
  </r>
  <r>
    <x v="2"/>
    <x v="1"/>
    <x v="0"/>
    <x v="4"/>
    <x v="0"/>
    <n v="106.8"/>
  </r>
  <r>
    <x v="2"/>
    <x v="1"/>
    <x v="0"/>
    <x v="5"/>
    <x v="0"/>
    <n v="113.9"/>
  </r>
  <r>
    <x v="2"/>
    <x v="1"/>
    <x v="0"/>
    <x v="6"/>
    <x v="0"/>
    <n v="122.2"/>
  </r>
  <r>
    <x v="2"/>
    <x v="1"/>
    <x v="0"/>
    <x v="7"/>
    <x v="0"/>
    <n v="108.9"/>
  </r>
  <r>
    <x v="2"/>
    <x v="1"/>
    <x v="0"/>
    <x v="8"/>
    <x v="0"/>
    <n v="100.2"/>
  </r>
  <r>
    <x v="2"/>
    <x v="1"/>
    <x v="0"/>
    <x v="9"/>
    <x v="0"/>
    <n v="111"/>
  </r>
  <r>
    <x v="2"/>
    <x v="1"/>
    <x v="0"/>
    <x v="10"/>
    <x v="0"/>
    <n v="112.3"/>
  </r>
  <r>
    <x v="2"/>
    <x v="1"/>
    <x v="0"/>
    <x v="11"/>
    <x v="0"/>
    <n v="118.1"/>
  </r>
  <r>
    <x v="2"/>
    <x v="1"/>
    <x v="0"/>
    <x v="12"/>
    <x v="0"/>
    <n v="115.8"/>
  </r>
  <r>
    <x v="2"/>
    <x v="1"/>
    <x v="0"/>
    <x v="13"/>
    <x v="1"/>
    <n v="114.5"/>
  </r>
  <r>
    <x v="2"/>
    <x v="1"/>
    <x v="0"/>
    <x v="14"/>
    <x v="2"/>
    <n v="115.8"/>
  </r>
  <r>
    <x v="2"/>
    <x v="1"/>
    <x v="0"/>
    <x v="15"/>
    <x v="2"/>
    <n v="113.2"/>
  </r>
  <r>
    <x v="2"/>
    <x v="1"/>
    <x v="0"/>
    <x v="16"/>
    <x v="2"/>
    <n v="115.4"/>
  </r>
  <r>
    <x v="2"/>
    <x v="1"/>
    <x v="0"/>
    <x v="17"/>
    <x v="3"/>
    <n v="111.6"/>
  </r>
  <r>
    <x v="2"/>
    <x v="1"/>
    <x v="0"/>
    <x v="18"/>
    <x v="4"/>
    <n v="112.2"/>
  </r>
  <r>
    <x v="2"/>
    <x v="1"/>
    <x v="0"/>
    <x v="19"/>
    <x v="5"/>
    <n v="112.3"/>
  </r>
  <r>
    <x v="2"/>
    <x v="1"/>
    <x v="0"/>
    <x v="20"/>
    <x v="6"/>
    <n v="110.3"/>
  </r>
  <r>
    <x v="2"/>
    <x v="1"/>
    <x v="0"/>
    <x v="21"/>
    <x v="7"/>
    <n v="110.7"/>
  </r>
  <r>
    <x v="2"/>
    <x v="1"/>
    <x v="0"/>
    <x v="22"/>
    <x v="8"/>
    <n v="109.7"/>
  </r>
  <r>
    <x v="2"/>
    <x v="1"/>
    <x v="0"/>
    <x v="23"/>
    <x v="9"/>
    <n v="111.6"/>
  </r>
  <r>
    <x v="2"/>
    <x v="1"/>
    <x v="0"/>
    <x v="24"/>
    <x v="8"/>
    <n v="108.2"/>
  </r>
  <r>
    <x v="2"/>
    <x v="1"/>
    <x v="0"/>
    <x v="25"/>
    <x v="5"/>
    <n v="110.6"/>
  </r>
  <r>
    <x v="2"/>
    <x v="1"/>
    <x v="0"/>
    <x v="26"/>
    <x v="10"/>
    <n v="113.6"/>
  </r>
  <r>
    <x v="0"/>
    <x v="1"/>
    <x v="1"/>
    <x v="0"/>
    <x v="0"/>
    <n v="119.4"/>
  </r>
  <r>
    <x v="0"/>
    <x v="1"/>
    <x v="1"/>
    <x v="1"/>
    <x v="0"/>
    <n v="117.7"/>
  </r>
  <r>
    <x v="0"/>
    <x v="1"/>
    <x v="1"/>
    <x v="2"/>
    <x v="0"/>
    <n v="121.2"/>
  </r>
  <r>
    <x v="0"/>
    <x v="1"/>
    <x v="1"/>
    <x v="3"/>
    <x v="0"/>
    <n v="115"/>
  </r>
  <r>
    <x v="0"/>
    <x v="1"/>
    <x v="1"/>
    <x v="4"/>
    <x v="0"/>
    <n v="109"/>
  </r>
  <r>
    <x v="0"/>
    <x v="1"/>
    <x v="1"/>
    <x v="5"/>
    <x v="0"/>
    <n v="116.6"/>
  </r>
  <r>
    <x v="0"/>
    <x v="1"/>
    <x v="1"/>
    <x v="6"/>
    <x v="0"/>
    <n v="116"/>
  </r>
  <r>
    <x v="0"/>
    <x v="1"/>
    <x v="1"/>
    <x v="7"/>
    <x v="0"/>
    <n v="109.8"/>
  </r>
  <r>
    <x v="0"/>
    <x v="1"/>
    <x v="1"/>
    <x v="8"/>
    <x v="0"/>
    <n v="101.1"/>
  </r>
  <r>
    <x v="0"/>
    <x v="1"/>
    <x v="1"/>
    <x v="9"/>
    <x v="0"/>
    <n v="110.4"/>
  </r>
  <r>
    <x v="0"/>
    <x v="1"/>
    <x v="1"/>
    <x v="10"/>
    <x v="0"/>
    <n v="112.9"/>
  </r>
  <r>
    <x v="0"/>
    <x v="1"/>
    <x v="1"/>
    <x v="11"/>
    <x v="0"/>
    <n v="117.8"/>
  </r>
  <r>
    <x v="0"/>
    <x v="1"/>
    <x v="1"/>
    <x v="12"/>
    <x v="0"/>
    <n v="115.3"/>
  </r>
  <r>
    <x v="0"/>
    <x v="1"/>
    <x v="1"/>
    <x v="13"/>
    <x v="1"/>
    <n v="114.2"/>
  </r>
  <r>
    <x v="0"/>
    <x v="1"/>
    <x v="1"/>
    <x v="14"/>
    <x v="2"/>
    <n v="117.1"/>
  </r>
  <r>
    <x v="0"/>
    <x v="1"/>
    <x v="1"/>
    <x v="15"/>
    <x v="2"/>
    <n v="114.5"/>
  </r>
  <r>
    <x v="0"/>
    <x v="1"/>
    <x v="1"/>
    <x v="16"/>
    <x v="2"/>
    <n v="116.7"/>
  </r>
  <r>
    <x v="0"/>
    <x v="1"/>
    <x v="1"/>
    <x v="17"/>
    <x v="3"/>
    <s v="NA"/>
  </r>
  <r>
    <x v="0"/>
    <x v="1"/>
    <x v="1"/>
    <x v="18"/>
    <x v="4"/>
    <n v="113.2"/>
  </r>
  <r>
    <x v="0"/>
    <x v="1"/>
    <x v="1"/>
    <x v="19"/>
    <x v="5"/>
    <n v="112.9"/>
  </r>
  <r>
    <x v="0"/>
    <x v="1"/>
    <x v="1"/>
    <x v="20"/>
    <x v="6"/>
    <n v="110.9"/>
  </r>
  <r>
    <x v="0"/>
    <x v="1"/>
    <x v="1"/>
    <x v="21"/>
    <x v="7"/>
    <n v="110.8"/>
  </r>
  <r>
    <x v="0"/>
    <x v="1"/>
    <x v="1"/>
    <x v="22"/>
    <x v="8"/>
    <n v="109.9"/>
  </r>
  <r>
    <x v="0"/>
    <x v="1"/>
    <x v="1"/>
    <x v="23"/>
    <x v="9"/>
    <n v="112"/>
  </r>
  <r>
    <x v="0"/>
    <x v="1"/>
    <x v="1"/>
    <x v="24"/>
    <x v="8"/>
    <n v="108.7"/>
  </r>
  <r>
    <x v="0"/>
    <x v="1"/>
    <x v="1"/>
    <x v="25"/>
    <x v="5"/>
    <n v="110.9"/>
  </r>
  <r>
    <x v="0"/>
    <x v="1"/>
    <x v="1"/>
    <x v="26"/>
    <x v="10"/>
    <n v="114"/>
  </r>
  <r>
    <x v="1"/>
    <x v="1"/>
    <x v="1"/>
    <x v="0"/>
    <x v="0"/>
    <n v="121.9"/>
  </r>
  <r>
    <x v="1"/>
    <x v="1"/>
    <x v="1"/>
    <x v="1"/>
    <x v="0"/>
    <n v="122"/>
  </r>
  <r>
    <x v="1"/>
    <x v="1"/>
    <x v="1"/>
    <x v="2"/>
    <x v="0"/>
    <n v="124.5"/>
  </r>
  <r>
    <x v="1"/>
    <x v="1"/>
    <x v="1"/>
    <x v="3"/>
    <x v="0"/>
    <n v="115.2"/>
  </r>
  <r>
    <x v="1"/>
    <x v="1"/>
    <x v="1"/>
    <x v="4"/>
    <x v="0"/>
    <n v="102.5"/>
  </r>
  <r>
    <x v="1"/>
    <x v="1"/>
    <x v="1"/>
    <x v="5"/>
    <x v="0"/>
    <n v="114.1"/>
  </r>
  <r>
    <x v="1"/>
    <x v="1"/>
    <x v="1"/>
    <x v="6"/>
    <x v="0"/>
    <n v="111.5"/>
  </r>
  <r>
    <x v="1"/>
    <x v="1"/>
    <x v="1"/>
    <x v="7"/>
    <x v="0"/>
    <n v="108.2"/>
  </r>
  <r>
    <x v="1"/>
    <x v="1"/>
    <x v="1"/>
    <x v="8"/>
    <x v="0"/>
    <n v="95.4"/>
  </r>
  <r>
    <x v="1"/>
    <x v="1"/>
    <x v="1"/>
    <x v="9"/>
    <x v="0"/>
    <n v="113.5"/>
  </r>
  <r>
    <x v="1"/>
    <x v="1"/>
    <x v="1"/>
    <x v="10"/>
    <x v="0"/>
    <n v="112.1"/>
  </r>
  <r>
    <x v="1"/>
    <x v="1"/>
    <x v="1"/>
    <x v="11"/>
    <x v="0"/>
    <n v="119.9"/>
  </r>
  <r>
    <x v="1"/>
    <x v="1"/>
    <x v="1"/>
    <x v="12"/>
    <x v="0"/>
    <n v="115.2"/>
  </r>
  <r>
    <x v="1"/>
    <x v="1"/>
    <x v="1"/>
    <x v="13"/>
    <x v="1"/>
    <n v="116.2"/>
  </r>
  <r>
    <x v="1"/>
    <x v="1"/>
    <x v="1"/>
    <x v="14"/>
    <x v="2"/>
    <n v="115.3"/>
  </r>
  <r>
    <x v="1"/>
    <x v="1"/>
    <x v="1"/>
    <x v="15"/>
    <x v="2"/>
    <n v="111.7"/>
  </r>
  <r>
    <x v="1"/>
    <x v="1"/>
    <x v="1"/>
    <x v="16"/>
    <x v="2"/>
    <n v="114.7"/>
  </r>
  <r>
    <x v="1"/>
    <x v="1"/>
    <x v="1"/>
    <x v="17"/>
    <x v="3"/>
    <n v="112.5"/>
  </r>
  <r>
    <x v="1"/>
    <x v="1"/>
    <x v="1"/>
    <x v="18"/>
    <x v="4"/>
    <n v="111.1"/>
  </r>
  <r>
    <x v="1"/>
    <x v="1"/>
    <x v="1"/>
    <x v="19"/>
    <x v="5"/>
    <n v="112.6"/>
  </r>
  <r>
    <x v="1"/>
    <x v="1"/>
    <x v="1"/>
    <x v="20"/>
    <x v="6"/>
    <n v="110.4"/>
  </r>
  <r>
    <x v="1"/>
    <x v="1"/>
    <x v="1"/>
    <x v="21"/>
    <x v="7"/>
    <n v="111.3"/>
  </r>
  <r>
    <x v="1"/>
    <x v="1"/>
    <x v="1"/>
    <x v="22"/>
    <x v="8"/>
    <n v="110.3"/>
  </r>
  <r>
    <x v="1"/>
    <x v="1"/>
    <x v="1"/>
    <x v="23"/>
    <x v="9"/>
    <n v="111.6"/>
  </r>
  <r>
    <x v="1"/>
    <x v="1"/>
    <x v="1"/>
    <x v="24"/>
    <x v="8"/>
    <n v="108.7"/>
  </r>
  <r>
    <x v="1"/>
    <x v="1"/>
    <x v="1"/>
    <x v="25"/>
    <x v="5"/>
    <n v="111"/>
  </r>
  <r>
    <x v="1"/>
    <x v="1"/>
    <x v="1"/>
    <x v="26"/>
    <x v="10"/>
    <n v="113.1"/>
  </r>
  <r>
    <x v="2"/>
    <x v="1"/>
    <x v="1"/>
    <x v="0"/>
    <x v="0"/>
    <n v="120.2"/>
  </r>
  <r>
    <x v="2"/>
    <x v="1"/>
    <x v="1"/>
    <x v="1"/>
    <x v="0"/>
    <n v="119.2"/>
  </r>
  <r>
    <x v="2"/>
    <x v="1"/>
    <x v="1"/>
    <x v="2"/>
    <x v="0"/>
    <n v="122.5"/>
  </r>
  <r>
    <x v="2"/>
    <x v="1"/>
    <x v="1"/>
    <x v="3"/>
    <x v="0"/>
    <n v="115.1"/>
  </r>
  <r>
    <x v="2"/>
    <x v="1"/>
    <x v="1"/>
    <x v="4"/>
    <x v="0"/>
    <n v="106.6"/>
  </r>
  <r>
    <x v="2"/>
    <x v="1"/>
    <x v="1"/>
    <x v="5"/>
    <x v="0"/>
    <n v="115.4"/>
  </r>
  <r>
    <x v="2"/>
    <x v="1"/>
    <x v="1"/>
    <x v="6"/>
    <x v="0"/>
    <n v="114.5"/>
  </r>
  <r>
    <x v="2"/>
    <x v="1"/>
    <x v="1"/>
    <x v="7"/>
    <x v="0"/>
    <n v="109.3"/>
  </r>
  <r>
    <x v="2"/>
    <x v="1"/>
    <x v="1"/>
    <x v="8"/>
    <x v="0"/>
    <n v="99.2"/>
  </r>
  <r>
    <x v="2"/>
    <x v="1"/>
    <x v="1"/>
    <x v="9"/>
    <x v="0"/>
    <n v="111.4"/>
  </r>
  <r>
    <x v="2"/>
    <x v="1"/>
    <x v="1"/>
    <x v="10"/>
    <x v="0"/>
    <n v="112.6"/>
  </r>
  <r>
    <x v="2"/>
    <x v="1"/>
    <x v="1"/>
    <x v="11"/>
    <x v="0"/>
    <n v="118.8"/>
  </r>
  <r>
    <x v="2"/>
    <x v="1"/>
    <x v="1"/>
    <x v="12"/>
    <x v="0"/>
    <n v="115.3"/>
  </r>
  <r>
    <x v="2"/>
    <x v="1"/>
    <x v="1"/>
    <x v="13"/>
    <x v="1"/>
    <n v="114.7"/>
  </r>
  <r>
    <x v="2"/>
    <x v="1"/>
    <x v="1"/>
    <x v="14"/>
    <x v="2"/>
    <n v="116.4"/>
  </r>
  <r>
    <x v="2"/>
    <x v="1"/>
    <x v="1"/>
    <x v="15"/>
    <x v="2"/>
    <n v="113.3"/>
  </r>
  <r>
    <x v="2"/>
    <x v="1"/>
    <x v="1"/>
    <x v="16"/>
    <x v="2"/>
    <n v="115.9"/>
  </r>
  <r>
    <x v="2"/>
    <x v="1"/>
    <x v="1"/>
    <x v="17"/>
    <x v="3"/>
    <n v="112.5"/>
  </r>
  <r>
    <x v="2"/>
    <x v="1"/>
    <x v="1"/>
    <x v="18"/>
    <x v="4"/>
    <n v="112.4"/>
  </r>
  <r>
    <x v="2"/>
    <x v="1"/>
    <x v="1"/>
    <x v="19"/>
    <x v="5"/>
    <n v="112.8"/>
  </r>
  <r>
    <x v="2"/>
    <x v="1"/>
    <x v="1"/>
    <x v="20"/>
    <x v="6"/>
    <n v="110.7"/>
  </r>
  <r>
    <x v="2"/>
    <x v="1"/>
    <x v="1"/>
    <x v="21"/>
    <x v="7"/>
    <n v="111.1"/>
  </r>
  <r>
    <x v="2"/>
    <x v="1"/>
    <x v="1"/>
    <x v="22"/>
    <x v="8"/>
    <n v="110.1"/>
  </r>
  <r>
    <x v="2"/>
    <x v="1"/>
    <x v="1"/>
    <x v="23"/>
    <x v="9"/>
    <n v="111.8"/>
  </r>
  <r>
    <x v="2"/>
    <x v="1"/>
    <x v="1"/>
    <x v="24"/>
    <x v="8"/>
    <n v="108.7"/>
  </r>
  <r>
    <x v="2"/>
    <x v="1"/>
    <x v="1"/>
    <x v="25"/>
    <x v="5"/>
    <n v="110.9"/>
  </r>
  <r>
    <x v="2"/>
    <x v="1"/>
    <x v="1"/>
    <x v="26"/>
    <x v="10"/>
    <n v="113.6"/>
  </r>
  <r>
    <x v="0"/>
    <x v="1"/>
    <x v="2"/>
    <x v="0"/>
    <x v="0"/>
    <n v="120.1"/>
  </r>
  <r>
    <x v="0"/>
    <x v="1"/>
    <x v="2"/>
    <x v="1"/>
    <x v="0"/>
    <n v="118.1"/>
  </r>
  <r>
    <x v="0"/>
    <x v="1"/>
    <x v="2"/>
    <x v="2"/>
    <x v="0"/>
    <n v="120.7"/>
  </r>
  <r>
    <x v="0"/>
    <x v="1"/>
    <x v="2"/>
    <x v="3"/>
    <x v="0"/>
    <n v="116.1"/>
  </r>
  <r>
    <x v="0"/>
    <x v="1"/>
    <x v="2"/>
    <x v="4"/>
    <x v="0"/>
    <n v="109.3"/>
  </r>
  <r>
    <x v="0"/>
    <x v="1"/>
    <x v="2"/>
    <x v="5"/>
    <x v="0"/>
    <n v="119.6"/>
  </r>
  <r>
    <x v="0"/>
    <x v="1"/>
    <x v="2"/>
    <x v="6"/>
    <x v="0"/>
    <n v="117.9"/>
  </r>
  <r>
    <x v="0"/>
    <x v="1"/>
    <x v="2"/>
    <x v="7"/>
    <x v="0"/>
    <n v="110.2"/>
  </r>
  <r>
    <x v="0"/>
    <x v="1"/>
    <x v="2"/>
    <x v="8"/>
    <x v="0"/>
    <n v="101.2"/>
  </r>
  <r>
    <x v="0"/>
    <x v="1"/>
    <x v="2"/>
    <x v="9"/>
    <x v="0"/>
    <n v="110.7"/>
  </r>
  <r>
    <x v="0"/>
    <x v="1"/>
    <x v="2"/>
    <x v="10"/>
    <x v="0"/>
    <n v="113"/>
  </r>
  <r>
    <x v="0"/>
    <x v="1"/>
    <x v="2"/>
    <x v="11"/>
    <x v="0"/>
    <n v="118.3"/>
  </r>
  <r>
    <x v="0"/>
    <x v="1"/>
    <x v="2"/>
    <x v="12"/>
    <x v="0"/>
    <n v="116.2"/>
  </r>
  <r>
    <x v="0"/>
    <x v="1"/>
    <x v="2"/>
    <x v="13"/>
    <x v="1"/>
    <n v="114.6"/>
  </r>
  <r>
    <x v="0"/>
    <x v="1"/>
    <x v="2"/>
    <x v="14"/>
    <x v="2"/>
    <n v="117.5"/>
  </r>
  <r>
    <x v="0"/>
    <x v="1"/>
    <x v="2"/>
    <x v="15"/>
    <x v="2"/>
    <n v="114.9"/>
  </r>
  <r>
    <x v="0"/>
    <x v="1"/>
    <x v="2"/>
    <x v="16"/>
    <x v="2"/>
    <n v="117.2"/>
  </r>
  <r>
    <x v="0"/>
    <x v="1"/>
    <x v="2"/>
    <x v="17"/>
    <x v="3"/>
    <s v="NA"/>
  </r>
  <r>
    <x v="0"/>
    <x v="1"/>
    <x v="2"/>
    <x v="18"/>
    <x v="4"/>
    <n v="113.4"/>
  </r>
  <r>
    <x v="0"/>
    <x v="1"/>
    <x v="2"/>
    <x v="19"/>
    <x v="5"/>
    <n v="113.4"/>
  </r>
  <r>
    <x v="0"/>
    <x v="1"/>
    <x v="2"/>
    <x v="20"/>
    <x v="6"/>
    <n v="111.4"/>
  </r>
  <r>
    <x v="0"/>
    <x v="1"/>
    <x v="2"/>
    <x v="21"/>
    <x v="7"/>
    <n v="111.2"/>
  </r>
  <r>
    <x v="0"/>
    <x v="1"/>
    <x v="2"/>
    <x v="22"/>
    <x v="8"/>
    <n v="110.2"/>
  </r>
  <r>
    <x v="0"/>
    <x v="1"/>
    <x v="2"/>
    <x v="23"/>
    <x v="9"/>
    <n v="112.4"/>
  </r>
  <r>
    <x v="0"/>
    <x v="1"/>
    <x v="2"/>
    <x v="24"/>
    <x v="8"/>
    <n v="108.9"/>
  </r>
  <r>
    <x v="0"/>
    <x v="1"/>
    <x v="2"/>
    <x v="25"/>
    <x v="5"/>
    <n v="111.3"/>
  </r>
  <r>
    <x v="0"/>
    <x v="1"/>
    <x v="2"/>
    <x v="26"/>
    <x v="10"/>
    <n v="114.6"/>
  </r>
  <r>
    <x v="1"/>
    <x v="1"/>
    <x v="2"/>
    <x v="0"/>
    <x v="0"/>
    <n v="122.1"/>
  </r>
  <r>
    <x v="1"/>
    <x v="1"/>
    <x v="2"/>
    <x v="1"/>
    <x v="0"/>
    <n v="121.4"/>
  </r>
  <r>
    <x v="1"/>
    <x v="1"/>
    <x v="2"/>
    <x v="2"/>
    <x v="0"/>
    <n v="121.5"/>
  </r>
  <r>
    <x v="1"/>
    <x v="1"/>
    <x v="2"/>
    <x v="3"/>
    <x v="0"/>
    <n v="116.2"/>
  </r>
  <r>
    <x v="1"/>
    <x v="1"/>
    <x v="2"/>
    <x v="4"/>
    <x v="0"/>
    <n v="102.8"/>
  </r>
  <r>
    <x v="1"/>
    <x v="1"/>
    <x v="2"/>
    <x v="5"/>
    <x v="0"/>
    <n v="117.7"/>
  </r>
  <r>
    <x v="1"/>
    <x v="1"/>
    <x v="2"/>
    <x v="6"/>
    <x v="0"/>
    <n v="113.3"/>
  </r>
  <r>
    <x v="1"/>
    <x v="1"/>
    <x v="2"/>
    <x v="7"/>
    <x v="0"/>
    <n v="108.9"/>
  </r>
  <r>
    <x v="1"/>
    <x v="1"/>
    <x v="2"/>
    <x v="8"/>
    <x v="0"/>
    <n v="96.3"/>
  </r>
  <r>
    <x v="1"/>
    <x v="1"/>
    <x v="2"/>
    <x v="9"/>
    <x v="0"/>
    <n v="114.1"/>
  </r>
  <r>
    <x v="1"/>
    <x v="1"/>
    <x v="2"/>
    <x v="10"/>
    <x v="0"/>
    <n v="112.2"/>
  </r>
  <r>
    <x v="1"/>
    <x v="1"/>
    <x v="2"/>
    <x v="11"/>
    <x v="0"/>
    <n v="120.5"/>
  </r>
  <r>
    <x v="1"/>
    <x v="1"/>
    <x v="2"/>
    <x v="12"/>
    <x v="0"/>
    <n v="116"/>
  </r>
  <r>
    <x v="1"/>
    <x v="1"/>
    <x v="2"/>
    <x v="13"/>
    <x v="1"/>
    <n v="116.7"/>
  </r>
  <r>
    <x v="1"/>
    <x v="1"/>
    <x v="2"/>
    <x v="14"/>
    <x v="2"/>
    <n v="115.8"/>
  </r>
  <r>
    <x v="1"/>
    <x v="1"/>
    <x v="2"/>
    <x v="15"/>
    <x v="2"/>
    <n v="112.1"/>
  </r>
  <r>
    <x v="1"/>
    <x v="1"/>
    <x v="2"/>
    <x v="16"/>
    <x v="2"/>
    <n v="115.2"/>
  </r>
  <r>
    <x v="1"/>
    <x v="1"/>
    <x v="2"/>
    <x v="17"/>
    <x v="3"/>
    <n v="113.2"/>
  </r>
  <r>
    <x v="1"/>
    <x v="1"/>
    <x v="2"/>
    <x v="18"/>
    <x v="4"/>
    <n v="110.9"/>
  </r>
  <r>
    <x v="1"/>
    <x v="1"/>
    <x v="2"/>
    <x v="19"/>
    <x v="5"/>
    <n v="113"/>
  </r>
  <r>
    <x v="1"/>
    <x v="1"/>
    <x v="2"/>
    <x v="20"/>
    <x v="6"/>
    <n v="110.8"/>
  </r>
  <r>
    <x v="1"/>
    <x v="1"/>
    <x v="2"/>
    <x v="21"/>
    <x v="7"/>
    <n v="111.6"/>
  </r>
  <r>
    <x v="1"/>
    <x v="1"/>
    <x v="2"/>
    <x v="22"/>
    <x v="8"/>
    <n v="110.9"/>
  </r>
  <r>
    <x v="1"/>
    <x v="1"/>
    <x v="2"/>
    <x v="23"/>
    <x v="9"/>
    <n v="111.8"/>
  </r>
  <r>
    <x v="1"/>
    <x v="1"/>
    <x v="2"/>
    <x v="24"/>
    <x v="8"/>
    <n v="109.2"/>
  </r>
  <r>
    <x v="1"/>
    <x v="1"/>
    <x v="2"/>
    <x v="25"/>
    <x v="5"/>
    <n v="111.4"/>
  </r>
  <r>
    <x v="1"/>
    <x v="1"/>
    <x v="2"/>
    <x v="26"/>
    <x v="10"/>
    <n v="113.7"/>
  </r>
  <r>
    <x v="2"/>
    <x v="1"/>
    <x v="13"/>
    <x v="0"/>
    <x v="0"/>
    <n v="120.7"/>
  </r>
  <r>
    <x v="2"/>
    <x v="1"/>
    <x v="13"/>
    <x v="1"/>
    <x v="0"/>
    <n v="119.3"/>
  </r>
  <r>
    <x v="2"/>
    <x v="1"/>
    <x v="13"/>
    <x v="2"/>
    <x v="0"/>
    <n v="121"/>
  </r>
  <r>
    <x v="2"/>
    <x v="1"/>
    <x v="13"/>
    <x v="3"/>
    <x v="0"/>
    <n v="116.1"/>
  </r>
  <r>
    <x v="2"/>
    <x v="1"/>
    <x v="13"/>
    <x v="4"/>
    <x v="0"/>
    <n v="106.9"/>
  </r>
  <r>
    <x v="2"/>
    <x v="1"/>
    <x v="13"/>
    <x v="5"/>
    <x v="0"/>
    <n v="118.7"/>
  </r>
  <r>
    <x v="2"/>
    <x v="1"/>
    <x v="13"/>
    <x v="6"/>
    <x v="0"/>
    <n v="116.3"/>
  </r>
  <r>
    <x v="2"/>
    <x v="1"/>
    <x v="13"/>
    <x v="7"/>
    <x v="0"/>
    <n v="109.8"/>
  </r>
  <r>
    <x v="2"/>
    <x v="1"/>
    <x v="13"/>
    <x v="8"/>
    <x v="0"/>
    <n v="99.6"/>
  </r>
  <r>
    <x v="2"/>
    <x v="1"/>
    <x v="13"/>
    <x v="9"/>
    <x v="0"/>
    <n v="111.8"/>
  </r>
  <r>
    <x v="2"/>
    <x v="1"/>
    <x v="13"/>
    <x v="10"/>
    <x v="0"/>
    <n v="112.7"/>
  </r>
  <r>
    <x v="2"/>
    <x v="1"/>
    <x v="13"/>
    <x v="11"/>
    <x v="0"/>
    <n v="119.3"/>
  </r>
  <r>
    <x v="2"/>
    <x v="1"/>
    <x v="13"/>
    <x v="12"/>
    <x v="0"/>
    <n v="116.1"/>
  </r>
  <r>
    <x v="2"/>
    <x v="1"/>
    <x v="13"/>
    <x v="13"/>
    <x v="1"/>
    <n v="115.2"/>
  </r>
  <r>
    <x v="2"/>
    <x v="1"/>
    <x v="13"/>
    <x v="14"/>
    <x v="2"/>
    <n v="116.8"/>
  </r>
  <r>
    <x v="2"/>
    <x v="1"/>
    <x v="13"/>
    <x v="15"/>
    <x v="2"/>
    <n v="113.7"/>
  </r>
  <r>
    <x v="2"/>
    <x v="1"/>
    <x v="13"/>
    <x v="16"/>
    <x v="2"/>
    <n v="116.4"/>
  </r>
  <r>
    <x v="2"/>
    <x v="1"/>
    <x v="13"/>
    <x v="17"/>
    <x v="3"/>
    <n v="113.2"/>
  </r>
  <r>
    <x v="2"/>
    <x v="1"/>
    <x v="13"/>
    <x v="18"/>
    <x v="4"/>
    <n v="112.5"/>
  </r>
  <r>
    <x v="2"/>
    <x v="1"/>
    <x v="13"/>
    <x v="19"/>
    <x v="5"/>
    <n v="113.2"/>
  </r>
  <r>
    <x v="2"/>
    <x v="1"/>
    <x v="13"/>
    <x v="20"/>
    <x v="6"/>
    <n v="111.2"/>
  </r>
  <r>
    <x v="2"/>
    <x v="1"/>
    <x v="13"/>
    <x v="21"/>
    <x v="7"/>
    <n v="111.4"/>
  </r>
  <r>
    <x v="2"/>
    <x v="1"/>
    <x v="13"/>
    <x v="22"/>
    <x v="8"/>
    <n v="110.6"/>
  </r>
  <r>
    <x v="2"/>
    <x v="1"/>
    <x v="13"/>
    <x v="23"/>
    <x v="9"/>
    <n v="112"/>
  </r>
  <r>
    <x v="2"/>
    <x v="1"/>
    <x v="13"/>
    <x v="24"/>
    <x v="8"/>
    <n v="109"/>
  </r>
  <r>
    <x v="2"/>
    <x v="1"/>
    <x v="13"/>
    <x v="25"/>
    <x v="5"/>
    <n v="111.3"/>
  </r>
  <r>
    <x v="2"/>
    <x v="1"/>
    <x v="13"/>
    <x v="26"/>
    <x v="10"/>
    <n v="114.2"/>
  </r>
  <r>
    <x v="0"/>
    <x v="1"/>
    <x v="3"/>
    <x v="0"/>
    <x v="0"/>
    <n v="120.2"/>
  </r>
  <r>
    <x v="0"/>
    <x v="1"/>
    <x v="3"/>
    <x v="1"/>
    <x v="0"/>
    <n v="118.9"/>
  </r>
  <r>
    <x v="0"/>
    <x v="1"/>
    <x v="3"/>
    <x v="2"/>
    <x v="0"/>
    <n v="118.1"/>
  </r>
  <r>
    <x v="0"/>
    <x v="1"/>
    <x v="3"/>
    <x v="3"/>
    <x v="0"/>
    <n v="117"/>
  </r>
  <r>
    <x v="0"/>
    <x v="1"/>
    <x v="3"/>
    <x v="4"/>
    <x v="0"/>
    <n v="109.7"/>
  </r>
  <r>
    <x v="0"/>
    <x v="1"/>
    <x v="3"/>
    <x v="5"/>
    <x v="0"/>
    <n v="125.5"/>
  </r>
  <r>
    <x v="0"/>
    <x v="1"/>
    <x v="3"/>
    <x v="6"/>
    <x v="0"/>
    <n v="120.5"/>
  </r>
  <r>
    <x v="0"/>
    <x v="1"/>
    <x v="3"/>
    <x v="7"/>
    <x v="0"/>
    <n v="111"/>
  </r>
  <r>
    <x v="0"/>
    <x v="1"/>
    <x v="3"/>
    <x v="8"/>
    <x v="0"/>
    <n v="102.6"/>
  </r>
  <r>
    <x v="0"/>
    <x v="1"/>
    <x v="3"/>
    <x v="9"/>
    <x v="0"/>
    <n v="111.2"/>
  </r>
  <r>
    <x v="0"/>
    <x v="1"/>
    <x v="3"/>
    <x v="10"/>
    <x v="0"/>
    <n v="113.5"/>
  </r>
  <r>
    <x v="0"/>
    <x v="1"/>
    <x v="3"/>
    <x v="11"/>
    <x v="0"/>
    <n v="118.7"/>
  </r>
  <r>
    <x v="0"/>
    <x v="1"/>
    <x v="3"/>
    <x v="12"/>
    <x v="0"/>
    <n v="117.2"/>
  </r>
  <r>
    <x v="0"/>
    <x v="1"/>
    <x v="3"/>
    <x v="13"/>
    <x v="1"/>
    <n v="115.4"/>
  </r>
  <r>
    <x v="0"/>
    <x v="1"/>
    <x v="3"/>
    <x v="14"/>
    <x v="2"/>
    <n v="118.1"/>
  </r>
  <r>
    <x v="0"/>
    <x v="1"/>
    <x v="3"/>
    <x v="15"/>
    <x v="2"/>
    <n v="116.1"/>
  </r>
  <r>
    <x v="0"/>
    <x v="1"/>
    <x v="3"/>
    <x v="16"/>
    <x v="2"/>
    <n v="117.8"/>
  </r>
  <r>
    <x v="0"/>
    <x v="1"/>
    <x v="3"/>
    <x v="17"/>
    <x v="3"/>
    <s v="NA"/>
  </r>
  <r>
    <x v="0"/>
    <x v="1"/>
    <x v="3"/>
    <x v="18"/>
    <x v="4"/>
    <n v="113.4"/>
  </r>
  <r>
    <x v="0"/>
    <x v="1"/>
    <x v="3"/>
    <x v="19"/>
    <x v="5"/>
    <n v="113.7"/>
  </r>
  <r>
    <x v="0"/>
    <x v="1"/>
    <x v="3"/>
    <x v="20"/>
    <x v="6"/>
    <n v="111.8"/>
  </r>
  <r>
    <x v="0"/>
    <x v="1"/>
    <x v="3"/>
    <x v="21"/>
    <x v="7"/>
    <n v="111.2"/>
  </r>
  <r>
    <x v="0"/>
    <x v="1"/>
    <x v="3"/>
    <x v="22"/>
    <x v="8"/>
    <n v="110.5"/>
  </r>
  <r>
    <x v="0"/>
    <x v="1"/>
    <x v="3"/>
    <x v="23"/>
    <x v="9"/>
    <n v="113"/>
  </r>
  <r>
    <x v="0"/>
    <x v="1"/>
    <x v="3"/>
    <x v="24"/>
    <x v="8"/>
    <n v="108.9"/>
  </r>
  <r>
    <x v="0"/>
    <x v="1"/>
    <x v="3"/>
    <x v="25"/>
    <x v="5"/>
    <n v="111.5"/>
  </r>
  <r>
    <x v="0"/>
    <x v="1"/>
    <x v="3"/>
    <x v="26"/>
    <x v="10"/>
    <n v="115.4"/>
  </r>
  <r>
    <x v="1"/>
    <x v="1"/>
    <x v="3"/>
    <x v="0"/>
    <x v="0"/>
    <n v="122.5"/>
  </r>
  <r>
    <x v="1"/>
    <x v="1"/>
    <x v="3"/>
    <x v="1"/>
    <x v="0"/>
    <n v="121.7"/>
  </r>
  <r>
    <x v="1"/>
    <x v="1"/>
    <x v="3"/>
    <x v="2"/>
    <x v="0"/>
    <n v="113.3"/>
  </r>
  <r>
    <x v="1"/>
    <x v="1"/>
    <x v="3"/>
    <x v="3"/>
    <x v="0"/>
    <n v="117"/>
  </r>
  <r>
    <x v="1"/>
    <x v="1"/>
    <x v="3"/>
    <x v="4"/>
    <x v="0"/>
    <n v="103.1"/>
  </r>
  <r>
    <x v="1"/>
    <x v="1"/>
    <x v="3"/>
    <x v="5"/>
    <x v="0"/>
    <n v="126.7"/>
  </r>
  <r>
    <x v="1"/>
    <x v="1"/>
    <x v="3"/>
    <x v="6"/>
    <x v="0"/>
    <n v="121.2"/>
  </r>
  <r>
    <x v="1"/>
    <x v="1"/>
    <x v="3"/>
    <x v="7"/>
    <x v="0"/>
    <n v="111"/>
  </r>
  <r>
    <x v="1"/>
    <x v="1"/>
    <x v="3"/>
    <x v="8"/>
    <x v="0"/>
    <n v="100.3"/>
  </r>
  <r>
    <x v="1"/>
    <x v="1"/>
    <x v="3"/>
    <x v="9"/>
    <x v="0"/>
    <n v="115.3"/>
  </r>
  <r>
    <x v="1"/>
    <x v="1"/>
    <x v="3"/>
    <x v="10"/>
    <x v="0"/>
    <n v="112.7"/>
  </r>
  <r>
    <x v="1"/>
    <x v="1"/>
    <x v="3"/>
    <x v="11"/>
    <x v="0"/>
    <n v="121"/>
  </r>
  <r>
    <x v="1"/>
    <x v="1"/>
    <x v="3"/>
    <x v="12"/>
    <x v="0"/>
    <n v="118.2"/>
  </r>
  <r>
    <x v="1"/>
    <x v="1"/>
    <x v="3"/>
    <x v="13"/>
    <x v="1"/>
    <n v="117.6"/>
  </r>
  <r>
    <x v="1"/>
    <x v="1"/>
    <x v="3"/>
    <x v="14"/>
    <x v="2"/>
    <n v="116.3"/>
  </r>
  <r>
    <x v="1"/>
    <x v="1"/>
    <x v="3"/>
    <x v="15"/>
    <x v="2"/>
    <n v="112.5"/>
  </r>
  <r>
    <x v="1"/>
    <x v="1"/>
    <x v="3"/>
    <x v="16"/>
    <x v="2"/>
    <n v="115.7"/>
  </r>
  <r>
    <x v="1"/>
    <x v="1"/>
    <x v="3"/>
    <x v="17"/>
    <x v="3"/>
    <n v="113.9"/>
  </r>
  <r>
    <x v="1"/>
    <x v="1"/>
    <x v="3"/>
    <x v="18"/>
    <x v="4"/>
    <n v="110.9"/>
  </r>
  <r>
    <x v="1"/>
    <x v="1"/>
    <x v="3"/>
    <x v="19"/>
    <x v="5"/>
    <n v="113.4"/>
  </r>
  <r>
    <x v="1"/>
    <x v="1"/>
    <x v="3"/>
    <x v="20"/>
    <x v="6"/>
    <n v="111"/>
  </r>
  <r>
    <x v="1"/>
    <x v="1"/>
    <x v="3"/>
    <x v="21"/>
    <x v="7"/>
    <n v="111.2"/>
  </r>
  <r>
    <x v="1"/>
    <x v="1"/>
    <x v="3"/>
    <x v="22"/>
    <x v="8"/>
    <n v="111.2"/>
  </r>
  <r>
    <x v="1"/>
    <x v="1"/>
    <x v="3"/>
    <x v="23"/>
    <x v="9"/>
    <n v="112.5"/>
  </r>
  <r>
    <x v="1"/>
    <x v="1"/>
    <x v="3"/>
    <x v="24"/>
    <x v="8"/>
    <n v="109.1"/>
  </r>
  <r>
    <x v="1"/>
    <x v="1"/>
    <x v="3"/>
    <x v="25"/>
    <x v="5"/>
    <n v="111.4"/>
  </r>
  <r>
    <x v="1"/>
    <x v="1"/>
    <x v="3"/>
    <x v="26"/>
    <x v="10"/>
    <n v="114.7"/>
  </r>
  <r>
    <x v="2"/>
    <x v="1"/>
    <x v="3"/>
    <x v="0"/>
    <x v="0"/>
    <n v="120.9"/>
  </r>
  <r>
    <x v="2"/>
    <x v="1"/>
    <x v="3"/>
    <x v="1"/>
    <x v="0"/>
    <n v="119.9"/>
  </r>
  <r>
    <x v="2"/>
    <x v="1"/>
    <x v="3"/>
    <x v="2"/>
    <x v="0"/>
    <n v="116.2"/>
  </r>
  <r>
    <x v="2"/>
    <x v="1"/>
    <x v="3"/>
    <x v="3"/>
    <x v="0"/>
    <n v="117"/>
  </r>
  <r>
    <x v="2"/>
    <x v="1"/>
    <x v="3"/>
    <x v="4"/>
    <x v="0"/>
    <n v="107.3"/>
  </r>
  <r>
    <x v="2"/>
    <x v="1"/>
    <x v="3"/>
    <x v="5"/>
    <x v="0"/>
    <n v="126.1"/>
  </r>
  <r>
    <x v="2"/>
    <x v="1"/>
    <x v="3"/>
    <x v="6"/>
    <x v="0"/>
    <n v="120.7"/>
  </r>
  <r>
    <x v="2"/>
    <x v="1"/>
    <x v="3"/>
    <x v="7"/>
    <x v="0"/>
    <n v="111"/>
  </r>
  <r>
    <x v="2"/>
    <x v="1"/>
    <x v="3"/>
    <x v="8"/>
    <x v="0"/>
    <n v="101.8"/>
  </r>
  <r>
    <x v="2"/>
    <x v="1"/>
    <x v="3"/>
    <x v="9"/>
    <x v="0"/>
    <n v="112.6"/>
  </r>
  <r>
    <x v="2"/>
    <x v="1"/>
    <x v="3"/>
    <x v="10"/>
    <x v="0"/>
    <n v="113.2"/>
  </r>
  <r>
    <x v="2"/>
    <x v="1"/>
    <x v="3"/>
    <x v="11"/>
    <x v="0"/>
    <n v="119.8"/>
  </r>
  <r>
    <x v="2"/>
    <x v="1"/>
    <x v="3"/>
    <x v="12"/>
    <x v="0"/>
    <n v="117.6"/>
  </r>
  <r>
    <x v="2"/>
    <x v="1"/>
    <x v="3"/>
    <x v="13"/>
    <x v="1"/>
    <n v="116"/>
  </r>
  <r>
    <x v="2"/>
    <x v="1"/>
    <x v="3"/>
    <x v="14"/>
    <x v="2"/>
    <n v="117.4"/>
  </r>
  <r>
    <x v="2"/>
    <x v="1"/>
    <x v="3"/>
    <x v="15"/>
    <x v="2"/>
    <n v="114.6"/>
  </r>
  <r>
    <x v="2"/>
    <x v="1"/>
    <x v="3"/>
    <x v="16"/>
    <x v="2"/>
    <n v="117"/>
  </r>
  <r>
    <x v="2"/>
    <x v="1"/>
    <x v="3"/>
    <x v="17"/>
    <x v="3"/>
    <n v="113.9"/>
  </r>
  <r>
    <x v="2"/>
    <x v="1"/>
    <x v="3"/>
    <x v="18"/>
    <x v="4"/>
    <n v="112.5"/>
  </r>
  <r>
    <x v="2"/>
    <x v="1"/>
    <x v="3"/>
    <x v="19"/>
    <x v="5"/>
    <n v="113.6"/>
  </r>
  <r>
    <x v="2"/>
    <x v="1"/>
    <x v="3"/>
    <x v="20"/>
    <x v="6"/>
    <n v="111.5"/>
  </r>
  <r>
    <x v="2"/>
    <x v="1"/>
    <x v="3"/>
    <x v="21"/>
    <x v="7"/>
    <n v="111.2"/>
  </r>
  <r>
    <x v="2"/>
    <x v="1"/>
    <x v="3"/>
    <x v="22"/>
    <x v="8"/>
    <n v="110.9"/>
  </r>
  <r>
    <x v="2"/>
    <x v="1"/>
    <x v="3"/>
    <x v="23"/>
    <x v="9"/>
    <n v="112.7"/>
  </r>
  <r>
    <x v="2"/>
    <x v="1"/>
    <x v="3"/>
    <x v="24"/>
    <x v="8"/>
    <n v="109"/>
  </r>
  <r>
    <x v="2"/>
    <x v="1"/>
    <x v="3"/>
    <x v="25"/>
    <x v="5"/>
    <n v="111.5"/>
  </r>
  <r>
    <x v="2"/>
    <x v="1"/>
    <x v="3"/>
    <x v="26"/>
    <x v="10"/>
    <n v="115.1"/>
  </r>
  <r>
    <x v="0"/>
    <x v="1"/>
    <x v="4"/>
    <x v="0"/>
    <x v="0"/>
    <n v="120.3"/>
  </r>
  <r>
    <x v="0"/>
    <x v="1"/>
    <x v="4"/>
    <x v="1"/>
    <x v="0"/>
    <n v="120.2"/>
  </r>
  <r>
    <x v="0"/>
    <x v="1"/>
    <x v="4"/>
    <x v="2"/>
    <x v="0"/>
    <n v="116.9"/>
  </r>
  <r>
    <x v="0"/>
    <x v="1"/>
    <x v="4"/>
    <x v="3"/>
    <x v="0"/>
    <n v="118"/>
  </r>
  <r>
    <x v="0"/>
    <x v="1"/>
    <x v="4"/>
    <x v="4"/>
    <x v="0"/>
    <n v="110.1"/>
  </r>
  <r>
    <x v="0"/>
    <x v="1"/>
    <x v="4"/>
    <x v="5"/>
    <x v="0"/>
    <n v="126.3"/>
  </r>
  <r>
    <x v="0"/>
    <x v="1"/>
    <x v="4"/>
    <x v="6"/>
    <x v="0"/>
    <n v="123.9"/>
  </r>
  <r>
    <x v="0"/>
    <x v="1"/>
    <x v="4"/>
    <x v="7"/>
    <x v="0"/>
    <n v="111.5"/>
  </r>
  <r>
    <x v="0"/>
    <x v="1"/>
    <x v="4"/>
    <x v="8"/>
    <x v="0"/>
    <n v="103.5"/>
  </r>
  <r>
    <x v="0"/>
    <x v="1"/>
    <x v="4"/>
    <x v="9"/>
    <x v="0"/>
    <n v="111.6"/>
  </r>
  <r>
    <x v="0"/>
    <x v="1"/>
    <x v="4"/>
    <x v="10"/>
    <x v="0"/>
    <n v="114.2"/>
  </r>
  <r>
    <x v="0"/>
    <x v="1"/>
    <x v="4"/>
    <x v="11"/>
    <x v="0"/>
    <n v="119.2"/>
  </r>
  <r>
    <x v="0"/>
    <x v="1"/>
    <x v="4"/>
    <x v="12"/>
    <x v="0"/>
    <n v="118.2"/>
  </r>
  <r>
    <x v="0"/>
    <x v="1"/>
    <x v="4"/>
    <x v="13"/>
    <x v="1"/>
    <n v="116.3"/>
  </r>
  <r>
    <x v="0"/>
    <x v="1"/>
    <x v="4"/>
    <x v="14"/>
    <x v="2"/>
    <n v="118.7"/>
  </r>
  <r>
    <x v="0"/>
    <x v="1"/>
    <x v="4"/>
    <x v="15"/>
    <x v="2"/>
    <n v="116.8"/>
  </r>
  <r>
    <x v="0"/>
    <x v="1"/>
    <x v="4"/>
    <x v="16"/>
    <x v="2"/>
    <n v="118.5"/>
  </r>
  <r>
    <x v="0"/>
    <x v="1"/>
    <x v="4"/>
    <x v="17"/>
    <x v="3"/>
    <s v="NA"/>
  </r>
  <r>
    <x v="0"/>
    <x v="1"/>
    <x v="4"/>
    <x v="18"/>
    <x v="4"/>
    <n v="113.4"/>
  </r>
  <r>
    <x v="0"/>
    <x v="1"/>
    <x v="4"/>
    <x v="19"/>
    <x v="5"/>
    <n v="114.1"/>
  </r>
  <r>
    <x v="0"/>
    <x v="1"/>
    <x v="4"/>
    <x v="20"/>
    <x v="6"/>
    <n v="112.1"/>
  </r>
  <r>
    <x v="0"/>
    <x v="1"/>
    <x v="4"/>
    <x v="21"/>
    <x v="7"/>
    <n v="111.4"/>
  </r>
  <r>
    <x v="0"/>
    <x v="1"/>
    <x v="4"/>
    <x v="22"/>
    <x v="8"/>
    <n v="110.9"/>
  </r>
  <r>
    <x v="0"/>
    <x v="1"/>
    <x v="4"/>
    <x v="23"/>
    <x v="9"/>
    <n v="113.1"/>
  </r>
  <r>
    <x v="0"/>
    <x v="1"/>
    <x v="4"/>
    <x v="24"/>
    <x v="8"/>
    <n v="108.9"/>
  </r>
  <r>
    <x v="0"/>
    <x v="1"/>
    <x v="4"/>
    <x v="25"/>
    <x v="5"/>
    <n v="111.8"/>
  </r>
  <r>
    <x v="0"/>
    <x v="1"/>
    <x v="4"/>
    <x v="26"/>
    <x v="10"/>
    <n v="116"/>
  </r>
  <r>
    <x v="1"/>
    <x v="1"/>
    <x v="4"/>
    <x v="0"/>
    <x v="0"/>
    <n v="122.7"/>
  </r>
  <r>
    <x v="1"/>
    <x v="1"/>
    <x v="4"/>
    <x v="1"/>
    <x v="0"/>
    <n v="124.1"/>
  </r>
  <r>
    <x v="1"/>
    <x v="1"/>
    <x v="4"/>
    <x v="2"/>
    <x v="0"/>
    <n v="114.2"/>
  </r>
  <r>
    <x v="1"/>
    <x v="1"/>
    <x v="4"/>
    <x v="3"/>
    <x v="0"/>
    <n v="119.1"/>
  </r>
  <r>
    <x v="1"/>
    <x v="1"/>
    <x v="4"/>
    <x v="4"/>
    <x v="0"/>
    <n v="103.5"/>
  </r>
  <r>
    <x v="1"/>
    <x v="1"/>
    <x v="4"/>
    <x v="5"/>
    <x v="0"/>
    <n v="129.19999999999999"/>
  </r>
  <r>
    <x v="1"/>
    <x v="1"/>
    <x v="4"/>
    <x v="6"/>
    <x v="0"/>
    <n v="127"/>
  </r>
  <r>
    <x v="1"/>
    <x v="1"/>
    <x v="4"/>
    <x v="7"/>
    <x v="0"/>
    <n v="112.6"/>
  </r>
  <r>
    <x v="1"/>
    <x v="1"/>
    <x v="4"/>
    <x v="8"/>
    <x v="0"/>
    <n v="101.3"/>
  </r>
  <r>
    <x v="1"/>
    <x v="1"/>
    <x v="4"/>
    <x v="9"/>
    <x v="0"/>
    <n v="117"/>
  </r>
  <r>
    <x v="1"/>
    <x v="1"/>
    <x v="4"/>
    <x v="10"/>
    <x v="0"/>
    <n v="112.9"/>
  </r>
  <r>
    <x v="1"/>
    <x v="1"/>
    <x v="4"/>
    <x v="11"/>
    <x v="0"/>
    <n v="121.7"/>
  </r>
  <r>
    <x v="1"/>
    <x v="1"/>
    <x v="4"/>
    <x v="12"/>
    <x v="0"/>
    <n v="120"/>
  </r>
  <r>
    <x v="1"/>
    <x v="1"/>
    <x v="4"/>
    <x v="13"/>
    <x v="1"/>
    <n v="118.3"/>
  </r>
  <r>
    <x v="1"/>
    <x v="1"/>
    <x v="4"/>
    <x v="14"/>
    <x v="2"/>
    <n v="116.8"/>
  </r>
  <r>
    <x v="1"/>
    <x v="1"/>
    <x v="4"/>
    <x v="15"/>
    <x v="2"/>
    <n v="112.9"/>
  </r>
  <r>
    <x v="1"/>
    <x v="1"/>
    <x v="4"/>
    <x v="16"/>
    <x v="2"/>
    <n v="116.2"/>
  </r>
  <r>
    <x v="1"/>
    <x v="1"/>
    <x v="4"/>
    <x v="17"/>
    <x v="3"/>
    <n v="114.3"/>
  </r>
  <r>
    <x v="1"/>
    <x v="1"/>
    <x v="4"/>
    <x v="18"/>
    <x v="4"/>
    <n v="111.1"/>
  </r>
  <r>
    <x v="1"/>
    <x v="1"/>
    <x v="4"/>
    <x v="19"/>
    <x v="5"/>
    <n v="114.1"/>
  </r>
  <r>
    <x v="1"/>
    <x v="1"/>
    <x v="4"/>
    <x v="20"/>
    <x v="6"/>
    <n v="111.2"/>
  </r>
  <r>
    <x v="1"/>
    <x v="1"/>
    <x v="4"/>
    <x v="21"/>
    <x v="7"/>
    <n v="111.3"/>
  </r>
  <r>
    <x v="1"/>
    <x v="1"/>
    <x v="4"/>
    <x v="22"/>
    <x v="8"/>
    <n v="111.5"/>
  </r>
  <r>
    <x v="1"/>
    <x v="1"/>
    <x v="4"/>
    <x v="23"/>
    <x v="9"/>
    <n v="112.9"/>
  </r>
  <r>
    <x v="1"/>
    <x v="1"/>
    <x v="4"/>
    <x v="24"/>
    <x v="8"/>
    <n v="109.3"/>
  </r>
  <r>
    <x v="1"/>
    <x v="1"/>
    <x v="4"/>
    <x v="25"/>
    <x v="5"/>
    <n v="111.7"/>
  </r>
  <r>
    <x v="1"/>
    <x v="1"/>
    <x v="4"/>
    <x v="26"/>
    <x v="10"/>
    <n v="115.6"/>
  </r>
  <r>
    <x v="2"/>
    <x v="1"/>
    <x v="4"/>
    <x v="0"/>
    <x v="0"/>
    <n v="121.1"/>
  </r>
  <r>
    <x v="2"/>
    <x v="1"/>
    <x v="4"/>
    <x v="1"/>
    <x v="0"/>
    <n v="121.6"/>
  </r>
  <r>
    <x v="2"/>
    <x v="1"/>
    <x v="4"/>
    <x v="2"/>
    <x v="0"/>
    <n v="115.9"/>
  </r>
  <r>
    <x v="2"/>
    <x v="1"/>
    <x v="4"/>
    <x v="3"/>
    <x v="0"/>
    <n v="118.4"/>
  </r>
  <r>
    <x v="2"/>
    <x v="1"/>
    <x v="4"/>
    <x v="4"/>
    <x v="0"/>
    <n v="107.7"/>
  </r>
  <r>
    <x v="2"/>
    <x v="1"/>
    <x v="4"/>
    <x v="5"/>
    <x v="0"/>
    <n v="127.7"/>
  </r>
  <r>
    <x v="2"/>
    <x v="1"/>
    <x v="4"/>
    <x v="6"/>
    <x v="0"/>
    <n v="125"/>
  </r>
  <r>
    <x v="2"/>
    <x v="1"/>
    <x v="4"/>
    <x v="7"/>
    <x v="0"/>
    <n v="111.9"/>
  </r>
  <r>
    <x v="2"/>
    <x v="1"/>
    <x v="4"/>
    <x v="8"/>
    <x v="0"/>
    <n v="102.8"/>
  </r>
  <r>
    <x v="2"/>
    <x v="1"/>
    <x v="4"/>
    <x v="9"/>
    <x v="0"/>
    <n v="113.4"/>
  </r>
  <r>
    <x v="2"/>
    <x v="1"/>
    <x v="4"/>
    <x v="10"/>
    <x v="0"/>
    <n v="113.7"/>
  </r>
  <r>
    <x v="2"/>
    <x v="1"/>
    <x v="4"/>
    <x v="11"/>
    <x v="0"/>
    <n v="120.4"/>
  </r>
  <r>
    <x v="2"/>
    <x v="1"/>
    <x v="4"/>
    <x v="12"/>
    <x v="0"/>
    <n v="118.9"/>
  </r>
  <r>
    <x v="2"/>
    <x v="1"/>
    <x v="4"/>
    <x v="13"/>
    <x v="1"/>
    <n v="116.8"/>
  </r>
  <r>
    <x v="2"/>
    <x v="1"/>
    <x v="4"/>
    <x v="14"/>
    <x v="2"/>
    <n v="118"/>
  </r>
  <r>
    <x v="2"/>
    <x v="1"/>
    <x v="4"/>
    <x v="15"/>
    <x v="2"/>
    <n v="115.2"/>
  </r>
  <r>
    <x v="2"/>
    <x v="1"/>
    <x v="4"/>
    <x v="16"/>
    <x v="2"/>
    <n v="117.6"/>
  </r>
  <r>
    <x v="2"/>
    <x v="1"/>
    <x v="4"/>
    <x v="17"/>
    <x v="3"/>
    <n v="114.3"/>
  </r>
  <r>
    <x v="2"/>
    <x v="1"/>
    <x v="4"/>
    <x v="18"/>
    <x v="4"/>
    <n v="112.5"/>
  </r>
  <r>
    <x v="2"/>
    <x v="1"/>
    <x v="4"/>
    <x v="19"/>
    <x v="5"/>
    <n v="114.1"/>
  </r>
  <r>
    <x v="2"/>
    <x v="1"/>
    <x v="4"/>
    <x v="20"/>
    <x v="6"/>
    <n v="111.8"/>
  </r>
  <r>
    <x v="2"/>
    <x v="1"/>
    <x v="4"/>
    <x v="21"/>
    <x v="7"/>
    <n v="111.3"/>
  </r>
  <r>
    <x v="2"/>
    <x v="1"/>
    <x v="4"/>
    <x v="22"/>
    <x v="8"/>
    <n v="111.2"/>
  </r>
  <r>
    <x v="2"/>
    <x v="1"/>
    <x v="4"/>
    <x v="23"/>
    <x v="9"/>
    <n v="113"/>
  </r>
  <r>
    <x v="2"/>
    <x v="1"/>
    <x v="4"/>
    <x v="24"/>
    <x v="8"/>
    <n v="109.1"/>
  </r>
  <r>
    <x v="2"/>
    <x v="1"/>
    <x v="4"/>
    <x v="25"/>
    <x v="5"/>
    <n v="111.8"/>
  </r>
  <r>
    <x v="2"/>
    <x v="1"/>
    <x v="4"/>
    <x v="26"/>
    <x v="10"/>
    <n v="115.8"/>
  </r>
  <r>
    <x v="0"/>
    <x v="1"/>
    <x v="5"/>
    <x v="0"/>
    <x v="0"/>
    <n v="120.7"/>
  </r>
  <r>
    <x v="0"/>
    <x v="1"/>
    <x v="5"/>
    <x v="1"/>
    <x v="0"/>
    <n v="121.6"/>
  </r>
  <r>
    <x v="0"/>
    <x v="1"/>
    <x v="5"/>
    <x v="2"/>
    <x v="0"/>
    <n v="116.1"/>
  </r>
  <r>
    <x v="0"/>
    <x v="1"/>
    <x v="5"/>
    <x v="3"/>
    <x v="0"/>
    <n v="119.3"/>
  </r>
  <r>
    <x v="0"/>
    <x v="1"/>
    <x v="5"/>
    <x v="4"/>
    <x v="0"/>
    <n v="110.3"/>
  </r>
  <r>
    <x v="0"/>
    <x v="1"/>
    <x v="5"/>
    <x v="5"/>
    <x v="0"/>
    <n v="125.8"/>
  </r>
  <r>
    <x v="0"/>
    <x v="1"/>
    <x v="5"/>
    <x v="6"/>
    <x v="0"/>
    <n v="129.30000000000001"/>
  </r>
  <r>
    <x v="0"/>
    <x v="1"/>
    <x v="5"/>
    <x v="7"/>
    <x v="0"/>
    <n v="112.2"/>
  </r>
  <r>
    <x v="0"/>
    <x v="1"/>
    <x v="5"/>
    <x v="8"/>
    <x v="0"/>
    <n v="103.6"/>
  </r>
  <r>
    <x v="0"/>
    <x v="1"/>
    <x v="5"/>
    <x v="9"/>
    <x v="0"/>
    <n v="112.3"/>
  </r>
  <r>
    <x v="0"/>
    <x v="1"/>
    <x v="5"/>
    <x v="10"/>
    <x v="0"/>
    <n v="114.9"/>
  </r>
  <r>
    <x v="0"/>
    <x v="1"/>
    <x v="5"/>
    <x v="11"/>
    <x v="0"/>
    <n v="120.1"/>
  </r>
  <r>
    <x v="0"/>
    <x v="1"/>
    <x v="5"/>
    <x v="12"/>
    <x v="0"/>
    <n v="119.5"/>
  </r>
  <r>
    <x v="0"/>
    <x v="1"/>
    <x v="5"/>
    <x v="13"/>
    <x v="1"/>
    <n v="117.3"/>
  </r>
  <r>
    <x v="0"/>
    <x v="1"/>
    <x v="5"/>
    <x v="14"/>
    <x v="2"/>
    <n v="119.7"/>
  </r>
  <r>
    <x v="0"/>
    <x v="1"/>
    <x v="5"/>
    <x v="15"/>
    <x v="2"/>
    <n v="117.3"/>
  </r>
  <r>
    <x v="0"/>
    <x v="1"/>
    <x v="5"/>
    <x v="16"/>
    <x v="2"/>
    <n v="119.3"/>
  </r>
  <r>
    <x v="0"/>
    <x v="1"/>
    <x v="5"/>
    <x v="17"/>
    <x v="3"/>
    <s v="NA"/>
  </r>
  <r>
    <x v="0"/>
    <x v="1"/>
    <x v="5"/>
    <x v="18"/>
    <x v="4"/>
    <n v="114.4"/>
  </r>
  <r>
    <x v="0"/>
    <x v="1"/>
    <x v="5"/>
    <x v="19"/>
    <x v="5"/>
    <n v="114.9"/>
  </r>
  <r>
    <x v="0"/>
    <x v="1"/>
    <x v="5"/>
    <x v="20"/>
    <x v="6"/>
    <n v="112.8"/>
  </r>
  <r>
    <x v="0"/>
    <x v="1"/>
    <x v="5"/>
    <x v="21"/>
    <x v="7"/>
    <n v="112.2"/>
  </r>
  <r>
    <x v="0"/>
    <x v="1"/>
    <x v="5"/>
    <x v="22"/>
    <x v="8"/>
    <n v="111.4"/>
  </r>
  <r>
    <x v="0"/>
    <x v="1"/>
    <x v="5"/>
    <x v="23"/>
    <x v="9"/>
    <n v="114.3"/>
  </r>
  <r>
    <x v="0"/>
    <x v="1"/>
    <x v="5"/>
    <x v="24"/>
    <x v="8"/>
    <n v="108"/>
  </r>
  <r>
    <x v="0"/>
    <x v="1"/>
    <x v="5"/>
    <x v="25"/>
    <x v="5"/>
    <n v="112.3"/>
  </r>
  <r>
    <x v="0"/>
    <x v="1"/>
    <x v="5"/>
    <x v="26"/>
    <x v="10"/>
    <n v="117"/>
  </r>
  <r>
    <x v="1"/>
    <x v="1"/>
    <x v="5"/>
    <x v="0"/>
    <x v="0"/>
    <n v="123.1"/>
  </r>
  <r>
    <x v="1"/>
    <x v="1"/>
    <x v="5"/>
    <x v="1"/>
    <x v="0"/>
    <n v="125.9"/>
  </r>
  <r>
    <x v="1"/>
    <x v="1"/>
    <x v="5"/>
    <x v="2"/>
    <x v="0"/>
    <n v="115.4"/>
  </r>
  <r>
    <x v="1"/>
    <x v="1"/>
    <x v="5"/>
    <x v="3"/>
    <x v="0"/>
    <n v="120.4"/>
  </r>
  <r>
    <x v="1"/>
    <x v="1"/>
    <x v="5"/>
    <x v="4"/>
    <x v="0"/>
    <n v="103.4"/>
  </r>
  <r>
    <x v="1"/>
    <x v="1"/>
    <x v="5"/>
    <x v="5"/>
    <x v="0"/>
    <n v="131.19999999999999"/>
  </r>
  <r>
    <x v="1"/>
    <x v="1"/>
    <x v="5"/>
    <x v="6"/>
    <x v="0"/>
    <n v="137.5"/>
  </r>
  <r>
    <x v="1"/>
    <x v="1"/>
    <x v="5"/>
    <x v="7"/>
    <x v="0"/>
    <n v="112.8"/>
  </r>
  <r>
    <x v="1"/>
    <x v="1"/>
    <x v="5"/>
    <x v="8"/>
    <x v="0"/>
    <n v="101.4"/>
  </r>
  <r>
    <x v="1"/>
    <x v="1"/>
    <x v="5"/>
    <x v="9"/>
    <x v="0"/>
    <n v="118.3"/>
  </r>
  <r>
    <x v="1"/>
    <x v="1"/>
    <x v="5"/>
    <x v="10"/>
    <x v="0"/>
    <n v="113.2"/>
  </r>
  <r>
    <x v="1"/>
    <x v="1"/>
    <x v="5"/>
    <x v="11"/>
    <x v="0"/>
    <n v="122.4"/>
  </r>
  <r>
    <x v="1"/>
    <x v="1"/>
    <x v="5"/>
    <x v="12"/>
    <x v="0"/>
    <n v="122"/>
  </r>
  <r>
    <x v="1"/>
    <x v="1"/>
    <x v="5"/>
    <x v="13"/>
    <x v="1"/>
    <n v="119"/>
  </r>
  <r>
    <x v="1"/>
    <x v="1"/>
    <x v="5"/>
    <x v="14"/>
    <x v="2"/>
    <n v="117.4"/>
  </r>
  <r>
    <x v="1"/>
    <x v="1"/>
    <x v="5"/>
    <x v="15"/>
    <x v="2"/>
    <n v="113.2"/>
  </r>
  <r>
    <x v="1"/>
    <x v="1"/>
    <x v="5"/>
    <x v="16"/>
    <x v="2"/>
    <n v="116.7"/>
  </r>
  <r>
    <x v="1"/>
    <x v="1"/>
    <x v="5"/>
    <x v="17"/>
    <x v="3"/>
    <n v="113.9"/>
  </r>
  <r>
    <x v="1"/>
    <x v="1"/>
    <x v="5"/>
    <x v="18"/>
    <x v="4"/>
    <n v="111.2"/>
  </r>
  <r>
    <x v="1"/>
    <x v="1"/>
    <x v="5"/>
    <x v="19"/>
    <x v="5"/>
    <n v="114.3"/>
  </r>
  <r>
    <x v="1"/>
    <x v="1"/>
    <x v="5"/>
    <x v="20"/>
    <x v="6"/>
    <n v="111.4"/>
  </r>
  <r>
    <x v="1"/>
    <x v="1"/>
    <x v="5"/>
    <x v="21"/>
    <x v="7"/>
    <n v="111.5"/>
  </r>
  <r>
    <x v="1"/>
    <x v="1"/>
    <x v="5"/>
    <x v="22"/>
    <x v="8"/>
    <n v="111.8"/>
  </r>
  <r>
    <x v="1"/>
    <x v="1"/>
    <x v="5"/>
    <x v="23"/>
    <x v="9"/>
    <n v="115.1"/>
  </r>
  <r>
    <x v="1"/>
    <x v="1"/>
    <x v="5"/>
    <x v="24"/>
    <x v="8"/>
    <n v="108.7"/>
  </r>
  <r>
    <x v="1"/>
    <x v="1"/>
    <x v="5"/>
    <x v="25"/>
    <x v="5"/>
    <n v="112.2"/>
  </r>
  <r>
    <x v="1"/>
    <x v="1"/>
    <x v="5"/>
    <x v="26"/>
    <x v="10"/>
    <n v="116.4"/>
  </r>
  <r>
    <x v="2"/>
    <x v="1"/>
    <x v="5"/>
    <x v="0"/>
    <x v="0"/>
    <n v="121.5"/>
  </r>
  <r>
    <x v="2"/>
    <x v="1"/>
    <x v="5"/>
    <x v="1"/>
    <x v="0"/>
    <n v="123.1"/>
  </r>
  <r>
    <x v="2"/>
    <x v="1"/>
    <x v="5"/>
    <x v="2"/>
    <x v="0"/>
    <n v="115.8"/>
  </r>
  <r>
    <x v="2"/>
    <x v="1"/>
    <x v="5"/>
    <x v="3"/>
    <x v="0"/>
    <n v="119.7"/>
  </r>
  <r>
    <x v="2"/>
    <x v="1"/>
    <x v="5"/>
    <x v="4"/>
    <x v="0"/>
    <n v="107.8"/>
  </r>
  <r>
    <x v="2"/>
    <x v="1"/>
    <x v="5"/>
    <x v="5"/>
    <x v="0"/>
    <n v="128.30000000000001"/>
  </r>
  <r>
    <x v="2"/>
    <x v="1"/>
    <x v="5"/>
    <x v="6"/>
    <x v="0"/>
    <n v="132.1"/>
  </r>
  <r>
    <x v="2"/>
    <x v="1"/>
    <x v="5"/>
    <x v="7"/>
    <x v="0"/>
    <n v="112.4"/>
  </r>
  <r>
    <x v="2"/>
    <x v="1"/>
    <x v="5"/>
    <x v="8"/>
    <x v="0"/>
    <n v="102.9"/>
  </r>
  <r>
    <x v="2"/>
    <x v="1"/>
    <x v="5"/>
    <x v="9"/>
    <x v="0"/>
    <n v="114.3"/>
  </r>
  <r>
    <x v="2"/>
    <x v="1"/>
    <x v="5"/>
    <x v="10"/>
    <x v="0"/>
    <n v="114.2"/>
  </r>
  <r>
    <x v="2"/>
    <x v="1"/>
    <x v="5"/>
    <x v="11"/>
    <x v="0"/>
    <n v="121.2"/>
  </r>
  <r>
    <x v="2"/>
    <x v="1"/>
    <x v="5"/>
    <x v="12"/>
    <x v="0"/>
    <n v="120.4"/>
  </r>
  <r>
    <x v="2"/>
    <x v="1"/>
    <x v="5"/>
    <x v="13"/>
    <x v="1"/>
    <n v="117.8"/>
  </r>
  <r>
    <x v="2"/>
    <x v="1"/>
    <x v="5"/>
    <x v="14"/>
    <x v="2"/>
    <n v="118.8"/>
  </r>
  <r>
    <x v="2"/>
    <x v="1"/>
    <x v="5"/>
    <x v="15"/>
    <x v="2"/>
    <n v="115.6"/>
  </r>
  <r>
    <x v="2"/>
    <x v="1"/>
    <x v="5"/>
    <x v="16"/>
    <x v="2"/>
    <n v="118.3"/>
  </r>
  <r>
    <x v="2"/>
    <x v="1"/>
    <x v="5"/>
    <x v="17"/>
    <x v="3"/>
    <n v="113.9"/>
  </r>
  <r>
    <x v="2"/>
    <x v="1"/>
    <x v="5"/>
    <x v="18"/>
    <x v="4"/>
    <n v="113.2"/>
  </r>
  <r>
    <x v="2"/>
    <x v="1"/>
    <x v="5"/>
    <x v="19"/>
    <x v="5"/>
    <n v="114.6"/>
  </r>
  <r>
    <x v="2"/>
    <x v="1"/>
    <x v="5"/>
    <x v="20"/>
    <x v="6"/>
    <n v="112.3"/>
  </r>
  <r>
    <x v="2"/>
    <x v="1"/>
    <x v="5"/>
    <x v="21"/>
    <x v="7"/>
    <n v="111.8"/>
  </r>
  <r>
    <x v="2"/>
    <x v="1"/>
    <x v="5"/>
    <x v="22"/>
    <x v="8"/>
    <n v="111.6"/>
  </r>
  <r>
    <x v="2"/>
    <x v="1"/>
    <x v="5"/>
    <x v="23"/>
    <x v="9"/>
    <n v="114.8"/>
  </r>
  <r>
    <x v="2"/>
    <x v="1"/>
    <x v="5"/>
    <x v="24"/>
    <x v="8"/>
    <n v="108.3"/>
  </r>
  <r>
    <x v="2"/>
    <x v="1"/>
    <x v="5"/>
    <x v="25"/>
    <x v="5"/>
    <n v="112.3"/>
  </r>
  <r>
    <x v="2"/>
    <x v="1"/>
    <x v="5"/>
    <x v="26"/>
    <x v="10"/>
    <n v="116.7"/>
  </r>
  <r>
    <x v="0"/>
    <x v="1"/>
    <x v="6"/>
    <x v="0"/>
    <x v="0"/>
    <n v="121.7"/>
  </r>
  <r>
    <x v="0"/>
    <x v="1"/>
    <x v="6"/>
    <x v="1"/>
    <x v="0"/>
    <n v="122.5"/>
  </r>
  <r>
    <x v="0"/>
    <x v="1"/>
    <x v="6"/>
    <x v="2"/>
    <x v="0"/>
    <n v="117.7"/>
  </r>
  <r>
    <x v="0"/>
    <x v="1"/>
    <x v="6"/>
    <x v="3"/>
    <x v="0"/>
    <n v="120.6"/>
  </r>
  <r>
    <x v="0"/>
    <x v="1"/>
    <x v="6"/>
    <x v="4"/>
    <x v="0"/>
    <n v="110.4"/>
  </r>
  <r>
    <x v="0"/>
    <x v="1"/>
    <x v="6"/>
    <x v="5"/>
    <x v="0"/>
    <n v="129.1"/>
  </r>
  <r>
    <x v="0"/>
    <x v="1"/>
    <x v="6"/>
    <x v="6"/>
    <x v="0"/>
    <n v="150.1"/>
  </r>
  <r>
    <x v="0"/>
    <x v="1"/>
    <x v="6"/>
    <x v="7"/>
    <x v="0"/>
    <n v="113.2"/>
  </r>
  <r>
    <x v="0"/>
    <x v="1"/>
    <x v="6"/>
    <x v="8"/>
    <x v="0"/>
    <n v="104.8"/>
  </r>
  <r>
    <x v="0"/>
    <x v="1"/>
    <x v="6"/>
    <x v="9"/>
    <x v="0"/>
    <n v="113.3"/>
  </r>
  <r>
    <x v="0"/>
    <x v="1"/>
    <x v="6"/>
    <x v="10"/>
    <x v="0"/>
    <n v="115.6"/>
  </r>
  <r>
    <x v="0"/>
    <x v="1"/>
    <x v="6"/>
    <x v="11"/>
    <x v="0"/>
    <n v="120.9"/>
  </r>
  <r>
    <x v="0"/>
    <x v="1"/>
    <x v="6"/>
    <x v="12"/>
    <x v="0"/>
    <n v="123.3"/>
  </r>
  <r>
    <x v="0"/>
    <x v="1"/>
    <x v="6"/>
    <x v="13"/>
    <x v="1"/>
    <n v="118"/>
  </r>
  <r>
    <x v="0"/>
    <x v="1"/>
    <x v="6"/>
    <x v="14"/>
    <x v="2"/>
    <n v="120.7"/>
  </r>
  <r>
    <x v="0"/>
    <x v="1"/>
    <x v="6"/>
    <x v="15"/>
    <x v="2"/>
    <n v="118.3"/>
  </r>
  <r>
    <x v="0"/>
    <x v="1"/>
    <x v="6"/>
    <x v="16"/>
    <x v="2"/>
    <n v="120.3"/>
  </r>
  <r>
    <x v="0"/>
    <x v="1"/>
    <x v="6"/>
    <x v="17"/>
    <x v="3"/>
    <s v="NA"/>
  </r>
  <r>
    <x v="0"/>
    <x v="1"/>
    <x v="6"/>
    <x v="18"/>
    <x v="4"/>
    <n v="115.3"/>
  </r>
  <r>
    <x v="0"/>
    <x v="1"/>
    <x v="6"/>
    <x v="19"/>
    <x v="5"/>
    <n v="115.4"/>
  </r>
  <r>
    <x v="0"/>
    <x v="1"/>
    <x v="6"/>
    <x v="20"/>
    <x v="6"/>
    <n v="113.4"/>
  </r>
  <r>
    <x v="0"/>
    <x v="1"/>
    <x v="6"/>
    <x v="21"/>
    <x v="7"/>
    <n v="113.2"/>
  </r>
  <r>
    <x v="0"/>
    <x v="1"/>
    <x v="6"/>
    <x v="22"/>
    <x v="8"/>
    <n v="111.8"/>
  </r>
  <r>
    <x v="0"/>
    <x v="1"/>
    <x v="6"/>
    <x v="23"/>
    <x v="9"/>
    <n v="115.5"/>
  </r>
  <r>
    <x v="0"/>
    <x v="1"/>
    <x v="6"/>
    <x v="24"/>
    <x v="8"/>
    <n v="108.8"/>
  </r>
  <r>
    <x v="0"/>
    <x v="1"/>
    <x v="6"/>
    <x v="25"/>
    <x v="5"/>
    <n v="113.1"/>
  </r>
  <r>
    <x v="0"/>
    <x v="1"/>
    <x v="6"/>
    <x v="26"/>
    <x v="10"/>
    <n v="119.5"/>
  </r>
  <r>
    <x v="1"/>
    <x v="1"/>
    <x v="6"/>
    <x v="0"/>
    <x v="0"/>
    <n v="123.8"/>
  </r>
  <r>
    <x v="1"/>
    <x v="1"/>
    <x v="6"/>
    <x v="1"/>
    <x v="0"/>
    <n v="126.4"/>
  </r>
  <r>
    <x v="1"/>
    <x v="1"/>
    <x v="6"/>
    <x v="2"/>
    <x v="0"/>
    <n v="118"/>
  </r>
  <r>
    <x v="1"/>
    <x v="1"/>
    <x v="6"/>
    <x v="3"/>
    <x v="0"/>
    <n v="121.6"/>
  </r>
  <r>
    <x v="1"/>
    <x v="1"/>
    <x v="6"/>
    <x v="4"/>
    <x v="0"/>
    <n v="103.5"/>
  </r>
  <r>
    <x v="1"/>
    <x v="1"/>
    <x v="6"/>
    <x v="5"/>
    <x v="0"/>
    <n v="133.69999999999999"/>
  </r>
  <r>
    <x v="1"/>
    <x v="1"/>
    <x v="6"/>
    <x v="6"/>
    <x v="0"/>
    <n v="172.4"/>
  </r>
  <r>
    <x v="1"/>
    <x v="1"/>
    <x v="6"/>
    <x v="7"/>
    <x v="0"/>
    <n v="113.1"/>
  </r>
  <r>
    <x v="1"/>
    <x v="1"/>
    <x v="6"/>
    <x v="8"/>
    <x v="0"/>
    <n v="102.7"/>
  </r>
  <r>
    <x v="1"/>
    <x v="1"/>
    <x v="6"/>
    <x v="9"/>
    <x v="0"/>
    <n v="120"/>
  </r>
  <r>
    <x v="1"/>
    <x v="1"/>
    <x v="6"/>
    <x v="10"/>
    <x v="0"/>
    <n v="113.8"/>
  </r>
  <r>
    <x v="1"/>
    <x v="1"/>
    <x v="6"/>
    <x v="11"/>
    <x v="0"/>
    <n v="123.4"/>
  </r>
  <r>
    <x v="1"/>
    <x v="1"/>
    <x v="6"/>
    <x v="12"/>
    <x v="0"/>
    <n v="127.1"/>
  </r>
  <r>
    <x v="1"/>
    <x v="1"/>
    <x v="6"/>
    <x v="13"/>
    <x v="1"/>
    <n v="121"/>
  </r>
  <r>
    <x v="1"/>
    <x v="1"/>
    <x v="6"/>
    <x v="14"/>
    <x v="2"/>
    <n v="118"/>
  </r>
  <r>
    <x v="1"/>
    <x v="1"/>
    <x v="6"/>
    <x v="15"/>
    <x v="2"/>
    <n v="113.6"/>
  </r>
  <r>
    <x v="1"/>
    <x v="1"/>
    <x v="6"/>
    <x v="16"/>
    <x v="2"/>
    <n v="117.4"/>
  </r>
  <r>
    <x v="1"/>
    <x v="1"/>
    <x v="6"/>
    <x v="17"/>
    <x v="3"/>
    <n v="114.8"/>
  </r>
  <r>
    <x v="1"/>
    <x v="1"/>
    <x v="6"/>
    <x v="18"/>
    <x v="4"/>
    <n v="111.6"/>
  </r>
  <r>
    <x v="1"/>
    <x v="1"/>
    <x v="6"/>
    <x v="19"/>
    <x v="5"/>
    <n v="114.9"/>
  </r>
  <r>
    <x v="1"/>
    <x v="1"/>
    <x v="6"/>
    <x v="20"/>
    <x v="6"/>
    <n v="111.5"/>
  </r>
  <r>
    <x v="1"/>
    <x v="1"/>
    <x v="6"/>
    <x v="21"/>
    <x v="7"/>
    <n v="113"/>
  </r>
  <r>
    <x v="1"/>
    <x v="1"/>
    <x v="6"/>
    <x v="22"/>
    <x v="8"/>
    <n v="112.4"/>
  </r>
  <r>
    <x v="1"/>
    <x v="1"/>
    <x v="6"/>
    <x v="23"/>
    <x v="9"/>
    <n v="117.8"/>
  </r>
  <r>
    <x v="1"/>
    <x v="1"/>
    <x v="6"/>
    <x v="24"/>
    <x v="8"/>
    <n v="109.7"/>
  </r>
  <r>
    <x v="1"/>
    <x v="1"/>
    <x v="6"/>
    <x v="25"/>
    <x v="5"/>
    <n v="113.5"/>
  </r>
  <r>
    <x v="1"/>
    <x v="1"/>
    <x v="6"/>
    <x v="26"/>
    <x v="10"/>
    <n v="118.9"/>
  </r>
  <r>
    <x v="2"/>
    <x v="1"/>
    <x v="6"/>
    <x v="0"/>
    <x v="0"/>
    <n v="122.4"/>
  </r>
  <r>
    <x v="2"/>
    <x v="1"/>
    <x v="6"/>
    <x v="1"/>
    <x v="0"/>
    <n v="123.9"/>
  </r>
  <r>
    <x v="2"/>
    <x v="1"/>
    <x v="6"/>
    <x v="2"/>
    <x v="0"/>
    <n v="117.8"/>
  </r>
  <r>
    <x v="2"/>
    <x v="1"/>
    <x v="6"/>
    <x v="3"/>
    <x v="0"/>
    <n v="121"/>
  </r>
  <r>
    <x v="2"/>
    <x v="1"/>
    <x v="6"/>
    <x v="4"/>
    <x v="0"/>
    <n v="107.9"/>
  </r>
  <r>
    <x v="2"/>
    <x v="1"/>
    <x v="6"/>
    <x v="5"/>
    <x v="0"/>
    <n v="131.19999999999999"/>
  </r>
  <r>
    <x v="2"/>
    <x v="1"/>
    <x v="6"/>
    <x v="6"/>
    <x v="0"/>
    <n v="157.69999999999999"/>
  </r>
  <r>
    <x v="2"/>
    <x v="1"/>
    <x v="6"/>
    <x v="7"/>
    <x v="0"/>
    <n v="113.2"/>
  </r>
  <r>
    <x v="2"/>
    <x v="1"/>
    <x v="6"/>
    <x v="8"/>
    <x v="0"/>
    <n v="104.1"/>
  </r>
  <r>
    <x v="2"/>
    <x v="1"/>
    <x v="6"/>
    <x v="9"/>
    <x v="0"/>
    <n v="115.5"/>
  </r>
  <r>
    <x v="2"/>
    <x v="1"/>
    <x v="6"/>
    <x v="10"/>
    <x v="0"/>
    <n v="114.8"/>
  </r>
  <r>
    <x v="2"/>
    <x v="1"/>
    <x v="6"/>
    <x v="11"/>
    <x v="0"/>
    <n v="122.1"/>
  </r>
  <r>
    <x v="2"/>
    <x v="1"/>
    <x v="6"/>
    <x v="12"/>
    <x v="0"/>
    <n v="124.7"/>
  </r>
  <r>
    <x v="2"/>
    <x v="1"/>
    <x v="6"/>
    <x v="13"/>
    <x v="1"/>
    <n v="118.8"/>
  </r>
  <r>
    <x v="2"/>
    <x v="1"/>
    <x v="6"/>
    <x v="14"/>
    <x v="2"/>
    <n v="119.6"/>
  </r>
  <r>
    <x v="2"/>
    <x v="1"/>
    <x v="6"/>
    <x v="15"/>
    <x v="2"/>
    <n v="116.3"/>
  </r>
  <r>
    <x v="2"/>
    <x v="1"/>
    <x v="6"/>
    <x v="16"/>
    <x v="2"/>
    <n v="119.1"/>
  </r>
  <r>
    <x v="2"/>
    <x v="1"/>
    <x v="6"/>
    <x v="17"/>
    <x v="3"/>
    <n v="114.8"/>
  </r>
  <r>
    <x v="2"/>
    <x v="1"/>
    <x v="6"/>
    <x v="18"/>
    <x v="4"/>
    <n v="113.9"/>
  </r>
  <r>
    <x v="2"/>
    <x v="1"/>
    <x v="6"/>
    <x v="19"/>
    <x v="5"/>
    <n v="115.2"/>
  </r>
  <r>
    <x v="2"/>
    <x v="1"/>
    <x v="6"/>
    <x v="20"/>
    <x v="6"/>
    <n v="112.7"/>
  </r>
  <r>
    <x v="2"/>
    <x v="1"/>
    <x v="6"/>
    <x v="21"/>
    <x v="7"/>
    <n v="113.1"/>
  </r>
  <r>
    <x v="2"/>
    <x v="1"/>
    <x v="6"/>
    <x v="22"/>
    <x v="8"/>
    <n v="112.1"/>
  </r>
  <r>
    <x v="2"/>
    <x v="1"/>
    <x v="6"/>
    <x v="23"/>
    <x v="9"/>
    <n v="116.8"/>
  </r>
  <r>
    <x v="2"/>
    <x v="1"/>
    <x v="6"/>
    <x v="24"/>
    <x v="8"/>
    <n v="109.2"/>
  </r>
  <r>
    <x v="2"/>
    <x v="1"/>
    <x v="6"/>
    <x v="25"/>
    <x v="5"/>
    <n v="113.3"/>
  </r>
  <r>
    <x v="2"/>
    <x v="1"/>
    <x v="6"/>
    <x v="26"/>
    <x v="10"/>
    <n v="119.2"/>
  </r>
  <r>
    <x v="0"/>
    <x v="1"/>
    <x v="7"/>
    <x v="0"/>
    <x v="0"/>
    <n v="121.8"/>
  </r>
  <r>
    <x v="0"/>
    <x v="1"/>
    <x v="7"/>
    <x v="1"/>
    <x v="0"/>
    <n v="122.8"/>
  </r>
  <r>
    <x v="0"/>
    <x v="1"/>
    <x v="7"/>
    <x v="2"/>
    <x v="0"/>
    <n v="117.8"/>
  </r>
  <r>
    <x v="0"/>
    <x v="1"/>
    <x v="7"/>
    <x v="3"/>
    <x v="0"/>
    <n v="121.9"/>
  </r>
  <r>
    <x v="0"/>
    <x v="1"/>
    <x v="7"/>
    <x v="4"/>
    <x v="0"/>
    <n v="110.6"/>
  </r>
  <r>
    <x v="0"/>
    <x v="1"/>
    <x v="7"/>
    <x v="5"/>
    <x v="0"/>
    <n v="129.69999999999999"/>
  </r>
  <r>
    <x v="0"/>
    <x v="1"/>
    <x v="7"/>
    <x v="6"/>
    <x v="0"/>
    <n v="161.1"/>
  </r>
  <r>
    <x v="0"/>
    <x v="1"/>
    <x v="7"/>
    <x v="7"/>
    <x v="0"/>
    <n v="114.1"/>
  </r>
  <r>
    <x v="0"/>
    <x v="1"/>
    <x v="7"/>
    <x v="8"/>
    <x v="0"/>
    <n v="105.1"/>
  </r>
  <r>
    <x v="0"/>
    <x v="1"/>
    <x v="7"/>
    <x v="9"/>
    <x v="0"/>
    <n v="114.6"/>
  </r>
  <r>
    <x v="0"/>
    <x v="1"/>
    <x v="7"/>
    <x v="10"/>
    <x v="0"/>
    <n v="115.8"/>
  </r>
  <r>
    <x v="0"/>
    <x v="1"/>
    <x v="7"/>
    <x v="11"/>
    <x v="0"/>
    <n v="121.7"/>
  </r>
  <r>
    <x v="0"/>
    <x v="1"/>
    <x v="7"/>
    <x v="12"/>
    <x v="0"/>
    <n v="125.3"/>
  </r>
  <r>
    <x v="0"/>
    <x v="1"/>
    <x v="7"/>
    <x v="13"/>
    <x v="1"/>
    <n v="118.8"/>
  </r>
  <r>
    <x v="0"/>
    <x v="1"/>
    <x v="7"/>
    <x v="14"/>
    <x v="2"/>
    <n v="120.9"/>
  </r>
  <r>
    <x v="0"/>
    <x v="1"/>
    <x v="7"/>
    <x v="15"/>
    <x v="2"/>
    <n v="118.8"/>
  </r>
  <r>
    <x v="0"/>
    <x v="1"/>
    <x v="7"/>
    <x v="16"/>
    <x v="2"/>
    <n v="120.7"/>
  </r>
  <r>
    <x v="0"/>
    <x v="1"/>
    <x v="7"/>
    <x v="17"/>
    <x v="3"/>
    <s v="NA"/>
  </r>
  <r>
    <x v="0"/>
    <x v="1"/>
    <x v="7"/>
    <x v="18"/>
    <x v="4"/>
    <n v="115.4"/>
  </r>
  <r>
    <x v="0"/>
    <x v="1"/>
    <x v="7"/>
    <x v="19"/>
    <x v="5"/>
    <n v="115.9"/>
  </r>
  <r>
    <x v="0"/>
    <x v="1"/>
    <x v="7"/>
    <x v="20"/>
    <x v="6"/>
    <n v="114"/>
  </r>
  <r>
    <x v="0"/>
    <x v="1"/>
    <x v="7"/>
    <x v="21"/>
    <x v="7"/>
    <n v="113.2"/>
  </r>
  <r>
    <x v="0"/>
    <x v="1"/>
    <x v="7"/>
    <x v="22"/>
    <x v="8"/>
    <n v="112.2"/>
  </r>
  <r>
    <x v="0"/>
    <x v="1"/>
    <x v="7"/>
    <x v="23"/>
    <x v="9"/>
    <n v="116.2"/>
  </r>
  <r>
    <x v="0"/>
    <x v="1"/>
    <x v="7"/>
    <x v="24"/>
    <x v="8"/>
    <n v="109.4"/>
  </r>
  <r>
    <x v="0"/>
    <x v="1"/>
    <x v="7"/>
    <x v="25"/>
    <x v="5"/>
    <n v="113.5"/>
  </r>
  <r>
    <x v="0"/>
    <x v="1"/>
    <x v="7"/>
    <x v="26"/>
    <x v="10"/>
    <n v="120.7"/>
  </r>
  <r>
    <x v="1"/>
    <x v="1"/>
    <x v="7"/>
    <x v="0"/>
    <x v="0"/>
    <n v="124.8"/>
  </r>
  <r>
    <x v="1"/>
    <x v="1"/>
    <x v="7"/>
    <x v="1"/>
    <x v="0"/>
    <n v="127.3"/>
  </r>
  <r>
    <x v="1"/>
    <x v="1"/>
    <x v="7"/>
    <x v="2"/>
    <x v="0"/>
    <n v="116.5"/>
  </r>
  <r>
    <x v="1"/>
    <x v="1"/>
    <x v="7"/>
    <x v="3"/>
    <x v="0"/>
    <n v="122.2"/>
  </r>
  <r>
    <x v="1"/>
    <x v="1"/>
    <x v="7"/>
    <x v="4"/>
    <x v="0"/>
    <n v="103.6"/>
  </r>
  <r>
    <x v="1"/>
    <x v="1"/>
    <x v="7"/>
    <x v="5"/>
    <x v="0"/>
    <n v="132.69999999999999"/>
  </r>
  <r>
    <x v="1"/>
    <x v="1"/>
    <x v="7"/>
    <x v="6"/>
    <x v="0"/>
    <n v="181.9"/>
  </r>
  <r>
    <x v="1"/>
    <x v="1"/>
    <x v="7"/>
    <x v="7"/>
    <x v="0"/>
    <n v="115.2"/>
  </r>
  <r>
    <x v="1"/>
    <x v="1"/>
    <x v="7"/>
    <x v="8"/>
    <x v="0"/>
    <n v="102.7"/>
  </r>
  <r>
    <x v="1"/>
    <x v="1"/>
    <x v="7"/>
    <x v="9"/>
    <x v="0"/>
    <n v="122.1"/>
  </r>
  <r>
    <x v="1"/>
    <x v="1"/>
    <x v="7"/>
    <x v="10"/>
    <x v="0"/>
    <n v="114.4"/>
  </r>
  <r>
    <x v="1"/>
    <x v="1"/>
    <x v="7"/>
    <x v="11"/>
    <x v="0"/>
    <n v="124.7"/>
  </r>
  <r>
    <x v="1"/>
    <x v="1"/>
    <x v="7"/>
    <x v="12"/>
    <x v="0"/>
    <n v="128.9"/>
  </r>
  <r>
    <x v="1"/>
    <x v="1"/>
    <x v="7"/>
    <x v="13"/>
    <x v="1"/>
    <n v="123"/>
  </r>
  <r>
    <x v="1"/>
    <x v="1"/>
    <x v="7"/>
    <x v="14"/>
    <x v="2"/>
    <n v="118.6"/>
  </r>
  <r>
    <x v="1"/>
    <x v="1"/>
    <x v="7"/>
    <x v="15"/>
    <x v="2"/>
    <n v="114.1"/>
  </r>
  <r>
    <x v="1"/>
    <x v="1"/>
    <x v="7"/>
    <x v="16"/>
    <x v="2"/>
    <n v="117.9"/>
  </r>
  <r>
    <x v="1"/>
    <x v="1"/>
    <x v="7"/>
    <x v="17"/>
    <x v="3"/>
    <n v="115.5"/>
  </r>
  <r>
    <x v="1"/>
    <x v="1"/>
    <x v="7"/>
    <x v="18"/>
    <x v="4"/>
    <n v="111.8"/>
  </r>
  <r>
    <x v="1"/>
    <x v="1"/>
    <x v="7"/>
    <x v="19"/>
    <x v="5"/>
    <n v="115.3"/>
  </r>
  <r>
    <x v="1"/>
    <x v="1"/>
    <x v="7"/>
    <x v="20"/>
    <x v="6"/>
    <n v="112.2"/>
  </r>
  <r>
    <x v="1"/>
    <x v="1"/>
    <x v="7"/>
    <x v="21"/>
    <x v="7"/>
    <n v="112.5"/>
  </r>
  <r>
    <x v="1"/>
    <x v="1"/>
    <x v="7"/>
    <x v="22"/>
    <x v="8"/>
    <n v="112.9"/>
  </r>
  <r>
    <x v="1"/>
    <x v="1"/>
    <x v="7"/>
    <x v="23"/>
    <x v="9"/>
    <n v="119.2"/>
  </r>
  <r>
    <x v="1"/>
    <x v="1"/>
    <x v="7"/>
    <x v="24"/>
    <x v="8"/>
    <n v="110.5"/>
  </r>
  <r>
    <x v="1"/>
    <x v="1"/>
    <x v="7"/>
    <x v="25"/>
    <x v="5"/>
    <n v="113.9"/>
  </r>
  <r>
    <x v="1"/>
    <x v="1"/>
    <x v="7"/>
    <x v="26"/>
    <x v="10"/>
    <n v="119.9"/>
  </r>
  <r>
    <x v="2"/>
    <x v="1"/>
    <x v="7"/>
    <x v="0"/>
    <x v="0"/>
    <n v="122.7"/>
  </r>
  <r>
    <x v="2"/>
    <x v="1"/>
    <x v="7"/>
    <x v="1"/>
    <x v="0"/>
    <n v="124.4"/>
  </r>
  <r>
    <x v="2"/>
    <x v="1"/>
    <x v="7"/>
    <x v="2"/>
    <x v="0"/>
    <n v="117.3"/>
  </r>
  <r>
    <x v="2"/>
    <x v="1"/>
    <x v="7"/>
    <x v="3"/>
    <x v="0"/>
    <n v="122"/>
  </r>
  <r>
    <x v="2"/>
    <x v="1"/>
    <x v="7"/>
    <x v="4"/>
    <x v="0"/>
    <n v="108"/>
  </r>
  <r>
    <x v="2"/>
    <x v="1"/>
    <x v="7"/>
    <x v="5"/>
    <x v="0"/>
    <n v="131.1"/>
  </r>
  <r>
    <x v="2"/>
    <x v="1"/>
    <x v="7"/>
    <x v="6"/>
    <x v="0"/>
    <n v="168.2"/>
  </r>
  <r>
    <x v="2"/>
    <x v="1"/>
    <x v="7"/>
    <x v="7"/>
    <x v="0"/>
    <n v="114.5"/>
  </r>
  <r>
    <x v="2"/>
    <x v="1"/>
    <x v="7"/>
    <x v="8"/>
    <x v="0"/>
    <n v="104.3"/>
  </r>
  <r>
    <x v="2"/>
    <x v="1"/>
    <x v="7"/>
    <x v="9"/>
    <x v="0"/>
    <n v="117.1"/>
  </r>
  <r>
    <x v="2"/>
    <x v="1"/>
    <x v="7"/>
    <x v="10"/>
    <x v="0"/>
    <n v="115.2"/>
  </r>
  <r>
    <x v="2"/>
    <x v="1"/>
    <x v="7"/>
    <x v="11"/>
    <x v="0"/>
    <n v="123.1"/>
  </r>
  <r>
    <x v="2"/>
    <x v="1"/>
    <x v="7"/>
    <x v="12"/>
    <x v="0"/>
    <n v="126.6"/>
  </r>
  <r>
    <x v="2"/>
    <x v="1"/>
    <x v="7"/>
    <x v="13"/>
    <x v="1"/>
    <n v="119.9"/>
  </r>
  <r>
    <x v="2"/>
    <x v="1"/>
    <x v="7"/>
    <x v="14"/>
    <x v="2"/>
    <n v="120"/>
  </r>
  <r>
    <x v="2"/>
    <x v="1"/>
    <x v="7"/>
    <x v="15"/>
    <x v="2"/>
    <n v="116.8"/>
  </r>
  <r>
    <x v="2"/>
    <x v="1"/>
    <x v="7"/>
    <x v="16"/>
    <x v="2"/>
    <n v="119.6"/>
  </r>
  <r>
    <x v="2"/>
    <x v="1"/>
    <x v="7"/>
    <x v="17"/>
    <x v="3"/>
    <n v="115.5"/>
  </r>
  <r>
    <x v="2"/>
    <x v="1"/>
    <x v="7"/>
    <x v="18"/>
    <x v="4"/>
    <n v="114"/>
  </r>
  <r>
    <x v="2"/>
    <x v="1"/>
    <x v="7"/>
    <x v="19"/>
    <x v="5"/>
    <n v="115.6"/>
  </r>
  <r>
    <x v="2"/>
    <x v="1"/>
    <x v="7"/>
    <x v="20"/>
    <x v="6"/>
    <n v="113.3"/>
  </r>
  <r>
    <x v="2"/>
    <x v="1"/>
    <x v="7"/>
    <x v="21"/>
    <x v="7"/>
    <n v="112.8"/>
  </r>
  <r>
    <x v="2"/>
    <x v="1"/>
    <x v="7"/>
    <x v="22"/>
    <x v="8"/>
    <n v="112.6"/>
  </r>
  <r>
    <x v="2"/>
    <x v="1"/>
    <x v="7"/>
    <x v="23"/>
    <x v="9"/>
    <n v="118"/>
  </r>
  <r>
    <x v="2"/>
    <x v="1"/>
    <x v="7"/>
    <x v="24"/>
    <x v="8"/>
    <n v="109.9"/>
  </r>
  <r>
    <x v="2"/>
    <x v="1"/>
    <x v="7"/>
    <x v="25"/>
    <x v="5"/>
    <n v="113.7"/>
  </r>
  <r>
    <x v="2"/>
    <x v="1"/>
    <x v="7"/>
    <x v="26"/>
    <x v="10"/>
    <n v="120.3"/>
  </r>
  <r>
    <x v="0"/>
    <x v="1"/>
    <x v="8"/>
    <x v="0"/>
    <x v="0"/>
    <n v="122.3"/>
  </r>
  <r>
    <x v="0"/>
    <x v="1"/>
    <x v="8"/>
    <x v="1"/>
    <x v="0"/>
    <n v="122.4"/>
  </r>
  <r>
    <x v="0"/>
    <x v="1"/>
    <x v="8"/>
    <x v="2"/>
    <x v="0"/>
    <n v="117.8"/>
  </r>
  <r>
    <x v="0"/>
    <x v="1"/>
    <x v="8"/>
    <x v="3"/>
    <x v="0"/>
    <n v="122.7"/>
  </r>
  <r>
    <x v="0"/>
    <x v="1"/>
    <x v="8"/>
    <x v="4"/>
    <x v="0"/>
    <n v="110.4"/>
  </r>
  <r>
    <x v="0"/>
    <x v="1"/>
    <x v="8"/>
    <x v="5"/>
    <x v="0"/>
    <n v="129.80000000000001"/>
  </r>
  <r>
    <x v="0"/>
    <x v="1"/>
    <x v="8"/>
    <x v="6"/>
    <x v="0"/>
    <n v="158.80000000000001"/>
  </r>
  <r>
    <x v="0"/>
    <x v="1"/>
    <x v="8"/>
    <x v="7"/>
    <x v="0"/>
    <n v="115"/>
  </r>
  <r>
    <x v="0"/>
    <x v="1"/>
    <x v="8"/>
    <x v="8"/>
    <x v="0"/>
    <n v="104.7"/>
  </r>
  <r>
    <x v="0"/>
    <x v="1"/>
    <x v="8"/>
    <x v="9"/>
    <x v="0"/>
    <n v="114.9"/>
  </r>
  <r>
    <x v="0"/>
    <x v="1"/>
    <x v="8"/>
    <x v="10"/>
    <x v="0"/>
    <n v="116.5"/>
  </r>
  <r>
    <x v="0"/>
    <x v="1"/>
    <x v="8"/>
    <x v="11"/>
    <x v="0"/>
    <n v="122.6"/>
  </r>
  <r>
    <x v="0"/>
    <x v="1"/>
    <x v="8"/>
    <x v="12"/>
    <x v="0"/>
    <n v="125.3"/>
  </r>
  <r>
    <x v="0"/>
    <x v="1"/>
    <x v="8"/>
    <x v="13"/>
    <x v="1"/>
    <n v="119.5"/>
  </r>
  <r>
    <x v="0"/>
    <x v="1"/>
    <x v="8"/>
    <x v="14"/>
    <x v="2"/>
    <n v="121.7"/>
  </r>
  <r>
    <x v="0"/>
    <x v="1"/>
    <x v="8"/>
    <x v="15"/>
    <x v="2"/>
    <n v="119.2"/>
  </r>
  <r>
    <x v="0"/>
    <x v="1"/>
    <x v="8"/>
    <x v="16"/>
    <x v="2"/>
    <n v="121.3"/>
  </r>
  <r>
    <x v="0"/>
    <x v="1"/>
    <x v="8"/>
    <x v="17"/>
    <x v="3"/>
    <s v="NA"/>
  </r>
  <r>
    <x v="0"/>
    <x v="1"/>
    <x v="8"/>
    <x v="18"/>
    <x v="4"/>
    <n v="115.8"/>
  </r>
  <r>
    <x v="0"/>
    <x v="1"/>
    <x v="8"/>
    <x v="19"/>
    <x v="5"/>
    <n v="116.7"/>
  </r>
  <r>
    <x v="0"/>
    <x v="1"/>
    <x v="8"/>
    <x v="20"/>
    <x v="6"/>
    <n v="114.5"/>
  </r>
  <r>
    <x v="0"/>
    <x v="1"/>
    <x v="8"/>
    <x v="21"/>
    <x v="7"/>
    <n v="112.8"/>
  </r>
  <r>
    <x v="0"/>
    <x v="1"/>
    <x v="8"/>
    <x v="22"/>
    <x v="8"/>
    <n v="112.6"/>
  </r>
  <r>
    <x v="0"/>
    <x v="1"/>
    <x v="8"/>
    <x v="23"/>
    <x v="9"/>
    <n v="116.6"/>
  </r>
  <r>
    <x v="0"/>
    <x v="1"/>
    <x v="8"/>
    <x v="24"/>
    <x v="8"/>
    <n v="109.1"/>
  </r>
  <r>
    <x v="0"/>
    <x v="1"/>
    <x v="8"/>
    <x v="25"/>
    <x v="5"/>
    <n v="113.7"/>
  </r>
  <r>
    <x v="0"/>
    <x v="1"/>
    <x v="8"/>
    <x v="26"/>
    <x v="10"/>
    <n v="120.9"/>
  </r>
  <r>
    <x v="1"/>
    <x v="1"/>
    <x v="8"/>
    <x v="0"/>
    <x v="0"/>
    <n v="124.2"/>
  </r>
  <r>
    <x v="1"/>
    <x v="1"/>
    <x v="8"/>
    <x v="1"/>
    <x v="0"/>
    <n v="125.4"/>
  </r>
  <r>
    <x v="1"/>
    <x v="1"/>
    <x v="8"/>
    <x v="2"/>
    <x v="0"/>
    <n v="116.4"/>
  </r>
  <r>
    <x v="1"/>
    <x v="1"/>
    <x v="8"/>
    <x v="3"/>
    <x v="0"/>
    <n v="122.7"/>
  </r>
  <r>
    <x v="1"/>
    <x v="1"/>
    <x v="8"/>
    <x v="4"/>
    <x v="0"/>
    <n v="103.5"/>
  </r>
  <r>
    <x v="1"/>
    <x v="1"/>
    <x v="8"/>
    <x v="5"/>
    <x v="0"/>
    <n v="124.5"/>
  </r>
  <r>
    <x v="1"/>
    <x v="1"/>
    <x v="8"/>
    <x v="6"/>
    <x v="0"/>
    <n v="168.6"/>
  </r>
  <r>
    <x v="1"/>
    <x v="1"/>
    <x v="8"/>
    <x v="7"/>
    <x v="0"/>
    <n v="116.9"/>
  </r>
  <r>
    <x v="1"/>
    <x v="1"/>
    <x v="8"/>
    <x v="8"/>
    <x v="0"/>
    <n v="101.9"/>
  </r>
  <r>
    <x v="1"/>
    <x v="1"/>
    <x v="8"/>
    <x v="9"/>
    <x v="0"/>
    <n v="122.9"/>
  </r>
  <r>
    <x v="1"/>
    <x v="1"/>
    <x v="8"/>
    <x v="10"/>
    <x v="0"/>
    <n v="114.8"/>
  </r>
  <r>
    <x v="1"/>
    <x v="1"/>
    <x v="8"/>
    <x v="11"/>
    <x v="0"/>
    <n v="125.2"/>
  </r>
  <r>
    <x v="1"/>
    <x v="1"/>
    <x v="8"/>
    <x v="12"/>
    <x v="0"/>
    <n v="126.7"/>
  </r>
  <r>
    <x v="1"/>
    <x v="1"/>
    <x v="8"/>
    <x v="13"/>
    <x v="1"/>
    <n v="124.3"/>
  </r>
  <r>
    <x v="1"/>
    <x v="1"/>
    <x v="8"/>
    <x v="14"/>
    <x v="2"/>
    <n v="119.2"/>
  </r>
  <r>
    <x v="1"/>
    <x v="1"/>
    <x v="8"/>
    <x v="15"/>
    <x v="2"/>
    <n v="114.5"/>
  </r>
  <r>
    <x v="1"/>
    <x v="1"/>
    <x v="8"/>
    <x v="16"/>
    <x v="2"/>
    <n v="118.4"/>
  </r>
  <r>
    <x v="1"/>
    <x v="1"/>
    <x v="8"/>
    <x v="17"/>
    <x v="3"/>
    <n v="116.1"/>
  </r>
  <r>
    <x v="1"/>
    <x v="1"/>
    <x v="8"/>
    <x v="18"/>
    <x v="4"/>
    <n v="111.8"/>
  </r>
  <r>
    <x v="1"/>
    <x v="1"/>
    <x v="8"/>
    <x v="19"/>
    <x v="5"/>
    <n v="115.5"/>
  </r>
  <r>
    <x v="1"/>
    <x v="1"/>
    <x v="8"/>
    <x v="20"/>
    <x v="6"/>
    <n v="112.3"/>
  </r>
  <r>
    <x v="1"/>
    <x v="1"/>
    <x v="8"/>
    <x v="21"/>
    <x v="7"/>
    <n v="111.2"/>
  </r>
  <r>
    <x v="1"/>
    <x v="1"/>
    <x v="8"/>
    <x v="22"/>
    <x v="8"/>
    <n v="113.4"/>
  </r>
  <r>
    <x v="1"/>
    <x v="1"/>
    <x v="8"/>
    <x v="23"/>
    <x v="9"/>
    <n v="120"/>
  </r>
  <r>
    <x v="1"/>
    <x v="1"/>
    <x v="8"/>
    <x v="24"/>
    <x v="8"/>
    <n v="110"/>
  </r>
  <r>
    <x v="1"/>
    <x v="1"/>
    <x v="8"/>
    <x v="25"/>
    <x v="5"/>
    <n v="113.6"/>
  </r>
  <r>
    <x v="1"/>
    <x v="1"/>
    <x v="8"/>
    <x v="26"/>
    <x v="10"/>
    <n v="119.2"/>
  </r>
  <r>
    <x v="2"/>
    <x v="1"/>
    <x v="8"/>
    <x v="0"/>
    <x v="0"/>
    <n v="122.9"/>
  </r>
  <r>
    <x v="2"/>
    <x v="1"/>
    <x v="8"/>
    <x v="1"/>
    <x v="0"/>
    <n v="123.5"/>
  </r>
  <r>
    <x v="2"/>
    <x v="1"/>
    <x v="8"/>
    <x v="2"/>
    <x v="0"/>
    <n v="117.3"/>
  </r>
  <r>
    <x v="2"/>
    <x v="1"/>
    <x v="8"/>
    <x v="3"/>
    <x v="0"/>
    <n v="122.7"/>
  </r>
  <r>
    <x v="2"/>
    <x v="1"/>
    <x v="8"/>
    <x v="4"/>
    <x v="0"/>
    <n v="107.9"/>
  </r>
  <r>
    <x v="2"/>
    <x v="1"/>
    <x v="8"/>
    <x v="5"/>
    <x v="0"/>
    <n v="127.3"/>
  </r>
  <r>
    <x v="2"/>
    <x v="1"/>
    <x v="8"/>
    <x v="6"/>
    <x v="0"/>
    <n v="162.1"/>
  </r>
  <r>
    <x v="2"/>
    <x v="1"/>
    <x v="8"/>
    <x v="7"/>
    <x v="0"/>
    <n v="115.6"/>
  </r>
  <r>
    <x v="2"/>
    <x v="1"/>
    <x v="8"/>
    <x v="8"/>
    <x v="0"/>
    <n v="103.8"/>
  </r>
  <r>
    <x v="2"/>
    <x v="1"/>
    <x v="8"/>
    <x v="9"/>
    <x v="0"/>
    <n v="117.6"/>
  </r>
  <r>
    <x v="2"/>
    <x v="1"/>
    <x v="8"/>
    <x v="10"/>
    <x v="0"/>
    <n v="115.8"/>
  </r>
  <r>
    <x v="2"/>
    <x v="1"/>
    <x v="8"/>
    <x v="11"/>
    <x v="0"/>
    <n v="123.8"/>
  </r>
  <r>
    <x v="2"/>
    <x v="1"/>
    <x v="8"/>
    <x v="12"/>
    <x v="0"/>
    <n v="125.8"/>
  </r>
  <r>
    <x v="2"/>
    <x v="1"/>
    <x v="8"/>
    <x v="13"/>
    <x v="1"/>
    <n v="120.8"/>
  </r>
  <r>
    <x v="2"/>
    <x v="1"/>
    <x v="8"/>
    <x v="14"/>
    <x v="2"/>
    <n v="120.7"/>
  </r>
  <r>
    <x v="2"/>
    <x v="1"/>
    <x v="8"/>
    <x v="15"/>
    <x v="2"/>
    <n v="117.2"/>
  </r>
  <r>
    <x v="2"/>
    <x v="1"/>
    <x v="8"/>
    <x v="16"/>
    <x v="2"/>
    <n v="120.1"/>
  </r>
  <r>
    <x v="2"/>
    <x v="1"/>
    <x v="8"/>
    <x v="17"/>
    <x v="3"/>
    <n v="116.1"/>
  </r>
  <r>
    <x v="2"/>
    <x v="1"/>
    <x v="8"/>
    <x v="18"/>
    <x v="4"/>
    <n v="114.3"/>
  </r>
  <r>
    <x v="2"/>
    <x v="1"/>
    <x v="8"/>
    <x v="19"/>
    <x v="5"/>
    <n v="116.1"/>
  </r>
  <r>
    <x v="2"/>
    <x v="1"/>
    <x v="8"/>
    <x v="20"/>
    <x v="6"/>
    <n v="113.7"/>
  </r>
  <r>
    <x v="2"/>
    <x v="1"/>
    <x v="8"/>
    <x v="21"/>
    <x v="7"/>
    <n v="112"/>
  </r>
  <r>
    <x v="2"/>
    <x v="1"/>
    <x v="8"/>
    <x v="22"/>
    <x v="8"/>
    <n v="113.1"/>
  </r>
  <r>
    <x v="2"/>
    <x v="1"/>
    <x v="8"/>
    <x v="23"/>
    <x v="9"/>
    <n v="118.6"/>
  </r>
  <r>
    <x v="2"/>
    <x v="1"/>
    <x v="8"/>
    <x v="24"/>
    <x v="8"/>
    <n v="109.5"/>
  </r>
  <r>
    <x v="2"/>
    <x v="1"/>
    <x v="8"/>
    <x v="25"/>
    <x v="5"/>
    <n v="113.7"/>
  </r>
  <r>
    <x v="2"/>
    <x v="1"/>
    <x v="8"/>
    <x v="26"/>
    <x v="10"/>
    <n v="120.1"/>
  </r>
  <r>
    <x v="0"/>
    <x v="1"/>
    <x v="9"/>
    <x v="0"/>
    <x v="0"/>
    <n v="122.6"/>
  </r>
  <r>
    <x v="0"/>
    <x v="1"/>
    <x v="9"/>
    <x v="1"/>
    <x v="0"/>
    <n v="122.5"/>
  </r>
  <r>
    <x v="0"/>
    <x v="1"/>
    <x v="9"/>
    <x v="2"/>
    <x v="0"/>
    <n v="118.3"/>
  </r>
  <r>
    <x v="0"/>
    <x v="1"/>
    <x v="9"/>
    <x v="3"/>
    <x v="0"/>
    <n v="123.2"/>
  </r>
  <r>
    <x v="0"/>
    <x v="1"/>
    <x v="9"/>
    <x v="4"/>
    <x v="0"/>
    <n v="110.5"/>
  </r>
  <r>
    <x v="0"/>
    <x v="1"/>
    <x v="9"/>
    <x v="5"/>
    <x v="0"/>
    <n v="128.9"/>
  </r>
  <r>
    <x v="0"/>
    <x v="1"/>
    <x v="9"/>
    <x v="6"/>
    <x v="0"/>
    <n v="155.30000000000001"/>
  </r>
  <r>
    <x v="0"/>
    <x v="1"/>
    <x v="9"/>
    <x v="7"/>
    <x v="0"/>
    <n v="115.5"/>
  </r>
  <r>
    <x v="0"/>
    <x v="1"/>
    <x v="9"/>
    <x v="8"/>
    <x v="0"/>
    <n v="104"/>
  </r>
  <r>
    <x v="0"/>
    <x v="1"/>
    <x v="9"/>
    <x v="9"/>
    <x v="0"/>
    <n v="115.3"/>
  </r>
  <r>
    <x v="0"/>
    <x v="1"/>
    <x v="9"/>
    <x v="10"/>
    <x v="0"/>
    <n v="116.8"/>
  </r>
  <r>
    <x v="0"/>
    <x v="1"/>
    <x v="9"/>
    <x v="11"/>
    <x v="0"/>
    <n v="123.2"/>
  </r>
  <r>
    <x v="0"/>
    <x v="1"/>
    <x v="9"/>
    <x v="12"/>
    <x v="0"/>
    <n v="125.1"/>
  </r>
  <r>
    <x v="0"/>
    <x v="1"/>
    <x v="9"/>
    <x v="13"/>
    <x v="1"/>
    <n v="120"/>
  </r>
  <r>
    <x v="0"/>
    <x v="1"/>
    <x v="9"/>
    <x v="14"/>
    <x v="2"/>
    <n v="122.7"/>
  </r>
  <r>
    <x v="0"/>
    <x v="1"/>
    <x v="9"/>
    <x v="15"/>
    <x v="2"/>
    <n v="120.3"/>
  </r>
  <r>
    <x v="0"/>
    <x v="1"/>
    <x v="9"/>
    <x v="16"/>
    <x v="2"/>
    <n v="122.3"/>
  </r>
  <r>
    <x v="0"/>
    <x v="1"/>
    <x v="9"/>
    <x v="17"/>
    <x v="3"/>
    <s v="NA"/>
  </r>
  <r>
    <x v="0"/>
    <x v="1"/>
    <x v="9"/>
    <x v="18"/>
    <x v="4"/>
    <n v="116.4"/>
  </r>
  <r>
    <x v="0"/>
    <x v="1"/>
    <x v="9"/>
    <x v="19"/>
    <x v="5"/>
    <n v="117.5"/>
  </r>
  <r>
    <x v="0"/>
    <x v="1"/>
    <x v="9"/>
    <x v="20"/>
    <x v="6"/>
    <n v="115.3"/>
  </r>
  <r>
    <x v="0"/>
    <x v="1"/>
    <x v="9"/>
    <x v="21"/>
    <x v="7"/>
    <n v="112.6"/>
  </r>
  <r>
    <x v="0"/>
    <x v="1"/>
    <x v="9"/>
    <x v="22"/>
    <x v="8"/>
    <n v="113"/>
  </r>
  <r>
    <x v="0"/>
    <x v="1"/>
    <x v="9"/>
    <x v="23"/>
    <x v="9"/>
    <n v="116.9"/>
  </r>
  <r>
    <x v="0"/>
    <x v="1"/>
    <x v="9"/>
    <x v="24"/>
    <x v="8"/>
    <n v="109.3"/>
  </r>
  <r>
    <x v="0"/>
    <x v="1"/>
    <x v="9"/>
    <x v="25"/>
    <x v="5"/>
    <n v="114"/>
  </r>
  <r>
    <x v="0"/>
    <x v="1"/>
    <x v="9"/>
    <x v="26"/>
    <x v="10"/>
    <n v="121"/>
  </r>
  <r>
    <x v="1"/>
    <x v="1"/>
    <x v="9"/>
    <x v="0"/>
    <x v="0"/>
    <n v="124.6"/>
  </r>
  <r>
    <x v="1"/>
    <x v="1"/>
    <x v="9"/>
    <x v="1"/>
    <x v="0"/>
    <n v="126.1"/>
  </r>
  <r>
    <x v="1"/>
    <x v="1"/>
    <x v="9"/>
    <x v="2"/>
    <x v="0"/>
    <n v="117.8"/>
  </r>
  <r>
    <x v="1"/>
    <x v="1"/>
    <x v="9"/>
    <x v="3"/>
    <x v="0"/>
    <n v="123.1"/>
  </r>
  <r>
    <x v="1"/>
    <x v="1"/>
    <x v="9"/>
    <x v="4"/>
    <x v="0"/>
    <n v="103.5"/>
  </r>
  <r>
    <x v="1"/>
    <x v="1"/>
    <x v="9"/>
    <x v="5"/>
    <x v="0"/>
    <n v="123.5"/>
  </r>
  <r>
    <x v="1"/>
    <x v="1"/>
    <x v="9"/>
    <x v="6"/>
    <x v="0"/>
    <n v="159.6"/>
  </r>
  <r>
    <x v="1"/>
    <x v="1"/>
    <x v="9"/>
    <x v="7"/>
    <x v="0"/>
    <n v="117.4"/>
  </r>
  <r>
    <x v="1"/>
    <x v="1"/>
    <x v="9"/>
    <x v="8"/>
    <x v="0"/>
    <n v="101.2"/>
  </r>
  <r>
    <x v="1"/>
    <x v="1"/>
    <x v="9"/>
    <x v="9"/>
    <x v="0"/>
    <n v="123.8"/>
  </r>
  <r>
    <x v="1"/>
    <x v="1"/>
    <x v="9"/>
    <x v="10"/>
    <x v="0"/>
    <n v="115.2"/>
  </r>
  <r>
    <x v="1"/>
    <x v="1"/>
    <x v="9"/>
    <x v="11"/>
    <x v="0"/>
    <n v="125.9"/>
  </r>
  <r>
    <x v="1"/>
    <x v="1"/>
    <x v="9"/>
    <x v="12"/>
    <x v="0"/>
    <n v="125.8"/>
  </r>
  <r>
    <x v="1"/>
    <x v="1"/>
    <x v="9"/>
    <x v="13"/>
    <x v="1"/>
    <n v="124.3"/>
  </r>
  <r>
    <x v="1"/>
    <x v="1"/>
    <x v="9"/>
    <x v="14"/>
    <x v="2"/>
    <n v="119.6"/>
  </r>
  <r>
    <x v="1"/>
    <x v="1"/>
    <x v="9"/>
    <x v="15"/>
    <x v="2"/>
    <n v="114.9"/>
  </r>
  <r>
    <x v="1"/>
    <x v="1"/>
    <x v="9"/>
    <x v="16"/>
    <x v="2"/>
    <n v="118.9"/>
  </r>
  <r>
    <x v="1"/>
    <x v="1"/>
    <x v="9"/>
    <x v="17"/>
    <x v="3"/>
    <n v="116.7"/>
  </r>
  <r>
    <x v="1"/>
    <x v="1"/>
    <x v="9"/>
    <x v="18"/>
    <x v="4"/>
    <n v="112"/>
  </r>
  <r>
    <x v="1"/>
    <x v="1"/>
    <x v="9"/>
    <x v="19"/>
    <x v="5"/>
    <n v="115.8"/>
  </r>
  <r>
    <x v="1"/>
    <x v="1"/>
    <x v="9"/>
    <x v="20"/>
    <x v="6"/>
    <n v="112.6"/>
  </r>
  <r>
    <x v="1"/>
    <x v="1"/>
    <x v="9"/>
    <x v="21"/>
    <x v="7"/>
    <n v="111"/>
  </r>
  <r>
    <x v="1"/>
    <x v="1"/>
    <x v="9"/>
    <x v="22"/>
    <x v="8"/>
    <n v="113.6"/>
  </r>
  <r>
    <x v="1"/>
    <x v="1"/>
    <x v="9"/>
    <x v="23"/>
    <x v="9"/>
    <n v="120.2"/>
  </r>
  <r>
    <x v="1"/>
    <x v="1"/>
    <x v="9"/>
    <x v="24"/>
    <x v="8"/>
    <n v="110.1"/>
  </r>
  <r>
    <x v="1"/>
    <x v="1"/>
    <x v="9"/>
    <x v="25"/>
    <x v="5"/>
    <n v="113.7"/>
  </r>
  <r>
    <x v="1"/>
    <x v="1"/>
    <x v="9"/>
    <x v="26"/>
    <x v="10"/>
    <n v="119.1"/>
  </r>
  <r>
    <x v="2"/>
    <x v="1"/>
    <x v="9"/>
    <x v="0"/>
    <x v="0"/>
    <n v="123.2"/>
  </r>
  <r>
    <x v="2"/>
    <x v="1"/>
    <x v="9"/>
    <x v="1"/>
    <x v="0"/>
    <n v="123.8"/>
  </r>
  <r>
    <x v="2"/>
    <x v="1"/>
    <x v="9"/>
    <x v="2"/>
    <x v="0"/>
    <n v="118.1"/>
  </r>
  <r>
    <x v="2"/>
    <x v="1"/>
    <x v="9"/>
    <x v="3"/>
    <x v="0"/>
    <n v="123.2"/>
  </r>
  <r>
    <x v="2"/>
    <x v="1"/>
    <x v="9"/>
    <x v="4"/>
    <x v="0"/>
    <n v="107.9"/>
  </r>
  <r>
    <x v="2"/>
    <x v="1"/>
    <x v="9"/>
    <x v="5"/>
    <x v="0"/>
    <n v="126.4"/>
  </r>
  <r>
    <x v="2"/>
    <x v="1"/>
    <x v="9"/>
    <x v="6"/>
    <x v="0"/>
    <n v="156.80000000000001"/>
  </r>
  <r>
    <x v="2"/>
    <x v="1"/>
    <x v="9"/>
    <x v="7"/>
    <x v="0"/>
    <n v="116.1"/>
  </r>
  <r>
    <x v="2"/>
    <x v="1"/>
    <x v="9"/>
    <x v="8"/>
    <x v="0"/>
    <n v="103.1"/>
  </r>
  <r>
    <x v="2"/>
    <x v="1"/>
    <x v="9"/>
    <x v="9"/>
    <x v="0"/>
    <n v="118.1"/>
  </r>
  <r>
    <x v="2"/>
    <x v="1"/>
    <x v="9"/>
    <x v="10"/>
    <x v="0"/>
    <n v="116.1"/>
  </r>
  <r>
    <x v="2"/>
    <x v="1"/>
    <x v="9"/>
    <x v="11"/>
    <x v="0"/>
    <n v="124.5"/>
  </r>
  <r>
    <x v="2"/>
    <x v="1"/>
    <x v="9"/>
    <x v="12"/>
    <x v="0"/>
    <n v="125.4"/>
  </r>
  <r>
    <x v="2"/>
    <x v="1"/>
    <x v="9"/>
    <x v="13"/>
    <x v="1"/>
    <n v="121.1"/>
  </r>
  <r>
    <x v="2"/>
    <x v="1"/>
    <x v="9"/>
    <x v="14"/>
    <x v="2"/>
    <n v="121.5"/>
  </r>
  <r>
    <x v="2"/>
    <x v="1"/>
    <x v="9"/>
    <x v="15"/>
    <x v="2"/>
    <n v="118.1"/>
  </r>
  <r>
    <x v="2"/>
    <x v="1"/>
    <x v="9"/>
    <x v="16"/>
    <x v="2"/>
    <n v="121"/>
  </r>
  <r>
    <x v="2"/>
    <x v="1"/>
    <x v="9"/>
    <x v="17"/>
    <x v="3"/>
    <n v="116.7"/>
  </r>
  <r>
    <x v="2"/>
    <x v="1"/>
    <x v="9"/>
    <x v="18"/>
    <x v="4"/>
    <n v="114.7"/>
  </r>
  <r>
    <x v="2"/>
    <x v="1"/>
    <x v="9"/>
    <x v="19"/>
    <x v="5"/>
    <n v="116.7"/>
  </r>
  <r>
    <x v="2"/>
    <x v="1"/>
    <x v="9"/>
    <x v="20"/>
    <x v="6"/>
    <n v="114.3"/>
  </r>
  <r>
    <x v="2"/>
    <x v="1"/>
    <x v="9"/>
    <x v="21"/>
    <x v="7"/>
    <n v="111.8"/>
  </r>
  <r>
    <x v="2"/>
    <x v="1"/>
    <x v="9"/>
    <x v="22"/>
    <x v="8"/>
    <n v="113.3"/>
  </r>
  <r>
    <x v="2"/>
    <x v="1"/>
    <x v="9"/>
    <x v="23"/>
    <x v="9"/>
    <n v="118.8"/>
  </r>
  <r>
    <x v="2"/>
    <x v="1"/>
    <x v="9"/>
    <x v="24"/>
    <x v="8"/>
    <n v="109.6"/>
  </r>
  <r>
    <x v="2"/>
    <x v="1"/>
    <x v="9"/>
    <x v="25"/>
    <x v="5"/>
    <n v="113.9"/>
  </r>
  <r>
    <x v="2"/>
    <x v="1"/>
    <x v="9"/>
    <x v="26"/>
    <x v="10"/>
    <n v="120.1"/>
  </r>
  <r>
    <x v="0"/>
    <x v="1"/>
    <x v="11"/>
    <x v="0"/>
    <x v="0"/>
    <n v="122.7"/>
  </r>
  <r>
    <x v="0"/>
    <x v="1"/>
    <x v="11"/>
    <x v="1"/>
    <x v="0"/>
    <n v="122.6"/>
  </r>
  <r>
    <x v="0"/>
    <x v="1"/>
    <x v="11"/>
    <x v="2"/>
    <x v="0"/>
    <n v="119.9"/>
  </r>
  <r>
    <x v="0"/>
    <x v="1"/>
    <x v="11"/>
    <x v="3"/>
    <x v="0"/>
    <n v="124"/>
  </r>
  <r>
    <x v="0"/>
    <x v="1"/>
    <x v="11"/>
    <x v="4"/>
    <x v="0"/>
    <n v="110.5"/>
  </r>
  <r>
    <x v="0"/>
    <x v="1"/>
    <x v="11"/>
    <x v="5"/>
    <x v="0"/>
    <n v="128.80000000000001"/>
  </r>
  <r>
    <x v="0"/>
    <x v="1"/>
    <x v="11"/>
    <x v="6"/>
    <x v="0"/>
    <n v="152"/>
  </r>
  <r>
    <x v="0"/>
    <x v="1"/>
    <x v="11"/>
    <x v="7"/>
    <x v="0"/>
    <n v="116.2"/>
  </r>
  <r>
    <x v="0"/>
    <x v="1"/>
    <x v="11"/>
    <x v="8"/>
    <x v="0"/>
    <n v="103.3"/>
  </r>
  <r>
    <x v="0"/>
    <x v="1"/>
    <x v="11"/>
    <x v="9"/>
    <x v="0"/>
    <n v="115.8"/>
  </r>
  <r>
    <x v="0"/>
    <x v="1"/>
    <x v="11"/>
    <x v="10"/>
    <x v="0"/>
    <n v="116.8"/>
  </r>
  <r>
    <x v="0"/>
    <x v="1"/>
    <x v="11"/>
    <x v="11"/>
    <x v="0"/>
    <n v="124.5"/>
  </r>
  <r>
    <x v="0"/>
    <x v="1"/>
    <x v="11"/>
    <x v="12"/>
    <x v="0"/>
    <n v="124.9"/>
  </r>
  <r>
    <x v="0"/>
    <x v="1"/>
    <x v="11"/>
    <x v="13"/>
    <x v="1"/>
    <n v="120.8"/>
  </r>
  <r>
    <x v="0"/>
    <x v="1"/>
    <x v="11"/>
    <x v="14"/>
    <x v="2"/>
    <n v="123.3"/>
  </r>
  <r>
    <x v="0"/>
    <x v="1"/>
    <x v="11"/>
    <x v="15"/>
    <x v="2"/>
    <n v="120.5"/>
  </r>
  <r>
    <x v="0"/>
    <x v="1"/>
    <x v="11"/>
    <x v="16"/>
    <x v="2"/>
    <n v="122.9"/>
  </r>
  <r>
    <x v="0"/>
    <x v="1"/>
    <x v="11"/>
    <x v="17"/>
    <x v="3"/>
    <s v="NA"/>
  </r>
  <r>
    <x v="0"/>
    <x v="1"/>
    <x v="11"/>
    <x v="18"/>
    <x v="4"/>
    <n v="117.3"/>
  </r>
  <r>
    <x v="0"/>
    <x v="1"/>
    <x v="11"/>
    <x v="19"/>
    <x v="5"/>
    <n v="118.1"/>
  </r>
  <r>
    <x v="0"/>
    <x v="1"/>
    <x v="11"/>
    <x v="20"/>
    <x v="6"/>
    <n v="115.9"/>
  </r>
  <r>
    <x v="0"/>
    <x v="1"/>
    <x v="11"/>
    <x v="21"/>
    <x v="7"/>
    <n v="112"/>
  </r>
  <r>
    <x v="0"/>
    <x v="1"/>
    <x v="11"/>
    <x v="22"/>
    <x v="8"/>
    <n v="113.3"/>
  </r>
  <r>
    <x v="0"/>
    <x v="1"/>
    <x v="11"/>
    <x v="23"/>
    <x v="9"/>
    <n v="117.2"/>
  </r>
  <r>
    <x v="0"/>
    <x v="1"/>
    <x v="11"/>
    <x v="24"/>
    <x v="8"/>
    <n v="108.8"/>
  </r>
  <r>
    <x v="0"/>
    <x v="1"/>
    <x v="11"/>
    <x v="25"/>
    <x v="5"/>
    <n v="114.1"/>
  </r>
  <r>
    <x v="0"/>
    <x v="1"/>
    <x v="11"/>
    <x v="26"/>
    <x v="10"/>
    <n v="121.1"/>
  </r>
  <r>
    <x v="1"/>
    <x v="1"/>
    <x v="11"/>
    <x v="0"/>
    <x v="0"/>
    <n v="124.5"/>
  </r>
  <r>
    <x v="1"/>
    <x v="1"/>
    <x v="11"/>
    <x v="1"/>
    <x v="0"/>
    <n v="125.6"/>
  </r>
  <r>
    <x v="1"/>
    <x v="1"/>
    <x v="11"/>
    <x v="2"/>
    <x v="0"/>
    <n v="122.7"/>
  </r>
  <r>
    <x v="1"/>
    <x v="1"/>
    <x v="11"/>
    <x v="3"/>
    <x v="0"/>
    <n v="124.6"/>
  </r>
  <r>
    <x v="1"/>
    <x v="1"/>
    <x v="11"/>
    <x v="4"/>
    <x v="0"/>
    <n v="103.2"/>
  </r>
  <r>
    <x v="1"/>
    <x v="1"/>
    <x v="11"/>
    <x v="5"/>
    <x v="0"/>
    <n v="122.2"/>
  </r>
  <r>
    <x v="1"/>
    <x v="1"/>
    <x v="11"/>
    <x v="6"/>
    <x v="0"/>
    <n v="153.19999999999999"/>
  </r>
  <r>
    <x v="1"/>
    <x v="1"/>
    <x v="11"/>
    <x v="7"/>
    <x v="0"/>
    <n v="119.3"/>
  </r>
  <r>
    <x v="1"/>
    <x v="1"/>
    <x v="11"/>
    <x v="8"/>
    <x v="0"/>
    <n v="99.8"/>
  </r>
  <r>
    <x v="1"/>
    <x v="1"/>
    <x v="11"/>
    <x v="9"/>
    <x v="0"/>
    <n v="124.6"/>
  </r>
  <r>
    <x v="1"/>
    <x v="1"/>
    <x v="11"/>
    <x v="10"/>
    <x v="0"/>
    <n v="115.8"/>
  </r>
  <r>
    <x v="1"/>
    <x v="1"/>
    <x v="11"/>
    <x v="11"/>
    <x v="0"/>
    <n v="126.9"/>
  </r>
  <r>
    <x v="1"/>
    <x v="1"/>
    <x v="11"/>
    <x v="12"/>
    <x v="0"/>
    <n v="125.4"/>
  </r>
  <r>
    <x v="1"/>
    <x v="1"/>
    <x v="11"/>
    <x v="13"/>
    <x v="1"/>
    <n v="125.8"/>
  </r>
  <r>
    <x v="1"/>
    <x v="1"/>
    <x v="11"/>
    <x v="14"/>
    <x v="2"/>
    <n v="120.3"/>
  </r>
  <r>
    <x v="1"/>
    <x v="1"/>
    <x v="11"/>
    <x v="15"/>
    <x v="2"/>
    <n v="115.4"/>
  </r>
  <r>
    <x v="1"/>
    <x v="1"/>
    <x v="11"/>
    <x v="16"/>
    <x v="2"/>
    <n v="119.5"/>
  </r>
  <r>
    <x v="1"/>
    <x v="1"/>
    <x v="11"/>
    <x v="17"/>
    <x v="3"/>
    <n v="117.1"/>
  </r>
  <r>
    <x v="1"/>
    <x v="1"/>
    <x v="11"/>
    <x v="18"/>
    <x v="4"/>
    <n v="112.6"/>
  </r>
  <r>
    <x v="1"/>
    <x v="1"/>
    <x v="11"/>
    <x v="19"/>
    <x v="5"/>
    <n v="116.4"/>
  </r>
  <r>
    <x v="1"/>
    <x v="1"/>
    <x v="11"/>
    <x v="20"/>
    <x v="6"/>
    <n v="113"/>
  </r>
  <r>
    <x v="1"/>
    <x v="1"/>
    <x v="11"/>
    <x v="21"/>
    <x v="7"/>
    <n v="109.7"/>
  </r>
  <r>
    <x v="1"/>
    <x v="1"/>
    <x v="11"/>
    <x v="22"/>
    <x v="8"/>
    <n v="114"/>
  </r>
  <r>
    <x v="1"/>
    <x v="1"/>
    <x v="11"/>
    <x v="23"/>
    <x v="9"/>
    <n v="120.3"/>
  </r>
  <r>
    <x v="1"/>
    <x v="1"/>
    <x v="11"/>
    <x v="24"/>
    <x v="8"/>
    <n v="109.6"/>
  </r>
  <r>
    <x v="1"/>
    <x v="1"/>
    <x v="11"/>
    <x v="25"/>
    <x v="5"/>
    <n v="113.4"/>
  </r>
  <r>
    <x v="1"/>
    <x v="1"/>
    <x v="11"/>
    <x v="26"/>
    <x v="10"/>
    <n v="119"/>
  </r>
  <r>
    <x v="2"/>
    <x v="1"/>
    <x v="11"/>
    <x v="0"/>
    <x v="0"/>
    <n v="123.3"/>
  </r>
  <r>
    <x v="2"/>
    <x v="1"/>
    <x v="11"/>
    <x v="1"/>
    <x v="0"/>
    <n v="123.7"/>
  </r>
  <r>
    <x v="2"/>
    <x v="1"/>
    <x v="11"/>
    <x v="2"/>
    <x v="0"/>
    <n v="121"/>
  </r>
  <r>
    <x v="2"/>
    <x v="1"/>
    <x v="11"/>
    <x v="3"/>
    <x v="0"/>
    <n v="124.2"/>
  </r>
  <r>
    <x v="2"/>
    <x v="1"/>
    <x v="11"/>
    <x v="4"/>
    <x v="0"/>
    <n v="107.8"/>
  </r>
  <r>
    <x v="2"/>
    <x v="1"/>
    <x v="11"/>
    <x v="5"/>
    <x v="0"/>
    <n v="125.7"/>
  </r>
  <r>
    <x v="2"/>
    <x v="1"/>
    <x v="11"/>
    <x v="6"/>
    <x v="0"/>
    <n v="152.4"/>
  </r>
  <r>
    <x v="2"/>
    <x v="1"/>
    <x v="11"/>
    <x v="7"/>
    <x v="0"/>
    <n v="117.2"/>
  </r>
  <r>
    <x v="2"/>
    <x v="1"/>
    <x v="11"/>
    <x v="8"/>
    <x v="0"/>
    <n v="102.1"/>
  </r>
  <r>
    <x v="2"/>
    <x v="1"/>
    <x v="11"/>
    <x v="9"/>
    <x v="0"/>
    <n v="118.7"/>
  </r>
  <r>
    <x v="2"/>
    <x v="1"/>
    <x v="11"/>
    <x v="10"/>
    <x v="0"/>
    <n v="116.4"/>
  </r>
  <r>
    <x v="2"/>
    <x v="1"/>
    <x v="11"/>
    <x v="11"/>
    <x v="0"/>
    <n v="125.6"/>
  </r>
  <r>
    <x v="2"/>
    <x v="1"/>
    <x v="11"/>
    <x v="12"/>
    <x v="0"/>
    <n v="125.1"/>
  </r>
  <r>
    <x v="2"/>
    <x v="1"/>
    <x v="11"/>
    <x v="13"/>
    <x v="1"/>
    <n v="122.1"/>
  </r>
  <r>
    <x v="2"/>
    <x v="1"/>
    <x v="11"/>
    <x v="14"/>
    <x v="2"/>
    <n v="122.1"/>
  </r>
  <r>
    <x v="2"/>
    <x v="1"/>
    <x v="11"/>
    <x v="15"/>
    <x v="2"/>
    <n v="118.4"/>
  </r>
  <r>
    <x v="2"/>
    <x v="1"/>
    <x v="11"/>
    <x v="16"/>
    <x v="2"/>
    <n v="121.6"/>
  </r>
  <r>
    <x v="2"/>
    <x v="1"/>
    <x v="11"/>
    <x v="17"/>
    <x v="3"/>
    <n v="117.1"/>
  </r>
  <r>
    <x v="2"/>
    <x v="1"/>
    <x v="11"/>
    <x v="18"/>
    <x v="4"/>
    <n v="115.5"/>
  </r>
  <r>
    <x v="2"/>
    <x v="1"/>
    <x v="11"/>
    <x v="19"/>
    <x v="5"/>
    <n v="117.3"/>
  </r>
  <r>
    <x v="2"/>
    <x v="1"/>
    <x v="11"/>
    <x v="20"/>
    <x v="6"/>
    <n v="114.8"/>
  </r>
  <r>
    <x v="2"/>
    <x v="1"/>
    <x v="11"/>
    <x v="21"/>
    <x v="7"/>
    <n v="110.8"/>
  </r>
  <r>
    <x v="2"/>
    <x v="1"/>
    <x v="11"/>
    <x v="22"/>
    <x v="8"/>
    <n v="113.7"/>
  </r>
  <r>
    <x v="2"/>
    <x v="1"/>
    <x v="11"/>
    <x v="23"/>
    <x v="9"/>
    <n v="119"/>
  </r>
  <r>
    <x v="2"/>
    <x v="1"/>
    <x v="11"/>
    <x v="24"/>
    <x v="8"/>
    <n v="109.1"/>
  </r>
  <r>
    <x v="2"/>
    <x v="1"/>
    <x v="11"/>
    <x v="25"/>
    <x v="5"/>
    <n v="113.8"/>
  </r>
  <r>
    <x v="2"/>
    <x v="1"/>
    <x v="11"/>
    <x v="26"/>
    <x v="10"/>
    <n v="120.1"/>
  </r>
  <r>
    <x v="0"/>
    <x v="1"/>
    <x v="12"/>
    <x v="0"/>
    <x v="0"/>
    <n v="122.4"/>
  </r>
  <r>
    <x v="0"/>
    <x v="1"/>
    <x v="12"/>
    <x v="1"/>
    <x v="0"/>
    <n v="122.4"/>
  </r>
  <r>
    <x v="0"/>
    <x v="1"/>
    <x v="12"/>
    <x v="2"/>
    <x v="0"/>
    <n v="121.8"/>
  </r>
  <r>
    <x v="0"/>
    <x v="1"/>
    <x v="12"/>
    <x v="3"/>
    <x v="0"/>
    <n v="124.2"/>
  </r>
  <r>
    <x v="0"/>
    <x v="1"/>
    <x v="12"/>
    <x v="4"/>
    <x v="0"/>
    <n v="110.2"/>
  </r>
  <r>
    <x v="0"/>
    <x v="1"/>
    <x v="12"/>
    <x v="5"/>
    <x v="0"/>
    <n v="128.6"/>
  </r>
  <r>
    <x v="0"/>
    <x v="1"/>
    <x v="12"/>
    <x v="6"/>
    <x v="0"/>
    <n v="140.30000000000001"/>
  </r>
  <r>
    <x v="0"/>
    <x v="1"/>
    <x v="12"/>
    <x v="7"/>
    <x v="0"/>
    <n v="116.3"/>
  </r>
  <r>
    <x v="0"/>
    <x v="1"/>
    <x v="12"/>
    <x v="8"/>
    <x v="0"/>
    <n v="102"/>
  </r>
  <r>
    <x v="0"/>
    <x v="1"/>
    <x v="12"/>
    <x v="9"/>
    <x v="0"/>
    <n v="116"/>
  </r>
  <r>
    <x v="0"/>
    <x v="1"/>
    <x v="12"/>
    <x v="10"/>
    <x v="0"/>
    <n v="117.3"/>
  </r>
  <r>
    <x v="0"/>
    <x v="1"/>
    <x v="12"/>
    <x v="11"/>
    <x v="0"/>
    <n v="124.8"/>
  </r>
  <r>
    <x v="0"/>
    <x v="1"/>
    <x v="12"/>
    <x v="12"/>
    <x v="0"/>
    <n v="123.3"/>
  </r>
  <r>
    <x v="0"/>
    <x v="1"/>
    <x v="12"/>
    <x v="13"/>
    <x v="1"/>
    <n v="121.7"/>
  </r>
  <r>
    <x v="0"/>
    <x v="1"/>
    <x v="12"/>
    <x v="14"/>
    <x v="2"/>
    <n v="123.8"/>
  </r>
  <r>
    <x v="0"/>
    <x v="1"/>
    <x v="12"/>
    <x v="15"/>
    <x v="2"/>
    <n v="120.6"/>
  </r>
  <r>
    <x v="0"/>
    <x v="1"/>
    <x v="12"/>
    <x v="16"/>
    <x v="2"/>
    <n v="123.3"/>
  </r>
  <r>
    <x v="0"/>
    <x v="1"/>
    <x v="12"/>
    <x v="17"/>
    <x v="3"/>
    <s v="NA"/>
  </r>
  <r>
    <x v="0"/>
    <x v="1"/>
    <x v="12"/>
    <x v="18"/>
    <x v="4"/>
    <n v="117.4"/>
  </r>
  <r>
    <x v="0"/>
    <x v="1"/>
    <x v="12"/>
    <x v="19"/>
    <x v="5"/>
    <n v="118.2"/>
  </r>
  <r>
    <x v="0"/>
    <x v="1"/>
    <x v="12"/>
    <x v="20"/>
    <x v="6"/>
    <n v="116.2"/>
  </r>
  <r>
    <x v="0"/>
    <x v="1"/>
    <x v="12"/>
    <x v="21"/>
    <x v="7"/>
    <n v="111.5"/>
  </r>
  <r>
    <x v="0"/>
    <x v="1"/>
    <x v="12"/>
    <x v="22"/>
    <x v="8"/>
    <n v="113.3"/>
  </r>
  <r>
    <x v="0"/>
    <x v="1"/>
    <x v="12"/>
    <x v="23"/>
    <x v="9"/>
    <n v="117.7"/>
  </r>
  <r>
    <x v="0"/>
    <x v="1"/>
    <x v="12"/>
    <x v="24"/>
    <x v="8"/>
    <n v="109.4"/>
  </r>
  <r>
    <x v="0"/>
    <x v="1"/>
    <x v="12"/>
    <x v="25"/>
    <x v="5"/>
    <n v="114.2"/>
  </r>
  <r>
    <x v="0"/>
    <x v="1"/>
    <x v="12"/>
    <x v="26"/>
    <x v="10"/>
    <n v="120.3"/>
  </r>
  <r>
    <x v="1"/>
    <x v="1"/>
    <x v="12"/>
    <x v="0"/>
    <x v="0"/>
    <n v="124"/>
  </r>
  <r>
    <x v="1"/>
    <x v="1"/>
    <x v="12"/>
    <x v="1"/>
    <x v="0"/>
    <n v="124.7"/>
  </r>
  <r>
    <x v="1"/>
    <x v="1"/>
    <x v="12"/>
    <x v="2"/>
    <x v="0"/>
    <n v="126.3"/>
  </r>
  <r>
    <x v="1"/>
    <x v="1"/>
    <x v="12"/>
    <x v="3"/>
    <x v="0"/>
    <n v="124.9"/>
  </r>
  <r>
    <x v="1"/>
    <x v="1"/>
    <x v="12"/>
    <x v="4"/>
    <x v="0"/>
    <n v="103"/>
  </r>
  <r>
    <x v="1"/>
    <x v="1"/>
    <x v="12"/>
    <x v="5"/>
    <x v="0"/>
    <n v="122.3"/>
  </r>
  <r>
    <x v="1"/>
    <x v="1"/>
    <x v="12"/>
    <x v="6"/>
    <x v="0"/>
    <n v="141"/>
  </r>
  <r>
    <x v="1"/>
    <x v="1"/>
    <x v="12"/>
    <x v="7"/>
    <x v="0"/>
    <n v="120.1"/>
  </r>
  <r>
    <x v="1"/>
    <x v="1"/>
    <x v="12"/>
    <x v="8"/>
    <x v="0"/>
    <n v="97.8"/>
  </r>
  <r>
    <x v="1"/>
    <x v="1"/>
    <x v="12"/>
    <x v="9"/>
    <x v="0"/>
    <n v="125.4"/>
  </r>
  <r>
    <x v="1"/>
    <x v="1"/>
    <x v="12"/>
    <x v="10"/>
    <x v="0"/>
    <n v="116.1"/>
  </r>
  <r>
    <x v="1"/>
    <x v="1"/>
    <x v="12"/>
    <x v="11"/>
    <x v="0"/>
    <n v="127.6"/>
  </r>
  <r>
    <x v="1"/>
    <x v="1"/>
    <x v="12"/>
    <x v="12"/>
    <x v="0"/>
    <n v="124"/>
  </r>
  <r>
    <x v="1"/>
    <x v="1"/>
    <x v="12"/>
    <x v="13"/>
    <x v="1"/>
    <n v="126.4"/>
  </r>
  <r>
    <x v="1"/>
    <x v="1"/>
    <x v="12"/>
    <x v="14"/>
    <x v="2"/>
    <n v="120.7"/>
  </r>
  <r>
    <x v="1"/>
    <x v="1"/>
    <x v="12"/>
    <x v="15"/>
    <x v="2"/>
    <n v="115.8"/>
  </r>
  <r>
    <x v="1"/>
    <x v="1"/>
    <x v="12"/>
    <x v="16"/>
    <x v="2"/>
    <n v="120"/>
  </r>
  <r>
    <x v="1"/>
    <x v="1"/>
    <x v="12"/>
    <x v="17"/>
    <x v="3"/>
    <n v="116.5"/>
  </r>
  <r>
    <x v="1"/>
    <x v="1"/>
    <x v="12"/>
    <x v="18"/>
    <x v="4"/>
    <n v="113"/>
  </r>
  <r>
    <x v="1"/>
    <x v="1"/>
    <x v="12"/>
    <x v="19"/>
    <x v="5"/>
    <n v="116.8"/>
  </r>
  <r>
    <x v="1"/>
    <x v="1"/>
    <x v="12"/>
    <x v="20"/>
    <x v="6"/>
    <n v="113.2"/>
  </r>
  <r>
    <x v="1"/>
    <x v="1"/>
    <x v="12"/>
    <x v="21"/>
    <x v="7"/>
    <n v="108.8"/>
  </r>
  <r>
    <x v="1"/>
    <x v="1"/>
    <x v="12"/>
    <x v="22"/>
    <x v="8"/>
    <n v="114.3"/>
  </r>
  <r>
    <x v="1"/>
    <x v="1"/>
    <x v="12"/>
    <x v="23"/>
    <x v="9"/>
    <n v="120.7"/>
  </r>
  <r>
    <x v="1"/>
    <x v="1"/>
    <x v="12"/>
    <x v="24"/>
    <x v="8"/>
    <n v="110.4"/>
  </r>
  <r>
    <x v="1"/>
    <x v="1"/>
    <x v="12"/>
    <x v="25"/>
    <x v="5"/>
    <n v="113.4"/>
  </r>
  <r>
    <x v="1"/>
    <x v="1"/>
    <x v="12"/>
    <x v="26"/>
    <x v="10"/>
    <n v="118.4"/>
  </r>
  <r>
    <x v="2"/>
    <x v="1"/>
    <x v="12"/>
    <x v="0"/>
    <x v="0"/>
    <n v="122.9"/>
  </r>
  <r>
    <x v="2"/>
    <x v="1"/>
    <x v="12"/>
    <x v="1"/>
    <x v="0"/>
    <n v="123.2"/>
  </r>
  <r>
    <x v="2"/>
    <x v="1"/>
    <x v="12"/>
    <x v="2"/>
    <x v="0"/>
    <n v="123.5"/>
  </r>
  <r>
    <x v="2"/>
    <x v="1"/>
    <x v="12"/>
    <x v="3"/>
    <x v="0"/>
    <n v="124.5"/>
  </r>
  <r>
    <x v="2"/>
    <x v="1"/>
    <x v="12"/>
    <x v="4"/>
    <x v="0"/>
    <n v="107.6"/>
  </r>
  <r>
    <x v="2"/>
    <x v="1"/>
    <x v="12"/>
    <x v="5"/>
    <x v="0"/>
    <n v="125.7"/>
  </r>
  <r>
    <x v="2"/>
    <x v="1"/>
    <x v="12"/>
    <x v="6"/>
    <x v="0"/>
    <n v="140.5"/>
  </r>
  <r>
    <x v="2"/>
    <x v="1"/>
    <x v="12"/>
    <x v="7"/>
    <x v="0"/>
    <n v="117.6"/>
  </r>
  <r>
    <x v="2"/>
    <x v="1"/>
    <x v="12"/>
    <x v="8"/>
    <x v="0"/>
    <n v="100.6"/>
  </r>
  <r>
    <x v="2"/>
    <x v="1"/>
    <x v="12"/>
    <x v="9"/>
    <x v="0"/>
    <n v="119.1"/>
  </r>
  <r>
    <x v="2"/>
    <x v="1"/>
    <x v="12"/>
    <x v="10"/>
    <x v="0"/>
    <n v="116.8"/>
  </r>
  <r>
    <x v="2"/>
    <x v="1"/>
    <x v="12"/>
    <x v="11"/>
    <x v="0"/>
    <n v="126.1"/>
  </r>
  <r>
    <x v="2"/>
    <x v="1"/>
    <x v="12"/>
    <x v="12"/>
    <x v="0"/>
    <n v="123.6"/>
  </r>
  <r>
    <x v="2"/>
    <x v="1"/>
    <x v="12"/>
    <x v="13"/>
    <x v="1"/>
    <n v="123"/>
  </r>
  <r>
    <x v="2"/>
    <x v="1"/>
    <x v="12"/>
    <x v="14"/>
    <x v="2"/>
    <n v="122.6"/>
  </r>
  <r>
    <x v="2"/>
    <x v="1"/>
    <x v="12"/>
    <x v="15"/>
    <x v="2"/>
    <n v="118.6"/>
  </r>
  <r>
    <x v="2"/>
    <x v="1"/>
    <x v="12"/>
    <x v="16"/>
    <x v="2"/>
    <n v="122"/>
  </r>
  <r>
    <x v="2"/>
    <x v="1"/>
    <x v="12"/>
    <x v="17"/>
    <x v="3"/>
    <n v="116.5"/>
  </r>
  <r>
    <x v="2"/>
    <x v="1"/>
    <x v="12"/>
    <x v="18"/>
    <x v="4"/>
    <n v="115.7"/>
  </r>
  <r>
    <x v="2"/>
    <x v="1"/>
    <x v="12"/>
    <x v="19"/>
    <x v="5"/>
    <n v="117.5"/>
  </r>
  <r>
    <x v="2"/>
    <x v="1"/>
    <x v="12"/>
    <x v="20"/>
    <x v="6"/>
    <n v="115.1"/>
  </r>
  <r>
    <x v="2"/>
    <x v="1"/>
    <x v="12"/>
    <x v="21"/>
    <x v="7"/>
    <n v="110.1"/>
  </r>
  <r>
    <x v="2"/>
    <x v="1"/>
    <x v="12"/>
    <x v="22"/>
    <x v="8"/>
    <n v="113.9"/>
  </r>
  <r>
    <x v="2"/>
    <x v="1"/>
    <x v="12"/>
    <x v="23"/>
    <x v="9"/>
    <n v="119.5"/>
  </r>
  <r>
    <x v="2"/>
    <x v="1"/>
    <x v="12"/>
    <x v="24"/>
    <x v="8"/>
    <n v="109.8"/>
  </r>
  <r>
    <x v="2"/>
    <x v="1"/>
    <x v="12"/>
    <x v="25"/>
    <x v="5"/>
    <n v="113.8"/>
  </r>
  <r>
    <x v="2"/>
    <x v="1"/>
    <x v="12"/>
    <x v="26"/>
    <x v="10"/>
    <n v="119.4"/>
  </r>
  <r>
    <x v="0"/>
    <x v="2"/>
    <x v="0"/>
    <x v="0"/>
    <x v="0"/>
    <n v="123.1"/>
  </r>
  <r>
    <x v="0"/>
    <x v="2"/>
    <x v="0"/>
    <x v="1"/>
    <x v="0"/>
    <n v="123.1"/>
  </r>
  <r>
    <x v="0"/>
    <x v="2"/>
    <x v="0"/>
    <x v="2"/>
    <x v="0"/>
    <n v="122.1"/>
  </r>
  <r>
    <x v="0"/>
    <x v="2"/>
    <x v="0"/>
    <x v="3"/>
    <x v="0"/>
    <n v="124.9"/>
  </r>
  <r>
    <x v="0"/>
    <x v="2"/>
    <x v="0"/>
    <x v="4"/>
    <x v="0"/>
    <n v="111"/>
  </r>
  <r>
    <x v="0"/>
    <x v="2"/>
    <x v="0"/>
    <x v="5"/>
    <x v="0"/>
    <n v="130.4"/>
  </r>
  <r>
    <x v="0"/>
    <x v="2"/>
    <x v="0"/>
    <x v="6"/>
    <x v="0"/>
    <n v="132.30000000000001"/>
  </r>
  <r>
    <x v="0"/>
    <x v="2"/>
    <x v="0"/>
    <x v="7"/>
    <x v="0"/>
    <n v="117.2"/>
  </r>
  <r>
    <x v="0"/>
    <x v="2"/>
    <x v="0"/>
    <x v="8"/>
    <x v="0"/>
    <n v="100.5"/>
  </r>
  <r>
    <x v="0"/>
    <x v="2"/>
    <x v="0"/>
    <x v="9"/>
    <x v="0"/>
    <n v="117.2"/>
  </r>
  <r>
    <x v="0"/>
    <x v="2"/>
    <x v="0"/>
    <x v="10"/>
    <x v="0"/>
    <n v="117.9"/>
  </r>
  <r>
    <x v="0"/>
    <x v="2"/>
    <x v="0"/>
    <x v="11"/>
    <x v="0"/>
    <n v="125.6"/>
  </r>
  <r>
    <x v="0"/>
    <x v="2"/>
    <x v="0"/>
    <x v="12"/>
    <x v="0"/>
    <n v="122.8"/>
  </r>
  <r>
    <x v="0"/>
    <x v="2"/>
    <x v="0"/>
    <x v="13"/>
    <x v="1"/>
    <n v="122.7"/>
  </r>
  <r>
    <x v="0"/>
    <x v="2"/>
    <x v="0"/>
    <x v="14"/>
    <x v="2"/>
    <n v="124.4"/>
  </r>
  <r>
    <x v="0"/>
    <x v="2"/>
    <x v="0"/>
    <x v="15"/>
    <x v="2"/>
    <n v="121.6"/>
  </r>
  <r>
    <x v="0"/>
    <x v="2"/>
    <x v="0"/>
    <x v="16"/>
    <x v="2"/>
    <n v="124"/>
  </r>
  <r>
    <x v="0"/>
    <x v="2"/>
    <x v="0"/>
    <x v="17"/>
    <x v="3"/>
    <s v="NA"/>
  </r>
  <r>
    <x v="0"/>
    <x v="2"/>
    <x v="0"/>
    <x v="18"/>
    <x v="4"/>
    <n v="118.4"/>
  </r>
  <r>
    <x v="0"/>
    <x v="2"/>
    <x v="0"/>
    <x v="19"/>
    <x v="5"/>
    <n v="118.9"/>
  </r>
  <r>
    <x v="0"/>
    <x v="2"/>
    <x v="0"/>
    <x v="20"/>
    <x v="6"/>
    <n v="116.6"/>
  </r>
  <r>
    <x v="0"/>
    <x v="2"/>
    <x v="0"/>
    <x v="21"/>
    <x v="7"/>
    <n v="111"/>
  </r>
  <r>
    <x v="0"/>
    <x v="2"/>
    <x v="0"/>
    <x v="22"/>
    <x v="8"/>
    <n v="114"/>
  </r>
  <r>
    <x v="0"/>
    <x v="2"/>
    <x v="0"/>
    <x v="23"/>
    <x v="9"/>
    <n v="118.2"/>
  </r>
  <r>
    <x v="0"/>
    <x v="2"/>
    <x v="0"/>
    <x v="24"/>
    <x v="8"/>
    <n v="110.2"/>
  </r>
  <r>
    <x v="0"/>
    <x v="2"/>
    <x v="0"/>
    <x v="25"/>
    <x v="5"/>
    <n v="114.5"/>
  </r>
  <r>
    <x v="0"/>
    <x v="2"/>
    <x v="0"/>
    <x v="26"/>
    <x v="10"/>
    <n v="120.3"/>
  </r>
  <r>
    <x v="1"/>
    <x v="2"/>
    <x v="0"/>
    <x v="0"/>
    <x v="0"/>
    <n v="124"/>
  </r>
  <r>
    <x v="1"/>
    <x v="2"/>
    <x v="0"/>
    <x v="1"/>
    <x v="0"/>
    <n v="125.5"/>
  </r>
  <r>
    <x v="1"/>
    <x v="2"/>
    <x v="0"/>
    <x v="2"/>
    <x v="0"/>
    <n v="126.6"/>
  </r>
  <r>
    <x v="1"/>
    <x v="2"/>
    <x v="0"/>
    <x v="3"/>
    <x v="0"/>
    <n v="125.2"/>
  </r>
  <r>
    <x v="1"/>
    <x v="2"/>
    <x v="0"/>
    <x v="4"/>
    <x v="0"/>
    <n v="104.3"/>
  </r>
  <r>
    <x v="1"/>
    <x v="2"/>
    <x v="0"/>
    <x v="5"/>
    <x v="0"/>
    <n v="121.3"/>
  </r>
  <r>
    <x v="1"/>
    <x v="2"/>
    <x v="0"/>
    <x v="6"/>
    <x v="0"/>
    <n v="134.4"/>
  </r>
  <r>
    <x v="1"/>
    <x v="2"/>
    <x v="0"/>
    <x v="7"/>
    <x v="0"/>
    <n v="122.9"/>
  </r>
  <r>
    <x v="1"/>
    <x v="2"/>
    <x v="0"/>
    <x v="8"/>
    <x v="0"/>
    <n v="96.1"/>
  </r>
  <r>
    <x v="1"/>
    <x v="2"/>
    <x v="0"/>
    <x v="9"/>
    <x v="0"/>
    <n v="126.6"/>
  </r>
  <r>
    <x v="1"/>
    <x v="2"/>
    <x v="0"/>
    <x v="10"/>
    <x v="0"/>
    <n v="116.5"/>
  </r>
  <r>
    <x v="1"/>
    <x v="2"/>
    <x v="0"/>
    <x v="11"/>
    <x v="0"/>
    <n v="128"/>
  </r>
  <r>
    <x v="1"/>
    <x v="2"/>
    <x v="0"/>
    <x v="12"/>
    <x v="0"/>
    <n v="123.5"/>
  </r>
  <r>
    <x v="1"/>
    <x v="2"/>
    <x v="0"/>
    <x v="13"/>
    <x v="1"/>
    <n v="127.4"/>
  </r>
  <r>
    <x v="1"/>
    <x v="2"/>
    <x v="0"/>
    <x v="14"/>
    <x v="2"/>
    <n v="121"/>
  </r>
  <r>
    <x v="1"/>
    <x v="2"/>
    <x v="0"/>
    <x v="15"/>
    <x v="2"/>
    <n v="116.1"/>
  </r>
  <r>
    <x v="1"/>
    <x v="2"/>
    <x v="0"/>
    <x v="16"/>
    <x v="2"/>
    <n v="120.2"/>
  </r>
  <r>
    <x v="1"/>
    <x v="2"/>
    <x v="0"/>
    <x v="17"/>
    <x v="3"/>
    <n v="117.3"/>
  </r>
  <r>
    <x v="1"/>
    <x v="2"/>
    <x v="0"/>
    <x v="18"/>
    <x v="4"/>
    <n v="113.4"/>
  </r>
  <r>
    <x v="1"/>
    <x v="2"/>
    <x v="0"/>
    <x v="19"/>
    <x v="5"/>
    <n v="117.2"/>
  </r>
  <r>
    <x v="1"/>
    <x v="2"/>
    <x v="0"/>
    <x v="20"/>
    <x v="6"/>
    <n v="113.7"/>
  </r>
  <r>
    <x v="1"/>
    <x v="2"/>
    <x v="0"/>
    <x v="21"/>
    <x v="7"/>
    <n v="107.9"/>
  </r>
  <r>
    <x v="1"/>
    <x v="2"/>
    <x v="0"/>
    <x v="22"/>
    <x v="8"/>
    <n v="114.6"/>
  </r>
  <r>
    <x v="1"/>
    <x v="2"/>
    <x v="0"/>
    <x v="23"/>
    <x v="9"/>
    <n v="120.8"/>
  </r>
  <r>
    <x v="1"/>
    <x v="2"/>
    <x v="0"/>
    <x v="24"/>
    <x v="8"/>
    <n v="111.4"/>
  </r>
  <r>
    <x v="1"/>
    <x v="2"/>
    <x v="0"/>
    <x v="25"/>
    <x v="5"/>
    <n v="113.4"/>
  </r>
  <r>
    <x v="1"/>
    <x v="2"/>
    <x v="0"/>
    <x v="26"/>
    <x v="10"/>
    <n v="118.5"/>
  </r>
  <r>
    <x v="2"/>
    <x v="2"/>
    <x v="0"/>
    <x v="0"/>
    <x v="0"/>
    <n v="123.4"/>
  </r>
  <r>
    <x v="2"/>
    <x v="2"/>
    <x v="0"/>
    <x v="1"/>
    <x v="0"/>
    <n v="123.9"/>
  </r>
  <r>
    <x v="2"/>
    <x v="2"/>
    <x v="0"/>
    <x v="2"/>
    <x v="0"/>
    <n v="123.8"/>
  </r>
  <r>
    <x v="2"/>
    <x v="2"/>
    <x v="0"/>
    <x v="3"/>
    <x v="0"/>
    <n v="125"/>
  </r>
  <r>
    <x v="2"/>
    <x v="2"/>
    <x v="0"/>
    <x v="4"/>
    <x v="0"/>
    <n v="108.5"/>
  </r>
  <r>
    <x v="2"/>
    <x v="2"/>
    <x v="0"/>
    <x v="5"/>
    <x v="0"/>
    <n v="126.2"/>
  </r>
  <r>
    <x v="2"/>
    <x v="2"/>
    <x v="0"/>
    <x v="6"/>
    <x v="0"/>
    <n v="133"/>
  </r>
  <r>
    <x v="2"/>
    <x v="2"/>
    <x v="0"/>
    <x v="7"/>
    <x v="0"/>
    <n v="119.1"/>
  </r>
  <r>
    <x v="2"/>
    <x v="2"/>
    <x v="0"/>
    <x v="8"/>
    <x v="0"/>
    <n v="99"/>
  </r>
  <r>
    <x v="2"/>
    <x v="2"/>
    <x v="0"/>
    <x v="9"/>
    <x v="0"/>
    <n v="120.3"/>
  </r>
  <r>
    <x v="2"/>
    <x v="2"/>
    <x v="0"/>
    <x v="10"/>
    <x v="0"/>
    <n v="117.3"/>
  </r>
  <r>
    <x v="2"/>
    <x v="2"/>
    <x v="0"/>
    <x v="11"/>
    <x v="0"/>
    <n v="126.7"/>
  </r>
  <r>
    <x v="2"/>
    <x v="2"/>
    <x v="0"/>
    <x v="12"/>
    <x v="0"/>
    <n v="123.1"/>
  </r>
  <r>
    <x v="2"/>
    <x v="2"/>
    <x v="0"/>
    <x v="13"/>
    <x v="1"/>
    <n v="124"/>
  </r>
  <r>
    <x v="2"/>
    <x v="2"/>
    <x v="0"/>
    <x v="14"/>
    <x v="2"/>
    <n v="123.1"/>
  </r>
  <r>
    <x v="2"/>
    <x v="2"/>
    <x v="0"/>
    <x v="15"/>
    <x v="2"/>
    <n v="119.3"/>
  </r>
  <r>
    <x v="2"/>
    <x v="2"/>
    <x v="0"/>
    <x v="16"/>
    <x v="2"/>
    <n v="122.5"/>
  </r>
  <r>
    <x v="2"/>
    <x v="2"/>
    <x v="0"/>
    <x v="17"/>
    <x v="3"/>
    <n v="117.3"/>
  </r>
  <r>
    <x v="2"/>
    <x v="2"/>
    <x v="0"/>
    <x v="18"/>
    <x v="4"/>
    <n v="116.5"/>
  </r>
  <r>
    <x v="2"/>
    <x v="2"/>
    <x v="0"/>
    <x v="19"/>
    <x v="5"/>
    <n v="118.1"/>
  </r>
  <r>
    <x v="2"/>
    <x v="2"/>
    <x v="0"/>
    <x v="20"/>
    <x v="6"/>
    <n v="115.5"/>
  </r>
  <r>
    <x v="2"/>
    <x v="2"/>
    <x v="0"/>
    <x v="21"/>
    <x v="7"/>
    <n v="109.4"/>
  </r>
  <r>
    <x v="2"/>
    <x v="2"/>
    <x v="0"/>
    <x v="22"/>
    <x v="8"/>
    <n v="114.3"/>
  </r>
  <r>
    <x v="2"/>
    <x v="2"/>
    <x v="0"/>
    <x v="23"/>
    <x v="9"/>
    <n v="119.7"/>
  </r>
  <r>
    <x v="2"/>
    <x v="2"/>
    <x v="0"/>
    <x v="24"/>
    <x v="8"/>
    <n v="110.7"/>
  </r>
  <r>
    <x v="2"/>
    <x v="2"/>
    <x v="0"/>
    <x v="25"/>
    <x v="5"/>
    <n v="114"/>
  </r>
  <r>
    <x v="2"/>
    <x v="2"/>
    <x v="0"/>
    <x v="26"/>
    <x v="10"/>
    <n v="119.5"/>
  </r>
  <r>
    <x v="0"/>
    <x v="2"/>
    <x v="1"/>
    <x v="0"/>
    <x v="0"/>
    <n v="123.4"/>
  </r>
  <r>
    <x v="0"/>
    <x v="2"/>
    <x v="1"/>
    <x v="1"/>
    <x v="0"/>
    <n v="124.4"/>
  </r>
  <r>
    <x v="0"/>
    <x v="2"/>
    <x v="1"/>
    <x v="2"/>
    <x v="0"/>
    <n v="122.1"/>
  </r>
  <r>
    <x v="0"/>
    <x v="2"/>
    <x v="1"/>
    <x v="3"/>
    <x v="0"/>
    <n v="125.8"/>
  </r>
  <r>
    <x v="0"/>
    <x v="2"/>
    <x v="1"/>
    <x v="4"/>
    <x v="0"/>
    <n v="111.5"/>
  </r>
  <r>
    <x v="0"/>
    <x v="2"/>
    <x v="1"/>
    <x v="5"/>
    <x v="0"/>
    <n v="129.4"/>
  </r>
  <r>
    <x v="0"/>
    <x v="2"/>
    <x v="1"/>
    <x v="6"/>
    <x v="0"/>
    <n v="128.19999999999999"/>
  </r>
  <r>
    <x v="0"/>
    <x v="2"/>
    <x v="1"/>
    <x v="7"/>
    <x v="0"/>
    <n v="118.8"/>
  </r>
  <r>
    <x v="0"/>
    <x v="2"/>
    <x v="1"/>
    <x v="8"/>
    <x v="0"/>
    <n v="100"/>
  </r>
  <r>
    <x v="0"/>
    <x v="2"/>
    <x v="1"/>
    <x v="9"/>
    <x v="0"/>
    <n v="118.6"/>
  </r>
  <r>
    <x v="0"/>
    <x v="2"/>
    <x v="1"/>
    <x v="10"/>
    <x v="0"/>
    <n v="118.8"/>
  </r>
  <r>
    <x v="0"/>
    <x v="2"/>
    <x v="1"/>
    <x v="11"/>
    <x v="0"/>
    <n v="126.8"/>
  </r>
  <r>
    <x v="0"/>
    <x v="2"/>
    <x v="1"/>
    <x v="12"/>
    <x v="0"/>
    <n v="122.8"/>
  </r>
  <r>
    <x v="0"/>
    <x v="2"/>
    <x v="1"/>
    <x v="13"/>
    <x v="1"/>
    <n v="124.2"/>
  </r>
  <r>
    <x v="0"/>
    <x v="2"/>
    <x v="1"/>
    <x v="14"/>
    <x v="2"/>
    <n v="125.4"/>
  </r>
  <r>
    <x v="0"/>
    <x v="2"/>
    <x v="1"/>
    <x v="15"/>
    <x v="2"/>
    <n v="122.7"/>
  </r>
  <r>
    <x v="0"/>
    <x v="2"/>
    <x v="1"/>
    <x v="16"/>
    <x v="2"/>
    <n v="125"/>
  </r>
  <r>
    <x v="0"/>
    <x v="2"/>
    <x v="1"/>
    <x v="17"/>
    <x v="3"/>
    <s v="NA"/>
  </r>
  <r>
    <x v="0"/>
    <x v="2"/>
    <x v="1"/>
    <x v="18"/>
    <x v="4"/>
    <n v="120"/>
  </r>
  <r>
    <x v="0"/>
    <x v="2"/>
    <x v="1"/>
    <x v="19"/>
    <x v="5"/>
    <n v="119.6"/>
  </r>
  <r>
    <x v="0"/>
    <x v="2"/>
    <x v="1"/>
    <x v="20"/>
    <x v="6"/>
    <n v="117.7"/>
  </r>
  <r>
    <x v="0"/>
    <x v="2"/>
    <x v="1"/>
    <x v="21"/>
    <x v="7"/>
    <n v="110.9"/>
  </r>
  <r>
    <x v="0"/>
    <x v="2"/>
    <x v="1"/>
    <x v="22"/>
    <x v="8"/>
    <n v="114.8"/>
  </r>
  <r>
    <x v="0"/>
    <x v="2"/>
    <x v="1"/>
    <x v="23"/>
    <x v="9"/>
    <n v="118.7"/>
  </r>
  <r>
    <x v="0"/>
    <x v="2"/>
    <x v="1"/>
    <x v="24"/>
    <x v="8"/>
    <n v="110.8"/>
  </r>
  <r>
    <x v="0"/>
    <x v="2"/>
    <x v="1"/>
    <x v="25"/>
    <x v="5"/>
    <n v="115"/>
  </r>
  <r>
    <x v="0"/>
    <x v="2"/>
    <x v="1"/>
    <x v="26"/>
    <x v="10"/>
    <n v="120.6"/>
  </r>
  <r>
    <x v="1"/>
    <x v="2"/>
    <x v="1"/>
    <x v="0"/>
    <x v="0"/>
    <n v="124.3"/>
  </r>
  <r>
    <x v="1"/>
    <x v="2"/>
    <x v="1"/>
    <x v="1"/>
    <x v="0"/>
    <n v="126.5"/>
  </r>
  <r>
    <x v="1"/>
    <x v="2"/>
    <x v="1"/>
    <x v="2"/>
    <x v="0"/>
    <n v="119.5"/>
  </r>
  <r>
    <x v="1"/>
    <x v="2"/>
    <x v="1"/>
    <x v="3"/>
    <x v="0"/>
    <n v="125.6"/>
  </r>
  <r>
    <x v="1"/>
    <x v="2"/>
    <x v="1"/>
    <x v="4"/>
    <x v="0"/>
    <n v="104.9"/>
  </r>
  <r>
    <x v="1"/>
    <x v="2"/>
    <x v="1"/>
    <x v="5"/>
    <x v="0"/>
    <n v="121.6"/>
  </r>
  <r>
    <x v="1"/>
    <x v="2"/>
    <x v="1"/>
    <x v="6"/>
    <x v="0"/>
    <n v="131.80000000000001"/>
  </r>
  <r>
    <x v="1"/>
    <x v="2"/>
    <x v="1"/>
    <x v="7"/>
    <x v="0"/>
    <n v="125.1"/>
  </r>
  <r>
    <x v="1"/>
    <x v="2"/>
    <x v="1"/>
    <x v="8"/>
    <x v="0"/>
    <n v="95"/>
  </r>
  <r>
    <x v="1"/>
    <x v="2"/>
    <x v="1"/>
    <x v="9"/>
    <x v="0"/>
    <n v="127.7"/>
  </r>
  <r>
    <x v="1"/>
    <x v="2"/>
    <x v="1"/>
    <x v="10"/>
    <x v="0"/>
    <n v="116.8"/>
  </r>
  <r>
    <x v="1"/>
    <x v="2"/>
    <x v="1"/>
    <x v="11"/>
    <x v="0"/>
    <n v="128.6"/>
  </r>
  <r>
    <x v="1"/>
    <x v="2"/>
    <x v="1"/>
    <x v="12"/>
    <x v="0"/>
    <n v="123.7"/>
  </r>
  <r>
    <x v="1"/>
    <x v="2"/>
    <x v="1"/>
    <x v="13"/>
    <x v="1"/>
    <n v="128.1"/>
  </r>
  <r>
    <x v="1"/>
    <x v="2"/>
    <x v="1"/>
    <x v="14"/>
    <x v="2"/>
    <n v="121.3"/>
  </r>
  <r>
    <x v="1"/>
    <x v="2"/>
    <x v="1"/>
    <x v="15"/>
    <x v="2"/>
    <n v="116.5"/>
  </r>
  <r>
    <x v="1"/>
    <x v="2"/>
    <x v="1"/>
    <x v="16"/>
    <x v="2"/>
    <n v="120.6"/>
  </r>
  <r>
    <x v="1"/>
    <x v="2"/>
    <x v="1"/>
    <x v="17"/>
    <x v="3"/>
    <n v="118.1"/>
  </r>
  <r>
    <x v="1"/>
    <x v="2"/>
    <x v="1"/>
    <x v="18"/>
    <x v="4"/>
    <n v="114"/>
  </r>
  <r>
    <x v="1"/>
    <x v="2"/>
    <x v="1"/>
    <x v="19"/>
    <x v="5"/>
    <n v="117.7"/>
  </r>
  <r>
    <x v="1"/>
    <x v="2"/>
    <x v="1"/>
    <x v="20"/>
    <x v="6"/>
    <n v="114.1"/>
  </r>
  <r>
    <x v="1"/>
    <x v="2"/>
    <x v="1"/>
    <x v="21"/>
    <x v="7"/>
    <n v="106.8"/>
  </r>
  <r>
    <x v="1"/>
    <x v="2"/>
    <x v="1"/>
    <x v="22"/>
    <x v="8"/>
    <n v="114.9"/>
  </r>
  <r>
    <x v="1"/>
    <x v="2"/>
    <x v="1"/>
    <x v="23"/>
    <x v="9"/>
    <n v="120.4"/>
  </r>
  <r>
    <x v="1"/>
    <x v="2"/>
    <x v="1"/>
    <x v="24"/>
    <x v="8"/>
    <n v="111.7"/>
  </r>
  <r>
    <x v="1"/>
    <x v="2"/>
    <x v="1"/>
    <x v="25"/>
    <x v="5"/>
    <n v="113.2"/>
  </r>
  <r>
    <x v="1"/>
    <x v="2"/>
    <x v="1"/>
    <x v="26"/>
    <x v="10"/>
    <n v="118.7"/>
  </r>
  <r>
    <x v="2"/>
    <x v="2"/>
    <x v="1"/>
    <x v="0"/>
    <x v="0"/>
    <n v="123.7"/>
  </r>
  <r>
    <x v="2"/>
    <x v="2"/>
    <x v="1"/>
    <x v="1"/>
    <x v="0"/>
    <n v="125.1"/>
  </r>
  <r>
    <x v="2"/>
    <x v="2"/>
    <x v="1"/>
    <x v="2"/>
    <x v="0"/>
    <n v="121.1"/>
  </r>
  <r>
    <x v="2"/>
    <x v="2"/>
    <x v="1"/>
    <x v="3"/>
    <x v="0"/>
    <n v="125.7"/>
  </r>
  <r>
    <x v="2"/>
    <x v="2"/>
    <x v="1"/>
    <x v="4"/>
    <x v="0"/>
    <n v="109.1"/>
  </r>
  <r>
    <x v="2"/>
    <x v="2"/>
    <x v="1"/>
    <x v="5"/>
    <x v="0"/>
    <n v="125.8"/>
  </r>
  <r>
    <x v="2"/>
    <x v="2"/>
    <x v="1"/>
    <x v="6"/>
    <x v="0"/>
    <n v="129.4"/>
  </r>
  <r>
    <x v="2"/>
    <x v="2"/>
    <x v="1"/>
    <x v="7"/>
    <x v="0"/>
    <n v="120.9"/>
  </r>
  <r>
    <x v="2"/>
    <x v="2"/>
    <x v="1"/>
    <x v="8"/>
    <x v="0"/>
    <n v="98.3"/>
  </r>
  <r>
    <x v="2"/>
    <x v="2"/>
    <x v="1"/>
    <x v="9"/>
    <x v="0"/>
    <n v="121.6"/>
  </r>
  <r>
    <x v="2"/>
    <x v="2"/>
    <x v="1"/>
    <x v="10"/>
    <x v="0"/>
    <n v="118"/>
  </r>
  <r>
    <x v="2"/>
    <x v="2"/>
    <x v="1"/>
    <x v="11"/>
    <x v="0"/>
    <n v="127.6"/>
  </r>
  <r>
    <x v="2"/>
    <x v="2"/>
    <x v="1"/>
    <x v="12"/>
    <x v="0"/>
    <n v="123.1"/>
  </r>
  <r>
    <x v="2"/>
    <x v="2"/>
    <x v="1"/>
    <x v="13"/>
    <x v="1"/>
    <n v="125.2"/>
  </r>
  <r>
    <x v="2"/>
    <x v="2"/>
    <x v="1"/>
    <x v="14"/>
    <x v="2"/>
    <n v="123.8"/>
  </r>
  <r>
    <x v="2"/>
    <x v="2"/>
    <x v="1"/>
    <x v="15"/>
    <x v="2"/>
    <n v="120.1"/>
  </r>
  <r>
    <x v="2"/>
    <x v="2"/>
    <x v="1"/>
    <x v="16"/>
    <x v="2"/>
    <n v="123.3"/>
  </r>
  <r>
    <x v="2"/>
    <x v="2"/>
    <x v="1"/>
    <x v="17"/>
    <x v="3"/>
    <n v="118.1"/>
  </r>
  <r>
    <x v="2"/>
    <x v="2"/>
    <x v="1"/>
    <x v="18"/>
    <x v="4"/>
    <n v="117.7"/>
  </r>
  <r>
    <x v="2"/>
    <x v="2"/>
    <x v="1"/>
    <x v="19"/>
    <x v="5"/>
    <n v="118.7"/>
  </r>
  <r>
    <x v="2"/>
    <x v="2"/>
    <x v="1"/>
    <x v="20"/>
    <x v="6"/>
    <n v="116.3"/>
  </r>
  <r>
    <x v="2"/>
    <x v="2"/>
    <x v="1"/>
    <x v="21"/>
    <x v="7"/>
    <n v="108.7"/>
  </r>
  <r>
    <x v="2"/>
    <x v="2"/>
    <x v="1"/>
    <x v="22"/>
    <x v="8"/>
    <n v="114.9"/>
  </r>
  <r>
    <x v="2"/>
    <x v="2"/>
    <x v="1"/>
    <x v="23"/>
    <x v="9"/>
    <n v="119.7"/>
  </r>
  <r>
    <x v="2"/>
    <x v="2"/>
    <x v="1"/>
    <x v="24"/>
    <x v="8"/>
    <n v="111.2"/>
  </r>
  <r>
    <x v="2"/>
    <x v="2"/>
    <x v="1"/>
    <x v="25"/>
    <x v="5"/>
    <n v="114.1"/>
  </r>
  <r>
    <x v="2"/>
    <x v="2"/>
    <x v="1"/>
    <x v="26"/>
    <x v="10"/>
    <n v="119.7"/>
  </r>
  <r>
    <x v="0"/>
    <x v="2"/>
    <x v="2"/>
    <x v="0"/>
    <x v="0"/>
    <n v="123.3"/>
  </r>
  <r>
    <x v="0"/>
    <x v="2"/>
    <x v="2"/>
    <x v="1"/>
    <x v="0"/>
    <n v="124.7"/>
  </r>
  <r>
    <x v="0"/>
    <x v="2"/>
    <x v="2"/>
    <x v="2"/>
    <x v="0"/>
    <n v="118.9"/>
  </r>
  <r>
    <x v="0"/>
    <x v="2"/>
    <x v="2"/>
    <x v="3"/>
    <x v="0"/>
    <n v="126"/>
  </r>
  <r>
    <x v="0"/>
    <x v="2"/>
    <x v="2"/>
    <x v="4"/>
    <x v="0"/>
    <n v="111.8"/>
  </r>
  <r>
    <x v="0"/>
    <x v="2"/>
    <x v="2"/>
    <x v="5"/>
    <x v="0"/>
    <n v="130.9"/>
  </r>
  <r>
    <x v="0"/>
    <x v="2"/>
    <x v="2"/>
    <x v="6"/>
    <x v="0"/>
    <n v="128"/>
  </r>
  <r>
    <x v="0"/>
    <x v="2"/>
    <x v="2"/>
    <x v="7"/>
    <x v="0"/>
    <n v="119.9"/>
  </r>
  <r>
    <x v="0"/>
    <x v="2"/>
    <x v="2"/>
    <x v="8"/>
    <x v="0"/>
    <n v="98.9"/>
  </r>
  <r>
    <x v="0"/>
    <x v="2"/>
    <x v="2"/>
    <x v="9"/>
    <x v="0"/>
    <n v="119.4"/>
  </r>
  <r>
    <x v="0"/>
    <x v="2"/>
    <x v="2"/>
    <x v="10"/>
    <x v="0"/>
    <n v="118.9"/>
  </r>
  <r>
    <x v="0"/>
    <x v="2"/>
    <x v="2"/>
    <x v="11"/>
    <x v="0"/>
    <n v="127.7"/>
  </r>
  <r>
    <x v="0"/>
    <x v="2"/>
    <x v="2"/>
    <x v="12"/>
    <x v="0"/>
    <n v="123.1"/>
  </r>
  <r>
    <x v="0"/>
    <x v="2"/>
    <x v="2"/>
    <x v="13"/>
    <x v="1"/>
    <n v="124.7"/>
  </r>
  <r>
    <x v="0"/>
    <x v="2"/>
    <x v="2"/>
    <x v="14"/>
    <x v="2"/>
    <n v="126"/>
  </r>
  <r>
    <x v="0"/>
    <x v="2"/>
    <x v="2"/>
    <x v="15"/>
    <x v="2"/>
    <n v="122.9"/>
  </r>
  <r>
    <x v="0"/>
    <x v="2"/>
    <x v="2"/>
    <x v="16"/>
    <x v="2"/>
    <n v="125.5"/>
  </r>
  <r>
    <x v="0"/>
    <x v="2"/>
    <x v="2"/>
    <x v="17"/>
    <x v="3"/>
    <s v="NA"/>
  </r>
  <r>
    <x v="0"/>
    <x v="2"/>
    <x v="2"/>
    <x v="18"/>
    <x v="4"/>
    <n v="120.6"/>
  </r>
  <r>
    <x v="0"/>
    <x v="2"/>
    <x v="2"/>
    <x v="19"/>
    <x v="5"/>
    <n v="120.2"/>
  </r>
  <r>
    <x v="0"/>
    <x v="2"/>
    <x v="2"/>
    <x v="20"/>
    <x v="6"/>
    <n v="118.2"/>
  </r>
  <r>
    <x v="0"/>
    <x v="2"/>
    <x v="2"/>
    <x v="21"/>
    <x v="7"/>
    <n v="111.6"/>
  </r>
  <r>
    <x v="0"/>
    <x v="2"/>
    <x v="2"/>
    <x v="22"/>
    <x v="8"/>
    <n v="115.5"/>
  </r>
  <r>
    <x v="0"/>
    <x v="2"/>
    <x v="2"/>
    <x v="23"/>
    <x v="9"/>
    <n v="119.4"/>
  </r>
  <r>
    <x v="0"/>
    <x v="2"/>
    <x v="2"/>
    <x v="24"/>
    <x v="8"/>
    <n v="110.8"/>
  </r>
  <r>
    <x v="0"/>
    <x v="2"/>
    <x v="2"/>
    <x v="25"/>
    <x v="5"/>
    <n v="115.5"/>
  </r>
  <r>
    <x v="0"/>
    <x v="2"/>
    <x v="2"/>
    <x v="26"/>
    <x v="10"/>
    <n v="121.1"/>
  </r>
  <r>
    <x v="1"/>
    <x v="2"/>
    <x v="2"/>
    <x v="0"/>
    <x v="0"/>
    <n v="124"/>
  </r>
  <r>
    <x v="1"/>
    <x v="2"/>
    <x v="2"/>
    <x v="1"/>
    <x v="0"/>
    <n v="126.7"/>
  </r>
  <r>
    <x v="1"/>
    <x v="2"/>
    <x v="2"/>
    <x v="2"/>
    <x v="0"/>
    <n v="113.5"/>
  </r>
  <r>
    <x v="1"/>
    <x v="2"/>
    <x v="2"/>
    <x v="3"/>
    <x v="0"/>
    <n v="125.9"/>
  </r>
  <r>
    <x v="1"/>
    <x v="2"/>
    <x v="2"/>
    <x v="4"/>
    <x v="0"/>
    <n v="104.8"/>
  </r>
  <r>
    <x v="1"/>
    <x v="2"/>
    <x v="2"/>
    <x v="5"/>
    <x v="0"/>
    <n v="123.8"/>
  </r>
  <r>
    <x v="1"/>
    <x v="2"/>
    <x v="2"/>
    <x v="6"/>
    <x v="0"/>
    <n v="131.4"/>
  </r>
  <r>
    <x v="1"/>
    <x v="2"/>
    <x v="2"/>
    <x v="7"/>
    <x v="0"/>
    <n v="127.2"/>
  </r>
  <r>
    <x v="1"/>
    <x v="2"/>
    <x v="2"/>
    <x v="8"/>
    <x v="0"/>
    <n v="93.2"/>
  </r>
  <r>
    <x v="1"/>
    <x v="2"/>
    <x v="2"/>
    <x v="9"/>
    <x v="0"/>
    <n v="127.4"/>
  </r>
  <r>
    <x v="1"/>
    <x v="2"/>
    <x v="2"/>
    <x v="10"/>
    <x v="0"/>
    <n v="117"/>
  </r>
  <r>
    <x v="1"/>
    <x v="2"/>
    <x v="2"/>
    <x v="11"/>
    <x v="0"/>
    <n v="129.19999999999999"/>
  </r>
  <r>
    <x v="1"/>
    <x v="2"/>
    <x v="2"/>
    <x v="12"/>
    <x v="0"/>
    <n v="123.9"/>
  </r>
  <r>
    <x v="1"/>
    <x v="2"/>
    <x v="2"/>
    <x v="13"/>
    <x v="1"/>
    <n v="128.80000000000001"/>
  </r>
  <r>
    <x v="1"/>
    <x v="2"/>
    <x v="2"/>
    <x v="14"/>
    <x v="2"/>
    <n v="121.7"/>
  </r>
  <r>
    <x v="1"/>
    <x v="2"/>
    <x v="2"/>
    <x v="15"/>
    <x v="2"/>
    <n v="116.9"/>
  </r>
  <r>
    <x v="1"/>
    <x v="2"/>
    <x v="2"/>
    <x v="16"/>
    <x v="2"/>
    <n v="120.9"/>
  </r>
  <r>
    <x v="1"/>
    <x v="2"/>
    <x v="2"/>
    <x v="17"/>
    <x v="3"/>
    <n v="118.6"/>
  </r>
  <r>
    <x v="1"/>
    <x v="2"/>
    <x v="2"/>
    <x v="18"/>
    <x v="4"/>
    <n v="114.4"/>
  </r>
  <r>
    <x v="1"/>
    <x v="2"/>
    <x v="2"/>
    <x v="19"/>
    <x v="5"/>
    <n v="118"/>
  </r>
  <r>
    <x v="1"/>
    <x v="2"/>
    <x v="2"/>
    <x v="20"/>
    <x v="6"/>
    <n v="114.3"/>
  </r>
  <r>
    <x v="1"/>
    <x v="2"/>
    <x v="2"/>
    <x v="21"/>
    <x v="7"/>
    <n v="108.4"/>
  </r>
  <r>
    <x v="1"/>
    <x v="2"/>
    <x v="2"/>
    <x v="22"/>
    <x v="8"/>
    <n v="115.4"/>
  </r>
  <r>
    <x v="1"/>
    <x v="2"/>
    <x v="2"/>
    <x v="23"/>
    <x v="9"/>
    <n v="120.6"/>
  </r>
  <r>
    <x v="1"/>
    <x v="2"/>
    <x v="2"/>
    <x v="24"/>
    <x v="8"/>
    <n v="111.3"/>
  </r>
  <r>
    <x v="1"/>
    <x v="2"/>
    <x v="2"/>
    <x v="25"/>
    <x v="5"/>
    <n v="113.8"/>
  </r>
  <r>
    <x v="1"/>
    <x v="2"/>
    <x v="2"/>
    <x v="26"/>
    <x v="10"/>
    <n v="119.1"/>
  </r>
  <r>
    <x v="2"/>
    <x v="2"/>
    <x v="2"/>
    <x v="0"/>
    <x v="0"/>
    <n v="123.5"/>
  </r>
  <r>
    <x v="2"/>
    <x v="2"/>
    <x v="2"/>
    <x v="1"/>
    <x v="0"/>
    <n v="125.4"/>
  </r>
  <r>
    <x v="2"/>
    <x v="2"/>
    <x v="2"/>
    <x v="2"/>
    <x v="0"/>
    <n v="116.8"/>
  </r>
  <r>
    <x v="2"/>
    <x v="2"/>
    <x v="2"/>
    <x v="3"/>
    <x v="0"/>
    <n v="126"/>
  </r>
  <r>
    <x v="2"/>
    <x v="2"/>
    <x v="2"/>
    <x v="4"/>
    <x v="0"/>
    <n v="109.2"/>
  </r>
  <r>
    <x v="2"/>
    <x v="2"/>
    <x v="2"/>
    <x v="5"/>
    <x v="0"/>
    <n v="127.6"/>
  </r>
  <r>
    <x v="2"/>
    <x v="2"/>
    <x v="2"/>
    <x v="6"/>
    <x v="0"/>
    <n v="129.19999999999999"/>
  </r>
  <r>
    <x v="2"/>
    <x v="2"/>
    <x v="2"/>
    <x v="7"/>
    <x v="0"/>
    <n v="122.4"/>
  </r>
  <r>
    <x v="2"/>
    <x v="2"/>
    <x v="2"/>
    <x v="8"/>
    <x v="0"/>
    <n v="97"/>
  </r>
  <r>
    <x v="2"/>
    <x v="2"/>
    <x v="2"/>
    <x v="9"/>
    <x v="0"/>
    <n v="122.1"/>
  </r>
  <r>
    <x v="2"/>
    <x v="2"/>
    <x v="2"/>
    <x v="10"/>
    <x v="0"/>
    <n v="118.1"/>
  </r>
  <r>
    <x v="2"/>
    <x v="2"/>
    <x v="2"/>
    <x v="11"/>
    <x v="0"/>
    <n v="128.4"/>
  </r>
  <r>
    <x v="2"/>
    <x v="2"/>
    <x v="2"/>
    <x v="12"/>
    <x v="0"/>
    <n v="123.4"/>
  </r>
  <r>
    <x v="2"/>
    <x v="2"/>
    <x v="2"/>
    <x v="13"/>
    <x v="1"/>
    <n v="125.8"/>
  </r>
  <r>
    <x v="2"/>
    <x v="2"/>
    <x v="2"/>
    <x v="14"/>
    <x v="2"/>
    <n v="124.3"/>
  </r>
  <r>
    <x v="2"/>
    <x v="2"/>
    <x v="2"/>
    <x v="15"/>
    <x v="2"/>
    <n v="120.4"/>
  </r>
  <r>
    <x v="2"/>
    <x v="2"/>
    <x v="2"/>
    <x v="16"/>
    <x v="2"/>
    <n v="123.7"/>
  </r>
  <r>
    <x v="2"/>
    <x v="2"/>
    <x v="2"/>
    <x v="17"/>
    <x v="3"/>
    <n v="118.6"/>
  </r>
  <r>
    <x v="2"/>
    <x v="2"/>
    <x v="2"/>
    <x v="18"/>
    <x v="4"/>
    <n v="118.3"/>
  </r>
  <r>
    <x v="2"/>
    <x v="2"/>
    <x v="2"/>
    <x v="19"/>
    <x v="5"/>
    <n v="119.2"/>
  </r>
  <r>
    <x v="2"/>
    <x v="2"/>
    <x v="2"/>
    <x v="20"/>
    <x v="6"/>
    <n v="116.7"/>
  </r>
  <r>
    <x v="2"/>
    <x v="2"/>
    <x v="2"/>
    <x v="21"/>
    <x v="7"/>
    <n v="109.9"/>
  </r>
  <r>
    <x v="2"/>
    <x v="2"/>
    <x v="2"/>
    <x v="22"/>
    <x v="8"/>
    <n v="115.4"/>
  </r>
  <r>
    <x v="2"/>
    <x v="2"/>
    <x v="2"/>
    <x v="23"/>
    <x v="9"/>
    <n v="120.1"/>
  </r>
  <r>
    <x v="2"/>
    <x v="2"/>
    <x v="2"/>
    <x v="24"/>
    <x v="8"/>
    <n v="111"/>
  </r>
  <r>
    <x v="2"/>
    <x v="2"/>
    <x v="2"/>
    <x v="25"/>
    <x v="5"/>
    <n v="114.7"/>
  </r>
  <r>
    <x v="2"/>
    <x v="2"/>
    <x v="2"/>
    <x v="26"/>
    <x v="10"/>
    <n v="120.2"/>
  </r>
  <r>
    <x v="0"/>
    <x v="2"/>
    <x v="3"/>
    <x v="0"/>
    <x v="0"/>
    <n v="123.3"/>
  </r>
  <r>
    <x v="0"/>
    <x v="2"/>
    <x v="3"/>
    <x v="1"/>
    <x v="0"/>
    <n v="125.5"/>
  </r>
  <r>
    <x v="0"/>
    <x v="2"/>
    <x v="3"/>
    <x v="2"/>
    <x v="0"/>
    <n v="117.2"/>
  </r>
  <r>
    <x v="0"/>
    <x v="2"/>
    <x v="3"/>
    <x v="3"/>
    <x v="0"/>
    <n v="126.8"/>
  </r>
  <r>
    <x v="0"/>
    <x v="2"/>
    <x v="3"/>
    <x v="4"/>
    <x v="0"/>
    <n v="111.9"/>
  </r>
  <r>
    <x v="0"/>
    <x v="2"/>
    <x v="3"/>
    <x v="5"/>
    <x v="0"/>
    <n v="134.19999999999999"/>
  </r>
  <r>
    <x v="0"/>
    <x v="2"/>
    <x v="3"/>
    <x v="6"/>
    <x v="0"/>
    <n v="127.5"/>
  </r>
  <r>
    <x v="0"/>
    <x v="2"/>
    <x v="3"/>
    <x v="7"/>
    <x v="0"/>
    <n v="121.5"/>
  </r>
  <r>
    <x v="0"/>
    <x v="2"/>
    <x v="3"/>
    <x v="8"/>
    <x v="0"/>
    <n v="97.8"/>
  </r>
  <r>
    <x v="0"/>
    <x v="2"/>
    <x v="3"/>
    <x v="9"/>
    <x v="0"/>
    <n v="119.8"/>
  </r>
  <r>
    <x v="0"/>
    <x v="2"/>
    <x v="3"/>
    <x v="10"/>
    <x v="0"/>
    <n v="119.4"/>
  </r>
  <r>
    <x v="0"/>
    <x v="2"/>
    <x v="3"/>
    <x v="11"/>
    <x v="0"/>
    <n v="128.69999999999999"/>
  </r>
  <r>
    <x v="0"/>
    <x v="2"/>
    <x v="3"/>
    <x v="12"/>
    <x v="0"/>
    <n v="123.6"/>
  </r>
  <r>
    <x v="0"/>
    <x v="2"/>
    <x v="3"/>
    <x v="13"/>
    <x v="1"/>
    <n v="125.7"/>
  </r>
  <r>
    <x v="0"/>
    <x v="2"/>
    <x v="3"/>
    <x v="14"/>
    <x v="2"/>
    <n v="126.4"/>
  </r>
  <r>
    <x v="0"/>
    <x v="2"/>
    <x v="3"/>
    <x v="15"/>
    <x v="2"/>
    <n v="123.3"/>
  </r>
  <r>
    <x v="0"/>
    <x v="2"/>
    <x v="3"/>
    <x v="16"/>
    <x v="2"/>
    <n v="126"/>
  </r>
  <r>
    <x v="0"/>
    <x v="2"/>
    <x v="3"/>
    <x v="17"/>
    <x v="3"/>
    <s v="NA"/>
  </r>
  <r>
    <x v="0"/>
    <x v="2"/>
    <x v="3"/>
    <x v="18"/>
    <x v="4"/>
    <n v="121.2"/>
  </r>
  <r>
    <x v="0"/>
    <x v="2"/>
    <x v="3"/>
    <x v="19"/>
    <x v="5"/>
    <n v="120.9"/>
  </r>
  <r>
    <x v="0"/>
    <x v="2"/>
    <x v="3"/>
    <x v="20"/>
    <x v="6"/>
    <n v="118.6"/>
  </r>
  <r>
    <x v="0"/>
    <x v="2"/>
    <x v="3"/>
    <x v="21"/>
    <x v="7"/>
    <n v="111.9"/>
  </r>
  <r>
    <x v="0"/>
    <x v="2"/>
    <x v="3"/>
    <x v="22"/>
    <x v="8"/>
    <n v="116.2"/>
  </r>
  <r>
    <x v="0"/>
    <x v="2"/>
    <x v="3"/>
    <x v="23"/>
    <x v="9"/>
    <n v="119.9"/>
  </r>
  <r>
    <x v="0"/>
    <x v="2"/>
    <x v="3"/>
    <x v="24"/>
    <x v="8"/>
    <n v="111.6"/>
  </r>
  <r>
    <x v="0"/>
    <x v="2"/>
    <x v="3"/>
    <x v="25"/>
    <x v="5"/>
    <n v="116"/>
  </r>
  <r>
    <x v="0"/>
    <x v="2"/>
    <x v="3"/>
    <x v="26"/>
    <x v="10"/>
    <n v="121.5"/>
  </r>
  <r>
    <x v="1"/>
    <x v="2"/>
    <x v="3"/>
    <x v="0"/>
    <x v="0"/>
    <n v="123.8"/>
  </r>
  <r>
    <x v="1"/>
    <x v="2"/>
    <x v="3"/>
    <x v="1"/>
    <x v="0"/>
    <n v="128.19999999999999"/>
  </r>
  <r>
    <x v="1"/>
    <x v="2"/>
    <x v="3"/>
    <x v="2"/>
    <x v="0"/>
    <n v="110"/>
  </r>
  <r>
    <x v="1"/>
    <x v="2"/>
    <x v="3"/>
    <x v="3"/>
    <x v="0"/>
    <n v="126.3"/>
  </r>
  <r>
    <x v="1"/>
    <x v="2"/>
    <x v="3"/>
    <x v="4"/>
    <x v="0"/>
    <n v="104.5"/>
  </r>
  <r>
    <x v="1"/>
    <x v="2"/>
    <x v="3"/>
    <x v="5"/>
    <x v="0"/>
    <n v="130.6"/>
  </r>
  <r>
    <x v="1"/>
    <x v="2"/>
    <x v="3"/>
    <x v="6"/>
    <x v="0"/>
    <n v="130.80000000000001"/>
  </r>
  <r>
    <x v="1"/>
    <x v="2"/>
    <x v="3"/>
    <x v="7"/>
    <x v="0"/>
    <n v="131.30000000000001"/>
  </r>
  <r>
    <x v="1"/>
    <x v="2"/>
    <x v="3"/>
    <x v="8"/>
    <x v="0"/>
    <n v="91.6"/>
  </r>
  <r>
    <x v="1"/>
    <x v="2"/>
    <x v="3"/>
    <x v="9"/>
    <x v="0"/>
    <n v="127.7"/>
  </r>
  <r>
    <x v="1"/>
    <x v="2"/>
    <x v="3"/>
    <x v="10"/>
    <x v="0"/>
    <n v="117.2"/>
  </r>
  <r>
    <x v="1"/>
    <x v="2"/>
    <x v="3"/>
    <x v="11"/>
    <x v="0"/>
    <n v="129.5"/>
  </r>
  <r>
    <x v="1"/>
    <x v="2"/>
    <x v="3"/>
    <x v="12"/>
    <x v="0"/>
    <n v="124.6"/>
  </r>
  <r>
    <x v="1"/>
    <x v="2"/>
    <x v="3"/>
    <x v="13"/>
    <x v="1"/>
    <n v="130.1"/>
  </r>
  <r>
    <x v="1"/>
    <x v="2"/>
    <x v="3"/>
    <x v="14"/>
    <x v="2"/>
    <n v="122.1"/>
  </r>
  <r>
    <x v="1"/>
    <x v="2"/>
    <x v="3"/>
    <x v="15"/>
    <x v="2"/>
    <n v="117.2"/>
  </r>
  <r>
    <x v="1"/>
    <x v="2"/>
    <x v="3"/>
    <x v="16"/>
    <x v="2"/>
    <n v="121.3"/>
  </r>
  <r>
    <x v="1"/>
    <x v="2"/>
    <x v="3"/>
    <x v="17"/>
    <x v="3"/>
    <n v="119.2"/>
  </r>
  <r>
    <x v="1"/>
    <x v="2"/>
    <x v="3"/>
    <x v="18"/>
    <x v="4"/>
    <n v="114.7"/>
  </r>
  <r>
    <x v="1"/>
    <x v="2"/>
    <x v="3"/>
    <x v="19"/>
    <x v="5"/>
    <n v="118.4"/>
  </r>
  <r>
    <x v="1"/>
    <x v="2"/>
    <x v="3"/>
    <x v="20"/>
    <x v="6"/>
    <n v="114.6"/>
  </r>
  <r>
    <x v="1"/>
    <x v="2"/>
    <x v="3"/>
    <x v="21"/>
    <x v="7"/>
    <n v="108.4"/>
  </r>
  <r>
    <x v="1"/>
    <x v="2"/>
    <x v="3"/>
    <x v="22"/>
    <x v="8"/>
    <n v="115.6"/>
  </r>
  <r>
    <x v="1"/>
    <x v="2"/>
    <x v="3"/>
    <x v="23"/>
    <x v="9"/>
    <n v="121.7"/>
  </r>
  <r>
    <x v="1"/>
    <x v="2"/>
    <x v="3"/>
    <x v="24"/>
    <x v="8"/>
    <n v="111.8"/>
  </r>
  <r>
    <x v="1"/>
    <x v="2"/>
    <x v="3"/>
    <x v="25"/>
    <x v="5"/>
    <n v="114.2"/>
  </r>
  <r>
    <x v="1"/>
    <x v="2"/>
    <x v="3"/>
    <x v="26"/>
    <x v="10"/>
    <n v="119.7"/>
  </r>
  <r>
    <x v="2"/>
    <x v="2"/>
    <x v="3"/>
    <x v="0"/>
    <x v="0"/>
    <n v="123.5"/>
  </r>
  <r>
    <x v="2"/>
    <x v="2"/>
    <x v="3"/>
    <x v="1"/>
    <x v="0"/>
    <n v="126.4"/>
  </r>
  <r>
    <x v="2"/>
    <x v="2"/>
    <x v="3"/>
    <x v="2"/>
    <x v="0"/>
    <n v="114.4"/>
  </r>
  <r>
    <x v="2"/>
    <x v="2"/>
    <x v="3"/>
    <x v="3"/>
    <x v="0"/>
    <n v="126.6"/>
  </r>
  <r>
    <x v="2"/>
    <x v="2"/>
    <x v="3"/>
    <x v="4"/>
    <x v="0"/>
    <n v="109.2"/>
  </r>
  <r>
    <x v="2"/>
    <x v="2"/>
    <x v="3"/>
    <x v="5"/>
    <x v="0"/>
    <n v="132.5"/>
  </r>
  <r>
    <x v="2"/>
    <x v="2"/>
    <x v="3"/>
    <x v="6"/>
    <x v="0"/>
    <n v="128.6"/>
  </r>
  <r>
    <x v="2"/>
    <x v="2"/>
    <x v="3"/>
    <x v="7"/>
    <x v="0"/>
    <n v="124.8"/>
  </r>
  <r>
    <x v="2"/>
    <x v="2"/>
    <x v="3"/>
    <x v="8"/>
    <x v="0"/>
    <n v="95.7"/>
  </r>
  <r>
    <x v="2"/>
    <x v="2"/>
    <x v="3"/>
    <x v="9"/>
    <x v="0"/>
    <n v="122.4"/>
  </r>
  <r>
    <x v="2"/>
    <x v="2"/>
    <x v="3"/>
    <x v="10"/>
    <x v="0"/>
    <n v="118.5"/>
  </r>
  <r>
    <x v="2"/>
    <x v="2"/>
    <x v="3"/>
    <x v="11"/>
    <x v="0"/>
    <n v="129.1"/>
  </r>
  <r>
    <x v="2"/>
    <x v="2"/>
    <x v="3"/>
    <x v="12"/>
    <x v="0"/>
    <n v="124"/>
  </r>
  <r>
    <x v="2"/>
    <x v="2"/>
    <x v="3"/>
    <x v="13"/>
    <x v="1"/>
    <n v="126.9"/>
  </r>
  <r>
    <x v="2"/>
    <x v="2"/>
    <x v="3"/>
    <x v="14"/>
    <x v="2"/>
    <n v="124.7"/>
  </r>
  <r>
    <x v="2"/>
    <x v="2"/>
    <x v="3"/>
    <x v="15"/>
    <x v="2"/>
    <n v="120.8"/>
  </r>
  <r>
    <x v="2"/>
    <x v="2"/>
    <x v="3"/>
    <x v="16"/>
    <x v="2"/>
    <n v="124.1"/>
  </r>
  <r>
    <x v="2"/>
    <x v="2"/>
    <x v="3"/>
    <x v="17"/>
    <x v="3"/>
    <n v="119.2"/>
  </r>
  <r>
    <x v="2"/>
    <x v="2"/>
    <x v="3"/>
    <x v="18"/>
    <x v="4"/>
    <n v="118.7"/>
  </r>
  <r>
    <x v="2"/>
    <x v="2"/>
    <x v="3"/>
    <x v="19"/>
    <x v="5"/>
    <n v="119.7"/>
  </r>
  <r>
    <x v="2"/>
    <x v="2"/>
    <x v="3"/>
    <x v="20"/>
    <x v="6"/>
    <n v="117.1"/>
  </r>
  <r>
    <x v="2"/>
    <x v="2"/>
    <x v="3"/>
    <x v="21"/>
    <x v="7"/>
    <n v="110.1"/>
  </r>
  <r>
    <x v="2"/>
    <x v="2"/>
    <x v="3"/>
    <x v="22"/>
    <x v="8"/>
    <n v="115.9"/>
  </r>
  <r>
    <x v="2"/>
    <x v="2"/>
    <x v="3"/>
    <x v="23"/>
    <x v="9"/>
    <n v="121"/>
  </r>
  <r>
    <x v="2"/>
    <x v="2"/>
    <x v="3"/>
    <x v="24"/>
    <x v="8"/>
    <n v="111.7"/>
  </r>
  <r>
    <x v="2"/>
    <x v="2"/>
    <x v="3"/>
    <x v="25"/>
    <x v="5"/>
    <n v="115.1"/>
  </r>
  <r>
    <x v="2"/>
    <x v="2"/>
    <x v="3"/>
    <x v="26"/>
    <x v="10"/>
    <n v="120.7"/>
  </r>
  <r>
    <x v="0"/>
    <x v="2"/>
    <x v="4"/>
    <x v="0"/>
    <x v="0"/>
    <n v="123.5"/>
  </r>
  <r>
    <x v="0"/>
    <x v="2"/>
    <x v="4"/>
    <x v="1"/>
    <x v="0"/>
    <n v="127.1"/>
  </r>
  <r>
    <x v="0"/>
    <x v="2"/>
    <x v="4"/>
    <x v="2"/>
    <x v="0"/>
    <n v="117.3"/>
  </r>
  <r>
    <x v="0"/>
    <x v="2"/>
    <x v="4"/>
    <x v="3"/>
    <x v="0"/>
    <n v="127.7"/>
  </r>
  <r>
    <x v="0"/>
    <x v="2"/>
    <x v="4"/>
    <x v="4"/>
    <x v="0"/>
    <n v="112.5"/>
  </r>
  <r>
    <x v="0"/>
    <x v="2"/>
    <x v="4"/>
    <x v="5"/>
    <x v="0"/>
    <n v="134.1"/>
  </r>
  <r>
    <x v="0"/>
    <x v="2"/>
    <x v="4"/>
    <x v="6"/>
    <x v="0"/>
    <n v="128.5"/>
  </r>
  <r>
    <x v="0"/>
    <x v="2"/>
    <x v="4"/>
    <x v="7"/>
    <x v="0"/>
    <n v="124.3"/>
  </r>
  <r>
    <x v="0"/>
    <x v="2"/>
    <x v="4"/>
    <x v="8"/>
    <x v="0"/>
    <n v="97.6"/>
  </r>
  <r>
    <x v="0"/>
    <x v="2"/>
    <x v="4"/>
    <x v="9"/>
    <x v="0"/>
    <n v="120.7"/>
  </r>
  <r>
    <x v="0"/>
    <x v="2"/>
    <x v="4"/>
    <x v="10"/>
    <x v="0"/>
    <n v="120.2"/>
  </r>
  <r>
    <x v="0"/>
    <x v="2"/>
    <x v="4"/>
    <x v="11"/>
    <x v="0"/>
    <n v="129.80000000000001"/>
  </r>
  <r>
    <x v="0"/>
    <x v="2"/>
    <x v="4"/>
    <x v="12"/>
    <x v="0"/>
    <n v="124.4"/>
  </r>
  <r>
    <x v="0"/>
    <x v="2"/>
    <x v="4"/>
    <x v="13"/>
    <x v="1"/>
    <n v="126.7"/>
  </r>
  <r>
    <x v="0"/>
    <x v="2"/>
    <x v="4"/>
    <x v="14"/>
    <x v="2"/>
    <n v="127.3"/>
  </r>
  <r>
    <x v="0"/>
    <x v="2"/>
    <x v="4"/>
    <x v="15"/>
    <x v="2"/>
    <n v="124.1"/>
  </r>
  <r>
    <x v="0"/>
    <x v="2"/>
    <x v="4"/>
    <x v="16"/>
    <x v="2"/>
    <n v="126.8"/>
  </r>
  <r>
    <x v="0"/>
    <x v="2"/>
    <x v="4"/>
    <x v="17"/>
    <x v="3"/>
    <s v="NA"/>
  </r>
  <r>
    <x v="0"/>
    <x v="2"/>
    <x v="4"/>
    <x v="18"/>
    <x v="4"/>
    <n v="121.9"/>
  </r>
  <r>
    <x v="0"/>
    <x v="2"/>
    <x v="4"/>
    <x v="19"/>
    <x v="5"/>
    <n v="121.5"/>
  </r>
  <r>
    <x v="0"/>
    <x v="2"/>
    <x v="4"/>
    <x v="20"/>
    <x v="6"/>
    <n v="119.4"/>
  </r>
  <r>
    <x v="0"/>
    <x v="2"/>
    <x v="4"/>
    <x v="21"/>
    <x v="7"/>
    <n v="113.3"/>
  </r>
  <r>
    <x v="0"/>
    <x v="2"/>
    <x v="4"/>
    <x v="22"/>
    <x v="8"/>
    <n v="116.7"/>
  </r>
  <r>
    <x v="0"/>
    <x v="2"/>
    <x v="4"/>
    <x v="23"/>
    <x v="9"/>
    <n v="120.5"/>
  </r>
  <r>
    <x v="0"/>
    <x v="2"/>
    <x v="4"/>
    <x v="24"/>
    <x v="8"/>
    <n v="112.3"/>
  </r>
  <r>
    <x v="0"/>
    <x v="2"/>
    <x v="4"/>
    <x v="25"/>
    <x v="5"/>
    <n v="116.9"/>
  </r>
  <r>
    <x v="0"/>
    <x v="2"/>
    <x v="4"/>
    <x v="26"/>
    <x v="10"/>
    <n v="122.4"/>
  </r>
  <r>
    <x v="1"/>
    <x v="2"/>
    <x v="4"/>
    <x v="0"/>
    <x v="0"/>
    <n v="123.8"/>
  </r>
  <r>
    <x v="1"/>
    <x v="2"/>
    <x v="4"/>
    <x v="1"/>
    <x v="0"/>
    <n v="129.69999999999999"/>
  </r>
  <r>
    <x v="1"/>
    <x v="2"/>
    <x v="4"/>
    <x v="2"/>
    <x v="0"/>
    <n v="111.3"/>
  </r>
  <r>
    <x v="1"/>
    <x v="2"/>
    <x v="4"/>
    <x v="3"/>
    <x v="0"/>
    <n v="126.6"/>
  </r>
  <r>
    <x v="1"/>
    <x v="2"/>
    <x v="4"/>
    <x v="4"/>
    <x v="0"/>
    <n v="105.2"/>
  </r>
  <r>
    <x v="1"/>
    <x v="2"/>
    <x v="4"/>
    <x v="5"/>
    <x v="0"/>
    <n v="130.80000000000001"/>
  </r>
  <r>
    <x v="1"/>
    <x v="2"/>
    <x v="4"/>
    <x v="6"/>
    <x v="0"/>
    <n v="135.6"/>
  </r>
  <r>
    <x v="1"/>
    <x v="2"/>
    <x v="4"/>
    <x v="7"/>
    <x v="0"/>
    <n v="142.6"/>
  </r>
  <r>
    <x v="1"/>
    <x v="2"/>
    <x v="4"/>
    <x v="8"/>
    <x v="0"/>
    <n v="90.8"/>
  </r>
  <r>
    <x v="1"/>
    <x v="2"/>
    <x v="4"/>
    <x v="9"/>
    <x v="0"/>
    <n v="128.80000000000001"/>
  </r>
  <r>
    <x v="1"/>
    <x v="2"/>
    <x v="4"/>
    <x v="10"/>
    <x v="0"/>
    <n v="117.7"/>
  </r>
  <r>
    <x v="1"/>
    <x v="2"/>
    <x v="4"/>
    <x v="11"/>
    <x v="0"/>
    <n v="129.9"/>
  </r>
  <r>
    <x v="1"/>
    <x v="2"/>
    <x v="4"/>
    <x v="12"/>
    <x v="0"/>
    <n v="126.1"/>
  </r>
  <r>
    <x v="1"/>
    <x v="2"/>
    <x v="4"/>
    <x v="13"/>
    <x v="1"/>
    <n v="131.30000000000001"/>
  </r>
  <r>
    <x v="1"/>
    <x v="2"/>
    <x v="4"/>
    <x v="14"/>
    <x v="2"/>
    <n v="122.4"/>
  </r>
  <r>
    <x v="1"/>
    <x v="2"/>
    <x v="4"/>
    <x v="15"/>
    <x v="2"/>
    <n v="117.4"/>
  </r>
  <r>
    <x v="1"/>
    <x v="2"/>
    <x v="4"/>
    <x v="16"/>
    <x v="2"/>
    <n v="121.6"/>
  </r>
  <r>
    <x v="1"/>
    <x v="2"/>
    <x v="4"/>
    <x v="17"/>
    <x v="3"/>
    <n v="119.6"/>
  </r>
  <r>
    <x v="1"/>
    <x v="2"/>
    <x v="4"/>
    <x v="18"/>
    <x v="4"/>
    <n v="114.9"/>
  </r>
  <r>
    <x v="1"/>
    <x v="2"/>
    <x v="4"/>
    <x v="19"/>
    <x v="5"/>
    <n v="118.7"/>
  </r>
  <r>
    <x v="1"/>
    <x v="2"/>
    <x v="4"/>
    <x v="20"/>
    <x v="6"/>
    <n v="114.9"/>
  </r>
  <r>
    <x v="1"/>
    <x v="2"/>
    <x v="4"/>
    <x v="21"/>
    <x v="7"/>
    <n v="110.8"/>
  </r>
  <r>
    <x v="1"/>
    <x v="2"/>
    <x v="4"/>
    <x v="22"/>
    <x v="8"/>
    <n v="116"/>
  </r>
  <r>
    <x v="1"/>
    <x v="2"/>
    <x v="4"/>
    <x v="23"/>
    <x v="9"/>
    <n v="122"/>
  </r>
  <r>
    <x v="1"/>
    <x v="2"/>
    <x v="4"/>
    <x v="24"/>
    <x v="8"/>
    <n v="112.4"/>
  </r>
  <r>
    <x v="1"/>
    <x v="2"/>
    <x v="4"/>
    <x v="25"/>
    <x v="5"/>
    <n v="115.2"/>
  </r>
  <r>
    <x v="1"/>
    <x v="2"/>
    <x v="4"/>
    <x v="26"/>
    <x v="10"/>
    <n v="120.7"/>
  </r>
  <r>
    <x v="2"/>
    <x v="2"/>
    <x v="4"/>
    <x v="0"/>
    <x v="0"/>
    <n v="123.6"/>
  </r>
  <r>
    <x v="2"/>
    <x v="2"/>
    <x v="4"/>
    <x v="1"/>
    <x v="0"/>
    <n v="128"/>
  </r>
  <r>
    <x v="2"/>
    <x v="2"/>
    <x v="4"/>
    <x v="2"/>
    <x v="0"/>
    <n v="115"/>
  </r>
  <r>
    <x v="2"/>
    <x v="2"/>
    <x v="4"/>
    <x v="3"/>
    <x v="0"/>
    <n v="127.3"/>
  </r>
  <r>
    <x v="2"/>
    <x v="2"/>
    <x v="4"/>
    <x v="4"/>
    <x v="0"/>
    <n v="109.8"/>
  </r>
  <r>
    <x v="2"/>
    <x v="2"/>
    <x v="4"/>
    <x v="5"/>
    <x v="0"/>
    <n v="132.6"/>
  </r>
  <r>
    <x v="2"/>
    <x v="2"/>
    <x v="4"/>
    <x v="6"/>
    <x v="0"/>
    <n v="130.9"/>
  </r>
  <r>
    <x v="2"/>
    <x v="2"/>
    <x v="4"/>
    <x v="7"/>
    <x v="0"/>
    <n v="130.5"/>
  </r>
  <r>
    <x v="2"/>
    <x v="2"/>
    <x v="4"/>
    <x v="8"/>
    <x v="0"/>
    <n v="95.3"/>
  </r>
  <r>
    <x v="2"/>
    <x v="2"/>
    <x v="4"/>
    <x v="9"/>
    <x v="0"/>
    <n v="123.4"/>
  </r>
  <r>
    <x v="2"/>
    <x v="2"/>
    <x v="4"/>
    <x v="10"/>
    <x v="0"/>
    <n v="119.2"/>
  </r>
  <r>
    <x v="2"/>
    <x v="2"/>
    <x v="4"/>
    <x v="11"/>
    <x v="0"/>
    <n v="129.80000000000001"/>
  </r>
  <r>
    <x v="2"/>
    <x v="2"/>
    <x v="4"/>
    <x v="12"/>
    <x v="0"/>
    <n v="125"/>
  </r>
  <r>
    <x v="2"/>
    <x v="2"/>
    <x v="4"/>
    <x v="13"/>
    <x v="1"/>
    <n v="127.9"/>
  </r>
  <r>
    <x v="2"/>
    <x v="2"/>
    <x v="4"/>
    <x v="14"/>
    <x v="2"/>
    <n v="125.4"/>
  </r>
  <r>
    <x v="2"/>
    <x v="2"/>
    <x v="4"/>
    <x v="15"/>
    <x v="2"/>
    <n v="121.3"/>
  </r>
  <r>
    <x v="2"/>
    <x v="2"/>
    <x v="4"/>
    <x v="16"/>
    <x v="2"/>
    <n v="124.7"/>
  </r>
  <r>
    <x v="2"/>
    <x v="2"/>
    <x v="4"/>
    <x v="17"/>
    <x v="3"/>
    <n v="119.6"/>
  </r>
  <r>
    <x v="2"/>
    <x v="2"/>
    <x v="4"/>
    <x v="18"/>
    <x v="4"/>
    <n v="119.2"/>
  </r>
  <r>
    <x v="2"/>
    <x v="2"/>
    <x v="4"/>
    <x v="19"/>
    <x v="5"/>
    <n v="120.2"/>
  </r>
  <r>
    <x v="2"/>
    <x v="2"/>
    <x v="4"/>
    <x v="20"/>
    <x v="6"/>
    <n v="117.7"/>
  </r>
  <r>
    <x v="2"/>
    <x v="2"/>
    <x v="4"/>
    <x v="21"/>
    <x v="7"/>
    <n v="112"/>
  </r>
  <r>
    <x v="2"/>
    <x v="2"/>
    <x v="4"/>
    <x v="22"/>
    <x v="8"/>
    <n v="116.3"/>
  </r>
  <r>
    <x v="2"/>
    <x v="2"/>
    <x v="4"/>
    <x v="23"/>
    <x v="9"/>
    <n v="121.4"/>
  </r>
  <r>
    <x v="2"/>
    <x v="2"/>
    <x v="4"/>
    <x v="24"/>
    <x v="8"/>
    <n v="112.3"/>
  </r>
  <r>
    <x v="2"/>
    <x v="2"/>
    <x v="4"/>
    <x v="25"/>
    <x v="5"/>
    <n v="116.1"/>
  </r>
  <r>
    <x v="2"/>
    <x v="2"/>
    <x v="4"/>
    <x v="26"/>
    <x v="10"/>
    <n v="121.6"/>
  </r>
  <r>
    <x v="0"/>
    <x v="2"/>
    <x v="5"/>
    <x v="0"/>
    <x v="0"/>
    <n v="124.1"/>
  </r>
  <r>
    <x v="0"/>
    <x v="2"/>
    <x v="5"/>
    <x v="1"/>
    <x v="0"/>
    <n v="130.4"/>
  </r>
  <r>
    <x v="0"/>
    <x v="2"/>
    <x v="5"/>
    <x v="2"/>
    <x v="0"/>
    <n v="122.1"/>
  </r>
  <r>
    <x v="0"/>
    <x v="2"/>
    <x v="5"/>
    <x v="3"/>
    <x v="0"/>
    <n v="128.69999999999999"/>
  </r>
  <r>
    <x v="0"/>
    <x v="2"/>
    <x v="5"/>
    <x v="4"/>
    <x v="0"/>
    <n v="114.1"/>
  </r>
  <r>
    <x v="0"/>
    <x v="2"/>
    <x v="5"/>
    <x v="5"/>
    <x v="0"/>
    <n v="133.19999999999999"/>
  </r>
  <r>
    <x v="0"/>
    <x v="2"/>
    <x v="5"/>
    <x v="6"/>
    <x v="0"/>
    <n v="135.19999999999999"/>
  </r>
  <r>
    <x v="0"/>
    <x v="2"/>
    <x v="5"/>
    <x v="7"/>
    <x v="0"/>
    <n v="131.9"/>
  </r>
  <r>
    <x v="0"/>
    <x v="2"/>
    <x v="5"/>
    <x v="8"/>
    <x v="0"/>
    <n v="96.3"/>
  </r>
  <r>
    <x v="0"/>
    <x v="2"/>
    <x v="5"/>
    <x v="9"/>
    <x v="0"/>
    <n v="123"/>
  </r>
  <r>
    <x v="0"/>
    <x v="2"/>
    <x v="5"/>
    <x v="10"/>
    <x v="0"/>
    <n v="121.1"/>
  </r>
  <r>
    <x v="0"/>
    <x v="2"/>
    <x v="5"/>
    <x v="11"/>
    <x v="0"/>
    <n v="131.19999999999999"/>
  </r>
  <r>
    <x v="0"/>
    <x v="2"/>
    <x v="5"/>
    <x v="12"/>
    <x v="0"/>
    <n v="126.6"/>
  </r>
  <r>
    <x v="0"/>
    <x v="2"/>
    <x v="5"/>
    <x v="13"/>
    <x v="1"/>
    <n v="128.19999999999999"/>
  </r>
  <r>
    <x v="0"/>
    <x v="2"/>
    <x v="5"/>
    <x v="14"/>
    <x v="2"/>
    <n v="128.4"/>
  </r>
  <r>
    <x v="0"/>
    <x v="2"/>
    <x v="5"/>
    <x v="15"/>
    <x v="2"/>
    <n v="125.1"/>
  </r>
  <r>
    <x v="0"/>
    <x v="2"/>
    <x v="5"/>
    <x v="16"/>
    <x v="2"/>
    <n v="128"/>
  </r>
  <r>
    <x v="0"/>
    <x v="2"/>
    <x v="5"/>
    <x v="17"/>
    <x v="3"/>
    <s v="NA"/>
  </r>
  <r>
    <x v="0"/>
    <x v="2"/>
    <x v="5"/>
    <x v="18"/>
    <x v="4"/>
    <n v="122.6"/>
  </r>
  <r>
    <x v="0"/>
    <x v="2"/>
    <x v="5"/>
    <x v="19"/>
    <x v="5"/>
    <n v="122.8"/>
  </r>
  <r>
    <x v="0"/>
    <x v="2"/>
    <x v="5"/>
    <x v="20"/>
    <x v="6"/>
    <n v="120.4"/>
  </r>
  <r>
    <x v="0"/>
    <x v="2"/>
    <x v="5"/>
    <x v="21"/>
    <x v="7"/>
    <n v="114.2"/>
  </r>
  <r>
    <x v="0"/>
    <x v="2"/>
    <x v="5"/>
    <x v="22"/>
    <x v="8"/>
    <n v="117.9"/>
  </r>
  <r>
    <x v="0"/>
    <x v="2"/>
    <x v="5"/>
    <x v="23"/>
    <x v="9"/>
    <n v="122"/>
  </r>
  <r>
    <x v="0"/>
    <x v="2"/>
    <x v="5"/>
    <x v="24"/>
    <x v="8"/>
    <n v="113"/>
  </r>
  <r>
    <x v="0"/>
    <x v="2"/>
    <x v="5"/>
    <x v="25"/>
    <x v="5"/>
    <n v="117.9"/>
  </r>
  <r>
    <x v="0"/>
    <x v="2"/>
    <x v="5"/>
    <x v="26"/>
    <x v="10"/>
    <n v="124.1"/>
  </r>
  <r>
    <x v="1"/>
    <x v="2"/>
    <x v="5"/>
    <x v="0"/>
    <x v="0"/>
    <n v="123.6"/>
  </r>
  <r>
    <x v="1"/>
    <x v="2"/>
    <x v="5"/>
    <x v="1"/>
    <x v="0"/>
    <n v="134.4"/>
  </r>
  <r>
    <x v="1"/>
    <x v="2"/>
    <x v="5"/>
    <x v="2"/>
    <x v="0"/>
    <n v="120.9"/>
  </r>
  <r>
    <x v="1"/>
    <x v="2"/>
    <x v="5"/>
    <x v="3"/>
    <x v="0"/>
    <n v="127.3"/>
  </r>
  <r>
    <x v="1"/>
    <x v="2"/>
    <x v="5"/>
    <x v="4"/>
    <x v="0"/>
    <n v="106"/>
  </r>
  <r>
    <x v="1"/>
    <x v="2"/>
    <x v="5"/>
    <x v="5"/>
    <x v="0"/>
    <n v="132.30000000000001"/>
  </r>
  <r>
    <x v="1"/>
    <x v="2"/>
    <x v="5"/>
    <x v="6"/>
    <x v="0"/>
    <n v="146.69999999999999"/>
  </r>
  <r>
    <x v="1"/>
    <x v="2"/>
    <x v="5"/>
    <x v="7"/>
    <x v="0"/>
    <n v="148.1"/>
  </r>
  <r>
    <x v="1"/>
    <x v="2"/>
    <x v="5"/>
    <x v="8"/>
    <x v="0"/>
    <n v="89.8"/>
  </r>
  <r>
    <x v="1"/>
    <x v="2"/>
    <x v="5"/>
    <x v="9"/>
    <x v="0"/>
    <n v="130.5"/>
  </r>
  <r>
    <x v="1"/>
    <x v="2"/>
    <x v="5"/>
    <x v="10"/>
    <x v="0"/>
    <n v="118"/>
  </r>
  <r>
    <x v="1"/>
    <x v="2"/>
    <x v="5"/>
    <x v="11"/>
    <x v="0"/>
    <n v="130.5"/>
  </r>
  <r>
    <x v="1"/>
    <x v="2"/>
    <x v="5"/>
    <x v="12"/>
    <x v="0"/>
    <n v="128.5"/>
  </r>
  <r>
    <x v="1"/>
    <x v="2"/>
    <x v="5"/>
    <x v="13"/>
    <x v="1"/>
    <n v="132.1"/>
  </r>
  <r>
    <x v="1"/>
    <x v="2"/>
    <x v="5"/>
    <x v="14"/>
    <x v="2"/>
    <n v="123.2"/>
  </r>
  <r>
    <x v="1"/>
    <x v="2"/>
    <x v="5"/>
    <x v="15"/>
    <x v="2"/>
    <n v="117.6"/>
  </r>
  <r>
    <x v="1"/>
    <x v="2"/>
    <x v="5"/>
    <x v="16"/>
    <x v="2"/>
    <n v="122.3"/>
  </r>
  <r>
    <x v="1"/>
    <x v="2"/>
    <x v="5"/>
    <x v="17"/>
    <x v="3"/>
    <n v="119"/>
  </r>
  <r>
    <x v="1"/>
    <x v="2"/>
    <x v="5"/>
    <x v="18"/>
    <x v="4"/>
    <n v="115.1"/>
  </r>
  <r>
    <x v="1"/>
    <x v="2"/>
    <x v="5"/>
    <x v="19"/>
    <x v="5"/>
    <n v="119.2"/>
  </r>
  <r>
    <x v="1"/>
    <x v="2"/>
    <x v="5"/>
    <x v="20"/>
    <x v="6"/>
    <n v="115.4"/>
  </r>
  <r>
    <x v="1"/>
    <x v="2"/>
    <x v="5"/>
    <x v="21"/>
    <x v="7"/>
    <n v="111.7"/>
  </r>
  <r>
    <x v="1"/>
    <x v="2"/>
    <x v="5"/>
    <x v="22"/>
    <x v="8"/>
    <n v="116.2"/>
  </r>
  <r>
    <x v="1"/>
    <x v="2"/>
    <x v="5"/>
    <x v="23"/>
    <x v="9"/>
    <n v="123.8"/>
  </r>
  <r>
    <x v="1"/>
    <x v="2"/>
    <x v="5"/>
    <x v="24"/>
    <x v="8"/>
    <n v="112.5"/>
  </r>
  <r>
    <x v="1"/>
    <x v="2"/>
    <x v="5"/>
    <x v="25"/>
    <x v="5"/>
    <n v="116"/>
  </r>
  <r>
    <x v="1"/>
    <x v="2"/>
    <x v="5"/>
    <x v="26"/>
    <x v="10"/>
    <n v="121.7"/>
  </r>
  <r>
    <x v="2"/>
    <x v="2"/>
    <x v="5"/>
    <x v="0"/>
    <x v="0"/>
    <n v="123.9"/>
  </r>
  <r>
    <x v="2"/>
    <x v="2"/>
    <x v="5"/>
    <x v="1"/>
    <x v="0"/>
    <n v="131.80000000000001"/>
  </r>
  <r>
    <x v="2"/>
    <x v="2"/>
    <x v="5"/>
    <x v="2"/>
    <x v="0"/>
    <n v="121.6"/>
  </r>
  <r>
    <x v="2"/>
    <x v="2"/>
    <x v="5"/>
    <x v="3"/>
    <x v="0"/>
    <n v="128.19999999999999"/>
  </r>
  <r>
    <x v="2"/>
    <x v="2"/>
    <x v="5"/>
    <x v="4"/>
    <x v="0"/>
    <n v="111.1"/>
  </r>
  <r>
    <x v="2"/>
    <x v="2"/>
    <x v="5"/>
    <x v="5"/>
    <x v="0"/>
    <n v="132.80000000000001"/>
  </r>
  <r>
    <x v="2"/>
    <x v="2"/>
    <x v="5"/>
    <x v="6"/>
    <x v="0"/>
    <n v="139.1"/>
  </r>
  <r>
    <x v="2"/>
    <x v="2"/>
    <x v="5"/>
    <x v="7"/>
    <x v="0"/>
    <n v="137.4"/>
  </r>
  <r>
    <x v="2"/>
    <x v="2"/>
    <x v="5"/>
    <x v="8"/>
    <x v="0"/>
    <n v="94.1"/>
  </r>
  <r>
    <x v="2"/>
    <x v="2"/>
    <x v="5"/>
    <x v="9"/>
    <x v="0"/>
    <n v="125.5"/>
  </r>
  <r>
    <x v="2"/>
    <x v="2"/>
    <x v="5"/>
    <x v="10"/>
    <x v="0"/>
    <n v="119.8"/>
  </r>
  <r>
    <x v="2"/>
    <x v="2"/>
    <x v="5"/>
    <x v="11"/>
    <x v="0"/>
    <n v="130.9"/>
  </r>
  <r>
    <x v="2"/>
    <x v="2"/>
    <x v="5"/>
    <x v="12"/>
    <x v="0"/>
    <n v="127.3"/>
  </r>
  <r>
    <x v="2"/>
    <x v="2"/>
    <x v="5"/>
    <x v="13"/>
    <x v="1"/>
    <n v="129.19999999999999"/>
  </r>
  <r>
    <x v="2"/>
    <x v="2"/>
    <x v="5"/>
    <x v="14"/>
    <x v="2"/>
    <n v="126.4"/>
  </r>
  <r>
    <x v="2"/>
    <x v="2"/>
    <x v="5"/>
    <x v="15"/>
    <x v="2"/>
    <n v="122"/>
  </r>
  <r>
    <x v="2"/>
    <x v="2"/>
    <x v="5"/>
    <x v="16"/>
    <x v="2"/>
    <n v="125.7"/>
  </r>
  <r>
    <x v="2"/>
    <x v="2"/>
    <x v="5"/>
    <x v="17"/>
    <x v="3"/>
    <n v="119"/>
  </r>
  <r>
    <x v="2"/>
    <x v="2"/>
    <x v="5"/>
    <x v="18"/>
    <x v="4"/>
    <n v="119.8"/>
  </r>
  <r>
    <x v="2"/>
    <x v="2"/>
    <x v="5"/>
    <x v="19"/>
    <x v="5"/>
    <n v="121.1"/>
  </r>
  <r>
    <x v="2"/>
    <x v="2"/>
    <x v="5"/>
    <x v="20"/>
    <x v="6"/>
    <n v="118.5"/>
  </r>
  <r>
    <x v="2"/>
    <x v="2"/>
    <x v="5"/>
    <x v="21"/>
    <x v="7"/>
    <n v="112.9"/>
  </r>
  <r>
    <x v="2"/>
    <x v="2"/>
    <x v="5"/>
    <x v="22"/>
    <x v="8"/>
    <n v="116.9"/>
  </r>
  <r>
    <x v="2"/>
    <x v="2"/>
    <x v="5"/>
    <x v="23"/>
    <x v="9"/>
    <n v="123.1"/>
  </r>
  <r>
    <x v="2"/>
    <x v="2"/>
    <x v="5"/>
    <x v="24"/>
    <x v="8"/>
    <n v="112.8"/>
  </r>
  <r>
    <x v="2"/>
    <x v="2"/>
    <x v="5"/>
    <x v="25"/>
    <x v="5"/>
    <n v="117"/>
  </r>
  <r>
    <x v="2"/>
    <x v="2"/>
    <x v="5"/>
    <x v="26"/>
    <x v="10"/>
    <n v="123"/>
  </r>
  <r>
    <x v="0"/>
    <x v="2"/>
    <x v="6"/>
    <x v="0"/>
    <x v="0"/>
    <n v="124"/>
  </r>
  <r>
    <x v="0"/>
    <x v="2"/>
    <x v="6"/>
    <x v="1"/>
    <x v="0"/>
    <n v="131.5"/>
  </r>
  <r>
    <x v="0"/>
    <x v="2"/>
    <x v="6"/>
    <x v="2"/>
    <x v="0"/>
    <n v="122"/>
  </r>
  <r>
    <x v="0"/>
    <x v="2"/>
    <x v="6"/>
    <x v="3"/>
    <x v="0"/>
    <n v="128.69999999999999"/>
  </r>
  <r>
    <x v="0"/>
    <x v="2"/>
    <x v="6"/>
    <x v="4"/>
    <x v="0"/>
    <n v="113.5"/>
  </r>
  <r>
    <x v="0"/>
    <x v="2"/>
    <x v="6"/>
    <x v="5"/>
    <x v="0"/>
    <n v="133.30000000000001"/>
  </r>
  <r>
    <x v="0"/>
    <x v="2"/>
    <x v="6"/>
    <x v="6"/>
    <x v="0"/>
    <n v="140.80000000000001"/>
  </r>
  <r>
    <x v="0"/>
    <x v="2"/>
    <x v="6"/>
    <x v="7"/>
    <x v="0"/>
    <n v="133.80000000000001"/>
  </r>
  <r>
    <x v="0"/>
    <x v="2"/>
    <x v="6"/>
    <x v="8"/>
    <x v="0"/>
    <n v="94.1"/>
  </r>
  <r>
    <x v="0"/>
    <x v="2"/>
    <x v="6"/>
    <x v="9"/>
    <x v="0"/>
    <n v="123.4"/>
  </r>
  <r>
    <x v="0"/>
    <x v="2"/>
    <x v="6"/>
    <x v="10"/>
    <x v="0"/>
    <n v="121"/>
  </r>
  <r>
    <x v="0"/>
    <x v="2"/>
    <x v="6"/>
    <x v="11"/>
    <x v="0"/>
    <n v="131.69999999999999"/>
  </r>
  <r>
    <x v="0"/>
    <x v="2"/>
    <x v="6"/>
    <x v="12"/>
    <x v="0"/>
    <n v="127.5"/>
  </r>
  <r>
    <x v="0"/>
    <x v="2"/>
    <x v="6"/>
    <x v="13"/>
    <x v="1"/>
    <n v="129.4"/>
  </r>
  <r>
    <x v="0"/>
    <x v="2"/>
    <x v="6"/>
    <x v="14"/>
    <x v="2"/>
    <n v="128.80000000000001"/>
  </r>
  <r>
    <x v="0"/>
    <x v="2"/>
    <x v="6"/>
    <x v="15"/>
    <x v="2"/>
    <n v="125.5"/>
  </r>
  <r>
    <x v="0"/>
    <x v="2"/>
    <x v="6"/>
    <x v="16"/>
    <x v="2"/>
    <n v="128.30000000000001"/>
  </r>
  <r>
    <x v="0"/>
    <x v="2"/>
    <x v="6"/>
    <x v="17"/>
    <x v="3"/>
    <s v="NA"/>
  </r>
  <r>
    <x v="0"/>
    <x v="2"/>
    <x v="6"/>
    <x v="18"/>
    <x v="4"/>
    <n v="123"/>
  </r>
  <r>
    <x v="0"/>
    <x v="2"/>
    <x v="6"/>
    <x v="19"/>
    <x v="5"/>
    <n v="123"/>
  </r>
  <r>
    <x v="0"/>
    <x v="2"/>
    <x v="6"/>
    <x v="20"/>
    <x v="6"/>
    <n v="120.8"/>
  </r>
  <r>
    <x v="0"/>
    <x v="2"/>
    <x v="6"/>
    <x v="21"/>
    <x v="7"/>
    <n v="114.1"/>
  </r>
  <r>
    <x v="0"/>
    <x v="2"/>
    <x v="6"/>
    <x v="22"/>
    <x v="8"/>
    <n v="118"/>
  </r>
  <r>
    <x v="0"/>
    <x v="2"/>
    <x v="6"/>
    <x v="23"/>
    <x v="9"/>
    <n v="122.9"/>
  </r>
  <r>
    <x v="0"/>
    <x v="2"/>
    <x v="6"/>
    <x v="24"/>
    <x v="8"/>
    <n v="112.7"/>
  </r>
  <r>
    <x v="0"/>
    <x v="2"/>
    <x v="6"/>
    <x v="25"/>
    <x v="5"/>
    <n v="118.1"/>
  </r>
  <r>
    <x v="0"/>
    <x v="2"/>
    <x v="6"/>
    <x v="26"/>
    <x v="10"/>
    <n v="124.7"/>
  </r>
  <r>
    <x v="1"/>
    <x v="2"/>
    <x v="6"/>
    <x v="0"/>
    <x v="0"/>
    <n v="123.2"/>
  </r>
  <r>
    <x v="1"/>
    <x v="2"/>
    <x v="6"/>
    <x v="1"/>
    <x v="0"/>
    <n v="134.30000000000001"/>
  </r>
  <r>
    <x v="1"/>
    <x v="2"/>
    <x v="6"/>
    <x v="2"/>
    <x v="0"/>
    <n v="119.5"/>
  </r>
  <r>
    <x v="1"/>
    <x v="2"/>
    <x v="6"/>
    <x v="3"/>
    <x v="0"/>
    <n v="127.7"/>
  </r>
  <r>
    <x v="1"/>
    <x v="2"/>
    <x v="6"/>
    <x v="4"/>
    <x v="0"/>
    <n v="106.3"/>
  </r>
  <r>
    <x v="1"/>
    <x v="2"/>
    <x v="6"/>
    <x v="5"/>
    <x v="0"/>
    <n v="132.80000000000001"/>
  </r>
  <r>
    <x v="1"/>
    <x v="2"/>
    <x v="6"/>
    <x v="6"/>
    <x v="0"/>
    <n v="153.5"/>
  </r>
  <r>
    <x v="1"/>
    <x v="2"/>
    <x v="6"/>
    <x v="7"/>
    <x v="0"/>
    <n v="149.5"/>
  </r>
  <r>
    <x v="1"/>
    <x v="2"/>
    <x v="6"/>
    <x v="8"/>
    <x v="0"/>
    <n v="85.7"/>
  </r>
  <r>
    <x v="1"/>
    <x v="2"/>
    <x v="6"/>
    <x v="9"/>
    <x v="0"/>
    <n v="131.5"/>
  </r>
  <r>
    <x v="1"/>
    <x v="2"/>
    <x v="6"/>
    <x v="10"/>
    <x v="0"/>
    <n v="118.3"/>
  </r>
  <r>
    <x v="1"/>
    <x v="2"/>
    <x v="6"/>
    <x v="11"/>
    <x v="0"/>
    <n v="131.1"/>
  </r>
  <r>
    <x v="1"/>
    <x v="2"/>
    <x v="6"/>
    <x v="12"/>
    <x v="0"/>
    <n v="129.5"/>
  </r>
  <r>
    <x v="1"/>
    <x v="2"/>
    <x v="6"/>
    <x v="13"/>
    <x v="1"/>
    <n v="133.1"/>
  </r>
  <r>
    <x v="1"/>
    <x v="2"/>
    <x v="6"/>
    <x v="14"/>
    <x v="2"/>
    <n v="123.5"/>
  </r>
  <r>
    <x v="1"/>
    <x v="2"/>
    <x v="6"/>
    <x v="15"/>
    <x v="2"/>
    <n v="117.9"/>
  </r>
  <r>
    <x v="1"/>
    <x v="2"/>
    <x v="6"/>
    <x v="16"/>
    <x v="2"/>
    <n v="122.7"/>
  </r>
  <r>
    <x v="1"/>
    <x v="2"/>
    <x v="6"/>
    <x v="17"/>
    <x v="3"/>
    <n v="119.9"/>
  </r>
  <r>
    <x v="1"/>
    <x v="2"/>
    <x v="6"/>
    <x v="18"/>
    <x v="4"/>
    <n v="115.3"/>
  </r>
  <r>
    <x v="1"/>
    <x v="2"/>
    <x v="6"/>
    <x v="19"/>
    <x v="5"/>
    <n v="119.5"/>
  </r>
  <r>
    <x v="1"/>
    <x v="2"/>
    <x v="6"/>
    <x v="20"/>
    <x v="6"/>
    <n v="116"/>
  </r>
  <r>
    <x v="1"/>
    <x v="2"/>
    <x v="6"/>
    <x v="21"/>
    <x v="7"/>
    <n v="111.5"/>
  </r>
  <r>
    <x v="1"/>
    <x v="2"/>
    <x v="6"/>
    <x v="22"/>
    <x v="8"/>
    <n v="116.6"/>
  </r>
  <r>
    <x v="1"/>
    <x v="2"/>
    <x v="6"/>
    <x v="23"/>
    <x v="9"/>
    <n v="125.4"/>
  </r>
  <r>
    <x v="1"/>
    <x v="2"/>
    <x v="6"/>
    <x v="24"/>
    <x v="8"/>
    <n v="111.7"/>
  </r>
  <r>
    <x v="1"/>
    <x v="2"/>
    <x v="6"/>
    <x v="25"/>
    <x v="5"/>
    <n v="116.3"/>
  </r>
  <r>
    <x v="1"/>
    <x v="2"/>
    <x v="6"/>
    <x v="26"/>
    <x v="10"/>
    <n v="122.4"/>
  </r>
  <r>
    <x v="2"/>
    <x v="2"/>
    <x v="6"/>
    <x v="0"/>
    <x v="0"/>
    <n v="123.7"/>
  </r>
  <r>
    <x v="2"/>
    <x v="2"/>
    <x v="6"/>
    <x v="1"/>
    <x v="0"/>
    <n v="132.5"/>
  </r>
  <r>
    <x v="2"/>
    <x v="2"/>
    <x v="6"/>
    <x v="2"/>
    <x v="0"/>
    <n v="121"/>
  </r>
  <r>
    <x v="2"/>
    <x v="2"/>
    <x v="6"/>
    <x v="3"/>
    <x v="0"/>
    <n v="128.30000000000001"/>
  </r>
  <r>
    <x v="2"/>
    <x v="2"/>
    <x v="6"/>
    <x v="4"/>
    <x v="0"/>
    <n v="110.9"/>
  </r>
  <r>
    <x v="2"/>
    <x v="2"/>
    <x v="6"/>
    <x v="5"/>
    <x v="0"/>
    <n v="133.1"/>
  </r>
  <r>
    <x v="2"/>
    <x v="2"/>
    <x v="6"/>
    <x v="6"/>
    <x v="0"/>
    <n v="145.1"/>
  </r>
  <r>
    <x v="2"/>
    <x v="2"/>
    <x v="6"/>
    <x v="7"/>
    <x v="0"/>
    <n v="139.1"/>
  </r>
  <r>
    <x v="2"/>
    <x v="2"/>
    <x v="6"/>
    <x v="8"/>
    <x v="0"/>
    <n v="91.3"/>
  </r>
  <r>
    <x v="2"/>
    <x v="2"/>
    <x v="6"/>
    <x v="9"/>
    <x v="0"/>
    <n v="126.1"/>
  </r>
  <r>
    <x v="2"/>
    <x v="2"/>
    <x v="6"/>
    <x v="10"/>
    <x v="0"/>
    <n v="119.9"/>
  </r>
  <r>
    <x v="2"/>
    <x v="2"/>
    <x v="6"/>
    <x v="11"/>
    <x v="0"/>
    <n v="131.4"/>
  </r>
  <r>
    <x v="2"/>
    <x v="2"/>
    <x v="6"/>
    <x v="12"/>
    <x v="0"/>
    <n v="128.19999999999999"/>
  </r>
  <r>
    <x v="2"/>
    <x v="2"/>
    <x v="6"/>
    <x v="13"/>
    <x v="1"/>
    <n v="130.4"/>
  </r>
  <r>
    <x v="2"/>
    <x v="2"/>
    <x v="6"/>
    <x v="14"/>
    <x v="2"/>
    <n v="126.7"/>
  </r>
  <r>
    <x v="2"/>
    <x v="2"/>
    <x v="6"/>
    <x v="15"/>
    <x v="2"/>
    <n v="122.3"/>
  </r>
  <r>
    <x v="2"/>
    <x v="2"/>
    <x v="6"/>
    <x v="16"/>
    <x v="2"/>
    <n v="126.1"/>
  </r>
  <r>
    <x v="2"/>
    <x v="2"/>
    <x v="6"/>
    <x v="17"/>
    <x v="3"/>
    <n v="119.9"/>
  </r>
  <r>
    <x v="2"/>
    <x v="2"/>
    <x v="6"/>
    <x v="18"/>
    <x v="4"/>
    <n v="120.1"/>
  </r>
  <r>
    <x v="2"/>
    <x v="2"/>
    <x v="6"/>
    <x v="19"/>
    <x v="5"/>
    <n v="121.3"/>
  </r>
  <r>
    <x v="2"/>
    <x v="2"/>
    <x v="6"/>
    <x v="20"/>
    <x v="6"/>
    <n v="119"/>
  </r>
  <r>
    <x v="2"/>
    <x v="2"/>
    <x v="6"/>
    <x v="21"/>
    <x v="7"/>
    <n v="112.7"/>
  </r>
  <r>
    <x v="2"/>
    <x v="2"/>
    <x v="6"/>
    <x v="22"/>
    <x v="8"/>
    <n v="117.2"/>
  </r>
  <r>
    <x v="2"/>
    <x v="2"/>
    <x v="6"/>
    <x v="23"/>
    <x v="9"/>
    <n v="124.4"/>
  </r>
  <r>
    <x v="2"/>
    <x v="2"/>
    <x v="6"/>
    <x v="24"/>
    <x v="8"/>
    <n v="112.3"/>
  </r>
  <r>
    <x v="2"/>
    <x v="2"/>
    <x v="6"/>
    <x v="25"/>
    <x v="5"/>
    <n v="117.2"/>
  </r>
  <r>
    <x v="2"/>
    <x v="2"/>
    <x v="6"/>
    <x v="26"/>
    <x v="10"/>
    <n v="123.6"/>
  </r>
  <r>
    <x v="0"/>
    <x v="2"/>
    <x v="7"/>
    <x v="0"/>
    <x v="0"/>
    <n v="124.7"/>
  </r>
  <r>
    <x v="0"/>
    <x v="2"/>
    <x v="7"/>
    <x v="1"/>
    <x v="0"/>
    <n v="131.30000000000001"/>
  </r>
  <r>
    <x v="0"/>
    <x v="2"/>
    <x v="7"/>
    <x v="2"/>
    <x v="0"/>
    <n v="121.3"/>
  </r>
  <r>
    <x v="0"/>
    <x v="2"/>
    <x v="7"/>
    <x v="3"/>
    <x v="0"/>
    <n v="128.80000000000001"/>
  </r>
  <r>
    <x v="0"/>
    <x v="2"/>
    <x v="7"/>
    <x v="4"/>
    <x v="0"/>
    <n v="114"/>
  </r>
  <r>
    <x v="0"/>
    <x v="2"/>
    <x v="7"/>
    <x v="5"/>
    <x v="0"/>
    <n v="134.19999999999999"/>
  </r>
  <r>
    <x v="0"/>
    <x v="2"/>
    <x v="7"/>
    <x v="6"/>
    <x v="0"/>
    <n v="153.6"/>
  </r>
  <r>
    <x v="0"/>
    <x v="2"/>
    <x v="7"/>
    <x v="7"/>
    <x v="0"/>
    <n v="137.9"/>
  </r>
  <r>
    <x v="0"/>
    <x v="2"/>
    <x v="7"/>
    <x v="8"/>
    <x v="0"/>
    <n v="93.1"/>
  </r>
  <r>
    <x v="0"/>
    <x v="2"/>
    <x v="7"/>
    <x v="9"/>
    <x v="0"/>
    <n v="123.9"/>
  </r>
  <r>
    <x v="0"/>
    <x v="2"/>
    <x v="7"/>
    <x v="10"/>
    <x v="0"/>
    <n v="121.5"/>
  </r>
  <r>
    <x v="0"/>
    <x v="2"/>
    <x v="7"/>
    <x v="11"/>
    <x v="0"/>
    <n v="132.5"/>
  </r>
  <r>
    <x v="0"/>
    <x v="2"/>
    <x v="7"/>
    <x v="12"/>
    <x v="0"/>
    <n v="129.80000000000001"/>
  </r>
  <r>
    <x v="0"/>
    <x v="2"/>
    <x v="7"/>
    <x v="13"/>
    <x v="1"/>
    <n v="130.1"/>
  </r>
  <r>
    <x v="0"/>
    <x v="2"/>
    <x v="7"/>
    <x v="14"/>
    <x v="2"/>
    <n v="129.5"/>
  </r>
  <r>
    <x v="0"/>
    <x v="2"/>
    <x v="7"/>
    <x v="15"/>
    <x v="2"/>
    <n v="126.3"/>
  </r>
  <r>
    <x v="0"/>
    <x v="2"/>
    <x v="7"/>
    <x v="16"/>
    <x v="2"/>
    <n v="129"/>
  </r>
  <r>
    <x v="0"/>
    <x v="2"/>
    <x v="7"/>
    <x v="17"/>
    <x v="3"/>
    <s v="NA"/>
  </r>
  <r>
    <x v="0"/>
    <x v="2"/>
    <x v="7"/>
    <x v="18"/>
    <x v="4"/>
    <n v="123.8"/>
  </r>
  <r>
    <x v="0"/>
    <x v="2"/>
    <x v="7"/>
    <x v="19"/>
    <x v="5"/>
    <n v="123.7"/>
  </r>
  <r>
    <x v="0"/>
    <x v="2"/>
    <x v="7"/>
    <x v="20"/>
    <x v="6"/>
    <n v="121.1"/>
  </r>
  <r>
    <x v="0"/>
    <x v="2"/>
    <x v="7"/>
    <x v="21"/>
    <x v="7"/>
    <n v="113.6"/>
  </r>
  <r>
    <x v="0"/>
    <x v="2"/>
    <x v="7"/>
    <x v="22"/>
    <x v="8"/>
    <n v="118.5"/>
  </r>
  <r>
    <x v="0"/>
    <x v="2"/>
    <x v="7"/>
    <x v="23"/>
    <x v="9"/>
    <n v="123.6"/>
  </r>
  <r>
    <x v="0"/>
    <x v="2"/>
    <x v="7"/>
    <x v="24"/>
    <x v="8"/>
    <n v="112.5"/>
  </r>
  <r>
    <x v="0"/>
    <x v="2"/>
    <x v="7"/>
    <x v="25"/>
    <x v="5"/>
    <n v="118.2"/>
  </r>
  <r>
    <x v="0"/>
    <x v="2"/>
    <x v="7"/>
    <x v="26"/>
    <x v="10"/>
    <n v="126.1"/>
  </r>
  <r>
    <x v="1"/>
    <x v="2"/>
    <x v="7"/>
    <x v="0"/>
    <x v="0"/>
    <n v="123.1"/>
  </r>
  <r>
    <x v="1"/>
    <x v="2"/>
    <x v="7"/>
    <x v="1"/>
    <x v="0"/>
    <n v="131.69999999999999"/>
  </r>
  <r>
    <x v="1"/>
    <x v="2"/>
    <x v="7"/>
    <x v="2"/>
    <x v="0"/>
    <n v="118.1"/>
  </r>
  <r>
    <x v="1"/>
    <x v="2"/>
    <x v="7"/>
    <x v="3"/>
    <x v="0"/>
    <n v="128"/>
  </r>
  <r>
    <x v="1"/>
    <x v="2"/>
    <x v="7"/>
    <x v="4"/>
    <x v="0"/>
    <n v="106.8"/>
  </r>
  <r>
    <x v="1"/>
    <x v="2"/>
    <x v="7"/>
    <x v="5"/>
    <x v="0"/>
    <n v="130.1"/>
  </r>
  <r>
    <x v="1"/>
    <x v="2"/>
    <x v="7"/>
    <x v="6"/>
    <x v="0"/>
    <n v="165.5"/>
  </r>
  <r>
    <x v="1"/>
    <x v="2"/>
    <x v="7"/>
    <x v="7"/>
    <x v="0"/>
    <n v="156"/>
  </r>
  <r>
    <x v="1"/>
    <x v="2"/>
    <x v="7"/>
    <x v="8"/>
    <x v="0"/>
    <n v="85.3"/>
  </r>
  <r>
    <x v="1"/>
    <x v="2"/>
    <x v="7"/>
    <x v="9"/>
    <x v="0"/>
    <n v="132.69999999999999"/>
  </r>
  <r>
    <x v="1"/>
    <x v="2"/>
    <x v="7"/>
    <x v="10"/>
    <x v="0"/>
    <n v="118.8"/>
  </r>
  <r>
    <x v="1"/>
    <x v="2"/>
    <x v="7"/>
    <x v="11"/>
    <x v="0"/>
    <n v="131.69999999999999"/>
  </r>
  <r>
    <x v="1"/>
    <x v="2"/>
    <x v="7"/>
    <x v="12"/>
    <x v="0"/>
    <n v="131.1"/>
  </r>
  <r>
    <x v="1"/>
    <x v="2"/>
    <x v="7"/>
    <x v="13"/>
    <x v="1"/>
    <n v="134.19999999999999"/>
  </r>
  <r>
    <x v="1"/>
    <x v="2"/>
    <x v="7"/>
    <x v="14"/>
    <x v="2"/>
    <n v="123.7"/>
  </r>
  <r>
    <x v="1"/>
    <x v="2"/>
    <x v="7"/>
    <x v="15"/>
    <x v="2"/>
    <n v="118.2"/>
  </r>
  <r>
    <x v="1"/>
    <x v="2"/>
    <x v="7"/>
    <x v="16"/>
    <x v="2"/>
    <n v="122.9"/>
  </r>
  <r>
    <x v="1"/>
    <x v="2"/>
    <x v="7"/>
    <x v="17"/>
    <x v="3"/>
    <n v="120.9"/>
  </r>
  <r>
    <x v="1"/>
    <x v="2"/>
    <x v="7"/>
    <x v="18"/>
    <x v="4"/>
    <n v="115.3"/>
  </r>
  <r>
    <x v="1"/>
    <x v="2"/>
    <x v="7"/>
    <x v="19"/>
    <x v="5"/>
    <n v="120"/>
  </r>
  <r>
    <x v="1"/>
    <x v="2"/>
    <x v="7"/>
    <x v="20"/>
    <x v="6"/>
    <n v="116.6"/>
  </r>
  <r>
    <x v="1"/>
    <x v="2"/>
    <x v="7"/>
    <x v="21"/>
    <x v="7"/>
    <n v="109.9"/>
  </r>
  <r>
    <x v="1"/>
    <x v="2"/>
    <x v="7"/>
    <x v="22"/>
    <x v="8"/>
    <n v="117.2"/>
  </r>
  <r>
    <x v="1"/>
    <x v="2"/>
    <x v="7"/>
    <x v="23"/>
    <x v="9"/>
    <n v="126.2"/>
  </r>
  <r>
    <x v="1"/>
    <x v="2"/>
    <x v="7"/>
    <x v="24"/>
    <x v="8"/>
    <n v="112"/>
  </r>
  <r>
    <x v="1"/>
    <x v="2"/>
    <x v="7"/>
    <x v="25"/>
    <x v="5"/>
    <n v="116.2"/>
  </r>
  <r>
    <x v="1"/>
    <x v="2"/>
    <x v="7"/>
    <x v="26"/>
    <x v="10"/>
    <n v="123.2"/>
  </r>
  <r>
    <x v="2"/>
    <x v="2"/>
    <x v="7"/>
    <x v="0"/>
    <x v="0"/>
    <n v="124.2"/>
  </r>
  <r>
    <x v="2"/>
    <x v="2"/>
    <x v="7"/>
    <x v="1"/>
    <x v="0"/>
    <n v="131.4"/>
  </r>
  <r>
    <x v="2"/>
    <x v="2"/>
    <x v="7"/>
    <x v="2"/>
    <x v="0"/>
    <n v="120.1"/>
  </r>
  <r>
    <x v="2"/>
    <x v="2"/>
    <x v="7"/>
    <x v="3"/>
    <x v="0"/>
    <n v="128.5"/>
  </r>
  <r>
    <x v="2"/>
    <x v="2"/>
    <x v="7"/>
    <x v="4"/>
    <x v="0"/>
    <n v="111.4"/>
  </r>
  <r>
    <x v="2"/>
    <x v="2"/>
    <x v="7"/>
    <x v="5"/>
    <x v="0"/>
    <n v="132.30000000000001"/>
  </r>
  <r>
    <x v="2"/>
    <x v="2"/>
    <x v="7"/>
    <x v="6"/>
    <x v="0"/>
    <n v="157.6"/>
  </r>
  <r>
    <x v="2"/>
    <x v="2"/>
    <x v="7"/>
    <x v="7"/>
    <x v="0"/>
    <n v="144"/>
  </r>
  <r>
    <x v="2"/>
    <x v="2"/>
    <x v="7"/>
    <x v="8"/>
    <x v="0"/>
    <n v="90.5"/>
  </r>
  <r>
    <x v="2"/>
    <x v="2"/>
    <x v="7"/>
    <x v="9"/>
    <x v="0"/>
    <n v="126.8"/>
  </r>
  <r>
    <x v="2"/>
    <x v="2"/>
    <x v="7"/>
    <x v="10"/>
    <x v="0"/>
    <n v="120.4"/>
  </r>
  <r>
    <x v="2"/>
    <x v="2"/>
    <x v="7"/>
    <x v="11"/>
    <x v="0"/>
    <n v="132.1"/>
  </r>
  <r>
    <x v="2"/>
    <x v="2"/>
    <x v="7"/>
    <x v="12"/>
    <x v="0"/>
    <n v="130.30000000000001"/>
  </r>
  <r>
    <x v="2"/>
    <x v="2"/>
    <x v="7"/>
    <x v="13"/>
    <x v="1"/>
    <n v="131.19999999999999"/>
  </r>
  <r>
    <x v="2"/>
    <x v="2"/>
    <x v="7"/>
    <x v="14"/>
    <x v="2"/>
    <n v="127.2"/>
  </r>
  <r>
    <x v="2"/>
    <x v="2"/>
    <x v="7"/>
    <x v="15"/>
    <x v="2"/>
    <n v="122.9"/>
  </r>
  <r>
    <x v="2"/>
    <x v="2"/>
    <x v="7"/>
    <x v="16"/>
    <x v="2"/>
    <n v="126.6"/>
  </r>
  <r>
    <x v="2"/>
    <x v="2"/>
    <x v="7"/>
    <x v="17"/>
    <x v="3"/>
    <n v="120.9"/>
  </r>
  <r>
    <x v="2"/>
    <x v="2"/>
    <x v="7"/>
    <x v="18"/>
    <x v="4"/>
    <n v="120.6"/>
  </r>
  <r>
    <x v="2"/>
    <x v="2"/>
    <x v="7"/>
    <x v="19"/>
    <x v="5"/>
    <n v="122"/>
  </r>
  <r>
    <x v="2"/>
    <x v="2"/>
    <x v="7"/>
    <x v="20"/>
    <x v="6"/>
    <n v="119.4"/>
  </r>
  <r>
    <x v="2"/>
    <x v="2"/>
    <x v="7"/>
    <x v="21"/>
    <x v="7"/>
    <n v="111.7"/>
  </r>
  <r>
    <x v="2"/>
    <x v="2"/>
    <x v="7"/>
    <x v="22"/>
    <x v="8"/>
    <n v="117.8"/>
  </r>
  <r>
    <x v="2"/>
    <x v="2"/>
    <x v="7"/>
    <x v="23"/>
    <x v="9"/>
    <n v="125.1"/>
  </r>
  <r>
    <x v="2"/>
    <x v="2"/>
    <x v="7"/>
    <x v="24"/>
    <x v="8"/>
    <n v="112.3"/>
  </r>
  <r>
    <x v="2"/>
    <x v="2"/>
    <x v="7"/>
    <x v="25"/>
    <x v="5"/>
    <n v="117.2"/>
  </r>
  <r>
    <x v="2"/>
    <x v="2"/>
    <x v="7"/>
    <x v="26"/>
    <x v="10"/>
    <n v="124.8"/>
  </r>
  <r>
    <x v="0"/>
    <x v="2"/>
    <x v="8"/>
    <x v="0"/>
    <x v="0"/>
    <n v="125.1"/>
  </r>
  <r>
    <x v="0"/>
    <x v="2"/>
    <x v="8"/>
    <x v="1"/>
    <x v="0"/>
    <n v="131.1"/>
  </r>
  <r>
    <x v="0"/>
    <x v="2"/>
    <x v="8"/>
    <x v="2"/>
    <x v="0"/>
    <n v="120.7"/>
  </r>
  <r>
    <x v="0"/>
    <x v="2"/>
    <x v="8"/>
    <x v="3"/>
    <x v="0"/>
    <n v="129.19999999999999"/>
  </r>
  <r>
    <x v="0"/>
    <x v="2"/>
    <x v="8"/>
    <x v="4"/>
    <x v="0"/>
    <n v="114.7"/>
  </r>
  <r>
    <x v="0"/>
    <x v="2"/>
    <x v="8"/>
    <x v="5"/>
    <x v="0"/>
    <n v="132.30000000000001"/>
  </r>
  <r>
    <x v="0"/>
    <x v="2"/>
    <x v="8"/>
    <x v="6"/>
    <x v="0"/>
    <n v="158.9"/>
  </r>
  <r>
    <x v="0"/>
    <x v="2"/>
    <x v="8"/>
    <x v="7"/>
    <x v="0"/>
    <n v="142.1"/>
  </r>
  <r>
    <x v="0"/>
    <x v="2"/>
    <x v="8"/>
    <x v="8"/>
    <x v="0"/>
    <n v="92.5"/>
  </r>
  <r>
    <x v="0"/>
    <x v="2"/>
    <x v="8"/>
    <x v="9"/>
    <x v="0"/>
    <n v="125.4"/>
  </r>
  <r>
    <x v="0"/>
    <x v="2"/>
    <x v="8"/>
    <x v="10"/>
    <x v="0"/>
    <n v="121.9"/>
  </r>
  <r>
    <x v="0"/>
    <x v="2"/>
    <x v="8"/>
    <x v="11"/>
    <x v="0"/>
    <n v="132.69999999999999"/>
  </r>
  <r>
    <x v="0"/>
    <x v="2"/>
    <x v="8"/>
    <x v="12"/>
    <x v="0"/>
    <n v="131"/>
  </r>
  <r>
    <x v="0"/>
    <x v="2"/>
    <x v="8"/>
    <x v="13"/>
    <x v="1"/>
    <n v="131"/>
  </r>
  <r>
    <x v="0"/>
    <x v="2"/>
    <x v="8"/>
    <x v="14"/>
    <x v="2"/>
    <n v="130.4"/>
  </r>
  <r>
    <x v="0"/>
    <x v="2"/>
    <x v="8"/>
    <x v="15"/>
    <x v="2"/>
    <n v="126.8"/>
  </r>
  <r>
    <x v="0"/>
    <x v="2"/>
    <x v="8"/>
    <x v="16"/>
    <x v="2"/>
    <n v="129.9"/>
  </r>
  <r>
    <x v="0"/>
    <x v="2"/>
    <x v="8"/>
    <x v="17"/>
    <x v="3"/>
    <s v="NA"/>
  </r>
  <r>
    <x v="0"/>
    <x v="2"/>
    <x v="8"/>
    <x v="18"/>
    <x v="4"/>
    <n v="123.7"/>
  </r>
  <r>
    <x v="0"/>
    <x v="2"/>
    <x v="8"/>
    <x v="19"/>
    <x v="5"/>
    <n v="124.5"/>
  </r>
  <r>
    <x v="0"/>
    <x v="2"/>
    <x v="8"/>
    <x v="20"/>
    <x v="6"/>
    <n v="121.4"/>
  </r>
  <r>
    <x v="0"/>
    <x v="2"/>
    <x v="8"/>
    <x v="21"/>
    <x v="7"/>
    <n v="113.8"/>
  </r>
  <r>
    <x v="0"/>
    <x v="2"/>
    <x v="8"/>
    <x v="22"/>
    <x v="8"/>
    <n v="119.6"/>
  </r>
  <r>
    <x v="0"/>
    <x v="2"/>
    <x v="8"/>
    <x v="23"/>
    <x v="9"/>
    <n v="124.5"/>
  </r>
  <r>
    <x v="0"/>
    <x v="2"/>
    <x v="8"/>
    <x v="24"/>
    <x v="8"/>
    <n v="113.7"/>
  </r>
  <r>
    <x v="0"/>
    <x v="2"/>
    <x v="8"/>
    <x v="25"/>
    <x v="5"/>
    <n v="118.8"/>
  </r>
  <r>
    <x v="0"/>
    <x v="2"/>
    <x v="8"/>
    <x v="26"/>
    <x v="10"/>
    <n v="127"/>
  </r>
  <r>
    <x v="1"/>
    <x v="2"/>
    <x v="8"/>
    <x v="0"/>
    <x v="0"/>
    <n v="123.4"/>
  </r>
  <r>
    <x v="1"/>
    <x v="2"/>
    <x v="8"/>
    <x v="1"/>
    <x v="0"/>
    <n v="129"/>
  </r>
  <r>
    <x v="1"/>
    <x v="2"/>
    <x v="8"/>
    <x v="2"/>
    <x v="0"/>
    <n v="115.6"/>
  </r>
  <r>
    <x v="1"/>
    <x v="2"/>
    <x v="8"/>
    <x v="3"/>
    <x v="0"/>
    <n v="128.30000000000001"/>
  </r>
  <r>
    <x v="1"/>
    <x v="2"/>
    <x v="8"/>
    <x v="4"/>
    <x v="0"/>
    <n v="107"/>
  </r>
  <r>
    <x v="1"/>
    <x v="2"/>
    <x v="8"/>
    <x v="5"/>
    <x v="0"/>
    <n v="124"/>
  </r>
  <r>
    <x v="1"/>
    <x v="2"/>
    <x v="8"/>
    <x v="6"/>
    <x v="0"/>
    <n v="168.5"/>
  </r>
  <r>
    <x v="1"/>
    <x v="2"/>
    <x v="8"/>
    <x v="7"/>
    <x v="0"/>
    <n v="165.4"/>
  </r>
  <r>
    <x v="1"/>
    <x v="2"/>
    <x v="8"/>
    <x v="8"/>
    <x v="0"/>
    <n v="86.3"/>
  </r>
  <r>
    <x v="1"/>
    <x v="2"/>
    <x v="8"/>
    <x v="9"/>
    <x v="0"/>
    <n v="134.4"/>
  </r>
  <r>
    <x v="1"/>
    <x v="2"/>
    <x v="8"/>
    <x v="10"/>
    <x v="0"/>
    <n v="119.1"/>
  </r>
  <r>
    <x v="1"/>
    <x v="2"/>
    <x v="8"/>
    <x v="11"/>
    <x v="0"/>
    <n v="132.30000000000001"/>
  </r>
  <r>
    <x v="1"/>
    <x v="2"/>
    <x v="8"/>
    <x v="12"/>
    <x v="0"/>
    <n v="131.5"/>
  </r>
  <r>
    <x v="1"/>
    <x v="2"/>
    <x v="8"/>
    <x v="13"/>
    <x v="1"/>
    <n v="134.69999999999999"/>
  </r>
  <r>
    <x v="1"/>
    <x v="2"/>
    <x v="8"/>
    <x v="14"/>
    <x v="2"/>
    <n v="124"/>
  </r>
  <r>
    <x v="1"/>
    <x v="2"/>
    <x v="8"/>
    <x v="15"/>
    <x v="2"/>
    <n v="118.6"/>
  </r>
  <r>
    <x v="1"/>
    <x v="2"/>
    <x v="8"/>
    <x v="16"/>
    <x v="2"/>
    <n v="123.2"/>
  </r>
  <r>
    <x v="1"/>
    <x v="2"/>
    <x v="8"/>
    <x v="17"/>
    <x v="3"/>
    <n v="121.6"/>
  </r>
  <r>
    <x v="1"/>
    <x v="2"/>
    <x v="8"/>
    <x v="18"/>
    <x v="4"/>
    <n v="115.1"/>
  </r>
  <r>
    <x v="1"/>
    <x v="2"/>
    <x v="8"/>
    <x v="19"/>
    <x v="5"/>
    <n v="120.4"/>
  </r>
  <r>
    <x v="1"/>
    <x v="2"/>
    <x v="8"/>
    <x v="20"/>
    <x v="6"/>
    <n v="117.1"/>
  </r>
  <r>
    <x v="1"/>
    <x v="2"/>
    <x v="8"/>
    <x v="21"/>
    <x v="7"/>
    <n v="109.1"/>
  </r>
  <r>
    <x v="1"/>
    <x v="2"/>
    <x v="8"/>
    <x v="22"/>
    <x v="8"/>
    <n v="117.3"/>
  </r>
  <r>
    <x v="1"/>
    <x v="2"/>
    <x v="8"/>
    <x v="23"/>
    <x v="9"/>
    <n v="126.5"/>
  </r>
  <r>
    <x v="1"/>
    <x v="2"/>
    <x v="8"/>
    <x v="24"/>
    <x v="8"/>
    <n v="112.9"/>
  </r>
  <r>
    <x v="1"/>
    <x v="2"/>
    <x v="8"/>
    <x v="25"/>
    <x v="5"/>
    <n v="116.2"/>
  </r>
  <r>
    <x v="1"/>
    <x v="2"/>
    <x v="8"/>
    <x v="26"/>
    <x v="10"/>
    <n v="123.5"/>
  </r>
  <r>
    <x v="2"/>
    <x v="2"/>
    <x v="8"/>
    <x v="0"/>
    <x v="0"/>
    <n v="124.6"/>
  </r>
  <r>
    <x v="2"/>
    <x v="2"/>
    <x v="8"/>
    <x v="1"/>
    <x v="0"/>
    <n v="130.4"/>
  </r>
  <r>
    <x v="2"/>
    <x v="2"/>
    <x v="8"/>
    <x v="2"/>
    <x v="0"/>
    <n v="118.7"/>
  </r>
  <r>
    <x v="2"/>
    <x v="2"/>
    <x v="8"/>
    <x v="3"/>
    <x v="0"/>
    <n v="128.9"/>
  </r>
  <r>
    <x v="2"/>
    <x v="2"/>
    <x v="8"/>
    <x v="4"/>
    <x v="0"/>
    <n v="111.9"/>
  </r>
  <r>
    <x v="2"/>
    <x v="2"/>
    <x v="8"/>
    <x v="5"/>
    <x v="0"/>
    <n v="128.4"/>
  </r>
  <r>
    <x v="2"/>
    <x v="2"/>
    <x v="8"/>
    <x v="6"/>
    <x v="0"/>
    <n v="162.19999999999999"/>
  </r>
  <r>
    <x v="2"/>
    <x v="2"/>
    <x v="8"/>
    <x v="7"/>
    <x v="0"/>
    <n v="150"/>
  </r>
  <r>
    <x v="2"/>
    <x v="2"/>
    <x v="8"/>
    <x v="8"/>
    <x v="0"/>
    <n v="90.4"/>
  </r>
  <r>
    <x v="2"/>
    <x v="2"/>
    <x v="8"/>
    <x v="9"/>
    <x v="0"/>
    <n v="128.4"/>
  </r>
  <r>
    <x v="2"/>
    <x v="2"/>
    <x v="8"/>
    <x v="10"/>
    <x v="0"/>
    <n v="120.7"/>
  </r>
  <r>
    <x v="2"/>
    <x v="2"/>
    <x v="8"/>
    <x v="11"/>
    <x v="0"/>
    <n v="132.5"/>
  </r>
  <r>
    <x v="2"/>
    <x v="2"/>
    <x v="8"/>
    <x v="12"/>
    <x v="0"/>
    <n v="131.19999999999999"/>
  </r>
  <r>
    <x v="2"/>
    <x v="2"/>
    <x v="8"/>
    <x v="13"/>
    <x v="1"/>
    <n v="132"/>
  </r>
  <r>
    <x v="2"/>
    <x v="2"/>
    <x v="8"/>
    <x v="14"/>
    <x v="2"/>
    <n v="127.9"/>
  </r>
  <r>
    <x v="2"/>
    <x v="2"/>
    <x v="8"/>
    <x v="15"/>
    <x v="2"/>
    <n v="123.4"/>
  </r>
  <r>
    <x v="2"/>
    <x v="2"/>
    <x v="8"/>
    <x v="16"/>
    <x v="2"/>
    <n v="127.2"/>
  </r>
  <r>
    <x v="2"/>
    <x v="2"/>
    <x v="8"/>
    <x v="17"/>
    <x v="3"/>
    <n v="121.6"/>
  </r>
  <r>
    <x v="2"/>
    <x v="2"/>
    <x v="8"/>
    <x v="18"/>
    <x v="4"/>
    <n v="120.4"/>
  </r>
  <r>
    <x v="2"/>
    <x v="2"/>
    <x v="8"/>
    <x v="19"/>
    <x v="5"/>
    <n v="122.6"/>
  </r>
  <r>
    <x v="2"/>
    <x v="2"/>
    <x v="8"/>
    <x v="20"/>
    <x v="6"/>
    <n v="119.8"/>
  </r>
  <r>
    <x v="2"/>
    <x v="2"/>
    <x v="8"/>
    <x v="21"/>
    <x v="7"/>
    <n v="111.3"/>
  </r>
  <r>
    <x v="2"/>
    <x v="2"/>
    <x v="8"/>
    <x v="22"/>
    <x v="8"/>
    <n v="118.3"/>
  </r>
  <r>
    <x v="2"/>
    <x v="2"/>
    <x v="8"/>
    <x v="23"/>
    <x v="9"/>
    <n v="125.7"/>
  </r>
  <r>
    <x v="2"/>
    <x v="2"/>
    <x v="8"/>
    <x v="24"/>
    <x v="8"/>
    <n v="113.4"/>
  </r>
  <r>
    <x v="2"/>
    <x v="2"/>
    <x v="8"/>
    <x v="25"/>
    <x v="5"/>
    <n v="117.5"/>
  </r>
  <r>
    <x v="2"/>
    <x v="2"/>
    <x v="8"/>
    <x v="26"/>
    <x v="10"/>
    <n v="125.4"/>
  </r>
  <r>
    <x v="0"/>
    <x v="2"/>
    <x v="9"/>
    <x v="0"/>
    <x v="0"/>
    <n v="125.6"/>
  </r>
  <r>
    <x v="0"/>
    <x v="2"/>
    <x v="9"/>
    <x v="1"/>
    <x v="0"/>
    <n v="130.4"/>
  </r>
  <r>
    <x v="0"/>
    <x v="2"/>
    <x v="9"/>
    <x v="2"/>
    <x v="0"/>
    <n v="120.8"/>
  </r>
  <r>
    <x v="0"/>
    <x v="2"/>
    <x v="9"/>
    <x v="3"/>
    <x v="0"/>
    <n v="129.4"/>
  </r>
  <r>
    <x v="0"/>
    <x v="2"/>
    <x v="9"/>
    <x v="4"/>
    <x v="0"/>
    <n v="115.8"/>
  </r>
  <r>
    <x v="0"/>
    <x v="2"/>
    <x v="9"/>
    <x v="5"/>
    <x v="0"/>
    <n v="133.19999999999999"/>
  </r>
  <r>
    <x v="0"/>
    <x v="2"/>
    <x v="9"/>
    <x v="6"/>
    <x v="0"/>
    <n v="157.69999999999999"/>
  </r>
  <r>
    <x v="0"/>
    <x v="2"/>
    <x v="9"/>
    <x v="7"/>
    <x v="0"/>
    <n v="154.19999999999999"/>
  </r>
  <r>
    <x v="0"/>
    <x v="2"/>
    <x v="9"/>
    <x v="8"/>
    <x v="0"/>
    <n v="93.7"/>
  </r>
  <r>
    <x v="0"/>
    <x v="2"/>
    <x v="9"/>
    <x v="9"/>
    <x v="0"/>
    <n v="126.6"/>
  </r>
  <r>
    <x v="0"/>
    <x v="2"/>
    <x v="9"/>
    <x v="10"/>
    <x v="0"/>
    <n v="122.3"/>
  </r>
  <r>
    <x v="0"/>
    <x v="2"/>
    <x v="9"/>
    <x v="11"/>
    <x v="0"/>
    <n v="133.1"/>
  </r>
  <r>
    <x v="0"/>
    <x v="2"/>
    <x v="9"/>
    <x v="12"/>
    <x v="0"/>
    <n v="131.80000000000001"/>
  </r>
  <r>
    <x v="0"/>
    <x v="2"/>
    <x v="9"/>
    <x v="13"/>
    <x v="1"/>
    <n v="131.5"/>
  </r>
  <r>
    <x v="0"/>
    <x v="2"/>
    <x v="9"/>
    <x v="14"/>
    <x v="2"/>
    <n v="131.1"/>
  </r>
  <r>
    <x v="0"/>
    <x v="2"/>
    <x v="9"/>
    <x v="15"/>
    <x v="2"/>
    <n v="127.3"/>
  </r>
  <r>
    <x v="0"/>
    <x v="2"/>
    <x v="9"/>
    <x v="16"/>
    <x v="2"/>
    <n v="130.6"/>
  </r>
  <r>
    <x v="0"/>
    <x v="2"/>
    <x v="9"/>
    <x v="17"/>
    <x v="3"/>
    <s v="NA"/>
  </r>
  <r>
    <x v="0"/>
    <x v="2"/>
    <x v="9"/>
    <x v="18"/>
    <x v="4"/>
    <n v="124.4"/>
  </r>
  <r>
    <x v="0"/>
    <x v="2"/>
    <x v="9"/>
    <x v="19"/>
    <x v="5"/>
    <n v="125.1"/>
  </r>
  <r>
    <x v="0"/>
    <x v="2"/>
    <x v="9"/>
    <x v="20"/>
    <x v="6"/>
    <n v="122"/>
  </r>
  <r>
    <x v="0"/>
    <x v="2"/>
    <x v="9"/>
    <x v="21"/>
    <x v="7"/>
    <n v="113.8"/>
  </r>
  <r>
    <x v="0"/>
    <x v="2"/>
    <x v="9"/>
    <x v="22"/>
    <x v="8"/>
    <n v="120.1"/>
  </r>
  <r>
    <x v="0"/>
    <x v="2"/>
    <x v="9"/>
    <x v="23"/>
    <x v="9"/>
    <n v="125.1"/>
  </r>
  <r>
    <x v="0"/>
    <x v="2"/>
    <x v="9"/>
    <x v="24"/>
    <x v="8"/>
    <n v="114.2"/>
  </r>
  <r>
    <x v="0"/>
    <x v="2"/>
    <x v="9"/>
    <x v="25"/>
    <x v="5"/>
    <n v="119.2"/>
  </r>
  <r>
    <x v="0"/>
    <x v="2"/>
    <x v="9"/>
    <x v="26"/>
    <x v="10"/>
    <n v="127.7"/>
  </r>
  <r>
    <x v="1"/>
    <x v="2"/>
    <x v="9"/>
    <x v="0"/>
    <x v="0"/>
    <n v="123.6"/>
  </r>
  <r>
    <x v="1"/>
    <x v="2"/>
    <x v="9"/>
    <x v="1"/>
    <x v="0"/>
    <n v="128.6"/>
  </r>
  <r>
    <x v="1"/>
    <x v="2"/>
    <x v="9"/>
    <x v="2"/>
    <x v="0"/>
    <n v="115.9"/>
  </r>
  <r>
    <x v="1"/>
    <x v="2"/>
    <x v="9"/>
    <x v="3"/>
    <x v="0"/>
    <n v="128.5"/>
  </r>
  <r>
    <x v="1"/>
    <x v="2"/>
    <x v="9"/>
    <x v="4"/>
    <x v="0"/>
    <n v="109"/>
  </r>
  <r>
    <x v="1"/>
    <x v="2"/>
    <x v="9"/>
    <x v="5"/>
    <x v="0"/>
    <n v="124.1"/>
  </r>
  <r>
    <x v="1"/>
    <x v="2"/>
    <x v="9"/>
    <x v="6"/>
    <x v="0"/>
    <n v="165.8"/>
  </r>
  <r>
    <x v="1"/>
    <x v="2"/>
    <x v="9"/>
    <x v="7"/>
    <x v="0"/>
    <n v="187.2"/>
  </r>
  <r>
    <x v="1"/>
    <x v="2"/>
    <x v="9"/>
    <x v="8"/>
    <x v="0"/>
    <n v="89.4"/>
  </r>
  <r>
    <x v="1"/>
    <x v="2"/>
    <x v="9"/>
    <x v="9"/>
    <x v="0"/>
    <n v="135.80000000000001"/>
  </r>
  <r>
    <x v="1"/>
    <x v="2"/>
    <x v="9"/>
    <x v="10"/>
    <x v="0"/>
    <n v="119.4"/>
  </r>
  <r>
    <x v="1"/>
    <x v="2"/>
    <x v="9"/>
    <x v="11"/>
    <x v="0"/>
    <n v="132.9"/>
  </r>
  <r>
    <x v="1"/>
    <x v="2"/>
    <x v="9"/>
    <x v="12"/>
    <x v="0"/>
    <n v="132.6"/>
  </r>
  <r>
    <x v="1"/>
    <x v="2"/>
    <x v="9"/>
    <x v="13"/>
    <x v="1"/>
    <n v="135.30000000000001"/>
  </r>
  <r>
    <x v="1"/>
    <x v="2"/>
    <x v="9"/>
    <x v="14"/>
    <x v="2"/>
    <n v="124.4"/>
  </r>
  <r>
    <x v="1"/>
    <x v="2"/>
    <x v="9"/>
    <x v="15"/>
    <x v="2"/>
    <n v="118.8"/>
  </r>
  <r>
    <x v="1"/>
    <x v="2"/>
    <x v="9"/>
    <x v="16"/>
    <x v="2"/>
    <n v="123.6"/>
  </r>
  <r>
    <x v="1"/>
    <x v="2"/>
    <x v="9"/>
    <x v="17"/>
    <x v="3"/>
    <n v="122.4"/>
  </r>
  <r>
    <x v="1"/>
    <x v="2"/>
    <x v="9"/>
    <x v="18"/>
    <x v="4"/>
    <n v="114.9"/>
  </r>
  <r>
    <x v="1"/>
    <x v="2"/>
    <x v="9"/>
    <x v="19"/>
    <x v="5"/>
    <n v="120.7"/>
  </r>
  <r>
    <x v="1"/>
    <x v="2"/>
    <x v="9"/>
    <x v="20"/>
    <x v="6"/>
    <n v="117.7"/>
  </r>
  <r>
    <x v="1"/>
    <x v="2"/>
    <x v="9"/>
    <x v="21"/>
    <x v="7"/>
    <n v="109.3"/>
  </r>
  <r>
    <x v="1"/>
    <x v="2"/>
    <x v="9"/>
    <x v="22"/>
    <x v="8"/>
    <n v="117.7"/>
  </r>
  <r>
    <x v="1"/>
    <x v="2"/>
    <x v="9"/>
    <x v="23"/>
    <x v="9"/>
    <n v="126.5"/>
  </r>
  <r>
    <x v="1"/>
    <x v="2"/>
    <x v="9"/>
    <x v="24"/>
    <x v="8"/>
    <n v="113.5"/>
  </r>
  <r>
    <x v="1"/>
    <x v="2"/>
    <x v="9"/>
    <x v="25"/>
    <x v="5"/>
    <n v="116.5"/>
  </r>
  <r>
    <x v="1"/>
    <x v="2"/>
    <x v="9"/>
    <x v="26"/>
    <x v="10"/>
    <n v="124.2"/>
  </r>
  <r>
    <x v="2"/>
    <x v="2"/>
    <x v="9"/>
    <x v="0"/>
    <x v="0"/>
    <n v="125"/>
  </r>
  <r>
    <x v="2"/>
    <x v="2"/>
    <x v="9"/>
    <x v="1"/>
    <x v="0"/>
    <n v="129.80000000000001"/>
  </r>
  <r>
    <x v="2"/>
    <x v="2"/>
    <x v="9"/>
    <x v="2"/>
    <x v="0"/>
    <n v="118.9"/>
  </r>
  <r>
    <x v="2"/>
    <x v="2"/>
    <x v="9"/>
    <x v="3"/>
    <x v="0"/>
    <n v="129.1"/>
  </r>
  <r>
    <x v="2"/>
    <x v="2"/>
    <x v="9"/>
    <x v="4"/>
    <x v="0"/>
    <n v="113.3"/>
  </r>
  <r>
    <x v="2"/>
    <x v="2"/>
    <x v="9"/>
    <x v="5"/>
    <x v="0"/>
    <n v="129"/>
  </r>
  <r>
    <x v="2"/>
    <x v="2"/>
    <x v="9"/>
    <x v="6"/>
    <x v="0"/>
    <n v="160.4"/>
  </r>
  <r>
    <x v="2"/>
    <x v="2"/>
    <x v="9"/>
    <x v="7"/>
    <x v="0"/>
    <n v="165.3"/>
  </r>
  <r>
    <x v="2"/>
    <x v="2"/>
    <x v="9"/>
    <x v="8"/>
    <x v="0"/>
    <n v="92.3"/>
  </r>
  <r>
    <x v="2"/>
    <x v="2"/>
    <x v="9"/>
    <x v="9"/>
    <x v="0"/>
    <n v="129.69999999999999"/>
  </r>
  <r>
    <x v="2"/>
    <x v="2"/>
    <x v="9"/>
    <x v="10"/>
    <x v="0"/>
    <n v="121.1"/>
  </r>
  <r>
    <x v="2"/>
    <x v="2"/>
    <x v="9"/>
    <x v="11"/>
    <x v="0"/>
    <n v="133"/>
  </r>
  <r>
    <x v="2"/>
    <x v="2"/>
    <x v="9"/>
    <x v="12"/>
    <x v="0"/>
    <n v="132.1"/>
  </r>
  <r>
    <x v="2"/>
    <x v="2"/>
    <x v="9"/>
    <x v="13"/>
    <x v="1"/>
    <n v="132.5"/>
  </r>
  <r>
    <x v="2"/>
    <x v="2"/>
    <x v="9"/>
    <x v="14"/>
    <x v="2"/>
    <n v="128.5"/>
  </r>
  <r>
    <x v="2"/>
    <x v="2"/>
    <x v="9"/>
    <x v="15"/>
    <x v="2"/>
    <n v="123.8"/>
  </r>
  <r>
    <x v="2"/>
    <x v="2"/>
    <x v="9"/>
    <x v="16"/>
    <x v="2"/>
    <n v="127.8"/>
  </r>
  <r>
    <x v="2"/>
    <x v="2"/>
    <x v="9"/>
    <x v="17"/>
    <x v="3"/>
    <n v="122.4"/>
  </r>
  <r>
    <x v="2"/>
    <x v="2"/>
    <x v="9"/>
    <x v="18"/>
    <x v="4"/>
    <n v="120.8"/>
  </r>
  <r>
    <x v="2"/>
    <x v="2"/>
    <x v="9"/>
    <x v="19"/>
    <x v="5"/>
    <n v="123"/>
  </r>
  <r>
    <x v="2"/>
    <x v="2"/>
    <x v="9"/>
    <x v="20"/>
    <x v="6"/>
    <n v="120.4"/>
  </r>
  <r>
    <x v="2"/>
    <x v="2"/>
    <x v="9"/>
    <x v="21"/>
    <x v="7"/>
    <n v="111.4"/>
  </r>
  <r>
    <x v="2"/>
    <x v="2"/>
    <x v="9"/>
    <x v="22"/>
    <x v="8"/>
    <n v="118.7"/>
  </r>
  <r>
    <x v="2"/>
    <x v="2"/>
    <x v="9"/>
    <x v="23"/>
    <x v="9"/>
    <n v="125.9"/>
  </r>
  <r>
    <x v="2"/>
    <x v="2"/>
    <x v="9"/>
    <x v="24"/>
    <x v="8"/>
    <n v="113.9"/>
  </r>
  <r>
    <x v="2"/>
    <x v="2"/>
    <x v="9"/>
    <x v="25"/>
    <x v="5"/>
    <n v="117.9"/>
  </r>
  <r>
    <x v="2"/>
    <x v="2"/>
    <x v="9"/>
    <x v="26"/>
    <x v="10"/>
    <n v="126.1"/>
  </r>
  <r>
    <x v="0"/>
    <x v="2"/>
    <x v="11"/>
    <x v="0"/>
    <x v="0"/>
    <n v="126.1"/>
  </r>
  <r>
    <x v="0"/>
    <x v="2"/>
    <x v="11"/>
    <x v="1"/>
    <x v="0"/>
    <n v="130.6"/>
  </r>
  <r>
    <x v="0"/>
    <x v="2"/>
    <x v="11"/>
    <x v="2"/>
    <x v="0"/>
    <n v="121.7"/>
  </r>
  <r>
    <x v="0"/>
    <x v="2"/>
    <x v="11"/>
    <x v="3"/>
    <x v="0"/>
    <n v="129.5"/>
  </r>
  <r>
    <x v="0"/>
    <x v="2"/>
    <x v="11"/>
    <x v="4"/>
    <x v="0"/>
    <n v="117.8"/>
  </r>
  <r>
    <x v="0"/>
    <x v="2"/>
    <x v="11"/>
    <x v="5"/>
    <x v="0"/>
    <n v="132.1"/>
  </r>
  <r>
    <x v="0"/>
    <x v="2"/>
    <x v="11"/>
    <x v="6"/>
    <x v="0"/>
    <n v="155.19999999999999"/>
  </r>
  <r>
    <x v="0"/>
    <x v="2"/>
    <x v="11"/>
    <x v="7"/>
    <x v="0"/>
    <n v="160.80000000000001"/>
  </r>
  <r>
    <x v="0"/>
    <x v="2"/>
    <x v="11"/>
    <x v="8"/>
    <x v="0"/>
    <n v="94.5"/>
  </r>
  <r>
    <x v="0"/>
    <x v="2"/>
    <x v="11"/>
    <x v="9"/>
    <x v="0"/>
    <n v="128.30000000000001"/>
  </r>
  <r>
    <x v="0"/>
    <x v="2"/>
    <x v="11"/>
    <x v="10"/>
    <x v="0"/>
    <n v="123.1"/>
  </r>
  <r>
    <x v="0"/>
    <x v="2"/>
    <x v="11"/>
    <x v="11"/>
    <x v="0"/>
    <n v="134.19999999999999"/>
  </r>
  <r>
    <x v="0"/>
    <x v="2"/>
    <x v="11"/>
    <x v="12"/>
    <x v="0"/>
    <n v="132.4"/>
  </r>
  <r>
    <x v="0"/>
    <x v="2"/>
    <x v="11"/>
    <x v="13"/>
    <x v="1"/>
    <n v="132.19999999999999"/>
  </r>
  <r>
    <x v="0"/>
    <x v="2"/>
    <x v="11"/>
    <x v="14"/>
    <x v="2"/>
    <n v="132.1"/>
  </r>
  <r>
    <x v="0"/>
    <x v="2"/>
    <x v="11"/>
    <x v="15"/>
    <x v="2"/>
    <n v="128.19999999999999"/>
  </r>
  <r>
    <x v="0"/>
    <x v="2"/>
    <x v="11"/>
    <x v="16"/>
    <x v="2"/>
    <n v="131.5"/>
  </r>
  <r>
    <x v="0"/>
    <x v="2"/>
    <x v="11"/>
    <x v="17"/>
    <x v="3"/>
    <s v="NA"/>
  </r>
  <r>
    <x v="0"/>
    <x v="2"/>
    <x v="11"/>
    <x v="18"/>
    <x v="4"/>
    <n v="125.6"/>
  </r>
  <r>
    <x v="0"/>
    <x v="2"/>
    <x v="11"/>
    <x v="19"/>
    <x v="5"/>
    <n v="125.6"/>
  </r>
  <r>
    <x v="0"/>
    <x v="2"/>
    <x v="11"/>
    <x v="20"/>
    <x v="6"/>
    <n v="122.6"/>
  </r>
  <r>
    <x v="0"/>
    <x v="2"/>
    <x v="11"/>
    <x v="21"/>
    <x v="7"/>
    <n v="114"/>
  </r>
  <r>
    <x v="0"/>
    <x v="2"/>
    <x v="11"/>
    <x v="22"/>
    <x v="8"/>
    <n v="120.9"/>
  </r>
  <r>
    <x v="0"/>
    <x v="2"/>
    <x v="11"/>
    <x v="23"/>
    <x v="9"/>
    <n v="125.8"/>
  </r>
  <r>
    <x v="0"/>
    <x v="2"/>
    <x v="11"/>
    <x v="24"/>
    <x v="8"/>
    <n v="114.2"/>
  </r>
  <r>
    <x v="0"/>
    <x v="2"/>
    <x v="11"/>
    <x v="25"/>
    <x v="5"/>
    <n v="119.6"/>
  </r>
  <r>
    <x v="0"/>
    <x v="2"/>
    <x v="11"/>
    <x v="26"/>
    <x v="10"/>
    <n v="128.30000000000001"/>
  </r>
  <r>
    <x v="1"/>
    <x v="2"/>
    <x v="11"/>
    <x v="0"/>
    <x v="0"/>
    <n v="124"/>
  </r>
  <r>
    <x v="1"/>
    <x v="2"/>
    <x v="11"/>
    <x v="1"/>
    <x v="0"/>
    <n v="129.80000000000001"/>
  </r>
  <r>
    <x v="1"/>
    <x v="2"/>
    <x v="11"/>
    <x v="2"/>
    <x v="0"/>
    <n v="121.5"/>
  </r>
  <r>
    <x v="1"/>
    <x v="2"/>
    <x v="11"/>
    <x v="3"/>
    <x v="0"/>
    <n v="128.6"/>
  </r>
  <r>
    <x v="1"/>
    <x v="2"/>
    <x v="11"/>
    <x v="4"/>
    <x v="0"/>
    <n v="110"/>
  </r>
  <r>
    <x v="1"/>
    <x v="2"/>
    <x v="11"/>
    <x v="5"/>
    <x v="0"/>
    <n v="123.7"/>
  </r>
  <r>
    <x v="1"/>
    <x v="2"/>
    <x v="11"/>
    <x v="6"/>
    <x v="0"/>
    <n v="164.6"/>
  </r>
  <r>
    <x v="1"/>
    <x v="2"/>
    <x v="11"/>
    <x v="7"/>
    <x v="0"/>
    <n v="191.6"/>
  </r>
  <r>
    <x v="1"/>
    <x v="2"/>
    <x v="11"/>
    <x v="8"/>
    <x v="0"/>
    <n v="90.8"/>
  </r>
  <r>
    <x v="1"/>
    <x v="2"/>
    <x v="11"/>
    <x v="9"/>
    <x v="0"/>
    <n v="137.1"/>
  </r>
  <r>
    <x v="1"/>
    <x v="2"/>
    <x v="11"/>
    <x v="10"/>
    <x v="0"/>
    <n v="119.8"/>
  </r>
  <r>
    <x v="1"/>
    <x v="2"/>
    <x v="11"/>
    <x v="11"/>
    <x v="0"/>
    <n v="133.69999999999999"/>
  </r>
  <r>
    <x v="1"/>
    <x v="2"/>
    <x v="11"/>
    <x v="12"/>
    <x v="0"/>
    <n v="133.30000000000001"/>
  </r>
  <r>
    <x v="1"/>
    <x v="2"/>
    <x v="11"/>
    <x v="13"/>
    <x v="1"/>
    <n v="137.6"/>
  </r>
  <r>
    <x v="1"/>
    <x v="2"/>
    <x v="11"/>
    <x v="14"/>
    <x v="2"/>
    <n v="125"/>
  </r>
  <r>
    <x v="1"/>
    <x v="2"/>
    <x v="11"/>
    <x v="15"/>
    <x v="2"/>
    <n v="119.3"/>
  </r>
  <r>
    <x v="1"/>
    <x v="2"/>
    <x v="11"/>
    <x v="16"/>
    <x v="2"/>
    <n v="124.2"/>
  </r>
  <r>
    <x v="1"/>
    <x v="2"/>
    <x v="11"/>
    <x v="17"/>
    <x v="3"/>
    <n v="122.9"/>
  </r>
  <r>
    <x v="1"/>
    <x v="2"/>
    <x v="11"/>
    <x v="18"/>
    <x v="4"/>
    <n v="115.1"/>
  </r>
  <r>
    <x v="1"/>
    <x v="2"/>
    <x v="11"/>
    <x v="19"/>
    <x v="5"/>
    <n v="121"/>
  </r>
  <r>
    <x v="1"/>
    <x v="2"/>
    <x v="11"/>
    <x v="20"/>
    <x v="6"/>
    <n v="118.1"/>
  </r>
  <r>
    <x v="1"/>
    <x v="2"/>
    <x v="11"/>
    <x v="21"/>
    <x v="7"/>
    <n v="109.3"/>
  </r>
  <r>
    <x v="1"/>
    <x v="2"/>
    <x v="11"/>
    <x v="22"/>
    <x v="8"/>
    <n v="117.9"/>
  </r>
  <r>
    <x v="1"/>
    <x v="2"/>
    <x v="11"/>
    <x v="23"/>
    <x v="9"/>
    <n v="126.6"/>
  </r>
  <r>
    <x v="1"/>
    <x v="2"/>
    <x v="11"/>
    <x v="24"/>
    <x v="8"/>
    <n v="113.3"/>
  </r>
  <r>
    <x v="1"/>
    <x v="2"/>
    <x v="11"/>
    <x v="25"/>
    <x v="5"/>
    <n v="116.6"/>
  </r>
  <r>
    <x v="1"/>
    <x v="2"/>
    <x v="11"/>
    <x v="26"/>
    <x v="10"/>
    <n v="124.6"/>
  </r>
  <r>
    <x v="2"/>
    <x v="2"/>
    <x v="11"/>
    <x v="0"/>
    <x v="0"/>
    <n v="125.4"/>
  </r>
  <r>
    <x v="2"/>
    <x v="2"/>
    <x v="11"/>
    <x v="1"/>
    <x v="0"/>
    <n v="130.30000000000001"/>
  </r>
  <r>
    <x v="2"/>
    <x v="2"/>
    <x v="11"/>
    <x v="2"/>
    <x v="0"/>
    <n v="121.6"/>
  </r>
  <r>
    <x v="2"/>
    <x v="2"/>
    <x v="11"/>
    <x v="3"/>
    <x v="0"/>
    <n v="129.19999999999999"/>
  </r>
  <r>
    <x v="2"/>
    <x v="2"/>
    <x v="11"/>
    <x v="4"/>
    <x v="0"/>
    <n v="114.9"/>
  </r>
  <r>
    <x v="2"/>
    <x v="2"/>
    <x v="11"/>
    <x v="5"/>
    <x v="0"/>
    <n v="128.19999999999999"/>
  </r>
  <r>
    <x v="2"/>
    <x v="2"/>
    <x v="11"/>
    <x v="6"/>
    <x v="0"/>
    <n v="158.4"/>
  </r>
  <r>
    <x v="2"/>
    <x v="2"/>
    <x v="11"/>
    <x v="7"/>
    <x v="0"/>
    <n v="171.2"/>
  </r>
  <r>
    <x v="2"/>
    <x v="2"/>
    <x v="11"/>
    <x v="8"/>
    <x v="0"/>
    <n v="93.3"/>
  </r>
  <r>
    <x v="2"/>
    <x v="2"/>
    <x v="11"/>
    <x v="9"/>
    <x v="0"/>
    <n v="131.19999999999999"/>
  </r>
  <r>
    <x v="2"/>
    <x v="2"/>
    <x v="11"/>
    <x v="10"/>
    <x v="0"/>
    <n v="121.7"/>
  </r>
  <r>
    <x v="2"/>
    <x v="2"/>
    <x v="11"/>
    <x v="11"/>
    <x v="0"/>
    <n v="134"/>
  </r>
  <r>
    <x v="2"/>
    <x v="2"/>
    <x v="11"/>
    <x v="12"/>
    <x v="0"/>
    <n v="132.69999999999999"/>
  </r>
  <r>
    <x v="2"/>
    <x v="2"/>
    <x v="11"/>
    <x v="13"/>
    <x v="1"/>
    <n v="133.6"/>
  </r>
  <r>
    <x v="2"/>
    <x v="2"/>
    <x v="11"/>
    <x v="14"/>
    <x v="2"/>
    <n v="129.30000000000001"/>
  </r>
  <r>
    <x v="2"/>
    <x v="2"/>
    <x v="11"/>
    <x v="15"/>
    <x v="2"/>
    <n v="124.5"/>
  </r>
  <r>
    <x v="2"/>
    <x v="2"/>
    <x v="11"/>
    <x v="16"/>
    <x v="2"/>
    <n v="128.6"/>
  </r>
  <r>
    <x v="2"/>
    <x v="2"/>
    <x v="11"/>
    <x v="17"/>
    <x v="3"/>
    <n v="122.9"/>
  </r>
  <r>
    <x v="2"/>
    <x v="2"/>
    <x v="11"/>
    <x v="18"/>
    <x v="4"/>
    <n v="121.6"/>
  </r>
  <r>
    <x v="2"/>
    <x v="2"/>
    <x v="11"/>
    <x v="19"/>
    <x v="5"/>
    <n v="123.4"/>
  </r>
  <r>
    <x v="2"/>
    <x v="2"/>
    <x v="11"/>
    <x v="20"/>
    <x v="6"/>
    <n v="120.9"/>
  </r>
  <r>
    <x v="2"/>
    <x v="2"/>
    <x v="11"/>
    <x v="21"/>
    <x v="7"/>
    <n v="111.5"/>
  </r>
  <r>
    <x v="2"/>
    <x v="2"/>
    <x v="11"/>
    <x v="22"/>
    <x v="8"/>
    <n v="119.2"/>
  </r>
  <r>
    <x v="2"/>
    <x v="2"/>
    <x v="11"/>
    <x v="23"/>
    <x v="9"/>
    <n v="126.3"/>
  </r>
  <r>
    <x v="2"/>
    <x v="2"/>
    <x v="11"/>
    <x v="24"/>
    <x v="8"/>
    <n v="113.8"/>
  </r>
  <r>
    <x v="2"/>
    <x v="2"/>
    <x v="11"/>
    <x v="25"/>
    <x v="5"/>
    <n v="118.1"/>
  </r>
  <r>
    <x v="2"/>
    <x v="2"/>
    <x v="11"/>
    <x v="26"/>
    <x v="10"/>
    <n v="126.6"/>
  </r>
  <r>
    <x v="0"/>
    <x v="2"/>
    <x v="12"/>
    <x v="0"/>
    <x v="0"/>
    <n v="126.3"/>
  </r>
  <r>
    <x v="0"/>
    <x v="2"/>
    <x v="12"/>
    <x v="1"/>
    <x v="0"/>
    <n v="131.30000000000001"/>
  </r>
  <r>
    <x v="0"/>
    <x v="2"/>
    <x v="12"/>
    <x v="2"/>
    <x v="0"/>
    <n v="123.3"/>
  </r>
  <r>
    <x v="0"/>
    <x v="2"/>
    <x v="12"/>
    <x v="3"/>
    <x v="0"/>
    <n v="129.80000000000001"/>
  </r>
  <r>
    <x v="0"/>
    <x v="2"/>
    <x v="12"/>
    <x v="4"/>
    <x v="0"/>
    <n v="118.3"/>
  </r>
  <r>
    <x v="0"/>
    <x v="2"/>
    <x v="12"/>
    <x v="5"/>
    <x v="0"/>
    <n v="131.6"/>
  </r>
  <r>
    <x v="0"/>
    <x v="2"/>
    <x v="12"/>
    <x v="6"/>
    <x v="0"/>
    <n v="145.5"/>
  </r>
  <r>
    <x v="0"/>
    <x v="2"/>
    <x v="12"/>
    <x v="7"/>
    <x v="0"/>
    <n v="162.1"/>
  </r>
  <r>
    <x v="0"/>
    <x v="2"/>
    <x v="12"/>
    <x v="8"/>
    <x v="0"/>
    <n v="95.4"/>
  </r>
  <r>
    <x v="0"/>
    <x v="2"/>
    <x v="12"/>
    <x v="9"/>
    <x v="0"/>
    <n v="128.9"/>
  </r>
  <r>
    <x v="0"/>
    <x v="2"/>
    <x v="12"/>
    <x v="10"/>
    <x v="0"/>
    <n v="123.3"/>
  </r>
  <r>
    <x v="0"/>
    <x v="2"/>
    <x v="12"/>
    <x v="11"/>
    <x v="0"/>
    <n v="135.1"/>
  </r>
  <r>
    <x v="0"/>
    <x v="2"/>
    <x v="12"/>
    <x v="12"/>
    <x v="0"/>
    <n v="131.4"/>
  </r>
  <r>
    <x v="0"/>
    <x v="2"/>
    <x v="12"/>
    <x v="13"/>
    <x v="1"/>
    <n v="133.1"/>
  </r>
  <r>
    <x v="0"/>
    <x v="2"/>
    <x v="12"/>
    <x v="14"/>
    <x v="2"/>
    <n v="132.5"/>
  </r>
  <r>
    <x v="0"/>
    <x v="2"/>
    <x v="12"/>
    <x v="15"/>
    <x v="2"/>
    <n v="128.5"/>
  </r>
  <r>
    <x v="0"/>
    <x v="2"/>
    <x v="12"/>
    <x v="16"/>
    <x v="2"/>
    <n v="131.9"/>
  </r>
  <r>
    <x v="0"/>
    <x v="2"/>
    <x v="12"/>
    <x v="17"/>
    <x v="3"/>
    <s v="NA"/>
  </r>
  <r>
    <x v="0"/>
    <x v="2"/>
    <x v="12"/>
    <x v="18"/>
    <x v="4"/>
    <n v="125.7"/>
  </r>
  <r>
    <x v="0"/>
    <x v="2"/>
    <x v="12"/>
    <x v="19"/>
    <x v="5"/>
    <n v="126"/>
  </r>
  <r>
    <x v="0"/>
    <x v="2"/>
    <x v="12"/>
    <x v="20"/>
    <x v="6"/>
    <n v="123.1"/>
  </r>
  <r>
    <x v="0"/>
    <x v="2"/>
    <x v="12"/>
    <x v="21"/>
    <x v="7"/>
    <n v="114"/>
  </r>
  <r>
    <x v="0"/>
    <x v="2"/>
    <x v="12"/>
    <x v="22"/>
    <x v="8"/>
    <n v="121.6"/>
  </r>
  <r>
    <x v="0"/>
    <x v="2"/>
    <x v="12"/>
    <x v="23"/>
    <x v="9"/>
    <n v="125.6"/>
  </r>
  <r>
    <x v="0"/>
    <x v="2"/>
    <x v="12"/>
    <x v="24"/>
    <x v="8"/>
    <n v="114.1"/>
  </r>
  <r>
    <x v="0"/>
    <x v="2"/>
    <x v="12"/>
    <x v="25"/>
    <x v="5"/>
    <n v="119.8"/>
  </r>
  <r>
    <x v="0"/>
    <x v="2"/>
    <x v="12"/>
    <x v="26"/>
    <x v="10"/>
    <n v="127.9"/>
  </r>
  <r>
    <x v="1"/>
    <x v="2"/>
    <x v="12"/>
    <x v="0"/>
    <x v="0"/>
    <n v="124.3"/>
  </r>
  <r>
    <x v="1"/>
    <x v="2"/>
    <x v="12"/>
    <x v="1"/>
    <x v="0"/>
    <n v="131.69999999999999"/>
  </r>
  <r>
    <x v="1"/>
    <x v="2"/>
    <x v="12"/>
    <x v="2"/>
    <x v="0"/>
    <n v="127.1"/>
  </r>
  <r>
    <x v="1"/>
    <x v="2"/>
    <x v="12"/>
    <x v="3"/>
    <x v="0"/>
    <n v="128.6"/>
  </r>
  <r>
    <x v="1"/>
    <x v="2"/>
    <x v="12"/>
    <x v="4"/>
    <x v="0"/>
    <n v="110"/>
  </r>
  <r>
    <x v="1"/>
    <x v="2"/>
    <x v="12"/>
    <x v="5"/>
    <x v="0"/>
    <n v="120.8"/>
  </r>
  <r>
    <x v="1"/>
    <x v="2"/>
    <x v="12"/>
    <x v="6"/>
    <x v="0"/>
    <n v="149"/>
  </r>
  <r>
    <x v="1"/>
    <x v="2"/>
    <x v="12"/>
    <x v="7"/>
    <x v="0"/>
    <n v="190.1"/>
  </r>
  <r>
    <x v="1"/>
    <x v="2"/>
    <x v="12"/>
    <x v="8"/>
    <x v="0"/>
    <n v="92.7"/>
  </r>
  <r>
    <x v="1"/>
    <x v="2"/>
    <x v="12"/>
    <x v="9"/>
    <x v="0"/>
    <n v="138.6"/>
  </r>
  <r>
    <x v="1"/>
    <x v="2"/>
    <x v="12"/>
    <x v="10"/>
    <x v="0"/>
    <n v="120.2"/>
  </r>
  <r>
    <x v="1"/>
    <x v="2"/>
    <x v="12"/>
    <x v="11"/>
    <x v="0"/>
    <n v="134.19999999999999"/>
  </r>
  <r>
    <x v="1"/>
    <x v="2"/>
    <x v="12"/>
    <x v="12"/>
    <x v="0"/>
    <n v="131.5"/>
  </r>
  <r>
    <x v="1"/>
    <x v="2"/>
    <x v="12"/>
    <x v="13"/>
    <x v="1"/>
    <n v="138.19999999999999"/>
  </r>
  <r>
    <x v="1"/>
    <x v="2"/>
    <x v="12"/>
    <x v="14"/>
    <x v="2"/>
    <n v="125.4"/>
  </r>
  <r>
    <x v="1"/>
    <x v="2"/>
    <x v="12"/>
    <x v="15"/>
    <x v="2"/>
    <n v="119.5"/>
  </r>
  <r>
    <x v="1"/>
    <x v="2"/>
    <x v="12"/>
    <x v="16"/>
    <x v="2"/>
    <n v="124.5"/>
  </r>
  <r>
    <x v="1"/>
    <x v="2"/>
    <x v="12"/>
    <x v="17"/>
    <x v="3"/>
    <n v="122.4"/>
  </r>
  <r>
    <x v="1"/>
    <x v="2"/>
    <x v="12"/>
    <x v="18"/>
    <x v="4"/>
    <n v="116"/>
  </r>
  <r>
    <x v="1"/>
    <x v="2"/>
    <x v="12"/>
    <x v="19"/>
    <x v="5"/>
    <n v="121"/>
  </r>
  <r>
    <x v="1"/>
    <x v="2"/>
    <x v="12"/>
    <x v="20"/>
    <x v="6"/>
    <n v="118.6"/>
  </r>
  <r>
    <x v="1"/>
    <x v="2"/>
    <x v="12"/>
    <x v="21"/>
    <x v="7"/>
    <n v="109.3"/>
  </r>
  <r>
    <x v="1"/>
    <x v="2"/>
    <x v="12"/>
    <x v="22"/>
    <x v="8"/>
    <n v="118.1"/>
  </r>
  <r>
    <x v="1"/>
    <x v="2"/>
    <x v="12"/>
    <x v="23"/>
    <x v="9"/>
    <n v="126.6"/>
  </r>
  <r>
    <x v="1"/>
    <x v="2"/>
    <x v="12"/>
    <x v="24"/>
    <x v="8"/>
    <n v="113.2"/>
  </r>
  <r>
    <x v="1"/>
    <x v="2"/>
    <x v="12"/>
    <x v="25"/>
    <x v="5"/>
    <n v="116.7"/>
  </r>
  <r>
    <x v="1"/>
    <x v="2"/>
    <x v="12"/>
    <x v="26"/>
    <x v="10"/>
    <n v="124"/>
  </r>
  <r>
    <x v="2"/>
    <x v="2"/>
    <x v="12"/>
    <x v="0"/>
    <x v="0"/>
    <n v="125.7"/>
  </r>
  <r>
    <x v="2"/>
    <x v="2"/>
    <x v="12"/>
    <x v="1"/>
    <x v="0"/>
    <n v="131.4"/>
  </r>
  <r>
    <x v="2"/>
    <x v="2"/>
    <x v="12"/>
    <x v="2"/>
    <x v="0"/>
    <n v="124.8"/>
  </r>
  <r>
    <x v="2"/>
    <x v="2"/>
    <x v="12"/>
    <x v="3"/>
    <x v="0"/>
    <n v="129.4"/>
  </r>
  <r>
    <x v="2"/>
    <x v="2"/>
    <x v="12"/>
    <x v="4"/>
    <x v="0"/>
    <n v="115.3"/>
  </r>
  <r>
    <x v="2"/>
    <x v="2"/>
    <x v="12"/>
    <x v="5"/>
    <x v="0"/>
    <n v="126.6"/>
  </r>
  <r>
    <x v="2"/>
    <x v="2"/>
    <x v="12"/>
    <x v="6"/>
    <x v="0"/>
    <n v="146.69999999999999"/>
  </r>
  <r>
    <x v="2"/>
    <x v="2"/>
    <x v="12"/>
    <x v="7"/>
    <x v="0"/>
    <n v="171.5"/>
  </r>
  <r>
    <x v="2"/>
    <x v="2"/>
    <x v="12"/>
    <x v="8"/>
    <x v="0"/>
    <n v="94.5"/>
  </r>
  <r>
    <x v="2"/>
    <x v="2"/>
    <x v="12"/>
    <x v="9"/>
    <x v="0"/>
    <n v="132.1"/>
  </r>
  <r>
    <x v="2"/>
    <x v="2"/>
    <x v="12"/>
    <x v="10"/>
    <x v="0"/>
    <n v="122"/>
  </r>
  <r>
    <x v="2"/>
    <x v="2"/>
    <x v="12"/>
    <x v="11"/>
    <x v="0"/>
    <n v="134.69999999999999"/>
  </r>
  <r>
    <x v="2"/>
    <x v="2"/>
    <x v="12"/>
    <x v="12"/>
    <x v="0"/>
    <n v="131.4"/>
  </r>
  <r>
    <x v="2"/>
    <x v="2"/>
    <x v="12"/>
    <x v="13"/>
    <x v="1"/>
    <n v="134.5"/>
  </r>
  <r>
    <x v="2"/>
    <x v="2"/>
    <x v="12"/>
    <x v="14"/>
    <x v="2"/>
    <n v="129.69999999999999"/>
  </r>
  <r>
    <x v="2"/>
    <x v="2"/>
    <x v="12"/>
    <x v="15"/>
    <x v="2"/>
    <n v="124.8"/>
  </r>
  <r>
    <x v="2"/>
    <x v="2"/>
    <x v="12"/>
    <x v="16"/>
    <x v="2"/>
    <n v="129"/>
  </r>
  <r>
    <x v="2"/>
    <x v="2"/>
    <x v="12"/>
    <x v="17"/>
    <x v="3"/>
    <n v="122.4"/>
  </r>
  <r>
    <x v="2"/>
    <x v="2"/>
    <x v="12"/>
    <x v="18"/>
    <x v="4"/>
    <n v="122"/>
  </r>
  <r>
    <x v="2"/>
    <x v="2"/>
    <x v="12"/>
    <x v="19"/>
    <x v="5"/>
    <n v="123.6"/>
  </r>
  <r>
    <x v="2"/>
    <x v="2"/>
    <x v="12"/>
    <x v="20"/>
    <x v="6"/>
    <n v="121.4"/>
  </r>
  <r>
    <x v="2"/>
    <x v="2"/>
    <x v="12"/>
    <x v="21"/>
    <x v="7"/>
    <n v="111.5"/>
  </r>
  <r>
    <x v="2"/>
    <x v="2"/>
    <x v="12"/>
    <x v="22"/>
    <x v="8"/>
    <n v="119.6"/>
  </r>
  <r>
    <x v="2"/>
    <x v="2"/>
    <x v="12"/>
    <x v="23"/>
    <x v="9"/>
    <n v="126.2"/>
  </r>
  <r>
    <x v="2"/>
    <x v="2"/>
    <x v="12"/>
    <x v="24"/>
    <x v="8"/>
    <n v="113.7"/>
  </r>
  <r>
    <x v="2"/>
    <x v="2"/>
    <x v="12"/>
    <x v="25"/>
    <x v="5"/>
    <n v="118.3"/>
  </r>
  <r>
    <x v="2"/>
    <x v="2"/>
    <x v="12"/>
    <x v="26"/>
    <x v="10"/>
    <n v="126.1"/>
  </r>
  <r>
    <x v="0"/>
    <x v="3"/>
    <x v="0"/>
    <x v="0"/>
    <x v="0"/>
    <n v="126.8"/>
  </r>
  <r>
    <x v="0"/>
    <x v="3"/>
    <x v="0"/>
    <x v="1"/>
    <x v="0"/>
    <n v="133.19999999999999"/>
  </r>
  <r>
    <x v="0"/>
    <x v="3"/>
    <x v="0"/>
    <x v="2"/>
    <x v="0"/>
    <n v="126.5"/>
  </r>
  <r>
    <x v="0"/>
    <x v="3"/>
    <x v="0"/>
    <x v="3"/>
    <x v="0"/>
    <n v="130.30000000000001"/>
  </r>
  <r>
    <x v="0"/>
    <x v="3"/>
    <x v="0"/>
    <x v="4"/>
    <x v="0"/>
    <n v="118.9"/>
  </r>
  <r>
    <x v="0"/>
    <x v="3"/>
    <x v="0"/>
    <x v="5"/>
    <x v="0"/>
    <n v="131.6"/>
  </r>
  <r>
    <x v="0"/>
    <x v="3"/>
    <x v="0"/>
    <x v="6"/>
    <x v="0"/>
    <n v="140.1"/>
  </r>
  <r>
    <x v="0"/>
    <x v="3"/>
    <x v="0"/>
    <x v="7"/>
    <x v="0"/>
    <n v="163.80000000000001"/>
  </r>
  <r>
    <x v="0"/>
    <x v="3"/>
    <x v="0"/>
    <x v="8"/>
    <x v="0"/>
    <n v="97.7"/>
  </r>
  <r>
    <x v="0"/>
    <x v="3"/>
    <x v="0"/>
    <x v="9"/>
    <x v="0"/>
    <n v="129.6"/>
  </r>
  <r>
    <x v="0"/>
    <x v="3"/>
    <x v="0"/>
    <x v="10"/>
    <x v="0"/>
    <n v="124.3"/>
  </r>
  <r>
    <x v="0"/>
    <x v="3"/>
    <x v="0"/>
    <x v="11"/>
    <x v="0"/>
    <n v="135.9"/>
  </r>
  <r>
    <x v="0"/>
    <x v="3"/>
    <x v="0"/>
    <x v="12"/>
    <x v="0"/>
    <n v="131.4"/>
  </r>
  <r>
    <x v="0"/>
    <x v="3"/>
    <x v="0"/>
    <x v="13"/>
    <x v="1"/>
    <n v="133.6"/>
  </r>
  <r>
    <x v="0"/>
    <x v="3"/>
    <x v="0"/>
    <x v="14"/>
    <x v="2"/>
    <n v="133.19999999999999"/>
  </r>
  <r>
    <x v="0"/>
    <x v="3"/>
    <x v="0"/>
    <x v="15"/>
    <x v="2"/>
    <n v="128.9"/>
  </r>
  <r>
    <x v="0"/>
    <x v="3"/>
    <x v="0"/>
    <x v="16"/>
    <x v="2"/>
    <n v="132.6"/>
  </r>
  <r>
    <x v="0"/>
    <x v="3"/>
    <x v="0"/>
    <x v="17"/>
    <x v="3"/>
    <s v="NA"/>
  </r>
  <r>
    <x v="0"/>
    <x v="3"/>
    <x v="0"/>
    <x v="18"/>
    <x v="4"/>
    <n v="126.2"/>
  </r>
  <r>
    <x v="0"/>
    <x v="3"/>
    <x v="0"/>
    <x v="19"/>
    <x v="5"/>
    <n v="126.6"/>
  </r>
  <r>
    <x v="0"/>
    <x v="3"/>
    <x v="0"/>
    <x v="20"/>
    <x v="6"/>
    <n v="123.7"/>
  </r>
  <r>
    <x v="0"/>
    <x v="3"/>
    <x v="0"/>
    <x v="21"/>
    <x v="7"/>
    <n v="113.6"/>
  </r>
  <r>
    <x v="0"/>
    <x v="3"/>
    <x v="0"/>
    <x v="22"/>
    <x v="8"/>
    <n v="121.4"/>
  </r>
  <r>
    <x v="0"/>
    <x v="3"/>
    <x v="0"/>
    <x v="23"/>
    <x v="9"/>
    <n v="126.2"/>
  </r>
  <r>
    <x v="0"/>
    <x v="3"/>
    <x v="0"/>
    <x v="24"/>
    <x v="8"/>
    <n v="114.9"/>
  </r>
  <r>
    <x v="0"/>
    <x v="3"/>
    <x v="0"/>
    <x v="25"/>
    <x v="5"/>
    <n v="120.1"/>
  </r>
  <r>
    <x v="0"/>
    <x v="3"/>
    <x v="0"/>
    <x v="26"/>
    <x v="10"/>
    <n v="128.1"/>
  </r>
  <r>
    <x v="1"/>
    <x v="3"/>
    <x v="0"/>
    <x v="0"/>
    <x v="0"/>
    <n v="124.7"/>
  </r>
  <r>
    <x v="1"/>
    <x v="3"/>
    <x v="0"/>
    <x v="1"/>
    <x v="0"/>
    <n v="135.9"/>
  </r>
  <r>
    <x v="1"/>
    <x v="3"/>
    <x v="0"/>
    <x v="2"/>
    <x v="0"/>
    <n v="132"/>
  </r>
  <r>
    <x v="1"/>
    <x v="3"/>
    <x v="0"/>
    <x v="3"/>
    <x v="0"/>
    <n v="129.19999999999999"/>
  </r>
  <r>
    <x v="1"/>
    <x v="3"/>
    <x v="0"/>
    <x v="4"/>
    <x v="0"/>
    <n v="109.7"/>
  </r>
  <r>
    <x v="1"/>
    <x v="3"/>
    <x v="0"/>
    <x v="5"/>
    <x v="0"/>
    <n v="119"/>
  </r>
  <r>
    <x v="1"/>
    <x v="3"/>
    <x v="0"/>
    <x v="6"/>
    <x v="0"/>
    <n v="144.1"/>
  </r>
  <r>
    <x v="1"/>
    <x v="3"/>
    <x v="0"/>
    <x v="7"/>
    <x v="0"/>
    <n v="184.2"/>
  </r>
  <r>
    <x v="1"/>
    <x v="3"/>
    <x v="0"/>
    <x v="8"/>
    <x v="0"/>
    <n v="96.7"/>
  </r>
  <r>
    <x v="1"/>
    <x v="3"/>
    <x v="0"/>
    <x v="9"/>
    <x v="0"/>
    <n v="139.5"/>
  </r>
  <r>
    <x v="1"/>
    <x v="3"/>
    <x v="0"/>
    <x v="10"/>
    <x v="0"/>
    <n v="120.5"/>
  </r>
  <r>
    <x v="1"/>
    <x v="3"/>
    <x v="0"/>
    <x v="11"/>
    <x v="0"/>
    <n v="134.69999999999999"/>
  </r>
  <r>
    <x v="1"/>
    <x v="3"/>
    <x v="0"/>
    <x v="12"/>
    <x v="0"/>
    <n v="131.19999999999999"/>
  </r>
  <r>
    <x v="1"/>
    <x v="3"/>
    <x v="0"/>
    <x v="13"/>
    <x v="1"/>
    <n v="139.5"/>
  </r>
  <r>
    <x v="1"/>
    <x v="3"/>
    <x v="0"/>
    <x v="14"/>
    <x v="2"/>
    <n v="125.8"/>
  </r>
  <r>
    <x v="1"/>
    <x v="3"/>
    <x v="0"/>
    <x v="15"/>
    <x v="2"/>
    <n v="119.8"/>
  </r>
  <r>
    <x v="1"/>
    <x v="3"/>
    <x v="0"/>
    <x v="16"/>
    <x v="2"/>
    <n v="124.9"/>
  </r>
  <r>
    <x v="1"/>
    <x v="3"/>
    <x v="0"/>
    <x v="17"/>
    <x v="3"/>
    <n v="123.4"/>
  </r>
  <r>
    <x v="1"/>
    <x v="3"/>
    <x v="0"/>
    <x v="18"/>
    <x v="4"/>
    <n v="116.9"/>
  </r>
  <r>
    <x v="1"/>
    <x v="3"/>
    <x v="0"/>
    <x v="19"/>
    <x v="5"/>
    <n v="121.6"/>
  </r>
  <r>
    <x v="1"/>
    <x v="3"/>
    <x v="0"/>
    <x v="20"/>
    <x v="6"/>
    <n v="119.1"/>
  </r>
  <r>
    <x v="1"/>
    <x v="3"/>
    <x v="0"/>
    <x v="21"/>
    <x v="7"/>
    <n v="108.9"/>
  </r>
  <r>
    <x v="1"/>
    <x v="3"/>
    <x v="0"/>
    <x v="22"/>
    <x v="8"/>
    <n v="118.5"/>
  </r>
  <r>
    <x v="1"/>
    <x v="3"/>
    <x v="0"/>
    <x v="23"/>
    <x v="9"/>
    <n v="126.4"/>
  </r>
  <r>
    <x v="1"/>
    <x v="3"/>
    <x v="0"/>
    <x v="24"/>
    <x v="8"/>
    <n v="114"/>
  </r>
  <r>
    <x v="1"/>
    <x v="3"/>
    <x v="0"/>
    <x v="25"/>
    <x v="5"/>
    <n v="116.8"/>
  </r>
  <r>
    <x v="1"/>
    <x v="3"/>
    <x v="0"/>
    <x v="26"/>
    <x v="10"/>
    <n v="124.2"/>
  </r>
  <r>
    <x v="2"/>
    <x v="3"/>
    <x v="0"/>
    <x v="0"/>
    <x v="0"/>
    <n v="126.1"/>
  </r>
  <r>
    <x v="2"/>
    <x v="3"/>
    <x v="0"/>
    <x v="1"/>
    <x v="0"/>
    <n v="134.1"/>
  </r>
  <r>
    <x v="2"/>
    <x v="3"/>
    <x v="0"/>
    <x v="2"/>
    <x v="0"/>
    <n v="128.6"/>
  </r>
  <r>
    <x v="2"/>
    <x v="3"/>
    <x v="0"/>
    <x v="3"/>
    <x v="0"/>
    <n v="129.9"/>
  </r>
  <r>
    <x v="2"/>
    <x v="3"/>
    <x v="0"/>
    <x v="4"/>
    <x v="0"/>
    <n v="115.5"/>
  </r>
  <r>
    <x v="2"/>
    <x v="3"/>
    <x v="0"/>
    <x v="5"/>
    <x v="0"/>
    <n v="125.7"/>
  </r>
  <r>
    <x v="2"/>
    <x v="3"/>
    <x v="0"/>
    <x v="6"/>
    <x v="0"/>
    <n v="141.5"/>
  </r>
  <r>
    <x v="2"/>
    <x v="3"/>
    <x v="0"/>
    <x v="7"/>
    <x v="0"/>
    <n v="170.7"/>
  </r>
  <r>
    <x v="2"/>
    <x v="3"/>
    <x v="0"/>
    <x v="8"/>
    <x v="0"/>
    <n v="97.4"/>
  </r>
  <r>
    <x v="2"/>
    <x v="3"/>
    <x v="0"/>
    <x v="9"/>
    <x v="0"/>
    <n v="132.9"/>
  </r>
  <r>
    <x v="2"/>
    <x v="3"/>
    <x v="0"/>
    <x v="10"/>
    <x v="0"/>
    <n v="122.7"/>
  </r>
  <r>
    <x v="2"/>
    <x v="3"/>
    <x v="0"/>
    <x v="11"/>
    <x v="0"/>
    <n v="135.30000000000001"/>
  </r>
  <r>
    <x v="2"/>
    <x v="3"/>
    <x v="0"/>
    <x v="12"/>
    <x v="0"/>
    <n v="131.30000000000001"/>
  </r>
  <r>
    <x v="2"/>
    <x v="3"/>
    <x v="0"/>
    <x v="13"/>
    <x v="1"/>
    <n v="135.19999999999999"/>
  </r>
  <r>
    <x v="2"/>
    <x v="3"/>
    <x v="0"/>
    <x v="14"/>
    <x v="2"/>
    <n v="130.30000000000001"/>
  </r>
  <r>
    <x v="2"/>
    <x v="3"/>
    <x v="0"/>
    <x v="15"/>
    <x v="2"/>
    <n v="125.1"/>
  </r>
  <r>
    <x v="2"/>
    <x v="3"/>
    <x v="0"/>
    <x v="16"/>
    <x v="2"/>
    <n v="129.5"/>
  </r>
  <r>
    <x v="2"/>
    <x v="3"/>
    <x v="0"/>
    <x v="17"/>
    <x v="3"/>
    <n v="123.4"/>
  </r>
  <r>
    <x v="2"/>
    <x v="3"/>
    <x v="0"/>
    <x v="18"/>
    <x v="4"/>
    <n v="122.7"/>
  </r>
  <r>
    <x v="2"/>
    <x v="3"/>
    <x v="0"/>
    <x v="19"/>
    <x v="5"/>
    <n v="124.2"/>
  </r>
  <r>
    <x v="2"/>
    <x v="3"/>
    <x v="0"/>
    <x v="20"/>
    <x v="6"/>
    <n v="122"/>
  </r>
  <r>
    <x v="2"/>
    <x v="3"/>
    <x v="0"/>
    <x v="21"/>
    <x v="7"/>
    <n v="111.1"/>
  </r>
  <r>
    <x v="2"/>
    <x v="3"/>
    <x v="0"/>
    <x v="22"/>
    <x v="8"/>
    <n v="119.8"/>
  </r>
  <r>
    <x v="2"/>
    <x v="3"/>
    <x v="0"/>
    <x v="23"/>
    <x v="9"/>
    <n v="126.3"/>
  </r>
  <r>
    <x v="2"/>
    <x v="3"/>
    <x v="0"/>
    <x v="24"/>
    <x v="8"/>
    <n v="114.5"/>
  </r>
  <r>
    <x v="2"/>
    <x v="3"/>
    <x v="0"/>
    <x v="25"/>
    <x v="5"/>
    <n v="118.5"/>
  </r>
  <r>
    <x v="2"/>
    <x v="3"/>
    <x v="0"/>
    <x v="26"/>
    <x v="10"/>
    <n v="126.3"/>
  </r>
  <r>
    <x v="0"/>
    <x v="3"/>
    <x v="1"/>
    <x v="0"/>
    <x v="0"/>
    <n v="127.1"/>
  </r>
  <r>
    <x v="0"/>
    <x v="3"/>
    <x v="1"/>
    <x v="1"/>
    <x v="0"/>
    <n v="133.69999999999999"/>
  </r>
  <r>
    <x v="0"/>
    <x v="3"/>
    <x v="1"/>
    <x v="2"/>
    <x v="0"/>
    <n v="127.7"/>
  </r>
  <r>
    <x v="0"/>
    <x v="3"/>
    <x v="1"/>
    <x v="3"/>
    <x v="0"/>
    <n v="130.69999999999999"/>
  </r>
  <r>
    <x v="0"/>
    <x v="3"/>
    <x v="1"/>
    <x v="4"/>
    <x v="0"/>
    <n v="118.5"/>
  </r>
  <r>
    <x v="0"/>
    <x v="3"/>
    <x v="1"/>
    <x v="5"/>
    <x v="0"/>
    <n v="130.4"/>
  </r>
  <r>
    <x v="0"/>
    <x v="3"/>
    <x v="1"/>
    <x v="6"/>
    <x v="0"/>
    <n v="130.9"/>
  </r>
  <r>
    <x v="0"/>
    <x v="3"/>
    <x v="1"/>
    <x v="7"/>
    <x v="0"/>
    <n v="162.80000000000001"/>
  </r>
  <r>
    <x v="0"/>
    <x v="3"/>
    <x v="1"/>
    <x v="8"/>
    <x v="0"/>
    <n v="98.7"/>
  </r>
  <r>
    <x v="0"/>
    <x v="3"/>
    <x v="1"/>
    <x v="9"/>
    <x v="0"/>
    <n v="130.6"/>
  </r>
  <r>
    <x v="0"/>
    <x v="3"/>
    <x v="1"/>
    <x v="10"/>
    <x v="0"/>
    <n v="124.8"/>
  </r>
  <r>
    <x v="0"/>
    <x v="3"/>
    <x v="1"/>
    <x v="11"/>
    <x v="0"/>
    <n v="136.4"/>
  </r>
  <r>
    <x v="0"/>
    <x v="3"/>
    <x v="1"/>
    <x v="12"/>
    <x v="0"/>
    <n v="130.30000000000001"/>
  </r>
  <r>
    <x v="0"/>
    <x v="3"/>
    <x v="1"/>
    <x v="13"/>
    <x v="1"/>
    <n v="134.4"/>
  </r>
  <r>
    <x v="0"/>
    <x v="3"/>
    <x v="1"/>
    <x v="14"/>
    <x v="2"/>
    <n v="133.9"/>
  </r>
  <r>
    <x v="0"/>
    <x v="3"/>
    <x v="1"/>
    <x v="15"/>
    <x v="2"/>
    <n v="129.80000000000001"/>
  </r>
  <r>
    <x v="0"/>
    <x v="3"/>
    <x v="1"/>
    <x v="16"/>
    <x v="2"/>
    <n v="133.4"/>
  </r>
  <r>
    <x v="0"/>
    <x v="3"/>
    <x v="1"/>
    <x v="17"/>
    <x v="3"/>
    <s v="NA"/>
  </r>
  <r>
    <x v="0"/>
    <x v="3"/>
    <x v="1"/>
    <x v="18"/>
    <x v="4"/>
    <n v="127.5"/>
  </r>
  <r>
    <x v="0"/>
    <x v="3"/>
    <x v="1"/>
    <x v="19"/>
    <x v="5"/>
    <n v="127.1"/>
  </r>
  <r>
    <x v="0"/>
    <x v="3"/>
    <x v="1"/>
    <x v="20"/>
    <x v="6"/>
    <n v="124.3"/>
  </r>
  <r>
    <x v="0"/>
    <x v="3"/>
    <x v="1"/>
    <x v="21"/>
    <x v="7"/>
    <n v="113.9"/>
  </r>
  <r>
    <x v="0"/>
    <x v="3"/>
    <x v="1"/>
    <x v="22"/>
    <x v="8"/>
    <n v="122.3"/>
  </r>
  <r>
    <x v="0"/>
    <x v="3"/>
    <x v="1"/>
    <x v="23"/>
    <x v="9"/>
    <n v="127.1"/>
  </r>
  <r>
    <x v="0"/>
    <x v="3"/>
    <x v="1"/>
    <x v="24"/>
    <x v="8"/>
    <n v="116.8"/>
  </r>
  <r>
    <x v="0"/>
    <x v="3"/>
    <x v="1"/>
    <x v="25"/>
    <x v="5"/>
    <n v="120.9"/>
  </r>
  <r>
    <x v="0"/>
    <x v="3"/>
    <x v="1"/>
    <x v="26"/>
    <x v="10"/>
    <n v="127.9"/>
  </r>
  <r>
    <x v="1"/>
    <x v="3"/>
    <x v="1"/>
    <x v="0"/>
    <x v="0"/>
    <n v="124.8"/>
  </r>
  <r>
    <x v="1"/>
    <x v="3"/>
    <x v="1"/>
    <x v="1"/>
    <x v="0"/>
    <n v="135.1"/>
  </r>
  <r>
    <x v="1"/>
    <x v="3"/>
    <x v="1"/>
    <x v="2"/>
    <x v="0"/>
    <n v="130.30000000000001"/>
  </r>
  <r>
    <x v="1"/>
    <x v="3"/>
    <x v="1"/>
    <x v="3"/>
    <x v="0"/>
    <n v="129.6"/>
  </r>
  <r>
    <x v="1"/>
    <x v="3"/>
    <x v="1"/>
    <x v="4"/>
    <x v="0"/>
    <n v="108.4"/>
  </r>
  <r>
    <x v="1"/>
    <x v="3"/>
    <x v="1"/>
    <x v="5"/>
    <x v="0"/>
    <n v="118.6"/>
  </r>
  <r>
    <x v="1"/>
    <x v="3"/>
    <x v="1"/>
    <x v="6"/>
    <x v="0"/>
    <n v="129.19999999999999"/>
  </r>
  <r>
    <x v="1"/>
    <x v="3"/>
    <x v="1"/>
    <x v="7"/>
    <x v="0"/>
    <n v="176.4"/>
  </r>
  <r>
    <x v="1"/>
    <x v="3"/>
    <x v="1"/>
    <x v="8"/>
    <x v="0"/>
    <n v="99.1"/>
  </r>
  <r>
    <x v="1"/>
    <x v="3"/>
    <x v="1"/>
    <x v="9"/>
    <x v="0"/>
    <n v="139.69999999999999"/>
  </r>
  <r>
    <x v="1"/>
    <x v="3"/>
    <x v="1"/>
    <x v="10"/>
    <x v="0"/>
    <n v="120.6"/>
  </r>
  <r>
    <x v="1"/>
    <x v="3"/>
    <x v="1"/>
    <x v="11"/>
    <x v="0"/>
    <n v="135.19999999999999"/>
  </r>
  <r>
    <x v="1"/>
    <x v="3"/>
    <x v="1"/>
    <x v="12"/>
    <x v="0"/>
    <n v="129.1"/>
  </r>
  <r>
    <x v="1"/>
    <x v="3"/>
    <x v="1"/>
    <x v="13"/>
    <x v="1"/>
    <n v="140"/>
  </r>
  <r>
    <x v="1"/>
    <x v="3"/>
    <x v="1"/>
    <x v="14"/>
    <x v="2"/>
    <n v="126.2"/>
  </r>
  <r>
    <x v="1"/>
    <x v="3"/>
    <x v="1"/>
    <x v="15"/>
    <x v="2"/>
    <n v="120.1"/>
  </r>
  <r>
    <x v="1"/>
    <x v="3"/>
    <x v="1"/>
    <x v="16"/>
    <x v="2"/>
    <n v="125.3"/>
  </r>
  <r>
    <x v="1"/>
    <x v="3"/>
    <x v="1"/>
    <x v="17"/>
    <x v="3"/>
    <n v="124.4"/>
  </r>
  <r>
    <x v="1"/>
    <x v="3"/>
    <x v="1"/>
    <x v="18"/>
    <x v="4"/>
    <n v="116"/>
  </r>
  <r>
    <x v="1"/>
    <x v="3"/>
    <x v="1"/>
    <x v="19"/>
    <x v="5"/>
    <n v="121.8"/>
  </r>
  <r>
    <x v="1"/>
    <x v="3"/>
    <x v="1"/>
    <x v="20"/>
    <x v="6"/>
    <n v="119.5"/>
  </r>
  <r>
    <x v="1"/>
    <x v="3"/>
    <x v="1"/>
    <x v="21"/>
    <x v="7"/>
    <n v="109.1"/>
  </r>
  <r>
    <x v="1"/>
    <x v="3"/>
    <x v="1"/>
    <x v="22"/>
    <x v="8"/>
    <n v="118.8"/>
  </r>
  <r>
    <x v="1"/>
    <x v="3"/>
    <x v="1"/>
    <x v="23"/>
    <x v="9"/>
    <n v="126.3"/>
  </r>
  <r>
    <x v="1"/>
    <x v="3"/>
    <x v="1"/>
    <x v="24"/>
    <x v="8"/>
    <n v="116.2"/>
  </r>
  <r>
    <x v="1"/>
    <x v="3"/>
    <x v="1"/>
    <x v="25"/>
    <x v="5"/>
    <n v="117.2"/>
  </r>
  <r>
    <x v="1"/>
    <x v="3"/>
    <x v="1"/>
    <x v="26"/>
    <x v="10"/>
    <n v="123.8"/>
  </r>
  <r>
    <x v="2"/>
    <x v="3"/>
    <x v="1"/>
    <x v="0"/>
    <x v="0"/>
    <n v="126.4"/>
  </r>
  <r>
    <x v="2"/>
    <x v="3"/>
    <x v="1"/>
    <x v="1"/>
    <x v="0"/>
    <n v="134.19999999999999"/>
  </r>
  <r>
    <x v="2"/>
    <x v="3"/>
    <x v="1"/>
    <x v="2"/>
    <x v="0"/>
    <n v="128.69999999999999"/>
  </r>
  <r>
    <x v="2"/>
    <x v="3"/>
    <x v="1"/>
    <x v="3"/>
    <x v="0"/>
    <n v="130.30000000000001"/>
  </r>
  <r>
    <x v="2"/>
    <x v="3"/>
    <x v="1"/>
    <x v="4"/>
    <x v="0"/>
    <n v="114.8"/>
  </r>
  <r>
    <x v="2"/>
    <x v="3"/>
    <x v="1"/>
    <x v="5"/>
    <x v="0"/>
    <n v="124.9"/>
  </r>
  <r>
    <x v="2"/>
    <x v="3"/>
    <x v="1"/>
    <x v="6"/>
    <x v="0"/>
    <n v="130.30000000000001"/>
  </r>
  <r>
    <x v="2"/>
    <x v="3"/>
    <x v="1"/>
    <x v="7"/>
    <x v="0"/>
    <n v="167.4"/>
  </r>
  <r>
    <x v="2"/>
    <x v="3"/>
    <x v="1"/>
    <x v="8"/>
    <x v="0"/>
    <n v="98.8"/>
  </r>
  <r>
    <x v="2"/>
    <x v="3"/>
    <x v="1"/>
    <x v="9"/>
    <x v="0"/>
    <n v="133.6"/>
  </r>
  <r>
    <x v="2"/>
    <x v="3"/>
    <x v="1"/>
    <x v="10"/>
    <x v="0"/>
    <n v="123"/>
  </r>
  <r>
    <x v="2"/>
    <x v="3"/>
    <x v="1"/>
    <x v="11"/>
    <x v="0"/>
    <n v="135.80000000000001"/>
  </r>
  <r>
    <x v="2"/>
    <x v="3"/>
    <x v="1"/>
    <x v="12"/>
    <x v="0"/>
    <n v="129.9"/>
  </r>
  <r>
    <x v="2"/>
    <x v="3"/>
    <x v="1"/>
    <x v="13"/>
    <x v="1"/>
    <n v="135.9"/>
  </r>
  <r>
    <x v="2"/>
    <x v="3"/>
    <x v="1"/>
    <x v="14"/>
    <x v="2"/>
    <n v="130.9"/>
  </r>
  <r>
    <x v="2"/>
    <x v="3"/>
    <x v="1"/>
    <x v="15"/>
    <x v="2"/>
    <n v="125.8"/>
  </r>
  <r>
    <x v="2"/>
    <x v="3"/>
    <x v="1"/>
    <x v="16"/>
    <x v="2"/>
    <n v="130.19999999999999"/>
  </r>
  <r>
    <x v="2"/>
    <x v="3"/>
    <x v="1"/>
    <x v="17"/>
    <x v="3"/>
    <n v="124.4"/>
  </r>
  <r>
    <x v="2"/>
    <x v="3"/>
    <x v="1"/>
    <x v="18"/>
    <x v="4"/>
    <n v="123.1"/>
  </r>
  <r>
    <x v="2"/>
    <x v="3"/>
    <x v="1"/>
    <x v="19"/>
    <x v="5"/>
    <n v="124.6"/>
  </r>
  <r>
    <x v="2"/>
    <x v="3"/>
    <x v="1"/>
    <x v="20"/>
    <x v="6"/>
    <n v="122.5"/>
  </r>
  <r>
    <x v="2"/>
    <x v="3"/>
    <x v="1"/>
    <x v="21"/>
    <x v="7"/>
    <n v="111.4"/>
  </r>
  <r>
    <x v="2"/>
    <x v="3"/>
    <x v="1"/>
    <x v="22"/>
    <x v="8"/>
    <n v="120.3"/>
  </r>
  <r>
    <x v="2"/>
    <x v="3"/>
    <x v="1"/>
    <x v="23"/>
    <x v="9"/>
    <n v="126.6"/>
  </r>
  <r>
    <x v="2"/>
    <x v="3"/>
    <x v="1"/>
    <x v="24"/>
    <x v="8"/>
    <n v="116.6"/>
  </r>
  <r>
    <x v="2"/>
    <x v="3"/>
    <x v="1"/>
    <x v="25"/>
    <x v="5"/>
    <n v="119.1"/>
  </r>
  <r>
    <x v="2"/>
    <x v="3"/>
    <x v="1"/>
    <x v="26"/>
    <x v="10"/>
    <n v="126"/>
  </r>
  <r>
    <x v="0"/>
    <x v="3"/>
    <x v="2"/>
    <x v="0"/>
    <x v="0"/>
    <n v="127.3"/>
  </r>
  <r>
    <x v="0"/>
    <x v="3"/>
    <x v="2"/>
    <x v="1"/>
    <x v="0"/>
    <n v="134.4"/>
  </r>
  <r>
    <x v="0"/>
    <x v="3"/>
    <x v="2"/>
    <x v="2"/>
    <x v="0"/>
    <n v="125.1"/>
  </r>
  <r>
    <x v="0"/>
    <x v="3"/>
    <x v="2"/>
    <x v="3"/>
    <x v="0"/>
    <n v="130.5"/>
  </r>
  <r>
    <x v="0"/>
    <x v="3"/>
    <x v="2"/>
    <x v="4"/>
    <x v="0"/>
    <n v="118.3"/>
  </r>
  <r>
    <x v="0"/>
    <x v="3"/>
    <x v="2"/>
    <x v="5"/>
    <x v="0"/>
    <n v="131.69999999999999"/>
  </r>
  <r>
    <x v="0"/>
    <x v="3"/>
    <x v="2"/>
    <x v="6"/>
    <x v="0"/>
    <n v="130.69999999999999"/>
  </r>
  <r>
    <x v="0"/>
    <x v="3"/>
    <x v="2"/>
    <x v="7"/>
    <x v="0"/>
    <n v="161.19999999999999"/>
  </r>
  <r>
    <x v="0"/>
    <x v="3"/>
    <x v="2"/>
    <x v="8"/>
    <x v="0"/>
    <n v="100.4"/>
  </r>
  <r>
    <x v="0"/>
    <x v="3"/>
    <x v="2"/>
    <x v="9"/>
    <x v="0"/>
    <n v="130.80000000000001"/>
  </r>
  <r>
    <x v="0"/>
    <x v="3"/>
    <x v="2"/>
    <x v="10"/>
    <x v="0"/>
    <n v="124.9"/>
  </r>
  <r>
    <x v="0"/>
    <x v="3"/>
    <x v="2"/>
    <x v="11"/>
    <x v="0"/>
    <n v="137"/>
  </r>
  <r>
    <x v="0"/>
    <x v="3"/>
    <x v="2"/>
    <x v="12"/>
    <x v="0"/>
    <n v="130.4"/>
  </r>
  <r>
    <x v="0"/>
    <x v="3"/>
    <x v="2"/>
    <x v="13"/>
    <x v="1"/>
    <n v="135"/>
  </r>
  <r>
    <x v="0"/>
    <x v="3"/>
    <x v="2"/>
    <x v="14"/>
    <x v="2"/>
    <n v="134.4"/>
  </r>
  <r>
    <x v="0"/>
    <x v="3"/>
    <x v="2"/>
    <x v="15"/>
    <x v="2"/>
    <n v="130.19999999999999"/>
  </r>
  <r>
    <x v="0"/>
    <x v="3"/>
    <x v="2"/>
    <x v="16"/>
    <x v="2"/>
    <n v="133.80000000000001"/>
  </r>
  <r>
    <x v="0"/>
    <x v="3"/>
    <x v="2"/>
    <x v="17"/>
    <x v="3"/>
    <s v="NA"/>
  </r>
  <r>
    <x v="0"/>
    <x v="3"/>
    <x v="2"/>
    <x v="18"/>
    <x v="4"/>
    <n v="127"/>
  </r>
  <r>
    <x v="0"/>
    <x v="3"/>
    <x v="2"/>
    <x v="19"/>
    <x v="5"/>
    <n v="127.7"/>
  </r>
  <r>
    <x v="0"/>
    <x v="3"/>
    <x v="2"/>
    <x v="20"/>
    <x v="6"/>
    <n v="124.8"/>
  </r>
  <r>
    <x v="0"/>
    <x v="3"/>
    <x v="2"/>
    <x v="21"/>
    <x v="7"/>
    <n v="113.6"/>
  </r>
  <r>
    <x v="0"/>
    <x v="3"/>
    <x v="2"/>
    <x v="22"/>
    <x v="8"/>
    <n v="122.5"/>
  </r>
  <r>
    <x v="0"/>
    <x v="3"/>
    <x v="2"/>
    <x v="23"/>
    <x v="9"/>
    <n v="127.5"/>
  </r>
  <r>
    <x v="0"/>
    <x v="3"/>
    <x v="2"/>
    <x v="24"/>
    <x v="8"/>
    <n v="117.4"/>
  </r>
  <r>
    <x v="0"/>
    <x v="3"/>
    <x v="2"/>
    <x v="25"/>
    <x v="5"/>
    <n v="121.1"/>
  </r>
  <r>
    <x v="0"/>
    <x v="3"/>
    <x v="2"/>
    <x v="26"/>
    <x v="10"/>
    <n v="128"/>
  </r>
  <r>
    <x v="1"/>
    <x v="3"/>
    <x v="2"/>
    <x v="0"/>
    <x v="0"/>
    <n v="124.8"/>
  </r>
  <r>
    <x v="1"/>
    <x v="3"/>
    <x v="2"/>
    <x v="1"/>
    <x v="0"/>
    <n v="136.30000000000001"/>
  </r>
  <r>
    <x v="1"/>
    <x v="3"/>
    <x v="2"/>
    <x v="2"/>
    <x v="0"/>
    <n v="123.7"/>
  </r>
  <r>
    <x v="1"/>
    <x v="3"/>
    <x v="2"/>
    <x v="3"/>
    <x v="0"/>
    <n v="129.69999999999999"/>
  </r>
  <r>
    <x v="1"/>
    <x v="3"/>
    <x v="2"/>
    <x v="4"/>
    <x v="0"/>
    <n v="107.9"/>
  </r>
  <r>
    <x v="1"/>
    <x v="3"/>
    <x v="2"/>
    <x v="5"/>
    <x v="0"/>
    <n v="119.9"/>
  </r>
  <r>
    <x v="1"/>
    <x v="3"/>
    <x v="2"/>
    <x v="6"/>
    <x v="0"/>
    <n v="128.1"/>
  </r>
  <r>
    <x v="1"/>
    <x v="3"/>
    <x v="2"/>
    <x v="7"/>
    <x v="0"/>
    <n v="170.3"/>
  </r>
  <r>
    <x v="1"/>
    <x v="3"/>
    <x v="2"/>
    <x v="8"/>
    <x v="0"/>
    <n v="101.8"/>
  </r>
  <r>
    <x v="1"/>
    <x v="3"/>
    <x v="2"/>
    <x v="9"/>
    <x v="0"/>
    <n v="140.1"/>
  </r>
  <r>
    <x v="1"/>
    <x v="3"/>
    <x v="2"/>
    <x v="10"/>
    <x v="0"/>
    <n v="120.7"/>
  </r>
  <r>
    <x v="1"/>
    <x v="3"/>
    <x v="2"/>
    <x v="11"/>
    <x v="0"/>
    <n v="135.4"/>
  </r>
  <r>
    <x v="1"/>
    <x v="3"/>
    <x v="2"/>
    <x v="12"/>
    <x v="0"/>
    <n v="128.9"/>
  </r>
  <r>
    <x v="1"/>
    <x v="3"/>
    <x v="2"/>
    <x v="13"/>
    <x v="1"/>
    <n v="140.6"/>
  </r>
  <r>
    <x v="1"/>
    <x v="3"/>
    <x v="2"/>
    <x v="14"/>
    <x v="2"/>
    <n v="126.4"/>
  </r>
  <r>
    <x v="1"/>
    <x v="3"/>
    <x v="2"/>
    <x v="15"/>
    <x v="2"/>
    <n v="120.3"/>
  </r>
  <r>
    <x v="1"/>
    <x v="3"/>
    <x v="2"/>
    <x v="16"/>
    <x v="2"/>
    <n v="125.5"/>
  </r>
  <r>
    <x v="1"/>
    <x v="3"/>
    <x v="2"/>
    <x v="17"/>
    <x v="3"/>
    <n v="124.9"/>
  </r>
  <r>
    <x v="1"/>
    <x v="3"/>
    <x v="2"/>
    <x v="18"/>
    <x v="4"/>
    <n v="114.8"/>
  </r>
  <r>
    <x v="1"/>
    <x v="3"/>
    <x v="2"/>
    <x v="19"/>
    <x v="5"/>
    <n v="122.3"/>
  </r>
  <r>
    <x v="1"/>
    <x v="3"/>
    <x v="2"/>
    <x v="20"/>
    <x v="6"/>
    <n v="119.7"/>
  </r>
  <r>
    <x v="1"/>
    <x v="3"/>
    <x v="2"/>
    <x v="21"/>
    <x v="7"/>
    <n v="108.5"/>
  </r>
  <r>
    <x v="1"/>
    <x v="3"/>
    <x v="2"/>
    <x v="22"/>
    <x v="8"/>
    <n v="119.1"/>
  </r>
  <r>
    <x v="1"/>
    <x v="3"/>
    <x v="2"/>
    <x v="23"/>
    <x v="9"/>
    <n v="126.4"/>
  </r>
  <r>
    <x v="1"/>
    <x v="3"/>
    <x v="2"/>
    <x v="24"/>
    <x v="8"/>
    <n v="117.1"/>
  </r>
  <r>
    <x v="1"/>
    <x v="3"/>
    <x v="2"/>
    <x v="25"/>
    <x v="5"/>
    <n v="117.3"/>
  </r>
  <r>
    <x v="1"/>
    <x v="3"/>
    <x v="2"/>
    <x v="26"/>
    <x v="10"/>
    <n v="123.8"/>
  </r>
  <r>
    <x v="2"/>
    <x v="3"/>
    <x v="2"/>
    <x v="0"/>
    <x v="0"/>
    <n v="126.5"/>
  </r>
  <r>
    <x v="2"/>
    <x v="3"/>
    <x v="2"/>
    <x v="1"/>
    <x v="0"/>
    <n v="135.1"/>
  </r>
  <r>
    <x v="2"/>
    <x v="3"/>
    <x v="2"/>
    <x v="2"/>
    <x v="0"/>
    <n v="124.6"/>
  </r>
  <r>
    <x v="2"/>
    <x v="3"/>
    <x v="2"/>
    <x v="3"/>
    <x v="0"/>
    <n v="130.19999999999999"/>
  </r>
  <r>
    <x v="2"/>
    <x v="3"/>
    <x v="2"/>
    <x v="4"/>
    <x v="0"/>
    <n v="114.5"/>
  </r>
  <r>
    <x v="2"/>
    <x v="3"/>
    <x v="2"/>
    <x v="5"/>
    <x v="0"/>
    <n v="126.2"/>
  </r>
  <r>
    <x v="2"/>
    <x v="3"/>
    <x v="2"/>
    <x v="6"/>
    <x v="0"/>
    <n v="129.80000000000001"/>
  </r>
  <r>
    <x v="2"/>
    <x v="3"/>
    <x v="2"/>
    <x v="7"/>
    <x v="0"/>
    <n v="164.3"/>
  </r>
  <r>
    <x v="2"/>
    <x v="3"/>
    <x v="2"/>
    <x v="8"/>
    <x v="0"/>
    <n v="100.9"/>
  </r>
  <r>
    <x v="2"/>
    <x v="3"/>
    <x v="2"/>
    <x v="9"/>
    <x v="0"/>
    <n v="133.9"/>
  </r>
  <r>
    <x v="2"/>
    <x v="3"/>
    <x v="2"/>
    <x v="10"/>
    <x v="0"/>
    <n v="123.1"/>
  </r>
  <r>
    <x v="2"/>
    <x v="3"/>
    <x v="2"/>
    <x v="11"/>
    <x v="0"/>
    <n v="136.30000000000001"/>
  </r>
  <r>
    <x v="2"/>
    <x v="3"/>
    <x v="2"/>
    <x v="12"/>
    <x v="0"/>
    <n v="129.80000000000001"/>
  </r>
  <r>
    <x v="2"/>
    <x v="3"/>
    <x v="2"/>
    <x v="13"/>
    <x v="1"/>
    <n v="136.5"/>
  </r>
  <r>
    <x v="2"/>
    <x v="3"/>
    <x v="2"/>
    <x v="14"/>
    <x v="2"/>
    <n v="131.30000000000001"/>
  </r>
  <r>
    <x v="2"/>
    <x v="3"/>
    <x v="2"/>
    <x v="15"/>
    <x v="2"/>
    <n v="126.1"/>
  </r>
  <r>
    <x v="2"/>
    <x v="3"/>
    <x v="2"/>
    <x v="16"/>
    <x v="2"/>
    <n v="130.5"/>
  </r>
  <r>
    <x v="2"/>
    <x v="3"/>
    <x v="2"/>
    <x v="17"/>
    <x v="3"/>
    <n v="124.9"/>
  </r>
  <r>
    <x v="2"/>
    <x v="3"/>
    <x v="2"/>
    <x v="18"/>
    <x v="4"/>
    <n v="122.4"/>
  </r>
  <r>
    <x v="2"/>
    <x v="3"/>
    <x v="2"/>
    <x v="19"/>
    <x v="5"/>
    <n v="125.1"/>
  </r>
  <r>
    <x v="2"/>
    <x v="3"/>
    <x v="2"/>
    <x v="20"/>
    <x v="6"/>
    <n v="122.9"/>
  </r>
  <r>
    <x v="2"/>
    <x v="3"/>
    <x v="2"/>
    <x v="21"/>
    <x v="7"/>
    <n v="110.9"/>
  </r>
  <r>
    <x v="2"/>
    <x v="3"/>
    <x v="2"/>
    <x v="22"/>
    <x v="8"/>
    <n v="120.6"/>
  </r>
  <r>
    <x v="2"/>
    <x v="3"/>
    <x v="2"/>
    <x v="23"/>
    <x v="9"/>
    <n v="126.9"/>
  </r>
  <r>
    <x v="2"/>
    <x v="3"/>
    <x v="2"/>
    <x v="24"/>
    <x v="8"/>
    <n v="117.3"/>
  </r>
  <r>
    <x v="2"/>
    <x v="3"/>
    <x v="2"/>
    <x v="25"/>
    <x v="5"/>
    <n v="119.3"/>
  </r>
  <r>
    <x v="2"/>
    <x v="3"/>
    <x v="2"/>
    <x v="26"/>
    <x v="10"/>
    <n v="126"/>
  </r>
  <r>
    <x v="0"/>
    <x v="3"/>
    <x v="3"/>
    <x v="0"/>
    <x v="0"/>
    <n v="127.4"/>
  </r>
  <r>
    <x v="0"/>
    <x v="3"/>
    <x v="3"/>
    <x v="1"/>
    <x v="0"/>
    <n v="135.4"/>
  </r>
  <r>
    <x v="0"/>
    <x v="3"/>
    <x v="3"/>
    <x v="2"/>
    <x v="0"/>
    <n v="123.4"/>
  </r>
  <r>
    <x v="0"/>
    <x v="3"/>
    <x v="3"/>
    <x v="3"/>
    <x v="0"/>
    <n v="131.30000000000001"/>
  </r>
  <r>
    <x v="0"/>
    <x v="3"/>
    <x v="3"/>
    <x v="4"/>
    <x v="0"/>
    <n v="118.2"/>
  </r>
  <r>
    <x v="0"/>
    <x v="3"/>
    <x v="3"/>
    <x v="5"/>
    <x v="0"/>
    <n v="138.1"/>
  </r>
  <r>
    <x v="0"/>
    <x v="3"/>
    <x v="3"/>
    <x v="6"/>
    <x v="0"/>
    <n v="134.1"/>
  </r>
  <r>
    <x v="0"/>
    <x v="3"/>
    <x v="3"/>
    <x v="7"/>
    <x v="0"/>
    <n v="162.69999999999999"/>
  </r>
  <r>
    <x v="0"/>
    <x v="3"/>
    <x v="3"/>
    <x v="8"/>
    <x v="0"/>
    <n v="105"/>
  </r>
  <r>
    <x v="0"/>
    <x v="3"/>
    <x v="3"/>
    <x v="9"/>
    <x v="0"/>
    <n v="131.4"/>
  </r>
  <r>
    <x v="0"/>
    <x v="3"/>
    <x v="3"/>
    <x v="10"/>
    <x v="0"/>
    <n v="125.4"/>
  </r>
  <r>
    <x v="0"/>
    <x v="3"/>
    <x v="3"/>
    <x v="11"/>
    <x v="0"/>
    <n v="137.4"/>
  </r>
  <r>
    <x v="0"/>
    <x v="3"/>
    <x v="3"/>
    <x v="12"/>
    <x v="0"/>
    <n v="131.80000000000001"/>
  </r>
  <r>
    <x v="0"/>
    <x v="3"/>
    <x v="3"/>
    <x v="13"/>
    <x v="1"/>
    <n v="135.5"/>
  </r>
  <r>
    <x v="0"/>
    <x v="3"/>
    <x v="3"/>
    <x v="14"/>
    <x v="2"/>
    <n v="135"/>
  </r>
  <r>
    <x v="0"/>
    <x v="3"/>
    <x v="3"/>
    <x v="15"/>
    <x v="2"/>
    <n v="130.6"/>
  </r>
  <r>
    <x v="0"/>
    <x v="3"/>
    <x v="3"/>
    <x v="16"/>
    <x v="2"/>
    <n v="134.4"/>
  </r>
  <r>
    <x v="0"/>
    <x v="3"/>
    <x v="3"/>
    <x v="17"/>
    <x v="3"/>
    <s v="NA"/>
  </r>
  <r>
    <x v="0"/>
    <x v="3"/>
    <x v="3"/>
    <x v="18"/>
    <x v="4"/>
    <n v="127"/>
  </r>
  <r>
    <x v="0"/>
    <x v="3"/>
    <x v="3"/>
    <x v="19"/>
    <x v="5"/>
    <n v="128"/>
  </r>
  <r>
    <x v="0"/>
    <x v="3"/>
    <x v="3"/>
    <x v="20"/>
    <x v="6"/>
    <n v="125.2"/>
  </r>
  <r>
    <x v="0"/>
    <x v="3"/>
    <x v="3"/>
    <x v="21"/>
    <x v="7"/>
    <n v="114.4"/>
  </r>
  <r>
    <x v="0"/>
    <x v="3"/>
    <x v="3"/>
    <x v="22"/>
    <x v="8"/>
    <n v="123.2"/>
  </r>
  <r>
    <x v="0"/>
    <x v="3"/>
    <x v="3"/>
    <x v="23"/>
    <x v="9"/>
    <n v="127.9"/>
  </r>
  <r>
    <x v="0"/>
    <x v="3"/>
    <x v="3"/>
    <x v="24"/>
    <x v="8"/>
    <n v="118.4"/>
  </r>
  <r>
    <x v="0"/>
    <x v="3"/>
    <x v="3"/>
    <x v="25"/>
    <x v="5"/>
    <n v="121.7"/>
  </r>
  <r>
    <x v="0"/>
    <x v="3"/>
    <x v="3"/>
    <x v="26"/>
    <x v="10"/>
    <n v="129"/>
  </r>
  <r>
    <x v="1"/>
    <x v="3"/>
    <x v="3"/>
    <x v="0"/>
    <x v="0"/>
    <n v="124.9"/>
  </r>
  <r>
    <x v="1"/>
    <x v="3"/>
    <x v="3"/>
    <x v="1"/>
    <x v="0"/>
    <n v="139.30000000000001"/>
  </r>
  <r>
    <x v="1"/>
    <x v="3"/>
    <x v="3"/>
    <x v="2"/>
    <x v="0"/>
    <n v="119.9"/>
  </r>
  <r>
    <x v="1"/>
    <x v="3"/>
    <x v="3"/>
    <x v="3"/>
    <x v="0"/>
    <n v="130.19999999999999"/>
  </r>
  <r>
    <x v="1"/>
    <x v="3"/>
    <x v="3"/>
    <x v="4"/>
    <x v="0"/>
    <n v="108.9"/>
  </r>
  <r>
    <x v="1"/>
    <x v="3"/>
    <x v="3"/>
    <x v="5"/>
    <x v="0"/>
    <n v="131.1"/>
  </r>
  <r>
    <x v="1"/>
    <x v="3"/>
    <x v="3"/>
    <x v="6"/>
    <x v="0"/>
    <n v="136.80000000000001"/>
  </r>
  <r>
    <x v="1"/>
    <x v="3"/>
    <x v="3"/>
    <x v="7"/>
    <x v="0"/>
    <n v="176.9"/>
  </r>
  <r>
    <x v="1"/>
    <x v="3"/>
    <x v="3"/>
    <x v="8"/>
    <x v="0"/>
    <n v="109.1"/>
  </r>
  <r>
    <x v="1"/>
    <x v="3"/>
    <x v="3"/>
    <x v="9"/>
    <x v="0"/>
    <n v="140.4"/>
  </r>
  <r>
    <x v="1"/>
    <x v="3"/>
    <x v="3"/>
    <x v="10"/>
    <x v="0"/>
    <n v="121.1"/>
  </r>
  <r>
    <x v="1"/>
    <x v="3"/>
    <x v="3"/>
    <x v="11"/>
    <x v="0"/>
    <n v="135.9"/>
  </r>
  <r>
    <x v="1"/>
    <x v="3"/>
    <x v="3"/>
    <x v="12"/>
    <x v="0"/>
    <n v="131.80000000000001"/>
  </r>
  <r>
    <x v="1"/>
    <x v="3"/>
    <x v="3"/>
    <x v="13"/>
    <x v="1"/>
    <n v="141.5"/>
  </r>
  <r>
    <x v="1"/>
    <x v="3"/>
    <x v="3"/>
    <x v="14"/>
    <x v="2"/>
    <n v="126.8"/>
  </r>
  <r>
    <x v="1"/>
    <x v="3"/>
    <x v="3"/>
    <x v="15"/>
    <x v="2"/>
    <n v="120.5"/>
  </r>
  <r>
    <x v="1"/>
    <x v="3"/>
    <x v="3"/>
    <x v="16"/>
    <x v="2"/>
    <n v="125.8"/>
  </r>
  <r>
    <x v="1"/>
    <x v="3"/>
    <x v="3"/>
    <x v="17"/>
    <x v="3"/>
    <n v="125.6"/>
  </r>
  <r>
    <x v="1"/>
    <x v="3"/>
    <x v="3"/>
    <x v="18"/>
    <x v="4"/>
    <n v="114.6"/>
  </r>
  <r>
    <x v="1"/>
    <x v="3"/>
    <x v="3"/>
    <x v="19"/>
    <x v="5"/>
    <n v="122.8"/>
  </r>
  <r>
    <x v="1"/>
    <x v="3"/>
    <x v="3"/>
    <x v="20"/>
    <x v="6"/>
    <n v="120"/>
  </r>
  <r>
    <x v="1"/>
    <x v="3"/>
    <x v="3"/>
    <x v="21"/>
    <x v="7"/>
    <n v="110"/>
  </r>
  <r>
    <x v="1"/>
    <x v="3"/>
    <x v="3"/>
    <x v="22"/>
    <x v="8"/>
    <n v="119.5"/>
  </r>
  <r>
    <x v="1"/>
    <x v="3"/>
    <x v="3"/>
    <x v="23"/>
    <x v="9"/>
    <n v="127.6"/>
  </r>
  <r>
    <x v="1"/>
    <x v="3"/>
    <x v="3"/>
    <x v="24"/>
    <x v="8"/>
    <n v="117.6"/>
  </r>
  <r>
    <x v="1"/>
    <x v="3"/>
    <x v="3"/>
    <x v="25"/>
    <x v="5"/>
    <n v="118.2"/>
  </r>
  <r>
    <x v="1"/>
    <x v="3"/>
    <x v="3"/>
    <x v="26"/>
    <x v="10"/>
    <n v="125.3"/>
  </r>
  <r>
    <x v="2"/>
    <x v="3"/>
    <x v="3"/>
    <x v="0"/>
    <x v="0"/>
    <n v="126.6"/>
  </r>
  <r>
    <x v="2"/>
    <x v="3"/>
    <x v="3"/>
    <x v="1"/>
    <x v="0"/>
    <n v="136.80000000000001"/>
  </r>
  <r>
    <x v="2"/>
    <x v="3"/>
    <x v="3"/>
    <x v="2"/>
    <x v="0"/>
    <n v="122"/>
  </r>
  <r>
    <x v="2"/>
    <x v="3"/>
    <x v="3"/>
    <x v="3"/>
    <x v="0"/>
    <n v="130.9"/>
  </r>
  <r>
    <x v="2"/>
    <x v="3"/>
    <x v="3"/>
    <x v="4"/>
    <x v="0"/>
    <n v="114.8"/>
  </r>
  <r>
    <x v="2"/>
    <x v="3"/>
    <x v="3"/>
    <x v="5"/>
    <x v="0"/>
    <n v="134.80000000000001"/>
  </r>
  <r>
    <x v="2"/>
    <x v="3"/>
    <x v="3"/>
    <x v="6"/>
    <x v="0"/>
    <n v="135"/>
  </r>
  <r>
    <x v="2"/>
    <x v="3"/>
    <x v="3"/>
    <x v="7"/>
    <x v="0"/>
    <n v="167.5"/>
  </r>
  <r>
    <x v="2"/>
    <x v="3"/>
    <x v="3"/>
    <x v="8"/>
    <x v="0"/>
    <n v="106.4"/>
  </r>
  <r>
    <x v="2"/>
    <x v="3"/>
    <x v="3"/>
    <x v="9"/>
    <x v="0"/>
    <n v="134.4"/>
  </r>
  <r>
    <x v="2"/>
    <x v="3"/>
    <x v="3"/>
    <x v="10"/>
    <x v="0"/>
    <n v="123.6"/>
  </r>
  <r>
    <x v="2"/>
    <x v="3"/>
    <x v="3"/>
    <x v="11"/>
    <x v="0"/>
    <n v="136.69999999999999"/>
  </r>
  <r>
    <x v="2"/>
    <x v="3"/>
    <x v="3"/>
    <x v="12"/>
    <x v="0"/>
    <n v="131.80000000000001"/>
  </r>
  <r>
    <x v="2"/>
    <x v="3"/>
    <x v="3"/>
    <x v="13"/>
    <x v="1"/>
    <n v="137.1"/>
  </r>
  <r>
    <x v="2"/>
    <x v="3"/>
    <x v="3"/>
    <x v="14"/>
    <x v="2"/>
    <n v="131.80000000000001"/>
  </r>
  <r>
    <x v="2"/>
    <x v="3"/>
    <x v="3"/>
    <x v="15"/>
    <x v="2"/>
    <n v="126.4"/>
  </r>
  <r>
    <x v="2"/>
    <x v="3"/>
    <x v="3"/>
    <x v="16"/>
    <x v="2"/>
    <n v="131"/>
  </r>
  <r>
    <x v="2"/>
    <x v="3"/>
    <x v="3"/>
    <x v="17"/>
    <x v="3"/>
    <n v="125.6"/>
  </r>
  <r>
    <x v="2"/>
    <x v="3"/>
    <x v="3"/>
    <x v="18"/>
    <x v="4"/>
    <n v="122.3"/>
  </r>
  <r>
    <x v="2"/>
    <x v="3"/>
    <x v="3"/>
    <x v="19"/>
    <x v="5"/>
    <n v="125.5"/>
  </r>
  <r>
    <x v="2"/>
    <x v="3"/>
    <x v="3"/>
    <x v="20"/>
    <x v="6"/>
    <n v="123.2"/>
  </r>
  <r>
    <x v="2"/>
    <x v="3"/>
    <x v="3"/>
    <x v="21"/>
    <x v="7"/>
    <n v="112.1"/>
  </r>
  <r>
    <x v="2"/>
    <x v="3"/>
    <x v="3"/>
    <x v="22"/>
    <x v="8"/>
    <n v="121.1"/>
  </r>
  <r>
    <x v="2"/>
    <x v="3"/>
    <x v="3"/>
    <x v="23"/>
    <x v="9"/>
    <n v="127.7"/>
  </r>
  <r>
    <x v="2"/>
    <x v="3"/>
    <x v="3"/>
    <x v="24"/>
    <x v="8"/>
    <n v="118.1"/>
  </r>
  <r>
    <x v="2"/>
    <x v="3"/>
    <x v="3"/>
    <x v="25"/>
    <x v="5"/>
    <n v="120"/>
  </r>
  <r>
    <x v="2"/>
    <x v="3"/>
    <x v="3"/>
    <x v="26"/>
    <x v="10"/>
    <n v="127.3"/>
  </r>
  <r>
    <x v="0"/>
    <x v="3"/>
    <x v="4"/>
    <x v="0"/>
    <x v="0"/>
    <n v="127.6"/>
  </r>
  <r>
    <x v="0"/>
    <x v="3"/>
    <x v="4"/>
    <x v="1"/>
    <x v="0"/>
    <n v="137.5"/>
  </r>
  <r>
    <x v="0"/>
    <x v="3"/>
    <x v="4"/>
    <x v="2"/>
    <x v="0"/>
    <n v="124.4"/>
  </r>
  <r>
    <x v="0"/>
    <x v="3"/>
    <x v="4"/>
    <x v="3"/>
    <x v="0"/>
    <n v="132.4"/>
  </r>
  <r>
    <x v="0"/>
    <x v="3"/>
    <x v="4"/>
    <x v="4"/>
    <x v="0"/>
    <n v="118.2"/>
  </r>
  <r>
    <x v="0"/>
    <x v="3"/>
    <x v="4"/>
    <x v="5"/>
    <x v="0"/>
    <n v="138.1"/>
  </r>
  <r>
    <x v="0"/>
    <x v="3"/>
    <x v="4"/>
    <x v="6"/>
    <x v="0"/>
    <n v="141.80000000000001"/>
  </r>
  <r>
    <x v="0"/>
    <x v="3"/>
    <x v="4"/>
    <x v="7"/>
    <x v="0"/>
    <n v="166"/>
  </r>
  <r>
    <x v="0"/>
    <x v="3"/>
    <x v="4"/>
    <x v="8"/>
    <x v="0"/>
    <n v="107.5"/>
  </r>
  <r>
    <x v="0"/>
    <x v="3"/>
    <x v="4"/>
    <x v="9"/>
    <x v="0"/>
    <n v="132.19999999999999"/>
  </r>
  <r>
    <x v="0"/>
    <x v="3"/>
    <x v="4"/>
    <x v="10"/>
    <x v="0"/>
    <n v="126.1"/>
  </r>
  <r>
    <x v="0"/>
    <x v="3"/>
    <x v="4"/>
    <x v="11"/>
    <x v="0"/>
    <n v="138.30000000000001"/>
  </r>
  <r>
    <x v="0"/>
    <x v="3"/>
    <x v="4"/>
    <x v="12"/>
    <x v="0"/>
    <n v="133.6"/>
  </r>
  <r>
    <x v="0"/>
    <x v="3"/>
    <x v="4"/>
    <x v="13"/>
    <x v="1"/>
    <n v="136"/>
  </r>
  <r>
    <x v="0"/>
    <x v="3"/>
    <x v="4"/>
    <x v="14"/>
    <x v="2"/>
    <n v="135.4"/>
  </r>
  <r>
    <x v="0"/>
    <x v="3"/>
    <x v="4"/>
    <x v="15"/>
    <x v="2"/>
    <n v="131.1"/>
  </r>
  <r>
    <x v="0"/>
    <x v="3"/>
    <x v="4"/>
    <x v="16"/>
    <x v="2"/>
    <n v="134.80000000000001"/>
  </r>
  <r>
    <x v="0"/>
    <x v="3"/>
    <x v="4"/>
    <x v="17"/>
    <x v="3"/>
    <s v="NA"/>
  </r>
  <r>
    <x v="0"/>
    <x v="3"/>
    <x v="4"/>
    <x v="18"/>
    <x v="4"/>
    <n v="127.4"/>
  </r>
  <r>
    <x v="0"/>
    <x v="3"/>
    <x v="4"/>
    <x v="19"/>
    <x v="5"/>
    <n v="128.5"/>
  </r>
  <r>
    <x v="0"/>
    <x v="3"/>
    <x v="4"/>
    <x v="20"/>
    <x v="6"/>
    <n v="125.8"/>
  </r>
  <r>
    <x v="0"/>
    <x v="3"/>
    <x v="4"/>
    <x v="21"/>
    <x v="7"/>
    <n v="115.1"/>
  </r>
  <r>
    <x v="0"/>
    <x v="3"/>
    <x v="4"/>
    <x v="22"/>
    <x v="8"/>
    <n v="123.6"/>
  </r>
  <r>
    <x v="0"/>
    <x v="3"/>
    <x v="4"/>
    <x v="23"/>
    <x v="9"/>
    <n v="129.1"/>
  </r>
  <r>
    <x v="0"/>
    <x v="3"/>
    <x v="4"/>
    <x v="24"/>
    <x v="8"/>
    <n v="119.7"/>
  </r>
  <r>
    <x v="0"/>
    <x v="3"/>
    <x v="4"/>
    <x v="25"/>
    <x v="5"/>
    <n v="122.5"/>
  </r>
  <r>
    <x v="0"/>
    <x v="3"/>
    <x v="4"/>
    <x v="26"/>
    <x v="10"/>
    <n v="130.30000000000001"/>
  </r>
  <r>
    <x v="1"/>
    <x v="3"/>
    <x v="4"/>
    <x v="0"/>
    <x v="0"/>
    <n v="125"/>
  </r>
  <r>
    <x v="1"/>
    <x v="3"/>
    <x v="4"/>
    <x v="1"/>
    <x v="0"/>
    <n v="142.1"/>
  </r>
  <r>
    <x v="1"/>
    <x v="3"/>
    <x v="4"/>
    <x v="2"/>
    <x v="0"/>
    <n v="127"/>
  </r>
  <r>
    <x v="1"/>
    <x v="3"/>
    <x v="4"/>
    <x v="3"/>
    <x v="0"/>
    <n v="130.4"/>
  </r>
  <r>
    <x v="1"/>
    <x v="3"/>
    <x v="4"/>
    <x v="4"/>
    <x v="0"/>
    <n v="109.6"/>
  </r>
  <r>
    <x v="1"/>
    <x v="3"/>
    <x v="4"/>
    <x v="5"/>
    <x v="0"/>
    <n v="133.5"/>
  </r>
  <r>
    <x v="1"/>
    <x v="3"/>
    <x v="4"/>
    <x v="6"/>
    <x v="0"/>
    <n v="151.4"/>
  </r>
  <r>
    <x v="1"/>
    <x v="3"/>
    <x v="4"/>
    <x v="7"/>
    <x v="0"/>
    <n v="182.8"/>
  </r>
  <r>
    <x v="1"/>
    <x v="3"/>
    <x v="4"/>
    <x v="8"/>
    <x v="0"/>
    <n v="111.1"/>
  </r>
  <r>
    <x v="1"/>
    <x v="3"/>
    <x v="4"/>
    <x v="9"/>
    <x v="0"/>
    <n v="141.5"/>
  </r>
  <r>
    <x v="1"/>
    <x v="3"/>
    <x v="4"/>
    <x v="10"/>
    <x v="0"/>
    <n v="121.5"/>
  </r>
  <r>
    <x v="1"/>
    <x v="3"/>
    <x v="4"/>
    <x v="11"/>
    <x v="0"/>
    <n v="136.30000000000001"/>
  </r>
  <r>
    <x v="1"/>
    <x v="3"/>
    <x v="4"/>
    <x v="12"/>
    <x v="0"/>
    <n v="134.6"/>
  </r>
  <r>
    <x v="1"/>
    <x v="3"/>
    <x v="4"/>
    <x v="13"/>
    <x v="1"/>
    <n v="142.19999999999999"/>
  </r>
  <r>
    <x v="1"/>
    <x v="3"/>
    <x v="4"/>
    <x v="14"/>
    <x v="2"/>
    <n v="127.2"/>
  </r>
  <r>
    <x v="1"/>
    <x v="3"/>
    <x v="4"/>
    <x v="15"/>
    <x v="2"/>
    <n v="120.7"/>
  </r>
  <r>
    <x v="1"/>
    <x v="3"/>
    <x v="4"/>
    <x v="16"/>
    <x v="2"/>
    <n v="126.2"/>
  </r>
  <r>
    <x v="1"/>
    <x v="3"/>
    <x v="4"/>
    <x v="17"/>
    <x v="3"/>
    <n v="126"/>
  </r>
  <r>
    <x v="1"/>
    <x v="3"/>
    <x v="4"/>
    <x v="18"/>
    <x v="4"/>
    <n v="115"/>
  </r>
  <r>
    <x v="1"/>
    <x v="3"/>
    <x v="4"/>
    <x v="19"/>
    <x v="5"/>
    <n v="123.2"/>
  </r>
  <r>
    <x v="1"/>
    <x v="3"/>
    <x v="4"/>
    <x v="20"/>
    <x v="6"/>
    <n v="120.3"/>
  </r>
  <r>
    <x v="1"/>
    <x v="3"/>
    <x v="4"/>
    <x v="21"/>
    <x v="7"/>
    <n v="110.7"/>
  </r>
  <r>
    <x v="1"/>
    <x v="3"/>
    <x v="4"/>
    <x v="22"/>
    <x v="8"/>
    <n v="119.8"/>
  </r>
  <r>
    <x v="1"/>
    <x v="3"/>
    <x v="4"/>
    <x v="23"/>
    <x v="9"/>
    <n v="128"/>
  </r>
  <r>
    <x v="1"/>
    <x v="3"/>
    <x v="4"/>
    <x v="24"/>
    <x v="8"/>
    <n v="118.5"/>
  </r>
  <r>
    <x v="1"/>
    <x v="3"/>
    <x v="4"/>
    <x v="25"/>
    <x v="5"/>
    <n v="118.7"/>
  </r>
  <r>
    <x v="1"/>
    <x v="3"/>
    <x v="4"/>
    <x v="26"/>
    <x v="10"/>
    <n v="126.6"/>
  </r>
  <r>
    <x v="2"/>
    <x v="3"/>
    <x v="4"/>
    <x v="0"/>
    <x v="0"/>
    <n v="126.8"/>
  </r>
  <r>
    <x v="2"/>
    <x v="3"/>
    <x v="4"/>
    <x v="1"/>
    <x v="0"/>
    <n v="139.1"/>
  </r>
  <r>
    <x v="2"/>
    <x v="3"/>
    <x v="4"/>
    <x v="2"/>
    <x v="0"/>
    <n v="125.4"/>
  </r>
  <r>
    <x v="2"/>
    <x v="3"/>
    <x v="4"/>
    <x v="3"/>
    <x v="0"/>
    <n v="131.69999999999999"/>
  </r>
  <r>
    <x v="2"/>
    <x v="3"/>
    <x v="4"/>
    <x v="4"/>
    <x v="0"/>
    <n v="115"/>
  </r>
  <r>
    <x v="2"/>
    <x v="3"/>
    <x v="4"/>
    <x v="5"/>
    <x v="0"/>
    <n v="136"/>
  </r>
  <r>
    <x v="2"/>
    <x v="3"/>
    <x v="4"/>
    <x v="6"/>
    <x v="0"/>
    <n v="145.1"/>
  </r>
  <r>
    <x v="2"/>
    <x v="3"/>
    <x v="4"/>
    <x v="7"/>
    <x v="0"/>
    <n v="171.7"/>
  </r>
  <r>
    <x v="2"/>
    <x v="3"/>
    <x v="4"/>
    <x v="8"/>
    <x v="0"/>
    <n v="108.7"/>
  </r>
  <r>
    <x v="2"/>
    <x v="3"/>
    <x v="4"/>
    <x v="9"/>
    <x v="0"/>
    <n v="135.30000000000001"/>
  </r>
  <r>
    <x v="2"/>
    <x v="3"/>
    <x v="4"/>
    <x v="10"/>
    <x v="0"/>
    <n v="124.2"/>
  </r>
  <r>
    <x v="2"/>
    <x v="3"/>
    <x v="4"/>
    <x v="11"/>
    <x v="0"/>
    <n v="137.4"/>
  </r>
  <r>
    <x v="2"/>
    <x v="3"/>
    <x v="4"/>
    <x v="12"/>
    <x v="0"/>
    <n v="134"/>
  </r>
  <r>
    <x v="2"/>
    <x v="3"/>
    <x v="4"/>
    <x v="13"/>
    <x v="1"/>
    <n v="137.69999999999999"/>
  </r>
  <r>
    <x v="2"/>
    <x v="3"/>
    <x v="4"/>
    <x v="14"/>
    <x v="2"/>
    <n v="132.19999999999999"/>
  </r>
  <r>
    <x v="2"/>
    <x v="3"/>
    <x v="4"/>
    <x v="15"/>
    <x v="2"/>
    <n v="126.8"/>
  </r>
  <r>
    <x v="2"/>
    <x v="3"/>
    <x v="4"/>
    <x v="16"/>
    <x v="2"/>
    <n v="131.4"/>
  </r>
  <r>
    <x v="2"/>
    <x v="3"/>
    <x v="4"/>
    <x v="17"/>
    <x v="3"/>
    <n v="126"/>
  </r>
  <r>
    <x v="2"/>
    <x v="3"/>
    <x v="4"/>
    <x v="18"/>
    <x v="4"/>
    <n v="122.7"/>
  </r>
  <r>
    <x v="2"/>
    <x v="3"/>
    <x v="4"/>
    <x v="19"/>
    <x v="5"/>
    <n v="126"/>
  </r>
  <r>
    <x v="2"/>
    <x v="3"/>
    <x v="4"/>
    <x v="20"/>
    <x v="6"/>
    <n v="123.7"/>
  </r>
  <r>
    <x v="2"/>
    <x v="3"/>
    <x v="4"/>
    <x v="21"/>
    <x v="7"/>
    <n v="112.8"/>
  </r>
  <r>
    <x v="2"/>
    <x v="3"/>
    <x v="4"/>
    <x v="22"/>
    <x v="8"/>
    <n v="121.5"/>
  </r>
  <r>
    <x v="2"/>
    <x v="3"/>
    <x v="4"/>
    <x v="23"/>
    <x v="9"/>
    <n v="128.5"/>
  </r>
  <r>
    <x v="2"/>
    <x v="3"/>
    <x v="4"/>
    <x v="24"/>
    <x v="8"/>
    <n v="119.2"/>
  </r>
  <r>
    <x v="2"/>
    <x v="3"/>
    <x v="4"/>
    <x v="25"/>
    <x v="5"/>
    <n v="120.7"/>
  </r>
  <r>
    <x v="2"/>
    <x v="3"/>
    <x v="4"/>
    <x v="26"/>
    <x v="10"/>
    <n v="128.6"/>
  </r>
  <r>
    <x v="0"/>
    <x v="3"/>
    <x v="5"/>
    <x v="0"/>
    <x v="0"/>
    <n v="128.6"/>
  </r>
  <r>
    <x v="0"/>
    <x v="3"/>
    <x v="5"/>
    <x v="1"/>
    <x v="0"/>
    <n v="138.6"/>
  </r>
  <r>
    <x v="0"/>
    <x v="3"/>
    <x v="5"/>
    <x v="2"/>
    <x v="0"/>
    <n v="126.6"/>
  </r>
  <r>
    <x v="0"/>
    <x v="3"/>
    <x v="5"/>
    <x v="3"/>
    <x v="0"/>
    <n v="133.6"/>
  </r>
  <r>
    <x v="0"/>
    <x v="3"/>
    <x v="5"/>
    <x v="4"/>
    <x v="0"/>
    <n v="118.6"/>
  </r>
  <r>
    <x v="0"/>
    <x v="3"/>
    <x v="5"/>
    <x v="5"/>
    <x v="0"/>
    <n v="137.4"/>
  </r>
  <r>
    <x v="0"/>
    <x v="3"/>
    <x v="5"/>
    <x v="6"/>
    <x v="0"/>
    <n v="152.5"/>
  </r>
  <r>
    <x v="0"/>
    <x v="3"/>
    <x v="5"/>
    <x v="7"/>
    <x v="0"/>
    <n v="169.2"/>
  </r>
  <r>
    <x v="0"/>
    <x v="3"/>
    <x v="5"/>
    <x v="8"/>
    <x v="0"/>
    <n v="108.8"/>
  </r>
  <r>
    <x v="0"/>
    <x v="3"/>
    <x v="5"/>
    <x v="9"/>
    <x v="0"/>
    <n v="133.1"/>
  </r>
  <r>
    <x v="0"/>
    <x v="3"/>
    <x v="5"/>
    <x v="10"/>
    <x v="0"/>
    <n v="126.4"/>
  </r>
  <r>
    <x v="0"/>
    <x v="3"/>
    <x v="5"/>
    <x v="11"/>
    <x v="0"/>
    <n v="139.19999999999999"/>
  </r>
  <r>
    <x v="0"/>
    <x v="3"/>
    <x v="5"/>
    <x v="12"/>
    <x v="0"/>
    <n v="136"/>
  </r>
  <r>
    <x v="0"/>
    <x v="3"/>
    <x v="5"/>
    <x v="13"/>
    <x v="1"/>
    <n v="137.19999999999999"/>
  </r>
  <r>
    <x v="0"/>
    <x v="3"/>
    <x v="5"/>
    <x v="14"/>
    <x v="2"/>
    <n v="136.30000000000001"/>
  </r>
  <r>
    <x v="0"/>
    <x v="3"/>
    <x v="5"/>
    <x v="15"/>
    <x v="2"/>
    <n v="131.6"/>
  </r>
  <r>
    <x v="0"/>
    <x v="3"/>
    <x v="5"/>
    <x v="16"/>
    <x v="2"/>
    <n v="135.6"/>
  </r>
  <r>
    <x v="0"/>
    <x v="3"/>
    <x v="5"/>
    <x v="17"/>
    <x v="3"/>
    <s v="NA"/>
  </r>
  <r>
    <x v="0"/>
    <x v="3"/>
    <x v="5"/>
    <x v="18"/>
    <x v="4"/>
    <n v="128"/>
  </r>
  <r>
    <x v="0"/>
    <x v="3"/>
    <x v="5"/>
    <x v="19"/>
    <x v="5"/>
    <n v="129.30000000000001"/>
  </r>
  <r>
    <x v="0"/>
    <x v="3"/>
    <x v="5"/>
    <x v="20"/>
    <x v="6"/>
    <n v="126.2"/>
  </r>
  <r>
    <x v="0"/>
    <x v="3"/>
    <x v="5"/>
    <x v="21"/>
    <x v="7"/>
    <n v="116.3"/>
  </r>
  <r>
    <x v="0"/>
    <x v="3"/>
    <x v="5"/>
    <x v="22"/>
    <x v="8"/>
    <n v="124.1"/>
  </r>
  <r>
    <x v="0"/>
    <x v="3"/>
    <x v="5"/>
    <x v="23"/>
    <x v="9"/>
    <n v="130.19999999999999"/>
  </r>
  <r>
    <x v="0"/>
    <x v="3"/>
    <x v="5"/>
    <x v="24"/>
    <x v="8"/>
    <n v="119.9"/>
  </r>
  <r>
    <x v="0"/>
    <x v="3"/>
    <x v="5"/>
    <x v="25"/>
    <x v="5"/>
    <n v="123.3"/>
  </r>
  <r>
    <x v="0"/>
    <x v="3"/>
    <x v="5"/>
    <x v="26"/>
    <x v="10"/>
    <n v="131.9"/>
  </r>
  <r>
    <x v="1"/>
    <x v="3"/>
    <x v="5"/>
    <x v="0"/>
    <x v="0"/>
    <n v="125.9"/>
  </r>
  <r>
    <x v="1"/>
    <x v="3"/>
    <x v="5"/>
    <x v="1"/>
    <x v="0"/>
    <n v="143.9"/>
  </r>
  <r>
    <x v="1"/>
    <x v="3"/>
    <x v="5"/>
    <x v="2"/>
    <x v="0"/>
    <n v="130.9"/>
  </r>
  <r>
    <x v="1"/>
    <x v="3"/>
    <x v="5"/>
    <x v="3"/>
    <x v="0"/>
    <n v="131"/>
  </r>
  <r>
    <x v="1"/>
    <x v="3"/>
    <x v="5"/>
    <x v="4"/>
    <x v="0"/>
    <n v="110.2"/>
  </r>
  <r>
    <x v="1"/>
    <x v="3"/>
    <x v="5"/>
    <x v="5"/>
    <x v="0"/>
    <n v="135.5"/>
  </r>
  <r>
    <x v="1"/>
    <x v="3"/>
    <x v="5"/>
    <x v="6"/>
    <x v="0"/>
    <n v="173.7"/>
  </r>
  <r>
    <x v="1"/>
    <x v="3"/>
    <x v="5"/>
    <x v="7"/>
    <x v="0"/>
    <n v="184.4"/>
  </r>
  <r>
    <x v="1"/>
    <x v="3"/>
    <x v="5"/>
    <x v="8"/>
    <x v="0"/>
    <n v="112"/>
  </r>
  <r>
    <x v="1"/>
    <x v="3"/>
    <x v="5"/>
    <x v="9"/>
    <x v="0"/>
    <n v="142.80000000000001"/>
  </r>
  <r>
    <x v="1"/>
    <x v="3"/>
    <x v="5"/>
    <x v="10"/>
    <x v="0"/>
    <n v="121.6"/>
  </r>
  <r>
    <x v="1"/>
    <x v="3"/>
    <x v="5"/>
    <x v="11"/>
    <x v="0"/>
    <n v="136.9"/>
  </r>
  <r>
    <x v="1"/>
    <x v="3"/>
    <x v="5"/>
    <x v="12"/>
    <x v="0"/>
    <n v="138.19999999999999"/>
  </r>
  <r>
    <x v="1"/>
    <x v="3"/>
    <x v="5"/>
    <x v="13"/>
    <x v="1"/>
    <n v="142.69999999999999"/>
  </r>
  <r>
    <x v="1"/>
    <x v="3"/>
    <x v="5"/>
    <x v="14"/>
    <x v="2"/>
    <n v="127.6"/>
  </r>
  <r>
    <x v="1"/>
    <x v="3"/>
    <x v="5"/>
    <x v="15"/>
    <x v="2"/>
    <n v="121.1"/>
  </r>
  <r>
    <x v="1"/>
    <x v="3"/>
    <x v="5"/>
    <x v="16"/>
    <x v="2"/>
    <n v="126.6"/>
  </r>
  <r>
    <x v="1"/>
    <x v="3"/>
    <x v="5"/>
    <x v="17"/>
    <x v="3"/>
    <n v="125.5"/>
  </r>
  <r>
    <x v="1"/>
    <x v="3"/>
    <x v="5"/>
    <x v="18"/>
    <x v="4"/>
    <n v="115.5"/>
  </r>
  <r>
    <x v="1"/>
    <x v="3"/>
    <x v="5"/>
    <x v="19"/>
    <x v="5"/>
    <n v="123.2"/>
  </r>
  <r>
    <x v="1"/>
    <x v="3"/>
    <x v="5"/>
    <x v="20"/>
    <x v="6"/>
    <n v="120.6"/>
  </r>
  <r>
    <x v="1"/>
    <x v="3"/>
    <x v="5"/>
    <x v="21"/>
    <x v="7"/>
    <n v="112.3"/>
  </r>
  <r>
    <x v="1"/>
    <x v="3"/>
    <x v="5"/>
    <x v="22"/>
    <x v="8"/>
    <n v="119.9"/>
  </r>
  <r>
    <x v="1"/>
    <x v="3"/>
    <x v="5"/>
    <x v="23"/>
    <x v="9"/>
    <n v="129.30000000000001"/>
  </r>
  <r>
    <x v="1"/>
    <x v="3"/>
    <x v="5"/>
    <x v="24"/>
    <x v="8"/>
    <n v="118.8"/>
  </r>
  <r>
    <x v="1"/>
    <x v="3"/>
    <x v="5"/>
    <x v="25"/>
    <x v="5"/>
    <n v="119.6"/>
  </r>
  <r>
    <x v="1"/>
    <x v="3"/>
    <x v="5"/>
    <x v="26"/>
    <x v="10"/>
    <n v="128.1"/>
  </r>
  <r>
    <x v="2"/>
    <x v="3"/>
    <x v="5"/>
    <x v="0"/>
    <x v="0"/>
    <n v="127.7"/>
  </r>
  <r>
    <x v="2"/>
    <x v="3"/>
    <x v="5"/>
    <x v="1"/>
    <x v="0"/>
    <n v="140.5"/>
  </r>
  <r>
    <x v="2"/>
    <x v="3"/>
    <x v="5"/>
    <x v="2"/>
    <x v="0"/>
    <n v="128.30000000000001"/>
  </r>
  <r>
    <x v="2"/>
    <x v="3"/>
    <x v="5"/>
    <x v="3"/>
    <x v="0"/>
    <n v="132.6"/>
  </r>
  <r>
    <x v="2"/>
    <x v="3"/>
    <x v="5"/>
    <x v="4"/>
    <x v="0"/>
    <n v="115.5"/>
  </r>
  <r>
    <x v="2"/>
    <x v="3"/>
    <x v="5"/>
    <x v="5"/>
    <x v="0"/>
    <n v="136.5"/>
  </r>
  <r>
    <x v="2"/>
    <x v="3"/>
    <x v="5"/>
    <x v="6"/>
    <x v="0"/>
    <n v="159.69999999999999"/>
  </r>
  <r>
    <x v="2"/>
    <x v="3"/>
    <x v="5"/>
    <x v="7"/>
    <x v="0"/>
    <n v="174.3"/>
  </r>
  <r>
    <x v="2"/>
    <x v="3"/>
    <x v="5"/>
    <x v="8"/>
    <x v="0"/>
    <n v="109.9"/>
  </r>
  <r>
    <x v="2"/>
    <x v="3"/>
    <x v="5"/>
    <x v="9"/>
    <x v="0"/>
    <n v="136.30000000000001"/>
  </r>
  <r>
    <x v="2"/>
    <x v="3"/>
    <x v="5"/>
    <x v="10"/>
    <x v="0"/>
    <n v="124.4"/>
  </r>
  <r>
    <x v="2"/>
    <x v="3"/>
    <x v="5"/>
    <x v="11"/>
    <x v="0"/>
    <n v="138.1"/>
  </r>
  <r>
    <x v="2"/>
    <x v="3"/>
    <x v="5"/>
    <x v="12"/>
    <x v="0"/>
    <n v="136.80000000000001"/>
  </r>
  <r>
    <x v="2"/>
    <x v="3"/>
    <x v="5"/>
    <x v="13"/>
    <x v="1"/>
    <n v="138.69999999999999"/>
  </r>
  <r>
    <x v="2"/>
    <x v="3"/>
    <x v="5"/>
    <x v="14"/>
    <x v="2"/>
    <n v="132.9"/>
  </r>
  <r>
    <x v="2"/>
    <x v="3"/>
    <x v="5"/>
    <x v="15"/>
    <x v="2"/>
    <n v="127.2"/>
  </r>
  <r>
    <x v="2"/>
    <x v="3"/>
    <x v="5"/>
    <x v="16"/>
    <x v="2"/>
    <n v="132"/>
  </r>
  <r>
    <x v="2"/>
    <x v="3"/>
    <x v="5"/>
    <x v="17"/>
    <x v="3"/>
    <n v="125.5"/>
  </r>
  <r>
    <x v="2"/>
    <x v="3"/>
    <x v="5"/>
    <x v="18"/>
    <x v="4"/>
    <n v="123.3"/>
  </r>
  <r>
    <x v="2"/>
    <x v="3"/>
    <x v="5"/>
    <x v="19"/>
    <x v="5"/>
    <n v="126.4"/>
  </r>
  <r>
    <x v="2"/>
    <x v="3"/>
    <x v="5"/>
    <x v="20"/>
    <x v="6"/>
    <n v="124.1"/>
  </r>
  <r>
    <x v="2"/>
    <x v="3"/>
    <x v="5"/>
    <x v="21"/>
    <x v="7"/>
    <n v="114.2"/>
  </r>
  <r>
    <x v="2"/>
    <x v="3"/>
    <x v="5"/>
    <x v="22"/>
    <x v="8"/>
    <n v="121.7"/>
  </r>
  <r>
    <x v="2"/>
    <x v="3"/>
    <x v="5"/>
    <x v="23"/>
    <x v="9"/>
    <n v="129.69999999999999"/>
  </r>
  <r>
    <x v="2"/>
    <x v="3"/>
    <x v="5"/>
    <x v="24"/>
    <x v="8"/>
    <n v="119.4"/>
  </r>
  <r>
    <x v="2"/>
    <x v="3"/>
    <x v="5"/>
    <x v="25"/>
    <x v="5"/>
    <n v="121.5"/>
  </r>
  <r>
    <x v="2"/>
    <x v="3"/>
    <x v="5"/>
    <x v="26"/>
    <x v="10"/>
    <n v="130.1"/>
  </r>
  <r>
    <x v="0"/>
    <x v="3"/>
    <x v="6"/>
    <x v="0"/>
    <x v="0"/>
    <n v="129.30000000000001"/>
  </r>
  <r>
    <x v="0"/>
    <x v="3"/>
    <x v="6"/>
    <x v="1"/>
    <x v="0"/>
    <n v="139.5"/>
  </r>
  <r>
    <x v="0"/>
    <x v="3"/>
    <x v="6"/>
    <x v="2"/>
    <x v="0"/>
    <n v="129.6"/>
  </r>
  <r>
    <x v="0"/>
    <x v="3"/>
    <x v="6"/>
    <x v="3"/>
    <x v="0"/>
    <n v="134.5"/>
  </r>
  <r>
    <x v="0"/>
    <x v="3"/>
    <x v="6"/>
    <x v="4"/>
    <x v="0"/>
    <n v="119.5"/>
  </r>
  <r>
    <x v="0"/>
    <x v="3"/>
    <x v="6"/>
    <x v="5"/>
    <x v="0"/>
    <n v="138.5"/>
  </r>
  <r>
    <x v="0"/>
    <x v="3"/>
    <x v="6"/>
    <x v="6"/>
    <x v="0"/>
    <n v="158.19999999999999"/>
  </r>
  <r>
    <x v="0"/>
    <x v="3"/>
    <x v="6"/>
    <x v="7"/>
    <x v="0"/>
    <n v="171.8"/>
  </r>
  <r>
    <x v="0"/>
    <x v="3"/>
    <x v="6"/>
    <x v="8"/>
    <x v="0"/>
    <n v="110.3"/>
  </r>
  <r>
    <x v="0"/>
    <x v="3"/>
    <x v="6"/>
    <x v="9"/>
    <x v="0"/>
    <n v="134.30000000000001"/>
  </r>
  <r>
    <x v="0"/>
    <x v="3"/>
    <x v="6"/>
    <x v="10"/>
    <x v="0"/>
    <n v="127.3"/>
  </r>
  <r>
    <x v="0"/>
    <x v="3"/>
    <x v="6"/>
    <x v="11"/>
    <x v="0"/>
    <n v="139.9"/>
  </r>
  <r>
    <x v="0"/>
    <x v="3"/>
    <x v="6"/>
    <x v="12"/>
    <x v="0"/>
    <n v="137.6"/>
  </r>
  <r>
    <x v="0"/>
    <x v="3"/>
    <x v="6"/>
    <x v="13"/>
    <x v="1"/>
    <n v="138"/>
  </r>
  <r>
    <x v="0"/>
    <x v="3"/>
    <x v="6"/>
    <x v="14"/>
    <x v="2"/>
    <n v="137.19999999999999"/>
  </r>
  <r>
    <x v="0"/>
    <x v="3"/>
    <x v="6"/>
    <x v="15"/>
    <x v="2"/>
    <n v="132.19999999999999"/>
  </r>
  <r>
    <x v="0"/>
    <x v="3"/>
    <x v="6"/>
    <x v="16"/>
    <x v="2"/>
    <n v="136.5"/>
  </r>
  <r>
    <x v="0"/>
    <x v="3"/>
    <x v="6"/>
    <x v="17"/>
    <x v="3"/>
    <s v="NA"/>
  </r>
  <r>
    <x v="0"/>
    <x v="3"/>
    <x v="6"/>
    <x v="18"/>
    <x v="4"/>
    <n v="128.19999999999999"/>
  </r>
  <r>
    <x v="0"/>
    <x v="3"/>
    <x v="6"/>
    <x v="19"/>
    <x v="5"/>
    <n v="130"/>
  </r>
  <r>
    <x v="0"/>
    <x v="3"/>
    <x v="6"/>
    <x v="20"/>
    <x v="6"/>
    <n v="126.7"/>
  </r>
  <r>
    <x v="0"/>
    <x v="3"/>
    <x v="6"/>
    <x v="21"/>
    <x v="7"/>
    <n v="116.4"/>
  </r>
  <r>
    <x v="0"/>
    <x v="3"/>
    <x v="6"/>
    <x v="22"/>
    <x v="8"/>
    <n v="125.2"/>
  </r>
  <r>
    <x v="0"/>
    <x v="3"/>
    <x v="6"/>
    <x v="23"/>
    <x v="9"/>
    <n v="130.80000000000001"/>
  </r>
  <r>
    <x v="0"/>
    <x v="3"/>
    <x v="6"/>
    <x v="24"/>
    <x v="8"/>
    <n v="120.9"/>
  </r>
  <r>
    <x v="0"/>
    <x v="3"/>
    <x v="6"/>
    <x v="25"/>
    <x v="5"/>
    <n v="123.8"/>
  </r>
  <r>
    <x v="0"/>
    <x v="3"/>
    <x v="6"/>
    <x v="26"/>
    <x v="10"/>
    <n v="133"/>
  </r>
  <r>
    <x v="1"/>
    <x v="3"/>
    <x v="6"/>
    <x v="0"/>
    <x v="0"/>
    <n v="126.8"/>
  </r>
  <r>
    <x v="1"/>
    <x v="3"/>
    <x v="6"/>
    <x v="1"/>
    <x v="0"/>
    <n v="144.19999999999999"/>
  </r>
  <r>
    <x v="1"/>
    <x v="3"/>
    <x v="6"/>
    <x v="2"/>
    <x v="0"/>
    <n v="136.6"/>
  </r>
  <r>
    <x v="1"/>
    <x v="3"/>
    <x v="6"/>
    <x v="3"/>
    <x v="0"/>
    <n v="131.80000000000001"/>
  </r>
  <r>
    <x v="1"/>
    <x v="3"/>
    <x v="6"/>
    <x v="4"/>
    <x v="0"/>
    <n v="111"/>
  </r>
  <r>
    <x v="1"/>
    <x v="3"/>
    <x v="6"/>
    <x v="5"/>
    <x v="0"/>
    <n v="137"/>
  </r>
  <r>
    <x v="1"/>
    <x v="3"/>
    <x v="6"/>
    <x v="6"/>
    <x v="0"/>
    <n v="179.5"/>
  </r>
  <r>
    <x v="1"/>
    <x v="3"/>
    <x v="6"/>
    <x v="7"/>
    <x v="0"/>
    <n v="188.4"/>
  </r>
  <r>
    <x v="1"/>
    <x v="3"/>
    <x v="6"/>
    <x v="8"/>
    <x v="0"/>
    <n v="113.3"/>
  </r>
  <r>
    <x v="1"/>
    <x v="3"/>
    <x v="6"/>
    <x v="9"/>
    <x v="0"/>
    <n v="143.9"/>
  </r>
  <r>
    <x v="1"/>
    <x v="3"/>
    <x v="6"/>
    <x v="10"/>
    <x v="0"/>
    <n v="121.7"/>
  </r>
  <r>
    <x v="1"/>
    <x v="3"/>
    <x v="6"/>
    <x v="11"/>
    <x v="0"/>
    <n v="137.5"/>
  </r>
  <r>
    <x v="1"/>
    <x v="3"/>
    <x v="6"/>
    <x v="12"/>
    <x v="0"/>
    <n v="139.80000000000001"/>
  </r>
  <r>
    <x v="1"/>
    <x v="3"/>
    <x v="6"/>
    <x v="13"/>
    <x v="1"/>
    <n v="142.9"/>
  </r>
  <r>
    <x v="1"/>
    <x v="3"/>
    <x v="6"/>
    <x v="14"/>
    <x v="2"/>
    <n v="127.9"/>
  </r>
  <r>
    <x v="1"/>
    <x v="3"/>
    <x v="6"/>
    <x v="15"/>
    <x v="2"/>
    <n v="121.1"/>
  </r>
  <r>
    <x v="1"/>
    <x v="3"/>
    <x v="6"/>
    <x v="16"/>
    <x v="2"/>
    <n v="126.9"/>
  </r>
  <r>
    <x v="1"/>
    <x v="3"/>
    <x v="6"/>
    <x v="17"/>
    <x v="3"/>
    <n v="126.4"/>
  </r>
  <r>
    <x v="1"/>
    <x v="3"/>
    <x v="6"/>
    <x v="18"/>
    <x v="4"/>
    <n v="115.5"/>
  </r>
  <r>
    <x v="1"/>
    <x v="3"/>
    <x v="6"/>
    <x v="19"/>
    <x v="5"/>
    <n v="123.5"/>
  </r>
  <r>
    <x v="1"/>
    <x v="3"/>
    <x v="6"/>
    <x v="20"/>
    <x v="6"/>
    <n v="120.9"/>
  </r>
  <r>
    <x v="1"/>
    <x v="3"/>
    <x v="6"/>
    <x v="21"/>
    <x v="7"/>
    <n v="111.7"/>
  </r>
  <r>
    <x v="1"/>
    <x v="3"/>
    <x v="6"/>
    <x v="22"/>
    <x v="8"/>
    <n v="120.3"/>
  </r>
  <r>
    <x v="1"/>
    <x v="3"/>
    <x v="6"/>
    <x v="23"/>
    <x v="9"/>
    <n v="130.80000000000001"/>
  </r>
  <r>
    <x v="1"/>
    <x v="3"/>
    <x v="6"/>
    <x v="24"/>
    <x v="8"/>
    <n v="120"/>
  </r>
  <r>
    <x v="1"/>
    <x v="3"/>
    <x v="6"/>
    <x v="25"/>
    <x v="5"/>
    <n v="119.9"/>
  </r>
  <r>
    <x v="1"/>
    <x v="3"/>
    <x v="6"/>
    <x v="26"/>
    <x v="10"/>
    <n v="129"/>
  </r>
  <r>
    <x v="2"/>
    <x v="3"/>
    <x v="6"/>
    <x v="0"/>
    <x v="0"/>
    <n v="128.5"/>
  </r>
  <r>
    <x v="2"/>
    <x v="3"/>
    <x v="6"/>
    <x v="1"/>
    <x v="0"/>
    <n v="141.19999999999999"/>
  </r>
  <r>
    <x v="2"/>
    <x v="3"/>
    <x v="6"/>
    <x v="2"/>
    <x v="0"/>
    <n v="132.30000000000001"/>
  </r>
  <r>
    <x v="2"/>
    <x v="3"/>
    <x v="6"/>
    <x v="3"/>
    <x v="0"/>
    <n v="133.5"/>
  </r>
  <r>
    <x v="2"/>
    <x v="3"/>
    <x v="6"/>
    <x v="4"/>
    <x v="0"/>
    <n v="116.4"/>
  </r>
  <r>
    <x v="2"/>
    <x v="3"/>
    <x v="6"/>
    <x v="5"/>
    <x v="0"/>
    <n v="137.80000000000001"/>
  </r>
  <r>
    <x v="2"/>
    <x v="3"/>
    <x v="6"/>
    <x v="6"/>
    <x v="0"/>
    <n v="165.4"/>
  </r>
  <r>
    <x v="2"/>
    <x v="3"/>
    <x v="6"/>
    <x v="7"/>
    <x v="0"/>
    <n v="177.4"/>
  </r>
  <r>
    <x v="2"/>
    <x v="3"/>
    <x v="6"/>
    <x v="8"/>
    <x v="0"/>
    <n v="111.3"/>
  </r>
  <r>
    <x v="2"/>
    <x v="3"/>
    <x v="6"/>
    <x v="9"/>
    <x v="0"/>
    <n v="137.5"/>
  </r>
  <r>
    <x v="2"/>
    <x v="3"/>
    <x v="6"/>
    <x v="10"/>
    <x v="0"/>
    <n v="125"/>
  </r>
  <r>
    <x v="2"/>
    <x v="3"/>
    <x v="6"/>
    <x v="11"/>
    <x v="0"/>
    <n v="138.80000000000001"/>
  </r>
  <r>
    <x v="2"/>
    <x v="3"/>
    <x v="6"/>
    <x v="12"/>
    <x v="0"/>
    <n v="138.4"/>
  </r>
  <r>
    <x v="2"/>
    <x v="3"/>
    <x v="6"/>
    <x v="13"/>
    <x v="1"/>
    <n v="139.30000000000001"/>
  </r>
  <r>
    <x v="2"/>
    <x v="3"/>
    <x v="6"/>
    <x v="14"/>
    <x v="2"/>
    <n v="133.5"/>
  </r>
  <r>
    <x v="2"/>
    <x v="3"/>
    <x v="6"/>
    <x v="15"/>
    <x v="2"/>
    <n v="127.6"/>
  </r>
  <r>
    <x v="2"/>
    <x v="3"/>
    <x v="6"/>
    <x v="16"/>
    <x v="2"/>
    <n v="132.69999999999999"/>
  </r>
  <r>
    <x v="2"/>
    <x v="3"/>
    <x v="6"/>
    <x v="17"/>
    <x v="3"/>
    <n v="126.4"/>
  </r>
  <r>
    <x v="2"/>
    <x v="3"/>
    <x v="6"/>
    <x v="18"/>
    <x v="4"/>
    <n v="123.4"/>
  </r>
  <r>
    <x v="2"/>
    <x v="3"/>
    <x v="6"/>
    <x v="19"/>
    <x v="5"/>
    <n v="126.9"/>
  </r>
  <r>
    <x v="2"/>
    <x v="3"/>
    <x v="6"/>
    <x v="20"/>
    <x v="6"/>
    <n v="124.5"/>
  </r>
  <r>
    <x v="2"/>
    <x v="3"/>
    <x v="6"/>
    <x v="21"/>
    <x v="7"/>
    <n v="113.9"/>
  </r>
  <r>
    <x v="2"/>
    <x v="3"/>
    <x v="6"/>
    <x v="22"/>
    <x v="8"/>
    <n v="122.4"/>
  </r>
  <r>
    <x v="2"/>
    <x v="3"/>
    <x v="6"/>
    <x v="23"/>
    <x v="9"/>
    <n v="130.80000000000001"/>
  </r>
  <r>
    <x v="2"/>
    <x v="3"/>
    <x v="6"/>
    <x v="24"/>
    <x v="8"/>
    <n v="120.5"/>
  </r>
  <r>
    <x v="2"/>
    <x v="3"/>
    <x v="6"/>
    <x v="25"/>
    <x v="5"/>
    <n v="121.9"/>
  </r>
  <r>
    <x v="2"/>
    <x v="3"/>
    <x v="6"/>
    <x v="26"/>
    <x v="10"/>
    <n v="131.1"/>
  </r>
  <r>
    <x v="0"/>
    <x v="3"/>
    <x v="7"/>
    <x v="0"/>
    <x v="0"/>
    <n v="130.1"/>
  </r>
  <r>
    <x v="0"/>
    <x v="3"/>
    <x v="7"/>
    <x v="1"/>
    <x v="0"/>
    <n v="138.80000000000001"/>
  </r>
  <r>
    <x v="0"/>
    <x v="3"/>
    <x v="7"/>
    <x v="2"/>
    <x v="0"/>
    <n v="130.30000000000001"/>
  </r>
  <r>
    <x v="0"/>
    <x v="3"/>
    <x v="7"/>
    <x v="3"/>
    <x v="0"/>
    <n v="135.30000000000001"/>
  </r>
  <r>
    <x v="0"/>
    <x v="3"/>
    <x v="7"/>
    <x v="4"/>
    <x v="0"/>
    <n v="119.9"/>
  </r>
  <r>
    <x v="0"/>
    <x v="3"/>
    <x v="7"/>
    <x v="5"/>
    <x v="0"/>
    <n v="140.19999999999999"/>
  </r>
  <r>
    <x v="0"/>
    <x v="3"/>
    <x v="7"/>
    <x v="6"/>
    <x v="0"/>
    <n v="156.9"/>
  </r>
  <r>
    <x v="0"/>
    <x v="3"/>
    <x v="7"/>
    <x v="7"/>
    <x v="0"/>
    <n v="172.2"/>
  </r>
  <r>
    <x v="0"/>
    <x v="3"/>
    <x v="7"/>
    <x v="8"/>
    <x v="0"/>
    <n v="112.1"/>
  </r>
  <r>
    <x v="0"/>
    <x v="3"/>
    <x v="7"/>
    <x v="9"/>
    <x v="0"/>
    <n v="134.9"/>
  </r>
  <r>
    <x v="0"/>
    <x v="3"/>
    <x v="7"/>
    <x v="10"/>
    <x v="0"/>
    <n v="128.1"/>
  </r>
  <r>
    <x v="0"/>
    <x v="3"/>
    <x v="7"/>
    <x v="11"/>
    <x v="0"/>
    <n v="140.69999999999999"/>
  </r>
  <r>
    <x v="0"/>
    <x v="3"/>
    <x v="7"/>
    <x v="12"/>
    <x v="0"/>
    <n v="138"/>
  </r>
  <r>
    <x v="0"/>
    <x v="3"/>
    <x v="7"/>
    <x v="13"/>
    <x v="1"/>
    <n v="138.9"/>
  </r>
  <r>
    <x v="0"/>
    <x v="3"/>
    <x v="7"/>
    <x v="14"/>
    <x v="2"/>
    <n v="137.80000000000001"/>
  </r>
  <r>
    <x v="0"/>
    <x v="3"/>
    <x v="7"/>
    <x v="15"/>
    <x v="2"/>
    <n v="133"/>
  </r>
  <r>
    <x v="0"/>
    <x v="3"/>
    <x v="7"/>
    <x v="16"/>
    <x v="2"/>
    <n v="137.1"/>
  </r>
  <r>
    <x v="0"/>
    <x v="3"/>
    <x v="7"/>
    <x v="17"/>
    <x v="3"/>
    <s v="NA"/>
  </r>
  <r>
    <x v="0"/>
    <x v="3"/>
    <x v="7"/>
    <x v="18"/>
    <x v="4"/>
    <n v="129.1"/>
  </r>
  <r>
    <x v="0"/>
    <x v="3"/>
    <x v="7"/>
    <x v="19"/>
    <x v="5"/>
    <n v="130.6"/>
  </r>
  <r>
    <x v="0"/>
    <x v="3"/>
    <x v="7"/>
    <x v="20"/>
    <x v="6"/>
    <n v="127"/>
  </r>
  <r>
    <x v="0"/>
    <x v="3"/>
    <x v="7"/>
    <x v="21"/>
    <x v="7"/>
    <n v="116"/>
  </r>
  <r>
    <x v="0"/>
    <x v="3"/>
    <x v="7"/>
    <x v="22"/>
    <x v="8"/>
    <n v="125.5"/>
  </r>
  <r>
    <x v="0"/>
    <x v="3"/>
    <x v="7"/>
    <x v="23"/>
    <x v="9"/>
    <n v="131.9"/>
  </r>
  <r>
    <x v="0"/>
    <x v="3"/>
    <x v="7"/>
    <x v="24"/>
    <x v="8"/>
    <n v="122"/>
  </r>
  <r>
    <x v="0"/>
    <x v="3"/>
    <x v="7"/>
    <x v="25"/>
    <x v="5"/>
    <n v="124.2"/>
  </r>
  <r>
    <x v="0"/>
    <x v="3"/>
    <x v="7"/>
    <x v="26"/>
    <x v="10"/>
    <n v="133.5"/>
  </r>
  <r>
    <x v="1"/>
    <x v="3"/>
    <x v="7"/>
    <x v="0"/>
    <x v="0"/>
    <n v="127.6"/>
  </r>
  <r>
    <x v="1"/>
    <x v="3"/>
    <x v="7"/>
    <x v="1"/>
    <x v="0"/>
    <n v="140.30000000000001"/>
  </r>
  <r>
    <x v="1"/>
    <x v="3"/>
    <x v="7"/>
    <x v="2"/>
    <x v="0"/>
    <n v="133.69999999999999"/>
  </r>
  <r>
    <x v="1"/>
    <x v="3"/>
    <x v="7"/>
    <x v="3"/>
    <x v="0"/>
    <n v="132.19999999999999"/>
  </r>
  <r>
    <x v="1"/>
    <x v="3"/>
    <x v="7"/>
    <x v="4"/>
    <x v="0"/>
    <n v="111.8"/>
  </r>
  <r>
    <x v="1"/>
    <x v="3"/>
    <x v="7"/>
    <x v="5"/>
    <x v="0"/>
    <n v="135.80000000000001"/>
  </r>
  <r>
    <x v="1"/>
    <x v="3"/>
    <x v="7"/>
    <x v="6"/>
    <x v="0"/>
    <n v="163.5"/>
  </r>
  <r>
    <x v="1"/>
    <x v="3"/>
    <x v="7"/>
    <x v="7"/>
    <x v="0"/>
    <n v="182.3"/>
  </r>
  <r>
    <x v="1"/>
    <x v="3"/>
    <x v="7"/>
    <x v="8"/>
    <x v="0"/>
    <n v="114.6"/>
  </r>
  <r>
    <x v="1"/>
    <x v="3"/>
    <x v="7"/>
    <x v="9"/>
    <x v="0"/>
    <n v="144.6"/>
  </r>
  <r>
    <x v="1"/>
    <x v="3"/>
    <x v="7"/>
    <x v="10"/>
    <x v="0"/>
    <n v="121.9"/>
  </r>
  <r>
    <x v="1"/>
    <x v="3"/>
    <x v="7"/>
    <x v="11"/>
    <x v="0"/>
    <n v="138.1"/>
  </r>
  <r>
    <x v="1"/>
    <x v="3"/>
    <x v="7"/>
    <x v="12"/>
    <x v="0"/>
    <n v="137.6"/>
  </r>
  <r>
    <x v="1"/>
    <x v="3"/>
    <x v="7"/>
    <x v="13"/>
    <x v="1"/>
    <n v="143.6"/>
  </r>
  <r>
    <x v="1"/>
    <x v="3"/>
    <x v="7"/>
    <x v="14"/>
    <x v="2"/>
    <n v="128.30000000000001"/>
  </r>
  <r>
    <x v="1"/>
    <x v="3"/>
    <x v="7"/>
    <x v="15"/>
    <x v="2"/>
    <n v="121.4"/>
  </r>
  <r>
    <x v="1"/>
    <x v="3"/>
    <x v="7"/>
    <x v="16"/>
    <x v="2"/>
    <n v="127.3"/>
  </r>
  <r>
    <x v="1"/>
    <x v="3"/>
    <x v="7"/>
    <x v="17"/>
    <x v="3"/>
    <n v="127.3"/>
  </r>
  <r>
    <x v="1"/>
    <x v="3"/>
    <x v="7"/>
    <x v="18"/>
    <x v="4"/>
    <n v="114.7"/>
  </r>
  <r>
    <x v="1"/>
    <x v="3"/>
    <x v="7"/>
    <x v="19"/>
    <x v="5"/>
    <n v="123.9"/>
  </r>
  <r>
    <x v="1"/>
    <x v="3"/>
    <x v="7"/>
    <x v="20"/>
    <x v="6"/>
    <n v="121.2"/>
  </r>
  <r>
    <x v="1"/>
    <x v="3"/>
    <x v="7"/>
    <x v="21"/>
    <x v="7"/>
    <n v="110.4"/>
  </r>
  <r>
    <x v="1"/>
    <x v="3"/>
    <x v="7"/>
    <x v="22"/>
    <x v="8"/>
    <n v="120.6"/>
  </r>
  <r>
    <x v="1"/>
    <x v="3"/>
    <x v="7"/>
    <x v="23"/>
    <x v="9"/>
    <n v="131.5"/>
  </r>
  <r>
    <x v="1"/>
    <x v="3"/>
    <x v="7"/>
    <x v="24"/>
    <x v="8"/>
    <n v="120.9"/>
  </r>
  <r>
    <x v="1"/>
    <x v="3"/>
    <x v="7"/>
    <x v="25"/>
    <x v="5"/>
    <n v="119.9"/>
  </r>
  <r>
    <x v="1"/>
    <x v="3"/>
    <x v="7"/>
    <x v="26"/>
    <x v="10"/>
    <n v="128.4"/>
  </r>
  <r>
    <x v="2"/>
    <x v="3"/>
    <x v="7"/>
    <x v="0"/>
    <x v="0"/>
    <n v="129.30000000000001"/>
  </r>
  <r>
    <x v="2"/>
    <x v="3"/>
    <x v="7"/>
    <x v="1"/>
    <x v="0"/>
    <n v="139.30000000000001"/>
  </r>
  <r>
    <x v="2"/>
    <x v="3"/>
    <x v="7"/>
    <x v="2"/>
    <x v="0"/>
    <n v="131.6"/>
  </r>
  <r>
    <x v="2"/>
    <x v="3"/>
    <x v="7"/>
    <x v="3"/>
    <x v="0"/>
    <n v="134.1"/>
  </r>
  <r>
    <x v="2"/>
    <x v="3"/>
    <x v="7"/>
    <x v="4"/>
    <x v="0"/>
    <n v="116.9"/>
  </r>
  <r>
    <x v="2"/>
    <x v="3"/>
    <x v="7"/>
    <x v="5"/>
    <x v="0"/>
    <n v="138.1"/>
  </r>
  <r>
    <x v="2"/>
    <x v="3"/>
    <x v="7"/>
    <x v="6"/>
    <x v="0"/>
    <n v="159.1"/>
  </r>
  <r>
    <x v="2"/>
    <x v="3"/>
    <x v="7"/>
    <x v="7"/>
    <x v="0"/>
    <n v="175.6"/>
  </r>
  <r>
    <x v="2"/>
    <x v="3"/>
    <x v="7"/>
    <x v="8"/>
    <x v="0"/>
    <n v="112.9"/>
  </r>
  <r>
    <x v="2"/>
    <x v="3"/>
    <x v="7"/>
    <x v="9"/>
    <x v="0"/>
    <n v="138.1"/>
  </r>
  <r>
    <x v="2"/>
    <x v="3"/>
    <x v="7"/>
    <x v="10"/>
    <x v="0"/>
    <n v="125.5"/>
  </r>
  <r>
    <x v="2"/>
    <x v="3"/>
    <x v="7"/>
    <x v="11"/>
    <x v="0"/>
    <n v="139.5"/>
  </r>
  <r>
    <x v="2"/>
    <x v="3"/>
    <x v="7"/>
    <x v="12"/>
    <x v="0"/>
    <n v="137.9"/>
  </r>
  <r>
    <x v="2"/>
    <x v="3"/>
    <x v="7"/>
    <x v="13"/>
    <x v="1"/>
    <n v="140.19999999999999"/>
  </r>
  <r>
    <x v="2"/>
    <x v="3"/>
    <x v="7"/>
    <x v="14"/>
    <x v="2"/>
    <n v="134.1"/>
  </r>
  <r>
    <x v="2"/>
    <x v="3"/>
    <x v="7"/>
    <x v="15"/>
    <x v="2"/>
    <n v="128.19999999999999"/>
  </r>
  <r>
    <x v="2"/>
    <x v="3"/>
    <x v="7"/>
    <x v="16"/>
    <x v="2"/>
    <n v="133.19999999999999"/>
  </r>
  <r>
    <x v="2"/>
    <x v="3"/>
    <x v="7"/>
    <x v="17"/>
    <x v="3"/>
    <n v="127.3"/>
  </r>
  <r>
    <x v="2"/>
    <x v="3"/>
    <x v="7"/>
    <x v="18"/>
    <x v="4"/>
    <n v="123.6"/>
  </r>
  <r>
    <x v="2"/>
    <x v="3"/>
    <x v="7"/>
    <x v="19"/>
    <x v="5"/>
    <n v="127.4"/>
  </r>
  <r>
    <x v="2"/>
    <x v="3"/>
    <x v="7"/>
    <x v="20"/>
    <x v="6"/>
    <n v="124.8"/>
  </r>
  <r>
    <x v="2"/>
    <x v="3"/>
    <x v="7"/>
    <x v="21"/>
    <x v="7"/>
    <n v="113.1"/>
  </r>
  <r>
    <x v="2"/>
    <x v="3"/>
    <x v="7"/>
    <x v="22"/>
    <x v="8"/>
    <n v="122.7"/>
  </r>
  <r>
    <x v="2"/>
    <x v="3"/>
    <x v="7"/>
    <x v="23"/>
    <x v="9"/>
    <n v="131.69999999999999"/>
  </r>
  <r>
    <x v="2"/>
    <x v="3"/>
    <x v="7"/>
    <x v="24"/>
    <x v="8"/>
    <n v="121.5"/>
  </r>
  <r>
    <x v="2"/>
    <x v="3"/>
    <x v="7"/>
    <x v="25"/>
    <x v="5"/>
    <n v="122.1"/>
  </r>
  <r>
    <x v="2"/>
    <x v="3"/>
    <x v="7"/>
    <x v="26"/>
    <x v="10"/>
    <n v="131.1"/>
  </r>
  <r>
    <x v="0"/>
    <x v="3"/>
    <x v="8"/>
    <x v="0"/>
    <x v="0"/>
    <n v="130.80000000000001"/>
  </r>
  <r>
    <x v="0"/>
    <x v="3"/>
    <x v="8"/>
    <x v="1"/>
    <x v="0"/>
    <n v="138.19999999999999"/>
  </r>
  <r>
    <x v="0"/>
    <x v="3"/>
    <x v="8"/>
    <x v="2"/>
    <x v="0"/>
    <n v="130.5"/>
  </r>
  <r>
    <x v="0"/>
    <x v="3"/>
    <x v="8"/>
    <x v="3"/>
    <x v="0"/>
    <n v="135.5"/>
  </r>
  <r>
    <x v="0"/>
    <x v="3"/>
    <x v="8"/>
    <x v="4"/>
    <x v="0"/>
    <n v="120.2"/>
  </r>
  <r>
    <x v="0"/>
    <x v="3"/>
    <x v="8"/>
    <x v="5"/>
    <x v="0"/>
    <n v="139.19999999999999"/>
  </r>
  <r>
    <x v="0"/>
    <x v="3"/>
    <x v="8"/>
    <x v="6"/>
    <x v="0"/>
    <n v="149.5"/>
  </r>
  <r>
    <x v="0"/>
    <x v="3"/>
    <x v="8"/>
    <x v="7"/>
    <x v="0"/>
    <n v="170.4"/>
  </r>
  <r>
    <x v="0"/>
    <x v="3"/>
    <x v="8"/>
    <x v="8"/>
    <x v="0"/>
    <n v="113.1"/>
  </r>
  <r>
    <x v="0"/>
    <x v="3"/>
    <x v="8"/>
    <x v="9"/>
    <x v="0"/>
    <n v="135.80000000000001"/>
  </r>
  <r>
    <x v="0"/>
    <x v="3"/>
    <x v="8"/>
    <x v="10"/>
    <x v="0"/>
    <n v="128.80000000000001"/>
  </r>
  <r>
    <x v="0"/>
    <x v="3"/>
    <x v="8"/>
    <x v="11"/>
    <x v="0"/>
    <n v="141.5"/>
  </r>
  <r>
    <x v="0"/>
    <x v="3"/>
    <x v="8"/>
    <x v="12"/>
    <x v="0"/>
    <n v="137.19999999999999"/>
  </r>
  <r>
    <x v="0"/>
    <x v="3"/>
    <x v="8"/>
    <x v="13"/>
    <x v="1"/>
    <n v="139.9"/>
  </r>
  <r>
    <x v="0"/>
    <x v="3"/>
    <x v="8"/>
    <x v="14"/>
    <x v="2"/>
    <n v="138.5"/>
  </r>
  <r>
    <x v="0"/>
    <x v="3"/>
    <x v="8"/>
    <x v="15"/>
    <x v="2"/>
    <n v="133.5"/>
  </r>
  <r>
    <x v="0"/>
    <x v="3"/>
    <x v="8"/>
    <x v="16"/>
    <x v="2"/>
    <n v="137.80000000000001"/>
  </r>
  <r>
    <x v="0"/>
    <x v="3"/>
    <x v="8"/>
    <x v="17"/>
    <x v="3"/>
    <s v="NA"/>
  </r>
  <r>
    <x v="0"/>
    <x v="3"/>
    <x v="8"/>
    <x v="18"/>
    <x v="4"/>
    <n v="129.69999999999999"/>
  </r>
  <r>
    <x v="0"/>
    <x v="3"/>
    <x v="8"/>
    <x v="19"/>
    <x v="5"/>
    <n v="131.1"/>
  </r>
  <r>
    <x v="0"/>
    <x v="3"/>
    <x v="8"/>
    <x v="20"/>
    <x v="6"/>
    <n v="127.8"/>
  </r>
  <r>
    <x v="0"/>
    <x v="3"/>
    <x v="8"/>
    <x v="21"/>
    <x v="7"/>
    <n v="117"/>
  </r>
  <r>
    <x v="0"/>
    <x v="3"/>
    <x v="8"/>
    <x v="22"/>
    <x v="8"/>
    <n v="125.7"/>
  </r>
  <r>
    <x v="0"/>
    <x v="3"/>
    <x v="8"/>
    <x v="23"/>
    <x v="9"/>
    <n v="132.19999999999999"/>
  </r>
  <r>
    <x v="0"/>
    <x v="3"/>
    <x v="8"/>
    <x v="24"/>
    <x v="8"/>
    <n v="122.8"/>
  </r>
  <r>
    <x v="0"/>
    <x v="3"/>
    <x v="8"/>
    <x v="25"/>
    <x v="5"/>
    <n v="124.9"/>
  </r>
  <r>
    <x v="0"/>
    <x v="3"/>
    <x v="8"/>
    <x v="26"/>
    <x v="10"/>
    <n v="133.4"/>
  </r>
  <r>
    <x v="1"/>
    <x v="3"/>
    <x v="8"/>
    <x v="0"/>
    <x v="0"/>
    <n v="128.1"/>
  </r>
  <r>
    <x v="1"/>
    <x v="3"/>
    <x v="8"/>
    <x v="1"/>
    <x v="0"/>
    <n v="137.69999999999999"/>
  </r>
  <r>
    <x v="1"/>
    <x v="3"/>
    <x v="8"/>
    <x v="2"/>
    <x v="0"/>
    <n v="130.6"/>
  </r>
  <r>
    <x v="1"/>
    <x v="3"/>
    <x v="8"/>
    <x v="3"/>
    <x v="0"/>
    <n v="132.6"/>
  </r>
  <r>
    <x v="1"/>
    <x v="3"/>
    <x v="8"/>
    <x v="4"/>
    <x v="0"/>
    <n v="111.9"/>
  </r>
  <r>
    <x v="1"/>
    <x v="3"/>
    <x v="8"/>
    <x v="5"/>
    <x v="0"/>
    <n v="132.5"/>
  </r>
  <r>
    <x v="1"/>
    <x v="3"/>
    <x v="8"/>
    <x v="6"/>
    <x v="0"/>
    <n v="152.9"/>
  </r>
  <r>
    <x v="1"/>
    <x v="3"/>
    <x v="8"/>
    <x v="7"/>
    <x v="0"/>
    <n v="173.6"/>
  </r>
  <r>
    <x v="1"/>
    <x v="3"/>
    <x v="8"/>
    <x v="8"/>
    <x v="0"/>
    <n v="115.1"/>
  </r>
  <r>
    <x v="1"/>
    <x v="3"/>
    <x v="8"/>
    <x v="9"/>
    <x v="0"/>
    <n v="144.80000000000001"/>
  </r>
  <r>
    <x v="1"/>
    <x v="3"/>
    <x v="8"/>
    <x v="10"/>
    <x v="0"/>
    <n v="122.1"/>
  </r>
  <r>
    <x v="1"/>
    <x v="3"/>
    <x v="8"/>
    <x v="11"/>
    <x v="0"/>
    <n v="138.80000000000001"/>
  </r>
  <r>
    <x v="1"/>
    <x v="3"/>
    <x v="8"/>
    <x v="12"/>
    <x v="0"/>
    <n v="135.69999999999999"/>
  </r>
  <r>
    <x v="1"/>
    <x v="3"/>
    <x v="8"/>
    <x v="13"/>
    <x v="1"/>
    <n v="143.9"/>
  </r>
  <r>
    <x v="1"/>
    <x v="3"/>
    <x v="8"/>
    <x v="14"/>
    <x v="2"/>
    <n v="128.69999999999999"/>
  </r>
  <r>
    <x v="1"/>
    <x v="3"/>
    <x v="8"/>
    <x v="15"/>
    <x v="2"/>
    <n v="121.6"/>
  </r>
  <r>
    <x v="1"/>
    <x v="3"/>
    <x v="8"/>
    <x v="16"/>
    <x v="2"/>
    <n v="127.7"/>
  </r>
  <r>
    <x v="1"/>
    <x v="3"/>
    <x v="8"/>
    <x v="17"/>
    <x v="3"/>
    <n v="127.9"/>
  </r>
  <r>
    <x v="1"/>
    <x v="3"/>
    <x v="8"/>
    <x v="18"/>
    <x v="4"/>
    <n v="114.8"/>
  </r>
  <r>
    <x v="1"/>
    <x v="3"/>
    <x v="8"/>
    <x v="19"/>
    <x v="5"/>
    <n v="124.3"/>
  </r>
  <r>
    <x v="1"/>
    <x v="3"/>
    <x v="8"/>
    <x v="20"/>
    <x v="6"/>
    <n v="121.4"/>
  </r>
  <r>
    <x v="1"/>
    <x v="3"/>
    <x v="8"/>
    <x v="21"/>
    <x v="7"/>
    <n v="111.8"/>
  </r>
  <r>
    <x v="1"/>
    <x v="3"/>
    <x v="8"/>
    <x v="22"/>
    <x v="8"/>
    <n v="120.8"/>
  </r>
  <r>
    <x v="1"/>
    <x v="3"/>
    <x v="8"/>
    <x v="23"/>
    <x v="9"/>
    <n v="131.6"/>
  </r>
  <r>
    <x v="1"/>
    <x v="3"/>
    <x v="8"/>
    <x v="24"/>
    <x v="8"/>
    <n v="121.2"/>
  </r>
  <r>
    <x v="1"/>
    <x v="3"/>
    <x v="8"/>
    <x v="25"/>
    <x v="5"/>
    <n v="120.5"/>
  </r>
  <r>
    <x v="1"/>
    <x v="3"/>
    <x v="8"/>
    <x v="26"/>
    <x v="10"/>
    <n v="128"/>
  </r>
  <r>
    <x v="2"/>
    <x v="3"/>
    <x v="8"/>
    <x v="0"/>
    <x v="0"/>
    <n v="129.9"/>
  </r>
  <r>
    <x v="2"/>
    <x v="3"/>
    <x v="8"/>
    <x v="1"/>
    <x v="0"/>
    <n v="138"/>
  </r>
  <r>
    <x v="2"/>
    <x v="3"/>
    <x v="8"/>
    <x v="2"/>
    <x v="0"/>
    <n v="130.5"/>
  </r>
  <r>
    <x v="2"/>
    <x v="3"/>
    <x v="8"/>
    <x v="3"/>
    <x v="0"/>
    <n v="134.4"/>
  </r>
  <r>
    <x v="2"/>
    <x v="3"/>
    <x v="8"/>
    <x v="4"/>
    <x v="0"/>
    <n v="117.2"/>
  </r>
  <r>
    <x v="2"/>
    <x v="3"/>
    <x v="8"/>
    <x v="5"/>
    <x v="0"/>
    <n v="136.1"/>
  </r>
  <r>
    <x v="2"/>
    <x v="3"/>
    <x v="8"/>
    <x v="6"/>
    <x v="0"/>
    <n v="150.69999999999999"/>
  </r>
  <r>
    <x v="2"/>
    <x v="3"/>
    <x v="8"/>
    <x v="7"/>
    <x v="0"/>
    <n v="171.5"/>
  </r>
  <r>
    <x v="2"/>
    <x v="3"/>
    <x v="8"/>
    <x v="8"/>
    <x v="0"/>
    <n v="113.8"/>
  </r>
  <r>
    <x v="2"/>
    <x v="3"/>
    <x v="8"/>
    <x v="9"/>
    <x v="0"/>
    <n v="138.80000000000001"/>
  </r>
  <r>
    <x v="2"/>
    <x v="3"/>
    <x v="8"/>
    <x v="10"/>
    <x v="0"/>
    <n v="126"/>
  </r>
  <r>
    <x v="2"/>
    <x v="3"/>
    <x v="8"/>
    <x v="11"/>
    <x v="0"/>
    <n v="140.19999999999999"/>
  </r>
  <r>
    <x v="2"/>
    <x v="3"/>
    <x v="8"/>
    <x v="12"/>
    <x v="0"/>
    <n v="136.6"/>
  </r>
  <r>
    <x v="2"/>
    <x v="3"/>
    <x v="8"/>
    <x v="13"/>
    <x v="1"/>
    <n v="141"/>
  </r>
  <r>
    <x v="2"/>
    <x v="3"/>
    <x v="8"/>
    <x v="14"/>
    <x v="2"/>
    <n v="134.6"/>
  </r>
  <r>
    <x v="2"/>
    <x v="3"/>
    <x v="8"/>
    <x v="15"/>
    <x v="2"/>
    <n v="128.6"/>
  </r>
  <r>
    <x v="2"/>
    <x v="3"/>
    <x v="8"/>
    <x v="16"/>
    <x v="2"/>
    <n v="133.80000000000001"/>
  </r>
  <r>
    <x v="2"/>
    <x v="3"/>
    <x v="8"/>
    <x v="17"/>
    <x v="3"/>
    <n v="127.9"/>
  </r>
  <r>
    <x v="2"/>
    <x v="3"/>
    <x v="8"/>
    <x v="18"/>
    <x v="4"/>
    <n v="124.1"/>
  </r>
  <r>
    <x v="2"/>
    <x v="3"/>
    <x v="8"/>
    <x v="19"/>
    <x v="5"/>
    <n v="127.9"/>
  </r>
  <r>
    <x v="2"/>
    <x v="3"/>
    <x v="8"/>
    <x v="20"/>
    <x v="6"/>
    <n v="125.4"/>
  </r>
  <r>
    <x v="2"/>
    <x v="3"/>
    <x v="8"/>
    <x v="21"/>
    <x v="7"/>
    <n v="114.3"/>
  </r>
  <r>
    <x v="2"/>
    <x v="3"/>
    <x v="8"/>
    <x v="22"/>
    <x v="8"/>
    <n v="122.9"/>
  </r>
  <r>
    <x v="2"/>
    <x v="3"/>
    <x v="8"/>
    <x v="23"/>
    <x v="9"/>
    <n v="131.80000000000001"/>
  </r>
  <r>
    <x v="2"/>
    <x v="3"/>
    <x v="8"/>
    <x v="24"/>
    <x v="8"/>
    <n v="122.1"/>
  </r>
  <r>
    <x v="2"/>
    <x v="3"/>
    <x v="8"/>
    <x v="25"/>
    <x v="5"/>
    <n v="122.8"/>
  </r>
  <r>
    <x v="2"/>
    <x v="3"/>
    <x v="8"/>
    <x v="26"/>
    <x v="10"/>
    <n v="130.9"/>
  </r>
  <r>
    <x v="0"/>
    <x v="3"/>
    <x v="9"/>
    <x v="0"/>
    <x v="0"/>
    <n v="131.30000000000001"/>
  </r>
  <r>
    <x v="0"/>
    <x v="3"/>
    <x v="9"/>
    <x v="1"/>
    <x v="0"/>
    <n v="137.6"/>
  </r>
  <r>
    <x v="0"/>
    <x v="3"/>
    <x v="9"/>
    <x v="2"/>
    <x v="0"/>
    <n v="130.1"/>
  </r>
  <r>
    <x v="0"/>
    <x v="3"/>
    <x v="9"/>
    <x v="3"/>
    <x v="0"/>
    <n v="136"/>
  </r>
  <r>
    <x v="0"/>
    <x v="3"/>
    <x v="9"/>
    <x v="4"/>
    <x v="0"/>
    <n v="120.8"/>
  </r>
  <r>
    <x v="0"/>
    <x v="3"/>
    <x v="9"/>
    <x v="5"/>
    <x v="0"/>
    <n v="138.4"/>
  </r>
  <r>
    <x v="0"/>
    <x v="3"/>
    <x v="9"/>
    <x v="6"/>
    <x v="0"/>
    <n v="149.19999999999999"/>
  </r>
  <r>
    <x v="0"/>
    <x v="3"/>
    <x v="9"/>
    <x v="7"/>
    <x v="0"/>
    <n v="170.2"/>
  </r>
  <r>
    <x v="0"/>
    <x v="3"/>
    <x v="9"/>
    <x v="8"/>
    <x v="0"/>
    <n v="113.4"/>
  </r>
  <r>
    <x v="0"/>
    <x v="3"/>
    <x v="9"/>
    <x v="9"/>
    <x v="0"/>
    <n v="136.30000000000001"/>
  </r>
  <r>
    <x v="0"/>
    <x v="3"/>
    <x v="9"/>
    <x v="10"/>
    <x v="0"/>
    <n v="128.69999999999999"/>
  </r>
  <r>
    <x v="0"/>
    <x v="3"/>
    <x v="9"/>
    <x v="11"/>
    <x v="0"/>
    <n v="142.4"/>
  </r>
  <r>
    <x v="0"/>
    <x v="3"/>
    <x v="9"/>
    <x v="12"/>
    <x v="0"/>
    <n v="137.4"/>
  </r>
  <r>
    <x v="0"/>
    <x v="3"/>
    <x v="9"/>
    <x v="13"/>
    <x v="1"/>
    <n v="140.9"/>
  </r>
  <r>
    <x v="0"/>
    <x v="3"/>
    <x v="9"/>
    <x v="14"/>
    <x v="2"/>
    <n v="139.6"/>
  </r>
  <r>
    <x v="0"/>
    <x v="3"/>
    <x v="9"/>
    <x v="15"/>
    <x v="2"/>
    <n v="134.30000000000001"/>
  </r>
  <r>
    <x v="0"/>
    <x v="3"/>
    <x v="9"/>
    <x v="16"/>
    <x v="2"/>
    <n v="138.80000000000001"/>
  </r>
  <r>
    <x v="0"/>
    <x v="3"/>
    <x v="9"/>
    <x v="17"/>
    <x v="3"/>
    <s v="NA"/>
  </r>
  <r>
    <x v="0"/>
    <x v="3"/>
    <x v="9"/>
    <x v="18"/>
    <x v="4"/>
    <n v="129.80000000000001"/>
  </r>
  <r>
    <x v="0"/>
    <x v="3"/>
    <x v="9"/>
    <x v="19"/>
    <x v="5"/>
    <n v="131.80000000000001"/>
  </r>
  <r>
    <x v="0"/>
    <x v="3"/>
    <x v="9"/>
    <x v="20"/>
    <x v="6"/>
    <n v="128.69999999999999"/>
  </r>
  <r>
    <x v="0"/>
    <x v="3"/>
    <x v="9"/>
    <x v="21"/>
    <x v="7"/>
    <n v="117.8"/>
  </r>
  <r>
    <x v="0"/>
    <x v="3"/>
    <x v="9"/>
    <x v="22"/>
    <x v="8"/>
    <n v="126.5"/>
  </r>
  <r>
    <x v="0"/>
    <x v="3"/>
    <x v="9"/>
    <x v="23"/>
    <x v="9"/>
    <n v="133"/>
  </r>
  <r>
    <x v="0"/>
    <x v="3"/>
    <x v="9"/>
    <x v="24"/>
    <x v="8"/>
    <n v="123"/>
  </r>
  <r>
    <x v="0"/>
    <x v="3"/>
    <x v="9"/>
    <x v="25"/>
    <x v="5"/>
    <n v="125.7"/>
  </r>
  <r>
    <x v="0"/>
    <x v="3"/>
    <x v="9"/>
    <x v="26"/>
    <x v="10"/>
    <n v="133.80000000000001"/>
  </r>
  <r>
    <x v="1"/>
    <x v="3"/>
    <x v="9"/>
    <x v="0"/>
    <x v="0"/>
    <n v="128.69999999999999"/>
  </r>
  <r>
    <x v="1"/>
    <x v="3"/>
    <x v="9"/>
    <x v="1"/>
    <x v="0"/>
    <n v="138.4"/>
  </r>
  <r>
    <x v="1"/>
    <x v="3"/>
    <x v="9"/>
    <x v="2"/>
    <x v="0"/>
    <n v="130.30000000000001"/>
  </r>
  <r>
    <x v="1"/>
    <x v="3"/>
    <x v="9"/>
    <x v="3"/>
    <x v="0"/>
    <n v="132.69999999999999"/>
  </r>
  <r>
    <x v="1"/>
    <x v="3"/>
    <x v="9"/>
    <x v="4"/>
    <x v="0"/>
    <n v="112.5"/>
  </r>
  <r>
    <x v="1"/>
    <x v="3"/>
    <x v="9"/>
    <x v="5"/>
    <x v="0"/>
    <n v="130.4"/>
  </r>
  <r>
    <x v="1"/>
    <x v="3"/>
    <x v="9"/>
    <x v="6"/>
    <x v="0"/>
    <n v="155.1"/>
  </r>
  <r>
    <x v="1"/>
    <x v="3"/>
    <x v="9"/>
    <x v="7"/>
    <x v="0"/>
    <n v="175.7"/>
  </r>
  <r>
    <x v="1"/>
    <x v="3"/>
    <x v="9"/>
    <x v="8"/>
    <x v="0"/>
    <n v="115.4"/>
  </r>
  <r>
    <x v="1"/>
    <x v="3"/>
    <x v="9"/>
    <x v="9"/>
    <x v="0"/>
    <n v="145.30000000000001"/>
  </r>
  <r>
    <x v="1"/>
    <x v="3"/>
    <x v="9"/>
    <x v="10"/>
    <x v="0"/>
    <n v="122.5"/>
  </r>
  <r>
    <x v="1"/>
    <x v="3"/>
    <x v="9"/>
    <x v="11"/>
    <x v="0"/>
    <n v="139.6"/>
  </r>
  <r>
    <x v="1"/>
    <x v="3"/>
    <x v="9"/>
    <x v="12"/>
    <x v="0"/>
    <n v="136.30000000000001"/>
  </r>
  <r>
    <x v="1"/>
    <x v="3"/>
    <x v="9"/>
    <x v="13"/>
    <x v="1"/>
    <n v="144.30000000000001"/>
  </r>
  <r>
    <x v="1"/>
    <x v="3"/>
    <x v="9"/>
    <x v="14"/>
    <x v="2"/>
    <n v="129.1"/>
  </r>
  <r>
    <x v="1"/>
    <x v="3"/>
    <x v="9"/>
    <x v="15"/>
    <x v="2"/>
    <n v="121.9"/>
  </r>
  <r>
    <x v="1"/>
    <x v="3"/>
    <x v="9"/>
    <x v="16"/>
    <x v="2"/>
    <n v="128"/>
  </r>
  <r>
    <x v="1"/>
    <x v="3"/>
    <x v="9"/>
    <x v="17"/>
    <x v="3"/>
    <n v="128.69999999999999"/>
  </r>
  <r>
    <x v="1"/>
    <x v="3"/>
    <x v="9"/>
    <x v="18"/>
    <x v="4"/>
    <n v="115.2"/>
  </r>
  <r>
    <x v="1"/>
    <x v="3"/>
    <x v="9"/>
    <x v="19"/>
    <x v="5"/>
    <n v="124.5"/>
  </r>
  <r>
    <x v="1"/>
    <x v="3"/>
    <x v="9"/>
    <x v="20"/>
    <x v="6"/>
    <n v="121.8"/>
  </r>
  <r>
    <x v="1"/>
    <x v="3"/>
    <x v="9"/>
    <x v="21"/>
    <x v="7"/>
    <n v="112.8"/>
  </r>
  <r>
    <x v="1"/>
    <x v="3"/>
    <x v="9"/>
    <x v="22"/>
    <x v="8"/>
    <n v="121.2"/>
  </r>
  <r>
    <x v="1"/>
    <x v="3"/>
    <x v="9"/>
    <x v="23"/>
    <x v="9"/>
    <n v="131.9"/>
  </r>
  <r>
    <x v="1"/>
    <x v="3"/>
    <x v="9"/>
    <x v="24"/>
    <x v="8"/>
    <n v="120.8"/>
  </r>
  <r>
    <x v="1"/>
    <x v="3"/>
    <x v="9"/>
    <x v="25"/>
    <x v="5"/>
    <n v="120.9"/>
  </r>
  <r>
    <x v="1"/>
    <x v="3"/>
    <x v="9"/>
    <x v="26"/>
    <x v="10"/>
    <n v="128.6"/>
  </r>
  <r>
    <x v="2"/>
    <x v="3"/>
    <x v="9"/>
    <x v="0"/>
    <x v="0"/>
    <n v="130.5"/>
  </r>
  <r>
    <x v="2"/>
    <x v="3"/>
    <x v="9"/>
    <x v="1"/>
    <x v="0"/>
    <n v="137.9"/>
  </r>
  <r>
    <x v="2"/>
    <x v="3"/>
    <x v="9"/>
    <x v="2"/>
    <x v="0"/>
    <n v="130.19999999999999"/>
  </r>
  <r>
    <x v="2"/>
    <x v="3"/>
    <x v="9"/>
    <x v="3"/>
    <x v="0"/>
    <n v="134.80000000000001"/>
  </r>
  <r>
    <x v="2"/>
    <x v="3"/>
    <x v="9"/>
    <x v="4"/>
    <x v="0"/>
    <n v="117.8"/>
  </r>
  <r>
    <x v="2"/>
    <x v="3"/>
    <x v="9"/>
    <x v="5"/>
    <x v="0"/>
    <n v="134.69999999999999"/>
  </r>
  <r>
    <x v="2"/>
    <x v="3"/>
    <x v="9"/>
    <x v="6"/>
    <x v="0"/>
    <n v="151.19999999999999"/>
  </r>
  <r>
    <x v="2"/>
    <x v="3"/>
    <x v="9"/>
    <x v="7"/>
    <x v="0"/>
    <n v="172.1"/>
  </r>
  <r>
    <x v="2"/>
    <x v="3"/>
    <x v="9"/>
    <x v="8"/>
    <x v="0"/>
    <n v="114.1"/>
  </r>
  <r>
    <x v="2"/>
    <x v="3"/>
    <x v="9"/>
    <x v="9"/>
    <x v="0"/>
    <n v="139.30000000000001"/>
  </r>
  <r>
    <x v="2"/>
    <x v="3"/>
    <x v="9"/>
    <x v="10"/>
    <x v="0"/>
    <n v="126.1"/>
  </r>
  <r>
    <x v="2"/>
    <x v="3"/>
    <x v="9"/>
    <x v="11"/>
    <x v="0"/>
    <n v="141.1"/>
  </r>
  <r>
    <x v="2"/>
    <x v="3"/>
    <x v="9"/>
    <x v="12"/>
    <x v="0"/>
    <n v="137"/>
  </r>
  <r>
    <x v="2"/>
    <x v="3"/>
    <x v="9"/>
    <x v="13"/>
    <x v="1"/>
    <n v="141.80000000000001"/>
  </r>
  <r>
    <x v="2"/>
    <x v="3"/>
    <x v="9"/>
    <x v="14"/>
    <x v="2"/>
    <n v="135.5"/>
  </r>
  <r>
    <x v="2"/>
    <x v="3"/>
    <x v="9"/>
    <x v="15"/>
    <x v="2"/>
    <n v="129.1"/>
  </r>
  <r>
    <x v="2"/>
    <x v="3"/>
    <x v="9"/>
    <x v="16"/>
    <x v="2"/>
    <n v="134.5"/>
  </r>
  <r>
    <x v="2"/>
    <x v="3"/>
    <x v="9"/>
    <x v="17"/>
    <x v="3"/>
    <n v="128.69999999999999"/>
  </r>
  <r>
    <x v="2"/>
    <x v="3"/>
    <x v="9"/>
    <x v="18"/>
    <x v="4"/>
    <n v="124.3"/>
  </r>
  <r>
    <x v="2"/>
    <x v="3"/>
    <x v="9"/>
    <x v="19"/>
    <x v="5"/>
    <n v="128.4"/>
  </r>
  <r>
    <x v="2"/>
    <x v="3"/>
    <x v="9"/>
    <x v="20"/>
    <x v="6"/>
    <n v="126.1"/>
  </r>
  <r>
    <x v="2"/>
    <x v="3"/>
    <x v="9"/>
    <x v="21"/>
    <x v="7"/>
    <n v="115.2"/>
  </r>
  <r>
    <x v="2"/>
    <x v="3"/>
    <x v="9"/>
    <x v="22"/>
    <x v="8"/>
    <n v="123.5"/>
  </r>
  <r>
    <x v="2"/>
    <x v="3"/>
    <x v="9"/>
    <x v="23"/>
    <x v="9"/>
    <n v="132.4"/>
  </r>
  <r>
    <x v="2"/>
    <x v="3"/>
    <x v="9"/>
    <x v="24"/>
    <x v="8"/>
    <n v="122.1"/>
  </r>
  <r>
    <x v="2"/>
    <x v="3"/>
    <x v="9"/>
    <x v="25"/>
    <x v="5"/>
    <n v="123.4"/>
  </r>
  <r>
    <x v="2"/>
    <x v="3"/>
    <x v="9"/>
    <x v="26"/>
    <x v="10"/>
    <n v="131.4"/>
  </r>
  <r>
    <x v="0"/>
    <x v="3"/>
    <x v="11"/>
    <x v="0"/>
    <x v="0"/>
    <n v="132"/>
  </r>
  <r>
    <x v="0"/>
    <x v="3"/>
    <x v="11"/>
    <x v="1"/>
    <x v="0"/>
    <n v="137.4"/>
  </r>
  <r>
    <x v="0"/>
    <x v="3"/>
    <x v="11"/>
    <x v="2"/>
    <x v="0"/>
    <n v="130.6"/>
  </r>
  <r>
    <x v="0"/>
    <x v="3"/>
    <x v="11"/>
    <x v="3"/>
    <x v="0"/>
    <n v="136.19999999999999"/>
  </r>
  <r>
    <x v="0"/>
    <x v="3"/>
    <x v="11"/>
    <x v="4"/>
    <x v="0"/>
    <n v="121.1"/>
  </r>
  <r>
    <x v="0"/>
    <x v="3"/>
    <x v="11"/>
    <x v="5"/>
    <x v="0"/>
    <n v="136.9"/>
  </r>
  <r>
    <x v="0"/>
    <x v="3"/>
    <x v="11"/>
    <x v="6"/>
    <x v="0"/>
    <n v="141.80000000000001"/>
  </r>
  <r>
    <x v="0"/>
    <x v="3"/>
    <x v="11"/>
    <x v="7"/>
    <x v="0"/>
    <n v="170"/>
  </r>
  <r>
    <x v="0"/>
    <x v="3"/>
    <x v="11"/>
    <x v="8"/>
    <x v="0"/>
    <n v="113.4"/>
  </r>
  <r>
    <x v="0"/>
    <x v="3"/>
    <x v="11"/>
    <x v="9"/>
    <x v="0"/>
    <n v="136.80000000000001"/>
  </r>
  <r>
    <x v="0"/>
    <x v="3"/>
    <x v="11"/>
    <x v="10"/>
    <x v="0"/>
    <n v="128.69999999999999"/>
  </r>
  <r>
    <x v="0"/>
    <x v="3"/>
    <x v="11"/>
    <x v="11"/>
    <x v="0"/>
    <n v="143.1"/>
  </r>
  <r>
    <x v="0"/>
    <x v="3"/>
    <x v="11"/>
    <x v="12"/>
    <x v="0"/>
    <n v="136.6"/>
  </r>
  <r>
    <x v="0"/>
    <x v="3"/>
    <x v="11"/>
    <x v="13"/>
    <x v="1"/>
    <n v="141.19999999999999"/>
  </r>
  <r>
    <x v="0"/>
    <x v="3"/>
    <x v="11"/>
    <x v="14"/>
    <x v="2"/>
    <n v="139.9"/>
  </r>
  <r>
    <x v="0"/>
    <x v="3"/>
    <x v="11"/>
    <x v="15"/>
    <x v="2"/>
    <n v="134.5"/>
  </r>
  <r>
    <x v="0"/>
    <x v="3"/>
    <x v="11"/>
    <x v="16"/>
    <x v="2"/>
    <n v="139.19999999999999"/>
  </r>
  <r>
    <x v="0"/>
    <x v="3"/>
    <x v="11"/>
    <x v="17"/>
    <x v="3"/>
    <s v="NA"/>
  </r>
  <r>
    <x v="0"/>
    <x v="3"/>
    <x v="11"/>
    <x v="18"/>
    <x v="4"/>
    <n v="130.30000000000001"/>
  </r>
  <r>
    <x v="0"/>
    <x v="3"/>
    <x v="11"/>
    <x v="19"/>
    <x v="5"/>
    <n v="132.1"/>
  </r>
  <r>
    <x v="0"/>
    <x v="3"/>
    <x v="11"/>
    <x v="20"/>
    <x v="6"/>
    <n v="129.1"/>
  </r>
  <r>
    <x v="0"/>
    <x v="3"/>
    <x v="11"/>
    <x v="21"/>
    <x v="7"/>
    <n v="118.2"/>
  </r>
  <r>
    <x v="0"/>
    <x v="3"/>
    <x v="11"/>
    <x v="22"/>
    <x v="8"/>
    <n v="126.9"/>
  </r>
  <r>
    <x v="0"/>
    <x v="3"/>
    <x v="11"/>
    <x v="23"/>
    <x v="9"/>
    <n v="133.69999999999999"/>
  </r>
  <r>
    <x v="0"/>
    <x v="3"/>
    <x v="11"/>
    <x v="24"/>
    <x v="8"/>
    <n v="123.5"/>
  </r>
  <r>
    <x v="0"/>
    <x v="3"/>
    <x v="11"/>
    <x v="25"/>
    <x v="5"/>
    <n v="126.1"/>
  </r>
  <r>
    <x v="0"/>
    <x v="3"/>
    <x v="11"/>
    <x v="26"/>
    <x v="10"/>
    <n v="133.6"/>
  </r>
  <r>
    <x v="1"/>
    <x v="3"/>
    <x v="11"/>
    <x v="0"/>
    <x v="0"/>
    <n v="130.19999999999999"/>
  </r>
  <r>
    <x v="1"/>
    <x v="3"/>
    <x v="11"/>
    <x v="1"/>
    <x v="0"/>
    <n v="138.5"/>
  </r>
  <r>
    <x v="1"/>
    <x v="3"/>
    <x v="11"/>
    <x v="2"/>
    <x v="0"/>
    <n v="134.1"/>
  </r>
  <r>
    <x v="1"/>
    <x v="3"/>
    <x v="11"/>
    <x v="3"/>
    <x v="0"/>
    <n v="132.9"/>
  </r>
  <r>
    <x v="1"/>
    <x v="3"/>
    <x v="11"/>
    <x v="4"/>
    <x v="0"/>
    <n v="112.6"/>
  </r>
  <r>
    <x v="1"/>
    <x v="3"/>
    <x v="11"/>
    <x v="5"/>
    <x v="0"/>
    <n v="130.80000000000001"/>
  </r>
  <r>
    <x v="1"/>
    <x v="3"/>
    <x v="11"/>
    <x v="6"/>
    <x v="0"/>
    <n v="142"/>
  </r>
  <r>
    <x v="1"/>
    <x v="3"/>
    <x v="11"/>
    <x v="7"/>
    <x v="0"/>
    <n v="174.9"/>
  </r>
  <r>
    <x v="1"/>
    <x v="3"/>
    <x v="11"/>
    <x v="8"/>
    <x v="0"/>
    <n v="115.6"/>
  </r>
  <r>
    <x v="1"/>
    <x v="3"/>
    <x v="11"/>
    <x v="9"/>
    <x v="0"/>
    <n v="145.4"/>
  </r>
  <r>
    <x v="1"/>
    <x v="3"/>
    <x v="11"/>
    <x v="10"/>
    <x v="0"/>
    <n v="122.7"/>
  </r>
  <r>
    <x v="1"/>
    <x v="3"/>
    <x v="11"/>
    <x v="11"/>
    <x v="0"/>
    <n v="140.30000000000001"/>
  </r>
  <r>
    <x v="1"/>
    <x v="3"/>
    <x v="11"/>
    <x v="12"/>
    <x v="0"/>
    <n v="135.19999999999999"/>
  </r>
  <r>
    <x v="1"/>
    <x v="3"/>
    <x v="11"/>
    <x v="13"/>
    <x v="1"/>
    <n v="144.30000000000001"/>
  </r>
  <r>
    <x v="1"/>
    <x v="3"/>
    <x v="11"/>
    <x v="14"/>
    <x v="2"/>
    <n v="129.6"/>
  </r>
  <r>
    <x v="1"/>
    <x v="3"/>
    <x v="11"/>
    <x v="15"/>
    <x v="2"/>
    <n v="122.1"/>
  </r>
  <r>
    <x v="1"/>
    <x v="3"/>
    <x v="11"/>
    <x v="16"/>
    <x v="2"/>
    <n v="128.5"/>
  </r>
  <r>
    <x v="1"/>
    <x v="3"/>
    <x v="11"/>
    <x v="17"/>
    <x v="3"/>
    <n v="129.1"/>
  </r>
  <r>
    <x v="1"/>
    <x v="3"/>
    <x v="11"/>
    <x v="18"/>
    <x v="4"/>
    <n v="116.2"/>
  </r>
  <r>
    <x v="1"/>
    <x v="3"/>
    <x v="11"/>
    <x v="19"/>
    <x v="5"/>
    <n v="124.7"/>
  </r>
  <r>
    <x v="1"/>
    <x v="3"/>
    <x v="11"/>
    <x v="20"/>
    <x v="6"/>
    <n v="122.1"/>
  </r>
  <r>
    <x v="1"/>
    <x v="3"/>
    <x v="11"/>
    <x v="21"/>
    <x v="7"/>
    <n v="113.4"/>
  </r>
  <r>
    <x v="1"/>
    <x v="3"/>
    <x v="11"/>
    <x v="22"/>
    <x v="8"/>
    <n v="121.7"/>
  </r>
  <r>
    <x v="1"/>
    <x v="3"/>
    <x v="11"/>
    <x v="23"/>
    <x v="9"/>
    <n v="132.1"/>
  </r>
  <r>
    <x v="1"/>
    <x v="3"/>
    <x v="11"/>
    <x v="24"/>
    <x v="8"/>
    <n v="121.3"/>
  </r>
  <r>
    <x v="1"/>
    <x v="3"/>
    <x v="11"/>
    <x v="25"/>
    <x v="5"/>
    <n v="121.3"/>
  </r>
  <r>
    <x v="1"/>
    <x v="3"/>
    <x v="11"/>
    <x v="26"/>
    <x v="10"/>
    <n v="128.5"/>
  </r>
  <r>
    <x v="2"/>
    <x v="3"/>
    <x v="11"/>
    <x v="0"/>
    <x v="0"/>
    <n v="131.4"/>
  </r>
  <r>
    <x v="2"/>
    <x v="3"/>
    <x v="11"/>
    <x v="1"/>
    <x v="0"/>
    <n v="137.80000000000001"/>
  </r>
  <r>
    <x v="2"/>
    <x v="3"/>
    <x v="11"/>
    <x v="2"/>
    <x v="0"/>
    <n v="132"/>
  </r>
  <r>
    <x v="2"/>
    <x v="3"/>
    <x v="11"/>
    <x v="3"/>
    <x v="0"/>
    <n v="135"/>
  </r>
  <r>
    <x v="2"/>
    <x v="3"/>
    <x v="11"/>
    <x v="4"/>
    <x v="0"/>
    <n v="118"/>
  </r>
  <r>
    <x v="2"/>
    <x v="3"/>
    <x v="11"/>
    <x v="5"/>
    <x v="0"/>
    <n v="134.1"/>
  </r>
  <r>
    <x v="2"/>
    <x v="3"/>
    <x v="11"/>
    <x v="6"/>
    <x v="0"/>
    <n v="141.9"/>
  </r>
  <r>
    <x v="2"/>
    <x v="3"/>
    <x v="11"/>
    <x v="7"/>
    <x v="0"/>
    <n v="171.7"/>
  </r>
  <r>
    <x v="2"/>
    <x v="3"/>
    <x v="11"/>
    <x v="8"/>
    <x v="0"/>
    <n v="114.1"/>
  </r>
  <r>
    <x v="2"/>
    <x v="3"/>
    <x v="11"/>
    <x v="9"/>
    <x v="0"/>
    <n v="139.69999999999999"/>
  </r>
  <r>
    <x v="2"/>
    <x v="3"/>
    <x v="11"/>
    <x v="10"/>
    <x v="0"/>
    <n v="126.2"/>
  </r>
  <r>
    <x v="2"/>
    <x v="3"/>
    <x v="11"/>
    <x v="11"/>
    <x v="0"/>
    <n v="141.80000000000001"/>
  </r>
  <r>
    <x v="2"/>
    <x v="3"/>
    <x v="11"/>
    <x v="12"/>
    <x v="0"/>
    <n v="136.1"/>
  </r>
  <r>
    <x v="2"/>
    <x v="3"/>
    <x v="11"/>
    <x v="13"/>
    <x v="1"/>
    <n v="142"/>
  </r>
  <r>
    <x v="2"/>
    <x v="3"/>
    <x v="11"/>
    <x v="14"/>
    <x v="2"/>
    <n v="135.80000000000001"/>
  </r>
  <r>
    <x v="2"/>
    <x v="3"/>
    <x v="11"/>
    <x v="15"/>
    <x v="2"/>
    <n v="129.30000000000001"/>
  </r>
  <r>
    <x v="2"/>
    <x v="3"/>
    <x v="11"/>
    <x v="16"/>
    <x v="2"/>
    <n v="135"/>
  </r>
  <r>
    <x v="2"/>
    <x v="3"/>
    <x v="11"/>
    <x v="17"/>
    <x v="3"/>
    <n v="129.1"/>
  </r>
  <r>
    <x v="2"/>
    <x v="3"/>
    <x v="11"/>
    <x v="18"/>
    <x v="4"/>
    <n v="125"/>
  </r>
  <r>
    <x v="2"/>
    <x v="3"/>
    <x v="11"/>
    <x v="19"/>
    <x v="5"/>
    <n v="128.6"/>
  </r>
  <r>
    <x v="2"/>
    <x v="3"/>
    <x v="11"/>
    <x v="20"/>
    <x v="6"/>
    <n v="126.4"/>
  </r>
  <r>
    <x v="2"/>
    <x v="3"/>
    <x v="11"/>
    <x v="21"/>
    <x v="7"/>
    <n v="115.7"/>
  </r>
  <r>
    <x v="2"/>
    <x v="3"/>
    <x v="11"/>
    <x v="22"/>
    <x v="8"/>
    <n v="124"/>
  </r>
  <r>
    <x v="2"/>
    <x v="3"/>
    <x v="11"/>
    <x v="23"/>
    <x v="9"/>
    <n v="132.80000000000001"/>
  </r>
  <r>
    <x v="2"/>
    <x v="3"/>
    <x v="11"/>
    <x v="24"/>
    <x v="8"/>
    <n v="122.6"/>
  </r>
  <r>
    <x v="2"/>
    <x v="3"/>
    <x v="11"/>
    <x v="25"/>
    <x v="5"/>
    <n v="123.8"/>
  </r>
  <r>
    <x v="2"/>
    <x v="3"/>
    <x v="11"/>
    <x v="26"/>
    <x v="10"/>
    <n v="131.19999999999999"/>
  </r>
  <r>
    <x v="0"/>
    <x v="3"/>
    <x v="12"/>
    <x v="0"/>
    <x v="0"/>
    <n v="132.6"/>
  </r>
  <r>
    <x v="0"/>
    <x v="3"/>
    <x v="12"/>
    <x v="1"/>
    <x v="0"/>
    <n v="137.30000000000001"/>
  </r>
  <r>
    <x v="0"/>
    <x v="3"/>
    <x v="12"/>
    <x v="2"/>
    <x v="0"/>
    <n v="131.6"/>
  </r>
  <r>
    <x v="0"/>
    <x v="3"/>
    <x v="12"/>
    <x v="3"/>
    <x v="0"/>
    <n v="136.30000000000001"/>
  </r>
  <r>
    <x v="0"/>
    <x v="3"/>
    <x v="12"/>
    <x v="4"/>
    <x v="0"/>
    <n v="121.6"/>
  </r>
  <r>
    <x v="0"/>
    <x v="3"/>
    <x v="12"/>
    <x v="5"/>
    <x v="0"/>
    <n v="135.6"/>
  </r>
  <r>
    <x v="0"/>
    <x v="3"/>
    <x v="12"/>
    <x v="6"/>
    <x v="0"/>
    <n v="127.5"/>
  </r>
  <r>
    <x v="0"/>
    <x v="3"/>
    <x v="12"/>
    <x v="7"/>
    <x v="0"/>
    <n v="167.9"/>
  </r>
  <r>
    <x v="0"/>
    <x v="3"/>
    <x v="12"/>
    <x v="8"/>
    <x v="0"/>
    <n v="113.8"/>
  </r>
  <r>
    <x v="0"/>
    <x v="3"/>
    <x v="12"/>
    <x v="9"/>
    <x v="0"/>
    <n v="137.5"/>
  </r>
  <r>
    <x v="0"/>
    <x v="3"/>
    <x v="12"/>
    <x v="10"/>
    <x v="0"/>
    <n v="129.1"/>
  </r>
  <r>
    <x v="0"/>
    <x v="3"/>
    <x v="12"/>
    <x v="11"/>
    <x v="0"/>
    <n v="143.6"/>
  </r>
  <r>
    <x v="0"/>
    <x v="3"/>
    <x v="12"/>
    <x v="12"/>
    <x v="0"/>
    <n v="134.69999999999999"/>
  </r>
  <r>
    <x v="0"/>
    <x v="3"/>
    <x v="12"/>
    <x v="13"/>
    <x v="1"/>
    <n v="142.4"/>
  </r>
  <r>
    <x v="0"/>
    <x v="3"/>
    <x v="12"/>
    <x v="14"/>
    <x v="2"/>
    <n v="140.4"/>
  </r>
  <r>
    <x v="0"/>
    <x v="3"/>
    <x v="12"/>
    <x v="15"/>
    <x v="2"/>
    <n v="135.19999999999999"/>
  </r>
  <r>
    <x v="0"/>
    <x v="3"/>
    <x v="12"/>
    <x v="16"/>
    <x v="2"/>
    <n v="139.69999999999999"/>
  </r>
  <r>
    <x v="0"/>
    <x v="3"/>
    <x v="12"/>
    <x v="17"/>
    <x v="3"/>
    <s v="NA"/>
  </r>
  <r>
    <x v="0"/>
    <x v="3"/>
    <x v="12"/>
    <x v="18"/>
    <x v="4"/>
    <n v="132"/>
  </r>
  <r>
    <x v="0"/>
    <x v="3"/>
    <x v="12"/>
    <x v="19"/>
    <x v="5"/>
    <n v="132.9"/>
  </r>
  <r>
    <x v="0"/>
    <x v="3"/>
    <x v="12"/>
    <x v="20"/>
    <x v="6"/>
    <n v="129.69999999999999"/>
  </r>
  <r>
    <x v="0"/>
    <x v="3"/>
    <x v="12"/>
    <x v="21"/>
    <x v="7"/>
    <n v="118.6"/>
  </r>
  <r>
    <x v="0"/>
    <x v="3"/>
    <x v="12"/>
    <x v="22"/>
    <x v="8"/>
    <n v="127.3"/>
  </r>
  <r>
    <x v="0"/>
    <x v="3"/>
    <x v="12"/>
    <x v="23"/>
    <x v="9"/>
    <n v="134.19999999999999"/>
  </r>
  <r>
    <x v="0"/>
    <x v="3"/>
    <x v="12"/>
    <x v="24"/>
    <x v="8"/>
    <n v="121.9"/>
  </r>
  <r>
    <x v="0"/>
    <x v="3"/>
    <x v="12"/>
    <x v="25"/>
    <x v="5"/>
    <n v="126.3"/>
  </r>
  <r>
    <x v="0"/>
    <x v="3"/>
    <x v="12"/>
    <x v="26"/>
    <x v="10"/>
    <n v="132.80000000000001"/>
  </r>
  <r>
    <x v="1"/>
    <x v="3"/>
    <x v="12"/>
    <x v="0"/>
    <x v="0"/>
    <n v="131.6"/>
  </r>
  <r>
    <x v="1"/>
    <x v="3"/>
    <x v="12"/>
    <x v="1"/>
    <x v="0"/>
    <n v="138.19999999999999"/>
  </r>
  <r>
    <x v="1"/>
    <x v="3"/>
    <x v="12"/>
    <x v="2"/>
    <x v="0"/>
    <n v="134.9"/>
  </r>
  <r>
    <x v="1"/>
    <x v="3"/>
    <x v="12"/>
    <x v="3"/>
    <x v="0"/>
    <n v="133.1"/>
  </r>
  <r>
    <x v="1"/>
    <x v="3"/>
    <x v="12"/>
    <x v="4"/>
    <x v="0"/>
    <n v="113.5"/>
  </r>
  <r>
    <x v="1"/>
    <x v="3"/>
    <x v="12"/>
    <x v="5"/>
    <x v="0"/>
    <n v="129.30000000000001"/>
  </r>
  <r>
    <x v="1"/>
    <x v="3"/>
    <x v="12"/>
    <x v="6"/>
    <x v="0"/>
    <n v="121.1"/>
  </r>
  <r>
    <x v="1"/>
    <x v="3"/>
    <x v="12"/>
    <x v="7"/>
    <x v="0"/>
    <n v="170.3"/>
  </r>
  <r>
    <x v="1"/>
    <x v="3"/>
    <x v="12"/>
    <x v="8"/>
    <x v="0"/>
    <n v="115.5"/>
  </r>
  <r>
    <x v="1"/>
    <x v="3"/>
    <x v="12"/>
    <x v="9"/>
    <x v="0"/>
    <n v="145.5"/>
  </r>
  <r>
    <x v="1"/>
    <x v="3"/>
    <x v="12"/>
    <x v="10"/>
    <x v="0"/>
    <n v="123.1"/>
  </r>
  <r>
    <x v="1"/>
    <x v="3"/>
    <x v="12"/>
    <x v="11"/>
    <x v="0"/>
    <n v="140.9"/>
  </r>
  <r>
    <x v="1"/>
    <x v="3"/>
    <x v="12"/>
    <x v="12"/>
    <x v="0"/>
    <n v="132.80000000000001"/>
  </r>
  <r>
    <x v="1"/>
    <x v="3"/>
    <x v="12"/>
    <x v="13"/>
    <x v="1"/>
    <n v="145"/>
  </r>
  <r>
    <x v="1"/>
    <x v="3"/>
    <x v="12"/>
    <x v="14"/>
    <x v="2"/>
    <n v="130"/>
  </r>
  <r>
    <x v="1"/>
    <x v="3"/>
    <x v="12"/>
    <x v="15"/>
    <x v="2"/>
    <n v="122.2"/>
  </r>
  <r>
    <x v="1"/>
    <x v="3"/>
    <x v="12"/>
    <x v="16"/>
    <x v="2"/>
    <n v="128.80000000000001"/>
  </r>
  <r>
    <x v="1"/>
    <x v="3"/>
    <x v="12"/>
    <x v="17"/>
    <x v="3"/>
    <n v="128.5"/>
  </r>
  <r>
    <x v="1"/>
    <x v="3"/>
    <x v="12"/>
    <x v="18"/>
    <x v="4"/>
    <n v="117.8"/>
  </r>
  <r>
    <x v="1"/>
    <x v="3"/>
    <x v="12"/>
    <x v="19"/>
    <x v="5"/>
    <n v="125"/>
  </r>
  <r>
    <x v="1"/>
    <x v="3"/>
    <x v="12"/>
    <x v="20"/>
    <x v="6"/>
    <n v="122.3"/>
  </r>
  <r>
    <x v="1"/>
    <x v="3"/>
    <x v="12"/>
    <x v="21"/>
    <x v="7"/>
    <n v="113.7"/>
  </r>
  <r>
    <x v="1"/>
    <x v="3"/>
    <x v="12"/>
    <x v="22"/>
    <x v="8"/>
    <n v="121.8"/>
  </r>
  <r>
    <x v="1"/>
    <x v="3"/>
    <x v="12"/>
    <x v="23"/>
    <x v="9"/>
    <n v="132.30000000000001"/>
  </r>
  <r>
    <x v="1"/>
    <x v="3"/>
    <x v="12"/>
    <x v="24"/>
    <x v="8"/>
    <n v="119.9"/>
  </r>
  <r>
    <x v="1"/>
    <x v="3"/>
    <x v="12"/>
    <x v="25"/>
    <x v="5"/>
    <n v="121.4"/>
  </r>
  <r>
    <x v="1"/>
    <x v="3"/>
    <x v="12"/>
    <x v="26"/>
    <x v="10"/>
    <n v="127.6"/>
  </r>
  <r>
    <x v="2"/>
    <x v="3"/>
    <x v="12"/>
    <x v="0"/>
    <x v="0"/>
    <n v="132.30000000000001"/>
  </r>
  <r>
    <x v="2"/>
    <x v="3"/>
    <x v="12"/>
    <x v="1"/>
    <x v="0"/>
    <n v="137.6"/>
  </r>
  <r>
    <x v="2"/>
    <x v="3"/>
    <x v="12"/>
    <x v="2"/>
    <x v="0"/>
    <n v="132.9"/>
  </r>
  <r>
    <x v="2"/>
    <x v="3"/>
    <x v="12"/>
    <x v="3"/>
    <x v="0"/>
    <n v="135.1"/>
  </r>
  <r>
    <x v="2"/>
    <x v="3"/>
    <x v="12"/>
    <x v="4"/>
    <x v="0"/>
    <n v="118.6"/>
  </r>
  <r>
    <x v="2"/>
    <x v="3"/>
    <x v="12"/>
    <x v="5"/>
    <x v="0"/>
    <n v="132.69999999999999"/>
  </r>
  <r>
    <x v="2"/>
    <x v="3"/>
    <x v="12"/>
    <x v="6"/>
    <x v="0"/>
    <n v="125.3"/>
  </r>
  <r>
    <x v="2"/>
    <x v="3"/>
    <x v="12"/>
    <x v="7"/>
    <x v="0"/>
    <n v="168.7"/>
  </r>
  <r>
    <x v="2"/>
    <x v="3"/>
    <x v="12"/>
    <x v="8"/>
    <x v="0"/>
    <n v="114.4"/>
  </r>
  <r>
    <x v="2"/>
    <x v="3"/>
    <x v="12"/>
    <x v="9"/>
    <x v="0"/>
    <n v="140.19999999999999"/>
  </r>
  <r>
    <x v="2"/>
    <x v="3"/>
    <x v="12"/>
    <x v="10"/>
    <x v="0"/>
    <n v="126.6"/>
  </r>
  <r>
    <x v="2"/>
    <x v="3"/>
    <x v="12"/>
    <x v="11"/>
    <x v="0"/>
    <n v="142.30000000000001"/>
  </r>
  <r>
    <x v="2"/>
    <x v="3"/>
    <x v="12"/>
    <x v="12"/>
    <x v="0"/>
    <n v="134"/>
  </r>
  <r>
    <x v="2"/>
    <x v="3"/>
    <x v="12"/>
    <x v="13"/>
    <x v="1"/>
    <n v="143.1"/>
  </r>
  <r>
    <x v="2"/>
    <x v="3"/>
    <x v="12"/>
    <x v="14"/>
    <x v="2"/>
    <n v="136.30000000000001"/>
  </r>
  <r>
    <x v="2"/>
    <x v="3"/>
    <x v="12"/>
    <x v="15"/>
    <x v="2"/>
    <n v="129.80000000000001"/>
  </r>
  <r>
    <x v="2"/>
    <x v="3"/>
    <x v="12"/>
    <x v="16"/>
    <x v="2"/>
    <n v="135.4"/>
  </r>
  <r>
    <x v="2"/>
    <x v="3"/>
    <x v="12"/>
    <x v="17"/>
    <x v="3"/>
    <n v="128.5"/>
  </r>
  <r>
    <x v="2"/>
    <x v="3"/>
    <x v="12"/>
    <x v="18"/>
    <x v="4"/>
    <n v="126.6"/>
  </r>
  <r>
    <x v="2"/>
    <x v="3"/>
    <x v="12"/>
    <x v="19"/>
    <x v="5"/>
    <n v="129.19999999999999"/>
  </r>
  <r>
    <x v="2"/>
    <x v="3"/>
    <x v="12"/>
    <x v="20"/>
    <x v="6"/>
    <n v="126.9"/>
  </r>
  <r>
    <x v="2"/>
    <x v="3"/>
    <x v="12"/>
    <x v="21"/>
    <x v="7"/>
    <n v="116"/>
  </r>
  <r>
    <x v="2"/>
    <x v="3"/>
    <x v="12"/>
    <x v="22"/>
    <x v="8"/>
    <n v="124.2"/>
  </r>
  <r>
    <x v="2"/>
    <x v="3"/>
    <x v="12"/>
    <x v="23"/>
    <x v="9"/>
    <n v="133.1"/>
  </r>
  <r>
    <x v="2"/>
    <x v="3"/>
    <x v="12"/>
    <x v="24"/>
    <x v="8"/>
    <n v="121.1"/>
  </r>
  <r>
    <x v="2"/>
    <x v="3"/>
    <x v="12"/>
    <x v="25"/>
    <x v="5"/>
    <n v="123.9"/>
  </r>
  <r>
    <x v="2"/>
    <x v="3"/>
    <x v="12"/>
    <x v="26"/>
    <x v="10"/>
    <n v="130.4"/>
  </r>
  <r>
    <x v="0"/>
    <x v="4"/>
    <x v="0"/>
    <x v="0"/>
    <x v="0"/>
    <n v="133.1"/>
  </r>
  <r>
    <x v="0"/>
    <x v="4"/>
    <x v="0"/>
    <x v="1"/>
    <x v="0"/>
    <n v="137.80000000000001"/>
  </r>
  <r>
    <x v="0"/>
    <x v="4"/>
    <x v="0"/>
    <x v="2"/>
    <x v="0"/>
    <n v="131.9"/>
  </r>
  <r>
    <x v="0"/>
    <x v="4"/>
    <x v="0"/>
    <x v="3"/>
    <x v="0"/>
    <n v="136.69999999999999"/>
  </r>
  <r>
    <x v="0"/>
    <x v="4"/>
    <x v="0"/>
    <x v="4"/>
    <x v="0"/>
    <n v="122"/>
  </r>
  <r>
    <x v="0"/>
    <x v="4"/>
    <x v="0"/>
    <x v="5"/>
    <x v="0"/>
    <n v="136"/>
  </r>
  <r>
    <x v="0"/>
    <x v="4"/>
    <x v="0"/>
    <x v="6"/>
    <x v="0"/>
    <n v="119.8"/>
  </r>
  <r>
    <x v="0"/>
    <x v="4"/>
    <x v="0"/>
    <x v="7"/>
    <x v="0"/>
    <n v="161.69999999999999"/>
  </r>
  <r>
    <x v="0"/>
    <x v="4"/>
    <x v="0"/>
    <x v="8"/>
    <x v="0"/>
    <n v="114.8"/>
  </r>
  <r>
    <x v="0"/>
    <x v="4"/>
    <x v="0"/>
    <x v="9"/>
    <x v="0"/>
    <n v="136.9"/>
  </r>
  <r>
    <x v="0"/>
    <x v="4"/>
    <x v="0"/>
    <x v="10"/>
    <x v="0"/>
    <n v="129"/>
  </r>
  <r>
    <x v="0"/>
    <x v="4"/>
    <x v="0"/>
    <x v="11"/>
    <x v="0"/>
    <n v="143.9"/>
  </r>
  <r>
    <x v="0"/>
    <x v="4"/>
    <x v="0"/>
    <x v="12"/>
    <x v="0"/>
    <n v="133.69999999999999"/>
  </r>
  <r>
    <x v="0"/>
    <x v="4"/>
    <x v="0"/>
    <x v="13"/>
    <x v="1"/>
    <n v="143.1"/>
  </r>
  <r>
    <x v="0"/>
    <x v="4"/>
    <x v="0"/>
    <x v="14"/>
    <x v="2"/>
    <n v="140.69999999999999"/>
  </r>
  <r>
    <x v="0"/>
    <x v="4"/>
    <x v="0"/>
    <x v="15"/>
    <x v="2"/>
    <n v="135.80000000000001"/>
  </r>
  <r>
    <x v="0"/>
    <x v="4"/>
    <x v="0"/>
    <x v="16"/>
    <x v="2"/>
    <n v="140"/>
  </r>
  <r>
    <x v="0"/>
    <x v="4"/>
    <x v="0"/>
    <x v="17"/>
    <x v="3"/>
    <s v="NA"/>
  </r>
  <r>
    <x v="0"/>
    <x v="4"/>
    <x v="0"/>
    <x v="18"/>
    <x v="4"/>
    <n v="132.1"/>
  </r>
  <r>
    <x v="0"/>
    <x v="4"/>
    <x v="0"/>
    <x v="19"/>
    <x v="5"/>
    <n v="133.19999999999999"/>
  </r>
  <r>
    <x v="0"/>
    <x v="4"/>
    <x v="0"/>
    <x v="20"/>
    <x v="6"/>
    <n v="129.9"/>
  </r>
  <r>
    <x v="0"/>
    <x v="4"/>
    <x v="0"/>
    <x v="21"/>
    <x v="7"/>
    <n v="119.1"/>
  </r>
  <r>
    <x v="0"/>
    <x v="4"/>
    <x v="0"/>
    <x v="22"/>
    <x v="8"/>
    <n v="127"/>
  </r>
  <r>
    <x v="0"/>
    <x v="4"/>
    <x v="0"/>
    <x v="23"/>
    <x v="9"/>
    <n v="134.6"/>
  </r>
  <r>
    <x v="0"/>
    <x v="4"/>
    <x v="0"/>
    <x v="24"/>
    <x v="8"/>
    <n v="122.3"/>
  </r>
  <r>
    <x v="0"/>
    <x v="4"/>
    <x v="0"/>
    <x v="25"/>
    <x v="5"/>
    <n v="126.6"/>
  </r>
  <r>
    <x v="0"/>
    <x v="4"/>
    <x v="0"/>
    <x v="26"/>
    <x v="10"/>
    <n v="132.4"/>
  </r>
  <r>
    <x v="1"/>
    <x v="4"/>
    <x v="0"/>
    <x v="0"/>
    <x v="0"/>
    <n v="132.19999999999999"/>
  </r>
  <r>
    <x v="1"/>
    <x v="4"/>
    <x v="0"/>
    <x v="1"/>
    <x v="0"/>
    <n v="138.9"/>
  </r>
  <r>
    <x v="1"/>
    <x v="4"/>
    <x v="0"/>
    <x v="2"/>
    <x v="0"/>
    <n v="132.6"/>
  </r>
  <r>
    <x v="1"/>
    <x v="4"/>
    <x v="0"/>
    <x v="3"/>
    <x v="0"/>
    <n v="133.1"/>
  </r>
  <r>
    <x v="1"/>
    <x v="4"/>
    <x v="0"/>
    <x v="4"/>
    <x v="0"/>
    <n v="114"/>
  </r>
  <r>
    <x v="1"/>
    <x v="4"/>
    <x v="0"/>
    <x v="5"/>
    <x v="0"/>
    <n v="129.6"/>
  </r>
  <r>
    <x v="1"/>
    <x v="4"/>
    <x v="0"/>
    <x v="6"/>
    <x v="0"/>
    <n v="118.7"/>
  </r>
  <r>
    <x v="1"/>
    <x v="4"/>
    <x v="0"/>
    <x v="7"/>
    <x v="0"/>
    <n v="155.1"/>
  </r>
  <r>
    <x v="1"/>
    <x v="4"/>
    <x v="0"/>
    <x v="8"/>
    <x v="0"/>
    <n v="117.3"/>
  </r>
  <r>
    <x v="1"/>
    <x v="4"/>
    <x v="0"/>
    <x v="9"/>
    <x v="0"/>
    <n v="144.9"/>
  </r>
  <r>
    <x v="1"/>
    <x v="4"/>
    <x v="0"/>
    <x v="10"/>
    <x v="0"/>
    <n v="123.2"/>
  </r>
  <r>
    <x v="1"/>
    <x v="4"/>
    <x v="0"/>
    <x v="11"/>
    <x v="0"/>
    <n v="141.6"/>
  </r>
  <r>
    <x v="1"/>
    <x v="4"/>
    <x v="0"/>
    <x v="12"/>
    <x v="0"/>
    <n v="132"/>
  </r>
  <r>
    <x v="1"/>
    <x v="4"/>
    <x v="0"/>
    <x v="13"/>
    <x v="1"/>
    <n v="145.6"/>
  </r>
  <r>
    <x v="1"/>
    <x v="4"/>
    <x v="0"/>
    <x v="14"/>
    <x v="2"/>
    <n v="130.19999999999999"/>
  </r>
  <r>
    <x v="1"/>
    <x v="4"/>
    <x v="0"/>
    <x v="15"/>
    <x v="2"/>
    <n v="122.3"/>
  </r>
  <r>
    <x v="1"/>
    <x v="4"/>
    <x v="0"/>
    <x v="16"/>
    <x v="2"/>
    <n v="129"/>
  </r>
  <r>
    <x v="1"/>
    <x v="4"/>
    <x v="0"/>
    <x v="17"/>
    <x v="3"/>
    <n v="129.6"/>
  </r>
  <r>
    <x v="1"/>
    <x v="4"/>
    <x v="0"/>
    <x v="18"/>
    <x v="4"/>
    <n v="118"/>
  </r>
  <r>
    <x v="1"/>
    <x v="4"/>
    <x v="0"/>
    <x v="19"/>
    <x v="5"/>
    <n v="125.1"/>
  </r>
  <r>
    <x v="1"/>
    <x v="4"/>
    <x v="0"/>
    <x v="20"/>
    <x v="6"/>
    <n v="122.6"/>
  </r>
  <r>
    <x v="1"/>
    <x v="4"/>
    <x v="0"/>
    <x v="21"/>
    <x v="7"/>
    <n v="115.2"/>
  </r>
  <r>
    <x v="1"/>
    <x v="4"/>
    <x v="0"/>
    <x v="22"/>
    <x v="8"/>
    <n v="122"/>
  </r>
  <r>
    <x v="1"/>
    <x v="4"/>
    <x v="0"/>
    <x v="23"/>
    <x v="9"/>
    <n v="132.4"/>
  </r>
  <r>
    <x v="1"/>
    <x v="4"/>
    <x v="0"/>
    <x v="24"/>
    <x v="8"/>
    <n v="120.9"/>
  </r>
  <r>
    <x v="1"/>
    <x v="4"/>
    <x v="0"/>
    <x v="25"/>
    <x v="5"/>
    <n v="122.1"/>
  </r>
  <r>
    <x v="1"/>
    <x v="4"/>
    <x v="0"/>
    <x v="26"/>
    <x v="10"/>
    <n v="127.8"/>
  </r>
  <r>
    <x v="2"/>
    <x v="4"/>
    <x v="0"/>
    <x v="0"/>
    <x v="0"/>
    <n v="132.80000000000001"/>
  </r>
  <r>
    <x v="2"/>
    <x v="4"/>
    <x v="0"/>
    <x v="1"/>
    <x v="0"/>
    <n v="138.19999999999999"/>
  </r>
  <r>
    <x v="2"/>
    <x v="4"/>
    <x v="0"/>
    <x v="2"/>
    <x v="0"/>
    <n v="132.19999999999999"/>
  </r>
  <r>
    <x v="2"/>
    <x v="4"/>
    <x v="0"/>
    <x v="3"/>
    <x v="0"/>
    <n v="135.4"/>
  </r>
  <r>
    <x v="2"/>
    <x v="4"/>
    <x v="0"/>
    <x v="4"/>
    <x v="0"/>
    <n v="119.1"/>
  </r>
  <r>
    <x v="2"/>
    <x v="4"/>
    <x v="0"/>
    <x v="5"/>
    <x v="0"/>
    <n v="133"/>
  </r>
  <r>
    <x v="2"/>
    <x v="4"/>
    <x v="0"/>
    <x v="6"/>
    <x v="0"/>
    <n v="119.4"/>
  </r>
  <r>
    <x v="2"/>
    <x v="4"/>
    <x v="0"/>
    <x v="7"/>
    <x v="0"/>
    <n v="159.5"/>
  </r>
  <r>
    <x v="2"/>
    <x v="4"/>
    <x v="0"/>
    <x v="8"/>
    <x v="0"/>
    <n v="115.6"/>
  </r>
  <r>
    <x v="2"/>
    <x v="4"/>
    <x v="0"/>
    <x v="9"/>
    <x v="0"/>
    <n v="139.6"/>
  </r>
  <r>
    <x v="2"/>
    <x v="4"/>
    <x v="0"/>
    <x v="10"/>
    <x v="0"/>
    <n v="126.6"/>
  </r>
  <r>
    <x v="2"/>
    <x v="4"/>
    <x v="0"/>
    <x v="11"/>
    <x v="0"/>
    <n v="142.80000000000001"/>
  </r>
  <r>
    <x v="2"/>
    <x v="4"/>
    <x v="0"/>
    <x v="12"/>
    <x v="0"/>
    <n v="133.1"/>
  </r>
  <r>
    <x v="2"/>
    <x v="4"/>
    <x v="0"/>
    <x v="13"/>
    <x v="1"/>
    <n v="143.80000000000001"/>
  </r>
  <r>
    <x v="2"/>
    <x v="4"/>
    <x v="0"/>
    <x v="14"/>
    <x v="2"/>
    <n v="136.6"/>
  </r>
  <r>
    <x v="2"/>
    <x v="4"/>
    <x v="0"/>
    <x v="15"/>
    <x v="2"/>
    <n v="130.19999999999999"/>
  </r>
  <r>
    <x v="2"/>
    <x v="4"/>
    <x v="0"/>
    <x v="16"/>
    <x v="2"/>
    <n v="135.6"/>
  </r>
  <r>
    <x v="2"/>
    <x v="4"/>
    <x v="0"/>
    <x v="17"/>
    <x v="3"/>
    <n v="129.6"/>
  </r>
  <r>
    <x v="2"/>
    <x v="4"/>
    <x v="0"/>
    <x v="18"/>
    <x v="4"/>
    <n v="126.8"/>
  </r>
  <r>
    <x v="2"/>
    <x v="4"/>
    <x v="0"/>
    <x v="19"/>
    <x v="5"/>
    <n v="129.4"/>
  </r>
  <r>
    <x v="2"/>
    <x v="4"/>
    <x v="0"/>
    <x v="20"/>
    <x v="6"/>
    <n v="127.1"/>
  </r>
  <r>
    <x v="2"/>
    <x v="4"/>
    <x v="0"/>
    <x v="21"/>
    <x v="7"/>
    <n v="117"/>
  </r>
  <r>
    <x v="2"/>
    <x v="4"/>
    <x v="0"/>
    <x v="22"/>
    <x v="8"/>
    <n v="124.2"/>
  </r>
  <r>
    <x v="2"/>
    <x v="4"/>
    <x v="0"/>
    <x v="23"/>
    <x v="9"/>
    <n v="133.30000000000001"/>
  </r>
  <r>
    <x v="2"/>
    <x v="4"/>
    <x v="0"/>
    <x v="24"/>
    <x v="8"/>
    <n v="121.7"/>
  </r>
  <r>
    <x v="2"/>
    <x v="4"/>
    <x v="0"/>
    <x v="25"/>
    <x v="5"/>
    <n v="124.4"/>
  </r>
  <r>
    <x v="2"/>
    <x v="4"/>
    <x v="0"/>
    <x v="26"/>
    <x v="10"/>
    <n v="130.30000000000001"/>
  </r>
  <r>
    <x v="0"/>
    <x v="4"/>
    <x v="1"/>
    <x v="0"/>
    <x v="0"/>
    <n v="133.30000000000001"/>
  </r>
  <r>
    <x v="0"/>
    <x v="4"/>
    <x v="1"/>
    <x v="1"/>
    <x v="0"/>
    <n v="138.30000000000001"/>
  </r>
  <r>
    <x v="0"/>
    <x v="4"/>
    <x v="1"/>
    <x v="2"/>
    <x v="0"/>
    <n v="129.30000000000001"/>
  </r>
  <r>
    <x v="0"/>
    <x v="4"/>
    <x v="1"/>
    <x v="3"/>
    <x v="0"/>
    <n v="137.19999999999999"/>
  </r>
  <r>
    <x v="0"/>
    <x v="4"/>
    <x v="1"/>
    <x v="4"/>
    <x v="0"/>
    <n v="122.1"/>
  </r>
  <r>
    <x v="0"/>
    <x v="4"/>
    <x v="1"/>
    <x v="5"/>
    <x v="0"/>
    <n v="138.69999999999999"/>
  </r>
  <r>
    <x v="0"/>
    <x v="4"/>
    <x v="1"/>
    <x v="6"/>
    <x v="0"/>
    <n v="119.1"/>
  </r>
  <r>
    <x v="0"/>
    <x v="4"/>
    <x v="1"/>
    <x v="7"/>
    <x v="0"/>
    <n v="156.9"/>
  </r>
  <r>
    <x v="0"/>
    <x v="4"/>
    <x v="1"/>
    <x v="8"/>
    <x v="0"/>
    <n v="116.2"/>
  </r>
  <r>
    <x v="0"/>
    <x v="4"/>
    <x v="1"/>
    <x v="9"/>
    <x v="0"/>
    <n v="136"/>
  </r>
  <r>
    <x v="0"/>
    <x v="4"/>
    <x v="1"/>
    <x v="10"/>
    <x v="0"/>
    <n v="129.4"/>
  </r>
  <r>
    <x v="0"/>
    <x v="4"/>
    <x v="1"/>
    <x v="11"/>
    <x v="0"/>
    <n v="144.4"/>
  </r>
  <r>
    <x v="0"/>
    <x v="4"/>
    <x v="1"/>
    <x v="12"/>
    <x v="0"/>
    <n v="133.6"/>
  </r>
  <r>
    <x v="0"/>
    <x v="4"/>
    <x v="1"/>
    <x v="13"/>
    <x v="1"/>
    <n v="143.69999999999999"/>
  </r>
  <r>
    <x v="0"/>
    <x v="4"/>
    <x v="1"/>
    <x v="14"/>
    <x v="2"/>
    <n v="140.9"/>
  </r>
  <r>
    <x v="0"/>
    <x v="4"/>
    <x v="1"/>
    <x v="15"/>
    <x v="2"/>
    <n v="135.80000000000001"/>
  </r>
  <r>
    <x v="0"/>
    <x v="4"/>
    <x v="1"/>
    <x v="16"/>
    <x v="2"/>
    <n v="140.19999999999999"/>
  </r>
  <r>
    <x v="0"/>
    <x v="4"/>
    <x v="1"/>
    <x v="17"/>
    <x v="3"/>
    <s v="NA"/>
  </r>
  <r>
    <x v="0"/>
    <x v="4"/>
    <x v="1"/>
    <x v="18"/>
    <x v="4"/>
    <n v="133.19999999999999"/>
  </r>
  <r>
    <x v="0"/>
    <x v="4"/>
    <x v="1"/>
    <x v="19"/>
    <x v="5"/>
    <n v="133.6"/>
  </r>
  <r>
    <x v="0"/>
    <x v="4"/>
    <x v="1"/>
    <x v="20"/>
    <x v="6"/>
    <n v="130.1"/>
  </r>
  <r>
    <x v="0"/>
    <x v="4"/>
    <x v="1"/>
    <x v="21"/>
    <x v="7"/>
    <n v="119.5"/>
  </r>
  <r>
    <x v="0"/>
    <x v="4"/>
    <x v="1"/>
    <x v="22"/>
    <x v="8"/>
    <n v="127.7"/>
  </r>
  <r>
    <x v="0"/>
    <x v="4"/>
    <x v="1"/>
    <x v="23"/>
    <x v="9"/>
    <n v="134.9"/>
  </r>
  <r>
    <x v="0"/>
    <x v="4"/>
    <x v="1"/>
    <x v="24"/>
    <x v="8"/>
    <n v="123.2"/>
  </r>
  <r>
    <x v="0"/>
    <x v="4"/>
    <x v="1"/>
    <x v="25"/>
    <x v="5"/>
    <n v="127"/>
  </r>
  <r>
    <x v="0"/>
    <x v="4"/>
    <x v="1"/>
    <x v="26"/>
    <x v="10"/>
    <n v="132.6"/>
  </r>
  <r>
    <x v="1"/>
    <x v="4"/>
    <x v="1"/>
    <x v="0"/>
    <x v="0"/>
    <n v="132.80000000000001"/>
  </r>
  <r>
    <x v="1"/>
    <x v="4"/>
    <x v="1"/>
    <x v="1"/>
    <x v="0"/>
    <n v="139.80000000000001"/>
  </r>
  <r>
    <x v="1"/>
    <x v="4"/>
    <x v="1"/>
    <x v="2"/>
    <x v="0"/>
    <n v="129.30000000000001"/>
  </r>
  <r>
    <x v="1"/>
    <x v="4"/>
    <x v="1"/>
    <x v="3"/>
    <x v="0"/>
    <n v="133.5"/>
  </r>
  <r>
    <x v="1"/>
    <x v="4"/>
    <x v="1"/>
    <x v="4"/>
    <x v="0"/>
    <n v="114.3"/>
  </r>
  <r>
    <x v="1"/>
    <x v="4"/>
    <x v="1"/>
    <x v="5"/>
    <x v="0"/>
    <n v="131.4"/>
  </r>
  <r>
    <x v="1"/>
    <x v="4"/>
    <x v="1"/>
    <x v="6"/>
    <x v="0"/>
    <n v="120.2"/>
  </r>
  <r>
    <x v="1"/>
    <x v="4"/>
    <x v="1"/>
    <x v="7"/>
    <x v="0"/>
    <n v="143.1"/>
  </r>
  <r>
    <x v="1"/>
    <x v="4"/>
    <x v="1"/>
    <x v="8"/>
    <x v="0"/>
    <n v="119.5"/>
  </r>
  <r>
    <x v="1"/>
    <x v="4"/>
    <x v="1"/>
    <x v="9"/>
    <x v="0"/>
    <n v="144"/>
  </r>
  <r>
    <x v="1"/>
    <x v="4"/>
    <x v="1"/>
    <x v="10"/>
    <x v="0"/>
    <n v="123.4"/>
  </r>
  <r>
    <x v="1"/>
    <x v="4"/>
    <x v="1"/>
    <x v="11"/>
    <x v="0"/>
    <n v="141.9"/>
  </r>
  <r>
    <x v="1"/>
    <x v="4"/>
    <x v="1"/>
    <x v="12"/>
    <x v="0"/>
    <n v="132.1"/>
  </r>
  <r>
    <x v="1"/>
    <x v="4"/>
    <x v="1"/>
    <x v="13"/>
    <x v="1"/>
    <n v="146.30000000000001"/>
  </r>
  <r>
    <x v="1"/>
    <x v="4"/>
    <x v="1"/>
    <x v="14"/>
    <x v="2"/>
    <n v="130.5"/>
  </r>
  <r>
    <x v="1"/>
    <x v="4"/>
    <x v="1"/>
    <x v="15"/>
    <x v="2"/>
    <n v="122.5"/>
  </r>
  <r>
    <x v="1"/>
    <x v="4"/>
    <x v="1"/>
    <x v="16"/>
    <x v="2"/>
    <n v="129.30000000000001"/>
  </r>
  <r>
    <x v="1"/>
    <x v="4"/>
    <x v="1"/>
    <x v="17"/>
    <x v="3"/>
    <n v="130.5"/>
  </r>
  <r>
    <x v="1"/>
    <x v="4"/>
    <x v="1"/>
    <x v="18"/>
    <x v="4"/>
    <n v="119.2"/>
  </r>
  <r>
    <x v="1"/>
    <x v="4"/>
    <x v="1"/>
    <x v="19"/>
    <x v="5"/>
    <n v="125.3"/>
  </r>
  <r>
    <x v="1"/>
    <x v="4"/>
    <x v="1"/>
    <x v="20"/>
    <x v="6"/>
    <n v="122.9"/>
  </r>
  <r>
    <x v="1"/>
    <x v="4"/>
    <x v="1"/>
    <x v="21"/>
    <x v="7"/>
    <n v="115.5"/>
  </r>
  <r>
    <x v="1"/>
    <x v="4"/>
    <x v="1"/>
    <x v="22"/>
    <x v="8"/>
    <n v="122.2"/>
  </r>
  <r>
    <x v="1"/>
    <x v="4"/>
    <x v="1"/>
    <x v="23"/>
    <x v="9"/>
    <n v="132.4"/>
  </r>
  <r>
    <x v="1"/>
    <x v="4"/>
    <x v="1"/>
    <x v="24"/>
    <x v="8"/>
    <n v="121.7"/>
  </r>
  <r>
    <x v="1"/>
    <x v="4"/>
    <x v="1"/>
    <x v="25"/>
    <x v="5"/>
    <n v="122.4"/>
  </r>
  <r>
    <x v="1"/>
    <x v="4"/>
    <x v="1"/>
    <x v="26"/>
    <x v="10"/>
    <n v="128.19999999999999"/>
  </r>
  <r>
    <x v="2"/>
    <x v="4"/>
    <x v="1"/>
    <x v="0"/>
    <x v="0"/>
    <n v="133.1"/>
  </r>
  <r>
    <x v="2"/>
    <x v="4"/>
    <x v="1"/>
    <x v="1"/>
    <x v="0"/>
    <n v="138.80000000000001"/>
  </r>
  <r>
    <x v="2"/>
    <x v="4"/>
    <x v="1"/>
    <x v="2"/>
    <x v="0"/>
    <n v="129.30000000000001"/>
  </r>
  <r>
    <x v="2"/>
    <x v="4"/>
    <x v="1"/>
    <x v="3"/>
    <x v="0"/>
    <n v="135.80000000000001"/>
  </r>
  <r>
    <x v="2"/>
    <x v="4"/>
    <x v="1"/>
    <x v="4"/>
    <x v="0"/>
    <n v="119.2"/>
  </r>
  <r>
    <x v="2"/>
    <x v="4"/>
    <x v="1"/>
    <x v="5"/>
    <x v="0"/>
    <n v="135.30000000000001"/>
  </r>
  <r>
    <x v="2"/>
    <x v="4"/>
    <x v="1"/>
    <x v="6"/>
    <x v="0"/>
    <n v="119.5"/>
  </r>
  <r>
    <x v="2"/>
    <x v="4"/>
    <x v="1"/>
    <x v="7"/>
    <x v="0"/>
    <n v="152.19999999999999"/>
  </r>
  <r>
    <x v="2"/>
    <x v="4"/>
    <x v="1"/>
    <x v="8"/>
    <x v="0"/>
    <n v="117.3"/>
  </r>
  <r>
    <x v="2"/>
    <x v="4"/>
    <x v="1"/>
    <x v="9"/>
    <x v="0"/>
    <n v="138.69999999999999"/>
  </r>
  <r>
    <x v="2"/>
    <x v="4"/>
    <x v="1"/>
    <x v="10"/>
    <x v="0"/>
    <n v="126.9"/>
  </r>
  <r>
    <x v="2"/>
    <x v="4"/>
    <x v="1"/>
    <x v="11"/>
    <x v="0"/>
    <n v="143.19999999999999"/>
  </r>
  <r>
    <x v="2"/>
    <x v="4"/>
    <x v="1"/>
    <x v="12"/>
    <x v="0"/>
    <n v="133"/>
  </r>
  <r>
    <x v="2"/>
    <x v="4"/>
    <x v="1"/>
    <x v="13"/>
    <x v="1"/>
    <n v="144.4"/>
  </r>
  <r>
    <x v="2"/>
    <x v="4"/>
    <x v="1"/>
    <x v="14"/>
    <x v="2"/>
    <n v="136.80000000000001"/>
  </r>
  <r>
    <x v="2"/>
    <x v="4"/>
    <x v="1"/>
    <x v="15"/>
    <x v="2"/>
    <n v="130.30000000000001"/>
  </r>
  <r>
    <x v="2"/>
    <x v="4"/>
    <x v="1"/>
    <x v="16"/>
    <x v="2"/>
    <n v="135.9"/>
  </r>
  <r>
    <x v="2"/>
    <x v="4"/>
    <x v="1"/>
    <x v="17"/>
    <x v="3"/>
    <n v="130.5"/>
  </r>
  <r>
    <x v="2"/>
    <x v="4"/>
    <x v="1"/>
    <x v="18"/>
    <x v="4"/>
    <n v="127.9"/>
  </r>
  <r>
    <x v="2"/>
    <x v="4"/>
    <x v="1"/>
    <x v="19"/>
    <x v="5"/>
    <n v="129.69999999999999"/>
  </r>
  <r>
    <x v="2"/>
    <x v="4"/>
    <x v="1"/>
    <x v="20"/>
    <x v="6"/>
    <n v="127.4"/>
  </r>
  <r>
    <x v="2"/>
    <x v="4"/>
    <x v="1"/>
    <x v="21"/>
    <x v="7"/>
    <n v="117.4"/>
  </r>
  <r>
    <x v="2"/>
    <x v="4"/>
    <x v="1"/>
    <x v="22"/>
    <x v="8"/>
    <n v="124.6"/>
  </r>
  <r>
    <x v="2"/>
    <x v="4"/>
    <x v="1"/>
    <x v="23"/>
    <x v="9"/>
    <n v="133.4"/>
  </r>
  <r>
    <x v="2"/>
    <x v="4"/>
    <x v="1"/>
    <x v="24"/>
    <x v="8"/>
    <n v="122.6"/>
  </r>
  <r>
    <x v="2"/>
    <x v="4"/>
    <x v="1"/>
    <x v="25"/>
    <x v="5"/>
    <n v="124.8"/>
  </r>
  <r>
    <x v="2"/>
    <x v="4"/>
    <x v="1"/>
    <x v="26"/>
    <x v="10"/>
    <n v="130.6"/>
  </r>
  <r>
    <x v="0"/>
    <x v="4"/>
    <x v="2"/>
    <x v="0"/>
    <x v="0"/>
    <n v="133.6"/>
  </r>
  <r>
    <x v="0"/>
    <x v="4"/>
    <x v="2"/>
    <x v="1"/>
    <x v="0"/>
    <n v="138.80000000000001"/>
  </r>
  <r>
    <x v="0"/>
    <x v="4"/>
    <x v="2"/>
    <x v="2"/>
    <x v="0"/>
    <n v="128.80000000000001"/>
  </r>
  <r>
    <x v="0"/>
    <x v="4"/>
    <x v="2"/>
    <x v="3"/>
    <x v="0"/>
    <n v="137.19999999999999"/>
  </r>
  <r>
    <x v="0"/>
    <x v="4"/>
    <x v="2"/>
    <x v="4"/>
    <x v="0"/>
    <n v="121.6"/>
  </r>
  <r>
    <x v="0"/>
    <x v="4"/>
    <x v="2"/>
    <x v="5"/>
    <x v="0"/>
    <n v="139.69999999999999"/>
  </r>
  <r>
    <x v="0"/>
    <x v="4"/>
    <x v="2"/>
    <x v="6"/>
    <x v="0"/>
    <n v="119.7"/>
  </r>
  <r>
    <x v="0"/>
    <x v="4"/>
    <x v="2"/>
    <x v="7"/>
    <x v="0"/>
    <n v="148"/>
  </r>
  <r>
    <x v="0"/>
    <x v="4"/>
    <x v="2"/>
    <x v="8"/>
    <x v="0"/>
    <n v="116.9"/>
  </r>
  <r>
    <x v="0"/>
    <x v="4"/>
    <x v="2"/>
    <x v="9"/>
    <x v="0"/>
    <n v="135.6"/>
  </r>
  <r>
    <x v="0"/>
    <x v="4"/>
    <x v="2"/>
    <x v="10"/>
    <x v="0"/>
    <n v="129.80000000000001"/>
  </r>
  <r>
    <x v="0"/>
    <x v="4"/>
    <x v="2"/>
    <x v="11"/>
    <x v="0"/>
    <n v="145.4"/>
  </r>
  <r>
    <x v="0"/>
    <x v="4"/>
    <x v="2"/>
    <x v="12"/>
    <x v="0"/>
    <n v="133.4"/>
  </r>
  <r>
    <x v="0"/>
    <x v="4"/>
    <x v="2"/>
    <x v="13"/>
    <x v="1"/>
    <n v="144.19999999999999"/>
  </r>
  <r>
    <x v="0"/>
    <x v="4"/>
    <x v="2"/>
    <x v="14"/>
    <x v="2"/>
    <n v="141.6"/>
  </r>
  <r>
    <x v="0"/>
    <x v="4"/>
    <x v="2"/>
    <x v="15"/>
    <x v="2"/>
    <n v="136.19999999999999"/>
  </r>
  <r>
    <x v="0"/>
    <x v="4"/>
    <x v="2"/>
    <x v="16"/>
    <x v="2"/>
    <n v="140.80000000000001"/>
  </r>
  <r>
    <x v="0"/>
    <x v="4"/>
    <x v="2"/>
    <x v="17"/>
    <x v="3"/>
    <s v="NA"/>
  </r>
  <r>
    <x v="0"/>
    <x v="4"/>
    <x v="2"/>
    <x v="18"/>
    <x v="4"/>
    <n v="134.19999999999999"/>
  </r>
  <r>
    <x v="0"/>
    <x v="4"/>
    <x v="2"/>
    <x v="19"/>
    <x v="5"/>
    <n v="134.1"/>
  </r>
  <r>
    <x v="0"/>
    <x v="4"/>
    <x v="2"/>
    <x v="20"/>
    <x v="6"/>
    <n v="130.6"/>
  </r>
  <r>
    <x v="0"/>
    <x v="4"/>
    <x v="2"/>
    <x v="21"/>
    <x v="7"/>
    <n v="119.8"/>
  </r>
  <r>
    <x v="0"/>
    <x v="4"/>
    <x v="2"/>
    <x v="22"/>
    <x v="8"/>
    <n v="128.30000000000001"/>
  </r>
  <r>
    <x v="0"/>
    <x v="4"/>
    <x v="2"/>
    <x v="23"/>
    <x v="9"/>
    <n v="135.19999999999999"/>
  </r>
  <r>
    <x v="0"/>
    <x v="4"/>
    <x v="2"/>
    <x v="24"/>
    <x v="8"/>
    <n v="123.3"/>
  </r>
  <r>
    <x v="0"/>
    <x v="4"/>
    <x v="2"/>
    <x v="25"/>
    <x v="5"/>
    <n v="127.4"/>
  </r>
  <r>
    <x v="0"/>
    <x v="4"/>
    <x v="2"/>
    <x v="26"/>
    <x v="10"/>
    <n v="132.80000000000001"/>
  </r>
  <r>
    <x v="1"/>
    <x v="4"/>
    <x v="2"/>
    <x v="0"/>
    <x v="0"/>
    <n v="132.69999999999999"/>
  </r>
  <r>
    <x v="1"/>
    <x v="4"/>
    <x v="2"/>
    <x v="1"/>
    <x v="0"/>
    <n v="139.4"/>
  </r>
  <r>
    <x v="1"/>
    <x v="4"/>
    <x v="2"/>
    <x v="2"/>
    <x v="0"/>
    <n v="128.4"/>
  </r>
  <r>
    <x v="1"/>
    <x v="4"/>
    <x v="2"/>
    <x v="3"/>
    <x v="0"/>
    <n v="134.9"/>
  </r>
  <r>
    <x v="1"/>
    <x v="4"/>
    <x v="2"/>
    <x v="4"/>
    <x v="0"/>
    <n v="114"/>
  </r>
  <r>
    <x v="1"/>
    <x v="4"/>
    <x v="2"/>
    <x v="5"/>
    <x v="0"/>
    <n v="136.80000000000001"/>
  </r>
  <r>
    <x v="1"/>
    <x v="4"/>
    <x v="2"/>
    <x v="6"/>
    <x v="0"/>
    <n v="122.2"/>
  </r>
  <r>
    <x v="1"/>
    <x v="4"/>
    <x v="2"/>
    <x v="7"/>
    <x v="0"/>
    <n v="135.80000000000001"/>
  </r>
  <r>
    <x v="1"/>
    <x v="4"/>
    <x v="2"/>
    <x v="8"/>
    <x v="0"/>
    <n v="120.3"/>
  </r>
  <r>
    <x v="1"/>
    <x v="4"/>
    <x v="2"/>
    <x v="9"/>
    <x v="0"/>
    <n v="142.6"/>
  </r>
  <r>
    <x v="1"/>
    <x v="4"/>
    <x v="2"/>
    <x v="10"/>
    <x v="0"/>
    <n v="123.6"/>
  </r>
  <r>
    <x v="1"/>
    <x v="4"/>
    <x v="2"/>
    <x v="11"/>
    <x v="0"/>
    <n v="142.4"/>
  </r>
  <r>
    <x v="1"/>
    <x v="4"/>
    <x v="2"/>
    <x v="12"/>
    <x v="0"/>
    <n v="132.6"/>
  </r>
  <r>
    <x v="1"/>
    <x v="4"/>
    <x v="2"/>
    <x v="13"/>
    <x v="1"/>
    <n v="147.5"/>
  </r>
  <r>
    <x v="1"/>
    <x v="4"/>
    <x v="2"/>
    <x v="14"/>
    <x v="2"/>
    <n v="130.80000000000001"/>
  </r>
  <r>
    <x v="1"/>
    <x v="4"/>
    <x v="2"/>
    <x v="15"/>
    <x v="2"/>
    <n v="122.8"/>
  </r>
  <r>
    <x v="1"/>
    <x v="4"/>
    <x v="2"/>
    <x v="16"/>
    <x v="2"/>
    <n v="129.6"/>
  </r>
  <r>
    <x v="1"/>
    <x v="4"/>
    <x v="2"/>
    <x v="17"/>
    <x v="3"/>
    <n v="131.1"/>
  </r>
  <r>
    <x v="1"/>
    <x v="4"/>
    <x v="2"/>
    <x v="18"/>
    <x v="4"/>
    <n v="120.8"/>
  </r>
  <r>
    <x v="1"/>
    <x v="4"/>
    <x v="2"/>
    <x v="19"/>
    <x v="5"/>
    <n v="125.6"/>
  </r>
  <r>
    <x v="1"/>
    <x v="4"/>
    <x v="2"/>
    <x v="20"/>
    <x v="6"/>
    <n v="123.1"/>
  </r>
  <r>
    <x v="1"/>
    <x v="4"/>
    <x v="2"/>
    <x v="21"/>
    <x v="7"/>
    <n v="115.6"/>
  </r>
  <r>
    <x v="1"/>
    <x v="4"/>
    <x v="2"/>
    <x v="22"/>
    <x v="8"/>
    <n v="122.4"/>
  </r>
  <r>
    <x v="1"/>
    <x v="4"/>
    <x v="2"/>
    <x v="23"/>
    <x v="9"/>
    <n v="132.80000000000001"/>
  </r>
  <r>
    <x v="1"/>
    <x v="4"/>
    <x v="2"/>
    <x v="24"/>
    <x v="8"/>
    <n v="121.7"/>
  </r>
  <r>
    <x v="1"/>
    <x v="4"/>
    <x v="2"/>
    <x v="25"/>
    <x v="5"/>
    <n v="122.6"/>
  </r>
  <r>
    <x v="1"/>
    <x v="4"/>
    <x v="2"/>
    <x v="26"/>
    <x v="10"/>
    <n v="128.69999999999999"/>
  </r>
  <r>
    <x v="2"/>
    <x v="4"/>
    <x v="2"/>
    <x v="0"/>
    <x v="0"/>
    <n v="133.30000000000001"/>
  </r>
  <r>
    <x v="2"/>
    <x v="4"/>
    <x v="2"/>
    <x v="1"/>
    <x v="0"/>
    <n v="139"/>
  </r>
  <r>
    <x v="2"/>
    <x v="4"/>
    <x v="2"/>
    <x v="2"/>
    <x v="0"/>
    <n v="128.6"/>
  </r>
  <r>
    <x v="2"/>
    <x v="4"/>
    <x v="2"/>
    <x v="3"/>
    <x v="0"/>
    <n v="136.30000000000001"/>
  </r>
  <r>
    <x v="2"/>
    <x v="4"/>
    <x v="2"/>
    <x v="4"/>
    <x v="0"/>
    <n v="118.8"/>
  </r>
  <r>
    <x v="2"/>
    <x v="4"/>
    <x v="2"/>
    <x v="5"/>
    <x v="0"/>
    <n v="138.30000000000001"/>
  </r>
  <r>
    <x v="2"/>
    <x v="4"/>
    <x v="2"/>
    <x v="6"/>
    <x v="0"/>
    <n v="120.5"/>
  </r>
  <r>
    <x v="2"/>
    <x v="4"/>
    <x v="2"/>
    <x v="7"/>
    <x v="0"/>
    <n v="143.9"/>
  </r>
  <r>
    <x v="2"/>
    <x v="4"/>
    <x v="2"/>
    <x v="8"/>
    <x v="0"/>
    <n v="118"/>
  </r>
  <r>
    <x v="2"/>
    <x v="4"/>
    <x v="2"/>
    <x v="9"/>
    <x v="0"/>
    <n v="137.9"/>
  </r>
  <r>
    <x v="2"/>
    <x v="4"/>
    <x v="2"/>
    <x v="10"/>
    <x v="0"/>
    <n v="127.2"/>
  </r>
  <r>
    <x v="2"/>
    <x v="4"/>
    <x v="2"/>
    <x v="11"/>
    <x v="0"/>
    <n v="144"/>
  </r>
  <r>
    <x v="2"/>
    <x v="4"/>
    <x v="2"/>
    <x v="12"/>
    <x v="0"/>
    <n v="133.1"/>
  </r>
  <r>
    <x v="2"/>
    <x v="4"/>
    <x v="2"/>
    <x v="13"/>
    <x v="1"/>
    <n v="145.1"/>
  </r>
  <r>
    <x v="2"/>
    <x v="4"/>
    <x v="2"/>
    <x v="14"/>
    <x v="2"/>
    <n v="137.30000000000001"/>
  </r>
  <r>
    <x v="2"/>
    <x v="4"/>
    <x v="2"/>
    <x v="15"/>
    <x v="2"/>
    <n v="130.6"/>
  </r>
  <r>
    <x v="2"/>
    <x v="4"/>
    <x v="2"/>
    <x v="16"/>
    <x v="2"/>
    <n v="136.4"/>
  </r>
  <r>
    <x v="2"/>
    <x v="4"/>
    <x v="2"/>
    <x v="17"/>
    <x v="3"/>
    <n v="131.1"/>
  </r>
  <r>
    <x v="2"/>
    <x v="4"/>
    <x v="2"/>
    <x v="18"/>
    <x v="4"/>
    <n v="129.1"/>
  </r>
  <r>
    <x v="2"/>
    <x v="4"/>
    <x v="2"/>
    <x v="19"/>
    <x v="5"/>
    <n v="130.1"/>
  </r>
  <r>
    <x v="2"/>
    <x v="4"/>
    <x v="2"/>
    <x v="20"/>
    <x v="6"/>
    <n v="127.8"/>
  </r>
  <r>
    <x v="2"/>
    <x v="4"/>
    <x v="2"/>
    <x v="21"/>
    <x v="7"/>
    <n v="117.6"/>
  </r>
  <r>
    <x v="2"/>
    <x v="4"/>
    <x v="2"/>
    <x v="22"/>
    <x v="8"/>
    <n v="125"/>
  </r>
  <r>
    <x v="2"/>
    <x v="4"/>
    <x v="2"/>
    <x v="23"/>
    <x v="9"/>
    <n v="133.80000000000001"/>
  </r>
  <r>
    <x v="2"/>
    <x v="4"/>
    <x v="2"/>
    <x v="24"/>
    <x v="8"/>
    <n v="122.6"/>
  </r>
  <r>
    <x v="2"/>
    <x v="4"/>
    <x v="2"/>
    <x v="25"/>
    <x v="5"/>
    <n v="125.1"/>
  </r>
  <r>
    <x v="2"/>
    <x v="4"/>
    <x v="2"/>
    <x v="26"/>
    <x v="10"/>
    <n v="130.9"/>
  </r>
  <r>
    <x v="0"/>
    <x v="4"/>
    <x v="3"/>
    <x v="0"/>
    <x v="0"/>
    <n v="133.19999999999999"/>
  </r>
  <r>
    <x v="0"/>
    <x v="4"/>
    <x v="3"/>
    <x v="1"/>
    <x v="0"/>
    <n v="138.69999999999999"/>
  </r>
  <r>
    <x v="0"/>
    <x v="4"/>
    <x v="3"/>
    <x v="2"/>
    <x v="0"/>
    <n v="127.1"/>
  </r>
  <r>
    <x v="0"/>
    <x v="4"/>
    <x v="3"/>
    <x v="3"/>
    <x v="0"/>
    <n v="137.69999999999999"/>
  </r>
  <r>
    <x v="0"/>
    <x v="4"/>
    <x v="3"/>
    <x v="4"/>
    <x v="0"/>
    <n v="121.3"/>
  </r>
  <r>
    <x v="0"/>
    <x v="4"/>
    <x v="3"/>
    <x v="5"/>
    <x v="0"/>
    <n v="141.80000000000001"/>
  </r>
  <r>
    <x v="0"/>
    <x v="4"/>
    <x v="3"/>
    <x v="6"/>
    <x v="0"/>
    <n v="121.5"/>
  </r>
  <r>
    <x v="0"/>
    <x v="4"/>
    <x v="3"/>
    <x v="7"/>
    <x v="0"/>
    <n v="144.5"/>
  </r>
  <r>
    <x v="0"/>
    <x v="4"/>
    <x v="3"/>
    <x v="8"/>
    <x v="0"/>
    <n v="117.4"/>
  </r>
  <r>
    <x v="0"/>
    <x v="4"/>
    <x v="3"/>
    <x v="9"/>
    <x v="0"/>
    <n v="134.1"/>
  </r>
  <r>
    <x v="0"/>
    <x v="4"/>
    <x v="3"/>
    <x v="10"/>
    <x v="0"/>
    <n v="130"/>
  </r>
  <r>
    <x v="0"/>
    <x v="4"/>
    <x v="3"/>
    <x v="11"/>
    <x v="0"/>
    <n v="145.5"/>
  </r>
  <r>
    <x v="0"/>
    <x v="4"/>
    <x v="3"/>
    <x v="12"/>
    <x v="0"/>
    <n v="133.5"/>
  </r>
  <r>
    <x v="0"/>
    <x v="4"/>
    <x v="3"/>
    <x v="13"/>
    <x v="1"/>
    <n v="144.4"/>
  </r>
  <r>
    <x v="0"/>
    <x v="4"/>
    <x v="3"/>
    <x v="14"/>
    <x v="2"/>
    <n v="142.4"/>
  </r>
  <r>
    <x v="0"/>
    <x v="4"/>
    <x v="3"/>
    <x v="15"/>
    <x v="2"/>
    <n v="136.80000000000001"/>
  </r>
  <r>
    <x v="0"/>
    <x v="4"/>
    <x v="3"/>
    <x v="16"/>
    <x v="2"/>
    <n v="141.6"/>
  </r>
  <r>
    <x v="0"/>
    <x v="4"/>
    <x v="3"/>
    <x v="17"/>
    <x v="3"/>
    <s v="NA"/>
  </r>
  <r>
    <x v="0"/>
    <x v="4"/>
    <x v="3"/>
    <x v="18"/>
    <x v="4"/>
    <n v="135"/>
  </r>
  <r>
    <x v="0"/>
    <x v="4"/>
    <x v="3"/>
    <x v="19"/>
    <x v="5"/>
    <n v="134.30000000000001"/>
  </r>
  <r>
    <x v="0"/>
    <x v="4"/>
    <x v="3"/>
    <x v="20"/>
    <x v="6"/>
    <n v="131"/>
  </r>
  <r>
    <x v="0"/>
    <x v="4"/>
    <x v="3"/>
    <x v="21"/>
    <x v="7"/>
    <n v="119.2"/>
  </r>
  <r>
    <x v="0"/>
    <x v="4"/>
    <x v="3"/>
    <x v="22"/>
    <x v="8"/>
    <n v="128.30000000000001"/>
  </r>
  <r>
    <x v="0"/>
    <x v="4"/>
    <x v="3"/>
    <x v="23"/>
    <x v="9"/>
    <n v="135.69999999999999"/>
  </r>
  <r>
    <x v="0"/>
    <x v="4"/>
    <x v="3"/>
    <x v="24"/>
    <x v="8"/>
    <n v="123.7"/>
  </r>
  <r>
    <x v="0"/>
    <x v="4"/>
    <x v="3"/>
    <x v="25"/>
    <x v="5"/>
    <n v="127.5"/>
  </r>
  <r>
    <x v="0"/>
    <x v="4"/>
    <x v="3"/>
    <x v="26"/>
    <x v="10"/>
    <n v="132.9"/>
  </r>
  <r>
    <x v="1"/>
    <x v="4"/>
    <x v="3"/>
    <x v="0"/>
    <x v="0"/>
    <n v="132.69999999999999"/>
  </r>
  <r>
    <x v="1"/>
    <x v="4"/>
    <x v="3"/>
    <x v="1"/>
    <x v="0"/>
    <n v="140.6"/>
  </r>
  <r>
    <x v="1"/>
    <x v="4"/>
    <x v="3"/>
    <x v="2"/>
    <x v="0"/>
    <n v="124.5"/>
  </r>
  <r>
    <x v="1"/>
    <x v="4"/>
    <x v="3"/>
    <x v="3"/>
    <x v="0"/>
    <n v="136.30000000000001"/>
  </r>
  <r>
    <x v="1"/>
    <x v="4"/>
    <x v="3"/>
    <x v="4"/>
    <x v="0"/>
    <n v="113.5"/>
  </r>
  <r>
    <x v="1"/>
    <x v="4"/>
    <x v="3"/>
    <x v="5"/>
    <x v="0"/>
    <n v="137.69999999999999"/>
  </r>
  <r>
    <x v="1"/>
    <x v="4"/>
    <x v="3"/>
    <x v="6"/>
    <x v="0"/>
    <n v="127.1"/>
  </r>
  <r>
    <x v="1"/>
    <x v="4"/>
    <x v="3"/>
    <x v="7"/>
    <x v="0"/>
    <n v="133.80000000000001"/>
  </r>
  <r>
    <x v="1"/>
    <x v="4"/>
    <x v="3"/>
    <x v="8"/>
    <x v="0"/>
    <n v="120.8"/>
  </r>
  <r>
    <x v="1"/>
    <x v="4"/>
    <x v="3"/>
    <x v="9"/>
    <x v="0"/>
    <n v="141.30000000000001"/>
  </r>
  <r>
    <x v="1"/>
    <x v="4"/>
    <x v="3"/>
    <x v="10"/>
    <x v="0"/>
    <n v="123.8"/>
  </r>
  <r>
    <x v="1"/>
    <x v="4"/>
    <x v="3"/>
    <x v="11"/>
    <x v="0"/>
    <n v="142.6"/>
  </r>
  <r>
    <x v="1"/>
    <x v="4"/>
    <x v="3"/>
    <x v="12"/>
    <x v="0"/>
    <n v="133.4"/>
  </r>
  <r>
    <x v="1"/>
    <x v="4"/>
    <x v="3"/>
    <x v="13"/>
    <x v="1"/>
    <n v="148"/>
  </r>
  <r>
    <x v="1"/>
    <x v="4"/>
    <x v="3"/>
    <x v="14"/>
    <x v="2"/>
    <n v="131.19999999999999"/>
  </r>
  <r>
    <x v="1"/>
    <x v="4"/>
    <x v="3"/>
    <x v="15"/>
    <x v="2"/>
    <n v="123"/>
  </r>
  <r>
    <x v="1"/>
    <x v="4"/>
    <x v="3"/>
    <x v="16"/>
    <x v="2"/>
    <n v="130"/>
  </r>
  <r>
    <x v="1"/>
    <x v="4"/>
    <x v="3"/>
    <x v="17"/>
    <x v="3"/>
    <n v="131.69999999999999"/>
  </r>
  <r>
    <x v="1"/>
    <x v="4"/>
    <x v="3"/>
    <x v="18"/>
    <x v="4"/>
    <n v="121.4"/>
  </r>
  <r>
    <x v="1"/>
    <x v="4"/>
    <x v="3"/>
    <x v="19"/>
    <x v="5"/>
    <n v="126"/>
  </r>
  <r>
    <x v="1"/>
    <x v="4"/>
    <x v="3"/>
    <x v="20"/>
    <x v="6"/>
    <n v="123.4"/>
  </r>
  <r>
    <x v="1"/>
    <x v="4"/>
    <x v="3"/>
    <x v="21"/>
    <x v="7"/>
    <n v="114.3"/>
  </r>
  <r>
    <x v="1"/>
    <x v="4"/>
    <x v="3"/>
    <x v="22"/>
    <x v="8"/>
    <n v="122.6"/>
  </r>
  <r>
    <x v="1"/>
    <x v="4"/>
    <x v="3"/>
    <x v="23"/>
    <x v="9"/>
    <n v="133.6"/>
  </r>
  <r>
    <x v="1"/>
    <x v="4"/>
    <x v="3"/>
    <x v="24"/>
    <x v="8"/>
    <n v="122.2"/>
  </r>
  <r>
    <x v="1"/>
    <x v="4"/>
    <x v="3"/>
    <x v="25"/>
    <x v="5"/>
    <n v="122.5"/>
  </r>
  <r>
    <x v="1"/>
    <x v="4"/>
    <x v="3"/>
    <x v="26"/>
    <x v="10"/>
    <n v="129.1"/>
  </r>
  <r>
    <x v="2"/>
    <x v="4"/>
    <x v="3"/>
    <x v="0"/>
    <x v="0"/>
    <n v="133"/>
  </r>
  <r>
    <x v="2"/>
    <x v="4"/>
    <x v="3"/>
    <x v="1"/>
    <x v="0"/>
    <n v="139.4"/>
  </r>
  <r>
    <x v="2"/>
    <x v="4"/>
    <x v="3"/>
    <x v="2"/>
    <x v="0"/>
    <n v="126.1"/>
  </r>
  <r>
    <x v="2"/>
    <x v="4"/>
    <x v="3"/>
    <x v="3"/>
    <x v="0"/>
    <n v="137.19999999999999"/>
  </r>
  <r>
    <x v="2"/>
    <x v="4"/>
    <x v="3"/>
    <x v="4"/>
    <x v="0"/>
    <n v="118.4"/>
  </r>
  <r>
    <x v="2"/>
    <x v="4"/>
    <x v="3"/>
    <x v="5"/>
    <x v="0"/>
    <n v="139.9"/>
  </r>
  <r>
    <x v="2"/>
    <x v="4"/>
    <x v="3"/>
    <x v="6"/>
    <x v="0"/>
    <n v="123.4"/>
  </r>
  <r>
    <x v="2"/>
    <x v="4"/>
    <x v="3"/>
    <x v="7"/>
    <x v="0"/>
    <n v="140.9"/>
  </r>
  <r>
    <x v="2"/>
    <x v="4"/>
    <x v="3"/>
    <x v="8"/>
    <x v="0"/>
    <n v="118.5"/>
  </r>
  <r>
    <x v="2"/>
    <x v="4"/>
    <x v="3"/>
    <x v="9"/>
    <x v="0"/>
    <n v="136.5"/>
  </r>
  <r>
    <x v="2"/>
    <x v="4"/>
    <x v="3"/>
    <x v="10"/>
    <x v="0"/>
    <n v="127.4"/>
  </r>
  <r>
    <x v="2"/>
    <x v="4"/>
    <x v="3"/>
    <x v="11"/>
    <x v="0"/>
    <n v="144.19999999999999"/>
  </r>
  <r>
    <x v="2"/>
    <x v="4"/>
    <x v="3"/>
    <x v="12"/>
    <x v="0"/>
    <n v="133.5"/>
  </r>
  <r>
    <x v="2"/>
    <x v="4"/>
    <x v="3"/>
    <x v="13"/>
    <x v="1"/>
    <n v="145.4"/>
  </r>
  <r>
    <x v="2"/>
    <x v="4"/>
    <x v="3"/>
    <x v="14"/>
    <x v="2"/>
    <n v="138"/>
  </r>
  <r>
    <x v="2"/>
    <x v="4"/>
    <x v="3"/>
    <x v="15"/>
    <x v="2"/>
    <n v="131.1"/>
  </r>
  <r>
    <x v="2"/>
    <x v="4"/>
    <x v="3"/>
    <x v="16"/>
    <x v="2"/>
    <n v="137"/>
  </r>
  <r>
    <x v="2"/>
    <x v="4"/>
    <x v="3"/>
    <x v="17"/>
    <x v="3"/>
    <n v="131.69999999999999"/>
  </r>
  <r>
    <x v="2"/>
    <x v="4"/>
    <x v="3"/>
    <x v="18"/>
    <x v="4"/>
    <n v="129.80000000000001"/>
  </r>
  <r>
    <x v="2"/>
    <x v="4"/>
    <x v="3"/>
    <x v="19"/>
    <x v="5"/>
    <n v="130.4"/>
  </r>
  <r>
    <x v="2"/>
    <x v="4"/>
    <x v="3"/>
    <x v="20"/>
    <x v="6"/>
    <n v="128.1"/>
  </r>
  <r>
    <x v="2"/>
    <x v="4"/>
    <x v="3"/>
    <x v="21"/>
    <x v="7"/>
    <n v="116.6"/>
  </r>
  <r>
    <x v="2"/>
    <x v="4"/>
    <x v="3"/>
    <x v="22"/>
    <x v="8"/>
    <n v="125.1"/>
  </r>
  <r>
    <x v="2"/>
    <x v="4"/>
    <x v="3"/>
    <x v="23"/>
    <x v="9"/>
    <n v="134.5"/>
  </r>
  <r>
    <x v="2"/>
    <x v="4"/>
    <x v="3"/>
    <x v="24"/>
    <x v="8"/>
    <n v="123.1"/>
  </r>
  <r>
    <x v="2"/>
    <x v="4"/>
    <x v="3"/>
    <x v="25"/>
    <x v="5"/>
    <n v="125.1"/>
  </r>
  <r>
    <x v="2"/>
    <x v="4"/>
    <x v="3"/>
    <x v="26"/>
    <x v="10"/>
    <n v="131.1"/>
  </r>
  <r>
    <x v="0"/>
    <x v="4"/>
    <x v="4"/>
    <x v="0"/>
    <x v="0"/>
    <n v="133.1"/>
  </r>
  <r>
    <x v="0"/>
    <x v="4"/>
    <x v="4"/>
    <x v="1"/>
    <x v="0"/>
    <n v="140.30000000000001"/>
  </r>
  <r>
    <x v="0"/>
    <x v="4"/>
    <x v="4"/>
    <x v="2"/>
    <x v="0"/>
    <n v="126.8"/>
  </r>
  <r>
    <x v="0"/>
    <x v="4"/>
    <x v="4"/>
    <x v="3"/>
    <x v="0"/>
    <n v="138.19999999999999"/>
  </r>
  <r>
    <x v="0"/>
    <x v="4"/>
    <x v="4"/>
    <x v="4"/>
    <x v="0"/>
    <n v="120.8"/>
  </r>
  <r>
    <x v="0"/>
    <x v="4"/>
    <x v="4"/>
    <x v="5"/>
    <x v="0"/>
    <n v="140.19999999999999"/>
  </r>
  <r>
    <x v="0"/>
    <x v="4"/>
    <x v="4"/>
    <x v="6"/>
    <x v="0"/>
    <n v="123.8"/>
  </r>
  <r>
    <x v="0"/>
    <x v="4"/>
    <x v="4"/>
    <x v="7"/>
    <x v="0"/>
    <n v="141.80000000000001"/>
  </r>
  <r>
    <x v="0"/>
    <x v="4"/>
    <x v="4"/>
    <x v="8"/>
    <x v="0"/>
    <n v="118.6"/>
  </r>
  <r>
    <x v="0"/>
    <x v="4"/>
    <x v="4"/>
    <x v="9"/>
    <x v="0"/>
    <n v="134"/>
  </r>
  <r>
    <x v="0"/>
    <x v="4"/>
    <x v="4"/>
    <x v="10"/>
    <x v="0"/>
    <n v="130.30000000000001"/>
  </r>
  <r>
    <x v="0"/>
    <x v="4"/>
    <x v="4"/>
    <x v="11"/>
    <x v="0"/>
    <n v="145.80000000000001"/>
  </r>
  <r>
    <x v="0"/>
    <x v="4"/>
    <x v="4"/>
    <x v="12"/>
    <x v="0"/>
    <n v="133.80000000000001"/>
  </r>
  <r>
    <x v="0"/>
    <x v="4"/>
    <x v="4"/>
    <x v="13"/>
    <x v="1"/>
    <n v="145.5"/>
  </r>
  <r>
    <x v="0"/>
    <x v="4"/>
    <x v="4"/>
    <x v="14"/>
    <x v="2"/>
    <n v="142.5"/>
  </r>
  <r>
    <x v="0"/>
    <x v="4"/>
    <x v="4"/>
    <x v="15"/>
    <x v="2"/>
    <n v="137.30000000000001"/>
  </r>
  <r>
    <x v="0"/>
    <x v="4"/>
    <x v="4"/>
    <x v="16"/>
    <x v="2"/>
    <n v="141.80000000000001"/>
  </r>
  <r>
    <x v="0"/>
    <x v="4"/>
    <x v="4"/>
    <x v="17"/>
    <x v="3"/>
    <s v="NA"/>
  </r>
  <r>
    <x v="0"/>
    <x v="4"/>
    <x v="4"/>
    <x v="18"/>
    <x v="4"/>
    <n v="135"/>
  </r>
  <r>
    <x v="0"/>
    <x v="4"/>
    <x v="4"/>
    <x v="19"/>
    <x v="5"/>
    <n v="134.9"/>
  </r>
  <r>
    <x v="0"/>
    <x v="4"/>
    <x v="4"/>
    <x v="20"/>
    <x v="6"/>
    <n v="131.4"/>
  </r>
  <r>
    <x v="0"/>
    <x v="4"/>
    <x v="4"/>
    <x v="21"/>
    <x v="7"/>
    <n v="119.4"/>
  </r>
  <r>
    <x v="0"/>
    <x v="4"/>
    <x v="4"/>
    <x v="22"/>
    <x v="8"/>
    <n v="129.4"/>
  </r>
  <r>
    <x v="0"/>
    <x v="4"/>
    <x v="4"/>
    <x v="23"/>
    <x v="9"/>
    <n v="136.30000000000001"/>
  </r>
  <r>
    <x v="0"/>
    <x v="4"/>
    <x v="4"/>
    <x v="24"/>
    <x v="8"/>
    <n v="123.7"/>
  </r>
  <r>
    <x v="0"/>
    <x v="4"/>
    <x v="4"/>
    <x v="25"/>
    <x v="5"/>
    <n v="127.9"/>
  </r>
  <r>
    <x v="0"/>
    <x v="4"/>
    <x v="4"/>
    <x v="26"/>
    <x v="10"/>
    <n v="133.30000000000001"/>
  </r>
  <r>
    <x v="1"/>
    <x v="4"/>
    <x v="4"/>
    <x v="0"/>
    <x v="0"/>
    <n v="132.6"/>
  </r>
  <r>
    <x v="1"/>
    <x v="4"/>
    <x v="4"/>
    <x v="1"/>
    <x v="0"/>
    <n v="144.1"/>
  </r>
  <r>
    <x v="1"/>
    <x v="4"/>
    <x v="4"/>
    <x v="2"/>
    <x v="0"/>
    <n v="125.6"/>
  </r>
  <r>
    <x v="1"/>
    <x v="4"/>
    <x v="4"/>
    <x v="3"/>
    <x v="0"/>
    <n v="136.80000000000001"/>
  </r>
  <r>
    <x v="1"/>
    <x v="4"/>
    <x v="4"/>
    <x v="4"/>
    <x v="0"/>
    <n v="113.4"/>
  </r>
  <r>
    <x v="1"/>
    <x v="4"/>
    <x v="4"/>
    <x v="5"/>
    <x v="0"/>
    <n v="135.19999999999999"/>
  </r>
  <r>
    <x v="1"/>
    <x v="4"/>
    <x v="4"/>
    <x v="6"/>
    <x v="0"/>
    <n v="129.19999999999999"/>
  </r>
  <r>
    <x v="1"/>
    <x v="4"/>
    <x v="4"/>
    <x v="7"/>
    <x v="0"/>
    <n v="131.5"/>
  </r>
  <r>
    <x v="1"/>
    <x v="4"/>
    <x v="4"/>
    <x v="8"/>
    <x v="0"/>
    <n v="121"/>
  </r>
  <r>
    <x v="1"/>
    <x v="4"/>
    <x v="4"/>
    <x v="9"/>
    <x v="0"/>
    <n v="139.9"/>
  </r>
  <r>
    <x v="1"/>
    <x v="4"/>
    <x v="4"/>
    <x v="10"/>
    <x v="0"/>
    <n v="123.8"/>
  </r>
  <r>
    <x v="1"/>
    <x v="4"/>
    <x v="4"/>
    <x v="11"/>
    <x v="0"/>
    <n v="142.9"/>
  </r>
  <r>
    <x v="1"/>
    <x v="4"/>
    <x v="4"/>
    <x v="12"/>
    <x v="0"/>
    <n v="133.6"/>
  </r>
  <r>
    <x v="1"/>
    <x v="4"/>
    <x v="4"/>
    <x v="13"/>
    <x v="1"/>
    <n v="148.30000000000001"/>
  </r>
  <r>
    <x v="1"/>
    <x v="4"/>
    <x v="4"/>
    <x v="14"/>
    <x v="2"/>
    <n v="131.5"/>
  </r>
  <r>
    <x v="1"/>
    <x v="4"/>
    <x v="4"/>
    <x v="15"/>
    <x v="2"/>
    <n v="123.2"/>
  </r>
  <r>
    <x v="1"/>
    <x v="4"/>
    <x v="4"/>
    <x v="16"/>
    <x v="2"/>
    <n v="130.19999999999999"/>
  </r>
  <r>
    <x v="1"/>
    <x v="4"/>
    <x v="4"/>
    <x v="17"/>
    <x v="3"/>
    <n v="132.1"/>
  </r>
  <r>
    <x v="1"/>
    <x v="4"/>
    <x v="4"/>
    <x v="18"/>
    <x v="4"/>
    <n v="120.1"/>
  </r>
  <r>
    <x v="1"/>
    <x v="4"/>
    <x v="4"/>
    <x v="19"/>
    <x v="5"/>
    <n v="126.5"/>
  </r>
  <r>
    <x v="1"/>
    <x v="4"/>
    <x v="4"/>
    <x v="20"/>
    <x v="6"/>
    <n v="123.6"/>
  </r>
  <r>
    <x v="1"/>
    <x v="4"/>
    <x v="4"/>
    <x v="21"/>
    <x v="7"/>
    <n v="114.3"/>
  </r>
  <r>
    <x v="1"/>
    <x v="4"/>
    <x v="4"/>
    <x v="22"/>
    <x v="8"/>
    <n v="122.8"/>
  </r>
  <r>
    <x v="1"/>
    <x v="4"/>
    <x v="4"/>
    <x v="23"/>
    <x v="9"/>
    <n v="133.80000000000001"/>
  </r>
  <r>
    <x v="1"/>
    <x v="4"/>
    <x v="4"/>
    <x v="24"/>
    <x v="8"/>
    <n v="122"/>
  </r>
  <r>
    <x v="1"/>
    <x v="4"/>
    <x v="4"/>
    <x v="25"/>
    <x v="5"/>
    <n v="122.6"/>
  </r>
  <r>
    <x v="1"/>
    <x v="4"/>
    <x v="4"/>
    <x v="26"/>
    <x v="10"/>
    <n v="129.30000000000001"/>
  </r>
  <r>
    <x v="2"/>
    <x v="4"/>
    <x v="4"/>
    <x v="0"/>
    <x v="0"/>
    <n v="132.9"/>
  </r>
  <r>
    <x v="2"/>
    <x v="4"/>
    <x v="4"/>
    <x v="1"/>
    <x v="0"/>
    <n v="141.6"/>
  </r>
  <r>
    <x v="2"/>
    <x v="4"/>
    <x v="4"/>
    <x v="2"/>
    <x v="0"/>
    <n v="126.3"/>
  </r>
  <r>
    <x v="2"/>
    <x v="4"/>
    <x v="4"/>
    <x v="3"/>
    <x v="0"/>
    <n v="137.69999999999999"/>
  </r>
  <r>
    <x v="2"/>
    <x v="4"/>
    <x v="4"/>
    <x v="4"/>
    <x v="0"/>
    <n v="118.1"/>
  </r>
  <r>
    <x v="2"/>
    <x v="4"/>
    <x v="4"/>
    <x v="5"/>
    <x v="0"/>
    <n v="137.9"/>
  </r>
  <r>
    <x v="2"/>
    <x v="4"/>
    <x v="4"/>
    <x v="6"/>
    <x v="0"/>
    <n v="125.6"/>
  </r>
  <r>
    <x v="2"/>
    <x v="4"/>
    <x v="4"/>
    <x v="7"/>
    <x v="0"/>
    <n v="138.30000000000001"/>
  </r>
  <r>
    <x v="2"/>
    <x v="4"/>
    <x v="4"/>
    <x v="8"/>
    <x v="0"/>
    <n v="119.4"/>
  </r>
  <r>
    <x v="2"/>
    <x v="4"/>
    <x v="4"/>
    <x v="9"/>
    <x v="0"/>
    <n v="136"/>
  </r>
  <r>
    <x v="2"/>
    <x v="4"/>
    <x v="4"/>
    <x v="10"/>
    <x v="0"/>
    <n v="127.6"/>
  </r>
  <r>
    <x v="2"/>
    <x v="4"/>
    <x v="4"/>
    <x v="11"/>
    <x v="0"/>
    <n v="144.5"/>
  </r>
  <r>
    <x v="2"/>
    <x v="4"/>
    <x v="4"/>
    <x v="12"/>
    <x v="0"/>
    <n v="133.69999999999999"/>
  </r>
  <r>
    <x v="2"/>
    <x v="4"/>
    <x v="4"/>
    <x v="13"/>
    <x v="1"/>
    <n v="146.19999999999999"/>
  </r>
  <r>
    <x v="2"/>
    <x v="4"/>
    <x v="4"/>
    <x v="14"/>
    <x v="2"/>
    <n v="138.19999999999999"/>
  </r>
  <r>
    <x v="2"/>
    <x v="4"/>
    <x v="4"/>
    <x v="15"/>
    <x v="2"/>
    <n v="131.4"/>
  </r>
  <r>
    <x v="2"/>
    <x v="4"/>
    <x v="4"/>
    <x v="16"/>
    <x v="2"/>
    <n v="137.19999999999999"/>
  </r>
  <r>
    <x v="2"/>
    <x v="4"/>
    <x v="4"/>
    <x v="17"/>
    <x v="3"/>
    <n v="132.1"/>
  </r>
  <r>
    <x v="2"/>
    <x v="4"/>
    <x v="4"/>
    <x v="18"/>
    <x v="4"/>
    <n v="129.4"/>
  </r>
  <r>
    <x v="2"/>
    <x v="4"/>
    <x v="4"/>
    <x v="19"/>
    <x v="5"/>
    <n v="130.9"/>
  </r>
  <r>
    <x v="2"/>
    <x v="4"/>
    <x v="4"/>
    <x v="20"/>
    <x v="6"/>
    <n v="128.4"/>
  </r>
  <r>
    <x v="2"/>
    <x v="4"/>
    <x v="4"/>
    <x v="21"/>
    <x v="7"/>
    <n v="116.7"/>
  </r>
  <r>
    <x v="2"/>
    <x v="4"/>
    <x v="4"/>
    <x v="22"/>
    <x v="8"/>
    <n v="125.7"/>
  </r>
  <r>
    <x v="2"/>
    <x v="4"/>
    <x v="4"/>
    <x v="23"/>
    <x v="9"/>
    <n v="134.80000000000001"/>
  </r>
  <r>
    <x v="2"/>
    <x v="4"/>
    <x v="4"/>
    <x v="24"/>
    <x v="8"/>
    <n v="123"/>
  </r>
  <r>
    <x v="2"/>
    <x v="4"/>
    <x v="4"/>
    <x v="25"/>
    <x v="5"/>
    <n v="125.3"/>
  </r>
  <r>
    <x v="2"/>
    <x v="4"/>
    <x v="4"/>
    <x v="26"/>
    <x v="10"/>
    <n v="131.4"/>
  </r>
  <r>
    <x v="0"/>
    <x v="4"/>
    <x v="5"/>
    <x v="0"/>
    <x v="0"/>
    <n v="133.5"/>
  </r>
  <r>
    <x v="0"/>
    <x v="4"/>
    <x v="5"/>
    <x v="1"/>
    <x v="0"/>
    <n v="143.69999999999999"/>
  </r>
  <r>
    <x v="0"/>
    <x v="4"/>
    <x v="5"/>
    <x v="2"/>
    <x v="0"/>
    <n v="128"/>
  </r>
  <r>
    <x v="0"/>
    <x v="4"/>
    <x v="5"/>
    <x v="3"/>
    <x v="0"/>
    <n v="138.6"/>
  </r>
  <r>
    <x v="0"/>
    <x v="4"/>
    <x v="5"/>
    <x v="4"/>
    <x v="0"/>
    <n v="120.9"/>
  </r>
  <r>
    <x v="0"/>
    <x v="4"/>
    <x v="5"/>
    <x v="5"/>
    <x v="0"/>
    <n v="140.9"/>
  </r>
  <r>
    <x v="0"/>
    <x v="4"/>
    <x v="5"/>
    <x v="6"/>
    <x v="0"/>
    <n v="128.80000000000001"/>
  </r>
  <r>
    <x v="0"/>
    <x v="4"/>
    <x v="5"/>
    <x v="7"/>
    <x v="0"/>
    <n v="140.19999999999999"/>
  </r>
  <r>
    <x v="0"/>
    <x v="4"/>
    <x v="5"/>
    <x v="8"/>
    <x v="0"/>
    <n v="118.9"/>
  </r>
  <r>
    <x v="0"/>
    <x v="4"/>
    <x v="5"/>
    <x v="9"/>
    <x v="0"/>
    <n v="133.5"/>
  </r>
  <r>
    <x v="0"/>
    <x v="4"/>
    <x v="5"/>
    <x v="10"/>
    <x v="0"/>
    <n v="130.4"/>
  </r>
  <r>
    <x v="0"/>
    <x v="4"/>
    <x v="5"/>
    <x v="11"/>
    <x v="0"/>
    <n v="146.5"/>
  </r>
  <r>
    <x v="0"/>
    <x v="4"/>
    <x v="5"/>
    <x v="12"/>
    <x v="0"/>
    <n v="134.9"/>
  </r>
  <r>
    <x v="0"/>
    <x v="4"/>
    <x v="5"/>
    <x v="13"/>
    <x v="1"/>
    <n v="145.80000000000001"/>
  </r>
  <r>
    <x v="0"/>
    <x v="4"/>
    <x v="5"/>
    <x v="14"/>
    <x v="2"/>
    <n v="143.1"/>
  </r>
  <r>
    <x v="0"/>
    <x v="4"/>
    <x v="5"/>
    <x v="15"/>
    <x v="2"/>
    <n v="137.69999999999999"/>
  </r>
  <r>
    <x v="0"/>
    <x v="4"/>
    <x v="5"/>
    <x v="16"/>
    <x v="2"/>
    <n v="142.30000000000001"/>
  </r>
  <r>
    <x v="0"/>
    <x v="4"/>
    <x v="5"/>
    <x v="17"/>
    <x v="3"/>
    <s v="NA"/>
  </r>
  <r>
    <x v="0"/>
    <x v="4"/>
    <x v="5"/>
    <x v="18"/>
    <x v="4"/>
    <n v="134.80000000000001"/>
  </r>
  <r>
    <x v="0"/>
    <x v="4"/>
    <x v="5"/>
    <x v="19"/>
    <x v="5"/>
    <n v="135.19999999999999"/>
  </r>
  <r>
    <x v="0"/>
    <x v="4"/>
    <x v="5"/>
    <x v="20"/>
    <x v="6"/>
    <n v="131.30000000000001"/>
  </r>
  <r>
    <x v="0"/>
    <x v="4"/>
    <x v="5"/>
    <x v="21"/>
    <x v="7"/>
    <n v="119.4"/>
  </r>
  <r>
    <x v="0"/>
    <x v="4"/>
    <x v="5"/>
    <x v="22"/>
    <x v="8"/>
    <n v="129.80000000000001"/>
  </r>
  <r>
    <x v="0"/>
    <x v="4"/>
    <x v="5"/>
    <x v="23"/>
    <x v="9"/>
    <n v="136.9"/>
  </r>
  <r>
    <x v="0"/>
    <x v="4"/>
    <x v="5"/>
    <x v="24"/>
    <x v="8"/>
    <n v="124.1"/>
  </r>
  <r>
    <x v="0"/>
    <x v="4"/>
    <x v="5"/>
    <x v="25"/>
    <x v="5"/>
    <n v="128.1"/>
  </r>
  <r>
    <x v="0"/>
    <x v="4"/>
    <x v="5"/>
    <x v="26"/>
    <x v="10"/>
    <n v="133.9"/>
  </r>
  <r>
    <x v="1"/>
    <x v="4"/>
    <x v="5"/>
    <x v="0"/>
    <x v="0"/>
    <n v="132.9"/>
  </r>
  <r>
    <x v="1"/>
    <x v="4"/>
    <x v="5"/>
    <x v="1"/>
    <x v="0"/>
    <n v="148.69999999999999"/>
  </r>
  <r>
    <x v="1"/>
    <x v="4"/>
    <x v="5"/>
    <x v="2"/>
    <x v="0"/>
    <n v="128.30000000000001"/>
  </r>
  <r>
    <x v="1"/>
    <x v="4"/>
    <x v="5"/>
    <x v="3"/>
    <x v="0"/>
    <n v="137.30000000000001"/>
  </r>
  <r>
    <x v="1"/>
    <x v="4"/>
    <x v="5"/>
    <x v="4"/>
    <x v="0"/>
    <n v="113.5"/>
  </r>
  <r>
    <x v="1"/>
    <x v="4"/>
    <x v="5"/>
    <x v="5"/>
    <x v="0"/>
    <n v="137.19999999999999"/>
  </r>
  <r>
    <x v="1"/>
    <x v="4"/>
    <x v="5"/>
    <x v="6"/>
    <x v="0"/>
    <n v="142.19999999999999"/>
  </r>
  <r>
    <x v="1"/>
    <x v="4"/>
    <x v="5"/>
    <x v="7"/>
    <x v="0"/>
    <n v="128.19999999999999"/>
  </r>
  <r>
    <x v="1"/>
    <x v="4"/>
    <x v="5"/>
    <x v="8"/>
    <x v="0"/>
    <n v="120.9"/>
  </r>
  <r>
    <x v="1"/>
    <x v="4"/>
    <x v="5"/>
    <x v="9"/>
    <x v="0"/>
    <n v="138.80000000000001"/>
  </r>
  <r>
    <x v="1"/>
    <x v="4"/>
    <x v="5"/>
    <x v="10"/>
    <x v="0"/>
    <n v="124.2"/>
  </r>
  <r>
    <x v="1"/>
    <x v="4"/>
    <x v="5"/>
    <x v="11"/>
    <x v="0"/>
    <n v="143.1"/>
  </r>
  <r>
    <x v="1"/>
    <x v="4"/>
    <x v="5"/>
    <x v="12"/>
    <x v="0"/>
    <n v="135.69999999999999"/>
  </r>
  <r>
    <x v="1"/>
    <x v="4"/>
    <x v="5"/>
    <x v="13"/>
    <x v="1"/>
    <n v="148.6"/>
  </r>
  <r>
    <x v="1"/>
    <x v="4"/>
    <x v="5"/>
    <x v="14"/>
    <x v="2"/>
    <n v="131.5"/>
  </r>
  <r>
    <x v="1"/>
    <x v="4"/>
    <x v="5"/>
    <x v="15"/>
    <x v="2"/>
    <n v="123.2"/>
  </r>
  <r>
    <x v="1"/>
    <x v="4"/>
    <x v="5"/>
    <x v="16"/>
    <x v="2"/>
    <n v="130.19999999999999"/>
  </r>
  <r>
    <x v="1"/>
    <x v="4"/>
    <x v="5"/>
    <x v="17"/>
    <x v="3"/>
    <n v="131.4"/>
  </r>
  <r>
    <x v="1"/>
    <x v="4"/>
    <x v="5"/>
    <x v="18"/>
    <x v="4"/>
    <n v="119"/>
  </r>
  <r>
    <x v="1"/>
    <x v="4"/>
    <x v="5"/>
    <x v="19"/>
    <x v="5"/>
    <n v="126.8"/>
  </r>
  <r>
    <x v="1"/>
    <x v="4"/>
    <x v="5"/>
    <x v="20"/>
    <x v="6"/>
    <n v="123.8"/>
  </r>
  <r>
    <x v="1"/>
    <x v="4"/>
    <x v="5"/>
    <x v="21"/>
    <x v="7"/>
    <n v="113.9"/>
  </r>
  <r>
    <x v="1"/>
    <x v="4"/>
    <x v="5"/>
    <x v="22"/>
    <x v="8"/>
    <n v="122.9"/>
  </r>
  <r>
    <x v="1"/>
    <x v="4"/>
    <x v="5"/>
    <x v="23"/>
    <x v="9"/>
    <n v="134.30000000000001"/>
  </r>
  <r>
    <x v="1"/>
    <x v="4"/>
    <x v="5"/>
    <x v="24"/>
    <x v="8"/>
    <n v="122.5"/>
  </r>
  <r>
    <x v="1"/>
    <x v="4"/>
    <x v="5"/>
    <x v="25"/>
    <x v="5"/>
    <n v="122.7"/>
  </r>
  <r>
    <x v="1"/>
    <x v="4"/>
    <x v="5"/>
    <x v="26"/>
    <x v="10"/>
    <n v="129.9"/>
  </r>
  <r>
    <x v="2"/>
    <x v="4"/>
    <x v="5"/>
    <x v="0"/>
    <x v="0"/>
    <n v="133.30000000000001"/>
  </r>
  <r>
    <x v="2"/>
    <x v="4"/>
    <x v="5"/>
    <x v="1"/>
    <x v="0"/>
    <n v="145.5"/>
  </r>
  <r>
    <x v="2"/>
    <x v="4"/>
    <x v="5"/>
    <x v="2"/>
    <x v="0"/>
    <n v="128.1"/>
  </r>
  <r>
    <x v="2"/>
    <x v="4"/>
    <x v="5"/>
    <x v="3"/>
    <x v="0"/>
    <n v="138.1"/>
  </r>
  <r>
    <x v="2"/>
    <x v="4"/>
    <x v="5"/>
    <x v="4"/>
    <x v="0"/>
    <n v="118.2"/>
  </r>
  <r>
    <x v="2"/>
    <x v="4"/>
    <x v="5"/>
    <x v="5"/>
    <x v="0"/>
    <n v="139.19999999999999"/>
  </r>
  <r>
    <x v="2"/>
    <x v="4"/>
    <x v="5"/>
    <x v="6"/>
    <x v="0"/>
    <n v="133.30000000000001"/>
  </r>
  <r>
    <x v="2"/>
    <x v="4"/>
    <x v="5"/>
    <x v="7"/>
    <x v="0"/>
    <n v="136.19999999999999"/>
  </r>
  <r>
    <x v="2"/>
    <x v="4"/>
    <x v="5"/>
    <x v="8"/>
    <x v="0"/>
    <n v="119.6"/>
  </r>
  <r>
    <x v="2"/>
    <x v="4"/>
    <x v="5"/>
    <x v="9"/>
    <x v="0"/>
    <n v="135.30000000000001"/>
  </r>
  <r>
    <x v="2"/>
    <x v="4"/>
    <x v="5"/>
    <x v="10"/>
    <x v="0"/>
    <n v="127.8"/>
  </r>
  <r>
    <x v="2"/>
    <x v="4"/>
    <x v="5"/>
    <x v="11"/>
    <x v="0"/>
    <n v="144.9"/>
  </r>
  <r>
    <x v="2"/>
    <x v="4"/>
    <x v="5"/>
    <x v="12"/>
    <x v="0"/>
    <n v="135.19999999999999"/>
  </r>
  <r>
    <x v="2"/>
    <x v="4"/>
    <x v="5"/>
    <x v="13"/>
    <x v="1"/>
    <n v="146.5"/>
  </r>
  <r>
    <x v="2"/>
    <x v="4"/>
    <x v="5"/>
    <x v="14"/>
    <x v="2"/>
    <n v="138.5"/>
  </r>
  <r>
    <x v="2"/>
    <x v="4"/>
    <x v="5"/>
    <x v="15"/>
    <x v="2"/>
    <n v="131.69999999999999"/>
  </r>
  <r>
    <x v="2"/>
    <x v="4"/>
    <x v="5"/>
    <x v="16"/>
    <x v="2"/>
    <n v="137.5"/>
  </r>
  <r>
    <x v="2"/>
    <x v="4"/>
    <x v="5"/>
    <x v="17"/>
    <x v="3"/>
    <n v="131.4"/>
  </r>
  <r>
    <x v="2"/>
    <x v="4"/>
    <x v="5"/>
    <x v="18"/>
    <x v="4"/>
    <n v="128.80000000000001"/>
  </r>
  <r>
    <x v="2"/>
    <x v="4"/>
    <x v="5"/>
    <x v="19"/>
    <x v="5"/>
    <n v="131.19999999999999"/>
  </r>
  <r>
    <x v="2"/>
    <x v="4"/>
    <x v="5"/>
    <x v="20"/>
    <x v="6"/>
    <n v="128.5"/>
  </r>
  <r>
    <x v="2"/>
    <x v="4"/>
    <x v="5"/>
    <x v="21"/>
    <x v="7"/>
    <n v="116.5"/>
  </r>
  <r>
    <x v="2"/>
    <x v="4"/>
    <x v="5"/>
    <x v="22"/>
    <x v="8"/>
    <n v="125.9"/>
  </r>
  <r>
    <x v="2"/>
    <x v="4"/>
    <x v="5"/>
    <x v="23"/>
    <x v="9"/>
    <n v="135.4"/>
  </r>
  <r>
    <x v="2"/>
    <x v="4"/>
    <x v="5"/>
    <x v="24"/>
    <x v="8"/>
    <n v="123.4"/>
  </r>
  <r>
    <x v="2"/>
    <x v="4"/>
    <x v="5"/>
    <x v="25"/>
    <x v="5"/>
    <n v="125.5"/>
  </r>
  <r>
    <x v="2"/>
    <x v="4"/>
    <x v="5"/>
    <x v="26"/>
    <x v="10"/>
    <n v="132"/>
  </r>
  <r>
    <x v="0"/>
    <x v="4"/>
    <x v="6"/>
    <x v="0"/>
    <x v="0"/>
    <n v="134"/>
  </r>
  <r>
    <x v="0"/>
    <x v="4"/>
    <x v="6"/>
    <x v="1"/>
    <x v="0"/>
    <n v="144.19999999999999"/>
  </r>
  <r>
    <x v="0"/>
    <x v="4"/>
    <x v="6"/>
    <x v="2"/>
    <x v="0"/>
    <n v="129.80000000000001"/>
  </r>
  <r>
    <x v="0"/>
    <x v="4"/>
    <x v="6"/>
    <x v="3"/>
    <x v="0"/>
    <n v="139"/>
  </r>
  <r>
    <x v="0"/>
    <x v="4"/>
    <x v="6"/>
    <x v="4"/>
    <x v="0"/>
    <n v="120.9"/>
  </r>
  <r>
    <x v="0"/>
    <x v="4"/>
    <x v="6"/>
    <x v="5"/>
    <x v="0"/>
    <n v="143.9"/>
  </r>
  <r>
    <x v="0"/>
    <x v="4"/>
    <x v="6"/>
    <x v="6"/>
    <x v="0"/>
    <n v="151.5"/>
  </r>
  <r>
    <x v="0"/>
    <x v="4"/>
    <x v="6"/>
    <x v="7"/>
    <x v="0"/>
    <n v="138.1"/>
  </r>
  <r>
    <x v="0"/>
    <x v="4"/>
    <x v="6"/>
    <x v="8"/>
    <x v="0"/>
    <n v="120"/>
  </r>
  <r>
    <x v="0"/>
    <x v="4"/>
    <x v="6"/>
    <x v="9"/>
    <x v="0"/>
    <n v="133.9"/>
  </r>
  <r>
    <x v="0"/>
    <x v="4"/>
    <x v="6"/>
    <x v="10"/>
    <x v="0"/>
    <n v="131.4"/>
  </r>
  <r>
    <x v="0"/>
    <x v="4"/>
    <x v="6"/>
    <x v="11"/>
    <x v="0"/>
    <n v="147.69999999999999"/>
  </r>
  <r>
    <x v="0"/>
    <x v="4"/>
    <x v="6"/>
    <x v="12"/>
    <x v="0"/>
    <n v="138.5"/>
  </r>
  <r>
    <x v="0"/>
    <x v="4"/>
    <x v="6"/>
    <x v="13"/>
    <x v="1"/>
    <n v="147.4"/>
  </r>
  <r>
    <x v="0"/>
    <x v="4"/>
    <x v="6"/>
    <x v="14"/>
    <x v="2"/>
    <n v="144.30000000000001"/>
  </r>
  <r>
    <x v="0"/>
    <x v="4"/>
    <x v="6"/>
    <x v="15"/>
    <x v="2"/>
    <n v="138.1"/>
  </r>
  <r>
    <x v="0"/>
    <x v="4"/>
    <x v="6"/>
    <x v="16"/>
    <x v="2"/>
    <n v="143.5"/>
  </r>
  <r>
    <x v="0"/>
    <x v="4"/>
    <x v="6"/>
    <x v="17"/>
    <x v="3"/>
    <s v="NA"/>
  </r>
  <r>
    <x v="0"/>
    <x v="4"/>
    <x v="6"/>
    <x v="18"/>
    <x v="4"/>
    <n v="135.30000000000001"/>
  </r>
  <r>
    <x v="0"/>
    <x v="4"/>
    <x v="6"/>
    <x v="19"/>
    <x v="5"/>
    <n v="136.1"/>
  </r>
  <r>
    <x v="0"/>
    <x v="4"/>
    <x v="6"/>
    <x v="20"/>
    <x v="6"/>
    <n v="132.1"/>
  </r>
  <r>
    <x v="0"/>
    <x v="4"/>
    <x v="6"/>
    <x v="21"/>
    <x v="7"/>
    <n v="119.1"/>
  </r>
  <r>
    <x v="0"/>
    <x v="4"/>
    <x v="6"/>
    <x v="22"/>
    <x v="8"/>
    <n v="130.6"/>
  </r>
  <r>
    <x v="0"/>
    <x v="4"/>
    <x v="6"/>
    <x v="23"/>
    <x v="9"/>
    <n v="138.6"/>
  </r>
  <r>
    <x v="0"/>
    <x v="4"/>
    <x v="6"/>
    <x v="24"/>
    <x v="8"/>
    <n v="124.4"/>
  </r>
  <r>
    <x v="0"/>
    <x v="4"/>
    <x v="6"/>
    <x v="25"/>
    <x v="5"/>
    <n v="128.6"/>
  </r>
  <r>
    <x v="0"/>
    <x v="4"/>
    <x v="6"/>
    <x v="26"/>
    <x v="10"/>
    <n v="136.19999999999999"/>
  </r>
  <r>
    <x v="1"/>
    <x v="4"/>
    <x v="6"/>
    <x v="0"/>
    <x v="0"/>
    <n v="132.80000000000001"/>
  </r>
  <r>
    <x v="1"/>
    <x v="4"/>
    <x v="6"/>
    <x v="1"/>
    <x v="0"/>
    <n v="148.4"/>
  </r>
  <r>
    <x v="1"/>
    <x v="4"/>
    <x v="6"/>
    <x v="2"/>
    <x v="0"/>
    <n v="129.4"/>
  </r>
  <r>
    <x v="1"/>
    <x v="4"/>
    <x v="6"/>
    <x v="3"/>
    <x v="0"/>
    <n v="137.69999999999999"/>
  </r>
  <r>
    <x v="1"/>
    <x v="4"/>
    <x v="6"/>
    <x v="4"/>
    <x v="0"/>
    <n v="113.4"/>
  </r>
  <r>
    <x v="1"/>
    <x v="4"/>
    <x v="6"/>
    <x v="5"/>
    <x v="0"/>
    <n v="139.4"/>
  </r>
  <r>
    <x v="1"/>
    <x v="4"/>
    <x v="6"/>
    <x v="6"/>
    <x v="0"/>
    <n v="175.1"/>
  </r>
  <r>
    <x v="1"/>
    <x v="4"/>
    <x v="6"/>
    <x v="7"/>
    <x v="0"/>
    <n v="124.7"/>
  </r>
  <r>
    <x v="1"/>
    <x v="4"/>
    <x v="6"/>
    <x v="8"/>
    <x v="0"/>
    <n v="121.5"/>
  </r>
  <r>
    <x v="1"/>
    <x v="4"/>
    <x v="6"/>
    <x v="9"/>
    <x v="0"/>
    <n v="137.80000000000001"/>
  </r>
  <r>
    <x v="1"/>
    <x v="4"/>
    <x v="6"/>
    <x v="10"/>
    <x v="0"/>
    <n v="124.4"/>
  </r>
  <r>
    <x v="1"/>
    <x v="4"/>
    <x v="6"/>
    <x v="11"/>
    <x v="0"/>
    <n v="143.69999999999999"/>
  </r>
  <r>
    <x v="1"/>
    <x v="4"/>
    <x v="6"/>
    <x v="12"/>
    <x v="0"/>
    <n v="139.80000000000001"/>
  </r>
  <r>
    <x v="1"/>
    <x v="4"/>
    <x v="6"/>
    <x v="13"/>
    <x v="1"/>
    <n v="150.5"/>
  </r>
  <r>
    <x v="1"/>
    <x v="4"/>
    <x v="6"/>
    <x v="14"/>
    <x v="2"/>
    <n v="131.6"/>
  </r>
  <r>
    <x v="1"/>
    <x v="4"/>
    <x v="6"/>
    <x v="15"/>
    <x v="2"/>
    <n v="123.7"/>
  </r>
  <r>
    <x v="1"/>
    <x v="4"/>
    <x v="6"/>
    <x v="16"/>
    <x v="2"/>
    <n v="130.4"/>
  </r>
  <r>
    <x v="1"/>
    <x v="4"/>
    <x v="6"/>
    <x v="17"/>
    <x v="3"/>
    <n v="132.6"/>
  </r>
  <r>
    <x v="1"/>
    <x v="4"/>
    <x v="6"/>
    <x v="18"/>
    <x v="4"/>
    <n v="119.7"/>
  </r>
  <r>
    <x v="1"/>
    <x v="4"/>
    <x v="6"/>
    <x v="19"/>
    <x v="5"/>
    <n v="127.2"/>
  </r>
  <r>
    <x v="1"/>
    <x v="4"/>
    <x v="6"/>
    <x v="20"/>
    <x v="6"/>
    <n v="125"/>
  </r>
  <r>
    <x v="1"/>
    <x v="4"/>
    <x v="6"/>
    <x v="21"/>
    <x v="7"/>
    <n v="113.2"/>
  </r>
  <r>
    <x v="1"/>
    <x v="4"/>
    <x v="6"/>
    <x v="22"/>
    <x v="8"/>
    <n v="123.5"/>
  </r>
  <r>
    <x v="1"/>
    <x v="4"/>
    <x v="6"/>
    <x v="23"/>
    <x v="9"/>
    <n v="135.5"/>
  </r>
  <r>
    <x v="1"/>
    <x v="4"/>
    <x v="6"/>
    <x v="24"/>
    <x v="8"/>
    <n v="122.4"/>
  </r>
  <r>
    <x v="1"/>
    <x v="4"/>
    <x v="6"/>
    <x v="25"/>
    <x v="5"/>
    <n v="123"/>
  </r>
  <r>
    <x v="1"/>
    <x v="4"/>
    <x v="6"/>
    <x v="26"/>
    <x v="10"/>
    <n v="131.80000000000001"/>
  </r>
  <r>
    <x v="2"/>
    <x v="4"/>
    <x v="6"/>
    <x v="0"/>
    <x v="0"/>
    <n v="133.6"/>
  </r>
  <r>
    <x v="2"/>
    <x v="4"/>
    <x v="6"/>
    <x v="1"/>
    <x v="0"/>
    <n v="145.69999999999999"/>
  </r>
  <r>
    <x v="2"/>
    <x v="4"/>
    <x v="6"/>
    <x v="2"/>
    <x v="0"/>
    <n v="129.6"/>
  </r>
  <r>
    <x v="2"/>
    <x v="4"/>
    <x v="6"/>
    <x v="3"/>
    <x v="0"/>
    <n v="138.5"/>
  </r>
  <r>
    <x v="2"/>
    <x v="4"/>
    <x v="6"/>
    <x v="4"/>
    <x v="0"/>
    <n v="118.1"/>
  </r>
  <r>
    <x v="2"/>
    <x v="4"/>
    <x v="6"/>
    <x v="5"/>
    <x v="0"/>
    <n v="141.80000000000001"/>
  </r>
  <r>
    <x v="2"/>
    <x v="4"/>
    <x v="6"/>
    <x v="6"/>
    <x v="0"/>
    <n v="159.5"/>
  </r>
  <r>
    <x v="2"/>
    <x v="4"/>
    <x v="6"/>
    <x v="7"/>
    <x v="0"/>
    <n v="133.6"/>
  </r>
  <r>
    <x v="2"/>
    <x v="4"/>
    <x v="6"/>
    <x v="8"/>
    <x v="0"/>
    <n v="120.5"/>
  </r>
  <r>
    <x v="2"/>
    <x v="4"/>
    <x v="6"/>
    <x v="9"/>
    <x v="0"/>
    <n v="135.19999999999999"/>
  </r>
  <r>
    <x v="2"/>
    <x v="4"/>
    <x v="6"/>
    <x v="10"/>
    <x v="0"/>
    <n v="128.5"/>
  </r>
  <r>
    <x v="2"/>
    <x v="4"/>
    <x v="6"/>
    <x v="11"/>
    <x v="0"/>
    <n v="145.80000000000001"/>
  </r>
  <r>
    <x v="2"/>
    <x v="4"/>
    <x v="6"/>
    <x v="12"/>
    <x v="0"/>
    <n v="139"/>
  </r>
  <r>
    <x v="2"/>
    <x v="4"/>
    <x v="6"/>
    <x v="13"/>
    <x v="1"/>
    <n v="148.19999999999999"/>
  </r>
  <r>
    <x v="2"/>
    <x v="4"/>
    <x v="6"/>
    <x v="14"/>
    <x v="2"/>
    <n v="139.30000000000001"/>
  </r>
  <r>
    <x v="2"/>
    <x v="4"/>
    <x v="6"/>
    <x v="15"/>
    <x v="2"/>
    <n v="132.1"/>
  </r>
  <r>
    <x v="2"/>
    <x v="4"/>
    <x v="6"/>
    <x v="16"/>
    <x v="2"/>
    <n v="138.30000000000001"/>
  </r>
  <r>
    <x v="2"/>
    <x v="4"/>
    <x v="6"/>
    <x v="17"/>
    <x v="3"/>
    <n v="132.6"/>
  </r>
  <r>
    <x v="2"/>
    <x v="4"/>
    <x v="6"/>
    <x v="18"/>
    <x v="4"/>
    <n v="129.4"/>
  </r>
  <r>
    <x v="2"/>
    <x v="4"/>
    <x v="6"/>
    <x v="19"/>
    <x v="5"/>
    <n v="131.9"/>
  </r>
  <r>
    <x v="2"/>
    <x v="4"/>
    <x v="6"/>
    <x v="20"/>
    <x v="6"/>
    <n v="129.4"/>
  </r>
  <r>
    <x v="2"/>
    <x v="4"/>
    <x v="6"/>
    <x v="21"/>
    <x v="7"/>
    <n v="116"/>
  </r>
  <r>
    <x v="2"/>
    <x v="4"/>
    <x v="6"/>
    <x v="22"/>
    <x v="8"/>
    <n v="126.6"/>
  </r>
  <r>
    <x v="2"/>
    <x v="4"/>
    <x v="6"/>
    <x v="23"/>
    <x v="9"/>
    <n v="136.80000000000001"/>
  </r>
  <r>
    <x v="2"/>
    <x v="4"/>
    <x v="6"/>
    <x v="24"/>
    <x v="8"/>
    <n v="123.6"/>
  </r>
  <r>
    <x v="2"/>
    <x v="4"/>
    <x v="6"/>
    <x v="25"/>
    <x v="5"/>
    <n v="125.9"/>
  </r>
  <r>
    <x v="2"/>
    <x v="4"/>
    <x v="6"/>
    <x v="26"/>
    <x v="10"/>
    <n v="134.19999999999999"/>
  </r>
  <r>
    <x v="0"/>
    <x v="4"/>
    <x v="7"/>
    <x v="0"/>
    <x v="0"/>
    <n v="134.80000000000001"/>
  </r>
  <r>
    <x v="0"/>
    <x v="4"/>
    <x v="7"/>
    <x v="1"/>
    <x v="0"/>
    <n v="143.1"/>
  </r>
  <r>
    <x v="0"/>
    <x v="4"/>
    <x v="7"/>
    <x v="2"/>
    <x v="0"/>
    <n v="130"/>
  </r>
  <r>
    <x v="0"/>
    <x v="4"/>
    <x v="7"/>
    <x v="3"/>
    <x v="0"/>
    <n v="139.4"/>
  </r>
  <r>
    <x v="0"/>
    <x v="4"/>
    <x v="7"/>
    <x v="4"/>
    <x v="0"/>
    <n v="120.5"/>
  </r>
  <r>
    <x v="0"/>
    <x v="4"/>
    <x v="7"/>
    <x v="5"/>
    <x v="0"/>
    <n v="148"/>
  </r>
  <r>
    <x v="0"/>
    <x v="4"/>
    <x v="7"/>
    <x v="6"/>
    <x v="0"/>
    <n v="162.9"/>
  </r>
  <r>
    <x v="0"/>
    <x v="4"/>
    <x v="7"/>
    <x v="7"/>
    <x v="0"/>
    <n v="137.4"/>
  </r>
  <r>
    <x v="0"/>
    <x v="4"/>
    <x v="7"/>
    <x v="8"/>
    <x v="0"/>
    <n v="120.8"/>
  </r>
  <r>
    <x v="0"/>
    <x v="4"/>
    <x v="7"/>
    <x v="9"/>
    <x v="0"/>
    <n v="134.69999999999999"/>
  </r>
  <r>
    <x v="0"/>
    <x v="4"/>
    <x v="7"/>
    <x v="10"/>
    <x v="0"/>
    <n v="131.6"/>
  </r>
  <r>
    <x v="0"/>
    <x v="4"/>
    <x v="7"/>
    <x v="11"/>
    <x v="0"/>
    <n v="148.69999999999999"/>
  </r>
  <r>
    <x v="0"/>
    <x v="4"/>
    <x v="7"/>
    <x v="12"/>
    <x v="0"/>
    <n v="140.6"/>
  </r>
  <r>
    <x v="0"/>
    <x v="4"/>
    <x v="7"/>
    <x v="13"/>
    <x v="1"/>
    <n v="149"/>
  </r>
  <r>
    <x v="0"/>
    <x v="4"/>
    <x v="7"/>
    <x v="14"/>
    <x v="2"/>
    <n v="145.30000000000001"/>
  </r>
  <r>
    <x v="0"/>
    <x v="4"/>
    <x v="7"/>
    <x v="15"/>
    <x v="2"/>
    <n v="139.19999999999999"/>
  </r>
  <r>
    <x v="0"/>
    <x v="4"/>
    <x v="7"/>
    <x v="16"/>
    <x v="2"/>
    <n v="144.5"/>
  </r>
  <r>
    <x v="0"/>
    <x v="4"/>
    <x v="7"/>
    <x v="17"/>
    <x v="3"/>
    <s v="NA"/>
  </r>
  <r>
    <x v="0"/>
    <x v="4"/>
    <x v="7"/>
    <x v="18"/>
    <x v="4"/>
    <n v="136.4"/>
  </r>
  <r>
    <x v="0"/>
    <x v="4"/>
    <x v="7"/>
    <x v="19"/>
    <x v="5"/>
    <n v="137.30000000000001"/>
  </r>
  <r>
    <x v="0"/>
    <x v="4"/>
    <x v="7"/>
    <x v="20"/>
    <x v="6"/>
    <n v="133"/>
  </r>
  <r>
    <x v="0"/>
    <x v="4"/>
    <x v="7"/>
    <x v="21"/>
    <x v="7"/>
    <n v="120.3"/>
  </r>
  <r>
    <x v="0"/>
    <x v="4"/>
    <x v="7"/>
    <x v="22"/>
    <x v="8"/>
    <n v="131.5"/>
  </r>
  <r>
    <x v="0"/>
    <x v="4"/>
    <x v="7"/>
    <x v="23"/>
    <x v="9"/>
    <n v="140.19999999999999"/>
  </r>
  <r>
    <x v="0"/>
    <x v="4"/>
    <x v="7"/>
    <x v="24"/>
    <x v="8"/>
    <n v="125.4"/>
  </r>
  <r>
    <x v="0"/>
    <x v="4"/>
    <x v="7"/>
    <x v="25"/>
    <x v="5"/>
    <n v="129.69999999999999"/>
  </r>
  <r>
    <x v="0"/>
    <x v="4"/>
    <x v="7"/>
    <x v="26"/>
    <x v="10"/>
    <n v="137.80000000000001"/>
  </r>
  <r>
    <x v="1"/>
    <x v="4"/>
    <x v="7"/>
    <x v="0"/>
    <x v="0"/>
    <n v="133.19999999999999"/>
  </r>
  <r>
    <x v="1"/>
    <x v="4"/>
    <x v="7"/>
    <x v="1"/>
    <x v="0"/>
    <n v="143.9"/>
  </r>
  <r>
    <x v="1"/>
    <x v="4"/>
    <x v="7"/>
    <x v="2"/>
    <x v="0"/>
    <n v="128.30000000000001"/>
  </r>
  <r>
    <x v="1"/>
    <x v="4"/>
    <x v="7"/>
    <x v="3"/>
    <x v="0"/>
    <n v="138.30000000000001"/>
  </r>
  <r>
    <x v="1"/>
    <x v="4"/>
    <x v="7"/>
    <x v="4"/>
    <x v="0"/>
    <n v="114.1"/>
  </r>
  <r>
    <x v="1"/>
    <x v="4"/>
    <x v="7"/>
    <x v="5"/>
    <x v="0"/>
    <n v="142.69999999999999"/>
  </r>
  <r>
    <x v="1"/>
    <x v="4"/>
    <x v="7"/>
    <x v="6"/>
    <x v="0"/>
    <n v="179.8"/>
  </r>
  <r>
    <x v="1"/>
    <x v="4"/>
    <x v="7"/>
    <x v="7"/>
    <x v="0"/>
    <n v="123.5"/>
  </r>
  <r>
    <x v="1"/>
    <x v="4"/>
    <x v="7"/>
    <x v="8"/>
    <x v="0"/>
    <n v="122.1"/>
  </r>
  <r>
    <x v="1"/>
    <x v="4"/>
    <x v="7"/>
    <x v="9"/>
    <x v="0"/>
    <n v="137.5"/>
  </r>
  <r>
    <x v="1"/>
    <x v="4"/>
    <x v="7"/>
    <x v="10"/>
    <x v="0"/>
    <n v="124.6"/>
  </r>
  <r>
    <x v="1"/>
    <x v="4"/>
    <x v="7"/>
    <x v="11"/>
    <x v="0"/>
    <n v="144.5"/>
  </r>
  <r>
    <x v="1"/>
    <x v="4"/>
    <x v="7"/>
    <x v="12"/>
    <x v="0"/>
    <n v="140.5"/>
  </r>
  <r>
    <x v="1"/>
    <x v="4"/>
    <x v="7"/>
    <x v="13"/>
    <x v="1"/>
    <n v="152.1"/>
  </r>
  <r>
    <x v="1"/>
    <x v="4"/>
    <x v="7"/>
    <x v="14"/>
    <x v="2"/>
    <n v="132.69999999999999"/>
  </r>
  <r>
    <x v="1"/>
    <x v="4"/>
    <x v="7"/>
    <x v="15"/>
    <x v="2"/>
    <n v="124.3"/>
  </r>
  <r>
    <x v="1"/>
    <x v="4"/>
    <x v="7"/>
    <x v="16"/>
    <x v="2"/>
    <n v="131.4"/>
  </r>
  <r>
    <x v="1"/>
    <x v="4"/>
    <x v="7"/>
    <x v="17"/>
    <x v="3"/>
    <n v="134.4"/>
  </r>
  <r>
    <x v="1"/>
    <x v="4"/>
    <x v="7"/>
    <x v="18"/>
    <x v="4"/>
    <n v="118.9"/>
  </r>
  <r>
    <x v="1"/>
    <x v="4"/>
    <x v="7"/>
    <x v="19"/>
    <x v="5"/>
    <n v="127.7"/>
  </r>
  <r>
    <x v="1"/>
    <x v="4"/>
    <x v="7"/>
    <x v="20"/>
    <x v="6"/>
    <n v="125.7"/>
  </r>
  <r>
    <x v="1"/>
    <x v="4"/>
    <x v="7"/>
    <x v="21"/>
    <x v="7"/>
    <n v="114.6"/>
  </r>
  <r>
    <x v="1"/>
    <x v="4"/>
    <x v="7"/>
    <x v="22"/>
    <x v="8"/>
    <n v="124.1"/>
  </r>
  <r>
    <x v="1"/>
    <x v="4"/>
    <x v="7"/>
    <x v="23"/>
    <x v="9"/>
    <n v="135.69999999999999"/>
  </r>
  <r>
    <x v="1"/>
    <x v="4"/>
    <x v="7"/>
    <x v="24"/>
    <x v="8"/>
    <n v="123.3"/>
  </r>
  <r>
    <x v="1"/>
    <x v="4"/>
    <x v="7"/>
    <x v="25"/>
    <x v="5"/>
    <n v="123.8"/>
  </r>
  <r>
    <x v="1"/>
    <x v="4"/>
    <x v="7"/>
    <x v="26"/>
    <x v="10"/>
    <n v="132.69999999999999"/>
  </r>
  <r>
    <x v="2"/>
    <x v="4"/>
    <x v="7"/>
    <x v="0"/>
    <x v="0"/>
    <n v="134.30000000000001"/>
  </r>
  <r>
    <x v="2"/>
    <x v="4"/>
    <x v="7"/>
    <x v="1"/>
    <x v="0"/>
    <n v="143.4"/>
  </r>
  <r>
    <x v="2"/>
    <x v="4"/>
    <x v="7"/>
    <x v="2"/>
    <x v="0"/>
    <n v="129.30000000000001"/>
  </r>
  <r>
    <x v="2"/>
    <x v="4"/>
    <x v="7"/>
    <x v="3"/>
    <x v="0"/>
    <n v="139"/>
  </r>
  <r>
    <x v="2"/>
    <x v="4"/>
    <x v="7"/>
    <x v="4"/>
    <x v="0"/>
    <n v="118.1"/>
  </r>
  <r>
    <x v="2"/>
    <x v="4"/>
    <x v="7"/>
    <x v="5"/>
    <x v="0"/>
    <n v="145.5"/>
  </r>
  <r>
    <x v="2"/>
    <x v="4"/>
    <x v="7"/>
    <x v="6"/>
    <x v="0"/>
    <n v="168.6"/>
  </r>
  <r>
    <x v="2"/>
    <x v="4"/>
    <x v="7"/>
    <x v="7"/>
    <x v="0"/>
    <n v="132.69999999999999"/>
  </r>
  <r>
    <x v="2"/>
    <x v="4"/>
    <x v="7"/>
    <x v="8"/>
    <x v="0"/>
    <n v="121.2"/>
  </r>
  <r>
    <x v="2"/>
    <x v="4"/>
    <x v="7"/>
    <x v="9"/>
    <x v="0"/>
    <n v="135.6"/>
  </r>
  <r>
    <x v="2"/>
    <x v="4"/>
    <x v="7"/>
    <x v="10"/>
    <x v="0"/>
    <n v="128.69999999999999"/>
  </r>
  <r>
    <x v="2"/>
    <x v="4"/>
    <x v="7"/>
    <x v="11"/>
    <x v="0"/>
    <n v="146.80000000000001"/>
  </r>
  <r>
    <x v="2"/>
    <x v="4"/>
    <x v="7"/>
    <x v="12"/>
    <x v="0"/>
    <n v="140.6"/>
  </r>
  <r>
    <x v="2"/>
    <x v="4"/>
    <x v="7"/>
    <x v="13"/>
    <x v="1"/>
    <n v="149.80000000000001"/>
  </r>
  <r>
    <x v="2"/>
    <x v="4"/>
    <x v="7"/>
    <x v="14"/>
    <x v="2"/>
    <n v="140.30000000000001"/>
  </r>
  <r>
    <x v="2"/>
    <x v="4"/>
    <x v="7"/>
    <x v="15"/>
    <x v="2"/>
    <n v="133"/>
  </r>
  <r>
    <x v="2"/>
    <x v="4"/>
    <x v="7"/>
    <x v="16"/>
    <x v="2"/>
    <n v="139.30000000000001"/>
  </r>
  <r>
    <x v="2"/>
    <x v="4"/>
    <x v="7"/>
    <x v="17"/>
    <x v="3"/>
    <n v="134.4"/>
  </r>
  <r>
    <x v="2"/>
    <x v="4"/>
    <x v="7"/>
    <x v="18"/>
    <x v="4"/>
    <n v="129.80000000000001"/>
  </r>
  <r>
    <x v="2"/>
    <x v="4"/>
    <x v="7"/>
    <x v="19"/>
    <x v="5"/>
    <n v="132.80000000000001"/>
  </r>
  <r>
    <x v="2"/>
    <x v="4"/>
    <x v="7"/>
    <x v="20"/>
    <x v="6"/>
    <n v="130.19999999999999"/>
  </r>
  <r>
    <x v="2"/>
    <x v="4"/>
    <x v="7"/>
    <x v="21"/>
    <x v="7"/>
    <n v="117.3"/>
  </r>
  <r>
    <x v="2"/>
    <x v="4"/>
    <x v="7"/>
    <x v="22"/>
    <x v="8"/>
    <n v="127.3"/>
  </r>
  <r>
    <x v="2"/>
    <x v="4"/>
    <x v="7"/>
    <x v="23"/>
    <x v="9"/>
    <n v="137.6"/>
  </r>
  <r>
    <x v="2"/>
    <x v="4"/>
    <x v="7"/>
    <x v="24"/>
    <x v="8"/>
    <n v="124.5"/>
  </r>
  <r>
    <x v="2"/>
    <x v="4"/>
    <x v="7"/>
    <x v="25"/>
    <x v="5"/>
    <n v="126.8"/>
  </r>
  <r>
    <x v="2"/>
    <x v="4"/>
    <x v="7"/>
    <x v="26"/>
    <x v="10"/>
    <n v="135.4"/>
  </r>
  <r>
    <x v="0"/>
    <x v="4"/>
    <x v="8"/>
    <x v="0"/>
    <x v="0"/>
    <n v="135.19999999999999"/>
  </r>
  <r>
    <x v="0"/>
    <x v="4"/>
    <x v="8"/>
    <x v="1"/>
    <x v="0"/>
    <n v="142"/>
  </r>
  <r>
    <x v="0"/>
    <x v="4"/>
    <x v="8"/>
    <x v="2"/>
    <x v="0"/>
    <n v="130.5"/>
  </r>
  <r>
    <x v="0"/>
    <x v="4"/>
    <x v="8"/>
    <x v="3"/>
    <x v="0"/>
    <n v="140.19999999999999"/>
  </r>
  <r>
    <x v="0"/>
    <x v="4"/>
    <x v="8"/>
    <x v="4"/>
    <x v="0"/>
    <n v="120.7"/>
  </r>
  <r>
    <x v="0"/>
    <x v="4"/>
    <x v="8"/>
    <x v="5"/>
    <x v="0"/>
    <n v="147.80000000000001"/>
  </r>
  <r>
    <x v="0"/>
    <x v="4"/>
    <x v="8"/>
    <x v="6"/>
    <x v="0"/>
    <n v="154.5"/>
  </r>
  <r>
    <x v="0"/>
    <x v="4"/>
    <x v="8"/>
    <x v="7"/>
    <x v="0"/>
    <n v="137.1"/>
  </r>
  <r>
    <x v="0"/>
    <x v="4"/>
    <x v="8"/>
    <x v="8"/>
    <x v="0"/>
    <n v="121"/>
  </r>
  <r>
    <x v="0"/>
    <x v="4"/>
    <x v="8"/>
    <x v="9"/>
    <x v="0"/>
    <n v="134.69999999999999"/>
  </r>
  <r>
    <x v="0"/>
    <x v="4"/>
    <x v="8"/>
    <x v="10"/>
    <x v="0"/>
    <n v="131.69999999999999"/>
  </r>
  <r>
    <x v="0"/>
    <x v="4"/>
    <x v="8"/>
    <x v="11"/>
    <x v="0"/>
    <n v="149.30000000000001"/>
  </r>
  <r>
    <x v="0"/>
    <x v="4"/>
    <x v="8"/>
    <x v="12"/>
    <x v="0"/>
    <n v="139.6"/>
  </r>
  <r>
    <x v="0"/>
    <x v="4"/>
    <x v="8"/>
    <x v="13"/>
    <x v="1"/>
    <n v="149.80000000000001"/>
  </r>
  <r>
    <x v="0"/>
    <x v="4"/>
    <x v="8"/>
    <x v="14"/>
    <x v="2"/>
    <n v="146.1"/>
  </r>
  <r>
    <x v="0"/>
    <x v="4"/>
    <x v="8"/>
    <x v="15"/>
    <x v="2"/>
    <n v="139.69999999999999"/>
  </r>
  <r>
    <x v="0"/>
    <x v="4"/>
    <x v="8"/>
    <x v="16"/>
    <x v="2"/>
    <n v="145.19999999999999"/>
  </r>
  <r>
    <x v="0"/>
    <x v="4"/>
    <x v="8"/>
    <x v="17"/>
    <x v="3"/>
    <s v="NA"/>
  </r>
  <r>
    <x v="0"/>
    <x v="4"/>
    <x v="8"/>
    <x v="18"/>
    <x v="4"/>
    <n v="137.4"/>
  </r>
  <r>
    <x v="0"/>
    <x v="4"/>
    <x v="8"/>
    <x v="19"/>
    <x v="5"/>
    <n v="137.9"/>
  </r>
  <r>
    <x v="0"/>
    <x v="4"/>
    <x v="8"/>
    <x v="20"/>
    <x v="6"/>
    <n v="133.4"/>
  </r>
  <r>
    <x v="0"/>
    <x v="4"/>
    <x v="8"/>
    <x v="21"/>
    <x v="7"/>
    <n v="121.2"/>
  </r>
  <r>
    <x v="0"/>
    <x v="4"/>
    <x v="8"/>
    <x v="22"/>
    <x v="8"/>
    <n v="132.30000000000001"/>
  </r>
  <r>
    <x v="0"/>
    <x v="4"/>
    <x v="8"/>
    <x v="23"/>
    <x v="9"/>
    <n v="139.6"/>
  </r>
  <r>
    <x v="0"/>
    <x v="4"/>
    <x v="8"/>
    <x v="24"/>
    <x v="8"/>
    <n v="126.7"/>
  </r>
  <r>
    <x v="0"/>
    <x v="4"/>
    <x v="8"/>
    <x v="25"/>
    <x v="5"/>
    <n v="130.30000000000001"/>
  </r>
  <r>
    <x v="0"/>
    <x v="4"/>
    <x v="8"/>
    <x v="26"/>
    <x v="10"/>
    <n v="137.6"/>
  </r>
  <r>
    <x v="1"/>
    <x v="4"/>
    <x v="8"/>
    <x v="0"/>
    <x v="0"/>
    <n v="133.6"/>
  </r>
  <r>
    <x v="1"/>
    <x v="4"/>
    <x v="8"/>
    <x v="1"/>
    <x v="0"/>
    <n v="143"/>
  </r>
  <r>
    <x v="1"/>
    <x v="4"/>
    <x v="8"/>
    <x v="2"/>
    <x v="0"/>
    <n v="129.69999999999999"/>
  </r>
  <r>
    <x v="1"/>
    <x v="4"/>
    <x v="8"/>
    <x v="3"/>
    <x v="0"/>
    <n v="138.69999999999999"/>
  </r>
  <r>
    <x v="1"/>
    <x v="4"/>
    <x v="8"/>
    <x v="4"/>
    <x v="0"/>
    <n v="114.5"/>
  </r>
  <r>
    <x v="1"/>
    <x v="4"/>
    <x v="8"/>
    <x v="5"/>
    <x v="0"/>
    <n v="137.5"/>
  </r>
  <r>
    <x v="1"/>
    <x v="4"/>
    <x v="8"/>
    <x v="6"/>
    <x v="0"/>
    <n v="160.69999999999999"/>
  </r>
  <r>
    <x v="1"/>
    <x v="4"/>
    <x v="8"/>
    <x v="7"/>
    <x v="0"/>
    <n v="124.5"/>
  </r>
  <r>
    <x v="1"/>
    <x v="4"/>
    <x v="8"/>
    <x v="8"/>
    <x v="0"/>
    <n v="122.4"/>
  </r>
  <r>
    <x v="1"/>
    <x v="4"/>
    <x v="8"/>
    <x v="9"/>
    <x v="0"/>
    <n v="137.30000000000001"/>
  </r>
  <r>
    <x v="1"/>
    <x v="4"/>
    <x v="8"/>
    <x v="10"/>
    <x v="0"/>
    <n v="124.8"/>
  </r>
  <r>
    <x v="1"/>
    <x v="4"/>
    <x v="8"/>
    <x v="11"/>
    <x v="0"/>
    <n v="145"/>
  </r>
  <r>
    <x v="1"/>
    <x v="4"/>
    <x v="8"/>
    <x v="12"/>
    <x v="0"/>
    <n v="138"/>
  </r>
  <r>
    <x v="1"/>
    <x v="4"/>
    <x v="8"/>
    <x v="13"/>
    <x v="1"/>
    <n v="153.6"/>
  </r>
  <r>
    <x v="1"/>
    <x v="4"/>
    <x v="8"/>
    <x v="14"/>
    <x v="2"/>
    <n v="133.30000000000001"/>
  </r>
  <r>
    <x v="1"/>
    <x v="4"/>
    <x v="8"/>
    <x v="15"/>
    <x v="2"/>
    <n v="124.6"/>
  </r>
  <r>
    <x v="1"/>
    <x v="4"/>
    <x v="8"/>
    <x v="16"/>
    <x v="2"/>
    <n v="132"/>
  </r>
  <r>
    <x v="1"/>
    <x v="4"/>
    <x v="8"/>
    <x v="17"/>
    <x v="3"/>
    <n v="135.69999999999999"/>
  </r>
  <r>
    <x v="1"/>
    <x v="4"/>
    <x v="8"/>
    <x v="18"/>
    <x v="4"/>
    <n v="120.6"/>
  </r>
  <r>
    <x v="1"/>
    <x v="4"/>
    <x v="8"/>
    <x v="19"/>
    <x v="5"/>
    <n v="128.1"/>
  </r>
  <r>
    <x v="1"/>
    <x v="4"/>
    <x v="8"/>
    <x v="20"/>
    <x v="6"/>
    <n v="126.1"/>
  </r>
  <r>
    <x v="1"/>
    <x v="4"/>
    <x v="8"/>
    <x v="21"/>
    <x v="7"/>
    <n v="115.7"/>
  </r>
  <r>
    <x v="1"/>
    <x v="4"/>
    <x v="8"/>
    <x v="22"/>
    <x v="8"/>
    <n v="124.5"/>
  </r>
  <r>
    <x v="1"/>
    <x v="4"/>
    <x v="8"/>
    <x v="23"/>
    <x v="9"/>
    <n v="135.9"/>
  </r>
  <r>
    <x v="1"/>
    <x v="4"/>
    <x v="8"/>
    <x v="24"/>
    <x v="8"/>
    <n v="124.4"/>
  </r>
  <r>
    <x v="1"/>
    <x v="4"/>
    <x v="8"/>
    <x v="25"/>
    <x v="5"/>
    <n v="124.5"/>
  </r>
  <r>
    <x v="1"/>
    <x v="4"/>
    <x v="8"/>
    <x v="26"/>
    <x v="10"/>
    <n v="132.4"/>
  </r>
  <r>
    <x v="2"/>
    <x v="4"/>
    <x v="8"/>
    <x v="0"/>
    <x v="0"/>
    <n v="134.69999999999999"/>
  </r>
  <r>
    <x v="2"/>
    <x v="4"/>
    <x v="8"/>
    <x v="1"/>
    <x v="0"/>
    <n v="142.4"/>
  </r>
  <r>
    <x v="2"/>
    <x v="4"/>
    <x v="8"/>
    <x v="2"/>
    <x v="0"/>
    <n v="130.19999999999999"/>
  </r>
  <r>
    <x v="2"/>
    <x v="4"/>
    <x v="8"/>
    <x v="3"/>
    <x v="0"/>
    <n v="139.6"/>
  </r>
  <r>
    <x v="2"/>
    <x v="4"/>
    <x v="8"/>
    <x v="4"/>
    <x v="0"/>
    <n v="118.4"/>
  </r>
  <r>
    <x v="2"/>
    <x v="4"/>
    <x v="8"/>
    <x v="5"/>
    <x v="0"/>
    <n v="143"/>
  </r>
  <r>
    <x v="2"/>
    <x v="4"/>
    <x v="8"/>
    <x v="6"/>
    <x v="0"/>
    <n v="156.6"/>
  </r>
  <r>
    <x v="2"/>
    <x v="4"/>
    <x v="8"/>
    <x v="7"/>
    <x v="0"/>
    <n v="132.9"/>
  </r>
  <r>
    <x v="2"/>
    <x v="4"/>
    <x v="8"/>
    <x v="8"/>
    <x v="0"/>
    <n v="121.5"/>
  </r>
  <r>
    <x v="2"/>
    <x v="4"/>
    <x v="8"/>
    <x v="9"/>
    <x v="0"/>
    <n v="135.6"/>
  </r>
  <r>
    <x v="2"/>
    <x v="4"/>
    <x v="8"/>
    <x v="10"/>
    <x v="0"/>
    <n v="128.80000000000001"/>
  </r>
  <r>
    <x v="2"/>
    <x v="4"/>
    <x v="8"/>
    <x v="11"/>
    <x v="0"/>
    <n v="147.30000000000001"/>
  </r>
  <r>
    <x v="2"/>
    <x v="4"/>
    <x v="8"/>
    <x v="12"/>
    <x v="0"/>
    <n v="139"/>
  </r>
  <r>
    <x v="2"/>
    <x v="4"/>
    <x v="8"/>
    <x v="13"/>
    <x v="1"/>
    <n v="150.80000000000001"/>
  </r>
  <r>
    <x v="2"/>
    <x v="4"/>
    <x v="8"/>
    <x v="14"/>
    <x v="2"/>
    <n v="141.1"/>
  </r>
  <r>
    <x v="2"/>
    <x v="4"/>
    <x v="8"/>
    <x v="15"/>
    <x v="2"/>
    <n v="133.4"/>
  </r>
  <r>
    <x v="2"/>
    <x v="4"/>
    <x v="8"/>
    <x v="16"/>
    <x v="2"/>
    <n v="140"/>
  </r>
  <r>
    <x v="2"/>
    <x v="4"/>
    <x v="8"/>
    <x v="17"/>
    <x v="3"/>
    <n v="135.69999999999999"/>
  </r>
  <r>
    <x v="2"/>
    <x v="4"/>
    <x v="8"/>
    <x v="18"/>
    <x v="4"/>
    <n v="131"/>
  </r>
  <r>
    <x v="2"/>
    <x v="4"/>
    <x v="8"/>
    <x v="19"/>
    <x v="5"/>
    <n v="133.30000000000001"/>
  </r>
  <r>
    <x v="2"/>
    <x v="4"/>
    <x v="8"/>
    <x v="20"/>
    <x v="6"/>
    <n v="130.6"/>
  </r>
  <r>
    <x v="2"/>
    <x v="4"/>
    <x v="8"/>
    <x v="21"/>
    <x v="7"/>
    <n v="118.3"/>
  </r>
  <r>
    <x v="2"/>
    <x v="4"/>
    <x v="8"/>
    <x v="22"/>
    <x v="8"/>
    <n v="127.9"/>
  </r>
  <r>
    <x v="2"/>
    <x v="4"/>
    <x v="8"/>
    <x v="23"/>
    <x v="9"/>
    <n v="137.4"/>
  </r>
  <r>
    <x v="2"/>
    <x v="4"/>
    <x v="8"/>
    <x v="24"/>
    <x v="8"/>
    <n v="125.7"/>
  </r>
  <r>
    <x v="2"/>
    <x v="4"/>
    <x v="8"/>
    <x v="25"/>
    <x v="5"/>
    <n v="127.5"/>
  </r>
  <r>
    <x v="2"/>
    <x v="4"/>
    <x v="8"/>
    <x v="26"/>
    <x v="10"/>
    <n v="135.19999999999999"/>
  </r>
  <r>
    <x v="0"/>
    <x v="4"/>
    <x v="9"/>
    <x v="0"/>
    <x v="0"/>
    <n v="135.9"/>
  </r>
  <r>
    <x v="0"/>
    <x v="4"/>
    <x v="9"/>
    <x v="1"/>
    <x v="0"/>
    <n v="141.9"/>
  </r>
  <r>
    <x v="0"/>
    <x v="4"/>
    <x v="9"/>
    <x v="2"/>
    <x v="0"/>
    <n v="131"/>
  </r>
  <r>
    <x v="0"/>
    <x v="4"/>
    <x v="9"/>
    <x v="3"/>
    <x v="0"/>
    <n v="141.5"/>
  </r>
  <r>
    <x v="0"/>
    <x v="4"/>
    <x v="9"/>
    <x v="4"/>
    <x v="0"/>
    <n v="121.4"/>
  </r>
  <r>
    <x v="0"/>
    <x v="4"/>
    <x v="9"/>
    <x v="5"/>
    <x v="0"/>
    <n v="146.69999999999999"/>
  </r>
  <r>
    <x v="0"/>
    <x v="4"/>
    <x v="9"/>
    <x v="6"/>
    <x v="0"/>
    <n v="157.1"/>
  </r>
  <r>
    <x v="0"/>
    <x v="4"/>
    <x v="9"/>
    <x v="7"/>
    <x v="0"/>
    <n v="136.4"/>
  </r>
  <r>
    <x v="0"/>
    <x v="4"/>
    <x v="9"/>
    <x v="8"/>
    <x v="0"/>
    <n v="121.4"/>
  </r>
  <r>
    <x v="0"/>
    <x v="4"/>
    <x v="9"/>
    <x v="9"/>
    <x v="0"/>
    <n v="135.6"/>
  </r>
  <r>
    <x v="0"/>
    <x v="4"/>
    <x v="9"/>
    <x v="10"/>
    <x v="0"/>
    <n v="131.30000000000001"/>
  </r>
  <r>
    <x v="0"/>
    <x v="4"/>
    <x v="9"/>
    <x v="11"/>
    <x v="0"/>
    <n v="150.30000000000001"/>
  </r>
  <r>
    <x v="0"/>
    <x v="4"/>
    <x v="9"/>
    <x v="12"/>
    <x v="0"/>
    <n v="140.4"/>
  </r>
  <r>
    <x v="0"/>
    <x v="4"/>
    <x v="9"/>
    <x v="13"/>
    <x v="1"/>
    <n v="150.5"/>
  </r>
  <r>
    <x v="0"/>
    <x v="4"/>
    <x v="9"/>
    <x v="14"/>
    <x v="2"/>
    <n v="147.19999999999999"/>
  </r>
  <r>
    <x v="0"/>
    <x v="4"/>
    <x v="9"/>
    <x v="15"/>
    <x v="2"/>
    <n v="140.6"/>
  </r>
  <r>
    <x v="0"/>
    <x v="4"/>
    <x v="9"/>
    <x v="16"/>
    <x v="2"/>
    <n v="146.19999999999999"/>
  </r>
  <r>
    <x v="0"/>
    <x v="4"/>
    <x v="9"/>
    <x v="17"/>
    <x v="3"/>
    <s v="NA"/>
  </r>
  <r>
    <x v="0"/>
    <x v="4"/>
    <x v="9"/>
    <x v="18"/>
    <x v="4"/>
    <n v="138.1"/>
  </r>
  <r>
    <x v="0"/>
    <x v="4"/>
    <x v="9"/>
    <x v="19"/>
    <x v="5"/>
    <n v="138.4"/>
  </r>
  <r>
    <x v="0"/>
    <x v="4"/>
    <x v="9"/>
    <x v="20"/>
    <x v="6"/>
    <n v="134.19999999999999"/>
  </r>
  <r>
    <x v="0"/>
    <x v="4"/>
    <x v="9"/>
    <x v="21"/>
    <x v="7"/>
    <n v="121"/>
  </r>
  <r>
    <x v="0"/>
    <x v="4"/>
    <x v="9"/>
    <x v="22"/>
    <x v="8"/>
    <n v="133"/>
  </r>
  <r>
    <x v="0"/>
    <x v="4"/>
    <x v="9"/>
    <x v="23"/>
    <x v="9"/>
    <n v="140.1"/>
  </r>
  <r>
    <x v="0"/>
    <x v="4"/>
    <x v="9"/>
    <x v="24"/>
    <x v="8"/>
    <n v="127.4"/>
  </r>
  <r>
    <x v="0"/>
    <x v="4"/>
    <x v="9"/>
    <x v="25"/>
    <x v="5"/>
    <n v="130.69999999999999"/>
  </r>
  <r>
    <x v="0"/>
    <x v="4"/>
    <x v="9"/>
    <x v="26"/>
    <x v="10"/>
    <n v="138.30000000000001"/>
  </r>
  <r>
    <x v="1"/>
    <x v="4"/>
    <x v="9"/>
    <x v="0"/>
    <x v="0"/>
    <n v="133.9"/>
  </r>
  <r>
    <x v="1"/>
    <x v="4"/>
    <x v="9"/>
    <x v="1"/>
    <x v="0"/>
    <n v="142.80000000000001"/>
  </r>
  <r>
    <x v="1"/>
    <x v="4"/>
    <x v="9"/>
    <x v="2"/>
    <x v="0"/>
    <n v="131.4"/>
  </r>
  <r>
    <x v="1"/>
    <x v="4"/>
    <x v="9"/>
    <x v="3"/>
    <x v="0"/>
    <n v="139.1"/>
  </r>
  <r>
    <x v="1"/>
    <x v="4"/>
    <x v="9"/>
    <x v="4"/>
    <x v="0"/>
    <n v="114.9"/>
  </r>
  <r>
    <x v="1"/>
    <x v="4"/>
    <x v="9"/>
    <x v="5"/>
    <x v="0"/>
    <n v="135.6"/>
  </r>
  <r>
    <x v="1"/>
    <x v="4"/>
    <x v="9"/>
    <x v="6"/>
    <x v="0"/>
    <n v="173.2"/>
  </r>
  <r>
    <x v="1"/>
    <x v="4"/>
    <x v="9"/>
    <x v="7"/>
    <x v="0"/>
    <n v="124.1"/>
  </r>
  <r>
    <x v="1"/>
    <x v="4"/>
    <x v="9"/>
    <x v="8"/>
    <x v="0"/>
    <n v="122.6"/>
  </r>
  <r>
    <x v="1"/>
    <x v="4"/>
    <x v="9"/>
    <x v="9"/>
    <x v="0"/>
    <n v="137.80000000000001"/>
  </r>
  <r>
    <x v="1"/>
    <x v="4"/>
    <x v="9"/>
    <x v="10"/>
    <x v="0"/>
    <n v="125.1"/>
  </r>
  <r>
    <x v="1"/>
    <x v="4"/>
    <x v="9"/>
    <x v="11"/>
    <x v="0"/>
    <n v="145.5"/>
  </r>
  <r>
    <x v="1"/>
    <x v="4"/>
    <x v="9"/>
    <x v="12"/>
    <x v="0"/>
    <n v="139.69999999999999"/>
  </r>
  <r>
    <x v="1"/>
    <x v="4"/>
    <x v="9"/>
    <x v="13"/>
    <x v="1"/>
    <n v="154.6"/>
  </r>
  <r>
    <x v="1"/>
    <x v="4"/>
    <x v="9"/>
    <x v="14"/>
    <x v="2"/>
    <n v="134"/>
  </r>
  <r>
    <x v="1"/>
    <x v="4"/>
    <x v="9"/>
    <x v="15"/>
    <x v="2"/>
    <n v="124.9"/>
  </r>
  <r>
    <x v="1"/>
    <x v="4"/>
    <x v="9"/>
    <x v="16"/>
    <x v="2"/>
    <n v="132.6"/>
  </r>
  <r>
    <x v="1"/>
    <x v="4"/>
    <x v="9"/>
    <x v="17"/>
    <x v="3"/>
    <n v="137.30000000000001"/>
  </r>
  <r>
    <x v="1"/>
    <x v="4"/>
    <x v="9"/>
    <x v="18"/>
    <x v="4"/>
    <n v="122.6"/>
  </r>
  <r>
    <x v="1"/>
    <x v="4"/>
    <x v="9"/>
    <x v="19"/>
    <x v="5"/>
    <n v="128.30000000000001"/>
  </r>
  <r>
    <x v="1"/>
    <x v="4"/>
    <x v="9"/>
    <x v="20"/>
    <x v="6"/>
    <n v="126.6"/>
  </r>
  <r>
    <x v="1"/>
    <x v="4"/>
    <x v="9"/>
    <x v="21"/>
    <x v="7"/>
    <n v="115"/>
  </r>
  <r>
    <x v="1"/>
    <x v="4"/>
    <x v="9"/>
    <x v="22"/>
    <x v="8"/>
    <n v="124.8"/>
  </r>
  <r>
    <x v="1"/>
    <x v="4"/>
    <x v="9"/>
    <x v="23"/>
    <x v="9"/>
    <n v="136.30000000000001"/>
  </r>
  <r>
    <x v="1"/>
    <x v="4"/>
    <x v="9"/>
    <x v="24"/>
    <x v="8"/>
    <n v="124.6"/>
  </r>
  <r>
    <x v="1"/>
    <x v="4"/>
    <x v="9"/>
    <x v="25"/>
    <x v="5"/>
    <n v="124.5"/>
  </r>
  <r>
    <x v="1"/>
    <x v="4"/>
    <x v="9"/>
    <x v="26"/>
    <x v="10"/>
    <n v="133.5"/>
  </r>
  <r>
    <x v="2"/>
    <x v="4"/>
    <x v="9"/>
    <x v="0"/>
    <x v="0"/>
    <n v="135.30000000000001"/>
  </r>
  <r>
    <x v="2"/>
    <x v="4"/>
    <x v="9"/>
    <x v="1"/>
    <x v="0"/>
    <n v="142.19999999999999"/>
  </r>
  <r>
    <x v="2"/>
    <x v="4"/>
    <x v="9"/>
    <x v="2"/>
    <x v="0"/>
    <n v="131.19999999999999"/>
  </r>
  <r>
    <x v="2"/>
    <x v="4"/>
    <x v="9"/>
    <x v="3"/>
    <x v="0"/>
    <n v="140.6"/>
  </r>
  <r>
    <x v="2"/>
    <x v="4"/>
    <x v="9"/>
    <x v="4"/>
    <x v="0"/>
    <n v="119"/>
  </r>
  <r>
    <x v="2"/>
    <x v="4"/>
    <x v="9"/>
    <x v="5"/>
    <x v="0"/>
    <n v="141.5"/>
  </r>
  <r>
    <x v="2"/>
    <x v="4"/>
    <x v="9"/>
    <x v="6"/>
    <x v="0"/>
    <n v="162.6"/>
  </r>
  <r>
    <x v="2"/>
    <x v="4"/>
    <x v="9"/>
    <x v="7"/>
    <x v="0"/>
    <n v="132.30000000000001"/>
  </r>
  <r>
    <x v="2"/>
    <x v="4"/>
    <x v="9"/>
    <x v="8"/>
    <x v="0"/>
    <n v="121.8"/>
  </r>
  <r>
    <x v="2"/>
    <x v="4"/>
    <x v="9"/>
    <x v="9"/>
    <x v="0"/>
    <n v="136.30000000000001"/>
  </r>
  <r>
    <x v="2"/>
    <x v="4"/>
    <x v="9"/>
    <x v="10"/>
    <x v="0"/>
    <n v="128.69999999999999"/>
  </r>
  <r>
    <x v="2"/>
    <x v="4"/>
    <x v="9"/>
    <x v="11"/>
    <x v="0"/>
    <n v="148.1"/>
  </r>
  <r>
    <x v="2"/>
    <x v="4"/>
    <x v="9"/>
    <x v="12"/>
    <x v="0"/>
    <n v="140.1"/>
  </r>
  <r>
    <x v="2"/>
    <x v="4"/>
    <x v="9"/>
    <x v="13"/>
    <x v="1"/>
    <n v="151.6"/>
  </r>
  <r>
    <x v="2"/>
    <x v="4"/>
    <x v="9"/>
    <x v="14"/>
    <x v="2"/>
    <n v="142"/>
  </r>
  <r>
    <x v="2"/>
    <x v="4"/>
    <x v="9"/>
    <x v="15"/>
    <x v="2"/>
    <n v="134.1"/>
  </r>
  <r>
    <x v="2"/>
    <x v="4"/>
    <x v="9"/>
    <x v="16"/>
    <x v="2"/>
    <n v="140.80000000000001"/>
  </r>
  <r>
    <x v="2"/>
    <x v="4"/>
    <x v="9"/>
    <x v="17"/>
    <x v="3"/>
    <n v="137.30000000000001"/>
  </r>
  <r>
    <x v="2"/>
    <x v="4"/>
    <x v="9"/>
    <x v="18"/>
    <x v="4"/>
    <n v="132.19999999999999"/>
  </r>
  <r>
    <x v="2"/>
    <x v="4"/>
    <x v="9"/>
    <x v="19"/>
    <x v="5"/>
    <n v="133.6"/>
  </r>
  <r>
    <x v="2"/>
    <x v="4"/>
    <x v="9"/>
    <x v="20"/>
    <x v="6"/>
    <n v="131.30000000000001"/>
  </r>
  <r>
    <x v="2"/>
    <x v="4"/>
    <x v="9"/>
    <x v="21"/>
    <x v="7"/>
    <n v="117.8"/>
  </r>
  <r>
    <x v="2"/>
    <x v="4"/>
    <x v="9"/>
    <x v="22"/>
    <x v="8"/>
    <n v="128.4"/>
  </r>
  <r>
    <x v="2"/>
    <x v="4"/>
    <x v="9"/>
    <x v="23"/>
    <x v="9"/>
    <n v="137.9"/>
  </r>
  <r>
    <x v="2"/>
    <x v="4"/>
    <x v="9"/>
    <x v="24"/>
    <x v="8"/>
    <n v="126.2"/>
  </r>
  <r>
    <x v="2"/>
    <x v="4"/>
    <x v="9"/>
    <x v="25"/>
    <x v="5"/>
    <n v="127.7"/>
  </r>
  <r>
    <x v="2"/>
    <x v="4"/>
    <x v="9"/>
    <x v="26"/>
    <x v="10"/>
    <n v="136.1"/>
  </r>
  <r>
    <x v="0"/>
    <x v="4"/>
    <x v="11"/>
    <x v="0"/>
    <x v="0"/>
    <n v="136.30000000000001"/>
  </r>
  <r>
    <x v="0"/>
    <x v="4"/>
    <x v="11"/>
    <x v="1"/>
    <x v="0"/>
    <n v="142.5"/>
  </r>
  <r>
    <x v="0"/>
    <x v="4"/>
    <x v="11"/>
    <x v="2"/>
    <x v="0"/>
    <n v="140.5"/>
  </r>
  <r>
    <x v="0"/>
    <x v="4"/>
    <x v="11"/>
    <x v="3"/>
    <x v="0"/>
    <n v="141.5"/>
  </r>
  <r>
    <x v="0"/>
    <x v="4"/>
    <x v="11"/>
    <x v="4"/>
    <x v="0"/>
    <n v="121.6"/>
  </r>
  <r>
    <x v="0"/>
    <x v="4"/>
    <x v="11"/>
    <x v="5"/>
    <x v="0"/>
    <n v="147.30000000000001"/>
  </r>
  <r>
    <x v="0"/>
    <x v="4"/>
    <x v="11"/>
    <x v="6"/>
    <x v="0"/>
    <n v="168"/>
  </r>
  <r>
    <x v="0"/>
    <x v="4"/>
    <x v="11"/>
    <x v="7"/>
    <x v="0"/>
    <n v="135.80000000000001"/>
  </r>
  <r>
    <x v="0"/>
    <x v="4"/>
    <x v="11"/>
    <x v="8"/>
    <x v="0"/>
    <n v="122.5"/>
  </r>
  <r>
    <x v="0"/>
    <x v="4"/>
    <x v="11"/>
    <x v="9"/>
    <x v="0"/>
    <n v="136"/>
  </r>
  <r>
    <x v="0"/>
    <x v="4"/>
    <x v="11"/>
    <x v="10"/>
    <x v="0"/>
    <n v="131.9"/>
  </r>
  <r>
    <x v="0"/>
    <x v="4"/>
    <x v="11"/>
    <x v="11"/>
    <x v="0"/>
    <n v="151.4"/>
  </r>
  <r>
    <x v="0"/>
    <x v="4"/>
    <x v="11"/>
    <x v="12"/>
    <x v="0"/>
    <n v="142.4"/>
  </r>
  <r>
    <x v="0"/>
    <x v="4"/>
    <x v="11"/>
    <x v="13"/>
    <x v="1"/>
    <n v="152.1"/>
  </r>
  <r>
    <x v="0"/>
    <x v="4"/>
    <x v="11"/>
    <x v="14"/>
    <x v="2"/>
    <n v="148.19999999999999"/>
  </r>
  <r>
    <x v="0"/>
    <x v="4"/>
    <x v="11"/>
    <x v="15"/>
    <x v="2"/>
    <n v="141.5"/>
  </r>
  <r>
    <x v="0"/>
    <x v="4"/>
    <x v="11"/>
    <x v="16"/>
    <x v="2"/>
    <n v="147.30000000000001"/>
  </r>
  <r>
    <x v="0"/>
    <x v="4"/>
    <x v="11"/>
    <x v="17"/>
    <x v="3"/>
    <s v="NA"/>
  </r>
  <r>
    <x v="0"/>
    <x v="4"/>
    <x v="11"/>
    <x v="18"/>
    <x v="4"/>
    <n v="141.1"/>
  </r>
  <r>
    <x v="0"/>
    <x v="4"/>
    <x v="11"/>
    <x v="19"/>
    <x v="5"/>
    <n v="139.4"/>
  </r>
  <r>
    <x v="0"/>
    <x v="4"/>
    <x v="11"/>
    <x v="20"/>
    <x v="6"/>
    <n v="135.80000000000001"/>
  </r>
  <r>
    <x v="0"/>
    <x v="4"/>
    <x v="11"/>
    <x v="21"/>
    <x v="7"/>
    <n v="121.6"/>
  </r>
  <r>
    <x v="0"/>
    <x v="4"/>
    <x v="11"/>
    <x v="22"/>
    <x v="8"/>
    <n v="133.69999999999999"/>
  </r>
  <r>
    <x v="0"/>
    <x v="4"/>
    <x v="11"/>
    <x v="23"/>
    <x v="9"/>
    <n v="141.5"/>
  </r>
  <r>
    <x v="0"/>
    <x v="4"/>
    <x v="11"/>
    <x v="24"/>
    <x v="8"/>
    <n v="128.1"/>
  </r>
  <r>
    <x v="0"/>
    <x v="4"/>
    <x v="11"/>
    <x v="25"/>
    <x v="5"/>
    <n v="131.69999999999999"/>
  </r>
  <r>
    <x v="0"/>
    <x v="4"/>
    <x v="11"/>
    <x v="26"/>
    <x v="10"/>
    <n v="140"/>
  </r>
  <r>
    <x v="1"/>
    <x v="4"/>
    <x v="11"/>
    <x v="0"/>
    <x v="0"/>
    <n v="134.30000000000001"/>
  </r>
  <r>
    <x v="1"/>
    <x v="4"/>
    <x v="11"/>
    <x v="1"/>
    <x v="0"/>
    <n v="142.1"/>
  </r>
  <r>
    <x v="1"/>
    <x v="4"/>
    <x v="11"/>
    <x v="2"/>
    <x v="0"/>
    <n v="146.69999999999999"/>
  </r>
  <r>
    <x v="1"/>
    <x v="4"/>
    <x v="11"/>
    <x v="3"/>
    <x v="0"/>
    <n v="139.5"/>
  </r>
  <r>
    <x v="1"/>
    <x v="4"/>
    <x v="11"/>
    <x v="4"/>
    <x v="0"/>
    <n v="115.2"/>
  </r>
  <r>
    <x v="1"/>
    <x v="4"/>
    <x v="11"/>
    <x v="5"/>
    <x v="0"/>
    <n v="136.4"/>
  </r>
  <r>
    <x v="1"/>
    <x v="4"/>
    <x v="11"/>
    <x v="6"/>
    <x v="0"/>
    <n v="185.2"/>
  </r>
  <r>
    <x v="1"/>
    <x v="4"/>
    <x v="11"/>
    <x v="7"/>
    <x v="0"/>
    <n v="122.2"/>
  </r>
  <r>
    <x v="1"/>
    <x v="4"/>
    <x v="11"/>
    <x v="8"/>
    <x v="0"/>
    <n v="123.9"/>
  </r>
  <r>
    <x v="1"/>
    <x v="4"/>
    <x v="11"/>
    <x v="9"/>
    <x v="0"/>
    <n v="138.30000000000001"/>
  </r>
  <r>
    <x v="1"/>
    <x v="4"/>
    <x v="11"/>
    <x v="10"/>
    <x v="0"/>
    <n v="125.4"/>
  </r>
  <r>
    <x v="1"/>
    <x v="4"/>
    <x v="11"/>
    <x v="11"/>
    <x v="0"/>
    <n v="146"/>
  </r>
  <r>
    <x v="1"/>
    <x v="4"/>
    <x v="11"/>
    <x v="12"/>
    <x v="0"/>
    <n v="141.5"/>
  </r>
  <r>
    <x v="1"/>
    <x v="4"/>
    <x v="11"/>
    <x v="13"/>
    <x v="1"/>
    <n v="156.19999999999999"/>
  </r>
  <r>
    <x v="1"/>
    <x v="4"/>
    <x v="11"/>
    <x v="14"/>
    <x v="2"/>
    <n v="135"/>
  </r>
  <r>
    <x v="1"/>
    <x v="4"/>
    <x v="11"/>
    <x v="15"/>
    <x v="2"/>
    <n v="125.4"/>
  </r>
  <r>
    <x v="1"/>
    <x v="4"/>
    <x v="11"/>
    <x v="16"/>
    <x v="2"/>
    <n v="133.5"/>
  </r>
  <r>
    <x v="1"/>
    <x v="4"/>
    <x v="11"/>
    <x v="17"/>
    <x v="3"/>
    <n v="138.6"/>
  </r>
  <r>
    <x v="1"/>
    <x v="4"/>
    <x v="11"/>
    <x v="18"/>
    <x v="4"/>
    <n v="125.7"/>
  </r>
  <r>
    <x v="1"/>
    <x v="4"/>
    <x v="11"/>
    <x v="19"/>
    <x v="5"/>
    <n v="128.80000000000001"/>
  </r>
  <r>
    <x v="1"/>
    <x v="4"/>
    <x v="11"/>
    <x v="20"/>
    <x v="6"/>
    <n v="127.4"/>
  </r>
  <r>
    <x v="1"/>
    <x v="4"/>
    <x v="11"/>
    <x v="21"/>
    <x v="7"/>
    <n v="115.3"/>
  </r>
  <r>
    <x v="1"/>
    <x v="4"/>
    <x v="11"/>
    <x v="22"/>
    <x v="8"/>
    <n v="125.1"/>
  </r>
  <r>
    <x v="1"/>
    <x v="4"/>
    <x v="11"/>
    <x v="23"/>
    <x v="9"/>
    <n v="136.6"/>
  </r>
  <r>
    <x v="1"/>
    <x v="4"/>
    <x v="11"/>
    <x v="24"/>
    <x v="8"/>
    <n v="124.9"/>
  </r>
  <r>
    <x v="1"/>
    <x v="4"/>
    <x v="11"/>
    <x v="25"/>
    <x v="5"/>
    <n v="124.9"/>
  </r>
  <r>
    <x v="1"/>
    <x v="4"/>
    <x v="11"/>
    <x v="26"/>
    <x v="10"/>
    <n v="134.80000000000001"/>
  </r>
  <r>
    <x v="2"/>
    <x v="4"/>
    <x v="11"/>
    <x v="0"/>
    <x v="0"/>
    <n v="135.69999999999999"/>
  </r>
  <r>
    <x v="2"/>
    <x v="4"/>
    <x v="11"/>
    <x v="1"/>
    <x v="0"/>
    <n v="142.4"/>
  </r>
  <r>
    <x v="2"/>
    <x v="4"/>
    <x v="11"/>
    <x v="2"/>
    <x v="0"/>
    <n v="142.9"/>
  </r>
  <r>
    <x v="2"/>
    <x v="4"/>
    <x v="11"/>
    <x v="3"/>
    <x v="0"/>
    <n v="140.80000000000001"/>
  </r>
  <r>
    <x v="2"/>
    <x v="4"/>
    <x v="11"/>
    <x v="4"/>
    <x v="0"/>
    <n v="119.2"/>
  </r>
  <r>
    <x v="2"/>
    <x v="4"/>
    <x v="11"/>
    <x v="5"/>
    <x v="0"/>
    <n v="142.19999999999999"/>
  </r>
  <r>
    <x v="2"/>
    <x v="4"/>
    <x v="11"/>
    <x v="6"/>
    <x v="0"/>
    <n v="173.8"/>
  </r>
  <r>
    <x v="2"/>
    <x v="4"/>
    <x v="11"/>
    <x v="7"/>
    <x v="0"/>
    <n v="131.19999999999999"/>
  </r>
  <r>
    <x v="2"/>
    <x v="4"/>
    <x v="11"/>
    <x v="8"/>
    <x v="0"/>
    <n v="123"/>
  </r>
  <r>
    <x v="2"/>
    <x v="4"/>
    <x v="11"/>
    <x v="9"/>
    <x v="0"/>
    <n v="136.80000000000001"/>
  </r>
  <r>
    <x v="2"/>
    <x v="4"/>
    <x v="11"/>
    <x v="10"/>
    <x v="0"/>
    <n v="129.19999999999999"/>
  </r>
  <r>
    <x v="2"/>
    <x v="4"/>
    <x v="11"/>
    <x v="11"/>
    <x v="0"/>
    <n v="148.9"/>
  </r>
  <r>
    <x v="2"/>
    <x v="4"/>
    <x v="11"/>
    <x v="12"/>
    <x v="0"/>
    <n v="142.1"/>
  </r>
  <r>
    <x v="2"/>
    <x v="4"/>
    <x v="11"/>
    <x v="13"/>
    <x v="1"/>
    <n v="153.19999999999999"/>
  </r>
  <r>
    <x v="2"/>
    <x v="4"/>
    <x v="11"/>
    <x v="14"/>
    <x v="2"/>
    <n v="143"/>
  </r>
  <r>
    <x v="2"/>
    <x v="4"/>
    <x v="11"/>
    <x v="15"/>
    <x v="2"/>
    <n v="134.80000000000001"/>
  </r>
  <r>
    <x v="2"/>
    <x v="4"/>
    <x v="11"/>
    <x v="16"/>
    <x v="2"/>
    <n v="141.80000000000001"/>
  </r>
  <r>
    <x v="2"/>
    <x v="4"/>
    <x v="11"/>
    <x v="17"/>
    <x v="3"/>
    <n v="138.6"/>
  </r>
  <r>
    <x v="2"/>
    <x v="4"/>
    <x v="11"/>
    <x v="18"/>
    <x v="4"/>
    <n v="135.30000000000001"/>
  </r>
  <r>
    <x v="2"/>
    <x v="4"/>
    <x v="11"/>
    <x v="19"/>
    <x v="5"/>
    <n v="134.4"/>
  </r>
  <r>
    <x v="2"/>
    <x v="4"/>
    <x v="11"/>
    <x v="20"/>
    <x v="6"/>
    <n v="132.6"/>
  </r>
  <r>
    <x v="2"/>
    <x v="4"/>
    <x v="11"/>
    <x v="21"/>
    <x v="7"/>
    <n v="118.3"/>
  </r>
  <r>
    <x v="2"/>
    <x v="4"/>
    <x v="11"/>
    <x v="22"/>
    <x v="8"/>
    <n v="128.9"/>
  </r>
  <r>
    <x v="2"/>
    <x v="4"/>
    <x v="11"/>
    <x v="23"/>
    <x v="9"/>
    <n v="138.6"/>
  </r>
  <r>
    <x v="2"/>
    <x v="4"/>
    <x v="11"/>
    <x v="24"/>
    <x v="8"/>
    <n v="126.8"/>
  </r>
  <r>
    <x v="2"/>
    <x v="4"/>
    <x v="11"/>
    <x v="25"/>
    <x v="5"/>
    <n v="128.4"/>
  </r>
  <r>
    <x v="2"/>
    <x v="4"/>
    <x v="11"/>
    <x v="26"/>
    <x v="10"/>
    <n v="137.6"/>
  </r>
  <r>
    <x v="0"/>
    <x v="4"/>
    <x v="12"/>
    <x v="0"/>
    <x v="0"/>
    <n v="136.4"/>
  </r>
  <r>
    <x v="0"/>
    <x v="4"/>
    <x v="12"/>
    <x v="1"/>
    <x v="0"/>
    <n v="143.69999999999999"/>
  </r>
  <r>
    <x v="0"/>
    <x v="4"/>
    <x v="12"/>
    <x v="2"/>
    <x v="0"/>
    <n v="144.80000000000001"/>
  </r>
  <r>
    <x v="0"/>
    <x v="4"/>
    <x v="12"/>
    <x v="3"/>
    <x v="0"/>
    <n v="141.9"/>
  </r>
  <r>
    <x v="0"/>
    <x v="4"/>
    <x v="12"/>
    <x v="4"/>
    <x v="0"/>
    <n v="123.1"/>
  </r>
  <r>
    <x v="0"/>
    <x v="4"/>
    <x v="12"/>
    <x v="5"/>
    <x v="0"/>
    <n v="147.19999999999999"/>
  </r>
  <r>
    <x v="0"/>
    <x v="4"/>
    <x v="12"/>
    <x v="6"/>
    <x v="0"/>
    <n v="161"/>
  </r>
  <r>
    <x v="0"/>
    <x v="4"/>
    <x v="12"/>
    <x v="7"/>
    <x v="0"/>
    <n v="133.80000000000001"/>
  </r>
  <r>
    <x v="0"/>
    <x v="4"/>
    <x v="12"/>
    <x v="8"/>
    <x v="0"/>
    <n v="121.9"/>
  </r>
  <r>
    <x v="0"/>
    <x v="4"/>
    <x v="12"/>
    <x v="9"/>
    <x v="0"/>
    <n v="135.80000000000001"/>
  </r>
  <r>
    <x v="0"/>
    <x v="4"/>
    <x v="12"/>
    <x v="10"/>
    <x v="0"/>
    <n v="131.1"/>
  </r>
  <r>
    <x v="0"/>
    <x v="4"/>
    <x v="12"/>
    <x v="11"/>
    <x v="0"/>
    <n v="151.4"/>
  </r>
  <r>
    <x v="0"/>
    <x v="4"/>
    <x v="12"/>
    <x v="12"/>
    <x v="0"/>
    <n v="141.5"/>
  </r>
  <r>
    <x v="0"/>
    <x v="4"/>
    <x v="12"/>
    <x v="13"/>
    <x v="1"/>
    <n v="153.19999999999999"/>
  </r>
  <r>
    <x v="0"/>
    <x v="4"/>
    <x v="12"/>
    <x v="14"/>
    <x v="2"/>
    <n v="148"/>
  </r>
  <r>
    <x v="0"/>
    <x v="4"/>
    <x v="12"/>
    <x v="15"/>
    <x v="2"/>
    <n v="141.9"/>
  </r>
  <r>
    <x v="0"/>
    <x v="4"/>
    <x v="12"/>
    <x v="16"/>
    <x v="2"/>
    <n v="147.19999999999999"/>
  </r>
  <r>
    <x v="0"/>
    <x v="4"/>
    <x v="12"/>
    <x v="17"/>
    <x v="3"/>
    <s v="NA"/>
  </r>
  <r>
    <x v="0"/>
    <x v="4"/>
    <x v="12"/>
    <x v="18"/>
    <x v="4"/>
    <n v="142.6"/>
  </r>
  <r>
    <x v="0"/>
    <x v="4"/>
    <x v="12"/>
    <x v="19"/>
    <x v="5"/>
    <n v="139.5"/>
  </r>
  <r>
    <x v="0"/>
    <x v="4"/>
    <x v="12"/>
    <x v="20"/>
    <x v="6"/>
    <n v="136.1"/>
  </r>
  <r>
    <x v="0"/>
    <x v="4"/>
    <x v="12"/>
    <x v="21"/>
    <x v="7"/>
    <n v="122"/>
  </r>
  <r>
    <x v="0"/>
    <x v="4"/>
    <x v="12"/>
    <x v="22"/>
    <x v="8"/>
    <n v="133.4"/>
  </r>
  <r>
    <x v="0"/>
    <x v="4"/>
    <x v="12"/>
    <x v="23"/>
    <x v="9"/>
    <n v="141.1"/>
  </r>
  <r>
    <x v="0"/>
    <x v="4"/>
    <x v="12"/>
    <x v="24"/>
    <x v="8"/>
    <n v="127.8"/>
  </r>
  <r>
    <x v="0"/>
    <x v="4"/>
    <x v="12"/>
    <x v="25"/>
    <x v="5"/>
    <n v="131.9"/>
  </r>
  <r>
    <x v="0"/>
    <x v="4"/>
    <x v="12"/>
    <x v="26"/>
    <x v="10"/>
    <n v="139.80000000000001"/>
  </r>
  <r>
    <x v="1"/>
    <x v="4"/>
    <x v="12"/>
    <x v="0"/>
    <x v="0"/>
    <n v="134.4"/>
  </r>
  <r>
    <x v="1"/>
    <x v="4"/>
    <x v="12"/>
    <x v="1"/>
    <x v="0"/>
    <n v="142.6"/>
  </r>
  <r>
    <x v="1"/>
    <x v="4"/>
    <x v="12"/>
    <x v="2"/>
    <x v="0"/>
    <n v="145.9"/>
  </r>
  <r>
    <x v="1"/>
    <x v="4"/>
    <x v="12"/>
    <x v="3"/>
    <x v="0"/>
    <n v="139.5"/>
  </r>
  <r>
    <x v="1"/>
    <x v="4"/>
    <x v="12"/>
    <x v="4"/>
    <x v="0"/>
    <n v="115.9"/>
  </r>
  <r>
    <x v="1"/>
    <x v="4"/>
    <x v="12"/>
    <x v="5"/>
    <x v="0"/>
    <n v="135"/>
  </r>
  <r>
    <x v="1"/>
    <x v="4"/>
    <x v="12"/>
    <x v="6"/>
    <x v="0"/>
    <n v="163.19999999999999"/>
  </r>
  <r>
    <x v="1"/>
    <x v="4"/>
    <x v="12"/>
    <x v="7"/>
    <x v="0"/>
    <n v="119.8"/>
  </r>
  <r>
    <x v="1"/>
    <x v="4"/>
    <x v="12"/>
    <x v="8"/>
    <x v="0"/>
    <n v="120.7"/>
  </r>
  <r>
    <x v="1"/>
    <x v="4"/>
    <x v="12"/>
    <x v="9"/>
    <x v="0"/>
    <n v="139.69999999999999"/>
  </r>
  <r>
    <x v="1"/>
    <x v="4"/>
    <x v="12"/>
    <x v="10"/>
    <x v="0"/>
    <n v="125.7"/>
  </r>
  <r>
    <x v="1"/>
    <x v="4"/>
    <x v="12"/>
    <x v="11"/>
    <x v="0"/>
    <n v="146.30000000000001"/>
  </r>
  <r>
    <x v="1"/>
    <x v="4"/>
    <x v="12"/>
    <x v="12"/>
    <x v="0"/>
    <n v="138.80000000000001"/>
  </r>
  <r>
    <x v="1"/>
    <x v="4"/>
    <x v="12"/>
    <x v="13"/>
    <x v="1"/>
    <n v="157"/>
  </r>
  <r>
    <x v="1"/>
    <x v="4"/>
    <x v="12"/>
    <x v="14"/>
    <x v="2"/>
    <n v="135.6"/>
  </r>
  <r>
    <x v="1"/>
    <x v="4"/>
    <x v="12"/>
    <x v="15"/>
    <x v="2"/>
    <n v="125.6"/>
  </r>
  <r>
    <x v="1"/>
    <x v="4"/>
    <x v="12"/>
    <x v="16"/>
    <x v="2"/>
    <n v="134"/>
  </r>
  <r>
    <x v="1"/>
    <x v="4"/>
    <x v="12"/>
    <x v="17"/>
    <x v="3"/>
    <n v="139.1"/>
  </r>
  <r>
    <x v="1"/>
    <x v="4"/>
    <x v="12"/>
    <x v="18"/>
    <x v="4"/>
    <n v="126.8"/>
  </r>
  <r>
    <x v="1"/>
    <x v="4"/>
    <x v="12"/>
    <x v="19"/>
    <x v="5"/>
    <n v="129.30000000000001"/>
  </r>
  <r>
    <x v="1"/>
    <x v="4"/>
    <x v="12"/>
    <x v="20"/>
    <x v="6"/>
    <n v="128.19999999999999"/>
  </r>
  <r>
    <x v="1"/>
    <x v="4"/>
    <x v="12"/>
    <x v="21"/>
    <x v="7"/>
    <n v="115.3"/>
  </r>
  <r>
    <x v="1"/>
    <x v="4"/>
    <x v="12"/>
    <x v="22"/>
    <x v="8"/>
    <n v="125.6"/>
  </r>
  <r>
    <x v="1"/>
    <x v="4"/>
    <x v="12"/>
    <x v="23"/>
    <x v="9"/>
    <n v="136.69999999999999"/>
  </r>
  <r>
    <x v="1"/>
    <x v="4"/>
    <x v="12"/>
    <x v="24"/>
    <x v="8"/>
    <n v="124.6"/>
  </r>
  <r>
    <x v="1"/>
    <x v="4"/>
    <x v="12"/>
    <x v="25"/>
    <x v="5"/>
    <n v="125.1"/>
  </r>
  <r>
    <x v="1"/>
    <x v="4"/>
    <x v="12"/>
    <x v="26"/>
    <x v="10"/>
    <n v="134.1"/>
  </r>
  <r>
    <x v="2"/>
    <x v="4"/>
    <x v="12"/>
    <x v="0"/>
    <x v="0"/>
    <n v="135.80000000000001"/>
  </r>
  <r>
    <x v="2"/>
    <x v="4"/>
    <x v="12"/>
    <x v="1"/>
    <x v="0"/>
    <n v="143.30000000000001"/>
  </r>
  <r>
    <x v="2"/>
    <x v="4"/>
    <x v="12"/>
    <x v="2"/>
    <x v="0"/>
    <n v="145.19999999999999"/>
  </r>
  <r>
    <x v="2"/>
    <x v="4"/>
    <x v="12"/>
    <x v="3"/>
    <x v="0"/>
    <n v="141"/>
  </r>
  <r>
    <x v="2"/>
    <x v="4"/>
    <x v="12"/>
    <x v="4"/>
    <x v="0"/>
    <n v="120.5"/>
  </r>
  <r>
    <x v="2"/>
    <x v="4"/>
    <x v="12"/>
    <x v="5"/>
    <x v="0"/>
    <n v="141.5"/>
  </r>
  <r>
    <x v="2"/>
    <x v="4"/>
    <x v="12"/>
    <x v="6"/>
    <x v="0"/>
    <n v="161.69999999999999"/>
  </r>
  <r>
    <x v="2"/>
    <x v="4"/>
    <x v="12"/>
    <x v="7"/>
    <x v="0"/>
    <n v="129.1"/>
  </r>
  <r>
    <x v="2"/>
    <x v="4"/>
    <x v="12"/>
    <x v="8"/>
    <x v="0"/>
    <n v="121.5"/>
  </r>
  <r>
    <x v="2"/>
    <x v="4"/>
    <x v="12"/>
    <x v="9"/>
    <x v="0"/>
    <n v="137.1"/>
  </r>
  <r>
    <x v="2"/>
    <x v="4"/>
    <x v="12"/>
    <x v="10"/>
    <x v="0"/>
    <n v="128.80000000000001"/>
  </r>
  <r>
    <x v="2"/>
    <x v="4"/>
    <x v="12"/>
    <x v="11"/>
    <x v="0"/>
    <n v="149"/>
  </r>
  <r>
    <x v="2"/>
    <x v="4"/>
    <x v="12"/>
    <x v="12"/>
    <x v="0"/>
    <n v="140.5"/>
  </r>
  <r>
    <x v="2"/>
    <x v="4"/>
    <x v="12"/>
    <x v="13"/>
    <x v="1"/>
    <n v="154.19999999999999"/>
  </r>
  <r>
    <x v="2"/>
    <x v="4"/>
    <x v="12"/>
    <x v="14"/>
    <x v="2"/>
    <n v="143.1"/>
  </r>
  <r>
    <x v="2"/>
    <x v="4"/>
    <x v="12"/>
    <x v="15"/>
    <x v="2"/>
    <n v="135.1"/>
  </r>
  <r>
    <x v="2"/>
    <x v="4"/>
    <x v="12"/>
    <x v="16"/>
    <x v="2"/>
    <n v="142"/>
  </r>
  <r>
    <x v="2"/>
    <x v="4"/>
    <x v="12"/>
    <x v="17"/>
    <x v="3"/>
    <n v="139.1"/>
  </r>
  <r>
    <x v="2"/>
    <x v="4"/>
    <x v="12"/>
    <x v="18"/>
    <x v="4"/>
    <n v="136.6"/>
  </r>
  <r>
    <x v="2"/>
    <x v="4"/>
    <x v="12"/>
    <x v="19"/>
    <x v="5"/>
    <n v="134.69999999999999"/>
  </r>
  <r>
    <x v="2"/>
    <x v="4"/>
    <x v="12"/>
    <x v="20"/>
    <x v="6"/>
    <n v="133.1"/>
  </r>
  <r>
    <x v="2"/>
    <x v="4"/>
    <x v="12"/>
    <x v="21"/>
    <x v="7"/>
    <n v="118.5"/>
  </r>
  <r>
    <x v="2"/>
    <x v="4"/>
    <x v="12"/>
    <x v="22"/>
    <x v="8"/>
    <n v="129"/>
  </r>
  <r>
    <x v="2"/>
    <x v="4"/>
    <x v="12"/>
    <x v="23"/>
    <x v="9"/>
    <n v="138.5"/>
  </r>
  <r>
    <x v="2"/>
    <x v="4"/>
    <x v="12"/>
    <x v="24"/>
    <x v="8"/>
    <n v="126.5"/>
  </r>
  <r>
    <x v="2"/>
    <x v="4"/>
    <x v="12"/>
    <x v="25"/>
    <x v="5"/>
    <n v="128.6"/>
  </r>
  <r>
    <x v="2"/>
    <x v="4"/>
    <x v="12"/>
    <x v="26"/>
    <x v="10"/>
    <n v="137.19999999999999"/>
  </r>
  <r>
    <x v="0"/>
    <x v="5"/>
    <x v="0"/>
    <x v="0"/>
    <x v="0"/>
    <n v="136.6"/>
  </r>
  <r>
    <x v="0"/>
    <x v="5"/>
    <x v="0"/>
    <x v="1"/>
    <x v="0"/>
    <n v="144.4"/>
  </r>
  <r>
    <x v="0"/>
    <x v="5"/>
    <x v="0"/>
    <x v="2"/>
    <x v="0"/>
    <n v="143.80000000000001"/>
  </r>
  <r>
    <x v="0"/>
    <x v="5"/>
    <x v="0"/>
    <x v="3"/>
    <x v="0"/>
    <n v="142"/>
  </r>
  <r>
    <x v="0"/>
    <x v="5"/>
    <x v="0"/>
    <x v="4"/>
    <x v="0"/>
    <n v="123.2"/>
  </r>
  <r>
    <x v="0"/>
    <x v="5"/>
    <x v="0"/>
    <x v="5"/>
    <x v="0"/>
    <n v="147.9"/>
  </r>
  <r>
    <x v="0"/>
    <x v="5"/>
    <x v="0"/>
    <x v="6"/>
    <x v="0"/>
    <n v="152.1"/>
  </r>
  <r>
    <x v="0"/>
    <x v="5"/>
    <x v="0"/>
    <x v="7"/>
    <x v="0"/>
    <n v="131.80000000000001"/>
  </r>
  <r>
    <x v="0"/>
    <x v="5"/>
    <x v="0"/>
    <x v="8"/>
    <x v="0"/>
    <n v="119.5"/>
  </r>
  <r>
    <x v="0"/>
    <x v="5"/>
    <x v="0"/>
    <x v="9"/>
    <x v="0"/>
    <n v="136"/>
  </r>
  <r>
    <x v="0"/>
    <x v="5"/>
    <x v="0"/>
    <x v="10"/>
    <x v="0"/>
    <n v="131.19999999999999"/>
  </r>
  <r>
    <x v="0"/>
    <x v="5"/>
    <x v="0"/>
    <x v="11"/>
    <x v="0"/>
    <n v="151.80000000000001"/>
  </r>
  <r>
    <x v="0"/>
    <x v="5"/>
    <x v="0"/>
    <x v="12"/>
    <x v="0"/>
    <n v="140.4"/>
  </r>
  <r>
    <x v="0"/>
    <x v="5"/>
    <x v="0"/>
    <x v="13"/>
    <x v="1"/>
    <n v="153.6"/>
  </r>
  <r>
    <x v="0"/>
    <x v="5"/>
    <x v="0"/>
    <x v="14"/>
    <x v="2"/>
    <n v="148.30000000000001"/>
  </r>
  <r>
    <x v="0"/>
    <x v="5"/>
    <x v="0"/>
    <x v="15"/>
    <x v="2"/>
    <n v="142.30000000000001"/>
  </r>
  <r>
    <x v="0"/>
    <x v="5"/>
    <x v="0"/>
    <x v="16"/>
    <x v="2"/>
    <n v="147.5"/>
  </r>
  <r>
    <x v="0"/>
    <x v="5"/>
    <x v="0"/>
    <x v="17"/>
    <x v="3"/>
    <s v="NA"/>
  </r>
  <r>
    <x v="0"/>
    <x v="5"/>
    <x v="0"/>
    <x v="18"/>
    <x v="4"/>
    <n v="142.30000000000001"/>
  </r>
  <r>
    <x v="0"/>
    <x v="5"/>
    <x v="0"/>
    <x v="19"/>
    <x v="5"/>
    <n v="139.80000000000001"/>
  </r>
  <r>
    <x v="0"/>
    <x v="5"/>
    <x v="0"/>
    <x v="20"/>
    <x v="6"/>
    <n v="136"/>
  </r>
  <r>
    <x v="0"/>
    <x v="5"/>
    <x v="0"/>
    <x v="21"/>
    <x v="7"/>
    <n v="122.7"/>
  </r>
  <r>
    <x v="0"/>
    <x v="5"/>
    <x v="0"/>
    <x v="22"/>
    <x v="8"/>
    <n v="134.30000000000001"/>
  </r>
  <r>
    <x v="0"/>
    <x v="5"/>
    <x v="0"/>
    <x v="23"/>
    <x v="9"/>
    <n v="141.6"/>
  </r>
  <r>
    <x v="0"/>
    <x v="5"/>
    <x v="0"/>
    <x v="24"/>
    <x v="8"/>
    <n v="128.6"/>
  </r>
  <r>
    <x v="0"/>
    <x v="5"/>
    <x v="0"/>
    <x v="25"/>
    <x v="5"/>
    <n v="132.30000000000001"/>
  </r>
  <r>
    <x v="0"/>
    <x v="5"/>
    <x v="0"/>
    <x v="26"/>
    <x v="10"/>
    <n v="139.30000000000001"/>
  </r>
  <r>
    <x v="1"/>
    <x v="5"/>
    <x v="0"/>
    <x v="0"/>
    <x v="0"/>
    <n v="134.6"/>
  </r>
  <r>
    <x v="1"/>
    <x v="5"/>
    <x v="0"/>
    <x v="1"/>
    <x v="0"/>
    <n v="143.69999999999999"/>
  </r>
  <r>
    <x v="1"/>
    <x v="5"/>
    <x v="0"/>
    <x v="2"/>
    <x v="0"/>
    <n v="143.6"/>
  </r>
  <r>
    <x v="1"/>
    <x v="5"/>
    <x v="0"/>
    <x v="3"/>
    <x v="0"/>
    <n v="139.6"/>
  </r>
  <r>
    <x v="1"/>
    <x v="5"/>
    <x v="0"/>
    <x v="4"/>
    <x v="0"/>
    <n v="116.4"/>
  </r>
  <r>
    <x v="1"/>
    <x v="5"/>
    <x v="0"/>
    <x v="5"/>
    <x v="0"/>
    <n v="133.80000000000001"/>
  </r>
  <r>
    <x v="1"/>
    <x v="5"/>
    <x v="0"/>
    <x v="6"/>
    <x v="0"/>
    <n v="150.5"/>
  </r>
  <r>
    <x v="1"/>
    <x v="5"/>
    <x v="0"/>
    <x v="7"/>
    <x v="0"/>
    <n v="118.4"/>
  </r>
  <r>
    <x v="1"/>
    <x v="5"/>
    <x v="0"/>
    <x v="8"/>
    <x v="0"/>
    <n v="117.3"/>
  </r>
  <r>
    <x v="1"/>
    <x v="5"/>
    <x v="0"/>
    <x v="9"/>
    <x v="0"/>
    <n v="140.5"/>
  </r>
  <r>
    <x v="1"/>
    <x v="5"/>
    <x v="0"/>
    <x v="10"/>
    <x v="0"/>
    <n v="125.9"/>
  </r>
  <r>
    <x v="1"/>
    <x v="5"/>
    <x v="0"/>
    <x v="11"/>
    <x v="0"/>
    <n v="146.80000000000001"/>
  </r>
  <r>
    <x v="1"/>
    <x v="5"/>
    <x v="0"/>
    <x v="12"/>
    <x v="0"/>
    <n v="137.19999999999999"/>
  </r>
  <r>
    <x v="1"/>
    <x v="5"/>
    <x v="0"/>
    <x v="13"/>
    <x v="1"/>
    <n v="157.69999999999999"/>
  </r>
  <r>
    <x v="1"/>
    <x v="5"/>
    <x v="0"/>
    <x v="14"/>
    <x v="2"/>
    <n v="136"/>
  </r>
  <r>
    <x v="1"/>
    <x v="5"/>
    <x v="0"/>
    <x v="15"/>
    <x v="2"/>
    <n v="125.9"/>
  </r>
  <r>
    <x v="1"/>
    <x v="5"/>
    <x v="0"/>
    <x v="16"/>
    <x v="2"/>
    <n v="134.4"/>
  </r>
  <r>
    <x v="1"/>
    <x v="5"/>
    <x v="0"/>
    <x v="17"/>
    <x v="3"/>
    <n v="140.4"/>
  </r>
  <r>
    <x v="1"/>
    <x v="5"/>
    <x v="0"/>
    <x v="18"/>
    <x v="4"/>
    <n v="127.3"/>
  </r>
  <r>
    <x v="1"/>
    <x v="5"/>
    <x v="0"/>
    <x v="19"/>
    <x v="5"/>
    <n v="129.5"/>
  </r>
  <r>
    <x v="1"/>
    <x v="5"/>
    <x v="0"/>
    <x v="20"/>
    <x v="6"/>
    <n v="129"/>
  </r>
  <r>
    <x v="1"/>
    <x v="5"/>
    <x v="0"/>
    <x v="21"/>
    <x v="7"/>
    <n v="116.3"/>
  </r>
  <r>
    <x v="1"/>
    <x v="5"/>
    <x v="0"/>
    <x v="22"/>
    <x v="8"/>
    <n v="126.2"/>
  </r>
  <r>
    <x v="1"/>
    <x v="5"/>
    <x v="0"/>
    <x v="23"/>
    <x v="9"/>
    <n v="137.1"/>
  </r>
  <r>
    <x v="1"/>
    <x v="5"/>
    <x v="0"/>
    <x v="24"/>
    <x v="8"/>
    <n v="125.5"/>
  </r>
  <r>
    <x v="1"/>
    <x v="5"/>
    <x v="0"/>
    <x v="25"/>
    <x v="5"/>
    <n v="125.8"/>
  </r>
  <r>
    <x v="1"/>
    <x v="5"/>
    <x v="0"/>
    <x v="26"/>
    <x v="10"/>
    <n v="134.1"/>
  </r>
  <r>
    <x v="2"/>
    <x v="5"/>
    <x v="0"/>
    <x v="0"/>
    <x v="0"/>
    <n v="136"/>
  </r>
  <r>
    <x v="2"/>
    <x v="5"/>
    <x v="0"/>
    <x v="1"/>
    <x v="0"/>
    <n v="144.19999999999999"/>
  </r>
  <r>
    <x v="2"/>
    <x v="5"/>
    <x v="0"/>
    <x v="2"/>
    <x v="0"/>
    <n v="143.69999999999999"/>
  </r>
  <r>
    <x v="2"/>
    <x v="5"/>
    <x v="0"/>
    <x v="3"/>
    <x v="0"/>
    <n v="141.1"/>
  </r>
  <r>
    <x v="2"/>
    <x v="5"/>
    <x v="0"/>
    <x v="4"/>
    <x v="0"/>
    <n v="120.7"/>
  </r>
  <r>
    <x v="2"/>
    <x v="5"/>
    <x v="0"/>
    <x v="5"/>
    <x v="0"/>
    <n v="141.30000000000001"/>
  </r>
  <r>
    <x v="2"/>
    <x v="5"/>
    <x v="0"/>
    <x v="6"/>
    <x v="0"/>
    <n v="151.6"/>
  </r>
  <r>
    <x v="2"/>
    <x v="5"/>
    <x v="0"/>
    <x v="7"/>
    <x v="0"/>
    <n v="127.3"/>
  </r>
  <r>
    <x v="2"/>
    <x v="5"/>
    <x v="0"/>
    <x v="8"/>
    <x v="0"/>
    <n v="118.8"/>
  </r>
  <r>
    <x v="2"/>
    <x v="5"/>
    <x v="0"/>
    <x v="9"/>
    <x v="0"/>
    <n v="137.5"/>
  </r>
  <r>
    <x v="2"/>
    <x v="5"/>
    <x v="0"/>
    <x v="10"/>
    <x v="0"/>
    <n v="129"/>
  </r>
  <r>
    <x v="2"/>
    <x v="5"/>
    <x v="0"/>
    <x v="11"/>
    <x v="0"/>
    <n v="149.5"/>
  </r>
  <r>
    <x v="2"/>
    <x v="5"/>
    <x v="0"/>
    <x v="12"/>
    <x v="0"/>
    <n v="139.19999999999999"/>
  </r>
  <r>
    <x v="2"/>
    <x v="5"/>
    <x v="0"/>
    <x v="13"/>
    <x v="1"/>
    <n v="154.69999999999999"/>
  </r>
  <r>
    <x v="2"/>
    <x v="5"/>
    <x v="0"/>
    <x v="14"/>
    <x v="2"/>
    <n v="143.5"/>
  </r>
  <r>
    <x v="2"/>
    <x v="5"/>
    <x v="0"/>
    <x v="15"/>
    <x v="2"/>
    <n v="135.5"/>
  </r>
  <r>
    <x v="2"/>
    <x v="5"/>
    <x v="0"/>
    <x v="16"/>
    <x v="2"/>
    <n v="142.30000000000001"/>
  </r>
  <r>
    <x v="2"/>
    <x v="5"/>
    <x v="0"/>
    <x v="17"/>
    <x v="3"/>
    <n v="140.4"/>
  </r>
  <r>
    <x v="2"/>
    <x v="5"/>
    <x v="0"/>
    <x v="18"/>
    <x v="4"/>
    <n v="136.6"/>
  </r>
  <r>
    <x v="2"/>
    <x v="5"/>
    <x v="0"/>
    <x v="19"/>
    <x v="5"/>
    <n v="134.9"/>
  </r>
  <r>
    <x v="2"/>
    <x v="5"/>
    <x v="0"/>
    <x v="20"/>
    <x v="6"/>
    <n v="133.30000000000001"/>
  </r>
  <r>
    <x v="2"/>
    <x v="5"/>
    <x v="0"/>
    <x v="21"/>
    <x v="7"/>
    <n v="119.3"/>
  </r>
  <r>
    <x v="2"/>
    <x v="5"/>
    <x v="0"/>
    <x v="22"/>
    <x v="8"/>
    <n v="129.69999999999999"/>
  </r>
  <r>
    <x v="2"/>
    <x v="5"/>
    <x v="0"/>
    <x v="23"/>
    <x v="9"/>
    <n v="139"/>
  </r>
  <r>
    <x v="2"/>
    <x v="5"/>
    <x v="0"/>
    <x v="24"/>
    <x v="8"/>
    <n v="127.3"/>
  </r>
  <r>
    <x v="2"/>
    <x v="5"/>
    <x v="0"/>
    <x v="25"/>
    <x v="5"/>
    <n v="129.1"/>
  </r>
  <r>
    <x v="2"/>
    <x v="5"/>
    <x v="0"/>
    <x v="26"/>
    <x v="10"/>
    <n v="136.9"/>
  </r>
  <r>
    <x v="0"/>
    <x v="5"/>
    <x v="1"/>
    <x v="0"/>
    <x v="0"/>
    <n v="136.4"/>
  </r>
  <r>
    <x v="0"/>
    <x v="5"/>
    <x v="1"/>
    <x v="1"/>
    <x v="0"/>
    <n v="143.69999999999999"/>
  </r>
  <r>
    <x v="0"/>
    <x v="5"/>
    <x v="1"/>
    <x v="2"/>
    <x v="0"/>
    <n v="140.6"/>
  </r>
  <r>
    <x v="0"/>
    <x v="5"/>
    <x v="1"/>
    <x v="3"/>
    <x v="0"/>
    <n v="141.5"/>
  </r>
  <r>
    <x v="0"/>
    <x v="5"/>
    <x v="1"/>
    <x v="4"/>
    <x v="0"/>
    <n v="122.9"/>
  </r>
  <r>
    <x v="0"/>
    <x v="5"/>
    <x v="1"/>
    <x v="5"/>
    <x v="0"/>
    <n v="149.4"/>
  </r>
  <r>
    <x v="0"/>
    <x v="5"/>
    <x v="1"/>
    <x v="6"/>
    <x v="0"/>
    <n v="142.4"/>
  </r>
  <r>
    <x v="0"/>
    <x v="5"/>
    <x v="1"/>
    <x v="7"/>
    <x v="0"/>
    <n v="130.19999999999999"/>
  </r>
  <r>
    <x v="0"/>
    <x v="5"/>
    <x v="1"/>
    <x v="8"/>
    <x v="0"/>
    <n v="117.9"/>
  </r>
  <r>
    <x v="0"/>
    <x v="5"/>
    <x v="1"/>
    <x v="9"/>
    <x v="0"/>
    <n v="135.6"/>
  </r>
  <r>
    <x v="0"/>
    <x v="5"/>
    <x v="1"/>
    <x v="10"/>
    <x v="0"/>
    <n v="130.5"/>
  </r>
  <r>
    <x v="0"/>
    <x v="5"/>
    <x v="1"/>
    <x v="11"/>
    <x v="0"/>
    <n v="151.69999999999999"/>
  </r>
  <r>
    <x v="0"/>
    <x v="5"/>
    <x v="1"/>
    <x v="12"/>
    <x v="0"/>
    <n v="138.69999999999999"/>
  </r>
  <r>
    <x v="0"/>
    <x v="5"/>
    <x v="1"/>
    <x v="13"/>
    <x v="1"/>
    <n v="153.30000000000001"/>
  </r>
  <r>
    <x v="0"/>
    <x v="5"/>
    <x v="1"/>
    <x v="14"/>
    <x v="2"/>
    <n v="148.69999999999999"/>
  </r>
  <r>
    <x v="0"/>
    <x v="5"/>
    <x v="1"/>
    <x v="15"/>
    <x v="2"/>
    <n v="142.4"/>
  </r>
  <r>
    <x v="0"/>
    <x v="5"/>
    <x v="1"/>
    <x v="16"/>
    <x v="2"/>
    <n v="147.80000000000001"/>
  </r>
  <r>
    <x v="0"/>
    <x v="5"/>
    <x v="1"/>
    <x v="17"/>
    <x v="3"/>
    <s v="NA"/>
  </r>
  <r>
    <x v="0"/>
    <x v="5"/>
    <x v="1"/>
    <x v="18"/>
    <x v="4"/>
    <n v="142.4"/>
  </r>
  <r>
    <x v="0"/>
    <x v="5"/>
    <x v="1"/>
    <x v="19"/>
    <x v="5"/>
    <n v="139.9"/>
  </r>
  <r>
    <x v="0"/>
    <x v="5"/>
    <x v="1"/>
    <x v="20"/>
    <x v="6"/>
    <n v="136.19999999999999"/>
  </r>
  <r>
    <x v="0"/>
    <x v="5"/>
    <x v="1"/>
    <x v="21"/>
    <x v="7"/>
    <n v="123.3"/>
  </r>
  <r>
    <x v="0"/>
    <x v="5"/>
    <x v="1"/>
    <x v="22"/>
    <x v="8"/>
    <n v="134.30000000000001"/>
  </r>
  <r>
    <x v="0"/>
    <x v="5"/>
    <x v="1"/>
    <x v="23"/>
    <x v="9"/>
    <n v="141.5"/>
  </r>
  <r>
    <x v="0"/>
    <x v="5"/>
    <x v="1"/>
    <x v="24"/>
    <x v="8"/>
    <n v="128.80000000000001"/>
  </r>
  <r>
    <x v="0"/>
    <x v="5"/>
    <x v="1"/>
    <x v="25"/>
    <x v="5"/>
    <n v="132.5"/>
  </r>
  <r>
    <x v="0"/>
    <x v="5"/>
    <x v="1"/>
    <x v="26"/>
    <x v="10"/>
    <n v="138.5"/>
  </r>
  <r>
    <x v="1"/>
    <x v="5"/>
    <x v="1"/>
    <x v="0"/>
    <x v="0"/>
    <n v="134.80000000000001"/>
  </r>
  <r>
    <x v="1"/>
    <x v="5"/>
    <x v="1"/>
    <x v="1"/>
    <x v="0"/>
    <n v="143"/>
  </r>
  <r>
    <x v="1"/>
    <x v="5"/>
    <x v="1"/>
    <x v="2"/>
    <x v="0"/>
    <n v="139.9"/>
  </r>
  <r>
    <x v="1"/>
    <x v="5"/>
    <x v="1"/>
    <x v="3"/>
    <x v="0"/>
    <n v="139.9"/>
  </r>
  <r>
    <x v="1"/>
    <x v="5"/>
    <x v="1"/>
    <x v="4"/>
    <x v="0"/>
    <n v="116.2"/>
  </r>
  <r>
    <x v="1"/>
    <x v="5"/>
    <x v="1"/>
    <x v="5"/>
    <x v="0"/>
    <n v="135.5"/>
  </r>
  <r>
    <x v="1"/>
    <x v="5"/>
    <x v="1"/>
    <x v="6"/>
    <x v="0"/>
    <n v="136.9"/>
  </r>
  <r>
    <x v="1"/>
    <x v="5"/>
    <x v="1"/>
    <x v="7"/>
    <x v="0"/>
    <n v="117"/>
  </r>
  <r>
    <x v="1"/>
    <x v="5"/>
    <x v="1"/>
    <x v="8"/>
    <x v="0"/>
    <n v="115.4"/>
  </r>
  <r>
    <x v="1"/>
    <x v="5"/>
    <x v="1"/>
    <x v="9"/>
    <x v="0"/>
    <n v="140.69999999999999"/>
  </r>
  <r>
    <x v="1"/>
    <x v="5"/>
    <x v="1"/>
    <x v="10"/>
    <x v="0"/>
    <n v="125.9"/>
  </r>
  <r>
    <x v="1"/>
    <x v="5"/>
    <x v="1"/>
    <x v="11"/>
    <x v="0"/>
    <n v="147.1"/>
  </r>
  <r>
    <x v="1"/>
    <x v="5"/>
    <x v="1"/>
    <x v="12"/>
    <x v="0"/>
    <n v="135.6"/>
  </r>
  <r>
    <x v="1"/>
    <x v="5"/>
    <x v="1"/>
    <x v="13"/>
    <x v="1"/>
    <n v="159.30000000000001"/>
  </r>
  <r>
    <x v="1"/>
    <x v="5"/>
    <x v="1"/>
    <x v="14"/>
    <x v="2"/>
    <n v="136.30000000000001"/>
  </r>
  <r>
    <x v="1"/>
    <x v="5"/>
    <x v="1"/>
    <x v="15"/>
    <x v="2"/>
    <n v="126.1"/>
  </r>
  <r>
    <x v="1"/>
    <x v="5"/>
    <x v="1"/>
    <x v="16"/>
    <x v="2"/>
    <n v="134.69999999999999"/>
  </r>
  <r>
    <x v="1"/>
    <x v="5"/>
    <x v="1"/>
    <x v="17"/>
    <x v="3"/>
    <n v="141.30000000000001"/>
  </r>
  <r>
    <x v="1"/>
    <x v="5"/>
    <x v="1"/>
    <x v="18"/>
    <x v="4"/>
    <n v="127.3"/>
  </r>
  <r>
    <x v="1"/>
    <x v="5"/>
    <x v="1"/>
    <x v="19"/>
    <x v="5"/>
    <n v="129.9"/>
  </r>
  <r>
    <x v="1"/>
    <x v="5"/>
    <x v="1"/>
    <x v="20"/>
    <x v="6"/>
    <n v="129.80000000000001"/>
  </r>
  <r>
    <x v="1"/>
    <x v="5"/>
    <x v="1"/>
    <x v="21"/>
    <x v="7"/>
    <n v="117.4"/>
  </r>
  <r>
    <x v="1"/>
    <x v="5"/>
    <x v="1"/>
    <x v="22"/>
    <x v="8"/>
    <n v="126.5"/>
  </r>
  <r>
    <x v="1"/>
    <x v="5"/>
    <x v="1"/>
    <x v="23"/>
    <x v="9"/>
    <n v="137.19999999999999"/>
  </r>
  <r>
    <x v="1"/>
    <x v="5"/>
    <x v="1"/>
    <x v="24"/>
    <x v="8"/>
    <n v="126.2"/>
  </r>
  <r>
    <x v="1"/>
    <x v="5"/>
    <x v="1"/>
    <x v="25"/>
    <x v="5"/>
    <n v="126.5"/>
  </r>
  <r>
    <x v="1"/>
    <x v="5"/>
    <x v="1"/>
    <x v="26"/>
    <x v="10"/>
    <n v="134"/>
  </r>
  <r>
    <x v="2"/>
    <x v="5"/>
    <x v="1"/>
    <x v="0"/>
    <x v="0"/>
    <n v="135.9"/>
  </r>
  <r>
    <x v="2"/>
    <x v="5"/>
    <x v="1"/>
    <x v="1"/>
    <x v="0"/>
    <n v="143.5"/>
  </r>
  <r>
    <x v="2"/>
    <x v="5"/>
    <x v="1"/>
    <x v="2"/>
    <x v="0"/>
    <n v="140.30000000000001"/>
  </r>
  <r>
    <x v="2"/>
    <x v="5"/>
    <x v="1"/>
    <x v="3"/>
    <x v="0"/>
    <n v="140.9"/>
  </r>
  <r>
    <x v="2"/>
    <x v="5"/>
    <x v="1"/>
    <x v="4"/>
    <x v="0"/>
    <n v="120.4"/>
  </r>
  <r>
    <x v="2"/>
    <x v="5"/>
    <x v="1"/>
    <x v="5"/>
    <x v="0"/>
    <n v="142.9"/>
  </r>
  <r>
    <x v="2"/>
    <x v="5"/>
    <x v="1"/>
    <x v="6"/>
    <x v="0"/>
    <n v="140.5"/>
  </r>
  <r>
    <x v="2"/>
    <x v="5"/>
    <x v="1"/>
    <x v="7"/>
    <x v="0"/>
    <n v="125.8"/>
  </r>
  <r>
    <x v="2"/>
    <x v="5"/>
    <x v="1"/>
    <x v="8"/>
    <x v="0"/>
    <n v="117.1"/>
  </r>
  <r>
    <x v="2"/>
    <x v="5"/>
    <x v="1"/>
    <x v="9"/>
    <x v="0"/>
    <n v="137.30000000000001"/>
  </r>
  <r>
    <x v="2"/>
    <x v="5"/>
    <x v="1"/>
    <x v="10"/>
    <x v="0"/>
    <n v="128.6"/>
  </r>
  <r>
    <x v="2"/>
    <x v="5"/>
    <x v="1"/>
    <x v="11"/>
    <x v="0"/>
    <n v="149.6"/>
  </r>
  <r>
    <x v="2"/>
    <x v="5"/>
    <x v="1"/>
    <x v="12"/>
    <x v="0"/>
    <n v="137.6"/>
  </r>
  <r>
    <x v="2"/>
    <x v="5"/>
    <x v="1"/>
    <x v="13"/>
    <x v="1"/>
    <n v="154.9"/>
  </r>
  <r>
    <x v="2"/>
    <x v="5"/>
    <x v="1"/>
    <x v="14"/>
    <x v="2"/>
    <n v="143.80000000000001"/>
  </r>
  <r>
    <x v="2"/>
    <x v="5"/>
    <x v="1"/>
    <x v="15"/>
    <x v="2"/>
    <n v="135.6"/>
  </r>
  <r>
    <x v="2"/>
    <x v="5"/>
    <x v="1"/>
    <x v="16"/>
    <x v="2"/>
    <n v="142.6"/>
  </r>
  <r>
    <x v="2"/>
    <x v="5"/>
    <x v="1"/>
    <x v="17"/>
    <x v="3"/>
    <n v="141.30000000000001"/>
  </r>
  <r>
    <x v="2"/>
    <x v="5"/>
    <x v="1"/>
    <x v="18"/>
    <x v="4"/>
    <n v="136.69999999999999"/>
  </r>
  <r>
    <x v="2"/>
    <x v="5"/>
    <x v="1"/>
    <x v="19"/>
    <x v="5"/>
    <n v="135.19999999999999"/>
  </r>
  <r>
    <x v="2"/>
    <x v="5"/>
    <x v="1"/>
    <x v="20"/>
    <x v="6"/>
    <n v="133.80000000000001"/>
  </r>
  <r>
    <x v="2"/>
    <x v="5"/>
    <x v="1"/>
    <x v="21"/>
    <x v="7"/>
    <n v="120.2"/>
  </r>
  <r>
    <x v="2"/>
    <x v="5"/>
    <x v="1"/>
    <x v="22"/>
    <x v="8"/>
    <n v="129.9"/>
  </r>
  <r>
    <x v="2"/>
    <x v="5"/>
    <x v="1"/>
    <x v="23"/>
    <x v="9"/>
    <n v="139"/>
  </r>
  <r>
    <x v="2"/>
    <x v="5"/>
    <x v="1"/>
    <x v="24"/>
    <x v="8"/>
    <n v="127.7"/>
  </r>
  <r>
    <x v="2"/>
    <x v="5"/>
    <x v="1"/>
    <x v="25"/>
    <x v="5"/>
    <n v="129.6"/>
  </r>
  <r>
    <x v="2"/>
    <x v="5"/>
    <x v="1"/>
    <x v="26"/>
    <x v="10"/>
    <n v="136.4"/>
  </r>
  <r>
    <x v="0"/>
    <x v="5"/>
    <x v="2"/>
    <x v="0"/>
    <x v="0"/>
    <n v="136.80000000000001"/>
  </r>
  <r>
    <x v="0"/>
    <x v="5"/>
    <x v="2"/>
    <x v="1"/>
    <x v="0"/>
    <n v="143.80000000000001"/>
  </r>
  <r>
    <x v="0"/>
    <x v="5"/>
    <x v="2"/>
    <x v="2"/>
    <x v="0"/>
    <n v="140"/>
  </r>
  <r>
    <x v="0"/>
    <x v="5"/>
    <x v="2"/>
    <x v="3"/>
    <x v="0"/>
    <n v="142"/>
  </r>
  <r>
    <x v="0"/>
    <x v="5"/>
    <x v="2"/>
    <x v="4"/>
    <x v="0"/>
    <n v="123.2"/>
  </r>
  <r>
    <x v="0"/>
    <x v="5"/>
    <x v="2"/>
    <x v="5"/>
    <x v="0"/>
    <n v="152.9"/>
  </r>
  <r>
    <x v="0"/>
    <x v="5"/>
    <x v="2"/>
    <x v="6"/>
    <x v="0"/>
    <n v="138"/>
  </r>
  <r>
    <x v="0"/>
    <x v="5"/>
    <x v="2"/>
    <x v="7"/>
    <x v="0"/>
    <n v="129.30000000000001"/>
  </r>
  <r>
    <x v="0"/>
    <x v="5"/>
    <x v="2"/>
    <x v="8"/>
    <x v="0"/>
    <n v="117.1"/>
  </r>
  <r>
    <x v="0"/>
    <x v="5"/>
    <x v="2"/>
    <x v="9"/>
    <x v="0"/>
    <n v="136.30000000000001"/>
  </r>
  <r>
    <x v="0"/>
    <x v="5"/>
    <x v="2"/>
    <x v="10"/>
    <x v="0"/>
    <n v="131.19999999999999"/>
  </r>
  <r>
    <x v="0"/>
    <x v="5"/>
    <x v="2"/>
    <x v="11"/>
    <x v="0"/>
    <n v="152.80000000000001"/>
  </r>
  <r>
    <x v="0"/>
    <x v="5"/>
    <x v="2"/>
    <x v="12"/>
    <x v="0"/>
    <n v="138.6"/>
  </r>
  <r>
    <x v="0"/>
    <x v="5"/>
    <x v="2"/>
    <x v="13"/>
    <x v="1"/>
    <n v="155.1"/>
  </r>
  <r>
    <x v="0"/>
    <x v="5"/>
    <x v="2"/>
    <x v="14"/>
    <x v="2"/>
    <n v="149.19999999999999"/>
  </r>
  <r>
    <x v="0"/>
    <x v="5"/>
    <x v="2"/>
    <x v="15"/>
    <x v="2"/>
    <n v="143"/>
  </r>
  <r>
    <x v="0"/>
    <x v="5"/>
    <x v="2"/>
    <x v="16"/>
    <x v="2"/>
    <n v="148.30000000000001"/>
  </r>
  <r>
    <x v="0"/>
    <x v="5"/>
    <x v="2"/>
    <x v="17"/>
    <x v="3"/>
    <s v="NA"/>
  </r>
  <r>
    <x v="0"/>
    <x v="5"/>
    <x v="2"/>
    <x v="18"/>
    <x v="4"/>
    <n v="142.6"/>
  </r>
  <r>
    <x v="0"/>
    <x v="5"/>
    <x v="2"/>
    <x v="19"/>
    <x v="5"/>
    <n v="139.9"/>
  </r>
  <r>
    <x v="0"/>
    <x v="5"/>
    <x v="2"/>
    <x v="20"/>
    <x v="6"/>
    <n v="136.69999999999999"/>
  </r>
  <r>
    <x v="0"/>
    <x v="5"/>
    <x v="2"/>
    <x v="21"/>
    <x v="7"/>
    <n v="124.6"/>
  </r>
  <r>
    <x v="0"/>
    <x v="5"/>
    <x v="2"/>
    <x v="22"/>
    <x v="8"/>
    <n v="135.1"/>
  </r>
  <r>
    <x v="0"/>
    <x v="5"/>
    <x v="2"/>
    <x v="23"/>
    <x v="9"/>
    <n v="142.69999999999999"/>
  </r>
  <r>
    <x v="0"/>
    <x v="5"/>
    <x v="2"/>
    <x v="24"/>
    <x v="8"/>
    <n v="129.30000000000001"/>
  </r>
  <r>
    <x v="0"/>
    <x v="5"/>
    <x v="2"/>
    <x v="25"/>
    <x v="5"/>
    <n v="133.30000000000001"/>
  </r>
  <r>
    <x v="0"/>
    <x v="5"/>
    <x v="2"/>
    <x v="26"/>
    <x v="10"/>
    <n v="138.69999999999999"/>
  </r>
  <r>
    <x v="1"/>
    <x v="5"/>
    <x v="2"/>
    <x v="0"/>
    <x v="0"/>
    <n v="135"/>
  </r>
  <r>
    <x v="1"/>
    <x v="5"/>
    <x v="2"/>
    <x v="1"/>
    <x v="0"/>
    <n v="143.1"/>
  </r>
  <r>
    <x v="1"/>
    <x v="5"/>
    <x v="2"/>
    <x v="2"/>
    <x v="0"/>
    <n v="135.5"/>
  </r>
  <r>
    <x v="1"/>
    <x v="5"/>
    <x v="2"/>
    <x v="3"/>
    <x v="0"/>
    <n v="139.9"/>
  </r>
  <r>
    <x v="1"/>
    <x v="5"/>
    <x v="2"/>
    <x v="4"/>
    <x v="0"/>
    <n v="116.5"/>
  </r>
  <r>
    <x v="1"/>
    <x v="5"/>
    <x v="2"/>
    <x v="5"/>
    <x v="0"/>
    <n v="138.5"/>
  </r>
  <r>
    <x v="1"/>
    <x v="5"/>
    <x v="2"/>
    <x v="6"/>
    <x v="0"/>
    <n v="128"/>
  </r>
  <r>
    <x v="1"/>
    <x v="5"/>
    <x v="2"/>
    <x v="7"/>
    <x v="0"/>
    <n v="115.5"/>
  </r>
  <r>
    <x v="1"/>
    <x v="5"/>
    <x v="2"/>
    <x v="8"/>
    <x v="0"/>
    <n v="114.2"/>
  </r>
  <r>
    <x v="1"/>
    <x v="5"/>
    <x v="2"/>
    <x v="9"/>
    <x v="0"/>
    <n v="140.69999999999999"/>
  </r>
  <r>
    <x v="1"/>
    <x v="5"/>
    <x v="2"/>
    <x v="10"/>
    <x v="0"/>
    <n v="126.2"/>
  </r>
  <r>
    <x v="1"/>
    <x v="5"/>
    <x v="2"/>
    <x v="11"/>
    <x v="0"/>
    <n v="147.6"/>
  </r>
  <r>
    <x v="1"/>
    <x v="5"/>
    <x v="2"/>
    <x v="12"/>
    <x v="0"/>
    <n v="134.80000000000001"/>
  </r>
  <r>
    <x v="1"/>
    <x v="5"/>
    <x v="2"/>
    <x v="13"/>
    <x v="1"/>
    <n v="159.69999999999999"/>
  </r>
  <r>
    <x v="1"/>
    <x v="5"/>
    <x v="2"/>
    <x v="14"/>
    <x v="2"/>
    <n v="136.69999999999999"/>
  </r>
  <r>
    <x v="1"/>
    <x v="5"/>
    <x v="2"/>
    <x v="15"/>
    <x v="2"/>
    <n v="126.7"/>
  </r>
  <r>
    <x v="1"/>
    <x v="5"/>
    <x v="2"/>
    <x v="16"/>
    <x v="2"/>
    <n v="135.19999999999999"/>
  </r>
  <r>
    <x v="1"/>
    <x v="5"/>
    <x v="2"/>
    <x v="17"/>
    <x v="3"/>
    <n v="142"/>
  </r>
  <r>
    <x v="1"/>
    <x v="5"/>
    <x v="2"/>
    <x v="18"/>
    <x v="4"/>
    <n v="126.4"/>
  </r>
  <r>
    <x v="1"/>
    <x v="5"/>
    <x v="2"/>
    <x v="19"/>
    <x v="5"/>
    <n v="130.80000000000001"/>
  </r>
  <r>
    <x v="1"/>
    <x v="5"/>
    <x v="2"/>
    <x v="20"/>
    <x v="6"/>
    <n v="130.5"/>
  </r>
  <r>
    <x v="1"/>
    <x v="5"/>
    <x v="2"/>
    <x v="21"/>
    <x v="7"/>
    <n v="117.8"/>
  </r>
  <r>
    <x v="1"/>
    <x v="5"/>
    <x v="2"/>
    <x v="22"/>
    <x v="8"/>
    <n v="126.8"/>
  </r>
  <r>
    <x v="1"/>
    <x v="5"/>
    <x v="2"/>
    <x v="23"/>
    <x v="9"/>
    <n v="137.80000000000001"/>
  </r>
  <r>
    <x v="1"/>
    <x v="5"/>
    <x v="2"/>
    <x v="24"/>
    <x v="8"/>
    <n v="126.7"/>
  </r>
  <r>
    <x v="1"/>
    <x v="5"/>
    <x v="2"/>
    <x v="25"/>
    <x v="5"/>
    <n v="127.1"/>
  </r>
  <r>
    <x v="1"/>
    <x v="5"/>
    <x v="2"/>
    <x v="26"/>
    <x v="10"/>
    <n v="134"/>
  </r>
  <r>
    <x v="2"/>
    <x v="5"/>
    <x v="2"/>
    <x v="0"/>
    <x v="0"/>
    <n v="136.19999999999999"/>
  </r>
  <r>
    <x v="2"/>
    <x v="5"/>
    <x v="2"/>
    <x v="1"/>
    <x v="0"/>
    <n v="143.6"/>
  </r>
  <r>
    <x v="2"/>
    <x v="5"/>
    <x v="2"/>
    <x v="2"/>
    <x v="0"/>
    <n v="138.30000000000001"/>
  </r>
  <r>
    <x v="2"/>
    <x v="5"/>
    <x v="2"/>
    <x v="3"/>
    <x v="0"/>
    <n v="141.19999999999999"/>
  </r>
  <r>
    <x v="2"/>
    <x v="5"/>
    <x v="2"/>
    <x v="4"/>
    <x v="0"/>
    <n v="120.7"/>
  </r>
  <r>
    <x v="2"/>
    <x v="5"/>
    <x v="2"/>
    <x v="5"/>
    <x v="0"/>
    <n v="146.19999999999999"/>
  </r>
  <r>
    <x v="2"/>
    <x v="5"/>
    <x v="2"/>
    <x v="6"/>
    <x v="0"/>
    <n v="134.6"/>
  </r>
  <r>
    <x v="2"/>
    <x v="5"/>
    <x v="2"/>
    <x v="7"/>
    <x v="0"/>
    <n v="124.6"/>
  </r>
  <r>
    <x v="2"/>
    <x v="5"/>
    <x v="2"/>
    <x v="8"/>
    <x v="0"/>
    <n v="116.1"/>
  </r>
  <r>
    <x v="2"/>
    <x v="5"/>
    <x v="2"/>
    <x v="9"/>
    <x v="0"/>
    <n v="137.80000000000001"/>
  </r>
  <r>
    <x v="2"/>
    <x v="5"/>
    <x v="2"/>
    <x v="10"/>
    <x v="0"/>
    <n v="129.1"/>
  </r>
  <r>
    <x v="2"/>
    <x v="5"/>
    <x v="2"/>
    <x v="11"/>
    <x v="0"/>
    <n v="150.4"/>
  </r>
  <r>
    <x v="2"/>
    <x v="5"/>
    <x v="2"/>
    <x v="12"/>
    <x v="0"/>
    <n v="137.19999999999999"/>
  </r>
  <r>
    <x v="2"/>
    <x v="5"/>
    <x v="2"/>
    <x v="13"/>
    <x v="1"/>
    <n v="156.30000000000001"/>
  </r>
  <r>
    <x v="2"/>
    <x v="5"/>
    <x v="2"/>
    <x v="14"/>
    <x v="2"/>
    <n v="144.30000000000001"/>
  </r>
  <r>
    <x v="2"/>
    <x v="5"/>
    <x v="2"/>
    <x v="15"/>
    <x v="2"/>
    <n v="136.19999999999999"/>
  </r>
  <r>
    <x v="2"/>
    <x v="5"/>
    <x v="2"/>
    <x v="16"/>
    <x v="2"/>
    <n v="143.1"/>
  </r>
  <r>
    <x v="2"/>
    <x v="5"/>
    <x v="2"/>
    <x v="17"/>
    <x v="3"/>
    <n v="142"/>
  </r>
  <r>
    <x v="2"/>
    <x v="5"/>
    <x v="2"/>
    <x v="18"/>
    <x v="4"/>
    <n v="136.5"/>
  </r>
  <r>
    <x v="2"/>
    <x v="5"/>
    <x v="2"/>
    <x v="19"/>
    <x v="5"/>
    <n v="135.6"/>
  </r>
  <r>
    <x v="2"/>
    <x v="5"/>
    <x v="2"/>
    <x v="20"/>
    <x v="6"/>
    <n v="134.30000000000001"/>
  </r>
  <r>
    <x v="2"/>
    <x v="5"/>
    <x v="2"/>
    <x v="21"/>
    <x v="7"/>
    <n v="121"/>
  </r>
  <r>
    <x v="2"/>
    <x v="5"/>
    <x v="2"/>
    <x v="22"/>
    <x v="8"/>
    <n v="130.4"/>
  </r>
  <r>
    <x v="2"/>
    <x v="5"/>
    <x v="2"/>
    <x v="23"/>
    <x v="9"/>
    <n v="139.80000000000001"/>
  </r>
  <r>
    <x v="2"/>
    <x v="5"/>
    <x v="2"/>
    <x v="24"/>
    <x v="8"/>
    <n v="128.19999999999999"/>
  </r>
  <r>
    <x v="2"/>
    <x v="5"/>
    <x v="2"/>
    <x v="25"/>
    <x v="5"/>
    <n v="130.30000000000001"/>
  </r>
  <r>
    <x v="2"/>
    <x v="5"/>
    <x v="2"/>
    <x v="26"/>
    <x v="10"/>
    <n v="136.5"/>
  </r>
  <r>
    <x v="0"/>
    <x v="5"/>
    <x v="3"/>
    <x v="0"/>
    <x v="0"/>
    <n v="137.1"/>
  </r>
  <r>
    <x v="0"/>
    <x v="5"/>
    <x v="3"/>
    <x v="1"/>
    <x v="0"/>
    <n v="144.5"/>
  </r>
  <r>
    <x v="0"/>
    <x v="5"/>
    <x v="3"/>
    <x v="2"/>
    <x v="0"/>
    <n v="135.9"/>
  </r>
  <r>
    <x v="0"/>
    <x v="5"/>
    <x v="3"/>
    <x v="3"/>
    <x v="0"/>
    <n v="142.4"/>
  </r>
  <r>
    <x v="0"/>
    <x v="5"/>
    <x v="3"/>
    <x v="4"/>
    <x v="0"/>
    <n v="123.5"/>
  </r>
  <r>
    <x v="0"/>
    <x v="5"/>
    <x v="3"/>
    <x v="5"/>
    <x v="0"/>
    <n v="156.4"/>
  </r>
  <r>
    <x v="0"/>
    <x v="5"/>
    <x v="3"/>
    <x v="6"/>
    <x v="0"/>
    <n v="135.1"/>
  </r>
  <r>
    <x v="0"/>
    <x v="5"/>
    <x v="3"/>
    <x v="7"/>
    <x v="0"/>
    <n v="128.4"/>
  </r>
  <r>
    <x v="0"/>
    <x v="5"/>
    <x v="3"/>
    <x v="8"/>
    <x v="0"/>
    <n v="115.2"/>
  </r>
  <r>
    <x v="0"/>
    <x v="5"/>
    <x v="3"/>
    <x v="9"/>
    <x v="0"/>
    <n v="137.19999999999999"/>
  </r>
  <r>
    <x v="0"/>
    <x v="5"/>
    <x v="3"/>
    <x v="10"/>
    <x v="0"/>
    <n v="131.9"/>
  </r>
  <r>
    <x v="0"/>
    <x v="5"/>
    <x v="3"/>
    <x v="11"/>
    <x v="0"/>
    <n v="153.80000000000001"/>
  </r>
  <r>
    <x v="0"/>
    <x v="5"/>
    <x v="3"/>
    <x v="12"/>
    <x v="0"/>
    <n v="138.6"/>
  </r>
  <r>
    <x v="0"/>
    <x v="5"/>
    <x v="3"/>
    <x v="13"/>
    <x v="1"/>
    <n v="156.1"/>
  </r>
  <r>
    <x v="0"/>
    <x v="5"/>
    <x v="3"/>
    <x v="14"/>
    <x v="2"/>
    <n v="150.1"/>
  </r>
  <r>
    <x v="0"/>
    <x v="5"/>
    <x v="3"/>
    <x v="15"/>
    <x v="2"/>
    <n v="143.30000000000001"/>
  </r>
  <r>
    <x v="0"/>
    <x v="5"/>
    <x v="3"/>
    <x v="16"/>
    <x v="2"/>
    <n v="149.1"/>
  </r>
  <r>
    <x v="0"/>
    <x v="5"/>
    <x v="3"/>
    <x v="17"/>
    <x v="3"/>
    <s v="NA"/>
  </r>
  <r>
    <x v="0"/>
    <x v="5"/>
    <x v="3"/>
    <x v="18"/>
    <x v="4"/>
    <n v="143.80000000000001"/>
  </r>
  <r>
    <x v="0"/>
    <x v="5"/>
    <x v="3"/>
    <x v="19"/>
    <x v="5"/>
    <n v="140.9"/>
  </r>
  <r>
    <x v="0"/>
    <x v="5"/>
    <x v="3"/>
    <x v="20"/>
    <x v="6"/>
    <n v="137.6"/>
  </r>
  <r>
    <x v="0"/>
    <x v="5"/>
    <x v="3"/>
    <x v="21"/>
    <x v="7"/>
    <n v="125.3"/>
  </r>
  <r>
    <x v="0"/>
    <x v="5"/>
    <x v="3"/>
    <x v="22"/>
    <x v="8"/>
    <n v="136"/>
  </r>
  <r>
    <x v="0"/>
    <x v="5"/>
    <x v="3"/>
    <x v="23"/>
    <x v="9"/>
    <n v="143.69999999999999"/>
  </r>
  <r>
    <x v="0"/>
    <x v="5"/>
    <x v="3"/>
    <x v="24"/>
    <x v="8"/>
    <n v="130.4"/>
  </r>
  <r>
    <x v="0"/>
    <x v="5"/>
    <x v="3"/>
    <x v="25"/>
    <x v="5"/>
    <n v="134.19999999999999"/>
  </r>
  <r>
    <x v="0"/>
    <x v="5"/>
    <x v="3"/>
    <x v="26"/>
    <x v="10"/>
    <n v="139.1"/>
  </r>
  <r>
    <x v="1"/>
    <x v="5"/>
    <x v="3"/>
    <x v="0"/>
    <x v="0"/>
    <n v="135"/>
  </r>
  <r>
    <x v="1"/>
    <x v="5"/>
    <x v="3"/>
    <x v="1"/>
    <x v="0"/>
    <n v="144.30000000000001"/>
  </r>
  <r>
    <x v="1"/>
    <x v="5"/>
    <x v="3"/>
    <x v="2"/>
    <x v="0"/>
    <n v="130.80000000000001"/>
  </r>
  <r>
    <x v="1"/>
    <x v="5"/>
    <x v="3"/>
    <x v="3"/>
    <x v="0"/>
    <n v="140.30000000000001"/>
  </r>
  <r>
    <x v="1"/>
    <x v="5"/>
    <x v="3"/>
    <x v="4"/>
    <x v="0"/>
    <n v="116.6"/>
  </r>
  <r>
    <x v="1"/>
    <x v="5"/>
    <x v="3"/>
    <x v="5"/>
    <x v="0"/>
    <n v="150.1"/>
  </r>
  <r>
    <x v="1"/>
    <x v="5"/>
    <x v="3"/>
    <x v="6"/>
    <x v="0"/>
    <n v="127.6"/>
  </r>
  <r>
    <x v="1"/>
    <x v="5"/>
    <x v="3"/>
    <x v="7"/>
    <x v="0"/>
    <n v="114"/>
  </r>
  <r>
    <x v="1"/>
    <x v="5"/>
    <x v="3"/>
    <x v="8"/>
    <x v="0"/>
    <n v="110.6"/>
  </r>
  <r>
    <x v="1"/>
    <x v="5"/>
    <x v="3"/>
    <x v="9"/>
    <x v="0"/>
    <n v="140.19999999999999"/>
  </r>
  <r>
    <x v="1"/>
    <x v="5"/>
    <x v="3"/>
    <x v="10"/>
    <x v="0"/>
    <n v="126.5"/>
  </r>
  <r>
    <x v="1"/>
    <x v="5"/>
    <x v="3"/>
    <x v="11"/>
    <x v="0"/>
    <n v="148.30000000000001"/>
  </r>
  <r>
    <x v="1"/>
    <x v="5"/>
    <x v="3"/>
    <x v="12"/>
    <x v="0"/>
    <n v="135.69999999999999"/>
  </r>
  <r>
    <x v="1"/>
    <x v="5"/>
    <x v="3"/>
    <x v="13"/>
    <x v="1"/>
    <n v="159.19999999999999"/>
  </r>
  <r>
    <x v="1"/>
    <x v="5"/>
    <x v="3"/>
    <x v="14"/>
    <x v="2"/>
    <n v="137.80000000000001"/>
  </r>
  <r>
    <x v="1"/>
    <x v="5"/>
    <x v="3"/>
    <x v="15"/>
    <x v="2"/>
    <n v="127.4"/>
  </r>
  <r>
    <x v="1"/>
    <x v="5"/>
    <x v="3"/>
    <x v="16"/>
    <x v="2"/>
    <n v="136.19999999999999"/>
  </r>
  <r>
    <x v="1"/>
    <x v="5"/>
    <x v="3"/>
    <x v="17"/>
    <x v="3"/>
    <n v="142.9"/>
  </r>
  <r>
    <x v="1"/>
    <x v="5"/>
    <x v="3"/>
    <x v="18"/>
    <x v="4"/>
    <n v="124.6"/>
  </r>
  <r>
    <x v="1"/>
    <x v="5"/>
    <x v="3"/>
    <x v="19"/>
    <x v="5"/>
    <n v="131.80000000000001"/>
  </r>
  <r>
    <x v="1"/>
    <x v="5"/>
    <x v="3"/>
    <x v="20"/>
    <x v="6"/>
    <n v="131.30000000000001"/>
  </r>
  <r>
    <x v="1"/>
    <x v="5"/>
    <x v="3"/>
    <x v="21"/>
    <x v="7"/>
    <n v="118.9"/>
  </r>
  <r>
    <x v="1"/>
    <x v="5"/>
    <x v="3"/>
    <x v="22"/>
    <x v="8"/>
    <n v="127.6"/>
  </r>
  <r>
    <x v="1"/>
    <x v="5"/>
    <x v="3"/>
    <x v="23"/>
    <x v="9"/>
    <n v="139.69999999999999"/>
  </r>
  <r>
    <x v="1"/>
    <x v="5"/>
    <x v="3"/>
    <x v="24"/>
    <x v="8"/>
    <n v="127.6"/>
  </r>
  <r>
    <x v="1"/>
    <x v="5"/>
    <x v="3"/>
    <x v="25"/>
    <x v="5"/>
    <n v="128.19999999999999"/>
  </r>
  <r>
    <x v="1"/>
    <x v="5"/>
    <x v="3"/>
    <x v="26"/>
    <x v="10"/>
    <n v="134.80000000000001"/>
  </r>
  <r>
    <x v="2"/>
    <x v="5"/>
    <x v="3"/>
    <x v="0"/>
    <x v="0"/>
    <n v="136.4"/>
  </r>
  <r>
    <x v="2"/>
    <x v="5"/>
    <x v="3"/>
    <x v="1"/>
    <x v="0"/>
    <n v="144.4"/>
  </r>
  <r>
    <x v="2"/>
    <x v="5"/>
    <x v="3"/>
    <x v="2"/>
    <x v="0"/>
    <n v="133.9"/>
  </r>
  <r>
    <x v="2"/>
    <x v="5"/>
    <x v="3"/>
    <x v="3"/>
    <x v="0"/>
    <n v="141.6"/>
  </r>
  <r>
    <x v="2"/>
    <x v="5"/>
    <x v="3"/>
    <x v="4"/>
    <x v="0"/>
    <n v="121"/>
  </r>
  <r>
    <x v="2"/>
    <x v="5"/>
    <x v="3"/>
    <x v="5"/>
    <x v="0"/>
    <n v="153.5"/>
  </r>
  <r>
    <x v="2"/>
    <x v="5"/>
    <x v="3"/>
    <x v="6"/>
    <x v="0"/>
    <n v="132.6"/>
  </r>
  <r>
    <x v="2"/>
    <x v="5"/>
    <x v="3"/>
    <x v="7"/>
    <x v="0"/>
    <n v="123.5"/>
  </r>
  <r>
    <x v="2"/>
    <x v="5"/>
    <x v="3"/>
    <x v="8"/>
    <x v="0"/>
    <n v="113.7"/>
  </r>
  <r>
    <x v="2"/>
    <x v="5"/>
    <x v="3"/>
    <x v="9"/>
    <x v="0"/>
    <n v="138.19999999999999"/>
  </r>
  <r>
    <x v="2"/>
    <x v="5"/>
    <x v="3"/>
    <x v="10"/>
    <x v="0"/>
    <n v="129.6"/>
  </r>
  <r>
    <x v="2"/>
    <x v="5"/>
    <x v="3"/>
    <x v="11"/>
    <x v="0"/>
    <n v="151.19999999999999"/>
  </r>
  <r>
    <x v="2"/>
    <x v="5"/>
    <x v="3"/>
    <x v="12"/>
    <x v="0"/>
    <n v="137.5"/>
  </r>
  <r>
    <x v="2"/>
    <x v="5"/>
    <x v="3"/>
    <x v="13"/>
    <x v="1"/>
    <n v="156.9"/>
  </r>
  <r>
    <x v="2"/>
    <x v="5"/>
    <x v="3"/>
    <x v="14"/>
    <x v="2"/>
    <n v="145.30000000000001"/>
  </r>
  <r>
    <x v="2"/>
    <x v="5"/>
    <x v="3"/>
    <x v="15"/>
    <x v="2"/>
    <n v="136.69999999999999"/>
  </r>
  <r>
    <x v="2"/>
    <x v="5"/>
    <x v="3"/>
    <x v="16"/>
    <x v="2"/>
    <n v="144"/>
  </r>
  <r>
    <x v="2"/>
    <x v="5"/>
    <x v="3"/>
    <x v="17"/>
    <x v="3"/>
    <n v="142.9"/>
  </r>
  <r>
    <x v="2"/>
    <x v="5"/>
    <x v="3"/>
    <x v="18"/>
    <x v="4"/>
    <n v="136.5"/>
  </r>
  <r>
    <x v="2"/>
    <x v="5"/>
    <x v="3"/>
    <x v="19"/>
    <x v="5"/>
    <n v="136.6"/>
  </r>
  <r>
    <x v="2"/>
    <x v="5"/>
    <x v="3"/>
    <x v="20"/>
    <x v="6"/>
    <n v="135.19999999999999"/>
  </r>
  <r>
    <x v="2"/>
    <x v="5"/>
    <x v="3"/>
    <x v="21"/>
    <x v="7"/>
    <n v="121.9"/>
  </r>
  <r>
    <x v="2"/>
    <x v="5"/>
    <x v="3"/>
    <x v="22"/>
    <x v="8"/>
    <n v="131.30000000000001"/>
  </r>
  <r>
    <x v="2"/>
    <x v="5"/>
    <x v="3"/>
    <x v="23"/>
    <x v="9"/>
    <n v="141.4"/>
  </r>
  <r>
    <x v="2"/>
    <x v="5"/>
    <x v="3"/>
    <x v="24"/>
    <x v="8"/>
    <n v="129.19999999999999"/>
  </r>
  <r>
    <x v="2"/>
    <x v="5"/>
    <x v="3"/>
    <x v="25"/>
    <x v="5"/>
    <n v="131.30000000000001"/>
  </r>
  <r>
    <x v="2"/>
    <x v="5"/>
    <x v="3"/>
    <x v="26"/>
    <x v="10"/>
    <n v="137.1"/>
  </r>
  <r>
    <x v="0"/>
    <x v="5"/>
    <x v="4"/>
    <x v="0"/>
    <x v="0"/>
    <n v="137.4"/>
  </r>
  <r>
    <x v="0"/>
    <x v="5"/>
    <x v="4"/>
    <x v="1"/>
    <x v="0"/>
    <n v="145.69999999999999"/>
  </r>
  <r>
    <x v="0"/>
    <x v="5"/>
    <x v="4"/>
    <x v="2"/>
    <x v="0"/>
    <n v="135.5"/>
  </r>
  <r>
    <x v="0"/>
    <x v="5"/>
    <x v="4"/>
    <x v="3"/>
    <x v="0"/>
    <n v="142.9"/>
  </r>
  <r>
    <x v="0"/>
    <x v="5"/>
    <x v="4"/>
    <x v="4"/>
    <x v="0"/>
    <n v="123.6"/>
  </r>
  <r>
    <x v="0"/>
    <x v="5"/>
    <x v="4"/>
    <x v="5"/>
    <x v="0"/>
    <n v="157.5"/>
  </r>
  <r>
    <x v="0"/>
    <x v="5"/>
    <x v="4"/>
    <x v="6"/>
    <x v="0"/>
    <n v="137.80000000000001"/>
  </r>
  <r>
    <x v="0"/>
    <x v="5"/>
    <x v="4"/>
    <x v="7"/>
    <x v="0"/>
    <n v="127.2"/>
  </r>
  <r>
    <x v="0"/>
    <x v="5"/>
    <x v="4"/>
    <x v="8"/>
    <x v="0"/>
    <n v="111.8"/>
  </r>
  <r>
    <x v="0"/>
    <x v="5"/>
    <x v="4"/>
    <x v="9"/>
    <x v="0"/>
    <n v="137.4"/>
  </r>
  <r>
    <x v="0"/>
    <x v="5"/>
    <x v="4"/>
    <x v="10"/>
    <x v="0"/>
    <n v="132.19999999999999"/>
  </r>
  <r>
    <x v="0"/>
    <x v="5"/>
    <x v="4"/>
    <x v="11"/>
    <x v="0"/>
    <n v="154.30000000000001"/>
  </r>
  <r>
    <x v="0"/>
    <x v="5"/>
    <x v="4"/>
    <x v="12"/>
    <x v="0"/>
    <n v="139.1"/>
  </r>
  <r>
    <x v="0"/>
    <x v="5"/>
    <x v="4"/>
    <x v="13"/>
    <x v="1"/>
    <n v="157"/>
  </r>
  <r>
    <x v="0"/>
    <x v="5"/>
    <x v="4"/>
    <x v="14"/>
    <x v="2"/>
    <n v="150.80000000000001"/>
  </r>
  <r>
    <x v="0"/>
    <x v="5"/>
    <x v="4"/>
    <x v="15"/>
    <x v="2"/>
    <n v="144.1"/>
  </r>
  <r>
    <x v="0"/>
    <x v="5"/>
    <x v="4"/>
    <x v="16"/>
    <x v="2"/>
    <n v="149.80000000000001"/>
  </r>
  <r>
    <x v="0"/>
    <x v="5"/>
    <x v="4"/>
    <x v="17"/>
    <x v="3"/>
    <s v="NA"/>
  </r>
  <r>
    <x v="0"/>
    <x v="5"/>
    <x v="4"/>
    <x v="18"/>
    <x v="4"/>
    <n v="144.30000000000001"/>
  </r>
  <r>
    <x v="0"/>
    <x v="5"/>
    <x v="4"/>
    <x v="19"/>
    <x v="5"/>
    <n v="141.80000000000001"/>
  </r>
  <r>
    <x v="0"/>
    <x v="5"/>
    <x v="4"/>
    <x v="20"/>
    <x v="6"/>
    <n v="138.4"/>
  </r>
  <r>
    <x v="0"/>
    <x v="5"/>
    <x v="4"/>
    <x v="21"/>
    <x v="7"/>
    <n v="126.4"/>
  </r>
  <r>
    <x v="0"/>
    <x v="5"/>
    <x v="4"/>
    <x v="22"/>
    <x v="8"/>
    <n v="136.80000000000001"/>
  </r>
  <r>
    <x v="0"/>
    <x v="5"/>
    <x v="4"/>
    <x v="23"/>
    <x v="9"/>
    <n v="144.4"/>
  </r>
  <r>
    <x v="0"/>
    <x v="5"/>
    <x v="4"/>
    <x v="24"/>
    <x v="8"/>
    <n v="131.19999999999999"/>
  </r>
  <r>
    <x v="0"/>
    <x v="5"/>
    <x v="4"/>
    <x v="25"/>
    <x v="5"/>
    <n v="135.1"/>
  </r>
  <r>
    <x v="0"/>
    <x v="5"/>
    <x v="4"/>
    <x v="26"/>
    <x v="10"/>
    <n v="139.80000000000001"/>
  </r>
  <r>
    <x v="1"/>
    <x v="5"/>
    <x v="4"/>
    <x v="0"/>
    <x v="0"/>
    <n v="135"/>
  </r>
  <r>
    <x v="1"/>
    <x v="5"/>
    <x v="4"/>
    <x v="1"/>
    <x v="0"/>
    <n v="148.19999999999999"/>
  </r>
  <r>
    <x v="1"/>
    <x v="5"/>
    <x v="4"/>
    <x v="2"/>
    <x v="0"/>
    <n v="130.5"/>
  </r>
  <r>
    <x v="1"/>
    <x v="5"/>
    <x v="4"/>
    <x v="3"/>
    <x v="0"/>
    <n v="140.69999999999999"/>
  </r>
  <r>
    <x v="1"/>
    <x v="5"/>
    <x v="4"/>
    <x v="4"/>
    <x v="0"/>
    <n v="116.4"/>
  </r>
  <r>
    <x v="1"/>
    <x v="5"/>
    <x v="4"/>
    <x v="5"/>
    <x v="0"/>
    <n v="151.30000000000001"/>
  </r>
  <r>
    <x v="1"/>
    <x v="5"/>
    <x v="4"/>
    <x v="6"/>
    <x v="0"/>
    <n v="131.4"/>
  </r>
  <r>
    <x v="1"/>
    <x v="5"/>
    <x v="4"/>
    <x v="7"/>
    <x v="0"/>
    <n v="112.8"/>
  </r>
  <r>
    <x v="1"/>
    <x v="5"/>
    <x v="4"/>
    <x v="8"/>
    <x v="0"/>
    <n v="105.3"/>
  </r>
  <r>
    <x v="1"/>
    <x v="5"/>
    <x v="4"/>
    <x v="9"/>
    <x v="0"/>
    <n v="139.6"/>
  </r>
  <r>
    <x v="1"/>
    <x v="5"/>
    <x v="4"/>
    <x v="10"/>
    <x v="0"/>
    <n v="126.6"/>
  </r>
  <r>
    <x v="1"/>
    <x v="5"/>
    <x v="4"/>
    <x v="11"/>
    <x v="0"/>
    <n v="148.69999999999999"/>
  </r>
  <r>
    <x v="1"/>
    <x v="5"/>
    <x v="4"/>
    <x v="12"/>
    <x v="0"/>
    <n v="136.4"/>
  </r>
  <r>
    <x v="1"/>
    <x v="5"/>
    <x v="4"/>
    <x v="13"/>
    <x v="1"/>
    <n v="160.30000000000001"/>
  </r>
  <r>
    <x v="1"/>
    <x v="5"/>
    <x v="4"/>
    <x v="14"/>
    <x v="2"/>
    <n v="138.6"/>
  </r>
  <r>
    <x v="1"/>
    <x v="5"/>
    <x v="4"/>
    <x v="15"/>
    <x v="2"/>
    <n v="127.9"/>
  </r>
  <r>
    <x v="1"/>
    <x v="5"/>
    <x v="4"/>
    <x v="16"/>
    <x v="2"/>
    <n v="137"/>
  </r>
  <r>
    <x v="1"/>
    <x v="5"/>
    <x v="4"/>
    <x v="17"/>
    <x v="3"/>
    <n v="143.19999999999999"/>
  </r>
  <r>
    <x v="1"/>
    <x v="5"/>
    <x v="4"/>
    <x v="18"/>
    <x v="4"/>
    <n v="124.7"/>
  </r>
  <r>
    <x v="1"/>
    <x v="5"/>
    <x v="4"/>
    <x v="19"/>
    <x v="5"/>
    <n v="132.5"/>
  </r>
  <r>
    <x v="1"/>
    <x v="5"/>
    <x v="4"/>
    <x v="20"/>
    <x v="6"/>
    <n v="132"/>
  </r>
  <r>
    <x v="1"/>
    <x v="5"/>
    <x v="4"/>
    <x v="21"/>
    <x v="7"/>
    <n v="119.8"/>
  </r>
  <r>
    <x v="1"/>
    <x v="5"/>
    <x v="4"/>
    <x v="22"/>
    <x v="8"/>
    <n v="128"/>
  </r>
  <r>
    <x v="1"/>
    <x v="5"/>
    <x v="4"/>
    <x v="23"/>
    <x v="9"/>
    <n v="140.4"/>
  </r>
  <r>
    <x v="1"/>
    <x v="5"/>
    <x v="4"/>
    <x v="24"/>
    <x v="8"/>
    <n v="128.1"/>
  </r>
  <r>
    <x v="1"/>
    <x v="5"/>
    <x v="4"/>
    <x v="25"/>
    <x v="5"/>
    <n v="128.9"/>
  </r>
  <r>
    <x v="1"/>
    <x v="5"/>
    <x v="4"/>
    <x v="26"/>
    <x v="10"/>
    <n v="135.4"/>
  </r>
  <r>
    <x v="2"/>
    <x v="5"/>
    <x v="4"/>
    <x v="0"/>
    <x v="0"/>
    <n v="136.6"/>
  </r>
  <r>
    <x v="2"/>
    <x v="5"/>
    <x v="4"/>
    <x v="1"/>
    <x v="0"/>
    <n v="146.6"/>
  </r>
  <r>
    <x v="2"/>
    <x v="5"/>
    <x v="4"/>
    <x v="2"/>
    <x v="0"/>
    <n v="133.6"/>
  </r>
  <r>
    <x v="2"/>
    <x v="5"/>
    <x v="4"/>
    <x v="3"/>
    <x v="0"/>
    <n v="142.1"/>
  </r>
  <r>
    <x v="2"/>
    <x v="5"/>
    <x v="4"/>
    <x v="4"/>
    <x v="0"/>
    <n v="121"/>
  </r>
  <r>
    <x v="2"/>
    <x v="5"/>
    <x v="4"/>
    <x v="5"/>
    <x v="0"/>
    <n v="154.6"/>
  </r>
  <r>
    <x v="2"/>
    <x v="5"/>
    <x v="4"/>
    <x v="6"/>
    <x v="0"/>
    <n v="135.6"/>
  </r>
  <r>
    <x v="2"/>
    <x v="5"/>
    <x v="4"/>
    <x v="7"/>
    <x v="0"/>
    <n v="122.3"/>
  </r>
  <r>
    <x v="2"/>
    <x v="5"/>
    <x v="4"/>
    <x v="8"/>
    <x v="0"/>
    <n v="109.6"/>
  </r>
  <r>
    <x v="2"/>
    <x v="5"/>
    <x v="4"/>
    <x v="9"/>
    <x v="0"/>
    <n v="138.1"/>
  </r>
  <r>
    <x v="2"/>
    <x v="5"/>
    <x v="4"/>
    <x v="10"/>
    <x v="0"/>
    <n v="129.9"/>
  </r>
  <r>
    <x v="2"/>
    <x v="5"/>
    <x v="4"/>
    <x v="11"/>
    <x v="0"/>
    <n v="151.69999999999999"/>
  </r>
  <r>
    <x v="2"/>
    <x v="5"/>
    <x v="4"/>
    <x v="12"/>
    <x v="0"/>
    <n v="138.1"/>
  </r>
  <r>
    <x v="2"/>
    <x v="5"/>
    <x v="4"/>
    <x v="13"/>
    <x v="1"/>
    <n v="157.9"/>
  </r>
  <r>
    <x v="2"/>
    <x v="5"/>
    <x v="4"/>
    <x v="14"/>
    <x v="2"/>
    <n v="146"/>
  </r>
  <r>
    <x v="2"/>
    <x v="5"/>
    <x v="4"/>
    <x v="15"/>
    <x v="2"/>
    <n v="137.4"/>
  </r>
  <r>
    <x v="2"/>
    <x v="5"/>
    <x v="4"/>
    <x v="16"/>
    <x v="2"/>
    <n v="144.69999999999999"/>
  </r>
  <r>
    <x v="2"/>
    <x v="5"/>
    <x v="4"/>
    <x v="17"/>
    <x v="3"/>
    <n v="143.19999999999999"/>
  </r>
  <r>
    <x v="2"/>
    <x v="5"/>
    <x v="4"/>
    <x v="18"/>
    <x v="4"/>
    <n v="136.9"/>
  </r>
  <r>
    <x v="2"/>
    <x v="5"/>
    <x v="4"/>
    <x v="19"/>
    <x v="5"/>
    <n v="137.4"/>
  </r>
  <r>
    <x v="2"/>
    <x v="5"/>
    <x v="4"/>
    <x v="20"/>
    <x v="6"/>
    <n v="136"/>
  </r>
  <r>
    <x v="2"/>
    <x v="5"/>
    <x v="4"/>
    <x v="21"/>
    <x v="7"/>
    <n v="122.9"/>
  </r>
  <r>
    <x v="2"/>
    <x v="5"/>
    <x v="4"/>
    <x v="22"/>
    <x v="8"/>
    <n v="131.80000000000001"/>
  </r>
  <r>
    <x v="2"/>
    <x v="5"/>
    <x v="4"/>
    <x v="23"/>
    <x v="9"/>
    <n v="142.1"/>
  </r>
  <r>
    <x v="2"/>
    <x v="5"/>
    <x v="4"/>
    <x v="24"/>
    <x v="8"/>
    <n v="129.9"/>
  </r>
  <r>
    <x v="2"/>
    <x v="5"/>
    <x v="4"/>
    <x v="25"/>
    <x v="5"/>
    <n v="132.1"/>
  </r>
  <r>
    <x v="2"/>
    <x v="5"/>
    <x v="4"/>
    <x v="26"/>
    <x v="10"/>
    <n v="137.80000000000001"/>
  </r>
  <r>
    <x v="0"/>
    <x v="5"/>
    <x v="5"/>
    <x v="0"/>
    <x v="0"/>
    <n v="137.6"/>
  </r>
  <r>
    <x v="0"/>
    <x v="5"/>
    <x v="5"/>
    <x v="1"/>
    <x v="0"/>
    <n v="148.1"/>
  </r>
  <r>
    <x v="0"/>
    <x v="5"/>
    <x v="5"/>
    <x v="2"/>
    <x v="0"/>
    <n v="136.69999999999999"/>
  </r>
  <r>
    <x v="0"/>
    <x v="5"/>
    <x v="5"/>
    <x v="3"/>
    <x v="0"/>
    <n v="143.19999999999999"/>
  </r>
  <r>
    <x v="0"/>
    <x v="5"/>
    <x v="5"/>
    <x v="4"/>
    <x v="0"/>
    <n v="124"/>
  </r>
  <r>
    <x v="0"/>
    <x v="5"/>
    <x v="5"/>
    <x v="5"/>
    <x v="0"/>
    <n v="154.1"/>
  </r>
  <r>
    <x v="0"/>
    <x v="5"/>
    <x v="5"/>
    <x v="6"/>
    <x v="0"/>
    <n v="143.5"/>
  </r>
  <r>
    <x v="0"/>
    <x v="5"/>
    <x v="5"/>
    <x v="7"/>
    <x v="0"/>
    <n v="126"/>
  </r>
  <r>
    <x v="0"/>
    <x v="5"/>
    <x v="5"/>
    <x v="8"/>
    <x v="0"/>
    <n v="112.4"/>
  </r>
  <r>
    <x v="0"/>
    <x v="5"/>
    <x v="5"/>
    <x v="9"/>
    <x v="0"/>
    <n v="137.6"/>
  </r>
  <r>
    <x v="0"/>
    <x v="5"/>
    <x v="5"/>
    <x v="10"/>
    <x v="0"/>
    <n v="132.80000000000001"/>
  </r>
  <r>
    <x v="0"/>
    <x v="5"/>
    <x v="5"/>
    <x v="11"/>
    <x v="0"/>
    <n v="154.30000000000001"/>
  </r>
  <r>
    <x v="0"/>
    <x v="5"/>
    <x v="5"/>
    <x v="12"/>
    <x v="0"/>
    <n v="140"/>
  </r>
  <r>
    <x v="0"/>
    <x v="5"/>
    <x v="5"/>
    <x v="13"/>
    <x v="1"/>
    <n v="157.30000000000001"/>
  </r>
  <r>
    <x v="0"/>
    <x v="5"/>
    <x v="5"/>
    <x v="14"/>
    <x v="2"/>
    <n v="151.30000000000001"/>
  </r>
  <r>
    <x v="0"/>
    <x v="5"/>
    <x v="5"/>
    <x v="15"/>
    <x v="2"/>
    <n v="144.69999999999999"/>
  </r>
  <r>
    <x v="0"/>
    <x v="5"/>
    <x v="5"/>
    <x v="16"/>
    <x v="2"/>
    <n v="150.30000000000001"/>
  </r>
  <r>
    <x v="0"/>
    <x v="5"/>
    <x v="5"/>
    <x v="17"/>
    <x v="3"/>
    <s v="NA"/>
  </r>
  <r>
    <x v="0"/>
    <x v="5"/>
    <x v="5"/>
    <x v="18"/>
    <x v="4"/>
    <n v="145.1"/>
  </r>
  <r>
    <x v="0"/>
    <x v="5"/>
    <x v="5"/>
    <x v="19"/>
    <x v="5"/>
    <n v="142.19999999999999"/>
  </r>
  <r>
    <x v="0"/>
    <x v="5"/>
    <x v="5"/>
    <x v="20"/>
    <x v="6"/>
    <n v="138.4"/>
  </r>
  <r>
    <x v="0"/>
    <x v="5"/>
    <x v="5"/>
    <x v="21"/>
    <x v="7"/>
    <n v="127.4"/>
  </r>
  <r>
    <x v="0"/>
    <x v="5"/>
    <x v="5"/>
    <x v="22"/>
    <x v="8"/>
    <n v="137.80000000000001"/>
  </r>
  <r>
    <x v="0"/>
    <x v="5"/>
    <x v="5"/>
    <x v="23"/>
    <x v="9"/>
    <n v="145.1"/>
  </r>
  <r>
    <x v="0"/>
    <x v="5"/>
    <x v="5"/>
    <x v="24"/>
    <x v="8"/>
    <n v="131.4"/>
  </r>
  <r>
    <x v="0"/>
    <x v="5"/>
    <x v="5"/>
    <x v="25"/>
    <x v="5"/>
    <n v="135.6"/>
  </r>
  <r>
    <x v="0"/>
    <x v="5"/>
    <x v="5"/>
    <x v="26"/>
    <x v="10"/>
    <n v="140.5"/>
  </r>
  <r>
    <x v="1"/>
    <x v="5"/>
    <x v="5"/>
    <x v="0"/>
    <x v="0"/>
    <n v="135.30000000000001"/>
  </r>
  <r>
    <x v="1"/>
    <x v="5"/>
    <x v="5"/>
    <x v="1"/>
    <x v="0"/>
    <n v="149.69999999999999"/>
  </r>
  <r>
    <x v="1"/>
    <x v="5"/>
    <x v="5"/>
    <x v="2"/>
    <x v="0"/>
    <n v="133.9"/>
  </r>
  <r>
    <x v="1"/>
    <x v="5"/>
    <x v="5"/>
    <x v="3"/>
    <x v="0"/>
    <n v="140.80000000000001"/>
  </r>
  <r>
    <x v="1"/>
    <x v="5"/>
    <x v="5"/>
    <x v="4"/>
    <x v="0"/>
    <n v="116.6"/>
  </r>
  <r>
    <x v="1"/>
    <x v="5"/>
    <x v="5"/>
    <x v="5"/>
    <x v="0"/>
    <n v="152.19999999999999"/>
  </r>
  <r>
    <x v="1"/>
    <x v="5"/>
    <x v="5"/>
    <x v="6"/>
    <x v="0"/>
    <n v="144"/>
  </r>
  <r>
    <x v="1"/>
    <x v="5"/>
    <x v="5"/>
    <x v="7"/>
    <x v="0"/>
    <n v="112.3"/>
  </r>
  <r>
    <x v="1"/>
    <x v="5"/>
    <x v="5"/>
    <x v="8"/>
    <x v="0"/>
    <n v="108.4"/>
  </r>
  <r>
    <x v="1"/>
    <x v="5"/>
    <x v="5"/>
    <x v="9"/>
    <x v="0"/>
    <n v="140"/>
  </r>
  <r>
    <x v="1"/>
    <x v="5"/>
    <x v="5"/>
    <x v="10"/>
    <x v="0"/>
    <n v="126.7"/>
  </r>
  <r>
    <x v="1"/>
    <x v="5"/>
    <x v="5"/>
    <x v="11"/>
    <x v="0"/>
    <n v="149"/>
  </r>
  <r>
    <x v="1"/>
    <x v="5"/>
    <x v="5"/>
    <x v="12"/>
    <x v="0"/>
    <n v="138.4"/>
  </r>
  <r>
    <x v="1"/>
    <x v="5"/>
    <x v="5"/>
    <x v="13"/>
    <x v="1"/>
    <n v="161"/>
  </r>
  <r>
    <x v="1"/>
    <x v="5"/>
    <x v="5"/>
    <x v="14"/>
    <x v="2"/>
    <n v="138.9"/>
  </r>
  <r>
    <x v="1"/>
    <x v="5"/>
    <x v="5"/>
    <x v="15"/>
    <x v="2"/>
    <n v="128.69999999999999"/>
  </r>
  <r>
    <x v="1"/>
    <x v="5"/>
    <x v="5"/>
    <x v="16"/>
    <x v="2"/>
    <n v="137.4"/>
  </r>
  <r>
    <x v="1"/>
    <x v="5"/>
    <x v="5"/>
    <x v="17"/>
    <x v="3"/>
    <n v="142.5"/>
  </r>
  <r>
    <x v="1"/>
    <x v="5"/>
    <x v="5"/>
    <x v="18"/>
    <x v="4"/>
    <n v="126.5"/>
  </r>
  <r>
    <x v="1"/>
    <x v="5"/>
    <x v="5"/>
    <x v="19"/>
    <x v="5"/>
    <n v="133.1"/>
  </r>
  <r>
    <x v="1"/>
    <x v="5"/>
    <x v="5"/>
    <x v="20"/>
    <x v="6"/>
    <n v="132.6"/>
  </r>
  <r>
    <x v="1"/>
    <x v="5"/>
    <x v="5"/>
    <x v="21"/>
    <x v="7"/>
    <n v="120.4"/>
  </r>
  <r>
    <x v="1"/>
    <x v="5"/>
    <x v="5"/>
    <x v="22"/>
    <x v="8"/>
    <n v="128.5"/>
  </r>
  <r>
    <x v="1"/>
    <x v="5"/>
    <x v="5"/>
    <x v="23"/>
    <x v="9"/>
    <n v="141.19999999999999"/>
  </r>
  <r>
    <x v="1"/>
    <x v="5"/>
    <x v="5"/>
    <x v="24"/>
    <x v="8"/>
    <n v="128.19999999999999"/>
  </r>
  <r>
    <x v="1"/>
    <x v="5"/>
    <x v="5"/>
    <x v="25"/>
    <x v="5"/>
    <n v="129.5"/>
  </r>
  <r>
    <x v="1"/>
    <x v="5"/>
    <x v="5"/>
    <x v="26"/>
    <x v="10"/>
    <n v="136.19999999999999"/>
  </r>
  <r>
    <x v="2"/>
    <x v="5"/>
    <x v="5"/>
    <x v="0"/>
    <x v="0"/>
    <n v="136.9"/>
  </r>
  <r>
    <x v="2"/>
    <x v="5"/>
    <x v="5"/>
    <x v="1"/>
    <x v="0"/>
    <n v="148.69999999999999"/>
  </r>
  <r>
    <x v="2"/>
    <x v="5"/>
    <x v="5"/>
    <x v="2"/>
    <x v="0"/>
    <n v="135.6"/>
  </r>
  <r>
    <x v="2"/>
    <x v="5"/>
    <x v="5"/>
    <x v="3"/>
    <x v="0"/>
    <n v="142.30000000000001"/>
  </r>
  <r>
    <x v="2"/>
    <x v="5"/>
    <x v="5"/>
    <x v="4"/>
    <x v="0"/>
    <n v="121.3"/>
  </r>
  <r>
    <x v="2"/>
    <x v="5"/>
    <x v="5"/>
    <x v="5"/>
    <x v="0"/>
    <n v="153.19999999999999"/>
  </r>
  <r>
    <x v="2"/>
    <x v="5"/>
    <x v="5"/>
    <x v="6"/>
    <x v="0"/>
    <n v="143.69999999999999"/>
  </r>
  <r>
    <x v="2"/>
    <x v="5"/>
    <x v="5"/>
    <x v="7"/>
    <x v="0"/>
    <n v="121.4"/>
  </r>
  <r>
    <x v="2"/>
    <x v="5"/>
    <x v="5"/>
    <x v="8"/>
    <x v="0"/>
    <n v="111.1"/>
  </r>
  <r>
    <x v="2"/>
    <x v="5"/>
    <x v="5"/>
    <x v="9"/>
    <x v="0"/>
    <n v="138.4"/>
  </r>
  <r>
    <x v="2"/>
    <x v="5"/>
    <x v="5"/>
    <x v="10"/>
    <x v="0"/>
    <n v="130.30000000000001"/>
  </r>
  <r>
    <x v="2"/>
    <x v="5"/>
    <x v="5"/>
    <x v="11"/>
    <x v="0"/>
    <n v="151.80000000000001"/>
  </r>
  <r>
    <x v="2"/>
    <x v="5"/>
    <x v="5"/>
    <x v="12"/>
    <x v="0"/>
    <n v="139.4"/>
  </r>
  <r>
    <x v="2"/>
    <x v="5"/>
    <x v="5"/>
    <x v="13"/>
    <x v="1"/>
    <n v="158.30000000000001"/>
  </r>
  <r>
    <x v="2"/>
    <x v="5"/>
    <x v="5"/>
    <x v="14"/>
    <x v="2"/>
    <n v="146.4"/>
  </r>
  <r>
    <x v="2"/>
    <x v="5"/>
    <x v="5"/>
    <x v="15"/>
    <x v="2"/>
    <n v="138.1"/>
  </r>
  <r>
    <x v="2"/>
    <x v="5"/>
    <x v="5"/>
    <x v="16"/>
    <x v="2"/>
    <n v="145.19999999999999"/>
  </r>
  <r>
    <x v="2"/>
    <x v="5"/>
    <x v="5"/>
    <x v="17"/>
    <x v="3"/>
    <n v="142.5"/>
  </r>
  <r>
    <x v="2"/>
    <x v="5"/>
    <x v="5"/>
    <x v="18"/>
    <x v="4"/>
    <n v="138.1"/>
  </r>
  <r>
    <x v="2"/>
    <x v="5"/>
    <x v="5"/>
    <x v="19"/>
    <x v="5"/>
    <n v="137.9"/>
  </r>
  <r>
    <x v="2"/>
    <x v="5"/>
    <x v="5"/>
    <x v="20"/>
    <x v="6"/>
    <n v="136.19999999999999"/>
  </r>
  <r>
    <x v="2"/>
    <x v="5"/>
    <x v="5"/>
    <x v="21"/>
    <x v="7"/>
    <n v="123.7"/>
  </r>
  <r>
    <x v="2"/>
    <x v="5"/>
    <x v="5"/>
    <x v="22"/>
    <x v="8"/>
    <n v="132.6"/>
  </r>
  <r>
    <x v="2"/>
    <x v="5"/>
    <x v="5"/>
    <x v="23"/>
    <x v="9"/>
    <n v="142.80000000000001"/>
  </r>
  <r>
    <x v="2"/>
    <x v="5"/>
    <x v="5"/>
    <x v="24"/>
    <x v="8"/>
    <n v="130.1"/>
  </r>
  <r>
    <x v="2"/>
    <x v="5"/>
    <x v="5"/>
    <x v="25"/>
    <x v="5"/>
    <n v="132.6"/>
  </r>
  <r>
    <x v="2"/>
    <x v="5"/>
    <x v="5"/>
    <x v="26"/>
    <x v="10"/>
    <n v="138.5"/>
  </r>
  <r>
    <x v="0"/>
    <x v="5"/>
    <x v="6"/>
    <x v="0"/>
    <x v="0"/>
    <n v="138.4"/>
  </r>
  <r>
    <x v="0"/>
    <x v="5"/>
    <x v="6"/>
    <x v="1"/>
    <x v="0"/>
    <n v="149.30000000000001"/>
  </r>
  <r>
    <x v="0"/>
    <x v="5"/>
    <x v="6"/>
    <x v="2"/>
    <x v="0"/>
    <n v="139.30000000000001"/>
  </r>
  <r>
    <x v="0"/>
    <x v="5"/>
    <x v="6"/>
    <x v="3"/>
    <x v="0"/>
    <n v="143.4"/>
  </r>
  <r>
    <x v="0"/>
    <x v="5"/>
    <x v="6"/>
    <x v="4"/>
    <x v="0"/>
    <n v="124.1"/>
  </r>
  <r>
    <x v="0"/>
    <x v="5"/>
    <x v="6"/>
    <x v="5"/>
    <x v="0"/>
    <n v="153.30000000000001"/>
  </r>
  <r>
    <x v="0"/>
    <x v="5"/>
    <x v="6"/>
    <x v="6"/>
    <x v="0"/>
    <n v="154.19999999999999"/>
  </r>
  <r>
    <x v="0"/>
    <x v="5"/>
    <x v="6"/>
    <x v="7"/>
    <x v="0"/>
    <n v="126.4"/>
  </r>
  <r>
    <x v="0"/>
    <x v="5"/>
    <x v="6"/>
    <x v="8"/>
    <x v="0"/>
    <n v="114.3"/>
  </r>
  <r>
    <x v="0"/>
    <x v="5"/>
    <x v="6"/>
    <x v="9"/>
    <x v="0"/>
    <n v="138.19999999999999"/>
  </r>
  <r>
    <x v="0"/>
    <x v="5"/>
    <x v="6"/>
    <x v="10"/>
    <x v="0"/>
    <n v="132.80000000000001"/>
  </r>
  <r>
    <x v="0"/>
    <x v="5"/>
    <x v="6"/>
    <x v="11"/>
    <x v="0"/>
    <n v="154.80000000000001"/>
  </r>
  <r>
    <x v="0"/>
    <x v="5"/>
    <x v="6"/>
    <x v="12"/>
    <x v="0"/>
    <n v="142"/>
  </r>
  <r>
    <x v="0"/>
    <x v="5"/>
    <x v="6"/>
    <x v="13"/>
    <x v="1"/>
    <n v="156.1"/>
  </r>
  <r>
    <x v="0"/>
    <x v="5"/>
    <x v="6"/>
    <x v="14"/>
    <x v="2"/>
    <n v="151.5"/>
  </r>
  <r>
    <x v="0"/>
    <x v="5"/>
    <x v="6"/>
    <x v="15"/>
    <x v="2"/>
    <n v="145.1"/>
  </r>
  <r>
    <x v="0"/>
    <x v="5"/>
    <x v="6"/>
    <x v="16"/>
    <x v="2"/>
    <n v="150.6"/>
  </r>
  <r>
    <x v="0"/>
    <x v="5"/>
    <x v="6"/>
    <x v="17"/>
    <x v="3"/>
    <s v="NA"/>
  </r>
  <r>
    <x v="0"/>
    <x v="5"/>
    <x v="6"/>
    <x v="18"/>
    <x v="4"/>
    <n v="146.80000000000001"/>
  </r>
  <r>
    <x v="0"/>
    <x v="5"/>
    <x v="6"/>
    <x v="19"/>
    <x v="5"/>
    <n v="143.1"/>
  </r>
  <r>
    <x v="0"/>
    <x v="5"/>
    <x v="6"/>
    <x v="20"/>
    <x v="6"/>
    <n v="139"/>
  </r>
  <r>
    <x v="0"/>
    <x v="5"/>
    <x v="6"/>
    <x v="21"/>
    <x v="7"/>
    <n v="127.5"/>
  </r>
  <r>
    <x v="0"/>
    <x v="5"/>
    <x v="6"/>
    <x v="22"/>
    <x v="8"/>
    <n v="138.4"/>
  </r>
  <r>
    <x v="0"/>
    <x v="5"/>
    <x v="6"/>
    <x v="23"/>
    <x v="9"/>
    <n v="145.80000000000001"/>
  </r>
  <r>
    <x v="0"/>
    <x v="5"/>
    <x v="6"/>
    <x v="24"/>
    <x v="8"/>
    <n v="131.4"/>
  </r>
  <r>
    <x v="0"/>
    <x v="5"/>
    <x v="6"/>
    <x v="25"/>
    <x v="5"/>
    <n v="136"/>
  </r>
  <r>
    <x v="0"/>
    <x v="5"/>
    <x v="6"/>
    <x v="26"/>
    <x v="10"/>
    <n v="141.80000000000001"/>
  </r>
  <r>
    <x v="1"/>
    <x v="5"/>
    <x v="6"/>
    <x v="0"/>
    <x v="0"/>
    <n v="135.6"/>
  </r>
  <r>
    <x v="1"/>
    <x v="5"/>
    <x v="6"/>
    <x v="1"/>
    <x v="0"/>
    <n v="148.6"/>
  </r>
  <r>
    <x v="1"/>
    <x v="5"/>
    <x v="6"/>
    <x v="2"/>
    <x v="0"/>
    <n v="139.1"/>
  </r>
  <r>
    <x v="1"/>
    <x v="5"/>
    <x v="6"/>
    <x v="3"/>
    <x v="0"/>
    <n v="141"/>
  </r>
  <r>
    <x v="1"/>
    <x v="5"/>
    <x v="6"/>
    <x v="4"/>
    <x v="0"/>
    <n v="116.7"/>
  </r>
  <r>
    <x v="1"/>
    <x v="5"/>
    <x v="6"/>
    <x v="5"/>
    <x v="0"/>
    <n v="149.69999999999999"/>
  </r>
  <r>
    <x v="1"/>
    <x v="5"/>
    <x v="6"/>
    <x v="6"/>
    <x v="0"/>
    <n v="159.19999999999999"/>
  </r>
  <r>
    <x v="1"/>
    <x v="5"/>
    <x v="6"/>
    <x v="7"/>
    <x v="0"/>
    <n v="112.6"/>
  </r>
  <r>
    <x v="1"/>
    <x v="5"/>
    <x v="6"/>
    <x v="8"/>
    <x v="0"/>
    <n v="111.8"/>
  </r>
  <r>
    <x v="1"/>
    <x v="5"/>
    <x v="6"/>
    <x v="9"/>
    <x v="0"/>
    <n v="140.30000000000001"/>
  </r>
  <r>
    <x v="1"/>
    <x v="5"/>
    <x v="6"/>
    <x v="10"/>
    <x v="0"/>
    <n v="126.8"/>
  </r>
  <r>
    <x v="1"/>
    <x v="5"/>
    <x v="6"/>
    <x v="11"/>
    <x v="0"/>
    <n v="149.4"/>
  </r>
  <r>
    <x v="1"/>
    <x v="5"/>
    <x v="6"/>
    <x v="12"/>
    <x v="0"/>
    <n v="140.30000000000001"/>
  </r>
  <r>
    <x v="1"/>
    <x v="5"/>
    <x v="6"/>
    <x v="13"/>
    <x v="1"/>
    <n v="161.4"/>
  </r>
  <r>
    <x v="1"/>
    <x v="5"/>
    <x v="6"/>
    <x v="14"/>
    <x v="2"/>
    <n v="139.6"/>
  </r>
  <r>
    <x v="1"/>
    <x v="5"/>
    <x v="6"/>
    <x v="15"/>
    <x v="2"/>
    <n v="128.9"/>
  </r>
  <r>
    <x v="1"/>
    <x v="5"/>
    <x v="6"/>
    <x v="16"/>
    <x v="2"/>
    <n v="137.9"/>
  </r>
  <r>
    <x v="1"/>
    <x v="5"/>
    <x v="6"/>
    <x v="17"/>
    <x v="3"/>
    <n v="143.6"/>
  </r>
  <r>
    <x v="1"/>
    <x v="5"/>
    <x v="6"/>
    <x v="18"/>
    <x v="4"/>
    <n v="128.1"/>
  </r>
  <r>
    <x v="1"/>
    <x v="5"/>
    <x v="6"/>
    <x v="19"/>
    <x v="5"/>
    <n v="133.6"/>
  </r>
  <r>
    <x v="1"/>
    <x v="5"/>
    <x v="6"/>
    <x v="20"/>
    <x v="6"/>
    <n v="133.6"/>
  </r>
  <r>
    <x v="1"/>
    <x v="5"/>
    <x v="6"/>
    <x v="21"/>
    <x v="7"/>
    <n v="120.1"/>
  </r>
  <r>
    <x v="1"/>
    <x v="5"/>
    <x v="6"/>
    <x v="22"/>
    <x v="8"/>
    <n v="129"/>
  </r>
  <r>
    <x v="1"/>
    <x v="5"/>
    <x v="6"/>
    <x v="23"/>
    <x v="9"/>
    <n v="144"/>
  </r>
  <r>
    <x v="1"/>
    <x v="5"/>
    <x v="6"/>
    <x v="24"/>
    <x v="8"/>
    <n v="128.19999999999999"/>
  </r>
  <r>
    <x v="1"/>
    <x v="5"/>
    <x v="6"/>
    <x v="25"/>
    <x v="5"/>
    <n v="130.19999999999999"/>
  </r>
  <r>
    <x v="1"/>
    <x v="5"/>
    <x v="6"/>
    <x v="26"/>
    <x v="10"/>
    <n v="137.5"/>
  </r>
  <r>
    <x v="2"/>
    <x v="5"/>
    <x v="6"/>
    <x v="0"/>
    <x v="0"/>
    <n v="137.5"/>
  </r>
  <r>
    <x v="2"/>
    <x v="5"/>
    <x v="6"/>
    <x v="1"/>
    <x v="0"/>
    <n v="149.1"/>
  </r>
  <r>
    <x v="2"/>
    <x v="5"/>
    <x v="6"/>
    <x v="2"/>
    <x v="0"/>
    <n v="139.19999999999999"/>
  </r>
  <r>
    <x v="2"/>
    <x v="5"/>
    <x v="6"/>
    <x v="3"/>
    <x v="0"/>
    <n v="142.5"/>
  </r>
  <r>
    <x v="2"/>
    <x v="5"/>
    <x v="6"/>
    <x v="4"/>
    <x v="0"/>
    <n v="121.4"/>
  </r>
  <r>
    <x v="2"/>
    <x v="5"/>
    <x v="6"/>
    <x v="5"/>
    <x v="0"/>
    <n v="151.6"/>
  </r>
  <r>
    <x v="2"/>
    <x v="5"/>
    <x v="6"/>
    <x v="6"/>
    <x v="0"/>
    <n v="155.9"/>
  </r>
  <r>
    <x v="2"/>
    <x v="5"/>
    <x v="6"/>
    <x v="7"/>
    <x v="0"/>
    <n v="121.7"/>
  </r>
  <r>
    <x v="2"/>
    <x v="5"/>
    <x v="6"/>
    <x v="8"/>
    <x v="0"/>
    <n v="113.5"/>
  </r>
  <r>
    <x v="2"/>
    <x v="5"/>
    <x v="6"/>
    <x v="9"/>
    <x v="0"/>
    <n v="138.9"/>
  </r>
  <r>
    <x v="2"/>
    <x v="5"/>
    <x v="6"/>
    <x v="10"/>
    <x v="0"/>
    <n v="130.30000000000001"/>
  </r>
  <r>
    <x v="2"/>
    <x v="5"/>
    <x v="6"/>
    <x v="11"/>
    <x v="0"/>
    <n v="152.30000000000001"/>
  </r>
  <r>
    <x v="2"/>
    <x v="5"/>
    <x v="6"/>
    <x v="12"/>
    <x v="0"/>
    <n v="141.4"/>
  </r>
  <r>
    <x v="2"/>
    <x v="5"/>
    <x v="6"/>
    <x v="13"/>
    <x v="1"/>
    <n v="157.5"/>
  </r>
  <r>
    <x v="2"/>
    <x v="5"/>
    <x v="6"/>
    <x v="14"/>
    <x v="2"/>
    <n v="146.80000000000001"/>
  </r>
  <r>
    <x v="2"/>
    <x v="5"/>
    <x v="6"/>
    <x v="15"/>
    <x v="2"/>
    <n v="138.4"/>
  </r>
  <r>
    <x v="2"/>
    <x v="5"/>
    <x v="6"/>
    <x v="16"/>
    <x v="2"/>
    <n v="145.6"/>
  </r>
  <r>
    <x v="2"/>
    <x v="5"/>
    <x v="6"/>
    <x v="17"/>
    <x v="3"/>
    <n v="143.6"/>
  </r>
  <r>
    <x v="2"/>
    <x v="5"/>
    <x v="6"/>
    <x v="18"/>
    <x v="4"/>
    <n v="139.69999999999999"/>
  </r>
  <r>
    <x v="2"/>
    <x v="5"/>
    <x v="6"/>
    <x v="19"/>
    <x v="5"/>
    <n v="138.6"/>
  </r>
  <r>
    <x v="2"/>
    <x v="5"/>
    <x v="6"/>
    <x v="20"/>
    <x v="6"/>
    <n v="137"/>
  </r>
  <r>
    <x v="2"/>
    <x v="5"/>
    <x v="6"/>
    <x v="21"/>
    <x v="7"/>
    <n v="123.6"/>
  </r>
  <r>
    <x v="2"/>
    <x v="5"/>
    <x v="6"/>
    <x v="22"/>
    <x v="8"/>
    <n v="133.1"/>
  </r>
  <r>
    <x v="2"/>
    <x v="5"/>
    <x v="6"/>
    <x v="23"/>
    <x v="9"/>
    <n v="144.69999999999999"/>
  </r>
  <r>
    <x v="2"/>
    <x v="5"/>
    <x v="6"/>
    <x v="24"/>
    <x v="8"/>
    <n v="130.1"/>
  </r>
  <r>
    <x v="2"/>
    <x v="5"/>
    <x v="6"/>
    <x v="25"/>
    <x v="5"/>
    <n v="133.19999999999999"/>
  </r>
  <r>
    <x v="2"/>
    <x v="5"/>
    <x v="6"/>
    <x v="26"/>
    <x v="10"/>
    <n v="139.80000000000001"/>
  </r>
  <r>
    <x v="0"/>
    <x v="5"/>
    <x v="7"/>
    <x v="0"/>
    <x v="0"/>
    <n v="139.19999999999999"/>
  </r>
  <r>
    <x v="0"/>
    <x v="5"/>
    <x v="7"/>
    <x v="1"/>
    <x v="0"/>
    <n v="148.80000000000001"/>
  </r>
  <r>
    <x v="0"/>
    <x v="5"/>
    <x v="7"/>
    <x v="2"/>
    <x v="0"/>
    <n v="139.1"/>
  </r>
  <r>
    <x v="0"/>
    <x v="5"/>
    <x v="7"/>
    <x v="3"/>
    <x v="0"/>
    <n v="143.5"/>
  </r>
  <r>
    <x v="0"/>
    <x v="5"/>
    <x v="7"/>
    <x v="4"/>
    <x v="0"/>
    <n v="125"/>
  </r>
  <r>
    <x v="0"/>
    <x v="5"/>
    <x v="7"/>
    <x v="5"/>
    <x v="0"/>
    <n v="154.4"/>
  </r>
  <r>
    <x v="0"/>
    <x v="5"/>
    <x v="7"/>
    <x v="6"/>
    <x v="0"/>
    <n v="156.30000000000001"/>
  </r>
  <r>
    <x v="0"/>
    <x v="5"/>
    <x v="7"/>
    <x v="7"/>
    <x v="0"/>
    <n v="126.8"/>
  </r>
  <r>
    <x v="0"/>
    <x v="5"/>
    <x v="7"/>
    <x v="8"/>
    <x v="0"/>
    <n v="115.4"/>
  </r>
  <r>
    <x v="0"/>
    <x v="5"/>
    <x v="7"/>
    <x v="9"/>
    <x v="0"/>
    <n v="138.6"/>
  </r>
  <r>
    <x v="0"/>
    <x v="5"/>
    <x v="7"/>
    <x v="10"/>
    <x v="0"/>
    <n v="133.80000000000001"/>
  </r>
  <r>
    <x v="0"/>
    <x v="5"/>
    <x v="7"/>
    <x v="11"/>
    <x v="0"/>
    <n v="155.19999999999999"/>
  </r>
  <r>
    <x v="0"/>
    <x v="5"/>
    <x v="7"/>
    <x v="12"/>
    <x v="0"/>
    <n v="142.69999999999999"/>
  </r>
  <r>
    <x v="0"/>
    <x v="5"/>
    <x v="7"/>
    <x v="13"/>
    <x v="1"/>
    <n v="156.4"/>
  </r>
  <r>
    <x v="0"/>
    <x v="5"/>
    <x v="7"/>
    <x v="14"/>
    <x v="2"/>
    <n v="152.1"/>
  </r>
  <r>
    <x v="0"/>
    <x v="5"/>
    <x v="7"/>
    <x v="15"/>
    <x v="2"/>
    <n v="145.80000000000001"/>
  </r>
  <r>
    <x v="0"/>
    <x v="5"/>
    <x v="7"/>
    <x v="16"/>
    <x v="2"/>
    <n v="151.30000000000001"/>
  </r>
  <r>
    <x v="0"/>
    <x v="5"/>
    <x v="7"/>
    <x v="17"/>
    <x v="3"/>
    <s v="NA"/>
  </r>
  <r>
    <x v="0"/>
    <x v="5"/>
    <x v="7"/>
    <x v="18"/>
    <x v="4"/>
    <n v="147.69999999999999"/>
  </r>
  <r>
    <x v="0"/>
    <x v="5"/>
    <x v="7"/>
    <x v="19"/>
    <x v="5"/>
    <n v="143.80000000000001"/>
  </r>
  <r>
    <x v="0"/>
    <x v="5"/>
    <x v="7"/>
    <x v="20"/>
    <x v="6"/>
    <n v="139.4"/>
  </r>
  <r>
    <x v="0"/>
    <x v="5"/>
    <x v="7"/>
    <x v="21"/>
    <x v="7"/>
    <n v="128.30000000000001"/>
  </r>
  <r>
    <x v="0"/>
    <x v="5"/>
    <x v="7"/>
    <x v="22"/>
    <x v="8"/>
    <n v="138.6"/>
  </r>
  <r>
    <x v="0"/>
    <x v="5"/>
    <x v="7"/>
    <x v="23"/>
    <x v="9"/>
    <n v="146.9"/>
  </r>
  <r>
    <x v="0"/>
    <x v="5"/>
    <x v="7"/>
    <x v="24"/>
    <x v="8"/>
    <n v="131.30000000000001"/>
  </r>
  <r>
    <x v="0"/>
    <x v="5"/>
    <x v="7"/>
    <x v="25"/>
    <x v="5"/>
    <n v="136.6"/>
  </r>
  <r>
    <x v="0"/>
    <x v="5"/>
    <x v="7"/>
    <x v="26"/>
    <x v="10"/>
    <n v="142.5"/>
  </r>
  <r>
    <x v="1"/>
    <x v="5"/>
    <x v="7"/>
    <x v="0"/>
    <x v="0"/>
    <n v="136.5"/>
  </r>
  <r>
    <x v="1"/>
    <x v="5"/>
    <x v="7"/>
    <x v="1"/>
    <x v="0"/>
    <n v="146.4"/>
  </r>
  <r>
    <x v="1"/>
    <x v="5"/>
    <x v="7"/>
    <x v="2"/>
    <x v="0"/>
    <n v="136.6"/>
  </r>
  <r>
    <x v="1"/>
    <x v="5"/>
    <x v="7"/>
    <x v="3"/>
    <x v="0"/>
    <n v="141.19999999999999"/>
  </r>
  <r>
    <x v="1"/>
    <x v="5"/>
    <x v="7"/>
    <x v="4"/>
    <x v="0"/>
    <n v="117.4"/>
  </r>
  <r>
    <x v="1"/>
    <x v="5"/>
    <x v="7"/>
    <x v="5"/>
    <x v="0"/>
    <n v="146.30000000000001"/>
  </r>
  <r>
    <x v="1"/>
    <x v="5"/>
    <x v="7"/>
    <x v="6"/>
    <x v="0"/>
    <n v="157.30000000000001"/>
  </r>
  <r>
    <x v="1"/>
    <x v="5"/>
    <x v="7"/>
    <x v="7"/>
    <x v="0"/>
    <n v="113.6"/>
  </r>
  <r>
    <x v="1"/>
    <x v="5"/>
    <x v="7"/>
    <x v="8"/>
    <x v="0"/>
    <n v="113.3"/>
  </r>
  <r>
    <x v="1"/>
    <x v="5"/>
    <x v="7"/>
    <x v="9"/>
    <x v="0"/>
    <n v="141.1"/>
  </r>
  <r>
    <x v="1"/>
    <x v="5"/>
    <x v="7"/>
    <x v="10"/>
    <x v="0"/>
    <n v="127.4"/>
  </r>
  <r>
    <x v="1"/>
    <x v="5"/>
    <x v="7"/>
    <x v="11"/>
    <x v="0"/>
    <n v="150.4"/>
  </r>
  <r>
    <x v="1"/>
    <x v="5"/>
    <x v="7"/>
    <x v="12"/>
    <x v="0"/>
    <n v="140.1"/>
  </r>
  <r>
    <x v="1"/>
    <x v="5"/>
    <x v="7"/>
    <x v="13"/>
    <x v="1"/>
    <n v="162.1"/>
  </r>
  <r>
    <x v="1"/>
    <x v="5"/>
    <x v="7"/>
    <x v="14"/>
    <x v="2"/>
    <n v="140"/>
  </r>
  <r>
    <x v="1"/>
    <x v="5"/>
    <x v="7"/>
    <x v="15"/>
    <x v="2"/>
    <n v="129"/>
  </r>
  <r>
    <x v="1"/>
    <x v="5"/>
    <x v="7"/>
    <x v="16"/>
    <x v="2"/>
    <n v="138.30000000000001"/>
  </r>
  <r>
    <x v="1"/>
    <x v="5"/>
    <x v="7"/>
    <x v="17"/>
    <x v="3"/>
    <n v="144.6"/>
  </r>
  <r>
    <x v="1"/>
    <x v="5"/>
    <x v="7"/>
    <x v="18"/>
    <x v="4"/>
    <n v="129.80000000000001"/>
  </r>
  <r>
    <x v="1"/>
    <x v="5"/>
    <x v="7"/>
    <x v="19"/>
    <x v="5"/>
    <n v="134.4"/>
  </r>
  <r>
    <x v="1"/>
    <x v="5"/>
    <x v="7"/>
    <x v="20"/>
    <x v="6"/>
    <n v="134.9"/>
  </r>
  <r>
    <x v="1"/>
    <x v="5"/>
    <x v="7"/>
    <x v="21"/>
    <x v="7"/>
    <n v="120.7"/>
  </r>
  <r>
    <x v="1"/>
    <x v="5"/>
    <x v="7"/>
    <x v="22"/>
    <x v="8"/>
    <n v="129.80000000000001"/>
  </r>
  <r>
    <x v="1"/>
    <x v="5"/>
    <x v="7"/>
    <x v="23"/>
    <x v="9"/>
    <n v="145.30000000000001"/>
  </r>
  <r>
    <x v="1"/>
    <x v="5"/>
    <x v="7"/>
    <x v="24"/>
    <x v="8"/>
    <n v="128.30000000000001"/>
  </r>
  <r>
    <x v="1"/>
    <x v="5"/>
    <x v="7"/>
    <x v="25"/>
    <x v="5"/>
    <n v="131"/>
  </r>
  <r>
    <x v="1"/>
    <x v="5"/>
    <x v="7"/>
    <x v="26"/>
    <x v="10"/>
    <n v="138"/>
  </r>
  <r>
    <x v="2"/>
    <x v="5"/>
    <x v="7"/>
    <x v="0"/>
    <x v="0"/>
    <n v="138.30000000000001"/>
  </r>
  <r>
    <x v="2"/>
    <x v="5"/>
    <x v="7"/>
    <x v="1"/>
    <x v="0"/>
    <n v="148"/>
  </r>
  <r>
    <x v="2"/>
    <x v="5"/>
    <x v="7"/>
    <x v="2"/>
    <x v="0"/>
    <n v="138.1"/>
  </r>
  <r>
    <x v="2"/>
    <x v="5"/>
    <x v="7"/>
    <x v="3"/>
    <x v="0"/>
    <n v="142.6"/>
  </r>
  <r>
    <x v="2"/>
    <x v="5"/>
    <x v="7"/>
    <x v="4"/>
    <x v="0"/>
    <n v="122.2"/>
  </r>
  <r>
    <x v="2"/>
    <x v="5"/>
    <x v="7"/>
    <x v="5"/>
    <x v="0"/>
    <n v="150.6"/>
  </r>
  <r>
    <x v="2"/>
    <x v="5"/>
    <x v="7"/>
    <x v="6"/>
    <x v="0"/>
    <n v="156.6"/>
  </r>
  <r>
    <x v="2"/>
    <x v="5"/>
    <x v="7"/>
    <x v="7"/>
    <x v="0"/>
    <n v="122.4"/>
  </r>
  <r>
    <x v="2"/>
    <x v="5"/>
    <x v="7"/>
    <x v="8"/>
    <x v="0"/>
    <n v="114.7"/>
  </r>
  <r>
    <x v="2"/>
    <x v="5"/>
    <x v="7"/>
    <x v="9"/>
    <x v="0"/>
    <n v="139.4"/>
  </r>
  <r>
    <x v="2"/>
    <x v="5"/>
    <x v="7"/>
    <x v="10"/>
    <x v="0"/>
    <n v="131.1"/>
  </r>
  <r>
    <x v="2"/>
    <x v="5"/>
    <x v="7"/>
    <x v="11"/>
    <x v="0"/>
    <n v="153"/>
  </r>
  <r>
    <x v="2"/>
    <x v="5"/>
    <x v="7"/>
    <x v="12"/>
    <x v="0"/>
    <n v="141.69999999999999"/>
  </r>
  <r>
    <x v="2"/>
    <x v="5"/>
    <x v="7"/>
    <x v="13"/>
    <x v="1"/>
    <n v="157.9"/>
  </r>
  <r>
    <x v="2"/>
    <x v="5"/>
    <x v="7"/>
    <x v="14"/>
    <x v="2"/>
    <n v="147.30000000000001"/>
  </r>
  <r>
    <x v="2"/>
    <x v="5"/>
    <x v="7"/>
    <x v="15"/>
    <x v="2"/>
    <n v="138.80000000000001"/>
  </r>
  <r>
    <x v="2"/>
    <x v="5"/>
    <x v="7"/>
    <x v="16"/>
    <x v="2"/>
    <n v="146.1"/>
  </r>
  <r>
    <x v="2"/>
    <x v="5"/>
    <x v="7"/>
    <x v="17"/>
    <x v="3"/>
    <n v="144.6"/>
  </r>
  <r>
    <x v="2"/>
    <x v="5"/>
    <x v="7"/>
    <x v="18"/>
    <x v="4"/>
    <n v="140.9"/>
  </r>
  <r>
    <x v="2"/>
    <x v="5"/>
    <x v="7"/>
    <x v="19"/>
    <x v="5"/>
    <n v="139.4"/>
  </r>
  <r>
    <x v="2"/>
    <x v="5"/>
    <x v="7"/>
    <x v="20"/>
    <x v="6"/>
    <n v="137.69999999999999"/>
  </r>
  <r>
    <x v="2"/>
    <x v="5"/>
    <x v="7"/>
    <x v="21"/>
    <x v="7"/>
    <n v="124.3"/>
  </r>
  <r>
    <x v="2"/>
    <x v="5"/>
    <x v="7"/>
    <x v="22"/>
    <x v="8"/>
    <n v="133.6"/>
  </r>
  <r>
    <x v="2"/>
    <x v="5"/>
    <x v="7"/>
    <x v="23"/>
    <x v="9"/>
    <n v="146"/>
  </r>
  <r>
    <x v="2"/>
    <x v="5"/>
    <x v="7"/>
    <x v="24"/>
    <x v="8"/>
    <n v="130.1"/>
  </r>
  <r>
    <x v="2"/>
    <x v="5"/>
    <x v="7"/>
    <x v="25"/>
    <x v="5"/>
    <n v="133.9"/>
  </r>
  <r>
    <x v="2"/>
    <x v="5"/>
    <x v="7"/>
    <x v="26"/>
    <x v="10"/>
    <n v="140.4"/>
  </r>
  <r>
    <x v="0"/>
    <x v="5"/>
    <x v="8"/>
    <x v="0"/>
    <x v="0"/>
    <n v="139.4"/>
  </r>
  <r>
    <x v="0"/>
    <x v="5"/>
    <x v="8"/>
    <x v="1"/>
    <x v="0"/>
    <n v="147.19999999999999"/>
  </r>
  <r>
    <x v="0"/>
    <x v="5"/>
    <x v="8"/>
    <x v="2"/>
    <x v="0"/>
    <n v="136.6"/>
  </r>
  <r>
    <x v="0"/>
    <x v="5"/>
    <x v="8"/>
    <x v="3"/>
    <x v="0"/>
    <n v="143.69999999999999"/>
  </r>
  <r>
    <x v="0"/>
    <x v="5"/>
    <x v="8"/>
    <x v="4"/>
    <x v="0"/>
    <n v="124.6"/>
  </r>
  <r>
    <x v="0"/>
    <x v="5"/>
    <x v="8"/>
    <x v="5"/>
    <x v="0"/>
    <n v="150.1"/>
  </r>
  <r>
    <x v="0"/>
    <x v="5"/>
    <x v="8"/>
    <x v="6"/>
    <x v="0"/>
    <n v="149.4"/>
  </r>
  <r>
    <x v="0"/>
    <x v="5"/>
    <x v="8"/>
    <x v="7"/>
    <x v="0"/>
    <n v="125.4"/>
  </r>
  <r>
    <x v="0"/>
    <x v="5"/>
    <x v="8"/>
    <x v="8"/>
    <x v="0"/>
    <n v="114.4"/>
  </r>
  <r>
    <x v="0"/>
    <x v="5"/>
    <x v="8"/>
    <x v="9"/>
    <x v="0"/>
    <n v="138.69999999999999"/>
  </r>
  <r>
    <x v="0"/>
    <x v="5"/>
    <x v="8"/>
    <x v="10"/>
    <x v="0"/>
    <n v="133.1"/>
  </r>
  <r>
    <x v="0"/>
    <x v="5"/>
    <x v="8"/>
    <x v="11"/>
    <x v="0"/>
    <n v="155.9"/>
  </r>
  <r>
    <x v="0"/>
    <x v="5"/>
    <x v="8"/>
    <x v="12"/>
    <x v="0"/>
    <n v="141.30000000000001"/>
  </r>
  <r>
    <x v="0"/>
    <x v="5"/>
    <x v="8"/>
    <x v="13"/>
    <x v="1"/>
    <n v="157.69999999999999"/>
  </r>
  <r>
    <x v="0"/>
    <x v="5"/>
    <x v="8"/>
    <x v="14"/>
    <x v="2"/>
    <n v="152.1"/>
  </r>
  <r>
    <x v="0"/>
    <x v="5"/>
    <x v="8"/>
    <x v="15"/>
    <x v="2"/>
    <n v="146.1"/>
  </r>
  <r>
    <x v="0"/>
    <x v="5"/>
    <x v="8"/>
    <x v="16"/>
    <x v="2"/>
    <n v="151.30000000000001"/>
  </r>
  <r>
    <x v="0"/>
    <x v="5"/>
    <x v="8"/>
    <x v="17"/>
    <x v="3"/>
    <s v="NA"/>
  </r>
  <r>
    <x v="0"/>
    <x v="5"/>
    <x v="8"/>
    <x v="18"/>
    <x v="4"/>
    <n v="149"/>
  </r>
  <r>
    <x v="0"/>
    <x v="5"/>
    <x v="8"/>
    <x v="19"/>
    <x v="5"/>
    <n v="144"/>
  </r>
  <r>
    <x v="0"/>
    <x v="5"/>
    <x v="8"/>
    <x v="20"/>
    <x v="6"/>
    <n v="140"/>
  </r>
  <r>
    <x v="0"/>
    <x v="5"/>
    <x v="8"/>
    <x v="21"/>
    <x v="7"/>
    <n v="129.9"/>
  </r>
  <r>
    <x v="0"/>
    <x v="5"/>
    <x v="8"/>
    <x v="22"/>
    <x v="8"/>
    <n v="140"/>
  </r>
  <r>
    <x v="0"/>
    <x v="5"/>
    <x v="8"/>
    <x v="23"/>
    <x v="9"/>
    <n v="147.6"/>
  </r>
  <r>
    <x v="0"/>
    <x v="5"/>
    <x v="8"/>
    <x v="24"/>
    <x v="8"/>
    <n v="132"/>
  </r>
  <r>
    <x v="0"/>
    <x v="5"/>
    <x v="8"/>
    <x v="25"/>
    <x v="5"/>
    <n v="137.4"/>
  </r>
  <r>
    <x v="0"/>
    <x v="5"/>
    <x v="8"/>
    <x v="26"/>
    <x v="10"/>
    <n v="142.1"/>
  </r>
  <r>
    <x v="1"/>
    <x v="5"/>
    <x v="8"/>
    <x v="0"/>
    <x v="0"/>
    <n v="137"/>
  </r>
  <r>
    <x v="1"/>
    <x v="5"/>
    <x v="8"/>
    <x v="1"/>
    <x v="0"/>
    <n v="143.1"/>
  </r>
  <r>
    <x v="1"/>
    <x v="5"/>
    <x v="8"/>
    <x v="2"/>
    <x v="0"/>
    <n v="132.80000000000001"/>
  </r>
  <r>
    <x v="1"/>
    <x v="5"/>
    <x v="8"/>
    <x v="3"/>
    <x v="0"/>
    <n v="141.5"/>
  </r>
  <r>
    <x v="1"/>
    <x v="5"/>
    <x v="8"/>
    <x v="4"/>
    <x v="0"/>
    <n v="117.8"/>
  </r>
  <r>
    <x v="1"/>
    <x v="5"/>
    <x v="8"/>
    <x v="5"/>
    <x v="0"/>
    <n v="140"/>
  </r>
  <r>
    <x v="1"/>
    <x v="5"/>
    <x v="8"/>
    <x v="6"/>
    <x v="0"/>
    <n v="151.30000000000001"/>
  </r>
  <r>
    <x v="1"/>
    <x v="5"/>
    <x v="8"/>
    <x v="7"/>
    <x v="0"/>
    <n v="113.5"/>
  </r>
  <r>
    <x v="1"/>
    <x v="5"/>
    <x v="8"/>
    <x v="8"/>
    <x v="0"/>
    <n v="112.3"/>
  </r>
  <r>
    <x v="1"/>
    <x v="5"/>
    <x v="8"/>
    <x v="9"/>
    <x v="0"/>
    <n v="141.19999999999999"/>
  </r>
  <r>
    <x v="1"/>
    <x v="5"/>
    <x v="8"/>
    <x v="10"/>
    <x v="0"/>
    <n v="127.7"/>
  </r>
  <r>
    <x v="1"/>
    <x v="5"/>
    <x v="8"/>
    <x v="11"/>
    <x v="0"/>
    <n v="151.30000000000001"/>
  </r>
  <r>
    <x v="1"/>
    <x v="5"/>
    <x v="8"/>
    <x v="12"/>
    <x v="0"/>
    <n v="138.9"/>
  </r>
  <r>
    <x v="1"/>
    <x v="5"/>
    <x v="8"/>
    <x v="13"/>
    <x v="1"/>
    <n v="163.30000000000001"/>
  </r>
  <r>
    <x v="1"/>
    <x v="5"/>
    <x v="8"/>
    <x v="14"/>
    <x v="2"/>
    <n v="140.80000000000001"/>
  </r>
  <r>
    <x v="1"/>
    <x v="5"/>
    <x v="8"/>
    <x v="15"/>
    <x v="2"/>
    <n v="129.30000000000001"/>
  </r>
  <r>
    <x v="1"/>
    <x v="5"/>
    <x v="8"/>
    <x v="16"/>
    <x v="2"/>
    <n v="139.1"/>
  </r>
  <r>
    <x v="1"/>
    <x v="5"/>
    <x v="8"/>
    <x v="17"/>
    <x v="3"/>
    <n v="145.30000000000001"/>
  </r>
  <r>
    <x v="1"/>
    <x v="5"/>
    <x v="8"/>
    <x v="18"/>
    <x v="4"/>
    <n v="131.19999999999999"/>
  </r>
  <r>
    <x v="1"/>
    <x v="5"/>
    <x v="8"/>
    <x v="19"/>
    <x v="5"/>
    <n v="134.9"/>
  </r>
  <r>
    <x v="1"/>
    <x v="5"/>
    <x v="8"/>
    <x v="20"/>
    <x v="6"/>
    <n v="135.69999999999999"/>
  </r>
  <r>
    <x v="1"/>
    <x v="5"/>
    <x v="8"/>
    <x v="21"/>
    <x v="7"/>
    <n v="122.5"/>
  </r>
  <r>
    <x v="1"/>
    <x v="5"/>
    <x v="8"/>
    <x v="22"/>
    <x v="8"/>
    <n v="130.19999999999999"/>
  </r>
  <r>
    <x v="1"/>
    <x v="5"/>
    <x v="8"/>
    <x v="23"/>
    <x v="9"/>
    <n v="145.19999999999999"/>
  </r>
  <r>
    <x v="1"/>
    <x v="5"/>
    <x v="8"/>
    <x v="24"/>
    <x v="8"/>
    <n v="129.30000000000001"/>
  </r>
  <r>
    <x v="1"/>
    <x v="5"/>
    <x v="8"/>
    <x v="25"/>
    <x v="5"/>
    <n v="131.9"/>
  </r>
  <r>
    <x v="1"/>
    <x v="5"/>
    <x v="8"/>
    <x v="26"/>
    <x v="10"/>
    <n v="138.1"/>
  </r>
  <r>
    <x v="2"/>
    <x v="5"/>
    <x v="8"/>
    <x v="0"/>
    <x v="0"/>
    <n v="138.6"/>
  </r>
  <r>
    <x v="2"/>
    <x v="5"/>
    <x v="8"/>
    <x v="1"/>
    <x v="0"/>
    <n v="145.80000000000001"/>
  </r>
  <r>
    <x v="2"/>
    <x v="5"/>
    <x v="8"/>
    <x v="2"/>
    <x v="0"/>
    <n v="135.1"/>
  </r>
  <r>
    <x v="2"/>
    <x v="5"/>
    <x v="8"/>
    <x v="3"/>
    <x v="0"/>
    <n v="142.9"/>
  </r>
  <r>
    <x v="2"/>
    <x v="5"/>
    <x v="8"/>
    <x v="4"/>
    <x v="0"/>
    <n v="122.1"/>
  </r>
  <r>
    <x v="2"/>
    <x v="5"/>
    <x v="8"/>
    <x v="5"/>
    <x v="0"/>
    <n v="145.4"/>
  </r>
  <r>
    <x v="2"/>
    <x v="5"/>
    <x v="8"/>
    <x v="6"/>
    <x v="0"/>
    <n v="150"/>
  </r>
  <r>
    <x v="2"/>
    <x v="5"/>
    <x v="8"/>
    <x v="7"/>
    <x v="0"/>
    <n v="121.4"/>
  </r>
  <r>
    <x v="2"/>
    <x v="5"/>
    <x v="8"/>
    <x v="8"/>
    <x v="0"/>
    <n v="113.7"/>
  </r>
  <r>
    <x v="2"/>
    <x v="5"/>
    <x v="8"/>
    <x v="9"/>
    <x v="0"/>
    <n v="139.5"/>
  </r>
  <r>
    <x v="2"/>
    <x v="5"/>
    <x v="8"/>
    <x v="10"/>
    <x v="0"/>
    <n v="130.80000000000001"/>
  </r>
  <r>
    <x v="2"/>
    <x v="5"/>
    <x v="8"/>
    <x v="11"/>
    <x v="0"/>
    <n v="153.80000000000001"/>
  </r>
  <r>
    <x v="2"/>
    <x v="5"/>
    <x v="8"/>
    <x v="12"/>
    <x v="0"/>
    <n v="140.4"/>
  </r>
  <r>
    <x v="2"/>
    <x v="5"/>
    <x v="8"/>
    <x v="13"/>
    <x v="1"/>
    <n v="159.19999999999999"/>
  </r>
  <r>
    <x v="2"/>
    <x v="5"/>
    <x v="8"/>
    <x v="14"/>
    <x v="2"/>
    <n v="147.69999999999999"/>
  </r>
  <r>
    <x v="2"/>
    <x v="5"/>
    <x v="8"/>
    <x v="15"/>
    <x v="2"/>
    <n v="139.1"/>
  </r>
  <r>
    <x v="2"/>
    <x v="5"/>
    <x v="8"/>
    <x v="16"/>
    <x v="2"/>
    <n v="146.5"/>
  </r>
  <r>
    <x v="2"/>
    <x v="5"/>
    <x v="8"/>
    <x v="17"/>
    <x v="3"/>
    <n v="145.30000000000001"/>
  </r>
  <r>
    <x v="2"/>
    <x v="5"/>
    <x v="8"/>
    <x v="18"/>
    <x v="4"/>
    <n v="142.30000000000001"/>
  </r>
  <r>
    <x v="2"/>
    <x v="5"/>
    <x v="8"/>
    <x v="19"/>
    <x v="5"/>
    <n v="139.69999999999999"/>
  </r>
  <r>
    <x v="2"/>
    <x v="5"/>
    <x v="8"/>
    <x v="20"/>
    <x v="6"/>
    <n v="138.4"/>
  </r>
  <r>
    <x v="2"/>
    <x v="5"/>
    <x v="8"/>
    <x v="21"/>
    <x v="7"/>
    <n v="126"/>
  </r>
  <r>
    <x v="2"/>
    <x v="5"/>
    <x v="8"/>
    <x v="22"/>
    <x v="8"/>
    <n v="134.5"/>
  </r>
  <r>
    <x v="2"/>
    <x v="5"/>
    <x v="8"/>
    <x v="23"/>
    <x v="9"/>
    <n v="146.19999999999999"/>
  </r>
  <r>
    <x v="2"/>
    <x v="5"/>
    <x v="8"/>
    <x v="24"/>
    <x v="8"/>
    <n v="130.9"/>
  </r>
  <r>
    <x v="2"/>
    <x v="5"/>
    <x v="8"/>
    <x v="25"/>
    <x v="5"/>
    <n v="134.69999999999999"/>
  </r>
  <r>
    <x v="2"/>
    <x v="5"/>
    <x v="8"/>
    <x v="26"/>
    <x v="10"/>
    <n v="140.19999999999999"/>
  </r>
  <r>
    <x v="0"/>
    <x v="5"/>
    <x v="9"/>
    <x v="0"/>
    <x v="0"/>
    <n v="139.30000000000001"/>
  </r>
  <r>
    <x v="0"/>
    <x v="5"/>
    <x v="9"/>
    <x v="1"/>
    <x v="0"/>
    <n v="147.6"/>
  </r>
  <r>
    <x v="0"/>
    <x v="5"/>
    <x v="9"/>
    <x v="2"/>
    <x v="0"/>
    <n v="134.6"/>
  </r>
  <r>
    <x v="0"/>
    <x v="5"/>
    <x v="9"/>
    <x v="3"/>
    <x v="0"/>
    <n v="141.9"/>
  </r>
  <r>
    <x v="0"/>
    <x v="5"/>
    <x v="9"/>
    <x v="4"/>
    <x v="0"/>
    <n v="123.5"/>
  </r>
  <r>
    <x v="0"/>
    <x v="5"/>
    <x v="9"/>
    <x v="5"/>
    <x v="0"/>
    <n v="144.5"/>
  </r>
  <r>
    <x v="0"/>
    <x v="5"/>
    <x v="9"/>
    <x v="6"/>
    <x v="0"/>
    <n v="147.6"/>
  </r>
  <r>
    <x v="0"/>
    <x v="5"/>
    <x v="9"/>
    <x v="7"/>
    <x v="0"/>
    <n v="121.4"/>
  </r>
  <r>
    <x v="0"/>
    <x v="5"/>
    <x v="9"/>
    <x v="8"/>
    <x v="0"/>
    <n v="112.3"/>
  </r>
  <r>
    <x v="0"/>
    <x v="5"/>
    <x v="9"/>
    <x v="9"/>
    <x v="0"/>
    <n v="139.5"/>
  </r>
  <r>
    <x v="0"/>
    <x v="5"/>
    <x v="9"/>
    <x v="10"/>
    <x v="0"/>
    <n v="134.6"/>
  </r>
  <r>
    <x v="0"/>
    <x v="5"/>
    <x v="9"/>
    <x v="11"/>
    <x v="0"/>
    <n v="155.19999999999999"/>
  </r>
  <r>
    <x v="0"/>
    <x v="5"/>
    <x v="9"/>
    <x v="12"/>
    <x v="0"/>
    <n v="140.19999999999999"/>
  </r>
  <r>
    <x v="0"/>
    <x v="5"/>
    <x v="9"/>
    <x v="13"/>
    <x v="1"/>
    <n v="159.6"/>
  </r>
  <r>
    <x v="0"/>
    <x v="5"/>
    <x v="9"/>
    <x v="14"/>
    <x v="2"/>
    <n v="150.69999999999999"/>
  </r>
  <r>
    <x v="0"/>
    <x v="5"/>
    <x v="9"/>
    <x v="15"/>
    <x v="2"/>
    <n v="144.5"/>
  </r>
  <r>
    <x v="0"/>
    <x v="5"/>
    <x v="9"/>
    <x v="16"/>
    <x v="2"/>
    <n v="149.80000000000001"/>
  </r>
  <r>
    <x v="0"/>
    <x v="5"/>
    <x v="9"/>
    <x v="17"/>
    <x v="3"/>
    <s v="NA"/>
  </r>
  <r>
    <x v="0"/>
    <x v="5"/>
    <x v="9"/>
    <x v="18"/>
    <x v="4"/>
    <n v="149.69999999999999"/>
  </r>
  <r>
    <x v="0"/>
    <x v="5"/>
    <x v="9"/>
    <x v="19"/>
    <x v="5"/>
    <n v="147.5"/>
  </r>
  <r>
    <x v="0"/>
    <x v="5"/>
    <x v="9"/>
    <x v="20"/>
    <x v="6"/>
    <n v="144.80000000000001"/>
  </r>
  <r>
    <x v="0"/>
    <x v="5"/>
    <x v="9"/>
    <x v="21"/>
    <x v="7"/>
    <n v="130.80000000000001"/>
  </r>
  <r>
    <x v="0"/>
    <x v="5"/>
    <x v="9"/>
    <x v="22"/>
    <x v="8"/>
    <n v="140.1"/>
  </r>
  <r>
    <x v="0"/>
    <x v="5"/>
    <x v="9"/>
    <x v="23"/>
    <x v="9"/>
    <n v="148"/>
  </r>
  <r>
    <x v="0"/>
    <x v="5"/>
    <x v="9"/>
    <x v="24"/>
    <x v="8"/>
    <n v="134.4"/>
  </r>
  <r>
    <x v="0"/>
    <x v="5"/>
    <x v="9"/>
    <x v="25"/>
    <x v="5"/>
    <n v="139.80000000000001"/>
  </r>
  <r>
    <x v="0"/>
    <x v="5"/>
    <x v="9"/>
    <x v="26"/>
    <x v="10"/>
    <n v="142.19999999999999"/>
  </r>
  <r>
    <x v="1"/>
    <x v="5"/>
    <x v="9"/>
    <x v="0"/>
    <x v="0"/>
    <n v="137.6"/>
  </r>
  <r>
    <x v="1"/>
    <x v="5"/>
    <x v="9"/>
    <x v="1"/>
    <x v="0"/>
    <n v="144.9"/>
  </r>
  <r>
    <x v="1"/>
    <x v="5"/>
    <x v="9"/>
    <x v="2"/>
    <x v="0"/>
    <n v="133.5"/>
  </r>
  <r>
    <x v="1"/>
    <x v="5"/>
    <x v="9"/>
    <x v="3"/>
    <x v="0"/>
    <n v="141.5"/>
  </r>
  <r>
    <x v="1"/>
    <x v="5"/>
    <x v="9"/>
    <x v="4"/>
    <x v="0"/>
    <n v="118"/>
  </r>
  <r>
    <x v="1"/>
    <x v="5"/>
    <x v="9"/>
    <x v="5"/>
    <x v="0"/>
    <n v="139.5"/>
  </r>
  <r>
    <x v="1"/>
    <x v="5"/>
    <x v="9"/>
    <x v="6"/>
    <x v="0"/>
    <n v="153"/>
  </r>
  <r>
    <x v="1"/>
    <x v="5"/>
    <x v="9"/>
    <x v="7"/>
    <x v="0"/>
    <n v="113.2"/>
  </r>
  <r>
    <x v="1"/>
    <x v="5"/>
    <x v="9"/>
    <x v="8"/>
    <x v="0"/>
    <n v="112.8"/>
  </r>
  <r>
    <x v="1"/>
    <x v="5"/>
    <x v="9"/>
    <x v="9"/>
    <x v="0"/>
    <n v="141.1"/>
  </r>
  <r>
    <x v="1"/>
    <x v="5"/>
    <x v="9"/>
    <x v="10"/>
    <x v="0"/>
    <n v="127.6"/>
  </r>
  <r>
    <x v="1"/>
    <x v="5"/>
    <x v="9"/>
    <x v="11"/>
    <x v="0"/>
    <n v="152"/>
  </r>
  <r>
    <x v="1"/>
    <x v="5"/>
    <x v="9"/>
    <x v="12"/>
    <x v="0"/>
    <n v="139.4"/>
  </r>
  <r>
    <x v="1"/>
    <x v="5"/>
    <x v="9"/>
    <x v="13"/>
    <x v="1"/>
    <n v="164"/>
  </r>
  <r>
    <x v="1"/>
    <x v="5"/>
    <x v="9"/>
    <x v="14"/>
    <x v="2"/>
    <n v="141.5"/>
  </r>
  <r>
    <x v="1"/>
    <x v="5"/>
    <x v="9"/>
    <x v="15"/>
    <x v="2"/>
    <n v="129.80000000000001"/>
  </r>
  <r>
    <x v="1"/>
    <x v="5"/>
    <x v="9"/>
    <x v="16"/>
    <x v="2"/>
    <n v="139.69999999999999"/>
  </r>
  <r>
    <x v="1"/>
    <x v="5"/>
    <x v="9"/>
    <x v="17"/>
    <x v="3"/>
    <n v="146.30000000000001"/>
  </r>
  <r>
    <x v="1"/>
    <x v="5"/>
    <x v="9"/>
    <x v="18"/>
    <x v="4"/>
    <n v="133.4"/>
  </r>
  <r>
    <x v="1"/>
    <x v="5"/>
    <x v="9"/>
    <x v="19"/>
    <x v="5"/>
    <n v="135.1"/>
  </r>
  <r>
    <x v="1"/>
    <x v="5"/>
    <x v="9"/>
    <x v="20"/>
    <x v="6"/>
    <n v="136.19999999999999"/>
  </r>
  <r>
    <x v="1"/>
    <x v="5"/>
    <x v="9"/>
    <x v="21"/>
    <x v="7"/>
    <n v="123.3"/>
  </r>
  <r>
    <x v="1"/>
    <x v="5"/>
    <x v="9"/>
    <x v="22"/>
    <x v="8"/>
    <n v="130.69999999999999"/>
  </r>
  <r>
    <x v="1"/>
    <x v="5"/>
    <x v="9"/>
    <x v="23"/>
    <x v="9"/>
    <n v="145.5"/>
  </r>
  <r>
    <x v="1"/>
    <x v="5"/>
    <x v="9"/>
    <x v="24"/>
    <x v="8"/>
    <n v="130.4"/>
  </r>
  <r>
    <x v="1"/>
    <x v="5"/>
    <x v="9"/>
    <x v="25"/>
    <x v="5"/>
    <n v="132.5"/>
  </r>
  <r>
    <x v="1"/>
    <x v="5"/>
    <x v="9"/>
    <x v="26"/>
    <x v="10"/>
    <n v="138.9"/>
  </r>
  <r>
    <x v="2"/>
    <x v="5"/>
    <x v="9"/>
    <x v="0"/>
    <x v="0"/>
    <n v="137.4"/>
  </r>
  <r>
    <x v="2"/>
    <x v="5"/>
    <x v="9"/>
    <x v="1"/>
    <x v="0"/>
    <n v="149.5"/>
  </r>
  <r>
    <x v="2"/>
    <x v="5"/>
    <x v="9"/>
    <x v="2"/>
    <x v="0"/>
    <n v="137.30000000000001"/>
  </r>
  <r>
    <x v="2"/>
    <x v="5"/>
    <x v="9"/>
    <x v="3"/>
    <x v="0"/>
    <n v="141.9"/>
  </r>
  <r>
    <x v="2"/>
    <x v="5"/>
    <x v="9"/>
    <x v="4"/>
    <x v="0"/>
    <n v="121.1"/>
  </r>
  <r>
    <x v="2"/>
    <x v="5"/>
    <x v="9"/>
    <x v="5"/>
    <x v="0"/>
    <n v="142.5"/>
  </r>
  <r>
    <x v="2"/>
    <x v="5"/>
    <x v="9"/>
    <x v="6"/>
    <x v="0"/>
    <n v="146.69999999999999"/>
  </r>
  <r>
    <x v="2"/>
    <x v="5"/>
    <x v="9"/>
    <x v="7"/>
    <x v="0"/>
    <n v="119.1"/>
  </r>
  <r>
    <x v="2"/>
    <x v="5"/>
    <x v="9"/>
    <x v="8"/>
    <x v="0"/>
    <n v="111.9"/>
  </r>
  <r>
    <x v="2"/>
    <x v="5"/>
    <x v="9"/>
    <x v="9"/>
    <x v="0"/>
    <n v="141"/>
  </r>
  <r>
    <x v="2"/>
    <x v="5"/>
    <x v="9"/>
    <x v="10"/>
    <x v="0"/>
    <n v="133.6"/>
  </r>
  <r>
    <x v="2"/>
    <x v="5"/>
    <x v="9"/>
    <x v="11"/>
    <x v="0"/>
    <n v="154.5"/>
  </r>
  <r>
    <x v="2"/>
    <x v="5"/>
    <x v="9"/>
    <x v="12"/>
    <x v="0"/>
    <n v="139.69999999999999"/>
  </r>
  <r>
    <x v="2"/>
    <x v="5"/>
    <x v="9"/>
    <x v="13"/>
    <x v="1"/>
    <n v="162.6"/>
  </r>
  <r>
    <x v="2"/>
    <x v="5"/>
    <x v="9"/>
    <x v="14"/>
    <x v="2"/>
    <n v="148"/>
  </r>
  <r>
    <x v="2"/>
    <x v="5"/>
    <x v="9"/>
    <x v="15"/>
    <x v="2"/>
    <n v="139.19999999999999"/>
  </r>
  <r>
    <x v="2"/>
    <x v="5"/>
    <x v="9"/>
    <x v="16"/>
    <x v="2"/>
    <n v="146.80000000000001"/>
  </r>
  <r>
    <x v="2"/>
    <x v="5"/>
    <x v="9"/>
    <x v="17"/>
    <x v="3"/>
    <n v="146.9"/>
  </r>
  <r>
    <x v="2"/>
    <x v="5"/>
    <x v="9"/>
    <x v="18"/>
    <x v="4"/>
    <n v="145.30000000000001"/>
  </r>
  <r>
    <x v="2"/>
    <x v="5"/>
    <x v="9"/>
    <x v="19"/>
    <x v="5"/>
    <n v="142.19999999999999"/>
  </r>
  <r>
    <x v="2"/>
    <x v="5"/>
    <x v="9"/>
    <x v="20"/>
    <x v="6"/>
    <n v="142.1"/>
  </r>
  <r>
    <x v="2"/>
    <x v="5"/>
    <x v="9"/>
    <x v="21"/>
    <x v="7"/>
    <n v="125.5"/>
  </r>
  <r>
    <x v="2"/>
    <x v="5"/>
    <x v="9"/>
    <x v="22"/>
    <x v="8"/>
    <n v="136.5"/>
  </r>
  <r>
    <x v="2"/>
    <x v="5"/>
    <x v="9"/>
    <x v="23"/>
    <x v="9"/>
    <n v="147.80000000000001"/>
  </r>
  <r>
    <x v="2"/>
    <x v="5"/>
    <x v="9"/>
    <x v="24"/>
    <x v="8"/>
    <n v="132"/>
  </r>
  <r>
    <x v="2"/>
    <x v="5"/>
    <x v="9"/>
    <x v="25"/>
    <x v="5"/>
    <n v="136.30000000000001"/>
  </r>
  <r>
    <x v="2"/>
    <x v="5"/>
    <x v="9"/>
    <x v="26"/>
    <x v="10"/>
    <n v="140.80000000000001"/>
  </r>
  <r>
    <x v="0"/>
    <x v="5"/>
    <x v="11"/>
    <x v="0"/>
    <x v="0"/>
    <n v="137.1"/>
  </r>
  <r>
    <x v="0"/>
    <x v="5"/>
    <x v="11"/>
    <x v="1"/>
    <x v="0"/>
    <n v="150.80000000000001"/>
  </r>
  <r>
    <x v="0"/>
    <x v="5"/>
    <x v="11"/>
    <x v="2"/>
    <x v="0"/>
    <n v="136.69999999999999"/>
  </r>
  <r>
    <x v="0"/>
    <x v="5"/>
    <x v="11"/>
    <x v="3"/>
    <x v="0"/>
    <n v="141.9"/>
  </r>
  <r>
    <x v="0"/>
    <x v="5"/>
    <x v="11"/>
    <x v="4"/>
    <x v="0"/>
    <n v="122.8"/>
  </r>
  <r>
    <x v="0"/>
    <x v="5"/>
    <x v="11"/>
    <x v="5"/>
    <x v="0"/>
    <n v="143.9"/>
  </r>
  <r>
    <x v="0"/>
    <x v="5"/>
    <x v="11"/>
    <x v="6"/>
    <x v="0"/>
    <n v="147.5"/>
  </r>
  <r>
    <x v="0"/>
    <x v="5"/>
    <x v="11"/>
    <x v="7"/>
    <x v="0"/>
    <n v="121"/>
  </r>
  <r>
    <x v="0"/>
    <x v="5"/>
    <x v="11"/>
    <x v="8"/>
    <x v="0"/>
    <n v="111.6"/>
  </r>
  <r>
    <x v="0"/>
    <x v="5"/>
    <x v="11"/>
    <x v="9"/>
    <x v="0"/>
    <n v="140.6"/>
  </r>
  <r>
    <x v="0"/>
    <x v="5"/>
    <x v="11"/>
    <x v="10"/>
    <x v="0"/>
    <n v="137.5"/>
  </r>
  <r>
    <x v="0"/>
    <x v="5"/>
    <x v="11"/>
    <x v="11"/>
    <x v="0"/>
    <n v="156.1"/>
  </r>
  <r>
    <x v="0"/>
    <x v="5"/>
    <x v="11"/>
    <x v="12"/>
    <x v="0"/>
    <n v="140"/>
  </r>
  <r>
    <x v="0"/>
    <x v="5"/>
    <x v="11"/>
    <x v="13"/>
    <x v="1"/>
    <n v="161.9"/>
  </r>
  <r>
    <x v="0"/>
    <x v="5"/>
    <x v="11"/>
    <x v="14"/>
    <x v="2"/>
    <n v="151.69999999999999"/>
  </r>
  <r>
    <x v="0"/>
    <x v="5"/>
    <x v="11"/>
    <x v="15"/>
    <x v="2"/>
    <n v="145.5"/>
  </r>
  <r>
    <x v="0"/>
    <x v="5"/>
    <x v="11"/>
    <x v="16"/>
    <x v="2"/>
    <n v="150.80000000000001"/>
  </r>
  <r>
    <x v="0"/>
    <x v="5"/>
    <x v="11"/>
    <x v="17"/>
    <x v="3"/>
    <s v="NA"/>
  </r>
  <r>
    <x v="0"/>
    <x v="5"/>
    <x v="11"/>
    <x v="18"/>
    <x v="4"/>
    <n v="150.30000000000001"/>
  </r>
  <r>
    <x v="0"/>
    <x v="5"/>
    <x v="11"/>
    <x v="19"/>
    <x v="5"/>
    <n v="148"/>
  </r>
  <r>
    <x v="0"/>
    <x v="5"/>
    <x v="11"/>
    <x v="20"/>
    <x v="6"/>
    <n v="145.4"/>
  </r>
  <r>
    <x v="0"/>
    <x v="5"/>
    <x v="11"/>
    <x v="21"/>
    <x v="7"/>
    <n v="130.30000000000001"/>
  </r>
  <r>
    <x v="0"/>
    <x v="5"/>
    <x v="11"/>
    <x v="22"/>
    <x v="8"/>
    <n v="143.1"/>
  </r>
  <r>
    <x v="0"/>
    <x v="5"/>
    <x v="11"/>
    <x v="23"/>
    <x v="9"/>
    <n v="150.19999999999999"/>
  </r>
  <r>
    <x v="0"/>
    <x v="5"/>
    <x v="11"/>
    <x v="24"/>
    <x v="8"/>
    <n v="133.1"/>
  </r>
  <r>
    <x v="0"/>
    <x v="5"/>
    <x v="11"/>
    <x v="25"/>
    <x v="5"/>
    <n v="140.1"/>
  </r>
  <r>
    <x v="0"/>
    <x v="5"/>
    <x v="11"/>
    <x v="26"/>
    <x v="10"/>
    <n v="142.4"/>
  </r>
  <r>
    <x v="1"/>
    <x v="5"/>
    <x v="11"/>
    <x v="0"/>
    <x v="0"/>
    <n v="138.1"/>
  </r>
  <r>
    <x v="1"/>
    <x v="5"/>
    <x v="11"/>
    <x v="1"/>
    <x v="0"/>
    <n v="146.30000000000001"/>
  </r>
  <r>
    <x v="1"/>
    <x v="5"/>
    <x v="11"/>
    <x v="2"/>
    <x v="0"/>
    <n v="137.80000000000001"/>
  </r>
  <r>
    <x v="1"/>
    <x v="5"/>
    <x v="11"/>
    <x v="3"/>
    <x v="0"/>
    <n v="141.6"/>
  </r>
  <r>
    <x v="1"/>
    <x v="5"/>
    <x v="11"/>
    <x v="4"/>
    <x v="0"/>
    <n v="118.1"/>
  </r>
  <r>
    <x v="1"/>
    <x v="5"/>
    <x v="11"/>
    <x v="5"/>
    <x v="0"/>
    <n v="141.5"/>
  </r>
  <r>
    <x v="1"/>
    <x v="5"/>
    <x v="11"/>
    <x v="6"/>
    <x v="0"/>
    <n v="145.19999999999999"/>
  </r>
  <r>
    <x v="1"/>
    <x v="5"/>
    <x v="11"/>
    <x v="7"/>
    <x v="0"/>
    <n v="115.3"/>
  </r>
  <r>
    <x v="1"/>
    <x v="5"/>
    <x v="11"/>
    <x v="8"/>
    <x v="0"/>
    <n v="112.5"/>
  </r>
  <r>
    <x v="1"/>
    <x v="5"/>
    <x v="11"/>
    <x v="9"/>
    <x v="0"/>
    <n v="141.4"/>
  </r>
  <r>
    <x v="1"/>
    <x v="5"/>
    <x v="11"/>
    <x v="10"/>
    <x v="0"/>
    <n v="128"/>
  </r>
  <r>
    <x v="1"/>
    <x v="5"/>
    <x v="11"/>
    <x v="11"/>
    <x v="0"/>
    <n v="152.6"/>
  </r>
  <r>
    <x v="1"/>
    <x v="5"/>
    <x v="11"/>
    <x v="12"/>
    <x v="0"/>
    <n v="139.1"/>
  </r>
  <r>
    <x v="1"/>
    <x v="5"/>
    <x v="11"/>
    <x v="13"/>
    <x v="1"/>
    <n v="164.4"/>
  </r>
  <r>
    <x v="1"/>
    <x v="5"/>
    <x v="11"/>
    <x v="14"/>
    <x v="2"/>
    <n v="142.4"/>
  </r>
  <r>
    <x v="1"/>
    <x v="5"/>
    <x v="11"/>
    <x v="15"/>
    <x v="2"/>
    <n v="130.19999999999999"/>
  </r>
  <r>
    <x v="1"/>
    <x v="5"/>
    <x v="11"/>
    <x v="16"/>
    <x v="2"/>
    <n v="140.5"/>
  </r>
  <r>
    <x v="1"/>
    <x v="5"/>
    <x v="11"/>
    <x v="17"/>
    <x v="3"/>
    <n v="146.9"/>
  </r>
  <r>
    <x v="1"/>
    <x v="5"/>
    <x v="11"/>
    <x v="18"/>
    <x v="4"/>
    <n v="136.69999999999999"/>
  </r>
  <r>
    <x v="1"/>
    <x v="5"/>
    <x v="11"/>
    <x v="19"/>
    <x v="5"/>
    <n v="135.80000000000001"/>
  </r>
  <r>
    <x v="1"/>
    <x v="5"/>
    <x v="11"/>
    <x v="20"/>
    <x v="6"/>
    <n v="136.80000000000001"/>
  </r>
  <r>
    <x v="1"/>
    <x v="5"/>
    <x v="11"/>
    <x v="21"/>
    <x v="7"/>
    <n v="121.2"/>
  </r>
  <r>
    <x v="1"/>
    <x v="5"/>
    <x v="11"/>
    <x v="22"/>
    <x v="8"/>
    <n v="131.30000000000001"/>
  </r>
  <r>
    <x v="1"/>
    <x v="5"/>
    <x v="11"/>
    <x v="23"/>
    <x v="9"/>
    <n v="146.1"/>
  </r>
  <r>
    <x v="1"/>
    <x v="5"/>
    <x v="11"/>
    <x v="24"/>
    <x v="8"/>
    <n v="130.5"/>
  </r>
  <r>
    <x v="1"/>
    <x v="5"/>
    <x v="11"/>
    <x v="25"/>
    <x v="5"/>
    <n v="132.19999999999999"/>
  </r>
  <r>
    <x v="1"/>
    <x v="5"/>
    <x v="11"/>
    <x v="26"/>
    <x v="10"/>
    <n v="139"/>
  </r>
  <r>
    <x v="2"/>
    <x v="5"/>
    <x v="11"/>
    <x v="0"/>
    <x v="0"/>
    <n v="137.4"/>
  </r>
  <r>
    <x v="2"/>
    <x v="5"/>
    <x v="11"/>
    <x v="1"/>
    <x v="0"/>
    <n v="149.19999999999999"/>
  </r>
  <r>
    <x v="2"/>
    <x v="5"/>
    <x v="11"/>
    <x v="2"/>
    <x v="0"/>
    <n v="137.1"/>
  </r>
  <r>
    <x v="2"/>
    <x v="5"/>
    <x v="11"/>
    <x v="3"/>
    <x v="0"/>
    <n v="141.80000000000001"/>
  </r>
  <r>
    <x v="2"/>
    <x v="5"/>
    <x v="11"/>
    <x v="4"/>
    <x v="0"/>
    <n v="121.1"/>
  </r>
  <r>
    <x v="2"/>
    <x v="5"/>
    <x v="11"/>
    <x v="5"/>
    <x v="0"/>
    <n v="142.80000000000001"/>
  </r>
  <r>
    <x v="2"/>
    <x v="5"/>
    <x v="11"/>
    <x v="6"/>
    <x v="0"/>
    <n v="146.69999999999999"/>
  </r>
  <r>
    <x v="2"/>
    <x v="5"/>
    <x v="11"/>
    <x v="7"/>
    <x v="0"/>
    <n v="119.1"/>
  </r>
  <r>
    <x v="2"/>
    <x v="5"/>
    <x v="11"/>
    <x v="8"/>
    <x v="0"/>
    <n v="111.9"/>
  </r>
  <r>
    <x v="2"/>
    <x v="5"/>
    <x v="11"/>
    <x v="9"/>
    <x v="0"/>
    <n v="140.9"/>
  </r>
  <r>
    <x v="2"/>
    <x v="5"/>
    <x v="11"/>
    <x v="10"/>
    <x v="0"/>
    <n v="133.5"/>
  </r>
  <r>
    <x v="2"/>
    <x v="5"/>
    <x v="11"/>
    <x v="11"/>
    <x v="0"/>
    <n v="154.5"/>
  </r>
  <r>
    <x v="2"/>
    <x v="5"/>
    <x v="11"/>
    <x v="12"/>
    <x v="0"/>
    <n v="139.69999999999999"/>
  </r>
  <r>
    <x v="2"/>
    <x v="5"/>
    <x v="11"/>
    <x v="13"/>
    <x v="1"/>
    <n v="162.6"/>
  </r>
  <r>
    <x v="2"/>
    <x v="5"/>
    <x v="11"/>
    <x v="14"/>
    <x v="2"/>
    <n v="148"/>
  </r>
  <r>
    <x v="2"/>
    <x v="5"/>
    <x v="11"/>
    <x v="15"/>
    <x v="2"/>
    <n v="139.1"/>
  </r>
  <r>
    <x v="2"/>
    <x v="5"/>
    <x v="11"/>
    <x v="16"/>
    <x v="2"/>
    <n v="146.69999999999999"/>
  </r>
  <r>
    <x v="2"/>
    <x v="5"/>
    <x v="11"/>
    <x v="17"/>
    <x v="3"/>
    <n v="146.9"/>
  </r>
  <r>
    <x v="2"/>
    <x v="5"/>
    <x v="11"/>
    <x v="18"/>
    <x v="4"/>
    <n v="145.1"/>
  </r>
  <r>
    <x v="2"/>
    <x v="5"/>
    <x v="11"/>
    <x v="19"/>
    <x v="5"/>
    <n v="142.19999999999999"/>
  </r>
  <r>
    <x v="2"/>
    <x v="5"/>
    <x v="11"/>
    <x v="20"/>
    <x v="6"/>
    <n v="142.1"/>
  </r>
  <r>
    <x v="2"/>
    <x v="5"/>
    <x v="11"/>
    <x v="21"/>
    <x v="7"/>
    <n v="125.5"/>
  </r>
  <r>
    <x v="2"/>
    <x v="5"/>
    <x v="11"/>
    <x v="22"/>
    <x v="8"/>
    <n v="136.5"/>
  </r>
  <r>
    <x v="2"/>
    <x v="5"/>
    <x v="11"/>
    <x v="23"/>
    <x v="9"/>
    <n v="147.80000000000001"/>
  </r>
  <r>
    <x v="2"/>
    <x v="5"/>
    <x v="11"/>
    <x v="24"/>
    <x v="8"/>
    <n v="132"/>
  </r>
  <r>
    <x v="2"/>
    <x v="5"/>
    <x v="11"/>
    <x v="25"/>
    <x v="5"/>
    <n v="136.30000000000001"/>
  </r>
  <r>
    <x v="2"/>
    <x v="5"/>
    <x v="11"/>
    <x v="26"/>
    <x v="10"/>
    <n v="140.80000000000001"/>
  </r>
  <r>
    <x v="0"/>
    <x v="5"/>
    <x v="12"/>
    <x v="0"/>
    <x v="0"/>
    <n v="137.1"/>
  </r>
  <r>
    <x v="0"/>
    <x v="5"/>
    <x v="12"/>
    <x v="1"/>
    <x v="0"/>
    <n v="151.9"/>
  </r>
  <r>
    <x v="0"/>
    <x v="5"/>
    <x v="12"/>
    <x v="2"/>
    <x v="0"/>
    <n v="137.4"/>
  </r>
  <r>
    <x v="0"/>
    <x v="5"/>
    <x v="12"/>
    <x v="3"/>
    <x v="0"/>
    <n v="142.4"/>
  </r>
  <r>
    <x v="0"/>
    <x v="5"/>
    <x v="12"/>
    <x v="4"/>
    <x v="0"/>
    <n v="124.2"/>
  </r>
  <r>
    <x v="0"/>
    <x v="5"/>
    <x v="12"/>
    <x v="5"/>
    <x v="0"/>
    <n v="140.19999999999999"/>
  </r>
  <r>
    <x v="0"/>
    <x v="5"/>
    <x v="12"/>
    <x v="6"/>
    <x v="0"/>
    <n v="136.6"/>
  </r>
  <r>
    <x v="0"/>
    <x v="5"/>
    <x v="12"/>
    <x v="7"/>
    <x v="0"/>
    <n v="120.9"/>
  </r>
  <r>
    <x v="0"/>
    <x v="5"/>
    <x v="12"/>
    <x v="8"/>
    <x v="0"/>
    <n v="109.9"/>
  </r>
  <r>
    <x v="0"/>
    <x v="5"/>
    <x v="12"/>
    <x v="9"/>
    <x v="0"/>
    <n v="140.19999999999999"/>
  </r>
  <r>
    <x v="0"/>
    <x v="5"/>
    <x v="12"/>
    <x v="10"/>
    <x v="0"/>
    <n v="137.80000000000001"/>
  </r>
  <r>
    <x v="0"/>
    <x v="5"/>
    <x v="12"/>
    <x v="11"/>
    <x v="0"/>
    <n v="156"/>
  </r>
  <r>
    <x v="0"/>
    <x v="5"/>
    <x v="12"/>
    <x v="12"/>
    <x v="0"/>
    <n v="138.5"/>
  </r>
  <r>
    <x v="0"/>
    <x v="5"/>
    <x v="12"/>
    <x v="13"/>
    <x v="1"/>
    <n v="162.4"/>
  </r>
  <r>
    <x v="0"/>
    <x v="5"/>
    <x v="12"/>
    <x v="14"/>
    <x v="2"/>
    <n v="151.6"/>
  </r>
  <r>
    <x v="0"/>
    <x v="5"/>
    <x v="12"/>
    <x v="15"/>
    <x v="2"/>
    <n v="145.9"/>
  </r>
  <r>
    <x v="0"/>
    <x v="5"/>
    <x v="12"/>
    <x v="16"/>
    <x v="2"/>
    <n v="150.80000000000001"/>
  </r>
  <r>
    <x v="0"/>
    <x v="5"/>
    <x v="12"/>
    <x v="17"/>
    <x v="3"/>
    <s v="NA"/>
  </r>
  <r>
    <x v="0"/>
    <x v="5"/>
    <x v="12"/>
    <x v="18"/>
    <x v="4"/>
    <n v="149"/>
  </r>
  <r>
    <x v="0"/>
    <x v="5"/>
    <x v="12"/>
    <x v="19"/>
    <x v="5"/>
    <n v="149.5"/>
  </r>
  <r>
    <x v="0"/>
    <x v="5"/>
    <x v="12"/>
    <x v="20"/>
    <x v="6"/>
    <n v="149.6"/>
  </r>
  <r>
    <x v="0"/>
    <x v="5"/>
    <x v="12"/>
    <x v="21"/>
    <x v="7"/>
    <n v="128.9"/>
  </r>
  <r>
    <x v="0"/>
    <x v="5"/>
    <x v="12"/>
    <x v="22"/>
    <x v="8"/>
    <n v="143.30000000000001"/>
  </r>
  <r>
    <x v="0"/>
    <x v="5"/>
    <x v="12"/>
    <x v="23"/>
    <x v="9"/>
    <n v="155.1"/>
  </r>
  <r>
    <x v="0"/>
    <x v="5"/>
    <x v="12"/>
    <x v="24"/>
    <x v="8"/>
    <n v="133.19999999999999"/>
  </r>
  <r>
    <x v="0"/>
    <x v="5"/>
    <x v="12"/>
    <x v="25"/>
    <x v="5"/>
    <n v="141.6"/>
  </r>
  <r>
    <x v="0"/>
    <x v="5"/>
    <x v="12"/>
    <x v="26"/>
    <x v="10"/>
    <n v="141.9"/>
  </r>
  <r>
    <x v="1"/>
    <x v="5"/>
    <x v="12"/>
    <x v="0"/>
    <x v="0"/>
    <n v="138.5"/>
  </r>
  <r>
    <x v="1"/>
    <x v="5"/>
    <x v="12"/>
    <x v="1"/>
    <x v="0"/>
    <n v="147.80000000000001"/>
  </r>
  <r>
    <x v="1"/>
    <x v="5"/>
    <x v="12"/>
    <x v="2"/>
    <x v="0"/>
    <n v="141.1"/>
  </r>
  <r>
    <x v="1"/>
    <x v="5"/>
    <x v="12"/>
    <x v="3"/>
    <x v="0"/>
    <n v="141.6"/>
  </r>
  <r>
    <x v="1"/>
    <x v="5"/>
    <x v="12"/>
    <x v="4"/>
    <x v="0"/>
    <n v="118.1"/>
  </r>
  <r>
    <x v="1"/>
    <x v="5"/>
    <x v="12"/>
    <x v="5"/>
    <x v="0"/>
    <n v="138.5"/>
  </r>
  <r>
    <x v="1"/>
    <x v="5"/>
    <x v="12"/>
    <x v="6"/>
    <x v="0"/>
    <n v="132.4"/>
  </r>
  <r>
    <x v="1"/>
    <x v="5"/>
    <x v="12"/>
    <x v="7"/>
    <x v="0"/>
    <n v="117.5"/>
  </r>
  <r>
    <x v="1"/>
    <x v="5"/>
    <x v="12"/>
    <x v="8"/>
    <x v="0"/>
    <n v="111"/>
  </r>
  <r>
    <x v="1"/>
    <x v="5"/>
    <x v="12"/>
    <x v="9"/>
    <x v="0"/>
    <n v="141.5"/>
  </r>
  <r>
    <x v="1"/>
    <x v="5"/>
    <x v="12"/>
    <x v="10"/>
    <x v="0"/>
    <n v="128.1"/>
  </r>
  <r>
    <x v="1"/>
    <x v="5"/>
    <x v="12"/>
    <x v="11"/>
    <x v="0"/>
    <n v="152.9"/>
  </r>
  <r>
    <x v="1"/>
    <x v="5"/>
    <x v="12"/>
    <x v="12"/>
    <x v="0"/>
    <n v="137.6"/>
  </r>
  <r>
    <x v="1"/>
    <x v="5"/>
    <x v="12"/>
    <x v="13"/>
    <x v="1"/>
    <n v="164.6"/>
  </r>
  <r>
    <x v="1"/>
    <x v="5"/>
    <x v="12"/>
    <x v="14"/>
    <x v="2"/>
    <n v="142.69999999999999"/>
  </r>
  <r>
    <x v="1"/>
    <x v="5"/>
    <x v="12"/>
    <x v="15"/>
    <x v="2"/>
    <n v="130.30000000000001"/>
  </r>
  <r>
    <x v="1"/>
    <x v="5"/>
    <x v="12"/>
    <x v="16"/>
    <x v="2"/>
    <n v="140.80000000000001"/>
  </r>
  <r>
    <x v="1"/>
    <x v="5"/>
    <x v="12"/>
    <x v="17"/>
    <x v="3"/>
    <n v="146.5"/>
  </r>
  <r>
    <x v="1"/>
    <x v="5"/>
    <x v="12"/>
    <x v="18"/>
    <x v="4"/>
    <n v="132.4"/>
  </r>
  <r>
    <x v="1"/>
    <x v="5"/>
    <x v="12"/>
    <x v="19"/>
    <x v="5"/>
    <n v="136.19999999999999"/>
  </r>
  <r>
    <x v="1"/>
    <x v="5"/>
    <x v="12"/>
    <x v="20"/>
    <x v="6"/>
    <n v="137.30000000000001"/>
  </r>
  <r>
    <x v="1"/>
    <x v="5"/>
    <x v="12"/>
    <x v="21"/>
    <x v="7"/>
    <n v="118.8"/>
  </r>
  <r>
    <x v="1"/>
    <x v="5"/>
    <x v="12"/>
    <x v="22"/>
    <x v="8"/>
    <n v="131.69999999999999"/>
  </r>
  <r>
    <x v="1"/>
    <x v="5"/>
    <x v="12"/>
    <x v="23"/>
    <x v="9"/>
    <n v="146.5"/>
  </r>
  <r>
    <x v="1"/>
    <x v="5"/>
    <x v="12"/>
    <x v="24"/>
    <x v="8"/>
    <n v="130.80000000000001"/>
  </r>
  <r>
    <x v="1"/>
    <x v="5"/>
    <x v="12"/>
    <x v="25"/>
    <x v="5"/>
    <n v="131.69999999999999"/>
  </r>
  <r>
    <x v="1"/>
    <x v="5"/>
    <x v="12"/>
    <x v="26"/>
    <x v="10"/>
    <n v="138"/>
  </r>
  <r>
    <x v="2"/>
    <x v="5"/>
    <x v="12"/>
    <x v="0"/>
    <x v="0"/>
    <n v="137.5"/>
  </r>
  <r>
    <x v="2"/>
    <x v="5"/>
    <x v="12"/>
    <x v="1"/>
    <x v="0"/>
    <n v="150.5"/>
  </r>
  <r>
    <x v="2"/>
    <x v="5"/>
    <x v="12"/>
    <x v="2"/>
    <x v="0"/>
    <n v="138.80000000000001"/>
  </r>
  <r>
    <x v="2"/>
    <x v="5"/>
    <x v="12"/>
    <x v="3"/>
    <x v="0"/>
    <n v="142.1"/>
  </r>
  <r>
    <x v="2"/>
    <x v="5"/>
    <x v="12"/>
    <x v="4"/>
    <x v="0"/>
    <n v="122"/>
  </r>
  <r>
    <x v="2"/>
    <x v="5"/>
    <x v="12"/>
    <x v="5"/>
    <x v="0"/>
    <n v="139.4"/>
  </r>
  <r>
    <x v="2"/>
    <x v="5"/>
    <x v="12"/>
    <x v="6"/>
    <x v="0"/>
    <n v="135.19999999999999"/>
  </r>
  <r>
    <x v="2"/>
    <x v="5"/>
    <x v="12"/>
    <x v="7"/>
    <x v="0"/>
    <n v="119.8"/>
  </r>
  <r>
    <x v="2"/>
    <x v="5"/>
    <x v="12"/>
    <x v="8"/>
    <x v="0"/>
    <n v="110.3"/>
  </r>
  <r>
    <x v="2"/>
    <x v="5"/>
    <x v="12"/>
    <x v="9"/>
    <x v="0"/>
    <n v="140.6"/>
  </r>
  <r>
    <x v="2"/>
    <x v="5"/>
    <x v="12"/>
    <x v="10"/>
    <x v="0"/>
    <n v="133.80000000000001"/>
  </r>
  <r>
    <x v="2"/>
    <x v="5"/>
    <x v="12"/>
    <x v="11"/>
    <x v="0"/>
    <n v="154.6"/>
  </r>
  <r>
    <x v="2"/>
    <x v="5"/>
    <x v="12"/>
    <x v="12"/>
    <x v="0"/>
    <n v="138.19999999999999"/>
  </r>
  <r>
    <x v="2"/>
    <x v="5"/>
    <x v="12"/>
    <x v="13"/>
    <x v="1"/>
    <n v="163"/>
  </r>
  <r>
    <x v="2"/>
    <x v="5"/>
    <x v="12"/>
    <x v="14"/>
    <x v="2"/>
    <n v="148.1"/>
  </r>
  <r>
    <x v="2"/>
    <x v="5"/>
    <x v="12"/>
    <x v="15"/>
    <x v="2"/>
    <n v="139.4"/>
  </r>
  <r>
    <x v="2"/>
    <x v="5"/>
    <x v="12"/>
    <x v="16"/>
    <x v="2"/>
    <n v="146.80000000000001"/>
  </r>
  <r>
    <x v="2"/>
    <x v="5"/>
    <x v="12"/>
    <x v="17"/>
    <x v="3"/>
    <n v="146.5"/>
  </r>
  <r>
    <x v="2"/>
    <x v="5"/>
    <x v="12"/>
    <x v="18"/>
    <x v="4"/>
    <n v="142.69999999999999"/>
  </r>
  <r>
    <x v="2"/>
    <x v="5"/>
    <x v="12"/>
    <x v="19"/>
    <x v="5"/>
    <n v="143.19999999999999"/>
  </r>
  <r>
    <x v="2"/>
    <x v="5"/>
    <x v="12"/>
    <x v="20"/>
    <x v="6"/>
    <n v="144.9"/>
  </r>
  <r>
    <x v="2"/>
    <x v="5"/>
    <x v="12"/>
    <x v="21"/>
    <x v="7"/>
    <n v="123.6"/>
  </r>
  <r>
    <x v="2"/>
    <x v="5"/>
    <x v="12"/>
    <x v="22"/>
    <x v="8"/>
    <n v="136.80000000000001"/>
  </r>
  <r>
    <x v="2"/>
    <x v="5"/>
    <x v="12"/>
    <x v="23"/>
    <x v="9"/>
    <n v="150.1"/>
  </r>
  <r>
    <x v="2"/>
    <x v="5"/>
    <x v="12"/>
    <x v="24"/>
    <x v="8"/>
    <n v="132.19999999999999"/>
  </r>
  <r>
    <x v="2"/>
    <x v="5"/>
    <x v="12"/>
    <x v="25"/>
    <x v="5"/>
    <n v="136.80000000000001"/>
  </r>
  <r>
    <x v="2"/>
    <x v="5"/>
    <x v="12"/>
    <x v="26"/>
    <x v="10"/>
    <n v="140.1"/>
  </r>
  <r>
    <x v="0"/>
    <x v="6"/>
    <x v="0"/>
    <x v="0"/>
    <x v="0"/>
    <n v="136.6"/>
  </r>
  <r>
    <x v="0"/>
    <x v="6"/>
    <x v="0"/>
    <x v="1"/>
    <x v="0"/>
    <n v="152.5"/>
  </r>
  <r>
    <x v="0"/>
    <x v="6"/>
    <x v="0"/>
    <x v="2"/>
    <x v="0"/>
    <n v="138.19999999999999"/>
  </r>
  <r>
    <x v="0"/>
    <x v="6"/>
    <x v="0"/>
    <x v="3"/>
    <x v="0"/>
    <n v="142.4"/>
  </r>
  <r>
    <x v="0"/>
    <x v="6"/>
    <x v="0"/>
    <x v="4"/>
    <x v="0"/>
    <n v="123.9"/>
  </r>
  <r>
    <x v="0"/>
    <x v="6"/>
    <x v="0"/>
    <x v="5"/>
    <x v="0"/>
    <n v="135.5"/>
  </r>
  <r>
    <x v="0"/>
    <x v="6"/>
    <x v="0"/>
    <x v="6"/>
    <x v="0"/>
    <n v="131.69999999999999"/>
  </r>
  <r>
    <x v="0"/>
    <x v="6"/>
    <x v="0"/>
    <x v="7"/>
    <x v="0"/>
    <n v="121.3"/>
  </r>
  <r>
    <x v="0"/>
    <x v="6"/>
    <x v="0"/>
    <x v="8"/>
    <x v="0"/>
    <n v="108.4"/>
  </r>
  <r>
    <x v="0"/>
    <x v="6"/>
    <x v="0"/>
    <x v="9"/>
    <x v="0"/>
    <n v="138.9"/>
  </r>
  <r>
    <x v="0"/>
    <x v="6"/>
    <x v="0"/>
    <x v="10"/>
    <x v="0"/>
    <n v="137"/>
  </r>
  <r>
    <x v="0"/>
    <x v="6"/>
    <x v="0"/>
    <x v="11"/>
    <x v="0"/>
    <n v="155.80000000000001"/>
  </r>
  <r>
    <x v="0"/>
    <x v="6"/>
    <x v="0"/>
    <x v="12"/>
    <x v="0"/>
    <n v="137.4"/>
  </r>
  <r>
    <x v="0"/>
    <x v="6"/>
    <x v="0"/>
    <x v="13"/>
    <x v="1"/>
    <n v="162.69999999999999"/>
  </r>
  <r>
    <x v="0"/>
    <x v="6"/>
    <x v="0"/>
    <x v="14"/>
    <x v="2"/>
    <n v="150.6"/>
  </r>
  <r>
    <x v="0"/>
    <x v="6"/>
    <x v="0"/>
    <x v="15"/>
    <x v="2"/>
    <n v="145.1"/>
  </r>
  <r>
    <x v="0"/>
    <x v="6"/>
    <x v="0"/>
    <x v="16"/>
    <x v="2"/>
    <n v="149.9"/>
  </r>
  <r>
    <x v="0"/>
    <x v="6"/>
    <x v="0"/>
    <x v="17"/>
    <x v="3"/>
    <s v="NA"/>
  </r>
  <r>
    <x v="0"/>
    <x v="6"/>
    <x v="0"/>
    <x v="18"/>
    <x v="4"/>
    <n v="146.19999999999999"/>
  </r>
  <r>
    <x v="0"/>
    <x v="6"/>
    <x v="0"/>
    <x v="19"/>
    <x v="5"/>
    <n v="150.1"/>
  </r>
  <r>
    <x v="0"/>
    <x v="6"/>
    <x v="0"/>
    <x v="20"/>
    <x v="6"/>
    <n v="149.6"/>
  </r>
  <r>
    <x v="0"/>
    <x v="6"/>
    <x v="0"/>
    <x v="21"/>
    <x v="7"/>
    <n v="128.6"/>
  </r>
  <r>
    <x v="0"/>
    <x v="6"/>
    <x v="0"/>
    <x v="22"/>
    <x v="8"/>
    <n v="142.9"/>
  </r>
  <r>
    <x v="0"/>
    <x v="6"/>
    <x v="0"/>
    <x v="23"/>
    <x v="9"/>
    <n v="155.19999999999999"/>
  </r>
  <r>
    <x v="0"/>
    <x v="6"/>
    <x v="0"/>
    <x v="24"/>
    <x v="8"/>
    <n v="133.5"/>
  </r>
  <r>
    <x v="0"/>
    <x v="6"/>
    <x v="0"/>
    <x v="25"/>
    <x v="5"/>
    <n v="141.69999999999999"/>
  </r>
  <r>
    <x v="0"/>
    <x v="6"/>
    <x v="0"/>
    <x v="26"/>
    <x v="10"/>
    <n v="141"/>
  </r>
  <r>
    <x v="1"/>
    <x v="6"/>
    <x v="0"/>
    <x v="0"/>
    <x v="0"/>
    <n v="138.30000000000001"/>
  </r>
  <r>
    <x v="1"/>
    <x v="6"/>
    <x v="0"/>
    <x v="1"/>
    <x v="0"/>
    <n v="149.4"/>
  </r>
  <r>
    <x v="1"/>
    <x v="6"/>
    <x v="0"/>
    <x v="2"/>
    <x v="0"/>
    <n v="143.5"/>
  </r>
  <r>
    <x v="1"/>
    <x v="6"/>
    <x v="0"/>
    <x v="3"/>
    <x v="0"/>
    <n v="141.69999999999999"/>
  </r>
  <r>
    <x v="1"/>
    <x v="6"/>
    <x v="0"/>
    <x v="4"/>
    <x v="0"/>
    <n v="118.1"/>
  </r>
  <r>
    <x v="1"/>
    <x v="6"/>
    <x v="0"/>
    <x v="5"/>
    <x v="0"/>
    <n v="135.19999999999999"/>
  </r>
  <r>
    <x v="1"/>
    <x v="6"/>
    <x v="0"/>
    <x v="6"/>
    <x v="0"/>
    <n v="130.5"/>
  </r>
  <r>
    <x v="1"/>
    <x v="6"/>
    <x v="0"/>
    <x v="7"/>
    <x v="0"/>
    <n v="118.2"/>
  </r>
  <r>
    <x v="1"/>
    <x v="6"/>
    <x v="0"/>
    <x v="8"/>
    <x v="0"/>
    <n v="110.4"/>
  </r>
  <r>
    <x v="1"/>
    <x v="6"/>
    <x v="0"/>
    <x v="9"/>
    <x v="0"/>
    <n v="140.4"/>
  </r>
  <r>
    <x v="1"/>
    <x v="6"/>
    <x v="0"/>
    <x v="10"/>
    <x v="0"/>
    <n v="128.1"/>
  </r>
  <r>
    <x v="1"/>
    <x v="6"/>
    <x v="0"/>
    <x v="11"/>
    <x v="0"/>
    <n v="153.19999999999999"/>
  </r>
  <r>
    <x v="1"/>
    <x v="6"/>
    <x v="0"/>
    <x v="12"/>
    <x v="0"/>
    <n v="137.30000000000001"/>
  </r>
  <r>
    <x v="1"/>
    <x v="6"/>
    <x v="0"/>
    <x v="13"/>
    <x v="1"/>
    <n v="164.7"/>
  </r>
  <r>
    <x v="1"/>
    <x v="6"/>
    <x v="0"/>
    <x v="14"/>
    <x v="2"/>
    <n v="143"/>
  </r>
  <r>
    <x v="1"/>
    <x v="6"/>
    <x v="0"/>
    <x v="15"/>
    <x v="2"/>
    <n v="130.4"/>
  </r>
  <r>
    <x v="1"/>
    <x v="6"/>
    <x v="0"/>
    <x v="16"/>
    <x v="2"/>
    <n v="141.1"/>
  </r>
  <r>
    <x v="1"/>
    <x v="6"/>
    <x v="0"/>
    <x v="17"/>
    <x v="3"/>
    <n v="147.69999999999999"/>
  </r>
  <r>
    <x v="1"/>
    <x v="6"/>
    <x v="0"/>
    <x v="18"/>
    <x v="4"/>
    <n v="128.6"/>
  </r>
  <r>
    <x v="1"/>
    <x v="6"/>
    <x v="0"/>
    <x v="19"/>
    <x v="5"/>
    <n v="136.30000000000001"/>
  </r>
  <r>
    <x v="1"/>
    <x v="6"/>
    <x v="0"/>
    <x v="20"/>
    <x v="6"/>
    <n v="137.80000000000001"/>
  </r>
  <r>
    <x v="1"/>
    <x v="6"/>
    <x v="0"/>
    <x v="21"/>
    <x v="7"/>
    <n v="118.6"/>
  </r>
  <r>
    <x v="1"/>
    <x v="6"/>
    <x v="0"/>
    <x v="22"/>
    <x v="8"/>
    <n v="131.9"/>
  </r>
  <r>
    <x v="1"/>
    <x v="6"/>
    <x v="0"/>
    <x v="23"/>
    <x v="9"/>
    <n v="146.6"/>
  </r>
  <r>
    <x v="1"/>
    <x v="6"/>
    <x v="0"/>
    <x v="24"/>
    <x v="8"/>
    <n v="131.69999999999999"/>
  </r>
  <r>
    <x v="1"/>
    <x v="6"/>
    <x v="0"/>
    <x v="25"/>
    <x v="5"/>
    <n v="131.80000000000001"/>
  </r>
  <r>
    <x v="1"/>
    <x v="6"/>
    <x v="0"/>
    <x v="26"/>
    <x v="10"/>
    <n v="138"/>
  </r>
  <r>
    <x v="2"/>
    <x v="6"/>
    <x v="0"/>
    <x v="0"/>
    <x v="0"/>
    <n v="137.1"/>
  </r>
  <r>
    <x v="2"/>
    <x v="6"/>
    <x v="0"/>
    <x v="1"/>
    <x v="0"/>
    <n v="151.4"/>
  </r>
  <r>
    <x v="2"/>
    <x v="6"/>
    <x v="0"/>
    <x v="2"/>
    <x v="0"/>
    <n v="140.19999999999999"/>
  </r>
  <r>
    <x v="2"/>
    <x v="6"/>
    <x v="0"/>
    <x v="3"/>
    <x v="0"/>
    <n v="142.1"/>
  </r>
  <r>
    <x v="2"/>
    <x v="6"/>
    <x v="0"/>
    <x v="4"/>
    <x v="0"/>
    <n v="121.8"/>
  </r>
  <r>
    <x v="2"/>
    <x v="6"/>
    <x v="0"/>
    <x v="5"/>
    <x v="0"/>
    <n v="135.4"/>
  </r>
  <r>
    <x v="2"/>
    <x v="6"/>
    <x v="0"/>
    <x v="6"/>
    <x v="0"/>
    <n v="131.30000000000001"/>
  </r>
  <r>
    <x v="2"/>
    <x v="6"/>
    <x v="0"/>
    <x v="7"/>
    <x v="0"/>
    <n v="120.3"/>
  </r>
  <r>
    <x v="2"/>
    <x v="6"/>
    <x v="0"/>
    <x v="8"/>
    <x v="0"/>
    <n v="109.1"/>
  </r>
  <r>
    <x v="2"/>
    <x v="6"/>
    <x v="0"/>
    <x v="9"/>
    <x v="0"/>
    <n v="139.4"/>
  </r>
  <r>
    <x v="2"/>
    <x v="6"/>
    <x v="0"/>
    <x v="10"/>
    <x v="0"/>
    <n v="133.30000000000001"/>
  </r>
  <r>
    <x v="2"/>
    <x v="6"/>
    <x v="0"/>
    <x v="11"/>
    <x v="0"/>
    <n v="154.6"/>
  </r>
  <r>
    <x v="2"/>
    <x v="6"/>
    <x v="0"/>
    <x v="12"/>
    <x v="0"/>
    <n v="137.4"/>
  </r>
  <r>
    <x v="2"/>
    <x v="6"/>
    <x v="0"/>
    <x v="13"/>
    <x v="1"/>
    <n v="163.19999999999999"/>
  </r>
  <r>
    <x v="2"/>
    <x v="6"/>
    <x v="0"/>
    <x v="14"/>
    <x v="2"/>
    <n v="147.6"/>
  </r>
  <r>
    <x v="2"/>
    <x v="6"/>
    <x v="0"/>
    <x v="15"/>
    <x v="2"/>
    <n v="139"/>
  </r>
  <r>
    <x v="2"/>
    <x v="6"/>
    <x v="0"/>
    <x v="16"/>
    <x v="2"/>
    <n v="146.4"/>
  </r>
  <r>
    <x v="2"/>
    <x v="6"/>
    <x v="0"/>
    <x v="17"/>
    <x v="3"/>
    <n v="147.69999999999999"/>
  </r>
  <r>
    <x v="2"/>
    <x v="6"/>
    <x v="0"/>
    <x v="18"/>
    <x v="4"/>
    <n v="139.5"/>
  </r>
  <r>
    <x v="2"/>
    <x v="6"/>
    <x v="0"/>
    <x v="19"/>
    <x v="5"/>
    <n v="143.6"/>
  </r>
  <r>
    <x v="2"/>
    <x v="6"/>
    <x v="0"/>
    <x v="20"/>
    <x v="6"/>
    <n v="145.1"/>
  </r>
  <r>
    <x v="2"/>
    <x v="6"/>
    <x v="0"/>
    <x v="21"/>
    <x v="7"/>
    <n v="123.3"/>
  </r>
  <r>
    <x v="2"/>
    <x v="6"/>
    <x v="0"/>
    <x v="22"/>
    <x v="8"/>
    <n v="136.69999999999999"/>
  </r>
  <r>
    <x v="2"/>
    <x v="6"/>
    <x v="0"/>
    <x v="23"/>
    <x v="9"/>
    <n v="150.19999999999999"/>
  </r>
  <r>
    <x v="2"/>
    <x v="6"/>
    <x v="0"/>
    <x v="24"/>
    <x v="8"/>
    <n v="132.80000000000001"/>
  </r>
  <r>
    <x v="2"/>
    <x v="6"/>
    <x v="0"/>
    <x v="25"/>
    <x v="5"/>
    <n v="136.9"/>
  </r>
  <r>
    <x v="2"/>
    <x v="6"/>
    <x v="0"/>
    <x v="26"/>
    <x v="10"/>
    <n v="139.6"/>
  </r>
  <r>
    <x v="0"/>
    <x v="6"/>
    <x v="1"/>
    <x v="0"/>
    <x v="0"/>
    <n v="136.80000000000001"/>
  </r>
  <r>
    <x v="0"/>
    <x v="6"/>
    <x v="1"/>
    <x v="1"/>
    <x v="0"/>
    <n v="153"/>
  </r>
  <r>
    <x v="0"/>
    <x v="6"/>
    <x v="1"/>
    <x v="2"/>
    <x v="0"/>
    <n v="139.1"/>
  </r>
  <r>
    <x v="0"/>
    <x v="6"/>
    <x v="1"/>
    <x v="3"/>
    <x v="0"/>
    <n v="142.5"/>
  </r>
  <r>
    <x v="0"/>
    <x v="6"/>
    <x v="1"/>
    <x v="4"/>
    <x v="0"/>
    <n v="124.1"/>
  </r>
  <r>
    <x v="0"/>
    <x v="6"/>
    <x v="1"/>
    <x v="5"/>
    <x v="0"/>
    <n v="135.80000000000001"/>
  </r>
  <r>
    <x v="0"/>
    <x v="6"/>
    <x v="1"/>
    <x v="6"/>
    <x v="0"/>
    <n v="128.69999999999999"/>
  </r>
  <r>
    <x v="0"/>
    <x v="6"/>
    <x v="1"/>
    <x v="7"/>
    <x v="0"/>
    <n v="121.5"/>
  </r>
  <r>
    <x v="0"/>
    <x v="6"/>
    <x v="1"/>
    <x v="8"/>
    <x v="0"/>
    <n v="108.3"/>
  </r>
  <r>
    <x v="0"/>
    <x v="6"/>
    <x v="1"/>
    <x v="9"/>
    <x v="0"/>
    <n v="139.19999999999999"/>
  </r>
  <r>
    <x v="0"/>
    <x v="6"/>
    <x v="1"/>
    <x v="10"/>
    <x v="0"/>
    <n v="137.4"/>
  </r>
  <r>
    <x v="0"/>
    <x v="6"/>
    <x v="1"/>
    <x v="11"/>
    <x v="0"/>
    <n v="156.19999999999999"/>
  </r>
  <r>
    <x v="0"/>
    <x v="6"/>
    <x v="1"/>
    <x v="12"/>
    <x v="0"/>
    <n v="137.19999999999999"/>
  </r>
  <r>
    <x v="0"/>
    <x v="6"/>
    <x v="1"/>
    <x v="13"/>
    <x v="1"/>
    <n v="162.80000000000001"/>
  </r>
  <r>
    <x v="0"/>
    <x v="6"/>
    <x v="1"/>
    <x v="14"/>
    <x v="2"/>
    <n v="150.5"/>
  </r>
  <r>
    <x v="0"/>
    <x v="6"/>
    <x v="1"/>
    <x v="15"/>
    <x v="2"/>
    <n v="146.1"/>
  </r>
  <r>
    <x v="0"/>
    <x v="6"/>
    <x v="1"/>
    <x v="16"/>
    <x v="2"/>
    <n v="149.9"/>
  </r>
  <r>
    <x v="0"/>
    <x v="6"/>
    <x v="1"/>
    <x v="17"/>
    <x v="3"/>
    <s v="NA"/>
  </r>
  <r>
    <x v="0"/>
    <x v="6"/>
    <x v="1"/>
    <x v="18"/>
    <x v="4"/>
    <n v="145.30000000000001"/>
  </r>
  <r>
    <x v="0"/>
    <x v="6"/>
    <x v="1"/>
    <x v="19"/>
    <x v="5"/>
    <n v="150.1"/>
  </r>
  <r>
    <x v="0"/>
    <x v="6"/>
    <x v="1"/>
    <x v="20"/>
    <x v="6"/>
    <n v="149.9"/>
  </r>
  <r>
    <x v="0"/>
    <x v="6"/>
    <x v="1"/>
    <x v="21"/>
    <x v="7"/>
    <n v="129.19999999999999"/>
  </r>
  <r>
    <x v="0"/>
    <x v="6"/>
    <x v="1"/>
    <x v="22"/>
    <x v="8"/>
    <n v="143.4"/>
  </r>
  <r>
    <x v="0"/>
    <x v="6"/>
    <x v="1"/>
    <x v="23"/>
    <x v="9"/>
    <n v="155.5"/>
  </r>
  <r>
    <x v="0"/>
    <x v="6"/>
    <x v="1"/>
    <x v="24"/>
    <x v="8"/>
    <n v="134.9"/>
  </r>
  <r>
    <x v="0"/>
    <x v="6"/>
    <x v="1"/>
    <x v="25"/>
    <x v="5"/>
    <n v="142.19999999999999"/>
  </r>
  <r>
    <x v="0"/>
    <x v="6"/>
    <x v="1"/>
    <x v="26"/>
    <x v="10"/>
    <n v="141"/>
  </r>
  <r>
    <x v="1"/>
    <x v="6"/>
    <x v="1"/>
    <x v="0"/>
    <x v="0"/>
    <n v="139.4"/>
  </r>
  <r>
    <x v="1"/>
    <x v="6"/>
    <x v="1"/>
    <x v="1"/>
    <x v="0"/>
    <n v="150.1"/>
  </r>
  <r>
    <x v="1"/>
    <x v="6"/>
    <x v="1"/>
    <x v="2"/>
    <x v="0"/>
    <n v="145.30000000000001"/>
  </r>
  <r>
    <x v="1"/>
    <x v="6"/>
    <x v="1"/>
    <x v="3"/>
    <x v="0"/>
    <n v="141.69999999999999"/>
  </r>
  <r>
    <x v="1"/>
    <x v="6"/>
    <x v="1"/>
    <x v="4"/>
    <x v="0"/>
    <n v="118.4"/>
  </r>
  <r>
    <x v="1"/>
    <x v="6"/>
    <x v="1"/>
    <x v="5"/>
    <x v="0"/>
    <n v="137"/>
  </r>
  <r>
    <x v="1"/>
    <x v="6"/>
    <x v="1"/>
    <x v="6"/>
    <x v="0"/>
    <n v="131.6"/>
  </r>
  <r>
    <x v="1"/>
    <x v="6"/>
    <x v="1"/>
    <x v="7"/>
    <x v="0"/>
    <n v="119.9"/>
  </r>
  <r>
    <x v="1"/>
    <x v="6"/>
    <x v="1"/>
    <x v="8"/>
    <x v="0"/>
    <n v="110.4"/>
  </r>
  <r>
    <x v="1"/>
    <x v="6"/>
    <x v="1"/>
    <x v="9"/>
    <x v="0"/>
    <n v="140.80000000000001"/>
  </r>
  <r>
    <x v="1"/>
    <x v="6"/>
    <x v="1"/>
    <x v="10"/>
    <x v="0"/>
    <n v="128.30000000000001"/>
  </r>
  <r>
    <x v="1"/>
    <x v="6"/>
    <x v="1"/>
    <x v="11"/>
    <x v="0"/>
    <n v="153.5"/>
  </r>
  <r>
    <x v="1"/>
    <x v="6"/>
    <x v="1"/>
    <x v="12"/>
    <x v="0"/>
    <n v="138"/>
  </r>
  <r>
    <x v="1"/>
    <x v="6"/>
    <x v="1"/>
    <x v="13"/>
    <x v="1"/>
    <n v="164.9"/>
  </r>
  <r>
    <x v="1"/>
    <x v="6"/>
    <x v="1"/>
    <x v="14"/>
    <x v="2"/>
    <n v="143.30000000000001"/>
  </r>
  <r>
    <x v="1"/>
    <x v="6"/>
    <x v="1"/>
    <x v="15"/>
    <x v="2"/>
    <n v="130.80000000000001"/>
  </r>
  <r>
    <x v="1"/>
    <x v="6"/>
    <x v="1"/>
    <x v="16"/>
    <x v="2"/>
    <n v="141.4"/>
  </r>
  <r>
    <x v="1"/>
    <x v="6"/>
    <x v="1"/>
    <x v="17"/>
    <x v="3"/>
    <n v="148.5"/>
  </r>
  <r>
    <x v="1"/>
    <x v="6"/>
    <x v="1"/>
    <x v="18"/>
    <x v="4"/>
    <n v="127.1"/>
  </r>
  <r>
    <x v="1"/>
    <x v="6"/>
    <x v="1"/>
    <x v="19"/>
    <x v="5"/>
    <n v="136.6"/>
  </r>
  <r>
    <x v="1"/>
    <x v="6"/>
    <x v="1"/>
    <x v="20"/>
    <x v="6"/>
    <n v="138.5"/>
  </r>
  <r>
    <x v="1"/>
    <x v="6"/>
    <x v="1"/>
    <x v="21"/>
    <x v="7"/>
    <n v="119.2"/>
  </r>
  <r>
    <x v="1"/>
    <x v="6"/>
    <x v="1"/>
    <x v="22"/>
    <x v="8"/>
    <n v="132.19999999999999"/>
  </r>
  <r>
    <x v="1"/>
    <x v="6"/>
    <x v="1"/>
    <x v="23"/>
    <x v="9"/>
    <n v="146.6"/>
  </r>
  <r>
    <x v="1"/>
    <x v="6"/>
    <x v="1"/>
    <x v="24"/>
    <x v="8"/>
    <n v="133"/>
  </r>
  <r>
    <x v="1"/>
    <x v="6"/>
    <x v="1"/>
    <x v="25"/>
    <x v="5"/>
    <n v="132.4"/>
  </r>
  <r>
    <x v="1"/>
    <x v="6"/>
    <x v="1"/>
    <x v="26"/>
    <x v="10"/>
    <n v="138.6"/>
  </r>
  <r>
    <x v="2"/>
    <x v="6"/>
    <x v="1"/>
    <x v="0"/>
    <x v="0"/>
    <n v="137.6"/>
  </r>
  <r>
    <x v="2"/>
    <x v="6"/>
    <x v="1"/>
    <x v="1"/>
    <x v="0"/>
    <n v="152"/>
  </r>
  <r>
    <x v="2"/>
    <x v="6"/>
    <x v="1"/>
    <x v="2"/>
    <x v="0"/>
    <n v="141.5"/>
  </r>
  <r>
    <x v="2"/>
    <x v="6"/>
    <x v="1"/>
    <x v="3"/>
    <x v="0"/>
    <n v="142.19999999999999"/>
  </r>
  <r>
    <x v="2"/>
    <x v="6"/>
    <x v="1"/>
    <x v="4"/>
    <x v="0"/>
    <n v="122"/>
  </r>
  <r>
    <x v="2"/>
    <x v="6"/>
    <x v="1"/>
    <x v="5"/>
    <x v="0"/>
    <n v="136.4"/>
  </r>
  <r>
    <x v="2"/>
    <x v="6"/>
    <x v="1"/>
    <x v="6"/>
    <x v="0"/>
    <n v="129.69999999999999"/>
  </r>
  <r>
    <x v="2"/>
    <x v="6"/>
    <x v="1"/>
    <x v="7"/>
    <x v="0"/>
    <n v="121"/>
  </r>
  <r>
    <x v="2"/>
    <x v="6"/>
    <x v="1"/>
    <x v="8"/>
    <x v="0"/>
    <n v="109"/>
  </r>
  <r>
    <x v="2"/>
    <x v="6"/>
    <x v="1"/>
    <x v="9"/>
    <x v="0"/>
    <n v="139.69999999999999"/>
  </r>
  <r>
    <x v="2"/>
    <x v="6"/>
    <x v="1"/>
    <x v="10"/>
    <x v="0"/>
    <n v="133.6"/>
  </r>
  <r>
    <x v="2"/>
    <x v="6"/>
    <x v="1"/>
    <x v="11"/>
    <x v="0"/>
    <n v="154.9"/>
  </r>
  <r>
    <x v="2"/>
    <x v="6"/>
    <x v="1"/>
    <x v="12"/>
    <x v="0"/>
    <n v="137.5"/>
  </r>
  <r>
    <x v="2"/>
    <x v="6"/>
    <x v="1"/>
    <x v="13"/>
    <x v="1"/>
    <n v="163.4"/>
  </r>
  <r>
    <x v="2"/>
    <x v="6"/>
    <x v="1"/>
    <x v="14"/>
    <x v="2"/>
    <n v="147.69999999999999"/>
  </r>
  <r>
    <x v="2"/>
    <x v="6"/>
    <x v="1"/>
    <x v="15"/>
    <x v="2"/>
    <n v="139.69999999999999"/>
  </r>
  <r>
    <x v="2"/>
    <x v="6"/>
    <x v="1"/>
    <x v="16"/>
    <x v="2"/>
    <n v="146.5"/>
  </r>
  <r>
    <x v="2"/>
    <x v="6"/>
    <x v="1"/>
    <x v="17"/>
    <x v="3"/>
    <n v="148.5"/>
  </r>
  <r>
    <x v="2"/>
    <x v="6"/>
    <x v="1"/>
    <x v="18"/>
    <x v="4"/>
    <n v="138.4"/>
  </r>
  <r>
    <x v="2"/>
    <x v="6"/>
    <x v="1"/>
    <x v="19"/>
    <x v="5"/>
    <n v="143.69999999999999"/>
  </r>
  <r>
    <x v="2"/>
    <x v="6"/>
    <x v="1"/>
    <x v="20"/>
    <x v="6"/>
    <n v="145.6"/>
  </r>
  <r>
    <x v="2"/>
    <x v="6"/>
    <x v="1"/>
    <x v="21"/>
    <x v="7"/>
    <n v="123.9"/>
  </r>
  <r>
    <x v="2"/>
    <x v="6"/>
    <x v="1"/>
    <x v="22"/>
    <x v="8"/>
    <n v="137.1"/>
  </r>
  <r>
    <x v="2"/>
    <x v="6"/>
    <x v="1"/>
    <x v="23"/>
    <x v="9"/>
    <n v="150.30000000000001"/>
  </r>
  <r>
    <x v="2"/>
    <x v="6"/>
    <x v="1"/>
    <x v="24"/>
    <x v="8"/>
    <n v="134.1"/>
  </r>
  <r>
    <x v="2"/>
    <x v="6"/>
    <x v="1"/>
    <x v="25"/>
    <x v="5"/>
    <n v="137.4"/>
  </r>
  <r>
    <x v="2"/>
    <x v="6"/>
    <x v="1"/>
    <x v="26"/>
    <x v="10"/>
    <n v="139.9"/>
  </r>
  <r>
    <x v="0"/>
    <x v="6"/>
    <x v="2"/>
    <x v="0"/>
    <x v="0"/>
    <n v="136.9"/>
  </r>
  <r>
    <x v="0"/>
    <x v="6"/>
    <x v="2"/>
    <x v="1"/>
    <x v="0"/>
    <n v="154.1"/>
  </r>
  <r>
    <x v="0"/>
    <x v="6"/>
    <x v="2"/>
    <x v="2"/>
    <x v="0"/>
    <n v="138.69999999999999"/>
  </r>
  <r>
    <x v="0"/>
    <x v="6"/>
    <x v="2"/>
    <x v="3"/>
    <x v="0"/>
    <n v="142.5"/>
  </r>
  <r>
    <x v="0"/>
    <x v="6"/>
    <x v="2"/>
    <x v="4"/>
    <x v="0"/>
    <n v="124.1"/>
  </r>
  <r>
    <x v="0"/>
    <x v="6"/>
    <x v="2"/>
    <x v="5"/>
    <x v="0"/>
    <n v="136.1"/>
  </r>
  <r>
    <x v="0"/>
    <x v="6"/>
    <x v="2"/>
    <x v="6"/>
    <x v="0"/>
    <n v="128.19999999999999"/>
  </r>
  <r>
    <x v="0"/>
    <x v="6"/>
    <x v="2"/>
    <x v="7"/>
    <x v="0"/>
    <n v="122.3"/>
  </r>
  <r>
    <x v="0"/>
    <x v="6"/>
    <x v="2"/>
    <x v="8"/>
    <x v="0"/>
    <n v="108.3"/>
  </r>
  <r>
    <x v="0"/>
    <x v="6"/>
    <x v="2"/>
    <x v="9"/>
    <x v="0"/>
    <n v="138.9"/>
  </r>
  <r>
    <x v="0"/>
    <x v="6"/>
    <x v="2"/>
    <x v="10"/>
    <x v="0"/>
    <n v="137.4"/>
  </r>
  <r>
    <x v="0"/>
    <x v="6"/>
    <x v="2"/>
    <x v="11"/>
    <x v="0"/>
    <n v="156.4"/>
  </r>
  <r>
    <x v="0"/>
    <x v="6"/>
    <x v="2"/>
    <x v="12"/>
    <x v="0"/>
    <n v="137.30000000000001"/>
  </r>
  <r>
    <x v="0"/>
    <x v="6"/>
    <x v="2"/>
    <x v="13"/>
    <x v="1"/>
    <n v="162.9"/>
  </r>
  <r>
    <x v="0"/>
    <x v="6"/>
    <x v="2"/>
    <x v="14"/>
    <x v="2"/>
    <n v="150.80000000000001"/>
  </r>
  <r>
    <x v="0"/>
    <x v="6"/>
    <x v="2"/>
    <x v="15"/>
    <x v="2"/>
    <n v="146.1"/>
  </r>
  <r>
    <x v="0"/>
    <x v="6"/>
    <x v="2"/>
    <x v="16"/>
    <x v="2"/>
    <n v="150.1"/>
  </r>
  <r>
    <x v="0"/>
    <x v="6"/>
    <x v="2"/>
    <x v="17"/>
    <x v="3"/>
    <s v="NA"/>
  </r>
  <r>
    <x v="0"/>
    <x v="6"/>
    <x v="2"/>
    <x v="18"/>
    <x v="4"/>
    <n v="146.4"/>
  </r>
  <r>
    <x v="0"/>
    <x v="6"/>
    <x v="2"/>
    <x v="19"/>
    <x v="5"/>
    <n v="150"/>
  </r>
  <r>
    <x v="0"/>
    <x v="6"/>
    <x v="2"/>
    <x v="20"/>
    <x v="6"/>
    <n v="150.4"/>
  </r>
  <r>
    <x v="0"/>
    <x v="6"/>
    <x v="2"/>
    <x v="21"/>
    <x v="7"/>
    <n v="129.9"/>
  </r>
  <r>
    <x v="0"/>
    <x v="6"/>
    <x v="2"/>
    <x v="22"/>
    <x v="8"/>
    <n v="143.80000000000001"/>
  </r>
  <r>
    <x v="0"/>
    <x v="6"/>
    <x v="2"/>
    <x v="23"/>
    <x v="9"/>
    <n v="155.5"/>
  </r>
  <r>
    <x v="0"/>
    <x v="6"/>
    <x v="2"/>
    <x v="24"/>
    <x v="8"/>
    <n v="134"/>
  </r>
  <r>
    <x v="0"/>
    <x v="6"/>
    <x v="2"/>
    <x v="25"/>
    <x v="5"/>
    <n v="142.4"/>
  </r>
  <r>
    <x v="0"/>
    <x v="6"/>
    <x v="2"/>
    <x v="26"/>
    <x v="10"/>
    <n v="141.19999999999999"/>
  </r>
  <r>
    <x v="1"/>
    <x v="6"/>
    <x v="2"/>
    <x v="0"/>
    <x v="0"/>
    <n v="139.69999999999999"/>
  </r>
  <r>
    <x v="1"/>
    <x v="6"/>
    <x v="2"/>
    <x v="1"/>
    <x v="0"/>
    <n v="151.1"/>
  </r>
  <r>
    <x v="1"/>
    <x v="6"/>
    <x v="2"/>
    <x v="2"/>
    <x v="0"/>
    <n v="142.9"/>
  </r>
  <r>
    <x v="1"/>
    <x v="6"/>
    <x v="2"/>
    <x v="3"/>
    <x v="0"/>
    <n v="141.9"/>
  </r>
  <r>
    <x v="1"/>
    <x v="6"/>
    <x v="2"/>
    <x v="4"/>
    <x v="0"/>
    <n v="118.4"/>
  </r>
  <r>
    <x v="1"/>
    <x v="6"/>
    <x v="2"/>
    <x v="5"/>
    <x v="0"/>
    <n v="139.4"/>
  </r>
  <r>
    <x v="1"/>
    <x v="6"/>
    <x v="2"/>
    <x v="6"/>
    <x v="0"/>
    <n v="141.19999999999999"/>
  </r>
  <r>
    <x v="1"/>
    <x v="6"/>
    <x v="2"/>
    <x v="7"/>
    <x v="0"/>
    <n v="120.7"/>
  </r>
  <r>
    <x v="1"/>
    <x v="6"/>
    <x v="2"/>
    <x v="8"/>
    <x v="0"/>
    <n v="110.4"/>
  </r>
  <r>
    <x v="1"/>
    <x v="6"/>
    <x v="2"/>
    <x v="9"/>
    <x v="0"/>
    <n v="140.69999999999999"/>
  </r>
  <r>
    <x v="1"/>
    <x v="6"/>
    <x v="2"/>
    <x v="10"/>
    <x v="0"/>
    <n v="128.5"/>
  </r>
  <r>
    <x v="1"/>
    <x v="6"/>
    <x v="2"/>
    <x v="11"/>
    <x v="0"/>
    <n v="153.9"/>
  </r>
  <r>
    <x v="1"/>
    <x v="6"/>
    <x v="2"/>
    <x v="12"/>
    <x v="0"/>
    <n v="139.6"/>
  </r>
  <r>
    <x v="1"/>
    <x v="6"/>
    <x v="2"/>
    <x v="13"/>
    <x v="1"/>
    <n v="165.3"/>
  </r>
  <r>
    <x v="1"/>
    <x v="6"/>
    <x v="2"/>
    <x v="14"/>
    <x v="2"/>
    <n v="143.5"/>
  </r>
  <r>
    <x v="1"/>
    <x v="6"/>
    <x v="2"/>
    <x v="15"/>
    <x v="2"/>
    <n v="131.19999999999999"/>
  </r>
  <r>
    <x v="1"/>
    <x v="6"/>
    <x v="2"/>
    <x v="16"/>
    <x v="2"/>
    <n v="141.6"/>
  </r>
  <r>
    <x v="1"/>
    <x v="6"/>
    <x v="2"/>
    <x v="17"/>
    <x v="3"/>
    <n v="149"/>
  </r>
  <r>
    <x v="1"/>
    <x v="6"/>
    <x v="2"/>
    <x v="18"/>
    <x v="4"/>
    <n v="128.80000000000001"/>
  </r>
  <r>
    <x v="1"/>
    <x v="6"/>
    <x v="2"/>
    <x v="19"/>
    <x v="5"/>
    <n v="136.80000000000001"/>
  </r>
  <r>
    <x v="1"/>
    <x v="6"/>
    <x v="2"/>
    <x v="20"/>
    <x v="6"/>
    <n v="139.19999999999999"/>
  </r>
  <r>
    <x v="1"/>
    <x v="6"/>
    <x v="2"/>
    <x v="21"/>
    <x v="7"/>
    <n v="119.9"/>
  </r>
  <r>
    <x v="1"/>
    <x v="6"/>
    <x v="2"/>
    <x v="22"/>
    <x v="8"/>
    <n v="133"/>
  </r>
  <r>
    <x v="1"/>
    <x v="6"/>
    <x v="2"/>
    <x v="23"/>
    <x v="9"/>
    <n v="146.69999999999999"/>
  </r>
  <r>
    <x v="1"/>
    <x v="6"/>
    <x v="2"/>
    <x v="24"/>
    <x v="8"/>
    <n v="132.5"/>
  </r>
  <r>
    <x v="1"/>
    <x v="6"/>
    <x v="2"/>
    <x v="25"/>
    <x v="5"/>
    <n v="132.80000000000001"/>
  </r>
  <r>
    <x v="1"/>
    <x v="6"/>
    <x v="2"/>
    <x v="26"/>
    <x v="10"/>
    <n v="139.5"/>
  </r>
  <r>
    <x v="2"/>
    <x v="6"/>
    <x v="2"/>
    <x v="0"/>
    <x v="0"/>
    <n v="137.80000000000001"/>
  </r>
  <r>
    <x v="2"/>
    <x v="6"/>
    <x v="2"/>
    <x v="1"/>
    <x v="0"/>
    <n v="153"/>
  </r>
  <r>
    <x v="2"/>
    <x v="6"/>
    <x v="2"/>
    <x v="2"/>
    <x v="0"/>
    <n v="140.30000000000001"/>
  </r>
  <r>
    <x v="2"/>
    <x v="6"/>
    <x v="2"/>
    <x v="3"/>
    <x v="0"/>
    <n v="142.30000000000001"/>
  </r>
  <r>
    <x v="2"/>
    <x v="6"/>
    <x v="2"/>
    <x v="4"/>
    <x v="0"/>
    <n v="122"/>
  </r>
  <r>
    <x v="2"/>
    <x v="6"/>
    <x v="2"/>
    <x v="5"/>
    <x v="0"/>
    <n v="137.6"/>
  </r>
  <r>
    <x v="2"/>
    <x v="6"/>
    <x v="2"/>
    <x v="6"/>
    <x v="0"/>
    <n v="132.6"/>
  </r>
  <r>
    <x v="2"/>
    <x v="6"/>
    <x v="2"/>
    <x v="7"/>
    <x v="0"/>
    <n v="121.8"/>
  </r>
  <r>
    <x v="2"/>
    <x v="6"/>
    <x v="2"/>
    <x v="8"/>
    <x v="0"/>
    <n v="109"/>
  </r>
  <r>
    <x v="2"/>
    <x v="6"/>
    <x v="2"/>
    <x v="9"/>
    <x v="0"/>
    <n v="139.5"/>
  </r>
  <r>
    <x v="2"/>
    <x v="6"/>
    <x v="2"/>
    <x v="10"/>
    <x v="0"/>
    <n v="133.69999999999999"/>
  </r>
  <r>
    <x v="2"/>
    <x v="6"/>
    <x v="2"/>
    <x v="11"/>
    <x v="0"/>
    <n v="155.19999999999999"/>
  </r>
  <r>
    <x v="2"/>
    <x v="6"/>
    <x v="2"/>
    <x v="12"/>
    <x v="0"/>
    <n v="138.1"/>
  </r>
  <r>
    <x v="2"/>
    <x v="6"/>
    <x v="2"/>
    <x v="13"/>
    <x v="1"/>
    <n v="163.5"/>
  </r>
  <r>
    <x v="2"/>
    <x v="6"/>
    <x v="2"/>
    <x v="14"/>
    <x v="2"/>
    <n v="147.9"/>
  </r>
  <r>
    <x v="2"/>
    <x v="6"/>
    <x v="2"/>
    <x v="15"/>
    <x v="2"/>
    <n v="139.9"/>
  </r>
  <r>
    <x v="2"/>
    <x v="6"/>
    <x v="2"/>
    <x v="16"/>
    <x v="2"/>
    <n v="146.69999999999999"/>
  </r>
  <r>
    <x v="2"/>
    <x v="6"/>
    <x v="2"/>
    <x v="17"/>
    <x v="3"/>
    <n v="149"/>
  </r>
  <r>
    <x v="2"/>
    <x v="6"/>
    <x v="2"/>
    <x v="18"/>
    <x v="4"/>
    <n v="139.69999999999999"/>
  </r>
  <r>
    <x v="2"/>
    <x v="6"/>
    <x v="2"/>
    <x v="19"/>
    <x v="5"/>
    <n v="143.80000000000001"/>
  </r>
  <r>
    <x v="2"/>
    <x v="6"/>
    <x v="2"/>
    <x v="20"/>
    <x v="6"/>
    <n v="146.19999999999999"/>
  </r>
  <r>
    <x v="2"/>
    <x v="6"/>
    <x v="2"/>
    <x v="21"/>
    <x v="7"/>
    <n v="124.6"/>
  </r>
  <r>
    <x v="2"/>
    <x v="6"/>
    <x v="2"/>
    <x v="22"/>
    <x v="8"/>
    <n v="137.69999999999999"/>
  </r>
  <r>
    <x v="2"/>
    <x v="6"/>
    <x v="2"/>
    <x v="23"/>
    <x v="9"/>
    <n v="150.30000000000001"/>
  </r>
  <r>
    <x v="2"/>
    <x v="6"/>
    <x v="2"/>
    <x v="24"/>
    <x v="8"/>
    <n v="133.4"/>
  </r>
  <r>
    <x v="2"/>
    <x v="6"/>
    <x v="2"/>
    <x v="25"/>
    <x v="5"/>
    <n v="137.69999999999999"/>
  </r>
  <r>
    <x v="2"/>
    <x v="6"/>
    <x v="2"/>
    <x v="26"/>
    <x v="10"/>
    <n v="140.4"/>
  </r>
  <r>
    <x v="0"/>
    <x v="6"/>
    <x v="4"/>
    <x v="0"/>
    <x v="0"/>
    <n v="137.4"/>
  </r>
  <r>
    <x v="0"/>
    <x v="6"/>
    <x v="4"/>
    <x v="1"/>
    <x v="0"/>
    <n v="159.5"/>
  </r>
  <r>
    <x v="0"/>
    <x v="6"/>
    <x v="4"/>
    <x v="2"/>
    <x v="0"/>
    <n v="134.5"/>
  </r>
  <r>
    <x v="0"/>
    <x v="6"/>
    <x v="4"/>
    <x v="3"/>
    <x v="0"/>
    <n v="142.6"/>
  </r>
  <r>
    <x v="0"/>
    <x v="6"/>
    <x v="4"/>
    <x v="4"/>
    <x v="0"/>
    <n v="124"/>
  </r>
  <r>
    <x v="0"/>
    <x v="6"/>
    <x v="4"/>
    <x v="5"/>
    <x v="0"/>
    <n v="143.69999999999999"/>
  </r>
  <r>
    <x v="0"/>
    <x v="6"/>
    <x v="4"/>
    <x v="6"/>
    <x v="0"/>
    <n v="133.4"/>
  </r>
  <r>
    <x v="0"/>
    <x v="6"/>
    <x v="4"/>
    <x v="7"/>
    <x v="0"/>
    <n v="125.1"/>
  </r>
  <r>
    <x v="0"/>
    <x v="6"/>
    <x v="4"/>
    <x v="8"/>
    <x v="0"/>
    <n v="109.3"/>
  </r>
  <r>
    <x v="0"/>
    <x v="6"/>
    <x v="4"/>
    <x v="9"/>
    <x v="0"/>
    <n v="139.30000000000001"/>
  </r>
  <r>
    <x v="0"/>
    <x v="6"/>
    <x v="4"/>
    <x v="10"/>
    <x v="0"/>
    <n v="137.69999999999999"/>
  </r>
  <r>
    <x v="0"/>
    <x v="6"/>
    <x v="4"/>
    <x v="11"/>
    <x v="0"/>
    <n v="156.4"/>
  </r>
  <r>
    <x v="0"/>
    <x v="6"/>
    <x v="4"/>
    <x v="12"/>
    <x v="0"/>
    <n v="139.19999999999999"/>
  </r>
  <r>
    <x v="0"/>
    <x v="6"/>
    <x v="4"/>
    <x v="13"/>
    <x v="1"/>
    <n v="163.30000000000001"/>
  </r>
  <r>
    <x v="0"/>
    <x v="6"/>
    <x v="4"/>
    <x v="14"/>
    <x v="2"/>
    <n v="151.30000000000001"/>
  </r>
  <r>
    <x v="0"/>
    <x v="6"/>
    <x v="4"/>
    <x v="15"/>
    <x v="2"/>
    <n v="146.6"/>
  </r>
  <r>
    <x v="0"/>
    <x v="6"/>
    <x v="4"/>
    <x v="16"/>
    <x v="2"/>
    <n v="150.69999999999999"/>
  </r>
  <r>
    <x v="0"/>
    <x v="6"/>
    <x v="4"/>
    <x v="17"/>
    <x v="3"/>
    <s v="NA"/>
  </r>
  <r>
    <x v="0"/>
    <x v="6"/>
    <x v="4"/>
    <x v="18"/>
    <x v="4"/>
    <n v="146.9"/>
  </r>
  <r>
    <x v="0"/>
    <x v="6"/>
    <x v="4"/>
    <x v="19"/>
    <x v="5"/>
    <n v="149.5"/>
  </r>
  <r>
    <x v="0"/>
    <x v="6"/>
    <x v="4"/>
    <x v="20"/>
    <x v="6"/>
    <n v="151.30000000000001"/>
  </r>
  <r>
    <x v="0"/>
    <x v="6"/>
    <x v="4"/>
    <x v="21"/>
    <x v="7"/>
    <n v="130.19999999999999"/>
  </r>
  <r>
    <x v="0"/>
    <x v="6"/>
    <x v="4"/>
    <x v="22"/>
    <x v="8"/>
    <n v="145.9"/>
  </r>
  <r>
    <x v="0"/>
    <x v="6"/>
    <x v="4"/>
    <x v="23"/>
    <x v="9"/>
    <n v="156.69999999999999"/>
  </r>
  <r>
    <x v="0"/>
    <x v="6"/>
    <x v="4"/>
    <x v="24"/>
    <x v="8"/>
    <n v="133.9"/>
  </r>
  <r>
    <x v="0"/>
    <x v="6"/>
    <x v="4"/>
    <x v="25"/>
    <x v="5"/>
    <n v="142.9"/>
  </r>
  <r>
    <x v="0"/>
    <x v="6"/>
    <x v="4"/>
    <x v="26"/>
    <x v="10"/>
    <n v="142.4"/>
  </r>
  <r>
    <x v="1"/>
    <x v="6"/>
    <x v="4"/>
    <x v="0"/>
    <x v="0"/>
    <n v="140.4"/>
  </r>
  <r>
    <x v="1"/>
    <x v="6"/>
    <x v="4"/>
    <x v="1"/>
    <x v="0"/>
    <n v="156.69999999999999"/>
  </r>
  <r>
    <x v="1"/>
    <x v="6"/>
    <x v="4"/>
    <x v="2"/>
    <x v="0"/>
    <n v="138.30000000000001"/>
  </r>
  <r>
    <x v="1"/>
    <x v="6"/>
    <x v="4"/>
    <x v="3"/>
    <x v="0"/>
    <n v="142.4"/>
  </r>
  <r>
    <x v="1"/>
    <x v="6"/>
    <x v="4"/>
    <x v="4"/>
    <x v="0"/>
    <n v="118.6"/>
  </r>
  <r>
    <x v="1"/>
    <x v="6"/>
    <x v="4"/>
    <x v="5"/>
    <x v="0"/>
    <n v="149.69999999999999"/>
  </r>
  <r>
    <x v="1"/>
    <x v="6"/>
    <x v="4"/>
    <x v="6"/>
    <x v="0"/>
    <n v="161.6"/>
  </r>
  <r>
    <x v="1"/>
    <x v="6"/>
    <x v="4"/>
    <x v="7"/>
    <x v="0"/>
    <n v="124.4"/>
  </r>
  <r>
    <x v="1"/>
    <x v="6"/>
    <x v="4"/>
    <x v="8"/>
    <x v="0"/>
    <n v="111.2"/>
  </r>
  <r>
    <x v="1"/>
    <x v="6"/>
    <x v="4"/>
    <x v="9"/>
    <x v="0"/>
    <n v="141"/>
  </r>
  <r>
    <x v="1"/>
    <x v="6"/>
    <x v="4"/>
    <x v="10"/>
    <x v="0"/>
    <n v="128.9"/>
  </r>
  <r>
    <x v="1"/>
    <x v="6"/>
    <x v="4"/>
    <x v="11"/>
    <x v="0"/>
    <n v="154.5"/>
  </r>
  <r>
    <x v="1"/>
    <x v="6"/>
    <x v="4"/>
    <x v="12"/>
    <x v="0"/>
    <n v="143.80000000000001"/>
  </r>
  <r>
    <x v="1"/>
    <x v="6"/>
    <x v="4"/>
    <x v="13"/>
    <x v="1"/>
    <n v="166.2"/>
  </r>
  <r>
    <x v="1"/>
    <x v="6"/>
    <x v="4"/>
    <x v="14"/>
    <x v="2"/>
    <n v="144"/>
  </r>
  <r>
    <x v="1"/>
    <x v="6"/>
    <x v="4"/>
    <x v="15"/>
    <x v="2"/>
    <n v="131.69999999999999"/>
  </r>
  <r>
    <x v="1"/>
    <x v="6"/>
    <x v="4"/>
    <x v="16"/>
    <x v="2"/>
    <n v="142.19999999999999"/>
  </r>
  <r>
    <x v="1"/>
    <x v="6"/>
    <x v="4"/>
    <x v="17"/>
    <x v="3"/>
    <n v="150.1"/>
  </r>
  <r>
    <x v="1"/>
    <x v="6"/>
    <x v="4"/>
    <x v="18"/>
    <x v="4"/>
    <n v="129.4"/>
  </r>
  <r>
    <x v="1"/>
    <x v="6"/>
    <x v="4"/>
    <x v="19"/>
    <x v="5"/>
    <n v="137.19999999999999"/>
  </r>
  <r>
    <x v="1"/>
    <x v="6"/>
    <x v="4"/>
    <x v="20"/>
    <x v="6"/>
    <n v="139.80000000000001"/>
  </r>
  <r>
    <x v="1"/>
    <x v="6"/>
    <x v="4"/>
    <x v="21"/>
    <x v="7"/>
    <n v="120.1"/>
  </r>
  <r>
    <x v="1"/>
    <x v="6"/>
    <x v="4"/>
    <x v="22"/>
    <x v="8"/>
    <n v="134"/>
  </r>
  <r>
    <x v="1"/>
    <x v="6"/>
    <x v="4"/>
    <x v="23"/>
    <x v="9"/>
    <n v="148"/>
  </r>
  <r>
    <x v="1"/>
    <x v="6"/>
    <x v="4"/>
    <x v="24"/>
    <x v="8"/>
    <n v="132.6"/>
  </r>
  <r>
    <x v="1"/>
    <x v="6"/>
    <x v="4"/>
    <x v="25"/>
    <x v="5"/>
    <n v="133.30000000000001"/>
  </r>
  <r>
    <x v="1"/>
    <x v="6"/>
    <x v="4"/>
    <x v="26"/>
    <x v="10"/>
    <n v="141.5"/>
  </r>
  <r>
    <x v="2"/>
    <x v="6"/>
    <x v="4"/>
    <x v="0"/>
    <x v="0"/>
    <n v="138.30000000000001"/>
  </r>
  <r>
    <x v="2"/>
    <x v="6"/>
    <x v="4"/>
    <x v="1"/>
    <x v="0"/>
    <n v="158.5"/>
  </r>
  <r>
    <x v="2"/>
    <x v="6"/>
    <x v="4"/>
    <x v="2"/>
    <x v="0"/>
    <n v="136"/>
  </r>
  <r>
    <x v="2"/>
    <x v="6"/>
    <x v="4"/>
    <x v="3"/>
    <x v="0"/>
    <n v="142.5"/>
  </r>
  <r>
    <x v="2"/>
    <x v="6"/>
    <x v="4"/>
    <x v="4"/>
    <x v="0"/>
    <n v="122"/>
  </r>
  <r>
    <x v="2"/>
    <x v="6"/>
    <x v="4"/>
    <x v="5"/>
    <x v="0"/>
    <n v="146.5"/>
  </r>
  <r>
    <x v="2"/>
    <x v="6"/>
    <x v="4"/>
    <x v="6"/>
    <x v="0"/>
    <n v="143"/>
  </r>
  <r>
    <x v="2"/>
    <x v="6"/>
    <x v="4"/>
    <x v="7"/>
    <x v="0"/>
    <n v="124.9"/>
  </r>
  <r>
    <x v="2"/>
    <x v="6"/>
    <x v="4"/>
    <x v="8"/>
    <x v="0"/>
    <n v="109.9"/>
  </r>
  <r>
    <x v="2"/>
    <x v="6"/>
    <x v="4"/>
    <x v="9"/>
    <x v="0"/>
    <n v="139.9"/>
  </r>
  <r>
    <x v="2"/>
    <x v="6"/>
    <x v="4"/>
    <x v="10"/>
    <x v="0"/>
    <n v="134"/>
  </r>
  <r>
    <x v="2"/>
    <x v="6"/>
    <x v="4"/>
    <x v="11"/>
    <x v="0"/>
    <n v="155.5"/>
  </r>
  <r>
    <x v="2"/>
    <x v="6"/>
    <x v="4"/>
    <x v="12"/>
    <x v="0"/>
    <n v="140.9"/>
  </r>
  <r>
    <x v="2"/>
    <x v="6"/>
    <x v="4"/>
    <x v="13"/>
    <x v="1"/>
    <n v="164.1"/>
  </r>
  <r>
    <x v="2"/>
    <x v="6"/>
    <x v="4"/>
    <x v="14"/>
    <x v="2"/>
    <n v="148.4"/>
  </r>
  <r>
    <x v="2"/>
    <x v="6"/>
    <x v="4"/>
    <x v="15"/>
    <x v="2"/>
    <n v="140.4"/>
  </r>
  <r>
    <x v="2"/>
    <x v="6"/>
    <x v="4"/>
    <x v="16"/>
    <x v="2"/>
    <n v="147.30000000000001"/>
  </r>
  <r>
    <x v="2"/>
    <x v="6"/>
    <x v="4"/>
    <x v="17"/>
    <x v="3"/>
    <n v="150.1"/>
  </r>
  <r>
    <x v="2"/>
    <x v="6"/>
    <x v="4"/>
    <x v="18"/>
    <x v="4"/>
    <n v="140.30000000000001"/>
  </r>
  <r>
    <x v="2"/>
    <x v="6"/>
    <x v="4"/>
    <x v="19"/>
    <x v="5"/>
    <n v="143.69999999999999"/>
  </r>
  <r>
    <x v="2"/>
    <x v="6"/>
    <x v="4"/>
    <x v="20"/>
    <x v="6"/>
    <n v="146.9"/>
  </r>
  <r>
    <x v="2"/>
    <x v="6"/>
    <x v="4"/>
    <x v="21"/>
    <x v="7"/>
    <n v="124.9"/>
  </r>
  <r>
    <x v="2"/>
    <x v="6"/>
    <x v="4"/>
    <x v="22"/>
    <x v="8"/>
    <n v="139.19999999999999"/>
  </r>
  <r>
    <x v="2"/>
    <x v="6"/>
    <x v="4"/>
    <x v="23"/>
    <x v="9"/>
    <n v="151.6"/>
  </r>
  <r>
    <x v="2"/>
    <x v="6"/>
    <x v="4"/>
    <x v="24"/>
    <x v="8"/>
    <n v="133.4"/>
  </r>
  <r>
    <x v="2"/>
    <x v="6"/>
    <x v="4"/>
    <x v="25"/>
    <x v="5"/>
    <n v="138.19999999999999"/>
  </r>
  <r>
    <x v="2"/>
    <x v="6"/>
    <x v="4"/>
    <x v="26"/>
    <x v="10"/>
    <n v="142"/>
  </r>
  <r>
    <x v="0"/>
    <x v="6"/>
    <x v="5"/>
    <x v="0"/>
    <x v="0"/>
    <n v="137.80000000000001"/>
  </r>
  <r>
    <x v="0"/>
    <x v="6"/>
    <x v="5"/>
    <x v="1"/>
    <x v="0"/>
    <n v="163.5"/>
  </r>
  <r>
    <x v="0"/>
    <x v="6"/>
    <x v="5"/>
    <x v="2"/>
    <x v="0"/>
    <n v="136.19999999999999"/>
  </r>
  <r>
    <x v="0"/>
    <x v="6"/>
    <x v="5"/>
    <x v="3"/>
    <x v="0"/>
    <n v="143.19999999999999"/>
  </r>
  <r>
    <x v="0"/>
    <x v="6"/>
    <x v="5"/>
    <x v="4"/>
    <x v="0"/>
    <n v="124.3"/>
  </r>
  <r>
    <x v="0"/>
    <x v="6"/>
    <x v="5"/>
    <x v="5"/>
    <x v="0"/>
    <n v="143.30000000000001"/>
  </r>
  <r>
    <x v="0"/>
    <x v="6"/>
    <x v="5"/>
    <x v="6"/>
    <x v="0"/>
    <n v="140.6"/>
  </r>
  <r>
    <x v="0"/>
    <x v="6"/>
    <x v="5"/>
    <x v="7"/>
    <x v="0"/>
    <n v="128.69999999999999"/>
  </r>
  <r>
    <x v="0"/>
    <x v="6"/>
    <x v="5"/>
    <x v="8"/>
    <x v="0"/>
    <n v="110.6"/>
  </r>
  <r>
    <x v="0"/>
    <x v="6"/>
    <x v="5"/>
    <x v="9"/>
    <x v="0"/>
    <n v="140.4"/>
  </r>
  <r>
    <x v="0"/>
    <x v="6"/>
    <x v="5"/>
    <x v="10"/>
    <x v="0"/>
    <n v="138"/>
  </r>
  <r>
    <x v="0"/>
    <x v="6"/>
    <x v="5"/>
    <x v="11"/>
    <x v="0"/>
    <n v="156.6"/>
  </r>
  <r>
    <x v="0"/>
    <x v="6"/>
    <x v="5"/>
    <x v="12"/>
    <x v="0"/>
    <n v="141"/>
  </r>
  <r>
    <x v="0"/>
    <x v="6"/>
    <x v="5"/>
    <x v="13"/>
    <x v="1"/>
    <n v="164.2"/>
  </r>
  <r>
    <x v="0"/>
    <x v="6"/>
    <x v="5"/>
    <x v="14"/>
    <x v="2"/>
    <n v="151.4"/>
  </r>
  <r>
    <x v="0"/>
    <x v="6"/>
    <x v="5"/>
    <x v="15"/>
    <x v="2"/>
    <n v="146.5"/>
  </r>
  <r>
    <x v="0"/>
    <x v="6"/>
    <x v="5"/>
    <x v="16"/>
    <x v="2"/>
    <n v="150.69999999999999"/>
  </r>
  <r>
    <x v="0"/>
    <x v="6"/>
    <x v="5"/>
    <x v="17"/>
    <x v="3"/>
    <s v="NA"/>
  </r>
  <r>
    <x v="0"/>
    <x v="6"/>
    <x v="5"/>
    <x v="18"/>
    <x v="4"/>
    <n v="147.80000000000001"/>
  </r>
  <r>
    <x v="0"/>
    <x v="6"/>
    <x v="5"/>
    <x v="19"/>
    <x v="5"/>
    <n v="149.6"/>
  </r>
  <r>
    <x v="0"/>
    <x v="6"/>
    <x v="5"/>
    <x v="20"/>
    <x v="6"/>
    <n v="151.69999999999999"/>
  </r>
  <r>
    <x v="0"/>
    <x v="6"/>
    <x v="5"/>
    <x v="21"/>
    <x v="7"/>
    <n v="130.19999999999999"/>
  </r>
  <r>
    <x v="0"/>
    <x v="6"/>
    <x v="5"/>
    <x v="22"/>
    <x v="8"/>
    <n v="146.4"/>
  </r>
  <r>
    <x v="0"/>
    <x v="6"/>
    <x v="5"/>
    <x v="23"/>
    <x v="9"/>
    <n v="157.69999999999999"/>
  </r>
  <r>
    <x v="0"/>
    <x v="6"/>
    <x v="5"/>
    <x v="24"/>
    <x v="8"/>
    <n v="134.80000000000001"/>
  </r>
  <r>
    <x v="0"/>
    <x v="6"/>
    <x v="5"/>
    <x v="25"/>
    <x v="5"/>
    <n v="143.30000000000001"/>
  </r>
  <r>
    <x v="0"/>
    <x v="6"/>
    <x v="5"/>
    <x v="26"/>
    <x v="10"/>
    <n v="143.6"/>
  </r>
  <r>
    <x v="1"/>
    <x v="6"/>
    <x v="5"/>
    <x v="0"/>
    <x v="0"/>
    <n v="140.69999999999999"/>
  </r>
  <r>
    <x v="1"/>
    <x v="6"/>
    <x v="5"/>
    <x v="1"/>
    <x v="0"/>
    <n v="159.6"/>
  </r>
  <r>
    <x v="1"/>
    <x v="6"/>
    <x v="5"/>
    <x v="2"/>
    <x v="0"/>
    <n v="140.4"/>
  </r>
  <r>
    <x v="1"/>
    <x v="6"/>
    <x v="5"/>
    <x v="3"/>
    <x v="0"/>
    <n v="143.4"/>
  </r>
  <r>
    <x v="1"/>
    <x v="6"/>
    <x v="5"/>
    <x v="4"/>
    <x v="0"/>
    <n v="118.6"/>
  </r>
  <r>
    <x v="1"/>
    <x v="6"/>
    <x v="5"/>
    <x v="5"/>
    <x v="0"/>
    <n v="150.9"/>
  </r>
  <r>
    <x v="1"/>
    <x v="6"/>
    <x v="5"/>
    <x v="6"/>
    <x v="0"/>
    <n v="169.8"/>
  </r>
  <r>
    <x v="1"/>
    <x v="6"/>
    <x v="5"/>
    <x v="7"/>
    <x v="0"/>
    <n v="127.4"/>
  </r>
  <r>
    <x v="1"/>
    <x v="6"/>
    <x v="5"/>
    <x v="8"/>
    <x v="0"/>
    <n v="111.8"/>
  </r>
  <r>
    <x v="1"/>
    <x v="6"/>
    <x v="5"/>
    <x v="9"/>
    <x v="0"/>
    <n v="141"/>
  </r>
  <r>
    <x v="1"/>
    <x v="6"/>
    <x v="5"/>
    <x v="10"/>
    <x v="0"/>
    <n v="129"/>
  </r>
  <r>
    <x v="1"/>
    <x v="6"/>
    <x v="5"/>
    <x v="11"/>
    <x v="0"/>
    <n v="155.1"/>
  </r>
  <r>
    <x v="1"/>
    <x v="6"/>
    <x v="5"/>
    <x v="12"/>
    <x v="0"/>
    <n v="145.6"/>
  </r>
  <r>
    <x v="1"/>
    <x v="6"/>
    <x v="5"/>
    <x v="13"/>
    <x v="1"/>
    <n v="166.7"/>
  </r>
  <r>
    <x v="1"/>
    <x v="6"/>
    <x v="5"/>
    <x v="14"/>
    <x v="2"/>
    <n v="144.30000000000001"/>
  </r>
  <r>
    <x v="1"/>
    <x v="6"/>
    <x v="5"/>
    <x v="15"/>
    <x v="2"/>
    <n v="131.69999999999999"/>
  </r>
  <r>
    <x v="1"/>
    <x v="6"/>
    <x v="5"/>
    <x v="16"/>
    <x v="2"/>
    <n v="142.4"/>
  </r>
  <r>
    <x v="1"/>
    <x v="6"/>
    <x v="5"/>
    <x v="17"/>
    <x v="3"/>
    <n v="149.4"/>
  </r>
  <r>
    <x v="1"/>
    <x v="6"/>
    <x v="5"/>
    <x v="18"/>
    <x v="4"/>
    <n v="130.5"/>
  </r>
  <r>
    <x v="1"/>
    <x v="6"/>
    <x v="5"/>
    <x v="19"/>
    <x v="5"/>
    <n v="137.4"/>
  </r>
  <r>
    <x v="1"/>
    <x v="6"/>
    <x v="5"/>
    <x v="20"/>
    <x v="6"/>
    <n v="140.30000000000001"/>
  </r>
  <r>
    <x v="1"/>
    <x v="6"/>
    <x v="5"/>
    <x v="21"/>
    <x v="7"/>
    <n v="119.6"/>
  </r>
  <r>
    <x v="1"/>
    <x v="6"/>
    <x v="5"/>
    <x v="22"/>
    <x v="8"/>
    <n v="134.30000000000001"/>
  </r>
  <r>
    <x v="1"/>
    <x v="6"/>
    <x v="5"/>
    <x v="23"/>
    <x v="9"/>
    <n v="148.9"/>
  </r>
  <r>
    <x v="1"/>
    <x v="6"/>
    <x v="5"/>
    <x v="24"/>
    <x v="8"/>
    <n v="133.69999999999999"/>
  </r>
  <r>
    <x v="1"/>
    <x v="6"/>
    <x v="5"/>
    <x v="25"/>
    <x v="5"/>
    <n v="133.6"/>
  </r>
  <r>
    <x v="1"/>
    <x v="6"/>
    <x v="5"/>
    <x v="26"/>
    <x v="10"/>
    <n v="142.1"/>
  </r>
  <r>
    <x v="2"/>
    <x v="6"/>
    <x v="5"/>
    <x v="0"/>
    <x v="0"/>
    <n v="138.69999999999999"/>
  </r>
  <r>
    <x v="2"/>
    <x v="6"/>
    <x v="5"/>
    <x v="1"/>
    <x v="0"/>
    <n v="162.1"/>
  </r>
  <r>
    <x v="2"/>
    <x v="6"/>
    <x v="5"/>
    <x v="2"/>
    <x v="0"/>
    <n v="137.80000000000001"/>
  </r>
  <r>
    <x v="2"/>
    <x v="6"/>
    <x v="5"/>
    <x v="3"/>
    <x v="0"/>
    <n v="143.30000000000001"/>
  </r>
  <r>
    <x v="2"/>
    <x v="6"/>
    <x v="5"/>
    <x v="4"/>
    <x v="0"/>
    <n v="122.2"/>
  </r>
  <r>
    <x v="2"/>
    <x v="6"/>
    <x v="5"/>
    <x v="5"/>
    <x v="0"/>
    <n v="146.80000000000001"/>
  </r>
  <r>
    <x v="2"/>
    <x v="6"/>
    <x v="5"/>
    <x v="6"/>
    <x v="0"/>
    <n v="150.5"/>
  </r>
  <r>
    <x v="2"/>
    <x v="6"/>
    <x v="5"/>
    <x v="7"/>
    <x v="0"/>
    <n v="128.30000000000001"/>
  </r>
  <r>
    <x v="2"/>
    <x v="6"/>
    <x v="5"/>
    <x v="8"/>
    <x v="0"/>
    <n v="111"/>
  </r>
  <r>
    <x v="2"/>
    <x v="6"/>
    <x v="5"/>
    <x v="9"/>
    <x v="0"/>
    <n v="140.6"/>
  </r>
  <r>
    <x v="2"/>
    <x v="6"/>
    <x v="5"/>
    <x v="10"/>
    <x v="0"/>
    <n v="134.19999999999999"/>
  </r>
  <r>
    <x v="2"/>
    <x v="6"/>
    <x v="5"/>
    <x v="11"/>
    <x v="0"/>
    <n v="155.9"/>
  </r>
  <r>
    <x v="2"/>
    <x v="6"/>
    <x v="5"/>
    <x v="12"/>
    <x v="0"/>
    <n v="142.69999999999999"/>
  </r>
  <r>
    <x v="2"/>
    <x v="6"/>
    <x v="5"/>
    <x v="13"/>
    <x v="1"/>
    <n v="164.9"/>
  </r>
  <r>
    <x v="2"/>
    <x v="6"/>
    <x v="5"/>
    <x v="14"/>
    <x v="2"/>
    <n v="148.6"/>
  </r>
  <r>
    <x v="2"/>
    <x v="6"/>
    <x v="5"/>
    <x v="15"/>
    <x v="2"/>
    <n v="140.4"/>
  </r>
  <r>
    <x v="2"/>
    <x v="6"/>
    <x v="5"/>
    <x v="16"/>
    <x v="2"/>
    <n v="147.4"/>
  </r>
  <r>
    <x v="2"/>
    <x v="6"/>
    <x v="5"/>
    <x v="17"/>
    <x v="3"/>
    <n v="149.4"/>
  </r>
  <r>
    <x v="2"/>
    <x v="6"/>
    <x v="5"/>
    <x v="18"/>
    <x v="4"/>
    <n v="141.19999999999999"/>
  </r>
  <r>
    <x v="2"/>
    <x v="6"/>
    <x v="5"/>
    <x v="19"/>
    <x v="5"/>
    <n v="143.80000000000001"/>
  </r>
  <r>
    <x v="2"/>
    <x v="6"/>
    <x v="5"/>
    <x v="20"/>
    <x v="6"/>
    <n v="147.4"/>
  </r>
  <r>
    <x v="2"/>
    <x v="6"/>
    <x v="5"/>
    <x v="21"/>
    <x v="7"/>
    <n v="124.6"/>
  </r>
  <r>
    <x v="2"/>
    <x v="6"/>
    <x v="5"/>
    <x v="22"/>
    <x v="8"/>
    <n v="139.6"/>
  </r>
  <r>
    <x v="2"/>
    <x v="6"/>
    <x v="5"/>
    <x v="23"/>
    <x v="9"/>
    <n v="152.5"/>
  </r>
  <r>
    <x v="2"/>
    <x v="6"/>
    <x v="5"/>
    <x v="24"/>
    <x v="8"/>
    <n v="134.30000000000001"/>
  </r>
  <r>
    <x v="2"/>
    <x v="6"/>
    <x v="5"/>
    <x v="25"/>
    <x v="5"/>
    <n v="138.6"/>
  </r>
  <r>
    <x v="2"/>
    <x v="6"/>
    <x v="5"/>
    <x v="26"/>
    <x v="10"/>
    <n v="142.9"/>
  </r>
  <r>
    <x v="0"/>
    <x v="6"/>
    <x v="6"/>
    <x v="0"/>
    <x v="0"/>
    <n v="138.4"/>
  </r>
  <r>
    <x v="0"/>
    <x v="6"/>
    <x v="6"/>
    <x v="1"/>
    <x v="0"/>
    <n v="164"/>
  </r>
  <r>
    <x v="0"/>
    <x v="6"/>
    <x v="6"/>
    <x v="2"/>
    <x v="0"/>
    <n v="138.4"/>
  </r>
  <r>
    <x v="0"/>
    <x v="6"/>
    <x v="6"/>
    <x v="3"/>
    <x v="0"/>
    <n v="143.9"/>
  </r>
  <r>
    <x v="0"/>
    <x v="6"/>
    <x v="6"/>
    <x v="4"/>
    <x v="0"/>
    <n v="124.4"/>
  </r>
  <r>
    <x v="0"/>
    <x v="6"/>
    <x v="6"/>
    <x v="5"/>
    <x v="0"/>
    <n v="146.4"/>
  </r>
  <r>
    <x v="0"/>
    <x v="6"/>
    <x v="6"/>
    <x v="6"/>
    <x v="0"/>
    <n v="150.1"/>
  </r>
  <r>
    <x v="0"/>
    <x v="6"/>
    <x v="6"/>
    <x v="7"/>
    <x v="0"/>
    <n v="130.6"/>
  </r>
  <r>
    <x v="0"/>
    <x v="6"/>
    <x v="6"/>
    <x v="8"/>
    <x v="0"/>
    <n v="110.8"/>
  </r>
  <r>
    <x v="0"/>
    <x v="6"/>
    <x v="6"/>
    <x v="9"/>
    <x v="0"/>
    <n v="141.69999999999999"/>
  </r>
  <r>
    <x v="0"/>
    <x v="6"/>
    <x v="6"/>
    <x v="10"/>
    <x v="0"/>
    <n v="138.5"/>
  </r>
  <r>
    <x v="0"/>
    <x v="6"/>
    <x v="6"/>
    <x v="11"/>
    <x v="0"/>
    <n v="156.69999999999999"/>
  </r>
  <r>
    <x v="0"/>
    <x v="6"/>
    <x v="6"/>
    <x v="12"/>
    <x v="0"/>
    <n v="143"/>
  </r>
  <r>
    <x v="0"/>
    <x v="6"/>
    <x v="6"/>
    <x v="13"/>
    <x v="1"/>
    <n v="164.5"/>
  </r>
  <r>
    <x v="0"/>
    <x v="6"/>
    <x v="6"/>
    <x v="14"/>
    <x v="2"/>
    <n v="151.6"/>
  </r>
  <r>
    <x v="0"/>
    <x v="6"/>
    <x v="6"/>
    <x v="15"/>
    <x v="2"/>
    <n v="146.6"/>
  </r>
  <r>
    <x v="0"/>
    <x v="6"/>
    <x v="6"/>
    <x v="16"/>
    <x v="2"/>
    <n v="150.9"/>
  </r>
  <r>
    <x v="0"/>
    <x v="6"/>
    <x v="6"/>
    <x v="17"/>
    <x v="3"/>
    <s v="NA"/>
  </r>
  <r>
    <x v="0"/>
    <x v="6"/>
    <x v="6"/>
    <x v="18"/>
    <x v="4"/>
    <n v="146.80000000000001"/>
  </r>
  <r>
    <x v="0"/>
    <x v="6"/>
    <x v="6"/>
    <x v="19"/>
    <x v="5"/>
    <n v="150"/>
  </r>
  <r>
    <x v="0"/>
    <x v="6"/>
    <x v="6"/>
    <x v="20"/>
    <x v="6"/>
    <n v="152.19999999999999"/>
  </r>
  <r>
    <x v="0"/>
    <x v="6"/>
    <x v="6"/>
    <x v="21"/>
    <x v="7"/>
    <n v="131.19999999999999"/>
  </r>
  <r>
    <x v="0"/>
    <x v="6"/>
    <x v="6"/>
    <x v="22"/>
    <x v="8"/>
    <n v="147.5"/>
  </r>
  <r>
    <x v="0"/>
    <x v="6"/>
    <x v="6"/>
    <x v="23"/>
    <x v="9"/>
    <n v="159.1"/>
  </r>
  <r>
    <x v="0"/>
    <x v="6"/>
    <x v="6"/>
    <x v="24"/>
    <x v="8"/>
    <n v="136.1"/>
  </r>
  <r>
    <x v="0"/>
    <x v="6"/>
    <x v="6"/>
    <x v="25"/>
    <x v="5"/>
    <n v="144.19999999999999"/>
  </r>
  <r>
    <x v="0"/>
    <x v="6"/>
    <x v="6"/>
    <x v="26"/>
    <x v="10"/>
    <n v="144.9"/>
  </r>
  <r>
    <x v="1"/>
    <x v="6"/>
    <x v="6"/>
    <x v="0"/>
    <x v="0"/>
    <n v="141.4"/>
  </r>
  <r>
    <x v="1"/>
    <x v="6"/>
    <x v="6"/>
    <x v="1"/>
    <x v="0"/>
    <n v="160.19999999999999"/>
  </r>
  <r>
    <x v="1"/>
    <x v="6"/>
    <x v="6"/>
    <x v="2"/>
    <x v="0"/>
    <n v="142.5"/>
  </r>
  <r>
    <x v="1"/>
    <x v="6"/>
    <x v="6"/>
    <x v="3"/>
    <x v="0"/>
    <n v="144.1"/>
  </r>
  <r>
    <x v="1"/>
    <x v="6"/>
    <x v="6"/>
    <x v="4"/>
    <x v="0"/>
    <n v="119.3"/>
  </r>
  <r>
    <x v="1"/>
    <x v="6"/>
    <x v="6"/>
    <x v="5"/>
    <x v="0"/>
    <n v="154.69999999999999"/>
  </r>
  <r>
    <x v="1"/>
    <x v="6"/>
    <x v="6"/>
    <x v="6"/>
    <x v="0"/>
    <n v="180.1"/>
  </r>
  <r>
    <x v="1"/>
    <x v="6"/>
    <x v="6"/>
    <x v="7"/>
    <x v="0"/>
    <n v="128.9"/>
  </r>
  <r>
    <x v="1"/>
    <x v="6"/>
    <x v="6"/>
    <x v="8"/>
    <x v="0"/>
    <n v="111.8"/>
  </r>
  <r>
    <x v="1"/>
    <x v="6"/>
    <x v="6"/>
    <x v="9"/>
    <x v="0"/>
    <n v="141.6"/>
  </r>
  <r>
    <x v="1"/>
    <x v="6"/>
    <x v="6"/>
    <x v="10"/>
    <x v="0"/>
    <n v="129.5"/>
  </r>
  <r>
    <x v="1"/>
    <x v="6"/>
    <x v="6"/>
    <x v="11"/>
    <x v="0"/>
    <n v="155.6"/>
  </r>
  <r>
    <x v="1"/>
    <x v="6"/>
    <x v="6"/>
    <x v="12"/>
    <x v="0"/>
    <n v="147.69999999999999"/>
  </r>
  <r>
    <x v="1"/>
    <x v="6"/>
    <x v="6"/>
    <x v="13"/>
    <x v="1"/>
    <n v="167.2"/>
  </r>
  <r>
    <x v="1"/>
    <x v="6"/>
    <x v="6"/>
    <x v="14"/>
    <x v="2"/>
    <n v="144.69999999999999"/>
  </r>
  <r>
    <x v="1"/>
    <x v="6"/>
    <x v="6"/>
    <x v="15"/>
    <x v="2"/>
    <n v="131.9"/>
  </r>
  <r>
    <x v="1"/>
    <x v="6"/>
    <x v="6"/>
    <x v="16"/>
    <x v="2"/>
    <n v="142.69999999999999"/>
  </r>
  <r>
    <x v="1"/>
    <x v="6"/>
    <x v="6"/>
    <x v="17"/>
    <x v="3"/>
    <n v="150.6"/>
  </r>
  <r>
    <x v="1"/>
    <x v="6"/>
    <x v="6"/>
    <x v="18"/>
    <x v="4"/>
    <n v="127"/>
  </r>
  <r>
    <x v="1"/>
    <x v="6"/>
    <x v="6"/>
    <x v="19"/>
    <x v="5"/>
    <n v="137.69999999999999"/>
  </r>
  <r>
    <x v="1"/>
    <x v="6"/>
    <x v="6"/>
    <x v="20"/>
    <x v="6"/>
    <n v="140.80000000000001"/>
  </r>
  <r>
    <x v="1"/>
    <x v="6"/>
    <x v="6"/>
    <x v="21"/>
    <x v="7"/>
    <n v="120.6"/>
  </r>
  <r>
    <x v="1"/>
    <x v="6"/>
    <x v="6"/>
    <x v="22"/>
    <x v="8"/>
    <n v="135"/>
  </r>
  <r>
    <x v="1"/>
    <x v="6"/>
    <x v="6"/>
    <x v="23"/>
    <x v="9"/>
    <n v="150.4"/>
  </r>
  <r>
    <x v="1"/>
    <x v="6"/>
    <x v="6"/>
    <x v="24"/>
    <x v="8"/>
    <n v="135.1"/>
  </r>
  <r>
    <x v="1"/>
    <x v="6"/>
    <x v="6"/>
    <x v="25"/>
    <x v="5"/>
    <n v="134.5"/>
  </r>
  <r>
    <x v="1"/>
    <x v="6"/>
    <x v="6"/>
    <x v="26"/>
    <x v="10"/>
    <n v="143.30000000000001"/>
  </r>
  <r>
    <x v="2"/>
    <x v="6"/>
    <x v="6"/>
    <x v="0"/>
    <x v="0"/>
    <n v="139.30000000000001"/>
  </r>
  <r>
    <x v="2"/>
    <x v="6"/>
    <x v="6"/>
    <x v="1"/>
    <x v="0"/>
    <n v="162.69999999999999"/>
  </r>
  <r>
    <x v="2"/>
    <x v="6"/>
    <x v="6"/>
    <x v="2"/>
    <x v="0"/>
    <n v="140"/>
  </r>
  <r>
    <x v="2"/>
    <x v="6"/>
    <x v="6"/>
    <x v="3"/>
    <x v="0"/>
    <n v="144"/>
  </r>
  <r>
    <x v="2"/>
    <x v="6"/>
    <x v="6"/>
    <x v="4"/>
    <x v="0"/>
    <n v="122.5"/>
  </r>
  <r>
    <x v="2"/>
    <x v="6"/>
    <x v="6"/>
    <x v="5"/>
    <x v="0"/>
    <n v="150.30000000000001"/>
  </r>
  <r>
    <x v="2"/>
    <x v="6"/>
    <x v="6"/>
    <x v="6"/>
    <x v="0"/>
    <n v="160.30000000000001"/>
  </r>
  <r>
    <x v="2"/>
    <x v="6"/>
    <x v="6"/>
    <x v="7"/>
    <x v="0"/>
    <n v="130"/>
  </r>
  <r>
    <x v="2"/>
    <x v="6"/>
    <x v="6"/>
    <x v="8"/>
    <x v="0"/>
    <n v="111.1"/>
  </r>
  <r>
    <x v="2"/>
    <x v="6"/>
    <x v="6"/>
    <x v="9"/>
    <x v="0"/>
    <n v="141.69999999999999"/>
  </r>
  <r>
    <x v="2"/>
    <x v="6"/>
    <x v="6"/>
    <x v="10"/>
    <x v="0"/>
    <n v="134.69999999999999"/>
  </r>
  <r>
    <x v="2"/>
    <x v="6"/>
    <x v="6"/>
    <x v="11"/>
    <x v="0"/>
    <n v="156.19999999999999"/>
  </r>
  <r>
    <x v="2"/>
    <x v="6"/>
    <x v="6"/>
    <x v="12"/>
    <x v="0"/>
    <n v="144.69999999999999"/>
  </r>
  <r>
    <x v="2"/>
    <x v="6"/>
    <x v="6"/>
    <x v="13"/>
    <x v="1"/>
    <n v="165.2"/>
  </r>
  <r>
    <x v="2"/>
    <x v="6"/>
    <x v="6"/>
    <x v="14"/>
    <x v="2"/>
    <n v="148.9"/>
  </r>
  <r>
    <x v="2"/>
    <x v="6"/>
    <x v="6"/>
    <x v="15"/>
    <x v="2"/>
    <n v="140.5"/>
  </r>
  <r>
    <x v="2"/>
    <x v="6"/>
    <x v="6"/>
    <x v="16"/>
    <x v="2"/>
    <n v="147.6"/>
  </r>
  <r>
    <x v="2"/>
    <x v="6"/>
    <x v="6"/>
    <x v="17"/>
    <x v="3"/>
    <n v="150.6"/>
  </r>
  <r>
    <x v="2"/>
    <x v="6"/>
    <x v="6"/>
    <x v="18"/>
    <x v="4"/>
    <n v="139.30000000000001"/>
  </r>
  <r>
    <x v="2"/>
    <x v="6"/>
    <x v="6"/>
    <x v="19"/>
    <x v="5"/>
    <n v="144.19999999999999"/>
  </r>
  <r>
    <x v="2"/>
    <x v="6"/>
    <x v="6"/>
    <x v="20"/>
    <x v="6"/>
    <n v="147.9"/>
  </r>
  <r>
    <x v="2"/>
    <x v="6"/>
    <x v="6"/>
    <x v="21"/>
    <x v="7"/>
    <n v="125.6"/>
  </r>
  <r>
    <x v="2"/>
    <x v="6"/>
    <x v="6"/>
    <x v="22"/>
    <x v="8"/>
    <n v="140.5"/>
  </r>
  <r>
    <x v="2"/>
    <x v="6"/>
    <x v="6"/>
    <x v="23"/>
    <x v="9"/>
    <n v="154"/>
  </r>
  <r>
    <x v="2"/>
    <x v="6"/>
    <x v="6"/>
    <x v="24"/>
    <x v="8"/>
    <n v="135.69999999999999"/>
  </r>
  <r>
    <x v="2"/>
    <x v="6"/>
    <x v="6"/>
    <x v="25"/>
    <x v="5"/>
    <n v="139.5"/>
  </r>
  <r>
    <x v="2"/>
    <x v="6"/>
    <x v="6"/>
    <x v="26"/>
    <x v="10"/>
    <n v="144.19999999999999"/>
  </r>
  <r>
    <x v="0"/>
    <x v="6"/>
    <x v="7"/>
    <x v="0"/>
    <x v="0"/>
    <n v="139.19999999999999"/>
  </r>
  <r>
    <x v="0"/>
    <x v="6"/>
    <x v="7"/>
    <x v="1"/>
    <x v="0"/>
    <n v="161.9"/>
  </r>
  <r>
    <x v="0"/>
    <x v="6"/>
    <x v="7"/>
    <x v="2"/>
    <x v="0"/>
    <n v="137.1"/>
  </r>
  <r>
    <x v="0"/>
    <x v="6"/>
    <x v="7"/>
    <x v="3"/>
    <x v="0"/>
    <n v="144.6"/>
  </r>
  <r>
    <x v="0"/>
    <x v="6"/>
    <x v="7"/>
    <x v="4"/>
    <x v="0"/>
    <n v="124.7"/>
  </r>
  <r>
    <x v="0"/>
    <x v="6"/>
    <x v="7"/>
    <x v="5"/>
    <x v="0"/>
    <n v="145.5"/>
  </r>
  <r>
    <x v="0"/>
    <x v="6"/>
    <x v="7"/>
    <x v="6"/>
    <x v="0"/>
    <n v="156.19999999999999"/>
  </r>
  <r>
    <x v="0"/>
    <x v="6"/>
    <x v="7"/>
    <x v="7"/>
    <x v="0"/>
    <n v="131.5"/>
  </r>
  <r>
    <x v="0"/>
    <x v="6"/>
    <x v="7"/>
    <x v="8"/>
    <x v="0"/>
    <n v="111.7"/>
  </r>
  <r>
    <x v="0"/>
    <x v="6"/>
    <x v="7"/>
    <x v="9"/>
    <x v="0"/>
    <n v="142.69999999999999"/>
  </r>
  <r>
    <x v="0"/>
    <x v="6"/>
    <x v="7"/>
    <x v="10"/>
    <x v="0"/>
    <n v="138.5"/>
  </r>
  <r>
    <x v="0"/>
    <x v="6"/>
    <x v="7"/>
    <x v="11"/>
    <x v="0"/>
    <n v="156.9"/>
  </r>
  <r>
    <x v="0"/>
    <x v="6"/>
    <x v="7"/>
    <x v="12"/>
    <x v="0"/>
    <n v="144"/>
  </r>
  <r>
    <x v="0"/>
    <x v="6"/>
    <x v="7"/>
    <x v="13"/>
    <x v="1"/>
    <n v="165.1"/>
  </r>
  <r>
    <x v="0"/>
    <x v="6"/>
    <x v="7"/>
    <x v="14"/>
    <x v="2"/>
    <n v="151.80000000000001"/>
  </r>
  <r>
    <x v="0"/>
    <x v="6"/>
    <x v="7"/>
    <x v="15"/>
    <x v="2"/>
    <n v="146.6"/>
  </r>
  <r>
    <x v="0"/>
    <x v="6"/>
    <x v="7"/>
    <x v="16"/>
    <x v="2"/>
    <n v="151.1"/>
  </r>
  <r>
    <x v="0"/>
    <x v="6"/>
    <x v="7"/>
    <x v="17"/>
    <x v="3"/>
    <s v="NA"/>
  </r>
  <r>
    <x v="0"/>
    <x v="6"/>
    <x v="7"/>
    <x v="18"/>
    <x v="4"/>
    <n v="146.4"/>
  </r>
  <r>
    <x v="0"/>
    <x v="6"/>
    <x v="7"/>
    <x v="19"/>
    <x v="5"/>
    <n v="150.19999999999999"/>
  </r>
  <r>
    <x v="0"/>
    <x v="6"/>
    <x v="7"/>
    <x v="20"/>
    <x v="6"/>
    <n v="152.69999999999999"/>
  </r>
  <r>
    <x v="0"/>
    <x v="6"/>
    <x v="7"/>
    <x v="21"/>
    <x v="7"/>
    <n v="131.4"/>
  </r>
  <r>
    <x v="0"/>
    <x v="6"/>
    <x v="7"/>
    <x v="22"/>
    <x v="8"/>
    <n v="148"/>
  </r>
  <r>
    <x v="0"/>
    <x v="6"/>
    <x v="7"/>
    <x v="23"/>
    <x v="9"/>
    <n v="159.69999999999999"/>
  </r>
  <r>
    <x v="0"/>
    <x v="6"/>
    <x v="7"/>
    <x v="24"/>
    <x v="8"/>
    <n v="138.80000000000001"/>
  </r>
  <r>
    <x v="0"/>
    <x v="6"/>
    <x v="7"/>
    <x v="25"/>
    <x v="5"/>
    <n v="144.9"/>
  </r>
  <r>
    <x v="0"/>
    <x v="6"/>
    <x v="7"/>
    <x v="26"/>
    <x v="10"/>
    <n v="145.69999999999999"/>
  </r>
  <r>
    <x v="1"/>
    <x v="6"/>
    <x v="7"/>
    <x v="0"/>
    <x v="0"/>
    <n v="142.1"/>
  </r>
  <r>
    <x v="1"/>
    <x v="6"/>
    <x v="7"/>
    <x v="1"/>
    <x v="0"/>
    <n v="158.30000000000001"/>
  </r>
  <r>
    <x v="1"/>
    <x v="6"/>
    <x v="7"/>
    <x v="2"/>
    <x v="0"/>
    <n v="140.80000000000001"/>
  </r>
  <r>
    <x v="1"/>
    <x v="6"/>
    <x v="7"/>
    <x v="3"/>
    <x v="0"/>
    <n v="144.9"/>
  </r>
  <r>
    <x v="1"/>
    <x v="6"/>
    <x v="7"/>
    <x v="4"/>
    <x v="0"/>
    <n v="119.9"/>
  </r>
  <r>
    <x v="1"/>
    <x v="6"/>
    <x v="7"/>
    <x v="5"/>
    <x v="0"/>
    <n v="153.9"/>
  </r>
  <r>
    <x v="1"/>
    <x v="6"/>
    <x v="7"/>
    <x v="6"/>
    <x v="0"/>
    <n v="189.1"/>
  </r>
  <r>
    <x v="1"/>
    <x v="6"/>
    <x v="7"/>
    <x v="7"/>
    <x v="0"/>
    <n v="129.80000000000001"/>
  </r>
  <r>
    <x v="1"/>
    <x v="6"/>
    <x v="7"/>
    <x v="8"/>
    <x v="0"/>
    <n v="112.7"/>
  </r>
  <r>
    <x v="1"/>
    <x v="6"/>
    <x v="7"/>
    <x v="9"/>
    <x v="0"/>
    <n v="142.5"/>
  </r>
  <r>
    <x v="1"/>
    <x v="6"/>
    <x v="7"/>
    <x v="10"/>
    <x v="0"/>
    <n v="129.80000000000001"/>
  </r>
  <r>
    <x v="1"/>
    <x v="6"/>
    <x v="7"/>
    <x v="11"/>
    <x v="0"/>
    <n v="156.19999999999999"/>
  </r>
  <r>
    <x v="1"/>
    <x v="6"/>
    <x v="7"/>
    <x v="12"/>
    <x v="0"/>
    <n v="149.1"/>
  </r>
  <r>
    <x v="1"/>
    <x v="6"/>
    <x v="7"/>
    <x v="13"/>
    <x v="1"/>
    <n v="167.9"/>
  </r>
  <r>
    <x v="1"/>
    <x v="6"/>
    <x v="7"/>
    <x v="14"/>
    <x v="2"/>
    <n v="145"/>
  </r>
  <r>
    <x v="1"/>
    <x v="6"/>
    <x v="7"/>
    <x v="15"/>
    <x v="2"/>
    <n v="132.19999999999999"/>
  </r>
  <r>
    <x v="1"/>
    <x v="6"/>
    <x v="7"/>
    <x v="16"/>
    <x v="2"/>
    <n v="143"/>
  </r>
  <r>
    <x v="1"/>
    <x v="6"/>
    <x v="7"/>
    <x v="17"/>
    <x v="3"/>
    <n v="151.6"/>
  </r>
  <r>
    <x v="1"/>
    <x v="6"/>
    <x v="7"/>
    <x v="18"/>
    <x v="4"/>
    <n v="125.5"/>
  </r>
  <r>
    <x v="1"/>
    <x v="6"/>
    <x v="7"/>
    <x v="19"/>
    <x v="5"/>
    <n v="138.1"/>
  </r>
  <r>
    <x v="1"/>
    <x v="6"/>
    <x v="7"/>
    <x v="20"/>
    <x v="6"/>
    <n v="141.5"/>
  </r>
  <r>
    <x v="1"/>
    <x v="6"/>
    <x v="7"/>
    <x v="21"/>
    <x v="7"/>
    <n v="120.8"/>
  </r>
  <r>
    <x v="1"/>
    <x v="6"/>
    <x v="7"/>
    <x v="22"/>
    <x v="8"/>
    <n v="135.4"/>
  </r>
  <r>
    <x v="1"/>
    <x v="6"/>
    <x v="7"/>
    <x v="23"/>
    <x v="9"/>
    <n v="151.5"/>
  </r>
  <r>
    <x v="1"/>
    <x v="6"/>
    <x v="7"/>
    <x v="24"/>
    <x v="8"/>
    <n v="137.80000000000001"/>
  </r>
  <r>
    <x v="1"/>
    <x v="6"/>
    <x v="7"/>
    <x v="25"/>
    <x v="5"/>
    <n v="135.30000000000001"/>
  </r>
  <r>
    <x v="1"/>
    <x v="6"/>
    <x v="7"/>
    <x v="26"/>
    <x v="10"/>
    <n v="144.19999999999999"/>
  </r>
  <r>
    <x v="2"/>
    <x v="6"/>
    <x v="7"/>
    <x v="0"/>
    <x v="0"/>
    <n v="140.1"/>
  </r>
  <r>
    <x v="2"/>
    <x v="6"/>
    <x v="7"/>
    <x v="1"/>
    <x v="0"/>
    <n v="160.6"/>
  </r>
  <r>
    <x v="2"/>
    <x v="6"/>
    <x v="7"/>
    <x v="2"/>
    <x v="0"/>
    <n v="138.5"/>
  </r>
  <r>
    <x v="2"/>
    <x v="6"/>
    <x v="7"/>
    <x v="3"/>
    <x v="0"/>
    <n v="144.69999999999999"/>
  </r>
  <r>
    <x v="2"/>
    <x v="6"/>
    <x v="7"/>
    <x v="4"/>
    <x v="0"/>
    <n v="122.9"/>
  </r>
  <r>
    <x v="2"/>
    <x v="6"/>
    <x v="7"/>
    <x v="5"/>
    <x v="0"/>
    <n v="149.4"/>
  </r>
  <r>
    <x v="2"/>
    <x v="6"/>
    <x v="7"/>
    <x v="6"/>
    <x v="0"/>
    <n v="167.4"/>
  </r>
  <r>
    <x v="2"/>
    <x v="6"/>
    <x v="7"/>
    <x v="7"/>
    <x v="0"/>
    <n v="130.9"/>
  </r>
  <r>
    <x v="2"/>
    <x v="6"/>
    <x v="7"/>
    <x v="8"/>
    <x v="0"/>
    <n v="112"/>
  </r>
  <r>
    <x v="2"/>
    <x v="6"/>
    <x v="7"/>
    <x v="9"/>
    <x v="0"/>
    <n v="142.6"/>
  </r>
  <r>
    <x v="2"/>
    <x v="6"/>
    <x v="7"/>
    <x v="10"/>
    <x v="0"/>
    <n v="134.9"/>
  </r>
  <r>
    <x v="2"/>
    <x v="6"/>
    <x v="7"/>
    <x v="11"/>
    <x v="0"/>
    <n v="156.6"/>
  </r>
  <r>
    <x v="2"/>
    <x v="6"/>
    <x v="7"/>
    <x v="12"/>
    <x v="0"/>
    <n v="145.9"/>
  </r>
  <r>
    <x v="2"/>
    <x v="6"/>
    <x v="7"/>
    <x v="13"/>
    <x v="1"/>
    <n v="165.8"/>
  </r>
  <r>
    <x v="2"/>
    <x v="6"/>
    <x v="7"/>
    <x v="14"/>
    <x v="2"/>
    <n v="149.1"/>
  </r>
  <r>
    <x v="2"/>
    <x v="6"/>
    <x v="7"/>
    <x v="15"/>
    <x v="2"/>
    <n v="140.6"/>
  </r>
  <r>
    <x v="2"/>
    <x v="6"/>
    <x v="7"/>
    <x v="16"/>
    <x v="2"/>
    <n v="147.9"/>
  </r>
  <r>
    <x v="2"/>
    <x v="6"/>
    <x v="7"/>
    <x v="17"/>
    <x v="3"/>
    <n v="151.6"/>
  </r>
  <r>
    <x v="2"/>
    <x v="6"/>
    <x v="7"/>
    <x v="18"/>
    <x v="4"/>
    <n v="138.5"/>
  </r>
  <r>
    <x v="2"/>
    <x v="6"/>
    <x v="7"/>
    <x v="19"/>
    <x v="5"/>
    <n v="144.5"/>
  </r>
  <r>
    <x v="2"/>
    <x v="6"/>
    <x v="7"/>
    <x v="20"/>
    <x v="6"/>
    <n v="148.5"/>
  </r>
  <r>
    <x v="2"/>
    <x v="6"/>
    <x v="7"/>
    <x v="21"/>
    <x v="7"/>
    <n v="125.8"/>
  </r>
  <r>
    <x v="2"/>
    <x v="6"/>
    <x v="7"/>
    <x v="22"/>
    <x v="8"/>
    <n v="140.9"/>
  </r>
  <r>
    <x v="2"/>
    <x v="6"/>
    <x v="7"/>
    <x v="23"/>
    <x v="9"/>
    <n v="154.9"/>
  </r>
  <r>
    <x v="2"/>
    <x v="6"/>
    <x v="7"/>
    <x v="24"/>
    <x v="8"/>
    <n v="138.4"/>
  </r>
  <r>
    <x v="2"/>
    <x v="6"/>
    <x v="7"/>
    <x v="25"/>
    <x v="5"/>
    <n v="140.19999999999999"/>
  </r>
  <r>
    <x v="2"/>
    <x v="6"/>
    <x v="7"/>
    <x v="26"/>
    <x v="10"/>
    <n v="145"/>
  </r>
  <r>
    <x v="0"/>
    <x v="6"/>
    <x v="8"/>
    <x v="0"/>
    <x v="0"/>
    <n v="140.1"/>
  </r>
  <r>
    <x v="0"/>
    <x v="6"/>
    <x v="8"/>
    <x v="1"/>
    <x v="0"/>
    <n v="161.9"/>
  </r>
  <r>
    <x v="0"/>
    <x v="6"/>
    <x v="8"/>
    <x v="2"/>
    <x v="0"/>
    <n v="138.30000000000001"/>
  </r>
  <r>
    <x v="0"/>
    <x v="6"/>
    <x v="8"/>
    <x v="3"/>
    <x v="0"/>
    <n v="145.69999999999999"/>
  </r>
  <r>
    <x v="0"/>
    <x v="6"/>
    <x v="8"/>
    <x v="4"/>
    <x v="0"/>
    <n v="125.1"/>
  </r>
  <r>
    <x v="0"/>
    <x v="6"/>
    <x v="8"/>
    <x v="5"/>
    <x v="0"/>
    <n v="143.80000000000001"/>
  </r>
  <r>
    <x v="0"/>
    <x v="6"/>
    <x v="8"/>
    <x v="6"/>
    <x v="0"/>
    <n v="163.4"/>
  </r>
  <r>
    <x v="0"/>
    <x v="6"/>
    <x v="8"/>
    <x v="7"/>
    <x v="0"/>
    <n v="132.19999999999999"/>
  </r>
  <r>
    <x v="0"/>
    <x v="6"/>
    <x v="8"/>
    <x v="8"/>
    <x v="0"/>
    <n v="112.8"/>
  </r>
  <r>
    <x v="0"/>
    <x v="6"/>
    <x v="8"/>
    <x v="9"/>
    <x v="0"/>
    <n v="144.19999999999999"/>
  </r>
  <r>
    <x v="0"/>
    <x v="6"/>
    <x v="8"/>
    <x v="10"/>
    <x v="0"/>
    <n v="138.5"/>
  </r>
  <r>
    <x v="0"/>
    <x v="6"/>
    <x v="8"/>
    <x v="11"/>
    <x v="0"/>
    <n v="157.19999999999999"/>
  </r>
  <r>
    <x v="0"/>
    <x v="6"/>
    <x v="8"/>
    <x v="12"/>
    <x v="0"/>
    <n v="145.5"/>
  </r>
  <r>
    <x v="0"/>
    <x v="6"/>
    <x v="8"/>
    <x v="13"/>
    <x v="1"/>
    <n v="165.7"/>
  </r>
  <r>
    <x v="0"/>
    <x v="6"/>
    <x v="8"/>
    <x v="14"/>
    <x v="2"/>
    <n v="151.69999999999999"/>
  </r>
  <r>
    <x v="0"/>
    <x v="6"/>
    <x v="8"/>
    <x v="15"/>
    <x v="2"/>
    <n v="146.6"/>
  </r>
  <r>
    <x v="0"/>
    <x v="6"/>
    <x v="8"/>
    <x v="16"/>
    <x v="2"/>
    <n v="151"/>
  </r>
  <r>
    <x v="0"/>
    <x v="6"/>
    <x v="8"/>
    <x v="17"/>
    <x v="3"/>
    <s v="NA"/>
  </r>
  <r>
    <x v="0"/>
    <x v="6"/>
    <x v="8"/>
    <x v="18"/>
    <x v="4"/>
    <n v="146.9"/>
  </r>
  <r>
    <x v="0"/>
    <x v="6"/>
    <x v="8"/>
    <x v="19"/>
    <x v="5"/>
    <n v="150.30000000000001"/>
  </r>
  <r>
    <x v="0"/>
    <x v="6"/>
    <x v="8"/>
    <x v="20"/>
    <x v="6"/>
    <n v="153.4"/>
  </r>
  <r>
    <x v="0"/>
    <x v="6"/>
    <x v="8"/>
    <x v="21"/>
    <x v="7"/>
    <n v="131.6"/>
  </r>
  <r>
    <x v="0"/>
    <x v="6"/>
    <x v="8"/>
    <x v="22"/>
    <x v="8"/>
    <n v="148.30000000000001"/>
  </r>
  <r>
    <x v="0"/>
    <x v="6"/>
    <x v="8"/>
    <x v="23"/>
    <x v="9"/>
    <n v="160.19999999999999"/>
  </r>
  <r>
    <x v="0"/>
    <x v="6"/>
    <x v="8"/>
    <x v="24"/>
    <x v="8"/>
    <n v="140.19999999999999"/>
  </r>
  <r>
    <x v="0"/>
    <x v="6"/>
    <x v="8"/>
    <x v="25"/>
    <x v="5"/>
    <n v="145.4"/>
  </r>
  <r>
    <x v="0"/>
    <x v="6"/>
    <x v="8"/>
    <x v="26"/>
    <x v="10"/>
    <n v="146.69999999999999"/>
  </r>
  <r>
    <x v="1"/>
    <x v="6"/>
    <x v="8"/>
    <x v="0"/>
    <x v="0"/>
    <n v="142.69999999999999"/>
  </r>
  <r>
    <x v="1"/>
    <x v="6"/>
    <x v="8"/>
    <x v="1"/>
    <x v="0"/>
    <n v="158.69999999999999"/>
  </r>
  <r>
    <x v="1"/>
    <x v="6"/>
    <x v="8"/>
    <x v="2"/>
    <x v="0"/>
    <n v="141.6"/>
  </r>
  <r>
    <x v="1"/>
    <x v="6"/>
    <x v="8"/>
    <x v="3"/>
    <x v="0"/>
    <n v="144.9"/>
  </r>
  <r>
    <x v="1"/>
    <x v="6"/>
    <x v="8"/>
    <x v="4"/>
    <x v="0"/>
    <n v="120.8"/>
  </r>
  <r>
    <x v="1"/>
    <x v="6"/>
    <x v="8"/>
    <x v="5"/>
    <x v="0"/>
    <n v="149.80000000000001"/>
  </r>
  <r>
    <x v="1"/>
    <x v="6"/>
    <x v="8"/>
    <x v="6"/>
    <x v="0"/>
    <n v="192.4"/>
  </r>
  <r>
    <x v="1"/>
    <x v="6"/>
    <x v="8"/>
    <x v="7"/>
    <x v="0"/>
    <n v="130.30000000000001"/>
  </r>
  <r>
    <x v="1"/>
    <x v="6"/>
    <x v="8"/>
    <x v="8"/>
    <x v="0"/>
    <n v="114"/>
  </r>
  <r>
    <x v="1"/>
    <x v="6"/>
    <x v="8"/>
    <x v="9"/>
    <x v="0"/>
    <n v="143.80000000000001"/>
  </r>
  <r>
    <x v="1"/>
    <x v="6"/>
    <x v="8"/>
    <x v="10"/>
    <x v="0"/>
    <n v="130"/>
  </r>
  <r>
    <x v="1"/>
    <x v="6"/>
    <x v="8"/>
    <x v="11"/>
    <x v="0"/>
    <n v="156.4"/>
  </r>
  <r>
    <x v="1"/>
    <x v="6"/>
    <x v="8"/>
    <x v="12"/>
    <x v="0"/>
    <n v="149.5"/>
  </r>
  <r>
    <x v="1"/>
    <x v="6"/>
    <x v="8"/>
    <x v="13"/>
    <x v="1"/>
    <n v="168.6"/>
  </r>
  <r>
    <x v="1"/>
    <x v="6"/>
    <x v="8"/>
    <x v="14"/>
    <x v="2"/>
    <n v="145.30000000000001"/>
  </r>
  <r>
    <x v="1"/>
    <x v="6"/>
    <x v="8"/>
    <x v="15"/>
    <x v="2"/>
    <n v="132.19999999999999"/>
  </r>
  <r>
    <x v="1"/>
    <x v="6"/>
    <x v="8"/>
    <x v="16"/>
    <x v="2"/>
    <n v="143.30000000000001"/>
  </r>
  <r>
    <x v="1"/>
    <x v="6"/>
    <x v="8"/>
    <x v="17"/>
    <x v="3"/>
    <n v="152.19999999999999"/>
  </r>
  <r>
    <x v="1"/>
    <x v="6"/>
    <x v="8"/>
    <x v="18"/>
    <x v="4"/>
    <n v="126.6"/>
  </r>
  <r>
    <x v="1"/>
    <x v="6"/>
    <x v="8"/>
    <x v="19"/>
    <x v="5"/>
    <n v="138.30000000000001"/>
  </r>
  <r>
    <x v="1"/>
    <x v="6"/>
    <x v="8"/>
    <x v="20"/>
    <x v="6"/>
    <n v="141.9"/>
  </r>
  <r>
    <x v="1"/>
    <x v="6"/>
    <x v="8"/>
    <x v="21"/>
    <x v="7"/>
    <n v="121.2"/>
  </r>
  <r>
    <x v="1"/>
    <x v="6"/>
    <x v="8"/>
    <x v="22"/>
    <x v="8"/>
    <n v="135.9"/>
  </r>
  <r>
    <x v="1"/>
    <x v="6"/>
    <x v="8"/>
    <x v="23"/>
    <x v="9"/>
    <n v="151.6"/>
  </r>
  <r>
    <x v="1"/>
    <x v="6"/>
    <x v="8"/>
    <x v="24"/>
    <x v="8"/>
    <n v="139"/>
  </r>
  <r>
    <x v="1"/>
    <x v="6"/>
    <x v="8"/>
    <x v="25"/>
    <x v="5"/>
    <n v="135.69999999999999"/>
  </r>
  <r>
    <x v="1"/>
    <x v="6"/>
    <x v="8"/>
    <x v="26"/>
    <x v="10"/>
    <n v="144.69999999999999"/>
  </r>
  <r>
    <x v="2"/>
    <x v="6"/>
    <x v="8"/>
    <x v="0"/>
    <x v="0"/>
    <n v="140.9"/>
  </r>
  <r>
    <x v="2"/>
    <x v="6"/>
    <x v="8"/>
    <x v="1"/>
    <x v="0"/>
    <n v="160.80000000000001"/>
  </r>
  <r>
    <x v="2"/>
    <x v="6"/>
    <x v="8"/>
    <x v="2"/>
    <x v="0"/>
    <n v="139.6"/>
  </r>
  <r>
    <x v="2"/>
    <x v="6"/>
    <x v="8"/>
    <x v="3"/>
    <x v="0"/>
    <n v="145.4"/>
  </r>
  <r>
    <x v="2"/>
    <x v="6"/>
    <x v="8"/>
    <x v="4"/>
    <x v="0"/>
    <n v="123.5"/>
  </r>
  <r>
    <x v="2"/>
    <x v="6"/>
    <x v="8"/>
    <x v="5"/>
    <x v="0"/>
    <n v="146.6"/>
  </r>
  <r>
    <x v="2"/>
    <x v="6"/>
    <x v="8"/>
    <x v="6"/>
    <x v="0"/>
    <n v="173.2"/>
  </r>
  <r>
    <x v="2"/>
    <x v="6"/>
    <x v="8"/>
    <x v="7"/>
    <x v="0"/>
    <n v="131.6"/>
  </r>
  <r>
    <x v="2"/>
    <x v="6"/>
    <x v="8"/>
    <x v="8"/>
    <x v="0"/>
    <n v="113.2"/>
  </r>
  <r>
    <x v="2"/>
    <x v="6"/>
    <x v="8"/>
    <x v="9"/>
    <x v="0"/>
    <n v="144.1"/>
  </r>
  <r>
    <x v="2"/>
    <x v="6"/>
    <x v="8"/>
    <x v="10"/>
    <x v="0"/>
    <n v="135"/>
  </r>
  <r>
    <x v="2"/>
    <x v="6"/>
    <x v="8"/>
    <x v="11"/>
    <x v="0"/>
    <n v="156.80000000000001"/>
  </r>
  <r>
    <x v="2"/>
    <x v="6"/>
    <x v="8"/>
    <x v="12"/>
    <x v="0"/>
    <n v="147"/>
  </r>
  <r>
    <x v="2"/>
    <x v="6"/>
    <x v="8"/>
    <x v="13"/>
    <x v="1"/>
    <n v="166.5"/>
  </r>
  <r>
    <x v="2"/>
    <x v="6"/>
    <x v="8"/>
    <x v="14"/>
    <x v="2"/>
    <n v="149.19999999999999"/>
  </r>
  <r>
    <x v="2"/>
    <x v="6"/>
    <x v="8"/>
    <x v="15"/>
    <x v="2"/>
    <n v="140.6"/>
  </r>
  <r>
    <x v="2"/>
    <x v="6"/>
    <x v="8"/>
    <x v="16"/>
    <x v="2"/>
    <n v="147.9"/>
  </r>
  <r>
    <x v="2"/>
    <x v="6"/>
    <x v="8"/>
    <x v="17"/>
    <x v="3"/>
    <n v="152.19999999999999"/>
  </r>
  <r>
    <x v="2"/>
    <x v="6"/>
    <x v="8"/>
    <x v="18"/>
    <x v="4"/>
    <n v="139.19999999999999"/>
  </r>
  <r>
    <x v="2"/>
    <x v="6"/>
    <x v="8"/>
    <x v="19"/>
    <x v="5"/>
    <n v="144.6"/>
  </r>
  <r>
    <x v="2"/>
    <x v="6"/>
    <x v="8"/>
    <x v="20"/>
    <x v="6"/>
    <n v="149"/>
  </r>
  <r>
    <x v="2"/>
    <x v="6"/>
    <x v="8"/>
    <x v="21"/>
    <x v="7"/>
    <n v="126.1"/>
  </r>
  <r>
    <x v="2"/>
    <x v="6"/>
    <x v="8"/>
    <x v="22"/>
    <x v="8"/>
    <n v="141.30000000000001"/>
  </r>
  <r>
    <x v="2"/>
    <x v="6"/>
    <x v="8"/>
    <x v="23"/>
    <x v="9"/>
    <n v="155.19999999999999"/>
  </r>
  <r>
    <x v="2"/>
    <x v="6"/>
    <x v="8"/>
    <x v="24"/>
    <x v="8"/>
    <n v="139.69999999999999"/>
  </r>
  <r>
    <x v="2"/>
    <x v="6"/>
    <x v="8"/>
    <x v="25"/>
    <x v="5"/>
    <n v="140.69999999999999"/>
  </r>
  <r>
    <x v="2"/>
    <x v="6"/>
    <x v="8"/>
    <x v="26"/>
    <x v="10"/>
    <n v="145.80000000000001"/>
  </r>
  <r>
    <x v="0"/>
    <x v="6"/>
    <x v="9"/>
    <x v="0"/>
    <x v="0"/>
    <n v="141"/>
  </r>
  <r>
    <x v="0"/>
    <x v="6"/>
    <x v="9"/>
    <x v="1"/>
    <x v="0"/>
    <n v="161.6"/>
  </r>
  <r>
    <x v="0"/>
    <x v="6"/>
    <x v="9"/>
    <x v="2"/>
    <x v="0"/>
    <n v="141.19999999999999"/>
  </r>
  <r>
    <x v="0"/>
    <x v="6"/>
    <x v="9"/>
    <x v="3"/>
    <x v="0"/>
    <n v="146.5"/>
  </r>
  <r>
    <x v="0"/>
    <x v="6"/>
    <x v="9"/>
    <x v="4"/>
    <x v="0"/>
    <n v="125.6"/>
  </r>
  <r>
    <x v="0"/>
    <x v="6"/>
    <x v="9"/>
    <x v="5"/>
    <x v="0"/>
    <n v="145.69999999999999"/>
  </r>
  <r>
    <x v="0"/>
    <x v="6"/>
    <x v="9"/>
    <x v="6"/>
    <x v="0"/>
    <n v="178.8"/>
  </r>
  <r>
    <x v="0"/>
    <x v="6"/>
    <x v="9"/>
    <x v="7"/>
    <x v="0"/>
    <n v="133.1"/>
  </r>
  <r>
    <x v="0"/>
    <x v="6"/>
    <x v="9"/>
    <x v="8"/>
    <x v="0"/>
    <n v="113.6"/>
  </r>
  <r>
    <x v="0"/>
    <x v="6"/>
    <x v="9"/>
    <x v="9"/>
    <x v="0"/>
    <n v="145.5"/>
  </r>
  <r>
    <x v="0"/>
    <x v="6"/>
    <x v="9"/>
    <x v="10"/>
    <x v="0"/>
    <n v="138.6"/>
  </r>
  <r>
    <x v="0"/>
    <x v="6"/>
    <x v="9"/>
    <x v="11"/>
    <x v="0"/>
    <n v="157.4"/>
  </r>
  <r>
    <x v="0"/>
    <x v="6"/>
    <x v="9"/>
    <x v="12"/>
    <x v="0"/>
    <n v="148.30000000000001"/>
  </r>
  <r>
    <x v="0"/>
    <x v="6"/>
    <x v="9"/>
    <x v="13"/>
    <x v="1"/>
    <n v="166.3"/>
  </r>
  <r>
    <x v="0"/>
    <x v="6"/>
    <x v="9"/>
    <x v="14"/>
    <x v="2"/>
    <n v="151.69999999999999"/>
  </r>
  <r>
    <x v="0"/>
    <x v="6"/>
    <x v="9"/>
    <x v="15"/>
    <x v="2"/>
    <n v="146.69999999999999"/>
  </r>
  <r>
    <x v="0"/>
    <x v="6"/>
    <x v="9"/>
    <x v="16"/>
    <x v="2"/>
    <n v="151"/>
  </r>
  <r>
    <x v="0"/>
    <x v="6"/>
    <x v="9"/>
    <x v="17"/>
    <x v="3"/>
    <s v="NA"/>
  </r>
  <r>
    <x v="0"/>
    <x v="6"/>
    <x v="9"/>
    <x v="18"/>
    <x v="4"/>
    <n v="147.69999999999999"/>
  </r>
  <r>
    <x v="0"/>
    <x v="6"/>
    <x v="9"/>
    <x v="19"/>
    <x v="5"/>
    <n v="150.6"/>
  </r>
  <r>
    <x v="0"/>
    <x v="6"/>
    <x v="9"/>
    <x v="20"/>
    <x v="6"/>
    <n v="153.69999999999999"/>
  </r>
  <r>
    <x v="0"/>
    <x v="6"/>
    <x v="9"/>
    <x v="21"/>
    <x v="7"/>
    <n v="131.69999999999999"/>
  </r>
  <r>
    <x v="0"/>
    <x v="6"/>
    <x v="9"/>
    <x v="22"/>
    <x v="8"/>
    <n v="148.69999999999999"/>
  </r>
  <r>
    <x v="0"/>
    <x v="6"/>
    <x v="9"/>
    <x v="23"/>
    <x v="9"/>
    <n v="160.69999999999999"/>
  </r>
  <r>
    <x v="0"/>
    <x v="6"/>
    <x v="9"/>
    <x v="24"/>
    <x v="8"/>
    <n v="140.30000000000001"/>
  </r>
  <r>
    <x v="0"/>
    <x v="6"/>
    <x v="9"/>
    <x v="25"/>
    <x v="5"/>
    <n v="145.69999999999999"/>
  </r>
  <r>
    <x v="0"/>
    <x v="6"/>
    <x v="9"/>
    <x v="26"/>
    <x v="10"/>
    <n v="148.30000000000001"/>
  </r>
  <r>
    <x v="1"/>
    <x v="6"/>
    <x v="9"/>
    <x v="0"/>
    <x v="0"/>
    <n v="143.5"/>
  </r>
  <r>
    <x v="1"/>
    <x v="6"/>
    <x v="9"/>
    <x v="1"/>
    <x v="0"/>
    <n v="159.80000000000001"/>
  </r>
  <r>
    <x v="1"/>
    <x v="6"/>
    <x v="9"/>
    <x v="2"/>
    <x v="0"/>
    <n v="144.69999999999999"/>
  </r>
  <r>
    <x v="1"/>
    <x v="6"/>
    <x v="9"/>
    <x v="3"/>
    <x v="0"/>
    <n v="145.6"/>
  </r>
  <r>
    <x v="1"/>
    <x v="6"/>
    <x v="9"/>
    <x v="4"/>
    <x v="0"/>
    <n v="121.1"/>
  </r>
  <r>
    <x v="1"/>
    <x v="6"/>
    <x v="9"/>
    <x v="5"/>
    <x v="0"/>
    <n v="150.6"/>
  </r>
  <r>
    <x v="1"/>
    <x v="6"/>
    <x v="9"/>
    <x v="6"/>
    <x v="0"/>
    <n v="207.2"/>
  </r>
  <r>
    <x v="1"/>
    <x v="6"/>
    <x v="9"/>
    <x v="7"/>
    <x v="0"/>
    <n v="131.19999999999999"/>
  </r>
  <r>
    <x v="1"/>
    <x v="6"/>
    <x v="9"/>
    <x v="8"/>
    <x v="0"/>
    <n v="114.8"/>
  </r>
  <r>
    <x v="1"/>
    <x v="6"/>
    <x v="9"/>
    <x v="9"/>
    <x v="0"/>
    <n v="145.19999999999999"/>
  </r>
  <r>
    <x v="1"/>
    <x v="6"/>
    <x v="9"/>
    <x v="10"/>
    <x v="0"/>
    <n v="130.19999999999999"/>
  </r>
  <r>
    <x v="1"/>
    <x v="6"/>
    <x v="9"/>
    <x v="11"/>
    <x v="0"/>
    <n v="156.80000000000001"/>
  </r>
  <r>
    <x v="1"/>
    <x v="6"/>
    <x v="9"/>
    <x v="12"/>
    <x v="0"/>
    <n v="151.9"/>
  </r>
  <r>
    <x v="1"/>
    <x v="6"/>
    <x v="9"/>
    <x v="13"/>
    <x v="1"/>
    <n v="169.3"/>
  </r>
  <r>
    <x v="1"/>
    <x v="6"/>
    <x v="9"/>
    <x v="14"/>
    <x v="2"/>
    <n v="145.9"/>
  </r>
  <r>
    <x v="1"/>
    <x v="6"/>
    <x v="9"/>
    <x v="15"/>
    <x v="2"/>
    <n v="132.4"/>
  </r>
  <r>
    <x v="1"/>
    <x v="6"/>
    <x v="9"/>
    <x v="16"/>
    <x v="2"/>
    <n v="143.9"/>
  </r>
  <r>
    <x v="1"/>
    <x v="6"/>
    <x v="9"/>
    <x v="17"/>
    <x v="3"/>
    <n v="153"/>
  </r>
  <r>
    <x v="1"/>
    <x v="6"/>
    <x v="9"/>
    <x v="18"/>
    <x v="4"/>
    <n v="128.9"/>
  </r>
  <r>
    <x v="1"/>
    <x v="6"/>
    <x v="9"/>
    <x v="19"/>
    <x v="5"/>
    <n v="138.69999999999999"/>
  </r>
  <r>
    <x v="1"/>
    <x v="6"/>
    <x v="9"/>
    <x v="20"/>
    <x v="6"/>
    <n v="142.4"/>
  </r>
  <r>
    <x v="1"/>
    <x v="6"/>
    <x v="9"/>
    <x v="21"/>
    <x v="7"/>
    <n v="121.5"/>
  </r>
  <r>
    <x v="1"/>
    <x v="6"/>
    <x v="9"/>
    <x v="22"/>
    <x v="8"/>
    <n v="136.19999999999999"/>
  </r>
  <r>
    <x v="1"/>
    <x v="6"/>
    <x v="9"/>
    <x v="23"/>
    <x v="9"/>
    <n v="151.69999999999999"/>
  </r>
  <r>
    <x v="1"/>
    <x v="6"/>
    <x v="9"/>
    <x v="24"/>
    <x v="8"/>
    <n v="139.5"/>
  </r>
  <r>
    <x v="1"/>
    <x v="6"/>
    <x v="9"/>
    <x v="25"/>
    <x v="5"/>
    <n v="136"/>
  </r>
  <r>
    <x v="1"/>
    <x v="6"/>
    <x v="9"/>
    <x v="26"/>
    <x v="10"/>
    <n v="146"/>
  </r>
  <r>
    <x v="2"/>
    <x v="6"/>
    <x v="9"/>
    <x v="0"/>
    <x v="0"/>
    <n v="141.80000000000001"/>
  </r>
  <r>
    <x v="2"/>
    <x v="6"/>
    <x v="9"/>
    <x v="1"/>
    <x v="0"/>
    <n v="161"/>
  </r>
  <r>
    <x v="2"/>
    <x v="6"/>
    <x v="9"/>
    <x v="2"/>
    <x v="0"/>
    <n v="142.6"/>
  </r>
  <r>
    <x v="2"/>
    <x v="6"/>
    <x v="9"/>
    <x v="3"/>
    <x v="0"/>
    <n v="146.19999999999999"/>
  </r>
  <r>
    <x v="2"/>
    <x v="6"/>
    <x v="9"/>
    <x v="4"/>
    <x v="0"/>
    <n v="123.9"/>
  </r>
  <r>
    <x v="2"/>
    <x v="6"/>
    <x v="9"/>
    <x v="5"/>
    <x v="0"/>
    <n v="148"/>
  </r>
  <r>
    <x v="2"/>
    <x v="6"/>
    <x v="9"/>
    <x v="6"/>
    <x v="0"/>
    <n v="188.4"/>
  </r>
  <r>
    <x v="2"/>
    <x v="6"/>
    <x v="9"/>
    <x v="7"/>
    <x v="0"/>
    <n v="132.5"/>
  </r>
  <r>
    <x v="2"/>
    <x v="6"/>
    <x v="9"/>
    <x v="8"/>
    <x v="0"/>
    <n v="114"/>
  </r>
  <r>
    <x v="2"/>
    <x v="6"/>
    <x v="9"/>
    <x v="9"/>
    <x v="0"/>
    <n v="145.4"/>
  </r>
  <r>
    <x v="2"/>
    <x v="6"/>
    <x v="9"/>
    <x v="10"/>
    <x v="0"/>
    <n v="135.1"/>
  </r>
  <r>
    <x v="2"/>
    <x v="6"/>
    <x v="9"/>
    <x v="11"/>
    <x v="0"/>
    <n v="157.1"/>
  </r>
  <r>
    <x v="2"/>
    <x v="6"/>
    <x v="9"/>
    <x v="12"/>
    <x v="0"/>
    <n v="149.6"/>
  </r>
  <r>
    <x v="2"/>
    <x v="6"/>
    <x v="9"/>
    <x v="13"/>
    <x v="1"/>
    <n v="167.1"/>
  </r>
  <r>
    <x v="2"/>
    <x v="6"/>
    <x v="9"/>
    <x v="14"/>
    <x v="2"/>
    <n v="149.4"/>
  </r>
  <r>
    <x v="2"/>
    <x v="6"/>
    <x v="9"/>
    <x v="15"/>
    <x v="2"/>
    <n v="140.80000000000001"/>
  </r>
  <r>
    <x v="2"/>
    <x v="6"/>
    <x v="9"/>
    <x v="16"/>
    <x v="2"/>
    <n v="148.19999999999999"/>
  </r>
  <r>
    <x v="2"/>
    <x v="6"/>
    <x v="9"/>
    <x v="17"/>
    <x v="3"/>
    <n v="153"/>
  </r>
  <r>
    <x v="2"/>
    <x v="6"/>
    <x v="9"/>
    <x v="18"/>
    <x v="4"/>
    <n v="140.6"/>
  </r>
  <r>
    <x v="2"/>
    <x v="6"/>
    <x v="9"/>
    <x v="19"/>
    <x v="5"/>
    <n v="145"/>
  </r>
  <r>
    <x v="2"/>
    <x v="6"/>
    <x v="9"/>
    <x v="20"/>
    <x v="6"/>
    <n v="149.4"/>
  </r>
  <r>
    <x v="2"/>
    <x v="6"/>
    <x v="9"/>
    <x v="21"/>
    <x v="7"/>
    <n v="126.3"/>
  </r>
  <r>
    <x v="2"/>
    <x v="6"/>
    <x v="9"/>
    <x v="22"/>
    <x v="8"/>
    <n v="141.69999999999999"/>
  </r>
  <r>
    <x v="2"/>
    <x v="6"/>
    <x v="9"/>
    <x v="23"/>
    <x v="9"/>
    <n v="155.4"/>
  </r>
  <r>
    <x v="2"/>
    <x v="6"/>
    <x v="9"/>
    <x v="24"/>
    <x v="8"/>
    <n v="140"/>
  </r>
  <r>
    <x v="2"/>
    <x v="6"/>
    <x v="9"/>
    <x v="25"/>
    <x v="5"/>
    <n v="141"/>
  </r>
  <r>
    <x v="2"/>
    <x v="6"/>
    <x v="9"/>
    <x v="26"/>
    <x v="10"/>
    <n v="147.19999999999999"/>
  </r>
  <r>
    <x v="0"/>
    <x v="6"/>
    <x v="11"/>
    <x v="0"/>
    <x v="0"/>
    <n v="141.80000000000001"/>
  </r>
  <r>
    <x v="0"/>
    <x v="6"/>
    <x v="11"/>
    <x v="1"/>
    <x v="0"/>
    <n v="163.69999999999999"/>
  </r>
  <r>
    <x v="0"/>
    <x v="6"/>
    <x v="11"/>
    <x v="2"/>
    <x v="0"/>
    <n v="143.80000000000001"/>
  </r>
  <r>
    <x v="0"/>
    <x v="6"/>
    <x v="11"/>
    <x v="3"/>
    <x v="0"/>
    <n v="147.1"/>
  </r>
  <r>
    <x v="0"/>
    <x v="6"/>
    <x v="11"/>
    <x v="4"/>
    <x v="0"/>
    <n v="126"/>
  </r>
  <r>
    <x v="0"/>
    <x v="6"/>
    <x v="11"/>
    <x v="5"/>
    <x v="0"/>
    <n v="146.19999999999999"/>
  </r>
  <r>
    <x v="0"/>
    <x v="6"/>
    <x v="11"/>
    <x v="6"/>
    <x v="0"/>
    <n v="191.4"/>
  </r>
  <r>
    <x v="0"/>
    <x v="6"/>
    <x v="11"/>
    <x v="7"/>
    <x v="0"/>
    <n v="136.19999999999999"/>
  </r>
  <r>
    <x v="0"/>
    <x v="6"/>
    <x v="11"/>
    <x v="8"/>
    <x v="0"/>
    <n v="113.8"/>
  </r>
  <r>
    <x v="0"/>
    <x v="6"/>
    <x v="11"/>
    <x v="9"/>
    <x v="0"/>
    <n v="147.30000000000001"/>
  </r>
  <r>
    <x v="0"/>
    <x v="6"/>
    <x v="11"/>
    <x v="10"/>
    <x v="0"/>
    <n v="138.69999999999999"/>
  </r>
  <r>
    <x v="0"/>
    <x v="6"/>
    <x v="11"/>
    <x v="11"/>
    <x v="0"/>
    <n v="157.69999999999999"/>
  </r>
  <r>
    <x v="0"/>
    <x v="6"/>
    <x v="11"/>
    <x v="12"/>
    <x v="0"/>
    <n v="150.9"/>
  </r>
  <r>
    <x v="0"/>
    <x v="6"/>
    <x v="11"/>
    <x v="13"/>
    <x v="1"/>
    <n v="167.2"/>
  </r>
  <r>
    <x v="0"/>
    <x v="6"/>
    <x v="11"/>
    <x v="14"/>
    <x v="2"/>
    <n v="152.30000000000001"/>
  </r>
  <r>
    <x v="0"/>
    <x v="6"/>
    <x v="11"/>
    <x v="15"/>
    <x v="2"/>
    <n v="147"/>
  </r>
  <r>
    <x v="0"/>
    <x v="6"/>
    <x v="11"/>
    <x v="16"/>
    <x v="2"/>
    <n v="151.5"/>
  </r>
  <r>
    <x v="0"/>
    <x v="6"/>
    <x v="11"/>
    <x v="17"/>
    <x v="3"/>
    <s v="NA"/>
  </r>
  <r>
    <x v="0"/>
    <x v="6"/>
    <x v="11"/>
    <x v="18"/>
    <x v="4"/>
    <n v="148.4"/>
  </r>
  <r>
    <x v="0"/>
    <x v="6"/>
    <x v="11"/>
    <x v="19"/>
    <x v="5"/>
    <n v="150.9"/>
  </r>
  <r>
    <x v="0"/>
    <x v="6"/>
    <x v="11"/>
    <x v="20"/>
    <x v="6"/>
    <n v="154.30000000000001"/>
  </r>
  <r>
    <x v="0"/>
    <x v="6"/>
    <x v="11"/>
    <x v="21"/>
    <x v="7"/>
    <n v="132.1"/>
  </r>
  <r>
    <x v="0"/>
    <x v="6"/>
    <x v="11"/>
    <x v="22"/>
    <x v="8"/>
    <n v="149.1"/>
  </r>
  <r>
    <x v="0"/>
    <x v="6"/>
    <x v="11"/>
    <x v="23"/>
    <x v="9"/>
    <n v="160.80000000000001"/>
  </r>
  <r>
    <x v="0"/>
    <x v="6"/>
    <x v="11"/>
    <x v="24"/>
    <x v="8"/>
    <n v="140.6"/>
  </r>
  <r>
    <x v="0"/>
    <x v="6"/>
    <x v="11"/>
    <x v="25"/>
    <x v="5"/>
    <n v="146.1"/>
  </r>
  <r>
    <x v="0"/>
    <x v="6"/>
    <x v="11"/>
    <x v="26"/>
    <x v="10"/>
    <n v="149.9"/>
  </r>
  <r>
    <x v="1"/>
    <x v="6"/>
    <x v="11"/>
    <x v="0"/>
    <x v="0"/>
    <n v="144.1"/>
  </r>
  <r>
    <x v="1"/>
    <x v="6"/>
    <x v="11"/>
    <x v="1"/>
    <x v="0"/>
    <n v="162.4"/>
  </r>
  <r>
    <x v="1"/>
    <x v="6"/>
    <x v="11"/>
    <x v="2"/>
    <x v="0"/>
    <n v="148.4"/>
  </r>
  <r>
    <x v="1"/>
    <x v="6"/>
    <x v="11"/>
    <x v="3"/>
    <x v="0"/>
    <n v="145.9"/>
  </r>
  <r>
    <x v="1"/>
    <x v="6"/>
    <x v="11"/>
    <x v="4"/>
    <x v="0"/>
    <n v="121.5"/>
  </r>
  <r>
    <x v="1"/>
    <x v="6"/>
    <x v="11"/>
    <x v="5"/>
    <x v="0"/>
    <n v="148.80000000000001"/>
  </r>
  <r>
    <x v="1"/>
    <x v="6"/>
    <x v="11"/>
    <x v="6"/>
    <x v="0"/>
    <n v="215.7"/>
  </r>
  <r>
    <x v="1"/>
    <x v="6"/>
    <x v="11"/>
    <x v="7"/>
    <x v="0"/>
    <n v="134.6"/>
  </r>
  <r>
    <x v="1"/>
    <x v="6"/>
    <x v="11"/>
    <x v="8"/>
    <x v="0"/>
    <n v="115"/>
  </r>
  <r>
    <x v="1"/>
    <x v="6"/>
    <x v="11"/>
    <x v="9"/>
    <x v="0"/>
    <n v="146.30000000000001"/>
  </r>
  <r>
    <x v="1"/>
    <x v="6"/>
    <x v="11"/>
    <x v="10"/>
    <x v="0"/>
    <n v="130.5"/>
  </r>
  <r>
    <x v="1"/>
    <x v="6"/>
    <x v="11"/>
    <x v="11"/>
    <x v="0"/>
    <n v="157.19999999999999"/>
  </r>
  <r>
    <x v="1"/>
    <x v="6"/>
    <x v="11"/>
    <x v="12"/>
    <x v="0"/>
    <n v="153.6"/>
  </r>
  <r>
    <x v="1"/>
    <x v="6"/>
    <x v="11"/>
    <x v="13"/>
    <x v="1"/>
    <n v="169.9"/>
  </r>
  <r>
    <x v="1"/>
    <x v="6"/>
    <x v="11"/>
    <x v="14"/>
    <x v="2"/>
    <n v="146.30000000000001"/>
  </r>
  <r>
    <x v="1"/>
    <x v="6"/>
    <x v="11"/>
    <x v="15"/>
    <x v="2"/>
    <n v="132.6"/>
  </r>
  <r>
    <x v="1"/>
    <x v="6"/>
    <x v="11"/>
    <x v="16"/>
    <x v="2"/>
    <n v="144.19999999999999"/>
  </r>
  <r>
    <x v="1"/>
    <x v="6"/>
    <x v="11"/>
    <x v="17"/>
    <x v="3"/>
    <n v="153.5"/>
  </r>
  <r>
    <x v="1"/>
    <x v="6"/>
    <x v="11"/>
    <x v="18"/>
    <x v="4"/>
    <n v="132.19999999999999"/>
  </r>
  <r>
    <x v="1"/>
    <x v="6"/>
    <x v="11"/>
    <x v="19"/>
    <x v="5"/>
    <n v="139.1"/>
  </r>
  <r>
    <x v="1"/>
    <x v="6"/>
    <x v="11"/>
    <x v="20"/>
    <x v="6"/>
    <n v="142.80000000000001"/>
  </r>
  <r>
    <x v="1"/>
    <x v="6"/>
    <x v="11"/>
    <x v="21"/>
    <x v="7"/>
    <n v="121.7"/>
  </r>
  <r>
    <x v="1"/>
    <x v="6"/>
    <x v="11"/>
    <x v="22"/>
    <x v="8"/>
    <n v="136.69999999999999"/>
  </r>
  <r>
    <x v="1"/>
    <x v="6"/>
    <x v="11"/>
    <x v="23"/>
    <x v="9"/>
    <n v="151.80000000000001"/>
  </r>
  <r>
    <x v="1"/>
    <x v="6"/>
    <x v="11"/>
    <x v="24"/>
    <x v="8"/>
    <n v="139.80000000000001"/>
  </r>
  <r>
    <x v="1"/>
    <x v="6"/>
    <x v="11"/>
    <x v="25"/>
    <x v="5"/>
    <n v="136.30000000000001"/>
  </r>
  <r>
    <x v="1"/>
    <x v="6"/>
    <x v="11"/>
    <x v="26"/>
    <x v="10"/>
    <n v="147"/>
  </r>
  <r>
    <x v="2"/>
    <x v="6"/>
    <x v="11"/>
    <x v="0"/>
    <x v="0"/>
    <n v="142.5"/>
  </r>
  <r>
    <x v="2"/>
    <x v="6"/>
    <x v="11"/>
    <x v="1"/>
    <x v="0"/>
    <n v="163.19999999999999"/>
  </r>
  <r>
    <x v="2"/>
    <x v="6"/>
    <x v="11"/>
    <x v="2"/>
    <x v="0"/>
    <n v="145.6"/>
  </r>
  <r>
    <x v="2"/>
    <x v="6"/>
    <x v="11"/>
    <x v="3"/>
    <x v="0"/>
    <n v="146.69999999999999"/>
  </r>
  <r>
    <x v="2"/>
    <x v="6"/>
    <x v="11"/>
    <x v="4"/>
    <x v="0"/>
    <n v="124.3"/>
  </r>
  <r>
    <x v="2"/>
    <x v="6"/>
    <x v="11"/>
    <x v="5"/>
    <x v="0"/>
    <n v="147.4"/>
  </r>
  <r>
    <x v="2"/>
    <x v="6"/>
    <x v="11"/>
    <x v="6"/>
    <x v="0"/>
    <n v="199.6"/>
  </r>
  <r>
    <x v="2"/>
    <x v="6"/>
    <x v="11"/>
    <x v="7"/>
    <x v="0"/>
    <n v="135.69999999999999"/>
  </r>
  <r>
    <x v="2"/>
    <x v="6"/>
    <x v="11"/>
    <x v="8"/>
    <x v="0"/>
    <n v="114.2"/>
  </r>
  <r>
    <x v="2"/>
    <x v="6"/>
    <x v="11"/>
    <x v="9"/>
    <x v="0"/>
    <n v="147"/>
  </r>
  <r>
    <x v="2"/>
    <x v="6"/>
    <x v="11"/>
    <x v="10"/>
    <x v="0"/>
    <n v="135.30000000000001"/>
  </r>
  <r>
    <x v="2"/>
    <x v="6"/>
    <x v="11"/>
    <x v="11"/>
    <x v="0"/>
    <n v="157.5"/>
  </r>
  <r>
    <x v="2"/>
    <x v="6"/>
    <x v="11"/>
    <x v="12"/>
    <x v="0"/>
    <n v="151.9"/>
  </r>
  <r>
    <x v="2"/>
    <x v="6"/>
    <x v="11"/>
    <x v="13"/>
    <x v="1"/>
    <n v="167.9"/>
  </r>
  <r>
    <x v="2"/>
    <x v="6"/>
    <x v="11"/>
    <x v="14"/>
    <x v="2"/>
    <n v="149.9"/>
  </r>
  <r>
    <x v="2"/>
    <x v="6"/>
    <x v="11"/>
    <x v="15"/>
    <x v="2"/>
    <n v="141"/>
  </r>
  <r>
    <x v="2"/>
    <x v="6"/>
    <x v="11"/>
    <x v="16"/>
    <x v="2"/>
    <n v="148.6"/>
  </r>
  <r>
    <x v="2"/>
    <x v="6"/>
    <x v="11"/>
    <x v="17"/>
    <x v="3"/>
    <n v="153.5"/>
  </r>
  <r>
    <x v="2"/>
    <x v="6"/>
    <x v="11"/>
    <x v="18"/>
    <x v="4"/>
    <n v="142.30000000000001"/>
  </r>
  <r>
    <x v="2"/>
    <x v="6"/>
    <x v="11"/>
    <x v="19"/>
    <x v="5"/>
    <n v="145.30000000000001"/>
  </r>
  <r>
    <x v="2"/>
    <x v="6"/>
    <x v="11"/>
    <x v="20"/>
    <x v="6"/>
    <n v="149.9"/>
  </r>
  <r>
    <x v="2"/>
    <x v="6"/>
    <x v="11"/>
    <x v="21"/>
    <x v="7"/>
    <n v="126.6"/>
  </r>
  <r>
    <x v="2"/>
    <x v="6"/>
    <x v="11"/>
    <x v="22"/>
    <x v="8"/>
    <n v="142.1"/>
  </r>
  <r>
    <x v="2"/>
    <x v="6"/>
    <x v="11"/>
    <x v="23"/>
    <x v="9"/>
    <n v="155.5"/>
  </r>
  <r>
    <x v="2"/>
    <x v="6"/>
    <x v="11"/>
    <x v="24"/>
    <x v="8"/>
    <n v="140.30000000000001"/>
  </r>
  <r>
    <x v="2"/>
    <x v="6"/>
    <x v="11"/>
    <x v="25"/>
    <x v="5"/>
    <n v="141.30000000000001"/>
  </r>
  <r>
    <x v="2"/>
    <x v="6"/>
    <x v="11"/>
    <x v="26"/>
    <x v="10"/>
    <n v="148.6"/>
  </r>
  <r>
    <x v="0"/>
    <x v="6"/>
    <x v="12"/>
    <x v="0"/>
    <x v="0"/>
    <n v="142.80000000000001"/>
  </r>
  <r>
    <x v="0"/>
    <x v="6"/>
    <x v="12"/>
    <x v="1"/>
    <x v="0"/>
    <n v="165.3"/>
  </r>
  <r>
    <x v="0"/>
    <x v="6"/>
    <x v="12"/>
    <x v="2"/>
    <x v="0"/>
    <n v="149.5"/>
  </r>
  <r>
    <x v="0"/>
    <x v="6"/>
    <x v="12"/>
    <x v="3"/>
    <x v="0"/>
    <n v="148.69999999999999"/>
  </r>
  <r>
    <x v="0"/>
    <x v="6"/>
    <x v="12"/>
    <x v="4"/>
    <x v="0"/>
    <n v="127.5"/>
  </r>
  <r>
    <x v="0"/>
    <x v="6"/>
    <x v="12"/>
    <x v="5"/>
    <x v="0"/>
    <n v="144.30000000000001"/>
  </r>
  <r>
    <x v="0"/>
    <x v="6"/>
    <x v="12"/>
    <x v="6"/>
    <x v="0"/>
    <n v="209.5"/>
  </r>
  <r>
    <x v="0"/>
    <x v="6"/>
    <x v="12"/>
    <x v="7"/>
    <x v="0"/>
    <n v="138.80000000000001"/>
  </r>
  <r>
    <x v="0"/>
    <x v="6"/>
    <x v="12"/>
    <x v="8"/>
    <x v="0"/>
    <n v="113.6"/>
  </r>
  <r>
    <x v="0"/>
    <x v="6"/>
    <x v="12"/>
    <x v="9"/>
    <x v="0"/>
    <n v="149.1"/>
  </r>
  <r>
    <x v="0"/>
    <x v="6"/>
    <x v="12"/>
    <x v="10"/>
    <x v="0"/>
    <n v="139.30000000000001"/>
  </r>
  <r>
    <x v="0"/>
    <x v="6"/>
    <x v="12"/>
    <x v="11"/>
    <x v="0"/>
    <n v="158.30000000000001"/>
  </r>
  <r>
    <x v="0"/>
    <x v="6"/>
    <x v="12"/>
    <x v="12"/>
    <x v="0"/>
    <n v="154.30000000000001"/>
  </r>
  <r>
    <x v="0"/>
    <x v="6"/>
    <x v="12"/>
    <x v="13"/>
    <x v="1"/>
    <n v="167.8"/>
  </r>
  <r>
    <x v="0"/>
    <x v="6"/>
    <x v="12"/>
    <x v="14"/>
    <x v="2"/>
    <n v="152.6"/>
  </r>
  <r>
    <x v="0"/>
    <x v="6"/>
    <x v="12"/>
    <x v="15"/>
    <x v="2"/>
    <n v="147.30000000000001"/>
  </r>
  <r>
    <x v="0"/>
    <x v="6"/>
    <x v="12"/>
    <x v="16"/>
    <x v="2"/>
    <n v="151.9"/>
  </r>
  <r>
    <x v="0"/>
    <x v="6"/>
    <x v="12"/>
    <x v="17"/>
    <x v="3"/>
    <s v="NA"/>
  </r>
  <r>
    <x v="0"/>
    <x v="6"/>
    <x v="12"/>
    <x v="18"/>
    <x v="4"/>
    <n v="149.9"/>
  </r>
  <r>
    <x v="0"/>
    <x v="6"/>
    <x v="12"/>
    <x v="19"/>
    <x v="5"/>
    <n v="151.19999999999999"/>
  </r>
  <r>
    <x v="0"/>
    <x v="6"/>
    <x v="12"/>
    <x v="20"/>
    <x v="6"/>
    <n v="154.80000000000001"/>
  </r>
  <r>
    <x v="0"/>
    <x v="6"/>
    <x v="12"/>
    <x v="21"/>
    <x v="7"/>
    <n v="135"/>
  </r>
  <r>
    <x v="0"/>
    <x v="6"/>
    <x v="12"/>
    <x v="22"/>
    <x v="8"/>
    <n v="149.5"/>
  </r>
  <r>
    <x v="0"/>
    <x v="6"/>
    <x v="12"/>
    <x v="23"/>
    <x v="9"/>
    <n v="161.1"/>
  </r>
  <r>
    <x v="0"/>
    <x v="6"/>
    <x v="12"/>
    <x v="24"/>
    <x v="8"/>
    <n v="140.6"/>
  </r>
  <r>
    <x v="0"/>
    <x v="6"/>
    <x v="12"/>
    <x v="25"/>
    <x v="5"/>
    <n v="147.1"/>
  </r>
  <r>
    <x v="0"/>
    <x v="6"/>
    <x v="12"/>
    <x v="26"/>
    <x v="10"/>
    <n v="152.30000000000001"/>
  </r>
  <r>
    <x v="1"/>
    <x v="6"/>
    <x v="12"/>
    <x v="0"/>
    <x v="0"/>
    <n v="144.9"/>
  </r>
  <r>
    <x v="1"/>
    <x v="6"/>
    <x v="12"/>
    <x v="1"/>
    <x v="0"/>
    <n v="164.5"/>
  </r>
  <r>
    <x v="1"/>
    <x v="6"/>
    <x v="12"/>
    <x v="2"/>
    <x v="0"/>
    <n v="153.69999999999999"/>
  </r>
  <r>
    <x v="1"/>
    <x v="6"/>
    <x v="12"/>
    <x v="3"/>
    <x v="0"/>
    <n v="147.5"/>
  </r>
  <r>
    <x v="1"/>
    <x v="6"/>
    <x v="12"/>
    <x v="4"/>
    <x v="0"/>
    <n v="122.7"/>
  </r>
  <r>
    <x v="1"/>
    <x v="6"/>
    <x v="12"/>
    <x v="5"/>
    <x v="0"/>
    <n v="147.19999999999999"/>
  </r>
  <r>
    <x v="1"/>
    <x v="6"/>
    <x v="12"/>
    <x v="6"/>
    <x v="0"/>
    <n v="231.5"/>
  </r>
  <r>
    <x v="1"/>
    <x v="6"/>
    <x v="12"/>
    <x v="7"/>
    <x v="0"/>
    <n v="137.19999999999999"/>
  </r>
  <r>
    <x v="1"/>
    <x v="6"/>
    <x v="12"/>
    <x v="8"/>
    <x v="0"/>
    <n v="114.7"/>
  </r>
  <r>
    <x v="1"/>
    <x v="6"/>
    <x v="12"/>
    <x v="9"/>
    <x v="0"/>
    <n v="148"/>
  </r>
  <r>
    <x v="1"/>
    <x v="6"/>
    <x v="12"/>
    <x v="10"/>
    <x v="0"/>
    <n v="130.80000000000001"/>
  </r>
  <r>
    <x v="1"/>
    <x v="6"/>
    <x v="12"/>
    <x v="11"/>
    <x v="0"/>
    <n v="157.69999999999999"/>
  </r>
  <r>
    <x v="1"/>
    <x v="6"/>
    <x v="12"/>
    <x v="12"/>
    <x v="0"/>
    <n v="156.30000000000001"/>
  </r>
  <r>
    <x v="1"/>
    <x v="6"/>
    <x v="12"/>
    <x v="13"/>
    <x v="1"/>
    <n v="170.4"/>
  </r>
  <r>
    <x v="1"/>
    <x v="6"/>
    <x v="12"/>
    <x v="14"/>
    <x v="2"/>
    <n v="146.80000000000001"/>
  </r>
  <r>
    <x v="1"/>
    <x v="6"/>
    <x v="12"/>
    <x v="15"/>
    <x v="2"/>
    <n v="132.80000000000001"/>
  </r>
  <r>
    <x v="1"/>
    <x v="6"/>
    <x v="12"/>
    <x v="16"/>
    <x v="2"/>
    <n v="144.6"/>
  </r>
  <r>
    <x v="1"/>
    <x v="6"/>
    <x v="12"/>
    <x v="17"/>
    <x v="3"/>
    <n v="152.80000000000001"/>
  </r>
  <r>
    <x v="1"/>
    <x v="6"/>
    <x v="12"/>
    <x v="18"/>
    <x v="4"/>
    <n v="133.6"/>
  </r>
  <r>
    <x v="1"/>
    <x v="6"/>
    <x v="12"/>
    <x v="19"/>
    <x v="5"/>
    <n v="139.80000000000001"/>
  </r>
  <r>
    <x v="1"/>
    <x v="6"/>
    <x v="12"/>
    <x v="20"/>
    <x v="6"/>
    <n v="143.19999999999999"/>
  </r>
  <r>
    <x v="1"/>
    <x v="6"/>
    <x v="12"/>
    <x v="21"/>
    <x v="7"/>
    <n v="125.2"/>
  </r>
  <r>
    <x v="1"/>
    <x v="6"/>
    <x v="12"/>
    <x v="22"/>
    <x v="8"/>
    <n v="136.80000000000001"/>
  </r>
  <r>
    <x v="1"/>
    <x v="6"/>
    <x v="12"/>
    <x v="23"/>
    <x v="9"/>
    <n v="151.9"/>
  </r>
  <r>
    <x v="1"/>
    <x v="6"/>
    <x v="12"/>
    <x v="24"/>
    <x v="8"/>
    <n v="140.19999999999999"/>
  </r>
  <r>
    <x v="1"/>
    <x v="6"/>
    <x v="12"/>
    <x v="25"/>
    <x v="5"/>
    <n v="137.69999999999999"/>
  </r>
  <r>
    <x v="1"/>
    <x v="6"/>
    <x v="12"/>
    <x v="26"/>
    <x v="10"/>
    <n v="148.30000000000001"/>
  </r>
  <r>
    <x v="2"/>
    <x v="6"/>
    <x v="12"/>
    <x v="0"/>
    <x v="0"/>
    <n v="143.5"/>
  </r>
  <r>
    <x v="2"/>
    <x v="6"/>
    <x v="12"/>
    <x v="1"/>
    <x v="0"/>
    <n v="165"/>
  </r>
  <r>
    <x v="2"/>
    <x v="6"/>
    <x v="12"/>
    <x v="2"/>
    <x v="0"/>
    <n v="151.1"/>
  </r>
  <r>
    <x v="2"/>
    <x v="6"/>
    <x v="12"/>
    <x v="3"/>
    <x v="0"/>
    <n v="148.30000000000001"/>
  </r>
  <r>
    <x v="2"/>
    <x v="6"/>
    <x v="12"/>
    <x v="4"/>
    <x v="0"/>
    <n v="125.7"/>
  </r>
  <r>
    <x v="2"/>
    <x v="6"/>
    <x v="12"/>
    <x v="5"/>
    <x v="0"/>
    <n v="145.69999999999999"/>
  </r>
  <r>
    <x v="2"/>
    <x v="6"/>
    <x v="12"/>
    <x v="6"/>
    <x v="0"/>
    <n v="217"/>
  </r>
  <r>
    <x v="2"/>
    <x v="6"/>
    <x v="12"/>
    <x v="7"/>
    <x v="0"/>
    <n v="138.30000000000001"/>
  </r>
  <r>
    <x v="2"/>
    <x v="6"/>
    <x v="12"/>
    <x v="8"/>
    <x v="0"/>
    <n v="114"/>
  </r>
  <r>
    <x v="2"/>
    <x v="6"/>
    <x v="12"/>
    <x v="9"/>
    <x v="0"/>
    <n v="148.69999999999999"/>
  </r>
  <r>
    <x v="2"/>
    <x v="6"/>
    <x v="12"/>
    <x v="10"/>
    <x v="0"/>
    <n v="135.80000000000001"/>
  </r>
  <r>
    <x v="2"/>
    <x v="6"/>
    <x v="12"/>
    <x v="11"/>
    <x v="0"/>
    <n v="158"/>
  </r>
  <r>
    <x v="2"/>
    <x v="6"/>
    <x v="12"/>
    <x v="12"/>
    <x v="0"/>
    <n v="155"/>
  </r>
  <r>
    <x v="2"/>
    <x v="6"/>
    <x v="12"/>
    <x v="13"/>
    <x v="1"/>
    <n v="168.5"/>
  </r>
  <r>
    <x v="2"/>
    <x v="6"/>
    <x v="12"/>
    <x v="14"/>
    <x v="2"/>
    <n v="150.30000000000001"/>
  </r>
  <r>
    <x v="2"/>
    <x v="6"/>
    <x v="12"/>
    <x v="15"/>
    <x v="2"/>
    <n v="141.30000000000001"/>
  </r>
  <r>
    <x v="2"/>
    <x v="6"/>
    <x v="12"/>
    <x v="16"/>
    <x v="2"/>
    <n v="149"/>
  </r>
  <r>
    <x v="2"/>
    <x v="6"/>
    <x v="12"/>
    <x v="17"/>
    <x v="3"/>
    <n v="152.80000000000001"/>
  </r>
  <r>
    <x v="2"/>
    <x v="6"/>
    <x v="12"/>
    <x v="18"/>
    <x v="4"/>
    <n v="143.69999999999999"/>
  </r>
  <r>
    <x v="2"/>
    <x v="6"/>
    <x v="12"/>
    <x v="19"/>
    <x v="5"/>
    <n v="145.80000000000001"/>
  </r>
  <r>
    <x v="2"/>
    <x v="6"/>
    <x v="12"/>
    <x v="20"/>
    <x v="6"/>
    <n v="150.4"/>
  </r>
  <r>
    <x v="2"/>
    <x v="6"/>
    <x v="12"/>
    <x v="21"/>
    <x v="7"/>
    <n v="129.80000000000001"/>
  </r>
  <r>
    <x v="2"/>
    <x v="6"/>
    <x v="12"/>
    <x v="22"/>
    <x v="8"/>
    <n v="142.30000000000001"/>
  </r>
  <r>
    <x v="2"/>
    <x v="6"/>
    <x v="12"/>
    <x v="23"/>
    <x v="9"/>
    <n v="155.69999999999999"/>
  </r>
  <r>
    <x v="2"/>
    <x v="6"/>
    <x v="12"/>
    <x v="24"/>
    <x v="8"/>
    <n v="140.4"/>
  </r>
  <r>
    <x v="2"/>
    <x v="6"/>
    <x v="12"/>
    <x v="25"/>
    <x v="5"/>
    <n v="142.5"/>
  </r>
  <r>
    <x v="2"/>
    <x v="6"/>
    <x v="12"/>
    <x v="26"/>
    <x v="10"/>
    <n v="150.4"/>
  </r>
  <r>
    <x v="0"/>
    <x v="7"/>
    <x v="0"/>
    <x v="0"/>
    <x v="0"/>
    <n v="143.69999999999999"/>
  </r>
  <r>
    <x v="0"/>
    <x v="7"/>
    <x v="0"/>
    <x v="1"/>
    <x v="0"/>
    <n v="167.3"/>
  </r>
  <r>
    <x v="0"/>
    <x v="7"/>
    <x v="0"/>
    <x v="2"/>
    <x v="0"/>
    <n v="153.5"/>
  </r>
  <r>
    <x v="0"/>
    <x v="7"/>
    <x v="0"/>
    <x v="3"/>
    <x v="0"/>
    <n v="150.5"/>
  </r>
  <r>
    <x v="0"/>
    <x v="7"/>
    <x v="0"/>
    <x v="4"/>
    <x v="0"/>
    <n v="132"/>
  </r>
  <r>
    <x v="0"/>
    <x v="7"/>
    <x v="0"/>
    <x v="5"/>
    <x v="0"/>
    <n v="142.19999999999999"/>
  </r>
  <r>
    <x v="0"/>
    <x v="7"/>
    <x v="0"/>
    <x v="6"/>
    <x v="0"/>
    <n v="191.5"/>
  </r>
  <r>
    <x v="0"/>
    <x v="7"/>
    <x v="0"/>
    <x v="7"/>
    <x v="0"/>
    <n v="141.1"/>
  </r>
  <r>
    <x v="0"/>
    <x v="7"/>
    <x v="0"/>
    <x v="8"/>
    <x v="0"/>
    <n v="113.8"/>
  </r>
  <r>
    <x v="0"/>
    <x v="7"/>
    <x v="0"/>
    <x v="9"/>
    <x v="0"/>
    <n v="151.6"/>
  </r>
  <r>
    <x v="0"/>
    <x v="7"/>
    <x v="0"/>
    <x v="10"/>
    <x v="0"/>
    <n v="139.69999999999999"/>
  </r>
  <r>
    <x v="0"/>
    <x v="7"/>
    <x v="0"/>
    <x v="11"/>
    <x v="0"/>
    <n v="158.69999999999999"/>
  </r>
  <r>
    <x v="0"/>
    <x v="7"/>
    <x v="0"/>
    <x v="12"/>
    <x v="0"/>
    <n v="153"/>
  </r>
  <r>
    <x v="0"/>
    <x v="7"/>
    <x v="0"/>
    <x v="13"/>
    <x v="1"/>
    <n v="168.6"/>
  </r>
  <r>
    <x v="0"/>
    <x v="7"/>
    <x v="0"/>
    <x v="14"/>
    <x v="2"/>
    <n v="152.80000000000001"/>
  </r>
  <r>
    <x v="0"/>
    <x v="7"/>
    <x v="0"/>
    <x v="15"/>
    <x v="2"/>
    <n v="147.4"/>
  </r>
  <r>
    <x v="0"/>
    <x v="7"/>
    <x v="0"/>
    <x v="16"/>
    <x v="2"/>
    <n v="152.1"/>
  </r>
  <r>
    <x v="0"/>
    <x v="7"/>
    <x v="0"/>
    <x v="17"/>
    <x v="3"/>
    <s v="NA"/>
  </r>
  <r>
    <x v="0"/>
    <x v="7"/>
    <x v="0"/>
    <x v="18"/>
    <x v="4"/>
    <n v="150.4"/>
  </r>
  <r>
    <x v="0"/>
    <x v="7"/>
    <x v="0"/>
    <x v="19"/>
    <x v="5"/>
    <n v="151.69999999999999"/>
  </r>
  <r>
    <x v="0"/>
    <x v="7"/>
    <x v="0"/>
    <x v="20"/>
    <x v="6"/>
    <n v="155.69999999999999"/>
  </r>
  <r>
    <x v="0"/>
    <x v="7"/>
    <x v="0"/>
    <x v="21"/>
    <x v="7"/>
    <n v="136.30000000000001"/>
  </r>
  <r>
    <x v="0"/>
    <x v="7"/>
    <x v="0"/>
    <x v="22"/>
    <x v="8"/>
    <n v="150.1"/>
  </r>
  <r>
    <x v="0"/>
    <x v="7"/>
    <x v="0"/>
    <x v="23"/>
    <x v="9"/>
    <n v="161.69999999999999"/>
  </r>
  <r>
    <x v="0"/>
    <x v="7"/>
    <x v="0"/>
    <x v="24"/>
    <x v="8"/>
    <n v="142.5"/>
  </r>
  <r>
    <x v="0"/>
    <x v="7"/>
    <x v="0"/>
    <x v="25"/>
    <x v="5"/>
    <n v="148.1"/>
  </r>
  <r>
    <x v="0"/>
    <x v="7"/>
    <x v="0"/>
    <x v="26"/>
    <x v="10"/>
    <n v="151.9"/>
  </r>
  <r>
    <x v="1"/>
    <x v="7"/>
    <x v="0"/>
    <x v="0"/>
    <x v="0"/>
    <n v="145.6"/>
  </r>
  <r>
    <x v="1"/>
    <x v="7"/>
    <x v="0"/>
    <x v="1"/>
    <x v="0"/>
    <n v="167.6"/>
  </r>
  <r>
    <x v="1"/>
    <x v="7"/>
    <x v="0"/>
    <x v="2"/>
    <x v="0"/>
    <n v="157"/>
  </r>
  <r>
    <x v="1"/>
    <x v="7"/>
    <x v="0"/>
    <x v="3"/>
    <x v="0"/>
    <n v="149.30000000000001"/>
  </r>
  <r>
    <x v="1"/>
    <x v="7"/>
    <x v="0"/>
    <x v="4"/>
    <x v="0"/>
    <n v="126.3"/>
  </r>
  <r>
    <x v="1"/>
    <x v="7"/>
    <x v="0"/>
    <x v="5"/>
    <x v="0"/>
    <n v="144.4"/>
  </r>
  <r>
    <x v="1"/>
    <x v="7"/>
    <x v="0"/>
    <x v="6"/>
    <x v="0"/>
    <n v="207.8"/>
  </r>
  <r>
    <x v="1"/>
    <x v="7"/>
    <x v="0"/>
    <x v="7"/>
    <x v="0"/>
    <n v="139.1"/>
  </r>
  <r>
    <x v="1"/>
    <x v="7"/>
    <x v="0"/>
    <x v="8"/>
    <x v="0"/>
    <n v="114.8"/>
  </r>
  <r>
    <x v="1"/>
    <x v="7"/>
    <x v="0"/>
    <x v="9"/>
    <x v="0"/>
    <n v="149.5"/>
  </r>
  <r>
    <x v="1"/>
    <x v="7"/>
    <x v="0"/>
    <x v="10"/>
    <x v="0"/>
    <n v="131.1"/>
  </r>
  <r>
    <x v="1"/>
    <x v="7"/>
    <x v="0"/>
    <x v="11"/>
    <x v="0"/>
    <n v="158.5"/>
  </r>
  <r>
    <x v="1"/>
    <x v="7"/>
    <x v="0"/>
    <x v="12"/>
    <x v="0"/>
    <n v="154.4"/>
  </r>
  <r>
    <x v="1"/>
    <x v="7"/>
    <x v="0"/>
    <x v="13"/>
    <x v="1"/>
    <n v="170.8"/>
  </r>
  <r>
    <x v="1"/>
    <x v="7"/>
    <x v="0"/>
    <x v="14"/>
    <x v="2"/>
    <n v="147"/>
  </r>
  <r>
    <x v="1"/>
    <x v="7"/>
    <x v="0"/>
    <x v="15"/>
    <x v="2"/>
    <n v="133.19999999999999"/>
  </r>
  <r>
    <x v="1"/>
    <x v="7"/>
    <x v="0"/>
    <x v="16"/>
    <x v="2"/>
    <n v="144.9"/>
  </r>
  <r>
    <x v="1"/>
    <x v="7"/>
    <x v="0"/>
    <x v="17"/>
    <x v="3"/>
    <n v="153.9"/>
  </r>
  <r>
    <x v="1"/>
    <x v="7"/>
    <x v="0"/>
    <x v="18"/>
    <x v="4"/>
    <n v="135.1"/>
  </r>
  <r>
    <x v="1"/>
    <x v="7"/>
    <x v="0"/>
    <x v="19"/>
    <x v="5"/>
    <n v="140.1"/>
  </r>
  <r>
    <x v="1"/>
    <x v="7"/>
    <x v="0"/>
    <x v="20"/>
    <x v="6"/>
    <n v="143.80000000000001"/>
  </r>
  <r>
    <x v="1"/>
    <x v="7"/>
    <x v="0"/>
    <x v="21"/>
    <x v="7"/>
    <n v="126.1"/>
  </r>
  <r>
    <x v="1"/>
    <x v="7"/>
    <x v="0"/>
    <x v="22"/>
    <x v="8"/>
    <n v="137.19999999999999"/>
  </r>
  <r>
    <x v="1"/>
    <x v="7"/>
    <x v="0"/>
    <x v="23"/>
    <x v="9"/>
    <n v="152.1"/>
  </r>
  <r>
    <x v="1"/>
    <x v="7"/>
    <x v="0"/>
    <x v="24"/>
    <x v="8"/>
    <n v="142.1"/>
  </r>
  <r>
    <x v="1"/>
    <x v="7"/>
    <x v="0"/>
    <x v="25"/>
    <x v="5"/>
    <n v="138.4"/>
  </r>
  <r>
    <x v="1"/>
    <x v="7"/>
    <x v="0"/>
    <x v="26"/>
    <x v="10"/>
    <n v="148.19999999999999"/>
  </r>
  <r>
    <x v="2"/>
    <x v="7"/>
    <x v="0"/>
    <x v="0"/>
    <x v="0"/>
    <n v="144.30000000000001"/>
  </r>
  <r>
    <x v="2"/>
    <x v="7"/>
    <x v="0"/>
    <x v="1"/>
    <x v="0"/>
    <n v="167.4"/>
  </r>
  <r>
    <x v="2"/>
    <x v="7"/>
    <x v="0"/>
    <x v="2"/>
    <x v="0"/>
    <n v="154.9"/>
  </r>
  <r>
    <x v="2"/>
    <x v="7"/>
    <x v="0"/>
    <x v="3"/>
    <x v="0"/>
    <n v="150.1"/>
  </r>
  <r>
    <x v="2"/>
    <x v="7"/>
    <x v="0"/>
    <x v="4"/>
    <x v="0"/>
    <n v="129.9"/>
  </r>
  <r>
    <x v="2"/>
    <x v="7"/>
    <x v="0"/>
    <x v="5"/>
    <x v="0"/>
    <n v="143.19999999999999"/>
  </r>
  <r>
    <x v="2"/>
    <x v="7"/>
    <x v="0"/>
    <x v="6"/>
    <x v="0"/>
    <n v="197"/>
  </r>
  <r>
    <x v="2"/>
    <x v="7"/>
    <x v="0"/>
    <x v="7"/>
    <x v="0"/>
    <n v="140.4"/>
  </r>
  <r>
    <x v="2"/>
    <x v="7"/>
    <x v="0"/>
    <x v="8"/>
    <x v="0"/>
    <n v="114.1"/>
  </r>
  <r>
    <x v="2"/>
    <x v="7"/>
    <x v="0"/>
    <x v="9"/>
    <x v="0"/>
    <n v="150.9"/>
  </r>
  <r>
    <x v="2"/>
    <x v="7"/>
    <x v="0"/>
    <x v="10"/>
    <x v="0"/>
    <n v="136.1"/>
  </r>
  <r>
    <x v="2"/>
    <x v="7"/>
    <x v="0"/>
    <x v="11"/>
    <x v="0"/>
    <n v="158.6"/>
  </r>
  <r>
    <x v="2"/>
    <x v="7"/>
    <x v="0"/>
    <x v="12"/>
    <x v="0"/>
    <n v="153.5"/>
  </r>
  <r>
    <x v="2"/>
    <x v="7"/>
    <x v="0"/>
    <x v="13"/>
    <x v="1"/>
    <n v="169.2"/>
  </r>
  <r>
    <x v="2"/>
    <x v="7"/>
    <x v="0"/>
    <x v="14"/>
    <x v="2"/>
    <n v="150.5"/>
  </r>
  <r>
    <x v="2"/>
    <x v="7"/>
    <x v="0"/>
    <x v="15"/>
    <x v="2"/>
    <n v="141.5"/>
  </r>
  <r>
    <x v="2"/>
    <x v="7"/>
    <x v="0"/>
    <x v="16"/>
    <x v="2"/>
    <n v="149.19999999999999"/>
  </r>
  <r>
    <x v="2"/>
    <x v="7"/>
    <x v="0"/>
    <x v="17"/>
    <x v="3"/>
    <n v="153.9"/>
  </r>
  <r>
    <x v="2"/>
    <x v="7"/>
    <x v="0"/>
    <x v="18"/>
    <x v="4"/>
    <n v="144.6"/>
  </r>
  <r>
    <x v="2"/>
    <x v="7"/>
    <x v="0"/>
    <x v="19"/>
    <x v="5"/>
    <n v="146.19999999999999"/>
  </r>
  <r>
    <x v="2"/>
    <x v="7"/>
    <x v="0"/>
    <x v="20"/>
    <x v="6"/>
    <n v="151.19999999999999"/>
  </r>
  <r>
    <x v="2"/>
    <x v="7"/>
    <x v="0"/>
    <x v="21"/>
    <x v="7"/>
    <n v="130.9"/>
  </r>
  <r>
    <x v="2"/>
    <x v="7"/>
    <x v="0"/>
    <x v="22"/>
    <x v="8"/>
    <n v="142.80000000000001"/>
  </r>
  <r>
    <x v="2"/>
    <x v="7"/>
    <x v="0"/>
    <x v="23"/>
    <x v="9"/>
    <n v="156.1"/>
  </r>
  <r>
    <x v="2"/>
    <x v="7"/>
    <x v="0"/>
    <x v="24"/>
    <x v="8"/>
    <n v="142.30000000000001"/>
  </r>
  <r>
    <x v="2"/>
    <x v="7"/>
    <x v="0"/>
    <x v="25"/>
    <x v="5"/>
    <n v="143.4"/>
  </r>
  <r>
    <x v="2"/>
    <x v="7"/>
    <x v="0"/>
    <x v="26"/>
    <x v="10"/>
    <n v="150.19999999999999"/>
  </r>
  <r>
    <x v="0"/>
    <x v="7"/>
    <x v="1"/>
    <x v="0"/>
    <x v="0"/>
    <n v="144.19999999999999"/>
  </r>
  <r>
    <x v="0"/>
    <x v="7"/>
    <x v="1"/>
    <x v="1"/>
    <x v="0"/>
    <n v="167.5"/>
  </r>
  <r>
    <x v="0"/>
    <x v="7"/>
    <x v="1"/>
    <x v="2"/>
    <x v="0"/>
    <n v="150.9"/>
  </r>
  <r>
    <x v="0"/>
    <x v="7"/>
    <x v="1"/>
    <x v="3"/>
    <x v="0"/>
    <n v="150.9"/>
  </r>
  <r>
    <x v="0"/>
    <x v="7"/>
    <x v="1"/>
    <x v="4"/>
    <x v="0"/>
    <n v="133.69999999999999"/>
  </r>
  <r>
    <x v="0"/>
    <x v="7"/>
    <x v="1"/>
    <x v="5"/>
    <x v="0"/>
    <n v="140.69999999999999"/>
  </r>
  <r>
    <x v="0"/>
    <x v="7"/>
    <x v="1"/>
    <x v="6"/>
    <x v="0"/>
    <n v="165.1"/>
  </r>
  <r>
    <x v="0"/>
    <x v="7"/>
    <x v="1"/>
    <x v="7"/>
    <x v="0"/>
    <n v="141.80000000000001"/>
  </r>
  <r>
    <x v="0"/>
    <x v="7"/>
    <x v="1"/>
    <x v="8"/>
    <x v="0"/>
    <n v="113.1"/>
  </r>
  <r>
    <x v="0"/>
    <x v="7"/>
    <x v="1"/>
    <x v="9"/>
    <x v="0"/>
    <n v="152.80000000000001"/>
  </r>
  <r>
    <x v="0"/>
    <x v="7"/>
    <x v="1"/>
    <x v="10"/>
    <x v="0"/>
    <n v="140.1"/>
  </r>
  <r>
    <x v="0"/>
    <x v="7"/>
    <x v="1"/>
    <x v="11"/>
    <x v="0"/>
    <n v="159.19999999999999"/>
  </r>
  <r>
    <x v="0"/>
    <x v="7"/>
    <x v="1"/>
    <x v="12"/>
    <x v="0"/>
    <n v="149.80000000000001"/>
  </r>
  <r>
    <x v="0"/>
    <x v="7"/>
    <x v="1"/>
    <x v="13"/>
    <x v="1"/>
    <n v="169.4"/>
  </r>
  <r>
    <x v="0"/>
    <x v="7"/>
    <x v="1"/>
    <x v="14"/>
    <x v="2"/>
    <n v="153"/>
  </r>
  <r>
    <x v="0"/>
    <x v="7"/>
    <x v="1"/>
    <x v="15"/>
    <x v="2"/>
    <n v="147.5"/>
  </r>
  <r>
    <x v="0"/>
    <x v="7"/>
    <x v="1"/>
    <x v="16"/>
    <x v="2"/>
    <n v="152.30000000000001"/>
  </r>
  <r>
    <x v="0"/>
    <x v="7"/>
    <x v="1"/>
    <x v="17"/>
    <x v="3"/>
    <s v="NA"/>
  </r>
  <r>
    <x v="0"/>
    <x v="7"/>
    <x v="1"/>
    <x v="18"/>
    <x v="4"/>
    <n v="152.30000000000001"/>
  </r>
  <r>
    <x v="0"/>
    <x v="7"/>
    <x v="1"/>
    <x v="19"/>
    <x v="5"/>
    <n v="151.80000000000001"/>
  </r>
  <r>
    <x v="0"/>
    <x v="7"/>
    <x v="1"/>
    <x v="20"/>
    <x v="6"/>
    <n v="156.19999999999999"/>
  </r>
  <r>
    <x v="0"/>
    <x v="7"/>
    <x v="1"/>
    <x v="21"/>
    <x v="7"/>
    <n v="136"/>
  </r>
  <r>
    <x v="0"/>
    <x v="7"/>
    <x v="1"/>
    <x v="22"/>
    <x v="8"/>
    <n v="150.4"/>
  </r>
  <r>
    <x v="0"/>
    <x v="7"/>
    <x v="1"/>
    <x v="23"/>
    <x v="9"/>
    <n v="161.9"/>
  </r>
  <r>
    <x v="0"/>
    <x v="7"/>
    <x v="1"/>
    <x v="24"/>
    <x v="8"/>
    <n v="143.4"/>
  </r>
  <r>
    <x v="0"/>
    <x v="7"/>
    <x v="1"/>
    <x v="25"/>
    <x v="5"/>
    <n v="148.4"/>
  </r>
  <r>
    <x v="0"/>
    <x v="7"/>
    <x v="1"/>
    <x v="26"/>
    <x v="10"/>
    <n v="150.4"/>
  </r>
  <r>
    <x v="1"/>
    <x v="7"/>
    <x v="1"/>
    <x v="0"/>
    <x v="0"/>
    <n v="146.19999999999999"/>
  </r>
  <r>
    <x v="1"/>
    <x v="7"/>
    <x v="1"/>
    <x v="1"/>
    <x v="0"/>
    <n v="167.6"/>
  </r>
  <r>
    <x v="1"/>
    <x v="7"/>
    <x v="1"/>
    <x v="2"/>
    <x v="0"/>
    <n v="153.1"/>
  </r>
  <r>
    <x v="1"/>
    <x v="7"/>
    <x v="1"/>
    <x v="3"/>
    <x v="0"/>
    <n v="150.69999999999999"/>
  </r>
  <r>
    <x v="1"/>
    <x v="7"/>
    <x v="1"/>
    <x v="4"/>
    <x v="0"/>
    <n v="127.4"/>
  </r>
  <r>
    <x v="1"/>
    <x v="7"/>
    <x v="1"/>
    <x v="5"/>
    <x v="0"/>
    <n v="143.1"/>
  </r>
  <r>
    <x v="1"/>
    <x v="7"/>
    <x v="1"/>
    <x v="6"/>
    <x v="0"/>
    <n v="181.7"/>
  </r>
  <r>
    <x v="1"/>
    <x v="7"/>
    <x v="1"/>
    <x v="7"/>
    <x v="0"/>
    <n v="139.6"/>
  </r>
  <r>
    <x v="1"/>
    <x v="7"/>
    <x v="1"/>
    <x v="8"/>
    <x v="0"/>
    <n v="114.6"/>
  </r>
  <r>
    <x v="1"/>
    <x v="7"/>
    <x v="1"/>
    <x v="9"/>
    <x v="0"/>
    <n v="150.4"/>
  </r>
  <r>
    <x v="1"/>
    <x v="7"/>
    <x v="1"/>
    <x v="10"/>
    <x v="0"/>
    <n v="131.5"/>
  </r>
  <r>
    <x v="1"/>
    <x v="7"/>
    <x v="1"/>
    <x v="11"/>
    <x v="0"/>
    <n v="159"/>
  </r>
  <r>
    <x v="1"/>
    <x v="7"/>
    <x v="1"/>
    <x v="12"/>
    <x v="0"/>
    <n v="151.69999999999999"/>
  </r>
  <r>
    <x v="1"/>
    <x v="7"/>
    <x v="1"/>
    <x v="13"/>
    <x v="1"/>
    <n v="172"/>
  </r>
  <r>
    <x v="1"/>
    <x v="7"/>
    <x v="1"/>
    <x v="14"/>
    <x v="2"/>
    <n v="147.30000000000001"/>
  </r>
  <r>
    <x v="1"/>
    <x v="7"/>
    <x v="1"/>
    <x v="15"/>
    <x v="2"/>
    <n v="133.5"/>
  </r>
  <r>
    <x v="1"/>
    <x v="7"/>
    <x v="1"/>
    <x v="16"/>
    <x v="2"/>
    <n v="145.19999999999999"/>
  </r>
  <r>
    <x v="1"/>
    <x v="7"/>
    <x v="1"/>
    <x v="17"/>
    <x v="3"/>
    <n v="154.80000000000001"/>
  </r>
  <r>
    <x v="1"/>
    <x v="7"/>
    <x v="1"/>
    <x v="18"/>
    <x v="4"/>
    <n v="138.9"/>
  </r>
  <r>
    <x v="1"/>
    <x v="7"/>
    <x v="1"/>
    <x v="19"/>
    <x v="5"/>
    <n v="140.4"/>
  </r>
  <r>
    <x v="1"/>
    <x v="7"/>
    <x v="1"/>
    <x v="20"/>
    <x v="6"/>
    <n v="144.4"/>
  </r>
  <r>
    <x v="1"/>
    <x v="7"/>
    <x v="1"/>
    <x v="21"/>
    <x v="7"/>
    <n v="125.2"/>
  </r>
  <r>
    <x v="1"/>
    <x v="7"/>
    <x v="1"/>
    <x v="22"/>
    <x v="8"/>
    <n v="137.69999999999999"/>
  </r>
  <r>
    <x v="1"/>
    <x v="7"/>
    <x v="1"/>
    <x v="23"/>
    <x v="9"/>
    <n v="152.19999999999999"/>
  </r>
  <r>
    <x v="1"/>
    <x v="7"/>
    <x v="1"/>
    <x v="24"/>
    <x v="8"/>
    <n v="143.5"/>
  </r>
  <r>
    <x v="1"/>
    <x v="7"/>
    <x v="1"/>
    <x v="25"/>
    <x v="5"/>
    <n v="138.4"/>
  </r>
  <r>
    <x v="1"/>
    <x v="7"/>
    <x v="1"/>
    <x v="26"/>
    <x v="10"/>
    <n v="147.69999999999999"/>
  </r>
  <r>
    <x v="2"/>
    <x v="7"/>
    <x v="1"/>
    <x v="0"/>
    <x v="0"/>
    <n v="144.80000000000001"/>
  </r>
  <r>
    <x v="2"/>
    <x v="7"/>
    <x v="1"/>
    <x v="1"/>
    <x v="0"/>
    <n v="167.5"/>
  </r>
  <r>
    <x v="2"/>
    <x v="7"/>
    <x v="1"/>
    <x v="2"/>
    <x v="0"/>
    <n v="151.80000000000001"/>
  </r>
  <r>
    <x v="2"/>
    <x v="7"/>
    <x v="1"/>
    <x v="3"/>
    <x v="0"/>
    <n v="150.80000000000001"/>
  </r>
  <r>
    <x v="2"/>
    <x v="7"/>
    <x v="1"/>
    <x v="4"/>
    <x v="0"/>
    <n v="131.4"/>
  </r>
  <r>
    <x v="2"/>
    <x v="7"/>
    <x v="1"/>
    <x v="5"/>
    <x v="0"/>
    <n v="141.80000000000001"/>
  </r>
  <r>
    <x v="2"/>
    <x v="7"/>
    <x v="1"/>
    <x v="6"/>
    <x v="0"/>
    <n v="170.7"/>
  </r>
  <r>
    <x v="2"/>
    <x v="7"/>
    <x v="1"/>
    <x v="7"/>
    <x v="0"/>
    <n v="141.1"/>
  </r>
  <r>
    <x v="2"/>
    <x v="7"/>
    <x v="1"/>
    <x v="8"/>
    <x v="0"/>
    <n v="113.6"/>
  </r>
  <r>
    <x v="2"/>
    <x v="7"/>
    <x v="1"/>
    <x v="9"/>
    <x v="0"/>
    <n v="152"/>
  </r>
  <r>
    <x v="2"/>
    <x v="7"/>
    <x v="1"/>
    <x v="10"/>
    <x v="0"/>
    <n v="136.5"/>
  </r>
  <r>
    <x v="2"/>
    <x v="7"/>
    <x v="1"/>
    <x v="11"/>
    <x v="0"/>
    <n v="159.1"/>
  </r>
  <r>
    <x v="2"/>
    <x v="7"/>
    <x v="1"/>
    <x v="12"/>
    <x v="0"/>
    <n v="150.5"/>
  </r>
  <r>
    <x v="2"/>
    <x v="7"/>
    <x v="1"/>
    <x v="13"/>
    <x v="1"/>
    <n v="170.1"/>
  </r>
  <r>
    <x v="2"/>
    <x v="7"/>
    <x v="1"/>
    <x v="14"/>
    <x v="2"/>
    <n v="150.80000000000001"/>
  </r>
  <r>
    <x v="2"/>
    <x v="7"/>
    <x v="1"/>
    <x v="15"/>
    <x v="2"/>
    <n v="141.69999999999999"/>
  </r>
  <r>
    <x v="2"/>
    <x v="7"/>
    <x v="1"/>
    <x v="16"/>
    <x v="2"/>
    <n v="149.5"/>
  </r>
  <r>
    <x v="2"/>
    <x v="7"/>
    <x v="1"/>
    <x v="17"/>
    <x v="3"/>
    <n v="154.80000000000001"/>
  </r>
  <r>
    <x v="2"/>
    <x v="7"/>
    <x v="1"/>
    <x v="18"/>
    <x v="4"/>
    <n v="147.19999999999999"/>
  </r>
  <r>
    <x v="2"/>
    <x v="7"/>
    <x v="1"/>
    <x v="19"/>
    <x v="5"/>
    <n v="146.4"/>
  </r>
  <r>
    <x v="2"/>
    <x v="7"/>
    <x v="1"/>
    <x v="20"/>
    <x v="6"/>
    <n v="151.69999999999999"/>
  </r>
  <r>
    <x v="2"/>
    <x v="7"/>
    <x v="1"/>
    <x v="21"/>
    <x v="7"/>
    <n v="130.30000000000001"/>
  </r>
  <r>
    <x v="2"/>
    <x v="7"/>
    <x v="1"/>
    <x v="22"/>
    <x v="8"/>
    <n v="143.19999999999999"/>
  </r>
  <r>
    <x v="2"/>
    <x v="7"/>
    <x v="1"/>
    <x v="23"/>
    <x v="9"/>
    <n v="156.19999999999999"/>
  </r>
  <r>
    <x v="2"/>
    <x v="7"/>
    <x v="1"/>
    <x v="24"/>
    <x v="8"/>
    <n v="143.4"/>
  </r>
  <r>
    <x v="2"/>
    <x v="7"/>
    <x v="1"/>
    <x v="25"/>
    <x v="5"/>
    <n v="143.6"/>
  </r>
  <r>
    <x v="2"/>
    <x v="7"/>
    <x v="1"/>
    <x v="26"/>
    <x v="10"/>
    <n v="149.1"/>
  </r>
  <r>
    <x v="0"/>
    <x v="7"/>
    <x v="2"/>
    <x v="0"/>
    <x v="0"/>
    <n v="144.4"/>
  </r>
  <r>
    <x v="0"/>
    <x v="7"/>
    <x v="2"/>
    <x v="1"/>
    <x v="0"/>
    <n v="166.8"/>
  </r>
  <r>
    <x v="0"/>
    <x v="7"/>
    <x v="2"/>
    <x v="2"/>
    <x v="0"/>
    <n v="147.6"/>
  </r>
  <r>
    <x v="0"/>
    <x v="7"/>
    <x v="2"/>
    <x v="3"/>
    <x v="0"/>
    <n v="151.69999999999999"/>
  </r>
  <r>
    <x v="0"/>
    <x v="7"/>
    <x v="2"/>
    <x v="4"/>
    <x v="0"/>
    <n v="133.30000000000001"/>
  </r>
  <r>
    <x v="0"/>
    <x v="7"/>
    <x v="2"/>
    <x v="5"/>
    <x v="0"/>
    <n v="141.80000000000001"/>
  </r>
  <r>
    <x v="0"/>
    <x v="7"/>
    <x v="2"/>
    <x v="6"/>
    <x v="0"/>
    <n v="152.30000000000001"/>
  </r>
  <r>
    <x v="0"/>
    <x v="7"/>
    <x v="2"/>
    <x v="7"/>
    <x v="0"/>
    <n v="141.80000000000001"/>
  </r>
  <r>
    <x v="0"/>
    <x v="7"/>
    <x v="2"/>
    <x v="8"/>
    <x v="0"/>
    <n v="112.6"/>
  </r>
  <r>
    <x v="0"/>
    <x v="7"/>
    <x v="2"/>
    <x v="9"/>
    <x v="0"/>
    <n v="154"/>
  </r>
  <r>
    <x v="0"/>
    <x v="7"/>
    <x v="2"/>
    <x v="10"/>
    <x v="0"/>
    <n v="140.1"/>
  </r>
  <r>
    <x v="0"/>
    <x v="7"/>
    <x v="2"/>
    <x v="11"/>
    <x v="0"/>
    <n v="160"/>
  </r>
  <r>
    <x v="0"/>
    <x v="7"/>
    <x v="2"/>
    <x v="12"/>
    <x v="0"/>
    <n v="148.19999999999999"/>
  </r>
  <r>
    <x v="0"/>
    <x v="7"/>
    <x v="2"/>
    <x v="13"/>
    <x v="1"/>
    <n v="170.5"/>
  </r>
  <r>
    <x v="0"/>
    <x v="7"/>
    <x v="2"/>
    <x v="14"/>
    <x v="2"/>
    <n v="153.4"/>
  </r>
  <r>
    <x v="0"/>
    <x v="7"/>
    <x v="2"/>
    <x v="15"/>
    <x v="2"/>
    <n v="147.6"/>
  </r>
  <r>
    <x v="0"/>
    <x v="7"/>
    <x v="2"/>
    <x v="16"/>
    <x v="2"/>
    <n v="152.5"/>
  </r>
  <r>
    <x v="0"/>
    <x v="7"/>
    <x v="2"/>
    <x v="17"/>
    <x v="3"/>
    <s v="NA"/>
  </r>
  <r>
    <x v="0"/>
    <x v="7"/>
    <x v="2"/>
    <x v="18"/>
    <x v="4"/>
    <n v="153.4"/>
  </r>
  <r>
    <x v="0"/>
    <x v="7"/>
    <x v="2"/>
    <x v="19"/>
    <x v="5"/>
    <n v="151.5"/>
  </r>
  <r>
    <x v="0"/>
    <x v="7"/>
    <x v="2"/>
    <x v="20"/>
    <x v="6"/>
    <n v="156.69999999999999"/>
  </r>
  <r>
    <x v="0"/>
    <x v="7"/>
    <x v="2"/>
    <x v="21"/>
    <x v="7"/>
    <n v="135.80000000000001"/>
  </r>
  <r>
    <x v="0"/>
    <x v="7"/>
    <x v="2"/>
    <x v="22"/>
    <x v="8"/>
    <n v="151.19999999999999"/>
  </r>
  <r>
    <x v="0"/>
    <x v="7"/>
    <x v="2"/>
    <x v="23"/>
    <x v="9"/>
    <n v="161.19999999999999"/>
  </r>
  <r>
    <x v="0"/>
    <x v="7"/>
    <x v="2"/>
    <x v="24"/>
    <x v="8"/>
    <n v="145.1"/>
  </r>
  <r>
    <x v="0"/>
    <x v="7"/>
    <x v="2"/>
    <x v="25"/>
    <x v="5"/>
    <n v="148.6"/>
  </r>
  <r>
    <x v="0"/>
    <x v="7"/>
    <x v="2"/>
    <x v="26"/>
    <x v="10"/>
    <n v="149.80000000000001"/>
  </r>
  <r>
    <x v="1"/>
    <x v="7"/>
    <x v="2"/>
    <x v="0"/>
    <x v="0"/>
    <n v="146.5"/>
  </r>
  <r>
    <x v="1"/>
    <x v="7"/>
    <x v="2"/>
    <x v="1"/>
    <x v="0"/>
    <n v="167.5"/>
  </r>
  <r>
    <x v="1"/>
    <x v="7"/>
    <x v="2"/>
    <x v="2"/>
    <x v="0"/>
    <n v="148.9"/>
  </r>
  <r>
    <x v="1"/>
    <x v="7"/>
    <x v="2"/>
    <x v="3"/>
    <x v="0"/>
    <n v="151.1"/>
  </r>
  <r>
    <x v="1"/>
    <x v="7"/>
    <x v="2"/>
    <x v="4"/>
    <x v="0"/>
    <n v="127.5"/>
  </r>
  <r>
    <x v="1"/>
    <x v="7"/>
    <x v="2"/>
    <x v="5"/>
    <x v="0"/>
    <n v="143.30000000000001"/>
  </r>
  <r>
    <x v="1"/>
    <x v="7"/>
    <x v="2"/>
    <x v="6"/>
    <x v="0"/>
    <n v="167"/>
  </r>
  <r>
    <x v="1"/>
    <x v="7"/>
    <x v="2"/>
    <x v="7"/>
    <x v="0"/>
    <n v="139.69999999999999"/>
  </r>
  <r>
    <x v="1"/>
    <x v="7"/>
    <x v="2"/>
    <x v="8"/>
    <x v="0"/>
    <n v="114.4"/>
  </r>
  <r>
    <x v="1"/>
    <x v="7"/>
    <x v="2"/>
    <x v="9"/>
    <x v="0"/>
    <n v="151.5"/>
  </r>
  <r>
    <x v="1"/>
    <x v="7"/>
    <x v="2"/>
    <x v="10"/>
    <x v="0"/>
    <n v="131.9"/>
  </r>
  <r>
    <x v="1"/>
    <x v="7"/>
    <x v="2"/>
    <x v="11"/>
    <x v="0"/>
    <n v="159.1"/>
  </r>
  <r>
    <x v="1"/>
    <x v="7"/>
    <x v="2"/>
    <x v="12"/>
    <x v="0"/>
    <n v="150.1"/>
  </r>
  <r>
    <x v="1"/>
    <x v="7"/>
    <x v="2"/>
    <x v="13"/>
    <x v="1"/>
    <n v="173.3"/>
  </r>
  <r>
    <x v="1"/>
    <x v="7"/>
    <x v="2"/>
    <x v="14"/>
    <x v="2"/>
    <n v="147.69999999999999"/>
  </r>
  <r>
    <x v="1"/>
    <x v="7"/>
    <x v="2"/>
    <x v="15"/>
    <x v="2"/>
    <n v="133.80000000000001"/>
  </r>
  <r>
    <x v="1"/>
    <x v="7"/>
    <x v="2"/>
    <x v="16"/>
    <x v="2"/>
    <n v="145.6"/>
  </r>
  <r>
    <x v="1"/>
    <x v="7"/>
    <x v="2"/>
    <x v="17"/>
    <x v="3"/>
    <n v="154.5"/>
  </r>
  <r>
    <x v="1"/>
    <x v="7"/>
    <x v="2"/>
    <x v="18"/>
    <x v="4"/>
    <n v="141.4"/>
  </r>
  <r>
    <x v="1"/>
    <x v="7"/>
    <x v="2"/>
    <x v="19"/>
    <x v="5"/>
    <n v="140.80000000000001"/>
  </r>
  <r>
    <x v="1"/>
    <x v="7"/>
    <x v="2"/>
    <x v="20"/>
    <x v="6"/>
    <n v="145"/>
  </r>
  <r>
    <x v="1"/>
    <x v="7"/>
    <x v="2"/>
    <x v="21"/>
    <x v="7"/>
    <n v="124.6"/>
  </r>
  <r>
    <x v="1"/>
    <x v="7"/>
    <x v="2"/>
    <x v="22"/>
    <x v="8"/>
    <n v="137.9"/>
  </r>
  <r>
    <x v="1"/>
    <x v="7"/>
    <x v="2"/>
    <x v="23"/>
    <x v="9"/>
    <n v="152.5"/>
  </r>
  <r>
    <x v="1"/>
    <x v="7"/>
    <x v="2"/>
    <x v="24"/>
    <x v="8"/>
    <n v="145.30000000000001"/>
  </r>
  <r>
    <x v="1"/>
    <x v="7"/>
    <x v="2"/>
    <x v="25"/>
    <x v="5"/>
    <n v="138.69999999999999"/>
  </r>
  <r>
    <x v="1"/>
    <x v="7"/>
    <x v="2"/>
    <x v="26"/>
    <x v="10"/>
    <n v="147.30000000000001"/>
  </r>
  <r>
    <x v="2"/>
    <x v="7"/>
    <x v="2"/>
    <x v="0"/>
    <x v="0"/>
    <n v="145.1"/>
  </r>
  <r>
    <x v="2"/>
    <x v="7"/>
    <x v="2"/>
    <x v="1"/>
    <x v="0"/>
    <n v="167"/>
  </r>
  <r>
    <x v="2"/>
    <x v="7"/>
    <x v="2"/>
    <x v="2"/>
    <x v="0"/>
    <n v="148.1"/>
  </r>
  <r>
    <x v="2"/>
    <x v="7"/>
    <x v="2"/>
    <x v="3"/>
    <x v="0"/>
    <n v="151.5"/>
  </r>
  <r>
    <x v="2"/>
    <x v="7"/>
    <x v="2"/>
    <x v="4"/>
    <x v="0"/>
    <n v="131.19999999999999"/>
  </r>
  <r>
    <x v="2"/>
    <x v="7"/>
    <x v="2"/>
    <x v="5"/>
    <x v="0"/>
    <n v="142.5"/>
  </r>
  <r>
    <x v="2"/>
    <x v="7"/>
    <x v="2"/>
    <x v="6"/>
    <x v="0"/>
    <n v="157.30000000000001"/>
  </r>
  <r>
    <x v="2"/>
    <x v="7"/>
    <x v="2"/>
    <x v="7"/>
    <x v="0"/>
    <n v="141.1"/>
  </r>
  <r>
    <x v="2"/>
    <x v="7"/>
    <x v="2"/>
    <x v="8"/>
    <x v="0"/>
    <n v="113.2"/>
  </r>
  <r>
    <x v="2"/>
    <x v="7"/>
    <x v="2"/>
    <x v="9"/>
    <x v="0"/>
    <n v="153.19999999999999"/>
  </r>
  <r>
    <x v="2"/>
    <x v="7"/>
    <x v="2"/>
    <x v="10"/>
    <x v="0"/>
    <n v="136.69999999999999"/>
  </r>
  <r>
    <x v="2"/>
    <x v="7"/>
    <x v="2"/>
    <x v="11"/>
    <x v="0"/>
    <n v="159.6"/>
  </r>
  <r>
    <x v="2"/>
    <x v="7"/>
    <x v="2"/>
    <x v="12"/>
    <x v="0"/>
    <n v="148.9"/>
  </r>
  <r>
    <x v="2"/>
    <x v="7"/>
    <x v="2"/>
    <x v="13"/>
    <x v="1"/>
    <n v="171.2"/>
  </r>
  <r>
    <x v="2"/>
    <x v="7"/>
    <x v="2"/>
    <x v="14"/>
    <x v="2"/>
    <n v="151.19999999999999"/>
  </r>
  <r>
    <x v="2"/>
    <x v="7"/>
    <x v="2"/>
    <x v="15"/>
    <x v="2"/>
    <n v="141.9"/>
  </r>
  <r>
    <x v="2"/>
    <x v="7"/>
    <x v="2"/>
    <x v="16"/>
    <x v="2"/>
    <n v="149.80000000000001"/>
  </r>
  <r>
    <x v="2"/>
    <x v="7"/>
    <x v="2"/>
    <x v="17"/>
    <x v="3"/>
    <n v="154.5"/>
  </r>
  <r>
    <x v="2"/>
    <x v="7"/>
    <x v="2"/>
    <x v="18"/>
    <x v="4"/>
    <n v="148.9"/>
  </r>
  <r>
    <x v="2"/>
    <x v="7"/>
    <x v="2"/>
    <x v="19"/>
    <x v="5"/>
    <n v="146.4"/>
  </r>
  <r>
    <x v="2"/>
    <x v="7"/>
    <x v="2"/>
    <x v="20"/>
    <x v="6"/>
    <n v="152.30000000000001"/>
  </r>
  <r>
    <x v="2"/>
    <x v="7"/>
    <x v="2"/>
    <x v="21"/>
    <x v="7"/>
    <n v="129.9"/>
  </r>
  <r>
    <x v="2"/>
    <x v="7"/>
    <x v="2"/>
    <x v="22"/>
    <x v="8"/>
    <n v="143.69999999999999"/>
  </r>
  <r>
    <x v="2"/>
    <x v="7"/>
    <x v="2"/>
    <x v="23"/>
    <x v="9"/>
    <n v="156.1"/>
  </r>
  <r>
    <x v="2"/>
    <x v="7"/>
    <x v="2"/>
    <x v="24"/>
    <x v="8"/>
    <n v="145.19999999999999"/>
  </r>
  <r>
    <x v="2"/>
    <x v="7"/>
    <x v="2"/>
    <x v="25"/>
    <x v="5"/>
    <n v="143.80000000000001"/>
  </r>
  <r>
    <x v="2"/>
    <x v="7"/>
    <x v="2"/>
    <x v="26"/>
    <x v="10"/>
    <n v="148.6"/>
  </r>
  <r>
    <x v="0"/>
    <x v="7"/>
    <x v="3"/>
    <x v="0"/>
    <x v="0"/>
    <n v="147.19999999999999"/>
  </r>
  <r>
    <x v="0"/>
    <x v="7"/>
    <x v="3"/>
    <x v="1"/>
    <x v="0"/>
    <m/>
  </r>
  <r>
    <x v="0"/>
    <x v="7"/>
    <x v="3"/>
    <x v="2"/>
    <x v="0"/>
    <n v="146.9"/>
  </r>
  <r>
    <x v="0"/>
    <x v="7"/>
    <x v="3"/>
    <x v="3"/>
    <x v="0"/>
    <n v="155.6"/>
  </r>
  <r>
    <x v="0"/>
    <x v="7"/>
    <x v="3"/>
    <x v="4"/>
    <x v="0"/>
    <n v="137.1"/>
  </r>
  <r>
    <x v="0"/>
    <x v="7"/>
    <x v="3"/>
    <x v="5"/>
    <x v="0"/>
    <n v="147.30000000000001"/>
  </r>
  <r>
    <x v="0"/>
    <x v="7"/>
    <x v="3"/>
    <x v="6"/>
    <x v="0"/>
    <n v="162.69999999999999"/>
  </r>
  <r>
    <x v="0"/>
    <x v="7"/>
    <x v="3"/>
    <x v="7"/>
    <x v="0"/>
    <n v="150.19999999999999"/>
  </r>
  <r>
    <x v="0"/>
    <x v="7"/>
    <x v="3"/>
    <x v="8"/>
    <x v="0"/>
    <n v="119.8"/>
  </r>
  <r>
    <x v="0"/>
    <x v="7"/>
    <x v="3"/>
    <x v="9"/>
    <x v="0"/>
    <n v="158.69999999999999"/>
  </r>
  <r>
    <x v="0"/>
    <x v="7"/>
    <x v="3"/>
    <x v="10"/>
    <x v="0"/>
    <n v="139.19999999999999"/>
  </r>
  <r>
    <x v="0"/>
    <x v="7"/>
    <x v="3"/>
    <x v="11"/>
    <x v="0"/>
    <m/>
  </r>
  <r>
    <x v="0"/>
    <x v="7"/>
    <x v="3"/>
    <x v="12"/>
    <x v="0"/>
    <n v="150.1"/>
  </r>
  <r>
    <x v="0"/>
    <x v="7"/>
    <x v="3"/>
    <x v="13"/>
    <x v="1"/>
    <m/>
  </r>
  <r>
    <x v="0"/>
    <x v="7"/>
    <x v="3"/>
    <x v="14"/>
    <x v="2"/>
    <m/>
  </r>
  <r>
    <x v="0"/>
    <x v="7"/>
    <x v="3"/>
    <x v="15"/>
    <x v="2"/>
    <m/>
  </r>
  <r>
    <x v="0"/>
    <x v="7"/>
    <x v="3"/>
    <x v="16"/>
    <x v="2"/>
    <m/>
  </r>
  <r>
    <x v="0"/>
    <x v="7"/>
    <x v="3"/>
    <x v="17"/>
    <x v="3"/>
    <s v="NA"/>
  </r>
  <r>
    <x v="0"/>
    <x v="7"/>
    <x v="3"/>
    <x v="18"/>
    <x v="4"/>
    <n v="148.4"/>
  </r>
  <r>
    <x v="0"/>
    <x v="7"/>
    <x v="3"/>
    <x v="19"/>
    <x v="5"/>
    <m/>
  </r>
  <r>
    <x v="0"/>
    <x v="7"/>
    <x v="3"/>
    <x v="20"/>
    <x v="6"/>
    <n v="154.30000000000001"/>
  </r>
  <r>
    <x v="0"/>
    <x v="7"/>
    <x v="3"/>
    <x v="21"/>
    <x v="7"/>
    <m/>
  </r>
  <r>
    <x v="0"/>
    <x v="7"/>
    <x v="3"/>
    <x v="22"/>
    <x v="8"/>
    <m/>
  </r>
  <r>
    <x v="0"/>
    <x v="7"/>
    <x v="3"/>
    <x v="23"/>
    <x v="9"/>
    <m/>
  </r>
  <r>
    <x v="0"/>
    <x v="7"/>
    <x v="3"/>
    <x v="24"/>
    <x v="8"/>
    <m/>
  </r>
  <r>
    <x v="0"/>
    <x v="7"/>
    <x v="3"/>
    <x v="25"/>
    <x v="5"/>
    <m/>
  </r>
  <r>
    <x v="0"/>
    <x v="7"/>
    <x v="3"/>
    <x v="26"/>
    <x v="10"/>
    <m/>
  </r>
  <r>
    <x v="1"/>
    <x v="7"/>
    <x v="3"/>
    <x v="0"/>
    <x v="0"/>
    <n v="151.80000000000001"/>
  </r>
  <r>
    <x v="1"/>
    <x v="7"/>
    <x v="3"/>
    <x v="1"/>
    <x v="0"/>
    <m/>
  </r>
  <r>
    <x v="1"/>
    <x v="7"/>
    <x v="3"/>
    <x v="2"/>
    <x v="0"/>
    <n v="151.9"/>
  </r>
  <r>
    <x v="1"/>
    <x v="7"/>
    <x v="3"/>
    <x v="3"/>
    <x v="0"/>
    <n v="155.5"/>
  </r>
  <r>
    <x v="1"/>
    <x v="7"/>
    <x v="3"/>
    <x v="4"/>
    <x v="0"/>
    <n v="131.6"/>
  </r>
  <r>
    <x v="1"/>
    <x v="7"/>
    <x v="3"/>
    <x v="5"/>
    <x v="0"/>
    <n v="152.9"/>
  </r>
  <r>
    <x v="1"/>
    <x v="7"/>
    <x v="3"/>
    <x v="6"/>
    <x v="0"/>
    <n v="180"/>
  </r>
  <r>
    <x v="1"/>
    <x v="7"/>
    <x v="3"/>
    <x v="7"/>
    <x v="0"/>
    <n v="150.80000000000001"/>
  </r>
  <r>
    <x v="1"/>
    <x v="7"/>
    <x v="3"/>
    <x v="8"/>
    <x v="0"/>
    <n v="121.2"/>
  </r>
  <r>
    <x v="1"/>
    <x v="7"/>
    <x v="3"/>
    <x v="9"/>
    <x v="0"/>
    <n v="154"/>
  </r>
  <r>
    <x v="1"/>
    <x v="7"/>
    <x v="3"/>
    <x v="10"/>
    <x v="0"/>
    <n v="133.5"/>
  </r>
  <r>
    <x v="1"/>
    <x v="7"/>
    <x v="3"/>
    <x v="11"/>
    <x v="0"/>
    <m/>
  </r>
  <r>
    <x v="1"/>
    <x v="7"/>
    <x v="3"/>
    <x v="12"/>
    <x v="0"/>
    <n v="153.5"/>
  </r>
  <r>
    <x v="1"/>
    <x v="7"/>
    <x v="3"/>
    <x v="13"/>
    <x v="1"/>
    <m/>
  </r>
  <r>
    <x v="1"/>
    <x v="7"/>
    <x v="3"/>
    <x v="14"/>
    <x v="2"/>
    <m/>
  </r>
  <r>
    <x v="1"/>
    <x v="7"/>
    <x v="3"/>
    <x v="15"/>
    <x v="2"/>
    <m/>
  </r>
  <r>
    <x v="1"/>
    <x v="7"/>
    <x v="3"/>
    <x v="16"/>
    <x v="2"/>
    <m/>
  </r>
  <r>
    <x v="1"/>
    <x v="7"/>
    <x v="3"/>
    <x v="17"/>
    <x v="3"/>
    <n v="155.6"/>
  </r>
  <r>
    <x v="1"/>
    <x v="7"/>
    <x v="3"/>
    <x v="18"/>
    <x v="4"/>
    <n v="137.1"/>
  </r>
  <r>
    <x v="1"/>
    <x v="7"/>
    <x v="3"/>
    <x v="19"/>
    <x v="5"/>
    <m/>
  </r>
  <r>
    <x v="1"/>
    <x v="7"/>
    <x v="3"/>
    <x v="20"/>
    <x v="6"/>
    <n v="144.80000000000001"/>
  </r>
  <r>
    <x v="1"/>
    <x v="7"/>
    <x v="3"/>
    <x v="21"/>
    <x v="7"/>
    <m/>
  </r>
  <r>
    <x v="1"/>
    <x v="7"/>
    <x v="3"/>
    <x v="22"/>
    <x v="8"/>
    <m/>
  </r>
  <r>
    <x v="1"/>
    <x v="7"/>
    <x v="3"/>
    <x v="23"/>
    <x v="9"/>
    <m/>
  </r>
  <r>
    <x v="1"/>
    <x v="7"/>
    <x v="3"/>
    <x v="24"/>
    <x v="8"/>
    <m/>
  </r>
  <r>
    <x v="1"/>
    <x v="7"/>
    <x v="3"/>
    <x v="25"/>
    <x v="5"/>
    <m/>
  </r>
  <r>
    <x v="1"/>
    <x v="7"/>
    <x v="3"/>
    <x v="26"/>
    <x v="10"/>
    <m/>
  </r>
  <r>
    <x v="2"/>
    <x v="7"/>
    <x v="3"/>
    <x v="0"/>
    <x v="0"/>
    <n v="148.69999999999999"/>
  </r>
  <r>
    <x v="2"/>
    <x v="7"/>
    <x v="3"/>
    <x v="1"/>
    <x v="0"/>
    <m/>
  </r>
  <r>
    <x v="2"/>
    <x v="7"/>
    <x v="3"/>
    <x v="2"/>
    <x v="0"/>
    <n v="148.80000000000001"/>
  </r>
  <r>
    <x v="2"/>
    <x v="7"/>
    <x v="3"/>
    <x v="3"/>
    <x v="0"/>
    <n v="155.6"/>
  </r>
  <r>
    <x v="2"/>
    <x v="7"/>
    <x v="3"/>
    <x v="4"/>
    <x v="0"/>
    <n v="135.1"/>
  </r>
  <r>
    <x v="2"/>
    <x v="7"/>
    <x v="3"/>
    <x v="5"/>
    <x v="0"/>
    <n v="149.9"/>
  </r>
  <r>
    <x v="2"/>
    <x v="7"/>
    <x v="3"/>
    <x v="6"/>
    <x v="0"/>
    <n v="168.6"/>
  </r>
  <r>
    <x v="2"/>
    <x v="7"/>
    <x v="3"/>
    <x v="7"/>
    <x v="0"/>
    <n v="150.4"/>
  </r>
  <r>
    <x v="2"/>
    <x v="7"/>
    <x v="3"/>
    <x v="8"/>
    <x v="0"/>
    <n v="120.3"/>
  </r>
  <r>
    <x v="2"/>
    <x v="7"/>
    <x v="3"/>
    <x v="9"/>
    <x v="0"/>
    <n v="157.1"/>
  </r>
  <r>
    <x v="2"/>
    <x v="7"/>
    <x v="3"/>
    <x v="10"/>
    <x v="0"/>
    <n v="136.80000000000001"/>
  </r>
  <r>
    <x v="2"/>
    <x v="7"/>
    <x v="3"/>
    <x v="11"/>
    <x v="0"/>
    <m/>
  </r>
  <r>
    <x v="2"/>
    <x v="7"/>
    <x v="3"/>
    <x v="12"/>
    <x v="0"/>
    <n v="151.4"/>
  </r>
  <r>
    <x v="2"/>
    <x v="7"/>
    <x v="3"/>
    <x v="13"/>
    <x v="1"/>
    <m/>
  </r>
  <r>
    <x v="2"/>
    <x v="7"/>
    <x v="3"/>
    <x v="14"/>
    <x v="2"/>
    <m/>
  </r>
  <r>
    <x v="2"/>
    <x v="7"/>
    <x v="3"/>
    <x v="15"/>
    <x v="2"/>
    <m/>
  </r>
  <r>
    <x v="2"/>
    <x v="7"/>
    <x v="3"/>
    <x v="16"/>
    <x v="2"/>
    <m/>
  </r>
  <r>
    <x v="2"/>
    <x v="7"/>
    <x v="3"/>
    <x v="17"/>
    <x v="3"/>
    <n v="155.6"/>
  </r>
  <r>
    <x v="2"/>
    <x v="7"/>
    <x v="3"/>
    <x v="18"/>
    <x v="4"/>
    <n v="144.1"/>
  </r>
  <r>
    <x v="2"/>
    <x v="7"/>
    <x v="3"/>
    <x v="19"/>
    <x v="5"/>
    <m/>
  </r>
  <r>
    <x v="2"/>
    <x v="7"/>
    <x v="3"/>
    <x v="20"/>
    <x v="6"/>
    <n v="150.69999999999999"/>
  </r>
  <r>
    <x v="2"/>
    <x v="7"/>
    <x v="3"/>
    <x v="21"/>
    <x v="7"/>
    <m/>
  </r>
  <r>
    <x v="2"/>
    <x v="7"/>
    <x v="3"/>
    <x v="22"/>
    <x v="8"/>
    <m/>
  </r>
  <r>
    <x v="2"/>
    <x v="7"/>
    <x v="3"/>
    <x v="23"/>
    <x v="9"/>
    <m/>
  </r>
  <r>
    <x v="2"/>
    <x v="7"/>
    <x v="3"/>
    <x v="24"/>
    <x v="8"/>
    <m/>
  </r>
  <r>
    <x v="2"/>
    <x v="7"/>
    <x v="3"/>
    <x v="25"/>
    <x v="5"/>
    <m/>
  </r>
  <r>
    <x v="2"/>
    <x v="7"/>
    <x v="3"/>
    <x v="26"/>
    <x v="10"/>
    <m/>
  </r>
  <r>
    <x v="0"/>
    <x v="7"/>
    <x v="4"/>
    <x v="0"/>
    <x v="0"/>
    <m/>
  </r>
  <r>
    <x v="0"/>
    <x v="7"/>
    <x v="4"/>
    <x v="1"/>
    <x v="0"/>
    <m/>
  </r>
  <r>
    <x v="0"/>
    <x v="7"/>
    <x v="4"/>
    <x v="2"/>
    <x v="0"/>
    <m/>
  </r>
  <r>
    <x v="0"/>
    <x v="7"/>
    <x v="4"/>
    <x v="3"/>
    <x v="0"/>
    <m/>
  </r>
  <r>
    <x v="0"/>
    <x v="7"/>
    <x v="4"/>
    <x v="4"/>
    <x v="0"/>
    <m/>
  </r>
  <r>
    <x v="0"/>
    <x v="7"/>
    <x v="4"/>
    <x v="5"/>
    <x v="0"/>
    <m/>
  </r>
  <r>
    <x v="0"/>
    <x v="7"/>
    <x v="4"/>
    <x v="6"/>
    <x v="0"/>
    <m/>
  </r>
  <r>
    <x v="0"/>
    <x v="7"/>
    <x v="4"/>
    <x v="7"/>
    <x v="0"/>
    <m/>
  </r>
  <r>
    <x v="0"/>
    <x v="7"/>
    <x v="4"/>
    <x v="8"/>
    <x v="0"/>
    <m/>
  </r>
  <r>
    <x v="0"/>
    <x v="7"/>
    <x v="4"/>
    <x v="9"/>
    <x v="0"/>
    <m/>
  </r>
  <r>
    <x v="0"/>
    <x v="7"/>
    <x v="4"/>
    <x v="10"/>
    <x v="0"/>
    <m/>
  </r>
  <r>
    <x v="0"/>
    <x v="7"/>
    <x v="4"/>
    <x v="11"/>
    <x v="0"/>
    <m/>
  </r>
  <r>
    <x v="0"/>
    <x v="7"/>
    <x v="4"/>
    <x v="12"/>
    <x v="0"/>
    <m/>
  </r>
  <r>
    <x v="0"/>
    <x v="7"/>
    <x v="4"/>
    <x v="13"/>
    <x v="1"/>
    <m/>
  </r>
  <r>
    <x v="0"/>
    <x v="7"/>
    <x v="4"/>
    <x v="14"/>
    <x v="2"/>
    <m/>
  </r>
  <r>
    <x v="0"/>
    <x v="7"/>
    <x v="4"/>
    <x v="15"/>
    <x v="2"/>
    <m/>
  </r>
  <r>
    <x v="0"/>
    <x v="7"/>
    <x v="4"/>
    <x v="16"/>
    <x v="2"/>
    <m/>
  </r>
  <r>
    <x v="0"/>
    <x v="7"/>
    <x v="4"/>
    <x v="17"/>
    <x v="3"/>
    <s v="NA"/>
  </r>
  <r>
    <x v="0"/>
    <x v="7"/>
    <x v="4"/>
    <x v="18"/>
    <x v="4"/>
    <m/>
  </r>
  <r>
    <x v="0"/>
    <x v="7"/>
    <x v="4"/>
    <x v="19"/>
    <x v="5"/>
    <m/>
  </r>
  <r>
    <x v="0"/>
    <x v="7"/>
    <x v="4"/>
    <x v="20"/>
    <x v="6"/>
    <m/>
  </r>
  <r>
    <x v="0"/>
    <x v="7"/>
    <x v="4"/>
    <x v="21"/>
    <x v="7"/>
    <m/>
  </r>
  <r>
    <x v="0"/>
    <x v="7"/>
    <x v="4"/>
    <x v="22"/>
    <x v="8"/>
    <m/>
  </r>
  <r>
    <x v="0"/>
    <x v="7"/>
    <x v="4"/>
    <x v="23"/>
    <x v="9"/>
    <m/>
  </r>
  <r>
    <x v="0"/>
    <x v="7"/>
    <x v="4"/>
    <x v="24"/>
    <x v="8"/>
    <m/>
  </r>
  <r>
    <x v="0"/>
    <x v="7"/>
    <x v="4"/>
    <x v="25"/>
    <x v="5"/>
    <m/>
  </r>
  <r>
    <x v="0"/>
    <x v="7"/>
    <x v="4"/>
    <x v="26"/>
    <x v="10"/>
    <m/>
  </r>
  <r>
    <x v="1"/>
    <x v="7"/>
    <x v="4"/>
    <x v="0"/>
    <x v="0"/>
    <m/>
  </r>
  <r>
    <x v="1"/>
    <x v="7"/>
    <x v="4"/>
    <x v="1"/>
    <x v="0"/>
    <m/>
  </r>
  <r>
    <x v="1"/>
    <x v="7"/>
    <x v="4"/>
    <x v="2"/>
    <x v="0"/>
    <m/>
  </r>
  <r>
    <x v="1"/>
    <x v="7"/>
    <x v="4"/>
    <x v="3"/>
    <x v="0"/>
    <m/>
  </r>
  <r>
    <x v="1"/>
    <x v="7"/>
    <x v="4"/>
    <x v="4"/>
    <x v="0"/>
    <m/>
  </r>
  <r>
    <x v="1"/>
    <x v="7"/>
    <x v="4"/>
    <x v="5"/>
    <x v="0"/>
    <m/>
  </r>
  <r>
    <x v="1"/>
    <x v="7"/>
    <x v="4"/>
    <x v="6"/>
    <x v="0"/>
    <m/>
  </r>
  <r>
    <x v="1"/>
    <x v="7"/>
    <x v="4"/>
    <x v="7"/>
    <x v="0"/>
    <m/>
  </r>
  <r>
    <x v="1"/>
    <x v="7"/>
    <x v="4"/>
    <x v="8"/>
    <x v="0"/>
    <m/>
  </r>
  <r>
    <x v="1"/>
    <x v="7"/>
    <x v="4"/>
    <x v="9"/>
    <x v="0"/>
    <m/>
  </r>
  <r>
    <x v="1"/>
    <x v="7"/>
    <x v="4"/>
    <x v="10"/>
    <x v="0"/>
    <m/>
  </r>
  <r>
    <x v="1"/>
    <x v="7"/>
    <x v="4"/>
    <x v="11"/>
    <x v="0"/>
    <m/>
  </r>
  <r>
    <x v="1"/>
    <x v="7"/>
    <x v="4"/>
    <x v="12"/>
    <x v="0"/>
    <m/>
  </r>
  <r>
    <x v="1"/>
    <x v="7"/>
    <x v="4"/>
    <x v="13"/>
    <x v="1"/>
    <m/>
  </r>
  <r>
    <x v="1"/>
    <x v="7"/>
    <x v="4"/>
    <x v="14"/>
    <x v="2"/>
    <m/>
  </r>
  <r>
    <x v="1"/>
    <x v="7"/>
    <x v="4"/>
    <x v="15"/>
    <x v="2"/>
    <m/>
  </r>
  <r>
    <x v="1"/>
    <x v="7"/>
    <x v="4"/>
    <x v="16"/>
    <x v="2"/>
    <m/>
  </r>
  <r>
    <x v="1"/>
    <x v="7"/>
    <x v="4"/>
    <x v="17"/>
    <x v="3"/>
    <s v="NA"/>
  </r>
  <r>
    <x v="1"/>
    <x v="7"/>
    <x v="4"/>
    <x v="18"/>
    <x v="4"/>
    <m/>
  </r>
  <r>
    <x v="1"/>
    <x v="7"/>
    <x v="4"/>
    <x v="19"/>
    <x v="5"/>
    <m/>
  </r>
  <r>
    <x v="1"/>
    <x v="7"/>
    <x v="4"/>
    <x v="20"/>
    <x v="6"/>
    <m/>
  </r>
  <r>
    <x v="1"/>
    <x v="7"/>
    <x v="4"/>
    <x v="21"/>
    <x v="7"/>
    <m/>
  </r>
  <r>
    <x v="1"/>
    <x v="7"/>
    <x v="4"/>
    <x v="22"/>
    <x v="8"/>
    <m/>
  </r>
  <r>
    <x v="1"/>
    <x v="7"/>
    <x v="4"/>
    <x v="23"/>
    <x v="9"/>
    <m/>
  </r>
  <r>
    <x v="1"/>
    <x v="7"/>
    <x v="4"/>
    <x v="24"/>
    <x v="8"/>
    <m/>
  </r>
  <r>
    <x v="1"/>
    <x v="7"/>
    <x v="4"/>
    <x v="25"/>
    <x v="5"/>
    <m/>
  </r>
  <r>
    <x v="1"/>
    <x v="7"/>
    <x v="4"/>
    <x v="26"/>
    <x v="10"/>
    <m/>
  </r>
  <r>
    <x v="2"/>
    <x v="7"/>
    <x v="4"/>
    <x v="0"/>
    <x v="0"/>
    <m/>
  </r>
  <r>
    <x v="2"/>
    <x v="7"/>
    <x v="4"/>
    <x v="1"/>
    <x v="0"/>
    <m/>
  </r>
  <r>
    <x v="2"/>
    <x v="7"/>
    <x v="4"/>
    <x v="2"/>
    <x v="0"/>
    <m/>
  </r>
  <r>
    <x v="2"/>
    <x v="7"/>
    <x v="4"/>
    <x v="3"/>
    <x v="0"/>
    <m/>
  </r>
  <r>
    <x v="2"/>
    <x v="7"/>
    <x v="4"/>
    <x v="4"/>
    <x v="0"/>
    <m/>
  </r>
  <r>
    <x v="2"/>
    <x v="7"/>
    <x v="4"/>
    <x v="5"/>
    <x v="0"/>
    <m/>
  </r>
  <r>
    <x v="2"/>
    <x v="7"/>
    <x v="4"/>
    <x v="6"/>
    <x v="0"/>
    <m/>
  </r>
  <r>
    <x v="2"/>
    <x v="7"/>
    <x v="4"/>
    <x v="7"/>
    <x v="0"/>
    <m/>
  </r>
  <r>
    <x v="2"/>
    <x v="7"/>
    <x v="4"/>
    <x v="8"/>
    <x v="0"/>
    <m/>
  </r>
  <r>
    <x v="2"/>
    <x v="7"/>
    <x v="4"/>
    <x v="9"/>
    <x v="0"/>
    <m/>
  </r>
  <r>
    <x v="2"/>
    <x v="7"/>
    <x v="4"/>
    <x v="10"/>
    <x v="0"/>
    <m/>
  </r>
  <r>
    <x v="2"/>
    <x v="7"/>
    <x v="4"/>
    <x v="11"/>
    <x v="0"/>
    <m/>
  </r>
  <r>
    <x v="2"/>
    <x v="7"/>
    <x v="4"/>
    <x v="12"/>
    <x v="0"/>
    <m/>
  </r>
  <r>
    <x v="2"/>
    <x v="7"/>
    <x v="4"/>
    <x v="13"/>
    <x v="1"/>
    <m/>
  </r>
  <r>
    <x v="2"/>
    <x v="7"/>
    <x v="4"/>
    <x v="14"/>
    <x v="2"/>
    <m/>
  </r>
  <r>
    <x v="2"/>
    <x v="7"/>
    <x v="4"/>
    <x v="15"/>
    <x v="2"/>
    <m/>
  </r>
  <r>
    <x v="2"/>
    <x v="7"/>
    <x v="4"/>
    <x v="16"/>
    <x v="2"/>
    <m/>
  </r>
  <r>
    <x v="2"/>
    <x v="7"/>
    <x v="4"/>
    <x v="17"/>
    <x v="3"/>
    <s v="NA"/>
  </r>
  <r>
    <x v="2"/>
    <x v="7"/>
    <x v="4"/>
    <x v="18"/>
    <x v="4"/>
    <m/>
  </r>
  <r>
    <x v="2"/>
    <x v="7"/>
    <x v="4"/>
    <x v="19"/>
    <x v="5"/>
    <m/>
  </r>
  <r>
    <x v="2"/>
    <x v="7"/>
    <x v="4"/>
    <x v="20"/>
    <x v="6"/>
    <m/>
  </r>
  <r>
    <x v="2"/>
    <x v="7"/>
    <x v="4"/>
    <x v="21"/>
    <x v="7"/>
    <m/>
  </r>
  <r>
    <x v="2"/>
    <x v="7"/>
    <x v="4"/>
    <x v="22"/>
    <x v="8"/>
    <m/>
  </r>
  <r>
    <x v="2"/>
    <x v="7"/>
    <x v="4"/>
    <x v="23"/>
    <x v="9"/>
    <m/>
  </r>
  <r>
    <x v="2"/>
    <x v="7"/>
    <x v="4"/>
    <x v="24"/>
    <x v="8"/>
    <m/>
  </r>
  <r>
    <x v="2"/>
    <x v="7"/>
    <x v="4"/>
    <x v="25"/>
    <x v="5"/>
    <m/>
  </r>
  <r>
    <x v="2"/>
    <x v="7"/>
    <x v="4"/>
    <x v="26"/>
    <x v="10"/>
    <m/>
  </r>
  <r>
    <x v="0"/>
    <x v="7"/>
    <x v="5"/>
    <x v="0"/>
    <x v="0"/>
    <n v="148.19999999999999"/>
  </r>
  <r>
    <x v="0"/>
    <x v="7"/>
    <x v="5"/>
    <x v="1"/>
    <x v="0"/>
    <n v="190.3"/>
  </r>
  <r>
    <x v="0"/>
    <x v="7"/>
    <x v="5"/>
    <x v="2"/>
    <x v="0"/>
    <n v="149.4"/>
  </r>
  <r>
    <x v="0"/>
    <x v="7"/>
    <x v="5"/>
    <x v="3"/>
    <x v="0"/>
    <n v="153.30000000000001"/>
  </r>
  <r>
    <x v="0"/>
    <x v="7"/>
    <x v="5"/>
    <x v="4"/>
    <x v="0"/>
    <n v="138.19999999999999"/>
  </r>
  <r>
    <x v="0"/>
    <x v="7"/>
    <x v="5"/>
    <x v="5"/>
    <x v="0"/>
    <n v="143.19999999999999"/>
  </r>
  <r>
    <x v="0"/>
    <x v="7"/>
    <x v="5"/>
    <x v="6"/>
    <x v="0"/>
    <n v="148.9"/>
  </r>
  <r>
    <x v="0"/>
    <x v="7"/>
    <x v="5"/>
    <x v="7"/>
    <x v="0"/>
    <n v="150.30000000000001"/>
  </r>
  <r>
    <x v="0"/>
    <x v="7"/>
    <x v="5"/>
    <x v="8"/>
    <x v="0"/>
    <n v="113.2"/>
  </r>
  <r>
    <x v="0"/>
    <x v="7"/>
    <x v="5"/>
    <x v="9"/>
    <x v="0"/>
    <n v="159.80000000000001"/>
  </r>
  <r>
    <x v="0"/>
    <x v="7"/>
    <x v="5"/>
    <x v="10"/>
    <x v="0"/>
    <n v="142.1"/>
  </r>
  <r>
    <x v="0"/>
    <x v="7"/>
    <x v="5"/>
    <x v="11"/>
    <x v="0"/>
    <n v="161.80000000000001"/>
  </r>
  <r>
    <x v="0"/>
    <x v="7"/>
    <x v="5"/>
    <x v="12"/>
    <x v="0"/>
    <n v="152.30000000000001"/>
  </r>
  <r>
    <x v="0"/>
    <x v="7"/>
    <x v="5"/>
    <x v="13"/>
    <x v="1"/>
    <n v="182.4"/>
  </r>
  <r>
    <x v="0"/>
    <x v="7"/>
    <x v="5"/>
    <x v="14"/>
    <x v="2"/>
    <n v="154.69999999999999"/>
  </r>
  <r>
    <x v="0"/>
    <x v="7"/>
    <x v="5"/>
    <x v="15"/>
    <x v="2"/>
    <n v="150"/>
  </r>
  <r>
    <x v="0"/>
    <x v="7"/>
    <x v="5"/>
    <x v="16"/>
    <x v="2"/>
    <n v="154.1"/>
  </r>
  <r>
    <x v="0"/>
    <x v="7"/>
    <x v="5"/>
    <x v="17"/>
    <x v="3"/>
    <s v="NA"/>
  </r>
  <r>
    <x v="0"/>
    <x v="7"/>
    <x v="5"/>
    <x v="18"/>
    <x v="4"/>
    <n v="144.9"/>
  </r>
  <r>
    <x v="0"/>
    <x v="7"/>
    <x v="5"/>
    <x v="19"/>
    <x v="5"/>
    <n v="151.69999999999999"/>
  </r>
  <r>
    <x v="0"/>
    <x v="7"/>
    <x v="5"/>
    <x v="20"/>
    <x v="6"/>
    <n v="158.19999999999999"/>
  </r>
  <r>
    <x v="0"/>
    <x v="7"/>
    <x v="5"/>
    <x v="21"/>
    <x v="7"/>
    <n v="141.4"/>
  </r>
  <r>
    <x v="0"/>
    <x v="7"/>
    <x v="5"/>
    <x v="22"/>
    <x v="8"/>
    <n v="153.19999999999999"/>
  </r>
  <r>
    <x v="0"/>
    <x v="7"/>
    <x v="5"/>
    <x v="23"/>
    <x v="9"/>
    <n v="161.80000000000001"/>
  </r>
  <r>
    <x v="0"/>
    <x v="7"/>
    <x v="5"/>
    <x v="24"/>
    <x v="8"/>
    <n v="151.19999999999999"/>
  </r>
  <r>
    <x v="0"/>
    <x v="7"/>
    <x v="5"/>
    <x v="25"/>
    <x v="5"/>
    <n v="151.69999999999999"/>
  </r>
  <r>
    <x v="0"/>
    <x v="7"/>
    <x v="5"/>
    <x v="26"/>
    <x v="10"/>
    <n v="152.69999999999999"/>
  </r>
  <r>
    <x v="1"/>
    <x v="7"/>
    <x v="5"/>
    <x v="0"/>
    <x v="0"/>
    <n v="152.69999999999999"/>
  </r>
  <r>
    <x v="1"/>
    <x v="7"/>
    <x v="5"/>
    <x v="1"/>
    <x v="0"/>
    <n v="197"/>
  </r>
  <r>
    <x v="1"/>
    <x v="7"/>
    <x v="5"/>
    <x v="2"/>
    <x v="0"/>
    <n v="154.6"/>
  </r>
  <r>
    <x v="1"/>
    <x v="7"/>
    <x v="5"/>
    <x v="3"/>
    <x v="0"/>
    <n v="153.4"/>
  </r>
  <r>
    <x v="1"/>
    <x v="7"/>
    <x v="5"/>
    <x v="4"/>
    <x v="0"/>
    <n v="132.9"/>
  </r>
  <r>
    <x v="1"/>
    <x v="7"/>
    <x v="5"/>
    <x v="5"/>
    <x v="0"/>
    <n v="151.80000000000001"/>
  </r>
  <r>
    <x v="1"/>
    <x v="7"/>
    <x v="5"/>
    <x v="6"/>
    <x v="0"/>
    <n v="171.2"/>
  </r>
  <r>
    <x v="1"/>
    <x v="7"/>
    <x v="5"/>
    <x v="7"/>
    <x v="0"/>
    <n v="152"/>
  </r>
  <r>
    <x v="1"/>
    <x v="7"/>
    <x v="5"/>
    <x v="8"/>
    <x v="0"/>
    <n v="116.3"/>
  </r>
  <r>
    <x v="1"/>
    <x v="7"/>
    <x v="5"/>
    <x v="9"/>
    <x v="0"/>
    <n v="158.80000000000001"/>
  </r>
  <r>
    <x v="1"/>
    <x v="7"/>
    <x v="5"/>
    <x v="10"/>
    <x v="0"/>
    <n v="135.6"/>
  </r>
  <r>
    <x v="1"/>
    <x v="7"/>
    <x v="5"/>
    <x v="11"/>
    <x v="0"/>
    <n v="161.69999999999999"/>
  </r>
  <r>
    <x v="1"/>
    <x v="7"/>
    <x v="5"/>
    <x v="12"/>
    <x v="0"/>
    <n v="157"/>
  </r>
  <r>
    <x v="1"/>
    <x v="7"/>
    <x v="5"/>
    <x v="13"/>
    <x v="1"/>
    <n v="186.7"/>
  </r>
  <r>
    <x v="1"/>
    <x v="7"/>
    <x v="5"/>
    <x v="14"/>
    <x v="2"/>
    <n v="149.1"/>
  </r>
  <r>
    <x v="1"/>
    <x v="7"/>
    <x v="5"/>
    <x v="15"/>
    <x v="2"/>
    <n v="136.6"/>
  </r>
  <r>
    <x v="1"/>
    <x v="7"/>
    <x v="5"/>
    <x v="16"/>
    <x v="2"/>
    <n v="147.19999999999999"/>
  </r>
  <r>
    <x v="1"/>
    <x v="7"/>
    <x v="5"/>
    <x v="17"/>
    <x v="3"/>
    <n v="154.69999999999999"/>
  </r>
  <r>
    <x v="1"/>
    <x v="7"/>
    <x v="5"/>
    <x v="18"/>
    <x v="4"/>
    <n v="137.1"/>
  </r>
  <r>
    <x v="1"/>
    <x v="7"/>
    <x v="5"/>
    <x v="19"/>
    <x v="5"/>
    <n v="140.4"/>
  </r>
  <r>
    <x v="1"/>
    <x v="7"/>
    <x v="5"/>
    <x v="20"/>
    <x v="6"/>
    <n v="148.1"/>
  </r>
  <r>
    <x v="1"/>
    <x v="7"/>
    <x v="5"/>
    <x v="21"/>
    <x v="7"/>
    <n v="129.30000000000001"/>
  </r>
  <r>
    <x v="1"/>
    <x v="7"/>
    <x v="5"/>
    <x v="22"/>
    <x v="8"/>
    <n v="144.5"/>
  </r>
  <r>
    <x v="1"/>
    <x v="7"/>
    <x v="5"/>
    <x v="23"/>
    <x v="9"/>
    <n v="152.5"/>
  </r>
  <r>
    <x v="1"/>
    <x v="7"/>
    <x v="5"/>
    <x v="24"/>
    <x v="8"/>
    <n v="152.19999999999999"/>
  </r>
  <r>
    <x v="1"/>
    <x v="7"/>
    <x v="5"/>
    <x v="25"/>
    <x v="5"/>
    <n v="142"/>
  </r>
  <r>
    <x v="1"/>
    <x v="7"/>
    <x v="5"/>
    <x v="26"/>
    <x v="10"/>
    <n v="150.80000000000001"/>
  </r>
  <r>
    <x v="2"/>
    <x v="7"/>
    <x v="5"/>
    <x v="0"/>
    <x v="0"/>
    <n v="149.6"/>
  </r>
  <r>
    <x v="2"/>
    <x v="7"/>
    <x v="5"/>
    <x v="1"/>
    <x v="0"/>
    <n v="192.7"/>
  </r>
  <r>
    <x v="2"/>
    <x v="7"/>
    <x v="5"/>
    <x v="2"/>
    <x v="0"/>
    <n v="151.4"/>
  </r>
  <r>
    <x v="2"/>
    <x v="7"/>
    <x v="5"/>
    <x v="3"/>
    <x v="0"/>
    <n v="153.30000000000001"/>
  </r>
  <r>
    <x v="2"/>
    <x v="7"/>
    <x v="5"/>
    <x v="4"/>
    <x v="0"/>
    <n v="136.30000000000001"/>
  </r>
  <r>
    <x v="2"/>
    <x v="7"/>
    <x v="5"/>
    <x v="5"/>
    <x v="0"/>
    <n v="147.19999999999999"/>
  </r>
  <r>
    <x v="2"/>
    <x v="7"/>
    <x v="5"/>
    <x v="6"/>
    <x v="0"/>
    <n v="156.5"/>
  </r>
  <r>
    <x v="2"/>
    <x v="7"/>
    <x v="5"/>
    <x v="7"/>
    <x v="0"/>
    <n v="150.9"/>
  </r>
  <r>
    <x v="2"/>
    <x v="7"/>
    <x v="5"/>
    <x v="8"/>
    <x v="0"/>
    <n v="114.2"/>
  </r>
  <r>
    <x v="2"/>
    <x v="7"/>
    <x v="5"/>
    <x v="9"/>
    <x v="0"/>
    <n v="159.5"/>
  </r>
  <r>
    <x v="2"/>
    <x v="7"/>
    <x v="5"/>
    <x v="10"/>
    <x v="0"/>
    <n v="139.4"/>
  </r>
  <r>
    <x v="2"/>
    <x v="7"/>
    <x v="5"/>
    <x v="11"/>
    <x v="0"/>
    <n v="161.80000000000001"/>
  </r>
  <r>
    <x v="2"/>
    <x v="7"/>
    <x v="5"/>
    <x v="12"/>
    <x v="0"/>
    <n v="154"/>
  </r>
  <r>
    <x v="2"/>
    <x v="7"/>
    <x v="5"/>
    <x v="13"/>
    <x v="1"/>
    <n v="183.5"/>
  </r>
  <r>
    <x v="2"/>
    <x v="7"/>
    <x v="5"/>
    <x v="14"/>
    <x v="2"/>
    <n v="152.5"/>
  </r>
  <r>
    <x v="2"/>
    <x v="7"/>
    <x v="5"/>
    <x v="15"/>
    <x v="2"/>
    <n v="144.4"/>
  </r>
  <r>
    <x v="2"/>
    <x v="7"/>
    <x v="5"/>
    <x v="16"/>
    <x v="2"/>
    <n v="151.4"/>
  </r>
  <r>
    <x v="2"/>
    <x v="7"/>
    <x v="5"/>
    <x v="17"/>
    <x v="3"/>
    <n v="154.69999999999999"/>
  </r>
  <r>
    <x v="2"/>
    <x v="7"/>
    <x v="5"/>
    <x v="18"/>
    <x v="4"/>
    <n v="141.9"/>
  </r>
  <r>
    <x v="2"/>
    <x v="7"/>
    <x v="5"/>
    <x v="19"/>
    <x v="5"/>
    <n v="146.4"/>
  </r>
  <r>
    <x v="2"/>
    <x v="7"/>
    <x v="5"/>
    <x v="20"/>
    <x v="6"/>
    <n v="154.4"/>
  </r>
  <r>
    <x v="2"/>
    <x v="7"/>
    <x v="5"/>
    <x v="21"/>
    <x v="7"/>
    <n v="135"/>
  </r>
  <r>
    <x v="2"/>
    <x v="7"/>
    <x v="5"/>
    <x v="22"/>
    <x v="8"/>
    <n v="148.30000000000001"/>
  </r>
  <r>
    <x v="2"/>
    <x v="7"/>
    <x v="5"/>
    <x v="23"/>
    <x v="9"/>
    <n v="156.4"/>
  </r>
  <r>
    <x v="2"/>
    <x v="7"/>
    <x v="5"/>
    <x v="24"/>
    <x v="8"/>
    <n v="151.6"/>
  </r>
  <r>
    <x v="2"/>
    <x v="7"/>
    <x v="5"/>
    <x v="25"/>
    <x v="5"/>
    <n v="147"/>
  </r>
  <r>
    <x v="2"/>
    <x v="7"/>
    <x v="5"/>
    <x v="26"/>
    <x v="10"/>
    <n v="151.80000000000001"/>
  </r>
  <r>
    <x v="0"/>
    <x v="7"/>
    <x v="6"/>
    <x v="0"/>
    <x v="0"/>
    <n v="148.19999999999999"/>
  </r>
  <r>
    <x v="0"/>
    <x v="7"/>
    <x v="6"/>
    <x v="1"/>
    <x v="0"/>
    <n v="190.3"/>
  </r>
  <r>
    <x v="0"/>
    <x v="7"/>
    <x v="6"/>
    <x v="2"/>
    <x v="0"/>
    <n v="149.4"/>
  </r>
  <r>
    <x v="0"/>
    <x v="7"/>
    <x v="6"/>
    <x v="3"/>
    <x v="0"/>
    <n v="153.30000000000001"/>
  </r>
  <r>
    <x v="0"/>
    <x v="7"/>
    <x v="6"/>
    <x v="4"/>
    <x v="0"/>
    <n v="138.19999999999999"/>
  </r>
  <r>
    <x v="0"/>
    <x v="7"/>
    <x v="6"/>
    <x v="5"/>
    <x v="0"/>
    <n v="143.19999999999999"/>
  </r>
  <r>
    <x v="0"/>
    <x v="7"/>
    <x v="6"/>
    <x v="6"/>
    <x v="0"/>
    <n v="148.9"/>
  </r>
  <r>
    <x v="0"/>
    <x v="7"/>
    <x v="6"/>
    <x v="7"/>
    <x v="0"/>
    <n v="150.30000000000001"/>
  </r>
  <r>
    <x v="0"/>
    <x v="7"/>
    <x v="6"/>
    <x v="8"/>
    <x v="0"/>
    <n v="113.2"/>
  </r>
  <r>
    <x v="0"/>
    <x v="7"/>
    <x v="6"/>
    <x v="9"/>
    <x v="0"/>
    <n v="159.80000000000001"/>
  </r>
  <r>
    <x v="0"/>
    <x v="7"/>
    <x v="6"/>
    <x v="10"/>
    <x v="0"/>
    <n v="142.1"/>
  </r>
  <r>
    <x v="0"/>
    <x v="7"/>
    <x v="6"/>
    <x v="11"/>
    <x v="0"/>
    <n v="161.80000000000001"/>
  </r>
  <r>
    <x v="0"/>
    <x v="7"/>
    <x v="6"/>
    <x v="12"/>
    <x v="0"/>
    <n v="152.30000000000001"/>
  </r>
  <r>
    <x v="0"/>
    <x v="7"/>
    <x v="6"/>
    <x v="13"/>
    <x v="1"/>
    <n v="182.4"/>
  </r>
  <r>
    <x v="0"/>
    <x v="7"/>
    <x v="6"/>
    <x v="14"/>
    <x v="2"/>
    <n v="154.69999999999999"/>
  </r>
  <r>
    <x v="0"/>
    <x v="7"/>
    <x v="6"/>
    <x v="15"/>
    <x v="2"/>
    <n v="150"/>
  </r>
  <r>
    <x v="0"/>
    <x v="7"/>
    <x v="6"/>
    <x v="16"/>
    <x v="2"/>
    <n v="154.1"/>
  </r>
  <r>
    <x v="0"/>
    <x v="7"/>
    <x v="6"/>
    <x v="17"/>
    <x v="3"/>
    <s v="NA"/>
  </r>
  <r>
    <x v="0"/>
    <x v="7"/>
    <x v="6"/>
    <x v="18"/>
    <x v="4"/>
    <n v="144.9"/>
  </r>
  <r>
    <x v="0"/>
    <x v="7"/>
    <x v="6"/>
    <x v="19"/>
    <x v="5"/>
    <n v="151.69999999999999"/>
  </r>
  <r>
    <x v="0"/>
    <x v="7"/>
    <x v="6"/>
    <x v="20"/>
    <x v="6"/>
    <n v="158.19999999999999"/>
  </r>
  <r>
    <x v="0"/>
    <x v="7"/>
    <x v="6"/>
    <x v="21"/>
    <x v="7"/>
    <n v="141.4"/>
  </r>
  <r>
    <x v="0"/>
    <x v="7"/>
    <x v="6"/>
    <x v="22"/>
    <x v="8"/>
    <n v="153.19999999999999"/>
  </r>
  <r>
    <x v="0"/>
    <x v="7"/>
    <x v="6"/>
    <x v="23"/>
    <x v="9"/>
    <n v="161.80000000000001"/>
  </r>
  <r>
    <x v="0"/>
    <x v="7"/>
    <x v="6"/>
    <x v="24"/>
    <x v="8"/>
    <n v="151.19999999999999"/>
  </r>
  <r>
    <x v="0"/>
    <x v="7"/>
    <x v="6"/>
    <x v="25"/>
    <x v="5"/>
    <n v="151.69999999999999"/>
  </r>
  <r>
    <x v="0"/>
    <x v="7"/>
    <x v="6"/>
    <x v="26"/>
    <x v="10"/>
    <n v="152.69999999999999"/>
  </r>
  <r>
    <x v="1"/>
    <x v="7"/>
    <x v="6"/>
    <x v="0"/>
    <x v="0"/>
    <n v="152.69999999999999"/>
  </r>
  <r>
    <x v="1"/>
    <x v="7"/>
    <x v="6"/>
    <x v="1"/>
    <x v="0"/>
    <n v="197"/>
  </r>
  <r>
    <x v="1"/>
    <x v="7"/>
    <x v="6"/>
    <x v="2"/>
    <x v="0"/>
    <n v="154.6"/>
  </r>
  <r>
    <x v="1"/>
    <x v="7"/>
    <x v="6"/>
    <x v="3"/>
    <x v="0"/>
    <n v="153.4"/>
  </r>
  <r>
    <x v="1"/>
    <x v="7"/>
    <x v="6"/>
    <x v="4"/>
    <x v="0"/>
    <n v="132.9"/>
  </r>
  <r>
    <x v="1"/>
    <x v="7"/>
    <x v="6"/>
    <x v="5"/>
    <x v="0"/>
    <n v="151.80000000000001"/>
  </r>
  <r>
    <x v="1"/>
    <x v="7"/>
    <x v="6"/>
    <x v="6"/>
    <x v="0"/>
    <n v="171.2"/>
  </r>
  <r>
    <x v="1"/>
    <x v="7"/>
    <x v="6"/>
    <x v="7"/>
    <x v="0"/>
    <n v="152"/>
  </r>
  <r>
    <x v="1"/>
    <x v="7"/>
    <x v="6"/>
    <x v="8"/>
    <x v="0"/>
    <n v="116.3"/>
  </r>
  <r>
    <x v="1"/>
    <x v="7"/>
    <x v="6"/>
    <x v="9"/>
    <x v="0"/>
    <n v="158.80000000000001"/>
  </r>
  <r>
    <x v="1"/>
    <x v="7"/>
    <x v="6"/>
    <x v="10"/>
    <x v="0"/>
    <n v="135.6"/>
  </r>
  <r>
    <x v="1"/>
    <x v="7"/>
    <x v="6"/>
    <x v="11"/>
    <x v="0"/>
    <n v="161.69999999999999"/>
  </r>
  <r>
    <x v="1"/>
    <x v="7"/>
    <x v="6"/>
    <x v="12"/>
    <x v="0"/>
    <n v="157"/>
  </r>
  <r>
    <x v="1"/>
    <x v="7"/>
    <x v="6"/>
    <x v="13"/>
    <x v="1"/>
    <n v="186.7"/>
  </r>
  <r>
    <x v="1"/>
    <x v="7"/>
    <x v="6"/>
    <x v="14"/>
    <x v="2"/>
    <n v="149.1"/>
  </r>
  <r>
    <x v="1"/>
    <x v="7"/>
    <x v="6"/>
    <x v="15"/>
    <x v="2"/>
    <n v="136.6"/>
  </r>
  <r>
    <x v="1"/>
    <x v="7"/>
    <x v="6"/>
    <x v="16"/>
    <x v="2"/>
    <n v="147.19999999999999"/>
  </r>
  <r>
    <x v="1"/>
    <x v="7"/>
    <x v="6"/>
    <x v="17"/>
    <x v="3"/>
    <n v="154.69999999999999"/>
  </r>
  <r>
    <x v="1"/>
    <x v="7"/>
    <x v="6"/>
    <x v="18"/>
    <x v="4"/>
    <n v="137.1"/>
  </r>
  <r>
    <x v="1"/>
    <x v="7"/>
    <x v="6"/>
    <x v="19"/>
    <x v="5"/>
    <n v="140.4"/>
  </r>
  <r>
    <x v="1"/>
    <x v="7"/>
    <x v="6"/>
    <x v="20"/>
    <x v="6"/>
    <n v="148.1"/>
  </r>
  <r>
    <x v="1"/>
    <x v="7"/>
    <x v="6"/>
    <x v="21"/>
    <x v="7"/>
    <n v="129.30000000000001"/>
  </r>
  <r>
    <x v="1"/>
    <x v="7"/>
    <x v="6"/>
    <x v="22"/>
    <x v="8"/>
    <n v="144.5"/>
  </r>
  <r>
    <x v="1"/>
    <x v="7"/>
    <x v="6"/>
    <x v="23"/>
    <x v="9"/>
    <n v="152.5"/>
  </r>
  <r>
    <x v="1"/>
    <x v="7"/>
    <x v="6"/>
    <x v="24"/>
    <x v="8"/>
    <n v="152.19999999999999"/>
  </r>
  <r>
    <x v="1"/>
    <x v="7"/>
    <x v="6"/>
    <x v="25"/>
    <x v="5"/>
    <n v="142"/>
  </r>
  <r>
    <x v="1"/>
    <x v="7"/>
    <x v="6"/>
    <x v="26"/>
    <x v="10"/>
    <n v="150.80000000000001"/>
  </r>
  <r>
    <x v="2"/>
    <x v="7"/>
    <x v="6"/>
    <x v="0"/>
    <x v="0"/>
    <n v="149.6"/>
  </r>
  <r>
    <x v="2"/>
    <x v="7"/>
    <x v="6"/>
    <x v="1"/>
    <x v="0"/>
    <n v="192.7"/>
  </r>
  <r>
    <x v="2"/>
    <x v="7"/>
    <x v="6"/>
    <x v="2"/>
    <x v="0"/>
    <n v="151.4"/>
  </r>
  <r>
    <x v="2"/>
    <x v="7"/>
    <x v="6"/>
    <x v="3"/>
    <x v="0"/>
    <n v="153.30000000000001"/>
  </r>
  <r>
    <x v="2"/>
    <x v="7"/>
    <x v="6"/>
    <x v="4"/>
    <x v="0"/>
    <n v="136.30000000000001"/>
  </r>
  <r>
    <x v="2"/>
    <x v="7"/>
    <x v="6"/>
    <x v="5"/>
    <x v="0"/>
    <n v="147.19999999999999"/>
  </r>
  <r>
    <x v="2"/>
    <x v="7"/>
    <x v="6"/>
    <x v="6"/>
    <x v="0"/>
    <n v="156.5"/>
  </r>
  <r>
    <x v="2"/>
    <x v="7"/>
    <x v="6"/>
    <x v="7"/>
    <x v="0"/>
    <n v="150.9"/>
  </r>
  <r>
    <x v="2"/>
    <x v="7"/>
    <x v="6"/>
    <x v="8"/>
    <x v="0"/>
    <n v="114.2"/>
  </r>
  <r>
    <x v="2"/>
    <x v="7"/>
    <x v="6"/>
    <x v="9"/>
    <x v="0"/>
    <n v="159.5"/>
  </r>
  <r>
    <x v="2"/>
    <x v="7"/>
    <x v="6"/>
    <x v="10"/>
    <x v="0"/>
    <n v="139.4"/>
  </r>
  <r>
    <x v="2"/>
    <x v="7"/>
    <x v="6"/>
    <x v="11"/>
    <x v="0"/>
    <n v="161.80000000000001"/>
  </r>
  <r>
    <x v="2"/>
    <x v="7"/>
    <x v="6"/>
    <x v="12"/>
    <x v="0"/>
    <n v="154"/>
  </r>
  <r>
    <x v="2"/>
    <x v="7"/>
    <x v="6"/>
    <x v="13"/>
    <x v="1"/>
    <n v="183.5"/>
  </r>
  <r>
    <x v="2"/>
    <x v="7"/>
    <x v="6"/>
    <x v="14"/>
    <x v="2"/>
    <n v="152.5"/>
  </r>
  <r>
    <x v="2"/>
    <x v="7"/>
    <x v="6"/>
    <x v="15"/>
    <x v="2"/>
    <n v="144.4"/>
  </r>
  <r>
    <x v="2"/>
    <x v="7"/>
    <x v="6"/>
    <x v="16"/>
    <x v="2"/>
    <n v="151.4"/>
  </r>
  <r>
    <x v="2"/>
    <x v="7"/>
    <x v="6"/>
    <x v="17"/>
    <x v="3"/>
    <n v="154.69999999999999"/>
  </r>
  <r>
    <x v="2"/>
    <x v="7"/>
    <x v="6"/>
    <x v="18"/>
    <x v="4"/>
    <n v="141.9"/>
  </r>
  <r>
    <x v="2"/>
    <x v="7"/>
    <x v="6"/>
    <x v="19"/>
    <x v="5"/>
    <n v="146.4"/>
  </r>
  <r>
    <x v="2"/>
    <x v="7"/>
    <x v="6"/>
    <x v="20"/>
    <x v="6"/>
    <n v="154.4"/>
  </r>
  <r>
    <x v="2"/>
    <x v="7"/>
    <x v="6"/>
    <x v="21"/>
    <x v="7"/>
    <n v="135"/>
  </r>
  <r>
    <x v="2"/>
    <x v="7"/>
    <x v="6"/>
    <x v="22"/>
    <x v="8"/>
    <n v="148.30000000000001"/>
  </r>
  <r>
    <x v="2"/>
    <x v="7"/>
    <x v="6"/>
    <x v="23"/>
    <x v="9"/>
    <n v="156.4"/>
  </r>
  <r>
    <x v="2"/>
    <x v="7"/>
    <x v="6"/>
    <x v="24"/>
    <x v="8"/>
    <n v="151.6"/>
  </r>
  <r>
    <x v="2"/>
    <x v="7"/>
    <x v="6"/>
    <x v="25"/>
    <x v="5"/>
    <n v="147"/>
  </r>
  <r>
    <x v="2"/>
    <x v="7"/>
    <x v="6"/>
    <x v="26"/>
    <x v="10"/>
    <n v="151.80000000000001"/>
  </r>
  <r>
    <x v="0"/>
    <x v="7"/>
    <x v="7"/>
    <x v="0"/>
    <x v="0"/>
    <n v="147.6"/>
  </r>
  <r>
    <x v="0"/>
    <x v="7"/>
    <x v="7"/>
    <x v="1"/>
    <x v="0"/>
    <n v="187.2"/>
  </r>
  <r>
    <x v="0"/>
    <x v="7"/>
    <x v="7"/>
    <x v="2"/>
    <x v="0"/>
    <n v="148.4"/>
  </r>
  <r>
    <x v="0"/>
    <x v="7"/>
    <x v="7"/>
    <x v="3"/>
    <x v="0"/>
    <n v="153.30000000000001"/>
  </r>
  <r>
    <x v="0"/>
    <x v="7"/>
    <x v="7"/>
    <x v="4"/>
    <x v="0"/>
    <n v="139.80000000000001"/>
  </r>
  <r>
    <x v="0"/>
    <x v="7"/>
    <x v="7"/>
    <x v="5"/>
    <x v="0"/>
    <n v="146.9"/>
  </r>
  <r>
    <x v="0"/>
    <x v="7"/>
    <x v="7"/>
    <x v="6"/>
    <x v="0"/>
    <n v="171"/>
  </r>
  <r>
    <x v="0"/>
    <x v="7"/>
    <x v="7"/>
    <x v="7"/>
    <x v="0"/>
    <n v="149.9"/>
  </r>
  <r>
    <x v="0"/>
    <x v="7"/>
    <x v="7"/>
    <x v="8"/>
    <x v="0"/>
    <n v="114.2"/>
  </r>
  <r>
    <x v="0"/>
    <x v="7"/>
    <x v="7"/>
    <x v="9"/>
    <x v="0"/>
    <n v="160"/>
  </r>
  <r>
    <x v="0"/>
    <x v="7"/>
    <x v="7"/>
    <x v="10"/>
    <x v="0"/>
    <n v="143.5"/>
  </r>
  <r>
    <x v="0"/>
    <x v="7"/>
    <x v="7"/>
    <x v="11"/>
    <x v="0"/>
    <n v="161.5"/>
  </r>
  <r>
    <x v="0"/>
    <x v="7"/>
    <x v="7"/>
    <x v="12"/>
    <x v="0"/>
    <n v="155.30000000000001"/>
  </r>
  <r>
    <x v="0"/>
    <x v="7"/>
    <x v="7"/>
    <x v="13"/>
    <x v="1"/>
    <n v="180.9"/>
  </r>
  <r>
    <x v="0"/>
    <x v="7"/>
    <x v="7"/>
    <x v="14"/>
    <x v="2"/>
    <n v="155.1"/>
  </r>
  <r>
    <x v="0"/>
    <x v="7"/>
    <x v="7"/>
    <x v="15"/>
    <x v="2"/>
    <n v="149.30000000000001"/>
  </r>
  <r>
    <x v="0"/>
    <x v="7"/>
    <x v="7"/>
    <x v="16"/>
    <x v="2"/>
    <n v="154.30000000000001"/>
  </r>
  <r>
    <x v="0"/>
    <x v="7"/>
    <x v="7"/>
    <x v="17"/>
    <x v="3"/>
    <s v="NA"/>
  </r>
  <r>
    <x v="0"/>
    <x v="7"/>
    <x v="7"/>
    <x v="18"/>
    <x v="4"/>
    <n v="145.80000000000001"/>
  </r>
  <r>
    <x v="0"/>
    <x v="7"/>
    <x v="7"/>
    <x v="19"/>
    <x v="5"/>
    <n v="151.9"/>
  </r>
  <r>
    <x v="0"/>
    <x v="7"/>
    <x v="7"/>
    <x v="20"/>
    <x v="6"/>
    <n v="158.80000000000001"/>
  </r>
  <r>
    <x v="0"/>
    <x v="7"/>
    <x v="7"/>
    <x v="21"/>
    <x v="7"/>
    <n v="143.6"/>
  </r>
  <r>
    <x v="0"/>
    <x v="7"/>
    <x v="7"/>
    <x v="22"/>
    <x v="8"/>
    <n v="152.19999999999999"/>
  </r>
  <r>
    <x v="0"/>
    <x v="7"/>
    <x v="7"/>
    <x v="23"/>
    <x v="9"/>
    <n v="162.69999999999999"/>
  </r>
  <r>
    <x v="0"/>
    <x v="7"/>
    <x v="7"/>
    <x v="24"/>
    <x v="8"/>
    <n v="153.6"/>
  </r>
  <r>
    <x v="0"/>
    <x v="7"/>
    <x v="7"/>
    <x v="25"/>
    <x v="5"/>
    <n v="153"/>
  </r>
  <r>
    <x v="0"/>
    <x v="7"/>
    <x v="7"/>
    <x v="26"/>
    <x v="10"/>
    <n v="154.69999999999999"/>
  </r>
  <r>
    <x v="1"/>
    <x v="7"/>
    <x v="7"/>
    <x v="0"/>
    <x v="0"/>
    <n v="151.6"/>
  </r>
  <r>
    <x v="1"/>
    <x v="7"/>
    <x v="7"/>
    <x v="1"/>
    <x v="0"/>
    <n v="197.8"/>
  </r>
  <r>
    <x v="1"/>
    <x v="7"/>
    <x v="7"/>
    <x v="2"/>
    <x v="0"/>
    <n v="154.5"/>
  </r>
  <r>
    <x v="1"/>
    <x v="7"/>
    <x v="7"/>
    <x v="3"/>
    <x v="0"/>
    <n v="153.4"/>
  </r>
  <r>
    <x v="1"/>
    <x v="7"/>
    <x v="7"/>
    <x v="4"/>
    <x v="0"/>
    <n v="133.4"/>
  </r>
  <r>
    <x v="1"/>
    <x v="7"/>
    <x v="7"/>
    <x v="5"/>
    <x v="0"/>
    <n v="154.5"/>
  </r>
  <r>
    <x v="1"/>
    <x v="7"/>
    <x v="7"/>
    <x v="6"/>
    <x v="0"/>
    <n v="191.9"/>
  </r>
  <r>
    <x v="1"/>
    <x v="7"/>
    <x v="7"/>
    <x v="7"/>
    <x v="0"/>
    <n v="151.30000000000001"/>
  </r>
  <r>
    <x v="1"/>
    <x v="7"/>
    <x v="7"/>
    <x v="8"/>
    <x v="0"/>
    <n v="116.8"/>
  </r>
  <r>
    <x v="1"/>
    <x v="7"/>
    <x v="7"/>
    <x v="9"/>
    <x v="0"/>
    <n v="160"/>
  </r>
  <r>
    <x v="1"/>
    <x v="7"/>
    <x v="7"/>
    <x v="10"/>
    <x v="0"/>
    <n v="136.5"/>
  </r>
  <r>
    <x v="1"/>
    <x v="7"/>
    <x v="7"/>
    <x v="11"/>
    <x v="0"/>
    <n v="163.30000000000001"/>
  </r>
  <r>
    <x v="1"/>
    <x v="7"/>
    <x v="7"/>
    <x v="12"/>
    <x v="0"/>
    <n v="159.9"/>
  </r>
  <r>
    <x v="1"/>
    <x v="7"/>
    <x v="7"/>
    <x v="13"/>
    <x v="1"/>
    <n v="187.2"/>
  </r>
  <r>
    <x v="1"/>
    <x v="7"/>
    <x v="7"/>
    <x v="14"/>
    <x v="2"/>
    <n v="150"/>
  </r>
  <r>
    <x v="1"/>
    <x v="7"/>
    <x v="7"/>
    <x v="15"/>
    <x v="2"/>
    <n v="135.19999999999999"/>
  </r>
  <r>
    <x v="1"/>
    <x v="7"/>
    <x v="7"/>
    <x v="16"/>
    <x v="2"/>
    <n v="147.80000000000001"/>
  </r>
  <r>
    <x v="1"/>
    <x v="7"/>
    <x v="7"/>
    <x v="17"/>
    <x v="3"/>
    <n v="155.5"/>
  </r>
  <r>
    <x v="1"/>
    <x v="7"/>
    <x v="7"/>
    <x v="18"/>
    <x v="4"/>
    <n v="138.30000000000001"/>
  </r>
  <r>
    <x v="1"/>
    <x v="7"/>
    <x v="7"/>
    <x v="19"/>
    <x v="5"/>
    <n v="144.5"/>
  </r>
  <r>
    <x v="1"/>
    <x v="7"/>
    <x v="7"/>
    <x v="20"/>
    <x v="6"/>
    <n v="148.69999999999999"/>
  </r>
  <r>
    <x v="1"/>
    <x v="7"/>
    <x v="7"/>
    <x v="21"/>
    <x v="7"/>
    <n v="133.9"/>
  </r>
  <r>
    <x v="1"/>
    <x v="7"/>
    <x v="7"/>
    <x v="22"/>
    <x v="8"/>
    <n v="141.19999999999999"/>
  </r>
  <r>
    <x v="1"/>
    <x v="7"/>
    <x v="7"/>
    <x v="23"/>
    <x v="9"/>
    <n v="155.5"/>
  </r>
  <r>
    <x v="1"/>
    <x v="7"/>
    <x v="7"/>
    <x v="24"/>
    <x v="8"/>
    <n v="155.19999999999999"/>
  </r>
  <r>
    <x v="1"/>
    <x v="7"/>
    <x v="7"/>
    <x v="25"/>
    <x v="5"/>
    <n v="144.80000000000001"/>
  </r>
  <r>
    <x v="1"/>
    <x v="7"/>
    <x v="7"/>
    <x v="26"/>
    <x v="10"/>
    <n v="152.9"/>
  </r>
  <r>
    <x v="2"/>
    <x v="7"/>
    <x v="7"/>
    <x v="0"/>
    <x v="0"/>
    <n v="148.9"/>
  </r>
  <r>
    <x v="2"/>
    <x v="7"/>
    <x v="7"/>
    <x v="1"/>
    <x v="0"/>
    <n v="190.9"/>
  </r>
  <r>
    <x v="2"/>
    <x v="7"/>
    <x v="7"/>
    <x v="2"/>
    <x v="0"/>
    <n v="150.80000000000001"/>
  </r>
  <r>
    <x v="2"/>
    <x v="7"/>
    <x v="7"/>
    <x v="3"/>
    <x v="0"/>
    <n v="153.30000000000001"/>
  </r>
  <r>
    <x v="2"/>
    <x v="7"/>
    <x v="7"/>
    <x v="4"/>
    <x v="0"/>
    <n v="137.4"/>
  </r>
  <r>
    <x v="2"/>
    <x v="7"/>
    <x v="7"/>
    <x v="5"/>
    <x v="0"/>
    <n v="150.4"/>
  </r>
  <r>
    <x v="2"/>
    <x v="7"/>
    <x v="7"/>
    <x v="6"/>
    <x v="0"/>
    <n v="178.1"/>
  </r>
  <r>
    <x v="2"/>
    <x v="7"/>
    <x v="7"/>
    <x v="7"/>
    <x v="0"/>
    <n v="150.4"/>
  </r>
  <r>
    <x v="2"/>
    <x v="7"/>
    <x v="7"/>
    <x v="8"/>
    <x v="0"/>
    <n v="115.1"/>
  </r>
  <r>
    <x v="2"/>
    <x v="7"/>
    <x v="7"/>
    <x v="9"/>
    <x v="0"/>
    <n v="160"/>
  </r>
  <r>
    <x v="2"/>
    <x v="7"/>
    <x v="7"/>
    <x v="10"/>
    <x v="0"/>
    <n v="140.6"/>
  </r>
  <r>
    <x v="2"/>
    <x v="7"/>
    <x v="7"/>
    <x v="11"/>
    <x v="0"/>
    <n v="162.30000000000001"/>
  </r>
  <r>
    <x v="2"/>
    <x v="7"/>
    <x v="7"/>
    <x v="12"/>
    <x v="0"/>
    <n v="157"/>
  </r>
  <r>
    <x v="2"/>
    <x v="7"/>
    <x v="7"/>
    <x v="13"/>
    <x v="1"/>
    <n v="182.6"/>
  </r>
  <r>
    <x v="2"/>
    <x v="7"/>
    <x v="7"/>
    <x v="14"/>
    <x v="2"/>
    <n v="153.1"/>
  </r>
  <r>
    <x v="2"/>
    <x v="7"/>
    <x v="7"/>
    <x v="15"/>
    <x v="2"/>
    <n v="143.4"/>
  </r>
  <r>
    <x v="2"/>
    <x v="7"/>
    <x v="7"/>
    <x v="16"/>
    <x v="2"/>
    <n v="151.69999999999999"/>
  </r>
  <r>
    <x v="2"/>
    <x v="7"/>
    <x v="7"/>
    <x v="17"/>
    <x v="3"/>
    <n v="155.5"/>
  </r>
  <r>
    <x v="2"/>
    <x v="7"/>
    <x v="7"/>
    <x v="18"/>
    <x v="4"/>
    <n v="143"/>
  </r>
  <r>
    <x v="2"/>
    <x v="7"/>
    <x v="7"/>
    <x v="19"/>
    <x v="5"/>
    <n v="148.4"/>
  </r>
  <r>
    <x v="2"/>
    <x v="7"/>
    <x v="7"/>
    <x v="20"/>
    <x v="6"/>
    <n v="155"/>
  </r>
  <r>
    <x v="2"/>
    <x v="7"/>
    <x v="7"/>
    <x v="21"/>
    <x v="7"/>
    <n v="138.5"/>
  </r>
  <r>
    <x v="2"/>
    <x v="7"/>
    <x v="7"/>
    <x v="22"/>
    <x v="8"/>
    <n v="146"/>
  </r>
  <r>
    <x v="2"/>
    <x v="7"/>
    <x v="7"/>
    <x v="23"/>
    <x v="9"/>
    <n v="158.5"/>
  </r>
  <r>
    <x v="2"/>
    <x v="7"/>
    <x v="7"/>
    <x v="24"/>
    <x v="8"/>
    <n v="154.30000000000001"/>
  </r>
  <r>
    <x v="2"/>
    <x v="7"/>
    <x v="7"/>
    <x v="25"/>
    <x v="5"/>
    <n v="149"/>
  </r>
  <r>
    <x v="2"/>
    <x v="7"/>
    <x v="7"/>
    <x v="26"/>
    <x v="10"/>
    <n v="153.9"/>
  </r>
  <r>
    <x v="0"/>
    <x v="7"/>
    <x v="8"/>
    <x v="0"/>
    <x v="0"/>
    <n v="146.9"/>
  </r>
  <r>
    <x v="0"/>
    <x v="7"/>
    <x v="8"/>
    <x v="1"/>
    <x v="0"/>
    <n v="183.9"/>
  </r>
  <r>
    <x v="0"/>
    <x v="7"/>
    <x v="8"/>
    <x v="2"/>
    <x v="0"/>
    <n v="149.5"/>
  </r>
  <r>
    <x v="0"/>
    <x v="7"/>
    <x v="8"/>
    <x v="3"/>
    <x v="0"/>
    <n v="153.4"/>
  </r>
  <r>
    <x v="0"/>
    <x v="7"/>
    <x v="8"/>
    <x v="4"/>
    <x v="0"/>
    <n v="140.4"/>
  </r>
  <r>
    <x v="0"/>
    <x v="7"/>
    <x v="8"/>
    <x v="5"/>
    <x v="0"/>
    <n v="147"/>
  </r>
  <r>
    <x v="0"/>
    <x v="7"/>
    <x v="8"/>
    <x v="6"/>
    <x v="0"/>
    <n v="178.8"/>
  </r>
  <r>
    <x v="0"/>
    <x v="7"/>
    <x v="8"/>
    <x v="7"/>
    <x v="0"/>
    <n v="149.30000000000001"/>
  </r>
  <r>
    <x v="0"/>
    <x v="7"/>
    <x v="8"/>
    <x v="8"/>
    <x v="0"/>
    <n v="115.1"/>
  </r>
  <r>
    <x v="0"/>
    <x v="7"/>
    <x v="8"/>
    <x v="9"/>
    <x v="0"/>
    <n v="160"/>
  </r>
  <r>
    <x v="0"/>
    <x v="7"/>
    <x v="8"/>
    <x v="10"/>
    <x v="0"/>
    <n v="145.4"/>
  </r>
  <r>
    <x v="0"/>
    <x v="7"/>
    <x v="8"/>
    <x v="11"/>
    <x v="0"/>
    <n v="161.6"/>
  </r>
  <r>
    <x v="0"/>
    <x v="7"/>
    <x v="8"/>
    <x v="12"/>
    <x v="0"/>
    <n v="156.1"/>
  </r>
  <r>
    <x v="0"/>
    <x v="7"/>
    <x v="8"/>
    <x v="13"/>
    <x v="1"/>
    <n v="182.9"/>
  </r>
  <r>
    <x v="0"/>
    <x v="7"/>
    <x v="8"/>
    <x v="14"/>
    <x v="2"/>
    <n v="155.4"/>
  </r>
  <r>
    <x v="0"/>
    <x v="7"/>
    <x v="8"/>
    <x v="15"/>
    <x v="2"/>
    <n v="149.9"/>
  </r>
  <r>
    <x v="0"/>
    <x v="7"/>
    <x v="8"/>
    <x v="16"/>
    <x v="2"/>
    <n v="154.6"/>
  </r>
  <r>
    <x v="0"/>
    <x v="7"/>
    <x v="8"/>
    <x v="17"/>
    <x v="3"/>
    <s v="NA"/>
  </r>
  <r>
    <x v="0"/>
    <x v="7"/>
    <x v="8"/>
    <x v="18"/>
    <x v="4"/>
    <n v="146.4"/>
  </r>
  <r>
    <x v="0"/>
    <x v="7"/>
    <x v="8"/>
    <x v="19"/>
    <x v="5"/>
    <n v="151.6"/>
  </r>
  <r>
    <x v="0"/>
    <x v="7"/>
    <x v="8"/>
    <x v="20"/>
    <x v="6"/>
    <n v="159.1"/>
  </r>
  <r>
    <x v="0"/>
    <x v="7"/>
    <x v="8"/>
    <x v="21"/>
    <x v="7"/>
    <n v="144.6"/>
  </r>
  <r>
    <x v="0"/>
    <x v="7"/>
    <x v="8"/>
    <x v="22"/>
    <x v="8"/>
    <n v="152.80000000000001"/>
  </r>
  <r>
    <x v="0"/>
    <x v="7"/>
    <x v="8"/>
    <x v="23"/>
    <x v="9"/>
    <n v="161.1"/>
  </r>
  <r>
    <x v="0"/>
    <x v="7"/>
    <x v="8"/>
    <x v="24"/>
    <x v="8"/>
    <n v="157.4"/>
  </r>
  <r>
    <x v="0"/>
    <x v="7"/>
    <x v="8"/>
    <x v="25"/>
    <x v="5"/>
    <n v="153.69999999999999"/>
  </r>
  <r>
    <x v="0"/>
    <x v="7"/>
    <x v="8"/>
    <x v="26"/>
    <x v="10"/>
    <n v="155.4"/>
  </r>
  <r>
    <x v="1"/>
    <x v="7"/>
    <x v="8"/>
    <x v="0"/>
    <x v="0"/>
    <n v="151.5"/>
  </r>
  <r>
    <x v="1"/>
    <x v="7"/>
    <x v="8"/>
    <x v="1"/>
    <x v="0"/>
    <n v="193.1"/>
  </r>
  <r>
    <x v="1"/>
    <x v="7"/>
    <x v="8"/>
    <x v="2"/>
    <x v="0"/>
    <n v="157.30000000000001"/>
  </r>
  <r>
    <x v="1"/>
    <x v="7"/>
    <x v="8"/>
    <x v="3"/>
    <x v="0"/>
    <n v="153.9"/>
  </r>
  <r>
    <x v="1"/>
    <x v="7"/>
    <x v="8"/>
    <x v="4"/>
    <x v="0"/>
    <n v="134.4"/>
  </r>
  <r>
    <x v="1"/>
    <x v="7"/>
    <x v="8"/>
    <x v="5"/>
    <x v="0"/>
    <n v="155.4"/>
  </r>
  <r>
    <x v="1"/>
    <x v="7"/>
    <x v="8"/>
    <x v="6"/>
    <x v="0"/>
    <n v="202"/>
  </r>
  <r>
    <x v="1"/>
    <x v="7"/>
    <x v="8"/>
    <x v="7"/>
    <x v="0"/>
    <n v="150.80000000000001"/>
  </r>
  <r>
    <x v="1"/>
    <x v="7"/>
    <x v="8"/>
    <x v="8"/>
    <x v="0"/>
    <n v="118.9"/>
  </r>
  <r>
    <x v="1"/>
    <x v="7"/>
    <x v="8"/>
    <x v="9"/>
    <x v="0"/>
    <n v="160.9"/>
  </r>
  <r>
    <x v="1"/>
    <x v="7"/>
    <x v="8"/>
    <x v="10"/>
    <x v="0"/>
    <n v="137.69999999999999"/>
  </r>
  <r>
    <x v="1"/>
    <x v="7"/>
    <x v="8"/>
    <x v="11"/>
    <x v="0"/>
    <n v="164.4"/>
  </r>
  <r>
    <x v="1"/>
    <x v="7"/>
    <x v="8"/>
    <x v="12"/>
    <x v="0"/>
    <n v="161.30000000000001"/>
  </r>
  <r>
    <x v="1"/>
    <x v="7"/>
    <x v="8"/>
    <x v="13"/>
    <x v="1"/>
    <n v="188.7"/>
  </r>
  <r>
    <x v="1"/>
    <x v="7"/>
    <x v="8"/>
    <x v="14"/>
    <x v="2"/>
    <n v="150.19999999999999"/>
  </r>
  <r>
    <x v="1"/>
    <x v="7"/>
    <x v="8"/>
    <x v="15"/>
    <x v="2"/>
    <n v="136.30000000000001"/>
  </r>
  <r>
    <x v="1"/>
    <x v="7"/>
    <x v="8"/>
    <x v="16"/>
    <x v="2"/>
    <n v="148.1"/>
  </r>
  <r>
    <x v="1"/>
    <x v="7"/>
    <x v="8"/>
    <x v="17"/>
    <x v="3"/>
    <n v="156.30000000000001"/>
  </r>
  <r>
    <x v="1"/>
    <x v="7"/>
    <x v="8"/>
    <x v="18"/>
    <x v="4"/>
    <n v="137.19999999999999"/>
  </r>
  <r>
    <x v="1"/>
    <x v="7"/>
    <x v="8"/>
    <x v="19"/>
    <x v="5"/>
    <n v="145.4"/>
  </r>
  <r>
    <x v="1"/>
    <x v="7"/>
    <x v="8"/>
    <x v="20"/>
    <x v="6"/>
    <n v="150"/>
  </r>
  <r>
    <x v="1"/>
    <x v="7"/>
    <x v="8"/>
    <x v="21"/>
    <x v="7"/>
    <n v="135.1"/>
  </r>
  <r>
    <x v="1"/>
    <x v="7"/>
    <x v="8"/>
    <x v="22"/>
    <x v="8"/>
    <n v="141.80000000000001"/>
  </r>
  <r>
    <x v="1"/>
    <x v="7"/>
    <x v="8"/>
    <x v="23"/>
    <x v="9"/>
    <n v="154.9"/>
  </r>
  <r>
    <x v="1"/>
    <x v="7"/>
    <x v="8"/>
    <x v="24"/>
    <x v="8"/>
    <n v="159.80000000000001"/>
  </r>
  <r>
    <x v="1"/>
    <x v="7"/>
    <x v="8"/>
    <x v="25"/>
    <x v="5"/>
    <n v="146"/>
  </r>
  <r>
    <x v="1"/>
    <x v="7"/>
    <x v="8"/>
    <x v="26"/>
    <x v="10"/>
    <n v="154"/>
  </r>
  <r>
    <x v="2"/>
    <x v="7"/>
    <x v="8"/>
    <x v="0"/>
    <x v="0"/>
    <n v="148.4"/>
  </r>
  <r>
    <x v="2"/>
    <x v="7"/>
    <x v="8"/>
    <x v="1"/>
    <x v="0"/>
    <n v="187.1"/>
  </r>
  <r>
    <x v="2"/>
    <x v="7"/>
    <x v="8"/>
    <x v="2"/>
    <x v="0"/>
    <n v="152.5"/>
  </r>
  <r>
    <x v="2"/>
    <x v="7"/>
    <x v="8"/>
    <x v="3"/>
    <x v="0"/>
    <n v="153.6"/>
  </r>
  <r>
    <x v="2"/>
    <x v="7"/>
    <x v="8"/>
    <x v="4"/>
    <x v="0"/>
    <n v="138.19999999999999"/>
  </r>
  <r>
    <x v="2"/>
    <x v="7"/>
    <x v="8"/>
    <x v="5"/>
    <x v="0"/>
    <n v="150.9"/>
  </r>
  <r>
    <x v="2"/>
    <x v="7"/>
    <x v="8"/>
    <x v="6"/>
    <x v="0"/>
    <n v="186.7"/>
  </r>
  <r>
    <x v="2"/>
    <x v="7"/>
    <x v="8"/>
    <x v="7"/>
    <x v="0"/>
    <n v="149.80000000000001"/>
  </r>
  <r>
    <x v="2"/>
    <x v="7"/>
    <x v="8"/>
    <x v="8"/>
    <x v="0"/>
    <n v="116.4"/>
  </r>
  <r>
    <x v="2"/>
    <x v="7"/>
    <x v="8"/>
    <x v="9"/>
    <x v="0"/>
    <n v="160.30000000000001"/>
  </r>
  <r>
    <x v="2"/>
    <x v="7"/>
    <x v="8"/>
    <x v="10"/>
    <x v="0"/>
    <n v="142.19999999999999"/>
  </r>
  <r>
    <x v="2"/>
    <x v="7"/>
    <x v="8"/>
    <x v="11"/>
    <x v="0"/>
    <n v="162.9"/>
  </r>
  <r>
    <x v="2"/>
    <x v="7"/>
    <x v="8"/>
    <x v="12"/>
    <x v="0"/>
    <n v="158"/>
  </r>
  <r>
    <x v="2"/>
    <x v="7"/>
    <x v="8"/>
    <x v="13"/>
    <x v="1"/>
    <n v="184.4"/>
  </r>
  <r>
    <x v="2"/>
    <x v="7"/>
    <x v="8"/>
    <x v="14"/>
    <x v="2"/>
    <n v="153.4"/>
  </r>
  <r>
    <x v="2"/>
    <x v="7"/>
    <x v="8"/>
    <x v="15"/>
    <x v="2"/>
    <n v="144.30000000000001"/>
  </r>
  <r>
    <x v="2"/>
    <x v="7"/>
    <x v="8"/>
    <x v="16"/>
    <x v="2"/>
    <n v="152"/>
  </r>
  <r>
    <x v="2"/>
    <x v="7"/>
    <x v="8"/>
    <x v="17"/>
    <x v="3"/>
    <n v="156.30000000000001"/>
  </r>
  <r>
    <x v="2"/>
    <x v="7"/>
    <x v="8"/>
    <x v="18"/>
    <x v="4"/>
    <n v="142.9"/>
  </r>
  <r>
    <x v="2"/>
    <x v="7"/>
    <x v="8"/>
    <x v="19"/>
    <x v="5"/>
    <n v="148.69999999999999"/>
  </r>
  <r>
    <x v="2"/>
    <x v="7"/>
    <x v="8"/>
    <x v="20"/>
    <x v="6"/>
    <n v="155.6"/>
  </r>
  <r>
    <x v="2"/>
    <x v="7"/>
    <x v="8"/>
    <x v="21"/>
    <x v="7"/>
    <n v="139.6"/>
  </r>
  <r>
    <x v="2"/>
    <x v="7"/>
    <x v="8"/>
    <x v="22"/>
    <x v="8"/>
    <n v="146.6"/>
  </r>
  <r>
    <x v="2"/>
    <x v="7"/>
    <x v="8"/>
    <x v="23"/>
    <x v="9"/>
    <n v="157.5"/>
  </r>
  <r>
    <x v="2"/>
    <x v="7"/>
    <x v="8"/>
    <x v="24"/>
    <x v="8"/>
    <n v="158.4"/>
  </r>
  <r>
    <x v="2"/>
    <x v="7"/>
    <x v="8"/>
    <x v="25"/>
    <x v="5"/>
    <n v="150"/>
  </r>
  <r>
    <x v="2"/>
    <x v="7"/>
    <x v="8"/>
    <x v="26"/>
    <x v="10"/>
    <n v="154.69999999999999"/>
  </r>
  <r>
    <x v="0"/>
    <x v="7"/>
    <x v="9"/>
    <x v="0"/>
    <x v="0"/>
    <n v="146"/>
  </r>
  <r>
    <x v="0"/>
    <x v="7"/>
    <x v="9"/>
    <x v="1"/>
    <x v="0"/>
    <n v="186.3"/>
  </r>
  <r>
    <x v="0"/>
    <x v="7"/>
    <x v="9"/>
    <x v="2"/>
    <x v="0"/>
    <n v="159.19999999999999"/>
  </r>
  <r>
    <x v="0"/>
    <x v="7"/>
    <x v="9"/>
    <x v="3"/>
    <x v="0"/>
    <n v="153.6"/>
  </r>
  <r>
    <x v="0"/>
    <x v="7"/>
    <x v="9"/>
    <x v="4"/>
    <x v="0"/>
    <n v="142.6"/>
  </r>
  <r>
    <x v="0"/>
    <x v="7"/>
    <x v="9"/>
    <x v="5"/>
    <x v="0"/>
    <n v="147.19999999999999"/>
  </r>
  <r>
    <x v="0"/>
    <x v="7"/>
    <x v="9"/>
    <x v="6"/>
    <x v="0"/>
    <n v="200.6"/>
  </r>
  <r>
    <x v="0"/>
    <x v="7"/>
    <x v="9"/>
    <x v="7"/>
    <x v="0"/>
    <n v="150.30000000000001"/>
  </r>
  <r>
    <x v="0"/>
    <x v="7"/>
    <x v="9"/>
    <x v="8"/>
    <x v="0"/>
    <n v="115.3"/>
  </r>
  <r>
    <x v="0"/>
    <x v="7"/>
    <x v="9"/>
    <x v="9"/>
    <x v="0"/>
    <n v="160.9"/>
  </r>
  <r>
    <x v="0"/>
    <x v="7"/>
    <x v="9"/>
    <x v="10"/>
    <x v="0"/>
    <n v="147.4"/>
  </r>
  <r>
    <x v="0"/>
    <x v="7"/>
    <x v="9"/>
    <x v="11"/>
    <x v="0"/>
    <n v="161.9"/>
  </r>
  <r>
    <x v="0"/>
    <x v="7"/>
    <x v="9"/>
    <x v="12"/>
    <x v="0"/>
    <n v="159.6"/>
  </r>
  <r>
    <x v="0"/>
    <x v="7"/>
    <x v="9"/>
    <x v="13"/>
    <x v="1"/>
    <n v="182.7"/>
  </r>
  <r>
    <x v="0"/>
    <x v="7"/>
    <x v="9"/>
    <x v="14"/>
    <x v="2"/>
    <n v="155.69999999999999"/>
  </r>
  <r>
    <x v="0"/>
    <x v="7"/>
    <x v="9"/>
    <x v="15"/>
    <x v="2"/>
    <n v="150.6"/>
  </r>
  <r>
    <x v="0"/>
    <x v="7"/>
    <x v="9"/>
    <x v="16"/>
    <x v="2"/>
    <n v="155"/>
  </r>
  <r>
    <x v="0"/>
    <x v="7"/>
    <x v="9"/>
    <x v="17"/>
    <x v="3"/>
    <s v="NA"/>
  </r>
  <r>
    <x v="0"/>
    <x v="7"/>
    <x v="9"/>
    <x v="18"/>
    <x v="4"/>
    <n v="146.80000000000001"/>
  </r>
  <r>
    <x v="0"/>
    <x v="7"/>
    <x v="9"/>
    <x v="19"/>
    <x v="5"/>
    <n v="152"/>
  </r>
  <r>
    <x v="0"/>
    <x v="7"/>
    <x v="9"/>
    <x v="20"/>
    <x v="6"/>
    <n v="159.5"/>
  </r>
  <r>
    <x v="0"/>
    <x v="7"/>
    <x v="9"/>
    <x v="21"/>
    <x v="7"/>
    <n v="146.4"/>
  </r>
  <r>
    <x v="0"/>
    <x v="7"/>
    <x v="9"/>
    <x v="22"/>
    <x v="8"/>
    <n v="152.4"/>
  </r>
  <r>
    <x v="0"/>
    <x v="7"/>
    <x v="9"/>
    <x v="23"/>
    <x v="9"/>
    <n v="162.5"/>
  </r>
  <r>
    <x v="0"/>
    <x v="7"/>
    <x v="9"/>
    <x v="24"/>
    <x v="8"/>
    <n v="156.19999999999999"/>
  </r>
  <r>
    <x v="0"/>
    <x v="7"/>
    <x v="9"/>
    <x v="25"/>
    <x v="5"/>
    <n v="154.30000000000001"/>
  </r>
  <r>
    <x v="0"/>
    <x v="7"/>
    <x v="9"/>
    <x v="26"/>
    <x v="10"/>
    <n v="157.5"/>
  </r>
  <r>
    <x v="1"/>
    <x v="7"/>
    <x v="9"/>
    <x v="0"/>
    <x v="0"/>
    <n v="150.6"/>
  </r>
  <r>
    <x v="1"/>
    <x v="7"/>
    <x v="9"/>
    <x v="1"/>
    <x v="0"/>
    <n v="193.7"/>
  </r>
  <r>
    <x v="1"/>
    <x v="7"/>
    <x v="9"/>
    <x v="2"/>
    <x v="0"/>
    <n v="164.8"/>
  </r>
  <r>
    <x v="1"/>
    <x v="7"/>
    <x v="9"/>
    <x v="3"/>
    <x v="0"/>
    <n v="153.69999999999999"/>
  </r>
  <r>
    <x v="1"/>
    <x v="7"/>
    <x v="9"/>
    <x v="4"/>
    <x v="0"/>
    <n v="135.69999999999999"/>
  </r>
  <r>
    <x v="1"/>
    <x v="7"/>
    <x v="9"/>
    <x v="5"/>
    <x v="0"/>
    <n v="155.69999999999999"/>
  </r>
  <r>
    <x v="1"/>
    <x v="7"/>
    <x v="9"/>
    <x v="6"/>
    <x v="0"/>
    <n v="226"/>
  </r>
  <r>
    <x v="1"/>
    <x v="7"/>
    <x v="9"/>
    <x v="7"/>
    <x v="0"/>
    <n v="152.19999999999999"/>
  </r>
  <r>
    <x v="1"/>
    <x v="7"/>
    <x v="9"/>
    <x v="8"/>
    <x v="0"/>
    <n v="118.1"/>
  </r>
  <r>
    <x v="1"/>
    <x v="7"/>
    <x v="9"/>
    <x v="9"/>
    <x v="0"/>
    <n v="161.30000000000001"/>
  </r>
  <r>
    <x v="1"/>
    <x v="7"/>
    <x v="9"/>
    <x v="10"/>
    <x v="0"/>
    <n v="139.19999999999999"/>
  </r>
  <r>
    <x v="1"/>
    <x v="7"/>
    <x v="9"/>
    <x v="11"/>
    <x v="0"/>
    <n v="164.8"/>
  </r>
  <r>
    <x v="1"/>
    <x v="7"/>
    <x v="9"/>
    <x v="12"/>
    <x v="0"/>
    <n v="164.4"/>
  </r>
  <r>
    <x v="1"/>
    <x v="7"/>
    <x v="9"/>
    <x v="13"/>
    <x v="1"/>
    <n v="188.7"/>
  </r>
  <r>
    <x v="1"/>
    <x v="7"/>
    <x v="9"/>
    <x v="14"/>
    <x v="2"/>
    <n v="150.5"/>
  </r>
  <r>
    <x v="1"/>
    <x v="7"/>
    <x v="9"/>
    <x v="15"/>
    <x v="2"/>
    <n v="136.1"/>
  </r>
  <r>
    <x v="1"/>
    <x v="7"/>
    <x v="9"/>
    <x v="16"/>
    <x v="2"/>
    <n v="148.30000000000001"/>
  </r>
  <r>
    <x v="1"/>
    <x v="7"/>
    <x v="9"/>
    <x v="17"/>
    <x v="3"/>
    <n v="156.5"/>
  </r>
  <r>
    <x v="1"/>
    <x v="7"/>
    <x v="9"/>
    <x v="18"/>
    <x v="4"/>
    <n v="137.1"/>
  </r>
  <r>
    <x v="1"/>
    <x v="7"/>
    <x v="9"/>
    <x v="19"/>
    <x v="5"/>
    <n v="145.1"/>
  </r>
  <r>
    <x v="1"/>
    <x v="7"/>
    <x v="9"/>
    <x v="20"/>
    <x v="6"/>
    <n v="151"/>
  </r>
  <r>
    <x v="1"/>
    <x v="7"/>
    <x v="9"/>
    <x v="21"/>
    <x v="7"/>
    <n v="135.4"/>
  </r>
  <r>
    <x v="1"/>
    <x v="7"/>
    <x v="9"/>
    <x v="22"/>
    <x v="8"/>
    <n v="142"/>
  </r>
  <r>
    <x v="1"/>
    <x v="7"/>
    <x v="9"/>
    <x v="23"/>
    <x v="9"/>
    <n v="155.69999999999999"/>
  </r>
  <r>
    <x v="1"/>
    <x v="7"/>
    <x v="9"/>
    <x v="24"/>
    <x v="8"/>
    <n v="158.1"/>
  </r>
  <r>
    <x v="1"/>
    <x v="7"/>
    <x v="9"/>
    <x v="25"/>
    <x v="5"/>
    <n v="146.19999999999999"/>
  </r>
  <r>
    <x v="1"/>
    <x v="7"/>
    <x v="9"/>
    <x v="26"/>
    <x v="10"/>
    <n v="155.19999999999999"/>
  </r>
  <r>
    <x v="2"/>
    <x v="7"/>
    <x v="9"/>
    <x v="0"/>
    <x v="0"/>
    <n v="147.5"/>
  </r>
  <r>
    <x v="2"/>
    <x v="7"/>
    <x v="9"/>
    <x v="1"/>
    <x v="0"/>
    <n v="188.9"/>
  </r>
  <r>
    <x v="2"/>
    <x v="7"/>
    <x v="9"/>
    <x v="2"/>
    <x v="0"/>
    <n v="161.4"/>
  </r>
  <r>
    <x v="2"/>
    <x v="7"/>
    <x v="9"/>
    <x v="3"/>
    <x v="0"/>
    <n v="153.6"/>
  </r>
  <r>
    <x v="2"/>
    <x v="7"/>
    <x v="9"/>
    <x v="4"/>
    <x v="0"/>
    <n v="140.1"/>
  </r>
  <r>
    <x v="2"/>
    <x v="7"/>
    <x v="9"/>
    <x v="5"/>
    <x v="0"/>
    <n v="151.19999999999999"/>
  </r>
  <r>
    <x v="2"/>
    <x v="7"/>
    <x v="9"/>
    <x v="6"/>
    <x v="0"/>
    <n v="209.2"/>
  </r>
  <r>
    <x v="2"/>
    <x v="7"/>
    <x v="9"/>
    <x v="7"/>
    <x v="0"/>
    <n v="150.9"/>
  </r>
  <r>
    <x v="2"/>
    <x v="7"/>
    <x v="9"/>
    <x v="8"/>
    <x v="0"/>
    <n v="116.2"/>
  </r>
  <r>
    <x v="2"/>
    <x v="7"/>
    <x v="9"/>
    <x v="9"/>
    <x v="0"/>
    <n v="161"/>
  </r>
  <r>
    <x v="2"/>
    <x v="7"/>
    <x v="9"/>
    <x v="10"/>
    <x v="0"/>
    <n v="144"/>
  </r>
  <r>
    <x v="2"/>
    <x v="7"/>
    <x v="9"/>
    <x v="11"/>
    <x v="0"/>
    <n v="163.19999999999999"/>
  </r>
  <r>
    <x v="2"/>
    <x v="7"/>
    <x v="9"/>
    <x v="12"/>
    <x v="0"/>
    <n v="161.4"/>
  </r>
  <r>
    <x v="2"/>
    <x v="7"/>
    <x v="9"/>
    <x v="13"/>
    <x v="1"/>
    <n v="184.3"/>
  </r>
  <r>
    <x v="2"/>
    <x v="7"/>
    <x v="9"/>
    <x v="14"/>
    <x v="2"/>
    <n v="153.69999999999999"/>
  </r>
  <r>
    <x v="2"/>
    <x v="7"/>
    <x v="9"/>
    <x v="15"/>
    <x v="2"/>
    <n v="144.6"/>
  </r>
  <r>
    <x v="2"/>
    <x v="7"/>
    <x v="9"/>
    <x v="16"/>
    <x v="2"/>
    <n v="152.30000000000001"/>
  </r>
  <r>
    <x v="2"/>
    <x v="7"/>
    <x v="9"/>
    <x v="17"/>
    <x v="3"/>
    <n v="156.5"/>
  </r>
  <r>
    <x v="2"/>
    <x v="7"/>
    <x v="9"/>
    <x v="18"/>
    <x v="4"/>
    <n v="143.1"/>
  </r>
  <r>
    <x v="2"/>
    <x v="7"/>
    <x v="9"/>
    <x v="19"/>
    <x v="5"/>
    <n v="148.69999999999999"/>
  </r>
  <r>
    <x v="2"/>
    <x v="7"/>
    <x v="9"/>
    <x v="20"/>
    <x v="6"/>
    <n v="156.30000000000001"/>
  </r>
  <r>
    <x v="2"/>
    <x v="7"/>
    <x v="9"/>
    <x v="21"/>
    <x v="7"/>
    <n v="140.6"/>
  </r>
  <r>
    <x v="2"/>
    <x v="7"/>
    <x v="9"/>
    <x v="22"/>
    <x v="8"/>
    <n v="146.5"/>
  </r>
  <r>
    <x v="2"/>
    <x v="7"/>
    <x v="9"/>
    <x v="23"/>
    <x v="9"/>
    <n v="158.5"/>
  </r>
  <r>
    <x v="2"/>
    <x v="7"/>
    <x v="9"/>
    <x v="24"/>
    <x v="8"/>
    <n v="157"/>
  </r>
  <r>
    <x v="2"/>
    <x v="7"/>
    <x v="9"/>
    <x v="25"/>
    <x v="5"/>
    <n v="150.4"/>
  </r>
  <r>
    <x v="2"/>
    <x v="7"/>
    <x v="9"/>
    <x v="26"/>
    <x v="10"/>
    <n v="156.4"/>
  </r>
  <r>
    <x v="0"/>
    <x v="7"/>
    <x v="11"/>
    <x v="0"/>
    <x v="0"/>
    <n v="145.4"/>
  </r>
  <r>
    <x v="0"/>
    <x v="7"/>
    <x v="11"/>
    <x v="1"/>
    <x v="0"/>
    <n v="188.6"/>
  </r>
  <r>
    <x v="0"/>
    <x v="7"/>
    <x v="11"/>
    <x v="2"/>
    <x v="0"/>
    <n v="171.6"/>
  </r>
  <r>
    <x v="0"/>
    <x v="7"/>
    <x v="11"/>
    <x v="3"/>
    <x v="0"/>
    <n v="153.80000000000001"/>
  </r>
  <r>
    <x v="0"/>
    <x v="7"/>
    <x v="11"/>
    <x v="4"/>
    <x v="0"/>
    <n v="145.4"/>
  </r>
  <r>
    <x v="0"/>
    <x v="7"/>
    <x v="11"/>
    <x v="5"/>
    <x v="0"/>
    <n v="146.5"/>
  </r>
  <r>
    <x v="0"/>
    <x v="7"/>
    <x v="11"/>
    <x v="6"/>
    <x v="0"/>
    <n v="222.2"/>
  </r>
  <r>
    <x v="0"/>
    <x v="7"/>
    <x v="11"/>
    <x v="7"/>
    <x v="0"/>
    <n v="155.9"/>
  </r>
  <r>
    <x v="0"/>
    <x v="7"/>
    <x v="11"/>
    <x v="8"/>
    <x v="0"/>
    <n v="114.9"/>
  </r>
  <r>
    <x v="0"/>
    <x v="7"/>
    <x v="11"/>
    <x v="9"/>
    <x v="0"/>
    <n v="162"/>
  </r>
  <r>
    <x v="0"/>
    <x v="7"/>
    <x v="11"/>
    <x v="10"/>
    <x v="0"/>
    <n v="150"/>
  </r>
  <r>
    <x v="0"/>
    <x v="7"/>
    <x v="11"/>
    <x v="11"/>
    <x v="0"/>
    <n v="162.69999999999999"/>
  </r>
  <r>
    <x v="0"/>
    <x v="7"/>
    <x v="11"/>
    <x v="12"/>
    <x v="0"/>
    <n v="163.4"/>
  </r>
  <r>
    <x v="0"/>
    <x v="7"/>
    <x v="11"/>
    <x v="13"/>
    <x v="1"/>
    <n v="183.4"/>
  </r>
  <r>
    <x v="0"/>
    <x v="7"/>
    <x v="11"/>
    <x v="14"/>
    <x v="2"/>
    <n v="156.30000000000001"/>
  </r>
  <r>
    <x v="0"/>
    <x v="7"/>
    <x v="11"/>
    <x v="15"/>
    <x v="2"/>
    <n v="151"/>
  </r>
  <r>
    <x v="0"/>
    <x v="7"/>
    <x v="11"/>
    <x v="16"/>
    <x v="2"/>
    <n v="155.5"/>
  </r>
  <r>
    <x v="0"/>
    <x v="7"/>
    <x v="11"/>
    <x v="17"/>
    <x v="3"/>
    <s v="NA"/>
  </r>
  <r>
    <x v="0"/>
    <x v="7"/>
    <x v="11"/>
    <x v="18"/>
    <x v="4"/>
    <n v="147.5"/>
  </r>
  <r>
    <x v="0"/>
    <x v="7"/>
    <x v="11"/>
    <x v="19"/>
    <x v="5"/>
    <n v="152.80000000000001"/>
  </r>
  <r>
    <x v="0"/>
    <x v="7"/>
    <x v="11"/>
    <x v="20"/>
    <x v="6"/>
    <n v="160.4"/>
  </r>
  <r>
    <x v="0"/>
    <x v="7"/>
    <x v="11"/>
    <x v="21"/>
    <x v="7"/>
    <n v="146.1"/>
  </r>
  <r>
    <x v="0"/>
    <x v="7"/>
    <x v="11"/>
    <x v="22"/>
    <x v="8"/>
    <n v="153.6"/>
  </r>
  <r>
    <x v="0"/>
    <x v="7"/>
    <x v="11"/>
    <x v="23"/>
    <x v="9"/>
    <n v="161.6"/>
  </r>
  <r>
    <x v="0"/>
    <x v="7"/>
    <x v="11"/>
    <x v="24"/>
    <x v="8"/>
    <n v="156.19999999999999"/>
  </r>
  <r>
    <x v="0"/>
    <x v="7"/>
    <x v="11"/>
    <x v="25"/>
    <x v="5"/>
    <n v="154.5"/>
  </r>
  <r>
    <x v="0"/>
    <x v="7"/>
    <x v="11"/>
    <x v="26"/>
    <x v="10"/>
    <n v="159.80000000000001"/>
  </r>
  <r>
    <x v="1"/>
    <x v="7"/>
    <x v="11"/>
    <x v="0"/>
    <x v="0"/>
    <n v="149.69999999999999"/>
  </r>
  <r>
    <x v="1"/>
    <x v="7"/>
    <x v="11"/>
    <x v="1"/>
    <x v="0"/>
    <n v="195.5"/>
  </r>
  <r>
    <x v="1"/>
    <x v="7"/>
    <x v="11"/>
    <x v="2"/>
    <x v="0"/>
    <n v="176.9"/>
  </r>
  <r>
    <x v="1"/>
    <x v="7"/>
    <x v="11"/>
    <x v="3"/>
    <x v="0"/>
    <n v="153.9"/>
  </r>
  <r>
    <x v="1"/>
    <x v="7"/>
    <x v="11"/>
    <x v="4"/>
    <x v="0"/>
    <n v="138"/>
  </r>
  <r>
    <x v="1"/>
    <x v="7"/>
    <x v="11"/>
    <x v="5"/>
    <x v="0"/>
    <n v="150.5"/>
  </r>
  <r>
    <x v="1"/>
    <x v="7"/>
    <x v="11"/>
    <x v="6"/>
    <x v="0"/>
    <n v="245.3"/>
  </r>
  <r>
    <x v="1"/>
    <x v="7"/>
    <x v="11"/>
    <x v="7"/>
    <x v="0"/>
    <n v="158.69999999999999"/>
  </r>
  <r>
    <x v="1"/>
    <x v="7"/>
    <x v="11"/>
    <x v="8"/>
    <x v="0"/>
    <n v="117.2"/>
  </r>
  <r>
    <x v="1"/>
    <x v="7"/>
    <x v="11"/>
    <x v="9"/>
    <x v="0"/>
    <n v="161.4"/>
  </r>
  <r>
    <x v="1"/>
    <x v="7"/>
    <x v="11"/>
    <x v="10"/>
    <x v="0"/>
    <n v="141.5"/>
  </r>
  <r>
    <x v="1"/>
    <x v="7"/>
    <x v="11"/>
    <x v="11"/>
    <x v="0"/>
    <n v="165.1"/>
  </r>
  <r>
    <x v="1"/>
    <x v="7"/>
    <x v="11"/>
    <x v="12"/>
    <x v="0"/>
    <n v="167"/>
  </r>
  <r>
    <x v="1"/>
    <x v="7"/>
    <x v="11"/>
    <x v="13"/>
    <x v="1"/>
    <n v="188.8"/>
  </r>
  <r>
    <x v="1"/>
    <x v="7"/>
    <x v="11"/>
    <x v="14"/>
    <x v="2"/>
    <n v="151.1"/>
  </r>
  <r>
    <x v="1"/>
    <x v="7"/>
    <x v="11"/>
    <x v="15"/>
    <x v="2"/>
    <n v="136.4"/>
  </r>
  <r>
    <x v="1"/>
    <x v="7"/>
    <x v="11"/>
    <x v="16"/>
    <x v="2"/>
    <n v="148.80000000000001"/>
  </r>
  <r>
    <x v="1"/>
    <x v="7"/>
    <x v="11"/>
    <x v="17"/>
    <x v="3"/>
    <n v="158"/>
  </r>
  <r>
    <x v="1"/>
    <x v="7"/>
    <x v="11"/>
    <x v="18"/>
    <x v="4"/>
    <n v="137.30000000000001"/>
  </r>
  <r>
    <x v="1"/>
    <x v="7"/>
    <x v="11"/>
    <x v="19"/>
    <x v="5"/>
    <n v="145.1"/>
  </r>
  <r>
    <x v="1"/>
    <x v="7"/>
    <x v="11"/>
    <x v="20"/>
    <x v="6"/>
    <n v="152"/>
  </r>
  <r>
    <x v="1"/>
    <x v="7"/>
    <x v="11"/>
    <x v="21"/>
    <x v="7"/>
    <n v="135.19999999999999"/>
  </r>
  <r>
    <x v="1"/>
    <x v="7"/>
    <x v="11"/>
    <x v="22"/>
    <x v="8"/>
    <n v="144.4"/>
  </r>
  <r>
    <x v="1"/>
    <x v="7"/>
    <x v="11"/>
    <x v="23"/>
    <x v="9"/>
    <n v="156.4"/>
  </r>
  <r>
    <x v="1"/>
    <x v="7"/>
    <x v="11"/>
    <x v="24"/>
    <x v="8"/>
    <n v="157.9"/>
  </r>
  <r>
    <x v="1"/>
    <x v="7"/>
    <x v="11"/>
    <x v="25"/>
    <x v="5"/>
    <n v="146.6"/>
  </r>
  <r>
    <x v="1"/>
    <x v="7"/>
    <x v="11"/>
    <x v="26"/>
    <x v="10"/>
    <n v="156.69999999999999"/>
  </r>
  <r>
    <x v="2"/>
    <x v="7"/>
    <x v="11"/>
    <x v="0"/>
    <x v="0"/>
    <n v="146.80000000000001"/>
  </r>
  <r>
    <x v="2"/>
    <x v="7"/>
    <x v="11"/>
    <x v="1"/>
    <x v="0"/>
    <n v="191"/>
  </r>
  <r>
    <x v="2"/>
    <x v="7"/>
    <x v="11"/>
    <x v="2"/>
    <x v="0"/>
    <n v="173.6"/>
  </r>
  <r>
    <x v="2"/>
    <x v="7"/>
    <x v="11"/>
    <x v="3"/>
    <x v="0"/>
    <n v="153.80000000000001"/>
  </r>
  <r>
    <x v="2"/>
    <x v="7"/>
    <x v="11"/>
    <x v="4"/>
    <x v="0"/>
    <n v="142.69999999999999"/>
  </r>
  <r>
    <x v="2"/>
    <x v="7"/>
    <x v="11"/>
    <x v="5"/>
    <x v="0"/>
    <n v="148.4"/>
  </r>
  <r>
    <x v="2"/>
    <x v="7"/>
    <x v="11"/>
    <x v="6"/>
    <x v="0"/>
    <n v="230"/>
  </r>
  <r>
    <x v="2"/>
    <x v="7"/>
    <x v="11"/>
    <x v="7"/>
    <x v="0"/>
    <n v="156.80000000000001"/>
  </r>
  <r>
    <x v="2"/>
    <x v="7"/>
    <x v="11"/>
    <x v="8"/>
    <x v="0"/>
    <n v="115.7"/>
  </r>
  <r>
    <x v="2"/>
    <x v="7"/>
    <x v="11"/>
    <x v="9"/>
    <x v="0"/>
    <n v="161.80000000000001"/>
  </r>
  <r>
    <x v="2"/>
    <x v="7"/>
    <x v="11"/>
    <x v="10"/>
    <x v="0"/>
    <n v="146.5"/>
  </r>
  <r>
    <x v="2"/>
    <x v="7"/>
    <x v="11"/>
    <x v="11"/>
    <x v="0"/>
    <n v="163.80000000000001"/>
  </r>
  <r>
    <x v="2"/>
    <x v="7"/>
    <x v="11"/>
    <x v="12"/>
    <x v="0"/>
    <n v="164.7"/>
  </r>
  <r>
    <x v="2"/>
    <x v="7"/>
    <x v="11"/>
    <x v="13"/>
    <x v="1"/>
    <n v="184.8"/>
  </r>
  <r>
    <x v="2"/>
    <x v="7"/>
    <x v="11"/>
    <x v="14"/>
    <x v="2"/>
    <n v="154.30000000000001"/>
  </r>
  <r>
    <x v="2"/>
    <x v="7"/>
    <x v="11"/>
    <x v="15"/>
    <x v="2"/>
    <n v="144.9"/>
  </r>
  <r>
    <x v="2"/>
    <x v="7"/>
    <x v="11"/>
    <x v="16"/>
    <x v="2"/>
    <n v="152.80000000000001"/>
  </r>
  <r>
    <x v="2"/>
    <x v="7"/>
    <x v="11"/>
    <x v="17"/>
    <x v="3"/>
    <n v="158"/>
  </r>
  <r>
    <x v="2"/>
    <x v="7"/>
    <x v="11"/>
    <x v="18"/>
    <x v="4"/>
    <n v="143.6"/>
  </r>
  <r>
    <x v="2"/>
    <x v="7"/>
    <x v="11"/>
    <x v="19"/>
    <x v="5"/>
    <n v="149.19999999999999"/>
  </r>
  <r>
    <x v="2"/>
    <x v="7"/>
    <x v="11"/>
    <x v="20"/>
    <x v="6"/>
    <n v="157.19999999999999"/>
  </r>
  <r>
    <x v="2"/>
    <x v="7"/>
    <x v="11"/>
    <x v="21"/>
    <x v="7"/>
    <n v="140.4"/>
  </r>
  <r>
    <x v="2"/>
    <x v="7"/>
    <x v="11"/>
    <x v="22"/>
    <x v="8"/>
    <n v="148.4"/>
  </r>
  <r>
    <x v="2"/>
    <x v="7"/>
    <x v="11"/>
    <x v="23"/>
    <x v="9"/>
    <n v="158.6"/>
  </r>
  <r>
    <x v="2"/>
    <x v="7"/>
    <x v="11"/>
    <x v="24"/>
    <x v="8"/>
    <n v="156.9"/>
  </r>
  <r>
    <x v="2"/>
    <x v="7"/>
    <x v="11"/>
    <x v="25"/>
    <x v="5"/>
    <n v="150.69999999999999"/>
  </r>
  <r>
    <x v="2"/>
    <x v="7"/>
    <x v="11"/>
    <x v="26"/>
    <x v="10"/>
    <n v="158.4"/>
  </r>
  <r>
    <x v="0"/>
    <x v="7"/>
    <x v="12"/>
    <x v="0"/>
    <x v="0"/>
    <n v="144.6"/>
  </r>
  <r>
    <x v="0"/>
    <x v="7"/>
    <x v="12"/>
    <x v="1"/>
    <x v="0"/>
    <n v="188.5"/>
  </r>
  <r>
    <x v="0"/>
    <x v="7"/>
    <x v="12"/>
    <x v="2"/>
    <x v="0"/>
    <n v="173.4"/>
  </r>
  <r>
    <x v="0"/>
    <x v="7"/>
    <x v="12"/>
    <x v="3"/>
    <x v="0"/>
    <n v="154"/>
  </r>
  <r>
    <x v="0"/>
    <x v="7"/>
    <x v="12"/>
    <x v="4"/>
    <x v="0"/>
    <n v="150"/>
  </r>
  <r>
    <x v="0"/>
    <x v="7"/>
    <x v="12"/>
    <x v="5"/>
    <x v="0"/>
    <n v="145.9"/>
  </r>
  <r>
    <x v="0"/>
    <x v="7"/>
    <x v="12"/>
    <x v="6"/>
    <x v="0"/>
    <n v="225.2"/>
  </r>
  <r>
    <x v="0"/>
    <x v="7"/>
    <x v="12"/>
    <x v="7"/>
    <x v="0"/>
    <n v="159.5"/>
  </r>
  <r>
    <x v="0"/>
    <x v="7"/>
    <x v="12"/>
    <x v="8"/>
    <x v="0"/>
    <n v="114.4"/>
  </r>
  <r>
    <x v="0"/>
    <x v="7"/>
    <x v="12"/>
    <x v="9"/>
    <x v="0"/>
    <n v="163.5"/>
  </r>
  <r>
    <x v="0"/>
    <x v="7"/>
    <x v="12"/>
    <x v="10"/>
    <x v="0"/>
    <n v="153.4"/>
  </r>
  <r>
    <x v="0"/>
    <x v="7"/>
    <x v="12"/>
    <x v="11"/>
    <x v="0"/>
    <n v="163.6"/>
  </r>
  <r>
    <x v="0"/>
    <x v="7"/>
    <x v="12"/>
    <x v="12"/>
    <x v="0"/>
    <n v="164.5"/>
  </r>
  <r>
    <x v="0"/>
    <x v="7"/>
    <x v="12"/>
    <x v="13"/>
    <x v="1"/>
    <n v="183.6"/>
  </r>
  <r>
    <x v="0"/>
    <x v="7"/>
    <x v="12"/>
    <x v="14"/>
    <x v="2"/>
    <n v="157"/>
  </r>
  <r>
    <x v="0"/>
    <x v="7"/>
    <x v="12"/>
    <x v="15"/>
    <x v="2"/>
    <n v="151.6"/>
  </r>
  <r>
    <x v="0"/>
    <x v="7"/>
    <x v="12"/>
    <x v="16"/>
    <x v="2"/>
    <n v="156.30000000000001"/>
  </r>
  <r>
    <x v="0"/>
    <x v="7"/>
    <x v="12"/>
    <x v="17"/>
    <x v="3"/>
    <s v="NA"/>
  </r>
  <r>
    <x v="0"/>
    <x v="7"/>
    <x v="12"/>
    <x v="18"/>
    <x v="4"/>
    <n v="148.69999999999999"/>
  </r>
  <r>
    <x v="0"/>
    <x v="7"/>
    <x v="12"/>
    <x v="19"/>
    <x v="5"/>
    <n v="153.4"/>
  </r>
  <r>
    <x v="0"/>
    <x v="7"/>
    <x v="12"/>
    <x v="20"/>
    <x v="6"/>
    <n v="161.6"/>
  </r>
  <r>
    <x v="0"/>
    <x v="7"/>
    <x v="12"/>
    <x v="21"/>
    <x v="7"/>
    <n v="146.4"/>
  </r>
  <r>
    <x v="0"/>
    <x v="7"/>
    <x v="12"/>
    <x v="22"/>
    <x v="8"/>
    <n v="153.9"/>
  </r>
  <r>
    <x v="0"/>
    <x v="7"/>
    <x v="12"/>
    <x v="23"/>
    <x v="9"/>
    <n v="162.9"/>
  </r>
  <r>
    <x v="0"/>
    <x v="7"/>
    <x v="12"/>
    <x v="24"/>
    <x v="8"/>
    <n v="156.6"/>
  </r>
  <r>
    <x v="0"/>
    <x v="7"/>
    <x v="12"/>
    <x v="25"/>
    <x v="5"/>
    <n v="155.19999999999999"/>
  </r>
  <r>
    <x v="0"/>
    <x v="7"/>
    <x v="12"/>
    <x v="26"/>
    <x v="10"/>
    <n v="160.69999999999999"/>
  </r>
  <r>
    <x v="1"/>
    <x v="7"/>
    <x v="12"/>
    <x v="0"/>
    <x v="0"/>
    <n v="149"/>
  </r>
  <r>
    <x v="1"/>
    <x v="7"/>
    <x v="12"/>
    <x v="1"/>
    <x v="0"/>
    <n v="195.7"/>
  </r>
  <r>
    <x v="1"/>
    <x v="7"/>
    <x v="12"/>
    <x v="2"/>
    <x v="0"/>
    <n v="178.3"/>
  </r>
  <r>
    <x v="1"/>
    <x v="7"/>
    <x v="12"/>
    <x v="3"/>
    <x v="0"/>
    <n v="154.19999999999999"/>
  </r>
  <r>
    <x v="1"/>
    <x v="7"/>
    <x v="12"/>
    <x v="4"/>
    <x v="0"/>
    <n v="140.69999999999999"/>
  </r>
  <r>
    <x v="1"/>
    <x v="7"/>
    <x v="12"/>
    <x v="5"/>
    <x v="0"/>
    <n v="149.69999999999999"/>
  </r>
  <r>
    <x v="1"/>
    <x v="7"/>
    <x v="12"/>
    <x v="6"/>
    <x v="0"/>
    <n v="240.9"/>
  </r>
  <r>
    <x v="1"/>
    <x v="7"/>
    <x v="12"/>
    <x v="7"/>
    <x v="0"/>
    <n v="161.5"/>
  </r>
  <r>
    <x v="1"/>
    <x v="7"/>
    <x v="12"/>
    <x v="8"/>
    <x v="0"/>
    <n v="117.1"/>
  </r>
  <r>
    <x v="1"/>
    <x v="7"/>
    <x v="12"/>
    <x v="9"/>
    <x v="0"/>
    <n v="161.9"/>
  </r>
  <r>
    <x v="1"/>
    <x v="7"/>
    <x v="12"/>
    <x v="10"/>
    <x v="0"/>
    <n v="143.30000000000001"/>
  </r>
  <r>
    <x v="1"/>
    <x v="7"/>
    <x v="12"/>
    <x v="11"/>
    <x v="0"/>
    <n v="166.1"/>
  </r>
  <r>
    <x v="1"/>
    <x v="7"/>
    <x v="12"/>
    <x v="12"/>
    <x v="0"/>
    <n v="167"/>
  </r>
  <r>
    <x v="1"/>
    <x v="7"/>
    <x v="12"/>
    <x v="13"/>
    <x v="1"/>
    <n v="190.2"/>
  </r>
  <r>
    <x v="1"/>
    <x v="7"/>
    <x v="12"/>
    <x v="14"/>
    <x v="2"/>
    <n v="151.9"/>
  </r>
  <r>
    <x v="1"/>
    <x v="7"/>
    <x v="12"/>
    <x v="15"/>
    <x v="2"/>
    <n v="136.69999999999999"/>
  </r>
  <r>
    <x v="1"/>
    <x v="7"/>
    <x v="12"/>
    <x v="16"/>
    <x v="2"/>
    <n v="149.6"/>
  </r>
  <r>
    <x v="1"/>
    <x v="7"/>
    <x v="12"/>
    <x v="17"/>
    <x v="3"/>
    <n v="158.4"/>
  </r>
  <r>
    <x v="1"/>
    <x v="7"/>
    <x v="12"/>
    <x v="18"/>
    <x v="4"/>
    <n v="137.9"/>
  </r>
  <r>
    <x v="1"/>
    <x v="7"/>
    <x v="12"/>
    <x v="19"/>
    <x v="5"/>
    <n v="145.5"/>
  </r>
  <r>
    <x v="1"/>
    <x v="7"/>
    <x v="12"/>
    <x v="20"/>
    <x v="6"/>
    <n v="152.9"/>
  </r>
  <r>
    <x v="1"/>
    <x v="7"/>
    <x v="12"/>
    <x v="21"/>
    <x v="7"/>
    <n v="135.5"/>
  </r>
  <r>
    <x v="1"/>
    <x v="7"/>
    <x v="12"/>
    <x v="22"/>
    <x v="8"/>
    <n v="144.30000000000001"/>
  </r>
  <r>
    <x v="1"/>
    <x v="7"/>
    <x v="12"/>
    <x v="23"/>
    <x v="9"/>
    <n v="156.9"/>
  </r>
  <r>
    <x v="1"/>
    <x v="7"/>
    <x v="12"/>
    <x v="24"/>
    <x v="8"/>
    <n v="157.9"/>
  </r>
  <r>
    <x v="1"/>
    <x v="7"/>
    <x v="12"/>
    <x v="25"/>
    <x v="5"/>
    <n v="146.9"/>
  </r>
  <r>
    <x v="1"/>
    <x v="7"/>
    <x v="12"/>
    <x v="26"/>
    <x v="10"/>
    <n v="156.9"/>
  </r>
  <r>
    <x v="2"/>
    <x v="7"/>
    <x v="12"/>
    <x v="0"/>
    <x v="0"/>
    <n v="146"/>
  </r>
  <r>
    <x v="2"/>
    <x v="7"/>
    <x v="12"/>
    <x v="1"/>
    <x v="0"/>
    <n v="191"/>
  </r>
  <r>
    <x v="2"/>
    <x v="7"/>
    <x v="12"/>
    <x v="2"/>
    <x v="0"/>
    <n v="175.3"/>
  </r>
  <r>
    <x v="2"/>
    <x v="7"/>
    <x v="12"/>
    <x v="3"/>
    <x v="0"/>
    <n v="154.1"/>
  </r>
  <r>
    <x v="2"/>
    <x v="7"/>
    <x v="12"/>
    <x v="4"/>
    <x v="0"/>
    <n v="146.6"/>
  </r>
  <r>
    <x v="2"/>
    <x v="7"/>
    <x v="12"/>
    <x v="5"/>
    <x v="0"/>
    <n v="147.69999999999999"/>
  </r>
  <r>
    <x v="2"/>
    <x v="7"/>
    <x v="12"/>
    <x v="6"/>
    <x v="0"/>
    <n v="230.5"/>
  </r>
  <r>
    <x v="2"/>
    <x v="7"/>
    <x v="12"/>
    <x v="7"/>
    <x v="0"/>
    <n v="160.19999999999999"/>
  </r>
  <r>
    <x v="2"/>
    <x v="7"/>
    <x v="12"/>
    <x v="8"/>
    <x v="0"/>
    <n v="115.3"/>
  </r>
  <r>
    <x v="2"/>
    <x v="7"/>
    <x v="12"/>
    <x v="9"/>
    <x v="0"/>
    <n v="163"/>
  </r>
  <r>
    <x v="2"/>
    <x v="7"/>
    <x v="12"/>
    <x v="10"/>
    <x v="0"/>
    <n v="149.19999999999999"/>
  </r>
  <r>
    <x v="2"/>
    <x v="7"/>
    <x v="12"/>
    <x v="11"/>
    <x v="0"/>
    <n v="164.8"/>
  </r>
  <r>
    <x v="2"/>
    <x v="7"/>
    <x v="12"/>
    <x v="12"/>
    <x v="0"/>
    <n v="165.4"/>
  </r>
  <r>
    <x v="2"/>
    <x v="7"/>
    <x v="12"/>
    <x v="13"/>
    <x v="1"/>
    <n v="185.4"/>
  </r>
  <r>
    <x v="2"/>
    <x v="7"/>
    <x v="12"/>
    <x v="14"/>
    <x v="2"/>
    <n v="155"/>
  </r>
  <r>
    <x v="2"/>
    <x v="7"/>
    <x v="12"/>
    <x v="15"/>
    <x v="2"/>
    <n v="145.4"/>
  </r>
  <r>
    <x v="2"/>
    <x v="7"/>
    <x v="12"/>
    <x v="16"/>
    <x v="2"/>
    <n v="153.6"/>
  </r>
  <r>
    <x v="2"/>
    <x v="7"/>
    <x v="12"/>
    <x v="17"/>
    <x v="3"/>
    <n v="158.4"/>
  </r>
  <r>
    <x v="2"/>
    <x v="7"/>
    <x v="12"/>
    <x v="18"/>
    <x v="4"/>
    <n v="144.6"/>
  </r>
  <r>
    <x v="2"/>
    <x v="7"/>
    <x v="12"/>
    <x v="19"/>
    <x v="5"/>
    <n v="149.69999999999999"/>
  </r>
  <r>
    <x v="2"/>
    <x v="7"/>
    <x v="12"/>
    <x v="20"/>
    <x v="6"/>
    <n v="158.30000000000001"/>
  </r>
  <r>
    <x v="2"/>
    <x v="7"/>
    <x v="12"/>
    <x v="21"/>
    <x v="7"/>
    <n v="140.69999999999999"/>
  </r>
  <r>
    <x v="2"/>
    <x v="7"/>
    <x v="12"/>
    <x v="22"/>
    <x v="8"/>
    <n v="148.5"/>
  </r>
  <r>
    <x v="2"/>
    <x v="7"/>
    <x v="12"/>
    <x v="23"/>
    <x v="9"/>
    <n v="159.4"/>
  </r>
  <r>
    <x v="2"/>
    <x v="7"/>
    <x v="12"/>
    <x v="24"/>
    <x v="8"/>
    <n v="157.1"/>
  </r>
  <r>
    <x v="2"/>
    <x v="7"/>
    <x v="12"/>
    <x v="25"/>
    <x v="5"/>
    <n v="151.19999999999999"/>
  </r>
  <r>
    <x v="2"/>
    <x v="7"/>
    <x v="12"/>
    <x v="26"/>
    <x v="10"/>
    <n v="158.9"/>
  </r>
  <r>
    <x v="0"/>
    <x v="8"/>
    <x v="0"/>
    <x v="0"/>
    <x v="0"/>
    <n v="143.4"/>
  </r>
  <r>
    <x v="0"/>
    <x v="8"/>
    <x v="0"/>
    <x v="1"/>
    <x v="0"/>
    <n v="187.5"/>
  </r>
  <r>
    <x v="0"/>
    <x v="8"/>
    <x v="0"/>
    <x v="2"/>
    <x v="0"/>
    <n v="173.4"/>
  </r>
  <r>
    <x v="0"/>
    <x v="8"/>
    <x v="0"/>
    <x v="3"/>
    <x v="0"/>
    <n v="154"/>
  </r>
  <r>
    <x v="0"/>
    <x v="8"/>
    <x v="0"/>
    <x v="4"/>
    <x v="0"/>
    <n v="154.80000000000001"/>
  </r>
  <r>
    <x v="0"/>
    <x v="8"/>
    <x v="0"/>
    <x v="5"/>
    <x v="0"/>
    <n v="147"/>
  </r>
  <r>
    <x v="0"/>
    <x v="8"/>
    <x v="0"/>
    <x v="6"/>
    <x v="0"/>
    <n v="187.8"/>
  </r>
  <r>
    <x v="0"/>
    <x v="8"/>
    <x v="0"/>
    <x v="7"/>
    <x v="0"/>
    <n v="159.5"/>
  </r>
  <r>
    <x v="0"/>
    <x v="8"/>
    <x v="0"/>
    <x v="8"/>
    <x v="0"/>
    <n v="113.8"/>
  </r>
  <r>
    <x v="0"/>
    <x v="8"/>
    <x v="0"/>
    <x v="9"/>
    <x v="0"/>
    <n v="164.5"/>
  </r>
  <r>
    <x v="0"/>
    <x v="8"/>
    <x v="0"/>
    <x v="10"/>
    <x v="0"/>
    <n v="156.1"/>
  </r>
  <r>
    <x v="0"/>
    <x v="8"/>
    <x v="0"/>
    <x v="11"/>
    <x v="0"/>
    <n v="164.3"/>
  </r>
  <r>
    <x v="0"/>
    <x v="8"/>
    <x v="0"/>
    <x v="12"/>
    <x v="0"/>
    <n v="159.6"/>
  </r>
  <r>
    <x v="0"/>
    <x v="8"/>
    <x v="0"/>
    <x v="13"/>
    <x v="1"/>
    <n v="184.6"/>
  </r>
  <r>
    <x v="0"/>
    <x v="8"/>
    <x v="0"/>
    <x v="14"/>
    <x v="2"/>
    <n v="157.5"/>
  </r>
  <r>
    <x v="0"/>
    <x v="8"/>
    <x v="0"/>
    <x v="15"/>
    <x v="2"/>
    <n v="152.4"/>
  </r>
  <r>
    <x v="0"/>
    <x v="8"/>
    <x v="0"/>
    <x v="16"/>
    <x v="2"/>
    <n v="156.80000000000001"/>
  </r>
  <r>
    <x v="0"/>
    <x v="8"/>
    <x v="0"/>
    <x v="17"/>
    <x v="3"/>
    <s v="NA"/>
  </r>
  <r>
    <x v="0"/>
    <x v="8"/>
    <x v="0"/>
    <x v="18"/>
    <x v="4"/>
    <n v="150.9"/>
  </r>
  <r>
    <x v="0"/>
    <x v="8"/>
    <x v="0"/>
    <x v="19"/>
    <x v="5"/>
    <n v="153.9"/>
  </r>
  <r>
    <x v="0"/>
    <x v="8"/>
    <x v="0"/>
    <x v="20"/>
    <x v="6"/>
    <n v="162.5"/>
  </r>
  <r>
    <x v="0"/>
    <x v="8"/>
    <x v="0"/>
    <x v="21"/>
    <x v="7"/>
    <n v="147.5"/>
  </r>
  <r>
    <x v="0"/>
    <x v="8"/>
    <x v="0"/>
    <x v="22"/>
    <x v="8"/>
    <n v="155.1"/>
  </r>
  <r>
    <x v="0"/>
    <x v="8"/>
    <x v="0"/>
    <x v="23"/>
    <x v="9"/>
    <n v="163.5"/>
  </r>
  <r>
    <x v="0"/>
    <x v="8"/>
    <x v="0"/>
    <x v="24"/>
    <x v="8"/>
    <n v="156.19999999999999"/>
  </r>
  <r>
    <x v="0"/>
    <x v="8"/>
    <x v="0"/>
    <x v="25"/>
    <x v="5"/>
    <n v="155.9"/>
  </r>
  <r>
    <x v="0"/>
    <x v="8"/>
    <x v="0"/>
    <x v="26"/>
    <x v="10"/>
    <n v="158.5"/>
  </r>
  <r>
    <x v="1"/>
    <x v="8"/>
    <x v="0"/>
    <x v="0"/>
    <x v="0"/>
    <n v="148"/>
  </r>
  <r>
    <x v="1"/>
    <x v="8"/>
    <x v="0"/>
    <x v="1"/>
    <x v="0"/>
    <n v="194.8"/>
  </r>
  <r>
    <x v="1"/>
    <x v="8"/>
    <x v="0"/>
    <x v="2"/>
    <x v="0"/>
    <n v="178.4"/>
  </r>
  <r>
    <x v="1"/>
    <x v="8"/>
    <x v="0"/>
    <x v="3"/>
    <x v="0"/>
    <n v="154.4"/>
  </r>
  <r>
    <x v="1"/>
    <x v="8"/>
    <x v="0"/>
    <x v="4"/>
    <x v="0"/>
    <n v="144.1"/>
  </r>
  <r>
    <x v="1"/>
    <x v="8"/>
    <x v="0"/>
    <x v="5"/>
    <x v="0"/>
    <n v="152.6"/>
  </r>
  <r>
    <x v="1"/>
    <x v="8"/>
    <x v="0"/>
    <x v="6"/>
    <x v="0"/>
    <n v="206.8"/>
  </r>
  <r>
    <x v="1"/>
    <x v="8"/>
    <x v="0"/>
    <x v="7"/>
    <x v="0"/>
    <n v="162.1"/>
  </r>
  <r>
    <x v="1"/>
    <x v="8"/>
    <x v="0"/>
    <x v="8"/>
    <x v="0"/>
    <n v="116.3"/>
  </r>
  <r>
    <x v="1"/>
    <x v="8"/>
    <x v="0"/>
    <x v="9"/>
    <x v="0"/>
    <n v="163"/>
  </r>
  <r>
    <x v="1"/>
    <x v="8"/>
    <x v="0"/>
    <x v="10"/>
    <x v="0"/>
    <n v="145.9"/>
  </r>
  <r>
    <x v="1"/>
    <x v="8"/>
    <x v="0"/>
    <x v="11"/>
    <x v="0"/>
    <n v="167.2"/>
  </r>
  <r>
    <x v="1"/>
    <x v="8"/>
    <x v="0"/>
    <x v="12"/>
    <x v="0"/>
    <n v="163.4"/>
  </r>
  <r>
    <x v="1"/>
    <x v="8"/>
    <x v="0"/>
    <x v="13"/>
    <x v="1"/>
    <n v="191.8"/>
  </r>
  <r>
    <x v="1"/>
    <x v="8"/>
    <x v="0"/>
    <x v="14"/>
    <x v="2"/>
    <n v="152.5"/>
  </r>
  <r>
    <x v="1"/>
    <x v="8"/>
    <x v="0"/>
    <x v="15"/>
    <x v="2"/>
    <n v="137.30000000000001"/>
  </r>
  <r>
    <x v="1"/>
    <x v="8"/>
    <x v="0"/>
    <x v="16"/>
    <x v="2"/>
    <n v="150.19999999999999"/>
  </r>
  <r>
    <x v="1"/>
    <x v="8"/>
    <x v="0"/>
    <x v="17"/>
    <x v="3"/>
    <n v="157.69999999999999"/>
  </r>
  <r>
    <x v="1"/>
    <x v="8"/>
    <x v="0"/>
    <x v="18"/>
    <x v="4"/>
    <n v="142.9"/>
  </r>
  <r>
    <x v="1"/>
    <x v="8"/>
    <x v="0"/>
    <x v="19"/>
    <x v="5"/>
    <n v="145.69999999999999"/>
  </r>
  <r>
    <x v="1"/>
    <x v="8"/>
    <x v="0"/>
    <x v="20"/>
    <x v="6"/>
    <n v="154.1"/>
  </r>
  <r>
    <x v="1"/>
    <x v="8"/>
    <x v="0"/>
    <x v="21"/>
    <x v="7"/>
    <n v="136.9"/>
  </r>
  <r>
    <x v="1"/>
    <x v="8"/>
    <x v="0"/>
    <x v="22"/>
    <x v="8"/>
    <n v="145.4"/>
  </r>
  <r>
    <x v="1"/>
    <x v="8"/>
    <x v="0"/>
    <x v="23"/>
    <x v="9"/>
    <n v="156.1"/>
  </r>
  <r>
    <x v="1"/>
    <x v="8"/>
    <x v="0"/>
    <x v="24"/>
    <x v="8"/>
    <n v="157.69999999999999"/>
  </r>
  <r>
    <x v="1"/>
    <x v="8"/>
    <x v="0"/>
    <x v="25"/>
    <x v="5"/>
    <n v="147.6"/>
  </r>
  <r>
    <x v="1"/>
    <x v="8"/>
    <x v="0"/>
    <x v="26"/>
    <x v="10"/>
    <n v="156"/>
  </r>
  <r>
    <x v="2"/>
    <x v="8"/>
    <x v="0"/>
    <x v="0"/>
    <x v="0"/>
    <n v="144.9"/>
  </r>
  <r>
    <x v="2"/>
    <x v="8"/>
    <x v="0"/>
    <x v="1"/>
    <x v="0"/>
    <n v="190.1"/>
  </r>
  <r>
    <x v="2"/>
    <x v="8"/>
    <x v="0"/>
    <x v="2"/>
    <x v="0"/>
    <n v="175.3"/>
  </r>
  <r>
    <x v="2"/>
    <x v="8"/>
    <x v="0"/>
    <x v="3"/>
    <x v="0"/>
    <n v="154.1"/>
  </r>
  <r>
    <x v="2"/>
    <x v="8"/>
    <x v="0"/>
    <x v="4"/>
    <x v="0"/>
    <n v="150.9"/>
  </r>
  <r>
    <x v="2"/>
    <x v="8"/>
    <x v="0"/>
    <x v="5"/>
    <x v="0"/>
    <n v="149.6"/>
  </r>
  <r>
    <x v="2"/>
    <x v="8"/>
    <x v="0"/>
    <x v="6"/>
    <x v="0"/>
    <n v="194.2"/>
  </r>
  <r>
    <x v="2"/>
    <x v="8"/>
    <x v="0"/>
    <x v="7"/>
    <x v="0"/>
    <n v="160.4"/>
  </r>
  <r>
    <x v="2"/>
    <x v="8"/>
    <x v="0"/>
    <x v="8"/>
    <x v="0"/>
    <n v="114.6"/>
  </r>
  <r>
    <x v="2"/>
    <x v="8"/>
    <x v="0"/>
    <x v="9"/>
    <x v="0"/>
    <n v="164"/>
  </r>
  <r>
    <x v="2"/>
    <x v="8"/>
    <x v="0"/>
    <x v="10"/>
    <x v="0"/>
    <n v="151.80000000000001"/>
  </r>
  <r>
    <x v="2"/>
    <x v="8"/>
    <x v="0"/>
    <x v="11"/>
    <x v="0"/>
    <n v="165.6"/>
  </r>
  <r>
    <x v="2"/>
    <x v="8"/>
    <x v="0"/>
    <x v="12"/>
    <x v="0"/>
    <n v="161"/>
  </r>
  <r>
    <x v="2"/>
    <x v="8"/>
    <x v="0"/>
    <x v="13"/>
    <x v="1"/>
    <n v="186.5"/>
  </r>
  <r>
    <x v="2"/>
    <x v="8"/>
    <x v="0"/>
    <x v="14"/>
    <x v="2"/>
    <n v="155.5"/>
  </r>
  <r>
    <x v="2"/>
    <x v="8"/>
    <x v="0"/>
    <x v="15"/>
    <x v="2"/>
    <n v="146.1"/>
  </r>
  <r>
    <x v="2"/>
    <x v="8"/>
    <x v="0"/>
    <x v="16"/>
    <x v="2"/>
    <n v="154.19999999999999"/>
  </r>
  <r>
    <x v="2"/>
    <x v="8"/>
    <x v="0"/>
    <x v="17"/>
    <x v="3"/>
    <n v="157.69999999999999"/>
  </r>
  <r>
    <x v="2"/>
    <x v="8"/>
    <x v="0"/>
    <x v="18"/>
    <x v="4"/>
    <n v="147.9"/>
  </r>
  <r>
    <x v="2"/>
    <x v="8"/>
    <x v="0"/>
    <x v="19"/>
    <x v="5"/>
    <n v="150"/>
  </r>
  <r>
    <x v="2"/>
    <x v="8"/>
    <x v="0"/>
    <x v="20"/>
    <x v="6"/>
    <n v="159.30000000000001"/>
  </r>
  <r>
    <x v="2"/>
    <x v="8"/>
    <x v="0"/>
    <x v="21"/>
    <x v="7"/>
    <n v="141.9"/>
  </r>
  <r>
    <x v="2"/>
    <x v="8"/>
    <x v="0"/>
    <x v="22"/>
    <x v="8"/>
    <n v="149.6"/>
  </r>
  <r>
    <x v="2"/>
    <x v="8"/>
    <x v="0"/>
    <x v="23"/>
    <x v="9"/>
    <n v="159.19999999999999"/>
  </r>
  <r>
    <x v="2"/>
    <x v="8"/>
    <x v="0"/>
    <x v="24"/>
    <x v="8"/>
    <n v="156.80000000000001"/>
  </r>
  <r>
    <x v="2"/>
    <x v="8"/>
    <x v="0"/>
    <x v="25"/>
    <x v="5"/>
    <n v="151.9"/>
  </r>
  <r>
    <x v="2"/>
    <x v="8"/>
    <x v="0"/>
    <x v="26"/>
    <x v="10"/>
    <n v="157.30000000000001"/>
  </r>
  <r>
    <x v="0"/>
    <x v="8"/>
    <x v="1"/>
    <x v="0"/>
    <x v="0"/>
    <n v="142.80000000000001"/>
  </r>
  <r>
    <x v="0"/>
    <x v="8"/>
    <x v="1"/>
    <x v="1"/>
    <x v="0"/>
    <n v="184"/>
  </r>
  <r>
    <x v="0"/>
    <x v="8"/>
    <x v="1"/>
    <x v="2"/>
    <x v="0"/>
    <n v="168"/>
  </r>
  <r>
    <x v="0"/>
    <x v="8"/>
    <x v="1"/>
    <x v="3"/>
    <x v="0"/>
    <n v="154.4"/>
  </r>
  <r>
    <x v="0"/>
    <x v="8"/>
    <x v="1"/>
    <x v="4"/>
    <x v="0"/>
    <n v="163"/>
  </r>
  <r>
    <x v="0"/>
    <x v="8"/>
    <x v="1"/>
    <x v="5"/>
    <x v="0"/>
    <n v="147.80000000000001"/>
  </r>
  <r>
    <x v="0"/>
    <x v="8"/>
    <x v="1"/>
    <x v="6"/>
    <x v="0"/>
    <n v="149.69999999999999"/>
  </r>
  <r>
    <x v="0"/>
    <x v="8"/>
    <x v="1"/>
    <x v="7"/>
    <x v="0"/>
    <n v="158.30000000000001"/>
  </r>
  <r>
    <x v="0"/>
    <x v="8"/>
    <x v="1"/>
    <x v="8"/>
    <x v="0"/>
    <n v="111.8"/>
  </r>
  <r>
    <x v="0"/>
    <x v="8"/>
    <x v="1"/>
    <x v="9"/>
    <x v="0"/>
    <n v="165"/>
  </r>
  <r>
    <x v="0"/>
    <x v="8"/>
    <x v="1"/>
    <x v="10"/>
    <x v="0"/>
    <n v="160"/>
  </r>
  <r>
    <x v="0"/>
    <x v="8"/>
    <x v="1"/>
    <x v="11"/>
    <x v="0"/>
    <n v="165.8"/>
  </r>
  <r>
    <x v="0"/>
    <x v="8"/>
    <x v="1"/>
    <x v="12"/>
    <x v="0"/>
    <n v="154.69999999999999"/>
  </r>
  <r>
    <x v="0"/>
    <x v="8"/>
    <x v="1"/>
    <x v="13"/>
    <x v="1"/>
    <n v="186.5"/>
  </r>
  <r>
    <x v="0"/>
    <x v="8"/>
    <x v="1"/>
    <x v="14"/>
    <x v="2"/>
    <n v="159.1"/>
  </r>
  <r>
    <x v="0"/>
    <x v="8"/>
    <x v="1"/>
    <x v="15"/>
    <x v="2"/>
    <n v="153.9"/>
  </r>
  <r>
    <x v="0"/>
    <x v="8"/>
    <x v="1"/>
    <x v="16"/>
    <x v="2"/>
    <n v="158.4"/>
  </r>
  <r>
    <x v="0"/>
    <x v="8"/>
    <x v="1"/>
    <x v="17"/>
    <x v="3"/>
    <s v="NA"/>
  </r>
  <r>
    <x v="0"/>
    <x v="8"/>
    <x v="1"/>
    <x v="18"/>
    <x v="4"/>
    <n v="154.4"/>
  </r>
  <r>
    <x v="0"/>
    <x v="8"/>
    <x v="1"/>
    <x v="19"/>
    <x v="5"/>
    <n v="154.80000000000001"/>
  </r>
  <r>
    <x v="0"/>
    <x v="8"/>
    <x v="1"/>
    <x v="20"/>
    <x v="6"/>
    <n v="164.3"/>
  </r>
  <r>
    <x v="0"/>
    <x v="8"/>
    <x v="1"/>
    <x v="21"/>
    <x v="7"/>
    <n v="150.19999999999999"/>
  </r>
  <r>
    <x v="0"/>
    <x v="8"/>
    <x v="1"/>
    <x v="22"/>
    <x v="8"/>
    <n v="157"/>
  </r>
  <r>
    <x v="0"/>
    <x v="8"/>
    <x v="1"/>
    <x v="23"/>
    <x v="9"/>
    <n v="163.6"/>
  </r>
  <r>
    <x v="0"/>
    <x v="8"/>
    <x v="1"/>
    <x v="24"/>
    <x v="8"/>
    <n v="155.19999999999999"/>
  </r>
  <r>
    <x v="0"/>
    <x v="8"/>
    <x v="1"/>
    <x v="25"/>
    <x v="5"/>
    <n v="157.19999999999999"/>
  </r>
  <r>
    <x v="0"/>
    <x v="8"/>
    <x v="1"/>
    <x v="26"/>
    <x v="10"/>
    <n v="156.69999999999999"/>
  </r>
  <r>
    <x v="1"/>
    <x v="8"/>
    <x v="1"/>
    <x v="0"/>
    <x v="0"/>
    <n v="147.6"/>
  </r>
  <r>
    <x v="1"/>
    <x v="8"/>
    <x v="1"/>
    <x v="1"/>
    <x v="0"/>
    <n v="191.2"/>
  </r>
  <r>
    <x v="1"/>
    <x v="8"/>
    <x v="1"/>
    <x v="2"/>
    <x v="0"/>
    <n v="169.9"/>
  </r>
  <r>
    <x v="1"/>
    <x v="8"/>
    <x v="1"/>
    <x v="3"/>
    <x v="0"/>
    <n v="155.1"/>
  </r>
  <r>
    <x v="1"/>
    <x v="8"/>
    <x v="1"/>
    <x v="4"/>
    <x v="0"/>
    <n v="151.4"/>
  </r>
  <r>
    <x v="1"/>
    <x v="8"/>
    <x v="1"/>
    <x v="5"/>
    <x v="0"/>
    <n v="154"/>
  </r>
  <r>
    <x v="1"/>
    <x v="8"/>
    <x v="1"/>
    <x v="6"/>
    <x v="0"/>
    <n v="180.2"/>
  </r>
  <r>
    <x v="1"/>
    <x v="8"/>
    <x v="1"/>
    <x v="7"/>
    <x v="0"/>
    <n v="159.80000000000001"/>
  </r>
  <r>
    <x v="1"/>
    <x v="8"/>
    <x v="1"/>
    <x v="8"/>
    <x v="0"/>
    <n v="114.9"/>
  </r>
  <r>
    <x v="1"/>
    <x v="8"/>
    <x v="1"/>
    <x v="9"/>
    <x v="0"/>
    <n v="162.5"/>
  </r>
  <r>
    <x v="1"/>
    <x v="8"/>
    <x v="1"/>
    <x v="10"/>
    <x v="0"/>
    <n v="149.19999999999999"/>
  </r>
  <r>
    <x v="1"/>
    <x v="8"/>
    <x v="1"/>
    <x v="11"/>
    <x v="0"/>
    <n v="169.4"/>
  </r>
  <r>
    <x v="1"/>
    <x v="8"/>
    <x v="1"/>
    <x v="12"/>
    <x v="0"/>
    <n v="160.80000000000001"/>
  </r>
  <r>
    <x v="1"/>
    <x v="8"/>
    <x v="1"/>
    <x v="13"/>
    <x v="1"/>
    <n v="193.3"/>
  </r>
  <r>
    <x v="1"/>
    <x v="8"/>
    <x v="1"/>
    <x v="14"/>
    <x v="2"/>
    <n v="154.19999999999999"/>
  </r>
  <r>
    <x v="1"/>
    <x v="8"/>
    <x v="1"/>
    <x v="15"/>
    <x v="2"/>
    <n v="138.19999999999999"/>
  </r>
  <r>
    <x v="1"/>
    <x v="8"/>
    <x v="1"/>
    <x v="16"/>
    <x v="2"/>
    <n v="151.80000000000001"/>
  </r>
  <r>
    <x v="1"/>
    <x v="8"/>
    <x v="1"/>
    <x v="17"/>
    <x v="3"/>
    <n v="159.80000000000001"/>
  </r>
  <r>
    <x v="1"/>
    <x v="8"/>
    <x v="1"/>
    <x v="18"/>
    <x v="4"/>
    <n v="149.1"/>
  </r>
  <r>
    <x v="1"/>
    <x v="8"/>
    <x v="1"/>
    <x v="19"/>
    <x v="5"/>
    <n v="146.5"/>
  </r>
  <r>
    <x v="1"/>
    <x v="8"/>
    <x v="1"/>
    <x v="20"/>
    <x v="6"/>
    <n v="156.30000000000001"/>
  </r>
  <r>
    <x v="1"/>
    <x v="8"/>
    <x v="1"/>
    <x v="21"/>
    <x v="7"/>
    <n v="140.5"/>
  </r>
  <r>
    <x v="1"/>
    <x v="8"/>
    <x v="1"/>
    <x v="22"/>
    <x v="8"/>
    <n v="147.30000000000001"/>
  </r>
  <r>
    <x v="1"/>
    <x v="8"/>
    <x v="1"/>
    <x v="23"/>
    <x v="9"/>
    <n v="156.6"/>
  </r>
  <r>
    <x v="1"/>
    <x v="8"/>
    <x v="1"/>
    <x v="24"/>
    <x v="8"/>
    <n v="156.69999999999999"/>
  </r>
  <r>
    <x v="1"/>
    <x v="8"/>
    <x v="1"/>
    <x v="25"/>
    <x v="5"/>
    <n v="149.30000000000001"/>
  </r>
  <r>
    <x v="1"/>
    <x v="8"/>
    <x v="1"/>
    <x v="26"/>
    <x v="10"/>
    <n v="156.5"/>
  </r>
  <r>
    <x v="2"/>
    <x v="8"/>
    <x v="1"/>
    <x v="0"/>
    <x v="0"/>
    <n v="144.30000000000001"/>
  </r>
  <r>
    <x v="2"/>
    <x v="8"/>
    <x v="1"/>
    <x v="1"/>
    <x v="0"/>
    <n v="186.5"/>
  </r>
  <r>
    <x v="2"/>
    <x v="8"/>
    <x v="1"/>
    <x v="2"/>
    <x v="0"/>
    <n v="168.7"/>
  </r>
  <r>
    <x v="2"/>
    <x v="8"/>
    <x v="1"/>
    <x v="3"/>
    <x v="0"/>
    <n v="154.69999999999999"/>
  </r>
  <r>
    <x v="2"/>
    <x v="8"/>
    <x v="1"/>
    <x v="4"/>
    <x v="0"/>
    <n v="158.69999999999999"/>
  </r>
  <r>
    <x v="2"/>
    <x v="8"/>
    <x v="1"/>
    <x v="5"/>
    <x v="0"/>
    <n v="150.69999999999999"/>
  </r>
  <r>
    <x v="2"/>
    <x v="8"/>
    <x v="1"/>
    <x v="6"/>
    <x v="0"/>
    <n v="160"/>
  </r>
  <r>
    <x v="2"/>
    <x v="8"/>
    <x v="1"/>
    <x v="7"/>
    <x v="0"/>
    <n v="158.80000000000001"/>
  </r>
  <r>
    <x v="2"/>
    <x v="8"/>
    <x v="1"/>
    <x v="8"/>
    <x v="0"/>
    <n v="112.8"/>
  </r>
  <r>
    <x v="2"/>
    <x v="8"/>
    <x v="1"/>
    <x v="9"/>
    <x v="0"/>
    <n v="164.2"/>
  </r>
  <r>
    <x v="2"/>
    <x v="8"/>
    <x v="1"/>
    <x v="10"/>
    <x v="0"/>
    <n v="155.5"/>
  </r>
  <r>
    <x v="2"/>
    <x v="8"/>
    <x v="1"/>
    <x v="11"/>
    <x v="0"/>
    <n v="167.5"/>
  </r>
  <r>
    <x v="2"/>
    <x v="8"/>
    <x v="1"/>
    <x v="12"/>
    <x v="0"/>
    <n v="156.9"/>
  </r>
  <r>
    <x v="2"/>
    <x v="8"/>
    <x v="1"/>
    <x v="13"/>
    <x v="1"/>
    <n v="188.3"/>
  </r>
  <r>
    <x v="2"/>
    <x v="8"/>
    <x v="1"/>
    <x v="14"/>
    <x v="2"/>
    <n v="157.19999999999999"/>
  </r>
  <r>
    <x v="2"/>
    <x v="8"/>
    <x v="1"/>
    <x v="15"/>
    <x v="2"/>
    <n v="147.4"/>
  </r>
  <r>
    <x v="2"/>
    <x v="8"/>
    <x v="1"/>
    <x v="16"/>
    <x v="2"/>
    <n v="155.80000000000001"/>
  </r>
  <r>
    <x v="2"/>
    <x v="8"/>
    <x v="1"/>
    <x v="17"/>
    <x v="3"/>
    <n v="159.80000000000001"/>
  </r>
  <r>
    <x v="2"/>
    <x v="8"/>
    <x v="1"/>
    <x v="18"/>
    <x v="4"/>
    <n v="152.4"/>
  </r>
  <r>
    <x v="2"/>
    <x v="8"/>
    <x v="1"/>
    <x v="19"/>
    <x v="5"/>
    <n v="150.9"/>
  </r>
  <r>
    <x v="2"/>
    <x v="8"/>
    <x v="1"/>
    <x v="20"/>
    <x v="6"/>
    <n v="161.30000000000001"/>
  </r>
  <r>
    <x v="2"/>
    <x v="8"/>
    <x v="1"/>
    <x v="21"/>
    <x v="7"/>
    <n v="145.1"/>
  </r>
  <r>
    <x v="2"/>
    <x v="8"/>
    <x v="1"/>
    <x v="22"/>
    <x v="8"/>
    <n v="151.5"/>
  </r>
  <r>
    <x v="2"/>
    <x v="8"/>
    <x v="1"/>
    <x v="23"/>
    <x v="9"/>
    <n v="159.5"/>
  </r>
  <r>
    <x v="2"/>
    <x v="8"/>
    <x v="1"/>
    <x v="24"/>
    <x v="8"/>
    <n v="155.80000000000001"/>
  </r>
  <r>
    <x v="2"/>
    <x v="8"/>
    <x v="1"/>
    <x v="25"/>
    <x v="5"/>
    <n v="153.4"/>
  </r>
  <r>
    <x v="2"/>
    <x v="8"/>
    <x v="1"/>
    <x v="26"/>
    <x v="10"/>
    <n v="156.6"/>
  </r>
  <r>
    <x v="0"/>
    <x v="8"/>
    <x v="2"/>
    <x v="0"/>
    <x v="0"/>
    <n v="142.5"/>
  </r>
  <r>
    <x v="0"/>
    <x v="8"/>
    <x v="2"/>
    <x v="1"/>
    <x v="0"/>
    <n v="189.4"/>
  </r>
  <r>
    <x v="0"/>
    <x v="8"/>
    <x v="2"/>
    <x v="2"/>
    <x v="0"/>
    <n v="163.19999999999999"/>
  </r>
  <r>
    <x v="0"/>
    <x v="8"/>
    <x v="2"/>
    <x v="3"/>
    <x v="0"/>
    <n v="154.5"/>
  </r>
  <r>
    <x v="0"/>
    <x v="8"/>
    <x v="2"/>
    <x v="4"/>
    <x v="0"/>
    <n v="168.2"/>
  </r>
  <r>
    <x v="0"/>
    <x v="8"/>
    <x v="2"/>
    <x v="5"/>
    <x v="0"/>
    <n v="150.5"/>
  </r>
  <r>
    <x v="0"/>
    <x v="8"/>
    <x v="2"/>
    <x v="6"/>
    <x v="0"/>
    <n v="141"/>
  </r>
  <r>
    <x v="0"/>
    <x v="8"/>
    <x v="2"/>
    <x v="7"/>
    <x v="0"/>
    <n v="159.19999999999999"/>
  </r>
  <r>
    <x v="0"/>
    <x v="8"/>
    <x v="2"/>
    <x v="8"/>
    <x v="0"/>
    <n v="111.7"/>
  </r>
  <r>
    <x v="0"/>
    <x v="8"/>
    <x v="2"/>
    <x v="9"/>
    <x v="0"/>
    <n v="164"/>
  </r>
  <r>
    <x v="0"/>
    <x v="8"/>
    <x v="2"/>
    <x v="10"/>
    <x v="0"/>
    <n v="160.6"/>
  </r>
  <r>
    <x v="0"/>
    <x v="8"/>
    <x v="2"/>
    <x v="11"/>
    <x v="0"/>
    <n v="166.4"/>
  </r>
  <r>
    <x v="0"/>
    <x v="8"/>
    <x v="2"/>
    <x v="12"/>
    <x v="0"/>
    <n v="154.5"/>
  </r>
  <r>
    <x v="0"/>
    <x v="8"/>
    <x v="2"/>
    <x v="13"/>
    <x v="1"/>
    <n v="186.1"/>
  </r>
  <r>
    <x v="0"/>
    <x v="8"/>
    <x v="2"/>
    <x v="14"/>
    <x v="2"/>
    <n v="159.6"/>
  </r>
  <r>
    <x v="0"/>
    <x v="8"/>
    <x v="2"/>
    <x v="15"/>
    <x v="2"/>
    <n v="154.4"/>
  </r>
  <r>
    <x v="0"/>
    <x v="8"/>
    <x v="2"/>
    <x v="16"/>
    <x v="2"/>
    <n v="158.9"/>
  </r>
  <r>
    <x v="0"/>
    <x v="8"/>
    <x v="2"/>
    <x v="17"/>
    <x v="3"/>
    <s v="-"/>
  </r>
  <r>
    <x v="0"/>
    <x v="8"/>
    <x v="2"/>
    <x v="18"/>
    <x v="4"/>
    <n v="156"/>
  </r>
  <r>
    <x v="0"/>
    <x v="8"/>
    <x v="2"/>
    <x v="19"/>
    <x v="5"/>
    <n v="154.80000000000001"/>
  </r>
  <r>
    <x v="0"/>
    <x v="8"/>
    <x v="2"/>
    <x v="20"/>
    <x v="6"/>
    <n v="164.6"/>
  </r>
  <r>
    <x v="0"/>
    <x v="8"/>
    <x v="2"/>
    <x v="21"/>
    <x v="7"/>
    <n v="151.30000000000001"/>
  </r>
  <r>
    <x v="0"/>
    <x v="8"/>
    <x v="2"/>
    <x v="22"/>
    <x v="8"/>
    <n v="157.80000000000001"/>
  </r>
  <r>
    <x v="0"/>
    <x v="8"/>
    <x v="2"/>
    <x v="23"/>
    <x v="9"/>
    <n v="163.80000000000001"/>
  </r>
  <r>
    <x v="0"/>
    <x v="8"/>
    <x v="2"/>
    <x v="24"/>
    <x v="8"/>
    <n v="153.1"/>
  </r>
  <r>
    <x v="0"/>
    <x v="8"/>
    <x v="2"/>
    <x v="25"/>
    <x v="5"/>
    <n v="157.30000000000001"/>
  </r>
  <r>
    <x v="0"/>
    <x v="8"/>
    <x v="2"/>
    <x v="26"/>
    <x v="10"/>
    <n v="156.69999999999999"/>
  </r>
  <r>
    <x v="1"/>
    <x v="8"/>
    <x v="2"/>
    <x v="0"/>
    <x v="0"/>
    <n v="147.5"/>
  </r>
  <r>
    <x v="1"/>
    <x v="8"/>
    <x v="2"/>
    <x v="1"/>
    <x v="0"/>
    <n v="197.5"/>
  </r>
  <r>
    <x v="1"/>
    <x v="8"/>
    <x v="2"/>
    <x v="2"/>
    <x v="0"/>
    <n v="164.7"/>
  </r>
  <r>
    <x v="1"/>
    <x v="8"/>
    <x v="2"/>
    <x v="3"/>
    <x v="0"/>
    <n v="155.6"/>
  </r>
  <r>
    <x v="1"/>
    <x v="8"/>
    <x v="2"/>
    <x v="4"/>
    <x v="0"/>
    <n v="156.4"/>
  </r>
  <r>
    <x v="1"/>
    <x v="8"/>
    <x v="2"/>
    <x v="5"/>
    <x v="0"/>
    <n v="157.30000000000001"/>
  </r>
  <r>
    <x v="1"/>
    <x v="8"/>
    <x v="2"/>
    <x v="6"/>
    <x v="0"/>
    <n v="166.1"/>
  </r>
  <r>
    <x v="1"/>
    <x v="8"/>
    <x v="2"/>
    <x v="7"/>
    <x v="0"/>
    <n v="161.1"/>
  </r>
  <r>
    <x v="1"/>
    <x v="8"/>
    <x v="2"/>
    <x v="8"/>
    <x v="0"/>
    <n v="114.3"/>
  </r>
  <r>
    <x v="1"/>
    <x v="8"/>
    <x v="2"/>
    <x v="9"/>
    <x v="0"/>
    <n v="162.6"/>
  </r>
  <r>
    <x v="1"/>
    <x v="8"/>
    <x v="2"/>
    <x v="10"/>
    <x v="0"/>
    <n v="150.69999999999999"/>
  </r>
  <r>
    <x v="1"/>
    <x v="8"/>
    <x v="2"/>
    <x v="11"/>
    <x v="0"/>
    <n v="170.3"/>
  </r>
  <r>
    <x v="1"/>
    <x v="8"/>
    <x v="2"/>
    <x v="12"/>
    <x v="0"/>
    <n v="160.4"/>
  </r>
  <r>
    <x v="1"/>
    <x v="8"/>
    <x v="2"/>
    <x v="13"/>
    <x v="1"/>
    <n v="193.5"/>
  </r>
  <r>
    <x v="1"/>
    <x v="8"/>
    <x v="2"/>
    <x v="14"/>
    <x v="2"/>
    <n v="155.1"/>
  </r>
  <r>
    <x v="1"/>
    <x v="8"/>
    <x v="2"/>
    <x v="15"/>
    <x v="2"/>
    <n v="138.69999999999999"/>
  </r>
  <r>
    <x v="1"/>
    <x v="8"/>
    <x v="2"/>
    <x v="16"/>
    <x v="2"/>
    <n v="152.6"/>
  </r>
  <r>
    <x v="1"/>
    <x v="8"/>
    <x v="2"/>
    <x v="17"/>
    <x v="3"/>
    <n v="159.9"/>
  </r>
  <r>
    <x v="1"/>
    <x v="8"/>
    <x v="2"/>
    <x v="18"/>
    <x v="4"/>
    <n v="154.80000000000001"/>
  </r>
  <r>
    <x v="1"/>
    <x v="8"/>
    <x v="2"/>
    <x v="19"/>
    <x v="5"/>
    <n v="147.19999999999999"/>
  </r>
  <r>
    <x v="1"/>
    <x v="8"/>
    <x v="2"/>
    <x v="20"/>
    <x v="6"/>
    <n v="156.9"/>
  </r>
  <r>
    <x v="1"/>
    <x v="8"/>
    <x v="2"/>
    <x v="21"/>
    <x v="7"/>
    <n v="141.69999999999999"/>
  </r>
  <r>
    <x v="1"/>
    <x v="8"/>
    <x v="2"/>
    <x v="22"/>
    <x v="8"/>
    <n v="148.6"/>
  </r>
  <r>
    <x v="1"/>
    <x v="8"/>
    <x v="2"/>
    <x v="23"/>
    <x v="9"/>
    <n v="157.6"/>
  </r>
  <r>
    <x v="1"/>
    <x v="8"/>
    <x v="2"/>
    <x v="24"/>
    <x v="8"/>
    <n v="154.9"/>
  </r>
  <r>
    <x v="1"/>
    <x v="8"/>
    <x v="2"/>
    <x v="25"/>
    <x v="5"/>
    <n v="150"/>
  </r>
  <r>
    <x v="1"/>
    <x v="8"/>
    <x v="2"/>
    <x v="26"/>
    <x v="10"/>
    <n v="156.9"/>
  </r>
  <r>
    <x v="2"/>
    <x v="8"/>
    <x v="2"/>
    <x v="0"/>
    <x v="0"/>
    <n v="144.1"/>
  </r>
  <r>
    <x v="2"/>
    <x v="8"/>
    <x v="2"/>
    <x v="1"/>
    <x v="0"/>
    <n v="192.2"/>
  </r>
  <r>
    <x v="2"/>
    <x v="8"/>
    <x v="2"/>
    <x v="2"/>
    <x v="0"/>
    <n v="163.80000000000001"/>
  </r>
  <r>
    <x v="2"/>
    <x v="8"/>
    <x v="2"/>
    <x v="3"/>
    <x v="0"/>
    <n v="154.9"/>
  </r>
  <r>
    <x v="2"/>
    <x v="8"/>
    <x v="2"/>
    <x v="4"/>
    <x v="0"/>
    <n v="163.9"/>
  </r>
  <r>
    <x v="2"/>
    <x v="8"/>
    <x v="2"/>
    <x v="5"/>
    <x v="0"/>
    <n v="153.69999999999999"/>
  </r>
  <r>
    <x v="2"/>
    <x v="8"/>
    <x v="2"/>
    <x v="6"/>
    <x v="0"/>
    <n v="149.5"/>
  </r>
  <r>
    <x v="2"/>
    <x v="8"/>
    <x v="2"/>
    <x v="7"/>
    <x v="0"/>
    <n v="159.80000000000001"/>
  </r>
  <r>
    <x v="2"/>
    <x v="8"/>
    <x v="2"/>
    <x v="8"/>
    <x v="0"/>
    <n v="112.6"/>
  </r>
  <r>
    <x v="2"/>
    <x v="8"/>
    <x v="2"/>
    <x v="9"/>
    <x v="0"/>
    <n v="163.5"/>
  </r>
  <r>
    <x v="2"/>
    <x v="8"/>
    <x v="2"/>
    <x v="10"/>
    <x v="0"/>
    <n v="156.5"/>
  </r>
  <r>
    <x v="2"/>
    <x v="8"/>
    <x v="2"/>
    <x v="11"/>
    <x v="0"/>
    <n v="168.2"/>
  </r>
  <r>
    <x v="2"/>
    <x v="8"/>
    <x v="2"/>
    <x v="12"/>
    <x v="0"/>
    <n v="156.69999999999999"/>
  </r>
  <r>
    <x v="2"/>
    <x v="8"/>
    <x v="2"/>
    <x v="13"/>
    <x v="1"/>
    <n v="188.1"/>
  </r>
  <r>
    <x v="2"/>
    <x v="8"/>
    <x v="2"/>
    <x v="14"/>
    <x v="2"/>
    <n v="157.80000000000001"/>
  </r>
  <r>
    <x v="2"/>
    <x v="8"/>
    <x v="2"/>
    <x v="15"/>
    <x v="2"/>
    <n v="147.9"/>
  </r>
  <r>
    <x v="2"/>
    <x v="8"/>
    <x v="2"/>
    <x v="16"/>
    <x v="2"/>
    <n v="156.4"/>
  </r>
  <r>
    <x v="2"/>
    <x v="8"/>
    <x v="2"/>
    <x v="17"/>
    <x v="3"/>
    <n v="159.9"/>
  </r>
  <r>
    <x v="2"/>
    <x v="8"/>
    <x v="2"/>
    <x v="18"/>
    <x v="4"/>
    <n v="155.5"/>
  </r>
  <r>
    <x v="2"/>
    <x v="8"/>
    <x v="2"/>
    <x v="19"/>
    <x v="5"/>
    <n v="151.19999999999999"/>
  </r>
  <r>
    <x v="2"/>
    <x v="8"/>
    <x v="2"/>
    <x v="20"/>
    <x v="6"/>
    <n v="161.69999999999999"/>
  </r>
  <r>
    <x v="2"/>
    <x v="8"/>
    <x v="2"/>
    <x v="21"/>
    <x v="7"/>
    <n v="146.19999999999999"/>
  </r>
  <r>
    <x v="2"/>
    <x v="8"/>
    <x v="2"/>
    <x v="22"/>
    <x v="8"/>
    <n v="152.6"/>
  </r>
  <r>
    <x v="2"/>
    <x v="8"/>
    <x v="2"/>
    <x v="23"/>
    <x v="9"/>
    <n v="160.19999999999999"/>
  </r>
  <r>
    <x v="2"/>
    <x v="8"/>
    <x v="2"/>
    <x v="24"/>
    <x v="8"/>
    <n v="153.80000000000001"/>
  </r>
  <r>
    <x v="2"/>
    <x v="8"/>
    <x v="2"/>
    <x v="25"/>
    <x v="5"/>
    <n v="153.80000000000001"/>
  </r>
  <r>
    <x v="2"/>
    <x v="8"/>
    <x v="2"/>
    <x v="26"/>
    <x v="10"/>
    <n v="156.80000000000001"/>
  </r>
  <r>
    <x v="0"/>
    <x v="8"/>
    <x v="3"/>
    <x v="0"/>
    <x v="0"/>
    <n v="142.69999999999999"/>
  </r>
  <r>
    <x v="0"/>
    <x v="8"/>
    <x v="3"/>
    <x v="1"/>
    <x v="0"/>
    <n v="195.5"/>
  </r>
  <r>
    <x v="0"/>
    <x v="8"/>
    <x v="3"/>
    <x v="2"/>
    <x v="0"/>
    <n v="163.4"/>
  </r>
  <r>
    <x v="0"/>
    <x v="8"/>
    <x v="3"/>
    <x v="3"/>
    <x v="0"/>
    <n v="155"/>
  </r>
  <r>
    <x v="0"/>
    <x v="8"/>
    <x v="3"/>
    <x v="4"/>
    <x v="0"/>
    <n v="175.2"/>
  </r>
  <r>
    <x v="0"/>
    <x v="8"/>
    <x v="3"/>
    <x v="5"/>
    <x v="0"/>
    <n v="160.6"/>
  </r>
  <r>
    <x v="0"/>
    <x v="8"/>
    <x v="3"/>
    <x v="6"/>
    <x v="0"/>
    <n v="135.1"/>
  </r>
  <r>
    <x v="0"/>
    <x v="8"/>
    <x v="3"/>
    <x v="7"/>
    <x v="0"/>
    <n v="161.1"/>
  </r>
  <r>
    <x v="0"/>
    <x v="8"/>
    <x v="3"/>
    <x v="8"/>
    <x v="0"/>
    <n v="112.2"/>
  </r>
  <r>
    <x v="0"/>
    <x v="8"/>
    <x v="3"/>
    <x v="9"/>
    <x v="0"/>
    <n v="164.4"/>
  </r>
  <r>
    <x v="0"/>
    <x v="8"/>
    <x v="3"/>
    <x v="10"/>
    <x v="0"/>
    <n v="161.9"/>
  </r>
  <r>
    <x v="0"/>
    <x v="8"/>
    <x v="3"/>
    <x v="11"/>
    <x v="0"/>
    <n v="166.8"/>
  </r>
  <r>
    <x v="0"/>
    <x v="8"/>
    <x v="3"/>
    <x v="12"/>
    <x v="0"/>
    <n v="155.6"/>
  </r>
  <r>
    <x v="0"/>
    <x v="8"/>
    <x v="3"/>
    <x v="13"/>
    <x v="1"/>
    <n v="186.8"/>
  </r>
  <r>
    <x v="0"/>
    <x v="8"/>
    <x v="3"/>
    <x v="14"/>
    <x v="2"/>
    <n v="160.69999999999999"/>
  </r>
  <r>
    <x v="0"/>
    <x v="8"/>
    <x v="3"/>
    <x v="15"/>
    <x v="2"/>
    <n v="155.1"/>
  </r>
  <r>
    <x v="0"/>
    <x v="8"/>
    <x v="3"/>
    <x v="16"/>
    <x v="2"/>
    <n v="159.9"/>
  </r>
  <r>
    <x v="0"/>
    <x v="8"/>
    <x v="3"/>
    <x v="17"/>
    <x v="3"/>
    <s v="-"/>
  </r>
  <r>
    <x v="0"/>
    <x v="8"/>
    <x v="3"/>
    <x v="18"/>
    <x v="4"/>
    <n v="156"/>
  </r>
  <r>
    <x v="0"/>
    <x v="8"/>
    <x v="3"/>
    <x v="19"/>
    <x v="5"/>
    <n v="155.5"/>
  </r>
  <r>
    <x v="0"/>
    <x v="8"/>
    <x v="3"/>
    <x v="20"/>
    <x v="6"/>
    <n v="165.3"/>
  </r>
  <r>
    <x v="0"/>
    <x v="8"/>
    <x v="3"/>
    <x v="21"/>
    <x v="7"/>
    <n v="151.69999999999999"/>
  </r>
  <r>
    <x v="0"/>
    <x v="8"/>
    <x v="3"/>
    <x v="22"/>
    <x v="8"/>
    <n v="158.6"/>
  </r>
  <r>
    <x v="0"/>
    <x v="8"/>
    <x v="3"/>
    <x v="23"/>
    <x v="9"/>
    <n v="164.1"/>
  </r>
  <r>
    <x v="0"/>
    <x v="8"/>
    <x v="3"/>
    <x v="24"/>
    <x v="8"/>
    <n v="154.6"/>
  </r>
  <r>
    <x v="0"/>
    <x v="8"/>
    <x v="3"/>
    <x v="25"/>
    <x v="5"/>
    <n v="158"/>
  </r>
  <r>
    <x v="0"/>
    <x v="8"/>
    <x v="3"/>
    <x v="26"/>
    <x v="10"/>
    <n v="157.6"/>
  </r>
  <r>
    <x v="1"/>
    <x v="8"/>
    <x v="3"/>
    <x v="0"/>
    <x v="0"/>
    <n v="147.6"/>
  </r>
  <r>
    <x v="1"/>
    <x v="8"/>
    <x v="3"/>
    <x v="1"/>
    <x v="0"/>
    <n v="202.5"/>
  </r>
  <r>
    <x v="1"/>
    <x v="8"/>
    <x v="3"/>
    <x v="2"/>
    <x v="0"/>
    <n v="166.4"/>
  </r>
  <r>
    <x v="1"/>
    <x v="8"/>
    <x v="3"/>
    <x v="3"/>
    <x v="0"/>
    <n v="156"/>
  </r>
  <r>
    <x v="1"/>
    <x v="8"/>
    <x v="3"/>
    <x v="4"/>
    <x v="0"/>
    <n v="161.4"/>
  </r>
  <r>
    <x v="1"/>
    <x v="8"/>
    <x v="3"/>
    <x v="5"/>
    <x v="0"/>
    <n v="168.8"/>
  </r>
  <r>
    <x v="1"/>
    <x v="8"/>
    <x v="3"/>
    <x v="6"/>
    <x v="0"/>
    <n v="161.6"/>
  </r>
  <r>
    <x v="1"/>
    <x v="8"/>
    <x v="3"/>
    <x v="7"/>
    <x v="0"/>
    <n v="162.80000000000001"/>
  </r>
  <r>
    <x v="1"/>
    <x v="8"/>
    <x v="3"/>
    <x v="8"/>
    <x v="0"/>
    <n v="114.8"/>
  </r>
  <r>
    <x v="1"/>
    <x v="8"/>
    <x v="3"/>
    <x v="9"/>
    <x v="0"/>
    <n v="162.80000000000001"/>
  </r>
  <r>
    <x v="1"/>
    <x v="8"/>
    <x v="3"/>
    <x v="10"/>
    <x v="0"/>
    <n v="151.5"/>
  </r>
  <r>
    <x v="1"/>
    <x v="8"/>
    <x v="3"/>
    <x v="11"/>
    <x v="0"/>
    <n v="171.4"/>
  </r>
  <r>
    <x v="1"/>
    <x v="8"/>
    <x v="3"/>
    <x v="12"/>
    <x v="0"/>
    <n v="162"/>
  </r>
  <r>
    <x v="1"/>
    <x v="8"/>
    <x v="3"/>
    <x v="13"/>
    <x v="1"/>
    <n v="194.4"/>
  </r>
  <r>
    <x v="1"/>
    <x v="8"/>
    <x v="3"/>
    <x v="14"/>
    <x v="2"/>
    <n v="155.9"/>
  </r>
  <r>
    <x v="1"/>
    <x v="8"/>
    <x v="3"/>
    <x v="15"/>
    <x v="2"/>
    <n v="139.30000000000001"/>
  </r>
  <r>
    <x v="1"/>
    <x v="8"/>
    <x v="3"/>
    <x v="16"/>
    <x v="2"/>
    <n v="153.4"/>
  </r>
  <r>
    <x v="1"/>
    <x v="8"/>
    <x v="3"/>
    <x v="17"/>
    <x v="3"/>
    <n v="161.4"/>
  </r>
  <r>
    <x v="1"/>
    <x v="8"/>
    <x v="3"/>
    <x v="18"/>
    <x v="4"/>
    <n v="154.9"/>
  </r>
  <r>
    <x v="1"/>
    <x v="8"/>
    <x v="3"/>
    <x v="19"/>
    <x v="5"/>
    <n v="147.6"/>
  </r>
  <r>
    <x v="1"/>
    <x v="8"/>
    <x v="3"/>
    <x v="20"/>
    <x v="6"/>
    <n v="157.5"/>
  </r>
  <r>
    <x v="1"/>
    <x v="8"/>
    <x v="3"/>
    <x v="21"/>
    <x v="7"/>
    <n v="142.1"/>
  </r>
  <r>
    <x v="1"/>
    <x v="8"/>
    <x v="3"/>
    <x v="22"/>
    <x v="8"/>
    <n v="149.1"/>
  </r>
  <r>
    <x v="1"/>
    <x v="8"/>
    <x v="3"/>
    <x v="23"/>
    <x v="9"/>
    <n v="157.6"/>
  </r>
  <r>
    <x v="1"/>
    <x v="8"/>
    <x v="3"/>
    <x v="24"/>
    <x v="8"/>
    <n v="156.6"/>
  </r>
  <r>
    <x v="1"/>
    <x v="8"/>
    <x v="3"/>
    <x v="25"/>
    <x v="5"/>
    <n v="150.5"/>
  </r>
  <r>
    <x v="1"/>
    <x v="8"/>
    <x v="3"/>
    <x v="26"/>
    <x v="10"/>
    <n v="158"/>
  </r>
  <r>
    <x v="2"/>
    <x v="8"/>
    <x v="3"/>
    <x v="0"/>
    <x v="0"/>
    <n v="144.30000000000001"/>
  </r>
  <r>
    <x v="2"/>
    <x v="8"/>
    <x v="3"/>
    <x v="1"/>
    <x v="0"/>
    <n v="198"/>
  </r>
  <r>
    <x v="2"/>
    <x v="8"/>
    <x v="3"/>
    <x v="2"/>
    <x v="0"/>
    <n v="164.6"/>
  </r>
  <r>
    <x v="2"/>
    <x v="8"/>
    <x v="3"/>
    <x v="3"/>
    <x v="0"/>
    <n v="155.4"/>
  </r>
  <r>
    <x v="2"/>
    <x v="8"/>
    <x v="3"/>
    <x v="4"/>
    <x v="0"/>
    <n v="170.1"/>
  </r>
  <r>
    <x v="2"/>
    <x v="8"/>
    <x v="3"/>
    <x v="5"/>
    <x v="0"/>
    <n v="164.4"/>
  </r>
  <r>
    <x v="2"/>
    <x v="8"/>
    <x v="3"/>
    <x v="6"/>
    <x v="0"/>
    <n v="144.1"/>
  </r>
  <r>
    <x v="2"/>
    <x v="8"/>
    <x v="3"/>
    <x v="7"/>
    <x v="0"/>
    <n v="161.69999999999999"/>
  </r>
  <r>
    <x v="2"/>
    <x v="8"/>
    <x v="3"/>
    <x v="8"/>
    <x v="0"/>
    <n v="113.1"/>
  </r>
  <r>
    <x v="2"/>
    <x v="8"/>
    <x v="3"/>
    <x v="9"/>
    <x v="0"/>
    <n v="163.9"/>
  </r>
  <r>
    <x v="2"/>
    <x v="8"/>
    <x v="3"/>
    <x v="10"/>
    <x v="0"/>
    <n v="157.6"/>
  </r>
  <r>
    <x v="2"/>
    <x v="8"/>
    <x v="3"/>
    <x v="11"/>
    <x v="0"/>
    <n v="168.9"/>
  </r>
  <r>
    <x v="2"/>
    <x v="8"/>
    <x v="3"/>
    <x v="12"/>
    <x v="0"/>
    <n v="158"/>
  </r>
  <r>
    <x v="2"/>
    <x v="8"/>
    <x v="3"/>
    <x v="13"/>
    <x v="1"/>
    <n v="188.8"/>
  </r>
  <r>
    <x v="2"/>
    <x v="8"/>
    <x v="3"/>
    <x v="14"/>
    <x v="2"/>
    <n v="158.80000000000001"/>
  </r>
  <r>
    <x v="2"/>
    <x v="8"/>
    <x v="3"/>
    <x v="15"/>
    <x v="2"/>
    <n v="148.5"/>
  </r>
  <r>
    <x v="2"/>
    <x v="8"/>
    <x v="3"/>
    <x v="16"/>
    <x v="2"/>
    <n v="157.30000000000001"/>
  </r>
  <r>
    <x v="2"/>
    <x v="8"/>
    <x v="3"/>
    <x v="17"/>
    <x v="3"/>
    <n v="161.4"/>
  </r>
  <r>
    <x v="2"/>
    <x v="8"/>
    <x v="3"/>
    <x v="18"/>
    <x v="4"/>
    <n v="155.6"/>
  </r>
  <r>
    <x v="2"/>
    <x v="8"/>
    <x v="3"/>
    <x v="19"/>
    <x v="5"/>
    <n v="151.80000000000001"/>
  </r>
  <r>
    <x v="2"/>
    <x v="8"/>
    <x v="3"/>
    <x v="20"/>
    <x v="6"/>
    <n v="162.30000000000001"/>
  </r>
  <r>
    <x v="2"/>
    <x v="8"/>
    <x v="3"/>
    <x v="21"/>
    <x v="7"/>
    <n v="146.6"/>
  </r>
  <r>
    <x v="2"/>
    <x v="8"/>
    <x v="3"/>
    <x v="22"/>
    <x v="8"/>
    <n v="153.19999999999999"/>
  </r>
  <r>
    <x v="2"/>
    <x v="8"/>
    <x v="3"/>
    <x v="23"/>
    <x v="9"/>
    <n v="160.30000000000001"/>
  </r>
  <r>
    <x v="2"/>
    <x v="8"/>
    <x v="3"/>
    <x v="24"/>
    <x v="8"/>
    <n v="155.4"/>
  </r>
  <r>
    <x v="2"/>
    <x v="8"/>
    <x v="3"/>
    <x v="25"/>
    <x v="5"/>
    <n v="154.4"/>
  </r>
  <r>
    <x v="2"/>
    <x v="8"/>
    <x v="3"/>
    <x v="26"/>
    <x v="10"/>
    <n v="157.80000000000001"/>
  </r>
  <r>
    <x v="0"/>
    <x v="8"/>
    <x v="4"/>
    <x v="0"/>
    <x v="0"/>
    <n v="145.1"/>
  </r>
  <r>
    <x v="0"/>
    <x v="8"/>
    <x v="4"/>
    <x v="1"/>
    <x v="0"/>
    <n v="198.5"/>
  </r>
  <r>
    <x v="0"/>
    <x v="8"/>
    <x v="4"/>
    <x v="2"/>
    <x v="0"/>
    <n v="168.6"/>
  </r>
  <r>
    <x v="0"/>
    <x v="8"/>
    <x v="4"/>
    <x v="3"/>
    <x v="0"/>
    <n v="155.80000000000001"/>
  </r>
  <r>
    <x v="0"/>
    <x v="8"/>
    <x v="4"/>
    <x v="4"/>
    <x v="0"/>
    <n v="184.4"/>
  </r>
  <r>
    <x v="0"/>
    <x v="8"/>
    <x v="4"/>
    <x v="5"/>
    <x v="0"/>
    <n v="162.30000000000001"/>
  </r>
  <r>
    <x v="0"/>
    <x v="8"/>
    <x v="4"/>
    <x v="6"/>
    <x v="0"/>
    <n v="138.4"/>
  </r>
  <r>
    <x v="0"/>
    <x v="8"/>
    <x v="4"/>
    <x v="7"/>
    <x v="0"/>
    <n v="165.1"/>
  </r>
  <r>
    <x v="0"/>
    <x v="8"/>
    <x v="4"/>
    <x v="8"/>
    <x v="0"/>
    <n v="114.3"/>
  </r>
  <r>
    <x v="0"/>
    <x v="8"/>
    <x v="4"/>
    <x v="9"/>
    <x v="0"/>
    <n v="169.7"/>
  </r>
  <r>
    <x v="0"/>
    <x v="8"/>
    <x v="4"/>
    <x v="10"/>
    <x v="0"/>
    <n v="164.6"/>
  </r>
  <r>
    <x v="0"/>
    <x v="8"/>
    <x v="4"/>
    <x v="11"/>
    <x v="0"/>
    <n v="169.8"/>
  </r>
  <r>
    <x v="0"/>
    <x v="8"/>
    <x v="4"/>
    <x v="12"/>
    <x v="0"/>
    <n v="158.69999999999999"/>
  </r>
  <r>
    <x v="0"/>
    <x v="8"/>
    <x v="4"/>
    <x v="13"/>
    <x v="1"/>
    <n v="189.6"/>
  </r>
  <r>
    <x v="0"/>
    <x v="8"/>
    <x v="4"/>
    <x v="14"/>
    <x v="2"/>
    <n v="165.3"/>
  </r>
  <r>
    <x v="0"/>
    <x v="8"/>
    <x v="4"/>
    <x v="15"/>
    <x v="2"/>
    <n v="160.6"/>
  </r>
  <r>
    <x v="0"/>
    <x v="8"/>
    <x v="4"/>
    <x v="16"/>
    <x v="2"/>
    <n v="164.5"/>
  </r>
  <r>
    <x v="0"/>
    <x v="8"/>
    <x v="4"/>
    <x v="17"/>
    <x v="3"/>
    <s v="NA"/>
  </r>
  <r>
    <x v="0"/>
    <x v="8"/>
    <x v="4"/>
    <x v="18"/>
    <x v="4"/>
    <n v="161.69999999999999"/>
  </r>
  <r>
    <x v="0"/>
    <x v="8"/>
    <x v="4"/>
    <x v="19"/>
    <x v="5"/>
    <n v="158.80000000000001"/>
  </r>
  <r>
    <x v="0"/>
    <x v="8"/>
    <x v="4"/>
    <x v="20"/>
    <x v="6"/>
    <n v="169.1"/>
  </r>
  <r>
    <x v="0"/>
    <x v="8"/>
    <x v="4"/>
    <x v="21"/>
    <x v="7"/>
    <n v="153.19999999999999"/>
  </r>
  <r>
    <x v="0"/>
    <x v="8"/>
    <x v="4"/>
    <x v="22"/>
    <x v="8"/>
    <n v="160"/>
  </r>
  <r>
    <x v="0"/>
    <x v="8"/>
    <x v="4"/>
    <x v="23"/>
    <x v="9"/>
    <n v="167.6"/>
  </r>
  <r>
    <x v="0"/>
    <x v="8"/>
    <x v="4"/>
    <x v="24"/>
    <x v="8"/>
    <n v="159.30000000000001"/>
  </r>
  <r>
    <x v="0"/>
    <x v="8"/>
    <x v="4"/>
    <x v="25"/>
    <x v="5"/>
    <n v="161.1"/>
  </r>
  <r>
    <x v="0"/>
    <x v="8"/>
    <x v="4"/>
    <x v="26"/>
    <x v="10"/>
    <n v="161.1"/>
  </r>
  <r>
    <x v="1"/>
    <x v="8"/>
    <x v="4"/>
    <x v="0"/>
    <x v="0"/>
    <n v="148.80000000000001"/>
  </r>
  <r>
    <x v="1"/>
    <x v="8"/>
    <x v="4"/>
    <x v="1"/>
    <x v="0"/>
    <n v="204.3"/>
  </r>
  <r>
    <x v="1"/>
    <x v="8"/>
    <x v="4"/>
    <x v="2"/>
    <x v="0"/>
    <n v="173"/>
  </r>
  <r>
    <x v="1"/>
    <x v="8"/>
    <x v="4"/>
    <x v="3"/>
    <x v="0"/>
    <n v="156.5"/>
  </r>
  <r>
    <x v="1"/>
    <x v="8"/>
    <x v="4"/>
    <x v="4"/>
    <x v="0"/>
    <n v="168.8"/>
  </r>
  <r>
    <x v="1"/>
    <x v="8"/>
    <x v="4"/>
    <x v="5"/>
    <x v="0"/>
    <n v="172.5"/>
  </r>
  <r>
    <x v="1"/>
    <x v="8"/>
    <x v="4"/>
    <x v="6"/>
    <x v="0"/>
    <n v="166.5"/>
  </r>
  <r>
    <x v="1"/>
    <x v="8"/>
    <x v="4"/>
    <x v="7"/>
    <x v="0"/>
    <n v="165.9"/>
  </r>
  <r>
    <x v="1"/>
    <x v="8"/>
    <x v="4"/>
    <x v="8"/>
    <x v="0"/>
    <n v="115.9"/>
  </r>
  <r>
    <x v="1"/>
    <x v="8"/>
    <x v="4"/>
    <x v="9"/>
    <x v="0"/>
    <n v="165.2"/>
  </r>
  <r>
    <x v="1"/>
    <x v="8"/>
    <x v="4"/>
    <x v="10"/>
    <x v="0"/>
    <n v="152"/>
  </r>
  <r>
    <x v="1"/>
    <x v="8"/>
    <x v="4"/>
    <x v="11"/>
    <x v="0"/>
    <n v="171.1"/>
  </r>
  <r>
    <x v="1"/>
    <x v="8"/>
    <x v="4"/>
    <x v="12"/>
    <x v="0"/>
    <n v="164.2"/>
  </r>
  <r>
    <x v="1"/>
    <x v="8"/>
    <x v="4"/>
    <x v="13"/>
    <x v="1"/>
    <n v="198.2"/>
  </r>
  <r>
    <x v="1"/>
    <x v="8"/>
    <x v="4"/>
    <x v="14"/>
    <x v="2"/>
    <n v="156.5"/>
  </r>
  <r>
    <x v="1"/>
    <x v="8"/>
    <x v="4"/>
    <x v="15"/>
    <x v="2"/>
    <n v="140.19999999999999"/>
  </r>
  <r>
    <x v="1"/>
    <x v="8"/>
    <x v="4"/>
    <x v="16"/>
    <x v="2"/>
    <n v="154.1"/>
  </r>
  <r>
    <x v="1"/>
    <x v="8"/>
    <x v="4"/>
    <x v="17"/>
    <x v="3"/>
    <n v="161.6"/>
  </r>
  <r>
    <x v="1"/>
    <x v="8"/>
    <x v="4"/>
    <x v="18"/>
    <x v="4"/>
    <n v="155.5"/>
  </r>
  <r>
    <x v="1"/>
    <x v="8"/>
    <x v="4"/>
    <x v="19"/>
    <x v="5"/>
    <n v="150.1"/>
  </r>
  <r>
    <x v="1"/>
    <x v="8"/>
    <x v="4"/>
    <x v="20"/>
    <x v="6"/>
    <n v="160.4"/>
  </r>
  <r>
    <x v="1"/>
    <x v="8"/>
    <x v="4"/>
    <x v="21"/>
    <x v="7"/>
    <n v="145"/>
  </r>
  <r>
    <x v="1"/>
    <x v="8"/>
    <x v="4"/>
    <x v="22"/>
    <x v="8"/>
    <n v="152.6"/>
  </r>
  <r>
    <x v="1"/>
    <x v="8"/>
    <x v="4"/>
    <x v="23"/>
    <x v="9"/>
    <n v="156.6"/>
  </r>
  <r>
    <x v="1"/>
    <x v="8"/>
    <x v="4"/>
    <x v="24"/>
    <x v="8"/>
    <n v="157.5"/>
  </r>
  <r>
    <x v="1"/>
    <x v="8"/>
    <x v="4"/>
    <x v="25"/>
    <x v="5"/>
    <n v="152.30000000000001"/>
  </r>
  <r>
    <x v="1"/>
    <x v="8"/>
    <x v="4"/>
    <x v="26"/>
    <x v="10"/>
    <n v="159.5"/>
  </r>
  <r>
    <x v="2"/>
    <x v="8"/>
    <x v="4"/>
    <x v="0"/>
    <x v="0"/>
    <n v="146.30000000000001"/>
  </r>
  <r>
    <x v="2"/>
    <x v="8"/>
    <x v="4"/>
    <x v="1"/>
    <x v="0"/>
    <n v="200.5"/>
  </r>
  <r>
    <x v="2"/>
    <x v="8"/>
    <x v="4"/>
    <x v="2"/>
    <x v="0"/>
    <n v="170.3"/>
  </r>
  <r>
    <x v="2"/>
    <x v="8"/>
    <x v="4"/>
    <x v="3"/>
    <x v="0"/>
    <n v="156.1"/>
  </r>
  <r>
    <x v="2"/>
    <x v="8"/>
    <x v="4"/>
    <x v="4"/>
    <x v="0"/>
    <n v="178.7"/>
  </r>
  <r>
    <x v="2"/>
    <x v="8"/>
    <x v="4"/>
    <x v="5"/>
    <x v="0"/>
    <n v="167.1"/>
  </r>
  <r>
    <x v="2"/>
    <x v="8"/>
    <x v="4"/>
    <x v="6"/>
    <x v="0"/>
    <n v="147.9"/>
  </r>
  <r>
    <x v="2"/>
    <x v="8"/>
    <x v="4"/>
    <x v="7"/>
    <x v="0"/>
    <n v="165.4"/>
  </r>
  <r>
    <x v="2"/>
    <x v="8"/>
    <x v="4"/>
    <x v="8"/>
    <x v="0"/>
    <n v="114.8"/>
  </r>
  <r>
    <x v="2"/>
    <x v="8"/>
    <x v="4"/>
    <x v="9"/>
    <x v="0"/>
    <n v="168.2"/>
  </r>
  <r>
    <x v="2"/>
    <x v="8"/>
    <x v="4"/>
    <x v="10"/>
    <x v="0"/>
    <n v="159.30000000000001"/>
  </r>
  <r>
    <x v="2"/>
    <x v="8"/>
    <x v="4"/>
    <x v="11"/>
    <x v="0"/>
    <n v="170.4"/>
  </r>
  <r>
    <x v="2"/>
    <x v="8"/>
    <x v="4"/>
    <x v="12"/>
    <x v="0"/>
    <n v="160.69999999999999"/>
  </r>
  <r>
    <x v="2"/>
    <x v="8"/>
    <x v="4"/>
    <x v="13"/>
    <x v="1"/>
    <n v="191.9"/>
  </r>
  <r>
    <x v="2"/>
    <x v="8"/>
    <x v="4"/>
    <x v="14"/>
    <x v="2"/>
    <n v="161.80000000000001"/>
  </r>
  <r>
    <x v="2"/>
    <x v="8"/>
    <x v="4"/>
    <x v="15"/>
    <x v="2"/>
    <n v="152.1"/>
  </r>
  <r>
    <x v="2"/>
    <x v="8"/>
    <x v="4"/>
    <x v="16"/>
    <x v="2"/>
    <n v="160.4"/>
  </r>
  <r>
    <x v="2"/>
    <x v="8"/>
    <x v="4"/>
    <x v="17"/>
    <x v="3"/>
    <n v="161.6"/>
  </r>
  <r>
    <x v="2"/>
    <x v="8"/>
    <x v="4"/>
    <x v="18"/>
    <x v="4"/>
    <n v="159.4"/>
  </r>
  <r>
    <x v="2"/>
    <x v="8"/>
    <x v="4"/>
    <x v="19"/>
    <x v="5"/>
    <n v="154.69999999999999"/>
  </r>
  <r>
    <x v="2"/>
    <x v="8"/>
    <x v="4"/>
    <x v="20"/>
    <x v="6"/>
    <n v="165.8"/>
  </r>
  <r>
    <x v="2"/>
    <x v="8"/>
    <x v="4"/>
    <x v="21"/>
    <x v="7"/>
    <n v="148.9"/>
  </r>
  <r>
    <x v="2"/>
    <x v="8"/>
    <x v="4"/>
    <x v="22"/>
    <x v="8"/>
    <n v="155.80000000000001"/>
  </r>
  <r>
    <x v="2"/>
    <x v="8"/>
    <x v="4"/>
    <x v="23"/>
    <x v="9"/>
    <n v="161.19999999999999"/>
  </r>
  <r>
    <x v="2"/>
    <x v="8"/>
    <x v="4"/>
    <x v="24"/>
    <x v="8"/>
    <n v="158.6"/>
  </r>
  <r>
    <x v="2"/>
    <x v="8"/>
    <x v="4"/>
    <x v="25"/>
    <x v="5"/>
    <n v="156.80000000000001"/>
  </r>
  <r>
    <x v="2"/>
    <x v="8"/>
    <x v="4"/>
    <x v="26"/>
    <x v="10"/>
    <n v="160.4"/>
  </r>
  <r>
    <x v="0"/>
    <x v="8"/>
    <x v="5"/>
    <x v="0"/>
    <x v="0"/>
    <n v="145.6"/>
  </r>
  <r>
    <x v="0"/>
    <x v="8"/>
    <x v="5"/>
    <x v="1"/>
    <x v="0"/>
    <n v="200.1"/>
  </r>
  <r>
    <x v="0"/>
    <x v="8"/>
    <x v="5"/>
    <x v="2"/>
    <x v="0"/>
    <n v="179.3"/>
  </r>
  <r>
    <x v="0"/>
    <x v="8"/>
    <x v="5"/>
    <x v="3"/>
    <x v="0"/>
    <n v="156.1"/>
  </r>
  <r>
    <x v="0"/>
    <x v="8"/>
    <x v="5"/>
    <x v="4"/>
    <x v="0"/>
    <n v="190.4"/>
  </r>
  <r>
    <x v="0"/>
    <x v="8"/>
    <x v="5"/>
    <x v="5"/>
    <x v="0"/>
    <n v="158.6"/>
  </r>
  <r>
    <x v="0"/>
    <x v="8"/>
    <x v="5"/>
    <x v="6"/>
    <x v="0"/>
    <n v="144.69999999999999"/>
  </r>
  <r>
    <x v="0"/>
    <x v="8"/>
    <x v="5"/>
    <x v="7"/>
    <x v="0"/>
    <n v="165.5"/>
  </r>
  <r>
    <x v="0"/>
    <x v="8"/>
    <x v="5"/>
    <x v="8"/>
    <x v="0"/>
    <n v="114.6"/>
  </r>
  <r>
    <x v="0"/>
    <x v="8"/>
    <x v="5"/>
    <x v="9"/>
    <x v="0"/>
    <n v="170"/>
  </r>
  <r>
    <x v="0"/>
    <x v="8"/>
    <x v="5"/>
    <x v="10"/>
    <x v="0"/>
    <n v="165.5"/>
  </r>
  <r>
    <x v="0"/>
    <x v="8"/>
    <x v="5"/>
    <x v="11"/>
    <x v="0"/>
    <n v="171.7"/>
  </r>
  <r>
    <x v="0"/>
    <x v="8"/>
    <x v="5"/>
    <x v="12"/>
    <x v="0"/>
    <n v="160.5"/>
  </r>
  <r>
    <x v="0"/>
    <x v="8"/>
    <x v="5"/>
    <x v="13"/>
    <x v="1"/>
    <n v="189.1"/>
  </r>
  <r>
    <x v="0"/>
    <x v="8"/>
    <x v="5"/>
    <x v="14"/>
    <x v="2"/>
    <n v="165.3"/>
  </r>
  <r>
    <x v="0"/>
    <x v="8"/>
    <x v="5"/>
    <x v="15"/>
    <x v="2"/>
    <n v="159.9"/>
  </r>
  <r>
    <x v="0"/>
    <x v="8"/>
    <x v="5"/>
    <x v="16"/>
    <x v="2"/>
    <n v="164.6"/>
  </r>
  <r>
    <x v="0"/>
    <x v="8"/>
    <x v="5"/>
    <x v="17"/>
    <x v="3"/>
    <s v="NA"/>
  </r>
  <r>
    <x v="0"/>
    <x v="8"/>
    <x v="5"/>
    <x v="18"/>
    <x v="4"/>
    <n v="162.1"/>
  </r>
  <r>
    <x v="0"/>
    <x v="8"/>
    <x v="5"/>
    <x v="19"/>
    <x v="5"/>
    <n v="159.19999999999999"/>
  </r>
  <r>
    <x v="0"/>
    <x v="8"/>
    <x v="5"/>
    <x v="20"/>
    <x v="6"/>
    <n v="169.7"/>
  </r>
  <r>
    <x v="0"/>
    <x v="8"/>
    <x v="5"/>
    <x v="21"/>
    <x v="7"/>
    <n v="154.19999999999999"/>
  </r>
  <r>
    <x v="0"/>
    <x v="8"/>
    <x v="5"/>
    <x v="22"/>
    <x v="8"/>
    <n v="160.4"/>
  </r>
  <r>
    <x v="0"/>
    <x v="8"/>
    <x v="5"/>
    <x v="23"/>
    <x v="9"/>
    <n v="166.8"/>
  </r>
  <r>
    <x v="0"/>
    <x v="8"/>
    <x v="5"/>
    <x v="24"/>
    <x v="8"/>
    <n v="159.4"/>
  </r>
  <r>
    <x v="0"/>
    <x v="8"/>
    <x v="5"/>
    <x v="25"/>
    <x v="5"/>
    <n v="161.5"/>
  </r>
  <r>
    <x v="0"/>
    <x v="8"/>
    <x v="5"/>
    <x v="26"/>
    <x v="10"/>
    <n v="162.1"/>
  </r>
  <r>
    <x v="1"/>
    <x v="8"/>
    <x v="5"/>
    <x v="0"/>
    <x v="0"/>
    <n v="149.19999999999999"/>
  </r>
  <r>
    <x v="1"/>
    <x v="8"/>
    <x v="5"/>
    <x v="1"/>
    <x v="0"/>
    <n v="205.5"/>
  </r>
  <r>
    <x v="1"/>
    <x v="8"/>
    <x v="5"/>
    <x v="2"/>
    <x v="0"/>
    <n v="182.8"/>
  </r>
  <r>
    <x v="1"/>
    <x v="8"/>
    <x v="5"/>
    <x v="3"/>
    <x v="0"/>
    <n v="156.5"/>
  </r>
  <r>
    <x v="1"/>
    <x v="8"/>
    <x v="5"/>
    <x v="4"/>
    <x v="0"/>
    <n v="172.2"/>
  </r>
  <r>
    <x v="1"/>
    <x v="8"/>
    <x v="5"/>
    <x v="5"/>
    <x v="0"/>
    <n v="171.5"/>
  </r>
  <r>
    <x v="1"/>
    <x v="8"/>
    <x v="5"/>
    <x v="6"/>
    <x v="0"/>
    <n v="176.2"/>
  </r>
  <r>
    <x v="1"/>
    <x v="8"/>
    <x v="5"/>
    <x v="7"/>
    <x v="0"/>
    <n v="166.9"/>
  </r>
  <r>
    <x v="1"/>
    <x v="8"/>
    <x v="5"/>
    <x v="8"/>
    <x v="0"/>
    <n v="116.1"/>
  </r>
  <r>
    <x v="1"/>
    <x v="8"/>
    <x v="5"/>
    <x v="9"/>
    <x v="0"/>
    <n v="165.5"/>
  </r>
  <r>
    <x v="1"/>
    <x v="8"/>
    <x v="5"/>
    <x v="10"/>
    <x v="0"/>
    <n v="152.30000000000001"/>
  </r>
  <r>
    <x v="1"/>
    <x v="8"/>
    <x v="5"/>
    <x v="11"/>
    <x v="0"/>
    <n v="173.3"/>
  </r>
  <r>
    <x v="1"/>
    <x v="8"/>
    <x v="5"/>
    <x v="12"/>
    <x v="0"/>
    <n v="166.2"/>
  </r>
  <r>
    <x v="1"/>
    <x v="8"/>
    <x v="5"/>
    <x v="13"/>
    <x v="1"/>
    <n v="195.6"/>
  </r>
  <r>
    <x v="1"/>
    <x v="8"/>
    <x v="5"/>
    <x v="14"/>
    <x v="2"/>
    <n v="157.30000000000001"/>
  </r>
  <r>
    <x v="1"/>
    <x v="8"/>
    <x v="5"/>
    <x v="15"/>
    <x v="2"/>
    <n v="140.5"/>
  </r>
  <r>
    <x v="1"/>
    <x v="8"/>
    <x v="5"/>
    <x v="16"/>
    <x v="2"/>
    <n v="154.80000000000001"/>
  </r>
  <r>
    <x v="1"/>
    <x v="8"/>
    <x v="5"/>
    <x v="17"/>
    <x v="3"/>
    <n v="160.5"/>
  </r>
  <r>
    <x v="1"/>
    <x v="8"/>
    <x v="5"/>
    <x v="18"/>
    <x v="4"/>
    <n v="156.1"/>
  </r>
  <r>
    <x v="1"/>
    <x v="8"/>
    <x v="5"/>
    <x v="19"/>
    <x v="5"/>
    <n v="149.80000000000001"/>
  </r>
  <r>
    <x v="1"/>
    <x v="8"/>
    <x v="5"/>
    <x v="20"/>
    <x v="6"/>
    <n v="160.80000000000001"/>
  </r>
  <r>
    <x v="1"/>
    <x v="8"/>
    <x v="5"/>
    <x v="21"/>
    <x v="7"/>
    <n v="147.5"/>
  </r>
  <r>
    <x v="1"/>
    <x v="8"/>
    <x v="5"/>
    <x v="22"/>
    <x v="8"/>
    <n v="150.69999999999999"/>
  </r>
  <r>
    <x v="1"/>
    <x v="8"/>
    <x v="5"/>
    <x v="23"/>
    <x v="9"/>
    <n v="158.1"/>
  </r>
  <r>
    <x v="1"/>
    <x v="8"/>
    <x v="5"/>
    <x v="24"/>
    <x v="8"/>
    <n v="158"/>
  </r>
  <r>
    <x v="1"/>
    <x v="8"/>
    <x v="5"/>
    <x v="25"/>
    <x v="5"/>
    <n v="153.4"/>
  </r>
  <r>
    <x v="1"/>
    <x v="8"/>
    <x v="5"/>
    <x v="26"/>
    <x v="10"/>
    <n v="160.4"/>
  </r>
  <r>
    <x v="2"/>
    <x v="8"/>
    <x v="5"/>
    <x v="0"/>
    <x v="0"/>
    <n v="146.69999999999999"/>
  </r>
  <r>
    <x v="2"/>
    <x v="8"/>
    <x v="5"/>
    <x v="1"/>
    <x v="0"/>
    <n v="202"/>
  </r>
  <r>
    <x v="2"/>
    <x v="8"/>
    <x v="5"/>
    <x v="2"/>
    <x v="0"/>
    <n v="180.7"/>
  </r>
  <r>
    <x v="2"/>
    <x v="8"/>
    <x v="5"/>
    <x v="3"/>
    <x v="0"/>
    <n v="156.19999999999999"/>
  </r>
  <r>
    <x v="2"/>
    <x v="8"/>
    <x v="5"/>
    <x v="4"/>
    <x v="0"/>
    <n v="183.7"/>
  </r>
  <r>
    <x v="2"/>
    <x v="8"/>
    <x v="5"/>
    <x v="5"/>
    <x v="0"/>
    <n v="164.6"/>
  </r>
  <r>
    <x v="2"/>
    <x v="8"/>
    <x v="5"/>
    <x v="6"/>
    <x v="0"/>
    <n v="155.4"/>
  </r>
  <r>
    <x v="2"/>
    <x v="8"/>
    <x v="5"/>
    <x v="7"/>
    <x v="0"/>
    <n v="166"/>
  </r>
  <r>
    <x v="2"/>
    <x v="8"/>
    <x v="5"/>
    <x v="8"/>
    <x v="0"/>
    <n v="115.1"/>
  </r>
  <r>
    <x v="2"/>
    <x v="8"/>
    <x v="5"/>
    <x v="9"/>
    <x v="0"/>
    <n v="168.5"/>
  </r>
  <r>
    <x v="2"/>
    <x v="8"/>
    <x v="5"/>
    <x v="10"/>
    <x v="0"/>
    <n v="160"/>
  </r>
  <r>
    <x v="2"/>
    <x v="8"/>
    <x v="5"/>
    <x v="11"/>
    <x v="0"/>
    <n v="172.4"/>
  </r>
  <r>
    <x v="2"/>
    <x v="8"/>
    <x v="5"/>
    <x v="12"/>
    <x v="0"/>
    <n v="162.6"/>
  </r>
  <r>
    <x v="2"/>
    <x v="8"/>
    <x v="5"/>
    <x v="13"/>
    <x v="1"/>
    <n v="190.8"/>
  </r>
  <r>
    <x v="2"/>
    <x v="8"/>
    <x v="5"/>
    <x v="14"/>
    <x v="2"/>
    <n v="162.19999999999999"/>
  </r>
  <r>
    <x v="2"/>
    <x v="8"/>
    <x v="5"/>
    <x v="15"/>
    <x v="2"/>
    <n v="151.80000000000001"/>
  </r>
  <r>
    <x v="2"/>
    <x v="8"/>
    <x v="5"/>
    <x v="16"/>
    <x v="2"/>
    <n v="160.69999999999999"/>
  </r>
  <r>
    <x v="2"/>
    <x v="8"/>
    <x v="5"/>
    <x v="17"/>
    <x v="3"/>
    <n v="160.5"/>
  </r>
  <r>
    <x v="2"/>
    <x v="8"/>
    <x v="5"/>
    <x v="18"/>
    <x v="4"/>
    <n v="159.80000000000001"/>
  </r>
  <r>
    <x v="2"/>
    <x v="8"/>
    <x v="5"/>
    <x v="19"/>
    <x v="5"/>
    <n v="154.80000000000001"/>
  </r>
  <r>
    <x v="2"/>
    <x v="8"/>
    <x v="5"/>
    <x v="20"/>
    <x v="6"/>
    <n v="166.3"/>
  </r>
  <r>
    <x v="2"/>
    <x v="8"/>
    <x v="5"/>
    <x v="21"/>
    <x v="7"/>
    <n v="150.69999999999999"/>
  </r>
  <r>
    <x v="2"/>
    <x v="8"/>
    <x v="5"/>
    <x v="22"/>
    <x v="8"/>
    <n v="154.9"/>
  </r>
  <r>
    <x v="2"/>
    <x v="8"/>
    <x v="5"/>
    <x v="23"/>
    <x v="9"/>
    <n v="161.69999999999999"/>
  </r>
  <r>
    <x v="2"/>
    <x v="8"/>
    <x v="5"/>
    <x v="24"/>
    <x v="8"/>
    <n v="158.80000000000001"/>
  </r>
  <r>
    <x v="2"/>
    <x v="8"/>
    <x v="5"/>
    <x v="25"/>
    <x v="5"/>
    <n v="157.6"/>
  </r>
  <r>
    <x v="2"/>
    <x v="8"/>
    <x v="5"/>
    <x v="26"/>
    <x v="10"/>
    <n v="161.30000000000001"/>
  </r>
  <r>
    <x v="0"/>
    <x v="8"/>
    <x v="6"/>
    <x v="0"/>
    <x v="0"/>
    <n v="145.1"/>
  </r>
  <r>
    <x v="0"/>
    <x v="8"/>
    <x v="6"/>
    <x v="1"/>
    <x v="0"/>
    <n v="204.5"/>
  </r>
  <r>
    <x v="0"/>
    <x v="8"/>
    <x v="6"/>
    <x v="2"/>
    <x v="0"/>
    <n v="180.4"/>
  </r>
  <r>
    <x v="0"/>
    <x v="8"/>
    <x v="6"/>
    <x v="3"/>
    <x v="0"/>
    <n v="157.1"/>
  </r>
  <r>
    <x v="0"/>
    <x v="8"/>
    <x v="6"/>
    <x v="4"/>
    <x v="0"/>
    <n v="188.7"/>
  </r>
  <r>
    <x v="0"/>
    <x v="8"/>
    <x v="6"/>
    <x v="5"/>
    <x v="0"/>
    <n v="157.69999999999999"/>
  </r>
  <r>
    <x v="0"/>
    <x v="8"/>
    <x v="6"/>
    <x v="6"/>
    <x v="0"/>
    <n v="152.80000000000001"/>
  </r>
  <r>
    <x v="0"/>
    <x v="8"/>
    <x v="6"/>
    <x v="7"/>
    <x v="0"/>
    <n v="163.6"/>
  </r>
  <r>
    <x v="0"/>
    <x v="8"/>
    <x v="6"/>
    <x v="8"/>
    <x v="0"/>
    <n v="113.9"/>
  </r>
  <r>
    <x v="0"/>
    <x v="8"/>
    <x v="6"/>
    <x v="9"/>
    <x v="0"/>
    <n v="169.7"/>
  </r>
  <r>
    <x v="0"/>
    <x v="8"/>
    <x v="6"/>
    <x v="10"/>
    <x v="0"/>
    <n v="166.2"/>
  </r>
  <r>
    <x v="0"/>
    <x v="8"/>
    <x v="6"/>
    <x v="11"/>
    <x v="0"/>
    <n v="171"/>
  </r>
  <r>
    <x v="0"/>
    <x v="8"/>
    <x v="6"/>
    <x v="12"/>
    <x v="0"/>
    <n v="161.69999999999999"/>
  </r>
  <r>
    <x v="0"/>
    <x v="8"/>
    <x v="6"/>
    <x v="13"/>
    <x v="1"/>
    <n v="189.7"/>
  </r>
  <r>
    <x v="0"/>
    <x v="8"/>
    <x v="6"/>
    <x v="14"/>
    <x v="2"/>
    <n v="166"/>
  </r>
  <r>
    <x v="0"/>
    <x v="8"/>
    <x v="6"/>
    <x v="15"/>
    <x v="2"/>
    <n v="161.1"/>
  </r>
  <r>
    <x v="0"/>
    <x v="8"/>
    <x v="6"/>
    <x v="16"/>
    <x v="2"/>
    <n v="165.3"/>
  </r>
  <r>
    <x v="0"/>
    <x v="8"/>
    <x v="6"/>
    <x v="17"/>
    <x v="3"/>
    <s v="NA"/>
  </r>
  <r>
    <x v="0"/>
    <x v="8"/>
    <x v="6"/>
    <x v="18"/>
    <x v="4"/>
    <n v="162.5"/>
  </r>
  <r>
    <x v="0"/>
    <x v="8"/>
    <x v="6"/>
    <x v="19"/>
    <x v="5"/>
    <n v="160.30000000000001"/>
  </r>
  <r>
    <x v="0"/>
    <x v="8"/>
    <x v="6"/>
    <x v="20"/>
    <x v="6"/>
    <n v="170.4"/>
  </r>
  <r>
    <x v="0"/>
    <x v="8"/>
    <x v="6"/>
    <x v="21"/>
    <x v="7"/>
    <n v="157.1"/>
  </r>
  <r>
    <x v="0"/>
    <x v="8"/>
    <x v="6"/>
    <x v="22"/>
    <x v="8"/>
    <n v="160.69999999999999"/>
  </r>
  <r>
    <x v="0"/>
    <x v="8"/>
    <x v="6"/>
    <x v="23"/>
    <x v="9"/>
    <n v="167.2"/>
  </r>
  <r>
    <x v="0"/>
    <x v="8"/>
    <x v="6"/>
    <x v="24"/>
    <x v="8"/>
    <n v="160.4"/>
  </r>
  <r>
    <x v="0"/>
    <x v="8"/>
    <x v="6"/>
    <x v="25"/>
    <x v="5"/>
    <n v="162.80000000000001"/>
  </r>
  <r>
    <x v="0"/>
    <x v="8"/>
    <x v="6"/>
    <x v="26"/>
    <x v="10"/>
    <n v="163.19999999999999"/>
  </r>
  <r>
    <x v="1"/>
    <x v="8"/>
    <x v="6"/>
    <x v="0"/>
    <x v="0"/>
    <n v="149.1"/>
  </r>
  <r>
    <x v="1"/>
    <x v="8"/>
    <x v="6"/>
    <x v="1"/>
    <x v="0"/>
    <n v="210.9"/>
  </r>
  <r>
    <x v="1"/>
    <x v="8"/>
    <x v="6"/>
    <x v="2"/>
    <x v="0"/>
    <n v="185"/>
  </r>
  <r>
    <x v="1"/>
    <x v="8"/>
    <x v="6"/>
    <x v="3"/>
    <x v="0"/>
    <n v="158.19999999999999"/>
  </r>
  <r>
    <x v="1"/>
    <x v="8"/>
    <x v="6"/>
    <x v="4"/>
    <x v="0"/>
    <n v="170.6"/>
  </r>
  <r>
    <x v="1"/>
    <x v="8"/>
    <x v="6"/>
    <x v="5"/>
    <x v="0"/>
    <n v="170.9"/>
  </r>
  <r>
    <x v="1"/>
    <x v="8"/>
    <x v="6"/>
    <x v="6"/>
    <x v="0"/>
    <n v="186.4"/>
  </r>
  <r>
    <x v="1"/>
    <x v="8"/>
    <x v="6"/>
    <x v="7"/>
    <x v="0"/>
    <n v="164.7"/>
  </r>
  <r>
    <x v="1"/>
    <x v="8"/>
    <x v="6"/>
    <x v="8"/>
    <x v="0"/>
    <n v="115.7"/>
  </r>
  <r>
    <x v="1"/>
    <x v="8"/>
    <x v="6"/>
    <x v="9"/>
    <x v="0"/>
    <n v="165.5"/>
  </r>
  <r>
    <x v="1"/>
    <x v="8"/>
    <x v="6"/>
    <x v="10"/>
    <x v="0"/>
    <n v="153.4"/>
  </r>
  <r>
    <x v="1"/>
    <x v="8"/>
    <x v="6"/>
    <x v="11"/>
    <x v="0"/>
    <n v="173.5"/>
  </r>
  <r>
    <x v="1"/>
    <x v="8"/>
    <x v="6"/>
    <x v="12"/>
    <x v="0"/>
    <n v="167.9"/>
  </r>
  <r>
    <x v="1"/>
    <x v="8"/>
    <x v="6"/>
    <x v="13"/>
    <x v="1"/>
    <n v="195.5"/>
  </r>
  <r>
    <x v="1"/>
    <x v="8"/>
    <x v="6"/>
    <x v="14"/>
    <x v="2"/>
    <n v="157.9"/>
  </r>
  <r>
    <x v="1"/>
    <x v="8"/>
    <x v="6"/>
    <x v="15"/>
    <x v="2"/>
    <n v="141.9"/>
  </r>
  <r>
    <x v="1"/>
    <x v="8"/>
    <x v="6"/>
    <x v="16"/>
    <x v="2"/>
    <n v="155.5"/>
  </r>
  <r>
    <x v="1"/>
    <x v="8"/>
    <x v="6"/>
    <x v="17"/>
    <x v="3"/>
    <n v="161.5"/>
  </r>
  <r>
    <x v="1"/>
    <x v="8"/>
    <x v="6"/>
    <x v="18"/>
    <x v="4"/>
    <n v="157.69999999999999"/>
  </r>
  <r>
    <x v="1"/>
    <x v="8"/>
    <x v="6"/>
    <x v="19"/>
    <x v="5"/>
    <n v="150.69999999999999"/>
  </r>
  <r>
    <x v="1"/>
    <x v="8"/>
    <x v="6"/>
    <x v="20"/>
    <x v="6"/>
    <n v="161.5"/>
  </r>
  <r>
    <x v="1"/>
    <x v="8"/>
    <x v="6"/>
    <x v="21"/>
    <x v="7"/>
    <n v="149.5"/>
  </r>
  <r>
    <x v="1"/>
    <x v="8"/>
    <x v="6"/>
    <x v="22"/>
    <x v="8"/>
    <n v="151.19999999999999"/>
  </r>
  <r>
    <x v="1"/>
    <x v="8"/>
    <x v="6"/>
    <x v="23"/>
    <x v="9"/>
    <n v="160.30000000000001"/>
  </r>
  <r>
    <x v="1"/>
    <x v="8"/>
    <x v="6"/>
    <x v="24"/>
    <x v="8"/>
    <n v="159.6"/>
  </r>
  <r>
    <x v="1"/>
    <x v="8"/>
    <x v="6"/>
    <x v="25"/>
    <x v="5"/>
    <n v="155"/>
  </r>
  <r>
    <x v="1"/>
    <x v="8"/>
    <x v="6"/>
    <x v="26"/>
    <x v="10"/>
    <n v="161.80000000000001"/>
  </r>
  <r>
    <x v="2"/>
    <x v="8"/>
    <x v="6"/>
    <x v="0"/>
    <x v="0"/>
    <n v="146.4"/>
  </r>
  <r>
    <x v="2"/>
    <x v="8"/>
    <x v="6"/>
    <x v="1"/>
    <x v="0"/>
    <n v="206.8"/>
  </r>
  <r>
    <x v="2"/>
    <x v="8"/>
    <x v="6"/>
    <x v="2"/>
    <x v="0"/>
    <n v="182.2"/>
  </r>
  <r>
    <x v="2"/>
    <x v="8"/>
    <x v="6"/>
    <x v="3"/>
    <x v="0"/>
    <n v="157.5"/>
  </r>
  <r>
    <x v="2"/>
    <x v="8"/>
    <x v="6"/>
    <x v="4"/>
    <x v="0"/>
    <n v="182.1"/>
  </r>
  <r>
    <x v="2"/>
    <x v="8"/>
    <x v="6"/>
    <x v="5"/>
    <x v="0"/>
    <n v="163.9"/>
  </r>
  <r>
    <x v="2"/>
    <x v="8"/>
    <x v="6"/>
    <x v="6"/>
    <x v="0"/>
    <n v="164.2"/>
  </r>
  <r>
    <x v="2"/>
    <x v="8"/>
    <x v="6"/>
    <x v="7"/>
    <x v="0"/>
    <n v="164"/>
  </r>
  <r>
    <x v="2"/>
    <x v="8"/>
    <x v="6"/>
    <x v="8"/>
    <x v="0"/>
    <n v="114.5"/>
  </r>
  <r>
    <x v="2"/>
    <x v="8"/>
    <x v="6"/>
    <x v="9"/>
    <x v="0"/>
    <n v="168.3"/>
  </r>
  <r>
    <x v="2"/>
    <x v="8"/>
    <x v="6"/>
    <x v="10"/>
    <x v="0"/>
    <n v="160.9"/>
  </r>
  <r>
    <x v="2"/>
    <x v="8"/>
    <x v="6"/>
    <x v="11"/>
    <x v="0"/>
    <n v="172.2"/>
  </r>
  <r>
    <x v="2"/>
    <x v="8"/>
    <x v="6"/>
    <x v="12"/>
    <x v="0"/>
    <n v="164"/>
  </r>
  <r>
    <x v="2"/>
    <x v="8"/>
    <x v="6"/>
    <x v="13"/>
    <x v="1"/>
    <n v="191.2"/>
  </r>
  <r>
    <x v="2"/>
    <x v="8"/>
    <x v="6"/>
    <x v="14"/>
    <x v="2"/>
    <n v="162.80000000000001"/>
  </r>
  <r>
    <x v="2"/>
    <x v="8"/>
    <x v="6"/>
    <x v="15"/>
    <x v="2"/>
    <n v="153.1"/>
  </r>
  <r>
    <x v="2"/>
    <x v="8"/>
    <x v="6"/>
    <x v="16"/>
    <x v="2"/>
    <n v="161.4"/>
  </r>
  <r>
    <x v="2"/>
    <x v="8"/>
    <x v="6"/>
    <x v="17"/>
    <x v="3"/>
    <n v="161.5"/>
  </r>
  <r>
    <x v="2"/>
    <x v="8"/>
    <x v="6"/>
    <x v="18"/>
    <x v="4"/>
    <n v="160.69999999999999"/>
  </r>
  <r>
    <x v="2"/>
    <x v="8"/>
    <x v="6"/>
    <x v="19"/>
    <x v="5"/>
    <n v="155.80000000000001"/>
  </r>
  <r>
    <x v="2"/>
    <x v="8"/>
    <x v="6"/>
    <x v="20"/>
    <x v="6"/>
    <n v="167"/>
  </r>
  <r>
    <x v="2"/>
    <x v="8"/>
    <x v="6"/>
    <x v="21"/>
    <x v="7"/>
    <n v="153.1"/>
  </r>
  <r>
    <x v="2"/>
    <x v="8"/>
    <x v="6"/>
    <x v="22"/>
    <x v="8"/>
    <n v="155.30000000000001"/>
  </r>
  <r>
    <x v="2"/>
    <x v="8"/>
    <x v="6"/>
    <x v="23"/>
    <x v="9"/>
    <n v="163.19999999999999"/>
  </r>
  <r>
    <x v="2"/>
    <x v="8"/>
    <x v="6"/>
    <x v="24"/>
    <x v="8"/>
    <n v="160.1"/>
  </r>
  <r>
    <x v="2"/>
    <x v="8"/>
    <x v="6"/>
    <x v="25"/>
    <x v="5"/>
    <n v="159"/>
  </r>
  <r>
    <x v="2"/>
    <x v="8"/>
    <x v="6"/>
    <x v="26"/>
    <x v="10"/>
    <n v="162.5"/>
  </r>
  <r>
    <x v="0"/>
    <x v="8"/>
    <x v="7"/>
    <x v="0"/>
    <x v="0"/>
    <n v="144.9"/>
  </r>
  <r>
    <x v="0"/>
    <x v="8"/>
    <x v="7"/>
    <x v="1"/>
    <x v="0"/>
    <n v="202.3"/>
  </r>
  <r>
    <x v="0"/>
    <x v="8"/>
    <x v="7"/>
    <x v="2"/>
    <x v="0"/>
    <n v="176.5"/>
  </r>
  <r>
    <x v="0"/>
    <x v="8"/>
    <x v="7"/>
    <x v="3"/>
    <x v="0"/>
    <n v="157.5"/>
  </r>
  <r>
    <x v="0"/>
    <x v="8"/>
    <x v="7"/>
    <x v="4"/>
    <x v="0"/>
    <n v="190.9"/>
  </r>
  <r>
    <x v="0"/>
    <x v="8"/>
    <x v="7"/>
    <x v="5"/>
    <x v="0"/>
    <n v="155.69999999999999"/>
  </r>
  <r>
    <x v="0"/>
    <x v="8"/>
    <x v="7"/>
    <x v="6"/>
    <x v="0"/>
    <n v="153.9"/>
  </r>
  <r>
    <x v="0"/>
    <x v="8"/>
    <x v="7"/>
    <x v="7"/>
    <x v="0"/>
    <n v="162.80000000000001"/>
  </r>
  <r>
    <x v="0"/>
    <x v="8"/>
    <x v="7"/>
    <x v="8"/>
    <x v="0"/>
    <n v="115.2"/>
  </r>
  <r>
    <x v="0"/>
    <x v="8"/>
    <x v="7"/>
    <x v="9"/>
    <x v="0"/>
    <n v="169.8"/>
  </r>
  <r>
    <x v="0"/>
    <x v="8"/>
    <x v="7"/>
    <x v="10"/>
    <x v="0"/>
    <n v="167.6"/>
  </r>
  <r>
    <x v="0"/>
    <x v="8"/>
    <x v="7"/>
    <x v="11"/>
    <x v="0"/>
    <n v="171.9"/>
  </r>
  <r>
    <x v="0"/>
    <x v="8"/>
    <x v="7"/>
    <x v="12"/>
    <x v="0"/>
    <n v="161.80000000000001"/>
  </r>
  <r>
    <x v="0"/>
    <x v="8"/>
    <x v="7"/>
    <x v="13"/>
    <x v="1"/>
    <n v="190.2"/>
  </r>
  <r>
    <x v="0"/>
    <x v="8"/>
    <x v="7"/>
    <x v="14"/>
    <x v="2"/>
    <n v="167"/>
  </r>
  <r>
    <x v="0"/>
    <x v="8"/>
    <x v="7"/>
    <x v="15"/>
    <x v="2"/>
    <n v="162.6"/>
  </r>
  <r>
    <x v="0"/>
    <x v="8"/>
    <x v="7"/>
    <x v="16"/>
    <x v="2"/>
    <n v="166.3"/>
  </r>
  <r>
    <x v="0"/>
    <x v="8"/>
    <x v="7"/>
    <x v="17"/>
    <x v="3"/>
    <s v="NA"/>
  </r>
  <r>
    <x v="0"/>
    <x v="8"/>
    <x v="7"/>
    <x v="18"/>
    <x v="4"/>
    <n v="163.1"/>
  </r>
  <r>
    <x v="0"/>
    <x v="8"/>
    <x v="7"/>
    <x v="19"/>
    <x v="5"/>
    <n v="160.9"/>
  </r>
  <r>
    <x v="0"/>
    <x v="8"/>
    <x v="7"/>
    <x v="20"/>
    <x v="6"/>
    <n v="171.1"/>
  </r>
  <r>
    <x v="0"/>
    <x v="8"/>
    <x v="7"/>
    <x v="21"/>
    <x v="7"/>
    <n v="157.69999999999999"/>
  </r>
  <r>
    <x v="0"/>
    <x v="8"/>
    <x v="7"/>
    <x v="22"/>
    <x v="8"/>
    <n v="161.1"/>
  </r>
  <r>
    <x v="0"/>
    <x v="8"/>
    <x v="7"/>
    <x v="23"/>
    <x v="9"/>
    <n v="167.5"/>
  </r>
  <r>
    <x v="0"/>
    <x v="8"/>
    <x v="7"/>
    <x v="24"/>
    <x v="8"/>
    <n v="160.30000000000001"/>
  </r>
  <r>
    <x v="0"/>
    <x v="8"/>
    <x v="7"/>
    <x v="25"/>
    <x v="5"/>
    <n v="163.30000000000001"/>
  </r>
  <r>
    <x v="0"/>
    <x v="8"/>
    <x v="7"/>
    <x v="26"/>
    <x v="10"/>
    <n v="163.6"/>
  </r>
  <r>
    <x v="1"/>
    <x v="8"/>
    <x v="7"/>
    <x v="0"/>
    <x v="0"/>
    <n v="149.30000000000001"/>
  </r>
  <r>
    <x v="1"/>
    <x v="8"/>
    <x v="7"/>
    <x v="1"/>
    <x v="0"/>
    <n v="207.4"/>
  </r>
  <r>
    <x v="1"/>
    <x v="8"/>
    <x v="7"/>
    <x v="2"/>
    <x v="0"/>
    <n v="174.1"/>
  </r>
  <r>
    <x v="1"/>
    <x v="8"/>
    <x v="7"/>
    <x v="3"/>
    <x v="0"/>
    <n v="159.19999999999999"/>
  </r>
  <r>
    <x v="1"/>
    <x v="8"/>
    <x v="7"/>
    <x v="4"/>
    <x v="0"/>
    <n v="175"/>
  </r>
  <r>
    <x v="1"/>
    <x v="8"/>
    <x v="7"/>
    <x v="5"/>
    <x v="0"/>
    <n v="161.30000000000001"/>
  </r>
  <r>
    <x v="1"/>
    <x v="8"/>
    <x v="7"/>
    <x v="6"/>
    <x v="0"/>
    <n v="183.3"/>
  </r>
  <r>
    <x v="1"/>
    <x v="8"/>
    <x v="7"/>
    <x v="7"/>
    <x v="0"/>
    <n v="164.5"/>
  </r>
  <r>
    <x v="1"/>
    <x v="8"/>
    <x v="7"/>
    <x v="8"/>
    <x v="0"/>
    <n v="120.4"/>
  </r>
  <r>
    <x v="1"/>
    <x v="8"/>
    <x v="7"/>
    <x v="9"/>
    <x v="0"/>
    <n v="166.2"/>
  </r>
  <r>
    <x v="1"/>
    <x v="8"/>
    <x v="7"/>
    <x v="10"/>
    <x v="0"/>
    <n v="154.80000000000001"/>
  </r>
  <r>
    <x v="1"/>
    <x v="8"/>
    <x v="7"/>
    <x v="11"/>
    <x v="0"/>
    <n v="175.1"/>
  </r>
  <r>
    <x v="1"/>
    <x v="8"/>
    <x v="7"/>
    <x v="12"/>
    <x v="0"/>
    <n v="167.3"/>
  </r>
  <r>
    <x v="1"/>
    <x v="8"/>
    <x v="7"/>
    <x v="13"/>
    <x v="1"/>
    <n v="196.5"/>
  </r>
  <r>
    <x v="1"/>
    <x v="8"/>
    <x v="7"/>
    <x v="14"/>
    <x v="2"/>
    <n v="159.80000000000001"/>
  </r>
  <r>
    <x v="1"/>
    <x v="8"/>
    <x v="7"/>
    <x v="15"/>
    <x v="2"/>
    <n v="143.6"/>
  </r>
  <r>
    <x v="1"/>
    <x v="8"/>
    <x v="7"/>
    <x v="16"/>
    <x v="2"/>
    <n v="157.30000000000001"/>
  </r>
  <r>
    <x v="1"/>
    <x v="8"/>
    <x v="7"/>
    <x v="17"/>
    <x v="3"/>
    <n v="162.1"/>
  </r>
  <r>
    <x v="1"/>
    <x v="8"/>
    <x v="7"/>
    <x v="18"/>
    <x v="4"/>
    <n v="160.69999999999999"/>
  </r>
  <r>
    <x v="1"/>
    <x v="8"/>
    <x v="7"/>
    <x v="19"/>
    <x v="5"/>
    <n v="153.19999999999999"/>
  </r>
  <r>
    <x v="1"/>
    <x v="8"/>
    <x v="7"/>
    <x v="20"/>
    <x v="6"/>
    <n v="162.80000000000001"/>
  </r>
  <r>
    <x v="1"/>
    <x v="8"/>
    <x v="7"/>
    <x v="21"/>
    <x v="7"/>
    <n v="150.4"/>
  </r>
  <r>
    <x v="1"/>
    <x v="8"/>
    <x v="7"/>
    <x v="22"/>
    <x v="8"/>
    <n v="153.69999999999999"/>
  </r>
  <r>
    <x v="1"/>
    <x v="8"/>
    <x v="7"/>
    <x v="23"/>
    <x v="9"/>
    <n v="160.4"/>
  </r>
  <r>
    <x v="1"/>
    <x v="8"/>
    <x v="7"/>
    <x v="24"/>
    <x v="8"/>
    <n v="159.6"/>
  </r>
  <r>
    <x v="1"/>
    <x v="8"/>
    <x v="7"/>
    <x v="25"/>
    <x v="5"/>
    <n v="156"/>
  </r>
  <r>
    <x v="1"/>
    <x v="8"/>
    <x v="7"/>
    <x v="26"/>
    <x v="10"/>
    <n v="162.30000000000001"/>
  </r>
  <r>
    <x v="2"/>
    <x v="8"/>
    <x v="7"/>
    <x v="0"/>
    <x v="0"/>
    <n v="146.6"/>
  </r>
  <r>
    <x v="2"/>
    <x v="8"/>
    <x v="7"/>
    <x v="1"/>
    <x v="0"/>
    <n v="204"/>
  </r>
  <r>
    <x v="2"/>
    <x v="8"/>
    <x v="7"/>
    <x v="2"/>
    <x v="0"/>
    <n v="172.8"/>
  </r>
  <r>
    <x v="2"/>
    <x v="8"/>
    <x v="7"/>
    <x v="3"/>
    <x v="0"/>
    <n v="158.4"/>
  </r>
  <r>
    <x v="2"/>
    <x v="8"/>
    <x v="7"/>
    <x v="4"/>
    <x v="0"/>
    <n v="188"/>
  </r>
  <r>
    <x v="2"/>
    <x v="8"/>
    <x v="7"/>
    <x v="5"/>
    <x v="0"/>
    <n v="156.80000000000001"/>
  </r>
  <r>
    <x v="2"/>
    <x v="8"/>
    <x v="7"/>
    <x v="6"/>
    <x v="0"/>
    <n v="162.19999999999999"/>
  </r>
  <r>
    <x v="2"/>
    <x v="8"/>
    <x v="7"/>
    <x v="7"/>
    <x v="0"/>
    <n v="164.1"/>
  </r>
  <r>
    <x v="2"/>
    <x v="8"/>
    <x v="7"/>
    <x v="8"/>
    <x v="0"/>
    <n v="119.7"/>
  </r>
  <r>
    <x v="2"/>
    <x v="8"/>
    <x v="7"/>
    <x v="9"/>
    <x v="0"/>
    <n v="168.8"/>
  </r>
  <r>
    <x v="2"/>
    <x v="8"/>
    <x v="7"/>
    <x v="10"/>
    <x v="0"/>
    <n v="162.69999999999999"/>
  </r>
  <r>
    <x v="2"/>
    <x v="8"/>
    <x v="7"/>
    <x v="11"/>
    <x v="0"/>
    <n v="173.9"/>
  </r>
  <r>
    <x v="2"/>
    <x v="8"/>
    <x v="7"/>
    <x v="12"/>
    <x v="0"/>
    <n v="164"/>
  </r>
  <r>
    <x v="2"/>
    <x v="8"/>
    <x v="7"/>
    <x v="13"/>
    <x v="1"/>
    <n v="192.1"/>
  </r>
  <r>
    <x v="2"/>
    <x v="8"/>
    <x v="7"/>
    <x v="14"/>
    <x v="2"/>
    <n v="164.5"/>
  </r>
  <r>
    <x v="2"/>
    <x v="8"/>
    <x v="7"/>
    <x v="15"/>
    <x v="2"/>
    <n v="155.30000000000001"/>
  </r>
  <r>
    <x v="2"/>
    <x v="8"/>
    <x v="7"/>
    <x v="16"/>
    <x v="2"/>
    <n v="163.19999999999999"/>
  </r>
  <r>
    <x v="2"/>
    <x v="8"/>
    <x v="7"/>
    <x v="17"/>
    <x v="3"/>
    <n v="162.1"/>
  </r>
  <r>
    <x v="2"/>
    <x v="8"/>
    <x v="7"/>
    <x v="18"/>
    <x v="4"/>
    <n v="162.6"/>
  </r>
  <r>
    <x v="2"/>
    <x v="8"/>
    <x v="7"/>
    <x v="19"/>
    <x v="5"/>
    <n v="157.5"/>
  </r>
  <r>
    <x v="2"/>
    <x v="8"/>
    <x v="7"/>
    <x v="20"/>
    <x v="6"/>
    <n v="168.4"/>
  </r>
  <r>
    <x v="2"/>
    <x v="8"/>
    <x v="7"/>
    <x v="21"/>
    <x v="7"/>
    <n v="154"/>
  </r>
  <r>
    <x v="2"/>
    <x v="8"/>
    <x v="7"/>
    <x v="22"/>
    <x v="8"/>
    <n v="157.6"/>
  </r>
  <r>
    <x v="2"/>
    <x v="8"/>
    <x v="7"/>
    <x v="23"/>
    <x v="9"/>
    <n v="163.80000000000001"/>
  </r>
  <r>
    <x v="2"/>
    <x v="8"/>
    <x v="7"/>
    <x v="24"/>
    <x v="8"/>
    <n v="160"/>
  </r>
  <r>
    <x v="2"/>
    <x v="8"/>
    <x v="7"/>
    <x v="25"/>
    <x v="5"/>
    <n v="160"/>
  </r>
  <r>
    <x v="2"/>
    <x v="8"/>
    <x v="7"/>
    <x v="26"/>
    <x v="10"/>
    <n v="163.19999999999999"/>
  </r>
  <r>
    <x v="0"/>
    <x v="8"/>
    <x v="8"/>
    <x v="0"/>
    <x v="0"/>
    <n v="145.4"/>
  </r>
  <r>
    <x v="0"/>
    <x v="8"/>
    <x v="8"/>
    <x v="1"/>
    <x v="0"/>
    <n v="202.1"/>
  </r>
  <r>
    <x v="0"/>
    <x v="8"/>
    <x v="8"/>
    <x v="2"/>
    <x v="0"/>
    <n v="172"/>
  </r>
  <r>
    <x v="0"/>
    <x v="8"/>
    <x v="8"/>
    <x v="3"/>
    <x v="0"/>
    <n v="158"/>
  </r>
  <r>
    <x v="0"/>
    <x v="8"/>
    <x v="8"/>
    <x v="4"/>
    <x v="0"/>
    <n v="195.5"/>
  </r>
  <r>
    <x v="0"/>
    <x v="8"/>
    <x v="8"/>
    <x v="5"/>
    <x v="0"/>
    <n v="152.69999999999999"/>
  </r>
  <r>
    <x v="0"/>
    <x v="8"/>
    <x v="8"/>
    <x v="6"/>
    <x v="0"/>
    <n v="151.4"/>
  </r>
  <r>
    <x v="0"/>
    <x v="8"/>
    <x v="8"/>
    <x v="7"/>
    <x v="0"/>
    <n v="163.9"/>
  </r>
  <r>
    <x v="0"/>
    <x v="8"/>
    <x v="8"/>
    <x v="8"/>
    <x v="0"/>
    <n v="119.3"/>
  </r>
  <r>
    <x v="0"/>
    <x v="8"/>
    <x v="8"/>
    <x v="9"/>
    <x v="0"/>
    <n v="170.1"/>
  </r>
  <r>
    <x v="0"/>
    <x v="8"/>
    <x v="8"/>
    <x v="10"/>
    <x v="0"/>
    <n v="168.3"/>
  </r>
  <r>
    <x v="0"/>
    <x v="8"/>
    <x v="8"/>
    <x v="11"/>
    <x v="0"/>
    <n v="172.8"/>
  </r>
  <r>
    <x v="0"/>
    <x v="8"/>
    <x v="8"/>
    <x v="12"/>
    <x v="0"/>
    <n v="162.1"/>
  </r>
  <r>
    <x v="0"/>
    <x v="8"/>
    <x v="8"/>
    <x v="13"/>
    <x v="1"/>
    <n v="190.5"/>
  </r>
  <r>
    <x v="0"/>
    <x v="8"/>
    <x v="8"/>
    <x v="14"/>
    <x v="2"/>
    <n v="167.7"/>
  </r>
  <r>
    <x v="0"/>
    <x v="8"/>
    <x v="8"/>
    <x v="15"/>
    <x v="2"/>
    <n v="163.6"/>
  </r>
  <r>
    <x v="0"/>
    <x v="8"/>
    <x v="8"/>
    <x v="16"/>
    <x v="2"/>
    <n v="167.1"/>
  </r>
  <r>
    <x v="0"/>
    <x v="8"/>
    <x v="8"/>
    <x v="17"/>
    <x v="3"/>
    <s v="NA"/>
  </r>
  <r>
    <x v="0"/>
    <x v="8"/>
    <x v="8"/>
    <x v="18"/>
    <x v="4"/>
    <n v="163.69999999999999"/>
  </r>
  <r>
    <x v="0"/>
    <x v="8"/>
    <x v="8"/>
    <x v="19"/>
    <x v="5"/>
    <n v="161.30000000000001"/>
  </r>
  <r>
    <x v="0"/>
    <x v="8"/>
    <x v="8"/>
    <x v="20"/>
    <x v="6"/>
    <n v="171.9"/>
  </r>
  <r>
    <x v="0"/>
    <x v="8"/>
    <x v="8"/>
    <x v="21"/>
    <x v="7"/>
    <n v="157.80000000000001"/>
  </r>
  <r>
    <x v="0"/>
    <x v="8"/>
    <x v="8"/>
    <x v="22"/>
    <x v="8"/>
    <n v="162.69999999999999"/>
  </r>
  <r>
    <x v="0"/>
    <x v="8"/>
    <x v="8"/>
    <x v="23"/>
    <x v="9"/>
    <n v="168.5"/>
  </r>
  <r>
    <x v="0"/>
    <x v="8"/>
    <x v="8"/>
    <x v="24"/>
    <x v="8"/>
    <n v="160.19999999999999"/>
  </r>
  <r>
    <x v="0"/>
    <x v="8"/>
    <x v="8"/>
    <x v="25"/>
    <x v="5"/>
    <n v="163.80000000000001"/>
  </r>
  <r>
    <x v="0"/>
    <x v="8"/>
    <x v="8"/>
    <x v="26"/>
    <x v="10"/>
    <n v="164"/>
  </r>
  <r>
    <x v="1"/>
    <x v="8"/>
    <x v="8"/>
    <x v="0"/>
    <x v="0"/>
    <n v="149.30000000000001"/>
  </r>
  <r>
    <x v="1"/>
    <x v="8"/>
    <x v="8"/>
    <x v="1"/>
    <x v="0"/>
    <n v="207.4"/>
  </r>
  <r>
    <x v="1"/>
    <x v="8"/>
    <x v="8"/>
    <x v="2"/>
    <x v="0"/>
    <n v="174.1"/>
  </r>
  <r>
    <x v="1"/>
    <x v="8"/>
    <x v="8"/>
    <x v="3"/>
    <x v="0"/>
    <n v="159.1"/>
  </r>
  <r>
    <x v="1"/>
    <x v="8"/>
    <x v="8"/>
    <x v="4"/>
    <x v="0"/>
    <n v="175"/>
  </r>
  <r>
    <x v="1"/>
    <x v="8"/>
    <x v="8"/>
    <x v="5"/>
    <x v="0"/>
    <n v="161.19999999999999"/>
  </r>
  <r>
    <x v="1"/>
    <x v="8"/>
    <x v="8"/>
    <x v="6"/>
    <x v="0"/>
    <n v="183.5"/>
  </r>
  <r>
    <x v="1"/>
    <x v="8"/>
    <x v="8"/>
    <x v="7"/>
    <x v="0"/>
    <n v="164.5"/>
  </r>
  <r>
    <x v="1"/>
    <x v="8"/>
    <x v="8"/>
    <x v="8"/>
    <x v="0"/>
    <n v="120.4"/>
  </r>
  <r>
    <x v="1"/>
    <x v="8"/>
    <x v="8"/>
    <x v="9"/>
    <x v="0"/>
    <n v="166.2"/>
  </r>
  <r>
    <x v="1"/>
    <x v="8"/>
    <x v="8"/>
    <x v="10"/>
    <x v="0"/>
    <n v="154.80000000000001"/>
  </r>
  <r>
    <x v="1"/>
    <x v="8"/>
    <x v="8"/>
    <x v="11"/>
    <x v="0"/>
    <n v="175.1"/>
  </r>
  <r>
    <x v="1"/>
    <x v="8"/>
    <x v="8"/>
    <x v="12"/>
    <x v="0"/>
    <n v="167.3"/>
  </r>
  <r>
    <x v="1"/>
    <x v="8"/>
    <x v="8"/>
    <x v="13"/>
    <x v="1"/>
    <n v="196.5"/>
  </r>
  <r>
    <x v="1"/>
    <x v="8"/>
    <x v="8"/>
    <x v="14"/>
    <x v="2"/>
    <n v="159.80000000000001"/>
  </r>
  <r>
    <x v="1"/>
    <x v="8"/>
    <x v="8"/>
    <x v="15"/>
    <x v="2"/>
    <n v="143.6"/>
  </r>
  <r>
    <x v="1"/>
    <x v="8"/>
    <x v="8"/>
    <x v="16"/>
    <x v="2"/>
    <n v="157.4"/>
  </r>
  <r>
    <x v="1"/>
    <x v="8"/>
    <x v="8"/>
    <x v="17"/>
    <x v="3"/>
    <n v="162.1"/>
  </r>
  <r>
    <x v="1"/>
    <x v="8"/>
    <x v="8"/>
    <x v="18"/>
    <x v="4"/>
    <n v="160.80000000000001"/>
  </r>
  <r>
    <x v="1"/>
    <x v="8"/>
    <x v="8"/>
    <x v="19"/>
    <x v="5"/>
    <n v="153.30000000000001"/>
  </r>
  <r>
    <x v="1"/>
    <x v="8"/>
    <x v="8"/>
    <x v="20"/>
    <x v="6"/>
    <n v="162.80000000000001"/>
  </r>
  <r>
    <x v="1"/>
    <x v="8"/>
    <x v="8"/>
    <x v="21"/>
    <x v="7"/>
    <n v="150.5"/>
  </r>
  <r>
    <x v="1"/>
    <x v="8"/>
    <x v="8"/>
    <x v="22"/>
    <x v="8"/>
    <n v="153.9"/>
  </r>
  <r>
    <x v="1"/>
    <x v="8"/>
    <x v="8"/>
    <x v="23"/>
    <x v="9"/>
    <n v="160.30000000000001"/>
  </r>
  <r>
    <x v="1"/>
    <x v="8"/>
    <x v="8"/>
    <x v="24"/>
    <x v="8"/>
    <n v="159.6"/>
  </r>
  <r>
    <x v="1"/>
    <x v="8"/>
    <x v="8"/>
    <x v="25"/>
    <x v="5"/>
    <n v="156"/>
  </r>
  <r>
    <x v="1"/>
    <x v="8"/>
    <x v="8"/>
    <x v="26"/>
    <x v="10"/>
    <n v="162.30000000000001"/>
  </r>
  <r>
    <x v="2"/>
    <x v="8"/>
    <x v="8"/>
    <x v="0"/>
    <x v="0"/>
    <n v="146.6"/>
  </r>
  <r>
    <x v="2"/>
    <x v="8"/>
    <x v="8"/>
    <x v="1"/>
    <x v="0"/>
    <n v="204"/>
  </r>
  <r>
    <x v="2"/>
    <x v="8"/>
    <x v="8"/>
    <x v="2"/>
    <x v="0"/>
    <n v="172.8"/>
  </r>
  <r>
    <x v="2"/>
    <x v="8"/>
    <x v="8"/>
    <x v="3"/>
    <x v="0"/>
    <n v="158.4"/>
  </r>
  <r>
    <x v="2"/>
    <x v="8"/>
    <x v="8"/>
    <x v="4"/>
    <x v="0"/>
    <n v="188"/>
  </r>
  <r>
    <x v="2"/>
    <x v="8"/>
    <x v="8"/>
    <x v="5"/>
    <x v="0"/>
    <n v="156.69999999999999"/>
  </r>
  <r>
    <x v="2"/>
    <x v="8"/>
    <x v="8"/>
    <x v="6"/>
    <x v="0"/>
    <n v="162.30000000000001"/>
  </r>
  <r>
    <x v="2"/>
    <x v="8"/>
    <x v="8"/>
    <x v="7"/>
    <x v="0"/>
    <n v="164.1"/>
  </r>
  <r>
    <x v="2"/>
    <x v="8"/>
    <x v="8"/>
    <x v="8"/>
    <x v="0"/>
    <n v="119.7"/>
  </r>
  <r>
    <x v="2"/>
    <x v="8"/>
    <x v="8"/>
    <x v="9"/>
    <x v="0"/>
    <n v="168.8"/>
  </r>
  <r>
    <x v="2"/>
    <x v="8"/>
    <x v="8"/>
    <x v="10"/>
    <x v="0"/>
    <n v="162.69999999999999"/>
  </r>
  <r>
    <x v="2"/>
    <x v="8"/>
    <x v="8"/>
    <x v="11"/>
    <x v="0"/>
    <n v="173.9"/>
  </r>
  <r>
    <x v="2"/>
    <x v="8"/>
    <x v="8"/>
    <x v="12"/>
    <x v="0"/>
    <n v="164"/>
  </r>
  <r>
    <x v="2"/>
    <x v="8"/>
    <x v="8"/>
    <x v="13"/>
    <x v="1"/>
    <n v="192.1"/>
  </r>
  <r>
    <x v="2"/>
    <x v="8"/>
    <x v="8"/>
    <x v="14"/>
    <x v="2"/>
    <n v="164.6"/>
  </r>
  <r>
    <x v="2"/>
    <x v="8"/>
    <x v="8"/>
    <x v="15"/>
    <x v="2"/>
    <n v="155.30000000000001"/>
  </r>
  <r>
    <x v="2"/>
    <x v="8"/>
    <x v="8"/>
    <x v="16"/>
    <x v="2"/>
    <n v="163.30000000000001"/>
  </r>
  <r>
    <x v="2"/>
    <x v="8"/>
    <x v="8"/>
    <x v="17"/>
    <x v="3"/>
    <n v="162.1"/>
  </r>
  <r>
    <x v="2"/>
    <x v="8"/>
    <x v="8"/>
    <x v="18"/>
    <x v="4"/>
    <n v="162.6"/>
  </r>
  <r>
    <x v="2"/>
    <x v="8"/>
    <x v="8"/>
    <x v="19"/>
    <x v="5"/>
    <n v="157.5"/>
  </r>
  <r>
    <x v="2"/>
    <x v="8"/>
    <x v="8"/>
    <x v="20"/>
    <x v="6"/>
    <n v="168.4"/>
  </r>
  <r>
    <x v="2"/>
    <x v="8"/>
    <x v="8"/>
    <x v="21"/>
    <x v="7"/>
    <n v="154"/>
  </r>
  <r>
    <x v="2"/>
    <x v="8"/>
    <x v="8"/>
    <x v="22"/>
    <x v="8"/>
    <n v="157.69999999999999"/>
  </r>
  <r>
    <x v="2"/>
    <x v="8"/>
    <x v="8"/>
    <x v="23"/>
    <x v="9"/>
    <n v="163.69999999999999"/>
  </r>
  <r>
    <x v="2"/>
    <x v="8"/>
    <x v="8"/>
    <x v="24"/>
    <x v="8"/>
    <n v="160"/>
  </r>
  <r>
    <x v="2"/>
    <x v="8"/>
    <x v="8"/>
    <x v="25"/>
    <x v="5"/>
    <n v="160"/>
  </r>
  <r>
    <x v="2"/>
    <x v="8"/>
    <x v="8"/>
    <x v="26"/>
    <x v="10"/>
    <n v="163.19999999999999"/>
  </r>
  <r>
    <x v="0"/>
    <x v="8"/>
    <x v="9"/>
    <x v="0"/>
    <x v="0"/>
    <n v="146.1"/>
  </r>
  <r>
    <x v="0"/>
    <x v="8"/>
    <x v="9"/>
    <x v="1"/>
    <x v="0"/>
    <n v="202.5"/>
  </r>
  <r>
    <x v="0"/>
    <x v="8"/>
    <x v="9"/>
    <x v="2"/>
    <x v="0"/>
    <n v="170.1"/>
  </r>
  <r>
    <x v="0"/>
    <x v="8"/>
    <x v="9"/>
    <x v="3"/>
    <x v="0"/>
    <n v="158.4"/>
  </r>
  <r>
    <x v="0"/>
    <x v="8"/>
    <x v="9"/>
    <x v="4"/>
    <x v="0"/>
    <n v="198.8"/>
  </r>
  <r>
    <x v="0"/>
    <x v="8"/>
    <x v="9"/>
    <x v="5"/>
    <x v="0"/>
    <n v="152.6"/>
  </r>
  <r>
    <x v="0"/>
    <x v="8"/>
    <x v="9"/>
    <x v="6"/>
    <x v="0"/>
    <n v="170.4"/>
  </r>
  <r>
    <x v="0"/>
    <x v="8"/>
    <x v="9"/>
    <x v="7"/>
    <x v="0"/>
    <n v="165.2"/>
  </r>
  <r>
    <x v="0"/>
    <x v="8"/>
    <x v="9"/>
    <x v="8"/>
    <x v="0"/>
    <n v="121.6"/>
  </r>
  <r>
    <x v="0"/>
    <x v="8"/>
    <x v="9"/>
    <x v="9"/>
    <x v="0"/>
    <n v="170.6"/>
  </r>
  <r>
    <x v="0"/>
    <x v="8"/>
    <x v="9"/>
    <x v="10"/>
    <x v="0"/>
    <n v="168.8"/>
  </r>
  <r>
    <x v="0"/>
    <x v="8"/>
    <x v="9"/>
    <x v="11"/>
    <x v="0"/>
    <n v="173.6"/>
  </r>
  <r>
    <x v="0"/>
    <x v="8"/>
    <x v="9"/>
    <x v="12"/>
    <x v="0"/>
    <n v="165.5"/>
  </r>
  <r>
    <x v="0"/>
    <x v="8"/>
    <x v="9"/>
    <x v="13"/>
    <x v="1"/>
    <n v="191.2"/>
  </r>
  <r>
    <x v="0"/>
    <x v="8"/>
    <x v="9"/>
    <x v="14"/>
    <x v="2"/>
    <n v="168.9"/>
  </r>
  <r>
    <x v="0"/>
    <x v="8"/>
    <x v="9"/>
    <x v="15"/>
    <x v="2"/>
    <n v="164.8"/>
  </r>
  <r>
    <x v="0"/>
    <x v="8"/>
    <x v="9"/>
    <x v="16"/>
    <x v="2"/>
    <n v="168.3"/>
  </r>
  <r>
    <x v="0"/>
    <x v="8"/>
    <x v="9"/>
    <x v="17"/>
    <x v="3"/>
    <s v="NA"/>
  </r>
  <r>
    <x v="0"/>
    <x v="8"/>
    <x v="9"/>
    <x v="18"/>
    <x v="4"/>
    <n v="165.5"/>
  </r>
  <r>
    <x v="0"/>
    <x v="8"/>
    <x v="9"/>
    <x v="19"/>
    <x v="5"/>
    <n v="162"/>
  </r>
  <r>
    <x v="0"/>
    <x v="8"/>
    <x v="9"/>
    <x v="20"/>
    <x v="6"/>
    <n v="172.5"/>
  </r>
  <r>
    <x v="0"/>
    <x v="8"/>
    <x v="9"/>
    <x v="21"/>
    <x v="7"/>
    <n v="159.5"/>
  </r>
  <r>
    <x v="0"/>
    <x v="8"/>
    <x v="9"/>
    <x v="22"/>
    <x v="8"/>
    <n v="163.19999999999999"/>
  </r>
  <r>
    <x v="0"/>
    <x v="8"/>
    <x v="9"/>
    <x v="23"/>
    <x v="9"/>
    <n v="169"/>
  </r>
  <r>
    <x v="0"/>
    <x v="8"/>
    <x v="9"/>
    <x v="24"/>
    <x v="8"/>
    <n v="161.1"/>
  </r>
  <r>
    <x v="0"/>
    <x v="8"/>
    <x v="9"/>
    <x v="25"/>
    <x v="5"/>
    <n v="164.7"/>
  </r>
  <r>
    <x v="0"/>
    <x v="8"/>
    <x v="9"/>
    <x v="26"/>
    <x v="10"/>
    <n v="166.3"/>
  </r>
  <r>
    <x v="1"/>
    <x v="8"/>
    <x v="9"/>
    <x v="0"/>
    <x v="0"/>
    <n v="150.1"/>
  </r>
  <r>
    <x v="1"/>
    <x v="8"/>
    <x v="9"/>
    <x v="1"/>
    <x v="0"/>
    <n v="208.4"/>
  </r>
  <r>
    <x v="1"/>
    <x v="8"/>
    <x v="9"/>
    <x v="2"/>
    <x v="0"/>
    <n v="173"/>
  </r>
  <r>
    <x v="1"/>
    <x v="8"/>
    <x v="9"/>
    <x v="3"/>
    <x v="0"/>
    <n v="159.19999999999999"/>
  </r>
  <r>
    <x v="1"/>
    <x v="8"/>
    <x v="9"/>
    <x v="4"/>
    <x v="0"/>
    <n v="176.6"/>
  </r>
  <r>
    <x v="1"/>
    <x v="8"/>
    <x v="9"/>
    <x v="5"/>
    <x v="0"/>
    <n v="159.30000000000001"/>
  </r>
  <r>
    <x v="1"/>
    <x v="8"/>
    <x v="9"/>
    <x v="6"/>
    <x v="0"/>
    <n v="214.4"/>
  </r>
  <r>
    <x v="1"/>
    <x v="8"/>
    <x v="9"/>
    <x v="7"/>
    <x v="0"/>
    <n v="165.3"/>
  </r>
  <r>
    <x v="1"/>
    <x v="8"/>
    <x v="9"/>
    <x v="8"/>
    <x v="0"/>
    <n v="122.5"/>
  </r>
  <r>
    <x v="1"/>
    <x v="8"/>
    <x v="9"/>
    <x v="9"/>
    <x v="0"/>
    <n v="166.8"/>
  </r>
  <r>
    <x v="1"/>
    <x v="8"/>
    <x v="9"/>
    <x v="10"/>
    <x v="0"/>
    <n v="155.4"/>
  </r>
  <r>
    <x v="1"/>
    <x v="8"/>
    <x v="9"/>
    <x v="11"/>
    <x v="0"/>
    <n v="175.9"/>
  </r>
  <r>
    <x v="1"/>
    <x v="8"/>
    <x v="9"/>
    <x v="12"/>
    <x v="0"/>
    <n v="171.5"/>
  </r>
  <r>
    <x v="1"/>
    <x v="8"/>
    <x v="9"/>
    <x v="13"/>
    <x v="1"/>
    <n v="197"/>
  </r>
  <r>
    <x v="1"/>
    <x v="8"/>
    <x v="9"/>
    <x v="14"/>
    <x v="2"/>
    <n v="160.80000000000001"/>
  </r>
  <r>
    <x v="1"/>
    <x v="8"/>
    <x v="9"/>
    <x v="15"/>
    <x v="2"/>
    <n v="144.4"/>
  </r>
  <r>
    <x v="1"/>
    <x v="8"/>
    <x v="9"/>
    <x v="16"/>
    <x v="2"/>
    <n v="158.30000000000001"/>
  </r>
  <r>
    <x v="1"/>
    <x v="8"/>
    <x v="9"/>
    <x v="17"/>
    <x v="3"/>
    <n v="163.6"/>
  </r>
  <r>
    <x v="1"/>
    <x v="8"/>
    <x v="9"/>
    <x v="18"/>
    <x v="4"/>
    <n v="162.19999999999999"/>
  </r>
  <r>
    <x v="1"/>
    <x v="8"/>
    <x v="9"/>
    <x v="19"/>
    <x v="5"/>
    <n v="154.30000000000001"/>
  </r>
  <r>
    <x v="1"/>
    <x v="8"/>
    <x v="9"/>
    <x v="20"/>
    <x v="6"/>
    <n v="163.5"/>
  </r>
  <r>
    <x v="1"/>
    <x v="8"/>
    <x v="9"/>
    <x v="21"/>
    <x v="7"/>
    <n v="152.19999999999999"/>
  </r>
  <r>
    <x v="1"/>
    <x v="8"/>
    <x v="9"/>
    <x v="22"/>
    <x v="8"/>
    <n v="155.1"/>
  </r>
  <r>
    <x v="1"/>
    <x v="8"/>
    <x v="9"/>
    <x v="23"/>
    <x v="9"/>
    <n v="160.30000000000001"/>
  </r>
  <r>
    <x v="1"/>
    <x v="8"/>
    <x v="9"/>
    <x v="24"/>
    <x v="8"/>
    <n v="160.30000000000001"/>
  </r>
  <r>
    <x v="1"/>
    <x v="8"/>
    <x v="9"/>
    <x v="25"/>
    <x v="5"/>
    <n v="157"/>
  </r>
  <r>
    <x v="1"/>
    <x v="8"/>
    <x v="9"/>
    <x v="26"/>
    <x v="10"/>
    <n v="164.6"/>
  </r>
  <r>
    <x v="2"/>
    <x v="8"/>
    <x v="9"/>
    <x v="0"/>
    <x v="0"/>
    <n v="147.4"/>
  </r>
  <r>
    <x v="2"/>
    <x v="8"/>
    <x v="9"/>
    <x v="1"/>
    <x v="0"/>
    <n v="204.6"/>
  </r>
  <r>
    <x v="2"/>
    <x v="8"/>
    <x v="9"/>
    <x v="2"/>
    <x v="0"/>
    <n v="171.2"/>
  </r>
  <r>
    <x v="2"/>
    <x v="8"/>
    <x v="9"/>
    <x v="3"/>
    <x v="0"/>
    <n v="158.69999999999999"/>
  </r>
  <r>
    <x v="2"/>
    <x v="8"/>
    <x v="9"/>
    <x v="4"/>
    <x v="0"/>
    <n v="190.6"/>
  </r>
  <r>
    <x v="2"/>
    <x v="8"/>
    <x v="9"/>
    <x v="5"/>
    <x v="0"/>
    <n v="155.69999999999999"/>
  </r>
  <r>
    <x v="2"/>
    <x v="8"/>
    <x v="9"/>
    <x v="6"/>
    <x v="0"/>
    <n v="185.3"/>
  </r>
  <r>
    <x v="2"/>
    <x v="8"/>
    <x v="9"/>
    <x v="7"/>
    <x v="0"/>
    <n v="165.2"/>
  </r>
  <r>
    <x v="2"/>
    <x v="8"/>
    <x v="9"/>
    <x v="8"/>
    <x v="0"/>
    <n v="121.9"/>
  </r>
  <r>
    <x v="2"/>
    <x v="8"/>
    <x v="9"/>
    <x v="9"/>
    <x v="0"/>
    <n v="169.3"/>
  </r>
  <r>
    <x v="2"/>
    <x v="8"/>
    <x v="9"/>
    <x v="10"/>
    <x v="0"/>
    <n v="163.19999999999999"/>
  </r>
  <r>
    <x v="2"/>
    <x v="8"/>
    <x v="9"/>
    <x v="11"/>
    <x v="0"/>
    <n v="174.7"/>
  </r>
  <r>
    <x v="2"/>
    <x v="8"/>
    <x v="9"/>
    <x v="12"/>
    <x v="0"/>
    <n v="167.7"/>
  </r>
  <r>
    <x v="2"/>
    <x v="8"/>
    <x v="9"/>
    <x v="13"/>
    <x v="1"/>
    <n v="192.7"/>
  </r>
  <r>
    <x v="2"/>
    <x v="8"/>
    <x v="9"/>
    <x v="14"/>
    <x v="2"/>
    <n v="165.7"/>
  </r>
  <r>
    <x v="2"/>
    <x v="8"/>
    <x v="9"/>
    <x v="15"/>
    <x v="2"/>
    <n v="156.30000000000001"/>
  </r>
  <r>
    <x v="2"/>
    <x v="8"/>
    <x v="9"/>
    <x v="16"/>
    <x v="2"/>
    <n v="164.3"/>
  </r>
  <r>
    <x v="2"/>
    <x v="8"/>
    <x v="9"/>
    <x v="17"/>
    <x v="3"/>
    <n v="163.6"/>
  </r>
  <r>
    <x v="2"/>
    <x v="8"/>
    <x v="9"/>
    <x v="18"/>
    <x v="4"/>
    <n v="164.2"/>
  </r>
  <r>
    <x v="2"/>
    <x v="8"/>
    <x v="9"/>
    <x v="19"/>
    <x v="5"/>
    <n v="158.4"/>
  </r>
  <r>
    <x v="2"/>
    <x v="8"/>
    <x v="9"/>
    <x v="20"/>
    <x v="6"/>
    <n v="169.1"/>
  </r>
  <r>
    <x v="2"/>
    <x v="8"/>
    <x v="9"/>
    <x v="21"/>
    <x v="7"/>
    <n v="155.69999999999999"/>
  </r>
  <r>
    <x v="2"/>
    <x v="8"/>
    <x v="9"/>
    <x v="22"/>
    <x v="8"/>
    <n v="158.6"/>
  </r>
  <r>
    <x v="2"/>
    <x v="8"/>
    <x v="9"/>
    <x v="23"/>
    <x v="9"/>
    <n v="163.9"/>
  </r>
  <r>
    <x v="2"/>
    <x v="8"/>
    <x v="9"/>
    <x v="24"/>
    <x v="8"/>
    <n v="160.80000000000001"/>
  </r>
  <r>
    <x v="2"/>
    <x v="8"/>
    <x v="9"/>
    <x v="25"/>
    <x v="5"/>
    <n v="161"/>
  </r>
  <r>
    <x v="2"/>
    <x v="8"/>
    <x v="9"/>
    <x v="26"/>
    <x v="10"/>
    <n v="165.5"/>
  </r>
  <r>
    <x v="0"/>
    <x v="8"/>
    <x v="11"/>
    <x v="0"/>
    <x v="0"/>
    <n v="146.9"/>
  </r>
  <r>
    <x v="0"/>
    <x v="8"/>
    <x v="11"/>
    <x v="1"/>
    <x v="0"/>
    <n v="199.8"/>
  </r>
  <r>
    <x v="0"/>
    <x v="8"/>
    <x v="11"/>
    <x v="2"/>
    <x v="0"/>
    <n v="171.5"/>
  </r>
  <r>
    <x v="0"/>
    <x v="8"/>
    <x v="11"/>
    <x v="3"/>
    <x v="0"/>
    <n v="159.1"/>
  </r>
  <r>
    <x v="0"/>
    <x v="8"/>
    <x v="11"/>
    <x v="4"/>
    <x v="0"/>
    <n v="198.4"/>
  </r>
  <r>
    <x v="0"/>
    <x v="8"/>
    <x v="11"/>
    <x v="5"/>
    <x v="0"/>
    <n v="153.19999999999999"/>
  </r>
  <r>
    <x v="0"/>
    <x v="8"/>
    <x v="11"/>
    <x v="6"/>
    <x v="0"/>
    <n v="183.9"/>
  </r>
  <r>
    <x v="0"/>
    <x v="8"/>
    <x v="11"/>
    <x v="7"/>
    <x v="0"/>
    <n v="165.4"/>
  </r>
  <r>
    <x v="0"/>
    <x v="8"/>
    <x v="11"/>
    <x v="8"/>
    <x v="0"/>
    <n v="122.1"/>
  </r>
  <r>
    <x v="0"/>
    <x v="8"/>
    <x v="11"/>
    <x v="9"/>
    <x v="0"/>
    <n v="170.8"/>
  </r>
  <r>
    <x v="0"/>
    <x v="8"/>
    <x v="11"/>
    <x v="10"/>
    <x v="0"/>
    <n v="169.1"/>
  </r>
  <r>
    <x v="0"/>
    <x v="8"/>
    <x v="11"/>
    <x v="11"/>
    <x v="0"/>
    <n v="174.3"/>
  </r>
  <r>
    <x v="0"/>
    <x v="8"/>
    <x v="11"/>
    <x v="12"/>
    <x v="0"/>
    <n v="167.5"/>
  </r>
  <r>
    <x v="0"/>
    <x v="8"/>
    <x v="11"/>
    <x v="13"/>
    <x v="1"/>
    <n v="191.4"/>
  </r>
  <r>
    <x v="0"/>
    <x v="8"/>
    <x v="11"/>
    <x v="14"/>
    <x v="2"/>
    <n v="170.4"/>
  </r>
  <r>
    <x v="0"/>
    <x v="8"/>
    <x v="11"/>
    <x v="15"/>
    <x v="2"/>
    <n v="166"/>
  </r>
  <r>
    <x v="0"/>
    <x v="8"/>
    <x v="11"/>
    <x v="16"/>
    <x v="2"/>
    <n v="169.8"/>
  </r>
  <r>
    <x v="0"/>
    <x v="8"/>
    <x v="11"/>
    <x v="17"/>
    <x v="3"/>
    <s v="NA"/>
  </r>
  <r>
    <x v="0"/>
    <x v="8"/>
    <x v="11"/>
    <x v="18"/>
    <x v="4"/>
    <n v="165.3"/>
  </r>
  <r>
    <x v="0"/>
    <x v="8"/>
    <x v="11"/>
    <x v="19"/>
    <x v="5"/>
    <n v="162.9"/>
  </r>
  <r>
    <x v="0"/>
    <x v="8"/>
    <x v="11"/>
    <x v="20"/>
    <x v="6"/>
    <n v="173.4"/>
  </r>
  <r>
    <x v="0"/>
    <x v="8"/>
    <x v="11"/>
    <x v="21"/>
    <x v="7"/>
    <n v="158.9"/>
  </r>
  <r>
    <x v="0"/>
    <x v="8"/>
    <x v="11"/>
    <x v="22"/>
    <x v="8"/>
    <n v="163.80000000000001"/>
  </r>
  <r>
    <x v="0"/>
    <x v="8"/>
    <x v="11"/>
    <x v="23"/>
    <x v="9"/>
    <n v="169.3"/>
  </r>
  <r>
    <x v="0"/>
    <x v="8"/>
    <x v="11"/>
    <x v="24"/>
    <x v="8"/>
    <n v="162.4"/>
  </r>
  <r>
    <x v="0"/>
    <x v="8"/>
    <x v="11"/>
    <x v="25"/>
    <x v="5"/>
    <n v="165.2"/>
  </r>
  <r>
    <x v="0"/>
    <x v="8"/>
    <x v="11"/>
    <x v="26"/>
    <x v="10"/>
    <n v="167.6"/>
  </r>
  <r>
    <x v="1"/>
    <x v="8"/>
    <x v="11"/>
    <x v="0"/>
    <x v="0"/>
    <n v="151"/>
  </r>
  <r>
    <x v="1"/>
    <x v="8"/>
    <x v="11"/>
    <x v="1"/>
    <x v="0"/>
    <n v="204.9"/>
  </r>
  <r>
    <x v="1"/>
    <x v="8"/>
    <x v="11"/>
    <x v="2"/>
    <x v="0"/>
    <n v="175.4"/>
  </r>
  <r>
    <x v="1"/>
    <x v="8"/>
    <x v="11"/>
    <x v="3"/>
    <x v="0"/>
    <n v="159.6"/>
  </r>
  <r>
    <x v="1"/>
    <x v="8"/>
    <x v="11"/>
    <x v="4"/>
    <x v="0"/>
    <n v="175.8"/>
  </r>
  <r>
    <x v="1"/>
    <x v="8"/>
    <x v="11"/>
    <x v="5"/>
    <x v="0"/>
    <n v="160.30000000000001"/>
  </r>
  <r>
    <x v="1"/>
    <x v="8"/>
    <x v="11"/>
    <x v="6"/>
    <x v="0"/>
    <n v="229.1"/>
  </r>
  <r>
    <x v="1"/>
    <x v="8"/>
    <x v="11"/>
    <x v="7"/>
    <x v="0"/>
    <n v="165.1"/>
  </r>
  <r>
    <x v="1"/>
    <x v="8"/>
    <x v="11"/>
    <x v="8"/>
    <x v="0"/>
    <n v="123.1"/>
  </r>
  <r>
    <x v="1"/>
    <x v="8"/>
    <x v="11"/>
    <x v="9"/>
    <x v="0"/>
    <n v="167.2"/>
  </r>
  <r>
    <x v="1"/>
    <x v="8"/>
    <x v="11"/>
    <x v="10"/>
    <x v="0"/>
    <n v="156.1"/>
  </r>
  <r>
    <x v="1"/>
    <x v="8"/>
    <x v="11"/>
    <x v="11"/>
    <x v="0"/>
    <n v="176.8"/>
  </r>
  <r>
    <x v="1"/>
    <x v="8"/>
    <x v="11"/>
    <x v="12"/>
    <x v="0"/>
    <n v="173.5"/>
  </r>
  <r>
    <x v="1"/>
    <x v="8"/>
    <x v="11"/>
    <x v="13"/>
    <x v="1"/>
    <n v="197"/>
  </r>
  <r>
    <x v="1"/>
    <x v="8"/>
    <x v="11"/>
    <x v="14"/>
    <x v="2"/>
    <n v="162.30000000000001"/>
  </r>
  <r>
    <x v="1"/>
    <x v="8"/>
    <x v="11"/>
    <x v="15"/>
    <x v="2"/>
    <n v="145.30000000000001"/>
  </r>
  <r>
    <x v="1"/>
    <x v="8"/>
    <x v="11"/>
    <x v="16"/>
    <x v="2"/>
    <n v="159.69999999999999"/>
  </r>
  <r>
    <x v="1"/>
    <x v="8"/>
    <x v="11"/>
    <x v="17"/>
    <x v="3"/>
    <n v="164.2"/>
  </r>
  <r>
    <x v="1"/>
    <x v="8"/>
    <x v="11"/>
    <x v="18"/>
    <x v="4"/>
    <n v="161.6"/>
  </r>
  <r>
    <x v="1"/>
    <x v="8"/>
    <x v="11"/>
    <x v="19"/>
    <x v="5"/>
    <n v="155.19999999999999"/>
  </r>
  <r>
    <x v="1"/>
    <x v="8"/>
    <x v="11"/>
    <x v="20"/>
    <x v="6"/>
    <n v="164.2"/>
  </r>
  <r>
    <x v="1"/>
    <x v="8"/>
    <x v="11"/>
    <x v="21"/>
    <x v="7"/>
    <n v="151.19999999999999"/>
  </r>
  <r>
    <x v="1"/>
    <x v="8"/>
    <x v="11"/>
    <x v="22"/>
    <x v="8"/>
    <n v="156.69999999999999"/>
  </r>
  <r>
    <x v="1"/>
    <x v="8"/>
    <x v="11"/>
    <x v="23"/>
    <x v="9"/>
    <n v="160.80000000000001"/>
  </r>
  <r>
    <x v="1"/>
    <x v="8"/>
    <x v="11"/>
    <x v="24"/>
    <x v="8"/>
    <n v="161.80000000000001"/>
  </r>
  <r>
    <x v="1"/>
    <x v="8"/>
    <x v="11"/>
    <x v="25"/>
    <x v="5"/>
    <n v="157.30000000000001"/>
  </r>
  <r>
    <x v="1"/>
    <x v="8"/>
    <x v="11"/>
    <x v="26"/>
    <x v="10"/>
    <n v="165.6"/>
  </r>
  <r>
    <x v="2"/>
    <x v="8"/>
    <x v="11"/>
    <x v="0"/>
    <x v="0"/>
    <n v="148.19999999999999"/>
  </r>
  <r>
    <x v="2"/>
    <x v="8"/>
    <x v="11"/>
    <x v="1"/>
    <x v="0"/>
    <n v="201.6"/>
  </r>
  <r>
    <x v="2"/>
    <x v="8"/>
    <x v="11"/>
    <x v="2"/>
    <x v="0"/>
    <n v="173"/>
  </r>
  <r>
    <x v="2"/>
    <x v="8"/>
    <x v="11"/>
    <x v="3"/>
    <x v="0"/>
    <n v="159.30000000000001"/>
  </r>
  <r>
    <x v="2"/>
    <x v="8"/>
    <x v="11"/>
    <x v="4"/>
    <x v="0"/>
    <n v="190.1"/>
  </r>
  <r>
    <x v="2"/>
    <x v="8"/>
    <x v="11"/>
    <x v="5"/>
    <x v="0"/>
    <n v="156.5"/>
  </r>
  <r>
    <x v="2"/>
    <x v="8"/>
    <x v="11"/>
    <x v="6"/>
    <x v="0"/>
    <n v="199.2"/>
  </r>
  <r>
    <x v="2"/>
    <x v="8"/>
    <x v="11"/>
    <x v="7"/>
    <x v="0"/>
    <n v="165.3"/>
  </r>
  <r>
    <x v="2"/>
    <x v="8"/>
    <x v="11"/>
    <x v="8"/>
    <x v="0"/>
    <n v="122.4"/>
  </r>
  <r>
    <x v="2"/>
    <x v="8"/>
    <x v="11"/>
    <x v="9"/>
    <x v="0"/>
    <n v="169.6"/>
  </r>
  <r>
    <x v="2"/>
    <x v="8"/>
    <x v="11"/>
    <x v="10"/>
    <x v="0"/>
    <n v="163.69999999999999"/>
  </r>
  <r>
    <x v="2"/>
    <x v="8"/>
    <x v="11"/>
    <x v="11"/>
    <x v="0"/>
    <n v="175.5"/>
  </r>
  <r>
    <x v="2"/>
    <x v="8"/>
    <x v="11"/>
    <x v="12"/>
    <x v="0"/>
    <n v="169.7"/>
  </r>
  <r>
    <x v="2"/>
    <x v="8"/>
    <x v="11"/>
    <x v="13"/>
    <x v="1"/>
    <n v="192.9"/>
  </r>
  <r>
    <x v="2"/>
    <x v="8"/>
    <x v="11"/>
    <x v="14"/>
    <x v="2"/>
    <n v="167.2"/>
  </r>
  <r>
    <x v="2"/>
    <x v="8"/>
    <x v="11"/>
    <x v="15"/>
    <x v="2"/>
    <n v="157.4"/>
  </r>
  <r>
    <x v="2"/>
    <x v="8"/>
    <x v="11"/>
    <x v="16"/>
    <x v="2"/>
    <n v="165.8"/>
  </r>
  <r>
    <x v="2"/>
    <x v="8"/>
    <x v="11"/>
    <x v="17"/>
    <x v="3"/>
    <n v="164.2"/>
  </r>
  <r>
    <x v="2"/>
    <x v="8"/>
    <x v="11"/>
    <x v="18"/>
    <x v="4"/>
    <n v="163.9"/>
  </r>
  <r>
    <x v="2"/>
    <x v="8"/>
    <x v="11"/>
    <x v="19"/>
    <x v="5"/>
    <n v="159.30000000000001"/>
  </r>
  <r>
    <x v="2"/>
    <x v="8"/>
    <x v="11"/>
    <x v="20"/>
    <x v="6"/>
    <n v="169.9"/>
  </r>
  <r>
    <x v="2"/>
    <x v="8"/>
    <x v="11"/>
    <x v="21"/>
    <x v="7"/>
    <n v="154.80000000000001"/>
  </r>
  <r>
    <x v="2"/>
    <x v="8"/>
    <x v="11"/>
    <x v="22"/>
    <x v="8"/>
    <n v="159.80000000000001"/>
  </r>
  <r>
    <x v="2"/>
    <x v="8"/>
    <x v="11"/>
    <x v="23"/>
    <x v="9"/>
    <n v="164.3"/>
  </r>
  <r>
    <x v="2"/>
    <x v="8"/>
    <x v="11"/>
    <x v="24"/>
    <x v="8"/>
    <n v="162.19999999999999"/>
  </r>
  <r>
    <x v="2"/>
    <x v="8"/>
    <x v="11"/>
    <x v="25"/>
    <x v="5"/>
    <n v="161.4"/>
  </r>
  <r>
    <x v="2"/>
    <x v="8"/>
    <x v="11"/>
    <x v="26"/>
    <x v="10"/>
    <n v="166.7"/>
  </r>
  <r>
    <x v="0"/>
    <x v="8"/>
    <x v="12"/>
    <x v="0"/>
    <x v="0"/>
    <n v="147.4"/>
  </r>
  <r>
    <x v="0"/>
    <x v="8"/>
    <x v="12"/>
    <x v="1"/>
    <x v="0"/>
    <n v="197"/>
  </r>
  <r>
    <x v="0"/>
    <x v="8"/>
    <x v="12"/>
    <x v="2"/>
    <x v="0"/>
    <n v="176.5"/>
  </r>
  <r>
    <x v="0"/>
    <x v="8"/>
    <x v="12"/>
    <x v="3"/>
    <x v="0"/>
    <n v="159.80000000000001"/>
  </r>
  <r>
    <x v="0"/>
    <x v="8"/>
    <x v="12"/>
    <x v="4"/>
    <x v="0"/>
    <n v="195.8"/>
  </r>
  <r>
    <x v="0"/>
    <x v="8"/>
    <x v="12"/>
    <x v="5"/>
    <x v="0"/>
    <n v="152"/>
  </r>
  <r>
    <x v="0"/>
    <x v="8"/>
    <x v="12"/>
    <x v="6"/>
    <x v="0"/>
    <n v="172.3"/>
  </r>
  <r>
    <x v="0"/>
    <x v="8"/>
    <x v="12"/>
    <x v="7"/>
    <x v="0"/>
    <n v="164.5"/>
  </r>
  <r>
    <x v="0"/>
    <x v="8"/>
    <x v="12"/>
    <x v="8"/>
    <x v="0"/>
    <n v="120.6"/>
  </r>
  <r>
    <x v="0"/>
    <x v="8"/>
    <x v="12"/>
    <x v="9"/>
    <x v="0"/>
    <n v="171.7"/>
  </r>
  <r>
    <x v="0"/>
    <x v="8"/>
    <x v="12"/>
    <x v="10"/>
    <x v="0"/>
    <n v="169.7"/>
  </r>
  <r>
    <x v="0"/>
    <x v="8"/>
    <x v="12"/>
    <x v="11"/>
    <x v="0"/>
    <n v="175.1"/>
  </r>
  <r>
    <x v="0"/>
    <x v="8"/>
    <x v="12"/>
    <x v="12"/>
    <x v="0"/>
    <n v="165.8"/>
  </r>
  <r>
    <x v="0"/>
    <x v="8"/>
    <x v="12"/>
    <x v="13"/>
    <x v="1"/>
    <n v="190.8"/>
  </r>
  <r>
    <x v="0"/>
    <x v="8"/>
    <x v="12"/>
    <x v="14"/>
    <x v="2"/>
    <n v="171.8"/>
  </r>
  <r>
    <x v="0"/>
    <x v="8"/>
    <x v="12"/>
    <x v="15"/>
    <x v="2"/>
    <n v="167.3"/>
  </r>
  <r>
    <x v="0"/>
    <x v="8"/>
    <x v="12"/>
    <x v="16"/>
    <x v="2"/>
    <n v="171.2"/>
  </r>
  <r>
    <x v="0"/>
    <x v="8"/>
    <x v="12"/>
    <x v="17"/>
    <x v="3"/>
    <s v="NA"/>
  </r>
  <r>
    <x v="0"/>
    <x v="8"/>
    <x v="12"/>
    <x v="18"/>
    <x v="4"/>
    <n v="165.6"/>
  </r>
  <r>
    <x v="0"/>
    <x v="8"/>
    <x v="12"/>
    <x v="19"/>
    <x v="5"/>
    <n v="163.9"/>
  </r>
  <r>
    <x v="0"/>
    <x v="8"/>
    <x v="12"/>
    <x v="20"/>
    <x v="6"/>
    <n v="174"/>
  </r>
  <r>
    <x v="0"/>
    <x v="8"/>
    <x v="12"/>
    <x v="21"/>
    <x v="7"/>
    <n v="160.1"/>
  </r>
  <r>
    <x v="0"/>
    <x v="8"/>
    <x v="12"/>
    <x v="22"/>
    <x v="8"/>
    <n v="164.5"/>
  </r>
  <r>
    <x v="0"/>
    <x v="8"/>
    <x v="12"/>
    <x v="23"/>
    <x v="9"/>
    <n v="169.7"/>
  </r>
  <r>
    <x v="0"/>
    <x v="8"/>
    <x v="12"/>
    <x v="24"/>
    <x v="8"/>
    <n v="162.80000000000001"/>
  </r>
  <r>
    <x v="0"/>
    <x v="8"/>
    <x v="12"/>
    <x v="25"/>
    <x v="5"/>
    <n v="166"/>
  </r>
  <r>
    <x v="0"/>
    <x v="8"/>
    <x v="12"/>
    <x v="26"/>
    <x v="10"/>
    <n v="167"/>
  </r>
  <r>
    <x v="1"/>
    <x v="8"/>
    <x v="12"/>
    <x v="0"/>
    <x v="0"/>
    <n v="151.6"/>
  </r>
  <r>
    <x v="1"/>
    <x v="8"/>
    <x v="12"/>
    <x v="1"/>
    <x v="0"/>
    <n v="202.2"/>
  </r>
  <r>
    <x v="1"/>
    <x v="8"/>
    <x v="12"/>
    <x v="2"/>
    <x v="0"/>
    <n v="180"/>
  </r>
  <r>
    <x v="1"/>
    <x v="8"/>
    <x v="12"/>
    <x v="3"/>
    <x v="0"/>
    <n v="160"/>
  </r>
  <r>
    <x v="1"/>
    <x v="8"/>
    <x v="12"/>
    <x v="4"/>
    <x v="0"/>
    <n v="173.5"/>
  </r>
  <r>
    <x v="1"/>
    <x v="8"/>
    <x v="12"/>
    <x v="5"/>
    <x v="0"/>
    <n v="158.30000000000001"/>
  </r>
  <r>
    <x v="1"/>
    <x v="8"/>
    <x v="12"/>
    <x v="6"/>
    <x v="0"/>
    <n v="219.5"/>
  </r>
  <r>
    <x v="1"/>
    <x v="8"/>
    <x v="12"/>
    <x v="7"/>
    <x v="0"/>
    <n v="164.2"/>
  </r>
  <r>
    <x v="1"/>
    <x v="8"/>
    <x v="12"/>
    <x v="8"/>
    <x v="0"/>
    <n v="121.9"/>
  </r>
  <r>
    <x v="1"/>
    <x v="8"/>
    <x v="12"/>
    <x v="9"/>
    <x v="0"/>
    <n v="168.2"/>
  </r>
  <r>
    <x v="1"/>
    <x v="8"/>
    <x v="12"/>
    <x v="10"/>
    <x v="0"/>
    <n v="156.5"/>
  </r>
  <r>
    <x v="1"/>
    <x v="8"/>
    <x v="12"/>
    <x v="11"/>
    <x v="0"/>
    <n v="178.2"/>
  </r>
  <r>
    <x v="1"/>
    <x v="8"/>
    <x v="12"/>
    <x v="12"/>
    <x v="0"/>
    <n v="172.2"/>
  </r>
  <r>
    <x v="1"/>
    <x v="8"/>
    <x v="12"/>
    <x v="13"/>
    <x v="1"/>
    <n v="196.8"/>
  </r>
  <r>
    <x v="1"/>
    <x v="8"/>
    <x v="12"/>
    <x v="14"/>
    <x v="2"/>
    <n v="163.30000000000001"/>
  </r>
  <r>
    <x v="1"/>
    <x v="8"/>
    <x v="12"/>
    <x v="15"/>
    <x v="2"/>
    <n v="146.69999999999999"/>
  </r>
  <r>
    <x v="1"/>
    <x v="8"/>
    <x v="12"/>
    <x v="16"/>
    <x v="2"/>
    <n v="160.69999999999999"/>
  </r>
  <r>
    <x v="1"/>
    <x v="8"/>
    <x v="12"/>
    <x v="17"/>
    <x v="3"/>
    <n v="163.4"/>
  </r>
  <r>
    <x v="1"/>
    <x v="8"/>
    <x v="12"/>
    <x v="18"/>
    <x v="4"/>
    <n v="161.69999999999999"/>
  </r>
  <r>
    <x v="1"/>
    <x v="8"/>
    <x v="12"/>
    <x v="19"/>
    <x v="5"/>
    <n v="156"/>
  </r>
  <r>
    <x v="1"/>
    <x v="8"/>
    <x v="12"/>
    <x v="20"/>
    <x v="6"/>
    <n v="165.1"/>
  </r>
  <r>
    <x v="1"/>
    <x v="8"/>
    <x v="12"/>
    <x v="21"/>
    <x v="7"/>
    <n v="151.80000000000001"/>
  </r>
  <r>
    <x v="1"/>
    <x v="8"/>
    <x v="12"/>
    <x v="22"/>
    <x v="8"/>
    <n v="157.6"/>
  </r>
  <r>
    <x v="1"/>
    <x v="8"/>
    <x v="12"/>
    <x v="23"/>
    <x v="9"/>
    <n v="160.6"/>
  </r>
  <r>
    <x v="1"/>
    <x v="8"/>
    <x v="12"/>
    <x v="24"/>
    <x v="8"/>
    <n v="162.4"/>
  </r>
  <r>
    <x v="1"/>
    <x v="8"/>
    <x v="12"/>
    <x v="25"/>
    <x v="5"/>
    <n v="157.80000000000001"/>
  </r>
  <r>
    <x v="1"/>
    <x v="8"/>
    <x v="12"/>
    <x v="26"/>
    <x v="10"/>
    <n v="165.2"/>
  </r>
  <r>
    <x v="2"/>
    <x v="8"/>
    <x v="12"/>
    <x v="0"/>
    <x v="0"/>
    <n v="148.69999999999999"/>
  </r>
  <r>
    <x v="2"/>
    <x v="8"/>
    <x v="12"/>
    <x v="1"/>
    <x v="0"/>
    <n v="198.8"/>
  </r>
  <r>
    <x v="2"/>
    <x v="8"/>
    <x v="12"/>
    <x v="2"/>
    <x v="0"/>
    <n v="177.9"/>
  </r>
  <r>
    <x v="2"/>
    <x v="8"/>
    <x v="12"/>
    <x v="3"/>
    <x v="0"/>
    <n v="159.9"/>
  </r>
  <r>
    <x v="2"/>
    <x v="8"/>
    <x v="12"/>
    <x v="4"/>
    <x v="0"/>
    <n v="187.6"/>
  </r>
  <r>
    <x v="2"/>
    <x v="8"/>
    <x v="12"/>
    <x v="5"/>
    <x v="0"/>
    <n v="154.9"/>
  </r>
  <r>
    <x v="2"/>
    <x v="8"/>
    <x v="12"/>
    <x v="6"/>
    <x v="0"/>
    <n v="188.3"/>
  </r>
  <r>
    <x v="2"/>
    <x v="8"/>
    <x v="12"/>
    <x v="7"/>
    <x v="0"/>
    <n v="164.4"/>
  </r>
  <r>
    <x v="2"/>
    <x v="8"/>
    <x v="12"/>
    <x v="8"/>
    <x v="0"/>
    <n v="121"/>
  </r>
  <r>
    <x v="2"/>
    <x v="8"/>
    <x v="12"/>
    <x v="9"/>
    <x v="0"/>
    <n v="170.5"/>
  </r>
  <r>
    <x v="2"/>
    <x v="8"/>
    <x v="12"/>
    <x v="10"/>
    <x v="0"/>
    <n v="164.2"/>
  </r>
  <r>
    <x v="2"/>
    <x v="8"/>
    <x v="12"/>
    <x v="11"/>
    <x v="0"/>
    <n v="176.5"/>
  </r>
  <r>
    <x v="2"/>
    <x v="8"/>
    <x v="12"/>
    <x v="12"/>
    <x v="0"/>
    <n v="168.2"/>
  </r>
  <r>
    <x v="2"/>
    <x v="8"/>
    <x v="12"/>
    <x v="13"/>
    <x v="1"/>
    <n v="192.4"/>
  </r>
  <r>
    <x v="2"/>
    <x v="8"/>
    <x v="12"/>
    <x v="14"/>
    <x v="2"/>
    <n v="168.5"/>
  </r>
  <r>
    <x v="2"/>
    <x v="8"/>
    <x v="12"/>
    <x v="15"/>
    <x v="2"/>
    <n v="158.69999999999999"/>
  </r>
  <r>
    <x v="2"/>
    <x v="8"/>
    <x v="12"/>
    <x v="16"/>
    <x v="2"/>
    <n v="167"/>
  </r>
  <r>
    <x v="2"/>
    <x v="8"/>
    <x v="12"/>
    <x v="17"/>
    <x v="3"/>
    <n v="163.4"/>
  </r>
  <r>
    <x v="2"/>
    <x v="8"/>
    <x v="12"/>
    <x v="18"/>
    <x v="4"/>
    <n v="164.1"/>
  </r>
  <r>
    <x v="2"/>
    <x v="8"/>
    <x v="12"/>
    <x v="19"/>
    <x v="5"/>
    <n v="160.19999999999999"/>
  </r>
  <r>
    <x v="2"/>
    <x v="8"/>
    <x v="12"/>
    <x v="20"/>
    <x v="6"/>
    <n v="170.6"/>
  </r>
  <r>
    <x v="2"/>
    <x v="8"/>
    <x v="12"/>
    <x v="21"/>
    <x v="7"/>
    <n v="155.69999999999999"/>
  </r>
  <r>
    <x v="2"/>
    <x v="8"/>
    <x v="12"/>
    <x v="22"/>
    <x v="8"/>
    <n v="160.6"/>
  </r>
  <r>
    <x v="2"/>
    <x v="8"/>
    <x v="12"/>
    <x v="23"/>
    <x v="9"/>
    <n v="164.4"/>
  </r>
  <r>
    <x v="2"/>
    <x v="8"/>
    <x v="12"/>
    <x v="24"/>
    <x v="8"/>
    <n v="162.6"/>
  </r>
  <r>
    <x v="2"/>
    <x v="8"/>
    <x v="12"/>
    <x v="25"/>
    <x v="5"/>
    <n v="162"/>
  </r>
  <r>
    <x v="2"/>
    <x v="8"/>
    <x v="12"/>
    <x v="26"/>
    <x v="10"/>
    <n v="166.2"/>
  </r>
  <r>
    <x v="0"/>
    <x v="9"/>
    <x v="0"/>
    <x v="0"/>
    <x v="0"/>
    <n v="148.30000000000001"/>
  </r>
  <r>
    <x v="0"/>
    <x v="9"/>
    <x v="0"/>
    <x v="1"/>
    <x v="0"/>
    <n v="196.9"/>
  </r>
  <r>
    <x v="0"/>
    <x v="9"/>
    <x v="0"/>
    <x v="2"/>
    <x v="0"/>
    <n v="178"/>
  </r>
  <r>
    <x v="0"/>
    <x v="9"/>
    <x v="0"/>
    <x v="3"/>
    <x v="0"/>
    <n v="160.5"/>
  </r>
  <r>
    <x v="0"/>
    <x v="9"/>
    <x v="0"/>
    <x v="4"/>
    <x v="0"/>
    <n v="192.6"/>
  </r>
  <r>
    <x v="0"/>
    <x v="9"/>
    <x v="0"/>
    <x v="5"/>
    <x v="0"/>
    <n v="151.19999999999999"/>
  </r>
  <r>
    <x v="0"/>
    <x v="9"/>
    <x v="0"/>
    <x v="6"/>
    <x v="0"/>
    <n v="159.19999999999999"/>
  </r>
  <r>
    <x v="0"/>
    <x v="9"/>
    <x v="0"/>
    <x v="7"/>
    <x v="0"/>
    <n v="164"/>
  </r>
  <r>
    <x v="0"/>
    <x v="9"/>
    <x v="0"/>
    <x v="8"/>
    <x v="0"/>
    <n v="119.3"/>
  </r>
  <r>
    <x v="0"/>
    <x v="9"/>
    <x v="0"/>
    <x v="9"/>
    <x v="0"/>
    <n v="173.3"/>
  </r>
  <r>
    <x v="0"/>
    <x v="9"/>
    <x v="0"/>
    <x v="10"/>
    <x v="0"/>
    <n v="169.8"/>
  </r>
  <r>
    <x v="0"/>
    <x v="9"/>
    <x v="0"/>
    <x v="11"/>
    <x v="0"/>
    <n v="175.8"/>
  </r>
  <r>
    <x v="0"/>
    <x v="9"/>
    <x v="0"/>
    <x v="12"/>
    <x v="0"/>
    <n v="164.1"/>
  </r>
  <r>
    <x v="0"/>
    <x v="9"/>
    <x v="0"/>
    <x v="13"/>
    <x v="1"/>
    <n v="190.7"/>
  </r>
  <r>
    <x v="0"/>
    <x v="9"/>
    <x v="0"/>
    <x v="14"/>
    <x v="2"/>
    <n v="173.2"/>
  </r>
  <r>
    <x v="0"/>
    <x v="9"/>
    <x v="0"/>
    <x v="15"/>
    <x v="2"/>
    <n v="169.3"/>
  </r>
  <r>
    <x v="0"/>
    <x v="9"/>
    <x v="0"/>
    <x v="16"/>
    <x v="2"/>
    <n v="172.7"/>
  </r>
  <r>
    <x v="0"/>
    <x v="9"/>
    <x v="0"/>
    <x v="17"/>
    <x v="3"/>
    <s v="NA"/>
  </r>
  <r>
    <x v="0"/>
    <x v="9"/>
    <x v="0"/>
    <x v="18"/>
    <x v="4"/>
    <n v="165.8"/>
  </r>
  <r>
    <x v="0"/>
    <x v="9"/>
    <x v="0"/>
    <x v="19"/>
    <x v="5"/>
    <n v="164.9"/>
  </r>
  <r>
    <x v="0"/>
    <x v="9"/>
    <x v="0"/>
    <x v="20"/>
    <x v="6"/>
    <n v="174.7"/>
  </r>
  <r>
    <x v="0"/>
    <x v="9"/>
    <x v="0"/>
    <x v="21"/>
    <x v="7"/>
    <n v="160.80000000000001"/>
  </r>
  <r>
    <x v="0"/>
    <x v="9"/>
    <x v="0"/>
    <x v="22"/>
    <x v="8"/>
    <n v="164.9"/>
  </r>
  <r>
    <x v="0"/>
    <x v="9"/>
    <x v="0"/>
    <x v="23"/>
    <x v="9"/>
    <n v="169.9"/>
  </r>
  <r>
    <x v="0"/>
    <x v="9"/>
    <x v="0"/>
    <x v="24"/>
    <x v="8"/>
    <n v="163.19999999999999"/>
  </r>
  <r>
    <x v="0"/>
    <x v="9"/>
    <x v="0"/>
    <x v="25"/>
    <x v="5"/>
    <n v="166.6"/>
  </r>
  <r>
    <x v="0"/>
    <x v="9"/>
    <x v="0"/>
    <x v="26"/>
    <x v="10"/>
    <n v="166.4"/>
  </r>
  <r>
    <x v="1"/>
    <x v="9"/>
    <x v="0"/>
    <x v="0"/>
    <x v="0"/>
    <n v="152.19999999999999"/>
  </r>
  <r>
    <x v="1"/>
    <x v="9"/>
    <x v="0"/>
    <x v="1"/>
    <x v="0"/>
    <n v="202.1"/>
  </r>
  <r>
    <x v="1"/>
    <x v="9"/>
    <x v="0"/>
    <x v="2"/>
    <x v="0"/>
    <n v="180.1"/>
  </r>
  <r>
    <x v="1"/>
    <x v="9"/>
    <x v="0"/>
    <x v="3"/>
    <x v="0"/>
    <n v="160.4"/>
  </r>
  <r>
    <x v="1"/>
    <x v="9"/>
    <x v="0"/>
    <x v="4"/>
    <x v="0"/>
    <n v="171"/>
  </r>
  <r>
    <x v="1"/>
    <x v="9"/>
    <x v="0"/>
    <x v="5"/>
    <x v="0"/>
    <n v="156.5"/>
  </r>
  <r>
    <x v="1"/>
    <x v="9"/>
    <x v="0"/>
    <x v="6"/>
    <x v="0"/>
    <n v="203.6"/>
  </r>
  <r>
    <x v="1"/>
    <x v="9"/>
    <x v="0"/>
    <x v="7"/>
    <x v="0"/>
    <n v="163.80000000000001"/>
  </r>
  <r>
    <x v="1"/>
    <x v="9"/>
    <x v="0"/>
    <x v="8"/>
    <x v="0"/>
    <n v="121.3"/>
  </r>
  <r>
    <x v="1"/>
    <x v="9"/>
    <x v="0"/>
    <x v="9"/>
    <x v="0"/>
    <n v="169.8"/>
  </r>
  <r>
    <x v="1"/>
    <x v="9"/>
    <x v="0"/>
    <x v="10"/>
    <x v="0"/>
    <n v="156.6"/>
  </r>
  <r>
    <x v="1"/>
    <x v="9"/>
    <x v="0"/>
    <x v="11"/>
    <x v="0"/>
    <n v="179"/>
  </r>
  <r>
    <x v="1"/>
    <x v="9"/>
    <x v="0"/>
    <x v="12"/>
    <x v="0"/>
    <n v="170.3"/>
  </r>
  <r>
    <x v="1"/>
    <x v="9"/>
    <x v="0"/>
    <x v="13"/>
    <x v="1"/>
    <n v="196.4"/>
  </r>
  <r>
    <x v="1"/>
    <x v="9"/>
    <x v="0"/>
    <x v="14"/>
    <x v="2"/>
    <n v="164.7"/>
  </r>
  <r>
    <x v="1"/>
    <x v="9"/>
    <x v="0"/>
    <x v="15"/>
    <x v="2"/>
    <n v="148.5"/>
  </r>
  <r>
    <x v="1"/>
    <x v="9"/>
    <x v="0"/>
    <x v="16"/>
    <x v="2"/>
    <n v="162.19999999999999"/>
  </r>
  <r>
    <x v="1"/>
    <x v="9"/>
    <x v="0"/>
    <x v="17"/>
    <x v="3"/>
    <n v="164.5"/>
  </r>
  <r>
    <x v="1"/>
    <x v="9"/>
    <x v="0"/>
    <x v="18"/>
    <x v="4"/>
    <n v="161.6"/>
  </r>
  <r>
    <x v="1"/>
    <x v="9"/>
    <x v="0"/>
    <x v="19"/>
    <x v="5"/>
    <n v="156.80000000000001"/>
  </r>
  <r>
    <x v="1"/>
    <x v="9"/>
    <x v="0"/>
    <x v="20"/>
    <x v="6"/>
    <n v="166.1"/>
  </r>
  <r>
    <x v="1"/>
    <x v="9"/>
    <x v="0"/>
    <x v="21"/>
    <x v="7"/>
    <n v="152.69999999999999"/>
  </r>
  <r>
    <x v="1"/>
    <x v="9"/>
    <x v="0"/>
    <x v="22"/>
    <x v="8"/>
    <n v="158.4"/>
  </r>
  <r>
    <x v="1"/>
    <x v="9"/>
    <x v="0"/>
    <x v="23"/>
    <x v="9"/>
    <n v="161"/>
  </r>
  <r>
    <x v="1"/>
    <x v="9"/>
    <x v="0"/>
    <x v="24"/>
    <x v="8"/>
    <n v="162.80000000000001"/>
  </r>
  <r>
    <x v="1"/>
    <x v="9"/>
    <x v="0"/>
    <x v="25"/>
    <x v="5"/>
    <n v="158.6"/>
  </r>
  <r>
    <x v="1"/>
    <x v="9"/>
    <x v="0"/>
    <x v="26"/>
    <x v="10"/>
    <n v="165"/>
  </r>
  <r>
    <x v="2"/>
    <x v="9"/>
    <x v="0"/>
    <x v="0"/>
    <x v="0"/>
    <n v="149.5"/>
  </r>
  <r>
    <x v="2"/>
    <x v="9"/>
    <x v="0"/>
    <x v="1"/>
    <x v="0"/>
    <n v="198.7"/>
  </r>
  <r>
    <x v="2"/>
    <x v="9"/>
    <x v="0"/>
    <x v="2"/>
    <x v="0"/>
    <n v="178.8"/>
  </r>
  <r>
    <x v="2"/>
    <x v="9"/>
    <x v="0"/>
    <x v="3"/>
    <x v="0"/>
    <n v="160.5"/>
  </r>
  <r>
    <x v="2"/>
    <x v="9"/>
    <x v="0"/>
    <x v="4"/>
    <x v="0"/>
    <n v="184.7"/>
  </r>
  <r>
    <x v="2"/>
    <x v="9"/>
    <x v="0"/>
    <x v="5"/>
    <x v="0"/>
    <n v="153.69999999999999"/>
  </r>
  <r>
    <x v="2"/>
    <x v="9"/>
    <x v="0"/>
    <x v="6"/>
    <x v="0"/>
    <n v="174.3"/>
  </r>
  <r>
    <x v="2"/>
    <x v="9"/>
    <x v="0"/>
    <x v="7"/>
    <x v="0"/>
    <n v="163.9"/>
  </r>
  <r>
    <x v="2"/>
    <x v="9"/>
    <x v="0"/>
    <x v="8"/>
    <x v="0"/>
    <n v="120"/>
  </r>
  <r>
    <x v="2"/>
    <x v="9"/>
    <x v="0"/>
    <x v="9"/>
    <x v="0"/>
    <n v="172.1"/>
  </r>
  <r>
    <x v="2"/>
    <x v="9"/>
    <x v="0"/>
    <x v="10"/>
    <x v="0"/>
    <n v="164.3"/>
  </r>
  <r>
    <x v="2"/>
    <x v="9"/>
    <x v="0"/>
    <x v="11"/>
    <x v="0"/>
    <n v="177.3"/>
  </r>
  <r>
    <x v="2"/>
    <x v="9"/>
    <x v="0"/>
    <x v="12"/>
    <x v="0"/>
    <n v="166.4"/>
  </r>
  <r>
    <x v="2"/>
    <x v="9"/>
    <x v="0"/>
    <x v="13"/>
    <x v="1"/>
    <n v="192.2"/>
  </r>
  <r>
    <x v="2"/>
    <x v="9"/>
    <x v="0"/>
    <x v="14"/>
    <x v="2"/>
    <n v="169.9"/>
  </r>
  <r>
    <x v="2"/>
    <x v="9"/>
    <x v="0"/>
    <x v="15"/>
    <x v="2"/>
    <n v="160.69999999999999"/>
  </r>
  <r>
    <x v="2"/>
    <x v="9"/>
    <x v="0"/>
    <x v="16"/>
    <x v="2"/>
    <n v="168.5"/>
  </r>
  <r>
    <x v="2"/>
    <x v="9"/>
    <x v="0"/>
    <x v="17"/>
    <x v="3"/>
    <n v="164.5"/>
  </r>
  <r>
    <x v="2"/>
    <x v="9"/>
    <x v="0"/>
    <x v="18"/>
    <x v="4"/>
    <n v="164.2"/>
  </r>
  <r>
    <x v="2"/>
    <x v="9"/>
    <x v="0"/>
    <x v="19"/>
    <x v="5"/>
    <n v="161.1"/>
  </r>
  <r>
    <x v="2"/>
    <x v="9"/>
    <x v="0"/>
    <x v="20"/>
    <x v="6"/>
    <n v="171.4"/>
  </r>
  <r>
    <x v="2"/>
    <x v="9"/>
    <x v="0"/>
    <x v="21"/>
    <x v="7"/>
    <n v="156.5"/>
  </r>
  <r>
    <x v="2"/>
    <x v="9"/>
    <x v="0"/>
    <x v="22"/>
    <x v="8"/>
    <n v="161.19999999999999"/>
  </r>
  <r>
    <x v="2"/>
    <x v="9"/>
    <x v="0"/>
    <x v="23"/>
    <x v="9"/>
    <n v="164.7"/>
  </r>
  <r>
    <x v="2"/>
    <x v="9"/>
    <x v="0"/>
    <x v="24"/>
    <x v="8"/>
    <n v="163"/>
  </r>
  <r>
    <x v="2"/>
    <x v="9"/>
    <x v="0"/>
    <x v="25"/>
    <x v="5"/>
    <n v="162.69999999999999"/>
  </r>
  <r>
    <x v="2"/>
    <x v="9"/>
    <x v="0"/>
    <x v="26"/>
    <x v="10"/>
    <n v="165.7"/>
  </r>
  <r>
    <x v="0"/>
    <x v="9"/>
    <x v="1"/>
    <x v="0"/>
    <x v="0"/>
    <n v="148.80000000000001"/>
  </r>
  <r>
    <x v="0"/>
    <x v="9"/>
    <x v="1"/>
    <x v="1"/>
    <x v="0"/>
    <n v="198.1"/>
  </r>
  <r>
    <x v="0"/>
    <x v="9"/>
    <x v="1"/>
    <x v="2"/>
    <x v="0"/>
    <n v="175.5"/>
  </r>
  <r>
    <x v="0"/>
    <x v="9"/>
    <x v="1"/>
    <x v="3"/>
    <x v="0"/>
    <n v="160.69999999999999"/>
  </r>
  <r>
    <x v="0"/>
    <x v="9"/>
    <x v="1"/>
    <x v="4"/>
    <x v="0"/>
    <n v="192.6"/>
  </r>
  <r>
    <x v="0"/>
    <x v="9"/>
    <x v="1"/>
    <x v="5"/>
    <x v="0"/>
    <n v="151.4"/>
  </r>
  <r>
    <x v="0"/>
    <x v="9"/>
    <x v="1"/>
    <x v="6"/>
    <x v="0"/>
    <n v="155.19999999999999"/>
  </r>
  <r>
    <x v="0"/>
    <x v="9"/>
    <x v="1"/>
    <x v="7"/>
    <x v="0"/>
    <n v="163.9"/>
  </r>
  <r>
    <x v="0"/>
    <x v="9"/>
    <x v="1"/>
    <x v="8"/>
    <x v="0"/>
    <n v="118.1"/>
  </r>
  <r>
    <x v="0"/>
    <x v="9"/>
    <x v="1"/>
    <x v="9"/>
    <x v="0"/>
    <n v="175.4"/>
  </r>
  <r>
    <x v="0"/>
    <x v="9"/>
    <x v="1"/>
    <x v="10"/>
    <x v="0"/>
    <n v="170.5"/>
  </r>
  <r>
    <x v="0"/>
    <x v="9"/>
    <x v="1"/>
    <x v="11"/>
    <x v="0"/>
    <n v="176.3"/>
  </r>
  <r>
    <x v="0"/>
    <x v="9"/>
    <x v="1"/>
    <x v="12"/>
    <x v="0"/>
    <n v="163.9"/>
  </r>
  <r>
    <x v="0"/>
    <x v="9"/>
    <x v="1"/>
    <x v="13"/>
    <x v="1"/>
    <n v="191.5"/>
  </r>
  <r>
    <x v="0"/>
    <x v="9"/>
    <x v="1"/>
    <x v="14"/>
    <x v="2"/>
    <n v="174.1"/>
  </r>
  <r>
    <x v="0"/>
    <x v="9"/>
    <x v="1"/>
    <x v="15"/>
    <x v="2"/>
    <n v="171"/>
  </r>
  <r>
    <x v="0"/>
    <x v="9"/>
    <x v="1"/>
    <x v="16"/>
    <x v="2"/>
    <n v="173.7"/>
  </r>
  <r>
    <x v="0"/>
    <x v="9"/>
    <x v="1"/>
    <x v="17"/>
    <x v="3"/>
    <s v="NA"/>
  </r>
  <r>
    <x v="0"/>
    <x v="9"/>
    <x v="1"/>
    <x v="18"/>
    <x v="4"/>
    <n v="167.4"/>
  </r>
  <r>
    <x v="0"/>
    <x v="9"/>
    <x v="1"/>
    <x v="19"/>
    <x v="5"/>
    <n v="165.7"/>
  </r>
  <r>
    <x v="0"/>
    <x v="9"/>
    <x v="1"/>
    <x v="20"/>
    <x v="6"/>
    <n v="175.3"/>
  </r>
  <r>
    <x v="0"/>
    <x v="9"/>
    <x v="1"/>
    <x v="21"/>
    <x v="7"/>
    <n v="161.19999999999999"/>
  </r>
  <r>
    <x v="0"/>
    <x v="9"/>
    <x v="1"/>
    <x v="22"/>
    <x v="8"/>
    <n v="165.5"/>
  </r>
  <r>
    <x v="0"/>
    <x v="9"/>
    <x v="1"/>
    <x v="23"/>
    <x v="9"/>
    <n v="170.3"/>
  </r>
  <r>
    <x v="0"/>
    <x v="9"/>
    <x v="1"/>
    <x v="24"/>
    <x v="8"/>
    <n v="164.5"/>
  </r>
  <r>
    <x v="0"/>
    <x v="9"/>
    <x v="1"/>
    <x v="25"/>
    <x v="5"/>
    <n v="167.3"/>
  </r>
  <r>
    <x v="0"/>
    <x v="9"/>
    <x v="1"/>
    <x v="26"/>
    <x v="10"/>
    <n v="166.7"/>
  </r>
  <r>
    <x v="1"/>
    <x v="9"/>
    <x v="1"/>
    <x v="0"/>
    <x v="0"/>
    <n v="152.5"/>
  </r>
  <r>
    <x v="1"/>
    <x v="9"/>
    <x v="1"/>
    <x v="1"/>
    <x v="0"/>
    <n v="205.2"/>
  </r>
  <r>
    <x v="1"/>
    <x v="9"/>
    <x v="1"/>
    <x v="2"/>
    <x v="0"/>
    <n v="176.4"/>
  </r>
  <r>
    <x v="1"/>
    <x v="9"/>
    <x v="1"/>
    <x v="3"/>
    <x v="0"/>
    <n v="160.6"/>
  </r>
  <r>
    <x v="1"/>
    <x v="9"/>
    <x v="1"/>
    <x v="4"/>
    <x v="0"/>
    <n v="171.5"/>
  </r>
  <r>
    <x v="1"/>
    <x v="9"/>
    <x v="1"/>
    <x v="5"/>
    <x v="0"/>
    <n v="156.4"/>
  </r>
  <r>
    <x v="1"/>
    <x v="9"/>
    <x v="1"/>
    <x v="6"/>
    <x v="0"/>
    <n v="198"/>
  </r>
  <r>
    <x v="1"/>
    <x v="9"/>
    <x v="1"/>
    <x v="7"/>
    <x v="0"/>
    <n v="163.19999999999999"/>
  </r>
  <r>
    <x v="1"/>
    <x v="9"/>
    <x v="1"/>
    <x v="8"/>
    <x v="0"/>
    <n v="120.6"/>
  </r>
  <r>
    <x v="1"/>
    <x v="9"/>
    <x v="1"/>
    <x v="9"/>
    <x v="0"/>
    <n v="172.2"/>
  </r>
  <r>
    <x v="1"/>
    <x v="9"/>
    <x v="1"/>
    <x v="10"/>
    <x v="0"/>
    <n v="156.69999999999999"/>
  </r>
  <r>
    <x v="1"/>
    <x v="9"/>
    <x v="1"/>
    <x v="11"/>
    <x v="0"/>
    <n v="180"/>
  </r>
  <r>
    <x v="1"/>
    <x v="9"/>
    <x v="1"/>
    <x v="12"/>
    <x v="0"/>
    <n v="170.2"/>
  </r>
  <r>
    <x v="1"/>
    <x v="9"/>
    <x v="1"/>
    <x v="13"/>
    <x v="1"/>
    <n v="196.5"/>
  </r>
  <r>
    <x v="1"/>
    <x v="9"/>
    <x v="1"/>
    <x v="14"/>
    <x v="2"/>
    <n v="165.7"/>
  </r>
  <r>
    <x v="1"/>
    <x v="9"/>
    <x v="1"/>
    <x v="15"/>
    <x v="2"/>
    <n v="150.4"/>
  </r>
  <r>
    <x v="1"/>
    <x v="9"/>
    <x v="1"/>
    <x v="16"/>
    <x v="2"/>
    <n v="163.4"/>
  </r>
  <r>
    <x v="1"/>
    <x v="9"/>
    <x v="1"/>
    <x v="17"/>
    <x v="3"/>
    <n v="165.5"/>
  </r>
  <r>
    <x v="1"/>
    <x v="9"/>
    <x v="1"/>
    <x v="18"/>
    <x v="4"/>
    <n v="163"/>
  </r>
  <r>
    <x v="1"/>
    <x v="9"/>
    <x v="1"/>
    <x v="19"/>
    <x v="5"/>
    <n v="157.4"/>
  </r>
  <r>
    <x v="1"/>
    <x v="9"/>
    <x v="1"/>
    <x v="20"/>
    <x v="6"/>
    <n v="167.2"/>
  </r>
  <r>
    <x v="1"/>
    <x v="9"/>
    <x v="1"/>
    <x v="21"/>
    <x v="7"/>
    <n v="153.1"/>
  </r>
  <r>
    <x v="1"/>
    <x v="9"/>
    <x v="1"/>
    <x v="22"/>
    <x v="8"/>
    <n v="159.5"/>
  </r>
  <r>
    <x v="1"/>
    <x v="9"/>
    <x v="1"/>
    <x v="23"/>
    <x v="9"/>
    <n v="162"/>
  </r>
  <r>
    <x v="1"/>
    <x v="9"/>
    <x v="1"/>
    <x v="24"/>
    <x v="8"/>
    <n v="164.2"/>
  </r>
  <r>
    <x v="1"/>
    <x v="9"/>
    <x v="1"/>
    <x v="25"/>
    <x v="5"/>
    <n v="159.4"/>
  </r>
  <r>
    <x v="1"/>
    <x v="9"/>
    <x v="1"/>
    <x v="26"/>
    <x v="10"/>
    <n v="165.5"/>
  </r>
  <r>
    <x v="2"/>
    <x v="9"/>
    <x v="1"/>
    <x v="0"/>
    <x v="0"/>
    <n v="150"/>
  </r>
  <r>
    <x v="2"/>
    <x v="9"/>
    <x v="1"/>
    <x v="1"/>
    <x v="0"/>
    <n v="200.6"/>
  </r>
  <r>
    <x v="2"/>
    <x v="9"/>
    <x v="1"/>
    <x v="2"/>
    <x v="0"/>
    <n v="175.8"/>
  </r>
  <r>
    <x v="2"/>
    <x v="9"/>
    <x v="1"/>
    <x v="3"/>
    <x v="0"/>
    <n v="160.69999999999999"/>
  </r>
  <r>
    <x v="2"/>
    <x v="9"/>
    <x v="1"/>
    <x v="4"/>
    <x v="0"/>
    <n v="184.9"/>
  </r>
  <r>
    <x v="2"/>
    <x v="9"/>
    <x v="1"/>
    <x v="5"/>
    <x v="0"/>
    <n v="153.69999999999999"/>
  </r>
  <r>
    <x v="2"/>
    <x v="9"/>
    <x v="1"/>
    <x v="6"/>
    <x v="0"/>
    <n v="169.7"/>
  </r>
  <r>
    <x v="2"/>
    <x v="9"/>
    <x v="1"/>
    <x v="7"/>
    <x v="0"/>
    <n v="163.69999999999999"/>
  </r>
  <r>
    <x v="2"/>
    <x v="9"/>
    <x v="1"/>
    <x v="8"/>
    <x v="0"/>
    <n v="118.9"/>
  </r>
  <r>
    <x v="2"/>
    <x v="9"/>
    <x v="1"/>
    <x v="9"/>
    <x v="0"/>
    <n v="174.3"/>
  </r>
  <r>
    <x v="2"/>
    <x v="9"/>
    <x v="1"/>
    <x v="10"/>
    <x v="0"/>
    <n v="164.7"/>
  </r>
  <r>
    <x v="2"/>
    <x v="9"/>
    <x v="1"/>
    <x v="11"/>
    <x v="0"/>
    <n v="178"/>
  </r>
  <r>
    <x v="2"/>
    <x v="9"/>
    <x v="1"/>
    <x v="12"/>
    <x v="0"/>
    <n v="166.2"/>
  </r>
  <r>
    <x v="2"/>
    <x v="9"/>
    <x v="1"/>
    <x v="13"/>
    <x v="1"/>
    <n v="192.8"/>
  </r>
  <r>
    <x v="2"/>
    <x v="9"/>
    <x v="1"/>
    <x v="14"/>
    <x v="2"/>
    <n v="170.8"/>
  </r>
  <r>
    <x v="2"/>
    <x v="9"/>
    <x v="1"/>
    <x v="15"/>
    <x v="2"/>
    <n v="162.4"/>
  </r>
  <r>
    <x v="2"/>
    <x v="9"/>
    <x v="1"/>
    <x v="16"/>
    <x v="2"/>
    <n v="169.6"/>
  </r>
  <r>
    <x v="2"/>
    <x v="9"/>
    <x v="1"/>
    <x v="17"/>
    <x v="3"/>
    <n v="165.5"/>
  </r>
  <r>
    <x v="2"/>
    <x v="9"/>
    <x v="1"/>
    <x v="18"/>
    <x v="4"/>
    <n v="165.7"/>
  </r>
  <r>
    <x v="2"/>
    <x v="9"/>
    <x v="1"/>
    <x v="19"/>
    <x v="5"/>
    <n v="161.80000000000001"/>
  </r>
  <r>
    <x v="2"/>
    <x v="9"/>
    <x v="1"/>
    <x v="20"/>
    <x v="6"/>
    <n v="172.2"/>
  </r>
  <r>
    <x v="2"/>
    <x v="9"/>
    <x v="1"/>
    <x v="21"/>
    <x v="7"/>
    <n v="156.9"/>
  </r>
  <r>
    <x v="2"/>
    <x v="9"/>
    <x v="1"/>
    <x v="22"/>
    <x v="8"/>
    <n v="162.1"/>
  </r>
  <r>
    <x v="2"/>
    <x v="9"/>
    <x v="1"/>
    <x v="23"/>
    <x v="9"/>
    <n v="165.4"/>
  </r>
  <r>
    <x v="2"/>
    <x v="9"/>
    <x v="1"/>
    <x v="24"/>
    <x v="8"/>
    <n v="164.4"/>
  </r>
  <r>
    <x v="2"/>
    <x v="9"/>
    <x v="1"/>
    <x v="25"/>
    <x v="5"/>
    <n v="163.5"/>
  </r>
  <r>
    <x v="2"/>
    <x v="9"/>
    <x v="1"/>
    <x v="26"/>
    <x v="10"/>
    <n v="166.1"/>
  </r>
  <r>
    <x v="0"/>
    <x v="9"/>
    <x v="2"/>
    <x v="0"/>
    <x v="0"/>
    <n v="150.19999999999999"/>
  </r>
  <r>
    <x v="0"/>
    <x v="9"/>
    <x v="2"/>
    <x v="1"/>
    <x v="0"/>
    <n v="208"/>
  </r>
  <r>
    <x v="0"/>
    <x v="9"/>
    <x v="2"/>
    <x v="2"/>
    <x v="0"/>
    <n v="167.9"/>
  </r>
  <r>
    <x v="0"/>
    <x v="9"/>
    <x v="2"/>
    <x v="3"/>
    <x v="0"/>
    <n v="162"/>
  </r>
  <r>
    <x v="0"/>
    <x v="9"/>
    <x v="2"/>
    <x v="4"/>
    <x v="0"/>
    <n v="203.1"/>
  </r>
  <r>
    <x v="0"/>
    <x v="9"/>
    <x v="2"/>
    <x v="5"/>
    <x v="0"/>
    <n v="155.9"/>
  </r>
  <r>
    <x v="0"/>
    <x v="9"/>
    <x v="2"/>
    <x v="6"/>
    <x v="0"/>
    <n v="155.80000000000001"/>
  </r>
  <r>
    <x v="0"/>
    <x v="9"/>
    <x v="2"/>
    <x v="7"/>
    <x v="0"/>
    <n v="164.2"/>
  </r>
  <r>
    <x v="0"/>
    <x v="9"/>
    <x v="2"/>
    <x v="8"/>
    <x v="0"/>
    <n v="118.1"/>
  </r>
  <r>
    <x v="0"/>
    <x v="9"/>
    <x v="2"/>
    <x v="9"/>
    <x v="0"/>
    <n v="178.7"/>
  </r>
  <r>
    <x v="0"/>
    <x v="9"/>
    <x v="2"/>
    <x v="10"/>
    <x v="0"/>
    <n v="171.2"/>
  </r>
  <r>
    <x v="0"/>
    <x v="9"/>
    <x v="2"/>
    <x v="11"/>
    <x v="0"/>
    <n v="177.4"/>
  </r>
  <r>
    <x v="0"/>
    <x v="9"/>
    <x v="2"/>
    <x v="12"/>
    <x v="0"/>
    <n v="166.6"/>
  </r>
  <r>
    <x v="0"/>
    <x v="9"/>
    <x v="2"/>
    <x v="13"/>
    <x v="1"/>
    <n v="192.3"/>
  </r>
  <r>
    <x v="0"/>
    <x v="9"/>
    <x v="2"/>
    <x v="14"/>
    <x v="2"/>
    <n v="175.4"/>
  </r>
  <r>
    <x v="0"/>
    <x v="9"/>
    <x v="2"/>
    <x v="15"/>
    <x v="2"/>
    <n v="173.2"/>
  </r>
  <r>
    <x v="0"/>
    <x v="9"/>
    <x v="2"/>
    <x v="16"/>
    <x v="2"/>
    <n v="175.1"/>
  </r>
  <r>
    <x v="0"/>
    <x v="9"/>
    <x v="2"/>
    <x v="17"/>
    <x v="3"/>
    <s v="NA"/>
  </r>
  <r>
    <x v="0"/>
    <x v="9"/>
    <x v="2"/>
    <x v="18"/>
    <x v="4"/>
    <n v="168.9"/>
  </r>
  <r>
    <x v="0"/>
    <x v="9"/>
    <x v="2"/>
    <x v="19"/>
    <x v="5"/>
    <n v="166.5"/>
  </r>
  <r>
    <x v="0"/>
    <x v="9"/>
    <x v="2"/>
    <x v="20"/>
    <x v="6"/>
    <n v="176"/>
  </r>
  <r>
    <x v="0"/>
    <x v="9"/>
    <x v="2"/>
    <x v="21"/>
    <x v="7"/>
    <n v="162"/>
  </r>
  <r>
    <x v="0"/>
    <x v="9"/>
    <x v="2"/>
    <x v="22"/>
    <x v="8"/>
    <n v="166.6"/>
  </r>
  <r>
    <x v="0"/>
    <x v="9"/>
    <x v="2"/>
    <x v="23"/>
    <x v="9"/>
    <n v="170.6"/>
  </r>
  <r>
    <x v="0"/>
    <x v="9"/>
    <x v="2"/>
    <x v="24"/>
    <x v="8"/>
    <n v="167.4"/>
  </r>
  <r>
    <x v="0"/>
    <x v="9"/>
    <x v="2"/>
    <x v="25"/>
    <x v="5"/>
    <n v="168.3"/>
  </r>
  <r>
    <x v="0"/>
    <x v="9"/>
    <x v="2"/>
    <x v="26"/>
    <x v="10"/>
    <n v="168.7"/>
  </r>
  <r>
    <x v="1"/>
    <x v="9"/>
    <x v="2"/>
    <x v="0"/>
    <x v="0"/>
    <n v="153.69999999999999"/>
  </r>
  <r>
    <x v="1"/>
    <x v="9"/>
    <x v="2"/>
    <x v="1"/>
    <x v="0"/>
    <n v="215.8"/>
  </r>
  <r>
    <x v="1"/>
    <x v="9"/>
    <x v="2"/>
    <x v="2"/>
    <x v="0"/>
    <n v="167.7"/>
  </r>
  <r>
    <x v="1"/>
    <x v="9"/>
    <x v="2"/>
    <x v="3"/>
    <x v="0"/>
    <n v="162.6"/>
  </r>
  <r>
    <x v="1"/>
    <x v="9"/>
    <x v="2"/>
    <x v="4"/>
    <x v="0"/>
    <n v="180"/>
  </r>
  <r>
    <x v="1"/>
    <x v="9"/>
    <x v="2"/>
    <x v="5"/>
    <x v="0"/>
    <n v="159.6"/>
  </r>
  <r>
    <x v="1"/>
    <x v="9"/>
    <x v="2"/>
    <x v="6"/>
    <x v="0"/>
    <n v="188.4"/>
  </r>
  <r>
    <x v="1"/>
    <x v="9"/>
    <x v="2"/>
    <x v="7"/>
    <x v="0"/>
    <n v="163.4"/>
  </r>
  <r>
    <x v="1"/>
    <x v="9"/>
    <x v="2"/>
    <x v="8"/>
    <x v="0"/>
    <n v="120.3"/>
  </r>
  <r>
    <x v="1"/>
    <x v="9"/>
    <x v="2"/>
    <x v="9"/>
    <x v="0"/>
    <n v="174.7"/>
  </r>
  <r>
    <x v="1"/>
    <x v="9"/>
    <x v="2"/>
    <x v="10"/>
    <x v="0"/>
    <n v="157.1"/>
  </r>
  <r>
    <x v="1"/>
    <x v="9"/>
    <x v="2"/>
    <x v="11"/>
    <x v="0"/>
    <n v="181.5"/>
  </r>
  <r>
    <x v="1"/>
    <x v="9"/>
    <x v="2"/>
    <x v="12"/>
    <x v="0"/>
    <n v="171.5"/>
  </r>
  <r>
    <x v="1"/>
    <x v="9"/>
    <x v="2"/>
    <x v="13"/>
    <x v="1"/>
    <n v="197.5"/>
  </r>
  <r>
    <x v="1"/>
    <x v="9"/>
    <x v="2"/>
    <x v="14"/>
    <x v="2"/>
    <n v="167.1"/>
  </r>
  <r>
    <x v="1"/>
    <x v="9"/>
    <x v="2"/>
    <x v="15"/>
    <x v="2"/>
    <n v="152.6"/>
  </r>
  <r>
    <x v="1"/>
    <x v="9"/>
    <x v="2"/>
    <x v="16"/>
    <x v="2"/>
    <n v="164.9"/>
  </r>
  <r>
    <x v="1"/>
    <x v="9"/>
    <x v="2"/>
    <x v="17"/>
    <x v="3"/>
    <n v="165.3"/>
  </r>
  <r>
    <x v="1"/>
    <x v="9"/>
    <x v="2"/>
    <x v="18"/>
    <x v="4"/>
    <n v="164.5"/>
  </r>
  <r>
    <x v="1"/>
    <x v="9"/>
    <x v="2"/>
    <x v="19"/>
    <x v="5"/>
    <n v="158.6"/>
  </r>
  <r>
    <x v="1"/>
    <x v="9"/>
    <x v="2"/>
    <x v="20"/>
    <x v="6"/>
    <n v="168.2"/>
  </r>
  <r>
    <x v="1"/>
    <x v="9"/>
    <x v="2"/>
    <x v="21"/>
    <x v="7"/>
    <n v="154.19999999999999"/>
  </r>
  <r>
    <x v="1"/>
    <x v="9"/>
    <x v="2"/>
    <x v="22"/>
    <x v="8"/>
    <n v="160.80000000000001"/>
  </r>
  <r>
    <x v="1"/>
    <x v="9"/>
    <x v="2"/>
    <x v="23"/>
    <x v="9"/>
    <n v="162.69999999999999"/>
  </r>
  <r>
    <x v="1"/>
    <x v="9"/>
    <x v="2"/>
    <x v="24"/>
    <x v="8"/>
    <n v="166.8"/>
  </r>
  <r>
    <x v="1"/>
    <x v="9"/>
    <x v="2"/>
    <x v="25"/>
    <x v="5"/>
    <n v="160.6"/>
  </r>
  <r>
    <x v="1"/>
    <x v="9"/>
    <x v="2"/>
    <x v="26"/>
    <x v="10"/>
    <n v="166.5"/>
  </r>
  <r>
    <x v="2"/>
    <x v="9"/>
    <x v="2"/>
    <x v="0"/>
    <x v="0"/>
    <n v="151.30000000000001"/>
  </r>
  <r>
    <x v="2"/>
    <x v="9"/>
    <x v="2"/>
    <x v="1"/>
    <x v="0"/>
    <n v="210.7"/>
  </r>
  <r>
    <x v="2"/>
    <x v="9"/>
    <x v="2"/>
    <x v="2"/>
    <x v="0"/>
    <n v="167.8"/>
  </r>
  <r>
    <x v="2"/>
    <x v="9"/>
    <x v="2"/>
    <x v="3"/>
    <x v="0"/>
    <n v="162.19999999999999"/>
  </r>
  <r>
    <x v="2"/>
    <x v="9"/>
    <x v="2"/>
    <x v="4"/>
    <x v="0"/>
    <n v="194.6"/>
  </r>
  <r>
    <x v="2"/>
    <x v="9"/>
    <x v="2"/>
    <x v="5"/>
    <x v="0"/>
    <n v="157.6"/>
  </r>
  <r>
    <x v="2"/>
    <x v="9"/>
    <x v="2"/>
    <x v="6"/>
    <x v="0"/>
    <n v="166.9"/>
  </r>
  <r>
    <x v="2"/>
    <x v="9"/>
    <x v="2"/>
    <x v="7"/>
    <x v="0"/>
    <n v="163.9"/>
  </r>
  <r>
    <x v="2"/>
    <x v="9"/>
    <x v="2"/>
    <x v="8"/>
    <x v="0"/>
    <n v="118.8"/>
  </r>
  <r>
    <x v="2"/>
    <x v="9"/>
    <x v="2"/>
    <x v="9"/>
    <x v="0"/>
    <n v="177.4"/>
  </r>
  <r>
    <x v="2"/>
    <x v="9"/>
    <x v="2"/>
    <x v="10"/>
    <x v="0"/>
    <n v="165.3"/>
  </r>
  <r>
    <x v="2"/>
    <x v="9"/>
    <x v="2"/>
    <x v="11"/>
    <x v="0"/>
    <n v="179.3"/>
  </r>
  <r>
    <x v="2"/>
    <x v="9"/>
    <x v="2"/>
    <x v="12"/>
    <x v="0"/>
    <n v="168.4"/>
  </r>
  <r>
    <x v="2"/>
    <x v="9"/>
    <x v="2"/>
    <x v="13"/>
    <x v="1"/>
    <n v="193.7"/>
  </r>
  <r>
    <x v="2"/>
    <x v="9"/>
    <x v="2"/>
    <x v="14"/>
    <x v="2"/>
    <n v="172.1"/>
  </r>
  <r>
    <x v="2"/>
    <x v="9"/>
    <x v="2"/>
    <x v="15"/>
    <x v="2"/>
    <n v="164.6"/>
  </r>
  <r>
    <x v="2"/>
    <x v="9"/>
    <x v="2"/>
    <x v="16"/>
    <x v="2"/>
    <n v="171.1"/>
  </r>
  <r>
    <x v="2"/>
    <x v="9"/>
    <x v="2"/>
    <x v="17"/>
    <x v="3"/>
    <n v="165.3"/>
  </r>
  <r>
    <x v="2"/>
    <x v="9"/>
    <x v="2"/>
    <x v="18"/>
    <x v="4"/>
    <n v="167.2"/>
  </r>
  <r>
    <x v="2"/>
    <x v="9"/>
    <x v="2"/>
    <x v="19"/>
    <x v="5"/>
    <n v="162.80000000000001"/>
  </r>
  <r>
    <x v="2"/>
    <x v="9"/>
    <x v="2"/>
    <x v="20"/>
    <x v="6"/>
    <n v="173"/>
  </r>
  <r>
    <x v="2"/>
    <x v="9"/>
    <x v="2"/>
    <x v="21"/>
    <x v="7"/>
    <n v="157.9"/>
  </r>
  <r>
    <x v="2"/>
    <x v="9"/>
    <x v="2"/>
    <x v="22"/>
    <x v="8"/>
    <n v="163.30000000000001"/>
  </r>
  <r>
    <x v="2"/>
    <x v="9"/>
    <x v="2"/>
    <x v="23"/>
    <x v="9"/>
    <n v="166"/>
  </r>
  <r>
    <x v="2"/>
    <x v="9"/>
    <x v="2"/>
    <x v="24"/>
    <x v="8"/>
    <n v="167.2"/>
  </r>
  <r>
    <x v="2"/>
    <x v="9"/>
    <x v="2"/>
    <x v="25"/>
    <x v="5"/>
    <n v="164.6"/>
  </r>
  <r>
    <x v="2"/>
    <x v="9"/>
    <x v="2"/>
    <x v="26"/>
    <x v="10"/>
    <n v="167.7"/>
  </r>
  <r>
    <x v="0"/>
    <x v="9"/>
    <x v="3"/>
    <x v="0"/>
    <x v="0"/>
    <n v="151.80000000000001"/>
  </r>
  <r>
    <x v="0"/>
    <x v="9"/>
    <x v="3"/>
    <x v="1"/>
    <x v="0"/>
    <n v="209.7"/>
  </r>
  <r>
    <x v="0"/>
    <x v="9"/>
    <x v="3"/>
    <x v="2"/>
    <x v="0"/>
    <n v="164.5"/>
  </r>
  <r>
    <x v="0"/>
    <x v="9"/>
    <x v="3"/>
    <x v="3"/>
    <x v="0"/>
    <n v="163.80000000000001"/>
  </r>
  <r>
    <x v="0"/>
    <x v="9"/>
    <x v="3"/>
    <x v="4"/>
    <x v="0"/>
    <n v="207.4"/>
  </r>
  <r>
    <x v="0"/>
    <x v="9"/>
    <x v="3"/>
    <x v="5"/>
    <x v="0"/>
    <n v="169.7"/>
  </r>
  <r>
    <x v="0"/>
    <x v="9"/>
    <x v="3"/>
    <x v="6"/>
    <x v="0"/>
    <n v="153.6"/>
  </r>
  <r>
    <x v="0"/>
    <x v="9"/>
    <x v="3"/>
    <x v="7"/>
    <x v="0"/>
    <n v="165.1"/>
  </r>
  <r>
    <x v="0"/>
    <x v="9"/>
    <x v="3"/>
    <x v="8"/>
    <x v="0"/>
    <n v="118.2"/>
  </r>
  <r>
    <x v="0"/>
    <x v="9"/>
    <x v="3"/>
    <x v="9"/>
    <x v="0"/>
    <n v="182.9"/>
  </r>
  <r>
    <x v="0"/>
    <x v="9"/>
    <x v="3"/>
    <x v="10"/>
    <x v="0"/>
    <n v="172.4"/>
  </r>
  <r>
    <x v="0"/>
    <x v="9"/>
    <x v="3"/>
    <x v="11"/>
    <x v="0"/>
    <n v="178.9"/>
  </r>
  <r>
    <x v="0"/>
    <x v="9"/>
    <x v="3"/>
    <x v="12"/>
    <x v="0"/>
    <n v="168.6"/>
  </r>
  <r>
    <x v="0"/>
    <x v="9"/>
    <x v="3"/>
    <x v="13"/>
    <x v="1"/>
    <n v="192.8"/>
  </r>
  <r>
    <x v="0"/>
    <x v="9"/>
    <x v="3"/>
    <x v="14"/>
    <x v="2"/>
    <n v="177.5"/>
  </r>
  <r>
    <x v="0"/>
    <x v="9"/>
    <x v="3"/>
    <x v="15"/>
    <x v="2"/>
    <n v="175.1"/>
  </r>
  <r>
    <x v="0"/>
    <x v="9"/>
    <x v="3"/>
    <x v="16"/>
    <x v="2"/>
    <n v="177.1"/>
  </r>
  <r>
    <x v="0"/>
    <x v="9"/>
    <x v="3"/>
    <x v="17"/>
    <x v="3"/>
    <s v="NA"/>
  </r>
  <r>
    <x v="0"/>
    <x v="9"/>
    <x v="3"/>
    <x v="18"/>
    <x v="4"/>
    <n v="173.3"/>
  </r>
  <r>
    <x v="0"/>
    <x v="9"/>
    <x v="3"/>
    <x v="19"/>
    <x v="5"/>
    <n v="167.7"/>
  </r>
  <r>
    <x v="0"/>
    <x v="9"/>
    <x v="3"/>
    <x v="20"/>
    <x v="6"/>
    <n v="177"/>
  </r>
  <r>
    <x v="0"/>
    <x v="9"/>
    <x v="3"/>
    <x v="21"/>
    <x v="7"/>
    <n v="166.2"/>
  </r>
  <r>
    <x v="0"/>
    <x v="9"/>
    <x v="3"/>
    <x v="22"/>
    <x v="8"/>
    <n v="167.2"/>
  </r>
  <r>
    <x v="0"/>
    <x v="9"/>
    <x v="3"/>
    <x v="23"/>
    <x v="9"/>
    <n v="170.9"/>
  </r>
  <r>
    <x v="0"/>
    <x v="9"/>
    <x v="3"/>
    <x v="24"/>
    <x v="8"/>
    <n v="169"/>
  </r>
  <r>
    <x v="0"/>
    <x v="9"/>
    <x v="3"/>
    <x v="25"/>
    <x v="5"/>
    <n v="170.2"/>
  </r>
  <r>
    <x v="0"/>
    <x v="9"/>
    <x v="3"/>
    <x v="26"/>
    <x v="10"/>
    <n v="170.8"/>
  </r>
  <r>
    <x v="1"/>
    <x v="9"/>
    <x v="3"/>
    <x v="0"/>
    <x v="0"/>
    <n v="155.4"/>
  </r>
  <r>
    <x v="1"/>
    <x v="9"/>
    <x v="3"/>
    <x v="1"/>
    <x v="0"/>
    <n v="215.8"/>
  </r>
  <r>
    <x v="1"/>
    <x v="9"/>
    <x v="3"/>
    <x v="2"/>
    <x v="0"/>
    <n v="164.6"/>
  </r>
  <r>
    <x v="1"/>
    <x v="9"/>
    <x v="3"/>
    <x v="3"/>
    <x v="0"/>
    <n v="164.2"/>
  </r>
  <r>
    <x v="1"/>
    <x v="9"/>
    <x v="3"/>
    <x v="4"/>
    <x v="0"/>
    <n v="186"/>
  </r>
  <r>
    <x v="1"/>
    <x v="9"/>
    <x v="3"/>
    <x v="5"/>
    <x v="0"/>
    <n v="175.9"/>
  </r>
  <r>
    <x v="1"/>
    <x v="9"/>
    <x v="3"/>
    <x v="6"/>
    <x v="0"/>
    <n v="190.7"/>
  </r>
  <r>
    <x v="1"/>
    <x v="9"/>
    <x v="3"/>
    <x v="7"/>
    <x v="0"/>
    <n v="164"/>
  </r>
  <r>
    <x v="1"/>
    <x v="9"/>
    <x v="3"/>
    <x v="8"/>
    <x v="0"/>
    <n v="120.5"/>
  </r>
  <r>
    <x v="1"/>
    <x v="9"/>
    <x v="3"/>
    <x v="9"/>
    <x v="0"/>
    <n v="178"/>
  </r>
  <r>
    <x v="1"/>
    <x v="9"/>
    <x v="3"/>
    <x v="10"/>
    <x v="0"/>
    <n v="157.5"/>
  </r>
  <r>
    <x v="1"/>
    <x v="9"/>
    <x v="3"/>
    <x v="11"/>
    <x v="0"/>
    <n v="183.3"/>
  </r>
  <r>
    <x v="1"/>
    <x v="9"/>
    <x v="3"/>
    <x v="12"/>
    <x v="0"/>
    <n v="174.5"/>
  </r>
  <r>
    <x v="1"/>
    <x v="9"/>
    <x v="3"/>
    <x v="13"/>
    <x v="1"/>
    <n v="197.1"/>
  </r>
  <r>
    <x v="1"/>
    <x v="9"/>
    <x v="3"/>
    <x v="14"/>
    <x v="2"/>
    <n v="168.4"/>
  </r>
  <r>
    <x v="1"/>
    <x v="9"/>
    <x v="3"/>
    <x v="15"/>
    <x v="2"/>
    <n v="154.5"/>
  </r>
  <r>
    <x v="1"/>
    <x v="9"/>
    <x v="3"/>
    <x v="16"/>
    <x v="2"/>
    <n v="166.3"/>
  </r>
  <r>
    <x v="1"/>
    <x v="9"/>
    <x v="3"/>
    <x v="17"/>
    <x v="3"/>
    <n v="167"/>
  </r>
  <r>
    <x v="1"/>
    <x v="9"/>
    <x v="3"/>
    <x v="18"/>
    <x v="4"/>
    <n v="170.5"/>
  </r>
  <r>
    <x v="1"/>
    <x v="9"/>
    <x v="3"/>
    <x v="19"/>
    <x v="5"/>
    <n v="159.80000000000001"/>
  </r>
  <r>
    <x v="1"/>
    <x v="9"/>
    <x v="3"/>
    <x v="20"/>
    <x v="6"/>
    <n v="169"/>
  </r>
  <r>
    <x v="1"/>
    <x v="9"/>
    <x v="3"/>
    <x v="21"/>
    <x v="7"/>
    <n v="159.30000000000001"/>
  </r>
  <r>
    <x v="1"/>
    <x v="9"/>
    <x v="3"/>
    <x v="22"/>
    <x v="8"/>
    <n v="162.19999999999999"/>
  </r>
  <r>
    <x v="1"/>
    <x v="9"/>
    <x v="3"/>
    <x v="23"/>
    <x v="9"/>
    <n v="164"/>
  </r>
  <r>
    <x v="1"/>
    <x v="9"/>
    <x v="3"/>
    <x v="24"/>
    <x v="8"/>
    <n v="168.4"/>
  </r>
  <r>
    <x v="1"/>
    <x v="9"/>
    <x v="3"/>
    <x v="25"/>
    <x v="5"/>
    <n v="163.1"/>
  </r>
  <r>
    <x v="1"/>
    <x v="9"/>
    <x v="3"/>
    <x v="26"/>
    <x v="10"/>
    <n v="169.2"/>
  </r>
  <r>
    <x v="2"/>
    <x v="9"/>
    <x v="3"/>
    <x v="0"/>
    <x v="0"/>
    <n v="152.9"/>
  </r>
  <r>
    <x v="2"/>
    <x v="9"/>
    <x v="3"/>
    <x v="1"/>
    <x v="0"/>
    <n v="211.8"/>
  </r>
  <r>
    <x v="2"/>
    <x v="9"/>
    <x v="3"/>
    <x v="2"/>
    <x v="0"/>
    <n v="164.5"/>
  </r>
  <r>
    <x v="2"/>
    <x v="9"/>
    <x v="3"/>
    <x v="3"/>
    <x v="0"/>
    <n v="163.9"/>
  </r>
  <r>
    <x v="2"/>
    <x v="9"/>
    <x v="3"/>
    <x v="4"/>
    <x v="0"/>
    <n v="199.5"/>
  </r>
  <r>
    <x v="2"/>
    <x v="9"/>
    <x v="3"/>
    <x v="5"/>
    <x v="0"/>
    <n v="172.6"/>
  </r>
  <r>
    <x v="2"/>
    <x v="9"/>
    <x v="3"/>
    <x v="6"/>
    <x v="0"/>
    <n v="166.2"/>
  </r>
  <r>
    <x v="2"/>
    <x v="9"/>
    <x v="3"/>
    <x v="7"/>
    <x v="0"/>
    <n v="164.7"/>
  </r>
  <r>
    <x v="2"/>
    <x v="9"/>
    <x v="3"/>
    <x v="8"/>
    <x v="0"/>
    <n v="119"/>
  </r>
  <r>
    <x v="2"/>
    <x v="9"/>
    <x v="3"/>
    <x v="9"/>
    <x v="0"/>
    <n v="181.3"/>
  </r>
  <r>
    <x v="2"/>
    <x v="9"/>
    <x v="3"/>
    <x v="10"/>
    <x v="0"/>
    <n v="166.2"/>
  </r>
  <r>
    <x v="2"/>
    <x v="9"/>
    <x v="3"/>
    <x v="11"/>
    <x v="0"/>
    <n v="180.9"/>
  </r>
  <r>
    <x v="2"/>
    <x v="9"/>
    <x v="3"/>
    <x v="12"/>
    <x v="0"/>
    <n v="170.8"/>
  </r>
  <r>
    <x v="2"/>
    <x v="9"/>
    <x v="3"/>
    <x v="13"/>
    <x v="1"/>
    <n v="193.9"/>
  </r>
  <r>
    <x v="2"/>
    <x v="9"/>
    <x v="3"/>
    <x v="14"/>
    <x v="2"/>
    <n v="173.9"/>
  </r>
  <r>
    <x v="2"/>
    <x v="9"/>
    <x v="3"/>
    <x v="15"/>
    <x v="2"/>
    <n v="166.5"/>
  </r>
  <r>
    <x v="2"/>
    <x v="9"/>
    <x v="3"/>
    <x v="16"/>
    <x v="2"/>
    <n v="172.8"/>
  </r>
  <r>
    <x v="2"/>
    <x v="9"/>
    <x v="3"/>
    <x v="17"/>
    <x v="3"/>
    <n v="167"/>
  </r>
  <r>
    <x v="2"/>
    <x v="9"/>
    <x v="3"/>
    <x v="18"/>
    <x v="4"/>
    <n v="172.2"/>
  </r>
  <r>
    <x v="2"/>
    <x v="9"/>
    <x v="3"/>
    <x v="19"/>
    <x v="5"/>
    <n v="164"/>
  </r>
  <r>
    <x v="2"/>
    <x v="9"/>
    <x v="3"/>
    <x v="20"/>
    <x v="6"/>
    <n v="174"/>
  </r>
  <r>
    <x v="2"/>
    <x v="9"/>
    <x v="3"/>
    <x v="21"/>
    <x v="7"/>
    <n v="162.6"/>
  </r>
  <r>
    <x v="2"/>
    <x v="9"/>
    <x v="3"/>
    <x v="22"/>
    <x v="8"/>
    <n v="164.4"/>
  </r>
  <r>
    <x v="2"/>
    <x v="9"/>
    <x v="3"/>
    <x v="23"/>
    <x v="9"/>
    <n v="166.9"/>
  </r>
  <r>
    <x v="2"/>
    <x v="9"/>
    <x v="3"/>
    <x v="24"/>
    <x v="8"/>
    <n v="168.8"/>
  </r>
  <r>
    <x v="2"/>
    <x v="9"/>
    <x v="3"/>
    <x v="25"/>
    <x v="5"/>
    <n v="166.8"/>
  </r>
  <r>
    <x v="2"/>
    <x v="9"/>
    <x v="3"/>
    <x v="26"/>
    <x v="10"/>
    <n v="170.1"/>
  </r>
  <r>
    <x v="0"/>
    <x v="9"/>
    <x v="4"/>
    <x v="0"/>
    <x v="0"/>
    <n v="152.9"/>
  </r>
  <r>
    <x v="0"/>
    <x v="9"/>
    <x v="4"/>
    <x v="1"/>
    <x v="0"/>
    <n v="214.7"/>
  </r>
  <r>
    <x v="0"/>
    <x v="9"/>
    <x v="4"/>
    <x v="2"/>
    <x v="0"/>
    <n v="161.4"/>
  </r>
  <r>
    <x v="0"/>
    <x v="9"/>
    <x v="4"/>
    <x v="3"/>
    <x v="0"/>
    <n v="164.6"/>
  </r>
  <r>
    <x v="0"/>
    <x v="9"/>
    <x v="4"/>
    <x v="4"/>
    <x v="0"/>
    <n v="209.9"/>
  </r>
  <r>
    <x v="0"/>
    <x v="9"/>
    <x v="4"/>
    <x v="5"/>
    <x v="0"/>
    <n v="168"/>
  </r>
  <r>
    <x v="0"/>
    <x v="9"/>
    <x v="4"/>
    <x v="6"/>
    <x v="0"/>
    <n v="160.4"/>
  </r>
  <r>
    <x v="0"/>
    <x v="9"/>
    <x v="4"/>
    <x v="7"/>
    <x v="0"/>
    <n v="165"/>
  </r>
  <r>
    <x v="0"/>
    <x v="9"/>
    <x v="4"/>
    <x v="8"/>
    <x v="0"/>
    <n v="118.9"/>
  </r>
  <r>
    <x v="0"/>
    <x v="9"/>
    <x v="4"/>
    <x v="9"/>
    <x v="0"/>
    <n v="186.6"/>
  </r>
  <r>
    <x v="0"/>
    <x v="9"/>
    <x v="4"/>
    <x v="10"/>
    <x v="0"/>
    <n v="173.2"/>
  </r>
  <r>
    <x v="0"/>
    <x v="9"/>
    <x v="4"/>
    <x v="11"/>
    <x v="0"/>
    <n v="180.4"/>
  </r>
  <r>
    <x v="0"/>
    <x v="9"/>
    <x v="4"/>
    <x v="12"/>
    <x v="0"/>
    <n v="170.8"/>
  </r>
  <r>
    <x v="0"/>
    <x v="9"/>
    <x v="4"/>
    <x v="13"/>
    <x v="1"/>
    <n v="192.9"/>
  </r>
  <r>
    <x v="0"/>
    <x v="9"/>
    <x v="4"/>
    <x v="14"/>
    <x v="2"/>
    <n v="179.3"/>
  </r>
  <r>
    <x v="0"/>
    <x v="9"/>
    <x v="4"/>
    <x v="15"/>
    <x v="2"/>
    <n v="177.2"/>
  </r>
  <r>
    <x v="0"/>
    <x v="9"/>
    <x v="4"/>
    <x v="16"/>
    <x v="2"/>
    <n v="179"/>
  </r>
  <r>
    <x v="0"/>
    <x v="9"/>
    <x v="4"/>
    <x v="17"/>
    <x v="3"/>
    <s v="NA"/>
  </r>
  <r>
    <x v="0"/>
    <x v="9"/>
    <x v="4"/>
    <x v="18"/>
    <x v="4"/>
    <n v="175.3"/>
  </r>
  <r>
    <x v="0"/>
    <x v="9"/>
    <x v="4"/>
    <x v="19"/>
    <x v="5"/>
    <n v="168.9"/>
  </r>
  <r>
    <x v="0"/>
    <x v="9"/>
    <x v="4"/>
    <x v="20"/>
    <x v="6"/>
    <n v="177.7"/>
  </r>
  <r>
    <x v="0"/>
    <x v="9"/>
    <x v="4"/>
    <x v="21"/>
    <x v="7"/>
    <n v="167.1"/>
  </r>
  <r>
    <x v="0"/>
    <x v="9"/>
    <x v="4"/>
    <x v="22"/>
    <x v="8"/>
    <n v="167.6"/>
  </r>
  <r>
    <x v="0"/>
    <x v="9"/>
    <x v="4"/>
    <x v="23"/>
    <x v="9"/>
    <n v="171.8"/>
  </r>
  <r>
    <x v="0"/>
    <x v="9"/>
    <x v="4"/>
    <x v="24"/>
    <x v="8"/>
    <n v="168.5"/>
  </r>
  <r>
    <x v="0"/>
    <x v="9"/>
    <x v="4"/>
    <x v="25"/>
    <x v="5"/>
    <n v="170.9"/>
  </r>
  <r>
    <x v="0"/>
    <x v="9"/>
    <x v="4"/>
    <x v="26"/>
    <x v="10"/>
    <n v="172.5"/>
  </r>
  <r>
    <x v="1"/>
    <x v="9"/>
    <x v="4"/>
    <x v="0"/>
    <x v="0"/>
    <n v="156.69999999999999"/>
  </r>
  <r>
    <x v="1"/>
    <x v="9"/>
    <x v="4"/>
    <x v="1"/>
    <x v="0"/>
    <n v="221.2"/>
  </r>
  <r>
    <x v="1"/>
    <x v="9"/>
    <x v="4"/>
    <x v="2"/>
    <x v="0"/>
    <n v="164.1"/>
  </r>
  <r>
    <x v="1"/>
    <x v="9"/>
    <x v="4"/>
    <x v="3"/>
    <x v="0"/>
    <n v="165.4"/>
  </r>
  <r>
    <x v="1"/>
    <x v="9"/>
    <x v="4"/>
    <x v="4"/>
    <x v="0"/>
    <n v="189.5"/>
  </r>
  <r>
    <x v="1"/>
    <x v="9"/>
    <x v="4"/>
    <x v="5"/>
    <x v="0"/>
    <n v="174.5"/>
  </r>
  <r>
    <x v="1"/>
    <x v="9"/>
    <x v="4"/>
    <x v="6"/>
    <x v="0"/>
    <n v="203.2"/>
  </r>
  <r>
    <x v="1"/>
    <x v="9"/>
    <x v="4"/>
    <x v="7"/>
    <x v="0"/>
    <n v="164.1"/>
  </r>
  <r>
    <x v="1"/>
    <x v="9"/>
    <x v="4"/>
    <x v="8"/>
    <x v="0"/>
    <n v="121.2"/>
  </r>
  <r>
    <x v="1"/>
    <x v="9"/>
    <x v="4"/>
    <x v="9"/>
    <x v="0"/>
    <n v="181.4"/>
  </r>
  <r>
    <x v="1"/>
    <x v="9"/>
    <x v="4"/>
    <x v="10"/>
    <x v="0"/>
    <n v="158.5"/>
  </r>
  <r>
    <x v="1"/>
    <x v="9"/>
    <x v="4"/>
    <x v="11"/>
    <x v="0"/>
    <n v="184.9"/>
  </r>
  <r>
    <x v="1"/>
    <x v="9"/>
    <x v="4"/>
    <x v="12"/>
    <x v="0"/>
    <n v="177.5"/>
  </r>
  <r>
    <x v="1"/>
    <x v="9"/>
    <x v="4"/>
    <x v="13"/>
    <x v="1"/>
    <n v="197.5"/>
  </r>
  <r>
    <x v="1"/>
    <x v="9"/>
    <x v="4"/>
    <x v="14"/>
    <x v="2"/>
    <n v="170"/>
  </r>
  <r>
    <x v="1"/>
    <x v="9"/>
    <x v="4"/>
    <x v="15"/>
    <x v="2"/>
    <n v="155.9"/>
  </r>
  <r>
    <x v="1"/>
    <x v="9"/>
    <x v="4"/>
    <x v="16"/>
    <x v="2"/>
    <n v="167.8"/>
  </r>
  <r>
    <x v="1"/>
    <x v="9"/>
    <x v="4"/>
    <x v="17"/>
    <x v="3"/>
    <n v="167.5"/>
  </r>
  <r>
    <x v="1"/>
    <x v="9"/>
    <x v="4"/>
    <x v="18"/>
    <x v="4"/>
    <n v="173.5"/>
  </r>
  <r>
    <x v="1"/>
    <x v="9"/>
    <x v="4"/>
    <x v="19"/>
    <x v="5"/>
    <n v="161.1"/>
  </r>
  <r>
    <x v="1"/>
    <x v="9"/>
    <x v="4"/>
    <x v="20"/>
    <x v="6"/>
    <n v="170.1"/>
  </r>
  <r>
    <x v="1"/>
    <x v="9"/>
    <x v="4"/>
    <x v="21"/>
    <x v="7"/>
    <n v="159.4"/>
  </r>
  <r>
    <x v="1"/>
    <x v="9"/>
    <x v="4"/>
    <x v="22"/>
    <x v="8"/>
    <n v="163.19999999999999"/>
  </r>
  <r>
    <x v="1"/>
    <x v="9"/>
    <x v="4"/>
    <x v="23"/>
    <x v="9"/>
    <n v="165.2"/>
  </r>
  <r>
    <x v="1"/>
    <x v="9"/>
    <x v="4"/>
    <x v="24"/>
    <x v="8"/>
    <n v="168.2"/>
  </r>
  <r>
    <x v="1"/>
    <x v="9"/>
    <x v="4"/>
    <x v="25"/>
    <x v="5"/>
    <n v="163.80000000000001"/>
  </r>
  <r>
    <x v="1"/>
    <x v="9"/>
    <x v="4"/>
    <x v="26"/>
    <x v="10"/>
    <n v="170.8"/>
  </r>
  <r>
    <x v="2"/>
    <x v="9"/>
    <x v="4"/>
    <x v="0"/>
    <x v="0"/>
    <n v="154.1"/>
  </r>
  <r>
    <x v="2"/>
    <x v="9"/>
    <x v="4"/>
    <x v="1"/>
    <x v="0"/>
    <n v="217"/>
  </r>
  <r>
    <x v="2"/>
    <x v="9"/>
    <x v="4"/>
    <x v="2"/>
    <x v="0"/>
    <n v="162.4"/>
  </r>
  <r>
    <x v="2"/>
    <x v="9"/>
    <x v="4"/>
    <x v="3"/>
    <x v="0"/>
    <n v="164.9"/>
  </r>
  <r>
    <x v="2"/>
    <x v="9"/>
    <x v="4"/>
    <x v="4"/>
    <x v="0"/>
    <n v="202.4"/>
  </r>
  <r>
    <x v="2"/>
    <x v="9"/>
    <x v="4"/>
    <x v="5"/>
    <x v="0"/>
    <n v="171"/>
  </r>
  <r>
    <x v="2"/>
    <x v="9"/>
    <x v="4"/>
    <x v="6"/>
    <x v="0"/>
    <n v="174.9"/>
  </r>
  <r>
    <x v="2"/>
    <x v="9"/>
    <x v="4"/>
    <x v="7"/>
    <x v="0"/>
    <n v="164.7"/>
  </r>
  <r>
    <x v="2"/>
    <x v="9"/>
    <x v="4"/>
    <x v="8"/>
    <x v="0"/>
    <n v="119.7"/>
  </r>
  <r>
    <x v="2"/>
    <x v="9"/>
    <x v="4"/>
    <x v="9"/>
    <x v="0"/>
    <n v="184.9"/>
  </r>
  <r>
    <x v="2"/>
    <x v="9"/>
    <x v="4"/>
    <x v="10"/>
    <x v="0"/>
    <n v="167.1"/>
  </r>
  <r>
    <x v="2"/>
    <x v="9"/>
    <x v="4"/>
    <x v="11"/>
    <x v="0"/>
    <n v="182.5"/>
  </r>
  <r>
    <x v="2"/>
    <x v="9"/>
    <x v="4"/>
    <x v="12"/>
    <x v="0"/>
    <n v="173.3"/>
  </r>
  <r>
    <x v="2"/>
    <x v="9"/>
    <x v="4"/>
    <x v="13"/>
    <x v="1"/>
    <n v="194.1"/>
  </r>
  <r>
    <x v="2"/>
    <x v="9"/>
    <x v="4"/>
    <x v="14"/>
    <x v="2"/>
    <n v="175.6"/>
  </r>
  <r>
    <x v="2"/>
    <x v="9"/>
    <x v="4"/>
    <x v="15"/>
    <x v="2"/>
    <n v="168.4"/>
  </r>
  <r>
    <x v="2"/>
    <x v="9"/>
    <x v="4"/>
    <x v="16"/>
    <x v="2"/>
    <n v="174.6"/>
  </r>
  <r>
    <x v="2"/>
    <x v="9"/>
    <x v="4"/>
    <x v="17"/>
    <x v="3"/>
    <n v="167.5"/>
  </r>
  <r>
    <x v="2"/>
    <x v="9"/>
    <x v="4"/>
    <x v="18"/>
    <x v="4"/>
    <n v="174.6"/>
  </r>
  <r>
    <x v="2"/>
    <x v="9"/>
    <x v="4"/>
    <x v="19"/>
    <x v="5"/>
    <n v="165.2"/>
  </r>
  <r>
    <x v="2"/>
    <x v="9"/>
    <x v="4"/>
    <x v="20"/>
    <x v="6"/>
    <n v="174.8"/>
  </r>
  <r>
    <x v="2"/>
    <x v="9"/>
    <x v="4"/>
    <x v="21"/>
    <x v="7"/>
    <n v="163"/>
  </r>
  <r>
    <x v="2"/>
    <x v="9"/>
    <x v="4"/>
    <x v="22"/>
    <x v="8"/>
    <n v="165.1"/>
  </r>
  <r>
    <x v="2"/>
    <x v="9"/>
    <x v="4"/>
    <x v="23"/>
    <x v="9"/>
    <n v="167.9"/>
  </r>
  <r>
    <x v="2"/>
    <x v="9"/>
    <x v="4"/>
    <x v="24"/>
    <x v="8"/>
    <n v="168.4"/>
  </r>
  <r>
    <x v="2"/>
    <x v="9"/>
    <x v="4"/>
    <x v="25"/>
    <x v="5"/>
    <n v="167.5"/>
  </r>
  <r>
    <x v="2"/>
    <x v="9"/>
    <x v="4"/>
    <x v="26"/>
    <x v="10"/>
    <n v="171.7"/>
  </r>
  <r>
    <x v="0"/>
    <x v="9"/>
    <x v="5"/>
    <x v="0"/>
    <x v="0"/>
    <n v="153.80000000000001"/>
  </r>
  <r>
    <x v="0"/>
    <x v="9"/>
    <x v="5"/>
    <x v="1"/>
    <x v="0"/>
    <n v="217.2"/>
  </r>
  <r>
    <x v="0"/>
    <x v="9"/>
    <x v="5"/>
    <x v="2"/>
    <x v="0"/>
    <n v="169.6"/>
  </r>
  <r>
    <x v="0"/>
    <x v="9"/>
    <x v="5"/>
    <x v="3"/>
    <x v="0"/>
    <n v="165.4"/>
  </r>
  <r>
    <x v="0"/>
    <x v="9"/>
    <x v="5"/>
    <x v="4"/>
    <x v="0"/>
    <n v="208.1"/>
  </r>
  <r>
    <x v="0"/>
    <x v="9"/>
    <x v="5"/>
    <x v="5"/>
    <x v="0"/>
    <n v="165.8"/>
  </r>
  <r>
    <x v="0"/>
    <x v="9"/>
    <x v="5"/>
    <x v="6"/>
    <x v="0"/>
    <n v="167.3"/>
  </r>
  <r>
    <x v="0"/>
    <x v="9"/>
    <x v="5"/>
    <x v="7"/>
    <x v="0"/>
    <n v="164.6"/>
  </r>
  <r>
    <x v="0"/>
    <x v="9"/>
    <x v="5"/>
    <x v="8"/>
    <x v="0"/>
    <n v="119.1"/>
  </r>
  <r>
    <x v="0"/>
    <x v="9"/>
    <x v="5"/>
    <x v="9"/>
    <x v="0"/>
    <n v="188.9"/>
  </r>
  <r>
    <x v="0"/>
    <x v="9"/>
    <x v="5"/>
    <x v="10"/>
    <x v="0"/>
    <n v="174.2"/>
  </r>
  <r>
    <x v="0"/>
    <x v="9"/>
    <x v="5"/>
    <x v="11"/>
    <x v="0"/>
    <n v="181.9"/>
  </r>
  <r>
    <x v="0"/>
    <x v="9"/>
    <x v="5"/>
    <x v="12"/>
    <x v="0"/>
    <n v="172.4"/>
  </r>
  <r>
    <x v="0"/>
    <x v="9"/>
    <x v="5"/>
    <x v="13"/>
    <x v="1"/>
    <n v="192.9"/>
  </r>
  <r>
    <x v="0"/>
    <x v="9"/>
    <x v="5"/>
    <x v="14"/>
    <x v="2"/>
    <n v="180.7"/>
  </r>
  <r>
    <x v="0"/>
    <x v="9"/>
    <x v="5"/>
    <x v="15"/>
    <x v="2"/>
    <n v="178.7"/>
  </r>
  <r>
    <x v="0"/>
    <x v="9"/>
    <x v="5"/>
    <x v="16"/>
    <x v="2"/>
    <n v="180.4"/>
  </r>
  <r>
    <x v="0"/>
    <x v="9"/>
    <x v="5"/>
    <x v="17"/>
    <x v="3"/>
    <s v="NA"/>
  </r>
  <r>
    <x v="0"/>
    <x v="9"/>
    <x v="5"/>
    <x v="18"/>
    <x v="4"/>
    <n v="176.7"/>
  </r>
  <r>
    <x v="0"/>
    <x v="9"/>
    <x v="5"/>
    <x v="19"/>
    <x v="5"/>
    <n v="170.3"/>
  </r>
  <r>
    <x v="0"/>
    <x v="9"/>
    <x v="5"/>
    <x v="20"/>
    <x v="6"/>
    <n v="178.2"/>
  </r>
  <r>
    <x v="0"/>
    <x v="9"/>
    <x v="5"/>
    <x v="21"/>
    <x v="7"/>
    <n v="165.5"/>
  </r>
  <r>
    <x v="0"/>
    <x v="9"/>
    <x v="5"/>
    <x v="22"/>
    <x v="8"/>
    <n v="168"/>
  </r>
  <r>
    <x v="0"/>
    <x v="9"/>
    <x v="5"/>
    <x v="23"/>
    <x v="9"/>
    <n v="172.6"/>
  </r>
  <r>
    <x v="0"/>
    <x v="9"/>
    <x v="5"/>
    <x v="24"/>
    <x v="8"/>
    <n v="169.5"/>
  </r>
  <r>
    <x v="0"/>
    <x v="9"/>
    <x v="5"/>
    <x v="25"/>
    <x v="5"/>
    <n v="171"/>
  </r>
  <r>
    <x v="0"/>
    <x v="9"/>
    <x v="5"/>
    <x v="26"/>
    <x v="10"/>
    <n v="173.6"/>
  </r>
  <r>
    <x v="1"/>
    <x v="9"/>
    <x v="5"/>
    <x v="0"/>
    <x v="0"/>
    <n v="157.5"/>
  </r>
  <r>
    <x v="1"/>
    <x v="9"/>
    <x v="5"/>
    <x v="1"/>
    <x v="0"/>
    <n v="223.4"/>
  </r>
  <r>
    <x v="1"/>
    <x v="9"/>
    <x v="5"/>
    <x v="2"/>
    <x v="0"/>
    <n v="172.8"/>
  </r>
  <r>
    <x v="1"/>
    <x v="9"/>
    <x v="5"/>
    <x v="3"/>
    <x v="0"/>
    <n v="166.4"/>
  </r>
  <r>
    <x v="1"/>
    <x v="9"/>
    <x v="5"/>
    <x v="4"/>
    <x v="0"/>
    <n v="188.6"/>
  </r>
  <r>
    <x v="1"/>
    <x v="9"/>
    <x v="5"/>
    <x v="5"/>
    <x v="0"/>
    <n v="174.1"/>
  </r>
  <r>
    <x v="1"/>
    <x v="9"/>
    <x v="5"/>
    <x v="6"/>
    <x v="0"/>
    <n v="211.5"/>
  </r>
  <r>
    <x v="1"/>
    <x v="9"/>
    <x v="5"/>
    <x v="7"/>
    <x v="0"/>
    <n v="163.6"/>
  </r>
  <r>
    <x v="1"/>
    <x v="9"/>
    <x v="5"/>
    <x v="8"/>
    <x v="0"/>
    <n v="121.4"/>
  </r>
  <r>
    <x v="1"/>
    <x v="9"/>
    <x v="5"/>
    <x v="9"/>
    <x v="0"/>
    <n v="183.5"/>
  </r>
  <r>
    <x v="1"/>
    <x v="9"/>
    <x v="5"/>
    <x v="10"/>
    <x v="0"/>
    <n v="159.1"/>
  </r>
  <r>
    <x v="1"/>
    <x v="9"/>
    <x v="5"/>
    <x v="11"/>
    <x v="0"/>
    <n v="186.3"/>
  </r>
  <r>
    <x v="1"/>
    <x v="9"/>
    <x v="5"/>
    <x v="12"/>
    <x v="0"/>
    <n v="179.3"/>
  </r>
  <r>
    <x v="1"/>
    <x v="9"/>
    <x v="5"/>
    <x v="13"/>
    <x v="1"/>
    <n v="198.3"/>
  </r>
  <r>
    <x v="1"/>
    <x v="9"/>
    <x v="5"/>
    <x v="14"/>
    <x v="2"/>
    <n v="171.6"/>
  </r>
  <r>
    <x v="1"/>
    <x v="9"/>
    <x v="5"/>
    <x v="15"/>
    <x v="2"/>
    <n v="157.4"/>
  </r>
  <r>
    <x v="1"/>
    <x v="9"/>
    <x v="5"/>
    <x v="16"/>
    <x v="2"/>
    <n v="169.4"/>
  </r>
  <r>
    <x v="1"/>
    <x v="9"/>
    <x v="5"/>
    <x v="17"/>
    <x v="3"/>
    <n v="166.8"/>
  </r>
  <r>
    <x v="1"/>
    <x v="9"/>
    <x v="5"/>
    <x v="18"/>
    <x v="4"/>
    <n v="174.9"/>
  </r>
  <r>
    <x v="1"/>
    <x v="9"/>
    <x v="5"/>
    <x v="19"/>
    <x v="5"/>
    <n v="162.1"/>
  </r>
  <r>
    <x v="1"/>
    <x v="9"/>
    <x v="5"/>
    <x v="20"/>
    <x v="6"/>
    <n v="170.9"/>
  </r>
  <r>
    <x v="1"/>
    <x v="9"/>
    <x v="5"/>
    <x v="21"/>
    <x v="7"/>
    <n v="157.19999999999999"/>
  </r>
  <r>
    <x v="1"/>
    <x v="9"/>
    <x v="5"/>
    <x v="22"/>
    <x v="8"/>
    <n v="164.1"/>
  </r>
  <r>
    <x v="1"/>
    <x v="9"/>
    <x v="5"/>
    <x v="23"/>
    <x v="9"/>
    <n v="166.5"/>
  </r>
  <r>
    <x v="1"/>
    <x v="9"/>
    <x v="5"/>
    <x v="24"/>
    <x v="8"/>
    <n v="169.2"/>
  </r>
  <r>
    <x v="1"/>
    <x v="9"/>
    <x v="5"/>
    <x v="25"/>
    <x v="5"/>
    <n v="163.80000000000001"/>
  </r>
  <r>
    <x v="1"/>
    <x v="9"/>
    <x v="5"/>
    <x v="26"/>
    <x v="10"/>
    <n v="171.4"/>
  </r>
  <r>
    <x v="2"/>
    <x v="9"/>
    <x v="5"/>
    <x v="0"/>
    <x v="0"/>
    <n v="155"/>
  </r>
  <r>
    <x v="2"/>
    <x v="9"/>
    <x v="5"/>
    <x v="1"/>
    <x v="0"/>
    <n v="219.4"/>
  </r>
  <r>
    <x v="2"/>
    <x v="9"/>
    <x v="5"/>
    <x v="2"/>
    <x v="0"/>
    <n v="170.8"/>
  </r>
  <r>
    <x v="2"/>
    <x v="9"/>
    <x v="5"/>
    <x v="3"/>
    <x v="0"/>
    <n v="165.8"/>
  </r>
  <r>
    <x v="2"/>
    <x v="9"/>
    <x v="5"/>
    <x v="4"/>
    <x v="0"/>
    <n v="200.9"/>
  </r>
  <r>
    <x v="2"/>
    <x v="9"/>
    <x v="5"/>
    <x v="5"/>
    <x v="0"/>
    <n v="169.7"/>
  </r>
  <r>
    <x v="2"/>
    <x v="9"/>
    <x v="5"/>
    <x v="6"/>
    <x v="0"/>
    <n v="182.3"/>
  </r>
  <r>
    <x v="2"/>
    <x v="9"/>
    <x v="5"/>
    <x v="7"/>
    <x v="0"/>
    <n v="164.3"/>
  </r>
  <r>
    <x v="2"/>
    <x v="9"/>
    <x v="5"/>
    <x v="8"/>
    <x v="0"/>
    <n v="119.9"/>
  </r>
  <r>
    <x v="2"/>
    <x v="9"/>
    <x v="5"/>
    <x v="9"/>
    <x v="0"/>
    <n v="187.1"/>
  </r>
  <r>
    <x v="2"/>
    <x v="9"/>
    <x v="5"/>
    <x v="10"/>
    <x v="0"/>
    <n v="167.9"/>
  </r>
  <r>
    <x v="2"/>
    <x v="9"/>
    <x v="5"/>
    <x v="11"/>
    <x v="0"/>
    <n v="183.9"/>
  </r>
  <r>
    <x v="2"/>
    <x v="9"/>
    <x v="5"/>
    <x v="12"/>
    <x v="0"/>
    <n v="174.9"/>
  </r>
  <r>
    <x v="2"/>
    <x v="9"/>
    <x v="5"/>
    <x v="13"/>
    <x v="1"/>
    <n v="194.3"/>
  </r>
  <r>
    <x v="2"/>
    <x v="9"/>
    <x v="5"/>
    <x v="14"/>
    <x v="2"/>
    <n v="177.1"/>
  </r>
  <r>
    <x v="2"/>
    <x v="9"/>
    <x v="5"/>
    <x v="15"/>
    <x v="2"/>
    <n v="169.9"/>
  </r>
  <r>
    <x v="2"/>
    <x v="9"/>
    <x v="5"/>
    <x v="16"/>
    <x v="2"/>
    <n v="176"/>
  </r>
  <r>
    <x v="2"/>
    <x v="9"/>
    <x v="5"/>
    <x v="17"/>
    <x v="3"/>
    <n v="166.8"/>
  </r>
  <r>
    <x v="2"/>
    <x v="9"/>
    <x v="5"/>
    <x v="18"/>
    <x v="4"/>
    <n v="176"/>
  </r>
  <r>
    <x v="2"/>
    <x v="9"/>
    <x v="5"/>
    <x v="19"/>
    <x v="5"/>
    <n v="166.4"/>
  </r>
  <r>
    <x v="2"/>
    <x v="9"/>
    <x v="5"/>
    <x v="20"/>
    <x v="6"/>
    <n v="175.4"/>
  </r>
  <r>
    <x v="2"/>
    <x v="9"/>
    <x v="5"/>
    <x v="21"/>
    <x v="7"/>
    <n v="161.1"/>
  </r>
  <r>
    <x v="2"/>
    <x v="9"/>
    <x v="5"/>
    <x v="22"/>
    <x v="8"/>
    <n v="165.8"/>
  </r>
  <r>
    <x v="2"/>
    <x v="9"/>
    <x v="5"/>
    <x v="23"/>
    <x v="9"/>
    <n v="169"/>
  </r>
  <r>
    <x v="2"/>
    <x v="9"/>
    <x v="5"/>
    <x v="24"/>
    <x v="8"/>
    <n v="169.4"/>
  </r>
  <r>
    <x v="2"/>
    <x v="9"/>
    <x v="5"/>
    <x v="25"/>
    <x v="5"/>
    <n v="167.5"/>
  </r>
  <r>
    <x v="2"/>
    <x v="9"/>
    <x v="5"/>
    <x v="26"/>
    <x v="10"/>
    <n v="172.6"/>
  </r>
  <r>
    <x v="0"/>
    <x v="9"/>
    <x v="6"/>
    <x v="0"/>
    <x v="0"/>
    <n v="155.19999999999999"/>
  </r>
  <r>
    <x v="0"/>
    <x v="9"/>
    <x v="6"/>
    <x v="1"/>
    <x v="0"/>
    <n v="210.8"/>
  </r>
  <r>
    <x v="0"/>
    <x v="9"/>
    <x v="6"/>
    <x v="2"/>
    <x v="0"/>
    <n v="174.3"/>
  </r>
  <r>
    <x v="0"/>
    <x v="9"/>
    <x v="6"/>
    <x v="3"/>
    <x v="0"/>
    <n v="166.3"/>
  </r>
  <r>
    <x v="0"/>
    <x v="9"/>
    <x v="6"/>
    <x v="4"/>
    <x v="0"/>
    <n v="202.2"/>
  </r>
  <r>
    <x v="0"/>
    <x v="9"/>
    <x v="6"/>
    <x v="5"/>
    <x v="0"/>
    <n v="169.6"/>
  </r>
  <r>
    <x v="0"/>
    <x v="9"/>
    <x v="6"/>
    <x v="6"/>
    <x v="0"/>
    <n v="168.6"/>
  </r>
  <r>
    <x v="0"/>
    <x v="9"/>
    <x v="6"/>
    <x v="7"/>
    <x v="0"/>
    <n v="164.4"/>
  </r>
  <r>
    <x v="0"/>
    <x v="9"/>
    <x v="6"/>
    <x v="8"/>
    <x v="0"/>
    <n v="119.2"/>
  </r>
  <r>
    <x v="0"/>
    <x v="9"/>
    <x v="6"/>
    <x v="9"/>
    <x v="0"/>
    <n v="191.8"/>
  </r>
  <r>
    <x v="0"/>
    <x v="9"/>
    <x v="6"/>
    <x v="10"/>
    <x v="0"/>
    <n v="174.5"/>
  </r>
  <r>
    <x v="0"/>
    <x v="9"/>
    <x v="6"/>
    <x v="11"/>
    <x v="0"/>
    <n v="183.1"/>
  </r>
  <r>
    <x v="0"/>
    <x v="9"/>
    <x v="6"/>
    <x v="12"/>
    <x v="0"/>
    <n v="172.5"/>
  </r>
  <r>
    <x v="0"/>
    <x v="9"/>
    <x v="6"/>
    <x v="13"/>
    <x v="1"/>
    <n v="193.2"/>
  </r>
  <r>
    <x v="0"/>
    <x v="9"/>
    <x v="6"/>
    <x v="14"/>
    <x v="2"/>
    <n v="182"/>
  </r>
  <r>
    <x v="0"/>
    <x v="9"/>
    <x v="6"/>
    <x v="15"/>
    <x v="2"/>
    <n v="180.3"/>
  </r>
  <r>
    <x v="0"/>
    <x v="9"/>
    <x v="6"/>
    <x v="16"/>
    <x v="2"/>
    <n v="181.7"/>
  </r>
  <r>
    <x v="0"/>
    <x v="9"/>
    <x v="6"/>
    <x v="17"/>
    <x v="3"/>
    <s v="NA"/>
  </r>
  <r>
    <x v="0"/>
    <x v="9"/>
    <x v="6"/>
    <x v="18"/>
    <x v="4"/>
    <n v="179.6"/>
  </r>
  <r>
    <x v="0"/>
    <x v="9"/>
    <x v="6"/>
    <x v="19"/>
    <x v="5"/>
    <n v="171.3"/>
  </r>
  <r>
    <x v="0"/>
    <x v="9"/>
    <x v="6"/>
    <x v="20"/>
    <x v="6"/>
    <n v="178.8"/>
  </r>
  <r>
    <x v="0"/>
    <x v="9"/>
    <x v="6"/>
    <x v="21"/>
    <x v="7"/>
    <n v="166.3"/>
  </r>
  <r>
    <x v="0"/>
    <x v="9"/>
    <x v="6"/>
    <x v="22"/>
    <x v="8"/>
    <n v="168.6"/>
  </r>
  <r>
    <x v="0"/>
    <x v="9"/>
    <x v="6"/>
    <x v="23"/>
    <x v="9"/>
    <n v="174.7"/>
  </r>
  <r>
    <x v="0"/>
    <x v="9"/>
    <x v="6"/>
    <x v="24"/>
    <x v="8"/>
    <n v="169.7"/>
  </r>
  <r>
    <x v="0"/>
    <x v="9"/>
    <x v="6"/>
    <x v="25"/>
    <x v="5"/>
    <n v="171.8"/>
  </r>
  <r>
    <x v="0"/>
    <x v="9"/>
    <x v="6"/>
    <x v="26"/>
    <x v="10"/>
    <n v="174.3"/>
  </r>
  <r>
    <x v="1"/>
    <x v="9"/>
    <x v="6"/>
    <x v="0"/>
    <x v="0"/>
    <n v="159.30000000000001"/>
  </r>
  <r>
    <x v="1"/>
    <x v="9"/>
    <x v="6"/>
    <x v="1"/>
    <x v="0"/>
    <n v="217.1"/>
  </r>
  <r>
    <x v="1"/>
    <x v="9"/>
    <x v="6"/>
    <x v="2"/>
    <x v="0"/>
    <n v="176.6"/>
  </r>
  <r>
    <x v="1"/>
    <x v="9"/>
    <x v="6"/>
    <x v="3"/>
    <x v="0"/>
    <n v="167.1"/>
  </r>
  <r>
    <x v="1"/>
    <x v="9"/>
    <x v="6"/>
    <x v="4"/>
    <x v="0"/>
    <n v="184.8"/>
  </r>
  <r>
    <x v="1"/>
    <x v="9"/>
    <x v="6"/>
    <x v="5"/>
    <x v="0"/>
    <n v="179.5"/>
  </r>
  <r>
    <x v="1"/>
    <x v="9"/>
    <x v="6"/>
    <x v="6"/>
    <x v="0"/>
    <n v="208.5"/>
  </r>
  <r>
    <x v="1"/>
    <x v="9"/>
    <x v="6"/>
    <x v="7"/>
    <x v="0"/>
    <n v="164"/>
  </r>
  <r>
    <x v="1"/>
    <x v="9"/>
    <x v="6"/>
    <x v="8"/>
    <x v="0"/>
    <n v="121.5"/>
  </r>
  <r>
    <x v="1"/>
    <x v="9"/>
    <x v="6"/>
    <x v="9"/>
    <x v="0"/>
    <n v="186.3"/>
  </r>
  <r>
    <x v="1"/>
    <x v="9"/>
    <x v="6"/>
    <x v="10"/>
    <x v="0"/>
    <n v="159.80000000000001"/>
  </r>
  <r>
    <x v="1"/>
    <x v="9"/>
    <x v="6"/>
    <x v="11"/>
    <x v="0"/>
    <n v="187.7"/>
  </r>
  <r>
    <x v="1"/>
    <x v="9"/>
    <x v="6"/>
    <x v="12"/>
    <x v="0"/>
    <n v="179.4"/>
  </r>
  <r>
    <x v="1"/>
    <x v="9"/>
    <x v="6"/>
    <x v="13"/>
    <x v="1"/>
    <n v="198.6"/>
  </r>
  <r>
    <x v="1"/>
    <x v="9"/>
    <x v="6"/>
    <x v="14"/>
    <x v="2"/>
    <n v="172.7"/>
  </r>
  <r>
    <x v="1"/>
    <x v="9"/>
    <x v="6"/>
    <x v="15"/>
    <x v="2"/>
    <n v="158.69999999999999"/>
  </r>
  <r>
    <x v="1"/>
    <x v="9"/>
    <x v="6"/>
    <x v="16"/>
    <x v="2"/>
    <n v="170.6"/>
  </r>
  <r>
    <x v="1"/>
    <x v="9"/>
    <x v="6"/>
    <x v="17"/>
    <x v="3"/>
    <n v="167.8"/>
  </r>
  <r>
    <x v="1"/>
    <x v="9"/>
    <x v="6"/>
    <x v="18"/>
    <x v="4"/>
    <n v="179.5"/>
  </r>
  <r>
    <x v="1"/>
    <x v="9"/>
    <x v="6"/>
    <x v="19"/>
    <x v="5"/>
    <n v="163.1"/>
  </r>
  <r>
    <x v="1"/>
    <x v="9"/>
    <x v="6"/>
    <x v="20"/>
    <x v="6"/>
    <n v="171.7"/>
  </r>
  <r>
    <x v="1"/>
    <x v="9"/>
    <x v="6"/>
    <x v="21"/>
    <x v="7"/>
    <n v="157.4"/>
  </r>
  <r>
    <x v="1"/>
    <x v="9"/>
    <x v="6"/>
    <x v="22"/>
    <x v="8"/>
    <n v="164.6"/>
  </r>
  <r>
    <x v="1"/>
    <x v="9"/>
    <x v="6"/>
    <x v="23"/>
    <x v="9"/>
    <n v="169.1"/>
  </r>
  <r>
    <x v="1"/>
    <x v="9"/>
    <x v="6"/>
    <x v="24"/>
    <x v="8"/>
    <n v="169.8"/>
  </r>
  <r>
    <x v="1"/>
    <x v="9"/>
    <x v="6"/>
    <x v="25"/>
    <x v="5"/>
    <n v="164.7"/>
  </r>
  <r>
    <x v="1"/>
    <x v="9"/>
    <x v="6"/>
    <x v="26"/>
    <x v="10"/>
    <n v="172.3"/>
  </r>
  <r>
    <x v="2"/>
    <x v="9"/>
    <x v="6"/>
    <x v="0"/>
    <x v="0"/>
    <n v="156.5"/>
  </r>
  <r>
    <x v="2"/>
    <x v="9"/>
    <x v="6"/>
    <x v="1"/>
    <x v="0"/>
    <n v="213"/>
  </r>
  <r>
    <x v="2"/>
    <x v="9"/>
    <x v="6"/>
    <x v="2"/>
    <x v="0"/>
    <n v="175.2"/>
  </r>
  <r>
    <x v="2"/>
    <x v="9"/>
    <x v="6"/>
    <x v="3"/>
    <x v="0"/>
    <n v="166.6"/>
  </r>
  <r>
    <x v="2"/>
    <x v="9"/>
    <x v="6"/>
    <x v="4"/>
    <x v="0"/>
    <n v="195.8"/>
  </r>
  <r>
    <x v="2"/>
    <x v="9"/>
    <x v="6"/>
    <x v="5"/>
    <x v="0"/>
    <n v="174.2"/>
  </r>
  <r>
    <x v="2"/>
    <x v="9"/>
    <x v="6"/>
    <x v="6"/>
    <x v="0"/>
    <n v="182.1"/>
  </r>
  <r>
    <x v="2"/>
    <x v="9"/>
    <x v="6"/>
    <x v="7"/>
    <x v="0"/>
    <n v="164.3"/>
  </r>
  <r>
    <x v="2"/>
    <x v="9"/>
    <x v="6"/>
    <x v="8"/>
    <x v="0"/>
    <n v="120"/>
  </r>
  <r>
    <x v="2"/>
    <x v="9"/>
    <x v="6"/>
    <x v="9"/>
    <x v="0"/>
    <n v="190"/>
  </r>
  <r>
    <x v="2"/>
    <x v="9"/>
    <x v="6"/>
    <x v="10"/>
    <x v="0"/>
    <n v="168.4"/>
  </r>
  <r>
    <x v="2"/>
    <x v="9"/>
    <x v="6"/>
    <x v="11"/>
    <x v="0"/>
    <n v="185.2"/>
  </r>
  <r>
    <x v="2"/>
    <x v="9"/>
    <x v="6"/>
    <x v="12"/>
    <x v="0"/>
    <n v="175"/>
  </r>
  <r>
    <x v="2"/>
    <x v="9"/>
    <x v="6"/>
    <x v="13"/>
    <x v="1"/>
    <n v="194.6"/>
  </r>
  <r>
    <x v="2"/>
    <x v="9"/>
    <x v="6"/>
    <x v="14"/>
    <x v="2"/>
    <n v="178.3"/>
  </r>
  <r>
    <x v="2"/>
    <x v="9"/>
    <x v="6"/>
    <x v="15"/>
    <x v="2"/>
    <n v="171.3"/>
  </r>
  <r>
    <x v="2"/>
    <x v="9"/>
    <x v="6"/>
    <x v="16"/>
    <x v="2"/>
    <n v="177.3"/>
  </r>
  <r>
    <x v="2"/>
    <x v="9"/>
    <x v="6"/>
    <x v="17"/>
    <x v="3"/>
    <n v="167.8"/>
  </r>
  <r>
    <x v="2"/>
    <x v="9"/>
    <x v="6"/>
    <x v="18"/>
    <x v="4"/>
    <n v="179.6"/>
  </r>
  <r>
    <x v="2"/>
    <x v="9"/>
    <x v="6"/>
    <x v="19"/>
    <x v="5"/>
    <n v="167.4"/>
  </r>
  <r>
    <x v="2"/>
    <x v="9"/>
    <x v="6"/>
    <x v="20"/>
    <x v="6"/>
    <n v="176.1"/>
  </r>
  <r>
    <x v="2"/>
    <x v="9"/>
    <x v="6"/>
    <x v="21"/>
    <x v="7"/>
    <n v="161.6"/>
  </r>
  <r>
    <x v="2"/>
    <x v="9"/>
    <x v="6"/>
    <x v="22"/>
    <x v="8"/>
    <n v="166.3"/>
  </r>
  <r>
    <x v="2"/>
    <x v="9"/>
    <x v="6"/>
    <x v="23"/>
    <x v="9"/>
    <n v="171.4"/>
  </r>
  <r>
    <x v="2"/>
    <x v="9"/>
    <x v="6"/>
    <x v="24"/>
    <x v="8"/>
    <n v="169.7"/>
  </r>
  <r>
    <x v="2"/>
    <x v="9"/>
    <x v="6"/>
    <x v="25"/>
    <x v="5"/>
    <n v="168.4"/>
  </r>
  <r>
    <x v="2"/>
    <x v="9"/>
    <x v="6"/>
    <x v="26"/>
    <x v="10"/>
    <n v="173.4"/>
  </r>
  <r>
    <x v="0"/>
    <x v="9"/>
    <x v="7"/>
    <x v="0"/>
    <x v="0"/>
    <n v="159.5"/>
  </r>
  <r>
    <x v="0"/>
    <x v="9"/>
    <x v="7"/>
    <x v="1"/>
    <x v="0"/>
    <n v="204.1"/>
  </r>
  <r>
    <x v="0"/>
    <x v="9"/>
    <x v="7"/>
    <x v="2"/>
    <x v="0"/>
    <n v="168.3"/>
  </r>
  <r>
    <x v="0"/>
    <x v="9"/>
    <x v="7"/>
    <x v="3"/>
    <x v="0"/>
    <n v="167.9"/>
  </r>
  <r>
    <x v="0"/>
    <x v="9"/>
    <x v="7"/>
    <x v="4"/>
    <x v="0"/>
    <n v="198.1"/>
  </r>
  <r>
    <x v="0"/>
    <x v="9"/>
    <x v="7"/>
    <x v="5"/>
    <x v="0"/>
    <n v="169.2"/>
  </r>
  <r>
    <x v="0"/>
    <x v="9"/>
    <x v="7"/>
    <x v="6"/>
    <x v="0"/>
    <n v="173.1"/>
  </r>
  <r>
    <x v="0"/>
    <x v="9"/>
    <x v="7"/>
    <x v="7"/>
    <x v="0"/>
    <n v="167.1"/>
  </r>
  <r>
    <x v="0"/>
    <x v="9"/>
    <x v="7"/>
    <x v="8"/>
    <x v="0"/>
    <n v="120.2"/>
  </r>
  <r>
    <x v="0"/>
    <x v="9"/>
    <x v="7"/>
    <x v="9"/>
    <x v="0"/>
    <n v="195.6"/>
  </r>
  <r>
    <x v="0"/>
    <x v="9"/>
    <x v="7"/>
    <x v="10"/>
    <x v="0"/>
    <n v="174.8"/>
  </r>
  <r>
    <x v="0"/>
    <x v="9"/>
    <x v="7"/>
    <x v="11"/>
    <x v="0"/>
    <n v="184"/>
  </r>
  <r>
    <x v="0"/>
    <x v="9"/>
    <x v="7"/>
    <x v="12"/>
    <x v="0"/>
    <n v="173.9"/>
  </r>
  <r>
    <x v="0"/>
    <x v="9"/>
    <x v="7"/>
    <x v="13"/>
    <x v="1"/>
    <n v="193.7"/>
  </r>
  <r>
    <x v="0"/>
    <x v="9"/>
    <x v="7"/>
    <x v="14"/>
    <x v="2"/>
    <n v="183.2"/>
  </r>
  <r>
    <x v="0"/>
    <x v="9"/>
    <x v="7"/>
    <x v="15"/>
    <x v="2"/>
    <n v="181.7"/>
  </r>
  <r>
    <x v="0"/>
    <x v="9"/>
    <x v="7"/>
    <x v="16"/>
    <x v="2"/>
    <n v="183"/>
  </r>
  <r>
    <x v="0"/>
    <x v="9"/>
    <x v="7"/>
    <x v="17"/>
    <x v="3"/>
    <s v="NA"/>
  </r>
  <r>
    <x v="0"/>
    <x v="9"/>
    <x v="7"/>
    <x v="18"/>
    <x v="4"/>
    <n v="179.1"/>
  </r>
  <r>
    <x v="0"/>
    <x v="9"/>
    <x v="7"/>
    <x v="19"/>
    <x v="5"/>
    <n v="172.3"/>
  </r>
  <r>
    <x v="0"/>
    <x v="9"/>
    <x v="7"/>
    <x v="20"/>
    <x v="6"/>
    <n v="179.4"/>
  </r>
  <r>
    <x v="0"/>
    <x v="9"/>
    <x v="7"/>
    <x v="21"/>
    <x v="7"/>
    <n v="166.6"/>
  </r>
  <r>
    <x v="0"/>
    <x v="9"/>
    <x v="7"/>
    <x v="22"/>
    <x v="8"/>
    <n v="169.3"/>
  </r>
  <r>
    <x v="0"/>
    <x v="9"/>
    <x v="7"/>
    <x v="23"/>
    <x v="9"/>
    <n v="175.7"/>
  </r>
  <r>
    <x v="0"/>
    <x v="9"/>
    <x v="7"/>
    <x v="24"/>
    <x v="8"/>
    <n v="171.1"/>
  </r>
  <r>
    <x v="0"/>
    <x v="9"/>
    <x v="7"/>
    <x v="25"/>
    <x v="5"/>
    <n v="172.6"/>
  </r>
  <r>
    <x v="0"/>
    <x v="9"/>
    <x v="7"/>
    <x v="26"/>
    <x v="10"/>
    <n v="175.3"/>
  </r>
  <r>
    <x v="1"/>
    <x v="9"/>
    <x v="7"/>
    <x v="0"/>
    <x v="0"/>
    <n v="162.1"/>
  </r>
  <r>
    <x v="1"/>
    <x v="9"/>
    <x v="7"/>
    <x v="1"/>
    <x v="0"/>
    <n v="210.9"/>
  </r>
  <r>
    <x v="1"/>
    <x v="9"/>
    <x v="7"/>
    <x v="2"/>
    <x v="0"/>
    <n v="170.6"/>
  </r>
  <r>
    <x v="1"/>
    <x v="9"/>
    <x v="7"/>
    <x v="3"/>
    <x v="0"/>
    <n v="168.4"/>
  </r>
  <r>
    <x v="1"/>
    <x v="9"/>
    <x v="7"/>
    <x v="4"/>
    <x v="0"/>
    <n v="182.5"/>
  </r>
  <r>
    <x v="1"/>
    <x v="9"/>
    <x v="7"/>
    <x v="5"/>
    <x v="0"/>
    <n v="177.1"/>
  </r>
  <r>
    <x v="1"/>
    <x v="9"/>
    <x v="7"/>
    <x v="6"/>
    <x v="0"/>
    <n v="213.1"/>
  </r>
  <r>
    <x v="1"/>
    <x v="9"/>
    <x v="7"/>
    <x v="7"/>
    <x v="0"/>
    <n v="167.3"/>
  </r>
  <r>
    <x v="1"/>
    <x v="9"/>
    <x v="7"/>
    <x v="8"/>
    <x v="0"/>
    <n v="122.2"/>
  </r>
  <r>
    <x v="1"/>
    <x v="9"/>
    <x v="7"/>
    <x v="9"/>
    <x v="0"/>
    <n v="189.7"/>
  </r>
  <r>
    <x v="1"/>
    <x v="9"/>
    <x v="7"/>
    <x v="10"/>
    <x v="0"/>
    <n v="160.5"/>
  </r>
  <r>
    <x v="1"/>
    <x v="9"/>
    <x v="7"/>
    <x v="11"/>
    <x v="0"/>
    <n v="188.9"/>
  </r>
  <r>
    <x v="1"/>
    <x v="9"/>
    <x v="7"/>
    <x v="12"/>
    <x v="0"/>
    <n v="180.4"/>
  </r>
  <r>
    <x v="1"/>
    <x v="9"/>
    <x v="7"/>
    <x v="13"/>
    <x v="1"/>
    <n v="198.7"/>
  </r>
  <r>
    <x v="1"/>
    <x v="9"/>
    <x v="7"/>
    <x v="14"/>
    <x v="2"/>
    <n v="173.7"/>
  </r>
  <r>
    <x v="1"/>
    <x v="9"/>
    <x v="7"/>
    <x v="15"/>
    <x v="2"/>
    <n v="160"/>
  </r>
  <r>
    <x v="1"/>
    <x v="9"/>
    <x v="7"/>
    <x v="16"/>
    <x v="2"/>
    <n v="171.6"/>
  </r>
  <r>
    <x v="1"/>
    <x v="9"/>
    <x v="7"/>
    <x v="17"/>
    <x v="3"/>
    <n v="169"/>
  </r>
  <r>
    <x v="1"/>
    <x v="9"/>
    <x v="7"/>
    <x v="18"/>
    <x v="4"/>
    <n v="178.4"/>
  </r>
  <r>
    <x v="1"/>
    <x v="9"/>
    <x v="7"/>
    <x v="19"/>
    <x v="5"/>
    <n v="164.2"/>
  </r>
  <r>
    <x v="1"/>
    <x v="9"/>
    <x v="7"/>
    <x v="20"/>
    <x v="6"/>
    <n v="172.6"/>
  </r>
  <r>
    <x v="1"/>
    <x v="9"/>
    <x v="7"/>
    <x v="21"/>
    <x v="7"/>
    <n v="157.69999999999999"/>
  </r>
  <r>
    <x v="1"/>
    <x v="9"/>
    <x v="7"/>
    <x v="22"/>
    <x v="8"/>
    <n v="165.1"/>
  </r>
  <r>
    <x v="1"/>
    <x v="9"/>
    <x v="7"/>
    <x v="23"/>
    <x v="9"/>
    <n v="169.9"/>
  </r>
  <r>
    <x v="1"/>
    <x v="9"/>
    <x v="7"/>
    <x v="24"/>
    <x v="8"/>
    <n v="171.4"/>
  </r>
  <r>
    <x v="1"/>
    <x v="9"/>
    <x v="7"/>
    <x v="25"/>
    <x v="5"/>
    <n v="165.4"/>
  </r>
  <r>
    <x v="1"/>
    <x v="9"/>
    <x v="7"/>
    <x v="26"/>
    <x v="10"/>
    <n v="173.1"/>
  </r>
  <r>
    <x v="2"/>
    <x v="9"/>
    <x v="7"/>
    <x v="0"/>
    <x v="0"/>
    <n v="160.30000000000001"/>
  </r>
  <r>
    <x v="2"/>
    <x v="9"/>
    <x v="7"/>
    <x v="1"/>
    <x v="0"/>
    <n v="206.5"/>
  </r>
  <r>
    <x v="2"/>
    <x v="9"/>
    <x v="7"/>
    <x v="2"/>
    <x v="0"/>
    <n v="169.2"/>
  </r>
  <r>
    <x v="2"/>
    <x v="9"/>
    <x v="7"/>
    <x v="3"/>
    <x v="0"/>
    <n v="168.1"/>
  </r>
  <r>
    <x v="2"/>
    <x v="9"/>
    <x v="7"/>
    <x v="4"/>
    <x v="0"/>
    <n v="192.4"/>
  </r>
  <r>
    <x v="2"/>
    <x v="9"/>
    <x v="7"/>
    <x v="5"/>
    <x v="0"/>
    <n v="172.9"/>
  </r>
  <r>
    <x v="2"/>
    <x v="9"/>
    <x v="7"/>
    <x v="6"/>
    <x v="0"/>
    <n v="186.7"/>
  </r>
  <r>
    <x v="2"/>
    <x v="9"/>
    <x v="7"/>
    <x v="7"/>
    <x v="0"/>
    <n v="167.2"/>
  </r>
  <r>
    <x v="2"/>
    <x v="9"/>
    <x v="7"/>
    <x v="8"/>
    <x v="0"/>
    <n v="120.9"/>
  </r>
  <r>
    <x v="2"/>
    <x v="9"/>
    <x v="7"/>
    <x v="9"/>
    <x v="0"/>
    <n v="193.6"/>
  </r>
  <r>
    <x v="2"/>
    <x v="9"/>
    <x v="7"/>
    <x v="10"/>
    <x v="0"/>
    <n v="168.8"/>
  </r>
  <r>
    <x v="2"/>
    <x v="9"/>
    <x v="7"/>
    <x v="11"/>
    <x v="0"/>
    <n v="186.3"/>
  </r>
  <r>
    <x v="2"/>
    <x v="9"/>
    <x v="7"/>
    <x v="12"/>
    <x v="0"/>
    <n v="176.3"/>
  </r>
  <r>
    <x v="2"/>
    <x v="9"/>
    <x v="7"/>
    <x v="13"/>
    <x v="1"/>
    <n v="195"/>
  </r>
  <r>
    <x v="2"/>
    <x v="9"/>
    <x v="7"/>
    <x v="14"/>
    <x v="2"/>
    <n v="179.5"/>
  </r>
  <r>
    <x v="2"/>
    <x v="9"/>
    <x v="7"/>
    <x v="15"/>
    <x v="2"/>
    <n v="172.7"/>
  </r>
  <r>
    <x v="2"/>
    <x v="9"/>
    <x v="7"/>
    <x v="16"/>
    <x v="2"/>
    <n v="178.5"/>
  </r>
  <r>
    <x v="2"/>
    <x v="9"/>
    <x v="7"/>
    <x v="17"/>
    <x v="3"/>
    <n v="169"/>
  </r>
  <r>
    <x v="2"/>
    <x v="9"/>
    <x v="7"/>
    <x v="18"/>
    <x v="4"/>
    <n v="178.8"/>
  </r>
  <r>
    <x v="2"/>
    <x v="9"/>
    <x v="7"/>
    <x v="19"/>
    <x v="5"/>
    <n v="168.5"/>
  </r>
  <r>
    <x v="2"/>
    <x v="9"/>
    <x v="7"/>
    <x v="20"/>
    <x v="6"/>
    <n v="176.8"/>
  </r>
  <r>
    <x v="2"/>
    <x v="9"/>
    <x v="7"/>
    <x v="21"/>
    <x v="7"/>
    <n v="161.9"/>
  </r>
  <r>
    <x v="2"/>
    <x v="9"/>
    <x v="7"/>
    <x v="22"/>
    <x v="8"/>
    <n v="166.9"/>
  </r>
  <r>
    <x v="2"/>
    <x v="9"/>
    <x v="7"/>
    <x v="23"/>
    <x v="9"/>
    <n v="172.3"/>
  </r>
  <r>
    <x v="2"/>
    <x v="9"/>
    <x v="7"/>
    <x v="24"/>
    <x v="8"/>
    <n v="171.2"/>
  </r>
  <r>
    <x v="2"/>
    <x v="9"/>
    <x v="7"/>
    <x v="25"/>
    <x v="5"/>
    <n v="169.1"/>
  </r>
  <r>
    <x v="2"/>
    <x v="9"/>
    <x v="7"/>
    <x v="26"/>
    <x v="10"/>
    <n v="174.3"/>
  </r>
  <r>
    <x v="0"/>
    <x v="9"/>
    <x v="8"/>
    <x v="0"/>
    <x v="0"/>
    <n v="162.9"/>
  </r>
  <r>
    <x v="0"/>
    <x v="9"/>
    <x v="8"/>
    <x v="1"/>
    <x v="0"/>
    <n v="206.7"/>
  </r>
  <r>
    <x v="0"/>
    <x v="9"/>
    <x v="8"/>
    <x v="2"/>
    <x v="0"/>
    <n v="169"/>
  </r>
  <r>
    <x v="0"/>
    <x v="9"/>
    <x v="8"/>
    <x v="3"/>
    <x v="0"/>
    <n v="169.5"/>
  </r>
  <r>
    <x v="0"/>
    <x v="9"/>
    <x v="8"/>
    <x v="4"/>
    <x v="0"/>
    <n v="194.1"/>
  </r>
  <r>
    <x v="0"/>
    <x v="9"/>
    <x v="8"/>
    <x v="5"/>
    <x v="0"/>
    <n v="164.1"/>
  </r>
  <r>
    <x v="0"/>
    <x v="9"/>
    <x v="8"/>
    <x v="6"/>
    <x v="0"/>
    <n v="176.9"/>
  </r>
  <r>
    <x v="0"/>
    <x v="9"/>
    <x v="8"/>
    <x v="7"/>
    <x v="0"/>
    <n v="169"/>
  </r>
  <r>
    <x v="0"/>
    <x v="9"/>
    <x v="8"/>
    <x v="8"/>
    <x v="0"/>
    <n v="120.8"/>
  </r>
  <r>
    <x v="0"/>
    <x v="9"/>
    <x v="8"/>
    <x v="9"/>
    <x v="0"/>
    <n v="199.1"/>
  </r>
  <r>
    <x v="0"/>
    <x v="9"/>
    <x v="8"/>
    <x v="10"/>
    <x v="0"/>
    <n v="175.4"/>
  </r>
  <r>
    <x v="0"/>
    <x v="9"/>
    <x v="8"/>
    <x v="11"/>
    <x v="0"/>
    <n v="184.8"/>
  </r>
  <r>
    <x v="0"/>
    <x v="9"/>
    <x v="8"/>
    <x v="12"/>
    <x v="0"/>
    <n v="175.5"/>
  </r>
  <r>
    <x v="0"/>
    <x v="9"/>
    <x v="8"/>
    <x v="13"/>
    <x v="1"/>
    <n v="194.5"/>
  </r>
  <r>
    <x v="0"/>
    <x v="9"/>
    <x v="8"/>
    <x v="14"/>
    <x v="2"/>
    <n v="184.7"/>
  </r>
  <r>
    <x v="0"/>
    <x v="9"/>
    <x v="8"/>
    <x v="15"/>
    <x v="2"/>
    <n v="183.3"/>
  </r>
  <r>
    <x v="0"/>
    <x v="9"/>
    <x v="8"/>
    <x v="16"/>
    <x v="2"/>
    <n v="184.5"/>
  </r>
  <r>
    <x v="0"/>
    <x v="9"/>
    <x v="8"/>
    <x v="17"/>
    <x v="3"/>
    <s v="NA"/>
  </r>
  <r>
    <x v="0"/>
    <x v="9"/>
    <x v="8"/>
    <x v="18"/>
    <x v="4"/>
    <n v="179.7"/>
  </r>
  <r>
    <x v="0"/>
    <x v="9"/>
    <x v="8"/>
    <x v="19"/>
    <x v="5"/>
    <n v="173.6"/>
  </r>
  <r>
    <x v="0"/>
    <x v="9"/>
    <x v="8"/>
    <x v="20"/>
    <x v="6"/>
    <n v="180.2"/>
  </r>
  <r>
    <x v="0"/>
    <x v="9"/>
    <x v="8"/>
    <x v="21"/>
    <x v="7"/>
    <n v="166.9"/>
  </r>
  <r>
    <x v="0"/>
    <x v="9"/>
    <x v="8"/>
    <x v="22"/>
    <x v="8"/>
    <n v="170"/>
  </r>
  <r>
    <x v="0"/>
    <x v="9"/>
    <x v="8"/>
    <x v="23"/>
    <x v="9"/>
    <n v="176.2"/>
  </r>
  <r>
    <x v="0"/>
    <x v="9"/>
    <x v="8"/>
    <x v="24"/>
    <x v="8"/>
    <n v="170.8"/>
  </r>
  <r>
    <x v="0"/>
    <x v="9"/>
    <x v="8"/>
    <x v="25"/>
    <x v="5"/>
    <n v="173.1"/>
  </r>
  <r>
    <x v="0"/>
    <x v="9"/>
    <x v="8"/>
    <x v="26"/>
    <x v="10"/>
    <n v="176.4"/>
  </r>
  <r>
    <x v="1"/>
    <x v="9"/>
    <x v="8"/>
    <x v="0"/>
    <x v="0"/>
    <n v="164.9"/>
  </r>
  <r>
    <x v="1"/>
    <x v="9"/>
    <x v="8"/>
    <x v="1"/>
    <x v="0"/>
    <n v="213.7"/>
  </r>
  <r>
    <x v="1"/>
    <x v="9"/>
    <x v="8"/>
    <x v="2"/>
    <x v="0"/>
    <n v="170.9"/>
  </r>
  <r>
    <x v="1"/>
    <x v="9"/>
    <x v="8"/>
    <x v="3"/>
    <x v="0"/>
    <n v="170.1"/>
  </r>
  <r>
    <x v="1"/>
    <x v="9"/>
    <x v="8"/>
    <x v="4"/>
    <x v="0"/>
    <n v="179.3"/>
  </r>
  <r>
    <x v="1"/>
    <x v="9"/>
    <x v="8"/>
    <x v="5"/>
    <x v="0"/>
    <n v="167.5"/>
  </r>
  <r>
    <x v="1"/>
    <x v="9"/>
    <x v="8"/>
    <x v="6"/>
    <x v="0"/>
    <n v="220.8"/>
  </r>
  <r>
    <x v="1"/>
    <x v="9"/>
    <x v="8"/>
    <x v="7"/>
    <x v="0"/>
    <n v="169.2"/>
  </r>
  <r>
    <x v="1"/>
    <x v="9"/>
    <x v="8"/>
    <x v="8"/>
    <x v="0"/>
    <n v="123.1"/>
  </r>
  <r>
    <x v="1"/>
    <x v="9"/>
    <x v="8"/>
    <x v="9"/>
    <x v="0"/>
    <n v="193.6"/>
  </r>
  <r>
    <x v="1"/>
    <x v="9"/>
    <x v="8"/>
    <x v="10"/>
    <x v="0"/>
    <n v="161.1"/>
  </r>
  <r>
    <x v="1"/>
    <x v="9"/>
    <x v="8"/>
    <x v="11"/>
    <x v="0"/>
    <n v="190.4"/>
  </r>
  <r>
    <x v="1"/>
    <x v="9"/>
    <x v="8"/>
    <x v="12"/>
    <x v="0"/>
    <n v="181.8"/>
  </r>
  <r>
    <x v="1"/>
    <x v="9"/>
    <x v="8"/>
    <x v="13"/>
    <x v="1"/>
    <n v="199.7"/>
  </r>
  <r>
    <x v="1"/>
    <x v="9"/>
    <x v="8"/>
    <x v="14"/>
    <x v="2"/>
    <n v="175"/>
  </r>
  <r>
    <x v="1"/>
    <x v="9"/>
    <x v="8"/>
    <x v="15"/>
    <x v="2"/>
    <n v="161.69999999999999"/>
  </r>
  <r>
    <x v="1"/>
    <x v="9"/>
    <x v="8"/>
    <x v="16"/>
    <x v="2"/>
    <n v="173"/>
  </r>
  <r>
    <x v="1"/>
    <x v="9"/>
    <x v="8"/>
    <x v="17"/>
    <x v="3"/>
    <n v="169.5"/>
  </r>
  <r>
    <x v="1"/>
    <x v="9"/>
    <x v="8"/>
    <x v="18"/>
    <x v="4"/>
    <n v="179.2"/>
  </r>
  <r>
    <x v="1"/>
    <x v="9"/>
    <x v="8"/>
    <x v="19"/>
    <x v="5"/>
    <n v="165"/>
  </r>
  <r>
    <x v="1"/>
    <x v="9"/>
    <x v="8"/>
    <x v="20"/>
    <x v="6"/>
    <n v="173.8"/>
  </r>
  <r>
    <x v="1"/>
    <x v="9"/>
    <x v="8"/>
    <x v="21"/>
    <x v="7"/>
    <n v="158.19999999999999"/>
  </r>
  <r>
    <x v="1"/>
    <x v="9"/>
    <x v="8"/>
    <x v="22"/>
    <x v="8"/>
    <n v="165.8"/>
  </r>
  <r>
    <x v="1"/>
    <x v="9"/>
    <x v="8"/>
    <x v="23"/>
    <x v="9"/>
    <n v="170.9"/>
  </r>
  <r>
    <x v="1"/>
    <x v="9"/>
    <x v="8"/>
    <x v="24"/>
    <x v="8"/>
    <n v="171.1"/>
  </r>
  <r>
    <x v="1"/>
    <x v="9"/>
    <x v="8"/>
    <x v="25"/>
    <x v="5"/>
    <n v="166.1"/>
  </r>
  <r>
    <x v="1"/>
    <x v="9"/>
    <x v="8"/>
    <x v="26"/>
    <x v="10"/>
    <n v="174.1"/>
  </r>
  <r>
    <x v="2"/>
    <x v="9"/>
    <x v="8"/>
    <x v="0"/>
    <x v="0"/>
    <n v="163.5"/>
  </r>
  <r>
    <x v="2"/>
    <x v="9"/>
    <x v="8"/>
    <x v="1"/>
    <x v="0"/>
    <n v="209.2"/>
  </r>
  <r>
    <x v="2"/>
    <x v="9"/>
    <x v="8"/>
    <x v="2"/>
    <x v="0"/>
    <n v="169.7"/>
  </r>
  <r>
    <x v="2"/>
    <x v="9"/>
    <x v="8"/>
    <x v="3"/>
    <x v="0"/>
    <n v="169.7"/>
  </r>
  <r>
    <x v="2"/>
    <x v="9"/>
    <x v="8"/>
    <x v="4"/>
    <x v="0"/>
    <n v="188.7"/>
  </r>
  <r>
    <x v="2"/>
    <x v="9"/>
    <x v="8"/>
    <x v="5"/>
    <x v="0"/>
    <n v="165.7"/>
  </r>
  <r>
    <x v="2"/>
    <x v="9"/>
    <x v="8"/>
    <x v="6"/>
    <x v="0"/>
    <n v="191.8"/>
  </r>
  <r>
    <x v="2"/>
    <x v="9"/>
    <x v="8"/>
    <x v="7"/>
    <x v="0"/>
    <n v="169.1"/>
  </r>
  <r>
    <x v="2"/>
    <x v="9"/>
    <x v="8"/>
    <x v="8"/>
    <x v="0"/>
    <n v="121.6"/>
  </r>
  <r>
    <x v="2"/>
    <x v="9"/>
    <x v="8"/>
    <x v="9"/>
    <x v="0"/>
    <n v="197.3"/>
  </r>
  <r>
    <x v="2"/>
    <x v="9"/>
    <x v="8"/>
    <x v="10"/>
    <x v="0"/>
    <n v="169.4"/>
  </r>
  <r>
    <x v="2"/>
    <x v="9"/>
    <x v="8"/>
    <x v="11"/>
    <x v="0"/>
    <n v="187.4"/>
  </r>
  <r>
    <x v="2"/>
    <x v="9"/>
    <x v="8"/>
    <x v="12"/>
    <x v="0"/>
    <n v="177.8"/>
  </r>
  <r>
    <x v="2"/>
    <x v="9"/>
    <x v="8"/>
    <x v="13"/>
    <x v="1"/>
    <n v="195.9"/>
  </r>
  <r>
    <x v="2"/>
    <x v="9"/>
    <x v="8"/>
    <x v="14"/>
    <x v="2"/>
    <n v="180.9"/>
  </r>
  <r>
    <x v="2"/>
    <x v="9"/>
    <x v="8"/>
    <x v="15"/>
    <x v="2"/>
    <n v="174.3"/>
  </r>
  <r>
    <x v="2"/>
    <x v="9"/>
    <x v="8"/>
    <x v="16"/>
    <x v="2"/>
    <n v="179.9"/>
  </r>
  <r>
    <x v="2"/>
    <x v="9"/>
    <x v="8"/>
    <x v="17"/>
    <x v="3"/>
    <n v="169.5"/>
  </r>
  <r>
    <x v="2"/>
    <x v="9"/>
    <x v="8"/>
    <x v="18"/>
    <x v="4"/>
    <n v="179.5"/>
  </r>
  <r>
    <x v="2"/>
    <x v="9"/>
    <x v="8"/>
    <x v="19"/>
    <x v="5"/>
    <n v="169.5"/>
  </r>
  <r>
    <x v="2"/>
    <x v="9"/>
    <x v="8"/>
    <x v="20"/>
    <x v="6"/>
    <n v="177.8"/>
  </r>
  <r>
    <x v="2"/>
    <x v="9"/>
    <x v="8"/>
    <x v="21"/>
    <x v="7"/>
    <n v="162.30000000000001"/>
  </r>
  <r>
    <x v="2"/>
    <x v="9"/>
    <x v="8"/>
    <x v="22"/>
    <x v="8"/>
    <n v="167.6"/>
  </r>
  <r>
    <x v="2"/>
    <x v="9"/>
    <x v="8"/>
    <x v="23"/>
    <x v="9"/>
    <n v="173.1"/>
  </r>
  <r>
    <x v="2"/>
    <x v="9"/>
    <x v="8"/>
    <x v="24"/>
    <x v="8"/>
    <n v="170.9"/>
  </r>
  <r>
    <x v="2"/>
    <x v="9"/>
    <x v="8"/>
    <x v="25"/>
    <x v="5"/>
    <n v="169.7"/>
  </r>
  <r>
    <x v="2"/>
    <x v="9"/>
    <x v="8"/>
    <x v="26"/>
    <x v="10"/>
    <n v="175.3"/>
  </r>
  <r>
    <x v="0"/>
    <x v="9"/>
    <x v="9"/>
    <x v="0"/>
    <x v="0"/>
    <n v="164.7"/>
  </r>
  <r>
    <x v="0"/>
    <x v="9"/>
    <x v="9"/>
    <x v="1"/>
    <x v="0"/>
    <n v="208.8"/>
  </r>
  <r>
    <x v="0"/>
    <x v="9"/>
    <x v="9"/>
    <x v="2"/>
    <x v="0"/>
    <n v="170.3"/>
  </r>
  <r>
    <x v="0"/>
    <x v="9"/>
    <x v="9"/>
    <x v="3"/>
    <x v="0"/>
    <n v="170.9"/>
  </r>
  <r>
    <x v="0"/>
    <x v="9"/>
    <x v="9"/>
    <x v="4"/>
    <x v="0"/>
    <n v="191.6"/>
  </r>
  <r>
    <x v="0"/>
    <x v="9"/>
    <x v="9"/>
    <x v="5"/>
    <x v="0"/>
    <n v="162.19999999999999"/>
  </r>
  <r>
    <x v="0"/>
    <x v="9"/>
    <x v="9"/>
    <x v="6"/>
    <x v="0"/>
    <n v="184.8"/>
  </r>
  <r>
    <x v="0"/>
    <x v="9"/>
    <x v="9"/>
    <x v="7"/>
    <x v="0"/>
    <n v="169.7"/>
  </r>
  <r>
    <x v="0"/>
    <x v="9"/>
    <x v="9"/>
    <x v="8"/>
    <x v="0"/>
    <n v="121.1"/>
  </r>
  <r>
    <x v="0"/>
    <x v="9"/>
    <x v="9"/>
    <x v="9"/>
    <x v="0"/>
    <n v="201.6"/>
  </r>
  <r>
    <x v="0"/>
    <x v="9"/>
    <x v="9"/>
    <x v="10"/>
    <x v="0"/>
    <n v="175.8"/>
  </r>
  <r>
    <x v="0"/>
    <x v="9"/>
    <x v="9"/>
    <x v="11"/>
    <x v="0"/>
    <n v="185.6"/>
  </r>
  <r>
    <x v="0"/>
    <x v="9"/>
    <x v="9"/>
    <x v="12"/>
    <x v="0"/>
    <n v="177.4"/>
  </r>
  <r>
    <x v="0"/>
    <x v="9"/>
    <x v="9"/>
    <x v="13"/>
    <x v="1"/>
    <n v="194.9"/>
  </r>
  <r>
    <x v="0"/>
    <x v="9"/>
    <x v="9"/>
    <x v="14"/>
    <x v="2"/>
    <n v="186.1"/>
  </r>
  <r>
    <x v="0"/>
    <x v="9"/>
    <x v="9"/>
    <x v="15"/>
    <x v="2"/>
    <n v="184.4"/>
  </r>
  <r>
    <x v="0"/>
    <x v="9"/>
    <x v="9"/>
    <x v="16"/>
    <x v="2"/>
    <n v="185.9"/>
  </r>
  <r>
    <x v="0"/>
    <x v="9"/>
    <x v="9"/>
    <x v="17"/>
    <x v="3"/>
    <s v="NA"/>
  </r>
  <r>
    <x v="0"/>
    <x v="9"/>
    <x v="9"/>
    <x v="18"/>
    <x v="4"/>
    <n v="180.8"/>
  </r>
  <r>
    <x v="0"/>
    <x v="9"/>
    <x v="9"/>
    <x v="19"/>
    <x v="5"/>
    <n v="174.4"/>
  </r>
  <r>
    <x v="0"/>
    <x v="9"/>
    <x v="9"/>
    <x v="20"/>
    <x v="6"/>
    <n v="181.2"/>
  </r>
  <r>
    <x v="0"/>
    <x v="9"/>
    <x v="9"/>
    <x v="21"/>
    <x v="7"/>
    <n v="167.4"/>
  </r>
  <r>
    <x v="0"/>
    <x v="9"/>
    <x v="9"/>
    <x v="22"/>
    <x v="8"/>
    <n v="170.6"/>
  </r>
  <r>
    <x v="0"/>
    <x v="9"/>
    <x v="9"/>
    <x v="23"/>
    <x v="9"/>
    <n v="176.5"/>
  </r>
  <r>
    <x v="0"/>
    <x v="9"/>
    <x v="9"/>
    <x v="24"/>
    <x v="8"/>
    <n v="172"/>
  </r>
  <r>
    <x v="0"/>
    <x v="9"/>
    <x v="9"/>
    <x v="25"/>
    <x v="5"/>
    <n v="173.9"/>
  </r>
  <r>
    <x v="0"/>
    <x v="9"/>
    <x v="9"/>
    <x v="26"/>
    <x v="10"/>
    <n v="177.9"/>
  </r>
  <r>
    <x v="1"/>
    <x v="9"/>
    <x v="9"/>
    <x v="0"/>
    <x v="0"/>
    <n v="166.4"/>
  </r>
  <r>
    <x v="1"/>
    <x v="9"/>
    <x v="9"/>
    <x v="1"/>
    <x v="0"/>
    <n v="214.9"/>
  </r>
  <r>
    <x v="1"/>
    <x v="9"/>
    <x v="9"/>
    <x v="2"/>
    <x v="0"/>
    <n v="171.9"/>
  </r>
  <r>
    <x v="1"/>
    <x v="9"/>
    <x v="9"/>
    <x v="3"/>
    <x v="0"/>
    <n v="171"/>
  </r>
  <r>
    <x v="1"/>
    <x v="9"/>
    <x v="9"/>
    <x v="4"/>
    <x v="0"/>
    <n v="177.7"/>
  </r>
  <r>
    <x v="1"/>
    <x v="9"/>
    <x v="9"/>
    <x v="5"/>
    <x v="0"/>
    <n v="165.7"/>
  </r>
  <r>
    <x v="1"/>
    <x v="9"/>
    <x v="9"/>
    <x v="6"/>
    <x v="0"/>
    <n v="228.6"/>
  </r>
  <r>
    <x v="1"/>
    <x v="9"/>
    <x v="9"/>
    <x v="7"/>
    <x v="0"/>
    <n v="169.9"/>
  </r>
  <r>
    <x v="1"/>
    <x v="9"/>
    <x v="9"/>
    <x v="8"/>
    <x v="0"/>
    <n v="123.4"/>
  </r>
  <r>
    <x v="1"/>
    <x v="9"/>
    <x v="9"/>
    <x v="9"/>
    <x v="0"/>
    <n v="196.4"/>
  </r>
  <r>
    <x v="1"/>
    <x v="9"/>
    <x v="9"/>
    <x v="10"/>
    <x v="0"/>
    <n v="161.6"/>
  </r>
  <r>
    <x v="1"/>
    <x v="9"/>
    <x v="9"/>
    <x v="11"/>
    <x v="0"/>
    <n v="191.5"/>
  </r>
  <r>
    <x v="1"/>
    <x v="9"/>
    <x v="9"/>
    <x v="12"/>
    <x v="0"/>
    <n v="183.3"/>
  </r>
  <r>
    <x v="1"/>
    <x v="9"/>
    <x v="9"/>
    <x v="13"/>
    <x v="1"/>
    <n v="200.1"/>
  </r>
  <r>
    <x v="1"/>
    <x v="9"/>
    <x v="9"/>
    <x v="14"/>
    <x v="2"/>
    <n v="175.5"/>
  </r>
  <r>
    <x v="1"/>
    <x v="9"/>
    <x v="9"/>
    <x v="15"/>
    <x v="2"/>
    <n v="162.6"/>
  </r>
  <r>
    <x v="1"/>
    <x v="9"/>
    <x v="9"/>
    <x v="16"/>
    <x v="2"/>
    <n v="173.6"/>
  </r>
  <r>
    <x v="1"/>
    <x v="9"/>
    <x v="9"/>
    <x v="17"/>
    <x v="3"/>
    <n v="171.2"/>
  </r>
  <r>
    <x v="1"/>
    <x v="9"/>
    <x v="9"/>
    <x v="18"/>
    <x v="4"/>
    <n v="180"/>
  </r>
  <r>
    <x v="1"/>
    <x v="9"/>
    <x v="9"/>
    <x v="19"/>
    <x v="5"/>
    <n v="166"/>
  </r>
  <r>
    <x v="1"/>
    <x v="9"/>
    <x v="9"/>
    <x v="20"/>
    <x v="6"/>
    <n v="174.7"/>
  </r>
  <r>
    <x v="1"/>
    <x v="9"/>
    <x v="9"/>
    <x v="21"/>
    <x v="7"/>
    <n v="158.80000000000001"/>
  </r>
  <r>
    <x v="1"/>
    <x v="9"/>
    <x v="9"/>
    <x v="22"/>
    <x v="8"/>
    <n v="166.3"/>
  </r>
  <r>
    <x v="1"/>
    <x v="9"/>
    <x v="9"/>
    <x v="23"/>
    <x v="9"/>
    <n v="171.2"/>
  </r>
  <r>
    <x v="1"/>
    <x v="9"/>
    <x v="9"/>
    <x v="24"/>
    <x v="8"/>
    <n v="172.3"/>
  </r>
  <r>
    <x v="1"/>
    <x v="9"/>
    <x v="9"/>
    <x v="25"/>
    <x v="5"/>
    <n v="166.8"/>
  </r>
  <r>
    <x v="1"/>
    <x v="9"/>
    <x v="9"/>
    <x v="26"/>
    <x v="10"/>
    <n v="175.3"/>
  </r>
  <r>
    <x v="2"/>
    <x v="9"/>
    <x v="9"/>
    <x v="0"/>
    <x v="0"/>
    <n v="165.2"/>
  </r>
  <r>
    <x v="2"/>
    <x v="9"/>
    <x v="9"/>
    <x v="1"/>
    <x v="0"/>
    <n v="210.9"/>
  </r>
  <r>
    <x v="2"/>
    <x v="9"/>
    <x v="9"/>
    <x v="2"/>
    <x v="0"/>
    <n v="170.9"/>
  </r>
  <r>
    <x v="2"/>
    <x v="9"/>
    <x v="9"/>
    <x v="3"/>
    <x v="0"/>
    <n v="170.9"/>
  </r>
  <r>
    <x v="2"/>
    <x v="9"/>
    <x v="9"/>
    <x v="4"/>
    <x v="0"/>
    <n v="186.5"/>
  </r>
  <r>
    <x v="2"/>
    <x v="9"/>
    <x v="9"/>
    <x v="5"/>
    <x v="0"/>
    <n v="163.80000000000001"/>
  </r>
  <r>
    <x v="2"/>
    <x v="9"/>
    <x v="9"/>
    <x v="6"/>
    <x v="0"/>
    <n v="199.7"/>
  </r>
  <r>
    <x v="2"/>
    <x v="9"/>
    <x v="9"/>
    <x v="7"/>
    <x v="0"/>
    <n v="169.8"/>
  </r>
  <r>
    <x v="2"/>
    <x v="9"/>
    <x v="9"/>
    <x v="8"/>
    <x v="0"/>
    <n v="121.9"/>
  </r>
  <r>
    <x v="2"/>
    <x v="9"/>
    <x v="9"/>
    <x v="9"/>
    <x v="0"/>
    <n v="199.9"/>
  </r>
  <r>
    <x v="2"/>
    <x v="9"/>
    <x v="9"/>
    <x v="10"/>
    <x v="0"/>
    <n v="169.9"/>
  </r>
  <r>
    <x v="2"/>
    <x v="9"/>
    <x v="9"/>
    <x v="11"/>
    <x v="0"/>
    <n v="188.3"/>
  </r>
  <r>
    <x v="2"/>
    <x v="9"/>
    <x v="9"/>
    <x v="12"/>
    <x v="0"/>
    <n v="179.6"/>
  </r>
  <r>
    <x v="2"/>
    <x v="9"/>
    <x v="9"/>
    <x v="13"/>
    <x v="1"/>
    <n v="196.3"/>
  </r>
  <r>
    <x v="2"/>
    <x v="9"/>
    <x v="9"/>
    <x v="14"/>
    <x v="2"/>
    <n v="181.9"/>
  </r>
  <r>
    <x v="2"/>
    <x v="9"/>
    <x v="9"/>
    <x v="15"/>
    <x v="2"/>
    <n v="175.3"/>
  </r>
  <r>
    <x v="2"/>
    <x v="9"/>
    <x v="9"/>
    <x v="16"/>
    <x v="2"/>
    <n v="181"/>
  </r>
  <r>
    <x v="2"/>
    <x v="9"/>
    <x v="9"/>
    <x v="17"/>
    <x v="3"/>
    <n v="171.2"/>
  </r>
  <r>
    <x v="2"/>
    <x v="9"/>
    <x v="9"/>
    <x v="18"/>
    <x v="4"/>
    <n v="180.5"/>
  </r>
  <r>
    <x v="2"/>
    <x v="9"/>
    <x v="9"/>
    <x v="19"/>
    <x v="5"/>
    <n v="170.4"/>
  </r>
  <r>
    <x v="2"/>
    <x v="9"/>
    <x v="9"/>
    <x v="20"/>
    <x v="6"/>
    <n v="178.7"/>
  </r>
  <r>
    <x v="2"/>
    <x v="9"/>
    <x v="9"/>
    <x v="21"/>
    <x v="7"/>
    <n v="162.9"/>
  </r>
  <r>
    <x v="2"/>
    <x v="9"/>
    <x v="9"/>
    <x v="22"/>
    <x v="8"/>
    <n v="168.2"/>
  </r>
  <r>
    <x v="2"/>
    <x v="9"/>
    <x v="9"/>
    <x v="23"/>
    <x v="9"/>
    <n v="173.4"/>
  </r>
  <r>
    <x v="2"/>
    <x v="9"/>
    <x v="9"/>
    <x v="24"/>
    <x v="8"/>
    <n v="172.1"/>
  </r>
  <r>
    <x v="2"/>
    <x v="9"/>
    <x v="9"/>
    <x v="25"/>
    <x v="5"/>
    <n v="170.5"/>
  </r>
  <r>
    <x v="2"/>
    <x v="9"/>
    <x v="9"/>
    <x v="26"/>
    <x v="10"/>
    <n v="176.7"/>
  </r>
  <r>
    <x v="0"/>
    <x v="9"/>
    <x v="11"/>
    <x v="0"/>
    <x v="0"/>
    <n v="166.9"/>
  </r>
  <r>
    <x v="0"/>
    <x v="9"/>
    <x v="11"/>
    <x v="1"/>
    <x v="0"/>
    <n v="207.2"/>
  </r>
  <r>
    <x v="0"/>
    <x v="9"/>
    <x v="11"/>
    <x v="2"/>
    <x v="0"/>
    <n v="180.2"/>
  </r>
  <r>
    <x v="0"/>
    <x v="9"/>
    <x v="11"/>
    <x v="3"/>
    <x v="0"/>
    <n v="172.3"/>
  </r>
  <r>
    <x v="0"/>
    <x v="9"/>
    <x v="11"/>
    <x v="4"/>
    <x v="0"/>
    <n v="194"/>
  </r>
  <r>
    <x v="0"/>
    <x v="9"/>
    <x v="11"/>
    <x v="5"/>
    <x v="0"/>
    <n v="159.1"/>
  </r>
  <r>
    <x v="0"/>
    <x v="9"/>
    <x v="11"/>
    <x v="6"/>
    <x v="0"/>
    <n v="171.6"/>
  </r>
  <r>
    <x v="0"/>
    <x v="9"/>
    <x v="11"/>
    <x v="7"/>
    <x v="0"/>
    <n v="170.2"/>
  </r>
  <r>
    <x v="0"/>
    <x v="9"/>
    <x v="11"/>
    <x v="8"/>
    <x v="0"/>
    <n v="121.5"/>
  </r>
  <r>
    <x v="0"/>
    <x v="9"/>
    <x v="11"/>
    <x v="9"/>
    <x v="0"/>
    <n v="204.8"/>
  </r>
  <r>
    <x v="0"/>
    <x v="9"/>
    <x v="11"/>
    <x v="10"/>
    <x v="0"/>
    <n v="176.4"/>
  </r>
  <r>
    <x v="0"/>
    <x v="9"/>
    <x v="11"/>
    <x v="11"/>
    <x v="0"/>
    <n v="186.9"/>
  </r>
  <r>
    <x v="0"/>
    <x v="9"/>
    <x v="11"/>
    <x v="12"/>
    <x v="0"/>
    <n v="176.6"/>
  </r>
  <r>
    <x v="0"/>
    <x v="9"/>
    <x v="11"/>
    <x v="13"/>
    <x v="1"/>
    <n v="195.5"/>
  </r>
  <r>
    <x v="0"/>
    <x v="9"/>
    <x v="11"/>
    <x v="14"/>
    <x v="2"/>
    <n v="187.2"/>
  </r>
  <r>
    <x v="0"/>
    <x v="9"/>
    <x v="11"/>
    <x v="15"/>
    <x v="2"/>
    <n v="185.2"/>
  </r>
  <r>
    <x v="0"/>
    <x v="9"/>
    <x v="11"/>
    <x v="16"/>
    <x v="2"/>
    <n v="186.9"/>
  </r>
  <r>
    <x v="0"/>
    <x v="9"/>
    <x v="11"/>
    <x v="17"/>
    <x v="3"/>
    <s v="NA"/>
  </r>
  <r>
    <x v="0"/>
    <x v="9"/>
    <x v="11"/>
    <x v="18"/>
    <x v="4"/>
    <n v="181.9"/>
  </r>
  <r>
    <x v="0"/>
    <x v="9"/>
    <x v="11"/>
    <x v="19"/>
    <x v="5"/>
    <n v="175.5"/>
  </r>
  <r>
    <x v="0"/>
    <x v="9"/>
    <x v="11"/>
    <x v="20"/>
    <x v="6"/>
    <n v="182.3"/>
  </r>
  <r>
    <x v="0"/>
    <x v="9"/>
    <x v="11"/>
    <x v="21"/>
    <x v="7"/>
    <n v="167.5"/>
  </r>
  <r>
    <x v="0"/>
    <x v="9"/>
    <x v="11"/>
    <x v="22"/>
    <x v="8"/>
    <n v="170.8"/>
  </r>
  <r>
    <x v="0"/>
    <x v="9"/>
    <x v="11"/>
    <x v="23"/>
    <x v="9"/>
    <n v="176.9"/>
  </r>
  <r>
    <x v="0"/>
    <x v="9"/>
    <x v="11"/>
    <x v="24"/>
    <x v="8"/>
    <n v="173.4"/>
  </r>
  <r>
    <x v="0"/>
    <x v="9"/>
    <x v="11"/>
    <x v="25"/>
    <x v="5"/>
    <n v="174.6"/>
  </r>
  <r>
    <x v="0"/>
    <x v="9"/>
    <x v="11"/>
    <x v="26"/>
    <x v="10"/>
    <n v="177.8"/>
  </r>
  <r>
    <x v="1"/>
    <x v="9"/>
    <x v="11"/>
    <x v="0"/>
    <x v="0"/>
    <n v="168.4"/>
  </r>
  <r>
    <x v="1"/>
    <x v="9"/>
    <x v="11"/>
    <x v="1"/>
    <x v="0"/>
    <n v="213.4"/>
  </r>
  <r>
    <x v="1"/>
    <x v="9"/>
    <x v="11"/>
    <x v="2"/>
    <x v="0"/>
    <n v="183.2"/>
  </r>
  <r>
    <x v="1"/>
    <x v="9"/>
    <x v="11"/>
    <x v="3"/>
    <x v="0"/>
    <n v="172.3"/>
  </r>
  <r>
    <x v="1"/>
    <x v="9"/>
    <x v="11"/>
    <x v="4"/>
    <x v="0"/>
    <n v="180"/>
  </r>
  <r>
    <x v="1"/>
    <x v="9"/>
    <x v="11"/>
    <x v="5"/>
    <x v="0"/>
    <n v="162.6"/>
  </r>
  <r>
    <x v="1"/>
    <x v="9"/>
    <x v="11"/>
    <x v="6"/>
    <x v="0"/>
    <n v="205.5"/>
  </r>
  <r>
    <x v="1"/>
    <x v="9"/>
    <x v="11"/>
    <x v="7"/>
    <x v="0"/>
    <n v="171"/>
  </r>
  <r>
    <x v="1"/>
    <x v="9"/>
    <x v="11"/>
    <x v="8"/>
    <x v="0"/>
    <n v="123.4"/>
  </r>
  <r>
    <x v="1"/>
    <x v="9"/>
    <x v="11"/>
    <x v="9"/>
    <x v="0"/>
    <n v="198.8"/>
  </r>
  <r>
    <x v="1"/>
    <x v="9"/>
    <x v="11"/>
    <x v="10"/>
    <x v="0"/>
    <n v="162.1"/>
  </r>
  <r>
    <x v="1"/>
    <x v="9"/>
    <x v="11"/>
    <x v="11"/>
    <x v="0"/>
    <n v="192.4"/>
  </r>
  <r>
    <x v="1"/>
    <x v="9"/>
    <x v="11"/>
    <x v="12"/>
    <x v="0"/>
    <n v="181.3"/>
  </r>
  <r>
    <x v="1"/>
    <x v="9"/>
    <x v="11"/>
    <x v="13"/>
    <x v="1"/>
    <n v="200.6"/>
  </r>
  <r>
    <x v="1"/>
    <x v="9"/>
    <x v="11"/>
    <x v="14"/>
    <x v="2"/>
    <n v="176.7"/>
  </r>
  <r>
    <x v="1"/>
    <x v="9"/>
    <x v="11"/>
    <x v="15"/>
    <x v="2"/>
    <n v="163.5"/>
  </r>
  <r>
    <x v="1"/>
    <x v="9"/>
    <x v="11"/>
    <x v="16"/>
    <x v="2"/>
    <n v="174.7"/>
  </r>
  <r>
    <x v="1"/>
    <x v="9"/>
    <x v="11"/>
    <x v="17"/>
    <x v="3"/>
    <n v="171.8"/>
  </r>
  <r>
    <x v="1"/>
    <x v="9"/>
    <x v="11"/>
    <x v="18"/>
    <x v="4"/>
    <n v="180.3"/>
  </r>
  <r>
    <x v="1"/>
    <x v="9"/>
    <x v="11"/>
    <x v="19"/>
    <x v="5"/>
    <n v="166.9"/>
  </r>
  <r>
    <x v="1"/>
    <x v="9"/>
    <x v="11"/>
    <x v="20"/>
    <x v="6"/>
    <n v="175.8"/>
  </r>
  <r>
    <x v="1"/>
    <x v="9"/>
    <x v="11"/>
    <x v="21"/>
    <x v="7"/>
    <n v="158.9"/>
  </r>
  <r>
    <x v="1"/>
    <x v="9"/>
    <x v="11"/>
    <x v="22"/>
    <x v="8"/>
    <n v="166.7"/>
  </r>
  <r>
    <x v="1"/>
    <x v="9"/>
    <x v="11"/>
    <x v="23"/>
    <x v="9"/>
    <n v="171.5"/>
  </r>
  <r>
    <x v="1"/>
    <x v="9"/>
    <x v="11"/>
    <x v="24"/>
    <x v="8"/>
    <n v="173.8"/>
  </r>
  <r>
    <x v="1"/>
    <x v="9"/>
    <x v="11"/>
    <x v="25"/>
    <x v="5"/>
    <n v="167.4"/>
  </r>
  <r>
    <x v="1"/>
    <x v="9"/>
    <x v="11"/>
    <x v="26"/>
    <x v="10"/>
    <n v="174.1"/>
  </r>
  <r>
    <x v="2"/>
    <x v="9"/>
    <x v="11"/>
    <x v="0"/>
    <x v="0"/>
    <n v="167.4"/>
  </r>
  <r>
    <x v="2"/>
    <x v="9"/>
    <x v="11"/>
    <x v="1"/>
    <x v="0"/>
    <n v="209.4"/>
  </r>
  <r>
    <x v="2"/>
    <x v="9"/>
    <x v="11"/>
    <x v="2"/>
    <x v="0"/>
    <n v="181.4"/>
  </r>
  <r>
    <x v="2"/>
    <x v="9"/>
    <x v="11"/>
    <x v="3"/>
    <x v="0"/>
    <n v="172.3"/>
  </r>
  <r>
    <x v="2"/>
    <x v="9"/>
    <x v="11"/>
    <x v="4"/>
    <x v="0"/>
    <n v="188.9"/>
  </r>
  <r>
    <x v="2"/>
    <x v="9"/>
    <x v="11"/>
    <x v="5"/>
    <x v="0"/>
    <n v="160.69999999999999"/>
  </r>
  <r>
    <x v="2"/>
    <x v="9"/>
    <x v="11"/>
    <x v="6"/>
    <x v="0"/>
    <n v="183.1"/>
  </r>
  <r>
    <x v="2"/>
    <x v="9"/>
    <x v="11"/>
    <x v="7"/>
    <x v="0"/>
    <n v="170.5"/>
  </r>
  <r>
    <x v="2"/>
    <x v="9"/>
    <x v="11"/>
    <x v="8"/>
    <x v="0"/>
    <n v="122.1"/>
  </r>
  <r>
    <x v="2"/>
    <x v="9"/>
    <x v="11"/>
    <x v="9"/>
    <x v="0"/>
    <n v="202.8"/>
  </r>
  <r>
    <x v="2"/>
    <x v="9"/>
    <x v="11"/>
    <x v="10"/>
    <x v="0"/>
    <n v="170.4"/>
  </r>
  <r>
    <x v="2"/>
    <x v="9"/>
    <x v="11"/>
    <x v="11"/>
    <x v="0"/>
    <n v="189.5"/>
  </r>
  <r>
    <x v="2"/>
    <x v="9"/>
    <x v="11"/>
    <x v="12"/>
    <x v="0"/>
    <n v="178.3"/>
  </r>
  <r>
    <x v="2"/>
    <x v="9"/>
    <x v="11"/>
    <x v="13"/>
    <x v="1"/>
    <n v="196.9"/>
  </r>
  <r>
    <x v="2"/>
    <x v="9"/>
    <x v="11"/>
    <x v="14"/>
    <x v="2"/>
    <n v="183.1"/>
  </r>
  <r>
    <x v="2"/>
    <x v="9"/>
    <x v="11"/>
    <x v="15"/>
    <x v="2"/>
    <n v="176.2"/>
  </r>
  <r>
    <x v="2"/>
    <x v="9"/>
    <x v="11"/>
    <x v="16"/>
    <x v="2"/>
    <n v="182.1"/>
  </r>
  <r>
    <x v="2"/>
    <x v="9"/>
    <x v="11"/>
    <x v="17"/>
    <x v="3"/>
    <n v="171.8"/>
  </r>
  <r>
    <x v="2"/>
    <x v="9"/>
    <x v="11"/>
    <x v="18"/>
    <x v="4"/>
    <n v="181.3"/>
  </r>
  <r>
    <x v="2"/>
    <x v="9"/>
    <x v="11"/>
    <x v="19"/>
    <x v="5"/>
    <n v="171.4"/>
  </r>
  <r>
    <x v="2"/>
    <x v="9"/>
    <x v="11"/>
    <x v="20"/>
    <x v="6"/>
    <n v="179.8"/>
  </r>
  <r>
    <x v="2"/>
    <x v="9"/>
    <x v="11"/>
    <x v="21"/>
    <x v="7"/>
    <n v="163"/>
  </r>
  <r>
    <x v="2"/>
    <x v="9"/>
    <x v="11"/>
    <x v="22"/>
    <x v="8"/>
    <n v="168.5"/>
  </r>
  <r>
    <x v="2"/>
    <x v="9"/>
    <x v="11"/>
    <x v="23"/>
    <x v="9"/>
    <n v="173.7"/>
  </r>
  <r>
    <x v="2"/>
    <x v="9"/>
    <x v="11"/>
    <x v="24"/>
    <x v="8"/>
    <n v="173.6"/>
  </r>
  <r>
    <x v="2"/>
    <x v="9"/>
    <x v="11"/>
    <x v="25"/>
    <x v="5"/>
    <n v="171.1"/>
  </r>
  <r>
    <x v="2"/>
    <x v="9"/>
    <x v="11"/>
    <x v="26"/>
    <x v="10"/>
    <n v="176.5"/>
  </r>
  <r>
    <x v="0"/>
    <x v="9"/>
    <x v="12"/>
    <x v="0"/>
    <x v="0"/>
    <n v="168.8"/>
  </r>
  <r>
    <x v="0"/>
    <x v="9"/>
    <x v="12"/>
    <x v="1"/>
    <x v="0"/>
    <n v="206.9"/>
  </r>
  <r>
    <x v="0"/>
    <x v="9"/>
    <x v="12"/>
    <x v="2"/>
    <x v="0"/>
    <n v="189.1"/>
  </r>
  <r>
    <x v="0"/>
    <x v="9"/>
    <x v="12"/>
    <x v="3"/>
    <x v="0"/>
    <n v="173.4"/>
  </r>
  <r>
    <x v="0"/>
    <x v="9"/>
    <x v="12"/>
    <x v="4"/>
    <x v="0"/>
    <n v="193.9"/>
  </r>
  <r>
    <x v="0"/>
    <x v="9"/>
    <x v="12"/>
    <x v="5"/>
    <x v="0"/>
    <n v="156.69999999999999"/>
  </r>
  <r>
    <x v="0"/>
    <x v="9"/>
    <x v="12"/>
    <x v="6"/>
    <x v="0"/>
    <n v="150.19999999999999"/>
  </r>
  <r>
    <x v="0"/>
    <x v="9"/>
    <x v="12"/>
    <x v="7"/>
    <x v="0"/>
    <n v="170.5"/>
  </r>
  <r>
    <x v="0"/>
    <x v="9"/>
    <x v="12"/>
    <x v="8"/>
    <x v="0"/>
    <n v="121.2"/>
  </r>
  <r>
    <x v="0"/>
    <x v="9"/>
    <x v="12"/>
    <x v="9"/>
    <x v="0"/>
    <n v="207.5"/>
  </r>
  <r>
    <x v="0"/>
    <x v="9"/>
    <x v="12"/>
    <x v="10"/>
    <x v="0"/>
    <n v="176.8"/>
  </r>
  <r>
    <x v="0"/>
    <x v="9"/>
    <x v="12"/>
    <x v="11"/>
    <x v="0"/>
    <n v="187.7"/>
  </r>
  <r>
    <x v="0"/>
    <x v="9"/>
    <x v="12"/>
    <x v="12"/>
    <x v="0"/>
    <n v="174.4"/>
  </r>
  <r>
    <x v="0"/>
    <x v="9"/>
    <x v="12"/>
    <x v="13"/>
    <x v="1"/>
    <n v="195.9"/>
  </r>
  <r>
    <x v="0"/>
    <x v="9"/>
    <x v="12"/>
    <x v="14"/>
    <x v="2"/>
    <n v="188.1"/>
  </r>
  <r>
    <x v="0"/>
    <x v="9"/>
    <x v="12"/>
    <x v="15"/>
    <x v="2"/>
    <n v="185.9"/>
  </r>
  <r>
    <x v="0"/>
    <x v="9"/>
    <x v="12"/>
    <x v="16"/>
    <x v="2"/>
    <n v="187.8"/>
  </r>
  <r>
    <x v="0"/>
    <x v="9"/>
    <x v="12"/>
    <x v="17"/>
    <x v="3"/>
    <s v="NA"/>
  </r>
  <r>
    <x v="0"/>
    <x v="9"/>
    <x v="12"/>
    <x v="18"/>
    <x v="4"/>
    <n v="182.8"/>
  </r>
  <r>
    <x v="0"/>
    <x v="9"/>
    <x v="12"/>
    <x v="19"/>
    <x v="5"/>
    <n v="176.4"/>
  </r>
  <r>
    <x v="0"/>
    <x v="9"/>
    <x v="12"/>
    <x v="20"/>
    <x v="6"/>
    <n v="183.5"/>
  </r>
  <r>
    <x v="0"/>
    <x v="9"/>
    <x v="12"/>
    <x v="21"/>
    <x v="7"/>
    <n v="167.8"/>
  </r>
  <r>
    <x v="0"/>
    <x v="9"/>
    <x v="12"/>
    <x v="22"/>
    <x v="8"/>
    <n v="171.2"/>
  </r>
  <r>
    <x v="0"/>
    <x v="9"/>
    <x v="12"/>
    <x v="23"/>
    <x v="9"/>
    <n v="177.3"/>
  </r>
  <r>
    <x v="0"/>
    <x v="9"/>
    <x v="12"/>
    <x v="24"/>
    <x v="8"/>
    <n v="175.7"/>
  </r>
  <r>
    <x v="0"/>
    <x v="9"/>
    <x v="12"/>
    <x v="25"/>
    <x v="5"/>
    <n v="175.5"/>
  </r>
  <r>
    <x v="0"/>
    <x v="9"/>
    <x v="12"/>
    <x v="26"/>
    <x v="10"/>
    <n v="177.1"/>
  </r>
  <r>
    <x v="1"/>
    <x v="9"/>
    <x v="12"/>
    <x v="0"/>
    <x v="0"/>
    <n v="170.2"/>
  </r>
  <r>
    <x v="1"/>
    <x v="9"/>
    <x v="12"/>
    <x v="1"/>
    <x v="0"/>
    <n v="212.9"/>
  </r>
  <r>
    <x v="1"/>
    <x v="9"/>
    <x v="12"/>
    <x v="2"/>
    <x v="0"/>
    <n v="191.9"/>
  </r>
  <r>
    <x v="1"/>
    <x v="9"/>
    <x v="12"/>
    <x v="3"/>
    <x v="0"/>
    <n v="173.9"/>
  </r>
  <r>
    <x v="1"/>
    <x v="9"/>
    <x v="12"/>
    <x v="4"/>
    <x v="0"/>
    <n v="179.1"/>
  </r>
  <r>
    <x v="1"/>
    <x v="9"/>
    <x v="12"/>
    <x v="5"/>
    <x v="0"/>
    <n v="159.5"/>
  </r>
  <r>
    <x v="1"/>
    <x v="9"/>
    <x v="12"/>
    <x v="6"/>
    <x v="0"/>
    <n v="178.7"/>
  </r>
  <r>
    <x v="1"/>
    <x v="9"/>
    <x v="12"/>
    <x v="7"/>
    <x v="0"/>
    <n v="171.3"/>
  </r>
  <r>
    <x v="1"/>
    <x v="9"/>
    <x v="12"/>
    <x v="8"/>
    <x v="0"/>
    <n v="123.1"/>
  </r>
  <r>
    <x v="1"/>
    <x v="9"/>
    <x v="12"/>
    <x v="9"/>
    <x v="0"/>
    <n v="200.5"/>
  </r>
  <r>
    <x v="1"/>
    <x v="9"/>
    <x v="12"/>
    <x v="10"/>
    <x v="0"/>
    <n v="162.80000000000001"/>
  </r>
  <r>
    <x v="1"/>
    <x v="9"/>
    <x v="12"/>
    <x v="11"/>
    <x v="0"/>
    <n v="193.3"/>
  </r>
  <r>
    <x v="1"/>
    <x v="9"/>
    <x v="12"/>
    <x v="12"/>
    <x v="0"/>
    <n v="178.6"/>
  </r>
  <r>
    <x v="1"/>
    <x v="9"/>
    <x v="12"/>
    <x v="13"/>
    <x v="1"/>
    <n v="201.1"/>
  </r>
  <r>
    <x v="1"/>
    <x v="9"/>
    <x v="12"/>
    <x v="14"/>
    <x v="2"/>
    <n v="177.7"/>
  </r>
  <r>
    <x v="1"/>
    <x v="9"/>
    <x v="12"/>
    <x v="15"/>
    <x v="2"/>
    <n v="164.5"/>
  </r>
  <r>
    <x v="1"/>
    <x v="9"/>
    <x v="12"/>
    <x v="16"/>
    <x v="2"/>
    <n v="175.7"/>
  </r>
  <r>
    <x v="1"/>
    <x v="9"/>
    <x v="12"/>
    <x v="17"/>
    <x v="3"/>
    <n v="170.7"/>
  </r>
  <r>
    <x v="1"/>
    <x v="9"/>
    <x v="12"/>
    <x v="18"/>
    <x v="4"/>
    <n v="180.6"/>
  </r>
  <r>
    <x v="1"/>
    <x v="9"/>
    <x v="12"/>
    <x v="19"/>
    <x v="5"/>
    <n v="167.3"/>
  </r>
  <r>
    <x v="1"/>
    <x v="9"/>
    <x v="12"/>
    <x v="20"/>
    <x v="6"/>
    <n v="177.2"/>
  </r>
  <r>
    <x v="1"/>
    <x v="9"/>
    <x v="12"/>
    <x v="21"/>
    <x v="7"/>
    <n v="159.4"/>
  </r>
  <r>
    <x v="1"/>
    <x v="9"/>
    <x v="12"/>
    <x v="22"/>
    <x v="8"/>
    <n v="167.1"/>
  </r>
  <r>
    <x v="1"/>
    <x v="9"/>
    <x v="12"/>
    <x v="23"/>
    <x v="9"/>
    <n v="171.8"/>
  </r>
  <r>
    <x v="1"/>
    <x v="9"/>
    <x v="12"/>
    <x v="24"/>
    <x v="8"/>
    <n v="176"/>
  </r>
  <r>
    <x v="1"/>
    <x v="9"/>
    <x v="12"/>
    <x v="25"/>
    <x v="5"/>
    <n v="168.2"/>
  </r>
  <r>
    <x v="1"/>
    <x v="9"/>
    <x v="12"/>
    <x v="26"/>
    <x v="10"/>
    <n v="174.1"/>
  </r>
  <r>
    <x v="2"/>
    <x v="9"/>
    <x v="12"/>
    <x v="0"/>
    <x v="0"/>
    <n v="169.2"/>
  </r>
  <r>
    <x v="2"/>
    <x v="9"/>
    <x v="12"/>
    <x v="1"/>
    <x v="0"/>
    <n v="209"/>
  </r>
  <r>
    <x v="2"/>
    <x v="9"/>
    <x v="12"/>
    <x v="2"/>
    <x v="0"/>
    <n v="190.2"/>
  </r>
  <r>
    <x v="2"/>
    <x v="9"/>
    <x v="12"/>
    <x v="3"/>
    <x v="0"/>
    <n v="173.6"/>
  </r>
  <r>
    <x v="2"/>
    <x v="9"/>
    <x v="12"/>
    <x v="4"/>
    <x v="0"/>
    <n v="188.5"/>
  </r>
  <r>
    <x v="2"/>
    <x v="9"/>
    <x v="12"/>
    <x v="5"/>
    <x v="0"/>
    <n v="158"/>
  </r>
  <r>
    <x v="2"/>
    <x v="9"/>
    <x v="12"/>
    <x v="6"/>
    <x v="0"/>
    <n v="159.9"/>
  </r>
  <r>
    <x v="2"/>
    <x v="9"/>
    <x v="12"/>
    <x v="7"/>
    <x v="0"/>
    <n v="170.8"/>
  </r>
  <r>
    <x v="2"/>
    <x v="9"/>
    <x v="12"/>
    <x v="8"/>
    <x v="0"/>
    <n v="121.8"/>
  </r>
  <r>
    <x v="2"/>
    <x v="9"/>
    <x v="12"/>
    <x v="9"/>
    <x v="0"/>
    <n v="205.2"/>
  </r>
  <r>
    <x v="2"/>
    <x v="9"/>
    <x v="12"/>
    <x v="10"/>
    <x v="0"/>
    <n v="171"/>
  </r>
  <r>
    <x v="2"/>
    <x v="9"/>
    <x v="12"/>
    <x v="11"/>
    <x v="0"/>
    <n v="190.3"/>
  </r>
  <r>
    <x v="2"/>
    <x v="9"/>
    <x v="12"/>
    <x v="12"/>
    <x v="0"/>
    <n v="175.9"/>
  </r>
  <r>
    <x v="2"/>
    <x v="9"/>
    <x v="12"/>
    <x v="13"/>
    <x v="1"/>
    <n v="197.3"/>
  </r>
  <r>
    <x v="2"/>
    <x v="9"/>
    <x v="12"/>
    <x v="14"/>
    <x v="2"/>
    <n v="184"/>
  </r>
  <r>
    <x v="2"/>
    <x v="9"/>
    <x v="12"/>
    <x v="15"/>
    <x v="2"/>
    <n v="177"/>
  </r>
  <r>
    <x v="2"/>
    <x v="9"/>
    <x v="12"/>
    <x v="16"/>
    <x v="2"/>
    <n v="183"/>
  </r>
  <r>
    <x v="2"/>
    <x v="9"/>
    <x v="12"/>
    <x v="17"/>
    <x v="3"/>
    <n v="170.7"/>
  </r>
  <r>
    <x v="2"/>
    <x v="9"/>
    <x v="12"/>
    <x v="18"/>
    <x v="4"/>
    <n v="182"/>
  </r>
  <r>
    <x v="2"/>
    <x v="9"/>
    <x v="12"/>
    <x v="19"/>
    <x v="5"/>
    <n v="172.1"/>
  </r>
  <r>
    <x v="2"/>
    <x v="9"/>
    <x v="12"/>
    <x v="20"/>
    <x v="6"/>
    <n v="181.1"/>
  </r>
  <r>
    <x v="2"/>
    <x v="9"/>
    <x v="12"/>
    <x v="21"/>
    <x v="7"/>
    <n v="163.4"/>
  </r>
  <r>
    <x v="2"/>
    <x v="9"/>
    <x v="12"/>
    <x v="22"/>
    <x v="8"/>
    <n v="168.9"/>
  </r>
  <r>
    <x v="2"/>
    <x v="9"/>
    <x v="12"/>
    <x v="23"/>
    <x v="9"/>
    <n v="174.1"/>
  </r>
  <r>
    <x v="2"/>
    <x v="9"/>
    <x v="12"/>
    <x v="24"/>
    <x v="8"/>
    <n v="175.8"/>
  </r>
  <r>
    <x v="2"/>
    <x v="9"/>
    <x v="12"/>
    <x v="25"/>
    <x v="5"/>
    <n v="172"/>
  </r>
  <r>
    <x v="2"/>
    <x v="9"/>
    <x v="12"/>
    <x v="26"/>
    <x v="10"/>
    <n v="175.7"/>
  </r>
  <r>
    <x v="0"/>
    <x v="10"/>
    <x v="0"/>
    <x v="0"/>
    <x v="0"/>
    <n v="174"/>
  </r>
  <r>
    <x v="0"/>
    <x v="10"/>
    <x v="0"/>
    <x v="1"/>
    <x v="0"/>
    <n v="208.3"/>
  </r>
  <r>
    <x v="0"/>
    <x v="10"/>
    <x v="0"/>
    <x v="2"/>
    <x v="0"/>
    <n v="192.9"/>
  </r>
  <r>
    <x v="0"/>
    <x v="10"/>
    <x v="0"/>
    <x v="3"/>
    <x v="0"/>
    <n v="174.3"/>
  </r>
  <r>
    <x v="0"/>
    <x v="10"/>
    <x v="0"/>
    <x v="4"/>
    <x v="0"/>
    <n v="192.6"/>
  </r>
  <r>
    <x v="0"/>
    <x v="10"/>
    <x v="0"/>
    <x v="5"/>
    <x v="0"/>
    <n v="156.30000000000001"/>
  </r>
  <r>
    <x v="0"/>
    <x v="10"/>
    <x v="0"/>
    <x v="6"/>
    <x v="0"/>
    <n v="142.9"/>
  </r>
  <r>
    <x v="0"/>
    <x v="10"/>
    <x v="0"/>
    <x v="7"/>
    <x v="0"/>
    <n v="170.7"/>
  </r>
  <r>
    <x v="0"/>
    <x v="10"/>
    <x v="0"/>
    <x v="8"/>
    <x v="0"/>
    <n v="120.3"/>
  </r>
  <r>
    <x v="0"/>
    <x v="10"/>
    <x v="0"/>
    <x v="9"/>
    <x v="0"/>
    <n v="210.5"/>
  </r>
  <r>
    <x v="0"/>
    <x v="10"/>
    <x v="0"/>
    <x v="10"/>
    <x v="0"/>
    <n v="176.9"/>
  </r>
  <r>
    <x v="0"/>
    <x v="10"/>
    <x v="0"/>
    <x v="11"/>
    <x v="0"/>
    <n v="188.5"/>
  </r>
  <r>
    <x v="0"/>
    <x v="10"/>
    <x v="0"/>
    <x v="12"/>
    <x v="0"/>
    <n v="175"/>
  </r>
  <r>
    <x v="0"/>
    <x v="10"/>
    <x v="0"/>
    <x v="13"/>
    <x v="1"/>
    <n v="196.9"/>
  </r>
  <r>
    <x v="0"/>
    <x v="10"/>
    <x v="0"/>
    <x v="14"/>
    <x v="2"/>
    <n v="189"/>
  </r>
  <r>
    <x v="0"/>
    <x v="10"/>
    <x v="0"/>
    <x v="15"/>
    <x v="2"/>
    <n v="186.3"/>
  </r>
  <r>
    <x v="0"/>
    <x v="10"/>
    <x v="0"/>
    <x v="16"/>
    <x v="2"/>
    <n v="188.6"/>
  </r>
  <r>
    <x v="0"/>
    <x v="10"/>
    <x v="0"/>
    <x v="17"/>
    <x v="3"/>
    <s v="NA"/>
  </r>
  <r>
    <x v="0"/>
    <x v="10"/>
    <x v="0"/>
    <x v="18"/>
    <x v="4"/>
    <n v="183.2"/>
  </r>
  <r>
    <x v="0"/>
    <x v="10"/>
    <x v="0"/>
    <x v="19"/>
    <x v="5"/>
    <n v="177.2"/>
  </r>
  <r>
    <x v="0"/>
    <x v="10"/>
    <x v="0"/>
    <x v="20"/>
    <x v="6"/>
    <n v="184.7"/>
  </r>
  <r>
    <x v="0"/>
    <x v="10"/>
    <x v="0"/>
    <x v="21"/>
    <x v="7"/>
    <n v="168.2"/>
  </r>
  <r>
    <x v="0"/>
    <x v="10"/>
    <x v="0"/>
    <x v="22"/>
    <x v="8"/>
    <n v="171.8"/>
  </r>
  <r>
    <x v="0"/>
    <x v="10"/>
    <x v="0"/>
    <x v="23"/>
    <x v="9"/>
    <n v="177.8"/>
  </r>
  <r>
    <x v="0"/>
    <x v="10"/>
    <x v="0"/>
    <x v="24"/>
    <x v="8"/>
    <n v="178.4"/>
  </r>
  <r>
    <x v="0"/>
    <x v="10"/>
    <x v="0"/>
    <x v="25"/>
    <x v="5"/>
    <n v="176.5"/>
  </r>
  <r>
    <x v="0"/>
    <x v="10"/>
    <x v="0"/>
    <x v="26"/>
    <x v="10"/>
    <n v="177.8"/>
  </r>
  <r>
    <x v="1"/>
    <x v="10"/>
    <x v="0"/>
    <x v="0"/>
    <x v="0"/>
    <n v="173.3"/>
  </r>
  <r>
    <x v="1"/>
    <x v="10"/>
    <x v="0"/>
    <x v="1"/>
    <x v="0"/>
    <n v="215.2"/>
  </r>
  <r>
    <x v="1"/>
    <x v="10"/>
    <x v="0"/>
    <x v="2"/>
    <x v="0"/>
    <n v="197"/>
  </r>
  <r>
    <x v="1"/>
    <x v="10"/>
    <x v="0"/>
    <x v="3"/>
    <x v="0"/>
    <n v="175.2"/>
  </r>
  <r>
    <x v="1"/>
    <x v="10"/>
    <x v="0"/>
    <x v="4"/>
    <x v="0"/>
    <n v="178"/>
  </r>
  <r>
    <x v="1"/>
    <x v="10"/>
    <x v="0"/>
    <x v="5"/>
    <x v="0"/>
    <n v="160.5"/>
  </r>
  <r>
    <x v="1"/>
    <x v="10"/>
    <x v="0"/>
    <x v="6"/>
    <x v="0"/>
    <n v="175.3"/>
  </r>
  <r>
    <x v="1"/>
    <x v="10"/>
    <x v="0"/>
    <x v="7"/>
    <x v="0"/>
    <n v="171.2"/>
  </r>
  <r>
    <x v="1"/>
    <x v="10"/>
    <x v="0"/>
    <x v="8"/>
    <x v="0"/>
    <n v="122.7"/>
  </r>
  <r>
    <x v="1"/>
    <x v="10"/>
    <x v="0"/>
    <x v="9"/>
    <x v="0"/>
    <n v="204.3"/>
  </r>
  <r>
    <x v="1"/>
    <x v="10"/>
    <x v="0"/>
    <x v="10"/>
    <x v="0"/>
    <n v="163.69999999999999"/>
  </r>
  <r>
    <x v="1"/>
    <x v="10"/>
    <x v="0"/>
    <x v="11"/>
    <x v="0"/>
    <n v="194.3"/>
  </r>
  <r>
    <x v="1"/>
    <x v="10"/>
    <x v="0"/>
    <x v="12"/>
    <x v="0"/>
    <n v="179.5"/>
  </r>
  <r>
    <x v="1"/>
    <x v="10"/>
    <x v="0"/>
    <x v="13"/>
    <x v="1"/>
    <n v="201.6"/>
  </r>
  <r>
    <x v="1"/>
    <x v="10"/>
    <x v="0"/>
    <x v="14"/>
    <x v="2"/>
    <n v="178.7"/>
  </r>
  <r>
    <x v="1"/>
    <x v="10"/>
    <x v="0"/>
    <x v="15"/>
    <x v="2"/>
    <n v="165.3"/>
  </r>
  <r>
    <x v="1"/>
    <x v="10"/>
    <x v="0"/>
    <x v="16"/>
    <x v="2"/>
    <n v="176.6"/>
  </r>
  <r>
    <x v="1"/>
    <x v="10"/>
    <x v="0"/>
    <x v="17"/>
    <x v="3"/>
    <n v="172.1"/>
  </r>
  <r>
    <x v="1"/>
    <x v="10"/>
    <x v="0"/>
    <x v="18"/>
    <x v="4"/>
    <n v="180.1"/>
  </r>
  <r>
    <x v="1"/>
    <x v="10"/>
    <x v="0"/>
    <x v="19"/>
    <x v="5"/>
    <n v="168"/>
  </r>
  <r>
    <x v="1"/>
    <x v="10"/>
    <x v="0"/>
    <x v="20"/>
    <x v="6"/>
    <n v="178.5"/>
  </r>
  <r>
    <x v="1"/>
    <x v="10"/>
    <x v="0"/>
    <x v="21"/>
    <x v="7"/>
    <n v="159.5"/>
  </r>
  <r>
    <x v="1"/>
    <x v="10"/>
    <x v="0"/>
    <x v="22"/>
    <x v="8"/>
    <n v="167.8"/>
  </r>
  <r>
    <x v="1"/>
    <x v="10"/>
    <x v="0"/>
    <x v="23"/>
    <x v="9"/>
    <n v="171.8"/>
  </r>
  <r>
    <x v="1"/>
    <x v="10"/>
    <x v="0"/>
    <x v="24"/>
    <x v="8"/>
    <n v="178.8"/>
  </r>
  <r>
    <x v="1"/>
    <x v="10"/>
    <x v="0"/>
    <x v="25"/>
    <x v="5"/>
    <n v="168.9"/>
  </r>
  <r>
    <x v="1"/>
    <x v="10"/>
    <x v="0"/>
    <x v="26"/>
    <x v="10"/>
    <n v="174.9"/>
  </r>
  <r>
    <x v="2"/>
    <x v="10"/>
    <x v="0"/>
    <x v="0"/>
    <x v="0"/>
    <n v="173.8"/>
  </r>
  <r>
    <x v="2"/>
    <x v="10"/>
    <x v="0"/>
    <x v="1"/>
    <x v="0"/>
    <n v="210.7"/>
  </r>
  <r>
    <x v="2"/>
    <x v="10"/>
    <x v="0"/>
    <x v="2"/>
    <x v="0"/>
    <n v="194.5"/>
  </r>
  <r>
    <x v="2"/>
    <x v="10"/>
    <x v="0"/>
    <x v="3"/>
    <x v="0"/>
    <n v="174.6"/>
  </r>
  <r>
    <x v="2"/>
    <x v="10"/>
    <x v="0"/>
    <x v="4"/>
    <x v="0"/>
    <n v="187.2"/>
  </r>
  <r>
    <x v="2"/>
    <x v="10"/>
    <x v="0"/>
    <x v="5"/>
    <x v="0"/>
    <n v="158.30000000000001"/>
  </r>
  <r>
    <x v="2"/>
    <x v="10"/>
    <x v="0"/>
    <x v="6"/>
    <x v="0"/>
    <n v="153.9"/>
  </r>
  <r>
    <x v="2"/>
    <x v="10"/>
    <x v="0"/>
    <x v="7"/>
    <x v="0"/>
    <n v="170.9"/>
  </r>
  <r>
    <x v="2"/>
    <x v="10"/>
    <x v="0"/>
    <x v="8"/>
    <x v="0"/>
    <n v="121.1"/>
  </r>
  <r>
    <x v="2"/>
    <x v="10"/>
    <x v="0"/>
    <x v="9"/>
    <x v="0"/>
    <n v="208.4"/>
  </r>
  <r>
    <x v="2"/>
    <x v="10"/>
    <x v="0"/>
    <x v="10"/>
    <x v="0"/>
    <n v="171.4"/>
  </r>
  <r>
    <x v="2"/>
    <x v="10"/>
    <x v="0"/>
    <x v="11"/>
    <x v="0"/>
    <n v="191.2"/>
  </r>
  <r>
    <x v="2"/>
    <x v="10"/>
    <x v="0"/>
    <x v="12"/>
    <x v="0"/>
    <n v="176.7"/>
  </r>
  <r>
    <x v="2"/>
    <x v="10"/>
    <x v="0"/>
    <x v="13"/>
    <x v="1"/>
    <n v="198.2"/>
  </r>
  <r>
    <x v="2"/>
    <x v="10"/>
    <x v="0"/>
    <x v="14"/>
    <x v="2"/>
    <n v="184.9"/>
  </r>
  <r>
    <x v="2"/>
    <x v="10"/>
    <x v="0"/>
    <x v="15"/>
    <x v="2"/>
    <n v="177.6"/>
  </r>
  <r>
    <x v="2"/>
    <x v="10"/>
    <x v="0"/>
    <x v="16"/>
    <x v="2"/>
    <n v="183.8"/>
  </r>
  <r>
    <x v="2"/>
    <x v="10"/>
    <x v="0"/>
    <x v="17"/>
    <x v="3"/>
    <n v="172.1"/>
  </r>
  <r>
    <x v="2"/>
    <x v="10"/>
    <x v="0"/>
    <x v="18"/>
    <x v="4"/>
    <n v="182"/>
  </r>
  <r>
    <x v="2"/>
    <x v="10"/>
    <x v="0"/>
    <x v="19"/>
    <x v="5"/>
    <n v="172.9"/>
  </r>
  <r>
    <x v="2"/>
    <x v="10"/>
    <x v="0"/>
    <x v="20"/>
    <x v="6"/>
    <n v="182.3"/>
  </r>
  <r>
    <x v="2"/>
    <x v="10"/>
    <x v="0"/>
    <x v="21"/>
    <x v="7"/>
    <n v="163.6"/>
  </r>
  <r>
    <x v="2"/>
    <x v="10"/>
    <x v="0"/>
    <x v="22"/>
    <x v="8"/>
    <n v="169.5"/>
  </r>
  <r>
    <x v="2"/>
    <x v="10"/>
    <x v="0"/>
    <x v="23"/>
    <x v="9"/>
    <n v="174.3"/>
  </r>
  <r>
    <x v="2"/>
    <x v="10"/>
    <x v="0"/>
    <x v="24"/>
    <x v="8"/>
    <n v="178.6"/>
  </r>
  <r>
    <x v="2"/>
    <x v="10"/>
    <x v="0"/>
    <x v="25"/>
    <x v="5"/>
    <n v="172.8"/>
  </r>
  <r>
    <x v="2"/>
    <x v="10"/>
    <x v="0"/>
    <x v="26"/>
    <x v="10"/>
    <n v="176.5"/>
  </r>
  <r>
    <x v="0"/>
    <x v="10"/>
    <x v="1"/>
    <x v="0"/>
    <x v="0"/>
    <n v="174.2"/>
  </r>
  <r>
    <x v="0"/>
    <x v="10"/>
    <x v="1"/>
    <x v="1"/>
    <x v="0"/>
    <n v="205.2"/>
  </r>
  <r>
    <x v="0"/>
    <x v="10"/>
    <x v="1"/>
    <x v="2"/>
    <x v="0"/>
    <n v="173.9"/>
  </r>
  <r>
    <x v="0"/>
    <x v="10"/>
    <x v="1"/>
    <x v="3"/>
    <x v="0"/>
    <n v="177"/>
  </r>
  <r>
    <x v="0"/>
    <x v="10"/>
    <x v="1"/>
    <x v="4"/>
    <x v="0"/>
    <n v="183.4"/>
  </r>
  <r>
    <x v="0"/>
    <x v="10"/>
    <x v="1"/>
    <x v="5"/>
    <x v="0"/>
    <n v="167.2"/>
  </r>
  <r>
    <x v="0"/>
    <x v="10"/>
    <x v="1"/>
    <x v="6"/>
    <x v="0"/>
    <n v="140.9"/>
  </r>
  <r>
    <x v="0"/>
    <x v="10"/>
    <x v="1"/>
    <x v="7"/>
    <x v="0"/>
    <n v="170.4"/>
  </r>
  <r>
    <x v="0"/>
    <x v="10"/>
    <x v="1"/>
    <x v="8"/>
    <x v="0"/>
    <n v="119.1"/>
  </r>
  <r>
    <x v="0"/>
    <x v="10"/>
    <x v="1"/>
    <x v="9"/>
    <x v="0"/>
    <n v="212.1"/>
  </r>
  <r>
    <x v="0"/>
    <x v="10"/>
    <x v="1"/>
    <x v="10"/>
    <x v="0"/>
    <n v="177.6"/>
  </r>
  <r>
    <x v="0"/>
    <x v="10"/>
    <x v="1"/>
    <x v="11"/>
    <x v="0"/>
    <n v="189.9"/>
  </r>
  <r>
    <x v="0"/>
    <x v="10"/>
    <x v="1"/>
    <x v="12"/>
    <x v="0"/>
    <n v="174.8"/>
  </r>
  <r>
    <x v="0"/>
    <x v="10"/>
    <x v="1"/>
    <x v="13"/>
    <x v="1"/>
    <n v="198.3"/>
  </r>
  <r>
    <x v="0"/>
    <x v="10"/>
    <x v="1"/>
    <x v="14"/>
    <x v="2"/>
    <n v="190"/>
  </r>
  <r>
    <x v="0"/>
    <x v="10"/>
    <x v="1"/>
    <x v="15"/>
    <x v="2"/>
    <n v="187"/>
  </r>
  <r>
    <x v="0"/>
    <x v="10"/>
    <x v="1"/>
    <x v="16"/>
    <x v="2"/>
    <n v="189.6"/>
  </r>
  <r>
    <x v="0"/>
    <x v="10"/>
    <x v="1"/>
    <x v="17"/>
    <x v="3"/>
    <s v="NA"/>
  </r>
  <r>
    <x v="0"/>
    <x v="10"/>
    <x v="1"/>
    <x v="18"/>
    <x v="4"/>
    <n v="181.6"/>
  </r>
  <r>
    <x v="0"/>
    <x v="10"/>
    <x v="1"/>
    <x v="19"/>
    <x v="5"/>
    <n v="178.6"/>
  </r>
  <r>
    <x v="0"/>
    <x v="10"/>
    <x v="1"/>
    <x v="20"/>
    <x v="6"/>
    <n v="186.6"/>
  </r>
  <r>
    <x v="0"/>
    <x v="10"/>
    <x v="1"/>
    <x v="21"/>
    <x v="7"/>
    <n v="169"/>
  </r>
  <r>
    <x v="0"/>
    <x v="10"/>
    <x v="1"/>
    <x v="22"/>
    <x v="8"/>
    <n v="172.8"/>
  </r>
  <r>
    <x v="0"/>
    <x v="10"/>
    <x v="1"/>
    <x v="23"/>
    <x v="9"/>
    <n v="178.5"/>
  </r>
  <r>
    <x v="0"/>
    <x v="10"/>
    <x v="1"/>
    <x v="24"/>
    <x v="8"/>
    <n v="180.7"/>
  </r>
  <r>
    <x v="0"/>
    <x v="10"/>
    <x v="1"/>
    <x v="25"/>
    <x v="5"/>
    <n v="177.9"/>
  </r>
  <r>
    <x v="0"/>
    <x v="10"/>
    <x v="1"/>
    <x v="26"/>
    <x v="10"/>
    <n v="178"/>
  </r>
  <r>
    <x v="1"/>
    <x v="10"/>
    <x v="1"/>
    <x v="0"/>
    <x v="0"/>
    <n v="174.7"/>
  </r>
  <r>
    <x v="1"/>
    <x v="10"/>
    <x v="1"/>
    <x v="1"/>
    <x v="0"/>
    <n v="212.2"/>
  </r>
  <r>
    <x v="1"/>
    <x v="10"/>
    <x v="1"/>
    <x v="2"/>
    <x v="0"/>
    <n v="177.2"/>
  </r>
  <r>
    <x v="1"/>
    <x v="10"/>
    <x v="1"/>
    <x v="3"/>
    <x v="0"/>
    <n v="177.9"/>
  </r>
  <r>
    <x v="1"/>
    <x v="10"/>
    <x v="1"/>
    <x v="4"/>
    <x v="0"/>
    <n v="172.2"/>
  </r>
  <r>
    <x v="1"/>
    <x v="10"/>
    <x v="1"/>
    <x v="5"/>
    <x v="0"/>
    <n v="172.1"/>
  </r>
  <r>
    <x v="1"/>
    <x v="10"/>
    <x v="1"/>
    <x v="6"/>
    <x v="0"/>
    <n v="175.8"/>
  </r>
  <r>
    <x v="1"/>
    <x v="10"/>
    <x v="1"/>
    <x v="7"/>
    <x v="0"/>
    <n v="172.2"/>
  </r>
  <r>
    <x v="1"/>
    <x v="10"/>
    <x v="1"/>
    <x v="8"/>
    <x v="0"/>
    <n v="121.9"/>
  </r>
  <r>
    <x v="1"/>
    <x v="10"/>
    <x v="1"/>
    <x v="9"/>
    <x v="0"/>
    <n v="204.8"/>
  </r>
  <r>
    <x v="1"/>
    <x v="10"/>
    <x v="1"/>
    <x v="10"/>
    <x v="0"/>
    <n v="164.9"/>
  </r>
  <r>
    <x v="1"/>
    <x v="10"/>
    <x v="1"/>
    <x v="11"/>
    <x v="0"/>
    <n v="196.6"/>
  </r>
  <r>
    <x v="1"/>
    <x v="10"/>
    <x v="1"/>
    <x v="12"/>
    <x v="0"/>
    <n v="180.7"/>
  </r>
  <r>
    <x v="1"/>
    <x v="10"/>
    <x v="1"/>
    <x v="13"/>
    <x v="1"/>
    <n v="202.7"/>
  </r>
  <r>
    <x v="1"/>
    <x v="10"/>
    <x v="1"/>
    <x v="14"/>
    <x v="2"/>
    <n v="180.3"/>
  </r>
  <r>
    <x v="1"/>
    <x v="10"/>
    <x v="1"/>
    <x v="15"/>
    <x v="2"/>
    <n v="167"/>
  </r>
  <r>
    <x v="1"/>
    <x v="10"/>
    <x v="1"/>
    <x v="16"/>
    <x v="2"/>
    <n v="178.2"/>
  </r>
  <r>
    <x v="1"/>
    <x v="10"/>
    <x v="1"/>
    <x v="17"/>
    <x v="3"/>
    <n v="173.5"/>
  </r>
  <r>
    <x v="1"/>
    <x v="10"/>
    <x v="1"/>
    <x v="18"/>
    <x v="4"/>
    <n v="182.8"/>
  </r>
  <r>
    <x v="1"/>
    <x v="10"/>
    <x v="1"/>
    <x v="19"/>
    <x v="5"/>
    <n v="169.2"/>
  </r>
  <r>
    <x v="1"/>
    <x v="10"/>
    <x v="1"/>
    <x v="20"/>
    <x v="6"/>
    <n v="180.8"/>
  </r>
  <r>
    <x v="1"/>
    <x v="10"/>
    <x v="1"/>
    <x v="21"/>
    <x v="7"/>
    <n v="159.80000000000001"/>
  </r>
  <r>
    <x v="1"/>
    <x v="10"/>
    <x v="1"/>
    <x v="22"/>
    <x v="8"/>
    <n v="168.4"/>
  </r>
  <r>
    <x v="1"/>
    <x v="10"/>
    <x v="1"/>
    <x v="23"/>
    <x v="9"/>
    <n v="172.5"/>
  </r>
  <r>
    <x v="1"/>
    <x v="10"/>
    <x v="1"/>
    <x v="24"/>
    <x v="8"/>
    <n v="181.4"/>
  </r>
  <r>
    <x v="1"/>
    <x v="10"/>
    <x v="1"/>
    <x v="25"/>
    <x v="5"/>
    <n v="170"/>
  </r>
  <r>
    <x v="1"/>
    <x v="10"/>
    <x v="1"/>
    <x v="26"/>
    <x v="10"/>
    <n v="176.3"/>
  </r>
  <r>
    <x v="2"/>
    <x v="10"/>
    <x v="1"/>
    <x v="0"/>
    <x v="0"/>
    <n v="174.4"/>
  </r>
  <r>
    <x v="2"/>
    <x v="10"/>
    <x v="1"/>
    <x v="1"/>
    <x v="0"/>
    <n v="207.7"/>
  </r>
  <r>
    <x v="2"/>
    <x v="10"/>
    <x v="1"/>
    <x v="2"/>
    <x v="0"/>
    <n v="175.2"/>
  </r>
  <r>
    <x v="2"/>
    <x v="10"/>
    <x v="1"/>
    <x v="3"/>
    <x v="0"/>
    <n v="177.3"/>
  </r>
  <r>
    <x v="2"/>
    <x v="10"/>
    <x v="1"/>
    <x v="4"/>
    <x v="0"/>
    <n v="179.3"/>
  </r>
  <r>
    <x v="2"/>
    <x v="10"/>
    <x v="1"/>
    <x v="5"/>
    <x v="0"/>
    <n v="169.5"/>
  </r>
  <r>
    <x v="2"/>
    <x v="10"/>
    <x v="1"/>
    <x v="6"/>
    <x v="0"/>
    <n v="152.69999999999999"/>
  </r>
  <r>
    <x v="2"/>
    <x v="10"/>
    <x v="1"/>
    <x v="7"/>
    <x v="0"/>
    <n v="171"/>
  </r>
  <r>
    <x v="2"/>
    <x v="10"/>
    <x v="1"/>
    <x v="8"/>
    <x v="0"/>
    <n v="120"/>
  </r>
  <r>
    <x v="2"/>
    <x v="10"/>
    <x v="1"/>
    <x v="9"/>
    <x v="0"/>
    <n v="209.7"/>
  </r>
  <r>
    <x v="2"/>
    <x v="10"/>
    <x v="1"/>
    <x v="10"/>
    <x v="0"/>
    <n v="172.3"/>
  </r>
  <r>
    <x v="2"/>
    <x v="10"/>
    <x v="1"/>
    <x v="11"/>
    <x v="0"/>
    <n v="193"/>
  </r>
  <r>
    <x v="2"/>
    <x v="10"/>
    <x v="1"/>
    <x v="12"/>
    <x v="0"/>
    <n v="177"/>
  </r>
  <r>
    <x v="2"/>
    <x v="10"/>
    <x v="1"/>
    <x v="13"/>
    <x v="1"/>
    <n v="199.5"/>
  </r>
  <r>
    <x v="2"/>
    <x v="10"/>
    <x v="1"/>
    <x v="14"/>
    <x v="2"/>
    <n v="186.2"/>
  </r>
  <r>
    <x v="2"/>
    <x v="10"/>
    <x v="1"/>
    <x v="15"/>
    <x v="2"/>
    <n v="178.7"/>
  </r>
  <r>
    <x v="2"/>
    <x v="10"/>
    <x v="1"/>
    <x v="16"/>
    <x v="2"/>
    <n v="185.1"/>
  </r>
  <r>
    <x v="2"/>
    <x v="10"/>
    <x v="1"/>
    <x v="17"/>
    <x v="3"/>
    <n v="173.5"/>
  </r>
  <r>
    <x v="2"/>
    <x v="10"/>
    <x v="1"/>
    <x v="18"/>
    <x v="4"/>
    <n v="182.1"/>
  </r>
  <r>
    <x v="2"/>
    <x v="10"/>
    <x v="1"/>
    <x v="19"/>
    <x v="5"/>
    <n v="174.2"/>
  </r>
  <r>
    <x v="2"/>
    <x v="10"/>
    <x v="1"/>
    <x v="20"/>
    <x v="6"/>
    <n v="184.4"/>
  </r>
  <r>
    <x v="2"/>
    <x v="10"/>
    <x v="1"/>
    <x v="21"/>
    <x v="7"/>
    <n v="164.2"/>
  </r>
  <r>
    <x v="2"/>
    <x v="10"/>
    <x v="1"/>
    <x v="22"/>
    <x v="8"/>
    <n v="170.3"/>
  </r>
  <r>
    <x v="2"/>
    <x v="10"/>
    <x v="1"/>
    <x v="23"/>
    <x v="9"/>
    <n v="175"/>
  </r>
  <r>
    <x v="2"/>
    <x v="10"/>
    <x v="1"/>
    <x v="24"/>
    <x v="8"/>
    <n v="181"/>
  </r>
  <r>
    <x v="2"/>
    <x v="10"/>
    <x v="1"/>
    <x v="25"/>
    <x v="5"/>
    <n v="174.1"/>
  </r>
  <r>
    <x v="2"/>
    <x v="10"/>
    <x v="1"/>
    <x v="26"/>
    <x v="10"/>
    <n v="177.2"/>
  </r>
  <r>
    <x v="0"/>
    <x v="10"/>
    <x v="2"/>
    <x v="0"/>
    <x v="0"/>
    <n v="174.3"/>
  </r>
  <r>
    <x v="0"/>
    <x v="10"/>
    <x v="2"/>
    <x v="1"/>
    <x v="0"/>
    <n v="205.2"/>
  </r>
  <r>
    <x v="0"/>
    <x v="10"/>
    <x v="2"/>
    <x v="2"/>
    <x v="0"/>
    <n v="173.9"/>
  </r>
  <r>
    <x v="0"/>
    <x v="10"/>
    <x v="2"/>
    <x v="3"/>
    <x v="0"/>
    <n v="177"/>
  </r>
  <r>
    <x v="0"/>
    <x v="10"/>
    <x v="2"/>
    <x v="4"/>
    <x v="0"/>
    <n v="183.3"/>
  </r>
  <r>
    <x v="0"/>
    <x v="10"/>
    <x v="2"/>
    <x v="5"/>
    <x v="0"/>
    <n v="167.2"/>
  </r>
  <r>
    <x v="0"/>
    <x v="10"/>
    <x v="2"/>
    <x v="6"/>
    <x v="0"/>
    <n v="140.9"/>
  </r>
  <r>
    <x v="0"/>
    <x v="10"/>
    <x v="2"/>
    <x v="7"/>
    <x v="0"/>
    <n v="170.5"/>
  </r>
  <r>
    <x v="0"/>
    <x v="10"/>
    <x v="2"/>
    <x v="8"/>
    <x v="0"/>
    <n v="119.1"/>
  </r>
  <r>
    <x v="0"/>
    <x v="10"/>
    <x v="2"/>
    <x v="9"/>
    <x v="0"/>
    <n v="212.1"/>
  </r>
  <r>
    <x v="0"/>
    <x v="10"/>
    <x v="2"/>
    <x v="10"/>
    <x v="0"/>
    <n v="177.6"/>
  </r>
  <r>
    <x v="0"/>
    <x v="10"/>
    <x v="2"/>
    <x v="11"/>
    <x v="0"/>
    <n v="189.9"/>
  </r>
  <r>
    <x v="0"/>
    <x v="10"/>
    <x v="2"/>
    <x v="12"/>
    <x v="0"/>
    <n v="174.8"/>
  </r>
  <r>
    <x v="0"/>
    <x v="10"/>
    <x v="2"/>
    <x v="13"/>
    <x v="1"/>
    <n v="198.4"/>
  </r>
  <r>
    <x v="0"/>
    <x v="10"/>
    <x v="2"/>
    <x v="14"/>
    <x v="2"/>
    <n v="190"/>
  </r>
  <r>
    <x v="0"/>
    <x v="10"/>
    <x v="2"/>
    <x v="15"/>
    <x v="2"/>
    <n v="187"/>
  </r>
  <r>
    <x v="0"/>
    <x v="10"/>
    <x v="2"/>
    <x v="16"/>
    <x v="2"/>
    <n v="189.6"/>
  </r>
  <r>
    <x v="0"/>
    <x v="10"/>
    <x v="2"/>
    <x v="17"/>
    <x v="3"/>
    <s v="NA"/>
  </r>
  <r>
    <x v="0"/>
    <x v="10"/>
    <x v="2"/>
    <x v="18"/>
    <x v="4"/>
    <n v="181.4"/>
  </r>
  <r>
    <x v="0"/>
    <x v="10"/>
    <x v="2"/>
    <x v="19"/>
    <x v="5"/>
    <n v="178.6"/>
  </r>
  <r>
    <x v="0"/>
    <x v="10"/>
    <x v="2"/>
    <x v="20"/>
    <x v="6"/>
    <n v="186.6"/>
  </r>
  <r>
    <x v="0"/>
    <x v="10"/>
    <x v="2"/>
    <x v="21"/>
    <x v="7"/>
    <n v="169"/>
  </r>
  <r>
    <x v="0"/>
    <x v="10"/>
    <x v="2"/>
    <x v="22"/>
    <x v="8"/>
    <n v="172.8"/>
  </r>
  <r>
    <x v="0"/>
    <x v="10"/>
    <x v="2"/>
    <x v="23"/>
    <x v="9"/>
    <n v="178.5"/>
  </r>
  <r>
    <x v="0"/>
    <x v="10"/>
    <x v="2"/>
    <x v="24"/>
    <x v="8"/>
    <n v="180.7"/>
  </r>
  <r>
    <x v="0"/>
    <x v="10"/>
    <x v="2"/>
    <x v="25"/>
    <x v="5"/>
    <n v="177.9"/>
  </r>
  <r>
    <x v="0"/>
    <x v="10"/>
    <x v="2"/>
    <x v="26"/>
    <x v="10"/>
    <n v="178"/>
  </r>
  <r>
    <x v="1"/>
    <x v="10"/>
    <x v="2"/>
    <x v="0"/>
    <x v="0"/>
    <n v="174.7"/>
  </r>
  <r>
    <x v="1"/>
    <x v="10"/>
    <x v="2"/>
    <x v="1"/>
    <x v="0"/>
    <n v="212.2"/>
  </r>
  <r>
    <x v="1"/>
    <x v="10"/>
    <x v="2"/>
    <x v="2"/>
    <x v="0"/>
    <n v="177.2"/>
  </r>
  <r>
    <x v="1"/>
    <x v="10"/>
    <x v="2"/>
    <x v="3"/>
    <x v="0"/>
    <n v="177.9"/>
  </r>
  <r>
    <x v="1"/>
    <x v="10"/>
    <x v="2"/>
    <x v="4"/>
    <x v="0"/>
    <n v="172.2"/>
  </r>
  <r>
    <x v="1"/>
    <x v="10"/>
    <x v="2"/>
    <x v="5"/>
    <x v="0"/>
    <n v="172.1"/>
  </r>
  <r>
    <x v="1"/>
    <x v="10"/>
    <x v="2"/>
    <x v="6"/>
    <x v="0"/>
    <n v="175.9"/>
  </r>
  <r>
    <x v="1"/>
    <x v="10"/>
    <x v="2"/>
    <x v="7"/>
    <x v="0"/>
    <n v="172.2"/>
  </r>
  <r>
    <x v="1"/>
    <x v="10"/>
    <x v="2"/>
    <x v="8"/>
    <x v="0"/>
    <n v="121.9"/>
  </r>
  <r>
    <x v="1"/>
    <x v="10"/>
    <x v="2"/>
    <x v="9"/>
    <x v="0"/>
    <n v="204.8"/>
  </r>
  <r>
    <x v="1"/>
    <x v="10"/>
    <x v="2"/>
    <x v="10"/>
    <x v="0"/>
    <n v="164.9"/>
  </r>
  <r>
    <x v="1"/>
    <x v="10"/>
    <x v="2"/>
    <x v="11"/>
    <x v="0"/>
    <n v="196.6"/>
  </r>
  <r>
    <x v="1"/>
    <x v="10"/>
    <x v="2"/>
    <x v="12"/>
    <x v="0"/>
    <n v="180.8"/>
  </r>
  <r>
    <x v="1"/>
    <x v="10"/>
    <x v="2"/>
    <x v="13"/>
    <x v="1"/>
    <n v="202.7"/>
  </r>
  <r>
    <x v="1"/>
    <x v="10"/>
    <x v="2"/>
    <x v="14"/>
    <x v="2"/>
    <n v="180.2"/>
  </r>
  <r>
    <x v="1"/>
    <x v="10"/>
    <x v="2"/>
    <x v="15"/>
    <x v="2"/>
    <n v="167"/>
  </r>
  <r>
    <x v="1"/>
    <x v="10"/>
    <x v="2"/>
    <x v="16"/>
    <x v="2"/>
    <n v="178.2"/>
  </r>
  <r>
    <x v="1"/>
    <x v="10"/>
    <x v="2"/>
    <x v="17"/>
    <x v="3"/>
    <n v="173.5"/>
  </r>
  <r>
    <x v="1"/>
    <x v="10"/>
    <x v="2"/>
    <x v="18"/>
    <x v="4"/>
    <n v="182.6"/>
  </r>
  <r>
    <x v="1"/>
    <x v="10"/>
    <x v="2"/>
    <x v="19"/>
    <x v="5"/>
    <n v="169.2"/>
  </r>
  <r>
    <x v="1"/>
    <x v="10"/>
    <x v="2"/>
    <x v="20"/>
    <x v="6"/>
    <n v="180.8"/>
  </r>
  <r>
    <x v="1"/>
    <x v="10"/>
    <x v="2"/>
    <x v="21"/>
    <x v="7"/>
    <n v="159.80000000000001"/>
  </r>
  <r>
    <x v="1"/>
    <x v="10"/>
    <x v="2"/>
    <x v="22"/>
    <x v="8"/>
    <n v="168.4"/>
  </r>
  <r>
    <x v="1"/>
    <x v="10"/>
    <x v="2"/>
    <x v="23"/>
    <x v="9"/>
    <n v="172.5"/>
  </r>
  <r>
    <x v="1"/>
    <x v="10"/>
    <x v="2"/>
    <x v="24"/>
    <x v="8"/>
    <n v="181.5"/>
  </r>
  <r>
    <x v="1"/>
    <x v="10"/>
    <x v="2"/>
    <x v="25"/>
    <x v="5"/>
    <n v="170"/>
  </r>
  <r>
    <x v="1"/>
    <x v="10"/>
    <x v="2"/>
    <x v="26"/>
    <x v="10"/>
    <n v="176.3"/>
  </r>
  <r>
    <x v="2"/>
    <x v="10"/>
    <x v="2"/>
    <x v="0"/>
    <x v="0"/>
    <n v="174.4"/>
  </r>
  <r>
    <x v="2"/>
    <x v="10"/>
    <x v="2"/>
    <x v="1"/>
    <x v="0"/>
    <n v="207.7"/>
  </r>
  <r>
    <x v="2"/>
    <x v="10"/>
    <x v="2"/>
    <x v="2"/>
    <x v="0"/>
    <n v="175.2"/>
  </r>
  <r>
    <x v="2"/>
    <x v="10"/>
    <x v="2"/>
    <x v="3"/>
    <x v="0"/>
    <n v="177.3"/>
  </r>
  <r>
    <x v="2"/>
    <x v="10"/>
    <x v="2"/>
    <x v="4"/>
    <x v="0"/>
    <n v="179.2"/>
  </r>
  <r>
    <x v="2"/>
    <x v="10"/>
    <x v="2"/>
    <x v="5"/>
    <x v="0"/>
    <n v="169.5"/>
  </r>
  <r>
    <x v="2"/>
    <x v="10"/>
    <x v="2"/>
    <x v="6"/>
    <x v="0"/>
    <n v="152.80000000000001"/>
  </r>
  <r>
    <x v="2"/>
    <x v="10"/>
    <x v="2"/>
    <x v="7"/>
    <x v="0"/>
    <n v="171.1"/>
  </r>
  <r>
    <x v="2"/>
    <x v="10"/>
    <x v="2"/>
    <x v="8"/>
    <x v="0"/>
    <n v="120"/>
  </r>
  <r>
    <x v="2"/>
    <x v="10"/>
    <x v="2"/>
    <x v="9"/>
    <x v="0"/>
    <n v="209.7"/>
  </r>
  <r>
    <x v="2"/>
    <x v="10"/>
    <x v="2"/>
    <x v="10"/>
    <x v="0"/>
    <n v="172.3"/>
  </r>
  <r>
    <x v="2"/>
    <x v="10"/>
    <x v="2"/>
    <x v="11"/>
    <x v="0"/>
    <n v="193"/>
  </r>
  <r>
    <x v="2"/>
    <x v="10"/>
    <x v="2"/>
    <x v="12"/>
    <x v="0"/>
    <n v="177"/>
  </r>
  <r>
    <x v="2"/>
    <x v="10"/>
    <x v="2"/>
    <x v="13"/>
    <x v="1"/>
    <n v="199.5"/>
  </r>
  <r>
    <x v="2"/>
    <x v="10"/>
    <x v="2"/>
    <x v="14"/>
    <x v="2"/>
    <n v="186.1"/>
  </r>
  <r>
    <x v="2"/>
    <x v="10"/>
    <x v="2"/>
    <x v="15"/>
    <x v="2"/>
    <n v="178.7"/>
  </r>
  <r>
    <x v="2"/>
    <x v="10"/>
    <x v="2"/>
    <x v="16"/>
    <x v="2"/>
    <n v="185.1"/>
  </r>
  <r>
    <x v="2"/>
    <x v="10"/>
    <x v="2"/>
    <x v="17"/>
    <x v="3"/>
    <n v="173.5"/>
  </r>
  <r>
    <x v="2"/>
    <x v="10"/>
    <x v="2"/>
    <x v="18"/>
    <x v="4"/>
    <n v="181.9"/>
  </r>
  <r>
    <x v="2"/>
    <x v="10"/>
    <x v="2"/>
    <x v="19"/>
    <x v="5"/>
    <n v="174.2"/>
  </r>
  <r>
    <x v="2"/>
    <x v="10"/>
    <x v="2"/>
    <x v="20"/>
    <x v="6"/>
    <n v="184.4"/>
  </r>
  <r>
    <x v="2"/>
    <x v="10"/>
    <x v="2"/>
    <x v="21"/>
    <x v="7"/>
    <n v="164.2"/>
  </r>
  <r>
    <x v="2"/>
    <x v="10"/>
    <x v="2"/>
    <x v="22"/>
    <x v="8"/>
    <n v="170.3"/>
  </r>
  <r>
    <x v="2"/>
    <x v="10"/>
    <x v="2"/>
    <x v="23"/>
    <x v="9"/>
    <n v="175"/>
  </r>
  <r>
    <x v="2"/>
    <x v="10"/>
    <x v="2"/>
    <x v="24"/>
    <x v="8"/>
    <n v="181"/>
  </r>
  <r>
    <x v="2"/>
    <x v="10"/>
    <x v="2"/>
    <x v="25"/>
    <x v="5"/>
    <n v="174.1"/>
  </r>
  <r>
    <x v="2"/>
    <x v="10"/>
    <x v="2"/>
    <x v="26"/>
    <x v="10"/>
    <n v="177.2"/>
  </r>
  <r>
    <x v="0"/>
    <x v="10"/>
    <x v="3"/>
    <x v="0"/>
    <x v="0"/>
    <n v="173.3"/>
  </r>
  <r>
    <x v="0"/>
    <x v="10"/>
    <x v="3"/>
    <x v="1"/>
    <x v="0"/>
    <n v="206.9"/>
  </r>
  <r>
    <x v="0"/>
    <x v="10"/>
    <x v="3"/>
    <x v="2"/>
    <x v="0"/>
    <n v="167.9"/>
  </r>
  <r>
    <x v="0"/>
    <x v="10"/>
    <x v="3"/>
    <x v="3"/>
    <x v="0"/>
    <n v="178.2"/>
  </r>
  <r>
    <x v="0"/>
    <x v="10"/>
    <x v="3"/>
    <x v="4"/>
    <x v="0"/>
    <n v="178.5"/>
  </r>
  <r>
    <x v="0"/>
    <x v="10"/>
    <x v="3"/>
    <x v="5"/>
    <x v="0"/>
    <n v="173.7"/>
  </r>
  <r>
    <x v="0"/>
    <x v="10"/>
    <x v="3"/>
    <x v="6"/>
    <x v="0"/>
    <n v="142.80000000000001"/>
  </r>
  <r>
    <x v="0"/>
    <x v="10"/>
    <x v="3"/>
    <x v="7"/>
    <x v="0"/>
    <n v="172.8"/>
  </r>
  <r>
    <x v="0"/>
    <x v="10"/>
    <x v="3"/>
    <x v="8"/>
    <x v="0"/>
    <n v="120.4"/>
  </r>
  <r>
    <x v="0"/>
    <x v="10"/>
    <x v="3"/>
    <x v="9"/>
    <x v="0"/>
    <n v="215.5"/>
  </r>
  <r>
    <x v="0"/>
    <x v="10"/>
    <x v="3"/>
    <x v="10"/>
    <x v="0"/>
    <n v="178.2"/>
  </r>
  <r>
    <x v="0"/>
    <x v="10"/>
    <x v="3"/>
    <x v="11"/>
    <x v="0"/>
    <n v="190.5"/>
  </r>
  <r>
    <x v="0"/>
    <x v="10"/>
    <x v="3"/>
    <x v="12"/>
    <x v="0"/>
    <n v="175.5"/>
  </r>
  <r>
    <x v="0"/>
    <x v="10"/>
    <x v="3"/>
    <x v="13"/>
    <x v="1"/>
    <n v="199.5"/>
  </r>
  <r>
    <x v="0"/>
    <x v="10"/>
    <x v="3"/>
    <x v="14"/>
    <x v="2"/>
    <n v="190.7"/>
  </r>
  <r>
    <x v="0"/>
    <x v="10"/>
    <x v="3"/>
    <x v="15"/>
    <x v="2"/>
    <n v="187.3"/>
  </r>
  <r>
    <x v="0"/>
    <x v="10"/>
    <x v="3"/>
    <x v="16"/>
    <x v="2"/>
    <n v="190.2"/>
  </r>
  <r>
    <x v="0"/>
    <x v="10"/>
    <x v="3"/>
    <x v="17"/>
    <x v="3"/>
    <s v="-"/>
  </r>
  <r>
    <x v="0"/>
    <x v="10"/>
    <x v="3"/>
    <x v="18"/>
    <x v="4"/>
    <n v="181.5"/>
  </r>
  <r>
    <x v="0"/>
    <x v="10"/>
    <x v="3"/>
    <x v="19"/>
    <x v="5"/>
    <n v="179.1"/>
  </r>
  <r>
    <x v="0"/>
    <x v="10"/>
    <x v="3"/>
    <x v="20"/>
    <x v="6"/>
    <n v="187.2"/>
  </r>
  <r>
    <x v="0"/>
    <x v="10"/>
    <x v="3"/>
    <x v="21"/>
    <x v="7"/>
    <n v="169.4"/>
  </r>
  <r>
    <x v="0"/>
    <x v="10"/>
    <x v="3"/>
    <x v="22"/>
    <x v="8"/>
    <n v="173.2"/>
  </r>
  <r>
    <x v="0"/>
    <x v="10"/>
    <x v="3"/>
    <x v="23"/>
    <x v="9"/>
    <n v="179.4"/>
  </r>
  <r>
    <x v="0"/>
    <x v="10"/>
    <x v="3"/>
    <x v="24"/>
    <x v="8"/>
    <n v="183.8"/>
  </r>
  <r>
    <x v="0"/>
    <x v="10"/>
    <x v="3"/>
    <x v="25"/>
    <x v="5"/>
    <n v="178.9"/>
  </r>
  <r>
    <x v="0"/>
    <x v="10"/>
    <x v="3"/>
    <x v="26"/>
    <x v="10"/>
    <n v="178.8"/>
  </r>
  <r>
    <x v="1"/>
    <x v="10"/>
    <x v="3"/>
    <x v="0"/>
    <x v="0"/>
    <n v="174.8"/>
  </r>
  <r>
    <x v="1"/>
    <x v="10"/>
    <x v="3"/>
    <x v="1"/>
    <x v="0"/>
    <n v="213.7"/>
  </r>
  <r>
    <x v="1"/>
    <x v="10"/>
    <x v="3"/>
    <x v="2"/>
    <x v="0"/>
    <n v="172.4"/>
  </r>
  <r>
    <x v="1"/>
    <x v="10"/>
    <x v="3"/>
    <x v="3"/>
    <x v="0"/>
    <n v="178.8"/>
  </r>
  <r>
    <x v="1"/>
    <x v="10"/>
    <x v="3"/>
    <x v="4"/>
    <x v="0"/>
    <n v="168.7"/>
  </r>
  <r>
    <x v="1"/>
    <x v="10"/>
    <x v="3"/>
    <x v="5"/>
    <x v="0"/>
    <n v="179.2"/>
  </r>
  <r>
    <x v="1"/>
    <x v="10"/>
    <x v="3"/>
    <x v="6"/>
    <x v="0"/>
    <n v="179.9"/>
  </r>
  <r>
    <x v="1"/>
    <x v="10"/>
    <x v="3"/>
    <x v="7"/>
    <x v="0"/>
    <n v="174.7"/>
  </r>
  <r>
    <x v="1"/>
    <x v="10"/>
    <x v="3"/>
    <x v="8"/>
    <x v="0"/>
    <n v="123.1"/>
  </r>
  <r>
    <x v="1"/>
    <x v="10"/>
    <x v="3"/>
    <x v="9"/>
    <x v="0"/>
    <n v="207.8"/>
  </r>
  <r>
    <x v="1"/>
    <x v="10"/>
    <x v="3"/>
    <x v="10"/>
    <x v="0"/>
    <n v="165.5"/>
  </r>
  <r>
    <x v="1"/>
    <x v="10"/>
    <x v="3"/>
    <x v="11"/>
    <x v="0"/>
    <n v="197"/>
  </r>
  <r>
    <x v="1"/>
    <x v="10"/>
    <x v="3"/>
    <x v="12"/>
    <x v="0"/>
    <n v="182.1"/>
  </r>
  <r>
    <x v="1"/>
    <x v="10"/>
    <x v="3"/>
    <x v="13"/>
    <x v="1"/>
    <n v="203.5"/>
  </r>
  <r>
    <x v="1"/>
    <x v="10"/>
    <x v="3"/>
    <x v="14"/>
    <x v="2"/>
    <n v="181"/>
  </r>
  <r>
    <x v="1"/>
    <x v="10"/>
    <x v="3"/>
    <x v="15"/>
    <x v="2"/>
    <n v="167.7"/>
  </r>
  <r>
    <x v="1"/>
    <x v="10"/>
    <x v="3"/>
    <x v="16"/>
    <x v="2"/>
    <n v="178.9"/>
  </r>
  <r>
    <x v="1"/>
    <x v="10"/>
    <x v="3"/>
    <x v="17"/>
    <x v="3"/>
    <n v="175.2"/>
  </r>
  <r>
    <x v="1"/>
    <x v="10"/>
    <x v="3"/>
    <x v="18"/>
    <x v="4"/>
    <n v="182.1"/>
  </r>
  <r>
    <x v="1"/>
    <x v="10"/>
    <x v="3"/>
    <x v="19"/>
    <x v="5"/>
    <n v="169.6"/>
  </r>
  <r>
    <x v="1"/>
    <x v="10"/>
    <x v="3"/>
    <x v="20"/>
    <x v="6"/>
    <n v="181.5"/>
  </r>
  <r>
    <x v="1"/>
    <x v="10"/>
    <x v="3"/>
    <x v="21"/>
    <x v="7"/>
    <n v="160.1"/>
  </r>
  <r>
    <x v="1"/>
    <x v="10"/>
    <x v="3"/>
    <x v="22"/>
    <x v="8"/>
    <n v="168.8"/>
  </r>
  <r>
    <x v="1"/>
    <x v="10"/>
    <x v="3"/>
    <x v="23"/>
    <x v="9"/>
    <n v="174.2"/>
  </r>
  <r>
    <x v="1"/>
    <x v="10"/>
    <x v="3"/>
    <x v="24"/>
    <x v="8"/>
    <n v="184.4"/>
  </r>
  <r>
    <x v="1"/>
    <x v="10"/>
    <x v="3"/>
    <x v="25"/>
    <x v="5"/>
    <n v="170.9"/>
  </r>
  <r>
    <x v="1"/>
    <x v="10"/>
    <x v="3"/>
    <x v="26"/>
    <x v="10"/>
    <n v="177.4"/>
  </r>
  <r>
    <x v="2"/>
    <x v="10"/>
    <x v="3"/>
    <x v="0"/>
    <x v="0"/>
    <n v="173.8"/>
  </r>
  <r>
    <x v="2"/>
    <x v="10"/>
    <x v="3"/>
    <x v="1"/>
    <x v="0"/>
    <n v="209.3"/>
  </r>
  <r>
    <x v="2"/>
    <x v="10"/>
    <x v="3"/>
    <x v="2"/>
    <x v="0"/>
    <n v="169.6"/>
  </r>
  <r>
    <x v="2"/>
    <x v="10"/>
    <x v="3"/>
    <x v="3"/>
    <x v="0"/>
    <n v="178.4"/>
  </r>
  <r>
    <x v="2"/>
    <x v="10"/>
    <x v="3"/>
    <x v="4"/>
    <x v="0"/>
    <n v="174.9"/>
  </r>
  <r>
    <x v="2"/>
    <x v="10"/>
    <x v="3"/>
    <x v="5"/>
    <x v="0"/>
    <n v="176.3"/>
  </r>
  <r>
    <x v="2"/>
    <x v="10"/>
    <x v="3"/>
    <x v="6"/>
    <x v="0"/>
    <n v="155.4"/>
  </r>
  <r>
    <x v="2"/>
    <x v="10"/>
    <x v="3"/>
    <x v="7"/>
    <x v="0"/>
    <n v="173.4"/>
  </r>
  <r>
    <x v="2"/>
    <x v="10"/>
    <x v="3"/>
    <x v="8"/>
    <x v="0"/>
    <n v="121.3"/>
  </r>
  <r>
    <x v="2"/>
    <x v="10"/>
    <x v="3"/>
    <x v="9"/>
    <x v="0"/>
    <n v="212.9"/>
  </r>
  <r>
    <x v="2"/>
    <x v="10"/>
    <x v="3"/>
    <x v="10"/>
    <x v="0"/>
    <n v="172.9"/>
  </r>
  <r>
    <x v="2"/>
    <x v="10"/>
    <x v="3"/>
    <x v="11"/>
    <x v="0"/>
    <n v="193.5"/>
  </r>
  <r>
    <x v="2"/>
    <x v="10"/>
    <x v="3"/>
    <x v="12"/>
    <x v="0"/>
    <n v="177.9"/>
  </r>
  <r>
    <x v="2"/>
    <x v="10"/>
    <x v="3"/>
    <x v="13"/>
    <x v="1"/>
    <n v="200.6"/>
  </r>
  <r>
    <x v="2"/>
    <x v="10"/>
    <x v="3"/>
    <x v="14"/>
    <x v="2"/>
    <n v="186.9"/>
  </r>
  <r>
    <x v="2"/>
    <x v="10"/>
    <x v="3"/>
    <x v="15"/>
    <x v="2"/>
    <n v="179.2"/>
  </r>
  <r>
    <x v="2"/>
    <x v="10"/>
    <x v="3"/>
    <x v="16"/>
    <x v="2"/>
    <n v="185.7"/>
  </r>
  <r>
    <x v="2"/>
    <x v="10"/>
    <x v="3"/>
    <x v="17"/>
    <x v="3"/>
    <n v="175.2"/>
  </r>
  <r>
    <x v="2"/>
    <x v="10"/>
    <x v="3"/>
    <x v="18"/>
    <x v="4"/>
    <n v="181.7"/>
  </r>
  <r>
    <x v="2"/>
    <x v="10"/>
    <x v="3"/>
    <x v="19"/>
    <x v="5"/>
    <n v="174.6"/>
  </r>
  <r>
    <x v="2"/>
    <x v="10"/>
    <x v="3"/>
    <x v="20"/>
    <x v="6"/>
    <n v="185"/>
  </r>
  <r>
    <x v="2"/>
    <x v="10"/>
    <x v="3"/>
    <x v="21"/>
    <x v="7"/>
    <n v="164.5"/>
  </r>
  <r>
    <x v="2"/>
    <x v="10"/>
    <x v="3"/>
    <x v="22"/>
    <x v="8"/>
    <n v="170.7"/>
  </r>
  <r>
    <x v="2"/>
    <x v="10"/>
    <x v="3"/>
    <x v="23"/>
    <x v="9"/>
    <n v="176.4"/>
  </r>
  <r>
    <x v="2"/>
    <x v="10"/>
    <x v="3"/>
    <x v="24"/>
    <x v="8"/>
    <n v="184"/>
  </r>
  <r>
    <x v="2"/>
    <x v="10"/>
    <x v="3"/>
    <x v="25"/>
    <x v="5"/>
    <n v="175"/>
  </r>
  <r>
    <x v="2"/>
    <x v="10"/>
    <x v="3"/>
    <x v="26"/>
    <x v="10"/>
    <n v="178.1"/>
  </r>
  <r>
    <x v="0"/>
    <x v="10"/>
    <x v="4"/>
    <x v="0"/>
    <x v="0"/>
    <n v="173.2"/>
  </r>
  <r>
    <x v="0"/>
    <x v="10"/>
    <x v="4"/>
    <x v="1"/>
    <x v="0"/>
    <n v="211.5"/>
  </r>
  <r>
    <x v="0"/>
    <x v="10"/>
    <x v="4"/>
    <x v="2"/>
    <x v="0"/>
    <n v="171"/>
  </r>
  <r>
    <x v="0"/>
    <x v="10"/>
    <x v="4"/>
    <x v="3"/>
    <x v="0"/>
    <n v="179.6"/>
  </r>
  <r>
    <x v="0"/>
    <x v="10"/>
    <x v="4"/>
    <x v="4"/>
    <x v="0"/>
    <n v="173.3"/>
  </r>
  <r>
    <x v="0"/>
    <x v="10"/>
    <x v="4"/>
    <x v="5"/>
    <x v="0"/>
    <n v="169"/>
  </r>
  <r>
    <x v="0"/>
    <x v="10"/>
    <x v="4"/>
    <x v="6"/>
    <x v="0"/>
    <n v="148.69999999999999"/>
  </r>
  <r>
    <x v="0"/>
    <x v="10"/>
    <x v="4"/>
    <x v="7"/>
    <x v="0"/>
    <n v="174.9"/>
  </r>
  <r>
    <x v="0"/>
    <x v="10"/>
    <x v="4"/>
    <x v="8"/>
    <x v="0"/>
    <n v="121.9"/>
  </r>
  <r>
    <x v="0"/>
    <x v="10"/>
    <x v="4"/>
    <x v="9"/>
    <x v="0"/>
    <n v="221"/>
  </r>
  <r>
    <x v="0"/>
    <x v="10"/>
    <x v="4"/>
    <x v="10"/>
    <x v="0"/>
    <n v="178.7"/>
  </r>
  <r>
    <x v="0"/>
    <x v="10"/>
    <x v="4"/>
    <x v="11"/>
    <x v="0"/>
    <n v="191.1"/>
  </r>
  <r>
    <x v="0"/>
    <x v="10"/>
    <x v="4"/>
    <x v="12"/>
    <x v="0"/>
    <n v="176.8"/>
  </r>
  <r>
    <x v="0"/>
    <x v="10"/>
    <x v="4"/>
    <x v="13"/>
    <x v="1"/>
    <n v="199.9"/>
  </r>
  <r>
    <x v="0"/>
    <x v="10"/>
    <x v="4"/>
    <x v="14"/>
    <x v="2"/>
    <n v="191.2"/>
  </r>
  <r>
    <x v="0"/>
    <x v="10"/>
    <x v="4"/>
    <x v="15"/>
    <x v="2"/>
    <n v="187.9"/>
  </r>
  <r>
    <x v="0"/>
    <x v="10"/>
    <x v="4"/>
    <x v="16"/>
    <x v="2"/>
    <n v="190.8"/>
  </r>
  <r>
    <x v="0"/>
    <x v="10"/>
    <x v="4"/>
    <x v="17"/>
    <x v="3"/>
    <s v="-"/>
  </r>
  <r>
    <x v="0"/>
    <x v="10"/>
    <x v="4"/>
    <x v="18"/>
    <x v="4"/>
    <n v="182.5"/>
  </r>
  <r>
    <x v="0"/>
    <x v="10"/>
    <x v="4"/>
    <x v="19"/>
    <x v="5"/>
    <n v="179.8"/>
  </r>
  <r>
    <x v="0"/>
    <x v="10"/>
    <x v="4"/>
    <x v="20"/>
    <x v="6"/>
    <n v="187.8"/>
  </r>
  <r>
    <x v="0"/>
    <x v="10"/>
    <x v="4"/>
    <x v="21"/>
    <x v="7"/>
    <n v="169.7"/>
  </r>
  <r>
    <x v="0"/>
    <x v="10"/>
    <x v="4"/>
    <x v="22"/>
    <x v="8"/>
    <n v="173.8"/>
  </r>
  <r>
    <x v="0"/>
    <x v="10"/>
    <x v="4"/>
    <x v="23"/>
    <x v="9"/>
    <n v="180.3"/>
  </r>
  <r>
    <x v="0"/>
    <x v="10"/>
    <x v="4"/>
    <x v="24"/>
    <x v="8"/>
    <n v="184.9"/>
  </r>
  <r>
    <x v="0"/>
    <x v="10"/>
    <x v="4"/>
    <x v="25"/>
    <x v="5"/>
    <n v="179.5"/>
  </r>
  <r>
    <x v="0"/>
    <x v="10"/>
    <x v="4"/>
    <x v="26"/>
    <x v="10"/>
    <n v="179.8"/>
  </r>
  <r>
    <x v="1"/>
    <x v="10"/>
    <x v="4"/>
    <x v="0"/>
    <x v="0"/>
    <n v="174.7"/>
  </r>
  <r>
    <x v="1"/>
    <x v="10"/>
    <x v="4"/>
    <x v="1"/>
    <x v="0"/>
    <n v="219.4"/>
  </r>
  <r>
    <x v="1"/>
    <x v="10"/>
    <x v="4"/>
    <x v="2"/>
    <x v="0"/>
    <n v="176.7"/>
  </r>
  <r>
    <x v="1"/>
    <x v="10"/>
    <x v="4"/>
    <x v="3"/>
    <x v="0"/>
    <n v="179.4"/>
  </r>
  <r>
    <x v="1"/>
    <x v="10"/>
    <x v="4"/>
    <x v="4"/>
    <x v="0"/>
    <n v="164.4"/>
  </r>
  <r>
    <x v="1"/>
    <x v="10"/>
    <x v="4"/>
    <x v="5"/>
    <x v="0"/>
    <n v="175.8"/>
  </r>
  <r>
    <x v="1"/>
    <x v="10"/>
    <x v="4"/>
    <x v="6"/>
    <x v="0"/>
    <n v="185"/>
  </r>
  <r>
    <x v="1"/>
    <x v="10"/>
    <x v="4"/>
    <x v="7"/>
    <x v="0"/>
    <n v="176.9"/>
  </r>
  <r>
    <x v="1"/>
    <x v="10"/>
    <x v="4"/>
    <x v="8"/>
    <x v="0"/>
    <n v="124.2"/>
  </r>
  <r>
    <x v="1"/>
    <x v="10"/>
    <x v="4"/>
    <x v="9"/>
    <x v="0"/>
    <n v="211.9"/>
  </r>
  <r>
    <x v="1"/>
    <x v="10"/>
    <x v="4"/>
    <x v="10"/>
    <x v="0"/>
    <n v="165.9"/>
  </r>
  <r>
    <x v="1"/>
    <x v="10"/>
    <x v="4"/>
    <x v="11"/>
    <x v="0"/>
    <n v="197.7"/>
  </r>
  <r>
    <x v="1"/>
    <x v="10"/>
    <x v="4"/>
    <x v="12"/>
    <x v="0"/>
    <n v="183.1"/>
  </r>
  <r>
    <x v="1"/>
    <x v="10"/>
    <x v="4"/>
    <x v="13"/>
    <x v="1"/>
    <n v="204.2"/>
  </r>
  <r>
    <x v="1"/>
    <x v="10"/>
    <x v="4"/>
    <x v="14"/>
    <x v="2"/>
    <n v="181.3"/>
  </r>
  <r>
    <x v="1"/>
    <x v="10"/>
    <x v="4"/>
    <x v="15"/>
    <x v="2"/>
    <n v="168.1"/>
  </r>
  <r>
    <x v="1"/>
    <x v="10"/>
    <x v="4"/>
    <x v="16"/>
    <x v="2"/>
    <n v="179.3"/>
  </r>
  <r>
    <x v="1"/>
    <x v="10"/>
    <x v="4"/>
    <x v="17"/>
    <x v="3"/>
    <n v="175.6"/>
  </r>
  <r>
    <x v="1"/>
    <x v="10"/>
    <x v="4"/>
    <x v="18"/>
    <x v="4"/>
    <n v="183.4"/>
  </r>
  <r>
    <x v="1"/>
    <x v="10"/>
    <x v="4"/>
    <x v="19"/>
    <x v="5"/>
    <n v="170.1"/>
  </r>
  <r>
    <x v="1"/>
    <x v="10"/>
    <x v="4"/>
    <x v="20"/>
    <x v="6"/>
    <n v="182.2"/>
  </r>
  <r>
    <x v="1"/>
    <x v="10"/>
    <x v="4"/>
    <x v="21"/>
    <x v="7"/>
    <n v="160.4"/>
  </r>
  <r>
    <x v="1"/>
    <x v="10"/>
    <x v="4"/>
    <x v="22"/>
    <x v="8"/>
    <n v="169.2"/>
  </r>
  <r>
    <x v="1"/>
    <x v="10"/>
    <x v="4"/>
    <x v="23"/>
    <x v="9"/>
    <n v="174.8"/>
  </r>
  <r>
    <x v="1"/>
    <x v="10"/>
    <x v="4"/>
    <x v="24"/>
    <x v="8"/>
    <n v="185.6"/>
  </r>
  <r>
    <x v="1"/>
    <x v="10"/>
    <x v="4"/>
    <x v="25"/>
    <x v="5"/>
    <n v="171.6"/>
  </r>
  <r>
    <x v="1"/>
    <x v="10"/>
    <x v="4"/>
    <x v="26"/>
    <x v="10"/>
    <n v="178.2"/>
  </r>
  <r>
    <x v="2"/>
    <x v="10"/>
    <x v="4"/>
    <x v="0"/>
    <x v="0"/>
    <n v="173.7"/>
  </r>
  <r>
    <x v="2"/>
    <x v="10"/>
    <x v="4"/>
    <x v="1"/>
    <x v="0"/>
    <n v="214.3"/>
  </r>
  <r>
    <x v="2"/>
    <x v="10"/>
    <x v="4"/>
    <x v="2"/>
    <x v="0"/>
    <n v="173.2"/>
  </r>
  <r>
    <x v="2"/>
    <x v="10"/>
    <x v="4"/>
    <x v="3"/>
    <x v="0"/>
    <n v="179.5"/>
  </r>
  <r>
    <x v="2"/>
    <x v="10"/>
    <x v="4"/>
    <x v="4"/>
    <x v="0"/>
    <n v="170"/>
  </r>
  <r>
    <x v="2"/>
    <x v="10"/>
    <x v="4"/>
    <x v="5"/>
    <x v="0"/>
    <n v="172.2"/>
  </r>
  <r>
    <x v="2"/>
    <x v="10"/>
    <x v="4"/>
    <x v="6"/>
    <x v="0"/>
    <n v="161"/>
  </r>
  <r>
    <x v="2"/>
    <x v="10"/>
    <x v="4"/>
    <x v="7"/>
    <x v="0"/>
    <n v="175.6"/>
  </r>
  <r>
    <x v="2"/>
    <x v="10"/>
    <x v="4"/>
    <x v="8"/>
    <x v="0"/>
    <n v="122.7"/>
  </r>
  <r>
    <x v="2"/>
    <x v="10"/>
    <x v="4"/>
    <x v="9"/>
    <x v="0"/>
    <n v="218"/>
  </r>
  <r>
    <x v="2"/>
    <x v="10"/>
    <x v="4"/>
    <x v="10"/>
    <x v="0"/>
    <n v="173.4"/>
  </r>
  <r>
    <x v="2"/>
    <x v="10"/>
    <x v="4"/>
    <x v="11"/>
    <x v="0"/>
    <n v="194.2"/>
  </r>
  <r>
    <x v="2"/>
    <x v="10"/>
    <x v="4"/>
    <x v="12"/>
    <x v="0"/>
    <n v="179.1"/>
  </r>
  <r>
    <x v="2"/>
    <x v="10"/>
    <x v="4"/>
    <x v="13"/>
    <x v="1"/>
    <n v="201"/>
  </r>
  <r>
    <x v="2"/>
    <x v="10"/>
    <x v="4"/>
    <x v="14"/>
    <x v="2"/>
    <n v="187.3"/>
  </r>
  <r>
    <x v="2"/>
    <x v="10"/>
    <x v="4"/>
    <x v="15"/>
    <x v="2"/>
    <n v="179.7"/>
  </r>
  <r>
    <x v="2"/>
    <x v="10"/>
    <x v="4"/>
    <x v="16"/>
    <x v="2"/>
    <n v="186.2"/>
  </r>
  <r>
    <x v="2"/>
    <x v="10"/>
    <x v="4"/>
    <x v="17"/>
    <x v="3"/>
    <n v="175.6"/>
  </r>
  <r>
    <x v="2"/>
    <x v="10"/>
    <x v="4"/>
    <x v="18"/>
    <x v="4"/>
    <n v="182.8"/>
  </r>
  <r>
    <x v="2"/>
    <x v="10"/>
    <x v="4"/>
    <x v="19"/>
    <x v="5"/>
    <n v="175.2"/>
  </r>
  <r>
    <x v="2"/>
    <x v="10"/>
    <x v="4"/>
    <x v="20"/>
    <x v="6"/>
    <n v="185.7"/>
  </r>
  <r>
    <x v="2"/>
    <x v="10"/>
    <x v="4"/>
    <x v="21"/>
    <x v="7"/>
    <n v="164.8"/>
  </r>
  <r>
    <x v="2"/>
    <x v="10"/>
    <x v="4"/>
    <x v="22"/>
    <x v="8"/>
    <n v="171.2"/>
  </r>
  <r>
    <x v="2"/>
    <x v="10"/>
    <x v="4"/>
    <x v="23"/>
    <x v="9"/>
    <n v="177.1"/>
  </r>
  <r>
    <x v="2"/>
    <x v="10"/>
    <x v="4"/>
    <x v="24"/>
    <x v="8"/>
    <n v="185.2"/>
  </r>
  <r>
    <x v="2"/>
    <x v="10"/>
    <x v="4"/>
    <x v="25"/>
    <x v="5"/>
    <n v="175.7"/>
  </r>
  <r>
    <x v="2"/>
    <x v="10"/>
    <x v="4"/>
    <x v="26"/>
    <x v="10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C5582-4042-45CF-9FD1-33C9C407523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15" firstHeaderRow="1" firstDataRow="1" firstDataCol="1" rowPageCount="2" colPageCount="1"/>
  <pivotFields count="6">
    <pivotField showAll="0"/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showAll="0">
      <items count="28">
        <item x="0"/>
        <item x="14"/>
        <item x="16"/>
        <item x="23"/>
        <item x="2"/>
        <item x="12"/>
        <item x="15"/>
        <item x="5"/>
        <item x="18"/>
        <item x="26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axis="axisRow" showAll="0">
      <items count="12">
        <item h="1" x="10"/>
        <item x="2"/>
        <item x="9"/>
        <item x="0"/>
        <item x="4"/>
        <item x="6"/>
        <item x="3"/>
        <item x="5"/>
        <item x="8"/>
        <item x="1"/>
        <item x="7"/>
        <item t="default"/>
      </items>
    </pivotField>
    <pivotField dataField="1" showAll="0"/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1" item="10" hier="-1"/>
    <pageField fld="2" item="4" hier="-1"/>
  </pageFields>
  <dataFields count="1">
    <dataField name="Sum of Value" fld="5" showDataAs="percentOfTotal" baseField="0" baseItem="0" numFmtId="1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6FFCD-9AEC-41F5-B99A-33C7C9E7494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8" firstHeaderRow="1" firstDataRow="1" firstDataCol="1"/>
  <pivotFields count="6">
    <pivotField axis="axisRow" multipleItemSelectionAllowed="1" showAll="0">
      <items count="4">
        <item h="1" x="0"/>
        <item x="2"/>
        <item h="1" x="1"/>
        <item t="default"/>
      </items>
    </pivotField>
    <pivotField axis="axisRow" multipleItemSelectionAllowed="1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showAll="0"/>
  </pivotFields>
  <rowFields count="2">
    <field x="1"/>
    <field x="0"/>
  </rowFields>
  <rowItems count="15"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 t="grand">
      <x/>
    </i>
  </rowItems>
  <colItems count="1">
    <i/>
  </colItems>
  <dataFields count="1">
    <dataField name="Sum of Value" fld="5" showDataAs="percentOfTotal" baseField="0" baseItem="0" numFmtId="1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6322D-B8EA-457A-85F5-6C45BC1C480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5" firstHeaderRow="1" firstDataRow="1" firstDataCol="1"/>
  <pivotFields count="6">
    <pivotField showAll="0"/>
    <pivotField axis="axisRow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showAll="0">
      <items count="28">
        <item x="0"/>
        <item x="14"/>
        <item x="16"/>
        <item x="23"/>
        <item x="2"/>
        <item x="12"/>
        <item x="15"/>
        <item x="5"/>
        <item x="18"/>
        <item x="26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axis="axisRow" showAll="0">
      <items count="12">
        <item h="1" x="10"/>
        <item h="1" x="2"/>
        <item h="1" x="9"/>
        <item x="0"/>
        <item h="1" x="4"/>
        <item h="1" x="6"/>
        <item h="1" x="3"/>
        <item h="1" x="5"/>
        <item h="1" x="8"/>
        <item h="1" x="1"/>
        <item h="1" x="7"/>
        <item t="default"/>
      </items>
    </pivotField>
    <pivotField dataField="1" showAll="0"/>
  </pivotFields>
  <rowFields count="3">
    <field x="4"/>
    <field x="1"/>
    <field x="2"/>
  </rowFields>
  <rowItems count="21">
    <i>
      <x v="3"/>
    </i>
    <i r="1">
      <x v="9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0"/>
    </i>
    <i r="2">
      <x/>
    </i>
    <i r="2">
      <x v="1"/>
    </i>
    <i r="2">
      <x v="2"/>
    </i>
    <i r="2">
      <x v="3"/>
    </i>
    <i r="2">
      <x v="4"/>
    </i>
    <i t="grand">
      <x/>
    </i>
  </rowItems>
  <colItems count="1">
    <i/>
  </colItems>
  <dataFields count="1">
    <dataField name="Average of Value" fld="5" subtotal="average" baseField="0" baseItem="0"/>
  </dataFields>
  <formats count="13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1" count="0"/>
          <reference field="4" count="0" selected="0"/>
        </references>
      </pivotArea>
    </format>
    <format dxfId="31">
      <pivotArea dataOnly="0" labelOnly="1" fieldPosition="0">
        <references count="3">
          <reference field="1" count="1" selected="0">
            <x v="9"/>
          </reference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4" count="0" selected="0"/>
        </references>
      </pivotArea>
    </format>
    <format dxfId="30">
      <pivotArea dataOnly="0" labelOnly="1" fieldPosition="0">
        <references count="3">
          <reference field="1" count="1" selected="0">
            <x v="10"/>
          </reference>
          <reference field="2" count="5">
            <x v="0"/>
            <x v="1"/>
            <x v="2"/>
            <x v="3"/>
            <x v="4"/>
          </reference>
          <reference field="4" count="0" selected="0"/>
        </references>
      </pivotArea>
    </format>
    <format dxfId="29">
      <pivotArea dataOnly="0" labelOnly="1" outline="0" axis="axisValues" fieldPosition="0"/>
    </format>
    <format dxfId="28">
      <pivotArea dataOnly="0" labelOnly="1" fieldPosition="0">
        <references count="3">
          <reference field="1" count="1" selected="0">
            <x v="9"/>
          </reference>
          <reference field="2" count="1">
            <x v="5"/>
          </reference>
          <reference field="4" count="0" selected="0"/>
        </references>
      </pivotArea>
    </format>
    <format dxfId="27">
      <pivotArea collapsedLevelsAreSubtotals="1" fieldPosition="0">
        <references count="3">
          <reference field="1" count="1" selected="0">
            <x v="9"/>
          </reference>
          <reference field="2" count="1">
            <x v="5"/>
          </reference>
          <reference field="4" count="0" selected="0"/>
        </references>
      </pivotArea>
    </format>
    <format dxfId="26">
      <pivotArea dataOnly="0" labelOnly="1" fieldPosition="0">
        <references count="3">
          <reference field="1" count="1" selected="0">
            <x v="9"/>
          </reference>
          <reference field="2" count="1">
            <x v="11"/>
          </reference>
          <reference field="4" count="0" selected="0"/>
        </references>
      </pivotArea>
    </format>
    <format dxfId="25">
      <pivotArea collapsedLevelsAreSubtotals="1" fieldPosition="0">
        <references count="3">
          <reference field="1" count="1" selected="0">
            <x v="9"/>
          </reference>
          <reference field="2" count="1">
            <x v="11"/>
          </reference>
          <reference field="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4C68C-9B9D-4F9D-936A-3874093774C6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19" firstHeaderRow="1" firstDataRow="1" firstDataCol="1" rowPageCount="2" colPageCount="1"/>
  <pivotFields count="6">
    <pivotField showAll="0"/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axis="axisRow" showAll="0">
      <items count="28">
        <item x="0"/>
        <item x="14"/>
        <item x="16"/>
        <item x="23"/>
        <item x="2"/>
        <item x="12"/>
        <item x="15"/>
        <item x="5"/>
        <item x="18"/>
        <item x="26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axis="axisRow" showAll="0">
      <items count="12">
        <item h="1" sd="0" x="10"/>
        <item h="1" sd="0" x="2"/>
        <item h="1" sd="0" x="9"/>
        <item x="0"/>
        <item h="1" sd="0" x="4"/>
        <item h="1" sd="0" x="6"/>
        <item h="1" sd="0" x="3"/>
        <item h="1" sd="0" x="5"/>
        <item h="1" sd="0" x="8"/>
        <item h="1" sd="0" x="1"/>
        <item h="1" sd="0" x="7"/>
        <item t="default" sd="0"/>
      </items>
    </pivotField>
    <pivotField dataField="1" showAll="0"/>
  </pivotFields>
  <rowFields count="2">
    <field x="4"/>
    <field x="3"/>
  </rowFields>
  <rowItems count="15">
    <i>
      <x v="3"/>
    </i>
    <i r="1">
      <x/>
    </i>
    <i r="1">
      <x v="4"/>
    </i>
    <i r="1">
      <x v="5"/>
    </i>
    <i r="1">
      <x v="7"/>
    </i>
    <i r="1">
      <x v="13"/>
    </i>
    <i r="1">
      <x v="14"/>
    </i>
    <i r="1">
      <x v="16"/>
    </i>
    <i r="1">
      <x v="17"/>
    </i>
    <i r="1">
      <x v="20"/>
    </i>
    <i r="1">
      <x v="21"/>
    </i>
    <i r="1">
      <x v="23"/>
    </i>
    <i r="1">
      <x v="24"/>
    </i>
    <i r="1">
      <x v="26"/>
    </i>
    <i t="grand">
      <x/>
    </i>
  </rowItems>
  <colItems count="1">
    <i/>
  </colItems>
  <pageFields count="2">
    <pageField fld="1" item="9" hier="-1"/>
    <pageField fld="2" item="5" hier="-1"/>
  </pageFields>
  <dataFields count="1">
    <dataField name="June-22" fld="5" subtotal="average" baseField="4" baseItem="3"/>
  </dataFields>
  <formats count="7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2">
          <reference field="3" count="13">
            <x v="0"/>
            <x v="4"/>
            <x v="5"/>
            <x v="7"/>
            <x v="13"/>
            <x v="14"/>
            <x v="16"/>
            <x v="17"/>
            <x v="20"/>
            <x v="21"/>
            <x v="23"/>
            <x v="24"/>
            <x v="26"/>
          </reference>
          <reference field="4" count="0" selected="0"/>
        </references>
      </pivotArea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C82ED-6B75-4DDC-AAF1-7FC2AA6CD34F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16" firstHeaderRow="1" firstDataRow="1" firstDataCol="1" rowPageCount="3" colPageCount="1"/>
  <pivotFields count="6">
    <pivotField axis="axisPage" multipleItemSelectionAllowed="1" showAll="0">
      <items count="4">
        <item h="1" x="0"/>
        <item x="2"/>
        <item h="1" x="1"/>
        <item t="default"/>
      </items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x="7"/>
        <item x="8"/>
        <item x="9"/>
        <item x="10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0"/>
        <item t="default"/>
      </items>
    </pivotField>
    <pivotField showAll="0"/>
    <pivotField axis="axisRow" showAll="0">
      <items count="12">
        <item h="1" x="10"/>
        <item x="2"/>
        <item x="9"/>
        <item x="0"/>
        <item x="4"/>
        <item x="6"/>
        <item x="3"/>
        <item x="5"/>
        <item x="8"/>
        <item x="1"/>
        <item x="7"/>
        <item t="default"/>
      </items>
    </pivotField>
    <pivotField dataField="1" showAll="0"/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3">
    <pageField fld="1" hier="-1"/>
    <pageField fld="2" hier="-1"/>
    <pageField fld="0" hier="-1"/>
  </pageFields>
  <dataFields count="1">
    <dataField name="after covid" fld="5" subtotal="average" showDataAs="percentOfTotal" baseField="0" baseItem="0" numFmtId="1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419AE8-B17E-46E2-8C90-B109E0AC4654}" autoFormatId="16" applyNumberFormats="0" applyBorderFormats="0" applyFontFormats="0" applyPatternFormats="0" applyAlignmentFormats="0" applyWidthHeightFormats="0">
  <queryTableRefresh nextId="12" unboundColumnsRight="4">
    <queryTableFields count="10">
      <queryTableField id="1" name="Sector" tableColumnId="1"/>
      <queryTableField id="2" name="Year" tableColumnId="2"/>
      <queryTableField id="3" name="Month" tableColumnId="3"/>
      <queryTableField id="4" name="Attribute" tableColumnId="4"/>
      <queryTableField id="6" dataBound="0" tableColumnId="6"/>
      <queryTableField id="5" name="Value" tableColumnId="5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A715FE-C93B-483D-9235-B6BC108A4609}" name="Cpi_" displayName="Cpi_" ref="A1:J10045" tableType="queryTable" totalsRowShown="0">
  <autoFilter ref="A1:J10045" xr:uid="{B3A715FE-C93B-483D-9235-B6BC108A4609}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  <filterColumn colId="4">
      <filters>
        <filter val="Food"/>
      </filters>
    </filterColumn>
    <filterColumn colId="5">
      <filters>
        <filter val="100"/>
        <filter val="100.2"/>
        <filter val="100.3"/>
        <filter val="100.4"/>
        <filter val="100.5"/>
        <filter val="100.6"/>
        <filter val="100.8"/>
        <filter val="100.9"/>
        <filter val="101"/>
        <filter val="101.1"/>
        <filter val="101.2"/>
        <filter val="101.3"/>
        <filter val="101.4"/>
        <filter val="101.5"/>
        <filter val="101.7"/>
        <filter val="101.8"/>
        <filter val="101.9"/>
        <filter val="102"/>
        <filter val="102.1"/>
        <filter val="102.2"/>
        <filter val="102.3"/>
        <filter val="102.4"/>
        <filter val="102.5"/>
        <filter val="102.6"/>
        <filter val="102.7"/>
        <filter val="102.8"/>
        <filter val="102.9"/>
        <filter val="103"/>
        <filter val="103.1"/>
        <filter val="103.2"/>
        <filter val="103.3"/>
        <filter val="103.4"/>
        <filter val="103.5"/>
        <filter val="103.6"/>
        <filter val="103.7"/>
        <filter val="103.8"/>
        <filter val="103.9"/>
        <filter val="104"/>
        <filter val="104.1"/>
        <filter val="104.2"/>
        <filter val="104.3"/>
        <filter val="104.4"/>
        <filter val="104.5"/>
        <filter val="104.6"/>
        <filter val="104.7"/>
        <filter val="104.8"/>
        <filter val="104.9"/>
        <filter val="105"/>
        <filter val="105.1"/>
        <filter val="105.2"/>
        <filter val="105.3"/>
        <filter val="105.4"/>
        <filter val="105.5"/>
        <filter val="105.6"/>
        <filter val="105.7"/>
        <filter val="105.8"/>
        <filter val="105.9"/>
        <filter val="106"/>
        <filter val="106.1"/>
        <filter val="106.2"/>
        <filter val="106.3"/>
        <filter val="106.4"/>
        <filter val="106.5"/>
        <filter val="106.6"/>
        <filter val="106.7"/>
        <filter val="106.8"/>
        <filter val="106.9"/>
        <filter val="107"/>
        <filter val="107.1"/>
        <filter val="107.2"/>
        <filter val="107.3"/>
        <filter val="107.4"/>
        <filter val="107.5"/>
        <filter val="107.6"/>
        <filter val="107.7"/>
        <filter val="107.8"/>
        <filter val="107.9"/>
        <filter val="108"/>
        <filter val="108.1"/>
        <filter val="108.2"/>
        <filter val="108.3"/>
        <filter val="108.4"/>
        <filter val="108.5"/>
        <filter val="108.6"/>
        <filter val="108.7"/>
        <filter val="108.8"/>
        <filter val="108.9"/>
        <filter val="109"/>
        <filter val="109.1"/>
        <filter val="109.2"/>
        <filter val="109.3"/>
        <filter val="109.4"/>
        <filter val="109.5"/>
        <filter val="109.6"/>
        <filter val="109.7"/>
        <filter val="109.8"/>
        <filter val="109.9"/>
        <filter val="110"/>
        <filter val="110.1"/>
        <filter val="110.2"/>
        <filter val="110.3"/>
        <filter val="110.4"/>
        <filter val="110.5"/>
        <filter val="110.6"/>
        <filter val="110.7"/>
        <filter val="110.8"/>
        <filter val="110.9"/>
        <filter val="111"/>
        <filter val="111.1"/>
        <filter val="111.2"/>
        <filter val="111.3"/>
        <filter val="111.4"/>
        <filter val="111.5"/>
        <filter val="111.6"/>
        <filter val="111.7"/>
        <filter val="111.8"/>
        <filter val="111.9"/>
        <filter val="112"/>
        <filter val="112.1"/>
        <filter val="112.2"/>
        <filter val="112.3"/>
        <filter val="112.4"/>
        <filter val="112.5"/>
        <filter val="112.6"/>
        <filter val="112.7"/>
        <filter val="112.8"/>
        <filter val="112.9"/>
        <filter val="113"/>
        <filter val="113.1"/>
        <filter val="113.2"/>
        <filter val="113.3"/>
        <filter val="113.4"/>
        <filter val="113.5"/>
        <filter val="113.6"/>
        <filter val="113.7"/>
        <filter val="113.8"/>
        <filter val="113.9"/>
        <filter val="114"/>
        <filter val="114.1"/>
        <filter val="114.2"/>
        <filter val="114.3"/>
        <filter val="114.4"/>
        <filter val="114.5"/>
        <filter val="114.6"/>
        <filter val="114.7"/>
        <filter val="114.8"/>
        <filter val="114.9"/>
        <filter val="115"/>
        <filter val="115.1"/>
        <filter val="115.2"/>
        <filter val="115.3"/>
        <filter val="115.4"/>
        <filter val="115.5"/>
        <filter val="115.6"/>
        <filter val="115.7"/>
        <filter val="115.8"/>
        <filter val="115.9"/>
        <filter val="116"/>
        <filter val="116.1"/>
        <filter val="116.2"/>
        <filter val="116.3"/>
        <filter val="116.4"/>
        <filter val="116.5"/>
        <filter val="116.6"/>
        <filter val="116.7"/>
        <filter val="116.8"/>
        <filter val="116.9"/>
        <filter val="117"/>
        <filter val="117.1"/>
        <filter val="117.2"/>
        <filter val="117.3"/>
        <filter val="117.4"/>
        <filter val="117.5"/>
        <filter val="117.6"/>
        <filter val="117.7"/>
        <filter val="117.8"/>
        <filter val="117.9"/>
        <filter val="118"/>
        <filter val="118.1"/>
        <filter val="118.2"/>
        <filter val="118.3"/>
        <filter val="118.4"/>
        <filter val="118.5"/>
        <filter val="118.6"/>
        <filter val="118.7"/>
        <filter val="118.8"/>
        <filter val="118.9"/>
        <filter val="119"/>
        <filter val="119.1"/>
        <filter val="119.2"/>
        <filter val="119.3"/>
        <filter val="119.4"/>
        <filter val="119.5"/>
        <filter val="119.6"/>
        <filter val="119.7"/>
        <filter val="119.8"/>
        <filter val="119.9"/>
        <filter val="120"/>
        <filter val="120.1"/>
        <filter val="120.2"/>
        <filter val="120.3"/>
        <filter val="120.4"/>
        <filter val="120.5"/>
        <filter val="120.6"/>
        <filter val="120.7"/>
        <filter val="120.8"/>
        <filter val="120.9"/>
        <filter val="121"/>
        <filter val="121.1"/>
        <filter val="121.2"/>
        <filter val="121.3"/>
        <filter val="121.4"/>
        <filter val="121.5"/>
        <filter val="121.6"/>
        <filter val="121.7"/>
        <filter val="121.8"/>
        <filter val="121.9"/>
        <filter val="122"/>
        <filter val="122.1"/>
        <filter val="122.2"/>
        <filter val="122.3"/>
        <filter val="122.4"/>
        <filter val="122.5"/>
        <filter val="122.6"/>
        <filter val="122.7"/>
        <filter val="122.8"/>
        <filter val="122.9"/>
        <filter val="123"/>
        <filter val="123.1"/>
        <filter val="123.2"/>
        <filter val="123.3"/>
        <filter val="123.4"/>
        <filter val="123.5"/>
        <filter val="123.6"/>
        <filter val="123.7"/>
        <filter val="123.8"/>
        <filter val="123.9"/>
        <filter val="124"/>
        <filter val="124.1"/>
        <filter val="124.2"/>
        <filter val="124.3"/>
        <filter val="124.4"/>
        <filter val="124.5"/>
        <filter val="124.6"/>
        <filter val="124.7"/>
        <filter val="124.8"/>
        <filter val="124.9"/>
        <filter val="125"/>
        <filter val="125.1"/>
        <filter val="125.2"/>
        <filter val="125.3"/>
        <filter val="125.4"/>
        <filter val="125.5"/>
        <filter val="125.6"/>
        <filter val="125.7"/>
        <filter val="125.8"/>
        <filter val="125.9"/>
        <filter val="126"/>
        <filter val="126.1"/>
        <filter val="126.2"/>
        <filter val="126.3"/>
        <filter val="126.4"/>
        <filter val="126.5"/>
        <filter val="126.6"/>
        <filter val="126.7"/>
        <filter val="126.8"/>
        <filter val="126.9"/>
        <filter val="127"/>
        <filter val="127.1"/>
        <filter val="127.2"/>
        <filter val="127.3"/>
        <filter val="127.4"/>
        <filter val="127.5"/>
        <filter val="127.6"/>
        <filter val="127.7"/>
        <filter val="127.8"/>
        <filter val="127.9"/>
        <filter val="128"/>
        <filter val="128.1"/>
        <filter val="128.2"/>
        <filter val="128.3"/>
        <filter val="128.4"/>
        <filter val="128.5"/>
        <filter val="128.6"/>
        <filter val="128.7"/>
        <filter val="128.8"/>
        <filter val="128.9"/>
        <filter val="129"/>
        <filter val="129.1"/>
        <filter val="129.2"/>
        <filter val="129.3"/>
        <filter val="129.4"/>
        <filter val="129.5"/>
        <filter val="129.6"/>
        <filter val="129.7"/>
        <filter val="129.8"/>
        <filter val="129.9"/>
        <filter val="130"/>
        <filter val="130.1"/>
        <filter val="130.2"/>
        <filter val="130.3"/>
        <filter val="130.4"/>
        <filter val="130.5"/>
        <filter val="130.6"/>
        <filter val="130.7"/>
        <filter val="130.8"/>
        <filter val="130.9"/>
        <filter val="131"/>
        <filter val="131.1"/>
        <filter val="131.2"/>
        <filter val="131.3"/>
        <filter val="131.4"/>
        <filter val="131.5"/>
        <filter val="131.6"/>
        <filter val="131.7"/>
        <filter val="131.8"/>
        <filter val="131.9"/>
        <filter val="132"/>
        <filter val="132.1"/>
        <filter val="132.2"/>
        <filter val="132.3"/>
        <filter val="132.4"/>
        <filter val="132.5"/>
        <filter val="132.6"/>
        <filter val="132.7"/>
        <filter val="132.8"/>
        <filter val="132.9"/>
        <filter val="133"/>
        <filter val="133.1"/>
        <filter val="133.2"/>
        <filter val="133.3"/>
        <filter val="133.4"/>
        <filter val="133.5"/>
        <filter val="133.6"/>
        <filter val="133.7"/>
        <filter val="133.8"/>
        <filter val="133.9"/>
        <filter val="134"/>
        <filter val="134.1"/>
        <filter val="134.2"/>
        <filter val="134.3"/>
        <filter val="134.4"/>
        <filter val="134.5"/>
        <filter val="134.6"/>
        <filter val="134.7"/>
        <filter val="134.8"/>
        <filter val="134.9"/>
        <filter val="135"/>
        <filter val="135.1"/>
        <filter val="135.2"/>
        <filter val="135.3"/>
        <filter val="135.4"/>
        <filter val="135.5"/>
        <filter val="135.6"/>
        <filter val="135.7"/>
        <filter val="135.8"/>
        <filter val="135.9"/>
        <filter val="136"/>
        <filter val="136.1"/>
        <filter val="136.2"/>
        <filter val="136.3"/>
        <filter val="136.4"/>
        <filter val="136.5"/>
        <filter val="136.6"/>
        <filter val="136.7"/>
        <filter val="136.8"/>
        <filter val="136.9"/>
        <filter val="137"/>
        <filter val="137.1"/>
        <filter val="137.2"/>
        <filter val="137.3"/>
        <filter val="137.4"/>
        <filter val="137.5"/>
        <filter val="137.6"/>
        <filter val="137.7"/>
        <filter val="137.8"/>
        <filter val="137.9"/>
        <filter val="138"/>
        <filter val="138.1"/>
        <filter val="138.2"/>
        <filter val="138.3"/>
        <filter val="138.4"/>
        <filter val="138.5"/>
        <filter val="138.6"/>
        <filter val="138.7"/>
        <filter val="138.8"/>
        <filter val="138.9"/>
        <filter val="139"/>
        <filter val="139.1"/>
        <filter val="139.2"/>
        <filter val="139.3"/>
        <filter val="139.4"/>
        <filter val="139.5"/>
        <filter val="139.6"/>
        <filter val="139.7"/>
        <filter val="139.8"/>
        <filter val="139.9"/>
        <filter val="140"/>
        <filter val="140.1"/>
        <filter val="140.2"/>
        <filter val="140.3"/>
        <filter val="140.4"/>
        <filter val="140.5"/>
        <filter val="140.6"/>
        <filter val="140.7"/>
        <filter val="140.8"/>
        <filter val="140.9"/>
        <filter val="141"/>
        <filter val="141.1"/>
        <filter val="141.2"/>
        <filter val="141.3"/>
        <filter val="141.4"/>
        <filter val="141.5"/>
        <filter val="141.6"/>
        <filter val="141.7"/>
        <filter val="141.8"/>
        <filter val="141.9"/>
        <filter val="142"/>
        <filter val="142.1"/>
        <filter val="142.2"/>
        <filter val="142.3"/>
        <filter val="142.4"/>
        <filter val="142.5"/>
        <filter val="142.6"/>
        <filter val="142.7"/>
        <filter val="142.8"/>
        <filter val="142.9"/>
        <filter val="143"/>
        <filter val="143.1"/>
        <filter val="143.2"/>
        <filter val="143.3"/>
        <filter val="143.4"/>
        <filter val="143.5"/>
        <filter val="143.6"/>
        <filter val="143.7"/>
        <filter val="143.8"/>
        <filter val="143.9"/>
        <filter val="144"/>
        <filter val="144.1"/>
        <filter val="144.2"/>
        <filter val="144.3"/>
        <filter val="144.4"/>
        <filter val="144.5"/>
        <filter val="144.6"/>
        <filter val="144.7"/>
        <filter val="144.8"/>
        <filter val="144.9"/>
        <filter val="145"/>
        <filter val="145.1"/>
        <filter val="145.2"/>
        <filter val="145.3"/>
        <filter val="145.4"/>
        <filter val="145.5"/>
        <filter val="145.6"/>
        <filter val="145.7"/>
        <filter val="145.8"/>
        <filter val="145.9"/>
        <filter val="146"/>
        <filter val="146.1"/>
        <filter val="146.2"/>
        <filter val="146.3"/>
        <filter val="146.4"/>
        <filter val="146.5"/>
        <filter val="146.6"/>
        <filter val="146.7"/>
        <filter val="146.8"/>
        <filter val="146.9"/>
        <filter val="147"/>
        <filter val="147.1"/>
        <filter val="147.2"/>
        <filter val="147.3"/>
        <filter val="147.4"/>
        <filter val="147.5"/>
        <filter val="147.6"/>
        <filter val="147.7"/>
        <filter val="147.8"/>
        <filter val="147.9"/>
        <filter val="148"/>
        <filter val="148.1"/>
        <filter val="148.2"/>
        <filter val="148.3"/>
        <filter val="148.4"/>
        <filter val="148.5"/>
        <filter val="148.6"/>
        <filter val="148.7"/>
        <filter val="148.8"/>
        <filter val="148.9"/>
        <filter val="149"/>
        <filter val="149.1"/>
        <filter val="149.2"/>
        <filter val="149.3"/>
        <filter val="149.4"/>
        <filter val="149.5"/>
        <filter val="149.6"/>
        <filter val="149.7"/>
        <filter val="149.8"/>
        <filter val="149.9"/>
        <filter val="150"/>
        <filter val="150.1"/>
        <filter val="150.2"/>
        <filter val="150.3"/>
        <filter val="150.4"/>
        <filter val="150.5"/>
        <filter val="150.6"/>
        <filter val="150.7"/>
        <filter val="150.8"/>
        <filter val="150.9"/>
        <filter val="151"/>
        <filter val="151.1"/>
        <filter val="151.2"/>
        <filter val="151.3"/>
        <filter val="151.4"/>
        <filter val="151.5"/>
        <filter val="151.6"/>
        <filter val="151.7"/>
        <filter val="151.8"/>
        <filter val="151.9"/>
        <filter val="152"/>
        <filter val="152.1"/>
        <filter val="152.2"/>
        <filter val="152.3"/>
        <filter val="152.4"/>
        <filter val="152.5"/>
        <filter val="152.6"/>
        <filter val="152.7"/>
        <filter val="152.8"/>
        <filter val="152.9"/>
        <filter val="153"/>
        <filter val="153.1"/>
        <filter val="153.2"/>
        <filter val="153.3"/>
        <filter val="153.4"/>
        <filter val="153.5"/>
        <filter val="153.6"/>
        <filter val="153.7"/>
        <filter val="153.8"/>
        <filter val="153.9"/>
        <filter val="154"/>
        <filter val="154.1"/>
        <filter val="154.2"/>
        <filter val="154.3"/>
        <filter val="154.4"/>
        <filter val="154.5"/>
        <filter val="154.6"/>
        <filter val="154.7"/>
        <filter val="154.8"/>
        <filter val="154.9"/>
        <filter val="155"/>
        <filter val="155.1"/>
        <filter val="155.2"/>
        <filter val="155.3"/>
        <filter val="155.4"/>
        <filter val="155.5"/>
        <filter val="155.6"/>
        <filter val="155.7"/>
        <filter val="155.8"/>
        <filter val="155.9"/>
        <filter val="156"/>
        <filter val="156.1"/>
        <filter val="156.2"/>
        <filter val="156.3"/>
        <filter val="156.4"/>
        <filter val="156.5"/>
        <filter val="156.6"/>
        <filter val="156.7"/>
        <filter val="156.8"/>
        <filter val="156.9"/>
        <filter val="157"/>
        <filter val="157.1"/>
        <filter val="157.2"/>
        <filter val="157.3"/>
        <filter val="157.4"/>
        <filter val="157.5"/>
        <filter val="157.6"/>
        <filter val="157.7"/>
        <filter val="157.8"/>
        <filter val="157.9"/>
        <filter val="158"/>
        <filter val="158.1"/>
        <filter val="158.2"/>
        <filter val="158.3"/>
        <filter val="158.4"/>
        <filter val="158.5"/>
        <filter val="158.6"/>
        <filter val="158.7"/>
        <filter val="158.8"/>
        <filter val="158.9"/>
        <filter val="159"/>
        <filter val="159.1"/>
        <filter val="159.2"/>
        <filter val="159.3"/>
        <filter val="159.4"/>
        <filter val="159.5"/>
        <filter val="159.6"/>
        <filter val="159.7"/>
        <filter val="159.8"/>
        <filter val="159.9"/>
        <filter val="160"/>
        <filter val="160.1"/>
        <filter val="160.2"/>
        <filter val="160.3"/>
        <filter val="160.4"/>
        <filter val="160.5"/>
        <filter val="160.6"/>
        <filter val="160.7"/>
        <filter val="160.8"/>
        <filter val="160.9"/>
        <filter val="161"/>
        <filter val="161.1"/>
        <filter val="161.2"/>
        <filter val="161.3"/>
        <filter val="161.4"/>
        <filter val="161.5"/>
        <filter val="161.6"/>
        <filter val="161.7"/>
        <filter val="161.8"/>
        <filter val="161.9"/>
        <filter val="162"/>
        <filter val="162.1"/>
        <filter val="162.2"/>
        <filter val="162.3"/>
        <filter val="162.4"/>
        <filter val="162.5"/>
        <filter val="162.6"/>
        <filter val="162.7"/>
        <filter val="162.8"/>
        <filter val="162.9"/>
        <filter val="163"/>
        <filter val="163.1"/>
        <filter val="163.2"/>
        <filter val="163.3"/>
        <filter val="163.4"/>
        <filter val="163.5"/>
        <filter val="163.6"/>
        <filter val="163.7"/>
        <filter val="163.8"/>
        <filter val="163.9"/>
        <filter val="164"/>
        <filter val="164.1"/>
        <filter val="164.2"/>
        <filter val="164.3"/>
        <filter val="164.4"/>
        <filter val="164.5"/>
        <filter val="164.6"/>
        <filter val="164.7"/>
        <filter val="164.8"/>
        <filter val="164.9"/>
        <filter val="165"/>
        <filter val="165.1"/>
        <filter val="165.2"/>
        <filter val="165.3"/>
        <filter val="165.4"/>
        <filter val="165.5"/>
        <filter val="165.6"/>
        <filter val="165.7"/>
        <filter val="165.8"/>
        <filter val="165.9"/>
        <filter val="166"/>
        <filter val="166.1"/>
        <filter val="166.2"/>
        <filter val="166.3"/>
        <filter val="166.4"/>
        <filter val="166.5"/>
        <filter val="166.6"/>
        <filter val="166.7"/>
        <filter val="166.8"/>
        <filter val="166.9"/>
        <filter val="167"/>
        <filter val="167.1"/>
        <filter val="167.2"/>
        <filter val="167.3"/>
        <filter val="167.4"/>
        <filter val="167.5"/>
        <filter val="167.6"/>
        <filter val="167.7"/>
        <filter val="167.8"/>
        <filter val="167.9"/>
        <filter val="168"/>
        <filter val="168.1"/>
        <filter val="168.2"/>
        <filter val="168.3"/>
        <filter val="168.4"/>
        <filter val="168.5"/>
        <filter val="168.6"/>
        <filter val="168.7"/>
        <filter val="168.8"/>
        <filter val="168.9"/>
        <filter val="169"/>
        <filter val="169.1"/>
        <filter val="169.2"/>
        <filter val="169.3"/>
        <filter val="169.4"/>
        <filter val="169.5"/>
        <filter val="169.6"/>
        <filter val="169.7"/>
        <filter val="169.8"/>
        <filter val="169.9"/>
        <filter val="170"/>
        <filter val="170.1"/>
        <filter val="170.2"/>
        <filter val="170.3"/>
        <filter val="170.4"/>
        <filter val="170.5"/>
        <filter val="170.6"/>
        <filter val="170.7"/>
        <filter val="170.8"/>
        <filter val="170.9"/>
        <filter val="171"/>
        <filter val="171.1"/>
        <filter val="171.2"/>
        <filter val="171.3"/>
        <filter val="171.4"/>
        <filter val="171.5"/>
        <filter val="171.6"/>
        <filter val="171.7"/>
        <filter val="171.8"/>
        <filter val="171.9"/>
        <filter val="172"/>
        <filter val="172.1"/>
        <filter val="172.2"/>
        <filter val="172.3"/>
        <filter val="172.4"/>
        <filter val="172.5"/>
        <filter val="172.6"/>
        <filter val="172.7"/>
        <filter val="172.8"/>
        <filter val="172.9"/>
        <filter val="173"/>
        <filter val="173.1"/>
        <filter val="173.2"/>
        <filter val="173.3"/>
        <filter val="173.4"/>
        <filter val="173.5"/>
        <filter val="173.6"/>
        <filter val="173.7"/>
        <filter val="173.8"/>
        <filter val="173.9"/>
        <filter val="174"/>
        <filter val="174.1"/>
        <filter val="174.2"/>
        <filter val="174.3"/>
        <filter val="174.4"/>
        <filter val="174.5"/>
        <filter val="174.6"/>
        <filter val="174.7"/>
        <filter val="174.8"/>
        <filter val="174.9"/>
        <filter val="175"/>
        <filter val="175.1"/>
        <filter val="175.2"/>
        <filter val="175.3"/>
        <filter val="175.4"/>
        <filter val="175.5"/>
        <filter val="175.6"/>
        <filter val="175.7"/>
        <filter val="175.8"/>
        <filter val="175.9"/>
        <filter val="176"/>
        <filter val="176.1"/>
        <filter val="176.2"/>
        <filter val="176.3"/>
        <filter val="176.4"/>
        <filter val="176.5"/>
        <filter val="176.6"/>
        <filter val="176.7"/>
        <filter val="176.8"/>
        <filter val="176.9"/>
        <filter val="177"/>
        <filter val="177.1"/>
        <filter val="177.2"/>
        <filter val="177.3"/>
        <filter val="177.4"/>
        <filter val="177.5"/>
        <filter val="177.6"/>
        <filter val="177.7"/>
        <filter val="177.8"/>
        <filter val="177.9"/>
        <filter val="178"/>
        <filter val="178.1"/>
        <filter val="178.2"/>
        <filter val="178.3"/>
        <filter val="178.4"/>
        <filter val="178.5"/>
        <filter val="178.6"/>
        <filter val="178.7"/>
        <filter val="178.8"/>
        <filter val="178.9"/>
        <filter val="179"/>
        <filter val="179.1"/>
        <filter val="179.2"/>
        <filter val="179.3"/>
        <filter val="179.4"/>
        <filter val="179.5"/>
        <filter val="179.6"/>
        <filter val="179.7"/>
        <filter val="179.8"/>
        <filter val="179.9"/>
        <filter val="180"/>
        <filter val="180.1"/>
        <filter val="180.2"/>
        <filter val="180.3"/>
        <filter val="180.4"/>
        <filter val="180.5"/>
        <filter val="180.6"/>
        <filter val="180.7"/>
        <filter val="180.8"/>
        <filter val="180.9"/>
        <filter val="181"/>
        <filter val="181.1"/>
        <filter val="181.2"/>
        <filter val="181.3"/>
        <filter val="181.4"/>
        <filter val="181.5"/>
        <filter val="181.6"/>
        <filter val="181.7"/>
        <filter val="181.8"/>
        <filter val="181.9"/>
        <filter val="182"/>
        <filter val="182.1"/>
        <filter val="182.2"/>
        <filter val="182.3"/>
        <filter val="182.4"/>
        <filter val="182.5"/>
        <filter val="182.6"/>
        <filter val="182.7"/>
        <filter val="182.8"/>
        <filter val="182.9"/>
        <filter val="183"/>
        <filter val="183.1"/>
        <filter val="183.2"/>
        <filter val="183.3"/>
        <filter val="183.4"/>
        <filter val="183.5"/>
        <filter val="183.6"/>
        <filter val="183.7"/>
        <filter val="183.8"/>
        <filter val="183.9"/>
        <filter val="184"/>
        <filter val="184.2"/>
        <filter val="184.3"/>
        <filter val="184.4"/>
        <filter val="184.5"/>
        <filter val="184.6"/>
        <filter val="184.7"/>
        <filter val="184.8"/>
        <filter val="184.9"/>
        <filter val="185"/>
        <filter val="185.1"/>
        <filter val="185.2"/>
        <filter val="185.3"/>
        <filter val="185.4"/>
        <filter val="185.6"/>
        <filter val="185.7"/>
        <filter val="185.9"/>
        <filter val="186"/>
        <filter val="186.1"/>
        <filter val="186.2"/>
        <filter val="186.3"/>
        <filter val="186.4"/>
        <filter val="186.5"/>
        <filter val="186.6"/>
        <filter val="186.7"/>
        <filter val="186.8"/>
        <filter val="186.9"/>
        <filter val="187"/>
        <filter val="187.1"/>
        <filter val="187.2"/>
        <filter val="187.3"/>
        <filter val="187.4"/>
        <filter val="187.5"/>
        <filter val="187.6"/>
        <filter val="187.7"/>
        <filter val="187.8"/>
        <filter val="187.9"/>
        <filter val="188"/>
        <filter val="188.1"/>
        <filter val="188.3"/>
        <filter val="188.4"/>
        <filter val="188.5"/>
        <filter val="188.6"/>
        <filter val="188.7"/>
        <filter val="188.8"/>
        <filter val="188.9"/>
        <filter val="189"/>
        <filter val="189.1"/>
        <filter val="189.4"/>
        <filter val="189.5"/>
        <filter val="189.6"/>
        <filter val="189.7"/>
        <filter val="189.9"/>
        <filter val="190"/>
        <filter val="190.1"/>
        <filter val="190.2"/>
        <filter val="190.3"/>
        <filter val="190.4"/>
        <filter val="190.5"/>
        <filter val="190.6"/>
        <filter val="190.7"/>
        <filter val="190.8"/>
        <filter val="190.9"/>
        <filter val="191"/>
        <filter val="191.1"/>
        <filter val="191.2"/>
        <filter val="191.4"/>
        <filter val="191.5"/>
        <filter val="191.6"/>
        <filter val="191.8"/>
        <filter val="191.9"/>
        <filter val="192.1"/>
        <filter val="192.2"/>
        <filter val="192.3"/>
        <filter val="192.4"/>
        <filter val="192.6"/>
        <filter val="192.7"/>
        <filter val="192.8"/>
        <filter val="192.9"/>
        <filter val="193"/>
        <filter val="193.1"/>
        <filter val="193.2"/>
        <filter val="193.3"/>
        <filter val="193.5"/>
        <filter val="193.6"/>
        <filter val="193.7"/>
        <filter val="193.9"/>
        <filter val="194"/>
        <filter val="194.1"/>
        <filter val="194.2"/>
        <filter val="194.3"/>
        <filter val="194.4"/>
        <filter val="194.5"/>
        <filter val="194.6"/>
        <filter val="194.8"/>
        <filter val="194.9"/>
        <filter val="195"/>
        <filter val="195.5"/>
        <filter val="195.6"/>
        <filter val="195.7"/>
        <filter val="195.8"/>
        <filter val="195.9"/>
        <filter val="196.3"/>
        <filter val="196.4"/>
        <filter val="196.5"/>
        <filter val="196.6"/>
        <filter val="196.8"/>
        <filter val="196.9"/>
        <filter val="197"/>
        <filter val="197.1"/>
        <filter val="197.3"/>
        <filter val="197.5"/>
        <filter val="197.7"/>
        <filter val="197.8"/>
        <filter val="198"/>
        <filter val="198.1"/>
        <filter val="198.2"/>
        <filter val="198.3"/>
        <filter val="198.4"/>
        <filter val="198.5"/>
        <filter val="198.6"/>
        <filter val="198.7"/>
        <filter val="198.8"/>
        <filter val="199.1"/>
        <filter val="199.2"/>
        <filter val="199.5"/>
        <filter val="199.6"/>
        <filter val="199.7"/>
        <filter val="199.8"/>
        <filter val="199.9"/>
        <filter val="200.1"/>
        <filter val="200.5"/>
        <filter val="200.6"/>
        <filter val="200.9"/>
        <filter val="201"/>
        <filter val="201.1"/>
        <filter val="201.6"/>
        <filter val="202"/>
        <filter val="202.1"/>
        <filter val="202.2"/>
        <filter val="202.3"/>
        <filter val="202.4"/>
        <filter val="202.5"/>
        <filter val="202.7"/>
        <filter val="202.8"/>
        <filter val="203.1"/>
        <filter val="203.2"/>
        <filter val="203.5"/>
        <filter val="203.6"/>
        <filter val="204"/>
        <filter val="204.1"/>
        <filter val="204.2"/>
        <filter val="204.3"/>
        <filter val="204.5"/>
        <filter val="204.6"/>
        <filter val="204.8"/>
        <filter val="204.9"/>
        <filter val="205.2"/>
        <filter val="205.5"/>
        <filter val="206.5"/>
        <filter val="206.7"/>
        <filter val="206.8"/>
        <filter val="206.9"/>
        <filter val="207.2"/>
        <filter val="207.4"/>
        <filter val="207.5"/>
        <filter val="207.7"/>
        <filter val="207.8"/>
        <filter val="208"/>
        <filter val="208.1"/>
        <filter val="208.3"/>
        <filter val="208.4"/>
        <filter val="208.5"/>
        <filter val="208.8"/>
        <filter val="209"/>
        <filter val="209.2"/>
        <filter val="209.3"/>
        <filter val="209.4"/>
        <filter val="209.5"/>
        <filter val="209.7"/>
        <filter val="209.9"/>
        <filter val="210.5"/>
        <filter val="210.7"/>
        <filter val="210.8"/>
        <filter val="210.9"/>
        <filter val="211.5"/>
        <filter val="211.8"/>
        <filter val="211.9"/>
        <filter val="212.1"/>
        <filter val="212.2"/>
        <filter val="212.9"/>
        <filter val="213"/>
        <filter val="213.1"/>
        <filter val="213.4"/>
        <filter val="213.7"/>
        <filter val="214.3"/>
        <filter val="214.4"/>
        <filter val="214.7"/>
        <filter val="214.9"/>
        <filter val="215.2"/>
        <filter val="215.5"/>
        <filter val="215.7"/>
        <filter val="215.8"/>
        <filter val="217"/>
        <filter val="217.1"/>
        <filter val="217.2"/>
        <filter val="218"/>
        <filter val="219.4"/>
        <filter val="219.5"/>
        <filter val="220.8"/>
        <filter val="221"/>
        <filter val="221.2"/>
        <filter val="222.2"/>
        <filter val="223.4"/>
        <filter val="225.2"/>
        <filter val="226"/>
        <filter val="228.6"/>
        <filter val="229.1"/>
        <filter val="230"/>
        <filter val="230.5"/>
        <filter val="231.5"/>
        <filter val="240.9"/>
        <filter val="245.3"/>
        <filter val="85.3"/>
        <filter val="85.7"/>
        <filter val="86.3"/>
        <filter val="89.4"/>
        <filter val="89.8"/>
        <filter val="90.4"/>
        <filter val="90.5"/>
        <filter val="90.8"/>
        <filter val="91.3"/>
        <filter val="91.6"/>
        <filter val="92.3"/>
        <filter val="92.5"/>
        <filter val="92.7"/>
        <filter val="93.1"/>
        <filter val="93.2"/>
        <filter val="93.3"/>
        <filter val="93.7"/>
        <filter val="94.1"/>
        <filter val="94.5"/>
        <filter val="95"/>
        <filter val="95.3"/>
        <filter val="95.4"/>
        <filter val="95.7"/>
        <filter val="96.1"/>
        <filter val="96.3"/>
        <filter val="96.7"/>
        <filter val="96.9"/>
        <filter val="97"/>
        <filter val="97.4"/>
        <filter val="97.6"/>
        <filter val="97.7"/>
        <filter val="97.8"/>
        <filter val="98.3"/>
        <filter val="98.6"/>
        <filter val="98.7"/>
        <filter val="98.8"/>
        <filter val="98.9"/>
        <filter val="99"/>
        <filter val="99.1"/>
        <filter val="99.2"/>
        <filter val="99.5"/>
        <filter val="99.6"/>
        <filter val="99.8"/>
      </filters>
    </filterColumn>
  </autoFilter>
  <tableColumns count="10">
    <tableColumn id="1" xr3:uid="{AC1461A8-3013-4912-963B-EA17D96AA52B}" uniqueName="1" name="Sector" queryTableFieldId="1" dataDxfId="24"/>
    <tableColumn id="2" xr3:uid="{6337572D-F368-4D36-AD96-4724059B24BE}" uniqueName="2" name="Year" queryTableFieldId="2"/>
    <tableColumn id="3" xr3:uid="{0F4723D9-01BA-4201-820B-68D14541D056}" uniqueName="3" name="Month" queryTableFieldId="3" dataDxfId="23"/>
    <tableColumn id="4" xr3:uid="{726207BC-D2B7-47D9-8D76-3137F53B497C}" uniqueName="4" name="Attribute" queryTableFieldId="4" dataDxfId="22"/>
    <tableColumn id="6" xr3:uid="{32087B42-DD36-4E15-863A-DC6F819E7ABA}" uniqueName="6" name="Column1" queryTableFieldId="6" dataDxfId="21">
      <calculatedColumnFormula>VLOOKUP(Cpi_[[#This Row],[Attribute]],#REF!,2,FALSE)</calculatedColumnFormula>
    </tableColumn>
    <tableColumn id="5" xr3:uid="{3A044804-5D98-40B2-92E2-524012D772C7}" uniqueName="5" name="Value" queryTableFieldId="5"/>
    <tableColumn id="7" xr3:uid="{ECBAEA06-88BA-411F-9969-CB6543BD014D}" uniqueName="7" name="Column2" queryTableFieldId="7" dataDxfId="20">
      <calculatedColumnFormula>(Cpi_[[#This Row],[Value]]-F1)/F1</calculatedColumnFormula>
    </tableColumn>
    <tableColumn id="8" xr3:uid="{809D9603-D5E6-4CC4-9094-500BA59D2A05}" uniqueName="8" name="Column3" queryTableFieldId="8" dataDxfId="19"/>
    <tableColumn id="9" xr3:uid="{25FBB90F-1534-4F7B-A6BB-74221FC5ABF1}" uniqueName="9" name="Column4" queryTableFieldId="9" dataDxfId="18"/>
    <tableColumn id="10" xr3:uid="{199061EC-243A-47B3-B681-3B453B94CDE7}" uniqueName="10" name="Column5" queryTableFieldId="10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15AEA-AEB9-4053-B222-9AD9A2226FB3}" name="Cpi" displayName="Cpi" ref="A1:AD373" totalsRowShown="0">
  <autoFilter ref="A1:AD373" xr:uid="{36A15AEA-AEB9-4053-B222-9AD9A2226FB3}"/>
  <tableColumns count="30">
    <tableColumn id="1" xr3:uid="{336173B2-AD36-4D07-8761-E76DA68A2C9D}" name="Sector"/>
    <tableColumn id="2" xr3:uid="{0EFB0562-3220-4427-8780-563505A5934C}" name="Year"/>
    <tableColumn id="3" xr3:uid="{EBF46CEB-E86D-4BE7-8722-5039432C7B8C}" name="Month"/>
    <tableColumn id="4" xr3:uid="{52753EBA-6497-43D5-A302-9BE87A32C530}" name="Cereals and products"/>
    <tableColumn id="5" xr3:uid="{4D6011BA-E287-4707-881C-DA4CB8EE794D}" name="Meat and fish"/>
    <tableColumn id="6" xr3:uid="{05547E9E-127A-4242-ACFA-B09FF98BA464}" name="Egg"/>
    <tableColumn id="7" xr3:uid="{17F1EF45-9EB4-414C-B6AD-C8834AF9AB52}" name="Milk and products"/>
    <tableColumn id="8" xr3:uid="{402F2FE9-BA87-4013-9987-290A85B16E57}" name="Oils and fats"/>
    <tableColumn id="9" xr3:uid="{2AF781F6-7694-4C66-8299-4A82B7880F3C}" name="Fruits"/>
    <tableColumn id="10" xr3:uid="{EDCC70F7-C65B-4261-AE95-74BFF177EE11}" name="Vegetables"/>
    <tableColumn id="11" xr3:uid="{AB8BFA8A-25B6-4043-AFBD-1E6C49689A77}" name="Pulses and products"/>
    <tableColumn id="12" xr3:uid="{1454E6B1-8D8D-4D15-8D6A-6C4FA4217E55}" name="Sugar and Confectionery"/>
    <tableColumn id="13" xr3:uid="{BBCC5A99-1CA3-461C-9C70-D70DA559E258}" name="Spices"/>
    <tableColumn id="14" xr3:uid="{DD338142-8D49-49E2-BDEB-17682AA03109}" name="Non-alcoholic beverages"/>
    <tableColumn id="15" xr3:uid="{C6E118D4-0862-4809-B080-64F01A2FEB52}" name="Prepared meals, snacks, sweets etc."/>
    <tableColumn id="16" xr3:uid="{62C1DEE4-A4C6-4BEA-894F-89EC5503CCE1}" name="Food and beverages"/>
    <tableColumn id="17" xr3:uid="{958D2584-602F-4A3D-A271-0FF2833C9291}" name="Pan, tobacco and intoxicants"/>
    <tableColumn id="18" xr3:uid="{9E3F9B6E-F36F-43F4-91C4-24FB0C7950CF}" name="Clothing"/>
    <tableColumn id="19" xr3:uid="{DAB00B5B-278A-4EA8-94A0-6DE772E2E94E}" name="Footwear"/>
    <tableColumn id="20" xr3:uid="{F3B45CEB-B1DF-4C5F-87F3-3BA77D05C867}" name="Clothing and footwear"/>
    <tableColumn id="21" xr3:uid="{74A4F9DD-5CDA-4533-8D74-93F750548B1B}" name="Housing"/>
    <tableColumn id="22" xr3:uid="{EA0C6035-53E0-498E-A938-E644293AAED1}" name="Fuel and light"/>
    <tableColumn id="23" xr3:uid="{4ECF540E-3DF6-4421-B663-E9A17EC99F1E}" name="Household goods and services"/>
    <tableColumn id="24" xr3:uid="{6F7AB96E-388B-4A67-9B7F-6B9FACB00D9D}" name="Health"/>
    <tableColumn id="25" xr3:uid="{844B92D0-7C92-4F7D-BCA6-6518EA366C1C}" name="Transport and communication"/>
    <tableColumn id="26" xr3:uid="{5E862A90-2135-441E-8042-31D8B9522B02}" name="Recreation and amusement"/>
    <tableColumn id="27" xr3:uid="{FDCB3EDA-C1F2-4609-BA4C-1D47954739CA}" name="Education"/>
    <tableColumn id="28" xr3:uid="{356FB62E-6580-4D25-9AE4-8D4D35F88095}" name="Personal care and effects"/>
    <tableColumn id="29" xr3:uid="{D2A696C7-D720-477F-844E-541EFD3EC6F1}" name="Miscellaneous"/>
    <tableColumn id="30" xr3:uid="{2C646E77-53BE-4EFB-9B63-B25D1510BC6B}" name="General inde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8CB8F7-8064-4F5C-9ABA-186B024A4E20}" name="crudeoil" displayName="crudeoil" ref="A1:C37" totalsRowShown="0">
  <autoFilter ref="A1:C37" xr:uid="{1C8CB8F7-8064-4F5C-9ABA-186B024A4E20}"/>
  <tableColumns count="3">
    <tableColumn id="1" xr3:uid="{AB87CBEA-3AB9-48F2-8303-81FE2CCFFCA2}" name="Month" dataDxfId="40"/>
    <tableColumn id="2" xr3:uid="{AD71D24A-CF43-44C1-ACDB-168497D806FA}" name="Crude Oil Price" dataDxfId="39"/>
    <tableColumn id="3" xr3:uid="{D9195B7E-B6E0-4333-8DB8-FEF6693DD645}" name="MoM % Change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302345-21A7-4954-9BE3-AD34D2AFB24F}" name="correl" displayName="correl" ref="A1:E28" totalsRowShown="0">
  <autoFilter ref="A1:E28" xr:uid="{E7302345-21A7-4954-9BE3-AD34D2AFB24F}"/>
  <tableColumns count="5">
    <tableColumn id="1" xr3:uid="{5C39104B-D369-4C9F-9573-C0E19C6238E7}" name="Rank" dataDxfId="3"/>
    <tableColumn id="2" xr3:uid="{7BA5DF59-E180-4F4A-B095-D6528B8D378B}" name="CPI Category" dataDxfId="2"/>
    <tableColumn id="3" xr3:uid="{76E5381D-C6AF-4B60-A8BE-0CCA403DC00F}" name="CORREL with Crude Oil" dataDxfId="1"/>
    <tableColumn id="4" xr3:uid="{EC4B62B9-D12C-4E25-B82B-274C4E583038}" name="Strength" dataDxfId="0"/>
    <tableColumn id="5" xr3:uid="{EC1C98BF-E8BE-4A29-AABF-B78893C71D2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9278-2E7A-46B1-8E6A-E903102E274C}">
  <dimension ref="A1:B15"/>
  <sheetViews>
    <sheetView workbookViewId="0">
      <selection activeCell="B22" sqref="B22"/>
    </sheetView>
  </sheetViews>
  <sheetFormatPr defaultRowHeight="14.4" x14ac:dyDescent="0.3"/>
  <cols>
    <col min="1" max="1" width="25.21875" bestFit="1" customWidth="1"/>
    <col min="2" max="2" width="11.6640625" bestFit="1" customWidth="1"/>
  </cols>
  <sheetData>
    <row r="1" spans="1:2" x14ac:dyDescent="0.3">
      <c r="A1" s="1" t="s">
        <v>1</v>
      </c>
      <c r="B1" s="2">
        <v>2023</v>
      </c>
    </row>
    <row r="2" spans="1:2" x14ac:dyDescent="0.3">
      <c r="A2" s="1" t="s">
        <v>2</v>
      </c>
      <c r="B2" t="s">
        <v>38</v>
      </c>
    </row>
    <row r="4" spans="1:2" x14ac:dyDescent="0.3">
      <c r="A4" s="1" t="s">
        <v>54</v>
      </c>
      <c r="B4" t="s">
        <v>57</v>
      </c>
    </row>
    <row r="5" spans="1:2" x14ac:dyDescent="0.3">
      <c r="A5" s="2" t="s">
        <v>19</v>
      </c>
      <c r="B5" s="3">
        <v>0.11974684829021102</v>
      </c>
    </row>
    <row r="6" spans="1:2" x14ac:dyDescent="0.3">
      <c r="A6" s="2" t="s">
        <v>26</v>
      </c>
      <c r="B6" s="3">
        <v>3.8581712471273948E-2</v>
      </c>
    </row>
    <row r="7" spans="1:2" x14ac:dyDescent="0.3">
      <c r="A7" s="2" t="s">
        <v>49</v>
      </c>
      <c r="B7" s="3">
        <v>0.50258443827433463</v>
      </c>
    </row>
    <row r="8" spans="1:2" x14ac:dyDescent="0.3">
      <c r="A8" s="2" t="s">
        <v>21</v>
      </c>
      <c r="B8" s="3">
        <v>3.9777876048455493E-2</v>
      </c>
    </row>
    <row r="9" spans="1:2" x14ac:dyDescent="0.3">
      <c r="A9" s="2" t="s">
        <v>23</v>
      </c>
      <c r="B9" s="3">
        <v>4.0285339384229485E-2</v>
      </c>
    </row>
    <row r="10" spans="1:2" x14ac:dyDescent="0.3">
      <c r="A10" s="2" t="s">
        <v>20</v>
      </c>
      <c r="B10" s="3">
        <v>2.5460160503403623E-2</v>
      </c>
    </row>
    <row r="11" spans="1:2" x14ac:dyDescent="0.3">
      <c r="A11" s="2" t="s">
        <v>28</v>
      </c>
      <c r="B11" s="3">
        <v>7.6257240414380062E-2</v>
      </c>
    </row>
    <row r="12" spans="1:2" x14ac:dyDescent="0.3">
      <c r="A12" s="2" t="s">
        <v>25</v>
      </c>
      <c r="B12" s="3">
        <v>7.7562146134941751E-2</v>
      </c>
    </row>
    <row r="13" spans="1:2" x14ac:dyDescent="0.3">
      <c r="A13" s="2" t="s">
        <v>50</v>
      </c>
      <c r="B13" s="3">
        <v>4.3866580639548784E-2</v>
      </c>
    </row>
    <row r="14" spans="1:2" x14ac:dyDescent="0.3">
      <c r="A14" s="2" t="s">
        <v>24</v>
      </c>
      <c r="B14" s="3">
        <v>3.5877657839221117E-2</v>
      </c>
    </row>
    <row r="15" spans="1:2" x14ac:dyDescent="0.3">
      <c r="A15" s="2" t="s">
        <v>55</v>
      </c>
      <c r="B15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CCE1-1F7E-42C0-9F7C-B09042B02954}">
  <dimension ref="A3:O18"/>
  <sheetViews>
    <sheetView workbookViewId="0">
      <selection activeCell="O15" sqref="O15"/>
    </sheetView>
  </sheetViews>
  <sheetFormatPr defaultRowHeight="14.4" x14ac:dyDescent="0.3"/>
  <cols>
    <col min="1" max="1" width="14.21875" bestFit="1" customWidth="1"/>
    <col min="2" max="2" width="11.6640625" bestFit="1" customWidth="1"/>
    <col min="15" max="15" width="59" customWidth="1"/>
  </cols>
  <sheetData>
    <row r="3" spans="1:15" x14ac:dyDescent="0.3">
      <c r="A3" s="1" t="s">
        <v>54</v>
      </c>
      <c r="B3" t="s">
        <v>57</v>
      </c>
    </row>
    <row r="4" spans="1:15" x14ac:dyDescent="0.3">
      <c r="A4" s="2">
        <v>2017</v>
      </c>
      <c r="B4" s="3">
        <v>0.14131078348516779</v>
      </c>
      <c r="O4" s="36" t="s">
        <v>71</v>
      </c>
    </row>
    <row r="5" spans="1:15" x14ac:dyDescent="0.3">
      <c r="A5" s="4" t="s">
        <v>34</v>
      </c>
      <c r="B5" s="3">
        <v>0.14131078348516779</v>
      </c>
      <c r="O5" s="36" t="s">
        <v>69</v>
      </c>
    </row>
    <row r="6" spans="1:15" x14ac:dyDescent="0.3">
      <c r="A6" s="2">
        <v>2018</v>
      </c>
      <c r="B6" s="3">
        <v>0.14602846629537664</v>
      </c>
    </row>
    <row r="7" spans="1:15" x14ac:dyDescent="0.3">
      <c r="A7" s="4" t="s">
        <v>34</v>
      </c>
      <c r="B7" s="3">
        <v>0.14602846629537664</v>
      </c>
      <c r="O7" s="37" t="s">
        <v>72</v>
      </c>
    </row>
    <row r="8" spans="1:15" x14ac:dyDescent="0.3">
      <c r="A8" s="2">
        <v>2019</v>
      </c>
      <c r="B8" s="3">
        <v>0.13872733722277894</v>
      </c>
      <c r="O8" s="37" t="s">
        <v>70</v>
      </c>
    </row>
    <row r="9" spans="1:15" x14ac:dyDescent="0.3">
      <c r="A9" s="4" t="s">
        <v>34</v>
      </c>
      <c r="B9" s="3">
        <v>0.13872733722277894</v>
      </c>
    </row>
    <row r="10" spans="1:15" x14ac:dyDescent="0.3">
      <c r="A10" s="2">
        <v>2020</v>
      </c>
      <c r="B10" s="3">
        <v>0.14134184238100764</v>
      </c>
    </row>
    <row r="11" spans="1:15" x14ac:dyDescent="0.3">
      <c r="A11" s="4" t="s">
        <v>34</v>
      </c>
      <c r="B11" s="3">
        <v>0.14134184238100764</v>
      </c>
    </row>
    <row r="12" spans="1:15" x14ac:dyDescent="0.3">
      <c r="A12" s="2">
        <v>2021</v>
      </c>
      <c r="B12" s="3">
        <v>0.17159614935078746</v>
      </c>
    </row>
    <row r="13" spans="1:15" x14ac:dyDescent="0.3">
      <c r="A13" s="4" t="s">
        <v>34</v>
      </c>
      <c r="B13" s="3">
        <v>0.17159614935078746</v>
      </c>
    </row>
    <row r="14" spans="1:15" x14ac:dyDescent="0.3">
      <c r="A14" s="2">
        <v>2022</v>
      </c>
      <c r="B14" s="3">
        <v>0.18255863183929141</v>
      </c>
    </row>
    <row r="15" spans="1:15" x14ac:dyDescent="0.3">
      <c r="A15" s="4" t="s">
        <v>34</v>
      </c>
      <c r="B15" s="3">
        <v>0.18255863183929141</v>
      </c>
    </row>
    <row r="16" spans="1:15" x14ac:dyDescent="0.3">
      <c r="A16" s="2">
        <v>2023</v>
      </c>
      <c r="B16" s="3">
        <v>7.8436789425590236E-2</v>
      </c>
    </row>
    <row r="17" spans="1:2" x14ac:dyDescent="0.3">
      <c r="A17" s="4" t="s">
        <v>34</v>
      </c>
      <c r="B17" s="3">
        <v>7.8436789425590236E-2</v>
      </c>
    </row>
    <row r="18" spans="1:2" x14ac:dyDescent="0.3">
      <c r="A18" s="2" t="s">
        <v>55</v>
      </c>
      <c r="B18" s="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458B-1FE2-42EB-A028-458D28BE9FDF}">
  <dimension ref="A4:H25"/>
  <sheetViews>
    <sheetView workbookViewId="0">
      <selection activeCell="Q15" sqref="Q15"/>
    </sheetView>
  </sheetViews>
  <sheetFormatPr defaultRowHeight="14.4" x14ac:dyDescent="0.3"/>
  <cols>
    <col min="1" max="1" width="14.33203125" bestFit="1" customWidth="1"/>
    <col min="2" max="2" width="14.5546875" bestFit="1" customWidth="1"/>
    <col min="3" max="3" width="8.44140625" customWidth="1"/>
    <col min="4" max="4" width="9.33203125" bestFit="1" customWidth="1"/>
    <col min="5" max="5" width="4" bestFit="1" customWidth="1"/>
    <col min="6" max="6" width="17.5546875" bestFit="1" customWidth="1"/>
    <col min="7" max="7" width="9.77734375" customWidth="1"/>
    <col min="8" max="8" width="10.21875" customWidth="1"/>
    <col min="9" max="9" width="12" bestFit="1" customWidth="1"/>
    <col min="10" max="10" width="12.44140625" bestFit="1" customWidth="1"/>
    <col min="11" max="11" width="6.5546875" bestFit="1" customWidth="1"/>
    <col min="12" max="12" width="26.21875" bestFit="1" customWidth="1"/>
    <col min="13" max="13" width="7.6640625" bestFit="1" customWidth="1"/>
    <col min="14" max="14" width="11.88671875" bestFit="1" customWidth="1"/>
    <col min="15" max="15" width="15.88671875" bestFit="1" customWidth="1"/>
    <col min="16" max="16" width="12.88671875" bestFit="1" customWidth="1"/>
    <col min="17" max="17" width="21.77734375" bestFit="1" customWidth="1"/>
    <col min="18" max="18" width="11.21875" bestFit="1" customWidth="1"/>
    <col min="19" max="19" width="25.109375" bestFit="1" customWidth="1"/>
    <col min="20" max="20" width="22" bestFit="1" customWidth="1"/>
    <col min="21" max="21" width="31.5546875" bestFit="1" customWidth="1"/>
    <col min="22" max="22" width="17.88671875" bestFit="1" customWidth="1"/>
    <col min="23" max="23" width="24" bestFit="1" customWidth="1"/>
    <col min="24" max="24" width="6.6640625" bestFit="1" customWidth="1"/>
    <col min="25" max="25" width="21.33203125" bestFit="1" customWidth="1"/>
    <col min="26" max="26" width="26.21875" bestFit="1" customWidth="1"/>
    <col min="27" max="27" width="10.21875" bestFit="1" customWidth="1"/>
    <col min="28" max="28" width="10.5546875" bestFit="1" customWidth="1"/>
  </cols>
  <sheetData>
    <row r="4" spans="1:8" x14ac:dyDescent="0.3">
      <c r="A4" s="10" t="s">
        <v>54</v>
      </c>
      <c r="B4" s="6" t="s">
        <v>59</v>
      </c>
      <c r="C4" s="14" t="s">
        <v>60</v>
      </c>
    </row>
    <row r="5" spans="1:8" x14ac:dyDescent="0.3">
      <c r="A5" s="11" t="s">
        <v>49</v>
      </c>
      <c r="B5" s="6">
        <v>173.86983408748091</v>
      </c>
      <c r="C5" s="6"/>
    </row>
    <row r="6" spans="1:8" x14ac:dyDescent="0.3">
      <c r="A6" s="12">
        <v>2022</v>
      </c>
      <c r="B6" s="6">
        <v>172.81837606837612</v>
      </c>
      <c r="C6" s="6"/>
    </row>
    <row r="7" spans="1:8" x14ac:dyDescent="0.3">
      <c r="A7" s="7" t="s">
        <v>31</v>
      </c>
      <c r="B7" s="6">
        <v>166.76666666666671</v>
      </c>
      <c r="C7" s="6"/>
      <c r="F7" s="13" t="s">
        <v>2</v>
      </c>
      <c r="G7" s="13" t="s">
        <v>61</v>
      </c>
    </row>
    <row r="8" spans="1:8" x14ac:dyDescent="0.3">
      <c r="A8" s="7" t="s">
        <v>35</v>
      </c>
      <c r="B8" s="6">
        <v>166.54102564102561</v>
      </c>
      <c r="C8" s="8">
        <f>(B8-B7)/B7</f>
        <v>-1.353034333246627E-3</v>
      </c>
      <c r="F8" s="22" t="s">
        <v>39</v>
      </c>
      <c r="G8" s="23">
        <v>1.0374708304225964E-2</v>
      </c>
      <c r="H8" s="21" t="s">
        <v>62</v>
      </c>
    </row>
    <row r="9" spans="1:8" x14ac:dyDescent="0.3">
      <c r="A9" s="7" t="s">
        <v>36</v>
      </c>
      <c r="B9" s="6">
        <v>168.19487179487174</v>
      </c>
      <c r="C9" s="8">
        <f t="shared" ref="C9:C18" si="0">(B9-B8)/B8</f>
        <v>9.9305630398298962E-3</v>
      </c>
      <c r="F9" s="22" t="s">
        <v>40</v>
      </c>
      <c r="G9" s="23">
        <v>1.8682789767130823E-3</v>
      </c>
    </row>
    <row r="10" spans="1:8" x14ac:dyDescent="0.3">
      <c r="A10" s="7" t="s">
        <v>37</v>
      </c>
      <c r="B10" s="6">
        <v>170.54615384615383</v>
      </c>
      <c r="C10" s="8">
        <f t="shared" si="0"/>
        <v>1.3979510945789576E-2</v>
      </c>
      <c r="F10" s="22" t="s">
        <v>41</v>
      </c>
      <c r="G10" s="23">
        <v>1.218724304005644E-3</v>
      </c>
    </row>
    <row r="11" spans="1:8" x14ac:dyDescent="0.3">
      <c r="A11" s="7" t="s">
        <v>38</v>
      </c>
      <c r="B11" s="6">
        <v>172.51025641025635</v>
      </c>
      <c r="C11" s="8">
        <f t="shared" si="0"/>
        <v>1.1516545637694617E-2</v>
      </c>
      <c r="F11" s="22" t="s">
        <v>42</v>
      </c>
      <c r="G11" s="23">
        <v>5.3382609588334901E-3</v>
      </c>
    </row>
    <row r="12" spans="1:8" x14ac:dyDescent="0.3">
      <c r="A12" s="15" t="s">
        <v>39</v>
      </c>
      <c r="B12" s="16">
        <v>174.29999999999998</v>
      </c>
      <c r="C12" s="17">
        <f t="shared" si="0"/>
        <v>1.0374708304225964E-2</v>
      </c>
      <c r="F12" s="22" t="s">
        <v>43</v>
      </c>
      <c r="G12" s="23">
        <v>7.1479628305932356E-3</v>
      </c>
    </row>
    <row r="13" spans="1:8" x14ac:dyDescent="0.3">
      <c r="A13" s="7" t="s">
        <v>40</v>
      </c>
      <c r="B13" s="6">
        <v>174.62564102564107</v>
      </c>
      <c r="C13" s="8">
        <f t="shared" si="0"/>
        <v>1.8682789767130823E-3</v>
      </c>
      <c r="F13" s="22" t="s">
        <v>45</v>
      </c>
      <c r="G13" s="23">
        <v>-7.5317564925185109E-4</v>
      </c>
    </row>
    <row r="14" spans="1:8" x14ac:dyDescent="0.3">
      <c r="A14" s="7" t="s">
        <v>41</v>
      </c>
      <c r="B14" s="6">
        <v>174.83846153846159</v>
      </c>
      <c r="C14" s="8">
        <f t="shared" si="0"/>
        <v>1.218724304005644E-3</v>
      </c>
      <c r="F14" s="22" t="s">
        <v>46</v>
      </c>
      <c r="G14" s="23">
        <v>-6.1748974474194335E-3</v>
      </c>
      <c r="H14" s="5" t="s">
        <v>63</v>
      </c>
    </row>
    <row r="15" spans="1:8" x14ac:dyDescent="0.3">
      <c r="A15" s="7" t="s">
        <v>42</v>
      </c>
      <c r="B15" s="6">
        <v>175.77179487179487</v>
      </c>
      <c r="C15" s="8">
        <f t="shared" si="0"/>
        <v>5.3382609588334901E-3</v>
      </c>
      <c r="F15" s="22" t="s">
        <v>31</v>
      </c>
      <c r="G15" s="24">
        <v>4.3463675743479696E-3</v>
      </c>
    </row>
    <row r="16" spans="1:8" x14ac:dyDescent="0.3">
      <c r="A16" s="7" t="s">
        <v>43</v>
      </c>
      <c r="B16" s="6">
        <v>177.02820512820512</v>
      </c>
      <c r="C16" s="8">
        <f t="shared" si="0"/>
        <v>7.1479628305932356E-3</v>
      </c>
      <c r="F16" s="22" t="s">
        <v>35</v>
      </c>
      <c r="G16" s="24">
        <v>-5.5328850873501709E-3</v>
      </c>
    </row>
    <row r="17" spans="1:7" x14ac:dyDescent="0.3">
      <c r="A17" s="7" t="s">
        <v>45</v>
      </c>
      <c r="B17" s="6">
        <v>176.89487179487179</v>
      </c>
      <c r="C17" s="8">
        <f t="shared" si="0"/>
        <v>-7.5317564925185109E-4</v>
      </c>
      <c r="F17" s="22" t="s">
        <v>36</v>
      </c>
      <c r="G17" s="24">
        <v>5.8411214953554102E-5</v>
      </c>
    </row>
    <row r="18" spans="1:7" x14ac:dyDescent="0.3">
      <c r="A18" s="18" t="s">
        <v>46</v>
      </c>
      <c r="B18" s="19">
        <v>175.80256410256405</v>
      </c>
      <c r="C18" s="20">
        <f t="shared" si="0"/>
        <v>-6.1748974474194335E-3</v>
      </c>
      <c r="F18" s="22" t="s">
        <v>37</v>
      </c>
      <c r="G18" s="24">
        <v>4.8332457216283221E-3</v>
      </c>
    </row>
    <row r="19" spans="1:7" x14ac:dyDescent="0.3">
      <c r="A19" s="12">
        <v>2023</v>
      </c>
      <c r="B19" s="6">
        <v>176.39333333333346</v>
      </c>
      <c r="C19" s="8"/>
      <c r="F19" s="22" t="s">
        <v>38</v>
      </c>
      <c r="G19" s="24">
        <v>7.4402383201338275E-3</v>
      </c>
    </row>
    <row r="20" spans="1:7" x14ac:dyDescent="0.3">
      <c r="A20" s="7" t="s">
        <v>31</v>
      </c>
      <c r="B20" s="6">
        <v>176.56666666666666</v>
      </c>
      <c r="C20" s="8">
        <f>(B20-B18)/B18</f>
        <v>4.3463675743479696E-3</v>
      </c>
    </row>
    <row r="21" spans="1:7" x14ac:dyDescent="0.3">
      <c r="A21" s="7" t="s">
        <v>35</v>
      </c>
      <c r="B21" s="6">
        <v>175.58974358974353</v>
      </c>
      <c r="C21" s="8">
        <f>(B21-B20)/B20</f>
        <v>-5.5328850873501709E-3</v>
      </c>
    </row>
    <row r="22" spans="1:7" x14ac:dyDescent="0.3">
      <c r="A22" s="7" t="s">
        <v>36</v>
      </c>
      <c r="B22" s="6">
        <v>175.6</v>
      </c>
      <c r="C22" s="8">
        <f t="shared" ref="C22:C24" si="1">(B22-B21)/B21</f>
        <v>5.8411214953554102E-5</v>
      </c>
    </row>
    <row r="23" spans="1:7" x14ac:dyDescent="0.3">
      <c r="A23" s="7" t="s">
        <v>37</v>
      </c>
      <c r="B23" s="6">
        <v>176.44871794871793</v>
      </c>
      <c r="C23" s="8">
        <f t="shared" si="1"/>
        <v>4.8332457216283221E-3</v>
      </c>
    </row>
    <row r="24" spans="1:7" x14ac:dyDescent="0.3">
      <c r="A24" s="7" t="s">
        <v>38</v>
      </c>
      <c r="B24" s="6">
        <v>177.76153846153846</v>
      </c>
      <c r="C24" s="8">
        <f t="shared" si="1"/>
        <v>7.4402383201338275E-3</v>
      </c>
    </row>
    <row r="25" spans="1:7" x14ac:dyDescent="0.3">
      <c r="A25" s="11" t="s">
        <v>55</v>
      </c>
      <c r="B25" s="6">
        <v>173.86983408748091</v>
      </c>
      <c r="C25" s="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A9D4-0485-435A-A56F-AEBD1A5D4C15}">
  <dimension ref="A1:J10045"/>
  <sheetViews>
    <sheetView workbookViewId="0">
      <selection activeCell="K7752" sqref="K7752"/>
    </sheetView>
  </sheetViews>
  <sheetFormatPr defaultRowHeight="14.4" x14ac:dyDescent="0.3"/>
  <cols>
    <col min="1" max="1" width="11.109375" bestFit="1" customWidth="1"/>
    <col min="2" max="2" width="6.88671875" bestFit="1" customWidth="1"/>
    <col min="3" max="3" width="9.77734375" bestFit="1" customWidth="1"/>
    <col min="4" max="4" width="30.77734375" bestFit="1" customWidth="1"/>
    <col min="5" max="5" width="30.77734375" customWidth="1"/>
    <col min="6" max="6" width="7.88671875" bestFit="1" customWidth="1"/>
    <col min="7" max="7" width="10.21875" bestFit="1" customWidth="1"/>
    <col min="8" max="8" width="9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52</v>
      </c>
      <c r="E1" t="s">
        <v>51</v>
      </c>
      <c r="F1" t="s">
        <v>53</v>
      </c>
      <c r="G1" t="s">
        <v>76</v>
      </c>
      <c r="H1" t="s">
        <v>77</v>
      </c>
      <c r="I1" t="s">
        <v>78</v>
      </c>
      <c r="J1" t="s">
        <v>79</v>
      </c>
    </row>
    <row r="2" spans="1:10" hidden="1" x14ac:dyDescent="0.3">
      <c r="A2" t="s">
        <v>30</v>
      </c>
      <c r="B2">
        <v>2013</v>
      </c>
      <c r="C2" t="s">
        <v>31</v>
      </c>
      <c r="D2" t="s">
        <v>3</v>
      </c>
      <c r="E2" t="e">
        <f>VLOOKUP(Cpi_[[#This Row],[Attribute]],#REF!,2,FALSE)</f>
        <v>#REF!</v>
      </c>
      <c r="F2">
        <v>107.5</v>
      </c>
      <c r="G2" t="e">
        <f>(Cpi_[[#This Row],[Value]]-F1)/F1</f>
        <v>#VALUE!</v>
      </c>
      <c r="H2" t="e" cm="1" vm="1">
        <f t="array" aca="1" ref="H2" ca="1">VLOOKUP(Cpi_[[#This Row],[Year]:[Month]],crudeoil[],3,FALSE)</f>
        <v>#VALUE!</v>
      </c>
    </row>
    <row r="3" spans="1:10" hidden="1" x14ac:dyDescent="0.3">
      <c r="A3" t="s">
        <v>30</v>
      </c>
      <c r="B3">
        <v>2013</v>
      </c>
      <c r="C3" t="s">
        <v>31</v>
      </c>
      <c r="D3" t="s">
        <v>4</v>
      </c>
      <c r="E3" t="e">
        <f>VLOOKUP(Cpi_[[#This Row],[Attribute]],#REF!,2,FALSE)</f>
        <v>#REF!</v>
      </c>
      <c r="F3">
        <v>106.3</v>
      </c>
      <c r="G3">
        <f>(Cpi_[[#This Row],[Value]]-F2)/F2</f>
        <v>-1.1162790697674445E-2</v>
      </c>
      <c r="H3" t="e" cm="1" vm="1">
        <f t="array" aca="1" ref="H3" ca="1">VLOOKUP(Cpi_[[#This Row],[Year]:[Month]],crudeoil[],3,FALSE)</f>
        <v>#VALUE!</v>
      </c>
    </row>
    <row r="4" spans="1:10" hidden="1" x14ac:dyDescent="0.3">
      <c r="A4" t="s">
        <v>30</v>
      </c>
      <c r="B4">
        <v>2013</v>
      </c>
      <c r="C4" t="s">
        <v>31</v>
      </c>
      <c r="D4" t="s">
        <v>5</v>
      </c>
      <c r="E4" t="e">
        <f>VLOOKUP(Cpi_[[#This Row],[Attribute]],#REF!,2,FALSE)</f>
        <v>#REF!</v>
      </c>
      <c r="F4">
        <v>108.1</v>
      </c>
      <c r="G4">
        <f>(Cpi_[[#This Row],[Value]]-F3)/F3</f>
        <v>1.6933207902163662E-2</v>
      </c>
      <c r="H4" t="e" cm="1" vm="1">
        <f t="array" aca="1" ref="H4" ca="1">VLOOKUP(Cpi_[[#This Row],[Year]:[Month]],crudeoil[],3,FALSE)</f>
        <v>#VALUE!</v>
      </c>
    </row>
    <row r="5" spans="1:10" hidden="1" x14ac:dyDescent="0.3">
      <c r="A5" t="s">
        <v>30</v>
      </c>
      <c r="B5">
        <v>2013</v>
      </c>
      <c r="C5" t="s">
        <v>31</v>
      </c>
      <c r="D5" t="s">
        <v>6</v>
      </c>
      <c r="E5" t="e">
        <f>VLOOKUP(Cpi_[[#This Row],[Attribute]],#REF!,2,FALSE)</f>
        <v>#REF!</v>
      </c>
      <c r="F5">
        <v>104.9</v>
      </c>
      <c r="G5">
        <f>(Cpi_[[#This Row],[Value]]-F4)/F4</f>
        <v>-2.9602220166512386E-2</v>
      </c>
      <c r="H5" t="e" cm="1" vm="1">
        <f t="array" aca="1" ref="H5" ca="1">VLOOKUP(Cpi_[[#This Row],[Year]:[Month]],crudeoil[],3,FALSE)</f>
        <v>#VALUE!</v>
      </c>
    </row>
    <row r="6" spans="1:10" hidden="1" x14ac:dyDescent="0.3">
      <c r="A6" t="s">
        <v>30</v>
      </c>
      <c r="B6">
        <v>2013</v>
      </c>
      <c r="C6" t="s">
        <v>31</v>
      </c>
      <c r="D6" t="s">
        <v>7</v>
      </c>
      <c r="E6" t="e">
        <f>VLOOKUP(Cpi_[[#This Row],[Attribute]],#REF!,2,FALSE)</f>
        <v>#REF!</v>
      </c>
      <c r="F6">
        <v>106.1</v>
      </c>
      <c r="G6">
        <f>(Cpi_[[#This Row],[Value]]-F5)/F5</f>
        <v>1.1439466158245839E-2</v>
      </c>
      <c r="H6" t="e" cm="1" vm="1">
        <f t="array" aca="1" ref="H6" ca="1">VLOOKUP(Cpi_[[#This Row],[Year]:[Month]],crudeoil[],3,FALSE)</f>
        <v>#VALUE!</v>
      </c>
    </row>
    <row r="7" spans="1:10" hidden="1" x14ac:dyDescent="0.3">
      <c r="A7" t="s">
        <v>30</v>
      </c>
      <c r="B7">
        <v>2013</v>
      </c>
      <c r="C7" t="s">
        <v>31</v>
      </c>
      <c r="D7" t="s">
        <v>8</v>
      </c>
      <c r="E7" t="e">
        <f>VLOOKUP(Cpi_[[#This Row],[Attribute]],#REF!,2,FALSE)</f>
        <v>#REF!</v>
      </c>
      <c r="F7">
        <v>103.9</v>
      </c>
      <c r="G7">
        <f>(Cpi_[[#This Row],[Value]]-F6)/F6</f>
        <v>-2.0735155513666247E-2</v>
      </c>
      <c r="H7" t="e" cm="1" vm="1">
        <f t="array" aca="1" ref="H7" ca="1">VLOOKUP(Cpi_[[#This Row],[Year]:[Month]],crudeoil[],3,FALSE)</f>
        <v>#VALUE!</v>
      </c>
    </row>
    <row r="8" spans="1:10" hidden="1" x14ac:dyDescent="0.3">
      <c r="A8" t="s">
        <v>30</v>
      </c>
      <c r="B8">
        <v>2013</v>
      </c>
      <c r="C8" t="s">
        <v>31</v>
      </c>
      <c r="D8" t="s">
        <v>9</v>
      </c>
      <c r="E8" t="e">
        <f>VLOOKUP(Cpi_[[#This Row],[Attribute]],#REF!,2,FALSE)</f>
        <v>#REF!</v>
      </c>
      <c r="F8">
        <v>101.9</v>
      </c>
      <c r="G8">
        <f>(Cpi_[[#This Row],[Value]]-F7)/F7</f>
        <v>-1.9249278152069296E-2</v>
      </c>
      <c r="H8" t="e" cm="1" vm="1">
        <f t="array" aca="1" ref="H8" ca="1">VLOOKUP(Cpi_[[#This Row],[Year]:[Month]],crudeoil[],3,FALSE)</f>
        <v>#VALUE!</v>
      </c>
    </row>
    <row r="9" spans="1:10" hidden="1" x14ac:dyDescent="0.3">
      <c r="A9" t="s">
        <v>30</v>
      </c>
      <c r="B9">
        <v>2013</v>
      </c>
      <c r="C9" t="s">
        <v>31</v>
      </c>
      <c r="D9" t="s">
        <v>10</v>
      </c>
      <c r="E9" t="e">
        <f>VLOOKUP(Cpi_[[#This Row],[Attribute]],#REF!,2,FALSE)</f>
        <v>#REF!</v>
      </c>
      <c r="F9">
        <v>106.1</v>
      </c>
      <c r="G9">
        <f>(Cpi_[[#This Row],[Value]]-F8)/F8</f>
        <v>4.121687929342481E-2</v>
      </c>
      <c r="H9" t="e" cm="1" vm="1">
        <f t="array" aca="1" ref="H9" ca="1">VLOOKUP(Cpi_[[#This Row],[Year]:[Month]],crudeoil[],3,FALSE)</f>
        <v>#VALUE!</v>
      </c>
    </row>
    <row r="10" spans="1:10" hidden="1" x14ac:dyDescent="0.3">
      <c r="A10" t="s">
        <v>30</v>
      </c>
      <c r="B10">
        <v>2013</v>
      </c>
      <c r="C10" t="s">
        <v>31</v>
      </c>
      <c r="D10" t="s">
        <v>11</v>
      </c>
      <c r="E10" t="e">
        <f>VLOOKUP(Cpi_[[#This Row],[Attribute]],#REF!,2,FALSE)</f>
        <v>#REF!</v>
      </c>
      <c r="F10">
        <v>106.8</v>
      </c>
      <c r="G10">
        <f>(Cpi_[[#This Row],[Value]]-F9)/F9</f>
        <v>6.5975494816211391E-3</v>
      </c>
      <c r="H10" t="e" cm="1" vm="1">
        <f t="array" aca="1" ref="H10" ca="1">VLOOKUP(Cpi_[[#This Row],[Year]:[Month]],crudeoil[],3,FALSE)</f>
        <v>#VALUE!</v>
      </c>
    </row>
    <row r="11" spans="1:10" hidden="1" x14ac:dyDescent="0.3">
      <c r="A11" t="s">
        <v>30</v>
      </c>
      <c r="B11">
        <v>2013</v>
      </c>
      <c r="C11" t="s">
        <v>31</v>
      </c>
      <c r="D11" t="s">
        <v>12</v>
      </c>
      <c r="E11" t="e">
        <f>VLOOKUP(Cpi_[[#This Row],[Attribute]],#REF!,2,FALSE)</f>
        <v>#REF!</v>
      </c>
      <c r="F11">
        <v>103.1</v>
      </c>
      <c r="G11">
        <f>(Cpi_[[#This Row],[Value]]-F10)/F10</f>
        <v>-3.4644194756554336E-2</v>
      </c>
      <c r="H11" t="e" cm="1" vm="1">
        <f t="array" aca="1" ref="H11" ca="1">VLOOKUP(Cpi_[[#This Row],[Year]:[Month]],crudeoil[],3,FALSE)</f>
        <v>#VALUE!</v>
      </c>
    </row>
    <row r="12" spans="1:10" hidden="1" x14ac:dyDescent="0.3">
      <c r="A12" t="s">
        <v>30</v>
      </c>
      <c r="B12">
        <v>2013</v>
      </c>
      <c r="C12" t="s">
        <v>31</v>
      </c>
      <c r="D12" t="s">
        <v>13</v>
      </c>
      <c r="E12" t="e">
        <f>VLOOKUP(Cpi_[[#This Row],[Attribute]],#REF!,2,FALSE)</f>
        <v>#REF!</v>
      </c>
      <c r="F12">
        <v>104.8</v>
      </c>
      <c r="G12">
        <f>(Cpi_[[#This Row],[Value]]-F11)/F11</f>
        <v>1.6488845780795371E-2</v>
      </c>
      <c r="H12" t="e" cm="1" vm="1">
        <f t="array" aca="1" ref="H12" ca="1">VLOOKUP(Cpi_[[#This Row],[Year]:[Month]],crudeoil[],3,FALSE)</f>
        <v>#VALUE!</v>
      </c>
    </row>
    <row r="13" spans="1:10" hidden="1" x14ac:dyDescent="0.3">
      <c r="A13" t="s">
        <v>30</v>
      </c>
      <c r="B13">
        <v>2013</v>
      </c>
      <c r="C13" t="s">
        <v>31</v>
      </c>
      <c r="D13" t="s">
        <v>14</v>
      </c>
      <c r="E13" t="e">
        <f>VLOOKUP(Cpi_[[#This Row],[Attribute]],#REF!,2,FALSE)</f>
        <v>#REF!</v>
      </c>
      <c r="F13">
        <v>106.7</v>
      </c>
      <c r="G13">
        <f>(Cpi_[[#This Row],[Value]]-F12)/F12</f>
        <v>1.8129770992366467E-2</v>
      </c>
      <c r="H13" t="e" cm="1" vm="1">
        <f t="array" aca="1" ref="H13" ca="1">VLOOKUP(Cpi_[[#This Row],[Year]:[Month]],crudeoil[],3,FALSE)</f>
        <v>#VALUE!</v>
      </c>
    </row>
    <row r="14" spans="1:10" hidden="1" x14ac:dyDescent="0.3">
      <c r="A14" t="s">
        <v>30</v>
      </c>
      <c r="B14">
        <v>2013</v>
      </c>
      <c r="C14" t="s">
        <v>31</v>
      </c>
      <c r="D14" t="s">
        <v>15</v>
      </c>
      <c r="E14" t="e">
        <f>VLOOKUP(Cpi_[[#This Row],[Attribute]],#REF!,2,FALSE)</f>
        <v>#REF!</v>
      </c>
      <c r="F14">
        <v>105.5</v>
      </c>
      <c r="G14">
        <f>(Cpi_[[#This Row],[Value]]-F13)/F13</f>
        <v>-1.1246485473289623E-2</v>
      </c>
      <c r="H14" t="e" cm="1" vm="1">
        <f t="array" aca="1" ref="H14" ca="1">VLOOKUP(Cpi_[[#This Row],[Year]:[Month]],crudeoil[],3,FALSE)</f>
        <v>#VALUE!</v>
      </c>
    </row>
    <row r="15" spans="1:10" hidden="1" x14ac:dyDescent="0.3">
      <c r="A15" t="s">
        <v>30</v>
      </c>
      <c r="B15">
        <v>2013</v>
      </c>
      <c r="C15" t="s">
        <v>31</v>
      </c>
      <c r="D15" t="s">
        <v>16</v>
      </c>
      <c r="E15" t="e">
        <f>VLOOKUP(Cpi_[[#This Row],[Attribute]],#REF!,2,FALSE)</f>
        <v>#REF!</v>
      </c>
      <c r="F15">
        <v>105.1</v>
      </c>
      <c r="G15">
        <f>(Cpi_[[#This Row],[Value]]-F14)/F14</f>
        <v>-3.7914691943128501E-3</v>
      </c>
      <c r="H15" t="e" cm="1" vm="1">
        <f t="array" aca="1" ref="H15" ca="1">VLOOKUP(Cpi_[[#This Row],[Year]:[Month]],crudeoil[],3,FALSE)</f>
        <v>#VALUE!</v>
      </c>
    </row>
    <row r="16" spans="1:10" hidden="1" x14ac:dyDescent="0.3">
      <c r="A16" t="s">
        <v>30</v>
      </c>
      <c r="B16">
        <v>2013</v>
      </c>
      <c r="C16" t="s">
        <v>31</v>
      </c>
      <c r="D16" t="s">
        <v>17</v>
      </c>
      <c r="E16" t="e">
        <f>VLOOKUP(Cpi_[[#This Row],[Attribute]],#REF!,2,FALSE)</f>
        <v>#REF!</v>
      </c>
      <c r="F16">
        <v>106.5</v>
      </c>
      <c r="G16">
        <f>(Cpi_[[#This Row],[Value]]-F15)/F15</f>
        <v>1.3320647002854479E-2</v>
      </c>
      <c r="H16" t="e" cm="1" vm="1">
        <f t="array" aca="1" ref="H16" ca="1">VLOOKUP(Cpi_[[#This Row],[Year]:[Month]],crudeoil[],3,FALSE)</f>
        <v>#VALUE!</v>
      </c>
    </row>
    <row r="17" spans="1:8" hidden="1" x14ac:dyDescent="0.3">
      <c r="A17" t="s">
        <v>30</v>
      </c>
      <c r="B17">
        <v>2013</v>
      </c>
      <c r="C17" t="s">
        <v>31</v>
      </c>
      <c r="D17" t="s">
        <v>18</v>
      </c>
      <c r="E17" t="e">
        <f>VLOOKUP(Cpi_[[#This Row],[Attribute]],#REF!,2,FALSE)</f>
        <v>#REF!</v>
      </c>
      <c r="F17">
        <v>105.8</v>
      </c>
      <c r="G17">
        <f>(Cpi_[[#This Row],[Value]]-F16)/F16</f>
        <v>-6.5727699530516697E-3</v>
      </c>
      <c r="H17" t="e" cm="1" vm="1">
        <f t="array" aca="1" ref="H17" ca="1">VLOOKUP(Cpi_[[#This Row],[Year]:[Month]],crudeoil[],3,FALSE)</f>
        <v>#VALUE!</v>
      </c>
    </row>
    <row r="18" spans="1:8" hidden="1" x14ac:dyDescent="0.3">
      <c r="A18" t="s">
        <v>30</v>
      </c>
      <c r="B18">
        <v>2013</v>
      </c>
      <c r="C18" t="s">
        <v>31</v>
      </c>
      <c r="D18" t="s">
        <v>19</v>
      </c>
      <c r="E18" t="e">
        <f>VLOOKUP(Cpi_[[#This Row],[Attribute]],#REF!,2,FALSE)</f>
        <v>#REF!</v>
      </c>
      <c r="F18">
        <v>106.4</v>
      </c>
      <c r="G18">
        <f>(Cpi_[[#This Row],[Value]]-F17)/F17</f>
        <v>5.671077504725979E-3</v>
      </c>
      <c r="H18" t="e" cm="1" vm="1">
        <f t="array" aca="1" ref="H18" ca="1">VLOOKUP(Cpi_[[#This Row],[Year]:[Month]],crudeoil[],3,FALSE)</f>
        <v>#VALUE!</v>
      </c>
    </row>
    <row r="19" spans="1:8" hidden="1" x14ac:dyDescent="0.3">
      <c r="A19" t="s">
        <v>30</v>
      </c>
      <c r="B19">
        <v>2013</v>
      </c>
      <c r="C19" t="s">
        <v>31</v>
      </c>
      <c r="D19" t="s">
        <v>20</v>
      </c>
      <c r="E19" t="e">
        <f>VLOOKUP(Cpi_[[#This Row],[Attribute]],#REF!,2,FALSE)</f>
        <v>#REF!</v>
      </c>
      <c r="F19" t="s">
        <v>32</v>
      </c>
      <c r="G19" t="e">
        <f>(Cpi_[[#This Row],[Value]]-F18)/F18</f>
        <v>#VALUE!</v>
      </c>
      <c r="H19" t="e" cm="1" vm="1">
        <f t="array" aca="1" ref="H19" ca="1">VLOOKUP(Cpi_[[#This Row],[Year]:[Month]],crudeoil[],3,FALSE)</f>
        <v>#VALUE!</v>
      </c>
    </row>
    <row r="20" spans="1:8" hidden="1" x14ac:dyDescent="0.3">
      <c r="A20" t="s">
        <v>30</v>
      </c>
      <c r="B20">
        <v>2013</v>
      </c>
      <c r="C20" t="s">
        <v>31</v>
      </c>
      <c r="D20" t="s">
        <v>21</v>
      </c>
      <c r="E20" t="e">
        <f>VLOOKUP(Cpi_[[#This Row],[Attribute]],#REF!,2,FALSE)</f>
        <v>#REF!</v>
      </c>
      <c r="F20">
        <v>105.5</v>
      </c>
      <c r="G20" t="e">
        <f>(Cpi_[[#This Row],[Value]]-F19)/F19</f>
        <v>#VALUE!</v>
      </c>
      <c r="H20" t="e" cm="1" vm="1">
        <f t="array" aca="1" ref="H20" ca="1">VLOOKUP(Cpi_[[#This Row],[Year]:[Month]],crudeoil[],3,FALSE)</f>
        <v>#VALUE!</v>
      </c>
    </row>
    <row r="21" spans="1:8" hidden="1" x14ac:dyDescent="0.3">
      <c r="A21" t="s">
        <v>30</v>
      </c>
      <c r="B21">
        <v>2013</v>
      </c>
      <c r="C21" t="s">
        <v>31</v>
      </c>
      <c r="D21" t="s">
        <v>22</v>
      </c>
      <c r="E21" t="e">
        <f>VLOOKUP(Cpi_[[#This Row],[Attribute]],#REF!,2,FALSE)</f>
        <v>#REF!</v>
      </c>
      <c r="F21">
        <v>104.8</v>
      </c>
      <c r="G21">
        <f>(Cpi_[[#This Row],[Value]]-F20)/F20</f>
        <v>-6.6350710900474202E-3</v>
      </c>
      <c r="H21" t="e" cm="1" vm="1">
        <f t="array" aca="1" ref="H21" ca="1">VLOOKUP(Cpi_[[#This Row],[Year]:[Month]],crudeoil[],3,FALSE)</f>
        <v>#VALUE!</v>
      </c>
    </row>
    <row r="22" spans="1:8" hidden="1" x14ac:dyDescent="0.3">
      <c r="A22" t="s">
        <v>30</v>
      </c>
      <c r="B22">
        <v>2013</v>
      </c>
      <c r="C22" t="s">
        <v>31</v>
      </c>
      <c r="D22" t="s">
        <v>23</v>
      </c>
      <c r="E22" t="e">
        <f>VLOOKUP(Cpi_[[#This Row],[Attribute]],#REF!,2,FALSE)</f>
        <v>#REF!</v>
      </c>
      <c r="F22">
        <v>104</v>
      </c>
      <c r="G22">
        <f>(Cpi_[[#This Row],[Value]]-F21)/F21</f>
        <v>-7.6335877862595148E-3</v>
      </c>
      <c r="H22" t="e" cm="1" vm="1">
        <f t="array" aca="1" ref="H22" ca="1">VLOOKUP(Cpi_[[#This Row],[Year]:[Month]],crudeoil[],3,FALSE)</f>
        <v>#VALUE!</v>
      </c>
    </row>
    <row r="23" spans="1:8" hidden="1" x14ac:dyDescent="0.3">
      <c r="A23" t="s">
        <v>30</v>
      </c>
      <c r="B23">
        <v>2013</v>
      </c>
      <c r="C23" t="s">
        <v>31</v>
      </c>
      <c r="D23" t="s">
        <v>24</v>
      </c>
      <c r="E23" t="e">
        <f>VLOOKUP(Cpi_[[#This Row],[Attribute]],#REF!,2,FALSE)</f>
        <v>#REF!</v>
      </c>
      <c r="F23">
        <v>103.3</v>
      </c>
      <c r="G23">
        <f>(Cpi_[[#This Row],[Value]]-F22)/F22</f>
        <v>-6.730769230769258E-3</v>
      </c>
      <c r="H23" t="e" cm="1" vm="1">
        <f t="array" aca="1" ref="H23" ca="1">VLOOKUP(Cpi_[[#This Row],[Year]:[Month]],crudeoil[],3,FALSE)</f>
        <v>#VALUE!</v>
      </c>
    </row>
    <row r="24" spans="1:8" hidden="1" x14ac:dyDescent="0.3">
      <c r="A24" t="s">
        <v>30</v>
      </c>
      <c r="B24">
        <v>2013</v>
      </c>
      <c r="C24" t="s">
        <v>31</v>
      </c>
      <c r="D24" t="s">
        <v>25</v>
      </c>
      <c r="E24" t="e">
        <f>VLOOKUP(Cpi_[[#This Row],[Attribute]],#REF!,2,FALSE)</f>
        <v>#REF!</v>
      </c>
      <c r="F24">
        <v>103.4</v>
      </c>
      <c r="G24">
        <f>(Cpi_[[#This Row],[Value]]-F23)/F23</f>
        <v>9.6805421103590055E-4</v>
      </c>
      <c r="H24" t="e" cm="1" vm="1">
        <f t="array" aca="1" ref="H24" ca="1">VLOOKUP(Cpi_[[#This Row],[Year]:[Month]],crudeoil[],3,FALSE)</f>
        <v>#VALUE!</v>
      </c>
    </row>
    <row r="25" spans="1:8" hidden="1" x14ac:dyDescent="0.3">
      <c r="A25" t="s">
        <v>30</v>
      </c>
      <c r="B25">
        <v>2013</v>
      </c>
      <c r="C25" t="s">
        <v>31</v>
      </c>
      <c r="D25" t="s">
        <v>26</v>
      </c>
      <c r="E25" t="e">
        <f>VLOOKUP(Cpi_[[#This Row],[Attribute]],#REF!,2,FALSE)</f>
        <v>#REF!</v>
      </c>
      <c r="F25">
        <v>103.8</v>
      </c>
      <c r="G25">
        <f>(Cpi_[[#This Row],[Value]]-F24)/F24</f>
        <v>3.8684719535782537E-3</v>
      </c>
      <c r="H25" t="e" cm="1" vm="1">
        <f t="array" aca="1" ref="H25" ca="1">VLOOKUP(Cpi_[[#This Row],[Year]:[Month]],crudeoil[],3,FALSE)</f>
        <v>#VALUE!</v>
      </c>
    </row>
    <row r="26" spans="1:8" hidden="1" x14ac:dyDescent="0.3">
      <c r="A26" t="s">
        <v>30</v>
      </c>
      <c r="B26">
        <v>2013</v>
      </c>
      <c r="C26" t="s">
        <v>31</v>
      </c>
      <c r="D26" t="s">
        <v>27</v>
      </c>
      <c r="E26" t="e">
        <f>VLOOKUP(Cpi_[[#This Row],[Attribute]],#REF!,2,FALSE)</f>
        <v>#REF!</v>
      </c>
      <c r="F26">
        <v>104.7</v>
      </c>
      <c r="G26">
        <f>(Cpi_[[#This Row],[Value]]-F25)/F25</f>
        <v>8.6705202312139275E-3</v>
      </c>
      <c r="H26" t="e" cm="1" vm="1">
        <f t="array" aca="1" ref="H26" ca="1">VLOOKUP(Cpi_[[#This Row],[Year]:[Month]],crudeoil[],3,FALSE)</f>
        <v>#VALUE!</v>
      </c>
    </row>
    <row r="27" spans="1:8" hidden="1" x14ac:dyDescent="0.3">
      <c r="A27" t="s">
        <v>30</v>
      </c>
      <c r="B27">
        <v>2013</v>
      </c>
      <c r="C27" t="s">
        <v>31</v>
      </c>
      <c r="D27" t="s">
        <v>28</v>
      </c>
      <c r="E27" t="e">
        <f>VLOOKUP(Cpi_[[#This Row],[Attribute]],#REF!,2,FALSE)</f>
        <v>#REF!</v>
      </c>
      <c r="F27">
        <v>104</v>
      </c>
      <c r="G27">
        <f>(Cpi_[[#This Row],[Value]]-F26)/F26</f>
        <v>-6.6857688634193203E-3</v>
      </c>
      <c r="H27" t="e" cm="1" vm="1">
        <f t="array" aca="1" ref="H27" ca="1">VLOOKUP(Cpi_[[#This Row],[Year]:[Month]],crudeoil[],3,FALSE)</f>
        <v>#VALUE!</v>
      </c>
    </row>
    <row r="28" spans="1:8" hidden="1" x14ac:dyDescent="0.3">
      <c r="A28" t="s">
        <v>30</v>
      </c>
      <c r="B28">
        <v>2013</v>
      </c>
      <c r="C28" t="s">
        <v>31</v>
      </c>
      <c r="D28" t="s">
        <v>29</v>
      </c>
      <c r="E28" t="e" cm="1">
        <f t="array" aca="1" ref="E28" ca="1">VLGeneral indexGeneral indexKUP(Cpi_[[#This Row],[Attribute]],#REF!,2,FALSE)</f>
        <v>#NAME?</v>
      </c>
      <c r="F28">
        <v>105.1</v>
      </c>
      <c r="G28">
        <f>(Cpi_[[#This Row],[Value]]-F27)/F27</f>
        <v>1.0576923076923022E-2</v>
      </c>
      <c r="H28" t="e" cm="1" vm="1">
        <f t="array" aca="1" ref="H28" ca="1">VLOOKUP(Cpi_[[#This Row],[Year]:[Month]],crudeoil[],3,FALSE)</f>
        <v>#VALUE!</v>
      </c>
    </row>
    <row r="29" spans="1:8" hidden="1" x14ac:dyDescent="0.3">
      <c r="A29" t="s">
        <v>33</v>
      </c>
      <c r="B29">
        <v>2013</v>
      </c>
      <c r="C29" t="s">
        <v>31</v>
      </c>
      <c r="D29" t="s">
        <v>3</v>
      </c>
      <c r="E29" t="e">
        <f>VLOOKUP(Cpi_[[#This Row],[Attribute]],#REF!,2,FALSE)</f>
        <v>#REF!</v>
      </c>
      <c r="F29">
        <v>110.5</v>
      </c>
      <c r="G29">
        <f>(Cpi_[[#This Row],[Value]]-F28)/F28</f>
        <v>5.1379638439581411E-2</v>
      </c>
      <c r="H29" t="e" cm="1" vm="1">
        <f t="array" aca="1" ref="H29" ca="1">VLOOKUP(Cpi_[[#This Row],[Year]:[Month]],crudeoil[],3,FALSE)</f>
        <v>#VALUE!</v>
      </c>
    </row>
    <row r="30" spans="1:8" hidden="1" x14ac:dyDescent="0.3">
      <c r="A30" t="s">
        <v>33</v>
      </c>
      <c r="B30">
        <v>2013</v>
      </c>
      <c r="C30" t="s">
        <v>31</v>
      </c>
      <c r="D30" t="s">
        <v>4</v>
      </c>
      <c r="E30" t="e">
        <f>VLOOKUP(Cpi_[[#This Row],[Attribute]],#REF!,2,FALSE)</f>
        <v>#REF!</v>
      </c>
      <c r="F30">
        <v>109.1</v>
      </c>
      <c r="G30">
        <f>(Cpi_[[#This Row],[Value]]-F29)/F29</f>
        <v>-1.2669683257918604E-2</v>
      </c>
      <c r="H30" t="e" cm="1" vm="1">
        <f t="array" aca="1" ref="H30" ca="1">VLOOKUP(Cpi_[[#This Row],[Year]:[Month]],crudeoil[],3,FALSE)</f>
        <v>#VALUE!</v>
      </c>
    </row>
    <row r="31" spans="1:8" hidden="1" x14ac:dyDescent="0.3">
      <c r="A31" t="s">
        <v>33</v>
      </c>
      <c r="B31">
        <v>2013</v>
      </c>
      <c r="C31" t="s">
        <v>31</v>
      </c>
      <c r="D31" t="s">
        <v>5</v>
      </c>
      <c r="E31" t="e">
        <f>VLOOKUP(Cpi_[[#This Row],[Attribute]],#REF!,2,FALSE)</f>
        <v>#REF!</v>
      </c>
      <c r="F31">
        <v>113</v>
      </c>
      <c r="G31">
        <f>(Cpi_[[#This Row],[Value]]-F30)/F30</f>
        <v>3.574702108157659E-2</v>
      </c>
      <c r="H31" t="e" cm="1" vm="1">
        <f t="array" aca="1" ref="H31" ca="1">VLOOKUP(Cpi_[[#This Row],[Year]:[Month]],crudeoil[],3,FALSE)</f>
        <v>#VALUE!</v>
      </c>
    </row>
    <row r="32" spans="1:8" hidden="1" x14ac:dyDescent="0.3">
      <c r="A32" t="s">
        <v>33</v>
      </c>
      <c r="B32">
        <v>2013</v>
      </c>
      <c r="C32" t="s">
        <v>31</v>
      </c>
      <c r="D32" t="s">
        <v>6</v>
      </c>
      <c r="E32" t="e">
        <f>VLOOKUP(Cpi_[[#This Row],[Attribute]],#REF!,2,FALSE)</f>
        <v>#REF!</v>
      </c>
      <c r="F32">
        <v>103.6</v>
      </c>
      <c r="G32">
        <f>(Cpi_[[#This Row],[Value]]-F31)/F31</f>
        <v>-8.3185840707964656E-2</v>
      </c>
      <c r="H32" t="e" cm="1" vm="1">
        <f t="array" aca="1" ref="H32" ca="1">VLOOKUP(Cpi_[[#This Row],[Year]:[Month]],crudeoil[],3,FALSE)</f>
        <v>#VALUE!</v>
      </c>
    </row>
    <row r="33" spans="1:8" hidden="1" x14ac:dyDescent="0.3">
      <c r="A33" t="s">
        <v>33</v>
      </c>
      <c r="B33">
        <v>2013</v>
      </c>
      <c r="C33" t="s">
        <v>31</v>
      </c>
      <c r="D33" t="s">
        <v>7</v>
      </c>
      <c r="E33" t="e">
        <f>VLOOKUP(Cpi_[[#This Row],[Attribute]],#REF!,2,FALSE)</f>
        <v>#REF!</v>
      </c>
      <c r="F33">
        <v>103.4</v>
      </c>
      <c r="G33">
        <f>(Cpi_[[#This Row],[Value]]-F32)/F32</f>
        <v>-1.9305019305018208E-3</v>
      </c>
      <c r="H33" t="e" cm="1" vm="1">
        <f t="array" aca="1" ref="H33" ca="1">VLOOKUP(Cpi_[[#This Row],[Year]:[Month]],crudeoil[],3,FALSE)</f>
        <v>#VALUE!</v>
      </c>
    </row>
    <row r="34" spans="1:8" hidden="1" x14ac:dyDescent="0.3">
      <c r="A34" t="s">
        <v>33</v>
      </c>
      <c r="B34">
        <v>2013</v>
      </c>
      <c r="C34" t="s">
        <v>31</v>
      </c>
      <c r="D34" t="s">
        <v>8</v>
      </c>
      <c r="E34" t="e">
        <f>VLOOKUP(Cpi_[[#This Row],[Attribute]],#REF!,2,FALSE)</f>
        <v>#REF!</v>
      </c>
      <c r="F34">
        <v>102.3</v>
      </c>
      <c r="G34">
        <f>(Cpi_[[#This Row],[Value]]-F33)/F33</f>
        <v>-1.0638297872340507E-2</v>
      </c>
      <c r="H34" t="e" cm="1" vm="1">
        <f t="array" aca="1" ref="H34" ca="1">VLOOKUP(Cpi_[[#This Row],[Year]:[Month]],crudeoil[],3,FALSE)</f>
        <v>#VALUE!</v>
      </c>
    </row>
    <row r="35" spans="1:8" hidden="1" x14ac:dyDescent="0.3">
      <c r="A35" t="s">
        <v>33</v>
      </c>
      <c r="B35">
        <v>2013</v>
      </c>
      <c r="C35" t="s">
        <v>31</v>
      </c>
      <c r="D35" t="s">
        <v>9</v>
      </c>
      <c r="E35" t="e">
        <f>VLOOKUP(Cpi_[[#This Row],[Attribute]],#REF!,2,FALSE)</f>
        <v>#REF!</v>
      </c>
      <c r="F35">
        <v>102.9</v>
      </c>
      <c r="G35">
        <f>(Cpi_[[#This Row],[Value]]-F34)/F34</f>
        <v>5.8651026392962709E-3</v>
      </c>
      <c r="H35" t="e" cm="1" vm="1">
        <f t="array" aca="1" ref="H35" ca="1">VLOOKUP(Cpi_[[#This Row],[Year]:[Month]],crudeoil[],3,FALSE)</f>
        <v>#VALUE!</v>
      </c>
    </row>
    <row r="36" spans="1:8" hidden="1" x14ac:dyDescent="0.3">
      <c r="A36" t="s">
        <v>33</v>
      </c>
      <c r="B36">
        <v>2013</v>
      </c>
      <c r="C36" t="s">
        <v>31</v>
      </c>
      <c r="D36" t="s">
        <v>10</v>
      </c>
      <c r="E36" t="e">
        <f>VLOOKUP(Cpi_[[#This Row],[Attribute]],#REF!,2,FALSE)</f>
        <v>#REF!</v>
      </c>
      <c r="F36">
        <v>105.8</v>
      </c>
      <c r="G36">
        <f>(Cpi_[[#This Row],[Value]]-F35)/F35</f>
        <v>2.8182701652089324E-2</v>
      </c>
      <c r="H36" t="e" cm="1" vm="1">
        <f t="array" aca="1" ref="H36" ca="1">VLOOKUP(Cpi_[[#This Row],[Year]:[Month]],crudeoil[],3,FALSE)</f>
        <v>#VALUE!</v>
      </c>
    </row>
    <row r="37" spans="1:8" hidden="1" x14ac:dyDescent="0.3">
      <c r="A37" t="s">
        <v>33</v>
      </c>
      <c r="B37">
        <v>2013</v>
      </c>
      <c r="C37" t="s">
        <v>31</v>
      </c>
      <c r="D37" t="s">
        <v>11</v>
      </c>
      <c r="E37" t="e">
        <f>VLOOKUP(Cpi_[[#This Row],[Attribute]],#REF!,2,FALSE)</f>
        <v>#REF!</v>
      </c>
      <c r="F37">
        <v>105.1</v>
      </c>
      <c r="G37">
        <f>(Cpi_[[#This Row],[Value]]-F36)/F36</f>
        <v>-6.6162570888469076E-3</v>
      </c>
      <c r="H37" t="e" cm="1" vm="1">
        <f t="array" aca="1" ref="H37" ca="1">VLOOKUP(Cpi_[[#This Row],[Year]:[Month]],crudeoil[],3,FALSE)</f>
        <v>#VALUE!</v>
      </c>
    </row>
    <row r="38" spans="1:8" hidden="1" x14ac:dyDescent="0.3">
      <c r="A38" t="s">
        <v>33</v>
      </c>
      <c r="B38">
        <v>2013</v>
      </c>
      <c r="C38" t="s">
        <v>31</v>
      </c>
      <c r="D38" t="s">
        <v>12</v>
      </c>
      <c r="E38" t="e">
        <f>VLOOKUP(Cpi_[[#This Row],[Attribute]],#REF!,2,FALSE)</f>
        <v>#REF!</v>
      </c>
      <c r="F38">
        <v>101.8</v>
      </c>
      <c r="G38">
        <f>(Cpi_[[#This Row],[Value]]-F37)/F37</f>
        <v>-3.139866793529969E-2</v>
      </c>
      <c r="H38" t="e" cm="1" vm="1">
        <f t="array" aca="1" ref="H38" ca="1">VLOOKUP(Cpi_[[#This Row],[Year]:[Month]],crudeoil[],3,FALSE)</f>
        <v>#VALUE!</v>
      </c>
    </row>
    <row r="39" spans="1:8" hidden="1" x14ac:dyDescent="0.3">
      <c r="A39" t="s">
        <v>33</v>
      </c>
      <c r="B39">
        <v>2013</v>
      </c>
      <c r="C39" t="s">
        <v>31</v>
      </c>
      <c r="D39" t="s">
        <v>13</v>
      </c>
      <c r="E39" t="e">
        <f>VLOOKUP(Cpi_[[#This Row],[Attribute]],#REF!,2,FALSE)</f>
        <v>#REF!</v>
      </c>
      <c r="F39">
        <v>105.1</v>
      </c>
      <c r="G39">
        <f>(Cpi_[[#This Row],[Value]]-F38)/F38</f>
        <v>3.2416502946954785E-2</v>
      </c>
      <c r="H39" t="e" cm="1" vm="1">
        <f t="array" aca="1" ref="H39" ca="1">VLOOKUP(Cpi_[[#This Row],[Year]:[Month]],crudeoil[],3,FALSE)</f>
        <v>#VALUE!</v>
      </c>
    </row>
    <row r="40" spans="1:8" hidden="1" x14ac:dyDescent="0.3">
      <c r="A40" t="s">
        <v>33</v>
      </c>
      <c r="B40">
        <v>2013</v>
      </c>
      <c r="C40" t="s">
        <v>31</v>
      </c>
      <c r="D40" t="s">
        <v>14</v>
      </c>
      <c r="E40" t="e">
        <f>VLOOKUP(Cpi_[[#This Row],[Attribute]],#REF!,2,FALSE)</f>
        <v>#REF!</v>
      </c>
      <c r="F40">
        <v>107.9</v>
      </c>
      <c r="G40">
        <f>(Cpi_[[#This Row],[Value]]-F39)/F39</f>
        <v>2.6641294005708957E-2</v>
      </c>
      <c r="H40" t="e" cm="1" vm="1">
        <f t="array" aca="1" ref="H40" ca="1">VLOOKUP(Cpi_[[#This Row],[Year]:[Month]],crudeoil[],3,FALSE)</f>
        <v>#VALUE!</v>
      </c>
    </row>
    <row r="41" spans="1:8" hidden="1" x14ac:dyDescent="0.3">
      <c r="A41" t="s">
        <v>33</v>
      </c>
      <c r="B41">
        <v>2013</v>
      </c>
      <c r="C41" t="s">
        <v>31</v>
      </c>
      <c r="D41" t="s">
        <v>15</v>
      </c>
      <c r="E41" t="e">
        <f>VLOOKUP(Cpi_[[#This Row],[Attribute]],#REF!,2,FALSE)</f>
        <v>#REF!</v>
      </c>
      <c r="F41">
        <v>105.9</v>
      </c>
      <c r="G41">
        <f>(Cpi_[[#This Row],[Value]]-F40)/F40</f>
        <v>-1.8535681186283594E-2</v>
      </c>
      <c r="H41" t="e" cm="1" vm="1">
        <f t="array" aca="1" ref="H41" ca="1">VLOOKUP(Cpi_[[#This Row],[Year]:[Month]],crudeoil[],3,FALSE)</f>
        <v>#VALUE!</v>
      </c>
    </row>
    <row r="42" spans="1:8" hidden="1" x14ac:dyDescent="0.3">
      <c r="A42" t="s">
        <v>33</v>
      </c>
      <c r="B42">
        <v>2013</v>
      </c>
      <c r="C42" t="s">
        <v>31</v>
      </c>
      <c r="D42" t="s">
        <v>16</v>
      </c>
      <c r="E42" t="e">
        <f>VLOOKUP(Cpi_[[#This Row],[Attribute]],#REF!,2,FALSE)</f>
        <v>#REF!</v>
      </c>
      <c r="F42">
        <v>105.2</v>
      </c>
      <c r="G42">
        <f>(Cpi_[[#This Row],[Value]]-F41)/F41</f>
        <v>-6.6100094428706594E-3</v>
      </c>
      <c r="H42" t="e" cm="1" vm="1">
        <f t="array" aca="1" ref="H42" ca="1">VLOOKUP(Cpi_[[#This Row],[Year]:[Month]],crudeoil[],3,FALSE)</f>
        <v>#VALUE!</v>
      </c>
    </row>
    <row r="43" spans="1:8" hidden="1" x14ac:dyDescent="0.3">
      <c r="A43" t="s">
        <v>33</v>
      </c>
      <c r="B43">
        <v>2013</v>
      </c>
      <c r="C43" t="s">
        <v>31</v>
      </c>
      <c r="D43" t="s">
        <v>17</v>
      </c>
      <c r="E43" t="e">
        <f>VLOOKUP(Cpi_[[#This Row],[Attribute]],#REF!,2,FALSE)</f>
        <v>#REF!</v>
      </c>
      <c r="F43">
        <v>105.9</v>
      </c>
      <c r="G43">
        <f>(Cpi_[[#This Row],[Value]]-F42)/F42</f>
        <v>6.6539923954372889E-3</v>
      </c>
      <c r="H43" t="e" cm="1" vm="1">
        <f t="array" aca="1" ref="H43" ca="1">VLOOKUP(Cpi_[[#This Row],[Year]:[Month]],crudeoil[],3,FALSE)</f>
        <v>#VALUE!</v>
      </c>
    </row>
    <row r="44" spans="1:8" hidden="1" x14ac:dyDescent="0.3">
      <c r="A44" t="s">
        <v>33</v>
      </c>
      <c r="B44">
        <v>2013</v>
      </c>
      <c r="C44" t="s">
        <v>31</v>
      </c>
      <c r="D44" t="s">
        <v>18</v>
      </c>
      <c r="E44" t="e">
        <f>VLOOKUP(Cpi_[[#This Row],[Attribute]],#REF!,2,FALSE)</f>
        <v>#REF!</v>
      </c>
      <c r="F44">
        <v>105</v>
      </c>
      <c r="G44">
        <f>(Cpi_[[#This Row],[Value]]-F43)/F43</f>
        <v>-8.498583569405152E-3</v>
      </c>
      <c r="H44" t="e" cm="1" vm="1">
        <f t="array" aca="1" ref="H44" ca="1">VLOOKUP(Cpi_[[#This Row],[Year]:[Month]],crudeoil[],3,FALSE)</f>
        <v>#VALUE!</v>
      </c>
    </row>
    <row r="45" spans="1:8" hidden="1" x14ac:dyDescent="0.3">
      <c r="A45" t="s">
        <v>33</v>
      </c>
      <c r="B45">
        <v>2013</v>
      </c>
      <c r="C45" t="s">
        <v>31</v>
      </c>
      <c r="D45" t="s">
        <v>19</v>
      </c>
      <c r="E45" t="e">
        <f>VLOOKUP(Cpi_[[#This Row],[Attribute]],#REF!,2,FALSE)</f>
        <v>#REF!</v>
      </c>
      <c r="F45">
        <v>105.8</v>
      </c>
      <c r="G45">
        <f>(Cpi_[[#This Row],[Value]]-F44)/F44</f>
        <v>7.6190476190475922E-3</v>
      </c>
      <c r="H45" t="e" cm="1" vm="1">
        <f t="array" aca="1" ref="H45" ca="1">VLOOKUP(Cpi_[[#This Row],[Year]:[Month]],crudeoil[],3,FALSE)</f>
        <v>#VALUE!</v>
      </c>
    </row>
    <row r="46" spans="1:8" hidden="1" x14ac:dyDescent="0.3">
      <c r="A46" t="s">
        <v>33</v>
      </c>
      <c r="B46">
        <v>2013</v>
      </c>
      <c r="C46" t="s">
        <v>31</v>
      </c>
      <c r="D46" t="s">
        <v>20</v>
      </c>
      <c r="E46" t="e">
        <f>VLOOKUP(Cpi_[[#This Row],[Attribute]],#REF!,2,FALSE)</f>
        <v>#REF!</v>
      </c>
      <c r="F46">
        <v>100.3</v>
      </c>
      <c r="G46">
        <f>(Cpi_[[#This Row],[Value]]-F45)/F45</f>
        <v>-5.1984877126654068E-2</v>
      </c>
      <c r="H46" t="e" cm="1" vm="1">
        <f t="array" aca="1" ref="H46" ca="1">VLOOKUP(Cpi_[[#This Row],[Year]:[Month]],crudeoil[],3,FALSE)</f>
        <v>#VALUE!</v>
      </c>
    </row>
    <row r="47" spans="1:8" hidden="1" x14ac:dyDescent="0.3">
      <c r="A47" t="s">
        <v>33</v>
      </c>
      <c r="B47">
        <v>2013</v>
      </c>
      <c r="C47" t="s">
        <v>31</v>
      </c>
      <c r="D47" t="s">
        <v>21</v>
      </c>
      <c r="E47" t="e">
        <f>VLOOKUP(Cpi_[[#This Row],[Attribute]],#REF!,2,FALSE)</f>
        <v>#REF!</v>
      </c>
      <c r="F47">
        <v>105.4</v>
      </c>
      <c r="G47">
        <f>(Cpi_[[#This Row],[Value]]-F46)/F46</f>
        <v>5.0847457627118731E-2</v>
      </c>
      <c r="H47" t="e" cm="1" vm="1">
        <f t="array" aca="1" ref="H47" ca="1">VLOOKUP(Cpi_[[#This Row],[Year]:[Month]],crudeoil[],3,FALSE)</f>
        <v>#VALUE!</v>
      </c>
    </row>
    <row r="48" spans="1:8" hidden="1" x14ac:dyDescent="0.3">
      <c r="A48" t="s">
        <v>33</v>
      </c>
      <c r="B48">
        <v>2013</v>
      </c>
      <c r="C48" t="s">
        <v>31</v>
      </c>
      <c r="D48" t="s">
        <v>22</v>
      </c>
      <c r="E48" t="e">
        <f>VLOOKUP(Cpi_[[#This Row],[Attribute]],#REF!,2,FALSE)</f>
        <v>#REF!</v>
      </c>
      <c r="F48">
        <v>104.8</v>
      </c>
      <c r="G48">
        <f>(Cpi_[[#This Row],[Value]]-F47)/F47</f>
        <v>-5.6925996204934392E-3</v>
      </c>
      <c r="H48" t="e" cm="1" vm="1">
        <f t="array" aca="1" ref="H48" ca="1">VLOOKUP(Cpi_[[#This Row],[Year]:[Month]],crudeoil[],3,FALSE)</f>
        <v>#VALUE!</v>
      </c>
    </row>
    <row r="49" spans="1:8" hidden="1" x14ac:dyDescent="0.3">
      <c r="A49" t="s">
        <v>33</v>
      </c>
      <c r="B49">
        <v>2013</v>
      </c>
      <c r="C49" t="s">
        <v>31</v>
      </c>
      <c r="D49" t="s">
        <v>23</v>
      </c>
      <c r="E49" t="e">
        <f>VLOOKUP(Cpi_[[#This Row],[Attribute]],#REF!,2,FALSE)</f>
        <v>#REF!</v>
      </c>
      <c r="F49">
        <v>104.1</v>
      </c>
      <c r="G49">
        <f>(Cpi_[[#This Row],[Value]]-F48)/F48</f>
        <v>-6.6793893129771268E-3</v>
      </c>
      <c r="H49" t="e" cm="1" vm="1">
        <f t="array" aca="1" ref="H49" ca="1">VLOOKUP(Cpi_[[#This Row],[Year]:[Month]],crudeoil[],3,FALSE)</f>
        <v>#VALUE!</v>
      </c>
    </row>
    <row r="50" spans="1:8" hidden="1" x14ac:dyDescent="0.3">
      <c r="A50" t="s">
        <v>33</v>
      </c>
      <c r="B50">
        <v>2013</v>
      </c>
      <c r="C50" t="s">
        <v>31</v>
      </c>
      <c r="D50" t="s">
        <v>24</v>
      </c>
      <c r="E50" t="e">
        <f>VLOOKUP(Cpi_[[#This Row],[Attribute]],#REF!,2,FALSE)</f>
        <v>#REF!</v>
      </c>
      <c r="F50">
        <v>103.2</v>
      </c>
      <c r="G50">
        <f>(Cpi_[[#This Row],[Value]]-F49)/F49</f>
        <v>-8.6455331412102938E-3</v>
      </c>
      <c r="H50" t="e" cm="1" vm="1">
        <f t="array" aca="1" ref="H50" ca="1">VLOOKUP(Cpi_[[#This Row],[Year]:[Month]],crudeoil[],3,FALSE)</f>
        <v>#VALUE!</v>
      </c>
    </row>
    <row r="51" spans="1:8" hidden="1" x14ac:dyDescent="0.3">
      <c r="A51" t="s">
        <v>33</v>
      </c>
      <c r="B51">
        <v>2013</v>
      </c>
      <c r="C51" t="s">
        <v>31</v>
      </c>
      <c r="D51" t="s">
        <v>25</v>
      </c>
      <c r="E51" t="e">
        <f>VLOOKUP(Cpi_[[#This Row],[Attribute]],#REF!,2,FALSE)</f>
        <v>#REF!</v>
      </c>
      <c r="F51">
        <v>102.9</v>
      </c>
      <c r="G51">
        <f>(Cpi_[[#This Row],[Value]]-F50)/F50</f>
        <v>-2.9069767441860187E-3</v>
      </c>
      <c r="H51" t="e" cm="1" vm="1">
        <f t="array" aca="1" ref="H51" ca="1">VLOOKUP(Cpi_[[#This Row],[Year]:[Month]],crudeoil[],3,FALSE)</f>
        <v>#VALUE!</v>
      </c>
    </row>
    <row r="52" spans="1:8" hidden="1" x14ac:dyDescent="0.3">
      <c r="A52" t="s">
        <v>33</v>
      </c>
      <c r="B52">
        <v>2013</v>
      </c>
      <c r="C52" t="s">
        <v>31</v>
      </c>
      <c r="D52" t="s">
        <v>26</v>
      </c>
      <c r="E52" t="e">
        <f>VLOOKUP(Cpi_[[#This Row],[Attribute]],#REF!,2,FALSE)</f>
        <v>#REF!</v>
      </c>
      <c r="F52">
        <v>103.5</v>
      </c>
      <c r="G52">
        <f>(Cpi_[[#This Row],[Value]]-F51)/F51</f>
        <v>5.830903790087408E-3</v>
      </c>
      <c r="H52" t="e" cm="1" vm="1">
        <f t="array" aca="1" ref="H52" ca="1">VLOOKUP(Cpi_[[#This Row],[Year]:[Month]],crudeoil[],3,FALSE)</f>
        <v>#VALUE!</v>
      </c>
    </row>
    <row r="53" spans="1:8" hidden="1" x14ac:dyDescent="0.3">
      <c r="A53" t="s">
        <v>33</v>
      </c>
      <c r="B53">
        <v>2013</v>
      </c>
      <c r="C53" t="s">
        <v>31</v>
      </c>
      <c r="D53" t="s">
        <v>27</v>
      </c>
      <c r="E53" t="e">
        <f>VLOOKUP(Cpi_[[#This Row],[Attribute]],#REF!,2,FALSE)</f>
        <v>#REF!</v>
      </c>
      <c r="F53">
        <v>104.3</v>
      </c>
      <c r="G53">
        <f>(Cpi_[[#This Row],[Value]]-F52)/F52</f>
        <v>7.7294685990337893E-3</v>
      </c>
      <c r="H53" t="e" cm="1" vm="1">
        <f t="array" aca="1" ref="H53" ca="1">VLOOKUP(Cpi_[[#This Row],[Year]:[Month]],crudeoil[],3,FALSE)</f>
        <v>#VALUE!</v>
      </c>
    </row>
    <row r="54" spans="1:8" hidden="1" x14ac:dyDescent="0.3">
      <c r="A54" t="s">
        <v>33</v>
      </c>
      <c r="B54">
        <v>2013</v>
      </c>
      <c r="C54" t="s">
        <v>31</v>
      </c>
      <c r="D54" t="s">
        <v>28</v>
      </c>
      <c r="E54" t="e">
        <f>VLOOKUP(Cpi_[[#This Row],[Attribute]],#REF!,2,FALSE)</f>
        <v>#REF!</v>
      </c>
      <c r="F54">
        <v>103.7</v>
      </c>
      <c r="G54">
        <f>(Cpi_[[#This Row],[Value]]-F53)/F53</f>
        <v>-5.7526366251197921E-3</v>
      </c>
      <c r="H54" t="e" cm="1" vm="1">
        <f t="array" aca="1" ref="H54" ca="1">VLOOKUP(Cpi_[[#This Row],[Year]:[Month]],crudeoil[],3,FALSE)</f>
        <v>#VALUE!</v>
      </c>
    </row>
    <row r="55" spans="1:8" hidden="1" x14ac:dyDescent="0.3">
      <c r="A55" t="s">
        <v>33</v>
      </c>
      <c r="B55">
        <v>2013</v>
      </c>
      <c r="C55" t="s">
        <v>31</v>
      </c>
      <c r="D55" t="s">
        <v>29</v>
      </c>
      <c r="E55" t="e" cm="1">
        <f t="array" aca="1" ref="E55" ca="1">VLGeneral indexGeneral indexKUP(Cpi_[[#This Row],[Attribute]],#REF!,2,FALSE)</f>
        <v>#NAME?</v>
      </c>
      <c r="F55">
        <v>104</v>
      </c>
      <c r="G55">
        <f>(Cpi_[[#This Row],[Value]]-F54)/F54</f>
        <v>2.8929604628736465E-3</v>
      </c>
      <c r="H55" t="e" cm="1" vm="1">
        <f t="array" aca="1" ref="H55" ca="1">VLOOKUP(Cpi_[[#This Row],[Year]:[Month]],crudeoil[],3,FALSE)</f>
        <v>#VALUE!</v>
      </c>
    </row>
    <row r="56" spans="1:8" hidden="1" x14ac:dyDescent="0.3">
      <c r="A56" t="s">
        <v>34</v>
      </c>
      <c r="B56">
        <v>2013</v>
      </c>
      <c r="C56" t="s">
        <v>31</v>
      </c>
      <c r="D56" t="s">
        <v>3</v>
      </c>
      <c r="E56" t="e">
        <f>VLOOKUP(Cpi_[[#This Row],[Attribute]],#REF!,2,FALSE)</f>
        <v>#REF!</v>
      </c>
      <c r="F56">
        <v>108.4</v>
      </c>
      <c r="G56">
        <f>(Cpi_[[#This Row],[Value]]-F55)/F55</f>
        <v>4.2307692307692366E-2</v>
      </c>
      <c r="H56" t="e" cm="1" vm="1">
        <f t="array" aca="1" ref="H56" ca="1">VLOOKUP(Cpi_[[#This Row],[Year]:[Month]],crudeoil[],3,FALSE)</f>
        <v>#VALUE!</v>
      </c>
    </row>
    <row r="57" spans="1:8" hidden="1" x14ac:dyDescent="0.3">
      <c r="A57" t="s">
        <v>34</v>
      </c>
      <c r="B57">
        <v>2013</v>
      </c>
      <c r="C57" t="s">
        <v>31</v>
      </c>
      <c r="D57" t="s">
        <v>4</v>
      </c>
      <c r="E57" t="e">
        <f>VLOOKUP(Cpi_[[#This Row],[Attribute]],#REF!,2,FALSE)</f>
        <v>#REF!</v>
      </c>
      <c r="F57">
        <v>107.3</v>
      </c>
      <c r="G57">
        <f>(Cpi_[[#This Row],[Value]]-F56)/F56</f>
        <v>-1.0147601476014838E-2</v>
      </c>
      <c r="H57" t="e" cm="1" vm="1">
        <f t="array" aca="1" ref="H57" ca="1">VLOOKUP(Cpi_[[#This Row],[Year]:[Month]],crudeoil[],3,FALSE)</f>
        <v>#VALUE!</v>
      </c>
    </row>
    <row r="58" spans="1:8" hidden="1" x14ac:dyDescent="0.3">
      <c r="A58" t="s">
        <v>34</v>
      </c>
      <c r="B58">
        <v>2013</v>
      </c>
      <c r="C58" t="s">
        <v>31</v>
      </c>
      <c r="D58" t="s">
        <v>5</v>
      </c>
      <c r="E58" t="e">
        <f>VLOOKUP(Cpi_[[#This Row],[Attribute]],#REF!,2,FALSE)</f>
        <v>#REF!</v>
      </c>
      <c r="F58">
        <v>110</v>
      </c>
      <c r="G58">
        <f>(Cpi_[[#This Row],[Value]]-F57)/F57</f>
        <v>2.5163094128611396E-2</v>
      </c>
      <c r="H58" t="e" cm="1" vm="1">
        <f t="array" aca="1" ref="H58" ca="1">VLOOKUP(Cpi_[[#This Row],[Year]:[Month]],crudeoil[],3,FALSE)</f>
        <v>#VALUE!</v>
      </c>
    </row>
    <row r="59" spans="1:8" hidden="1" x14ac:dyDescent="0.3">
      <c r="A59" t="s">
        <v>34</v>
      </c>
      <c r="B59">
        <v>2013</v>
      </c>
      <c r="C59" t="s">
        <v>31</v>
      </c>
      <c r="D59" t="s">
        <v>6</v>
      </c>
      <c r="E59" t="e">
        <f>VLOOKUP(Cpi_[[#This Row],[Attribute]],#REF!,2,FALSE)</f>
        <v>#REF!</v>
      </c>
      <c r="F59">
        <v>104.4</v>
      </c>
      <c r="G59">
        <f>(Cpi_[[#This Row],[Value]]-F58)/F58</f>
        <v>-5.0909090909090855E-2</v>
      </c>
      <c r="H59" t="e" cm="1" vm="1">
        <f t="array" aca="1" ref="H59" ca="1">VLOOKUP(Cpi_[[#This Row],[Year]:[Month]],crudeoil[],3,FALSE)</f>
        <v>#VALUE!</v>
      </c>
    </row>
    <row r="60" spans="1:8" hidden="1" x14ac:dyDescent="0.3">
      <c r="A60" t="s">
        <v>34</v>
      </c>
      <c r="B60">
        <v>2013</v>
      </c>
      <c r="C60" t="s">
        <v>31</v>
      </c>
      <c r="D60" t="s">
        <v>7</v>
      </c>
      <c r="E60" t="e">
        <f>VLOOKUP(Cpi_[[#This Row],[Attribute]],#REF!,2,FALSE)</f>
        <v>#REF!</v>
      </c>
      <c r="F60">
        <v>105.1</v>
      </c>
      <c r="G60">
        <f>(Cpi_[[#This Row],[Value]]-F59)/F59</f>
        <v>6.7049808429117683E-3</v>
      </c>
      <c r="H60" t="e" cm="1" vm="1">
        <f t="array" aca="1" ref="H60" ca="1">VLOOKUP(Cpi_[[#This Row],[Year]:[Month]],crudeoil[],3,FALSE)</f>
        <v>#VALUE!</v>
      </c>
    </row>
    <row r="61" spans="1:8" hidden="1" x14ac:dyDescent="0.3">
      <c r="A61" t="s">
        <v>34</v>
      </c>
      <c r="B61">
        <v>2013</v>
      </c>
      <c r="C61" t="s">
        <v>31</v>
      </c>
      <c r="D61" t="s">
        <v>8</v>
      </c>
      <c r="E61" t="e">
        <f>VLOOKUP(Cpi_[[#This Row],[Attribute]],#REF!,2,FALSE)</f>
        <v>#REF!</v>
      </c>
      <c r="F61">
        <v>103.2</v>
      </c>
      <c r="G61">
        <f>(Cpi_[[#This Row],[Value]]-F60)/F60</f>
        <v>-1.8078020932445212E-2</v>
      </c>
      <c r="H61" t="e" cm="1" vm="1">
        <f t="array" aca="1" ref="H61" ca="1">VLOOKUP(Cpi_[[#This Row],[Year]:[Month]],crudeoil[],3,FALSE)</f>
        <v>#VALUE!</v>
      </c>
    </row>
    <row r="62" spans="1:8" hidden="1" x14ac:dyDescent="0.3">
      <c r="A62" t="s">
        <v>34</v>
      </c>
      <c r="B62">
        <v>2013</v>
      </c>
      <c r="C62" t="s">
        <v>31</v>
      </c>
      <c r="D62" t="s">
        <v>9</v>
      </c>
      <c r="E62" t="e">
        <f>VLOOKUP(Cpi_[[#This Row],[Attribute]],#REF!,2,FALSE)</f>
        <v>#REF!</v>
      </c>
      <c r="F62">
        <v>102.2</v>
      </c>
      <c r="G62">
        <f>(Cpi_[[#This Row],[Value]]-F61)/F61</f>
        <v>-9.6899224806201549E-3</v>
      </c>
      <c r="H62" t="e" cm="1" vm="1">
        <f t="array" aca="1" ref="H62" ca="1">VLOOKUP(Cpi_[[#This Row],[Year]:[Month]],crudeoil[],3,FALSE)</f>
        <v>#VALUE!</v>
      </c>
    </row>
    <row r="63" spans="1:8" hidden="1" x14ac:dyDescent="0.3">
      <c r="A63" t="s">
        <v>34</v>
      </c>
      <c r="B63">
        <v>2013</v>
      </c>
      <c r="C63" t="s">
        <v>31</v>
      </c>
      <c r="D63" t="s">
        <v>10</v>
      </c>
      <c r="E63" t="e">
        <f>VLOOKUP(Cpi_[[#This Row],[Attribute]],#REF!,2,FALSE)</f>
        <v>#REF!</v>
      </c>
      <c r="F63">
        <v>106</v>
      </c>
      <c r="G63">
        <f>(Cpi_[[#This Row],[Value]]-F62)/F62</f>
        <v>3.7181996086105645E-2</v>
      </c>
      <c r="H63" t="e" cm="1" vm="1">
        <f t="array" aca="1" ref="H63" ca="1">VLOOKUP(Cpi_[[#This Row],[Year]:[Month]],crudeoil[],3,FALSE)</f>
        <v>#VALUE!</v>
      </c>
    </row>
    <row r="64" spans="1:8" hidden="1" x14ac:dyDescent="0.3">
      <c r="A64" t="s">
        <v>34</v>
      </c>
      <c r="B64">
        <v>2013</v>
      </c>
      <c r="C64" t="s">
        <v>31</v>
      </c>
      <c r="D64" t="s">
        <v>11</v>
      </c>
      <c r="E64" t="e">
        <f>VLOOKUP(Cpi_[[#This Row],[Attribute]],#REF!,2,FALSE)</f>
        <v>#REF!</v>
      </c>
      <c r="F64">
        <v>106.2</v>
      </c>
      <c r="G64">
        <f>(Cpi_[[#This Row],[Value]]-F63)/F63</f>
        <v>1.8867924528302156E-3</v>
      </c>
      <c r="H64" t="e" cm="1" vm="1">
        <f t="array" aca="1" ref="H64" ca="1">VLOOKUP(Cpi_[[#This Row],[Year]:[Month]],crudeoil[],3,FALSE)</f>
        <v>#VALUE!</v>
      </c>
    </row>
    <row r="65" spans="1:8" hidden="1" x14ac:dyDescent="0.3">
      <c r="A65" t="s">
        <v>34</v>
      </c>
      <c r="B65">
        <v>2013</v>
      </c>
      <c r="C65" t="s">
        <v>31</v>
      </c>
      <c r="D65" t="s">
        <v>12</v>
      </c>
      <c r="E65" t="e">
        <f>VLOOKUP(Cpi_[[#This Row],[Attribute]],#REF!,2,FALSE)</f>
        <v>#REF!</v>
      </c>
      <c r="F65">
        <v>102.7</v>
      </c>
      <c r="G65">
        <f>(Cpi_[[#This Row],[Value]]-F64)/F64</f>
        <v>-3.2956685499058377E-2</v>
      </c>
      <c r="H65" t="e" cm="1" vm="1">
        <f t="array" aca="1" ref="H65" ca="1">VLOOKUP(Cpi_[[#This Row],[Year]:[Month]],crudeoil[],3,FALSE)</f>
        <v>#VALUE!</v>
      </c>
    </row>
    <row r="66" spans="1:8" hidden="1" x14ac:dyDescent="0.3">
      <c r="A66" t="s">
        <v>34</v>
      </c>
      <c r="B66">
        <v>2013</v>
      </c>
      <c r="C66" t="s">
        <v>31</v>
      </c>
      <c r="D66" t="s">
        <v>13</v>
      </c>
      <c r="E66" t="e">
        <f>VLOOKUP(Cpi_[[#This Row],[Attribute]],#REF!,2,FALSE)</f>
        <v>#REF!</v>
      </c>
      <c r="F66">
        <v>104.9</v>
      </c>
      <c r="G66">
        <f>(Cpi_[[#This Row],[Value]]-F65)/F65</f>
        <v>2.1421616358325245E-2</v>
      </c>
      <c r="H66" t="e" cm="1" vm="1">
        <f t="array" aca="1" ref="H66" ca="1">VLOOKUP(Cpi_[[#This Row],[Year]:[Month]],crudeoil[],3,FALSE)</f>
        <v>#VALUE!</v>
      </c>
    </row>
    <row r="67" spans="1:8" hidden="1" x14ac:dyDescent="0.3">
      <c r="A67" t="s">
        <v>34</v>
      </c>
      <c r="B67">
        <v>2013</v>
      </c>
      <c r="C67" t="s">
        <v>31</v>
      </c>
      <c r="D67" t="s">
        <v>14</v>
      </c>
      <c r="E67" t="e">
        <f>VLOOKUP(Cpi_[[#This Row],[Attribute]],#REF!,2,FALSE)</f>
        <v>#REF!</v>
      </c>
      <c r="F67">
        <v>107.3</v>
      </c>
      <c r="G67">
        <f>(Cpi_[[#This Row],[Value]]-F66)/F66</f>
        <v>2.2878932316491813E-2</v>
      </c>
      <c r="H67" t="e" cm="1" vm="1">
        <f t="array" aca="1" ref="H67" ca="1">VLOOKUP(Cpi_[[#This Row],[Year]:[Month]],crudeoil[],3,FALSE)</f>
        <v>#VALUE!</v>
      </c>
    </row>
    <row r="68" spans="1:8" hidden="1" x14ac:dyDescent="0.3">
      <c r="A68" t="s">
        <v>34</v>
      </c>
      <c r="B68">
        <v>2013</v>
      </c>
      <c r="C68" t="s">
        <v>31</v>
      </c>
      <c r="D68" t="s">
        <v>15</v>
      </c>
      <c r="E68" t="e">
        <f>VLOOKUP(Cpi_[[#This Row],[Attribute]],#REF!,2,FALSE)</f>
        <v>#REF!</v>
      </c>
      <c r="F68">
        <v>105.6</v>
      </c>
      <c r="G68">
        <f>(Cpi_[[#This Row],[Value]]-F67)/F67</f>
        <v>-1.584342963653311E-2</v>
      </c>
      <c r="H68" t="e" cm="1" vm="1">
        <f t="array" aca="1" ref="H68" ca="1">VLOOKUP(Cpi_[[#This Row],[Year]:[Month]],crudeoil[],3,FALSE)</f>
        <v>#VALUE!</v>
      </c>
    </row>
    <row r="69" spans="1:8" hidden="1" x14ac:dyDescent="0.3">
      <c r="A69" t="s">
        <v>34</v>
      </c>
      <c r="B69">
        <v>2013</v>
      </c>
      <c r="C69" t="s">
        <v>31</v>
      </c>
      <c r="D69" t="s">
        <v>16</v>
      </c>
      <c r="E69" t="e">
        <f>VLOOKUP(Cpi_[[#This Row],[Attribute]],#REF!,2,FALSE)</f>
        <v>#REF!</v>
      </c>
      <c r="F69">
        <v>105.1</v>
      </c>
      <c r="G69">
        <f>(Cpi_[[#This Row],[Value]]-F68)/F68</f>
        <v>-4.734848484848485E-3</v>
      </c>
      <c r="H69" t="e" cm="1" vm="1">
        <f t="array" aca="1" ref="H69" ca="1">VLOOKUP(Cpi_[[#This Row],[Year]:[Month]],crudeoil[],3,FALSE)</f>
        <v>#VALUE!</v>
      </c>
    </row>
    <row r="70" spans="1:8" hidden="1" x14ac:dyDescent="0.3">
      <c r="A70" t="s">
        <v>34</v>
      </c>
      <c r="B70">
        <v>2013</v>
      </c>
      <c r="C70" t="s">
        <v>31</v>
      </c>
      <c r="D70" t="s">
        <v>17</v>
      </c>
      <c r="E70" t="e">
        <f>VLOOKUP(Cpi_[[#This Row],[Attribute]],#REF!,2,FALSE)</f>
        <v>#REF!</v>
      </c>
      <c r="F70">
        <v>106.3</v>
      </c>
      <c r="G70">
        <f>(Cpi_[[#This Row],[Value]]-F69)/F69</f>
        <v>1.1417697431018106E-2</v>
      </c>
      <c r="H70" t="e" cm="1" vm="1">
        <f t="array" aca="1" ref="H70" ca="1">VLOOKUP(Cpi_[[#This Row],[Year]:[Month]],crudeoil[],3,FALSE)</f>
        <v>#VALUE!</v>
      </c>
    </row>
    <row r="71" spans="1:8" hidden="1" x14ac:dyDescent="0.3">
      <c r="A71" t="s">
        <v>34</v>
      </c>
      <c r="B71">
        <v>2013</v>
      </c>
      <c r="C71" t="s">
        <v>31</v>
      </c>
      <c r="D71" t="s">
        <v>18</v>
      </c>
      <c r="E71" t="e">
        <f>VLOOKUP(Cpi_[[#This Row],[Attribute]],#REF!,2,FALSE)</f>
        <v>#REF!</v>
      </c>
      <c r="F71">
        <v>105.5</v>
      </c>
      <c r="G71">
        <f>(Cpi_[[#This Row],[Value]]-F70)/F70</f>
        <v>-7.5258701787393901E-3</v>
      </c>
      <c r="H71" t="e" cm="1" vm="1">
        <f t="array" aca="1" ref="H71" ca="1">VLOOKUP(Cpi_[[#This Row],[Year]:[Month]],crudeoil[],3,FALSE)</f>
        <v>#VALUE!</v>
      </c>
    </row>
    <row r="72" spans="1:8" hidden="1" x14ac:dyDescent="0.3">
      <c r="A72" t="s">
        <v>34</v>
      </c>
      <c r="B72">
        <v>2013</v>
      </c>
      <c r="C72" t="s">
        <v>31</v>
      </c>
      <c r="D72" t="s">
        <v>19</v>
      </c>
      <c r="E72" t="e">
        <f>VLOOKUP(Cpi_[[#This Row],[Attribute]],#REF!,2,FALSE)</f>
        <v>#REF!</v>
      </c>
      <c r="F72">
        <v>106.2</v>
      </c>
      <c r="G72">
        <f>(Cpi_[[#This Row],[Value]]-F71)/F71</f>
        <v>6.6350710900474202E-3</v>
      </c>
      <c r="H72" t="e" cm="1" vm="1">
        <f t="array" aca="1" ref="H72" ca="1">VLOOKUP(Cpi_[[#This Row],[Year]:[Month]],crudeoil[],3,FALSE)</f>
        <v>#VALUE!</v>
      </c>
    </row>
    <row r="73" spans="1:8" hidden="1" x14ac:dyDescent="0.3">
      <c r="A73" t="s">
        <v>34</v>
      </c>
      <c r="B73">
        <v>2013</v>
      </c>
      <c r="C73" t="s">
        <v>31</v>
      </c>
      <c r="D73" t="s">
        <v>20</v>
      </c>
      <c r="E73" t="e">
        <f>VLOOKUP(Cpi_[[#This Row],[Attribute]],#REF!,2,FALSE)</f>
        <v>#REF!</v>
      </c>
      <c r="F73">
        <v>100.3</v>
      </c>
      <c r="G73">
        <f>(Cpi_[[#This Row],[Value]]-F72)/F72</f>
        <v>-5.5555555555555608E-2</v>
      </c>
      <c r="H73" t="e" cm="1" vm="1">
        <f t="array" aca="1" ref="H73" ca="1">VLOOKUP(Cpi_[[#This Row],[Year]:[Month]],crudeoil[],3,FALSE)</f>
        <v>#VALUE!</v>
      </c>
    </row>
    <row r="74" spans="1:8" hidden="1" x14ac:dyDescent="0.3">
      <c r="A74" t="s">
        <v>34</v>
      </c>
      <c r="B74">
        <v>2013</v>
      </c>
      <c r="C74" t="s">
        <v>31</v>
      </c>
      <c r="D74" t="s">
        <v>21</v>
      </c>
      <c r="E74" t="e">
        <f>VLOOKUP(Cpi_[[#This Row],[Attribute]],#REF!,2,FALSE)</f>
        <v>#REF!</v>
      </c>
      <c r="F74">
        <v>105.5</v>
      </c>
      <c r="G74">
        <f>(Cpi_[[#This Row],[Value]]-F73)/F73</f>
        <v>5.1844466600199431E-2</v>
      </c>
      <c r="H74" t="e" cm="1" vm="1">
        <f t="array" aca="1" ref="H74" ca="1">VLOOKUP(Cpi_[[#This Row],[Year]:[Month]],crudeoil[],3,FALSE)</f>
        <v>#VALUE!</v>
      </c>
    </row>
    <row r="75" spans="1:8" hidden="1" x14ac:dyDescent="0.3">
      <c r="A75" t="s">
        <v>34</v>
      </c>
      <c r="B75">
        <v>2013</v>
      </c>
      <c r="C75" t="s">
        <v>31</v>
      </c>
      <c r="D75" t="s">
        <v>22</v>
      </c>
      <c r="E75" t="e">
        <f>VLOOKUP(Cpi_[[#This Row],[Attribute]],#REF!,2,FALSE)</f>
        <v>#REF!</v>
      </c>
      <c r="F75">
        <v>104.8</v>
      </c>
      <c r="G75">
        <f>(Cpi_[[#This Row],[Value]]-F74)/F74</f>
        <v>-6.6350710900474202E-3</v>
      </c>
      <c r="H75" t="e" cm="1" vm="1">
        <f t="array" aca="1" ref="H75" ca="1">VLOOKUP(Cpi_[[#This Row],[Year]:[Month]],crudeoil[],3,FALSE)</f>
        <v>#VALUE!</v>
      </c>
    </row>
    <row r="76" spans="1:8" hidden="1" x14ac:dyDescent="0.3">
      <c r="A76" t="s">
        <v>34</v>
      </c>
      <c r="B76">
        <v>2013</v>
      </c>
      <c r="C76" t="s">
        <v>31</v>
      </c>
      <c r="D76" t="s">
        <v>23</v>
      </c>
      <c r="E76" t="e">
        <f>VLOOKUP(Cpi_[[#This Row],[Attribute]],#REF!,2,FALSE)</f>
        <v>#REF!</v>
      </c>
      <c r="F76">
        <v>104</v>
      </c>
      <c r="G76">
        <f>(Cpi_[[#This Row],[Value]]-F75)/F75</f>
        <v>-7.6335877862595148E-3</v>
      </c>
      <c r="H76" t="e" cm="1" vm="1">
        <f t="array" aca="1" ref="H76" ca="1">VLOOKUP(Cpi_[[#This Row],[Year]:[Month]],crudeoil[],3,FALSE)</f>
        <v>#VALUE!</v>
      </c>
    </row>
    <row r="77" spans="1:8" hidden="1" x14ac:dyDescent="0.3">
      <c r="A77" t="s">
        <v>34</v>
      </c>
      <c r="B77">
        <v>2013</v>
      </c>
      <c r="C77" t="s">
        <v>31</v>
      </c>
      <c r="D77" t="s">
        <v>24</v>
      </c>
      <c r="E77" t="e">
        <f>VLOOKUP(Cpi_[[#This Row],[Attribute]],#REF!,2,FALSE)</f>
        <v>#REF!</v>
      </c>
      <c r="F77">
        <v>103.2</v>
      </c>
      <c r="G77">
        <f>(Cpi_[[#This Row],[Value]]-F76)/F76</f>
        <v>-7.692307692307665E-3</v>
      </c>
      <c r="H77" t="e" cm="1" vm="1">
        <f t="array" aca="1" ref="H77" ca="1">VLOOKUP(Cpi_[[#This Row],[Year]:[Month]],crudeoil[],3,FALSE)</f>
        <v>#VALUE!</v>
      </c>
    </row>
    <row r="78" spans="1:8" hidden="1" x14ac:dyDescent="0.3">
      <c r="A78" t="s">
        <v>34</v>
      </c>
      <c r="B78">
        <v>2013</v>
      </c>
      <c r="C78" t="s">
        <v>31</v>
      </c>
      <c r="D78" t="s">
        <v>25</v>
      </c>
      <c r="E78" t="e">
        <f>VLOOKUP(Cpi_[[#This Row],[Attribute]],#REF!,2,FALSE)</f>
        <v>#REF!</v>
      </c>
      <c r="F78">
        <v>103.1</v>
      </c>
      <c r="G78">
        <f>(Cpi_[[#This Row],[Value]]-F77)/F77</f>
        <v>-9.6899224806209811E-4</v>
      </c>
      <c r="H78" t="e" cm="1" vm="1">
        <f t="array" aca="1" ref="H78" ca="1">VLOOKUP(Cpi_[[#This Row],[Year]:[Month]],crudeoil[],3,FALSE)</f>
        <v>#VALUE!</v>
      </c>
    </row>
    <row r="79" spans="1:8" hidden="1" x14ac:dyDescent="0.3">
      <c r="A79" t="s">
        <v>34</v>
      </c>
      <c r="B79">
        <v>2013</v>
      </c>
      <c r="C79" t="s">
        <v>31</v>
      </c>
      <c r="D79" t="s">
        <v>26</v>
      </c>
      <c r="E79" t="e">
        <f>VLOOKUP(Cpi_[[#This Row],[Attribute]],#REF!,2,FALSE)</f>
        <v>#REF!</v>
      </c>
      <c r="F79">
        <v>103.6</v>
      </c>
      <c r="G79">
        <f>(Cpi_[[#This Row],[Value]]-F78)/F78</f>
        <v>4.849660523763337E-3</v>
      </c>
      <c r="H79" t="e" cm="1" vm="1">
        <f t="array" aca="1" ref="H79" ca="1">VLOOKUP(Cpi_[[#This Row],[Year]:[Month]],crudeoil[],3,FALSE)</f>
        <v>#VALUE!</v>
      </c>
    </row>
    <row r="80" spans="1:8" hidden="1" x14ac:dyDescent="0.3">
      <c r="A80" t="s">
        <v>34</v>
      </c>
      <c r="B80">
        <v>2013</v>
      </c>
      <c r="C80" t="s">
        <v>31</v>
      </c>
      <c r="D80" t="s">
        <v>27</v>
      </c>
      <c r="E80" t="e">
        <f>VLOOKUP(Cpi_[[#This Row],[Attribute]],#REF!,2,FALSE)</f>
        <v>#REF!</v>
      </c>
      <c r="F80">
        <v>104.5</v>
      </c>
      <c r="G80">
        <f>(Cpi_[[#This Row],[Value]]-F79)/F79</f>
        <v>8.6872586872587428E-3</v>
      </c>
      <c r="H80" t="e" cm="1" vm="1">
        <f t="array" aca="1" ref="H80" ca="1">VLOOKUP(Cpi_[[#This Row],[Year]:[Month]],crudeoil[],3,FALSE)</f>
        <v>#VALUE!</v>
      </c>
    </row>
    <row r="81" spans="1:8" hidden="1" x14ac:dyDescent="0.3">
      <c r="A81" t="s">
        <v>34</v>
      </c>
      <c r="B81">
        <v>2013</v>
      </c>
      <c r="C81" t="s">
        <v>31</v>
      </c>
      <c r="D81" t="s">
        <v>28</v>
      </c>
      <c r="E81" t="e">
        <f>VLOOKUP(Cpi_[[#This Row],[Attribute]],#REF!,2,FALSE)</f>
        <v>#REF!</v>
      </c>
      <c r="F81">
        <v>103.9</v>
      </c>
      <c r="G81">
        <f>(Cpi_[[#This Row],[Value]]-F80)/F80</f>
        <v>-5.7416267942583185E-3</v>
      </c>
      <c r="H81" t="e" cm="1" vm="1">
        <f t="array" aca="1" ref="H81" ca="1">VLOOKUP(Cpi_[[#This Row],[Year]:[Month]],crudeoil[],3,FALSE)</f>
        <v>#VALUE!</v>
      </c>
    </row>
    <row r="82" spans="1:8" hidden="1" x14ac:dyDescent="0.3">
      <c r="A82" t="s">
        <v>34</v>
      </c>
      <c r="B82">
        <v>2013</v>
      </c>
      <c r="C82" t="s">
        <v>31</v>
      </c>
      <c r="D82" t="s">
        <v>29</v>
      </c>
      <c r="E82" t="e" cm="1">
        <f t="array" aca="1" ref="E82" ca="1">VLGeneral indexGeneral indexKUP(Cpi_[[#This Row],[Attribute]],#REF!,2,FALSE)</f>
        <v>#NAME?</v>
      </c>
      <c r="F82">
        <v>104.6</v>
      </c>
      <c r="G82">
        <f>(Cpi_[[#This Row],[Value]]-F81)/F81</f>
        <v>6.7372473532241444E-3</v>
      </c>
      <c r="H82" t="e" cm="1" vm="1">
        <f t="array" aca="1" ref="H82" ca="1">VLOOKUP(Cpi_[[#This Row],[Year]:[Month]],crudeoil[],3,FALSE)</f>
        <v>#VALUE!</v>
      </c>
    </row>
    <row r="83" spans="1:8" hidden="1" x14ac:dyDescent="0.3">
      <c r="A83" t="s">
        <v>30</v>
      </c>
      <c r="B83">
        <v>2013</v>
      </c>
      <c r="C83" t="s">
        <v>35</v>
      </c>
      <c r="D83" t="s">
        <v>3</v>
      </c>
      <c r="E83" t="e">
        <f>VLOOKUP(Cpi_[[#This Row],[Attribute]],#REF!,2,FALSE)</f>
        <v>#REF!</v>
      </c>
      <c r="F83">
        <v>109.2</v>
      </c>
      <c r="G83">
        <f>(Cpi_[[#This Row],[Value]]-F82)/F82</f>
        <v>4.3977055449330865E-2</v>
      </c>
      <c r="H83" t="e" cm="1" vm="1">
        <f t="array" aca="1" ref="H83" ca="1">VLOOKUP(Cpi_[[#This Row],[Year]:[Month]],crudeoil[],3,FALSE)</f>
        <v>#VALUE!</v>
      </c>
    </row>
    <row r="84" spans="1:8" hidden="1" x14ac:dyDescent="0.3">
      <c r="A84" t="s">
        <v>30</v>
      </c>
      <c r="B84">
        <v>2013</v>
      </c>
      <c r="C84" t="s">
        <v>35</v>
      </c>
      <c r="D84" t="s">
        <v>4</v>
      </c>
      <c r="E84" t="e">
        <f>VLOOKUP(Cpi_[[#This Row],[Attribute]],#REF!,2,FALSE)</f>
        <v>#REF!</v>
      </c>
      <c r="F84">
        <v>108.7</v>
      </c>
      <c r="G84">
        <f>(Cpi_[[#This Row],[Value]]-F83)/F83</f>
        <v>-4.578754578754579E-3</v>
      </c>
      <c r="H84" t="e" cm="1" vm="1">
        <f t="array" aca="1" ref="H84" ca="1">VLOOKUP(Cpi_[[#This Row],[Year]:[Month]],crudeoil[],3,FALSE)</f>
        <v>#VALUE!</v>
      </c>
    </row>
    <row r="85" spans="1:8" hidden="1" x14ac:dyDescent="0.3">
      <c r="A85" t="s">
        <v>30</v>
      </c>
      <c r="B85">
        <v>2013</v>
      </c>
      <c r="C85" t="s">
        <v>35</v>
      </c>
      <c r="D85" t="s">
        <v>5</v>
      </c>
      <c r="E85" t="e">
        <f>VLOOKUP(Cpi_[[#This Row],[Attribute]],#REF!,2,FALSE)</f>
        <v>#REF!</v>
      </c>
      <c r="F85">
        <v>110.2</v>
      </c>
      <c r="G85">
        <f>(Cpi_[[#This Row],[Value]]-F84)/F84</f>
        <v>1.3799448022079117E-2</v>
      </c>
      <c r="H85" t="e" cm="1" vm="1">
        <f t="array" aca="1" ref="H85" ca="1">VLOOKUP(Cpi_[[#This Row],[Year]:[Month]],crudeoil[],3,FALSE)</f>
        <v>#VALUE!</v>
      </c>
    </row>
    <row r="86" spans="1:8" hidden="1" x14ac:dyDescent="0.3">
      <c r="A86" t="s">
        <v>30</v>
      </c>
      <c r="B86">
        <v>2013</v>
      </c>
      <c r="C86" t="s">
        <v>35</v>
      </c>
      <c r="D86" t="s">
        <v>6</v>
      </c>
      <c r="E86" t="e">
        <f>VLOOKUP(Cpi_[[#This Row],[Attribute]],#REF!,2,FALSE)</f>
        <v>#REF!</v>
      </c>
      <c r="F86">
        <v>105.4</v>
      </c>
      <c r="G86">
        <f>(Cpi_[[#This Row],[Value]]-F85)/F85</f>
        <v>-4.3557168784029009E-2</v>
      </c>
      <c r="H86" t="e" cm="1" vm="1">
        <f t="array" aca="1" ref="H86" ca="1">VLOOKUP(Cpi_[[#This Row],[Year]:[Month]],crudeoil[],3,FALSE)</f>
        <v>#VALUE!</v>
      </c>
    </row>
    <row r="87" spans="1:8" hidden="1" x14ac:dyDescent="0.3">
      <c r="A87" t="s">
        <v>30</v>
      </c>
      <c r="B87">
        <v>2013</v>
      </c>
      <c r="C87" t="s">
        <v>35</v>
      </c>
      <c r="D87" t="s">
        <v>7</v>
      </c>
      <c r="E87" t="e">
        <f>VLOOKUP(Cpi_[[#This Row],[Attribute]],#REF!,2,FALSE)</f>
        <v>#REF!</v>
      </c>
      <c r="F87">
        <v>106.7</v>
      </c>
      <c r="G87">
        <f>(Cpi_[[#This Row],[Value]]-F86)/F86</f>
        <v>1.233396584440225E-2</v>
      </c>
      <c r="H87" t="e" cm="1" vm="1">
        <f t="array" aca="1" ref="H87" ca="1">VLOOKUP(Cpi_[[#This Row],[Year]:[Month]],crudeoil[],3,FALSE)</f>
        <v>#VALUE!</v>
      </c>
    </row>
    <row r="88" spans="1:8" hidden="1" x14ac:dyDescent="0.3">
      <c r="A88" t="s">
        <v>30</v>
      </c>
      <c r="B88">
        <v>2013</v>
      </c>
      <c r="C88" t="s">
        <v>35</v>
      </c>
      <c r="D88" t="s">
        <v>8</v>
      </c>
      <c r="E88" t="e">
        <f>VLOOKUP(Cpi_[[#This Row],[Attribute]],#REF!,2,FALSE)</f>
        <v>#REF!</v>
      </c>
      <c r="F88">
        <v>104</v>
      </c>
      <c r="G88">
        <f>(Cpi_[[#This Row],[Value]]-F87)/F87</f>
        <v>-2.5304592314901619E-2</v>
      </c>
      <c r="H88" t="e" cm="1" vm="1">
        <f t="array" aca="1" ref="H88" ca="1">VLOOKUP(Cpi_[[#This Row],[Year]:[Month]],crudeoil[],3,FALSE)</f>
        <v>#VALUE!</v>
      </c>
    </row>
    <row r="89" spans="1:8" hidden="1" x14ac:dyDescent="0.3">
      <c r="A89" t="s">
        <v>30</v>
      </c>
      <c r="B89">
        <v>2013</v>
      </c>
      <c r="C89" t="s">
        <v>35</v>
      </c>
      <c r="D89" t="s">
        <v>9</v>
      </c>
      <c r="E89" t="e">
        <f>VLOOKUP(Cpi_[[#This Row],[Attribute]],#REF!,2,FALSE)</f>
        <v>#REF!</v>
      </c>
      <c r="F89">
        <v>102.4</v>
      </c>
      <c r="G89">
        <f>(Cpi_[[#This Row],[Value]]-F88)/F88</f>
        <v>-1.538461538461533E-2</v>
      </c>
      <c r="H89" t="e" cm="1" vm="1">
        <f t="array" aca="1" ref="H89" ca="1">VLOOKUP(Cpi_[[#This Row],[Year]:[Month]],crudeoil[],3,FALSE)</f>
        <v>#VALUE!</v>
      </c>
    </row>
    <row r="90" spans="1:8" hidden="1" x14ac:dyDescent="0.3">
      <c r="A90" t="s">
        <v>30</v>
      </c>
      <c r="B90">
        <v>2013</v>
      </c>
      <c r="C90" t="s">
        <v>35</v>
      </c>
      <c r="D90" t="s">
        <v>10</v>
      </c>
      <c r="E90" t="e">
        <f>VLOOKUP(Cpi_[[#This Row],[Attribute]],#REF!,2,FALSE)</f>
        <v>#REF!</v>
      </c>
      <c r="F90">
        <v>105.9</v>
      </c>
      <c r="G90">
        <f>(Cpi_[[#This Row],[Value]]-F89)/F89</f>
        <v>3.41796875E-2</v>
      </c>
      <c r="H90" t="e" cm="1" vm="1">
        <f t="array" aca="1" ref="H90" ca="1">VLOOKUP(Cpi_[[#This Row],[Year]:[Month]],crudeoil[],3,FALSE)</f>
        <v>#VALUE!</v>
      </c>
    </row>
    <row r="91" spans="1:8" hidden="1" x14ac:dyDescent="0.3">
      <c r="A91" t="s">
        <v>30</v>
      </c>
      <c r="B91">
        <v>2013</v>
      </c>
      <c r="C91" t="s">
        <v>35</v>
      </c>
      <c r="D91" t="s">
        <v>11</v>
      </c>
      <c r="E91" t="e">
        <f>VLOOKUP(Cpi_[[#This Row],[Attribute]],#REF!,2,FALSE)</f>
        <v>#REF!</v>
      </c>
      <c r="F91">
        <v>105.7</v>
      </c>
      <c r="G91">
        <f>(Cpi_[[#This Row],[Value]]-F90)/F90</f>
        <v>-1.8885741265344932E-3</v>
      </c>
      <c r="H91" t="e" cm="1" vm="1">
        <f t="array" aca="1" ref="H91" ca="1">VLOOKUP(Cpi_[[#This Row],[Year]:[Month]],crudeoil[],3,FALSE)</f>
        <v>#VALUE!</v>
      </c>
    </row>
    <row r="92" spans="1:8" hidden="1" x14ac:dyDescent="0.3">
      <c r="A92" t="s">
        <v>30</v>
      </c>
      <c r="B92">
        <v>2013</v>
      </c>
      <c r="C92" t="s">
        <v>35</v>
      </c>
      <c r="D92" t="s">
        <v>12</v>
      </c>
      <c r="E92" t="e">
        <f>VLOOKUP(Cpi_[[#This Row],[Attribute]],#REF!,2,FALSE)</f>
        <v>#REF!</v>
      </c>
      <c r="F92">
        <v>103.1</v>
      </c>
      <c r="G92">
        <f>(Cpi_[[#This Row],[Value]]-F91)/F91</f>
        <v>-2.4597918637653819E-2</v>
      </c>
      <c r="H92" t="e" cm="1" vm="1">
        <f t="array" aca="1" ref="H92" ca="1">VLOOKUP(Cpi_[[#This Row],[Year]:[Month]],crudeoil[],3,FALSE)</f>
        <v>#VALUE!</v>
      </c>
    </row>
    <row r="93" spans="1:8" hidden="1" x14ac:dyDescent="0.3">
      <c r="A93" t="s">
        <v>30</v>
      </c>
      <c r="B93">
        <v>2013</v>
      </c>
      <c r="C93" t="s">
        <v>35</v>
      </c>
      <c r="D93" t="s">
        <v>13</v>
      </c>
      <c r="E93" t="e">
        <f>VLOOKUP(Cpi_[[#This Row],[Attribute]],#REF!,2,FALSE)</f>
        <v>#REF!</v>
      </c>
      <c r="F93">
        <v>105.1</v>
      </c>
      <c r="G93">
        <f>(Cpi_[[#This Row],[Value]]-F92)/F92</f>
        <v>1.9398642095053348E-2</v>
      </c>
      <c r="H93" t="e" cm="1" vm="1">
        <f t="array" aca="1" ref="H93" ca="1">VLOOKUP(Cpi_[[#This Row],[Year]:[Month]],crudeoil[],3,FALSE)</f>
        <v>#VALUE!</v>
      </c>
    </row>
    <row r="94" spans="1:8" hidden="1" x14ac:dyDescent="0.3">
      <c r="A94" t="s">
        <v>30</v>
      </c>
      <c r="B94">
        <v>2013</v>
      </c>
      <c r="C94" t="s">
        <v>35</v>
      </c>
      <c r="D94" t="s">
        <v>14</v>
      </c>
      <c r="E94" t="e">
        <f>VLOOKUP(Cpi_[[#This Row],[Attribute]],#REF!,2,FALSE)</f>
        <v>#REF!</v>
      </c>
      <c r="F94">
        <v>107.7</v>
      </c>
      <c r="G94">
        <f>(Cpi_[[#This Row],[Value]]-F93)/F93</f>
        <v>2.4738344433872586E-2</v>
      </c>
      <c r="H94" t="e" cm="1" vm="1">
        <f t="array" aca="1" ref="H94" ca="1">VLOOKUP(Cpi_[[#This Row],[Year]:[Month]],crudeoil[],3,FALSE)</f>
        <v>#VALUE!</v>
      </c>
    </row>
    <row r="95" spans="1:8" hidden="1" x14ac:dyDescent="0.3">
      <c r="A95" t="s">
        <v>30</v>
      </c>
      <c r="B95">
        <v>2013</v>
      </c>
      <c r="C95" t="s">
        <v>35</v>
      </c>
      <c r="D95" t="s">
        <v>15</v>
      </c>
      <c r="E95" t="e">
        <f>VLOOKUP(Cpi_[[#This Row],[Attribute]],#REF!,2,FALSE)</f>
        <v>#REF!</v>
      </c>
      <c r="F95">
        <v>106.3</v>
      </c>
      <c r="G95">
        <f>(Cpi_[[#This Row],[Value]]-F94)/F94</f>
        <v>-1.2999071494893275E-2</v>
      </c>
      <c r="H95" t="e" cm="1" vm="1">
        <f t="array" aca="1" ref="H95" ca="1">VLOOKUP(Cpi_[[#This Row],[Year]:[Month]],crudeoil[],3,FALSE)</f>
        <v>#VALUE!</v>
      </c>
    </row>
    <row r="96" spans="1:8" hidden="1" x14ac:dyDescent="0.3">
      <c r="A96" t="s">
        <v>30</v>
      </c>
      <c r="B96">
        <v>2013</v>
      </c>
      <c r="C96" t="s">
        <v>35</v>
      </c>
      <c r="D96" t="s">
        <v>16</v>
      </c>
      <c r="E96" t="e">
        <f>VLOOKUP(Cpi_[[#This Row],[Attribute]],#REF!,2,FALSE)</f>
        <v>#REF!</v>
      </c>
      <c r="F96">
        <v>105.6</v>
      </c>
      <c r="G96">
        <f>(Cpi_[[#This Row],[Value]]-F95)/F95</f>
        <v>-6.5851364063970168E-3</v>
      </c>
      <c r="H96" t="e" cm="1" vm="1">
        <f t="array" aca="1" ref="H96" ca="1">VLOOKUP(Cpi_[[#This Row],[Year]:[Month]],crudeoil[],3,FALSE)</f>
        <v>#VALUE!</v>
      </c>
    </row>
    <row r="97" spans="1:8" hidden="1" x14ac:dyDescent="0.3">
      <c r="A97" t="s">
        <v>30</v>
      </c>
      <c r="B97">
        <v>2013</v>
      </c>
      <c r="C97" t="s">
        <v>35</v>
      </c>
      <c r="D97" t="s">
        <v>17</v>
      </c>
      <c r="E97" t="e">
        <f>VLOOKUP(Cpi_[[#This Row],[Attribute]],#REF!,2,FALSE)</f>
        <v>#REF!</v>
      </c>
      <c r="F97">
        <v>107.1</v>
      </c>
      <c r="G97">
        <f>(Cpi_[[#This Row],[Value]]-F96)/F96</f>
        <v>1.4204545454545456E-2</v>
      </c>
      <c r="H97" t="e" cm="1" vm="1">
        <f t="array" aca="1" ref="H97" ca="1">VLOOKUP(Cpi_[[#This Row],[Year]:[Month]],crudeoil[],3,FALSE)</f>
        <v>#VALUE!</v>
      </c>
    </row>
    <row r="98" spans="1:8" hidden="1" x14ac:dyDescent="0.3">
      <c r="A98" t="s">
        <v>30</v>
      </c>
      <c r="B98">
        <v>2013</v>
      </c>
      <c r="C98" t="s">
        <v>35</v>
      </c>
      <c r="D98" t="s">
        <v>18</v>
      </c>
      <c r="E98" t="e">
        <f>VLOOKUP(Cpi_[[#This Row],[Attribute]],#REF!,2,FALSE)</f>
        <v>#REF!</v>
      </c>
      <c r="F98">
        <v>106.3</v>
      </c>
      <c r="G98">
        <f>(Cpi_[[#This Row],[Value]]-F97)/F97</f>
        <v>-7.4696545284780314E-3</v>
      </c>
      <c r="H98" t="e" cm="1" vm="1">
        <f t="array" aca="1" ref="H98" ca="1">VLOOKUP(Cpi_[[#This Row],[Year]:[Month]],crudeoil[],3,FALSE)</f>
        <v>#VALUE!</v>
      </c>
    </row>
    <row r="99" spans="1:8" hidden="1" x14ac:dyDescent="0.3">
      <c r="A99" t="s">
        <v>30</v>
      </c>
      <c r="B99">
        <v>2013</v>
      </c>
      <c r="C99" t="s">
        <v>35</v>
      </c>
      <c r="D99" t="s">
        <v>19</v>
      </c>
      <c r="E99" t="e">
        <f>VLOOKUP(Cpi_[[#This Row],[Attribute]],#REF!,2,FALSE)</f>
        <v>#REF!</v>
      </c>
      <c r="F99">
        <v>107</v>
      </c>
      <c r="G99">
        <f>(Cpi_[[#This Row],[Value]]-F98)/F98</f>
        <v>6.5851364063970168E-3</v>
      </c>
      <c r="H99" t="e" cm="1" vm="1">
        <f t="array" aca="1" ref="H99" ca="1">VLOOKUP(Cpi_[[#This Row],[Year]:[Month]],crudeoil[],3,FALSE)</f>
        <v>#VALUE!</v>
      </c>
    </row>
    <row r="100" spans="1:8" hidden="1" x14ac:dyDescent="0.3">
      <c r="A100" t="s">
        <v>30</v>
      </c>
      <c r="B100">
        <v>2013</v>
      </c>
      <c r="C100" t="s">
        <v>35</v>
      </c>
      <c r="D100" t="s">
        <v>20</v>
      </c>
      <c r="E100" t="e">
        <f>VLOOKUP(Cpi_[[#This Row],[Attribute]],#REF!,2,FALSE)</f>
        <v>#REF!</v>
      </c>
      <c r="F100" t="s">
        <v>32</v>
      </c>
      <c r="G100" t="e">
        <f>(Cpi_[[#This Row],[Value]]-F99)/F99</f>
        <v>#VALUE!</v>
      </c>
      <c r="H100" t="e" cm="1" vm="1">
        <f t="array" aca="1" ref="H100" ca="1">VLOOKUP(Cpi_[[#This Row],[Year]:[Month]],crudeoil[],3,FALSE)</f>
        <v>#VALUE!</v>
      </c>
    </row>
    <row r="101" spans="1:8" hidden="1" x14ac:dyDescent="0.3">
      <c r="A101" t="s">
        <v>30</v>
      </c>
      <c r="B101">
        <v>2013</v>
      </c>
      <c r="C101" t="s">
        <v>35</v>
      </c>
      <c r="D101" t="s">
        <v>21</v>
      </c>
      <c r="E101" t="e">
        <f>VLOOKUP(Cpi_[[#This Row],[Attribute]],#REF!,2,FALSE)</f>
        <v>#REF!</v>
      </c>
      <c r="F101">
        <v>106.2</v>
      </c>
      <c r="G101" t="e">
        <f>(Cpi_[[#This Row],[Value]]-F100)/F100</f>
        <v>#VALUE!</v>
      </c>
      <c r="H101" t="e" cm="1" vm="1">
        <f t="array" aca="1" ref="H101" ca="1">VLOOKUP(Cpi_[[#This Row],[Year]:[Month]],crudeoil[],3,FALSE)</f>
        <v>#VALUE!</v>
      </c>
    </row>
    <row r="102" spans="1:8" hidden="1" x14ac:dyDescent="0.3">
      <c r="A102" t="s">
        <v>30</v>
      </c>
      <c r="B102">
        <v>2013</v>
      </c>
      <c r="C102" t="s">
        <v>35</v>
      </c>
      <c r="D102" t="s">
        <v>22</v>
      </c>
      <c r="E102" t="e">
        <f>VLOOKUP(Cpi_[[#This Row],[Attribute]],#REF!,2,FALSE)</f>
        <v>#REF!</v>
      </c>
      <c r="F102">
        <v>105.2</v>
      </c>
      <c r="G102">
        <f>(Cpi_[[#This Row],[Value]]-F101)/F101</f>
        <v>-9.4161958568738224E-3</v>
      </c>
      <c r="H102" t="e" cm="1" vm="1">
        <f t="array" aca="1" ref="H102" ca="1">VLOOKUP(Cpi_[[#This Row],[Year]:[Month]],crudeoil[],3,FALSE)</f>
        <v>#VALUE!</v>
      </c>
    </row>
    <row r="103" spans="1:8" hidden="1" x14ac:dyDescent="0.3">
      <c r="A103" t="s">
        <v>30</v>
      </c>
      <c r="B103">
        <v>2013</v>
      </c>
      <c r="C103" t="s">
        <v>35</v>
      </c>
      <c r="D103" t="s">
        <v>23</v>
      </c>
      <c r="E103" t="e">
        <f>VLOOKUP(Cpi_[[#This Row],[Attribute]],#REF!,2,FALSE)</f>
        <v>#REF!</v>
      </c>
      <c r="F103">
        <v>104.4</v>
      </c>
      <c r="G103">
        <f>(Cpi_[[#This Row],[Value]]-F102)/F102</f>
        <v>-7.6045627376425586E-3</v>
      </c>
      <c r="H103" t="e" cm="1" vm="1">
        <f t="array" aca="1" ref="H103" ca="1">VLOOKUP(Cpi_[[#This Row],[Year]:[Month]],crudeoil[],3,FALSE)</f>
        <v>#VALUE!</v>
      </c>
    </row>
    <row r="104" spans="1:8" hidden="1" x14ac:dyDescent="0.3">
      <c r="A104" t="s">
        <v>30</v>
      </c>
      <c r="B104">
        <v>2013</v>
      </c>
      <c r="C104" t="s">
        <v>35</v>
      </c>
      <c r="D104" t="s">
        <v>24</v>
      </c>
      <c r="E104" t="e">
        <f>VLOOKUP(Cpi_[[#This Row],[Attribute]],#REF!,2,FALSE)</f>
        <v>#REF!</v>
      </c>
      <c r="F104">
        <v>103.9</v>
      </c>
      <c r="G104">
        <f>(Cpi_[[#This Row],[Value]]-F103)/F103</f>
        <v>-4.7892720306513406E-3</v>
      </c>
      <c r="H104" t="e" cm="1" vm="1">
        <f t="array" aca="1" ref="H104" ca="1">VLOOKUP(Cpi_[[#This Row],[Year]:[Month]],crudeoil[],3,FALSE)</f>
        <v>#VALUE!</v>
      </c>
    </row>
    <row r="105" spans="1:8" hidden="1" x14ac:dyDescent="0.3">
      <c r="A105" t="s">
        <v>30</v>
      </c>
      <c r="B105">
        <v>2013</v>
      </c>
      <c r="C105" t="s">
        <v>35</v>
      </c>
      <c r="D105" t="s">
        <v>25</v>
      </c>
      <c r="E105" t="e">
        <f>VLOOKUP(Cpi_[[#This Row],[Attribute]],#REF!,2,FALSE)</f>
        <v>#REF!</v>
      </c>
      <c r="F105">
        <v>104</v>
      </c>
      <c r="G105">
        <f>(Cpi_[[#This Row],[Value]]-F104)/F104</f>
        <v>9.6246390760341006E-4</v>
      </c>
      <c r="H105" t="e" cm="1" vm="1">
        <f t="array" aca="1" ref="H105" ca="1">VLOOKUP(Cpi_[[#This Row],[Year]:[Month]],crudeoil[],3,FALSE)</f>
        <v>#VALUE!</v>
      </c>
    </row>
    <row r="106" spans="1:8" hidden="1" x14ac:dyDescent="0.3">
      <c r="A106" t="s">
        <v>30</v>
      </c>
      <c r="B106">
        <v>2013</v>
      </c>
      <c r="C106" t="s">
        <v>35</v>
      </c>
      <c r="D106" t="s">
        <v>26</v>
      </c>
      <c r="E106" t="e">
        <f>VLOOKUP(Cpi_[[#This Row],[Attribute]],#REF!,2,FALSE)</f>
        <v>#REF!</v>
      </c>
      <c r="F106">
        <v>104.1</v>
      </c>
      <c r="G106">
        <f>(Cpi_[[#This Row],[Value]]-F105)/F105</f>
        <v>9.6153846153840684E-4</v>
      </c>
      <c r="H106" t="e" cm="1" vm="1">
        <f t="array" aca="1" ref="H106" ca="1">VLOOKUP(Cpi_[[#This Row],[Year]:[Month]],crudeoil[],3,FALSE)</f>
        <v>#VALUE!</v>
      </c>
    </row>
    <row r="107" spans="1:8" hidden="1" x14ac:dyDescent="0.3">
      <c r="A107" t="s">
        <v>30</v>
      </c>
      <c r="B107">
        <v>2013</v>
      </c>
      <c r="C107" t="s">
        <v>35</v>
      </c>
      <c r="D107" t="s">
        <v>27</v>
      </c>
      <c r="E107" t="e">
        <f>VLOOKUP(Cpi_[[#This Row],[Attribute]],#REF!,2,FALSE)</f>
        <v>#REF!</v>
      </c>
      <c r="F107">
        <v>104.6</v>
      </c>
      <c r="G107">
        <f>(Cpi_[[#This Row],[Value]]-F106)/F106</f>
        <v>4.8030739673390974E-3</v>
      </c>
      <c r="H107" t="e" cm="1" vm="1">
        <f t="array" aca="1" ref="H107" ca="1">VLOOKUP(Cpi_[[#This Row],[Year]:[Month]],crudeoil[],3,FALSE)</f>
        <v>#VALUE!</v>
      </c>
    </row>
    <row r="108" spans="1:8" hidden="1" x14ac:dyDescent="0.3">
      <c r="A108" t="s">
        <v>30</v>
      </c>
      <c r="B108">
        <v>2013</v>
      </c>
      <c r="C108" t="s">
        <v>35</v>
      </c>
      <c r="D108" t="s">
        <v>28</v>
      </c>
      <c r="E108" t="e">
        <f>VLOOKUP(Cpi_[[#This Row],[Attribute]],#REF!,2,FALSE)</f>
        <v>#REF!</v>
      </c>
      <c r="F108">
        <v>104.4</v>
      </c>
      <c r="G108">
        <f>(Cpi_[[#This Row],[Value]]-F107)/F107</f>
        <v>-1.9120458891012299E-3</v>
      </c>
      <c r="H108" t="e" cm="1" vm="1">
        <f t="array" aca="1" ref="H108" ca="1">VLOOKUP(Cpi_[[#This Row],[Year]:[Month]],crudeoil[],3,FALSE)</f>
        <v>#VALUE!</v>
      </c>
    </row>
    <row r="109" spans="1:8" hidden="1" x14ac:dyDescent="0.3">
      <c r="A109" t="s">
        <v>30</v>
      </c>
      <c r="B109">
        <v>2013</v>
      </c>
      <c r="C109" t="s">
        <v>35</v>
      </c>
      <c r="D109" t="s">
        <v>29</v>
      </c>
      <c r="E109" t="e" cm="1">
        <f t="array" aca="1" ref="E109" ca="1">VLGeneral indexGeneral indexKUP(Cpi_[[#This Row],[Attribute]],#REF!,2,FALSE)</f>
        <v>#NAME?</v>
      </c>
      <c r="F109">
        <v>105.8</v>
      </c>
      <c r="G109">
        <f>(Cpi_[[#This Row],[Value]]-F108)/F108</f>
        <v>1.3409961685823672E-2</v>
      </c>
      <c r="H109" t="e" cm="1" vm="1">
        <f t="array" aca="1" ref="H109" ca="1">VLOOKUP(Cpi_[[#This Row],[Year]:[Month]],crudeoil[],3,FALSE)</f>
        <v>#VALUE!</v>
      </c>
    </row>
    <row r="110" spans="1:8" hidden="1" x14ac:dyDescent="0.3">
      <c r="A110" t="s">
        <v>33</v>
      </c>
      <c r="B110">
        <v>2013</v>
      </c>
      <c r="C110" t="s">
        <v>35</v>
      </c>
      <c r="D110" t="s">
        <v>3</v>
      </c>
      <c r="E110" t="e">
        <f>VLOOKUP(Cpi_[[#This Row],[Attribute]],#REF!,2,FALSE)</f>
        <v>#REF!</v>
      </c>
      <c r="F110">
        <v>112.9</v>
      </c>
      <c r="G110">
        <f>(Cpi_[[#This Row],[Value]]-F109)/F109</f>
        <v>6.7107750472589878E-2</v>
      </c>
      <c r="H110" t="e" cm="1" vm="1">
        <f t="array" aca="1" ref="H110" ca="1">VLOOKUP(Cpi_[[#This Row],[Year]:[Month]],crudeoil[],3,FALSE)</f>
        <v>#VALUE!</v>
      </c>
    </row>
    <row r="111" spans="1:8" hidden="1" x14ac:dyDescent="0.3">
      <c r="A111" t="s">
        <v>33</v>
      </c>
      <c r="B111">
        <v>2013</v>
      </c>
      <c r="C111" t="s">
        <v>35</v>
      </c>
      <c r="D111" t="s">
        <v>4</v>
      </c>
      <c r="E111" t="e">
        <f>VLOOKUP(Cpi_[[#This Row],[Attribute]],#REF!,2,FALSE)</f>
        <v>#REF!</v>
      </c>
      <c r="F111">
        <v>112.9</v>
      </c>
      <c r="G111">
        <f>(Cpi_[[#This Row],[Value]]-F110)/F110</f>
        <v>0</v>
      </c>
      <c r="H111" t="e" cm="1" vm="1">
        <f t="array" aca="1" ref="H111" ca="1">VLOOKUP(Cpi_[[#This Row],[Year]:[Month]],crudeoil[],3,FALSE)</f>
        <v>#VALUE!</v>
      </c>
    </row>
    <row r="112" spans="1:8" hidden="1" x14ac:dyDescent="0.3">
      <c r="A112" t="s">
        <v>33</v>
      </c>
      <c r="B112">
        <v>2013</v>
      </c>
      <c r="C112" t="s">
        <v>35</v>
      </c>
      <c r="D112" t="s">
        <v>5</v>
      </c>
      <c r="E112" t="e">
        <f>VLOOKUP(Cpi_[[#This Row],[Attribute]],#REF!,2,FALSE)</f>
        <v>#REF!</v>
      </c>
      <c r="F112">
        <v>116.9</v>
      </c>
      <c r="G112">
        <f>(Cpi_[[#This Row],[Value]]-F111)/F111</f>
        <v>3.5429583702391493E-2</v>
      </c>
      <c r="H112" t="e" cm="1" vm="1">
        <f t="array" aca="1" ref="H112" ca="1">VLOOKUP(Cpi_[[#This Row],[Year]:[Month]],crudeoil[],3,FALSE)</f>
        <v>#VALUE!</v>
      </c>
    </row>
    <row r="113" spans="1:8" hidden="1" x14ac:dyDescent="0.3">
      <c r="A113" t="s">
        <v>33</v>
      </c>
      <c r="B113">
        <v>2013</v>
      </c>
      <c r="C113" t="s">
        <v>35</v>
      </c>
      <c r="D113" t="s">
        <v>6</v>
      </c>
      <c r="E113" t="e">
        <f>VLOOKUP(Cpi_[[#This Row],[Attribute]],#REF!,2,FALSE)</f>
        <v>#REF!</v>
      </c>
      <c r="F113">
        <v>104</v>
      </c>
      <c r="G113">
        <f>(Cpi_[[#This Row],[Value]]-F112)/F112</f>
        <v>-0.11035072711719422</v>
      </c>
      <c r="H113" t="e" cm="1" vm="1">
        <f t="array" aca="1" ref="H113" ca="1">VLOOKUP(Cpi_[[#This Row],[Year]:[Month]],crudeoil[],3,FALSE)</f>
        <v>#VALUE!</v>
      </c>
    </row>
    <row r="114" spans="1:8" hidden="1" x14ac:dyDescent="0.3">
      <c r="A114" t="s">
        <v>33</v>
      </c>
      <c r="B114">
        <v>2013</v>
      </c>
      <c r="C114" t="s">
        <v>35</v>
      </c>
      <c r="D114" t="s">
        <v>7</v>
      </c>
      <c r="E114" t="e">
        <f>VLOOKUP(Cpi_[[#This Row],[Attribute]],#REF!,2,FALSE)</f>
        <v>#REF!</v>
      </c>
      <c r="F114">
        <v>103.5</v>
      </c>
      <c r="G114">
        <f>(Cpi_[[#This Row],[Value]]-F113)/F113</f>
        <v>-4.807692307692308E-3</v>
      </c>
      <c r="H114" t="e" cm="1" vm="1">
        <f t="array" aca="1" ref="H114" ca="1">VLOOKUP(Cpi_[[#This Row],[Year]:[Month]],crudeoil[],3,FALSE)</f>
        <v>#VALUE!</v>
      </c>
    </row>
    <row r="115" spans="1:8" hidden="1" x14ac:dyDescent="0.3">
      <c r="A115" t="s">
        <v>33</v>
      </c>
      <c r="B115">
        <v>2013</v>
      </c>
      <c r="C115" t="s">
        <v>35</v>
      </c>
      <c r="D115" t="s">
        <v>8</v>
      </c>
      <c r="E115" t="e">
        <f>VLOOKUP(Cpi_[[#This Row],[Attribute]],#REF!,2,FALSE)</f>
        <v>#REF!</v>
      </c>
      <c r="F115">
        <v>103.1</v>
      </c>
      <c r="G115">
        <f>(Cpi_[[#This Row],[Value]]-F114)/F114</f>
        <v>-3.8647342995169632E-3</v>
      </c>
      <c r="H115" t="e" cm="1" vm="1">
        <f t="array" aca="1" ref="H115" ca="1">VLOOKUP(Cpi_[[#This Row],[Year]:[Month]],crudeoil[],3,FALSE)</f>
        <v>#VALUE!</v>
      </c>
    </row>
    <row r="116" spans="1:8" hidden="1" x14ac:dyDescent="0.3">
      <c r="A116" t="s">
        <v>33</v>
      </c>
      <c r="B116">
        <v>2013</v>
      </c>
      <c r="C116" t="s">
        <v>35</v>
      </c>
      <c r="D116" t="s">
        <v>9</v>
      </c>
      <c r="E116" t="e">
        <f>VLOOKUP(Cpi_[[#This Row],[Attribute]],#REF!,2,FALSE)</f>
        <v>#REF!</v>
      </c>
      <c r="F116">
        <v>104.9</v>
      </c>
      <c r="G116">
        <f>(Cpi_[[#This Row],[Value]]-F115)/F115</f>
        <v>1.7458777885548123E-2</v>
      </c>
      <c r="H116" t="e" cm="1" vm="1">
        <f t="array" aca="1" ref="H116" ca="1">VLOOKUP(Cpi_[[#This Row],[Year]:[Month]],crudeoil[],3,FALSE)</f>
        <v>#VALUE!</v>
      </c>
    </row>
    <row r="117" spans="1:8" hidden="1" x14ac:dyDescent="0.3">
      <c r="A117" t="s">
        <v>33</v>
      </c>
      <c r="B117">
        <v>2013</v>
      </c>
      <c r="C117" t="s">
        <v>35</v>
      </c>
      <c r="D117" t="s">
        <v>10</v>
      </c>
      <c r="E117" t="e">
        <f>VLOOKUP(Cpi_[[#This Row],[Attribute]],#REF!,2,FALSE)</f>
        <v>#REF!</v>
      </c>
      <c r="F117">
        <v>104.1</v>
      </c>
      <c r="G117">
        <f>(Cpi_[[#This Row],[Value]]-F116)/F116</f>
        <v>-7.6263107721640739E-3</v>
      </c>
      <c r="H117" t="e" cm="1" vm="1">
        <f t="array" aca="1" ref="H117" ca="1">VLOOKUP(Cpi_[[#This Row],[Year]:[Month]],crudeoil[],3,FALSE)</f>
        <v>#VALUE!</v>
      </c>
    </row>
    <row r="118" spans="1:8" hidden="1" x14ac:dyDescent="0.3">
      <c r="A118" t="s">
        <v>33</v>
      </c>
      <c r="B118">
        <v>2013</v>
      </c>
      <c r="C118" t="s">
        <v>35</v>
      </c>
      <c r="D118" t="s">
        <v>11</v>
      </c>
      <c r="E118" t="e">
        <f>VLOOKUP(Cpi_[[#This Row],[Attribute]],#REF!,2,FALSE)</f>
        <v>#REF!</v>
      </c>
      <c r="F118">
        <v>103.8</v>
      </c>
      <c r="G118">
        <f>(Cpi_[[#This Row],[Value]]-F117)/F117</f>
        <v>-2.8818443804034311E-3</v>
      </c>
      <c r="H118" t="e" cm="1" vm="1">
        <f t="array" aca="1" ref="H118" ca="1">VLOOKUP(Cpi_[[#This Row],[Year]:[Month]],crudeoil[],3,FALSE)</f>
        <v>#VALUE!</v>
      </c>
    </row>
    <row r="119" spans="1:8" hidden="1" x14ac:dyDescent="0.3">
      <c r="A119" t="s">
        <v>33</v>
      </c>
      <c r="B119">
        <v>2013</v>
      </c>
      <c r="C119" t="s">
        <v>35</v>
      </c>
      <c r="D119" t="s">
        <v>12</v>
      </c>
      <c r="E119" t="e">
        <f>VLOOKUP(Cpi_[[#This Row],[Attribute]],#REF!,2,FALSE)</f>
        <v>#REF!</v>
      </c>
      <c r="F119">
        <v>102.3</v>
      </c>
      <c r="G119">
        <f>(Cpi_[[#This Row],[Value]]-F118)/F118</f>
        <v>-1.4450867052023121E-2</v>
      </c>
      <c r="H119" t="e" cm="1" vm="1">
        <f t="array" aca="1" ref="H119" ca="1">VLOOKUP(Cpi_[[#This Row],[Year]:[Month]],crudeoil[],3,FALSE)</f>
        <v>#VALUE!</v>
      </c>
    </row>
    <row r="120" spans="1:8" hidden="1" x14ac:dyDescent="0.3">
      <c r="A120" t="s">
        <v>33</v>
      </c>
      <c r="B120">
        <v>2013</v>
      </c>
      <c r="C120" t="s">
        <v>35</v>
      </c>
      <c r="D120" t="s">
        <v>13</v>
      </c>
      <c r="E120" t="e">
        <f>VLOOKUP(Cpi_[[#This Row],[Attribute]],#REF!,2,FALSE)</f>
        <v>#REF!</v>
      </c>
      <c r="F120">
        <v>106</v>
      </c>
      <c r="G120">
        <f>(Cpi_[[#This Row],[Value]]-F119)/F119</f>
        <v>3.6168132942326521E-2</v>
      </c>
      <c r="H120" t="e" cm="1" vm="1">
        <f t="array" aca="1" ref="H120" ca="1">VLOOKUP(Cpi_[[#This Row],[Year]:[Month]],crudeoil[],3,FALSE)</f>
        <v>#VALUE!</v>
      </c>
    </row>
    <row r="121" spans="1:8" hidden="1" x14ac:dyDescent="0.3">
      <c r="A121" t="s">
        <v>33</v>
      </c>
      <c r="B121">
        <v>2013</v>
      </c>
      <c r="C121" t="s">
        <v>35</v>
      </c>
      <c r="D121" t="s">
        <v>14</v>
      </c>
      <c r="E121" t="e">
        <f>VLOOKUP(Cpi_[[#This Row],[Attribute]],#REF!,2,FALSE)</f>
        <v>#REF!</v>
      </c>
      <c r="F121">
        <v>109</v>
      </c>
      <c r="G121">
        <f>(Cpi_[[#This Row],[Value]]-F120)/F120</f>
        <v>2.8301886792452831E-2</v>
      </c>
      <c r="H121" t="e" cm="1" vm="1">
        <f t="array" aca="1" ref="H121" ca="1">VLOOKUP(Cpi_[[#This Row],[Year]:[Month]],crudeoil[],3,FALSE)</f>
        <v>#VALUE!</v>
      </c>
    </row>
    <row r="122" spans="1:8" hidden="1" x14ac:dyDescent="0.3">
      <c r="A122" t="s">
        <v>33</v>
      </c>
      <c r="B122">
        <v>2013</v>
      </c>
      <c r="C122" t="s">
        <v>35</v>
      </c>
      <c r="D122" t="s">
        <v>15</v>
      </c>
      <c r="E122" t="e">
        <f>VLOOKUP(Cpi_[[#This Row],[Attribute]],#REF!,2,FALSE)</f>
        <v>#REF!</v>
      </c>
      <c r="F122">
        <v>107.2</v>
      </c>
      <c r="G122">
        <f>(Cpi_[[#This Row],[Value]]-F121)/F121</f>
        <v>-1.6513761467889881E-2</v>
      </c>
      <c r="H122" t="e" cm="1" vm="1">
        <f t="array" aca="1" ref="H122" ca="1">VLOOKUP(Cpi_[[#This Row],[Year]:[Month]],crudeoil[],3,FALSE)</f>
        <v>#VALUE!</v>
      </c>
    </row>
    <row r="123" spans="1:8" hidden="1" x14ac:dyDescent="0.3">
      <c r="A123" t="s">
        <v>33</v>
      </c>
      <c r="B123">
        <v>2013</v>
      </c>
      <c r="C123" t="s">
        <v>35</v>
      </c>
      <c r="D123" t="s">
        <v>16</v>
      </c>
      <c r="E123" t="e">
        <f>VLOOKUP(Cpi_[[#This Row],[Attribute]],#REF!,2,FALSE)</f>
        <v>#REF!</v>
      </c>
      <c r="F123">
        <v>106</v>
      </c>
      <c r="G123">
        <f>(Cpi_[[#This Row],[Value]]-F122)/F122</f>
        <v>-1.1194029850746294E-2</v>
      </c>
      <c r="H123" t="e" cm="1" vm="1">
        <f t="array" aca="1" ref="H123" ca="1">VLOOKUP(Cpi_[[#This Row],[Year]:[Month]],crudeoil[],3,FALSE)</f>
        <v>#VALUE!</v>
      </c>
    </row>
    <row r="124" spans="1:8" hidden="1" x14ac:dyDescent="0.3">
      <c r="A124" t="s">
        <v>33</v>
      </c>
      <c r="B124">
        <v>2013</v>
      </c>
      <c r="C124" t="s">
        <v>35</v>
      </c>
      <c r="D124" t="s">
        <v>17</v>
      </c>
      <c r="E124" t="e">
        <f>VLOOKUP(Cpi_[[#This Row],[Attribute]],#REF!,2,FALSE)</f>
        <v>#REF!</v>
      </c>
      <c r="F124">
        <v>106.6</v>
      </c>
      <c r="G124">
        <f>(Cpi_[[#This Row],[Value]]-F123)/F123</f>
        <v>5.6603773584905127E-3</v>
      </c>
      <c r="H124" t="e" cm="1" vm="1">
        <f t="array" aca="1" ref="H124" ca="1">VLOOKUP(Cpi_[[#This Row],[Year]:[Month]],crudeoil[],3,FALSE)</f>
        <v>#VALUE!</v>
      </c>
    </row>
    <row r="125" spans="1:8" hidden="1" x14ac:dyDescent="0.3">
      <c r="A125" t="s">
        <v>33</v>
      </c>
      <c r="B125">
        <v>2013</v>
      </c>
      <c r="C125" t="s">
        <v>35</v>
      </c>
      <c r="D125" t="s">
        <v>18</v>
      </c>
      <c r="E125" t="e">
        <f>VLOOKUP(Cpi_[[#This Row],[Attribute]],#REF!,2,FALSE)</f>
        <v>#REF!</v>
      </c>
      <c r="F125">
        <v>105.5</v>
      </c>
      <c r="G125">
        <f>(Cpi_[[#This Row],[Value]]-F124)/F124</f>
        <v>-1.0318949343339535E-2</v>
      </c>
      <c r="H125" t="e" cm="1" vm="1">
        <f t="array" aca="1" ref="H125" ca="1">VLOOKUP(Cpi_[[#This Row],[Year]:[Month]],crudeoil[],3,FALSE)</f>
        <v>#VALUE!</v>
      </c>
    </row>
    <row r="126" spans="1:8" hidden="1" x14ac:dyDescent="0.3">
      <c r="A126" t="s">
        <v>33</v>
      </c>
      <c r="B126">
        <v>2013</v>
      </c>
      <c r="C126" t="s">
        <v>35</v>
      </c>
      <c r="D126" t="s">
        <v>19</v>
      </c>
      <c r="E126" t="e">
        <f>VLOOKUP(Cpi_[[#This Row],[Attribute]],#REF!,2,FALSE)</f>
        <v>#REF!</v>
      </c>
      <c r="F126">
        <v>106.4</v>
      </c>
      <c r="G126">
        <f>(Cpi_[[#This Row],[Value]]-F125)/F125</f>
        <v>8.5308056872038449E-3</v>
      </c>
      <c r="H126" t="e" cm="1" vm="1">
        <f t="array" aca="1" ref="H126" ca="1">VLOOKUP(Cpi_[[#This Row],[Year]:[Month]],crudeoil[],3,FALSE)</f>
        <v>#VALUE!</v>
      </c>
    </row>
    <row r="127" spans="1:8" hidden="1" x14ac:dyDescent="0.3">
      <c r="A127" t="s">
        <v>33</v>
      </c>
      <c r="B127">
        <v>2013</v>
      </c>
      <c r="C127" t="s">
        <v>35</v>
      </c>
      <c r="D127" t="s">
        <v>20</v>
      </c>
      <c r="E127" t="e">
        <f>VLOOKUP(Cpi_[[#This Row],[Attribute]],#REF!,2,FALSE)</f>
        <v>#REF!</v>
      </c>
      <c r="F127">
        <v>100.4</v>
      </c>
      <c r="G127">
        <f>(Cpi_[[#This Row],[Value]]-F126)/F126</f>
        <v>-5.6390977443609019E-2</v>
      </c>
      <c r="H127" t="e" cm="1" vm="1">
        <f t="array" aca="1" ref="H127" ca="1">VLOOKUP(Cpi_[[#This Row],[Year]:[Month]],crudeoil[],3,FALSE)</f>
        <v>#VALUE!</v>
      </c>
    </row>
    <row r="128" spans="1:8" hidden="1" x14ac:dyDescent="0.3">
      <c r="A128" t="s">
        <v>33</v>
      </c>
      <c r="B128">
        <v>2013</v>
      </c>
      <c r="C128" t="s">
        <v>35</v>
      </c>
      <c r="D128" t="s">
        <v>21</v>
      </c>
      <c r="E128" t="e">
        <f>VLOOKUP(Cpi_[[#This Row],[Attribute]],#REF!,2,FALSE)</f>
        <v>#REF!</v>
      </c>
      <c r="F128">
        <v>105.7</v>
      </c>
      <c r="G128">
        <f>(Cpi_[[#This Row],[Value]]-F127)/F127</f>
        <v>5.2788844621513911E-2</v>
      </c>
      <c r="H128" t="e" cm="1" vm="1">
        <f t="array" aca="1" ref="H128" ca="1">VLOOKUP(Cpi_[[#This Row],[Year]:[Month]],crudeoil[],3,FALSE)</f>
        <v>#VALUE!</v>
      </c>
    </row>
    <row r="129" spans="1:8" hidden="1" x14ac:dyDescent="0.3">
      <c r="A129" t="s">
        <v>33</v>
      </c>
      <c r="B129">
        <v>2013</v>
      </c>
      <c r="C129" t="s">
        <v>35</v>
      </c>
      <c r="D129" t="s">
        <v>22</v>
      </c>
      <c r="E129" t="e">
        <f>VLOOKUP(Cpi_[[#This Row],[Attribute]],#REF!,2,FALSE)</f>
        <v>#REF!</v>
      </c>
      <c r="F129">
        <v>105.2</v>
      </c>
      <c r="G129">
        <f>(Cpi_[[#This Row],[Value]]-F128)/F128</f>
        <v>-4.7303689687795648E-3</v>
      </c>
      <c r="H129" t="e" cm="1" vm="1">
        <f t="array" aca="1" ref="H129" ca="1">VLOOKUP(Cpi_[[#This Row],[Year]:[Month]],crudeoil[],3,FALSE)</f>
        <v>#VALUE!</v>
      </c>
    </row>
    <row r="130" spans="1:8" hidden="1" x14ac:dyDescent="0.3">
      <c r="A130" t="s">
        <v>33</v>
      </c>
      <c r="B130">
        <v>2013</v>
      </c>
      <c r="C130" t="s">
        <v>35</v>
      </c>
      <c r="D130" t="s">
        <v>23</v>
      </c>
      <c r="E130" t="e">
        <f>VLOOKUP(Cpi_[[#This Row],[Attribute]],#REF!,2,FALSE)</f>
        <v>#REF!</v>
      </c>
      <c r="F130">
        <v>104.7</v>
      </c>
      <c r="G130">
        <f>(Cpi_[[#This Row],[Value]]-F129)/F129</f>
        <v>-4.7528517110266158E-3</v>
      </c>
      <c r="H130" t="e" cm="1" vm="1">
        <f t="array" aca="1" ref="H130" ca="1">VLOOKUP(Cpi_[[#This Row],[Year]:[Month]],crudeoil[],3,FALSE)</f>
        <v>#VALUE!</v>
      </c>
    </row>
    <row r="131" spans="1:8" hidden="1" x14ac:dyDescent="0.3">
      <c r="A131" t="s">
        <v>33</v>
      </c>
      <c r="B131">
        <v>2013</v>
      </c>
      <c r="C131" t="s">
        <v>35</v>
      </c>
      <c r="D131" t="s">
        <v>24</v>
      </c>
      <c r="E131" t="e">
        <f>VLOOKUP(Cpi_[[#This Row],[Attribute]],#REF!,2,FALSE)</f>
        <v>#REF!</v>
      </c>
      <c r="F131">
        <v>104.4</v>
      </c>
      <c r="G131">
        <f>(Cpi_[[#This Row],[Value]]-F130)/F130</f>
        <v>-2.8653295128939554E-3</v>
      </c>
      <c r="H131" t="e" cm="1" vm="1">
        <f t="array" aca="1" ref="H131" ca="1">VLOOKUP(Cpi_[[#This Row],[Year]:[Month]],crudeoil[],3,FALSE)</f>
        <v>#VALUE!</v>
      </c>
    </row>
    <row r="132" spans="1:8" hidden="1" x14ac:dyDescent="0.3">
      <c r="A132" t="s">
        <v>33</v>
      </c>
      <c r="B132">
        <v>2013</v>
      </c>
      <c r="C132" t="s">
        <v>35</v>
      </c>
      <c r="D132" t="s">
        <v>25</v>
      </c>
      <c r="E132" t="e">
        <f>VLOOKUP(Cpi_[[#This Row],[Attribute]],#REF!,2,FALSE)</f>
        <v>#REF!</v>
      </c>
      <c r="F132">
        <v>103.3</v>
      </c>
      <c r="G132">
        <f>(Cpi_[[#This Row],[Value]]-F131)/F131</f>
        <v>-1.0536398467433032E-2</v>
      </c>
      <c r="H132" t="e" cm="1" vm="1">
        <f t="array" aca="1" ref="H132" ca="1">VLOOKUP(Cpi_[[#This Row],[Year]:[Month]],crudeoil[],3,FALSE)</f>
        <v>#VALUE!</v>
      </c>
    </row>
    <row r="133" spans="1:8" hidden="1" x14ac:dyDescent="0.3">
      <c r="A133" t="s">
        <v>33</v>
      </c>
      <c r="B133">
        <v>2013</v>
      </c>
      <c r="C133" t="s">
        <v>35</v>
      </c>
      <c r="D133" t="s">
        <v>26</v>
      </c>
      <c r="E133" t="e">
        <f>VLOOKUP(Cpi_[[#This Row],[Attribute]],#REF!,2,FALSE)</f>
        <v>#REF!</v>
      </c>
      <c r="F133">
        <v>103.7</v>
      </c>
      <c r="G133">
        <f>(Cpi_[[#This Row],[Value]]-F132)/F132</f>
        <v>3.8722168441433272E-3</v>
      </c>
      <c r="H133" t="e" cm="1" vm="1">
        <f t="array" aca="1" ref="H133" ca="1">VLOOKUP(Cpi_[[#This Row],[Year]:[Month]],crudeoil[],3,FALSE)</f>
        <v>#VALUE!</v>
      </c>
    </row>
    <row r="134" spans="1:8" hidden="1" x14ac:dyDescent="0.3">
      <c r="A134" t="s">
        <v>33</v>
      </c>
      <c r="B134">
        <v>2013</v>
      </c>
      <c r="C134" t="s">
        <v>35</v>
      </c>
      <c r="D134" t="s">
        <v>27</v>
      </c>
      <c r="E134" t="e">
        <f>VLOOKUP(Cpi_[[#This Row],[Attribute]],#REF!,2,FALSE)</f>
        <v>#REF!</v>
      </c>
      <c r="F134">
        <v>104.3</v>
      </c>
      <c r="G134">
        <f>(Cpi_[[#This Row],[Value]]-F133)/F133</f>
        <v>5.785920925747293E-3</v>
      </c>
      <c r="H134" t="e" cm="1" vm="1">
        <f t="array" aca="1" ref="H134" ca="1">VLOOKUP(Cpi_[[#This Row],[Year]:[Month]],crudeoil[],3,FALSE)</f>
        <v>#VALUE!</v>
      </c>
    </row>
    <row r="135" spans="1:8" hidden="1" x14ac:dyDescent="0.3">
      <c r="A135" t="s">
        <v>33</v>
      </c>
      <c r="B135">
        <v>2013</v>
      </c>
      <c r="C135" t="s">
        <v>35</v>
      </c>
      <c r="D135" t="s">
        <v>28</v>
      </c>
      <c r="E135" t="e">
        <f>VLOOKUP(Cpi_[[#This Row],[Attribute]],#REF!,2,FALSE)</f>
        <v>#REF!</v>
      </c>
      <c r="F135">
        <v>104.3</v>
      </c>
      <c r="G135">
        <f>(Cpi_[[#This Row],[Value]]-F134)/F134</f>
        <v>0</v>
      </c>
      <c r="H135" t="e" cm="1" vm="1">
        <f t="array" aca="1" ref="H135" ca="1">VLOOKUP(Cpi_[[#This Row],[Year]:[Month]],crudeoil[],3,FALSE)</f>
        <v>#VALUE!</v>
      </c>
    </row>
    <row r="136" spans="1:8" hidden="1" x14ac:dyDescent="0.3">
      <c r="A136" t="s">
        <v>33</v>
      </c>
      <c r="B136">
        <v>2013</v>
      </c>
      <c r="C136" t="s">
        <v>35</v>
      </c>
      <c r="D136" t="s">
        <v>29</v>
      </c>
      <c r="E136" t="e" cm="1">
        <f t="array" aca="1" ref="E136" ca="1">VLGeneral indexGeneral indexKUP(Cpi_[[#This Row],[Attribute]],#REF!,2,FALSE)</f>
        <v>#NAME?</v>
      </c>
      <c r="F136">
        <v>104.7</v>
      </c>
      <c r="G136">
        <f>(Cpi_[[#This Row],[Value]]-F135)/F135</f>
        <v>3.8350910834132855E-3</v>
      </c>
      <c r="H136" t="e" cm="1" vm="1">
        <f t="array" aca="1" ref="H136" ca="1">VLOOKUP(Cpi_[[#This Row],[Year]:[Month]],crudeoil[],3,FALSE)</f>
        <v>#VALUE!</v>
      </c>
    </row>
    <row r="137" spans="1:8" hidden="1" x14ac:dyDescent="0.3">
      <c r="A137" t="s">
        <v>34</v>
      </c>
      <c r="B137">
        <v>2013</v>
      </c>
      <c r="C137" t="s">
        <v>35</v>
      </c>
      <c r="D137" t="s">
        <v>3</v>
      </c>
      <c r="E137" t="e">
        <f>VLOOKUP(Cpi_[[#This Row],[Attribute]],#REF!,2,FALSE)</f>
        <v>#REF!</v>
      </c>
      <c r="F137">
        <v>110.4</v>
      </c>
      <c r="G137">
        <f>(Cpi_[[#This Row],[Value]]-F136)/F136</f>
        <v>5.4441260744985696E-2</v>
      </c>
      <c r="H137" t="e" cm="1" vm="1">
        <f t="array" aca="1" ref="H137" ca="1">VLOOKUP(Cpi_[[#This Row],[Year]:[Month]],crudeoil[],3,FALSE)</f>
        <v>#VALUE!</v>
      </c>
    </row>
    <row r="138" spans="1:8" hidden="1" x14ac:dyDescent="0.3">
      <c r="A138" t="s">
        <v>34</v>
      </c>
      <c r="B138">
        <v>2013</v>
      </c>
      <c r="C138" t="s">
        <v>35</v>
      </c>
      <c r="D138" t="s">
        <v>4</v>
      </c>
      <c r="E138" t="e">
        <f>VLOOKUP(Cpi_[[#This Row],[Attribute]],#REF!,2,FALSE)</f>
        <v>#REF!</v>
      </c>
      <c r="F138">
        <v>110.2</v>
      </c>
      <c r="G138">
        <f>(Cpi_[[#This Row],[Value]]-F137)/F137</f>
        <v>-1.8115942028985763E-3</v>
      </c>
      <c r="H138" t="e" cm="1" vm="1">
        <f t="array" aca="1" ref="H138" ca="1">VLOOKUP(Cpi_[[#This Row],[Year]:[Month]],crudeoil[],3,FALSE)</f>
        <v>#VALUE!</v>
      </c>
    </row>
    <row r="139" spans="1:8" hidden="1" x14ac:dyDescent="0.3">
      <c r="A139" t="s">
        <v>34</v>
      </c>
      <c r="B139">
        <v>2013</v>
      </c>
      <c r="C139" t="s">
        <v>35</v>
      </c>
      <c r="D139" t="s">
        <v>5</v>
      </c>
      <c r="E139" t="e">
        <f>VLOOKUP(Cpi_[[#This Row],[Attribute]],#REF!,2,FALSE)</f>
        <v>#REF!</v>
      </c>
      <c r="F139">
        <v>112.8</v>
      </c>
      <c r="G139">
        <f>(Cpi_[[#This Row],[Value]]-F138)/F138</f>
        <v>2.3593466424682342E-2</v>
      </c>
      <c r="H139" t="e" cm="1" vm="1">
        <f t="array" aca="1" ref="H139" ca="1">VLOOKUP(Cpi_[[#This Row],[Year]:[Month]],crudeoil[],3,FALSE)</f>
        <v>#VALUE!</v>
      </c>
    </row>
    <row r="140" spans="1:8" hidden="1" x14ac:dyDescent="0.3">
      <c r="A140" t="s">
        <v>34</v>
      </c>
      <c r="B140">
        <v>2013</v>
      </c>
      <c r="C140" t="s">
        <v>35</v>
      </c>
      <c r="D140" t="s">
        <v>6</v>
      </c>
      <c r="E140" t="e">
        <f>VLOOKUP(Cpi_[[#This Row],[Attribute]],#REF!,2,FALSE)</f>
        <v>#REF!</v>
      </c>
      <c r="F140">
        <v>104.9</v>
      </c>
      <c r="G140">
        <f>(Cpi_[[#This Row],[Value]]-F139)/F139</f>
        <v>-7.0035460992907722E-2</v>
      </c>
      <c r="H140" t="e" cm="1" vm="1">
        <f t="array" aca="1" ref="H140" ca="1">VLOOKUP(Cpi_[[#This Row],[Year]:[Month]],crudeoil[],3,FALSE)</f>
        <v>#VALUE!</v>
      </c>
    </row>
    <row r="141" spans="1:8" hidden="1" x14ac:dyDescent="0.3">
      <c r="A141" t="s">
        <v>34</v>
      </c>
      <c r="B141">
        <v>2013</v>
      </c>
      <c r="C141" t="s">
        <v>35</v>
      </c>
      <c r="D141" t="s">
        <v>7</v>
      </c>
      <c r="E141" t="e">
        <f>VLOOKUP(Cpi_[[#This Row],[Attribute]],#REF!,2,FALSE)</f>
        <v>#REF!</v>
      </c>
      <c r="F141">
        <v>105.5</v>
      </c>
      <c r="G141">
        <f>(Cpi_[[#This Row],[Value]]-F140)/F140</f>
        <v>5.7197330791229194E-3</v>
      </c>
      <c r="H141" t="e" cm="1" vm="1">
        <f t="array" aca="1" ref="H141" ca="1">VLOOKUP(Cpi_[[#This Row],[Year]:[Month]],crudeoil[],3,FALSE)</f>
        <v>#VALUE!</v>
      </c>
    </row>
    <row r="142" spans="1:8" hidden="1" x14ac:dyDescent="0.3">
      <c r="A142" t="s">
        <v>34</v>
      </c>
      <c r="B142">
        <v>2013</v>
      </c>
      <c r="C142" t="s">
        <v>35</v>
      </c>
      <c r="D142" t="s">
        <v>8</v>
      </c>
      <c r="E142" t="e">
        <f>VLOOKUP(Cpi_[[#This Row],[Attribute]],#REF!,2,FALSE)</f>
        <v>#REF!</v>
      </c>
      <c r="F142">
        <v>103.6</v>
      </c>
      <c r="G142">
        <f>(Cpi_[[#This Row],[Value]]-F141)/F141</f>
        <v>-1.8009478672985836E-2</v>
      </c>
      <c r="H142" t="e" cm="1" vm="1">
        <f t="array" aca="1" ref="H142" ca="1">VLOOKUP(Cpi_[[#This Row],[Year]:[Month]],crudeoil[],3,FALSE)</f>
        <v>#VALUE!</v>
      </c>
    </row>
    <row r="143" spans="1:8" hidden="1" x14ac:dyDescent="0.3">
      <c r="A143" t="s">
        <v>34</v>
      </c>
      <c r="B143">
        <v>2013</v>
      </c>
      <c r="C143" t="s">
        <v>35</v>
      </c>
      <c r="D143" t="s">
        <v>9</v>
      </c>
      <c r="E143" t="e">
        <f>VLOOKUP(Cpi_[[#This Row],[Attribute]],#REF!,2,FALSE)</f>
        <v>#REF!</v>
      </c>
      <c r="F143">
        <v>103.2</v>
      </c>
      <c r="G143">
        <f>(Cpi_[[#This Row],[Value]]-F142)/F142</f>
        <v>-3.8610038610037791E-3</v>
      </c>
      <c r="H143" t="e" cm="1" vm="1">
        <f t="array" aca="1" ref="H143" ca="1">VLOOKUP(Cpi_[[#This Row],[Year]:[Month]],crudeoil[],3,FALSE)</f>
        <v>#VALUE!</v>
      </c>
    </row>
    <row r="144" spans="1:8" hidden="1" x14ac:dyDescent="0.3">
      <c r="A144" t="s">
        <v>34</v>
      </c>
      <c r="B144">
        <v>2013</v>
      </c>
      <c r="C144" t="s">
        <v>35</v>
      </c>
      <c r="D144" t="s">
        <v>10</v>
      </c>
      <c r="E144" t="e">
        <f>VLOOKUP(Cpi_[[#This Row],[Attribute]],#REF!,2,FALSE)</f>
        <v>#REF!</v>
      </c>
      <c r="F144">
        <v>105.3</v>
      </c>
      <c r="G144">
        <f>(Cpi_[[#This Row],[Value]]-F143)/F143</f>
        <v>2.0348837209302272E-2</v>
      </c>
      <c r="H144" t="e" cm="1" vm="1">
        <f t="array" aca="1" ref="H144" ca="1">VLOOKUP(Cpi_[[#This Row],[Year]:[Month]],crudeoil[],3,FALSE)</f>
        <v>#VALUE!</v>
      </c>
    </row>
    <row r="145" spans="1:8" hidden="1" x14ac:dyDescent="0.3">
      <c r="A145" t="s">
        <v>34</v>
      </c>
      <c r="B145">
        <v>2013</v>
      </c>
      <c r="C145" t="s">
        <v>35</v>
      </c>
      <c r="D145" t="s">
        <v>11</v>
      </c>
      <c r="E145" t="e">
        <f>VLOOKUP(Cpi_[[#This Row],[Attribute]],#REF!,2,FALSE)</f>
        <v>#REF!</v>
      </c>
      <c r="F145">
        <v>105.1</v>
      </c>
      <c r="G145">
        <f>(Cpi_[[#This Row],[Value]]-F144)/F144</f>
        <v>-1.899335232668593E-3</v>
      </c>
      <c r="H145" t="e" cm="1" vm="1">
        <f t="array" aca="1" ref="H145" ca="1">VLOOKUP(Cpi_[[#This Row],[Year]:[Month]],crudeoil[],3,FALSE)</f>
        <v>#VALUE!</v>
      </c>
    </row>
    <row r="146" spans="1:8" hidden="1" x14ac:dyDescent="0.3">
      <c r="A146" t="s">
        <v>34</v>
      </c>
      <c r="B146">
        <v>2013</v>
      </c>
      <c r="C146" t="s">
        <v>35</v>
      </c>
      <c r="D146" t="s">
        <v>12</v>
      </c>
      <c r="E146" t="e">
        <f>VLOOKUP(Cpi_[[#This Row],[Attribute]],#REF!,2,FALSE)</f>
        <v>#REF!</v>
      </c>
      <c r="F146">
        <v>102.8</v>
      </c>
      <c r="G146">
        <f>(Cpi_[[#This Row],[Value]]-F145)/F145</f>
        <v>-2.1883920076117957E-2</v>
      </c>
      <c r="H146" t="e" cm="1" vm="1">
        <f t="array" aca="1" ref="H146" ca="1">VLOOKUP(Cpi_[[#This Row],[Year]:[Month]],crudeoil[],3,FALSE)</f>
        <v>#VALUE!</v>
      </c>
    </row>
    <row r="147" spans="1:8" hidden="1" x14ac:dyDescent="0.3">
      <c r="A147" t="s">
        <v>34</v>
      </c>
      <c r="B147">
        <v>2013</v>
      </c>
      <c r="C147" t="s">
        <v>35</v>
      </c>
      <c r="D147" t="s">
        <v>13</v>
      </c>
      <c r="E147" t="e">
        <f>VLOOKUP(Cpi_[[#This Row],[Attribute]],#REF!,2,FALSE)</f>
        <v>#REF!</v>
      </c>
      <c r="F147">
        <v>105.5</v>
      </c>
      <c r="G147">
        <f>(Cpi_[[#This Row],[Value]]-F146)/F146</f>
        <v>2.6264591439688744E-2</v>
      </c>
      <c r="H147" t="e" cm="1" vm="1">
        <f t="array" aca="1" ref="H147" ca="1">VLOOKUP(Cpi_[[#This Row],[Year]:[Month]],crudeoil[],3,FALSE)</f>
        <v>#VALUE!</v>
      </c>
    </row>
    <row r="148" spans="1:8" hidden="1" x14ac:dyDescent="0.3">
      <c r="A148" t="s">
        <v>34</v>
      </c>
      <c r="B148">
        <v>2013</v>
      </c>
      <c r="C148" t="s">
        <v>35</v>
      </c>
      <c r="D148" t="s">
        <v>14</v>
      </c>
      <c r="E148" t="e">
        <f>VLOOKUP(Cpi_[[#This Row],[Attribute]],#REF!,2,FALSE)</f>
        <v>#REF!</v>
      </c>
      <c r="F148">
        <v>108.3</v>
      </c>
      <c r="G148">
        <f>(Cpi_[[#This Row],[Value]]-F147)/F147</f>
        <v>2.6540284360189546E-2</v>
      </c>
      <c r="H148" t="e" cm="1" vm="1">
        <f t="array" aca="1" ref="H148" ca="1">VLOOKUP(Cpi_[[#This Row],[Year]:[Month]],crudeoil[],3,FALSE)</f>
        <v>#VALUE!</v>
      </c>
    </row>
    <row r="149" spans="1:8" hidden="1" x14ac:dyDescent="0.3">
      <c r="A149" t="s">
        <v>34</v>
      </c>
      <c r="B149">
        <v>2013</v>
      </c>
      <c r="C149" t="s">
        <v>35</v>
      </c>
      <c r="D149" t="s">
        <v>15</v>
      </c>
      <c r="E149" t="e">
        <f>VLOOKUP(Cpi_[[#This Row],[Attribute]],#REF!,2,FALSE)</f>
        <v>#REF!</v>
      </c>
      <c r="F149">
        <v>106.6</v>
      </c>
      <c r="G149">
        <f>(Cpi_[[#This Row],[Value]]-F148)/F148</f>
        <v>-1.5697137580794118E-2</v>
      </c>
      <c r="H149" t="e" cm="1" vm="1">
        <f t="array" aca="1" ref="H149" ca="1">VLOOKUP(Cpi_[[#This Row],[Year]:[Month]],crudeoil[],3,FALSE)</f>
        <v>#VALUE!</v>
      </c>
    </row>
    <row r="150" spans="1:8" hidden="1" x14ac:dyDescent="0.3">
      <c r="A150" t="s">
        <v>34</v>
      </c>
      <c r="B150">
        <v>2013</v>
      </c>
      <c r="C150" t="s">
        <v>35</v>
      </c>
      <c r="D150" t="s">
        <v>16</v>
      </c>
      <c r="E150" t="e">
        <f>VLOOKUP(Cpi_[[#This Row],[Attribute]],#REF!,2,FALSE)</f>
        <v>#REF!</v>
      </c>
      <c r="F150">
        <v>105.7</v>
      </c>
      <c r="G150">
        <f>(Cpi_[[#This Row],[Value]]-F149)/F149</f>
        <v>-8.4427767354595829E-3</v>
      </c>
      <c r="H150" t="e" cm="1" vm="1">
        <f t="array" aca="1" ref="H150" ca="1">VLOOKUP(Cpi_[[#This Row],[Year]:[Month]],crudeoil[],3,FALSE)</f>
        <v>#VALUE!</v>
      </c>
    </row>
    <row r="151" spans="1:8" hidden="1" x14ac:dyDescent="0.3">
      <c r="A151" t="s">
        <v>34</v>
      </c>
      <c r="B151">
        <v>2013</v>
      </c>
      <c r="C151" t="s">
        <v>35</v>
      </c>
      <c r="D151" t="s">
        <v>17</v>
      </c>
      <c r="E151" t="e">
        <f>VLOOKUP(Cpi_[[#This Row],[Attribute]],#REF!,2,FALSE)</f>
        <v>#REF!</v>
      </c>
      <c r="F151">
        <v>106.9</v>
      </c>
      <c r="G151">
        <f>(Cpi_[[#This Row],[Value]]-F150)/F150</f>
        <v>1.1352885525070982E-2</v>
      </c>
      <c r="H151" t="e" cm="1" vm="1">
        <f t="array" aca="1" ref="H151" ca="1">VLOOKUP(Cpi_[[#This Row],[Year]:[Month]],crudeoil[],3,FALSE)</f>
        <v>#VALUE!</v>
      </c>
    </row>
    <row r="152" spans="1:8" hidden="1" x14ac:dyDescent="0.3">
      <c r="A152" t="s">
        <v>34</v>
      </c>
      <c r="B152">
        <v>2013</v>
      </c>
      <c r="C152" t="s">
        <v>35</v>
      </c>
      <c r="D152" t="s">
        <v>18</v>
      </c>
      <c r="E152" t="e">
        <f>VLOOKUP(Cpi_[[#This Row],[Attribute]],#REF!,2,FALSE)</f>
        <v>#REF!</v>
      </c>
      <c r="F152">
        <v>106</v>
      </c>
      <c r="G152">
        <f>(Cpi_[[#This Row],[Value]]-F151)/F151</f>
        <v>-8.4190832553789115E-3</v>
      </c>
      <c r="H152" t="e" cm="1" vm="1">
        <f t="array" aca="1" ref="H152" ca="1">VLOOKUP(Cpi_[[#This Row],[Year]:[Month]],crudeoil[],3,FALSE)</f>
        <v>#VALUE!</v>
      </c>
    </row>
    <row r="153" spans="1:8" hidden="1" x14ac:dyDescent="0.3">
      <c r="A153" t="s">
        <v>34</v>
      </c>
      <c r="B153">
        <v>2013</v>
      </c>
      <c r="C153" t="s">
        <v>35</v>
      </c>
      <c r="D153" t="s">
        <v>19</v>
      </c>
      <c r="E153" t="e">
        <f>VLOOKUP(Cpi_[[#This Row],[Attribute]],#REF!,2,FALSE)</f>
        <v>#REF!</v>
      </c>
      <c r="F153">
        <v>106.8</v>
      </c>
      <c r="G153">
        <f>(Cpi_[[#This Row],[Value]]-F152)/F152</f>
        <v>7.5471698113207279E-3</v>
      </c>
      <c r="H153" t="e" cm="1" vm="1">
        <f t="array" aca="1" ref="H153" ca="1">VLOOKUP(Cpi_[[#This Row],[Year]:[Month]],crudeoil[],3,FALSE)</f>
        <v>#VALUE!</v>
      </c>
    </row>
    <row r="154" spans="1:8" hidden="1" x14ac:dyDescent="0.3">
      <c r="A154" t="s">
        <v>34</v>
      </c>
      <c r="B154">
        <v>2013</v>
      </c>
      <c r="C154" t="s">
        <v>35</v>
      </c>
      <c r="D154" t="s">
        <v>20</v>
      </c>
      <c r="E154" t="e">
        <f>VLOOKUP(Cpi_[[#This Row],[Attribute]],#REF!,2,FALSE)</f>
        <v>#REF!</v>
      </c>
      <c r="F154">
        <v>100.4</v>
      </c>
      <c r="G154">
        <f>(Cpi_[[#This Row],[Value]]-F153)/F153</f>
        <v>-5.9925093632958726E-2</v>
      </c>
      <c r="H154" t="e" cm="1" vm="1">
        <f t="array" aca="1" ref="H154" ca="1">VLOOKUP(Cpi_[[#This Row],[Year]:[Month]],crudeoil[],3,FALSE)</f>
        <v>#VALUE!</v>
      </c>
    </row>
    <row r="155" spans="1:8" hidden="1" x14ac:dyDescent="0.3">
      <c r="A155" t="s">
        <v>34</v>
      </c>
      <c r="B155">
        <v>2013</v>
      </c>
      <c r="C155" t="s">
        <v>35</v>
      </c>
      <c r="D155" t="s">
        <v>21</v>
      </c>
      <c r="E155" t="e">
        <f>VLOOKUP(Cpi_[[#This Row],[Attribute]],#REF!,2,FALSE)</f>
        <v>#REF!</v>
      </c>
      <c r="F155">
        <v>106</v>
      </c>
      <c r="G155">
        <f>(Cpi_[[#This Row],[Value]]-F154)/F154</f>
        <v>5.5776892430278828E-2</v>
      </c>
      <c r="H155" t="e" cm="1" vm="1">
        <f t="array" aca="1" ref="H155" ca="1">VLOOKUP(Cpi_[[#This Row],[Year]:[Month]],crudeoil[],3,FALSE)</f>
        <v>#VALUE!</v>
      </c>
    </row>
    <row r="156" spans="1:8" hidden="1" x14ac:dyDescent="0.3">
      <c r="A156" t="s">
        <v>34</v>
      </c>
      <c r="B156">
        <v>2013</v>
      </c>
      <c r="C156" t="s">
        <v>35</v>
      </c>
      <c r="D156" t="s">
        <v>22</v>
      </c>
      <c r="E156" t="e">
        <f>VLOOKUP(Cpi_[[#This Row],[Attribute]],#REF!,2,FALSE)</f>
        <v>#REF!</v>
      </c>
      <c r="F156">
        <v>105.2</v>
      </c>
      <c r="G156">
        <f>(Cpi_[[#This Row],[Value]]-F155)/F155</f>
        <v>-7.5471698113207279E-3</v>
      </c>
      <c r="H156" t="e" cm="1" vm="1">
        <f t="array" aca="1" ref="H156" ca="1">VLOOKUP(Cpi_[[#This Row],[Year]:[Month]],crudeoil[],3,FALSE)</f>
        <v>#VALUE!</v>
      </c>
    </row>
    <row r="157" spans="1:8" hidden="1" x14ac:dyDescent="0.3">
      <c r="A157" t="s">
        <v>34</v>
      </c>
      <c r="B157">
        <v>2013</v>
      </c>
      <c r="C157" t="s">
        <v>35</v>
      </c>
      <c r="D157" t="s">
        <v>23</v>
      </c>
      <c r="E157" t="e">
        <f>VLOOKUP(Cpi_[[#This Row],[Attribute]],#REF!,2,FALSE)</f>
        <v>#REF!</v>
      </c>
      <c r="F157">
        <v>104.5</v>
      </c>
      <c r="G157">
        <f>(Cpi_[[#This Row],[Value]]-F156)/F156</f>
        <v>-6.6539923954372889E-3</v>
      </c>
      <c r="H157" t="e" cm="1" vm="1">
        <f t="array" aca="1" ref="H157" ca="1">VLOOKUP(Cpi_[[#This Row],[Year]:[Month]],crudeoil[],3,FALSE)</f>
        <v>#VALUE!</v>
      </c>
    </row>
    <row r="158" spans="1:8" hidden="1" x14ac:dyDescent="0.3">
      <c r="A158" t="s">
        <v>34</v>
      </c>
      <c r="B158">
        <v>2013</v>
      </c>
      <c r="C158" t="s">
        <v>35</v>
      </c>
      <c r="D158" t="s">
        <v>24</v>
      </c>
      <c r="E158" t="e">
        <f>VLOOKUP(Cpi_[[#This Row],[Attribute]],#REF!,2,FALSE)</f>
        <v>#REF!</v>
      </c>
      <c r="F158">
        <v>104.2</v>
      </c>
      <c r="G158">
        <f>(Cpi_[[#This Row],[Value]]-F157)/F157</f>
        <v>-2.8708133971291593E-3</v>
      </c>
      <c r="H158" t="e" cm="1" vm="1">
        <f t="array" aca="1" ref="H158" ca="1">VLOOKUP(Cpi_[[#This Row],[Year]:[Month]],crudeoil[],3,FALSE)</f>
        <v>#VALUE!</v>
      </c>
    </row>
    <row r="159" spans="1:8" hidden="1" x14ac:dyDescent="0.3">
      <c r="A159" t="s">
        <v>34</v>
      </c>
      <c r="B159">
        <v>2013</v>
      </c>
      <c r="C159" t="s">
        <v>35</v>
      </c>
      <c r="D159" t="s">
        <v>25</v>
      </c>
      <c r="E159" t="e">
        <f>VLOOKUP(Cpi_[[#This Row],[Attribute]],#REF!,2,FALSE)</f>
        <v>#REF!</v>
      </c>
      <c r="F159">
        <v>103.6</v>
      </c>
      <c r="G159">
        <f>(Cpi_[[#This Row],[Value]]-F158)/F158</f>
        <v>-5.7581573896353985E-3</v>
      </c>
      <c r="H159" t="e" cm="1" vm="1">
        <f t="array" aca="1" ref="H159" ca="1">VLOOKUP(Cpi_[[#This Row],[Year]:[Month]],crudeoil[],3,FALSE)</f>
        <v>#VALUE!</v>
      </c>
    </row>
    <row r="160" spans="1:8" hidden="1" x14ac:dyDescent="0.3">
      <c r="A160" t="s">
        <v>34</v>
      </c>
      <c r="B160">
        <v>2013</v>
      </c>
      <c r="C160" t="s">
        <v>35</v>
      </c>
      <c r="D160" t="s">
        <v>26</v>
      </c>
      <c r="E160" t="e">
        <f>VLOOKUP(Cpi_[[#This Row],[Attribute]],#REF!,2,FALSE)</f>
        <v>#REF!</v>
      </c>
      <c r="F160">
        <v>103.9</v>
      </c>
      <c r="G160">
        <f>(Cpi_[[#This Row],[Value]]-F159)/F159</f>
        <v>2.8957528957530058E-3</v>
      </c>
      <c r="H160" t="e" cm="1" vm="1">
        <f t="array" aca="1" ref="H160" ca="1">VLOOKUP(Cpi_[[#This Row],[Year]:[Month]],crudeoil[],3,FALSE)</f>
        <v>#VALUE!</v>
      </c>
    </row>
    <row r="161" spans="1:8" hidden="1" x14ac:dyDescent="0.3">
      <c r="A161" t="s">
        <v>34</v>
      </c>
      <c r="B161">
        <v>2013</v>
      </c>
      <c r="C161" t="s">
        <v>35</v>
      </c>
      <c r="D161" t="s">
        <v>27</v>
      </c>
      <c r="E161" t="e">
        <f>VLOOKUP(Cpi_[[#This Row],[Attribute]],#REF!,2,FALSE)</f>
        <v>#REF!</v>
      </c>
      <c r="F161">
        <v>104.5</v>
      </c>
      <c r="G161">
        <f>(Cpi_[[#This Row],[Value]]-F160)/F160</f>
        <v>5.7747834456207342E-3</v>
      </c>
      <c r="H161" t="e" cm="1" vm="1">
        <f t="array" aca="1" ref="H161" ca="1">VLOOKUP(Cpi_[[#This Row],[Year]:[Month]],crudeoil[],3,FALSE)</f>
        <v>#VALUE!</v>
      </c>
    </row>
    <row r="162" spans="1:8" hidden="1" x14ac:dyDescent="0.3">
      <c r="A162" t="s">
        <v>34</v>
      </c>
      <c r="B162">
        <v>2013</v>
      </c>
      <c r="C162" t="s">
        <v>35</v>
      </c>
      <c r="D162" t="s">
        <v>28</v>
      </c>
      <c r="E162" t="e">
        <f>VLOOKUP(Cpi_[[#This Row],[Attribute]],#REF!,2,FALSE)</f>
        <v>#REF!</v>
      </c>
      <c r="F162">
        <v>104.4</v>
      </c>
      <c r="G162">
        <f>(Cpi_[[#This Row],[Value]]-F161)/F161</f>
        <v>-9.569377990430078E-4</v>
      </c>
      <c r="H162" t="e" cm="1" vm="1">
        <f t="array" aca="1" ref="H162" ca="1">VLOOKUP(Cpi_[[#This Row],[Year]:[Month]],crudeoil[],3,FALSE)</f>
        <v>#VALUE!</v>
      </c>
    </row>
    <row r="163" spans="1:8" hidden="1" x14ac:dyDescent="0.3">
      <c r="A163" t="s">
        <v>34</v>
      </c>
      <c r="B163">
        <v>2013</v>
      </c>
      <c r="C163" t="s">
        <v>35</v>
      </c>
      <c r="D163" t="s">
        <v>29</v>
      </c>
      <c r="E163" t="e" cm="1">
        <f t="array" aca="1" ref="E163" ca="1">VLGeneral indexGeneral indexKUP(Cpi_[[#This Row],[Attribute]],#REF!,2,FALSE)</f>
        <v>#NAME?</v>
      </c>
      <c r="F163">
        <v>105.3</v>
      </c>
      <c r="G163">
        <f>(Cpi_[[#This Row],[Value]]-F162)/F162</f>
        <v>8.6206896551723321E-3</v>
      </c>
      <c r="H163" t="e" cm="1" vm="1">
        <f t="array" aca="1" ref="H163" ca="1">VLOOKUP(Cpi_[[#This Row],[Year]:[Month]],crudeoil[],3,FALSE)</f>
        <v>#VALUE!</v>
      </c>
    </row>
    <row r="164" spans="1:8" hidden="1" x14ac:dyDescent="0.3">
      <c r="A164" t="s">
        <v>30</v>
      </c>
      <c r="B164">
        <v>2013</v>
      </c>
      <c r="C164" t="s">
        <v>36</v>
      </c>
      <c r="D164" t="s">
        <v>3</v>
      </c>
      <c r="E164" t="e">
        <f>VLOOKUP(Cpi_[[#This Row],[Attribute]],#REF!,2,FALSE)</f>
        <v>#REF!</v>
      </c>
      <c r="F164">
        <v>110.2</v>
      </c>
      <c r="G164">
        <f>(Cpi_[[#This Row],[Value]]-F163)/F163</f>
        <v>4.6533713200379925E-2</v>
      </c>
      <c r="H164" t="e" cm="1" vm="1">
        <f t="array" aca="1" ref="H164" ca="1">VLOOKUP(Cpi_[[#This Row],[Year]:[Month]],crudeoil[],3,FALSE)</f>
        <v>#VALUE!</v>
      </c>
    </row>
    <row r="165" spans="1:8" hidden="1" x14ac:dyDescent="0.3">
      <c r="A165" t="s">
        <v>30</v>
      </c>
      <c r="B165">
        <v>2013</v>
      </c>
      <c r="C165" t="s">
        <v>36</v>
      </c>
      <c r="D165" t="s">
        <v>4</v>
      </c>
      <c r="E165" t="e">
        <f>VLOOKUP(Cpi_[[#This Row],[Attribute]],#REF!,2,FALSE)</f>
        <v>#REF!</v>
      </c>
      <c r="F165">
        <v>108.8</v>
      </c>
      <c r="G165">
        <f>(Cpi_[[#This Row],[Value]]-F164)/F164</f>
        <v>-1.2704174228675187E-2</v>
      </c>
      <c r="H165" t="e" cm="1" vm="1">
        <f t="array" aca="1" ref="H165" ca="1">VLOOKUP(Cpi_[[#This Row],[Year]:[Month]],crudeoil[],3,FALSE)</f>
        <v>#VALUE!</v>
      </c>
    </row>
    <row r="166" spans="1:8" hidden="1" x14ac:dyDescent="0.3">
      <c r="A166" t="s">
        <v>30</v>
      </c>
      <c r="B166">
        <v>2013</v>
      </c>
      <c r="C166" t="s">
        <v>36</v>
      </c>
      <c r="D166" t="s">
        <v>5</v>
      </c>
      <c r="E166" t="e">
        <f>VLOOKUP(Cpi_[[#This Row],[Attribute]],#REF!,2,FALSE)</f>
        <v>#REF!</v>
      </c>
      <c r="F166">
        <v>109.9</v>
      </c>
      <c r="G166">
        <f>(Cpi_[[#This Row],[Value]]-F165)/F165</f>
        <v>1.0110294117647137E-2</v>
      </c>
      <c r="H166" t="e" cm="1" vm="1">
        <f t="array" aca="1" ref="H166" ca="1">VLOOKUP(Cpi_[[#This Row],[Year]:[Month]],crudeoil[],3,FALSE)</f>
        <v>#VALUE!</v>
      </c>
    </row>
    <row r="167" spans="1:8" hidden="1" x14ac:dyDescent="0.3">
      <c r="A167" t="s">
        <v>30</v>
      </c>
      <c r="B167">
        <v>2013</v>
      </c>
      <c r="C167" t="s">
        <v>36</v>
      </c>
      <c r="D167" t="s">
        <v>6</v>
      </c>
      <c r="E167" t="e">
        <f>VLOOKUP(Cpi_[[#This Row],[Attribute]],#REF!,2,FALSE)</f>
        <v>#REF!</v>
      </c>
      <c r="F167">
        <v>105.6</v>
      </c>
      <c r="G167">
        <f>(Cpi_[[#This Row],[Value]]-F166)/F166</f>
        <v>-3.912647861692458E-2</v>
      </c>
      <c r="H167" t="e" cm="1" vm="1">
        <f t="array" aca="1" ref="H167" ca="1">VLOOKUP(Cpi_[[#This Row],[Year]:[Month]],crudeoil[],3,FALSE)</f>
        <v>#VALUE!</v>
      </c>
    </row>
    <row r="168" spans="1:8" hidden="1" x14ac:dyDescent="0.3">
      <c r="A168" t="s">
        <v>30</v>
      </c>
      <c r="B168">
        <v>2013</v>
      </c>
      <c r="C168" t="s">
        <v>36</v>
      </c>
      <c r="D168" t="s">
        <v>7</v>
      </c>
      <c r="E168" t="e">
        <f>VLOOKUP(Cpi_[[#This Row],[Attribute]],#REF!,2,FALSE)</f>
        <v>#REF!</v>
      </c>
      <c r="F168">
        <v>106.2</v>
      </c>
      <c r="G168">
        <f>(Cpi_[[#This Row],[Value]]-F167)/F167</f>
        <v>5.6818181818182626E-3</v>
      </c>
      <c r="H168" t="e" cm="1" vm="1">
        <f t="array" aca="1" ref="H168" ca="1">VLOOKUP(Cpi_[[#This Row],[Year]:[Month]],crudeoil[],3,FALSE)</f>
        <v>#VALUE!</v>
      </c>
    </row>
    <row r="169" spans="1:8" hidden="1" x14ac:dyDescent="0.3">
      <c r="A169" t="s">
        <v>30</v>
      </c>
      <c r="B169">
        <v>2013</v>
      </c>
      <c r="C169" t="s">
        <v>36</v>
      </c>
      <c r="D169" t="s">
        <v>8</v>
      </c>
      <c r="E169" t="e">
        <f>VLOOKUP(Cpi_[[#This Row],[Attribute]],#REF!,2,FALSE)</f>
        <v>#REF!</v>
      </c>
      <c r="F169">
        <v>105.7</v>
      </c>
      <c r="G169">
        <f>(Cpi_[[#This Row],[Value]]-F168)/F168</f>
        <v>-4.7080979284369112E-3</v>
      </c>
      <c r="H169" t="e" cm="1" vm="1">
        <f t="array" aca="1" ref="H169" ca="1">VLOOKUP(Cpi_[[#This Row],[Year]:[Month]],crudeoil[],3,FALSE)</f>
        <v>#VALUE!</v>
      </c>
    </row>
    <row r="170" spans="1:8" hidden="1" x14ac:dyDescent="0.3">
      <c r="A170" t="s">
        <v>30</v>
      </c>
      <c r="B170">
        <v>2013</v>
      </c>
      <c r="C170" t="s">
        <v>36</v>
      </c>
      <c r="D170" t="s">
        <v>9</v>
      </c>
      <c r="E170" t="e">
        <f>VLOOKUP(Cpi_[[#This Row],[Attribute]],#REF!,2,FALSE)</f>
        <v>#REF!</v>
      </c>
      <c r="F170">
        <v>101.4</v>
      </c>
      <c r="G170">
        <f>(Cpi_[[#This Row],[Value]]-F169)/F169</f>
        <v>-4.0681173131504232E-2</v>
      </c>
      <c r="H170" t="e" cm="1" vm="1">
        <f t="array" aca="1" ref="H170" ca="1">VLOOKUP(Cpi_[[#This Row],[Year]:[Month]],crudeoil[],3,FALSE)</f>
        <v>#VALUE!</v>
      </c>
    </row>
    <row r="171" spans="1:8" hidden="1" x14ac:dyDescent="0.3">
      <c r="A171" t="s">
        <v>30</v>
      </c>
      <c r="B171">
        <v>2013</v>
      </c>
      <c r="C171" t="s">
        <v>36</v>
      </c>
      <c r="D171" t="s">
        <v>10</v>
      </c>
      <c r="E171" t="e">
        <f>VLOOKUP(Cpi_[[#This Row],[Attribute]],#REF!,2,FALSE)</f>
        <v>#REF!</v>
      </c>
      <c r="F171">
        <v>105.7</v>
      </c>
      <c r="G171">
        <f>(Cpi_[[#This Row],[Value]]-F170)/F170</f>
        <v>4.2406311637080835E-2</v>
      </c>
      <c r="H171" t="e" cm="1" vm="1">
        <f t="array" aca="1" ref="H171" ca="1">VLOOKUP(Cpi_[[#This Row],[Year]:[Month]],crudeoil[],3,FALSE)</f>
        <v>#VALUE!</v>
      </c>
    </row>
    <row r="172" spans="1:8" hidden="1" x14ac:dyDescent="0.3">
      <c r="A172" t="s">
        <v>30</v>
      </c>
      <c r="B172">
        <v>2013</v>
      </c>
      <c r="C172" t="s">
        <v>36</v>
      </c>
      <c r="D172" t="s">
        <v>11</v>
      </c>
      <c r="E172" t="e">
        <f>VLOOKUP(Cpi_[[#This Row],[Attribute]],#REF!,2,FALSE)</f>
        <v>#REF!</v>
      </c>
      <c r="F172">
        <v>105</v>
      </c>
      <c r="G172">
        <f>(Cpi_[[#This Row],[Value]]-F171)/F171</f>
        <v>-6.6225165562914176E-3</v>
      </c>
      <c r="H172" t="e" cm="1" vm="1">
        <f t="array" aca="1" ref="H172" ca="1">VLOOKUP(Cpi_[[#This Row],[Year]:[Month]],crudeoil[],3,FALSE)</f>
        <v>#VALUE!</v>
      </c>
    </row>
    <row r="173" spans="1:8" hidden="1" x14ac:dyDescent="0.3">
      <c r="A173" t="s">
        <v>30</v>
      </c>
      <c r="B173">
        <v>2013</v>
      </c>
      <c r="C173" t="s">
        <v>36</v>
      </c>
      <c r="D173" t="s">
        <v>12</v>
      </c>
      <c r="E173" t="e">
        <f>VLOOKUP(Cpi_[[#This Row],[Attribute]],#REF!,2,FALSE)</f>
        <v>#REF!</v>
      </c>
      <c r="F173">
        <v>103.3</v>
      </c>
      <c r="G173">
        <f>(Cpi_[[#This Row],[Value]]-F172)/F172</f>
        <v>-1.6190476190476217E-2</v>
      </c>
      <c r="H173" t="e" cm="1" vm="1">
        <f t="array" aca="1" ref="H173" ca="1">VLOOKUP(Cpi_[[#This Row],[Year]:[Month]],crudeoil[],3,FALSE)</f>
        <v>#VALUE!</v>
      </c>
    </row>
    <row r="174" spans="1:8" hidden="1" x14ac:dyDescent="0.3">
      <c r="A174" t="s">
        <v>30</v>
      </c>
      <c r="B174">
        <v>2013</v>
      </c>
      <c r="C174" t="s">
        <v>36</v>
      </c>
      <c r="D174" t="s">
        <v>13</v>
      </c>
      <c r="E174" t="e">
        <f>VLOOKUP(Cpi_[[#This Row],[Attribute]],#REF!,2,FALSE)</f>
        <v>#REF!</v>
      </c>
      <c r="F174">
        <v>105.6</v>
      </c>
      <c r="G174">
        <f>(Cpi_[[#This Row],[Value]]-F173)/F173</f>
        <v>2.2265246853823788E-2</v>
      </c>
      <c r="H174" t="e" cm="1" vm="1">
        <f t="array" aca="1" ref="H174" ca="1">VLOOKUP(Cpi_[[#This Row],[Year]:[Month]],crudeoil[],3,FALSE)</f>
        <v>#VALUE!</v>
      </c>
    </row>
    <row r="175" spans="1:8" hidden="1" x14ac:dyDescent="0.3">
      <c r="A175" t="s">
        <v>30</v>
      </c>
      <c r="B175">
        <v>2013</v>
      </c>
      <c r="C175" t="s">
        <v>36</v>
      </c>
      <c r="D175" t="s">
        <v>14</v>
      </c>
      <c r="E175" t="e">
        <f>VLOOKUP(Cpi_[[#This Row],[Attribute]],#REF!,2,FALSE)</f>
        <v>#REF!</v>
      </c>
      <c r="F175">
        <v>108.2</v>
      </c>
      <c r="G175">
        <f>(Cpi_[[#This Row],[Value]]-F174)/F174</f>
        <v>2.4621212121212203E-2</v>
      </c>
      <c r="H175" t="e" cm="1" vm="1">
        <f t="array" aca="1" ref="H175" ca="1">VLOOKUP(Cpi_[[#This Row],[Year]:[Month]],crudeoil[],3,FALSE)</f>
        <v>#VALUE!</v>
      </c>
    </row>
    <row r="176" spans="1:8" hidden="1" x14ac:dyDescent="0.3">
      <c r="A176" t="s">
        <v>30</v>
      </c>
      <c r="B176">
        <v>2013</v>
      </c>
      <c r="C176" t="s">
        <v>36</v>
      </c>
      <c r="D176" t="s">
        <v>15</v>
      </c>
      <c r="E176" t="e">
        <f>VLOOKUP(Cpi_[[#This Row],[Attribute]],#REF!,2,FALSE)</f>
        <v>#REF!</v>
      </c>
      <c r="F176">
        <v>106.6</v>
      </c>
      <c r="G176">
        <f>(Cpi_[[#This Row],[Value]]-F175)/F175</f>
        <v>-1.4787430683918747E-2</v>
      </c>
      <c r="H176" t="e" cm="1" vm="1">
        <f t="array" aca="1" ref="H176" ca="1">VLOOKUP(Cpi_[[#This Row],[Year]:[Month]],crudeoil[],3,FALSE)</f>
        <v>#VALUE!</v>
      </c>
    </row>
    <row r="177" spans="1:8" hidden="1" x14ac:dyDescent="0.3">
      <c r="A177" t="s">
        <v>30</v>
      </c>
      <c r="B177">
        <v>2013</v>
      </c>
      <c r="C177" t="s">
        <v>36</v>
      </c>
      <c r="D177" t="s">
        <v>16</v>
      </c>
      <c r="E177" t="e">
        <f>VLOOKUP(Cpi_[[#This Row],[Attribute]],#REF!,2,FALSE)</f>
        <v>#REF!</v>
      </c>
      <c r="F177">
        <v>106.5</v>
      </c>
      <c r="G177">
        <f>(Cpi_[[#This Row],[Value]]-F176)/F176</f>
        <v>-9.3808630393990924E-4</v>
      </c>
      <c r="H177" t="e" cm="1" vm="1">
        <f t="array" aca="1" ref="H177" ca="1">VLOOKUP(Cpi_[[#This Row],[Year]:[Month]],crudeoil[],3,FALSE)</f>
        <v>#VALUE!</v>
      </c>
    </row>
    <row r="178" spans="1:8" hidden="1" x14ac:dyDescent="0.3">
      <c r="A178" t="s">
        <v>30</v>
      </c>
      <c r="B178">
        <v>2013</v>
      </c>
      <c r="C178" t="s">
        <v>36</v>
      </c>
      <c r="D178" t="s">
        <v>17</v>
      </c>
      <c r="E178" t="e">
        <f>VLOOKUP(Cpi_[[#This Row],[Attribute]],#REF!,2,FALSE)</f>
        <v>#REF!</v>
      </c>
      <c r="F178">
        <v>107.6</v>
      </c>
      <c r="G178">
        <f>(Cpi_[[#This Row],[Value]]-F177)/F177</f>
        <v>1.0328638497652528E-2</v>
      </c>
      <c r="H178" t="e" cm="1" vm="1">
        <f t="array" aca="1" ref="H178" ca="1">VLOOKUP(Cpi_[[#This Row],[Year]:[Month]],crudeoil[],3,FALSE)</f>
        <v>#VALUE!</v>
      </c>
    </row>
    <row r="179" spans="1:8" hidden="1" x14ac:dyDescent="0.3">
      <c r="A179" t="s">
        <v>30</v>
      </c>
      <c r="B179">
        <v>2013</v>
      </c>
      <c r="C179" t="s">
        <v>36</v>
      </c>
      <c r="D179" t="s">
        <v>18</v>
      </c>
      <c r="E179" t="e">
        <f>VLOOKUP(Cpi_[[#This Row],[Attribute]],#REF!,2,FALSE)</f>
        <v>#REF!</v>
      </c>
      <c r="F179">
        <v>106.8</v>
      </c>
      <c r="G179">
        <f>(Cpi_[[#This Row],[Value]]-F178)/F178</f>
        <v>-7.4349442379181892E-3</v>
      </c>
      <c r="H179" t="e" cm="1" vm="1">
        <f t="array" aca="1" ref="H179" ca="1">VLOOKUP(Cpi_[[#This Row],[Year]:[Month]],crudeoil[],3,FALSE)</f>
        <v>#VALUE!</v>
      </c>
    </row>
    <row r="180" spans="1:8" hidden="1" x14ac:dyDescent="0.3">
      <c r="A180" t="s">
        <v>30</v>
      </c>
      <c r="B180">
        <v>2013</v>
      </c>
      <c r="C180" t="s">
        <v>36</v>
      </c>
      <c r="D180" t="s">
        <v>19</v>
      </c>
      <c r="E180" t="e">
        <f>VLOOKUP(Cpi_[[#This Row],[Attribute]],#REF!,2,FALSE)</f>
        <v>#REF!</v>
      </c>
      <c r="F180">
        <v>107.5</v>
      </c>
      <c r="G180">
        <f>(Cpi_[[#This Row],[Value]]-F179)/F179</f>
        <v>6.5543071161048953E-3</v>
      </c>
      <c r="H180" t="e" cm="1" vm="1">
        <f t="array" aca="1" ref="H180" ca="1">VLOOKUP(Cpi_[[#This Row],[Year]:[Month]],crudeoil[],3,FALSE)</f>
        <v>#VALUE!</v>
      </c>
    </row>
    <row r="181" spans="1:8" hidden="1" x14ac:dyDescent="0.3">
      <c r="A181" t="s">
        <v>30</v>
      </c>
      <c r="B181">
        <v>2013</v>
      </c>
      <c r="C181" t="s">
        <v>36</v>
      </c>
      <c r="D181" t="s">
        <v>20</v>
      </c>
      <c r="E181" t="e">
        <f>VLOOKUP(Cpi_[[#This Row],[Attribute]],#REF!,2,FALSE)</f>
        <v>#REF!</v>
      </c>
      <c r="F181" t="s">
        <v>32</v>
      </c>
      <c r="G181" t="e">
        <f>(Cpi_[[#This Row],[Value]]-F180)/F180</f>
        <v>#VALUE!</v>
      </c>
      <c r="H181" t="e" cm="1" vm="1">
        <f t="array" aca="1" ref="H181" ca="1">VLOOKUP(Cpi_[[#This Row],[Year]:[Month]],crudeoil[],3,FALSE)</f>
        <v>#VALUE!</v>
      </c>
    </row>
    <row r="182" spans="1:8" hidden="1" x14ac:dyDescent="0.3">
      <c r="A182" t="s">
        <v>30</v>
      </c>
      <c r="B182">
        <v>2013</v>
      </c>
      <c r="C182" t="s">
        <v>36</v>
      </c>
      <c r="D182" t="s">
        <v>21</v>
      </c>
      <c r="E182" t="e">
        <f>VLOOKUP(Cpi_[[#This Row],[Attribute]],#REF!,2,FALSE)</f>
        <v>#REF!</v>
      </c>
      <c r="F182">
        <v>106.1</v>
      </c>
      <c r="G182" t="e">
        <f>(Cpi_[[#This Row],[Value]]-F181)/F181</f>
        <v>#VALUE!</v>
      </c>
      <c r="H182" t="e" cm="1" vm="1">
        <f t="array" aca="1" ref="H182" ca="1">VLOOKUP(Cpi_[[#This Row],[Year]:[Month]],crudeoil[],3,FALSE)</f>
        <v>#VALUE!</v>
      </c>
    </row>
    <row r="183" spans="1:8" hidden="1" x14ac:dyDescent="0.3">
      <c r="A183" t="s">
        <v>30</v>
      </c>
      <c r="B183">
        <v>2013</v>
      </c>
      <c r="C183" t="s">
        <v>36</v>
      </c>
      <c r="D183" t="s">
        <v>22</v>
      </c>
      <c r="E183" t="e">
        <f>VLOOKUP(Cpi_[[#This Row],[Attribute]],#REF!,2,FALSE)</f>
        <v>#REF!</v>
      </c>
      <c r="F183">
        <v>105.6</v>
      </c>
      <c r="G183">
        <f>(Cpi_[[#This Row],[Value]]-F182)/F182</f>
        <v>-4.7125353440150806E-3</v>
      </c>
      <c r="H183" t="e" cm="1" vm="1">
        <f t="array" aca="1" ref="H183" ca="1">VLOOKUP(Cpi_[[#This Row],[Year]:[Month]],crudeoil[],3,FALSE)</f>
        <v>#VALUE!</v>
      </c>
    </row>
    <row r="184" spans="1:8" hidden="1" x14ac:dyDescent="0.3">
      <c r="A184" t="s">
        <v>30</v>
      </c>
      <c r="B184">
        <v>2013</v>
      </c>
      <c r="C184" t="s">
        <v>36</v>
      </c>
      <c r="D184" t="s">
        <v>23</v>
      </c>
      <c r="E184" t="e">
        <f>VLOOKUP(Cpi_[[#This Row],[Attribute]],#REF!,2,FALSE)</f>
        <v>#REF!</v>
      </c>
      <c r="F184">
        <v>104.7</v>
      </c>
      <c r="G184">
        <f>(Cpi_[[#This Row],[Value]]-F183)/F183</f>
        <v>-8.5227272727271923E-3</v>
      </c>
      <c r="H184" t="e" cm="1" vm="1">
        <f t="array" aca="1" ref="H184" ca="1">VLOOKUP(Cpi_[[#This Row],[Year]:[Month]],crudeoil[],3,FALSE)</f>
        <v>#VALUE!</v>
      </c>
    </row>
    <row r="185" spans="1:8" hidden="1" x14ac:dyDescent="0.3">
      <c r="A185" t="s">
        <v>30</v>
      </c>
      <c r="B185">
        <v>2013</v>
      </c>
      <c r="C185" t="s">
        <v>36</v>
      </c>
      <c r="D185" t="s">
        <v>24</v>
      </c>
      <c r="E185" t="e">
        <f>VLOOKUP(Cpi_[[#This Row],[Attribute]],#REF!,2,FALSE)</f>
        <v>#REF!</v>
      </c>
      <c r="F185">
        <v>104.6</v>
      </c>
      <c r="G185">
        <f>(Cpi_[[#This Row],[Value]]-F184)/F184</f>
        <v>-9.55109837631409E-4</v>
      </c>
      <c r="H185" t="e" cm="1" vm="1">
        <f t="array" aca="1" ref="H185" ca="1">VLOOKUP(Cpi_[[#This Row],[Year]:[Month]],crudeoil[],3,FALSE)</f>
        <v>#VALUE!</v>
      </c>
    </row>
    <row r="186" spans="1:8" hidden="1" x14ac:dyDescent="0.3">
      <c r="A186" t="s">
        <v>30</v>
      </c>
      <c r="B186">
        <v>2013</v>
      </c>
      <c r="C186" t="s">
        <v>36</v>
      </c>
      <c r="D186" t="s">
        <v>25</v>
      </c>
      <c r="E186" t="e">
        <f>VLOOKUP(Cpi_[[#This Row],[Attribute]],#REF!,2,FALSE)</f>
        <v>#REF!</v>
      </c>
      <c r="F186">
        <v>104</v>
      </c>
      <c r="G186">
        <f>(Cpi_[[#This Row],[Value]]-F185)/F185</f>
        <v>-5.7361376673039609E-3</v>
      </c>
      <c r="H186" t="e" cm="1" vm="1">
        <f t="array" aca="1" ref="H186" ca="1">VLOOKUP(Cpi_[[#This Row],[Year]:[Month]],crudeoil[],3,FALSE)</f>
        <v>#VALUE!</v>
      </c>
    </row>
    <row r="187" spans="1:8" hidden="1" x14ac:dyDescent="0.3">
      <c r="A187" t="s">
        <v>30</v>
      </c>
      <c r="B187">
        <v>2013</v>
      </c>
      <c r="C187" t="s">
        <v>36</v>
      </c>
      <c r="D187" t="s">
        <v>26</v>
      </c>
      <c r="E187" t="e">
        <f>VLOOKUP(Cpi_[[#This Row],[Attribute]],#REF!,2,FALSE)</f>
        <v>#REF!</v>
      </c>
      <c r="F187">
        <v>104.3</v>
      </c>
      <c r="G187">
        <f>(Cpi_[[#This Row],[Value]]-F186)/F186</f>
        <v>2.8846153846153575E-3</v>
      </c>
      <c r="H187" t="e" cm="1" vm="1">
        <f t="array" aca="1" ref="H187" ca="1">VLOOKUP(Cpi_[[#This Row],[Year]:[Month]],crudeoil[],3,FALSE)</f>
        <v>#VALUE!</v>
      </c>
    </row>
    <row r="188" spans="1:8" hidden="1" x14ac:dyDescent="0.3">
      <c r="A188" t="s">
        <v>30</v>
      </c>
      <c r="B188">
        <v>2013</v>
      </c>
      <c r="C188" t="s">
        <v>36</v>
      </c>
      <c r="D188" t="s">
        <v>27</v>
      </c>
      <c r="E188" t="e">
        <f>VLOOKUP(Cpi_[[#This Row],[Attribute]],#REF!,2,FALSE)</f>
        <v>#REF!</v>
      </c>
      <c r="F188">
        <v>104.3</v>
      </c>
      <c r="G188">
        <f>(Cpi_[[#This Row],[Value]]-F187)/F187</f>
        <v>0</v>
      </c>
      <c r="H188" t="e" cm="1" vm="1">
        <f t="array" aca="1" ref="H188" ca="1">VLOOKUP(Cpi_[[#This Row],[Year]:[Month]],crudeoil[],3,FALSE)</f>
        <v>#VALUE!</v>
      </c>
    </row>
    <row r="189" spans="1:8" hidden="1" x14ac:dyDescent="0.3">
      <c r="A189" t="s">
        <v>30</v>
      </c>
      <c r="B189">
        <v>2013</v>
      </c>
      <c r="C189" t="s">
        <v>36</v>
      </c>
      <c r="D189" t="s">
        <v>28</v>
      </c>
      <c r="E189" t="e">
        <f>VLOOKUP(Cpi_[[#This Row],[Attribute]],#REF!,2,FALSE)</f>
        <v>#REF!</v>
      </c>
      <c r="F189">
        <v>104.6</v>
      </c>
      <c r="G189">
        <f>(Cpi_[[#This Row],[Value]]-F188)/F188</f>
        <v>2.876318312559896E-3</v>
      </c>
      <c r="H189" t="e" cm="1" vm="1">
        <f t="array" aca="1" ref="H189" ca="1">VLOOKUP(Cpi_[[#This Row],[Year]:[Month]],crudeoil[],3,FALSE)</f>
        <v>#VALUE!</v>
      </c>
    </row>
    <row r="190" spans="1:8" hidden="1" x14ac:dyDescent="0.3">
      <c r="A190" t="s">
        <v>30</v>
      </c>
      <c r="B190">
        <v>2013</v>
      </c>
      <c r="C190" t="s">
        <v>36</v>
      </c>
      <c r="D190" t="s">
        <v>29</v>
      </c>
      <c r="E190" t="e" cm="1">
        <f t="array" aca="1" ref="E190" ca="1">VLGeneral indexGeneral indexKUP(Cpi_[[#This Row],[Attribute]],#REF!,2,FALSE)</f>
        <v>#NAME?</v>
      </c>
      <c r="F190">
        <v>106</v>
      </c>
      <c r="G190">
        <f>(Cpi_[[#This Row],[Value]]-F189)/F189</f>
        <v>1.3384321223709424E-2</v>
      </c>
      <c r="H190" t="e" cm="1" vm="1">
        <f t="array" aca="1" ref="H190" ca="1">VLOOKUP(Cpi_[[#This Row],[Year]:[Month]],crudeoil[],3,FALSE)</f>
        <v>#VALUE!</v>
      </c>
    </row>
    <row r="191" spans="1:8" hidden="1" x14ac:dyDescent="0.3">
      <c r="A191" t="s">
        <v>33</v>
      </c>
      <c r="B191">
        <v>2013</v>
      </c>
      <c r="C191" t="s">
        <v>36</v>
      </c>
      <c r="D191" t="s">
        <v>3</v>
      </c>
      <c r="E191" t="e">
        <f>VLOOKUP(Cpi_[[#This Row],[Attribute]],#REF!,2,FALSE)</f>
        <v>#REF!</v>
      </c>
      <c r="F191">
        <v>113.9</v>
      </c>
      <c r="G191">
        <f>(Cpi_[[#This Row],[Value]]-F190)/F190</f>
        <v>7.4528301886792506E-2</v>
      </c>
      <c r="H191" t="e" cm="1" vm="1">
        <f t="array" aca="1" ref="H191" ca="1">VLOOKUP(Cpi_[[#This Row],[Year]:[Month]],crudeoil[],3,FALSE)</f>
        <v>#VALUE!</v>
      </c>
    </row>
    <row r="192" spans="1:8" hidden="1" x14ac:dyDescent="0.3">
      <c r="A192" t="s">
        <v>33</v>
      </c>
      <c r="B192">
        <v>2013</v>
      </c>
      <c r="C192" t="s">
        <v>36</v>
      </c>
      <c r="D192" t="s">
        <v>4</v>
      </c>
      <c r="E192" t="e">
        <f>VLOOKUP(Cpi_[[#This Row],[Attribute]],#REF!,2,FALSE)</f>
        <v>#REF!</v>
      </c>
      <c r="F192">
        <v>111.4</v>
      </c>
      <c r="G192">
        <f>(Cpi_[[#This Row],[Value]]-F191)/F191</f>
        <v>-2.1949078138718173E-2</v>
      </c>
      <c r="H192" t="e" cm="1" vm="1">
        <f t="array" aca="1" ref="H192" ca="1">VLOOKUP(Cpi_[[#This Row],[Year]:[Month]],crudeoil[],3,FALSE)</f>
        <v>#VALUE!</v>
      </c>
    </row>
    <row r="193" spans="1:8" hidden="1" x14ac:dyDescent="0.3">
      <c r="A193" t="s">
        <v>33</v>
      </c>
      <c r="B193">
        <v>2013</v>
      </c>
      <c r="C193" t="s">
        <v>36</v>
      </c>
      <c r="D193" t="s">
        <v>5</v>
      </c>
      <c r="E193" t="e">
        <f>VLOOKUP(Cpi_[[#This Row],[Attribute]],#REF!,2,FALSE)</f>
        <v>#REF!</v>
      </c>
      <c r="F193">
        <v>113.2</v>
      </c>
      <c r="G193">
        <f>(Cpi_[[#This Row],[Value]]-F192)/F192</f>
        <v>1.6157989228007156E-2</v>
      </c>
      <c r="H193" t="e" cm="1" vm="1">
        <f t="array" aca="1" ref="H193" ca="1">VLOOKUP(Cpi_[[#This Row],[Year]:[Month]],crudeoil[],3,FALSE)</f>
        <v>#VALUE!</v>
      </c>
    </row>
    <row r="194" spans="1:8" hidden="1" x14ac:dyDescent="0.3">
      <c r="A194" t="s">
        <v>33</v>
      </c>
      <c r="B194">
        <v>2013</v>
      </c>
      <c r="C194" t="s">
        <v>36</v>
      </c>
      <c r="D194" t="s">
        <v>6</v>
      </c>
      <c r="E194" t="e">
        <f>VLOOKUP(Cpi_[[#This Row],[Attribute]],#REF!,2,FALSE)</f>
        <v>#REF!</v>
      </c>
      <c r="F194">
        <v>104.3</v>
      </c>
      <c r="G194">
        <f>(Cpi_[[#This Row],[Value]]-F193)/F193</f>
        <v>-7.8621908127208526E-2</v>
      </c>
      <c r="H194" t="e" cm="1" vm="1">
        <f t="array" aca="1" ref="H194" ca="1">VLOOKUP(Cpi_[[#This Row],[Year]:[Month]],crudeoil[],3,FALSE)</f>
        <v>#VALUE!</v>
      </c>
    </row>
    <row r="195" spans="1:8" hidden="1" x14ac:dyDescent="0.3">
      <c r="A195" t="s">
        <v>33</v>
      </c>
      <c r="B195">
        <v>2013</v>
      </c>
      <c r="C195" t="s">
        <v>36</v>
      </c>
      <c r="D195" t="s">
        <v>7</v>
      </c>
      <c r="E195" t="e">
        <f>VLOOKUP(Cpi_[[#This Row],[Attribute]],#REF!,2,FALSE)</f>
        <v>#REF!</v>
      </c>
      <c r="F195">
        <v>102.7</v>
      </c>
      <c r="G195">
        <f>(Cpi_[[#This Row],[Value]]-F194)/F194</f>
        <v>-1.534036433365287E-2</v>
      </c>
      <c r="H195" t="e" cm="1" vm="1">
        <f t="array" aca="1" ref="H195" ca="1">VLOOKUP(Cpi_[[#This Row],[Year]:[Month]],crudeoil[],3,FALSE)</f>
        <v>#VALUE!</v>
      </c>
    </row>
    <row r="196" spans="1:8" hidden="1" x14ac:dyDescent="0.3">
      <c r="A196" t="s">
        <v>33</v>
      </c>
      <c r="B196">
        <v>2013</v>
      </c>
      <c r="C196" t="s">
        <v>36</v>
      </c>
      <c r="D196" t="s">
        <v>8</v>
      </c>
      <c r="E196" t="e">
        <f>VLOOKUP(Cpi_[[#This Row],[Attribute]],#REF!,2,FALSE)</f>
        <v>#REF!</v>
      </c>
      <c r="F196">
        <v>104.9</v>
      </c>
      <c r="G196">
        <f>(Cpi_[[#This Row],[Value]]-F195)/F195</f>
        <v>2.1421616358325245E-2</v>
      </c>
      <c r="H196" t="e" cm="1" vm="1">
        <f t="array" aca="1" ref="H196" ca="1">VLOOKUP(Cpi_[[#This Row],[Year]:[Month]],crudeoil[],3,FALSE)</f>
        <v>#VALUE!</v>
      </c>
    </row>
    <row r="197" spans="1:8" hidden="1" x14ac:dyDescent="0.3">
      <c r="A197" t="s">
        <v>33</v>
      </c>
      <c r="B197">
        <v>2013</v>
      </c>
      <c r="C197" t="s">
        <v>36</v>
      </c>
      <c r="D197" t="s">
        <v>9</v>
      </c>
      <c r="E197" t="e">
        <f>VLOOKUP(Cpi_[[#This Row],[Attribute]],#REF!,2,FALSE)</f>
        <v>#REF!</v>
      </c>
      <c r="F197">
        <v>103.8</v>
      </c>
      <c r="G197">
        <f>(Cpi_[[#This Row],[Value]]-F196)/F196</f>
        <v>-1.0486177311725534E-2</v>
      </c>
      <c r="H197" t="e" cm="1" vm="1">
        <f t="array" aca="1" ref="H197" ca="1">VLOOKUP(Cpi_[[#This Row],[Year]:[Month]],crudeoil[],3,FALSE)</f>
        <v>#VALUE!</v>
      </c>
    </row>
    <row r="198" spans="1:8" hidden="1" x14ac:dyDescent="0.3">
      <c r="A198" t="s">
        <v>33</v>
      </c>
      <c r="B198">
        <v>2013</v>
      </c>
      <c r="C198" t="s">
        <v>36</v>
      </c>
      <c r="D198" t="s">
        <v>10</v>
      </c>
      <c r="E198" t="e">
        <f>VLOOKUP(Cpi_[[#This Row],[Attribute]],#REF!,2,FALSE)</f>
        <v>#REF!</v>
      </c>
      <c r="F198">
        <v>103.5</v>
      </c>
      <c r="G198">
        <f>(Cpi_[[#This Row],[Value]]-F197)/F197</f>
        <v>-2.8901734104045968E-3</v>
      </c>
      <c r="H198" t="e" cm="1" vm="1">
        <f t="array" aca="1" ref="H198" ca="1">VLOOKUP(Cpi_[[#This Row],[Year]:[Month]],crudeoil[],3,FALSE)</f>
        <v>#VALUE!</v>
      </c>
    </row>
    <row r="199" spans="1:8" hidden="1" x14ac:dyDescent="0.3">
      <c r="A199" t="s">
        <v>33</v>
      </c>
      <c r="B199">
        <v>2013</v>
      </c>
      <c r="C199" t="s">
        <v>36</v>
      </c>
      <c r="D199" t="s">
        <v>11</v>
      </c>
      <c r="E199" t="e">
        <f>VLOOKUP(Cpi_[[#This Row],[Attribute]],#REF!,2,FALSE)</f>
        <v>#REF!</v>
      </c>
      <c r="F199">
        <v>102.6</v>
      </c>
      <c r="G199">
        <f>(Cpi_[[#This Row],[Value]]-F198)/F198</f>
        <v>-8.6956521739130991E-3</v>
      </c>
      <c r="H199" t="e" cm="1" vm="1">
        <f t="array" aca="1" ref="H199" ca="1">VLOOKUP(Cpi_[[#This Row],[Year]:[Month]],crudeoil[],3,FALSE)</f>
        <v>#VALUE!</v>
      </c>
    </row>
    <row r="200" spans="1:8" hidden="1" x14ac:dyDescent="0.3">
      <c r="A200" t="s">
        <v>33</v>
      </c>
      <c r="B200">
        <v>2013</v>
      </c>
      <c r="C200" t="s">
        <v>36</v>
      </c>
      <c r="D200" t="s">
        <v>12</v>
      </c>
      <c r="E200" t="e">
        <f>VLOOKUP(Cpi_[[#This Row],[Attribute]],#REF!,2,FALSE)</f>
        <v>#REF!</v>
      </c>
      <c r="F200">
        <v>102.4</v>
      </c>
      <c r="G200">
        <f>(Cpi_[[#This Row],[Value]]-F199)/F199</f>
        <v>-1.9493177387913123E-3</v>
      </c>
      <c r="H200" t="e" cm="1" vm="1">
        <f t="array" aca="1" ref="H200" ca="1">VLOOKUP(Cpi_[[#This Row],[Year]:[Month]],crudeoil[],3,FALSE)</f>
        <v>#VALUE!</v>
      </c>
    </row>
    <row r="201" spans="1:8" hidden="1" x14ac:dyDescent="0.3">
      <c r="A201" t="s">
        <v>33</v>
      </c>
      <c r="B201">
        <v>2013</v>
      </c>
      <c r="C201" t="s">
        <v>36</v>
      </c>
      <c r="D201" t="s">
        <v>13</v>
      </c>
      <c r="E201" t="e">
        <f>VLOOKUP(Cpi_[[#This Row],[Attribute]],#REF!,2,FALSE)</f>
        <v>#REF!</v>
      </c>
      <c r="F201">
        <v>107</v>
      </c>
      <c r="G201">
        <f>(Cpi_[[#This Row],[Value]]-F200)/F200</f>
        <v>4.4921874999999944E-2</v>
      </c>
      <c r="H201" t="e" cm="1" vm="1">
        <f t="array" aca="1" ref="H201" ca="1">VLOOKUP(Cpi_[[#This Row],[Year]:[Month]],crudeoil[],3,FALSE)</f>
        <v>#VALUE!</v>
      </c>
    </row>
    <row r="202" spans="1:8" hidden="1" x14ac:dyDescent="0.3">
      <c r="A202" t="s">
        <v>33</v>
      </c>
      <c r="B202">
        <v>2013</v>
      </c>
      <c r="C202" t="s">
        <v>36</v>
      </c>
      <c r="D202" t="s">
        <v>14</v>
      </c>
      <c r="E202" t="e">
        <f>VLOOKUP(Cpi_[[#This Row],[Attribute]],#REF!,2,FALSE)</f>
        <v>#REF!</v>
      </c>
      <c r="F202">
        <v>109.8</v>
      </c>
      <c r="G202">
        <f>(Cpi_[[#This Row],[Value]]-F201)/F201</f>
        <v>2.6168224299065394E-2</v>
      </c>
      <c r="H202" t="e" cm="1" vm="1">
        <f t="array" aca="1" ref="H202" ca="1">VLOOKUP(Cpi_[[#This Row],[Year]:[Month]],crudeoil[],3,FALSE)</f>
        <v>#VALUE!</v>
      </c>
    </row>
    <row r="203" spans="1:8" hidden="1" x14ac:dyDescent="0.3">
      <c r="A203" t="s">
        <v>33</v>
      </c>
      <c r="B203">
        <v>2013</v>
      </c>
      <c r="C203" t="s">
        <v>36</v>
      </c>
      <c r="D203" t="s">
        <v>15</v>
      </c>
      <c r="E203" t="e">
        <f>VLOOKUP(Cpi_[[#This Row],[Attribute]],#REF!,2,FALSE)</f>
        <v>#REF!</v>
      </c>
      <c r="F203">
        <v>107.3</v>
      </c>
      <c r="G203">
        <f>(Cpi_[[#This Row],[Value]]-F202)/F202</f>
        <v>-2.2768670309653918E-2</v>
      </c>
      <c r="H203" t="e" cm="1" vm="1">
        <f t="array" aca="1" ref="H203" ca="1">VLOOKUP(Cpi_[[#This Row],[Year]:[Month]],crudeoil[],3,FALSE)</f>
        <v>#VALUE!</v>
      </c>
    </row>
    <row r="204" spans="1:8" hidden="1" x14ac:dyDescent="0.3">
      <c r="A204" t="s">
        <v>33</v>
      </c>
      <c r="B204">
        <v>2013</v>
      </c>
      <c r="C204" t="s">
        <v>36</v>
      </c>
      <c r="D204" t="s">
        <v>16</v>
      </c>
      <c r="E204" t="e">
        <f>VLOOKUP(Cpi_[[#This Row],[Attribute]],#REF!,2,FALSE)</f>
        <v>#REF!</v>
      </c>
      <c r="F204">
        <v>106.8</v>
      </c>
      <c r="G204">
        <f>(Cpi_[[#This Row],[Value]]-F203)/F203</f>
        <v>-4.6598322460391431E-3</v>
      </c>
      <c r="H204" t="e" cm="1" vm="1">
        <f t="array" aca="1" ref="H204" ca="1">VLOOKUP(Cpi_[[#This Row],[Year]:[Month]],crudeoil[],3,FALSE)</f>
        <v>#VALUE!</v>
      </c>
    </row>
    <row r="205" spans="1:8" hidden="1" x14ac:dyDescent="0.3">
      <c r="A205" t="s">
        <v>33</v>
      </c>
      <c r="B205">
        <v>2013</v>
      </c>
      <c r="C205" t="s">
        <v>36</v>
      </c>
      <c r="D205" t="s">
        <v>17</v>
      </c>
      <c r="E205" t="e">
        <f>VLOOKUP(Cpi_[[#This Row],[Attribute]],#REF!,2,FALSE)</f>
        <v>#REF!</v>
      </c>
      <c r="F205">
        <v>107.2</v>
      </c>
      <c r="G205">
        <f>(Cpi_[[#This Row],[Value]]-F204)/F204</f>
        <v>3.7453183520599785E-3</v>
      </c>
      <c r="H205" t="e" cm="1" vm="1">
        <f t="array" aca="1" ref="H205" ca="1">VLOOKUP(Cpi_[[#This Row],[Year]:[Month]],crudeoil[],3,FALSE)</f>
        <v>#VALUE!</v>
      </c>
    </row>
    <row r="206" spans="1:8" hidden="1" x14ac:dyDescent="0.3">
      <c r="A206" t="s">
        <v>33</v>
      </c>
      <c r="B206">
        <v>2013</v>
      </c>
      <c r="C206" t="s">
        <v>36</v>
      </c>
      <c r="D206" t="s">
        <v>18</v>
      </c>
      <c r="E206" t="e">
        <f>VLOOKUP(Cpi_[[#This Row],[Attribute]],#REF!,2,FALSE)</f>
        <v>#REF!</v>
      </c>
      <c r="F206">
        <v>106</v>
      </c>
      <c r="G206">
        <f>(Cpi_[[#This Row],[Value]]-F205)/F205</f>
        <v>-1.1194029850746294E-2</v>
      </c>
      <c r="H206" t="e" cm="1" vm="1">
        <f t="array" aca="1" ref="H206" ca="1">VLOOKUP(Cpi_[[#This Row],[Year]:[Month]],crudeoil[],3,FALSE)</f>
        <v>#VALUE!</v>
      </c>
    </row>
    <row r="207" spans="1:8" hidden="1" x14ac:dyDescent="0.3">
      <c r="A207" t="s">
        <v>33</v>
      </c>
      <c r="B207">
        <v>2013</v>
      </c>
      <c r="C207" t="s">
        <v>36</v>
      </c>
      <c r="D207" t="s">
        <v>19</v>
      </c>
      <c r="E207" t="e">
        <f>VLOOKUP(Cpi_[[#This Row],[Attribute]],#REF!,2,FALSE)</f>
        <v>#REF!</v>
      </c>
      <c r="F207">
        <v>107</v>
      </c>
      <c r="G207">
        <f>(Cpi_[[#This Row],[Value]]-F206)/F206</f>
        <v>9.433962264150943E-3</v>
      </c>
      <c r="H207" t="e" cm="1" vm="1">
        <f t="array" aca="1" ref="H207" ca="1">VLOOKUP(Cpi_[[#This Row],[Year]:[Month]],crudeoil[],3,FALSE)</f>
        <v>#VALUE!</v>
      </c>
    </row>
    <row r="208" spans="1:8" hidden="1" x14ac:dyDescent="0.3">
      <c r="A208" t="s">
        <v>33</v>
      </c>
      <c r="B208">
        <v>2013</v>
      </c>
      <c r="C208" t="s">
        <v>36</v>
      </c>
      <c r="D208" t="s">
        <v>20</v>
      </c>
      <c r="E208" t="e">
        <f>VLOOKUP(Cpi_[[#This Row],[Attribute]],#REF!,2,FALSE)</f>
        <v>#REF!</v>
      </c>
      <c r="F208">
        <v>100.4</v>
      </c>
      <c r="G208">
        <f>(Cpi_[[#This Row],[Value]]-F207)/F207</f>
        <v>-6.1682242990654154E-2</v>
      </c>
      <c r="H208" t="e" cm="1" vm="1">
        <f t="array" aca="1" ref="H208" ca="1">VLOOKUP(Cpi_[[#This Row],[Year]:[Month]],crudeoil[],3,FALSE)</f>
        <v>#VALUE!</v>
      </c>
    </row>
    <row r="209" spans="1:8" hidden="1" x14ac:dyDescent="0.3">
      <c r="A209" t="s">
        <v>33</v>
      </c>
      <c r="B209">
        <v>2013</v>
      </c>
      <c r="C209" t="s">
        <v>36</v>
      </c>
      <c r="D209" t="s">
        <v>21</v>
      </c>
      <c r="E209" t="e">
        <f>VLOOKUP(Cpi_[[#This Row],[Attribute]],#REF!,2,FALSE)</f>
        <v>#REF!</v>
      </c>
      <c r="F209">
        <v>106</v>
      </c>
      <c r="G209">
        <f>(Cpi_[[#This Row],[Value]]-F208)/F208</f>
        <v>5.5776892430278828E-2</v>
      </c>
      <c r="H209" t="e" cm="1" vm="1">
        <f t="array" aca="1" ref="H209" ca="1">VLOOKUP(Cpi_[[#This Row],[Year]:[Month]],crudeoil[],3,FALSE)</f>
        <v>#VALUE!</v>
      </c>
    </row>
    <row r="210" spans="1:8" hidden="1" x14ac:dyDescent="0.3">
      <c r="A210" t="s">
        <v>33</v>
      </c>
      <c r="B210">
        <v>2013</v>
      </c>
      <c r="C210" t="s">
        <v>36</v>
      </c>
      <c r="D210" t="s">
        <v>22</v>
      </c>
      <c r="E210" t="e">
        <f>VLOOKUP(Cpi_[[#This Row],[Attribute]],#REF!,2,FALSE)</f>
        <v>#REF!</v>
      </c>
      <c r="F210">
        <v>105.7</v>
      </c>
      <c r="G210">
        <f>(Cpi_[[#This Row],[Value]]-F209)/F209</f>
        <v>-2.8301886792452564E-3</v>
      </c>
      <c r="H210" t="e" cm="1" vm="1">
        <f t="array" aca="1" ref="H210" ca="1">VLOOKUP(Cpi_[[#This Row],[Year]:[Month]],crudeoil[],3,FALSE)</f>
        <v>#VALUE!</v>
      </c>
    </row>
    <row r="211" spans="1:8" hidden="1" x14ac:dyDescent="0.3">
      <c r="A211" t="s">
        <v>33</v>
      </c>
      <c r="B211">
        <v>2013</v>
      </c>
      <c r="C211" t="s">
        <v>36</v>
      </c>
      <c r="D211" t="s">
        <v>23</v>
      </c>
      <c r="E211" t="e">
        <f>VLOOKUP(Cpi_[[#This Row],[Attribute]],#REF!,2,FALSE)</f>
        <v>#REF!</v>
      </c>
      <c r="F211">
        <v>105.2</v>
      </c>
      <c r="G211">
        <f>(Cpi_[[#This Row],[Value]]-F210)/F210</f>
        <v>-4.7303689687795648E-3</v>
      </c>
      <c r="H211" t="e" cm="1" vm="1">
        <f t="array" aca="1" ref="H211" ca="1">VLOOKUP(Cpi_[[#This Row],[Year]:[Month]],crudeoil[],3,FALSE)</f>
        <v>#VALUE!</v>
      </c>
    </row>
    <row r="212" spans="1:8" hidden="1" x14ac:dyDescent="0.3">
      <c r="A212" t="s">
        <v>33</v>
      </c>
      <c r="B212">
        <v>2013</v>
      </c>
      <c r="C212" t="s">
        <v>36</v>
      </c>
      <c r="D212" t="s">
        <v>24</v>
      </c>
      <c r="E212" t="e">
        <f>VLOOKUP(Cpi_[[#This Row],[Attribute]],#REF!,2,FALSE)</f>
        <v>#REF!</v>
      </c>
      <c r="F212">
        <v>105.5</v>
      </c>
      <c r="G212">
        <f>(Cpi_[[#This Row],[Value]]-F211)/F211</f>
        <v>2.8517110266159424E-3</v>
      </c>
      <c r="H212" t="e" cm="1" vm="1">
        <f t="array" aca="1" ref="H212" ca="1">VLOOKUP(Cpi_[[#This Row],[Year]:[Month]],crudeoil[],3,FALSE)</f>
        <v>#VALUE!</v>
      </c>
    </row>
    <row r="213" spans="1:8" hidden="1" x14ac:dyDescent="0.3">
      <c r="A213" t="s">
        <v>33</v>
      </c>
      <c r="B213">
        <v>2013</v>
      </c>
      <c r="C213" t="s">
        <v>36</v>
      </c>
      <c r="D213" t="s">
        <v>25</v>
      </c>
      <c r="E213" t="e">
        <f>VLOOKUP(Cpi_[[#This Row],[Attribute]],#REF!,2,FALSE)</f>
        <v>#REF!</v>
      </c>
      <c r="F213">
        <v>103.5</v>
      </c>
      <c r="G213">
        <f>(Cpi_[[#This Row],[Value]]-F212)/F212</f>
        <v>-1.8957345971563982E-2</v>
      </c>
      <c r="H213" t="e" cm="1" vm="1">
        <f t="array" aca="1" ref="H213" ca="1">VLOOKUP(Cpi_[[#This Row],[Year]:[Month]],crudeoil[],3,FALSE)</f>
        <v>#VALUE!</v>
      </c>
    </row>
    <row r="214" spans="1:8" hidden="1" x14ac:dyDescent="0.3">
      <c r="A214" t="s">
        <v>33</v>
      </c>
      <c r="B214">
        <v>2013</v>
      </c>
      <c r="C214" t="s">
        <v>36</v>
      </c>
      <c r="D214" t="s">
        <v>26</v>
      </c>
      <c r="E214" t="e">
        <f>VLOOKUP(Cpi_[[#This Row],[Attribute]],#REF!,2,FALSE)</f>
        <v>#REF!</v>
      </c>
      <c r="F214">
        <v>103.8</v>
      </c>
      <c r="G214">
        <f>(Cpi_[[#This Row],[Value]]-F213)/F213</f>
        <v>2.8985507246376539E-3</v>
      </c>
      <c r="H214" t="e" cm="1" vm="1">
        <f t="array" aca="1" ref="H214" ca="1">VLOOKUP(Cpi_[[#This Row],[Year]:[Month]],crudeoil[],3,FALSE)</f>
        <v>#VALUE!</v>
      </c>
    </row>
    <row r="215" spans="1:8" hidden="1" x14ac:dyDescent="0.3">
      <c r="A215" t="s">
        <v>33</v>
      </c>
      <c r="B215">
        <v>2013</v>
      </c>
      <c r="C215" t="s">
        <v>36</v>
      </c>
      <c r="D215" t="s">
        <v>27</v>
      </c>
      <c r="E215" t="e">
        <f>VLOOKUP(Cpi_[[#This Row],[Attribute]],#REF!,2,FALSE)</f>
        <v>#REF!</v>
      </c>
      <c r="F215">
        <v>104.2</v>
      </c>
      <c r="G215">
        <f>(Cpi_[[#This Row],[Value]]-F214)/F214</f>
        <v>3.8535645472062207E-3</v>
      </c>
      <c r="H215" t="e" cm="1" vm="1">
        <f t="array" aca="1" ref="H215" ca="1">VLOOKUP(Cpi_[[#This Row],[Year]:[Month]],crudeoil[],3,FALSE)</f>
        <v>#VALUE!</v>
      </c>
    </row>
    <row r="216" spans="1:8" hidden="1" x14ac:dyDescent="0.3">
      <c r="A216" t="s">
        <v>33</v>
      </c>
      <c r="B216">
        <v>2013</v>
      </c>
      <c r="C216" t="s">
        <v>36</v>
      </c>
      <c r="D216" t="s">
        <v>28</v>
      </c>
      <c r="E216" t="e">
        <f>VLOOKUP(Cpi_[[#This Row],[Attribute]],#REF!,2,FALSE)</f>
        <v>#REF!</v>
      </c>
      <c r="F216">
        <v>104.9</v>
      </c>
      <c r="G216">
        <f>(Cpi_[[#This Row],[Value]]-F215)/F215</f>
        <v>6.7178502879078963E-3</v>
      </c>
      <c r="H216" t="e" cm="1" vm="1">
        <f t="array" aca="1" ref="H216" ca="1">VLOOKUP(Cpi_[[#This Row],[Year]:[Month]],crudeoil[],3,FALSE)</f>
        <v>#VALUE!</v>
      </c>
    </row>
    <row r="217" spans="1:8" hidden="1" x14ac:dyDescent="0.3">
      <c r="A217" t="s">
        <v>33</v>
      </c>
      <c r="B217">
        <v>2013</v>
      </c>
      <c r="C217" t="s">
        <v>36</v>
      </c>
      <c r="D217" t="s">
        <v>29</v>
      </c>
      <c r="E217" t="e" cm="1">
        <f t="array" aca="1" ref="E217" ca="1">VLGeneral indexGeneral indexKUP(Cpi_[[#This Row],[Attribute]],#REF!,2,FALSE)</f>
        <v>#NAME?</v>
      </c>
      <c r="F217">
        <v>105</v>
      </c>
      <c r="G217">
        <f>(Cpi_[[#This Row],[Value]]-F216)/F216</f>
        <v>9.5328884652044147E-4</v>
      </c>
      <c r="H217" t="e" cm="1" vm="1">
        <f t="array" aca="1" ref="H217" ca="1">VLOOKUP(Cpi_[[#This Row],[Year]:[Month]],crudeoil[],3,FALSE)</f>
        <v>#VALUE!</v>
      </c>
    </row>
    <row r="218" spans="1:8" hidden="1" x14ac:dyDescent="0.3">
      <c r="A218" t="s">
        <v>34</v>
      </c>
      <c r="B218">
        <v>2013</v>
      </c>
      <c r="C218" t="s">
        <v>36</v>
      </c>
      <c r="D218" t="s">
        <v>3</v>
      </c>
      <c r="E218" t="e">
        <f>VLOOKUP(Cpi_[[#This Row],[Attribute]],#REF!,2,FALSE)</f>
        <v>#REF!</v>
      </c>
      <c r="F218">
        <v>111.4</v>
      </c>
      <c r="G218">
        <f>(Cpi_[[#This Row],[Value]]-F217)/F217</f>
        <v>6.0952380952381008E-2</v>
      </c>
      <c r="H218" t="e" cm="1" vm="1">
        <f t="array" aca="1" ref="H218" ca="1">VLOOKUP(Cpi_[[#This Row],[Year]:[Month]],crudeoil[],3,FALSE)</f>
        <v>#VALUE!</v>
      </c>
    </row>
    <row r="219" spans="1:8" hidden="1" x14ac:dyDescent="0.3">
      <c r="A219" t="s">
        <v>34</v>
      </c>
      <c r="B219">
        <v>2013</v>
      </c>
      <c r="C219" t="s">
        <v>36</v>
      </c>
      <c r="D219" t="s">
        <v>4</v>
      </c>
      <c r="E219" t="e">
        <f>VLOOKUP(Cpi_[[#This Row],[Attribute]],#REF!,2,FALSE)</f>
        <v>#REF!</v>
      </c>
      <c r="F219">
        <v>109.7</v>
      </c>
      <c r="G219">
        <f>(Cpi_[[#This Row],[Value]]-F218)/F218</f>
        <v>-1.5260323159784584E-2</v>
      </c>
      <c r="H219" t="e" cm="1" vm="1">
        <f t="array" aca="1" ref="H219" ca="1">VLOOKUP(Cpi_[[#This Row],[Year]:[Month]],crudeoil[],3,FALSE)</f>
        <v>#VALUE!</v>
      </c>
    </row>
    <row r="220" spans="1:8" hidden="1" x14ac:dyDescent="0.3">
      <c r="A220" t="s">
        <v>34</v>
      </c>
      <c r="B220">
        <v>2013</v>
      </c>
      <c r="C220" t="s">
        <v>36</v>
      </c>
      <c r="D220" t="s">
        <v>5</v>
      </c>
      <c r="E220" t="e">
        <f>VLOOKUP(Cpi_[[#This Row],[Attribute]],#REF!,2,FALSE)</f>
        <v>#REF!</v>
      </c>
      <c r="F220">
        <v>111.2</v>
      </c>
      <c r="G220">
        <f>(Cpi_[[#This Row],[Value]]-F219)/F219</f>
        <v>1.3673655423883317E-2</v>
      </c>
      <c r="H220" t="e" cm="1" vm="1">
        <f t="array" aca="1" ref="H220" ca="1">VLOOKUP(Cpi_[[#This Row],[Year]:[Month]],crudeoil[],3,FALSE)</f>
        <v>#VALUE!</v>
      </c>
    </row>
    <row r="221" spans="1:8" hidden="1" x14ac:dyDescent="0.3">
      <c r="A221" t="s">
        <v>34</v>
      </c>
      <c r="B221">
        <v>2013</v>
      </c>
      <c r="C221" t="s">
        <v>36</v>
      </c>
      <c r="D221" t="s">
        <v>6</v>
      </c>
      <c r="E221" t="e">
        <f>VLOOKUP(Cpi_[[#This Row],[Attribute]],#REF!,2,FALSE)</f>
        <v>#REF!</v>
      </c>
      <c r="F221">
        <v>105.1</v>
      </c>
      <c r="G221">
        <f>(Cpi_[[#This Row],[Value]]-F220)/F220</f>
        <v>-5.4856115107913744E-2</v>
      </c>
      <c r="H221" t="e" cm="1" vm="1">
        <f t="array" aca="1" ref="H221" ca="1">VLOOKUP(Cpi_[[#This Row],[Year]:[Month]],crudeoil[],3,FALSE)</f>
        <v>#VALUE!</v>
      </c>
    </row>
    <row r="222" spans="1:8" hidden="1" x14ac:dyDescent="0.3">
      <c r="A222" t="s">
        <v>34</v>
      </c>
      <c r="B222">
        <v>2013</v>
      </c>
      <c r="C222" t="s">
        <v>36</v>
      </c>
      <c r="D222" t="s">
        <v>7</v>
      </c>
      <c r="E222" t="e">
        <f>VLOOKUP(Cpi_[[#This Row],[Attribute]],#REF!,2,FALSE)</f>
        <v>#REF!</v>
      </c>
      <c r="F222">
        <v>104.9</v>
      </c>
      <c r="G222">
        <f>(Cpi_[[#This Row],[Value]]-F221)/F221</f>
        <v>-1.9029495718362382E-3</v>
      </c>
      <c r="H222" t="e" cm="1" vm="1">
        <f t="array" aca="1" ref="H222" ca="1">VLOOKUP(Cpi_[[#This Row],[Year]:[Month]],crudeoil[],3,FALSE)</f>
        <v>#VALUE!</v>
      </c>
    </row>
    <row r="223" spans="1:8" hidden="1" x14ac:dyDescent="0.3">
      <c r="A223" t="s">
        <v>34</v>
      </c>
      <c r="B223">
        <v>2013</v>
      </c>
      <c r="C223" t="s">
        <v>36</v>
      </c>
      <c r="D223" t="s">
        <v>8</v>
      </c>
      <c r="E223" t="e">
        <f>VLOOKUP(Cpi_[[#This Row],[Attribute]],#REF!,2,FALSE)</f>
        <v>#REF!</v>
      </c>
      <c r="F223">
        <v>105.3</v>
      </c>
      <c r="G223">
        <f>(Cpi_[[#This Row],[Value]]-F222)/F222</f>
        <v>3.8131553860819012E-3</v>
      </c>
      <c r="H223" t="e" cm="1" vm="1">
        <f t="array" aca="1" ref="H223" ca="1">VLOOKUP(Cpi_[[#This Row],[Year]:[Month]],crudeoil[],3,FALSE)</f>
        <v>#VALUE!</v>
      </c>
    </row>
    <row r="224" spans="1:8" hidden="1" x14ac:dyDescent="0.3">
      <c r="A224" t="s">
        <v>34</v>
      </c>
      <c r="B224">
        <v>2013</v>
      </c>
      <c r="C224" t="s">
        <v>36</v>
      </c>
      <c r="D224" t="s">
        <v>9</v>
      </c>
      <c r="E224" t="e">
        <f>VLOOKUP(Cpi_[[#This Row],[Attribute]],#REF!,2,FALSE)</f>
        <v>#REF!</v>
      </c>
      <c r="F224">
        <v>102.2</v>
      </c>
      <c r="G224">
        <f>(Cpi_[[#This Row],[Value]]-F223)/F223</f>
        <v>-2.9439696106362719E-2</v>
      </c>
      <c r="H224" t="e" cm="1" vm="1">
        <f t="array" aca="1" ref="H224" ca="1">VLOOKUP(Cpi_[[#This Row],[Year]:[Month]],crudeoil[],3,FALSE)</f>
        <v>#VALUE!</v>
      </c>
    </row>
    <row r="225" spans="1:8" hidden="1" x14ac:dyDescent="0.3">
      <c r="A225" t="s">
        <v>34</v>
      </c>
      <c r="B225">
        <v>2013</v>
      </c>
      <c r="C225" t="s">
        <v>36</v>
      </c>
      <c r="D225" t="s">
        <v>10</v>
      </c>
      <c r="E225" t="e">
        <f>VLOOKUP(Cpi_[[#This Row],[Attribute]],#REF!,2,FALSE)</f>
        <v>#REF!</v>
      </c>
      <c r="F225">
        <v>105</v>
      </c>
      <c r="G225">
        <f>(Cpi_[[#This Row],[Value]]-F224)/F224</f>
        <v>2.7397260273972573E-2</v>
      </c>
      <c r="H225" t="e" cm="1" vm="1">
        <f t="array" aca="1" ref="H225" ca="1">VLOOKUP(Cpi_[[#This Row],[Year]:[Month]],crudeoil[],3,FALSE)</f>
        <v>#VALUE!</v>
      </c>
    </row>
    <row r="226" spans="1:8" hidden="1" x14ac:dyDescent="0.3">
      <c r="A226" t="s">
        <v>34</v>
      </c>
      <c r="B226">
        <v>2013</v>
      </c>
      <c r="C226" t="s">
        <v>36</v>
      </c>
      <c r="D226" t="s">
        <v>11</v>
      </c>
      <c r="E226" t="e">
        <f>VLOOKUP(Cpi_[[#This Row],[Attribute]],#REF!,2,FALSE)</f>
        <v>#REF!</v>
      </c>
      <c r="F226">
        <v>104.2</v>
      </c>
      <c r="G226">
        <f>(Cpi_[[#This Row],[Value]]-F225)/F225</f>
        <v>-7.6190476190475922E-3</v>
      </c>
      <c r="H226" t="e" cm="1" vm="1">
        <f t="array" aca="1" ref="H226" ca="1">VLOOKUP(Cpi_[[#This Row],[Year]:[Month]],crudeoil[],3,FALSE)</f>
        <v>#VALUE!</v>
      </c>
    </row>
    <row r="227" spans="1:8" hidden="1" x14ac:dyDescent="0.3">
      <c r="A227" t="s">
        <v>34</v>
      </c>
      <c r="B227">
        <v>2013</v>
      </c>
      <c r="C227" t="s">
        <v>36</v>
      </c>
      <c r="D227" t="s">
        <v>12</v>
      </c>
      <c r="E227" t="e">
        <f>VLOOKUP(Cpi_[[#This Row],[Attribute]],#REF!,2,FALSE)</f>
        <v>#REF!</v>
      </c>
      <c r="F227">
        <v>103</v>
      </c>
      <c r="G227">
        <f>(Cpi_[[#This Row],[Value]]-F226)/F226</f>
        <v>-1.151631477927066E-2</v>
      </c>
      <c r="H227" t="e" cm="1" vm="1">
        <f t="array" aca="1" ref="H227" ca="1">VLOOKUP(Cpi_[[#This Row],[Year]:[Month]],crudeoil[],3,FALSE)</f>
        <v>#VALUE!</v>
      </c>
    </row>
    <row r="228" spans="1:8" hidden="1" x14ac:dyDescent="0.3">
      <c r="A228" t="s">
        <v>34</v>
      </c>
      <c r="B228">
        <v>2013</v>
      </c>
      <c r="C228" t="s">
        <v>36</v>
      </c>
      <c r="D228" t="s">
        <v>13</v>
      </c>
      <c r="E228" t="e">
        <f>VLOOKUP(Cpi_[[#This Row],[Attribute]],#REF!,2,FALSE)</f>
        <v>#REF!</v>
      </c>
      <c r="F228">
        <v>106.2</v>
      </c>
      <c r="G228">
        <f>(Cpi_[[#This Row],[Value]]-F227)/F227</f>
        <v>3.106796116504857E-2</v>
      </c>
      <c r="H228" t="e" cm="1" vm="1">
        <f t="array" aca="1" ref="H228" ca="1">VLOOKUP(Cpi_[[#This Row],[Year]:[Month]],crudeoil[],3,FALSE)</f>
        <v>#VALUE!</v>
      </c>
    </row>
    <row r="229" spans="1:8" hidden="1" x14ac:dyDescent="0.3">
      <c r="A229" t="s">
        <v>34</v>
      </c>
      <c r="B229">
        <v>2013</v>
      </c>
      <c r="C229" t="s">
        <v>36</v>
      </c>
      <c r="D229" t="s">
        <v>14</v>
      </c>
      <c r="E229" t="e">
        <f>VLOOKUP(Cpi_[[#This Row],[Attribute]],#REF!,2,FALSE)</f>
        <v>#REF!</v>
      </c>
      <c r="F229">
        <v>108.9</v>
      </c>
      <c r="G229">
        <f>(Cpi_[[#This Row],[Value]]-F228)/F228</f>
        <v>2.5423728813559348E-2</v>
      </c>
      <c r="H229" t="e" cm="1" vm="1">
        <f t="array" aca="1" ref="H229" ca="1">VLOOKUP(Cpi_[[#This Row],[Year]:[Month]],crudeoil[],3,FALSE)</f>
        <v>#VALUE!</v>
      </c>
    </row>
    <row r="230" spans="1:8" hidden="1" x14ac:dyDescent="0.3">
      <c r="A230" t="s">
        <v>34</v>
      </c>
      <c r="B230">
        <v>2013</v>
      </c>
      <c r="C230" t="s">
        <v>36</v>
      </c>
      <c r="D230" t="s">
        <v>15</v>
      </c>
      <c r="E230" t="e">
        <f>VLOOKUP(Cpi_[[#This Row],[Attribute]],#REF!,2,FALSE)</f>
        <v>#REF!</v>
      </c>
      <c r="F230">
        <v>106.9</v>
      </c>
      <c r="G230">
        <f>(Cpi_[[#This Row],[Value]]-F229)/F229</f>
        <v>-1.8365472910927456E-2</v>
      </c>
      <c r="H230" t="e" cm="1" vm="1">
        <f t="array" aca="1" ref="H230" ca="1">VLOOKUP(Cpi_[[#This Row],[Year]:[Month]],crudeoil[],3,FALSE)</f>
        <v>#VALUE!</v>
      </c>
    </row>
    <row r="231" spans="1:8" hidden="1" x14ac:dyDescent="0.3">
      <c r="A231" t="s">
        <v>34</v>
      </c>
      <c r="B231">
        <v>2013</v>
      </c>
      <c r="C231" t="s">
        <v>36</v>
      </c>
      <c r="D231" t="s">
        <v>16</v>
      </c>
      <c r="E231" t="e">
        <f>VLOOKUP(Cpi_[[#This Row],[Attribute]],#REF!,2,FALSE)</f>
        <v>#REF!</v>
      </c>
      <c r="F231">
        <v>106.6</v>
      </c>
      <c r="G231">
        <f>(Cpi_[[#This Row],[Value]]-F230)/F230</f>
        <v>-2.8063610851263923E-3</v>
      </c>
      <c r="H231" t="e" cm="1" vm="1">
        <f t="array" aca="1" ref="H231" ca="1">VLOOKUP(Cpi_[[#This Row],[Year]:[Month]],crudeoil[],3,FALSE)</f>
        <v>#VALUE!</v>
      </c>
    </row>
    <row r="232" spans="1:8" hidden="1" x14ac:dyDescent="0.3">
      <c r="A232" t="s">
        <v>34</v>
      </c>
      <c r="B232">
        <v>2013</v>
      </c>
      <c r="C232" t="s">
        <v>36</v>
      </c>
      <c r="D232" t="s">
        <v>17</v>
      </c>
      <c r="E232" t="e">
        <f>VLOOKUP(Cpi_[[#This Row],[Attribute]],#REF!,2,FALSE)</f>
        <v>#REF!</v>
      </c>
      <c r="F232">
        <v>107.4</v>
      </c>
      <c r="G232">
        <f>(Cpi_[[#This Row],[Value]]-F231)/F231</f>
        <v>7.5046904315198065E-3</v>
      </c>
      <c r="H232" t="e" cm="1" vm="1">
        <f t="array" aca="1" ref="H232" ca="1">VLOOKUP(Cpi_[[#This Row],[Year]:[Month]],crudeoil[],3,FALSE)</f>
        <v>#VALUE!</v>
      </c>
    </row>
    <row r="233" spans="1:8" hidden="1" x14ac:dyDescent="0.3">
      <c r="A233" t="s">
        <v>34</v>
      </c>
      <c r="B233">
        <v>2013</v>
      </c>
      <c r="C233" t="s">
        <v>36</v>
      </c>
      <c r="D233" t="s">
        <v>18</v>
      </c>
      <c r="E233" t="e">
        <f>VLOOKUP(Cpi_[[#This Row],[Attribute]],#REF!,2,FALSE)</f>
        <v>#REF!</v>
      </c>
      <c r="F233">
        <v>106.5</v>
      </c>
      <c r="G233">
        <f>(Cpi_[[#This Row],[Value]]-F232)/F232</f>
        <v>-8.3798882681564765E-3</v>
      </c>
      <c r="H233" t="e" cm="1" vm="1">
        <f t="array" aca="1" ref="H233" ca="1">VLOOKUP(Cpi_[[#This Row],[Year]:[Month]],crudeoil[],3,FALSE)</f>
        <v>#VALUE!</v>
      </c>
    </row>
    <row r="234" spans="1:8" hidden="1" x14ac:dyDescent="0.3">
      <c r="A234" t="s">
        <v>34</v>
      </c>
      <c r="B234">
        <v>2013</v>
      </c>
      <c r="C234" t="s">
        <v>36</v>
      </c>
      <c r="D234" t="s">
        <v>19</v>
      </c>
      <c r="E234" t="e">
        <f>VLOOKUP(Cpi_[[#This Row],[Attribute]],#REF!,2,FALSE)</f>
        <v>#REF!</v>
      </c>
      <c r="F234">
        <v>107.3</v>
      </c>
      <c r="G234">
        <f>(Cpi_[[#This Row],[Value]]-F233)/F233</f>
        <v>7.5117370892018509E-3</v>
      </c>
      <c r="H234" t="e" cm="1" vm="1">
        <f t="array" aca="1" ref="H234" ca="1">VLOOKUP(Cpi_[[#This Row],[Year]:[Month]],crudeoil[],3,FALSE)</f>
        <v>#VALUE!</v>
      </c>
    </row>
    <row r="235" spans="1:8" hidden="1" x14ac:dyDescent="0.3">
      <c r="A235" t="s">
        <v>34</v>
      </c>
      <c r="B235">
        <v>2013</v>
      </c>
      <c r="C235" t="s">
        <v>36</v>
      </c>
      <c r="D235" t="s">
        <v>20</v>
      </c>
      <c r="E235" t="e">
        <f>VLOOKUP(Cpi_[[#This Row],[Attribute]],#REF!,2,FALSE)</f>
        <v>#REF!</v>
      </c>
      <c r="F235">
        <v>100.4</v>
      </c>
      <c r="G235">
        <f>(Cpi_[[#This Row],[Value]]-F234)/F234</f>
        <v>-6.430568499534009E-2</v>
      </c>
      <c r="H235" t="e" cm="1" vm="1">
        <f t="array" aca="1" ref="H235" ca="1">VLOOKUP(Cpi_[[#This Row],[Year]:[Month]],crudeoil[],3,FALSE)</f>
        <v>#VALUE!</v>
      </c>
    </row>
    <row r="236" spans="1:8" hidden="1" x14ac:dyDescent="0.3">
      <c r="A236" t="s">
        <v>34</v>
      </c>
      <c r="B236">
        <v>2013</v>
      </c>
      <c r="C236" t="s">
        <v>36</v>
      </c>
      <c r="D236" t="s">
        <v>21</v>
      </c>
      <c r="E236" t="e">
        <f>VLOOKUP(Cpi_[[#This Row],[Attribute]],#REF!,2,FALSE)</f>
        <v>#REF!</v>
      </c>
      <c r="F236">
        <v>106.1</v>
      </c>
      <c r="G236">
        <f>(Cpi_[[#This Row],[Value]]-F235)/F235</f>
        <v>5.6772908366533745E-2</v>
      </c>
      <c r="H236" t="e" cm="1" vm="1">
        <f t="array" aca="1" ref="H236" ca="1">VLOOKUP(Cpi_[[#This Row],[Year]:[Month]],crudeoil[],3,FALSE)</f>
        <v>#VALUE!</v>
      </c>
    </row>
    <row r="237" spans="1:8" hidden="1" x14ac:dyDescent="0.3">
      <c r="A237" t="s">
        <v>34</v>
      </c>
      <c r="B237">
        <v>2013</v>
      </c>
      <c r="C237" t="s">
        <v>36</v>
      </c>
      <c r="D237" t="s">
        <v>22</v>
      </c>
      <c r="E237" t="e">
        <f>VLOOKUP(Cpi_[[#This Row],[Attribute]],#REF!,2,FALSE)</f>
        <v>#REF!</v>
      </c>
      <c r="F237">
        <v>105.6</v>
      </c>
      <c r="G237">
        <f>(Cpi_[[#This Row],[Value]]-F236)/F236</f>
        <v>-4.7125353440150806E-3</v>
      </c>
      <c r="H237" t="e" cm="1" vm="1">
        <f t="array" aca="1" ref="H237" ca="1">VLOOKUP(Cpi_[[#This Row],[Year]:[Month]],crudeoil[],3,FALSE)</f>
        <v>#VALUE!</v>
      </c>
    </row>
    <row r="238" spans="1:8" hidden="1" x14ac:dyDescent="0.3">
      <c r="A238" t="s">
        <v>34</v>
      </c>
      <c r="B238">
        <v>2013</v>
      </c>
      <c r="C238" t="s">
        <v>36</v>
      </c>
      <c r="D238" t="s">
        <v>23</v>
      </c>
      <c r="E238" t="e">
        <f>VLOOKUP(Cpi_[[#This Row],[Attribute]],#REF!,2,FALSE)</f>
        <v>#REF!</v>
      </c>
      <c r="F238">
        <v>104.9</v>
      </c>
      <c r="G238">
        <f>(Cpi_[[#This Row],[Value]]-F237)/F237</f>
        <v>-6.6287878787877714E-3</v>
      </c>
      <c r="H238" t="e" cm="1" vm="1">
        <f t="array" aca="1" ref="H238" ca="1">VLOOKUP(Cpi_[[#This Row],[Year]:[Month]],crudeoil[],3,FALSE)</f>
        <v>#VALUE!</v>
      </c>
    </row>
    <row r="239" spans="1:8" hidden="1" x14ac:dyDescent="0.3">
      <c r="A239" t="s">
        <v>34</v>
      </c>
      <c r="B239">
        <v>2013</v>
      </c>
      <c r="C239" t="s">
        <v>36</v>
      </c>
      <c r="D239" t="s">
        <v>24</v>
      </c>
      <c r="E239" t="e">
        <f>VLOOKUP(Cpi_[[#This Row],[Attribute]],#REF!,2,FALSE)</f>
        <v>#REF!</v>
      </c>
      <c r="F239">
        <v>105.1</v>
      </c>
      <c r="G239">
        <f>(Cpi_[[#This Row],[Value]]-F238)/F238</f>
        <v>1.9065776930408829E-3</v>
      </c>
      <c r="H239" t="e" cm="1" vm="1">
        <f t="array" aca="1" ref="H239" ca="1">VLOOKUP(Cpi_[[#This Row],[Year]:[Month]],crudeoil[],3,FALSE)</f>
        <v>#VALUE!</v>
      </c>
    </row>
    <row r="240" spans="1:8" hidden="1" x14ac:dyDescent="0.3">
      <c r="A240" t="s">
        <v>34</v>
      </c>
      <c r="B240">
        <v>2013</v>
      </c>
      <c r="C240" t="s">
        <v>36</v>
      </c>
      <c r="D240" t="s">
        <v>25</v>
      </c>
      <c r="E240" t="e">
        <f>VLOOKUP(Cpi_[[#This Row],[Attribute]],#REF!,2,FALSE)</f>
        <v>#REF!</v>
      </c>
      <c r="F240">
        <v>103.7</v>
      </c>
      <c r="G240">
        <f>(Cpi_[[#This Row],[Value]]-F239)/F239</f>
        <v>-1.3320647002854343E-2</v>
      </c>
      <c r="H240" t="e" cm="1" vm="1">
        <f t="array" aca="1" ref="H240" ca="1">VLOOKUP(Cpi_[[#This Row],[Year]:[Month]],crudeoil[],3,FALSE)</f>
        <v>#VALUE!</v>
      </c>
    </row>
    <row r="241" spans="1:8" hidden="1" x14ac:dyDescent="0.3">
      <c r="A241" t="s">
        <v>34</v>
      </c>
      <c r="B241">
        <v>2013</v>
      </c>
      <c r="C241" t="s">
        <v>36</v>
      </c>
      <c r="D241" t="s">
        <v>26</v>
      </c>
      <c r="E241" t="e">
        <f>VLOOKUP(Cpi_[[#This Row],[Attribute]],#REF!,2,FALSE)</f>
        <v>#REF!</v>
      </c>
      <c r="F241">
        <v>104</v>
      </c>
      <c r="G241">
        <f>(Cpi_[[#This Row],[Value]]-F240)/F240</f>
        <v>2.8929604628736465E-3</v>
      </c>
      <c r="H241" t="e" cm="1" vm="1">
        <f t="array" aca="1" ref="H241" ca="1">VLOOKUP(Cpi_[[#This Row],[Year]:[Month]],crudeoil[],3,FALSE)</f>
        <v>#VALUE!</v>
      </c>
    </row>
    <row r="242" spans="1:8" hidden="1" x14ac:dyDescent="0.3">
      <c r="A242" t="s">
        <v>34</v>
      </c>
      <c r="B242">
        <v>2013</v>
      </c>
      <c r="C242" t="s">
        <v>36</v>
      </c>
      <c r="D242" t="s">
        <v>27</v>
      </c>
      <c r="E242" t="e">
        <f>VLOOKUP(Cpi_[[#This Row],[Attribute]],#REF!,2,FALSE)</f>
        <v>#REF!</v>
      </c>
      <c r="F242">
        <v>104.3</v>
      </c>
      <c r="G242">
        <f>(Cpi_[[#This Row],[Value]]-F241)/F241</f>
        <v>2.8846153846153575E-3</v>
      </c>
      <c r="H242" t="e" cm="1" vm="1">
        <f t="array" aca="1" ref="H242" ca="1">VLOOKUP(Cpi_[[#This Row],[Year]:[Month]],crudeoil[],3,FALSE)</f>
        <v>#VALUE!</v>
      </c>
    </row>
    <row r="243" spans="1:8" hidden="1" x14ac:dyDescent="0.3">
      <c r="A243" t="s">
        <v>34</v>
      </c>
      <c r="B243">
        <v>2013</v>
      </c>
      <c r="C243" t="s">
        <v>36</v>
      </c>
      <c r="D243" t="s">
        <v>28</v>
      </c>
      <c r="E243" t="e">
        <f>VLOOKUP(Cpi_[[#This Row],[Attribute]],#REF!,2,FALSE)</f>
        <v>#REF!</v>
      </c>
      <c r="F243">
        <v>104.7</v>
      </c>
      <c r="G243">
        <f>(Cpi_[[#This Row],[Value]]-F242)/F242</f>
        <v>3.8350910834132855E-3</v>
      </c>
      <c r="H243" t="e" cm="1" vm="1">
        <f t="array" aca="1" ref="H243" ca="1">VLOOKUP(Cpi_[[#This Row],[Year]:[Month]],crudeoil[],3,FALSE)</f>
        <v>#VALUE!</v>
      </c>
    </row>
    <row r="244" spans="1:8" hidden="1" x14ac:dyDescent="0.3">
      <c r="A244" t="s">
        <v>34</v>
      </c>
      <c r="B244">
        <v>2013</v>
      </c>
      <c r="C244" t="s">
        <v>36</v>
      </c>
      <c r="D244" t="s">
        <v>29</v>
      </c>
      <c r="E244" t="e" cm="1">
        <f t="array" aca="1" ref="E244" ca="1">VLGeneral indexGeneral indexKUP(Cpi_[[#This Row],[Attribute]],#REF!,2,FALSE)</f>
        <v>#NAME?</v>
      </c>
      <c r="F244">
        <v>105.5</v>
      </c>
      <c r="G244">
        <f>(Cpi_[[#This Row],[Value]]-F243)/F243</f>
        <v>7.6408787010505937E-3</v>
      </c>
      <c r="H244" t="e" cm="1" vm="1">
        <f t="array" aca="1" ref="H244" ca="1">VLOOKUP(Cpi_[[#This Row],[Year]:[Month]],crudeoil[],3,FALSE)</f>
        <v>#VALUE!</v>
      </c>
    </row>
    <row r="245" spans="1:8" hidden="1" x14ac:dyDescent="0.3">
      <c r="A245" t="s">
        <v>30</v>
      </c>
      <c r="B245">
        <v>2013</v>
      </c>
      <c r="C245" t="s">
        <v>37</v>
      </c>
      <c r="D245" t="s">
        <v>3</v>
      </c>
      <c r="E245" t="e">
        <f>VLOOKUP(Cpi_[[#This Row],[Attribute]],#REF!,2,FALSE)</f>
        <v>#REF!</v>
      </c>
      <c r="F245">
        <v>110.2</v>
      </c>
      <c r="G245">
        <f>(Cpi_[[#This Row],[Value]]-F244)/F244</f>
        <v>4.4549763033175385E-2</v>
      </c>
      <c r="H245" t="e" cm="1" vm="1">
        <f t="array" aca="1" ref="H245" ca="1">VLOOKUP(Cpi_[[#This Row],[Year]:[Month]],crudeoil[],3,FALSE)</f>
        <v>#VALUE!</v>
      </c>
    </row>
    <row r="246" spans="1:8" hidden="1" x14ac:dyDescent="0.3">
      <c r="A246" t="s">
        <v>30</v>
      </c>
      <c r="B246">
        <v>2013</v>
      </c>
      <c r="C246" t="s">
        <v>37</v>
      </c>
      <c r="D246" t="s">
        <v>4</v>
      </c>
      <c r="E246" t="e">
        <f>VLOOKUP(Cpi_[[#This Row],[Attribute]],#REF!,2,FALSE)</f>
        <v>#REF!</v>
      </c>
      <c r="F246">
        <v>109.5</v>
      </c>
      <c r="G246">
        <f>(Cpi_[[#This Row],[Value]]-F245)/F245</f>
        <v>-6.3520871143375934E-3</v>
      </c>
      <c r="H246" t="e" cm="1" vm="1">
        <f t="array" aca="1" ref="H246" ca="1">VLOOKUP(Cpi_[[#This Row],[Year]:[Month]],crudeoil[],3,FALSE)</f>
        <v>#VALUE!</v>
      </c>
    </row>
    <row r="247" spans="1:8" hidden="1" x14ac:dyDescent="0.3">
      <c r="A247" t="s">
        <v>30</v>
      </c>
      <c r="B247">
        <v>2013</v>
      </c>
      <c r="C247" t="s">
        <v>37</v>
      </c>
      <c r="D247" t="s">
        <v>5</v>
      </c>
      <c r="E247" t="e">
        <f>VLOOKUP(Cpi_[[#This Row],[Attribute]],#REF!,2,FALSE)</f>
        <v>#REF!</v>
      </c>
      <c r="F247">
        <v>106.9</v>
      </c>
      <c r="G247">
        <f>(Cpi_[[#This Row],[Value]]-F246)/F246</f>
        <v>-2.3744292237442871E-2</v>
      </c>
      <c r="H247" t="e" cm="1" vm="1">
        <f t="array" aca="1" ref="H247" ca="1">VLOOKUP(Cpi_[[#This Row],[Year]:[Month]],crudeoil[],3,FALSE)</f>
        <v>#VALUE!</v>
      </c>
    </row>
    <row r="248" spans="1:8" hidden="1" x14ac:dyDescent="0.3">
      <c r="A248" t="s">
        <v>30</v>
      </c>
      <c r="B248">
        <v>2013</v>
      </c>
      <c r="C248" t="s">
        <v>37</v>
      </c>
      <c r="D248" t="s">
        <v>6</v>
      </c>
      <c r="E248" t="e">
        <f>VLOOKUP(Cpi_[[#This Row],[Attribute]],#REF!,2,FALSE)</f>
        <v>#REF!</v>
      </c>
      <c r="F248">
        <v>106.3</v>
      </c>
      <c r="G248">
        <f>(Cpi_[[#This Row],[Value]]-F247)/F247</f>
        <v>-5.6127221702526519E-3</v>
      </c>
      <c r="H248" t="e" cm="1" vm="1">
        <f t="array" aca="1" ref="H248" ca="1">VLOOKUP(Cpi_[[#This Row],[Year]:[Month]],crudeoil[],3,FALSE)</f>
        <v>#VALUE!</v>
      </c>
    </row>
    <row r="249" spans="1:8" hidden="1" x14ac:dyDescent="0.3">
      <c r="A249" t="s">
        <v>30</v>
      </c>
      <c r="B249">
        <v>2013</v>
      </c>
      <c r="C249" t="s">
        <v>37</v>
      </c>
      <c r="D249" t="s">
        <v>7</v>
      </c>
      <c r="E249" t="e">
        <f>VLOOKUP(Cpi_[[#This Row],[Attribute]],#REF!,2,FALSE)</f>
        <v>#REF!</v>
      </c>
      <c r="F249">
        <v>105.7</v>
      </c>
      <c r="G249">
        <f>(Cpi_[[#This Row],[Value]]-F248)/F248</f>
        <v>-5.6444026340545092E-3</v>
      </c>
      <c r="H249" t="e" cm="1" vm="1">
        <f t="array" aca="1" ref="H249" ca="1">VLOOKUP(Cpi_[[#This Row],[Year]:[Month]],crudeoil[],3,FALSE)</f>
        <v>#VALUE!</v>
      </c>
    </row>
    <row r="250" spans="1:8" hidden="1" x14ac:dyDescent="0.3">
      <c r="A250" t="s">
        <v>30</v>
      </c>
      <c r="B250">
        <v>2013</v>
      </c>
      <c r="C250" t="s">
        <v>37</v>
      </c>
      <c r="D250" t="s">
        <v>8</v>
      </c>
      <c r="E250" t="e">
        <f>VLOOKUP(Cpi_[[#This Row],[Attribute]],#REF!,2,FALSE)</f>
        <v>#REF!</v>
      </c>
      <c r="F250">
        <v>108.3</v>
      </c>
      <c r="G250">
        <f>(Cpi_[[#This Row],[Value]]-F249)/F249</f>
        <v>2.4597918637653683E-2</v>
      </c>
      <c r="H250" t="e" cm="1" vm="1">
        <f t="array" aca="1" ref="H250" ca="1">VLOOKUP(Cpi_[[#This Row],[Year]:[Month]],crudeoil[],3,FALSE)</f>
        <v>#VALUE!</v>
      </c>
    </row>
    <row r="251" spans="1:8" hidden="1" x14ac:dyDescent="0.3">
      <c r="A251" t="s">
        <v>30</v>
      </c>
      <c r="B251">
        <v>2013</v>
      </c>
      <c r="C251" t="s">
        <v>37</v>
      </c>
      <c r="D251" t="s">
        <v>9</v>
      </c>
      <c r="E251" t="e">
        <f>VLOOKUP(Cpi_[[#This Row],[Attribute]],#REF!,2,FALSE)</f>
        <v>#REF!</v>
      </c>
      <c r="F251">
        <v>103.4</v>
      </c>
      <c r="G251">
        <f>(Cpi_[[#This Row],[Value]]-F250)/F250</f>
        <v>-4.5244690674053477E-2</v>
      </c>
      <c r="H251" t="e" cm="1" vm="1">
        <f t="array" aca="1" ref="H251" ca="1">VLOOKUP(Cpi_[[#This Row],[Year]:[Month]],crudeoil[],3,FALSE)</f>
        <v>#VALUE!</v>
      </c>
    </row>
    <row r="252" spans="1:8" hidden="1" x14ac:dyDescent="0.3">
      <c r="A252" t="s">
        <v>30</v>
      </c>
      <c r="B252">
        <v>2013</v>
      </c>
      <c r="C252" t="s">
        <v>37</v>
      </c>
      <c r="D252" t="s">
        <v>10</v>
      </c>
      <c r="E252" t="e">
        <f>VLOOKUP(Cpi_[[#This Row],[Attribute]],#REF!,2,FALSE)</f>
        <v>#REF!</v>
      </c>
      <c r="F252">
        <v>105.7</v>
      </c>
      <c r="G252">
        <f>(Cpi_[[#This Row],[Value]]-F251)/F251</f>
        <v>2.2243713733075408E-2</v>
      </c>
      <c r="H252" t="e" cm="1" vm="1">
        <f t="array" aca="1" ref="H252" ca="1">VLOOKUP(Cpi_[[#This Row],[Year]:[Month]],crudeoil[],3,FALSE)</f>
        <v>#VALUE!</v>
      </c>
    </row>
    <row r="253" spans="1:8" hidden="1" x14ac:dyDescent="0.3">
      <c r="A253" t="s">
        <v>30</v>
      </c>
      <c r="B253">
        <v>2013</v>
      </c>
      <c r="C253" t="s">
        <v>37</v>
      </c>
      <c r="D253" t="s">
        <v>11</v>
      </c>
      <c r="E253" t="e">
        <f>VLOOKUP(Cpi_[[#This Row],[Attribute]],#REF!,2,FALSE)</f>
        <v>#REF!</v>
      </c>
      <c r="F253">
        <v>104.2</v>
      </c>
      <c r="G253">
        <f>(Cpi_[[#This Row],[Value]]-F252)/F252</f>
        <v>-1.4191106906338694E-2</v>
      </c>
      <c r="H253" t="e" cm="1" vm="1">
        <f t="array" aca="1" ref="H253" ca="1">VLOOKUP(Cpi_[[#This Row],[Year]:[Month]],crudeoil[],3,FALSE)</f>
        <v>#VALUE!</v>
      </c>
    </row>
    <row r="254" spans="1:8" hidden="1" x14ac:dyDescent="0.3">
      <c r="A254" t="s">
        <v>30</v>
      </c>
      <c r="B254">
        <v>2013</v>
      </c>
      <c r="C254" t="s">
        <v>37</v>
      </c>
      <c r="D254" t="s">
        <v>12</v>
      </c>
      <c r="E254" t="e">
        <f>VLOOKUP(Cpi_[[#This Row],[Attribute]],#REF!,2,FALSE)</f>
        <v>#REF!</v>
      </c>
      <c r="F254">
        <v>103.2</v>
      </c>
      <c r="G254">
        <f>(Cpi_[[#This Row],[Value]]-F253)/F253</f>
        <v>-9.5969289827255271E-3</v>
      </c>
      <c r="H254" t="e" cm="1" vm="1">
        <f t="array" aca="1" ref="H254" ca="1">VLOOKUP(Cpi_[[#This Row],[Year]:[Month]],crudeoil[],3,FALSE)</f>
        <v>#VALUE!</v>
      </c>
    </row>
    <row r="255" spans="1:8" hidden="1" x14ac:dyDescent="0.3">
      <c r="A255" t="s">
        <v>30</v>
      </c>
      <c r="B255">
        <v>2013</v>
      </c>
      <c r="C255" t="s">
        <v>37</v>
      </c>
      <c r="D255" t="s">
        <v>13</v>
      </c>
      <c r="E255" t="e">
        <f>VLOOKUP(Cpi_[[#This Row],[Attribute]],#REF!,2,FALSE)</f>
        <v>#REF!</v>
      </c>
      <c r="F255">
        <v>106.5</v>
      </c>
      <c r="G255">
        <f>(Cpi_[[#This Row],[Value]]-F254)/F254</f>
        <v>3.1976744186046485E-2</v>
      </c>
      <c r="H255" t="e" cm="1" vm="1">
        <f t="array" aca="1" ref="H255" ca="1">VLOOKUP(Cpi_[[#This Row],[Year]:[Month]],crudeoil[],3,FALSE)</f>
        <v>#VALUE!</v>
      </c>
    </row>
    <row r="256" spans="1:8" hidden="1" x14ac:dyDescent="0.3">
      <c r="A256" t="s">
        <v>30</v>
      </c>
      <c r="B256">
        <v>2013</v>
      </c>
      <c r="C256" t="s">
        <v>37</v>
      </c>
      <c r="D256" t="s">
        <v>14</v>
      </c>
      <c r="E256" t="e">
        <f>VLOOKUP(Cpi_[[#This Row],[Attribute]],#REF!,2,FALSE)</f>
        <v>#REF!</v>
      </c>
      <c r="F256">
        <v>108.8</v>
      </c>
      <c r="G256">
        <f>(Cpi_[[#This Row],[Value]]-F255)/F255</f>
        <v>2.1596244131455371E-2</v>
      </c>
      <c r="H256" t="e" cm="1" vm="1">
        <f t="array" aca="1" ref="H256" ca="1">VLOOKUP(Cpi_[[#This Row],[Year]:[Month]],crudeoil[],3,FALSE)</f>
        <v>#VALUE!</v>
      </c>
    </row>
    <row r="257" spans="1:8" hidden="1" x14ac:dyDescent="0.3">
      <c r="A257" t="s">
        <v>30</v>
      </c>
      <c r="B257">
        <v>2013</v>
      </c>
      <c r="C257" t="s">
        <v>37</v>
      </c>
      <c r="D257" t="s">
        <v>15</v>
      </c>
      <c r="E257" t="e">
        <f>VLOOKUP(Cpi_[[#This Row],[Attribute]],#REF!,2,FALSE)</f>
        <v>#REF!</v>
      </c>
      <c r="F257">
        <v>107.1</v>
      </c>
      <c r="G257">
        <f>(Cpi_[[#This Row],[Value]]-F256)/F256</f>
        <v>-1.5625000000000028E-2</v>
      </c>
      <c r="H257" t="e" cm="1" vm="1">
        <f t="array" aca="1" ref="H257" ca="1">VLOOKUP(Cpi_[[#This Row],[Year]:[Month]],crudeoil[],3,FALSE)</f>
        <v>#VALUE!</v>
      </c>
    </row>
    <row r="258" spans="1:8" hidden="1" x14ac:dyDescent="0.3">
      <c r="A258" t="s">
        <v>30</v>
      </c>
      <c r="B258">
        <v>2013</v>
      </c>
      <c r="C258" t="s">
        <v>37</v>
      </c>
      <c r="D258" t="s">
        <v>16</v>
      </c>
      <c r="E258" t="e">
        <f>VLOOKUP(Cpi_[[#This Row],[Attribute]],#REF!,2,FALSE)</f>
        <v>#REF!</v>
      </c>
      <c r="F258">
        <v>107.1</v>
      </c>
      <c r="G258">
        <f>(Cpi_[[#This Row],[Value]]-F257)/F257</f>
        <v>0</v>
      </c>
      <c r="H258" t="e" cm="1" vm="1">
        <f t="array" aca="1" ref="H258" ca="1">VLOOKUP(Cpi_[[#This Row],[Year]:[Month]],crudeoil[],3,FALSE)</f>
        <v>#VALUE!</v>
      </c>
    </row>
    <row r="259" spans="1:8" hidden="1" x14ac:dyDescent="0.3">
      <c r="A259" t="s">
        <v>30</v>
      </c>
      <c r="B259">
        <v>2013</v>
      </c>
      <c r="C259" t="s">
        <v>37</v>
      </c>
      <c r="D259" t="s">
        <v>17</v>
      </c>
      <c r="E259" t="e">
        <f>VLOOKUP(Cpi_[[#This Row],[Attribute]],#REF!,2,FALSE)</f>
        <v>#REF!</v>
      </c>
      <c r="F259">
        <v>108.1</v>
      </c>
      <c r="G259">
        <f>(Cpi_[[#This Row],[Value]]-F258)/F258</f>
        <v>9.3370681605975722E-3</v>
      </c>
      <c r="H259" t="e" cm="1" vm="1">
        <f t="array" aca="1" ref="H259" ca="1">VLOOKUP(Cpi_[[#This Row],[Year]:[Month]],crudeoil[],3,FALSE)</f>
        <v>#VALUE!</v>
      </c>
    </row>
    <row r="260" spans="1:8" hidden="1" x14ac:dyDescent="0.3">
      <c r="A260" t="s">
        <v>30</v>
      </c>
      <c r="B260">
        <v>2013</v>
      </c>
      <c r="C260" t="s">
        <v>37</v>
      </c>
      <c r="D260" t="s">
        <v>18</v>
      </c>
      <c r="E260" t="e">
        <f>VLOOKUP(Cpi_[[#This Row],[Attribute]],#REF!,2,FALSE)</f>
        <v>#REF!</v>
      </c>
      <c r="F260">
        <v>107.4</v>
      </c>
      <c r="G260">
        <f>(Cpi_[[#This Row],[Value]]-F259)/F259</f>
        <v>-6.4754856614245024E-3</v>
      </c>
      <c r="H260" t="e" cm="1" vm="1">
        <f t="array" aca="1" ref="H260" ca="1">VLOOKUP(Cpi_[[#This Row],[Year]:[Month]],crudeoil[],3,FALSE)</f>
        <v>#VALUE!</v>
      </c>
    </row>
    <row r="261" spans="1:8" hidden="1" x14ac:dyDescent="0.3">
      <c r="A261" t="s">
        <v>30</v>
      </c>
      <c r="B261">
        <v>2013</v>
      </c>
      <c r="C261" t="s">
        <v>37</v>
      </c>
      <c r="D261" t="s">
        <v>19</v>
      </c>
      <c r="E261" t="e">
        <f>VLOOKUP(Cpi_[[#This Row],[Attribute]],#REF!,2,FALSE)</f>
        <v>#REF!</v>
      </c>
      <c r="F261">
        <v>108</v>
      </c>
      <c r="G261">
        <f>(Cpi_[[#This Row],[Value]]-F260)/F260</f>
        <v>5.5865921787708961E-3</v>
      </c>
      <c r="H261" t="e" cm="1" vm="1">
        <f t="array" aca="1" ref="H261" ca="1">VLOOKUP(Cpi_[[#This Row],[Year]:[Month]],crudeoil[],3,FALSE)</f>
        <v>#VALUE!</v>
      </c>
    </row>
    <row r="262" spans="1:8" hidden="1" x14ac:dyDescent="0.3">
      <c r="A262" t="s">
        <v>30</v>
      </c>
      <c r="B262">
        <v>2013</v>
      </c>
      <c r="C262" t="s">
        <v>37</v>
      </c>
      <c r="D262" t="s">
        <v>20</v>
      </c>
      <c r="E262" t="e">
        <f>VLOOKUP(Cpi_[[#This Row],[Attribute]],#REF!,2,FALSE)</f>
        <v>#REF!</v>
      </c>
      <c r="F262" t="s">
        <v>32</v>
      </c>
      <c r="G262" t="e">
        <f>(Cpi_[[#This Row],[Value]]-F261)/F261</f>
        <v>#VALUE!</v>
      </c>
      <c r="H262" t="e" cm="1" vm="1">
        <f t="array" aca="1" ref="H262" ca="1">VLOOKUP(Cpi_[[#This Row],[Year]:[Month]],crudeoil[],3,FALSE)</f>
        <v>#VALUE!</v>
      </c>
    </row>
    <row r="263" spans="1:8" hidden="1" x14ac:dyDescent="0.3">
      <c r="A263" t="s">
        <v>30</v>
      </c>
      <c r="B263">
        <v>2013</v>
      </c>
      <c r="C263" t="s">
        <v>37</v>
      </c>
      <c r="D263" t="s">
        <v>21</v>
      </c>
      <c r="E263" t="e">
        <f>VLOOKUP(Cpi_[[#This Row],[Attribute]],#REF!,2,FALSE)</f>
        <v>#REF!</v>
      </c>
      <c r="F263">
        <v>106.5</v>
      </c>
      <c r="G263" t="e">
        <f>(Cpi_[[#This Row],[Value]]-F262)/F262</f>
        <v>#VALUE!</v>
      </c>
      <c r="H263" t="e" cm="1" vm="1">
        <f t="array" aca="1" ref="H263" ca="1">VLOOKUP(Cpi_[[#This Row],[Year]:[Month]],crudeoil[],3,FALSE)</f>
        <v>#VALUE!</v>
      </c>
    </row>
    <row r="264" spans="1:8" hidden="1" x14ac:dyDescent="0.3">
      <c r="A264" t="s">
        <v>30</v>
      </c>
      <c r="B264">
        <v>2013</v>
      </c>
      <c r="C264" t="s">
        <v>37</v>
      </c>
      <c r="D264" t="s">
        <v>22</v>
      </c>
      <c r="E264" t="e">
        <f>VLOOKUP(Cpi_[[#This Row],[Attribute]],#REF!,2,FALSE)</f>
        <v>#REF!</v>
      </c>
      <c r="F264">
        <v>106.1</v>
      </c>
      <c r="G264">
        <f>(Cpi_[[#This Row],[Value]]-F263)/F263</f>
        <v>-3.7558685446009922E-3</v>
      </c>
      <c r="H264" t="e" cm="1" vm="1">
        <f t="array" aca="1" ref="H264" ca="1">VLOOKUP(Cpi_[[#This Row],[Year]:[Month]],crudeoil[],3,FALSE)</f>
        <v>#VALUE!</v>
      </c>
    </row>
    <row r="265" spans="1:8" hidden="1" x14ac:dyDescent="0.3">
      <c r="A265" t="s">
        <v>30</v>
      </c>
      <c r="B265">
        <v>2013</v>
      </c>
      <c r="C265" t="s">
        <v>37</v>
      </c>
      <c r="D265" t="s">
        <v>23</v>
      </c>
      <c r="E265" t="e">
        <f>VLOOKUP(Cpi_[[#This Row],[Attribute]],#REF!,2,FALSE)</f>
        <v>#REF!</v>
      </c>
      <c r="F265">
        <v>105.1</v>
      </c>
      <c r="G265">
        <f>(Cpi_[[#This Row],[Value]]-F264)/F264</f>
        <v>-9.4250706880301613E-3</v>
      </c>
      <c r="H265" t="e" cm="1" vm="1">
        <f t="array" aca="1" ref="H265" ca="1">VLOOKUP(Cpi_[[#This Row],[Year]:[Month]],crudeoil[],3,FALSE)</f>
        <v>#VALUE!</v>
      </c>
    </row>
    <row r="266" spans="1:8" hidden="1" x14ac:dyDescent="0.3">
      <c r="A266" t="s">
        <v>30</v>
      </c>
      <c r="B266">
        <v>2013</v>
      </c>
      <c r="C266" t="s">
        <v>37</v>
      </c>
      <c r="D266" t="s">
        <v>24</v>
      </c>
      <c r="E266" t="e">
        <f>VLOOKUP(Cpi_[[#This Row],[Attribute]],#REF!,2,FALSE)</f>
        <v>#REF!</v>
      </c>
      <c r="F266">
        <v>104.4</v>
      </c>
      <c r="G266">
        <f>(Cpi_[[#This Row],[Value]]-F265)/F265</f>
        <v>-6.6603235014271039E-3</v>
      </c>
      <c r="H266" t="e" cm="1" vm="1">
        <f t="array" aca="1" ref="H266" ca="1">VLOOKUP(Cpi_[[#This Row],[Year]:[Month]],crudeoil[],3,FALSE)</f>
        <v>#VALUE!</v>
      </c>
    </row>
    <row r="267" spans="1:8" hidden="1" x14ac:dyDescent="0.3">
      <c r="A267" t="s">
        <v>30</v>
      </c>
      <c r="B267">
        <v>2013</v>
      </c>
      <c r="C267" t="s">
        <v>37</v>
      </c>
      <c r="D267" t="s">
        <v>25</v>
      </c>
      <c r="E267" t="e">
        <f>VLOOKUP(Cpi_[[#This Row],[Attribute]],#REF!,2,FALSE)</f>
        <v>#REF!</v>
      </c>
      <c r="F267">
        <v>104.5</v>
      </c>
      <c r="G267">
        <f>(Cpi_[[#This Row],[Value]]-F266)/F266</f>
        <v>9.5785440613021372E-4</v>
      </c>
      <c r="H267" t="e" cm="1" vm="1">
        <f t="array" aca="1" ref="H267" ca="1">VLOOKUP(Cpi_[[#This Row],[Year]:[Month]],crudeoil[],3,FALSE)</f>
        <v>#VALUE!</v>
      </c>
    </row>
    <row r="268" spans="1:8" hidden="1" x14ac:dyDescent="0.3">
      <c r="A268" t="s">
        <v>30</v>
      </c>
      <c r="B268">
        <v>2013</v>
      </c>
      <c r="C268" t="s">
        <v>37</v>
      </c>
      <c r="D268" t="s">
        <v>26</v>
      </c>
      <c r="E268" t="e">
        <f>VLOOKUP(Cpi_[[#This Row],[Attribute]],#REF!,2,FALSE)</f>
        <v>#REF!</v>
      </c>
      <c r="F268">
        <v>104.8</v>
      </c>
      <c r="G268">
        <f>(Cpi_[[#This Row],[Value]]-F267)/F267</f>
        <v>2.8708133971291593E-3</v>
      </c>
      <c r="H268" t="e" cm="1" vm="1">
        <f t="array" aca="1" ref="H268" ca="1">VLOOKUP(Cpi_[[#This Row],[Year]:[Month]],crudeoil[],3,FALSE)</f>
        <v>#VALUE!</v>
      </c>
    </row>
    <row r="269" spans="1:8" hidden="1" x14ac:dyDescent="0.3">
      <c r="A269" t="s">
        <v>30</v>
      </c>
      <c r="B269">
        <v>2013</v>
      </c>
      <c r="C269" t="s">
        <v>37</v>
      </c>
      <c r="D269" t="s">
        <v>27</v>
      </c>
      <c r="E269" t="e">
        <f>VLOOKUP(Cpi_[[#This Row],[Attribute]],#REF!,2,FALSE)</f>
        <v>#REF!</v>
      </c>
      <c r="F269">
        <v>102.7</v>
      </c>
      <c r="G269">
        <f>(Cpi_[[#This Row],[Value]]-F268)/F268</f>
        <v>-2.0038167938931244E-2</v>
      </c>
      <c r="H269" t="e" cm="1" vm="1">
        <f t="array" aca="1" ref="H269" ca="1">VLOOKUP(Cpi_[[#This Row],[Year]:[Month]],crudeoil[],3,FALSE)</f>
        <v>#VALUE!</v>
      </c>
    </row>
    <row r="270" spans="1:8" hidden="1" x14ac:dyDescent="0.3">
      <c r="A270" t="s">
        <v>30</v>
      </c>
      <c r="B270">
        <v>2013</v>
      </c>
      <c r="C270" t="s">
        <v>37</v>
      </c>
      <c r="D270" t="s">
        <v>28</v>
      </c>
      <c r="E270" t="e">
        <f>VLOOKUP(Cpi_[[#This Row],[Attribute]],#REF!,2,FALSE)</f>
        <v>#REF!</v>
      </c>
      <c r="F270">
        <v>104.6</v>
      </c>
      <c r="G270">
        <f>(Cpi_[[#This Row],[Value]]-F269)/F269</f>
        <v>1.8500486854917151E-2</v>
      </c>
      <c r="H270" t="e" cm="1" vm="1">
        <f t="array" aca="1" ref="H270" ca="1">VLOOKUP(Cpi_[[#This Row],[Year]:[Month]],crudeoil[],3,FALSE)</f>
        <v>#VALUE!</v>
      </c>
    </row>
    <row r="271" spans="1:8" hidden="1" x14ac:dyDescent="0.3">
      <c r="A271" t="s">
        <v>30</v>
      </c>
      <c r="B271">
        <v>2013</v>
      </c>
      <c r="C271" t="s">
        <v>37</v>
      </c>
      <c r="D271" t="s">
        <v>29</v>
      </c>
      <c r="E271" t="e" cm="1">
        <f t="array" aca="1" ref="E271" ca="1">VLGeneral indexGeneral indexKUP(Cpi_[[#This Row],[Attribute]],#REF!,2,FALSE)</f>
        <v>#NAME?</v>
      </c>
      <c r="F271">
        <v>106.4</v>
      </c>
      <c r="G271">
        <f>(Cpi_[[#This Row],[Value]]-F270)/F270</f>
        <v>1.7208413001912157E-2</v>
      </c>
      <c r="H271" t="e" cm="1" vm="1">
        <f t="array" aca="1" ref="H271" ca="1">VLOOKUP(Cpi_[[#This Row],[Year]:[Month]],crudeoil[],3,FALSE)</f>
        <v>#VALUE!</v>
      </c>
    </row>
    <row r="272" spans="1:8" hidden="1" x14ac:dyDescent="0.3">
      <c r="A272" t="s">
        <v>33</v>
      </c>
      <c r="B272">
        <v>2013</v>
      </c>
      <c r="C272" t="s">
        <v>37</v>
      </c>
      <c r="D272" t="s">
        <v>3</v>
      </c>
      <c r="E272" t="e">
        <f>VLOOKUP(Cpi_[[#This Row],[Attribute]],#REF!,2,FALSE)</f>
        <v>#REF!</v>
      </c>
      <c r="F272">
        <v>114.6</v>
      </c>
      <c r="G272">
        <f>(Cpi_[[#This Row],[Value]]-F271)/F271</f>
        <v>7.7067669172932216E-2</v>
      </c>
      <c r="H272" t="e" cm="1" vm="1">
        <f t="array" aca="1" ref="H272" ca="1">VLOOKUP(Cpi_[[#This Row],[Year]:[Month]],crudeoil[],3,FALSE)</f>
        <v>#VALUE!</v>
      </c>
    </row>
    <row r="273" spans="1:8" hidden="1" x14ac:dyDescent="0.3">
      <c r="A273" t="s">
        <v>33</v>
      </c>
      <c r="B273">
        <v>2013</v>
      </c>
      <c r="C273" t="s">
        <v>37</v>
      </c>
      <c r="D273" t="s">
        <v>4</v>
      </c>
      <c r="E273" t="e">
        <f>VLOOKUP(Cpi_[[#This Row],[Attribute]],#REF!,2,FALSE)</f>
        <v>#REF!</v>
      </c>
      <c r="F273">
        <v>113.4</v>
      </c>
      <c r="G273">
        <f>(Cpi_[[#This Row],[Value]]-F272)/F272</f>
        <v>-1.0471204188481577E-2</v>
      </c>
      <c r="H273" t="e" cm="1" vm="1">
        <f t="array" aca="1" ref="H273" ca="1">VLOOKUP(Cpi_[[#This Row],[Year]:[Month]],crudeoil[],3,FALSE)</f>
        <v>#VALUE!</v>
      </c>
    </row>
    <row r="274" spans="1:8" hidden="1" x14ac:dyDescent="0.3">
      <c r="A274" t="s">
        <v>33</v>
      </c>
      <c r="B274">
        <v>2013</v>
      </c>
      <c r="C274" t="s">
        <v>37</v>
      </c>
      <c r="D274" t="s">
        <v>5</v>
      </c>
      <c r="E274" t="e">
        <f>VLOOKUP(Cpi_[[#This Row],[Attribute]],#REF!,2,FALSE)</f>
        <v>#REF!</v>
      </c>
      <c r="F274">
        <v>106</v>
      </c>
      <c r="G274">
        <f>(Cpi_[[#This Row],[Value]]-F273)/F273</f>
        <v>-6.5255731922398641E-2</v>
      </c>
      <c r="H274" t="e" cm="1" vm="1">
        <f t="array" aca="1" ref="H274" ca="1">VLOOKUP(Cpi_[[#This Row],[Year]:[Month]],crudeoil[],3,FALSE)</f>
        <v>#VALUE!</v>
      </c>
    </row>
    <row r="275" spans="1:8" hidden="1" x14ac:dyDescent="0.3">
      <c r="A275" t="s">
        <v>33</v>
      </c>
      <c r="B275">
        <v>2013</v>
      </c>
      <c r="C275" t="s">
        <v>37</v>
      </c>
      <c r="D275" t="s">
        <v>6</v>
      </c>
      <c r="E275" t="e">
        <f>VLOOKUP(Cpi_[[#This Row],[Attribute]],#REF!,2,FALSE)</f>
        <v>#REF!</v>
      </c>
      <c r="F275">
        <v>104.7</v>
      </c>
      <c r="G275">
        <f>(Cpi_[[#This Row],[Value]]-F274)/F274</f>
        <v>-1.2264150943396199E-2</v>
      </c>
      <c r="H275" t="e" cm="1" vm="1">
        <f t="array" aca="1" ref="H275" ca="1">VLOOKUP(Cpi_[[#This Row],[Year]:[Month]],crudeoil[],3,FALSE)</f>
        <v>#VALUE!</v>
      </c>
    </row>
    <row r="276" spans="1:8" hidden="1" x14ac:dyDescent="0.3">
      <c r="A276" t="s">
        <v>33</v>
      </c>
      <c r="B276">
        <v>2013</v>
      </c>
      <c r="C276" t="s">
        <v>37</v>
      </c>
      <c r="D276" t="s">
        <v>7</v>
      </c>
      <c r="E276" t="e">
        <f>VLOOKUP(Cpi_[[#This Row],[Attribute]],#REF!,2,FALSE)</f>
        <v>#REF!</v>
      </c>
      <c r="F276">
        <v>102.1</v>
      </c>
      <c r="G276">
        <f>(Cpi_[[#This Row],[Value]]-F275)/F275</f>
        <v>-2.4832855778414598E-2</v>
      </c>
      <c r="H276" t="e" cm="1" vm="1">
        <f t="array" aca="1" ref="H276" ca="1">VLOOKUP(Cpi_[[#This Row],[Year]:[Month]],crudeoil[],3,FALSE)</f>
        <v>#VALUE!</v>
      </c>
    </row>
    <row r="277" spans="1:8" hidden="1" x14ac:dyDescent="0.3">
      <c r="A277" t="s">
        <v>33</v>
      </c>
      <c r="B277">
        <v>2013</v>
      </c>
      <c r="C277" t="s">
        <v>37</v>
      </c>
      <c r="D277" t="s">
        <v>8</v>
      </c>
      <c r="E277" t="e">
        <f>VLOOKUP(Cpi_[[#This Row],[Attribute]],#REF!,2,FALSE)</f>
        <v>#REF!</v>
      </c>
      <c r="F277">
        <v>109.5</v>
      </c>
      <c r="G277">
        <f>(Cpi_[[#This Row],[Value]]-F276)/F276</f>
        <v>7.2477962781586733E-2</v>
      </c>
      <c r="H277" t="e" cm="1" vm="1">
        <f t="array" aca="1" ref="H277" ca="1">VLOOKUP(Cpi_[[#This Row],[Year]:[Month]],crudeoil[],3,FALSE)</f>
        <v>#VALUE!</v>
      </c>
    </row>
    <row r="278" spans="1:8" hidden="1" x14ac:dyDescent="0.3">
      <c r="A278" t="s">
        <v>33</v>
      </c>
      <c r="B278">
        <v>2013</v>
      </c>
      <c r="C278" t="s">
        <v>37</v>
      </c>
      <c r="D278" t="s">
        <v>9</v>
      </c>
      <c r="E278" t="e">
        <f>VLOOKUP(Cpi_[[#This Row],[Attribute]],#REF!,2,FALSE)</f>
        <v>#REF!</v>
      </c>
      <c r="F278">
        <v>109.7</v>
      </c>
      <c r="G278">
        <f>(Cpi_[[#This Row],[Value]]-F277)/F277</f>
        <v>1.8264840182648661E-3</v>
      </c>
      <c r="H278" t="e" cm="1" vm="1">
        <f t="array" aca="1" ref="H278" ca="1">VLOOKUP(Cpi_[[#This Row],[Year]:[Month]],crudeoil[],3,FALSE)</f>
        <v>#VALUE!</v>
      </c>
    </row>
    <row r="279" spans="1:8" hidden="1" x14ac:dyDescent="0.3">
      <c r="A279" t="s">
        <v>33</v>
      </c>
      <c r="B279">
        <v>2013</v>
      </c>
      <c r="C279" t="s">
        <v>37</v>
      </c>
      <c r="D279" t="s">
        <v>10</v>
      </c>
      <c r="E279" t="e">
        <f>VLOOKUP(Cpi_[[#This Row],[Attribute]],#REF!,2,FALSE)</f>
        <v>#REF!</v>
      </c>
      <c r="F279">
        <v>104.6</v>
      </c>
      <c r="G279">
        <f>(Cpi_[[#This Row],[Value]]-F278)/F278</f>
        <v>-4.6490428441203359E-2</v>
      </c>
      <c r="H279" t="e" cm="1" vm="1">
        <f t="array" aca="1" ref="H279" ca="1">VLOOKUP(Cpi_[[#This Row],[Year]:[Month]],crudeoil[],3,FALSE)</f>
        <v>#VALUE!</v>
      </c>
    </row>
    <row r="280" spans="1:8" hidden="1" x14ac:dyDescent="0.3">
      <c r="A280" t="s">
        <v>33</v>
      </c>
      <c r="B280">
        <v>2013</v>
      </c>
      <c r="C280" t="s">
        <v>37</v>
      </c>
      <c r="D280" t="s">
        <v>11</v>
      </c>
      <c r="E280" t="e">
        <f>VLOOKUP(Cpi_[[#This Row],[Attribute]],#REF!,2,FALSE)</f>
        <v>#REF!</v>
      </c>
      <c r="F280">
        <v>102</v>
      </c>
      <c r="G280">
        <f>(Cpi_[[#This Row],[Value]]-F279)/F279</f>
        <v>-2.4856596558317345E-2</v>
      </c>
      <c r="H280" t="e" cm="1" vm="1">
        <f t="array" aca="1" ref="H280" ca="1">VLOOKUP(Cpi_[[#This Row],[Year]:[Month]],crudeoil[],3,FALSE)</f>
        <v>#VALUE!</v>
      </c>
    </row>
    <row r="281" spans="1:8" hidden="1" x14ac:dyDescent="0.3">
      <c r="A281" t="s">
        <v>33</v>
      </c>
      <c r="B281">
        <v>2013</v>
      </c>
      <c r="C281" t="s">
        <v>37</v>
      </c>
      <c r="D281" t="s">
        <v>12</v>
      </c>
      <c r="E281" t="e">
        <f>VLOOKUP(Cpi_[[#This Row],[Attribute]],#REF!,2,FALSE)</f>
        <v>#REF!</v>
      </c>
      <c r="F281">
        <v>103.5</v>
      </c>
      <c r="G281">
        <f>(Cpi_[[#This Row],[Value]]-F280)/F280</f>
        <v>1.4705882352941176E-2</v>
      </c>
      <c r="H281" t="e" cm="1" vm="1">
        <f t="array" aca="1" ref="H281" ca="1">VLOOKUP(Cpi_[[#This Row],[Year]:[Month]],crudeoil[],3,FALSE)</f>
        <v>#VALUE!</v>
      </c>
    </row>
    <row r="282" spans="1:8" hidden="1" x14ac:dyDescent="0.3">
      <c r="A282" t="s">
        <v>33</v>
      </c>
      <c r="B282">
        <v>2013</v>
      </c>
      <c r="C282" t="s">
        <v>37</v>
      </c>
      <c r="D282" t="s">
        <v>13</v>
      </c>
      <c r="E282" t="e">
        <f>VLOOKUP(Cpi_[[#This Row],[Attribute]],#REF!,2,FALSE)</f>
        <v>#REF!</v>
      </c>
      <c r="F282">
        <v>108.2</v>
      </c>
      <c r="G282">
        <f>(Cpi_[[#This Row],[Value]]-F281)/F281</f>
        <v>4.5410628019323697E-2</v>
      </c>
      <c r="H282" t="e" cm="1" vm="1">
        <f t="array" aca="1" ref="H282" ca="1">VLOOKUP(Cpi_[[#This Row],[Year]:[Month]],crudeoil[],3,FALSE)</f>
        <v>#VALUE!</v>
      </c>
    </row>
    <row r="283" spans="1:8" hidden="1" x14ac:dyDescent="0.3">
      <c r="A283" t="s">
        <v>33</v>
      </c>
      <c r="B283">
        <v>2013</v>
      </c>
      <c r="C283" t="s">
        <v>37</v>
      </c>
      <c r="D283" t="s">
        <v>14</v>
      </c>
      <c r="E283" t="e">
        <f>VLOOKUP(Cpi_[[#This Row],[Attribute]],#REF!,2,FALSE)</f>
        <v>#REF!</v>
      </c>
      <c r="F283">
        <v>110.6</v>
      </c>
      <c r="G283">
        <f>(Cpi_[[#This Row],[Value]]-F282)/F282</f>
        <v>2.2181146025877924E-2</v>
      </c>
      <c r="H283" t="e" cm="1" vm="1">
        <f t="array" aca="1" ref="H283" ca="1">VLOOKUP(Cpi_[[#This Row],[Year]:[Month]],crudeoil[],3,FALSE)</f>
        <v>#VALUE!</v>
      </c>
    </row>
    <row r="284" spans="1:8" hidden="1" x14ac:dyDescent="0.3">
      <c r="A284" t="s">
        <v>33</v>
      </c>
      <c r="B284">
        <v>2013</v>
      </c>
      <c r="C284" t="s">
        <v>37</v>
      </c>
      <c r="D284" t="s">
        <v>15</v>
      </c>
      <c r="E284" t="e">
        <f>VLOOKUP(Cpi_[[#This Row],[Attribute]],#REF!,2,FALSE)</f>
        <v>#REF!</v>
      </c>
      <c r="F284">
        <v>108.8</v>
      </c>
      <c r="G284">
        <f>(Cpi_[[#This Row],[Value]]-F283)/F283</f>
        <v>-1.6274864376130176E-2</v>
      </c>
      <c r="H284" t="e" cm="1" vm="1">
        <f t="array" aca="1" ref="H284" ca="1">VLOOKUP(Cpi_[[#This Row],[Year]:[Month]],crudeoil[],3,FALSE)</f>
        <v>#VALUE!</v>
      </c>
    </row>
    <row r="285" spans="1:8" hidden="1" x14ac:dyDescent="0.3">
      <c r="A285" t="s">
        <v>33</v>
      </c>
      <c r="B285">
        <v>2013</v>
      </c>
      <c r="C285" t="s">
        <v>37</v>
      </c>
      <c r="D285" t="s">
        <v>16</v>
      </c>
      <c r="E285" t="e">
        <f>VLOOKUP(Cpi_[[#This Row],[Attribute]],#REF!,2,FALSE)</f>
        <v>#REF!</v>
      </c>
      <c r="F285">
        <v>108.5</v>
      </c>
      <c r="G285">
        <f>(Cpi_[[#This Row],[Value]]-F284)/F284</f>
        <v>-2.7573529411764447E-3</v>
      </c>
      <c r="H285" t="e" cm="1" vm="1">
        <f t="array" aca="1" ref="H285" ca="1">VLOOKUP(Cpi_[[#This Row],[Year]:[Month]],crudeoil[],3,FALSE)</f>
        <v>#VALUE!</v>
      </c>
    </row>
    <row r="286" spans="1:8" hidden="1" x14ac:dyDescent="0.3">
      <c r="A286" t="s">
        <v>33</v>
      </c>
      <c r="B286">
        <v>2013</v>
      </c>
      <c r="C286" t="s">
        <v>37</v>
      </c>
      <c r="D286" t="s">
        <v>17</v>
      </c>
      <c r="E286" t="e">
        <f>VLOOKUP(Cpi_[[#This Row],[Attribute]],#REF!,2,FALSE)</f>
        <v>#REF!</v>
      </c>
      <c r="F286">
        <v>107.9</v>
      </c>
      <c r="G286">
        <f>(Cpi_[[#This Row],[Value]]-F285)/F285</f>
        <v>-5.5299539170506392E-3</v>
      </c>
      <c r="H286" t="e" cm="1" vm="1">
        <f t="array" aca="1" ref="H286" ca="1">VLOOKUP(Cpi_[[#This Row],[Year]:[Month]],crudeoil[],3,FALSE)</f>
        <v>#VALUE!</v>
      </c>
    </row>
    <row r="287" spans="1:8" hidden="1" x14ac:dyDescent="0.3">
      <c r="A287" t="s">
        <v>33</v>
      </c>
      <c r="B287">
        <v>2013</v>
      </c>
      <c r="C287" t="s">
        <v>37</v>
      </c>
      <c r="D287" t="s">
        <v>18</v>
      </c>
      <c r="E287" t="e">
        <f>VLOOKUP(Cpi_[[#This Row],[Attribute]],#REF!,2,FALSE)</f>
        <v>#REF!</v>
      </c>
      <c r="F287">
        <v>106.4</v>
      </c>
      <c r="G287">
        <f>(Cpi_[[#This Row],[Value]]-F286)/F286</f>
        <v>-1.3901760889712697E-2</v>
      </c>
      <c r="H287" t="e" cm="1" vm="1">
        <f t="array" aca="1" ref="H287" ca="1">VLOOKUP(Cpi_[[#This Row],[Year]:[Month]],crudeoil[],3,FALSE)</f>
        <v>#VALUE!</v>
      </c>
    </row>
    <row r="288" spans="1:8" hidden="1" x14ac:dyDescent="0.3">
      <c r="A288" t="s">
        <v>33</v>
      </c>
      <c r="B288">
        <v>2013</v>
      </c>
      <c r="C288" t="s">
        <v>37</v>
      </c>
      <c r="D288" t="s">
        <v>19</v>
      </c>
      <c r="E288" t="e">
        <f>VLOOKUP(Cpi_[[#This Row],[Attribute]],#REF!,2,FALSE)</f>
        <v>#REF!</v>
      </c>
      <c r="F288">
        <v>107.7</v>
      </c>
      <c r="G288">
        <f>(Cpi_[[#This Row],[Value]]-F287)/F287</f>
        <v>1.2218045112781928E-2</v>
      </c>
      <c r="H288" t="e" cm="1" vm="1">
        <f t="array" aca="1" ref="H288" ca="1">VLOOKUP(Cpi_[[#This Row],[Year]:[Month]],crudeoil[],3,FALSE)</f>
        <v>#VALUE!</v>
      </c>
    </row>
    <row r="289" spans="1:8" hidden="1" x14ac:dyDescent="0.3">
      <c r="A289" t="s">
        <v>33</v>
      </c>
      <c r="B289">
        <v>2013</v>
      </c>
      <c r="C289" t="s">
        <v>37</v>
      </c>
      <c r="D289" t="s">
        <v>20</v>
      </c>
      <c r="E289" t="e">
        <f>VLOOKUP(Cpi_[[#This Row],[Attribute]],#REF!,2,FALSE)</f>
        <v>#REF!</v>
      </c>
      <c r="F289">
        <v>100.5</v>
      </c>
      <c r="G289">
        <f>(Cpi_[[#This Row],[Value]]-F288)/F288</f>
        <v>-6.6852367688022316E-2</v>
      </c>
      <c r="H289" t="e" cm="1" vm="1">
        <f t="array" aca="1" ref="H289" ca="1">VLOOKUP(Cpi_[[#This Row],[Year]:[Month]],crudeoil[],3,FALSE)</f>
        <v>#VALUE!</v>
      </c>
    </row>
    <row r="290" spans="1:8" hidden="1" x14ac:dyDescent="0.3">
      <c r="A290" t="s">
        <v>33</v>
      </c>
      <c r="B290">
        <v>2013</v>
      </c>
      <c r="C290" t="s">
        <v>37</v>
      </c>
      <c r="D290" t="s">
        <v>21</v>
      </c>
      <c r="E290" t="e">
        <f>VLOOKUP(Cpi_[[#This Row],[Attribute]],#REF!,2,FALSE)</f>
        <v>#REF!</v>
      </c>
      <c r="F290">
        <v>106.4</v>
      </c>
      <c r="G290">
        <f>(Cpi_[[#This Row],[Value]]-F289)/F289</f>
        <v>5.8706467661691596E-2</v>
      </c>
      <c r="H290" t="e" cm="1" vm="1">
        <f t="array" aca="1" ref="H290" ca="1">VLOOKUP(Cpi_[[#This Row],[Year]:[Month]],crudeoil[],3,FALSE)</f>
        <v>#VALUE!</v>
      </c>
    </row>
    <row r="291" spans="1:8" hidden="1" x14ac:dyDescent="0.3">
      <c r="A291" t="s">
        <v>33</v>
      </c>
      <c r="B291">
        <v>2013</v>
      </c>
      <c r="C291" t="s">
        <v>37</v>
      </c>
      <c r="D291" t="s">
        <v>22</v>
      </c>
      <c r="E291" t="e">
        <f>VLOOKUP(Cpi_[[#This Row],[Attribute]],#REF!,2,FALSE)</f>
        <v>#REF!</v>
      </c>
      <c r="F291">
        <v>106.5</v>
      </c>
      <c r="G291">
        <f>(Cpi_[[#This Row],[Value]]-F290)/F290</f>
        <v>9.3984962406009687E-4</v>
      </c>
      <c r="H291" t="e" cm="1" vm="1">
        <f t="array" aca="1" ref="H291" ca="1">VLOOKUP(Cpi_[[#This Row],[Year]:[Month]],crudeoil[],3,FALSE)</f>
        <v>#VALUE!</v>
      </c>
    </row>
    <row r="292" spans="1:8" hidden="1" x14ac:dyDescent="0.3">
      <c r="A292" t="s">
        <v>33</v>
      </c>
      <c r="B292">
        <v>2013</v>
      </c>
      <c r="C292" t="s">
        <v>37</v>
      </c>
      <c r="D292" t="s">
        <v>23</v>
      </c>
      <c r="E292" t="e">
        <f>VLOOKUP(Cpi_[[#This Row],[Attribute]],#REF!,2,FALSE)</f>
        <v>#REF!</v>
      </c>
      <c r="F292">
        <v>105.7</v>
      </c>
      <c r="G292">
        <f>(Cpi_[[#This Row],[Value]]-F291)/F291</f>
        <v>-7.5117370892018509E-3</v>
      </c>
      <c r="H292" t="e" cm="1" vm="1">
        <f t="array" aca="1" ref="H292" ca="1">VLOOKUP(Cpi_[[#This Row],[Year]:[Month]],crudeoil[],3,FALSE)</f>
        <v>#VALUE!</v>
      </c>
    </row>
    <row r="293" spans="1:8" hidden="1" x14ac:dyDescent="0.3">
      <c r="A293" t="s">
        <v>33</v>
      </c>
      <c r="B293">
        <v>2013</v>
      </c>
      <c r="C293" t="s">
        <v>37</v>
      </c>
      <c r="D293" t="s">
        <v>24</v>
      </c>
      <c r="E293" t="e">
        <f>VLOOKUP(Cpi_[[#This Row],[Attribute]],#REF!,2,FALSE)</f>
        <v>#REF!</v>
      </c>
      <c r="F293">
        <v>105</v>
      </c>
      <c r="G293">
        <f>(Cpi_[[#This Row],[Value]]-F292)/F292</f>
        <v>-6.6225165562914176E-3</v>
      </c>
      <c r="H293" t="e" cm="1" vm="1">
        <f t="array" aca="1" ref="H293" ca="1">VLOOKUP(Cpi_[[#This Row],[Year]:[Month]],crudeoil[],3,FALSE)</f>
        <v>#VALUE!</v>
      </c>
    </row>
    <row r="294" spans="1:8" hidden="1" x14ac:dyDescent="0.3">
      <c r="A294" t="s">
        <v>33</v>
      </c>
      <c r="B294">
        <v>2013</v>
      </c>
      <c r="C294" t="s">
        <v>37</v>
      </c>
      <c r="D294" t="s">
        <v>25</v>
      </c>
      <c r="E294" t="e">
        <f>VLOOKUP(Cpi_[[#This Row],[Attribute]],#REF!,2,FALSE)</f>
        <v>#REF!</v>
      </c>
      <c r="F294">
        <v>104</v>
      </c>
      <c r="G294">
        <f>(Cpi_[[#This Row],[Value]]-F293)/F293</f>
        <v>-9.5238095238095247E-3</v>
      </c>
      <c r="H294" t="e" cm="1" vm="1">
        <f t="array" aca="1" ref="H294" ca="1">VLOOKUP(Cpi_[[#This Row],[Year]:[Month]],crudeoil[],3,FALSE)</f>
        <v>#VALUE!</v>
      </c>
    </row>
    <row r="295" spans="1:8" hidden="1" x14ac:dyDescent="0.3">
      <c r="A295" t="s">
        <v>33</v>
      </c>
      <c r="B295">
        <v>2013</v>
      </c>
      <c r="C295" t="s">
        <v>37</v>
      </c>
      <c r="D295" t="s">
        <v>26</v>
      </c>
      <c r="E295" t="e">
        <f>VLOOKUP(Cpi_[[#This Row],[Attribute]],#REF!,2,FALSE)</f>
        <v>#REF!</v>
      </c>
      <c r="F295">
        <v>105.2</v>
      </c>
      <c r="G295">
        <f>(Cpi_[[#This Row],[Value]]-F294)/F294</f>
        <v>1.1538461538461565E-2</v>
      </c>
      <c r="H295" t="e" cm="1" vm="1">
        <f t="array" aca="1" ref="H295" ca="1">VLOOKUP(Cpi_[[#This Row],[Year]:[Month]],crudeoil[],3,FALSE)</f>
        <v>#VALUE!</v>
      </c>
    </row>
    <row r="296" spans="1:8" hidden="1" x14ac:dyDescent="0.3">
      <c r="A296" t="s">
        <v>33</v>
      </c>
      <c r="B296">
        <v>2013</v>
      </c>
      <c r="C296" t="s">
        <v>37</v>
      </c>
      <c r="D296" t="s">
        <v>27</v>
      </c>
      <c r="E296" t="e">
        <f>VLOOKUP(Cpi_[[#This Row],[Attribute]],#REF!,2,FALSE)</f>
        <v>#REF!</v>
      </c>
      <c r="F296">
        <v>103.2</v>
      </c>
      <c r="G296">
        <f>(Cpi_[[#This Row],[Value]]-F295)/F295</f>
        <v>-1.9011406844106463E-2</v>
      </c>
      <c r="H296" t="e" cm="1" vm="1">
        <f t="array" aca="1" ref="H296" ca="1">VLOOKUP(Cpi_[[#This Row],[Year]:[Month]],crudeoil[],3,FALSE)</f>
        <v>#VALUE!</v>
      </c>
    </row>
    <row r="297" spans="1:8" hidden="1" x14ac:dyDescent="0.3">
      <c r="A297" t="s">
        <v>33</v>
      </c>
      <c r="B297">
        <v>2013</v>
      </c>
      <c r="C297" t="s">
        <v>37</v>
      </c>
      <c r="D297" t="s">
        <v>28</v>
      </c>
      <c r="E297" t="e">
        <f>VLOOKUP(Cpi_[[#This Row],[Attribute]],#REF!,2,FALSE)</f>
        <v>#REF!</v>
      </c>
      <c r="F297">
        <v>105.1</v>
      </c>
      <c r="G297">
        <f>(Cpi_[[#This Row],[Value]]-F296)/F296</f>
        <v>1.8410852713178213E-2</v>
      </c>
      <c r="H297" t="e" cm="1" vm="1">
        <f t="array" aca="1" ref="H297" ca="1">VLOOKUP(Cpi_[[#This Row],[Year]:[Month]],crudeoil[],3,FALSE)</f>
        <v>#VALUE!</v>
      </c>
    </row>
    <row r="298" spans="1:8" hidden="1" x14ac:dyDescent="0.3">
      <c r="A298" t="s">
        <v>33</v>
      </c>
      <c r="B298">
        <v>2013</v>
      </c>
      <c r="C298" t="s">
        <v>37</v>
      </c>
      <c r="D298" t="s">
        <v>29</v>
      </c>
      <c r="E298" t="e" cm="1">
        <f t="array" aca="1" ref="E298" ca="1">VLGeneral indexGeneral indexKUP(Cpi_[[#This Row],[Attribute]],#REF!,2,FALSE)</f>
        <v>#NAME?</v>
      </c>
      <c r="F298">
        <v>105.7</v>
      </c>
      <c r="G298">
        <f>(Cpi_[[#This Row],[Value]]-F297)/F297</f>
        <v>5.7088487155091206E-3</v>
      </c>
      <c r="H298" t="e" cm="1" vm="1">
        <f t="array" aca="1" ref="H298" ca="1">VLOOKUP(Cpi_[[#This Row],[Year]:[Month]],crudeoil[],3,FALSE)</f>
        <v>#VALUE!</v>
      </c>
    </row>
    <row r="299" spans="1:8" hidden="1" x14ac:dyDescent="0.3">
      <c r="A299" t="s">
        <v>34</v>
      </c>
      <c r="B299">
        <v>2013</v>
      </c>
      <c r="C299" t="s">
        <v>37</v>
      </c>
      <c r="D299" t="s">
        <v>3</v>
      </c>
      <c r="E299" t="e">
        <f>VLOOKUP(Cpi_[[#This Row],[Attribute]],#REF!,2,FALSE)</f>
        <v>#REF!</v>
      </c>
      <c r="F299">
        <v>111.6</v>
      </c>
      <c r="G299">
        <f>(Cpi_[[#This Row],[Value]]-F298)/F298</f>
        <v>5.5818353831598784E-2</v>
      </c>
      <c r="H299" t="e" cm="1" vm="1">
        <f t="array" aca="1" ref="H299" ca="1">VLOOKUP(Cpi_[[#This Row],[Year]:[Month]],crudeoil[],3,FALSE)</f>
        <v>#VALUE!</v>
      </c>
    </row>
    <row r="300" spans="1:8" hidden="1" x14ac:dyDescent="0.3">
      <c r="A300" t="s">
        <v>34</v>
      </c>
      <c r="B300">
        <v>2013</v>
      </c>
      <c r="C300" t="s">
        <v>37</v>
      </c>
      <c r="D300" t="s">
        <v>4</v>
      </c>
      <c r="E300" t="e">
        <f>VLOOKUP(Cpi_[[#This Row],[Attribute]],#REF!,2,FALSE)</f>
        <v>#REF!</v>
      </c>
      <c r="F300">
        <v>110.9</v>
      </c>
      <c r="G300">
        <f>(Cpi_[[#This Row],[Value]]-F299)/F299</f>
        <v>-6.272401433691655E-3</v>
      </c>
      <c r="H300" t="e" cm="1" vm="1">
        <f t="array" aca="1" ref="H300" ca="1">VLOOKUP(Cpi_[[#This Row],[Year]:[Month]],crudeoil[],3,FALSE)</f>
        <v>#VALUE!</v>
      </c>
    </row>
    <row r="301" spans="1:8" hidden="1" x14ac:dyDescent="0.3">
      <c r="A301" t="s">
        <v>34</v>
      </c>
      <c r="B301">
        <v>2013</v>
      </c>
      <c r="C301" t="s">
        <v>37</v>
      </c>
      <c r="D301" t="s">
        <v>5</v>
      </c>
      <c r="E301" t="e">
        <f>VLOOKUP(Cpi_[[#This Row],[Attribute]],#REF!,2,FALSE)</f>
        <v>#REF!</v>
      </c>
      <c r="F301">
        <v>106.6</v>
      </c>
      <c r="G301">
        <f>(Cpi_[[#This Row],[Value]]-F300)/F300</f>
        <v>-3.8773669972948704E-2</v>
      </c>
      <c r="H301" t="e" cm="1" vm="1">
        <f t="array" aca="1" ref="H301" ca="1">VLOOKUP(Cpi_[[#This Row],[Year]:[Month]],crudeoil[],3,FALSE)</f>
        <v>#VALUE!</v>
      </c>
    </row>
    <row r="302" spans="1:8" hidden="1" x14ac:dyDescent="0.3">
      <c r="A302" t="s">
        <v>34</v>
      </c>
      <c r="B302">
        <v>2013</v>
      </c>
      <c r="C302" t="s">
        <v>37</v>
      </c>
      <c r="D302" t="s">
        <v>6</v>
      </c>
      <c r="E302" t="e">
        <f>VLOOKUP(Cpi_[[#This Row],[Attribute]],#REF!,2,FALSE)</f>
        <v>#REF!</v>
      </c>
      <c r="F302">
        <v>105.7</v>
      </c>
      <c r="G302">
        <f>(Cpi_[[#This Row],[Value]]-F301)/F301</f>
        <v>-8.4427767354595829E-3</v>
      </c>
      <c r="H302" t="e" cm="1" vm="1">
        <f t="array" aca="1" ref="H302" ca="1">VLOOKUP(Cpi_[[#This Row],[Year]:[Month]],crudeoil[],3,FALSE)</f>
        <v>#VALUE!</v>
      </c>
    </row>
    <row r="303" spans="1:8" hidden="1" x14ac:dyDescent="0.3">
      <c r="A303" t="s">
        <v>34</v>
      </c>
      <c r="B303">
        <v>2013</v>
      </c>
      <c r="C303" t="s">
        <v>37</v>
      </c>
      <c r="D303" t="s">
        <v>7</v>
      </c>
      <c r="E303" t="e">
        <f>VLOOKUP(Cpi_[[#This Row],[Attribute]],#REF!,2,FALSE)</f>
        <v>#REF!</v>
      </c>
      <c r="F303">
        <v>104.4</v>
      </c>
      <c r="G303">
        <f>(Cpi_[[#This Row],[Value]]-F302)/F302</f>
        <v>-1.2298959318826842E-2</v>
      </c>
      <c r="H303" t="e" cm="1" vm="1">
        <f t="array" aca="1" ref="H303" ca="1">VLOOKUP(Cpi_[[#This Row],[Year]:[Month]],crudeoil[],3,FALSE)</f>
        <v>#VALUE!</v>
      </c>
    </row>
    <row r="304" spans="1:8" hidden="1" x14ac:dyDescent="0.3">
      <c r="A304" t="s">
        <v>34</v>
      </c>
      <c r="B304">
        <v>2013</v>
      </c>
      <c r="C304" t="s">
        <v>37</v>
      </c>
      <c r="D304" t="s">
        <v>8</v>
      </c>
      <c r="E304" t="e">
        <f>VLOOKUP(Cpi_[[#This Row],[Attribute]],#REF!,2,FALSE)</f>
        <v>#REF!</v>
      </c>
      <c r="F304">
        <v>108.9</v>
      </c>
      <c r="G304">
        <f>(Cpi_[[#This Row],[Value]]-F303)/F303</f>
        <v>4.3103448275862065E-2</v>
      </c>
      <c r="H304" t="e" cm="1" vm="1">
        <f t="array" aca="1" ref="H304" ca="1">VLOOKUP(Cpi_[[#This Row],[Year]:[Month]],crudeoil[],3,FALSE)</f>
        <v>#VALUE!</v>
      </c>
    </row>
    <row r="305" spans="1:8" hidden="1" x14ac:dyDescent="0.3">
      <c r="A305" t="s">
        <v>34</v>
      </c>
      <c r="B305">
        <v>2013</v>
      </c>
      <c r="C305" t="s">
        <v>37</v>
      </c>
      <c r="D305" t="s">
        <v>9</v>
      </c>
      <c r="E305" t="e">
        <f>VLOOKUP(Cpi_[[#This Row],[Attribute]],#REF!,2,FALSE)</f>
        <v>#REF!</v>
      </c>
      <c r="F305">
        <v>105.5</v>
      </c>
      <c r="G305">
        <f>(Cpi_[[#This Row],[Value]]-F304)/F304</f>
        <v>-3.1221303948576726E-2</v>
      </c>
      <c r="H305" t="e" cm="1" vm="1">
        <f t="array" aca="1" ref="H305" ca="1">VLOOKUP(Cpi_[[#This Row],[Year]:[Month]],crudeoil[],3,FALSE)</f>
        <v>#VALUE!</v>
      </c>
    </row>
    <row r="306" spans="1:8" hidden="1" x14ac:dyDescent="0.3">
      <c r="A306" t="s">
        <v>34</v>
      </c>
      <c r="B306">
        <v>2013</v>
      </c>
      <c r="C306" t="s">
        <v>37</v>
      </c>
      <c r="D306" t="s">
        <v>10</v>
      </c>
      <c r="E306" t="e">
        <f>VLOOKUP(Cpi_[[#This Row],[Attribute]],#REF!,2,FALSE)</f>
        <v>#REF!</v>
      </c>
      <c r="F306">
        <v>105.3</v>
      </c>
      <c r="G306">
        <f>(Cpi_[[#This Row],[Value]]-F305)/F305</f>
        <v>-1.8957345971564251E-3</v>
      </c>
      <c r="H306" t="e" cm="1" vm="1">
        <f t="array" aca="1" ref="H306" ca="1">VLOOKUP(Cpi_[[#This Row],[Year]:[Month]],crudeoil[],3,FALSE)</f>
        <v>#VALUE!</v>
      </c>
    </row>
    <row r="307" spans="1:8" hidden="1" x14ac:dyDescent="0.3">
      <c r="A307" t="s">
        <v>34</v>
      </c>
      <c r="B307">
        <v>2013</v>
      </c>
      <c r="C307" t="s">
        <v>37</v>
      </c>
      <c r="D307" t="s">
        <v>11</v>
      </c>
      <c r="E307" t="e">
        <f>VLOOKUP(Cpi_[[#This Row],[Attribute]],#REF!,2,FALSE)</f>
        <v>#REF!</v>
      </c>
      <c r="F307">
        <v>103.5</v>
      </c>
      <c r="G307">
        <f>(Cpi_[[#This Row],[Value]]-F306)/F306</f>
        <v>-1.7094017094017068E-2</v>
      </c>
      <c r="H307" t="e" cm="1" vm="1">
        <f t="array" aca="1" ref="H307" ca="1">VLOOKUP(Cpi_[[#This Row],[Year]:[Month]],crudeoil[],3,FALSE)</f>
        <v>#VALUE!</v>
      </c>
    </row>
    <row r="308" spans="1:8" hidden="1" x14ac:dyDescent="0.3">
      <c r="A308" t="s">
        <v>34</v>
      </c>
      <c r="B308">
        <v>2013</v>
      </c>
      <c r="C308" t="s">
        <v>37</v>
      </c>
      <c r="D308" t="s">
        <v>12</v>
      </c>
      <c r="E308" t="e">
        <f>VLOOKUP(Cpi_[[#This Row],[Attribute]],#REF!,2,FALSE)</f>
        <v>#REF!</v>
      </c>
      <c r="F308">
        <v>103.3</v>
      </c>
      <c r="G308">
        <f>(Cpi_[[#This Row],[Value]]-F307)/F307</f>
        <v>-1.9323671497584816E-3</v>
      </c>
      <c r="H308" t="e" cm="1" vm="1">
        <f t="array" aca="1" ref="H308" ca="1">VLOOKUP(Cpi_[[#This Row],[Year]:[Month]],crudeoil[],3,FALSE)</f>
        <v>#VALUE!</v>
      </c>
    </row>
    <row r="309" spans="1:8" hidden="1" x14ac:dyDescent="0.3">
      <c r="A309" t="s">
        <v>34</v>
      </c>
      <c r="B309">
        <v>2013</v>
      </c>
      <c r="C309" t="s">
        <v>37</v>
      </c>
      <c r="D309" t="s">
        <v>13</v>
      </c>
      <c r="E309" t="e">
        <f>VLOOKUP(Cpi_[[#This Row],[Attribute]],#REF!,2,FALSE)</f>
        <v>#REF!</v>
      </c>
      <c r="F309">
        <v>107.2</v>
      </c>
      <c r="G309">
        <f>(Cpi_[[#This Row],[Value]]-F308)/F308</f>
        <v>3.7754114230396957E-2</v>
      </c>
      <c r="H309" t="e" cm="1" vm="1">
        <f t="array" aca="1" ref="H309" ca="1">VLOOKUP(Cpi_[[#This Row],[Year]:[Month]],crudeoil[],3,FALSE)</f>
        <v>#VALUE!</v>
      </c>
    </row>
    <row r="310" spans="1:8" hidden="1" x14ac:dyDescent="0.3">
      <c r="A310" t="s">
        <v>34</v>
      </c>
      <c r="B310">
        <v>2013</v>
      </c>
      <c r="C310" t="s">
        <v>37</v>
      </c>
      <c r="D310" t="s">
        <v>14</v>
      </c>
      <c r="E310" t="e">
        <f>VLOOKUP(Cpi_[[#This Row],[Attribute]],#REF!,2,FALSE)</f>
        <v>#REF!</v>
      </c>
      <c r="F310">
        <v>109.6</v>
      </c>
      <c r="G310">
        <f>(Cpi_[[#This Row],[Value]]-F309)/F309</f>
        <v>2.2388059701492456E-2</v>
      </c>
      <c r="H310" t="e" cm="1" vm="1">
        <f t="array" aca="1" ref="H310" ca="1">VLOOKUP(Cpi_[[#This Row],[Year]:[Month]],crudeoil[],3,FALSE)</f>
        <v>#VALUE!</v>
      </c>
    </row>
    <row r="311" spans="1:8" hidden="1" x14ac:dyDescent="0.3">
      <c r="A311" t="s">
        <v>34</v>
      </c>
      <c r="B311">
        <v>2013</v>
      </c>
      <c r="C311" t="s">
        <v>37</v>
      </c>
      <c r="D311" t="s">
        <v>15</v>
      </c>
      <c r="E311" t="e">
        <f>VLOOKUP(Cpi_[[#This Row],[Attribute]],#REF!,2,FALSE)</f>
        <v>#REF!</v>
      </c>
      <c r="F311">
        <v>107.7</v>
      </c>
      <c r="G311">
        <f>(Cpi_[[#This Row],[Value]]-F310)/F310</f>
        <v>-1.7335766423357588E-2</v>
      </c>
      <c r="H311" t="e" cm="1" vm="1">
        <f t="array" aca="1" ref="H311" ca="1">VLOOKUP(Cpi_[[#This Row],[Year]:[Month]],crudeoil[],3,FALSE)</f>
        <v>#VALUE!</v>
      </c>
    </row>
    <row r="312" spans="1:8" hidden="1" x14ac:dyDescent="0.3">
      <c r="A312" t="s">
        <v>34</v>
      </c>
      <c r="B312">
        <v>2013</v>
      </c>
      <c r="C312" t="s">
        <v>37</v>
      </c>
      <c r="D312" t="s">
        <v>16</v>
      </c>
      <c r="E312" t="e">
        <f>VLOOKUP(Cpi_[[#This Row],[Attribute]],#REF!,2,FALSE)</f>
        <v>#REF!</v>
      </c>
      <c r="F312">
        <v>107.5</v>
      </c>
      <c r="G312">
        <f>(Cpi_[[#This Row],[Value]]-F311)/F311</f>
        <v>-1.8570102135562008E-3</v>
      </c>
      <c r="H312" t="e" cm="1" vm="1">
        <f t="array" aca="1" ref="H312" ca="1">VLOOKUP(Cpi_[[#This Row],[Year]:[Month]],crudeoil[],3,FALSE)</f>
        <v>#VALUE!</v>
      </c>
    </row>
    <row r="313" spans="1:8" hidden="1" x14ac:dyDescent="0.3">
      <c r="A313" t="s">
        <v>34</v>
      </c>
      <c r="B313">
        <v>2013</v>
      </c>
      <c r="C313" t="s">
        <v>37</v>
      </c>
      <c r="D313" t="s">
        <v>17</v>
      </c>
      <c r="E313" t="e">
        <f>VLOOKUP(Cpi_[[#This Row],[Attribute]],#REF!,2,FALSE)</f>
        <v>#REF!</v>
      </c>
      <c r="F313">
        <v>108</v>
      </c>
      <c r="G313">
        <f>(Cpi_[[#This Row],[Value]]-F312)/F312</f>
        <v>4.6511627906976744E-3</v>
      </c>
      <c r="H313" t="e" cm="1" vm="1">
        <f t="array" aca="1" ref="H313" ca="1">VLOOKUP(Cpi_[[#This Row],[Year]:[Month]],crudeoil[],3,FALSE)</f>
        <v>#VALUE!</v>
      </c>
    </row>
    <row r="314" spans="1:8" hidden="1" x14ac:dyDescent="0.3">
      <c r="A314" t="s">
        <v>34</v>
      </c>
      <c r="B314">
        <v>2013</v>
      </c>
      <c r="C314" t="s">
        <v>37</v>
      </c>
      <c r="D314" t="s">
        <v>18</v>
      </c>
      <c r="E314" t="e">
        <f>VLOOKUP(Cpi_[[#This Row],[Attribute]],#REF!,2,FALSE)</f>
        <v>#REF!</v>
      </c>
      <c r="F314">
        <v>107</v>
      </c>
      <c r="G314">
        <f>(Cpi_[[#This Row],[Value]]-F313)/F313</f>
        <v>-9.2592592592592587E-3</v>
      </c>
      <c r="H314" t="e" cm="1" vm="1">
        <f t="array" aca="1" ref="H314" ca="1">VLOOKUP(Cpi_[[#This Row],[Year]:[Month]],crudeoil[],3,FALSE)</f>
        <v>#VALUE!</v>
      </c>
    </row>
    <row r="315" spans="1:8" hidden="1" x14ac:dyDescent="0.3">
      <c r="A315" t="s">
        <v>34</v>
      </c>
      <c r="B315">
        <v>2013</v>
      </c>
      <c r="C315" t="s">
        <v>37</v>
      </c>
      <c r="D315" t="s">
        <v>19</v>
      </c>
      <c r="E315" t="e">
        <f>VLOOKUP(Cpi_[[#This Row],[Attribute]],#REF!,2,FALSE)</f>
        <v>#REF!</v>
      </c>
      <c r="F315">
        <v>107.9</v>
      </c>
      <c r="G315">
        <f>(Cpi_[[#This Row],[Value]]-F314)/F314</f>
        <v>8.4112149532710803E-3</v>
      </c>
      <c r="H315" t="e" cm="1" vm="1">
        <f t="array" aca="1" ref="H315" ca="1">VLOOKUP(Cpi_[[#This Row],[Year]:[Month]],crudeoil[],3,FALSE)</f>
        <v>#VALUE!</v>
      </c>
    </row>
    <row r="316" spans="1:8" hidden="1" x14ac:dyDescent="0.3">
      <c r="A316" t="s">
        <v>34</v>
      </c>
      <c r="B316">
        <v>2013</v>
      </c>
      <c r="C316" t="s">
        <v>37</v>
      </c>
      <c r="D316" t="s">
        <v>20</v>
      </c>
      <c r="E316" t="e">
        <f>VLOOKUP(Cpi_[[#This Row],[Attribute]],#REF!,2,FALSE)</f>
        <v>#REF!</v>
      </c>
      <c r="F316">
        <v>100.5</v>
      </c>
      <c r="G316">
        <f>(Cpi_[[#This Row],[Value]]-F315)/F315</f>
        <v>-6.8582020389249349E-2</v>
      </c>
      <c r="H316" t="e" cm="1" vm="1">
        <f t="array" aca="1" ref="H316" ca="1">VLOOKUP(Cpi_[[#This Row],[Year]:[Month]],crudeoil[],3,FALSE)</f>
        <v>#VALUE!</v>
      </c>
    </row>
    <row r="317" spans="1:8" hidden="1" x14ac:dyDescent="0.3">
      <c r="A317" t="s">
        <v>34</v>
      </c>
      <c r="B317">
        <v>2013</v>
      </c>
      <c r="C317" t="s">
        <v>37</v>
      </c>
      <c r="D317" t="s">
        <v>21</v>
      </c>
      <c r="E317" t="e">
        <f>VLOOKUP(Cpi_[[#This Row],[Attribute]],#REF!,2,FALSE)</f>
        <v>#REF!</v>
      </c>
      <c r="F317">
        <v>106.5</v>
      </c>
      <c r="G317">
        <f>(Cpi_[[#This Row],[Value]]-F316)/F316</f>
        <v>5.9701492537313432E-2</v>
      </c>
      <c r="H317" t="e" cm="1" vm="1">
        <f t="array" aca="1" ref="H317" ca="1">VLOOKUP(Cpi_[[#This Row],[Year]:[Month]],crudeoil[],3,FALSE)</f>
        <v>#VALUE!</v>
      </c>
    </row>
    <row r="318" spans="1:8" hidden="1" x14ac:dyDescent="0.3">
      <c r="A318" t="s">
        <v>34</v>
      </c>
      <c r="B318">
        <v>2013</v>
      </c>
      <c r="C318" t="s">
        <v>37</v>
      </c>
      <c r="D318" t="s">
        <v>22</v>
      </c>
      <c r="E318" t="e">
        <f>VLOOKUP(Cpi_[[#This Row],[Attribute]],#REF!,2,FALSE)</f>
        <v>#REF!</v>
      </c>
      <c r="F318">
        <v>106.3</v>
      </c>
      <c r="G318">
        <f>(Cpi_[[#This Row],[Value]]-F317)/F317</f>
        <v>-1.8779342723004961E-3</v>
      </c>
      <c r="H318" t="e" cm="1" vm="1">
        <f t="array" aca="1" ref="H318" ca="1">VLOOKUP(Cpi_[[#This Row],[Year]:[Month]],crudeoil[],3,FALSE)</f>
        <v>#VALUE!</v>
      </c>
    </row>
    <row r="319" spans="1:8" hidden="1" x14ac:dyDescent="0.3">
      <c r="A319" t="s">
        <v>34</v>
      </c>
      <c r="B319">
        <v>2013</v>
      </c>
      <c r="C319" t="s">
        <v>37</v>
      </c>
      <c r="D319" t="s">
        <v>23</v>
      </c>
      <c r="E319" t="e">
        <f>VLOOKUP(Cpi_[[#This Row],[Attribute]],#REF!,2,FALSE)</f>
        <v>#REF!</v>
      </c>
      <c r="F319">
        <v>105.3</v>
      </c>
      <c r="G319">
        <f>(Cpi_[[#This Row],[Value]]-F318)/F318</f>
        <v>-9.4073377234242719E-3</v>
      </c>
      <c r="H319" t="e" cm="1" vm="1">
        <f t="array" aca="1" ref="H319" ca="1">VLOOKUP(Cpi_[[#This Row],[Year]:[Month]],crudeoil[],3,FALSE)</f>
        <v>#VALUE!</v>
      </c>
    </row>
    <row r="320" spans="1:8" hidden="1" x14ac:dyDescent="0.3">
      <c r="A320" t="s">
        <v>34</v>
      </c>
      <c r="B320">
        <v>2013</v>
      </c>
      <c r="C320" t="s">
        <v>37</v>
      </c>
      <c r="D320" t="s">
        <v>24</v>
      </c>
      <c r="E320" t="e">
        <f>VLOOKUP(Cpi_[[#This Row],[Attribute]],#REF!,2,FALSE)</f>
        <v>#REF!</v>
      </c>
      <c r="F320">
        <v>104.7</v>
      </c>
      <c r="G320">
        <f>(Cpi_[[#This Row],[Value]]-F319)/F319</f>
        <v>-5.6980056980056445E-3</v>
      </c>
      <c r="H320" t="e" cm="1" vm="1">
        <f t="array" aca="1" ref="H320" ca="1">VLOOKUP(Cpi_[[#This Row],[Year]:[Month]],crudeoil[],3,FALSE)</f>
        <v>#VALUE!</v>
      </c>
    </row>
    <row r="321" spans="1:8" hidden="1" x14ac:dyDescent="0.3">
      <c r="A321" t="s">
        <v>34</v>
      </c>
      <c r="B321">
        <v>2013</v>
      </c>
      <c r="C321" t="s">
        <v>37</v>
      </c>
      <c r="D321" t="s">
        <v>25</v>
      </c>
      <c r="E321" t="e">
        <f>VLOOKUP(Cpi_[[#This Row],[Attribute]],#REF!,2,FALSE)</f>
        <v>#REF!</v>
      </c>
      <c r="F321">
        <v>104.2</v>
      </c>
      <c r="G321">
        <f>(Cpi_[[#This Row],[Value]]-F320)/F320</f>
        <v>-4.7755491881566383E-3</v>
      </c>
      <c r="H321" t="e" cm="1" vm="1">
        <f t="array" aca="1" ref="H321" ca="1">VLOOKUP(Cpi_[[#This Row],[Year]:[Month]],crudeoil[],3,FALSE)</f>
        <v>#VALUE!</v>
      </c>
    </row>
    <row r="322" spans="1:8" hidden="1" x14ac:dyDescent="0.3">
      <c r="A322" t="s">
        <v>34</v>
      </c>
      <c r="B322">
        <v>2013</v>
      </c>
      <c r="C322" t="s">
        <v>37</v>
      </c>
      <c r="D322" t="s">
        <v>26</v>
      </c>
      <c r="E322" t="e">
        <f>VLOOKUP(Cpi_[[#This Row],[Attribute]],#REF!,2,FALSE)</f>
        <v>#REF!</v>
      </c>
      <c r="F322">
        <v>105</v>
      </c>
      <c r="G322">
        <f>(Cpi_[[#This Row],[Value]]-F321)/F321</f>
        <v>7.6775431861803951E-3</v>
      </c>
      <c r="H322" t="e" cm="1" vm="1">
        <f t="array" aca="1" ref="H322" ca="1">VLOOKUP(Cpi_[[#This Row],[Year]:[Month]],crudeoil[],3,FALSE)</f>
        <v>#VALUE!</v>
      </c>
    </row>
    <row r="323" spans="1:8" hidden="1" x14ac:dyDescent="0.3">
      <c r="A323" t="s">
        <v>34</v>
      </c>
      <c r="B323">
        <v>2013</v>
      </c>
      <c r="C323" t="s">
        <v>37</v>
      </c>
      <c r="D323" t="s">
        <v>27</v>
      </c>
      <c r="E323" t="e">
        <f>VLOOKUP(Cpi_[[#This Row],[Attribute]],#REF!,2,FALSE)</f>
        <v>#REF!</v>
      </c>
      <c r="F323">
        <v>102.9</v>
      </c>
      <c r="G323">
        <f>(Cpi_[[#This Row],[Value]]-F322)/F322</f>
        <v>-1.9999999999999945E-2</v>
      </c>
      <c r="H323" t="e" cm="1" vm="1">
        <f t="array" aca="1" ref="H323" ca="1">VLOOKUP(Cpi_[[#This Row],[Year]:[Month]],crudeoil[],3,FALSE)</f>
        <v>#VALUE!</v>
      </c>
    </row>
    <row r="324" spans="1:8" hidden="1" x14ac:dyDescent="0.3">
      <c r="A324" t="s">
        <v>34</v>
      </c>
      <c r="B324">
        <v>2013</v>
      </c>
      <c r="C324" t="s">
        <v>37</v>
      </c>
      <c r="D324" t="s">
        <v>28</v>
      </c>
      <c r="E324" t="e">
        <f>VLOOKUP(Cpi_[[#This Row],[Attribute]],#REF!,2,FALSE)</f>
        <v>#REF!</v>
      </c>
      <c r="F324">
        <v>104.8</v>
      </c>
      <c r="G324">
        <f>(Cpi_[[#This Row],[Value]]-F323)/F323</f>
        <v>1.8464528668610217E-2</v>
      </c>
      <c r="H324" t="e" cm="1" vm="1">
        <f t="array" aca="1" ref="H324" ca="1">VLOOKUP(Cpi_[[#This Row],[Year]:[Month]],crudeoil[],3,FALSE)</f>
        <v>#VALUE!</v>
      </c>
    </row>
    <row r="325" spans="1:8" hidden="1" x14ac:dyDescent="0.3">
      <c r="A325" t="s">
        <v>34</v>
      </c>
      <c r="B325">
        <v>2013</v>
      </c>
      <c r="C325" t="s">
        <v>37</v>
      </c>
      <c r="D325" t="s">
        <v>29</v>
      </c>
      <c r="E325" t="e" cm="1">
        <f t="array" aca="1" ref="E325" ca="1">VLGeneral indexGeneral indexKUP(Cpi_[[#This Row],[Attribute]],#REF!,2,FALSE)</f>
        <v>#NAME?</v>
      </c>
      <c r="F325">
        <v>106.1</v>
      </c>
      <c r="G325">
        <f>(Cpi_[[#This Row],[Value]]-F324)/F324</f>
        <v>1.240458015267173E-2</v>
      </c>
      <c r="H325" t="e" cm="1" vm="1">
        <f t="array" aca="1" ref="H325" ca="1">VLOOKUP(Cpi_[[#This Row],[Year]:[Month]],crudeoil[],3,FALSE)</f>
        <v>#VALUE!</v>
      </c>
    </row>
    <row r="326" spans="1:8" hidden="1" x14ac:dyDescent="0.3">
      <c r="A326" t="s">
        <v>30</v>
      </c>
      <c r="B326">
        <v>2013</v>
      </c>
      <c r="C326" t="s">
        <v>38</v>
      </c>
      <c r="D326" t="s">
        <v>3</v>
      </c>
      <c r="E326" t="e">
        <f>VLOOKUP(Cpi_[[#This Row],[Attribute]],#REF!,2,FALSE)</f>
        <v>#REF!</v>
      </c>
      <c r="F326">
        <v>110.9</v>
      </c>
      <c r="G326">
        <f>(Cpi_[[#This Row],[Value]]-F325)/F325</f>
        <v>4.5240339302544876E-2</v>
      </c>
      <c r="H326" t="e" cm="1" vm="1">
        <f t="array" aca="1" ref="H326" ca="1">VLOOKUP(Cpi_[[#This Row],[Year]:[Month]],crudeoil[],3,FALSE)</f>
        <v>#VALUE!</v>
      </c>
    </row>
    <row r="327" spans="1:8" hidden="1" x14ac:dyDescent="0.3">
      <c r="A327" t="s">
        <v>30</v>
      </c>
      <c r="B327">
        <v>2013</v>
      </c>
      <c r="C327" t="s">
        <v>38</v>
      </c>
      <c r="D327" t="s">
        <v>4</v>
      </c>
      <c r="E327" t="e">
        <f>VLOOKUP(Cpi_[[#This Row],[Attribute]],#REF!,2,FALSE)</f>
        <v>#REF!</v>
      </c>
      <c r="F327">
        <v>109.8</v>
      </c>
      <c r="G327">
        <f>(Cpi_[[#This Row],[Value]]-F326)/F326</f>
        <v>-9.9188458070334391E-3</v>
      </c>
      <c r="H327" t="e" cm="1" vm="1">
        <f t="array" aca="1" ref="H327" ca="1">VLOOKUP(Cpi_[[#This Row],[Year]:[Month]],crudeoil[],3,FALSE)</f>
        <v>#VALUE!</v>
      </c>
    </row>
    <row r="328" spans="1:8" hidden="1" x14ac:dyDescent="0.3">
      <c r="A328" t="s">
        <v>30</v>
      </c>
      <c r="B328">
        <v>2013</v>
      </c>
      <c r="C328" t="s">
        <v>38</v>
      </c>
      <c r="D328" t="s">
        <v>5</v>
      </c>
      <c r="E328" t="e">
        <f>VLOOKUP(Cpi_[[#This Row],[Attribute]],#REF!,2,FALSE)</f>
        <v>#REF!</v>
      </c>
      <c r="F328">
        <v>105.9</v>
      </c>
      <c r="G328">
        <f>(Cpi_[[#This Row],[Value]]-F327)/F327</f>
        <v>-3.5519125683060031E-2</v>
      </c>
      <c r="H328" t="e" cm="1" vm="1">
        <f t="array" aca="1" ref="H328" ca="1">VLOOKUP(Cpi_[[#This Row],[Year]:[Month]],crudeoil[],3,FALSE)</f>
        <v>#VALUE!</v>
      </c>
    </row>
    <row r="329" spans="1:8" hidden="1" x14ac:dyDescent="0.3">
      <c r="A329" t="s">
        <v>30</v>
      </c>
      <c r="B329">
        <v>2013</v>
      </c>
      <c r="C329" t="s">
        <v>38</v>
      </c>
      <c r="D329" t="s">
        <v>6</v>
      </c>
      <c r="E329" t="e">
        <f>VLOOKUP(Cpi_[[#This Row],[Attribute]],#REF!,2,FALSE)</f>
        <v>#REF!</v>
      </c>
      <c r="F329">
        <v>107.5</v>
      </c>
      <c r="G329">
        <f>(Cpi_[[#This Row],[Value]]-F328)/F328</f>
        <v>1.5108593012275677E-2</v>
      </c>
      <c r="H329" t="e" cm="1" vm="1">
        <f t="array" aca="1" ref="H329" ca="1">VLOOKUP(Cpi_[[#This Row],[Year]:[Month]],crudeoil[],3,FALSE)</f>
        <v>#VALUE!</v>
      </c>
    </row>
    <row r="330" spans="1:8" hidden="1" x14ac:dyDescent="0.3">
      <c r="A330" t="s">
        <v>30</v>
      </c>
      <c r="B330">
        <v>2013</v>
      </c>
      <c r="C330" t="s">
        <v>38</v>
      </c>
      <c r="D330" t="s">
        <v>7</v>
      </c>
      <c r="E330" t="e">
        <f>VLOOKUP(Cpi_[[#This Row],[Attribute]],#REF!,2,FALSE)</f>
        <v>#REF!</v>
      </c>
      <c r="F330">
        <v>105.3</v>
      </c>
      <c r="G330">
        <f>(Cpi_[[#This Row],[Value]]-F329)/F329</f>
        <v>-2.0465116279069794E-2</v>
      </c>
      <c r="H330" t="e" cm="1" vm="1">
        <f t="array" aca="1" ref="H330" ca="1">VLOOKUP(Cpi_[[#This Row],[Year]:[Month]],crudeoil[],3,FALSE)</f>
        <v>#VALUE!</v>
      </c>
    </row>
    <row r="331" spans="1:8" hidden="1" x14ac:dyDescent="0.3">
      <c r="A331" t="s">
        <v>30</v>
      </c>
      <c r="B331">
        <v>2013</v>
      </c>
      <c r="C331" t="s">
        <v>38</v>
      </c>
      <c r="D331" t="s">
        <v>8</v>
      </c>
      <c r="E331" t="e">
        <f>VLOOKUP(Cpi_[[#This Row],[Attribute]],#REF!,2,FALSE)</f>
        <v>#REF!</v>
      </c>
      <c r="F331">
        <v>108.1</v>
      </c>
      <c r="G331">
        <f>(Cpi_[[#This Row],[Value]]-F330)/F330</f>
        <v>2.6590693257359899E-2</v>
      </c>
      <c r="H331" t="e" cm="1" vm="1">
        <f t="array" aca="1" ref="H331" ca="1">VLOOKUP(Cpi_[[#This Row],[Year]:[Month]],crudeoil[],3,FALSE)</f>
        <v>#VALUE!</v>
      </c>
    </row>
    <row r="332" spans="1:8" hidden="1" x14ac:dyDescent="0.3">
      <c r="A332" t="s">
        <v>30</v>
      </c>
      <c r="B332">
        <v>2013</v>
      </c>
      <c r="C332" t="s">
        <v>38</v>
      </c>
      <c r="D332" t="s">
        <v>9</v>
      </c>
      <c r="E332" t="e">
        <f>VLOOKUP(Cpi_[[#This Row],[Attribute]],#REF!,2,FALSE)</f>
        <v>#REF!</v>
      </c>
      <c r="F332">
        <v>107.3</v>
      </c>
      <c r="G332">
        <f>(Cpi_[[#This Row],[Value]]-F331)/F331</f>
        <v>-7.4005550416280964E-3</v>
      </c>
      <c r="H332" t="e" cm="1" vm="1">
        <f t="array" aca="1" ref="H332" ca="1">VLOOKUP(Cpi_[[#This Row],[Year]:[Month]],crudeoil[],3,FALSE)</f>
        <v>#VALUE!</v>
      </c>
    </row>
    <row r="333" spans="1:8" hidden="1" x14ac:dyDescent="0.3">
      <c r="A333" t="s">
        <v>30</v>
      </c>
      <c r="B333">
        <v>2013</v>
      </c>
      <c r="C333" t="s">
        <v>38</v>
      </c>
      <c r="D333" t="s">
        <v>10</v>
      </c>
      <c r="E333" t="e">
        <f>VLOOKUP(Cpi_[[#This Row],[Attribute]],#REF!,2,FALSE)</f>
        <v>#REF!</v>
      </c>
      <c r="F333">
        <v>106.1</v>
      </c>
      <c r="G333">
        <f>(Cpi_[[#This Row],[Value]]-F332)/F332</f>
        <v>-1.1183597390493969E-2</v>
      </c>
      <c r="H333" t="e" cm="1" vm="1">
        <f t="array" aca="1" ref="H333" ca="1">VLOOKUP(Cpi_[[#This Row],[Year]:[Month]],crudeoil[],3,FALSE)</f>
        <v>#VALUE!</v>
      </c>
    </row>
    <row r="334" spans="1:8" hidden="1" x14ac:dyDescent="0.3">
      <c r="A334" t="s">
        <v>30</v>
      </c>
      <c r="B334">
        <v>2013</v>
      </c>
      <c r="C334" t="s">
        <v>38</v>
      </c>
      <c r="D334" t="s">
        <v>11</v>
      </c>
      <c r="E334" t="e">
        <f>VLOOKUP(Cpi_[[#This Row],[Attribute]],#REF!,2,FALSE)</f>
        <v>#REF!</v>
      </c>
      <c r="F334">
        <v>103.7</v>
      </c>
      <c r="G334">
        <f>(Cpi_[[#This Row],[Value]]-F333)/F333</f>
        <v>-2.2620169651272306E-2</v>
      </c>
      <c r="H334" t="e" cm="1" vm="1">
        <f t="array" aca="1" ref="H334" ca="1">VLOOKUP(Cpi_[[#This Row],[Year]:[Month]],crudeoil[],3,FALSE)</f>
        <v>#VALUE!</v>
      </c>
    </row>
    <row r="335" spans="1:8" hidden="1" x14ac:dyDescent="0.3">
      <c r="A335" t="s">
        <v>30</v>
      </c>
      <c r="B335">
        <v>2013</v>
      </c>
      <c r="C335" t="s">
        <v>38</v>
      </c>
      <c r="D335" t="s">
        <v>12</v>
      </c>
      <c r="E335" t="e">
        <f>VLOOKUP(Cpi_[[#This Row],[Attribute]],#REF!,2,FALSE)</f>
        <v>#REF!</v>
      </c>
      <c r="F335">
        <v>104</v>
      </c>
      <c r="G335">
        <f>(Cpi_[[#This Row],[Value]]-F334)/F334</f>
        <v>2.8929604628736465E-3</v>
      </c>
      <c r="H335" t="e" cm="1" vm="1">
        <f t="array" aca="1" ref="H335" ca="1">VLOOKUP(Cpi_[[#This Row],[Year]:[Month]],crudeoil[],3,FALSE)</f>
        <v>#VALUE!</v>
      </c>
    </row>
    <row r="336" spans="1:8" hidden="1" x14ac:dyDescent="0.3">
      <c r="A336" t="s">
        <v>30</v>
      </c>
      <c r="B336">
        <v>2013</v>
      </c>
      <c r="C336" t="s">
        <v>38</v>
      </c>
      <c r="D336" t="s">
        <v>13</v>
      </c>
      <c r="E336" t="e">
        <f>VLOOKUP(Cpi_[[#This Row],[Attribute]],#REF!,2,FALSE)</f>
        <v>#REF!</v>
      </c>
      <c r="F336">
        <v>107.4</v>
      </c>
      <c r="G336">
        <f>(Cpi_[[#This Row],[Value]]-F335)/F335</f>
        <v>3.269230769230775E-2</v>
      </c>
      <c r="H336" t="e" cm="1" vm="1">
        <f t="array" aca="1" ref="H336" ca="1">VLOOKUP(Cpi_[[#This Row],[Year]:[Month]],crudeoil[],3,FALSE)</f>
        <v>#VALUE!</v>
      </c>
    </row>
    <row r="337" spans="1:8" hidden="1" x14ac:dyDescent="0.3">
      <c r="A337" t="s">
        <v>30</v>
      </c>
      <c r="B337">
        <v>2013</v>
      </c>
      <c r="C337" t="s">
        <v>38</v>
      </c>
      <c r="D337" t="s">
        <v>14</v>
      </c>
      <c r="E337" t="e">
        <f>VLOOKUP(Cpi_[[#This Row],[Attribute]],#REF!,2,FALSE)</f>
        <v>#REF!</v>
      </c>
      <c r="F337">
        <v>109.9</v>
      </c>
      <c r="G337">
        <f>(Cpi_[[#This Row],[Value]]-F336)/F336</f>
        <v>2.3277467411545624E-2</v>
      </c>
      <c r="H337" t="e" cm="1" vm="1">
        <f t="array" aca="1" ref="H337" ca="1">VLOOKUP(Cpi_[[#This Row],[Year]:[Month]],crudeoil[],3,FALSE)</f>
        <v>#VALUE!</v>
      </c>
    </row>
    <row r="338" spans="1:8" hidden="1" x14ac:dyDescent="0.3">
      <c r="A338" t="s">
        <v>30</v>
      </c>
      <c r="B338">
        <v>2013</v>
      </c>
      <c r="C338" t="s">
        <v>38</v>
      </c>
      <c r="D338" t="s">
        <v>15</v>
      </c>
      <c r="E338" t="e">
        <f>VLOOKUP(Cpi_[[#This Row],[Attribute]],#REF!,2,FALSE)</f>
        <v>#REF!</v>
      </c>
      <c r="F338">
        <v>108.1</v>
      </c>
      <c r="G338">
        <f>(Cpi_[[#This Row],[Value]]-F337)/F337</f>
        <v>-1.6378525932666161E-2</v>
      </c>
      <c r="H338" t="e" cm="1" vm="1">
        <f t="array" aca="1" ref="H338" ca="1">VLOOKUP(Cpi_[[#This Row],[Year]:[Month]],crudeoil[],3,FALSE)</f>
        <v>#VALUE!</v>
      </c>
    </row>
    <row r="339" spans="1:8" hidden="1" x14ac:dyDescent="0.3">
      <c r="A339" t="s">
        <v>30</v>
      </c>
      <c r="B339">
        <v>2013</v>
      </c>
      <c r="C339" t="s">
        <v>38</v>
      </c>
      <c r="D339" t="s">
        <v>16</v>
      </c>
      <c r="E339" t="e">
        <f>VLOOKUP(Cpi_[[#This Row],[Attribute]],#REF!,2,FALSE)</f>
        <v>#REF!</v>
      </c>
      <c r="F339">
        <v>108.1</v>
      </c>
      <c r="G339">
        <f>(Cpi_[[#This Row],[Value]]-F338)/F338</f>
        <v>0</v>
      </c>
      <c r="H339" t="e" cm="1" vm="1">
        <f t="array" aca="1" ref="H339" ca="1">VLOOKUP(Cpi_[[#This Row],[Year]:[Month]],crudeoil[],3,FALSE)</f>
        <v>#VALUE!</v>
      </c>
    </row>
    <row r="340" spans="1:8" hidden="1" x14ac:dyDescent="0.3">
      <c r="A340" t="s">
        <v>30</v>
      </c>
      <c r="B340">
        <v>2013</v>
      </c>
      <c r="C340" t="s">
        <v>38</v>
      </c>
      <c r="D340" t="s">
        <v>17</v>
      </c>
      <c r="E340" t="e">
        <f>VLOOKUP(Cpi_[[#This Row],[Attribute]],#REF!,2,FALSE)</f>
        <v>#REF!</v>
      </c>
      <c r="F340">
        <v>108.8</v>
      </c>
      <c r="G340">
        <f>(Cpi_[[#This Row],[Value]]-F339)/F339</f>
        <v>6.4754856614246334E-3</v>
      </c>
      <c r="H340" t="e" cm="1" vm="1">
        <f t="array" aca="1" ref="H340" ca="1">VLOOKUP(Cpi_[[#This Row],[Year]:[Month]],crudeoil[],3,FALSE)</f>
        <v>#VALUE!</v>
      </c>
    </row>
    <row r="341" spans="1:8" hidden="1" x14ac:dyDescent="0.3">
      <c r="A341" t="s">
        <v>30</v>
      </c>
      <c r="B341">
        <v>2013</v>
      </c>
      <c r="C341" t="s">
        <v>38</v>
      </c>
      <c r="D341" t="s">
        <v>18</v>
      </c>
      <c r="E341" t="e">
        <f>VLOOKUP(Cpi_[[#This Row],[Attribute]],#REF!,2,FALSE)</f>
        <v>#REF!</v>
      </c>
      <c r="F341">
        <v>107.9</v>
      </c>
      <c r="G341">
        <f>(Cpi_[[#This Row],[Value]]-F340)/F340</f>
        <v>-8.2720588235293338E-3</v>
      </c>
      <c r="H341" t="e" cm="1" vm="1">
        <f t="array" aca="1" ref="H341" ca="1">VLOOKUP(Cpi_[[#This Row],[Year]:[Month]],crudeoil[],3,FALSE)</f>
        <v>#VALUE!</v>
      </c>
    </row>
    <row r="342" spans="1:8" hidden="1" x14ac:dyDescent="0.3">
      <c r="A342" t="s">
        <v>30</v>
      </c>
      <c r="B342">
        <v>2013</v>
      </c>
      <c r="C342" t="s">
        <v>38</v>
      </c>
      <c r="D342" t="s">
        <v>19</v>
      </c>
      <c r="E342" t="e">
        <f>VLOOKUP(Cpi_[[#This Row],[Attribute]],#REF!,2,FALSE)</f>
        <v>#REF!</v>
      </c>
      <c r="F342">
        <v>108.6</v>
      </c>
      <c r="G342">
        <f>(Cpi_[[#This Row],[Value]]-F341)/F341</f>
        <v>6.4874884151991533E-3</v>
      </c>
      <c r="H342" t="e" cm="1" vm="1">
        <f t="array" aca="1" ref="H342" ca="1">VLOOKUP(Cpi_[[#This Row],[Year]:[Month]],crudeoil[],3,FALSE)</f>
        <v>#VALUE!</v>
      </c>
    </row>
    <row r="343" spans="1:8" hidden="1" x14ac:dyDescent="0.3">
      <c r="A343" t="s">
        <v>30</v>
      </c>
      <c r="B343">
        <v>2013</v>
      </c>
      <c r="C343" t="s">
        <v>38</v>
      </c>
      <c r="D343" t="s">
        <v>20</v>
      </c>
      <c r="E343" t="e">
        <f>VLOOKUP(Cpi_[[#This Row],[Attribute]],#REF!,2,FALSE)</f>
        <v>#REF!</v>
      </c>
      <c r="F343" t="s">
        <v>32</v>
      </c>
      <c r="G343" t="e">
        <f>(Cpi_[[#This Row],[Value]]-F342)/F342</f>
        <v>#VALUE!</v>
      </c>
      <c r="H343" t="e" cm="1" vm="1">
        <f t="array" aca="1" ref="H343" ca="1">VLOOKUP(Cpi_[[#This Row],[Year]:[Month]],crudeoil[],3,FALSE)</f>
        <v>#VALUE!</v>
      </c>
    </row>
    <row r="344" spans="1:8" hidden="1" x14ac:dyDescent="0.3">
      <c r="A344" t="s">
        <v>30</v>
      </c>
      <c r="B344">
        <v>2013</v>
      </c>
      <c r="C344" t="s">
        <v>38</v>
      </c>
      <c r="D344" t="s">
        <v>21</v>
      </c>
      <c r="E344" t="e">
        <f>VLOOKUP(Cpi_[[#This Row],[Attribute]],#REF!,2,FALSE)</f>
        <v>#REF!</v>
      </c>
      <c r="F344">
        <v>107.5</v>
      </c>
      <c r="G344" t="e">
        <f>(Cpi_[[#This Row],[Value]]-F343)/F343</f>
        <v>#VALUE!</v>
      </c>
      <c r="H344" t="e" cm="1" vm="1">
        <f t="array" aca="1" ref="H344" ca="1">VLOOKUP(Cpi_[[#This Row],[Year]:[Month]],crudeoil[],3,FALSE)</f>
        <v>#VALUE!</v>
      </c>
    </row>
    <row r="345" spans="1:8" hidden="1" x14ac:dyDescent="0.3">
      <c r="A345" t="s">
        <v>30</v>
      </c>
      <c r="B345">
        <v>2013</v>
      </c>
      <c r="C345" t="s">
        <v>38</v>
      </c>
      <c r="D345" t="s">
        <v>22</v>
      </c>
      <c r="E345" t="e">
        <f>VLOOKUP(Cpi_[[#This Row],[Attribute]],#REF!,2,FALSE)</f>
        <v>#REF!</v>
      </c>
      <c r="F345">
        <v>106.8</v>
      </c>
      <c r="G345">
        <f>(Cpi_[[#This Row],[Value]]-F344)/F344</f>
        <v>-6.5116279069767705E-3</v>
      </c>
      <c r="H345" t="e" cm="1" vm="1">
        <f t="array" aca="1" ref="H345" ca="1">VLOOKUP(Cpi_[[#This Row],[Year]:[Month]],crudeoil[],3,FALSE)</f>
        <v>#VALUE!</v>
      </c>
    </row>
    <row r="346" spans="1:8" hidden="1" x14ac:dyDescent="0.3">
      <c r="A346" t="s">
        <v>30</v>
      </c>
      <c r="B346">
        <v>2013</v>
      </c>
      <c r="C346" t="s">
        <v>38</v>
      </c>
      <c r="D346" t="s">
        <v>23</v>
      </c>
      <c r="E346" t="e">
        <f>VLOOKUP(Cpi_[[#This Row],[Attribute]],#REF!,2,FALSE)</f>
        <v>#REF!</v>
      </c>
      <c r="F346">
        <v>105.7</v>
      </c>
      <c r="G346">
        <f>(Cpi_[[#This Row],[Value]]-F345)/F345</f>
        <v>-1.0299625468164741E-2</v>
      </c>
      <c r="H346" t="e" cm="1" vm="1">
        <f t="array" aca="1" ref="H346" ca="1">VLOOKUP(Cpi_[[#This Row],[Year]:[Month]],crudeoil[],3,FALSE)</f>
        <v>#VALUE!</v>
      </c>
    </row>
    <row r="347" spans="1:8" hidden="1" x14ac:dyDescent="0.3">
      <c r="A347" t="s">
        <v>30</v>
      </c>
      <c r="B347">
        <v>2013</v>
      </c>
      <c r="C347" t="s">
        <v>38</v>
      </c>
      <c r="D347" t="s">
        <v>24</v>
      </c>
      <c r="E347" t="e">
        <f>VLOOKUP(Cpi_[[#This Row],[Attribute]],#REF!,2,FALSE)</f>
        <v>#REF!</v>
      </c>
      <c r="F347">
        <v>104.1</v>
      </c>
      <c r="G347">
        <f>(Cpi_[[#This Row],[Value]]-F346)/F346</f>
        <v>-1.5137180700094687E-2</v>
      </c>
      <c r="H347" t="e" cm="1" vm="1">
        <f t="array" aca="1" ref="H347" ca="1">VLOOKUP(Cpi_[[#This Row],[Year]:[Month]],crudeoil[],3,FALSE)</f>
        <v>#VALUE!</v>
      </c>
    </row>
    <row r="348" spans="1:8" hidden="1" x14ac:dyDescent="0.3">
      <c r="A348" t="s">
        <v>30</v>
      </c>
      <c r="B348">
        <v>2013</v>
      </c>
      <c r="C348" t="s">
        <v>38</v>
      </c>
      <c r="D348" t="s">
        <v>25</v>
      </c>
      <c r="E348" t="e">
        <f>VLOOKUP(Cpi_[[#This Row],[Attribute]],#REF!,2,FALSE)</f>
        <v>#REF!</v>
      </c>
      <c r="F348">
        <v>105</v>
      </c>
      <c r="G348">
        <f>(Cpi_[[#This Row],[Value]]-F347)/F347</f>
        <v>8.6455331412104292E-3</v>
      </c>
      <c r="H348" t="e" cm="1" vm="1">
        <f t="array" aca="1" ref="H348" ca="1">VLOOKUP(Cpi_[[#This Row],[Year]:[Month]],crudeoil[],3,FALSE)</f>
        <v>#VALUE!</v>
      </c>
    </row>
    <row r="349" spans="1:8" hidden="1" x14ac:dyDescent="0.3">
      <c r="A349" t="s">
        <v>30</v>
      </c>
      <c r="B349">
        <v>2013</v>
      </c>
      <c r="C349" t="s">
        <v>38</v>
      </c>
      <c r="D349" t="s">
        <v>26</v>
      </c>
      <c r="E349" t="e">
        <f>VLOOKUP(Cpi_[[#This Row],[Attribute]],#REF!,2,FALSE)</f>
        <v>#REF!</v>
      </c>
      <c r="F349">
        <v>105.5</v>
      </c>
      <c r="G349">
        <f>(Cpi_[[#This Row],[Value]]-F348)/F348</f>
        <v>4.7619047619047623E-3</v>
      </c>
      <c r="H349" t="e" cm="1" vm="1">
        <f t="array" aca="1" ref="H349" ca="1">VLOOKUP(Cpi_[[#This Row],[Year]:[Month]],crudeoil[],3,FALSE)</f>
        <v>#VALUE!</v>
      </c>
    </row>
    <row r="350" spans="1:8" hidden="1" x14ac:dyDescent="0.3">
      <c r="A350" t="s">
        <v>30</v>
      </c>
      <c r="B350">
        <v>2013</v>
      </c>
      <c r="C350" t="s">
        <v>38</v>
      </c>
      <c r="D350" t="s">
        <v>27</v>
      </c>
      <c r="E350" t="e">
        <f>VLOOKUP(Cpi_[[#This Row],[Attribute]],#REF!,2,FALSE)</f>
        <v>#REF!</v>
      </c>
      <c r="F350">
        <v>102.1</v>
      </c>
      <c r="G350">
        <f>(Cpi_[[#This Row],[Value]]-F349)/F349</f>
        <v>-3.2227488151658823E-2</v>
      </c>
      <c r="H350" t="e" cm="1" vm="1">
        <f t="array" aca="1" ref="H350" ca="1">VLOOKUP(Cpi_[[#This Row],[Year]:[Month]],crudeoil[],3,FALSE)</f>
        <v>#VALUE!</v>
      </c>
    </row>
    <row r="351" spans="1:8" hidden="1" x14ac:dyDescent="0.3">
      <c r="A351" t="s">
        <v>30</v>
      </c>
      <c r="B351">
        <v>2013</v>
      </c>
      <c r="C351" t="s">
        <v>38</v>
      </c>
      <c r="D351" t="s">
        <v>28</v>
      </c>
      <c r="E351" t="e">
        <f>VLOOKUP(Cpi_[[#This Row],[Attribute]],#REF!,2,FALSE)</f>
        <v>#REF!</v>
      </c>
      <c r="F351">
        <v>104.8</v>
      </c>
      <c r="G351">
        <f>(Cpi_[[#This Row],[Value]]-F350)/F350</f>
        <v>2.644466209598436E-2</v>
      </c>
      <c r="H351" t="e" cm="1" vm="1">
        <f t="array" aca="1" ref="H351" ca="1">VLOOKUP(Cpi_[[#This Row],[Year]:[Month]],crudeoil[],3,FALSE)</f>
        <v>#VALUE!</v>
      </c>
    </row>
    <row r="352" spans="1:8" hidden="1" x14ac:dyDescent="0.3">
      <c r="A352" t="s">
        <v>30</v>
      </c>
      <c r="B352">
        <v>2013</v>
      </c>
      <c r="C352" t="s">
        <v>38</v>
      </c>
      <c r="D352" t="s">
        <v>29</v>
      </c>
      <c r="E352" t="e" cm="1">
        <f t="array" aca="1" ref="E352" ca="1">VLGeneral indexGeneral indexKUP(Cpi_[[#This Row],[Attribute]],#REF!,2,FALSE)</f>
        <v>#NAME?</v>
      </c>
      <c r="F352">
        <v>107.2</v>
      </c>
      <c r="G352">
        <f>(Cpi_[[#This Row],[Value]]-F351)/F351</f>
        <v>2.2900763358778681E-2</v>
      </c>
      <c r="H352" t="e" cm="1" vm="1">
        <f t="array" aca="1" ref="H352" ca="1">VLOOKUP(Cpi_[[#This Row],[Year]:[Month]],crudeoil[],3,FALSE)</f>
        <v>#VALUE!</v>
      </c>
    </row>
    <row r="353" spans="1:8" hidden="1" x14ac:dyDescent="0.3">
      <c r="A353" t="s">
        <v>33</v>
      </c>
      <c r="B353">
        <v>2013</v>
      </c>
      <c r="C353" t="s">
        <v>38</v>
      </c>
      <c r="D353" t="s">
        <v>3</v>
      </c>
      <c r="E353" t="e">
        <f>VLOOKUP(Cpi_[[#This Row],[Attribute]],#REF!,2,FALSE)</f>
        <v>#REF!</v>
      </c>
      <c r="F353">
        <v>115.4</v>
      </c>
      <c r="G353">
        <f>(Cpi_[[#This Row],[Value]]-F352)/F352</f>
        <v>7.6492537313432862E-2</v>
      </c>
      <c r="H353" t="e" cm="1" vm="1">
        <f t="array" aca="1" ref="H353" ca="1">VLOOKUP(Cpi_[[#This Row],[Year]:[Month]],crudeoil[],3,FALSE)</f>
        <v>#VALUE!</v>
      </c>
    </row>
    <row r="354" spans="1:8" hidden="1" x14ac:dyDescent="0.3">
      <c r="A354" t="s">
        <v>33</v>
      </c>
      <c r="B354">
        <v>2013</v>
      </c>
      <c r="C354" t="s">
        <v>38</v>
      </c>
      <c r="D354" t="s">
        <v>4</v>
      </c>
      <c r="E354" t="e">
        <f>VLOOKUP(Cpi_[[#This Row],[Attribute]],#REF!,2,FALSE)</f>
        <v>#REF!</v>
      </c>
      <c r="F354">
        <v>114.2</v>
      </c>
      <c r="G354">
        <f>(Cpi_[[#This Row],[Value]]-F353)/F353</f>
        <v>-1.0398613518197597E-2</v>
      </c>
      <c r="H354" t="e" cm="1" vm="1">
        <f t="array" aca="1" ref="H354" ca="1">VLOOKUP(Cpi_[[#This Row],[Year]:[Month]],crudeoil[],3,FALSE)</f>
        <v>#VALUE!</v>
      </c>
    </row>
    <row r="355" spans="1:8" hidden="1" x14ac:dyDescent="0.3">
      <c r="A355" t="s">
        <v>33</v>
      </c>
      <c r="B355">
        <v>2013</v>
      </c>
      <c r="C355" t="s">
        <v>38</v>
      </c>
      <c r="D355" t="s">
        <v>5</v>
      </c>
      <c r="E355" t="e">
        <f>VLOOKUP(Cpi_[[#This Row],[Attribute]],#REF!,2,FALSE)</f>
        <v>#REF!</v>
      </c>
      <c r="F355">
        <v>102.7</v>
      </c>
      <c r="G355">
        <f>(Cpi_[[#This Row],[Value]]-F354)/F354</f>
        <v>-0.10070052539404553</v>
      </c>
      <c r="H355" t="e" cm="1" vm="1">
        <f t="array" aca="1" ref="H355" ca="1">VLOOKUP(Cpi_[[#This Row],[Year]:[Month]],crudeoil[],3,FALSE)</f>
        <v>#VALUE!</v>
      </c>
    </row>
    <row r="356" spans="1:8" hidden="1" x14ac:dyDescent="0.3">
      <c r="A356" t="s">
        <v>33</v>
      </c>
      <c r="B356">
        <v>2013</v>
      </c>
      <c r="C356" t="s">
        <v>38</v>
      </c>
      <c r="D356" t="s">
        <v>6</v>
      </c>
      <c r="E356" t="e">
        <f>VLOOKUP(Cpi_[[#This Row],[Attribute]],#REF!,2,FALSE)</f>
        <v>#REF!</v>
      </c>
      <c r="F356">
        <v>105.5</v>
      </c>
      <c r="G356">
        <f>(Cpi_[[#This Row],[Value]]-F355)/F355</f>
        <v>2.726387536514116E-2</v>
      </c>
      <c r="H356" t="e" cm="1" vm="1">
        <f t="array" aca="1" ref="H356" ca="1">VLOOKUP(Cpi_[[#This Row],[Year]:[Month]],crudeoil[],3,FALSE)</f>
        <v>#VALUE!</v>
      </c>
    </row>
    <row r="357" spans="1:8" hidden="1" x14ac:dyDescent="0.3">
      <c r="A357" t="s">
        <v>33</v>
      </c>
      <c r="B357">
        <v>2013</v>
      </c>
      <c r="C357" t="s">
        <v>38</v>
      </c>
      <c r="D357" t="s">
        <v>7</v>
      </c>
      <c r="E357" t="e">
        <f>VLOOKUP(Cpi_[[#This Row],[Attribute]],#REF!,2,FALSE)</f>
        <v>#REF!</v>
      </c>
      <c r="F357">
        <v>101.5</v>
      </c>
      <c r="G357">
        <f>(Cpi_[[#This Row],[Value]]-F356)/F356</f>
        <v>-3.7914691943127965E-2</v>
      </c>
      <c r="H357" t="e" cm="1" vm="1">
        <f t="array" aca="1" ref="H357" ca="1">VLOOKUP(Cpi_[[#This Row],[Year]:[Month]],crudeoil[],3,FALSE)</f>
        <v>#VALUE!</v>
      </c>
    </row>
    <row r="358" spans="1:8" hidden="1" x14ac:dyDescent="0.3">
      <c r="A358" t="s">
        <v>33</v>
      </c>
      <c r="B358">
        <v>2013</v>
      </c>
      <c r="C358" t="s">
        <v>38</v>
      </c>
      <c r="D358" t="s">
        <v>8</v>
      </c>
      <c r="E358" t="e">
        <f>VLOOKUP(Cpi_[[#This Row],[Attribute]],#REF!,2,FALSE)</f>
        <v>#REF!</v>
      </c>
      <c r="F358">
        <v>110.6</v>
      </c>
      <c r="G358">
        <f>(Cpi_[[#This Row],[Value]]-F357)/F357</f>
        <v>8.9655172413793047E-2</v>
      </c>
      <c r="H358" t="e" cm="1" vm="1">
        <f t="array" aca="1" ref="H358" ca="1">VLOOKUP(Cpi_[[#This Row],[Year]:[Month]],crudeoil[],3,FALSE)</f>
        <v>#VALUE!</v>
      </c>
    </row>
    <row r="359" spans="1:8" hidden="1" x14ac:dyDescent="0.3">
      <c r="A359" t="s">
        <v>33</v>
      </c>
      <c r="B359">
        <v>2013</v>
      </c>
      <c r="C359" t="s">
        <v>38</v>
      </c>
      <c r="D359" t="s">
        <v>9</v>
      </c>
      <c r="E359" t="e">
        <f>VLOOKUP(Cpi_[[#This Row],[Attribute]],#REF!,2,FALSE)</f>
        <v>#REF!</v>
      </c>
      <c r="F359">
        <v>123.7</v>
      </c>
      <c r="G359">
        <f>(Cpi_[[#This Row],[Value]]-F358)/F358</f>
        <v>0.11844484629294764</v>
      </c>
      <c r="H359" t="e" cm="1" vm="1">
        <f t="array" aca="1" ref="H359" ca="1">VLOOKUP(Cpi_[[#This Row],[Year]:[Month]],crudeoil[],3,FALSE)</f>
        <v>#VALUE!</v>
      </c>
    </row>
    <row r="360" spans="1:8" hidden="1" x14ac:dyDescent="0.3">
      <c r="A360" t="s">
        <v>33</v>
      </c>
      <c r="B360">
        <v>2013</v>
      </c>
      <c r="C360" t="s">
        <v>38</v>
      </c>
      <c r="D360" t="s">
        <v>10</v>
      </c>
      <c r="E360" t="e">
        <f>VLOOKUP(Cpi_[[#This Row],[Attribute]],#REF!,2,FALSE)</f>
        <v>#REF!</v>
      </c>
      <c r="F360">
        <v>105.2</v>
      </c>
      <c r="G360">
        <f>(Cpi_[[#This Row],[Value]]-F359)/F359</f>
        <v>-0.14955537590945836</v>
      </c>
      <c r="H360" t="e" cm="1" vm="1">
        <f t="array" aca="1" ref="H360" ca="1">VLOOKUP(Cpi_[[#This Row],[Year]:[Month]],crudeoil[],3,FALSE)</f>
        <v>#VALUE!</v>
      </c>
    </row>
    <row r="361" spans="1:8" hidden="1" x14ac:dyDescent="0.3">
      <c r="A361" t="s">
        <v>33</v>
      </c>
      <c r="B361">
        <v>2013</v>
      </c>
      <c r="C361" t="s">
        <v>38</v>
      </c>
      <c r="D361" t="s">
        <v>11</v>
      </c>
      <c r="E361" t="e">
        <f>VLOOKUP(Cpi_[[#This Row],[Attribute]],#REF!,2,FALSE)</f>
        <v>#REF!</v>
      </c>
      <c r="F361">
        <v>101.9</v>
      </c>
      <c r="G361">
        <f>(Cpi_[[#This Row],[Value]]-F360)/F360</f>
        <v>-3.1368821292775635E-2</v>
      </c>
      <c r="H361" t="e" cm="1" vm="1">
        <f t="array" aca="1" ref="H361" ca="1">VLOOKUP(Cpi_[[#This Row],[Year]:[Month]],crudeoil[],3,FALSE)</f>
        <v>#VALUE!</v>
      </c>
    </row>
    <row r="362" spans="1:8" hidden="1" x14ac:dyDescent="0.3">
      <c r="A362" t="s">
        <v>33</v>
      </c>
      <c r="B362">
        <v>2013</v>
      </c>
      <c r="C362" t="s">
        <v>38</v>
      </c>
      <c r="D362" t="s">
        <v>12</v>
      </c>
      <c r="E362" t="e">
        <f>VLOOKUP(Cpi_[[#This Row],[Attribute]],#REF!,2,FALSE)</f>
        <v>#REF!</v>
      </c>
      <c r="F362">
        <v>105</v>
      </c>
      <c r="G362">
        <f>(Cpi_[[#This Row],[Value]]-F361)/F361</f>
        <v>3.0421982335623102E-2</v>
      </c>
      <c r="H362" t="e" cm="1" vm="1">
        <f t="array" aca="1" ref="H362" ca="1">VLOOKUP(Cpi_[[#This Row],[Year]:[Month]],crudeoil[],3,FALSE)</f>
        <v>#VALUE!</v>
      </c>
    </row>
    <row r="363" spans="1:8" hidden="1" x14ac:dyDescent="0.3">
      <c r="A363" t="s">
        <v>33</v>
      </c>
      <c r="B363">
        <v>2013</v>
      </c>
      <c r="C363" t="s">
        <v>38</v>
      </c>
      <c r="D363" t="s">
        <v>13</v>
      </c>
      <c r="E363" t="e">
        <f>VLOOKUP(Cpi_[[#This Row],[Attribute]],#REF!,2,FALSE)</f>
        <v>#REF!</v>
      </c>
      <c r="F363">
        <v>109.1</v>
      </c>
      <c r="G363">
        <f>(Cpi_[[#This Row],[Value]]-F362)/F362</f>
        <v>3.9047619047618991E-2</v>
      </c>
      <c r="H363" t="e" cm="1" vm="1">
        <f t="array" aca="1" ref="H363" ca="1">VLOOKUP(Cpi_[[#This Row],[Year]:[Month]],crudeoil[],3,FALSE)</f>
        <v>#VALUE!</v>
      </c>
    </row>
    <row r="364" spans="1:8" hidden="1" x14ac:dyDescent="0.3">
      <c r="A364" t="s">
        <v>33</v>
      </c>
      <c r="B364">
        <v>2013</v>
      </c>
      <c r="C364" t="s">
        <v>38</v>
      </c>
      <c r="D364" t="s">
        <v>14</v>
      </c>
      <c r="E364" t="e">
        <f>VLOOKUP(Cpi_[[#This Row],[Attribute]],#REF!,2,FALSE)</f>
        <v>#REF!</v>
      </c>
      <c r="F364">
        <v>111.3</v>
      </c>
      <c r="G364">
        <f>(Cpi_[[#This Row],[Value]]-F363)/F363</f>
        <v>2.0164986251145763E-2</v>
      </c>
      <c r="H364" t="e" cm="1" vm="1">
        <f t="array" aca="1" ref="H364" ca="1">VLOOKUP(Cpi_[[#This Row],[Year]:[Month]],crudeoil[],3,FALSE)</f>
        <v>#VALUE!</v>
      </c>
    </row>
    <row r="365" spans="1:8" hidden="1" x14ac:dyDescent="0.3">
      <c r="A365" t="s">
        <v>33</v>
      </c>
      <c r="B365">
        <v>2013</v>
      </c>
      <c r="C365" t="s">
        <v>38</v>
      </c>
      <c r="D365" t="s">
        <v>15</v>
      </c>
      <c r="E365" t="e">
        <f>VLOOKUP(Cpi_[[#This Row],[Attribute]],#REF!,2,FALSE)</f>
        <v>#REF!</v>
      </c>
      <c r="F365">
        <v>111.1</v>
      </c>
      <c r="G365">
        <f>(Cpi_[[#This Row],[Value]]-F364)/F364</f>
        <v>-1.7969451931716339E-3</v>
      </c>
      <c r="H365" t="e" cm="1" vm="1">
        <f t="array" aca="1" ref="H365" ca="1">VLOOKUP(Cpi_[[#This Row],[Year]:[Month]],crudeoil[],3,FALSE)</f>
        <v>#VALUE!</v>
      </c>
    </row>
    <row r="366" spans="1:8" hidden="1" x14ac:dyDescent="0.3">
      <c r="A366" t="s">
        <v>33</v>
      </c>
      <c r="B366">
        <v>2013</v>
      </c>
      <c r="C366" t="s">
        <v>38</v>
      </c>
      <c r="D366" t="s">
        <v>16</v>
      </c>
      <c r="E366" t="e">
        <f>VLOOKUP(Cpi_[[#This Row],[Attribute]],#REF!,2,FALSE)</f>
        <v>#REF!</v>
      </c>
      <c r="F366">
        <v>109.8</v>
      </c>
      <c r="G366">
        <f>(Cpi_[[#This Row],[Value]]-F365)/F365</f>
        <v>-1.1701170117011677E-2</v>
      </c>
      <c r="H366" t="e" cm="1" vm="1">
        <f t="array" aca="1" ref="H366" ca="1">VLOOKUP(Cpi_[[#This Row],[Year]:[Month]],crudeoil[],3,FALSE)</f>
        <v>#VALUE!</v>
      </c>
    </row>
    <row r="367" spans="1:8" hidden="1" x14ac:dyDescent="0.3">
      <c r="A367" t="s">
        <v>33</v>
      </c>
      <c r="B367">
        <v>2013</v>
      </c>
      <c r="C367" t="s">
        <v>38</v>
      </c>
      <c r="D367" t="s">
        <v>17</v>
      </c>
      <c r="E367" t="e">
        <f>VLOOKUP(Cpi_[[#This Row],[Attribute]],#REF!,2,FALSE)</f>
        <v>#REF!</v>
      </c>
      <c r="F367">
        <v>108.5</v>
      </c>
      <c r="G367">
        <f>(Cpi_[[#This Row],[Value]]-F366)/F366</f>
        <v>-1.1839708561020011E-2</v>
      </c>
      <c r="H367" t="e" cm="1" vm="1">
        <f t="array" aca="1" ref="H367" ca="1">VLOOKUP(Cpi_[[#This Row],[Year]:[Month]],crudeoil[],3,FALSE)</f>
        <v>#VALUE!</v>
      </c>
    </row>
    <row r="368" spans="1:8" hidden="1" x14ac:dyDescent="0.3">
      <c r="A368" t="s">
        <v>33</v>
      </c>
      <c r="B368">
        <v>2013</v>
      </c>
      <c r="C368" t="s">
        <v>38</v>
      </c>
      <c r="D368" t="s">
        <v>18</v>
      </c>
      <c r="E368" t="e">
        <f>VLOOKUP(Cpi_[[#This Row],[Attribute]],#REF!,2,FALSE)</f>
        <v>#REF!</v>
      </c>
      <c r="F368">
        <v>106.7</v>
      </c>
      <c r="G368">
        <f>(Cpi_[[#This Row],[Value]]-F367)/F367</f>
        <v>-1.6589861751152048E-2</v>
      </c>
      <c r="H368" t="e" cm="1" vm="1">
        <f t="array" aca="1" ref="H368" ca="1">VLOOKUP(Cpi_[[#This Row],[Year]:[Month]],crudeoil[],3,FALSE)</f>
        <v>#VALUE!</v>
      </c>
    </row>
    <row r="369" spans="1:8" hidden="1" x14ac:dyDescent="0.3">
      <c r="A369" t="s">
        <v>33</v>
      </c>
      <c r="B369">
        <v>2013</v>
      </c>
      <c r="C369" t="s">
        <v>38</v>
      </c>
      <c r="D369" t="s">
        <v>19</v>
      </c>
      <c r="E369" t="e">
        <f>VLOOKUP(Cpi_[[#This Row],[Attribute]],#REF!,2,FALSE)</f>
        <v>#REF!</v>
      </c>
      <c r="F369">
        <v>108.3</v>
      </c>
      <c r="G369">
        <f>(Cpi_[[#This Row],[Value]]-F368)/F368</f>
        <v>1.4995313964386076E-2</v>
      </c>
      <c r="H369" t="e" cm="1" vm="1">
        <f t="array" aca="1" ref="H369" ca="1">VLOOKUP(Cpi_[[#This Row],[Year]:[Month]],crudeoil[],3,FALSE)</f>
        <v>#VALUE!</v>
      </c>
    </row>
    <row r="370" spans="1:8" hidden="1" x14ac:dyDescent="0.3">
      <c r="A370" t="s">
        <v>33</v>
      </c>
      <c r="B370">
        <v>2013</v>
      </c>
      <c r="C370" t="s">
        <v>38</v>
      </c>
      <c r="D370" t="s">
        <v>20</v>
      </c>
      <c r="E370" t="e">
        <f>VLOOKUP(Cpi_[[#This Row],[Attribute]],#REF!,2,FALSE)</f>
        <v>#REF!</v>
      </c>
      <c r="F370">
        <v>100.5</v>
      </c>
      <c r="G370">
        <f>(Cpi_[[#This Row],[Value]]-F369)/F369</f>
        <v>-7.2022160664819923E-2</v>
      </c>
      <c r="H370" t="e" cm="1" vm="1">
        <f t="array" aca="1" ref="H370" ca="1">VLOOKUP(Cpi_[[#This Row],[Year]:[Month]],crudeoil[],3,FALSE)</f>
        <v>#VALUE!</v>
      </c>
    </row>
    <row r="371" spans="1:8" hidden="1" x14ac:dyDescent="0.3">
      <c r="A371" t="s">
        <v>33</v>
      </c>
      <c r="B371">
        <v>2013</v>
      </c>
      <c r="C371" t="s">
        <v>38</v>
      </c>
      <c r="D371" t="s">
        <v>21</v>
      </c>
      <c r="E371" t="e">
        <f>VLOOKUP(Cpi_[[#This Row],[Attribute]],#REF!,2,FALSE)</f>
        <v>#REF!</v>
      </c>
      <c r="F371">
        <v>107.2</v>
      </c>
      <c r="G371">
        <f>(Cpi_[[#This Row],[Value]]-F370)/F370</f>
        <v>6.6666666666666693E-2</v>
      </c>
      <c r="H371" t="e" cm="1" vm="1">
        <f t="array" aca="1" ref="H371" ca="1">VLOOKUP(Cpi_[[#This Row],[Year]:[Month]],crudeoil[],3,FALSE)</f>
        <v>#VALUE!</v>
      </c>
    </row>
    <row r="372" spans="1:8" hidden="1" x14ac:dyDescent="0.3">
      <c r="A372" t="s">
        <v>33</v>
      </c>
      <c r="B372">
        <v>2013</v>
      </c>
      <c r="C372" t="s">
        <v>38</v>
      </c>
      <c r="D372" t="s">
        <v>22</v>
      </c>
      <c r="E372" t="e">
        <f>VLOOKUP(Cpi_[[#This Row],[Attribute]],#REF!,2,FALSE)</f>
        <v>#REF!</v>
      </c>
      <c r="F372">
        <v>107.1</v>
      </c>
      <c r="G372">
        <f>(Cpi_[[#This Row],[Value]]-F371)/F371</f>
        <v>-9.3283582089560195E-4</v>
      </c>
      <c r="H372" t="e" cm="1" vm="1">
        <f t="array" aca="1" ref="H372" ca="1">VLOOKUP(Cpi_[[#This Row],[Year]:[Month]],crudeoil[],3,FALSE)</f>
        <v>#VALUE!</v>
      </c>
    </row>
    <row r="373" spans="1:8" hidden="1" x14ac:dyDescent="0.3">
      <c r="A373" t="s">
        <v>33</v>
      </c>
      <c r="B373">
        <v>2013</v>
      </c>
      <c r="C373" t="s">
        <v>38</v>
      </c>
      <c r="D373" t="s">
        <v>23</v>
      </c>
      <c r="E373" t="e">
        <f>VLOOKUP(Cpi_[[#This Row],[Attribute]],#REF!,2,FALSE)</f>
        <v>#REF!</v>
      </c>
      <c r="F373">
        <v>106.2</v>
      </c>
      <c r="G373">
        <f>(Cpi_[[#This Row],[Value]]-F372)/F372</f>
        <v>-8.4033613445377367E-3</v>
      </c>
      <c r="H373" t="e" cm="1" vm="1">
        <f t="array" aca="1" ref="H373" ca="1">VLOOKUP(Cpi_[[#This Row],[Year]:[Month]],crudeoil[],3,FALSE)</f>
        <v>#VALUE!</v>
      </c>
    </row>
    <row r="374" spans="1:8" hidden="1" x14ac:dyDescent="0.3">
      <c r="A374" t="s">
        <v>33</v>
      </c>
      <c r="B374">
        <v>2013</v>
      </c>
      <c r="C374" t="s">
        <v>38</v>
      </c>
      <c r="D374" t="s">
        <v>24</v>
      </c>
      <c r="E374" t="e">
        <f>VLOOKUP(Cpi_[[#This Row],[Attribute]],#REF!,2,FALSE)</f>
        <v>#REF!</v>
      </c>
      <c r="F374">
        <v>103.9</v>
      </c>
      <c r="G374">
        <f>(Cpi_[[#This Row],[Value]]-F373)/F373</f>
        <v>-2.1657250470809766E-2</v>
      </c>
      <c r="H374" t="e" cm="1" vm="1">
        <f t="array" aca="1" ref="H374" ca="1">VLOOKUP(Cpi_[[#This Row],[Year]:[Month]],crudeoil[],3,FALSE)</f>
        <v>#VALUE!</v>
      </c>
    </row>
    <row r="375" spans="1:8" hidden="1" x14ac:dyDescent="0.3">
      <c r="A375" t="s">
        <v>33</v>
      </c>
      <c r="B375">
        <v>2013</v>
      </c>
      <c r="C375" t="s">
        <v>38</v>
      </c>
      <c r="D375" t="s">
        <v>25</v>
      </c>
      <c r="E375" t="e">
        <f>VLOOKUP(Cpi_[[#This Row],[Attribute]],#REF!,2,FALSE)</f>
        <v>#REF!</v>
      </c>
      <c r="F375">
        <v>104.6</v>
      </c>
      <c r="G375">
        <f>(Cpi_[[#This Row],[Value]]-F374)/F374</f>
        <v>6.7372473532241444E-3</v>
      </c>
      <c r="H375" t="e" cm="1" vm="1">
        <f t="array" aca="1" ref="H375" ca="1">VLOOKUP(Cpi_[[#This Row],[Year]:[Month]],crudeoil[],3,FALSE)</f>
        <v>#VALUE!</v>
      </c>
    </row>
    <row r="376" spans="1:8" hidden="1" x14ac:dyDescent="0.3">
      <c r="A376" t="s">
        <v>33</v>
      </c>
      <c r="B376">
        <v>2013</v>
      </c>
      <c r="C376" t="s">
        <v>38</v>
      </c>
      <c r="D376" t="s">
        <v>26</v>
      </c>
      <c r="E376" t="e">
        <f>VLOOKUP(Cpi_[[#This Row],[Attribute]],#REF!,2,FALSE)</f>
        <v>#REF!</v>
      </c>
      <c r="F376">
        <v>105.7</v>
      </c>
      <c r="G376">
        <f>(Cpi_[[#This Row],[Value]]-F375)/F375</f>
        <v>1.0516252390057443E-2</v>
      </c>
      <c r="H376" t="e" cm="1" vm="1">
        <f t="array" aca="1" ref="H376" ca="1">VLOOKUP(Cpi_[[#This Row],[Year]:[Month]],crudeoil[],3,FALSE)</f>
        <v>#VALUE!</v>
      </c>
    </row>
    <row r="377" spans="1:8" hidden="1" x14ac:dyDescent="0.3">
      <c r="A377" t="s">
        <v>33</v>
      </c>
      <c r="B377">
        <v>2013</v>
      </c>
      <c r="C377" t="s">
        <v>38</v>
      </c>
      <c r="D377" t="s">
        <v>27</v>
      </c>
      <c r="E377" t="e">
        <f>VLOOKUP(Cpi_[[#This Row],[Attribute]],#REF!,2,FALSE)</f>
        <v>#REF!</v>
      </c>
      <c r="F377">
        <v>102.6</v>
      </c>
      <c r="G377">
        <f>(Cpi_[[#This Row],[Value]]-F376)/F376</f>
        <v>-2.9328287606433381E-2</v>
      </c>
      <c r="H377" t="e" cm="1" vm="1">
        <f t="array" aca="1" ref="H377" ca="1">VLOOKUP(Cpi_[[#This Row],[Year]:[Month]],crudeoil[],3,FALSE)</f>
        <v>#VALUE!</v>
      </c>
    </row>
    <row r="378" spans="1:8" hidden="1" x14ac:dyDescent="0.3">
      <c r="A378" t="s">
        <v>33</v>
      </c>
      <c r="B378">
        <v>2013</v>
      </c>
      <c r="C378" t="s">
        <v>38</v>
      </c>
      <c r="D378" t="s">
        <v>28</v>
      </c>
      <c r="E378" t="e">
        <f>VLOOKUP(Cpi_[[#This Row],[Attribute]],#REF!,2,FALSE)</f>
        <v>#REF!</v>
      </c>
      <c r="F378">
        <v>104.9</v>
      </c>
      <c r="G378">
        <f>(Cpi_[[#This Row],[Value]]-F377)/F377</f>
        <v>2.2417153996101478E-2</v>
      </c>
      <c r="H378" t="e" cm="1" vm="1">
        <f t="array" aca="1" ref="H378" ca="1">VLOOKUP(Cpi_[[#This Row],[Year]:[Month]],crudeoil[],3,FALSE)</f>
        <v>#VALUE!</v>
      </c>
    </row>
    <row r="379" spans="1:8" hidden="1" x14ac:dyDescent="0.3">
      <c r="A379" t="s">
        <v>33</v>
      </c>
      <c r="B379">
        <v>2013</v>
      </c>
      <c r="C379" t="s">
        <v>38</v>
      </c>
      <c r="D379" t="s">
        <v>29</v>
      </c>
      <c r="E379" t="e" cm="1">
        <f t="array" aca="1" ref="E379" ca="1">VLGeneral indexGeneral indexKUP(Cpi_[[#This Row],[Attribute]],#REF!,2,FALSE)</f>
        <v>#NAME?</v>
      </c>
      <c r="F379">
        <v>106.6</v>
      </c>
      <c r="G379">
        <f>(Cpi_[[#This Row],[Value]]-F378)/F378</f>
        <v>1.6205910390848319E-2</v>
      </c>
      <c r="H379" t="e" cm="1" vm="1">
        <f t="array" aca="1" ref="H379" ca="1">VLOOKUP(Cpi_[[#This Row],[Year]:[Month]],crudeoil[],3,FALSE)</f>
        <v>#VALUE!</v>
      </c>
    </row>
    <row r="380" spans="1:8" hidden="1" x14ac:dyDescent="0.3">
      <c r="A380" t="s">
        <v>34</v>
      </c>
      <c r="B380">
        <v>2013</v>
      </c>
      <c r="C380" t="s">
        <v>38</v>
      </c>
      <c r="D380" t="s">
        <v>3</v>
      </c>
      <c r="E380" t="e">
        <f>VLOOKUP(Cpi_[[#This Row],[Attribute]],#REF!,2,FALSE)</f>
        <v>#REF!</v>
      </c>
      <c r="F380">
        <v>112.3</v>
      </c>
      <c r="G380">
        <f>(Cpi_[[#This Row],[Value]]-F379)/F379</f>
        <v>5.3470919324577891E-2</v>
      </c>
      <c r="H380" t="e" cm="1" vm="1">
        <f t="array" aca="1" ref="H380" ca="1">VLOOKUP(Cpi_[[#This Row],[Year]:[Month]],crudeoil[],3,FALSE)</f>
        <v>#VALUE!</v>
      </c>
    </row>
    <row r="381" spans="1:8" hidden="1" x14ac:dyDescent="0.3">
      <c r="A381" t="s">
        <v>34</v>
      </c>
      <c r="B381">
        <v>2013</v>
      </c>
      <c r="C381" t="s">
        <v>38</v>
      </c>
      <c r="D381" t="s">
        <v>4</v>
      </c>
      <c r="E381" t="e">
        <f>VLOOKUP(Cpi_[[#This Row],[Attribute]],#REF!,2,FALSE)</f>
        <v>#REF!</v>
      </c>
      <c r="F381">
        <v>111.3</v>
      </c>
      <c r="G381">
        <f>(Cpi_[[#This Row],[Value]]-F380)/F380</f>
        <v>-8.9047195013357075E-3</v>
      </c>
      <c r="H381" t="e" cm="1" vm="1">
        <f t="array" aca="1" ref="H381" ca="1">VLOOKUP(Cpi_[[#This Row],[Year]:[Month]],crudeoil[],3,FALSE)</f>
        <v>#VALUE!</v>
      </c>
    </row>
    <row r="382" spans="1:8" hidden="1" x14ac:dyDescent="0.3">
      <c r="A382" t="s">
        <v>34</v>
      </c>
      <c r="B382">
        <v>2013</v>
      </c>
      <c r="C382" t="s">
        <v>38</v>
      </c>
      <c r="D382" t="s">
        <v>5</v>
      </c>
      <c r="E382" t="e">
        <f>VLOOKUP(Cpi_[[#This Row],[Attribute]],#REF!,2,FALSE)</f>
        <v>#REF!</v>
      </c>
      <c r="F382">
        <v>104.7</v>
      </c>
      <c r="G382">
        <f>(Cpi_[[#This Row],[Value]]-F381)/F381</f>
        <v>-5.9299191374663024E-2</v>
      </c>
      <c r="H382" t="e" cm="1" vm="1">
        <f t="array" aca="1" ref="H382" ca="1">VLOOKUP(Cpi_[[#This Row],[Year]:[Month]],crudeoil[],3,FALSE)</f>
        <v>#VALUE!</v>
      </c>
    </row>
    <row r="383" spans="1:8" hidden="1" x14ac:dyDescent="0.3">
      <c r="A383" t="s">
        <v>34</v>
      </c>
      <c r="B383">
        <v>2013</v>
      </c>
      <c r="C383" t="s">
        <v>38</v>
      </c>
      <c r="D383" t="s">
        <v>6</v>
      </c>
      <c r="E383" t="e">
        <f>VLOOKUP(Cpi_[[#This Row],[Attribute]],#REF!,2,FALSE)</f>
        <v>#REF!</v>
      </c>
      <c r="F383">
        <v>106.8</v>
      </c>
      <c r="G383">
        <f>(Cpi_[[#This Row],[Value]]-F382)/F382</f>
        <v>2.0057306590257826E-2</v>
      </c>
      <c r="H383" t="e" cm="1" vm="1">
        <f t="array" aca="1" ref="H383" ca="1">VLOOKUP(Cpi_[[#This Row],[Year]:[Month]],crudeoil[],3,FALSE)</f>
        <v>#VALUE!</v>
      </c>
    </row>
    <row r="384" spans="1:8" hidden="1" x14ac:dyDescent="0.3">
      <c r="A384" t="s">
        <v>34</v>
      </c>
      <c r="B384">
        <v>2013</v>
      </c>
      <c r="C384" t="s">
        <v>38</v>
      </c>
      <c r="D384" t="s">
        <v>7</v>
      </c>
      <c r="E384" t="e">
        <f>VLOOKUP(Cpi_[[#This Row],[Attribute]],#REF!,2,FALSE)</f>
        <v>#REF!</v>
      </c>
      <c r="F384">
        <v>103.9</v>
      </c>
      <c r="G384">
        <f>(Cpi_[[#This Row],[Value]]-F383)/F383</f>
        <v>-2.7153558052434378E-2</v>
      </c>
      <c r="H384" t="e" cm="1" vm="1">
        <f t="array" aca="1" ref="H384" ca="1">VLOOKUP(Cpi_[[#This Row],[Year]:[Month]],crudeoil[],3,FALSE)</f>
        <v>#VALUE!</v>
      </c>
    </row>
    <row r="385" spans="1:8" hidden="1" x14ac:dyDescent="0.3">
      <c r="A385" t="s">
        <v>34</v>
      </c>
      <c r="B385">
        <v>2013</v>
      </c>
      <c r="C385" t="s">
        <v>38</v>
      </c>
      <c r="D385" t="s">
        <v>8</v>
      </c>
      <c r="E385" t="e">
        <f>VLOOKUP(Cpi_[[#This Row],[Attribute]],#REF!,2,FALSE)</f>
        <v>#REF!</v>
      </c>
      <c r="F385">
        <v>109.3</v>
      </c>
      <c r="G385">
        <f>(Cpi_[[#This Row],[Value]]-F384)/F384</f>
        <v>5.1973051010587017E-2</v>
      </c>
      <c r="H385" t="e" cm="1" vm="1">
        <f t="array" aca="1" ref="H385" ca="1">VLOOKUP(Cpi_[[#This Row],[Year]:[Month]],crudeoil[],3,FALSE)</f>
        <v>#VALUE!</v>
      </c>
    </row>
    <row r="386" spans="1:8" hidden="1" x14ac:dyDescent="0.3">
      <c r="A386" t="s">
        <v>34</v>
      </c>
      <c r="B386">
        <v>2013</v>
      </c>
      <c r="C386" t="s">
        <v>38</v>
      </c>
      <c r="D386" t="s">
        <v>9</v>
      </c>
      <c r="E386" t="e">
        <f>VLOOKUP(Cpi_[[#This Row],[Attribute]],#REF!,2,FALSE)</f>
        <v>#REF!</v>
      </c>
      <c r="F386">
        <v>112.9</v>
      </c>
      <c r="G386">
        <f>(Cpi_[[#This Row],[Value]]-F385)/F385</f>
        <v>3.2936870997255341E-2</v>
      </c>
      <c r="H386" t="e" cm="1" vm="1">
        <f t="array" aca="1" ref="H386" ca="1">VLOOKUP(Cpi_[[#This Row],[Year]:[Month]],crudeoil[],3,FALSE)</f>
        <v>#VALUE!</v>
      </c>
    </row>
    <row r="387" spans="1:8" hidden="1" x14ac:dyDescent="0.3">
      <c r="A387" t="s">
        <v>34</v>
      </c>
      <c r="B387">
        <v>2013</v>
      </c>
      <c r="C387" t="s">
        <v>38</v>
      </c>
      <c r="D387" t="s">
        <v>10</v>
      </c>
      <c r="E387" t="e">
        <f>VLOOKUP(Cpi_[[#This Row],[Attribute]],#REF!,2,FALSE)</f>
        <v>#REF!</v>
      </c>
      <c r="F387">
        <v>105.8</v>
      </c>
      <c r="G387">
        <f>(Cpi_[[#This Row],[Value]]-F386)/F386</f>
        <v>-6.2887511071744978E-2</v>
      </c>
      <c r="H387" t="e" cm="1" vm="1">
        <f t="array" aca="1" ref="H387" ca="1">VLOOKUP(Cpi_[[#This Row],[Year]:[Month]],crudeoil[],3,FALSE)</f>
        <v>#VALUE!</v>
      </c>
    </row>
    <row r="388" spans="1:8" hidden="1" x14ac:dyDescent="0.3">
      <c r="A388" t="s">
        <v>34</v>
      </c>
      <c r="B388">
        <v>2013</v>
      </c>
      <c r="C388" t="s">
        <v>38</v>
      </c>
      <c r="D388" t="s">
        <v>11</v>
      </c>
      <c r="E388" t="e">
        <f>VLOOKUP(Cpi_[[#This Row],[Attribute]],#REF!,2,FALSE)</f>
        <v>#REF!</v>
      </c>
      <c r="F388">
        <v>103.1</v>
      </c>
      <c r="G388">
        <f>(Cpi_[[#This Row],[Value]]-F387)/F387</f>
        <v>-2.5519848771266569E-2</v>
      </c>
      <c r="H388" t="e" cm="1" vm="1">
        <f t="array" aca="1" ref="H388" ca="1">VLOOKUP(Cpi_[[#This Row],[Year]:[Month]],crudeoil[],3,FALSE)</f>
        <v>#VALUE!</v>
      </c>
    </row>
    <row r="389" spans="1:8" hidden="1" x14ac:dyDescent="0.3">
      <c r="A389" t="s">
        <v>34</v>
      </c>
      <c r="B389">
        <v>2013</v>
      </c>
      <c r="C389" t="s">
        <v>38</v>
      </c>
      <c r="D389" t="s">
        <v>12</v>
      </c>
      <c r="E389" t="e">
        <f>VLOOKUP(Cpi_[[#This Row],[Attribute]],#REF!,2,FALSE)</f>
        <v>#REF!</v>
      </c>
      <c r="F389">
        <v>104.3</v>
      </c>
      <c r="G389">
        <f>(Cpi_[[#This Row],[Value]]-F388)/F388</f>
        <v>1.1639185257032036E-2</v>
      </c>
      <c r="H389" t="e" cm="1" vm="1">
        <f t="array" aca="1" ref="H389" ca="1">VLOOKUP(Cpi_[[#This Row],[Year]:[Month]],crudeoil[],3,FALSE)</f>
        <v>#VALUE!</v>
      </c>
    </row>
    <row r="390" spans="1:8" hidden="1" x14ac:dyDescent="0.3">
      <c r="A390" t="s">
        <v>34</v>
      </c>
      <c r="B390">
        <v>2013</v>
      </c>
      <c r="C390" t="s">
        <v>38</v>
      </c>
      <c r="D390" t="s">
        <v>13</v>
      </c>
      <c r="E390" t="e">
        <f>VLOOKUP(Cpi_[[#This Row],[Attribute]],#REF!,2,FALSE)</f>
        <v>#REF!</v>
      </c>
      <c r="F390">
        <v>108.1</v>
      </c>
      <c r="G390">
        <f>(Cpi_[[#This Row],[Value]]-F389)/F389</f>
        <v>3.6433365292425669E-2</v>
      </c>
      <c r="H390" t="e" cm="1" vm="1">
        <f t="array" aca="1" ref="H390" ca="1">VLOOKUP(Cpi_[[#This Row],[Year]:[Month]],crudeoil[],3,FALSE)</f>
        <v>#VALUE!</v>
      </c>
    </row>
    <row r="391" spans="1:8" hidden="1" x14ac:dyDescent="0.3">
      <c r="A391" t="s">
        <v>34</v>
      </c>
      <c r="B391">
        <v>2013</v>
      </c>
      <c r="C391" t="s">
        <v>38</v>
      </c>
      <c r="D391" t="s">
        <v>14</v>
      </c>
      <c r="E391" t="e">
        <f>VLOOKUP(Cpi_[[#This Row],[Attribute]],#REF!,2,FALSE)</f>
        <v>#REF!</v>
      </c>
      <c r="F391">
        <v>110.5</v>
      </c>
      <c r="G391">
        <f>(Cpi_[[#This Row],[Value]]-F390)/F390</f>
        <v>2.2201665124884421E-2</v>
      </c>
      <c r="H391" t="e" cm="1" vm="1">
        <f t="array" aca="1" ref="H391" ca="1">VLOOKUP(Cpi_[[#This Row],[Year]:[Month]],crudeoil[],3,FALSE)</f>
        <v>#VALUE!</v>
      </c>
    </row>
    <row r="392" spans="1:8" hidden="1" x14ac:dyDescent="0.3">
      <c r="A392" t="s">
        <v>34</v>
      </c>
      <c r="B392">
        <v>2013</v>
      </c>
      <c r="C392" t="s">
        <v>38</v>
      </c>
      <c r="D392" t="s">
        <v>15</v>
      </c>
      <c r="E392" t="e">
        <f>VLOOKUP(Cpi_[[#This Row],[Attribute]],#REF!,2,FALSE)</f>
        <v>#REF!</v>
      </c>
      <c r="F392">
        <v>109.2</v>
      </c>
      <c r="G392">
        <f>(Cpi_[[#This Row],[Value]]-F391)/F391</f>
        <v>-1.1764705882352915E-2</v>
      </c>
      <c r="H392" t="e" cm="1" vm="1">
        <f t="array" aca="1" ref="H392" ca="1">VLOOKUP(Cpi_[[#This Row],[Year]:[Month]],crudeoil[],3,FALSE)</f>
        <v>#VALUE!</v>
      </c>
    </row>
    <row r="393" spans="1:8" hidden="1" x14ac:dyDescent="0.3">
      <c r="A393" t="s">
        <v>34</v>
      </c>
      <c r="B393">
        <v>2013</v>
      </c>
      <c r="C393" t="s">
        <v>38</v>
      </c>
      <c r="D393" t="s">
        <v>16</v>
      </c>
      <c r="E393" t="e">
        <f>VLOOKUP(Cpi_[[#This Row],[Attribute]],#REF!,2,FALSE)</f>
        <v>#REF!</v>
      </c>
      <c r="F393">
        <v>108.6</v>
      </c>
      <c r="G393">
        <f>(Cpi_[[#This Row],[Value]]-F392)/F392</f>
        <v>-5.4945054945055721E-3</v>
      </c>
      <c r="H393" t="e" cm="1" vm="1">
        <f t="array" aca="1" ref="H393" ca="1">VLOOKUP(Cpi_[[#This Row],[Year]:[Month]],crudeoil[],3,FALSE)</f>
        <v>#VALUE!</v>
      </c>
    </row>
    <row r="394" spans="1:8" hidden="1" x14ac:dyDescent="0.3">
      <c r="A394" t="s">
        <v>34</v>
      </c>
      <c r="B394">
        <v>2013</v>
      </c>
      <c r="C394" t="s">
        <v>38</v>
      </c>
      <c r="D394" t="s">
        <v>17</v>
      </c>
      <c r="E394" t="e">
        <f>VLOOKUP(Cpi_[[#This Row],[Attribute]],#REF!,2,FALSE)</f>
        <v>#REF!</v>
      </c>
      <c r="F394">
        <v>108.7</v>
      </c>
      <c r="G394">
        <f>(Cpi_[[#This Row],[Value]]-F393)/F393</f>
        <v>9.2081031307558498E-4</v>
      </c>
      <c r="H394" t="e" cm="1" vm="1">
        <f t="array" aca="1" ref="H394" ca="1">VLOOKUP(Cpi_[[#This Row],[Year]:[Month]],crudeoil[],3,FALSE)</f>
        <v>#VALUE!</v>
      </c>
    </row>
    <row r="395" spans="1:8" hidden="1" x14ac:dyDescent="0.3">
      <c r="A395" t="s">
        <v>34</v>
      </c>
      <c r="B395">
        <v>2013</v>
      </c>
      <c r="C395" t="s">
        <v>38</v>
      </c>
      <c r="D395" t="s">
        <v>18</v>
      </c>
      <c r="E395" t="e">
        <f>VLOOKUP(Cpi_[[#This Row],[Attribute]],#REF!,2,FALSE)</f>
        <v>#REF!</v>
      </c>
      <c r="F395">
        <v>107.4</v>
      </c>
      <c r="G395">
        <f>(Cpi_[[#This Row],[Value]]-F394)/F394</f>
        <v>-1.1959521619135207E-2</v>
      </c>
      <c r="H395" t="e" cm="1" vm="1">
        <f t="array" aca="1" ref="H395" ca="1">VLOOKUP(Cpi_[[#This Row],[Year]:[Month]],crudeoil[],3,FALSE)</f>
        <v>#VALUE!</v>
      </c>
    </row>
    <row r="396" spans="1:8" hidden="1" x14ac:dyDescent="0.3">
      <c r="A396" t="s">
        <v>34</v>
      </c>
      <c r="B396">
        <v>2013</v>
      </c>
      <c r="C396" t="s">
        <v>38</v>
      </c>
      <c r="D396" t="s">
        <v>19</v>
      </c>
      <c r="E396" t="e">
        <f>VLOOKUP(Cpi_[[#This Row],[Attribute]],#REF!,2,FALSE)</f>
        <v>#REF!</v>
      </c>
      <c r="F396">
        <v>108.5</v>
      </c>
      <c r="G396">
        <f>(Cpi_[[#This Row],[Value]]-F395)/F395</f>
        <v>1.024208566108002E-2</v>
      </c>
      <c r="H396" t="e" cm="1" vm="1">
        <f t="array" aca="1" ref="H396" ca="1">VLOOKUP(Cpi_[[#This Row],[Year]:[Month]],crudeoil[],3,FALSE)</f>
        <v>#VALUE!</v>
      </c>
    </row>
    <row r="397" spans="1:8" hidden="1" x14ac:dyDescent="0.3">
      <c r="A397" t="s">
        <v>34</v>
      </c>
      <c r="B397">
        <v>2013</v>
      </c>
      <c r="C397" t="s">
        <v>38</v>
      </c>
      <c r="D397" t="s">
        <v>20</v>
      </c>
      <c r="E397" t="e">
        <f>VLOOKUP(Cpi_[[#This Row],[Attribute]],#REF!,2,FALSE)</f>
        <v>#REF!</v>
      </c>
      <c r="F397">
        <v>100.5</v>
      </c>
      <c r="G397">
        <f>(Cpi_[[#This Row],[Value]]-F396)/F396</f>
        <v>-7.3732718894009217E-2</v>
      </c>
      <c r="H397" t="e" cm="1" vm="1">
        <f t="array" aca="1" ref="H397" ca="1">VLOOKUP(Cpi_[[#This Row],[Year]:[Month]],crudeoil[],3,FALSE)</f>
        <v>#VALUE!</v>
      </c>
    </row>
    <row r="398" spans="1:8" hidden="1" x14ac:dyDescent="0.3">
      <c r="A398" t="s">
        <v>34</v>
      </c>
      <c r="B398">
        <v>2013</v>
      </c>
      <c r="C398" t="s">
        <v>38</v>
      </c>
      <c r="D398" t="s">
        <v>21</v>
      </c>
      <c r="E398" t="e">
        <f>VLOOKUP(Cpi_[[#This Row],[Attribute]],#REF!,2,FALSE)</f>
        <v>#REF!</v>
      </c>
      <c r="F398">
        <v>107.4</v>
      </c>
      <c r="G398">
        <f>(Cpi_[[#This Row],[Value]]-F397)/F397</f>
        <v>6.8656716417910504E-2</v>
      </c>
      <c r="H398" t="e" cm="1" vm="1">
        <f t="array" aca="1" ref="H398" ca="1">VLOOKUP(Cpi_[[#This Row],[Year]:[Month]],crudeoil[],3,FALSE)</f>
        <v>#VALUE!</v>
      </c>
    </row>
    <row r="399" spans="1:8" hidden="1" x14ac:dyDescent="0.3">
      <c r="A399" t="s">
        <v>34</v>
      </c>
      <c r="B399">
        <v>2013</v>
      </c>
      <c r="C399" t="s">
        <v>38</v>
      </c>
      <c r="D399" t="s">
        <v>22</v>
      </c>
      <c r="E399" t="e">
        <f>VLOOKUP(Cpi_[[#This Row],[Attribute]],#REF!,2,FALSE)</f>
        <v>#REF!</v>
      </c>
      <c r="F399">
        <v>106.9</v>
      </c>
      <c r="G399">
        <f>(Cpi_[[#This Row],[Value]]-F398)/F398</f>
        <v>-4.6554934823091242E-3</v>
      </c>
      <c r="H399" t="e" cm="1" vm="1">
        <f t="array" aca="1" ref="H399" ca="1">VLOOKUP(Cpi_[[#This Row],[Year]:[Month]],crudeoil[],3,FALSE)</f>
        <v>#VALUE!</v>
      </c>
    </row>
    <row r="400" spans="1:8" hidden="1" x14ac:dyDescent="0.3">
      <c r="A400" t="s">
        <v>34</v>
      </c>
      <c r="B400">
        <v>2013</v>
      </c>
      <c r="C400" t="s">
        <v>38</v>
      </c>
      <c r="D400" t="s">
        <v>23</v>
      </c>
      <c r="E400" t="e">
        <f>VLOOKUP(Cpi_[[#This Row],[Attribute]],#REF!,2,FALSE)</f>
        <v>#REF!</v>
      </c>
      <c r="F400">
        <v>105.9</v>
      </c>
      <c r="G400">
        <f>(Cpi_[[#This Row],[Value]]-F399)/F399</f>
        <v>-9.3545369504209538E-3</v>
      </c>
      <c r="H400" t="e" cm="1" vm="1">
        <f t="array" aca="1" ref="H400" ca="1">VLOOKUP(Cpi_[[#This Row],[Year]:[Month]],crudeoil[],3,FALSE)</f>
        <v>#VALUE!</v>
      </c>
    </row>
    <row r="401" spans="1:8" hidden="1" x14ac:dyDescent="0.3">
      <c r="A401" t="s">
        <v>34</v>
      </c>
      <c r="B401">
        <v>2013</v>
      </c>
      <c r="C401" t="s">
        <v>38</v>
      </c>
      <c r="D401" t="s">
        <v>24</v>
      </c>
      <c r="E401" t="e">
        <f>VLOOKUP(Cpi_[[#This Row],[Attribute]],#REF!,2,FALSE)</f>
        <v>#REF!</v>
      </c>
      <c r="F401">
        <v>104</v>
      </c>
      <c r="G401">
        <f>(Cpi_[[#This Row],[Value]]-F400)/F400</f>
        <v>-1.7941454202077486E-2</v>
      </c>
      <c r="H401" t="e" cm="1" vm="1">
        <f t="array" aca="1" ref="H401" ca="1">VLOOKUP(Cpi_[[#This Row],[Year]:[Month]],crudeoil[],3,FALSE)</f>
        <v>#VALUE!</v>
      </c>
    </row>
    <row r="402" spans="1:8" hidden="1" x14ac:dyDescent="0.3">
      <c r="A402" t="s">
        <v>34</v>
      </c>
      <c r="B402">
        <v>2013</v>
      </c>
      <c r="C402" t="s">
        <v>38</v>
      </c>
      <c r="D402" t="s">
        <v>25</v>
      </c>
      <c r="E402" t="e">
        <f>VLOOKUP(Cpi_[[#This Row],[Attribute]],#REF!,2,FALSE)</f>
        <v>#REF!</v>
      </c>
      <c r="F402">
        <v>104.8</v>
      </c>
      <c r="G402">
        <f>(Cpi_[[#This Row],[Value]]-F401)/F401</f>
        <v>7.692307692307665E-3</v>
      </c>
      <c r="H402" t="e" cm="1" vm="1">
        <f t="array" aca="1" ref="H402" ca="1">VLOOKUP(Cpi_[[#This Row],[Year]:[Month]],crudeoil[],3,FALSE)</f>
        <v>#VALUE!</v>
      </c>
    </row>
    <row r="403" spans="1:8" hidden="1" x14ac:dyDescent="0.3">
      <c r="A403" t="s">
        <v>34</v>
      </c>
      <c r="B403">
        <v>2013</v>
      </c>
      <c r="C403" t="s">
        <v>38</v>
      </c>
      <c r="D403" t="s">
        <v>26</v>
      </c>
      <c r="E403" t="e">
        <f>VLOOKUP(Cpi_[[#This Row],[Attribute]],#REF!,2,FALSE)</f>
        <v>#REF!</v>
      </c>
      <c r="F403">
        <v>105.6</v>
      </c>
      <c r="G403">
        <f>(Cpi_[[#This Row],[Value]]-F402)/F402</f>
        <v>7.6335877862595148E-3</v>
      </c>
      <c r="H403" t="e" cm="1" vm="1">
        <f t="array" aca="1" ref="H403" ca="1">VLOOKUP(Cpi_[[#This Row],[Year]:[Month]],crudeoil[],3,FALSE)</f>
        <v>#VALUE!</v>
      </c>
    </row>
    <row r="404" spans="1:8" hidden="1" x14ac:dyDescent="0.3">
      <c r="A404" t="s">
        <v>34</v>
      </c>
      <c r="B404">
        <v>2013</v>
      </c>
      <c r="C404" t="s">
        <v>38</v>
      </c>
      <c r="D404" t="s">
        <v>27</v>
      </c>
      <c r="E404" t="e">
        <f>VLOOKUP(Cpi_[[#This Row],[Attribute]],#REF!,2,FALSE)</f>
        <v>#REF!</v>
      </c>
      <c r="F404">
        <v>102.3</v>
      </c>
      <c r="G404">
        <f>(Cpi_[[#This Row],[Value]]-F403)/F403</f>
        <v>-3.1249999999999976E-2</v>
      </c>
      <c r="H404" t="e" cm="1" vm="1">
        <f t="array" aca="1" ref="H404" ca="1">VLOOKUP(Cpi_[[#This Row],[Year]:[Month]],crudeoil[],3,FALSE)</f>
        <v>#VALUE!</v>
      </c>
    </row>
    <row r="405" spans="1:8" hidden="1" x14ac:dyDescent="0.3">
      <c r="A405" t="s">
        <v>34</v>
      </c>
      <c r="B405">
        <v>2013</v>
      </c>
      <c r="C405" t="s">
        <v>38</v>
      </c>
      <c r="D405" t="s">
        <v>28</v>
      </c>
      <c r="E405" t="e">
        <f>VLOOKUP(Cpi_[[#This Row],[Attribute]],#REF!,2,FALSE)</f>
        <v>#REF!</v>
      </c>
      <c r="F405">
        <v>104.8</v>
      </c>
      <c r="G405">
        <f>(Cpi_[[#This Row],[Value]]-F404)/F404</f>
        <v>2.4437927663734114E-2</v>
      </c>
      <c r="H405" t="e" cm="1" vm="1">
        <f t="array" aca="1" ref="H405" ca="1">VLOOKUP(Cpi_[[#This Row],[Year]:[Month]],crudeoil[],3,FALSE)</f>
        <v>#VALUE!</v>
      </c>
    </row>
    <row r="406" spans="1:8" hidden="1" x14ac:dyDescent="0.3">
      <c r="A406" t="s">
        <v>34</v>
      </c>
      <c r="B406">
        <v>2013</v>
      </c>
      <c r="C406" t="s">
        <v>38</v>
      </c>
      <c r="D406" t="s">
        <v>29</v>
      </c>
      <c r="E406" t="e" cm="1">
        <f t="array" aca="1" ref="E406" ca="1">VLGeneral indexGeneral indexKUP(Cpi_[[#This Row],[Attribute]],#REF!,2,FALSE)</f>
        <v>#NAME?</v>
      </c>
      <c r="F406">
        <v>106.9</v>
      </c>
      <c r="G406">
        <f>(Cpi_[[#This Row],[Value]]-F405)/F405</f>
        <v>2.003816793893138E-2</v>
      </c>
      <c r="H406" t="e" cm="1" vm="1">
        <f t="array" aca="1" ref="H406" ca="1">VLOOKUP(Cpi_[[#This Row],[Year]:[Month]],crudeoil[],3,FALSE)</f>
        <v>#VALUE!</v>
      </c>
    </row>
    <row r="407" spans="1:8" hidden="1" x14ac:dyDescent="0.3">
      <c r="A407" t="s">
        <v>30</v>
      </c>
      <c r="B407">
        <v>2013</v>
      </c>
      <c r="C407" t="s">
        <v>39</v>
      </c>
      <c r="D407" t="s">
        <v>3</v>
      </c>
      <c r="E407" t="e">
        <f>VLOOKUP(Cpi_[[#This Row],[Attribute]],#REF!,2,FALSE)</f>
        <v>#REF!</v>
      </c>
      <c r="F407">
        <v>112.3</v>
      </c>
      <c r="G407">
        <f>(Cpi_[[#This Row],[Value]]-F406)/F406</f>
        <v>5.051449953227307E-2</v>
      </c>
      <c r="H407" t="e" cm="1" vm="1">
        <f t="array" aca="1" ref="H407" ca="1">VLOOKUP(Cpi_[[#This Row],[Year]:[Month]],crudeoil[],3,FALSE)</f>
        <v>#VALUE!</v>
      </c>
    </row>
    <row r="408" spans="1:8" hidden="1" x14ac:dyDescent="0.3">
      <c r="A408" t="s">
        <v>30</v>
      </c>
      <c r="B408">
        <v>2013</v>
      </c>
      <c r="C408" t="s">
        <v>39</v>
      </c>
      <c r="D408" t="s">
        <v>4</v>
      </c>
      <c r="E408" t="e">
        <f>VLOOKUP(Cpi_[[#This Row],[Attribute]],#REF!,2,FALSE)</f>
        <v>#REF!</v>
      </c>
      <c r="F408">
        <v>112.1</v>
      </c>
      <c r="G408">
        <f>(Cpi_[[#This Row],[Value]]-F407)/F407</f>
        <v>-1.7809439002671669E-3</v>
      </c>
      <c r="H408" t="e" cm="1" vm="1">
        <f t="array" aca="1" ref="H408" ca="1">VLOOKUP(Cpi_[[#This Row],[Year]:[Month]],crudeoil[],3,FALSE)</f>
        <v>#VALUE!</v>
      </c>
    </row>
    <row r="409" spans="1:8" hidden="1" x14ac:dyDescent="0.3">
      <c r="A409" t="s">
        <v>30</v>
      </c>
      <c r="B409">
        <v>2013</v>
      </c>
      <c r="C409" t="s">
        <v>39</v>
      </c>
      <c r="D409" t="s">
        <v>5</v>
      </c>
      <c r="E409" t="e">
        <f>VLOOKUP(Cpi_[[#This Row],[Attribute]],#REF!,2,FALSE)</f>
        <v>#REF!</v>
      </c>
      <c r="F409">
        <v>108.1</v>
      </c>
      <c r="G409">
        <f>(Cpi_[[#This Row],[Value]]-F408)/F408</f>
        <v>-3.568242640499554E-2</v>
      </c>
      <c r="H409" t="e" cm="1" vm="1">
        <f t="array" aca="1" ref="H409" ca="1">VLOOKUP(Cpi_[[#This Row],[Year]:[Month]],crudeoil[],3,FALSE)</f>
        <v>#VALUE!</v>
      </c>
    </row>
    <row r="410" spans="1:8" hidden="1" x14ac:dyDescent="0.3">
      <c r="A410" t="s">
        <v>30</v>
      </c>
      <c r="B410">
        <v>2013</v>
      </c>
      <c r="C410" t="s">
        <v>39</v>
      </c>
      <c r="D410" t="s">
        <v>6</v>
      </c>
      <c r="E410" t="e">
        <f>VLOOKUP(Cpi_[[#This Row],[Attribute]],#REF!,2,FALSE)</f>
        <v>#REF!</v>
      </c>
      <c r="F410">
        <v>108.3</v>
      </c>
      <c r="G410">
        <f>(Cpi_[[#This Row],[Value]]-F409)/F409</f>
        <v>1.8501387604070569E-3</v>
      </c>
      <c r="H410" t="e" cm="1" vm="1">
        <f t="array" aca="1" ref="H410" ca="1">VLOOKUP(Cpi_[[#This Row],[Year]:[Month]],crudeoil[],3,FALSE)</f>
        <v>#VALUE!</v>
      </c>
    </row>
    <row r="411" spans="1:8" hidden="1" x14ac:dyDescent="0.3">
      <c r="A411" t="s">
        <v>30</v>
      </c>
      <c r="B411">
        <v>2013</v>
      </c>
      <c r="C411" t="s">
        <v>39</v>
      </c>
      <c r="D411" t="s">
        <v>7</v>
      </c>
      <c r="E411" t="e">
        <f>VLOOKUP(Cpi_[[#This Row],[Attribute]],#REF!,2,FALSE)</f>
        <v>#REF!</v>
      </c>
      <c r="F411">
        <v>105.9</v>
      </c>
      <c r="G411">
        <f>(Cpi_[[#This Row],[Value]]-F410)/F410</f>
        <v>-2.2160664819944519E-2</v>
      </c>
      <c r="H411" t="e" cm="1" vm="1">
        <f t="array" aca="1" ref="H411" ca="1">VLOOKUP(Cpi_[[#This Row],[Year]:[Month]],crudeoil[],3,FALSE)</f>
        <v>#VALUE!</v>
      </c>
    </row>
    <row r="412" spans="1:8" hidden="1" x14ac:dyDescent="0.3">
      <c r="A412" t="s">
        <v>30</v>
      </c>
      <c r="B412">
        <v>2013</v>
      </c>
      <c r="C412" t="s">
        <v>39</v>
      </c>
      <c r="D412" t="s">
        <v>8</v>
      </c>
      <c r="E412" t="e">
        <f>VLOOKUP(Cpi_[[#This Row],[Attribute]],#REF!,2,FALSE)</f>
        <v>#REF!</v>
      </c>
      <c r="F412">
        <v>109.2</v>
      </c>
      <c r="G412">
        <f>(Cpi_[[#This Row],[Value]]-F411)/F411</f>
        <v>3.1161473087818668E-2</v>
      </c>
      <c r="H412" t="e" cm="1" vm="1">
        <f t="array" aca="1" ref="H412" ca="1">VLOOKUP(Cpi_[[#This Row],[Year]:[Month]],crudeoil[],3,FALSE)</f>
        <v>#VALUE!</v>
      </c>
    </row>
    <row r="413" spans="1:8" hidden="1" x14ac:dyDescent="0.3">
      <c r="A413" t="s">
        <v>30</v>
      </c>
      <c r="B413">
        <v>2013</v>
      </c>
      <c r="C413" t="s">
        <v>39</v>
      </c>
      <c r="D413" t="s">
        <v>9</v>
      </c>
      <c r="E413" t="e">
        <f>VLOOKUP(Cpi_[[#This Row],[Attribute]],#REF!,2,FALSE)</f>
        <v>#REF!</v>
      </c>
      <c r="F413">
        <v>118</v>
      </c>
      <c r="G413">
        <f>(Cpi_[[#This Row],[Value]]-F412)/F412</f>
        <v>8.0586080586080563E-2</v>
      </c>
      <c r="H413" t="e" cm="1" vm="1">
        <f t="array" aca="1" ref="H413" ca="1">VLOOKUP(Cpi_[[#This Row],[Year]:[Month]],crudeoil[],3,FALSE)</f>
        <v>#VALUE!</v>
      </c>
    </row>
    <row r="414" spans="1:8" hidden="1" x14ac:dyDescent="0.3">
      <c r="A414" t="s">
        <v>30</v>
      </c>
      <c r="B414">
        <v>2013</v>
      </c>
      <c r="C414" t="s">
        <v>39</v>
      </c>
      <c r="D414" t="s">
        <v>10</v>
      </c>
      <c r="E414" t="e">
        <f>VLOOKUP(Cpi_[[#This Row],[Attribute]],#REF!,2,FALSE)</f>
        <v>#REF!</v>
      </c>
      <c r="F414">
        <v>106.8</v>
      </c>
      <c r="G414">
        <f>(Cpi_[[#This Row],[Value]]-F413)/F413</f>
        <v>-9.4915254237288166E-2</v>
      </c>
      <c r="H414" t="e" cm="1" vm="1">
        <f t="array" aca="1" ref="H414" ca="1">VLOOKUP(Cpi_[[#This Row],[Year]:[Month]],crudeoil[],3,FALSE)</f>
        <v>#VALUE!</v>
      </c>
    </row>
    <row r="415" spans="1:8" hidden="1" x14ac:dyDescent="0.3">
      <c r="A415" t="s">
        <v>30</v>
      </c>
      <c r="B415">
        <v>2013</v>
      </c>
      <c r="C415" t="s">
        <v>39</v>
      </c>
      <c r="D415" t="s">
        <v>11</v>
      </c>
      <c r="E415" t="e">
        <f>VLOOKUP(Cpi_[[#This Row],[Attribute]],#REF!,2,FALSE)</f>
        <v>#REF!</v>
      </c>
      <c r="F415">
        <v>104.1</v>
      </c>
      <c r="G415">
        <f>(Cpi_[[#This Row],[Value]]-F414)/F414</f>
        <v>-2.5280898876404521E-2</v>
      </c>
      <c r="H415" t="e" cm="1" vm="1">
        <f t="array" aca="1" ref="H415" ca="1">VLOOKUP(Cpi_[[#This Row],[Year]:[Month]],crudeoil[],3,FALSE)</f>
        <v>#VALUE!</v>
      </c>
    </row>
    <row r="416" spans="1:8" hidden="1" x14ac:dyDescent="0.3">
      <c r="A416" t="s">
        <v>30</v>
      </c>
      <c r="B416">
        <v>2013</v>
      </c>
      <c r="C416" t="s">
        <v>39</v>
      </c>
      <c r="D416" t="s">
        <v>12</v>
      </c>
      <c r="E416" t="e">
        <f>VLOOKUP(Cpi_[[#This Row],[Attribute]],#REF!,2,FALSE)</f>
        <v>#REF!</v>
      </c>
      <c r="F416">
        <v>105.4</v>
      </c>
      <c r="G416">
        <f>(Cpi_[[#This Row],[Value]]-F415)/F415</f>
        <v>1.2487992315081763E-2</v>
      </c>
      <c r="H416" t="e" cm="1" vm="1">
        <f t="array" aca="1" ref="H416" ca="1">VLOOKUP(Cpi_[[#This Row],[Year]:[Month]],crudeoil[],3,FALSE)</f>
        <v>#VALUE!</v>
      </c>
    </row>
    <row r="417" spans="1:8" hidden="1" x14ac:dyDescent="0.3">
      <c r="A417" t="s">
        <v>30</v>
      </c>
      <c r="B417">
        <v>2013</v>
      </c>
      <c r="C417" t="s">
        <v>39</v>
      </c>
      <c r="D417" t="s">
        <v>13</v>
      </c>
      <c r="E417" t="e">
        <f>VLOOKUP(Cpi_[[#This Row],[Attribute]],#REF!,2,FALSE)</f>
        <v>#REF!</v>
      </c>
      <c r="F417">
        <v>108.2</v>
      </c>
      <c r="G417">
        <f>(Cpi_[[#This Row],[Value]]-F416)/F416</f>
        <v>2.6565464895635646E-2</v>
      </c>
      <c r="H417" t="e" cm="1" vm="1">
        <f t="array" aca="1" ref="H417" ca="1">VLOOKUP(Cpi_[[#This Row],[Year]:[Month]],crudeoil[],3,FALSE)</f>
        <v>#VALUE!</v>
      </c>
    </row>
    <row r="418" spans="1:8" hidden="1" x14ac:dyDescent="0.3">
      <c r="A418" t="s">
        <v>30</v>
      </c>
      <c r="B418">
        <v>2013</v>
      </c>
      <c r="C418" t="s">
        <v>39</v>
      </c>
      <c r="D418" t="s">
        <v>14</v>
      </c>
      <c r="E418" t="e">
        <f>VLOOKUP(Cpi_[[#This Row],[Attribute]],#REF!,2,FALSE)</f>
        <v>#REF!</v>
      </c>
      <c r="F418">
        <v>111</v>
      </c>
      <c r="G418">
        <f>(Cpi_[[#This Row],[Value]]-F417)/F417</f>
        <v>2.5878003696857645E-2</v>
      </c>
      <c r="H418" t="e" cm="1" vm="1">
        <f t="array" aca="1" ref="H418" ca="1">VLOOKUP(Cpi_[[#This Row],[Year]:[Month]],crudeoil[],3,FALSE)</f>
        <v>#VALUE!</v>
      </c>
    </row>
    <row r="419" spans="1:8" hidden="1" x14ac:dyDescent="0.3">
      <c r="A419" t="s">
        <v>30</v>
      </c>
      <c r="B419">
        <v>2013</v>
      </c>
      <c r="C419" t="s">
        <v>39</v>
      </c>
      <c r="D419" t="s">
        <v>15</v>
      </c>
      <c r="E419" t="e">
        <f>VLOOKUP(Cpi_[[#This Row],[Attribute]],#REF!,2,FALSE)</f>
        <v>#REF!</v>
      </c>
      <c r="F419">
        <v>110.6</v>
      </c>
      <c r="G419">
        <f>(Cpi_[[#This Row],[Value]]-F418)/F418</f>
        <v>-3.6036036036036548E-3</v>
      </c>
      <c r="H419" t="e" cm="1" vm="1">
        <f t="array" aca="1" ref="H419" ca="1">VLOOKUP(Cpi_[[#This Row],[Year]:[Month]],crudeoil[],3,FALSE)</f>
        <v>#VALUE!</v>
      </c>
    </row>
    <row r="420" spans="1:8" hidden="1" x14ac:dyDescent="0.3">
      <c r="A420" t="s">
        <v>30</v>
      </c>
      <c r="B420">
        <v>2013</v>
      </c>
      <c r="C420" t="s">
        <v>39</v>
      </c>
      <c r="D420" t="s">
        <v>16</v>
      </c>
      <c r="E420" t="e">
        <f>VLOOKUP(Cpi_[[#This Row],[Attribute]],#REF!,2,FALSE)</f>
        <v>#REF!</v>
      </c>
      <c r="F420">
        <v>109</v>
      </c>
      <c r="G420">
        <f>(Cpi_[[#This Row],[Value]]-F419)/F419</f>
        <v>-1.4466546112115682E-2</v>
      </c>
      <c r="H420" t="e" cm="1" vm="1">
        <f t="array" aca="1" ref="H420" ca="1">VLOOKUP(Cpi_[[#This Row],[Year]:[Month]],crudeoil[],3,FALSE)</f>
        <v>#VALUE!</v>
      </c>
    </row>
    <row r="421" spans="1:8" hidden="1" x14ac:dyDescent="0.3">
      <c r="A421" t="s">
        <v>30</v>
      </c>
      <c r="B421">
        <v>2013</v>
      </c>
      <c r="C421" t="s">
        <v>39</v>
      </c>
      <c r="D421" t="s">
        <v>17</v>
      </c>
      <c r="E421" t="e">
        <f>VLOOKUP(Cpi_[[#This Row],[Attribute]],#REF!,2,FALSE)</f>
        <v>#REF!</v>
      </c>
      <c r="F421">
        <v>109.7</v>
      </c>
      <c r="G421">
        <f>(Cpi_[[#This Row],[Value]]-F420)/F420</f>
        <v>6.4220183486238796E-3</v>
      </c>
      <c r="H421" t="e" cm="1" vm="1">
        <f t="array" aca="1" ref="H421" ca="1">VLOOKUP(Cpi_[[#This Row],[Year]:[Month]],crudeoil[],3,FALSE)</f>
        <v>#VALUE!</v>
      </c>
    </row>
    <row r="422" spans="1:8" hidden="1" x14ac:dyDescent="0.3">
      <c r="A422" t="s">
        <v>30</v>
      </c>
      <c r="B422">
        <v>2013</v>
      </c>
      <c r="C422" t="s">
        <v>39</v>
      </c>
      <c r="D422" t="s">
        <v>18</v>
      </c>
      <c r="E422" t="e">
        <f>VLOOKUP(Cpi_[[#This Row],[Attribute]],#REF!,2,FALSE)</f>
        <v>#REF!</v>
      </c>
      <c r="F422">
        <v>108.8</v>
      </c>
      <c r="G422">
        <f>(Cpi_[[#This Row],[Value]]-F421)/F421</f>
        <v>-8.2041932543300417E-3</v>
      </c>
      <c r="H422" t="e" cm="1" vm="1">
        <f t="array" aca="1" ref="H422" ca="1">VLOOKUP(Cpi_[[#This Row],[Year]:[Month]],crudeoil[],3,FALSE)</f>
        <v>#VALUE!</v>
      </c>
    </row>
    <row r="423" spans="1:8" hidden="1" x14ac:dyDescent="0.3">
      <c r="A423" t="s">
        <v>30</v>
      </c>
      <c r="B423">
        <v>2013</v>
      </c>
      <c r="C423" t="s">
        <v>39</v>
      </c>
      <c r="D423" t="s">
        <v>19</v>
      </c>
      <c r="E423" t="e">
        <f>VLOOKUP(Cpi_[[#This Row],[Attribute]],#REF!,2,FALSE)</f>
        <v>#REF!</v>
      </c>
      <c r="F423">
        <v>109.5</v>
      </c>
      <c r="G423">
        <f>(Cpi_[[#This Row],[Value]]-F422)/F422</f>
        <v>6.4338235294117913E-3</v>
      </c>
      <c r="H423" t="e" cm="1" vm="1">
        <f t="array" aca="1" ref="H423" ca="1">VLOOKUP(Cpi_[[#This Row],[Year]:[Month]],crudeoil[],3,FALSE)</f>
        <v>#VALUE!</v>
      </c>
    </row>
    <row r="424" spans="1:8" hidden="1" x14ac:dyDescent="0.3">
      <c r="A424" t="s">
        <v>30</v>
      </c>
      <c r="B424">
        <v>2013</v>
      </c>
      <c r="C424" t="s">
        <v>39</v>
      </c>
      <c r="D424" t="s">
        <v>20</v>
      </c>
      <c r="E424" t="e">
        <f>VLOOKUP(Cpi_[[#This Row],[Attribute]],#REF!,2,FALSE)</f>
        <v>#REF!</v>
      </c>
      <c r="F424" t="s">
        <v>32</v>
      </c>
      <c r="G424" t="e">
        <f>(Cpi_[[#This Row],[Value]]-F423)/F423</f>
        <v>#VALUE!</v>
      </c>
      <c r="H424" t="e" cm="1" vm="1">
        <f t="array" aca="1" ref="H424" ca="1">VLOOKUP(Cpi_[[#This Row],[Year]:[Month]],crudeoil[],3,FALSE)</f>
        <v>#VALUE!</v>
      </c>
    </row>
    <row r="425" spans="1:8" hidden="1" x14ac:dyDescent="0.3">
      <c r="A425" t="s">
        <v>30</v>
      </c>
      <c r="B425">
        <v>2013</v>
      </c>
      <c r="C425" t="s">
        <v>39</v>
      </c>
      <c r="D425" t="s">
        <v>21</v>
      </c>
      <c r="E425" t="e">
        <f>VLOOKUP(Cpi_[[#This Row],[Attribute]],#REF!,2,FALSE)</f>
        <v>#REF!</v>
      </c>
      <c r="F425">
        <v>108.5</v>
      </c>
      <c r="G425" t="e">
        <f>(Cpi_[[#This Row],[Value]]-F424)/F424</f>
        <v>#VALUE!</v>
      </c>
      <c r="H425" t="e" cm="1" vm="1">
        <f t="array" aca="1" ref="H425" ca="1">VLOOKUP(Cpi_[[#This Row],[Year]:[Month]],crudeoil[],3,FALSE)</f>
        <v>#VALUE!</v>
      </c>
    </row>
    <row r="426" spans="1:8" hidden="1" x14ac:dyDescent="0.3">
      <c r="A426" t="s">
        <v>30</v>
      </c>
      <c r="B426">
        <v>2013</v>
      </c>
      <c r="C426" t="s">
        <v>39</v>
      </c>
      <c r="D426" t="s">
        <v>22</v>
      </c>
      <c r="E426" t="e">
        <f>VLOOKUP(Cpi_[[#This Row],[Attribute]],#REF!,2,FALSE)</f>
        <v>#REF!</v>
      </c>
      <c r="F426">
        <v>107.5</v>
      </c>
      <c r="G426">
        <f>(Cpi_[[#This Row],[Value]]-F425)/F425</f>
        <v>-9.2165898617511521E-3</v>
      </c>
      <c r="H426" t="e" cm="1" vm="1">
        <f t="array" aca="1" ref="H426" ca="1">VLOOKUP(Cpi_[[#This Row],[Year]:[Month]],crudeoil[],3,FALSE)</f>
        <v>#VALUE!</v>
      </c>
    </row>
    <row r="427" spans="1:8" hidden="1" x14ac:dyDescent="0.3">
      <c r="A427" t="s">
        <v>30</v>
      </c>
      <c r="B427">
        <v>2013</v>
      </c>
      <c r="C427" t="s">
        <v>39</v>
      </c>
      <c r="D427" t="s">
        <v>23</v>
      </c>
      <c r="E427" t="e">
        <f>VLOOKUP(Cpi_[[#This Row],[Attribute]],#REF!,2,FALSE)</f>
        <v>#REF!</v>
      </c>
      <c r="F427">
        <v>106.3</v>
      </c>
      <c r="G427">
        <f>(Cpi_[[#This Row],[Value]]-F426)/F426</f>
        <v>-1.1162790697674445E-2</v>
      </c>
      <c r="H427" t="e" cm="1" vm="1">
        <f t="array" aca="1" ref="H427" ca="1">VLOOKUP(Cpi_[[#This Row],[Year]:[Month]],crudeoil[],3,FALSE)</f>
        <v>#VALUE!</v>
      </c>
    </row>
    <row r="428" spans="1:8" hidden="1" x14ac:dyDescent="0.3">
      <c r="A428" t="s">
        <v>30</v>
      </c>
      <c r="B428">
        <v>2013</v>
      </c>
      <c r="C428" t="s">
        <v>39</v>
      </c>
      <c r="D428" t="s">
        <v>24</v>
      </c>
      <c r="E428" t="e">
        <f>VLOOKUP(Cpi_[[#This Row],[Attribute]],#REF!,2,FALSE)</f>
        <v>#REF!</v>
      </c>
      <c r="F428">
        <v>105</v>
      </c>
      <c r="G428">
        <f>(Cpi_[[#This Row],[Value]]-F427)/F427</f>
        <v>-1.2229539040451525E-2</v>
      </c>
      <c r="H428" t="e" cm="1" vm="1">
        <f t="array" aca="1" ref="H428" ca="1">VLOOKUP(Cpi_[[#This Row],[Year]:[Month]],crudeoil[],3,FALSE)</f>
        <v>#VALUE!</v>
      </c>
    </row>
    <row r="429" spans="1:8" hidden="1" x14ac:dyDescent="0.3">
      <c r="A429" t="s">
        <v>30</v>
      </c>
      <c r="B429">
        <v>2013</v>
      </c>
      <c r="C429" t="s">
        <v>39</v>
      </c>
      <c r="D429" t="s">
        <v>25</v>
      </c>
      <c r="E429" t="e">
        <f>VLOOKUP(Cpi_[[#This Row],[Attribute]],#REF!,2,FALSE)</f>
        <v>#REF!</v>
      </c>
      <c r="F429">
        <v>105.6</v>
      </c>
      <c r="G429">
        <f>(Cpi_[[#This Row],[Value]]-F428)/F428</f>
        <v>5.7142857142856605E-3</v>
      </c>
      <c r="H429" t="e" cm="1" vm="1">
        <f t="array" aca="1" ref="H429" ca="1">VLOOKUP(Cpi_[[#This Row],[Year]:[Month]],crudeoil[],3,FALSE)</f>
        <v>#VALUE!</v>
      </c>
    </row>
    <row r="430" spans="1:8" hidden="1" x14ac:dyDescent="0.3">
      <c r="A430" t="s">
        <v>30</v>
      </c>
      <c r="B430">
        <v>2013</v>
      </c>
      <c r="C430" t="s">
        <v>39</v>
      </c>
      <c r="D430" t="s">
        <v>26</v>
      </c>
      <c r="E430" t="e">
        <f>VLOOKUP(Cpi_[[#This Row],[Attribute]],#REF!,2,FALSE)</f>
        <v>#REF!</v>
      </c>
      <c r="F430">
        <v>106.5</v>
      </c>
      <c r="G430">
        <f>(Cpi_[[#This Row],[Value]]-F429)/F429</f>
        <v>8.5227272727273276E-3</v>
      </c>
      <c r="H430" t="e" cm="1" vm="1">
        <f t="array" aca="1" ref="H430" ca="1">VLOOKUP(Cpi_[[#This Row],[Year]:[Month]],crudeoil[],3,FALSE)</f>
        <v>#VALUE!</v>
      </c>
    </row>
    <row r="431" spans="1:8" hidden="1" x14ac:dyDescent="0.3">
      <c r="A431" t="s">
        <v>30</v>
      </c>
      <c r="B431">
        <v>2013</v>
      </c>
      <c r="C431" t="s">
        <v>39</v>
      </c>
      <c r="D431" t="s">
        <v>27</v>
      </c>
      <c r="E431" t="e">
        <f>VLOOKUP(Cpi_[[#This Row],[Attribute]],#REF!,2,FALSE)</f>
        <v>#REF!</v>
      </c>
      <c r="F431">
        <v>102.5</v>
      </c>
      <c r="G431">
        <f>(Cpi_[[#This Row],[Value]]-F430)/F430</f>
        <v>-3.7558685446009391E-2</v>
      </c>
      <c r="H431" t="e" cm="1" vm="1">
        <f t="array" aca="1" ref="H431" ca="1">VLOOKUP(Cpi_[[#This Row],[Year]:[Month]],crudeoil[],3,FALSE)</f>
        <v>#VALUE!</v>
      </c>
    </row>
    <row r="432" spans="1:8" hidden="1" x14ac:dyDescent="0.3">
      <c r="A432" t="s">
        <v>30</v>
      </c>
      <c r="B432">
        <v>2013</v>
      </c>
      <c r="C432" t="s">
        <v>39</v>
      </c>
      <c r="D432" t="s">
        <v>28</v>
      </c>
      <c r="E432" t="e">
        <f>VLOOKUP(Cpi_[[#This Row],[Attribute]],#REF!,2,FALSE)</f>
        <v>#REF!</v>
      </c>
      <c r="F432">
        <v>105.5</v>
      </c>
      <c r="G432">
        <f>(Cpi_[[#This Row],[Value]]-F431)/F431</f>
        <v>2.9268292682926831E-2</v>
      </c>
      <c r="H432" t="e" cm="1" vm="1">
        <f t="array" aca="1" ref="H432" ca="1">VLOOKUP(Cpi_[[#This Row],[Year]:[Month]],crudeoil[],3,FALSE)</f>
        <v>#VALUE!</v>
      </c>
    </row>
    <row r="433" spans="1:8" hidden="1" x14ac:dyDescent="0.3">
      <c r="A433" t="s">
        <v>30</v>
      </c>
      <c r="B433">
        <v>2013</v>
      </c>
      <c r="C433" t="s">
        <v>39</v>
      </c>
      <c r="D433" t="s">
        <v>29</v>
      </c>
      <c r="E433" t="e" cm="1">
        <f t="array" aca="1" ref="E433" ca="1">VLGeneral indexGeneral indexKUP(Cpi_[[#This Row],[Attribute]],#REF!,2,FALSE)</f>
        <v>#NAME?</v>
      </c>
      <c r="F433">
        <v>108.9</v>
      </c>
      <c r="G433">
        <f>(Cpi_[[#This Row],[Value]]-F432)/F432</f>
        <v>3.2227488151658823E-2</v>
      </c>
      <c r="H433" t="e" cm="1" vm="1">
        <f t="array" aca="1" ref="H433" ca="1">VLOOKUP(Cpi_[[#This Row],[Year]:[Month]],crudeoil[],3,FALSE)</f>
        <v>#VALUE!</v>
      </c>
    </row>
    <row r="434" spans="1:8" hidden="1" x14ac:dyDescent="0.3">
      <c r="A434" t="s">
        <v>33</v>
      </c>
      <c r="B434">
        <v>2013</v>
      </c>
      <c r="C434" t="s">
        <v>39</v>
      </c>
      <c r="D434" t="s">
        <v>3</v>
      </c>
      <c r="E434" t="e">
        <f>VLOOKUP(Cpi_[[#This Row],[Attribute]],#REF!,2,FALSE)</f>
        <v>#REF!</v>
      </c>
      <c r="F434">
        <v>117</v>
      </c>
      <c r="G434">
        <f>(Cpi_[[#This Row],[Value]]-F433)/F433</f>
        <v>7.4380165289256145E-2</v>
      </c>
      <c r="H434" t="e" cm="1" vm="1">
        <f t="array" aca="1" ref="H434" ca="1">VLOOKUP(Cpi_[[#This Row],[Year]:[Month]],crudeoil[],3,FALSE)</f>
        <v>#VALUE!</v>
      </c>
    </row>
    <row r="435" spans="1:8" hidden="1" x14ac:dyDescent="0.3">
      <c r="A435" t="s">
        <v>33</v>
      </c>
      <c r="B435">
        <v>2013</v>
      </c>
      <c r="C435" t="s">
        <v>39</v>
      </c>
      <c r="D435" t="s">
        <v>4</v>
      </c>
      <c r="E435" t="e">
        <f>VLOOKUP(Cpi_[[#This Row],[Attribute]],#REF!,2,FALSE)</f>
        <v>#REF!</v>
      </c>
      <c r="F435">
        <v>120.1</v>
      </c>
      <c r="G435">
        <f>(Cpi_[[#This Row],[Value]]-F434)/F434</f>
        <v>2.6495726495726447E-2</v>
      </c>
      <c r="H435" t="e" cm="1" vm="1">
        <f t="array" aca="1" ref="H435" ca="1">VLOOKUP(Cpi_[[#This Row],[Year]:[Month]],crudeoil[],3,FALSE)</f>
        <v>#VALUE!</v>
      </c>
    </row>
    <row r="436" spans="1:8" hidden="1" x14ac:dyDescent="0.3">
      <c r="A436" t="s">
        <v>33</v>
      </c>
      <c r="B436">
        <v>2013</v>
      </c>
      <c r="C436" t="s">
        <v>39</v>
      </c>
      <c r="D436" t="s">
        <v>5</v>
      </c>
      <c r="E436" t="e">
        <f>VLOOKUP(Cpi_[[#This Row],[Attribute]],#REF!,2,FALSE)</f>
        <v>#REF!</v>
      </c>
      <c r="F436">
        <v>112.5</v>
      </c>
      <c r="G436">
        <f>(Cpi_[[#This Row],[Value]]-F435)/F435</f>
        <v>-6.3280599500416271E-2</v>
      </c>
      <c r="H436" t="e" cm="1" vm="1">
        <f t="array" aca="1" ref="H436" ca="1">VLOOKUP(Cpi_[[#This Row],[Year]:[Month]],crudeoil[],3,FALSE)</f>
        <v>#VALUE!</v>
      </c>
    </row>
    <row r="437" spans="1:8" hidden="1" x14ac:dyDescent="0.3">
      <c r="A437" t="s">
        <v>33</v>
      </c>
      <c r="B437">
        <v>2013</v>
      </c>
      <c r="C437" t="s">
        <v>39</v>
      </c>
      <c r="D437" t="s">
        <v>6</v>
      </c>
      <c r="E437" t="e">
        <f>VLOOKUP(Cpi_[[#This Row],[Attribute]],#REF!,2,FALSE)</f>
        <v>#REF!</v>
      </c>
      <c r="F437">
        <v>107.3</v>
      </c>
      <c r="G437">
        <f>(Cpi_[[#This Row],[Value]]-F436)/F436</f>
        <v>-4.6222222222222248E-2</v>
      </c>
      <c r="H437" t="e" cm="1" vm="1">
        <f t="array" aca="1" ref="H437" ca="1">VLOOKUP(Cpi_[[#This Row],[Year]:[Month]],crudeoil[],3,FALSE)</f>
        <v>#VALUE!</v>
      </c>
    </row>
    <row r="438" spans="1:8" hidden="1" x14ac:dyDescent="0.3">
      <c r="A438" t="s">
        <v>33</v>
      </c>
      <c r="B438">
        <v>2013</v>
      </c>
      <c r="C438" t="s">
        <v>39</v>
      </c>
      <c r="D438" t="s">
        <v>7</v>
      </c>
      <c r="E438" t="e">
        <f>VLOOKUP(Cpi_[[#This Row],[Attribute]],#REF!,2,FALSE)</f>
        <v>#REF!</v>
      </c>
      <c r="F438">
        <v>101.3</v>
      </c>
      <c r="G438">
        <f>(Cpi_[[#This Row],[Value]]-F437)/F437</f>
        <v>-5.591798695246971E-2</v>
      </c>
      <c r="H438" t="e" cm="1" vm="1">
        <f t="array" aca="1" ref="H438" ca="1">VLOOKUP(Cpi_[[#This Row],[Year]:[Month]],crudeoil[],3,FALSE)</f>
        <v>#VALUE!</v>
      </c>
    </row>
    <row r="439" spans="1:8" hidden="1" x14ac:dyDescent="0.3">
      <c r="A439" t="s">
        <v>33</v>
      </c>
      <c r="B439">
        <v>2013</v>
      </c>
      <c r="C439" t="s">
        <v>39</v>
      </c>
      <c r="D439" t="s">
        <v>8</v>
      </c>
      <c r="E439" t="e">
        <f>VLOOKUP(Cpi_[[#This Row],[Attribute]],#REF!,2,FALSE)</f>
        <v>#REF!</v>
      </c>
      <c r="F439">
        <v>112.4</v>
      </c>
      <c r="G439">
        <f>(Cpi_[[#This Row],[Value]]-F438)/F438</f>
        <v>0.10957551826258646</v>
      </c>
      <c r="H439" t="e" cm="1" vm="1">
        <f t="array" aca="1" ref="H439" ca="1">VLOOKUP(Cpi_[[#This Row],[Year]:[Month]],crudeoil[],3,FALSE)</f>
        <v>#VALUE!</v>
      </c>
    </row>
    <row r="440" spans="1:8" hidden="1" x14ac:dyDescent="0.3">
      <c r="A440" t="s">
        <v>33</v>
      </c>
      <c r="B440">
        <v>2013</v>
      </c>
      <c r="C440" t="s">
        <v>39</v>
      </c>
      <c r="D440" t="s">
        <v>9</v>
      </c>
      <c r="E440" t="e">
        <f>VLOOKUP(Cpi_[[#This Row],[Attribute]],#REF!,2,FALSE)</f>
        <v>#REF!</v>
      </c>
      <c r="F440">
        <v>143.6</v>
      </c>
      <c r="G440">
        <f>(Cpi_[[#This Row],[Value]]-F439)/F439</f>
        <v>0.27758007117437711</v>
      </c>
      <c r="H440" t="e" cm="1" vm="1">
        <f t="array" aca="1" ref="H440" ca="1">VLOOKUP(Cpi_[[#This Row],[Year]:[Month]],crudeoil[],3,FALSE)</f>
        <v>#VALUE!</v>
      </c>
    </row>
    <row r="441" spans="1:8" hidden="1" x14ac:dyDescent="0.3">
      <c r="A441" t="s">
        <v>33</v>
      </c>
      <c r="B441">
        <v>2013</v>
      </c>
      <c r="C441" t="s">
        <v>39</v>
      </c>
      <c r="D441" t="s">
        <v>10</v>
      </c>
      <c r="E441" t="e">
        <f>VLOOKUP(Cpi_[[#This Row],[Attribute]],#REF!,2,FALSE)</f>
        <v>#REF!</v>
      </c>
      <c r="F441">
        <v>105.4</v>
      </c>
      <c r="G441">
        <f>(Cpi_[[#This Row],[Value]]-F440)/F440</f>
        <v>-0.26601671309192193</v>
      </c>
      <c r="H441" t="e" cm="1" vm="1">
        <f t="array" aca="1" ref="H441" ca="1">VLOOKUP(Cpi_[[#This Row],[Year]:[Month]],crudeoil[],3,FALSE)</f>
        <v>#VALUE!</v>
      </c>
    </row>
    <row r="442" spans="1:8" hidden="1" x14ac:dyDescent="0.3">
      <c r="A442" t="s">
        <v>33</v>
      </c>
      <c r="B442">
        <v>2013</v>
      </c>
      <c r="C442" t="s">
        <v>39</v>
      </c>
      <c r="D442" t="s">
        <v>11</v>
      </c>
      <c r="E442" t="e">
        <f>VLOOKUP(Cpi_[[#This Row],[Attribute]],#REF!,2,FALSE)</f>
        <v>#REF!</v>
      </c>
      <c r="F442">
        <v>101.4</v>
      </c>
      <c r="G442">
        <f>(Cpi_[[#This Row],[Value]]-F441)/F441</f>
        <v>-3.7950664136622389E-2</v>
      </c>
      <c r="H442" t="e" cm="1" vm="1">
        <f t="array" aca="1" ref="H442" ca="1">VLOOKUP(Cpi_[[#This Row],[Year]:[Month]],crudeoil[],3,FALSE)</f>
        <v>#VALUE!</v>
      </c>
    </row>
    <row r="443" spans="1:8" hidden="1" x14ac:dyDescent="0.3">
      <c r="A443" t="s">
        <v>33</v>
      </c>
      <c r="B443">
        <v>2013</v>
      </c>
      <c r="C443" t="s">
        <v>39</v>
      </c>
      <c r="D443" t="s">
        <v>12</v>
      </c>
      <c r="E443" t="e">
        <f>VLOOKUP(Cpi_[[#This Row],[Attribute]],#REF!,2,FALSE)</f>
        <v>#REF!</v>
      </c>
      <c r="F443">
        <v>106.4</v>
      </c>
      <c r="G443">
        <f>(Cpi_[[#This Row],[Value]]-F442)/F442</f>
        <v>4.9309664694280074E-2</v>
      </c>
      <c r="H443" t="e" cm="1" vm="1">
        <f t="array" aca="1" ref="H443" ca="1">VLOOKUP(Cpi_[[#This Row],[Year]:[Month]],crudeoil[],3,FALSE)</f>
        <v>#VALUE!</v>
      </c>
    </row>
    <row r="444" spans="1:8" hidden="1" x14ac:dyDescent="0.3">
      <c r="A444" t="s">
        <v>33</v>
      </c>
      <c r="B444">
        <v>2013</v>
      </c>
      <c r="C444" t="s">
        <v>39</v>
      </c>
      <c r="D444" t="s">
        <v>13</v>
      </c>
      <c r="E444" t="e">
        <f>VLOOKUP(Cpi_[[#This Row],[Attribute]],#REF!,2,FALSE)</f>
        <v>#REF!</v>
      </c>
      <c r="F444">
        <v>110</v>
      </c>
      <c r="G444">
        <f>(Cpi_[[#This Row],[Value]]-F443)/F443</f>
        <v>3.3834586466165356E-2</v>
      </c>
      <c r="H444" t="e" cm="1" vm="1">
        <f t="array" aca="1" ref="H444" ca="1">VLOOKUP(Cpi_[[#This Row],[Year]:[Month]],crudeoil[],3,FALSE)</f>
        <v>#VALUE!</v>
      </c>
    </row>
    <row r="445" spans="1:8" hidden="1" x14ac:dyDescent="0.3">
      <c r="A445" t="s">
        <v>33</v>
      </c>
      <c r="B445">
        <v>2013</v>
      </c>
      <c r="C445" t="s">
        <v>39</v>
      </c>
      <c r="D445" t="s">
        <v>14</v>
      </c>
      <c r="E445" t="e">
        <f>VLOOKUP(Cpi_[[#This Row],[Attribute]],#REF!,2,FALSE)</f>
        <v>#REF!</v>
      </c>
      <c r="F445">
        <v>112.2</v>
      </c>
      <c r="G445">
        <f>(Cpi_[[#This Row],[Value]]-F444)/F444</f>
        <v>2.0000000000000025E-2</v>
      </c>
      <c r="H445" t="e" cm="1" vm="1">
        <f t="array" aca="1" ref="H445" ca="1">VLOOKUP(Cpi_[[#This Row],[Year]:[Month]],crudeoil[],3,FALSE)</f>
        <v>#VALUE!</v>
      </c>
    </row>
    <row r="446" spans="1:8" hidden="1" x14ac:dyDescent="0.3">
      <c r="A446" t="s">
        <v>33</v>
      </c>
      <c r="B446">
        <v>2013</v>
      </c>
      <c r="C446" t="s">
        <v>39</v>
      </c>
      <c r="D446" t="s">
        <v>15</v>
      </c>
      <c r="E446" t="e">
        <f>VLOOKUP(Cpi_[[#This Row],[Attribute]],#REF!,2,FALSE)</f>
        <v>#REF!</v>
      </c>
      <c r="F446">
        <v>115</v>
      </c>
      <c r="G446">
        <f>(Cpi_[[#This Row],[Value]]-F445)/F445</f>
        <v>2.4955436720142575E-2</v>
      </c>
      <c r="H446" t="e" cm="1" vm="1">
        <f t="array" aca="1" ref="H446" ca="1">VLOOKUP(Cpi_[[#This Row],[Year]:[Month]],crudeoil[],3,FALSE)</f>
        <v>#VALUE!</v>
      </c>
    </row>
    <row r="447" spans="1:8" hidden="1" x14ac:dyDescent="0.3">
      <c r="A447" t="s">
        <v>33</v>
      </c>
      <c r="B447">
        <v>2013</v>
      </c>
      <c r="C447" t="s">
        <v>39</v>
      </c>
      <c r="D447" t="s">
        <v>16</v>
      </c>
      <c r="E447" t="e">
        <f>VLOOKUP(Cpi_[[#This Row],[Attribute]],#REF!,2,FALSE)</f>
        <v>#REF!</v>
      </c>
      <c r="F447">
        <v>110.9</v>
      </c>
      <c r="G447">
        <f>(Cpi_[[#This Row],[Value]]-F446)/F446</f>
        <v>-3.5652173913043428E-2</v>
      </c>
      <c r="H447" t="e" cm="1" vm="1">
        <f t="array" aca="1" ref="H447" ca="1">VLOOKUP(Cpi_[[#This Row],[Year]:[Month]],crudeoil[],3,FALSE)</f>
        <v>#VALUE!</v>
      </c>
    </row>
    <row r="448" spans="1:8" hidden="1" x14ac:dyDescent="0.3">
      <c r="A448" t="s">
        <v>33</v>
      </c>
      <c r="B448">
        <v>2013</v>
      </c>
      <c r="C448" t="s">
        <v>39</v>
      </c>
      <c r="D448" t="s">
        <v>17</v>
      </c>
      <c r="E448" t="e">
        <f>VLOOKUP(Cpi_[[#This Row],[Attribute]],#REF!,2,FALSE)</f>
        <v>#REF!</v>
      </c>
      <c r="F448">
        <v>109.2</v>
      </c>
      <c r="G448">
        <f>(Cpi_[[#This Row],[Value]]-F447)/F447</f>
        <v>-1.5329125338142496E-2</v>
      </c>
      <c r="H448" t="e" cm="1" vm="1">
        <f t="array" aca="1" ref="H448" ca="1">VLOOKUP(Cpi_[[#This Row],[Year]:[Month]],crudeoil[],3,FALSE)</f>
        <v>#VALUE!</v>
      </c>
    </row>
    <row r="449" spans="1:8" hidden="1" x14ac:dyDescent="0.3">
      <c r="A449" t="s">
        <v>33</v>
      </c>
      <c r="B449">
        <v>2013</v>
      </c>
      <c r="C449" t="s">
        <v>39</v>
      </c>
      <c r="D449" t="s">
        <v>18</v>
      </c>
      <c r="E449" t="e">
        <f>VLOOKUP(Cpi_[[#This Row],[Attribute]],#REF!,2,FALSE)</f>
        <v>#REF!</v>
      </c>
      <c r="F449">
        <v>107.2</v>
      </c>
      <c r="G449">
        <f>(Cpi_[[#This Row],[Value]]-F448)/F448</f>
        <v>-1.8315018315018316E-2</v>
      </c>
      <c r="H449" t="e" cm="1" vm="1">
        <f t="array" aca="1" ref="H449" ca="1">VLOOKUP(Cpi_[[#This Row],[Year]:[Month]],crudeoil[],3,FALSE)</f>
        <v>#VALUE!</v>
      </c>
    </row>
    <row r="450" spans="1:8" hidden="1" x14ac:dyDescent="0.3">
      <c r="A450" t="s">
        <v>33</v>
      </c>
      <c r="B450">
        <v>2013</v>
      </c>
      <c r="C450" t="s">
        <v>39</v>
      </c>
      <c r="D450" t="s">
        <v>19</v>
      </c>
      <c r="E450" t="e">
        <f>VLOOKUP(Cpi_[[#This Row],[Attribute]],#REF!,2,FALSE)</f>
        <v>#REF!</v>
      </c>
      <c r="F450">
        <v>108.9</v>
      </c>
      <c r="G450">
        <f>(Cpi_[[#This Row],[Value]]-F449)/F449</f>
        <v>1.5858208955223906E-2</v>
      </c>
      <c r="H450" t="e" cm="1" vm="1">
        <f t="array" aca="1" ref="H450" ca="1">VLOOKUP(Cpi_[[#This Row],[Year]:[Month]],crudeoil[],3,FALSE)</f>
        <v>#VALUE!</v>
      </c>
    </row>
    <row r="451" spans="1:8" hidden="1" x14ac:dyDescent="0.3">
      <c r="A451" t="s">
        <v>33</v>
      </c>
      <c r="B451">
        <v>2013</v>
      </c>
      <c r="C451" t="s">
        <v>39</v>
      </c>
      <c r="D451" t="s">
        <v>20</v>
      </c>
      <c r="E451" t="e">
        <f>VLOOKUP(Cpi_[[#This Row],[Attribute]],#REF!,2,FALSE)</f>
        <v>#REF!</v>
      </c>
      <c r="F451">
        <v>106.6</v>
      </c>
      <c r="G451">
        <f>(Cpi_[[#This Row],[Value]]-F450)/F450</f>
        <v>-2.1120293847566678E-2</v>
      </c>
      <c r="H451" t="e" cm="1" vm="1">
        <f t="array" aca="1" ref="H451" ca="1">VLOOKUP(Cpi_[[#This Row],[Year]:[Month]],crudeoil[],3,FALSE)</f>
        <v>#VALUE!</v>
      </c>
    </row>
    <row r="452" spans="1:8" hidden="1" x14ac:dyDescent="0.3">
      <c r="A452" t="s">
        <v>33</v>
      </c>
      <c r="B452">
        <v>2013</v>
      </c>
      <c r="C452" t="s">
        <v>39</v>
      </c>
      <c r="D452" t="s">
        <v>21</v>
      </c>
      <c r="E452" t="e">
        <f>VLOOKUP(Cpi_[[#This Row],[Attribute]],#REF!,2,FALSE)</f>
        <v>#REF!</v>
      </c>
      <c r="F452">
        <v>108</v>
      </c>
      <c r="G452">
        <f>(Cpi_[[#This Row],[Value]]-F451)/F451</f>
        <v>1.3133208255159529E-2</v>
      </c>
      <c r="H452" t="e" cm="1" vm="1">
        <f t="array" aca="1" ref="H452" ca="1">VLOOKUP(Cpi_[[#This Row],[Year]:[Month]],crudeoil[],3,FALSE)</f>
        <v>#VALUE!</v>
      </c>
    </row>
    <row r="453" spans="1:8" hidden="1" x14ac:dyDescent="0.3">
      <c r="A453" t="s">
        <v>33</v>
      </c>
      <c r="B453">
        <v>2013</v>
      </c>
      <c r="C453" t="s">
        <v>39</v>
      </c>
      <c r="D453" t="s">
        <v>22</v>
      </c>
      <c r="E453" t="e">
        <f>VLOOKUP(Cpi_[[#This Row],[Attribute]],#REF!,2,FALSE)</f>
        <v>#REF!</v>
      </c>
      <c r="F453">
        <v>107.7</v>
      </c>
      <c r="G453">
        <f>(Cpi_[[#This Row],[Value]]-F452)/F452</f>
        <v>-2.7777777777777514E-3</v>
      </c>
      <c r="H453" t="e" cm="1" vm="1">
        <f t="array" aca="1" ref="H453" ca="1">VLOOKUP(Cpi_[[#This Row],[Year]:[Month]],crudeoil[],3,FALSE)</f>
        <v>#VALUE!</v>
      </c>
    </row>
    <row r="454" spans="1:8" hidden="1" x14ac:dyDescent="0.3">
      <c r="A454" t="s">
        <v>33</v>
      </c>
      <c r="B454">
        <v>2013</v>
      </c>
      <c r="C454" t="s">
        <v>39</v>
      </c>
      <c r="D454" t="s">
        <v>23</v>
      </c>
      <c r="E454" t="e">
        <f>VLOOKUP(Cpi_[[#This Row],[Attribute]],#REF!,2,FALSE)</f>
        <v>#REF!</v>
      </c>
      <c r="F454">
        <v>106.5</v>
      </c>
      <c r="G454">
        <f>(Cpi_[[#This Row],[Value]]-F453)/F453</f>
        <v>-1.1142061281337073E-2</v>
      </c>
      <c r="H454" t="e" cm="1" vm="1">
        <f t="array" aca="1" ref="H454" ca="1">VLOOKUP(Cpi_[[#This Row],[Year]:[Month]],crudeoil[],3,FALSE)</f>
        <v>#VALUE!</v>
      </c>
    </row>
    <row r="455" spans="1:8" hidden="1" x14ac:dyDescent="0.3">
      <c r="A455" t="s">
        <v>33</v>
      </c>
      <c r="B455">
        <v>2013</v>
      </c>
      <c r="C455" t="s">
        <v>39</v>
      </c>
      <c r="D455" t="s">
        <v>24</v>
      </c>
      <c r="E455" t="e">
        <f>VLOOKUP(Cpi_[[#This Row],[Attribute]],#REF!,2,FALSE)</f>
        <v>#REF!</v>
      </c>
      <c r="F455">
        <v>105.2</v>
      </c>
      <c r="G455">
        <f>(Cpi_[[#This Row],[Value]]-F454)/F454</f>
        <v>-1.2206572769953026E-2</v>
      </c>
      <c r="H455" t="e" cm="1" vm="1">
        <f t="array" aca="1" ref="H455" ca="1">VLOOKUP(Cpi_[[#This Row],[Year]:[Month]],crudeoil[],3,FALSE)</f>
        <v>#VALUE!</v>
      </c>
    </row>
    <row r="456" spans="1:8" hidden="1" x14ac:dyDescent="0.3">
      <c r="A456" t="s">
        <v>33</v>
      </c>
      <c r="B456">
        <v>2013</v>
      </c>
      <c r="C456" t="s">
        <v>39</v>
      </c>
      <c r="D456" t="s">
        <v>25</v>
      </c>
      <c r="E456" t="e">
        <f>VLOOKUP(Cpi_[[#This Row],[Attribute]],#REF!,2,FALSE)</f>
        <v>#REF!</v>
      </c>
      <c r="F456">
        <v>105.2</v>
      </c>
      <c r="G456">
        <f>(Cpi_[[#This Row],[Value]]-F455)/F455</f>
        <v>0</v>
      </c>
      <c r="H456" t="e" cm="1" vm="1">
        <f t="array" aca="1" ref="H456" ca="1">VLOOKUP(Cpi_[[#This Row],[Year]:[Month]],crudeoil[],3,FALSE)</f>
        <v>#VALUE!</v>
      </c>
    </row>
    <row r="457" spans="1:8" hidden="1" x14ac:dyDescent="0.3">
      <c r="A457" t="s">
        <v>33</v>
      </c>
      <c r="B457">
        <v>2013</v>
      </c>
      <c r="C457" t="s">
        <v>39</v>
      </c>
      <c r="D457" t="s">
        <v>26</v>
      </c>
      <c r="E457" t="e">
        <f>VLOOKUP(Cpi_[[#This Row],[Attribute]],#REF!,2,FALSE)</f>
        <v>#REF!</v>
      </c>
      <c r="F457">
        <v>108.1</v>
      </c>
      <c r="G457">
        <f>(Cpi_[[#This Row],[Value]]-F456)/F456</f>
        <v>2.7566539923954289E-2</v>
      </c>
      <c r="H457" t="e" cm="1" vm="1">
        <f t="array" aca="1" ref="H457" ca="1">VLOOKUP(Cpi_[[#This Row],[Year]:[Month]],crudeoil[],3,FALSE)</f>
        <v>#VALUE!</v>
      </c>
    </row>
    <row r="458" spans="1:8" hidden="1" x14ac:dyDescent="0.3">
      <c r="A458" t="s">
        <v>33</v>
      </c>
      <c r="B458">
        <v>2013</v>
      </c>
      <c r="C458" t="s">
        <v>39</v>
      </c>
      <c r="D458" t="s">
        <v>27</v>
      </c>
      <c r="E458" t="e">
        <f>VLOOKUP(Cpi_[[#This Row],[Attribute]],#REF!,2,FALSE)</f>
        <v>#REF!</v>
      </c>
      <c r="F458">
        <v>103.3</v>
      </c>
      <c r="G458">
        <f>(Cpi_[[#This Row],[Value]]-F457)/F457</f>
        <v>-4.440333024976871E-2</v>
      </c>
      <c r="H458" t="e" cm="1" vm="1">
        <f t="array" aca="1" ref="H458" ca="1">VLOOKUP(Cpi_[[#This Row],[Year]:[Month]],crudeoil[],3,FALSE)</f>
        <v>#VALUE!</v>
      </c>
    </row>
    <row r="459" spans="1:8" hidden="1" x14ac:dyDescent="0.3">
      <c r="A459" t="s">
        <v>33</v>
      </c>
      <c r="B459">
        <v>2013</v>
      </c>
      <c r="C459" t="s">
        <v>39</v>
      </c>
      <c r="D459" t="s">
        <v>28</v>
      </c>
      <c r="E459" t="e">
        <f>VLOOKUP(Cpi_[[#This Row],[Attribute]],#REF!,2,FALSE)</f>
        <v>#REF!</v>
      </c>
      <c r="F459">
        <v>106.1</v>
      </c>
      <c r="G459">
        <f>(Cpi_[[#This Row],[Value]]-F458)/F458</f>
        <v>2.7105517909002879E-2</v>
      </c>
      <c r="H459" t="e" cm="1" vm="1">
        <f t="array" aca="1" ref="H459" ca="1">VLOOKUP(Cpi_[[#This Row],[Year]:[Month]],crudeoil[],3,FALSE)</f>
        <v>#VALUE!</v>
      </c>
    </row>
    <row r="460" spans="1:8" hidden="1" x14ac:dyDescent="0.3">
      <c r="A460" t="s">
        <v>33</v>
      </c>
      <c r="B460">
        <v>2013</v>
      </c>
      <c r="C460" t="s">
        <v>39</v>
      </c>
      <c r="D460" t="s">
        <v>29</v>
      </c>
      <c r="E460" t="e" cm="1">
        <f t="array" aca="1" ref="E460" ca="1">VLGeneral indexGeneral indexKUP(Cpi_[[#This Row],[Attribute]],#REF!,2,FALSE)</f>
        <v>#NAME?</v>
      </c>
      <c r="F460">
        <v>109.7</v>
      </c>
      <c r="G460">
        <f>(Cpi_[[#This Row],[Value]]-F459)/F459</f>
        <v>3.3930254476908658E-2</v>
      </c>
      <c r="H460" t="e" cm="1" vm="1">
        <f t="array" aca="1" ref="H460" ca="1">VLOOKUP(Cpi_[[#This Row],[Year]:[Month]],crudeoil[],3,FALSE)</f>
        <v>#VALUE!</v>
      </c>
    </row>
    <row r="461" spans="1:8" hidden="1" x14ac:dyDescent="0.3">
      <c r="A461" t="s">
        <v>34</v>
      </c>
      <c r="B461">
        <v>2013</v>
      </c>
      <c r="C461" t="s">
        <v>39</v>
      </c>
      <c r="D461" t="s">
        <v>3</v>
      </c>
      <c r="E461" t="e">
        <f>VLOOKUP(Cpi_[[#This Row],[Attribute]],#REF!,2,FALSE)</f>
        <v>#REF!</v>
      </c>
      <c r="F461">
        <v>113.8</v>
      </c>
      <c r="G461">
        <f>(Cpi_[[#This Row],[Value]]-F460)/F460</f>
        <v>3.7374658158614349E-2</v>
      </c>
      <c r="H461" t="e" cm="1" vm="1">
        <f t="array" aca="1" ref="H461" ca="1">VLOOKUP(Cpi_[[#This Row],[Year]:[Month]],crudeoil[],3,FALSE)</f>
        <v>#VALUE!</v>
      </c>
    </row>
    <row r="462" spans="1:8" hidden="1" x14ac:dyDescent="0.3">
      <c r="A462" t="s">
        <v>34</v>
      </c>
      <c r="B462">
        <v>2013</v>
      </c>
      <c r="C462" t="s">
        <v>39</v>
      </c>
      <c r="D462" t="s">
        <v>4</v>
      </c>
      <c r="E462" t="e">
        <f>VLOOKUP(Cpi_[[#This Row],[Attribute]],#REF!,2,FALSE)</f>
        <v>#REF!</v>
      </c>
      <c r="F462">
        <v>114.9</v>
      </c>
      <c r="G462">
        <f>(Cpi_[[#This Row],[Value]]-F461)/F461</f>
        <v>9.6660808435853132E-3</v>
      </c>
      <c r="H462" t="e" cm="1" vm="1">
        <f t="array" aca="1" ref="H462" ca="1">VLOOKUP(Cpi_[[#This Row],[Year]:[Month]],crudeoil[],3,FALSE)</f>
        <v>#VALUE!</v>
      </c>
    </row>
    <row r="463" spans="1:8" hidden="1" x14ac:dyDescent="0.3">
      <c r="A463" t="s">
        <v>34</v>
      </c>
      <c r="B463">
        <v>2013</v>
      </c>
      <c r="C463" t="s">
        <v>39</v>
      </c>
      <c r="D463" t="s">
        <v>5</v>
      </c>
      <c r="E463" t="e">
        <f>VLOOKUP(Cpi_[[#This Row],[Attribute]],#REF!,2,FALSE)</f>
        <v>#REF!</v>
      </c>
      <c r="F463">
        <v>109.8</v>
      </c>
      <c r="G463">
        <f>(Cpi_[[#This Row],[Value]]-F462)/F462</f>
        <v>-4.4386422976501375E-2</v>
      </c>
      <c r="H463" t="e" cm="1" vm="1">
        <f t="array" aca="1" ref="H463" ca="1">VLOOKUP(Cpi_[[#This Row],[Year]:[Month]],crudeoil[],3,FALSE)</f>
        <v>#VALUE!</v>
      </c>
    </row>
    <row r="464" spans="1:8" hidden="1" x14ac:dyDescent="0.3">
      <c r="A464" t="s">
        <v>34</v>
      </c>
      <c r="B464">
        <v>2013</v>
      </c>
      <c r="C464" t="s">
        <v>39</v>
      </c>
      <c r="D464" t="s">
        <v>6</v>
      </c>
      <c r="E464" t="e">
        <f>VLOOKUP(Cpi_[[#This Row],[Attribute]],#REF!,2,FALSE)</f>
        <v>#REF!</v>
      </c>
      <c r="F464">
        <v>107.9</v>
      </c>
      <c r="G464">
        <f>(Cpi_[[#This Row],[Value]]-F463)/F463</f>
        <v>-1.73041894353369E-2</v>
      </c>
      <c r="H464" t="e" cm="1" vm="1">
        <f t="array" aca="1" ref="H464" ca="1">VLOOKUP(Cpi_[[#This Row],[Year]:[Month]],crudeoil[],3,FALSE)</f>
        <v>#VALUE!</v>
      </c>
    </row>
    <row r="465" spans="1:8" hidden="1" x14ac:dyDescent="0.3">
      <c r="A465" t="s">
        <v>34</v>
      </c>
      <c r="B465">
        <v>2013</v>
      </c>
      <c r="C465" t="s">
        <v>39</v>
      </c>
      <c r="D465" t="s">
        <v>7</v>
      </c>
      <c r="E465" t="e">
        <f>VLOOKUP(Cpi_[[#This Row],[Attribute]],#REF!,2,FALSE)</f>
        <v>#REF!</v>
      </c>
      <c r="F465">
        <v>104.2</v>
      </c>
      <c r="G465">
        <f>(Cpi_[[#This Row],[Value]]-F464)/F464</f>
        <v>-3.4291010194624674E-2</v>
      </c>
      <c r="H465" t="e" cm="1" vm="1">
        <f t="array" aca="1" ref="H465" ca="1">VLOOKUP(Cpi_[[#This Row],[Year]:[Month]],crudeoil[],3,FALSE)</f>
        <v>#VALUE!</v>
      </c>
    </row>
    <row r="466" spans="1:8" hidden="1" x14ac:dyDescent="0.3">
      <c r="A466" t="s">
        <v>34</v>
      </c>
      <c r="B466">
        <v>2013</v>
      </c>
      <c r="C466" t="s">
        <v>39</v>
      </c>
      <c r="D466" t="s">
        <v>8</v>
      </c>
      <c r="E466" t="e">
        <f>VLOOKUP(Cpi_[[#This Row],[Attribute]],#REF!,2,FALSE)</f>
        <v>#REF!</v>
      </c>
      <c r="F466">
        <v>110.7</v>
      </c>
      <c r="G466">
        <f>(Cpi_[[#This Row],[Value]]-F465)/F465</f>
        <v>6.2380038387715928E-2</v>
      </c>
      <c r="H466" t="e" cm="1" vm="1">
        <f t="array" aca="1" ref="H466" ca="1">VLOOKUP(Cpi_[[#This Row],[Year]:[Month]],crudeoil[],3,FALSE)</f>
        <v>#VALUE!</v>
      </c>
    </row>
    <row r="467" spans="1:8" hidden="1" x14ac:dyDescent="0.3">
      <c r="A467" t="s">
        <v>34</v>
      </c>
      <c r="B467">
        <v>2013</v>
      </c>
      <c r="C467" t="s">
        <v>39</v>
      </c>
      <c r="D467" t="s">
        <v>9</v>
      </c>
      <c r="E467" t="e">
        <f>VLOOKUP(Cpi_[[#This Row],[Attribute]],#REF!,2,FALSE)</f>
        <v>#REF!</v>
      </c>
      <c r="F467">
        <v>126.7</v>
      </c>
      <c r="G467">
        <f>(Cpi_[[#This Row],[Value]]-F466)/F466</f>
        <v>0.14453477868112014</v>
      </c>
      <c r="H467" t="e" cm="1" vm="1">
        <f t="array" aca="1" ref="H467" ca="1">VLOOKUP(Cpi_[[#This Row],[Year]:[Month]],crudeoil[],3,FALSE)</f>
        <v>#VALUE!</v>
      </c>
    </row>
    <row r="468" spans="1:8" hidden="1" x14ac:dyDescent="0.3">
      <c r="A468" t="s">
        <v>34</v>
      </c>
      <c r="B468">
        <v>2013</v>
      </c>
      <c r="C468" t="s">
        <v>39</v>
      </c>
      <c r="D468" t="s">
        <v>10</v>
      </c>
      <c r="E468" t="e">
        <f>VLOOKUP(Cpi_[[#This Row],[Attribute]],#REF!,2,FALSE)</f>
        <v>#REF!</v>
      </c>
      <c r="F468">
        <v>106.3</v>
      </c>
      <c r="G468">
        <f>(Cpi_[[#This Row],[Value]]-F467)/F467</f>
        <v>-0.16101026045777431</v>
      </c>
      <c r="H468" t="e" cm="1" vm="1">
        <f t="array" aca="1" ref="H468" ca="1">VLOOKUP(Cpi_[[#This Row],[Year]:[Month]],crudeoil[],3,FALSE)</f>
        <v>#VALUE!</v>
      </c>
    </row>
    <row r="469" spans="1:8" hidden="1" x14ac:dyDescent="0.3">
      <c r="A469" t="s">
        <v>34</v>
      </c>
      <c r="B469">
        <v>2013</v>
      </c>
      <c r="C469" t="s">
        <v>39</v>
      </c>
      <c r="D469" t="s">
        <v>11</v>
      </c>
      <c r="E469" t="e">
        <f>VLOOKUP(Cpi_[[#This Row],[Attribute]],#REF!,2,FALSE)</f>
        <v>#REF!</v>
      </c>
      <c r="F469">
        <v>103.2</v>
      </c>
      <c r="G469">
        <f>(Cpi_[[#This Row],[Value]]-F468)/F468</f>
        <v>-2.9162746942615187E-2</v>
      </c>
      <c r="H469" t="e" cm="1" vm="1">
        <f t="array" aca="1" ref="H469" ca="1">VLOOKUP(Cpi_[[#This Row],[Year]:[Month]],crudeoil[],3,FALSE)</f>
        <v>#VALUE!</v>
      </c>
    </row>
    <row r="470" spans="1:8" hidden="1" x14ac:dyDescent="0.3">
      <c r="A470" t="s">
        <v>34</v>
      </c>
      <c r="B470">
        <v>2013</v>
      </c>
      <c r="C470" t="s">
        <v>39</v>
      </c>
      <c r="D470" t="s">
        <v>12</v>
      </c>
      <c r="E470" t="e">
        <f>VLOOKUP(Cpi_[[#This Row],[Attribute]],#REF!,2,FALSE)</f>
        <v>#REF!</v>
      </c>
      <c r="F470">
        <v>105.7</v>
      </c>
      <c r="G470">
        <f>(Cpi_[[#This Row],[Value]]-F469)/F469</f>
        <v>2.4224806201550386E-2</v>
      </c>
      <c r="H470" t="e" cm="1" vm="1">
        <f t="array" aca="1" ref="H470" ca="1">VLOOKUP(Cpi_[[#This Row],[Year]:[Month]],crudeoil[],3,FALSE)</f>
        <v>#VALUE!</v>
      </c>
    </row>
    <row r="471" spans="1:8" hidden="1" x14ac:dyDescent="0.3">
      <c r="A471" t="s">
        <v>34</v>
      </c>
      <c r="B471">
        <v>2013</v>
      </c>
      <c r="C471" t="s">
        <v>39</v>
      </c>
      <c r="D471" t="s">
        <v>13</v>
      </c>
      <c r="E471" t="e">
        <f>VLOOKUP(Cpi_[[#This Row],[Attribute]],#REF!,2,FALSE)</f>
        <v>#REF!</v>
      </c>
      <c r="F471">
        <v>109</v>
      </c>
      <c r="G471">
        <f>(Cpi_[[#This Row],[Value]]-F470)/F470</f>
        <v>3.1220435193945101E-2</v>
      </c>
      <c r="H471" t="e" cm="1" vm="1">
        <f t="array" aca="1" ref="H471" ca="1">VLOOKUP(Cpi_[[#This Row],[Year]:[Month]],crudeoil[],3,FALSE)</f>
        <v>#VALUE!</v>
      </c>
    </row>
    <row r="472" spans="1:8" hidden="1" x14ac:dyDescent="0.3">
      <c r="A472" t="s">
        <v>34</v>
      </c>
      <c r="B472">
        <v>2013</v>
      </c>
      <c r="C472" t="s">
        <v>39</v>
      </c>
      <c r="D472" t="s">
        <v>14</v>
      </c>
      <c r="E472" t="e">
        <f>VLOOKUP(Cpi_[[#This Row],[Attribute]],#REF!,2,FALSE)</f>
        <v>#REF!</v>
      </c>
      <c r="F472">
        <v>111.6</v>
      </c>
      <c r="G472">
        <f>(Cpi_[[#This Row],[Value]]-F471)/F471</f>
        <v>2.3853211009174261E-2</v>
      </c>
      <c r="H472" t="e" cm="1" vm="1">
        <f t="array" aca="1" ref="H472" ca="1">VLOOKUP(Cpi_[[#This Row],[Year]:[Month]],crudeoil[],3,FALSE)</f>
        <v>#VALUE!</v>
      </c>
    </row>
    <row r="473" spans="1:8" hidden="1" x14ac:dyDescent="0.3">
      <c r="A473" t="s">
        <v>34</v>
      </c>
      <c r="B473">
        <v>2013</v>
      </c>
      <c r="C473" t="s">
        <v>39</v>
      </c>
      <c r="D473" t="s">
        <v>15</v>
      </c>
      <c r="E473" t="e">
        <f>VLOOKUP(Cpi_[[#This Row],[Attribute]],#REF!,2,FALSE)</f>
        <v>#REF!</v>
      </c>
      <c r="F473">
        <v>112.2</v>
      </c>
      <c r="G473">
        <f>(Cpi_[[#This Row],[Value]]-F472)/F472</f>
        <v>5.3763440860215821E-3</v>
      </c>
      <c r="H473" t="e" cm="1" vm="1">
        <f t="array" aca="1" ref="H473" ca="1">VLOOKUP(Cpi_[[#This Row],[Year]:[Month]],crudeoil[],3,FALSE)</f>
        <v>#VALUE!</v>
      </c>
    </row>
    <row r="474" spans="1:8" hidden="1" x14ac:dyDescent="0.3">
      <c r="A474" t="s">
        <v>34</v>
      </c>
      <c r="B474">
        <v>2013</v>
      </c>
      <c r="C474" t="s">
        <v>39</v>
      </c>
      <c r="D474" t="s">
        <v>16</v>
      </c>
      <c r="E474" t="e">
        <f>VLOOKUP(Cpi_[[#This Row],[Attribute]],#REF!,2,FALSE)</f>
        <v>#REF!</v>
      </c>
      <c r="F474">
        <v>109.5</v>
      </c>
      <c r="G474">
        <f>(Cpi_[[#This Row],[Value]]-F473)/F473</f>
        <v>-2.4064171122994676E-2</v>
      </c>
      <c r="H474" t="e" cm="1" vm="1">
        <f t="array" aca="1" ref="H474" ca="1">VLOOKUP(Cpi_[[#This Row],[Year]:[Month]],crudeoil[],3,FALSE)</f>
        <v>#VALUE!</v>
      </c>
    </row>
    <row r="475" spans="1:8" hidden="1" x14ac:dyDescent="0.3">
      <c r="A475" t="s">
        <v>34</v>
      </c>
      <c r="B475">
        <v>2013</v>
      </c>
      <c r="C475" t="s">
        <v>39</v>
      </c>
      <c r="D475" t="s">
        <v>17</v>
      </c>
      <c r="E475" t="e">
        <f>VLOOKUP(Cpi_[[#This Row],[Attribute]],#REF!,2,FALSE)</f>
        <v>#REF!</v>
      </c>
      <c r="F475">
        <v>109.5</v>
      </c>
      <c r="G475">
        <f>(Cpi_[[#This Row],[Value]]-F474)/F474</f>
        <v>0</v>
      </c>
      <c r="H475" t="e" cm="1" vm="1">
        <f t="array" aca="1" ref="H475" ca="1">VLOOKUP(Cpi_[[#This Row],[Year]:[Month]],crudeoil[],3,FALSE)</f>
        <v>#VALUE!</v>
      </c>
    </row>
    <row r="476" spans="1:8" hidden="1" x14ac:dyDescent="0.3">
      <c r="A476" t="s">
        <v>34</v>
      </c>
      <c r="B476">
        <v>2013</v>
      </c>
      <c r="C476" t="s">
        <v>39</v>
      </c>
      <c r="D476" t="s">
        <v>18</v>
      </c>
      <c r="E476" t="e">
        <f>VLOOKUP(Cpi_[[#This Row],[Attribute]],#REF!,2,FALSE)</f>
        <v>#REF!</v>
      </c>
      <c r="F476">
        <v>108.1</v>
      </c>
      <c r="G476">
        <f>(Cpi_[[#This Row],[Value]]-F475)/F475</f>
        <v>-1.2785388127853934E-2</v>
      </c>
      <c r="H476" t="e" cm="1" vm="1">
        <f t="array" aca="1" ref="H476" ca="1">VLOOKUP(Cpi_[[#This Row],[Year]:[Month]],crudeoil[],3,FALSE)</f>
        <v>#VALUE!</v>
      </c>
    </row>
    <row r="477" spans="1:8" hidden="1" x14ac:dyDescent="0.3">
      <c r="A477" t="s">
        <v>34</v>
      </c>
      <c r="B477">
        <v>2013</v>
      </c>
      <c r="C477" t="s">
        <v>39</v>
      </c>
      <c r="D477" t="s">
        <v>19</v>
      </c>
      <c r="E477" t="e">
        <f>VLOOKUP(Cpi_[[#This Row],[Attribute]],#REF!,2,FALSE)</f>
        <v>#REF!</v>
      </c>
      <c r="F477">
        <v>109.3</v>
      </c>
      <c r="G477">
        <f>(Cpi_[[#This Row],[Value]]-F476)/F476</f>
        <v>1.1100832562442211E-2</v>
      </c>
      <c r="H477" t="e" cm="1" vm="1">
        <f t="array" aca="1" ref="H477" ca="1">VLOOKUP(Cpi_[[#This Row],[Year]:[Month]],crudeoil[],3,FALSE)</f>
        <v>#VALUE!</v>
      </c>
    </row>
    <row r="478" spans="1:8" hidden="1" x14ac:dyDescent="0.3">
      <c r="A478" t="s">
        <v>34</v>
      </c>
      <c r="B478">
        <v>2013</v>
      </c>
      <c r="C478" t="s">
        <v>39</v>
      </c>
      <c r="D478" t="s">
        <v>20</v>
      </c>
      <c r="E478" t="e">
        <f>VLOOKUP(Cpi_[[#This Row],[Attribute]],#REF!,2,FALSE)</f>
        <v>#REF!</v>
      </c>
      <c r="F478">
        <v>106.6</v>
      </c>
      <c r="G478">
        <f>(Cpi_[[#This Row],[Value]]-F477)/F477</f>
        <v>-2.4702653247941471E-2</v>
      </c>
      <c r="H478" t="e" cm="1" vm="1">
        <f t="array" aca="1" ref="H478" ca="1">VLOOKUP(Cpi_[[#This Row],[Year]:[Month]],crudeoil[],3,FALSE)</f>
        <v>#VALUE!</v>
      </c>
    </row>
    <row r="479" spans="1:8" hidden="1" x14ac:dyDescent="0.3">
      <c r="A479" t="s">
        <v>34</v>
      </c>
      <c r="B479">
        <v>2013</v>
      </c>
      <c r="C479" t="s">
        <v>39</v>
      </c>
      <c r="D479" t="s">
        <v>21</v>
      </c>
      <c r="E479" t="e">
        <f>VLOOKUP(Cpi_[[#This Row],[Attribute]],#REF!,2,FALSE)</f>
        <v>#REF!</v>
      </c>
      <c r="F479">
        <v>108.3</v>
      </c>
      <c r="G479">
        <f>(Cpi_[[#This Row],[Value]]-F478)/F478</f>
        <v>1.5947467166979389E-2</v>
      </c>
      <c r="H479" t="e" cm="1" vm="1">
        <f t="array" aca="1" ref="H479" ca="1">VLOOKUP(Cpi_[[#This Row],[Year]:[Month]],crudeoil[],3,FALSE)</f>
        <v>#VALUE!</v>
      </c>
    </row>
    <row r="480" spans="1:8" hidden="1" x14ac:dyDescent="0.3">
      <c r="A480" t="s">
        <v>34</v>
      </c>
      <c r="B480">
        <v>2013</v>
      </c>
      <c r="C480" t="s">
        <v>39</v>
      </c>
      <c r="D480" t="s">
        <v>22</v>
      </c>
      <c r="E480" t="e">
        <f>VLOOKUP(Cpi_[[#This Row],[Attribute]],#REF!,2,FALSE)</f>
        <v>#REF!</v>
      </c>
      <c r="F480">
        <v>107.6</v>
      </c>
      <c r="G480">
        <f>(Cpi_[[#This Row],[Value]]-F479)/F479</f>
        <v>-6.4635272391505346E-3</v>
      </c>
      <c r="H480" t="e" cm="1" vm="1">
        <f t="array" aca="1" ref="H480" ca="1">VLOOKUP(Cpi_[[#This Row],[Year]:[Month]],crudeoil[],3,FALSE)</f>
        <v>#VALUE!</v>
      </c>
    </row>
    <row r="481" spans="1:8" hidden="1" x14ac:dyDescent="0.3">
      <c r="A481" t="s">
        <v>34</v>
      </c>
      <c r="B481">
        <v>2013</v>
      </c>
      <c r="C481" t="s">
        <v>39</v>
      </c>
      <c r="D481" t="s">
        <v>23</v>
      </c>
      <c r="E481" t="e">
        <f>VLOOKUP(Cpi_[[#This Row],[Attribute]],#REF!,2,FALSE)</f>
        <v>#REF!</v>
      </c>
      <c r="F481">
        <v>106.4</v>
      </c>
      <c r="G481">
        <f>(Cpi_[[#This Row],[Value]]-F480)/F480</f>
        <v>-1.1152416356877219E-2</v>
      </c>
      <c r="H481" t="e" cm="1" vm="1">
        <f t="array" aca="1" ref="H481" ca="1">VLOOKUP(Cpi_[[#This Row],[Year]:[Month]],crudeoil[],3,FALSE)</f>
        <v>#VALUE!</v>
      </c>
    </row>
    <row r="482" spans="1:8" hidden="1" x14ac:dyDescent="0.3">
      <c r="A482" t="s">
        <v>34</v>
      </c>
      <c r="B482">
        <v>2013</v>
      </c>
      <c r="C482" t="s">
        <v>39</v>
      </c>
      <c r="D482" t="s">
        <v>24</v>
      </c>
      <c r="E482" t="e">
        <f>VLOOKUP(Cpi_[[#This Row],[Attribute]],#REF!,2,FALSE)</f>
        <v>#REF!</v>
      </c>
      <c r="F482">
        <v>105.1</v>
      </c>
      <c r="G482">
        <f>(Cpi_[[#This Row],[Value]]-F481)/F481</f>
        <v>-1.2218045112782062E-2</v>
      </c>
      <c r="H482" t="e" cm="1" vm="1">
        <f t="array" aca="1" ref="H482" ca="1">VLOOKUP(Cpi_[[#This Row],[Year]:[Month]],crudeoil[],3,FALSE)</f>
        <v>#VALUE!</v>
      </c>
    </row>
    <row r="483" spans="1:8" hidden="1" x14ac:dyDescent="0.3">
      <c r="A483" t="s">
        <v>34</v>
      </c>
      <c r="B483">
        <v>2013</v>
      </c>
      <c r="C483" t="s">
        <v>39</v>
      </c>
      <c r="D483" t="s">
        <v>25</v>
      </c>
      <c r="E483" t="e">
        <f>VLOOKUP(Cpi_[[#This Row],[Attribute]],#REF!,2,FALSE)</f>
        <v>#REF!</v>
      </c>
      <c r="F483">
        <v>105.4</v>
      </c>
      <c r="G483">
        <f>(Cpi_[[#This Row],[Value]]-F482)/F482</f>
        <v>2.8544243577546279E-3</v>
      </c>
      <c r="H483" t="e" cm="1" vm="1">
        <f t="array" aca="1" ref="H483" ca="1">VLOOKUP(Cpi_[[#This Row],[Year]:[Month]],crudeoil[],3,FALSE)</f>
        <v>#VALUE!</v>
      </c>
    </row>
    <row r="484" spans="1:8" hidden="1" x14ac:dyDescent="0.3">
      <c r="A484" t="s">
        <v>34</v>
      </c>
      <c r="B484">
        <v>2013</v>
      </c>
      <c r="C484" t="s">
        <v>39</v>
      </c>
      <c r="D484" t="s">
        <v>26</v>
      </c>
      <c r="E484" t="e">
        <f>VLOOKUP(Cpi_[[#This Row],[Attribute]],#REF!,2,FALSE)</f>
        <v>#REF!</v>
      </c>
      <c r="F484">
        <v>107.4</v>
      </c>
      <c r="G484">
        <f>(Cpi_[[#This Row],[Value]]-F483)/F483</f>
        <v>1.8975332068311195E-2</v>
      </c>
      <c r="H484" t="e" cm="1" vm="1">
        <f t="array" aca="1" ref="H484" ca="1">VLOOKUP(Cpi_[[#This Row],[Year]:[Month]],crudeoil[],3,FALSE)</f>
        <v>#VALUE!</v>
      </c>
    </row>
    <row r="485" spans="1:8" hidden="1" x14ac:dyDescent="0.3">
      <c r="A485" t="s">
        <v>34</v>
      </c>
      <c r="B485">
        <v>2013</v>
      </c>
      <c r="C485" t="s">
        <v>39</v>
      </c>
      <c r="D485" t="s">
        <v>27</v>
      </c>
      <c r="E485" t="e">
        <f>VLOOKUP(Cpi_[[#This Row],[Attribute]],#REF!,2,FALSE)</f>
        <v>#REF!</v>
      </c>
      <c r="F485">
        <v>102.8</v>
      </c>
      <c r="G485">
        <f>(Cpi_[[#This Row],[Value]]-F484)/F484</f>
        <v>-4.2830540037244028E-2</v>
      </c>
      <c r="H485" t="e" cm="1" vm="1">
        <f t="array" aca="1" ref="H485" ca="1">VLOOKUP(Cpi_[[#This Row],[Year]:[Month]],crudeoil[],3,FALSE)</f>
        <v>#VALUE!</v>
      </c>
    </row>
    <row r="486" spans="1:8" hidden="1" x14ac:dyDescent="0.3">
      <c r="A486" t="s">
        <v>34</v>
      </c>
      <c r="B486">
        <v>2013</v>
      </c>
      <c r="C486" t="s">
        <v>39</v>
      </c>
      <c r="D486" t="s">
        <v>28</v>
      </c>
      <c r="E486" t="e">
        <f>VLOOKUP(Cpi_[[#This Row],[Attribute]],#REF!,2,FALSE)</f>
        <v>#REF!</v>
      </c>
      <c r="F486">
        <v>105.8</v>
      </c>
      <c r="G486">
        <f>(Cpi_[[#This Row],[Value]]-F485)/F485</f>
        <v>2.9182879377431907E-2</v>
      </c>
      <c r="H486" t="e" cm="1" vm="1">
        <f t="array" aca="1" ref="H486" ca="1">VLOOKUP(Cpi_[[#This Row],[Year]:[Month]],crudeoil[],3,FALSE)</f>
        <v>#VALUE!</v>
      </c>
    </row>
    <row r="487" spans="1:8" hidden="1" x14ac:dyDescent="0.3">
      <c r="A487" t="s">
        <v>34</v>
      </c>
      <c r="B487">
        <v>2013</v>
      </c>
      <c r="C487" t="s">
        <v>39</v>
      </c>
      <c r="D487" t="s">
        <v>29</v>
      </c>
      <c r="E487" t="e" cm="1">
        <f t="array" aca="1" ref="E487" ca="1">VLGeneral indexGeneral indexKUP(Cpi_[[#This Row],[Attribute]],#REF!,2,FALSE)</f>
        <v>#NAME?</v>
      </c>
      <c r="F487">
        <v>109.3</v>
      </c>
      <c r="G487">
        <f>(Cpi_[[#This Row],[Value]]-F486)/F486</f>
        <v>3.3081285444234408E-2</v>
      </c>
      <c r="H487" t="e" cm="1" vm="1">
        <f t="array" aca="1" ref="H487" ca="1">VLOOKUP(Cpi_[[#This Row],[Year]:[Month]],crudeoil[],3,FALSE)</f>
        <v>#VALUE!</v>
      </c>
    </row>
    <row r="488" spans="1:8" hidden="1" x14ac:dyDescent="0.3">
      <c r="A488" t="s">
        <v>30</v>
      </c>
      <c r="B488">
        <v>2013</v>
      </c>
      <c r="C488" t="s">
        <v>40</v>
      </c>
      <c r="D488" t="s">
        <v>3</v>
      </c>
      <c r="E488" t="e">
        <f>VLOOKUP(Cpi_[[#This Row],[Attribute]],#REF!,2,FALSE)</f>
        <v>#REF!</v>
      </c>
      <c r="F488">
        <v>113.4</v>
      </c>
      <c r="G488">
        <f>(Cpi_[[#This Row],[Value]]-F487)/F487</f>
        <v>3.7511436413540794E-2</v>
      </c>
      <c r="H488" t="e" cm="1" vm="1">
        <f t="array" aca="1" ref="H488" ca="1">VLOOKUP(Cpi_[[#This Row],[Year]:[Month]],crudeoil[],3,FALSE)</f>
        <v>#VALUE!</v>
      </c>
    </row>
    <row r="489" spans="1:8" hidden="1" x14ac:dyDescent="0.3">
      <c r="A489" t="s">
        <v>30</v>
      </c>
      <c r="B489">
        <v>2013</v>
      </c>
      <c r="C489" t="s">
        <v>40</v>
      </c>
      <c r="D489" t="s">
        <v>4</v>
      </c>
      <c r="E489" t="e">
        <f>VLOOKUP(Cpi_[[#This Row],[Attribute]],#REF!,2,FALSE)</f>
        <v>#REF!</v>
      </c>
      <c r="F489">
        <v>114.9</v>
      </c>
      <c r="G489">
        <f>(Cpi_[[#This Row],[Value]]-F488)/F488</f>
        <v>1.3227513227513227E-2</v>
      </c>
      <c r="H489" t="e" cm="1" vm="1">
        <f t="array" aca="1" ref="H489" ca="1">VLOOKUP(Cpi_[[#This Row],[Year]:[Month]],crudeoil[],3,FALSE)</f>
        <v>#VALUE!</v>
      </c>
    </row>
    <row r="490" spans="1:8" hidden="1" x14ac:dyDescent="0.3">
      <c r="A490" t="s">
        <v>30</v>
      </c>
      <c r="B490">
        <v>2013</v>
      </c>
      <c r="C490" t="s">
        <v>40</v>
      </c>
      <c r="D490" t="s">
        <v>5</v>
      </c>
      <c r="E490" t="e">
        <f>VLOOKUP(Cpi_[[#This Row],[Attribute]],#REF!,2,FALSE)</f>
        <v>#REF!</v>
      </c>
      <c r="F490">
        <v>110.5</v>
      </c>
      <c r="G490">
        <f>(Cpi_[[#This Row],[Value]]-F489)/F489</f>
        <v>-3.8294168842471762E-2</v>
      </c>
      <c r="H490" t="e" cm="1" vm="1">
        <f t="array" aca="1" ref="H490" ca="1">VLOOKUP(Cpi_[[#This Row],[Year]:[Month]],crudeoil[],3,FALSE)</f>
        <v>#VALUE!</v>
      </c>
    </row>
    <row r="491" spans="1:8" hidden="1" x14ac:dyDescent="0.3">
      <c r="A491" t="s">
        <v>30</v>
      </c>
      <c r="B491">
        <v>2013</v>
      </c>
      <c r="C491" t="s">
        <v>40</v>
      </c>
      <c r="D491" t="s">
        <v>6</v>
      </c>
      <c r="E491" t="e">
        <f>VLOOKUP(Cpi_[[#This Row],[Attribute]],#REF!,2,FALSE)</f>
        <v>#REF!</v>
      </c>
      <c r="F491">
        <v>109.3</v>
      </c>
      <c r="G491">
        <f>(Cpi_[[#This Row],[Value]]-F490)/F490</f>
        <v>-1.0859728506787356E-2</v>
      </c>
      <c r="H491" t="e" cm="1" vm="1">
        <f t="array" aca="1" ref="H491" ca="1">VLOOKUP(Cpi_[[#This Row],[Year]:[Month]],crudeoil[],3,FALSE)</f>
        <v>#VALUE!</v>
      </c>
    </row>
    <row r="492" spans="1:8" hidden="1" x14ac:dyDescent="0.3">
      <c r="A492" t="s">
        <v>30</v>
      </c>
      <c r="B492">
        <v>2013</v>
      </c>
      <c r="C492" t="s">
        <v>40</v>
      </c>
      <c r="D492" t="s">
        <v>7</v>
      </c>
      <c r="E492" t="e">
        <f>VLOOKUP(Cpi_[[#This Row],[Attribute]],#REF!,2,FALSE)</f>
        <v>#REF!</v>
      </c>
      <c r="F492">
        <v>106.2</v>
      </c>
      <c r="G492">
        <f>(Cpi_[[#This Row],[Value]]-F491)/F491</f>
        <v>-2.8362305580969756E-2</v>
      </c>
      <c r="H492" t="e" cm="1" vm="1">
        <f t="array" aca="1" ref="H492" ca="1">VLOOKUP(Cpi_[[#This Row],[Year]:[Month]],crudeoil[],3,FALSE)</f>
        <v>#VALUE!</v>
      </c>
    </row>
    <row r="493" spans="1:8" hidden="1" x14ac:dyDescent="0.3">
      <c r="A493" t="s">
        <v>30</v>
      </c>
      <c r="B493">
        <v>2013</v>
      </c>
      <c r="C493" t="s">
        <v>40</v>
      </c>
      <c r="D493" t="s">
        <v>8</v>
      </c>
      <c r="E493" t="e">
        <f>VLOOKUP(Cpi_[[#This Row],[Attribute]],#REF!,2,FALSE)</f>
        <v>#REF!</v>
      </c>
      <c r="F493">
        <v>110.3</v>
      </c>
      <c r="G493">
        <f>(Cpi_[[#This Row],[Value]]-F492)/F492</f>
        <v>3.8606403013182619E-2</v>
      </c>
      <c r="H493" t="e" cm="1" vm="1">
        <f t="array" aca="1" ref="H493" ca="1">VLOOKUP(Cpi_[[#This Row],[Year]:[Month]],crudeoil[],3,FALSE)</f>
        <v>#VALUE!</v>
      </c>
    </row>
    <row r="494" spans="1:8" hidden="1" x14ac:dyDescent="0.3">
      <c r="A494" t="s">
        <v>30</v>
      </c>
      <c r="B494">
        <v>2013</v>
      </c>
      <c r="C494" t="s">
        <v>40</v>
      </c>
      <c r="D494" t="s">
        <v>9</v>
      </c>
      <c r="E494" t="e">
        <f>VLOOKUP(Cpi_[[#This Row],[Attribute]],#REF!,2,FALSE)</f>
        <v>#REF!</v>
      </c>
      <c r="F494">
        <v>129.19999999999999</v>
      </c>
      <c r="G494">
        <f>(Cpi_[[#This Row],[Value]]-F493)/F493</f>
        <v>0.17135086128739793</v>
      </c>
      <c r="H494" t="e" cm="1" vm="1">
        <f t="array" aca="1" ref="H494" ca="1">VLOOKUP(Cpi_[[#This Row],[Year]:[Month]],crudeoil[],3,FALSE)</f>
        <v>#VALUE!</v>
      </c>
    </row>
    <row r="495" spans="1:8" hidden="1" x14ac:dyDescent="0.3">
      <c r="A495" t="s">
        <v>30</v>
      </c>
      <c r="B495">
        <v>2013</v>
      </c>
      <c r="C495" t="s">
        <v>40</v>
      </c>
      <c r="D495" t="s">
        <v>10</v>
      </c>
      <c r="E495" t="e">
        <f>VLOOKUP(Cpi_[[#This Row],[Attribute]],#REF!,2,FALSE)</f>
        <v>#REF!</v>
      </c>
      <c r="F495">
        <v>107.1</v>
      </c>
      <c r="G495">
        <f>(Cpi_[[#This Row],[Value]]-F494)/F494</f>
        <v>-0.17105263157894735</v>
      </c>
      <c r="H495" t="e" cm="1" vm="1">
        <f t="array" aca="1" ref="H495" ca="1">VLOOKUP(Cpi_[[#This Row],[Year]:[Month]],crudeoil[],3,FALSE)</f>
        <v>#VALUE!</v>
      </c>
    </row>
    <row r="496" spans="1:8" hidden="1" x14ac:dyDescent="0.3">
      <c r="A496" t="s">
        <v>30</v>
      </c>
      <c r="B496">
        <v>2013</v>
      </c>
      <c r="C496" t="s">
        <v>40</v>
      </c>
      <c r="D496" t="s">
        <v>11</v>
      </c>
      <c r="E496" t="e">
        <f>VLOOKUP(Cpi_[[#This Row],[Attribute]],#REF!,2,FALSE)</f>
        <v>#REF!</v>
      </c>
      <c r="F496">
        <v>104.3</v>
      </c>
      <c r="G496">
        <f>(Cpi_[[#This Row],[Value]]-F495)/F495</f>
        <v>-2.6143790849673179E-2</v>
      </c>
      <c r="H496" t="e" cm="1" vm="1">
        <f t="array" aca="1" ref="H496" ca="1">VLOOKUP(Cpi_[[#This Row],[Year]:[Month]],crudeoil[],3,FALSE)</f>
        <v>#VALUE!</v>
      </c>
    </row>
    <row r="497" spans="1:8" hidden="1" x14ac:dyDescent="0.3">
      <c r="A497" t="s">
        <v>30</v>
      </c>
      <c r="B497">
        <v>2013</v>
      </c>
      <c r="C497" t="s">
        <v>40</v>
      </c>
      <c r="D497" t="s">
        <v>12</v>
      </c>
      <c r="E497" t="e">
        <f>VLOOKUP(Cpi_[[#This Row],[Attribute]],#REF!,2,FALSE)</f>
        <v>#REF!</v>
      </c>
      <c r="F497">
        <v>106.4</v>
      </c>
      <c r="G497">
        <f>(Cpi_[[#This Row],[Value]]-F496)/F496</f>
        <v>2.0134228187919545E-2</v>
      </c>
      <c r="H497" t="e" cm="1" vm="1">
        <f t="array" aca="1" ref="H497" ca="1">VLOOKUP(Cpi_[[#This Row],[Year]:[Month]],crudeoil[],3,FALSE)</f>
        <v>#VALUE!</v>
      </c>
    </row>
    <row r="498" spans="1:8" hidden="1" x14ac:dyDescent="0.3">
      <c r="A498" t="s">
        <v>30</v>
      </c>
      <c r="B498">
        <v>2013</v>
      </c>
      <c r="C498" t="s">
        <v>40</v>
      </c>
      <c r="D498" t="s">
        <v>13</v>
      </c>
      <c r="E498" t="e">
        <f>VLOOKUP(Cpi_[[#This Row],[Attribute]],#REF!,2,FALSE)</f>
        <v>#REF!</v>
      </c>
      <c r="F498">
        <v>109.1</v>
      </c>
      <c r="G498">
        <f>(Cpi_[[#This Row],[Value]]-F497)/F497</f>
        <v>2.5375939849623951E-2</v>
      </c>
      <c r="H498" t="e" cm="1" vm="1">
        <f t="array" aca="1" ref="H498" ca="1">VLOOKUP(Cpi_[[#This Row],[Year]:[Month]],crudeoil[],3,FALSE)</f>
        <v>#VALUE!</v>
      </c>
    </row>
    <row r="499" spans="1:8" hidden="1" x14ac:dyDescent="0.3">
      <c r="A499" t="s">
        <v>30</v>
      </c>
      <c r="B499">
        <v>2013</v>
      </c>
      <c r="C499" t="s">
        <v>40</v>
      </c>
      <c r="D499" t="s">
        <v>14</v>
      </c>
      <c r="E499" t="e">
        <f>VLOOKUP(Cpi_[[#This Row],[Attribute]],#REF!,2,FALSE)</f>
        <v>#REF!</v>
      </c>
      <c r="F499">
        <v>112.1</v>
      </c>
      <c r="G499">
        <f>(Cpi_[[#This Row],[Value]]-F498)/F498</f>
        <v>2.7497708524289646E-2</v>
      </c>
      <c r="H499" t="e" cm="1" vm="1">
        <f t="array" aca="1" ref="H499" ca="1">VLOOKUP(Cpi_[[#This Row],[Year]:[Month]],crudeoil[],3,FALSE)</f>
        <v>#VALUE!</v>
      </c>
    </row>
    <row r="500" spans="1:8" hidden="1" x14ac:dyDescent="0.3">
      <c r="A500" t="s">
        <v>30</v>
      </c>
      <c r="B500">
        <v>2013</v>
      </c>
      <c r="C500" t="s">
        <v>40</v>
      </c>
      <c r="D500" t="s">
        <v>15</v>
      </c>
      <c r="E500" t="e">
        <f>VLOOKUP(Cpi_[[#This Row],[Attribute]],#REF!,2,FALSE)</f>
        <v>#REF!</v>
      </c>
      <c r="F500">
        <v>113.1</v>
      </c>
      <c r="G500">
        <f>(Cpi_[[#This Row],[Value]]-F499)/F499</f>
        <v>8.9206066012488851E-3</v>
      </c>
      <c r="H500" t="e" cm="1" vm="1">
        <f t="array" aca="1" ref="H500" ca="1">VLOOKUP(Cpi_[[#This Row],[Year]:[Month]],crudeoil[],3,FALSE)</f>
        <v>#VALUE!</v>
      </c>
    </row>
    <row r="501" spans="1:8" hidden="1" x14ac:dyDescent="0.3">
      <c r="A501" t="s">
        <v>30</v>
      </c>
      <c r="B501">
        <v>2013</v>
      </c>
      <c r="C501" t="s">
        <v>40</v>
      </c>
      <c r="D501" t="s">
        <v>16</v>
      </c>
      <c r="E501" t="e">
        <f>VLOOKUP(Cpi_[[#This Row],[Attribute]],#REF!,2,FALSE)</f>
        <v>#REF!</v>
      </c>
      <c r="F501">
        <v>109.8</v>
      </c>
      <c r="G501">
        <f>(Cpi_[[#This Row],[Value]]-F500)/F500</f>
        <v>-2.9177718832891223E-2</v>
      </c>
      <c r="H501" t="e" cm="1" vm="1">
        <f t="array" aca="1" ref="H501" ca="1">VLOOKUP(Cpi_[[#This Row],[Year]:[Month]],crudeoil[],3,FALSE)</f>
        <v>#VALUE!</v>
      </c>
    </row>
    <row r="502" spans="1:8" hidden="1" x14ac:dyDescent="0.3">
      <c r="A502" t="s">
        <v>30</v>
      </c>
      <c r="B502">
        <v>2013</v>
      </c>
      <c r="C502" t="s">
        <v>40</v>
      </c>
      <c r="D502" t="s">
        <v>17</v>
      </c>
      <c r="E502" t="e">
        <f>VLOOKUP(Cpi_[[#This Row],[Attribute]],#REF!,2,FALSE)</f>
        <v>#REF!</v>
      </c>
      <c r="F502">
        <v>110.5</v>
      </c>
      <c r="G502">
        <f>(Cpi_[[#This Row],[Value]]-F501)/F501</f>
        <v>6.375227686703123E-3</v>
      </c>
      <c r="H502" t="e" cm="1" vm="1">
        <f t="array" aca="1" ref="H502" ca="1">VLOOKUP(Cpi_[[#This Row],[Year]:[Month]],crudeoil[],3,FALSE)</f>
        <v>#VALUE!</v>
      </c>
    </row>
    <row r="503" spans="1:8" hidden="1" x14ac:dyDescent="0.3">
      <c r="A503" t="s">
        <v>30</v>
      </c>
      <c r="B503">
        <v>2013</v>
      </c>
      <c r="C503" t="s">
        <v>40</v>
      </c>
      <c r="D503" t="s">
        <v>18</v>
      </c>
      <c r="E503" t="e">
        <f>VLOOKUP(Cpi_[[#This Row],[Attribute]],#REF!,2,FALSE)</f>
        <v>#REF!</v>
      </c>
      <c r="F503">
        <v>109.5</v>
      </c>
      <c r="G503">
        <f>(Cpi_[[#This Row],[Value]]-F502)/F502</f>
        <v>-9.0497737556561094E-3</v>
      </c>
      <c r="H503" t="e" cm="1" vm="1">
        <f t="array" aca="1" ref="H503" ca="1">VLOOKUP(Cpi_[[#This Row],[Year]:[Month]],crudeoil[],3,FALSE)</f>
        <v>#VALUE!</v>
      </c>
    </row>
    <row r="504" spans="1:8" hidden="1" x14ac:dyDescent="0.3">
      <c r="A504" t="s">
        <v>30</v>
      </c>
      <c r="B504">
        <v>2013</v>
      </c>
      <c r="C504" t="s">
        <v>40</v>
      </c>
      <c r="D504" t="s">
        <v>19</v>
      </c>
      <c r="E504" t="e">
        <f>VLOOKUP(Cpi_[[#This Row],[Attribute]],#REF!,2,FALSE)</f>
        <v>#REF!</v>
      </c>
      <c r="F504">
        <v>110.3</v>
      </c>
      <c r="G504">
        <f>(Cpi_[[#This Row],[Value]]-F503)/F503</f>
        <v>7.3059360730593345E-3</v>
      </c>
      <c r="H504" t="e" cm="1" vm="1">
        <f t="array" aca="1" ref="H504" ca="1">VLOOKUP(Cpi_[[#This Row],[Year]:[Month]],crudeoil[],3,FALSE)</f>
        <v>#VALUE!</v>
      </c>
    </row>
    <row r="505" spans="1:8" hidden="1" x14ac:dyDescent="0.3">
      <c r="A505" t="s">
        <v>30</v>
      </c>
      <c r="B505">
        <v>2013</v>
      </c>
      <c r="C505" t="s">
        <v>40</v>
      </c>
      <c r="D505" t="s">
        <v>20</v>
      </c>
      <c r="E505" t="e">
        <f>VLOOKUP(Cpi_[[#This Row],[Attribute]],#REF!,2,FALSE)</f>
        <v>#REF!</v>
      </c>
      <c r="F505" t="s">
        <v>32</v>
      </c>
      <c r="G505" t="e">
        <f>(Cpi_[[#This Row],[Value]]-F504)/F504</f>
        <v>#VALUE!</v>
      </c>
      <c r="H505" t="e" cm="1" vm="1">
        <f t="array" aca="1" ref="H505" ca="1">VLOOKUP(Cpi_[[#This Row],[Year]:[Month]],crudeoil[],3,FALSE)</f>
        <v>#VALUE!</v>
      </c>
    </row>
    <row r="506" spans="1:8" hidden="1" x14ac:dyDescent="0.3">
      <c r="A506" t="s">
        <v>30</v>
      </c>
      <c r="B506">
        <v>2013</v>
      </c>
      <c r="C506" t="s">
        <v>40</v>
      </c>
      <c r="D506" t="s">
        <v>21</v>
      </c>
      <c r="E506" t="e">
        <f>VLOOKUP(Cpi_[[#This Row],[Attribute]],#REF!,2,FALSE)</f>
        <v>#REF!</v>
      </c>
      <c r="F506">
        <v>109.5</v>
      </c>
      <c r="G506" t="e">
        <f>(Cpi_[[#This Row],[Value]]-F505)/F505</f>
        <v>#VALUE!</v>
      </c>
      <c r="H506" t="e" cm="1" vm="1">
        <f t="array" aca="1" ref="H506" ca="1">VLOOKUP(Cpi_[[#This Row],[Year]:[Month]],crudeoil[],3,FALSE)</f>
        <v>#VALUE!</v>
      </c>
    </row>
    <row r="507" spans="1:8" hidden="1" x14ac:dyDescent="0.3">
      <c r="A507" t="s">
        <v>30</v>
      </c>
      <c r="B507">
        <v>2013</v>
      </c>
      <c r="C507" t="s">
        <v>40</v>
      </c>
      <c r="D507" t="s">
        <v>22</v>
      </c>
      <c r="E507" t="e">
        <f>VLOOKUP(Cpi_[[#This Row],[Attribute]],#REF!,2,FALSE)</f>
        <v>#REF!</v>
      </c>
      <c r="F507">
        <v>108.3</v>
      </c>
      <c r="G507">
        <f>(Cpi_[[#This Row],[Value]]-F506)/F506</f>
        <v>-1.0958904109589067E-2</v>
      </c>
      <c r="H507" t="e" cm="1" vm="1">
        <f t="array" aca="1" ref="H507" ca="1">VLOOKUP(Cpi_[[#This Row],[Year]:[Month]],crudeoil[],3,FALSE)</f>
        <v>#VALUE!</v>
      </c>
    </row>
    <row r="508" spans="1:8" hidden="1" x14ac:dyDescent="0.3">
      <c r="A508" t="s">
        <v>30</v>
      </c>
      <c r="B508">
        <v>2013</v>
      </c>
      <c r="C508" t="s">
        <v>40</v>
      </c>
      <c r="D508" t="s">
        <v>23</v>
      </c>
      <c r="E508" t="e">
        <f>VLOOKUP(Cpi_[[#This Row],[Attribute]],#REF!,2,FALSE)</f>
        <v>#REF!</v>
      </c>
      <c r="F508">
        <v>106.9</v>
      </c>
      <c r="G508">
        <f>(Cpi_[[#This Row],[Value]]-F507)/F507</f>
        <v>-1.2927054478300937E-2</v>
      </c>
      <c r="H508" t="e" cm="1" vm="1">
        <f t="array" aca="1" ref="H508" ca="1">VLOOKUP(Cpi_[[#This Row],[Year]:[Month]],crudeoil[],3,FALSE)</f>
        <v>#VALUE!</v>
      </c>
    </row>
    <row r="509" spans="1:8" hidden="1" x14ac:dyDescent="0.3">
      <c r="A509" t="s">
        <v>30</v>
      </c>
      <c r="B509">
        <v>2013</v>
      </c>
      <c r="C509" t="s">
        <v>40</v>
      </c>
      <c r="D509" t="s">
        <v>24</v>
      </c>
      <c r="E509" t="e">
        <f>VLOOKUP(Cpi_[[#This Row],[Attribute]],#REF!,2,FALSE)</f>
        <v>#REF!</v>
      </c>
      <c r="F509">
        <v>106.8</v>
      </c>
      <c r="G509">
        <f>(Cpi_[[#This Row],[Value]]-F508)/F508</f>
        <v>-9.3545369504217512E-4</v>
      </c>
      <c r="H509" t="e" cm="1" vm="1">
        <f t="array" aca="1" ref="H509" ca="1">VLOOKUP(Cpi_[[#This Row],[Year]:[Month]],crudeoil[],3,FALSE)</f>
        <v>#VALUE!</v>
      </c>
    </row>
    <row r="510" spans="1:8" hidden="1" x14ac:dyDescent="0.3">
      <c r="A510" t="s">
        <v>30</v>
      </c>
      <c r="B510">
        <v>2013</v>
      </c>
      <c r="C510" t="s">
        <v>40</v>
      </c>
      <c r="D510" t="s">
        <v>25</v>
      </c>
      <c r="E510" t="e">
        <f>VLOOKUP(Cpi_[[#This Row],[Attribute]],#REF!,2,FALSE)</f>
        <v>#REF!</v>
      </c>
      <c r="F510">
        <v>106.4</v>
      </c>
      <c r="G510">
        <f>(Cpi_[[#This Row],[Value]]-F509)/F509</f>
        <v>-3.7453183520598453E-3</v>
      </c>
      <c r="H510" t="e" cm="1" vm="1">
        <f t="array" aca="1" ref="H510" ca="1">VLOOKUP(Cpi_[[#This Row],[Year]:[Month]],crudeoil[],3,FALSE)</f>
        <v>#VALUE!</v>
      </c>
    </row>
    <row r="511" spans="1:8" hidden="1" x14ac:dyDescent="0.3">
      <c r="A511" t="s">
        <v>30</v>
      </c>
      <c r="B511">
        <v>2013</v>
      </c>
      <c r="C511" t="s">
        <v>40</v>
      </c>
      <c r="D511" t="s">
        <v>26</v>
      </c>
      <c r="E511" t="e">
        <f>VLOOKUP(Cpi_[[#This Row],[Attribute]],#REF!,2,FALSE)</f>
        <v>#REF!</v>
      </c>
      <c r="F511">
        <v>107.8</v>
      </c>
      <c r="G511">
        <f>(Cpi_[[#This Row],[Value]]-F510)/F510</f>
        <v>1.3157894736842025E-2</v>
      </c>
      <c r="H511" t="e" cm="1" vm="1">
        <f t="array" aca="1" ref="H511" ca="1">VLOOKUP(Cpi_[[#This Row],[Year]:[Month]],crudeoil[],3,FALSE)</f>
        <v>#VALUE!</v>
      </c>
    </row>
    <row r="512" spans="1:8" hidden="1" x14ac:dyDescent="0.3">
      <c r="A512" t="s">
        <v>30</v>
      </c>
      <c r="B512">
        <v>2013</v>
      </c>
      <c r="C512" t="s">
        <v>40</v>
      </c>
      <c r="D512" t="s">
        <v>27</v>
      </c>
      <c r="E512" t="e">
        <f>VLOOKUP(Cpi_[[#This Row],[Attribute]],#REF!,2,FALSE)</f>
        <v>#REF!</v>
      </c>
      <c r="F512">
        <v>102.5</v>
      </c>
      <c r="G512">
        <f>(Cpi_[[#This Row],[Value]]-F511)/F511</f>
        <v>-4.9165120593691998E-2</v>
      </c>
      <c r="H512" t="e" cm="1" vm="1">
        <f t="array" aca="1" ref="H512" ca="1">VLOOKUP(Cpi_[[#This Row],[Year]:[Month]],crudeoil[],3,FALSE)</f>
        <v>#VALUE!</v>
      </c>
    </row>
    <row r="513" spans="1:8" hidden="1" x14ac:dyDescent="0.3">
      <c r="A513" t="s">
        <v>30</v>
      </c>
      <c r="B513">
        <v>2013</v>
      </c>
      <c r="C513" t="s">
        <v>40</v>
      </c>
      <c r="D513" t="s">
        <v>28</v>
      </c>
      <c r="E513" t="e">
        <f>VLOOKUP(Cpi_[[#This Row],[Attribute]],#REF!,2,FALSE)</f>
        <v>#REF!</v>
      </c>
      <c r="F513">
        <v>106.5</v>
      </c>
      <c r="G513">
        <f>(Cpi_[[#This Row],[Value]]-F512)/F512</f>
        <v>3.9024390243902439E-2</v>
      </c>
      <c r="H513" t="e" cm="1" vm="1">
        <f t="array" aca="1" ref="H513" ca="1">VLOOKUP(Cpi_[[#This Row],[Year]:[Month]],crudeoil[],3,FALSE)</f>
        <v>#VALUE!</v>
      </c>
    </row>
    <row r="514" spans="1:8" hidden="1" x14ac:dyDescent="0.3">
      <c r="A514" t="s">
        <v>30</v>
      </c>
      <c r="B514">
        <v>2013</v>
      </c>
      <c r="C514" t="s">
        <v>40</v>
      </c>
      <c r="D514" t="s">
        <v>29</v>
      </c>
      <c r="E514" t="e" cm="1">
        <f t="array" aca="1" ref="E514" ca="1">VLGeneral indexGeneral indexKUP(Cpi_[[#This Row],[Attribute]],#REF!,2,FALSE)</f>
        <v>#NAME?</v>
      </c>
      <c r="F514">
        <v>110.7</v>
      </c>
      <c r="G514">
        <f>(Cpi_[[#This Row],[Value]]-F513)/F513</f>
        <v>3.9436619718309883E-2</v>
      </c>
      <c r="H514" t="e" cm="1" vm="1">
        <f t="array" aca="1" ref="H514" ca="1">VLOOKUP(Cpi_[[#This Row],[Year]:[Month]],crudeoil[],3,FALSE)</f>
        <v>#VALUE!</v>
      </c>
    </row>
    <row r="515" spans="1:8" hidden="1" x14ac:dyDescent="0.3">
      <c r="A515" t="s">
        <v>33</v>
      </c>
      <c r="B515">
        <v>2013</v>
      </c>
      <c r="C515" t="s">
        <v>40</v>
      </c>
      <c r="D515" t="s">
        <v>3</v>
      </c>
      <c r="E515" t="e">
        <f>VLOOKUP(Cpi_[[#This Row],[Attribute]],#REF!,2,FALSE)</f>
        <v>#REF!</v>
      </c>
      <c r="F515">
        <v>117.8</v>
      </c>
      <c r="G515">
        <f>(Cpi_[[#This Row],[Value]]-F514)/F514</f>
        <v>6.4137308039747015E-2</v>
      </c>
      <c r="H515" t="e" cm="1" vm="1">
        <f t="array" aca="1" ref="H515" ca="1">VLOOKUP(Cpi_[[#This Row],[Year]:[Month]],crudeoil[],3,FALSE)</f>
        <v>#VALUE!</v>
      </c>
    </row>
    <row r="516" spans="1:8" hidden="1" x14ac:dyDescent="0.3">
      <c r="A516" t="s">
        <v>33</v>
      </c>
      <c r="B516">
        <v>2013</v>
      </c>
      <c r="C516" t="s">
        <v>40</v>
      </c>
      <c r="D516" t="s">
        <v>4</v>
      </c>
      <c r="E516" t="e">
        <f>VLOOKUP(Cpi_[[#This Row],[Attribute]],#REF!,2,FALSE)</f>
        <v>#REF!</v>
      </c>
      <c r="F516">
        <v>119.2</v>
      </c>
      <c r="G516">
        <f>(Cpi_[[#This Row],[Value]]-F515)/F515</f>
        <v>1.1884550084889691E-2</v>
      </c>
      <c r="H516" t="e" cm="1" vm="1">
        <f t="array" aca="1" ref="H516" ca="1">VLOOKUP(Cpi_[[#This Row],[Year]:[Month]],crudeoil[],3,FALSE)</f>
        <v>#VALUE!</v>
      </c>
    </row>
    <row r="517" spans="1:8" hidden="1" x14ac:dyDescent="0.3">
      <c r="A517" t="s">
        <v>33</v>
      </c>
      <c r="B517">
        <v>2013</v>
      </c>
      <c r="C517" t="s">
        <v>40</v>
      </c>
      <c r="D517" t="s">
        <v>5</v>
      </c>
      <c r="E517" t="e">
        <f>VLOOKUP(Cpi_[[#This Row],[Attribute]],#REF!,2,FALSE)</f>
        <v>#REF!</v>
      </c>
      <c r="F517">
        <v>114</v>
      </c>
      <c r="G517">
        <f>(Cpi_[[#This Row],[Value]]-F516)/F516</f>
        <v>-4.3624161073825524E-2</v>
      </c>
      <c r="H517" t="e" cm="1" vm="1">
        <f t="array" aca="1" ref="H517" ca="1">VLOOKUP(Cpi_[[#This Row],[Year]:[Month]],crudeoil[],3,FALSE)</f>
        <v>#VALUE!</v>
      </c>
    </row>
    <row r="518" spans="1:8" hidden="1" x14ac:dyDescent="0.3">
      <c r="A518" t="s">
        <v>33</v>
      </c>
      <c r="B518">
        <v>2013</v>
      </c>
      <c r="C518" t="s">
        <v>40</v>
      </c>
      <c r="D518" t="s">
        <v>6</v>
      </c>
      <c r="E518" t="e">
        <f>VLOOKUP(Cpi_[[#This Row],[Attribute]],#REF!,2,FALSE)</f>
        <v>#REF!</v>
      </c>
      <c r="F518">
        <v>108.3</v>
      </c>
      <c r="G518">
        <f>(Cpi_[[#This Row],[Value]]-F517)/F517</f>
        <v>-5.0000000000000024E-2</v>
      </c>
      <c r="H518" t="e" cm="1" vm="1">
        <f t="array" aca="1" ref="H518" ca="1">VLOOKUP(Cpi_[[#This Row],[Year]:[Month]],crudeoil[],3,FALSE)</f>
        <v>#VALUE!</v>
      </c>
    </row>
    <row r="519" spans="1:8" hidden="1" x14ac:dyDescent="0.3">
      <c r="A519" t="s">
        <v>33</v>
      </c>
      <c r="B519">
        <v>2013</v>
      </c>
      <c r="C519" t="s">
        <v>40</v>
      </c>
      <c r="D519" t="s">
        <v>7</v>
      </c>
      <c r="E519" t="e">
        <f>VLOOKUP(Cpi_[[#This Row],[Attribute]],#REF!,2,FALSE)</f>
        <v>#REF!</v>
      </c>
      <c r="F519">
        <v>101.1</v>
      </c>
      <c r="G519">
        <f>(Cpi_[[#This Row],[Value]]-F518)/F518</f>
        <v>-6.6481994459833826E-2</v>
      </c>
      <c r="H519" t="e" cm="1" vm="1">
        <f t="array" aca="1" ref="H519" ca="1">VLOOKUP(Cpi_[[#This Row],[Year]:[Month]],crudeoil[],3,FALSE)</f>
        <v>#VALUE!</v>
      </c>
    </row>
    <row r="520" spans="1:8" hidden="1" x14ac:dyDescent="0.3">
      <c r="A520" t="s">
        <v>33</v>
      </c>
      <c r="B520">
        <v>2013</v>
      </c>
      <c r="C520" t="s">
        <v>40</v>
      </c>
      <c r="D520" t="s">
        <v>8</v>
      </c>
      <c r="E520" t="e">
        <f>VLOOKUP(Cpi_[[#This Row],[Attribute]],#REF!,2,FALSE)</f>
        <v>#REF!</v>
      </c>
      <c r="F520">
        <v>113.2</v>
      </c>
      <c r="G520">
        <f>(Cpi_[[#This Row],[Value]]-F519)/F519</f>
        <v>0.11968348170128594</v>
      </c>
      <c r="H520" t="e" cm="1" vm="1">
        <f t="array" aca="1" ref="H520" ca="1">VLOOKUP(Cpi_[[#This Row],[Year]:[Month]],crudeoil[],3,FALSE)</f>
        <v>#VALUE!</v>
      </c>
    </row>
    <row r="521" spans="1:8" hidden="1" x14ac:dyDescent="0.3">
      <c r="A521" t="s">
        <v>33</v>
      </c>
      <c r="B521">
        <v>2013</v>
      </c>
      <c r="C521" t="s">
        <v>40</v>
      </c>
      <c r="D521" t="s">
        <v>9</v>
      </c>
      <c r="E521" t="e">
        <f>VLOOKUP(Cpi_[[#This Row],[Attribute]],#REF!,2,FALSE)</f>
        <v>#REF!</v>
      </c>
      <c r="F521">
        <v>160.9</v>
      </c>
      <c r="G521">
        <f>(Cpi_[[#This Row],[Value]]-F520)/F520</f>
        <v>0.42137809187279152</v>
      </c>
      <c r="H521" t="e" cm="1" vm="1">
        <f t="array" aca="1" ref="H521" ca="1">VLOOKUP(Cpi_[[#This Row],[Year]:[Month]],crudeoil[],3,FALSE)</f>
        <v>#VALUE!</v>
      </c>
    </row>
    <row r="522" spans="1:8" hidden="1" x14ac:dyDescent="0.3">
      <c r="A522" t="s">
        <v>33</v>
      </c>
      <c r="B522">
        <v>2013</v>
      </c>
      <c r="C522" t="s">
        <v>40</v>
      </c>
      <c r="D522" t="s">
        <v>10</v>
      </c>
      <c r="E522" t="e">
        <f>VLOOKUP(Cpi_[[#This Row],[Attribute]],#REF!,2,FALSE)</f>
        <v>#REF!</v>
      </c>
      <c r="F522">
        <v>105.1</v>
      </c>
      <c r="G522">
        <f>(Cpi_[[#This Row],[Value]]-F521)/F521</f>
        <v>-0.34679925419515234</v>
      </c>
      <c r="H522" t="e" cm="1" vm="1">
        <f t="array" aca="1" ref="H522" ca="1">VLOOKUP(Cpi_[[#This Row],[Year]:[Month]],crudeoil[],3,FALSE)</f>
        <v>#VALUE!</v>
      </c>
    </row>
    <row r="523" spans="1:8" hidden="1" x14ac:dyDescent="0.3">
      <c r="A523" t="s">
        <v>33</v>
      </c>
      <c r="B523">
        <v>2013</v>
      </c>
      <c r="C523" t="s">
        <v>40</v>
      </c>
      <c r="D523" t="s">
        <v>11</v>
      </c>
      <c r="E523" t="e">
        <f>VLOOKUP(Cpi_[[#This Row],[Attribute]],#REF!,2,FALSE)</f>
        <v>#REF!</v>
      </c>
      <c r="F523">
        <v>101.3</v>
      </c>
      <c r="G523">
        <f>(Cpi_[[#This Row],[Value]]-F522)/F522</f>
        <v>-3.6156041864890555E-2</v>
      </c>
      <c r="H523" t="e" cm="1" vm="1">
        <f t="array" aca="1" ref="H523" ca="1">VLOOKUP(Cpi_[[#This Row],[Year]:[Month]],crudeoil[],3,FALSE)</f>
        <v>#VALUE!</v>
      </c>
    </row>
    <row r="524" spans="1:8" hidden="1" x14ac:dyDescent="0.3">
      <c r="A524" t="s">
        <v>33</v>
      </c>
      <c r="B524">
        <v>2013</v>
      </c>
      <c r="C524" t="s">
        <v>40</v>
      </c>
      <c r="D524" t="s">
        <v>12</v>
      </c>
      <c r="E524" t="e">
        <f>VLOOKUP(Cpi_[[#This Row],[Attribute]],#REF!,2,FALSE)</f>
        <v>#REF!</v>
      </c>
      <c r="F524">
        <v>107.5</v>
      </c>
      <c r="G524">
        <f>(Cpi_[[#This Row],[Value]]-F523)/F523</f>
        <v>6.1204343534057286E-2</v>
      </c>
      <c r="H524" t="e" cm="1" vm="1">
        <f t="array" aca="1" ref="H524" ca="1">VLOOKUP(Cpi_[[#This Row],[Year]:[Month]],crudeoil[],3,FALSE)</f>
        <v>#VALUE!</v>
      </c>
    </row>
    <row r="525" spans="1:8" hidden="1" x14ac:dyDescent="0.3">
      <c r="A525" t="s">
        <v>33</v>
      </c>
      <c r="B525">
        <v>2013</v>
      </c>
      <c r="C525" t="s">
        <v>40</v>
      </c>
      <c r="D525" t="s">
        <v>13</v>
      </c>
      <c r="E525" t="e">
        <f>VLOOKUP(Cpi_[[#This Row],[Attribute]],#REF!,2,FALSE)</f>
        <v>#REF!</v>
      </c>
      <c r="F525">
        <v>110.4</v>
      </c>
      <c r="G525">
        <f>(Cpi_[[#This Row],[Value]]-F524)/F524</f>
        <v>2.6976744186046564E-2</v>
      </c>
      <c r="H525" t="e" cm="1" vm="1">
        <f t="array" aca="1" ref="H525" ca="1">VLOOKUP(Cpi_[[#This Row],[Year]:[Month]],crudeoil[],3,FALSE)</f>
        <v>#VALUE!</v>
      </c>
    </row>
    <row r="526" spans="1:8" hidden="1" x14ac:dyDescent="0.3">
      <c r="A526" t="s">
        <v>33</v>
      </c>
      <c r="B526">
        <v>2013</v>
      </c>
      <c r="C526" t="s">
        <v>40</v>
      </c>
      <c r="D526" t="s">
        <v>14</v>
      </c>
      <c r="E526" t="e">
        <f>VLOOKUP(Cpi_[[#This Row],[Attribute]],#REF!,2,FALSE)</f>
        <v>#REF!</v>
      </c>
      <c r="F526">
        <v>113.1</v>
      </c>
      <c r="G526">
        <f>(Cpi_[[#This Row],[Value]]-F525)/F525</f>
        <v>2.4456521739130332E-2</v>
      </c>
      <c r="H526" t="e" cm="1" vm="1">
        <f t="array" aca="1" ref="H526" ca="1">VLOOKUP(Cpi_[[#This Row],[Year]:[Month]],crudeoil[],3,FALSE)</f>
        <v>#VALUE!</v>
      </c>
    </row>
    <row r="527" spans="1:8" hidden="1" x14ac:dyDescent="0.3">
      <c r="A527" t="s">
        <v>33</v>
      </c>
      <c r="B527">
        <v>2013</v>
      </c>
      <c r="C527" t="s">
        <v>40</v>
      </c>
      <c r="D527" t="s">
        <v>15</v>
      </c>
      <c r="E527" t="e">
        <f>VLOOKUP(Cpi_[[#This Row],[Attribute]],#REF!,2,FALSE)</f>
        <v>#REF!</v>
      </c>
      <c r="F527">
        <v>117.5</v>
      </c>
      <c r="G527">
        <f>(Cpi_[[#This Row],[Value]]-F526)/F526</f>
        <v>3.8903625110521714E-2</v>
      </c>
      <c r="H527" t="e" cm="1" vm="1">
        <f t="array" aca="1" ref="H527" ca="1">VLOOKUP(Cpi_[[#This Row],[Year]:[Month]],crudeoil[],3,FALSE)</f>
        <v>#VALUE!</v>
      </c>
    </row>
    <row r="528" spans="1:8" hidden="1" x14ac:dyDescent="0.3">
      <c r="A528" t="s">
        <v>33</v>
      </c>
      <c r="B528">
        <v>2013</v>
      </c>
      <c r="C528" t="s">
        <v>40</v>
      </c>
      <c r="D528" t="s">
        <v>16</v>
      </c>
      <c r="E528" t="e">
        <f>VLOOKUP(Cpi_[[#This Row],[Attribute]],#REF!,2,FALSE)</f>
        <v>#REF!</v>
      </c>
      <c r="F528">
        <v>111.7</v>
      </c>
      <c r="G528">
        <f>(Cpi_[[#This Row],[Value]]-F527)/F527</f>
        <v>-4.936170212765955E-2</v>
      </c>
      <c r="H528" t="e" cm="1" vm="1">
        <f t="array" aca="1" ref="H528" ca="1">VLOOKUP(Cpi_[[#This Row],[Year]:[Month]],crudeoil[],3,FALSE)</f>
        <v>#VALUE!</v>
      </c>
    </row>
    <row r="529" spans="1:8" hidden="1" x14ac:dyDescent="0.3">
      <c r="A529" t="s">
        <v>33</v>
      </c>
      <c r="B529">
        <v>2013</v>
      </c>
      <c r="C529" t="s">
        <v>40</v>
      </c>
      <c r="D529" t="s">
        <v>17</v>
      </c>
      <c r="E529" t="e">
        <f>VLOOKUP(Cpi_[[#This Row],[Attribute]],#REF!,2,FALSE)</f>
        <v>#REF!</v>
      </c>
      <c r="F529">
        <v>109.8</v>
      </c>
      <c r="G529">
        <f>(Cpi_[[#This Row],[Value]]-F528)/F528</f>
        <v>-1.7009847806624939E-2</v>
      </c>
      <c r="H529" t="e" cm="1" vm="1">
        <f t="array" aca="1" ref="H529" ca="1">VLOOKUP(Cpi_[[#This Row],[Year]:[Month]],crudeoil[],3,FALSE)</f>
        <v>#VALUE!</v>
      </c>
    </row>
    <row r="530" spans="1:8" hidden="1" x14ac:dyDescent="0.3">
      <c r="A530" t="s">
        <v>33</v>
      </c>
      <c r="B530">
        <v>2013</v>
      </c>
      <c r="C530" t="s">
        <v>40</v>
      </c>
      <c r="D530" t="s">
        <v>18</v>
      </c>
      <c r="E530" t="e">
        <f>VLOOKUP(Cpi_[[#This Row],[Attribute]],#REF!,2,FALSE)</f>
        <v>#REF!</v>
      </c>
      <c r="F530">
        <v>107.8</v>
      </c>
      <c r="G530">
        <f>(Cpi_[[#This Row],[Value]]-F529)/F529</f>
        <v>-1.8214936247723135E-2</v>
      </c>
      <c r="H530" t="e" cm="1" vm="1">
        <f t="array" aca="1" ref="H530" ca="1">VLOOKUP(Cpi_[[#This Row],[Year]:[Month]],crudeoil[],3,FALSE)</f>
        <v>#VALUE!</v>
      </c>
    </row>
    <row r="531" spans="1:8" hidden="1" x14ac:dyDescent="0.3">
      <c r="A531" t="s">
        <v>33</v>
      </c>
      <c r="B531">
        <v>2013</v>
      </c>
      <c r="C531" t="s">
        <v>40</v>
      </c>
      <c r="D531" t="s">
        <v>19</v>
      </c>
      <c r="E531" t="e">
        <f>VLOOKUP(Cpi_[[#This Row],[Attribute]],#REF!,2,FALSE)</f>
        <v>#REF!</v>
      </c>
      <c r="F531">
        <v>109.5</v>
      </c>
      <c r="G531">
        <f>(Cpi_[[#This Row],[Value]]-F530)/F530</f>
        <v>1.5769944341372938E-2</v>
      </c>
      <c r="H531" t="e" cm="1" vm="1">
        <f t="array" aca="1" ref="H531" ca="1">VLOOKUP(Cpi_[[#This Row],[Year]:[Month]],crudeoil[],3,FALSE)</f>
        <v>#VALUE!</v>
      </c>
    </row>
    <row r="532" spans="1:8" hidden="1" x14ac:dyDescent="0.3">
      <c r="A532" t="s">
        <v>33</v>
      </c>
      <c r="B532">
        <v>2013</v>
      </c>
      <c r="C532" t="s">
        <v>40</v>
      </c>
      <c r="D532" t="s">
        <v>20</v>
      </c>
      <c r="E532" t="e">
        <f>VLOOKUP(Cpi_[[#This Row],[Attribute]],#REF!,2,FALSE)</f>
        <v>#REF!</v>
      </c>
      <c r="F532">
        <v>107.7</v>
      </c>
      <c r="G532">
        <f>(Cpi_[[#This Row],[Value]]-F531)/F531</f>
        <v>-1.6438356164383536E-2</v>
      </c>
      <c r="H532" t="e" cm="1" vm="1">
        <f t="array" aca="1" ref="H532" ca="1">VLOOKUP(Cpi_[[#This Row],[Year]:[Month]],crudeoil[],3,FALSE)</f>
        <v>#VALUE!</v>
      </c>
    </row>
    <row r="533" spans="1:8" hidden="1" x14ac:dyDescent="0.3">
      <c r="A533" t="s">
        <v>33</v>
      </c>
      <c r="B533">
        <v>2013</v>
      </c>
      <c r="C533" t="s">
        <v>40</v>
      </c>
      <c r="D533" t="s">
        <v>21</v>
      </c>
      <c r="E533" t="e">
        <f>VLOOKUP(Cpi_[[#This Row],[Attribute]],#REF!,2,FALSE)</f>
        <v>#REF!</v>
      </c>
      <c r="F533">
        <v>108.6</v>
      </c>
      <c r="G533">
        <f>(Cpi_[[#This Row],[Value]]-F532)/F532</f>
        <v>8.3565459610027062E-3</v>
      </c>
      <c r="H533" t="e" cm="1" vm="1">
        <f t="array" aca="1" ref="H533" ca="1">VLOOKUP(Cpi_[[#This Row],[Year]:[Month]],crudeoil[],3,FALSE)</f>
        <v>#VALUE!</v>
      </c>
    </row>
    <row r="534" spans="1:8" hidden="1" x14ac:dyDescent="0.3">
      <c r="A534" t="s">
        <v>33</v>
      </c>
      <c r="B534">
        <v>2013</v>
      </c>
      <c r="C534" t="s">
        <v>40</v>
      </c>
      <c r="D534" t="s">
        <v>22</v>
      </c>
      <c r="E534" t="e">
        <f>VLOOKUP(Cpi_[[#This Row],[Attribute]],#REF!,2,FALSE)</f>
        <v>#REF!</v>
      </c>
      <c r="F534">
        <v>108.1</v>
      </c>
      <c r="G534">
        <f>(Cpi_[[#This Row],[Value]]-F533)/F533</f>
        <v>-4.6040515653775326E-3</v>
      </c>
      <c r="H534" t="e" cm="1" vm="1">
        <f t="array" aca="1" ref="H534" ca="1">VLOOKUP(Cpi_[[#This Row],[Year]:[Month]],crudeoil[],3,FALSE)</f>
        <v>#VALUE!</v>
      </c>
    </row>
    <row r="535" spans="1:8" hidden="1" x14ac:dyDescent="0.3">
      <c r="A535" t="s">
        <v>33</v>
      </c>
      <c r="B535">
        <v>2013</v>
      </c>
      <c r="C535" t="s">
        <v>40</v>
      </c>
      <c r="D535" t="s">
        <v>23</v>
      </c>
      <c r="E535" t="e">
        <f>VLOOKUP(Cpi_[[#This Row],[Attribute]],#REF!,2,FALSE)</f>
        <v>#REF!</v>
      </c>
      <c r="F535">
        <v>107.1</v>
      </c>
      <c r="G535">
        <f>(Cpi_[[#This Row],[Value]]-F534)/F534</f>
        <v>-9.2506938020351526E-3</v>
      </c>
      <c r="H535" t="e" cm="1" vm="1">
        <f t="array" aca="1" ref="H535" ca="1">VLOOKUP(Cpi_[[#This Row],[Year]:[Month]],crudeoil[],3,FALSE)</f>
        <v>#VALUE!</v>
      </c>
    </row>
    <row r="536" spans="1:8" hidden="1" x14ac:dyDescent="0.3">
      <c r="A536" t="s">
        <v>33</v>
      </c>
      <c r="B536">
        <v>2013</v>
      </c>
      <c r="C536" t="s">
        <v>40</v>
      </c>
      <c r="D536" t="s">
        <v>24</v>
      </c>
      <c r="E536" t="e">
        <f>VLOOKUP(Cpi_[[#This Row],[Attribute]],#REF!,2,FALSE)</f>
        <v>#REF!</v>
      </c>
      <c r="F536">
        <v>107.3</v>
      </c>
      <c r="G536">
        <f>(Cpi_[[#This Row],[Value]]-F535)/F535</f>
        <v>1.867413632119541E-3</v>
      </c>
      <c r="H536" t="e" cm="1" vm="1">
        <f t="array" aca="1" ref="H536" ca="1">VLOOKUP(Cpi_[[#This Row],[Year]:[Month]],crudeoil[],3,FALSE)</f>
        <v>#VALUE!</v>
      </c>
    </row>
    <row r="537" spans="1:8" hidden="1" x14ac:dyDescent="0.3">
      <c r="A537" t="s">
        <v>33</v>
      </c>
      <c r="B537">
        <v>2013</v>
      </c>
      <c r="C537" t="s">
        <v>40</v>
      </c>
      <c r="D537" t="s">
        <v>25</v>
      </c>
      <c r="E537" t="e">
        <f>VLOOKUP(Cpi_[[#This Row],[Attribute]],#REF!,2,FALSE)</f>
        <v>#REF!</v>
      </c>
      <c r="F537">
        <v>105.9</v>
      </c>
      <c r="G537">
        <f>(Cpi_[[#This Row],[Value]]-F536)/F536</f>
        <v>-1.3047530288909519E-2</v>
      </c>
      <c r="H537" t="e" cm="1" vm="1">
        <f t="array" aca="1" ref="H537" ca="1">VLOOKUP(Cpi_[[#This Row],[Year]:[Month]],crudeoil[],3,FALSE)</f>
        <v>#VALUE!</v>
      </c>
    </row>
    <row r="538" spans="1:8" hidden="1" x14ac:dyDescent="0.3">
      <c r="A538" t="s">
        <v>33</v>
      </c>
      <c r="B538">
        <v>2013</v>
      </c>
      <c r="C538" t="s">
        <v>40</v>
      </c>
      <c r="D538" t="s">
        <v>26</v>
      </c>
      <c r="E538" t="e">
        <f>VLOOKUP(Cpi_[[#This Row],[Attribute]],#REF!,2,FALSE)</f>
        <v>#REF!</v>
      </c>
      <c r="F538">
        <v>110.1</v>
      </c>
      <c r="G538">
        <f>(Cpi_[[#This Row],[Value]]-F537)/F537</f>
        <v>3.9660056657223684E-2</v>
      </c>
      <c r="H538" t="e" cm="1" vm="1">
        <f t="array" aca="1" ref="H538" ca="1">VLOOKUP(Cpi_[[#This Row],[Year]:[Month]],crudeoil[],3,FALSE)</f>
        <v>#VALUE!</v>
      </c>
    </row>
    <row r="539" spans="1:8" hidden="1" x14ac:dyDescent="0.3">
      <c r="A539" t="s">
        <v>33</v>
      </c>
      <c r="B539">
        <v>2013</v>
      </c>
      <c r="C539" t="s">
        <v>40</v>
      </c>
      <c r="D539" t="s">
        <v>27</v>
      </c>
      <c r="E539" t="e">
        <f>VLOOKUP(Cpi_[[#This Row],[Attribute]],#REF!,2,FALSE)</f>
        <v>#REF!</v>
      </c>
      <c r="F539">
        <v>103.2</v>
      </c>
      <c r="G539">
        <f>(Cpi_[[#This Row],[Value]]-F538)/F538</f>
        <v>-6.2670299727520362E-2</v>
      </c>
      <c r="H539" t="e" cm="1" vm="1">
        <f t="array" aca="1" ref="H539" ca="1">VLOOKUP(Cpi_[[#This Row],[Year]:[Month]],crudeoil[],3,FALSE)</f>
        <v>#VALUE!</v>
      </c>
    </row>
    <row r="540" spans="1:8" hidden="1" x14ac:dyDescent="0.3">
      <c r="A540" t="s">
        <v>33</v>
      </c>
      <c r="B540">
        <v>2013</v>
      </c>
      <c r="C540" t="s">
        <v>40</v>
      </c>
      <c r="D540" t="s">
        <v>28</v>
      </c>
      <c r="E540" t="e">
        <f>VLOOKUP(Cpi_[[#This Row],[Attribute]],#REF!,2,FALSE)</f>
        <v>#REF!</v>
      </c>
      <c r="F540">
        <v>107.3</v>
      </c>
      <c r="G540">
        <f>(Cpi_[[#This Row],[Value]]-F539)/F539</f>
        <v>3.9728682170542581E-2</v>
      </c>
      <c r="H540" t="e" cm="1" vm="1">
        <f t="array" aca="1" ref="H540" ca="1">VLOOKUP(Cpi_[[#This Row],[Year]:[Month]],crudeoil[],3,FALSE)</f>
        <v>#VALUE!</v>
      </c>
    </row>
    <row r="541" spans="1:8" hidden="1" x14ac:dyDescent="0.3">
      <c r="A541" t="s">
        <v>33</v>
      </c>
      <c r="B541">
        <v>2013</v>
      </c>
      <c r="C541" t="s">
        <v>40</v>
      </c>
      <c r="D541" t="s">
        <v>29</v>
      </c>
      <c r="E541" t="e" cm="1">
        <f t="array" aca="1" ref="E541" ca="1">VLGeneral indexGeneral indexKUP(Cpi_[[#This Row],[Attribute]],#REF!,2,FALSE)</f>
        <v>#NAME?</v>
      </c>
      <c r="F541">
        <v>111.4</v>
      </c>
      <c r="G541">
        <f>(Cpi_[[#This Row],[Value]]-F540)/F540</f>
        <v>3.8210624417521051E-2</v>
      </c>
      <c r="H541" t="e" cm="1" vm="1">
        <f t="array" aca="1" ref="H541" ca="1">VLOOKUP(Cpi_[[#This Row],[Year]:[Month]],crudeoil[],3,FALSE)</f>
        <v>#VALUE!</v>
      </c>
    </row>
    <row r="542" spans="1:8" hidden="1" x14ac:dyDescent="0.3">
      <c r="A542" t="s">
        <v>34</v>
      </c>
      <c r="B542">
        <v>2013</v>
      </c>
      <c r="C542" t="s">
        <v>40</v>
      </c>
      <c r="D542" t="s">
        <v>3</v>
      </c>
      <c r="E542" t="e">
        <f>VLOOKUP(Cpi_[[#This Row],[Attribute]],#REF!,2,FALSE)</f>
        <v>#REF!</v>
      </c>
      <c r="F542">
        <v>114.8</v>
      </c>
      <c r="G542">
        <f>(Cpi_[[#This Row],[Value]]-F541)/F541</f>
        <v>3.0520646319569043E-2</v>
      </c>
      <c r="H542" t="e" cm="1" vm="1">
        <f t="array" aca="1" ref="H542" ca="1">VLOOKUP(Cpi_[[#This Row],[Year]:[Month]],crudeoil[],3,FALSE)</f>
        <v>#VALUE!</v>
      </c>
    </row>
    <row r="543" spans="1:8" hidden="1" x14ac:dyDescent="0.3">
      <c r="A543" t="s">
        <v>34</v>
      </c>
      <c r="B543">
        <v>2013</v>
      </c>
      <c r="C543" t="s">
        <v>40</v>
      </c>
      <c r="D543" t="s">
        <v>4</v>
      </c>
      <c r="E543" t="e">
        <f>VLOOKUP(Cpi_[[#This Row],[Attribute]],#REF!,2,FALSE)</f>
        <v>#REF!</v>
      </c>
      <c r="F543">
        <v>116.4</v>
      </c>
      <c r="G543">
        <f>(Cpi_[[#This Row],[Value]]-F542)/F542</f>
        <v>1.3937282229965231E-2</v>
      </c>
      <c r="H543" t="e" cm="1" vm="1">
        <f t="array" aca="1" ref="H543" ca="1">VLOOKUP(Cpi_[[#This Row],[Year]:[Month]],crudeoil[],3,FALSE)</f>
        <v>#VALUE!</v>
      </c>
    </row>
    <row r="544" spans="1:8" hidden="1" x14ac:dyDescent="0.3">
      <c r="A544" t="s">
        <v>34</v>
      </c>
      <c r="B544">
        <v>2013</v>
      </c>
      <c r="C544" t="s">
        <v>40</v>
      </c>
      <c r="D544" t="s">
        <v>5</v>
      </c>
      <c r="E544" t="e">
        <f>VLOOKUP(Cpi_[[#This Row],[Attribute]],#REF!,2,FALSE)</f>
        <v>#REF!</v>
      </c>
      <c r="F544">
        <v>111.9</v>
      </c>
      <c r="G544">
        <f>(Cpi_[[#This Row],[Value]]-F543)/F543</f>
        <v>-3.8659793814432991E-2</v>
      </c>
      <c r="H544" t="e" cm="1" vm="1">
        <f t="array" aca="1" ref="H544" ca="1">VLOOKUP(Cpi_[[#This Row],[Year]:[Month]],crudeoil[],3,FALSE)</f>
        <v>#VALUE!</v>
      </c>
    </row>
    <row r="545" spans="1:8" hidden="1" x14ac:dyDescent="0.3">
      <c r="A545" t="s">
        <v>34</v>
      </c>
      <c r="B545">
        <v>2013</v>
      </c>
      <c r="C545" t="s">
        <v>40</v>
      </c>
      <c r="D545" t="s">
        <v>6</v>
      </c>
      <c r="E545" t="e">
        <f>VLOOKUP(Cpi_[[#This Row],[Attribute]],#REF!,2,FALSE)</f>
        <v>#REF!</v>
      </c>
      <c r="F545">
        <v>108.9</v>
      </c>
      <c r="G545">
        <f>(Cpi_[[#This Row],[Value]]-F544)/F544</f>
        <v>-2.6809651474530828E-2</v>
      </c>
      <c r="H545" t="e" cm="1" vm="1">
        <f t="array" aca="1" ref="H545" ca="1">VLOOKUP(Cpi_[[#This Row],[Year]:[Month]],crudeoil[],3,FALSE)</f>
        <v>#VALUE!</v>
      </c>
    </row>
    <row r="546" spans="1:8" hidden="1" x14ac:dyDescent="0.3">
      <c r="A546" t="s">
        <v>34</v>
      </c>
      <c r="B546">
        <v>2013</v>
      </c>
      <c r="C546" t="s">
        <v>40</v>
      </c>
      <c r="D546" t="s">
        <v>7</v>
      </c>
      <c r="E546" t="e">
        <f>VLOOKUP(Cpi_[[#This Row],[Attribute]],#REF!,2,FALSE)</f>
        <v>#REF!</v>
      </c>
      <c r="F546">
        <v>104.3</v>
      </c>
      <c r="G546">
        <f>(Cpi_[[#This Row],[Value]]-F545)/F545</f>
        <v>-4.2240587695133225E-2</v>
      </c>
      <c r="H546" t="e" cm="1" vm="1">
        <f t="array" aca="1" ref="H546" ca="1">VLOOKUP(Cpi_[[#This Row],[Year]:[Month]],crudeoil[],3,FALSE)</f>
        <v>#VALUE!</v>
      </c>
    </row>
    <row r="547" spans="1:8" hidden="1" x14ac:dyDescent="0.3">
      <c r="A547" t="s">
        <v>34</v>
      </c>
      <c r="B547">
        <v>2013</v>
      </c>
      <c r="C547" t="s">
        <v>40</v>
      </c>
      <c r="D547" t="s">
        <v>8</v>
      </c>
      <c r="E547" t="e">
        <f>VLOOKUP(Cpi_[[#This Row],[Attribute]],#REF!,2,FALSE)</f>
        <v>#REF!</v>
      </c>
      <c r="F547">
        <v>111.7</v>
      </c>
      <c r="G547">
        <f>(Cpi_[[#This Row],[Value]]-F546)/F546</f>
        <v>7.0949185043144833E-2</v>
      </c>
      <c r="H547" t="e" cm="1" vm="1">
        <f t="array" aca="1" ref="H547" ca="1">VLOOKUP(Cpi_[[#This Row],[Year]:[Month]],crudeoil[],3,FALSE)</f>
        <v>#VALUE!</v>
      </c>
    </row>
    <row r="548" spans="1:8" hidden="1" x14ac:dyDescent="0.3">
      <c r="A548" t="s">
        <v>34</v>
      </c>
      <c r="B548">
        <v>2013</v>
      </c>
      <c r="C548" t="s">
        <v>40</v>
      </c>
      <c r="D548" t="s">
        <v>9</v>
      </c>
      <c r="E548" t="e">
        <f>VLOOKUP(Cpi_[[#This Row],[Attribute]],#REF!,2,FALSE)</f>
        <v>#REF!</v>
      </c>
      <c r="F548">
        <v>140</v>
      </c>
      <c r="G548">
        <f>(Cpi_[[#This Row],[Value]]-F547)/F547</f>
        <v>0.25335720680393908</v>
      </c>
      <c r="H548" t="e" cm="1" vm="1">
        <f t="array" aca="1" ref="H548" ca="1">VLOOKUP(Cpi_[[#This Row],[Year]:[Month]],crudeoil[],3,FALSE)</f>
        <v>#VALUE!</v>
      </c>
    </row>
    <row r="549" spans="1:8" hidden="1" x14ac:dyDescent="0.3">
      <c r="A549" t="s">
        <v>34</v>
      </c>
      <c r="B549">
        <v>2013</v>
      </c>
      <c r="C549" t="s">
        <v>40</v>
      </c>
      <c r="D549" t="s">
        <v>10</v>
      </c>
      <c r="E549" t="e">
        <f>VLOOKUP(Cpi_[[#This Row],[Attribute]],#REF!,2,FALSE)</f>
        <v>#REF!</v>
      </c>
      <c r="F549">
        <v>106.4</v>
      </c>
      <c r="G549">
        <f>(Cpi_[[#This Row],[Value]]-F548)/F548</f>
        <v>-0.23999999999999996</v>
      </c>
      <c r="H549" t="e" cm="1" vm="1">
        <f t="array" aca="1" ref="H549" ca="1">VLOOKUP(Cpi_[[#This Row],[Year]:[Month]],crudeoil[],3,FALSE)</f>
        <v>#VALUE!</v>
      </c>
    </row>
    <row r="550" spans="1:8" hidden="1" x14ac:dyDescent="0.3">
      <c r="A550" t="s">
        <v>34</v>
      </c>
      <c r="B550">
        <v>2013</v>
      </c>
      <c r="C550" t="s">
        <v>40</v>
      </c>
      <c r="D550" t="s">
        <v>11</v>
      </c>
      <c r="E550" t="e">
        <f>VLOOKUP(Cpi_[[#This Row],[Attribute]],#REF!,2,FALSE)</f>
        <v>#REF!</v>
      </c>
      <c r="F550">
        <v>103.3</v>
      </c>
      <c r="G550">
        <f>(Cpi_[[#This Row],[Value]]-F549)/F549</f>
        <v>-2.913533834586474E-2</v>
      </c>
      <c r="H550" t="e" cm="1" vm="1">
        <f t="array" aca="1" ref="H550" ca="1">VLOOKUP(Cpi_[[#This Row],[Year]:[Month]],crudeoil[],3,FALSE)</f>
        <v>#VALUE!</v>
      </c>
    </row>
    <row r="551" spans="1:8" hidden="1" x14ac:dyDescent="0.3">
      <c r="A551" t="s">
        <v>34</v>
      </c>
      <c r="B551">
        <v>2013</v>
      </c>
      <c r="C551" t="s">
        <v>40</v>
      </c>
      <c r="D551" t="s">
        <v>12</v>
      </c>
      <c r="E551" t="e">
        <f>VLOOKUP(Cpi_[[#This Row],[Attribute]],#REF!,2,FALSE)</f>
        <v>#REF!</v>
      </c>
      <c r="F551">
        <v>106.8</v>
      </c>
      <c r="G551">
        <f>(Cpi_[[#This Row],[Value]]-F550)/F550</f>
        <v>3.3881897386253634E-2</v>
      </c>
      <c r="H551" t="e" cm="1" vm="1">
        <f t="array" aca="1" ref="H551" ca="1">VLOOKUP(Cpi_[[#This Row],[Year]:[Month]],crudeoil[],3,FALSE)</f>
        <v>#VALUE!</v>
      </c>
    </row>
    <row r="552" spans="1:8" hidden="1" x14ac:dyDescent="0.3">
      <c r="A552" t="s">
        <v>34</v>
      </c>
      <c r="B552">
        <v>2013</v>
      </c>
      <c r="C552" t="s">
        <v>40</v>
      </c>
      <c r="D552" t="s">
        <v>13</v>
      </c>
      <c r="E552" t="e">
        <f>VLOOKUP(Cpi_[[#This Row],[Attribute]],#REF!,2,FALSE)</f>
        <v>#REF!</v>
      </c>
      <c r="F552">
        <v>109.6</v>
      </c>
      <c r="G552">
        <f>(Cpi_[[#This Row],[Value]]-F551)/F551</f>
        <v>2.6217228464419449E-2</v>
      </c>
      <c r="H552" t="e" cm="1" vm="1">
        <f t="array" aca="1" ref="H552" ca="1">VLOOKUP(Cpi_[[#This Row],[Year]:[Month]],crudeoil[],3,FALSE)</f>
        <v>#VALUE!</v>
      </c>
    </row>
    <row r="553" spans="1:8" hidden="1" x14ac:dyDescent="0.3">
      <c r="A553" t="s">
        <v>34</v>
      </c>
      <c r="B553">
        <v>2013</v>
      </c>
      <c r="C553" t="s">
        <v>40</v>
      </c>
      <c r="D553" t="s">
        <v>14</v>
      </c>
      <c r="E553" t="e">
        <f>VLOOKUP(Cpi_[[#This Row],[Attribute]],#REF!,2,FALSE)</f>
        <v>#REF!</v>
      </c>
      <c r="F553">
        <v>112.6</v>
      </c>
      <c r="G553">
        <f>(Cpi_[[#This Row],[Value]]-F552)/F552</f>
        <v>2.7372262773722629E-2</v>
      </c>
      <c r="H553" t="e" cm="1" vm="1">
        <f t="array" aca="1" ref="H553" ca="1">VLOOKUP(Cpi_[[#This Row],[Year]:[Month]],crudeoil[],3,FALSE)</f>
        <v>#VALUE!</v>
      </c>
    </row>
    <row r="554" spans="1:8" hidden="1" x14ac:dyDescent="0.3">
      <c r="A554" t="s">
        <v>34</v>
      </c>
      <c r="B554">
        <v>2013</v>
      </c>
      <c r="C554" t="s">
        <v>40</v>
      </c>
      <c r="D554" t="s">
        <v>15</v>
      </c>
      <c r="E554" t="e">
        <f>VLOOKUP(Cpi_[[#This Row],[Attribute]],#REF!,2,FALSE)</f>
        <v>#REF!</v>
      </c>
      <c r="F554">
        <v>114.7</v>
      </c>
      <c r="G554">
        <f>(Cpi_[[#This Row],[Value]]-F553)/F553</f>
        <v>1.8650088809946792E-2</v>
      </c>
      <c r="H554" t="e" cm="1" vm="1">
        <f t="array" aca="1" ref="H554" ca="1">VLOOKUP(Cpi_[[#This Row],[Year]:[Month]],crudeoil[],3,FALSE)</f>
        <v>#VALUE!</v>
      </c>
    </row>
    <row r="555" spans="1:8" hidden="1" x14ac:dyDescent="0.3">
      <c r="A555" t="s">
        <v>34</v>
      </c>
      <c r="B555">
        <v>2013</v>
      </c>
      <c r="C555" t="s">
        <v>40</v>
      </c>
      <c r="D555" t="s">
        <v>16</v>
      </c>
      <c r="E555" t="e">
        <f>VLOOKUP(Cpi_[[#This Row],[Attribute]],#REF!,2,FALSE)</f>
        <v>#REF!</v>
      </c>
      <c r="F555">
        <v>110.3</v>
      </c>
      <c r="G555">
        <f>(Cpi_[[#This Row],[Value]]-F554)/F554</f>
        <v>-3.836094158674809E-2</v>
      </c>
      <c r="H555" t="e" cm="1" vm="1">
        <f t="array" aca="1" ref="H555" ca="1">VLOOKUP(Cpi_[[#This Row],[Year]:[Month]],crudeoil[],3,FALSE)</f>
        <v>#VALUE!</v>
      </c>
    </row>
    <row r="556" spans="1:8" hidden="1" x14ac:dyDescent="0.3">
      <c r="A556" t="s">
        <v>34</v>
      </c>
      <c r="B556">
        <v>2013</v>
      </c>
      <c r="C556" t="s">
        <v>40</v>
      </c>
      <c r="D556" t="s">
        <v>17</v>
      </c>
      <c r="E556" t="e">
        <f>VLOOKUP(Cpi_[[#This Row],[Attribute]],#REF!,2,FALSE)</f>
        <v>#REF!</v>
      </c>
      <c r="F556">
        <v>110.2</v>
      </c>
      <c r="G556">
        <f>(Cpi_[[#This Row],[Value]]-F555)/F555</f>
        <v>-9.0661831368988503E-4</v>
      </c>
      <c r="H556" t="e" cm="1" vm="1">
        <f t="array" aca="1" ref="H556" ca="1">VLOOKUP(Cpi_[[#This Row],[Year]:[Month]],crudeoil[],3,FALSE)</f>
        <v>#VALUE!</v>
      </c>
    </row>
    <row r="557" spans="1:8" hidden="1" x14ac:dyDescent="0.3">
      <c r="A557" t="s">
        <v>34</v>
      </c>
      <c r="B557">
        <v>2013</v>
      </c>
      <c r="C557" t="s">
        <v>40</v>
      </c>
      <c r="D557" t="s">
        <v>18</v>
      </c>
      <c r="E557" t="e">
        <f>VLOOKUP(Cpi_[[#This Row],[Attribute]],#REF!,2,FALSE)</f>
        <v>#REF!</v>
      </c>
      <c r="F557">
        <v>108.8</v>
      </c>
      <c r="G557">
        <f>(Cpi_[[#This Row],[Value]]-F556)/F556</f>
        <v>-1.2704174228675187E-2</v>
      </c>
      <c r="H557" t="e" cm="1" vm="1">
        <f t="array" aca="1" ref="H557" ca="1">VLOOKUP(Cpi_[[#This Row],[Year]:[Month]],crudeoil[],3,FALSE)</f>
        <v>#VALUE!</v>
      </c>
    </row>
    <row r="558" spans="1:8" hidden="1" x14ac:dyDescent="0.3">
      <c r="A558" t="s">
        <v>34</v>
      </c>
      <c r="B558">
        <v>2013</v>
      </c>
      <c r="C558" t="s">
        <v>40</v>
      </c>
      <c r="D558" t="s">
        <v>19</v>
      </c>
      <c r="E558" t="e">
        <f>VLOOKUP(Cpi_[[#This Row],[Attribute]],#REF!,2,FALSE)</f>
        <v>#REF!</v>
      </c>
      <c r="F558">
        <v>110</v>
      </c>
      <c r="G558">
        <f>(Cpi_[[#This Row],[Value]]-F557)/F557</f>
        <v>1.1029411764705909E-2</v>
      </c>
      <c r="H558" t="e" cm="1" vm="1">
        <f t="array" aca="1" ref="H558" ca="1">VLOOKUP(Cpi_[[#This Row],[Year]:[Month]],crudeoil[],3,FALSE)</f>
        <v>#VALUE!</v>
      </c>
    </row>
    <row r="559" spans="1:8" hidden="1" x14ac:dyDescent="0.3">
      <c r="A559" t="s">
        <v>34</v>
      </c>
      <c r="B559">
        <v>2013</v>
      </c>
      <c r="C559" t="s">
        <v>40</v>
      </c>
      <c r="D559" t="s">
        <v>20</v>
      </c>
      <c r="E559" t="e">
        <f>VLOOKUP(Cpi_[[#This Row],[Attribute]],#REF!,2,FALSE)</f>
        <v>#REF!</v>
      </c>
      <c r="F559">
        <v>107.7</v>
      </c>
      <c r="G559">
        <f>(Cpi_[[#This Row],[Value]]-F558)/F558</f>
        <v>-2.0909090909090884E-2</v>
      </c>
      <c r="H559" t="e" cm="1" vm="1">
        <f t="array" aca="1" ref="H559" ca="1">VLOOKUP(Cpi_[[#This Row],[Year]:[Month]],crudeoil[],3,FALSE)</f>
        <v>#VALUE!</v>
      </c>
    </row>
    <row r="560" spans="1:8" hidden="1" x14ac:dyDescent="0.3">
      <c r="A560" t="s">
        <v>34</v>
      </c>
      <c r="B560">
        <v>2013</v>
      </c>
      <c r="C560" t="s">
        <v>40</v>
      </c>
      <c r="D560" t="s">
        <v>21</v>
      </c>
      <c r="E560" t="e">
        <f>VLOOKUP(Cpi_[[#This Row],[Attribute]],#REF!,2,FALSE)</f>
        <v>#REF!</v>
      </c>
      <c r="F560">
        <v>109.2</v>
      </c>
      <c r="G560">
        <f>(Cpi_[[#This Row],[Value]]-F559)/F559</f>
        <v>1.3927576601671309E-2</v>
      </c>
      <c r="H560" t="e" cm="1" vm="1">
        <f t="array" aca="1" ref="H560" ca="1">VLOOKUP(Cpi_[[#This Row],[Year]:[Month]],crudeoil[],3,FALSE)</f>
        <v>#VALUE!</v>
      </c>
    </row>
    <row r="561" spans="1:8" hidden="1" x14ac:dyDescent="0.3">
      <c r="A561" t="s">
        <v>34</v>
      </c>
      <c r="B561">
        <v>2013</v>
      </c>
      <c r="C561" t="s">
        <v>40</v>
      </c>
      <c r="D561" t="s">
        <v>22</v>
      </c>
      <c r="E561" t="e">
        <f>VLOOKUP(Cpi_[[#This Row],[Attribute]],#REF!,2,FALSE)</f>
        <v>#REF!</v>
      </c>
      <c r="F561">
        <v>108.2</v>
      </c>
      <c r="G561">
        <f>(Cpi_[[#This Row],[Value]]-F560)/F560</f>
        <v>-9.1575091575091579E-3</v>
      </c>
      <c r="H561" t="e" cm="1" vm="1">
        <f t="array" aca="1" ref="H561" ca="1">VLOOKUP(Cpi_[[#This Row],[Year]:[Month]],crudeoil[],3,FALSE)</f>
        <v>#VALUE!</v>
      </c>
    </row>
    <row r="562" spans="1:8" hidden="1" x14ac:dyDescent="0.3">
      <c r="A562" t="s">
        <v>34</v>
      </c>
      <c r="B562">
        <v>2013</v>
      </c>
      <c r="C562" t="s">
        <v>40</v>
      </c>
      <c r="D562" t="s">
        <v>23</v>
      </c>
      <c r="E562" t="e">
        <f>VLOOKUP(Cpi_[[#This Row],[Attribute]],#REF!,2,FALSE)</f>
        <v>#REF!</v>
      </c>
      <c r="F562">
        <v>107</v>
      </c>
      <c r="G562">
        <f>(Cpi_[[#This Row],[Value]]-F561)/F561</f>
        <v>-1.1090573012939028E-2</v>
      </c>
      <c r="H562" t="e" cm="1" vm="1">
        <f t="array" aca="1" ref="H562" ca="1">VLOOKUP(Cpi_[[#This Row],[Year]:[Month]],crudeoil[],3,FALSE)</f>
        <v>#VALUE!</v>
      </c>
    </row>
    <row r="563" spans="1:8" hidden="1" x14ac:dyDescent="0.3">
      <c r="A563" t="s">
        <v>34</v>
      </c>
      <c r="B563">
        <v>2013</v>
      </c>
      <c r="C563" t="s">
        <v>40</v>
      </c>
      <c r="D563" t="s">
        <v>24</v>
      </c>
      <c r="E563" t="e">
        <f>VLOOKUP(Cpi_[[#This Row],[Attribute]],#REF!,2,FALSE)</f>
        <v>#REF!</v>
      </c>
      <c r="F563">
        <v>107.1</v>
      </c>
      <c r="G563">
        <f>(Cpi_[[#This Row],[Value]]-F562)/F562</f>
        <v>9.3457943925228336E-4</v>
      </c>
      <c r="H563" t="e" cm="1" vm="1">
        <f t="array" aca="1" ref="H563" ca="1">VLOOKUP(Cpi_[[#This Row],[Year]:[Month]],crudeoil[],3,FALSE)</f>
        <v>#VALUE!</v>
      </c>
    </row>
    <row r="564" spans="1:8" hidden="1" x14ac:dyDescent="0.3">
      <c r="A564" t="s">
        <v>34</v>
      </c>
      <c r="B564">
        <v>2013</v>
      </c>
      <c r="C564" t="s">
        <v>40</v>
      </c>
      <c r="D564" t="s">
        <v>25</v>
      </c>
      <c r="E564" t="e">
        <f>VLOOKUP(Cpi_[[#This Row],[Attribute]],#REF!,2,FALSE)</f>
        <v>#REF!</v>
      </c>
      <c r="F564">
        <v>106.1</v>
      </c>
      <c r="G564">
        <f>(Cpi_[[#This Row],[Value]]-F563)/F563</f>
        <v>-9.3370681605975722E-3</v>
      </c>
      <c r="H564" t="e" cm="1" vm="1">
        <f t="array" aca="1" ref="H564" ca="1">VLOOKUP(Cpi_[[#This Row],[Year]:[Month]],crudeoil[],3,FALSE)</f>
        <v>#VALUE!</v>
      </c>
    </row>
    <row r="565" spans="1:8" hidden="1" x14ac:dyDescent="0.3">
      <c r="A565" t="s">
        <v>34</v>
      </c>
      <c r="B565">
        <v>2013</v>
      </c>
      <c r="C565" t="s">
        <v>40</v>
      </c>
      <c r="D565" t="s">
        <v>26</v>
      </c>
      <c r="E565" t="e">
        <f>VLOOKUP(Cpi_[[#This Row],[Attribute]],#REF!,2,FALSE)</f>
        <v>#REF!</v>
      </c>
      <c r="F565">
        <v>109.1</v>
      </c>
      <c r="G565">
        <f>(Cpi_[[#This Row],[Value]]-F564)/F564</f>
        <v>2.8275212064090484E-2</v>
      </c>
      <c r="H565" t="e" cm="1" vm="1">
        <f t="array" aca="1" ref="H565" ca="1">VLOOKUP(Cpi_[[#This Row],[Year]:[Month]],crudeoil[],3,FALSE)</f>
        <v>#VALUE!</v>
      </c>
    </row>
    <row r="566" spans="1:8" hidden="1" x14ac:dyDescent="0.3">
      <c r="A566" t="s">
        <v>34</v>
      </c>
      <c r="B566">
        <v>2013</v>
      </c>
      <c r="C566" t="s">
        <v>40</v>
      </c>
      <c r="D566" t="s">
        <v>27</v>
      </c>
      <c r="E566" t="e">
        <f>VLOOKUP(Cpi_[[#This Row],[Attribute]],#REF!,2,FALSE)</f>
        <v>#REF!</v>
      </c>
      <c r="F566">
        <v>102.8</v>
      </c>
      <c r="G566">
        <f>(Cpi_[[#This Row],[Value]]-F565)/F565</f>
        <v>-5.774518790100823E-2</v>
      </c>
      <c r="H566" t="e" cm="1" vm="1">
        <f t="array" aca="1" ref="H566" ca="1">VLOOKUP(Cpi_[[#This Row],[Year]:[Month]],crudeoil[],3,FALSE)</f>
        <v>#VALUE!</v>
      </c>
    </row>
    <row r="567" spans="1:8" hidden="1" x14ac:dyDescent="0.3">
      <c r="A567" t="s">
        <v>34</v>
      </c>
      <c r="B567">
        <v>2013</v>
      </c>
      <c r="C567" t="s">
        <v>40</v>
      </c>
      <c r="D567" t="s">
        <v>28</v>
      </c>
      <c r="E567" t="e">
        <f>VLOOKUP(Cpi_[[#This Row],[Attribute]],#REF!,2,FALSE)</f>
        <v>#REF!</v>
      </c>
      <c r="F567">
        <v>106.9</v>
      </c>
      <c r="G567">
        <f>(Cpi_[[#This Row],[Value]]-F566)/F566</f>
        <v>3.988326848249036E-2</v>
      </c>
      <c r="H567" t="e" cm="1" vm="1">
        <f t="array" aca="1" ref="H567" ca="1">VLOOKUP(Cpi_[[#This Row],[Year]:[Month]],crudeoil[],3,FALSE)</f>
        <v>#VALUE!</v>
      </c>
    </row>
    <row r="568" spans="1:8" hidden="1" x14ac:dyDescent="0.3">
      <c r="A568" t="s">
        <v>34</v>
      </c>
      <c r="B568">
        <v>2013</v>
      </c>
      <c r="C568" t="s">
        <v>40</v>
      </c>
      <c r="D568" t="s">
        <v>29</v>
      </c>
      <c r="E568" t="e" cm="1">
        <f t="array" aca="1" ref="E568" ca="1">VLGeneral indexGeneral indexKUP(Cpi_[[#This Row],[Attribute]],#REF!,2,FALSE)</f>
        <v>#NAME?</v>
      </c>
      <c r="F568">
        <v>111</v>
      </c>
      <c r="G568">
        <f>(Cpi_[[#This Row],[Value]]-F567)/F567</f>
        <v>3.8353601496725856E-2</v>
      </c>
      <c r="H568" t="e" cm="1" vm="1">
        <f t="array" aca="1" ref="H568" ca="1">VLOOKUP(Cpi_[[#This Row],[Year]:[Month]],crudeoil[],3,FALSE)</f>
        <v>#VALUE!</v>
      </c>
    </row>
    <row r="569" spans="1:8" hidden="1" x14ac:dyDescent="0.3">
      <c r="A569" t="s">
        <v>30</v>
      </c>
      <c r="B569">
        <v>2013</v>
      </c>
      <c r="C569" t="s">
        <v>41</v>
      </c>
      <c r="D569" t="s">
        <v>3</v>
      </c>
      <c r="E569" t="e">
        <f>VLOOKUP(Cpi_[[#This Row],[Attribute]],#REF!,2,FALSE)</f>
        <v>#REF!</v>
      </c>
      <c r="F569">
        <v>114.3</v>
      </c>
      <c r="G569">
        <f>(Cpi_[[#This Row],[Value]]-F568)/F568</f>
        <v>2.9729729729729704E-2</v>
      </c>
      <c r="H569" t="e" cm="1" vm="1">
        <f t="array" aca="1" ref="H569" ca="1">VLOOKUP(Cpi_[[#This Row],[Year]:[Month]],crudeoil[],3,FALSE)</f>
        <v>#VALUE!</v>
      </c>
    </row>
    <row r="570" spans="1:8" hidden="1" x14ac:dyDescent="0.3">
      <c r="A570" t="s">
        <v>30</v>
      </c>
      <c r="B570">
        <v>2013</v>
      </c>
      <c r="C570" t="s">
        <v>41</v>
      </c>
      <c r="D570" t="s">
        <v>4</v>
      </c>
      <c r="E570" t="e">
        <f>VLOOKUP(Cpi_[[#This Row],[Attribute]],#REF!,2,FALSE)</f>
        <v>#REF!</v>
      </c>
      <c r="F570">
        <v>115.4</v>
      </c>
      <c r="G570">
        <f>(Cpi_[[#This Row],[Value]]-F569)/F569</f>
        <v>9.6237970253719041E-3</v>
      </c>
      <c r="H570" t="e" cm="1" vm="1">
        <f t="array" aca="1" ref="H570" ca="1">VLOOKUP(Cpi_[[#This Row],[Year]:[Month]],crudeoil[],3,FALSE)</f>
        <v>#VALUE!</v>
      </c>
    </row>
    <row r="571" spans="1:8" hidden="1" x14ac:dyDescent="0.3">
      <c r="A571" t="s">
        <v>30</v>
      </c>
      <c r="B571">
        <v>2013</v>
      </c>
      <c r="C571" t="s">
        <v>41</v>
      </c>
      <c r="D571" t="s">
        <v>5</v>
      </c>
      <c r="E571" t="e">
        <f>VLOOKUP(Cpi_[[#This Row],[Attribute]],#REF!,2,FALSE)</f>
        <v>#REF!</v>
      </c>
      <c r="F571">
        <v>111.1</v>
      </c>
      <c r="G571">
        <f>(Cpi_[[#This Row],[Value]]-F570)/F570</f>
        <v>-3.7261698440208067E-2</v>
      </c>
      <c r="H571" t="e" cm="1" vm="1">
        <f t="array" aca="1" ref="H571" ca="1">VLOOKUP(Cpi_[[#This Row],[Year]:[Month]],crudeoil[],3,FALSE)</f>
        <v>#VALUE!</v>
      </c>
    </row>
    <row r="572" spans="1:8" hidden="1" x14ac:dyDescent="0.3">
      <c r="A572" t="s">
        <v>30</v>
      </c>
      <c r="B572">
        <v>2013</v>
      </c>
      <c r="C572" t="s">
        <v>41</v>
      </c>
      <c r="D572" t="s">
        <v>6</v>
      </c>
      <c r="E572" t="e">
        <f>VLOOKUP(Cpi_[[#This Row],[Attribute]],#REF!,2,FALSE)</f>
        <v>#REF!</v>
      </c>
      <c r="F572">
        <v>110</v>
      </c>
      <c r="G572">
        <f>(Cpi_[[#This Row],[Value]]-F571)/F571</f>
        <v>-9.9009900990098508E-3</v>
      </c>
      <c r="H572" t="e" cm="1" vm="1">
        <f t="array" aca="1" ref="H572" ca="1">VLOOKUP(Cpi_[[#This Row],[Year]:[Month]],crudeoil[],3,FALSE)</f>
        <v>#VALUE!</v>
      </c>
    </row>
    <row r="573" spans="1:8" hidden="1" x14ac:dyDescent="0.3">
      <c r="A573" t="s">
        <v>30</v>
      </c>
      <c r="B573">
        <v>2013</v>
      </c>
      <c r="C573" t="s">
        <v>41</v>
      </c>
      <c r="D573" t="s">
        <v>7</v>
      </c>
      <c r="E573" t="e">
        <f>VLOOKUP(Cpi_[[#This Row],[Attribute]],#REF!,2,FALSE)</f>
        <v>#REF!</v>
      </c>
      <c r="F573">
        <v>106.4</v>
      </c>
      <c r="G573">
        <f>(Cpi_[[#This Row],[Value]]-F572)/F572</f>
        <v>-3.2727272727272674E-2</v>
      </c>
      <c r="H573" t="e" cm="1" vm="1">
        <f t="array" aca="1" ref="H573" ca="1">VLOOKUP(Cpi_[[#This Row],[Year]:[Month]],crudeoil[],3,FALSE)</f>
        <v>#VALUE!</v>
      </c>
    </row>
    <row r="574" spans="1:8" hidden="1" x14ac:dyDescent="0.3">
      <c r="A574" t="s">
        <v>30</v>
      </c>
      <c r="B574">
        <v>2013</v>
      </c>
      <c r="C574" t="s">
        <v>41</v>
      </c>
      <c r="D574" t="s">
        <v>8</v>
      </c>
      <c r="E574" t="e">
        <f>VLOOKUP(Cpi_[[#This Row],[Attribute]],#REF!,2,FALSE)</f>
        <v>#REF!</v>
      </c>
      <c r="F574">
        <v>110.8</v>
      </c>
      <c r="G574">
        <f>(Cpi_[[#This Row],[Value]]-F573)/F573</f>
        <v>4.1353383458646531E-2</v>
      </c>
      <c r="H574" t="e" cm="1" vm="1">
        <f t="array" aca="1" ref="H574" ca="1">VLOOKUP(Cpi_[[#This Row],[Year]:[Month]],crudeoil[],3,FALSE)</f>
        <v>#VALUE!</v>
      </c>
    </row>
    <row r="575" spans="1:8" hidden="1" x14ac:dyDescent="0.3">
      <c r="A575" t="s">
        <v>30</v>
      </c>
      <c r="B575">
        <v>2013</v>
      </c>
      <c r="C575" t="s">
        <v>41</v>
      </c>
      <c r="D575" t="s">
        <v>9</v>
      </c>
      <c r="E575" t="e">
        <f>VLOOKUP(Cpi_[[#This Row],[Attribute]],#REF!,2,FALSE)</f>
        <v>#REF!</v>
      </c>
      <c r="F575">
        <v>138.9</v>
      </c>
      <c r="G575">
        <f>(Cpi_[[#This Row],[Value]]-F574)/F574</f>
        <v>0.2536101083032492</v>
      </c>
      <c r="H575" t="e" cm="1" vm="1">
        <f t="array" aca="1" ref="H575" ca="1">VLOOKUP(Cpi_[[#This Row],[Year]:[Month]],crudeoil[],3,FALSE)</f>
        <v>#VALUE!</v>
      </c>
    </row>
    <row r="576" spans="1:8" hidden="1" x14ac:dyDescent="0.3">
      <c r="A576" t="s">
        <v>30</v>
      </c>
      <c r="B576">
        <v>2013</v>
      </c>
      <c r="C576" t="s">
        <v>41</v>
      </c>
      <c r="D576" t="s">
        <v>10</v>
      </c>
      <c r="E576" t="e">
        <f>VLOOKUP(Cpi_[[#This Row],[Attribute]],#REF!,2,FALSE)</f>
        <v>#REF!</v>
      </c>
      <c r="F576">
        <v>107.4</v>
      </c>
      <c r="G576">
        <f>(Cpi_[[#This Row],[Value]]-F575)/F575</f>
        <v>-0.22678185745140389</v>
      </c>
      <c r="H576" t="e" cm="1" vm="1">
        <f t="array" aca="1" ref="H576" ca="1">VLOOKUP(Cpi_[[#This Row],[Year]:[Month]],crudeoil[],3,FALSE)</f>
        <v>#VALUE!</v>
      </c>
    </row>
    <row r="577" spans="1:8" hidden="1" x14ac:dyDescent="0.3">
      <c r="A577" t="s">
        <v>30</v>
      </c>
      <c r="B577">
        <v>2013</v>
      </c>
      <c r="C577" t="s">
        <v>41</v>
      </c>
      <c r="D577" t="s">
        <v>11</v>
      </c>
      <c r="E577" t="e">
        <f>VLOOKUP(Cpi_[[#This Row],[Attribute]],#REF!,2,FALSE)</f>
        <v>#REF!</v>
      </c>
      <c r="F577">
        <v>104.1</v>
      </c>
      <c r="G577">
        <f>(Cpi_[[#This Row],[Value]]-F576)/F576</f>
        <v>-3.0726256983240326E-2</v>
      </c>
      <c r="H577" t="e" cm="1" vm="1">
        <f t="array" aca="1" ref="H577" ca="1">VLOOKUP(Cpi_[[#This Row],[Year]:[Month]],crudeoil[],3,FALSE)</f>
        <v>#VALUE!</v>
      </c>
    </row>
    <row r="578" spans="1:8" hidden="1" x14ac:dyDescent="0.3">
      <c r="A578" t="s">
        <v>30</v>
      </c>
      <c r="B578">
        <v>2013</v>
      </c>
      <c r="C578" t="s">
        <v>41</v>
      </c>
      <c r="D578" t="s">
        <v>12</v>
      </c>
      <c r="E578" t="e">
        <f>VLOOKUP(Cpi_[[#This Row],[Attribute]],#REF!,2,FALSE)</f>
        <v>#REF!</v>
      </c>
      <c r="F578">
        <v>106.9</v>
      </c>
      <c r="G578">
        <f>(Cpi_[[#This Row],[Value]]-F577)/F577</f>
        <v>2.6897214217099053E-2</v>
      </c>
      <c r="H578" t="e" cm="1" vm="1">
        <f t="array" aca="1" ref="H578" ca="1">VLOOKUP(Cpi_[[#This Row],[Year]:[Month]],crudeoil[],3,FALSE)</f>
        <v>#VALUE!</v>
      </c>
    </row>
    <row r="579" spans="1:8" hidden="1" x14ac:dyDescent="0.3">
      <c r="A579" t="s">
        <v>30</v>
      </c>
      <c r="B579">
        <v>2013</v>
      </c>
      <c r="C579" t="s">
        <v>41</v>
      </c>
      <c r="D579" t="s">
        <v>13</v>
      </c>
      <c r="E579" t="e">
        <f>VLOOKUP(Cpi_[[#This Row],[Attribute]],#REF!,2,FALSE)</f>
        <v>#REF!</v>
      </c>
      <c r="F579">
        <v>109.7</v>
      </c>
      <c r="G579">
        <f>(Cpi_[[#This Row],[Value]]-F578)/F578</f>
        <v>2.6192703461178645E-2</v>
      </c>
      <c r="H579" t="e" cm="1" vm="1">
        <f t="array" aca="1" ref="H579" ca="1">VLOOKUP(Cpi_[[#This Row],[Year]:[Month]],crudeoil[],3,FALSE)</f>
        <v>#VALUE!</v>
      </c>
    </row>
    <row r="580" spans="1:8" hidden="1" x14ac:dyDescent="0.3">
      <c r="A580" t="s">
        <v>30</v>
      </c>
      <c r="B580">
        <v>2013</v>
      </c>
      <c r="C580" t="s">
        <v>41</v>
      </c>
      <c r="D580" t="s">
        <v>14</v>
      </c>
      <c r="E580" t="e">
        <f>VLOOKUP(Cpi_[[#This Row],[Attribute]],#REF!,2,FALSE)</f>
        <v>#REF!</v>
      </c>
      <c r="F580">
        <v>112.6</v>
      </c>
      <c r="G580">
        <f>(Cpi_[[#This Row],[Value]]-F579)/F579</f>
        <v>2.643573381950767E-2</v>
      </c>
      <c r="H580" t="e" cm="1" vm="1">
        <f t="array" aca="1" ref="H580" ca="1">VLOOKUP(Cpi_[[#This Row],[Year]:[Month]],crudeoil[],3,FALSE)</f>
        <v>#VALUE!</v>
      </c>
    </row>
    <row r="581" spans="1:8" hidden="1" x14ac:dyDescent="0.3">
      <c r="A581" t="s">
        <v>30</v>
      </c>
      <c r="B581">
        <v>2013</v>
      </c>
      <c r="C581" t="s">
        <v>41</v>
      </c>
      <c r="D581" t="s">
        <v>15</v>
      </c>
      <c r="E581" t="e">
        <f>VLOOKUP(Cpi_[[#This Row],[Attribute]],#REF!,2,FALSE)</f>
        <v>#REF!</v>
      </c>
      <c r="F581">
        <v>114.9</v>
      </c>
      <c r="G581">
        <f>(Cpi_[[#This Row],[Value]]-F580)/F580</f>
        <v>2.0426287744227455E-2</v>
      </c>
      <c r="H581" t="e" cm="1" vm="1">
        <f t="array" aca="1" ref="H581" ca="1">VLOOKUP(Cpi_[[#This Row],[Year]:[Month]],crudeoil[],3,FALSE)</f>
        <v>#VALUE!</v>
      </c>
    </row>
    <row r="582" spans="1:8" hidden="1" x14ac:dyDescent="0.3">
      <c r="A582" t="s">
        <v>30</v>
      </c>
      <c r="B582">
        <v>2013</v>
      </c>
      <c r="C582" t="s">
        <v>41</v>
      </c>
      <c r="D582" t="s">
        <v>16</v>
      </c>
      <c r="E582" t="e">
        <f>VLOOKUP(Cpi_[[#This Row],[Attribute]],#REF!,2,FALSE)</f>
        <v>#REF!</v>
      </c>
      <c r="F582">
        <v>110.7</v>
      </c>
      <c r="G582">
        <f>(Cpi_[[#This Row],[Value]]-F581)/F581</f>
        <v>-3.6553524804177569E-2</v>
      </c>
      <c r="H582" t="e" cm="1" vm="1">
        <f t="array" aca="1" ref="H582" ca="1">VLOOKUP(Cpi_[[#This Row],[Year]:[Month]],crudeoil[],3,FALSE)</f>
        <v>#VALUE!</v>
      </c>
    </row>
    <row r="583" spans="1:8" hidden="1" x14ac:dyDescent="0.3">
      <c r="A583" t="s">
        <v>30</v>
      </c>
      <c r="B583">
        <v>2013</v>
      </c>
      <c r="C583" t="s">
        <v>41</v>
      </c>
      <c r="D583" t="s">
        <v>17</v>
      </c>
      <c r="E583" t="e">
        <f>VLOOKUP(Cpi_[[#This Row],[Attribute]],#REF!,2,FALSE)</f>
        <v>#REF!</v>
      </c>
      <c r="F583">
        <v>111.3</v>
      </c>
      <c r="G583">
        <f>(Cpi_[[#This Row],[Value]]-F582)/F582</f>
        <v>5.4200542005419542E-3</v>
      </c>
      <c r="H583" t="e" cm="1" vm="1">
        <f t="array" aca="1" ref="H583" ca="1">VLOOKUP(Cpi_[[#This Row],[Year]:[Month]],crudeoil[],3,FALSE)</f>
        <v>#VALUE!</v>
      </c>
    </row>
    <row r="584" spans="1:8" hidden="1" x14ac:dyDescent="0.3">
      <c r="A584" t="s">
        <v>30</v>
      </c>
      <c r="B584">
        <v>2013</v>
      </c>
      <c r="C584" t="s">
        <v>41</v>
      </c>
      <c r="D584" t="s">
        <v>18</v>
      </c>
      <c r="E584" t="e">
        <f>VLOOKUP(Cpi_[[#This Row],[Attribute]],#REF!,2,FALSE)</f>
        <v>#REF!</v>
      </c>
      <c r="F584">
        <v>110.2</v>
      </c>
      <c r="G584">
        <f>(Cpi_[[#This Row],[Value]]-F583)/F583</f>
        <v>-9.883198562443794E-3</v>
      </c>
      <c r="H584" t="e" cm="1" vm="1">
        <f t="array" aca="1" ref="H584" ca="1">VLOOKUP(Cpi_[[#This Row],[Year]:[Month]],crudeoil[],3,FALSE)</f>
        <v>#VALUE!</v>
      </c>
    </row>
    <row r="585" spans="1:8" hidden="1" x14ac:dyDescent="0.3">
      <c r="A585" t="s">
        <v>30</v>
      </c>
      <c r="B585">
        <v>2013</v>
      </c>
      <c r="C585" t="s">
        <v>41</v>
      </c>
      <c r="D585" t="s">
        <v>19</v>
      </c>
      <c r="E585" t="e">
        <f>VLOOKUP(Cpi_[[#This Row],[Attribute]],#REF!,2,FALSE)</f>
        <v>#REF!</v>
      </c>
      <c r="F585">
        <v>111.1</v>
      </c>
      <c r="G585">
        <f>(Cpi_[[#This Row],[Value]]-F584)/F584</f>
        <v>8.1669691470053676E-3</v>
      </c>
      <c r="H585" t="e" cm="1" vm="1">
        <f t="array" aca="1" ref="H585" ca="1">VLOOKUP(Cpi_[[#This Row],[Year]:[Month]],crudeoil[],3,FALSE)</f>
        <v>#VALUE!</v>
      </c>
    </row>
    <row r="586" spans="1:8" hidden="1" x14ac:dyDescent="0.3">
      <c r="A586" t="s">
        <v>30</v>
      </c>
      <c r="B586">
        <v>2013</v>
      </c>
      <c r="C586" t="s">
        <v>41</v>
      </c>
      <c r="D586" t="s">
        <v>20</v>
      </c>
      <c r="E586" t="e">
        <f>VLOOKUP(Cpi_[[#This Row],[Attribute]],#REF!,2,FALSE)</f>
        <v>#REF!</v>
      </c>
      <c r="F586" t="s">
        <v>32</v>
      </c>
      <c r="G586" t="e">
        <f>(Cpi_[[#This Row],[Value]]-F585)/F585</f>
        <v>#VALUE!</v>
      </c>
      <c r="H586" t="e" cm="1" vm="1">
        <f t="array" aca="1" ref="H586" ca="1">VLOOKUP(Cpi_[[#This Row],[Year]:[Month]],crudeoil[],3,FALSE)</f>
        <v>#VALUE!</v>
      </c>
    </row>
    <row r="587" spans="1:8" hidden="1" x14ac:dyDescent="0.3">
      <c r="A587" t="s">
        <v>30</v>
      </c>
      <c r="B587">
        <v>2013</v>
      </c>
      <c r="C587" t="s">
        <v>41</v>
      </c>
      <c r="D587" t="s">
        <v>21</v>
      </c>
      <c r="E587" t="e">
        <f>VLOOKUP(Cpi_[[#This Row],[Attribute]],#REF!,2,FALSE)</f>
        <v>#REF!</v>
      </c>
      <c r="F587">
        <v>109.9</v>
      </c>
      <c r="G587" t="e">
        <f>(Cpi_[[#This Row],[Value]]-F586)/F586</f>
        <v>#VALUE!</v>
      </c>
      <c r="H587" t="e" cm="1" vm="1">
        <f t="array" aca="1" ref="H587" ca="1">VLOOKUP(Cpi_[[#This Row],[Year]:[Month]],crudeoil[],3,FALSE)</f>
        <v>#VALUE!</v>
      </c>
    </row>
    <row r="588" spans="1:8" hidden="1" x14ac:dyDescent="0.3">
      <c r="A588" t="s">
        <v>30</v>
      </c>
      <c r="B588">
        <v>2013</v>
      </c>
      <c r="C588" t="s">
        <v>41</v>
      </c>
      <c r="D588" t="s">
        <v>22</v>
      </c>
      <c r="E588" t="e">
        <f>VLOOKUP(Cpi_[[#This Row],[Attribute]],#REF!,2,FALSE)</f>
        <v>#REF!</v>
      </c>
      <c r="F588">
        <v>108.7</v>
      </c>
      <c r="G588">
        <f>(Cpi_[[#This Row],[Value]]-F587)/F587</f>
        <v>-1.0919017288444065E-2</v>
      </c>
      <c r="H588" t="e" cm="1" vm="1">
        <f t="array" aca="1" ref="H588" ca="1">VLOOKUP(Cpi_[[#This Row],[Year]:[Month]],crudeoil[],3,FALSE)</f>
        <v>#VALUE!</v>
      </c>
    </row>
    <row r="589" spans="1:8" hidden="1" x14ac:dyDescent="0.3">
      <c r="A589" t="s">
        <v>30</v>
      </c>
      <c r="B589">
        <v>2013</v>
      </c>
      <c r="C589" t="s">
        <v>41</v>
      </c>
      <c r="D589" t="s">
        <v>23</v>
      </c>
      <c r="E589" t="e">
        <f>VLOOKUP(Cpi_[[#This Row],[Attribute]],#REF!,2,FALSE)</f>
        <v>#REF!</v>
      </c>
      <c r="F589">
        <v>107.5</v>
      </c>
      <c r="G589">
        <f>(Cpi_[[#This Row],[Value]]-F588)/F588</f>
        <v>-1.1039558417663319E-2</v>
      </c>
      <c r="H589" t="e" cm="1" vm="1">
        <f t="array" aca="1" ref="H589" ca="1">VLOOKUP(Cpi_[[#This Row],[Year]:[Month]],crudeoil[],3,FALSE)</f>
        <v>#VALUE!</v>
      </c>
    </row>
    <row r="590" spans="1:8" hidden="1" x14ac:dyDescent="0.3">
      <c r="A590" t="s">
        <v>30</v>
      </c>
      <c r="B590">
        <v>2013</v>
      </c>
      <c r="C590" t="s">
        <v>41</v>
      </c>
      <c r="D590" t="s">
        <v>24</v>
      </c>
      <c r="E590" t="e">
        <f>VLOOKUP(Cpi_[[#This Row],[Attribute]],#REF!,2,FALSE)</f>
        <v>#REF!</v>
      </c>
      <c r="F590">
        <v>107.8</v>
      </c>
      <c r="G590">
        <f>(Cpi_[[#This Row],[Value]]-F589)/F589</f>
        <v>2.7906976744185782E-3</v>
      </c>
      <c r="H590" t="e" cm="1" vm="1">
        <f t="array" aca="1" ref="H590" ca="1">VLOOKUP(Cpi_[[#This Row],[Year]:[Month]],crudeoil[],3,FALSE)</f>
        <v>#VALUE!</v>
      </c>
    </row>
    <row r="591" spans="1:8" hidden="1" x14ac:dyDescent="0.3">
      <c r="A591" t="s">
        <v>30</v>
      </c>
      <c r="B591">
        <v>2013</v>
      </c>
      <c r="C591" t="s">
        <v>41</v>
      </c>
      <c r="D591" t="s">
        <v>25</v>
      </c>
      <c r="E591" t="e">
        <f>VLOOKUP(Cpi_[[#This Row],[Attribute]],#REF!,2,FALSE)</f>
        <v>#REF!</v>
      </c>
      <c r="F591">
        <v>106.8</v>
      </c>
      <c r="G591">
        <f>(Cpi_[[#This Row],[Value]]-F590)/F590</f>
        <v>-9.2764378478664197E-3</v>
      </c>
      <c r="H591" t="e" cm="1" vm="1">
        <f t="array" aca="1" ref="H591" ca="1">VLOOKUP(Cpi_[[#This Row],[Year]:[Month]],crudeoil[],3,FALSE)</f>
        <v>#VALUE!</v>
      </c>
    </row>
    <row r="592" spans="1:8" hidden="1" x14ac:dyDescent="0.3">
      <c r="A592" t="s">
        <v>30</v>
      </c>
      <c r="B592">
        <v>2013</v>
      </c>
      <c r="C592" t="s">
        <v>41</v>
      </c>
      <c r="D592" t="s">
        <v>26</v>
      </c>
      <c r="E592" t="e">
        <f>VLOOKUP(Cpi_[[#This Row],[Attribute]],#REF!,2,FALSE)</f>
        <v>#REF!</v>
      </c>
      <c r="F592">
        <v>108.7</v>
      </c>
      <c r="G592">
        <f>(Cpi_[[#This Row],[Value]]-F591)/F591</f>
        <v>1.7790262172284698E-2</v>
      </c>
      <c r="H592" t="e" cm="1" vm="1">
        <f t="array" aca="1" ref="H592" ca="1">VLOOKUP(Cpi_[[#This Row],[Year]:[Month]],crudeoil[],3,FALSE)</f>
        <v>#VALUE!</v>
      </c>
    </row>
    <row r="593" spans="1:8" hidden="1" x14ac:dyDescent="0.3">
      <c r="A593" t="s">
        <v>30</v>
      </c>
      <c r="B593">
        <v>2013</v>
      </c>
      <c r="C593" t="s">
        <v>41</v>
      </c>
      <c r="D593" t="s">
        <v>27</v>
      </c>
      <c r="E593" t="e">
        <f>VLOOKUP(Cpi_[[#This Row],[Attribute]],#REF!,2,FALSE)</f>
        <v>#REF!</v>
      </c>
      <c r="F593">
        <v>105</v>
      </c>
      <c r="G593">
        <f>(Cpi_[[#This Row],[Value]]-F592)/F592</f>
        <v>-3.4038638454461846E-2</v>
      </c>
      <c r="H593" t="e" cm="1" vm="1">
        <f t="array" aca="1" ref="H593" ca="1">VLOOKUP(Cpi_[[#This Row],[Year]:[Month]],crudeoil[],3,FALSE)</f>
        <v>#VALUE!</v>
      </c>
    </row>
    <row r="594" spans="1:8" hidden="1" x14ac:dyDescent="0.3">
      <c r="A594" t="s">
        <v>30</v>
      </c>
      <c r="B594">
        <v>2013</v>
      </c>
      <c r="C594" t="s">
        <v>41</v>
      </c>
      <c r="D594" t="s">
        <v>28</v>
      </c>
      <c r="E594" t="e">
        <f>VLOOKUP(Cpi_[[#This Row],[Attribute]],#REF!,2,FALSE)</f>
        <v>#REF!</v>
      </c>
      <c r="F594">
        <v>107.5</v>
      </c>
      <c r="G594">
        <f>(Cpi_[[#This Row],[Value]]-F593)/F593</f>
        <v>2.3809523809523808E-2</v>
      </c>
      <c r="H594" t="e" cm="1" vm="1">
        <f t="array" aca="1" ref="H594" ca="1">VLOOKUP(Cpi_[[#This Row],[Year]:[Month]],crudeoil[],3,FALSE)</f>
        <v>#VALUE!</v>
      </c>
    </row>
    <row r="595" spans="1:8" hidden="1" x14ac:dyDescent="0.3">
      <c r="A595" t="s">
        <v>30</v>
      </c>
      <c r="B595">
        <v>2013</v>
      </c>
      <c r="C595" t="s">
        <v>41</v>
      </c>
      <c r="D595" t="s">
        <v>29</v>
      </c>
      <c r="E595" t="e" cm="1">
        <f t="array" aca="1" ref="E595" ca="1">VLGeneral indexGeneral indexKUP(Cpi_[[#This Row],[Attribute]],#REF!,2,FALSE)</f>
        <v>#NAME?</v>
      </c>
      <c r="F595">
        <v>112.1</v>
      </c>
      <c r="G595">
        <f>(Cpi_[[#This Row],[Value]]-F594)/F594</f>
        <v>4.2790697674418551E-2</v>
      </c>
      <c r="H595" t="e" cm="1" vm="1">
        <f t="array" aca="1" ref="H595" ca="1">VLOOKUP(Cpi_[[#This Row],[Year]:[Month]],crudeoil[],3,FALSE)</f>
        <v>#VALUE!</v>
      </c>
    </row>
    <row r="596" spans="1:8" hidden="1" x14ac:dyDescent="0.3">
      <c r="A596" t="s">
        <v>33</v>
      </c>
      <c r="B596">
        <v>2013</v>
      </c>
      <c r="C596" t="s">
        <v>41</v>
      </c>
      <c r="D596" t="s">
        <v>3</v>
      </c>
      <c r="E596" t="e">
        <f>VLOOKUP(Cpi_[[#This Row],[Attribute]],#REF!,2,FALSE)</f>
        <v>#REF!</v>
      </c>
      <c r="F596">
        <v>118.3</v>
      </c>
      <c r="G596">
        <f>(Cpi_[[#This Row],[Value]]-F595)/F595</f>
        <v>5.5307760927743116E-2</v>
      </c>
      <c r="H596" t="e" cm="1" vm="1">
        <f t="array" aca="1" ref="H596" ca="1">VLOOKUP(Cpi_[[#This Row],[Year]:[Month]],crudeoil[],3,FALSE)</f>
        <v>#VALUE!</v>
      </c>
    </row>
    <row r="597" spans="1:8" hidden="1" x14ac:dyDescent="0.3">
      <c r="A597" t="s">
        <v>33</v>
      </c>
      <c r="B597">
        <v>2013</v>
      </c>
      <c r="C597" t="s">
        <v>41</v>
      </c>
      <c r="D597" t="s">
        <v>4</v>
      </c>
      <c r="E597" t="e">
        <f>VLOOKUP(Cpi_[[#This Row],[Attribute]],#REF!,2,FALSE)</f>
        <v>#REF!</v>
      </c>
      <c r="F597">
        <v>120.4</v>
      </c>
      <c r="G597">
        <f>(Cpi_[[#This Row],[Value]]-F596)/F596</f>
        <v>1.7751479289940902E-2</v>
      </c>
      <c r="H597" t="e" cm="1" vm="1">
        <f t="array" aca="1" ref="H597" ca="1">VLOOKUP(Cpi_[[#This Row],[Year]:[Month]],crudeoil[],3,FALSE)</f>
        <v>#VALUE!</v>
      </c>
    </row>
    <row r="598" spans="1:8" hidden="1" x14ac:dyDescent="0.3">
      <c r="A598" t="s">
        <v>33</v>
      </c>
      <c r="B598">
        <v>2013</v>
      </c>
      <c r="C598" t="s">
        <v>41</v>
      </c>
      <c r="D598" t="s">
        <v>5</v>
      </c>
      <c r="E598" t="e">
        <f>VLOOKUP(Cpi_[[#This Row],[Attribute]],#REF!,2,FALSE)</f>
        <v>#REF!</v>
      </c>
      <c r="F598">
        <v>112.7</v>
      </c>
      <c r="G598">
        <f>(Cpi_[[#This Row],[Value]]-F597)/F597</f>
        <v>-6.395348837209304E-2</v>
      </c>
      <c r="H598" t="e" cm="1" vm="1">
        <f t="array" aca="1" ref="H598" ca="1">VLOOKUP(Cpi_[[#This Row],[Year]:[Month]],crudeoil[],3,FALSE)</f>
        <v>#VALUE!</v>
      </c>
    </row>
    <row r="599" spans="1:8" hidden="1" x14ac:dyDescent="0.3">
      <c r="A599" t="s">
        <v>33</v>
      </c>
      <c r="B599">
        <v>2013</v>
      </c>
      <c r="C599" t="s">
        <v>41</v>
      </c>
      <c r="D599" t="s">
        <v>6</v>
      </c>
      <c r="E599" t="e">
        <f>VLOOKUP(Cpi_[[#This Row],[Attribute]],#REF!,2,FALSE)</f>
        <v>#REF!</v>
      </c>
      <c r="F599">
        <v>108.9</v>
      </c>
      <c r="G599">
        <f>(Cpi_[[#This Row],[Value]]-F598)/F598</f>
        <v>-3.3717834960070962E-2</v>
      </c>
      <c r="H599" t="e" cm="1" vm="1">
        <f t="array" aca="1" ref="H599" ca="1">VLOOKUP(Cpi_[[#This Row],[Year]:[Month]],crudeoil[],3,FALSE)</f>
        <v>#VALUE!</v>
      </c>
    </row>
    <row r="600" spans="1:8" hidden="1" x14ac:dyDescent="0.3">
      <c r="A600" t="s">
        <v>33</v>
      </c>
      <c r="B600">
        <v>2013</v>
      </c>
      <c r="C600" t="s">
        <v>41</v>
      </c>
      <c r="D600" t="s">
        <v>7</v>
      </c>
      <c r="E600" t="e">
        <f>VLOOKUP(Cpi_[[#This Row],[Attribute]],#REF!,2,FALSE)</f>
        <v>#REF!</v>
      </c>
      <c r="F600">
        <v>101.1</v>
      </c>
      <c r="G600">
        <f>(Cpi_[[#This Row],[Value]]-F599)/F599</f>
        <v>-7.1625344352617179E-2</v>
      </c>
      <c r="H600" t="e" cm="1" vm="1">
        <f t="array" aca="1" ref="H600" ca="1">VLOOKUP(Cpi_[[#This Row],[Year]:[Month]],crudeoil[],3,FALSE)</f>
        <v>#VALUE!</v>
      </c>
    </row>
    <row r="601" spans="1:8" hidden="1" x14ac:dyDescent="0.3">
      <c r="A601" t="s">
        <v>33</v>
      </c>
      <c r="B601">
        <v>2013</v>
      </c>
      <c r="C601" t="s">
        <v>41</v>
      </c>
      <c r="D601" t="s">
        <v>8</v>
      </c>
      <c r="E601" t="e">
        <f>VLOOKUP(Cpi_[[#This Row],[Attribute]],#REF!,2,FALSE)</f>
        <v>#REF!</v>
      </c>
      <c r="F601">
        <v>108.7</v>
      </c>
      <c r="G601">
        <f>(Cpi_[[#This Row],[Value]]-F600)/F600</f>
        <v>7.5173095944609386E-2</v>
      </c>
      <c r="H601" t="e" cm="1" vm="1">
        <f t="array" aca="1" ref="H601" ca="1">VLOOKUP(Cpi_[[#This Row],[Year]:[Month]],crudeoil[],3,FALSE)</f>
        <v>#VALUE!</v>
      </c>
    </row>
    <row r="602" spans="1:8" hidden="1" x14ac:dyDescent="0.3">
      <c r="A602" t="s">
        <v>33</v>
      </c>
      <c r="B602">
        <v>2013</v>
      </c>
      <c r="C602" t="s">
        <v>41</v>
      </c>
      <c r="D602" t="s">
        <v>9</v>
      </c>
      <c r="E602" t="e">
        <f>VLOOKUP(Cpi_[[#This Row],[Attribute]],#REF!,2,FALSE)</f>
        <v>#REF!</v>
      </c>
      <c r="F602">
        <v>177</v>
      </c>
      <c r="G602">
        <f>(Cpi_[[#This Row],[Value]]-F601)/F601</f>
        <v>0.62833486660533577</v>
      </c>
      <c r="H602" t="e" cm="1" vm="1">
        <f t="array" aca="1" ref="H602" ca="1">VLOOKUP(Cpi_[[#This Row],[Year]:[Month]],crudeoil[],3,FALSE)</f>
        <v>#VALUE!</v>
      </c>
    </row>
    <row r="603" spans="1:8" hidden="1" x14ac:dyDescent="0.3">
      <c r="A603" t="s">
        <v>33</v>
      </c>
      <c r="B603">
        <v>2013</v>
      </c>
      <c r="C603" t="s">
        <v>41</v>
      </c>
      <c r="D603" t="s">
        <v>10</v>
      </c>
      <c r="E603" t="e">
        <f>VLOOKUP(Cpi_[[#This Row],[Attribute]],#REF!,2,FALSE)</f>
        <v>#REF!</v>
      </c>
      <c r="F603">
        <v>104.7</v>
      </c>
      <c r="G603">
        <f>(Cpi_[[#This Row],[Value]]-F602)/F602</f>
        <v>-0.40847457627118644</v>
      </c>
      <c r="H603" t="e" cm="1" vm="1">
        <f t="array" aca="1" ref="H603" ca="1">VLOOKUP(Cpi_[[#This Row],[Year]:[Month]],crudeoil[],3,FALSE)</f>
        <v>#VALUE!</v>
      </c>
    </row>
    <row r="604" spans="1:8" hidden="1" x14ac:dyDescent="0.3">
      <c r="A604" t="s">
        <v>33</v>
      </c>
      <c r="B604">
        <v>2013</v>
      </c>
      <c r="C604" t="s">
        <v>41</v>
      </c>
      <c r="D604" t="s">
        <v>11</v>
      </c>
      <c r="E604" t="e">
        <f>VLOOKUP(Cpi_[[#This Row],[Attribute]],#REF!,2,FALSE)</f>
        <v>#REF!</v>
      </c>
      <c r="F604">
        <v>101</v>
      </c>
      <c r="G604">
        <f>(Cpi_[[#This Row],[Value]]-F603)/F603</f>
        <v>-3.533906399235915E-2</v>
      </c>
      <c r="H604" t="e" cm="1" vm="1">
        <f t="array" aca="1" ref="H604" ca="1">VLOOKUP(Cpi_[[#This Row],[Year]:[Month]],crudeoil[],3,FALSE)</f>
        <v>#VALUE!</v>
      </c>
    </row>
    <row r="605" spans="1:8" hidden="1" x14ac:dyDescent="0.3">
      <c r="A605" t="s">
        <v>33</v>
      </c>
      <c r="B605">
        <v>2013</v>
      </c>
      <c r="C605" t="s">
        <v>41</v>
      </c>
      <c r="D605" t="s">
        <v>12</v>
      </c>
      <c r="E605" t="e">
        <f>VLOOKUP(Cpi_[[#This Row],[Attribute]],#REF!,2,FALSE)</f>
        <v>#REF!</v>
      </c>
      <c r="F605">
        <v>108.5</v>
      </c>
      <c r="G605">
        <f>(Cpi_[[#This Row],[Value]]-F604)/F604</f>
        <v>7.4257425742574254E-2</v>
      </c>
      <c r="H605" t="e" cm="1" vm="1">
        <f t="array" aca="1" ref="H605" ca="1">VLOOKUP(Cpi_[[#This Row],[Year]:[Month]],crudeoil[],3,FALSE)</f>
        <v>#VALUE!</v>
      </c>
    </row>
    <row r="606" spans="1:8" hidden="1" x14ac:dyDescent="0.3">
      <c r="A606" t="s">
        <v>33</v>
      </c>
      <c r="B606">
        <v>2013</v>
      </c>
      <c r="C606" t="s">
        <v>41</v>
      </c>
      <c r="D606" t="s">
        <v>13</v>
      </c>
      <c r="E606" t="e">
        <f>VLOOKUP(Cpi_[[#This Row],[Attribute]],#REF!,2,FALSE)</f>
        <v>#REF!</v>
      </c>
      <c r="F606">
        <v>110.9</v>
      </c>
      <c r="G606">
        <f>(Cpi_[[#This Row],[Value]]-F605)/F605</f>
        <v>2.2119815668202817E-2</v>
      </c>
      <c r="H606" t="e" cm="1" vm="1">
        <f t="array" aca="1" ref="H606" ca="1">VLOOKUP(Cpi_[[#This Row],[Year]:[Month]],crudeoil[],3,FALSE)</f>
        <v>#VALUE!</v>
      </c>
    </row>
    <row r="607" spans="1:8" hidden="1" x14ac:dyDescent="0.3">
      <c r="A607" t="s">
        <v>33</v>
      </c>
      <c r="B607">
        <v>2013</v>
      </c>
      <c r="C607" t="s">
        <v>41</v>
      </c>
      <c r="D607" t="s">
        <v>14</v>
      </c>
      <c r="E607" t="e">
        <f>VLOOKUP(Cpi_[[#This Row],[Attribute]],#REF!,2,FALSE)</f>
        <v>#REF!</v>
      </c>
      <c r="F607">
        <v>114.3</v>
      </c>
      <c r="G607">
        <f>(Cpi_[[#This Row],[Value]]-F606)/F606</f>
        <v>3.0658250676284863E-2</v>
      </c>
      <c r="H607" t="e" cm="1" vm="1">
        <f t="array" aca="1" ref="H607" ca="1">VLOOKUP(Cpi_[[#This Row],[Year]:[Month]],crudeoil[],3,FALSE)</f>
        <v>#VALUE!</v>
      </c>
    </row>
    <row r="608" spans="1:8" hidden="1" x14ac:dyDescent="0.3">
      <c r="A608" t="s">
        <v>33</v>
      </c>
      <c r="B608">
        <v>2013</v>
      </c>
      <c r="C608" t="s">
        <v>41</v>
      </c>
      <c r="D608" t="s">
        <v>15</v>
      </c>
      <c r="E608" t="e">
        <f>VLOOKUP(Cpi_[[#This Row],[Attribute]],#REF!,2,FALSE)</f>
        <v>#REF!</v>
      </c>
      <c r="F608">
        <v>119.6</v>
      </c>
      <c r="G608">
        <f>(Cpi_[[#This Row],[Value]]-F607)/F607</f>
        <v>4.6369203849518786E-2</v>
      </c>
      <c r="H608" t="e" cm="1" vm="1">
        <f t="array" aca="1" ref="H608" ca="1">VLOOKUP(Cpi_[[#This Row],[Year]:[Month]],crudeoil[],3,FALSE)</f>
        <v>#VALUE!</v>
      </c>
    </row>
    <row r="609" spans="1:8" hidden="1" x14ac:dyDescent="0.3">
      <c r="A609" t="s">
        <v>33</v>
      </c>
      <c r="B609">
        <v>2013</v>
      </c>
      <c r="C609" t="s">
        <v>41</v>
      </c>
      <c r="D609" t="s">
        <v>16</v>
      </c>
      <c r="E609" t="e">
        <f>VLOOKUP(Cpi_[[#This Row],[Attribute]],#REF!,2,FALSE)</f>
        <v>#REF!</v>
      </c>
      <c r="F609">
        <v>112.4</v>
      </c>
      <c r="G609">
        <f>(Cpi_[[#This Row],[Value]]-F608)/F608</f>
        <v>-6.0200668896320975E-2</v>
      </c>
      <c r="H609" t="e" cm="1" vm="1">
        <f t="array" aca="1" ref="H609" ca="1">VLOOKUP(Cpi_[[#This Row],[Year]:[Month]],crudeoil[],3,FALSE)</f>
        <v>#VALUE!</v>
      </c>
    </row>
    <row r="610" spans="1:8" hidden="1" x14ac:dyDescent="0.3">
      <c r="A610" t="s">
        <v>33</v>
      </c>
      <c r="B610">
        <v>2013</v>
      </c>
      <c r="C610" t="s">
        <v>41</v>
      </c>
      <c r="D610" t="s">
        <v>17</v>
      </c>
      <c r="E610" t="e">
        <f>VLOOKUP(Cpi_[[#This Row],[Attribute]],#REF!,2,FALSE)</f>
        <v>#REF!</v>
      </c>
      <c r="F610">
        <v>110.6</v>
      </c>
      <c r="G610">
        <f>(Cpi_[[#This Row],[Value]]-F609)/F609</f>
        <v>-1.6014234875444941E-2</v>
      </c>
      <c r="H610" t="e" cm="1" vm="1">
        <f t="array" aca="1" ref="H610" ca="1">VLOOKUP(Cpi_[[#This Row],[Year]:[Month]],crudeoil[],3,FALSE)</f>
        <v>#VALUE!</v>
      </c>
    </row>
    <row r="611" spans="1:8" hidden="1" x14ac:dyDescent="0.3">
      <c r="A611" t="s">
        <v>33</v>
      </c>
      <c r="B611">
        <v>2013</v>
      </c>
      <c r="C611" t="s">
        <v>41</v>
      </c>
      <c r="D611" t="s">
        <v>18</v>
      </c>
      <c r="E611" t="e">
        <f>VLOOKUP(Cpi_[[#This Row],[Attribute]],#REF!,2,FALSE)</f>
        <v>#REF!</v>
      </c>
      <c r="F611">
        <v>108.3</v>
      </c>
      <c r="G611">
        <f>(Cpi_[[#This Row],[Value]]-F610)/F610</f>
        <v>-2.0795660036166341E-2</v>
      </c>
      <c r="H611" t="e" cm="1" vm="1">
        <f t="array" aca="1" ref="H611" ca="1">VLOOKUP(Cpi_[[#This Row],[Year]:[Month]],crudeoil[],3,FALSE)</f>
        <v>#VALUE!</v>
      </c>
    </row>
    <row r="612" spans="1:8" hidden="1" x14ac:dyDescent="0.3">
      <c r="A612" t="s">
        <v>33</v>
      </c>
      <c r="B612">
        <v>2013</v>
      </c>
      <c r="C612" t="s">
        <v>41</v>
      </c>
      <c r="D612" t="s">
        <v>19</v>
      </c>
      <c r="E612" t="e">
        <f>VLOOKUP(Cpi_[[#This Row],[Attribute]],#REF!,2,FALSE)</f>
        <v>#REF!</v>
      </c>
      <c r="F612">
        <v>110.2</v>
      </c>
      <c r="G612">
        <f>(Cpi_[[#This Row],[Value]]-F611)/F611</f>
        <v>1.7543859649122862E-2</v>
      </c>
      <c r="H612" t="e" cm="1" vm="1">
        <f t="array" aca="1" ref="H612" ca="1">VLOOKUP(Cpi_[[#This Row],[Year]:[Month]],crudeoil[],3,FALSE)</f>
        <v>#VALUE!</v>
      </c>
    </row>
    <row r="613" spans="1:8" hidden="1" x14ac:dyDescent="0.3">
      <c r="A613" t="s">
        <v>33</v>
      </c>
      <c r="B613">
        <v>2013</v>
      </c>
      <c r="C613" t="s">
        <v>41</v>
      </c>
      <c r="D613" t="s">
        <v>20</v>
      </c>
      <c r="E613" t="e">
        <f>VLOOKUP(Cpi_[[#This Row],[Attribute]],#REF!,2,FALSE)</f>
        <v>#REF!</v>
      </c>
      <c r="F613">
        <v>108.9</v>
      </c>
      <c r="G613">
        <f>(Cpi_[[#This Row],[Value]]-F612)/F612</f>
        <v>-1.1796733212341171E-2</v>
      </c>
      <c r="H613" t="e" cm="1" vm="1">
        <f t="array" aca="1" ref="H613" ca="1">VLOOKUP(Cpi_[[#This Row],[Year]:[Month]],crudeoil[],3,FALSE)</f>
        <v>#VALUE!</v>
      </c>
    </row>
    <row r="614" spans="1:8" hidden="1" x14ac:dyDescent="0.3">
      <c r="A614" t="s">
        <v>33</v>
      </c>
      <c r="B614">
        <v>2013</v>
      </c>
      <c r="C614" t="s">
        <v>41</v>
      </c>
      <c r="D614" t="s">
        <v>21</v>
      </c>
      <c r="E614" t="e">
        <f>VLOOKUP(Cpi_[[#This Row],[Attribute]],#REF!,2,FALSE)</f>
        <v>#REF!</v>
      </c>
      <c r="F614">
        <v>109.3</v>
      </c>
      <c r="G614">
        <f>(Cpi_[[#This Row],[Value]]-F613)/F613</f>
        <v>3.6730945821854127E-3</v>
      </c>
      <c r="H614" t="e" cm="1" vm="1">
        <f t="array" aca="1" ref="H614" ca="1">VLOOKUP(Cpi_[[#This Row],[Year]:[Month]],crudeoil[],3,FALSE)</f>
        <v>#VALUE!</v>
      </c>
    </row>
    <row r="615" spans="1:8" hidden="1" x14ac:dyDescent="0.3">
      <c r="A615" t="s">
        <v>33</v>
      </c>
      <c r="B615">
        <v>2013</v>
      </c>
      <c r="C615" t="s">
        <v>41</v>
      </c>
      <c r="D615" t="s">
        <v>22</v>
      </c>
      <c r="E615" t="e">
        <f>VLOOKUP(Cpi_[[#This Row],[Attribute]],#REF!,2,FALSE)</f>
        <v>#REF!</v>
      </c>
      <c r="F615">
        <v>108.7</v>
      </c>
      <c r="G615">
        <f>(Cpi_[[#This Row],[Value]]-F614)/F614</f>
        <v>-5.4894784995424915E-3</v>
      </c>
      <c r="H615" t="e" cm="1" vm="1">
        <f t="array" aca="1" ref="H615" ca="1">VLOOKUP(Cpi_[[#This Row],[Year]:[Month]],crudeoil[],3,FALSE)</f>
        <v>#VALUE!</v>
      </c>
    </row>
    <row r="616" spans="1:8" hidden="1" x14ac:dyDescent="0.3">
      <c r="A616" t="s">
        <v>33</v>
      </c>
      <c r="B616">
        <v>2013</v>
      </c>
      <c r="C616" t="s">
        <v>41</v>
      </c>
      <c r="D616" t="s">
        <v>23</v>
      </c>
      <c r="E616" t="e">
        <f>VLOOKUP(Cpi_[[#This Row],[Attribute]],#REF!,2,FALSE)</f>
        <v>#REF!</v>
      </c>
      <c r="F616">
        <v>107.6</v>
      </c>
      <c r="G616">
        <f>(Cpi_[[#This Row],[Value]]-F615)/F615</f>
        <v>-1.011959521619143E-2</v>
      </c>
      <c r="H616" t="e" cm="1" vm="1">
        <f t="array" aca="1" ref="H616" ca="1">VLOOKUP(Cpi_[[#This Row],[Year]:[Month]],crudeoil[],3,FALSE)</f>
        <v>#VALUE!</v>
      </c>
    </row>
    <row r="617" spans="1:8" hidden="1" x14ac:dyDescent="0.3">
      <c r="A617" t="s">
        <v>33</v>
      </c>
      <c r="B617">
        <v>2013</v>
      </c>
      <c r="C617" t="s">
        <v>41</v>
      </c>
      <c r="D617" t="s">
        <v>24</v>
      </c>
      <c r="E617" t="e">
        <f>VLOOKUP(Cpi_[[#This Row],[Attribute]],#REF!,2,FALSE)</f>
        <v>#REF!</v>
      </c>
      <c r="F617">
        <v>108.1</v>
      </c>
      <c r="G617">
        <f>(Cpi_[[#This Row],[Value]]-F616)/F616</f>
        <v>4.646840148698885E-3</v>
      </c>
      <c r="H617" t="e" cm="1" vm="1">
        <f t="array" aca="1" ref="H617" ca="1">VLOOKUP(Cpi_[[#This Row],[Year]:[Month]],crudeoil[],3,FALSE)</f>
        <v>#VALUE!</v>
      </c>
    </row>
    <row r="618" spans="1:8" hidden="1" x14ac:dyDescent="0.3">
      <c r="A618" t="s">
        <v>33</v>
      </c>
      <c r="B618">
        <v>2013</v>
      </c>
      <c r="C618" t="s">
        <v>41</v>
      </c>
      <c r="D618" t="s">
        <v>25</v>
      </c>
      <c r="E618" t="e">
        <f>VLOOKUP(Cpi_[[#This Row],[Attribute]],#REF!,2,FALSE)</f>
        <v>#REF!</v>
      </c>
      <c r="F618">
        <v>106.5</v>
      </c>
      <c r="G618">
        <f>(Cpi_[[#This Row],[Value]]-F617)/F617</f>
        <v>-1.4801110083256193E-2</v>
      </c>
      <c r="H618" t="e" cm="1" vm="1">
        <f t="array" aca="1" ref="H618" ca="1">VLOOKUP(Cpi_[[#This Row],[Year]:[Month]],crudeoil[],3,FALSE)</f>
        <v>#VALUE!</v>
      </c>
    </row>
    <row r="619" spans="1:8" hidden="1" x14ac:dyDescent="0.3">
      <c r="A619" t="s">
        <v>33</v>
      </c>
      <c r="B619">
        <v>2013</v>
      </c>
      <c r="C619" t="s">
        <v>41</v>
      </c>
      <c r="D619" t="s">
        <v>26</v>
      </c>
      <c r="E619" t="e">
        <f>VLOOKUP(Cpi_[[#This Row],[Attribute]],#REF!,2,FALSE)</f>
        <v>#REF!</v>
      </c>
      <c r="F619">
        <v>110.8</v>
      </c>
      <c r="G619">
        <f>(Cpi_[[#This Row],[Value]]-F618)/F618</f>
        <v>4.037558685446007E-2</v>
      </c>
      <c r="H619" t="e" cm="1" vm="1">
        <f t="array" aca="1" ref="H619" ca="1">VLOOKUP(Cpi_[[#This Row],[Year]:[Month]],crudeoil[],3,FALSE)</f>
        <v>#VALUE!</v>
      </c>
    </row>
    <row r="620" spans="1:8" hidden="1" x14ac:dyDescent="0.3">
      <c r="A620" t="s">
        <v>33</v>
      </c>
      <c r="B620">
        <v>2013</v>
      </c>
      <c r="C620" t="s">
        <v>41</v>
      </c>
      <c r="D620" t="s">
        <v>27</v>
      </c>
      <c r="E620" t="e">
        <f>VLOOKUP(Cpi_[[#This Row],[Attribute]],#REF!,2,FALSE)</f>
        <v>#REF!</v>
      </c>
      <c r="F620">
        <v>106</v>
      </c>
      <c r="G620">
        <f>(Cpi_[[#This Row],[Value]]-F619)/F619</f>
        <v>-4.3321299638989147E-2</v>
      </c>
      <c r="H620" t="e" cm="1" vm="1">
        <f t="array" aca="1" ref="H620" ca="1">VLOOKUP(Cpi_[[#This Row],[Year]:[Month]],crudeoil[],3,FALSE)</f>
        <v>#VALUE!</v>
      </c>
    </row>
    <row r="621" spans="1:8" hidden="1" x14ac:dyDescent="0.3">
      <c r="A621" t="s">
        <v>33</v>
      </c>
      <c r="B621">
        <v>2013</v>
      </c>
      <c r="C621" t="s">
        <v>41</v>
      </c>
      <c r="D621" t="s">
        <v>28</v>
      </c>
      <c r="E621" t="e">
        <f>VLOOKUP(Cpi_[[#This Row],[Attribute]],#REF!,2,FALSE)</f>
        <v>#REF!</v>
      </c>
      <c r="F621">
        <v>108.3</v>
      </c>
      <c r="G621">
        <f>(Cpi_[[#This Row],[Value]]-F620)/F620</f>
        <v>2.1698113207547144E-2</v>
      </c>
      <c r="H621" t="e" cm="1" vm="1">
        <f t="array" aca="1" ref="H621" ca="1">VLOOKUP(Cpi_[[#This Row],[Year]:[Month]],crudeoil[],3,FALSE)</f>
        <v>#VALUE!</v>
      </c>
    </row>
    <row r="622" spans="1:8" hidden="1" x14ac:dyDescent="0.3">
      <c r="A622" t="s">
        <v>33</v>
      </c>
      <c r="B622">
        <v>2013</v>
      </c>
      <c r="C622" t="s">
        <v>41</v>
      </c>
      <c r="D622" t="s">
        <v>29</v>
      </c>
      <c r="E622" t="e" cm="1">
        <f t="array" aca="1" ref="E622" ca="1">VLGeneral indexGeneral indexKUP(Cpi_[[#This Row],[Attribute]],#REF!,2,FALSE)</f>
        <v>#NAME?</v>
      </c>
      <c r="F622">
        <v>112.7</v>
      </c>
      <c r="G622">
        <f>(Cpi_[[#This Row],[Value]]-F621)/F621</f>
        <v>4.062788550323182E-2</v>
      </c>
      <c r="H622" t="e" cm="1" vm="1">
        <f t="array" aca="1" ref="H622" ca="1">VLOOKUP(Cpi_[[#This Row],[Year]:[Month]],crudeoil[],3,FALSE)</f>
        <v>#VALUE!</v>
      </c>
    </row>
    <row r="623" spans="1:8" hidden="1" x14ac:dyDescent="0.3">
      <c r="A623" t="s">
        <v>34</v>
      </c>
      <c r="B623">
        <v>2013</v>
      </c>
      <c r="C623" t="s">
        <v>41</v>
      </c>
      <c r="D623" t="s">
        <v>3</v>
      </c>
      <c r="E623" t="e">
        <f>VLOOKUP(Cpi_[[#This Row],[Attribute]],#REF!,2,FALSE)</f>
        <v>#REF!</v>
      </c>
      <c r="F623">
        <v>115.6</v>
      </c>
      <c r="G623">
        <f>(Cpi_[[#This Row],[Value]]-F622)/F622</f>
        <v>2.573203194321199E-2</v>
      </c>
      <c r="H623" t="e" cm="1" vm="1">
        <f t="array" aca="1" ref="H623" ca="1">VLOOKUP(Cpi_[[#This Row],[Year]:[Month]],crudeoil[],3,FALSE)</f>
        <v>#VALUE!</v>
      </c>
    </row>
    <row r="624" spans="1:8" hidden="1" x14ac:dyDescent="0.3">
      <c r="A624" t="s">
        <v>34</v>
      </c>
      <c r="B624">
        <v>2013</v>
      </c>
      <c r="C624" t="s">
        <v>41</v>
      </c>
      <c r="D624" t="s">
        <v>4</v>
      </c>
      <c r="E624" t="e">
        <f>VLOOKUP(Cpi_[[#This Row],[Attribute]],#REF!,2,FALSE)</f>
        <v>#REF!</v>
      </c>
      <c r="F624">
        <v>117.2</v>
      </c>
      <c r="G624">
        <f>(Cpi_[[#This Row],[Value]]-F623)/F623</f>
        <v>1.3840830449827065E-2</v>
      </c>
      <c r="H624" t="e" cm="1" vm="1">
        <f t="array" aca="1" ref="H624" ca="1">VLOOKUP(Cpi_[[#This Row],[Year]:[Month]],crudeoil[],3,FALSE)</f>
        <v>#VALUE!</v>
      </c>
    </row>
    <row r="625" spans="1:8" hidden="1" x14ac:dyDescent="0.3">
      <c r="A625" t="s">
        <v>34</v>
      </c>
      <c r="B625">
        <v>2013</v>
      </c>
      <c r="C625" t="s">
        <v>41</v>
      </c>
      <c r="D625" t="s">
        <v>5</v>
      </c>
      <c r="E625" t="e">
        <f>VLOOKUP(Cpi_[[#This Row],[Attribute]],#REF!,2,FALSE)</f>
        <v>#REF!</v>
      </c>
      <c r="F625">
        <v>111.7</v>
      </c>
      <c r="G625">
        <f>(Cpi_[[#This Row],[Value]]-F624)/F624</f>
        <v>-4.6928327645051192E-2</v>
      </c>
      <c r="H625" t="e" cm="1" vm="1">
        <f t="array" aca="1" ref="H625" ca="1">VLOOKUP(Cpi_[[#This Row],[Year]:[Month]],crudeoil[],3,FALSE)</f>
        <v>#VALUE!</v>
      </c>
    </row>
    <row r="626" spans="1:8" hidden="1" x14ac:dyDescent="0.3">
      <c r="A626" t="s">
        <v>34</v>
      </c>
      <c r="B626">
        <v>2013</v>
      </c>
      <c r="C626" t="s">
        <v>41</v>
      </c>
      <c r="D626" t="s">
        <v>6</v>
      </c>
      <c r="E626" t="e">
        <f>VLOOKUP(Cpi_[[#This Row],[Attribute]],#REF!,2,FALSE)</f>
        <v>#REF!</v>
      </c>
      <c r="F626">
        <v>109.6</v>
      </c>
      <c r="G626">
        <f>(Cpi_[[#This Row],[Value]]-F625)/F625</f>
        <v>-1.8800358102059163E-2</v>
      </c>
      <c r="H626" t="e" cm="1" vm="1">
        <f t="array" aca="1" ref="H626" ca="1">VLOOKUP(Cpi_[[#This Row],[Year]:[Month]],crudeoil[],3,FALSE)</f>
        <v>#VALUE!</v>
      </c>
    </row>
    <row r="627" spans="1:8" hidden="1" x14ac:dyDescent="0.3">
      <c r="A627" t="s">
        <v>34</v>
      </c>
      <c r="B627">
        <v>2013</v>
      </c>
      <c r="C627" t="s">
        <v>41</v>
      </c>
      <c r="D627" t="s">
        <v>7</v>
      </c>
      <c r="E627" t="e">
        <f>VLOOKUP(Cpi_[[#This Row],[Attribute]],#REF!,2,FALSE)</f>
        <v>#REF!</v>
      </c>
      <c r="F627">
        <v>104.5</v>
      </c>
      <c r="G627">
        <f>(Cpi_[[#This Row],[Value]]-F626)/F626</f>
        <v>-4.6532846715328417E-2</v>
      </c>
      <c r="H627" t="e" cm="1" vm="1">
        <f t="array" aca="1" ref="H627" ca="1">VLOOKUP(Cpi_[[#This Row],[Year]:[Month]],crudeoil[],3,FALSE)</f>
        <v>#VALUE!</v>
      </c>
    </row>
    <row r="628" spans="1:8" hidden="1" x14ac:dyDescent="0.3">
      <c r="A628" t="s">
        <v>34</v>
      </c>
      <c r="B628">
        <v>2013</v>
      </c>
      <c r="C628" t="s">
        <v>41</v>
      </c>
      <c r="D628" t="s">
        <v>8</v>
      </c>
      <c r="E628" t="e">
        <f>VLOOKUP(Cpi_[[#This Row],[Attribute]],#REF!,2,FALSE)</f>
        <v>#REF!</v>
      </c>
      <c r="F628">
        <v>109.8</v>
      </c>
      <c r="G628">
        <f>(Cpi_[[#This Row],[Value]]-F627)/F627</f>
        <v>5.0717703349282273E-2</v>
      </c>
      <c r="H628" t="e" cm="1" vm="1">
        <f t="array" aca="1" ref="H628" ca="1">VLOOKUP(Cpi_[[#This Row],[Year]:[Month]],crudeoil[],3,FALSE)</f>
        <v>#VALUE!</v>
      </c>
    </row>
    <row r="629" spans="1:8" hidden="1" x14ac:dyDescent="0.3">
      <c r="A629" t="s">
        <v>34</v>
      </c>
      <c r="B629">
        <v>2013</v>
      </c>
      <c r="C629" t="s">
        <v>41</v>
      </c>
      <c r="D629" t="s">
        <v>9</v>
      </c>
      <c r="E629" t="e">
        <f>VLOOKUP(Cpi_[[#This Row],[Attribute]],#REF!,2,FALSE)</f>
        <v>#REF!</v>
      </c>
      <c r="F629">
        <v>151.80000000000001</v>
      </c>
      <c r="G629">
        <f>(Cpi_[[#This Row],[Value]]-F628)/F628</f>
        <v>0.38251366120218594</v>
      </c>
      <c r="H629" t="e" cm="1" vm="1">
        <f t="array" aca="1" ref="H629" ca="1">VLOOKUP(Cpi_[[#This Row],[Year]:[Month]],crudeoil[],3,FALSE)</f>
        <v>#VALUE!</v>
      </c>
    </row>
    <row r="630" spans="1:8" hidden="1" x14ac:dyDescent="0.3">
      <c r="A630" t="s">
        <v>34</v>
      </c>
      <c r="B630">
        <v>2013</v>
      </c>
      <c r="C630" t="s">
        <v>41</v>
      </c>
      <c r="D630" t="s">
        <v>10</v>
      </c>
      <c r="E630" t="e">
        <f>VLOOKUP(Cpi_[[#This Row],[Attribute]],#REF!,2,FALSE)</f>
        <v>#REF!</v>
      </c>
      <c r="F630">
        <v>106.5</v>
      </c>
      <c r="G630">
        <f>(Cpi_[[#This Row],[Value]]-F629)/F629</f>
        <v>-0.29841897233201586</v>
      </c>
      <c r="H630" t="e" cm="1" vm="1">
        <f t="array" aca="1" ref="H630" ca="1">VLOOKUP(Cpi_[[#This Row],[Year]:[Month]],crudeoil[],3,FALSE)</f>
        <v>#VALUE!</v>
      </c>
    </row>
    <row r="631" spans="1:8" hidden="1" x14ac:dyDescent="0.3">
      <c r="A631" t="s">
        <v>34</v>
      </c>
      <c r="B631">
        <v>2013</v>
      </c>
      <c r="C631" t="s">
        <v>41</v>
      </c>
      <c r="D631" t="s">
        <v>11</v>
      </c>
      <c r="E631" t="e">
        <f>VLOOKUP(Cpi_[[#This Row],[Attribute]],#REF!,2,FALSE)</f>
        <v>#REF!</v>
      </c>
      <c r="F631">
        <v>103.1</v>
      </c>
      <c r="G631">
        <f>(Cpi_[[#This Row],[Value]]-F630)/F630</f>
        <v>-3.1924882629108031E-2</v>
      </c>
      <c r="H631" t="e" cm="1" vm="1">
        <f t="array" aca="1" ref="H631" ca="1">VLOOKUP(Cpi_[[#This Row],[Year]:[Month]],crudeoil[],3,FALSE)</f>
        <v>#VALUE!</v>
      </c>
    </row>
    <row r="632" spans="1:8" hidden="1" x14ac:dyDescent="0.3">
      <c r="A632" t="s">
        <v>34</v>
      </c>
      <c r="B632">
        <v>2013</v>
      </c>
      <c r="C632" t="s">
        <v>41</v>
      </c>
      <c r="D632" t="s">
        <v>12</v>
      </c>
      <c r="E632" t="e">
        <f>VLOOKUP(Cpi_[[#This Row],[Attribute]],#REF!,2,FALSE)</f>
        <v>#REF!</v>
      </c>
      <c r="F632">
        <v>107.4</v>
      </c>
      <c r="G632">
        <f>(Cpi_[[#This Row],[Value]]-F631)/F631</f>
        <v>4.1707080504364807E-2</v>
      </c>
      <c r="H632" t="e" cm="1" vm="1">
        <f t="array" aca="1" ref="H632" ca="1">VLOOKUP(Cpi_[[#This Row],[Year]:[Month]],crudeoil[],3,FALSE)</f>
        <v>#VALUE!</v>
      </c>
    </row>
    <row r="633" spans="1:8" hidden="1" x14ac:dyDescent="0.3">
      <c r="A633" t="s">
        <v>34</v>
      </c>
      <c r="B633">
        <v>2013</v>
      </c>
      <c r="C633" t="s">
        <v>41</v>
      </c>
      <c r="D633" t="s">
        <v>13</v>
      </c>
      <c r="E633" t="e">
        <f>VLOOKUP(Cpi_[[#This Row],[Attribute]],#REF!,2,FALSE)</f>
        <v>#REF!</v>
      </c>
      <c r="F633">
        <v>110.2</v>
      </c>
      <c r="G633">
        <f>(Cpi_[[#This Row],[Value]]-F632)/F632</f>
        <v>2.6070763500931071E-2</v>
      </c>
      <c r="H633" t="e" cm="1" vm="1">
        <f t="array" aca="1" ref="H633" ca="1">VLOOKUP(Cpi_[[#This Row],[Year]:[Month]],crudeoil[],3,FALSE)</f>
        <v>#VALUE!</v>
      </c>
    </row>
    <row r="634" spans="1:8" hidden="1" x14ac:dyDescent="0.3">
      <c r="A634" t="s">
        <v>34</v>
      </c>
      <c r="B634">
        <v>2013</v>
      </c>
      <c r="C634" t="s">
        <v>41</v>
      </c>
      <c r="D634" t="s">
        <v>14</v>
      </c>
      <c r="E634" t="e">
        <f>VLOOKUP(Cpi_[[#This Row],[Attribute]],#REF!,2,FALSE)</f>
        <v>#REF!</v>
      </c>
      <c r="F634">
        <v>113.4</v>
      </c>
      <c r="G634">
        <f>(Cpi_[[#This Row],[Value]]-F633)/F633</f>
        <v>2.9038112522686052E-2</v>
      </c>
      <c r="H634" t="e" cm="1" vm="1">
        <f t="array" aca="1" ref="H634" ca="1">VLOOKUP(Cpi_[[#This Row],[Year]:[Month]],crudeoil[],3,FALSE)</f>
        <v>#VALUE!</v>
      </c>
    </row>
    <row r="635" spans="1:8" hidden="1" x14ac:dyDescent="0.3">
      <c r="A635" t="s">
        <v>34</v>
      </c>
      <c r="B635">
        <v>2013</v>
      </c>
      <c r="C635" t="s">
        <v>41</v>
      </c>
      <c r="D635" t="s">
        <v>15</v>
      </c>
      <c r="E635" t="e">
        <f>VLOOKUP(Cpi_[[#This Row],[Attribute]],#REF!,2,FALSE)</f>
        <v>#REF!</v>
      </c>
      <c r="F635">
        <v>116.6</v>
      </c>
      <c r="G635">
        <f>(Cpi_[[#This Row],[Value]]-F634)/F634</f>
        <v>2.821869488536145E-2</v>
      </c>
      <c r="H635" t="e" cm="1" vm="1">
        <f t="array" aca="1" ref="H635" ca="1">VLOOKUP(Cpi_[[#This Row],[Year]:[Month]],crudeoil[],3,FALSE)</f>
        <v>#VALUE!</v>
      </c>
    </row>
    <row r="636" spans="1:8" hidden="1" x14ac:dyDescent="0.3">
      <c r="A636" t="s">
        <v>34</v>
      </c>
      <c r="B636">
        <v>2013</v>
      </c>
      <c r="C636" t="s">
        <v>41</v>
      </c>
      <c r="D636" t="s">
        <v>16</v>
      </c>
      <c r="E636" t="e">
        <f>VLOOKUP(Cpi_[[#This Row],[Attribute]],#REF!,2,FALSE)</f>
        <v>#REF!</v>
      </c>
      <c r="F636">
        <v>111.2</v>
      </c>
      <c r="G636">
        <f>(Cpi_[[#This Row],[Value]]-F635)/F635</f>
        <v>-4.6312178387650012E-2</v>
      </c>
      <c r="H636" t="e" cm="1" vm="1">
        <f t="array" aca="1" ref="H636" ca="1">VLOOKUP(Cpi_[[#This Row],[Year]:[Month]],crudeoil[],3,FALSE)</f>
        <v>#VALUE!</v>
      </c>
    </row>
    <row r="637" spans="1:8" hidden="1" x14ac:dyDescent="0.3">
      <c r="A637" t="s">
        <v>34</v>
      </c>
      <c r="B637">
        <v>2013</v>
      </c>
      <c r="C637" t="s">
        <v>41</v>
      </c>
      <c r="D637" t="s">
        <v>17</v>
      </c>
      <c r="E637" t="e">
        <f>VLOOKUP(Cpi_[[#This Row],[Attribute]],#REF!,2,FALSE)</f>
        <v>#REF!</v>
      </c>
      <c r="F637">
        <v>111</v>
      </c>
      <c r="G637">
        <f>(Cpi_[[#This Row],[Value]]-F636)/F636</f>
        <v>-1.7985611510791622E-3</v>
      </c>
      <c r="H637" t="e" cm="1" vm="1">
        <f t="array" aca="1" ref="H637" ca="1">VLOOKUP(Cpi_[[#This Row],[Year]:[Month]],crudeoil[],3,FALSE)</f>
        <v>#VALUE!</v>
      </c>
    </row>
    <row r="638" spans="1:8" hidden="1" x14ac:dyDescent="0.3">
      <c r="A638" t="s">
        <v>34</v>
      </c>
      <c r="B638">
        <v>2013</v>
      </c>
      <c r="C638" t="s">
        <v>41</v>
      </c>
      <c r="D638" t="s">
        <v>18</v>
      </c>
      <c r="E638" t="e">
        <f>VLOOKUP(Cpi_[[#This Row],[Attribute]],#REF!,2,FALSE)</f>
        <v>#REF!</v>
      </c>
      <c r="F638">
        <v>109.4</v>
      </c>
      <c r="G638">
        <f>(Cpi_[[#This Row],[Value]]-F637)/F637</f>
        <v>-1.4414414414414363E-2</v>
      </c>
      <c r="H638" t="e" cm="1" vm="1">
        <f t="array" aca="1" ref="H638" ca="1">VLOOKUP(Cpi_[[#This Row],[Year]:[Month]],crudeoil[],3,FALSE)</f>
        <v>#VALUE!</v>
      </c>
    </row>
    <row r="639" spans="1:8" hidden="1" x14ac:dyDescent="0.3">
      <c r="A639" t="s">
        <v>34</v>
      </c>
      <c r="B639">
        <v>2013</v>
      </c>
      <c r="C639" t="s">
        <v>41</v>
      </c>
      <c r="D639" t="s">
        <v>19</v>
      </c>
      <c r="E639" t="e">
        <f>VLOOKUP(Cpi_[[#This Row],[Attribute]],#REF!,2,FALSE)</f>
        <v>#REF!</v>
      </c>
      <c r="F639">
        <v>110.7</v>
      </c>
      <c r="G639">
        <f>(Cpi_[[#This Row],[Value]]-F638)/F638</f>
        <v>1.1882998171846409E-2</v>
      </c>
      <c r="H639" t="e" cm="1" vm="1">
        <f t="array" aca="1" ref="H639" ca="1">VLOOKUP(Cpi_[[#This Row],[Year]:[Month]],crudeoil[],3,FALSE)</f>
        <v>#VALUE!</v>
      </c>
    </row>
    <row r="640" spans="1:8" hidden="1" x14ac:dyDescent="0.3">
      <c r="A640" t="s">
        <v>34</v>
      </c>
      <c r="B640">
        <v>2013</v>
      </c>
      <c r="C640" t="s">
        <v>41</v>
      </c>
      <c r="D640" t="s">
        <v>20</v>
      </c>
      <c r="E640" t="e">
        <f>VLOOKUP(Cpi_[[#This Row],[Attribute]],#REF!,2,FALSE)</f>
        <v>#REF!</v>
      </c>
      <c r="F640">
        <v>108.9</v>
      </c>
      <c r="G640">
        <f>(Cpi_[[#This Row],[Value]]-F639)/F639</f>
        <v>-1.626016260162599E-2</v>
      </c>
      <c r="H640" t="e" cm="1" vm="1">
        <f t="array" aca="1" ref="H640" ca="1">VLOOKUP(Cpi_[[#This Row],[Year]:[Month]],crudeoil[],3,FALSE)</f>
        <v>#VALUE!</v>
      </c>
    </row>
    <row r="641" spans="1:8" hidden="1" x14ac:dyDescent="0.3">
      <c r="A641" t="s">
        <v>34</v>
      </c>
      <c r="B641">
        <v>2013</v>
      </c>
      <c r="C641" t="s">
        <v>41</v>
      </c>
      <c r="D641" t="s">
        <v>21</v>
      </c>
      <c r="E641" t="e">
        <f>VLOOKUP(Cpi_[[#This Row],[Attribute]],#REF!,2,FALSE)</f>
        <v>#REF!</v>
      </c>
      <c r="F641">
        <v>109.7</v>
      </c>
      <c r="G641">
        <f>(Cpi_[[#This Row],[Value]]-F640)/F640</f>
        <v>7.3461891643709564E-3</v>
      </c>
      <c r="H641" t="e" cm="1" vm="1">
        <f t="array" aca="1" ref="H641" ca="1">VLOOKUP(Cpi_[[#This Row],[Year]:[Month]],crudeoil[],3,FALSE)</f>
        <v>#VALUE!</v>
      </c>
    </row>
    <row r="642" spans="1:8" hidden="1" x14ac:dyDescent="0.3">
      <c r="A642" t="s">
        <v>34</v>
      </c>
      <c r="B642">
        <v>2013</v>
      </c>
      <c r="C642" t="s">
        <v>41</v>
      </c>
      <c r="D642" t="s">
        <v>22</v>
      </c>
      <c r="E642" t="e">
        <f>VLOOKUP(Cpi_[[#This Row],[Attribute]],#REF!,2,FALSE)</f>
        <v>#REF!</v>
      </c>
      <c r="F642">
        <v>108.7</v>
      </c>
      <c r="G642">
        <f>(Cpi_[[#This Row],[Value]]-F641)/F641</f>
        <v>-9.1157702825888781E-3</v>
      </c>
      <c r="H642" t="e" cm="1" vm="1">
        <f t="array" aca="1" ref="H642" ca="1">VLOOKUP(Cpi_[[#This Row],[Year]:[Month]],crudeoil[],3,FALSE)</f>
        <v>#VALUE!</v>
      </c>
    </row>
    <row r="643" spans="1:8" hidden="1" x14ac:dyDescent="0.3">
      <c r="A643" t="s">
        <v>34</v>
      </c>
      <c r="B643">
        <v>2013</v>
      </c>
      <c r="C643" t="s">
        <v>41</v>
      </c>
      <c r="D643" t="s">
        <v>23</v>
      </c>
      <c r="E643" t="e">
        <f>VLOOKUP(Cpi_[[#This Row],[Attribute]],#REF!,2,FALSE)</f>
        <v>#REF!</v>
      </c>
      <c r="F643">
        <v>107.5</v>
      </c>
      <c r="G643">
        <f>(Cpi_[[#This Row],[Value]]-F642)/F642</f>
        <v>-1.1039558417663319E-2</v>
      </c>
      <c r="H643" t="e" cm="1" vm="1">
        <f t="array" aca="1" ref="H643" ca="1">VLOOKUP(Cpi_[[#This Row],[Year]:[Month]],crudeoil[],3,FALSE)</f>
        <v>#VALUE!</v>
      </c>
    </row>
    <row r="644" spans="1:8" hidden="1" x14ac:dyDescent="0.3">
      <c r="A644" t="s">
        <v>34</v>
      </c>
      <c r="B644">
        <v>2013</v>
      </c>
      <c r="C644" t="s">
        <v>41</v>
      </c>
      <c r="D644" t="s">
        <v>24</v>
      </c>
      <c r="E644" t="e">
        <f>VLOOKUP(Cpi_[[#This Row],[Attribute]],#REF!,2,FALSE)</f>
        <v>#REF!</v>
      </c>
      <c r="F644">
        <v>108</v>
      </c>
      <c r="G644">
        <f>(Cpi_[[#This Row],[Value]]-F643)/F643</f>
        <v>4.6511627906976744E-3</v>
      </c>
      <c r="H644" t="e" cm="1" vm="1">
        <f t="array" aca="1" ref="H644" ca="1">VLOOKUP(Cpi_[[#This Row],[Year]:[Month]],crudeoil[],3,FALSE)</f>
        <v>#VALUE!</v>
      </c>
    </row>
    <row r="645" spans="1:8" hidden="1" x14ac:dyDescent="0.3">
      <c r="A645" t="s">
        <v>34</v>
      </c>
      <c r="B645">
        <v>2013</v>
      </c>
      <c r="C645" t="s">
        <v>41</v>
      </c>
      <c r="D645" t="s">
        <v>25</v>
      </c>
      <c r="E645" t="e">
        <f>VLOOKUP(Cpi_[[#This Row],[Attribute]],#REF!,2,FALSE)</f>
        <v>#REF!</v>
      </c>
      <c r="F645">
        <v>106.6</v>
      </c>
      <c r="G645">
        <f>(Cpi_[[#This Row],[Value]]-F644)/F644</f>
        <v>-1.2962962962963016E-2</v>
      </c>
      <c r="H645" t="e" cm="1" vm="1">
        <f t="array" aca="1" ref="H645" ca="1">VLOOKUP(Cpi_[[#This Row],[Year]:[Month]],crudeoil[],3,FALSE)</f>
        <v>#VALUE!</v>
      </c>
    </row>
    <row r="646" spans="1:8" hidden="1" x14ac:dyDescent="0.3">
      <c r="A646" t="s">
        <v>34</v>
      </c>
      <c r="B646">
        <v>2013</v>
      </c>
      <c r="C646" t="s">
        <v>41</v>
      </c>
      <c r="D646" t="s">
        <v>26</v>
      </c>
      <c r="E646" t="e">
        <f>VLOOKUP(Cpi_[[#This Row],[Attribute]],#REF!,2,FALSE)</f>
        <v>#REF!</v>
      </c>
      <c r="F646">
        <v>109.9</v>
      </c>
      <c r="G646">
        <f>(Cpi_[[#This Row],[Value]]-F645)/F645</f>
        <v>3.0956848030018871E-2</v>
      </c>
      <c r="H646" t="e" cm="1" vm="1">
        <f t="array" aca="1" ref="H646" ca="1">VLOOKUP(Cpi_[[#This Row],[Year]:[Month]],crudeoil[],3,FALSE)</f>
        <v>#VALUE!</v>
      </c>
    </row>
    <row r="647" spans="1:8" hidden="1" x14ac:dyDescent="0.3">
      <c r="A647" t="s">
        <v>34</v>
      </c>
      <c r="B647">
        <v>2013</v>
      </c>
      <c r="C647" t="s">
        <v>41</v>
      </c>
      <c r="D647" t="s">
        <v>27</v>
      </c>
      <c r="E647" t="e">
        <f>VLOOKUP(Cpi_[[#This Row],[Attribute]],#REF!,2,FALSE)</f>
        <v>#REF!</v>
      </c>
      <c r="F647">
        <v>105.4</v>
      </c>
      <c r="G647">
        <f>(Cpi_[[#This Row],[Value]]-F646)/F646</f>
        <v>-4.0946314831665151E-2</v>
      </c>
      <c r="H647" t="e" cm="1" vm="1">
        <f t="array" aca="1" ref="H647" ca="1">VLOOKUP(Cpi_[[#This Row],[Year]:[Month]],crudeoil[],3,FALSE)</f>
        <v>#VALUE!</v>
      </c>
    </row>
    <row r="648" spans="1:8" hidden="1" x14ac:dyDescent="0.3">
      <c r="A648" t="s">
        <v>34</v>
      </c>
      <c r="B648">
        <v>2013</v>
      </c>
      <c r="C648" t="s">
        <v>41</v>
      </c>
      <c r="D648" t="s">
        <v>28</v>
      </c>
      <c r="E648" t="e">
        <f>VLOOKUP(Cpi_[[#This Row],[Attribute]],#REF!,2,FALSE)</f>
        <v>#REF!</v>
      </c>
      <c r="F648">
        <v>107.9</v>
      </c>
      <c r="G648">
        <f>(Cpi_[[#This Row],[Value]]-F647)/F647</f>
        <v>2.3719165085388991E-2</v>
      </c>
      <c r="H648" t="e" cm="1" vm="1">
        <f t="array" aca="1" ref="H648" ca="1">VLOOKUP(Cpi_[[#This Row],[Year]:[Month]],crudeoil[],3,FALSE)</f>
        <v>#VALUE!</v>
      </c>
    </row>
    <row r="649" spans="1:8" hidden="1" x14ac:dyDescent="0.3">
      <c r="A649" t="s">
        <v>34</v>
      </c>
      <c r="B649">
        <v>2013</v>
      </c>
      <c r="C649" t="s">
        <v>41</v>
      </c>
      <c r="D649" t="s">
        <v>29</v>
      </c>
      <c r="E649" t="e" cm="1">
        <f t="array" aca="1" ref="E649" ca="1">VLGeneral indexGeneral indexKUP(Cpi_[[#This Row],[Attribute]],#REF!,2,FALSE)</f>
        <v>#NAME?</v>
      </c>
      <c r="F649">
        <v>112.4</v>
      </c>
      <c r="G649">
        <f>(Cpi_[[#This Row],[Value]]-F648)/F648</f>
        <v>4.1705282669138088E-2</v>
      </c>
      <c r="H649" t="e" cm="1" vm="1">
        <f t="array" aca="1" ref="H649" ca="1">VLOOKUP(Cpi_[[#This Row],[Year]:[Month]],crudeoil[],3,FALSE)</f>
        <v>#VALUE!</v>
      </c>
    </row>
    <row r="650" spans="1:8" hidden="1" x14ac:dyDescent="0.3">
      <c r="A650" t="s">
        <v>30</v>
      </c>
      <c r="B650">
        <v>2013</v>
      </c>
      <c r="C650" t="s">
        <v>42</v>
      </c>
      <c r="D650" t="s">
        <v>3</v>
      </c>
      <c r="E650" t="e">
        <f>VLOOKUP(Cpi_[[#This Row],[Attribute]],#REF!,2,FALSE)</f>
        <v>#REF!</v>
      </c>
      <c r="F650">
        <v>115.4</v>
      </c>
      <c r="G650">
        <f>(Cpi_[[#This Row],[Value]]-F649)/F649</f>
        <v>2.669039145907473E-2</v>
      </c>
      <c r="H650" t="e" cm="1" vm="1">
        <f t="array" aca="1" ref="H650" ca="1">VLOOKUP(Cpi_[[#This Row],[Year]:[Month]],crudeoil[],3,FALSE)</f>
        <v>#VALUE!</v>
      </c>
    </row>
    <row r="651" spans="1:8" hidden="1" x14ac:dyDescent="0.3">
      <c r="A651" t="s">
        <v>30</v>
      </c>
      <c r="B651">
        <v>2013</v>
      </c>
      <c r="C651" t="s">
        <v>42</v>
      </c>
      <c r="D651" t="s">
        <v>4</v>
      </c>
      <c r="E651" t="e">
        <f>VLOOKUP(Cpi_[[#This Row],[Attribute]],#REF!,2,FALSE)</f>
        <v>#REF!</v>
      </c>
      <c r="F651">
        <v>115.7</v>
      </c>
      <c r="G651">
        <f>(Cpi_[[#This Row],[Value]]-F650)/F650</f>
        <v>2.5996533795493684E-3</v>
      </c>
      <c r="H651" t="e" cm="1" vm="1">
        <f t="array" aca="1" ref="H651" ca="1">VLOOKUP(Cpi_[[#This Row],[Year]:[Month]],crudeoil[],3,FALSE)</f>
        <v>#VALUE!</v>
      </c>
    </row>
    <row r="652" spans="1:8" hidden="1" x14ac:dyDescent="0.3">
      <c r="A652" t="s">
        <v>30</v>
      </c>
      <c r="B652">
        <v>2013</v>
      </c>
      <c r="C652" t="s">
        <v>42</v>
      </c>
      <c r="D652" t="s">
        <v>5</v>
      </c>
      <c r="E652" t="e">
        <f>VLOOKUP(Cpi_[[#This Row],[Attribute]],#REF!,2,FALSE)</f>
        <v>#REF!</v>
      </c>
      <c r="F652">
        <v>111.7</v>
      </c>
      <c r="G652">
        <f>(Cpi_[[#This Row],[Value]]-F651)/F651</f>
        <v>-3.4572169403630074E-2</v>
      </c>
      <c r="H652" t="e" cm="1" vm="1">
        <f t="array" aca="1" ref="H652" ca="1">VLOOKUP(Cpi_[[#This Row],[Year]:[Month]],crudeoil[],3,FALSE)</f>
        <v>#VALUE!</v>
      </c>
    </row>
    <row r="653" spans="1:8" hidden="1" x14ac:dyDescent="0.3">
      <c r="A653" t="s">
        <v>30</v>
      </c>
      <c r="B653">
        <v>2013</v>
      </c>
      <c r="C653" t="s">
        <v>42</v>
      </c>
      <c r="D653" t="s">
        <v>6</v>
      </c>
      <c r="E653" t="e">
        <f>VLOOKUP(Cpi_[[#This Row],[Attribute]],#REF!,2,FALSE)</f>
        <v>#REF!</v>
      </c>
      <c r="F653">
        <v>111</v>
      </c>
      <c r="G653">
        <f>(Cpi_[[#This Row],[Value]]-F652)/F652</f>
        <v>-6.266786034019721E-3</v>
      </c>
      <c r="H653" t="e" cm="1" vm="1">
        <f t="array" aca="1" ref="H653" ca="1">VLOOKUP(Cpi_[[#This Row],[Year]:[Month]],crudeoil[],3,FALSE)</f>
        <v>#VALUE!</v>
      </c>
    </row>
    <row r="654" spans="1:8" hidden="1" x14ac:dyDescent="0.3">
      <c r="A654" t="s">
        <v>30</v>
      </c>
      <c r="B654">
        <v>2013</v>
      </c>
      <c r="C654" t="s">
        <v>42</v>
      </c>
      <c r="D654" t="s">
        <v>7</v>
      </c>
      <c r="E654" t="e">
        <f>VLOOKUP(Cpi_[[#This Row],[Attribute]],#REF!,2,FALSE)</f>
        <v>#REF!</v>
      </c>
      <c r="F654">
        <v>107.4</v>
      </c>
      <c r="G654">
        <f>(Cpi_[[#This Row],[Value]]-F653)/F653</f>
        <v>-3.2432432432432379E-2</v>
      </c>
      <c r="H654" t="e" cm="1" vm="1">
        <f t="array" aca="1" ref="H654" ca="1">VLOOKUP(Cpi_[[#This Row],[Year]:[Month]],crudeoil[],3,FALSE)</f>
        <v>#VALUE!</v>
      </c>
    </row>
    <row r="655" spans="1:8" hidden="1" x14ac:dyDescent="0.3">
      <c r="A655" t="s">
        <v>30</v>
      </c>
      <c r="B655">
        <v>2013</v>
      </c>
      <c r="C655" t="s">
        <v>42</v>
      </c>
      <c r="D655" t="s">
        <v>8</v>
      </c>
      <c r="E655" t="e">
        <f>VLOOKUP(Cpi_[[#This Row],[Attribute]],#REF!,2,FALSE)</f>
        <v>#REF!</v>
      </c>
      <c r="F655">
        <v>110.9</v>
      </c>
      <c r="G655">
        <f>(Cpi_[[#This Row],[Value]]-F654)/F654</f>
        <v>3.2588454376163874E-2</v>
      </c>
      <c r="H655" t="e" cm="1" vm="1">
        <f t="array" aca="1" ref="H655" ca="1">VLOOKUP(Cpi_[[#This Row],[Year]:[Month]],crudeoil[],3,FALSE)</f>
        <v>#VALUE!</v>
      </c>
    </row>
    <row r="656" spans="1:8" hidden="1" x14ac:dyDescent="0.3">
      <c r="A656" t="s">
        <v>30</v>
      </c>
      <c r="B656">
        <v>2013</v>
      </c>
      <c r="C656" t="s">
        <v>42</v>
      </c>
      <c r="D656" t="s">
        <v>9</v>
      </c>
      <c r="E656" t="e">
        <f>VLOOKUP(Cpi_[[#This Row],[Attribute]],#REF!,2,FALSE)</f>
        <v>#REF!</v>
      </c>
      <c r="F656">
        <v>154</v>
      </c>
      <c r="G656">
        <f>(Cpi_[[#This Row],[Value]]-F655)/F655</f>
        <v>0.38863841298467078</v>
      </c>
      <c r="H656" t="e" cm="1" vm="1">
        <f t="array" aca="1" ref="H656" ca="1">VLOOKUP(Cpi_[[#This Row],[Year]:[Month]],crudeoil[],3,FALSE)</f>
        <v>#VALUE!</v>
      </c>
    </row>
    <row r="657" spans="1:8" hidden="1" x14ac:dyDescent="0.3">
      <c r="A657" t="s">
        <v>30</v>
      </c>
      <c r="B657">
        <v>2013</v>
      </c>
      <c r="C657" t="s">
        <v>42</v>
      </c>
      <c r="D657" t="s">
        <v>10</v>
      </c>
      <c r="E657" t="e">
        <f>VLOOKUP(Cpi_[[#This Row],[Attribute]],#REF!,2,FALSE)</f>
        <v>#REF!</v>
      </c>
      <c r="F657">
        <v>108.1</v>
      </c>
      <c r="G657">
        <f>(Cpi_[[#This Row],[Value]]-F656)/F656</f>
        <v>-0.29805194805194807</v>
      </c>
      <c r="H657" t="e" cm="1" vm="1">
        <f t="array" aca="1" ref="H657" ca="1">VLOOKUP(Cpi_[[#This Row],[Year]:[Month]],crudeoil[],3,FALSE)</f>
        <v>#VALUE!</v>
      </c>
    </row>
    <row r="658" spans="1:8" hidden="1" x14ac:dyDescent="0.3">
      <c r="A658" t="s">
        <v>30</v>
      </c>
      <c r="B658">
        <v>2013</v>
      </c>
      <c r="C658" t="s">
        <v>42</v>
      </c>
      <c r="D658" t="s">
        <v>11</v>
      </c>
      <c r="E658" t="e">
        <f>VLOOKUP(Cpi_[[#This Row],[Attribute]],#REF!,2,FALSE)</f>
        <v>#REF!</v>
      </c>
      <c r="F658">
        <v>104.2</v>
      </c>
      <c r="G658">
        <f>(Cpi_[[#This Row],[Value]]-F657)/F657</f>
        <v>-3.6077705827937019E-2</v>
      </c>
      <c r="H658" t="e" cm="1" vm="1">
        <f t="array" aca="1" ref="H658" ca="1">VLOOKUP(Cpi_[[#This Row],[Year]:[Month]],crudeoil[],3,FALSE)</f>
        <v>#VALUE!</v>
      </c>
    </row>
    <row r="659" spans="1:8" hidden="1" x14ac:dyDescent="0.3">
      <c r="A659" t="s">
        <v>30</v>
      </c>
      <c r="B659">
        <v>2013</v>
      </c>
      <c r="C659" t="s">
        <v>42</v>
      </c>
      <c r="D659" t="s">
        <v>12</v>
      </c>
      <c r="E659" t="e">
        <f>VLOOKUP(Cpi_[[#This Row],[Attribute]],#REF!,2,FALSE)</f>
        <v>#REF!</v>
      </c>
      <c r="F659">
        <v>107.9</v>
      </c>
      <c r="G659">
        <f>(Cpi_[[#This Row],[Value]]-F658)/F658</f>
        <v>3.5508637236084481E-2</v>
      </c>
      <c r="H659" t="e" cm="1" vm="1">
        <f t="array" aca="1" ref="H659" ca="1">VLOOKUP(Cpi_[[#This Row],[Year]:[Month]],crudeoil[],3,FALSE)</f>
        <v>#VALUE!</v>
      </c>
    </row>
    <row r="660" spans="1:8" hidden="1" x14ac:dyDescent="0.3">
      <c r="A660" t="s">
        <v>30</v>
      </c>
      <c r="B660">
        <v>2013</v>
      </c>
      <c r="C660" t="s">
        <v>42</v>
      </c>
      <c r="D660" t="s">
        <v>13</v>
      </c>
      <c r="E660" t="e">
        <f>VLOOKUP(Cpi_[[#This Row],[Attribute]],#REF!,2,FALSE)</f>
        <v>#REF!</v>
      </c>
      <c r="F660">
        <v>110.4</v>
      </c>
      <c r="G660">
        <f>(Cpi_[[#This Row],[Value]]-F659)/F659</f>
        <v>2.3169601482854494E-2</v>
      </c>
      <c r="H660" t="e" cm="1" vm="1">
        <f t="array" aca="1" ref="H660" ca="1">VLOOKUP(Cpi_[[#This Row],[Year]:[Month]],crudeoil[],3,FALSE)</f>
        <v>#VALUE!</v>
      </c>
    </row>
    <row r="661" spans="1:8" hidden="1" x14ac:dyDescent="0.3">
      <c r="A661" t="s">
        <v>30</v>
      </c>
      <c r="B661">
        <v>2013</v>
      </c>
      <c r="C661" t="s">
        <v>42</v>
      </c>
      <c r="D661" t="s">
        <v>14</v>
      </c>
      <c r="E661" t="e">
        <f>VLOOKUP(Cpi_[[#This Row],[Attribute]],#REF!,2,FALSE)</f>
        <v>#REF!</v>
      </c>
      <c r="F661">
        <v>114</v>
      </c>
      <c r="G661">
        <f>(Cpi_[[#This Row],[Value]]-F660)/F660</f>
        <v>3.2608695652173857E-2</v>
      </c>
      <c r="H661" t="e" cm="1" vm="1">
        <f t="array" aca="1" ref="H661" ca="1">VLOOKUP(Cpi_[[#This Row],[Year]:[Month]],crudeoil[],3,FALSE)</f>
        <v>#VALUE!</v>
      </c>
    </row>
    <row r="662" spans="1:8" hidden="1" x14ac:dyDescent="0.3">
      <c r="A662" t="s">
        <v>30</v>
      </c>
      <c r="B662">
        <v>2013</v>
      </c>
      <c r="C662" t="s">
        <v>42</v>
      </c>
      <c r="D662" t="s">
        <v>15</v>
      </c>
      <c r="E662" t="e">
        <f>VLOOKUP(Cpi_[[#This Row],[Attribute]],#REF!,2,FALSE)</f>
        <v>#REF!</v>
      </c>
      <c r="F662">
        <v>117.8</v>
      </c>
      <c r="G662">
        <f>(Cpi_[[#This Row],[Value]]-F661)/F661</f>
        <v>3.3333333333333305E-2</v>
      </c>
      <c r="H662" t="e" cm="1" vm="1">
        <f t="array" aca="1" ref="H662" ca="1">VLOOKUP(Cpi_[[#This Row],[Year]:[Month]],crudeoil[],3,FALSE)</f>
        <v>#VALUE!</v>
      </c>
    </row>
    <row r="663" spans="1:8" hidden="1" x14ac:dyDescent="0.3">
      <c r="A663" t="s">
        <v>30</v>
      </c>
      <c r="B663">
        <v>2013</v>
      </c>
      <c r="C663" t="s">
        <v>42</v>
      </c>
      <c r="D663" t="s">
        <v>16</v>
      </c>
      <c r="E663" t="e">
        <f>VLOOKUP(Cpi_[[#This Row],[Attribute]],#REF!,2,FALSE)</f>
        <v>#REF!</v>
      </c>
      <c r="F663">
        <v>111.7</v>
      </c>
      <c r="G663">
        <f>(Cpi_[[#This Row],[Value]]-F662)/F662</f>
        <v>-5.1782682512733401E-2</v>
      </c>
      <c r="H663" t="e" cm="1" vm="1">
        <f t="array" aca="1" ref="H663" ca="1">VLOOKUP(Cpi_[[#This Row],[Year]:[Month]],crudeoil[],3,FALSE)</f>
        <v>#VALUE!</v>
      </c>
    </row>
    <row r="664" spans="1:8" hidden="1" x14ac:dyDescent="0.3">
      <c r="A664" t="s">
        <v>30</v>
      </c>
      <c r="B664">
        <v>2013</v>
      </c>
      <c r="C664" t="s">
        <v>42</v>
      </c>
      <c r="D664" t="s">
        <v>17</v>
      </c>
      <c r="E664" t="e">
        <f>VLOOKUP(Cpi_[[#This Row],[Attribute]],#REF!,2,FALSE)</f>
        <v>#REF!</v>
      </c>
      <c r="F664">
        <v>112.7</v>
      </c>
      <c r="G664">
        <f>(Cpi_[[#This Row],[Value]]-F663)/F663</f>
        <v>8.9525514771709933E-3</v>
      </c>
      <c r="H664" t="e" cm="1" vm="1">
        <f t="array" aca="1" ref="H664" ca="1">VLOOKUP(Cpi_[[#This Row],[Year]:[Month]],crudeoil[],3,FALSE)</f>
        <v>#VALUE!</v>
      </c>
    </row>
    <row r="665" spans="1:8" hidden="1" x14ac:dyDescent="0.3">
      <c r="A665" t="s">
        <v>30</v>
      </c>
      <c r="B665">
        <v>2013</v>
      </c>
      <c r="C665" t="s">
        <v>42</v>
      </c>
      <c r="D665" t="s">
        <v>18</v>
      </c>
      <c r="E665" t="e">
        <f>VLOOKUP(Cpi_[[#This Row],[Attribute]],#REF!,2,FALSE)</f>
        <v>#REF!</v>
      </c>
      <c r="F665">
        <v>111.4</v>
      </c>
      <c r="G665">
        <f>(Cpi_[[#This Row],[Value]]-F664)/F664</f>
        <v>-1.1535048802129522E-2</v>
      </c>
      <c r="H665" t="e" cm="1" vm="1">
        <f t="array" aca="1" ref="H665" ca="1">VLOOKUP(Cpi_[[#This Row],[Year]:[Month]],crudeoil[],3,FALSE)</f>
        <v>#VALUE!</v>
      </c>
    </row>
    <row r="666" spans="1:8" hidden="1" x14ac:dyDescent="0.3">
      <c r="A666" t="s">
        <v>30</v>
      </c>
      <c r="B666">
        <v>2013</v>
      </c>
      <c r="C666" t="s">
        <v>42</v>
      </c>
      <c r="D666" t="s">
        <v>19</v>
      </c>
      <c r="E666" t="e">
        <f>VLOOKUP(Cpi_[[#This Row],[Attribute]],#REF!,2,FALSE)</f>
        <v>#REF!</v>
      </c>
      <c r="F666">
        <v>112.5</v>
      </c>
      <c r="G666">
        <f>(Cpi_[[#This Row],[Value]]-F665)/F665</f>
        <v>9.8743267504487822E-3</v>
      </c>
      <c r="H666" t="e" cm="1" vm="1">
        <f t="array" aca="1" ref="H666" ca="1">VLOOKUP(Cpi_[[#This Row],[Year]:[Month]],crudeoil[],3,FALSE)</f>
        <v>#VALUE!</v>
      </c>
    </row>
    <row r="667" spans="1:8" hidden="1" x14ac:dyDescent="0.3">
      <c r="A667" t="s">
        <v>30</v>
      </c>
      <c r="B667">
        <v>2013</v>
      </c>
      <c r="C667" t="s">
        <v>42</v>
      </c>
      <c r="D667" t="s">
        <v>20</v>
      </c>
      <c r="E667" t="e">
        <f>VLOOKUP(Cpi_[[#This Row],[Attribute]],#REF!,2,FALSE)</f>
        <v>#REF!</v>
      </c>
      <c r="F667" t="s">
        <v>32</v>
      </c>
      <c r="G667" t="e">
        <f>(Cpi_[[#This Row],[Value]]-F666)/F666</f>
        <v>#VALUE!</v>
      </c>
      <c r="H667" t="e" cm="1" vm="1">
        <f t="array" aca="1" ref="H667" ca="1">VLOOKUP(Cpi_[[#This Row],[Year]:[Month]],crudeoil[],3,FALSE)</f>
        <v>#VALUE!</v>
      </c>
    </row>
    <row r="668" spans="1:8" hidden="1" x14ac:dyDescent="0.3">
      <c r="A668" t="s">
        <v>30</v>
      </c>
      <c r="B668">
        <v>2013</v>
      </c>
      <c r="C668" t="s">
        <v>42</v>
      </c>
      <c r="D668" t="s">
        <v>21</v>
      </c>
      <c r="E668" t="e">
        <f>VLOOKUP(Cpi_[[#This Row],[Attribute]],#REF!,2,FALSE)</f>
        <v>#REF!</v>
      </c>
      <c r="F668">
        <v>111.1</v>
      </c>
      <c r="G668" t="e">
        <f>(Cpi_[[#This Row],[Value]]-F667)/F667</f>
        <v>#VALUE!</v>
      </c>
      <c r="H668" t="e" cm="1" vm="1">
        <f t="array" aca="1" ref="H668" ca="1">VLOOKUP(Cpi_[[#This Row],[Year]:[Month]],crudeoil[],3,FALSE)</f>
        <v>#VALUE!</v>
      </c>
    </row>
    <row r="669" spans="1:8" hidden="1" x14ac:dyDescent="0.3">
      <c r="A669" t="s">
        <v>30</v>
      </c>
      <c r="B669">
        <v>2013</v>
      </c>
      <c r="C669" t="s">
        <v>42</v>
      </c>
      <c r="D669" t="s">
        <v>22</v>
      </c>
      <c r="E669" t="e">
        <f>VLOOKUP(Cpi_[[#This Row],[Attribute]],#REF!,2,FALSE)</f>
        <v>#REF!</v>
      </c>
      <c r="F669">
        <v>109.6</v>
      </c>
      <c r="G669">
        <f>(Cpi_[[#This Row],[Value]]-F668)/F668</f>
        <v>-1.3501350135013503E-2</v>
      </c>
      <c r="H669" t="e" cm="1" vm="1">
        <f t="array" aca="1" ref="H669" ca="1">VLOOKUP(Cpi_[[#This Row],[Year]:[Month]],crudeoil[],3,FALSE)</f>
        <v>#VALUE!</v>
      </c>
    </row>
    <row r="670" spans="1:8" hidden="1" x14ac:dyDescent="0.3">
      <c r="A670" t="s">
        <v>30</v>
      </c>
      <c r="B670">
        <v>2013</v>
      </c>
      <c r="C670" t="s">
        <v>42</v>
      </c>
      <c r="D670" t="s">
        <v>23</v>
      </c>
      <c r="E670" t="e">
        <f>VLOOKUP(Cpi_[[#This Row],[Attribute]],#REF!,2,FALSE)</f>
        <v>#REF!</v>
      </c>
      <c r="F670">
        <v>108.3</v>
      </c>
      <c r="G670">
        <f>(Cpi_[[#This Row],[Value]]-F669)/F669</f>
        <v>-1.1861313868613114E-2</v>
      </c>
      <c r="H670" t="e" cm="1" vm="1">
        <f t="array" aca="1" ref="H670" ca="1">VLOOKUP(Cpi_[[#This Row],[Year]:[Month]],crudeoil[],3,FALSE)</f>
        <v>#VALUE!</v>
      </c>
    </row>
    <row r="671" spans="1:8" hidden="1" x14ac:dyDescent="0.3">
      <c r="A671" t="s">
        <v>30</v>
      </c>
      <c r="B671">
        <v>2013</v>
      </c>
      <c r="C671" t="s">
        <v>42</v>
      </c>
      <c r="D671" t="s">
        <v>24</v>
      </c>
      <c r="E671" t="e">
        <f>VLOOKUP(Cpi_[[#This Row],[Attribute]],#REF!,2,FALSE)</f>
        <v>#REF!</v>
      </c>
      <c r="F671">
        <v>109.3</v>
      </c>
      <c r="G671">
        <f>(Cpi_[[#This Row],[Value]]-F670)/F670</f>
        <v>9.2336103416435829E-3</v>
      </c>
      <c r="H671" t="e" cm="1" vm="1">
        <f t="array" aca="1" ref="H671" ca="1">VLOOKUP(Cpi_[[#This Row],[Year]:[Month]],crudeoil[],3,FALSE)</f>
        <v>#VALUE!</v>
      </c>
    </row>
    <row r="672" spans="1:8" hidden="1" x14ac:dyDescent="0.3">
      <c r="A672" t="s">
        <v>30</v>
      </c>
      <c r="B672">
        <v>2013</v>
      </c>
      <c r="C672" t="s">
        <v>42</v>
      </c>
      <c r="D672" t="s">
        <v>25</v>
      </c>
      <c r="E672" t="e">
        <f>VLOOKUP(Cpi_[[#This Row],[Attribute]],#REF!,2,FALSE)</f>
        <v>#REF!</v>
      </c>
      <c r="F672">
        <v>107.7</v>
      </c>
      <c r="G672">
        <f>(Cpi_[[#This Row],[Value]]-F671)/F671</f>
        <v>-1.4638609332113398E-2</v>
      </c>
      <c r="H672" t="e" cm="1" vm="1">
        <f t="array" aca="1" ref="H672" ca="1">VLOOKUP(Cpi_[[#This Row],[Year]:[Month]],crudeoil[],3,FALSE)</f>
        <v>#VALUE!</v>
      </c>
    </row>
    <row r="673" spans="1:8" hidden="1" x14ac:dyDescent="0.3">
      <c r="A673" t="s">
        <v>30</v>
      </c>
      <c r="B673">
        <v>2013</v>
      </c>
      <c r="C673" t="s">
        <v>42</v>
      </c>
      <c r="D673" t="s">
        <v>26</v>
      </c>
      <c r="E673" t="e">
        <f>VLOOKUP(Cpi_[[#This Row],[Attribute]],#REF!,2,FALSE)</f>
        <v>#REF!</v>
      </c>
      <c r="F673">
        <v>109.8</v>
      </c>
      <c r="G673">
        <f>(Cpi_[[#This Row],[Value]]-F672)/F672</f>
        <v>1.9498607242339778E-2</v>
      </c>
      <c r="H673" t="e" cm="1" vm="1">
        <f t="array" aca="1" ref="H673" ca="1">VLOOKUP(Cpi_[[#This Row],[Year]:[Month]],crudeoil[],3,FALSE)</f>
        <v>#VALUE!</v>
      </c>
    </row>
    <row r="674" spans="1:8" hidden="1" x14ac:dyDescent="0.3">
      <c r="A674" t="s">
        <v>30</v>
      </c>
      <c r="B674">
        <v>2013</v>
      </c>
      <c r="C674" t="s">
        <v>42</v>
      </c>
      <c r="D674" t="s">
        <v>27</v>
      </c>
      <c r="E674" t="e">
        <f>VLOOKUP(Cpi_[[#This Row],[Attribute]],#REF!,2,FALSE)</f>
        <v>#REF!</v>
      </c>
      <c r="F674">
        <v>106.7</v>
      </c>
      <c r="G674">
        <f>(Cpi_[[#This Row],[Value]]-F673)/F673</f>
        <v>-2.8233151183970805E-2</v>
      </c>
      <c r="H674" t="e" cm="1" vm="1">
        <f t="array" aca="1" ref="H674" ca="1">VLOOKUP(Cpi_[[#This Row],[Year]:[Month]],crudeoil[],3,FALSE)</f>
        <v>#VALUE!</v>
      </c>
    </row>
    <row r="675" spans="1:8" hidden="1" x14ac:dyDescent="0.3">
      <c r="A675" t="s">
        <v>30</v>
      </c>
      <c r="B675">
        <v>2013</v>
      </c>
      <c r="C675" t="s">
        <v>42</v>
      </c>
      <c r="D675" t="s">
        <v>28</v>
      </c>
      <c r="E675" t="e">
        <f>VLOOKUP(Cpi_[[#This Row],[Attribute]],#REF!,2,FALSE)</f>
        <v>#REF!</v>
      </c>
      <c r="F675">
        <v>108.7</v>
      </c>
      <c r="G675">
        <f>(Cpi_[[#This Row],[Value]]-F674)/F674</f>
        <v>1.874414245548266E-2</v>
      </c>
      <c r="H675" t="e" cm="1" vm="1">
        <f t="array" aca="1" ref="H675" ca="1">VLOOKUP(Cpi_[[#This Row],[Year]:[Month]],crudeoil[],3,FALSE)</f>
        <v>#VALUE!</v>
      </c>
    </row>
    <row r="676" spans="1:8" hidden="1" x14ac:dyDescent="0.3">
      <c r="A676" t="s">
        <v>30</v>
      </c>
      <c r="B676">
        <v>2013</v>
      </c>
      <c r="C676" t="s">
        <v>42</v>
      </c>
      <c r="D676" t="s">
        <v>29</v>
      </c>
      <c r="E676" t="e" cm="1">
        <f t="array" aca="1" ref="E676" ca="1">VLGeneral indexGeneral indexKUP(Cpi_[[#This Row],[Attribute]],#REF!,2,FALSE)</f>
        <v>#NAME?</v>
      </c>
      <c r="F676">
        <v>114.2</v>
      </c>
      <c r="G676">
        <f>(Cpi_[[#This Row],[Value]]-F675)/F675</f>
        <v>5.0597976080956758E-2</v>
      </c>
      <c r="H676" t="e" cm="1" vm="1">
        <f t="array" aca="1" ref="H676" ca="1">VLOOKUP(Cpi_[[#This Row],[Year]:[Month]],crudeoil[],3,FALSE)</f>
        <v>#VALUE!</v>
      </c>
    </row>
    <row r="677" spans="1:8" hidden="1" x14ac:dyDescent="0.3">
      <c r="A677" t="s">
        <v>33</v>
      </c>
      <c r="B677">
        <v>2013</v>
      </c>
      <c r="C677" t="s">
        <v>42</v>
      </c>
      <c r="D677" t="s">
        <v>3</v>
      </c>
      <c r="E677" t="e">
        <f>VLOOKUP(Cpi_[[#This Row],[Attribute]],#REF!,2,FALSE)</f>
        <v>#REF!</v>
      </c>
      <c r="F677">
        <v>118.6</v>
      </c>
      <c r="G677">
        <f>(Cpi_[[#This Row],[Value]]-F676)/F676</f>
        <v>3.8528896672504302E-2</v>
      </c>
      <c r="H677" t="e" cm="1" vm="1">
        <f t="array" aca="1" ref="H677" ca="1">VLOOKUP(Cpi_[[#This Row],[Year]:[Month]],crudeoil[],3,FALSE)</f>
        <v>#VALUE!</v>
      </c>
    </row>
    <row r="678" spans="1:8" hidden="1" x14ac:dyDescent="0.3">
      <c r="A678" t="s">
        <v>33</v>
      </c>
      <c r="B678">
        <v>2013</v>
      </c>
      <c r="C678" t="s">
        <v>42</v>
      </c>
      <c r="D678" t="s">
        <v>4</v>
      </c>
      <c r="E678" t="e">
        <f>VLOOKUP(Cpi_[[#This Row],[Attribute]],#REF!,2,FALSE)</f>
        <v>#REF!</v>
      </c>
      <c r="F678">
        <v>119.1</v>
      </c>
      <c r="G678">
        <f>(Cpi_[[#This Row],[Value]]-F677)/F677</f>
        <v>4.2158516020236085E-3</v>
      </c>
      <c r="H678" t="e" cm="1" vm="1">
        <f t="array" aca="1" ref="H678" ca="1">VLOOKUP(Cpi_[[#This Row],[Year]:[Month]],crudeoil[],3,FALSE)</f>
        <v>#VALUE!</v>
      </c>
    </row>
    <row r="679" spans="1:8" hidden="1" x14ac:dyDescent="0.3">
      <c r="A679" t="s">
        <v>33</v>
      </c>
      <c r="B679">
        <v>2013</v>
      </c>
      <c r="C679" t="s">
        <v>42</v>
      </c>
      <c r="D679" t="s">
        <v>5</v>
      </c>
      <c r="E679" t="e">
        <f>VLOOKUP(Cpi_[[#This Row],[Attribute]],#REF!,2,FALSE)</f>
        <v>#REF!</v>
      </c>
      <c r="F679">
        <v>113.2</v>
      </c>
      <c r="G679">
        <f>(Cpi_[[#This Row],[Value]]-F678)/F678</f>
        <v>-4.953820319059607E-2</v>
      </c>
      <c r="H679" t="e" cm="1" vm="1">
        <f t="array" aca="1" ref="H679" ca="1">VLOOKUP(Cpi_[[#This Row],[Year]:[Month]],crudeoil[],3,FALSE)</f>
        <v>#VALUE!</v>
      </c>
    </row>
    <row r="680" spans="1:8" hidden="1" x14ac:dyDescent="0.3">
      <c r="A680" t="s">
        <v>33</v>
      </c>
      <c r="B680">
        <v>2013</v>
      </c>
      <c r="C680" t="s">
        <v>42</v>
      </c>
      <c r="D680" t="s">
        <v>6</v>
      </c>
      <c r="E680" t="e">
        <f>VLOOKUP(Cpi_[[#This Row],[Attribute]],#REF!,2,FALSE)</f>
        <v>#REF!</v>
      </c>
      <c r="F680">
        <v>109.6</v>
      </c>
      <c r="G680">
        <f>(Cpi_[[#This Row],[Value]]-F679)/F679</f>
        <v>-3.1802120141342829E-2</v>
      </c>
      <c r="H680" t="e" cm="1" vm="1">
        <f t="array" aca="1" ref="H680" ca="1">VLOOKUP(Cpi_[[#This Row],[Year]:[Month]],crudeoil[],3,FALSE)</f>
        <v>#VALUE!</v>
      </c>
    </row>
    <row r="681" spans="1:8" hidden="1" x14ac:dyDescent="0.3">
      <c r="A681" t="s">
        <v>33</v>
      </c>
      <c r="B681">
        <v>2013</v>
      </c>
      <c r="C681" t="s">
        <v>42</v>
      </c>
      <c r="D681" t="s">
        <v>7</v>
      </c>
      <c r="E681" t="e">
        <f>VLOOKUP(Cpi_[[#This Row],[Attribute]],#REF!,2,FALSE)</f>
        <v>#REF!</v>
      </c>
      <c r="F681">
        <v>101.7</v>
      </c>
      <c r="G681">
        <f>(Cpi_[[#This Row],[Value]]-F680)/F680</f>
        <v>-7.2080291970802846E-2</v>
      </c>
      <c r="H681" t="e" cm="1" vm="1">
        <f t="array" aca="1" ref="H681" ca="1">VLOOKUP(Cpi_[[#This Row],[Year]:[Month]],crudeoil[],3,FALSE)</f>
        <v>#VALUE!</v>
      </c>
    </row>
    <row r="682" spans="1:8" hidden="1" x14ac:dyDescent="0.3">
      <c r="A682" t="s">
        <v>33</v>
      </c>
      <c r="B682">
        <v>2013</v>
      </c>
      <c r="C682" t="s">
        <v>42</v>
      </c>
      <c r="D682" t="s">
        <v>8</v>
      </c>
      <c r="E682" t="e">
        <f>VLOOKUP(Cpi_[[#This Row],[Attribute]],#REF!,2,FALSE)</f>
        <v>#REF!</v>
      </c>
      <c r="F682">
        <v>103.2</v>
      </c>
      <c r="G682">
        <f>(Cpi_[[#This Row],[Value]]-F681)/F681</f>
        <v>1.4749262536873156E-2</v>
      </c>
      <c r="H682" t="e" cm="1" vm="1">
        <f t="array" aca="1" ref="H682" ca="1">VLOOKUP(Cpi_[[#This Row],[Year]:[Month]],crudeoil[],3,FALSE)</f>
        <v>#VALUE!</v>
      </c>
    </row>
    <row r="683" spans="1:8" hidden="1" x14ac:dyDescent="0.3">
      <c r="A683" t="s">
        <v>33</v>
      </c>
      <c r="B683">
        <v>2013</v>
      </c>
      <c r="C683" t="s">
        <v>42</v>
      </c>
      <c r="D683" t="s">
        <v>9</v>
      </c>
      <c r="E683" t="e">
        <f>VLOOKUP(Cpi_[[#This Row],[Attribute]],#REF!,2,FALSE)</f>
        <v>#REF!</v>
      </c>
      <c r="F683">
        <v>174.3</v>
      </c>
      <c r="G683">
        <f>(Cpi_[[#This Row],[Value]]-F682)/F682</f>
        <v>0.68895348837209314</v>
      </c>
      <c r="H683" t="e" cm="1" vm="1">
        <f t="array" aca="1" ref="H683" ca="1">VLOOKUP(Cpi_[[#This Row],[Year]:[Month]],crudeoil[],3,FALSE)</f>
        <v>#VALUE!</v>
      </c>
    </row>
    <row r="684" spans="1:8" hidden="1" x14ac:dyDescent="0.3">
      <c r="A684" t="s">
        <v>33</v>
      </c>
      <c r="B684">
        <v>2013</v>
      </c>
      <c r="C684" t="s">
        <v>42</v>
      </c>
      <c r="D684" t="s">
        <v>10</v>
      </c>
      <c r="E684" t="e">
        <f>VLOOKUP(Cpi_[[#This Row],[Attribute]],#REF!,2,FALSE)</f>
        <v>#REF!</v>
      </c>
      <c r="F684">
        <v>105.1</v>
      </c>
      <c r="G684">
        <f>(Cpi_[[#This Row],[Value]]-F683)/F683</f>
        <v>-0.39701663798049347</v>
      </c>
      <c r="H684" t="e" cm="1" vm="1">
        <f t="array" aca="1" ref="H684" ca="1">VLOOKUP(Cpi_[[#This Row],[Year]:[Month]],crudeoil[],3,FALSE)</f>
        <v>#VALUE!</v>
      </c>
    </row>
    <row r="685" spans="1:8" hidden="1" x14ac:dyDescent="0.3">
      <c r="A685" t="s">
        <v>33</v>
      </c>
      <c r="B685">
        <v>2013</v>
      </c>
      <c r="C685" t="s">
        <v>42</v>
      </c>
      <c r="D685" t="s">
        <v>11</v>
      </c>
      <c r="E685" t="e">
        <f>VLOOKUP(Cpi_[[#This Row],[Attribute]],#REF!,2,FALSE)</f>
        <v>#REF!</v>
      </c>
      <c r="F685">
        <v>100.8</v>
      </c>
      <c r="G685">
        <f>(Cpi_[[#This Row],[Value]]-F684)/F684</f>
        <v>-4.091341579448142E-2</v>
      </c>
      <c r="H685" t="e" cm="1" vm="1">
        <f t="array" aca="1" ref="H685" ca="1">VLOOKUP(Cpi_[[#This Row],[Year]:[Month]],crudeoil[],3,FALSE)</f>
        <v>#VALUE!</v>
      </c>
    </row>
    <row r="686" spans="1:8" hidden="1" x14ac:dyDescent="0.3">
      <c r="A686" t="s">
        <v>33</v>
      </c>
      <c r="B686">
        <v>2013</v>
      </c>
      <c r="C686" t="s">
        <v>42</v>
      </c>
      <c r="D686" t="s">
        <v>12</v>
      </c>
      <c r="E686" t="e">
        <f>VLOOKUP(Cpi_[[#This Row],[Attribute]],#REF!,2,FALSE)</f>
        <v>#REF!</v>
      </c>
      <c r="F686">
        <v>109.1</v>
      </c>
      <c r="G686">
        <f>(Cpi_[[#This Row],[Value]]-F685)/F685</f>
        <v>8.2341269841269812E-2</v>
      </c>
      <c r="H686" t="e" cm="1" vm="1">
        <f t="array" aca="1" ref="H686" ca="1">VLOOKUP(Cpi_[[#This Row],[Year]:[Month]],crudeoil[],3,FALSE)</f>
        <v>#VALUE!</v>
      </c>
    </row>
    <row r="687" spans="1:8" hidden="1" x14ac:dyDescent="0.3">
      <c r="A687" t="s">
        <v>33</v>
      </c>
      <c r="B687">
        <v>2013</v>
      </c>
      <c r="C687" t="s">
        <v>42</v>
      </c>
      <c r="D687" t="s">
        <v>13</v>
      </c>
      <c r="E687" t="e">
        <f>VLOOKUP(Cpi_[[#This Row],[Attribute]],#REF!,2,FALSE)</f>
        <v>#REF!</v>
      </c>
      <c r="F687">
        <v>111.1</v>
      </c>
      <c r="G687">
        <f>(Cpi_[[#This Row],[Value]]-F686)/F686</f>
        <v>1.8331805682859761E-2</v>
      </c>
      <c r="H687" t="e" cm="1" vm="1">
        <f t="array" aca="1" ref="H687" ca="1">VLOOKUP(Cpi_[[#This Row],[Year]:[Month]],crudeoil[],3,FALSE)</f>
        <v>#VALUE!</v>
      </c>
    </row>
    <row r="688" spans="1:8" hidden="1" x14ac:dyDescent="0.3">
      <c r="A688" t="s">
        <v>33</v>
      </c>
      <c r="B688">
        <v>2013</v>
      </c>
      <c r="C688" t="s">
        <v>42</v>
      </c>
      <c r="D688" t="s">
        <v>14</v>
      </c>
      <c r="E688" t="e">
        <f>VLOOKUP(Cpi_[[#This Row],[Attribute]],#REF!,2,FALSE)</f>
        <v>#REF!</v>
      </c>
      <c r="F688">
        <v>115.4</v>
      </c>
      <c r="G688">
        <f>(Cpi_[[#This Row],[Value]]-F687)/F687</f>
        <v>3.8703870387038805E-2</v>
      </c>
      <c r="H688" t="e" cm="1" vm="1">
        <f t="array" aca="1" ref="H688" ca="1">VLOOKUP(Cpi_[[#This Row],[Year]:[Month]],crudeoil[],3,FALSE)</f>
        <v>#VALUE!</v>
      </c>
    </row>
    <row r="689" spans="1:8" hidden="1" x14ac:dyDescent="0.3">
      <c r="A689" t="s">
        <v>33</v>
      </c>
      <c r="B689">
        <v>2013</v>
      </c>
      <c r="C689" t="s">
        <v>42</v>
      </c>
      <c r="D689" t="s">
        <v>15</v>
      </c>
      <c r="E689" t="e">
        <f>VLOOKUP(Cpi_[[#This Row],[Attribute]],#REF!,2,FALSE)</f>
        <v>#REF!</v>
      </c>
      <c r="F689">
        <v>119.2</v>
      </c>
      <c r="G689">
        <f>(Cpi_[[#This Row],[Value]]-F688)/F688</f>
        <v>3.2928942807625622E-2</v>
      </c>
      <c r="H689" t="e" cm="1" vm="1">
        <f t="array" aca="1" ref="H689" ca="1">VLOOKUP(Cpi_[[#This Row],[Year]:[Month]],crudeoil[],3,FALSE)</f>
        <v>#VALUE!</v>
      </c>
    </row>
    <row r="690" spans="1:8" hidden="1" x14ac:dyDescent="0.3">
      <c r="A690" t="s">
        <v>33</v>
      </c>
      <c r="B690">
        <v>2013</v>
      </c>
      <c r="C690" t="s">
        <v>42</v>
      </c>
      <c r="D690" t="s">
        <v>16</v>
      </c>
      <c r="E690" t="e">
        <f>VLOOKUP(Cpi_[[#This Row],[Attribute]],#REF!,2,FALSE)</f>
        <v>#REF!</v>
      </c>
      <c r="F690">
        <v>112.9</v>
      </c>
      <c r="G690">
        <f>(Cpi_[[#This Row],[Value]]-F689)/F689</f>
        <v>-5.2852348993288563E-2</v>
      </c>
      <c r="H690" t="e" cm="1" vm="1">
        <f t="array" aca="1" ref="H690" ca="1">VLOOKUP(Cpi_[[#This Row],[Year]:[Month]],crudeoil[],3,FALSE)</f>
        <v>#VALUE!</v>
      </c>
    </row>
    <row r="691" spans="1:8" hidden="1" x14ac:dyDescent="0.3">
      <c r="A691" t="s">
        <v>33</v>
      </c>
      <c r="B691">
        <v>2013</v>
      </c>
      <c r="C691" t="s">
        <v>42</v>
      </c>
      <c r="D691" t="s">
        <v>17</v>
      </c>
      <c r="E691" t="e">
        <f>VLOOKUP(Cpi_[[#This Row],[Attribute]],#REF!,2,FALSE)</f>
        <v>#REF!</v>
      </c>
      <c r="F691">
        <v>111.4</v>
      </c>
      <c r="G691">
        <f>(Cpi_[[#This Row],[Value]]-F690)/F690</f>
        <v>-1.3286093888396812E-2</v>
      </c>
      <c r="H691" t="e" cm="1" vm="1">
        <f t="array" aca="1" ref="H691" ca="1">VLOOKUP(Cpi_[[#This Row],[Year]:[Month]],crudeoil[],3,FALSE)</f>
        <v>#VALUE!</v>
      </c>
    </row>
    <row r="692" spans="1:8" hidden="1" x14ac:dyDescent="0.3">
      <c r="A692" t="s">
        <v>33</v>
      </c>
      <c r="B692">
        <v>2013</v>
      </c>
      <c r="C692" t="s">
        <v>42</v>
      </c>
      <c r="D692" t="s">
        <v>18</v>
      </c>
      <c r="E692" t="e">
        <f>VLOOKUP(Cpi_[[#This Row],[Attribute]],#REF!,2,FALSE)</f>
        <v>#REF!</v>
      </c>
      <c r="F692">
        <v>109</v>
      </c>
      <c r="G692">
        <f>(Cpi_[[#This Row],[Value]]-F691)/F691</f>
        <v>-2.1543985637342958E-2</v>
      </c>
      <c r="H692" t="e" cm="1" vm="1">
        <f t="array" aca="1" ref="H692" ca="1">VLOOKUP(Cpi_[[#This Row],[Year]:[Month]],crudeoil[],3,FALSE)</f>
        <v>#VALUE!</v>
      </c>
    </row>
    <row r="693" spans="1:8" hidden="1" x14ac:dyDescent="0.3">
      <c r="A693" t="s">
        <v>33</v>
      </c>
      <c r="B693">
        <v>2013</v>
      </c>
      <c r="C693" t="s">
        <v>42</v>
      </c>
      <c r="D693" t="s">
        <v>19</v>
      </c>
      <c r="E693" t="e">
        <f>VLOOKUP(Cpi_[[#This Row],[Attribute]],#REF!,2,FALSE)</f>
        <v>#REF!</v>
      </c>
      <c r="F693">
        <v>111.1</v>
      </c>
      <c r="G693">
        <f>(Cpi_[[#This Row],[Value]]-F692)/F692</f>
        <v>1.9266055045871509E-2</v>
      </c>
      <c r="H693" t="e" cm="1" vm="1">
        <f t="array" aca="1" ref="H693" ca="1">VLOOKUP(Cpi_[[#This Row],[Year]:[Month]],crudeoil[],3,FALSE)</f>
        <v>#VALUE!</v>
      </c>
    </row>
    <row r="694" spans="1:8" hidden="1" x14ac:dyDescent="0.3">
      <c r="A694" t="s">
        <v>33</v>
      </c>
      <c r="B694">
        <v>2013</v>
      </c>
      <c r="C694" t="s">
        <v>42</v>
      </c>
      <c r="D694" t="s">
        <v>20</v>
      </c>
      <c r="E694" t="e">
        <f>VLOOKUP(Cpi_[[#This Row],[Attribute]],#REF!,2,FALSE)</f>
        <v>#REF!</v>
      </c>
      <c r="F694">
        <v>109.7</v>
      </c>
      <c r="G694">
        <f>(Cpi_[[#This Row],[Value]]-F693)/F693</f>
        <v>-1.2601260126012525E-2</v>
      </c>
      <c r="H694" t="e" cm="1" vm="1">
        <f t="array" aca="1" ref="H694" ca="1">VLOOKUP(Cpi_[[#This Row],[Year]:[Month]],crudeoil[],3,FALSE)</f>
        <v>#VALUE!</v>
      </c>
    </row>
    <row r="695" spans="1:8" hidden="1" x14ac:dyDescent="0.3">
      <c r="A695" t="s">
        <v>33</v>
      </c>
      <c r="B695">
        <v>2013</v>
      </c>
      <c r="C695" t="s">
        <v>42</v>
      </c>
      <c r="D695" t="s">
        <v>21</v>
      </c>
      <c r="E695" t="e">
        <f>VLOOKUP(Cpi_[[#This Row],[Attribute]],#REF!,2,FALSE)</f>
        <v>#REF!</v>
      </c>
      <c r="F695">
        <v>109.5</v>
      </c>
      <c r="G695">
        <f>(Cpi_[[#This Row],[Value]]-F694)/F694</f>
        <v>-1.8231540565178015E-3</v>
      </c>
      <c r="H695" t="e" cm="1" vm="1">
        <f t="array" aca="1" ref="H695" ca="1">VLOOKUP(Cpi_[[#This Row],[Year]:[Month]],crudeoil[],3,FALSE)</f>
        <v>#VALUE!</v>
      </c>
    </row>
    <row r="696" spans="1:8" hidden="1" x14ac:dyDescent="0.3">
      <c r="A696" t="s">
        <v>33</v>
      </c>
      <c r="B696">
        <v>2013</v>
      </c>
      <c r="C696" t="s">
        <v>42</v>
      </c>
      <c r="D696" t="s">
        <v>22</v>
      </c>
      <c r="E696" t="e">
        <f>VLOOKUP(Cpi_[[#This Row],[Attribute]],#REF!,2,FALSE)</f>
        <v>#REF!</v>
      </c>
      <c r="F696">
        <v>109.6</v>
      </c>
      <c r="G696">
        <f>(Cpi_[[#This Row],[Value]]-F695)/F695</f>
        <v>9.1324200913236813E-4</v>
      </c>
      <c r="H696" t="e" cm="1" vm="1">
        <f t="array" aca="1" ref="H696" ca="1">VLOOKUP(Cpi_[[#This Row],[Year]:[Month]],crudeoil[],3,FALSE)</f>
        <v>#VALUE!</v>
      </c>
    </row>
    <row r="697" spans="1:8" hidden="1" x14ac:dyDescent="0.3">
      <c r="A697" t="s">
        <v>33</v>
      </c>
      <c r="B697">
        <v>2013</v>
      </c>
      <c r="C697" t="s">
        <v>42</v>
      </c>
      <c r="D697" t="s">
        <v>23</v>
      </c>
      <c r="E697" t="e">
        <f>VLOOKUP(Cpi_[[#This Row],[Attribute]],#REF!,2,FALSE)</f>
        <v>#REF!</v>
      </c>
      <c r="F697">
        <v>107.9</v>
      </c>
      <c r="G697">
        <f>(Cpi_[[#This Row],[Value]]-F696)/F696</f>
        <v>-1.5510948905109387E-2</v>
      </c>
      <c r="H697" t="e" cm="1" vm="1">
        <f t="array" aca="1" ref="H697" ca="1">VLOOKUP(Cpi_[[#This Row],[Year]:[Month]],crudeoil[],3,FALSE)</f>
        <v>#VALUE!</v>
      </c>
    </row>
    <row r="698" spans="1:8" hidden="1" x14ac:dyDescent="0.3">
      <c r="A698" t="s">
        <v>33</v>
      </c>
      <c r="B698">
        <v>2013</v>
      </c>
      <c r="C698" t="s">
        <v>42</v>
      </c>
      <c r="D698" t="s">
        <v>24</v>
      </c>
      <c r="E698" t="e">
        <f>VLOOKUP(Cpi_[[#This Row],[Attribute]],#REF!,2,FALSE)</f>
        <v>#REF!</v>
      </c>
      <c r="F698">
        <v>110.4</v>
      </c>
      <c r="G698">
        <f>(Cpi_[[#This Row],[Value]]-F697)/F697</f>
        <v>2.3169601482854494E-2</v>
      </c>
      <c r="H698" t="e" cm="1" vm="1">
        <f t="array" aca="1" ref="H698" ca="1">VLOOKUP(Cpi_[[#This Row],[Year]:[Month]],crudeoil[],3,FALSE)</f>
        <v>#VALUE!</v>
      </c>
    </row>
    <row r="699" spans="1:8" hidden="1" x14ac:dyDescent="0.3">
      <c r="A699" t="s">
        <v>33</v>
      </c>
      <c r="B699">
        <v>2013</v>
      </c>
      <c r="C699" t="s">
        <v>42</v>
      </c>
      <c r="D699" t="s">
        <v>25</v>
      </c>
      <c r="E699" t="e">
        <f>VLOOKUP(Cpi_[[#This Row],[Attribute]],#REF!,2,FALSE)</f>
        <v>#REF!</v>
      </c>
      <c r="F699">
        <v>107.4</v>
      </c>
      <c r="G699">
        <f>(Cpi_[[#This Row],[Value]]-F698)/F698</f>
        <v>-2.717391304347826E-2</v>
      </c>
      <c r="H699" t="e" cm="1" vm="1">
        <f t="array" aca="1" ref="H699" ca="1">VLOOKUP(Cpi_[[#This Row],[Year]:[Month]],crudeoil[],3,FALSE)</f>
        <v>#VALUE!</v>
      </c>
    </row>
    <row r="700" spans="1:8" hidden="1" x14ac:dyDescent="0.3">
      <c r="A700" t="s">
        <v>33</v>
      </c>
      <c r="B700">
        <v>2013</v>
      </c>
      <c r="C700" t="s">
        <v>42</v>
      </c>
      <c r="D700" t="s">
        <v>26</v>
      </c>
      <c r="E700" t="e">
        <f>VLOOKUP(Cpi_[[#This Row],[Attribute]],#REF!,2,FALSE)</f>
        <v>#REF!</v>
      </c>
      <c r="F700">
        <v>111.2</v>
      </c>
      <c r="G700">
        <f>(Cpi_[[#This Row],[Value]]-F699)/F699</f>
        <v>3.5381750465549318E-2</v>
      </c>
      <c r="H700" t="e" cm="1" vm="1">
        <f t="array" aca="1" ref="H700" ca="1">VLOOKUP(Cpi_[[#This Row],[Year]:[Month]],crudeoil[],3,FALSE)</f>
        <v>#VALUE!</v>
      </c>
    </row>
    <row r="701" spans="1:8" hidden="1" x14ac:dyDescent="0.3">
      <c r="A701" t="s">
        <v>33</v>
      </c>
      <c r="B701">
        <v>2013</v>
      </c>
      <c r="C701" t="s">
        <v>42</v>
      </c>
      <c r="D701" t="s">
        <v>27</v>
      </c>
      <c r="E701" t="e">
        <f>VLOOKUP(Cpi_[[#This Row],[Attribute]],#REF!,2,FALSE)</f>
        <v>#REF!</v>
      </c>
      <c r="F701">
        <v>106.9</v>
      </c>
      <c r="G701">
        <f>(Cpi_[[#This Row],[Value]]-F700)/F700</f>
        <v>-3.8669064748201414E-2</v>
      </c>
      <c r="H701" t="e" cm="1" vm="1">
        <f t="array" aca="1" ref="H701" ca="1">VLOOKUP(Cpi_[[#This Row],[Year]:[Month]],crudeoil[],3,FALSE)</f>
        <v>#VALUE!</v>
      </c>
    </row>
    <row r="702" spans="1:8" hidden="1" x14ac:dyDescent="0.3">
      <c r="A702" t="s">
        <v>33</v>
      </c>
      <c r="B702">
        <v>2013</v>
      </c>
      <c r="C702" t="s">
        <v>42</v>
      </c>
      <c r="D702" t="s">
        <v>28</v>
      </c>
      <c r="E702" t="e">
        <f>VLOOKUP(Cpi_[[#This Row],[Attribute]],#REF!,2,FALSE)</f>
        <v>#REF!</v>
      </c>
      <c r="F702">
        <v>109.4</v>
      </c>
      <c r="G702">
        <f>(Cpi_[[#This Row],[Value]]-F701)/F701</f>
        <v>2.3386342376052385E-2</v>
      </c>
      <c r="H702" t="e" cm="1" vm="1">
        <f t="array" aca="1" ref="H702" ca="1">VLOOKUP(Cpi_[[#This Row],[Year]:[Month]],crudeoil[],3,FALSE)</f>
        <v>#VALUE!</v>
      </c>
    </row>
    <row r="703" spans="1:8" hidden="1" x14ac:dyDescent="0.3">
      <c r="A703" t="s">
        <v>33</v>
      </c>
      <c r="B703">
        <v>2013</v>
      </c>
      <c r="C703" t="s">
        <v>42</v>
      </c>
      <c r="D703" t="s">
        <v>29</v>
      </c>
      <c r="E703" t="e" cm="1">
        <f t="array" aca="1" ref="E703" ca="1">VLGeneral indexGeneral indexKUP(Cpi_[[#This Row],[Attribute]],#REF!,2,FALSE)</f>
        <v>#NAME?</v>
      </c>
      <c r="F703">
        <v>113.2</v>
      </c>
      <c r="G703">
        <f>(Cpi_[[#This Row],[Value]]-F702)/F702</f>
        <v>3.4734917733089551E-2</v>
      </c>
      <c r="H703" t="e" cm="1" vm="1">
        <f t="array" aca="1" ref="H703" ca="1">VLOOKUP(Cpi_[[#This Row],[Year]:[Month]],crudeoil[],3,FALSE)</f>
        <v>#VALUE!</v>
      </c>
    </row>
    <row r="704" spans="1:8" hidden="1" x14ac:dyDescent="0.3">
      <c r="A704" t="s">
        <v>34</v>
      </c>
      <c r="B704">
        <v>2013</v>
      </c>
      <c r="C704" t="s">
        <v>42</v>
      </c>
      <c r="D704" t="s">
        <v>3</v>
      </c>
      <c r="E704" t="e">
        <f>VLOOKUP(Cpi_[[#This Row],[Attribute]],#REF!,2,FALSE)</f>
        <v>#REF!</v>
      </c>
      <c r="F704">
        <v>116.4</v>
      </c>
      <c r="G704">
        <f>(Cpi_[[#This Row],[Value]]-F703)/F703</f>
        <v>2.8268551236749141E-2</v>
      </c>
      <c r="H704" t="e" cm="1" vm="1">
        <f t="array" aca="1" ref="H704" ca="1">VLOOKUP(Cpi_[[#This Row],[Year]:[Month]],crudeoil[],3,FALSE)</f>
        <v>#VALUE!</v>
      </c>
    </row>
    <row r="705" spans="1:8" hidden="1" x14ac:dyDescent="0.3">
      <c r="A705" t="s">
        <v>34</v>
      </c>
      <c r="B705">
        <v>2013</v>
      </c>
      <c r="C705" t="s">
        <v>42</v>
      </c>
      <c r="D705" t="s">
        <v>4</v>
      </c>
      <c r="E705" t="e">
        <f>VLOOKUP(Cpi_[[#This Row],[Attribute]],#REF!,2,FALSE)</f>
        <v>#REF!</v>
      </c>
      <c r="F705">
        <v>116.9</v>
      </c>
      <c r="G705">
        <f>(Cpi_[[#This Row],[Value]]-F704)/F704</f>
        <v>4.2955326460481094E-3</v>
      </c>
      <c r="H705" t="e" cm="1" vm="1">
        <f t="array" aca="1" ref="H705" ca="1">VLOOKUP(Cpi_[[#This Row],[Year]:[Month]],crudeoil[],3,FALSE)</f>
        <v>#VALUE!</v>
      </c>
    </row>
    <row r="706" spans="1:8" hidden="1" x14ac:dyDescent="0.3">
      <c r="A706" t="s">
        <v>34</v>
      </c>
      <c r="B706">
        <v>2013</v>
      </c>
      <c r="C706" t="s">
        <v>42</v>
      </c>
      <c r="D706" t="s">
        <v>5</v>
      </c>
      <c r="E706" t="e">
        <f>VLOOKUP(Cpi_[[#This Row],[Attribute]],#REF!,2,FALSE)</f>
        <v>#REF!</v>
      </c>
      <c r="F706">
        <v>112.3</v>
      </c>
      <c r="G706">
        <f>(Cpi_[[#This Row],[Value]]-F705)/F705</f>
        <v>-3.9349871685201099E-2</v>
      </c>
      <c r="H706" t="e" cm="1" vm="1">
        <f t="array" aca="1" ref="H706" ca="1">VLOOKUP(Cpi_[[#This Row],[Year]:[Month]],crudeoil[],3,FALSE)</f>
        <v>#VALUE!</v>
      </c>
    </row>
    <row r="707" spans="1:8" hidden="1" x14ac:dyDescent="0.3">
      <c r="A707" t="s">
        <v>34</v>
      </c>
      <c r="B707">
        <v>2013</v>
      </c>
      <c r="C707" t="s">
        <v>42</v>
      </c>
      <c r="D707" t="s">
        <v>6</v>
      </c>
      <c r="E707" t="e">
        <f>VLOOKUP(Cpi_[[#This Row],[Attribute]],#REF!,2,FALSE)</f>
        <v>#REF!</v>
      </c>
      <c r="F707">
        <v>110.5</v>
      </c>
      <c r="G707">
        <f>(Cpi_[[#This Row],[Value]]-F706)/F706</f>
        <v>-1.6028495102404249E-2</v>
      </c>
      <c r="H707" t="e" cm="1" vm="1">
        <f t="array" aca="1" ref="H707" ca="1">VLOOKUP(Cpi_[[#This Row],[Year]:[Month]],crudeoil[],3,FALSE)</f>
        <v>#VALUE!</v>
      </c>
    </row>
    <row r="708" spans="1:8" hidden="1" x14ac:dyDescent="0.3">
      <c r="A708" t="s">
        <v>34</v>
      </c>
      <c r="B708">
        <v>2013</v>
      </c>
      <c r="C708" t="s">
        <v>42</v>
      </c>
      <c r="D708" t="s">
        <v>7</v>
      </c>
      <c r="E708" t="e">
        <f>VLOOKUP(Cpi_[[#This Row],[Attribute]],#REF!,2,FALSE)</f>
        <v>#REF!</v>
      </c>
      <c r="F708">
        <v>105.3</v>
      </c>
      <c r="G708">
        <f>(Cpi_[[#This Row],[Value]]-F707)/F707</f>
        <v>-4.7058823529411792E-2</v>
      </c>
      <c r="H708" t="e" cm="1" vm="1">
        <f t="array" aca="1" ref="H708" ca="1">VLOOKUP(Cpi_[[#This Row],[Year]:[Month]],crudeoil[],3,FALSE)</f>
        <v>#VALUE!</v>
      </c>
    </row>
    <row r="709" spans="1:8" hidden="1" x14ac:dyDescent="0.3">
      <c r="A709" t="s">
        <v>34</v>
      </c>
      <c r="B709">
        <v>2013</v>
      </c>
      <c r="C709" t="s">
        <v>42</v>
      </c>
      <c r="D709" t="s">
        <v>8</v>
      </c>
      <c r="E709" t="e">
        <f>VLOOKUP(Cpi_[[#This Row],[Attribute]],#REF!,2,FALSE)</f>
        <v>#REF!</v>
      </c>
      <c r="F709">
        <v>107.3</v>
      </c>
      <c r="G709">
        <f>(Cpi_[[#This Row],[Value]]-F708)/F708</f>
        <v>1.8993352326685659E-2</v>
      </c>
      <c r="H709" t="e" cm="1" vm="1">
        <f t="array" aca="1" ref="H709" ca="1">VLOOKUP(Cpi_[[#This Row],[Year]:[Month]],crudeoil[],3,FALSE)</f>
        <v>#VALUE!</v>
      </c>
    </row>
    <row r="710" spans="1:8" hidden="1" x14ac:dyDescent="0.3">
      <c r="A710" t="s">
        <v>34</v>
      </c>
      <c r="B710">
        <v>2013</v>
      </c>
      <c r="C710" t="s">
        <v>42</v>
      </c>
      <c r="D710" t="s">
        <v>9</v>
      </c>
      <c r="E710" t="e">
        <f>VLOOKUP(Cpi_[[#This Row],[Attribute]],#REF!,2,FALSE)</f>
        <v>#REF!</v>
      </c>
      <c r="F710">
        <v>160.9</v>
      </c>
      <c r="G710">
        <f>(Cpi_[[#This Row],[Value]]-F709)/F709</f>
        <v>0.49953401677539616</v>
      </c>
      <c r="H710" t="e" cm="1" vm="1">
        <f t="array" aca="1" ref="H710" ca="1">VLOOKUP(Cpi_[[#This Row],[Year]:[Month]],crudeoil[],3,FALSE)</f>
        <v>#VALUE!</v>
      </c>
    </row>
    <row r="711" spans="1:8" hidden="1" x14ac:dyDescent="0.3">
      <c r="A711" t="s">
        <v>34</v>
      </c>
      <c r="B711">
        <v>2013</v>
      </c>
      <c r="C711" t="s">
        <v>42</v>
      </c>
      <c r="D711" t="s">
        <v>10</v>
      </c>
      <c r="E711" t="e">
        <f>VLOOKUP(Cpi_[[#This Row],[Attribute]],#REF!,2,FALSE)</f>
        <v>#REF!</v>
      </c>
      <c r="F711">
        <v>107.1</v>
      </c>
      <c r="G711">
        <f>(Cpi_[[#This Row],[Value]]-F710)/F710</f>
        <v>-0.33436917339962713</v>
      </c>
      <c r="H711" t="e" cm="1" vm="1">
        <f t="array" aca="1" ref="H711" ca="1">VLOOKUP(Cpi_[[#This Row],[Year]:[Month]],crudeoil[],3,FALSE)</f>
        <v>#VALUE!</v>
      </c>
    </row>
    <row r="712" spans="1:8" hidden="1" x14ac:dyDescent="0.3">
      <c r="A712" t="s">
        <v>34</v>
      </c>
      <c r="B712">
        <v>2013</v>
      </c>
      <c r="C712" t="s">
        <v>42</v>
      </c>
      <c r="D712" t="s">
        <v>11</v>
      </c>
      <c r="E712" t="e">
        <f>VLOOKUP(Cpi_[[#This Row],[Attribute]],#REF!,2,FALSE)</f>
        <v>#REF!</v>
      </c>
      <c r="F712">
        <v>103.1</v>
      </c>
      <c r="G712">
        <f>(Cpi_[[#This Row],[Value]]-F711)/F711</f>
        <v>-3.7348272642390289E-2</v>
      </c>
      <c r="H712" t="e" cm="1" vm="1">
        <f t="array" aca="1" ref="H712" ca="1">VLOOKUP(Cpi_[[#This Row],[Year]:[Month]],crudeoil[],3,FALSE)</f>
        <v>#VALUE!</v>
      </c>
    </row>
    <row r="713" spans="1:8" hidden="1" x14ac:dyDescent="0.3">
      <c r="A713" t="s">
        <v>34</v>
      </c>
      <c r="B713">
        <v>2013</v>
      </c>
      <c r="C713" t="s">
        <v>42</v>
      </c>
      <c r="D713" t="s">
        <v>12</v>
      </c>
      <c r="E713" t="e">
        <f>VLOOKUP(Cpi_[[#This Row],[Attribute]],#REF!,2,FALSE)</f>
        <v>#REF!</v>
      </c>
      <c r="F713">
        <v>108.3</v>
      </c>
      <c r="G713">
        <f>(Cpi_[[#This Row],[Value]]-F712)/F712</f>
        <v>5.0436469447138733E-2</v>
      </c>
      <c r="H713" t="e" cm="1" vm="1">
        <f t="array" aca="1" ref="H713" ca="1">VLOOKUP(Cpi_[[#This Row],[Year]:[Month]],crudeoil[],3,FALSE)</f>
        <v>#VALUE!</v>
      </c>
    </row>
    <row r="714" spans="1:8" hidden="1" x14ac:dyDescent="0.3">
      <c r="A714" t="s">
        <v>34</v>
      </c>
      <c r="B714">
        <v>2013</v>
      </c>
      <c r="C714" t="s">
        <v>42</v>
      </c>
      <c r="D714" t="s">
        <v>13</v>
      </c>
      <c r="E714" t="e">
        <f>VLOOKUP(Cpi_[[#This Row],[Attribute]],#REF!,2,FALSE)</f>
        <v>#REF!</v>
      </c>
      <c r="F714">
        <v>110.7</v>
      </c>
      <c r="G714">
        <f>(Cpi_[[#This Row],[Value]]-F713)/F713</f>
        <v>2.216066481994465E-2</v>
      </c>
      <c r="H714" t="e" cm="1" vm="1">
        <f t="array" aca="1" ref="H714" ca="1">VLOOKUP(Cpi_[[#This Row],[Year]:[Month]],crudeoil[],3,FALSE)</f>
        <v>#VALUE!</v>
      </c>
    </row>
    <row r="715" spans="1:8" hidden="1" x14ac:dyDescent="0.3">
      <c r="A715" t="s">
        <v>34</v>
      </c>
      <c r="B715">
        <v>2013</v>
      </c>
      <c r="C715" t="s">
        <v>42</v>
      </c>
      <c r="D715" t="s">
        <v>14</v>
      </c>
      <c r="E715" t="e">
        <f>VLOOKUP(Cpi_[[#This Row],[Attribute]],#REF!,2,FALSE)</f>
        <v>#REF!</v>
      </c>
      <c r="F715">
        <v>114.6</v>
      </c>
      <c r="G715">
        <f>(Cpi_[[#This Row],[Value]]-F714)/F714</f>
        <v>3.5230352303522956E-2</v>
      </c>
      <c r="H715" t="e" cm="1" vm="1">
        <f t="array" aca="1" ref="H715" ca="1">VLOOKUP(Cpi_[[#This Row],[Year]:[Month]],crudeoil[],3,FALSE)</f>
        <v>#VALUE!</v>
      </c>
    </row>
    <row r="716" spans="1:8" hidden="1" x14ac:dyDescent="0.3">
      <c r="A716" t="s">
        <v>34</v>
      </c>
      <c r="B716">
        <v>2013</v>
      </c>
      <c r="C716" t="s">
        <v>42</v>
      </c>
      <c r="D716" t="s">
        <v>15</v>
      </c>
      <c r="E716" t="e">
        <f>VLOOKUP(Cpi_[[#This Row],[Attribute]],#REF!,2,FALSE)</f>
        <v>#REF!</v>
      </c>
      <c r="F716">
        <v>118.3</v>
      </c>
      <c r="G716">
        <f>(Cpi_[[#This Row],[Value]]-F715)/F715</f>
        <v>3.2286212914485191E-2</v>
      </c>
      <c r="H716" t="e" cm="1" vm="1">
        <f t="array" aca="1" ref="H716" ca="1">VLOOKUP(Cpi_[[#This Row],[Year]:[Month]],crudeoil[],3,FALSE)</f>
        <v>#VALUE!</v>
      </c>
    </row>
    <row r="717" spans="1:8" hidden="1" x14ac:dyDescent="0.3">
      <c r="A717" t="s">
        <v>34</v>
      </c>
      <c r="B717">
        <v>2013</v>
      </c>
      <c r="C717" t="s">
        <v>42</v>
      </c>
      <c r="D717" t="s">
        <v>16</v>
      </c>
      <c r="E717" t="e">
        <f>VLOOKUP(Cpi_[[#This Row],[Attribute]],#REF!,2,FALSE)</f>
        <v>#REF!</v>
      </c>
      <c r="F717">
        <v>112</v>
      </c>
      <c r="G717">
        <f>(Cpi_[[#This Row],[Value]]-F716)/F716</f>
        <v>-5.3254437869822466E-2</v>
      </c>
      <c r="H717" t="e" cm="1" vm="1">
        <f t="array" aca="1" ref="H717" ca="1">VLOOKUP(Cpi_[[#This Row],[Year]:[Month]],crudeoil[],3,FALSE)</f>
        <v>#VALUE!</v>
      </c>
    </row>
    <row r="718" spans="1:8" hidden="1" x14ac:dyDescent="0.3">
      <c r="A718" t="s">
        <v>34</v>
      </c>
      <c r="B718">
        <v>2013</v>
      </c>
      <c r="C718" t="s">
        <v>42</v>
      </c>
      <c r="D718" t="s">
        <v>17</v>
      </c>
      <c r="E718" t="e">
        <f>VLOOKUP(Cpi_[[#This Row],[Attribute]],#REF!,2,FALSE)</f>
        <v>#REF!</v>
      </c>
      <c r="F718">
        <v>112.2</v>
      </c>
      <c r="G718">
        <f>(Cpi_[[#This Row],[Value]]-F717)/F717</f>
        <v>1.785714285714311E-3</v>
      </c>
      <c r="H718" t="e" cm="1" vm="1">
        <f t="array" aca="1" ref="H718" ca="1">VLOOKUP(Cpi_[[#This Row],[Year]:[Month]],crudeoil[],3,FALSE)</f>
        <v>#VALUE!</v>
      </c>
    </row>
    <row r="719" spans="1:8" hidden="1" x14ac:dyDescent="0.3">
      <c r="A719" t="s">
        <v>34</v>
      </c>
      <c r="B719">
        <v>2013</v>
      </c>
      <c r="C719" t="s">
        <v>42</v>
      </c>
      <c r="D719" t="s">
        <v>18</v>
      </c>
      <c r="E719" t="e">
        <f>VLOOKUP(Cpi_[[#This Row],[Attribute]],#REF!,2,FALSE)</f>
        <v>#REF!</v>
      </c>
      <c r="F719">
        <v>110.4</v>
      </c>
      <c r="G719">
        <f>(Cpi_[[#This Row],[Value]]-F718)/F718</f>
        <v>-1.6042780748663076E-2</v>
      </c>
      <c r="H719" t="e" cm="1" vm="1">
        <f t="array" aca="1" ref="H719" ca="1">VLOOKUP(Cpi_[[#This Row],[Year]:[Month]],crudeoil[],3,FALSE)</f>
        <v>#VALUE!</v>
      </c>
    </row>
    <row r="720" spans="1:8" hidden="1" x14ac:dyDescent="0.3">
      <c r="A720" t="s">
        <v>34</v>
      </c>
      <c r="B720">
        <v>2013</v>
      </c>
      <c r="C720" t="s">
        <v>42</v>
      </c>
      <c r="D720" t="s">
        <v>19</v>
      </c>
      <c r="E720" t="e">
        <f>VLOOKUP(Cpi_[[#This Row],[Attribute]],#REF!,2,FALSE)</f>
        <v>#REF!</v>
      </c>
      <c r="F720">
        <v>111.9</v>
      </c>
      <c r="G720">
        <f>(Cpi_[[#This Row],[Value]]-F719)/F719</f>
        <v>1.358695652173913E-2</v>
      </c>
      <c r="H720" t="e" cm="1" vm="1">
        <f t="array" aca="1" ref="H720" ca="1">VLOOKUP(Cpi_[[#This Row],[Year]:[Month]],crudeoil[],3,FALSE)</f>
        <v>#VALUE!</v>
      </c>
    </row>
    <row r="721" spans="1:8" hidden="1" x14ac:dyDescent="0.3">
      <c r="A721" t="s">
        <v>34</v>
      </c>
      <c r="B721">
        <v>2013</v>
      </c>
      <c r="C721" t="s">
        <v>42</v>
      </c>
      <c r="D721" t="s">
        <v>20</v>
      </c>
      <c r="E721" t="e">
        <f>VLOOKUP(Cpi_[[#This Row],[Attribute]],#REF!,2,FALSE)</f>
        <v>#REF!</v>
      </c>
      <c r="F721">
        <v>109.7</v>
      </c>
      <c r="G721">
        <f>(Cpi_[[#This Row],[Value]]-F720)/F720</f>
        <v>-1.9660411081322635E-2</v>
      </c>
      <c r="H721" t="e" cm="1" vm="1">
        <f t="array" aca="1" ref="H721" ca="1">VLOOKUP(Cpi_[[#This Row],[Year]:[Month]],crudeoil[],3,FALSE)</f>
        <v>#VALUE!</v>
      </c>
    </row>
    <row r="722" spans="1:8" hidden="1" x14ac:dyDescent="0.3">
      <c r="A722" t="s">
        <v>34</v>
      </c>
      <c r="B722">
        <v>2013</v>
      </c>
      <c r="C722" t="s">
        <v>42</v>
      </c>
      <c r="D722" t="s">
        <v>21</v>
      </c>
      <c r="E722" t="e">
        <f>VLOOKUP(Cpi_[[#This Row],[Attribute]],#REF!,2,FALSE)</f>
        <v>#REF!</v>
      </c>
      <c r="F722">
        <v>110.5</v>
      </c>
      <c r="G722">
        <f>(Cpi_[[#This Row],[Value]]-F721)/F721</f>
        <v>7.2926162260710768E-3</v>
      </c>
      <c r="H722" t="e" cm="1" vm="1">
        <f t="array" aca="1" ref="H722" ca="1">VLOOKUP(Cpi_[[#This Row],[Year]:[Month]],crudeoil[],3,FALSE)</f>
        <v>#VALUE!</v>
      </c>
    </row>
    <row r="723" spans="1:8" hidden="1" x14ac:dyDescent="0.3">
      <c r="A723" t="s">
        <v>34</v>
      </c>
      <c r="B723">
        <v>2013</v>
      </c>
      <c r="C723" t="s">
        <v>42</v>
      </c>
      <c r="D723" t="s">
        <v>22</v>
      </c>
      <c r="E723" t="e">
        <f>VLOOKUP(Cpi_[[#This Row],[Attribute]],#REF!,2,FALSE)</f>
        <v>#REF!</v>
      </c>
      <c r="F723">
        <v>109.6</v>
      </c>
      <c r="G723">
        <f>(Cpi_[[#This Row],[Value]]-F722)/F722</f>
        <v>-8.1447963800905486E-3</v>
      </c>
      <c r="H723" t="e" cm="1" vm="1">
        <f t="array" aca="1" ref="H723" ca="1">VLOOKUP(Cpi_[[#This Row],[Year]:[Month]],crudeoil[],3,FALSE)</f>
        <v>#VALUE!</v>
      </c>
    </row>
    <row r="724" spans="1:8" hidden="1" x14ac:dyDescent="0.3">
      <c r="A724" t="s">
        <v>34</v>
      </c>
      <c r="B724">
        <v>2013</v>
      </c>
      <c r="C724" t="s">
        <v>42</v>
      </c>
      <c r="D724" t="s">
        <v>23</v>
      </c>
      <c r="E724" t="e">
        <f>VLOOKUP(Cpi_[[#This Row],[Attribute]],#REF!,2,FALSE)</f>
        <v>#REF!</v>
      </c>
      <c r="F724">
        <v>108.1</v>
      </c>
      <c r="G724">
        <f>(Cpi_[[#This Row],[Value]]-F723)/F723</f>
        <v>-1.3686131386861315E-2</v>
      </c>
      <c r="H724" t="e" cm="1" vm="1">
        <f t="array" aca="1" ref="H724" ca="1">VLOOKUP(Cpi_[[#This Row],[Year]:[Month]],crudeoil[],3,FALSE)</f>
        <v>#VALUE!</v>
      </c>
    </row>
    <row r="725" spans="1:8" hidden="1" x14ac:dyDescent="0.3">
      <c r="A725" t="s">
        <v>34</v>
      </c>
      <c r="B725">
        <v>2013</v>
      </c>
      <c r="C725" t="s">
        <v>42</v>
      </c>
      <c r="D725" t="s">
        <v>24</v>
      </c>
      <c r="E725" t="e">
        <f>VLOOKUP(Cpi_[[#This Row],[Attribute]],#REF!,2,FALSE)</f>
        <v>#REF!</v>
      </c>
      <c r="F725">
        <v>109.9</v>
      </c>
      <c r="G725">
        <f>(Cpi_[[#This Row],[Value]]-F724)/F724</f>
        <v>1.6651248843663379E-2</v>
      </c>
      <c r="H725" t="e" cm="1" vm="1">
        <f t="array" aca="1" ref="H725" ca="1">VLOOKUP(Cpi_[[#This Row],[Year]:[Month]],crudeoil[],3,FALSE)</f>
        <v>#VALUE!</v>
      </c>
    </row>
    <row r="726" spans="1:8" hidden="1" x14ac:dyDescent="0.3">
      <c r="A726" t="s">
        <v>34</v>
      </c>
      <c r="B726">
        <v>2013</v>
      </c>
      <c r="C726" t="s">
        <v>42</v>
      </c>
      <c r="D726" t="s">
        <v>25</v>
      </c>
      <c r="E726" t="e">
        <f>VLOOKUP(Cpi_[[#This Row],[Attribute]],#REF!,2,FALSE)</f>
        <v>#REF!</v>
      </c>
      <c r="F726">
        <v>107.5</v>
      </c>
      <c r="G726">
        <f>(Cpi_[[#This Row],[Value]]-F725)/F725</f>
        <v>-2.183803457688813E-2</v>
      </c>
      <c r="H726" t="e" cm="1" vm="1">
        <f t="array" aca="1" ref="H726" ca="1">VLOOKUP(Cpi_[[#This Row],[Year]:[Month]],crudeoil[],3,FALSE)</f>
        <v>#VALUE!</v>
      </c>
    </row>
    <row r="727" spans="1:8" hidden="1" x14ac:dyDescent="0.3">
      <c r="A727" t="s">
        <v>34</v>
      </c>
      <c r="B727">
        <v>2013</v>
      </c>
      <c r="C727" t="s">
        <v>42</v>
      </c>
      <c r="D727" t="s">
        <v>26</v>
      </c>
      <c r="E727" t="e">
        <f>VLOOKUP(Cpi_[[#This Row],[Attribute]],#REF!,2,FALSE)</f>
        <v>#REF!</v>
      </c>
      <c r="F727">
        <v>110.6</v>
      </c>
      <c r="G727">
        <f>(Cpi_[[#This Row],[Value]]-F726)/F726</f>
        <v>2.8837209302325528E-2</v>
      </c>
      <c r="H727" t="e" cm="1" vm="1">
        <f t="array" aca="1" ref="H727" ca="1">VLOOKUP(Cpi_[[#This Row],[Year]:[Month]],crudeoil[],3,FALSE)</f>
        <v>#VALUE!</v>
      </c>
    </row>
    <row r="728" spans="1:8" hidden="1" x14ac:dyDescent="0.3">
      <c r="A728" t="s">
        <v>34</v>
      </c>
      <c r="B728">
        <v>2013</v>
      </c>
      <c r="C728" t="s">
        <v>42</v>
      </c>
      <c r="D728" t="s">
        <v>27</v>
      </c>
      <c r="E728" t="e">
        <f>VLOOKUP(Cpi_[[#This Row],[Attribute]],#REF!,2,FALSE)</f>
        <v>#REF!</v>
      </c>
      <c r="F728">
        <v>106.8</v>
      </c>
      <c r="G728">
        <f>(Cpi_[[#This Row],[Value]]-F727)/F727</f>
        <v>-3.4358047016274838E-2</v>
      </c>
      <c r="H728" t="e" cm="1" vm="1">
        <f t="array" aca="1" ref="H728" ca="1">VLOOKUP(Cpi_[[#This Row],[Year]:[Month]],crudeoil[],3,FALSE)</f>
        <v>#VALUE!</v>
      </c>
    </row>
    <row r="729" spans="1:8" hidden="1" x14ac:dyDescent="0.3">
      <c r="A729" t="s">
        <v>34</v>
      </c>
      <c r="B729">
        <v>2013</v>
      </c>
      <c r="C729" t="s">
        <v>42</v>
      </c>
      <c r="D729" t="s">
        <v>28</v>
      </c>
      <c r="E729" t="e">
        <f>VLOOKUP(Cpi_[[#This Row],[Attribute]],#REF!,2,FALSE)</f>
        <v>#REF!</v>
      </c>
      <c r="F729">
        <v>109</v>
      </c>
      <c r="G729">
        <f>(Cpi_[[#This Row],[Value]]-F728)/F728</f>
        <v>2.0599250936329614E-2</v>
      </c>
      <c r="H729" t="e" cm="1" vm="1">
        <f t="array" aca="1" ref="H729" ca="1">VLOOKUP(Cpi_[[#This Row],[Year]:[Month]],crudeoil[],3,FALSE)</f>
        <v>#VALUE!</v>
      </c>
    </row>
    <row r="730" spans="1:8" hidden="1" x14ac:dyDescent="0.3">
      <c r="A730" t="s">
        <v>34</v>
      </c>
      <c r="B730">
        <v>2013</v>
      </c>
      <c r="C730" t="s">
        <v>42</v>
      </c>
      <c r="D730" t="s">
        <v>29</v>
      </c>
      <c r="E730" t="e" cm="1">
        <f t="array" aca="1" ref="E730" ca="1">VLGeneral indexGeneral indexKUP(Cpi_[[#This Row],[Attribute]],#REF!,2,FALSE)</f>
        <v>#NAME?</v>
      </c>
      <c r="F730">
        <v>113.7</v>
      </c>
      <c r="G730">
        <f>(Cpi_[[#This Row],[Value]]-F729)/F729</f>
        <v>4.3119266055045895E-2</v>
      </c>
      <c r="H730" t="e" cm="1" vm="1">
        <f t="array" aca="1" ref="H730" ca="1">VLOOKUP(Cpi_[[#This Row],[Year]:[Month]],crudeoil[],3,FALSE)</f>
        <v>#VALUE!</v>
      </c>
    </row>
    <row r="731" spans="1:8" hidden="1" x14ac:dyDescent="0.3">
      <c r="A731" t="s">
        <v>30</v>
      </c>
      <c r="B731">
        <v>2013</v>
      </c>
      <c r="C731" t="s">
        <v>43</v>
      </c>
      <c r="D731" t="s">
        <v>3</v>
      </c>
      <c r="E731" t="e">
        <f>VLOOKUP(Cpi_[[#This Row],[Attribute]],#REF!,2,FALSE)</f>
        <v>#REF!</v>
      </c>
      <c r="F731">
        <v>116.3</v>
      </c>
      <c r="G731">
        <f>(Cpi_[[#This Row],[Value]]-F730)/F730</f>
        <v>2.2867194371152103E-2</v>
      </c>
      <c r="H731" t="e" cm="1" vm="1">
        <f t="array" aca="1" ref="H731" ca="1">VLOOKUP(Cpi_[[#This Row],[Year]:[Month]],crudeoil[],3,FALSE)</f>
        <v>#VALUE!</v>
      </c>
    </row>
    <row r="732" spans="1:8" hidden="1" x14ac:dyDescent="0.3">
      <c r="A732" t="s">
        <v>30</v>
      </c>
      <c r="B732">
        <v>2013</v>
      </c>
      <c r="C732" t="s">
        <v>43</v>
      </c>
      <c r="D732" t="s">
        <v>4</v>
      </c>
      <c r="E732" t="e">
        <f>VLOOKUP(Cpi_[[#This Row],[Attribute]],#REF!,2,FALSE)</f>
        <v>#REF!</v>
      </c>
      <c r="F732">
        <v>115.4</v>
      </c>
      <c r="G732">
        <f>(Cpi_[[#This Row],[Value]]-F731)/F731</f>
        <v>-7.7386070507307952E-3</v>
      </c>
      <c r="H732" t="e" cm="1" vm="1">
        <f t="array" aca="1" ref="H732" ca="1">VLOOKUP(Cpi_[[#This Row],[Year]:[Month]],crudeoil[],3,FALSE)</f>
        <v>#VALUE!</v>
      </c>
    </row>
    <row r="733" spans="1:8" hidden="1" x14ac:dyDescent="0.3">
      <c r="A733" t="s">
        <v>30</v>
      </c>
      <c r="B733">
        <v>2013</v>
      </c>
      <c r="C733" t="s">
        <v>43</v>
      </c>
      <c r="D733" t="s">
        <v>5</v>
      </c>
      <c r="E733" t="e">
        <f>VLOOKUP(Cpi_[[#This Row],[Attribute]],#REF!,2,FALSE)</f>
        <v>#REF!</v>
      </c>
      <c r="F733">
        <v>112.6</v>
      </c>
      <c r="G733">
        <f>(Cpi_[[#This Row],[Value]]-F732)/F732</f>
        <v>-2.4263431542461102E-2</v>
      </c>
      <c r="H733" t="e" cm="1" vm="1">
        <f t="array" aca="1" ref="H733" ca="1">VLOOKUP(Cpi_[[#This Row],[Year]:[Month]],crudeoil[],3,FALSE)</f>
        <v>#VALUE!</v>
      </c>
    </row>
    <row r="734" spans="1:8" hidden="1" x14ac:dyDescent="0.3">
      <c r="A734" t="s">
        <v>30</v>
      </c>
      <c r="B734">
        <v>2013</v>
      </c>
      <c r="C734" t="s">
        <v>43</v>
      </c>
      <c r="D734" t="s">
        <v>6</v>
      </c>
      <c r="E734" t="e">
        <f>VLOOKUP(Cpi_[[#This Row],[Attribute]],#REF!,2,FALSE)</f>
        <v>#REF!</v>
      </c>
      <c r="F734">
        <v>111.7</v>
      </c>
      <c r="G734">
        <f>(Cpi_[[#This Row],[Value]]-F733)/F733</f>
        <v>-7.9928952042628027E-3</v>
      </c>
      <c r="H734" t="e" cm="1" vm="1">
        <f t="array" aca="1" ref="H734" ca="1">VLOOKUP(Cpi_[[#This Row],[Year]:[Month]],crudeoil[],3,FALSE)</f>
        <v>#VALUE!</v>
      </c>
    </row>
    <row r="735" spans="1:8" hidden="1" x14ac:dyDescent="0.3">
      <c r="A735" t="s">
        <v>30</v>
      </c>
      <c r="B735">
        <v>2013</v>
      </c>
      <c r="C735" t="s">
        <v>43</v>
      </c>
      <c r="D735" t="s">
        <v>7</v>
      </c>
      <c r="E735" t="e">
        <f>VLOOKUP(Cpi_[[#This Row],[Attribute]],#REF!,2,FALSE)</f>
        <v>#REF!</v>
      </c>
      <c r="F735">
        <v>107.7</v>
      </c>
      <c r="G735">
        <f>(Cpi_[[#This Row],[Value]]-F734)/F734</f>
        <v>-3.5810205908683973E-2</v>
      </c>
      <c r="H735" t="e" cm="1" vm="1">
        <f t="array" aca="1" ref="H735" ca="1">VLOOKUP(Cpi_[[#This Row],[Year]:[Month]],crudeoil[],3,FALSE)</f>
        <v>#VALUE!</v>
      </c>
    </row>
    <row r="736" spans="1:8" hidden="1" x14ac:dyDescent="0.3">
      <c r="A736" t="s">
        <v>30</v>
      </c>
      <c r="B736">
        <v>2013</v>
      </c>
      <c r="C736" t="s">
        <v>43</v>
      </c>
      <c r="D736" t="s">
        <v>8</v>
      </c>
      <c r="E736" t="e">
        <f>VLOOKUP(Cpi_[[#This Row],[Attribute]],#REF!,2,FALSE)</f>
        <v>#REF!</v>
      </c>
      <c r="F736">
        <v>113.2</v>
      </c>
      <c r="G736">
        <f>(Cpi_[[#This Row],[Value]]-F735)/F735</f>
        <v>5.1067780872794802E-2</v>
      </c>
      <c r="H736" t="e" cm="1" vm="1">
        <f t="array" aca="1" ref="H736" ca="1">VLOOKUP(Cpi_[[#This Row],[Year]:[Month]],crudeoil[],3,FALSE)</f>
        <v>#VALUE!</v>
      </c>
    </row>
    <row r="737" spans="1:8" hidden="1" x14ac:dyDescent="0.3">
      <c r="A737" t="s">
        <v>30</v>
      </c>
      <c r="B737">
        <v>2013</v>
      </c>
      <c r="C737" t="s">
        <v>43</v>
      </c>
      <c r="D737" t="s">
        <v>9</v>
      </c>
      <c r="E737" t="e">
        <f>VLOOKUP(Cpi_[[#This Row],[Attribute]],#REF!,2,FALSE)</f>
        <v>#REF!</v>
      </c>
      <c r="F737">
        <v>164.9</v>
      </c>
      <c r="G737">
        <f>(Cpi_[[#This Row],[Value]]-F736)/F736</f>
        <v>0.45671378091872794</v>
      </c>
      <c r="H737" t="e" cm="1" vm="1">
        <f t="array" aca="1" ref="H737" ca="1">VLOOKUP(Cpi_[[#This Row],[Year]:[Month]],crudeoil[],3,FALSE)</f>
        <v>#VALUE!</v>
      </c>
    </row>
    <row r="738" spans="1:8" hidden="1" x14ac:dyDescent="0.3">
      <c r="A738" t="s">
        <v>30</v>
      </c>
      <c r="B738">
        <v>2013</v>
      </c>
      <c r="C738" t="s">
        <v>43</v>
      </c>
      <c r="D738" t="s">
        <v>10</v>
      </c>
      <c r="E738" t="e">
        <f>VLOOKUP(Cpi_[[#This Row],[Attribute]],#REF!,2,FALSE)</f>
        <v>#REF!</v>
      </c>
      <c r="F738">
        <v>108.3</v>
      </c>
      <c r="G738">
        <f>(Cpi_[[#This Row],[Value]]-F737)/F737</f>
        <v>-0.34323832625833844</v>
      </c>
      <c r="H738" t="e" cm="1" vm="1">
        <f t="array" aca="1" ref="H738" ca="1">VLOOKUP(Cpi_[[#This Row],[Year]:[Month]],crudeoil[],3,FALSE)</f>
        <v>#VALUE!</v>
      </c>
    </row>
    <row r="739" spans="1:8" hidden="1" x14ac:dyDescent="0.3">
      <c r="A739" t="s">
        <v>30</v>
      </c>
      <c r="B739">
        <v>2013</v>
      </c>
      <c r="C739" t="s">
        <v>43</v>
      </c>
      <c r="D739" t="s">
        <v>11</v>
      </c>
      <c r="E739" t="e">
        <f>VLOOKUP(Cpi_[[#This Row],[Attribute]],#REF!,2,FALSE)</f>
        <v>#REF!</v>
      </c>
      <c r="F739">
        <v>103.9</v>
      </c>
      <c r="G739">
        <f>(Cpi_[[#This Row],[Value]]-F738)/F738</f>
        <v>-4.0627885503231688E-2</v>
      </c>
      <c r="H739" t="e" cm="1" vm="1">
        <f t="array" aca="1" ref="H739" ca="1">VLOOKUP(Cpi_[[#This Row],[Year]:[Month]],crudeoil[],3,FALSE)</f>
        <v>#VALUE!</v>
      </c>
    </row>
    <row r="740" spans="1:8" hidden="1" x14ac:dyDescent="0.3">
      <c r="A740" t="s">
        <v>30</v>
      </c>
      <c r="B740">
        <v>2013</v>
      </c>
      <c r="C740" t="s">
        <v>43</v>
      </c>
      <c r="D740" t="s">
        <v>12</v>
      </c>
      <c r="E740" t="e">
        <f>VLOOKUP(Cpi_[[#This Row],[Attribute]],#REF!,2,FALSE)</f>
        <v>#REF!</v>
      </c>
      <c r="F740">
        <v>108.2</v>
      </c>
      <c r="G740">
        <f>(Cpi_[[#This Row],[Value]]-F739)/F739</f>
        <v>4.1385948026948963E-2</v>
      </c>
      <c r="H740" t="e" cm="1" vm="1">
        <f t="array" aca="1" ref="H740" ca="1">VLOOKUP(Cpi_[[#This Row],[Year]:[Month]],crudeoil[],3,FALSE)</f>
        <v>#VALUE!</v>
      </c>
    </row>
    <row r="741" spans="1:8" hidden="1" x14ac:dyDescent="0.3">
      <c r="A741" t="s">
        <v>30</v>
      </c>
      <c r="B741">
        <v>2013</v>
      </c>
      <c r="C741" t="s">
        <v>43</v>
      </c>
      <c r="D741" t="s">
        <v>13</v>
      </c>
      <c r="E741" t="e">
        <f>VLOOKUP(Cpi_[[#This Row],[Attribute]],#REF!,2,FALSE)</f>
        <v>#REF!</v>
      </c>
      <c r="F741">
        <v>111.1</v>
      </c>
      <c r="G741">
        <f>(Cpi_[[#This Row],[Value]]-F740)/F740</f>
        <v>2.6802218114602507E-2</v>
      </c>
      <c r="H741" t="e" cm="1" vm="1">
        <f t="array" aca="1" ref="H741" ca="1">VLOOKUP(Cpi_[[#This Row],[Year]:[Month]],crudeoil[],3,FALSE)</f>
        <v>#VALUE!</v>
      </c>
    </row>
    <row r="742" spans="1:8" hidden="1" x14ac:dyDescent="0.3">
      <c r="A742" t="s">
        <v>30</v>
      </c>
      <c r="B742">
        <v>2013</v>
      </c>
      <c r="C742" t="s">
        <v>43</v>
      </c>
      <c r="D742" t="s">
        <v>14</v>
      </c>
      <c r="E742" t="e">
        <f>VLOOKUP(Cpi_[[#This Row],[Attribute]],#REF!,2,FALSE)</f>
        <v>#REF!</v>
      </c>
      <c r="F742">
        <v>114.9</v>
      </c>
      <c r="G742">
        <f>(Cpi_[[#This Row],[Value]]-F741)/F741</f>
        <v>3.4203420342034309E-2</v>
      </c>
      <c r="H742" t="e" cm="1" vm="1">
        <f t="array" aca="1" ref="H742" ca="1">VLOOKUP(Cpi_[[#This Row],[Year]:[Month]],crudeoil[],3,FALSE)</f>
        <v>#VALUE!</v>
      </c>
    </row>
    <row r="743" spans="1:8" hidden="1" x14ac:dyDescent="0.3">
      <c r="A743" t="s">
        <v>30</v>
      </c>
      <c r="B743">
        <v>2013</v>
      </c>
      <c r="C743" t="s">
        <v>43</v>
      </c>
      <c r="D743" t="s">
        <v>15</v>
      </c>
      <c r="E743" t="e">
        <f>VLOOKUP(Cpi_[[#This Row],[Attribute]],#REF!,2,FALSE)</f>
        <v>#REF!</v>
      </c>
      <c r="F743">
        <v>119.8</v>
      </c>
      <c r="G743">
        <f>(Cpi_[[#This Row],[Value]]-F742)/F742</f>
        <v>4.2645778938207063E-2</v>
      </c>
      <c r="H743" t="e" cm="1" vm="1">
        <f t="array" aca="1" ref="H743" ca="1">VLOOKUP(Cpi_[[#This Row],[Year]:[Month]],crudeoil[],3,FALSE)</f>
        <v>#VALUE!</v>
      </c>
    </row>
    <row r="744" spans="1:8" hidden="1" x14ac:dyDescent="0.3">
      <c r="A744" t="s">
        <v>30</v>
      </c>
      <c r="B744">
        <v>2013</v>
      </c>
      <c r="C744" t="s">
        <v>43</v>
      </c>
      <c r="D744" t="s">
        <v>16</v>
      </c>
      <c r="E744" t="e">
        <f>VLOOKUP(Cpi_[[#This Row],[Attribute]],#REF!,2,FALSE)</f>
        <v>#REF!</v>
      </c>
      <c r="F744">
        <v>112.2</v>
      </c>
      <c r="G744">
        <f>(Cpi_[[#This Row],[Value]]-F743)/F743</f>
        <v>-6.3439065108514145E-2</v>
      </c>
      <c r="H744" t="e" cm="1" vm="1">
        <f t="array" aca="1" ref="H744" ca="1">VLOOKUP(Cpi_[[#This Row],[Year]:[Month]],crudeoil[],3,FALSE)</f>
        <v>#VALUE!</v>
      </c>
    </row>
    <row r="745" spans="1:8" hidden="1" x14ac:dyDescent="0.3">
      <c r="A745" t="s">
        <v>30</v>
      </c>
      <c r="B745">
        <v>2013</v>
      </c>
      <c r="C745" t="s">
        <v>43</v>
      </c>
      <c r="D745" t="s">
        <v>17</v>
      </c>
      <c r="E745" t="e">
        <f>VLOOKUP(Cpi_[[#This Row],[Attribute]],#REF!,2,FALSE)</f>
        <v>#REF!</v>
      </c>
      <c r="F745">
        <v>113.6</v>
      </c>
      <c r="G745">
        <f>(Cpi_[[#This Row],[Value]]-F744)/F744</f>
        <v>1.2477718360071225E-2</v>
      </c>
      <c r="H745" t="e" cm="1" vm="1">
        <f t="array" aca="1" ref="H745" ca="1">VLOOKUP(Cpi_[[#This Row],[Year]:[Month]],crudeoil[],3,FALSE)</f>
        <v>#VALUE!</v>
      </c>
    </row>
    <row r="746" spans="1:8" hidden="1" x14ac:dyDescent="0.3">
      <c r="A746" t="s">
        <v>30</v>
      </c>
      <c r="B746">
        <v>2013</v>
      </c>
      <c r="C746" t="s">
        <v>43</v>
      </c>
      <c r="D746" t="s">
        <v>18</v>
      </c>
      <c r="E746" t="e">
        <f>VLOOKUP(Cpi_[[#This Row],[Attribute]],#REF!,2,FALSE)</f>
        <v>#REF!</v>
      </c>
      <c r="F746">
        <v>112.3</v>
      </c>
      <c r="G746">
        <f>(Cpi_[[#This Row],[Value]]-F745)/F745</f>
        <v>-1.1443661971830962E-2</v>
      </c>
      <c r="H746" t="e" cm="1" vm="1">
        <f t="array" aca="1" ref="H746" ca="1">VLOOKUP(Cpi_[[#This Row],[Year]:[Month]],crudeoil[],3,FALSE)</f>
        <v>#VALUE!</v>
      </c>
    </row>
    <row r="747" spans="1:8" hidden="1" x14ac:dyDescent="0.3">
      <c r="A747" t="s">
        <v>30</v>
      </c>
      <c r="B747">
        <v>2013</v>
      </c>
      <c r="C747" t="s">
        <v>43</v>
      </c>
      <c r="D747" t="s">
        <v>19</v>
      </c>
      <c r="E747" t="e">
        <f>VLOOKUP(Cpi_[[#This Row],[Attribute]],#REF!,2,FALSE)</f>
        <v>#REF!</v>
      </c>
      <c r="F747">
        <v>113.4</v>
      </c>
      <c r="G747">
        <f>(Cpi_[[#This Row],[Value]]-F746)/F746</f>
        <v>9.7951914514693549E-3</v>
      </c>
      <c r="H747" t="e" cm="1" vm="1">
        <f t="array" aca="1" ref="H747" ca="1">VLOOKUP(Cpi_[[#This Row],[Year]:[Month]],crudeoil[],3,FALSE)</f>
        <v>#VALUE!</v>
      </c>
    </row>
    <row r="748" spans="1:8" hidden="1" x14ac:dyDescent="0.3">
      <c r="A748" t="s">
        <v>30</v>
      </c>
      <c r="B748">
        <v>2013</v>
      </c>
      <c r="C748" t="s">
        <v>43</v>
      </c>
      <c r="D748" t="s">
        <v>20</v>
      </c>
      <c r="E748" t="e">
        <f>VLOOKUP(Cpi_[[#This Row],[Attribute]],#REF!,2,FALSE)</f>
        <v>#REF!</v>
      </c>
      <c r="F748" t="s">
        <v>32</v>
      </c>
      <c r="G748" t="e">
        <f>(Cpi_[[#This Row],[Value]]-F747)/F747</f>
        <v>#VALUE!</v>
      </c>
      <c r="H748" t="e" cm="1" vm="1">
        <f t="array" aca="1" ref="H748" ca="1">VLOOKUP(Cpi_[[#This Row],[Year]:[Month]],crudeoil[],3,FALSE)</f>
        <v>#VALUE!</v>
      </c>
    </row>
    <row r="749" spans="1:8" hidden="1" x14ac:dyDescent="0.3">
      <c r="A749" t="s">
        <v>30</v>
      </c>
      <c r="B749">
        <v>2013</v>
      </c>
      <c r="C749" t="s">
        <v>43</v>
      </c>
      <c r="D749" t="s">
        <v>21</v>
      </c>
      <c r="E749" t="e">
        <f>VLOOKUP(Cpi_[[#This Row],[Attribute]],#REF!,2,FALSE)</f>
        <v>#REF!</v>
      </c>
      <c r="F749">
        <v>111.6</v>
      </c>
      <c r="G749" t="e">
        <f>(Cpi_[[#This Row],[Value]]-F748)/F748</f>
        <v>#VALUE!</v>
      </c>
      <c r="H749" t="e" cm="1" vm="1">
        <f t="array" aca="1" ref="H749" ca="1">VLOOKUP(Cpi_[[#This Row],[Year]:[Month]],crudeoil[],3,FALSE)</f>
        <v>#VALUE!</v>
      </c>
    </row>
    <row r="750" spans="1:8" hidden="1" x14ac:dyDescent="0.3">
      <c r="A750" t="s">
        <v>30</v>
      </c>
      <c r="B750">
        <v>2013</v>
      </c>
      <c r="C750" t="s">
        <v>43</v>
      </c>
      <c r="D750" t="s">
        <v>22</v>
      </c>
      <c r="E750" t="e">
        <f>VLOOKUP(Cpi_[[#This Row],[Attribute]],#REF!,2,FALSE)</f>
        <v>#REF!</v>
      </c>
      <c r="F750">
        <v>110.4</v>
      </c>
      <c r="G750">
        <f>(Cpi_[[#This Row],[Value]]-F749)/F749</f>
        <v>-1.0752688172042909E-2</v>
      </c>
      <c r="H750" t="e" cm="1" vm="1">
        <f t="array" aca="1" ref="H750" ca="1">VLOOKUP(Cpi_[[#This Row],[Year]:[Month]],crudeoil[],3,FALSE)</f>
        <v>#VALUE!</v>
      </c>
    </row>
    <row r="751" spans="1:8" hidden="1" x14ac:dyDescent="0.3">
      <c r="A751" t="s">
        <v>30</v>
      </c>
      <c r="B751">
        <v>2013</v>
      </c>
      <c r="C751" t="s">
        <v>43</v>
      </c>
      <c r="D751" t="s">
        <v>23</v>
      </c>
      <c r="E751" t="e">
        <f>VLOOKUP(Cpi_[[#This Row],[Attribute]],#REF!,2,FALSE)</f>
        <v>#REF!</v>
      </c>
      <c r="F751">
        <v>108.9</v>
      </c>
      <c r="G751">
        <f>(Cpi_[[#This Row],[Value]]-F750)/F750</f>
        <v>-1.358695652173913E-2</v>
      </c>
      <c r="H751" t="e" cm="1" vm="1">
        <f t="array" aca="1" ref="H751" ca="1">VLOOKUP(Cpi_[[#This Row],[Year]:[Month]],crudeoil[],3,FALSE)</f>
        <v>#VALUE!</v>
      </c>
    </row>
    <row r="752" spans="1:8" hidden="1" x14ac:dyDescent="0.3">
      <c r="A752" t="s">
        <v>30</v>
      </c>
      <c r="B752">
        <v>2013</v>
      </c>
      <c r="C752" t="s">
        <v>43</v>
      </c>
      <c r="D752" t="s">
        <v>24</v>
      </c>
      <c r="E752" t="e">
        <f>VLOOKUP(Cpi_[[#This Row],[Attribute]],#REF!,2,FALSE)</f>
        <v>#REF!</v>
      </c>
      <c r="F752">
        <v>109.3</v>
      </c>
      <c r="G752">
        <f>(Cpi_[[#This Row],[Value]]-F751)/F751</f>
        <v>3.6730945821854127E-3</v>
      </c>
      <c r="H752" t="e" cm="1" vm="1">
        <f t="array" aca="1" ref="H752" ca="1">VLOOKUP(Cpi_[[#This Row],[Year]:[Month]],crudeoil[],3,FALSE)</f>
        <v>#VALUE!</v>
      </c>
    </row>
    <row r="753" spans="1:8" hidden="1" x14ac:dyDescent="0.3">
      <c r="A753" t="s">
        <v>30</v>
      </c>
      <c r="B753">
        <v>2013</v>
      </c>
      <c r="C753" t="s">
        <v>43</v>
      </c>
      <c r="D753" t="s">
        <v>25</v>
      </c>
      <c r="E753" t="e">
        <f>VLOOKUP(Cpi_[[#This Row],[Attribute]],#REF!,2,FALSE)</f>
        <v>#REF!</v>
      </c>
      <c r="F753">
        <v>108.3</v>
      </c>
      <c r="G753">
        <f>(Cpi_[[#This Row],[Value]]-F752)/F752</f>
        <v>-9.1491308325709064E-3</v>
      </c>
      <c r="H753" t="e" cm="1" vm="1">
        <f t="array" aca="1" ref="H753" ca="1">VLOOKUP(Cpi_[[#This Row],[Year]:[Month]],crudeoil[],3,FALSE)</f>
        <v>#VALUE!</v>
      </c>
    </row>
    <row r="754" spans="1:8" hidden="1" x14ac:dyDescent="0.3">
      <c r="A754" t="s">
        <v>30</v>
      </c>
      <c r="B754">
        <v>2013</v>
      </c>
      <c r="C754" t="s">
        <v>43</v>
      </c>
      <c r="D754" t="s">
        <v>26</v>
      </c>
      <c r="E754" t="e">
        <f>VLOOKUP(Cpi_[[#This Row],[Attribute]],#REF!,2,FALSE)</f>
        <v>#REF!</v>
      </c>
      <c r="F754">
        <v>110.2</v>
      </c>
      <c r="G754">
        <f>(Cpi_[[#This Row],[Value]]-F753)/F753</f>
        <v>1.7543859649122862E-2</v>
      </c>
      <c r="H754" t="e" cm="1" vm="1">
        <f t="array" aca="1" ref="H754" ca="1">VLOOKUP(Cpi_[[#This Row],[Year]:[Month]],crudeoil[],3,FALSE)</f>
        <v>#VALUE!</v>
      </c>
    </row>
    <row r="755" spans="1:8" hidden="1" x14ac:dyDescent="0.3">
      <c r="A755" t="s">
        <v>30</v>
      </c>
      <c r="B755">
        <v>2013</v>
      </c>
      <c r="C755" t="s">
        <v>43</v>
      </c>
      <c r="D755" t="s">
        <v>27</v>
      </c>
      <c r="E755" t="e">
        <f>VLOOKUP(Cpi_[[#This Row],[Attribute]],#REF!,2,FALSE)</f>
        <v>#REF!</v>
      </c>
      <c r="F755">
        <v>107.5</v>
      </c>
      <c r="G755">
        <f>(Cpi_[[#This Row],[Value]]-F754)/F754</f>
        <v>-2.4500907441016358E-2</v>
      </c>
      <c r="H755" t="e" cm="1" vm="1">
        <f t="array" aca="1" ref="H755" ca="1">VLOOKUP(Cpi_[[#This Row],[Year]:[Month]],crudeoil[],3,FALSE)</f>
        <v>#VALUE!</v>
      </c>
    </row>
    <row r="756" spans="1:8" hidden="1" x14ac:dyDescent="0.3">
      <c r="A756" t="s">
        <v>30</v>
      </c>
      <c r="B756">
        <v>2013</v>
      </c>
      <c r="C756" t="s">
        <v>43</v>
      </c>
      <c r="D756" t="s">
        <v>28</v>
      </c>
      <c r="E756" t="e">
        <f>VLOOKUP(Cpi_[[#This Row],[Attribute]],#REF!,2,FALSE)</f>
        <v>#REF!</v>
      </c>
      <c r="F756">
        <v>109.1</v>
      </c>
      <c r="G756">
        <f>(Cpi_[[#This Row],[Value]]-F755)/F755</f>
        <v>1.4883720930232505E-2</v>
      </c>
      <c r="H756" t="e" cm="1" vm="1">
        <f t="array" aca="1" ref="H756" ca="1">VLOOKUP(Cpi_[[#This Row],[Year]:[Month]],crudeoil[],3,FALSE)</f>
        <v>#VALUE!</v>
      </c>
    </row>
    <row r="757" spans="1:8" hidden="1" x14ac:dyDescent="0.3">
      <c r="A757" t="s">
        <v>30</v>
      </c>
      <c r="B757">
        <v>2013</v>
      </c>
      <c r="C757" t="s">
        <v>43</v>
      </c>
      <c r="D757" t="s">
        <v>29</v>
      </c>
      <c r="E757" t="e" cm="1">
        <f t="array" aca="1" ref="E757" ca="1">VLGeneral indexGeneral indexKUP(Cpi_[[#This Row],[Attribute]],#REF!,2,FALSE)</f>
        <v>#NAME?</v>
      </c>
      <c r="F757">
        <v>115.5</v>
      </c>
      <c r="G757">
        <f>(Cpi_[[#This Row],[Value]]-F756)/F756</f>
        <v>5.8661778185151295E-2</v>
      </c>
      <c r="H757" t="e" cm="1" vm="1">
        <f t="array" aca="1" ref="H757" ca="1">VLOOKUP(Cpi_[[#This Row],[Year]:[Month]],crudeoil[],3,FALSE)</f>
        <v>#VALUE!</v>
      </c>
    </row>
    <row r="758" spans="1:8" hidden="1" x14ac:dyDescent="0.3">
      <c r="A758" t="s">
        <v>33</v>
      </c>
      <c r="B758">
        <v>2013</v>
      </c>
      <c r="C758" t="s">
        <v>43</v>
      </c>
      <c r="D758" t="s">
        <v>3</v>
      </c>
      <c r="E758" t="e">
        <f>VLOOKUP(Cpi_[[#This Row],[Attribute]],#REF!,2,FALSE)</f>
        <v>#REF!</v>
      </c>
      <c r="F758">
        <v>118.9</v>
      </c>
      <c r="G758">
        <f>(Cpi_[[#This Row],[Value]]-F757)/F757</f>
        <v>2.9437229437229488E-2</v>
      </c>
      <c r="H758" t="e" cm="1" vm="1">
        <f t="array" aca="1" ref="H758" ca="1">VLOOKUP(Cpi_[[#This Row],[Year]:[Month]],crudeoil[],3,FALSE)</f>
        <v>#VALUE!</v>
      </c>
    </row>
    <row r="759" spans="1:8" hidden="1" x14ac:dyDescent="0.3">
      <c r="A759" t="s">
        <v>33</v>
      </c>
      <c r="B759">
        <v>2013</v>
      </c>
      <c r="C759" t="s">
        <v>43</v>
      </c>
      <c r="D759" t="s">
        <v>4</v>
      </c>
      <c r="E759" t="e">
        <f>VLOOKUP(Cpi_[[#This Row],[Attribute]],#REF!,2,FALSE)</f>
        <v>#REF!</v>
      </c>
      <c r="F759">
        <v>118.1</v>
      </c>
      <c r="G759">
        <f>(Cpi_[[#This Row],[Value]]-F758)/F758</f>
        <v>-6.7283431455005156E-3</v>
      </c>
      <c r="H759" t="e" cm="1" vm="1">
        <f t="array" aca="1" ref="H759" ca="1">VLOOKUP(Cpi_[[#This Row],[Year]:[Month]],crudeoil[],3,FALSE)</f>
        <v>#VALUE!</v>
      </c>
    </row>
    <row r="760" spans="1:8" hidden="1" x14ac:dyDescent="0.3">
      <c r="A760" t="s">
        <v>33</v>
      </c>
      <c r="B760">
        <v>2013</v>
      </c>
      <c r="C760" t="s">
        <v>43</v>
      </c>
      <c r="D760" t="s">
        <v>5</v>
      </c>
      <c r="E760" t="e">
        <f>VLOOKUP(Cpi_[[#This Row],[Attribute]],#REF!,2,FALSE)</f>
        <v>#REF!</v>
      </c>
      <c r="F760">
        <v>114.5</v>
      </c>
      <c r="G760">
        <f>(Cpi_[[#This Row],[Value]]-F759)/F759</f>
        <v>-3.0482641828958462E-2</v>
      </c>
      <c r="H760" t="e" cm="1" vm="1">
        <f t="array" aca="1" ref="H760" ca="1">VLOOKUP(Cpi_[[#This Row],[Year]:[Month]],crudeoil[],3,FALSE)</f>
        <v>#VALUE!</v>
      </c>
    </row>
    <row r="761" spans="1:8" hidden="1" x14ac:dyDescent="0.3">
      <c r="A761" t="s">
        <v>33</v>
      </c>
      <c r="B761">
        <v>2013</v>
      </c>
      <c r="C761" t="s">
        <v>43</v>
      </c>
      <c r="D761" t="s">
        <v>6</v>
      </c>
      <c r="E761" t="e">
        <f>VLOOKUP(Cpi_[[#This Row],[Attribute]],#REF!,2,FALSE)</f>
        <v>#REF!</v>
      </c>
      <c r="F761">
        <v>110.4</v>
      </c>
      <c r="G761">
        <f>(Cpi_[[#This Row],[Value]]-F760)/F760</f>
        <v>-3.5807860262008682E-2</v>
      </c>
      <c r="H761" t="e" cm="1" vm="1">
        <f t="array" aca="1" ref="H761" ca="1">VLOOKUP(Cpi_[[#This Row],[Year]:[Month]],crudeoil[],3,FALSE)</f>
        <v>#VALUE!</v>
      </c>
    </row>
    <row r="762" spans="1:8" hidden="1" x14ac:dyDescent="0.3">
      <c r="A762" t="s">
        <v>33</v>
      </c>
      <c r="B762">
        <v>2013</v>
      </c>
      <c r="C762" t="s">
        <v>43</v>
      </c>
      <c r="D762" t="s">
        <v>7</v>
      </c>
      <c r="E762" t="e">
        <f>VLOOKUP(Cpi_[[#This Row],[Attribute]],#REF!,2,FALSE)</f>
        <v>#REF!</v>
      </c>
      <c r="F762">
        <v>102.3</v>
      </c>
      <c r="G762">
        <f>(Cpi_[[#This Row],[Value]]-F761)/F761</f>
        <v>-7.336956521739138E-2</v>
      </c>
      <c r="H762" t="e" cm="1" vm="1">
        <f t="array" aca="1" ref="H762" ca="1">VLOOKUP(Cpi_[[#This Row],[Year]:[Month]],crudeoil[],3,FALSE)</f>
        <v>#VALUE!</v>
      </c>
    </row>
    <row r="763" spans="1:8" hidden="1" x14ac:dyDescent="0.3">
      <c r="A763" t="s">
        <v>33</v>
      </c>
      <c r="B763">
        <v>2013</v>
      </c>
      <c r="C763" t="s">
        <v>43</v>
      </c>
      <c r="D763" t="s">
        <v>8</v>
      </c>
      <c r="E763" t="e">
        <f>VLOOKUP(Cpi_[[#This Row],[Attribute]],#REF!,2,FALSE)</f>
        <v>#REF!</v>
      </c>
      <c r="F763">
        <v>106.2</v>
      </c>
      <c r="G763">
        <f>(Cpi_[[#This Row],[Value]]-F762)/F762</f>
        <v>3.8123167155425276E-2</v>
      </c>
      <c r="H763" t="e" cm="1" vm="1">
        <f t="array" aca="1" ref="H763" ca="1">VLOOKUP(Cpi_[[#This Row],[Year]:[Month]],crudeoil[],3,FALSE)</f>
        <v>#VALUE!</v>
      </c>
    </row>
    <row r="764" spans="1:8" hidden="1" x14ac:dyDescent="0.3">
      <c r="A764" t="s">
        <v>33</v>
      </c>
      <c r="B764">
        <v>2013</v>
      </c>
      <c r="C764" t="s">
        <v>43</v>
      </c>
      <c r="D764" t="s">
        <v>9</v>
      </c>
      <c r="E764" t="e">
        <f>VLOOKUP(Cpi_[[#This Row],[Attribute]],#REF!,2,FALSE)</f>
        <v>#REF!</v>
      </c>
      <c r="F764">
        <v>183.5</v>
      </c>
      <c r="G764">
        <f>(Cpi_[[#This Row],[Value]]-F763)/F763</f>
        <v>0.72787193973634645</v>
      </c>
      <c r="H764" t="e" cm="1" vm="1">
        <f t="array" aca="1" ref="H764" ca="1">VLOOKUP(Cpi_[[#This Row],[Year]:[Month]],crudeoil[],3,FALSE)</f>
        <v>#VALUE!</v>
      </c>
    </row>
    <row r="765" spans="1:8" hidden="1" x14ac:dyDescent="0.3">
      <c r="A765" t="s">
        <v>33</v>
      </c>
      <c r="B765">
        <v>2013</v>
      </c>
      <c r="C765" t="s">
        <v>43</v>
      </c>
      <c r="D765" t="s">
        <v>10</v>
      </c>
      <c r="E765" t="e">
        <f>VLOOKUP(Cpi_[[#This Row],[Attribute]],#REF!,2,FALSE)</f>
        <v>#REF!</v>
      </c>
      <c r="F765">
        <v>105.3</v>
      </c>
      <c r="G765">
        <f>(Cpi_[[#This Row],[Value]]-F764)/F764</f>
        <v>-0.42615803814713898</v>
      </c>
      <c r="H765" t="e" cm="1" vm="1">
        <f t="array" aca="1" ref="H765" ca="1">VLOOKUP(Cpi_[[#This Row],[Year]:[Month]],crudeoil[],3,FALSE)</f>
        <v>#VALUE!</v>
      </c>
    </row>
    <row r="766" spans="1:8" hidden="1" x14ac:dyDescent="0.3">
      <c r="A766" t="s">
        <v>33</v>
      </c>
      <c r="B766">
        <v>2013</v>
      </c>
      <c r="C766" t="s">
        <v>43</v>
      </c>
      <c r="D766" t="s">
        <v>11</v>
      </c>
      <c r="E766" t="e">
        <f>VLOOKUP(Cpi_[[#This Row],[Attribute]],#REF!,2,FALSE)</f>
        <v>#REF!</v>
      </c>
      <c r="F766">
        <v>100.2</v>
      </c>
      <c r="G766">
        <f>(Cpi_[[#This Row],[Value]]-F765)/F765</f>
        <v>-4.8433048433048381E-2</v>
      </c>
      <c r="H766" t="e" cm="1" vm="1">
        <f t="array" aca="1" ref="H766" ca="1">VLOOKUP(Cpi_[[#This Row],[Year]:[Month]],crudeoil[],3,FALSE)</f>
        <v>#VALUE!</v>
      </c>
    </row>
    <row r="767" spans="1:8" hidden="1" x14ac:dyDescent="0.3">
      <c r="A767" t="s">
        <v>33</v>
      </c>
      <c r="B767">
        <v>2013</v>
      </c>
      <c r="C767" t="s">
        <v>43</v>
      </c>
      <c r="D767" t="s">
        <v>12</v>
      </c>
      <c r="E767" t="e">
        <f>VLOOKUP(Cpi_[[#This Row],[Attribute]],#REF!,2,FALSE)</f>
        <v>#REF!</v>
      </c>
      <c r="F767">
        <v>109.6</v>
      </c>
      <c r="G767">
        <f>(Cpi_[[#This Row],[Value]]-F766)/F766</f>
        <v>9.3812375249500909E-2</v>
      </c>
      <c r="H767" t="e" cm="1" vm="1">
        <f t="array" aca="1" ref="H767" ca="1">VLOOKUP(Cpi_[[#This Row],[Year]:[Month]],crudeoil[],3,FALSE)</f>
        <v>#VALUE!</v>
      </c>
    </row>
    <row r="768" spans="1:8" hidden="1" x14ac:dyDescent="0.3">
      <c r="A768" t="s">
        <v>33</v>
      </c>
      <c r="B768">
        <v>2013</v>
      </c>
      <c r="C768" t="s">
        <v>43</v>
      </c>
      <c r="D768" t="s">
        <v>13</v>
      </c>
      <c r="E768" t="e">
        <f>VLOOKUP(Cpi_[[#This Row],[Attribute]],#REF!,2,FALSE)</f>
        <v>#REF!</v>
      </c>
      <c r="F768">
        <v>111.4</v>
      </c>
      <c r="G768">
        <f>(Cpi_[[#This Row],[Value]]-F767)/F767</f>
        <v>1.6423357664233681E-2</v>
      </c>
      <c r="H768" t="e" cm="1" vm="1">
        <f t="array" aca="1" ref="H768" ca="1">VLOOKUP(Cpi_[[#This Row],[Year]:[Month]],crudeoil[],3,FALSE)</f>
        <v>#VALUE!</v>
      </c>
    </row>
    <row r="769" spans="1:8" hidden="1" x14ac:dyDescent="0.3">
      <c r="A769" t="s">
        <v>33</v>
      </c>
      <c r="B769">
        <v>2013</v>
      </c>
      <c r="C769" t="s">
        <v>43</v>
      </c>
      <c r="D769" t="s">
        <v>14</v>
      </c>
      <c r="E769" t="e">
        <f>VLOOKUP(Cpi_[[#This Row],[Attribute]],#REF!,2,FALSE)</f>
        <v>#REF!</v>
      </c>
      <c r="F769">
        <v>116</v>
      </c>
      <c r="G769">
        <f>(Cpi_[[#This Row],[Value]]-F768)/F768</f>
        <v>4.1292639138240522E-2</v>
      </c>
      <c r="H769" t="e" cm="1" vm="1">
        <f t="array" aca="1" ref="H769" ca="1">VLOOKUP(Cpi_[[#This Row],[Year]:[Month]],crudeoil[],3,FALSE)</f>
        <v>#VALUE!</v>
      </c>
    </row>
    <row r="770" spans="1:8" hidden="1" x14ac:dyDescent="0.3">
      <c r="A770" t="s">
        <v>33</v>
      </c>
      <c r="B770">
        <v>2013</v>
      </c>
      <c r="C770" t="s">
        <v>43</v>
      </c>
      <c r="D770" t="s">
        <v>15</v>
      </c>
      <c r="E770" t="e">
        <f>VLOOKUP(Cpi_[[#This Row],[Attribute]],#REF!,2,FALSE)</f>
        <v>#REF!</v>
      </c>
      <c r="F770">
        <v>120.8</v>
      </c>
      <c r="G770">
        <f>(Cpi_[[#This Row],[Value]]-F769)/F769</f>
        <v>4.1379310344827565E-2</v>
      </c>
      <c r="H770" t="e" cm="1" vm="1">
        <f t="array" aca="1" ref="H770" ca="1">VLOOKUP(Cpi_[[#This Row],[Year]:[Month]],crudeoil[],3,FALSE)</f>
        <v>#VALUE!</v>
      </c>
    </row>
    <row r="771" spans="1:8" hidden="1" x14ac:dyDescent="0.3">
      <c r="A771" t="s">
        <v>33</v>
      </c>
      <c r="B771">
        <v>2013</v>
      </c>
      <c r="C771" t="s">
        <v>43</v>
      </c>
      <c r="D771" t="s">
        <v>16</v>
      </c>
      <c r="E771" t="e">
        <f>VLOOKUP(Cpi_[[#This Row],[Attribute]],#REF!,2,FALSE)</f>
        <v>#REF!</v>
      </c>
      <c r="F771">
        <v>113.5</v>
      </c>
      <c r="G771">
        <f>(Cpi_[[#This Row],[Value]]-F770)/F770</f>
        <v>-6.0430463576158916E-2</v>
      </c>
      <c r="H771" t="e" cm="1" vm="1">
        <f t="array" aca="1" ref="H771" ca="1">VLOOKUP(Cpi_[[#This Row],[Year]:[Month]],crudeoil[],3,FALSE)</f>
        <v>#VALUE!</v>
      </c>
    </row>
    <row r="772" spans="1:8" hidden="1" x14ac:dyDescent="0.3">
      <c r="A772" t="s">
        <v>33</v>
      </c>
      <c r="B772">
        <v>2013</v>
      </c>
      <c r="C772" t="s">
        <v>43</v>
      </c>
      <c r="D772" t="s">
        <v>17</v>
      </c>
      <c r="E772" t="e">
        <f>VLOOKUP(Cpi_[[#This Row],[Attribute]],#REF!,2,FALSE)</f>
        <v>#REF!</v>
      </c>
      <c r="F772">
        <v>112.5</v>
      </c>
      <c r="G772">
        <f>(Cpi_[[#This Row],[Value]]-F771)/F771</f>
        <v>-8.8105726872246704E-3</v>
      </c>
      <c r="H772" t="e" cm="1" vm="1">
        <f t="array" aca="1" ref="H772" ca="1">VLOOKUP(Cpi_[[#This Row],[Year]:[Month]],crudeoil[],3,FALSE)</f>
        <v>#VALUE!</v>
      </c>
    </row>
    <row r="773" spans="1:8" hidden="1" x14ac:dyDescent="0.3">
      <c r="A773" t="s">
        <v>33</v>
      </c>
      <c r="B773">
        <v>2013</v>
      </c>
      <c r="C773" t="s">
        <v>43</v>
      </c>
      <c r="D773" t="s">
        <v>18</v>
      </c>
      <c r="E773" t="e">
        <f>VLOOKUP(Cpi_[[#This Row],[Attribute]],#REF!,2,FALSE)</f>
        <v>#REF!</v>
      </c>
      <c r="F773">
        <v>109.7</v>
      </c>
      <c r="G773">
        <f>(Cpi_[[#This Row],[Value]]-F772)/F772</f>
        <v>-2.4888888888888863E-2</v>
      </c>
      <c r="H773" t="e" cm="1" vm="1">
        <f t="array" aca="1" ref="H773" ca="1">VLOOKUP(Cpi_[[#This Row],[Year]:[Month]],crudeoil[],3,FALSE)</f>
        <v>#VALUE!</v>
      </c>
    </row>
    <row r="774" spans="1:8" hidden="1" x14ac:dyDescent="0.3">
      <c r="A774" t="s">
        <v>33</v>
      </c>
      <c r="B774">
        <v>2013</v>
      </c>
      <c r="C774" t="s">
        <v>43</v>
      </c>
      <c r="D774" t="s">
        <v>19</v>
      </c>
      <c r="E774" t="e">
        <f>VLOOKUP(Cpi_[[#This Row],[Attribute]],#REF!,2,FALSE)</f>
        <v>#REF!</v>
      </c>
      <c r="F774">
        <v>112</v>
      </c>
      <c r="G774">
        <f>(Cpi_[[#This Row],[Value]]-F773)/F773</f>
        <v>2.0966271649954394E-2</v>
      </c>
      <c r="H774" t="e" cm="1" vm="1">
        <f t="array" aca="1" ref="H774" ca="1">VLOOKUP(Cpi_[[#This Row],[Year]:[Month]],crudeoil[],3,FALSE)</f>
        <v>#VALUE!</v>
      </c>
    </row>
    <row r="775" spans="1:8" hidden="1" x14ac:dyDescent="0.3">
      <c r="A775" t="s">
        <v>33</v>
      </c>
      <c r="B775">
        <v>2013</v>
      </c>
      <c r="C775" t="s">
        <v>43</v>
      </c>
      <c r="D775" t="s">
        <v>20</v>
      </c>
      <c r="E775" t="e">
        <f>VLOOKUP(Cpi_[[#This Row],[Attribute]],#REF!,2,FALSE)</f>
        <v>#REF!</v>
      </c>
      <c r="F775">
        <v>110.5</v>
      </c>
      <c r="G775">
        <f>(Cpi_[[#This Row],[Value]]-F774)/F774</f>
        <v>-1.3392857142857142E-2</v>
      </c>
      <c r="H775" t="e" cm="1" vm="1">
        <f t="array" aca="1" ref="H775" ca="1">VLOOKUP(Cpi_[[#This Row],[Year]:[Month]],crudeoil[],3,FALSE)</f>
        <v>#VALUE!</v>
      </c>
    </row>
    <row r="776" spans="1:8" hidden="1" x14ac:dyDescent="0.3">
      <c r="A776" t="s">
        <v>33</v>
      </c>
      <c r="B776">
        <v>2013</v>
      </c>
      <c r="C776" t="s">
        <v>43</v>
      </c>
      <c r="D776" t="s">
        <v>21</v>
      </c>
      <c r="E776" t="e">
        <f>VLOOKUP(Cpi_[[#This Row],[Attribute]],#REF!,2,FALSE)</f>
        <v>#REF!</v>
      </c>
      <c r="F776">
        <v>109.7</v>
      </c>
      <c r="G776">
        <f>(Cpi_[[#This Row],[Value]]-F775)/F775</f>
        <v>-7.2398190045248612E-3</v>
      </c>
      <c r="H776" t="e" cm="1" vm="1">
        <f t="array" aca="1" ref="H776" ca="1">VLOOKUP(Cpi_[[#This Row],[Year]:[Month]],crudeoil[],3,FALSE)</f>
        <v>#VALUE!</v>
      </c>
    </row>
    <row r="777" spans="1:8" hidden="1" x14ac:dyDescent="0.3">
      <c r="A777" t="s">
        <v>33</v>
      </c>
      <c r="B777">
        <v>2013</v>
      </c>
      <c r="C777" t="s">
        <v>43</v>
      </c>
      <c r="D777" t="s">
        <v>22</v>
      </c>
      <c r="E777" t="e">
        <f>VLOOKUP(Cpi_[[#This Row],[Attribute]],#REF!,2,FALSE)</f>
        <v>#REF!</v>
      </c>
      <c r="F777">
        <v>110.2</v>
      </c>
      <c r="G777">
        <f>(Cpi_[[#This Row],[Value]]-F776)/F776</f>
        <v>4.5578851412944391E-3</v>
      </c>
      <c r="H777" t="e" cm="1" vm="1">
        <f t="array" aca="1" ref="H777" ca="1">VLOOKUP(Cpi_[[#This Row],[Year]:[Month]],crudeoil[],3,FALSE)</f>
        <v>#VALUE!</v>
      </c>
    </row>
    <row r="778" spans="1:8" hidden="1" x14ac:dyDescent="0.3">
      <c r="A778" t="s">
        <v>33</v>
      </c>
      <c r="B778">
        <v>2013</v>
      </c>
      <c r="C778" t="s">
        <v>43</v>
      </c>
      <c r="D778" t="s">
        <v>23</v>
      </c>
      <c r="E778" t="e">
        <f>VLOOKUP(Cpi_[[#This Row],[Attribute]],#REF!,2,FALSE)</f>
        <v>#REF!</v>
      </c>
      <c r="F778">
        <v>108.2</v>
      </c>
      <c r="G778">
        <f>(Cpi_[[#This Row],[Value]]-F777)/F777</f>
        <v>-1.8148820326678767E-2</v>
      </c>
      <c r="H778" t="e" cm="1" vm="1">
        <f t="array" aca="1" ref="H778" ca="1">VLOOKUP(Cpi_[[#This Row],[Year]:[Month]],crudeoil[],3,FALSE)</f>
        <v>#VALUE!</v>
      </c>
    </row>
    <row r="779" spans="1:8" hidden="1" x14ac:dyDescent="0.3">
      <c r="A779" t="s">
        <v>33</v>
      </c>
      <c r="B779">
        <v>2013</v>
      </c>
      <c r="C779" t="s">
        <v>43</v>
      </c>
      <c r="D779" t="s">
        <v>24</v>
      </c>
      <c r="E779" t="e">
        <f>VLOOKUP(Cpi_[[#This Row],[Attribute]],#REF!,2,FALSE)</f>
        <v>#REF!</v>
      </c>
      <c r="F779">
        <v>109.7</v>
      </c>
      <c r="G779">
        <f>(Cpi_[[#This Row],[Value]]-F778)/F778</f>
        <v>1.3863216266173753E-2</v>
      </c>
      <c r="H779" t="e" cm="1" vm="1">
        <f t="array" aca="1" ref="H779" ca="1">VLOOKUP(Cpi_[[#This Row],[Year]:[Month]],crudeoil[],3,FALSE)</f>
        <v>#VALUE!</v>
      </c>
    </row>
    <row r="780" spans="1:8" hidden="1" x14ac:dyDescent="0.3">
      <c r="A780" t="s">
        <v>33</v>
      </c>
      <c r="B780">
        <v>2013</v>
      </c>
      <c r="C780" t="s">
        <v>43</v>
      </c>
      <c r="D780" t="s">
        <v>25</v>
      </c>
      <c r="E780" t="e">
        <f>VLOOKUP(Cpi_[[#This Row],[Attribute]],#REF!,2,FALSE)</f>
        <v>#REF!</v>
      </c>
      <c r="F780">
        <v>108</v>
      </c>
      <c r="G780">
        <f>(Cpi_[[#This Row],[Value]]-F779)/F779</f>
        <v>-1.549680948040112E-2</v>
      </c>
      <c r="H780" t="e" cm="1" vm="1">
        <f t="array" aca="1" ref="H780" ca="1">VLOOKUP(Cpi_[[#This Row],[Year]:[Month]],crudeoil[],3,FALSE)</f>
        <v>#VALUE!</v>
      </c>
    </row>
    <row r="781" spans="1:8" hidden="1" x14ac:dyDescent="0.3">
      <c r="A781" t="s">
        <v>33</v>
      </c>
      <c r="B781">
        <v>2013</v>
      </c>
      <c r="C781" t="s">
        <v>43</v>
      </c>
      <c r="D781" t="s">
        <v>26</v>
      </c>
      <c r="E781" t="e">
        <f>VLOOKUP(Cpi_[[#This Row],[Attribute]],#REF!,2,FALSE)</f>
        <v>#REF!</v>
      </c>
      <c r="F781">
        <v>111.3</v>
      </c>
      <c r="G781">
        <f>(Cpi_[[#This Row],[Value]]-F780)/F780</f>
        <v>3.055555555555553E-2</v>
      </c>
      <c r="H781" t="e" cm="1" vm="1">
        <f t="array" aca="1" ref="H781" ca="1">VLOOKUP(Cpi_[[#This Row],[Year]:[Month]],crudeoil[],3,FALSE)</f>
        <v>#VALUE!</v>
      </c>
    </row>
    <row r="782" spans="1:8" hidden="1" x14ac:dyDescent="0.3">
      <c r="A782" t="s">
        <v>33</v>
      </c>
      <c r="B782">
        <v>2013</v>
      </c>
      <c r="C782" t="s">
        <v>43</v>
      </c>
      <c r="D782" t="s">
        <v>27</v>
      </c>
      <c r="E782" t="e">
        <f>VLOOKUP(Cpi_[[#This Row],[Attribute]],#REF!,2,FALSE)</f>
        <v>#REF!</v>
      </c>
      <c r="F782">
        <v>107.3</v>
      </c>
      <c r="G782">
        <f>(Cpi_[[#This Row],[Value]]-F781)/F781</f>
        <v>-3.5938903863432167E-2</v>
      </c>
      <c r="H782" t="e" cm="1" vm="1">
        <f t="array" aca="1" ref="H782" ca="1">VLOOKUP(Cpi_[[#This Row],[Year]:[Month]],crudeoil[],3,FALSE)</f>
        <v>#VALUE!</v>
      </c>
    </row>
    <row r="783" spans="1:8" hidden="1" x14ac:dyDescent="0.3">
      <c r="A783" t="s">
        <v>33</v>
      </c>
      <c r="B783">
        <v>2013</v>
      </c>
      <c r="C783" t="s">
        <v>43</v>
      </c>
      <c r="D783" t="s">
        <v>28</v>
      </c>
      <c r="E783" t="e">
        <f>VLOOKUP(Cpi_[[#This Row],[Attribute]],#REF!,2,FALSE)</f>
        <v>#REF!</v>
      </c>
      <c r="F783">
        <v>109.4</v>
      </c>
      <c r="G783">
        <f>(Cpi_[[#This Row],[Value]]-F782)/F782</f>
        <v>1.9571295433364479E-2</v>
      </c>
      <c r="H783" t="e" cm="1" vm="1">
        <f t="array" aca="1" ref="H783" ca="1">VLOOKUP(Cpi_[[#This Row],[Year]:[Month]],crudeoil[],3,FALSE)</f>
        <v>#VALUE!</v>
      </c>
    </row>
    <row r="784" spans="1:8" hidden="1" x14ac:dyDescent="0.3">
      <c r="A784" t="s">
        <v>33</v>
      </c>
      <c r="B784">
        <v>2013</v>
      </c>
      <c r="C784" t="s">
        <v>43</v>
      </c>
      <c r="D784" t="s">
        <v>29</v>
      </c>
      <c r="E784" t="e" cm="1">
        <f t="array" aca="1" ref="E784" ca="1">VLGeneral indexGeneral indexKUP(Cpi_[[#This Row],[Attribute]],#REF!,2,FALSE)</f>
        <v>#NAME?</v>
      </c>
      <c r="F784">
        <v>114</v>
      </c>
      <c r="G784">
        <f>(Cpi_[[#This Row],[Value]]-F783)/F783</f>
        <v>4.2047531992687334E-2</v>
      </c>
      <c r="H784" t="e" cm="1" vm="1">
        <f t="array" aca="1" ref="H784" ca="1">VLOOKUP(Cpi_[[#This Row],[Year]:[Month]],crudeoil[],3,FALSE)</f>
        <v>#VALUE!</v>
      </c>
    </row>
    <row r="785" spans="1:8" hidden="1" x14ac:dyDescent="0.3">
      <c r="A785" t="s">
        <v>34</v>
      </c>
      <c r="B785">
        <v>2013</v>
      </c>
      <c r="C785" t="s">
        <v>43</v>
      </c>
      <c r="D785" t="s">
        <v>3</v>
      </c>
      <c r="E785" t="e">
        <f>VLOOKUP(Cpi_[[#This Row],[Attribute]],#REF!,2,FALSE)</f>
        <v>#REF!</v>
      </c>
      <c r="F785">
        <v>117.1</v>
      </c>
      <c r="G785">
        <f>(Cpi_[[#This Row],[Value]]-F784)/F784</f>
        <v>2.71929824561403E-2</v>
      </c>
      <c r="H785" t="e" cm="1" vm="1">
        <f t="array" aca="1" ref="H785" ca="1">VLOOKUP(Cpi_[[#This Row],[Year]:[Month]],crudeoil[],3,FALSE)</f>
        <v>#VALUE!</v>
      </c>
    </row>
    <row r="786" spans="1:8" hidden="1" x14ac:dyDescent="0.3">
      <c r="A786" t="s">
        <v>34</v>
      </c>
      <c r="B786">
        <v>2013</v>
      </c>
      <c r="C786" t="s">
        <v>43</v>
      </c>
      <c r="D786" t="s">
        <v>4</v>
      </c>
      <c r="E786" t="e">
        <f>VLOOKUP(Cpi_[[#This Row],[Attribute]],#REF!,2,FALSE)</f>
        <v>#REF!</v>
      </c>
      <c r="F786">
        <v>116.3</v>
      </c>
      <c r="G786">
        <f>(Cpi_[[#This Row],[Value]]-F785)/F785</f>
        <v>-6.8317677198974991E-3</v>
      </c>
      <c r="H786" t="e" cm="1" vm="1">
        <f t="array" aca="1" ref="H786" ca="1">VLOOKUP(Cpi_[[#This Row],[Year]:[Month]],crudeoil[],3,FALSE)</f>
        <v>#VALUE!</v>
      </c>
    </row>
    <row r="787" spans="1:8" hidden="1" x14ac:dyDescent="0.3">
      <c r="A787" t="s">
        <v>34</v>
      </c>
      <c r="B787">
        <v>2013</v>
      </c>
      <c r="C787" t="s">
        <v>43</v>
      </c>
      <c r="D787" t="s">
        <v>5</v>
      </c>
      <c r="E787" t="e">
        <f>VLOOKUP(Cpi_[[#This Row],[Attribute]],#REF!,2,FALSE)</f>
        <v>#REF!</v>
      </c>
      <c r="F787">
        <v>113.3</v>
      </c>
      <c r="G787">
        <f>(Cpi_[[#This Row],[Value]]-F786)/F786</f>
        <v>-2.5795356835769563E-2</v>
      </c>
      <c r="H787" t="e" cm="1" vm="1">
        <f t="array" aca="1" ref="H787" ca="1">VLOOKUP(Cpi_[[#This Row],[Year]:[Month]],crudeoil[],3,FALSE)</f>
        <v>#VALUE!</v>
      </c>
    </row>
    <row r="788" spans="1:8" hidden="1" x14ac:dyDescent="0.3">
      <c r="A788" t="s">
        <v>34</v>
      </c>
      <c r="B788">
        <v>2013</v>
      </c>
      <c r="C788" t="s">
        <v>43</v>
      </c>
      <c r="D788" t="s">
        <v>6</v>
      </c>
      <c r="E788" t="e">
        <f>VLOOKUP(Cpi_[[#This Row],[Attribute]],#REF!,2,FALSE)</f>
        <v>#REF!</v>
      </c>
      <c r="F788">
        <v>111.2</v>
      </c>
      <c r="G788">
        <f>(Cpi_[[#This Row],[Value]]-F787)/F787</f>
        <v>-1.853486319505732E-2</v>
      </c>
      <c r="H788" t="e" cm="1" vm="1">
        <f t="array" aca="1" ref="H788" ca="1">VLOOKUP(Cpi_[[#This Row],[Year]:[Month]],crudeoil[],3,FALSE)</f>
        <v>#VALUE!</v>
      </c>
    </row>
    <row r="789" spans="1:8" hidden="1" x14ac:dyDescent="0.3">
      <c r="A789" t="s">
        <v>34</v>
      </c>
      <c r="B789">
        <v>2013</v>
      </c>
      <c r="C789" t="s">
        <v>43</v>
      </c>
      <c r="D789" t="s">
        <v>7</v>
      </c>
      <c r="E789" t="e">
        <f>VLOOKUP(Cpi_[[#This Row],[Attribute]],#REF!,2,FALSE)</f>
        <v>#REF!</v>
      </c>
      <c r="F789">
        <v>105.7</v>
      </c>
      <c r="G789">
        <f>(Cpi_[[#This Row],[Value]]-F788)/F788</f>
        <v>-4.9460431654676257E-2</v>
      </c>
      <c r="H789" t="e" cm="1" vm="1">
        <f t="array" aca="1" ref="H789" ca="1">VLOOKUP(Cpi_[[#This Row],[Year]:[Month]],crudeoil[],3,FALSE)</f>
        <v>#VALUE!</v>
      </c>
    </row>
    <row r="790" spans="1:8" hidden="1" x14ac:dyDescent="0.3">
      <c r="A790" t="s">
        <v>34</v>
      </c>
      <c r="B790">
        <v>2013</v>
      </c>
      <c r="C790" t="s">
        <v>43</v>
      </c>
      <c r="D790" t="s">
        <v>8</v>
      </c>
      <c r="E790" t="e">
        <f>VLOOKUP(Cpi_[[#This Row],[Attribute]],#REF!,2,FALSE)</f>
        <v>#REF!</v>
      </c>
      <c r="F790">
        <v>109.9</v>
      </c>
      <c r="G790">
        <f>(Cpi_[[#This Row],[Value]]-F789)/F789</f>
        <v>3.9735099337748367E-2</v>
      </c>
      <c r="H790" t="e" cm="1" vm="1">
        <f t="array" aca="1" ref="H790" ca="1">VLOOKUP(Cpi_[[#This Row],[Year]:[Month]],crudeoil[],3,FALSE)</f>
        <v>#VALUE!</v>
      </c>
    </row>
    <row r="791" spans="1:8" hidden="1" x14ac:dyDescent="0.3">
      <c r="A791" t="s">
        <v>34</v>
      </c>
      <c r="B791">
        <v>2013</v>
      </c>
      <c r="C791" t="s">
        <v>43</v>
      </c>
      <c r="D791" t="s">
        <v>9</v>
      </c>
      <c r="E791" t="e">
        <f>VLOOKUP(Cpi_[[#This Row],[Attribute]],#REF!,2,FALSE)</f>
        <v>#REF!</v>
      </c>
      <c r="F791">
        <v>171.2</v>
      </c>
      <c r="G791">
        <f>(Cpi_[[#This Row],[Value]]-F790)/F790</f>
        <v>0.55777979981801618</v>
      </c>
      <c r="H791" t="e" cm="1" vm="1">
        <f t="array" aca="1" ref="H791" ca="1">VLOOKUP(Cpi_[[#This Row],[Year]:[Month]],crudeoil[],3,FALSE)</f>
        <v>#VALUE!</v>
      </c>
    </row>
    <row r="792" spans="1:8" hidden="1" x14ac:dyDescent="0.3">
      <c r="A792" t="s">
        <v>34</v>
      </c>
      <c r="B792">
        <v>2013</v>
      </c>
      <c r="C792" t="s">
        <v>43</v>
      </c>
      <c r="D792" t="s">
        <v>10</v>
      </c>
      <c r="E792" t="e">
        <f>VLOOKUP(Cpi_[[#This Row],[Attribute]],#REF!,2,FALSE)</f>
        <v>#REF!</v>
      </c>
      <c r="F792">
        <v>107.3</v>
      </c>
      <c r="G792">
        <f>(Cpi_[[#This Row],[Value]]-F791)/F791</f>
        <v>-0.37324766355140182</v>
      </c>
      <c r="H792" t="e" cm="1" vm="1">
        <f t="array" aca="1" ref="H792" ca="1">VLOOKUP(Cpi_[[#This Row],[Year]:[Month]],crudeoil[],3,FALSE)</f>
        <v>#VALUE!</v>
      </c>
    </row>
    <row r="793" spans="1:8" hidden="1" x14ac:dyDescent="0.3">
      <c r="A793" t="s">
        <v>34</v>
      </c>
      <c r="B793">
        <v>2013</v>
      </c>
      <c r="C793" t="s">
        <v>43</v>
      </c>
      <c r="D793" t="s">
        <v>11</v>
      </c>
      <c r="E793" t="e">
        <f>VLOOKUP(Cpi_[[#This Row],[Attribute]],#REF!,2,FALSE)</f>
        <v>#REF!</v>
      </c>
      <c r="F793">
        <v>102.7</v>
      </c>
      <c r="G793">
        <f>(Cpi_[[#This Row],[Value]]-F792)/F792</f>
        <v>-4.2870456663560062E-2</v>
      </c>
      <c r="H793" t="e" cm="1" vm="1">
        <f t="array" aca="1" ref="H793" ca="1">VLOOKUP(Cpi_[[#This Row],[Year]:[Month]],crudeoil[],3,FALSE)</f>
        <v>#VALUE!</v>
      </c>
    </row>
    <row r="794" spans="1:8" hidden="1" x14ac:dyDescent="0.3">
      <c r="A794" t="s">
        <v>34</v>
      </c>
      <c r="B794">
        <v>2013</v>
      </c>
      <c r="C794" t="s">
        <v>43</v>
      </c>
      <c r="D794" t="s">
        <v>12</v>
      </c>
      <c r="E794" t="e">
        <f>VLOOKUP(Cpi_[[#This Row],[Attribute]],#REF!,2,FALSE)</f>
        <v>#REF!</v>
      </c>
      <c r="F794">
        <v>108.7</v>
      </c>
      <c r="G794">
        <f>(Cpi_[[#This Row],[Value]]-F793)/F793</f>
        <v>5.842259006815969E-2</v>
      </c>
      <c r="H794" t="e" cm="1" vm="1">
        <f t="array" aca="1" ref="H794" ca="1">VLOOKUP(Cpi_[[#This Row],[Year]:[Month]],crudeoil[],3,FALSE)</f>
        <v>#VALUE!</v>
      </c>
    </row>
    <row r="795" spans="1:8" hidden="1" x14ac:dyDescent="0.3">
      <c r="A795" t="s">
        <v>34</v>
      </c>
      <c r="B795">
        <v>2013</v>
      </c>
      <c r="C795" t="s">
        <v>43</v>
      </c>
      <c r="D795" t="s">
        <v>13</v>
      </c>
      <c r="E795" t="e">
        <f>VLOOKUP(Cpi_[[#This Row],[Attribute]],#REF!,2,FALSE)</f>
        <v>#REF!</v>
      </c>
      <c r="F795">
        <v>111.2</v>
      </c>
      <c r="G795">
        <f>(Cpi_[[#This Row],[Value]]-F794)/F794</f>
        <v>2.2999080036798528E-2</v>
      </c>
      <c r="H795" t="e" cm="1" vm="1">
        <f t="array" aca="1" ref="H795" ca="1">VLOOKUP(Cpi_[[#This Row],[Year]:[Month]],crudeoil[],3,FALSE)</f>
        <v>#VALUE!</v>
      </c>
    </row>
    <row r="796" spans="1:8" hidden="1" x14ac:dyDescent="0.3">
      <c r="A796" t="s">
        <v>34</v>
      </c>
      <c r="B796">
        <v>2013</v>
      </c>
      <c r="C796" t="s">
        <v>43</v>
      </c>
      <c r="D796" t="s">
        <v>14</v>
      </c>
      <c r="E796" t="e">
        <f>VLOOKUP(Cpi_[[#This Row],[Attribute]],#REF!,2,FALSE)</f>
        <v>#REF!</v>
      </c>
      <c r="F796">
        <v>115.4</v>
      </c>
      <c r="G796">
        <f>(Cpi_[[#This Row],[Value]]-F795)/F795</f>
        <v>3.7769784172661892E-2</v>
      </c>
      <c r="H796" t="e" cm="1" vm="1">
        <f t="array" aca="1" ref="H796" ca="1">VLOOKUP(Cpi_[[#This Row],[Year]:[Month]],crudeoil[],3,FALSE)</f>
        <v>#VALUE!</v>
      </c>
    </row>
    <row r="797" spans="1:8" hidden="1" x14ac:dyDescent="0.3">
      <c r="A797" t="s">
        <v>34</v>
      </c>
      <c r="B797">
        <v>2013</v>
      </c>
      <c r="C797" t="s">
        <v>43</v>
      </c>
      <c r="D797" t="s">
        <v>15</v>
      </c>
      <c r="E797" t="e">
        <f>VLOOKUP(Cpi_[[#This Row],[Attribute]],#REF!,2,FALSE)</f>
        <v>#REF!</v>
      </c>
      <c r="F797">
        <v>120.2</v>
      </c>
      <c r="G797">
        <f>(Cpi_[[#This Row],[Value]]-F796)/F796</f>
        <v>4.159445407279027E-2</v>
      </c>
      <c r="H797" t="e" cm="1" vm="1">
        <f t="array" aca="1" ref="H797" ca="1">VLOOKUP(Cpi_[[#This Row],[Year]:[Month]],crudeoil[],3,FALSE)</f>
        <v>#VALUE!</v>
      </c>
    </row>
    <row r="798" spans="1:8" hidden="1" x14ac:dyDescent="0.3">
      <c r="A798" t="s">
        <v>34</v>
      </c>
      <c r="B798">
        <v>2013</v>
      </c>
      <c r="C798" t="s">
        <v>43</v>
      </c>
      <c r="D798" t="s">
        <v>16</v>
      </c>
      <c r="E798" t="e">
        <f>VLOOKUP(Cpi_[[#This Row],[Attribute]],#REF!,2,FALSE)</f>
        <v>#REF!</v>
      </c>
      <c r="F798">
        <v>112.5</v>
      </c>
      <c r="G798">
        <f>(Cpi_[[#This Row],[Value]]-F797)/F797</f>
        <v>-6.4059900166389377E-2</v>
      </c>
      <c r="H798" t="e" cm="1" vm="1">
        <f t="array" aca="1" ref="H798" ca="1">VLOOKUP(Cpi_[[#This Row],[Year]:[Month]],crudeoil[],3,FALSE)</f>
        <v>#VALUE!</v>
      </c>
    </row>
    <row r="799" spans="1:8" hidden="1" x14ac:dyDescent="0.3">
      <c r="A799" t="s">
        <v>34</v>
      </c>
      <c r="B799">
        <v>2013</v>
      </c>
      <c r="C799" t="s">
        <v>43</v>
      </c>
      <c r="D799" t="s">
        <v>17</v>
      </c>
      <c r="E799" t="e">
        <f>VLOOKUP(Cpi_[[#This Row],[Attribute]],#REF!,2,FALSE)</f>
        <v>#REF!</v>
      </c>
      <c r="F799">
        <v>113.2</v>
      </c>
      <c r="G799">
        <f>(Cpi_[[#This Row],[Value]]-F798)/F798</f>
        <v>6.2222222222222479E-3</v>
      </c>
      <c r="H799" t="e" cm="1" vm="1">
        <f t="array" aca="1" ref="H799" ca="1">VLOOKUP(Cpi_[[#This Row],[Year]:[Month]],crudeoil[],3,FALSE)</f>
        <v>#VALUE!</v>
      </c>
    </row>
    <row r="800" spans="1:8" hidden="1" x14ac:dyDescent="0.3">
      <c r="A800" t="s">
        <v>34</v>
      </c>
      <c r="B800">
        <v>2013</v>
      </c>
      <c r="C800" t="s">
        <v>43</v>
      </c>
      <c r="D800" t="s">
        <v>18</v>
      </c>
      <c r="E800" t="e">
        <f>VLOOKUP(Cpi_[[#This Row],[Attribute]],#REF!,2,FALSE)</f>
        <v>#REF!</v>
      </c>
      <c r="F800">
        <v>111.2</v>
      </c>
      <c r="G800">
        <f>(Cpi_[[#This Row],[Value]]-F799)/F799</f>
        <v>-1.7667844522968199E-2</v>
      </c>
      <c r="H800" t="e" cm="1" vm="1">
        <f t="array" aca="1" ref="H800" ca="1">VLOOKUP(Cpi_[[#This Row],[Year]:[Month]],crudeoil[],3,FALSE)</f>
        <v>#VALUE!</v>
      </c>
    </row>
    <row r="801" spans="1:8" hidden="1" x14ac:dyDescent="0.3">
      <c r="A801" t="s">
        <v>34</v>
      </c>
      <c r="B801">
        <v>2013</v>
      </c>
      <c r="C801" t="s">
        <v>43</v>
      </c>
      <c r="D801" t="s">
        <v>19</v>
      </c>
      <c r="E801" t="e">
        <f>VLOOKUP(Cpi_[[#This Row],[Attribute]],#REF!,2,FALSE)</f>
        <v>#REF!</v>
      </c>
      <c r="F801">
        <v>112.8</v>
      </c>
      <c r="G801">
        <f>(Cpi_[[#This Row],[Value]]-F800)/F800</f>
        <v>1.4388489208633042E-2</v>
      </c>
      <c r="H801" t="e" cm="1" vm="1">
        <f t="array" aca="1" ref="H801" ca="1">VLOOKUP(Cpi_[[#This Row],[Year]:[Month]],crudeoil[],3,FALSE)</f>
        <v>#VALUE!</v>
      </c>
    </row>
    <row r="802" spans="1:8" hidden="1" x14ac:dyDescent="0.3">
      <c r="A802" t="s">
        <v>34</v>
      </c>
      <c r="B802">
        <v>2013</v>
      </c>
      <c r="C802" t="s">
        <v>43</v>
      </c>
      <c r="D802" t="s">
        <v>20</v>
      </c>
      <c r="E802" t="e">
        <f>VLOOKUP(Cpi_[[#This Row],[Attribute]],#REF!,2,FALSE)</f>
        <v>#REF!</v>
      </c>
      <c r="F802">
        <v>110.5</v>
      </c>
      <c r="G802">
        <f>(Cpi_[[#This Row],[Value]]-F801)/F801</f>
        <v>-2.039007092198579E-2</v>
      </c>
      <c r="H802" t="e" cm="1" vm="1">
        <f t="array" aca="1" ref="H802" ca="1">VLOOKUP(Cpi_[[#This Row],[Year]:[Month]],crudeoil[],3,FALSE)</f>
        <v>#VALUE!</v>
      </c>
    </row>
    <row r="803" spans="1:8" hidden="1" x14ac:dyDescent="0.3">
      <c r="A803" t="s">
        <v>34</v>
      </c>
      <c r="B803">
        <v>2013</v>
      </c>
      <c r="C803" t="s">
        <v>43</v>
      </c>
      <c r="D803" t="s">
        <v>21</v>
      </c>
      <c r="E803" t="e">
        <f>VLOOKUP(Cpi_[[#This Row],[Attribute]],#REF!,2,FALSE)</f>
        <v>#REF!</v>
      </c>
      <c r="F803">
        <v>110.9</v>
      </c>
      <c r="G803">
        <f>(Cpi_[[#This Row],[Value]]-F802)/F802</f>
        <v>3.6199095022624948E-3</v>
      </c>
      <c r="H803" t="e" cm="1" vm="1">
        <f t="array" aca="1" ref="H803" ca="1">VLOOKUP(Cpi_[[#This Row],[Year]:[Month]],crudeoil[],3,FALSE)</f>
        <v>#VALUE!</v>
      </c>
    </row>
    <row r="804" spans="1:8" hidden="1" x14ac:dyDescent="0.3">
      <c r="A804" t="s">
        <v>34</v>
      </c>
      <c r="B804">
        <v>2013</v>
      </c>
      <c r="C804" t="s">
        <v>43</v>
      </c>
      <c r="D804" t="s">
        <v>22</v>
      </c>
      <c r="E804" t="e">
        <f>VLOOKUP(Cpi_[[#This Row],[Attribute]],#REF!,2,FALSE)</f>
        <v>#REF!</v>
      </c>
      <c r="F804">
        <v>110.3</v>
      </c>
      <c r="G804">
        <f>(Cpi_[[#This Row],[Value]]-F803)/F803</f>
        <v>-5.410279531109184E-3</v>
      </c>
      <c r="H804" t="e" cm="1" vm="1">
        <f t="array" aca="1" ref="H804" ca="1">VLOOKUP(Cpi_[[#This Row],[Year]:[Month]],crudeoil[],3,FALSE)</f>
        <v>#VALUE!</v>
      </c>
    </row>
    <row r="805" spans="1:8" hidden="1" x14ac:dyDescent="0.3">
      <c r="A805" t="s">
        <v>34</v>
      </c>
      <c r="B805">
        <v>2013</v>
      </c>
      <c r="C805" t="s">
        <v>43</v>
      </c>
      <c r="D805" t="s">
        <v>23</v>
      </c>
      <c r="E805" t="e">
        <f>VLOOKUP(Cpi_[[#This Row],[Attribute]],#REF!,2,FALSE)</f>
        <v>#REF!</v>
      </c>
      <c r="F805">
        <v>108.6</v>
      </c>
      <c r="G805">
        <f>(Cpi_[[#This Row],[Value]]-F804)/F804</f>
        <v>-1.5412511332728947E-2</v>
      </c>
      <c r="H805" t="e" cm="1" vm="1">
        <f t="array" aca="1" ref="H805" ca="1">VLOOKUP(Cpi_[[#This Row],[Year]:[Month]],crudeoil[],3,FALSE)</f>
        <v>#VALUE!</v>
      </c>
    </row>
    <row r="806" spans="1:8" hidden="1" x14ac:dyDescent="0.3">
      <c r="A806" t="s">
        <v>34</v>
      </c>
      <c r="B806">
        <v>2013</v>
      </c>
      <c r="C806" t="s">
        <v>43</v>
      </c>
      <c r="D806" t="s">
        <v>24</v>
      </c>
      <c r="E806" t="e">
        <f>VLOOKUP(Cpi_[[#This Row],[Attribute]],#REF!,2,FALSE)</f>
        <v>#REF!</v>
      </c>
      <c r="F806">
        <v>109.5</v>
      </c>
      <c r="G806">
        <f>(Cpi_[[#This Row],[Value]]-F805)/F805</f>
        <v>8.2872928176796114E-3</v>
      </c>
      <c r="H806" t="e" cm="1" vm="1">
        <f t="array" aca="1" ref="H806" ca="1">VLOOKUP(Cpi_[[#This Row],[Year]:[Month]],crudeoil[],3,FALSE)</f>
        <v>#VALUE!</v>
      </c>
    </row>
    <row r="807" spans="1:8" hidden="1" x14ac:dyDescent="0.3">
      <c r="A807" t="s">
        <v>34</v>
      </c>
      <c r="B807">
        <v>2013</v>
      </c>
      <c r="C807" t="s">
        <v>43</v>
      </c>
      <c r="D807" t="s">
        <v>25</v>
      </c>
      <c r="E807" t="e">
        <f>VLOOKUP(Cpi_[[#This Row],[Attribute]],#REF!,2,FALSE)</f>
        <v>#REF!</v>
      </c>
      <c r="F807">
        <v>108.1</v>
      </c>
      <c r="G807">
        <f>(Cpi_[[#This Row],[Value]]-F806)/F806</f>
        <v>-1.2785388127853934E-2</v>
      </c>
      <c r="H807" t="e" cm="1" vm="1">
        <f t="array" aca="1" ref="H807" ca="1">VLOOKUP(Cpi_[[#This Row],[Year]:[Month]],crudeoil[],3,FALSE)</f>
        <v>#VALUE!</v>
      </c>
    </row>
    <row r="808" spans="1:8" hidden="1" x14ac:dyDescent="0.3">
      <c r="A808" t="s">
        <v>34</v>
      </c>
      <c r="B808">
        <v>2013</v>
      </c>
      <c r="C808" t="s">
        <v>43</v>
      </c>
      <c r="D808" t="s">
        <v>26</v>
      </c>
      <c r="E808" t="e">
        <f>VLOOKUP(Cpi_[[#This Row],[Attribute]],#REF!,2,FALSE)</f>
        <v>#REF!</v>
      </c>
      <c r="F808">
        <v>110.8</v>
      </c>
      <c r="G808">
        <f>(Cpi_[[#This Row],[Value]]-F807)/F807</f>
        <v>2.4976873265494939E-2</v>
      </c>
      <c r="H808" t="e" cm="1" vm="1">
        <f t="array" aca="1" ref="H808" ca="1">VLOOKUP(Cpi_[[#This Row],[Year]:[Month]],crudeoil[],3,FALSE)</f>
        <v>#VALUE!</v>
      </c>
    </row>
    <row r="809" spans="1:8" hidden="1" x14ac:dyDescent="0.3">
      <c r="A809" t="s">
        <v>34</v>
      </c>
      <c r="B809">
        <v>2013</v>
      </c>
      <c r="C809" t="s">
        <v>43</v>
      </c>
      <c r="D809" t="s">
        <v>27</v>
      </c>
      <c r="E809" t="e">
        <f>VLOOKUP(Cpi_[[#This Row],[Attribute]],#REF!,2,FALSE)</f>
        <v>#REF!</v>
      </c>
      <c r="F809">
        <v>107.4</v>
      </c>
      <c r="G809">
        <f>(Cpi_[[#This Row],[Value]]-F808)/F808</f>
        <v>-3.0685920577617251E-2</v>
      </c>
      <c r="H809" t="e" cm="1" vm="1">
        <f t="array" aca="1" ref="H809" ca="1">VLOOKUP(Cpi_[[#This Row],[Year]:[Month]],crudeoil[],3,FALSE)</f>
        <v>#VALUE!</v>
      </c>
    </row>
    <row r="810" spans="1:8" hidden="1" x14ac:dyDescent="0.3">
      <c r="A810" t="s">
        <v>34</v>
      </c>
      <c r="B810">
        <v>2013</v>
      </c>
      <c r="C810" t="s">
        <v>43</v>
      </c>
      <c r="D810" t="s">
        <v>28</v>
      </c>
      <c r="E810" t="e">
        <f>VLOOKUP(Cpi_[[#This Row],[Attribute]],#REF!,2,FALSE)</f>
        <v>#REF!</v>
      </c>
      <c r="F810">
        <v>109.2</v>
      </c>
      <c r="G810">
        <f>(Cpi_[[#This Row],[Value]]-F809)/F809</f>
        <v>1.6759776536312821E-2</v>
      </c>
      <c r="H810" t="e" cm="1" vm="1">
        <f t="array" aca="1" ref="H810" ca="1">VLOOKUP(Cpi_[[#This Row],[Year]:[Month]],crudeoil[],3,FALSE)</f>
        <v>#VALUE!</v>
      </c>
    </row>
    <row r="811" spans="1:8" hidden="1" x14ac:dyDescent="0.3">
      <c r="A811" t="s">
        <v>34</v>
      </c>
      <c r="B811">
        <v>2013</v>
      </c>
      <c r="C811" t="s">
        <v>43</v>
      </c>
      <c r="D811" t="s">
        <v>29</v>
      </c>
      <c r="E811" t="e" cm="1">
        <f t="array" aca="1" ref="E811" ca="1">VLGeneral indexGeneral indexKUP(Cpi_[[#This Row],[Attribute]],#REF!,2,FALSE)</f>
        <v>#NAME?</v>
      </c>
      <c r="F811">
        <v>114.8</v>
      </c>
      <c r="G811">
        <f>(Cpi_[[#This Row],[Value]]-F810)/F810</f>
        <v>5.1282051282051232E-2</v>
      </c>
      <c r="H811" t="e" cm="1" vm="1">
        <f t="array" aca="1" ref="H811" ca="1">VLOOKUP(Cpi_[[#This Row],[Year]:[Month]],crudeoil[],3,FALSE)</f>
        <v>#VALUE!</v>
      </c>
    </row>
    <row r="812" spans="1:8" hidden="1" x14ac:dyDescent="0.3">
      <c r="A812" t="s">
        <v>30</v>
      </c>
      <c r="B812">
        <v>2013</v>
      </c>
      <c r="C812" t="s">
        <v>44</v>
      </c>
      <c r="D812" t="s">
        <v>3</v>
      </c>
      <c r="E812" t="e">
        <f>VLOOKUP(Cpi_[[#This Row],[Attribute]],#REF!,2,FALSE)</f>
        <v>#REF!</v>
      </c>
      <c r="F812">
        <v>117.3</v>
      </c>
      <c r="G812">
        <f>(Cpi_[[#This Row],[Value]]-F811)/F811</f>
        <v>2.1777003484320559E-2</v>
      </c>
      <c r="H812" t="e" cm="1" vm="1">
        <f t="array" aca="1" ref="H812" ca="1">VLOOKUP(Cpi_[[#This Row],[Year]:[Month]],crudeoil[],3,FALSE)</f>
        <v>#VALUE!</v>
      </c>
    </row>
    <row r="813" spans="1:8" hidden="1" x14ac:dyDescent="0.3">
      <c r="A813" t="s">
        <v>30</v>
      </c>
      <c r="B813">
        <v>2013</v>
      </c>
      <c r="C813" t="s">
        <v>44</v>
      </c>
      <c r="D813" t="s">
        <v>4</v>
      </c>
      <c r="E813" t="e">
        <f>VLOOKUP(Cpi_[[#This Row],[Attribute]],#REF!,2,FALSE)</f>
        <v>#REF!</v>
      </c>
      <c r="F813">
        <v>114.9</v>
      </c>
      <c r="G813">
        <f>(Cpi_[[#This Row],[Value]]-F812)/F812</f>
        <v>-2.0460358056265913E-2</v>
      </c>
      <c r="H813" t="e" cm="1" vm="1">
        <f t="array" aca="1" ref="H813" ca="1">VLOOKUP(Cpi_[[#This Row],[Year]:[Month]],crudeoil[],3,FALSE)</f>
        <v>#VALUE!</v>
      </c>
    </row>
    <row r="814" spans="1:8" hidden="1" x14ac:dyDescent="0.3">
      <c r="A814" t="s">
        <v>30</v>
      </c>
      <c r="B814">
        <v>2013</v>
      </c>
      <c r="C814" t="s">
        <v>44</v>
      </c>
      <c r="D814" t="s">
        <v>5</v>
      </c>
      <c r="E814" t="e">
        <f>VLOOKUP(Cpi_[[#This Row],[Attribute]],#REF!,2,FALSE)</f>
        <v>#REF!</v>
      </c>
      <c r="F814">
        <v>116.2</v>
      </c>
      <c r="G814">
        <f>(Cpi_[[#This Row],[Value]]-F813)/F813</f>
        <v>1.1314186248912072E-2</v>
      </c>
      <c r="H814" t="e" cm="1" vm="1">
        <f t="array" aca="1" ref="H814" ca="1">VLOOKUP(Cpi_[[#This Row],[Year]:[Month]],crudeoil[],3,FALSE)</f>
        <v>#VALUE!</v>
      </c>
    </row>
    <row r="815" spans="1:8" hidden="1" x14ac:dyDescent="0.3">
      <c r="A815" t="s">
        <v>30</v>
      </c>
      <c r="B815">
        <v>2013</v>
      </c>
      <c r="C815" t="s">
        <v>44</v>
      </c>
      <c r="D815" t="s">
        <v>6</v>
      </c>
      <c r="E815" t="e">
        <f>VLOOKUP(Cpi_[[#This Row],[Attribute]],#REF!,2,FALSE)</f>
        <v>#REF!</v>
      </c>
      <c r="F815">
        <v>112.8</v>
      </c>
      <c r="G815">
        <f>(Cpi_[[#This Row],[Value]]-F814)/F814</f>
        <v>-2.9259896729776295E-2</v>
      </c>
      <c r="H815" t="e" cm="1" vm="1">
        <f t="array" aca="1" ref="H815" ca="1">VLOOKUP(Cpi_[[#This Row],[Year]:[Month]],crudeoil[],3,FALSE)</f>
        <v>#VALUE!</v>
      </c>
    </row>
    <row r="816" spans="1:8" hidden="1" x14ac:dyDescent="0.3">
      <c r="A816" t="s">
        <v>30</v>
      </c>
      <c r="B816">
        <v>2013</v>
      </c>
      <c r="C816" t="s">
        <v>44</v>
      </c>
      <c r="D816" t="s">
        <v>7</v>
      </c>
      <c r="E816" t="e">
        <f>VLOOKUP(Cpi_[[#This Row],[Attribute]],#REF!,2,FALSE)</f>
        <v>#REF!</v>
      </c>
      <c r="F816">
        <v>108.9</v>
      </c>
      <c r="G816">
        <f>(Cpi_[[#This Row],[Value]]-F815)/F815</f>
        <v>-3.4574468085106308E-2</v>
      </c>
      <c r="H816" t="e" cm="1" vm="1">
        <f t="array" aca="1" ref="H816" ca="1">VLOOKUP(Cpi_[[#This Row],[Year]:[Month]],crudeoil[],3,FALSE)</f>
        <v>#VALUE!</v>
      </c>
    </row>
    <row r="817" spans="1:8" hidden="1" x14ac:dyDescent="0.3">
      <c r="A817" t="s">
        <v>30</v>
      </c>
      <c r="B817">
        <v>2013</v>
      </c>
      <c r="C817" t="s">
        <v>44</v>
      </c>
      <c r="D817" t="s">
        <v>8</v>
      </c>
      <c r="E817" t="e">
        <f>VLOOKUP(Cpi_[[#This Row],[Attribute]],#REF!,2,FALSE)</f>
        <v>#REF!</v>
      </c>
      <c r="F817">
        <v>116.6</v>
      </c>
      <c r="G817">
        <f>(Cpi_[[#This Row],[Value]]-F816)/F816</f>
        <v>7.0707070707070593E-2</v>
      </c>
      <c r="H817" t="e" cm="1" vm="1">
        <f t="array" aca="1" ref="H817" ca="1">VLOOKUP(Cpi_[[#This Row],[Year]:[Month]],crudeoil[],3,FALSE)</f>
        <v>#VALUE!</v>
      </c>
    </row>
    <row r="818" spans="1:8" hidden="1" x14ac:dyDescent="0.3">
      <c r="A818" t="s">
        <v>30</v>
      </c>
      <c r="B818">
        <v>2013</v>
      </c>
      <c r="C818" t="s">
        <v>44</v>
      </c>
      <c r="D818" t="s">
        <v>9</v>
      </c>
      <c r="E818" t="e">
        <f>VLOOKUP(Cpi_[[#This Row],[Attribute]],#REF!,2,FALSE)</f>
        <v>#REF!</v>
      </c>
      <c r="F818">
        <v>178.1</v>
      </c>
      <c r="G818">
        <f>(Cpi_[[#This Row],[Value]]-F817)/F817</f>
        <v>0.52744425385934823</v>
      </c>
      <c r="H818" t="e" cm="1" vm="1">
        <f t="array" aca="1" ref="H818" ca="1">VLOOKUP(Cpi_[[#This Row],[Year]:[Month]],crudeoil[],3,FALSE)</f>
        <v>#VALUE!</v>
      </c>
    </row>
    <row r="819" spans="1:8" hidden="1" x14ac:dyDescent="0.3">
      <c r="A819" t="s">
        <v>30</v>
      </c>
      <c r="B819">
        <v>2013</v>
      </c>
      <c r="C819" t="s">
        <v>44</v>
      </c>
      <c r="D819" t="s">
        <v>10</v>
      </c>
      <c r="E819" t="e">
        <f>VLOOKUP(Cpi_[[#This Row],[Attribute]],#REF!,2,FALSE)</f>
        <v>#REF!</v>
      </c>
      <c r="F819">
        <v>109.1</v>
      </c>
      <c r="G819">
        <f>(Cpi_[[#This Row],[Value]]-F818)/F818</f>
        <v>-0.38742279618192027</v>
      </c>
      <c r="H819" t="e" cm="1" vm="1">
        <f t="array" aca="1" ref="H819" ca="1">VLOOKUP(Cpi_[[#This Row],[Year]:[Month]],crudeoil[],3,FALSE)</f>
        <v>#VALUE!</v>
      </c>
    </row>
    <row r="820" spans="1:8" hidden="1" x14ac:dyDescent="0.3">
      <c r="A820" t="s">
        <v>30</v>
      </c>
      <c r="B820">
        <v>2013</v>
      </c>
      <c r="C820" t="s">
        <v>44</v>
      </c>
      <c r="D820" t="s">
        <v>11</v>
      </c>
      <c r="E820" t="e">
        <f>VLOOKUP(Cpi_[[#This Row],[Attribute]],#REF!,2,FALSE)</f>
        <v>#REF!</v>
      </c>
      <c r="F820">
        <v>103.6</v>
      </c>
      <c r="G820">
        <f>(Cpi_[[#This Row],[Value]]-F819)/F819</f>
        <v>-5.0412465627864347E-2</v>
      </c>
      <c r="H820" t="e" cm="1" vm="1">
        <f t="array" aca="1" ref="H820" ca="1">VLOOKUP(Cpi_[[#This Row],[Year]:[Month]],crudeoil[],3,FALSE)</f>
        <v>#VALUE!</v>
      </c>
    </row>
    <row r="821" spans="1:8" hidden="1" x14ac:dyDescent="0.3">
      <c r="A821" t="s">
        <v>30</v>
      </c>
      <c r="B821">
        <v>2013</v>
      </c>
      <c r="C821" t="s">
        <v>44</v>
      </c>
      <c r="D821" t="s">
        <v>12</v>
      </c>
      <c r="E821" t="e">
        <f>VLOOKUP(Cpi_[[#This Row],[Attribute]],#REF!,2,FALSE)</f>
        <v>#REF!</v>
      </c>
      <c r="F821">
        <v>109</v>
      </c>
      <c r="G821">
        <f>(Cpi_[[#This Row],[Value]]-F820)/F820</f>
        <v>5.2123552123552179E-2</v>
      </c>
      <c r="H821" t="e" cm="1" vm="1">
        <f t="array" aca="1" ref="H821" ca="1">VLOOKUP(Cpi_[[#This Row],[Year]:[Month]],crudeoil[],3,FALSE)</f>
        <v>#VALUE!</v>
      </c>
    </row>
    <row r="822" spans="1:8" hidden="1" x14ac:dyDescent="0.3">
      <c r="A822" t="s">
        <v>30</v>
      </c>
      <c r="B822">
        <v>2013</v>
      </c>
      <c r="C822" t="s">
        <v>44</v>
      </c>
      <c r="D822" t="s">
        <v>13</v>
      </c>
      <c r="E822" t="e">
        <f>VLOOKUP(Cpi_[[#This Row],[Attribute]],#REF!,2,FALSE)</f>
        <v>#REF!</v>
      </c>
      <c r="F822">
        <v>111.8</v>
      </c>
      <c r="G822">
        <f>(Cpi_[[#This Row],[Value]]-F821)/F821</f>
        <v>2.5688073394495387E-2</v>
      </c>
      <c r="H822" t="e" cm="1" vm="1">
        <f t="array" aca="1" ref="H822" ca="1">VLOOKUP(Cpi_[[#This Row],[Year]:[Month]],crudeoil[],3,FALSE)</f>
        <v>#VALUE!</v>
      </c>
    </row>
    <row r="823" spans="1:8" hidden="1" x14ac:dyDescent="0.3">
      <c r="A823" t="s">
        <v>30</v>
      </c>
      <c r="B823">
        <v>2013</v>
      </c>
      <c r="C823" t="s">
        <v>44</v>
      </c>
      <c r="D823" t="s">
        <v>14</v>
      </c>
      <c r="E823" t="e">
        <f>VLOOKUP(Cpi_[[#This Row],[Attribute]],#REF!,2,FALSE)</f>
        <v>#REF!</v>
      </c>
      <c r="F823">
        <v>116</v>
      </c>
      <c r="G823">
        <f>(Cpi_[[#This Row],[Value]]-F822)/F822</f>
        <v>3.756708407871201E-2</v>
      </c>
      <c r="H823" t="e" cm="1" vm="1">
        <f t="array" aca="1" ref="H823" ca="1">VLOOKUP(Cpi_[[#This Row],[Year]:[Month]],crudeoil[],3,FALSE)</f>
        <v>#VALUE!</v>
      </c>
    </row>
    <row r="824" spans="1:8" hidden="1" x14ac:dyDescent="0.3">
      <c r="A824" t="s">
        <v>30</v>
      </c>
      <c r="B824">
        <v>2013</v>
      </c>
      <c r="C824" t="s">
        <v>44</v>
      </c>
      <c r="D824" t="s">
        <v>15</v>
      </c>
      <c r="E824" t="e">
        <f>VLOOKUP(Cpi_[[#This Row],[Attribute]],#REF!,2,FALSE)</f>
        <v>#REF!</v>
      </c>
      <c r="F824">
        <v>122.5</v>
      </c>
      <c r="G824">
        <f>(Cpi_[[#This Row],[Value]]-F823)/F823</f>
        <v>5.6034482758620691E-2</v>
      </c>
      <c r="H824" t="e" cm="1" vm="1">
        <f t="array" aca="1" ref="H824" ca="1">VLOOKUP(Cpi_[[#This Row],[Year]:[Month]],crudeoil[],3,FALSE)</f>
        <v>#VALUE!</v>
      </c>
    </row>
    <row r="825" spans="1:8" hidden="1" x14ac:dyDescent="0.3">
      <c r="A825" t="s">
        <v>30</v>
      </c>
      <c r="B825">
        <v>2013</v>
      </c>
      <c r="C825" t="s">
        <v>44</v>
      </c>
      <c r="D825" t="s">
        <v>16</v>
      </c>
      <c r="E825" t="e">
        <f>VLOOKUP(Cpi_[[#This Row],[Attribute]],#REF!,2,FALSE)</f>
        <v>#REF!</v>
      </c>
      <c r="F825">
        <v>112.8</v>
      </c>
      <c r="G825">
        <f>(Cpi_[[#This Row],[Value]]-F824)/F824</f>
        <v>-7.9183673469387775E-2</v>
      </c>
      <c r="H825" t="e" cm="1" vm="1">
        <f t="array" aca="1" ref="H825" ca="1">VLOOKUP(Cpi_[[#This Row],[Year]:[Month]],crudeoil[],3,FALSE)</f>
        <v>#VALUE!</v>
      </c>
    </row>
    <row r="826" spans="1:8" hidden="1" x14ac:dyDescent="0.3">
      <c r="A826" t="s">
        <v>30</v>
      </c>
      <c r="B826">
        <v>2013</v>
      </c>
      <c r="C826" t="s">
        <v>44</v>
      </c>
      <c r="D826" t="s">
        <v>17</v>
      </c>
      <c r="E826" t="e">
        <f>VLOOKUP(Cpi_[[#This Row],[Attribute]],#REF!,2,FALSE)</f>
        <v>#REF!</v>
      </c>
      <c r="F826">
        <v>114.6</v>
      </c>
      <c r="G826">
        <f>(Cpi_[[#This Row],[Value]]-F825)/F825</f>
        <v>1.5957446808510613E-2</v>
      </c>
      <c r="H826" t="e" cm="1" vm="1">
        <f t="array" aca="1" ref="H826" ca="1">VLOOKUP(Cpi_[[#This Row],[Year]:[Month]],crudeoil[],3,FALSE)</f>
        <v>#VALUE!</v>
      </c>
    </row>
    <row r="827" spans="1:8" hidden="1" x14ac:dyDescent="0.3">
      <c r="A827" t="s">
        <v>30</v>
      </c>
      <c r="B827">
        <v>2013</v>
      </c>
      <c r="C827" t="s">
        <v>44</v>
      </c>
      <c r="D827" t="s">
        <v>18</v>
      </c>
      <c r="E827" t="e">
        <f>VLOOKUP(Cpi_[[#This Row],[Attribute]],#REF!,2,FALSE)</f>
        <v>#REF!</v>
      </c>
      <c r="F827">
        <v>113.1</v>
      </c>
      <c r="G827">
        <f>(Cpi_[[#This Row],[Value]]-F826)/F826</f>
        <v>-1.3089005235602094E-2</v>
      </c>
      <c r="H827" t="e" cm="1" vm="1">
        <f t="array" aca="1" ref="H827" ca="1">VLOOKUP(Cpi_[[#This Row],[Year]:[Month]],crudeoil[],3,FALSE)</f>
        <v>#VALUE!</v>
      </c>
    </row>
    <row r="828" spans="1:8" hidden="1" x14ac:dyDescent="0.3">
      <c r="A828" t="s">
        <v>30</v>
      </c>
      <c r="B828">
        <v>2013</v>
      </c>
      <c r="C828" t="s">
        <v>44</v>
      </c>
      <c r="D828" t="s">
        <v>19</v>
      </c>
      <c r="E828" t="e">
        <f>VLOOKUP(Cpi_[[#This Row],[Attribute]],#REF!,2,FALSE)</f>
        <v>#REF!</v>
      </c>
      <c r="F828">
        <v>114.4</v>
      </c>
      <c r="G828">
        <f>(Cpi_[[#This Row],[Value]]-F827)/F827</f>
        <v>1.1494252873563319E-2</v>
      </c>
      <c r="H828" t="e" cm="1" vm="1">
        <f t="array" aca="1" ref="H828" ca="1">VLOOKUP(Cpi_[[#This Row],[Year]:[Month]],crudeoil[],3,FALSE)</f>
        <v>#VALUE!</v>
      </c>
    </row>
    <row r="829" spans="1:8" hidden="1" x14ac:dyDescent="0.3">
      <c r="A829" t="s">
        <v>30</v>
      </c>
      <c r="B829">
        <v>2013</v>
      </c>
      <c r="C829" t="s">
        <v>44</v>
      </c>
      <c r="D829" t="s">
        <v>20</v>
      </c>
      <c r="E829" t="e">
        <f>VLOOKUP(Cpi_[[#This Row],[Attribute]],#REF!,2,FALSE)</f>
        <v>#REF!</v>
      </c>
      <c r="F829" t="s">
        <v>32</v>
      </c>
      <c r="G829" t="e">
        <f>(Cpi_[[#This Row],[Value]]-F828)/F828</f>
        <v>#VALUE!</v>
      </c>
      <c r="H829" t="e" cm="1" vm="1">
        <f t="array" aca="1" ref="H829" ca="1">VLOOKUP(Cpi_[[#This Row],[Year]:[Month]],crudeoil[],3,FALSE)</f>
        <v>#VALUE!</v>
      </c>
    </row>
    <row r="830" spans="1:8" hidden="1" x14ac:dyDescent="0.3">
      <c r="A830" t="s">
        <v>30</v>
      </c>
      <c r="B830">
        <v>2013</v>
      </c>
      <c r="C830" t="s">
        <v>44</v>
      </c>
      <c r="D830" t="s">
        <v>21</v>
      </c>
      <c r="E830" t="e">
        <f>VLOOKUP(Cpi_[[#This Row],[Attribute]],#REF!,2,FALSE)</f>
        <v>#REF!</v>
      </c>
      <c r="F830">
        <v>112.6</v>
      </c>
      <c r="G830" t="e">
        <f>(Cpi_[[#This Row],[Value]]-F829)/F829</f>
        <v>#VALUE!</v>
      </c>
      <c r="H830" t="e" cm="1" vm="1">
        <f t="array" aca="1" ref="H830" ca="1">VLOOKUP(Cpi_[[#This Row],[Year]:[Month]],crudeoil[],3,FALSE)</f>
        <v>#VALUE!</v>
      </c>
    </row>
    <row r="831" spans="1:8" hidden="1" x14ac:dyDescent="0.3">
      <c r="A831" t="s">
        <v>30</v>
      </c>
      <c r="B831">
        <v>2013</v>
      </c>
      <c r="C831" t="s">
        <v>44</v>
      </c>
      <c r="D831" t="s">
        <v>22</v>
      </c>
      <c r="E831" t="e">
        <f>VLOOKUP(Cpi_[[#This Row],[Attribute]],#REF!,2,FALSE)</f>
        <v>#REF!</v>
      </c>
      <c r="F831">
        <v>111.3</v>
      </c>
      <c r="G831">
        <f>(Cpi_[[#This Row],[Value]]-F830)/F830</f>
        <v>-1.1545293072824132E-2</v>
      </c>
      <c r="H831" t="e" cm="1" vm="1">
        <f t="array" aca="1" ref="H831" ca="1">VLOOKUP(Cpi_[[#This Row],[Year]:[Month]],crudeoil[],3,FALSE)</f>
        <v>#VALUE!</v>
      </c>
    </row>
    <row r="832" spans="1:8" hidden="1" x14ac:dyDescent="0.3">
      <c r="A832" t="s">
        <v>30</v>
      </c>
      <c r="B832">
        <v>2013</v>
      </c>
      <c r="C832" t="s">
        <v>44</v>
      </c>
      <c r="D832" t="s">
        <v>23</v>
      </c>
      <c r="E832" t="e">
        <f>VLOOKUP(Cpi_[[#This Row],[Attribute]],#REF!,2,FALSE)</f>
        <v>#REF!</v>
      </c>
      <c r="F832">
        <v>109.7</v>
      </c>
      <c r="G832">
        <f>(Cpi_[[#This Row],[Value]]-F831)/F831</f>
        <v>-1.4375561545372815E-2</v>
      </c>
      <c r="H832" t="e" cm="1" vm="1">
        <f t="array" aca="1" ref="H832" ca="1">VLOOKUP(Cpi_[[#This Row],[Year]:[Month]],crudeoil[],3,FALSE)</f>
        <v>#VALUE!</v>
      </c>
    </row>
    <row r="833" spans="1:8" hidden="1" x14ac:dyDescent="0.3">
      <c r="A833" t="s">
        <v>30</v>
      </c>
      <c r="B833">
        <v>2013</v>
      </c>
      <c r="C833" t="s">
        <v>44</v>
      </c>
      <c r="D833" t="s">
        <v>24</v>
      </c>
      <c r="E833" t="e">
        <f>VLOOKUP(Cpi_[[#This Row],[Attribute]],#REF!,2,FALSE)</f>
        <v>#REF!</v>
      </c>
      <c r="F833">
        <v>109.6</v>
      </c>
      <c r="G833">
        <f>(Cpi_[[#This Row],[Value]]-F832)/F832</f>
        <v>-9.1157702825896559E-4</v>
      </c>
      <c r="H833" t="e" cm="1" vm="1">
        <f t="array" aca="1" ref="H833" ca="1">VLOOKUP(Cpi_[[#This Row],[Year]:[Month]],crudeoil[],3,FALSE)</f>
        <v>#VALUE!</v>
      </c>
    </row>
    <row r="834" spans="1:8" hidden="1" x14ac:dyDescent="0.3">
      <c r="A834" t="s">
        <v>30</v>
      </c>
      <c r="B834">
        <v>2013</v>
      </c>
      <c r="C834" t="s">
        <v>44</v>
      </c>
      <c r="D834" t="s">
        <v>25</v>
      </c>
      <c r="E834" t="e">
        <f>VLOOKUP(Cpi_[[#This Row],[Attribute]],#REF!,2,FALSE)</f>
        <v>#REF!</v>
      </c>
      <c r="F834">
        <v>108.7</v>
      </c>
      <c r="G834">
        <f>(Cpi_[[#This Row],[Value]]-F833)/F833</f>
        <v>-8.2116788321167106E-3</v>
      </c>
      <c r="H834" t="e" cm="1" vm="1">
        <f t="array" aca="1" ref="H834" ca="1">VLOOKUP(Cpi_[[#This Row],[Year]:[Month]],crudeoil[],3,FALSE)</f>
        <v>#VALUE!</v>
      </c>
    </row>
    <row r="835" spans="1:8" hidden="1" x14ac:dyDescent="0.3">
      <c r="A835" t="s">
        <v>30</v>
      </c>
      <c r="B835">
        <v>2013</v>
      </c>
      <c r="C835" t="s">
        <v>44</v>
      </c>
      <c r="D835" t="s">
        <v>26</v>
      </c>
      <c r="E835" t="e">
        <f>VLOOKUP(Cpi_[[#This Row],[Attribute]],#REF!,2,FALSE)</f>
        <v>#REF!</v>
      </c>
      <c r="F835">
        <v>111</v>
      </c>
      <c r="G835">
        <f>(Cpi_[[#This Row],[Value]]-F834)/F834</f>
        <v>2.1159153633854618E-2</v>
      </c>
      <c r="H835" t="e" cm="1" vm="1">
        <f t="array" aca="1" ref="H835" ca="1">VLOOKUP(Cpi_[[#This Row],[Year]:[Month]],crudeoil[],3,FALSE)</f>
        <v>#VALUE!</v>
      </c>
    </row>
    <row r="836" spans="1:8" hidden="1" x14ac:dyDescent="0.3">
      <c r="A836" t="s">
        <v>30</v>
      </c>
      <c r="B836">
        <v>2013</v>
      </c>
      <c r="C836" t="s">
        <v>44</v>
      </c>
      <c r="D836" t="s">
        <v>27</v>
      </c>
      <c r="E836" t="e">
        <f>VLOOKUP(Cpi_[[#This Row],[Attribute]],#REF!,2,FALSE)</f>
        <v>#REF!</v>
      </c>
      <c r="F836">
        <v>108.2</v>
      </c>
      <c r="G836">
        <f>(Cpi_[[#This Row],[Value]]-F835)/F835</f>
        <v>-2.52252252252252E-2</v>
      </c>
      <c r="H836" t="e" cm="1" vm="1">
        <f t="array" aca="1" ref="H836" ca="1">VLOOKUP(Cpi_[[#This Row],[Year]:[Month]],crudeoil[],3,FALSE)</f>
        <v>#VALUE!</v>
      </c>
    </row>
    <row r="837" spans="1:8" hidden="1" x14ac:dyDescent="0.3">
      <c r="A837" t="s">
        <v>30</v>
      </c>
      <c r="B837">
        <v>2013</v>
      </c>
      <c r="C837" t="s">
        <v>44</v>
      </c>
      <c r="D837" t="s">
        <v>28</v>
      </c>
      <c r="E837" t="e">
        <f>VLOOKUP(Cpi_[[#This Row],[Attribute]],#REF!,2,FALSE)</f>
        <v>#REF!</v>
      </c>
      <c r="F837">
        <v>109.8</v>
      </c>
      <c r="G837">
        <f>(Cpi_[[#This Row],[Value]]-F836)/F836</f>
        <v>1.4787430683918617E-2</v>
      </c>
      <c r="H837" t="e" cm="1" vm="1">
        <f t="array" aca="1" ref="H837" ca="1">VLOOKUP(Cpi_[[#This Row],[Year]:[Month]],crudeoil[],3,FALSE)</f>
        <v>#VALUE!</v>
      </c>
    </row>
    <row r="838" spans="1:8" hidden="1" x14ac:dyDescent="0.3">
      <c r="A838" t="s">
        <v>30</v>
      </c>
      <c r="B838">
        <v>2013</v>
      </c>
      <c r="C838" t="s">
        <v>44</v>
      </c>
      <c r="D838" t="s">
        <v>29</v>
      </c>
      <c r="E838" t="e" cm="1">
        <f t="array" aca="1" ref="E838" ca="1">VLGeneral indexGeneral indexKUP(Cpi_[[#This Row],[Attribute]],#REF!,2,FALSE)</f>
        <v>#NAME?</v>
      </c>
      <c r="F838">
        <v>117.4</v>
      </c>
      <c r="G838">
        <f>(Cpi_[[#This Row],[Value]]-F837)/F837</f>
        <v>6.9216757741347987E-2</v>
      </c>
      <c r="H838" t="e" cm="1" vm="1">
        <f t="array" aca="1" ref="H838" ca="1">VLOOKUP(Cpi_[[#This Row],[Year]:[Month]],crudeoil[],3,FALSE)</f>
        <v>#VALUE!</v>
      </c>
    </row>
    <row r="839" spans="1:8" hidden="1" x14ac:dyDescent="0.3">
      <c r="A839" t="s">
        <v>33</v>
      </c>
      <c r="B839">
        <v>2013</v>
      </c>
      <c r="C839" t="s">
        <v>45</v>
      </c>
      <c r="D839" t="s">
        <v>3</v>
      </c>
      <c r="E839" t="e">
        <f>VLOOKUP(Cpi_[[#This Row],[Attribute]],#REF!,2,FALSE)</f>
        <v>#REF!</v>
      </c>
      <c r="F839">
        <v>119.8</v>
      </c>
      <c r="G839">
        <f>(Cpi_[[#This Row],[Value]]-F838)/F838</f>
        <v>2.0442930153321902E-2</v>
      </c>
      <c r="H839" t="e" cm="1" vm="1">
        <f t="array" aca="1" ref="H839" ca="1">VLOOKUP(Cpi_[[#This Row],[Year]:[Month]],crudeoil[],3,FALSE)</f>
        <v>#VALUE!</v>
      </c>
    </row>
    <row r="840" spans="1:8" hidden="1" x14ac:dyDescent="0.3">
      <c r="A840" t="s">
        <v>33</v>
      </c>
      <c r="B840">
        <v>2013</v>
      </c>
      <c r="C840" t="s">
        <v>45</v>
      </c>
      <c r="D840" t="s">
        <v>4</v>
      </c>
      <c r="E840" t="e">
        <f>VLOOKUP(Cpi_[[#This Row],[Attribute]],#REF!,2,FALSE)</f>
        <v>#REF!</v>
      </c>
      <c r="F840">
        <v>116.3</v>
      </c>
      <c r="G840">
        <f>(Cpi_[[#This Row],[Value]]-F839)/F839</f>
        <v>-2.9215358931552589E-2</v>
      </c>
      <c r="H840" t="e" cm="1" vm="1">
        <f t="array" aca="1" ref="H840" ca="1">VLOOKUP(Cpi_[[#This Row],[Year]:[Month]],crudeoil[],3,FALSE)</f>
        <v>#VALUE!</v>
      </c>
    </row>
    <row r="841" spans="1:8" hidden="1" x14ac:dyDescent="0.3">
      <c r="A841" t="s">
        <v>33</v>
      </c>
      <c r="B841">
        <v>2013</v>
      </c>
      <c r="C841" t="s">
        <v>45</v>
      </c>
      <c r="D841" t="s">
        <v>5</v>
      </c>
      <c r="E841" t="e">
        <f>VLOOKUP(Cpi_[[#This Row],[Attribute]],#REF!,2,FALSE)</f>
        <v>#REF!</v>
      </c>
      <c r="F841">
        <v>122.6</v>
      </c>
      <c r="G841">
        <f>(Cpi_[[#This Row],[Value]]-F840)/F840</f>
        <v>5.4170249355116058E-2</v>
      </c>
      <c r="H841" t="e" cm="1" vm="1">
        <f t="array" aca="1" ref="H841" ca="1">VLOOKUP(Cpi_[[#This Row],[Year]:[Month]],crudeoil[],3,FALSE)</f>
        <v>#VALUE!</v>
      </c>
    </row>
    <row r="842" spans="1:8" hidden="1" x14ac:dyDescent="0.3">
      <c r="A842" t="s">
        <v>33</v>
      </c>
      <c r="B842">
        <v>2013</v>
      </c>
      <c r="C842" t="s">
        <v>45</v>
      </c>
      <c r="D842" t="s">
        <v>6</v>
      </c>
      <c r="E842" t="e">
        <f>VLOOKUP(Cpi_[[#This Row],[Attribute]],#REF!,2,FALSE)</f>
        <v>#REF!</v>
      </c>
      <c r="F842">
        <v>112</v>
      </c>
      <c r="G842">
        <f>(Cpi_[[#This Row],[Value]]-F841)/F841</f>
        <v>-8.6460032626427361E-2</v>
      </c>
      <c r="H842" t="e" cm="1" vm="1">
        <f t="array" aca="1" ref="H842" ca="1">VLOOKUP(Cpi_[[#This Row],[Year]:[Month]],crudeoil[],3,FALSE)</f>
        <v>#VALUE!</v>
      </c>
    </row>
    <row r="843" spans="1:8" hidden="1" x14ac:dyDescent="0.3">
      <c r="A843" t="s">
        <v>33</v>
      </c>
      <c r="B843">
        <v>2013</v>
      </c>
      <c r="C843" t="s">
        <v>45</v>
      </c>
      <c r="D843" t="s">
        <v>7</v>
      </c>
      <c r="E843" t="e">
        <f>VLOOKUP(Cpi_[[#This Row],[Attribute]],#REF!,2,FALSE)</f>
        <v>#REF!</v>
      </c>
      <c r="F843">
        <v>103.2</v>
      </c>
      <c r="G843">
        <f>(Cpi_[[#This Row],[Value]]-F842)/F842</f>
        <v>-7.8571428571428542E-2</v>
      </c>
      <c r="H843" t="e" cm="1" vm="1">
        <f t="array" aca="1" ref="H843" ca="1">VLOOKUP(Cpi_[[#This Row],[Year]:[Month]],crudeoil[],3,FALSE)</f>
        <v>#VALUE!</v>
      </c>
    </row>
    <row r="844" spans="1:8" hidden="1" x14ac:dyDescent="0.3">
      <c r="A844" t="s">
        <v>33</v>
      </c>
      <c r="B844">
        <v>2013</v>
      </c>
      <c r="C844" t="s">
        <v>45</v>
      </c>
      <c r="D844" t="s">
        <v>8</v>
      </c>
      <c r="E844" t="e">
        <f>VLOOKUP(Cpi_[[#This Row],[Attribute]],#REF!,2,FALSE)</f>
        <v>#REF!</v>
      </c>
      <c r="F844">
        <v>110</v>
      </c>
      <c r="G844">
        <f>(Cpi_[[#This Row],[Value]]-F843)/F843</f>
        <v>6.5891472868217019E-2</v>
      </c>
      <c r="H844" t="e" cm="1" vm="1">
        <f t="array" aca="1" ref="H844" ca="1">VLOOKUP(Cpi_[[#This Row],[Year]:[Month]],crudeoil[],3,FALSE)</f>
        <v>#VALUE!</v>
      </c>
    </row>
    <row r="845" spans="1:8" hidden="1" x14ac:dyDescent="0.3">
      <c r="A845" t="s">
        <v>33</v>
      </c>
      <c r="B845">
        <v>2013</v>
      </c>
      <c r="C845" t="s">
        <v>45</v>
      </c>
      <c r="D845" t="s">
        <v>9</v>
      </c>
      <c r="E845" t="e">
        <f>VLOOKUP(Cpi_[[#This Row],[Attribute]],#REF!,2,FALSE)</f>
        <v>#REF!</v>
      </c>
      <c r="F845">
        <v>192.8</v>
      </c>
      <c r="G845">
        <f>(Cpi_[[#This Row],[Value]]-F844)/F844</f>
        <v>0.7527272727272728</v>
      </c>
      <c r="H845" t="e" cm="1" vm="1">
        <f t="array" aca="1" ref="H845" ca="1">VLOOKUP(Cpi_[[#This Row],[Year]:[Month]],crudeoil[],3,FALSE)</f>
        <v>#VALUE!</v>
      </c>
    </row>
    <row r="846" spans="1:8" hidden="1" x14ac:dyDescent="0.3">
      <c r="A846" t="s">
        <v>33</v>
      </c>
      <c r="B846">
        <v>2013</v>
      </c>
      <c r="C846" t="s">
        <v>45</v>
      </c>
      <c r="D846" t="s">
        <v>10</v>
      </c>
      <c r="E846" t="e">
        <f>VLOOKUP(Cpi_[[#This Row],[Attribute]],#REF!,2,FALSE)</f>
        <v>#REF!</v>
      </c>
      <c r="F846">
        <v>106.3</v>
      </c>
      <c r="G846">
        <f>(Cpi_[[#This Row],[Value]]-F845)/F845</f>
        <v>-0.44865145228215775</v>
      </c>
      <c r="H846" t="e" cm="1" vm="1">
        <f t="array" aca="1" ref="H846" ca="1">VLOOKUP(Cpi_[[#This Row],[Year]:[Month]],crudeoil[],3,FALSE)</f>
        <v>#VALUE!</v>
      </c>
    </row>
    <row r="847" spans="1:8" hidden="1" x14ac:dyDescent="0.3">
      <c r="A847" t="s">
        <v>33</v>
      </c>
      <c r="B847">
        <v>2013</v>
      </c>
      <c r="C847" t="s">
        <v>45</v>
      </c>
      <c r="D847" t="s">
        <v>11</v>
      </c>
      <c r="E847" t="e">
        <f>VLOOKUP(Cpi_[[#This Row],[Attribute]],#REF!,2,FALSE)</f>
        <v>#REF!</v>
      </c>
      <c r="F847">
        <v>99.5</v>
      </c>
      <c r="G847">
        <f>(Cpi_[[#This Row],[Value]]-F846)/F846</f>
        <v>-6.3969896519285016E-2</v>
      </c>
      <c r="H847" t="e" cm="1" vm="1">
        <f t="array" aca="1" ref="H847" ca="1">VLOOKUP(Cpi_[[#This Row],[Year]:[Month]],crudeoil[],3,FALSE)</f>
        <v>#VALUE!</v>
      </c>
    </row>
    <row r="848" spans="1:8" hidden="1" x14ac:dyDescent="0.3">
      <c r="A848" t="s">
        <v>33</v>
      </c>
      <c r="B848">
        <v>2013</v>
      </c>
      <c r="C848" t="s">
        <v>45</v>
      </c>
      <c r="D848" t="s">
        <v>12</v>
      </c>
      <c r="E848" t="e">
        <f>VLOOKUP(Cpi_[[#This Row],[Attribute]],#REF!,2,FALSE)</f>
        <v>#REF!</v>
      </c>
      <c r="F848">
        <v>110.3</v>
      </c>
      <c r="G848">
        <f>(Cpi_[[#This Row],[Value]]-F847)/F847</f>
        <v>0.10854271356783916</v>
      </c>
      <c r="H848" t="e" cm="1" vm="1">
        <f t="array" aca="1" ref="H848" ca="1">VLOOKUP(Cpi_[[#This Row],[Year]:[Month]],crudeoil[],3,FALSE)</f>
        <v>#VALUE!</v>
      </c>
    </row>
    <row r="849" spans="1:8" hidden="1" x14ac:dyDescent="0.3">
      <c r="A849" t="s">
        <v>33</v>
      </c>
      <c r="B849">
        <v>2013</v>
      </c>
      <c r="C849" t="s">
        <v>45</v>
      </c>
      <c r="D849" t="s">
        <v>13</v>
      </c>
      <c r="E849" t="e">
        <f>VLOOKUP(Cpi_[[#This Row],[Attribute]],#REF!,2,FALSE)</f>
        <v>#REF!</v>
      </c>
      <c r="F849">
        <v>111.8</v>
      </c>
      <c r="G849">
        <f>(Cpi_[[#This Row],[Value]]-F848)/F848</f>
        <v>1.3599274705349048E-2</v>
      </c>
      <c r="H849" t="e" cm="1" vm="1">
        <f t="array" aca="1" ref="H849" ca="1">VLOOKUP(Cpi_[[#This Row],[Year]:[Month]],crudeoil[],3,FALSE)</f>
        <v>#VALUE!</v>
      </c>
    </row>
    <row r="850" spans="1:8" hidden="1" x14ac:dyDescent="0.3">
      <c r="A850" t="s">
        <v>33</v>
      </c>
      <c r="B850">
        <v>2013</v>
      </c>
      <c r="C850" t="s">
        <v>45</v>
      </c>
      <c r="D850" t="s">
        <v>14</v>
      </c>
      <c r="E850" t="e">
        <f>VLOOKUP(Cpi_[[#This Row],[Attribute]],#REF!,2,FALSE)</f>
        <v>#REF!</v>
      </c>
      <c r="F850">
        <v>117.1</v>
      </c>
      <c r="G850">
        <f>(Cpi_[[#This Row],[Value]]-F849)/F849</f>
        <v>4.7406082289803197E-2</v>
      </c>
      <c r="H850" t="e" cm="1" vm="1">
        <f t="array" aca="1" ref="H850" ca="1">VLOOKUP(Cpi_[[#This Row],[Year]:[Month]],crudeoil[],3,FALSE)</f>
        <v>#VALUE!</v>
      </c>
    </row>
    <row r="851" spans="1:8" hidden="1" x14ac:dyDescent="0.3">
      <c r="A851" t="s">
        <v>33</v>
      </c>
      <c r="B851">
        <v>2013</v>
      </c>
      <c r="C851" t="s">
        <v>45</v>
      </c>
      <c r="D851" t="s">
        <v>15</v>
      </c>
      <c r="E851" t="e">
        <f>VLOOKUP(Cpi_[[#This Row],[Attribute]],#REF!,2,FALSE)</f>
        <v>#REF!</v>
      </c>
      <c r="F851">
        <v>122.9</v>
      </c>
      <c r="G851">
        <f>(Cpi_[[#This Row],[Value]]-F850)/F850</f>
        <v>4.9530315969257145E-2</v>
      </c>
      <c r="H851" t="e" cm="1" vm="1">
        <f t="array" aca="1" ref="H851" ca="1">VLOOKUP(Cpi_[[#This Row],[Year]:[Month]],crudeoil[],3,FALSE)</f>
        <v>#VALUE!</v>
      </c>
    </row>
    <row r="852" spans="1:8" hidden="1" x14ac:dyDescent="0.3">
      <c r="A852" t="s">
        <v>33</v>
      </c>
      <c r="B852">
        <v>2013</v>
      </c>
      <c r="C852" t="s">
        <v>45</v>
      </c>
      <c r="D852" t="s">
        <v>16</v>
      </c>
      <c r="E852" t="e">
        <f>VLOOKUP(Cpi_[[#This Row],[Attribute]],#REF!,2,FALSE)</f>
        <v>#REF!</v>
      </c>
      <c r="F852">
        <v>114.1</v>
      </c>
      <c r="G852">
        <f>(Cpi_[[#This Row],[Value]]-F851)/F851</f>
        <v>-7.1602929210740532E-2</v>
      </c>
      <c r="H852" t="e" cm="1" vm="1">
        <f t="array" aca="1" ref="H852" ca="1">VLOOKUP(Cpi_[[#This Row],[Year]:[Month]],crudeoil[],3,FALSE)</f>
        <v>#VALUE!</v>
      </c>
    </row>
    <row r="853" spans="1:8" hidden="1" x14ac:dyDescent="0.3">
      <c r="A853" t="s">
        <v>33</v>
      </c>
      <c r="B853">
        <v>2013</v>
      </c>
      <c r="C853" t="s">
        <v>45</v>
      </c>
      <c r="D853" t="s">
        <v>17</v>
      </c>
      <c r="E853" t="e">
        <f>VLOOKUP(Cpi_[[#This Row],[Attribute]],#REF!,2,FALSE)</f>
        <v>#REF!</v>
      </c>
      <c r="F853">
        <v>113.5</v>
      </c>
      <c r="G853">
        <f>(Cpi_[[#This Row],[Value]]-F852)/F852</f>
        <v>-5.2585451358457E-3</v>
      </c>
      <c r="H853" t="e" cm="1" vm="1">
        <f t="array" aca="1" ref="H853" ca="1">VLOOKUP(Cpi_[[#This Row],[Year]:[Month]],crudeoil[],3,FALSE)</f>
        <v>#VALUE!</v>
      </c>
    </row>
    <row r="854" spans="1:8" hidden="1" x14ac:dyDescent="0.3">
      <c r="A854" t="s">
        <v>33</v>
      </c>
      <c r="B854">
        <v>2013</v>
      </c>
      <c r="C854" t="s">
        <v>45</v>
      </c>
      <c r="D854" t="s">
        <v>18</v>
      </c>
      <c r="E854" t="e">
        <f>VLOOKUP(Cpi_[[#This Row],[Attribute]],#REF!,2,FALSE)</f>
        <v>#REF!</v>
      </c>
      <c r="F854">
        <v>110.3</v>
      </c>
      <c r="G854">
        <f>(Cpi_[[#This Row],[Value]]-F853)/F853</f>
        <v>-2.8193832599118968E-2</v>
      </c>
      <c r="H854" t="e" cm="1" vm="1">
        <f t="array" aca="1" ref="H854" ca="1">VLOOKUP(Cpi_[[#This Row],[Year]:[Month]],crudeoil[],3,FALSE)</f>
        <v>#VALUE!</v>
      </c>
    </row>
    <row r="855" spans="1:8" hidden="1" x14ac:dyDescent="0.3">
      <c r="A855" t="s">
        <v>33</v>
      </c>
      <c r="B855">
        <v>2013</v>
      </c>
      <c r="C855" t="s">
        <v>45</v>
      </c>
      <c r="D855" t="s">
        <v>19</v>
      </c>
      <c r="E855" t="e">
        <f>VLOOKUP(Cpi_[[#This Row],[Attribute]],#REF!,2,FALSE)</f>
        <v>#REF!</v>
      </c>
      <c r="F855">
        <v>113</v>
      </c>
      <c r="G855">
        <f>(Cpi_[[#This Row],[Value]]-F854)/F854</f>
        <v>2.4478694469628314E-2</v>
      </c>
      <c r="H855" t="e" cm="1" vm="1">
        <f t="array" aca="1" ref="H855" ca="1">VLOOKUP(Cpi_[[#This Row],[Year]:[Month]],crudeoil[],3,FALSE)</f>
        <v>#VALUE!</v>
      </c>
    </row>
    <row r="856" spans="1:8" hidden="1" x14ac:dyDescent="0.3">
      <c r="A856" t="s">
        <v>33</v>
      </c>
      <c r="B856">
        <v>2013</v>
      </c>
      <c r="C856" t="s">
        <v>45</v>
      </c>
      <c r="D856" t="s">
        <v>20</v>
      </c>
      <c r="E856" t="e">
        <f>VLOOKUP(Cpi_[[#This Row],[Attribute]],#REF!,2,FALSE)</f>
        <v>#REF!</v>
      </c>
      <c r="F856">
        <v>111.1</v>
      </c>
      <c r="G856">
        <f>(Cpi_[[#This Row],[Value]]-F855)/F855</f>
        <v>-1.681415929203545E-2</v>
      </c>
      <c r="H856" t="e" cm="1" vm="1">
        <f t="array" aca="1" ref="H856" ca="1">VLOOKUP(Cpi_[[#This Row],[Year]:[Month]],crudeoil[],3,FALSE)</f>
        <v>#VALUE!</v>
      </c>
    </row>
    <row r="857" spans="1:8" hidden="1" x14ac:dyDescent="0.3">
      <c r="A857" t="s">
        <v>33</v>
      </c>
      <c r="B857">
        <v>2013</v>
      </c>
      <c r="C857" t="s">
        <v>45</v>
      </c>
      <c r="D857" t="s">
        <v>21</v>
      </c>
      <c r="E857" t="e">
        <f>VLOOKUP(Cpi_[[#This Row],[Attribute]],#REF!,2,FALSE)</f>
        <v>#REF!</v>
      </c>
      <c r="F857">
        <v>110</v>
      </c>
      <c r="G857">
        <f>(Cpi_[[#This Row],[Value]]-F856)/F856</f>
        <v>-9.9009900990098508E-3</v>
      </c>
      <c r="H857" t="e" cm="1" vm="1">
        <f t="array" aca="1" ref="H857" ca="1">VLOOKUP(Cpi_[[#This Row],[Year]:[Month]],crudeoil[],3,FALSE)</f>
        <v>#VALUE!</v>
      </c>
    </row>
    <row r="858" spans="1:8" hidden="1" x14ac:dyDescent="0.3">
      <c r="A858" t="s">
        <v>33</v>
      </c>
      <c r="B858">
        <v>2013</v>
      </c>
      <c r="C858" t="s">
        <v>45</v>
      </c>
      <c r="D858" t="s">
        <v>22</v>
      </c>
      <c r="E858" t="e">
        <f>VLOOKUP(Cpi_[[#This Row],[Attribute]],#REF!,2,FALSE)</f>
        <v>#REF!</v>
      </c>
      <c r="F858">
        <v>110.9</v>
      </c>
      <c r="G858">
        <f>(Cpi_[[#This Row],[Value]]-F857)/F857</f>
        <v>8.1818181818182328E-3</v>
      </c>
      <c r="H858" t="e" cm="1" vm="1">
        <f t="array" aca="1" ref="H858" ca="1">VLOOKUP(Cpi_[[#This Row],[Year]:[Month]],crudeoil[],3,FALSE)</f>
        <v>#VALUE!</v>
      </c>
    </row>
    <row r="859" spans="1:8" hidden="1" x14ac:dyDescent="0.3">
      <c r="A859" t="s">
        <v>33</v>
      </c>
      <c r="B859">
        <v>2013</v>
      </c>
      <c r="C859" t="s">
        <v>45</v>
      </c>
      <c r="D859" t="s">
        <v>23</v>
      </c>
      <c r="E859" t="e">
        <f>VLOOKUP(Cpi_[[#This Row],[Attribute]],#REF!,2,FALSE)</f>
        <v>#REF!</v>
      </c>
      <c r="F859">
        <v>108.6</v>
      </c>
      <c r="G859">
        <f>(Cpi_[[#This Row],[Value]]-F858)/F858</f>
        <v>-2.0739404869251681E-2</v>
      </c>
      <c r="H859" t="e" cm="1" vm="1">
        <f t="array" aca="1" ref="H859" ca="1">VLOOKUP(Cpi_[[#This Row],[Year]:[Month]],crudeoil[],3,FALSE)</f>
        <v>#VALUE!</v>
      </c>
    </row>
    <row r="860" spans="1:8" hidden="1" x14ac:dyDescent="0.3">
      <c r="A860" t="s">
        <v>33</v>
      </c>
      <c r="B860">
        <v>2013</v>
      </c>
      <c r="C860" t="s">
        <v>45</v>
      </c>
      <c r="D860" t="s">
        <v>24</v>
      </c>
      <c r="E860" t="e">
        <f>VLOOKUP(Cpi_[[#This Row],[Attribute]],#REF!,2,FALSE)</f>
        <v>#REF!</v>
      </c>
      <c r="F860">
        <v>109.5</v>
      </c>
      <c r="G860">
        <f>(Cpi_[[#This Row],[Value]]-F859)/F859</f>
        <v>8.2872928176796114E-3</v>
      </c>
      <c r="H860" t="e" cm="1" vm="1">
        <f t="array" aca="1" ref="H860" ca="1">VLOOKUP(Cpi_[[#This Row],[Year]:[Month]],crudeoil[],3,FALSE)</f>
        <v>#VALUE!</v>
      </c>
    </row>
    <row r="861" spans="1:8" hidden="1" x14ac:dyDescent="0.3">
      <c r="A861" t="s">
        <v>33</v>
      </c>
      <c r="B861">
        <v>2013</v>
      </c>
      <c r="C861" t="s">
        <v>45</v>
      </c>
      <c r="D861" t="s">
        <v>25</v>
      </c>
      <c r="E861" t="e">
        <f>VLOOKUP(Cpi_[[#This Row],[Attribute]],#REF!,2,FALSE)</f>
        <v>#REF!</v>
      </c>
      <c r="F861">
        <v>108.5</v>
      </c>
      <c r="G861">
        <f>(Cpi_[[#This Row],[Value]]-F860)/F860</f>
        <v>-9.1324200913242004E-3</v>
      </c>
      <c r="H861" t="e" cm="1" vm="1">
        <f t="array" aca="1" ref="H861" ca="1">VLOOKUP(Cpi_[[#This Row],[Year]:[Month]],crudeoil[],3,FALSE)</f>
        <v>#VALUE!</v>
      </c>
    </row>
    <row r="862" spans="1:8" hidden="1" x14ac:dyDescent="0.3">
      <c r="A862" t="s">
        <v>33</v>
      </c>
      <c r="B862">
        <v>2013</v>
      </c>
      <c r="C862" t="s">
        <v>45</v>
      </c>
      <c r="D862" t="s">
        <v>26</v>
      </c>
      <c r="E862" t="e">
        <f>VLOOKUP(Cpi_[[#This Row],[Attribute]],#REF!,2,FALSE)</f>
        <v>#REF!</v>
      </c>
      <c r="F862">
        <v>111.3</v>
      </c>
      <c r="G862">
        <f>(Cpi_[[#This Row],[Value]]-F861)/F861</f>
        <v>2.5806451612903198E-2</v>
      </c>
      <c r="H862" t="e" cm="1" vm="1">
        <f t="array" aca="1" ref="H862" ca="1">VLOOKUP(Cpi_[[#This Row],[Year]:[Month]],crudeoil[],3,FALSE)</f>
        <v>#VALUE!</v>
      </c>
    </row>
    <row r="863" spans="1:8" hidden="1" x14ac:dyDescent="0.3">
      <c r="A863" t="s">
        <v>33</v>
      </c>
      <c r="B863">
        <v>2013</v>
      </c>
      <c r="C863" t="s">
        <v>45</v>
      </c>
      <c r="D863" t="s">
        <v>27</v>
      </c>
      <c r="E863" t="e">
        <f>VLOOKUP(Cpi_[[#This Row],[Attribute]],#REF!,2,FALSE)</f>
        <v>#REF!</v>
      </c>
      <c r="F863">
        <v>107.9</v>
      </c>
      <c r="G863">
        <f>(Cpi_[[#This Row],[Value]]-F862)/F862</f>
        <v>-3.0548068283917266E-2</v>
      </c>
      <c r="H863" t="e" cm="1" vm="1">
        <f t="array" aca="1" ref="H863" ca="1">VLOOKUP(Cpi_[[#This Row],[Year]:[Month]],crudeoil[],3,FALSE)</f>
        <v>#VALUE!</v>
      </c>
    </row>
    <row r="864" spans="1:8" hidden="1" x14ac:dyDescent="0.3">
      <c r="A864" t="s">
        <v>33</v>
      </c>
      <c r="B864">
        <v>2013</v>
      </c>
      <c r="C864" t="s">
        <v>45</v>
      </c>
      <c r="D864" t="s">
        <v>28</v>
      </c>
      <c r="E864" t="e">
        <f>VLOOKUP(Cpi_[[#This Row],[Attribute]],#REF!,2,FALSE)</f>
        <v>#REF!</v>
      </c>
      <c r="F864">
        <v>109.6</v>
      </c>
      <c r="G864">
        <f>(Cpi_[[#This Row],[Value]]-F863)/F863</f>
        <v>1.5755329008340951E-2</v>
      </c>
      <c r="H864" t="e" cm="1" vm="1">
        <f t="array" aca="1" ref="H864" ca="1">VLOOKUP(Cpi_[[#This Row],[Year]:[Month]],crudeoil[],3,FALSE)</f>
        <v>#VALUE!</v>
      </c>
    </row>
    <row r="865" spans="1:8" hidden="1" x14ac:dyDescent="0.3">
      <c r="A865" t="s">
        <v>33</v>
      </c>
      <c r="B865">
        <v>2013</v>
      </c>
      <c r="C865" t="s">
        <v>45</v>
      </c>
      <c r="D865" t="s">
        <v>29</v>
      </c>
      <c r="E865" t="e" cm="1">
        <f t="array" aca="1" ref="E865" ca="1">VLGeneral indexGeneral indexKUP(Cpi_[[#This Row],[Attribute]],#REF!,2,FALSE)</f>
        <v>#NAME?</v>
      </c>
      <c r="F865">
        <v>115</v>
      </c>
      <c r="G865">
        <f>(Cpi_[[#This Row],[Value]]-F864)/F864</f>
        <v>4.9270072992700788E-2</v>
      </c>
      <c r="H865" t="e" cm="1" vm="1">
        <f t="array" aca="1" ref="H865" ca="1">VLOOKUP(Cpi_[[#This Row],[Year]:[Month]],crudeoil[],3,FALSE)</f>
        <v>#VALUE!</v>
      </c>
    </row>
    <row r="866" spans="1:8" hidden="1" x14ac:dyDescent="0.3">
      <c r="A866" t="s">
        <v>34</v>
      </c>
      <c r="B866">
        <v>2013</v>
      </c>
      <c r="C866" t="s">
        <v>45</v>
      </c>
      <c r="D866" t="s">
        <v>3</v>
      </c>
      <c r="E866" t="e">
        <f>VLOOKUP(Cpi_[[#This Row],[Attribute]],#REF!,2,FALSE)</f>
        <v>#REF!</v>
      </c>
      <c r="F866">
        <v>118.1</v>
      </c>
      <c r="G866">
        <f>(Cpi_[[#This Row],[Value]]-F865)/F865</f>
        <v>2.6956521739130386E-2</v>
      </c>
      <c r="H866" t="e" cm="1" vm="1">
        <f t="array" aca="1" ref="H866" ca="1">VLOOKUP(Cpi_[[#This Row],[Year]:[Month]],crudeoil[],3,FALSE)</f>
        <v>#VALUE!</v>
      </c>
    </row>
    <row r="867" spans="1:8" hidden="1" x14ac:dyDescent="0.3">
      <c r="A867" t="s">
        <v>34</v>
      </c>
      <c r="B867">
        <v>2013</v>
      </c>
      <c r="C867" t="s">
        <v>45</v>
      </c>
      <c r="D867" t="s">
        <v>4</v>
      </c>
      <c r="E867" t="e">
        <f>VLOOKUP(Cpi_[[#This Row],[Attribute]],#REF!,2,FALSE)</f>
        <v>#REF!</v>
      </c>
      <c r="F867">
        <v>115.4</v>
      </c>
      <c r="G867">
        <f>(Cpi_[[#This Row],[Value]]-F866)/F866</f>
        <v>-2.2861981371718788E-2</v>
      </c>
      <c r="H867" t="e" cm="1" vm="1">
        <f t="array" aca="1" ref="H867" ca="1">VLOOKUP(Cpi_[[#This Row],[Year]:[Month]],crudeoil[],3,FALSE)</f>
        <v>#VALUE!</v>
      </c>
    </row>
    <row r="868" spans="1:8" hidden="1" x14ac:dyDescent="0.3">
      <c r="A868" t="s">
        <v>34</v>
      </c>
      <c r="B868">
        <v>2013</v>
      </c>
      <c r="C868" t="s">
        <v>45</v>
      </c>
      <c r="D868" t="s">
        <v>5</v>
      </c>
      <c r="E868" t="e">
        <f>VLOOKUP(Cpi_[[#This Row],[Attribute]],#REF!,2,FALSE)</f>
        <v>#REF!</v>
      </c>
      <c r="F868">
        <v>118.7</v>
      </c>
      <c r="G868">
        <f>(Cpi_[[#This Row],[Value]]-F867)/F867</f>
        <v>2.8596187175043301E-2</v>
      </c>
      <c r="H868" t="e" cm="1" vm="1">
        <f t="array" aca="1" ref="H868" ca="1">VLOOKUP(Cpi_[[#This Row],[Year]:[Month]],crudeoil[],3,FALSE)</f>
        <v>#VALUE!</v>
      </c>
    </row>
    <row r="869" spans="1:8" hidden="1" x14ac:dyDescent="0.3">
      <c r="A869" t="s">
        <v>34</v>
      </c>
      <c r="B869">
        <v>2013</v>
      </c>
      <c r="C869" t="s">
        <v>45</v>
      </c>
      <c r="D869" t="s">
        <v>6</v>
      </c>
      <c r="E869" t="e">
        <f>VLOOKUP(Cpi_[[#This Row],[Attribute]],#REF!,2,FALSE)</f>
        <v>#REF!</v>
      </c>
      <c r="F869">
        <v>112.5</v>
      </c>
      <c r="G869">
        <f>(Cpi_[[#This Row],[Value]]-F868)/F868</f>
        <v>-5.2232518955349645E-2</v>
      </c>
      <c r="H869" t="e" cm="1" vm="1">
        <f t="array" aca="1" ref="H869" ca="1">VLOOKUP(Cpi_[[#This Row],[Year]:[Month]],crudeoil[],3,FALSE)</f>
        <v>#VALUE!</v>
      </c>
    </row>
    <row r="870" spans="1:8" hidden="1" x14ac:dyDescent="0.3">
      <c r="A870" t="s">
        <v>34</v>
      </c>
      <c r="B870">
        <v>2013</v>
      </c>
      <c r="C870" t="s">
        <v>45</v>
      </c>
      <c r="D870" t="s">
        <v>7</v>
      </c>
      <c r="E870" t="e">
        <f>VLOOKUP(Cpi_[[#This Row],[Attribute]],#REF!,2,FALSE)</f>
        <v>#REF!</v>
      </c>
      <c r="F870">
        <v>106.8</v>
      </c>
      <c r="G870">
        <f>(Cpi_[[#This Row],[Value]]-F869)/F869</f>
        <v>-5.0666666666666693E-2</v>
      </c>
      <c r="H870" t="e" cm="1" vm="1">
        <f t="array" aca="1" ref="H870" ca="1">VLOOKUP(Cpi_[[#This Row],[Year]:[Month]],crudeoil[],3,FALSE)</f>
        <v>#VALUE!</v>
      </c>
    </row>
    <row r="871" spans="1:8" hidden="1" x14ac:dyDescent="0.3">
      <c r="A871" t="s">
        <v>34</v>
      </c>
      <c r="B871">
        <v>2013</v>
      </c>
      <c r="C871" t="s">
        <v>45</v>
      </c>
      <c r="D871" t="s">
        <v>8</v>
      </c>
      <c r="E871" t="e">
        <f>VLOOKUP(Cpi_[[#This Row],[Attribute]],#REF!,2,FALSE)</f>
        <v>#REF!</v>
      </c>
      <c r="F871">
        <v>113.5</v>
      </c>
      <c r="G871">
        <f>(Cpi_[[#This Row],[Value]]-F870)/F870</f>
        <v>6.2734082397003774E-2</v>
      </c>
      <c r="H871" t="e" cm="1" vm="1">
        <f t="array" aca="1" ref="H871" ca="1">VLOOKUP(Cpi_[[#This Row],[Year]:[Month]],crudeoil[],3,FALSE)</f>
        <v>#VALUE!</v>
      </c>
    </row>
    <row r="872" spans="1:8" hidden="1" x14ac:dyDescent="0.3">
      <c r="A872" t="s">
        <v>34</v>
      </c>
      <c r="B872">
        <v>2013</v>
      </c>
      <c r="C872" t="s">
        <v>45</v>
      </c>
      <c r="D872" t="s">
        <v>9</v>
      </c>
      <c r="E872" t="e">
        <f>VLOOKUP(Cpi_[[#This Row],[Attribute]],#REF!,2,FALSE)</f>
        <v>#REF!</v>
      </c>
      <c r="F872">
        <v>183.1</v>
      </c>
      <c r="G872">
        <f>(Cpi_[[#This Row],[Value]]-F871)/F871</f>
        <v>0.61321585903083697</v>
      </c>
      <c r="H872" t="e" cm="1" vm="1">
        <f t="array" aca="1" ref="H872" ca="1">VLOOKUP(Cpi_[[#This Row],[Year]:[Month]],crudeoil[],3,FALSE)</f>
        <v>#VALUE!</v>
      </c>
    </row>
    <row r="873" spans="1:8" hidden="1" x14ac:dyDescent="0.3">
      <c r="A873" t="s">
        <v>34</v>
      </c>
      <c r="B873">
        <v>2013</v>
      </c>
      <c r="C873" t="s">
        <v>45</v>
      </c>
      <c r="D873" t="s">
        <v>10</v>
      </c>
      <c r="E873" t="e">
        <f>VLOOKUP(Cpi_[[#This Row],[Attribute]],#REF!,2,FALSE)</f>
        <v>#REF!</v>
      </c>
      <c r="F873">
        <v>108.2</v>
      </c>
      <c r="G873">
        <f>(Cpi_[[#This Row],[Value]]-F872)/F872</f>
        <v>-0.40906608410704531</v>
      </c>
      <c r="H873" t="e" cm="1" vm="1">
        <f t="array" aca="1" ref="H873" ca="1">VLOOKUP(Cpi_[[#This Row],[Year]:[Month]],crudeoil[],3,FALSE)</f>
        <v>#VALUE!</v>
      </c>
    </row>
    <row r="874" spans="1:8" hidden="1" x14ac:dyDescent="0.3">
      <c r="A874" t="s">
        <v>34</v>
      </c>
      <c r="B874">
        <v>2013</v>
      </c>
      <c r="C874" t="s">
        <v>45</v>
      </c>
      <c r="D874" t="s">
        <v>11</v>
      </c>
      <c r="E874" t="e">
        <f>VLOOKUP(Cpi_[[#This Row],[Attribute]],#REF!,2,FALSE)</f>
        <v>#REF!</v>
      </c>
      <c r="F874">
        <v>102.2</v>
      </c>
      <c r="G874">
        <f>(Cpi_[[#This Row],[Value]]-F873)/F873</f>
        <v>-5.545286506469501E-2</v>
      </c>
      <c r="H874" t="e" cm="1" vm="1">
        <f t="array" aca="1" ref="H874" ca="1">VLOOKUP(Cpi_[[#This Row],[Year]:[Month]],crudeoil[],3,FALSE)</f>
        <v>#VALUE!</v>
      </c>
    </row>
    <row r="875" spans="1:8" hidden="1" x14ac:dyDescent="0.3">
      <c r="A875" t="s">
        <v>34</v>
      </c>
      <c r="B875">
        <v>2013</v>
      </c>
      <c r="C875" t="s">
        <v>45</v>
      </c>
      <c r="D875" t="s">
        <v>12</v>
      </c>
      <c r="E875" t="e">
        <f>VLOOKUP(Cpi_[[#This Row],[Attribute]],#REF!,2,FALSE)</f>
        <v>#REF!</v>
      </c>
      <c r="F875">
        <v>109.4</v>
      </c>
      <c r="G875">
        <f>(Cpi_[[#This Row],[Value]]-F874)/F874</f>
        <v>7.0450097847358145E-2</v>
      </c>
      <c r="H875" t="e" cm="1" vm="1">
        <f t="array" aca="1" ref="H875" ca="1">VLOOKUP(Cpi_[[#This Row],[Year]:[Month]],crudeoil[],3,FALSE)</f>
        <v>#VALUE!</v>
      </c>
    </row>
    <row r="876" spans="1:8" hidden="1" x14ac:dyDescent="0.3">
      <c r="A876" t="s">
        <v>34</v>
      </c>
      <c r="B876">
        <v>2013</v>
      </c>
      <c r="C876" t="s">
        <v>45</v>
      </c>
      <c r="D876" t="s">
        <v>13</v>
      </c>
      <c r="E876" t="e">
        <f>VLOOKUP(Cpi_[[#This Row],[Attribute]],#REF!,2,FALSE)</f>
        <v>#REF!</v>
      </c>
      <c r="F876">
        <v>111.8</v>
      </c>
      <c r="G876">
        <f>(Cpi_[[#This Row],[Value]]-F875)/F875</f>
        <v>2.1937842778793338E-2</v>
      </c>
      <c r="H876" t="e" cm="1" vm="1">
        <f t="array" aca="1" ref="H876" ca="1">VLOOKUP(Cpi_[[#This Row],[Year]:[Month]],crudeoil[],3,FALSE)</f>
        <v>#VALUE!</v>
      </c>
    </row>
    <row r="877" spans="1:8" hidden="1" x14ac:dyDescent="0.3">
      <c r="A877" t="s">
        <v>34</v>
      </c>
      <c r="B877">
        <v>2013</v>
      </c>
      <c r="C877" t="s">
        <v>45</v>
      </c>
      <c r="D877" t="s">
        <v>14</v>
      </c>
      <c r="E877" t="e">
        <f>VLOOKUP(Cpi_[[#This Row],[Attribute]],#REF!,2,FALSE)</f>
        <v>#REF!</v>
      </c>
      <c r="F877">
        <v>116.5</v>
      </c>
      <c r="G877">
        <f>(Cpi_[[#This Row],[Value]]-F876)/F876</f>
        <v>4.2039355992844391E-2</v>
      </c>
      <c r="H877" t="e" cm="1" vm="1">
        <f t="array" aca="1" ref="H877" ca="1">VLOOKUP(Cpi_[[#This Row],[Year]:[Month]],crudeoil[],3,FALSE)</f>
        <v>#VALUE!</v>
      </c>
    </row>
    <row r="878" spans="1:8" hidden="1" x14ac:dyDescent="0.3">
      <c r="A878" t="s">
        <v>34</v>
      </c>
      <c r="B878">
        <v>2013</v>
      </c>
      <c r="C878" t="s">
        <v>45</v>
      </c>
      <c r="D878" t="s">
        <v>15</v>
      </c>
      <c r="E878" t="e">
        <f>VLOOKUP(Cpi_[[#This Row],[Attribute]],#REF!,2,FALSE)</f>
        <v>#REF!</v>
      </c>
      <c r="F878">
        <v>122.6</v>
      </c>
      <c r="G878">
        <f>(Cpi_[[#This Row],[Value]]-F877)/F877</f>
        <v>5.2360515021459178E-2</v>
      </c>
      <c r="H878" t="e" cm="1" vm="1">
        <f t="array" aca="1" ref="H878" ca="1">VLOOKUP(Cpi_[[#This Row],[Year]:[Month]],crudeoil[],3,FALSE)</f>
        <v>#VALUE!</v>
      </c>
    </row>
    <row r="879" spans="1:8" hidden="1" x14ac:dyDescent="0.3">
      <c r="A879" t="s">
        <v>34</v>
      </c>
      <c r="B879">
        <v>2013</v>
      </c>
      <c r="C879" t="s">
        <v>45</v>
      </c>
      <c r="D879" t="s">
        <v>16</v>
      </c>
      <c r="E879" t="e">
        <f>VLOOKUP(Cpi_[[#This Row],[Attribute]],#REF!,2,FALSE)</f>
        <v>#REF!</v>
      </c>
      <c r="F879">
        <v>113.1</v>
      </c>
      <c r="G879">
        <f>(Cpi_[[#This Row],[Value]]-F878)/F878</f>
        <v>-7.7487765089722674E-2</v>
      </c>
      <c r="H879" t="e" cm="1" vm="1">
        <f t="array" aca="1" ref="H879" ca="1">VLOOKUP(Cpi_[[#This Row],[Year]:[Month]],crudeoil[],3,FALSE)</f>
        <v>#VALUE!</v>
      </c>
    </row>
    <row r="880" spans="1:8" hidden="1" x14ac:dyDescent="0.3">
      <c r="A880" t="s">
        <v>34</v>
      </c>
      <c r="B880">
        <v>2013</v>
      </c>
      <c r="C880" t="s">
        <v>45</v>
      </c>
      <c r="D880" t="s">
        <v>17</v>
      </c>
      <c r="E880" t="e">
        <f>VLOOKUP(Cpi_[[#This Row],[Attribute]],#REF!,2,FALSE)</f>
        <v>#REF!</v>
      </c>
      <c r="F880">
        <v>114.2</v>
      </c>
      <c r="G880">
        <f>(Cpi_[[#This Row],[Value]]-F879)/F879</f>
        <v>9.725906277630491E-3</v>
      </c>
      <c r="H880" t="e" cm="1" vm="1">
        <f t="array" aca="1" ref="H880" ca="1">VLOOKUP(Cpi_[[#This Row],[Year]:[Month]],crudeoil[],3,FALSE)</f>
        <v>#VALUE!</v>
      </c>
    </row>
    <row r="881" spans="1:8" hidden="1" x14ac:dyDescent="0.3">
      <c r="A881" t="s">
        <v>34</v>
      </c>
      <c r="B881">
        <v>2013</v>
      </c>
      <c r="C881" t="s">
        <v>45</v>
      </c>
      <c r="D881" t="s">
        <v>18</v>
      </c>
      <c r="E881" t="e">
        <f>VLOOKUP(Cpi_[[#This Row],[Attribute]],#REF!,2,FALSE)</f>
        <v>#REF!</v>
      </c>
      <c r="F881">
        <v>111.9</v>
      </c>
      <c r="G881">
        <f>(Cpi_[[#This Row],[Value]]-F880)/F880</f>
        <v>-2.0140105078809083E-2</v>
      </c>
      <c r="H881" t="e" cm="1" vm="1">
        <f t="array" aca="1" ref="H881" ca="1">VLOOKUP(Cpi_[[#This Row],[Year]:[Month]],crudeoil[],3,FALSE)</f>
        <v>#VALUE!</v>
      </c>
    </row>
    <row r="882" spans="1:8" hidden="1" x14ac:dyDescent="0.3">
      <c r="A882" t="s">
        <v>34</v>
      </c>
      <c r="B882">
        <v>2013</v>
      </c>
      <c r="C882" t="s">
        <v>45</v>
      </c>
      <c r="D882" t="s">
        <v>19</v>
      </c>
      <c r="E882" t="e">
        <f>VLOOKUP(Cpi_[[#This Row],[Attribute]],#REF!,2,FALSE)</f>
        <v>#REF!</v>
      </c>
      <c r="F882">
        <v>113.8</v>
      </c>
      <c r="G882">
        <f>(Cpi_[[#This Row],[Value]]-F881)/F881</f>
        <v>1.697944593386945E-2</v>
      </c>
      <c r="H882" t="e" cm="1" vm="1">
        <f t="array" aca="1" ref="H882" ca="1">VLOOKUP(Cpi_[[#This Row],[Year]:[Month]],crudeoil[],3,FALSE)</f>
        <v>#VALUE!</v>
      </c>
    </row>
    <row r="883" spans="1:8" hidden="1" x14ac:dyDescent="0.3">
      <c r="A883" t="s">
        <v>34</v>
      </c>
      <c r="B883">
        <v>2013</v>
      </c>
      <c r="C883" t="s">
        <v>45</v>
      </c>
      <c r="D883" t="s">
        <v>20</v>
      </c>
      <c r="E883" t="e">
        <f>VLOOKUP(Cpi_[[#This Row],[Attribute]],#REF!,2,FALSE)</f>
        <v>#REF!</v>
      </c>
      <c r="F883">
        <v>111.1</v>
      </c>
      <c r="G883">
        <f>(Cpi_[[#This Row],[Value]]-F882)/F882</f>
        <v>-2.3725834797891063E-2</v>
      </c>
      <c r="H883" t="e" cm="1" vm="1">
        <f t="array" aca="1" ref="H883" ca="1">VLOOKUP(Cpi_[[#This Row],[Year]:[Month]],crudeoil[],3,FALSE)</f>
        <v>#VALUE!</v>
      </c>
    </row>
    <row r="884" spans="1:8" hidden="1" x14ac:dyDescent="0.3">
      <c r="A884" t="s">
        <v>34</v>
      </c>
      <c r="B884">
        <v>2013</v>
      </c>
      <c r="C884" t="s">
        <v>45</v>
      </c>
      <c r="D884" t="s">
        <v>21</v>
      </c>
      <c r="E884" t="e">
        <f>VLOOKUP(Cpi_[[#This Row],[Attribute]],#REF!,2,FALSE)</f>
        <v>#REF!</v>
      </c>
      <c r="F884">
        <v>111.6</v>
      </c>
      <c r="G884">
        <f>(Cpi_[[#This Row],[Value]]-F883)/F883</f>
        <v>4.5004500450045006E-3</v>
      </c>
      <c r="H884" t="e" cm="1" vm="1">
        <f t="array" aca="1" ref="H884" ca="1">VLOOKUP(Cpi_[[#This Row],[Year]:[Month]],crudeoil[],3,FALSE)</f>
        <v>#VALUE!</v>
      </c>
    </row>
    <row r="885" spans="1:8" hidden="1" x14ac:dyDescent="0.3">
      <c r="A885" t="s">
        <v>34</v>
      </c>
      <c r="B885">
        <v>2013</v>
      </c>
      <c r="C885" t="s">
        <v>45</v>
      </c>
      <c r="D885" t="s">
        <v>22</v>
      </c>
      <c r="E885" t="e">
        <f>VLOOKUP(Cpi_[[#This Row],[Attribute]],#REF!,2,FALSE)</f>
        <v>#REF!</v>
      </c>
      <c r="F885">
        <v>111.1</v>
      </c>
      <c r="G885">
        <f>(Cpi_[[#This Row],[Value]]-F884)/F884</f>
        <v>-4.4802867383512551E-3</v>
      </c>
      <c r="H885" t="e" cm="1" vm="1">
        <f t="array" aca="1" ref="H885" ca="1">VLOOKUP(Cpi_[[#This Row],[Year]:[Month]],crudeoil[],3,FALSE)</f>
        <v>#VALUE!</v>
      </c>
    </row>
    <row r="886" spans="1:8" hidden="1" x14ac:dyDescent="0.3">
      <c r="A886" t="s">
        <v>34</v>
      </c>
      <c r="B886">
        <v>2013</v>
      </c>
      <c r="C886" t="s">
        <v>45</v>
      </c>
      <c r="D886" t="s">
        <v>23</v>
      </c>
      <c r="E886" t="e">
        <f>VLOOKUP(Cpi_[[#This Row],[Attribute]],#REF!,2,FALSE)</f>
        <v>#REF!</v>
      </c>
      <c r="F886">
        <v>109.3</v>
      </c>
      <c r="G886">
        <f>(Cpi_[[#This Row],[Value]]-F885)/F885</f>
        <v>-1.6201620162016178E-2</v>
      </c>
      <c r="H886" t="e" cm="1" vm="1">
        <f t="array" aca="1" ref="H886" ca="1">VLOOKUP(Cpi_[[#This Row],[Year]:[Month]],crudeoil[],3,FALSE)</f>
        <v>#VALUE!</v>
      </c>
    </row>
    <row r="887" spans="1:8" hidden="1" x14ac:dyDescent="0.3">
      <c r="A887" t="s">
        <v>34</v>
      </c>
      <c r="B887">
        <v>2013</v>
      </c>
      <c r="C887" t="s">
        <v>45</v>
      </c>
      <c r="D887" t="s">
        <v>24</v>
      </c>
      <c r="E887" t="e">
        <f>VLOOKUP(Cpi_[[#This Row],[Attribute]],#REF!,2,FALSE)</f>
        <v>#REF!</v>
      </c>
      <c r="F887">
        <v>109.5</v>
      </c>
      <c r="G887">
        <f>(Cpi_[[#This Row],[Value]]-F886)/F886</f>
        <v>1.8298261665142073E-3</v>
      </c>
      <c r="H887" t="e" cm="1" vm="1">
        <f t="array" aca="1" ref="H887" ca="1">VLOOKUP(Cpi_[[#This Row],[Year]:[Month]],crudeoil[],3,FALSE)</f>
        <v>#VALUE!</v>
      </c>
    </row>
    <row r="888" spans="1:8" hidden="1" x14ac:dyDescent="0.3">
      <c r="A888" t="s">
        <v>34</v>
      </c>
      <c r="B888">
        <v>2013</v>
      </c>
      <c r="C888" t="s">
        <v>45</v>
      </c>
      <c r="D888" t="s">
        <v>25</v>
      </c>
      <c r="E888" t="e">
        <f>VLOOKUP(Cpi_[[#This Row],[Attribute]],#REF!,2,FALSE)</f>
        <v>#REF!</v>
      </c>
      <c r="F888">
        <v>108.6</v>
      </c>
      <c r="G888">
        <f>(Cpi_[[#This Row],[Value]]-F887)/F887</f>
        <v>-8.2191780821918321E-3</v>
      </c>
      <c r="H888" t="e" cm="1" vm="1">
        <f t="array" aca="1" ref="H888" ca="1">VLOOKUP(Cpi_[[#This Row],[Year]:[Month]],crudeoil[],3,FALSE)</f>
        <v>#VALUE!</v>
      </c>
    </row>
    <row r="889" spans="1:8" hidden="1" x14ac:dyDescent="0.3">
      <c r="A889" t="s">
        <v>34</v>
      </c>
      <c r="B889">
        <v>2013</v>
      </c>
      <c r="C889" t="s">
        <v>45</v>
      </c>
      <c r="D889" t="s">
        <v>26</v>
      </c>
      <c r="E889" t="e">
        <f>VLOOKUP(Cpi_[[#This Row],[Attribute]],#REF!,2,FALSE)</f>
        <v>#REF!</v>
      </c>
      <c r="F889">
        <v>111.2</v>
      </c>
      <c r="G889">
        <f>(Cpi_[[#This Row],[Value]]-F888)/F888</f>
        <v>2.3941068139963249E-2</v>
      </c>
      <c r="H889" t="e" cm="1" vm="1">
        <f t="array" aca="1" ref="H889" ca="1">VLOOKUP(Cpi_[[#This Row],[Year]:[Month]],crudeoil[],3,FALSE)</f>
        <v>#VALUE!</v>
      </c>
    </row>
    <row r="890" spans="1:8" hidden="1" x14ac:dyDescent="0.3">
      <c r="A890" t="s">
        <v>34</v>
      </c>
      <c r="B890">
        <v>2013</v>
      </c>
      <c r="C890" t="s">
        <v>45</v>
      </c>
      <c r="D890" t="s">
        <v>27</v>
      </c>
      <c r="E890" t="e">
        <f>VLOOKUP(Cpi_[[#This Row],[Attribute]],#REF!,2,FALSE)</f>
        <v>#REF!</v>
      </c>
      <c r="F890">
        <v>108.1</v>
      </c>
      <c r="G890">
        <f>(Cpi_[[#This Row],[Value]]-F889)/F889</f>
        <v>-2.7877697841726695E-2</v>
      </c>
      <c r="H890" t="e" cm="1" vm="1">
        <f t="array" aca="1" ref="H890" ca="1">VLOOKUP(Cpi_[[#This Row],[Year]:[Month]],crudeoil[],3,FALSE)</f>
        <v>#VALUE!</v>
      </c>
    </row>
    <row r="891" spans="1:8" hidden="1" x14ac:dyDescent="0.3">
      <c r="A891" t="s">
        <v>34</v>
      </c>
      <c r="B891">
        <v>2013</v>
      </c>
      <c r="C891" t="s">
        <v>45</v>
      </c>
      <c r="D891" t="s">
        <v>28</v>
      </c>
      <c r="E891" t="e">
        <f>VLOOKUP(Cpi_[[#This Row],[Attribute]],#REF!,2,FALSE)</f>
        <v>#REF!</v>
      </c>
      <c r="F891">
        <v>109.7</v>
      </c>
      <c r="G891">
        <f>(Cpi_[[#This Row],[Value]]-F890)/F890</f>
        <v>1.4801110083256325E-2</v>
      </c>
      <c r="H891" t="e" cm="1" vm="1">
        <f t="array" aca="1" ref="H891" ca="1">VLOOKUP(Cpi_[[#This Row],[Year]:[Month]],crudeoil[],3,FALSE)</f>
        <v>#VALUE!</v>
      </c>
    </row>
    <row r="892" spans="1:8" hidden="1" x14ac:dyDescent="0.3">
      <c r="A892" t="s">
        <v>34</v>
      </c>
      <c r="B892">
        <v>2013</v>
      </c>
      <c r="C892" t="s">
        <v>45</v>
      </c>
      <c r="D892" t="s">
        <v>29</v>
      </c>
      <c r="E892" t="e" cm="1">
        <f t="array" aca="1" ref="E892" ca="1">VLGeneral indexGeneral indexKUP(Cpi_[[#This Row],[Attribute]],#REF!,2,FALSE)</f>
        <v>#NAME?</v>
      </c>
      <c r="F892">
        <v>116.3</v>
      </c>
      <c r="G892">
        <f>(Cpi_[[#This Row],[Value]]-F891)/F891</f>
        <v>6.0164083865086544E-2</v>
      </c>
      <c r="H892" t="e" cm="1" vm="1">
        <f t="array" aca="1" ref="H892" ca="1">VLOOKUP(Cpi_[[#This Row],[Year]:[Month]],crudeoil[],3,FALSE)</f>
        <v>#VALUE!</v>
      </c>
    </row>
    <row r="893" spans="1:8" hidden="1" x14ac:dyDescent="0.3">
      <c r="A893" t="s">
        <v>30</v>
      </c>
      <c r="B893">
        <v>2013</v>
      </c>
      <c r="C893" t="s">
        <v>46</v>
      </c>
      <c r="D893" t="s">
        <v>3</v>
      </c>
      <c r="E893" t="e">
        <f>VLOOKUP(Cpi_[[#This Row],[Attribute]],#REF!,2,FALSE)</f>
        <v>#REF!</v>
      </c>
      <c r="F893">
        <v>118.4</v>
      </c>
      <c r="G893">
        <f>(Cpi_[[#This Row],[Value]]-F892)/F892</f>
        <v>1.8056749785038767E-2</v>
      </c>
      <c r="H893" t="e" cm="1" vm="1">
        <f t="array" aca="1" ref="H893" ca="1">VLOOKUP(Cpi_[[#This Row],[Year]:[Month]],crudeoil[],3,FALSE)</f>
        <v>#VALUE!</v>
      </c>
    </row>
    <row r="894" spans="1:8" hidden="1" x14ac:dyDescent="0.3">
      <c r="A894" t="s">
        <v>30</v>
      </c>
      <c r="B894">
        <v>2013</v>
      </c>
      <c r="C894" t="s">
        <v>46</v>
      </c>
      <c r="D894" t="s">
        <v>4</v>
      </c>
      <c r="E894" t="e">
        <f>VLOOKUP(Cpi_[[#This Row],[Attribute]],#REF!,2,FALSE)</f>
        <v>#REF!</v>
      </c>
      <c r="F894">
        <v>115.9</v>
      </c>
      <c r="G894">
        <f>(Cpi_[[#This Row],[Value]]-F893)/F893</f>
        <v>-2.1114864864864864E-2</v>
      </c>
      <c r="H894" t="e" cm="1" vm="1">
        <f t="array" aca="1" ref="H894" ca="1">VLOOKUP(Cpi_[[#This Row],[Year]:[Month]],crudeoil[],3,FALSE)</f>
        <v>#VALUE!</v>
      </c>
    </row>
    <row r="895" spans="1:8" hidden="1" x14ac:dyDescent="0.3">
      <c r="A895" t="s">
        <v>30</v>
      </c>
      <c r="B895">
        <v>2013</v>
      </c>
      <c r="C895" t="s">
        <v>46</v>
      </c>
      <c r="D895" t="s">
        <v>5</v>
      </c>
      <c r="E895" t="e">
        <f>VLOOKUP(Cpi_[[#This Row],[Attribute]],#REF!,2,FALSE)</f>
        <v>#REF!</v>
      </c>
      <c r="F895">
        <v>120.4</v>
      </c>
      <c r="G895">
        <f>(Cpi_[[#This Row],[Value]]-F894)/F894</f>
        <v>3.8826574633304571E-2</v>
      </c>
      <c r="H895" t="e" cm="1" vm="1">
        <f t="array" aca="1" ref="H895" ca="1">VLOOKUP(Cpi_[[#This Row],[Year]:[Month]],crudeoil[],3,FALSE)</f>
        <v>#VALUE!</v>
      </c>
    </row>
    <row r="896" spans="1:8" hidden="1" x14ac:dyDescent="0.3">
      <c r="A896" t="s">
        <v>30</v>
      </c>
      <c r="B896">
        <v>2013</v>
      </c>
      <c r="C896" t="s">
        <v>46</v>
      </c>
      <c r="D896" t="s">
        <v>6</v>
      </c>
      <c r="E896" t="e">
        <f>VLOOKUP(Cpi_[[#This Row],[Attribute]],#REF!,2,FALSE)</f>
        <v>#REF!</v>
      </c>
      <c r="F896">
        <v>113.8</v>
      </c>
      <c r="G896">
        <f>(Cpi_[[#This Row],[Value]]-F895)/F895</f>
        <v>-5.4817275747508373E-2</v>
      </c>
      <c r="H896" t="e" cm="1" vm="1">
        <f t="array" aca="1" ref="H896" ca="1">VLOOKUP(Cpi_[[#This Row],[Year]:[Month]],crudeoil[],3,FALSE)</f>
        <v>#VALUE!</v>
      </c>
    </row>
    <row r="897" spans="1:8" hidden="1" x14ac:dyDescent="0.3">
      <c r="A897" t="s">
        <v>30</v>
      </c>
      <c r="B897">
        <v>2013</v>
      </c>
      <c r="C897" t="s">
        <v>46</v>
      </c>
      <c r="D897" t="s">
        <v>7</v>
      </c>
      <c r="E897" t="e">
        <f>VLOOKUP(Cpi_[[#This Row],[Attribute]],#REF!,2,FALSE)</f>
        <v>#REF!</v>
      </c>
      <c r="F897">
        <v>109.5</v>
      </c>
      <c r="G897">
        <f>(Cpi_[[#This Row],[Value]]-F896)/F896</f>
        <v>-3.7785588752196814E-2</v>
      </c>
      <c r="H897" t="e" cm="1" vm="1">
        <f t="array" aca="1" ref="H897" ca="1">VLOOKUP(Cpi_[[#This Row],[Year]:[Month]],crudeoil[],3,FALSE)</f>
        <v>#VALUE!</v>
      </c>
    </row>
    <row r="898" spans="1:8" hidden="1" x14ac:dyDescent="0.3">
      <c r="A898" t="s">
        <v>30</v>
      </c>
      <c r="B898">
        <v>2013</v>
      </c>
      <c r="C898" t="s">
        <v>46</v>
      </c>
      <c r="D898" t="s">
        <v>8</v>
      </c>
      <c r="E898" t="e">
        <f>VLOOKUP(Cpi_[[#This Row],[Attribute]],#REF!,2,FALSE)</f>
        <v>#REF!</v>
      </c>
      <c r="F898">
        <v>115.5</v>
      </c>
      <c r="G898">
        <f>(Cpi_[[#This Row],[Value]]-F897)/F897</f>
        <v>5.4794520547945202E-2</v>
      </c>
      <c r="H898" t="e" cm="1" vm="1">
        <f t="array" aca="1" ref="H898" ca="1">VLOOKUP(Cpi_[[#This Row],[Year]:[Month]],crudeoil[],3,FALSE)</f>
        <v>#VALUE!</v>
      </c>
    </row>
    <row r="899" spans="1:8" hidden="1" x14ac:dyDescent="0.3">
      <c r="A899" t="s">
        <v>30</v>
      </c>
      <c r="B899">
        <v>2013</v>
      </c>
      <c r="C899" t="s">
        <v>46</v>
      </c>
      <c r="D899" t="s">
        <v>9</v>
      </c>
      <c r="E899" t="e">
        <f>VLOOKUP(Cpi_[[#This Row],[Attribute]],#REF!,2,FALSE)</f>
        <v>#REF!</v>
      </c>
      <c r="F899">
        <v>145.69999999999999</v>
      </c>
      <c r="G899">
        <f>(Cpi_[[#This Row],[Value]]-F898)/F898</f>
        <v>0.26147186147186136</v>
      </c>
      <c r="H899" t="e" cm="1" vm="1">
        <f t="array" aca="1" ref="H899" ca="1">VLOOKUP(Cpi_[[#This Row],[Year]:[Month]],crudeoil[],3,FALSE)</f>
        <v>#VALUE!</v>
      </c>
    </row>
    <row r="900" spans="1:8" hidden="1" x14ac:dyDescent="0.3">
      <c r="A900" t="s">
        <v>30</v>
      </c>
      <c r="B900">
        <v>2013</v>
      </c>
      <c r="C900" t="s">
        <v>46</v>
      </c>
      <c r="D900" t="s">
        <v>10</v>
      </c>
      <c r="E900" t="e">
        <f>VLOOKUP(Cpi_[[#This Row],[Attribute]],#REF!,2,FALSE)</f>
        <v>#REF!</v>
      </c>
      <c r="F900">
        <v>109.5</v>
      </c>
      <c r="G900">
        <f>(Cpi_[[#This Row],[Value]]-F899)/F899</f>
        <v>-0.24845573095401505</v>
      </c>
      <c r="H900" t="e" cm="1" vm="1">
        <f t="array" aca="1" ref="H900" ca="1">VLOOKUP(Cpi_[[#This Row],[Year]:[Month]],crudeoil[],3,FALSE)</f>
        <v>#VALUE!</v>
      </c>
    </row>
    <row r="901" spans="1:8" hidden="1" x14ac:dyDescent="0.3">
      <c r="A901" t="s">
        <v>30</v>
      </c>
      <c r="B901">
        <v>2013</v>
      </c>
      <c r="C901" t="s">
        <v>46</v>
      </c>
      <c r="D901" t="s">
        <v>11</v>
      </c>
      <c r="E901" t="e">
        <f>VLOOKUP(Cpi_[[#This Row],[Attribute]],#REF!,2,FALSE)</f>
        <v>#REF!</v>
      </c>
      <c r="F901">
        <v>102.9</v>
      </c>
      <c r="G901">
        <f>(Cpi_[[#This Row],[Value]]-F900)/F900</f>
        <v>-6.0273972602739673E-2</v>
      </c>
      <c r="H901" t="e" cm="1" vm="1">
        <f t="array" aca="1" ref="H901" ca="1">VLOOKUP(Cpi_[[#This Row],[Year]:[Month]],crudeoil[],3,FALSE)</f>
        <v>#VALUE!</v>
      </c>
    </row>
    <row r="902" spans="1:8" hidden="1" x14ac:dyDescent="0.3">
      <c r="A902" t="s">
        <v>30</v>
      </c>
      <c r="B902">
        <v>2013</v>
      </c>
      <c r="C902" t="s">
        <v>46</v>
      </c>
      <c r="D902" t="s">
        <v>12</v>
      </c>
      <c r="E902" t="e">
        <f>VLOOKUP(Cpi_[[#This Row],[Attribute]],#REF!,2,FALSE)</f>
        <v>#REF!</v>
      </c>
      <c r="F902">
        <v>109.8</v>
      </c>
      <c r="G902">
        <f>(Cpi_[[#This Row],[Value]]-F901)/F901</f>
        <v>6.7055393586005749E-2</v>
      </c>
      <c r="H902" t="e" cm="1" vm="1">
        <f t="array" aca="1" ref="H902" ca="1">VLOOKUP(Cpi_[[#This Row],[Year]:[Month]],crudeoil[],3,FALSE)</f>
        <v>#VALUE!</v>
      </c>
    </row>
    <row r="903" spans="1:8" hidden="1" x14ac:dyDescent="0.3">
      <c r="A903" t="s">
        <v>30</v>
      </c>
      <c r="B903">
        <v>2013</v>
      </c>
      <c r="C903" t="s">
        <v>46</v>
      </c>
      <c r="D903" t="s">
        <v>13</v>
      </c>
      <c r="E903" t="e">
        <f>VLOOKUP(Cpi_[[#This Row],[Attribute]],#REF!,2,FALSE)</f>
        <v>#REF!</v>
      </c>
      <c r="F903">
        <v>112.1</v>
      </c>
      <c r="G903">
        <f>(Cpi_[[#This Row],[Value]]-F902)/F902</f>
        <v>2.0947176684881576E-2</v>
      </c>
      <c r="H903" t="e" cm="1" vm="1">
        <f t="array" aca="1" ref="H903" ca="1">VLOOKUP(Cpi_[[#This Row],[Year]:[Month]],crudeoil[],3,FALSE)</f>
        <v>#VALUE!</v>
      </c>
    </row>
    <row r="904" spans="1:8" hidden="1" x14ac:dyDescent="0.3">
      <c r="A904" t="s">
        <v>30</v>
      </c>
      <c r="B904">
        <v>2013</v>
      </c>
      <c r="C904" t="s">
        <v>46</v>
      </c>
      <c r="D904" t="s">
        <v>14</v>
      </c>
      <c r="E904" t="e">
        <f>VLOOKUP(Cpi_[[#This Row],[Attribute]],#REF!,2,FALSE)</f>
        <v>#REF!</v>
      </c>
      <c r="F904">
        <v>116.8</v>
      </c>
      <c r="G904">
        <f>(Cpi_[[#This Row],[Value]]-F903)/F903</f>
        <v>4.1926851025869787E-2</v>
      </c>
      <c r="H904" t="e" cm="1" vm="1">
        <f t="array" aca="1" ref="H904" ca="1">VLOOKUP(Cpi_[[#This Row],[Year]:[Month]],crudeoil[],3,FALSE)</f>
        <v>#VALUE!</v>
      </c>
    </row>
    <row r="905" spans="1:8" hidden="1" x14ac:dyDescent="0.3">
      <c r="A905" t="s">
        <v>30</v>
      </c>
      <c r="B905">
        <v>2013</v>
      </c>
      <c r="C905" t="s">
        <v>46</v>
      </c>
      <c r="D905" t="s">
        <v>15</v>
      </c>
      <c r="E905" t="e">
        <f>VLOOKUP(Cpi_[[#This Row],[Attribute]],#REF!,2,FALSE)</f>
        <v>#REF!</v>
      </c>
      <c r="F905">
        <v>118.7</v>
      </c>
      <c r="G905">
        <f>(Cpi_[[#This Row],[Value]]-F904)/F904</f>
        <v>1.6267123287671281E-2</v>
      </c>
      <c r="H905" t="e" cm="1" vm="1">
        <f t="array" aca="1" ref="H905" ca="1">VLOOKUP(Cpi_[[#This Row],[Year]:[Month]],crudeoil[],3,FALSE)</f>
        <v>#VALUE!</v>
      </c>
    </row>
    <row r="906" spans="1:8" hidden="1" x14ac:dyDescent="0.3">
      <c r="A906" t="s">
        <v>30</v>
      </c>
      <c r="B906">
        <v>2013</v>
      </c>
      <c r="C906" t="s">
        <v>46</v>
      </c>
      <c r="D906" t="s">
        <v>16</v>
      </c>
      <c r="E906" t="e">
        <f>VLOOKUP(Cpi_[[#This Row],[Attribute]],#REF!,2,FALSE)</f>
        <v>#REF!</v>
      </c>
      <c r="F906">
        <v>113.6</v>
      </c>
      <c r="G906">
        <f>(Cpi_[[#This Row],[Value]]-F905)/F905</f>
        <v>-4.2965459140690887E-2</v>
      </c>
      <c r="H906" t="e" cm="1" vm="1">
        <f t="array" aca="1" ref="H906" ca="1">VLOOKUP(Cpi_[[#This Row],[Year]:[Month]],crudeoil[],3,FALSE)</f>
        <v>#VALUE!</v>
      </c>
    </row>
    <row r="907" spans="1:8" hidden="1" x14ac:dyDescent="0.3">
      <c r="A907" t="s">
        <v>30</v>
      </c>
      <c r="B907">
        <v>2013</v>
      </c>
      <c r="C907" t="s">
        <v>46</v>
      </c>
      <c r="D907" t="s">
        <v>17</v>
      </c>
      <c r="E907" t="e">
        <f>VLOOKUP(Cpi_[[#This Row],[Attribute]],#REF!,2,FALSE)</f>
        <v>#REF!</v>
      </c>
      <c r="F907">
        <v>115.8</v>
      </c>
      <c r="G907">
        <f>(Cpi_[[#This Row],[Value]]-F906)/F906</f>
        <v>1.9366197183098618E-2</v>
      </c>
      <c r="H907" t="e" cm="1" vm="1">
        <f t="array" aca="1" ref="H907" ca="1">VLOOKUP(Cpi_[[#This Row],[Year]:[Month]],crudeoil[],3,FALSE)</f>
        <v>#VALUE!</v>
      </c>
    </row>
    <row r="908" spans="1:8" hidden="1" x14ac:dyDescent="0.3">
      <c r="A908" t="s">
        <v>30</v>
      </c>
      <c r="B908">
        <v>2013</v>
      </c>
      <c r="C908" t="s">
        <v>46</v>
      </c>
      <c r="D908" t="s">
        <v>18</v>
      </c>
      <c r="E908" t="e">
        <f>VLOOKUP(Cpi_[[#This Row],[Attribute]],#REF!,2,FALSE)</f>
        <v>#REF!</v>
      </c>
      <c r="F908">
        <v>114</v>
      </c>
      <c r="G908">
        <f>(Cpi_[[#This Row],[Value]]-F907)/F907</f>
        <v>-1.5544041450777177E-2</v>
      </c>
      <c r="H908" t="e" cm="1" vm="1">
        <f t="array" aca="1" ref="H908" ca="1">VLOOKUP(Cpi_[[#This Row],[Year]:[Month]],crudeoil[],3,FALSE)</f>
        <v>#VALUE!</v>
      </c>
    </row>
    <row r="909" spans="1:8" hidden="1" x14ac:dyDescent="0.3">
      <c r="A909" t="s">
        <v>30</v>
      </c>
      <c r="B909">
        <v>2013</v>
      </c>
      <c r="C909" t="s">
        <v>46</v>
      </c>
      <c r="D909" t="s">
        <v>19</v>
      </c>
      <c r="E909" t="e">
        <f>VLOOKUP(Cpi_[[#This Row],[Attribute]],#REF!,2,FALSE)</f>
        <v>#REF!</v>
      </c>
      <c r="F909">
        <v>115.5</v>
      </c>
      <c r="G909">
        <f>(Cpi_[[#This Row],[Value]]-F908)/F908</f>
        <v>1.3157894736842105E-2</v>
      </c>
      <c r="H909" t="e" cm="1" vm="1">
        <f t="array" aca="1" ref="H909" ca="1">VLOOKUP(Cpi_[[#This Row],[Year]:[Month]],crudeoil[],3,FALSE)</f>
        <v>#VALUE!</v>
      </c>
    </row>
    <row r="910" spans="1:8" hidden="1" x14ac:dyDescent="0.3">
      <c r="A910" t="s">
        <v>30</v>
      </c>
      <c r="B910">
        <v>2013</v>
      </c>
      <c r="C910" t="s">
        <v>46</v>
      </c>
      <c r="D910" t="s">
        <v>20</v>
      </c>
      <c r="E910" t="e">
        <f>VLOOKUP(Cpi_[[#This Row],[Attribute]],#REF!,2,FALSE)</f>
        <v>#REF!</v>
      </c>
      <c r="F910" t="s">
        <v>32</v>
      </c>
      <c r="G910" t="e">
        <f>(Cpi_[[#This Row],[Value]]-F909)/F909</f>
        <v>#VALUE!</v>
      </c>
      <c r="H910" t="e" cm="1" vm="1">
        <f t="array" aca="1" ref="H910" ca="1">VLOOKUP(Cpi_[[#This Row],[Year]:[Month]],crudeoil[],3,FALSE)</f>
        <v>#VALUE!</v>
      </c>
    </row>
    <row r="911" spans="1:8" hidden="1" x14ac:dyDescent="0.3">
      <c r="A911" t="s">
        <v>30</v>
      </c>
      <c r="B911">
        <v>2013</v>
      </c>
      <c r="C911" t="s">
        <v>46</v>
      </c>
      <c r="D911" t="s">
        <v>21</v>
      </c>
      <c r="E911" t="e">
        <f>VLOOKUP(Cpi_[[#This Row],[Attribute]],#REF!,2,FALSE)</f>
        <v>#REF!</v>
      </c>
      <c r="F911">
        <v>112.8</v>
      </c>
      <c r="G911" t="e">
        <f>(Cpi_[[#This Row],[Value]]-F910)/F910</f>
        <v>#VALUE!</v>
      </c>
      <c r="H911" t="e" cm="1" vm="1">
        <f t="array" aca="1" ref="H911" ca="1">VLOOKUP(Cpi_[[#This Row],[Year]:[Month]],crudeoil[],3,FALSE)</f>
        <v>#VALUE!</v>
      </c>
    </row>
    <row r="912" spans="1:8" hidden="1" x14ac:dyDescent="0.3">
      <c r="A912" t="s">
        <v>30</v>
      </c>
      <c r="B912">
        <v>2013</v>
      </c>
      <c r="C912" t="s">
        <v>46</v>
      </c>
      <c r="D912" t="s">
        <v>22</v>
      </c>
      <c r="E912" t="e">
        <f>VLOOKUP(Cpi_[[#This Row],[Attribute]],#REF!,2,FALSE)</f>
        <v>#REF!</v>
      </c>
      <c r="F912">
        <v>112.1</v>
      </c>
      <c r="G912">
        <f>(Cpi_[[#This Row],[Value]]-F911)/F911</f>
        <v>-6.2056737588652737E-3</v>
      </c>
      <c r="H912" t="e" cm="1" vm="1">
        <f t="array" aca="1" ref="H912" ca="1">VLOOKUP(Cpi_[[#This Row],[Year]:[Month]],crudeoil[],3,FALSE)</f>
        <v>#VALUE!</v>
      </c>
    </row>
    <row r="913" spans="1:8" hidden="1" x14ac:dyDescent="0.3">
      <c r="A913" t="s">
        <v>30</v>
      </c>
      <c r="B913">
        <v>2013</v>
      </c>
      <c r="C913" t="s">
        <v>46</v>
      </c>
      <c r="D913" t="s">
        <v>23</v>
      </c>
      <c r="E913" t="e">
        <f>VLOOKUP(Cpi_[[#This Row],[Attribute]],#REF!,2,FALSE)</f>
        <v>#REF!</v>
      </c>
      <c r="F913">
        <v>110.1</v>
      </c>
      <c r="G913">
        <f>(Cpi_[[#This Row],[Value]]-F912)/F912</f>
        <v>-1.784121320249777E-2</v>
      </c>
      <c r="H913" t="e" cm="1" vm="1">
        <f t="array" aca="1" ref="H913" ca="1">VLOOKUP(Cpi_[[#This Row],[Year]:[Month]],crudeoil[],3,FALSE)</f>
        <v>#VALUE!</v>
      </c>
    </row>
    <row r="914" spans="1:8" hidden="1" x14ac:dyDescent="0.3">
      <c r="A914" t="s">
        <v>30</v>
      </c>
      <c r="B914">
        <v>2013</v>
      </c>
      <c r="C914" t="s">
        <v>46</v>
      </c>
      <c r="D914" t="s">
        <v>24</v>
      </c>
      <c r="E914" t="e">
        <f>VLOOKUP(Cpi_[[#This Row],[Attribute]],#REF!,2,FALSE)</f>
        <v>#REF!</v>
      </c>
      <c r="F914">
        <v>109.9</v>
      </c>
      <c r="G914">
        <f>(Cpi_[[#This Row],[Value]]-F913)/F913</f>
        <v>-1.8165304268845473E-3</v>
      </c>
      <c r="H914" t="e" cm="1" vm="1">
        <f t="array" aca="1" ref="H914" ca="1">VLOOKUP(Cpi_[[#This Row],[Year]:[Month]],crudeoil[],3,FALSE)</f>
        <v>#VALUE!</v>
      </c>
    </row>
    <row r="915" spans="1:8" hidden="1" x14ac:dyDescent="0.3">
      <c r="A915" t="s">
        <v>30</v>
      </c>
      <c r="B915">
        <v>2013</v>
      </c>
      <c r="C915" t="s">
        <v>46</v>
      </c>
      <c r="D915" t="s">
        <v>25</v>
      </c>
      <c r="E915" t="e">
        <f>VLOOKUP(Cpi_[[#This Row],[Attribute]],#REF!,2,FALSE)</f>
        <v>#REF!</v>
      </c>
      <c r="F915">
        <v>109.2</v>
      </c>
      <c r="G915">
        <f>(Cpi_[[#This Row],[Value]]-F914)/F914</f>
        <v>-6.3694267515923822E-3</v>
      </c>
      <c r="H915" t="e" cm="1" vm="1">
        <f t="array" aca="1" ref="H915" ca="1">VLOOKUP(Cpi_[[#This Row],[Year]:[Month]],crudeoil[],3,FALSE)</f>
        <v>#VALUE!</v>
      </c>
    </row>
    <row r="916" spans="1:8" hidden="1" x14ac:dyDescent="0.3">
      <c r="A916" t="s">
        <v>30</v>
      </c>
      <c r="B916">
        <v>2013</v>
      </c>
      <c r="C916" t="s">
        <v>46</v>
      </c>
      <c r="D916" t="s">
        <v>26</v>
      </c>
      <c r="E916" t="e">
        <f>VLOOKUP(Cpi_[[#This Row],[Attribute]],#REF!,2,FALSE)</f>
        <v>#REF!</v>
      </c>
      <c r="F916">
        <v>111.6</v>
      </c>
      <c r="G916">
        <f>(Cpi_[[#This Row],[Value]]-F915)/F915</f>
        <v>2.19780219780219E-2</v>
      </c>
      <c r="H916" t="e" cm="1" vm="1">
        <f t="array" aca="1" ref="H916" ca="1">VLOOKUP(Cpi_[[#This Row],[Year]:[Month]],crudeoil[],3,FALSE)</f>
        <v>#VALUE!</v>
      </c>
    </row>
    <row r="917" spans="1:8" hidden="1" x14ac:dyDescent="0.3">
      <c r="A917" t="s">
        <v>30</v>
      </c>
      <c r="B917">
        <v>2013</v>
      </c>
      <c r="C917" t="s">
        <v>46</v>
      </c>
      <c r="D917" t="s">
        <v>27</v>
      </c>
      <c r="E917" t="e">
        <f>VLOOKUP(Cpi_[[#This Row],[Attribute]],#REF!,2,FALSE)</f>
        <v>#REF!</v>
      </c>
      <c r="F917">
        <v>108.1</v>
      </c>
      <c r="G917">
        <f>(Cpi_[[#This Row],[Value]]-F916)/F916</f>
        <v>-3.1362007168458786E-2</v>
      </c>
      <c r="H917" t="e" cm="1" vm="1">
        <f t="array" aca="1" ref="H917" ca="1">VLOOKUP(Cpi_[[#This Row],[Year]:[Month]],crudeoil[],3,FALSE)</f>
        <v>#VALUE!</v>
      </c>
    </row>
    <row r="918" spans="1:8" hidden="1" x14ac:dyDescent="0.3">
      <c r="A918" t="s">
        <v>30</v>
      </c>
      <c r="B918">
        <v>2013</v>
      </c>
      <c r="C918" t="s">
        <v>46</v>
      </c>
      <c r="D918" t="s">
        <v>28</v>
      </c>
      <c r="E918" t="e">
        <f>VLOOKUP(Cpi_[[#This Row],[Attribute]],#REF!,2,FALSE)</f>
        <v>#REF!</v>
      </c>
      <c r="F918">
        <v>110.1</v>
      </c>
      <c r="G918">
        <f>(Cpi_[[#This Row],[Value]]-F917)/F917</f>
        <v>1.8501387604070305E-2</v>
      </c>
      <c r="H918" t="e" cm="1" vm="1">
        <f t="array" aca="1" ref="H918" ca="1">VLOOKUP(Cpi_[[#This Row],[Year]:[Month]],crudeoil[],3,FALSE)</f>
        <v>#VALUE!</v>
      </c>
    </row>
    <row r="919" spans="1:8" hidden="1" x14ac:dyDescent="0.3">
      <c r="A919" t="s">
        <v>30</v>
      </c>
      <c r="B919">
        <v>2013</v>
      </c>
      <c r="C919" t="s">
        <v>46</v>
      </c>
      <c r="D919" t="s">
        <v>29</v>
      </c>
      <c r="E919" t="e" cm="1">
        <f t="array" aca="1" ref="E919" ca="1">VLGeneral indexGeneral indexKUP(Cpi_[[#This Row],[Attribute]],#REF!,2,FALSE)</f>
        <v>#NAME?</v>
      </c>
      <c r="F919">
        <v>115.5</v>
      </c>
      <c r="G919">
        <f>(Cpi_[[#This Row],[Value]]-F918)/F918</f>
        <v>4.904632152588561E-2</v>
      </c>
      <c r="H919" t="e" cm="1" vm="1">
        <f t="array" aca="1" ref="H919" ca="1">VLOOKUP(Cpi_[[#This Row],[Year]:[Month]],crudeoil[],3,FALSE)</f>
        <v>#VALUE!</v>
      </c>
    </row>
    <row r="920" spans="1:8" hidden="1" x14ac:dyDescent="0.3">
      <c r="A920" t="s">
        <v>33</v>
      </c>
      <c r="B920">
        <v>2013</v>
      </c>
      <c r="C920" t="s">
        <v>46</v>
      </c>
      <c r="D920" t="s">
        <v>3</v>
      </c>
      <c r="E920" t="e">
        <f>VLOOKUP(Cpi_[[#This Row],[Attribute]],#REF!,2,FALSE)</f>
        <v>#REF!</v>
      </c>
      <c r="F920">
        <v>120.5</v>
      </c>
      <c r="G920">
        <f>(Cpi_[[#This Row],[Value]]-F919)/F919</f>
        <v>4.3290043290043288E-2</v>
      </c>
      <c r="H920" t="e" cm="1" vm="1">
        <f t="array" aca="1" ref="H920" ca="1">VLOOKUP(Cpi_[[#This Row],[Year]:[Month]],crudeoil[],3,FALSE)</f>
        <v>#VALUE!</v>
      </c>
    </row>
    <row r="921" spans="1:8" hidden="1" x14ac:dyDescent="0.3">
      <c r="A921" t="s">
        <v>33</v>
      </c>
      <c r="B921">
        <v>2013</v>
      </c>
      <c r="C921" t="s">
        <v>46</v>
      </c>
      <c r="D921" t="s">
        <v>4</v>
      </c>
      <c r="E921" t="e">
        <f>VLOOKUP(Cpi_[[#This Row],[Attribute]],#REF!,2,FALSE)</f>
        <v>#REF!</v>
      </c>
      <c r="F921">
        <v>118.1</v>
      </c>
      <c r="G921">
        <f>(Cpi_[[#This Row],[Value]]-F920)/F920</f>
        <v>-1.9917012448132827E-2</v>
      </c>
      <c r="H921" t="e" cm="1" vm="1">
        <f t="array" aca="1" ref="H921" ca="1">VLOOKUP(Cpi_[[#This Row],[Year]:[Month]],crudeoil[],3,FALSE)</f>
        <v>#VALUE!</v>
      </c>
    </row>
    <row r="922" spans="1:8" hidden="1" x14ac:dyDescent="0.3">
      <c r="A922" t="s">
        <v>33</v>
      </c>
      <c r="B922">
        <v>2013</v>
      </c>
      <c r="C922" t="s">
        <v>46</v>
      </c>
      <c r="D922" t="s">
        <v>5</v>
      </c>
      <c r="E922" t="e">
        <f>VLOOKUP(Cpi_[[#This Row],[Attribute]],#REF!,2,FALSE)</f>
        <v>#REF!</v>
      </c>
      <c r="F922">
        <v>128.5</v>
      </c>
      <c r="G922">
        <f>(Cpi_[[#This Row],[Value]]-F921)/F921</f>
        <v>8.8060965283657963E-2</v>
      </c>
      <c r="H922" t="e" cm="1" vm="1">
        <f t="array" aca="1" ref="H922" ca="1">VLOOKUP(Cpi_[[#This Row],[Year]:[Month]],crudeoil[],3,FALSE)</f>
        <v>#VALUE!</v>
      </c>
    </row>
    <row r="923" spans="1:8" hidden="1" x14ac:dyDescent="0.3">
      <c r="A923" t="s">
        <v>33</v>
      </c>
      <c r="B923">
        <v>2013</v>
      </c>
      <c r="C923" t="s">
        <v>46</v>
      </c>
      <c r="D923" t="s">
        <v>6</v>
      </c>
      <c r="E923" t="e">
        <f>VLOOKUP(Cpi_[[#This Row],[Attribute]],#REF!,2,FALSE)</f>
        <v>#REF!</v>
      </c>
      <c r="F923">
        <v>112.8</v>
      </c>
      <c r="G923">
        <f>(Cpi_[[#This Row],[Value]]-F922)/F922</f>
        <v>-0.12217898832684827</v>
      </c>
      <c r="H923" t="e" cm="1" vm="1">
        <f t="array" aca="1" ref="H923" ca="1">VLOOKUP(Cpi_[[#This Row],[Year]:[Month]],crudeoil[],3,FALSE)</f>
        <v>#VALUE!</v>
      </c>
    </row>
    <row r="924" spans="1:8" hidden="1" x14ac:dyDescent="0.3">
      <c r="A924" t="s">
        <v>33</v>
      </c>
      <c r="B924">
        <v>2013</v>
      </c>
      <c r="C924" t="s">
        <v>46</v>
      </c>
      <c r="D924" t="s">
        <v>7</v>
      </c>
      <c r="E924" t="e">
        <f>VLOOKUP(Cpi_[[#This Row],[Attribute]],#REF!,2,FALSE)</f>
        <v>#REF!</v>
      </c>
      <c r="F924">
        <v>103.4</v>
      </c>
      <c r="G924">
        <f>(Cpi_[[#This Row],[Value]]-F923)/F923</f>
        <v>-8.3333333333333259E-2</v>
      </c>
      <c r="H924" t="e" cm="1" vm="1">
        <f t="array" aca="1" ref="H924" ca="1">VLOOKUP(Cpi_[[#This Row],[Year]:[Month]],crudeoil[],3,FALSE)</f>
        <v>#VALUE!</v>
      </c>
    </row>
    <row r="925" spans="1:8" hidden="1" x14ac:dyDescent="0.3">
      <c r="A925" t="s">
        <v>33</v>
      </c>
      <c r="B925">
        <v>2013</v>
      </c>
      <c r="C925" t="s">
        <v>46</v>
      </c>
      <c r="D925" t="s">
        <v>8</v>
      </c>
      <c r="E925" t="e">
        <f>VLOOKUP(Cpi_[[#This Row],[Attribute]],#REF!,2,FALSE)</f>
        <v>#REF!</v>
      </c>
      <c r="F925">
        <v>110.7</v>
      </c>
      <c r="G925">
        <f>(Cpi_[[#This Row],[Value]]-F924)/F924</f>
        <v>7.0599613152804608E-2</v>
      </c>
      <c r="H925" t="e" cm="1" vm="1">
        <f t="array" aca="1" ref="H925" ca="1">VLOOKUP(Cpi_[[#This Row],[Year]:[Month]],crudeoil[],3,FALSE)</f>
        <v>#VALUE!</v>
      </c>
    </row>
    <row r="926" spans="1:8" hidden="1" x14ac:dyDescent="0.3">
      <c r="A926" t="s">
        <v>33</v>
      </c>
      <c r="B926">
        <v>2013</v>
      </c>
      <c r="C926" t="s">
        <v>46</v>
      </c>
      <c r="D926" t="s">
        <v>9</v>
      </c>
      <c r="E926" t="e">
        <f>VLOOKUP(Cpi_[[#This Row],[Attribute]],#REF!,2,FALSE)</f>
        <v>#REF!</v>
      </c>
      <c r="F926">
        <v>144.80000000000001</v>
      </c>
      <c r="G926">
        <f>(Cpi_[[#This Row],[Value]]-F925)/F925</f>
        <v>0.30803974706413739</v>
      </c>
      <c r="H926" t="e" cm="1" vm="1">
        <f t="array" aca="1" ref="H926" ca="1">VLOOKUP(Cpi_[[#This Row],[Year]:[Month]],crudeoil[],3,FALSE)</f>
        <v>#VALUE!</v>
      </c>
    </row>
    <row r="927" spans="1:8" hidden="1" x14ac:dyDescent="0.3">
      <c r="A927" t="s">
        <v>33</v>
      </c>
      <c r="B927">
        <v>2013</v>
      </c>
      <c r="C927" t="s">
        <v>46</v>
      </c>
      <c r="D927" t="s">
        <v>10</v>
      </c>
      <c r="E927" t="e">
        <f>VLOOKUP(Cpi_[[#This Row],[Attribute]],#REF!,2,FALSE)</f>
        <v>#REF!</v>
      </c>
      <c r="F927">
        <v>107.1</v>
      </c>
      <c r="G927">
        <f>(Cpi_[[#This Row],[Value]]-F926)/F926</f>
        <v>-0.26035911602209955</v>
      </c>
      <c r="H927" t="e" cm="1" vm="1">
        <f t="array" aca="1" ref="H927" ca="1">VLOOKUP(Cpi_[[#This Row],[Year]:[Month]],crudeoil[],3,FALSE)</f>
        <v>#VALUE!</v>
      </c>
    </row>
    <row r="928" spans="1:8" hidden="1" x14ac:dyDescent="0.3">
      <c r="A928" t="s">
        <v>33</v>
      </c>
      <c r="B928">
        <v>2013</v>
      </c>
      <c r="C928" t="s">
        <v>46</v>
      </c>
      <c r="D928" t="s">
        <v>11</v>
      </c>
      <c r="E928" t="e">
        <f>VLOOKUP(Cpi_[[#This Row],[Attribute]],#REF!,2,FALSE)</f>
        <v>#REF!</v>
      </c>
      <c r="F928">
        <v>98.6</v>
      </c>
      <c r="G928">
        <f>(Cpi_[[#This Row],[Value]]-F927)/F927</f>
        <v>-7.9365079365079375E-2</v>
      </c>
      <c r="H928" t="e" cm="1" vm="1">
        <f t="array" aca="1" ref="H928" ca="1">VLOOKUP(Cpi_[[#This Row],[Year]:[Month]],crudeoil[],3,FALSE)</f>
        <v>#VALUE!</v>
      </c>
    </row>
    <row r="929" spans="1:8" hidden="1" x14ac:dyDescent="0.3">
      <c r="A929" t="s">
        <v>33</v>
      </c>
      <c r="B929">
        <v>2013</v>
      </c>
      <c r="C929" t="s">
        <v>46</v>
      </c>
      <c r="D929" t="s">
        <v>12</v>
      </c>
      <c r="E929" t="e">
        <f>VLOOKUP(Cpi_[[#This Row],[Attribute]],#REF!,2,FALSE)</f>
        <v>#REF!</v>
      </c>
      <c r="F929">
        <v>111.9</v>
      </c>
      <c r="G929">
        <f>(Cpi_[[#This Row],[Value]]-F928)/F928</f>
        <v>0.13488843813387436</v>
      </c>
      <c r="H929" t="e" cm="1" vm="1">
        <f t="array" aca="1" ref="H929" ca="1">VLOOKUP(Cpi_[[#This Row],[Year]:[Month]],crudeoil[],3,FALSE)</f>
        <v>#VALUE!</v>
      </c>
    </row>
    <row r="930" spans="1:8" hidden="1" x14ac:dyDescent="0.3">
      <c r="A930" t="s">
        <v>33</v>
      </c>
      <c r="B930">
        <v>2013</v>
      </c>
      <c r="C930" t="s">
        <v>46</v>
      </c>
      <c r="D930" t="s">
        <v>13</v>
      </c>
      <c r="E930" t="e">
        <f>VLOOKUP(Cpi_[[#This Row],[Attribute]],#REF!,2,FALSE)</f>
        <v>#REF!</v>
      </c>
      <c r="F930">
        <v>112.1</v>
      </c>
      <c r="G930">
        <f>(Cpi_[[#This Row],[Value]]-F929)/F929</f>
        <v>1.7873100983019537E-3</v>
      </c>
      <c r="H930" t="e" cm="1" vm="1">
        <f t="array" aca="1" ref="H930" ca="1">VLOOKUP(Cpi_[[#This Row],[Year]:[Month]],crudeoil[],3,FALSE)</f>
        <v>#VALUE!</v>
      </c>
    </row>
    <row r="931" spans="1:8" hidden="1" x14ac:dyDescent="0.3">
      <c r="A931" t="s">
        <v>33</v>
      </c>
      <c r="B931">
        <v>2013</v>
      </c>
      <c r="C931" t="s">
        <v>46</v>
      </c>
      <c r="D931" t="s">
        <v>14</v>
      </c>
      <c r="E931" t="e">
        <f>VLOOKUP(Cpi_[[#This Row],[Attribute]],#REF!,2,FALSE)</f>
        <v>#REF!</v>
      </c>
      <c r="F931">
        <v>118.1</v>
      </c>
      <c r="G931">
        <f>(Cpi_[[#This Row],[Value]]-F930)/F930</f>
        <v>5.352363960749331E-2</v>
      </c>
      <c r="H931" t="e" cm="1" vm="1">
        <f t="array" aca="1" ref="H931" ca="1">VLOOKUP(Cpi_[[#This Row],[Year]:[Month]],crudeoil[],3,FALSE)</f>
        <v>#VALUE!</v>
      </c>
    </row>
    <row r="932" spans="1:8" hidden="1" x14ac:dyDescent="0.3">
      <c r="A932" t="s">
        <v>33</v>
      </c>
      <c r="B932">
        <v>2013</v>
      </c>
      <c r="C932" t="s">
        <v>46</v>
      </c>
      <c r="D932" t="s">
        <v>15</v>
      </c>
      <c r="E932" t="e">
        <f>VLOOKUP(Cpi_[[#This Row],[Attribute]],#REF!,2,FALSE)</f>
        <v>#REF!</v>
      </c>
      <c r="F932">
        <v>117.8</v>
      </c>
      <c r="G932">
        <f>(Cpi_[[#This Row],[Value]]-F931)/F931</f>
        <v>-2.5402201524131851E-3</v>
      </c>
      <c r="H932" t="e" cm="1" vm="1">
        <f t="array" aca="1" ref="H932" ca="1">VLOOKUP(Cpi_[[#This Row],[Year]:[Month]],crudeoil[],3,FALSE)</f>
        <v>#VALUE!</v>
      </c>
    </row>
    <row r="933" spans="1:8" hidden="1" x14ac:dyDescent="0.3">
      <c r="A933" t="s">
        <v>33</v>
      </c>
      <c r="B933">
        <v>2013</v>
      </c>
      <c r="C933" t="s">
        <v>46</v>
      </c>
      <c r="D933" t="s">
        <v>16</v>
      </c>
      <c r="E933" t="e">
        <f>VLOOKUP(Cpi_[[#This Row],[Attribute]],#REF!,2,FALSE)</f>
        <v>#REF!</v>
      </c>
      <c r="F933">
        <v>115</v>
      </c>
      <c r="G933">
        <f>(Cpi_[[#This Row],[Value]]-F932)/F932</f>
        <v>-2.3769100169779265E-2</v>
      </c>
      <c r="H933" t="e" cm="1" vm="1">
        <f t="array" aca="1" ref="H933" ca="1">VLOOKUP(Cpi_[[#This Row],[Year]:[Month]],crudeoil[],3,FALSE)</f>
        <v>#VALUE!</v>
      </c>
    </row>
    <row r="934" spans="1:8" hidden="1" x14ac:dyDescent="0.3">
      <c r="A934" t="s">
        <v>33</v>
      </c>
      <c r="B934">
        <v>2013</v>
      </c>
      <c r="C934" t="s">
        <v>46</v>
      </c>
      <c r="D934" t="s">
        <v>17</v>
      </c>
      <c r="E934" t="e">
        <f>VLOOKUP(Cpi_[[#This Row],[Attribute]],#REF!,2,FALSE)</f>
        <v>#REF!</v>
      </c>
      <c r="F934">
        <v>114.2</v>
      </c>
      <c r="G934">
        <f>(Cpi_[[#This Row],[Value]]-F933)/F933</f>
        <v>-6.9565217391304099E-3</v>
      </c>
      <c r="H934" t="e" cm="1" vm="1">
        <f t="array" aca="1" ref="H934" ca="1">VLOOKUP(Cpi_[[#This Row],[Year]:[Month]],crudeoil[],3,FALSE)</f>
        <v>#VALUE!</v>
      </c>
    </row>
    <row r="935" spans="1:8" hidden="1" x14ac:dyDescent="0.3">
      <c r="A935" t="s">
        <v>33</v>
      </c>
      <c r="B935">
        <v>2013</v>
      </c>
      <c r="C935" t="s">
        <v>46</v>
      </c>
      <c r="D935" t="s">
        <v>18</v>
      </c>
      <c r="E935" t="e">
        <f>VLOOKUP(Cpi_[[#This Row],[Attribute]],#REF!,2,FALSE)</f>
        <v>#REF!</v>
      </c>
      <c r="F935">
        <v>110.9</v>
      </c>
      <c r="G935">
        <f>(Cpi_[[#This Row],[Value]]-F934)/F934</f>
        <v>-2.889667250437826E-2</v>
      </c>
      <c r="H935" t="e" cm="1" vm="1">
        <f t="array" aca="1" ref="H935" ca="1">VLOOKUP(Cpi_[[#This Row],[Year]:[Month]],crudeoil[],3,FALSE)</f>
        <v>#VALUE!</v>
      </c>
    </row>
    <row r="936" spans="1:8" hidden="1" x14ac:dyDescent="0.3">
      <c r="A936" t="s">
        <v>33</v>
      </c>
      <c r="B936">
        <v>2013</v>
      </c>
      <c r="C936" t="s">
        <v>46</v>
      </c>
      <c r="D936" t="s">
        <v>19</v>
      </c>
      <c r="E936" t="e">
        <f>VLOOKUP(Cpi_[[#This Row],[Attribute]],#REF!,2,FALSE)</f>
        <v>#REF!</v>
      </c>
      <c r="F936">
        <v>113.7</v>
      </c>
      <c r="G936">
        <f>(Cpi_[[#This Row],[Value]]-F935)/F935</f>
        <v>2.5247971145175806E-2</v>
      </c>
      <c r="H936" t="e" cm="1" vm="1">
        <f t="array" aca="1" ref="H936" ca="1">VLOOKUP(Cpi_[[#This Row],[Year]:[Month]],crudeoil[],3,FALSE)</f>
        <v>#VALUE!</v>
      </c>
    </row>
    <row r="937" spans="1:8" hidden="1" x14ac:dyDescent="0.3">
      <c r="A937" t="s">
        <v>33</v>
      </c>
      <c r="B937">
        <v>2013</v>
      </c>
      <c r="C937" t="s">
        <v>46</v>
      </c>
      <c r="D937" t="s">
        <v>20</v>
      </c>
      <c r="E937" t="e">
        <f>VLOOKUP(Cpi_[[#This Row],[Attribute]],#REF!,2,FALSE)</f>
        <v>#REF!</v>
      </c>
      <c r="F937">
        <v>110.7</v>
      </c>
      <c r="G937">
        <f>(Cpi_[[#This Row],[Value]]-F936)/F936</f>
        <v>-2.6385224274406333E-2</v>
      </c>
      <c r="H937" t="e" cm="1" vm="1">
        <f t="array" aca="1" ref="H937" ca="1">VLOOKUP(Cpi_[[#This Row],[Year]:[Month]],crudeoil[],3,FALSE)</f>
        <v>#VALUE!</v>
      </c>
    </row>
    <row r="938" spans="1:8" hidden="1" x14ac:dyDescent="0.3">
      <c r="A938" t="s">
        <v>33</v>
      </c>
      <c r="B938">
        <v>2013</v>
      </c>
      <c r="C938" t="s">
        <v>46</v>
      </c>
      <c r="D938" t="s">
        <v>21</v>
      </c>
      <c r="E938" t="e">
        <f>VLOOKUP(Cpi_[[#This Row],[Attribute]],#REF!,2,FALSE)</f>
        <v>#REF!</v>
      </c>
      <c r="F938">
        <v>110.4</v>
      </c>
      <c r="G938">
        <f>(Cpi_[[#This Row],[Value]]-F937)/F937</f>
        <v>-2.7100271002709771E-3</v>
      </c>
      <c r="H938" t="e" cm="1" vm="1">
        <f t="array" aca="1" ref="H938" ca="1">VLOOKUP(Cpi_[[#This Row],[Year]:[Month]],crudeoil[],3,FALSE)</f>
        <v>#VALUE!</v>
      </c>
    </row>
    <row r="939" spans="1:8" hidden="1" x14ac:dyDescent="0.3">
      <c r="A939" t="s">
        <v>33</v>
      </c>
      <c r="B939">
        <v>2013</v>
      </c>
      <c r="C939" t="s">
        <v>46</v>
      </c>
      <c r="D939" t="s">
        <v>22</v>
      </c>
      <c r="E939" t="e">
        <f>VLOOKUP(Cpi_[[#This Row],[Attribute]],#REF!,2,FALSE)</f>
        <v>#REF!</v>
      </c>
      <c r="F939">
        <v>111.3</v>
      </c>
      <c r="G939">
        <f>(Cpi_[[#This Row],[Value]]-F938)/F938</f>
        <v>8.1521739130434E-3</v>
      </c>
      <c r="H939" t="e" cm="1" vm="1">
        <f t="array" aca="1" ref="H939" ca="1">VLOOKUP(Cpi_[[#This Row],[Year]:[Month]],crudeoil[],3,FALSE)</f>
        <v>#VALUE!</v>
      </c>
    </row>
    <row r="940" spans="1:8" hidden="1" x14ac:dyDescent="0.3">
      <c r="A940" t="s">
        <v>33</v>
      </c>
      <c r="B940">
        <v>2013</v>
      </c>
      <c r="C940" t="s">
        <v>46</v>
      </c>
      <c r="D940" t="s">
        <v>23</v>
      </c>
      <c r="E940" t="e">
        <f>VLOOKUP(Cpi_[[#This Row],[Attribute]],#REF!,2,FALSE)</f>
        <v>#REF!</v>
      </c>
      <c r="F940">
        <v>109</v>
      </c>
      <c r="G940">
        <f>(Cpi_[[#This Row],[Value]]-F939)/F939</f>
        <v>-2.066486972147347E-2</v>
      </c>
      <c r="H940" t="e" cm="1" vm="1">
        <f t="array" aca="1" ref="H940" ca="1">VLOOKUP(Cpi_[[#This Row],[Year]:[Month]],crudeoil[],3,FALSE)</f>
        <v>#VALUE!</v>
      </c>
    </row>
    <row r="941" spans="1:8" hidden="1" x14ac:dyDescent="0.3">
      <c r="A941" t="s">
        <v>33</v>
      </c>
      <c r="B941">
        <v>2013</v>
      </c>
      <c r="C941" t="s">
        <v>46</v>
      </c>
      <c r="D941" t="s">
        <v>24</v>
      </c>
      <c r="E941" t="e">
        <f>VLOOKUP(Cpi_[[#This Row],[Attribute]],#REF!,2,FALSE)</f>
        <v>#REF!</v>
      </c>
      <c r="F941">
        <v>109.7</v>
      </c>
      <c r="G941">
        <f>(Cpi_[[#This Row],[Value]]-F940)/F940</f>
        <v>6.4220183486238796E-3</v>
      </c>
      <c r="H941" t="e" cm="1" vm="1">
        <f t="array" aca="1" ref="H941" ca="1">VLOOKUP(Cpi_[[#This Row],[Year]:[Month]],crudeoil[],3,FALSE)</f>
        <v>#VALUE!</v>
      </c>
    </row>
    <row r="942" spans="1:8" hidden="1" x14ac:dyDescent="0.3">
      <c r="A942" t="s">
        <v>33</v>
      </c>
      <c r="B942">
        <v>2013</v>
      </c>
      <c r="C942" t="s">
        <v>46</v>
      </c>
      <c r="D942" t="s">
        <v>25</v>
      </c>
      <c r="E942" t="e">
        <f>VLOOKUP(Cpi_[[#This Row],[Attribute]],#REF!,2,FALSE)</f>
        <v>#REF!</v>
      </c>
      <c r="F942">
        <v>108.9</v>
      </c>
      <c r="G942">
        <f>(Cpi_[[#This Row],[Value]]-F941)/F941</f>
        <v>-7.2926162260710768E-3</v>
      </c>
      <c r="H942" t="e" cm="1" vm="1">
        <f t="array" aca="1" ref="H942" ca="1">VLOOKUP(Cpi_[[#This Row],[Year]:[Month]],crudeoil[],3,FALSE)</f>
        <v>#VALUE!</v>
      </c>
    </row>
    <row r="943" spans="1:8" hidden="1" x14ac:dyDescent="0.3">
      <c r="A943" t="s">
        <v>33</v>
      </c>
      <c r="B943">
        <v>2013</v>
      </c>
      <c r="C943" t="s">
        <v>46</v>
      </c>
      <c r="D943" t="s">
        <v>26</v>
      </c>
      <c r="E943" t="e">
        <f>VLOOKUP(Cpi_[[#This Row],[Attribute]],#REF!,2,FALSE)</f>
        <v>#REF!</v>
      </c>
      <c r="F943">
        <v>111.4</v>
      </c>
      <c r="G943">
        <f>(Cpi_[[#This Row],[Value]]-F942)/F942</f>
        <v>2.2956841138659319E-2</v>
      </c>
      <c r="H943" t="e" cm="1" vm="1">
        <f t="array" aca="1" ref="H943" ca="1">VLOOKUP(Cpi_[[#This Row],[Year]:[Month]],crudeoil[],3,FALSE)</f>
        <v>#VALUE!</v>
      </c>
    </row>
    <row r="944" spans="1:8" hidden="1" x14ac:dyDescent="0.3">
      <c r="A944" t="s">
        <v>33</v>
      </c>
      <c r="B944">
        <v>2013</v>
      </c>
      <c r="C944" t="s">
        <v>46</v>
      </c>
      <c r="D944" t="s">
        <v>27</v>
      </c>
      <c r="E944" t="e">
        <f>VLOOKUP(Cpi_[[#This Row],[Attribute]],#REF!,2,FALSE)</f>
        <v>#REF!</v>
      </c>
      <c r="F944">
        <v>107.7</v>
      </c>
      <c r="G944">
        <f>(Cpi_[[#This Row],[Value]]-F943)/F943</f>
        <v>-3.3213644524237008E-2</v>
      </c>
      <c r="H944" t="e" cm="1" vm="1">
        <f t="array" aca="1" ref="H944" ca="1">VLOOKUP(Cpi_[[#This Row],[Year]:[Month]],crudeoil[],3,FALSE)</f>
        <v>#VALUE!</v>
      </c>
    </row>
    <row r="945" spans="1:8" hidden="1" x14ac:dyDescent="0.3">
      <c r="A945" t="s">
        <v>33</v>
      </c>
      <c r="B945">
        <v>2013</v>
      </c>
      <c r="C945" t="s">
        <v>46</v>
      </c>
      <c r="D945" t="s">
        <v>28</v>
      </c>
      <c r="E945" t="e">
        <f>VLOOKUP(Cpi_[[#This Row],[Attribute]],#REF!,2,FALSE)</f>
        <v>#REF!</v>
      </c>
      <c r="F945">
        <v>109.8</v>
      </c>
      <c r="G945">
        <f>(Cpi_[[#This Row],[Value]]-F944)/F944</f>
        <v>1.9498607242339778E-2</v>
      </c>
      <c r="H945" t="e" cm="1" vm="1">
        <f t="array" aca="1" ref="H945" ca="1">VLOOKUP(Cpi_[[#This Row],[Year]:[Month]],crudeoil[],3,FALSE)</f>
        <v>#VALUE!</v>
      </c>
    </row>
    <row r="946" spans="1:8" hidden="1" x14ac:dyDescent="0.3">
      <c r="A946" t="s">
        <v>33</v>
      </c>
      <c r="B946">
        <v>2013</v>
      </c>
      <c r="C946" t="s">
        <v>46</v>
      </c>
      <c r="D946" t="s">
        <v>29</v>
      </c>
      <c r="E946" t="e" cm="1">
        <f t="array" aca="1" ref="E946" ca="1">VLGeneral indexGeneral indexKUP(Cpi_[[#This Row],[Attribute]],#REF!,2,FALSE)</f>
        <v>#NAME?</v>
      </c>
      <c r="F946">
        <v>113.3</v>
      </c>
      <c r="G946">
        <f>(Cpi_[[#This Row],[Value]]-F945)/F945</f>
        <v>3.1876138433515486E-2</v>
      </c>
      <c r="H946" t="e" cm="1" vm="1">
        <f t="array" aca="1" ref="H946" ca="1">VLOOKUP(Cpi_[[#This Row],[Year]:[Month]],crudeoil[],3,FALSE)</f>
        <v>#VALUE!</v>
      </c>
    </row>
    <row r="947" spans="1:8" hidden="1" x14ac:dyDescent="0.3">
      <c r="A947" t="s">
        <v>34</v>
      </c>
      <c r="B947">
        <v>2013</v>
      </c>
      <c r="C947" t="s">
        <v>46</v>
      </c>
      <c r="D947" t="s">
        <v>3</v>
      </c>
      <c r="E947" t="e">
        <f>VLOOKUP(Cpi_[[#This Row],[Attribute]],#REF!,2,FALSE)</f>
        <v>#REF!</v>
      </c>
      <c r="F947">
        <v>119.1</v>
      </c>
      <c r="G947">
        <f>(Cpi_[[#This Row],[Value]]-F946)/F946</f>
        <v>5.1191526919682234E-2</v>
      </c>
      <c r="H947" t="e" cm="1" vm="1">
        <f t="array" aca="1" ref="H947" ca="1">VLOOKUP(Cpi_[[#This Row],[Year]:[Month]],crudeoil[],3,FALSE)</f>
        <v>#VALUE!</v>
      </c>
    </row>
    <row r="948" spans="1:8" hidden="1" x14ac:dyDescent="0.3">
      <c r="A948" t="s">
        <v>34</v>
      </c>
      <c r="B948">
        <v>2013</v>
      </c>
      <c r="C948" t="s">
        <v>46</v>
      </c>
      <c r="D948" t="s">
        <v>4</v>
      </c>
      <c r="E948" t="e">
        <f>VLOOKUP(Cpi_[[#This Row],[Attribute]],#REF!,2,FALSE)</f>
        <v>#REF!</v>
      </c>
      <c r="F948">
        <v>116.7</v>
      </c>
      <c r="G948">
        <f>(Cpi_[[#This Row],[Value]]-F947)/F947</f>
        <v>-2.0151133501259376E-2</v>
      </c>
      <c r="H948" t="e" cm="1" vm="1">
        <f t="array" aca="1" ref="H948" ca="1">VLOOKUP(Cpi_[[#This Row],[Year]:[Month]],crudeoil[],3,FALSE)</f>
        <v>#VALUE!</v>
      </c>
    </row>
    <row r="949" spans="1:8" hidden="1" x14ac:dyDescent="0.3">
      <c r="A949" t="s">
        <v>34</v>
      </c>
      <c r="B949">
        <v>2013</v>
      </c>
      <c r="C949" t="s">
        <v>46</v>
      </c>
      <c r="D949" t="s">
        <v>5</v>
      </c>
      <c r="E949" t="e">
        <f>VLOOKUP(Cpi_[[#This Row],[Attribute]],#REF!,2,FALSE)</f>
        <v>#REF!</v>
      </c>
      <c r="F949">
        <v>123.5</v>
      </c>
      <c r="G949">
        <f>(Cpi_[[#This Row],[Value]]-F948)/F948</f>
        <v>5.826906598114822E-2</v>
      </c>
      <c r="H949" t="e" cm="1" vm="1">
        <f t="array" aca="1" ref="H949" ca="1">VLOOKUP(Cpi_[[#This Row],[Year]:[Month]],crudeoil[],3,FALSE)</f>
        <v>#VALUE!</v>
      </c>
    </row>
    <row r="950" spans="1:8" hidden="1" x14ac:dyDescent="0.3">
      <c r="A950" t="s">
        <v>34</v>
      </c>
      <c r="B950">
        <v>2013</v>
      </c>
      <c r="C950" t="s">
        <v>46</v>
      </c>
      <c r="D950" t="s">
        <v>6</v>
      </c>
      <c r="E950" t="e">
        <f>VLOOKUP(Cpi_[[#This Row],[Attribute]],#REF!,2,FALSE)</f>
        <v>#REF!</v>
      </c>
      <c r="F950">
        <v>113.4</v>
      </c>
      <c r="G950">
        <f>(Cpi_[[#This Row],[Value]]-F949)/F949</f>
        <v>-8.1781376518218582E-2</v>
      </c>
      <c r="H950" t="e" cm="1" vm="1">
        <f t="array" aca="1" ref="H950" ca="1">VLOOKUP(Cpi_[[#This Row],[Year]:[Month]],crudeoil[],3,FALSE)</f>
        <v>#VALUE!</v>
      </c>
    </row>
    <row r="951" spans="1:8" hidden="1" x14ac:dyDescent="0.3">
      <c r="A951" t="s">
        <v>34</v>
      </c>
      <c r="B951">
        <v>2013</v>
      </c>
      <c r="C951" t="s">
        <v>46</v>
      </c>
      <c r="D951" t="s">
        <v>7</v>
      </c>
      <c r="E951" t="e">
        <f>VLOOKUP(Cpi_[[#This Row],[Attribute]],#REF!,2,FALSE)</f>
        <v>#REF!</v>
      </c>
      <c r="F951">
        <v>107.3</v>
      </c>
      <c r="G951">
        <f>(Cpi_[[#This Row],[Value]]-F950)/F950</f>
        <v>-5.3791887125220532E-2</v>
      </c>
      <c r="H951" t="e" cm="1" vm="1">
        <f t="array" aca="1" ref="H951" ca="1">VLOOKUP(Cpi_[[#This Row],[Year]:[Month]],crudeoil[],3,FALSE)</f>
        <v>#VALUE!</v>
      </c>
    </row>
    <row r="952" spans="1:8" hidden="1" x14ac:dyDescent="0.3">
      <c r="A952" t="s">
        <v>34</v>
      </c>
      <c r="B952">
        <v>2013</v>
      </c>
      <c r="C952" t="s">
        <v>46</v>
      </c>
      <c r="D952" t="s">
        <v>8</v>
      </c>
      <c r="E952" t="e">
        <f>VLOOKUP(Cpi_[[#This Row],[Attribute]],#REF!,2,FALSE)</f>
        <v>#REF!</v>
      </c>
      <c r="F952">
        <v>113.3</v>
      </c>
      <c r="G952">
        <f>(Cpi_[[#This Row],[Value]]-F951)/F951</f>
        <v>5.591798695246971E-2</v>
      </c>
      <c r="H952" t="e" cm="1" vm="1">
        <f t="array" aca="1" ref="H952" ca="1">VLOOKUP(Cpi_[[#This Row],[Year]:[Month]],crudeoil[],3,FALSE)</f>
        <v>#VALUE!</v>
      </c>
    </row>
    <row r="953" spans="1:8" hidden="1" x14ac:dyDescent="0.3">
      <c r="A953" t="s">
        <v>34</v>
      </c>
      <c r="B953">
        <v>2013</v>
      </c>
      <c r="C953" t="s">
        <v>46</v>
      </c>
      <c r="D953" t="s">
        <v>9</v>
      </c>
      <c r="E953" t="e">
        <f>VLOOKUP(Cpi_[[#This Row],[Attribute]],#REF!,2,FALSE)</f>
        <v>#REF!</v>
      </c>
      <c r="F953">
        <v>145.4</v>
      </c>
      <c r="G953">
        <f>(Cpi_[[#This Row],[Value]]-F952)/F952</f>
        <v>0.28331862312444844</v>
      </c>
      <c r="H953" t="e" cm="1" vm="1">
        <f t="array" aca="1" ref="H953" ca="1">VLOOKUP(Cpi_[[#This Row],[Year]:[Month]],crudeoil[],3,FALSE)</f>
        <v>#VALUE!</v>
      </c>
    </row>
    <row r="954" spans="1:8" hidden="1" x14ac:dyDescent="0.3">
      <c r="A954" t="s">
        <v>34</v>
      </c>
      <c r="B954">
        <v>2013</v>
      </c>
      <c r="C954" t="s">
        <v>46</v>
      </c>
      <c r="D954" t="s">
        <v>10</v>
      </c>
      <c r="E954" t="e">
        <f>VLOOKUP(Cpi_[[#This Row],[Attribute]],#REF!,2,FALSE)</f>
        <v>#REF!</v>
      </c>
      <c r="F954">
        <v>108.7</v>
      </c>
      <c r="G954">
        <f>(Cpi_[[#This Row],[Value]]-F953)/F953</f>
        <v>-0.25240715268225583</v>
      </c>
      <c r="H954" t="e" cm="1" vm="1">
        <f t="array" aca="1" ref="H954" ca="1">VLOOKUP(Cpi_[[#This Row],[Year]:[Month]],crudeoil[],3,FALSE)</f>
        <v>#VALUE!</v>
      </c>
    </row>
    <row r="955" spans="1:8" hidden="1" x14ac:dyDescent="0.3">
      <c r="A955" t="s">
        <v>34</v>
      </c>
      <c r="B955">
        <v>2013</v>
      </c>
      <c r="C955" t="s">
        <v>46</v>
      </c>
      <c r="D955" t="s">
        <v>11</v>
      </c>
      <c r="E955" t="e">
        <f>VLOOKUP(Cpi_[[#This Row],[Attribute]],#REF!,2,FALSE)</f>
        <v>#REF!</v>
      </c>
      <c r="F955">
        <v>101.5</v>
      </c>
      <c r="G955">
        <f>(Cpi_[[#This Row],[Value]]-F954)/F954</f>
        <v>-6.6237350505979786E-2</v>
      </c>
      <c r="H955" t="e" cm="1" vm="1">
        <f t="array" aca="1" ref="H955" ca="1">VLOOKUP(Cpi_[[#This Row],[Year]:[Month]],crudeoil[],3,FALSE)</f>
        <v>#VALUE!</v>
      </c>
    </row>
    <row r="956" spans="1:8" hidden="1" x14ac:dyDescent="0.3">
      <c r="A956" t="s">
        <v>34</v>
      </c>
      <c r="B956">
        <v>2013</v>
      </c>
      <c r="C956" t="s">
        <v>46</v>
      </c>
      <c r="D956" t="s">
        <v>12</v>
      </c>
      <c r="E956" t="e">
        <f>VLOOKUP(Cpi_[[#This Row],[Attribute]],#REF!,2,FALSE)</f>
        <v>#REF!</v>
      </c>
      <c r="F956">
        <v>110.5</v>
      </c>
      <c r="G956">
        <f>(Cpi_[[#This Row],[Value]]-F955)/F955</f>
        <v>8.8669950738916259E-2</v>
      </c>
      <c r="H956" t="e" cm="1" vm="1">
        <f t="array" aca="1" ref="H956" ca="1">VLOOKUP(Cpi_[[#This Row],[Year]:[Month]],crudeoil[],3,FALSE)</f>
        <v>#VALUE!</v>
      </c>
    </row>
    <row r="957" spans="1:8" hidden="1" x14ac:dyDescent="0.3">
      <c r="A957" t="s">
        <v>34</v>
      </c>
      <c r="B957">
        <v>2013</v>
      </c>
      <c r="C957" t="s">
        <v>46</v>
      </c>
      <c r="D957" t="s">
        <v>13</v>
      </c>
      <c r="E957" t="e">
        <f>VLOOKUP(Cpi_[[#This Row],[Attribute]],#REF!,2,FALSE)</f>
        <v>#REF!</v>
      </c>
      <c r="F957">
        <v>112.1</v>
      </c>
      <c r="G957">
        <f>(Cpi_[[#This Row],[Value]]-F956)/F956</f>
        <v>1.4479638009049722E-2</v>
      </c>
      <c r="H957" t="e" cm="1" vm="1">
        <f t="array" aca="1" ref="H957" ca="1">VLOOKUP(Cpi_[[#This Row],[Year]:[Month]],crudeoil[],3,FALSE)</f>
        <v>#VALUE!</v>
      </c>
    </row>
    <row r="958" spans="1:8" hidden="1" x14ac:dyDescent="0.3">
      <c r="A958" t="s">
        <v>34</v>
      </c>
      <c r="B958">
        <v>2013</v>
      </c>
      <c r="C958" t="s">
        <v>46</v>
      </c>
      <c r="D958" t="s">
        <v>14</v>
      </c>
      <c r="E958" t="e">
        <f>VLOOKUP(Cpi_[[#This Row],[Attribute]],#REF!,2,FALSE)</f>
        <v>#REF!</v>
      </c>
      <c r="F958">
        <v>117.4</v>
      </c>
      <c r="G958">
        <f>(Cpi_[[#This Row],[Value]]-F957)/F957</f>
        <v>4.7279214986619196E-2</v>
      </c>
      <c r="H958" t="e" cm="1" vm="1">
        <f t="array" aca="1" ref="H958" ca="1">VLOOKUP(Cpi_[[#This Row],[Year]:[Month]],crudeoil[],3,FALSE)</f>
        <v>#VALUE!</v>
      </c>
    </row>
    <row r="959" spans="1:8" hidden="1" x14ac:dyDescent="0.3">
      <c r="A959" t="s">
        <v>34</v>
      </c>
      <c r="B959">
        <v>2013</v>
      </c>
      <c r="C959" t="s">
        <v>46</v>
      </c>
      <c r="D959" t="s">
        <v>15</v>
      </c>
      <c r="E959" t="e">
        <f>VLOOKUP(Cpi_[[#This Row],[Attribute]],#REF!,2,FALSE)</f>
        <v>#REF!</v>
      </c>
      <c r="F959">
        <v>118.4</v>
      </c>
      <c r="G959">
        <f>(Cpi_[[#This Row],[Value]]-F958)/F958</f>
        <v>8.5178875638841564E-3</v>
      </c>
      <c r="H959" t="e" cm="1" vm="1">
        <f t="array" aca="1" ref="H959" ca="1">VLOOKUP(Cpi_[[#This Row],[Year]:[Month]],crudeoil[],3,FALSE)</f>
        <v>#VALUE!</v>
      </c>
    </row>
    <row r="960" spans="1:8" hidden="1" x14ac:dyDescent="0.3">
      <c r="A960" t="s">
        <v>34</v>
      </c>
      <c r="B960">
        <v>2013</v>
      </c>
      <c r="C960" t="s">
        <v>46</v>
      </c>
      <c r="D960" t="s">
        <v>16</v>
      </c>
      <c r="E960" t="e">
        <f>VLOOKUP(Cpi_[[#This Row],[Attribute]],#REF!,2,FALSE)</f>
        <v>#REF!</v>
      </c>
      <c r="F960">
        <v>114</v>
      </c>
      <c r="G960">
        <f>(Cpi_[[#This Row],[Value]]-F959)/F959</f>
        <v>-3.7162162162162206E-2</v>
      </c>
      <c r="H960" t="e" cm="1" vm="1">
        <f t="array" aca="1" ref="H960" ca="1">VLOOKUP(Cpi_[[#This Row],[Year]:[Month]],crudeoil[],3,FALSE)</f>
        <v>#VALUE!</v>
      </c>
    </row>
    <row r="961" spans="1:8" hidden="1" x14ac:dyDescent="0.3">
      <c r="A961" t="s">
        <v>34</v>
      </c>
      <c r="B961">
        <v>2013</v>
      </c>
      <c r="C961" t="s">
        <v>46</v>
      </c>
      <c r="D961" t="s">
        <v>17</v>
      </c>
      <c r="E961" t="e">
        <f>VLOOKUP(Cpi_[[#This Row],[Attribute]],#REF!,2,FALSE)</f>
        <v>#REF!</v>
      </c>
      <c r="F961">
        <v>115.2</v>
      </c>
      <c r="G961">
        <f>(Cpi_[[#This Row],[Value]]-F960)/F960</f>
        <v>1.052631578947371E-2</v>
      </c>
      <c r="H961" t="e" cm="1" vm="1">
        <f t="array" aca="1" ref="H961" ca="1">VLOOKUP(Cpi_[[#This Row],[Year]:[Month]],crudeoil[],3,FALSE)</f>
        <v>#VALUE!</v>
      </c>
    </row>
    <row r="962" spans="1:8" hidden="1" x14ac:dyDescent="0.3">
      <c r="A962" t="s">
        <v>34</v>
      </c>
      <c r="B962">
        <v>2013</v>
      </c>
      <c r="C962" t="s">
        <v>46</v>
      </c>
      <c r="D962" t="s">
        <v>18</v>
      </c>
      <c r="E962" t="e">
        <f>VLOOKUP(Cpi_[[#This Row],[Attribute]],#REF!,2,FALSE)</f>
        <v>#REF!</v>
      </c>
      <c r="F962">
        <v>112.7</v>
      </c>
      <c r="G962">
        <f>(Cpi_[[#This Row],[Value]]-F961)/F961</f>
        <v>-2.1701388888888888E-2</v>
      </c>
      <c r="H962" t="e" cm="1" vm="1">
        <f t="array" aca="1" ref="H962" ca="1">VLOOKUP(Cpi_[[#This Row],[Year]:[Month]],crudeoil[],3,FALSE)</f>
        <v>#VALUE!</v>
      </c>
    </row>
    <row r="963" spans="1:8" hidden="1" x14ac:dyDescent="0.3">
      <c r="A963" t="s">
        <v>34</v>
      </c>
      <c r="B963">
        <v>2013</v>
      </c>
      <c r="C963" t="s">
        <v>46</v>
      </c>
      <c r="D963" t="s">
        <v>19</v>
      </c>
      <c r="E963" t="e">
        <f>VLOOKUP(Cpi_[[#This Row],[Attribute]],#REF!,2,FALSE)</f>
        <v>#REF!</v>
      </c>
      <c r="F963">
        <v>114.8</v>
      </c>
      <c r="G963">
        <f>(Cpi_[[#This Row],[Value]]-F962)/F962</f>
        <v>1.8633540372670756E-2</v>
      </c>
      <c r="H963" t="e" cm="1" vm="1">
        <f t="array" aca="1" ref="H963" ca="1">VLOOKUP(Cpi_[[#This Row],[Year]:[Month]],crudeoil[],3,FALSE)</f>
        <v>#VALUE!</v>
      </c>
    </row>
    <row r="964" spans="1:8" hidden="1" x14ac:dyDescent="0.3">
      <c r="A964" t="s">
        <v>34</v>
      </c>
      <c r="B964">
        <v>2013</v>
      </c>
      <c r="C964" t="s">
        <v>46</v>
      </c>
      <c r="D964" t="s">
        <v>20</v>
      </c>
      <c r="E964" t="e">
        <f>VLOOKUP(Cpi_[[#This Row],[Attribute]],#REF!,2,FALSE)</f>
        <v>#REF!</v>
      </c>
      <c r="F964">
        <v>110.7</v>
      </c>
      <c r="G964">
        <f>(Cpi_[[#This Row],[Value]]-F963)/F963</f>
        <v>-3.5714285714285664E-2</v>
      </c>
      <c r="H964" t="e" cm="1" vm="1">
        <f t="array" aca="1" ref="H964" ca="1">VLOOKUP(Cpi_[[#This Row],[Year]:[Month]],crudeoil[],3,FALSE)</f>
        <v>#VALUE!</v>
      </c>
    </row>
    <row r="965" spans="1:8" hidden="1" x14ac:dyDescent="0.3">
      <c r="A965" t="s">
        <v>34</v>
      </c>
      <c r="B965">
        <v>2013</v>
      </c>
      <c r="C965" t="s">
        <v>46</v>
      </c>
      <c r="D965" t="s">
        <v>21</v>
      </c>
      <c r="E965" t="e">
        <f>VLOOKUP(Cpi_[[#This Row],[Attribute]],#REF!,2,FALSE)</f>
        <v>#REF!</v>
      </c>
      <c r="F965">
        <v>111.9</v>
      </c>
      <c r="G965">
        <f>(Cpi_[[#This Row],[Value]]-F964)/F964</f>
        <v>1.0840108401084037E-2</v>
      </c>
      <c r="H965" t="e" cm="1" vm="1">
        <f t="array" aca="1" ref="H965" ca="1">VLOOKUP(Cpi_[[#This Row],[Year]:[Month]],crudeoil[],3,FALSE)</f>
        <v>#VALUE!</v>
      </c>
    </row>
    <row r="966" spans="1:8" hidden="1" x14ac:dyDescent="0.3">
      <c r="A966" t="s">
        <v>34</v>
      </c>
      <c r="B966">
        <v>2013</v>
      </c>
      <c r="C966" t="s">
        <v>46</v>
      </c>
      <c r="D966" t="s">
        <v>22</v>
      </c>
      <c r="E966" t="e">
        <f>VLOOKUP(Cpi_[[#This Row],[Attribute]],#REF!,2,FALSE)</f>
        <v>#REF!</v>
      </c>
      <c r="F966">
        <v>111.7</v>
      </c>
      <c r="G966">
        <f>(Cpi_[[#This Row],[Value]]-F965)/F965</f>
        <v>-1.7873100983020807E-3</v>
      </c>
      <c r="H966" t="e" cm="1" vm="1">
        <f t="array" aca="1" ref="H966" ca="1">VLOOKUP(Cpi_[[#This Row],[Year]:[Month]],crudeoil[],3,FALSE)</f>
        <v>#VALUE!</v>
      </c>
    </row>
    <row r="967" spans="1:8" hidden="1" x14ac:dyDescent="0.3">
      <c r="A967" t="s">
        <v>34</v>
      </c>
      <c r="B967">
        <v>2013</v>
      </c>
      <c r="C967" t="s">
        <v>46</v>
      </c>
      <c r="D967" t="s">
        <v>23</v>
      </c>
      <c r="E967" t="e">
        <f>VLOOKUP(Cpi_[[#This Row],[Attribute]],#REF!,2,FALSE)</f>
        <v>#REF!</v>
      </c>
      <c r="F967">
        <v>109.7</v>
      </c>
      <c r="G967">
        <f>(Cpi_[[#This Row],[Value]]-F966)/F966</f>
        <v>-1.7905102954341987E-2</v>
      </c>
      <c r="H967" t="e" cm="1" vm="1">
        <f t="array" aca="1" ref="H967" ca="1">VLOOKUP(Cpi_[[#This Row],[Year]:[Month]],crudeoil[],3,FALSE)</f>
        <v>#VALUE!</v>
      </c>
    </row>
    <row r="968" spans="1:8" hidden="1" x14ac:dyDescent="0.3">
      <c r="A968" t="s">
        <v>34</v>
      </c>
      <c r="B968">
        <v>2013</v>
      </c>
      <c r="C968" t="s">
        <v>46</v>
      </c>
      <c r="D968" t="s">
        <v>24</v>
      </c>
      <c r="E968" t="e">
        <f>VLOOKUP(Cpi_[[#This Row],[Attribute]],#REF!,2,FALSE)</f>
        <v>#REF!</v>
      </c>
      <c r="F968">
        <v>109.8</v>
      </c>
      <c r="G968">
        <f>(Cpi_[[#This Row],[Value]]-F967)/F967</f>
        <v>9.1157702825883603E-4</v>
      </c>
      <c r="H968" t="e" cm="1" vm="1">
        <f t="array" aca="1" ref="H968" ca="1">VLOOKUP(Cpi_[[#This Row],[Year]:[Month]],crudeoil[],3,FALSE)</f>
        <v>#VALUE!</v>
      </c>
    </row>
    <row r="969" spans="1:8" hidden="1" x14ac:dyDescent="0.3">
      <c r="A969" t="s">
        <v>34</v>
      </c>
      <c r="B969">
        <v>2013</v>
      </c>
      <c r="C969" t="s">
        <v>46</v>
      </c>
      <c r="D969" t="s">
        <v>25</v>
      </c>
      <c r="E969" t="e">
        <f>VLOOKUP(Cpi_[[#This Row],[Attribute]],#REF!,2,FALSE)</f>
        <v>#REF!</v>
      </c>
      <c r="F969">
        <v>109</v>
      </c>
      <c r="G969">
        <f>(Cpi_[[#This Row],[Value]]-F968)/F968</f>
        <v>-7.2859744990892272E-3</v>
      </c>
      <c r="H969" t="e" cm="1" vm="1">
        <f t="array" aca="1" ref="H969" ca="1">VLOOKUP(Cpi_[[#This Row],[Year]:[Month]],crudeoil[],3,FALSE)</f>
        <v>#VALUE!</v>
      </c>
    </row>
    <row r="970" spans="1:8" hidden="1" x14ac:dyDescent="0.3">
      <c r="A970" t="s">
        <v>34</v>
      </c>
      <c r="B970">
        <v>2013</v>
      </c>
      <c r="C970" t="s">
        <v>46</v>
      </c>
      <c r="D970" t="s">
        <v>26</v>
      </c>
      <c r="E970" t="e">
        <f>VLOOKUP(Cpi_[[#This Row],[Attribute]],#REF!,2,FALSE)</f>
        <v>#REF!</v>
      </c>
      <c r="F970">
        <v>111.5</v>
      </c>
      <c r="G970">
        <f>(Cpi_[[#This Row],[Value]]-F969)/F969</f>
        <v>2.2935779816513763E-2</v>
      </c>
      <c r="H970" t="e" cm="1" vm="1">
        <f t="array" aca="1" ref="H970" ca="1">VLOOKUP(Cpi_[[#This Row],[Year]:[Month]],crudeoil[],3,FALSE)</f>
        <v>#VALUE!</v>
      </c>
    </row>
    <row r="971" spans="1:8" hidden="1" x14ac:dyDescent="0.3">
      <c r="A971" t="s">
        <v>34</v>
      </c>
      <c r="B971">
        <v>2013</v>
      </c>
      <c r="C971" t="s">
        <v>46</v>
      </c>
      <c r="D971" t="s">
        <v>27</v>
      </c>
      <c r="E971" t="e">
        <f>VLOOKUP(Cpi_[[#This Row],[Attribute]],#REF!,2,FALSE)</f>
        <v>#REF!</v>
      </c>
      <c r="F971">
        <v>107.9</v>
      </c>
      <c r="G971">
        <f>(Cpi_[[#This Row],[Value]]-F970)/F970</f>
        <v>-3.2286995515695013E-2</v>
      </c>
      <c r="H971" t="e" cm="1" vm="1">
        <f t="array" aca="1" ref="H971" ca="1">VLOOKUP(Cpi_[[#This Row],[Year]:[Month]],crudeoil[],3,FALSE)</f>
        <v>#VALUE!</v>
      </c>
    </row>
    <row r="972" spans="1:8" hidden="1" x14ac:dyDescent="0.3">
      <c r="A972" t="s">
        <v>34</v>
      </c>
      <c r="B972">
        <v>2013</v>
      </c>
      <c r="C972" t="s">
        <v>46</v>
      </c>
      <c r="D972" t="s">
        <v>28</v>
      </c>
      <c r="E972" t="e">
        <f>VLOOKUP(Cpi_[[#This Row],[Attribute]],#REF!,2,FALSE)</f>
        <v>#REF!</v>
      </c>
      <c r="F972">
        <v>110</v>
      </c>
      <c r="G972">
        <f>(Cpi_[[#This Row],[Value]]-F971)/F971</f>
        <v>1.9462465245597721E-2</v>
      </c>
      <c r="H972" t="e" cm="1" vm="1">
        <f t="array" aca="1" ref="H972" ca="1">VLOOKUP(Cpi_[[#This Row],[Year]:[Month]],crudeoil[],3,FALSE)</f>
        <v>#VALUE!</v>
      </c>
    </row>
    <row r="973" spans="1:8" hidden="1" x14ac:dyDescent="0.3">
      <c r="A973" t="s">
        <v>34</v>
      </c>
      <c r="B973">
        <v>2013</v>
      </c>
      <c r="C973" t="s">
        <v>46</v>
      </c>
      <c r="D973" t="s">
        <v>29</v>
      </c>
      <c r="E973" t="e" cm="1">
        <f t="array" aca="1" ref="E973" ca="1">VLGeneral indexGeneral indexKUP(Cpi_[[#This Row],[Attribute]],#REF!,2,FALSE)</f>
        <v>#NAME?</v>
      </c>
      <c r="F973">
        <v>114.5</v>
      </c>
      <c r="G973">
        <f>(Cpi_[[#This Row],[Value]]-F972)/F972</f>
        <v>4.0909090909090909E-2</v>
      </c>
      <c r="H973" t="e" cm="1" vm="1">
        <f t="array" aca="1" ref="H973" ca="1">VLOOKUP(Cpi_[[#This Row],[Year]:[Month]],crudeoil[],3,FALSE)</f>
        <v>#VALUE!</v>
      </c>
    </row>
    <row r="974" spans="1:8" hidden="1" x14ac:dyDescent="0.3">
      <c r="A974" t="s">
        <v>30</v>
      </c>
      <c r="B974">
        <v>2014</v>
      </c>
      <c r="C974" t="s">
        <v>31</v>
      </c>
      <c r="D974" t="s">
        <v>3</v>
      </c>
      <c r="E974" t="e">
        <f>VLOOKUP(Cpi_[[#This Row],[Attribute]],#REF!,2,FALSE)</f>
        <v>#REF!</v>
      </c>
      <c r="F974">
        <v>118.9</v>
      </c>
      <c r="G974">
        <f>(Cpi_[[#This Row],[Value]]-F973)/F973</f>
        <v>3.8427947598253326E-2</v>
      </c>
      <c r="H974" t="e" cm="1" vm="1">
        <f t="array" aca="1" ref="H974" ca="1">VLOOKUP(Cpi_[[#This Row],[Year]:[Month]],crudeoil[],3,FALSE)</f>
        <v>#VALUE!</v>
      </c>
    </row>
    <row r="975" spans="1:8" hidden="1" x14ac:dyDescent="0.3">
      <c r="A975" t="s">
        <v>30</v>
      </c>
      <c r="B975">
        <v>2014</v>
      </c>
      <c r="C975" t="s">
        <v>31</v>
      </c>
      <c r="D975" t="s">
        <v>4</v>
      </c>
      <c r="E975" t="e">
        <f>VLOOKUP(Cpi_[[#This Row],[Attribute]],#REF!,2,FALSE)</f>
        <v>#REF!</v>
      </c>
      <c r="F975">
        <v>117.1</v>
      </c>
      <c r="G975">
        <f>(Cpi_[[#This Row],[Value]]-F974)/F974</f>
        <v>-1.5138772077376041E-2</v>
      </c>
      <c r="H975" t="e" cm="1" vm="1">
        <f t="array" aca="1" ref="H975" ca="1">VLOOKUP(Cpi_[[#This Row],[Year]:[Month]],crudeoil[],3,FALSE)</f>
        <v>#VALUE!</v>
      </c>
    </row>
    <row r="976" spans="1:8" hidden="1" x14ac:dyDescent="0.3">
      <c r="A976" t="s">
        <v>30</v>
      </c>
      <c r="B976">
        <v>2014</v>
      </c>
      <c r="C976" t="s">
        <v>31</v>
      </c>
      <c r="D976" t="s">
        <v>5</v>
      </c>
      <c r="E976" t="e">
        <f>VLOOKUP(Cpi_[[#This Row],[Attribute]],#REF!,2,FALSE)</f>
        <v>#REF!</v>
      </c>
      <c r="F976">
        <v>120.5</v>
      </c>
      <c r="G976">
        <f>(Cpi_[[#This Row],[Value]]-F975)/F975</f>
        <v>2.9035012809564525E-2</v>
      </c>
      <c r="H976" t="e" cm="1" vm="1">
        <f t="array" aca="1" ref="H976" ca="1">VLOOKUP(Cpi_[[#This Row],[Year]:[Month]],crudeoil[],3,FALSE)</f>
        <v>#VALUE!</v>
      </c>
    </row>
    <row r="977" spans="1:8" hidden="1" x14ac:dyDescent="0.3">
      <c r="A977" t="s">
        <v>30</v>
      </c>
      <c r="B977">
        <v>2014</v>
      </c>
      <c r="C977" t="s">
        <v>31</v>
      </c>
      <c r="D977" t="s">
        <v>6</v>
      </c>
      <c r="E977" t="e">
        <f>VLOOKUP(Cpi_[[#This Row],[Attribute]],#REF!,2,FALSE)</f>
        <v>#REF!</v>
      </c>
      <c r="F977">
        <v>114.4</v>
      </c>
      <c r="G977">
        <f>(Cpi_[[#This Row],[Value]]-F976)/F976</f>
        <v>-5.0622406639004101E-2</v>
      </c>
      <c r="H977" t="e" cm="1" vm="1">
        <f t="array" aca="1" ref="H977" ca="1">VLOOKUP(Cpi_[[#This Row],[Year]:[Month]],crudeoil[],3,FALSE)</f>
        <v>#VALUE!</v>
      </c>
    </row>
    <row r="978" spans="1:8" hidden="1" x14ac:dyDescent="0.3">
      <c r="A978" t="s">
        <v>30</v>
      </c>
      <c r="B978">
        <v>2014</v>
      </c>
      <c r="C978" t="s">
        <v>31</v>
      </c>
      <c r="D978" t="s">
        <v>7</v>
      </c>
      <c r="E978" t="e">
        <f>VLOOKUP(Cpi_[[#This Row],[Attribute]],#REF!,2,FALSE)</f>
        <v>#REF!</v>
      </c>
      <c r="F978">
        <v>109</v>
      </c>
      <c r="G978">
        <f>(Cpi_[[#This Row],[Value]]-F977)/F977</f>
        <v>-4.7202797202797249E-2</v>
      </c>
      <c r="H978" t="e" cm="1" vm="1">
        <f t="array" aca="1" ref="H978" ca="1">VLOOKUP(Cpi_[[#This Row],[Year]:[Month]],crudeoil[],3,FALSE)</f>
        <v>#VALUE!</v>
      </c>
    </row>
    <row r="979" spans="1:8" hidden="1" x14ac:dyDescent="0.3">
      <c r="A979" t="s">
        <v>30</v>
      </c>
      <c r="B979">
        <v>2014</v>
      </c>
      <c r="C979" t="s">
        <v>31</v>
      </c>
      <c r="D979" t="s">
        <v>8</v>
      </c>
      <c r="E979" t="e">
        <f>VLOOKUP(Cpi_[[#This Row],[Attribute]],#REF!,2,FALSE)</f>
        <v>#REF!</v>
      </c>
      <c r="F979">
        <v>115.5</v>
      </c>
      <c r="G979">
        <f>(Cpi_[[#This Row],[Value]]-F978)/F978</f>
        <v>5.9633027522935783E-2</v>
      </c>
      <c r="H979" t="e" cm="1" vm="1">
        <f t="array" aca="1" ref="H979" ca="1">VLOOKUP(Cpi_[[#This Row],[Year]:[Month]],crudeoil[],3,FALSE)</f>
        <v>#VALUE!</v>
      </c>
    </row>
    <row r="980" spans="1:8" hidden="1" x14ac:dyDescent="0.3">
      <c r="A980" t="s">
        <v>30</v>
      </c>
      <c r="B980">
        <v>2014</v>
      </c>
      <c r="C980" t="s">
        <v>31</v>
      </c>
      <c r="D980" t="s">
        <v>9</v>
      </c>
      <c r="E980" t="e">
        <f>VLOOKUP(Cpi_[[#This Row],[Attribute]],#REF!,2,FALSE)</f>
        <v>#REF!</v>
      </c>
      <c r="F980">
        <v>123.9</v>
      </c>
      <c r="G980">
        <f>(Cpi_[[#This Row],[Value]]-F979)/F979</f>
        <v>7.2727272727272779E-2</v>
      </c>
      <c r="H980" t="e" cm="1" vm="1">
        <f t="array" aca="1" ref="H980" ca="1">VLOOKUP(Cpi_[[#This Row],[Year]:[Month]],crudeoil[],3,FALSE)</f>
        <v>#VALUE!</v>
      </c>
    </row>
    <row r="981" spans="1:8" hidden="1" x14ac:dyDescent="0.3">
      <c r="A981" t="s">
        <v>30</v>
      </c>
      <c r="B981">
        <v>2014</v>
      </c>
      <c r="C981" t="s">
        <v>31</v>
      </c>
      <c r="D981" t="s">
        <v>10</v>
      </c>
      <c r="E981" t="e">
        <f>VLOOKUP(Cpi_[[#This Row],[Attribute]],#REF!,2,FALSE)</f>
        <v>#REF!</v>
      </c>
      <c r="F981">
        <v>109.6</v>
      </c>
      <c r="G981">
        <f>(Cpi_[[#This Row],[Value]]-F980)/F980</f>
        <v>-0.11541565778853922</v>
      </c>
      <c r="H981" t="e" cm="1" vm="1">
        <f t="array" aca="1" ref="H981" ca="1">VLOOKUP(Cpi_[[#This Row],[Year]:[Month]],crudeoil[],3,FALSE)</f>
        <v>#VALUE!</v>
      </c>
    </row>
    <row r="982" spans="1:8" hidden="1" x14ac:dyDescent="0.3">
      <c r="A982" t="s">
        <v>30</v>
      </c>
      <c r="B982">
        <v>2014</v>
      </c>
      <c r="C982" t="s">
        <v>31</v>
      </c>
      <c r="D982" t="s">
        <v>11</v>
      </c>
      <c r="E982" t="e">
        <f>VLOOKUP(Cpi_[[#This Row],[Attribute]],#REF!,2,FALSE)</f>
        <v>#REF!</v>
      </c>
      <c r="F982">
        <v>101.8</v>
      </c>
      <c r="G982">
        <f>(Cpi_[[#This Row],[Value]]-F981)/F981</f>
        <v>-7.1167883211678815E-2</v>
      </c>
      <c r="H982" t="e" cm="1" vm="1">
        <f t="array" aca="1" ref="H982" ca="1">VLOOKUP(Cpi_[[#This Row],[Year]:[Month]],crudeoil[],3,FALSE)</f>
        <v>#VALUE!</v>
      </c>
    </row>
    <row r="983" spans="1:8" hidden="1" x14ac:dyDescent="0.3">
      <c r="A983" t="s">
        <v>30</v>
      </c>
      <c r="B983">
        <v>2014</v>
      </c>
      <c r="C983" t="s">
        <v>31</v>
      </c>
      <c r="D983" t="s">
        <v>12</v>
      </c>
      <c r="E983" t="e">
        <f>VLOOKUP(Cpi_[[#This Row],[Attribute]],#REF!,2,FALSE)</f>
        <v>#REF!</v>
      </c>
      <c r="F983">
        <v>110.2</v>
      </c>
      <c r="G983">
        <f>(Cpi_[[#This Row],[Value]]-F982)/F982</f>
        <v>8.2514734774066859E-2</v>
      </c>
      <c r="H983" t="e" cm="1" vm="1">
        <f t="array" aca="1" ref="H983" ca="1">VLOOKUP(Cpi_[[#This Row],[Year]:[Month]],crudeoil[],3,FALSE)</f>
        <v>#VALUE!</v>
      </c>
    </row>
    <row r="984" spans="1:8" hidden="1" x14ac:dyDescent="0.3">
      <c r="A984" t="s">
        <v>30</v>
      </c>
      <c r="B984">
        <v>2014</v>
      </c>
      <c r="C984" t="s">
        <v>31</v>
      </c>
      <c r="D984" t="s">
        <v>13</v>
      </c>
      <c r="E984" t="e">
        <f>VLOOKUP(Cpi_[[#This Row],[Attribute]],#REF!,2,FALSE)</f>
        <v>#REF!</v>
      </c>
      <c r="F984">
        <v>112.4</v>
      </c>
      <c r="G984">
        <f>(Cpi_[[#This Row],[Value]]-F983)/F983</f>
        <v>1.9963702359346667E-2</v>
      </c>
      <c r="H984" t="e" cm="1" vm="1">
        <f t="array" aca="1" ref="H984" ca="1">VLOOKUP(Cpi_[[#This Row],[Year]:[Month]],crudeoil[],3,FALSE)</f>
        <v>#VALUE!</v>
      </c>
    </row>
    <row r="985" spans="1:8" hidden="1" x14ac:dyDescent="0.3">
      <c r="A985" t="s">
        <v>30</v>
      </c>
      <c r="B985">
        <v>2014</v>
      </c>
      <c r="C985" t="s">
        <v>31</v>
      </c>
      <c r="D985" t="s">
        <v>14</v>
      </c>
      <c r="E985" t="e">
        <f>VLOOKUP(Cpi_[[#This Row],[Attribute]],#REF!,2,FALSE)</f>
        <v>#REF!</v>
      </c>
      <c r="F985">
        <v>117.3</v>
      </c>
      <c r="G985">
        <f>(Cpi_[[#This Row],[Value]]-F984)/F984</f>
        <v>4.3594306049821986E-2</v>
      </c>
      <c r="H985" t="e" cm="1" vm="1">
        <f t="array" aca="1" ref="H985" ca="1">VLOOKUP(Cpi_[[#This Row],[Year]:[Month]],crudeoil[],3,FALSE)</f>
        <v>#VALUE!</v>
      </c>
    </row>
    <row r="986" spans="1:8" hidden="1" x14ac:dyDescent="0.3">
      <c r="A986" t="s">
        <v>30</v>
      </c>
      <c r="B986">
        <v>2014</v>
      </c>
      <c r="C986" t="s">
        <v>31</v>
      </c>
      <c r="D986" t="s">
        <v>15</v>
      </c>
      <c r="E986" t="e">
        <f>VLOOKUP(Cpi_[[#This Row],[Attribute]],#REF!,2,FALSE)</f>
        <v>#REF!</v>
      </c>
      <c r="F986">
        <v>116</v>
      </c>
      <c r="G986">
        <f>(Cpi_[[#This Row],[Value]]-F985)/F985</f>
        <v>-1.1082693947144052E-2</v>
      </c>
      <c r="H986" t="e" cm="1" vm="1">
        <f t="array" aca="1" ref="H986" ca="1">VLOOKUP(Cpi_[[#This Row],[Year]:[Month]],crudeoil[],3,FALSE)</f>
        <v>#VALUE!</v>
      </c>
    </row>
    <row r="987" spans="1:8" hidden="1" x14ac:dyDescent="0.3">
      <c r="A987" t="s">
        <v>30</v>
      </c>
      <c r="B987">
        <v>2014</v>
      </c>
      <c r="C987" t="s">
        <v>31</v>
      </c>
      <c r="D987" t="s">
        <v>16</v>
      </c>
      <c r="E987" t="e">
        <f>VLOOKUP(Cpi_[[#This Row],[Attribute]],#REF!,2,FALSE)</f>
        <v>#REF!</v>
      </c>
      <c r="F987">
        <v>114</v>
      </c>
      <c r="G987">
        <f>(Cpi_[[#This Row],[Value]]-F986)/F986</f>
        <v>-1.7241379310344827E-2</v>
      </c>
      <c r="H987" t="e" cm="1" vm="1">
        <f t="array" aca="1" ref="H987" ca="1">VLOOKUP(Cpi_[[#This Row],[Year]:[Month]],crudeoil[],3,FALSE)</f>
        <v>#VALUE!</v>
      </c>
    </row>
    <row r="988" spans="1:8" hidden="1" x14ac:dyDescent="0.3">
      <c r="A988" t="s">
        <v>30</v>
      </c>
      <c r="B988">
        <v>2014</v>
      </c>
      <c r="C988" t="s">
        <v>31</v>
      </c>
      <c r="D988" t="s">
        <v>17</v>
      </c>
      <c r="E988" t="e">
        <f>VLOOKUP(Cpi_[[#This Row],[Attribute]],#REF!,2,FALSE)</f>
        <v>#REF!</v>
      </c>
      <c r="F988">
        <v>116.5</v>
      </c>
      <c r="G988">
        <f>(Cpi_[[#This Row],[Value]]-F987)/F987</f>
        <v>2.1929824561403508E-2</v>
      </c>
      <c r="H988" t="e" cm="1" vm="1">
        <f t="array" aca="1" ref="H988" ca="1">VLOOKUP(Cpi_[[#This Row],[Year]:[Month]],crudeoil[],3,FALSE)</f>
        <v>#VALUE!</v>
      </c>
    </row>
    <row r="989" spans="1:8" hidden="1" x14ac:dyDescent="0.3">
      <c r="A989" t="s">
        <v>30</v>
      </c>
      <c r="B989">
        <v>2014</v>
      </c>
      <c r="C989" t="s">
        <v>31</v>
      </c>
      <c r="D989" t="s">
        <v>18</v>
      </c>
      <c r="E989" t="e">
        <f>VLOOKUP(Cpi_[[#This Row],[Attribute]],#REF!,2,FALSE)</f>
        <v>#REF!</v>
      </c>
      <c r="F989">
        <v>114.5</v>
      </c>
      <c r="G989">
        <f>(Cpi_[[#This Row],[Value]]-F988)/F988</f>
        <v>-1.7167381974248927E-2</v>
      </c>
      <c r="H989" t="e" cm="1" vm="1">
        <f t="array" aca="1" ref="H989" ca="1">VLOOKUP(Cpi_[[#This Row],[Year]:[Month]],crudeoil[],3,FALSE)</f>
        <v>#VALUE!</v>
      </c>
    </row>
    <row r="990" spans="1:8" hidden="1" x14ac:dyDescent="0.3">
      <c r="A990" t="s">
        <v>30</v>
      </c>
      <c r="B990">
        <v>2014</v>
      </c>
      <c r="C990" t="s">
        <v>31</v>
      </c>
      <c r="D990" t="s">
        <v>19</v>
      </c>
      <c r="E990" t="e">
        <f>VLOOKUP(Cpi_[[#This Row],[Attribute]],#REF!,2,FALSE)</f>
        <v>#REF!</v>
      </c>
      <c r="F990">
        <v>116.2</v>
      </c>
      <c r="G990">
        <f>(Cpi_[[#This Row],[Value]]-F989)/F989</f>
        <v>1.4847161572052427E-2</v>
      </c>
      <c r="H990" t="e" cm="1" vm="1">
        <f t="array" aca="1" ref="H990" ca="1">VLOOKUP(Cpi_[[#This Row],[Year]:[Month]],crudeoil[],3,FALSE)</f>
        <v>#VALUE!</v>
      </c>
    </row>
    <row r="991" spans="1:8" hidden="1" x14ac:dyDescent="0.3">
      <c r="A991" t="s">
        <v>30</v>
      </c>
      <c r="B991">
        <v>2014</v>
      </c>
      <c r="C991" t="s">
        <v>31</v>
      </c>
      <c r="D991" t="s">
        <v>20</v>
      </c>
      <c r="E991" t="e">
        <f>VLOOKUP(Cpi_[[#This Row],[Attribute]],#REF!,2,FALSE)</f>
        <v>#REF!</v>
      </c>
      <c r="F991" t="s">
        <v>32</v>
      </c>
      <c r="G991" t="e">
        <f>(Cpi_[[#This Row],[Value]]-F990)/F990</f>
        <v>#VALUE!</v>
      </c>
      <c r="H991" t="e" cm="1" vm="1">
        <f t="array" aca="1" ref="H991" ca="1">VLOOKUP(Cpi_[[#This Row],[Year]:[Month]],crudeoil[],3,FALSE)</f>
        <v>#VALUE!</v>
      </c>
    </row>
    <row r="992" spans="1:8" hidden="1" x14ac:dyDescent="0.3">
      <c r="A992" t="s">
        <v>30</v>
      </c>
      <c r="B992">
        <v>2014</v>
      </c>
      <c r="C992" t="s">
        <v>31</v>
      </c>
      <c r="D992" t="s">
        <v>21</v>
      </c>
      <c r="E992" t="e">
        <f>VLOOKUP(Cpi_[[#This Row],[Attribute]],#REF!,2,FALSE)</f>
        <v>#REF!</v>
      </c>
      <c r="F992">
        <v>113</v>
      </c>
      <c r="G992" t="e">
        <f>(Cpi_[[#This Row],[Value]]-F991)/F991</f>
        <v>#VALUE!</v>
      </c>
      <c r="H992" t="e" cm="1" vm="1">
        <f t="array" aca="1" ref="H992" ca="1">VLOOKUP(Cpi_[[#This Row],[Year]:[Month]],crudeoil[],3,FALSE)</f>
        <v>#VALUE!</v>
      </c>
    </row>
    <row r="993" spans="1:8" hidden="1" x14ac:dyDescent="0.3">
      <c r="A993" t="s">
        <v>30</v>
      </c>
      <c r="B993">
        <v>2014</v>
      </c>
      <c r="C993" t="s">
        <v>31</v>
      </c>
      <c r="D993" t="s">
        <v>22</v>
      </c>
      <c r="E993" t="e">
        <f>VLOOKUP(Cpi_[[#This Row],[Attribute]],#REF!,2,FALSE)</f>
        <v>#REF!</v>
      </c>
      <c r="F993">
        <v>112.6</v>
      </c>
      <c r="G993">
        <f>(Cpi_[[#This Row],[Value]]-F992)/F992</f>
        <v>-3.5398230088496078E-3</v>
      </c>
      <c r="H993" t="e" cm="1" vm="1">
        <f t="array" aca="1" ref="H993" ca="1">VLOOKUP(Cpi_[[#This Row],[Year]:[Month]],crudeoil[],3,FALSE)</f>
        <v>#VALUE!</v>
      </c>
    </row>
    <row r="994" spans="1:8" hidden="1" x14ac:dyDescent="0.3">
      <c r="A994" t="s">
        <v>30</v>
      </c>
      <c r="B994">
        <v>2014</v>
      </c>
      <c r="C994" t="s">
        <v>31</v>
      </c>
      <c r="D994" t="s">
        <v>23</v>
      </c>
      <c r="E994" t="e">
        <f>VLOOKUP(Cpi_[[#This Row],[Attribute]],#REF!,2,FALSE)</f>
        <v>#REF!</v>
      </c>
      <c r="F994">
        <v>110.6</v>
      </c>
      <c r="G994">
        <f>(Cpi_[[#This Row],[Value]]-F993)/F993</f>
        <v>-1.7761989342806397E-2</v>
      </c>
      <c r="H994" t="e" cm="1" vm="1">
        <f t="array" aca="1" ref="H994" ca="1">VLOOKUP(Cpi_[[#This Row],[Year]:[Month]],crudeoil[],3,FALSE)</f>
        <v>#VALUE!</v>
      </c>
    </row>
    <row r="995" spans="1:8" hidden="1" x14ac:dyDescent="0.3">
      <c r="A995" t="s">
        <v>30</v>
      </c>
      <c r="B995">
        <v>2014</v>
      </c>
      <c r="C995" t="s">
        <v>31</v>
      </c>
      <c r="D995" t="s">
        <v>24</v>
      </c>
      <c r="E995" t="e">
        <f>VLOOKUP(Cpi_[[#This Row],[Attribute]],#REF!,2,FALSE)</f>
        <v>#REF!</v>
      </c>
      <c r="F995">
        <v>110.5</v>
      </c>
      <c r="G995">
        <f>(Cpi_[[#This Row],[Value]]-F994)/F994</f>
        <v>-9.0415913200718196E-4</v>
      </c>
      <c r="H995" t="e" cm="1" vm="1">
        <f t="array" aca="1" ref="H995" ca="1">VLOOKUP(Cpi_[[#This Row],[Year]:[Month]],crudeoil[],3,FALSE)</f>
        <v>#VALUE!</v>
      </c>
    </row>
    <row r="996" spans="1:8" hidden="1" x14ac:dyDescent="0.3">
      <c r="A996" t="s">
        <v>30</v>
      </c>
      <c r="B996">
        <v>2014</v>
      </c>
      <c r="C996" t="s">
        <v>31</v>
      </c>
      <c r="D996" t="s">
        <v>25</v>
      </c>
      <c r="E996" t="e">
        <f>VLOOKUP(Cpi_[[#This Row],[Attribute]],#REF!,2,FALSE)</f>
        <v>#REF!</v>
      </c>
      <c r="F996">
        <v>109.6</v>
      </c>
      <c r="G996">
        <f>(Cpi_[[#This Row],[Value]]-F995)/F995</f>
        <v>-8.1447963800905486E-3</v>
      </c>
      <c r="H996" t="e" cm="1" vm="1">
        <f t="array" aca="1" ref="H996" ca="1">VLOOKUP(Cpi_[[#This Row],[Year]:[Month]],crudeoil[],3,FALSE)</f>
        <v>#VALUE!</v>
      </c>
    </row>
    <row r="997" spans="1:8" hidden="1" x14ac:dyDescent="0.3">
      <c r="A997" t="s">
        <v>30</v>
      </c>
      <c r="B997">
        <v>2014</v>
      </c>
      <c r="C997" t="s">
        <v>31</v>
      </c>
      <c r="D997" t="s">
        <v>26</v>
      </c>
      <c r="E997" t="e">
        <f>VLOOKUP(Cpi_[[#This Row],[Attribute]],#REF!,2,FALSE)</f>
        <v>#REF!</v>
      </c>
      <c r="F997">
        <v>111.8</v>
      </c>
      <c r="G997">
        <f>(Cpi_[[#This Row],[Value]]-F996)/F996</f>
        <v>2.0072992700729955E-2</v>
      </c>
      <c r="H997" t="e" cm="1" vm="1">
        <f t="array" aca="1" ref="H997" ca="1">VLOOKUP(Cpi_[[#This Row],[Year]:[Month]],crudeoil[],3,FALSE)</f>
        <v>#VALUE!</v>
      </c>
    </row>
    <row r="998" spans="1:8" hidden="1" x14ac:dyDescent="0.3">
      <c r="A998" t="s">
        <v>30</v>
      </c>
      <c r="B998">
        <v>2014</v>
      </c>
      <c r="C998" t="s">
        <v>31</v>
      </c>
      <c r="D998" t="s">
        <v>27</v>
      </c>
      <c r="E998" t="e">
        <f>VLOOKUP(Cpi_[[#This Row],[Attribute]],#REF!,2,FALSE)</f>
        <v>#REF!</v>
      </c>
      <c r="F998">
        <v>108.3</v>
      </c>
      <c r="G998">
        <f>(Cpi_[[#This Row],[Value]]-F997)/F997</f>
        <v>-3.1305903398926659E-2</v>
      </c>
      <c r="H998" t="e" cm="1" vm="1">
        <f t="array" aca="1" ref="H998" ca="1">VLOOKUP(Cpi_[[#This Row],[Year]:[Month]],crudeoil[],3,FALSE)</f>
        <v>#VALUE!</v>
      </c>
    </row>
    <row r="999" spans="1:8" hidden="1" x14ac:dyDescent="0.3">
      <c r="A999" t="s">
        <v>30</v>
      </c>
      <c r="B999">
        <v>2014</v>
      </c>
      <c r="C999" t="s">
        <v>31</v>
      </c>
      <c r="D999" t="s">
        <v>28</v>
      </c>
      <c r="E999" t="e">
        <f>VLOOKUP(Cpi_[[#This Row],[Attribute]],#REF!,2,FALSE)</f>
        <v>#REF!</v>
      </c>
      <c r="F999">
        <v>110.6</v>
      </c>
      <c r="G999">
        <f>(Cpi_[[#This Row],[Value]]-F998)/F998</f>
        <v>2.1237303785780214E-2</v>
      </c>
      <c r="H999" t="e" cm="1" vm="1">
        <f t="array" aca="1" ref="H999" ca="1">VLOOKUP(Cpi_[[#This Row],[Year]:[Month]],crudeoil[],3,FALSE)</f>
        <v>#VALUE!</v>
      </c>
    </row>
    <row r="1000" spans="1:8" hidden="1" x14ac:dyDescent="0.3">
      <c r="A1000" t="s">
        <v>30</v>
      </c>
      <c r="B1000">
        <v>2014</v>
      </c>
      <c r="C1000" t="s">
        <v>31</v>
      </c>
      <c r="D1000" t="s">
        <v>29</v>
      </c>
      <c r="E1000" t="e" cm="1">
        <f t="array" aca="1" ref="E1000" ca="1">VLGeneral indexGeneral indexKUP(Cpi_[[#This Row],[Attribute]],#REF!,2,FALSE)</f>
        <v>#NAME?</v>
      </c>
      <c r="F1000">
        <v>114.2</v>
      </c>
      <c r="G1000">
        <f>(Cpi_[[#This Row],[Value]]-F999)/F999</f>
        <v>3.2549728752260476E-2</v>
      </c>
      <c r="H1000" t="e" cm="1" vm="1">
        <f t="array" aca="1" ref="H1000" ca="1">VLOOKUP(Cpi_[[#This Row],[Year]:[Month]],crudeoil[],3,FALSE)</f>
        <v>#VALUE!</v>
      </c>
    </row>
    <row r="1001" spans="1:8" hidden="1" x14ac:dyDescent="0.3">
      <c r="A1001" t="s">
        <v>33</v>
      </c>
      <c r="B1001">
        <v>2014</v>
      </c>
      <c r="C1001" t="s">
        <v>31</v>
      </c>
      <c r="D1001" t="s">
        <v>3</v>
      </c>
      <c r="E1001" t="e">
        <f>VLOOKUP(Cpi_[[#This Row],[Attribute]],#REF!,2,FALSE)</f>
        <v>#REF!</v>
      </c>
      <c r="F1001">
        <v>121.2</v>
      </c>
      <c r="G1001">
        <f>(Cpi_[[#This Row],[Value]]-F1000)/F1000</f>
        <v>6.1295971978984239E-2</v>
      </c>
      <c r="H1001" t="e" cm="1" vm="1">
        <f t="array" aca="1" ref="H1001" ca="1">VLOOKUP(Cpi_[[#This Row],[Year]:[Month]],crudeoil[],3,FALSE)</f>
        <v>#VALUE!</v>
      </c>
    </row>
    <row r="1002" spans="1:8" hidden="1" x14ac:dyDescent="0.3">
      <c r="A1002" t="s">
        <v>33</v>
      </c>
      <c r="B1002">
        <v>2014</v>
      </c>
      <c r="C1002" t="s">
        <v>31</v>
      </c>
      <c r="D1002" t="s">
        <v>4</v>
      </c>
      <c r="E1002" t="e">
        <f>VLOOKUP(Cpi_[[#This Row],[Attribute]],#REF!,2,FALSE)</f>
        <v>#REF!</v>
      </c>
      <c r="F1002">
        <v>122</v>
      </c>
      <c r="G1002">
        <f>(Cpi_[[#This Row],[Value]]-F1001)/F1001</f>
        <v>6.6006600660065773E-3</v>
      </c>
      <c r="H1002" t="e" cm="1" vm="1">
        <f t="array" aca="1" ref="H1002" ca="1">VLOOKUP(Cpi_[[#This Row],[Year]:[Month]],crudeoil[],3,FALSE)</f>
        <v>#VALUE!</v>
      </c>
    </row>
    <row r="1003" spans="1:8" hidden="1" x14ac:dyDescent="0.3">
      <c r="A1003" t="s">
        <v>33</v>
      </c>
      <c r="B1003">
        <v>2014</v>
      </c>
      <c r="C1003" t="s">
        <v>31</v>
      </c>
      <c r="D1003" t="s">
        <v>5</v>
      </c>
      <c r="E1003" t="e">
        <f>VLOOKUP(Cpi_[[#This Row],[Attribute]],#REF!,2,FALSE)</f>
        <v>#REF!</v>
      </c>
      <c r="F1003">
        <v>129.9</v>
      </c>
      <c r="G1003">
        <f>(Cpi_[[#This Row],[Value]]-F1002)/F1002</f>
        <v>6.4754098360655779E-2</v>
      </c>
      <c r="H1003" t="e" cm="1" vm="1">
        <f t="array" aca="1" ref="H1003" ca="1">VLOOKUP(Cpi_[[#This Row],[Year]:[Month]],crudeoil[],3,FALSE)</f>
        <v>#VALUE!</v>
      </c>
    </row>
    <row r="1004" spans="1:8" hidden="1" x14ac:dyDescent="0.3">
      <c r="A1004" t="s">
        <v>33</v>
      </c>
      <c r="B1004">
        <v>2014</v>
      </c>
      <c r="C1004" t="s">
        <v>31</v>
      </c>
      <c r="D1004" t="s">
        <v>6</v>
      </c>
      <c r="E1004" t="e">
        <f>VLOOKUP(Cpi_[[#This Row],[Attribute]],#REF!,2,FALSE)</f>
        <v>#REF!</v>
      </c>
      <c r="F1004">
        <v>113.6</v>
      </c>
      <c r="G1004">
        <f>(Cpi_[[#This Row],[Value]]-F1003)/F1003</f>
        <v>-0.12548113933795235</v>
      </c>
      <c r="H1004" t="e" cm="1" vm="1">
        <f t="array" aca="1" ref="H1004" ca="1">VLOOKUP(Cpi_[[#This Row],[Year]:[Month]],crudeoil[],3,FALSE)</f>
        <v>#VALUE!</v>
      </c>
    </row>
    <row r="1005" spans="1:8" hidden="1" x14ac:dyDescent="0.3">
      <c r="A1005" t="s">
        <v>33</v>
      </c>
      <c r="B1005">
        <v>2014</v>
      </c>
      <c r="C1005" t="s">
        <v>31</v>
      </c>
      <c r="D1005" t="s">
        <v>7</v>
      </c>
      <c r="E1005" t="e">
        <f>VLOOKUP(Cpi_[[#This Row],[Attribute]],#REF!,2,FALSE)</f>
        <v>#REF!</v>
      </c>
      <c r="F1005">
        <v>102.9</v>
      </c>
      <c r="G1005">
        <f>(Cpi_[[#This Row],[Value]]-F1004)/F1004</f>
        <v>-9.4190140845070325E-2</v>
      </c>
      <c r="H1005" t="e" cm="1" vm="1">
        <f t="array" aca="1" ref="H1005" ca="1">VLOOKUP(Cpi_[[#This Row],[Year]:[Month]],crudeoil[],3,FALSE)</f>
        <v>#VALUE!</v>
      </c>
    </row>
    <row r="1006" spans="1:8" hidden="1" x14ac:dyDescent="0.3">
      <c r="A1006" t="s">
        <v>33</v>
      </c>
      <c r="B1006">
        <v>2014</v>
      </c>
      <c r="C1006" t="s">
        <v>31</v>
      </c>
      <c r="D1006" t="s">
        <v>8</v>
      </c>
      <c r="E1006" t="e">
        <f>VLOOKUP(Cpi_[[#This Row],[Attribute]],#REF!,2,FALSE)</f>
        <v>#REF!</v>
      </c>
      <c r="F1006">
        <v>112.1</v>
      </c>
      <c r="G1006">
        <f>(Cpi_[[#This Row],[Value]]-F1005)/F1005</f>
        <v>8.9407191448007656E-2</v>
      </c>
      <c r="H1006" t="e" cm="1" vm="1">
        <f t="array" aca="1" ref="H1006" ca="1">VLOOKUP(Cpi_[[#This Row],[Year]:[Month]],crudeoil[],3,FALSE)</f>
        <v>#VALUE!</v>
      </c>
    </row>
    <row r="1007" spans="1:8" hidden="1" x14ac:dyDescent="0.3">
      <c r="A1007" t="s">
        <v>33</v>
      </c>
      <c r="B1007">
        <v>2014</v>
      </c>
      <c r="C1007" t="s">
        <v>31</v>
      </c>
      <c r="D1007" t="s">
        <v>9</v>
      </c>
      <c r="E1007" t="e">
        <f>VLOOKUP(Cpi_[[#This Row],[Attribute]],#REF!,2,FALSE)</f>
        <v>#REF!</v>
      </c>
      <c r="F1007">
        <v>118.9</v>
      </c>
      <c r="G1007">
        <f>(Cpi_[[#This Row],[Value]]-F1006)/F1006</f>
        <v>6.0660124888492525E-2</v>
      </c>
      <c r="H1007" t="e" cm="1" vm="1">
        <f t="array" aca="1" ref="H1007" ca="1">VLOOKUP(Cpi_[[#This Row],[Year]:[Month]],crudeoil[],3,FALSE)</f>
        <v>#VALUE!</v>
      </c>
    </row>
    <row r="1008" spans="1:8" hidden="1" x14ac:dyDescent="0.3">
      <c r="A1008" t="s">
        <v>33</v>
      </c>
      <c r="B1008">
        <v>2014</v>
      </c>
      <c r="C1008" t="s">
        <v>31</v>
      </c>
      <c r="D1008" t="s">
        <v>10</v>
      </c>
      <c r="E1008" t="e">
        <f>VLOOKUP(Cpi_[[#This Row],[Attribute]],#REF!,2,FALSE)</f>
        <v>#REF!</v>
      </c>
      <c r="F1008">
        <v>107.5</v>
      </c>
      <c r="G1008">
        <f>(Cpi_[[#This Row],[Value]]-F1007)/F1007</f>
        <v>-9.5878889823381039E-2</v>
      </c>
      <c r="H1008" t="e" cm="1" vm="1">
        <f t="array" aca="1" ref="H1008" ca="1">VLOOKUP(Cpi_[[#This Row],[Year]:[Month]],crudeoil[],3,FALSE)</f>
        <v>#VALUE!</v>
      </c>
    </row>
    <row r="1009" spans="1:8" hidden="1" x14ac:dyDescent="0.3">
      <c r="A1009" t="s">
        <v>33</v>
      </c>
      <c r="B1009">
        <v>2014</v>
      </c>
      <c r="C1009" t="s">
        <v>31</v>
      </c>
      <c r="D1009" t="s">
        <v>11</v>
      </c>
      <c r="E1009" t="e">
        <f>VLOOKUP(Cpi_[[#This Row],[Attribute]],#REF!,2,FALSE)</f>
        <v>#REF!</v>
      </c>
      <c r="F1009">
        <v>96.9</v>
      </c>
      <c r="G1009">
        <f>(Cpi_[[#This Row],[Value]]-F1008)/F1008</f>
        <v>-9.8604651162790644E-2</v>
      </c>
      <c r="H1009" t="e" cm="1" vm="1">
        <f t="array" aca="1" ref="H1009" ca="1">VLOOKUP(Cpi_[[#This Row],[Year]:[Month]],crudeoil[],3,FALSE)</f>
        <v>#VALUE!</v>
      </c>
    </row>
    <row r="1010" spans="1:8" hidden="1" x14ac:dyDescent="0.3">
      <c r="A1010" t="s">
        <v>33</v>
      </c>
      <c r="B1010">
        <v>2014</v>
      </c>
      <c r="C1010" t="s">
        <v>31</v>
      </c>
      <c r="D1010" t="s">
        <v>12</v>
      </c>
      <c r="E1010" t="e">
        <f>VLOOKUP(Cpi_[[#This Row],[Attribute]],#REF!,2,FALSE)</f>
        <v>#REF!</v>
      </c>
      <c r="F1010">
        <v>112.7</v>
      </c>
      <c r="G1010">
        <f>(Cpi_[[#This Row],[Value]]-F1009)/F1009</f>
        <v>0.16305469556243546</v>
      </c>
      <c r="H1010" t="e" cm="1" vm="1">
        <f t="array" aca="1" ref="H1010" ca="1">VLOOKUP(Cpi_[[#This Row],[Year]:[Month]],crudeoil[],3,FALSE)</f>
        <v>#VALUE!</v>
      </c>
    </row>
    <row r="1011" spans="1:8" hidden="1" x14ac:dyDescent="0.3">
      <c r="A1011" t="s">
        <v>33</v>
      </c>
      <c r="B1011">
        <v>2014</v>
      </c>
      <c r="C1011" t="s">
        <v>31</v>
      </c>
      <c r="D1011" t="s">
        <v>13</v>
      </c>
      <c r="E1011" t="e">
        <f>VLOOKUP(Cpi_[[#This Row],[Attribute]],#REF!,2,FALSE)</f>
        <v>#REF!</v>
      </c>
      <c r="F1011">
        <v>112.1</v>
      </c>
      <c r="G1011">
        <f>(Cpi_[[#This Row],[Value]]-F1010)/F1010</f>
        <v>-5.3238686779060202E-3</v>
      </c>
      <c r="H1011" t="e" cm="1" vm="1">
        <f t="array" aca="1" ref="H1011" ca="1">VLOOKUP(Cpi_[[#This Row],[Year]:[Month]],crudeoil[],3,FALSE)</f>
        <v>#VALUE!</v>
      </c>
    </row>
    <row r="1012" spans="1:8" hidden="1" x14ac:dyDescent="0.3">
      <c r="A1012" t="s">
        <v>33</v>
      </c>
      <c r="B1012">
        <v>2014</v>
      </c>
      <c r="C1012" t="s">
        <v>31</v>
      </c>
      <c r="D1012" t="s">
        <v>14</v>
      </c>
      <c r="E1012" t="e">
        <f>VLOOKUP(Cpi_[[#This Row],[Attribute]],#REF!,2,FALSE)</f>
        <v>#REF!</v>
      </c>
      <c r="F1012">
        <v>119</v>
      </c>
      <c r="G1012">
        <f>(Cpi_[[#This Row],[Value]]-F1011)/F1011</f>
        <v>6.1552185548617362E-2</v>
      </c>
      <c r="H1012" t="e" cm="1" vm="1">
        <f t="array" aca="1" ref="H1012" ca="1">VLOOKUP(Cpi_[[#This Row],[Year]:[Month]],crudeoil[],3,FALSE)</f>
        <v>#VALUE!</v>
      </c>
    </row>
    <row r="1013" spans="1:8" hidden="1" x14ac:dyDescent="0.3">
      <c r="A1013" t="s">
        <v>33</v>
      </c>
      <c r="B1013">
        <v>2014</v>
      </c>
      <c r="C1013" t="s">
        <v>31</v>
      </c>
      <c r="D1013" t="s">
        <v>15</v>
      </c>
      <c r="E1013" t="e">
        <f>VLOOKUP(Cpi_[[#This Row],[Attribute]],#REF!,2,FALSE)</f>
        <v>#REF!</v>
      </c>
      <c r="F1013">
        <v>115.5</v>
      </c>
      <c r="G1013">
        <f>(Cpi_[[#This Row],[Value]]-F1012)/F1012</f>
        <v>-2.9411764705882353E-2</v>
      </c>
      <c r="H1013" t="e" cm="1" vm="1">
        <f t="array" aca="1" ref="H1013" ca="1">VLOOKUP(Cpi_[[#This Row],[Year]:[Month]],crudeoil[],3,FALSE)</f>
        <v>#VALUE!</v>
      </c>
    </row>
    <row r="1014" spans="1:8" hidden="1" x14ac:dyDescent="0.3">
      <c r="A1014" t="s">
        <v>33</v>
      </c>
      <c r="B1014">
        <v>2014</v>
      </c>
      <c r="C1014" t="s">
        <v>31</v>
      </c>
      <c r="D1014" t="s">
        <v>16</v>
      </c>
      <c r="E1014" t="e">
        <f>VLOOKUP(Cpi_[[#This Row],[Attribute]],#REF!,2,FALSE)</f>
        <v>#REF!</v>
      </c>
      <c r="F1014">
        <v>115.7</v>
      </c>
      <c r="G1014">
        <f>(Cpi_[[#This Row],[Value]]-F1013)/F1013</f>
        <v>1.7316017316017561E-3</v>
      </c>
      <c r="H1014" t="e" cm="1" vm="1">
        <f t="array" aca="1" ref="H1014" ca="1">VLOOKUP(Cpi_[[#This Row],[Year]:[Month]],crudeoil[],3,FALSE)</f>
        <v>#VALUE!</v>
      </c>
    </row>
    <row r="1015" spans="1:8" hidden="1" x14ac:dyDescent="0.3">
      <c r="A1015" t="s">
        <v>33</v>
      </c>
      <c r="B1015">
        <v>2014</v>
      </c>
      <c r="C1015" t="s">
        <v>31</v>
      </c>
      <c r="D1015" t="s">
        <v>17</v>
      </c>
      <c r="E1015" t="e">
        <f>VLOOKUP(Cpi_[[#This Row],[Attribute]],#REF!,2,FALSE)</f>
        <v>#REF!</v>
      </c>
      <c r="F1015">
        <v>114.8</v>
      </c>
      <c r="G1015">
        <f>(Cpi_[[#This Row],[Value]]-F1014)/F1014</f>
        <v>-7.7787381158168165E-3</v>
      </c>
      <c r="H1015" t="e" cm="1" vm="1">
        <f t="array" aca="1" ref="H1015" ca="1">VLOOKUP(Cpi_[[#This Row],[Year]:[Month]],crudeoil[],3,FALSE)</f>
        <v>#VALUE!</v>
      </c>
    </row>
    <row r="1016" spans="1:8" hidden="1" x14ac:dyDescent="0.3">
      <c r="A1016" t="s">
        <v>33</v>
      </c>
      <c r="B1016">
        <v>2014</v>
      </c>
      <c r="C1016" t="s">
        <v>31</v>
      </c>
      <c r="D1016" t="s">
        <v>18</v>
      </c>
      <c r="E1016" t="e">
        <f>VLOOKUP(Cpi_[[#This Row],[Attribute]],#REF!,2,FALSE)</f>
        <v>#REF!</v>
      </c>
      <c r="F1016">
        <v>111.3</v>
      </c>
      <c r="G1016">
        <f>(Cpi_[[#This Row],[Value]]-F1015)/F1015</f>
        <v>-3.048780487804878E-2</v>
      </c>
      <c r="H1016" t="e" cm="1" vm="1">
        <f t="array" aca="1" ref="H1016" ca="1">VLOOKUP(Cpi_[[#This Row],[Year]:[Month]],crudeoil[],3,FALSE)</f>
        <v>#VALUE!</v>
      </c>
    </row>
    <row r="1017" spans="1:8" hidden="1" x14ac:dyDescent="0.3">
      <c r="A1017" t="s">
        <v>33</v>
      </c>
      <c r="B1017">
        <v>2014</v>
      </c>
      <c r="C1017" t="s">
        <v>31</v>
      </c>
      <c r="D1017" t="s">
        <v>19</v>
      </c>
      <c r="E1017" t="e">
        <f>VLOOKUP(Cpi_[[#This Row],[Attribute]],#REF!,2,FALSE)</f>
        <v>#REF!</v>
      </c>
      <c r="F1017">
        <v>114.3</v>
      </c>
      <c r="G1017">
        <f>(Cpi_[[#This Row],[Value]]-F1016)/F1016</f>
        <v>2.6954177897574125E-2</v>
      </c>
      <c r="H1017" t="e" cm="1" vm="1">
        <f t="array" aca="1" ref="H1017" ca="1">VLOOKUP(Cpi_[[#This Row],[Year]:[Month]],crudeoil[],3,FALSE)</f>
        <v>#VALUE!</v>
      </c>
    </row>
    <row r="1018" spans="1:8" hidden="1" x14ac:dyDescent="0.3">
      <c r="A1018" t="s">
        <v>33</v>
      </c>
      <c r="B1018">
        <v>2014</v>
      </c>
      <c r="C1018" t="s">
        <v>31</v>
      </c>
      <c r="D1018" t="s">
        <v>20</v>
      </c>
      <c r="E1018" t="e">
        <f>VLOOKUP(Cpi_[[#This Row],[Attribute]],#REF!,2,FALSE)</f>
        <v>#REF!</v>
      </c>
      <c r="F1018">
        <v>111.6</v>
      </c>
      <c r="G1018">
        <f>(Cpi_[[#This Row],[Value]]-F1017)/F1017</f>
        <v>-2.3622047244094512E-2</v>
      </c>
      <c r="H1018" t="e" cm="1" vm="1">
        <f t="array" aca="1" ref="H1018" ca="1">VLOOKUP(Cpi_[[#This Row],[Year]:[Month]],crudeoil[],3,FALSE)</f>
        <v>#VALUE!</v>
      </c>
    </row>
    <row r="1019" spans="1:8" hidden="1" x14ac:dyDescent="0.3">
      <c r="A1019" t="s">
        <v>33</v>
      </c>
      <c r="B1019">
        <v>2014</v>
      </c>
      <c r="C1019" t="s">
        <v>31</v>
      </c>
      <c r="D1019" t="s">
        <v>21</v>
      </c>
      <c r="E1019" t="e">
        <f>VLOOKUP(Cpi_[[#This Row],[Attribute]],#REF!,2,FALSE)</f>
        <v>#REF!</v>
      </c>
      <c r="F1019">
        <v>111</v>
      </c>
      <c r="G1019">
        <f>(Cpi_[[#This Row],[Value]]-F1018)/F1018</f>
        <v>-5.3763440860214546E-3</v>
      </c>
      <c r="H1019" t="e" cm="1" vm="1">
        <f t="array" aca="1" ref="H1019" ca="1">VLOOKUP(Cpi_[[#This Row],[Year]:[Month]],crudeoil[],3,FALSE)</f>
        <v>#VALUE!</v>
      </c>
    </row>
    <row r="1020" spans="1:8" hidden="1" x14ac:dyDescent="0.3">
      <c r="A1020" t="s">
        <v>33</v>
      </c>
      <c r="B1020">
        <v>2014</v>
      </c>
      <c r="C1020" t="s">
        <v>31</v>
      </c>
      <c r="D1020" t="s">
        <v>22</v>
      </c>
      <c r="E1020" t="e">
        <f>VLOOKUP(Cpi_[[#This Row],[Attribute]],#REF!,2,FALSE)</f>
        <v>#REF!</v>
      </c>
      <c r="F1020">
        <v>111.9</v>
      </c>
      <c r="G1020">
        <f>(Cpi_[[#This Row],[Value]]-F1019)/F1019</f>
        <v>8.1081081081081589E-3</v>
      </c>
      <c r="H1020" t="e" cm="1" vm="1">
        <f t="array" aca="1" ref="H1020" ca="1">VLOOKUP(Cpi_[[#This Row],[Year]:[Month]],crudeoil[],3,FALSE)</f>
        <v>#VALUE!</v>
      </c>
    </row>
    <row r="1021" spans="1:8" hidden="1" x14ac:dyDescent="0.3">
      <c r="A1021" t="s">
        <v>33</v>
      </c>
      <c r="B1021">
        <v>2014</v>
      </c>
      <c r="C1021" t="s">
        <v>31</v>
      </c>
      <c r="D1021" t="s">
        <v>23</v>
      </c>
      <c r="E1021" t="e">
        <f>VLOOKUP(Cpi_[[#This Row],[Attribute]],#REF!,2,FALSE)</f>
        <v>#REF!</v>
      </c>
      <c r="F1021">
        <v>109.7</v>
      </c>
      <c r="G1021">
        <f>(Cpi_[[#This Row],[Value]]-F1020)/F1020</f>
        <v>-1.9660411081322635E-2</v>
      </c>
      <c r="H1021" t="e" cm="1" vm="1">
        <f t="array" aca="1" ref="H1021" ca="1">VLOOKUP(Cpi_[[#This Row],[Year]:[Month]],crudeoil[],3,FALSE)</f>
        <v>#VALUE!</v>
      </c>
    </row>
    <row r="1022" spans="1:8" hidden="1" x14ac:dyDescent="0.3">
      <c r="A1022" t="s">
        <v>33</v>
      </c>
      <c r="B1022">
        <v>2014</v>
      </c>
      <c r="C1022" t="s">
        <v>31</v>
      </c>
      <c r="D1022" t="s">
        <v>24</v>
      </c>
      <c r="E1022" t="e">
        <f>VLOOKUP(Cpi_[[#This Row],[Attribute]],#REF!,2,FALSE)</f>
        <v>#REF!</v>
      </c>
      <c r="F1022">
        <v>110.8</v>
      </c>
      <c r="G1022">
        <f>(Cpi_[[#This Row],[Value]]-F1021)/F1021</f>
        <v>1.0027347310847715E-2</v>
      </c>
      <c r="H1022" t="e" cm="1" vm="1">
        <f t="array" aca="1" ref="H1022" ca="1">VLOOKUP(Cpi_[[#This Row],[Year]:[Month]],crudeoil[],3,FALSE)</f>
        <v>#VALUE!</v>
      </c>
    </row>
    <row r="1023" spans="1:8" hidden="1" x14ac:dyDescent="0.3">
      <c r="A1023" t="s">
        <v>33</v>
      </c>
      <c r="B1023">
        <v>2014</v>
      </c>
      <c r="C1023" t="s">
        <v>31</v>
      </c>
      <c r="D1023" t="s">
        <v>25</v>
      </c>
      <c r="E1023" t="e">
        <f>VLOOKUP(Cpi_[[#This Row],[Attribute]],#REF!,2,FALSE)</f>
        <v>#REF!</v>
      </c>
      <c r="F1023">
        <v>109.8</v>
      </c>
      <c r="G1023">
        <f>(Cpi_[[#This Row],[Value]]-F1022)/F1022</f>
        <v>-9.0252707581227436E-3</v>
      </c>
      <c r="H1023" t="e" cm="1" vm="1">
        <f t="array" aca="1" ref="H1023" ca="1">VLOOKUP(Cpi_[[#This Row],[Year]:[Month]],crudeoil[],3,FALSE)</f>
        <v>#VALUE!</v>
      </c>
    </row>
    <row r="1024" spans="1:8" hidden="1" x14ac:dyDescent="0.3">
      <c r="A1024" t="s">
        <v>33</v>
      </c>
      <c r="B1024">
        <v>2014</v>
      </c>
      <c r="C1024" t="s">
        <v>31</v>
      </c>
      <c r="D1024" t="s">
        <v>26</v>
      </c>
      <c r="E1024" t="e">
        <f>VLOOKUP(Cpi_[[#This Row],[Attribute]],#REF!,2,FALSE)</f>
        <v>#REF!</v>
      </c>
      <c r="F1024">
        <v>111.5</v>
      </c>
      <c r="G1024">
        <f>(Cpi_[[#This Row],[Value]]-F1023)/F1023</f>
        <v>1.5482695810564689E-2</v>
      </c>
      <c r="H1024" t="e" cm="1" vm="1">
        <f t="array" aca="1" ref="H1024" ca="1">VLOOKUP(Cpi_[[#This Row],[Year]:[Month]],crudeoil[],3,FALSE)</f>
        <v>#VALUE!</v>
      </c>
    </row>
    <row r="1025" spans="1:8" hidden="1" x14ac:dyDescent="0.3">
      <c r="A1025" t="s">
        <v>33</v>
      </c>
      <c r="B1025">
        <v>2014</v>
      </c>
      <c r="C1025" t="s">
        <v>31</v>
      </c>
      <c r="D1025" t="s">
        <v>27</v>
      </c>
      <c r="E1025" t="e">
        <f>VLOOKUP(Cpi_[[#This Row],[Attribute]],#REF!,2,FALSE)</f>
        <v>#REF!</v>
      </c>
      <c r="F1025">
        <v>108</v>
      </c>
      <c r="G1025">
        <f>(Cpi_[[#This Row],[Value]]-F1024)/F1024</f>
        <v>-3.1390134529147982E-2</v>
      </c>
      <c r="H1025" t="e" cm="1" vm="1">
        <f t="array" aca="1" ref="H1025" ca="1">VLOOKUP(Cpi_[[#This Row],[Year]:[Month]],crudeoil[],3,FALSE)</f>
        <v>#VALUE!</v>
      </c>
    </row>
    <row r="1026" spans="1:8" hidden="1" x14ac:dyDescent="0.3">
      <c r="A1026" t="s">
        <v>33</v>
      </c>
      <c r="B1026">
        <v>2014</v>
      </c>
      <c r="C1026" t="s">
        <v>31</v>
      </c>
      <c r="D1026" t="s">
        <v>28</v>
      </c>
      <c r="E1026" t="e">
        <f>VLOOKUP(Cpi_[[#This Row],[Attribute]],#REF!,2,FALSE)</f>
        <v>#REF!</v>
      </c>
      <c r="F1026">
        <v>110.5</v>
      </c>
      <c r="G1026">
        <f>(Cpi_[[#This Row],[Value]]-F1025)/F1025</f>
        <v>2.3148148148148147E-2</v>
      </c>
      <c r="H1026" t="e" cm="1" vm="1">
        <f t="array" aca="1" ref="H1026" ca="1">VLOOKUP(Cpi_[[#This Row],[Year]:[Month]],crudeoil[],3,FALSE)</f>
        <v>#VALUE!</v>
      </c>
    </row>
    <row r="1027" spans="1:8" hidden="1" x14ac:dyDescent="0.3">
      <c r="A1027" t="s">
        <v>33</v>
      </c>
      <c r="B1027">
        <v>2014</v>
      </c>
      <c r="C1027" t="s">
        <v>31</v>
      </c>
      <c r="D1027" t="s">
        <v>29</v>
      </c>
      <c r="E1027" t="e" cm="1">
        <f t="array" aca="1" ref="E1027" ca="1">VLGeneral indexGeneral indexKUP(Cpi_[[#This Row],[Attribute]],#REF!,2,FALSE)</f>
        <v>#NAME?</v>
      </c>
      <c r="F1027">
        <v>112.9</v>
      </c>
      <c r="G1027">
        <f>(Cpi_[[#This Row],[Value]]-F1026)/F1026</f>
        <v>2.1719457013574712E-2</v>
      </c>
      <c r="H1027" t="e" cm="1" vm="1">
        <f t="array" aca="1" ref="H1027" ca="1">VLOOKUP(Cpi_[[#This Row],[Year]:[Month]],crudeoil[],3,FALSE)</f>
        <v>#VALUE!</v>
      </c>
    </row>
    <row r="1028" spans="1:8" hidden="1" x14ac:dyDescent="0.3">
      <c r="A1028" t="s">
        <v>34</v>
      </c>
      <c r="B1028">
        <v>2014</v>
      </c>
      <c r="C1028" t="s">
        <v>31</v>
      </c>
      <c r="D1028" t="s">
        <v>3</v>
      </c>
      <c r="E1028" t="e">
        <f>VLOOKUP(Cpi_[[#This Row],[Attribute]],#REF!,2,FALSE)</f>
        <v>#REF!</v>
      </c>
      <c r="F1028">
        <v>119.6</v>
      </c>
      <c r="G1028">
        <f>(Cpi_[[#This Row],[Value]]-F1027)/F1027</f>
        <v>5.9344552701505654E-2</v>
      </c>
      <c r="H1028" t="e" cm="1" vm="1">
        <f t="array" aca="1" ref="H1028" ca="1">VLOOKUP(Cpi_[[#This Row],[Year]:[Month]],crudeoil[],3,FALSE)</f>
        <v>#VALUE!</v>
      </c>
    </row>
    <row r="1029" spans="1:8" hidden="1" x14ac:dyDescent="0.3">
      <c r="A1029" t="s">
        <v>34</v>
      </c>
      <c r="B1029">
        <v>2014</v>
      </c>
      <c r="C1029" t="s">
        <v>31</v>
      </c>
      <c r="D1029" t="s">
        <v>4</v>
      </c>
      <c r="E1029" t="e">
        <f>VLOOKUP(Cpi_[[#This Row],[Attribute]],#REF!,2,FALSE)</f>
        <v>#REF!</v>
      </c>
      <c r="F1029">
        <v>118.8</v>
      </c>
      <c r="G1029">
        <f>(Cpi_[[#This Row],[Value]]-F1028)/F1028</f>
        <v>-6.6889632107023176E-3</v>
      </c>
      <c r="H1029" t="e" cm="1" vm="1">
        <f t="array" aca="1" ref="H1029" ca="1">VLOOKUP(Cpi_[[#This Row],[Year]:[Month]],crudeoil[],3,FALSE)</f>
        <v>#VALUE!</v>
      </c>
    </row>
    <row r="1030" spans="1:8" hidden="1" x14ac:dyDescent="0.3">
      <c r="A1030" t="s">
        <v>34</v>
      </c>
      <c r="B1030">
        <v>2014</v>
      </c>
      <c r="C1030" t="s">
        <v>31</v>
      </c>
      <c r="D1030" t="s">
        <v>5</v>
      </c>
      <c r="E1030" t="e">
        <f>VLOOKUP(Cpi_[[#This Row],[Attribute]],#REF!,2,FALSE)</f>
        <v>#REF!</v>
      </c>
      <c r="F1030">
        <v>124.1</v>
      </c>
      <c r="G1030">
        <f>(Cpi_[[#This Row],[Value]]-F1029)/F1029</f>
        <v>4.461279461279459E-2</v>
      </c>
      <c r="H1030" t="e" cm="1" vm="1">
        <f t="array" aca="1" ref="H1030" ca="1">VLOOKUP(Cpi_[[#This Row],[Year]:[Month]],crudeoil[],3,FALSE)</f>
        <v>#VALUE!</v>
      </c>
    </row>
    <row r="1031" spans="1:8" hidden="1" x14ac:dyDescent="0.3">
      <c r="A1031" t="s">
        <v>34</v>
      </c>
      <c r="B1031">
        <v>2014</v>
      </c>
      <c r="C1031" t="s">
        <v>31</v>
      </c>
      <c r="D1031" t="s">
        <v>6</v>
      </c>
      <c r="E1031" t="e">
        <f>VLOOKUP(Cpi_[[#This Row],[Attribute]],#REF!,2,FALSE)</f>
        <v>#REF!</v>
      </c>
      <c r="F1031">
        <v>114.1</v>
      </c>
      <c r="G1031">
        <f>(Cpi_[[#This Row],[Value]]-F1030)/F1030</f>
        <v>-8.0580177276390011E-2</v>
      </c>
      <c r="H1031" t="e" cm="1" vm="1">
        <f t="array" aca="1" ref="H1031" ca="1">VLOOKUP(Cpi_[[#This Row],[Year]:[Month]],crudeoil[],3,FALSE)</f>
        <v>#VALUE!</v>
      </c>
    </row>
    <row r="1032" spans="1:8" hidden="1" x14ac:dyDescent="0.3">
      <c r="A1032" t="s">
        <v>34</v>
      </c>
      <c r="B1032">
        <v>2014</v>
      </c>
      <c r="C1032" t="s">
        <v>31</v>
      </c>
      <c r="D1032" t="s">
        <v>7</v>
      </c>
      <c r="E1032" t="e">
        <f>VLOOKUP(Cpi_[[#This Row],[Attribute]],#REF!,2,FALSE)</f>
        <v>#REF!</v>
      </c>
      <c r="F1032">
        <v>106.8</v>
      </c>
      <c r="G1032">
        <f>(Cpi_[[#This Row],[Value]]-F1031)/F1031</f>
        <v>-6.3978965819456599E-2</v>
      </c>
      <c r="H1032" t="e" cm="1" vm="1">
        <f t="array" aca="1" ref="H1032" ca="1">VLOOKUP(Cpi_[[#This Row],[Year]:[Month]],crudeoil[],3,FALSE)</f>
        <v>#VALUE!</v>
      </c>
    </row>
    <row r="1033" spans="1:8" hidden="1" x14ac:dyDescent="0.3">
      <c r="A1033" t="s">
        <v>34</v>
      </c>
      <c r="B1033">
        <v>2014</v>
      </c>
      <c r="C1033" t="s">
        <v>31</v>
      </c>
      <c r="D1033" t="s">
        <v>8</v>
      </c>
      <c r="E1033" t="e">
        <f>VLOOKUP(Cpi_[[#This Row],[Attribute]],#REF!,2,FALSE)</f>
        <v>#REF!</v>
      </c>
      <c r="F1033">
        <v>113.9</v>
      </c>
      <c r="G1033">
        <f>(Cpi_[[#This Row],[Value]]-F1032)/F1032</f>
        <v>6.647940074906375E-2</v>
      </c>
      <c r="H1033" t="e" cm="1" vm="1">
        <f t="array" aca="1" ref="H1033" ca="1">VLOOKUP(Cpi_[[#This Row],[Year]:[Month]],crudeoil[],3,FALSE)</f>
        <v>#VALUE!</v>
      </c>
    </row>
    <row r="1034" spans="1:8" hidden="1" x14ac:dyDescent="0.3">
      <c r="A1034" t="s">
        <v>34</v>
      </c>
      <c r="B1034">
        <v>2014</v>
      </c>
      <c r="C1034" t="s">
        <v>31</v>
      </c>
      <c r="D1034" t="s">
        <v>9</v>
      </c>
      <c r="E1034" t="e">
        <f>VLOOKUP(Cpi_[[#This Row],[Attribute]],#REF!,2,FALSE)</f>
        <v>#REF!</v>
      </c>
      <c r="F1034">
        <v>122.2</v>
      </c>
      <c r="G1034">
        <f>(Cpi_[[#This Row],[Value]]-F1033)/F1033</f>
        <v>7.2870939420544303E-2</v>
      </c>
      <c r="H1034" t="e" cm="1" vm="1">
        <f t="array" aca="1" ref="H1034" ca="1">VLOOKUP(Cpi_[[#This Row],[Year]:[Month]],crudeoil[],3,FALSE)</f>
        <v>#VALUE!</v>
      </c>
    </row>
    <row r="1035" spans="1:8" hidden="1" x14ac:dyDescent="0.3">
      <c r="A1035" t="s">
        <v>34</v>
      </c>
      <c r="B1035">
        <v>2014</v>
      </c>
      <c r="C1035" t="s">
        <v>31</v>
      </c>
      <c r="D1035" t="s">
        <v>10</v>
      </c>
      <c r="E1035" t="e">
        <f>VLOOKUP(Cpi_[[#This Row],[Attribute]],#REF!,2,FALSE)</f>
        <v>#REF!</v>
      </c>
      <c r="F1035">
        <v>108.9</v>
      </c>
      <c r="G1035">
        <f>(Cpi_[[#This Row],[Value]]-F1034)/F1034</f>
        <v>-0.10883797054009818</v>
      </c>
      <c r="H1035" t="e" cm="1" vm="1">
        <f t="array" aca="1" ref="H1035" ca="1">VLOOKUP(Cpi_[[#This Row],[Year]:[Month]],crudeoil[],3,FALSE)</f>
        <v>#VALUE!</v>
      </c>
    </row>
    <row r="1036" spans="1:8" hidden="1" x14ac:dyDescent="0.3">
      <c r="A1036" t="s">
        <v>34</v>
      </c>
      <c r="B1036">
        <v>2014</v>
      </c>
      <c r="C1036" t="s">
        <v>31</v>
      </c>
      <c r="D1036" t="s">
        <v>11</v>
      </c>
      <c r="E1036" t="e">
        <f>VLOOKUP(Cpi_[[#This Row],[Attribute]],#REF!,2,FALSE)</f>
        <v>#REF!</v>
      </c>
      <c r="F1036">
        <v>100.2</v>
      </c>
      <c r="G1036">
        <f>(Cpi_[[#This Row],[Value]]-F1035)/F1035</f>
        <v>-7.9889807162534451E-2</v>
      </c>
      <c r="H1036" t="e" cm="1" vm="1">
        <f t="array" aca="1" ref="H1036" ca="1">VLOOKUP(Cpi_[[#This Row],[Year]:[Month]],crudeoil[],3,FALSE)</f>
        <v>#VALUE!</v>
      </c>
    </row>
    <row r="1037" spans="1:8" hidden="1" x14ac:dyDescent="0.3">
      <c r="A1037" t="s">
        <v>34</v>
      </c>
      <c r="B1037">
        <v>2014</v>
      </c>
      <c r="C1037" t="s">
        <v>31</v>
      </c>
      <c r="D1037" t="s">
        <v>12</v>
      </c>
      <c r="E1037" t="e">
        <f>VLOOKUP(Cpi_[[#This Row],[Attribute]],#REF!,2,FALSE)</f>
        <v>#REF!</v>
      </c>
      <c r="F1037">
        <v>111</v>
      </c>
      <c r="G1037">
        <f>(Cpi_[[#This Row],[Value]]-F1036)/F1036</f>
        <v>0.10778443113772453</v>
      </c>
      <c r="H1037" t="e" cm="1" vm="1">
        <f t="array" aca="1" ref="H1037" ca="1">VLOOKUP(Cpi_[[#This Row],[Year]:[Month]],crudeoil[],3,FALSE)</f>
        <v>#VALUE!</v>
      </c>
    </row>
    <row r="1038" spans="1:8" hidden="1" x14ac:dyDescent="0.3">
      <c r="A1038" t="s">
        <v>34</v>
      </c>
      <c r="B1038">
        <v>2014</v>
      </c>
      <c r="C1038" t="s">
        <v>31</v>
      </c>
      <c r="D1038" t="s">
        <v>13</v>
      </c>
      <c r="E1038" t="e">
        <f>VLOOKUP(Cpi_[[#This Row],[Attribute]],#REF!,2,FALSE)</f>
        <v>#REF!</v>
      </c>
      <c r="F1038">
        <v>112.3</v>
      </c>
      <c r="G1038">
        <f>(Cpi_[[#This Row],[Value]]-F1037)/F1037</f>
        <v>1.1711711711711686E-2</v>
      </c>
      <c r="H1038" t="e" cm="1" vm="1">
        <f t="array" aca="1" ref="H1038" ca="1">VLOOKUP(Cpi_[[#This Row],[Year]:[Month]],crudeoil[],3,FALSE)</f>
        <v>#VALUE!</v>
      </c>
    </row>
    <row r="1039" spans="1:8" hidden="1" x14ac:dyDescent="0.3">
      <c r="A1039" t="s">
        <v>34</v>
      </c>
      <c r="B1039">
        <v>2014</v>
      </c>
      <c r="C1039" t="s">
        <v>31</v>
      </c>
      <c r="D1039" t="s">
        <v>14</v>
      </c>
      <c r="E1039" t="e">
        <f>VLOOKUP(Cpi_[[#This Row],[Attribute]],#REF!,2,FALSE)</f>
        <v>#REF!</v>
      </c>
      <c r="F1039">
        <v>118.1</v>
      </c>
      <c r="G1039">
        <f>(Cpi_[[#This Row],[Value]]-F1038)/F1038</f>
        <v>5.1647373107747079E-2</v>
      </c>
      <c r="H1039" t="e" cm="1" vm="1">
        <f t="array" aca="1" ref="H1039" ca="1">VLOOKUP(Cpi_[[#This Row],[Year]:[Month]],crudeoil[],3,FALSE)</f>
        <v>#VALUE!</v>
      </c>
    </row>
    <row r="1040" spans="1:8" hidden="1" x14ac:dyDescent="0.3">
      <c r="A1040" t="s">
        <v>34</v>
      </c>
      <c r="B1040">
        <v>2014</v>
      </c>
      <c r="C1040" t="s">
        <v>31</v>
      </c>
      <c r="D1040" t="s">
        <v>15</v>
      </c>
      <c r="E1040" t="e">
        <f>VLOOKUP(Cpi_[[#This Row],[Attribute]],#REF!,2,FALSE)</f>
        <v>#REF!</v>
      </c>
      <c r="F1040">
        <v>115.8</v>
      </c>
      <c r="G1040">
        <f>(Cpi_[[#This Row],[Value]]-F1039)/F1039</f>
        <v>-1.9475021168501246E-2</v>
      </c>
      <c r="H1040" t="e" cm="1" vm="1">
        <f t="array" aca="1" ref="H1040" ca="1">VLOOKUP(Cpi_[[#This Row],[Year]:[Month]],crudeoil[],3,FALSE)</f>
        <v>#VALUE!</v>
      </c>
    </row>
    <row r="1041" spans="1:8" hidden="1" x14ac:dyDescent="0.3">
      <c r="A1041" t="s">
        <v>34</v>
      </c>
      <c r="B1041">
        <v>2014</v>
      </c>
      <c r="C1041" t="s">
        <v>31</v>
      </c>
      <c r="D1041" t="s">
        <v>16</v>
      </c>
      <c r="E1041" t="e">
        <f>VLOOKUP(Cpi_[[#This Row],[Attribute]],#REF!,2,FALSE)</f>
        <v>#REF!</v>
      </c>
      <c r="F1041">
        <v>114.5</v>
      </c>
      <c r="G1041">
        <f>(Cpi_[[#This Row],[Value]]-F1040)/F1040</f>
        <v>-1.1226252158894622E-2</v>
      </c>
      <c r="H1041" t="e" cm="1" vm="1">
        <f t="array" aca="1" ref="H1041" ca="1">VLOOKUP(Cpi_[[#This Row],[Year]:[Month]],crudeoil[],3,FALSE)</f>
        <v>#VALUE!</v>
      </c>
    </row>
    <row r="1042" spans="1:8" hidden="1" x14ac:dyDescent="0.3">
      <c r="A1042" t="s">
        <v>34</v>
      </c>
      <c r="B1042">
        <v>2014</v>
      </c>
      <c r="C1042" t="s">
        <v>31</v>
      </c>
      <c r="D1042" t="s">
        <v>17</v>
      </c>
      <c r="E1042" t="e">
        <f>VLOOKUP(Cpi_[[#This Row],[Attribute]],#REF!,2,FALSE)</f>
        <v>#REF!</v>
      </c>
      <c r="F1042">
        <v>115.8</v>
      </c>
      <c r="G1042">
        <f>(Cpi_[[#This Row],[Value]]-F1041)/F1041</f>
        <v>1.1353711790392988E-2</v>
      </c>
      <c r="H1042" t="e" cm="1" vm="1">
        <f t="array" aca="1" ref="H1042" ca="1">VLOOKUP(Cpi_[[#This Row],[Year]:[Month]],crudeoil[],3,FALSE)</f>
        <v>#VALUE!</v>
      </c>
    </row>
    <row r="1043" spans="1:8" hidden="1" x14ac:dyDescent="0.3">
      <c r="A1043" t="s">
        <v>34</v>
      </c>
      <c r="B1043">
        <v>2014</v>
      </c>
      <c r="C1043" t="s">
        <v>31</v>
      </c>
      <c r="D1043" t="s">
        <v>18</v>
      </c>
      <c r="E1043" t="e">
        <f>VLOOKUP(Cpi_[[#This Row],[Attribute]],#REF!,2,FALSE)</f>
        <v>#REF!</v>
      </c>
      <c r="F1043">
        <v>113.2</v>
      </c>
      <c r="G1043">
        <f>(Cpi_[[#This Row],[Value]]-F1042)/F1042</f>
        <v>-2.2452504317789244E-2</v>
      </c>
      <c r="H1043" t="e" cm="1" vm="1">
        <f t="array" aca="1" ref="H1043" ca="1">VLOOKUP(Cpi_[[#This Row],[Year]:[Month]],crudeoil[],3,FALSE)</f>
        <v>#VALUE!</v>
      </c>
    </row>
    <row r="1044" spans="1:8" hidden="1" x14ac:dyDescent="0.3">
      <c r="A1044" t="s">
        <v>34</v>
      </c>
      <c r="B1044">
        <v>2014</v>
      </c>
      <c r="C1044" t="s">
        <v>31</v>
      </c>
      <c r="D1044" t="s">
        <v>19</v>
      </c>
      <c r="E1044" t="e">
        <f>VLOOKUP(Cpi_[[#This Row],[Attribute]],#REF!,2,FALSE)</f>
        <v>#REF!</v>
      </c>
      <c r="F1044">
        <v>115.4</v>
      </c>
      <c r="G1044">
        <f>(Cpi_[[#This Row],[Value]]-F1043)/F1043</f>
        <v>1.9434628975265041E-2</v>
      </c>
      <c r="H1044" t="e" cm="1" vm="1">
        <f t="array" aca="1" ref="H1044" ca="1">VLOOKUP(Cpi_[[#This Row],[Year]:[Month]],crudeoil[],3,FALSE)</f>
        <v>#VALUE!</v>
      </c>
    </row>
    <row r="1045" spans="1:8" hidden="1" x14ac:dyDescent="0.3">
      <c r="A1045" t="s">
        <v>34</v>
      </c>
      <c r="B1045">
        <v>2014</v>
      </c>
      <c r="C1045" t="s">
        <v>31</v>
      </c>
      <c r="D1045" t="s">
        <v>20</v>
      </c>
      <c r="E1045" t="e">
        <f>VLOOKUP(Cpi_[[#This Row],[Attribute]],#REF!,2,FALSE)</f>
        <v>#REF!</v>
      </c>
      <c r="F1045">
        <v>111.6</v>
      </c>
      <c r="G1045">
        <f>(Cpi_[[#This Row],[Value]]-F1044)/F1044</f>
        <v>-3.2928942807625747E-2</v>
      </c>
      <c r="H1045" t="e" cm="1" vm="1">
        <f t="array" aca="1" ref="H1045" ca="1">VLOOKUP(Cpi_[[#This Row],[Year]:[Month]],crudeoil[],3,FALSE)</f>
        <v>#VALUE!</v>
      </c>
    </row>
    <row r="1046" spans="1:8" hidden="1" x14ac:dyDescent="0.3">
      <c r="A1046" t="s">
        <v>34</v>
      </c>
      <c r="B1046">
        <v>2014</v>
      </c>
      <c r="C1046" t="s">
        <v>31</v>
      </c>
      <c r="D1046" t="s">
        <v>21</v>
      </c>
      <c r="E1046" t="e">
        <f>VLOOKUP(Cpi_[[#This Row],[Attribute]],#REF!,2,FALSE)</f>
        <v>#REF!</v>
      </c>
      <c r="F1046">
        <v>112.2</v>
      </c>
      <c r="G1046">
        <f>(Cpi_[[#This Row],[Value]]-F1045)/F1045</f>
        <v>5.3763440860215821E-3</v>
      </c>
      <c r="H1046" t="e" cm="1" vm="1">
        <f t="array" aca="1" ref="H1046" ca="1">VLOOKUP(Cpi_[[#This Row],[Year]:[Month]],crudeoil[],3,FALSE)</f>
        <v>#VALUE!</v>
      </c>
    </row>
    <row r="1047" spans="1:8" hidden="1" x14ac:dyDescent="0.3">
      <c r="A1047" t="s">
        <v>34</v>
      </c>
      <c r="B1047">
        <v>2014</v>
      </c>
      <c r="C1047" t="s">
        <v>31</v>
      </c>
      <c r="D1047" t="s">
        <v>22</v>
      </c>
      <c r="E1047" t="e">
        <f>VLOOKUP(Cpi_[[#This Row],[Attribute]],#REF!,2,FALSE)</f>
        <v>#REF!</v>
      </c>
      <c r="F1047">
        <v>112.3</v>
      </c>
      <c r="G1047">
        <f>(Cpi_[[#This Row],[Value]]-F1046)/F1046</f>
        <v>8.9126559714789941E-4</v>
      </c>
      <c r="H1047" t="e" cm="1" vm="1">
        <f t="array" aca="1" ref="H1047" ca="1">VLOOKUP(Cpi_[[#This Row],[Year]:[Month]],crudeoil[],3,FALSE)</f>
        <v>#VALUE!</v>
      </c>
    </row>
    <row r="1048" spans="1:8" hidden="1" x14ac:dyDescent="0.3">
      <c r="A1048" t="s">
        <v>34</v>
      </c>
      <c r="B1048">
        <v>2014</v>
      </c>
      <c r="C1048" t="s">
        <v>31</v>
      </c>
      <c r="D1048" t="s">
        <v>23</v>
      </c>
      <c r="E1048" t="e">
        <f>VLOOKUP(Cpi_[[#This Row],[Attribute]],#REF!,2,FALSE)</f>
        <v>#REF!</v>
      </c>
      <c r="F1048">
        <v>110.3</v>
      </c>
      <c r="G1048">
        <f>(Cpi_[[#This Row],[Value]]-F1047)/F1047</f>
        <v>-1.7809439002671415E-2</v>
      </c>
      <c r="H1048" t="e" cm="1" vm="1">
        <f t="array" aca="1" ref="H1048" ca="1">VLOOKUP(Cpi_[[#This Row],[Year]:[Month]],crudeoil[],3,FALSE)</f>
        <v>#VALUE!</v>
      </c>
    </row>
    <row r="1049" spans="1:8" hidden="1" x14ac:dyDescent="0.3">
      <c r="A1049" t="s">
        <v>34</v>
      </c>
      <c r="B1049">
        <v>2014</v>
      </c>
      <c r="C1049" t="s">
        <v>31</v>
      </c>
      <c r="D1049" t="s">
        <v>24</v>
      </c>
      <c r="E1049" t="e">
        <f>VLOOKUP(Cpi_[[#This Row],[Attribute]],#REF!,2,FALSE)</f>
        <v>#REF!</v>
      </c>
      <c r="F1049">
        <v>110.7</v>
      </c>
      <c r="G1049">
        <f>(Cpi_[[#This Row],[Value]]-F1048)/F1048</f>
        <v>3.6264732547597977E-3</v>
      </c>
      <c r="H1049" t="e" cm="1" vm="1">
        <f t="array" aca="1" ref="H1049" ca="1">VLOOKUP(Cpi_[[#This Row],[Year]:[Month]],crudeoil[],3,FALSE)</f>
        <v>#VALUE!</v>
      </c>
    </row>
    <row r="1050" spans="1:8" hidden="1" x14ac:dyDescent="0.3">
      <c r="A1050" t="s">
        <v>34</v>
      </c>
      <c r="B1050">
        <v>2014</v>
      </c>
      <c r="C1050" t="s">
        <v>31</v>
      </c>
      <c r="D1050" t="s">
        <v>25</v>
      </c>
      <c r="E1050" t="e">
        <f>VLOOKUP(Cpi_[[#This Row],[Attribute]],#REF!,2,FALSE)</f>
        <v>#REF!</v>
      </c>
      <c r="F1050">
        <v>109.7</v>
      </c>
      <c r="G1050">
        <f>(Cpi_[[#This Row],[Value]]-F1049)/F1049</f>
        <v>-9.0334236675700084E-3</v>
      </c>
      <c r="H1050" t="e" cm="1" vm="1">
        <f t="array" aca="1" ref="H1050" ca="1">VLOOKUP(Cpi_[[#This Row],[Year]:[Month]],crudeoil[],3,FALSE)</f>
        <v>#VALUE!</v>
      </c>
    </row>
    <row r="1051" spans="1:8" hidden="1" x14ac:dyDescent="0.3">
      <c r="A1051" t="s">
        <v>34</v>
      </c>
      <c r="B1051">
        <v>2014</v>
      </c>
      <c r="C1051" t="s">
        <v>31</v>
      </c>
      <c r="D1051" t="s">
        <v>26</v>
      </c>
      <c r="E1051" t="e">
        <f>VLOOKUP(Cpi_[[#This Row],[Attribute]],#REF!,2,FALSE)</f>
        <v>#REF!</v>
      </c>
      <c r="F1051">
        <v>111.6</v>
      </c>
      <c r="G1051">
        <f>(Cpi_[[#This Row],[Value]]-F1050)/F1050</f>
        <v>1.7319963536918791E-2</v>
      </c>
      <c r="H1051" t="e" cm="1" vm="1">
        <f t="array" aca="1" ref="H1051" ca="1">VLOOKUP(Cpi_[[#This Row],[Year]:[Month]],crudeoil[],3,FALSE)</f>
        <v>#VALUE!</v>
      </c>
    </row>
    <row r="1052" spans="1:8" hidden="1" x14ac:dyDescent="0.3">
      <c r="A1052" t="s">
        <v>34</v>
      </c>
      <c r="B1052">
        <v>2014</v>
      </c>
      <c r="C1052" t="s">
        <v>31</v>
      </c>
      <c r="D1052" t="s">
        <v>27</v>
      </c>
      <c r="E1052" t="e">
        <f>VLOOKUP(Cpi_[[#This Row],[Attribute]],#REF!,2,FALSE)</f>
        <v>#REF!</v>
      </c>
      <c r="F1052">
        <v>108.2</v>
      </c>
      <c r="G1052">
        <f>(Cpi_[[#This Row],[Value]]-F1051)/F1051</f>
        <v>-3.0465949820788457E-2</v>
      </c>
      <c r="H1052" t="e" cm="1" vm="1">
        <f t="array" aca="1" ref="H1052" ca="1">VLOOKUP(Cpi_[[#This Row],[Year]:[Month]],crudeoil[],3,FALSE)</f>
        <v>#VALUE!</v>
      </c>
    </row>
    <row r="1053" spans="1:8" hidden="1" x14ac:dyDescent="0.3">
      <c r="A1053" t="s">
        <v>34</v>
      </c>
      <c r="B1053">
        <v>2014</v>
      </c>
      <c r="C1053" t="s">
        <v>31</v>
      </c>
      <c r="D1053" t="s">
        <v>28</v>
      </c>
      <c r="E1053" t="e">
        <f>VLOOKUP(Cpi_[[#This Row],[Attribute]],#REF!,2,FALSE)</f>
        <v>#REF!</v>
      </c>
      <c r="F1053">
        <v>110.6</v>
      </c>
      <c r="G1053">
        <f>(Cpi_[[#This Row],[Value]]-F1052)/F1052</f>
        <v>2.2181146025877924E-2</v>
      </c>
      <c r="H1053" t="e" cm="1" vm="1">
        <f t="array" aca="1" ref="H1053" ca="1">VLOOKUP(Cpi_[[#This Row],[Year]:[Month]],crudeoil[],3,FALSE)</f>
        <v>#VALUE!</v>
      </c>
    </row>
    <row r="1054" spans="1:8" hidden="1" x14ac:dyDescent="0.3">
      <c r="A1054" t="s">
        <v>34</v>
      </c>
      <c r="B1054">
        <v>2014</v>
      </c>
      <c r="C1054" t="s">
        <v>31</v>
      </c>
      <c r="D1054" t="s">
        <v>29</v>
      </c>
      <c r="E1054" t="e" cm="1">
        <f t="array" aca="1" ref="E1054" ca="1">VLGeneral indexGeneral indexKUP(Cpi_[[#This Row],[Attribute]],#REF!,2,FALSE)</f>
        <v>#NAME?</v>
      </c>
      <c r="F1054">
        <v>113.6</v>
      </c>
      <c r="G1054">
        <f>(Cpi_[[#This Row],[Value]]-F1053)/F1053</f>
        <v>2.7124773960217001E-2</v>
      </c>
      <c r="H1054" t="e" cm="1" vm="1">
        <f t="array" aca="1" ref="H1054" ca="1">VLOOKUP(Cpi_[[#This Row],[Year]:[Month]],crudeoil[],3,FALSE)</f>
        <v>#VALUE!</v>
      </c>
    </row>
    <row r="1055" spans="1:8" hidden="1" x14ac:dyDescent="0.3">
      <c r="A1055" t="s">
        <v>30</v>
      </c>
      <c r="B1055">
        <v>2014</v>
      </c>
      <c r="C1055" t="s">
        <v>35</v>
      </c>
      <c r="D1055" t="s">
        <v>3</v>
      </c>
      <c r="E1055" t="e">
        <f>VLOOKUP(Cpi_[[#This Row],[Attribute]],#REF!,2,FALSE)</f>
        <v>#REF!</v>
      </c>
      <c r="F1055">
        <v>119.4</v>
      </c>
      <c r="G1055">
        <f>(Cpi_[[#This Row],[Value]]-F1054)/F1054</f>
        <v>5.105633802816912E-2</v>
      </c>
      <c r="H1055" t="e" cm="1" vm="1">
        <f t="array" aca="1" ref="H1055" ca="1">VLOOKUP(Cpi_[[#This Row],[Year]:[Month]],crudeoil[],3,FALSE)</f>
        <v>#VALUE!</v>
      </c>
    </row>
    <row r="1056" spans="1:8" hidden="1" x14ac:dyDescent="0.3">
      <c r="A1056" t="s">
        <v>30</v>
      </c>
      <c r="B1056">
        <v>2014</v>
      </c>
      <c r="C1056" t="s">
        <v>35</v>
      </c>
      <c r="D1056" t="s">
        <v>4</v>
      </c>
      <c r="E1056" t="e">
        <f>VLOOKUP(Cpi_[[#This Row],[Attribute]],#REF!,2,FALSE)</f>
        <v>#REF!</v>
      </c>
      <c r="F1056">
        <v>117.7</v>
      </c>
      <c r="G1056">
        <f>(Cpi_[[#This Row],[Value]]-F1055)/F1055</f>
        <v>-1.4237855946398682E-2</v>
      </c>
      <c r="H1056" t="e" cm="1" vm="1">
        <f t="array" aca="1" ref="H1056" ca="1">VLOOKUP(Cpi_[[#This Row],[Year]:[Month]],crudeoil[],3,FALSE)</f>
        <v>#VALUE!</v>
      </c>
    </row>
    <row r="1057" spans="1:8" hidden="1" x14ac:dyDescent="0.3">
      <c r="A1057" t="s">
        <v>30</v>
      </c>
      <c r="B1057">
        <v>2014</v>
      </c>
      <c r="C1057" t="s">
        <v>35</v>
      </c>
      <c r="D1057" t="s">
        <v>5</v>
      </c>
      <c r="E1057" t="e">
        <f>VLOOKUP(Cpi_[[#This Row],[Attribute]],#REF!,2,FALSE)</f>
        <v>#REF!</v>
      </c>
      <c r="F1057">
        <v>121.2</v>
      </c>
      <c r="G1057">
        <f>(Cpi_[[#This Row],[Value]]-F1056)/F1056</f>
        <v>2.9736618521665249E-2</v>
      </c>
      <c r="H1057" t="e" cm="1" vm="1">
        <f t="array" aca="1" ref="H1057" ca="1">VLOOKUP(Cpi_[[#This Row],[Year]:[Month]],crudeoil[],3,FALSE)</f>
        <v>#VALUE!</v>
      </c>
    </row>
    <row r="1058" spans="1:8" hidden="1" x14ac:dyDescent="0.3">
      <c r="A1058" t="s">
        <v>30</v>
      </c>
      <c r="B1058">
        <v>2014</v>
      </c>
      <c r="C1058" t="s">
        <v>35</v>
      </c>
      <c r="D1058" t="s">
        <v>6</v>
      </c>
      <c r="E1058" t="e">
        <f>VLOOKUP(Cpi_[[#This Row],[Attribute]],#REF!,2,FALSE)</f>
        <v>#REF!</v>
      </c>
      <c r="F1058">
        <v>115</v>
      </c>
      <c r="G1058">
        <f>(Cpi_[[#This Row],[Value]]-F1057)/F1057</f>
        <v>-5.1155115511551177E-2</v>
      </c>
      <c r="H1058" t="e" cm="1" vm="1">
        <f t="array" aca="1" ref="H1058" ca="1">VLOOKUP(Cpi_[[#This Row],[Year]:[Month]],crudeoil[],3,FALSE)</f>
        <v>#VALUE!</v>
      </c>
    </row>
    <row r="1059" spans="1:8" hidden="1" x14ac:dyDescent="0.3">
      <c r="A1059" t="s">
        <v>30</v>
      </c>
      <c r="B1059">
        <v>2014</v>
      </c>
      <c r="C1059" t="s">
        <v>35</v>
      </c>
      <c r="D1059" t="s">
        <v>7</v>
      </c>
      <c r="E1059" t="e">
        <f>VLOOKUP(Cpi_[[#This Row],[Attribute]],#REF!,2,FALSE)</f>
        <v>#REF!</v>
      </c>
      <c r="F1059">
        <v>109</v>
      </c>
      <c r="G1059">
        <f>(Cpi_[[#This Row],[Value]]-F1058)/F1058</f>
        <v>-5.2173913043478258E-2</v>
      </c>
      <c r="H1059" t="e" cm="1" vm="1">
        <f t="array" aca="1" ref="H1059" ca="1">VLOOKUP(Cpi_[[#This Row],[Year]:[Month]],crudeoil[],3,FALSE)</f>
        <v>#VALUE!</v>
      </c>
    </row>
    <row r="1060" spans="1:8" hidden="1" x14ac:dyDescent="0.3">
      <c r="A1060" t="s">
        <v>30</v>
      </c>
      <c r="B1060">
        <v>2014</v>
      </c>
      <c r="C1060" t="s">
        <v>35</v>
      </c>
      <c r="D1060" t="s">
        <v>8</v>
      </c>
      <c r="E1060" t="e">
        <f>VLOOKUP(Cpi_[[#This Row],[Attribute]],#REF!,2,FALSE)</f>
        <v>#REF!</v>
      </c>
      <c r="F1060">
        <v>116.6</v>
      </c>
      <c r="G1060">
        <f>(Cpi_[[#This Row],[Value]]-F1059)/F1059</f>
        <v>6.9724770642201783E-2</v>
      </c>
      <c r="H1060" t="e" cm="1" vm="1">
        <f t="array" aca="1" ref="H1060" ca="1">VLOOKUP(Cpi_[[#This Row],[Year]:[Month]],crudeoil[],3,FALSE)</f>
        <v>#VALUE!</v>
      </c>
    </row>
    <row r="1061" spans="1:8" hidden="1" x14ac:dyDescent="0.3">
      <c r="A1061" t="s">
        <v>30</v>
      </c>
      <c r="B1061">
        <v>2014</v>
      </c>
      <c r="C1061" t="s">
        <v>35</v>
      </c>
      <c r="D1061" t="s">
        <v>9</v>
      </c>
      <c r="E1061" t="e">
        <f>VLOOKUP(Cpi_[[#This Row],[Attribute]],#REF!,2,FALSE)</f>
        <v>#REF!</v>
      </c>
      <c r="F1061">
        <v>116</v>
      </c>
      <c r="G1061">
        <f>(Cpi_[[#This Row],[Value]]-F1060)/F1060</f>
        <v>-5.1457975986277391E-3</v>
      </c>
      <c r="H1061" t="e" cm="1" vm="1">
        <f t="array" aca="1" ref="H1061" ca="1">VLOOKUP(Cpi_[[#This Row],[Year]:[Month]],crudeoil[],3,FALSE)</f>
        <v>#VALUE!</v>
      </c>
    </row>
    <row r="1062" spans="1:8" hidden="1" x14ac:dyDescent="0.3">
      <c r="A1062" t="s">
        <v>30</v>
      </c>
      <c r="B1062">
        <v>2014</v>
      </c>
      <c r="C1062" t="s">
        <v>35</v>
      </c>
      <c r="D1062" t="s">
        <v>10</v>
      </c>
      <c r="E1062" t="e">
        <f>VLOOKUP(Cpi_[[#This Row],[Attribute]],#REF!,2,FALSE)</f>
        <v>#REF!</v>
      </c>
      <c r="F1062">
        <v>109.8</v>
      </c>
      <c r="G1062">
        <f>(Cpi_[[#This Row],[Value]]-F1061)/F1061</f>
        <v>-5.3448275862068989E-2</v>
      </c>
      <c r="H1062" t="e" cm="1" vm="1">
        <f t="array" aca="1" ref="H1062" ca="1">VLOOKUP(Cpi_[[#This Row],[Year]:[Month]],crudeoil[],3,FALSE)</f>
        <v>#VALUE!</v>
      </c>
    </row>
    <row r="1063" spans="1:8" hidden="1" x14ac:dyDescent="0.3">
      <c r="A1063" t="s">
        <v>30</v>
      </c>
      <c r="B1063">
        <v>2014</v>
      </c>
      <c r="C1063" t="s">
        <v>35</v>
      </c>
      <c r="D1063" t="s">
        <v>11</v>
      </c>
      <c r="E1063" t="e">
        <f>VLOOKUP(Cpi_[[#This Row],[Attribute]],#REF!,2,FALSE)</f>
        <v>#REF!</v>
      </c>
      <c r="F1063">
        <v>101.1</v>
      </c>
      <c r="G1063">
        <f>(Cpi_[[#This Row],[Value]]-F1062)/F1062</f>
        <v>-7.9234972677595661E-2</v>
      </c>
      <c r="H1063" t="e" cm="1" vm="1">
        <f t="array" aca="1" ref="H1063" ca="1">VLOOKUP(Cpi_[[#This Row],[Year]:[Month]],crudeoil[],3,FALSE)</f>
        <v>#VALUE!</v>
      </c>
    </row>
    <row r="1064" spans="1:8" hidden="1" x14ac:dyDescent="0.3">
      <c r="A1064" t="s">
        <v>30</v>
      </c>
      <c r="B1064">
        <v>2014</v>
      </c>
      <c r="C1064" t="s">
        <v>35</v>
      </c>
      <c r="D1064" t="s">
        <v>12</v>
      </c>
      <c r="E1064" t="e">
        <f>VLOOKUP(Cpi_[[#This Row],[Attribute]],#REF!,2,FALSE)</f>
        <v>#REF!</v>
      </c>
      <c r="F1064">
        <v>110.4</v>
      </c>
      <c r="G1064">
        <f>(Cpi_[[#This Row],[Value]]-F1063)/F1063</f>
        <v>9.1988130563798343E-2</v>
      </c>
      <c r="H1064" t="e" cm="1" vm="1">
        <f t="array" aca="1" ref="H1064" ca="1">VLOOKUP(Cpi_[[#This Row],[Year]:[Month]],crudeoil[],3,FALSE)</f>
        <v>#VALUE!</v>
      </c>
    </row>
    <row r="1065" spans="1:8" hidden="1" x14ac:dyDescent="0.3">
      <c r="A1065" t="s">
        <v>30</v>
      </c>
      <c r="B1065">
        <v>2014</v>
      </c>
      <c r="C1065" t="s">
        <v>35</v>
      </c>
      <c r="D1065" t="s">
        <v>13</v>
      </c>
      <c r="E1065" t="e">
        <f>VLOOKUP(Cpi_[[#This Row],[Attribute]],#REF!,2,FALSE)</f>
        <v>#REF!</v>
      </c>
      <c r="F1065">
        <v>112.9</v>
      </c>
      <c r="G1065">
        <f>(Cpi_[[#This Row],[Value]]-F1064)/F1064</f>
        <v>2.2644927536231884E-2</v>
      </c>
      <c r="H1065" t="e" cm="1" vm="1">
        <f t="array" aca="1" ref="H1065" ca="1">VLOOKUP(Cpi_[[#This Row],[Year]:[Month]],crudeoil[],3,FALSE)</f>
        <v>#VALUE!</v>
      </c>
    </row>
    <row r="1066" spans="1:8" hidden="1" x14ac:dyDescent="0.3">
      <c r="A1066" t="s">
        <v>30</v>
      </c>
      <c r="B1066">
        <v>2014</v>
      </c>
      <c r="C1066" t="s">
        <v>35</v>
      </c>
      <c r="D1066" t="s">
        <v>14</v>
      </c>
      <c r="E1066" t="e">
        <f>VLOOKUP(Cpi_[[#This Row],[Attribute]],#REF!,2,FALSE)</f>
        <v>#REF!</v>
      </c>
      <c r="F1066">
        <v>117.8</v>
      </c>
      <c r="G1066">
        <f>(Cpi_[[#This Row],[Value]]-F1065)/F1065</f>
        <v>4.3401240035429507E-2</v>
      </c>
      <c r="H1066" t="e" cm="1" vm="1">
        <f t="array" aca="1" ref="H1066" ca="1">VLOOKUP(Cpi_[[#This Row],[Year]:[Month]],crudeoil[],3,FALSE)</f>
        <v>#VALUE!</v>
      </c>
    </row>
    <row r="1067" spans="1:8" hidden="1" x14ac:dyDescent="0.3">
      <c r="A1067" t="s">
        <v>30</v>
      </c>
      <c r="B1067">
        <v>2014</v>
      </c>
      <c r="C1067" t="s">
        <v>35</v>
      </c>
      <c r="D1067" t="s">
        <v>15</v>
      </c>
      <c r="E1067" t="e">
        <f>VLOOKUP(Cpi_[[#This Row],[Attribute]],#REF!,2,FALSE)</f>
        <v>#REF!</v>
      </c>
      <c r="F1067">
        <v>115.3</v>
      </c>
      <c r="G1067">
        <f>(Cpi_[[#This Row],[Value]]-F1066)/F1066</f>
        <v>-2.1222410865874362E-2</v>
      </c>
      <c r="H1067" t="e" cm="1" vm="1">
        <f t="array" aca="1" ref="H1067" ca="1">VLOOKUP(Cpi_[[#This Row],[Year]:[Month]],crudeoil[],3,FALSE)</f>
        <v>#VALUE!</v>
      </c>
    </row>
    <row r="1068" spans="1:8" hidden="1" x14ac:dyDescent="0.3">
      <c r="A1068" t="s">
        <v>30</v>
      </c>
      <c r="B1068">
        <v>2014</v>
      </c>
      <c r="C1068" t="s">
        <v>35</v>
      </c>
      <c r="D1068" t="s">
        <v>16</v>
      </c>
      <c r="E1068" t="e">
        <f>VLOOKUP(Cpi_[[#This Row],[Attribute]],#REF!,2,FALSE)</f>
        <v>#REF!</v>
      </c>
      <c r="F1068">
        <v>114.2</v>
      </c>
      <c r="G1068">
        <f>(Cpi_[[#This Row],[Value]]-F1067)/F1067</f>
        <v>-9.5403295750216329E-3</v>
      </c>
      <c r="H1068" t="e" cm="1" vm="1">
        <f t="array" aca="1" ref="H1068" ca="1">VLOOKUP(Cpi_[[#This Row],[Year]:[Month]],crudeoil[],3,FALSE)</f>
        <v>#VALUE!</v>
      </c>
    </row>
    <row r="1069" spans="1:8" hidden="1" x14ac:dyDescent="0.3">
      <c r="A1069" t="s">
        <v>30</v>
      </c>
      <c r="B1069">
        <v>2014</v>
      </c>
      <c r="C1069" t="s">
        <v>35</v>
      </c>
      <c r="D1069" t="s">
        <v>17</v>
      </c>
      <c r="E1069" t="e">
        <f>VLOOKUP(Cpi_[[#This Row],[Attribute]],#REF!,2,FALSE)</f>
        <v>#REF!</v>
      </c>
      <c r="F1069">
        <v>117.1</v>
      </c>
      <c r="G1069">
        <f>(Cpi_[[#This Row],[Value]]-F1068)/F1068</f>
        <v>2.5394045534150537E-2</v>
      </c>
      <c r="H1069" t="e" cm="1" vm="1">
        <f t="array" aca="1" ref="H1069" ca="1">VLOOKUP(Cpi_[[#This Row],[Year]:[Month]],crudeoil[],3,FALSE)</f>
        <v>#VALUE!</v>
      </c>
    </row>
    <row r="1070" spans="1:8" hidden="1" x14ac:dyDescent="0.3">
      <c r="A1070" t="s">
        <v>30</v>
      </c>
      <c r="B1070">
        <v>2014</v>
      </c>
      <c r="C1070" t="s">
        <v>35</v>
      </c>
      <c r="D1070" t="s">
        <v>18</v>
      </c>
      <c r="E1070" t="e">
        <f>VLOOKUP(Cpi_[[#This Row],[Attribute]],#REF!,2,FALSE)</f>
        <v>#REF!</v>
      </c>
      <c r="F1070">
        <v>114.5</v>
      </c>
      <c r="G1070">
        <f>(Cpi_[[#This Row],[Value]]-F1069)/F1069</f>
        <v>-2.2203245089666902E-2</v>
      </c>
      <c r="H1070" t="e" cm="1" vm="1">
        <f t="array" aca="1" ref="H1070" ca="1">VLOOKUP(Cpi_[[#This Row],[Year]:[Month]],crudeoil[],3,FALSE)</f>
        <v>#VALUE!</v>
      </c>
    </row>
    <row r="1071" spans="1:8" hidden="1" x14ac:dyDescent="0.3">
      <c r="A1071" t="s">
        <v>30</v>
      </c>
      <c r="B1071">
        <v>2014</v>
      </c>
      <c r="C1071" t="s">
        <v>35</v>
      </c>
      <c r="D1071" t="s">
        <v>19</v>
      </c>
      <c r="E1071" t="e">
        <f>VLOOKUP(Cpi_[[#This Row],[Attribute]],#REF!,2,FALSE)</f>
        <v>#REF!</v>
      </c>
      <c r="F1071">
        <v>116.7</v>
      </c>
      <c r="G1071">
        <f>(Cpi_[[#This Row],[Value]]-F1070)/F1070</f>
        <v>1.9213973799126663E-2</v>
      </c>
      <c r="H1071" t="e" cm="1" vm="1">
        <f t="array" aca="1" ref="H1071" ca="1">VLOOKUP(Cpi_[[#This Row],[Year]:[Month]],crudeoil[],3,FALSE)</f>
        <v>#VALUE!</v>
      </c>
    </row>
    <row r="1072" spans="1:8" hidden="1" x14ac:dyDescent="0.3">
      <c r="A1072" t="s">
        <v>30</v>
      </c>
      <c r="B1072">
        <v>2014</v>
      </c>
      <c r="C1072" t="s">
        <v>35</v>
      </c>
      <c r="D1072" t="s">
        <v>20</v>
      </c>
      <c r="E1072" t="e">
        <f>VLOOKUP(Cpi_[[#This Row],[Attribute]],#REF!,2,FALSE)</f>
        <v>#REF!</v>
      </c>
      <c r="F1072" t="s">
        <v>32</v>
      </c>
      <c r="G1072" t="e">
        <f>(Cpi_[[#This Row],[Value]]-F1071)/F1071</f>
        <v>#VALUE!</v>
      </c>
      <c r="H1072" t="e" cm="1" vm="1">
        <f t="array" aca="1" ref="H1072" ca="1">VLOOKUP(Cpi_[[#This Row],[Year]:[Month]],crudeoil[],3,FALSE)</f>
        <v>#VALUE!</v>
      </c>
    </row>
    <row r="1073" spans="1:8" hidden="1" x14ac:dyDescent="0.3">
      <c r="A1073" t="s">
        <v>30</v>
      </c>
      <c r="B1073">
        <v>2014</v>
      </c>
      <c r="C1073" t="s">
        <v>35</v>
      </c>
      <c r="D1073" t="s">
        <v>21</v>
      </c>
      <c r="E1073" t="e">
        <f>VLOOKUP(Cpi_[[#This Row],[Attribute]],#REF!,2,FALSE)</f>
        <v>#REF!</v>
      </c>
      <c r="F1073">
        <v>113.2</v>
      </c>
      <c r="G1073" t="e">
        <f>(Cpi_[[#This Row],[Value]]-F1072)/F1072</f>
        <v>#VALUE!</v>
      </c>
      <c r="H1073" t="e" cm="1" vm="1">
        <f t="array" aca="1" ref="H1073" ca="1">VLOOKUP(Cpi_[[#This Row],[Year]:[Month]],crudeoil[],3,FALSE)</f>
        <v>#VALUE!</v>
      </c>
    </row>
    <row r="1074" spans="1:8" hidden="1" x14ac:dyDescent="0.3">
      <c r="A1074" t="s">
        <v>30</v>
      </c>
      <c r="B1074">
        <v>2014</v>
      </c>
      <c r="C1074" t="s">
        <v>35</v>
      </c>
      <c r="D1074" t="s">
        <v>22</v>
      </c>
      <c r="E1074" t="e">
        <f>VLOOKUP(Cpi_[[#This Row],[Attribute]],#REF!,2,FALSE)</f>
        <v>#REF!</v>
      </c>
      <c r="F1074">
        <v>112.9</v>
      </c>
      <c r="G1074">
        <f>(Cpi_[[#This Row],[Value]]-F1073)/F1073</f>
        <v>-2.6501766784452047E-3</v>
      </c>
      <c r="H1074" t="e" cm="1" vm="1">
        <f t="array" aca="1" ref="H1074" ca="1">VLOOKUP(Cpi_[[#This Row],[Year]:[Month]],crudeoil[],3,FALSE)</f>
        <v>#VALUE!</v>
      </c>
    </row>
    <row r="1075" spans="1:8" hidden="1" x14ac:dyDescent="0.3">
      <c r="A1075" t="s">
        <v>30</v>
      </c>
      <c r="B1075">
        <v>2014</v>
      </c>
      <c r="C1075" t="s">
        <v>35</v>
      </c>
      <c r="D1075" t="s">
        <v>23</v>
      </c>
      <c r="E1075" t="e">
        <f>VLOOKUP(Cpi_[[#This Row],[Attribute]],#REF!,2,FALSE)</f>
        <v>#REF!</v>
      </c>
      <c r="F1075">
        <v>110.9</v>
      </c>
      <c r="G1075">
        <f>(Cpi_[[#This Row],[Value]]-F1074)/F1074</f>
        <v>-1.7714791851195746E-2</v>
      </c>
      <c r="H1075" t="e" cm="1" vm="1">
        <f t="array" aca="1" ref="H1075" ca="1">VLOOKUP(Cpi_[[#This Row],[Year]:[Month]],crudeoil[],3,FALSE)</f>
        <v>#VALUE!</v>
      </c>
    </row>
    <row r="1076" spans="1:8" hidden="1" x14ac:dyDescent="0.3">
      <c r="A1076" t="s">
        <v>30</v>
      </c>
      <c r="B1076">
        <v>2014</v>
      </c>
      <c r="C1076" t="s">
        <v>35</v>
      </c>
      <c r="D1076" t="s">
        <v>24</v>
      </c>
      <c r="E1076" t="e">
        <f>VLOOKUP(Cpi_[[#This Row],[Attribute]],#REF!,2,FALSE)</f>
        <v>#REF!</v>
      </c>
      <c r="F1076">
        <v>110.8</v>
      </c>
      <c r="G1076">
        <f>(Cpi_[[#This Row],[Value]]-F1075)/F1075</f>
        <v>-9.0171325518492804E-4</v>
      </c>
      <c r="H1076" t="e" cm="1" vm="1">
        <f t="array" aca="1" ref="H1076" ca="1">VLOOKUP(Cpi_[[#This Row],[Year]:[Month]],crudeoil[],3,FALSE)</f>
        <v>#VALUE!</v>
      </c>
    </row>
    <row r="1077" spans="1:8" hidden="1" x14ac:dyDescent="0.3">
      <c r="A1077" t="s">
        <v>30</v>
      </c>
      <c r="B1077">
        <v>2014</v>
      </c>
      <c r="C1077" t="s">
        <v>35</v>
      </c>
      <c r="D1077" t="s">
        <v>25</v>
      </c>
      <c r="E1077" t="e">
        <f>VLOOKUP(Cpi_[[#This Row],[Attribute]],#REF!,2,FALSE)</f>
        <v>#REF!</v>
      </c>
      <c r="F1077">
        <v>109.9</v>
      </c>
      <c r="G1077">
        <f>(Cpi_[[#This Row],[Value]]-F1076)/F1076</f>
        <v>-8.1227436823103922E-3</v>
      </c>
      <c r="H1077" t="e" cm="1" vm="1">
        <f t="array" aca="1" ref="H1077" ca="1">VLOOKUP(Cpi_[[#This Row],[Year]:[Month]],crudeoil[],3,FALSE)</f>
        <v>#VALUE!</v>
      </c>
    </row>
    <row r="1078" spans="1:8" hidden="1" x14ac:dyDescent="0.3">
      <c r="A1078" t="s">
        <v>30</v>
      </c>
      <c r="B1078">
        <v>2014</v>
      </c>
      <c r="C1078" t="s">
        <v>35</v>
      </c>
      <c r="D1078" t="s">
        <v>26</v>
      </c>
      <c r="E1078" t="e">
        <f>VLOOKUP(Cpi_[[#This Row],[Attribute]],#REF!,2,FALSE)</f>
        <v>#REF!</v>
      </c>
      <c r="F1078">
        <v>112</v>
      </c>
      <c r="G1078">
        <f>(Cpi_[[#This Row],[Value]]-F1077)/F1077</f>
        <v>1.9108280254777017E-2</v>
      </c>
      <c r="H1078" t="e" cm="1" vm="1">
        <f t="array" aca="1" ref="H1078" ca="1">VLOOKUP(Cpi_[[#This Row],[Year]:[Month]],crudeoil[],3,FALSE)</f>
        <v>#VALUE!</v>
      </c>
    </row>
    <row r="1079" spans="1:8" hidden="1" x14ac:dyDescent="0.3">
      <c r="A1079" t="s">
        <v>30</v>
      </c>
      <c r="B1079">
        <v>2014</v>
      </c>
      <c r="C1079" t="s">
        <v>35</v>
      </c>
      <c r="D1079" t="s">
        <v>27</v>
      </c>
      <c r="E1079" t="e">
        <f>VLOOKUP(Cpi_[[#This Row],[Attribute]],#REF!,2,FALSE)</f>
        <v>#REF!</v>
      </c>
      <c r="F1079">
        <v>108.7</v>
      </c>
      <c r="G1079">
        <f>(Cpi_[[#This Row],[Value]]-F1078)/F1078</f>
        <v>-2.9464285714285689E-2</v>
      </c>
      <c r="H1079" t="e" cm="1" vm="1">
        <f t="array" aca="1" ref="H1079" ca="1">VLOOKUP(Cpi_[[#This Row],[Year]:[Month]],crudeoil[],3,FALSE)</f>
        <v>#VALUE!</v>
      </c>
    </row>
    <row r="1080" spans="1:8" hidden="1" x14ac:dyDescent="0.3">
      <c r="A1080" t="s">
        <v>30</v>
      </c>
      <c r="B1080">
        <v>2014</v>
      </c>
      <c r="C1080" t="s">
        <v>35</v>
      </c>
      <c r="D1080" t="s">
        <v>28</v>
      </c>
      <c r="E1080" t="e">
        <f>VLOOKUP(Cpi_[[#This Row],[Attribute]],#REF!,2,FALSE)</f>
        <v>#REF!</v>
      </c>
      <c r="F1080">
        <v>110.9</v>
      </c>
      <c r="G1080">
        <f>(Cpi_[[#This Row],[Value]]-F1079)/F1079</f>
        <v>2.0239190432382731E-2</v>
      </c>
      <c r="H1080" t="e" cm="1" vm="1">
        <f t="array" aca="1" ref="H1080" ca="1">VLOOKUP(Cpi_[[#This Row],[Year]:[Month]],crudeoil[],3,FALSE)</f>
        <v>#VALUE!</v>
      </c>
    </row>
    <row r="1081" spans="1:8" hidden="1" x14ac:dyDescent="0.3">
      <c r="A1081" t="s">
        <v>30</v>
      </c>
      <c r="B1081">
        <v>2014</v>
      </c>
      <c r="C1081" t="s">
        <v>35</v>
      </c>
      <c r="D1081" t="s">
        <v>29</v>
      </c>
      <c r="E1081" t="e" cm="1">
        <f t="array" aca="1" ref="E1081" ca="1">VLGeneral indexGeneral indexKUP(Cpi_[[#This Row],[Attribute]],#REF!,2,FALSE)</f>
        <v>#NAME?</v>
      </c>
      <c r="F1081">
        <v>114</v>
      </c>
      <c r="G1081">
        <f>(Cpi_[[#This Row],[Value]]-F1080)/F1080</f>
        <v>2.7953110910730335E-2</v>
      </c>
      <c r="H1081" t="e" cm="1" vm="1">
        <f t="array" aca="1" ref="H1081" ca="1">VLOOKUP(Cpi_[[#This Row],[Year]:[Month]],crudeoil[],3,FALSE)</f>
        <v>#VALUE!</v>
      </c>
    </row>
    <row r="1082" spans="1:8" hidden="1" x14ac:dyDescent="0.3">
      <c r="A1082" t="s">
        <v>33</v>
      </c>
      <c r="B1082">
        <v>2014</v>
      </c>
      <c r="C1082" t="s">
        <v>35</v>
      </c>
      <c r="D1082" t="s">
        <v>3</v>
      </c>
      <c r="E1082" t="e">
        <f>VLOOKUP(Cpi_[[#This Row],[Attribute]],#REF!,2,FALSE)</f>
        <v>#REF!</v>
      </c>
      <c r="F1082">
        <v>121.9</v>
      </c>
      <c r="G1082">
        <f>(Cpi_[[#This Row],[Value]]-F1081)/F1081</f>
        <v>6.9298245614035137E-2</v>
      </c>
      <c r="H1082" t="e" cm="1" vm="1">
        <f t="array" aca="1" ref="H1082" ca="1">VLOOKUP(Cpi_[[#This Row],[Year]:[Month]],crudeoil[],3,FALSE)</f>
        <v>#VALUE!</v>
      </c>
    </row>
    <row r="1083" spans="1:8" hidden="1" x14ac:dyDescent="0.3">
      <c r="A1083" t="s">
        <v>33</v>
      </c>
      <c r="B1083">
        <v>2014</v>
      </c>
      <c r="C1083" t="s">
        <v>35</v>
      </c>
      <c r="D1083" t="s">
        <v>4</v>
      </c>
      <c r="E1083" t="e">
        <f>VLOOKUP(Cpi_[[#This Row],[Attribute]],#REF!,2,FALSE)</f>
        <v>#REF!</v>
      </c>
      <c r="F1083">
        <v>122</v>
      </c>
      <c r="G1083">
        <f>(Cpi_[[#This Row],[Value]]-F1082)/F1082</f>
        <v>8.2034454470873101E-4</v>
      </c>
      <c r="H1083" t="e" cm="1" vm="1">
        <f t="array" aca="1" ref="H1083" ca="1">VLOOKUP(Cpi_[[#This Row],[Year]:[Month]],crudeoil[],3,FALSE)</f>
        <v>#VALUE!</v>
      </c>
    </row>
    <row r="1084" spans="1:8" hidden="1" x14ac:dyDescent="0.3">
      <c r="A1084" t="s">
        <v>33</v>
      </c>
      <c r="B1084">
        <v>2014</v>
      </c>
      <c r="C1084" t="s">
        <v>35</v>
      </c>
      <c r="D1084" t="s">
        <v>5</v>
      </c>
      <c r="E1084" t="e">
        <f>VLOOKUP(Cpi_[[#This Row],[Attribute]],#REF!,2,FALSE)</f>
        <v>#REF!</v>
      </c>
      <c r="F1084">
        <v>124.5</v>
      </c>
      <c r="G1084">
        <f>(Cpi_[[#This Row],[Value]]-F1083)/F1083</f>
        <v>2.0491803278688523E-2</v>
      </c>
      <c r="H1084" t="e" cm="1" vm="1">
        <f t="array" aca="1" ref="H1084" ca="1">VLOOKUP(Cpi_[[#This Row],[Year]:[Month]],crudeoil[],3,FALSE)</f>
        <v>#VALUE!</v>
      </c>
    </row>
    <row r="1085" spans="1:8" hidden="1" x14ac:dyDescent="0.3">
      <c r="A1085" t="s">
        <v>33</v>
      </c>
      <c r="B1085">
        <v>2014</v>
      </c>
      <c r="C1085" t="s">
        <v>35</v>
      </c>
      <c r="D1085" t="s">
        <v>6</v>
      </c>
      <c r="E1085" t="e">
        <f>VLOOKUP(Cpi_[[#This Row],[Attribute]],#REF!,2,FALSE)</f>
        <v>#REF!</v>
      </c>
      <c r="F1085">
        <v>115.2</v>
      </c>
      <c r="G1085">
        <f>(Cpi_[[#This Row],[Value]]-F1084)/F1084</f>
        <v>-7.4698795180722866E-2</v>
      </c>
      <c r="H1085" t="e" cm="1" vm="1">
        <f t="array" aca="1" ref="H1085" ca="1">VLOOKUP(Cpi_[[#This Row],[Year]:[Month]],crudeoil[],3,FALSE)</f>
        <v>#VALUE!</v>
      </c>
    </row>
    <row r="1086" spans="1:8" hidden="1" x14ac:dyDescent="0.3">
      <c r="A1086" t="s">
        <v>33</v>
      </c>
      <c r="B1086">
        <v>2014</v>
      </c>
      <c r="C1086" t="s">
        <v>35</v>
      </c>
      <c r="D1086" t="s">
        <v>7</v>
      </c>
      <c r="E1086" t="e">
        <f>VLOOKUP(Cpi_[[#This Row],[Attribute]],#REF!,2,FALSE)</f>
        <v>#REF!</v>
      </c>
      <c r="F1086">
        <v>102.5</v>
      </c>
      <c r="G1086">
        <f>(Cpi_[[#This Row],[Value]]-F1085)/F1085</f>
        <v>-0.11024305555555558</v>
      </c>
      <c r="H1086" t="e" cm="1" vm="1">
        <f t="array" aca="1" ref="H1086" ca="1">VLOOKUP(Cpi_[[#This Row],[Year]:[Month]],crudeoil[],3,FALSE)</f>
        <v>#VALUE!</v>
      </c>
    </row>
    <row r="1087" spans="1:8" hidden="1" x14ac:dyDescent="0.3">
      <c r="A1087" t="s">
        <v>33</v>
      </c>
      <c r="B1087">
        <v>2014</v>
      </c>
      <c r="C1087" t="s">
        <v>35</v>
      </c>
      <c r="D1087" t="s">
        <v>8</v>
      </c>
      <c r="E1087" t="e">
        <f>VLOOKUP(Cpi_[[#This Row],[Attribute]],#REF!,2,FALSE)</f>
        <v>#REF!</v>
      </c>
      <c r="F1087">
        <v>114.1</v>
      </c>
      <c r="G1087">
        <f>(Cpi_[[#This Row],[Value]]-F1086)/F1086</f>
        <v>0.11317073170731702</v>
      </c>
      <c r="H1087" t="e" cm="1" vm="1">
        <f t="array" aca="1" ref="H1087" ca="1">VLOOKUP(Cpi_[[#This Row],[Year]:[Month]],crudeoil[],3,FALSE)</f>
        <v>#VALUE!</v>
      </c>
    </row>
    <row r="1088" spans="1:8" hidden="1" x14ac:dyDescent="0.3">
      <c r="A1088" t="s">
        <v>33</v>
      </c>
      <c r="B1088">
        <v>2014</v>
      </c>
      <c r="C1088" t="s">
        <v>35</v>
      </c>
      <c r="D1088" t="s">
        <v>9</v>
      </c>
      <c r="E1088" t="e">
        <f>VLOOKUP(Cpi_[[#This Row],[Attribute]],#REF!,2,FALSE)</f>
        <v>#REF!</v>
      </c>
      <c r="F1088">
        <v>111.5</v>
      </c>
      <c r="G1088">
        <f>(Cpi_[[#This Row],[Value]]-F1087)/F1087</f>
        <v>-2.2787028921998197E-2</v>
      </c>
      <c r="H1088" t="e" cm="1" vm="1">
        <f t="array" aca="1" ref="H1088" ca="1">VLOOKUP(Cpi_[[#This Row],[Year]:[Month]],crudeoil[],3,FALSE)</f>
        <v>#VALUE!</v>
      </c>
    </row>
    <row r="1089" spans="1:8" hidden="1" x14ac:dyDescent="0.3">
      <c r="A1089" t="s">
        <v>33</v>
      </c>
      <c r="B1089">
        <v>2014</v>
      </c>
      <c r="C1089" t="s">
        <v>35</v>
      </c>
      <c r="D1089" t="s">
        <v>10</v>
      </c>
      <c r="E1089" t="e">
        <f>VLOOKUP(Cpi_[[#This Row],[Attribute]],#REF!,2,FALSE)</f>
        <v>#REF!</v>
      </c>
      <c r="F1089">
        <v>108.2</v>
      </c>
      <c r="G1089">
        <f>(Cpi_[[#This Row],[Value]]-F1088)/F1088</f>
        <v>-2.9596412556053785E-2</v>
      </c>
      <c r="H1089" t="e" cm="1" vm="1">
        <f t="array" aca="1" ref="H1089" ca="1">VLOOKUP(Cpi_[[#This Row],[Year]:[Month]],crudeoil[],3,FALSE)</f>
        <v>#VALUE!</v>
      </c>
    </row>
    <row r="1090" spans="1:8" hidden="1" x14ac:dyDescent="0.3">
      <c r="A1090" t="s">
        <v>33</v>
      </c>
      <c r="B1090">
        <v>2014</v>
      </c>
      <c r="C1090" t="s">
        <v>35</v>
      </c>
      <c r="D1090" t="s">
        <v>11</v>
      </c>
      <c r="E1090" t="e">
        <f>VLOOKUP(Cpi_[[#This Row],[Attribute]],#REF!,2,FALSE)</f>
        <v>#REF!</v>
      </c>
      <c r="F1090">
        <v>95.4</v>
      </c>
      <c r="G1090">
        <f>(Cpi_[[#This Row],[Value]]-F1089)/F1089</f>
        <v>-0.11829944547134932</v>
      </c>
      <c r="H1090" t="e" cm="1" vm="1">
        <f t="array" aca="1" ref="H1090" ca="1">VLOOKUP(Cpi_[[#This Row],[Year]:[Month]],crudeoil[],3,FALSE)</f>
        <v>#VALUE!</v>
      </c>
    </row>
    <row r="1091" spans="1:8" hidden="1" x14ac:dyDescent="0.3">
      <c r="A1091" t="s">
        <v>33</v>
      </c>
      <c r="B1091">
        <v>2014</v>
      </c>
      <c r="C1091" t="s">
        <v>35</v>
      </c>
      <c r="D1091" t="s">
        <v>12</v>
      </c>
      <c r="E1091" t="e">
        <f>VLOOKUP(Cpi_[[#This Row],[Attribute]],#REF!,2,FALSE)</f>
        <v>#REF!</v>
      </c>
      <c r="F1091">
        <v>113.5</v>
      </c>
      <c r="G1091">
        <f>(Cpi_[[#This Row],[Value]]-F1090)/F1090</f>
        <v>0.18972746331236889</v>
      </c>
      <c r="H1091" t="e" cm="1" vm="1">
        <f t="array" aca="1" ref="H1091" ca="1">VLOOKUP(Cpi_[[#This Row],[Year]:[Month]],crudeoil[],3,FALSE)</f>
        <v>#VALUE!</v>
      </c>
    </row>
    <row r="1092" spans="1:8" hidden="1" x14ac:dyDescent="0.3">
      <c r="A1092" t="s">
        <v>33</v>
      </c>
      <c r="B1092">
        <v>2014</v>
      </c>
      <c r="C1092" t="s">
        <v>35</v>
      </c>
      <c r="D1092" t="s">
        <v>13</v>
      </c>
      <c r="E1092" t="e">
        <f>VLOOKUP(Cpi_[[#This Row],[Attribute]],#REF!,2,FALSE)</f>
        <v>#REF!</v>
      </c>
      <c r="F1092">
        <v>112.1</v>
      </c>
      <c r="G1092">
        <f>(Cpi_[[#This Row],[Value]]-F1091)/F1091</f>
        <v>-1.2334801762114588E-2</v>
      </c>
      <c r="H1092" t="e" cm="1" vm="1">
        <f t="array" aca="1" ref="H1092" ca="1">VLOOKUP(Cpi_[[#This Row],[Year]:[Month]],crudeoil[],3,FALSE)</f>
        <v>#VALUE!</v>
      </c>
    </row>
    <row r="1093" spans="1:8" hidden="1" x14ac:dyDescent="0.3">
      <c r="A1093" t="s">
        <v>33</v>
      </c>
      <c r="B1093">
        <v>2014</v>
      </c>
      <c r="C1093" t="s">
        <v>35</v>
      </c>
      <c r="D1093" t="s">
        <v>14</v>
      </c>
      <c r="E1093" t="e">
        <f>VLOOKUP(Cpi_[[#This Row],[Attribute]],#REF!,2,FALSE)</f>
        <v>#REF!</v>
      </c>
      <c r="F1093">
        <v>119.9</v>
      </c>
      <c r="G1093">
        <f>(Cpi_[[#This Row],[Value]]-F1092)/F1092</f>
        <v>6.9580731489741407E-2</v>
      </c>
      <c r="H1093" t="e" cm="1" vm="1">
        <f t="array" aca="1" ref="H1093" ca="1">VLOOKUP(Cpi_[[#This Row],[Year]:[Month]],crudeoil[],3,FALSE)</f>
        <v>#VALUE!</v>
      </c>
    </row>
    <row r="1094" spans="1:8" hidden="1" x14ac:dyDescent="0.3">
      <c r="A1094" t="s">
        <v>33</v>
      </c>
      <c r="B1094">
        <v>2014</v>
      </c>
      <c r="C1094" t="s">
        <v>35</v>
      </c>
      <c r="D1094" t="s">
        <v>15</v>
      </c>
      <c r="E1094" t="e">
        <f>VLOOKUP(Cpi_[[#This Row],[Attribute]],#REF!,2,FALSE)</f>
        <v>#REF!</v>
      </c>
      <c r="F1094">
        <v>115.2</v>
      </c>
      <c r="G1094">
        <f>(Cpi_[[#This Row],[Value]]-F1093)/F1093</f>
        <v>-3.9199332777314452E-2</v>
      </c>
      <c r="H1094" t="e" cm="1" vm="1">
        <f t="array" aca="1" ref="H1094" ca="1">VLOOKUP(Cpi_[[#This Row],[Year]:[Month]],crudeoil[],3,FALSE)</f>
        <v>#VALUE!</v>
      </c>
    </row>
    <row r="1095" spans="1:8" hidden="1" x14ac:dyDescent="0.3">
      <c r="A1095" t="s">
        <v>33</v>
      </c>
      <c r="B1095">
        <v>2014</v>
      </c>
      <c r="C1095" t="s">
        <v>35</v>
      </c>
      <c r="D1095" t="s">
        <v>16</v>
      </c>
      <c r="E1095" t="e">
        <f>VLOOKUP(Cpi_[[#This Row],[Attribute]],#REF!,2,FALSE)</f>
        <v>#REF!</v>
      </c>
      <c r="F1095">
        <v>116.2</v>
      </c>
      <c r="G1095">
        <f>(Cpi_[[#This Row],[Value]]-F1094)/F1094</f>
        <v>8.6805555555555559E-3</v>
      </c>
      <c r="H1095" t="e" cm="1" vm="1">
        <f t="array" aca="1" ref="H1095" ca="1">VLOOKUP(Cpi_[[#This Row],[Year]:[Month]],crudeoil[],3,FALSE)</f>
        <v>#VALUE!</v>
      </c>
    </row>
    <row r="1096" spans="1:8" hidden="1" x14ac:dyDescent="0.3">
      <c r="A1096" t="s">
        <v>33</v>
      </c>
      <c r="B1096">
        <v>2014</v>
      </c>
      <c r="C1096" t="s">
        <v>35</v>
      </c>
      <c r="D1096" t="s">
        <v>17</v>
      </c>
      <c r="E1096" t="e">
        <f>VLOOKUP(Cpi_[[#This Row],[Attribute]],#REF!,2,FALSE)</f>
        <v>#REF!</v>
      </c>
      <c r="F1096">
        <v>115.3</v>
      </c>
      <c r="G1096">
        <f>(Cpi_[[#This Row],[Value]]-F1095)/F1095</f>
        <v>-7.7452667814114085E-3</v>
      </c>
      <c r="H1096" t="e" cm="1" vm="1">
        <f t="array" aca="1" ref="H1096" ca="1">VLOOKUP(Cpi_[[#This Row],[Year]:[Month]],crudeoil[],3,FALSE)</f>
        <v>#VALUE!</v>
      </c>
    </row>
    <row r="1097" spans="1:8" hidden="1" x14ac:dyDescent="0.3">
      <c r="A1097" t="s">
        <v>33</v>
      </c>
      <c r="B1097">
        <v>2014</v>
      </c>
      <c r="C1097" t="s">
        <v>35</v>
      </c>
      <c r="D1097" t="s">
        <v>18</v>
      </c>
      <c r="E1097" t="e">
        <f>VLOOKUP(Cpi_[[#This Row],[Attribute]],#REF!,2,FALSE)</f>
        <v>#REF!</v>
      </c>
      <c r="F1097">
        <v>111.7</v>
      </c>
      <c r="G1097">
        <f>(Cpi_[[#This Row],[Value]]-F1096)/F1096</f>
        <v>-3.1222896790980004E-2</v>
      </c>
      <c r="H1097" t="e" cm="1" vm="1">
        <f t="array" aca="1" ref="H1097" ca="1">VLOOKUP(Cpi_[[#This Row],[Year]:[Month]],crudeoil[],3,FALSE)</f>
        <v>#VALUE!</v>
      </c>
    </row>
    <row r="1098" spans="1:8" hidden="1" x14ac:dyDescent="0.3">
      <c r="A1098" t="s">
        <v>33</v>
      </c>
      <c r="B1098">
        <v>2014</v>
      </c>
      <c r="C1098" t="s">
        <v>35</v>
      </c>
      <c r="D1098" t="s">
        <v>19</v>
      </c>
      <c r="E1098" t="e">
        <f>VLOOKUP(Cpi_[[#This Row],[Attribute]],#REF!,2,FALSE)</f>
        <v>#REF!</v>
      </c>
      <c r="F1098">
        <v>114.7</v>
      </c>
      <c r="G1098">
        <f>(Cpi_[[#This Row],[Value]]-F1097)/F1097</f>
        <v>2.685765443151298E-2</v>
      </c>
      <c r="H1098" t="e" cm="1" vm="1">
        <f t="array" aca="1" ref="H1098" ca="1">VLOOKUP(Cpi_[[#This Row],[Year]:[Month]],crudeoil[],3,FALSE)</f>
        <v>#VALUE!</v>
      </c>
    </row>
    <row r="1099" spans="1:8" hidden="1" x14ac:dyDescent="0.3">
      <c r="A1099" t="s">
        <v>33</v>
      </c>
      <c r="B1099">
        <v>2014</v>
      </c>
      <c r="C1099" t="s">
        <v>35</v>
      </c>
      <c r="D1099" t="s">
        <v>20</v>
      </c>
      <c r="E1099" t="e">
        <f>VLOOKUP(Cpi_[[#This Row],[Attribute]],#REF!,2,FALSE)</f>
        <v>#REF!</v>
      </c>
      <c r="F1099">
        <v>112.5</v>
      </c>
      <c r="G1099">
        <f>(Cpi_[[#This Row],[Value]]-F1098)/F1098</f>
        <v>-1.9180470793374045E-2</v>
      </c>
      <c r="H1099" t="e" cm="1" vm="1">
        <f t="array" aca="1" ref="H1099" ca="1">VLOOKUP(Cpi_[[#This Row],[Year]:[Month]],crudeoil[],3,FALSE)</f>
        <v>#VALUE!</v>
      </c>
    </row>
    <row r="1100" spans="1:8" hidden="1" x14ac:dyDescent="0.3">
      <c r="A1100" t="s">
        <v>33</v>
      </c>
      <c r="B1100">
        <v>2014</v>
      </c>
      <c r="C1100" t="s">
        <v>35</v>
      </c>
      <c r="D1100" t="s">
        <v>21</v>
      </c>
      <c r="E1100" t="e">
        <f>VLOOKUP(Cpi_[[#This Row],[Attribute]],#REF!,2,FALSE)</f>
        <v>#REF!</v>
      </c>
      <c r="F1100">
        <v>111.1</v>
      </c>
      <c r="G1100">
        <f>(Cpi_[[#This Row],[Value]]-F1099)/F1099</f>
        <v>-1.2444444444444496E-2</v>
      </c>
      <c r="H1100" t="e" cm="1" vm="1">
        <f t="array" aca="1" ref="H1100" ca="1">VLOOKUP(Cpi_[[#This Row],[Year]:[Month]],crudeoil[],3,FALSE)</f>
        <v>#VALUE!</v>
      </c>
    </row>
    <row r="1101" spans="1:8" hidden="1" x14ac:dyDescent="0.3">
      <c r="A1101" t="s">
        <v>33</v>
      </c>
      <c r="B1101">
        <v>2014</v>
      </c>
      <c r="C1101" t="s">
        <v>35</v>
      </c>
      <c r="D1101" t="s">
        <v>22</v>
      </c>
      <c r="E1101" t="e">
        <f>VLOOKUP(Cpi_[[#This Row],[Attribute]],#REF!,2,FALSE)</f>
        <v>#REF!</v>
      </c>
      <c r="F1101">
        <v>112.6</v>
      </c>
      <c r="G1101">
        <f>(Cpi_[[#This Row],[Value]]-F1100)/F1100</f>
        <v>1.3501350135013503E-2</v>
      </c>
      <c r="H1101" t="e" cm="1" vm="1">
        <f t="array" aca="1" ref="H1101" ca="1">VLOOKUP(Cpi_[[#This Row],[Year]:[Month]],crudeoil[],3,FALSE)</f>
        <v>#VALUE!</v>
      </c>
    </row>
    <row r="1102" spans="1:8" hidden="1" x14ac:dyDescent="0.3">
      <c r="A1102" t="s">
        <v>33</v>
      </c>
      <c r="B1102">
        <v>2014</v>
      </c>
      <c r="C1102" t="s">
        <v>35</v>
      </c>
      <c r="D1102" t="s">
        <v>23</v>
      </c>
      <c r="E1102" t="e">
        <f>VLOOKUP(Cpi_[[#This Row],[Attribute]],#REF!,2,FALSE)</f>
        <v>#REF!</v>
      </c>
      <c r="F1102">
        <v>110.4</v>
      </c>
      <c r="G1102">
        <f>(Cpi_[[#This Row],[Value]]-F1101)/F1101</f>
        <v>-1.9538188277086935E-2</v>
      </c>
      <c r="H1102" t="e" cm="1" vm="1">
        <f t="array" aca="1" ref="H1102" ca="1">VLOOKUP(Cpi_[[#This Row],[Year]:[Month]],crudeoil[],3,FALSE)</f>
        <v>#VALUE!</v>
      </c>
    </row>
    <row r="1103" spans="1:8" hidden="1" x14ac:dyDescent="0.3">
      <c r="A1103" t="s">
        <v>33</v>
      </c>
      <c r="B1103">
        <v>2014</v>
      </c>
      <c r="C1103" t="s">
        <v>35</v>
      </c>
      <c r="D1103" t="s">
        <v>24</v>
      </c>
      <c r="E1103" t="e">
        <f>VLOOKUP(Cpi_[[#This Row],[Attribute]],#REF!,2,FALSE)</f>
        <v>#REF!</v>
      </c>
      <c r="F1103">
        <v>111.3</v>
      </c>
      <c r="G1103">
        <f>(Cpi_[[#This Row],[Value]]-F1102)/F1102</f>
        <v>8.1521739130434E-3</v>
      </c>
      <c r="H1103" t="e" cm="1" vm="1">
        <f t="array" aca="1" ref="H1103" ca="1">VLOOKUP(Cpi_[[#This Row],[Year]:[Month]],crudeoil[],3,FALSE)</f>
        <v>#VALUE!</v>
      </c>
    </row>
    <row r="1104" spans="1:8" hidden="1" x14ac:dyDescent="0.3">
      <c r="A1104" t="s">
        <v>33</v>
      </c>
      <c r="B1104">
        <v>2014</v>
      </c>
      <c r="C1104" t="s">
        <v>35</v>
      </c>
      <c r="D1104" t="s">
        <v>25</v>
      </c>
      <c r="E1104" t="e">
        <f>VLOOKUP(Cpi_[[#This Row],[Attribute]],#REF!,2,FALSE)</f>
        <v>#REF!</v>
      </c>
      <c r="F1104">
        <v>110.3</v>
      </c>
      <c r="G1104">
        <f>(Cpi_[[#This Row],[Value]]-F1103)/F1103</f>
        <v>-8.9847259658580418E-3</v>
      </c>
      <c r="H1104" t="e" cm="1" vm="1">
        <f t="array" aca="1" ref="H1104" ca="1">VLOOKUP(Cpi_[[#This Row],[Year]:[Month]],crudeoil[],3,FALSE)</f>
        <v>#VALUE!</v>
      </c>
    </row>
    <row r="1105" spans="1:8" hidden="1" x14ac:dyDescent="0.3">
      <c r="A1105" t="s">
        <v>33</v>
      </c>
      <c r="B1105">
        <v>2014</v>
      </c>
      <c r="C1105" t="s">
        <v>35</v>
      </c>
      <c r="D1105" t="s">
        <v>26</v>
      </c>
      <c r="E1105" t="e">
        <f>VLOOKUP(Cpi_[[#This Row],[Attribute]],#REF!,2,FALSE)</f>
        <v>#REF!</v>
      </c>
      <c r="F1105">
        <v>111.6</v>
      </c>
      <c r="G1105">
        <f>(Cpi_[[#This Row],[Value]]-F1104)/F1104</f>
        <v>1.1786038077969149E-2</v>
      </c>
      <c r="H1105" t="e" cm="1" vm="1">
        <f t="array" aca="1" ref="H1105" ca="1">VLOOKUP(Cpi_[[#This Row],[Year]:[Month]],crudeoil[],3,FALSE)</f>
        <v>#VALUE!</v>
      </c>
    </row>
    <row r="1106" spans="1:8" hidden="1" x14ac:dyDescent="0.3">
      <c r="A1106" t="s">
        <v>33</v>
      </c>
      <c r="B1106">
        <v>2014</v>
      </c>
      <c r="C1106" t="s">
        <v>35</v>
      </c>
      <c r="D1106" t="s">
        <v>27</v>
      </c>
      <c r="E1106" t="e">
        <f>VLOOKUP(Cpi_[[#This Row],[Attribute]],#REF!,2,FALSE)</f>
        <v>#REF!</v>
      </c>
      <c r="F1106">
        <v>108.7</v>
      </c>
      <c r="G1106">
        <f>(Cpi_[[#This Row],[Value]]-F1105)/F1105</f>
        <v>-2.5985663082437202E-2</v>
      </c>
      <c r="H1106" t="e" cm="1" vm="1">
        <f t="array" aca="1" ref="H1106" ca="1">VLOOKUP(Cpi_[[#This Row],[Year]:[Month]],crudeoil[],3,FALSE)</f>
        <v>#VALUE!</v>
      </c>
    </row>
    <row r="1107" spans="1:8" hidden="1" x14ac:dyDescent="0.3">
      <c r="A1107" t="s">
        <v>33</v>
      </c>
      <c r="B1107">
        <v>2014</v>
      </c>
      <c r="C1107" t="s">
        <v>35</v>
      </c>
      <c r="D1107" t="s">
        <v>28</v>
      </c>
      <c r="E1107" t="e">
        <f>VLOOKUP(Cpi_[[#This Row],[Attribute]],#REF!,2,FALSE)</f>
        <v>#REF!</v>
      </c>
      <c r="F1107">
        <v>111</v>
      </c>
      <c r="G1107">
        <f>(Cpi_[[#This Row],[Value]]-F1106)/F1106</f>
        <v>2.1159153633854618E-2</v>
      </c>
      <c r="H1107" t="e" cm="1" vm="1">
        <f t="array" aca="1" ref="H1107" ca="1">VLOOKUP(Cpi_[[#This Row],[Year]:[Month]],crudeoil[],3,FALSE)</f>
        <v>#VALUE!</v>
      </c>
    </row>
    <row r="1108" spans="1:8" hidden="1" x14ac:dyDescent="0.3">
      <c r="A1108" t="s">
        <v>33</v>
      </c>
      <c r="B1108">
        <v>2014</v>
      </c>
      <c r="C1108" t="s">
        <v>35</v>
      </c>
      <c r="D1108" t="s">
        <v>29</v>
      </c>
      <c r="E1108" t="e" cm="1">
        <f t="array" aca="1" ref="E1108" ca="1">VLGeneral indexGeneral indexKUP(Cpi_[[#This Row],[Attribute]],#REF!,2,FALSE)</f>
        <v>#NAME?</v>
      </c>
      <c r="F1108">
        <v>113.1</v>
      </c>
      <c r="G1108">
        <f>(Cpi_[[#This Row],[Value]]-F1107)/F1107</f>
        <v>1.8918918918918868E-2</v>
      </c>
      <c r="H1108" t="e" cm="1" vm="1">
        <f t="array" aca="1" ref="H1108" ca="1">VLOOKUP(Cpi_[[#This Row],[Year]:[Month]],crudeoil[],3,FALSE)</f>
        <v>#VALUE!</v>
      </c>
    </row>
    <row r="1109" spans="1:8" hidden="1" x14ac:dyDescent="0.3">
      <c r="A1109" t="s">
        <v>34</v>
      </c>
      <c r="B1109">
        <v>2014</v>
      </c>
      <c r="C1109" t="s">
        <v>35</v>
      </c>
      <c r="D1109" t="s">
        <v>3</v>
      </c>
      <c r="E1109" t="e">
        <f>VLOOKUP(Cpi_[[#This Row],[Attribute]],#REF!,2,FALSE)</f>
        <v>#REF!</v>
      </c>
      <c r="F1109">
        <v>120.2</v>
      </c>
      <c r="G1109">
        <f>(Cpi_[[#This Row],[Value]]-F1108)/F1108</f>
        <v>6.2776304155614582E-2</v>
      </c>
      <c r="H1109" t="e" cm="1" vm="1">
        <f t="array" aca="1" ref="H1109" ca="1">VLOOKUP(Cpi_[[#This Row],[Year]:[Month]],crudeoil[],3,FALSE)</f>
        <v>#VALUE!</v>
      </c>
    </row>
    <row r="1110" spans="1:8" hidden="1" x14ac:dyDescent="0.3">
      <c r="A1110" t="s">
        <v>34</v>
      </c>
      <c r="B1110">
        <v>2014</v>
      </c>
      <c r="C1110" t="s">
        <v>35</v>
      </c>
      <c r="D1110" t="s">
        <v>4</v>
      </c>
      <c r="E1110" t="e">
        <f>VLOOKUP(Cpi_[[#This Row],[Attribute]],#REF!,2,FALSE)</f>
        <v>#REF!</v>
      </c>
      <c r="F1110">
        <v>119.2</v>
      </c>
      <c r="G1110">
        <f>(Cpi_[[#This Row],[Value]]-F1109)/F1109</f>
        <v>-8.3194675540765387E-3</v>
      </c>
      <c r="H1110" t="e" cm="1" vm="1">
        <f t="array" aca="1" ref="H1110" ca="1">VLOOKUP(Cpi_[[#This Row],[Year]:[Month]],crudeoil[],3,FALSE)</f>
        <v>#VALUE!</v>
      </c>
    </row>
    <row r="1111" spans="1:8" hidden="1" x14ac:dyDescent="0.3">
      <c r="A1111" t="s">
        <v>34</v>
      </c>
      <c r="B1111">
        <v>2014</v>
      </c>
      <c r="C1111" t="s">
        <v>35</v>
      </c>
      <c r="D1111" t="s">
        <v>5</v>
      </c>
      <c r="E1111" t="e">
        <f>VLOOKUP(Cpi_[[#This Row],[Attribute]],#REF!,2,FALSE)</f>
        <v>#REF!</v>
      </c>
      <c r="F1111">
        <v>122.5</v>
      </c>
      <c r="G1111">
        <f>(Cpi_[[#This Row],[Value]]-F1110)/F1110</f>
        <v>2.7684563758389236E-2</v>
      </c>
      <c r="H1111" t="e" cm="1" vm="1">
        <f t="array" aca="1" ref="H1111" ca="1">VLOOKUP(Cpi_[[#This Row],[Year]:[Month]],crudeoil[],3,FALSE)</f>
        <v>#VALUE!</v>
      </c>
    </row>
    <row r="1112" spans="1:8" hidden="1" x14ac:dyDescent="0.3">
      <c r="A1112" t="s">
        <v>34</v>
      </c>
      <c r="B1112">
        <v>2014</v>
      </c>
      <c r="C1112" t="s">
        <v>35</v>
      </c>
      <c r="D1112" t="s">
        <v>6</v>
      </c>
      <c r="E1112" t="e">
        <f>VLOOKUP(Cpi_[[#This Row],[Attribute]],#REF!,2,FALSE)</f>
        <v>#REF!</v>
      </c>
      <c r="F1112">
        <v>115.1</v>
      </c>
      <c r="G1112">
        <f>(Cpi_[[#This Row],[Value]]-F1111)/F1111</f>
        <v>-6.0408163265306167E-2</v>
      </c>
      <c r="H1112" t="e" cm="1" vm="1">
        <f t="array" aca="1" ref="H1112" ca="1">VLOOKUP(Cpi_[[#This Row],[Year]:[Month]],crudeoil[],3,FALSE)</f>
        <v>#VALUE!</v>
      </c>
    </row>
    <row r="1113" spans="1:8" hidden="1" x14ac:dyDescent="0.3">
      <c r="A1113" t="s">
        <v>34</v>
      </c>
      <c r="B1113">
        <v>2014</v>
      </c>
      <c r="C1113" t="s">
        <v>35</v>
      </c>
      <c r="D1113" t="s">
        <v>7</v>
      </c>
      <c r="E1113" t="e">
        <f>VLOOKUP(Cpi_[[#This Row],[Attribute]],#REF!,2,FALSE)</f>
        <v>#REF!</v>
      </c>
      <c r="F1113">
        <v>106.6</v>
      </c>
      <c r="G1113">
        <f>(Cpi_[[#This Row],[Value]]-F1112)/F1112</f>
        <v>-7.3848827106863607E-2</v>
      </c>
      <c r="H1113" t="e" cm="1" vm="1">
        <f t="array" aca="1" ref="H1113" ca="1">VLOOKUP(Cpi_[[#This Row],[Year]:[Month]],crudeoil[],3,FALSE)</f>
        <v>#VALUE!</v>
      </c>
    </row>
    <row r="1114" spans="1:8" hidden="1" x14ac:dyDescent="0.3">
      <c r="A1114" t="s">
        <v>34</v>
      </c>
      <c r="B1114">
        <v>2014</v>
      </c>
      <c r="C1114" t="s">
        <v>35</v>
      </c>
      <c r="D1114" t="s">
        <v>8</v>
      </c>
      <c r="E1114" t="e">
        <f>VLOOKUP(Cpi_[[#This Row],[Attribute]],#REF!,2,FALSE)</f>
        <v>#REF!</v>
      </c>
      <c r="F1114">
        <v>115.4</v>
      </c>
      <c r="G1114">
        <f>(Cpi_[[#This Row],[Value]]-F1113)/F1113</f>
        <v>8.2551594746716805E-2</v>
      </c>
      <c r="H1114" t="e" cm="1" vm="1">
        <f t="array" aca="1" ref="H1114" ca="1">VLOOKUP(Cpi_[[#This Row],[Year]:[Month]],crudeoil[],3,FALSE)</f>
        <v>#VALUE!</v>
      </c>
    </row>
    <row r="1115" spans="1:8" hidden="1" x14ac:dyDescent="0.3">
      <c r="A1115" t="s">
        <v>34</v>
      </c>
      <c r="B1115">
        <v>2014</v>
      </c>
      <c r="C1115" t="s">
        <v>35</v>
      </c>
      <c r="D1115" t="s">
        <v>9</v>
      </c>
      <c r="E1115" t="e">
        <f>VLOOKUP(Cpi_[[#This Row],[Attribute]],#REF!,2,FALSE)</f>
        <v>#REF!</v>
      </c>
      <c r="F1115">
        <v>114.5</v>
      </c>
      <c r="G1115">
        <f>(Cpi_[[#This Row],[Value]]-F1114)/F1114</f>
        <v>-7.7989601386482289E-3</v>
      </c>
      <c r="H1115" t="e" cm="1" vm="1">
        <f t="array" aca="1" ref="H1115" ca="1">VLOOKUP(Cpi_[[#This Row],[Year]:[Month]],crudeoil[],3,FALSE)</f>
        <v>#VALUE!</v>
      </c>
    </row>
    <row r="1116" spans="1:8" hidden="1" x14ac:dyDescent="0.3">
      <c r="A1116" t="s">
        <v>34</v>
      </c>
      <c r="B1116">
        <v>2014</v>
      </c>
      <c r="C1116" t="s">
        <v>35</v>
      </c>
      <c r="D1116" t="s">
        <v>10</v>
      </c>
      <c r="E1116" t="e">
        <f>VLOOKUP(Cpi_[[#This Row],[Attribute]],#REF!,2,FALSE)</f>
        <v>#REF!</v>
      </c>
      <c r="F1116">
        <v>109.3</v>
      </c>
      <c r="G1116">
        <f>(Cpi_[[#This Row],[Value]]-F1115)/F1115</f>
        <v>-4.5414847161572076E-2</v>
      </c>
      <c r="H1116" t="e" cm="1" vm="1">
        <f t="array" aca="1" ref="H1116" ca="1">VLOOKUP(Cpi_[[#This Row],[Year]:[Month]],crudeoil[],3,FALSE)</f>
        <v>#VALUE!</v>
      </c>
    </row>
    <row r="1117" spans="1:8" hidden="1" x14ac:dyDescent="0.3">
      <c r="A1117" t="s">
        <v>34</v>
      </c>
      <c r="B1117">
        <v>2014</v>
      </c>
      <c r="C1117" t="s">
        <v>35</v>
      </c>
      <c r="D1117" t="s">
        <v>11</v>
      </c>
      <c r="E1117" t="e">
        <f>VLOOKUP(Cpi_[[#This Row],[Attribute]],#REF!,2,FALSE)</f>
        <v>#REF!</v>
      </c>
      <c r="F1117">
        <v>99.2</v>
      </c>
      <c r="G1117">
        <f>(Cpi_[[#This Row],[Value]]-F1116)/F1116</f>
        <v>-9.2406221408966094E-2</v>
      </c>
      <c r="H1117" t="e" cm="1" vm="1">
        <f t="array" aca="1" ref="H1117" ca="1">VLOOKUP(Cpi_[[#This Row],[Year]:[Month]],crudeoil[],3,FALSE)</f>
        <v>#VALUE!</v>
      </c>
    </row>
    <row r="1118" spans="1:8" hidden="1" x14ac:dyDescent="0.3">
      <c r="A1118" t="s">
        <v>34</v>
      </c>
      <c r="B1118">
        <v>2014</v>
      </c>
      <c r="C1118" t="s">
        <v>35</v>
      </c>
      <c r="D1118" t="s">
        <v>12</v>
      </c>
      <c r="E1118" t="e">
        <f>VLOOKUP(Cpi_[[#This Row],[Attribute]],#REF!,2,FALSE)</f>
        <v>#REF!</v>
      </c>
      <c r="F1118">
        <v>111.4</v>
      </c>
      <c r="G1118">
        <f>(Cpi_[[#This Row],[Value]]-F1117)/F1117</f>
        <v>0.12298387096774197</v>
      </c>
      <c r="H1118" t="e" cm="1" vm="1">
        <f t="array" aca="1" ref="H1118" ca="1">VLOOKUP(Cpi_[[#This Row],[Year]:[Month]],crudeoil[],3,FALSE)</f>
        <v>#VALUE!</v>
      </c>
    </row>
    <row r="1119" spans="1:8" hidden="1" x14ac:dyDescent="0.3">
      <c r="A1119" t="s">
        <v>34</v>
      </c>
      <c r="B1119">
        <v>2014</v>
      </c>
      <c r="C1119" t="s">
        <v>35</v>
      </c>
      <c r="D1119" t="s">
        <v>13</v>
      </c>
      <c r="E1119" t="e">
        <f>VLOOKUP(Cpi_[[#This Row],[Attribute]],#REF!,2,FALSE)</f>
        <v>#REF!</v>
      </c>
      <c r="F1119">
        <v>112.6</v>
      </c>
      <c r="G1119">
        <f>(Cpi_[[#This Row],[Value]]-F1118)/F1118</f>
        <v>1.0771992818671352E-2</v>
      </c>
      <c r="H1119" t="e" cm="1" vm="1">
        <f t="array" aca="1" ref="H1119" ca="1">VLOOKUP(Cpi_[[#This Row],[Year]:[Month]],crudeoil[],3,FALSE)</f>
        <v>#VALUE!</v>
      </c>
    </row>
    <row r="1120" spans="1:8" hidden="1" x14ac:dyDescent="0.3">
      <c r="A1120" t="s">
        <v>34</v>
      </c>
      <c r="B1120">
        <v>2014</v>
      </c>
      <c r="C1120" t="s">
        <v>35</v>
      </c>
      <c r="D1120" t="s">
        <v>14</v>
      </c>
      <c r="E1120" t="e">
        <f>VLOOKUP(Cpi_[[#This Row],[Attribute]],#REF!,2,FALSE)</f>
        <v>#REF!</v>
      </c>
      <c r="F1120">
        <v>118.8</v>
      </c>
      <c r="G1120">
        <f>(Cpi_[[#This Row],[Value]]-F1119)/F1119</f>
        <v>5.5062166962699853E-2</v>
      </c>
      <c r="H1120" t="e" cm="1" vm="1">
        <f t="array" aca="1" ref="H1120" ca="1">VLOOKUP(Cpi_[[#This Row],[Year]:[Month]],crudeoil[],3,FALSE)</f>
        <v>#VALUE!</v>
      </c>
    </row>
    <row r="1121" spans="1:8" hidden="1" x14ac:dyDescent="0.3">
      <c r="A1121" t="s">
        <v>34</v>
      </c>
      <c r="B1121">
        <v>2014</v>
      </c>
      <c r="C1121" t="s">
        <v>35</v>
      </c>
      <c r="D1121" t="s">
        <v>15</v>
      </c>
      <c r="E1121" t="e">
        <f>VLOOKUP(Cpi_[[#This Row],[Attribute]],#REF!,2,FALSE)</f>
        <v>#REF!</v>
      </c>
      <c r="F1121">
        <v>115.3</v>
      </c>
      <c r="G1121">
        <f>(Cpi_[[#This Row],[Value]]-F1120)/F1120</f>
        <v>-2.9461279461279462E-2</v>
      </c>
      <c r="H1121" t="e" cm="1" vm="1">
        <f t="array" aca="1" ref="H1121" ca="1">VLOOKUP(Cpi_[[#This Row],[Year]:[Month]],crudeoil[],3,FALSE)</f>
        <v>#VALUE!</v>
      </c>
    </row>
    <row r="1122" spans="1:8" hidden="1" x14ac:dyDescent="0.3">
      <c r="A1122" t="s">
        <v>34</v>
      </c>
      <c r="B1122">
        <v>2014</v>
      </c>
      <c r="C1122" t="s">
        <v>35</v>
      </c>
      <c r="D1122" t="s">
        <v>16</v>
      </c>
      <c r="E1122" t="e">
        <f>VLOOKUP(Cpi_[[#This Row],[Attribute]],#REF!,2,FALSE)</f>
        <v>#REF!</v>
      </c>
      <c r="F1122">
        <v>114.7</v>
      </c>
      <c r="G1122">
        <f>(Cpi_[[#This Row],[Value]]-F1121)/F1121</f>
        <v>-5.2038161318299593E-3</v>
      </c>
      <c r="H1122" t="e" cm="1" vm="1">
        <f t="array" aca="1" ref="H1122" ca="1">VLOOKUP(Cpi_[[#This Row],[Year]:[Month]],crudeoil[],3,FALSE)</f>
        <v>#VALUE!</v>
      </c>
    </row>
    <row r="1123" spans="1:8" hidden="1" x14ac:dyDescent="0.3">
      <c r="A1123" t="s">
        <v>34</v>
      </c>
      <c r="B1123">
        <v>2014</v>
      </c>
      <c r="C1123" t="s">
        <v>35</v>
      </c>
      <c r="D1123" t="s">
        <v>17</v>
      </c>
      <c r="E1123" t="e">
        <f>VLOOKUP(Cpi_[[#This Row],[Attribute]],#REF!,2,FALSE)</f>
        <v>#REF!</v>
      </c>
      <c r="F1123">
        <v>116.4</v>
      </c>
      <c r="G1123">
        <f>(Cpi_[[#This Row],[Value]]-F1122)/F1122</f>
        <v>1.4821272885789039E-2</v>
      </c>
      <c r="H1123" t="e" cm="1" vm="1">
        <f t="array" aca="1" ref="H1123" ca="1">VLOOKUP(Cpi_[[#This Row],[Year]:[Month]],crudeoil[],3,FALSE)</f>
        <v>#VALUE!</v>
      </c>
    </row>
    <row r="1124" spans="1:8" hidden="1" x14ac:dyDescent="0.3">
      <c r="A1124" t="s">
        <v>34</v>
      </c>
      <c r="B1124">
        <v>2014</v>
      </c>
      <c r="C1124" t="s">
        <v>35</v>
      </c>
      <c r="D1124" t="s">
        <v>18</v>
      </c>
      <c r="E1124" t="e">
        <f>VLOOKUP(Cpi_[[#This Row],[Attribute]],#REF!,2,FALSE)</f>
        <v>#REF!</v>
      </c>
      <c r="F1124">
        <v>113.3</v>
      </c>
      <c r="G1124">
        <f>(Cpi_[[#This Row],[Value]]-F1123)/F1123</f>
        <v>-2.6632302405498354E-2</v>
      </c>
      <c r="H1124" t="e" cm="1" vm="1">
        <f t="array" aca="1" ref="H1124" ca="1">VLOOKUP(Cpi_[[#This Row],[Year]:[Month]],crudeoil[],3,FALSE)</f>
        <v>#VALUE!</v>
      </c>
    </row>
    <row r="1125" spans="1:8" hidden="1" x14ac:dyDescent="0.3">
      <c r="A1125" t="s">
        <v>34</v>
      </c>
      <c r="B1125">
        <v>2014</v>
      </c>
      <c r="C1125" t="s">
        <v>35</v>
      </c>
      <c r="D1125" t="s">
        <v>19</v>
      </c>
      <c r="E1125" t="e">
        <f>VLOOKUP(Cpi_[[#This Row],[Attribute]],#REF!,2,FALSE)</f>
        <v>#REF!</v>
      </c>
      <c r="F1125">
        <v>115.9</v>
      </c>
      <c r="G1125">
        <f>(Cpi_[[#This Row],[Value]]-F1124)/F1124</f>
        <v>2.2947925860547294E-2</v>
      </c>
      <c r="H1125" t="e" cm="1" vm="1">
        <f t="array" aca="1" ref="H1125" ca="1">VLOOKUP(Cpi_[[#This Row],[Year]:[Month]],crudeoil[],3,FALSE)</f>
        <v>#VALUE!</v>
      </c>
    </row>
    <row r="1126" spans="1:8" hidden="1" x14ac:dyDescent="0.3">
      <c r="A1126" t="s">
        <v>34</v>
      </c>
      <c r="B1126">
        <v>2014</v>
      </c>
      <c r="C1126" t="s">
        <v>35</v>
      </c>
      <c r="D1126" t="s">
        <v>20</v>
      </c>
      <c r="E1126" t="e">
        <f>VLOOKUP(Cpi_[[#This Row],[Attribute]],#REF!,2,FALSE)</f>
        <v>#REF!</v>
      </c>
      <c r="F1126">
        <v>112.5</v>
      </c>
      <c r="G1126">
        <f>(Cpi_[[#This Row],[Value]]-F1125)/F1125</f>
        <v>-2.9335634167385726E-2</v>
      </c>
      <c r="H1126" t="e" cm="1" vm="1">
        <f t="array" aca="1" ref="H1126" ca="1">VLOOKUP(Cpi_[[#This Row],[Year]:[Month]],crudeoil[],3,FALSE)</f>
        <v>#VALUE!</v>
      </c>
    </row>
    <row r="1127" spans="1:8" hidden="1" x14ac:dyDescent="0.3">
      <c r="A1127" t="s">
        <v>34</v>
      </c>
      <c r="B1127">
        <v>2014</v>
      </c>
      <c r="C1127" t="s">
        <v>35</v>
      </c>
      <c r="D1127" t="s">
        <v>21</v>
      </c>
      <c r="E1127" t="e">
        <f>VLOOKUP(Cpi_[[#This Row],[Attribute]],#REF!,2,FALSE)</f>
        <v>#REF!</v>
      </c>
      <c r="F1127">
        <v>112.4</v>
      </c>
      <c r="G1127">
        <f>(Cpi_[[#This Row],[Value]]-F1126)/F1126</f>
        <v>-8.8888888888883841E-4</v>
      </c>
      <c r="H1127" t="e" cm="1" vm="1">
        <f t="array" aca="1" ref="H1127" ca="1">VLOOKUP(Cpi_[[#This Row],[Year]:[Month]],crudeoil[],3,FALSE)</f>
        <v>#VALUE!</v>
      </c>
    </row>
    <row r="1128" spans="1:8" hidden="1" x14ac:dyDescent="0.3">
      <c r="A1128" t="s">
        <v>34</v>
      </c>
      <c r="B1128">
        <v>2014</v>
      </c>
      <c r="C1128" t="s">
        <v>35</v>
      </c>
      <c r="D1128" t="s">
        <v>22</v>
      </c>
      <c r="E1128" t="e">
        <f>VLOOKUP(Cpi_[[#This Row],[Attribute]],#REF!,2,FALSE)</f>
        <v>#REF!</v>
      </c>
      <c r="F1128">
        <v>112.8</v>
      </c>
      <c r="G1128">
        <f>(Cpi_[[#This Row],[Value]]-F1127)/F1127</f>
        <v>3.5587188612098883E-3</v>
      </c>
      <c r="H1128" t="e" cm="1" vm="1">
        <f t="array" aca="1" ref="H1128" ca="1">VLOOKUP(Cpi_[[#This Row],[Year]:[Month]],crudeoil[],3,FALSE)</f>
        <v>#VALUE!</v>
      </c>
    </row>
    <row r="1129" spans="1:8" hidden="1" x14ac:dyDescent="0.3">
      <c r="A1129" t="s">
        <v>34</v>
      </c>
      <c r="B1129">
        <v>2014</v>
      </c>
      <c r="C1129" t="s">
        <v>35</v>
      </c>
      <c r="D1129" t="s">
        <v>23</v>
      </c>
      <c r="E1129" t="e">
        <f>VLOOKUP(Cpi_[[#This Row],[Attribute]],#REF!,2,FALSE)</f>
        <v>#REF!</v>
      </c>
      <c r="F1129">
        <v>110.7</v>
      </c>
      <c r="G1129">
        <f>(Cpi_[[#This Row],[Value]]-F1128)/F1128</f>
        <v>-1.8617021276595695E-2</v>
      </c>
      <c r="H1129" t="e" cm="1" vm="1">
        <f t="array" aca="1" ref="H1129" ca="1">VLOOKUP(Cpi_[[#This Row],[Year]:[Month]],crudeoil[],3,FALSE)</f>
        <v>#VALUE!</v>
      </c>
    </row>
    <row r="1130" spans="1:8" hidden="1" x14ac:dyDescent="0.3">
      <c r="A1130" t="s">
        <v>34</v>
      </c>
      <c r="B1130">
        <v>2014</v>
      </c>
      <c r="C1130" t="s">
        <v>35</v>
      </c>
      <c r="D1130" t="s">
        <v>24</v>
      </c>
      <c r="E1130" t="e">
        <f>VLOOKUP(Cpi_[[#This Row],[Attribute]],#REF!,2,FALSE)</f>
        <v>#REF!</v>
      </c>
      <c r="F1130">
        <v>111.1</v>
      </c>
      <c r="G1130">
        <f>(Cpi_[[#This Row],[Value]]-F1129)/F1129</f>
        <v>3.6133694670279267E-3</v>
      </c>
      <c r="H1130" t="e" cm="1" vm="1">
        <f t="array" aca="1" ref="H1130" ca="1">VLOOKUP(Cpi_[[#This Row],[Year]:[Month]],crudeoil[],3,FALSE)</f>
        <v>#VALUE!</v>
      </c>
    </row>
    <row r="1131" spans="1:8" hidden="1" x14ac:dyDescent="0.3">
      <c r="A1131" t="s">
        <v>34</v>
      </c>
      <c r="B1131">
        <v>2014</v>
      </c>
      <c r="C1131" t="s">
        <v>35</v>
      </c>
      <c r="D1131" t="s">
        <v>25</v>
      </c>
      <c r="E1131" t="e">
        <f>VLOOKUP(Cpi_[[#This Row],[Attribute]],#REF!,2,FALSE)</f>
        <v>#REF!</v>
      </c>
      <c r="F1131">
        <v>110.1</v>
      </c>
      <c r="G1131">
        <f>(Cpi_[[#This Row],[Value]]-F1130)/F1130</f>
        <v>-9.0009000900090012E-3</v>
      </c>
      <c r="H1131" t="e" cm="1" vm="1">
        <f t="array" aca="1" ref="H1131" ca="1">VLOOKUP(Cpi_[[#This Row],[Year]:[Month]],crudeoil[],3,FALSE)</f>
        <v>#VALUE!</v>
      </c>
    </row>
    <row r="1132" spans="1:8" hidden="1" x14ac:dyDescent="0.3">
      <c r="A1132" t="s">
        <v>34</v>
      </c>
      <c r="B1132">
        <v>2014</v>
      </c>
      <c r="C1132" t="s">
        <v>35</v>
      </c>
      <c r="D1132" t="s">
        <v>26</v>
      </c>
      <c r="E1132" t="e">
        <f>VLOOKUP(Cpi_[[#This Row],[Attribute]],#REF!,2,FALSE)</f>
        <v>#REF!</v>
      </c>
      <c r="F1132">
        <v>111.8</v>
      </c>
      <c r="G1132">
        <f>(Cpi_[[#This Row],[Value]]-F1131)/F1131</f>
        <v>1.5440508628519554E-2</v>
      </c>
      <c r="H1132" t="e" cm="1" vm="1">
        <f t="array" aca="1" ref="H1132" ca="1">VLOOKUP(Cpi_[[#This Row],[Year]:[Month]],crudeoil[],3,FALSE)</f>
        <v>#VALUE!</v>
      </c>
    </row>
    <row r="1133" spans="1:8" hidden="1" x14ac:dyDescent="0.3">
      <c r="A1133" t="s">
        <v>34</v>
      </c>
      <c r="B1133">
        <v>2014</v>
      </c>
      <c r="C1133" t="s">
        <v>35</v>
      </c>
      <c r="D1133" t="s">
        <v>27</v>
      </c>
      <c r="E1133" t="e">
        <f>VLOOKUP(Cpi_[[#This Row],[Attribute]],#REF!,2,FALSE)</f>
        <v>#REF!</v>
      </c>
      <c r="F1133">
        <v>108.7</v>
      </c>
      <c r="G1133">
        <f>(Cpi_[[#This Row],[Value]]-F1132)/F1132</f>
        <v>-2.7728085867620701E-2</v>
      </c>
      <c r="H1133" t="e" cm="1" vm="1">
        <f t="array" aca="1" ref="H1133" ca="1">VLOOKUP(Cpi_[[#This Row],[Year]:[Month]],crudeoil[],3,FALSE)</f>
        <v>#VALUE!</v>
      </c>
    </row>
    <row r="1134" spans="1:8" hidden="1" x14ac:dyDescent="0.3">
      <c r="A1134" t="s">
        <v>34</v>
      </c>
      <c r="B1134">
        <v>2014</v>
      </c>
      <c r="C1134" t="s">
        <v>35</v>
      </c>
      <c r="D1134" t="s">
        <v>28</v>
      </c>
      <c r="E1134" t="e">
        <f>VLOOKUP(Cpi_[[#This Row],[Attribute]],#REF!,2,FALSE)</f>
        <v>#REF!</v>
      </c>
      <c r="F1134">
        <v>110.9</v>
      </c>
      <c r="G1134">
        <f>(Cpi_[[#This Row],[Value]]-F1133)/F1133</f>
        <v>2.0239190432382731E-2</v>
      </c>
      <c r="H1134" t="e" cm="1" vm="1">
        <f t="array" aca="1" ref="H1134" ca="1">VLOOKUP(Cpi_[[#This Row],[Year]:[Month]],crudeoil[],3,FALSE)</f>
        <v>#VALUE!</v>
      </c>
    </row>
    <row r="1135" spans="1:8" hidden="1" x14ac:dyDescent="0.3">
      <c r="A1135" t="s">
        <v>34</v>
      </c>
      <c r="B1135">
        <v>2014</v>
      </c>
      <c r="C1135" t="s">
        <v>35</v>
      </c>
      <c r="D1135" t="s">
        <v>29</v>
      </c>
      <c r="E1135" t="e" cm="1">
        <f t="array" aca="1" ref="E1135" ca="1">VLGeneral indexGeneral indexKUP(Cpi_[[#This Row],[Attribute]],#REF!,2,FALSE)</f>
        <v>#NAME?</v>
      </c>
      <c r="F1135">
        <v>113.6</v>
      </c>
      <c r="G1135">
        <f>(Cpi_[[#This Row],[Value]]-F1134)/F1134</f>
        <v>2.4346257889990879E-2</v>
      </c>
      <c r="H1135" t="e" cm="1" vm="1">
        <f t="array" aca="1" ref="H1135" ca="1">VLOOKUP(Cpi_[[#This Row],[Year]:[Month]],crudeoil[],3,FALSE)</f>
        <v>#VALUE!</v>
      </c>
    </row>
    <row r="1136" spans="1:8" hidden="1" x14ac:dyDescent="0.3">
      <c r="A1136" t="s">
        <v>30</v>
      </c>
      <c r="B1136">
        <v>2014</v>
      </c>
      <c r="C1136" t="s">
        <v>36</v>
      </c>
      <c r="D1136" t="s">
        <v>3</v>
      </c>
      <c r="E1136" t="e">
        <f>VLOOKUP(Cpi_[[#This Row],[Attribute]],#REF!,2,FALSE)</f>
        <v>#REF!</v>
      </c>
      <c r="F1136">
        <v>120.1</v>
      </c>
      <c r="G1136">
        <f>(Cpi_[[#This Row],[Value]]-F1135)/F1135</f>
        <v>5.721830985915493E-2</v>
      </c>
      <c r="H1136" t="e" cm="1" vm="1">
        <f t="array" aca="1" ref="H1136" ca="1">VLOOKUP(Cpi_[[#This Row],[Year]:[Month]],crudeoil[],3,FALSE)</f>
        <v>#VALUE!</v>
      </c>
    </row>
    <row r="1137" spans="1:8" hidden="1" x14ac:dyDescent="0.3">
      <c r="A1137" t="s">
        <v>30</v>
      </c>
      <c r="B1137">
        <v>2014</v>
      </c>
      <c r="C1137" t="s">
        <v>36</v>
      </c>
      <c r="D1137" t="s">
        <v>4</v>
      </c>
      <c r="E1137" t="e">
        <f>VLOOKUP(Cpi_[[#This Row],[Attribute]],#REF!,2,FALSE)</f>
        <v>#REF!</v>
      </c>
      <c r="F1137">
        <v>118.1</v>
      </c>
      <c r="G1137">
        <f>(Cpi_[[#This Row],[Value]]-F1136)/F1136</f>
        <v>-1.665278934221482E-2</v>
      </c>
      <c r="H1137" t="e" cm="1" vm="1">
        <f t="array" aca="1" ref="H1137" ca="1">VLOOKUP(Cpi_[[#This Row],[Year]:[Month]],crudeoil[],3,FALSE)</f>
        <v>#VALUE!</v>
      </c>
    </row>
    <row r="1138" spans="1:8" hidden="1" x14ac:dyDescent="0.3">
      <c r="A1138" t="s">
        <v>30</v>
      </c>
      <c r="B1138">
        <v>2014</v>
      </c>
      <c r="C1138" t="s">
        <v>36</v>
      </c>
      <c r="D1138" t="s">
        <v>5</v>
      </c>
      <c r="E1138" t="e">
        <f>VLOOKUP(Cpi_[[#This Row],[Attribute]],#REF!,2,FALSE)</f>
        <v>#REF!</v>
      </c>
      <c r="F1138">
        <v>120.7</v>
      </c>
      <c r="G1138">
        <f>(Cpi_[[#This Row],[Value]]-F1137)/F1137</f>
        <v>2.2015241320914553E-2</v>
      </c>
      <c r="H1138" t="e" cm="1" vm="1">
        <f t="array" aca="1" ref="H1138" ca="1">VLOOKUP(Cpi_[[#This Row],[Year]:[Month]],crudeoil[],3,FALSE)</f>
        <v>#VALUE!</v>
      </c>
    </row>
    <row r="1139" spans="1:8" hidden="1" x14ac:dyDescent="0.3">
      <c r="A1139" t="s">
        <v>30</v>
      </c>
      <c r="B1139">
        <v>2014</v>
      </c>
      <c r="C1139" t="s">
        <v>36</v>
      </c>
      <c r="D1139" t="s">
        <v>6</v>
      </c>
      <c r="E1139" t="e">
        <f>VLOOKUP(Cpi_[[#This Row],[Attribute]],#REF!,2,FALSE)</f>
        <v>#REF!</v>
      </c>
      <c r="F1139">
        <v>116.1</v>
      </c>
      <c r="G1139">
        <f>(Cpi_[[#This Row],[Value]]-F1138)/F1138</f>
        <v>-3.81110190555096E-2</v>
      </c>
      <c r="H1139" t="e" cm="1" vm="1">
        <f t="array" aca="1" ref="H1139" ca="1">VLOOKUP(Cpi_[[#This Row],[Year]:[Month]],crudeoil[],3,FALSE)</f>
        <v>#VALUE!</v>
      </c>
    </row>
    <row r="1140" spans="1:8" hidden="1" x14ac:dyDescent="0.3">
      <c r="A1140" t="s">
        <v>30</v>
      </c>
      <c r="B1140">
        <v>2014</v>
      </c>
      <c r="C1140" t="s">
        <v>36</v>
      </c>
      <c r="D1140" t="s">
        <v>7</v>
      </c>
      <c r="E1140" t="e">
        <f>VLOOKUP(Cpi_[[#This Row],[Attribute]],#REF!,2,FALSE)</f>
        <v>#REF!</v>
      </c>
      <c r="F1140">
        <v>109.3</v>
      </c>
      <c r="G1140">
        <f>(Cpi_[[#This Row],[Value]]-F1139)/F1139</f>
        <v>-5.8570198105081801E-2</v>
      </c>
      <c r="H1140" t="e" cm="1" vm="1">
        <f t="array" aca="1" ref="H1140" ca="1">VLOOKUP(Cpi_[[#This Row],[Year]:[Month]],crudeoil[],3,FALSE)</f>
        <v>#VALUE!</v>
      </c>
    </row>
    <row r="1141" spans="1:8" hidden="1" x14ac:dyDescent="0.3">
      <c r="A1141" t="s">
        <v>30</v>
      </c>
      <c r="B1141">
        <v>2014</v>
      </c>
      <c r="C1141" t="s">
        <v>36</v>
      </c>
      <c r="D1141" t="s">
        <v>8</v>
      </c>
      <c r="E1141" t="e">
        <f>VLOOKUP(Cpi_[[#This Row],[Attribute]],#REF!,2,FALSE)</f>
        <v>#REF!</v>
      </c>
      <c r="F1141">
        <v>119.6</v>
      </c>
      <c r="G1141">
        <f>(Cpi_[[#This Row],[Value]]-F1140)/F1140</f>
        <v>9.4236047575480306E-2</v>
      </c>
      <c r="H1141" t="e" cm="1" vm="1">
        <f t="array" aca="1" ref="H1141" ca="1">VLOOKUP(Cpi_[[#This Row],[Year]:[Month]],crudeoil[],3,FALSE)</f>
        <v>#VALUE!</v>
      </c>
    </row>
    <row r="1142" spans="1:8" hidden="1" x14ac:dyDescent="0.3">
      <c r="A1142" t="s">
        <v>30</v>
      </c>
      <c r="B1142">
        <v>2014</v>
      </c>
      <c r="C1142" t="s">
        <v>36</v>
      </c>
      <c r="D1142" t="s">
        <v>9</v>
      </c>
      <c r="E1142" t="e">
        <f>VLOOKUP(Cpi_[[#This Row],[Attribute]],#REF!,2,FALSE)</f>
        <v>#REF!</v>
      </c>
      <c r="F1142">
        <v>117.9</v>
      </c>
      <c r="G1142">
        <f>(Cpi_[[#This Row],[Value]]-F1141)/F1141</f>
        <v>-1.421404682274238E-2</v>
      </c>
      <c r="H1142" t="e" cm="1" vm="1">
        <f t="array" aca="1" ref="H1142" ca="1">VLOOKUP(Cpi_[[#This Row],[Year]:[Month]],crudeoil[],3,FALSE)</f>
        <v>#VALUE!</v>
      </c>
    </row>
    <row r="1143" spans="1:8" hidden="1" x14ac:dyDescent="0.3">
      <c r="A1143" t="s">
        <v>30</v>
      </c>
      <c r="B1143">
        <v>2014</v>
      </c>
      <c r="C1143" t="s">
        <v>36</v>
      </c>
      <c r="D1143" t="s">
        <v>10</v>
      </c>
      <c r="E1143" t="e">
        <f>VLOOKUP(Cpi_[[#This Row],[Attribute]],#REF!,2,FALSE)</f>
        <v>#REF!</v>
      </c>
      <c r="F1143">
        <v>110.2</v>
      </c>
      <c r="G1143">
        <f>(Cpi_[[#This Row],[Value]]-F1142)/F1142</f>
        <v>-6.5309584393553874E-2</v>
      </c>
      <c r="H1143" t="e" cm="1" vm="1">
        <f t="array" aca="1" ref="H1143" ca="1">VLOOKUP(Cpi_[[#This Row],[Year]:[Month]],crudeoil[],3,FALSE)</f>
        <v>#VALUE!</v>
      </c>
    </row>
    <row r="1144" spans="1:8" hidden="1" x14ac:dyDescent="0.3">
      <c r="A1144" t="s">
        <v>30</v>
      </c>
      <c r="B1144">
        <v>2014</v>
      </c>
      <c r="C1144" t="s">
        <v>36</v>
      </c>
      <c r="D1144" t="s">
        <v>11</v>
      </c>
      <c r="E1144" t="e">
        <f>VLOOKUP(Cpi_[[#This Row],[Attribute]],#REF!,2,FALSE)</f>
        <v>#REF!</v>
      </c>
      <c r="F1144">
        <v>101.2</v>
      </c>
      <c r="G1144">
        <f>(Cpi_[[#This Row],[Value]]-F1143)/F1143</f>
        <v>-8.1669691470054442E-2</v>
      </c>
      <c r="H1144" t="e" cm="1" vm="1">
        <f t="array" aca="1" ref="H1144" ca="1">VLOOKUP(Cpi_[[#This Row],[Year]:[Month]],crudeoil[],3,FALSE)</f>
        <v>#VALUE!</v>
      </c>
    </row>
    <row r="1145" spans="1:8" hidden="1" x14ac:dyDescent="0.3">
      <c r="A1145" t="s">
        <v>30</v>
      </c>
      <c r="B1145">
        <v>2014</v>
      </c>
      <c r="C1145" t="s">
        <v>36</v>
      </c>
      <c r="D1145" t="s">
        <v>12</v>
      </c>
      <c r="E1145" t="e">
        <f>VLOOKUP(Cpi_[[#This Row],[Attribute]],#REF!,2,FALSE)</f>
        <v>#REF!</v>
      </c>
      <c r="F1145">
        <v>110.7</v>
      </c>
      <c r="G1145">
        <f>(Cpi_[[#This Row],[Value]]-F1144)/F1144</f>
        <v>9.3873517786561264E-2</v>
      </c>
      <c r="H1145" t="e" cm="1" vm="1">
        <f t="array" aca="1" ref="H1145" ca="1">VLOOKUP(Cpi_[[#This Row],[Year]:[Month]],crudeoil[],3,FALSE)</f>
        <v>#VALUE!</v>
      </c>
    </row>
    <row r="1146" spans="1:8" hidden="1" x14ac:dyDescent="0.3">
      <c r="A1146" t="s">
        <v>30</v>
      </c>
      <c r="B1146">
        <v>2014</v>
      </c>
      <c r="C1146" t="s">
        <v>36</v>
      </c>
      <c r="D1146" t="s">
        <v>13</v>
      </c>
      <c r="E1146" t="e">
        <f>VLOOKUP(Cpi_[[#This Row],[Attribute]],#REF!,2,FALSE)</f>
        <v>#REF!</v>
      </c>
      <c r="F1146">
        <v>113</v>
      </c>
      <c r="G1146">
        <f>(Cpi_[[#This Row],[Value]]-F1145)/F1145</f>
        <v>2.0776874435410996E-2</v>
      </c>
      <c r="H1146" t="e" cm="1" vm="1">
        <f t="array" aca="1" ref="H1146" ca="1">VLOOKUP(Cpi_[[#This Row],[Year]:[Month]],crudeoil[],3,FALSE)</f>
        <v>#VALUE!</v>
      </c>
    </row>
    <row r="1147" spans="1:8" hidden="1" x14ac:dyDescent="0.3">
      <c r="A1147" t="s">
        <v>30</v>
      </c>
      <c r="B1147">
        <v>2014</v>
      </c>
      <c r="C1147" t="s">
        <v>36</v>
      </c>
      <c r="D1147" t="s">
        <v>14</v>
      </c>
      <c r="E1147" t="e">
        <f>VLOOKUP(Cpi_[[#This Row],[Attribute]],#REF!,2,FALSE)</f>
        <v>#REF!</v>
      </c>
      <c r="F1147">
        <v>118.3</v>
      </c>
      <c r="G1147">
        <f>(Cpi_[[#This Row],[Value]]-F1146)/F1146</f>
        <v>4.6902654867256609E-2</v>
      </c>
      <c r="H1147" t="e" cm="1" vm="1">
        <f t="array" aca="1" ref="H1147" ca="1">VLOOKUP(Cpi_[[#This Row],[Year]:[Month]],crudeoil[],3,FALSE)</f>
        <v>#VALUE!</v>
      </c>
    </row>
    <row r="1148" spans="1:8" hidden="1" x14ac:dyDescent="0.3">
      <c r="A1148" t="s">
        <v>30</v>
      </c>
      <c r="B1148">
        <v>2014</v>
      </c>
      <c r="C1148" t="s">
        <v>36</v>
      </c>
      <c r="D1148" t="s">
        <v>15</v>
      </c>
      <c r="E1148" t="e">
        <f>VLOOKUP(Cpi_[[#This Row],[Attribute]],#REF!,2,FALSE)</f>
        <v>#REF!</v>
      </c>
      <c r="F1148">
        <v>116.2</v>
      </c>
      <c r="G1148">
        <f>(Cpi_[[#This Row],[Value]]-F1147)/F1147</f>
        <v>-1.775147928994078E-2</v>
      </c>
      <c r="H1148" t="e" cm="1" vm="1">
        <f t="array" aca="1" ref="H1148" ca="1">VLOOKUP(Cpi_[[#This Row],[Year]:[Month]],crudeoil[],3,FALSE)</f>
        <v>#VALUE!</v>
      </c>
    </row>
    <row r="1149" spans="1:8" hidden="1" x14ac:dyDescent="0.3">
      <c r="A1149" t="s">
        <v>30</v>
      </c>
      <c r="B1149">
        <v>2014</v>
      </c>
      <c r="C1149" t="s">
        <v>36</v>
      </c>
      <c r="D1149" t="s">
        <v>16</v>
      </c>
      <c r="E1149" t="e">
        <f>VLOOKUP(Cpi_[[#This Row],[Attribute]],#REF!,2,FALSE)</f>
        <v>#REF!</v>
      </c>
      <c r="F1149">
        <v>114.6</v>
      </c>
      <c r="G1149">
        <f>(Cpi_[[#This Row],[Value]]-F1148)/F1148</f>
        <v>-1.3769363166953602E-2</v>
      </c>
      <c r="H1149" t="e" cm="1" vm="1">
        <f t="array" aca="1" ref="H1149" ca="1">VLOOKUP(Cpi_[[#This Row],[Year]:[Month]],crudeoil[],3,FALSE)</f>
        <v>#VALUE!</v>
      </c>
    </row>
    <row r="1150" spans="1:8" hidden="1" x14ac:dyDescent="0.3">
      <c r="A1150" t="s">
        <v>30</v>
      </c>
      <c r="B1150">
        <v>2014</v>
      </c>
      <c r="C1150" t="s">
        <v>36</v>
      </c>
      <c r="D1150" t="s">
        <v>17</v>
      </c>
      <c r="E1150" t="e">
        <f>VLOOKUP(Cpi_[[#This Row],[Attribute]],#REF!,2,FALSE)</f>
        <v>#REF!</v>
      </c>
      <c r="F1150">
        <v>117.5</v>
      </c>
      <c r="G1150">
        <f>(Cpi_[[#This Row],[Value]]-F1149)/F1149</f>
        <v>2.5305410122164099E-2</v>
      </c>
      <c r="H1150" t="e" cm="1" vm="1">
        <f t="array" aca="1" ref="H1150" ca="1">VLOOKUP(Cpi_[[#This Row],[Year]:[Month]],crudeoil[],3,FALSE)</f>
        <v>#VALUE!</v>
      </c>
    </row>
    <row r="1151" spans="1:8" hidden="1" x14ac:dyDescent="0.3">
      <c r="A1151" t="s">
        <v>30</v>
      </c>
      <c r="B1151">
        <v>2014</v>
      </c>
      <c r="C1151" t="s">
        <v>36</v>
      </c>
      <c r="D1151" t="s">
        <v>18</v>
      </c>
      <c r="E1151" t="e">
        <f>VLOOKUP(Cpi_[[#This Row],[Attribute]],#REF!,2,FALSE)</f>
        <v>#REF!</v>
      </c>
      <c r="F1151">
        <v>114.9</v>
      </c>
      <c r="G1151">
        <f>(Cpi_[[#This Row],[Value]]-F1150)/F1150</f>
        <v>-2.2127659574468037E-2</v>
      </c>
      <c r="H1151" t="e" cm="1" vm="1">
        <f t="array" aca="1" ref="H1151" ca="1">VLOOKUP(Cpi_[[#This Row],[Year]:[Month]],crudeoil[],3,FALSE)</f>
        <v>#VALUE!</v>
      </c>
    </row>
    <row r="1152" spans="1:8" hidden="1" x14ac:dyDescent="0.3">
      <c r="A1152" t="s">
        <v>30</v>
      </c>
      <c r="B1152">
        <v>2014</v>
      </c>
      <c r="C1152" t="s">
        <v>36</v>
      </c>
      <c r="D1152" t="s">
        <v>19</v>
      </c>
      <c r="E1152" t="e">
        <f>VLOOKUP(Cpi_[[#This Row],[Attribute]],#REF!,2,FALSE)</f>
        <v>#REF!</v>
      </c>
      <c r="F1152">
        <v>117.2</v>
      </c>
      <c r="G1152">
        <f>(Cpi_[[#This Row],[Value]]-F1151)/F1151</f>
        <v>2.0017406440382916E-2</v>
      </c>
      <c r="H1152" t="e" cm="1" vm="1">
        <f t="array" aca="1" ref="H1152" ca="1">VLOOKUP(Cpi_[[#This Row],[Year]:[Month]],crudeoil[],3,FALSE)</f>
        <v>#VALUE!</v>
      </c>
    </row>
    <row r="1153" spans="1:8" hidden="1" x14ac:dyDescent="0.3">
      <c r="A1153" t="s">
        <v>30</v>
      </c>
      <c r="B1153">
        <v>2014</v>
      </c>
      <c r="C1153" t="s">
        <v>36</v>
      </c>
      <c r="D1153" t="s">
        <v>20</v>
      </c>
      <c r="E1153" t="e">
        <f>VLOOKUP(Cpi_[[#This Row],[Attribute]],#REF!,2,FALSE)</f>
        <v>#REF!</v>
      </c>
      <c r="F1153" t="s">
        <v>32</v>
      </c>
      <c r="G1153" t="e">
        <f>(Cpi_[[#This Row],[Value]]-F1152)/F1152</f>
        <v>#VALUE!</v>
      </c>
      <c r="H1153" t="e" cm="1" vm="1">
        <f t="array" aca="1" ref="H1153" ca="1">VLOOKUP(Cpi_[[#This Row],[Year]:[Month]],crudeoil[],3,FALSE)</f>
        <v>#VALUE!</v>
      </c>
    </row>
    <row r="1154" spans="1:8" hidden="1" x14ac:dyDescent="0.3">
      <c r="A1154" t="s">
        <v>30</v>
      </c>
      <c r="B1154">
        <v>2014</v>
      </c>
      <c r="C1154" t="s">
        <v>36</v>
      </c>
      <c r="D1154" t="s">
        <v>21</v>
      </c>
      <c r="E1154" t="e">
        <f>VLOOKUP(Cpi_[[#This Row],[Attribute]],#REF!,2,FALSE)</f>
        <v>#REF!</v>
      </c>
      <c r="F1154">
        <v>113.4</v>
      </c>
      <c r="G1154" t="e">
        <f>(Cpi_[[#This Row],[Value]]-F1153)/F1153</f>
        <v>#VALUE!</v>
      </c>
      <c r="H1154" t="e" cm="1" vm="1">
        <f t="array" aca="1" ref="H1154" ca="1">VLOOKUP(Cpi_[[#This Row],[Year]:[Month]],crudeoil[],3,FALSE)</f>
        <v>#VALUE!</v>
      </c>
    </row>
    <row r="1155" spans="1:8" hidden="1" x14ac:dyDescent="0.3">
      <c r="A1155" t="s">
        <v>30</v>
      </c>
      <c r="B1155">
        <v>2014</v>
      </c>
      <c r="C1155" t="s">
        <v>36</v>
      </c>
      <c r="D1155" t="s">
        <v>22</v>
      </c>
      <c r="E1155" t="e">
        <f>VLOOKUP(Cpi_[[#This Row],[Attribute]],#REF!,2,FALSE)</f>
        <v>#REF!</v>
      </c>
      <c r="F1155">
        <v>113.4</v>
      </c>
      <c r="G1155">
        <f>(Cpi_[[#This Row],[Value]]-F1154)/F1154</f>
        <v>0</v>
      </c>
      <c r="H1155" t="e" cm="1" vm="1">
        <f t="array" aca="1" ref="H1155" ca="1">VLOOKUP(Cpi_[[#This Row],[Year]:[Month]],crudeoil[],3,FALSE)</f>
        <v>#VALUE!</v>
      </c>
    </row>
    <row r="1156" spans="1:8" hidden="1" x14ac:dyDescent="0.3">
      <c r="A1156" t="s">
        <v>30</v>
      </c>
      <c r="B1156">
        <v>2014</v>
      </c>
      <c r="C1156" t="s">
        <v>36</v>
      </c>
      <c r="D1156" t="s">
        <v>23</v>
      </c>
      <c r="E1156" t="e">
        <f>VLOOKUP(Cpi_[[#This Row],[Attribute]],#REF!,2,FALSE)</f>
        <v>#REF!</v>
      </c>
      <c r="F1156">
        <v>111.4</v>
      </c>
      <c r="G1156">
        <f>(Cpi_[[#This Row],[Value]]-F1155)/F1155</f>
        <v>-1.7636684303350969E-2</v>
      </c>
      <c r="H1156" t="e" cm="1" vm="1">
        <f t="array" aca="1" ref="H1156" ca="1">VLOOKUP(Cpi_[[#This Row],[Year]:[Month]],crudeoil[],3,FALSE)</f>
        <v>#VALUE!</v>
      </c>
    </row>
    <row r="1157" spans="1:8" hidden="1" x14ac:dyDescent="0.3">
      <c r="A1157" t="s">
        <v>30</v>
      </c>
      <c r="B1157">
        <v>2014</v>
      </c>
      <c r="C1157" t="s">
        <v>36</v>
      </c>
      <c r="D1157" t="s">
        <v>24</v>
      </c>
      <c r="E1157" t="e">
        <f>VLOOKUP(Cpi_[[#This Row],[Attribute]],#REF!,2,FALSE)</f>
        <v>#REF!</v>
      </c>
      <c r="F1157">
        <v>111.2</v>
      </c>
      <c r="G1157">
        <f>(Cpi_[[#This Row],[Value]]-F1156)/F1156</f>
        <v>-1.7953321364452678E-3</v>
      </c>
      <c r="H1157" t="e" cm="1" vm="1">
        <f t="array" aca="1" ref="H1157" ca="1">VLOOKUP(Cpi_[[#This Row],[Year]:[Month]],crudeoil[],3,FALSE)</f>
        <v>#VALUE!</v>
      </c>
    </row>
    <row r="1158" spans="1:8" hidden="1" x14ac:dyDescent="0.3">
      <c r="A1158" t="s">
        <v>30</v>
      </c>
      <c r="B1158">
        <v>2014</v>
      </c>
      <c r="C1158" t="s">
        <v>36</v>
      </c>
      <c r="D1158" t="s">
        <v>25</v>
      </c>
      <c r="E1158" t="e">
        <f>VLOOKUP(Cpi_[[#This Row],[Attribute]],#REF!,2,FALSE)</f>
        <v>#REF!</v>
      </c>
      <c r="F1158">
        <v>110.2</v>
      </c>
      <c r="G1158">
        <f>(Cpi_[[#This Row],[Value]]-F1157)/F1157</f>
        <v>-8.9928057553956831E-3</v>
      </c>
      <c r="H1158" t="e" cm="1" vm="1">
        <f t="array" aca="1" ref="H1158" ca="1">VLOOKUP(Cpi_[[#This Row],[Year]:[Month]],crudeoil[],3,FALSE)</f>
        <v>#VALUE!</v>
      </c>
    </row>
    <row r="1159" spans="1:8" hidden="1" x14ac:dyDescent="0.3">
      <c r="A1159" t="s">
        <v>30</v>
      </c>
      <c r="B1159">
        <v>2014</v>
      </c>
      <c r="C1159" t="s">
        <v>36</v>
      </c>
      <c r="D1159" t="s">
        <v>26</v>
      </c>
      <c r="E1159" t="e">
        <f>VLOOKUP(Cpi_[[#This Row],[Attribute]],#REF!,2,FALSE)</f>
        <v>#REF!</v>
      </c>
      <c r="F1159">
        <v>112.4</v>
      </c>
      <c r="G1159">
        <f>(Cpi_[[#This Row],[Value]]-F1158)/F1158</f>
        <v>1.9963702359346667E-2</v>
      </c>
      <c r="H1159" t="e" cm="1" vm="1">
        <f t="array" aca="1" ref="H1159" ca="1">VLOOKUP(Cpi_[[#This Row],[Year]:[Month]],crudeoil[],3,FALSE)</f>
        <v>#VALUE!</v>
      </c>
    </row>
    <row r="1160" spans="1:8" hidden="1" x14ac:dyDescent="0.3">
      <c r="A1160" t="s">
        <v>30</v>
      </c>
      <c r="B1160">
        <v>2014</v>
      </c>
      <c r="C1160" t="s">
        <v>36</v>
      </c>
      <c r="D1160" t="s">
        <v>27</v>
      </c>
      <c r="E1160" t="e">
        <f>VLOOKUP(Cpi_[[#This Row],[Attribute]],#REF!,2,FALSE)</f>
        <v>#REF!</v>
      </c>
      <c r="F1160">
        <v>108.9</v>
      </c>
      <c r="G1160">
        <f>(Cpi_[[#This Row],[Value]]-F1159)/F1159</f>
        <v>-3.1138790035587186E-2</v>
      </c>
      <c r="H1160" t="e" cm="1" vm="1">
        <f t="array" aca="1" ref="H1160" ca="1">VLOOKUP(Cpi_[[#This Row],[Year]:[Month]],crudeoil[],3,FALSE)</f>
        <v>#VALUE!</v>
      </c>
    </row>
    <row r="1161" spans="1:8" hidden="1" x14ac:dyDescent="0.3">
      <c r="A1161" t="s">
        <v>30</v>
      </c>
      <c r="B1161">
        <v>2014</v>
      </c>
      <c r="C1161" t="s">
        <v>36</v>
      </c>
      <c r="D1161" t="s">
        <v>28</v>
      </c>
      <c r="E1161" t="e">
        <f>VLOOKUP(Cpi_[[#This Row],[Attribute]],#REF!,2,FALSE)</f>
        <v>#REF!</v>
      </c>
      <c r="F1161">
        <v>111.3</v>
      </c>
      <c r="G1161">
        <f>(Cpi_[[#This Row],[Value]]-F1160)/F1160</f>
        <v>2.2038567493112868E-2</v>
      </c>
      <c r="H1161" t="e" cm="1" vm="1">
        <f t="array" aca="1" ref="H1161" ca="1">VLOOKUP(Cpi_[[#This Row],[Year]:[Month]],crudeoil[],3,FALSE)</f>
        <v>#VALUE!</v>
      </c>
    </row>
    <row r="1162" spans="1:8" hidden="1" x14ac:dyDescent="0.3">
      <c r="A1162" t="s">
        <v>30</v>
      </c>
      <c r="B1162">
        <v>2014</v>
      </c>
      <c r="C1162" t="s">
        <v>36</v>
      </c>
      <c r="D1162" t="s">
        <v>29</v>
      </c>
      <c r="E1162" t="e" cm="1">
        <f t="array" aca="1" ref="E1162" ca="1">VLGeneral indexGeneral indexKUP(Cpi_[[#This Row],[Attribute]],#REF!,2,FALSE)</f>
        <v>#NAME?</v>
      </c>
      <c r="F1162">
        <v>114.6</v>
      </c>
      <c r="G1162">
        <f>(Cpi_[[#This Row],[Value]]-F1161)/F1161</f>
        <v>2.9649595687331512E-2</v>
      </c>
      <c r="H1162" t="e" cm="1" vm="1">
        <f t="array" aca="1" ref="H1162" ca="1">VLOOKUP(Cpi_[[#This Row],[Year]:[Month]],crudeoil[],3,FALSE)</f>
        <v>#VALUE!</v>
      </c>
    </row>
    <row r="1163" spans="1:8" hidden="1" x14ac:dyDescent="0.3">
      <c r="A1163" t="s">
        <v>33</v>
      </c>
      <c r="B1163">
        <v>2014</v>
      </c>
      <c r="C1163" t="s">
        <v>36</v>
      </c>
      <c r="D1163" t="s">
        <v>3</v>
      </c>
      <c r="E1163" t="e">
        <f>VLOOKUP(Cpi_[[#This Row],[Attribute]],#REF!,2,FALSE)</f>
        <v>#REF!</v>
      </c>
      <c r="F1163">
        <v>122.1</v>
      </c>
      <c r="G1163">
        <f>(Cpi_[[#This Row],[Value]]-F1162)/F1162</f>
        <v>6.5445026178010471E-2</v>
      </c>
      <c r="H1163" t="e" cm="1" vm="1">
        <f t="array" aca="1" ref="H1163" ca="1">VLOOKUP(Cpi_[[#This Row],[Year]:[Month]],crudeoil[],3,FALSE)</f>
        <v>#VALUE!</v>
      </c>
    </row>
    <row r="1164" spans="1:8" hidden="1" x14ac:dyDescent="0.3">
      <c r="A1164" t="s">
        <v>33</v>
      </c>
      <c r="B1164">
        <v>2014</v>
      </c>
      <c r="C1164" t="s">
        <v>36</v>
      </c>
      <c r="D1164" t="s">
        <v>4</v>
      </c>
      <c r="E1164" t="e">
        <f>VLOOKUP(Cpi_[[#This Row],[Attribute]],#REF!,2,FALSE)</f>
        <v>#REF!</v>
      </c>
      <c r="F1164">
        <v>121.4</v>
      </c>
      <c r="G1164">
        <f>(Cpi_[[#This Row],[Value]]-F1163)/F1163</f>
        <v>-5.7330057330056399E-3</v>
      </c>
      <c r="H1164" t="e" cm="1" vm="1">
        <f t="array" aca="1" ref="H1164" ca="1">VLOOKUP(Cpi_[[#This Row],[Year]:[Month]],crudeoil[],3,FALSE)</f>
        <v>#VALUE!</v>
      </c>
    </row>
    <row r="1165" spans="1:8" hidden="1" x14ac:dyDescent="0.3">
      <c r="A1165" t="s">
        <v>33</v>
      </c>
      <c r="B1165">
        <v>2014</v>
      </c>
      <c r="C1165" t="s">
        <v>36</v>
      </c>
      <c r="D1165" t="s">
        <v>5</v>
      </c>
      <c r="E1165" t="e">
        <f>VLOOKUP(Cpi_[[#This Row],[Attribute]],#REF!,2,FALSE)</f>
        <v>#REF!</v>
      </c>
      <c r="F1165">
        <v>121.5</v>
      </c>
      <c r="G1165">
        <f>(Cpi_[[#This Row],[Value]]-F1164)/F1164</f>
        <v>8.2372322899501083E-4</v>
      </c>
      <c r="H1165" t="e" cm="1" vm="1">
        <f t="array" aca="1" ref="H1165" ca="1">VLOOKUP(Cpi_[[#This Row],[Year]:[Month]],crudeoil[],3,FALSE)</f>
        <v>#VALUE!</v>
      </c>
    </row>
    <row r="1166" spans="1:8" hidden="1" x14ac:dyDescent="0.3">
      <c r="A1166" t="s">
        <v>33</v>
      </c>
      <c r="B1166">
        <v>2014</v>
      </c>
      <c r="C1166" t="s">
        <v>36</v>
      </c>
      <c r="D1166" t="s">
        <v>6</v>
      </c>
      <c r="E1166" t="e">
        <f>VLOOKUP(Cpi_[[#This Row],[Attribute]],#REF!,2,FALSE)</f>
        <v>#REF!</v>
      </c>
      <c r="F1166">
        <v>116.2</v>
      </c>
      <c r="G1166">
        <f>(Cpi_[[#This Row],[Value]]-F1165)/F1165</f>
        <v>-4.3621399176954706E-2</v>
      </c>
      <c r="H1166" t="e" cm="1" vm="1">
        <f t="array" aca="1" ref="H1166" ca="1">VLOOKUP(Cpi_[[#This Row],[Year]:[Month]],crudeoil[],3,FALSE)</f>
        <v>#VALUE!</v>
      </c>
    </row>
    <row r="1167" spans="1:8" hidden="1" x14ac:dyDescent="0.3">
      <c r="A1167" t="s">
        <v>33</v>
      </c>
      <c r="B1167">
        <v>2014</v>
      </c>
      <c r="C1167" t="s">
        <v>36</v>
      </c>
      <c r="D1167" t="s">
        <v>7</v>
      </c>
      <c r="E1167" t="e">
        <f>VLOOKUP(Cpi_[[#This Row],[Attribute]],#REF!,2,FALSE)</f>
        <v>#REF!</v>
      </c>
      <c r="F1167">
        <v>102.8</v>
      </c>
      <c r="G1167">
        <f>(Cpi_[[#This Row],[Value]]-F1166)/F1166</f>
        <v>-0.11531841652323585</v>
      </c>
      <c r="H1167" t="e" cm="1" vm="1">
        <f t="array" aca="1" ref="H1167" ca="1">VLOOKUP(Cpi_[[#This Row],[Year]:[Month]],crudeoil[],3,FALSE)</f>
        <v>#VALUE!</v>
      </c>
    </row>
    <row r="1168" spans="1:8" hidden="1" x14ac:dyDescent="0.3">
      <c r="A1168" t="s">
        <v>33</v>
      </c>
      <c r="B1168">
        <v>2014</v>
      </c>
      <c r="C1168" t="s">
        <v>36</v>
      </c>
      <c r="D1168" t="s">
        <v>8</v>
      </c>
      <c r="E1168" t="e">
        <f>VLOOKUP(Cpi_[[#This Row],[Attribute]],#REF!,2,FALSE)</f>
        <v>#REF!</v>
      </c>
      <c r="F1168">
        <v>117.7</v>
      </c>
      <c r="G1168">
        <f>(Cpi_[[#This Row],[Value]]-F1167)/F1167</f>
        <v>0.1449416342412452</v>
      </c>
      <c r="H1168" t="e" cm="1" vm="1">
        <f t="array" aca="1" ref="H1168" ca="1">VLOOKUP(Cpi_[[#This Row],[Year]:[Month]],crudeoil[],3,FALSE)</f>
        <v>#VALUE!</v>
      </c>
    </row>
    <row r="1169" spans="1:8" hidden="1" x14ac:dyDescent="0.3">
      <c r="A1169" t="s">
        <v>33</v>
      </c>
      <c r="B1169">
        <v>2014</v>
      </c>
      <c r="C1169" t="s">
        <v>36</v>
      </c>
      <c r="D1169" t="s">
        <v>9</v>
      </c>
      <c r="E1169" t="e">
        <f>VLOOKUP(Cpi_[[#This Row],[Attribute]],#REF!,2,FALSE)</f>
        <v>#REF!</v>
      </c>
      <c r="F1169">
        <v>113.3</v>
      </c>
      <c r="G1169">
        <f>(Cpi_[[#This Row],[Value]]-F1168)/F1168</f>
        <v>-3.7383177570093504E-2</v>
      </c>
      <c r="H1169" t="e" cm="1" vm="1">
        <f t="array" aca="1" ref="H1169" ca="1">VLOOKUP(Cpi_[[#This Row],[Year]:[Month]],crudeoil[],3,FALSE)</f>
        <v>#VALUE!</v>
      </c>
    </row>
    <row r="1170" spans="1:8" hidden="1" x14ac:dyDescent="0.3">
      <c r="A1170" t="s">
        <v>33</v>
      </c>
      <c r="B1170">
        <v>2014</v>
      </c>
      <c r="C1170" t="s">
        <v>36</v>
      </c>
      <c r="D1170" t="s">
        <v>10</v>
      </c>
      <c r="E1170" t="e">
        <f>VLOOKUP(Cpi_[[#This Row],[Attribute]],#REF!,2,FALSE)</f>
        <v>#REF!</v>
      </c>
      <c r="F1170">
        <v>108.9</v>
      </c>
      <c r="G1170">
        <f>(Cpi_[[#This Row],[Value]]-F1169)/F1169</f>
        <v>-3.8834951456310607E-2</v>
      </c>
      <c r="H1170" t="e" cm="1" vm="1">
        <f t="array" aca="1" ref="H1170" ca="1">VLOOKUP(Cpi_[[#This Row],[Year]:[Month]],crudeoil[],3,FALSE)</f>
        <v>#VALUE!</v>
      </c>
    </row>
    <row r="1171" spans="1:8" hidden="1" x14ac:dyDescent="0.3">
      <c r="A1171" t="s">
        <v>33</v>
      </c>
      <c r="B1171">
        <v>2014</v>
      </c>
      <c r="C1171" t="s">
        <v>36</v>
      </c>
      <c r="D1171" t="s">
        <v>11</v>
      </c>
      <c r="E1171" t="e">
        <f>VLOOKUP(Cpi_[[#This Row],[Attribute]],#REF!,2,FALSE)</f>
        <v>#REF!</v>
      </c>
      <c r="F1171">
        <v>96.3</v>
      </c>
      <c r="G1171">
        <f>(Cpi_[[#This Row],[Value]]-F1170)/F1170</f>
        <v>-0.11570247933884305</v>
      </c>
      <c r="H1171" t="e" cm="1" vm="1">
        <f t="array" aca="1" ref="H1171" ca="1">VLOOKUP(Cpi_[[#This Row],[Year]:[Month]],crudeoil[],3,FALSE)</f>
        <v>#VALUE!</v>
      </c>
    </row>
    <row r="1172" spans="1:8" hidden="1" x14ac:dyDescent="0.3">
      <c r="A1172" t="s">
        <v>33</v>
      </c>
      <c r="B1172">
        <v>2014</v>
      </c>
      <c r="C1172" t="s">
        <v>36</v>
      </c>
      <c r="D1172" t="s">
        <v>12</v>
      </c>
      <c r="E1172" t="e">
        <f>VLOOKUP(Cpi_[[#This Row],[Attribute]],#REF!,2,FALSE)</f>
        <v>#REF!</v>
      </c>
      <c r="F1172">
        <v>114.1</v>
      </c>
      <c r="G1172">
        <f>(Cpi_[[#This Row],[Value]]-F1171)/F1171</f>
        <v>0.18483904465212875</v>
      </c>
      <c r="H1172" t="e" cm="1" vm="1">
        <f t="array" aca="1" ref="H1172" ca="1">VLOOKUP(Cpi_[[#This Row],[Year]:[Month]],crudeoil[],3,FALSE)</f>
        <v>#VALUE!</v>
      </c>
    </row>
    <row r="1173" spans="1:8" hidden="1" x14ac:dyDescent="0.3">
      <c r="A1173" t="s">
        <v>33</v>
      </c>
      <c r="B1173">
        <v>2014</v>
      </c>
      <c r="C1173" t="s">
        <v>36</v>
      </c>
      <c r="D1173" t="s">
        <v>13</v>
      </c>
      <c r="E1173" t="e">
        <f>VLOOKUP(Cpi_[[#This Row],[Attribute]],#REF!,2,FALSE)</f>
        <v>#REF!</v>
      </c>
      <c r="F1173">
        <v>112.2</v>
      </c>
      <c r="G1173">
        <f>(Cpi_[[#This Row],[Value]]-F1172)/F1172</f>
        <v>-1.66520595968448E-2</v>
      </c>
      <c r="H1173" t="e" cm="1" vm="1">
        <f t="array" aca="1" ref="H1173" ca="1">VLOOKUP(Cpi_[[#This Row],[Year]:[Month]],crudeoil[],3,FALSE)</f>
        <v>#VALUE!</v>
      </c>
    </row>
    <row r="1174" spans="1:8" hidden="1" x14ac:dyDescent="0.3">
      <c r="A1174" t="s">
        <v>33</v>
      </c>
      <c r="B1174">
        <v>2014</v>
      </c>
      <c r="C1174" t="s">
        <v>36</v>
      </c>
      <c r="D1174" t="s">
        <v>14</v>
      </c>
      <c r="E1174" t="e">
        <f>VLOOKUP(Cpi_[[#This Row],[Attribute]],#REF!,2,FALSE)</f>
        <v>#REF!</v>
      </c>
      <c r="F1174">
        <v>120.5</v>
      </c>
      <c r="G1174">
        <f>(Cpi_[[#This Row],[Value]]-F1173)/F1173</f>
        <v>7.3975044563279829E-2</v>
      </c>
      <c r="H1174" t="e" cm="1" vm="1">
        <f t="array" aca="1" ref="H1174" ca="1">VLOOKUP(Cpi_[[#This Row],[Year]:[Month]],crudeoil[],3,FALSE)</f>
        <v>#VALUE!</v>
      </c>
    </row>
    <row r="1175" spans="1:8" hidden="1" x14ac:dyDescent="0.3">
      <c r="A1175" t="s">
        <v>33</v>
      </c>
      <c r="B1175">
        <v>2014</v>
      </c>
      <c r="C1175" t="s">
        <v>36</v>
      </c>
      <c r="D1175" t="s">
        <v>15</v>
      </c>
      <c r="E1175" t="e">
        <f>VLOOKUP(Cpi_[[#This Row],[Attribute]],#REF!,2,FALSE)</f>
        <v>#REF!</v>
      </c>
      <c r="F1175">
        <v>116</v>
      </c>
      <c r="G1175">
        <f>(Cpi_[[#This Row],[Value]]-F1174)/F1174</f>
        <v>-3.7344398340248962E-2</v>
      </c>
      <c r="H1175" t="e" cm="1" vm="1">
        <f t="array" aca="1" ref="H1175" ca="1">VLOOKUP(Cpi_[[#This Row],[Year]:[Month]],crudeoil[],3,FALSE)</f>
        <v>#VALUE!</v>
      </c>
    </row>
    <row r="1176" spans="1:8" hidden="1" x14ac:dyDescent="0.3">
      <c r="A1176" t="s">
        <v>33</v>
      </c>
      <c r="B1176">
        <v>2014</v>
      </c>
      <c r="C1176" t="s">
        <v>36</v>
      </c>
      <c r="D1176" t="s">
        <v>16</v>
      </c>
      <c r="E1176" t="e">
        <f>VLOOKUP(Cpi_[[#This Row],[Attribute]],#REF!,2,FALSE)</f>
        <v>#REF!</v>
      </c>
      <c r="F1176">
        <v>116.7</v>
      </c>
      <c r="G1176">
        <f>(Cpi_[[#This Row],[Value]]-F1175)/F1175</f>
        <v>6.0344827586207139E-3</v>
      </c>
      <c r="H1176" t="e" cm="1" vm="1">
        <f t="array" aca="1" ref="H1176" ca="1">VLOOKUP(Cpi_[[#This Row],[Year]:[Month]],crudeoil[],3,FALSE)</f>
        <v>#VALUE!</v>
      </c>
    </row>
    <row r="1177" spans="1:8" hidden="1" x14ac:dyDescent="0.3">
      <c r="A1177" t="s">
        <v>33</v>
      </c>
      <c r="B1177">
        <v>2014</v>
      </c>
      <c r="C1177" t="s">
        <v>36</v>
      </c>
      <c r="D1177" t="s">
        <v>17</v>
      </c>
      <c r="E1177" t="e">
        <f>VLOOKUP(Cpi_[[#This Row],[Attribute]],#REF!,2,FALSE)</f>
        <v>#REF!</v>
      </c>
      <c r="F1177">
        <v>115.8</v>
      </c>
      <c r="G1177">
        <f>(Cpi_[[#This Row],[Value]]-F1176)/F1176</f>
        <v>-7.7120822622108454E-3</v>
      </c>
      <c r="H1177" t="e" cm="1" vm="1">
        <f t="array" aca="1" ref="H1177" ca="1">VLOOKUP(Cpi_[[#This Row],[Year]:[Month]],crudeoil[],3,FALSE)</f>
        <v>#VALUE!</v>
      </c>
    </row>
    <row r="1178" spans="1:8" hidden="1" x14ac:dyDescent="0.3">
      <c r="A1178" t="s">
        <v>33</v>
      </c>
      <c r="B1178">
        <v>2014</v>
      </c>
      <c r="C1178" t="s">
        <v>36</v>
      </c>
      <c r="D1178" t="s">
        <v>18</v>
      </c>
      <c r="E1178" t="e">
        <f>VLOOKUP(Cpi_[[#This Row],[Attribute]],#REF!,2,FALSE)</f>
        <v>#REF!</v>
      </c>
      <c r="F1178">
        <v>112.1</v>
      </c>
      <c r="G1178">
        <f>(Cpi_[[#This Row],[Value]]-F1177)/F1177</f>
        <v>-3.1951640759930941E-2</v>
      </c>
      <c r="H1178" t="e" cm="1" vm="1">
        <f t="array" aca="1" ref="H1178" ca="1">VLOOKUP(Cpi_[[#This Row],[Year]:[Month]],crudeoil[],3,FALSE)</f>
        <v>#VALUE!</v>
      </c>
    </row>
    <row r="1179" spans="1:8" hidden="1" x14ac:dyDescent="0.3">
      <c r="A1179" t="s">
        <v>33</v>
      </c>
      <c r="B1179">
        <v>2014</v>
      </c>
      <c r="C1179" t="s">
        <v>36</v>
      </c>
      <c r="D1179" t="s">
        <v>19</v>
      </c>
      <c r="E1179" t="e">
        <f>VLOOKUP(Cpi_[[#This Row],[Attribute]],#REF!,2,FALSE)</f>
        <v>#REF!</v>
      </c>
      <c r="F1179">
        <v>115.2</v>
      </c>
      <c r="G1179">
        <f>(Cpi_[[#This Row],[Value]]-F1178)/F1178</f>
        <v>2.765388046387162E-2</v>
      </c>
      <c r="H1179" t="e" cm="1" vm="1">
        <f t="array" aca="1" ref="H1179" ca="1">VLOOKUP(Cpi_[[#This Row],[Year]:[Month]],crudeoil[],3,FALSE)</f>
        <v>#VALUE!</v>
      </c>
    </row>
    <row r="1180" spans="1:8" hidden="1" x14ac:dyDescent="0.3">
      <c r="A1180" t="s">
        <v>33</v>
      </c>
      <c r="B1180">
        <v>2014</v>
      </c>
      <c r="C1180" t="s">
        <v>36</v>
      </c>
      <c r="D1180" t="s">
        <v>20</v>
      </c>
      <c r="E1180" t="e">
        <f>VLOOKUP(Cpi_[[#This Row],[Attribute]],#REF!,2,FALSE)</f>
        <v>#REF!</v>
      </c>
      <c r="F1180">
        <v>113.2</v>
      </c>
      <c r="G1180">
        <f>(Cpi_[[#This Row],[Value]]-F1179)/F1179</f>
        <v>-1.7361111111111112E-2</v>
      </c>
      <c r="H1180" t="e" cm="1" vm="1">
        <f t="array" aca="1" ref="H1180" ca="1">VLOOKUP(Cpi_[[#This Row],[Year]:[Month]],crudeoil[],3,FALSE)</f>
        <v>#VALUE!</v>
      </c>
    </row>
    <row r="1181" spans="1:8" hidden="1" x14ac:dyDescent="0.3">
      <c r="A1181" t="s">
        <v>33</v>
      </c>
      <c r="B1181">
        <v>2014</v>
      </c>
      <c r="C1181" t="s">
        <v>36</v>
      </c>
      <c r="D1181" t="s">
        <v>21</v>
      </c>
      <c r="E1181" t="e">
        <f>VLOOKUP(Cpi_[[#This Row],[Attribute]],#REF!,2,FALSE)</f>
        <v>#REF!</v>
      </c>
      <c r="F1181">
        <v>110.9</v>
      </c>
      <c r="G1181">
        <f>(Cpi_[[#This Row],[Value]]-F1180)/F1180</f>
        <v>-2.0318021201413402E-2</v>
      </c>
      <c r="H1181" t="e" cm="1" vm="1">
        <f t="array" aca="1" ref="H1181" ca="1">VLOOKUP(Cpi_[[#This Row],[Year]:[Month]],crudeoil[],3,FALSE)</f>
        <v>#VALUE!</v>
      </c>
    </row>
    <row r="1182" spans="1:8" hidden="1" x14ac:dyDescent="0.3">
      <c r="A1182" t="s">
        <v>33</v>
      </c>
      <c r="B1182">
        <v>2014</v>
      </c>
      <c r="C1182" t="s">
        <v>36</v>
      </c>
      <c r="D1182" t="s">
        <v>22</v>
      </c>
      <c r="E1182" t="e">
        <f>VLOOKUP(Cpi_[[#This Row],[Attribute]],#REF!,2,FALSE)</f>
        <v>#REF!</v>
      </c>
      <c r="F1182">
        <v>113</v>
      </c>
      <c r="G1182">
        <f>(Cpi_[[#This Row],[Value]]-F1181)/F1181</f>
        <v>1.8935978358881823E-2</v>
      </c>
      <c r="H1182" t="e" cm="1" vm="1">
        <f t="array" aca="1" ref="H1182" ca="1">VLOOKUP(Cpi_[[#This Row],[Year]:[Month]],crudeoil[],3,FALSE)</f>
        <v>#VALUE!</v>
      </c>
    </row>
    <row r="1183" spans="1:8" hidden="1" x14ac:dyDescent="0.3">
      <c r="A1183" t="s">
        <v>33</v>
      </c>
      <c r="B1183">
        <v>2014</v>
      </c>
      <c r="C1183" t="s">
        <v>36</v>
      </c>
      <c r="D1183" t="s">
        <v>23</v>
      </c>
      <c r="E1183" t="e">
        <f>VLOOKUP(Cpi_[[#This Row],[Attribute]],#REF!,2,FALSE)</f>
        <v>#REF!</v>
      </c>
      <c r="F1183">
        <v>110.8</v>
      </c>
      <c r="G1183">
        <f>(Cpi_[[#This Row],[Value]]-F1182)/F1182</f>
        <v>-1.946902654867259E-2</v>
      </c>
      <c r="H1183" t="e" cm="1" vm="1">
        <f t="array" aca="1" ref="H1183" ca="1">VLOOKUP(Cpi_[[#This Row],[Year]:[Month]],crudeoil[],3,FALSE)</f>
        <v>#VALUE!</v>
      </c>
    </row>
    <row r="1184" spans="1:8" hidden="1" x14ac:dyDescent="0.3">
      <c r="A1184" t="s">
        <v>33</v>
      </c>
      <c r="B1184">
        <v>2014</v>
      </c>
      <c r="C1184" t="s">
        <v>36</v>
      </c>
      <c r="D1184" t="s">
        <v>24</v>
      </c>
      <c r="E1184" t="e">
        <f>VLOOKUP(Cpi_[[#This Row],[Attribute]],#REF!,2,FALSE)</f>
        <v>#REF!</v>
      </c>
      <c r="F1184">
        <v>111.6</v>
      </c>
      <c r="G1184">
        <f>(Cpi_[[#This Row],[Value]]-F1183)/F1183</f>
        <v>7.2202166064981692E-3</v>
      </c>
      <c r="H1184" t="e" cm="1" vm="1">
        <f t="array" aca="1" ref="H1184" ca="1">VLOOKUP(Cpi_[[#This Row],[Year]:[Month]],crudeoil[],3,FALSE)</f>
        <v>#VALUE!</v>
      </c>
    </row>
    <row r="1185" spans="1:8" hidden="1" x14ac:dyDescent="0.3">
      <c r="A1185" t="s">
        <v>33</v>
      </c>
      <c r="B1185">
        <v>2014</v>
      </c>
      <c r="C1185" t="s">
        <v>36</v>
      </c>
      <c r="D1185" t="s">
        <v>25</v>
      </c>
      <c r="E1185" t="e">
        <f>VLOOKUP(Cpi_[[#This Row],[Attribute]],#REF!,2,FALSE)</f>
        <v>#REF!</v>
      </c>
      <c r="F1185">
        <v>110.9</v>
      </c>
      <c r="G1185">
        <f>(Cpi_[[#This Row],[Value]]-F1184)/F1184</f>
        <v>-6.272401433691655E-3</v>
      </c>
      <c r="H1185" t="e" cm="1" vm="1">
        <f t="array" aca="1" ref="H1185" ca="1">VLOOKUP(Cpi_[[#This Row],[Year]:[Month]],crudeoil[],3,FALSE)</f>
        <v>#VALUE!</v>
      </c>
    </row>
    <row r="1186" spans="1:8" hidden="1" x14ac:dyDescent="0.3">
      <c r="A1186" t="s">
        <v>33</v>
      </c>
      <c r="B1186">
        <v>2014</v>
      </c>
      <c r="C1186" t="s">
        <v>36</v>
      </c>
      <c r="D1186" t="s">
        <v>26</v>
      </c>
      <c r="E1186" t="e">
        <f>VLOOKUP(Cpi_[[#This Row],[Attribute]],#REF!,2,FALSE)</f>
        <v>#REF!</v>
      </c>
      <c r="F1186">
        <v>111.8</v>
      </c>
      <c r="G1186">
        <f>(Cpi_[[#This Row],[Value]]-F1185)/F1185</f>
        <v>8.115419296663583E-3</v>
      </c>
      <c r="H1186" t="e" cm="1" vm="1">
        <f t="array" aca="1" ref="H1186" ca="1">VLOOKUP(Cpi_[[#This Row],[Year]:[Month]],crudeoil[],3,FALSE)</f>
        <v>#VALUE!</v>
      </c>
    </row>
    <row r="1187" spans="1:8" hidden="1" x14ac:dyDescent="0.3">
      <c r="A1187" t="s">
        <v>33</v>
      </c>
      <c r="B1187">
        <v>2014</v>
      </c>
      <c r="C1187" t="s">
        <v>36</v>
      </c>
      <c r="D1187" t="s">
        <v>27</v>
      </c>
      <c r="E1187" t="e">
        <f>VLOOKUP(Cpi_[[#This Row],[Attribute]],#REF!,2,FALSE)</f>
        <v>#REF!</v>
      </c>
      <c r="F1187">
        <v>109.2</v>
      </c>
      <c r="G1187">
        <f>(Cpi_[[#This Row],[Value]]-F1186)/F1186</f>
        <v>-2.3255813953488323E-2</v>
      </c>
      <c r="H1187" t="e" cm="1" vm="1">
        <f t="array" aca="1" ref="H1187" ca="1">VLOOKUP(Cpi_[[#This Row],[Year]:[Month]],crudeoil[],3,FALSE)</f>
        <v>#VALUE!</v>
      </c>
    </row>
    <row r="1188" spans="1:8" hidden="1" x14ac:dyDescent="0.3">
      <c r="A1188" t="s">
        <v>33</v>
      </c>
      <c r="B1188">
        <v>2014</v>
      </c>
      <c r="C1188" t="s">
        <v>36</v>
      </c>
      <c r="D1188" t="s">
        <v>28</v>
      </c>
      <c r="E1188" t="e">
        <f>VLOOKUP(Cpi_[[#This Row],[Attribute]],#REF!,2,FALSE)</f>
        <v>#REF!</v>
      </c>
      <c r="F1188">
        <v>111.4</v>
      </c>
      <c r="G1188">
        <f>(Cpi_[[#This Row],[Value]]-F1187)/F1187</f>
        <v>2.0146520146520172E-2</v>
      </c>
      <c r="H1188" t="e" cm="1" vm="1">
        <f t="array" aca="1" ref="H1188" ca="1">VLOOKUP(Cpi_[[#This Row],[Year]:[Month]],crudeoil[],3,FALSE)</f>
        <v>#VALUE!</v>
      </c>
    </row>
    <row r="1189" spans="1:8" hidden="1" x14ac:dyDescent="0.3">
      <c r="A1189" t="s">
        <v>33</v>
      </c>
      <c r="B1189">
        <v>2014</v>
      </c>
      <c r="C1189" t="s">
        <v>36</v>
      </c>
      <c r="D1189" t="s">
        <v>29</v>
      </c>
      <c r="E1189" t="e" cm="1">
        <f t="array" aca="1" ref="E1189" ca="1">VLGeneral indexGeneral indexKUP(Cpi_[[#This Row],[Attribute]],#REF!,2,FALSE)</f>
        <v>#NAME?</v>
      </c>
      <c r="F1189">
        <v>113.7</v>
      </c>
      <c r="G1189">
        <f>(Cpi_[[#This Row],[Value]]-F1188)/F1188</f>
        <v>2.0646319569120261E-2</v>
      </c>
      <c r="H1189" t="e" cm="1" vm="1">
        <f t="array" aca="1" ref="H1189" ca="1">VLOOKUP(Cpi_[[#This Row],[Year]:[Month]],crudeoil[],3,FALSE)</f>
        <v>#VALUE!</v>
      </c>
    </row>
    <row r="1190" spans="1:8" hidden="1" x14ac:dyDescent="0.3">
      <c r="A1190" t="s">
        <v>34</v>
      </c>
      <c r="B1190">
        <v>2014</v>
      </c>
      <c r="C1190" t="s">
        <v>47</v>
      </c>
      <c r="D1190" t="s">
        <v>3</v>
      </c>
      <c r="E1190" t="e">
        <f>VLOOKUP(Cpi_[[#This Row],[Attribute]],#REF!,2,FALSE)</f>
        <v>#REF!</v>
      </c>
      <c r="F1190">
        <v>120.7</v>
      </c>
      <c r="G1190">
        <f>(Cpi_[[#This Row],[Value]]-F1189)/F1189</f>
        <v>6.156552330694811E-2</v>
      </c>
      <c r="H1190" t="e" cm="1" vm="1">
        <f t="array" aca="1" ref="H1190" ca="1">VLOOKUP(Cpi_[[#This Row],[Year]:[Month]],crudeoil[],3,FALSE)</f>
        <v>#VALUE!</v>
      </c>
    </row>
    <row r="1191" spans="1:8" hidden="1" x14ac:dyDescent="0.3">
      <c r="A1191" t="s">
        <v>34</v>
      </c>
      <c r="B1191">
        <v>2014</v>
      </c>
      <c r="C1191" t="s">
        <v>47</v>
      </c>
      <c r="D1191" t="s">
        <v>4</v>
      </c>
      <c r="E1191" t="e">
        <f>VLOOKUP(Cpi_[[#This Row],[Attribute]],#REF!,2,FALSE)</f>
        <v>#REF!</v>
      </c>
      <c r="F1191">
        <v>119.3</v>
      </c>
      <c r="G1191">
        <f>(Cpi_[[#This Row],[Value]]-F1190)/F1190</f>
        <v>-1.1599005799502947E-2</v>
      </c>
      <c r="H1191" t="e" cm="1" vm="1">
        <f t="array" aca="1" ref="H1191" ca="1">VLOOKUP(Cpi_[[#This Row],[Year]:[Month]],crudeoil[],3,FALSE)</f>
        <v>#VALUE!</v>
      </c>
    </row>
    <row r="1192" spans="1:8" hidden="1" x14ac:dyDescent="0.3">
      <c r="A1192" t="s">
        <v>34</v>
      </c>
      <c r="B1192">
        <v>2014</v>
      </c>
      <c r="C1192" t="s">
        <v>47</v>
      </c>
      <c r="D1192" t="s">
        <v>5</v>
      </c>
      <c r="E1192" t="e">
        <f>VLOOKUP(Cpi_[[#This Row],[Attribute]],#REF!,2,FALSE)</f>
        <v>#REF!</v>
      </c>
      <c r="F1192">
        <v>121</v>
      </c>
      <c r="G1192">
        <f>(Cpi_[[#This Row],[Value]]-F1191)/F1191</f>
        <v>1.4249790444258196E-2</v>
      </c>
      <c r="H1192" t="e" cm="1" vm="1">
        <f t="array" aca="1" ref="H1192" ca="1">VLOOKUP(Cpi_[[#This Row],[Year]:[Month]],crudeoil[],3,FALSE)</f>
        <v>#VALUE!</v>
      </c>
    </row>
    <row r="1193" spans="1:8" hidden="1" x14ac:dyDescent="0.3">
      <c r="A1193" t="s">
        <v>34</v>
      </c>
      <c r="B1193">
        <v>2014</v>
      </c>
      <c r="C1193" t="s">
        <v>47</v>
      </c>
      <c r="D1193" t="s">
        <v>6</v>
      </c>
      <c r="E1193" t="e">
        <f>VLOOKUP(Cpi_[[#This Row],[Attribute]],#REF!,2,FALSE)</f>
        <v>#REF!</v>
      </c>
      <c r="F1193">
        <v>116.1</v>
      </c>
      <c r="G1193">
        <f>(Cpi_[[#This Row],[Value]]-F1192)/F1192</f>
        <v>-4.0495867768595088E-2</v>
      </c>
      <c r="H1193" t="e" cm="1" vm="1">
        <f t="array" aca="1" ref="H1193" ca="1">VLOOKUP(Cpi_[[#This Row],[Year]:[Month]],crudeoil[],3,FALSE)</f>
        <v>#VALUE!</v>
      </c>
    </row>
    <row r="1194" spans="1:8" hidden="1" x14ac:dyDescent="0.3">
      <c r="A1194" t="s">
        <v>34</v>
      </c>
      <c r="B1194">
        <v>2014</v>
      </c>
      <c r="C1194" t="s">
        <v>47</v>
      </c>
      <c r="D1194" t="s">
        <v>7</v>
      </c>
      <c r="E1194" t="e">
        <f>VLOOKUP(Cpi_[[#This Row],[Attribute]],#REF!,2,FALSE)</f>
        <v>#REF!</v>
      </c>
      <c r="F1194">
        <v>106.9</v>
      </c>
      <c r="G1194">
        <f>(Cpi_[[#This Row],[Value]]-F1193)/F1193</f>
        <v>-7.9242032730404727E-2</v>
      </c>
      <c r="H1194" t="e" cm="1" vm="1">
        <f t="array" aca="1" ref="H1194" ca="1">VLOOKUP(Cpi_[[#This Row],[Year]:[Month]],crudeoil[],3,FALSE)</f>
        <v>#VALUE!</v>
      </c>
    </row>
    <row r="1195" spans="1:8" hidden="1" x14ac:dyDescent="0.3">
      <c r="A1195" t="s">
        <v>34</v>
      </c>
      <c r="B1195">
        <v>2014</v>
      </c>
      <c r="C1195" t="s">
        <v>47</v>
      </c>
      <c r="D1195" t="s">
        <v>8</v>
      </c>
      <c r="E1195" t="e">
        <f>VLOOKUP(Cpi_[[#This Row],[Attribute]],#REF!,2,FALSE)</f>
        <v>#REF!</v>
      </c>
      <c r="F1195">
        <v>118.7</v>
      </c>
      <c r="G1195">
        <f>(Cpi_[[#This Row],[Value]]-F1194)/F1194</f>
        <v>0.11038353601496723</v>
      </c>
      <c r="H1195" t="e" cm="1" vm="1">
        <f t="array" aca="1" ref="H1195" ca="1">VLOOKUP(Cpi_[[#This Row],[Year]:[Month]],crudeoil[],3,FALSE)</f>
        <v>#VALUE!</v>
      </c>
    </row>
    <row r="1196" spans="1:8" hidden="1" x14ac:dyDescent="0.3">
      <c r="A1196" t="s">
        <v>34</v>
      </c>
      <c r="B1196">
        <v>2014</v>
      </c>
      <c r="C1196" t="s">
        <v>47</v>
      </c>
      <c r="D1196" t="s">
        <v>9</v>
      </c>
      <c r="E1196" t="e">
        <f>VLOOKUP(Cpi_[[#This Row],[Attribute]],#REF!,2,FALSE)</f>
        <v>#REF!</v>
      </c>
      <c r="F1196">
        <v>116.3</v>
      </c>
      <c r="G1196">
        <f>(Cpi_[[#This Row],[Value]]-F1195)/F1195</f>
        <v>-2.0219039595619256E-2</v>
      </c>
      <c r="H1196" t="e" cm="1" vm="1">
        <f t="array" aca="1" ref="H1196" ca="1">VLOOKUP(Cpi_[[#This Row],[Year]:[Month]],crudeoil[],3,FALSE)</f>
        <v>#VALUE!</v>
      </c>
    </row>
    <row r="1197" spans="1:8" hidden="1" x14ac:dyDescent="0.3">
      <c r="A1197" t="s">
        <v>34</v>
      </c>
      <c r="B1197">
        <v>2014</v>
      </c>
      <c r="C1197" t="s">
        <v>47</v>
      </c>
      <c r="D1197" t="s">
        <v>10</v>
      </c>
      <c r="E1197" t="e">
        <f>VLOOKUP(Cpi_[[#This Row],[Attribute]],#REF!,2,FALSE)</f>
        <v>#REF!</v>
      </c>
      <c r="F1197">
        <v>109.8</v>
      </c>
      <c r="G1197">
        <f>(Cpi_[[#This Row],[Value]]-F1196)/F1196</f>
        <v>-5.5889939810834052E-2</v>
      </c>
      <c r="H1197" t="e" cm="1" vm="1">
        <f t="array" aca="1" ref="H1197" ca="1">VLOOKUP(Cpi_[[#This Row],[Year]:[Month]],crudeoil[],3,FALSE)</f>
        <v>#VALUE!</v>
      </c>
    </row>
    <row r="1198" spans="1:8" hidden="1" x14ac:dyDescent="0.3">
      <c r="A1198" t="s">
        <v>34</v>
      </c>
      <c r="B1198">
        <v>2014</v>
      </c>
      <c r="C1198" t="s">
        <v>47</v>
      </c>
      <c r="D1198" t="s">
        <v>11</v>
      </c>
      <c r="E1198" t="e">
        <f>VLOOKUP(Cpi_[[#This Row],[Attribute]],#REF!,2,FALSE)</f>
        <v>#REF!</v>
      </c>
      <c r="F1198">
        <v>99.6</v>
      </c>
      <c r="G1198">
        <f>(Cpi_[[#This Row],[Value]]-F1197)/F1197</f>
        <v>-9.2896174863388012E-2</v>
      </c>
      <c r="H1198" t="e" cm="1" vm="1">
        <f t="array" aca="1" ref="H1198" ca="1">VLOOKUP(Cpi_[[#This Row],[Year]:[Month]],crudeoil[],3,FALSE)</f>
        <v>#VALUE!</v>
      </c>
    </row>
    <row r="1199" spans="1:8" hidden="1" x14ac:dyDescent="0.3">
      <c r="A1199" t="s">
        <v>34</v>
      </c>
      <c r="B1199">
        <v>2014</v>
      </c>
      <c r="C1199" t="s">
        <v>47</v>
      </c>
      <c r="D1199" t="s">
        <v>12</v>
      </c>
      <c r="E1199" t="e">
        <f>VLOOKUP(Cpi_[[#This Row],[Attribute]],#REF!,2,FALSE)</f>
        <v>#REF!</v>
      </c>
      <c r="F1199">
        <v>111.8</v>
      </c>
      <c r="G1199">
        <f>(Cpi_[[#This Row],[Value]]-F1198)/F1198</f>
        <v>0.12248995983935747</v>
      </c>
      <c r="H1199" t="e" cm="1" vm="1">
        <f t="array" aca="1" ref="H1199" ca="1">VLOOKUP(Cpi_[[#This Row],[Year]:[Month]],crudeoil[],3,FALSE)</f>
        <v>#VALUE!</v>
      </c>
    </row>
    <row r="1200" spans="1:8" hidden="1" x14ac:dyDescent="0.3">
      <c r="A1200" t="s">
        <v>34</v>
      </c>
      <c r="B1200">
        <v>2014</v>
      </c>
      <c r="C1200" t="s">
        <v>47</v>
      </c>
      <c r="D1200" t="s">
        <v>13</v>
      </c>
      <c r="E1200" t="e">
        <f>VLOOKUP(Cpi_[[#This Row],[Attribute]],#REF!,2,FALSE)</f>
        <v>#REF!</v>
      </c>
      <c r="F1200">
        <v>112.7</v>
      </c>
      <c r="G1200">
        <f>(Cpi_[[#This Row],[Value]]-F1199)/F1199</f>
        <v>8.0500894454383336E-3</v>
      </c>
      <c r="H1200" t="e" cm="1" vm="1">
        <f t="array" aca="1" ref="H1200" ca="1">VLOOKUP(Cpi_[[#This Row],[Year]:[Month]],crudeoil[],3,FALSE)</f>
        <v>#VALUE!</v>
      </c>
    </row>
    <row r="1201" spans="1:8" hidden="1" x14ac:dyDescent="0.3">
      <c r="A1201" t="s">
        <v>34</v>
      </c>
      <c r="B1201">
        <v>2014</v>
      </c>
      <c r="C1201" t="s">
        <v>47</v>
      </c>
      <c r="D1201" t="s">
        <v>14</v>
      </c>
      <c r="E1201" t="e">
        <f>VLOOKUP(Cpi_[[#This Row],[Attribute]],#REF!,2,FALSE)</f>
        <v>#REF!</v>
      </c>
      <c r="F1201">
        <v>119.3</v>
      </c>
      <c r="G1201">
        <f>(Cpi_[[#This Row],[Value]]-F1200)/F1200</f>
        <v>5.8562555456965343E-2</v>
      </c>
      <c r="H1201" t="e" cm="1" vm="1">
        <f t="array" aca="1" ref="H1201" ca="1">VLOOKUP(Cpi_[[#This Row],[Year]:[Month]],crudeoil[],3,FALSE)</f>
        <v>#VALUE!</v>
      </c>
    </row>
    <row r="1202" spans="1:8" hidden="1" x14ac:dyDescent="0.3">
      <c r="A1202" t="s">
        <v>34</v>
      </c>
      <c r="B1202">
        <v>2014</v>
      </c>
      <c r="C1202" t="s">
        <v>47</v>
      </c>
      <c r="D1202" t="s">
        <v>15</v>
      </c>
      <c r="E1202" t="e">
        <f>VLOOKUP(Cpi_[[#This Row],[Attribute]],#REF!,2,FALSE)</f>
        <v>#REF!</v>
      </c>
      <c r="F1202">
        <v>116.1</v>
      </c>
      <c r="G1202">
        <f>(Cpi_[[#This Row],[Value]]-F1201)/F1201</f>
        <v>-2.6823134953897761E-2</v>
      </c>
      <c r="H1202" t="e" cm="1" vm="1">
        <f t="array" aca="1" ref="H1202" ca="1">VLOOKUP(Cpi_[[#This Row],[Year]:[Month]],crudeoil[],3,FALSE)</f>
        <v>#VALUE!</v>
      </c>
    </row>
    <row r="1203" spans="1:8" hidden="1" x14ac:dyDescent="0.3">
      <c r="A1203" t="s">
        <v>34</v>
      </c>
      <c r="B1203">
        <v>2014</v>
      </c>
      <c r="C1203" t="s">
        <v>47</v>
      </c>
      <c r="D1203" t="s">
        <v>16</v>
      </c>
      <c r="E1203" t="e">
        <f>VLOOKUP(Cpi_[[#This Row],[Attribute]],#REF!,2,FALSE)</f>
        <v>#REF!</v>
      </c>
      <c r="F1203">
        <v>115.2</v>
      </c>
      <c r="G1203">
        <f>(Cpi_[[#This Row],[Value]]-F1202)/F1202</f>
        <v>-7.7519379844960511E-3</v>
      </c>
      <c r="H1203" t="e" cm="1" vm="1">
        <f t="array" aca="1" ref="H1203" ca="1">VLOOKUP(Cpi_[[#This Row],[Year]:[Month]],crudeoil[],3,FALSE)</f>
        <v>#VALUE!</v>
      </c>
    </row>
    <row r="1204" spans="1:8" hidden="1" x14ac:dyDescent="0.3">
      <c r="A1204" t="s">
        <v>34</v>
      </c>
      <c r="B1204">
        <v>2014</v>
      </c>
      <c r="C1204" t="s">
        <v>47</v>
      </c>
      <c r="D1204" t="s">
        <v>17</v>
      </c>
      <c r="E1204" t="e">
        <f>VLOOKUP(Cpi_[[#This Row],[Attribute]],#REF!,2,FALSE)</f>
        <v>#REF!</v>
      </c>
      <c r="F1204">
        <v>116.8</v>
      </c>
      <c r="G1204">
        <f>(Cpi_[[#This Row],[Value]]-F1203)/F1203</f>
        <v>1.388888888888884E-2</v>
      </c>
      <c r="H1204" t="e" cm="1" vm="1">
        <f t="array" aca="1" ref="H1204" ca="1">VLOOKUP(Cpi_[[#This Row],[Year]:[Month]],crudeoil[],3,FALSE)</f>
        <v>#VALUE!</v>
      </c>
    </row>
    <row r="1205" spans="1:8" hidden="1" x14ac:dyDescent="0.3">
      <c r="A1205" t="s">
        <v>34</v>
      </c>
      <c r="B1205">
        <v>2014</v>
      </c>
      <c r="C1205" t="s">
        <v>47</v>
      </c>
      <c r="D1205" t="s">
        <v>18</v>
      </c>
      <c r="E1205" t="e">
        <f>VLOOKUP(Cpi_[[#This Row],[Attribute]],#REF!,2,FALSE)</f>
        <v>#REF!</v>
      </c>
      <c r="F1205">
        <v>113.7</v>
      </c>
      <c r="G1205">
        <f>(Cpi_[[#This Row],[Value]]-F1204)/F1204</f>
        <v>-2.6541095890410912E-2</v>
      </c>
      <c r="H1205" t="e" cm="1" vm="1">
        <f t="array" aca="1" ref="H1205" ca="1">VLOOKUP(Cpi_[[#This Row],[Year]:[Month]],crudeoil[],3,FALSE)</f>
        <v>#VALUE!</v>
      </c>
    </row>
    <row r="1206" spans="1:8" hidden="1" x14ac:dyDescent="0.3">
      <c r="A1206" t="s">
        <v>34</v>
      </c>
      <c r="B1206">
        <v>2014</v>
      </c>
      <c r="C1206" t="s">
        <v>47</v>
      </c>
      <c r="D1206" t="s">
        <v>19</v>
      </c>
      <c r="E1206" t="e">
        <f>VLOOKUP(Cpi_[[#This Row],[Attribute]],#REF!,2,FALSE)</f>
        <v>#REF!</v>
      </c>
      <c r="F1206">
        <v>116.4</v>
      </c>
      <c r="G1206">
        <f>(Cpi_[[#This Row],[Value]]-F1205)/F1205</f>
        <v>2.3746701846965725E-2</v>
      </c>
      <c r="H1206" t="e" cm="1" vm="1">
        <f t="array" aca="1" ref="H1206" ca="1">VLOOKUP(Cpi_[[#This Row],[Year]:[Month]],crudeoil[],3,FALSE)</f>
        <v>#VALUE!</v>
      </c>
    </row>
    <row r="1207" spans="1:8" hidden="1" x14ac:dyDescent="0.3">
      <c r="A1207" t="s">
        <v>34</v>
      </c>
      <c r="B1207">
        <v>2014</v>
      </c>
      <c r="C1207" t="s">
        <v>47</v>
      </c>
      <c r="D1207" t="s">
        <v>20</v>
      </c>
      <c r="E1207" t="e">
        <f>VLOOKUP(Cpi_[[#This Row],[Attribute]],#REF!,2,FALSE)</f>
        <v>#REF!</v>
      </c>
      <c r="F1207">
        <v>113.2</v>
      </c>
      <c r="G1207">
        <f>(Cpi_[[#This Row],[Value]]-F1206)/F1206</f>
        <v>-2.7491408934707928E-2</v>
      </c>
      <c r="H1207" t="e" cm="1" vm="1">
        <f t="array" aca="1" ref="H1207" ca="1">VLOOKUP(Cpi_[[#This Row],[Year]:[Month]],crudeoil[],3,FALSE)</f>
        <v>#VALUE!</v>
      </c>
    </row>
    <row r="1208" spans="1:8" hidden="1" x14ac:dyDescent="0.3">
      <c r="A1208" t="s">
        <v>34</v>
      </c>
      <c r="B1208">
        <v>2014</v>
      </c>
      <c r="C1208" t="s">
        <v>47</v>
      </c>
      <c r="D1208" t="s">
        <v>21</v>
      </c>
      <c r="E1208" t="e">
        <f>VLOOKUP(Cpi_[[#This Row],[Attribute]],#REF!,2,FALSE)</f>
        <v>#REF!</v>
      </c>
      <c r="F1208">
        <v>112.5</v>
      </c>
      <c r="G1208">
        <f>(Cpi_[[#This Row],[Value]]-F1207)/F1207</f>
        <v>-6.1837455830388941E-3</v>
      </c>
      <c r="H1208" t="e" cm="1" vm="1">
        <f t="array" aca="1" ref="H1208" ca="1">VLOOKUP(Cpi_[[#This Row],[Year]:[Month]],crudeoil[],3,FALSE)</f>
        <v>#VALUE!</v>
      </c>
    </row>
    <row r="1209" spans="1:8" hidden="1" x14ac:dyDescent="0.3">
      <c r="A1209" t="s">
        <v>34</v>
      </c>
      <c r="B1209">
        <v>2014</v>
      </c>
      <c r="C1209" t="s">
        <v>47</v>
      </c>
      <c r="D1209" t="s">
        <v>22</v>
      </c>
      <c r="E1209" t="e">
        <f>VLOOKUP(Cpi_[[#This Row],[Attribute]],#REF!,2,FALSE)</f>
        <v>#REF!</v>
      </c>
      <c r="F1209">
        <v>113.2</v>
      </c>
      <c r="G1209">
        <f>(Cpi_[[#This Row],[Value]]-F1208)/F1208</f>
        <v>6.2222222222222479E-3</v>
      </c>
      <c r="H1209" t="e" cm="1" vm="1">
        <f t="array" aca="1" ref="H1209" ca="1">VLOOKUP(Cpi_[[#This Row],[Year]:[Month]],crudeoil[],3,FALSE)</f>
        <v>#VALUE!</v>
      </c>
    </row>
    <row r="1210" spans="1:8" hidden="1" x14ac:dyDescent="0.3">
      <c r="A1210" t="s">
        <v>34</v>
      </c>
      <c r="B1210">
        <v>2014</v>
      </c>
      <c r="C1210" t="s">
        <v>47</v>
      </c>
      <c r="D1210" t="s">
        <v>23</v>
      </c>
      <c r="E1210" t="e">
        <f>VLOOKUP(Cpi_[[#This Row],[Attribute]],#REF!,2,FALSE)</f>
        <v>#REF!</v>
      </c>
      <c r="F1210">
        <v>111.2</v>
      </c>
      <c r="G1210">
        <f>(Cpi_[[#This Row],[Value]]-F1209)/F1209</f>
        <v>-1.7667844522968199E-2</v>
      </c>
      <c r="H1210" t="e" cm="1" vm="1">
        <f t="array" aca="1" ref="H1210" ca="1">VLOOKUP(Cpi_[[#This Row],[Year]:[Month]],crudeoil[],3,FALSE)</f>
        <v>#VALUE!</v>
      </c>
    </row>
    <row r="1211" spans="1:8" hidden="1" x14ac:dyDescent="0.3">
      <c r="A1211" t="s">
        <v>34</v>
      </c>
      <c r="B1211">
        <v>2014</v>
      </c>
      <c r="C1211" t="s">
        <v>47</v>
      </c>
      <c r="D1211" t="s">
        <v>24</v>
      </c>
      <c r="E1211" t="e">
        <f>VLOOKUP(Cpi_[[#This Row],[Attribute]],#REF!,2,FALSE)</f>
        <v>#REF!</v>
      </c>
      <c r="F1211">
        <v>111.4</v>
      </c>
      <c r="G1211">
        <f>(Cpi_[[#This Row],[Value]]-F1210)/F1210</f>
        <v>1.7985611510791622E-3</v>
      </c>
      <c r="H1211" t="e" cm="1" vm="1">
        <f t="array" aca="1" ref="H1211" ca="1">VLOOKUP(Cpi_[[#This Row],[Year]:[Month]],crudeoil[],3,FALSE)</f>
        <v>#VALUE!</v>
      </c>
    </row>
    <row r="1212" spans="1:8" hidden="1" x14ac:dyDescent="0.3">
      <c r="A1212" t="s">
        <v>34</v>
      </c>
      <c r="B1212">
        <v>2014</v>
      </c>
      <c r="C1212" t="s">
        <v>47</v>
      </c>
      <c r="D1212" t="s">
        <v>25</v>
      </c>
      <c r="E1212" t="e">
        <f>VLOOKUP(Cpi_[[#This Row],[Attribute]],#REF!,2,FALSE)</f>
        <v>#REF!</v>
      </c>
      <c r="F1212">
        <v>110.6</v>
      </c>
      <c r="G1212">
        <f>(Cpi_[[#This Row],[Value]]-F1211)/F1211</f>
        <v>-7.1813285457810712E-3</v>
      </c>
      <c r="H1212" t="e" cm="1" vm="1">
        <f t="array" aca="1" ref="H1212" ca="1">VLOOKUP(Cpi_[[#This Row],[Year]:[Month]],crudeoil[],3,FALSE)</f>
        <v>#VALUE!</v>
      </c>
    </row>
    <row r="1213" spans="1:8" hidden="1" x14ac:dyDescent="0.3">
      <c r="A1213" t="s">
        <v>34</v>
      </c>
      <c r="B1213">
        <v>2014</v>
      </c>
      <c r="C1213" t="s">
        <v>47</v>
      </c>
      <c r="D1213" t="s">
        <v>26</v>
      </c>
      <c r="E1213" t="e">
        <f>VLOOKUP(Cpi_[[#This Row],[Attribute]],#REF!,2,FALSE)</f>
        <v>#REF!</v>
      </c>
      <c r="F1213">
        <v>112</v>
      </c>
      <c r="G1213">
        <f>(Cpi_[[#This Row],[Value]]-F1212)/F1212</f>
        <v>1.2658227848101318E-2</v>
      </c>
      <c r="H1213" t="e" cm="1" vm="1">
        <f t="array" aca="1" ref="H1213" ca="1">VLOOKUP(Cpi_[[#This Row],[Year]:[Month]],crudeoil[],3,FALSE)</f>
        <v>#VALUE!</v>
      </c>
    </row>
    <row r="1214" spans="1:8" hidden="1" x14ac:dyDescent="0.3">
      <c r="A1214" t="s">
        <v>34</v>
      </c>
      <c r="B1214">
        <v>2014</v>
      </c>
      <c r="C1214" t="s">
        <v>47</v>
      </c>
      <c r="D1214" t="s">
        <v>27</v>
      </c>
      <c r="E1214" t="e">
        <f>VLOOKUP(Cpi_[[#This Row],[Attribute]],#REF!,2,FALSE)</f>
        <v>#REF!</v>
      </c>
      <c r="F1214">
        <v>109</v>
      </c>
      <c r="G1214">
        <f>(Cpi_[[#This Row],[Value]]-F1213)/F1213</f>
        <v>-2.6785714285714284E-2</v>
      </c>
      <c r="H1214" t="e" cm="1" vm="1">
        <f t="array" aca="1" ref="H1214" ca="1">VLOOKUP(Cpi_[[#This Row],[Year]:[Month]],crudeoil[],3,FALSE)</f>
        <v>#VALUE!</v>
      </c>
    </row>
    <row r="1215" spans="1:8" hidden="1" x14ac:dyDescent="0.3">
      <c r="A1215" t="s">
        <v>34</v>
      </c>
      <c r="B1215">
        <v>2014</v>
      </c>
      <c r="C1215" t="s">
        <v>47</v>
      </c>
      <c r="D1215" t="s">
        <v>28</v>
      </c>
      <c r="E1215" t="e">
        <f>VLOOKUP(Cpi_[[#This Row],[Attribute]],#REF!,2,FALSE)</f>
        <v>#REF!</v>
      </c>
      <c r="F1215">
        <v>111.3</v>
      </c>
      <c r="G1215">
        <f>(Cpi_[[#This Row],[Value]]-F1214)/F1214</f>
        <v>2.1100917431192634E-2</v>
      </c>
      <c r="H1215" t="e" cm="1" vm="1">
        <f t="array" aca="1" ref="H1215" ca="1">VLOOKUP(Cpi_[[#This Row],[Year]:[Month]],crudeoil[],3,FALSE)</f>
        <v>#VALUE!</v>
      </c>
    </row>
    <row r="1216" spans="1:8" hidden="1" x14ac:dyDescent="0.3">
      <c r="A1216" t="s">
        <v>34</v>
      </c>
      <c r="B1216">
        <v>2014</v>
      </c>
      <c r="C1216" t="s">
        <v>47</v>
      </c>
      <c r="D1216" t="s">
        <v>29</v>
      </c>
      <c r="E1216" t="e" cm="1">
        <f t="array" aca="1" ref="E1216" ca="1">VLGeneral indexGeneral indexKUP(Cpi_[[#This Row],[Attribute]],#REF!,2,FALSE)</f>
        <v>#NAME?</v>
      </c>
      <c r="F1216">
        <v>114.2</v>
      </c>
      <c r="G1216">
        <f>(Cpi_[[#This Row],[Value]]-F1215)/F1215</f>
        <v>2.6055705300988372E-2</v>
      </c>
      <c r="H1216" t="e" cm="1" vm="1">
        <f t="array" aca="1" ref="H1216" ca="1">VLOOKUP(Cpi_[[#This Row],[Year]:[Month]],crudeoil[],3,FALSE)</f>
        <v>#VALUE!</v>
      </c>
    </row>
    <row r="1217" spans="1:8" hidden="1" x14ac:dyDescent="0.3">
      <c r="A1217" t="s">
        <v>30</v>
      </c>
      <c r="B1217">
        <v>2014</v>
      </c>
      <c r="C1217" t="s">
        <v>37</v>
      </c>
      <c r="D1217" t="s">
        <v>3</v>
      </c>
      <c r="E1217" t="e">
        <f>VLOOKUP(Cpi_[[#This Row],[Attribute]],#REF!,2,FALSE)</f>
        <v>#REF!</v>
      </c>
      <c r="F1217">
        <v>120.2</v>
      </c>
      <c r="G1217">
        <f>(Cpi_[[#This Row],[Value]]-F1216)/F1216</f>
        <v>5.2539404553415062E-2</v>
      </c>
      <c r="H1217" t="e" cm="1" vm="1">
        <f t="array" aca="1" ref="H1217" ca="1">VLOOKUP(Cpi_[[#This Row],[Year]:[Month]],crudeoil[],3,FALSE)</f>
        <v>#VALUE!</v>
      </c>
    </row>
    <row r="1218" spans="1:8" hidden="1" x14ac:dyDescent="0.3">
      <c r="A1218" t="s">
        <v>30</v>
      </c>
      <c r="B1218">
        <v>2014</v>
      </c>
      <c r="C1218" t="s">
        <v>37</v>
      </c>
      <c r="D1218" t="s">
        <v>4</v>
      </c>
      <c r="E1218" t="e">
        <f>VLOOKUP(Cpi_[[#This Row],[Attribute]],#REF!,2,FALSE)</f>
        <v>#REF!</v>
      </c>
      <c r="F1218">
        <v>118.9</v>
      </c>
      <c r="G1218">
        <f>(Cpi_[[#This Row],[Value]]-F1217)/F1217</f>
        <v>-1.0815307820299477E-2</v>
      </c>
      <c r="H1218" t="e" cm="1" vm="1">
        <f t="array" aca="1" ref="H1218" ca="1">VLOOKUP(Cpi_[[#This Row],[Year]:[Month]],crudeoil[],3,FALSE)</f>
        <v>#VALUE!</v>
      </c>
    </row>
    <row r="1219" spans="1:8" hidden="1" x14ac:dyDescent="0.3">
      <c r="A1219" t="s">
        <v>30</v>
      </c>
      <c r="B1219">
        <v>2014</v>
      </c>
      <c r="C1219" t="s">
        <v>37</v>
      </c>
      <c r="D1219" t="s">
        <v>5</v>
      </c>
      <c r="E1219" t="e">
        <f>VLOOKUP(Cpi_[[#This Row],[Attribute]],#REF!,2,FALSE)</f>
        <v>#REF!</v>
      </c>
      <c r="F1219">
        <v>118.1</v>
      </c>
      <c r="G1219">
        <f>(Cpi_[[#This Row],[Value]]-F1218)/F1218</f>
        <v>-6.7283431455005156E-3</v>
      </c>
      <c r="H1219" t="e" cm="1" vm="1">
        <f t="array" aca="1" ref="H1219" ca="1">VLOOKUP(Cpi_[[#This Row],[Year]:[Month]],crudeoil[],3,FALSE)</f>
        <v>#VALUE!</v>
      </c>
    </row>
    <row r="1220" spans="1:8" hidden="1" x14ac:dyDescent="0.3">
      <c r="A1220" t="s">
        <v>30</v>
      </c>
      <c r="B1220">
        <v>2014</v>
      </c>
      <c r="C1220" t="s">
        <v>37</v>
      </c>
      <c r="D1220" t="s">
        <v>6</v>
      </c>
      <c r="E1220" t="e">
        <f>VLOOKUP(Cpi_[[#This Row],[Attribute]],#REF!,2,FALSE)</f>
        <v>#REF!</v>
      </c>
      <c r="F1220">
        <v>117</v>
      </c>
      <c r="G1220">
        <f>(Cpi_[[#This Row],[Value]]-F1219)/F1219</f>
        <v>-9.3141405588483862E-3</v>
      </c>
      <c r="H1220" t="e" cm="1" vm="1">
        <f t="array" aca="1" ref="H1220" ca="1">VLOOKUP(Cpi_[[#This Row],[Year]:[Month]],crudeoil[],3,FALSE)</f>
        <v>#VALUE!</v>
      </c>
    </row>
    <row r="1221" spans="1:8" hidden="1" x14ac:dyDescent="0.3">
      <c r="A1221" t="s">
        <v>30</v>
      </c>
      <c r="B1221">
        <v>2014</v>
      </c>
      <c r="C1221" t="s">
        <v>37</v>
      </c>
      <c r="D1221" t="s">
        <v>7</v>
      </c>
      <c r="E1221" t="e">
        <f>VLOOKUP(Cpi_[[#This Row],[Attribute]],#REF!,2,FALSE)</f>
        <v>#REF!</v>
      </c>
      <c r="F1221">
        <v>109.7</v>
      </c>
      <c r="G1221">
        <f>(Cpi_[[#This Row],[Value]]-F1220)/F1220</f>
        <v>-6.2393162393162366E-2</v>
      </c>
      <c r="H1221" t="e" cm="1" vm="1">
        <f t="array" aca="1" ref="H1221" ca="1">VLOOKUP(Cpi_[[#This Row],[Year]:[Month]],crudeoil[],3,FALSE)</f>
        <v>#VALUE!</v>
      </c>
    </row>
    <row r="1222" spans="1:8" hidden="1" x14ac:dyDescent="0.3">
      <c r="A1222" t="s">
        <v>30</v>
      </c>
      <c r="B1222">
        <v>2014</v>
      </c>
      <c r="C1222" t="s">
        <v>37</v>
      </c>
      <c r="D1222" t="s">
        <v>8</v>
      </c>
      <c r="E1222" t="e">
        <f>VLOOKUP(Cpi_[[#This Row],[Attribute]],#REF!,2,FALSE)</f>
        <v>#REF!</v>
      </c>
      <c r="F1222">
        <v>125.5</v>
      </c>
      <c r="G1222">
        <f>(Cpi_[[#This Row],[Value]]-F1221)/F1221</f>
        <v>0.14402917046490427</v>
      </c>
      <c r="H1222" t="e" cm="1" vm="1">
        <f t="array" aca="1" ref="H1222" ca="1">VLOOKUP(Cpi_[[#This Row],[Year]:[Month]],crudeoil[],3,FALSE)</f>
        <v>#VALUE!</v>
      </c>
    </row>
    <row r="1223" spans="1:8" hidden="1" x14ac:dyDescent="0.3">
      <c r="A1223" t="s">
        <v>30</v>
      </c>
      <c r="B1223">
        <v>2014</v>
      </c>
      <c r="C1223" t="s">
        <v>37</v>
      </c>
      <c r="D1223" t="s">
        <v>9</v>
      </c>
      <c r="E1223" t="e">
        <f>VLOOKUP(Cpi_[[#This Row],[Attribute]],#REF!,2,FALSE)</f>
        <v>#REF!</v>
      </c>
      <c r="F1223">
        <v>120.5</v>
      </c>
      <c r="G1223">
        <f>(Cpi_[[#This Row],[Value]]-F1222)/F1222</f>
        <v>-3.9840637450199202E-2</v>
      </c>
      <c r="H1223" t="e" cm="1" vm="1">
        <f t="array" aca="1" ref="H1223" ca="1">VLOOKUP(Cpi_[[#This Row],[Year]:[Month]],crudeoil[],3,FALSE)</f>
        <v>#VALUE!</v>
      </c>
    </row>
    <row r="1224" spans="1:8" hidden="1" x14ac:dyDescent="0.3">
      <c r="A1224" t="s">
        <v>30</v>
      </c>
      <c r="B1224">
        <v>2014</v>
      </c>
      <c r="C1224" t="s">
        <v>37</v>
      </c>
      <c r="D1224" t="s">
        <v>10</v>
      </c>
      <c r="E1224" t="e">
        <f>VLOOKUP(Cpi_[[#This Row],[Attribute]],#REF!,2,FALSE)</f>
        <v>#REF!</v>
      </c>
      <c r="F1224">
        <v>111</v>
      </c>
      <c r="G1224">
        <f>(Cpi_[[#This Row],[Value]]-F1223)/F1223</f>
        <v>-7.8838174273858919E-2</v>
      </c>
      <c r="H1224" t="e" cm="1" vm="1">
        <f t="array" aca="1" ref="H1224" ca="1">VLOOKUP(Cpi_[[#This Row],[Year]:[Month]],crudeoil[],3,FALSE)</f>
        <v>#VALUE!</v>
      </c>
    </row>
    <row r="1225" spans="1:8" hidden="1" x14ac:dyDescent="0.3">
      <c r="A1225" t="s">
        <v>30</v>
      </c>
      <c r="B1225">
        <v>2014</v>
      </c>
      <c r="C1225" t="s">
        <v>37</v>
      </c>
      <c r="D1225" t="s">
        <v>11</v>
      </c>
      <c r="E1225" t="e">
        <f>VLOOKUP(Cpi_[[#This Row],[Attribute]],#REF!,2,FALSE)</f>
        <v>#REF!</v>
      </c>
      <c r="F1225">
        <v>102.6</v>
      </c>
      <c r="G1225">
        <f>(Cpi_[[#This Row],[Value]]-F1224)/F1224</f>
        <v>-7.5675675675675722E-2</v>
      </c>
      <c r="H1225" t="e" cm="1" vm="1">
        <f t="array" aca="1" ref="H1225" ca="1">VLOOKUP(Cpi_[[#This Row],[Year]:[Month]],crudeoil[],3,FALSE)</f>
        <v>#VALUE!</v>
      </c>
    </row>
    <row r="1226" spans="1:8" hidden="1" x14ac:dyDescent="0.3">
      <c r="A1226" t="s">
        <v>30</v>
      </c>
      <c r="B1226">
        <v>2014</v>
      </c>
      <c r="C1226" t="s">
        <v>37</v>
      </c>
      <c r="D1226" t="s">
        <v>12</v>
      </c>
      <c r="E1226" t="e">
        <f>VLOOKUP(Cpi_[[#This Row],[Attribute]],#REF!,2,FALSE)</f>
        <v>#REF!</v>
      </c>
      <c r="F1226">
        <v>111.2</v>
      </c>
      <c r="G1226">
        <f>(Cpi_[[#This Row],[Value]]-F1225)/F1225</f>
        <v>8.3820662768031282E-2</v>
      </c>
      <c r="H1226" t="e" cm="1" vm="1">
        <f t="array" aca="1" ref="H1226" ca="1">VLOOKUP(Cpi_[[#This Row],[Year]:[Month]],crudeoil[],3,FALSE)</f>
        <v>#VALUE!</v>
      </c>
    </row>
    <row r="1227" spans="1:8" hidden="1" x14ac:dyDescent="0.3">
      <c r="A1227" t="s">
        <v>30</v>
      </c>
      <c r="B1227">
        <v>2014</v>
      </c>
      <c r="C1227" t="s">
        <v>37</v>
      </c>
      <c r="D1227" t="s">
        <v>13</v>
      </c>
      <c r="E1227" t="e">
        <f>VLOOKUP(Cpi_[[#This Row],[Attribute]],#REF!,2,FALSE)</f>
        <v>#REF!</v>
      </c>
      <c r="F1227">
        <v>113.5</v>
      </c>
      <c r="G1227">
        <f>(Cpi_[[#This Row],[Value]]-F1226)/F1226</f>
        <v>2.0683453237410047E-2</v>
      </c>
      <c r="H1227" t="e" cm="1" vm="1">
        <f t="array" aca="1" ref="H1227" ca="1">VLOOKUP(Cpi_[[#This Row],[Year]:[Month]],crudeoil[],3,FALSE)</f>
        <v>#VALUE!</v>
      </c>
    </row>
    <row r="1228" spans="1:8" hidden="1" x14ac:dyDescent="0.3">
      <c r="A1228" t="s">
        <v>30</v>
      </c>
      <c r="B1228">
        <v>2014</v>
      </c>
      <c r="C1228" t="s">
        <v>37</v>
      </c>
      <c r="D1228" t="s">
        <v>14</v>
      </c>
      <c r="E1228" t="e">
        <f>VLOOKUP(Cpi_[[#This Row],[Attribute]],#REF!,2,FALSE)</f>
        <v>#REF!</v>
      </c>
      <c r="F1228">
        <v>118.7</v>
      </c>
      <c r="G1228">
        <f>(Cpi_[[#This Row],[Value]]-F1227)/F1227</f>
        <v>4.5814977973568309E-2</v>
      </c>
      <c r="H1228" t="e" cm="1" vm="1">
        <f t="array" aca="1" ref="H1228" ca="1">VLOOKUP(Cpi_[[#This Row],[Year]:[Month]],crudeoil[],3,FALSE)</f>
        <v>#VALUE!</v>
      </c>
    </row>
    <row r="1229" spans="1:8" hidden="1" x14ac:dyDescent="0.3">
      <c r="A1229" t="s">
        <v>30</v>
      </c>
      <c r="B1229">
        <v>2014</v>
      </c>
      <c r="C1229" t="s">
        <v>37</v>
      </c>
      <c r="D1229" t="s">
        <v>15</v>
      </c>
      <c r="E1229" t="e">
        <f>VLOOKUP(Cpi_[[#This Row],[Attribute]],#REF!,2,FALSE)</f>
        <v>#REF!</v>
      </c>
      <c r="F1229">
        <v>117.2</v>
      </c>
      <c r="G1229">
        <f>(Cpi_[[#This Row],[Value]]-F1228)/F1228</f>
        <v>-1.2636899747262004E-2</v>
      </c>
      <c r="H1229" t="e" cm="1" vm="1">
        <f t="array" aca="1" ref="H1229" ca="1">VLOOKUP(Cpi_[[#This Row],[Year]:[Month]],crudeoil[],3,FALSE)</f>
        <v>#VALUE!</v>
      </c>
    </row>
    <row r="1230" spans="1:8" hidden="1" x14ac:dyDescent="0.3">
      <c r="A1230" t="s">
        <v>30</v>
      </c>
      <c r="B1230">
        <v>2014</v>
      </c>
      <c r="C1230" t="s">
        <v>37</v>
      </c>
      <c r="D1230" t="s">
        <v>16</v>
      </c>
      <c r="E1230" t="e">
        <f>VLOOKUP(Cpi_[[#This Row],[Attribute]],#REF!,2,FALSE)</f>
        <v>#REF!</v>
      </c>
      <c r="F1230">
        <v>115.4</v>
      </c>
      <c r="G1230">
        <f>(Cpi_[[#This Row],[Value]]-F1229)/F1229</f>
        <v>-1.5358361774744003E-2</v>
      </c>
      <c r="H1230" t="e" cm="1" vm="1">
        <f t="array" aca="1" ref="H1230" ca="1">VLOOKUP(Cpi_[[#This Row],[Year]:[Month]],crudeoil[],3,FALSE)</f>
        <v>#VALUE!</v>
      </c>
    </row>
    <row r="1231" spans="1:8" hidden="1" x14ac:dyDescent="0.3">
      <c r="A1231" t="s">
        <v>30</v>
      </c>
      <c r="B1231">
        <v>2014</v>
      </c>
      <c r="C1231" t="s">
        <v>37</v>
      </c>
      <c r="D1231" t="s">
        <v>17</v>
      </c>
      <c r="E1231" t="e">
        <f>VLOOKUP(Cpi_[[#This Row],[Attribute]],#REF!,2,FALSE)</f>
        <v>#REF!</v>
      </c>
      <c r="F1231">
        <v>118.1</v>
      </c>
      <c r="G1231">
        <f>(Cpi_[[#This Row],[Value]]-F1230)/F1230</f>
        <v>2.339688041594444E-2</v>
      </c>
      <c r="H1231" t="e" cm="1" vm="1">
        <f t="array" aca="1" ref="H1231" ca="1">VLOOKUP(Cpi_[[#This Row],[Year]:[Month]],crudeoil[],3,FALSE)</f>
        <v>#VALUE!</v>
      </c>
    </row>
    <row r="1232" spans="1:8" hidden="1" x14ac:dyDescent="0.3">
      <c r="A1232" t="s">
        <v>30</v>
      </c>
      <c r="B1232">
        <v>2014</v>
      </c>
      <c r="C1232" t="s">
        <v>37</v>
      </c>
      <c r="D1232" t="s">
        <v>18</v>
      </c>
      <c r="E1232" t="e">
        <f>VLOOKUP(Cpi_[[#This Row],[Attribute]],#REF!,2,FALSE)</f>
        <v>#REF!</v>
      </c>
      <c r="F1232">
        <v>116.1</v>
      </c>
      <c r="G1232">
        <f>(Cpi_[[#This Row],[Value]]-F1231)/F1231</f>
        <v>-1.6934801016088061E-2</v>
      </c>
      <c r="H1232" t="e" cm="1" vm="1">
        <f t="array" aca="1" ref="H1232" ca="1">VLOOKUP(Cpi_[[#This Row],[Year]:[Month]],crudeoil[],3,FALSE)</f>
        <v>#VALUE!</v>
      </c>
    </row>
    <row r="1233" spans="1:8" hidden="1" x14ac:dyDescent="0.3">
      <c r="A1233" t="s">
        <v>30</v>
      </c>
      <c r="B1233">
        <v>2014</v>
      </c>
      <c r="C1233" t="s">
        <v>37</v>
      </c>
      <c r="D1233" t="s">
        <v>19</v>
      </c>
      <c r="E1233" t="e">
        <f>VLOOKUP(Cpi_[[#This Row],[Attribute]],#REF!,2,FALSE)</f>
        <v>#REF!</v>
      </c>
      <c r="F1233">
        <v>117.8</v>
      </c>
      <c r="G1233">
        <f>(Cpi_[[#This Row],[Value]]-F1232)/F1232</f>
        <v>1.4642549526270482E-2</v>
      </c>
      <c r="H1233" t="e" cm="1" vm="1">
        <f t="array" aca="1" ref="H1233" ca="1">VLOOKUP(Cpi_[[#This Row],[Year]:[Month]],crudeoil[],3,FALSE)</f>
        <v>#VALUE!</v>
      </c>
    </row>
    <row r="1234" spans="1:8" hidden="1" x14ac:dyDescent="0.3">
      <c r="A1234" t="s">
        <v>30</v>
      </c>
      <c r="B1234">
        <v>2014</v>
      </c>
      <c r="C1234" t="s">
        <v>37</v>
      </c>
      <c r="D1234" t="s">
        <v>20</v>
      </c>
      <c r="E1234" t="e">
        <f>VLOOKUP(Cpi_[[#This Row],[Attribute]],#REF!,2,FALSE)</f>
        <v>#REF!</v>
      </c>
      <c r="F1234" t="s">
        <v>32</v>
      </c>
      <c r="G1234" t="e">
        <f>(Cpi_[[#This Row],[Value]]-F1233)/F1233</f>
        <v>#VALUE!</v>
      </c>
      <c r="H1234" t="e" cm="1" vm="1">
        <f t="array" aca="1" ref="H1234" ca="1">VLOOKUP(Cpi_[[#This Row],[Year]:[Month]],crudeoil[],3,FALSE)</f>
        <v>#VALUE!</v>
      </c>
    </row>
    <row r="1235" spans="1:8" hidden="1" x14ac:dyDescent="0.3">
      <c r="A1235" t="s">
        <v>30</v>
      </c>
      <c r="B1235">
        <v>2014</v>
      </c>
      <c r="C1235" t="s">
        <v>37</v>
      </c>
      <c r="D1235" t="s">
        <v>21</v>
      </c>
      <c r="E1235" t="e">
        <f>VLOOKUP(Cpi_[[#This Row],[Attribute]],#REF!,2,FALSE)</f>
        <v>#REF!</v>
      </c>
      <c r="F1235">
        <v>113.4</v>
      </c>
      <c r="G1235" t="e">
        <f>(Cpi_[[#This Row],[Value]]-F1234)/F1234</f>
        <v>#VALUE!</v>
      </c>
      <c r="H1235" t="e" cm="1" vm="1">
        <f t="array" aca="1" ref="H1235" ca="1">VLOOKUP(Cpi_[[#This Row],[Year]:[Month]],crudeoil[],3,FALSE)</f>
        <v>#VALUE!</v>
      </c>
    </row>
    <row r="1236" spans="1:8" hidden="1" x14ac:dyDescent="0.3">
      <c r="A1236" t="s">
        <v>30</v>
      </c>
      <c r="B1236">
        <v>2014</v>
      </c>
      <c r="C1236" t="s">
        <v>37</v>
      </c>
      <c r="D1236" t="s">
        <v>22</v>
      </c>
      <c r="E1236" t="e">
        <f>VLOOKUP(Cpi_[[#This Row],[Attribute]],#REF!,2,FALSE)</f>
        <v>#REF!</v>
      </c>
      <c r="F1236">
        <v>113.7</v>
      </c>
      <c r="G1236">
        <f>(Cpi_[[#This Row],[Value]]-F1235)/F1235</f>
        <v>2.6455026455026202E-3</v>
      </c>
      <c r="H1236" t="e" cm="1" vm="1">
        <f t="array" aca="1" ref="H1236" ca="1">VLOOKUP(Cpi_[[#This Row],[Year]:[Month]],crudeoil[],3,FALSE)</f>
        <v>#VALUE!</v>
      </c>
    </row>
    <row r="1237" spans="1:8" hidden="1" x14ac:dyDescent="0.3">
      <c r="A1237" t="s">
        <v>30</v>
      </c>
      <c r="B1237">
        <v>2014</v>
      </c>
      <c r="C1237" t="s">
        <v>37</v>
      </c>
      <c r="D1237" t="s">
        <v>23</v>
      </c>
      <c r="E1237" t="e">
        <f>VLOOKUP(Cpi_[[#This Row],[Attribute]],#REF!,2,FALSE)</f>
        <v>#REF!</v>
      </c>
      <c r="F1237">
        <v>111.8</v>
      </c>
      <c r="G1237">
        <f>(Cpi_[[#This Row],[Value]]-F1236)/F1236</f>
        <v>-1.6710642040457392E-2</v>
      </c>
      <c r="H1237" t="e" cm="1" vm="1">
        <f t="array" aca="1" ref="H1237" ca="1">VLOOKUP(Cpi_[[#This Row],[Year]:[Month]],crudeoil[],3,FALSE)</f>
        <v>#VALUE!</v>
      </c>
    </row>
    <row r="1238" spans="1:8" hidden="1" x14ac:dyDescent="0.3">
      <c r="A1238" t="s">
        <v>30</v>
      </c>
      <c r="B1238">
        <v>2014</v>
      </c>
      <c r="C1238" t="s">
        <v>37</v>
      </c>
      <c r="D1238" t="s">
        <v>24</v>
      </c>
      <c r="E1238" t="e">
        <f>VLOOKUP(Cpi_[[#This Row],[Attribute]],#REF!,2,FALSE)</f>
        <v>#REF!</v>
      </c>
      <c r="F1238">
        <v>111.2</v>
      </c>
      <c r="G1238">
        <f>(Cpi_[[#This Row],[Value]]-F1237)/F1237</f>
        <v>-5.3667262969588044E-3</v>
      </c>
      <c r="H1238" t="e" cm="1" vm="1">
        <f t="array" aca="1" ref="H1238" ca="1">VLOOKUP(Cpi_[[#This Row],[Year]:[Month]],crudeoil[],3,FALSE)</f>
        <v>#VALUE!</v>
      </c>
    </row>
    <row r="1239" spans="1:8" hidden="1" x14ac:dyDescent="0.3">
      <c r="A1239" t="s">
        <v>30</v>
      </c>
      <c r="B1239">
        <v>2014</v>
      </c>
      <c r="C1239" t="s">
        <v>37</v>
      </c>
      <c r="D1239" t="s">
        <v>25</v>
      </c>
      <c r="E1239" t="e">
        <f>VLOOKUP(Cpi_[[#This Row],[Attribute]],#REF!,2,FALSE)</f>
        <v>#REF!</v>
      </c>
      <c r="F1239">
        <v>110.5</v>
      </c>
      <c r="G1239">
        <f>(Cpi_[[#This Row],[Value]]-F1238)/F1238</f>
        <v>-6.2949640287770035E-3</v>
      </c>
      <c r="H1239" t="e" cm="1" vm="1">
        <f t="array" aca="1" ref="H1239" ca="1">VLOOKUP(Cpi_[[#This Row],[Year]:[Month]],crudeoil[],3,FALSE)</f>
        <v>#VALUE!</v>
      </c>
    </row>
    <row r="1240" spans="1:8" hidden="1" x14ac:dyDescent="0.3">
      <c r="A1240" t="s">
        <v>30</v>
      </c>
      <c r="B1240">
        <v>2014</v>
      </c>
      <c r="C1240" t="s">
        <v>37</v>
      </c>
      <c r="D1240" t="s">
        <v>26</v>
      </c>
      <c r="E1240" t="e">
        <f>VLOOKUP(Cpi_[[#This Row],[Attribute]],#REF!,2,FALSE)</f>
        <v>#REF!</v>
      </c>
      <c r="F1240">
        <v>113</v>
      </c>
      <c r="G1240">
        <f>(Cpi_[[#This Row],[Value]]-F1239)/F1239</f>
        <v>2.2624434389140271E-2</v>
      </c>
      <c r="H1240" t="e" cm="1" vm="1">
        <f t="array" aca="1" ref="H1240" ca="1">VLOOKUP(Cpi_[[#This Row],[Year]:[Month]],crudeoil[],3,FALSE)</f>
        <v>#VALUE!</v>
      </c>
    </row>
    <row r="1241" spans="1:8" hidden="1" x14ac:dyDescent="0.3">
      <c r="A1241" t="s">
        <v>30</v>
      </c>
      <c r="B1241">
        <v>2014</v>
      </c>
      <c r="C1241" t="s">
        <v>37</v>
      </c>
      <c r="D1241" t="s">
        <v>27</v>
      </c>
      <c r="E1241" t="e">
        <f>VLOOKUP(Cpi_[[#This Row],[Attribute]],#REF!,2,FALSE)</f>
        <v>#REF!</v>
      </c>
      <c r="F1241">
        <v>108.9</v>
      </c>
      <c r="G1241">
        <f>(Cpi_[[#This Row],[Value]]-F1240)/F1240</f>
        <v>-3.6283185840707916E-2</v>
      </c>
      <c r="H1241" t="e" cm="1" vm="1">
        <f t="array" aca="1" ref="H1241" ca="1">VLOOKUP(Cpi_[[#This Row],[Year]:[Month]],crudeoil[],3,FALSE)</f>
        <v>#VALUE!</v>
      </c>
    </row>
    <row r="1242" spans="1:8" hidden="1" x14ac:dyDescent="0.3">
      <c r="A1242" t="s">
        <v>30</v>
      </c>
      <c r="B1242">
        <v>2014</v>
      </c>
      <c r="C1242" t="s">
        <v>37</v>
      </c>
      <c r="D1242" t="s">
        <v>28</v>
      </c>
      <c r="E1242" t="e">
        <f>VLOOKUP(Cpi_[[#This Row],[Attribute]],#REF!,2,FALSE)</f>
        <v>#REF!</v>
      </c>
      <c r="F1242">
        <v>111.5</v>
      </c>
      <c r="G1242">
        <f>(Cpi_[[#This Row],[Value]]-F1241)/F1241</f>
        <v>2.3875114784205641E-2</v>
      </c>
      <c r="H1242" t="e" cm="1" vm="1">
        <f t="array" aca="1" ref="H1242" ca="1">VLOOKUP(Cpi_[[#This Row],[Year]:[Month]],crudeoil[],3,FALSE)</f>
        <v>#VALUE!</v>
      </c>
    </row>
    <row r="1243" spans="1:8" hidden="1" x14ac:dyDescent="0.3">
      <c r="A1243" t="s">
        <v>30</v>
      </c>
      <c r="B1243">
        <v>2014</v>
      </c>
      <c r="C1243" t="s">
        <v>37</v>
      </c>
      <c r="D1243" t="s">
        <v>29</v>
      </c>
      <c r="E1243" t="e" cm="1">
        <f t="array" aca="1" ref="E1243" ca="1">VLGeneral indexGeneral indexKUP(Cpi_[[#This Row],[Attribute]],#REF!,2,FALSE)</f>
        <v>#NAME?</v>
      </c>
      <c r="F1243">
        <v>115.4</v>
      </c>
      <c r="G1243">
        <f>(Cpi_[[#This Row],[Value]]-F1242)/F1242</f>
        <v>3.4977578475336377E-2</v>
      </c>
      <c r="H1243" t="e" cm="1" vm="1">
        <f t="array" aca="1" ref="H1243" ca="1">VLOOKUP(Cpi_[[#This Row],[Year]:[Month]],crudeoil[],3,FALSE)</f>
        <v>#VALUE!</v>
      </c>
    </row>
    <row r="1244" spans="1:8" hidden="1" x14ac:dyDescent="0.3">
      <c r="A1244" t="s">
        <v>33</v>
      </c>
      <c r="B1244">
        <v>2014</v>
      </c>
      <c r="C1244" t="s">
        <v>37</v>
      </c>
      <c r="D1244" t="s">
        <v>3</v>
      </c>
      <c r="E1244" t="e">
        <f>VLOOKUP(Cpi_[[#This Row],[Attribute]],#REF!,2,FALSE)</f>
        <v>#REF!</v>
      </c>
      <c r="F1244">
        <v>122.5</v>
      </c>
      <c r="G1244">
        <f>(Cpi_[[#This Row],[Value]]-F1243)/F1243</f>
        <v>6.1525129982668923E-2</v>
      </c>
      <c r="H1244" t="e" cm="1" vm="1">
        <f t="array" aca="1" ref="H1244" ca="1">VLOOKUP(Cpi_[[#This Row],[Year]:[Month]],crudeoil[],3,FALSE)</f>
        <v>#VALUE!</v>
      </c>
    </row>
    <row r="1245" spans="1:8" hidden="1" x14ac:dyDescent="0.3">
      <c r="A1245" t="s">
        <v>33</v>
      </c>
      <c r="B1245">
        <v>2014</v>
      </c>
      <c r="C1245" t="s">
        <v>37</v>
      </c>
      <c r="D1245" t="s">
        <v>4</v>
      </c>
      <c r="E1245" t="e">
        <f>VLOOKUP(Cpi_[[#This Row],[Attribute]],#REF!,2,FALSE)</f>
        <v>#REF!</v>
      </c>
      <c r="F1245">
        <v>121.7</v>
      </c>
      <c r="G1245">
        <f>(Cpi_[[#This Row],[Value]]-F1244)/F1244</f>
        <v>-6.530612244897936E-3</v>
      </c>
      <c r="H1245" t="e" cm="1" vm="1">
        <f t="array" aca="1" ref="H1245" ca="1">VLOOKUP(Cpi_[[#This Row],[Year]:[Month]],crudeoil[],3,FALSE)</f>
        <v>#VALUE!</v>
      </c>
    </row>
    <row r="1246" spans="1:8" hidden="1" x14ac:dyDescent="0.3">
      <c r="A1246" t="s">
        <v>33</v>
      </c>
      <c r="B1246">
        <v>2014</v>
      </c>
      <c r="C1246" t="s">
        <v>37</v>
      </c>
      <c r="D1246" t="s">
        <v>5</v>
      </c>
      <c r="E1246" t="e">
        <f>VLOOKUP(Cpi_[[#This Row],[Attribute]],#REF!,2,FALSE)</f>
        <v>#REF!</v>
      </c>
      <c r="F1246">
        <v>113.3</v>
      </c>
      <c r="G1246">
        <f>(Cpi_[[#This Row],[Value]]-F1245)/F1245</f>
        <v>-6.9022185702547298E-2</v>
      </c>
      <c r="H1246" t="e" cm="1" vm="1">
        <f t="array" aca="1" ref="H1246" ca="1">VLOOKUP(Cpi_[[#This Row],[Year]:[Month]],crudeoil[],3,FALSE)</f>
        <v>#VALUE!</v>
      </c>
    </row>
    <row r="1247" spans="1:8" hidden="1" x14ac:dyDescent="0.3">
      <c r="A1247" t="s">
        <v>33</v>
      </c>
      <c r="B1247">
        <v>2014</v>
      </c>
      <c r="C1247" t="s">
        <v>37</v>
      </c>
      <c r="D1247" t="s">
        <v>6</v>
      </c>
      <c r="E1247" t="e">
        <f>VLOOKUP(Cpi_[[#This Row],[Attribute]],#REF!,2,FALSE)</f>
        <v>#REF!</v>
      </c>
      <c r="F1247">
        <v>117</v>
      </c>
      <c r="G1247">
        <f>(Cpi_[[#This Row],[Value]]-F1246)/F1246</f>
        <v>3.2656663724624918E-2</v>
      </c>
      <c r="H1247" t="e" cm="1" vm="1">
        <f t="array" aca="1" ref="H1247" ca="1">VLOOKUP(Cpi_[[#This Row],[Year]:[Month]],crudeoil[],3,FALSE)</f>
        <v>#VALUE!</v>
      </c>
    </row>
    <row r="1248" spans="1:8" hidden="1" x14ac:dyDescent="0.3">
      <c r="A1248" t="s">
        <v>33</v>
      </c>
      <c r="B1248">
        <v>2014</v>
      </c>
      <c r="C1248" t="s">
        <v>37</v>
      </c>
      <c r="D1248" t="s">
        <v>7</v>
      </c>
      <c r="E1248" t="e">
        <f>VLOOKUP(Cpi_[[#This Row],[Attribute]],#REF!,2,FALSE)</f>
        <v>#REF!</v>
      </c>
      <c r="F1248">
        <v>103.1</v>
      </c>
      <c r="G1248">
        <f>(Cpi_[[#This Row],[Value]]-F1247)/F1247</f>
        <v>-0.11880341880341885</v>
      </c>
      <c r="H1248" t="e" cm="1" vm="1">
        <f t="array" aca="1" ref="H1248" ca="1">VLOOKUP(Cpi_[[#This Row],[Year]:[Month]],crudeoil[],3,FALSE)</f>
        <v>#VALUE!</v>
      </c>
    </row>
    <row r="1249" spans="1:8" hidden="1" x14ac:dyDescent="0.3">
      <c r="A1249" t="s">
        <v>33</v>
      </c>
      <c r="B1249">
        <v>2014</v>
      </c>
      <c r="C1249" t="s">
        <v>37</v>
      </c>
      <c r="D1249" t="s">
        <v>8</v>
      </c>
      <c r="E1249" t="e">
        <f>VLOOKUP(Cpi_[[#This Row],[Attribute]],#REF!,2,FALSE)</f>
        <v>#REF!</v>
      </c>
      <c r="F1249">
        <v>126.7</v>
      </c>
      <c r="G1249">
        <f>(Cpi_[[#This Row],[Value]]-F1248)/F1248</f>
        <v>0.22890397672162957</v>
      </c>
      <c r="H1249" t="e" cm="1" vm="1">
        <f t="array" aca="1" ref="H1249" ca="1">VLOOKUP(Cpi_[[#This Row],[Year]:[Month]],crudeoil[],3,FALSE)</f>
        <v>#VALUE!</v>
      </c>
    </row>
    <row r="1250" spans="1:8" hidden="1" x14ac:dyDescent="0.3">
      <c r="A1250" t="s">
        <v>33</v>
      </c>
      <c r="B1250">
        <v>2014</v>
      </c>
      <c r="C1250" t="s">
        <v>37</v>
      </c>
      <c r="D1250" t="s">
        <v>9</v>
      </c>
      <c r="E1250" t="e">
        <f>VLOOKUP(Cpi_[[#This Row],[Attribute]],#REF!,2,FALSE)</f>
        <v>#REF!</v>
      </c>
      <c r="F1250">
        <v>121.2</v>
      </c>
      <c r="G1250">
        <f>(Cpi_[[#This Row],[Value]]-F1249)/F1249</f>
        <v>-4.3409629044988157E-2</v>
      </c>
      <c r="H1250" t="e" cm="1" vm="1">
        <f t="array" aca="1" ref="H1250" ca="1">VLOOKUP(Cpi_[[#This Row],[Year]:[Month]],crudeoil[],3,FALSE)</f>
        <v>#VALUE!</v>
      </c>
    </row>
    <row r="1251" spans="1:8" hidden="1" x14ac:dyDescent="0.3">
      <c r="A1251" t="s">
        <v>33</v>
      </c>
      <c r="B1251">
        <v>2014</v>
      </c>
      <c r="C1251" t="s">
        <v>37</v>
      </c>
      <c r="D1251" t="s">
        <v>10</v>
      </c>
      <c r="E1251" t="e">
        <f>VLOOKUP(Cpi_[[#This Row],[Attribute]],#REF!,2,FALSE)</f>
        <v>#REF!</v>
      </c>
      <c r="F1251">
        <v>111</v>
      </c>
      <c r="G1251">
        <f>(Cpi_[[#This Row],[Value]]-F1250)/F1250</f>
        <v>-8.4158415841584178E-2</v>
      </c>
      <c r="H1251" t="e" cm="1" vm="1">
        <f t="array" aca="1" ref="H1251" ca="1">VLOOKUP(Cpi_[[#This Row],[Year]:[Month]],crudeoil[],3,FALSE)</f>
        <v>#VALUE!</v>
      </c>
    </row>
    <row r="1252" spans="1:8" hidden="1" x14ac:dyDescent="0.3">
      <c r="A1252" t="s">
        <v>33</v>
      </c>
      <c r="B1252">
        <v>2014</v>
      </c>
      <c r="C1252" t="s">
        <v>37</v>
      </c>
      <c r="D1252" t="s">
        <v>11</v>
      </c>
      <c r="E1252" t="e">
        <f>VLOOKUP(Cpi_[[#This Row],[Attribute]],#REF!,2,FALSE)</f>
        <v>#REF!</v>
      </c>
      <c r="F1252">
        <v>100.3</v>
      </c>
      <c r="G1252">
        <f>(Cpi_[[#This Row],[Value]]-F1251)/F1251</f>
        <v>-9.6396396396396425E-2</v>
      </c>
      <c r="H1252" t="e" cm="1" vm="1">
        <f t="array" aca="1" ref="H1252" ca="1">VLOOKUP(Cpi_[[#This Row],[Year]:[Month]],crudeoil[],3,FALSE)</f>
        <v>#VALUE!</v>
      </c>
    </row>
    <row r="1253" spans="1:8" hidden="1" x14ac:dyDescent="0.3">
      <c r="A1253" t="s">
        <v>33</v>
      </c>
      <c r="B1253">
        <v>2014</v>
      </c>
      <c r="C1253" t="s">
        <v>37</v>
      </c>
      <c r="D1253" t="s">
        <v>12</v>
      </c>
      <c r="E1253" t="e">
        <f>VLOOKUP(Cpi_[[#This Row],[Attribute]],#REF!,2,FALSE)</f>
        <v>#REF!</v>
      </c>
      <c r="F1253">
        <v>115.3</v>
      </c>
      <c r="G1253">
        <f>(Cpi_[[#This Row],[Value]]-F1252)/F1252</f>
        <v>0.14955134596211367</v>
      </c>
      <c r="H1253" t="e" cm="1" vm="1">
        <f t="array" aca="1" ref="H1253" ca="1">VLOOKUP(Cpi_[[#This Row],[Year]:[Month]],crudeoil[],3,FALSE)</f>
        <v>#VALUE!</v>
      </c>
    </row>
    <row r="1254" spans="1:8" hidden="1" x14ac:dyDescent="0.3">
      <c r="A1254" t="s">
        <v>33</v>
      </c>
      <c r="B1254">
        <v>2014</v>
      </c>
      <c r="C1254" t="s">
        <v>37</v>
      </c>
      <c r="D1254" t="s">
        <v>13</v>
      </c>
      <c r="E1254" t="e">
        <f>VLOOKUP(Cpi_[[#This Row],[Attribute]],#REF!,2,FALSE)</f>
        <v>#REF!</v>
      </c>
      <c r="F1254">
        <v>112.7</v>
      </c>
      <c r="G1254">
        <f>(Cpi_[[#This Row],[Value]]-F1253)/F1253</f>
        <v>-2.2549869904596655E-2</v>
      </c>
      <c r="H1254" t="e" cm="1" vm="1">
        <f t="array" aca="1" ref="H1254" ca="1">VLOOKUP(Cpi_[[#This Row],[Year]:[Month]],crudeoil[],3,FALSE)</f>
        <v>#VALUE!</v>
      </c>
    </row>
    <row r="1255" spans="1:8" hidden="1" x14ac:dyDescent="0.3">
      <c r="A1255" t="s">
        <v>33</v>
      </c>
      <c r="B1255">
        <v>2014</v>
      </c>
      <c r="C1255" t="s">
        <v>37</v>
      </c>
      <c r="D1255" t="s">
        <v>14</v>
      </c>
      <c r="E1255" t="e">
        <f>VLOOKUP(Cpi_[[#This Row],[Attribute]],#REF!,2,FALSE)</f>
        <v>#REF!</v>
      </c>
      <c r="F1255">
        <v>121</v>
      </c>
      <c r="G1255">
        <f>(Cpi_[[#This Row],[Value]]-F1254)/F1254</f>
        <v>7.3646850044365539E-2</v>
      </c>
      <c r="H1255" t="e" cm="1" vm="1">
        <f t="array" aca="1" ref="H1255" ca="1">VLOOKUP(Cpi_[[#This Row],[Year]:[Month]],crudeoil[],3,FALSE)</f>
        <v>#VALUE!</v>
      </c>
    </row>
    <row r="1256" spans="1:8" hidden="1" x14ac:dyDescent="0.3">
      <c r="A1256" t="s">
        <v>33</v>
      </c>
      <c r="B1256">
        <v>2014</v>
      </c>
      <c r="C1256" t="s">
        <v>37</v>
      </c>
      <c r="D1256" t="s">
        <v>15</v>
      </c>
      <c r="E1256" t="e">
        <f>VLOOKUP(Cpi_[[#This Row],[Attribute]],#REF!,2,FALSE)</f>
        <v>#REF!</v>
      </c>
      <c r="F1256">
        <v>118.2</v>
      </c>
      <c r="G1256">
        <f>(Cpi_[[#This Row],[Value]]-F1255)/F1255</f>
        <v>-2.3140495867768573E-2</v>
      </c>
      <c r="H1256" t="e" cm="1" vm="1">
        <f t="array" aca="1" ref="H1256" ca="1">VLOOKUP(Cpi_[[#This Row],[Year]:[Month]],crudeoil[],3,FALSE)</f>
        <v>#VALUE!</v>
      </c>
    </row>
    <row r="1257" spans="1:8" hidden="1" x14ac:dyDescent="0.3">
      <c r="A1257" t="s">
        <v>33</v>
      </c>
      <c r="B1257">
        <v>2014</v>
      </c>
      <c r="C1257" t="s">
        <v>37</v>
      </c>
      <c r="D1257" t="s">
        <v>16</v>
      </c>
      <c r="E1257" t="e">
        <f>VLOOKUP(Cpi_[[#This Row],[Attribute]],#REF!,2,FALSE)</f>
        <v>#REF!</v>
      </c>
      <c r="F1257">
        <v>117.6</v>
      </c>
      <c r="G1257">
        <f>(Cpi_[[#This Row],[Value]]-F1256)/F1256</f>
        <v>-5.076142131979767E-3</v>
      </c>
      <c r="H1257" t="e" cm="1" vm="1">
        <f t="array" aca="1" ref="H1257" ca="1">VLOOKUP(Cpi_[[#This Row],[Year]:[Month]],crudeoil[],3,FALSE)</f>
        <v>#VALUE!</v>
      </c>
    </row>
    <row r="1258" spans="1:8" hidden="1" x14ac:dyDescent="0.3">
      <c r="A1258" t="s">
        <v>33</v>
      </c>
      <c r="B1258">
        <v>2014</v>
      </c>
      <c r="C1258" t="s">
        <v>37</v>
      </c>
      <c r="D1258" t="s">
        <v>17</v>
      </c>
      <c r="E1258" t="e">
        <f>VLOOKUP(Cpi_[[#This Row],[Attribute]],#REF!,2,FALSE)</f>
        <v>#REF!</v>
      </c>
      <c r="F1258">
        <v>116.3</v>
      </c>
      <c r="G1258">
        <f>(Cpi_[[#This Row],[Value]]-F1257)/F1257</f>
        <v>-1.1054421768707459E-2</v>
      </c>
      <c r="H1258" t="e" cm="1" vm="1">
        <f t="array" aca="1" ref="H1258" ca="1">VLOOKUP(Cpi_[[#This Row],[Year]:[Month]],crudeoil[],3,FALSE)</f>
        <v>#VALUE!</v>
      </c>
    </row>
    <row r="1259" spans="1:8" hidden="1" x14ac:dyDescent="0.3">
      <c r="A1259" t="s">
        <v>33</v>
      </c>
      <c r="B1259">
        <v>2014</v>
      </c>
      <c r="C1259" t="s">
        <v>37</v>
      </c>
      <c r="D1259" t="s">
        <v>18</v>
      </c>
      <c r="E1259" t="e">
        <f>VLOOKUP(Cpi_[[#This Row],[Attribute]],#REF!,2,FALSE)</f>
        <v>#REF!</v>
      </c>
      <c r="F1259">
        <v>112.5</v>
      </c>
      <c r="G1259">
        <f>(Cpi_[[#This Row],[Value]]-F1258)/F1258</f>
        <v>-3.2674118658641421E-2</v>
      </c>
      <c r="H1259" t="e" cm="1" vm="1">
        <f t="array" aca="1" ref="H1259" ca="1">VLOOKUP(Cpi_[[#This Row],[Year]:[Month]],crudeoil[],3,FALSE)</f>
        <v>#VALUE!</v>
      </c>
    </row>
    <row r="1260" spans="1:8" hidden="1" x14ac:dyDescent="0.3">
      <c r="A1260" t="s">
        <v>33</v>
      </c>
      <c r="B1260">
        <v>2014</v>
      </c>
      <c r="C1260" t="s">
        <v>37</v>
      </c>
      <c r="D1260" t="s">
        <v>19</v>
      </c>
      <c r="E1260" t="e">
        <f>VLOOKUP(Cpi_[[#This Row],[Attribute]],#REF!,2,FALSE)</f>
        <v>#REF!</v>
      </c>
      <c r="F1260">
        <v>115.7</v>
      </c>
      <c r="G1260">
        <f>(Cpi_[[#This Row],[Value]]-F1259)/F1259</f>
        <v>2.844444444444447E-2</v>
      </c>
      <c r="H1260" t="e" cm="1" vm="1">
        <f t="array" aca="1" ref="H1260" ca="1">VLOOKUP(Cpi_[[#This Row],[Year]:[Month]],crudeoil[],3,FALSE)</f>
        <v>#VALUE!</v>
      </c>
    </row>
    <row r="1261" spans="1:8" hidden="1" x14ac:dyDescent="0.3">
      <c r="A1261" t="s">
        <v>33</v>
      </c>
      <c r="B1261">
        <v>2014</v>
      </c>
      <c r="C1261" t="s">
        <v>37</v>
      </c>
      <c r="D1261" t="s">
        <v>20</v>
      </c>
      <c r="E1261" t="e">
        <f>VLOOKUP(Cpi_[[#This Row],[Attribute]],#REF!,2,FALSE)</f>
        <v>#REF!</v>
      </c>
      <c r="F1261">
        <v>113.9</v>
      </c>
      <c r="G1261">
        <f>(Cpi_[[#This Row],[Value]]-F1260)/F1260</f>
        <v>-1.555747623163351E-2</v>
      </c>
      <c r="H1261" t="e" cm="1" vm="1">
        <f t="array" aca="1" ref="H1261" ca="1">VLOOKUP(Cpi_[[#This Row],[Year]:[Month]],crudeoil[],3,FALSE)</f>
        <v>#VALUE!</v>
      </c>
    </row>
    <row r="1262" spans="1:8" hidden="1" x14ac:dyDescent="0.3">
      <c r="A1262" t="s">
        <v>33</v>
      </c>
      <c r="B1262">
        <v>2014</v>
      </c>
      <c r="C1262" t="s">
        <v>37</v>
      </c>
      <c r="D1262" t="s">
        <v>21</v>
      </c>
      <c r="E1262" t="e">
        <f>VLOOKUP(Cpi_[[#This Row],[Attribute]],#REF!,2,FALSE)</f>
        <v>#REF!</v>
      </c>
      <c r="F1262">
        <v>110.9</v>
      </c>
      <c r="G1262">
        <f>(Cpi_[[#This Row],[Value]]-F1261)/F1261</f>
        <v>-2.6338893766461806E-2</v>
      </c>
      <c r="H1262" t="e" cm="1" vm="1">
        <f t="array" aca="1" ref="H1262" ca="1">VLOOKUP(Cpi_[[#This Row],[Year]:[Month]],crudeoil[],3,FALSE)</f>
        <v>#VALUE!</v>
      </c>
    </row>
    <row r="1263" spans="1:8" hidden="1" x14ac:dyDescent="0.3">
      <c r="A1263" t="s">
        <v>33</v>
      </c>
      <c r="B1263">
        <v>2014</v>
      </c>
      <c r="C1263" t="s">
        <v>37</v>
      </c>
      <c r="D1263" t="s">
        <v>22</v>
      </c>
      <c r="E1263" t="e">
        <f>VLOOKUP(Cpi_[[#This Row],[Attribute]],#REF!,2,FALSE)</f>
        <v>#REF!</v>
      </c>
      <c r="F1263">
        <v>113.4</v>
      </c>
      <c r="G1263">
        <f>(Cpi_[[#This Row],[Value]]-F1262)/F1262</f>
        <v>2.2542831379621278E-2</v>
      </c>
      <c r="H1263" t="e" cm="1" vm="1">
        <f t="array" aca="1" ref="H1263" ca="1">VLOOKUP(Cpi_[[#This Row],[Year]:[Month]],crudeoil[],3,FALSE)</f>
        <v>#VALUE!</v>
      </c>
    </row>
    <row r="1264" spans="1:8" hidden="1" x14ac:dyDescent="0.3">
      <c r="A1264" t="s">
        <v>33</v>
      </c>
      <c r="B1264">
        <v>2014</v>
      </c>
      <c r="C1264" t="s">
        <v>37</v>
      </c>
      <c r="D1264" t="s">
        <v>23</v>
      </c>
      <c r="E1264" t="e">
        <f>VLOOKUP(Cpi_[[#This Row],[Attribute]],#REF!,2,FALSE)</f>
        <v>#REF!</v>
      </c>
      <c r="F1264">
        <v>111</v>
      </c>
      <c r="G1264">
        <f>(Cpi_[[#This Row],[Value]]-F1263)/F1263</f>
        <v>-2.1164021164021211E-2</v>
      </c>
      <c r="H1264" t="e" cm="1" vm="1">
        <f t="array" aca="1" ref="H1264" ca="1">VLOOKUP(Cpi_[[#This Row],[Year]:[Month]],crudeoil[],3,FALSE)</f>
        <v>#VALUE!</v>
      </c>
    </row>
    <row r="1265" spans="1:8" hidden="1" x14ac:dyDescent="0.3">
      <c r="A1265" t="s">
        <v>33</v>
      </c>
      <c r="B1265">
        <v>2014</v>
      </c>
      <c r="C1265" t="s">
        <v>37</v>
      </c>
      <c r="D1265" t="s">
        <v>24</v>
      </c>
      <c r="E1265" t="e">
        <f>VLOOKUP(Cpi_[[#This Row],[Attribute]],#REF!,2,FALSE)</f>
        <v>#REF!</v>
      </c>
      <c r="F1265">
        <v>111.2</v>
      </c>
      <c r="G1265">
        <f>(Cpi_[[#This Row],[Value]]-F1264)/F1264</f>
        <v>1.8018018018018274E-3</v>
      </c>
      <c r="H1265" t="e" cm="1" vm="1">
        <f t="array" aca="1" ref="H1265" ca="1">VLOOKUP(Cpi_[[#This Row],[Year]:[Month]],crudeoil[],3,FALSE)</f>
        <v>#VALUE!</v>
      </c>
    </row>
    <row r="1266" spans="1:8" hidden="1" x14ac:dyDescent="0.3">
      <c r="A1266" t="s">
        <v>33</v>
      </c>
      <c r="B1266">
        <v>2014</v>
      </c>
      <c r="C1266" t="s">
        <v>37</v>
      </c>
      <c r="D1266" t="s">
        <v>25</v>
      </c>
      <c r="E1266" t="e">
        <f>VLOOKUP(Cpi_[[#This Row],[Attribute]],#REF!,2,FALSE)</f>
        <v>#REF!</v>
      </c>
      <c r="F1266">
        <v>111.2</v>
      </c>
      <c r="G1266">
        <f>(Cpi_[[#This Row],[Value]]-F1265)/F1265</f>
        <v>0</v>
      </c>
      <c r="H1266" t="e" cm="1" vm="1">
        <f t="array" aca="1" ref="H1266" ca="1">VLOOKUP(Cpi_[[#This Row],[Year]:[Month]],crudeoil[],3,FALSE)</f>
        <v>#VALUE!</v>
      </c>
    </row>
    <row r="1267" spans="1:8" hidden="1" x14ac:dyDescent="0.3">
      <c r="A1267" t="s">
        <v>33</v>
      </c>
      <c r="B1267">
        <v>2014</v>
      </c>
      <c r="C1267" t="s">
        <v>37</v>
      </c>
      <c r="D1267" t="s">
        <v>26</v>
      </c>
      <c r="E1267" t="e">
        <f>VLOOKUP(Cpi_[[#This Row],[Attribute]],#REF!,2,FALSE)</f>
        <v>#REF!</v>
      </c>
      <c r="F1267">
        <v>112.5</v>
      </c>
      <c r="G1267">
        <f>(Cpi_[[#This Row],[Value]]-F1266)/F1266</f>
        <v>1.1690647482014363E-2</v>
      </c>
      <c r="H1267" t="e" cm="1" vm="1">
        <f t="array" aca="1" ref="H1267" ca="1">VLOOKUP(Cpi_[[#This Row],[Year]:[Month]],crudeoil[],3,FALSE)</f>
        <v>#VALUE!</v>
      </c>
    </row>
    <row r="1268" spans="1:8" hidden="1" x14ac:dyDescent="0.3">
      <c r="A1268" t="s">
        <v>33</v>
      </c>
      <c r="B1268">
        <v>2014</v>
      </c>
      <c r="C1268" t="s">
        <v>37</v>
      </c>
      <c r="D1268" t="s">
        <v>27</v>
      </c>
      <c r="E1268" t="e">
        <f>VLOOKUP(Cpi_[[#This Row],[Attribute]],#REF!,2,FALSE)</f>
        <v>#REF!</v>
      </c>
      <c r="F1268">
        <v>109.1</v>
      </c>
      <c r="G1268">
        <f>(Cpi_[[#This Row],[Value]]-F1267)/F1267</f>
        <v>-3.0222222222222272E-2</v>
      </c>
      <c r="H1268" t="e" cm="1" vm="1">
        <f t="array" aca="1" ref="H1268" ca="1">VLOOKUP(Cpi_[[#This Row],[Year]:[Month]],crudeoil[],3,FALSE)</f>
        <v>#VALUE!</v>
      </c>
    </row>
    <row r="1269" spans="1:8" hidden="1" x14ac:dyDescent="0.3">
      <c r="A1269" t="s">
        <v>33</v>
      </c>
      <c r="B1269">
        <v>2014</v>
      </c>
      <c r="C1269" t="s">
        <v>37</v>
      </c>
      <c r="D1269" t="s">
        <v>28</v>
      </c>
      <c r="E1269" t="e">
        <f>VLOOKUP(Cpi_[[#This Row],[Attribute]],#REF!,2,FALSE)</f>
        <v>#REF!</v>
      </c>
      <c r="F1269">
        <v>111.4</v>
      </c>
      <c r="G1269">
        <f>(Cpi_[[#This Row],[Value]]-F1268)/F1268</f>
        <v>2.1081576535288832E-2</v>
      </c>
      <c r="H1269" t="e" cm="1" vm="1">
        <f t="array" aca="1" ref="H1269" ca="1">VLOOKUP(Cpi_[[#This Row],[Year]:[Month]],crudeoil[],3,FALSE)</f>
        <v>#VALUE!</v>
      </c>
    </row>
    <row r="1270" spans="1:8" hidden="1" x14ac:dyDescent="0.3">
      <c r="A1270" t="s">
        <v>33</v>
      </c>
      <c r="B1270">
        <v>2014</v>
      </c>
      <c r="C1270" t="s">
        <v>37</v>
      </c>
      <c r="D1270" t="s">
        <v>29</v>
      </c>
      <c r="E1270" t="e" cm="1">
        <f t="array" aca="1" ref="E1270" ca="1">VLGeneral indexGeneral indexKUP(Cpi_[[#This Row],[Attribute]],#REF!,2,FALSE)</f>
        <v>#NAME?</v>
      </c>
      <c r="F1270">
        <v>114.7</v>
      </c>
      <c r="G1270">
        <f>(Cpi_[[#This Row],[Value]]-F1269)/F1269</f>
        <v>2.9622980251346472E-2</v>
      </c>
      <c r="H1270" t="e" cm="1" vm="1">
        <f t="array" aca="1" ref="H1270" ca="1">VLOOKUP(Cpi_[[#This Row],[Year]:[Month]],crudeoil[],3,FALSE)</f>
        <v>#VALUE!</v>
      </c>
    </row>
    <row r="1271" spans="1:8" hidden="1" x14ac:dyDescent="0.3">
      <c r="A1271" t="s">
        <v>34</v>
      </c>
      <c r="B1271">
        <v>2014</v>
      </c>
      <c r="C1271" t="s">
        <v>37</v>
      </c>
      <c r="D1271" t="s">
        <v>3</v>
      </c>
      <c r="E1271" t="e">
        <f>VLOOKUP(Cpi_[[#This Row],[Attribute]],#REF!,2,FALSE)</f>
        <v>#REF!</v>
      </c>
      <c r="F1271">
        <v>120.9</v>
      </c>
      <c r="G1271">
        <f>(Cpi_[[#This Row],[Value]]-F1270)/F1270</f>
        <v>5.4054054054054078E-2</v>
      </c>
      <c r="H1271" t="e" cm="1" vm="1">
        <f t="array" aca="1" ref="H1271" ca="1">VLOOKUP(Cpi_[[#This Row],[Year]:[Month]],crudeoil[],3,FALSE)</f>
        <v>#VALUE!</v>
      </c>
    </row>
    <row r="1272" spans="1:8" hidden="1" x14ac:dyDescent="0.3">
      <c r="A1272" t="s">
        <v>34</v>
      </c>
      <c r="B1272">
        <v>2014</v>
      </c>
      <c r="C1272" t="s">
        <v>37</v>
      </c>
      <c r="D1272" t="s">
        <v>4</v>
      </c>
      <c r="E1272" t="e">
        <f>VLOOKUP(Cpi_[[#This Row],[Attribute]],#REF!,2,FALSE)</f>
        <v>#REF!</v>
      </c>
      <c r="F1272">
        <v>119.9</v>
      </c>
      <c r="G1272">
        <f>(Cpi_[[#This Row],[Value]]-F1271)/F1271</f>
        <v>-8.271298593879239E-3</v>
      </c>
      <c r="H1272" t="e" cm="1" vm="1">
        <f t="array" aca="1" ref="H1272" ca="1">VLOOKUP(Cpi_[[#This Row],[Year]:[Month]],crudeoil[],3,FALSE)</f>
        <v>#VALUE!</v>
      </c>
    </row>
    <row r="1273" spans="1:8" hidden="1" x14ac:dyDescent="0.3">
      <c r="A1273" t="s">
        <v>34</v>
      </c>
      <c r="B1273">
        <v>2014</v>
      </c>
      <c r="C1273" t="s">
        <v>37</v>
      </c>
      <c r="D1273" t="s">
        <v>5</v>
      </c>
      <c r="E1273" t="e">
        <f>VLOOKUP(Cpi_[[#This Row],[Attribute]],#REF!,2,FALSE)</f>
        <v>#REF!</v>
      </c>
      <c r="F1273">
        <v>116.2</v>
      </c>
      <c r="G1273">
        <f>(Cpi_[[#This Row],[Value]]-F1272)/F1272</f>
        <v>-3.0859049207673083E-2</v>
      </c>
      <c r="H1273" t="e" cm="1" vm="1">
        <f t="array" aca="1" ref="H1273" ca="1">VLOOKUP(Cpi_[[#This Row],[Year]:[Month]],crudeoil[],3,FALSE)</f>
        <v>#VALUE!</v>
      </c>
    </row>
    <row r="1274" spans="1:8" hidden="1" x14ac:dyDescent="0.3">
      <c r="A1274" t="s">
        <v>34</v>
      </c>
      <c r="B1274">
        <v>2014</v>
      </c>
      <c r="C1274" t="s">
        <v>37</v>
      </c>
      <c r="D1274" t="s">
        <v>6</v>
      </c>
      <c r="E1274" t="e">
        <f>VLOOKUP(Cpi_[[#This Row],[Attribute]],#REF!,2,FALSE)</f>
        <v>#REF!</v>
      </c>
      <c r="F1274">
        <v>117</v>
      </c>
      <c r="G1274">
        <f>(Cpi_[[#This Row],[Value]]-F1273)/F1273</f>
        <v>6.8846815834767393E-3</v>
      </c>
      <c r="H1274" t="e" cm="1" vm="1">
        <f t="array" aca="1" ref="H1274" ca="1">VLOOKUP(Cpi_[[#This Row],[Year]:[Month]],crudeoil[],3,FALSE)</f>
        <v>#VALUE!</v>
      </c>
    </row>
    <row r="1275" spans="1:8" hidden="1" x14ac:dyDescent="0.3">
      <c r="A1275" t="s">
        <v>34</v>
      </c>
      <c r="B1275">
        <v>2014</v>
      </c>
      <c r="C1275" t="s">
        <v>37</v>
      </c>
      <c r="D1275" t="s">
        <v>7</v>
      </c>
      <c r="E1275" t="e">
        <f>VLOOKUP(Cpi_[[#This Row],[Attribute]],#REF!,2,FALSE)</f>
        <v>#REF!</v>
      </c>
      <c r="F1275">
        <v>107.3</v>
      </c>
      <c r="G1275">
        <f>(Cpi_[[#This Row],[Value]]-F1274)/F1274</f>
        <v>-8.2905982905982931E-2</v>
      </c>
      <c r="H1275" t="e" cm="1" vm="1">
        <f t="array" aca="1" ref="H1275" ca="1">VLOOKUP(Cpi_[[#This Row],[Year]:[Month]],crudeoil[],3,FALSE)</f>
        <v>#VALUE!</v>
      </c>
    </row>
    <row r="1276" spans="1:8" hidden="1" x14ac:dyDescent="0.3">
      <c r="A1276" t="s">
        <v>34</v>
      </c>
      <c r="B1276">
        <v>2014</v>
      </c>
      <c r="C1276" t="s">
        <v>37</v>
      </c>
      <c r="D1276" t="s">
        <v>8</v>
      </c>
      <c r="E1276" t="e">
        <f>VLOOKUP(Cpi_[[#This Row],[Attribute]],#REF!,2,FALSE)</f>
        <v>#REF!</v>
      </c>
      <c r="F1276">
        <v>126.1</v>
      </c>
      <c r="G1276">
        <f>(Cpi_[[#This Row],[Value]]-F1275)/F1275</f>
        <v>0.17520969245107174</v>
      </c>
      <c r="H1276" t="e" cm="1" vm="1">
        <f t="array" aca="1" ref="H1276" ca="1">VLOOKUP(Cpi_[[#This Row],[Year]:[Month]],crudeoil[],3,FALSE)</f>
        <v>#VALUE!</v>
      </c>
    </row>
    <row r="1277" spans="1:8" hidden="1" x14ac:dyDescent="0.3">
      <c r="A1277" t="s">
        <v>34</v>
      </c>
      <c r="B1277">
        <v>2014</v>
      </c>
      <c r="C1277" t="s">
        <v>37</v>
      </c>
      <c r="D1277" t="s">
        <v>9</v>
      </c>
      <c r="E1277" t="e">
        <f>VLOOKUP(Cpi_[[#This Row],[Attribute]],#REF!,2,FALSE)</f>
        <v>#REF!</v>
      </c>
      <c r="F1277">
        <v>120.7</v>
      </c>
      <c r="G1277">
        <f>(Cpi_[[#This Row],[Value]]-F1276)/F1276</f>
        <v>-4.2823156225218012E-2</v>
      </c>
      <c r="H1277" t="e" cm="1" vm="1">
        <f t="array" aca="1" ref="H1277" ca="1">VLOOKUP(Cpi_[[#This Row],[Year]:[Month]],crudeoil[],3,FALSE)</f>
        <v>#VALUE!</v>
      </c>
    </row>
    <row r="1278" spans="1:8" hidden="1" x14ac:dyDescent="0.3">
      <c r="A1278" t="s">
        <v>34</v>
      </c>
      <c r="B1278">
        <v>2014</v>
      </c>
      <c r="C1278" t="s">
        <v>37</v>
      </c>
      <c r="D1278" t="s">
        <v>10</v>
      </c>
      <c r="E1278" t="e">
        <f>VLOOKUP(Cpi_[[#This Row],[Attribute]],#REF!,2,FALSE)</f>
        <v>#REF!</v>
      </c>
      <c r="F1278">
        <v>111</v>
      </c>
      <c r="G1278">
        <f>(Cpi_[[#This Row],[Value]]-F1277)/F1277</f>
        <v>-8.0364540182270114E-2</v>
      </c>
      <c r="H1278" t="e" cm="1" vm="1">
        <f t="array" aca="1" ref="H1278" ca="1">VLOOKUP(Cpi_[[#This Row],[Year]:[Month]],crudeoil[],3,FALSE)</f>
        <v>#VALUE!</v>
      </c>
    </row>
    <row r="1279" spans="1:8" hidden="1" x14ac:dyDescent="0.3">
      <c r="A1279" t="s">
        <v>34</v>
      </c>
      <c r="B1279">
        <v>2014</v>
      </c>
      <c r="C1279" t="s">
        <v>37</v>
      </c>
      <c r="D1279" t="s">
        <v>11</v>
      </c>
      <c r="E1279" t="e">
        <f>VLOOKUP(Cpi_[[#This Row],[Attribute]],#REF!,2,FALSE)</f>
        <v>#REF!</v>
      </c>
      <c r="F1279">
        <v>101.8</v>
      </c>
      <c r="G1279">
        <f>(Cpi_[[#This Row],[Value]]-F1278)/F1278</f>
        <v>-8.2882882882882911E-2</v>
      </c>
      <c r="H1279" t="e" cm="1" vm="1">
        <f t="array" aca="1" ref="H1279" ca="1">VLOOKUP(Cpi_[[#This Row],[Year]:[Month]],crudeoil[],3,FALSE)</f>
        <v>#VALUE!</v>
      </c>
    </row>
    <row r="1280" spans="1:8" hidden="1" x14ac:dyDescent="0.3">
      <c r="A1280" t="s">
        <v>34</v>
      </c>
      <c r="B1280">
        <v>2014</v>
      </c>
      <c r="C1280" t="s">
        <v>37</v>
      </c>
      <c r="D1280" t="s">
        <v>12</v>
      </c>
      <c r="E1280" t="e">
        <f>VLOOKUP(Cpi_[[#This Row],[Attribute]],#REF!,2,FALSE)</f>
        <v>#REF!</v>
      </c>
      <c r="F1280">
        <v>112.6</v>
      </c>
      <c r="G1280">
        <f>(Cpi_[[#This Row],[Value]]-F1279)/F1279</f>
        <v>0.10609037328094301</v>
      </c>
      <c r="H1280" t="e" cm="1" vm="1">
        <f t="array" aca="1" ref="H1280" ca="1">VLOOKUP(Cpi_[[#This Row],[Year]:[Month]],crudeoil[],3,FALSE)</f>
        <v>#VALUE!</v>
      </c>
    </row>
    <row r="1281" spans="1:8" hidden="1" x14ac:dyDescent="0.3">
      <c r="A1281" t="s">
        <v>34</v>
      </c>
      <c r="B1281">
        <v>2014</v>
      </c>
      <c r="C1281" t="s">
        <v>37</v>
      </c>
      <c r="D1281" t="s">
        <v>13</v>
      </c>
      <c r="E1281" t="e">
        <f>VLOOKUP(Cpi_[[#This Row],[Attribute]],#REF!,2,FALSE)</f>
        <v>#REF!</v>
      </c>
      <c r="F1281">
        <v>113.2</v>
      </c>
      <c r="G1281">
        <f>(Cpi_[[#This Row],[Value]]-F1280)/F1280</f>
        <v>5.328596802841994E-3</v>
      </c>
      <c r="H1281" t="e" cm="1" vm="1">
        <f t="array" aca="1" ref="H1281" ca="1">VLOOKUP(Cpi_[[#This Row],[Year]:[Month]],crudeoil[],3,FALSE)</f>
        <v>#VALUE!</v>
      </c>
    </row>
    <row r="1282" spans="1:8" hidden="1" x14ac:dyDescent="0.3">
      <c r="A1282" t="s">
        <v>34</v>
      </c>
      <c r="B1282">
        <v>2014</v>
      </c>
      <c r="C1282" t="s">
        <v>37</v>
      </c>
      <c r="D1282" t="s">
        <v>14</v>
      </c>
      <c r="E1282" t="e">
        <f>VLOOKUP(Cpi_[[#This Row],[Attribute]],#REF!,2,FALSE)</f>
        <v>#REF!</v>
      </c>
      <c r="F1282">
        <v>119.8</v>
      </c>
      <c r="G1282">
        <f>(Cpi_[[#This Row],[Value]]-F1281)/F1281</f>
        <v>5.8303886925795002E-2</v>
      </c>
      <c r="H1282" t="e" cm="1" vm="1">
        <f t="array" aca="1" ref="H1282" ca="1">VLOOKUP(Cpi_[[#This Row],[Year]:[Month]],crudeoil[],3,FALSE)</f>
        <v>#VALUE!</v>
      </c>
    </row>
    <row r="1283" spans="1:8" hidden="1" x14ac:dyDescent="0.3">
      <c r="A1283" t="s">
        <v>34</v>
      </c>
      <c r="B1283">
        <v>2014</v>
      </c>
      <c r="C1283" t="s">
        <v>37</v>
      </c>
      <c r="D1283" t="s">
        <v>15</v>
      </c>
      <c r="E1283" t="e">
        <f>VLOOKUP(Cpi_[[#This Row],[Attribute]],#REF!,2,FALSE)</f>
        <v>#REF!</v>
      </c>
      <c r="F1283">
        <v>117.6</v>
      </c>
      <c r="G1283">
        <f>(Cpi_[[#This Row],[Value]]-F1282)/F1282</f>
        <v>-1.8363939899833079E-2</v>
      </c>
      <c r="H1283" t="e" cm="1" vm="1">
        <f t="array" aca="1" ref="H1283" ca="1">VLOOKUP(Cpi_[[#This Row],[Year]:[Month]],crudeoil[],3,FALSE)</f>
        <v>#VALUE!</v>
      </c>
    </row>
    <row r="1284" spans="1:8" hidden="1" x14ac:dyDescent="0.3">
      <c r="A1284" t="s">
        <v>34</v>
      </c>
      <c r="B1284">
        <v>2014</v>
      </c>
      <c r="C1284" t="s">
        <v>37</v>
      </c>
      <c r="D1284" t="s">
        <v>16</v>
      </c>
      <c r="E1284" t="e">
        <f>VLOOKUP(Cpi_[[#This Row],[Attribute]],#REF!,2,FALSE)</f>
        <v>#REF!</v>
      </c>
      <c r="F1284">
        <v>116</v>
      </c>
      <c r="G1284">
        <f>(Cpi_[[#This Row],[Value]]-F1283)/F1283</f>
        <v>-1.3605442176870701E-2</v>
      </c>
      <c r="H1284" t="e" cm="1" vm="1">
        <f t="array" aca="1" ref="H1284" ca="1">VLOOKUP(Cpi_[[#This Row],[Year]:[Month]],crudeoil[],3,FALSE)</f>
        <v>#VALUE!</v>
      </c>
    </row>
    <row r="1285" spans="1:8" hidden="1" x14ac:dyDescent="0.3">
      <c r="A1285" t="s">
        <v>34</v>
      </c>
      <c r="B1285">
        <v>2014</v>
      </c>
      <c r="C1285" t="s">
        <v>37</v>
      </c>
      <c r="D1285" t="s">
        <v>17</v>
      </c>
      <c r="E1285" t="e">
        <f>VLOOKUP(Cpi_[[#This Row],[Attribute]],#REF!,2,FALSE)</f>
        <v>#REF!</v>
      </c>
      <c r="F1285">
        <v>117.4</v>
      </c>
      <c r="G1285">
        <f>(Cpi_[[#This Row],[Value]]-F1284)/F1284</f>
        <v>1.2068965517241428E-2</v>
      </c>
      <c r="H1285" t="e" cm="1" vm="1">
        <f t="array" aca="1" ref="H1285" ca="1">VLOOKUP(Cpi_[[#This Row],[Year]:[Month]],crudeoil[],3,FALSE)</f>
        <v>#VALUE!</v>
      </c>
    </row>
    <row r="1286" spans="1:8" hidden="1" x14ac:dyDescent="0.3">
      <c r="A1286" t="s">
        <v>34</v>
      </c>
      <c r="B1286">
        <v>2014</v>
      </c>
      <c r="C1286" t="s">
        <v>37</v>
      </c>
      <c r="D1286" t="s">
        <v>18</v>
      </c>
      <c r="E1286" t="e">
        <f>VLOOKUP(Cpi_[[#This Row],[Attribute]],#REF!,2,FALSE)</f>
        <v>#REF!</v>
      </c>
      <c r="F1286">
        <v>114.6</v>
      </c>
      <c r="G1286">
        <f>(Cpi_[[#This Row],[Value]]-F1285)/F1285</f>
        <v>-2.3850085178875734E-2</v>
      </c>
      <c r="H1286" t="e" cm="1" vm="1">
        <f t="array" aca="1" ref="H1286" ca="1">VLOOKUP(Cpi_[[#This Row],[Year]:[Month]],crudeoil[],3,FALSE)</f>
        <v>#VALUE!</v>
      </c>
    </row>
    <row r="1287" spans="1:8" hidden="1" x14ac:dyDescent="0.3">
      <c r="A1287" t="s">
        <v>34</v>
      </c>
      <c r="B1287">
        <v>2014</v>
      </c>
      <c r="C1287" t="s">
        <v>37</v>
      </c>
      <c r="D1287" t="s">
        <v>19</v>
      </c>
      <c r="E1287" t="e">
        <f>VLOOKUP(Cpi_[[#This Row],[Attribute]],#REF!,2,FALSE)</f>
        <v>#REF!</v>
      </c>
      <c r="F1287">
        <v>117</v>
      </c>
      <c r="G1287">
        <f>(Cpi_[[#This Row],[Value]]-F1286)/F1286</f>
        <v>2.0942408376963401E-2</v>
      </c>
      <c r="H1287" t="e" cm="1" vm="1">
        <f t="array" aca="1" ref="H1287" ca="1">VLOOKUP(Cpi_[[#This Row],[Year]:[Month]],crudeoil[],3,FALSE)</f>
        <v>#VALUE!</v>
      </c>
    </row>
    <row r="1288" spans="1:8" hidden="1" x14ac:dyDescent="0.3">
      <c r="A1288" t="s">
        <v>34</v>
      </c>
      <c r="B1288">
        <v>2014</v>
      </c>
      <c r="C1288" t="s">
        <v>37</v>
      </c>
      <c r="D1288" t="s">
        <v>20</v>
      </c>
      <c r="E1288" t="e">
        <f>VLOOKUP(Cpi_[[#This Row],[Attribute]],#REF!,2,FALSE)</f>
        <v>#REF!</v>
      </c>
      <c r="F1288">
        <v>113.9</v>
      </c>
      <c r="G1288">
        <f>(Cpi_[[#This Row],[Value]]-F1287)/F1287</f>
        <v>-2.6495726495726447E-2</v>
      </c>
      <c r="H1288" t="e" cm="1" vm="1">
        <f t="array" aca="1" ref="H1288" ca="1">VLOOKUP(Cpi_[[#This Row],[Year]:[Month]],crudeoil[],3,FALSE)</f>
        <v>#VALUE!</v>
      </c>
    </row>
    <row r="1289" spans="1:8" hidden="1" x14ac:dyDescent="0.3">
      <c r="A1289" t="s">
        <v>34</v>
      </c>
      <c r="B1289">
        <v>2014</v>
      </c>
      <c r="C1289" t="s">
        <v>37</v>
      </c>
      <c r="D1289" t="s">
        <v>21</v>
      </c>
      <c r="E1289" t="e">
        <f>VLOOKUP(Cpi_[[#This Row],[Attribute]],#REF!,2,FALSE)</f>
        <v>#REF!</v>
      </c>
      <c r="F1289">
        <v>112.5</v>
      </c>
      <c r="G1289">
        <f>(Cpi_[[#This Row],[Value]]-F1288)/F1288</f>
        <v>-1.2291483757682227E-2</v>
      </c>
      <c r="H1289" t="e" cm="1" vm="1">
        <f t="array" aca="1" ref="H1289" ca="1">VLOOKUP(Cpi_[[#This Row],[Year]:[Month]],crudeoil[],3,FALSE)</f>
        <v>#VALUE!</v>
      </c>
    </row>
    <row r="1290" spans="1:8" hidden="1" x14ac:dyDescent="0.3">
      <c r="A1290" t="s">
        <v>34</v>
      </c>
      <c r="B1290">
        <v>2014</v>
      </c>
      <c r="C1290" t="s">
        <v>37</v>
      </c>
      <c r="D1290" t="s">
        <v>22</v>
      </c>
      <c r="E1290" t="e">
        <f>VLOOKUP(Cpi_[[#This Row],[Attribute]],#REF!,2,FALSE)</f>
        <v>#REF!</v>
      </c>
      <c r="F1290">
        <v>113.6</v>
      </c>
      <c r="G1290">
        <f>(Cpi_[[#This Row],[Value]]-F1289)/F1289</f>
        <v>9.7777777777777273E-3</v>
      </c>
      <c r="H1290" t="e" cm="1" vm="1">
        <f t="array" aca="1" ref="H1290" ca="1">VLOOKUP(Cpi_[[#This Row],[Year]:[Month]],crudeoil[],3,FALSE)</f>
        <v>#VALUE!</v>
      </c>
    </row>
    <row r="1291" spans="1:8" hidden="1" x14ac:dyDescent="0.3">
      <c r="A1291" t="s">
        <v>34</v>
      </c>
      <c r="B1291">
        <v>2014</v>
      </c>
      <c r="C1291" t="s">
        <v>37</v>
      </c>
      <c r="D1291" t="s">
        <v>23</v>
      </c>
      <c r="E1291" t="e">
        <f>VLOOKUP(Cpi_[[#This Row],[Attribute]],#REF!,2,FALSE)</f>
        <v>#REF!</v>
      </c>
      <c r="F1291">
        <v>111.5</v>
      </c>
      <c r="G1291">
        <f>(Cpi_[[#This Row],[Value]]-F1290)/F1290</f>
        <v>-1.8485915492957698E-2</v>
      </c>
      <c r="H1291" t="e" cm="1" vm="1">
        <f t="array" aca="1" ref="H1291" ca="1">VLOOKUP(Cpi_[[#This Row],[Year]:[Month]],crudeoil[],3,FALSE)</f>
        <v>#VALUE!</v>
      </c>
    </row>
    <row r="1292" spans="1:8" hidden="1" x14ac:dyDescent="0.3">
      <c r="A1292" t="s">
        <v>34</v>
      </c>
      <c r="B1292">
        <v>2014</v>
      </c>
      <c r="C1292" t="s">
        <v>37</v>
      </c>
      <c r="D1292" t="s">
        <v>24</v>
      </c>
      <c r="E1292" t="e">
        <f>VLOOKUP(Cpi_[[#This Row],[Attribute]],#REF!,2,FALSE)</f>
        <v>#REF!</v>
      </c>
      <c r="F1292">
        <v>111.2</v>
      </c>
      <c r="G1292">
        <f>(Cpi_[[#This Row],[Value]]-F1291)/F1291</f>
        <v>-2.6905829596412302E-3</v>
      </c>
      <c r="H1292" t="e" cm="1" vm="1">
        <f t="array" aca="1" ref="H1292" ca="1">VLOOKUP(Cpi_[[#This Row],[Year]:[Month]],crudeoil[],3,FALSE)</f>
        <v>#VALUE!</v>
      </c>
    </row>
    <row r="1293" spans="1:8" hidden="1" x14ac:dyDescent="0.3">
      <c r="A1293" t="s">
        <v>34</v>
      </c>
      <c r="B1293">
        <v>2014</v>
      </c>
      <c r="C1293" t="s">
        <v>37</v>
      </c>
      <c r="D1293" t="s">
        <v>25</v>
      </c>
      <c r="E1293" t="e">
        <f>VLOOKUP(Cpi_[[#This Row],[Attribute]],#REF!,2,FALSE)</f>
        <v>#REF!</v>
      </c>
      <c r="F1293">
        <v>110.9</v>
      </c>
      <c r="G1293">
        <f>(Cpi_[[#This Row],[Value]]-F1292)/F1292</f>
        <v>-2.6978417266186796E-3</v>
      </c>
      <c r="H1293" t="e" cm="1" vm="1">
        <f t="array" aca="1" ref="H1293" ca="1">VLOOKUP(Cpi_[[#This Row],[Year]:[Month]],crudeoil[],3,FALSE)</f>
        <v>#VALUE!</v>
      </c>
    </row>
    <row r="1294" spans="1:8" hidden="1" x14ac:dyDescent="0.3">
      <c r="A1294" t="s">
        <v>34</v>
      </c>
      <c r="B1294">
        <v>2014</v>
      </c>
      <c r="C1294" t="s">
        <v>37</v>
      </c>
      <c r="D1294" t="s">
        <v>26</v>
      </c>
      <c r="E1294" t="e">
        <f>VLOOKUP(Cpi_[[#This Row],[Attribute]],#REF!,2,FALSE)</f>
        <v>#REF!</v>
      </c>
      <c r="F1294">
        <v>112.7</v>
      </c>
      <c r="G1294">
        <f>(Cpi_[[#This Row],[Value]]-F1293)/F1293</f>
        <v>1.6230838593327294E-2</v>
      </c>
      <c r="H1294" t="e" cm="1" vm="1">
        <f t="array" aca="1" ref="H1294" ca="1">VLOOKUP(Cpi_[[#This Row],[Year]:[Month]],crudeoil[],3,FALSE)</f>
        <v>#VALUE!</v>
      </c>
    </row>
    <row r="1295" spans="1:8" hidden="1" x14ac:dyDescent="0.3">
      <c r="A1295" t="s">
        <v>34</v>
      </c>
      <c r="B1295">
        <v>2014</v>
      </c>
      <c r="C1295" t="s">
        <v>37</v>
      </c>
      <c r="D1295" t="s">
        <v>27</v>
      </c>
      <c r="E1295" t="e">
        <f>VLOOKUP(Cpi_[[#This Row],[Attribute]],#REF!,2,FALSE)</f>
        <v>#REF!</v>
      </c>
      <c r="F1295">
        <v>109</v>
      </c>
      <c r="G1295">
        <f>(Cpi_[[#This Row],[Value]]-F1294)/F1294</f>
        <v>-3.2830523513753353E-2</v>
      </c>
      <c r="H1295" t="e" cm="1" vm="1">
        <f t="array" aca="1" ref="H1295" ca="1">VLOOKUP(Cpi_[[#This Row],[Year]:[Month]],crudeoil[],3,FALSE)</f>
        <v>#VALUE!</v>
      </c>
    </row>
    <row r="1296" spans="1:8" hidden="1" x14ac:dyDescent="0.3">
      <c r="A1296" t="s">
        <v>34</v>
      </c>
      <c r="B1296">
        <v>2014</v>
      </c>
      <c r="C1296" t="s">
        <v>37</v>
      </c>
      <c r="D1296" t="s">
        <v>28</v>
      </c>
      <c r="E1296" t="e">
        <f>VLOOKUP(Cpi_[[#This Row],[Attribute]],#REF!,2,FALSE)</f>
        <v>#REF!</v>
      </c>
      <c r="F1296">
        <v>111.5</v>
      </c>
      <c r="G1296">
        <f>(Cpi_[[#This Row],[Value]]-F1295)/F1295</f>
        <v>2.2935779816513763E-2</v>
      </c>
      <c r="H1296" t="e" cm="1" vm="1">
        <f t="array" aca="1" ref="H1296" ca="1">VLOOKUP(Cpi_[[#This Row],[Year]:[Month]],crudeoil[],3,FALSE)</f>
        <v>#VALUE!</v>
      </c>
    </row>
    <row r="1297" spans="1:8" hidden="1" x14ac:dyDescent="0.3">
      <c r="A1297" t="s">
        <v>34</v>
      </c>
      <c r="B1297">
        <v>2014</v>
      </c>
      <c r="C1297" t="s">
        <v>37</v>
      </c>
      <c r="D1297" t="s">
        <v>29</v>
      </c>
      <c r="E1297" t="e" cm="1">
        <f t="array" aca="1" ref="E1297" ca="1">VLGeneral indexGeneral indexKUP(Cpi_[[#This Row],[Attribute]],#REF!,2,FALSE)</f>
        <v>#NAME?</v>
      </c>
      <c r="F1297">
        <v>115.1</v>
      </c>
      <c r="G1297">
        <f>(Cpi_[[#This Row],[Value]]-F1296)/F1296</f>
        <v>3.2286995515695013E-2</v>
      </c>
      <c r="H1297" t="e" cm="1" vm="1">
        <f t="array" aca="1" ref="H1297" ca="1">VLOOKUP(Cpi_[[#This Row],[Year]:[Month]],crudeoil[],3,FALSE)</f>
        <v>#VALUE!</v>
      </c>
    </row>
    <row r="1298" spans="1:8" hidden="1" x14ac:dyDescent="0.3">
      <c r="A1298" t="s">
        <v>30</v>
      </c>
      <c r="B1298">
        <v>2014</v>
      </c>
      <c r="C1298" t="s">
        <v>38</v>
      </c>
      <c r="D1298" t="s">
        <v>3</v>
      </c>
      <c r="E1298" t="e">
        <f>VLOOKUP(Cpi_[[#This Row],[Attribute]],#REF!,2,FALSE)</f>
        <v>#REF!</v>
      </c>
      <c r="F1298">
        <v>120.3</v>
      </c>
      <c r="G1298">
        <f>(Cpi_[[#This Row],[Value]]-F1297)/F1297</f>
        <v>4.5178105994787165E-2</v>
      </c>
      <c r="H1298" t="e" cm="1" vm="1">
        <f t="array" aca="1" ref="H1298" ca="1">VLOOKUP(Cpi_[[#This Row],[Year]:[Month]],crudeoil[],3,FALSE)</f>
        <v>#VALUE!</v>
      </c>
    </row>
    <row r="1299" spans="1:8" hidden="1" x14ac:dyDescent="0.3">
      <c r="A1299" t="s">
        <v>30</v>
      </c>
      <c r="B1299">
        <v>2014</v>
      </c>
      <c r="C1299" t="s">
        <v>38</v>
      </c>
      <c r="D1299" t="s">
        <v>4</v>
      </c>
      <c r="E1299" t="e">
        <f>VLOOKUP(Cpi_[[#This Row],[Attribute]],#REF!,2,FALSE)</f>
        <v>#REF!</v>
      </c>
      <c r="F1299">
        <v>120.2</v>
      </c>
      <c r="G1299">
        <f>(Cpi_[[#This Row],[Value]]-F1298)/F1298</f>
        <v>-8.3125519534492365E-4</v>
      </c>
      <c r="H1299" t="e" cm="1" vm="1">
        <f t="array" aca="1" ref="H1299" ca="1">VLOOKUP(Cpi_[[#This Row],[Year]:[Month]],crudeoil[],3,FALSE)</f>
        <v>#VALUE!</v>
      </c>
    </row>
    <row r="1300" spans="1:8" hidden="1" x14ac:dyDescent="0.3">
      <c r="A1300" t="s">
        <v>30</v>
      </c>
      <c r="B1300">
        <v>2014</v>
      </c>
      <c r="C1300" t="s">
        <v>38</v>
      </c>
      <c r="D1300" t="s">
        <v>5</v>
      </c>
      <c r="E1300" t="e">
        <f>VLOOKUP(Cpi_[[#This Row],[Attribute]],#REF!,2,FALSE)</f>
        <v>#REF!</v>
      </c>
      <c r="F1300">
        <v>116.9</v>
      </c>
      <c r="G1300">
        <f>(Cpi_[[#This Row],[Value]]-F1299)/F1299</f>
        <v>-2.7454242928452555E-2</v>
      </c>
      <c r="H1300" t="e" cm="1" vm="1">
        <f t="array" aca="1" ref="H1300" ca="1">VLOOKUP(Cpi_[[#This Row],[Year]:[Month]],crudeoil[],3,FALSE)</f>
        <v>#VALUE!</v>
      </c>
    </row>
    <row r="1301" spans="1:8" hidden="1" x14ac:dyDescent="0.3">
      <c r="A1301" t="s">
        <v>30</v>
      </c>
      <c r="B1301">
        <v>2014</v>
      </c>
      <c r="C1301" t="s">
        <v>38</v>
      </c>
      <c r="D1301" t="s">
        <v>6</v>
      </c>
      <c r="E1301" t="e">
        <f>VLOOKUP(Cpi_[[#This Row],[Attribute]],#REF!,2,FALSE)</f>
        <v>#REF!</v>
      </c>
      <c r="F1301">
        <v>118</v>
      </c>
      <c r="G1301">
        <f>(Cpi_[[#This Row],[Value]]-F1300)/F1300</f>
        <v>9.4097519247219354E-3</v>
      </c>
      <c r="H1301" t="e" cm="1" vm="1">
        <f t="array" aca="1" ref="H1301" ca="1">VLOOKUP(Cpi_[[#This Row],[Year]:[Month]],crudeoil[],3,FALSE)</f>
        <v>#VALUE!</v>
      </c>
    </row>
    <row r="1302" spans="1:8" hidden="1" x14ac:dyDescent="0.3">
      <c r="A1302" t="s">
        <v>30</v>
      </c>
      <c r="B1302">
        <v>2014</v>
      </c>
      <c r="C1302" t="s">
        <v>38</v>
      </c>
      <c r="D1302" t="s">
        <v>7</v>
      </c>
      <c r="E1302" t="e">
        <f>VLOOKUP(Cpi_[[#This Row],[Attribute]],#REF!,2,FALSE)</f>
        <v>#REF!</v>
      </c>
      <c r="F1302">
        <v>110.1</v>
      </c>
      <c r="G1302">
        <f>(Cpi_[[#This Row],[Value]]-F1301)/F1301</f>
        <v>-6.6949152542372936E-2</v>
      </c>
      <c r="H1302" t="e" cm="1" vm="1">
        <f t="array" aca="1" ref="H1302" ca="1">VLOOKUP(Cpi_[[#This Row],[Year]:[Month]],crudeoil[],3,FALSE)</f>
        <v>#VALUE!</v>
      </c>
    </row>
    <row r="1303" spans="1:8" hidden="1" x14ac:dyDescent="0.3">
      <c r="A1303" t="s">
        <v>30</v>
      </c>
      <c r="B1303">
        <v>2014</v>
      </c>
      <c r="C1303" t="s">
        <v>38</v>
      </c>
      <c r="D1303" t="s">
        <v>8</v>
      </c>
      <c r="E1303" t="e">
        <f>VLOOKUP(Cpi_[[#This Row],[Attribute]],#REF!,2,FALSE)</f>
        <v>#REF!</v>
      </c>
      <c r="F1303">
        <v>126.3</v>
      </c>
      <c r="G1303">
        <f>(Cpi_[[#This Row],[Value]]-F1302)/F1302</f>
        <v>0.14713896457765671</v>
      </c>
      <c r="H1303" t="e" cm="1" vm="1">
        <f t="array" aca="1" ref="H1303" ca="1">VLOOKUP(Cpi_[[#This Row],[Year]:[Month]],crudeoil[],3,FALSE)</f>
        <v>#VALUE!</v>
      </c>
    </row>
    <row r="1304" spans="1:8" hidden="1" x14ac:dyDescent="0.3">
      <c r="A1304" t="s">
        <v>30</v>
      </c>
      <c r="B1304">
        <v>2014</v>
      </c>
      <c r="C1304" t="s">
        <v>38</v>
      </c>
      <c r="D1304" t="s">
        <v>9</v>
      </c>
      <c r="E1304" t="e">
        <f>VLOOKUP(Cpi_[[#This Row],[Attribute]],#REF!,2,FALSE)</f>
        <v>#REF!</v>
      </c>
      <c r="F1304">
        <v>123.9</v>
      </c>
      <c r="G1304">
        <f>(Cpi_[[#This Row],[Value]]-F1303)/F1303</f>
        <v>-1.9002375296912045E-2</v>
      </c>
      <c r="H1304" t="e" cm="1" vm="1">
        <f t="array" aca="1" ref="H1304" ca="1">VLOOKUP(Cpi_[[#This Row],[Year]:[Month]],crudeoil[],3,FALSE)</f>
        <v>#VALUE!</v>
      </c>
    </row>
    <row r="1305" spans="1:8" hidden="1" x14ac:dyDescent="0.3">
      <c r="A1305" t="s">
        <v>30</v>
      </c>
      <c r="B1305">
        <v>2014</v>
      </c>
      <c r="C1305" t="s">
        <v>38</v>
      </c>
      <c r="D1305" t="s">
        <v>10</v>
      </c>
      <c r="E1305" t="e">
        <f>VLOOKUP(Cpi_[[#This Row],[Attribute]],#REF!,2,FALSE)</f>
        <v>#REF!</v>
      </c>
      <c r="F1305">
        <v>111.5</v>
      </c>
      <c r="G1305">
        <f>(Cpi_[[#This Row],[Value]]-F1304)/F1304</f>
        <v>-0.10008071025020182</v>
      </c>
      <c r="H1305" t="e" cm="1" vm="1">
        <f t="array" aca="1" ref="H1305" ca="1">VLOOKUP(Cpi_[[#This Row],[Year]:[Month]],crudeoil[],3,FALSE)</f>
        <v>#VALUE!</v>
      </c>
    </row>
    <row r="1306" spans="1:8" hidden="1" x14ac:dyDescent="0.3">
      <c r="A1306" t="s">
        <v>30</v>
      </c>
      <c r="B1306">
        <v>2014</v>
      </c>
      <c r="C1306" t="s">
        <v>38</v>
      </c>
      <c r="D1306" t="s">
        <v>11</v>
      </c>
      <c r="E1306" t="e">
        <f>VLOOKUP(Cpi_[[#This Row],[Attribute]],#REF!,2,FALSE)</f>
        <v>#REF!</v>
      </c>
      <c r="F1306">
        <v>103.5</v>
      </c>
      <c r="G1306">
        <f>(Cpi_[[#This Row],[Value]]-F1305)/F1305</f>
        <v>-7.1748878923766815E-2</v>
      </c>
      <c r="H1306" t="e" cm="1" vm="1">
        <f t="array" aca="1" ref="H1306" ca="1">VLOOKUP(Cpi_[[#This Row],[Year]:[Month]],crudeoil[],3,FALSE)</f>
        <v>#VALUE!</v>
      </c>
    </row>
    <row r="1307" spans="1:8" hidden="1" x14ac:dyDescent="0.3">
      <c r="A1307" t="s">
        <v>30</v>
      </c>
      <c r="B1307">
        <v>2014</v>
      </c>
      <c r="C1307" t="s">
        <v>38</v>
      </c>
      <c r="D1307" t="s">
        <v>12</v>
      </c>
      <c r="E1307" t="e">
        <f>VLOOKUP(Cpi_[[#This Row],[Attribute]],#REF!,2,FALSE)</f>
        <v>#REF!</v>
      </c>
      <c r="F1307">
        <v>111.6</v>
      </c>
      <c r="G1307">
        <f>(Cpi_[[#This Row],[Value]]-F1306)/F1306</f>
        <v>7.8260869565217342E-2</v>
      </c>
      <c r="H1307" t="e" cm="1" vm="1">
        <f t="array" aca="1" ref="H1307" ca="1">VLOOKUP(Cpi_[[#This Row],[Year]:[Month]],crudeoil[],3,FALSE)</f>
        <v>#VALUE!</v>
      </c>
    </row>
    <row r="1308" spans="1:8" hidden="1" x14ac:dyDescent="0.3">
      <c r="A1308" t="s">
        <v>30</v>
      </c>
      <c r="B1308">
        <v>2014</v>
      </c>
      <c r="C1308" t="s">
        <v>38</v>
      </c>
      <c r="D1308" t="s">
        <v>13</v>
      </c>
      <c r="E1308" t="e">
        <f>VLOOKUP(Cpi_[[#This Row],[Attribute]],#REF!,2,FALSE)</f>
        <v>#REF!</v>
      </c>
      <c r="F1308">
        <v>114.2</v>
      </c>
      <c r="G1308">
        <f>(Cpi_[[#This Row],[Value]]-F1307)/F1307</f>
        <v>2.3297491039426601E-2</v>
      </c>
      <c r="H1308" t="e" cm="1" vm="1">
        <f t="array" aca="1" ref="H1308" ca="1">VLOOKUP(Cpi_[[#This Row],[Year]:[Month]],crudeoil[],3,FALSE)</f>
        <v>#VALUE!</v>
      </c>
    </row>
    <row r="1309" spans="1:8" hidden="1" x14ac:dyDescent="0.3">
      <c r="A1309" t="s">
        <v>30</v>
      </c>
      <c r="B1309">
        <v>2014</v>
      </c>
      <c r="C1309" t="s">
        <v>38</v>
      </c>
      <c r="D1309" t="s">
        <v>14</v>
      </c>
      <c r="E1309" t="e">
        <f>VLOOKUP(Cpi_[[#This Row],[Attribute]],#REF!,2,FALSE)</f>
        <v>#REF!</v>
      </c>
      <c r="F1309">
        <v>119.2</v>
      </c>
      <c r="G1309">
        <f>(Cpi_[[#This Row],[Value]]-F1308)/F1308</f>
        <v>4.3782837127845885E-2</v>
      </c>
      <c r="H1309" t="e" cm="1" vm="1">
        <f t="array" aca="1" ref="H1309" ca="1">VLOOKUP(Cpi_[[#This Row],[Year]:[Month]],crudeoil[],3,FALSE)</f>
        <v>#VALUE!</v>
      </c>
    </row>
    <row r="1310" spans="1:8" hidden="1" x14ac:dyDescent="0.3">
      <c r="A1310" t="s">
        <v>30</v>
      </c>
      <c r="B1310">
        <v>2014</v>
      </c>
      <c r="C1310" t="s">
        <v>38</v>
      </c>
      <c r="D1310" t="s">
        <v>15</v>
      </c>
      <c r="E1310" t="e">
        <f>VLOOKUP(Cpi_[[#This Row],[Attribute]],#REF!,2,FALSE)</f>
        <v>#REF!</v>
      </c>
      <c r="F1310">
        <v>118.2</v>
      </c>
      <c r="G1310">
        <f>(Cpi_[[#This Row],[Value]]-F1309)/F1309</f>
        <v>-8.389261744966443E-3</v>
      </c>
      <c r="H1310" t="e" cm="1" vm="1">
        <f t="array" aca="1" ref="H1310" ca="1">VLOOKUP(Cpi_[[#This Row],[Year]:[Month]],crudeoil[],3,FALSE)</f>
        <v>#VALUE!</v>
      </c>
    </row>
    <row r="1311" spans="1:8" hidden="1" x14ac:dyDescent="0.3">
      <c r="A1311" t="s">
        <v>30</v>
      </c>
      <c r="B1311">
        <v>2014</v>
      </c>
      <c r="C1311" t="s">
        <v>38</v>
      </c>
      <c r="D1311" t="s">
        <v>16</v>
      </c>
      <c r="E1311" t="e">
        <f>VLOOKUP(Cpi_[[#This Row],[Attribute]],#REF!,2,FALSE)</f>
        <v>#REF!</v>
      </c>
      <c r="F1311">
        <v>116.3</v>
      </c>
      <c r="G1311">
        <f>(Cpi_[[#This Row],[Value]]-F1310)/F1310</f>
        <v>-1.6074450084602416E-2</v>
      </c>
      <c r="H1311" t="e" cm="1" vm="1">
        <f t="array" aca="1" ref="H1311" ca="1">VLOOKUP(Cpi_[[#This Row],[Year]:[Month]],crudeoil[],3,FALSE)</f>
        <v>#VALUE!</v>
      </c>
    </row>
    <row r="1312" spans="1:8" hidden="1" x14ac:dyDescent="0.3">
      <c r="A1312" t="s">
        <v>30</v>
      </c>
      <c r="B1312">
        <v>2014</v>
      </c>
      <c r="C1312" t="s">
        <v>38</v>
      </c>
      <c r="D1312" t="s">
        <v>17</v>
      </c>
      <c r="E1312" t="e">
        <f>VLOOKUP(Cpi_[[#This Row],[Attribute]],#REF!,2,FALSE)</f>
        <v>#REF!</v>
      </c>
      <c r="F1312">
        <v>118.7</v>
      </c>
      <c r="G1312">
        <f>(Cpi_[[#This Row],[Value]]-F1311)/F1311</f>
        <v>2.0636285468615699E-2</v>
      </c>
      <c r="H1312" t="e" cm="1" vm="1">
        <f t="array" aca="1" ref="H1312" ca="1">VLOOKUP(Cpi_[[#This Row],[Year]:[Month]],crudeoil[],3,FALSE)</f>
        <v>#VALUE!</v>
      </c>
    </row>
    <row r="1313" spans="1:8" hidden="1" x14ac:dyDescent="0.3">
      <c r="A1313" t="s">
        <v>30</v>
      </c>
      <c r="B1313">
        <v>2014</v>
      </c>
      <c r="C1313" t="s">
        <v>38</v>
      </c>
      <c r="D1313" t="s">
        <v>18</v>
      </c>
      <c r="E1313" t="e">
        <f>VLOOKUP(Cpi_[[#This Row],[Attribute]],#REF!,2,FALSE)</f>
        <v>#REF!</v>
      </c>
      <c r="F1313">
        <v>116.8</v>
      </c>
      <c r="G1313">
        <f>(Cpi_[[#This Row],[Value]]-F1312)/F1312</f>
        <v>-1.6006739679865253E-2</v>
      </c>
      <c r="H1313" t="e" cm="1" vm="1">
        <f t="array" aca="1" ref="H1313" ca="1">VLOOKUP(Cpi_[[#This Row],[Year]:[Month]],crudeoil[],3,FALSE)</f>
        <v>#VALUE!</v>
      </c>
    </row>
    <row r="1314" spans="1:8" hidden="1" x14ac:dyDescent="0.3">
      <c r="A1314" t="s">
        <v>30</v>
      </c>
      <c r="B1314">
        <v>2014</v>
      </c>
      <c r="C1314" t="s">
        <v>38</v>
      </c>
      <c r="D1314" t="s">
        <v>19</v>
      </c>
      <c r="E1314" t="e">
        <f>VLOOKUP(Cpi_[[#This Row],[Attribute]],#REF!,2,FALSE)</f>
        <v>#REF!</v>
      </c>
      <c r="F1314">
        <v>118.5</v>
      </c>
      <c r="G1314">
        <f>(Cpi_[[#This Row],[Value]]-F1313)/F1313</f>
        <v>1.455479452054797E-2</v>
      </c>
      <c r="H1314" t="e" cm="1" vm="1">
        <f t="array" aca="1" ref="H1314" ca="1">VLOOKUP(Cpi_[[#This Row],[Year]:[Month]],crudeoil[],3,FALSE)</f>
        <v>#VALUE!</v>
      </c>
    </row>
    <row r="1315" spans="1:8" hidden="1" x14ac:dyDescent="0.3">
      <c r="A1315" t="s">
        <v>30</v>
      </c>
      <c r="B1315">
        <v>2014</v>
      </c>
      <c r="C1315" t="s">
        <v>38</v>
      </c>
      <c r="D1315" t="s">
        <v>20</v>
      </c>
      <c r="E1315" t="e">
        <f>VLOOKUP(Cpi_[[#This Row],[Attribute]],#REF!,2,FALSE)</f>
        <v>#REF!</v>
      </c>
      <c r="F1315" t="s">
        <v>32</v>
      </c>
      <c r="G1315" t="e">
        <f>(Cpi_[[#This Row],[Value]]-F1314)/F1314</f>
        <v>#VALUE!</v>
      </c>
      <c r="H1315" t="e" cm="1" vm="1">
        <f t="array" aca="1" ref="H1315" ca="1">VLOOKUP(Cpi_[[#This Row],[Year]:[Month]],crudeoil[],3,FALSE)</f>
        <v>#VALUE!</v>
      </c>
    </row>
    <row r="1316" spans="1:8" hidden="1" x14ac:dyDescent="0.3">
      <c r="A1316" t="s">
        <v>30</v>
      </c>
      <c r="B1316">
        <v>2014</v>
      </c>
      <c r="C1316" t="s">
        <v>38</v>
      </c>
      <c r="D1316" t="s">
        <v>21</v>
      </c>
      <c r="E1316" t="e">
        <f>VLOOKUP(Cpi_[[#This Row],[Attribute]],#REF!,2,FALSE)</f>
        <v>#REF!</v>
      </c>
      <c r="F1316">
        <v>113.4</v>
      </c>
      <c r="G1316" t="e">
        <f>(Cpi_[[#This Row],[Value]]-F1315)/F1315</f>
        <v>#VALUE!</v>
      </c>
      <c r="H1316" t="e" cm="1" vm="1">
        <f t="array" aca="1" ref="H1316" ca="1">VLOOKUP(Cpi_[[#This Row],[Year]:[Month]],crudeoil[],3,FALSE)</f>
        <v>#VALUE!</v>
      </c>
    </row>
    <row r="1317" spans="1:8" hidden="1" x14ac:dyDescent="0.3">
      <c r="A1317" t="s">
        <v>30</v>
      </c>
      <c r="B1317">
        <v>2014</v>
      </c>
      <c r="C1317" t="s">
        <v>38</v>
      </c>
      <c r="D1317" t="s">
        <v>22</v>
      </c>
      <c r="E1317" t="e">
        <f>VLOOKUP(Cpi_[[#This Row],[Attribute]],#REF!,2,FALSE)</f>
        <v>#REF!</v>
      </c>
      <c r="F1317">
        <v>114.1</v>
      </c>
      <c r="G1317">
        <f>(Cpi_[[#This Row],[Value]]-F1316)/F1316</f>
        <v>6.1728395061727385E-3</v>
      </c>
      <c r="H1317" t="e" cm="1" vm="1">
        <f t="array" aca="1" ref="H1317" ca="1">VLOOKUP(Cpi_[[#This Row],[Year]:[Month]],crudeoil[],3,FALSE)</f>
        <v>#VALUE!</v>
      </c>
    </row>
    <row r="1318" spans="1:8" hidden="1" x14ac:dyDescent="0.3">
      <c r="A1318" t="s">
        <v>30</v>
      </c>
      <c r="B1318">
        <v>2014</v>
      </c>
      <c r="C1318" t="s">
        <v>38</v>
      </c>
      <c r="D1318" t="s">
        <v>23</v>
      </c>
      <c r="E1318" t="e">
        <f>VLOOKUP(Cpi_[[#This Row],[Attribute]],#REF!,2,FALSE)</f>
        <v>#REF!</v>
      </c>
      <c r="F1318">
        <v>112.1</v>
      </c>
      <c r="G1318">
        <f>(Cpi_[[#This Row],[Value]]-F1317)/F1317</f>
        <v>-1.7528483786152498E-2</v>
      </c>
      <c r="H1318" t="e" cm="1" vm="1">
        <f t="array" aca="1" ref="H1318" ca="1">VLOOKUP(Cpi_[[#This Row],[Year]:[Month]],crudeoil[],3,FALSE)</f>
        <v>#VALUE!</v>
      </c>
    </row>
    <row r="1319" spans="1:8" hidden="1" x14ac:dyDescent="0.3">
      <c r="A1319" t="s">
        <v>30</v>
      </c>
      <c r="B1319">
        <v>2014</v>
      </c>
      <c r="C1319" t="s">
        <v>38</v>
      </c>
      <c r="D1319" t="s">
        <v>24</v>
      </c>
      <c r="E1319" t="e">
        <f>VLOOKUP(Cpi_[[#This Row],[Attribute]],#REF!,2,FALSE)</f>
        <v>#REF!</v>
      </c>
      <c r="F1319">
        <v>111.4</v>
      </c>
      <c r="G1319">
        <f>(Cpi_[[#This Row],[Value]]-F1318)/F1318</f>
        <v>-6.2444246208741188E-3</v>
      </c>
      <c r="H1319" t="e" cm="1" vm="1">
        <f t="array" aca="1" ref="H1319" ca="1">VLOOKUP(Cpi_[[#This Row],[Year]:[Month]],crudeoil[],3,FALSE)</f>
        <v>#VALUE!</v>
      </c>
    </row>
    <row r="1320" spans="1:8" hidden="1" x14ac:dyDescent="0.3">
      <c r="A1320" t="s">
        <v>30</v>
      </c>
      <c r="B1320">
        <v>2014</v>
      </c>
      <c r="C1320" t="s">
        <v>38</v>
      </c>
      <c r="D1320" t="s">
        <v>25</v>
      </c>
      <c r="E1320" t="e">
        <f>VLOOKUP(Cpi_[[#This Row],[Attribute]],#REF!,2,FALSE)</f>
        <v>#REF!</v>
      </c>
      <c r="F1320">
        <v>110.9</v>
      </c>
      <c r="G1320">
        <f>(Cpi_[[#This Row],[Value]]-F1319)/F1319</f>
        <v>-4.4883303411131061E-3</v>
      </c>
      <c r="H1320" t="e" cm="1" vm="1">
        <f t="array" aca="1" ref="H1320" ca="1">VLOOKUP(Cpi_[[#This Row],[Year]:[Month]],crudeoil[],3,FALSE)</f>
        <v>#VALUE!</v>
      </c>
    </row>
    <row r="1321" spans="1:8" hidden="1" x14ac:dyDescent="0.3">
      <c r="A1321" t="s">
        <v>30</v>
      </c>
      <c r="B1321">
        <v>2014</v>
      </c>
      <c r="C1321" t="s">
        <v>38</v>
      </c>
      <c r="D1321" t="s">
        <v>26</v>
      </c>
      <c r="E1321" t="e">
        <f>VLOOKUP(Cpi_[[#This Row],[Attribute]],#REF!,2,FALSE)</f>
        <v>#REF!</v>
      </c>
      <c r="F1321">
        <v>113.1</v>
      </c>
      <c r="G1321">
        <f>(Cpi_[[#This Row],[Value]]-F1320)/F1320</f>
        <v>1.9837691614066625E-2</v>
      </c>
      <c r="H1321" t="e" cm="1" vm="1">
        <f t="array" aca="1" ref="H1321" ca="1">VLOOKUP(Cpi_[[#This Row],[Year]:[Month]],crudeoil[],3,FALSE)</f>
        <v>#VALUE!</v>
      </c>
    </row>
    <row r="1322" spans="1:8" hidden="1" x14ac:dyDescent="0.3">
      <c r="A1322" t="s">
        <v>30</v>
      </c>
      <c r="B1322">
        <v>2014</v>
      </c>
      <c r="C1322" t="s">
        <v>38</v>
      </c>
      <c r="D1322" t="s">
        <v>27</v>
      </c>
      <c r="E1322" t="e">
        <f>VLOOKUP(Cpi_[[#This Row],[Attribute]],#REF!,2,FALSE)</f>
        <v>#REF!</v>
      </c>
      <c r="F1322">
        <v>108.9</v>
      </c>
      <c r="G1322">
        <f>(Cpi_[[#This Row],[Value]]-F1321)/F1321</f>
        <v>-3.7135278514588761E-2</v>
      </c>
      <c r="H1322" t="e" cm="1" vm="1">
        <f t="array" aca="1" ref="H1322" ca="1">VLOOKUP(Cpi_[[#This Row],[Year]:[Month]],crudeoil[],3,FALSE)</f>
        <v>#VALUE!</v>
      </c>
    </row>
    <row r="1323" spans="1:8" hidden="1" x14ac:dyDescent="0.3">
      <c r="A1323" t="s">
        <v>30</v>
      </c>
      <c r="B1323">
        <v>2014</v>
      </c>
      <c r="C1323" t="s">
        <v>38</v>
      </c>
      <c r="D1323" t="s">
        <v>28</v>
      </c>
      <c r="E1323" t="e">
        <f>VLOOKUP(Cpi_[[#This Row],[Attribute]],#REF!,2,FALSE)</f>
        <v>#REF!</v>
      </c>
      <c r="F1323">
        <v>111.8</v>
      </c>
      <c r="G1323">
        <f>(Cpi_[[#This Row],[Value]]-F1322)/F1322</f>
        <v>2.6629935720844732E-2</v>
      </c>
      <c r="H1323" t="e" cm="1" vm="1">
        <f t="array" aca="1" ref="H1323" ca="1">VLOOKUP(Cpi_[[#This Row],[Year]:[Month]],crudeoil[],3,FALSE)</f>
        <v>#VALUE!</v>
      </c>
    </row>
    <row r="1324" spans="1:8" hidden="1" x14ac:dyDescent="0.3">
      <c r="A1324" t="s">
        <v>30</v>
      </c>
      <c r="B1324">
        <v>2014</v>
      </c>
      <c r="C1324" t="s">
        <v>38</v>
      </c>
      <c r="D1324" t="s">
        <v>29</v>
      </c>
      <c r="E1324" t="e" cm="1">
        <f t="array" aca="1" ref="E1324" ca="1">VLGeneral indexGeneral indexKUP(Cpi_[[#This Row],[Attribute]],#REF!,2,FALSE)</f>
        <v>#NAME?</v>
      </c>
      <c r="F1324">
        <v>116</v>
      </c>
      <c r="G1324">
        <f>(Cpi_[[#This Row],[Value]]-F1323)/F1323</f>
        <v>3.756708407871201E-2</v>
      </c>
      <c r="H1324" t="e" cm="1" vm="1">
        <f t="array" aca="1" ref="H1324" ca="1">VLOOKUP(Cpi_[[#This Row],[Year]:[Month]],crudeoil[],3,FALSE)</f>
        <v>#VALUE!</v>
      </c>
    </row>
    <row r="1325" spans="1:8" hidden="1" x14ac:dyDescent="0.3">
      <c r="A1325" t="s">
        <v>33</v>
      </c>
      <c r="B1325">
        <v>2014</v>
      </c>
      <c r="C1325" t="s">
        <v>38</v>
      </c>
      <c r="D1325" t="s">
        <v>3</v>
      </c>
      <c r="E1325" t="e">
        <f>VLOOKUP(Cpi_[[#This Row],[Attribute]],#REF!,2,FALSE)</f>
        <v>#REF!</v>
      </c>
      <c r="F1325">
        <v>122.7</v>
      </c>
      <c r="G1325">
        <f>(Cpi_[[#This Row],[Value]]-F1324)/F1324</f>
        <v>5.7758620689655198E-2</v>
      </c>
      <c r="H1325" t="e" cm="1" vm="1">
        <f t="array" aca="1" ref="H1325" ca="1">VLOOKUP(Cpi_[[#This Row],[Year]:[Month]],crudeoil[],3,FALSE)</f>
        <v>#VALUE!</v>
      </c>
    </row>
    <row r="1326" spans="1:8" hidden="1" x14ac:dyDescent="0.3">
      <c r="A1326" t="s">
        <v>33</v>
      </c>
      <c r="B1326">
        <v>2014</v>
      </c>
      <c r="C1326" t="s">
        <v>38</v>
      </c>
      <c r="D1326" t="s">
        <v>4</v>
      </c>
      <c r="E1326" t="e">
        <f>VLOOKUP(Cpi_[[#This Row],[Attribute]],#REF!,2,FALSE)</f>
        <v>#REF!</v>
      </c>
      <c r="F1326">
        <v>124.1</v>
      </c>
      <c r="G1326">
        <f>(Cpi_[[#This Row],[Value]]-F1325)/F1325</f>
        <v>1.1409942950285178E-2</v>
      </c>
      <c r="H1326" t="e" cm="1" vm="1">
        <f t="array" aca="1" ref="H1326" ca="1">VLOOKUP(Cpi_[[#This Row],[Year]:[Month]],crudeoil[],3,FALSE)</f>
        <v>#VALUE!</v>
      </c>
    </row>
    <row r="1327" spans="1:8" hidden="1" x14ac:dyDescent="0.3">
      <c r="A1327" t="s">
        <v>33</v>
      </c>
      <c r="B1327">
        <v>2014</v>
      </c>
      <c r="C1327" t="s">
        <v>38</v>
      </c>
      <c r="D1327" t="s">
        <v>5</v>
      </c>
      <c r="E1327" t="e">
        <f>VLOOKUP(Cpi_[[#This Row],[Attribute]],#REF!,2,FALSE)</f>
        <v>#REF!</v>
      </c>
      <c r="F1327">
        <v>114.2</v>
      </c>
      <c r="G1327">
        <f>(Cpi_[[#This Row],[Value]]-F1326)/F1326</f>
        <v>-7.9774375503626038E-2</v>
      </c>
      <c r="H1327" t="e" cm="1" vm="1">
        <f t="array" aca="1" ref="H1327" ca="1">VLOOKUP(Cpi_[[#This Row],[Year]:[Month]],crudeoil[],3,FALSE)</f>
        <v>#VALUE!</v>
      </c>
    </row>
    <row r="1328" spans="1:8" hidden="1" x14ac:dyDescent="0.3">
      <c r="A1328" t="s">
        <v>33</v>
      </c>
      <c r="B1328">
        <v>2014</v>
      </c>
      <c r="C1328" t="s">
        <v>38</v>
      </c>
      <c r="D1328" t="s">
        <v>6</v>
      </c>
      <c r="E1328" t="e">
        <f>VLOOKUP(Cpi_[[#This Row],[Attribute]],#REF!,2,FALSE)</f>
        <v>#REF!</v>
      </c>
      <c r="F1328">
        <v>119.1</v>
      </c>
      <c r="G1328">
        <f>(Cpi_[[#This Row],[Value]]-F1327)/F1327</f>
        <v>4.2907180385288894E-2</v>
      </c>
      <c r="H1328" t="e" cm="1" vm="1">
        <f t="array" aca="1" ref="H1328" ca="1">VLOOKUP(Cpi_[[#This Row],[Year]:[Month]],crudeoil[],3,FALSE)</f>
        <v>#VALUE!</v>
      </c>
    </row>
    <row r="1329" spans="1:8" hidden="1" x14ac:dyDescent="0.3">
      <c r="A1329" t="s">
        <v>33</v>
      </c>
      <c r="B1329">
        <v>2014</v>
      </c>
      <c r="C1329" t="s">
        <v>38</v>
      </c>
      <c r="D1329" t="s">
        <v>7</v>
      </c>
      <c r="E1329" t="e">
        <f>VLOOKUP(Cpi_[[#This Row],[Attribute]],#REF!,2,FALSE)</f>
        <v>#REF!</v>
      </c>
      <c r="F1329">
        <v>103.5</v>
      </c>
      <c r="G1329">
        <f>(Cpi_[[#This Row],[Value]]-F1328)/F1328</f>
        <v>-0.13098236775818636</v>
      </c>
      <c r="H1329" t="e" cm="1" vm="1">
        <f t="array" aca="1" ref="H1329" ca="1">VLOOKUP(Cpi_[[#This Row],[Year]:[Month]],crudeoil[],3,FALSE)</f>
        <v>#VALUE!</v>
      </c>
    </row>
    <row r="1330" spans="1:8" hidden="1" x14ac:dyDescent="0.3">
      <c r="A1330" t="s">
        <v>33</v>
      </c>
      <c r="B1330">
        <v>2014</v>
      </c>
      <c r="C1330" t="s">
        <v>38</v>
      </c>
      <c r="D1330" t="s">
        <v>8</v>
      </c>
      <c r="E1330" t="e">
        <f>VLOOKUP(Cpi_[[#This Row],[Attribute]],#REF!,2,FALSE)</f>
        <v>#REF!</v>
      </c>
      <c r="F1330">
        <v>129.19999999999999</v>
      </c>
      <c r="G1330">
        <f>(Cpi_[[#This Row],[Value]]-F1329)/F1329</f>
        <v>0.24830917874396125</v>
      </c>
      <c r="H1330" t="e" cm="1" vm="1">
        <f t="array" aca="1" ref="H1330" ca="1">VLOOKUP(Cpi_[[#This Row],[Year]:[Month]],crudeoil[],3,FALSE)</f>
        <v>#VALUE!</v>
      </c>
    </row>
    <row r="1331" spans="1:8" hidden="1" x14ac:dyDescent="0.3">
      <c r="A1331" t="s">
        <v>33</v>
      </c>
      <c r="B1331">
        <v>2014</v>
      </c>
      <c r="C1331" t="s">
        <v>38</v>
      </c>
      <c r="D1331" t="s">
        <v>9</v>
      </c>
      <c r="E1331" t="e">
        <f>VLOOKUP(Cpi_[[#This Row],[Attribute]],#REF!,2,FALSE)</f>
        <v>#REF!</v>
      </c>
      <c r="F1331">
        <v>127</v>
      </c>
      <c r="G1331">
        <f>(Cpi_[[#This Row],[Value]]-F1330)/F1330</f>
        <v>-1.7027863777089695E-2</v>
      </c>
      <c r="H1331" t="e" cm="1" vm="1">
        <f t="array" aca="1" ref="H1331" ca="1">VLOOKUP(Cpi_[[#This Row],[Year]:[Month]],crudeoil[],3,FALSE)</f>
        <v>#VALUE!</v>
      </c>
    </row>
    <row r="1332" spans="1:8" hidden="1" x14ac:dyDescent="0.3">
      <c r="A1332" t="s">
        <v>33</v>
      </c>
      <c r="B1332">
        <v>2014</v>
      </c>
      <c r="C1332" t="s">
        <v>38</v>
      </c>
      <c r="D1332" t="s">
        <v>10</v>
      </c>
      <c r="E1332" t="e">
        <f>VLOOKUP(Cpi_[[#This Row],[Attribute]],#REF!,2,FALSE)</f>
        <v>#REF!</v>
      </c>
      <c r="F1332">
        <v>112.6</v>
      </c>
      <c r="G1332">
        <f>(Cpi_[[#This Row],[Value]]-F1331)/F1331</f>
        <v>-0.11338582677165358</v>
      </c>
      <c r="H1332" t="e" cm="1" vm="1">
        <f t="array" aca="1" ref="H1332" ca="1">VLOOKUP(Cpi_[[#This Row],[Year]:[Month]],crudeoil[],3,FALSE)</f>
        <v>#VALUE!</v>
      </c>
    </row>
    <row r="1333" spans="1:8" hidden="1" x14ac:dyDescent="0.3">
      <c r="A1333" t="s">
        <v>33</v>
      </c>
      <c r="B1333">
        <v>2014</v>
      </c>
      <c r="C1333" t="s">
        <v>38</v>
      </c>
      <c r="D1333" t="s">
        <v>11</v>
      </c>
      <c r="E1333" t="e">
        <f>VLOOKUP(Cpi_[[#This Row],[Attribute]],#REF!,2,FALSE)</f>
        <v>#REF!</v>
      </c>
      <c r="F1333">
        <v>101.3</v>
      </c>
      <c r="G1333">
        <f>(Cpi_[[#This Row],[Value]]-F1332)/F1332</f>
        <v>-0.10035523978685611</v>
      </c>
      <c r="H1333" t="e" cm="1" vm="1">
        <f t="array" aca="1" ref="H1333" ca="1">VLOOKUP(Cpi_[[#This Row],[Year]:[Month]],crudeoil[],3,FALSE)</f>
        <v>#VALUE!</v>
      </c>
    </row>
    <row r="1334" spans="1:8" hidden="1" x14ac:dyDescent="0.3">
      <c r="A1334" t="s">
        <v>33</v>
      </c>
      <c r="B1334">
        <v>2014</v>
      </c>
      <c r="C1334" t="s">
        <v>38</v>
      </c>
      <c r="D1334" t="s">
        <v>12</v>
      </c>
      <c r="E1334" t="e">
        <f>VLOOKUP(Cpi_[[#This Row],[Attribute]],#REF!,2,FALSE)</f>
        <v>#REF!</v>
      </c>
      <c r="F1334">
        <v>117</v>
      </c>
      <c r="G1334">
        <f>(Cpi_[[#This Row],[Value]]-F1333)/F1333</f>
        <v>0.15498519249753212</v>
      </c>
      <c r="H1334" t="e" cm="1" vm="1">
        <f t="array" aca="1" ref="H1334" ca="1">VLOOKUP(Cpi_[[#This Row],[Year]:[Month]],crudeoil[],3,FALSE)</f>
        <v>#VALUE!</v>
      </c>
    </row>
    <row r="1335" spans="1:8" hidden="1" x14ac:dyDescent="0.3">
      <c r="A1335" t="s">
        <v>33</v>
      </c>
      <c r="B1335">
        <v>2014</v>
      </c>
      <c r="C1335" t="s">
        <v>38</v>
      </c>
      <c r="D1335" t="s">
        <v>13</v>
      </c>
      <c r="E1335" t="e">
        <f>VLOOKUP(Cpi_[[#This Row],[Attribute]],#REF!,2,FALSE)</f>
        <v>#REF!</v>
      </c>
      <c r="F1335">
        <v>112.9</v>
      </c>
      <c r="G1335">
        <f>(Cpi_[[#This Row],[Value]]-F1334)/F1334</f>
        <v>-3.5042735042734995E-2</v>
      </c>
      <c r="H1335" t="e" cm="1" vm="1">
        <f t="array" aca="1" ref="H1335" ca="1">VLOOKUP(Cpi_[[#This Row],[Year]:[Month]],crudeoil[],3,FALSE)</f>
        <v>#VALUE!</v>
      </c>
    </row>
    <row r="1336" spans="1:8" hidden="1" x14ac:dyDescent="0.3">
      <c r="A1336" t="s">
        <v>33</v>
      </c>
      <c r="B1336">
        <v>2014</v>
      </c>
      <c r="C1336" t="s">
        <v>38</v>
      </c>
      <c r="D1336" t="s">
        <v>14</v>
      </c>
      <c r="E1336" t="e">
        <f>VLOOKUP(Cpi_[[#This Row],[Attribute]],#REF!,2,FALSE)</f>
        <v>#REF!</v>
      </c>
      <c r="F1336">
        <v>121.7</v>
      </c>
      <c r="G1336">
        <f>(Cpi_[[#This Row],[Value]]-F1335)/F1335</f>
        <v>7.7945084145261259E-2</v>
      </c>
      <c r="H1336" t="e" cm="1" vm="1">
        <f t="array" aca="1" ref="H1336" ca="1">VLOOKUP(Cpi_[[#This Row],[Year]:[Month]],crudeoil[],3,FALSE)</f>
        <v>#VALUE!</v>
      </c>
    </row>
    <row r="1337" spans="1:8" hidden="1" x14ac:dyDescent="0.3">
      <c r="A1337" t="s">
        <v>33</v>
      </c>
      <c r="B1337">
        <v>2014</v>
      </c>
      <c r="C1337" t="s">
        <v>38</v>
      </c>
      <c r="D1337" t="s">
        <v>15</v>
      </c>
      <c r="E1337" t="e">
        <f>VLOOKUP(Cpi_[[#This Row],[Attribute]],#REF!,2,FALSE)</f>
        <v>#REF!</v>
      </c>
      <c r="F1337">
        <v>120</v>
      </c>
      <c r="G1337">
        <f>(Cpi_[[#This Row],[Value]]-F1336)/F1336</f>
        <v>-1.396877567789649E-2</v>
      </c>
      <c r="H1337" t="e" cm="1" vm="1">
        <f t="array" aca="1" ref="H1337" ca="1">VLOOKUP(Cpi_[[#This Row],[Year]:[Month]],crudeoil[],3,FALSE)</f>
        <v>#VALUE!</v>
      </c>
    </row>
    <row r="1338" spans="1:8" hidden="1" x14ac:dyDescent="0.3">
      <c r="A1338" t="s">
        <v>33</v>
      </c>
      <c r="B1338">
        <v>2014</v>
      </c>
      <c r="C1338" t="s">
        <v>38</v>
      </c>
      <c r="D1338" t="s">
        <v>16</v>
      </c>
      <c r="E1338" t="e">
        <f>VLOOKUP(Cpi_[[#This Row],[Attribute]],#REF!,2,FALSE)</f>
        <v>#REF!</v>
      </c>
      <c r="F1338">
        <v>118.3</v>
      </c>
      <c r="G1338">
        <f>(Cpi_[[#This Row],[Value]]-F1337)/F1337</f>
        <v>-1.416666666666669E-2</v>
      </c>
      <c r="H1338" t="e" cm="1" vm="1">
        <f t="array" aca="1" ref="H1338" ca="1">VLOOKUP(Cpi_[[#This Row],[Year]:[Month]],crudeoil[],3,FALSE)</f>
        <v>#VALUE!</v>
      </c>
    </row>
    <row r="1339" spans="1:8" hidden="1" x14ac:dyDescent="0.3">
      <c r="A1339" t="s">
        <v>33</v>
      </c>
      <c r="B1339">
        <v>2014</v>
      </c>
      <c r="C1339" t="s">
        <v>38</v>
      </c>
      <c r="D1339" t="s">
        <v>17</v>
      </c>
      <c r="E1339" t="e">
        <f>VLOOKUP(Cpi_[[#This Row],[Attribute]],#REF!,2,FALSE)</f>
        <v>#REF!</v>
      </c>
      <c r="F1339">
        <v>116.8</v>
      </c>
      <c r="G1339">
        <f>(Cpi_[[#This Row],[Value]]-F1338)/F1338</f>
        <v>-1.2679628064243449E-2</v>
      </c>
      <c r="H1339" t="e" cm="1" vm="1">
        <f t="array" aca="1" ref="H1339" ca="1">VLOOKUP(Cpi_[[#This Row],[Year]:[Month]],crudeoil[],3,FALSE)</f>
        <v>#VALUE!</v>
      </c>
    </row>
    <row r="1340" spans="1:8" hidden="1" x14ac:dyDescent="0.3">
      <c r="A1340" t="s">
        <v>33</v>
      </c>
      <c r="B1340">
        <v>2014</v>
      </c>
      <c r="C1340" t="s">
        <v>38</v>
      </c>
      <c r="D1340" t="s">
        <v>18</v>
      </c>
      <c r="E1340" t="e">
        <f>VLOOKUP(Cpi_[[#This Row],[Attribute]],#REF!,2,FALSE)</f>
        <v>#REF!</v>
      </c>
      <c r="F1340">
        <v>112.9</v>
      </c>
      <c r="G1340">
        <f>(Cpi_[[#This Row],[Value]]-F1339)/F1339</f>
        <v>-3.3390410958904035E-2</v>
      </c>
      <c r="H1340" t="e" cm="1" vm="1">
        <f t="array" aca="1" ref="H1340" ca="1">VLOOKUP(Cpi_[[#This Row],[Year]:[Month]],crudeoil[],3,FALSE)</f>
        <v>#VALUE!</v>
      </c>
    </row>
    <row r="1341" spans="1:8" hidden="1" x14ac:dyDescent="0.3">
      <c r="A1341" t="s">
        <v>33</v>
      </c>
      <c r="B1341">
        <v>2014</v>
      </c>
      <c r="C1341" t="s">
        <v>38</v>
      </c>
      <c r="D1341" t="s">
        <v>19</v>
      </c>
      <c r="E1341" t="e">
        <f>VLOOKUP(Cpi_[[#This Row],[Attribute]],#REF!,2,FALSE)</f>
        <v>#REF!</v>
      </c>
      <c r="F1341">
        <v>116.2</v>
      </c>
      <c r="G1341">
        <f>(Cpi_[[#This Row],[Value]]-F1340)/F1340</f>
        <v>2.9229406554472957E-2</v>
      </c>
      <c r="H1341" t="e" cm="1" vm="1">
        <f t="array" aca="1" ref="H1341" ca="1">VLOOKUP(Cpi_[[#This Row],[Year]:[Month]],crudeoil[],3,FALSE)</f>
        <v>#VALUE!</v>
      </c>
    </row>
    <row r="1342" spans="1:8" hidden="1" x14ac:dyDescent="0.3">
      <c r="A1342" t="s">
        <v>33</v>
      </c>
      <c r="B1342">
        <v>2014</v>
      </c>
      <c r="C1342" t="s">
        <v>38</v>
      </c>
      <c r="D1342" t="s">
        <v>20</v>
      </c>
      <c r="E1342" t="e">
        <f>VLOOKUP(Cpi_[[#This Row],[Attribute]],#REF!,2,FALSE)</f>
        <v>#REF!</v>
      </c>
      <c r="F1342">
        <v>114.3</v>
      </c>
      <c r="G1342">
        <f>(Cpi_[[#This Row],[Value]]-F1341)/F1341</f>
        <v>-1.6351118760757365E-2</v>
      </c>
      <c r="H1342" t="e" cm="1" vm="1">
        <f t="array" aca="1" ref="H1342" ca="1">VLOOKUP(Cpi_[[#This Row],[Year]:[Month]],crudeoil[],3,FALSE)</f>
        <v>#VALUE!</v>
      </c>
    </row>
    <row r="1343" spans="1:8" hidden="1" x14ac:dyDescent="0.3">
      <c r="A1343" t="s">
        <v>33</v>
      </c>
      <c r="B1343">
        <v>2014</v>
      </c>
      <c r="C1343" t="s">
        <v>38</v>
      </c>
      <c r="D1343" t="s">
        <v>21</v>
      </c>
      <c r="E1343" t="e">
        <f>VLOOKUP(Cpi_[[#This Row],[Attribute]],#REF!,2,FALSE)</f>
        <v>#REF!</v>
      </c>
      <c r="F1343">
        <v>111.1</v>
      </c>
      <c r="G1343">
        <f>(Cpi_[[#This Row],[Value]]-F1342)/F1342</f>
        <v>-2.7996500437445344E-2</v>
      </c>
      <c r="H1343" t="e" cm="1" vm="1">
        <f t="array" aca="1" ref="H1343" ca="1">VLOOKUP(Cpi_[[#This Row],[Year]:[Month]],crudeoil[],3,FALSE)</f>
        <v>#VALUE!</v>
      </c>
    </row>
    <row r="1344" spans="1:8" hidden="1" x14ac:dyDescent="0.3">
      <c r="A1344" t="s">
        <v>33</v>
      </c>
      <c r="B1344">
        <v>2014</v>
      </c>
      <c r="C1344" t="s">
        <v>38</v>
      </c>
      <c r="D1344" t="s">
        <v>22</v>
      </c>
      <c r="E1344" t="e">
        <f>VLOOKUP(Cpi_[[#This Row],[Attribute]],#REF!,2,FALSE)</f>
        <v>#REF!</v>
      </c>
      <c r="F1344">
        <v>114.1</v>
      </c>
      <c r="G1344">
        <f>(Cpi_[[#This Row],[Value]]-F1343)/F1343</f>
        <v>2.7002700270027005E-2</v>
      </c>
      <c r="H1344" t="e" cm="1" vm="1">
        <f t="array" aca="1" ref="H1344" ca="1">VLOOKUP(Cpi_[[#This Row],[Year]:[Month]],crudeoil[],3,FALSE)</f>
        <v>#VALUE!</v>
      </c>
    </row>
    <row r="1345" spans="1:8" hidden="1" x14ac:dyDescent="0.3">
      <c r="A1345" t="s">
        <v>33</v>
      </c>
      <c r="B1345">
        <v>2014</v>
      </c>
      <c r="C1345" t="s">
        <v>38</v>
      </c>
      <c r="D1345" t="s">
        <v>23</v>
      </c>
      <c r="E1345" t="e">
        <f>VLOOKUP(Cpi_[[#This Row],[Attribute]],#REF!,2,FALSE)</f>
        <v>#REF!</v>
      </c>
      <c r="F1345">
        <v>111.2</v>
      </c>
      <c r="G1345">
        <f>(Cpi_[[#This Row],[Value]]-F1344)/F1344</f>
        <v>-2.5416301489921047E-2</v>
      </c>
      <c r="H1345" t="e" cm="1" vm="1">
        <f t="array" aca="1" ref="H1345" ca="1">VLOOKUP(Cpi_[[#This Row],[Year]:[Month]],crudeoil[],3,FALSE)</f>
        <v>#VALUE!</v>
      </c>
    </row>
    <row r="1346" spans="1:8" hidden="1" x14ac:dyDescent="0.3">
      <c r="A1346" t="s">
        <v>33</v>
      </c>
      <c r="B1346">
        <v>2014</v>
      </c>
      <c r="C1346" t="s">
        <v>38</v>
      </c>
      <c r="D1346" t="s">
        <v>24</v>
      </c>
      <c r="E1346" t="e">
        <f>VLOOKUP(Cpi_[[#This Row],[Attribute]],#REF!,2,FALSE)</f>
        <v>#REF!</v>
      </c>
      <c r="F1346">
        <v>111.3</v>
      </c>
      <c r="G1346">
        <f>(Cpi_[[#This Row],[Value]]-F1345)/F1345</f>
        <v>8.9928057553951722E-4</v>
      </c>
      <c r="H1346" t="e" cm="1" vm="1">
        <f t="array" aca="1" ref="H1346" ca="1">VLOOKUP(Cpi_[[#This Row],[Year]:[Month]],crudeoil[],3,FALSE)</f>
        <v>#VALUE!</v>
      </c>
    </row>
    <row r="1347" spans="1:8" hidden="1" x14ac:dyDescent="0.3">
      <c r="A1347" t="s">
        <v>33</v>
      </c>
      <c r="B1347">
        <v>2014</v>
      </c>
      <c r="C1347" t="s">
        <v>38</v>
      </c>
      <c r="D1347" t="s">
        <v>25</v>
      </c>
      <c r="E1347" t="e">
        <f>VLOOKUP(Cpi_[[#This Row],[Attribute]],#REF!,2,FALSE)</f>
        <v>#REF!</v>
      </c>
      <c r="F1347">
        <v>111.5</v>
      </c>
      <c r="G1347">
        <f>(Cpi_[[#This Row],[Value]]-F1346)/F1346</f>
        <v>1.7969451931716339E-3</v>
      </c>
      <c r="H1347" t="e" cm="1" vm="1">
        <f t="array" aca="1" ref="H1347" ca="1">VLOOKUP(Cpi_[[#This Row],[Year]:[Month]],crudeoil[],3,FALSE)</f>
        <v>#VALUE!</v>
      </c>
    </row>
    <row r="1348" spans="1:8" hidden="1" x14ac:dyDescent="0.3">
      <c r="A1348" t="s">
        <v>33</v>
      </c>
      <c r="B1348">
        <v>2014</v>
      </c>
      <c r="C1348" t="s">
        <v>38</v>
      </c>
      <c r="D1348" t="s">
        <v>26</v>
      </c>
      <c r="E1348" t="e">
        <f>VLOOKUP(Cpi_[[#This Row],[Attribute]],#REF!,2,FALSE)</f>
        <v>#REF!</v>
      </c>
      <c r="F1348">
        <v>112.9</v>
      </c>
      <c r="G1348">
        <f>(Cpi_[[#This Row],[Value]]-F1347)/F1347</f>
        <v>1.2556053811659244E-2</v>
      </c>
      <c r="H1348" t="e" cm="1" vm="1">
        <f t="array" aca="1" ref="H1348" ca="1">VLOOKUP(Cpi_[[#This Row],[Year]:[Month]],crudeoil[],3,FALSE)</f>
        <v>#VALUE!</v>
      </c>
    </row>
    <row r="1349" spans="1:8" hidden="1" x14ac:dyDescent="0.3">
      <c r="A1349" t="s">
        <v>33</v>
      </c>
      <c r="B1349">
        <v>2014</v>
      </c>
      <c r="C1349" t="s">
        <v>38</v>
      </c>
      <c r="D1349" t="s">
        <v>27</v>
      </c>
      <c r="E1349" t="e">
        <f>VLOOKUP(Cpi_[[#This Row],[Attribute]],#REF!,2,FALSE)</f>
        <v>#REF!</v>
      </c>
      <c r="F1349">
        <v>109.3</v>
      </c>
      <c r="G1349">
        <f>(Cpi_[[#This Row],[Value]]-F1348)/F1348</f>
        <v>-3.1886625332152418E-2</v>
      </c>
      <c r="H1349" t="e" cm="1" vm="1">
        <f t="array" aca="1" ref="H1349" ca="1">VLOOKUP(Cpi_[[#This Row],[Year]:[Month]],crudeoil[],3,FALSE)</f>
        <v>#VALUE!</v>
      </c>
    </row>
    <row r="1350" spans="1:8" hidden="1" x14ac:dyDescent="0.3">
      <c r="A1350" t="s">
        <v>33</v>
      </c>
      <c r="B1350">
        <v>2014</v>
      </c>
      <c r="C1350" t="s">
        <v>38</v>
      </c>
      <c r="D1350" t="s">
        <v>28</v>
      </c>
      <c r="E1350" t="e">
        <f>VLOOKUP(Cpi_[[#This Row],[Attribute]],#REF!,2,FALSE)</f>
        <v>#REF!</v>
      </c>
      <c r="F1350">
        <v>111.7</v>
      </c>
      <c r="G1350">
        <f>(Cpi_[[#This Row],[Value]]-F1349)/F1349</f>
        <v>2.1957913998170226E-2</v>
      </c>
      <c r="H1350" t="e" cm="1" vm="1">
        <f t="array" aca="1" ref="H1350" ca="1">VLOOKUP(Cpi_[[#This Row],[Year]:[Month]],crudeoil[],3,FALSE)</f>
        <v>#VALUE!</v>
      </c>
    </row>
    <row r="1351" spans="1:8" hidden="1" x14ac:dyDescent="0.3">
      <c r="A1351" t="s">
        <v>33</v>
      </c>
      <c r="B1351">
        <v>2014</v>
      </c>
      <c r="C1351" t="s">
        <v>38</v>
      </c>
      <c r="D1351" t="s">
        <v>29</v>
      </c>
      <c r="E1351" t="e" cm="1">
        <f t="array" aca="1" ref="E1351" ca="1">VLGeneral indexGeneral indexKUP(Cpi_[[#This Row],[Attribute]],#REF!,2,FALSE)</f>
        <v>#NAME?</v>
      </c>
      <c r="F1351">
        <v>115.6</v>
      </c>
      <c r="G1351">
        <f>(Cpi_[[#This Row],[Value]]-F1350)/F1350</f>
        <v>3.4914950760966797E-2</v>
      </c>
      <c r="H1351" t="e" cm="1" vm="1">
        <f t="array" aca="1" ref="H1351" ca="1">VLOOKUP(Cpi_[[#This Row],[Year]:[Month]],crudeoil[],3,FALSE)</f>
        <v>#VALUE!</v>
      </c>
    </row>
    <row r="1352" spans="1:8" hidden="1" x14ac:dyDescent="0.3">
      <c r="A1352" t="s">
        <v>34</v>
      </c>
      <c r="B1352">
        <v>2014</v>
      </c>
      <c r="C1352" t="s">
        <v>38</v>
      </c>
      <c r="D1352" t="s">
        <v>3</v>
      </c>
      <c r="E1352" t="e">
        <f>VLOOKUP(Cpi_[[#This Row],[Attribute]],#REF!,2,FALSE)</f>
        <v>#REF!</v>
      </c>
      <c r="F1352">
        <v>121.1</v>
      </c>
      <c r="G1352">
        <f>(Cpi_[[#This Row],[Value]]-F1351)/F1351</f>
        <v>4.7577854671280277E-2</v>
      </c>
      <c r="H1352" t="e" cm="1" vm="1">
        <f t="array" aca="1" ref="H1352" ca="1">VLOOKUP(Cpi_[[#This Row],[Year]:[Month]],crudeoil[],3,FALSE)</f>
        <v>#VALUE!</v>
      </c>
    </row>
    <row r="1353" spans="1:8" hidden="1" x14ac:dyDescent="0.3">
      <c r="A1353" t="s">
        <v>34</v>
      </c>
      <c r="B1353">
        <v>2014</v>
      </c>
      <c r="C1353" t="s">
        <v>38</v>
      </c>
      <c r="D1353" t="s">
        <v>4</v>
      </c>
      <c r="E1353" t="e">
        <f>VLOOKUP(Cpi_[[#This Row],[Attribute]],#REF!,2,FALSE)</f>
        <v>#REF!</v>
      </c>
      <c r="F1353">
        <v>121.6</v>
      </c>
      <c r="G1353">
        <f>(Cpi_[[#This Row],[Value]]-F1352)/F1352</f>
        <v>4.1288191577208916E-3</v>
      </c>
      <c r="H1353" t="e" cm="1" vm="1">
        <f t="array" aca="1" ref="H1353" ca="1">VLOOKUP(Cpi_[[#This Row],[Year]:[Month]],crudeoil[],3,FALSE)</f>
        <v>#VALUE!</v>
      </c>
    </row>
    <row r="1354" spans="1:8" hidden="1" x14ac:dyDescent="0.3">
      <c r="A1354" t="s">
        <v>34</v>
      </c>
      <c r="B1354">
        <v>2014</v>
      </c>
      <c r="C1354" t="s">
        <v>38</v>
      </c>
      <c r="D1354" t="s">
        <v>5</v>
      </c>
      <c r="E1354" t="e">
        <f>VLOOKUP(Cpi_[[#This Row],[Attribute]],#REF!,2,FALSE)</f>
        <v>#REF!</v>
      </c>
      <c r="F1354">
        <v>115.9</v>
      </c>
      <c r="G1354">
        <f>(Cpi_[[#This Row],[Value]]-F1353)/F1353</f>
        <v>-4.687499999999991E-2</v>
      </c>
      <c r="H1354" t="e" cm="1" vm="1">
        <f t="array" aca="1" ref="H1354" ca="1">VLOOKUP(Cpi_[[#This Row],[Year]:[Month]],crudeoil[],3,FALSE)</f>
        <v>#VALUE!</v>
      </c>
    </row>
    <row r="1355" spans="1:8" hidden="1" x14ac:dyDescent="0.3">
      <c r="A1355" t="s">
        <v>34</v>
      </c>
      <c r="B1355">
        <v>2014</v>
      </c>
      <c r="C1355" t="s">
        <v>38</v>
      </c>
      <c r="D1355" t="s">
        <v>6</v>
      </c>
      <c r="E1355" t="e">
        <f>VLOOKUP(Cpi_[[#This Row],[Attribute]],#REF!,2,FALSE)</f>
        <v>#REF!</v>
      </c>
      <c r="F1355">
        <v>118.4</v>
      </c>
      <c r="G1355">
        <f>(Cpi_[[#This Row],[Value]]-F1354)/F1354</f>
        <v>2.1570319240724761E-2</v>
      </c>
      <c r="H1355" t="e" cm="1" vm="1">
        <f t="array" aca="1" ref="H1355" ca="1">VLOOKUP(Cpi_[[#This Row],[Year]:[Month]],crudeoil[],3,FALSE)</f>
        <v>#VALUE!</v>
      </c>
    </row>
    <row r="1356" spans="1:8" hidden="1" x14ac:dyDescent="0.3">
      <c r="A1356" t="s">
        <v>34</v>
      </c>
      <c r="B1356">
        <v>2014</v>
      </c>
      <c r="C1356" t="s">
        <v>38</v>
      </c>
      <c r="D1356" t="s">
        <v>7</v>
      </c>
      <c r="E1356" t="e">
        <f>VLOOKUP(Cpi_[[#This Row],[Attribute]],#REF!,2,FALSE)</f>
        <v>#REF!</v>
      </c>
      <c r="F1356">
        <v>107.7</v>
      </c>
      <c r="G1356">
        <f>(Cpi_[[#This Row],[Value]]-F1355)/F1355</f>
        <v>-9.0371621621621642E-2</v>
      </c>
      <c r="H1356" t="e" cm="1" vm="1">
        <f t="array" aca="1" ref="H1356" ca="1">VLOOKUP(Cpi_[[#This Row],[Year]:[Month]],crudeoil[],3,FALSE)</f>
        <v>#VALUE!</v>
      </c>
    </row>
    <row r="1357" spans="1:8" hidden="1" x14ac:dyDescent="0.3">
      <c r="A1357" t="s">
        <v>34</v>
      </c>
      <c r="B1357">
        <v>2014</v>
      </c>
      <c r="C1357" t="s">
        <v>38</v>
      </c>
      <c r="D1357" t="s">
        <v>8</v>
      </c>
      <c r="E1357" t="e">
        <f>VLOOKUP(Cpi_[[#This Row],[Attribute]],#REF!,2,FALSE)</f>
        <v>#REF!</v>
      </c>
      <c r="F1357">
        <v>127.7</v>
      </c>
      <c r="G1357">
        <f>(Cpi_[[#This Row],[Value]]-F1356)/F1356</f>
        <v>0.18570102135561745</v>
      </c>
      <c r="H1357" t="e" cm="1" vm="1">
        <f t="array" aca="1" ref="H1357" ca="1">VLOOKUP(Cpi_[[#This Row],[Year]:[Month]],crudeoil[],3,FALSE)</f>
        <v>#VALUE!</v>
      </c>
    </row>
    <row r="1358" spans="1:8" hidden="1" x14ac:dyDescent="0.3">
      <c r="A1358" t="s">
        <v>34</v>
      </c>
      <c r="B1358">
        <v>2014</v>
      </c>
      <c r="C1358" t="s">
        <v>38</v>
      </c>
      <c r="D1358" t="s">
        <v>9</v>
      </c>
      <c r="E1358" t="e">
        <f>VLOOKUP(Cpi_[[#This Row],[Attribute]],#REF!,2,FALSE)</f>
        <v>#REF!</v>
      </c>
      <c r="F1358">
        <v>125</v>
      </c>
      <c r="G1358">
        <f>(Cpi_[[#This Row],[Value]]-F1357)/F1357</f>
        <v>-2.1143304620203623E-2</v>
      </c>
      <c r="H1358" t="e" cm="1" vm="1">
        <f t="array" aca="1" ref="H1358" ca="1">VLOOKUP(Cpi_[[#This Row],[Year]:[Month]],crudeoil[],3,FALSE)</f>
        <v>#VALUE!</v>
      </c>
    </row>
    <row r="1359" spans="1:8" hidden="1" x14ac:dyDescent="0.3">
      <c r="A1359" t="s">
        <v>34</v>
      </c>
      <c r="B1359">
        <v>2014</v>
      </c>
      <c r="C1359" t="s">
        <v>38</v>
      </c>
      <c r="D1359" t="s">
        <v>10</v>
      </c>
      <c r="E1359" t="e">
        <f>VLOOKUP(Cpi_[[#This Row],[Attribute]],#REF!,2,FALSE)</f>
        <v>#REF!</v>
      </c>
      <c r="F1359">
        <v>111.9</v>
      </c>
      <c r="G1359">
        <f>(Cpi_[[#This Row],[Value]]-F1358)/F1358</f>
        <v>-0.10479999999999995</v>
      </c>
      <c r="H1359" t="e" cm="1" vm="1">
        <f t="array" aca="1" ref="H1359" ca="1">VLOOKUP(Cpi_[[#This Row],[Year]:[Month]],crudeoil[],3,FALSE)</f>
        <v>#VALUE!</v>
      </c>
    </row>
    <row r="1360" spans="1:8" hidden="1" x14ac:dyDescent="0.3">
      <c r="A1360" t="s">
        <v>34</v>
      </c>
      <c r="B1360">
        <v>2014</v>
      </c>
      <c r="C1360" t="s">
        <v>38</v>
      </c>
      <c r="D1360" t="s">
        <v>11</v>
      </c>
      <c r="E1360" t="e">
        <f>VLOOKUP(Cpi_[[#This Row],[Attribute]],#REF!,2,FALSE)</f>
        <v>#REF!</v>
      </c>
      <c r="F1360">
        <v>102.8</v>
      </c>
      <c r="G1360">
        <f>(Cpi_[[#This Row],[Value]]-F1359)/F1359</f>
        <v>-8.1322609472743598E-2</v>
      </c>
      <c r="H1360" t="e" cm="1" vm="1">
        <f t="array" aca="1" ref="H1360" ca="1">VLOOKUP(Cpi_[[#This Row],[Year]:[Month]],crudeoil[],3,FALSE)</f>
        <v>#VALUE!</v>
      </c>
    </row>
    <row r="1361" spans="1:8" hidden="1" x14ac:dyDescent="0.3">
      <c r="A1361" t="s">
        <v>34</v>
      </c>
      <c r="B1361">
        <v>2014</v>
      </c>
      <c r="C1361" t="s">
        <v>38</v>
      </c>
      <c r="D1361" t="s">
        <v>12</v>
      </c>
      <c r="E1361" t="e">
        <f>VLOOKUP(Cpi_[[#This Row],[Attribute]],#REF!,2,FALSE)</f>
        <v>#REF!</v>
      </c>
      <c r="F1361">
        <v>113.4</v>
      </c>
      <c r="G1361">
        <f>(Cpi_[[#This Row],[Value]]-F1360)/F1360</f>
        <v>0.10311284046692616</v>
      </c>
      <c r="H1361" t="e" cm="1" vm="1">
        <f t="array" aca="1" ref="H1361" ca="1">VLOOKUP(Cpi_[[#This Row],[Year]:[Month]],crudeoil[],3,FALSE)</f>
        <v>#VALUE!</v>
      </c>
    </row>
    <row r="1362" spans="1:8" hidden="1" x14ac:dyDescent="0.3">
      <c r="A1362" t="s">
        <v>34</v>
      </c>
      <c r="B1362">
        <v>2014</v>
      </c>
      <c r="C1362" t="s">
        <v>38</v>
      </c>
      <c r="D1362" t="s">
        <v>13</v>
      </c>
      <c r="E1362" t="e">
        <f>VLOOKUP(Cpi_[[#This Row],[Attribute]],#REF!,2,FALSE)</f>
        <v>#REF!</v>
      </c>
      <c r="F1362">
        <v>113.7</v>
      </c>
      <c r="G1362">
        <f>(Cpi_[[#This Row],[Value]]-F1361)/F1361</f>
        <v>2.6455026455026202E-3</v>
      </c>
      <c r="H1362" t="e" cm="1" vm="1">
        <f t="array" aca="1" ref="H1362" ca="1">VLOOKUP(Cpi_[[#This Row],[Year]:[Month]],crudeoil[],3,FALSE)</f>
        <v>#VALUE!</v>
      </c>
    </row>
    <row r="1363" spans="1:8" hidden="1" x14ac:dyDescent="0.3">
      <c r="A1363" t="s">
        <v>34</v>
      </c>
      <c r="B1363">
        <v>2014</v>
      </c>
      <c r="C1363" t="s">
        <v>38</v>
      </c>
      <c r="D1363" t="s">
        <v>14</v>
      </c>
      <c r="E1363" t="e">
        <f>VLOOKUP(Cpi_[[#This Row],[Attribute]],#REF!,2,FALSE)</f>
        <v>#REF!</v>
      </c>
      <c r="F1363">
        <v>120.4</v>
      </c>
      <c r="G1363">
        <f>(Cpi_[[#This Row],[Value]]-F1362)/F1362</f>
        <v>5.8927000879507502E-2</v>
      </c>
      <c r="H1363" t="e" cm="1" vm="1">
        <f t="array" aca="1" ref="H1363" ca="1">VLOOKUP(Cpi_[[#This Row],[Year]:[Month]],crudeoil[],3,FALSE)</f>
        <v>#VALUE!</v>
      </c>
    </row>
    <row r="1364" spans="1:8" hidden="1" x14ac:dyDescent="0.3">
      <c r="A1364" t="s">
        <v>34</v>
      </c>
      <c r="B1364">
        <v>2014</v>
      </c>
      <c r="C1364" t="s">
        <v>38</v>
      </c>
      <c r="D1364" t="s">
        <v>15</v>
      </c>
      <c r="E1364" t="e">
        <f>VLOOKUP(Cpi_[[#This Row],[Attribute]],#REF!,2,FALSE)</f>
        <v>#REF!</v>
      </c>
      <c r="F1364">
        <v>118.9</v>
      </c>
      <c r="G1364">
        <f>(Cpi_[[#This Row],[Value]]-F1363)/F1363</f>
        <v>-1.2458471760797342E-2</v>
      </c>
      <c r="H1364" t="e" cm="1" vm="1">
        <f t="array" aca="1" ref="H1364" ca="1">VLOOKUP(Cpi_[[#This Row],[Year]:[Month]],crudeoil[],3,FALSE)</f>
        <v>#VALUE!</v>
      </c>
    </row>
    <row r="1365" spans="1:8" hidden="1" x14ac:dyDescent="0.3">
      <c r="A1365" t="s">
        <v>34</v>
      </c>
      <c r="B1365">
        <v>2014</v>
      </c>
      <c r="C1365" t="s">
        <v>38</v>
      </c>
      <c r="D1365" t="s">
        <v>16</v>
      </c>
      <c r="E1365" t="e">
        <f>VLOOKUP(Cpi_[[#This Row],[Attribute]],#REF!,2,FALSE)</f>
        <v>#REF!</v>
      </c>
      <c r="F1365">
        <v>116.8</v>
      </c>
      <c r="G1365">
        <f>(Cpi_[[#This Row],[Value]]-F1364)/F1364</f>
        <v>-1.7661900756938676E-2</v>
      </c>
      <c r="H1365" t="e" cm="1" vm="1">
        <f t="array" aca="1" ref="H1365" ca="1">VLOOKUP(Cpi_[[#This Row],[Year]:[Month]],crudeoil[],3,FALSE)</f>
        <v>#VALUE!</v>
      </c>
    </row>
    <row r="1366" spans="1:8" hidden="1" x14ac:dyDescent="0.3">
      <c r="A1366" t="s">
        <v>34</v>
      </c>
      <c r="B1366">
        <v>2014</v>
      </c>
      <c r="C1366" t="s">
        <v>38</v>
      </c>
      <c r="D1366" t="s">
        <v>17</v>
      </c>
      <c r="E1366" t="e">
        <f>VLOOKUP(Cpi_[[#This Row],[Attribute]],#REF!,2,FALSE)</f>
        <v>#REF!</v>
      </c>
      <c r="F1366">
        <v>118</v>
      </c>
      <c r="G1366">
        <f>(Cpi_[[#This Row],[Value]]-F1365)/F1365</f>
        <v>1.0273972602739751E-2</v>
      </c>
      <c r="H1366" t="e" cm="1" vm="1">
        <f t="array" aca="1" ref="H1366" ca="1">VLOOKUP(Cpi_[[#This Row],[Year]:[Month]],crudeoil[],3,FALSE)</f>
        <v>#VALUE!</v>
      </c>
    </row>
    <row r="1367" spans="1:8" hidden="1" x14ac:dyDescent="0.3">
      <c r="A1367" t="s">
        <v>34</v>
      </c>
      <c r="B1367">
        <v>2014</v>
      </c>
      <c r="C1367" t="s">
        <v>38</v>
      </c>
      <c r="D1367" t="s">
        <v>18</v>
      </c>
      <c r="E1367" t="e">
        <f>VLOOKUP(Cpi_[[#This Row],[Attribute]],#REF!,2,FALSE)</f>
        <v>#REF!</v>
      </c>
      <c r="F1367">
        <v>115.2</v>
      </c>
      <c r="G1367">
        <f>(Cpi_[[#This Row],[Value]]-F1366)/F1366</f>
        <v>-2.372881355932201E-2</v>
      </c>
      <c r="H1367" t="e" cm="1" vm="1">
        <f t="array" aca="1" ref="H1367" ca="1">VLOOKUP(Cpi_[[#This Row],[Year]:[Month]],crudeoil[],3,FALSE)</f>
        <v>#VALUE!</v>
      </c>
    </row>
    <row r="1368" spans="1:8" hidden="1" x14ac:dyDescent="0.3">
      <c r="A1368" t="s">
        <v>34</v>
      </c>
      <c r="B1368">
        <v>2014</v>
      </c>
      <c r="C1368" t="s">
        <v>38</v>
      </c>
      <c r="D1368" t="s">
        <v>19</v>
      </c>
      <c r="E1368" t="e">
        <f>VLOOKUP(Cpi_[[#This Row],[Attribute]],#REF!,2,FALSE)</f>
        <v>#REF!</v>
      </c>
      <c r="F1368">
        <v>117.6</v>
      </c>
      <c r="G1368">
        <f>(Cpi_[[#This Row],[Value]]-F1367)/F1367</f>
        <v>2.0833333333333259E-2</v>
      </c>
      <c r="H1368" t="e" cm="1" vm="1">
        <f t="array" aca="1" ref="H1368" ca="1">VLOOKUP(Cpi_[[#This Row],[Year]:[Month]],crudeoil[],3,FALSE)</f>
        <v>#VALUE!</v>
      </c>
    </row>
    <row r="1369" spans="1:8" hidden="1" x14ac:dyDescent="0.3">
      <c r="A1369" t="s">
        <v>34</v>
      </c>
      <c r="B1369">
        <v>2014</v>
      </c>
      <c r="C1369" t="s">
        <v>38</v>
      </c>
      <c r="D1369" t="s">
        <v>20</v>
      </c>
      <c r="E1369" t="e">
        <f>VLOOKUP(Cpi_[[#This Row],[Attribute]],#REF!,2,FALSE)</f>
        <v>#REF!</v>
      </c>
      <c r="F1369">
        <v>114.3</v>
      </c>
      <c r="G1369">
        <f>(Cpi_[[#This Row],[Value]]-F1368)/F1368</f>
        <v>-2.8061224489795894E-2</v>
      </c>
      <c r="H1369" t="e" cm="1" vm="1">
        <f t="array" aca="1" ref="H1369" ca="1">VLOOKUP(Cpi_[[#This Row],[Year]:[Month]],crudeoil[],3,FALSE)</f>
        <v>#VALUE!</v>
      </c>
    </row>
    <row r="1370" spans="1:8" hidden="1" x14ac:dyDescent="0.3">
      <c r="A1370" t="s">
        <v>34</v>
      </c>
      <c r="B1370">
        <v>2014</v>
      </c>
      <c r="C1370" t="s">
        <v>38</v>
      </c>
      <c r="D1370" t="s">
        <v>21</v>
      </c>
      <c r="E1370" t="e">
        <f>VLOOKUP(Cpi_[[#This Row],[Attribute]],#REF!,2,FALSE)</f>
        <v>#REF!</v>
      </c>
      <c r="F1370">
        <v>112.5</v>
      </c>
      <c r="G1370">
        <f>(Cpi_[[#This Row],[Value]]-F1369)/F1369</f>
        <v>-1.5748031496062968E-2</v>
      </c>
      <c r="H1370" t="e" cm="1" vm="1">
        <f t="array" aca="1" ref="H1370" ca="1">VLOOKUP(Cpi_[[#This Row],[Year]:[Month]],crudeoil[],3,FALSE)</f>
        <v>#VALUE!</v>
      </c>
    </row>
    <row r="1371" spans="1:8" hidden="1" x14ac:dyDescent="0.3">
      <c r="A1371" t="s">
        <v>34</v>
      </c>
      <c r="B1371">
        <v>2014</v>
      </c>
      <c r="C1371" t="s">
        <v>38</v>
      </c>
      <c r="D1371" t="s">
        <v>22</v>
      </c>
      <c r="E1371" t="e">
        <f>VLOOKUP(Cpi_[[#This Row],[Attribute]],#REF!,2,FALSE)</f>
        <v>#REF!</v>
      </c>
      <c r="F1371">
        <v>114.1</v>
      </c>
      <c r="G1371">
        <f>(Cpi_[[#This Row],[Value]]-F1370)/F1370</f>
        <v>1.4222222222222171E-2</v>
      </c>
      <c r="H1371" t="e" cm="1" vm="1">
        <f t="array" aca="1" ref="H1371" ca="1">VLOOKUP(Cpi_[[#This Row],[Year]:[Month]],crudeoil[],3,FALSE)</f>
        <v>#VALUE!</v>
      </c>
    </row>
    <row r="1372" spans="1:8" hidden="1" x14ac:dyDescent="0.3">
      <c r="A1372" t="s">
        <v>34</v>
      </c>
      <c r="B1372">
        <v>2014</v>
      </c>
      <c r="C1372" t="s">
        <v>38</v>
      </c>
      <c r="D1372" t="s">
        <v>23</v>
      </c>
      <c r="E1372" t="e">
        <f>VLOOKUP(Cpi_[[#This Row],[Attribute]],#REF!,2,FALSE)</f>
        <v>#REF!</v>
      </c>
      <c r="F1372">
        <v>111.8</v>
      </c>
      <c r="G1372">
        <f>(Cpi_[[#This Row],[Value]]-F1371)/F1371</f>
        <v>-2.0157756354075348E-2</v>
      </c>
      <c r="H1372" t="e" cm="1" vm="1">
        <f t="array" aca="1" ref="H1372" ca="1">VLOOKUP(Cpi_[[#This Row],[Year]:[Month]],crudeoil[],3,FALSE)</f>
        <v>#VALUE!</v>
      </c>
    </row>
    <row r="1373" spans="1:8" hidden="1" x14ac:dyDescent="0.3">
      <c r="A1373" t="s">
        <v>34</v>
      </c>
      <c r="B1373">
        <v>2014</v>
      </c>
      <c r="C1373" t="s">
        <v>38</v>
      </c>
      <c r="D1373" t="s">
        <v>24</v>
      </c>
      <c r="E1373" t="e">
        <f>VLOOKUP(Cpi_[[#This Row],[Attribute]],#REF!,2,FALSE)</f>
        <v>#REF!</v>
      </c>
      <c r="F1373">
        <v>111.3</v>
      </c>
      <c r="G1373">
        <f>(Cpi_[[#This Row],[Value]]-F1372)/F1372</f>
        <v>-4.4722719141323791E-3</v>
      </c>
      <c r="H1373" t="e" cm="1" vm="1">
        <f t="array" aca="1" ref="H1373" ca="1">VLOOKUP(Cpi_[[#This Row],[Year]:[Month]],crudeoil[],3,FALSE)</f>
        <v>#VALUE!</v>
      </c>
    </row>
    <row r="1374" spans="1:8" hidden="1" x14ac:dyDescent="0.3">
      <c r="A1374" t="s">
        <v>34</v>
      </c>
      <c r="B1374">
        <v>2014</v>
      </c>
      <c r="C1374" t="s">
        <v>38</v>
      </c>
      <c r="D1374" t="s">
        <v>25</v>
      </c>
      <c r="E1374" t="e">
        <f>VLOOKUP(Cpi_[[#This Row],[Attribute]],#REF!,2,FALSE)</f>
        <v>#REF!</v>
      </c>
      <c r="F1374">
        <v>111.2</v>
      </c>
      <c r="G1374">
        <f>(Cpi_[[#This Row],[Value]]-F1373)/F1373</f>
        <v>-8.9847259658575312E-4</v>
      </c>
      <c r="H1374" t="e" cm="1" vm="1">
        <f t="array" aca="1" ref="H1374" ca="1">VLOOKUP(Cpi_[[#This Row],[Year]:[Month]],crudeoil[],3,FALSE)</f>
        <v>#VALUE!</v>
      </c>
    </row>
    <row r="1375" spans="1:8" hidden="1" x14ac:dyDescent="0.3">
      <c r="A1375" t="s">
        <v>34</v>
      </c>
      <c r="B1375">
        <v>2014</v>
      </c>
      <c r="C1375" t="s">
        <v>38</v>
      </c>
      <c r="D1375" t="s">
        <v>26</v>
      </c>
      <c r="E1375" t="e">
        <f>VLOOKUP(Cpi_[[#This Row],[Attribute]],#REF!,2,FALSE)</f>
        <v>#REF!</v>
      </c>
      <c r="F1375">
        <v>113</v>
      </c>
      <c r="G1375">
        <f>(Cpi_[[#This Row],[Value]]-F1374)/F1374</f>
        <v>1.6187050359712206E-2</v>
      </c>
      <c r="H1375" t="e" cm="1" vm="1">
        <f t="array" aca="1" ref="H1375" ca="1">VLOOKUP(Cpi_[[#This Row],[Year]:[Month]],crudeoil[],3,FALSE)</f>
        <v>#VALUE!</v>
      </c>
    </row>
    <row r="1376" spans="1:8" hidden="1" x14ac:dyDescent="0.3">
      <c r="A1376" t="s">
        <v>34</v>
      </c>
      <c r="B1376">
        <v>2014</v>
      </c>
      <c r="C1376" t="s">
        <v>38</v>
      </c>
      <c r="D1376" t="s">
        <v>27</v>
      </c>
      <c r="E1376" t="e">
        <f>VLOOKUP(Cpi_[[#This Row],[Attribute]],#REF!,2,FALSE)</f>
        <v>#REF!</v>
      </c>
      <c r="F1376">
        <v>109.1</v>
      </c>
      <c r="G1376">
        <f>(Cpi_[[#This Row],[Value]]-F1375)/F1375</f>
        <v>-3.4513274336283234E-2</v>
      </c>
      <c r="H1376" t="e" cm="1" vm="1">
        <f t="array" aca="1" ref="H1376" ca="1">VLOOKUP(Cpi_[[#This Row],[Year]:[Month]],crudeoil[],3,FALSE)</f>
        <v>#VALUE!</v>
      </c>
    </row>
    <row r="1377" spans="1:8" hidden="1" x14ac:dyDescent="0.3">
      <c r="A1377" t="s">
        <v>34</v>
      </c>
      <c r="B1377">
        <v>2014</v>
      </c>
      <c r="C1377" t="s">
        <v>38</v>
      </c>
      <c r="D1377" t="s">
        <v>28</v>
      </c>
      <c r="E1377" t="e">
        <f>VLOOKUP(Cpi_[[#This Row],[Attribute]],#REF!,2,FALSE)</f>
        <v>#REF!</v>
      </c>
      <c r="F1377">
        <v>111.8</v>
      </c>
      <c r="G1377">
        <f>(Cpi_[[#This Row],[Value]]-F1376)/F1376</f>
        <v>2.4747937671860707E-2</v>
      </c>
      <c r="H1377" t="e" cm="1" vm="1">
        <f t="array" aca="1" ref="H1377" ca="1">VLOOKUP(Cpi_[[#This Row],[Year]:[Month]],crudeoil[],3,FALSE)</f>
        <v>#VALUE!</v>
      </c>
    </row>
    <row r="1378" spans="1:8" hidden="1" x14ac:dyDescent="0.3">
      <c r="A1378" t="s">
        <v>34</v>
      </c>
      <c r="B1378">
        <v>2014</v>
      </c>
      <c r="C1378" t="s">
        <v>38</v>
      </c>
      <c r="D1378" t="s">
        <v>29</v>
      </c>
      <c r="E1378" t="e" cm="1">
        <f t="array" aca="1" ref="E1378" ca="1">VLGeneral indexGeneral indexKUP(Cpi_[[#This Row],[Attribute]],#REF!,2,FALSE)</f>
        <v>#NAME?</v>
      </c>
      <c r="F1378">
        <v>115.8</v>
      </c>
      <c r="G1378">
        <f>(Cpi_[[#This Row],[Value]]-F1377)/F1377</f>
        <v>3.5778175313059032E-2</v>
      </c>
      <c r="H1378" t="e" cm="1" vm="1">
        <f t="array" aca="1" ref="H1378" ca="1">VLOOKUP(Cpi_[[#This Row],[Year]:[Month]],crudeoil[],3,FALSE)</f>
        <v>#VALUE!</v>
      </c>
    </row>
    <row r="1379" spans="1:8" hidden="1" x14ac:dyDescent="0.3">
      <c r="A1379" t="s">
        <v>30</v>
      </c>
      <c r="B1379">
        <v>2014</v>
      </c>
      <c r="C1379" t="s">
        <v>39</v>
      </c>
      <c r="D1379" t="s">
        <v>3</v>
      </c>
      <c r="E1379" t="e">
        <f>VLOOKUP(Cpi_[[#This Row],[Attribute]],#REF!,2,FALSE)</f>
        <v>#REF!</v>
      </c>
      <c r="F1379">
        <v>120.7</v>
      </c>
      <c r="G1379">
        <f>(Cpi_[[#This Row],[Value]]-F1378)/F1378</f>
        <v>4.2314335060449099E-2</v>
      </c>
      <c r="H1379" t="e" cm="1" vm="1">
        <f t="array" aca="1" ref="H1379" ca="1">VLOOKUP(Cpi_[[#This Row],[Year]:[Month]],crudeoil[],3,FALSE)</f>
        <v>#VALUE!</v>
      </c>
    </row>
    <row r="1380" spans="1:8" hidden="1" x14ac:dyDescent="0.3">
      <c r="A1380" t="s">
        <v>30</v>
      </c>
      <c r="B1380">
        <v>2014</v>
      </c>
      <c r="C1380" t="s">
        <v>39</v>
      </c>
      <c r="D1380" t="s">
        <v>4</v>
      </c>
      <c r="E1380" t="e">
        <f>VLOOKUP(Cpi_[[#This Row],[Attribute]],#REF!,2,FALSE)</f>
        <v>#REF!</v>
      </c>
      <c r="F1380">
        <v>121.6</v>
      </c>
      <c r="G1380">
        <f>(Cpi_[[#This Row],[Value]]-F1379)/F1379</f>
        <v>7.4565037282517937E-3</v>
      </c>
      <c r="H1380" t="e" cm="1" vm="1">
        <f t="array" aca="1" ref="H1380" ca="1">VLOOKUP(Cpi_[[#This Row],[Year]:[Month]],crudeoil[],3,FALSE)</f>
        <v>#VALUE!</v>
      </c>
    </row>
    <row r="1381" spans="1:8" hidden="1" x14ac:dyDescent="0.3">
      <c r="A1381" t="s">
        <v>30</v>
      </c>
      <c r="B1381">
        <v>2014</v>
      </c>
      <c r="C1381" t="s">
        <v>39</v>
      </c>
      <c r="D1381" t="s">
        <v>5</v>
      </c>
      <c r="E1381" t="e">
        <f>VLOOKUP(Cpi_[[#This Row],[Attribute]],#REF!,2,FALSE)</f>
        <v>#REF!</v>
      </c>
      <c r="F1381">
        <v>116.1</v>
      </c>
      <c r="G1381">
        <f>(Cpi_[[#This Row],[Value]]-F1380)/F1380</f>
        <v>-4.5230263157894739E-2</v>
      </c>
      <c r="H1381" t="e" cm="1" vm="1">
        <f t="array" aca="1" ref="H1381" ca="1">VLOOKUP(Cpi_[[#This Row],[Year]:[Month]],crudeoil[],3,FALSE)</f>
        <v>#VALUE!</v>
      </c>
    </row>
    <row r="1382" spans="1:8" hidden="1" x14ac:dyDescent="0.3">
      <c r="A1382" t="s">
        <v>30</v>
      </c>
      <c r="B1382">
        <v>2014</v>
      </c>
      <c r="C1382" t="s">
        <v>39</v>
      </c>
      <c r="D1382" t="s">
        <v>6</v>
      </c>
      <c r="E1382" t="e">
        <f>VLOOKUP(Cpi_[[#This Row],[Attribute]],#REF!,2,FALSE)</f>
        <v>#REF!</v>
      </c>
      <c r="F1382">
        <v>119.3</v>
      </c>
      <c r="G1382">
        <f>(Cpi_[[#This Row],[Value]]-F1381)/F1381</f>
        <v>2.7562446167097354E-2</v>
      </c>
      <c r="H1382" t="e" cm="1" vm="1">
        <f t="array" aca="1" ref="H1382" ca="1">VLOOKUP(Cpi_[[#This Row],[Year]:[Month]],crudeoil[],3,FALSE)</f>
        <v>#VALUE!</v>
      </c>
    </row>
    <row r="1383" spans="1:8" hidden="1" x14ac:dyDescent="0.3">
      <c r="A1383" t="s">
        <v>30</v>
      </c>
      <c r="B1383">
        <v>2014</v>
      </c>
      <c r="C1383" t="s">
        <v>39</v>
      </c>
      <c r="D1383" t="s">
        <v>7</v>
      </c>
      <c r="E1383" t="e">
        <f>VLOOKUP(Cpi_[[#This Row],[Attribute]],#REF!,2,FALSE)</f>
        <v>#REF!</v>
      </c>
      <c r="F1383">
        <v>110.3</v>
      </c>
      <c r="G1383">
        <f>(Cpi_[[#This Row],[Value]]-F1382)/F1382</f>
        <v>-7.5440067057837387E-2</v>
      </c>
      <c r="H1383" t="e" cm="1" vm="1">
        <f t="array" aca="1" ref="H1383" ca="1">VLOOKUP(Cpi_[[#This Row],[Year]:[Month]],crudeoil[],3,FALSE)</f>
        <v>#VALUE!</v>
      </c>
    </row>
    <row r="1384" spans="1:8" hidden="1" x14ac:dyDescent="0.3">
      <c r="A1384" t="s">
        <v>30</v>
      </c>
      <c r="B1384">
        <v>2014</v>
      </c>
      <c r="C1384" t="s">
        <v>39</v>
      </c>
      <c r="D1384" t="s">
        <v>8</v>
      </c>
      <c r="E1384" t="e">
        <f>VLOOKUP(Cpi_[[#This Row],[Attribute]],#REF!,2,FALSE)</f>
        <v>#REF!</v>
      </c>
      <c r="F1384">
        <v>125.8</v>
      </c>
      <c r="G1384">
        <f>(Cpi_[[#This Row],[Value]]-F1383)/F1383</f>
        <v>0.14052583862194018</v>
      </c>
      <c r="H1384" t="e" cm="1" vm="1">
        <f t="array" aca="1" ref="H1384" ca="1">VLOOKUP(Cpi_[[#This Row],[Year]:[Month]],crudeoil[],3,FALSE)</f>
        <v>#VALUE!</v>
      </c>
    </row>
    <row r="1385" spans="1:8" hidden="1" x14ac:dyDescent="0.3">
      <c r="A1385" t="s">
        <v>30</v>
      </c>
      <c r="B1385">
        <v>2014</v>
      </c>
      <c r="C1385" t="s">
        <v>39</v>
      </c>
      <c r="D1385" t="s">
        <v>9</v>
      </c>
      <c r="E1385" t="e">
        <f>VLOOKUP(Cpi_[[#This Row],[Attribute]],#REF!,2,FALSE)</f>
        <v>#REF!</v>
      </c>
      <c r="F1385">
        <v>129.30000000000001</v>
      </c>
      <c r="G1385">
        <f>(Cpi_[[#This Row],[Value]]-F1384)/F1384</f>
        <v>2.7821939586645583E-2</v>
      </c>
      <c r="H1385" t="e" cm="1" vm="1">
        <f t="array" aca="1" ref="H1385" ca="1">VLOOKUP(Cpi_[[#This Row],[Year]:[Month]],crudeoil[],3,FALSE)</f>
        <v>#VALUE!</v>
      </c>
    </row>
    <row r="1386" spans="1:8" hidden="1" x14ac:dyDescent="0.3">
      <c r="A1386" t="s">
        <v>30</v>
      </c>
      <c r="B1386">
        <v>2014</v>
      </c>
      <c r="C1386" t="s">
        <v>39</v>
      </c>
      <c r="D1386" t="s">
        <v>10</v>
      </c>
      <c r="E1386" t="e">
        <f>VLOOKUP(Cpi_[[#This Row],[Attribute]],#REF!,2,FALSE)</f>
        <v>#REF!</v>
      </c>
      <c r="F1386">
        <v>112.2</v>
      </c>
      <c r="G1386">
        <f>(Cpi_[[#This Row],[Value]]-F1385)/F1385</f>
        <v>-0.13225058004640378</v>
      </c>
      <c r="H1386" t="e" cm="1" vm="1">
        <f t="array" aca="1" ref="H1386" ca="1">VLOOKUP(Cpi_[[#This Row],[Year]:[Month]],crudeoil[],3,FALSE)</f>
        <v>#VALUE!</v>
      </c>
    </row>
    <row r="1387" spans="1:8" hidden="1" x14ac:dyDescent="0.3">
      <c r="A1387" t="s">
        <v>30</v>
      </c>
      <c r="B1387">
        <v>2014</v>
      </c>
      <c r="C1387" t="s">
        <v>39</v>
      </c>
      <c r="D1387" t="s">
        <v>11</v>
      </c>
      <c r="E1387" t="e">
        <f>VLOOKUP(Cpi_[[#This Row],[Attribute]],#REF!,2,FALSE)</f>
        <v>#REF!</v>
      </c>
      <c r="F1387">
        <v>103.6</v>
      </c>
      <c r="G1387">
        <f>(Cpi_[[#This Row],[Value]]-F1386)/F1386</f>
        <v>-7.6648841354723787E-2</v>
      </c>
      <c r="H1387" t="e" cm="1" vm="1">
        <f t="array" aca="1" ref="H1387" ca="1">VLOOKUP(Cpi_[[#This Row],[Year]:[Month]],crudeoil[],3,FALSE)</f>
        <v>#VALUE!</v>
      </c>
    </row>
    <row r="1388" spans="1:8" hidden="1" x14ac:dyDescent="0.3">
      <c r="A1388" t="s">
        <v>30</v>
      </c>
      <c r="B1388">
        <v>2014</v>
      </c>
      <c r="C1388" t="s">
        <v>39</v>
      </c>
      <c r="D1388" t="s">
        <v>12</v>
      </c>
      <c r="E1388" t="e">
        <f>VLOOKUP(Cpi_[[#This Row],[Attribute]],#REF!,2,FALSE)</f>
        <v>#REF!</v>
      </c>
      <c r="F1388">
        <v>112.3</v>
      </c>
      <c r="G1388">
        <f>(Cpi_[[#This Row],[Value]]-F1387)/F1387</f>
        <v>8.3976833976834003E-2</v>
      </c>
      <c r="H1388" t="e" cm="1" vm="1">
        <f t="array" aca="1" ref="H1388" ca="1">VLOOKUP(Cpi_[[#This Row],[Year]:[Month]],crudeoil[],3,FALSE)</f>
        <v>#VALUE!</v>
      </c>
    </row>
    <row r="1389" spans="1:8" hidden="1" x14ac:dyDescent="0.3">
      <c r="A1389" t="s">
        <v>30</v>
      </c>
      <c r="B1389">
        <v>2014</v>
      </c>
      <c r="C1389" t="s">
        <v>39</v>
      </c>
      <c r="D1389" t="s">
        <v>13</v>
      </c>
      <c r="E1389" t="e">
        <f>VLOOKUP(Cpi_[[#This Row],[Attribute]],#REF!,2,FALSE)</f>
        <v>#REF!</v>
      </c>
      <c r="F1389">
        <v>114.9</v>
      </c>
      <c r="G1389">
        <f>(Cpi_[[#This Row],[Value]]-F1388)/F1388</f>
        <v>2.3152270703472918E-2</v>
      </c>
      <c r="H1389" t="e" cm="1" vm="1">
        <f t="array" aca="1" ref="H1389" ca="1">VLOOKUP(Cpi_[[#This Row],[Year]:[Month]],crudeoil[],3,FALSE)</f>
        <v>#VALUE!</v>
      </c>
    </row>
    <row r="1390" spans="1:8" hidden="1" x14ac:dyDescent="0.3">
      <c r="A1390" t="s">
        <v>30</v>
      </c>
      <c r="B1390">
        <v>2014</v>
      </c>
      <c r="C1390" t="s">
        <v>39</v>
      </c>
      <c r="D1390" t="s">
        <v>14</v>
      </c>
      <c r="E1390" t="e">
        <f>VLOOKUP(Cpi_[[#This Row],[Attribute]],#REF!,2,FALSE)</f>
        <v>#REF!</v>
      </c>
      <c r="F1390">
        <v>120.1</v>
      </c>
      <c r="G1390">
        <f>(Cpi_[[#This Row],[Value]]-F1389)/F1389</f>
        <v>4.5256744995648288E-2</v>
      </c>
      <c r="H1390" t="e" cm="1" vm="1">
        <f t="array" aca="1" ref="H1390" ca="1">VLOOKUP(Cpi_[[#This Row],[Year]:[Month]],crudeoil[],3,FALSE)</f>
        <v>#VALUE!</v>
      </c>
    </row>
    <row r="1391" spans="1:8" hidden="1" x14ac:dyDescent="0.3">
      <c r="A1391" t="s">
        <v>30</v>
      </c>
      <c r="B1391">
        <v>2014</v>
      </c>
      <c r="C1391" t="s">
        <v>39</v>
      </c>
      <c r="D1391" t="s">
        <v>15</v>
      </c>
      <c r="E1391" t="e">
        <f>VLOOKUP(Cpi_[[#This Row],[Attribute]],#REF!,2,FALSE)</f>
        <v>#REF!</v>
      </c>
      <c r="F1391">
        <v>119.5</v>
      </c>
      <c r="G1391">
        <f>(Cpi_[[#This Row],[Value]]-F1390)/F1390</f>
        <v>-4.9958368026643994E-3</v>
      </c>
      <c r="H1391" t="e" cm="1" vm="1">
        <f t="array" aca="1" ref="H1391" ca="1">VLOOKUP(Cpi_[[#This Row],[Year]:[Month]],crudeoil[],3,FALSE)</f>
        <v>#VALUE!</v>
      </c>
    </row>
    <row r="1392" spans="1:8" hidden="1" x14ac:dyDescent="0.3">
      <c r="A1392" t="s">
        <v>30</v>
      </c>
      <c r="B1392">
        <v>2014</v>
      </c>
      <c r="C1392" t="s">
        <v>39</v>
      </c>
      <c r="D1392" t="s">
        <v>16</v>
      </c>
      <c r="E1392" t="e">
        <f>VLOOKUP(Cpi_[[#This Row],[Attribute]],#REF!,2,FALSE)</f>
        <v>#REF!</v>
      </c>
      <c r="F1392">
        <v>117.3</v>
      </c>
      <c r="G1392">
        <f>(Cpi_[[#This Row],[Value]]-F1391)/F1391</f>
        <v>-1.8410041841004209E-2</v>
      </c>
      <c r="H1392" t="e" cm="1" vm="1">
        <f t="array" aca="1" ref="H1392" ca="1">VLOOKUP(Cpi_[[#This Row],[Year]:[Month]],crudeoil[],3,FALSE)</f>
        <v>#VALUE!</v>
      </c>
    </row>
    <row r="1393" spans="1:8" hidden="1" x14ac:dyDescent="0.3">
      <c r="A1393" t="s">
        <v>30</v>
      </c>
      <c r="B1393">
        <v>2014</v>
      </c>
      <c r="C1393" t="s">
        <v>39</v>
      </c>
      <c r="D1393" t="s">
        <v>17</v>
      </c>
      <c r="E1393" t="e">
        <f>VLOOKUP(Cpi_[[#This Row],[Attribute]],#REF!,2,FALSE)</f>
        <v>#REF!</v>
      </c>
      <c r="F1393">
        <v>119.7</v>
      </c>
      <c r="G1393">
        <f>(Cpi_[[#This Row],[Value]]-F1392)/F1392</f>
        <v>2.0460358056266035E-2</v>
      </c>
      <c r="H1393" t="e" cm="1" vm="1">
        <f t="array" aca="1" ref="H1393" ca="1">VLOOKUP(Cpi_[[#This Row],[Year]:[Month]],crudeoil[],3,FALSE)</f>
        <v>#VALUE!</v>
      </c>
    </row>
    <row r="1394" spans="1:8" hidden="1" x14ac:dyDescent="0.3">
      <c r="A1394" t="s">
        <v>30</v>
      </c>
      <c r="B1394">
        <v>2014</v>
      </c>
      <c r="C1394" t="s">
        <v>39</v>
      </c>
      <c r="D1394" t="s">
        <v>18</v>
      </c>
      <c r="E1394" t="e">
        <f>VLOOKUP(Cpi_[[#This Row],[Attribute]],#REF!,2,FALSE)</f>
        <v>#REF!</v>
      </c>
      <c r="F1394">
        <v>117.3</v>
      </c>
      <c r="G1394">
        <f>(Cpi_[[#This Row],[Value]]-F1393)/F1393</f>
        <v>-2.0050125313283255E-2</v>
      </c>
      <c r="H1394" t="e" cm="1" vm="1">
        <f t="array" aca="1" ref="H1394" ca="1">VLOOKUP(Cpi_[[#This Row],[Year]:[Month]],crudeoil[],3,FALSE)</f>
        <v>#VALUE!</v>
      </c>
    </row>
    <row r="1395" spans="1:8" hidden="1" x14ac:dyDescent="0.3">
      <c r="A1395" t="s">
        <v>30</v>
      </c>
      <c r="B1395">
        <v>2014</v>
      </c>
      <c r="C1395" t="s">
        <v>39</v>
      </c>
      <c r="D1395" t="s">
        <v>19</v>
      </c>
      <c r="E1395" t="e">
        <f>VLOOKUP(Cpi_[[#This Row],[Attribute]],#REF!,2,FALSE)</f>
        <v>#REF!</v>
      </c>
      <c r="F1395">
        <v>119.3</v>
      </c>
      <c r="G1395">
        <f>(Cpi_[[#This Row],[Value]]-F1394)/F1394</f>
        <v>1.7050298380221655E-2</v>
      </c>
      <c r="H1395" t="e" cm="1" vm="1">
        <f t="array" aca="1" ref="H1395" ca="1">VLOOKUP(Cpi_[[#This Row],[Year]:[Month]],crudeoil[],3,FALSE)</f>
        <v>#VALUE!</v>
      </c>
    </row>
    <row r="1396" spans="1:8" hidden="1" x14ac:dyDescent="0.3">
      <c r="A1396" t="s">
        <v>30</v>
      </c>
      <c r="B1396">
        <v>2014</v>
      </c>
      <c r="C1396" t="s">
        <v>39</v>
      </c>
      <c r="D1396" t="s">
        <v>20</v>
      </c>
      <c r="E1396" t="e">
        <f>VLOOKUP(Cpi_[[#This Row],[Attribute]],#REF!,2,FALSE)</f>
        <v>#REF!</v>
      </c>
      <c r="F1396" t="s">
        <v>32</v>
      </c>
      <c r="G1396" t="e">
        <f>(Cpi_[[#This Row],[Value]]-F1395)/F1395</f>
        <v>#VALUE!</v>
      </c>
      <c r="H1396" t="e" cm="1" vm="1">
        <f t="array" aca="1" ref="H1396" ca="1">VLOOKUP(Cpi_[[#This Row],[Year]:[Month]],crudeoil[],3,FALSE)</f>
        <v>#VALUE!</v>
      </c>
    </row>
    <row r="1397" spans="1:8" hidden="1" x14ac:dyDescent="0.3">
      <c r="A1397" t="s">
        <v>30</v>
      </c>
      <c r="B1397">
        <v>2014</v>
      </c>
      <c r="C1397" t="s">
        <v>39</v>
      </c>
      <c r="D1397" t="s">
        <v>21</v>
      </c>
      <c r="E1397" t="e">
        <f>VLOOKUP(Cpi_[[#This Row],[Attribute]],#REF!,2,FALSE)</f>
        <v>#REF!</v>
      </c>
      <c r="F1397">
        <v>114.4</v>
      </c>
      <c r="G1397" t="e">
        <f>(Cpi_[[#This Row],[Value]]-F1396)/F1396</f>
        <v>#VALUE!</v>
      </c>
      <c r="H1397" t="e" cm="1" vm="1">
        <f t="array" aca="1" ref="H1397" ca="1">VLOOKUP(Cpi_[[#This Row],[Year]:[Month]],crudeoil[],3,FALSE)</f>
        <v>#VALUE!</v>
      </c>
    </row>
    <row r="1398" spans="1:8" hidden="1" x14ac:dyDescent="0.3">
      <c r="A1398" t="s">
        <v>30</v>
      </c>
      <c r="B1398">
        <v>2014</v>
      </c>
      <c r="C1398" t="s">
        <v>39</v>
      </c>
      <c r="D1398" t="s">
        <v>22</v>
      </c>
      <c r="E1398" t="e">
        <f>VLOOKUP(Cpi_[[#This Row],[Attribute]],#REF!,2,FALSE)</f>
        <v>#REF!</v>
      </c>
      <c r="F1398">
        <v>114.9</v>
      </c>
      <c r="G1398">
        <f>(Cpi_[[#This Row],[Value]]-F1397)/F1397</f>
        <v>4.3706293706293701E-3</v>
      </c>
      <c r="H1398" t="e" cm="1" vm="1">
        <f t="array" aca="1" ref="H1398" ca="1">VLOOKUP(Cpi_[[#This Row],[Year]:[Month]],crudeoil[],3,FALSE)</f>
        <v>#VALUE!</v>
      </c>
    </row>
    <row r="1399" spans="1:8" hidden="1" x14ac:dyDescent="0.3">
      <c r="A1399" t="s">
        <v>30</v>
      </c>
      <c r="B1399">
        <v>2014</v>
      </c>
      <c r="C1399" t="s">
        <v>39</v>
      </c>
      <c r="D1399" t="s">
        <v>23</v>
      </c>
      <c r="E1399" t="e">
        <f>VLOOKUP(Cpi_[[#This Row],[Attribute]],#REF!,2,FALSE)</f>
        <v>#REF!</v>
      </c>
      <c r="F1399">
        <v>112.8</v>
      </c>
      <c r="G1399">
        <f>(Cpi_[[#This Row],[Value]]-F1398)/F1398</f>
        <v>-1.8276762402088847E-2</v>
      </c>
      <c r="H1399" t="e" cm="1" vm="1">
        <f t="array" aca="1" ref="H1399" ca="1">VLOOKUP(Cpi_[[#This Row],[Year]:[Month]],crudeoil[],3,FALSE)</f>
        <v>#VALUE!</v>
      </c>
    </row>
    <row r="1400" spans="1:8" hidden="1" x14ac:dyDescent="0.3">
      <c r="A1400" t="s">
        <v>30</v>
      </c>
      <c r="B1400">
        <v>2014</v>
      </c>
      <c r="C1400" t="s">
        <v>39</v>
      </c>
      <c r="D1400" t="s">
        <v>24</v>
      </c>
      <c r="E1400" t="e">
        <f>VLOOKUP(Cpi_[[#This Row],[Attribute]],#REF!,2,FALSE)</f>
        <v>#REF!</v>
      </c>
      <c r="F1400">
        <v>112.2</v>
      </c>
      <c r="G1400">
        <f>(Cpi_[[#This Row],[Value]]-F1399)/F1399</f>
        <v>-5.3191489361701623E-3</v>
      </c>
      <c r="H1400" t="e" cm="1" vm="1">
        <f t="array" aca="1" ref="H1400" ca="1">VLOOKUP(Cpi_[[#This Row],[Year]:[Month]],crudeoil[],3,FALSE)</f>
        <v>#VALUE!</v>
      </c>
    </row>
    <row r="1401" spans="1:8" hidden="1" x14ac:dyDescent="0.3">
      <c r="A1401" t="s">
        <v>30</v>
      </c>
      <c r="B1401">
        <v>2014</v>
      </c>
      <c r="C1401" t="s">
        <v>39</v>
      </c>
      <c r="D1401" t="s">
        <v>25</v>
      </c>
      <c r="E1401" t="e">
        <f>VLOOKUP(Cpi_[[#This Row],[Attribute]],#REF!,2,FALSE)</f>
        <v>#REF!</v>
      </c>
      <c r="F1401">
        <v>111.4</v>
      </c>
      <c r="G1401">
        <f>(Cpi_[[#This Row],[Value]]-F1400)/F1400</f>
        <v>-7.1301247771835751E-3</v>
      </c>
      <c r="H1401" t="e" cm="1" vm="1">
        <f t="array" aca="1" ref="H1401" ca="1">VLOOKUP(Cpi_[[#This Row],[Year]:[Month]],crudeoil[],3,FALSE)</f>
        <v>#VALUE!</v>
      </c>
    </row>
    <row r="1402" spans="1:8" hidden="1" x14ac:dyDescent="0.3">
      <c r="A1402" t="s">
        <v>30</v>
      </c>
      <c r="B1402">
        <v>2014</v>
      </c>
      <c r="C1402" t="s">
        <v>39</v>
      </c>
      <c r="D1402" t="s">
        <v>26</v>
      </c>
      <c r="E1402" t="e">
        <f>VLOOKUP(Cpi_[[#This Row],[Attribute]],#REF!,2,FALSE)</f>
        <v>#REF!</v>
      </c>
      <c r="F1402">
        <v>114.3</v>
      </c>
      <c r="G1402">
        <f>(Cpi_[[#This Row],[Value]]-F1401)/F1401</f>
        <v>2.6032315978455938E-2</v>
      </c>
      <c r="H1402" t="e" cm="1" vm="1">
        <f t="array" aca="1" ref="H1402" ca="1">VLOOKUP(Cpi_[[#This Row],[Year]:[Month]],crudeoil[],3,FALSE)</f>
        <v>#VALUE!</v>
      </c>
    </row>
    <row r="1403" spans="1:8" hidden="1" x14ac:dyDescent="0.3">
      <c r="A1403" t="s">
        <v>30</v>
      </c>
      <c r="B1403">
        <v>2014</v>
      </c>
      <c r="C1403" t="s">
        <v>39</v>
      </c>
      <c r="D1403" t="s">
        <v>27</v>
      </c>
      <c r="E1403" t="e">
        <f>VLOOKUP(Cpi_[[#This Row],[Attribute]],#REF!,2,FALSE)</f>
        <v>#REF!</v>
      </c>
      <c r="F1403">
        <v>108</v>
      </c>
      <c r="G1403">
        <f>(Cpi_[[#This Row],[Value]]-F1402)/F1402</f>
        <v>-5.5118110236220451E-2</v>
      </c>
      <c r="H1403" t="e" cm="1" vm="1">
        <f t="array" aca="1" ref="H1403" ca="1">VLOOKUP(Cpi_[[#This Row],[Year]:[Month]],crudeoil[],3,FALSE)</f>
        <v>#VALUE!</v>
      </c>
    </row>
    <row r="1404" spans="1:8" hidden="1" x14ac:dyDescent="0.3">
      <c r="A1404" t="s">
        <v>30</v>
      </c>
      <c r="B1404">
        <v>2014</v>
      </c>
      <c r="C1404" t="s">
        <v>39</v>
      </c>
      <c r="D1404" t="s">
        <v>28</v>
      </c>
      <c r="E1404" t="e">
        <f>VLOOKUP(Cpi_[[#This Row],[Attribute]],#REF!,2,FALSE)</f>
        <v>#REF!</v>
      </c>
      <c r="F1404">
        <v>112.3</v>
      </c>
      <c r="G1404">
        <f>(Cpi_[[#This Row],[Value]]-F1403)/F1403</f>
        <v>3.9814814814814789E-2</v>
      </c>
      <c r="H1404" t="e" cm="1" vm="1">
        <f t="array" aca="1" ref="H1404" ca="1">VLOOKUP(Cpi_[[#This Row],[Year]:[Month]],crudeoil[],3,FALSE)</f>
        <v>#VALUE!</v>
      </c>
    </row>
    <row r="1405" spans="1:8" hidden="1" x14ac:dyDescent="0.3">
      <c r="A1405" t="s">
        <v>30</v>
      </c>
      <c r="B1405">
        <v>2014</v>
      </c>
      <c r="C1405" t="s">
        <v>39</v>
      </c>
      <c r="D1405" t="s">
        <v>29</v>
      </c>
      <c r="E1405" t="e" cm="1">
        <f t="array" aca="1" ref="E1405" ca="1">VLGeneral indexGeneral indexKUP(Cpi_[[#This Row],[Attribute]],#REF!,2,FALSE)</f>
        <v>#NAME?</v>
      </c>
      <c r="F1405">
        <v>117</v>
      </c>
      <c r="G1405">
        <f>(Cpi_[[#This Row],[Value]]-F1404)/F1404</f>
        <v>4.1852181656277854E-2</v>
      </c>
      <c r="H1405" t="e" cm="1" vm="1">
        <f t="array" aca="1" ref="H1405" ca="1">VLOOKUP(Cpi_[[#This Row],[Year]:[Month]],crudeoil[],3,FALSE)</f>
        <v>#VALUE!</v>
      </c>
    </row>
    <row r="1406" spans="1:8" hidden="1" x14ac:dyDescent="0.3">
      <c r="A1406" t="s">
        <v>33</v>
      </c>
      <c r="B1406">
        <v>2014</v>
      </c>
      <c r="C1406" t="s">
        <v>39</v>
      </c>
      <c r="D1406" t="s">
        <v>3</v>
      </c>
      <c r="E1406" t="e">
        <f>VLOOKUP(Cpi_[[#This Row],[Attribute]],#REF!,2,FALSE)</f>
        <v>#REF!</v>
      </c>
      <c r="F1406">
        <v>123.1</v>
      </c>
      <c r="G1406">
        <f>(Cpi_[[#This Row],[Value]]-F1405)/F1405</f>
        <v>5.213675213675209E-2</v>
      </c>
      <c r="H1406" t="e" cm="1" vm="1">
        <f t="array" aca="1" ref="H1406" ca="1">VLOOKUP(Cpi_[[#This Row],[Year]:[Month]],crudeoil[],3,FALSE)</f>
        <v>#VALUE!</v>
      </c>
    </row>
    <row r="1407" spans="1:8" hidden="1" x14ac:dyDescent="0.3">
      <c r="A1407" t="s">
        <v>33</v>
      </c>
      <c r="B1407">
        <v>2014</v>
      </c>
      <c r="C1407" t="s">
        <v>39</v>
      </c>
      <c r="D1407" t="s">
        <v>4</v>
      </c>
      <c r="E1407" t="e">
        <f>VLOOKUP(Cpi_[[#This Row],[Attribute]],#REF!,2,FALSE)</f>
        <v>#REF!</v>
      </c>
      <c r="F1407">
        <v>125.9</v>
      </c>
      <c r="G1407">
        <f>(Cpi_[[#This Row],[Value]]-F1406)/F1406</f>
        <v>2.2745735174654846E-2</v>
      </c>
      <c r="H1407" t="e" cm="1" vm="1">
        <f t="array" aca="1" ref="H1407" ca="1">VLOOKUP(Cpi_[[#This Row],[Year]:[Month]],crudeoil[],3,FALSE)</f>
        <v>#VALUE!</v>
      </c>
    </row>
    <row r="1408" spans="1:8" hidden="1" x14ac:dyDescent="0.3">
      <c r="A1408" t="s">
        <v>33</v>
      </c>
      <c r="B1408">
        <v>2014</v>
      </c>
      <c r="C1408" t="s">
        <v>39</v>
      </c>
      <c r="D1408" t="s">
        <v>5</v>
      </c>
      <c r="E1408" t="e">
        <f>VLOOKUP(Cpi_[[#This Row],[Attribute]],#REF!,2,FALSE)</f>
        <v>#REF!</v>
      </c>
      <c r="F1408">
        <v>115.4</v>
      </c>
      <c r="G1408">
        <f>(Cpi_[[#This Row],[Value]]-F1407)/F1407</f>
        <v>-8.339952343129467E-2</v>
      </c>
      <c r="H1408" t="e" cm="1" vm="1">
        <f t="array" aca="1" ref="H1408" ca="1">VLOOKUP(Cpi_[[#This Row],[Year]:[Month]],crudeoil[],3,FALSE)</f>
        <v>#VALUE!</v>
      </c>
    </row>
    <row r="1409" spans="1:8" hidden="1" x14ac:dyDescent="0.3">
      <c r="A1409" t="s">
        <v>33</v>
      </c>
      <c r="B1409">
        <v>2014</v>
      </c>
      <c r="C1409" t="s">
        <v>39</v>
      </c>
      <c r="D1409" t="s">
        <v>6</v>
      </c>
      <c r="E1409" t="e">
        <f>VLOOKUP(Cpi_[[#This Row],[Attribute]],#REF!,2,FALSE)</f>
        <v>#REF!</v>
      </c>
      <c r="F1409">
        <v>120.4</v>
      </c>
      <c r="G1409">
        <f>(Cpi_[[#This Row],[Value]]-F1408)/F1408</f>
        <v>4.3327556325823219E-2</v>
      </c>
      <c r="H1409" t="e" cm="1" vm="1">
        <f t="array" aca="1" ref="H1409" ca="1">VLOOKUP(Cpi_[[#This Row],[Year]:[Month]],crudeoil[],3,FALSE)</f>
        <v>#VALUE!</v>
      </c>
    </row>
    <row r="1410" spans="1:8" hidden="1" x14ac:dyDescent="0.3">
      <c r="A1410" t="s">
        <v>33</v>
      </c>
      <c r="B1410">
        <v>2014</v>
      </c>
      <c r="C1410" t="s">
        <v>39</v>
      </c>
      <c r="D1410" t="s">
        <v>7</v>
      </c>
      <c r="E1410" t="e">
        <f>VLOOKUP(Cpi_[[#This Row],[Attribute]],#REF!,2,FALSE)</f>
        <v>#REF!</v>
      </c>
      <c r="F1410">
        <v>103.4</v>
      </c>
      <c r="G1410">
        <f>(Cpi_[[#This Row],[Value]]-F1409)/F1409</f>
        <v>-0.14119601328903653</v>
      </c>
      <c r="H1410" t="e" cm="1" vm="1">
        <f t="array" aca="1" ref="H1410" ca="1">VLOOKUP(Cpi_[[#This Row],[Year]:[Month]],crudeoil[],3,FALSE)</f>
        <v>#VALUE!</v>
      </c>
    </row>
    <row r="1411" spans="1:8" hidden="1" x14ac:dyDescent="0.3">
      <c r="A1411" t="s">
        <v>33</v>
      </c>
      <c r="B1411">
        <v>2014</v>
      </c>
      <c r="C1411" t="s">
        <v>39</v>
      </c>
      <c r="D1411" t="s">
        <v>8</v>
      </c>
      <c r="E1411" t="e">
        <f>VLOOKUP(Cpi_[[#This Row],[Attribute]],#REF!,2,FALSE)</f>
        <v>#REF!</v>
      </c>
      <c r="F1411">
        <v>131.19999999999999</v>
      </c>
      <c r="G1411">
        <f>(Cpi_[[#This Row],[Value]]-F1410)/F1410</f>
        <v>0.26885880077369423</v>
      </c>
      <c r="H1411" t="e" cm="1" vm="1">
        <f t="array" aca="1" ref="H1411" ca="1">VLOOKUP(Cpi_[[#This Row],[Year]:[Month]],crudeoil[],3,FALSE)</f>
        <v>#VALUE!</v>
      </c>
    </row>
    <row r="1412" spans="1:8" hidden="1" x14ac:dyDescent="0.3">
      <c r="A1412" t="s">
        <v>33</v>
      </c>
      <c r="B1412">
        <v>2014</v>
      </c>
      <c r="C1412" t="s">
        <v>39</v>
      </c>
      <c r="D1412" t="s">
        <v>9</v>
      </c>
      <c r="E1412" t="e">
        <f>VLOOKUP(Cpi_[[#This Row],[Attribute]],#REF!,2,FALSE)</f>
        <v>#REF!</v>
      </c>
      <c r="F1412">
        <v>137.5</v>
      </c>
      <c r="G1412">
        <f>(Cpi_[[#This Row],[Value]]-F1411)/F1411</f>
        <v>4.801829268292692E-2</v>
      </c>
      <c r="H1412" t="e" cm="1" vm="1">
        <f t="array" aca="1" ref="H1412" ca="1">VLOOKUP(Cpi_[[#This Row],[Year]:[Month]],crudeoil[],3,FALSE)</f>
        <v>#VALUE!</v>
      </c>
    </row>
    <row r="1413" spans="1:8" hidden="1" x14ac:dyDescent="0.3">
      <c r="A1413" t="s">
        <v>33</v>
      </c>
      <c r="B1413">
        <v>2014</v>
      </c>
      <c r="C1413" t="s">
        <v>39</v>
      </c>
      <c r="D1413" t="s">
        <v>10</v>
      </c>
      <c r="E1413" t="e">
        <f>VLOOKUP(Cpi_[[#This Row],[Attribute]],#REF!,2,FALSE)</f>
        <v>#REF!</v>
      </c>
      <c r="F1413">
        <v>112.8</v>
      </c>
      <c r="G1413">
        <f>(Cpi_[[#This Row],[Value]]-F1412)/F1412</f>
        <v>-0.17963636363636365</v>
      </c>
      <c r="H1413" t="e" cm="1" vm="1">
        <f t="array" aca="1" ref="H1413" ca="1">VLOOKUP(Cpi_[[#This Row],[Year]:[Month]],crudeoil[],3,FALSE)</f>
        <v>#VALUE!</v>
      </c>
    </row>
    <row r="1414" spans="1:8" hidden="1" x14ac:dyDescent="0.3">
      <c r="A1414" t="s">
        <v>33</v>
      </c>
      <c r="B1414">
        <v>2014</v>
      </c>
      <c r="C1414" t="s">
        <v>39</v>
      </c>
      <c r="D1414" t="s">
        <v>11</v>
      </c>
      <c r="E1414" t="e">
        <f>VLOOKUP(Cpi_[[#This Row],[Attribute]],#REF!,2,FALSE)</f>
        <v>#REF!</v>
      </c>
      <c r="F1414">
        <v>101.4</v>
      </c>
      <c r="G1414">
        <f>(Cpi_[[#This Row],[Value]]-F1413)/F1413</f>
        <v>-0.10106382978723397</v>
      </c>
      <c r="H1414" t="e" cm="1" vm="1">
        <f t="array" aca="1" ref="H1414" ca="1">VLOOKUP(Cpi_[[#This Row],[Year]:[Month]],crudeoil[],3,FALSE)</f>
        <v>#VALUE!</v>
      </c>
    </row>
    <row r="1415" spans="1:8" hidden="1" x14ac:dyDescent="0.3">
      <c r="A1415" t="s">
        <v>33</v>
      </c>
      <c r="B1415">
        <v>2014</v>
      </c>
      <c r="C1415" t="s">
        <v>39</v>
      </c>
      <c r="D1415" t="s">
        <v>12</v>
      </c>
      <c r="E1415" t="e">
        <f>VLOOKUP(Cpi_[[#This Row],[Attribute]],#REF!,2,FALSE)</f>
        <v>#REF!</v>
      </c>
      <c r="F1415">
        <v>118.3</v>
      </c>
      <c r="G1415">
        <f>(Cpi_[[#This Row],[Value]]-F1414)/F1414</f>
        <v>0.16666666666666657</v>
      </c>
      <c r="H1415" t="e" cm="1" vm="1">
        <f t="array" aca="1" ref="H1415" ca="1">VLOOKUP(Cpi_[[#This Row],[Year]:[Month]],crudeoil[],3,FALSE)</f>
        <v>#VALUE!</v>
      </c>
    </row>
    <row r="1416" spans="1:8" hidden="1" x14ac:dyDescent="0.3">
      <c r="A1416" t="s">
        <v>33</v>
      </c>
      <c r="B1416">
        <v>2014</v>
      </c>
      <c r="C1416" t="s">
        <v>39</v>
      </c>
      <c r="D1416" t="s">
        <v>13</v>
      </c>
      <c r="E1416" t="e">
        <f>VLOOKUP(Cpi_[[#This Row],[Attribute]],#REF!,2,FALSE)</f>
        <v>#REF!</v>
      </c>
      <c r="F1416">
        <v>113.2</v>
      </c>
      <c r="G1416">
        <f>(Cpi_[[#This Row],[Value]]-F1415)/F1415</f>
        <v>-4.3110735418427679E-2</v>
      </c>
      <c r="H1416" t="e" cm="1" vm="1">
        <f t="array" aca="1" ref="H1416" ca="1">VLOOKUP(Cpi_[[#This Row],[Year]:[Month]],crudeoil[],3,FALSE)</f>
        <v>#VALUE!</v>
      </c>
    </row>
    <row r="1417" spans="1:8" hidden="1" x14ac:dyDescent="0.3">
      <c r="A1417" t="s">
        <v>33</v>
      </c>
      <c r="B1417">
        <v>2014</v>
      </c>
      <c r="C1417" t="s">
        <v>39</v>
      </c>
      <c r="D1417" t="s">
        <v>14</v>
      </c>
      <c r="E1417" t="e">
        <f>VLOOKUP(Cpi_[[#This Row],[Attribute]],#REF!,2,FALSE)</f>
        <v>#REF!</v>
      </c>
      <c r="F1417">
        <v>122.4</v>
      </c>
      <c r="G1417">
        <f>(Cpi_[[#This Row],[Value]]-F1416)/F1416</f>
        <v>8.1272084805653733E-2</v>
      </c>
      <c r="H1417" t="e" cm="1" vm="1">
        <f t="array" aca="1" ref="H1417" ca="1">VLOOKUP(Cpi_[[#This Row],[Year]:[Month]],crudeoil[],3,FALSE)</f>
        <v>#VALUE!</v>
      </c>
    </row>
    <row r="1418" spans="1:8" hidden="1" x14ac:dyDescent="0.3">
      <c r="A1418" t="s">
        <v>33</v>
      </c>
      <c r="B1418">
        <v>2014</v>
      </c>
      <c r="C1418" t="s">
        <v>39</v>
      </c>
      <c r="D1418" t="s">
        <v>15</v>
      </c>
      <c r="E1418" t="e">
        <f>VLOOKUP(Cpi_[[#This Row],[Attribute]],#REF!,2,FALSE)</f>
        <v>#REF!</v>
      </c>
      <c r="F1418">
        <v>122</v>
      </c>
      <c r="G1418">
        <f>(Cpi_[[#This Row],[Value]]-F1417)/F1417</f>
        <v>-3.2679738562091968E-3</v>
      </c>
      <c r="H1418" t="e" cm="1" vm="1">
        <f t="array" aca="1" ref="H1418" ca="1">VLOOKUP(Cpi_[[#This Row],[Year]:[Month]],crudeoil[],3,FALSE)</f>
        <v>#VALUE!</v>
      </c>
    </row>
    <row r="1419" spans="1:8" hidden="1" x14ac:dyDescent="0.3">
      <c r="A1419" t="s">
        <v>33</v>
      </c>
      <c r="B1419">
        <v>2014</v>
      </c>
      <c r="C1419" t="s">
        <v>39</v>
      </c>
      <c r="D1419" t="s">
        <v>16</v>
      </c>
      <c r="E1419" t="e">
        <f>VLOOKUP(Cpi_[[#This Row],[Attribute]],#REF!,2,FALSE)</f>
        <v>#REF!</v>
      </c>
      <c r="F1419">
        <v>119</v>
      </c>
      <c r="G1419">
        <f>(Cpi_[[#This Row],[Value]]-F1418)/F1418</f>
        <v>-2.4590163934426229E-2</v>
      </c>
      <c r="H1419" t="e" cm="1" vm="1">
        <f t="array" aca="1" ref="H1419" ca="1">VLOOKUP(Cpi_[[#This Row],[Year]:[Month]],crudeoil[],3,FALSE)</f>
        <v>#VALUE!</v>
      </c>
    </row>
    <row r="1420" spans="1:8" hidden="1" x14ac:dyDescent="0.3">
      <c r="A1420" t="s">
        <v>33</v>
      </c>
      <c r="B1420">
        <v>2014</v>
      </c>
      <c r="C1420" t="s">
        <v>39</v>
      </c>
      <c r="D1420" t="s">
        <v>17</v>
      </c>
      <c r="E1420" t="e">
        <f>VLOOKUP(Cpi_[[#This Row],[Attribute]],#REF!,2,FALSE)</f>
        <v>#REF!</v>
      </c>
      <c r="F1420">
        <v>117.4</v>
      </c>
      <c r="G1420">
        <f>(Cpi_[[#This Row],[Value]]-F1419)/F1419</f>
        <v>-1.3445378151260456E-2</v>
      </c>
      <c r="H1420" t="e" cm="1" vm="1">
        <f t="array" aca="1" ref="H1420" ca="1">VLOOKUP(Cpi_[[#This Row],[Year]:[Month]],crudeoil[],3,FALSE)</f>
        <v>#VALUE!</v>
      </c>
    </row>
    <row r="1421" spans="1:8" hidden="1" x14ac:dyDescent="0.3">
      <c r="A1421" t="s">
        <v>33</v>
      </c>
      <c r="B1421">
        <v>2014</v>
      </c>
      <c r="C1421" t="s">
        <v>39</v>
      </c>
      <c r="D1421" t="s">
        <v>18</v>
      </c>
      <c r="E1421" t="e">
        <f>VLOOKUP(Cpi_[[#This Row],[Attribute]],#REF!,2,FALSE)</f>
        <v>#REF!</v>
      </c>
      <c r="F1421">
        <v>113.2</v>
      </c>
      <c r="G1421">
        <f>(Cpi_[[#This Row],[Value]]-F1420)/F1420</f>
        <v>-3.5775127768313479E-2</v>
      </c>
      <c r="H1421" t="e" cm="1" vm="1">
        <f t="array" aca="1" ref="H1421" ca="1">VLOOKUP(Cpi_[[#This Row],[Year]:[Month]],crudeoil[],3,FALSE)</f>
        <v>#VALUE!</v>
      </c>
    </row>
    <row r="1422" spans="1:8" hidden="1" x14ac:dyDescent="0.3">
      <c r="A1422" t="s">
        <v>33</v>
      </c>
      <c r="B1422">
        <v>2014</v>
      </c>
      <c r="C1422" t="s">
        <v>39</v>
      </c>
      <c r="D1422" t="s">
        <v>19</v>
      </c>
      <c r="E1422" t="e">
        <f>VLOOKUP(Cpi_[[#This Row],[Attribute]],#REF!,2,FALSE)</f>
        <v>#REF!</v>
      </c>
      <c r="F1422">
        <v>116.7</v>
      </c>
      <c r="G1422">
        <f>(Cpi_[[#This Row],[Value]]-F1421)/F1421</f>
        <v>3.0918727915194344E-2</v>
      </c>
      <c r="H1422" t="e" cm="1" vm="1">
        <f t="array" aca="1" ref="H1422" ca="1">VLOOKUP(Cpi_[[#This Row],[Year]:[Month]],crudeoil[],3,FALSE)</f>
        <v>#VALUE!</v>
      </c>
    </row>
    <row r="1423" spans="1:8" hidden="1" x14ac:dyDescent="0.3">
      <c r="A1423" t="s">
        <v>33</v>
      </c>
      <c r="B1423">
        <v>2014</v>
      </c>
      <c r="C1423" t="s">
        <v>39</v>
      </c>
      <c r="D1423" t="s">
        <v>20</v>
      </c>
      <c r="E1423" t="e">
        <f>VLOOKUP(Cpi_[[#This Row],[Attribute]],#REF!,2,FALSE)</f>
        <v>#REF!</v>
      </c>
      <c r="F1423">
        <v>113.9</v>
      </c>
      <c r="G1423">
        <f>(Cpi_[[#This Row],[Value]]-F1422)/F1422</f>
        <v>-2.3993144815766899E-2</v>
      </c>
      <c r="H1423" t="e" cm="1" vm="1">
        <f t="array" aca="1" ref="H1423" ca="1">VLOOKUP(Cpi_[[#This Row],[Year]:[Month]],crudeoil[],3,FALSE)</f>
        <v>#VALUE!</v>
      </c>
    </row>
    <row r="1424" spans="1:8" hidden="1" x14ac:dyDescent="0.3">
      <c r="A1424" t="s">
        <v>33</v>
      </c>
      <c r="B1424">
        <v>2014</v>
      </c>
      <c r="C1424" t="s">
        <v>39</v>
      </c>
      <c r="D1424" t="s">
        <v>21</v>
      </c>
      <c r="E1424" t="e">
        <f>VLOOKUP(Cpi_[[#This Row],[Attribute]],#REF!,2,FALSE)</f>
        <v>#REF!</v>
      </c>
      <c r="F1424">
        <v>111.2</v>
      </c>
      <c r="G1424">
        <f>(Cpi_[[#This Row],[Value]]-F1423)/F1423</f>
        <v>-2.370500438981565E-2</v>
      </c>
      <c r="H1424" t="e" cm="1" vm="1">
        <f t="array" aca="1" ref="H1424" ca="1">VLOOKUP(Cpi_[[#This Row],[Year]:[Month]],crudeoil[],3,FALSE)</f>
        <v>#VALUE!</v>
      </c>
    </row>
    <row r="1425" spans="1:8" hidden="1" x14ac:dyDescent="0.3">
      <c r="A1425" t="s">
        <v>33</v>
      </c>
      <c r="B1425">
        <v>2014</v>
      </c>
      <c r="C1425" t="s">
        <v>39</v>
      </c>
      <c r="D1425" t="s">
        <v>22</v>
      </c>
      <c r="E1425" t="e">
        <f>VLOOKUP(Cpi_[[#This Row],[Attribute]],#REF!,2,FALSE)</f>
        <v>#REF!</v>
      </c>
      <c r="F1425">
        <v>114.3</v>
      </c>
      <c r="G1425">
        <f>(Cpi_[[#This Row],[Value]]-F1424)/F1424</f>
        <v>2.7877697841726567E-2</v>
      </c>
      <c r="H1425" t="e" cm="1" vm="1">
        <f t="array" aca="1" ref="H1425" ca="1">VLOOKUP(Cpi_[[#This Row],[Year]:[Month]],crudeoil[],3,FALSE)</f>
        <v>#VALUE!</v>
      </c>
    </row>
    <row r="1426" spans="1:8" hidden="1" x14ac:dyDescent="0.3">
      <c r="A1426" t="s">
        <v>33</v>
      </c>
      <c r="B1426">
        <v>2014</v>
      </c>
      <c r="C1426" t="s">
        <v>39</v>
      </c>
      <c r="D1426" t="s">
        <v>23</v>
      </c>
      <c r="E1426" t="e">
        <f>VLOOKUP(Cpi_[[#This Row],[Attribute]],#REF!,2,FALSE)</f>
        <v>#REF!</v>
      </c>
      <c r="F1426">
        <v>111.4</v>
      </c>
      <c r="G1426">
        <f>(Cpi_[[#This Row],[Value]]-F1425)/F1425</f>
        <v>-2.5371828521434745E-2</v>
      </c>
      <c r="H1426" t="e" cm="1" vm="1">
        <f t="array" aca="1" ref="H1426" ca="1">VLOOKUP(Cpi_[[#This Row],[Year]:[Month]],crudeoil[],3,FALSE)</f>
        <v>#VALUE!</v>
      </c>
    </row>
    <row r="1427" spans="1:8" hidden="1" x14ac:dyDescent="0.3">
      <c r="A1427" t="s">
        <v>33</v>
      </c>
      <c r="B1427">
        <v>2014</v>
      </c>
      <c r="C1427" t="s">
        <v>39</v>
      </c>
      <c r="D1427" t="s">
        <v>24</v>
      </c>
      <c r="E1427" t="e">
        <f>VLOOKUP(Cpi_[[#This Row],[Attribute]],#REF!,2,FALSE)</f>
        <v>#REF!</v>
      </c>
      <c r="F1427">
        <v>111.5</v>
      </c>
      <c r="G1427">
        <f>(Cpi_[[#This Row],[Value]]-F1426)/F1426</f>
        <v>8.9766606822257015E-4</v>
      </c>
      <c r="H1427" t="e" cm="1" vm="1">
        <f t="array" aca="1" ref="H1427" ca="1">VLOOKUP(Cpi_[[#This Row],[Year]:[Month]],crudeoil[],3,FALSE)</f>
        <v>#VALUE!</v>
      </c>
    </row>
    <row r="1428" spans="1:8" hidden="1" x14ac:dyDescent="0.3">
      <c r="A1428" t="s">
        <v>33</v>
      </c>
      <c r="B1428">
        <v>2014</v>
      </c>
      <c r="C1428" t="s">
        <v>39</v>
      </c>
      <c r="D1428" t="s">
        <v>25</v>
      </c>
      <c r="E1428" t="e">
        <f>VLOOKUP(Cpi_[[#This Row],[Attribute]],#REF!,2,FALSE)</f>
        <v>#REF!</v>
      </c>
      <c r="F1428">
        <v>111.8</v>
      </c>
      <c r="G1428">
        <f>(Cpi_[[#This Row],[Value]]-F1427)/F1427</f>
        <v>2.6905829596412302E-3</v>
      </c>
      <c r="H1428" t="e" cm="1" vm="1">
        <f t="array" aca="1" ref="H1428" ca="1">VLOOKUP(Cpi_[[#This Row],[Year]:[Month]],crudeoil[],3,FALSE)</f>
        <v>#VALUE!</v>
      </c>
    </row>
    <row r="1429" spans="1:8" hidden="1" x14ac:dyDescent="0.3">
      <c r="A1429" t="s">
        <v>33</v>
      </c>
      <c r="B1429">
        <v>2014</v>
      </c>
      <c r="C1429" t="s">
        <v>39</v>
      </c>
      <c r="D1429" t="s">
        <v>26</v>
      </c>
      <c r="E1429" t="e">
        <f>VLOOKUP(Cpi_[[#This Row],[Attribute]],#REF!,2,FALSE)</f>
        <v>#REF!</v>
      </c>
      <c r="F1429">
        <v>115.1</v>
      </c>
      <c r="G1429">
        <f>(Cpi_[[#This Row],[Value]]-F1428)/F1428</f>
        <v>2.9516994633273678E-2</v>
      </c>
      <c r="H1429" t="e" cm="1" vm="1">
        <f t="array" aca="1" ref="H1429" ca="1">VLOOKUP(Cpi_[[#This Row],[Year]:[Month]],crudeoil[],3,FALSE)</f>
        <v>#VALUE!</v>
      </c>
    </row>
    <row r="1430" spans="1:8" hidden="1" x14ac:dyDescent="0.3">
      <c r="A1430" t="s">
        <v>33</v>
      </c>
      <c r="B1430">
        <v>2014</v>
      </c>
      <c r="C1430" t="s">
        <v>39</v>
      </c>
      <c r="D1430" t="s">
        <v>27</v>
      </c>
      <c r="E1430" t="e">
        <f>VLOOKUP(Cpi_[[#This Row],[Attribute]],#REF!,2,FALSE)</f>
        <v>#REF!</v>
      </c>
      <c r="F1430">
        <v>108.7</v>
      </c>
      <c r="G1430">
        <f>(Cpi_[[#This Row],[Value]]-F1429)/F1429</f>
        <v>-5.5603822762814871E-2</v>
      </c>
      <c r="H1430" t="e" cm="1" vm="1">
        <f t="array" aca="1" ref="H1430" ca="1">VLOOKUP(Cpi_[[#This Row],[Year]:[Month]],crudeoil[],3,FALSE)</f>
        <v>#VALUE!</v>
      </c>
    </row>
    <row r="1431" spans="1:8" hidden="1" x14ac:dyDescent="0.3">
      <c r="A1431" t="s">
        <v>33</v>
      </c>
      <c r="B1431">
        <v>2014</v>
      </c>
      <c r="C1431" t="s">
        <v>39</v>
      </c>
      <c r="D1431" t="s">
        <v>28</v>
      </c>
      <c r="E1431" t="e">
        <f>VLOOKUP(Cpi_[[#This Row],[Attribute]],#REF!,2,FALSE)</f>
        <v>#REF!</v>
      </c>
      <c r="F1431">
        <v>112.2</v>
      </c>
      <c r="G1431">
        <f>(Cpi_[[#This Row],[Value]]-F1430)/F1430</f>
        <v>3.219871205151794E-2</v>
      </c>
      <c r="H1431" t="e" cm="1" vm="1">
        <f t="array" aca="1" ref="H1431" ca="1">VLOOKUP(Cpi_[[#This Row],[Year]:[Month]],crudeoil[],3,FALSE)</f>
        <v>#VALUE!</v>
      </c>
    </row>
    <row r="1432" spans="1:8" hidden="1" x14ac:dyDescent="0.3">
      <c r="A1432" t="s">
        <v>33</v>
      </c>
      <c r="B1432">
        <v>2014</v>
      </c>
      <c r="C1432" t="s">
        <v>39</v>
      </c>
      <c r="D1432" t="s">
        <v>29</v>
      </c>
      <c r="E1432" t="e" cm="1">
        <f t="array" aca="1" ref="E1432" ca="1">VLGeneral indexGeneral indexKUP(Cpi_[[#This Row],[Attribute]],#REF!,2,FALSE)</f>
        <v>#NAME?</v>
      </c>
      <c r="F1432">
        <v>116.4</v>
      </c>
      <c r="G1432">
        <f>(Cpi_[[#This Row],[Value]]-F1431)/F1431</f>
        <v>3.7433155080213928E-2</v>
      </c>
      <c r="H1432" t="e" cm="1" vm="1">
        <f t="array" aca="1" ref="H1432" ca="1">VLOOKUP(Cpi_[[#This Row],[Year]:[Month]],crudeoil[],3,FALSE)</f>
        <v>#VALUE!</v>
      </c>
    </row>
    <row r="1433" spans="1:8" hidden="1" x14ac:dyDescent="0.3">
      <c r="A1433" t="s">
        <v>34</v>
      </c>
      <c r="B1433">
        <v>2014</v>
      </c>
      <c r="C1433" t="s">
        <v>39</v>
      </c>
      <c r="D1433" t="s">
        <v>3</v>
      </c>
      <c r="E1433" t="e">
        <f>VLOOKUP(Cpi_[[#This Row],[Attribute]],#REF!,2,FALSE)</f>
        <v>#REF!</v>
      </c>
      <c r="F1433">
        <v>121.5</v>
      </c>
      <c r="G1433">
        <f>(Cpi_[[#This Row],[Value]]-F1432)/F1432</f>
        <v>4.381443298969067E-2</v>
      </c>
      <c r="H1433" t="e" cm="1" vm="1">
        <f t="array" aca="1" ref="H1433" ca="1">VLOOKUP(Cpi_[[#This Row],[Year]:[Month]],crudeoil[],3,FALSE)</f>
        <v>#VALUE!</v>
      </c>
    </row>
    <row r="1434" spans="1:8" hidden="1" x14ac:dyDescent="0.3">
      <c r="A1434" t="s">
        <v>34</v>
      </c>
      <c r="B1434">
        <v>2014</v>
      </c>
      <c r="C1434" t="s">
        <v>39</v>
      </c>
      <c r="D1434" t="s">
        <v>4</v>
      </c>
      <c r="E1434" t="e">
        <f>VLOOKUP(Cpi_[[#This Row],[Attribute]],#REF!,2,FALSE)</f>
        <v>#REF!</v>
      </c>
      <c r="F1434">
        <v>123.1</v>
      </c>
      <c r="G1434">
        <f>(Cpi_[[#This Row],[Value]]-F1433)/F1433</f>
        <v>1.3168724279835344E-2</v>
      </c>
      <c r="H1434" t="e" cm="1" vm="1">
        <f t="array" aca="1" ref="H1434" ca="1">VLOOKUP(Cpi_[[#This Row],[Year]:[Month]],crudeoil[],3,FALSE)</f>
        <v>#VALUE!</v>
      </c>
    </row>
    <row r="1435" spans="1:8" hidden="1" x14ac:dyDescent="0.3">
      <c r="A1435" t="s">
        <v>34</v>
      </c>
      <c r="B1435">
        <v>2014</v>
      </c>
      <c r="C1435" t="s">
        <v>39</v>
      </c>
      <c r="D1435" t="s">
        <v>5</v>
      </c>
      <c r="E1435" t="e">
        <f>VLOOKUP(Cpi_[[#This Row],[Attribute]],#REF!,2,FALSE)</f>
        <v>#REF!</v>
      </c>
      <c r="F1435">
        <v>115.8</v>
      </c>
      <c r="G1435">
        <f>(Cpi_[[#This Row],[Value]]-F1434)/F1434</f>
        <v>-5.9301380991064155E-2</v>
      </c>
      <c r="H1435" t="e" cm="1" vm="1">
        <f t="array" aca="1" ref="H1435" ca="1">VLOOKUP(Cpi_[[#This Row],[Year]:[Month]],crudeoil[],3,FALSE)</f>
        <v>#VALUE!</v>
      </c>
    </row>
    <row r="1436" spans="1:8" hidden="1" x14ac:dyDescent="0.3">
      <c r="A1436" t="s">
        <v>34</v>
      </c>
      <c r="B1436">
        <v>2014</v>
      </c>
      <c r="C1436" t="s">
        <v>39</v>
      </c>
      <c r="D1436" t="s">
        <v>6</v>
      </c>
      <c r="E1436" t="e">
        <f>VLOOKUP(Cpi_[[#This Row],[Attribute]],#REF!,2,FALSE)</f>
        <v>#REF!</v>
      </c>
      <c r="F1436">
        <v>119.7</v>
      </c>
      <c r="G1436">
        <f>(Cpi_[[#This Row],[Value]]-F1435)/F1435</f>
        <v>3.3678756476683988E-2</v>
      </c>
      <c r="H1436" t="e" cm="1" vm="1">
        <f t="array" aca="1" ref="H1436" ca="1">VLOOKUP(Cpi_[[#This Row],[Year]:[Month]],crudeoil[],3,FALSE)</f>
        <v>#VALUE!</v>
      </c>
    </row>
    <row r="1437" spans="1:8" hidden="1" x14ac:dyDescent="0.3">
      <c r="A1437" t="s">
        <v>34</v>
      </c>
      <c r="B1437">
        <v>2014</v>
      </c>
      <c r="C1437" t="s">
        <v>39</v>
      </c>
      <c r="D1437" t="s">
        <v>7</v>
      </c>
      <c r="E1437" t="e">
        <f>VLOOKUP(Cpi_[[#This Row],[Attribute]],#REF!,2,FALSE)</f>
        <v>#REF!</v>
      </c>
      <c r="F1437">
        <v>107.8</v>
      </c>
      <c r="G1437">
        <f>(Cpi_[[#This Row],[Value]]-F1436)/F1436</f>
        <v>-9.9415204678362623E-2</v>
      </c>
      <c r="H1437" t="e" cm="1" vm="1">
        <f t="array" aca="1" ref="H1437" ca="1">VLOOKUP(Cpi_[[#This Row],[Year]:[Month]],crudeoil[],3,FALSE)</f>
        <v>#VALUE!</v>
      </c>
    </row>
    <row r="1438" spans="1:8" hidden="1" x14ac:dyDescent="0.3">
      <c r="A1438" t="s">
        <v>34</v>
      </c>
      <c r="B1438">
        <v>2014</v>
      </c>
      <c r="C1438" t="s">
        <v>39</v>
      </c>
      <c r="D1438" t="s">
        <v>8</v>
      </c>
      <c r="E1438" t="e">
        <f>VLOOKUP(Cpi_[[#This Row],[Attribute]],#REF!,2,FALSE)</f>
        <v>#REF!</v>
      </c>
      <c r="F1438">
        <v>128.30000000000001</v>
      </c>
      <c r="G1438">
        <f>(Cpi_[[#This Row],[Value]]-F1437)/F1437</f>
        <v>0.19016697588126175</v>
      </c>
      <c r="H1438" t="e" cm="1" vm="1">
        <f t="array" aca="1" ref="H1438" ca="1">VLOOKUP(Cpi_[[#This Row],[Year]:[Month]],crudeoil[],3,FALSE)</f>
        <v>#VALUE!</v>
      </c>
    </row>
    <row r="1439" spans="1:8" hidden="1" x14ac:dyDescent="0.3">
      <c r="A1439" t="s">
        <v>34</v>
      </c>
      <c r="B1439">
        <v>2014</v>
      </c>
      <c r="C1439" t="s">
        <v>39</v>
      </c>
      <c r="D1439" t="s">
        <v>9</v>
      </c>
      <c r="E1439" t="e">
        <f>VLOOKUP(Cpi_[[#This Row],[Attribute]],#REF!,2,FALSE)</f>
        <v>#REF!</v>
      </c>
      <c r="F1439">
        <v>132.1</v>
      </c>
      <c r="G1439">
        <f>(Cpi_[[#This Row],[Value]]-F1438)/F1438</f>
        <v>2.9618082618861907E-2</v>
      </c>
      <c r="H1439" t="e" cm="1" vm="1">
        <f t="array" aca="1" ref="H1439" ca="1">VLOOKUP(Cpi_[[#This Row],[Year]:[Month]],crudeoil[],3,FALSE)</f>
        <v>#VALUE!</v>
      </c>
    </row>
    <row r="1440" spans="1:8" hidden="1" x14ac:dyDescent="0.3">
      <c r="A1440" t="s">
        <v>34</v>
      </c>
      <c r="B1440">
        <v>2014</v>
      </c>
      <c r="C1440" t="s">
        <v>39</v>
      </c>
      <c r="D1440" t="s">
        <v>10</v>
      </c>
      <c r="E1440" t="e">
        <f>VLOOKUP(Cpi_[[#This Row],[Attribute]],#REF!,2,FALSE)</f>
        <v>#REF!</v>
      </c>
      <c r="F1440">
        <v>112.4</v>
      </c>
      <c r="G1440">
        <f>(Cpi_[[#This Row],[Value]]-F1439)/F1439</f>
        <v>-0.14912944738834208</v>
      </c>
      <c r="H1440" t="e" cm="1" vm="1">
        <f t="array" aca="1" ref="H1440" ca="1">VLOOKUP(Cpi_[[#This Row],[Year]:[Month]],crudeoil[],3,FALSE)</f>
        <v>#VALUE!</v>
      </c>
    </row>
    <row r="1441" spans="1:8" hidden="1" x14ac:dyDescent="0.3">
      <c r="A1441" t="s">
        <v>34</v>
      </c>
      <c r="B1441">
        <v>2014</v>
      </c>
      <c r="C1441" t="s">
        <v>39</v>
      </c>
      <c r="D1441" t="s">
        <v>11</v>
      </c>
      <c r="E1441" t="e">
        <f>VLOOKUP(Cpi_[[#This Row],[Attribute]],#REF!,2,FALSE)</f>
        <v>#REF!</v>
      </c>
      <c r="F1441">
        <v>102.9</v>
      </c>
      <c r="G1441">
        <f>(Cpi_[[#This Row],[Value]]-F1440)/F1440</f>
        <v>-8.4519572953736646E-2</v>
      </c>
      <c r="H1441" t="e" cm="1" vm="1">
        <f t="array" aca="1" ref="H1441" ca="1">VLOOKUP(Cpi_[[#This Row],[Year]:[Month]],crudeoil[],3,FALSE)</f>
        <v>#VALUE!</v>
      </c>
    </row>
    <row r="1442" spans="1:8" hidden="1" x14ac:dyDescent="0.3">
      <c r="A1442" t="s">
        <v>34</v>
      </c>
      <c r="B1442">
        <v>2014</v>
      </c>
      <c r="C1442" t="s">
        <v>39</v>
      </c>
      <c r="D1442" t="s">
        <v>12</v>
      </c>
      <c r="E1442" t="e">
        <f>VLOOKUP(Cpi_[[#This Row],[Attribute]],#REF!,2,FALSE)</f>
        <v>#REF!</v>
      </c>
      <c r="F1442">
        <v>114.3</v>
      </c>
      <c r="G1442">
        <f>(Cpi_[[#This Row],[Value]]-F1441)/F1441</f>
        <v>0.11078717201166172</v>
      </c>
      <c r="H1442" t="e" cm="1" vm="1">
        <f t="array" aca="1" ref="H1442" ca="1">VLOOKUP(Cpi_[[#This Row],[Year]:[Month]],crudeoil[],3,FALSE)</f>
        <v>#VALUE!</v>
      </c>
    </row>
    <row r="1443" spans="1:8" hidden="1" x14ac:dyDescent="0.3">
      <c r="A1443" t="s">
        <v>34</v>
      </c>
      <c r="B1443">
        <v>2014</v>
      </c>
      <c r="C1443" t="s">
        <v>39</v>
      </c>
      <c r="D1443" t="s">
        <v>13</v>
      </c>
      <c r="E1443" t="e">
        <f>VLOOKUP(Cpi_[[#This Row],[Attribute]],#REF!,2,FALSE)</f>
        <v>#REF!</v>
      </c>
      <c r="F1443">
        <v>114.2</v>
      </c>
      <c r="G1443">
        <f>(Cpi_[[#This Row],[Value]]-F1442)/F1442</f>
        <v>-8.7489063867011649E-4</v>
      </c>
      <c r="H1443" t="e" cm="1" vm="1">
        <f t="array" aca="1" ref="H1443" ca="1">VLOOKUP(Cpi_[[#This Row],[Year]:[Month]],crudeoil[],3,FALSE)</f>
        <v>#VALUE!</v>
      </c>
    </row>
    <row r="1444" spans="1:8" hidden="1" x14ac:dyDescent="0.3">
      <c r="A1444" t="s">
        <v>34</v>
      </c>
      <c r="B1444">
        <v>2014</v>
      </c>
      <c r="C1444" t="s">
        <v>39</v>
      </c>
      <c r="D1444" t="s">
        <v>14</v>
      </c>
      <c r="E1444" t="e">
        <f>VLOOKUP(Cpi_[[#This Row],[Attribute]],#REF!,2,FALSE)</f>
        <v>#REF!</v>
      </c>
      <c r="F1444">
        <v>121.2</v>
      </c>
      <c r="G1444">
        <f>(Cpi_[[#This Row],[Value]]-F1443)/F1443</f>
        <v>6.1295971978984239E-2</v>
      </c>
      <c r="H1444" t="e" cm="1" vm="1">
        <f t="array" aca="1" ref="H1444" ca="1">VLOOKUP(Cpi_[[#This Row],[Year]:[Month]],crudeoil[],3,FALSE)</f>
        <v>#VALUE!</v>
      </c>
    </row>
    <row r="1445" spans="1:8" hidden="1" x14ac:dyDescent="0.3">
      <c r="A1445" t="s">
        <v>34</v>
      </c>
      <c r="B1445">
        <v>2014</v>
      </c>
      <c r="C1445" t="s">
        <v>39</v>
      </c>
      <c r="D1445" t="s">
        <v>15</v>
      </c>
      <c r="E1445" t="e">
        <f>VLOOKUP(Cpi_[[#This Row],[Attribute]],#REF!,2,FALSE)</f>
        <v>#REF!</v>
      </c>
      <c r="F1445">
        <v>120.4</v>
      </c>
      <c r="G1445">
        <f>(Cpi_[[#This Row],[Value]]-F1444)/F1444</f>
        <v>-6.6006600660065773E-3</v>
      </c>
      <c r="H1445" t="e" cm="1" vm="1">
        <f t="array" aca="1" ref="H1445" ca="1">VLOOKUP(Cpi_[[#This Row],[Year]:[Month]],crudeoil[],3,FALSE)</f>
        <v>#VALUE!</v>
      </c>
    </row>
    <row r="1446" spans="1:8" hidden="1" x14ac:dyDescent="0.3">
      <c r="A1446" t="s">
        <v>34</v>
      </c>
      <c r="B1446">
        <v>2014</v>
      </c>
      <c r="C1446" t="s">
        <v>39</v>
      </c>
      <c r="D1446" t="s">
        <v>16</v>
      </c>
      <c r="E1446" t="e">
        <f>VLOOKUP(Cpi_[[#This Row],[Attribute]],#REF!,2,FALSE)</f>
        <v>#REF!</v>
      </c>
      <c r="F1446">
        <v>117.8</v>
      </c>
      <c r="G1446">
        <f>(Cpi_[[#This Row],[Value]]-F1445)/F1445</f>
        <v>-2.1594684385382128E-2</v>
      </c>
      <c r="H1446" t="e" cm="1" vm="1">
        <f t="array" aca="1" ref="H1446" ca="1">VLOOKUP(Cpi_[[#This Row],[Year]:[Month]],crudeoil[],3,FALSE)</f>
        <v>#VALUE!</v>
      </c>
    </row>
    <row r="1447" spans="1:8" hidden="1" x14ac:dyDescent="0.3">
      <c r="A1447" t="s">
        <v>34</v>
      </c>
      <c r="B1447">
        <v>2014</v>
      </c>
      <c r="C1447" t="s">
        <v>39</v>
      </c>
      <c r="D1447" t="s">
        <v>17</v>
      </c>
      <c r="E1447" t="e">
        <f>VLOOKUP(Cpi_[[#This Row],[Attribute]],#REF!,2,FALSE)</f>
        <v>#REF!</v>
      </c>
      <c r="F1447">
        <v>118.8</v>
      </c>
      <c r="G1447">
        <f>(Cpi_[[#This Row],[Value]]-F1446)/F1446</f>
        <v>8.4889643463497456E-3</v>
      </c>
      <c r="H1447" t="e" cm="1" vm="1">
        <f t="array" aca="1" ref="H1447" ca="1">VLOOKUP(Cpi_[[#This Row],[Year]:[Month]],crudeoil[],3,FALSE)</f>
        <v>#VALUE!</v>
      </c>
    </row>
    <row r="1448" spans="1:8" hidden="1" x14ac:dyDescent="0.3">
      <c r="A1448" t="s">
        <v>34</v>
      </c>
      <c r="B1448">
        <v>2014</v>
      </c>
      <c r="C1448" t="s">
        <v>39</v>
      </c>
      <c r="D1448" t="s">
        <v>18</v>
      </c>
      <c r="E1448" t="e">
        <f>VLOOKUP(Cpi_[[#This Row],[Attribute]],#REF!,2,FALSE)</f>
        <v>#REF!</v>
      </c>
      <c r="F1448">
        <v>115.6</v>
      </c>
      <c r="G1448">
        <f>(Cpi_[[#This Row],[Value]]-F1447)/F1447</f>
        <v>-2.6936026936026959E-2</v>
      </c>
      <c r="H1448" t="e" cm="1" vm="1">
        <f t="array" aca="1" ref="H1448" ca="1">VLOOKUP(Cpi_[[#This Row],[Year]:[Month]],crudeoil[],3,FALSE)</f>
        <v>#VALUE!</v>
      </c>
    </row>
    <row r="1449" spans="1:8" hidden="1" x14ac:dyDescent="0.3">
      <c r="A1449" t="s">
        <v>34</v>
      </c>
      <c r="B1449">
        <v>2014</v>
      </c>
      <c r="C1449" t="s">
        <v>39</v>
      </c>
      <c r="D1449" t="s">
        <v>19</v>
      </c>
      <c r="E1449" t="e">
        <f>VLOOKUP(Cpi_[[#This Row],[Attribute]],#REF!,2,FALSE)</f>
        <v>#REF!</v>
      </c>
      <c r="F1449">
        <v>118.3</v>
      </c>
      <c r="G1449">
        <f>(Cpi_[[#This Row],[Value]]-F1448)/F1448</f>
        <v>2.335640138408307E-2</v>
      </c>
      <c r="H1449" t="e" cm="1" vm="1">
        <f t="array" aca="1" ref="H1449" ca="1">VLOOKUP(Cpi_[[#This Row],[Year]:[Month]],crudeoil[],3,FALSE)</f>
        <v>#VALUE!</v>
      </c>
    </row>
    <row r="1450" spans="1:8" hidden="1" x14ac:dyDescent="0.3">
      <c r="A1450" t="s">
        <v>34</v>
      </c>
      <c r="B1450">
        <v>2014</v>
      </c>
      <c r="C1450" t="s">
        <v>39</v>
      </c>
      <c r="D1450" t="s">
        <v>20</v>
      </c>
      <c r="E1450" t="e">
        <f>VLOOKUP(Cpi_[[#This Row],[Attribute]],#REF!,2,FALSE)</f>
        <v>#REF!</v>
      </c>
      <c r="F1450">
        <v>113.9</v>
      </c>
      <c r="G1450">
        <f>(Cpi_[[#This Row],[Value]]-F1449)/F1449</f>
        <v>-3.7193575655114046E-2</v>
      </c>
      <c r="H1450" t="e" cm="1" vm="1">
        <f t="array" aca="1" ref="H1450" ca="1">VLOOKUP(Cpi_[[#This Row],[Year]:[Month]],crudeoil[],3,FALSE)</f>
        <v>#VALUE!</v>
      </c>
    </row>
    <row r="1451" spans="1:8" hidden="1" x14ac:dyDescent="0.3">
      <c r="A1451" t="s">
        <v>34</v>
      </c>
      <c r="B1451">
        <v>2014</v>
      </c>
      <c r="C1451" t="s">
        <v>39</v>
      </c>
      <c r="D1451" t="s">
        <v>21</v>
      </c>
      <c r="E1451" t="e">
        <f>VLOOKUP(Cpi_[[#This Row],[Attribute]],#REF!,2,FALSE)</f>
        <v>#REF!</v>
      </c>
      <c r="F1451">
        <v>113.2</v>
      </c>
      <c r="G1451">
        <f>(Cpi_[[#This Row],[Value]]-F1450)/F1450</f>
        <v>-6.1457418788411133E-3</v>
      </c>
      <c r="H1451" t="e" cm="1" vm="1">
        <f t="array" aca="1" ref="H1451" ca="1">VLOOKUP(Cpi_[[#This Row],[Year]:[Month]],crudeoil[],3,FALSE)</f>
        <v>#VALUE!</v>
      </c>
    </row>
    <row r="1452" spans="1:8" hidden="1" x14ac:dyDescent="0.3">
      <c r="A1452" t="s">
        <v>34</v>
      </c>
      <c r="B1452">
        <v>2014</v>
      </c>
      <c r="C1452" t="s">
        <v>39</v>
      </c>
      <c r="D1452" t="s">
        <v>22</v>
      </c>
      <c r="E1452" t="e">
        <f>VLOOKUP(Cpi_[[#This Row],[Attribute]],#REF!,2,FALSE)</f>
        <v>#REF!</v>
      </c>
      <c r="F1452">
        <v>114.6</v>
      </c>
      <c r="G1452">
        <f>(Cpi_[[#This Row],[Value]]-F1451)/F1451</f>
        <v>1.2367491166077663E-2</v>
      </c>
      <c r="H1452" t="e" cm="1" vm="1">
        <f t="array" aca="1" ref="H1452" ca="1">VLOOKUP(Cpi_[[#This Row],[Year]:[Month]],crudeoil[],3,FALSE)</f>
        <v>#VALUE!</v>
      </c>
    </row>
    <row r="1453" spans="1:8" hidden="1" x14ac:dyDescent="0.3">
      <c r="A1453" t="s">
        <v>34</v>
      </c>
      <c r="B1453">
        <v>2014</v>
      </c>
      <c r="C1453" t="s">
        <v>39</v>
      </c>
      <c r="D1453" t="s">
        <v>23</v>
      </c>
      <c r="E1453" t="e">
        <f>VLOOKUP(Cpi_[[#This Row],[Attribute]],#REF!,2,FALSE)</f>
        <v>#REF!</v>
      </c>
      <c r="F1453">
        <v>112.3</v>
      </c>
      <c r="G1453">
        <f>(Cpi_[[#This Row],[Value]]-F1452)/F1452</f>
        <v>-2.0069808027923186E-2</v>
      </c>
      <c r="H1453" t="e" cm="1" vm="1">
        <f t="array" aca="1" ref="H1453" ca="1">VLOOKUP(Cpi_[[#This Row],[Year]:[Month]],crudeoil[],3,FALSE)</f>
        <v>#VALUE!</v>
      </c>
    </row>
    <row r="1454" spans="1:8" hidden="1" x14ac:dyDescent="0.3">
      <c r="A1454" t="s">
        <v>34</v>
      </c>
      <c r="B1454">
        <v>2014</v>
      </c>
      <c r="C1454" t="s">
        <v>39</v>
      </c>
      <c r="D1454" t="s">
        <v>24</v>
      </c>
      <c r="E1454" t="e">
        <f>VLOOKUP(Cpi_[[#This Row],[Attribute]],#REF!,2,FALSE)</f>
        <v>#REF!</v>
      </c>
      <c r="F1454">
        <v>111.8</v>
      </c>
      <c r="G1454">
        <f>(Cpi_[[#This Row],[Value]]-F1453)/F1453</f>
        <v>-4.4523597506678537E-3</v>
      </c>
      <c r="H1454" t="e" cm="1" vm="1">
        <f t="array" aca="1" ref="H1454" ca="1">VLOOKUP(Cpi_[[#This Row],[Year]:[Month]],crudeoil[],3,FALSE)</f>
        <v>#VALUE!</v>
      </c>
    </row>
    <row r="1455" spans="1:8" hidden="1" x14ac:dyDescent="0.3">
      <c r="A1455" t="s">
        <v>34</v>
      </c>
      <c r="B1455">
        <v>2014</v>
      </c>
      <c r="C1455" t="s">
        <v>39</v>
      </c>
      <c r="D1455" t="s">
        <v>25</v>
      </c>
      <c r="E1455" t="e">
        <f>VLOOKUP(Cpi_[[#This Row],[Attribute]],#REF!,2,FALSE)</f>
        <v>#REF!</v>
      </c>
      <c r="F1455">
        <v>111.6</v>
      </c>
      <c r="G1455">
        <f>(Cpi_[[#This Row],[Value]]-F1454)/F1454</f>
        <v>-1.7889087656529771E-3</v>
      </c>
      <c r="H1455" t="e" cm="1" vm="1">
        <f t="array" aca="1" ref="H1455" ca="1">VLOOKUP(Cpi_[[#This Row],[Year]:[Month]],crudeoil[],3,FALSE)</f>
        <v>#VALUE!</v>
      </c>
    </row>
    <row r="1456" spans="1:8" hidden="1" x14ac:dyDescent="0.3">
      <c r="A1456" t="s">
        <v>34</v>
      </c>
      <c r="B1456">
        <v>2014</v>
      </c>
      <c r="C1456" t="s">
        <v>39</v>
      </c>
      <c r="D1456" t="s">
        <v>26</v>
      </c>
      <c r="E1456" t="e">
        <f>VLOOKUP(Cpi_[[#This Row],[Attribute]],#REF!,2,FALSE)</f>
        <v>#REF!</v>
      </c>
      <c r="F1456">
        <v>114.8</v>
      </c>
      <c r="G1456">
        <f>(Cpi_[[#This Row],[Value]]-F1455)/F1455</f>
        <v>2.8673835125448056E-2</v>
      </c>
      <c r="H1456" t="e" cm="1" vm="1">
        <f t="array" aca="1" ref="H1456" ca="1">VLOOKUP(Cpi_[[#This Row],[Year]:[Month]],crudeoil[],3,FALSE)</f>
        <v>#VALUE!</v>
      </c>
    </row>
    <row r="1457" spans="1:8" hidden="1" x14ac:dyDescent="0.3">
      <c r="A1457" t="s">
        <v>34</v>
      </c>
      <c r="B1457">
        <v>2014</v>
      </c>
      <c r="C1457" t="s">
        <v>39</v>
      </c>
      <c r="D1457" t="s">
        <v>27</v>
      </c>
      <c r="E1457" t="e">
        <f>VLOOKUP(Cpi_[[#This Row],[Attribute]],#REF!,2,FALSE)</f>
        <v>#REF!</v>
      </c>
      <c r="F1457">
        <v>108.3</v>
      </c>
      <c r="G1457">
        <f>(Cpi_[[#This Row],[Value]]-F1456)/F1456</f>
        <v>-5.6620209059233449E-2</v>
      </c>
      <c r="H1457" t="e" cm="1" vm="1">
        <f t="array" aca="1" ref="H1457" ca="1">VLOOKUP(Cpi_[[#This Row],[Year]:[Month]],crudeoil[],3,FALSE)</f>
        <v>#VALUE!</v>
      </c>
    </row>
    <row r="1458" spans="1:8" hidden="1" x14ac:dyDescent="0.3">
      <c r="A1458" t="s">
        <v>34</v>
      </c>
      <c r="B1458">
        <v>2014</v>
      </c>
      <c r="C1458" t="s">
        <v>39</v>
      </c>
      <c r="D1458" t="s">
        <v>28</v>
      </c>
      <c r="E1458" t="e">
        <f>VLOOKUP(Cpi_[[#This Row],[Attribute]],#REF!,2,FALSE)</f>
        <v>#REF!</v>
      </c>
      <c r="F1458">
        <v>112.3</v>
      </c>
      <c r="G1458">
        <f>(Cpi_[[#This Row],[Value]]-F1457)/F1457</f>
        <v>3.6934441366574332E-2</v>
      </c>
      <c r="H1458" t="e" cm="1" vm="1">
        <f t="array" aca="1" ref="H1458" ca="1">VLOOKUP(Cpi_[[#This Row],[Year]:[Month]],crudeoil[],3,FALSE)</f>
        <v>#VALUE!</v>
      </c>
    </row>
    <row r="1459" spans="1:8" hidden="1" x14ac:dyDescent="0.3">
      <c r="A1459" t="s">
        <v>34</v>
      </c>
      <c r="B1459">
        <v>2014</v>
      </c>
      <c r="C1459" t="s">
        <v>39</v>
      </c>
      <c r="D1459" t="s">
        <v>29</v>
      </c>
      <c r="E1459" t="e" cm="1">
        <f t="array" aca="1" ref="E1459" ca="1">VLGeneral indexGeneral indexKUP(Cpi_[[#This Row],[Attribute]],#REF!,2,FALSE)</f>
        <v>#NAME?</v>
      </c>
      <c r="F1459">
        <v>116.7</v>
      </c>
      <c r="G1459">
        <f>(Cpi_[[#This Row],[Value]]-F1458)/F1458</f>
        <v>3.918076580587717E-2</v>
      </c>
      <c r="H1459" t="e" cm="1" vm="1">
        <f t="array" aca="1" ref="H1459" ca="1">VLOOKUP(Cpi_[[#This Row],[Year]:[Month]],crudeoil[],3,FALSE)</f>
        <v>#VALUE!</v>
      </c>
    </row>
    <row r="1460" spans="1:8" hidden="1" x14ac:dyDescent="0.3">
      <c r="A1460" t="s">
        <v>30</v>
      </c>
      <c r="B1460">
        <v>2014</v>
      </c>
      <c r="C1460" t="s">
        <v>40</v>
      </c>
      <c r="D1460" t="s">
        <v>3</v>
      </c>
      <c r="E1460" t="e">
        <f>VLOOKUP(Cpi_[[#This Row],[Attribute]],#REF!,2,FALSE)</f>
        <v>#REF!</v>
      </c>
      <c r="F1460">
        <v>121.7</v>
      </c>
      <c r="G1460">
        <f>(Cpi_[[#This Row],[Value]]-F1459)/F1459</f>
        <v>4.2844901456726647E-2</v>
      </c>
      <c r="H1460" t="e" cm="1" vm="1">
        <f t="array" aca="1" ref="H1460" ca="1">VLOOKUP(Cpi_[[#This Row],[Year]:[Month]],crudeoil[],3,FALSE)</f>
        <v>#VALUE!</v>
      </c>
    </row>
    <row r="1461" spans="1:8" hidden="1" x14ac:dyDescent="0.3">
      <c r="A1461" t="s">
        <v>30</v>
      </c>
      <c r="B1461">
        <v>2014</v>
      </c>
      <c r="C1461" t="s">
        <v>40</v>
      </c>
      <c r="D1461" t="s">
        <v>4</v>
      </c>
      <c r="E1461" t="e">
        <f>VLOOKUP(Cpi_[[#This Row],[Attribute]],#REF!,2,FALSE)</f>
        <v>#REF!</v>
      </c>
      <c r="F1461">
        <v>122.5</v>
      </c>
      <c r="G1461">
        <f>(Cpi_[[#This Row],[Value]]-F1460)/F1460</f>
        <v>6.5735414954806665E-3</v>
      </c>
      <c r="H1461" t="e" cm="1" vm="1">
        <f t="array" aca="1" ref="H1461" ca="1">VLOOKUP(Cpi_[[#This Row],[Year]:[Month]],crudeoil[],3,FALSE)</f>
        <v>#VALUE!</v>
      </c>
    </row>
    <row r="1462" spans="1:8" hidden="1" x14ac:dyDescent="0.3">
      <c r="A1462" t="s">
        <v>30</v>
      </c>
      <c r="B1462">
        <v>2014</v>
      </c>
      <c r="C1462" t="s">
        <v>40</v>
      </c>
      <c r="D1462" t="s">
        <v>5</v>
      </c>
      <c r="E1462" t="e">
        <f>VLOOKUP(Cpi_[[#This Row],[Attribute]],#REF!,2,FALSE)</f>
        <v>#REF!</v>
      </c>
      <c r="F1462">
        <v>117.7</v>
      </c>
      <c r="G1462">
        <f>(Cpi_[[#This Row],[Value]]-F1461)/F1461</f>
        <v>-3.9183673469387732E-2</v>
      </c>
      <c r="H1462" t="e" cm="1" vm="1">
        <f t="array" aca="1" ref="H1462" ca="1">VLOOKUP(Cpi_[[#This Row],[Year]:[Month]],crudeoil[],3,FALSE)</f>
        <v>#VALUE!</v>
      </c>
    </row>
    <row r="1463" spans="1:8" hidden="1" x14ac:dyDescent="0.3">
      <c r="A1463" t="s">
        <v>30</v>
      </c>
      <c r="B1463">
        <v>2014</v>
      </c>
      <c r="C1463" t="s">
        <v>40</v>
      </c>
      <c r="D1463" t="s">
        <v>6</v>
      </c>
      <c r="E1463" t="e">
        <f>VLOOKUP(Cpi_[[#This Row],[Attribute]],#REF!,2,FALSE)</f>
        <v>#REF!</v>
      </c>
      <c r="F1463">
        <v>120.6</v>
      </c>
      <c r="G1463">
        <f>(Cpi_[[#This Row],[Value]]-F1462)/F1462</f>
        <v>2.4638912489379706E-2</v>
      </c>
      <c r="H1463" t="e" cm="1" vm="1">
        <f t="array" aca="1" ref="H1463" ca="1">VLOOKUP(Cpi_[[#This Row],[Year]:[Month]],crudeoil[],3,FALSE)</f>
        <v>#VALUE!</v>
      </c>
    </row>
    <row r="1464" spans="1:8" hidden="1" x14ac:dyDescent="0.3">
      <c r="A1464" t="s">
        <v>30</v>
      </c>
      <c r="B1464">
        <v>2014</v>
      </c>
      <c r="C1464" t="s">
        <v>40</v>
      </c>
      <c r="D1464" t="s">
        <v>7</v>
      </c>
      <c r="E1464" t="e">
        <f>VLOOKUP(Cpi_[[#This Row],[Attribute]],#REF!,2,FALSE)</f>
        <v>#REF!</v>
      </c>
      <c r="F1464">
        <v>110.4</v>
      </c>
      <c r="G1464">
        <f>(Cpi_[[#This Row],[Value]]-F1463)/F1463</f>
        <v>-8.4577114427860603E-2</v>
      </c>
      <c r="H1464" t="e" cm="1" vm="1">
        <f t="array" aca="1" ref="H1464" ca="1">VLOOKUP(Cpi_[[#This Row],[Year]:[Month]],crudeoil[],3,FALSE)</f>
        <v>#VALUE!</v>
      </c>
    </row>
    <row r="1465" spans="1:8" hidden="1" x14ac:dyDescent="0.3">
      <c r="A1465" t="s">
        <v>30</v>
      </c>
      <c r="B1465">
        <v>2014</v>
      </c>
      <c r="C1465" t="s">
        <v>40</v>
      </c>
      <c r="D1465" t="s">
        <v>8</v>
      </c>
      <c r="E1465" t="e">
        <f>VLOOKUP(Cpi_[[#This Row],[Attribute]],#REF!,2,FALSE)</f>
        <v>#REF!</v>
      </c>
      <c r="F1465">
        <v>129.1</v>
      </c>
      <c r="G1465">
        <f>(Cpi_[[#This Row],[Value]]-F1464)/F1464</f>
        <v>0.16938405797101438</v>
      </c>
      <c r="H1465" t="e" cm="1" vm="1">
        <f t="array" aca="1" ref="H1465" ca="1">VLOOKUP(Cpi_[[#This Row],[Year]:[Month]],crudeoil[],3,FALSE)</f>
        <v>#VALUE!</v>
      </c>
    </row>
    <row r="1466" spans="1:8" hidden="1" x14ac:dyDescent="0.3">
      <c r="A1466" t="s">
        <v>30</v>
      </c>
      <c r="B1466">
        <v>2014</v>
      </c>
      <c r="C1466" t="s">
        <v>40</v>
      </c>
      <c r="D1466" t="s">
        <v>9</v>
      </c>
      <c r="E1466" t="e">
        <f>VLOOKUP(Cpi_[[#This Row],[Attribute]],#REF!,2,FALSE)</f>
        <v>#REF!</v>
      </c>
      <c r="F1466">
        <v>150.1</v>
      </c>
      <c r="G1466">
        <f>(Cpi_[[#This Row],[Value]]-F1465)/F1465</f>
        <v>0.16266460108443068</v>
      </c>
      <c r="H1466" t="e" cm="1" vm="1">
        <f t="array" aca="1" ref="H1466" ca="1">VLOOKUP(Cpi_[[#This Row],[Year]:[Month]],crudeoil[],3,FALSE)</f>
        <v>#VALUE!</v>
      </c>
    </row>
    <row r="1467" spans="1:8" hidden="1" x14ac:dyDescent="0.3">
      <c r="A1467" t="s">
        <v>30</v>
      </c>
      <c r="B1467">
        <v>2014</v>
      </c>
      <c r="C1467" t="s">
        <v>40</v>
      </c>
      <c r="D1467" t="s">
        <v>10</v>
      </c>
      <c r="E1467" t="e">
        <f>VLOOKUP(Cpi_[[#This Row],[Attribute]],#REF!,2,FALSE)</f>
        <v>#REF!</v>
      </c>
      <c r="F1467">
        <v>113.2</v>
      </c>
      <c r="G1467">
        <f>(Cpi_[[#This Row],[Value]]-F1466)/F1466</f>
        <v>-0.24583610926049296</v>
      </c>
      <c r="H1467" t="e" cm="1" vm="1">
        <f t="array" aca="1" ref="H1467" ca="1">VLOOKUP(Cpi_[[#This Row],[Year]:[Month]],crudeoil[],3,FALSE)</f>
        <v>#VALUE!</v>
      </c>
    </row>
    <row r="1468" spans="1:8" hidden="1" x14ac:dyDescent="0.3">
      <c r="A1468" t="s">
        <v>30</v>
      </c>
      <c r="B1468">
        <v>2014</v>
      </c>
      <c r="C1468" t="s">
        <v>40</v>
      </c>
      <c r="D1468" t="s">
        <v>11</v>
      </c>
      <c r="E1468" t="e">
        <f>VLOOKUP(Cpi_[[#This Row],[Attribute]],#REF!,2,FALSE)</f>
        <v>#REF!</v>
      </c>
      <c r="F1468">
        <v>104.8</v>
      </c>
      <c r="G1468">
        <f>(Cpi_[[#This Row],[Value]]-F1467)/F1467</f>
        <v>-7.4204946996466473E-2</v>
      </c>
      <c r="H1468" t="e" cm="1" vm="1">
        <f t="array" aca="1" ref="H1468" ca="1">VLOOKUP(Cpi_[[#This Row],[Year]:[Month]],crudeoil[],3,FALSE)</f>
        <v>#VALUE!</v>
      </c>
    </row>
    <row r="1469" spans="1:8" hidden="1" x14ac:dyDescent="0.3">
      <c r="A1469" t="s">
        <v>30</v>
      </c>
      <c r="B1469">
        <v>2014</v>
      </c>
      <c r="C1469" t="s">
        <v>40</v>
      </c>
      <c r="D1469" t="s">
        <v>12</v>
      </c>
      <c r="E1469" t="e">
        <f>VLOOKUP(Cpi_[[#This Row],[Attribute]],#REF!,2,FALSE)</f>
        <v>#REF!</v>
      </c>
      <c r="F1469">
        <v>113.3</v>
      </c>
      <c r="G1469">
        <f>(Cpi_[[#This Row],[Value]]-F1468)/F1468</f>
        <v>8.110687022900763E-2</v>
      </c>
      <c r="H1469" t="e" cm="1" vm="1">
        <f t="array" aca="1" ref="H1469" ca="1">VLOOKUP(Cpi_[[#This Row],[Year]:[Month]],crudeoil[],3,FALSE)</f>
        <v>#VALUE!</v>
      </c>
    </row>
    <row r="1470" spans="1:8" hidden="1" x14ac:dyDescent="0.3">
      <c r="A1470" t="s">
        <v>30</v>
      </c>
      <c r="B1470">
        <v>2014</v>
      </c>
      <c r="C1470" t="s">
        <v>40</v>
      </c>
      <c r="D1470" t="s">
        <v>13</v>
      </c>
      <c r="E1470" t="e">
        <f>VLOOKUP(Cpi_[[#This Row],[Attribute]],#REF!,2,FALSE)</f>
        <v>#REF!</v>
      </c>
      <c r="F1470">
        <v>115.6</v>
      </c>
      <c r="G1470">
        <f>(Cpi_[[#This Row],[Value]]-F1469)/F1469</f>
        <v>2.0300088261253284E-2</v>
      </c>
      <c r="H1470" t="e" cm="1" vm="1">
        <f t="array" aca="1" ref="H1470" ca="1">VLOOKUP(Cpi_[[#This Row],[Year]:[Month]],crudeoil[],3,FALSE)</f>
        <v>#VALUE!</v>
      </c>
    </row>
    <row r="1471" spans="1:8" hidden="1" x14ac:dyDescent="0.3">
      <c r="A1471" t="s">
        <v>30</v>
      </c>
      <c r="B1471">
        <v>2014</v>
      </c>
      <c r="C1471" t="s">
        <v>40</v>
      </c>
      <c r="D1471" t="s">
        <v>14</v>
      </c>
      <c r="E1471" t="e">
        <f>VLOOKUP(Cpi_[[#This Row],[Attribute]],#REF!,2,FALSE)</f>
        <v>#REF!</v>
      </c>
      <c r="F1471">
        <v>120.9</v>
      </c>
      <c r="G1471">
        <f>(Cpi_[[#This Row],[Value]]-F1470)/F1470</f>
        <v>4.5847750865052002E-2</v>
      </c>
      <c r="H1471" t="e" cm="1" vm="1">
        <f t="array" aca="1" ref="H1471" ca="1">VLOOKUP(Cpi_[[#This Row],[Year]:[Month]],crudeoil[],3,FALSE)</f>
        <v>#VALUE!</v>
      </c>
    </row>
    <row r="1472" spans="1:8" hidden="1" x14ac:dyDescent="0.3">
      <c r="A1472" t="s">
        <v>30</v>
      </c>
      <c r="B1472">
        <v>2014</v>
      </c>
      <c r="C1472" t="s">
        <v>40</v>
      </c>
      <c r="D1472" t="s">
        <v>15</v>
      </c>
      <c r="E1472" t="e">
        <f>VLOOKUP(Cpi_[[#This Row],[Attribute]],#REF!,2,FALSE)</f>
        <v>#REF!</v>
      </c>
      <c r="F1472">
        <v>123.3</v>
      </c>
      <c r="G1472">
        <f>(Cpi_[[#This Row],[Value]]-F1471)/F1471</f>
        <v>1.9851116625310101E-2</v>
      </c>
      <c r="H1472" t="e" cm="1" vm="1">
        <f t="array" aca="1" ref="H1472" ca="1">VLOOKUP(Cpi_[[#This Row],[Year]:[Month]],crudeoil[],3,FALSE)</f>
        <v>#VALUE!</v>
      </c>
    </row>
    <row r="1473" spans="1:8" hidden="1" x14ac:dyDescent="0.3">
      <c r="A1473" t="s">
        <v>30</v>
      </c>
      <c r="B1473">
        <v>2014</v>
      </c>
      <c r="C1473" t="s">
        <v>40</v>
      </c>
      <c r="D1473" t="s">
        <v>16</v>
      </c>
      <c r="E1473" t="e">
        <f>VLOOKUP(Cpi_[[#This Row],[Attribute]],#REF!,2,FALSE)</f>
        <v>#REF!</v>
      </c>
      <c r="F1473">
        <v>118</v>
      </c>
      <c r="G1473">
        <f>(Cpi_[[#This Row],[Value]]-F1472)/F1472</f>
        <v>-4.2984590429845884E-2</v>
      </c>
      <c r="H1473" t="e" cm="1" vm="1">
        <f t="array" aca="1" ref="H1473" ca="1">VLOOKUP(Cpi_[[#This Row],[Year]:[Month]],crudeoil[],3,FALSE)</f>
        <v>#VALUE!</v>
      </c>
    </row>
    <row r="1474" spans="1:8" hidden="1" x14ac:dyDescent="0.3">
      <c r="A1474" t="s">
        <v>30</v>
      </c>
      <c r="B1474">
        <v>2014</v>
      </c>
      <c r="C1474" t="s">
        <v>40</v>
      </c>
      <c r="D1474" t="s">
        <v>17</v>
      </c>
      <c r="E1474" t="e">
        <f>VLOOKUP(Cpi_[[#This Row],[Attribute]],#REF!,2,FALSE)</f>
        <v>#REF!</v>
      </c>
      <c r="F1474">
        <v>120.7</v>
      </c>
      <c r="G1474">
        <f>(Cpi_[[#This Row],[Value]]-F1473)/F1473</f>
        <v>2.2881355932203414E-2</v>
      </c>
      <c r="H1474" t="e" cm="1" vm="1">
        <f t="array" aca="1" ref="H1474" ca="1">VLOOKUP(Cpi_[[#This Row],[Year]:[Month]],crudeoil[],3,FALSE)</f>
        <v>#VALUE!</v>
      </c>
    </row>
    <row r="1475" spans="1:8" hidden="1" x14ac:dyDescent="0.3">
      <c r="A1475" t="s">
        <v>30</v>
      </c>
      <c r="B1475">
        <v>2014</v>
      </c>
      <c r="C1475" t="s">
        <v>40</v>
      </c>
      <c r="D1475" t="s">
        <v>18</v>
      </c>
      <c r="E1475" t="e">
        <f>VLOOKUP(Cpi_[[#This Row],[Attribute]],#REF!,2,FALSE)</f>
        <v>#REF!</v>
      </c>
      <c r="F1475">
        <v>118.3</v>
      </c>
      <c r="G1475">
        <f>(Cpi_[[#This Row],[Value]]-F1474)/F1474</f>
        <v>-1.9884009942005017E-2</v>
      </c>
      <c r="H1475" t="e" cm="1" vm="1">
        <f t="array" aca="1" ref="H1475" ca="1">VLOOKUP(Cpi_[[#This Row],[Year]:[Month]],crudeoil[],3,FALSE)</f>
        <v>#VALUE!</v>
      </c>
    </row>
    <row r="1476" spans="1:8" hidden="1" x14ac:dyDescent="0.3">
      <c r="A1476" t="s">
        <v>30</v>
      </c>
      <c r="B1476">
        <v>2014</v>
      </c>
      <c r="C1476" t="s">
        <v>40</v>
      </c>
      <c r="D1476" t="s">
        <v>19</v>
      </c>
      <c r="E1476" t="e">
        <f>VLOOKUP(Cpi_[[#This Row],[Attribute]],#REF!,2,FALSE)</f>
        <v>#REF!</v>
      </c>
      <c r="F1476">
        <v>120.3</v>
      </c>
      <c r="G1476">
        <f>(Cpi_[[#This Row],[Value]]-F1475)/F1475</f>
        <v>1.69061707523246E-2</v>
      </c>
      <c r="H1476" t="e" cm="1" vm="1">
        <f t="array" aca="1" ref="H1476" ca="1">VLOOKUP(Cpi_[[#This Row],[Year]:[Month]],crudeoil[],3,FALSE)</f>
        <v>#VALUE!</v>
      </c>
    </row>
    <row r="1477" spans="1:8" hidden="1" x14ac:dyDescent="0.3">
      <c r="A1477" t="s">
        <v>30</v>
      </c>
      <c r="B1477">
        <v>2014</v>
      </c>
      <c r="C1477" t="s">
        <v>40</v>
      </c>
      <c r="D1477" t="s">
        <v>20</v>
      </c>
      <c r="E1477" t="e">
        <f>VLOOKUP(Cpi_[[#This Row],[Attribute]],#REF!,2,FALSE)</f>
        <v>#REF!</v>
      </c>
      <c r="F1477" t="s">
        <v>32</v>
      </c>
      <c r="G1477" t="e">
        <f>(Cpi_[[#This Row],[Value]]-F1476)/F1476</f>
        <v>#VALUE!</v>
      </c>
      <c r="H1477" t="e" cm="1" vm="1">
        <f t="array" aca="1" ref="H1477" ca="1">VLOOKUP(Cpi_[[#This Row],[Year]:[Month]],crudeoil[],3,FALSE)</f>
        <v>#VALUE!</v>
      </c>
    </row>
    <row r="1478" spans="1:8" hidden="1" x14ac:dyDescent="0.3">
      <c r="A1478" t="s">
        <v>30</v>
      </c>
      <c r="B1478">
        <v>2014</v>
      </c>
      <c r="C1478" t="s">
        <v>40</v>
      </c>
      <c r="D1478" t="s">
        <v>21</v>
      </c>
      <c r="E1478" t="e">
        <f>VLOOKUP(Cpi_[[#This Row],[Attribute]],#REF!,2,FALSE)</f>
        <v>#REF!</v>
      </c>
      <c r="F1478">
        <v>115.3</v>
      </c>
      <c r="G1478" t="e">
        <f>(Cpi_[[#This Row],[Value]]-F1477)/F1477</f>
        <v>#VALUE!</v>
      </c>
      <c r="H1478" t="e" cm="1" vm="1">
        <f t="array" aca="1" ref="H1478" ca="1">VLOOKUP(Cpi_[[#This Row],[Year]:[Month]],crudeoil[],3,FALSE)</f>
        <v>#VALUE!</v>
      </c>
    </row>
    <row r="1479" spans="1:8" hidden="1" x14ac:dyDescent="0.3">
      <c r="A1479" t="s">
        <v>30</v>
      </c>
      <c r="B1479">
        <v>2014</v>
      </c>
      <c r="C1479" t="s">
        <v>40</v>
      </c>
      <c r="D1479" t="s">
        <v>22</v>
      </c>
      <c r="E1479" t="e">
        <f>VLOOKUP(Cpi_[[#This Row],[Attribute]],#REF!,2,FALSE)</f>
        <v>#REF!</v>
      </c>
      <c r="F1479">
        <v>115.4</v>
      </c>
      <c r="G1479">
        <f>(Cpi_[[#This Row],[Value]]-F1478)/F1478</f>
        <v>8.673026886384088E-4</v>
      </c>
      <c r="H1479" t="e" cm="1" vm="1">
        <f t="array" aca="1" ref="H1479" ca="1">VLOOKUP(Cpi_[[#This Row],[Year]:[Month]],crudeoil[],3,FALSE)</f>
        <v>#VALUE!</v>
      </c>
    </row>
    <row r="1480" spans="1:8" hidden="1" x14ac:dyDescent="0.3">
      <c r="A1480" t="s">
        <v>30</v>
      </c>
      <c r="B1480">
        <v>2014</v>
      </c>
      <c r="C1480" t="s">
        <v>40</v>
      </c>
      <c r="D1480" t="s">
        <v>23</v>
      </c>
      <c r="E1480" t="e">
        <f>VLOOKUP(Cpi_[[#This Row],[Attribute]],#REF!,2,FALSE)</f>
        <v>#REF!</v>
      </c>
      <c r="F1480">
        <v>113.4</v>
      </c>
      <c r="G1480">
        <f>(Cpi_[[#This Row],[Value]]-F1479)/F1479</f>
        <v>-1.7331022530329289E-2</v>
      </c>
      <c r="H1480" t="e" cm="1" vm="1">
        <f t="array" aca="1" ref="H1480" ca="1">VLOOKUP(Cpi_[[#This Row],[Year]:[Month]],crudeoil[],3,FALSE)</f>
        <v>#VALUE!</v>
      </c>
    </row>
    <row r="1481" spans="1:8" hidden="1" x14ac:dyDescent="0.3">
      <c r="A1481" t="s">
        <v>30</v>
      </c>
      <c r="B1481">
        <v>2014</v>
      </c>
      <c r="C1481" t="s">
        <v>40</v>
      </c>
      <c r="D1481" t="s">
        <v>24</v>
      </c>
      <c r="E1481" t="e">
        <f>VLOOKUP(Cpi_[[#This Row],[Attribute]],#REF!,2,FALSE)</f>
        <v>#REF!</v>
      </c>
      <c r="F1481">
        <v>113.2</v>
      </c>
      <c r="G1481">
        <f>(Cpi_[[#This Row],[Value]]-F1480)/F1480</f>
        <v>-1.7636684303351221E-3</v>
      </c>
      <c r="H1481" t="e" cm="1" vm="1">
        <f t="array" aca="1" ref="H1481" ca="1">VLOOKUP(Cpi_[[#This Row],[Year]:[Month]],crudeoil[],3,FALSE)</f>
        <v>#VALUE!</v>
      </c>
    </row>
    <row r="1482" spans="1:8" hidden="1" x14ac:dyDescent="0.3">
      <c r="A1482" t="s">
        <v>30</v>
      </c>
      <c r="B1482">
        <v>2014</v>
      </c>
      <c r="C1482" t="s">
        <v>40</v>
      </c>
      <c r="D1482" t="s">
        <v>25</v>
      </c>
      <c r="E1482" t="e">
        <f>VLOOKUP(Cpi_[[#This Row],[Attribute]],#REF!,2,FALSE)</f>
        <v>#REF!</v>
      </c>
      <c r="F1482">
        <v>111.8</v>
      </c>
      <c r="G1482">
        <f>(Cpi_[[#This Row],[Value]]-F1481)/F1481</f>
        <v>-1.2367491166077788E-2</v>
      </c>
      <c r="H1482" t="e" cm="1" vm="1">
        <f t="array" aca="1" ref="H1482" ca="1">VLOOKUP(Cpi_[[#This Row],[Year]:[Month]],crudeoil[],3,FALSE)</f>
        <v>#VALUE!</v>
      </c>
    </row>
    <row r="1483" spans="1:8" hidden="1" x14ac:dyDescent="0.3">
      <c r="A1483" t="s">
        <v>30</v>
      </c>
      <c r="B1483">
        <v>2014</v>
      </c>
      <c r="C1483" t="s">
        <v>40</v>
      </c>
      <c r="D1483" t="s">
        <v>26</v>
      </c>
      <c r="E1483" t="e">
        <f>VLOOKUP(Cpi_[[#This Row],[Attribute]],#REF!,2,FALSE)</f>
        <v>#REF!</v>
      </c>
      <c r="F1483">
        <v>115.5</v>
      </c>
      <c r="G1483">
        <f>(Cpi_[[#This Row],[Value]]-F1482)/F1482</f>
        <v>3.3094812164579636E-2</v>
      </c>
      <c r="H1483" t="e" cm="1" vm="1">
        <f t="array" aca="1" ref="H1483" ca="1">VLOOKUP(Cpi_[[#This Row],[Year]:[Month]],crudeoil[],3,FALSE)</f>
        <v>#VALUE!</v>
      </c>
    </row>
    <row r="1484" spans="1:8" hidden="1" x14ac:dyDescent="0.3">
      <c r="A1484" t="s">
        <v>30</v>
      </c>
      <c r="B1484">
        <v>2014</v>
      </c>
      <c r="C1484" t="s">
        <v>40</v>
      </c>
      <c r="D1484" t="s">
        <v>27</v>
      </c>
      <c r="E1484" t="e">
        <f>VLOOKUP(Cpi_[[#This Row],[Attribute]],#REF!,2,FALSE)</f>
        <v>#REF!</v>
      </c>
      <c r="F1484">
        <v>108.8</v>
      </c>
      <c r="G1484">
        <f>(Cpi_[[#This Row],[Value]]-F1483)/F1483</f>
        <v>-5.800865800865803E-2</v>
      </c>
      <c r="H1484" t="e" cm="1" vm="1">
        <f t="array" aca="1" ref="H1484" ca="1">VLOOKUP(Cpi_[[#This Row],[Year]:[Month]],crudeoil[],3,FALSE)</f>
        <v>#VALUE!</v>
      </c>
    </row>
    <row r="1485" spans="1:8" hidden="1" x14ac:dyDescent="0.3">
      <c r="A1485" t="s">
        <v>30</v>
      </c>
      <c r="B1485">
        <v>2014</v>
      </c>
      <c r="C1485" t="s">
        <v>40</v>
      </c>
      <c r="D1485" t="s">
        <v>28</v>
      </c>
      <c r="E1485" t="e">
        <f>VLOOKUP(Cpi_[[#This Row],[Attribute]],#REF!,2,FALSE)</f>
        <v>#REF!</v>
      </c>
      <c r="F1485">
        <v>113.1</v>
      </c>
      <c r="G1485">
        <f>(Cpi_[[#This Row],[Value]]-F1484)/F1484</f>
        <v>3.9522058823529389E-2</v>
      </c>
      <c r="H1485" t="e" cm="1" vm="1">
        <f t="array" aca="1" ref="H1485" ca="1">VLOOKUP(Cpi_[[#This Row],[Year]:[Month]],crudeoil[],3,FALSE)</f>
        <v>#VALUE!</v>
      </c>
    </row>
    <row r="1486" spans="1:8" hidden="1" x14ac:dyDescent="0.3">
      <c r="A1486" t="s">
        <v>30</v>
      </c>
      <c r="B1486">
        <v>2014</v>
      </c>
      <c r="C1486" t="s">
        <v>40</v>
      </c>
      <c r="D1486" t="s">
        <v>29</v>
      </c>
      <c r="E1486" t="e" cm="1">
        <f t="array" aca="1" ref="E1486" ca="1">VLGeneral indexGeneral indexKUP(Cpi_[[#This Row],[Attribute]],#REF!,2,FALSE)</f>
        <v>#NAME?</v>
      </c>
      <c r="F1486">
        <v>119.5</v>
      </c>
      <c r="G1486">
        <f>(Cpi_[[#This Row],[Value]]-F1485)/F1485</f>
        <v>5.6587091069849743E-2</v>
      </c>
      <c r="H1486" t="e" cm="1" vm="1">
        <f t="array" aca="1" ref="H1486" ca="1">VLOOKUP(Cpi_[[#This Row],[Year]:[Month]],crudeoil[],3,FALSE)</f>
        <v>#VALUE!</v>
      </c>
    </row>
    <row r="1487" spans="1:8" hidden="1" x14ac:dyDescent="0.3">
      <c r="A1487" t="s">
        <v>33</v>
      </c>
      <c r="B1487">
        <v>2014</v>
      </c>
      <c r="C1487" t="s">
        <v>40</v>
      </c>
      <c r="D1487" t="s">
        <v>3</v>
      </c>
      <c r="E1487" t="e">
        <f>VLOOKUP(Cpi_[[#This Row],[Attribute]],#REF!,2,FALSE)</f>
        <v>#REF!</v>
      </c>
      <c r="F1487">
        <v>123.8</v>
      </c>
      <c r="G1487">
        <f>(Cpi_[[#This Row],[Value]]-F1486)/F1486</f>
        <v>3.5983263598326334E-2</v>
      </c>
      <c r="H1487" t="e" cm="1" vm="1">
        <f t="array" aca="1" ref="H1487" ca="1">VLOOKUP(Cpi_[[#This Row],[Year]:[Month]],crudeoil[],3,FALSE)</f>
        <v>#VALUE!</v>
      </c>
    </row>
    <row r="1488" spans="1:8" hidden="1" x14ac:dyDescent="0.3">
      <c r="A1488" t="s">
        <v>33</v>
      </c>
      <c r="B1488">
        <v>2014</v>
      </c>
      <c r="C1488" t="s">
        <v>40</v>
      </c>
      <c r="D1488" t="s">
        <v>4</v>
      </c>
      <c r="E1488" t="e">
        <f>VLOOKUP(Cpi_[[#This Row],[Attribute]],#REF!,2,FALSE)</f>
        <v>#REF!</v>
      </c>
      <c r="F1488">
        <v>126.4</v>
      </c>
      <c r="G1488">
        <f>(Cpi_[[#This Row],[Value]]-F1487)/F1487</f>
        <v>2.1001615508885369E-2</v>
      </c>
      <c r="H1488" t="e" cm="1" vm="1">
        <f t="array" aca="1" ref="H1488" ca="1">VLOOKUP(Cpi_[[#This Row],[Year]:[Month]],crudeoil[],3,FALSE)</f>
        <v>#VALUE!</v>
      </c>
    </row>
    <row r="1489" spans="1:8" hidden="1" x14ac:dyDescent="0.3">
      <c r="A1489" t="s">
        <v>33</v>
      </c>
      <c r="B1489">
        <v>2014</v>
      </c>
      <c r="C1489" t="s">
        <v>40</v>
      </c>
      <c r="D1489" t="s">
        <v>5</v>
      </c>
      <c r="E1489" t="e">
        <f>VLOOKUP(Cpi_[[#This Row],[Attribute]],#REF!,2,FALSE)</f>
        <v>#REF!</v>
      </c>
      <c r="F1489">
        <v>118</v>
      </c>
      <c r="G1489">
        <f>(Cpi_[[#This Row],[Value]]-F1488)/F1488</f>
        <v>-6.6455696202531694E-2</v>
      </c>
      <c r="H1489" t="e" cm="1" vm="1">
        <f t="array" aca="1" ref="H1489" ca="1">VLOOKUP(Cpi_[[#This Row],[Year]:[Month]],crudeoil[],3,FALSE)</f>
        <v>#VALUE!</v>
      </c>
    </row>
    <row r="1490" spans="1:8" hidden="1" x14ac:dyDescent="0.3">
      <c r="A1490" t="s">
        <v>33</v>
      </c>
      <c r="B1490">
        <v>2014</v>
      </c>
      <c r="C1490" t="s">
        <v>40</v>
      </c>
      <c r="D1490" t="s">
        <v>6</v>
      </c>
      <c r="E1490" t="e">
        <f>VLOOKUP(Cpi_[[#This Row],[Attribute]],#REF!,2,FALSE)</f>
        <v>#REF!</v>
      </c>
      <c r="F1490">
        <v>121.6</v>
      </c>
      <c r="G1490">
        <f>(Cpi_[[#This Row],[Value]]-F1489)/F1489</f>
        <v>3.0508474576271139E-2</v>
      </c>
      <c r="H1490" t="e" cm="1" vm="1">
        <f t="array" aca="1" ref="H1490" ca="1">VLOOKUP(Cpi_[[#This Row],[Year]:[Month]],crudeoil[],3,FALSE)</f>
        <v>#VALUE!</v>
      </c>
    </row>
    <row r="1491" spans="1:8" hidden="1" x14ac:dyDescent="0.3">
      <c r="A1491" t="s">
        <v>33</v>
      </c>
      <c r="B1491">
        <v>2014</v>
      </c>
      <c r="C1491" t="s">
        <v>40</v>
      </c>
      <c r="D1491" t="s">
        <v>7</v>
      </c>
      <c r="E1491" t="e">
        <f>VLOOKUP(Cpi_[[#This Row],[Attribute]],#REF!,2,FALSE)</f>
        <v>#REF!</v>
      </c>
      <c r="F1491">
        <v>103.5</v>
      </c>
      <c r="G1491">
        <f>(Cpi_[[#This Row],[Value]]-F1490)/F1490</f>
        <v>-0.14884868421052627</v>
      </c>
      <c r="H1491" t="e" cm="1" vm="1">
        <f t="array" aca="1" ref="H1491" ca="1">VLOOKUP(Cpi_[[#This Row],[Year]:[Month]],crudeoil[],3,FALSE)</f>
        <v>#VALUE!</v>
      </c>
    </row>
    <row r="1492" spans="1:8" hidden="1" x14ac:dyDescent="0.3">
      <c r="A1492" t="s">
        <v>33</v>
      </c>
      <c r="B1492">
        <v>2014</v>
      </c>
      <c r="C1492" t="s">
        <v>40</v>
      </c>
      <c r="D1492" t="s">
        <v>8</v>
      </c>
      <c r="E1492" t="e">
        <f>VLOOKUP(Cpi_[[#This Row],[Attribute]],#REF!,2,FALSE)</f>
        <v>#REF!</v>
      </c>
      <c r="F1492">
        <v>133.69999999999999</v>
      </c>
      <c r="G1492">
        <f>(Cpi_[[#This Row],[Value]]-F1491)/F1491</f>
        <v>0.29178743961352643</v>
      </c>
      <c r="H1492" t="e" cm="1" vm="1">
        <f t="array" aca="1" ref="H1492" ca="1">VLOOKUP(Cpi_[[#This Row],[Year]:[Month]],crudeoil[],3,FALSE)</f>
        <v>#VALUE!</v>
      </c>
    </row>
    <row r="1493" spans="1:8" hidden="1" x14ac:dyDescent="0.3">
      <c r="A1493" t="s">
        <v>33</v>
      </c>
      <c r="B1493">
        <v>2014</v>
      </c>
      <c r="C1493" t="s">
        <v>40</v>
      </c>
      <c r="D1493" t="s">
        <v>9</v>
      </c>
      <c r="E1493" t="e">
        <f>VLOOKUP(Cpi_[[#This Row],[Attribute]],#REF!,2,FALSE)</f>
        <v>#REF!</v>
      </c>
      <c r="F1493">
        <v>172.4</v>
      </c>
      <c r="G1493">
        <f>(Cpi_[[#This Row],[Value]]-F1492)/F1492</f>
        <v>0.28945400149588646</v>
      </c>
      <c r="H1493" t="e" cm="1" vm="1">
        <f t="array" aca="1" ref="H1493" ca="1">VLOOKUP(Cpi_[[#This Row],[Year]:[Month]],crudeoil[],3,FALSE)</f>
        <v>#VALUE!</v>
      </c>
    </row>
    <row r="1494" spans="1:8" hidden="1" x14ac:dyDescent="0.3">
      <c r="A1494" t="s">
        <v>33</v>
      </c>
      <c r="B1494">
        <v>2014</v>
      </c>
      <c r="C1494" t="s">
        <v>40</v>
      </c>
      <c r="D1494" t="s">
        <v>10</v>
      </c>
      <c r="E1494" t="e">
        <f>VLOOKUP(Cpi_[[#This Row],[Attribute]],#REF!,2,FALSE)</f>
        <v>#REF!</v>
      </c>
      <c r="F1494">
        <v>113.1</v>
      </c>
      <c r="G1494">
        <f>(Cpi_[[#This Row],[Value]]-F1493)/F1493</f>
        <v>-0.34396751740139214</v>
      </c>
      <c r="H1494" t="e" cm="1" vm="1">
        <f t="array" aca="1" ref="H1494" ca="1">VLOOKUP(Cpi_[[#This Row],[Year]:[Month]],crudeoil[],3,FALSE)</f>
        <v>#VALUE!</v>
      </c>
    </row>
    <row r="1495" spans="1:8" hidden="1" x14ac:dyDescent="0.3">
      <c r="A1495" t="s">
        <v>33</v>
      </c>
      <c r="B1495">
        <v>2014</v>
      </c>
      <c r="C1495" t="s">
        <v>40</v>
      </c>
      <c r="D1495" t="s">
        <v>11</v>
      </c>
      <c r="E1495" t="e">
        <f>VLOOKUP(Cpi_[[#This Row],[Attribute]],#REF!,2,FALSE)</f>
        <v>#REF!</v>
      </c>
      <c r="F1495">
        <v>102.7</v>
      </c>
      <c r="G1495">
        <f>(Cpi_[[#This Row],[Value]]-F1494)/F1494</f>
        <v>-9.1954022988505676E-2</v>
      </c>
      <c r="H1495" t="e" cm="1" vm="1">
        <f t="array" aca="1" ref="H1495" ca="1">VLOOKUP(Cpi_[[#This Row],[Year]:[Month]],crudeoil[],3,FALSE)</f>
        <v>#VALUE!</v>
      </c>
    </row>
    <row r="1496" spans="1:8" hidden="1" x14ac:dyDescent="0.3">
      <c r="A1496" t="s">
        <v>33</v>
      </c>
      <c r="B1496">
        <v>2014</v>
      </c>
      <c r="C1496" t="s">
        <v>40</v>
      </c>
      <c r="D1496" t="s">
        <v>12</v>
      </c>
      <c r="E1496" t="e">
        <f>VLOOKUP(Cpi_[[#This Row],[Attribute]],#REF!,2,FALSE)</f>
        <v>#REF!</v>
      </c>
      <c r="F1496">
        <v>120</v>
      </c>
      <c r="G1496">
        <f>(Cpi_[[#This Row],[Value]]-F1495)/F1495</f>
        <v>0.16845180136319374</v>
      </c>
      <c r="H1496" t="e" cm="1" vm="1">
        <f t="array" aca="1" ref="H1496" ca="1">VLOOKUP(Cpi_[[#This Row],[Year]:[Month]],crudeoil[],3,FALSE)</f>
        <v>#VALUE!</v>
      </c>
    </row>
    <row r="1497" spans="1:8" hidden="1" x14ac:dyDescent="0.3">
      <c r="A1497" t="s">
        <v>33</v>
      </c>
      <c r="B1497">
        <v>2014</v>
      </c>
      <c r="C1497" t="s">
        <v>40</v>
      </c>
      <c r="D1497" t="s">
        <v>13</v>
      </c>
      <c r="E1497" t="e">
        <f>VLOOKUP(Cpi_[[#This Row],[Attribute]],#REF!,2,FALSE)</f>
        <v>#REF!</v>
      </c>
      <c r="F1497">
        <v>113.8</v>
      </c>
      <c r="G1497">
        <f>(Cpi_[[#This Row],[Value]]-F1496)/F1496</f>
        <v>-5.1666666666666687E-2</v>
      </c>
      <c r="H1497" t="e" cm="1" vm="1">
        <f t="array" aca="1" ref="H1497" ca="1">VLOOKUP(Cpi_[[#This Row],[Year]:[Month]],crudeoil[],3,FALSE)</f>
        <v>#VALUE!</v>
      </c>
    </row>
    <row r="1498" spans="1:8" hidden="1" x14ac:dyDescent="0.3">
      <c r="A1498" t="s">
        <v>33</v>
      </c>
      <c r="B1498">
        <v>2014</v>
      </c>
      <c r="C1498" t="s">
        <v>40</v>
      </c>
      <c r="D1498" t="s">
        <v>14</v>
      </c>
      <c r="E1498" t="e">
        <f>VLOOKUP(Cpi_[[#This Row],[Attribute]],#REF!,2,FALSE)</f>
        <v>#REF!</v>
      </c>
      <c r="F1498">
        <v>123.4</v>
      </c>
      <c r="G1498">
        <f>(Cpi_[[#This Row],[Value]]-F1497)/F1497</f>
        <v>8.4358523725834869E-2</v>
      </c>
      <c r="H1498" t="e" cm="1" vm="1">
        <f t="array" aca="1" ref="H1498" ca="1">VLOOKUP(Cpi_[[#This Row],[Year]:[Month]],crudeoil[],3,FALSE)</f>
        <v>#VALUE!</v>
      </c>
    </row>
    <row r="1499" spans="1:8" hidden="1" x14ac:dyDescent="0.3">
      <c r="A1499" t="s">
        <v>33</v>
      </c>
      <c r="B1499">
        <v>2014</v>
      </c>
      <c r="C1499" t="s">
        <v>40</v>
      </c>
      <c r="D1499" t="s">
        <v>15</v>
      </c>
      <c r="E1499" t="e">
        <f>VLOOKUP(Cpi_[[#This Row],[Attribute]],#REF!,2,FALSE)</f>
        <v>#REF!</v>
      </c>
      <c r="F1499">
        <v>127.1</v>
      </c>
      <c r="G1499">
        <f>(Cpi_[[#This Row],[Value]]-F1498)/F1498</f>
        <v>2.9983792544570408E-2</v>
      </c>
      <c r="H1499" t="e" cm="1" vm="1">
        <f t="array" aca="1" ref="H1499" ca="1">VLOOKUP(Cpi_[[#This Row],[Year]:[Month]],crudeoil[],3,FALSE)</f>
        <v>#VALUE!</v>
      </c>
    </row>
    <row r="1500" spans="1:8" hidden="1" x14ac:dyDescent="0.3">
      <c r="A1500" t="s">
        <v>33</v>
      </c>
      <c r="B1500">
        <v>2014</v>
      </c>
      <c r="C1500" t="s">
        <v>40</v>
      </c>
      <c r="D1500" t="s">
        <v>16</v>
      </c>
      <c r="E1500" t="e">
        <f>VLOOKUP(Cpi_[[#This Row],[Attribute]],#REF!,2,FALSE)</f>
        <v>#REF!</v>
      </c>
      <c r="F1500">
        <v>121</v>
      </c>
      <c r="G1500">
        <f>(Cpi_[[#This Row],[Value]]-F1499)/F1499</f>
        <v>-4.7993705743509002E-2</v>
      </c>
      <c r="H1500" t="e" cm="1" vm="1">
        <f t="array" aca="1" ref="H1500" ca="1">VLOOKUP(Cpi_[[#This Row],[Year]:[Month]],crudeoil[],3,FALSE)</f>
        <v>#VALUE!</v>
      </c>
    </row>
    <row r="1501" spans="1:8" hidden="1" x14ac:dyDescent="0.3">
      <c r="A1501" t="s">
        <v>33</v>
      </c>
      <c r="B1501">
        <v>2014</v>
      </c>
      <c r="C1501" t="s">
        <v>40</v>
      </c>
      <c r="D1501" t="s">
        <v>17</v>
      </c>
      <c r="E1501" t="e">
        <f>VLOOKUP(Cpi_[[#This Row],[Attribute]],#REF!,2,FALSE)</f>
        <v>#REF!</v>
      </c>
      <c r="F1501">
        <v>118</v>
      </c>
      <c r="G1501">
        <f>(Cpi_[[#This Row],[Value]]-F1500)/F1500</f>
        <v>-2.4793388429752067E-2</v>
      </c>
      <c r="H1501" t="e" cm="1" vm="1">
        <f t="array" aca="1" ref="H1501" ca="1">VLOOKUP(Cpi_[[#This Row],[Year]:[Month]],crudeoil[],3,FALSE)</f>
        <v>#VALUE!</v>
      </c>
    </row>
    <row r="1502" spans="1:8" hidden="1" x14ac:dyDescent="0.3">
      <c r="A1502" t="s">
        <v>33</v>
      </c>
      <c r="B1502">
        <v>2014</v>
      </c>
      <c r="C1502" t="s">
        <v>40</v>
      </c>
      <c r="D1502" t="s">
        <v>18</v>
      </c>
      <c r="E1502" t="e">
        <f>VLOOKUP(Cpi_[[#This Row],[Attribute]],#REF!,2,FALSE)</f>
        <v>#REF!</v>
      </c>
      <c r="F1502">
        <v>113.6</v>
      </c>
      <c r="G1502">
        <f>(Cpi_[[#This Row],[Value]]-F1501)/F1501</f>
        <v>-3.728813559322039E-2</v>
      </c>
      <c r="H1502" t="e" cm="1" vm="1">
        <f t="array" aca="1" ref="H1502" ca="1">VLOOKUP(Cpi_[[#This Row],[Year]:[Month]],crudeoil[],3,FALSE)</f>
        <v>#VALUE!</v>
      </c>
    </row>
    <row r="1503" spans="1:8" hidden="1" x14ac:dyDescent="0.3">
      <c r="A1503" t="s">
        <v>33</v>
      </c>
      <c r="B1503">
        <v>2014</v>
      </c>
      <c r="C1503" t="s">
        <v>40</v>
      </c>
      <c r="D1503" t="s">
        <v>19</v>
      </c>
      <c r="E1503" t="e">
        <f>VLOOKUP(Cpi_[[#This Row],[Attribute]],#REF!,2,FALSE)</f>
        <v>#REF!</v>
      </c>
      <c r="F1503">
        <v>117.4</v>
      </c>
      <c r="G1503">
        <f>(Cpi_[[#This Row],[Value]]-F1502)/F1502</f>
        <v>3.3450704225352214E-2</v>
      </c>
      <c r="H1503" t="e" cm="1" vm="1">
        <f t="array" aca="1" ref="H1503" ca="1">VLOOKUP(Cpi_[[#This Row],[Year]:[Month]],crudeoil[],3,FALSE)</f>
        <v>#VALUE!</v>
      </c>
    </row>
    <row r="1504" spans="1:8" hidden="1" x14ac:dyDescent="0.3">
      <c r="A1504" t="s">
        <v>33</v>
      </c>
      <c r="B1504">
        <v>2014</v>
      </c>
      <c r="C1504" t="s">
        <v>40</v>
      </c>
      <c r="D1504" t="s">
        <v>20</v>
      </c>
      <c r="E1504" t="e">
        <f>VLOOKUP(Cpi_[[#This Row],[Attribute]],#REF!,2,FALSE)</f>
        <v>#REF!</v>
      </c>
      <c r="F1504">
        <v>114.8</v>
      </c>
      <c r="G1504">
        <f>(Cpi_[[#This Row],[Value]]-F1503)/F1503</f>
        <v>-2.214650766609888E-2</v>
      </c>
      <c r="H1504" t="e" cm="1" vm="1">
        <f t="array" aca="1" ref="H1504" ca="1">VLOOKUP(Cpi_[[#This Row],[Year]:[Month]],crudeoil[],3,FALSE)</f>
        <v>#VALUE!</v>
      </c>
    </row>
    <row r="1505" spans="1:8" hidden="1" x14ac:dyDescent="0.3">
      <c r="A1505" t="s">
        <v>33</v>
      </c>
      <c r="B1505">
        <v>2014</v>
      </c>
      <c r="C1505" t="s">
        <v>40</v>
      </c>
      <c r="D1505" t="s">
        <v>21</v>
      </c>
      <c r="E1505" t="e">
        <f>VLOOKUP(Cpi_[[#This Row],[Attribute]],#REF!,2,FALSE)</f>
        <v>#REF!</v>
      </c>
      <c r="F1505">
        <v>111.6</v>
      </c>
      <c r="G1505">
        <f>(Cpi_[[#This Row],[Value]]-F1504)/F1504</f>
        <v>-2.7874564459930338E-2</v>
      </c>
      <c r="H1505" t="e" cm="1" vm="1">
        <f t="array" aca="1" ref="H1505" ca="1">VLOOKUP(Cpi_[[#This Row],[Year]:[Month]],crudeoil[],3,FALSE)</f>
        <v>#VALUE!</v>
      </c>
    </row>
    <row r="1506" spans="1:8" hidden="1" x14ac:dyDescent="0.3">
      <c r="A1506" t="s">
        <v>33</v>
      </c>
      <c r="B1506">
        <v>2014</v>
      </c>
      <c r="C1506" t="s">
        <v>40</v>
      </c>
      <c r="D1506" t="s">
        <v>22</v>
      </c>
      <c r="E1506" t="e">
        <f>VLOOKUP(Cpi_[[#This Row],[Attribute]],#REF!,2,FALSE)</f>
        <v>#REF!</v>
      </c>
      <c r="F1506">
        <v>114.9</v>
      </c>
      <c r="G1506">
        <f>(Cpi_[[#This Row],[Value]]-F1505)/F1505</f>
        <v>2.9569892473118382E-2</v>
      </c>
      <c r="H1506" t="e" cm="1" vm="1">
        <f t="array" aca="1" ref="H1506" ca="1">VLOOKUP(Cpi_[[#This Row],[Year]:[Month]],crudeoil[],3,FALSE)</f>
        <v>#VALUE!</v>
      </c>
    </row>
    <row r="1507" spans="1:8" hidden="1" x14ac:dyDescent="0.3">
      <c r="A1507" t="s">
        <v>33</v>
      </c>
      <c r="B1507">
        <v>2014</v>
      </c>
      <c r="C1507" t="s">
        <v>40</v>
      </c>
      <c r="D1507" t="s">
        <v>23</v>
      </c>
      <c r="E1507" t="e">
        <f>VLOOKUP(Cpi_[[#This Row],[Attribute]],#REF!,2,FALSE)</f>
        <v>#REF!</v>
      </c>
      <c r="F1507">
        <v>111.5</v>
      </c>
      <c r="G1507">
        <f>(Cpi_[[#This Row],[Value]]-F1506)/F1506</f>
        <v>-2.9590948651000919E-2</v>
      </c>
      <c r="H1507" t="e" cm="1" vm="1">
        <f t="array" aca="1" ref="H1507" ca="1">VLOOKUP(Cpi_[[#This Row],[Year]:[Month]],crudeoil[],3,FALSE)</f>
        <v>#VALUE!</v>
      </c>
    </row>
    <row r="1508" spans="1:8" hidden="1" x14ac:dyDescent="0.3">
      <c r="A1508" t="s">
        <v>33</v>
      </c>
      <c r="B1508">
        <v>2014</v>
      </c>
      <c r="C1508" t="s">
        <v>40</v>
      </c>
      <c r="D1508" t="s">
        <v>24</v>
      </c>
      <c r="E1508" t="e">
        <f>VLOOKUP(Cpi_[[#This Row],[Attribute]],#REF!,2,FALSE)</f>
        <v>#REF!</v>
      </c>
      <c r="F1508">
        <v>113</v>
      </c>
      <c r="G1508">
        <f>(Cpi_[[#This Row],[Value]]-F1507)/F1507</f>
        <v>1.3452914798206279E-2</v>
      </c>
      <c r="H1508" t="e" cm="1" vm="1">
        <f t="array" aca="1" ref="H1508" ca="1">VLOOKUP(Cpi_[[#This Row],[Year]:[Month]],crudeoil[],3,FALSE)</f>
        <v>#VALUE!</v>
      </c>
    </row>
    <row r="1509" spans="1:8" hidden="1" x14ac:dyDescent="0.3">
      <c r="A1509" t="s">
        <v>33</v>
      </c>
      <c r="B1509">
        <v>2014</v>
      </c>
      <c r="C1509" t="s">
        <v>40</v>
      </c>
      <c r="D1509" t="s">
        <v>25</v>
      </c>
      <c r="E1509" t="e">
        <f>VLOOKUP(Cpi_[[#This Row],[Attribute]],#REF!,2,FALSE)</f>
        <v>#REF!</v>
      </c>
      <c r="F1509">
        <v>112.4</v>
      </c>
      <c r="G1509">
        <f>(Cpi_[[#This Row],[Value]]-F1508)/F1508</f>
        <v>-5.3097345132742859E-3</v>
      </c>
      <c r="H1509" t="e" cm="1" vm="1">
        <f t="array" aca="1" ref="H1509" ca="1">VLOOKUP(Cpi_[[#This Row],[Year]:[Month]],crudeoil[],3,FALSE)</f>
        <v>#VALUE!</v>
      </c>
    </row>
    <row r="1510" spans="1:8" hidden="1" x14ac:dyDescent="0.3">
      <c r="A1510" t="s">
        <v>33</v>
      </c>
      <c r="B1510">
        <v>2014</v>
      </c>
      <c r="C1510" t="s">
        <v>40</v>
      </c>
      <c r="D1510" t="s">
        <v>26</v>
      </c>
      <c r="E1510" t="e">
        <f>VLOOKUP(Cpi_[[#This Row],[Attribute]],#REF!,2,FALSE)</f>
        <v>#REF!</v>
      </c>
      <c r="F1510">
        <v>117.8</v>
      </c>
      <c r="G1510">
        <f>(Cpi_[[#This Row],[Value]]-F1509)/F1509</f>
        <v>4.8042704626334441E-2</v>
      </c>
      <c r="H1510" t="e" cm="1" vm="1">
        <f t="array" aca="1" ref="H1510" ca="1">VLOOKUP(Cpi_[[#This Row],[Year]:[Month]],crudeoil[],3,FALSE)</f>
        <v>#VALUE!</v>
      </c>
    </row>
    <row r="1511" spans="1:8" hidden="1" x14ac:dyDescent="0.3">
      <c r="A1511" t="s">
        <v>33</v>
      </c>
      <c r="B1511">
        <v>2014</v>
      </c>
      <c r="C1511" t="s">
        <v>40</v>
      </c>
      <c r="D1511" t="s">
        <v>27</v>
      </c>
      <c r="E1511" t="e">
        <f>VLOOKUP(Cpi_[[#This Row],[Attribute]],#REF!,2,FALSE)</f>
        <v>#REF!</v>
      </c>
      <c r="F1511">
        <v>109.7</v>
      </c>
      <c r="G1511">
        <f>(Cpi_[[#This Row],[Value]]-F1510)/F1510</f>
        <v>-6.8760611205432892E-2</v>
      </c>
      <c r="H1511" t="e" cm="1" vm="1">
        <f t="array" aca="1" ref="H1511" ca="1">VLOOKUP(Cpi_[[#This Row],[Year]:[Month]],crudeoil[],3,FALSE)</f>
        <v>#VALUE!</v>
      </c>
    </row>
    <row r="1512" spans="1:8" hidden="1" x14ac:dyDescent="0.3">
      <c r="A1512" t="s">
        <v>33</v>
      </c>
      <c r="B1512">
        <v>2014</v>
      </c>
      <c r="C1512" t="s">
        <v>40</v>
      </c>
      <c r="D1512" t="s">
        <v>28</v>
      </c>
      <c r="E1512" t="e">
        <f>VLOOKUP(Cpi_[[#This Row],[Attribute]],#REF!,2,FALSE)</f>
        <v>#REF!</v>
      </c>
      <c r="F1512">
        <v>113.5</v>
      </c>
      <c r="G1512">
        <f>(Cpi_[[#This Row],[Value]]-F1511)/F1511</f>
        <v>3.4639927073837715E-2</v>
      </c>
      <c r="H1512" t="e" cm="1" vm="1">
        <f t="array" aca="1" ref="H1512" ca="1">VLOOKUP(Cpi_[[#This Row],[Year]:[Month]],crudeoil[],3,FALSE)</f>
        <v>#VALUE!</v>
      </c>
    </row>
    <row r="1513" spans="1:8" hidden="1" x14ac:dyDescent="0.3">
      <c r="A1513" t="s">
        <v>33</v>
      </c>
      <c r="B1513">
        <v>2014</v>
      </c>
      <c r="C1513" t="s">
        <v>40</v>
      </c>
      <c r="D1513" t="s">
        <v>29</v>
      </c>
      <c r="E1513" t="e" cm="1">
        <f t="array" aca="1" ref="E1513" ca="1">VLGeneral indexGeneral indexKUP(Cpi_[[#This Row],[Attribute]],#REF!,2,FALSE)</f>
        <v>#NAME?</v>
      </c>
      <c r="F1513">
        <v>118.9</v>
      </c>
      <c r="G1513">
        <f>(Cpi_[[#This Row],[Value]]-F1512)/F1512</f>
        <v>4.7577092511013268E-2</v>
      </c>
      <c r="H1513" t="e" cm="1" vm="1">
        <f t="array" aca="1" ref="H1513" ca="1">VLOOKUP(Cpi_[[#This Row],[Year]:[Month]],crudeoil[],3,FALSE)</f>
        <v>#VALUE!</v>
      </c>
    </row>
    <row r="1514" spans="1:8" hidden="1" x14ac:dyDescent="0.3">
      <c r="A1514" t="s">
        <v>34</v>
      </c>
      <c r="B1514">
        <v>2014</v>
      </c>
      <c r="C1514" t="s">
        <v>40</v>
      </c>
      <c r="D1514" t="s">
        <v>3</v>
      </c>
      <c r="E1514" t="e">
        <f>VLOOKUP(Cpi_[[#This Row],[Attribute]],#REF!,2,FALSE)</f>
        <v>#REF!</v>
      </c>
      <c r="F1514">
        <v>122.4</v>
      </c>
      <c r="G1514">
        <f>(Cpi_[[#This Row],[Value]]-F1513)/F1513</f>
        <v>2.943650126156434E-2</v>
      </c>
      <c r="H1514" t="e" cm="1" vm="1">
        <f t="array" aca="1" ref="H1514" ca="1">VLOOKUP(Cpi_[[#This Row],[Year]:[Month]],crudeoil[],3,FALSE)</f>
        <v>#VALUE!</v>
      </c>
    </row>
    <row r="1515" spans="1:8" hidden="1" x14ac:dyDescent="0.3">
      <c r="A1515" t="s">
        <v>34</v>
      </c>
      <c r="B1515">
        <v>2014</v>
      </c>
      <c r="C1515" t="s">
        <v>40</v>
      </c>
      <c r="D1515" t="s">
        <v>4</v>
      </c>
      <c r="E1515" t="e">
        <f>VLOOKUP(Cpi_[[#This Row],[Attribute]],#REF!,2,FALSE)</f>
        <v>#REF!</v>
      </c>
      <c r="F1515">
        <v>123.9</v>
      </c>
      <c r="G1515">
        <f>(Cpi_[[#This Row],[Value]]-F1514)/F1514</f>
        <v>1.2254901960784314E-2</v>
      </c>
      <c r="H1515" t="e" cm="1" vm="1">
        <f t="array" aca="1" ref="H1515" ca="1">VLOOKUP(Cpi_[[#This Row],[Year]:[Month]],crudeoil[],3,FALSE)</f>
        <v>#VALUE!</v>
      </c>
    </row>
    <row r="1516" spans="1:8" hidden="1" x14ac:dyDescent="0.3">
      <c r="A1516" t="s">
        <v>34</v>
      </c>
      <c r="B1516">
        <v>2014</v>
      </c>
      <c r="C1516" t="s">
        <v>40</v>
      </c>
      <c r="D1516" t="s">
        <v>5</v>
      </c>
      <c r="E1516" t="e">
        <f>VLOOKUP(Cpi_[[#This Row],[Attribute]],#REF!,2,FALSE)</f>
        <v>#REF!</v>
      </c>
      <c r="F1516">
        <v>117.8</v>
      </c>
      <c r="G1516">
        <f>(Cpi_[[#This Row],[Value]]-F1515)/F1515</f>
        <v>-4.9233252623083201E-2</v>
      </c>
      <c r="H1516" t="e" cm="1" vm="1">
        <f t="array" aca="1" ref="H1516" ca="1">VLOOKUP(Cpi_[[#This Row],[Year]:[Month]],crudeoil[],3,FALSE)</f>
        <v>#VALUE!</v>
      </c>
    </row>
    <row r="1517" spans="1:8" hidden="1" x14ac:dyDescent="0.3">
      <c r="A1517" t="s">
        <v>34</v>
      </c>
      <c r="B1517">
        <v>2014</v>
      </c>
      <c r="C1517" t="s">
        <v>40</v>
      </c>
      <c r="D1517" t="s">
        <v>6</v>
      </c>
      <c r="E1517" t="e">
        <f>VLOOKUP(Cpi_[[#This Row],[Attribute]],#REF!,2,FALSE)</f>
        <v>#REF!</v>
      </c>
      <c r="F1517">
        <v>121</v>
      </c>
      <c r="G1517">
        <f>(Cpi_[[#This Row],[Value]]-F1516)/F1516</f>
        <v>2.7164685908319209E-2</v>
      </c>
      <c r="H1517" t="e" cm="1" vm="1">
        <f t="array" aca="1" ref="H1517" ca="1">VLOOKUP(Cpi_[[#This Row],[Year]:[Month]],crudeoil[],3,FALSE)</f>
        <v>#VALUE!</v>
      </c>
    </row>
    <row r="1518" spans="1:8" hidden="1" x14ac:dyDescent="0.3">
      <c r="A1518" t="s">
        <v>34</v>
      </c>
      <c r="B1518">
        <v>2014</v>
      </c>
      <c r="C1518" t="s">
        <v>40</v>
      </c>
      <c r="D1518" t="s">
        <v>7</v>
      </c>
      <c r="E1518" t="e">
        <f>VLOOKUP(Cpi_[[#This Row],[Attribute]],#REF!,2,FALSE)</f>
        <v>#REF!</v>
      </c>
      <c r="F1518">
        <v>107.9</v>
      </c>
      <c r="G1518">
        <f>(Cpi_[[#This Row],[Value]]-F1517)/F1517</f>
        <v>-0.10826446280991731</v>
      </c>
      <c r="H1518" t="e" cm="1" vm="1">
        <f t="array" aca="1" ref="H1518" ca="1">VLOOKUP(Cpi_[[#This Row],[Year]:[Month]],crudeoil[],3,FALSE)</f>
        <v>#VALUE!</v>
      </c>
    </row>
    <row r="1519" spans="1:8" hidden="1" x14ac:dyDescent="0.3">
      <c r="A1519" t="s">
        <v>34</v>
      </c>
      <c r="B1519">
        <v>2014</v>
      </c>
      <c r="C1519" t="s">
        <v>40</v>
      </c>
      <c r="D1519" t="s">
        <v>8</v>
      </c>
      <c r="E1519" t="e">
        <f>VLOOKUP(Cpi_[[#This Row],[Attribute]],#REF!,2,FALSE)</f>
        <v>#REF!</v>
      </c>
      <c r="F1519">
        <v>131.19999999999999</v>
      </c>
      <c r="G1519">
        <f>(Cpi_[[#This Row],[Value]]-F1518)/F1518</f>
        <v>0.21594068582020373</v>
      </c>
      <c r="H1519" t="e" cm="1" vm="1">
        <f t="array" aca="1" ref="H1519" ca="1">VLOOKUP(Cpi_[[#This Row],[Year]:[Month]],crudeoil[],3,FALSE)</f>
        <v>#VALUE!</v>
      </c>
    </row>
    <row r="1520" spans="1:8" hidden="1" x14ac:dyDescent="0.3">
      <c r="A1520" t="s">
        <v>34</v>
      </c>
      <c r="B1520">
        <v>2014</v>
      </c>
      <c r="C1520" t="s">
        <v>40</v>
      </c>
      <c r="D1520" t="s">
        <v>9</v>
      </c>
      <c r="E1520" t="e">
        <f>VLOOKUP(Cpi_[[#This Row],[Attribute]],#REF!,2,FALSE)</f>
        <v>#REF!</v>
      </c>
      <c r="F1520">
        <v>157.69999999999999</v>
      </c>
      <c r="G1520">
        <f>(Cpi_[[#This Row],[Value]]-F1519)/F1519</f>
        <v>0.20198170731707318</v>
      </c>
      <c r="H1520" t="e" cm="1" vm="1">
        <f t="array" aca="1" ref="H1520" ca="1">VLOOKUP(Cpi_[[#This Row],[Year]:[Month]],crudeoil[],3,FALSE)</f>
        <v>#VALUE!</v>
      </c>
    </row>
    <row r="1521" spans="1:8" hidden="1" x14ac:dyDescent="0.3">
      <c r="A1521" t="s">
        <v>34</v>
      </c>
      <c r="B1521">
        <v>2014</v>
      </c>
      <c r="C1521" t="s">
        <v>40</v>
      </c>
      <c r="D1521" t="s">
        <v>10</v>
      </c>
      <c r="E1521" t="e">
        <f>VLOOKUP(Cpi_[[#This Row],[Attribute]],#REF!,2,FALSE)</f>
        <v>#REF!</v>
      </c>
      <c r="F1521">
        <v>113.2</v>
      </c>
      <c r="G1521">
        <f>(Cpi_[[#This Row],[Value]]-F1520)/F1520</f>
        <v>-0.28218135700697522</v>
      </c>
      <c r="H1521" t="e" cm="1" vm="1">
        <f t="array" aca="1" ref="H1521" ca="1">VLOOKUP(Cpi_[[#This Row],[Year]:[Month]],crudeoil[],3,FALSE)</f>
        <v>#VALUE!</v>
      </c>
    </row>
    <row r="1522" spans="1:8" hidden="1" x14ac:dyDescent="0.3">
      <c r="A1522" t="s">
        <v>34</v>
      </c>
      <c r="B1522">
        <v>2014</v>
      </c>
      <c r="C1522" t="s">
        <v>40</v>
      </c>
      <c r="D1522" t="s">
        <v>11</v>
      </c>
      <c r="E1522" t="e">
        <f>VLOOKUP(Cpi_[[#This Row],[Attribute]],#REF!,2,FALSE)</f>
        <v>#REF!</v>
      </c>
      <c r="F1522">
        <v>104.1</v>
      </c>
      <c r="G1522">
        <f>(Cpi_[[#This Row],[Value]]-F1521)/F1521</f>
        <v>-8.0388692579505372E-2</v>
      </c>
      <c r="H1522" t="e" cm="1" vm="1">
        <f t="array" aca="1" ref="H1522" ca="1">VLOOKUP(Cpi_[[#This Row],[Year]:[Month]],crudeoil[],3,FALSE)</f>
        <v>#VALUE!</v>
      </c>
    </row>
    <row r="1523" spans="1:8" hidden="1" x14ac:dyDescent="0.3">
      <c r="A1523" t="s">
        <v>34</v>
      </c>
      <c r="B1523">
        <v>2014</v>
      </c>
      <c r="C1523" t="s">
        <v>40</v>
      </c>
      <c r="D1523" t="s">
        <v>12</v>
      </c>
      <c r="E1523" t="e">
        <f>VLOOKUP(Cpi_[[#This Row],[Attribute]],#REF!,2,FALSE)</f>
        <v>#REF!</v>
      </c>
      <c r="F1523">
        <v>115.5</v>
      </c>
      <c r="G1523">
        <f>(Cpi_[[#This Row],[Value]]-F1522)/F1522</f>
        <v>0.10951008645533147</v>
      </c>
      <c r="H1523" t="e" cm="1" vm="1">
        <f t="array" aca="1" ref="H1523" ca="1">VLOOKUP(Cpi_[[#This Row],[Year]:[Month]],crudeoil[],3,FALSE)</f>
        <v>#VALUE!</v>
      </c>
    </row>
    <row r="1524" spans="1:8" hidden="1" x14ac:dyDescent="0.3">
      <c r="A1524" t="s">
        <v>34</v>
      </c>
      <c r="B1524">
        <v>2014</v>
      </c>
      <c r="C1524" t="s">
        <v>40</v>
      </c>
      <c r="D1524" t="s">
        <v>13</v>
      </c>
      <c r="E1524" t="e">
        <f>VLOOKUP(Cpi_[[#This Row],[Attribute]],#REF!,2,FALSE)</f>
        <v>#REF!</v>
      </c>
      <c r="F1524">
        <v>114.8</v>
      </c>
      <c r="G1524">
        <f>(Cpi_[[#This Row],[Value]]-F1523)/F1523</f>
        <v>-6.0606060606060849E-3</v>
      </c>
      <c r="H1524" t="e" cm="1" vm="1">
        <f t="array" aca="1" ref="H1524" ca="1">VLOOKUP(Cpi_[[#This Row],[Year]:[Month]],crudeoil[],3,FALSE)</f>
        <v>#VALUE!</v>
      </c>
    </row>
    <row r="1525" spans="1:8" hidden="1" x14ac:dyDescent="0.3">
      <c r="A1525" t="s">
        <v>34</v>
      </c>
      <c r="B1525">
        <v>2014</v>
      </c>
      <c r="C1525" t="s">
        <v>40</v>
      </c>
      <c r="D1525" t="s">
        <v>14</v>
      </c>
      <c r="E1525" t="e">
        <f>VLOOKUP(Cpi_[[#This Row],[Attribute]],#REF!,2,FALSE)</f>
        <v>#REF!</v>
      </c>
      <c r="F1525">
        <v>122.1</v>
      </c>
      <c r="G1525">
        <f>(Cpi_[[#This Row],[Value]]-F1524)/F1524</f>
        <v>6.3588850174216005E-2</v>
      </c>
      <c r="H1525" t="e" cm="1" vm="1">
        <f t="array" aca="1" ref="H1525" ca="1">VLOOKUP(Cpi_[[#This Row],[Year]:[Month]],crudeoil[],3,FALSE)</f>
        <v>#VALUE!</v>
      </c>
    </row>
    <row r="1526" spans="1:8" hidden="1" x14ac:dyDescent="0.3">
      <c r="A1526" t="s">
        <v>34</v>
      </c>
      <c r="B1526">
        <v>2014</v>
      </c>
      <c r="C1526" t="s">
        <v>40</v>
      </c>
      <c r="D1526" t="s">
        <v>15</v>
      </c>
      <c r="E1526" t="e">
        <f>VLOOKUP(Cpi_[[#This Row],[Attribute]],#REF!,2,FALSE)</f>
        <v>#REF!</v>
      </c>
      <c r="F1526">
        <v>124.7</v>
      </c>
      <c r="G1526">
        <f>(Cpi_[[#This Row],[Value]]-F1525)/F1525</f>
        <v>2.1294021294021366E-2</v>
      </c>
      <c r="H1526" t="e" cm="1" vm="1">
        <f t="array" aca="1" ref="H1526" ca="1">VLOOKUP(Cpi_[[#This Row],[Year]:[Month]],crudeoil[],3,FALSE)</f>
        <v>#VALUE!</v>
      </c>
    </row>
    <row r="1527" spans="1:8" hidden="1" x14ac:dyDescent="0.3">
      <c r="A1527" t="s">
        <v>34</v>
      </c>
      <c r="B1527">
        <v>2014</v>
      </c>
      <c r="C1527" t="s">
        <v>40</v>
      </c>
      <c r="D1527" t="s">
        <v>16</v>
      </c>
      <c r="E1527" t="e">
        <f>VLOOKUP(Cpi_[[#This Row],[Attribute]],#REF!,2,FALSE)</f>
        <v>#REF!</v>
      </c>
      <c r="F1527">
        <v>118.8</v>
      </c>
      <c r="G1527">
        <f>(Cpi_[[#This Row],[Value]]-F1526)/F1526</f>
        <v>-4.7313552526062598E-2</v>
      </c>
      <c r="H1527" t="e" cm="1" vm="1">
        <f t="array" aca="1" ref="H1527" ca="1">VLOOKUP(Cpi_[[#This Row],[Year]:[Month]],crudeoil[],3,FALSE)</f>
        <v>#VALUE!</v>
      </c>
    </row>
    <row r="1528" spans="1:8" hidden="1" x14ac:dyDescent="0.3">
      <c r="A1528" t="s">
        <v>34</v>
      </c>
      <c r="B1528">
        <v>2014</v>
      </c>
      <c r="C1528" t="s">
        <v>40</v>
      </c>
      <c r="D1528" t="s">
        <v>17</v>
      </c>
      <c r="E1528" t="e">
        <f>VLOOKUP(Cpi_[[#This Row],[Attribute]],#REF!,2,FALSE)</f>
        <v>#REF!</v>
      </c>
      <c r="F1528">
        <v>119.6</v>
      </c>
      <c r="G1528">
        <f>(Cpi_[[#This Row],[Value]]-F1527)/F1527</f>
        <v>6.7340067340067103E-3</v>
      </c>
      <c r="H1528" t="e" cm="1" vm="1">
        <f t="array" aca="1" ref="H1528" ca="1">VLOOKUP(Cpi_[[#This Row],[Year]:[Month]],crudeoil[],3,FALSE)</f>
        <v>#VALUE!</v>
      </c>
    </row>
    <row r="1529" spans="1:8" hidden="1" x14ac:dyDescent="0.3">
      <c r="A1529" t="s">
        <v>34</v>
      </c>
      <c r="B1529">
        <v>2014</v>
      </c>
      <c r="C1529" t="s">
        <v>40</v>
      </c>
      <c r="D1529" t="s">
        <v>18</v>
      </c>
      <c r="E1529" t="e">
        <f>VLOOKUP(Cpi_[[#This Row],[Attribute]],#REF!,2,FALSE)</f>
        <v>#REF!</v>
      </c>
      <c r="F1529">
        <v>116.3</v>
      </c>
      <c r="G1529">
        <f>(Cpi_[[#This Row],[Value]]-F1528)/F1528</f>
        <v>-2.7591973244147135E-2</v>
      </c>
      <c r="H1529" t="e" cm="1" vm="1">
        <f t="array" aca="1" ref="H1529" ca="1">VLOOKUP(Cpi_[[#This Row],[Year]:[Month]],crudeoil[],3,FALSE)</f>
        <v>#VALUE!</v>
      </c>
    </row>
    <row r="1530" spans="1:8" hidden="1" x14ac:dyDescent="0.3">
      <c r="A1530" t="s">
        <v>34</v>
      </c>
      <c r="B1530">
        <v>2014</v>
      </c>
      <c r="C1530" t="s">
        <v>40</v>
      </c>
      <c r="D1530" t="s">
        <v>19</v>
      </c>
      <c r="E1530" t="e">
        <f>VLOOKUP(Cpi_[[#This Row],[Attribute]],#REF!,2,FALSE)</f>
        <v>#REF!</v>
      </c>
      <c r="F1530">
        <v>119.1</v>
      </c>
      <c r="G1530">
        <f>(Cpi_[[#This Row],[Value]]-F1529)/F1529</f>
        <v>2.4075666380051566E-2</v>
      </c>
      <c r="H1530" t="e" cm="1" vm="1">
        <f t="array" aca="1" ref="H1530" ca="1">VLOOKUP(Cpi_[[#This Row],[Year]:[Month]],crudeoil[],3,FALSE)</f>
        <v>#VALUE!</v>
      </c>
    </row>
    <row r="1531" spans="1:8" hidden="1" x14ac:dyDescent="0.3">
      <c r="A1531" t="s">
        <v>34</v>
      </c>
      <c r="B1531">
        <v>2014</v>
      </c>
      <c r="C1531" t="s">
        <v>40</v>
      </c>
      <c r="D1531" t="s">
        <v>20</v>
      </c>
      <c r="E1531" t="e">
        <f>VLOOKUP(Cpi_[[#This Row],[Attribute]],#REF!,2,FALSE)</f>
        <v>#REF!</v>
      </c>
      <c r="F1531">
        <v>114.8</v>
      </c>
      <c r="G1531">
        <f>(Cpi_[[#This Row],[Value]]-F1530)/F1530</f>
        <v>-3.6104114189756488E-2</v>
      </c>
      <c r="H1531" t="e" cm="1" vm="1">
        <f t="array" aca="1" ref="H1531" ca="1">VLOOKUP(Cpi_[[#This Row],[Year]:[Month]],crudeoil[],3,FALSE)</f>
        <v>#VALUE!</v>
      </c>
    </row>
    <row r="1532" spans="1:8" hidden="1" x14ac:dyDescent="0.3">
      <c r="A1532" t="s">
        <v>34</v>
      </c>
      <c r="B1532">
        <v>2014</v>
      </c>
      <c r="C1532" t="s">
        <v>40</v>
      </c>
      <c r="D1532" t="s">
        <v>21</v>
      </c>
      <c r="E1532" t="e">
        <f>VLOOKUP(Cpi_[[#This Row],[Attribute]],#REF!,2,FALSE)</f>
        <v>#REF!</v>
      </c>
      <c r="F1532">
        <v>113.9</v>
      </c>
      <c r="G1532">
        <f>(Cpi_[[#This Row],[Value]]-F1531)/F1531</f>
        <v>-7.8397212543553259E-3</v>
      </c>
      <c r="H1532" t="e" cm="1" vm="1">
        <f t="array" aca="1" ref="H1532" ca="1">VLOOKUP(Cpi_[[#This Row],[Year]:[Month]],crudeoil[],3,FALSE)</f>
        <v>#VALUE!</v>
      </c>
    </row>
    <row r="1533" spans="1:8" hidden="1" x14ac:dyDescent="0.3">
      <c r="A1533" t="s">
        <v>34</v>
      </c>
      <c r="B1533">
        <v>2014</v>
      </c>
      <c r="C1533" t="s">
        <v>40</v>
      </c>
      <c r="D1533" t="s">
        <v>22</v>
      </c>
      <c r="E1533" t="e">
        <f>VLOOKUP(Cpi_[[#This Row],[Attribute]],#REF!,2,FALSE)</f>
        <v>#REF!</v>
      </c>
      <c r="F1533">
        <v>115.2</v>
      </c>
      <c r="G1533">
        <f>(Cpi_[[#This Row],[Value]]-F1532)/F1532</f>
        <v>1.1413520632133425E-2</v>
      </c>
      <c r="H1533" t="e" cm="1" vm="1">
        <f t="array" aca="1" ref="H1533" ca="1">VLOOKUP(Cpi_[[#This Row],[Year]:[Month]],crudeoil[],3,FALSE)</f>
        <v>#VALUE!</v>
      </c>
    </row>
    <row r="1534" spans="1:8" hidden="1" x14ac:dyDescent="0.3">
      <c r="A1534" t="s">
        <v>34</v>
      </c>
      <c r="B1534">
        <v>2014</v>
      </c>
      <c r="C1534" t="s">
        <v>40</v>
      </c>
      <c r="D1534" t="s">
        <v>23</v>
      </c>
      <c r="E1534" t="e">
        <f>VLOOKUP(Cpi_[[#This Row],[Attribute]],#REF!,2,FALSE)</f>
        <v>#REF!</v>
      </c>
      <c r="F1534">
        <v>112.7</v>
      </c>
      <c r="G1534">
        <f>(Cpi_[[#This Row],[Value]]-F1533)/F1533</f>
        <v>-2.1701388888888888E-2</v>
      </c>
      <c r="H1534" t="e" cm="1" vm="1">
        <f t="array" aca="1" ref="H1534" ca="1">VLOOKUP(Cpi_[[#This Row],[Year]:[Month]],crudeoil[],3,FALSE)</f>
        <v>#VALUE!</v>
      </c>
    </row>
    <row r="1535" spans="1:8" hidden="1" x14ac:dyDescent="0.3">
      <c r="A1535" t="s">
        <v>34</v>
      </c>
      <c r="B1535">
        <v>2014</v>
      </c>
      <c r="C1535" t="s">
        <v>40</v>
      </c>
      <c r="D1535" t="s">
        <v>24</v>
      </c>
      <c r="E1535" t="e">
        <f>VLOOKUP(Cpi_[[#This Row],[Attribute]],#REF!,2,FALSE)</f>
        <v>#REF!</v>
      </c>
      <c r="F1535">
        <v>113.1</v>
      </c>
      <c r="G1535">
        <f>(Cpi_[[#This Row],[Value]]-F1534)/F1534</f>
        <v>3.5492457852705542E-3</v>
      </c>
      <c r="H1535" t="e" cm="1" vm="1">
        <f t="array" aca="1" ref="H1535" ca="1">VLOOKUP(Cpi_[[#This Row],[Year]:[Month]],crudeoil[],3,FALSE)</f>
        <v>#VALUE!</v>
      </c>
    </row>
    <row r="1536" spans="1:8" hidden="1" x14ac:dyDescent="0.3">
      <c r="A1536" t="s">
        <v>34</v>
      </c>
      <c r="B1536">
        <v>2014</v>
      </c>
      <c r="C1536" t="s">
        <v>40</v>
      </c>
      <c r="D1536" t="s">
        <v>25</v>
      </c>
      <c r="E1536" t="e">
        <f>VLOOKUP(Cpi_[[#This Row],[Attribute]],#REF!,2,FALSE)</f>
        <v>#REF!</v>
      </c>
      <c r="F1536">
        <v>112.1</v>
      </c>
      <c r="G1536">
        <f>(Cpi_[[#This Row],[Value]]-F1535)/F1535</f>
        <v>-8.8417329796640146E-3</v>
      </c>
      <c r="H1536" t="e" cm="1" vm="1">
        <f t="array" aca="1" ref="H1536" ca="1">VLOOKUP(Cpi_[[#This Row],[Year]:[Month]],crudeoil[],3,FALSE)</f>
        <v>#VALUE!</v>
      </c>
    </row>
    <row r="1537" spans="1:8" hidden="1" x14ac:dyDescent="0.3">
      <c r="A1537" t="s">
        <v>34</v>
      </c>
      <c r="B1537">
        <v>2014</v>
      </c>
      <c r="C1537" t="s">
        <v>40</v>
      </c>
      <c r="D1537" t="s">
        <v>26</v>
      </c>
      <c r="E1537" t="e">
        <f>VLOOKUP(Cpi_[[#This Row],[Attribute]],#REF!,2,FALSE)</f>
        <v>#REF!</v>
      </c>
      <c r="F1537">
        <v>116.8</v>
      </c>
      <c r="G1537">
        <f>(Cpi_[[#This Row],[Value]]-F1536)/F1536</f>
        <v>4.1926851025869787E-2</v>
      </c>
      <c r="H1537" t="e" cm="1" vm="1">
        <f t="array" aca="1" ref="H1537" ca="1">VLOOKUP(Cpi_[[#This Row],[Year]:[Month]],crudeoil[],3,FALSE)</f>
        <v>#VALUE!</v>
      </c>
    </row>
    <row r="1538" spans="1:8" hidden="1" x14ac:dyDescent="0.3">
      <c r="A1538" t="s">
        <v>34</v>
      </c>
      <c r="B1538">
        <v>2014</v>
      </c>
      <c r="C1538" t="s">
        <v>40</v>
      </c>
      <c r="D1538" t="s">
        <v>27</v>
      </c>
      <c r="E1538" t="e">
        <f>VLOOKUP(Cpi_[[#This Row],[Attribute]],#REF!,2,FALSE)</f>
        <v>#REF!</v>
      </c>
      <c r="F1538">
        <v>109.2</v>
      </c>
      <c r="G1538">
        <f>(Cpi_[[#This Row],[Value]]-F1537)/F1537</f>
        <v>-6.5068493150684886E-2</v>
      </c>
      <c r="H1538" t="e" cm="1" vm="1">
        <f t="array" aca="1" ref="H1538" ca="1">VLOOKUP(Cpi_[[#This Row],[Year]:[Month]],crudeoil[],3,FALSE)</f>
        <v>#VALUE!</v>
      </c>
    </row>
    <row r="1539" spans="1:8" hidden="1" x14ac:dyDescent="0.3">
      <c r="A1539" t="s">
        <v>34</v>
      </c>
      <c r="B1539">
        <v>2014</v>
      </c>
      <c r="C1539" t="s">
        <v>40</v>
      </c>
      <c r="D1539" t="s">
        <v>28</v>
      </c>
      <c r="E1539" t="e">
        <f>VLOOKUP(Cpi_[[#This Row],[Attribute]],#REF!,2,FALSE)</f>
        <v>#REF!</v>
      </c>
      <c r="F1539">
        <v>113.3</v>
      </c>
      <c r="G1539">
        <f>(Cpi_[[#This Row],[Value]]-F1538)/F1538</f>
        <v>3.7545787545787496E-2</v>
      </c>
      <c r="H1539" t="e" cm="1" vm="1">
        <f t="array" aca="1" ref="H1539" ca="1">VLOOKUP(Cpi_[[#This Row],[Year]:[Month]],crudeoil[],3,FALSE)</f>
        <v>#VALUE!</v>
      </c>
    </row>
    <row r="1540" spans="1:8" hidden="1" x14ac:dyDescent="0.3">
      <c r="A1540" t="s">
        <v>34</v>
      </c>
      <c r="B1540">
        <v>2014</v>
      </c>
      <c r="C1540" t="s">
        <v>40</v>
      </c>
      <c r="D1540" t="s">
        <v>29</v>
      </c>
      <c r="E1540" t="e" cm="1">
        <f t="array" aca="1" ref="E1540" ca="1">VLGeneral indexGeneral indexKUP(Cpi_[[#This Row],[Attribute]],#REF!,2,FALSE)</f>
        <v>#NAME?</v>
      </c>
      <c r="F1540">
        <v>119.2</v>
      </c>
      <c r="G1540">
        <f>(Cpi_[[#This Row],[Value]]-F1539)/F1539</f>
        <v>5.2074139452780284E-2</v>
      </c>
      <c r="H1540" t="e" cm="1" vm="1">
        <f t="array" aca="1" ref="H1540" ca="1">VLOOKUP(Cpi_[[#This Row],[Year]:[Month]],crudeoil[],3,FALSE)</f>
        <v>#VALUE!</v>
      </c>
    </row>
    <row r="1541" spans="1:8" hidden="1" x14ac:dyDescent="0.3">
      <c r="A1541" t="s">
        <v>30</v>
      </c>
      <c r="B1541">
        <v>2014</v>
      </c>
      <c r="C1541" t="s">
        <v>41</v>
      </c>
      <c r="D1541" t="s">
        <v>3</v>
      </c>
      <c r="E1541" t="e">
        <f>VLOOKUP(Cpi_[[#This Row],[Attribute]],#REF!,2,FALSE)</f>
        <v>#REF!</v>
      </c>
      <c r="F1541">
        <v>121.8</v>
      </c>
      <c r="G1541">
        <f>(Cpi_[[#This Row],[Value]]-F1540)/F1540</f>
        <v>2.1812080536912703E-2</v>
      </c>
      <c r="H1541" t="e" cm="1" vm="1">
        <f t="array" aca="1" ref="H1541" ca="1">VLOOKUP(Cpi_[[#This Row],[Year]:[Month]],crudeoil[],3,FALSE)</f>
        <v>#VALUE!</v>
      </c>
    </row>
    <row r="1542" spans="1:8" hidden="1" x14ac:dyDescent="0.3">
      <c r="A1542" t="s">
        <v>30</v>
      </c>
      <c r="B1542">
        <v>2014</v>
      </c>
      <c r="C1542" t="s">
        <v>41</v>
      </c>
      <c r="D1542" t="s">
        <v>4</v>
      </c>
      <c r="E1542" t="e">
        <f>VLOOKUP(Cpi_[[#This Row],[Attribute]],#REF!,2,FALSE)</f>
        <v>#REF!</v>
      </c>
      <c r="F1542">
        <v>122.8</v>
      </c>
      <c r="G1542">
        <f>(Cpi_[[#This Row],[Value]]-F1541)/F1541</f>
        <v>8.2101806239737278E-3</v>
      </c>
      <c r="H1542" t="e" cm="1" vm="1">
        <f t="array" aca="1" ref="H1542" ca="1">VLOOKUP(Cpi_[[#This Row],[Year]:[Month]],crudeoil[],3,FALSE)</f>
        <v>#VALUE!</v>
      </c>
    </row>
    <row r="1543" spans="1:8" hidden="1" x14ac:dyDescent="0.3">
      <c r="A1543" t="s">
        <v>30</v>
      </c>
      <c r="B1543">
        <v>2014</v>
      </c>
      <c r="C1543" t="s">
        <v>41</v>
      </c>
      <c r="D1543" t="s">
        <v>5</v>
      </c>
      <c r="E1543" t="e">
        <f>VLOOKUP(Cpi_[[#This Row],[Attribute]],#REF!,2,FALSE)</f>
        <v>#REF!</v>
      </c>
      <c r="F1543">
        <v>117.8</v>
      </c>
      <c r="G1543">
        <f>(Cpi_[[#This Row],[Value]]-F1542)/F1542</f>
        <v>-4.0716612377850167E-2</v>
      </c>
      <c r="H1543" t="e" cm="1" vm="1">
        <f t="array" aca="1" ref="H1543" ca="1">VLOOKUP(Cpi_[[#This Row],[Year]:[Month]],crudeoil[],3,FALSE)</f>
        <v>#VALUE!</v>
      </c>
    </row>
    <row r="1544" spans="1:8" hidden="1" x14ac:dyDescent="0.3">
      <c r="A1544" t="s">
        <v>30</v>
      </c>
      <c r="B1544">
        <v>2014</v>
      </c>
      <c r="C1544" t="s">
        <v>41</v>
      </c>
      <c r="D1544" t="s">
        <v>6</v>
      </c>
      <c r="E1544" t="e">
        <f>VLOOKUP(Cpi_[[#This Row],[Attribute]],#REF!,2,FALSE)</f>
        <v>#REF!</v>
      </c>
      <c r="F1544">
        <v>121.9</v>
      </c>
      <c r="G1544">
        <f>(Cpi_[[#This Row],[Value]]-F1543)/F1543</f>
        <v>3.4804753820034028E-2</v>
      </c>
      <c r="H1544" t="e" cm="1" vm="1">
        <f t="array" aca="1" ref="H1544" ca="1">VLOOKUP(Cpi_[[#This Row],[Year]:[Month]],crudeoil[],3,FALSE)</f>
        <v>#VALUE!</v>
      </c>
    </row>
    <row r="1545" spans="1:8" hidden="1" x14ac:dyDescent="0.3">
      <c r="A1545" t="s">
        <v>30</v>
      </c>
      <c r="B1545">
        <v>2014</v>
      </c>
      <c r="C1545" t="s">
        <v>41</v>
      </c>
      <c r="D1545" t="s">
        <v>7</v>
      </c>
      <c r="E1545" t="e">
        <f>VLOOKUP(Cpi_[[#This Row],[Attribute]],#REF!,2,FALSE)</f>
        <v>#REF!</v>
      </c>
      <c r="F1545">
        <v>110.6</v>
      </c>
      <c r="G1545">
        <f>(Cpi_[[#This Row],[Value]]-F1544)/F1544</f>
        <v>-9.2698933552091967E-2</v>
      </c>
      <c r="H1545" t="e" cm="1" vm="1">
        <f t="array" aca="1" ref="H1545" ca="1">VLOOKUP(Cpi_[[#This Row],[Year]:[Month]],crudeoil[],3,FALSE)</f>
        <v>#VALUE!</v>
      </c>
    </row>
    <row r="1546" spans="1:8" hidden="1" x14ac:dyDescent="0.3">
      <c r="A1546" t="s">
        <v>30</v>
      </c>
      <c r="B1546">
        <v>2014</v>
      </c>
      <c r="C1546" t="s">
        <v>41</v>
      </c>
      <c r="D1546" t="s">
        <v>8</v>
      </c>
      <c r="E1546" t="e">
        <f>VLOOKUP(Cpi_[[#This Row],[Attribute]],#REF!,2,FALSE)</f>
        <v>#REF!</v>
      </c>
      <c r="F1546">
        <v>129.69999999999999</v>
      </c>
      <c r="G1546">
        <f>(Cpi_[[#This Row],[Value]]-F1545)/F1545</f>
        <v>0.17269439421338151</v>
      </c>
      <c r="H1546" t="e" cm="1" vm="1">
        <f t="array" aca="1" ref="H1546" ca="1">VLOOKUP(Cpi_[[#This Row],[Year]:[Month]],crudeoil[],3,FALSE)</f>
        <v>#VALUE!</v>
      </c>
    </row>
    <row r="1547" spans="1:8" hidden="1" x14ac:dyDescent="0.3">
      <c r="A1547" t="s">
        <v>30</v>
      </c>
      <c r="B1547">
        <v>2014</v>
      </c>
      <c r="C1547" t="s">
        <v>41</v>
      </c>
      <c r="D1547" t="s">
        <v>9</v>
      </c>
      <c r="E1547" t="e">
        <f>VLOOKUP(Cpi_[[#This Row],[Attribute]],#REF!,2,FALSE)</f>
        <v>#REF!</v>
      </c>
      <c r="F1547">
        <v>161.1</v>
      </c>
      <c r="G1547">
        <f>(Cpi_[[#This Row],[Value]]-F1546)/F1546</f>
        <v>0.24209714726291448</v>
      </c>
      <c r="H1547" t="e" cm="1" vm="1">
        <f t="array" aca="1" ref="H1547" ca="1">VLOOKUP(Cpi_[[#This Row],[Year]:[Month]],crudeoil[],3,FALSE)</f>
        <v>#VALUE!</v>
      </c>
    </row>
    <row r="1548" spans="1:8" hidden="1" x14ac:dyDescent="0.3">
      <c r="A1548" t="s">
        <v>30</v>
      </c>
      <c r="B1548">
        <v>2014</v>
      </c>
      <c r="C1548" t="s">
        <v>41</v>
      </c>
      <c r="D1548" t="s">
        <v>10</v>
      </c>
      <c r="E1548" t="e">
        <f>VLOOKUP(Cpi_[[#This Row],[Attribute]],#REF!,2,FALSE)</f>
        <v>#REF!</v>
      </c>
      <c r="F1548">
        <v>114.1</v>
      </c>
      <c r="G1548">
        <f>(Cpi_[[#This Row],[Value]]-F1547)/F1547</f>
        <v>-0.29174425822470518</v>
      </c>
      <c r="H1548" t="e" cm="1" vm="1">
        <f t="array" aca="1" ref="H1548" ca="1">VLOOKUP(Cpi_[[#This Row],[Year]:[Month]],crudeoil[],3,FALSE)</f>
        <v>#VALUE!</v>
      </c>
    </row>
    <row r="1549" spans="1:8" hidden="1" x14ac:dyDescent="0.3">
      <c r="A1549" t="s">
        <v>30</v>
      </c>
      <c r="B1549">
        <v>2014</v>
      </c>
      <c r="C1549" t="s">
        <v>41</v>
      </c>
      <c r="D1549" t="s">
        <v>11</v>
      </c>
      <c r="E1549" t="e">
        <f>VLOOKUP(Cpi_[[#This Row],[Attribute]],#REF!,2,FALSE)</f>
        <v>#REF!</v>
      </c>
      <c r="F1549">
        <v>105.1</v>
      </c>
      <c r="G1549">
        <f>(Cpi_[[#This Row],[Value]]-F1548)/F1548</f>
        <v>-7.8878177037686251E-2</v>
      </c>
      <c r="H1549" t="e" cm="1" vm="1">
        <f t="array" aca="1" ref="H1549" ca="1">VLOOKUP(Cpi_[[#This Row],[Year]:[Month]],crudeoil[],3,FALSE)</f>
        <v>#VALUE!</v>
      </c>
    </row>
    <row r="1550" spans="1:8" hidden="1" x14ac:dyDescent="0.3">
      <c r="A1550" t="s">
        <v>30</v>
      </c>
      <c r="B1550">
        <v>2014</v>
      </c>
      <c r="C1550" t="s">
        <v>41</v>
      </c>
      <c r="D1550" t="s">
        <v>12</v>
      </c>
      <c r="E1550" t="e">
        <f>VLOOKUP(Cpi_[[#This Row],[Attribute]],#REF!,2,FALSE)</f>
        <v>#REF!</v>
      </c>
      <c r="F1550">
        <v>114.6</v>
      </c>
      <c r="G1550">
        <f>(Cpi_[[#This Row],[Value]]-F1549)/F1549</f>
        <v>9.0390104662226453E-2</v>
      </c>
      <c r="H1550" t="e" cm="1" vm="1">
        <f t="array" aca="1" ref="H1550" ca="1">VLOOKUP(Cpi_[[#This Row],[Year]:[Month]],crudeoil[],3,FALSE)</f>
        <v>#VALUE!</v>
      </c>
    </row>
    <row r="1551" spans="1:8" hidden="1" x14ac:dyDescent="0.3">
      <c r="A1551" t="s">
        <v>30</v>
      </c>
      <c r="B1551">
        <v>2014</v>
      </c>
      <c r="C1551" t="s">
        <v>41</v>
      </c>
      <c r="D1551" t="s">
        <v>13</v>
      </c>
      <c r="E1551" t="e">
        <f>VLOOKUP(Cpi_[[#This Row],[Attribute]],#REF!,2,FALSE)</f>
        <v>#REF!</v>
      </c>
      <c r="F1551">
        <v>115.8</v>
      </c>
      <c r="G1551">
        <f>(Cpi_[[#This Row],[Value]]-F1550)/F1550</f>
        <v>1.04712041884817E-2</v>
      </c>
      <c r="H1551" t="e" cm="1" vm="1">
        <f t="array" aca="1" ref="H1551" ca="1">VLOOKUP(Cpi_[[#This Row],[Year]:[Month]],crudeoil[],3,FALSE)</f>
        <v>#VALUE!</v>
      </c>
    </row>
    <row r="1552" spans="1:8" hidden="1" x14ac:dyDescent="0.3">
      <c r="A1552" t="s">
        <v>30</v>
      </c>
      <c r="B1552">
        <v>2014</v>
      </c>
      <c r="C1552" t="s">
        <v>41</v>
      </c>
      <c r="D1552" t="s">
        <v>14</v>
      </c>
      <c r="E1552" t="e">
        <f>VLOOKUP(Cpi_[[#This Row],[Attribute]],#REF!,2,FALSE)</f>
        <v>#REF!</v>
      </c>
      <c r="F1552">
        <v>121.7</v>
      </c>
      <c r="G1552">
        <f>(Cpi_[[#This Row],[Value]]-F1551)/F1551</f>
        <v>5.0949913644214216E-2</v>
      </c>
      <c r="H1552" t="e" cm="1" vm="1">
        <f t="array" aca="1" ref="H1552" ca="1">VLOOKUP(Cpi_[[#This Row],[Year]:[Month]],crudeoil[],3,FALSE)</f>
        <v>#VALUE!</v>
      </c>
    </row>
    <row r="1553" spans="1:8" hidden="1" x14ac:dyDescent="0.3">
      <c r="A1553" t="s">
        <v>30</v>
      </c>
      <c r="B1553">
        <v>2014</v>
      </c>
      <c r="C1553" t="s">
        <v>41</v>
      </c>
      <c r="D1553" t="s">
        <v>15</v>
      </c>
      <c r="E1553" t="e">
        <f>VLOOKUP(Cpi_[[#This Row],[Attribute]],#REF!,2,FALSE)</f>
        <v>#REF!</v>
      </c>
      <c r="F1553">
        <v>125.3</v>
      </c>
      <c r="G1553">
        <f>(Cpi_[[#This Row],[Value]]-F1552)/F1552</f>
        <v>2.9580936729663058E-2</v>
      </c>
      <c r="H1553" t="e" cm="1" vm="1">
        <f t="array" aca="1" ref="H1553" ca="1">VLOOKUP(Cpi_[[#This Row],[Year]:[Month]],crudeoil[],3,FALSE)</f>
        <v>#VALUE!</v>
      </c>
    </row>
    <row r="1554" spans="1:8" hidden="1" x14ac:dyDescent="0.3">
      <c r="A1554" t="s">
        <v>30</v>
      </c>
      <c r="B1554">
        <v>2014</v>
      </c>
      <c r="C1554" t="s">
        <v>41</v>
      </c>
      <c r="D1554" t="s">
        <v>16</v>
      </c>
      <c r="E1554" t="e">
        <f>VLOOKUP(Cpi_[[#This Row],[Attribute]],#REF!,2,FALSE)</f>
        <v>#REF!</v>
      </c>
      <c r="F1554">
        <v>118.8</v>
      </c>
      <c r="G1554">
        <f>(Cpi_[[#This Row],[Value]]-F1553)/F1553</f>
        <v>-5.1875498802873107E-2</v>
      </c>
      <c r="H1554" t="e" cm="1" vm="1">
        <f t="array" aca="1" ref="H1554" ca="1">VLOOKUP(Cpi_[[#This Row],[Year]:[Month]],crudeoil[],3,FALSE)</f>
        <v>#VALUE!</v>
      </c>
    </row>
    <row r="1555" spans="1:8" hidden="1" x14ac:dyDescent="0.3">
      <c r="A1555" t="s">
        <v>30</v>
      </c>
      <c r="B1555">
        <v>2014</v>
      </c>
      <c r="C1555" t="s">
        <v>41</v>
      </c>
      <c r="D1555" t="s">
        <v>17</v>
      </c>
      <c r="E1555" t="e">
        <f>VLOOKUP(Cpi_[[#This Row],[Attribute]],#REF!,2,FALSE)</f>
        <v>#REF!</v>
      </c>
      <c r="F1555">
        <v>120.9</v>
      </c>
      <c r="G1555">
        <f>(Cpi_[[#This Row],[Value]]-F1554)/F1554</f>
        <v>1.7676767676767749E-2</v>
      </c>
      <c r="H1555" t="e" cm="1" vm="1">
        <f t="array" aca="1" ref="H1555" ca="1">VLOOKUP(Cpi_[[#This Row],[Year]:[Month]],crudeoil[],3,FALSE)</f>
        <v>#VALUE!</v>
      </c>
    </row>
    <row r="1556" spans="1:8" hidden="1" x14ac:dyDescent="0.3">
      <c r="A1556" t="s">
        <v>30</v>
      </c>
      <c r="B1556">
        <v>2014</v>
      </c>
      <c r="C1556" t="s">
        <v>41</v>
      </c>
      <c r="D1556" t="s">
        <v>18</v>
      </c>
      <c r="E1556" t="e">
        <f>VLOOKUP(Cpi_[[#This Row],[Attribute]],#REF!,2,FALSE)</f>
        <v>#REF!</v>
      </c>
      <c r="F1556">
        <v>118.8</v>
      </c>
      <c r="G1556">
        <f>(Cpi_[[#This Row],[Value]]-F1555)/F1555</f>
        <v>-1.7369727047146472E-2</v>
      </c>
      <c r="H1556" t="e" cm="1" vm="1">
        <f t="array" aca="1" ref="H1556" ca="1">VLOOKUP(Cpi_[[#This Row],[Year]:[Month]],crudeoil[],3,FALSE)</f>
        <v>#VALUE!</v>
      </c>
    </row>
    <row r="1557" spans="1:8" hidden="1" x14ac:dyDescent="0.3">
      <c r="A1557" t="s">
        <v>30</v>
      </c>
      <c r="B1557">
        <v>2014</v>
      </c>
      <c r="C1557" t="s">
        <v>41</v>
      </c>
      <c r="D1557" t="s">
        <v>19</v>
      </c>
      <c r="E1557" t="e">
        <f>VLOOKUP(Cpi_[[#This Row],[Attribute]],#REF!,2,FALSE)</f>
        <v>#REF!</v>
      </c>
      <c r="F1557">
        <v>120.7</v>
      </c>
      <c r="G1557">
        <f>(Cpi_[[#This Row],[Value]]-F1556)/F1556</f>
        <v>1.5993265993266042E-2</v>
      </c>
      <c r="H1557" t="e" cm="1" vm="1">
        <f t="array" aca="1" ref="H1557" ca="1">VLOOKUP(Cpi_[[#This Row],[Year]:[Month]],crudeoil[],3,FALSE)</f>
        <v>#VALUE!</v>
      </c>
    </row>
    <row r="1558" spans="1:8" hidden="1" x14ac:dyDescent="0.3">
      <c r="A1558" t="s">
        <v>30</v>
      </c>
      <c r="B1558">
        <v>2014</v>
      </c>
      <c r="C1558" t="s">
        <v>41</v>
      </c>
      <c r="D1558" t="s">
        <v>20</v>
      </c>
      <c r="E1558" t="e">
        <f>VLOOKUP(Cpi_[[#This Row],[Attribute]],#REF!,2,FALSE)</f>
        <v>#REF!</v>
      </c>
      <c r="F1558" t="s">
        <v>32</v>
      </c>
      <c r="G1558" t="e">
        <f>(Cpi_[[#This Row],[Value]]-F1557)/F1557</f>
        <v>#VALUE!</v>
      </c>
      <c r="H1558" t="e" cm="1" vm="1">
        <f t="array" aca="1" ref="H1558" ca="1">VLOOKUP(Cpi_[[#This Row],[Year]:[Month]],crudeoil[],3,FALSE)</f>
        <v>#VALUE!</v>
      </c>
    </row>
    <row r="1559" spans="1:8" hidden="1" x14ac:dyDescent="0.3">
      <c r="A1559" t="s">
        <v>30</v>
      </c>
      <c r="B1559">
        <v>2014</v>
      </c>
      <c r="C1559" t="s">
        <v>41</v>
      </c>
      <c r="D1559" t="s">
        <v>21</v>
      </c>
      <c r="E1559" t="e">
        <f>VLOOKUP(Cpi_[[#This Row],[Attribute]],#REF!,2,FALSE)</f>
        <v>#REF!</v>
      </c>
      <c r="F1559">
        <v>115.4</v>
      </c>
      <c r="G1559" t="e">
        <f>(Cpi_[[#This Row],[Value]]-F1558)/F1558</f>
        <v>#VALUE!</v>
      </c>
      <c r="H1559" t="e" cm="1" vm="1">
        <f t="array" aca="1" ref="H1559" ca="1">VLOOKUP(Cpi_[[#This Row],[Year]:[Month]],crudeoil[],3,FALSE)</f>
        <v>#VALUE!</v>
      </c>
    </row>
    <row r="1560" spans="1:8" hidden="1" x14ac:dyDescent="0.3">
      <c r="A1560" t="s">
        <v>30</v>
      </c>
      <c r="B1560">
        <v>2014</v>
      </c>
      <c r="C1560" t="s">
        <v>41</v>
      </c>
      <c r="D1560" t="s">
        <v>22</v>
      </c>
      <c r="E1560" t="e">
        <f>VLOOKUP(Cpi_[[#This Row],[Attribute]],#REF!,2,FALSE)</f>
        <v>#REF!</v>
      </c>
      <c r="F1560">
        <v>115.9</v>
      </c>
      <c r="G1560">
        <f>(Cpi_[[#This Row],[Value]]-F1559)/F1559</f>
        <v>4.3327556325823222E-3</v>
      </c>
      <c r="H1560" t="e" cm="1" vm="1">
        <f t="array" aca="1" ref="H1560" ca="1">VLOOKUP(Cpi_[[#This Row],[Year]:[Month]],crudeoil[],3,FALSE)</f>
        <v>#VALUE!</v>
      </c>
    </row>
    <row r="1561" spans="1:8" hidden="1" x14ac:dyDescent="0.3">
      <c r="A1561" t="s">
        <v>30</v>
      </c>
      <c r="B1561">
        <v>2014</v>
      </c>
      <c r="C1561" t="s">
        <v>41</v>
      </c>
      <c r="D1561" t="s">
        <v>23</v>
      </c>
      <c r="E1561" t="e">
        <f>VLOOKUP(Cpi_[[#This Row],[Attribute]],#REF!,2,FALSE)</f>
        <v>#REF!</v>
      </c>
      <c r="F1561">
        <v>114</v>
      </c>
      <c r="G1561">
        <f>(Cpi_[[#This Row],[Value]]-F1560)/F1560</f>
        <v>-1.6393442622950869E-2</v>
      </c>
      <c r="H1561" t="e" cm="1" vm="1">
        <f t="array" aca="1" ref="H1561" ca="1">VLOOKUP(Cpi_[[#This Row],[Year]:[Month]],crudeoil[],3,FALSE)</f>
        <v>#VALUE!</v>
      </c>
    </row>
    <row r="1562" spans="1:8" hidden="1" x14ac:dyDescent="0.3">
      <c r="A1562" t="s">
        <v>30</v>
      </c>
      <c r="B1562">
        <v>2014</v>
      </c>
      <c r="C1562" t="s">
        <v>41</v>
      </c>
      <c r="D1562" t="s">
        <v>24</v>
      </c>
      <c r="E1562" t="e">
        <f>VLOOKUP(Cpi_[[#This Row],[Attribute]],#REF!,2,FALSE)</f>
        <v>#REF!</v>
      </c>
      <c r="F1562">
        <v>113.2</v>
      </c>
      <c r="G1562">
        <f>(Cpi_[[#This Row],[Value]]-F1561)/F1561</f>
        <v>-7.0175438596490978E-3</v>
      </c>
      <c r="H1562" t="e" cm="1" vm="1">
        <f t="array" aca="1" ref="H1562" ca="1">VLOOKUP(Cpi_[[#This Row],[Year]:[Month]],crudeoil[],3,FALSE)</f>
        <v>#VALUE!</v>
      </c>
    </row>
    <row r="1563" spans="1:8" hidden="1" x14ac:dyDescent="0.3">
      <c r="A1563" t="s">
        <v>30</v>
      </c>
      <c r="B1563">
        <v>2014</v>
      </c>
      <c r="C1563" t="s">
        <v>41</v>
      </c>
      <c r="D1563" t="s">
        <v>25</v>
      </c>
      <c r="E1563" t="e">
        <f>VLOOKUP(Cpi_[[#This Row],[Attribute]],#REF!,2,FALSE)</f>
        <v>#REF!</v>
      </c>
      <c r="F1563">
        <v>112.2</v>
      </c>
      <c r="G1563">
        <f>(Cpi_[[#This Row],[Value]]-F1562)/F1562</f>
        <v>-8.8339222614840993E-3</v>
      </c>
      <c r="H1563" t="e" cm="1" vm="1">
        <f t="array" aca="1" ref="H1563" ca="1">VLOOKUP(Cpi_[[#This Row],[Year]:[Month]],crudeoil[],3,FALSE)</f>
        <v>#VALUE!</v>
      </c>
    </row>
    <row r="1564" spans="1:8" hidden="1" x14ac:dyDescent="0.3">
      <c r="A1564" t="s">
        <v>30</v>
      </c>
      <c r="B1564">
        <v>2014</v>
      </c>
      <c r="C1564" t="s">
        <v>41</v>
      </c>
      <c r="D1564" t="s">
        <v>26</v>
      </c>
      <c r="E1564" t="e">
        <f>VLOOKUP(Cpi_[[#This Row],[Attribute]],#REF!,2,FALSE)</f>
        <v>#REF!</v>
      </c>
      <c r="F1564">
        <v>116.2</v>
      </c>
      <c r="G1564">
        <f>(Cpi_[[#This Row],[Value]]-F1563)/F1563</f>
        <v>3.5650623885918005E-2</v>
      </c>
      <c r="H1564" t="e" cm="1" vm="1">
        <f t="array" aca="1" ref="H1564" ca="1">VLOOKUP(Cpi_[[#This Row],[Year]:[Month]],crudeoil[],3,FALSE)</f>
        <v>#VALUE!</v>
      </c>
    </row>
    <row r="1565" spans="1:8" hidden="1" x14ac:dyDescent="0.3">
      <c r="A1565" t="s">
        <v>30</v>
      </c>
      <c r="B1565">
        <v>2014</v>
      </c>
      <c r="C1565" t="s">
        <v>41</v>
      </c>
      <c r="D1565" t="s">
        <v>27</v>
      </c>
      <c r="E1565" t="e">
        <f>VLOOKUP(Cpi_[[#This Row],[Attribute]],#REF!,2,FALSE)</f>
        <v>#REF!</v>
      </c>
      <c r="F1565">
        <v>109.4</v>
      </c>
      <c r="G1565">
        <f>(Cpi_[[#This Row],[Value]]-F1564)/F1564</f>
        <v>-5.8519793459552473E-2</v>
      </c>
      <c r="H1565" t="e" cm="1" vm="1">
        <f t="array" aca="1" ref="H1565" ca="1">VLOOKUP(Cpi_[[#This Row],[Year]:[Month]],crudeoil[],3,FALSE)</f>
        <v>#VALUE!</v>
      </c>
    </row>
    <row r="1566" spans="1:8" hidden="1" x14ac:dyDescent="0.3">
      <c r="A1566" t="s">
        <v>30</v>
      </c>
      <c r="B1566">
        <v>2014</v>
      </c>
      <c r="C1566" t="s">
        <v>41</v>
      </c>
      <c r="D1566" t="s">
        <v>28</v>
      </c>
      <c r="E1566" t="e">
        <f>VLOOKUP(Cpi_[[#This Row],[Attribute]],#REF!,2,FALSE)</f>
        <v>#REF!</v>
      </c>
      <c r="F1566">
        <v>113.5</v>
      </c>
      <c r="G1566">
        <f>(Cpi_[[#This Row],[Value]]-F1565)/F1565</f>
        <v>3.7477148080438706E-2</v>
      </c>
      <c r="H1566" t="e" cm="1" vm="1">
        <f t="array" aca="1" ref="H1566" ca="1">VLOOKUP(Cpi_[[#This Row],[Year]:[Month]],crudeoil[],3,FALSE)</f>
        <v>#VALUE!</v>
      </c>
    </row>
    <row r="1567" spans="1:8" hidden="1" x14ac:dyDescent="0.3">
      <c r="A1567" t="s">
        <v>30</v>
      </c>
      <c r="B1567">
        <v>2014</v>
      </c>
      <c r="C1567" t="s">
        <v>41</v>
      </c>
      <c r="D1567" t="s">
        <v>29</v>
      </c>
      <c r="E1567" t="e" cm="1">
        <f t="array" aca="1" ref="E1567" ca="1">VLGeneral indexGeneral indexKUP(Cpi_[[#This Row],[Attribute]],#REF!,2,FALSE)</f>
        <v>#NAME?</v>
      </c>
      <c r="F1567">
        <v>120.7</v>
      </c>
      <c r="G1567">
        <f>(Cpi_[[#This Row],[Value]]-F1566)/F1566</f>
        <v>6.343612334801764E-2</v>
      </c>
      <c r="H1567" t="e" cm="1" vm="1">
        <f t="array" aca="1" ref="H1567" ca="1">VLOOKUP(Cpi_[[#This Row],[Year]:[Month]],crudeoil[],3,FALSE)</f>
        <v>#VALUE!</v>
      </c>
    </row>
    <row r="1568" spans="1:8" hidden="1" x14ac:dyDescent="0.3">
      <c r="A1568" t="s">
        <v>33</v>
      </c>
      <c r="B1568">
        <v>2014</v>
      </c>
      <c r="C1568" t="s">
        <v>41</v>
      </c>
      <c r="D1568" t="s">
        <v>3</v>
      </c>
      <c r="E1568" t="e">
        <f>VLOOKUP(Cpi_[[#This Row],[Attribute]],#REF!,2,FALSE)</f>
        <v>#REF!</v>
      </c>
      <c r="F1568">
        <v>124.8</v>
      </c>
      <c r="G1568">
        <f>(Cpi_[[#This Row],[Value]]-F1567)/F1567</f>
        <v>3.3968516984258443E-2</v>
      </c>
      <c r="H1568" t="e" cm="1" vm="1">
        <f t="array" aca="1" ref="H1568" ca="1">VLOOKUP(Cpi_[[#This Row],[Year]:[Month]],crudeoil[],3,FALSE)</f>
        <v>#VALUE!</v>
      </c>
    </row>
    <row r="1569" spans="1:8" hidden="1" x14ac:dyDescent="0.3">
      <c r="A1569" t="s">
        <v>33</v>
      </c>
      <c r="B1569">
        <v>2014</v>
      </c>
      <c r="C1569" t="s">
        <v>41</v>
      </c>
      <c r="D1569" t="s">
        <v>4</v>
      </c>
      <c r="E1569" t="e">
        <f>VLOOKUP(Cpi_[[#This Row],[Attribute]],#REF!,2,FALSE)</f>
        <v>#REF!</v>
      </c>
      <c r="F1569">
        <v>127.3</v>
      </c>
      <c r="G1569">
        <f>(Cpi_[[#This Row],[Value]]-F1568)/F1568</f>
        <v>2.0032051282051284E-2</v>
      </c>
      <c r="H1569" t="e" cm="1" vm="1">
        <f t="array" aca="1" ref="H1569" ca="1">VLOOKUP(Cpi_[[#This Row],[Year]:[Month]],crudeoil[],3,FALSE)</f>
        <v>#VALUE!</v>
      </c>
    </row>
    <row r="1570" spans="1:8" hidden="1" x14ac:dyDescent="0.3">
      <c r="A1570" t="s">
        <v>33</v>
      </c>
      <c r="B1570">
        <v>2014</v>
      </c>
      <c r="C1570" t="s">
        <v>41</v>
      </c>
      <c r="D1570" t="s">
        <v>5</v>
      </c>
      <c r="E1570" t="e">
        <f>VLOOKUP(Cpi_[[#This Row],[Attribute]],#REF!,2,FALSE)</f>
        <v>#REF!</v>
      </c>
      <c r="F1570">
        <v>116.5</v>
      </c>
      <c r="G1570">
        <f>(Cpi_[[#This Row],[Value]]-F1569)/F1569</f>
        <v>-8.4838963079340121E-2</v>
      </c>
      <c r="H1570" t="e" cm="1" vm="1">
        <f t="array" aca="1" ref="H1570" ca="1">VLOOKUP(Cpi_[[#This Row],[Year]:[Month]],crudeoil[],3,FALSE)</f>
        <v>#VALUE!</v>
      </c>
    </row>
    <row r="1571" spans="1:8" hidden="1" x14ac:dyDescent="0.3">
      <c r="A1571" t="s">
        <v>33</v>
      </c>
      <c r="B1571">
        <v>2014</v>
      </c>
      <c r="C1571" t="s">
        <v>41</v>
      </c>
      <c r="D1571" t="s">
        <v>6</v>
      </c>
      <c r="E1571" t="e">
        <f>VLOOKUP(Cpi_[[#This Row],[Attribute]],#REF!,2,FALSE)</f>
        <v>#REF!</v>
      </c>
      <c r="F1571">
        <v>122.2</v>
      </c>
      <c r="G1571">
        <f>(Cpi_[[#This Row],[Value]]-F1570)/F1570</f>
        <v>4.8927038626609465E-2</v>
      </c>
      <c r="H1571" t="e" cm="1" vm="1">
        <f t="array" aca="1" ref="H1571" ca="1">VLOOKUP(Cpi_[[#This Row],[Year]:[Month]],crudeoil[],3,FALSE)</f>
        <v>#VALUE!</v>
      </c>
    </row>
    <row r="1572" spans="1:8" hidden="1" x14ac:dyDescent="0.3">
      <c r="A1572" t="s">
        <v>33</v>
      </c>
      <c r="B1572">
        <v>2014</v>
      </c>
      <c r="C1572" t="s">
        <v>41</v>
      </c>
      <c r="D1572" t="s">
        <v>7</v>
      </c>
      <c r="E1572" t="e">
        <f>VLOOKUP(Cpi_[[#This Row],[Attribute]],#REF!,2,FALSE)</f>
        <v>#REF!</v>
      </c>
      <c r="F1572">
        <v>103.6</v>
      </c>
      <c r="G1572">
        <f>(Cpi_[[#This Row],[Value]]-F1571)/F1571</f>
        <v>-0.15220949263502462</v>
      </c>
      <c r="H1572" t="e" cm="1" vm="1">
        <f t="array" aca="1" ref="H1572" ca="1">VLOOKUP(Cpi_[[#This Row],[Year]:[Month]],crudeoil[],3,FALSE)</f>
        <v>#VALUE!</v>
      </c>
    </row>
    <row r="1573" spans="1:8" hidden="1" x14ac:dyDescent="0.3">
      <c r="A1573" t="s">
        <v>33</v>
      </c>
      <c r="B1573">
        <v>2014</v>
      </c>
      <c r="C1573" t="s">
        <v>41</v>
      </c>
      <c r="D1573" t="s">
        <v>8</v>
      </c>
      <c r="E1573" t="e">
        <f>VLOOKUP(Cpi_[[#This Row],[Attribute]],#REF!,2,FALSE)</f>
        <v>#REF!</v>
      </c>
      <c r="F1573">
        <v>132.69999999999999</v>
      </c>
      <c r="G1573">
        <f>(Cpi_[[#This Row],[Value]]-F1572)/F1572</f>
        <v>0.28088803088803083</v>
      </c>
      <c r="H1573" t="e" cm="1" vm="1">
        <f t="array" aca="1" ref="H1573" ca="1">VLOOKUP(Cpi_[[#This Row],[Year]:[Month]],crudeoil[],3,FALSE)</f>
        <v>#VALUE!</v>
      </c>
    </row>
    <row r="1574" spans="1:8" hidden="1" x14ac:dyDescent="0.3">
      <c r="A1574" t="s">
        <v>33</v>
      </c>
      <c r="B1574">
        <v>2014</v>
      </c>
      <c r="C1574" t="s">
        <v>41</v>
      </c>
      <c r="D1574" t="s">
        <v>9</v>
      </c>
      <c r="E1574" t="e">
        <f>VLOOKUP(Cpi_[[#This Row],[Attribute]],#REF!,2,FALSE)</f>
        <v>#REF!</v>
      </c>
      <c r="F1574">
        <v>181.9</v>
      </c>
      <c r="G1574">
        <f>(Cpi_[[#This Row],[Value]]-F1573)/F1573</f>
        <v>0.37076111529766409</v>
      </c>
      <c r="H1574" t="e" cm="1" vm="1">
        <f t="array" aca="1" ref="H1574" ca="1">VLOOKUP(Cpi_[[#This Row],[Year]:[Month]],crudeoil[],3,FALSE)</f>
        <v>#VALUE!</v>
      </c>
    </row>
    <row r="1575" spans="1:8" hidden="1" x14ac:dyDescent="0.3">
      <c r="A1575" t="s">
        <v>33</v>
      </c>
      <c r="B1575">
        <v>2014</v>
      </c>
      <c r="C1575" t="s">
        <v>41</v>
      </c>
      <c r="D1575" t="s">
        <v>10</v>
      </c>
      <c r="E1575" t="e">
        <f>VLOOKUP(Cpi_[[#This Row],[Attribute]],#REF!,2,FALSE)</f>
        <v>#REF!</v>
      </c>
      <c r="F1575">
        <v>115.2</v>
      </c>
      <c r="G1575">
        <f>(Cpi_[[#This Row],[Value]]-F1574)/F1574</f>
        <v>-0.36668499175371083</v>
      </c>
      <c r="H1575" t="e" cm="1" vm="1">
        <f t="array" aca="1" ref="H1575" ca="1">VLOOKUP(Cpi_[[#This Row],[Year]:[Month]],crudeoil[],3,FALSE)</f>
        <v>#VALUE!</v>
      </c>
    </row>
    <row r="1576" spans="1:8" hidden="1" x14ac:dyDescent="0.3">
      <c r="A1576" t="s">
        <v>33</v>
      </c>
      <c r="B1576">
        <v>2014</v>
      </c>
      <c r="C1576" t="s">
        <v>41</v>
      </c>
      <c r="D1576" t="s">
        <v>11</v>
      </c>
      <c r="E1576" t="e">
        <f>VLOOKUP(Cpi_[[#This Row],[Attribute]],#REF!,2,FALSE)</f>
        <v>#REF!</v>
      </c>
      <c r="F1576">
        <v>102.7</v>
      </c>
      <c r="G1576">
        <f>(Cpi_[[#This Row],[Value]]-F1575)/F1575</f>
        <v>-0.10850694444444445</v>
      </c>
      <c r="H1576" t="e" cm="1" vm="1">
        <f t="array" aca="1" ref="H1576" ca="1">VLOOKUP(Cpi_[[#This Row],[Year]:[Month]],crudeoil[],3,FALSE)</f>
        <v>#VALUE!</v>
      </c>
    </row>
    <row r="1577" spans="1:8" hidden="1" x14ac:dyDescent="0.3">
      <c r="A1577" t="s">
        <v>33</v>
      </c>
      <c r="B1577">
        <v>2014</v>
      </c>
      <c r="C1577" t="s">
        <v>41</v>
      </c>
      <c r="D1577" t="s">
        <v>12</v>
      </c>
      <c r="E1577" t="e">
        <f>VLOOKUP(Cpi_[[#This Row],[Attribute]],#REF!,2,FALSE)</f>
        <v>#REF!</v>
      </c>
      <c r="F1577">
        <v>122.1</v>
      </c>
      <c r="G1577">
        <f>(Cpi_[[#This Row],[Value]]-F1576)/F1576</f>
        <v>0.18889970788704957</v>
      </c>
      <c r="H1577" t="e" cm="1" vm="1">
        <f t="array" aca="1" ref="H1577" ca="1">VLOOKUP(Cpi_[[#This Row],[Year]:[Month]],crudeoil[],3,FALSE)</f>
        <v>#VALUE!</v>
      </c>
    </row>
    <row r="1578" spans="1:8" hidden="1" x14ac:dyDescent="0.3">
      <c r="A1578" t="s">
        <v>33</v>
      </c>
      <c r="B1578">
        <v>2014</v>
      </c>
      <c r="C1578" t="s">
        <v>41</v>
      </c>
      <c r="D1578" t="s">
        <v>13</v>
      </c>
      <c r="E1578" t="e">
        <f>VLOOKUP(Cpi_[[#This Row],[Attribute]],#REF!,2,FALSE)</f>
        <v>#REF!</v>
      </c>
      <c r="F1578">
        <v>114.4</v>
      </c>
      <c r="G1578">
        <f>(Cpi_[[#This Row],[Value]]-F1577)/F1577</f>
        <v>-6.3063063063062974E-2</v>
      </c>
      <c r="H1578" t="e" cm="1" vm="1">
        <f t="array" aca="1" ref="H1578" ca="1">VLOOKUP(Cpi_[[#This Row],[Year]:[Month]],crudeoil[],3,FALSE)</f>
        <v>#VALUE!</v>
      </c>
    </row>
    <row r="1579" spans="1:8" hidden="1" x14ac:dyDescent="0.3">
      <c r="A1579" t="s">
        <v>33</v>
      </c>
      <c r="B1579">
        <v>2014</v>
      </c>
      <c r="C1579" t="s">
        <v>41</v>
      </c>
      <c r="D1579" t="s">
        <v>14</v>
      </c>
      <c r="E1579" t="e">
        <f>VLOOKUP(Cpi_[[#This Row],[Attribute]],#REF!,2,FALSE)</f>
        <v>#REF!</v>
      </c>
      <c r="F1579">
        <v>124.7</v>
      </c>
      <c r="G1579">
        <f>(Cpi_[[#This Row],[Value]]-F1578)/F1578</f>
        <v>9.0034965034965012E-2</v>
      </c>
      <c r="H1579" t="e" cm="1" vm="1">
        <f t="array" aca="1" ref="H1579" ca="1">VLOOKUP(Cpi_[[#This Row],[Year]:[Month]],crudeoil[],3,FALSE)</f>
        <v>#VALUE!</v>
      </c>
    </row>
    <row r="1580" spans="1:8" hidden="1" x14ac:dyDescent="0.3">
      <c r="A1580" t="s">
        <v>33</v>
      </c>
      <c r="B1580">
        <v>2014</v>
      </c>
      <c r="C1580" t="s">
        <v>41</v>
      </c>
      <c r="D1580" t="s">
        <v>15</v>
      </c>
      <c r="E1580" t="e">
        <f>VLOOKUP(Cpi_[[#This Row],[Attribute]],#REF!,2,FALSE)</f>
        <v>#REF!</v>
      </c>
      <c r="F1580">
        <v>128.9</v>
      </c>
      <c r="G1580">
        <f>(Cpi_[[#This Row],[Value]]-F1579)/F1579</f>
        <v>3.368083400160387E-2</v>
      </c>
      <c r="H1580" t="e" cm="1" vm="1">
        <f t="array" aca="1" ref="H1580" ca="1">VLOOKUP(Cpi_[[#This Row],[Year]:[Month]],crudeoil[],3,FALSE)</f>
        <v>#VALUE!</v>
      </c>
    </row>
    <row r="1581" spans="1:8" hidden="1" x14ac:dyDescent="0.3">
      <c r="A1581" t="s">
        <v>33</v>
      </c>
      <c r="B1581">
        <v>2014</v>
      </c>
      <c r="C1581" t="s">
        <v>41</v>
      </c>
      <c r="D1581" t="s">
        <v>16</v>
      </c>
      <c r="E1581" t="e">
        <f>VLOOKUP(Cpi_[[#This Row],[Attribute]],#REF!,2,FALSE)</f>
        <v>#REF!</v>
      </c>
      <c r="F1581">
        <v>123</v>
      </c>
      <c r="G1581">
        <f>(Cpi_[[#This Row],[Value]]-F1580)/F1580</f>
        <v>-4.5771916214119517E-2</v>
      </c>
      <c r="H1581" t="e" cm="1" vm="1">
        <f t="array" aca="1" ref="H1581" ca="1">VLOOKUP(Cpi_[[#This Row],[Year]:[Month]],crudeoil[],3,FALSE)</f>
        <v>#VALUE!</v>
      </c>
    </row>
    <row r="1582" spans="1:8" hidden="1" x14ac:dyDescent="0.3">
      <c r="A1582" t="s">
        <v>33</v>
      </c>
      <c r="B1582">
        <v>2014</v>
      </c>
      <c r="C1582" t="s">
        <v>41</v>
      </c>
      <c r="D1582" t="s">
        <v>17</v>
      </c>
      <c r="E1582" t="e">
        <f>VLOOKUP(Cpi_[[#This Row],[Attribute]],#REF!,2,FALSE)</f>
        <v>#REF!</v>
      </c>
      <c r="F1582">
        <v>118.6</v>
      </c>
      <c r="G1582">
        <f>(Cpi_[[#This Row],[Value]]-F1581)/F1581</f>
        <v>-3.5772357723577279E-2</v>
      </c>
      <c r="H1582" t="e" cm="1" vm="1">
        <f t="array" aca="1" ref="H1582" ca="1">VLOOKUP(Cpi_[[#This Row],[Year]:[Month]],crudeoil[],3,FALSE)</f>
        <v>#VALUE!</v>
      </c>
    </row>
    <row r="1583" spans="1:8" hidden="1" x14ac:dyDescent="0.3">
      <c r="A1583" t="s">
        <v>33</v>
      </c>
      <c r="B1583">
        <v>2014</v>
      </c>
      <c r="C1583" t="s">
        <v>41</v>
      </c>
      <c r="D1583" t="s">
        <v>18</v>
      </c>
      <c r="E1583" t="e">
        <f>VLOOKUP(Cpi_[[#This Row],[Attribute]],#REF!,2,FALSE)</f>
        <v>#REF!</v>
      </c>
      <c r="F1583">
        <v>114.1</v>
      </c>
      <c r="G1583">
        <f>(Cpi_[[#This Row],[Value]]-F1582)/F1582</f>
        <v>-3.7942664418212479E-2</v>
      </c>
      <c r="H1583" t="e" cm="1" vm="1">
        <f t="array" aca="1" ref="H1583" ca="1">VLOOKUP(Cpi_[[#This Row],[Year]:[Month]],crudeoil[],3,FALSE)</f>
        <v>#VALUE!</v>
      </c>
    </row>
    <row r="1584" spans="1:8" hidden="1" x14ac:dyDescent="0.3">
      <c r="A1584" t="s">
        <v>33</v>
      </c>
      <c r="B1584">
        <v>2014</v>
      </c>
      <c r="C1584" t="s">
        <v>41</v>
      </c>
      <c r="D1584" t="s">
        <v>19</v>
      </c>
      <c r="E1584" t="e">
        <f>VLOOKUP(Cpi_[[#This Row],[Attribute]],#REF!,2,FALSE)</f>
        <v>#REF!</v>
      </c>
      <c r="F1584">
        <v>117.9</v>
      </c>
      <c r="G1584">
        <f>(Cpi_[[#This Row],[Value]]-F1583)/F1583</f>
        <v>3.3304119193689849E-2</v>
      </c>
      <c r="H1584" t="e" cm="1" vm="1">
        <f t="array" aca="1" ref="H1584" ca="1">VLOOKUP(Cpi_[[#This Row],[Year]:[Month]],crudeoil[],3,FALSE)</f>
        <v>#VALUE!</v>
      </c>
    </row>
    <row r="1585" spans="1:8" hidden="1" x14ac:dyDescent="0.3">
      <c r="A1585" t="s">
        <v>33</v>
      </c>
      <c r="B1585">
        <v>2014</v>
      </c>
      <c r="C1585" t="s">
        <v>41</v>
      </c>
      <c r="D1585" t="s">
        <v>20</v>
      </c>
      <c r="E1585" t="e">
        <f>VLOOKUP(Cpi_[[#This Row],[Attribute]],#REF!,2,FALSE)</f>
        <v>#REF!</v>
      </c>
      <c r="F1585">
        <v>115.5</v>
      </c>
      <c r="G1585">
        <f>(Cpi_[[#This Row],[Value]]-F1584)/F1584</f>
        <v>-2.0356234096692159E-2</v>
      </c>
      <c r="H1585" t="e" cm="1" vm="1">
        <f t="array" aca="1" ref="H1585" ca="1">VLOOKUP(Cpi_[[#This Row],[Year]:[Month]],crudeoil[],3,FALSE)</f>
        <v>#VALUE!</v>
      </c>
    </row>
    <row r="1586" spans="1:8" hidden="1" x14ac:dyDescent="0.3">
      <c r="A1586" t="s">
        <v>33</v>
      </c>
      <c r="B1586">
        <v>2014</v>
      </c>
      <c r="C1586" t="s">
        <v>41</v>
      </c>
      <c r="D1586" t="s">
        <v>21</v>
      </c>
      <c r="E1586" t="e">
        <f>VLOOKUP(Cpi_[[#This Row],[Attribute]],#REF!,2,FALSE)</f>
        <v>#REF!</v>
      </c>
      <c r="F1586">
        <v>111.8</v>
      </c>
      <c r="G1586">
        <f>(Cpi_[[#This Row],[Value]]-F1585)/F1585</f>
        <v>-3.2034632034632061E-2</v>
      </c>
      <c r="H1586" t="e" cm="1" vm="1">
        <f t="array" aca="1" ref="H1586" ca="1">VLOOKUP(Cpi_[[#This Row],[Year]:[Month]],crudeoil[],3,FALSE)</f>
        <v>#VALUE!</v>
      </c>
    </row>
    <row r="1587" spans="1:8" hidden="1" x14ac:dyDescent="0.3">
      <c r="A1587" t="s">
        <v>33</v>
      </c>
      <c r="B1587">
        <v>2014</v>
      </c>
      <c r="C1587" t="s">
        <v>41</v>
      </c>
      <c r="D1587" t="s">
        <v>22</v>
      </c>
      <c r="E1587" t="e">
        <f>VLOOKUP(Cpi_[[#This Row],[Attribute]],#REF!,2,FALSE)</f>
        <v>#REF!</v>
      </c>
      <c r="F1587">
        <v>115.3</v>
      </c>
      <c r="G1587">
        <f>(Cpi_[[#This Row],[Value]]-F1586)/F1586</f>
        <v>3.1305903398926659E-2</v>
      </c>
      <c r="H1587" t="e" cm="1" vm="1">
        <f t="array" aca="1" ref="H1587" ca="1">VLOOKUP(Cpi_[[#This Row],[Year]:[Month]],crudeoil[],3,FALSE)</f>
        <v>#VALUE!</v>
      </c>
    </row>
    <row r="1588" spans="1:8" hidden="1" x14ac:dyDescent="0.3">
      <c r="A1588" t="s">
        <v>33</v>
      </c>
      <c r="B1588">
        <v>2014</v>
      </c>
      <c r="C1588" t="s">
        <v>41</v>
      </c>
      <c r="D1588" t="s">
        <v>23</v>
      </c>
      <c r="E1588" t="e">
        <f>VLOOKUP(Cpi_[[#This Row],[Attribute]],#REF!,2,FALSE)</f>
        <v>#REF!</v>
      </c>
      <c r="F1588">
        <v>112.2</v>
      </c>
      <c r="G1588">
        <f>(Cpi_[[#This Row],[Value]]-F1587)/F1587</f>
        <v>-2.6886383347788329E-2</v>
      </c>
      <c r="H1588" t="e" cm="1" vm="1">
        <f t="array" aca="1" ref="H1588" ca="1">VLOOKUP(Cpi_[[#This Row],[Year]:[Month]],crudeoil[],3,FALSE)</f>
        <v>#VALUE!</v>
      </c>
    </row>
    <row r="1589" spans="1:8" hidden="1" x14ac:dyDescent="0.3">
      <c r="A1589" t="s">
        <v>33</v>
      </c>
      <c r="B1589">
        <v>2014</v>
      </c>
      <c r="C1589" t="s">
        <v>41</v>
      </c>
      <c r="D1589" t="s">
        <v>24</v>
      </c>
      <c r="E1589" t="e">
        <f>VLOOKUP(Cpi_[[#This Row],[Attribute]],#REF!,2,FALSE)</f>
        <v>#REF!</v>
      </c>
      <c r="F1589">
        <v>112.5</v>
      </c>
      <c r="G1589">
        <f>(Cpi_[[#This Row],[Value]]-F1588)/F1588</f>
        <v>2.673796791443825E-3</v>
      </c>
      <c r="H1589" t="e" cm="1" vm="1">
        <f t="array" aca="1" ref="H1589" ca="1">VLOOKUP(Cpi_[[#This Row],[Year]:[Month]],crudeoil[],3,FALSE)</f>
        <v>#VALUE!</v>
      </c>
    </row>
    <row r="1590" spans="1:8" hidden="1" x14ac:dyDescent="0.3">
      <c r="A1590" t="s">
        <v>33</v>
      </c>
      <c r="B1590">
        <v>2014</v>
      </c>
      <c r="C1590" t="s">
        <v>41</v>
      </c>
      <c r="D1590" t="s">
        <v>25</v>
      </c>
      <c r="E1590" t="e">
        <f>VLOOKUP(Cpi_[[#This Row],[Attribute]],#REF!,2,FALSE)</f>
        <v>#REF!</v>
      </c>
      <c r="F1590">
        <v>112.9</v>
      </c>
      <c r="G1590">
        <f>(Cpi_[[#This Row],[Value]]-F1589)/F1589</f>
        <v>3.555555555555606E-3</v>
      </c>
      <c r="H1590" t="e" cm="1" vm="1">
        <f t="array" aca="1" ref="H1590" ca="1">VLOOKUP(Cpi_[[#This Row],[Year]:[Month]],crudeoil[],3,FALSE)</f>
        <v>#VALUE!</v>
      </c>
    </row>
    <row r="1591" spans="1:8" hidden="1" x14ac:dyDescent="0.3">
      <c r="A1591" t="s">
        <v>33</v>
      </c>
      <c r="B1591">
        <v>2014</v>
      </c>
      <c r="C1591" t="s">
        <v>41</v>
      </c>
      <c r="D1591" t="s">
        <v>26</v>
      </c>
      <c r="E1591" t="e">
        <f>VLOOKUP(Cpi_[[#This Row],[Attribute]],#REF!,2,FALSE)</f>
        <v>#REF!</v>
      </c>
      <c r="F1591">
        <v>119.2</v>
      </c>
      <c r="G1591">
        <f>(Cpi_[[#This Row],[Value]]-F1590)/F1590</f>
        <v>5.580159433126658E-2</v>
      </c>
      <c r="H1591" t="e" cm="1" vm="1">
        <f t="array" aca="1" ref="H1591" ca="1">VLOOKUP(Cpi_[[#This Row],[Year]:[Month]],crudeoil[],3,FALSE)</f>
        <v>#VALUE!</v>
      </c>
    </row>
    <row r="1592" spans="1:8" hidden="1" x14ac:dyDescent="0.3">
      <c r="A1592" t="s">
        <v>33</v>
      </c>
      <c r="B1592">
        <v>2014</v>
      </c>
      <c r="C1592" t="s">
        <v>41</v>
      </c>
      <c r="D1592" t="s">
        <v>27</v>
      </c>
      <c r="E1592" t="e">
        <f>VLOOKUP(Cpi_[[#This Row],[Attribute]],#REF!,2,FALSE)</f>
        <v>#REF!</v>
      </c>
      <c r="F1592">
        <v>110.5</v>
      </c>
      <c r="G1592">
        <f>(Cpi_[[#This Row],[Value]]-F1591)/F1591</f>
        <v>-7.2986577181208073E-2</v>
      </c>
      <c r="H1592" t="e" cm="1" vm="1">
        <f t="array" aca="1" ref="H1592" ca="1">VLOOKUP(Cpi_[[#This Row],[Year]:[Month]],crudeoil[],3,FALSE)</f>
        <v>#VALUE!</v>
      </c>
    </row>
    <row r="1593" spans="1:8" hidden="1" x14ac:dyDescent="0.3">
      <c r="A1593" t="s">
        <v>33</v>
      </c>
      <c r="B1593">
        <v>2014</v>
      </c>
      <c r="C1593" t="s">
        <v>41</v>
      </c>
      <c r="D1593" t="s">
        <v>28</v>
      </c>
      <c r="E1593" t="e">
        <f>VLOOKUP(Cpi_[[#This Row],[Attribute]],#REF!,2,FALSE)</f>
        <v>#REF!</v>
      </c>
      <c r="F1593">
        <v>113.9</v>
      </c>
      <c r="G1593">
        <f>(Cpi_[[#This Row],[Value]]-F1592)/F1592</f>
        <v>3.076923076923082E-2</v>
      </c>
      <c r="H1593" t="e" cm="1" vm="1">
        <f t="array" aca="1" ref="H1593" ca="1">VLOOKUP(Cpi_[[#This Row],[Year]:[Month]],crudeoil[],3,FALSE)</f>
        <v>#VALUE!</v>
      </c>
    </row>
    <row r="1594" spans="1:8" hidden="1" x14ac:dyDescent="0.3">
      <c r="A1594" t="s">
        <v>33</v>
      </c>
      <c r="B1594">
        <v>2014</v>
      </c>
      <c r="C1594" t="s">
        <v>41</v>
      </c>
      <c r="D1594" t="s">
        <v>29</v>
      </c>
      <c r="E1594" t="e" cm="1">
        <f t="array" aca="1" ref="E1594" ca="1">VLGeneral indexGeneral indexKUP(Cpi_[[#This Row],[Attribute]],#REF!,2,FALSE)</f>
        <v>#NAME?</v>
      </c>
      <c r="F1594">
        <v>119.9</v>
      </c>
      <c r="G1594">
        <f>(Cpi_[[#This Row],[Value]]-F1593)/F1593</f>
        <v>5.2677787532923612E-2</v>
      </c>
      <c r="H1594" t="e" cm="1" vm="1">
        <f t="array" aca="1" ref="H1594" ca="1">VLOOKUP(Cpi_[[#This Row],[Year]:[Month]],crudeoil[],3,FALSE)</f>
        <v>#VALUE!</v>
      </c>
    </row>
    <row r="1595" spans="1:8" hidden="1" x14ac:dyDescent="0.3">
      <c r="A1595" t="s">
        <v>34</v>
      </c>
      <c r="B1595">
        <v>2014</v>
      </c>
      <c r="C1595" t="s">
        <v>41</v>
      </c>
      <c r="D1595" t="s">
        <v>3</v>
      </c>
      <c r="E1595" t="e">
        <f>VLOOKUP(Cpi_[[#This Row],[Attribute]],#REF!,2,FALSE)</f>
        <v>#REF!</v>
      </c>
      <c r="F1595">
        <v>122.7</v>
      </c>
      <c r="G1595">
        <f>(Cpi_[[#This Row],[Value]]-F1594)/F1594</f>
        <v>2.3352793994995805E-2</v>
      </c>
      <c r="H1595" t="e" cm="1" vm="1">
        <f t="array" aca="1" ref="H1595" ca="1">VLOOKUP(Cpi_[[#This Row],[Year]:[Month]],crudeoil[],3,FALSE)</f>
        <v>#VALUE!</v>
      </c>
    </row>
    <row r="1596" spans="1:8" hidden="1" x14ac:dyDescent="0.3">
      <c r="A1596" t="s">
        <v>34</v>
      </c>
      <c r="B1596">
        <v>2014</v>
      </c>
      <c r="C1596" t="s">
        <v>41</v>
      </c>
      <c r="D1596" t="s">
        <v>4</v>
      </c>
      <c r="E1596" t="e">
        <f>VLOOKUP(Cpi_[[#This Row],[Attribute]],#REF!,2,FALSE)</f>
        <v>#REF!</v>
      </c>
      <c r="F1596">
        <v>124.4</v>
      </c>
      <c r="G1596">
        <f>(Cpi_[[#This Row],[Value]]-F1595)/F1595</f>
        <v>1.3854930725346395E-2</v>
      </c>
      <c r="H1596" t="e" cm="1" vm="1">
        <f t="array" aca="1" ref="H1596" ca="1">VLOOKUP(Cpi_[[#This Row],[Year]:[Month]],crudeoil[],3,FALSE)</f>
        <v>#VALUE!</v>
      </c>
    </row>
    <row r="1597" spans="1:8" hidden="1" x14ac:dyDescent="0.3">
      <c r="A1597" t="s">
        <v>34</v>
      </c>
      <c r="B1597">
        <v>2014</v>
      </c>
      <c r="C1597" t="s">
        <v>41</v>
      </c>
      <c r="D1597" t="s">
        <v>5</v>
      </c>
      <c r="E1597" t="e">
        <f>VLOOKUP(Cpi_[[#This Row],[Attribute]],#REF!,2,FALSE)</f>
        <v>#REF!</v>
      </c>
      <c r="F1597">
        <v>117.3</v>
      </c>
      <c r="G1597">
        <f>(Cpi_[[#This Row],[Value]]-F1596)/F1596</f>
        <v>-5.7073954983922898E-2</v>
      </c>
      <c r="H1597" t="e" cm="1" vm="1">
        <f t="array" aca="1" ref="H1597" ca="1">VLOOKUP(Cpi_[[#This Row],[Year]:[Month]],crudeoil[],3,FALSE)</f>
        <v>#VALUE!</v>
      </c>
    </row>
    <row r="1598" spans="1:8" hidden="1" x14ac:dyDescent="0.3">
      <c r="A1598" t="s">
        <v>34</v>
      </c>
      <c r="B1598">
        <v>2014</v>
      </c>
      <c r="C1598" t="s">
        <v>41</v>
      </c>
      <c r="D1598" t="s">
        <v>6</v>
      </c>
      <c r="E1598" t="e">
        <f>VLOOKUP(Cpi_[[#This Row],[Attribute]],#REF!,2,FALSE)</f>
        <v>#REF!</v>
      </c>
      <c r="F1598">
        <v>122</v>
      </c>
      <c r="G1598">
        <f>(Cpi_[[#This Row],[Value]]-F1597)/F1597</f>
        <v>4.0068201193520912E-2</v>
      </c>
      <c r="H1598" t="e" cm="1" vm="1">
        <f t="array" aca="1" ref="H1598" ca="1">VLOOKUP(Cpi_[[#This Row],[Year]:[Month]],crudeoil[],3,FALSE)</f>
        <v>#VALUE!</v>
      </c>
    </row>
    <row r="1599" spans="1:8" hidden="1" x14ac:dyDescent="0.3">
      <c r="A1599" t="s">
        <v>34</v>
      </c>
      <c r="B1599">
        <v>2014</v>
      </c>
      <c r="C1599" t="s">
        <v>41</v>
      </c>
      <c r="D1599" t="s">
        <v>7</v>
      </c>
      <c r="E1599" t="e">
        <f>VLOOKUP(Cpi_[[#This Row],[Attribute]],#REF!,2,FALSE)</f>
        <v>#REF!</v>
      </c>
      <c r="F1599">
        <v>108</v>
      </c>
      <c r="G1599">
        <f>(Cpi_[[#This Row],[Value]]-F1598)/F1598</f>
        <v>-0.11475409836065574</v>
      </c>
      <c r="H1599" t="e" cm="1" vm="1">
        <f t="array" aca="1" ref="H1599" ca="1">VLOOKUP(Cpi_[[#This Row],[Year]:[Month]],crudeoil[],3,FALSE)</f>
        <v>#VALUE!</v>
      </c>
    </row>
    <row r="1600" spans="1:8" hidden="1" x14ac:dyDescent="0.3">
      <c r="A1600" t="s">
        <v>34</v>
      </c>
      <c r="B1600">
        <v>2014</v>
      </c>
      <c r="C1600" t="s">
        <v>41</v>
      </c>
      <c r="D1600" t="s">
        <v>8</v>
      </c>
      <c r="E1600" t="e">
        <f>VLOOKUP(Cpi_[[#This Row],[Attribute]],#REF!,2,FALSE)</f>
        <v>#REF!</v>
      </c>
      <c r="F1600">
        <v>131.1</v>
      </c>
      <c r="G1600">
        <f>(Cpi_[[#This Row],[Value]]-F1599)/F1599</f>
        <v>0.21388888888888882</v>
      </c>
      <c r="H1600" t="e" cm="1" vm="1">
        <f t="array" aca="1" ref="H1600" ca="1">VLOOKUP(Cpi_[[#This Row],[Year]:[Month]],crudeoil[],3,FALSE)</f>
        <v>#VALUE!</v>
      </c>
    </row>
    <row r="1601" spans="1:8" hidden="1" x14ac:dyDescent="0.3">
      <c r="A1601" t="s">
        <v>34</v>
      </c>
      <c r="B1601">
        <v>2014</v>
      </c>
      <c r="C1601" t="s">
        <v>41</v>
      </c>
      <c r="D1601" t="s">
        <v>9</v>
      </c>
      <c r="E1601" t="e">
        <f>VLOOKUP(Cpi_[[#This Row],[Attribute]],#REF!,2,FALSE)</f>
        <v>#REF!</v>
      </c>
      <c r="F1601">
        <v>168.2</v>
      </c>
      <c r="G1601">
        <f>(Cpi_[[#This Row],[Value]]-F1600)/F1600</f>
        <v>0.28299008390541569</v>
      </c>
      <c r="H1601" t="e" cm="1" vm="1">
        <f t="array" aca="1" ref="H1601" ca="1">VLOOKUP(Cpi_[[#This Row],[Year]:[Month]],crudeoil[],3,FALSE)</f>
        <v>#VALUE!</v>
      </c>
    </row>
    <row r="1602" spans="1:8" hidden="1" x14ac:dyDescent="0.3">
      <c r="A1602" t="s">
        <v>34</v>
      </c>
      <c r="B1602">
        <v>2014</v>
      </c>
      <c r="C1602" t="s">
        <v>41</v>
      </c>
      <c r="D1602" t="s">
        <v>10</v>
      </c>
      <c r="E1602" t="e">
        <f>VLOOKUP(Cpi_[[#This Row],[Attribute]],#REF!,2,FALSE)</f>
        <v>#REF!</v>
      </c>
      <c r="F1602">
        <v>114.5</v>
      </c>
      <c r="G1602">
        <f>(Cpi_[[#This Row],[Value]]-F1601)/F1601</f>
        <v>-0.31926278240190248</v>
      </c>
      <c r="H1602" t="e" cm="1" vm="1">
        <f t="array" aca="1" ref="H1602" ca="1">VLOOKUP(Cpi_[[#This Row],[Year]:[Month]],crudeoil[],3,FALSE)</f>
        <v>#VALUE!</v>
      </c>
    </row>
    <row r="1603" spans="1:8" hidden="1" x14ac:dyDescent="0.3">
      <c r="A1603" t="s">
        <v>34</v>
      </c>
      <c r="B1603">
        <v>2014</v>
      </c>
      <c r="C1603" t="s">
        <v>41</v>
      </c>
      <c r="D1603" t="s">
        <v>11</v>
      </c>
      <c r="E1603" t="e">
        <f>VLOOKUP(Cpi_[[#This Row],[Attribute]],#REF!,2,FALSE)</f>
        <v>#REF!</v>
      </c>
      <c r="F1603">
        <v>104.3</v>
      </c>
      <c r="G1603">
        <f>(Cpi_[[#This Row],[Value]]-F1602)/F1602</f>
        <v>-8.9082969432314432E-2</v>
      </c>
      <c r="H1603" t="e" cm="1" vm="1">
        <f t="array" aca="1" ref="H1603" ca="1">VLOOKUP(Cpi_[[#This Row],[Year]:[Month]],crudeoil[],3,FALSE)</f>
        <v>#VALUE!</v>
      </c>
    </row>
    <row r="1604" spans="1:8" hidden="1" x14ac:dyDescent="0.3">
      <c r="A1604" t="s">
        <v>34</v>
      </c>
      <c r="B1604">
        <v>2014</v>
      </c>
      <c r="C1604" t="s">
        <v>41</v>
      </c>
      <c r="D1604" t="s">
        <v>12</v>
      </c>
      <c r="E1604" t="e">
        <f>VLOOKUP(Cpi_[[#This Row],[Attribute]],#REF!,2,FALSE)</f>
        <v>#REF!</v>
      </c>
      <c r="F1604">
        <v>117.1</v>
      </c>
      <c r="G1604">
        <f>(Cpi_[[#This Row],[Value]]-F1603)/F1603</f>
        <v>0.12272291466922337</v>
      </c>
      <c r="H1604" t="e" cm="1" vm="1">
        <f t="array" aca="1" ref="H1604" ca="1">VLOOKUP(Cpi_[[#This Row],[Year]:[Month]],crudeoil[],3,FALSE)</f>
        <v>#VALUE!</v>
      </c>
    </row>
    <row r="1605" spans="1:8" hidden="1" x14ac:dyDescent="0.3">
      <c r="A1605" t="s">
        <v>34</v>
      </c>
      <c r="B1605">
        <v>2014</v>
      </c>
      <c r="C1605" t="s">
        <v>41</v>
      </c>
      <c r="D1605" t="s">
        <v>13</v>
      </c>
      <c r="E1605" t="e">
        <f>VLOOKUP(Cpi_[[#This Row],[Attribute]],#REF!,2,FALSE)</f>
        <v>#REF!</v>
      </c>
      <c r="F1605">
        <v>115.2</v>
      </c>
      <c r="G1605">
        <f>(Cpi_[[#This Row],[Value]]-F1604)/F1604</f>
        <v>-1.6225448334756545E-2</v>
      </c>
      <c r="H1605" t="e" cm="1" vm="1">
        <f t="array" aca="1" ref="H1605" ca="1">VLOOKUP(Cpi_[[#This Row],[Year]:[Month]],crudeoil[],3,FALSE)</f>
        <v>#VALUE!</v>
      </c>
    </row>
    <row r="1606" spans="1:8" hidden="1" x14ac:dyDescent="0.3">
      <c r="A1606" t="s">
        <v>34</v>
      </c>
      <c r="B1606">
        <v>2014</v>
      </c>
      <c r="C1606" t="s">
        <v>41</v>
      </c>
      <c r="D1606" t="s">
        <v>14</v>
      </c>
      <c r="E1606" t="e">
        <f>VLOOKUP(Cpi_[[#This Row],[Attribute]],#REF!,2,FALSE)</f>
        <v>#REF!</v>
      </c>
      <c r="F1606">
        <v>123.1</v>
      </c>
      <c r="G1606">
        <f>(Cpi_[[#This Row],[Value]]-F1605)/F1605</f>
        <v>6.8576388888888812E-2</v>
      </c>
      <c r="H1606" t="e" cm="1" vm="1">
        <f t="array" aca="1" ref="H1606" ca="1">VLOOKUP(Cpi_[[#This Row],[Year]:[Month]],crudeoil[],3,FALSE)</f>
        <v>#VALUE!</v>
      </c>
    </row>
    <row r="1607" spans="1:8" hidden="1" x14ac:dyDescent="0.3">
      <c r="A1607" t="s">
        <v>34</v>
      </c>
      <c r="B1607">
        <v>2014</v>
      </c>
      <c r="C1607" t="s">
        <v>41</v>
      </c>
      <c r="D1607" t="s">
        <v>15</v>
      </c>
      <c r="E1607" t="e">
        <f>VLOOKUP(Cpi_[[#This Row],[Attribute]],#REF!,2,FALSE)</f>
        <v>#REF!</v>
      </c>
      <c r="F1607">
        <v>126.6</v>
      </c>
      <c r="G1607">
        <f>(Cpi_[[#This Row],[Value]]-F1606)/F1606</f>
        <v>2.843216896831844E-2</v>
      </c>
      <c r="H1607" t="e" cm="1" vm="1">
        <f t="array" aca="1" ref="H1607" ca="1">VLOOKUP(Cpi_[[#This Row],[Year]:[Month]],crudeoil[],3,FALSE)</f>
        <v>#VALUE!</v>
      </c>
    </row>
    <row r="1608" spans="1:8" hidden="1" x14ac:dyDescent="0.3">
      <c r="A1608" t="s">
        <v>34</v>
      </c>
      <c r="B1608">
        <v>2014</v>
      </c>
      <c r="C1608" t="s">
        <v>41</v>
      </c>
      <c r="D1608" t="s">
        <v>16</v>
      </c>
      <c r="E1608" t="e">
        <f>VLOOKUP(Cpi_[[#This Row],[Attribute]],#REF!,2,FALSE)</f>
        <v>#REF!</v>
      </c>
      <c r="F1608">
        <v>119.9</v>
      </c>
      <c r="G1608">
        <f>(Cpi_[[#This Row],[Value]]-F1607)/F1607</f>
        <v>-5.2922590837282693E-2</v>
      </c>
      <c r="H1608" t="e" cm="1" vm="1">
        <f t="array" aca="1" ref="H1608" ca="1">VLOOKUP(Cpi_[[#This Row],[Year]:[Month]],crudeoil[],3,FALSE)</f>
        <v>#VALUE!</v>
      </c>
    </row>
    <row r="1609" spans="1:8" hidden="1" x14ac:dyDescent="0.3">
      <c r="A1609" t="s">
        <v>34</v>
      </c>
      <c r="B1609">
        <v>2014</v>
      </c>
      <c r="C1609" t="s">
        <v>41</v>
      </c>
      <c r="D1609" t="s">
        <v>17</v>
      </c>
      <c r="E1609" t="e">
        <f>VLOOKUP(Cpi_[[#This Row],[Attribute]],#REF!,2,FALSE)</f>
        <v>#REF!</v>
      </c>
      <c r="F1609">
        <v>120</v>
      </c>
      <c r="G1609">
        <f>(Cpi_[[#This Row],[Value]]-F1608)/F1608</f>
        <v>8.3402835696408937E-4</v>
      </c>
      <c r="H1609" t="e" cm="1" vm="1">
        <f t="array" aca="1" ref="H1609" ca="1">VLOOKUP(Cpi_[[#This Row],[Year]:[Month]],crudeoil[],3,FALSE)</f>
        <v>#VALUE!</v>
      </c>
    </row>
    <row r="1610" spans="1:8" hidden="1" x14ac:dyDescent="0.3">
      <c r="A1610" t="s">
        <v>34</v>
      </c>
      <c r="B1610">
        <v>2014</v>
      </c>
      <c r="C1610" t="s">
        <v>41</v>
      </c>
      <c r="D1610" t="s">
        <v>18</v>
      </c>
      <c r="E1610" t="e">
        <f>VLOOKUP(Cpi_[[#This Row],[Attribute]],#REF!,2,FALSE)</f>
        <v>#REF!</v>
      </c>
      <c r="F1610">
        <v>116.8</v>
      </c>
      <c r="G1610">
        <f>(Cpi_[[#This Row],[Value]]-F1609)/F1609</f>
        <v>-2.6666666666666689E-2</v>
      </c>
      <c r="H1610" t="e" cm="1" vm="1">
        <f t="array" aca="1" ref="H1610" ca="1">VLOOKUP(Cpi_[[#This Row],[Year]:[Month]],crudeoil[],3,FALSE)</f>
        <v>#VALUE!</v>
      </c>
    </row>
    <row r="1611" spans="1:8" hidden="1" x14ac:dyDescent="0.3">
      <c r="A1611" t="s">
        <v>34</v>
      </c>
      <c r="B1611">
        <v>2014</v>
      </c>
      <c r="C1611" t="s">
        <v>41</v>
      </c>
      <c r="D1611" t="s">
        <v>19</v>
      </c>
      <c r="E1611" t="e">
        <f>VLOOKUP(Cpi_[[#This Row],[Attribute]],#REF!,2,FALSE)</f>
        <v>#REF!</v>
      </c>
      <c r="F1611">
        <v>119.6</v>
      </c>
      <c r="G1611">
        <f>(Cpi_[[#This Row],[Value]]-F1610)/F1610</f>
        <v>2.3972602739726005E-2</v>
      </c>
      <c r="H1611" t="e" cm="1" vm="1">
        <f t="array" aca="1" ref="H1611" ca="1">VLOOKUP(Cpi_[[#This Row],[Year]:[Month]],crudeoil[],3,FALSE)</f>
        <v>#VALUE!</v>
      </c>
    </row>
    <row r="1612" spans="1:8" hidden="1" x14ac:dyDescent="0.3">
      <c r="A1612" t="s">
        <v>34</v>
      </c>
      <c r="B1612">
        <v>2014</v>
      </c>
      <c r="C1612" t="s">
        <v>41</v>
      </c>
      <c r="D1612" t="s">
        <v>20</v>
      </c>
      <c r="E1612" t="e">
        <f>VLOOKUP(Cpi_[[#This Row],[Attribute]],#REF!,2,FALSE)</f>
        <v>#REF!</v>
      </c>
      <c r="F1612">
        <v>115.5</v>
      </c>
      <c r="G1612">
        <f>(Cpi_[[#This Row],[Value]]-F1611)/F1611</f>
        <v>-3.4280936454849455E-2</v>
      </c>
      <c r="H1612" t="e" cm="1" vm="1">
        <f t="array" aca="1" ref="H1612" ca="1">VLOOKUP(Cpi_[[#This Row],[Year]:[Month]],crudeoil[],3,FALSE)</f>
        <v>#VALUE!</v>
      </c>
    </row>
    <row r="1613" spans="1:8" hidden="1" x14ac:dyDescent="0.3">
      <c r="A1613" t="s">
        <v>34</v>
      </c>
      <c r="B1613">
        <v>2014</v>
      </c>
      <c r="C1613" t="s">
        <v>41</v>
      </c>
      <c r="D1613" t="s">
        <v>21</v>
      </c>
      <c r="E1613" t="e">
        <f>VLOOKUP(Cpi_[[#This Row],[Attribute]],#REF!,2,FALSE)</f>
        <v>#REF!</v>
      </c>
      <c r="F1613">
        <v>114</v>
      </c>
      <c r="G1613">
        <f>(Cpi_[[#This Row],[Value]]-F1612)/F1612</f>
        <v>-1.2987012987012988E-2</v>
      </c>
      <c r="H1613" t="e" cm="1" vm="1">
        <f t="array" aca="1" ref="H1613" ca="1">VLOOKUP(Cpi_[[#This Row],[Year]:[Month]],crudeoil[],3,FALSE)</f>
        <v>#VALUE!</v>
      </c>
    </row>
    <row r="1614" spans="1:8" hidden="1" x14ac:dyDescent="0.3">
      <c r="A1614" t="s">
        <v>34</v>
      </c>
      <c r="B1614">
        <v>2014</v>
      </c>
      <c r="C1614" t="s">
        <v>41</v>
      </c>
      <c r="D1614" t="s">
        <v>22</v>
      </c>
      <c r="E1614" t="e">
        <f>VLOOKUP(Cpi_[[#This Row],[Attribute]],#REF!,2,FALSE)</f>
        <v>#REF!</v>
      </c>
      <c r="F1614">
        <v>115.6</v>
      </c>
      <c r="G1614">
        <f>(Cpi_[[#This Row],[Value]]-F1613)/F1613</f>
        <v>1.4035087719298196E-2</v>
      </c>
      <c r="H1614" t="e" cm="1" vm="1">
        <f t="array" aca="1" ref="H1614" ca="1">VLOOKUP(Cpi_[[#This Row],[Year]:[Month]],crudeoil[],3,FALSE)</f>
        <v>#VALUE!</v>
      </c>
    </row>
    <row r="1615" spans="1:8" hidden="1" x14ac:dyDescent="0.3">
      <c r="A1615" t="s">
        <v>34</v>
      </c>
      <c r="B1615">
        <v>2014</v>
      </c>
      <c r="C1615" t="s">
        <v>41</v>
      </c>
      <c r="D1615" t="s">
        <v>23</v>
      </c>
      <c r="E1615" t="e">
        <f>VLOOKUP(Cpi_[[#This Row],[Attribute]],#REF!,2,FALSE)</f>
        <v>#REF!</v>
      </c>
      <c r="F1615">
        <v>113.3</v>
      </c>
      <c r="G1615">
        <f>(Cpi_[[#This Row],[Value]]-F1614)/F1614</f>
        <v>-1.9896193771626273E-2</v>
      </c>
      <c r="H1615" t="e" cm="1" vm="1">
        <f t="array" aca="1" ref="H1615" ca="1">VLOOKUP(Cpi_[[#This Row],[Year]:[Month]],crudeoil[],3,FALSE)</f>
        <v>#VALUE!</v>
      </c>
    </row>
    <row r="1616" spans="1:8" hidden="1" x14ac:dyDescent="0.3">
      <c r="A1616" t="s">
        <v>34</v>
      </c>
      <c r="B1616">
        <v>2014</v>
      </c>
      <c r="C1616" t="s">
        <v>41</v>
      </c>
      <c r="D1616" t="s">
        <v>24</v>
      </c>
      <c r="E1616" t="e">
        <f>VLOOKUP(Cpi_[[#This Row],[Attribute]],#REF!,2,FALSE)</f>
        <v>#REF!</v>
      </c>
      <c r="F1616">
        <v>112.8</v>
      </c>
      <c r="G1616">
        <f>(Cpi_[[#This Row],[Value]]-F1615)/F1615</f>
        <v>-4.4130626654898504E-3</v>
      </c>
      <c r="H1616" t="e" cm="1" vm="1">
        <f t="array" aca="1" ref="H1616" ca="1">VLOOKUP(Cpi_[[#This Row],[Year]:[Month]],crudeoil[],3,FALSE)</f>
        <v>#VALUE!</v>
      </c>
    </row>
    <row r="1617" spans="1:8" hidden="1" x14ac:dyDescent="0.3">
      <c r="A1617" t="s">
        <v>34</v>
      </c>
      <c r="B1617">
        <v>2014</v>
      </c>
      <c r="C1617" t="s">
        <v>41</v>
      </c>
      <c r="D1617" t="s">
        <v>25</v>
      </c>
      <c r="E1617" t="e">
        <f>VLOOKUP(Cpi_[[#This Row],[Attribute]],#REF!,2,FALSE)</f>
        <v>#REF!</v>
      </c>
      <c r="F1617">
        <v>112.6</v>
      </c>
      <c r="G1617">
        <f>(Cpi_[[#This Row],[Value]]-F1616)/F1616</f>
        <v>-1.7730496453900962E-3</v>
      </c>
      <c r="H1617" t="e" cm="1" vm="1">
        <f t="array" aca="1" ref="H1617" ca="1">VLOOKUP(Cpi_[[#This Row],[Year]:[Month]],crudeoil[],3,FALSE)</f>
        <v>#VALUE!</v>
      </c>
    </row>
    <row r="1618" spans="1:8" hidden="1" x14ac:dyDescent="0.3">
      <c r="A1618" t="s">
        <v>34</v>
      </c>
      <c r="B1618">
        <v>2014</v>
      </c>
      <c r="C1618" t="s">
        <v>41</v>
      </c>
      <c r="D1618" t="s">
        <v>26</v>
      </c>
      <c r="E1618" t="e">
        <f>VLOOKUP(Cpi_[[#This Row],[Attribute]],#REF!,2,FALSE)</f>
        <v>#REF!</v>
      </c>
      <c r="F1618">
        <v>118</v>
      </c>
      <c r="G1618">
        <f>(Cpi_[[#This Row],[Value]]-F1617)/F1617</f>
        <v>4.7957371225577319E-2</v>
      </c>
      <c r="H1618" t="e" cm="1" vm="1">
        <f t="array" aca="1" ref="H1618" ca="1">VLOOKUP(Cpi_[[#This Row],[Year]:[Month]],crudeoil[],3,FALSE)</f>
        <v>#VALUE!</v>
      </c>
    </row>
    <row r="1619" spans="1:8" hidden="1" x14ac:dyDescent="0.3">
      <c r="A1619" t="s">
        <v>34</v>
      </c>
      <c r="B1619">
        <v>2014</v>
      </c>
      <c r="C1619" t="s">
        <v>41</v>
      </c>
      <c r="D1619" t="s">
        <v>27</v>
      </c>
      <c r="E1619" t="e">
        <f>VLOOKUP(Cpi_[[#This Row],[Attribute]],#REF!,2,FALSE)</f>
        <v>#REF!</v>
      </c>
      <c r="F1619">
        <v>109.9</v>
      </c>
      <c r="G1619">
        <f>(Cpi_[[#This Row],[Value]]-F1618)/F1618</f>
        <v>-6.8644067796610128E-2</v>
      </c>
      <c r="H1619" t="e" cm="1" vm="1">
        <f t="array" aca="1" ref="H1619" ca="1">VLOOKUP(Cpi_[[#This Row],[Year]:[Month]],crudeoil[],3,FALSE)</f>
        <v>#VALUE!</v>
      </c>
    </row>
    <row r="1620" spans="1:8" hidden="1" x14ac:dyDescent="0.3">
      <c r="A1620" t="s">
        <v>34</v>
      </c>
      <c r="B1620">
        <v>2014</v>
      </c>
      <c r="C1620" t="s">
        <v>41</v>
      </c>
      <c r="D1620" t="s">
        <v>28</v>
      </c>
      <c r="E1620" t="e">
        <f>VLOOKUP(Cpi_[[#This Row],[Attribute]],#REF!,2,FALSE)</f>
        <v>#REF!</v>
      </c>
      <c r="F1620">
        <v>113.7</v>
      </c>
      <c r="G1620">
        <f>(Cpi_[[#This Row],[Value]]-F1619)/F1619</f>
        <v>3.4576888080072768E-2</v>
      </c>
      <c r="H1620" t="e" cm="1" vm="1">
        <f t="array" aca="1" ref="H1620" ca="1">VLOOKUP(Cpi_[[#This Row],[Year]:[Month]],crudeoil[],3,FALSE)</f>
        <v>#VALUE!</v>
      </c>
    </row>
    <row r="1621" spans="1:8" hidden="1" x14ac:dyDescent="0.3">
      <c r="A1621" t="s">
        <v>34</v>
      </c>
      <c r="B1621">
        <v>2014</v>
      </c>
      <c r="C1621" t="s">
        <v>41</v>
      </c>
      <c r="D1621" t="s">
        <v>29</v>
      </c>
      <c r="E1621" t="e" cm="1">
        <f t="array" aca="1" ref="E1621" ca="1">VLGeneral indexGeneral indexKUP(Cpi_[[#This Row],[Attribute]],#REF!,2,FALSE)</f>
        <v>#NAME?</v>
      </c>
      <c r="F1621">
        <v>120.3</v>
      </c>
      <c r="G1621">
        <f>(Cpi_[[#This Row],[Value]]-F1620)/F1620</f>
        <v>5.8047493403693882E-2</v>
      </c>
      <c r="H1621" t="e" cm="1" vm="1">
        <f t="array" aca="1" ref="H1621" ca="1">VLOOKUP(Cpi_[[#This Row],[Year]:[Month]],crudeoil[],3,FALSE)</f>
        <v>#VALUE!</v>
      </c>
    </row>
    <row r="1622" spans="1:8" hidden="1" x14ac:dyDescent="0.3">
      <c r="A1622" t="s">
        <v>30</v>
      </c>
      <c r="B1622">
        <v>2014</v>
      </c>
      <c r="C1622" t="s">
        <v>42</v>
      </c>
      <c r="D1622" t="s">
        <v>3</v>
      </c>
      <c r="E1622" t="e">
        <f>VLOOKUP(Cpi_[[#This Row],[Attribute]],#REF!,2,FALSE)</f>
        <v>#REF!</v>
      </c>
      <c r="F1622">
        <v>122.3</v>
      </c>
      <c r="G1622">
        <f>(Cpi_[[#This Row],[Value]]-F1621)/F1621</f>
        <v>1.6625103906899419E-2</v>
      </c>
      <c r="H1622" t="e" cm="1" vm="1">
        <f t="array" aca="1" ref="H1622" ca="1">VLOOKUP(Cpi_[[#This Row],[Year]:[Month]],crudeoil[],3,FALSE)</f>
        <v>#VALUE!</v>
      </c>
    </row>
    <row r="1623" spans="1:8" hidden="1" x14ac:dyDescent="0.3">
      <c r="A1623" t="s">
        <v>30</v>
      </c>
      <c r="B1623">
        <v>2014</v>
      </c>
      <c r="C1623" t="s">
        <v>42</v>
      </c>
      <c r="D1623" t="s">
        <v>4</v>
      </c>
      <c r="E1623" t="e">
        <f>VLOOKUP(Cpi_[[#This Row],[Attribute]],#REF!,2,FALSE)</f>
        <v>#REF!</v>
      </c>
      <c r="F1623">
        <v>122.4</v>
      </c>
      <c r="G1623">
        <f>(Cpi_[[#This Row],[Value]]-F1622)/F1622</f>
        <v>8.1766148814397816E-4</v>
      </c>
      <c r="H1623" t="e" cm="1" vm="1">
        <f t="array" aca="1" ref="H1623" ca="1">VLOOKUP(Cpi_[[#This Row],[Year]:[Month]],crudeoil[],3,FALSE)</f>
        <v>#VALUE!</v>
      </c>
    </row>
    <row r="1624" spans="1:8" hidden="1" x14ac:dyDescent="0.3">
      <c r="A1624" t="s">
        <v>30</v>
      </c>
      <c r="B1624">
        <v>2014</v>
      </c>
      <c r="C1624" t="s">
        <v>42</v>
      </c>
      <c r="D1624" t="s">
        <v>5</v>
      </c>
      <c r="E1624" t="e">
        <f>VLOOKUP(Cpi_[[#This Row],[Attribute]],#REF!,2,FALSE)</f>
        <v>#REF!</v>
      </c>
      <c r="F1624">
        <v>117.8</v>
      </c>
      <c r="G1624">
        <f>(Cpi_[[#This Row],[Value]]-F1623)/F1623</f>
        <v>-3.7581699346405296E-2</v>
      </c>
      <c r="H1624" t="e" cm="1" vm="1">
        <f t="array" aca="1" ref="H1624" ca="1">VLOOKUP(Cpi_[[#This Row],[Year]:[Month]],crudeoil[],3,FALSE)</f>
        <v>#VALUE!</v>
      </c>
    </row>
    <row r="1625" spans="1:8" hidden="1" x14ac:dyDescent="0.3">
      <c r="A1625" t="s">
        <v>30</v>
      </c>
      <c r="B1625">
        <v>2014</v>
      </c>
      <c r="C1625" t="s">
        <v>42</v>
      </c>
      <c r="D1625" t="s">
        <v>6</v>
      </c>
      <c r="E1625" t="e">
        <f>VLOOKUP(Cpi_[[#This Row],[Attribute]],#REF!,2,FALSE)</f>
        <v>#REF!</v>
      </c>
      <c r="F1625">
        <v>122.7</v>
      </c>
      <c r="G1625">
        <f>(Cpi_[[#This Row],[Value]]-F1624)/F1624</f>
        <v>4.1595925297113805E-2</v>
      </c>
      <c r="H1625" t="e" cm="1" vm="1">
        <f t="array" aca="1" ref="H1625" ca="1">VLOOKUP(Cpi_[[#This Row],[Year]:[Month]],crudeoil[],3,FALSE)</f>
        <v>#VALUE!</v>
      </c>
    </row>
    <row r="1626" spans="1:8" hidden="1" x14ac:dyDescent="0.3">
      <c r="A1626" t="s">
        <v>30</v>
      </c>
      <c r="B1626">
        <v>2014</v>
      </c>
      <c r="C1626" t="s">
        <v>42</v>
      </c>
      <c r="D1626" t="s">
        <v>7</v>
      </c>
      <c r="E1626" t="e">
        <f>VLOOKUP(Cpi_[[#This Row],[Attribute]],#REF!,2,FALSE)</f>
        <v>#REF!</v>
      </c>
      <c r="F1626">
        <v>110.4</v>
      </c>
      <c r="G1626">
        <f>(Cpi_[[#This Row],[Value]]-F1625)/F1625</f>
        <v>-0.10024449877750609</v>
      </c>
      <c r="H1626" t="e" cm="1" vm="1">
        <f t="array" aca="1" ref="H1626" ca="1">VLOOKUP(Cpi_[[#This Row],[Year]:[Month]],crudeoil[],3,FALSE)</f>
        <v>#VALUE!</v>
      </c>
    </row>
    <row r="1627" spans="1:8" hidden="1" x14ac:dyDescent="0.3">
      <c r="A1627" t="s">
        <v>30</v>
      </c>
      <c r="B1627">
        <v>2014</v>
      </c>
      <c r="C1627" t="s">
        <v>42</v>
      </c>
      <c r="D1627" t="s">
        <v>8</v>
      </c>
      <c r="E1627" t="e">
        <f>VLOOKUP(Cpi_[[#This Row],[Attribute]],#REF!,2,FALSE)</f>
        <v>#REF!</v>
      </c>
      <c r="F1627">
        <v>129.80000000000001</v>
      </c>
      <c r="G1627">
        <f>(Cpi_[[#This Row],[Value]]-F1626)/F1626</f>
        <v>0.17572463768115945</v>
      </c>
      <c r="H1627" t="e" cm="1" vm="1">
        <f t="array" aca="1" ref="H1627" ca="1">VLOOKUP(Cpi_[[#This Row],[Year]:[Month]],crudeoil[],3,FALSE)</f>
        <v>#VALUE!</v>
      </c>
    </row>
    <row r="1628" spans="1:8" hidden="1" x14ac:dyDescent="0.3">
      <c r="A1628" t="s">
        <v>30</v>
      </c>
      <c r="B1628">
        <v>2014</v>
      </c>
      <c r="C1628" t="s">
        <v>42</v>
      </c>
      <c r="D1628" t="s">
        <v>9</v>
      </c>
      <c r="E1628" t="e">
        <f>VLOOKUP(Cpi_[[#This Row],[Attribute]],#REF!,2,FALSE)</f>
        <v>#REF!</v>
      </c>
      <c r="F1628">
        <v>158.80000000000001</v>
      </c>
      <c r="G1628">
        <f>(Cpi_[[#This Row],[Value]]-F1627)/F1627</f>
        <v>0.22342064714946069</v>
      </c>
      <c r="H1628" t="e" cm="1" vm="1">
        <f t="array" aca="1" ref="H1628" ca="1">VLOOKUP(Cpi_[[#This Row],[Year]:[Month]],crudeoil[],3,FALSE)</f>
        <v>#VALUE!</v>
      </c>
    </row>
    <row r="1629" spans="1:8" hidden="1" x14ac:dyDescent="0.3">
      <c r="A1629" t="s">
        <v>30</v>
      </c>
      <c r="B1629">
        <v>2014</v>
      </c>
      <c r="C1629" t="s">
        <v>42</v>
      </c>
      <c r="D1629" t="s">
        <v>10</v>
      </c>
      <c r="E1629" t="e">
        <f>VLOOKUP(Cpi_[[#This Row],[Attribute]],#REF!,2,FALSE)</f>
        <v>#REF!</v>
      </c>
      <c r="F1629">
        <v>115</v>
      </c>
      <c r="G1629">
        <f>(Cpi_[[#This Row],[Value]]-F1628)/F1628</f>
        <v>-0.2758186397984887</v>
      </c>
      <c r="H1629" t="e" cm="1" vm="1">
        <f t="array" aca="1" ref="H1629" ca="1">VLOOKUP(Cpi_[[#This Row],[Year]:[Month]],crudeoil[],3,FALSE)</f>
        <v>#VALUE!</v>
      </c>
    </row>
    <row r="1630" spans="1:8" hidden="1" x14ac:dyDescent="0.3">
      <c r="A1630" t="s">
        <v>30</v>
      </c>
      <c r="B1630">
        <v>2014</v>
      </c>
      <c r="C1630" t="s">
        <v>42</v>
      </c>
      <c r="D1630" t="s">
        <v>11</v>
      </c>
      <c r="E1630" t="e">
        <f>VLOOKUP(Cpi_[[#This Row],[Attribute]],#REF!,2,FALSE)</f>
        <v>#REF!</v>
      </c>
      <c r="F1630">
        <v>104.7</v>
      </c>
      <c r="G1630">
        <f>(Cpi_[[#This Row],[Value]]-F1629)/F1629</f>
        <v>-8.9565217391304325E-2</v>
      </c>
      <c r="H1630" t="e" cm="1" vm="1">
        <f t="array" aca="1" ref="H1630" ca="1">VLOOKUP(Cpi_[[#This Row],[Year]:[Month]],crudeoil[],3,FALSE)</f>
        <v>#VALUE!</v>
      </c>
    </row>
    <row r="1631" spans="1:8" hidden="1" x14ac:dyDescent="0.3">
      <c r="A1631" t="s">
        <v>30</v>
      </c>
      <c r="B1631">
        <v>2014</v>
      </c>
      <c r="C1631" t="s">
        <v>42</v>
      </c>
      <c r="D1631" t="s">
        <v>12</v>
      </c>
      <c r="E1631" t="e">
        <f>VLOOKUP(Cpi_[[#This Row],[Attribute]],#REF!,2,FALSE)</f>
        <v>#REF!</v>
      </c>
      <c r="F1631">
        <v>114.9</v>
      </c>
      <c r="G1631">
        <f>(Cpi_[[#This Row],[Value]]-F1630)/F1630</f>
        <v>9.7421203438395443E-2</v>
      </c>
      <c r="H1631" t="e" cm="1" vm="1">
        <f t="array" aca="1" ref="H1631" ca="1">VLOOKUP(Cpi_[[#This Row],[Year]:[Month]],crudeoil[],3,FALSE)</f>
        <v>#VALUE!</v>
      </c>
    </row>
    <row r="1632" spans="1:8" hidden="1" x14ac:dyDescent="0.3">
      <c r="A1632" t="s">
        <v>30</v>
      </c>
      <c r="B1632">
        <v>2014</v>
      </c>
      <c r="C1632" t="s">
        <v>42</v>
      </c>
      <c r="D1632" t="s">
        <v>13</v>
      </c>
      <c r="E1632" t="e">
        <f>VLOOKUP(Cpi_[[#This Row],[Attribute]],#REF!,2,FALSE)</f>
        <v>#REF!</v>
      </c>
      <c r="F1632">
        <v>116.5</v>
      </c>
      <c r="G1632">
        <f>(Cpi_[[#This Row],[Value]]-F1631)/F1631</f>
        <v>1.39251523063533E-2</v>
      </c>
      <c r="H1632" t="e" cm="1" vm="1">
        <f t="array" aca="1" ref="H1632" ca="1">VLOOKUP(Cpi_[[#This Row],[Year]:[Month]],crudeoil[],3,FALSE)</f>
        <v>#VALUE!</v>
      </c>
    </row>
    <row r="1633" spans="1:8" hidden="1" x14ac:dyDescent="0.3">
      <c r="A1633" t="s">
        <v>30</v>
      </c>
      <c r="B1633">
        <v>2014</v>
      </c>
      <c r="C1633" t="s">
        <v>42</v>
      </c>
      <c r="D1633" t="s">
        <v>14</v>
      </c>
      <c r="E1633" t="e">
        <f>VLOOKUP(Cpi_[[#This Row],[Attribute]],#REF!,2,FALSE)</f>
        <v>#REF!</v>
      </c>
      <c r="F1633">
        <v>122.6</v>
      </c>
      <c r="G1633">
        <f>(Cpi_[[#This Row],[Value]]-F1632)/F1632</f>
        <v>5.2360515021459178E-2</v>
      </c>
      <c r="H1633" t="e" cm="1" vm="1">
        <f t="array" aca="1" ref="H1633" ca="1">VLOOKUP(Cpi_[[#This Row],[Year]:[Month]],crudeoil[],3,FALSE)</f>
        <v>#VALUE!</v>
      </c>
    </row>
    <row r="1634" spans="1:8" hidden="1" x14ac:dyDescent="0.3">
      <c r="A1634" t="s">
        <v>30</v>
      </c>
      <c r="B1634">
        <v>2014</v>
      </c>
      <c r="C1634" t="s">
        <v>42</v>
      </c>
      <c r="D1634" t="s">
        <v>15</v>
      </c>
      <c r="E1634" t="e">
        <f>VLOOKUP(Cpi_[[#This Row],[Attribute]],#REF!,2,FALSE)</f>
        <v>#REF!</v>
      </c>
      <c r="F1634">
        <v>125.3</v>
      </c>
      <c r="G1634">
        <f>(Cpi_[[#This Row],[Value]]-F1633)/F1633</f>
        <v>2.2022838499184363E-2</v>
      </c>
      <c r="H1634" t="e" cm="1" vm="1">
        <f t="array" aca="1" ref="H1634" ca="1">VLOOKUP(Cpi_[[#This Row],[Year]:[Month]],crudeoil[],3,FALSE)</f>
        <v>#VALUE!</v>
      </c>
    </row>
    <row r="1635" spans="1:8" hidden="1" x14ac:dyDescent="0.3">
      <c r="A1635" t="s">
        <v>30</v>
      </c>
      <c r="B1635">
        <v>2014</v>
      </c>
      <c r="C1635" t="s">
        <v>42</v>
      </c>
      <c r="D1635" t="s">
        <v>16</v>
      </c>
      <c r="E1635" t="e">
        <f>VLOOKUP(Cpi_[[#This Row],[Attribute]],#REF!,2,FALSE)</f>
        <v>#REF!</v>
      </c>
      <c r="F1635">
        <v>119.5</v>
      </c>
      <c r="G1635">
        <f>(Cpi_[[#This Row],[Value]]-F1634)/F1634</f>
        <v>-4.6288906624102136E-2</v>
      </c>
      <c r="H1635" t="e" cm="1" vm="1">
        <f t="array" aca="1" ref="H1635" ca="1">VLOOKUP(Cpi_[[#This Row],[Year]:[Month]],crudeoil[],3,FALSE)</f>
        <v>#VALUE!</v>
      </c>
    </row>
    <row r="1636" spans="1:8" hidden="1" x14ac:dyDescent="0.3">
      <c r="A1636" t="s">
        <v>30</v>
      </c>
      <c r="B1636">
        <v>2014</v>
      </c>
      <c r="C1636" t="s">
        <v>42</v>
      </c>
      <c r="D1636" t="s">
        <v>17</v>
      </c>
      <c r="E1636" t="e">
        <f>VLOOKUP(Cpi_[[#This Row],[Attribute]],#REF!,2,FALSE)</f>
        <v>#REF!</v>
      </c>
      <c r="F1636">
        <v>121.7</v>
      </c>
      <c r="G1636">
        <f>(Cpi_[[#This Row],[Value]]-F1635)/F1635</f>
        <v>1.8410041841004209E-2</v>
      </c>
      <c r="H1636" t="e" cm="1" vm="1">
        <f t="array" aca="1" ref="H1636" ca="1">VLOOKUP(Cpi_[[#This Row],[Year]:[Month]],crudeoil[],3,FALSE)</f>
        <v>#VALUE!</v>
      </c>
    </row>
    <row r="1637" spans="1:8" hidden="1" x14ac:dyDescent="0.3">
      <c r="A1637" t="s">
        <v>30</v>
      </c>
      <c r="B1637">
        <v>2014</v>
      </c>
      <c r="C1637" t="s">
        <v>42</v>
      </c>
      <c r="D1637" t="s">
        <v>18</v>
      </c>
      <c r="E1637" t="e">
        <f>VLOOKUP(Cpi_[[#This Row],[Attribute]],#REF!,2,FALSE)</f>
        <v>#REF!</v>
      </c>
      <c r="F1637">
        <v>119.2</v>
      </c>
      <c r="G1637">
        <f>(Cpi_[[#This Row],[Value]]-F1636)/F1636</f>
        <v>-2.0542317173377157E-2</v>
      </c>
      <c r="H1637" t="e" cm="1" vm="1">
        <f t="array" aca="1" ref="H1637" ca="1">VLOOKUP(Cpi_[[#This Row],[Year]:[Month]],crudeoil[],3,FALSE)</f>
        <v>#VALUE!</v>
      </c>
    </row>
    <row r="1638" spans="1:8" hidden="1" x14ac:dyDescent="0.3">
      <c r="A1638" t="s">
        <v>30</v>
      </c>
      <c r="B1638">
        <v>2014</v>
      </c>
      <c r="C1638" t="s">
        <v>42</v>
      </c>
      <c r="D1638" t="s">
        <v>19</v>
      </c>
      <c r="E1638" t="e">
        <f>VLOOKUP(Cpi_[[#This Row],[Attribute]],#REF!,2,FALSE)</f>
        <v>#REF!</v>
      </c>
      <c r="F1638">
        <v>121.3</v>
      </c>
      <c r="G1638">
        <f>(Cpi_[[#This Row],[Value]]-F1637)/F1637</f>
        <v>1.761744966442948E-2</v>
      </c>
      <c r="H1638" t="e" cm="1" vm="1">
        <f t="array" aca="1" ref="H1638" ca="1">VLOOKUP(Cpi_[[#This Row],[Year]:[Month]],crudeoil[],3,FALSE)</f>
        <v>#VALUE!</v>
      </c>
    </row>
    <row r="1639" spans="1:8" hidden="1" x14ac:dyDescent="0.3">
      <c r="A1639" t="s">
        <v>30</v>
      </c>
      <c r="B1639">
        <v>2014</v>
      </c>
      <c r="C1639" t="s">
        <v>42</v>
      </c>
      <c r="D1639" t="s">
        <v>20</v>
      </c>
      <c r="E1639" t="e">
        <f>VLOOKUP(Cpi_[[#This Row],[Attribute]],#REF!,2,FALSE)</f>
        <v>#REF!</v>
      </c>
      <c r="F1639" t="s">
        <v>32</v>
      </c>
      <c r="G1639" t="e">
        <f>(Cpi_[[#This Row],[Value]]-F1638)/F1638</f>
        <v>#VALUE!</v>
      </c>
      <c r="H1639" t="e" cm="1" vm="1">
        <f t="array" aca="1" ref="H1639" ca="1">VLOOKUP(Cpi_[[#This Row],[Year]:[Month]],crudeoil[],3,FALSE)</f>
        <v>#VALUE!</v>
      </c>
    </row>
    <row r="1640" spans="1:8" hidden="1" x14ac:dyDescent="0.3">
      <c r="A1640" t="s">
        <v>30</v>
      </c>
      <c r="B1640">
        <v>2014</v>
      </c>
      <c r="C1640" t="s">
        <v>42</v>
      </c>
      <c r="D1640" t="s">
        <v>21</v>
      </c>
      <c r="E1640" t="e">
        <f>VLOOKUP(Cpi_[[#This Row],[Attribute]],#REF!,2,FALSE)</f>
        <v>#REF!</v>
      </c>
      <c r="F1640">
        <v>115.8</v>
      </c>
      <c r="G1640" t="e">
        <f>(Cpi_[[#This Row],[Value]]-F1639)/F1639</f>
        <v>#VALUE!</v>
      </c>
      <c r="H1640" t="e" cm="1" vm="1">
        <f t="array" aca="1" ref="H1640" ca="1">VLOOKUP(Cpi_[[#This Row],[Year]:[Month]],crudeoil[],3,FALSE)</f>
        <v>#VALUE!</v>
      </c>
    </row>
    <row r="1641" spans="1:8" hidden="1" x14ac:dyDescent="0.3">
      <c r="A1641" t="s">
        <v>30</v>
      </c>
      <c r="B1641">
        <v>2014</v>
      </c>
      <c r="C1641" t="s">
        <v>42</v>
      </c>
      <c r="D1641" t="s">
        <v>22</v>
      </c>
      <c r="E1641" t="e">
        <f>VLOOKUP(Cpi_[[#This Row],[Attribute]],#REF!,2,FALSE)</f>
        <v>#REF!</v>
      </c>
      <c r="F1641">
        <v>116.7</v>
      </c>
      <c r="G1641">
        <f>(Cpi_[[#This Row],[Value]]-F1640)/F1640</f>
        <v>7.7720207253886503E-3</v>
      </c>
      <c r="H1641" t="e" cm="1" vm="1">
        <f t="array" aca="1" ref="H1641" ca="1">VLOOKUP(Cpi_[[#This Row],[Year]:[Month]],crudeoil[],3,FALSE)</f>
        <v>#VALUE!</v>
      </c>
    </row>
    <row r="1642" spans="1:8" hidden="1" x14ac:dyDescent="0.3">
      <c r="A1642" t="s">
        <v>30</v>
      </c>
      <c r="B1642">
        <v>2014</v>
      </c>
      <c r="C1642" t="s">
        <v>42</v>
      </c>
      <c r="D1642" t="s">
        <v>23</v>
      </c>
      <c r="E1642" t="e">
        <f>VLOOKUP(Cpi_[[#This Row],[Attribute]],#REF!,2,FALSE)</f>
        <v>#REF!</v>
      </c>
      <c r="F1642">
        <v>114.5</v>
      </c>
      <c r="G1642">
        <f>(Cpi_[[#This Row],[Value]]-F1641)/F1641</f>
        <v>-1.8851756640959751E-2</v>
      </c>
      <c r="H1642" t="e" cm="1" vm="1">
        <f t="array" aca="1" ref="H1642" ca="1">VLOOKUP(Cpi_[[#This Row],[Year]:[Month]],crudeoil[],3,FALSE)</f>
        <v>#VALUE!</v>
      </c>
    </row>
    <row r="1643" spans="1:8" hidden="1" x14ac:dyDescent="0.3">
      <c r="A1643" t="s">
        <v>30</v>
      </c>
      <c r="B1643">
        <v>2014</v>
      </c>
      <c r="C1643" t="s">
        <v>42</v>
      </c>
      <c r="D1643" t="s">
        <v>24</v>
      </c>
      <c r="E1643" t="e">
        <f>VLOOKUP(Cpi_[[#This Row],[Attribute]],#REF!,2,FALSE)</f>
        <v>#REF!</v>
      </c>
      <c r="F1643">
        <v>112.8</v>
      </c>
      <c r="G1643">
        <f>(Cpi_[[#This Row],[Value]]-F1642)/F1642</f>
        <v>-1.4847161572052427E-2</v>
      </c>
      <c r="H1643" t="e" cm="1" vm="1">
        <f t="array" aca="1" ref="H1643" ca="1">VLOOKUP(Cpi_[[#This Row],[Year]:[Month]],crudeoil[],3,FALSE)</f>
        <v>#VALUE!</v>
      </c>
    </row>
    <row r="1644" spans="1:8" hidden="1" x14ac:dyDescent="0.3">
      <c r="A1644" t="s">
        <v>30</v>
      </c>
      <c r="B1644">
        <v>2014</v>
      </c>
      <c r="C1644" t="s">
        <v>42</v>
      </c>
      <c r="D1644" t="s">
        <v>25</v>
      </c>
      <c r="E1644" t="e">
        <f>VLOOKUP(Cpi_[[#This Row],[Attribute]],#REF!,2,FALSE)</f>
        <v>#REF!</v>
      </c>
      <c r="F1644">
        <v>112.6</v>
      </c>
      <c r="G1644">
        <f>(Cpi_[[#This Row],[Value]]-F1643)/F1643</f>
        <v>-1.7730496453900962E-3</v>
      </c>
      <c r="H1644" t="e" cm="1" vm="1">
        <f t="array" aca="1" ref="H1644" ca="1">VLOOKUP(Cpi_[[#This Row],[Year]:[Month]],crudeoil[],3,FALSE)</f>
        <v>#VALUE!</v>
      </c>
    </row>
    <row r="1645" spans="1:8" hidden="1" x14ac:dyDescent="0.3">
      <c r="A1645" t="s">
        <v>30</v>
      </c>
      <c r="B1645">
        <v>2014</v>
      </c>
      <c r="C1645" t="s">
        <v>42</v>
      </c>
      <c r="D1645" t="s">
        <v>26</v>
      </c>
      <c r="E1645" t="e">
        <f>VLOOKUP(Cpi_[[#This Row],[Attribute]],#REF!,2,FALSE)</f>
        <v>#REF!</v>
      </c>
      <c r="F1645">
        <v>116.6</v>
      </c>
      <c r="G1645">
        <f>(Cpi_[[#This Row],[Value]]-F1644)/F1644</f>
        <v>3.5523978685612793E-2</v>
      </c>
      <c r="H1645" t="e" cm="1" vm="1">
        <f t="array" aca="1" ref="H1645" ca="1">VLOOKUP(Cpi_[[#This Row],[Year]:[Month]],crudeoil[],3,FALSE)</f>
        <v>#VALUE!</v>
      </c>
    </row>
    <row r="1646" spans="1:8" hidden="1" x14ac:dyDescent="0.3">
      <c r="A1646" t="s">
        <v>30</v>
      </c>
      <c r="B1646">
        <v>2014</v>
      </c>
      <c r="C1646" t="s">
        <v>42</v>
      </c>
      <c r="D1646" t="s">
        <v>27</v>
      </c>
      <c r="E1646" t="e">
        <f>VLOOKUP(Cpi_[[#This Row],[Attribute]],#REF!,2,FALSE)</f>
        <v>#REF!</v>
      </c>
      <c r="F1646">
        <v>109.1</v>
      </c>
      <c r="G1646">
        <f>(Cpi_[[#This Row],[Value]]-F1645)/F1645</f>
        <v>-6.4322469982847338E-2</v>
      </c>
      <c r="H1646" t="e" cm="1" vm="1">
        <f t="array" aca="1" ref="H1646" ca="1">VLOOKUP(Cpi_[[#This Row],[Year]:[Month]],crudeoil[],3,FALSE)</f>
        <v>#VALUE!</v>
      </c>
    </row>
    <row r="1647" spans="1:8" hidden="1" x14ac:dyDescent="0.3">
      <c r="A1647" t="s">
        <v>30</v>
      </c>
      <c r="B1647">
        <v>2014</v>
      </c>
      <c r="C1647" t="s">
        <v>42</v>
      </c>
      <c r="D1647" t="s">
        <v>28</v>
      </c>
      <c r="E1647" t="e">
        <f>VLOOKUP(Cpi_[[#This Row],[Attribute]],#REF!,2,FALSE)</f>
        <v>#REF!</v>
      </c>
      <c r="F1647">
        <v>113.7</v>
      </c>
      <c r="G1647">
        <f>(Cpi_[[#This Row],[Value]]-F1646)/F1646</f>
        <v>4.2163153070577532E-2</v>
      </c>
      <c r="H1647" t="e" cm="1" vm="1">
        <f t="array" aca="1" ref="H1647" ca="1">VLOOKUP(Cpi_[[#This Row],[Year]:[Month]],crudeoil[],3,FALSE)</f>
        <v>#VALUE!</v>
      </c>
    </row>
    <row r="1648" spans="1:8" hidden="1" x14ac:dyDescent="0.3">
      <c r="A1648" t="s">
        <v>30</v>
      </c>
      <c r="B1648">
        <v>2014</v>
      </c>
      <c r="C1648" t="s">
        <v>42</v>
      </c>
      <c r="D1648" t="s">
        <v>29</v>
      </c>
      <c r="E1648" t="e" cm="1">
        <f t="array" aca="1" ref="E1648" ca="1">VLGeneral indexGeneral indexKUP(Cpi_[[#This Row],[Attribute]],#REF!,2,FALSE)</f>
        <v>#NAME?</v>
      </c>
      <c r="F1648">
        <v>120.9</v>
      </c>
      <c r="G1648">
        <f>(Cpi_[[#This Row],[Value]]-F1647)/F1647</f>
        <v>6.3324538258575216E-2</v>
      </c>
      <c r="H1648" t="e" cm="1" vm="1">
        <f t="array" aca="1" ref="H1648" ca="1">VLOOKUP(Cpi_[[#This Row],[Year]:[Month]],crudeoil[],3,FALSE)</f>
        <v>#VALUE!</v>
      </c>
    </row>
    <row r="1649" spans="1:8" hidden="1" x14ac:dyDescent="0.3">
      <c r="A1649" t="s">
        <v>33</v>
      </c>
      <c r="B1649">
        <v>2014</v>
      </c>
      <c r="C1649" t="s">
        <v>42</v>
      </c>
      <c r="D1649" t="s">
        <v>3</v>
      </c>
      <c r="E1649" t="e">
        <f>VLOOKUP(Cpi_[[#This Row],[Attribute]],#REF!,2,FALSE)</f>
        <v>#REF!</v>
      </c>
      <c r="F1649">
        <v>124.2</v>
      </c>
      <c r="G1649">
        <f>(Cpi_[[#This Row],[Value]]-F1648)/F1648</f>
        <v>2.7295285359801465E-2</v>
      </c>
      <c r="H1649" t="e" cm="1" vm="1">
        <f t="array" aca="1" ref="H1649" ca="1">VLOOKUP(Cpi_[[#This Row],[Year]:[Month]],crudeoil[],3,FALSE)</f>
        <v>#VALUE!</v>
      </c>
    </row>
    <row r="1650" spans="1:8" hidden="1" x14ac:dyDescent="0.3">
      <c r="A1650" t="s">
        <v>33</v>
      </c>
      <c r="B1650">
        <v>2014</v>
      </c>
      <c r="C1650" t="s">
        <v>42</v>
      </c>
      <c r="D1650" t="s">
        <v>4</v>
      </c>
      <c r="E1650" t="e">
        <f>VLOOKUP(Cpi_[[#This Row],[Attribute]],#REF!,2,FALSE)</f>
        <v>#REF!</v>
      </c>
      <c r="F1650">
        <v>125.4</v>
      </c>
      <c r="G1650">
        <f>(Cpi_[[#This Row],[Value]]-F1649)/F1649</f>
        <v>9.6618357487922926E-3</v>
      </c>
      <c r="H1650" t="e" cm="1" vm="1">
        <f t="array" aca="1" ref="H1650" ca="1">VLOOKUP(Cpi_[[#This Row],[Year]:[Month]],crudeoil[],3,FALSE)</f>
        <v>#VALUE!</v>
      </c>
    </row>
    <row r="1651" spans="1:8" hidden="1" x14ac:dyDescent="0.3">
      <c r="A1651" t="s">
        <v>33</v>
      </c>
      <c r="B1651">
        <v>2014</v>
      </c>
      <c r="C1651" t="s">
        <v>42</v>
      </c>
      <c r="D1651" t="s">
        <v>5</v>
      </c>
      <c r="E1651" t="e">
        <f>VLOOKUP(Cpi_[[#This Row],[Attribute]],#REF!,2,FALSE)</f>
        <v>#REF!</v>
      </c>
      <c r="F1651">
        <v>116.4</v>
      </c>
      <c r="G1651">
        <f>(Cpi_[[#This Row],[Value]]-F1650)/F1650</f>
        <v>-7.1770334928229665E-2</v>
      </c>
      <c r="H1651" t="e" cm="1" vm="1">
        <f t="array" aca="1" ref="H1651" ca="1">VLOOKUP(Cpi_[[#This Row],[Year]:[Month]],crudeoil[],3,FALSE)</f>
        <v>#VALUE!</v>
      </c>
    </row>
    <row r="1652" spans="1:8" hidden="1" x14ac:dyDescent="0.3">
      <c r="A1652" t="s">
        <v>33</v>
      </c>
      <c r="B1652">
        <v>2014</v>
      </c>
      <c r="C1652" t="s">
        <v>42</v>
      </c>
      <c r="D1652" t="s">
        <v>6</v>
      </c>
      <c r="E1652" t="e">
        <f>VLOOKUP(Cpi_[[#This Row],[Attribute]],#REF!,2,FALSE)</f>
        <v>#REF!</v>
      </c>
      <c r="F1652">
        <v>122.7</v>
      </c>
      <c r="G1652">
        <f>(Cpi_[[#This Row],[Value]]-F1651)/F1651</f>
        <v>5.412371134020616E-2</v>
      </c>
      <c r="H1652" t="e" cm="1" vm="1">
        <f t="array" aca="1" ref="H1652" ca="1">VLOOKUP(Cpi_[[#This Row],[Year]:[Month]],crudeoil[],3,FALSE)</f>
        <v>#VALUE!</v>
      </c>
    </row>
    <row r="1653" spans="1:8" hidden="1" x14ac:dyDescent="0.3">
      <c r="A1653" t="s">
        <v>33</v>
      </c>
      <c r="B1653">
        <v>2014</v>
      </c>
      <c r="C1653" t="s">
        <v>42</v>
      </c>
      <c r="D1653" t="s">
        <v>7</v>
      </c>
      <c r="E1653" t="e">
        <f>VLOOKUP(Cpi_[[#This Row],[Attribute]],#REF!,2,FALSE)</f>
        <v>#REF!</v>
      </c>
      <c r="F1653">
        <v>103.5</v>
      </c>
      <c r="G1653">
        <f>(Cpi_[[#This Row],[Value]]-F1652)/F1652</f>
        <v>-0.15647921760391201</v>
      </c>
      <c r="H1653" t="e" cm="1" vm="1">
        <f t="array" aca="1" ref="H1653" ca="1">VLOOKUP(Cpi_[[#This Row],[Year]:[Month]],crudeoil[],3,FALSE)</f>
        <v>#VALUE!</v>
      </c>
    </row>
    <row r="1654" spans="1:8" hidden="1" x14ac:dyDescent="0.3">
      <c r="A1654" t="s">
        <v>33</v>
      </c>
      <c r="B1654">
        <v>2014</v>
      </c>
      <c r="C1654" t="s">
        <v>42</v>
      </c>
      <c r="D1654" t="s">
        <v>8</v>
      </c>
      <c r="E1654" t="e">
        <f>VLOOKUP(Cpi_[[#This Row],[Attribute]],#REF!,2,FALSE)</f>
        <v>#REF!</v>
      </c>
      <c r="F1654">
        <v>124.5</v>
      </c>
      <c r="G1654">
        <f>(Cpi_[[#This Row],[Value]]-F1653)/F1653</f>
        <v>0.20289855072463769</v>
      </c>
      <c r="H1654" t="e" cm="1" vm="1">
        <f t="array" aca="1" ref="H1654" ca="1">VLOOKUP(Cpi_[[#This Row],[Year]:[Month]],crudeoil[],3,FALSE)</f>
        <v>#VALUE!</v>
      </c>
    </row>
    <row r="1655" spans="1:8" hidden="1" x14ac:dyDescent="0.3">
      <c r="A1655" t="s">
        <v>33</v>
      </c>
      <c r="B1655">
        <v>2014</v>
      </c>
      <c r="C1655" t="s">
        <v>42</v>
      </c>
      <c r="D1655" t="s">
        <v>9</v>
      </c>
      <c r="E1655" t="e">
        <f>VLOOKUP(Cpi_[[#This Row],[Attribute]],#REF!,2,FALSE)</f>
        <v>#REF!</v>
      </c>
      <c r="F1655">
        <v>168.6</v>
      </c>
      <c r="G1655">
        <f>(Cpi_[[#This Row],[Value]]-F1654)/F1654</f>
        <v>0.35421686746987946</v>
      </c>
      <c r="H1655" t="e" cm="1" vm="1">
        <f t="array" aca="1" ref="H1655" ca="1">VLOOKUP(Cpi_[[#This Row],[Year]:[Month]],crudeoil[],3,FALSE)</f>
        <v>#VALUE!</v>
      </c>
    </row>
    <row r="1656" spans="1:8" hidden="1" x14ac:dyDescent="0.3">
      <c r="A1656" t="s">
        <v>33</v>
      </c>
      <c r="B1656">
        <v>2014</v>
      </c>
      <c r="C1656" t="s">
        <v>42</v>
      </c>
      <c r="D1656" t="s">
        <v>10</v>
      </c>
      <c r="E1656" t="e">
        <f>VLOOKUP(Cpi_[[#This Row],[Attribute]],#REF!,2,FALSE)</f>
        <v>#REF!</v>
      </c>
      <c r="F1656">
        <v>116.9</v>
      </c>
      <c r="G1656">
        <f>(Cpi_[[#This Row],[Value]]-F1655)/F1655</f>
        <v>-0.30664294187425856</v>
      </c>
      <c r="H1656" t="e" cm="1" vm="1">
        <f t="array" aca="1" ref="H1656" ca="1">VLOOKUP(Cpi_[[#This Row],[Year]:[Month]],crudeoil[],3,FALSE)</f>
        <v>#VALUE!</v>
      </c>
    </row>
    <row r="1657" spans="1:8" hidden="1" x14ac:dyDescent="0.3">
      <c r="A1657" t="s">
        <v>33</v>
      </c>
      <c r="B1657">
        <v>2014</v>
      </c>
      <c r="C1657" t="s">
        <v>42</v>
      </c>
      <c r="D1657" t="s">
        <v>11</v>
      </c>
      <c r="E1657" t="e">
        <f>VLOOKUP(Cpi_[[#This Row],[Attribute]],#REF!,2,FALSE)</f>
        <v>#REF!</v>
      </c>
      <c r="F1657">
        <v>101.9</v>
      </c>
      <c r="G1657">
        <f>(Cpi_[[#This Row],[Value]]-F1656)/F1656</f>
        <v>-0.12831479897348161</v>
      </c>
      <c r="H1657" t="e" cm="1" vm="1">
        <f t="array" aca="1" ref="H1657" ca="1">VLOOKUP(Cpi_[[#This Row],[Year]:[Month]],crudeoil[],3,FALSE)</f>
        <v>#VALUE!</v>
      </c>
    </row>
    <row r="1658" spans="1:8" hidden="1" x14ac:dyDescent="0.3">
      <c r="A1658" t="s">
        <v>33</v>
      </c>
      <c r="B1658">
        <v>2014</v>
      </c>
      <c r="C1658" t="s">
        <v>42</v>
      </c>
      <c r="D1658" t="s">
        <v>12</v>
      </c>
      <c r="E1658" t="e">
        <f>VLOOKUP(Cpi_[[#This Row],[Attribute]],#REF!,2,FALSE)</f>
        <v>#REF!</v>
      </c>
      <c r="F1658">
        <v>122.9</v>
      </c>
      <c r="G1658">
        <f>(Cpi_[[#This Row],[Value]]-F1657)/F1657</f>
        <v>0.20608439646712462</v>
      </c>
      <c r="H1658" t="e" cm="1" vm="1">
        <f t="array" aca="1" ref="H1658" ca="1">VLOOKUP(Cpi_[[#This Row],[Year]:[Month]],crudeoil[],3,FALSE)</f>
        <v>#VALUE!</v>
      </c>
    </row>
    <row r="1659" spans="1:8" hidden="1" x14ac:dyDescent="0.3">
      <c r="A1659" t="s">
        <v>33</v>
      </c>
      <c r="B1659">
        <v>2014</v>
      </c>
      <c r="C1659" t="s">
        <v>42</v>
      </c>
      <c r="D1659" t="s">
        <v>13</v>
      </c>
      <c r="E1659" t="e">
        <f>VLOOKUP(Cpi_[[#This Row],[Attribute]],#REF!,2,FALSE)</f>
        <v>#REF!</v>
      </c>
      <c r="F1659">
        <v>114.8</v>
      </c>
      <c r="G1659">
        <f>(Cpi_[[#This Row],[Value]]-F1658)/F1658</f>
        <v>-6.5907241659886151E-2</v>
      </c>
      <c r="H1659" t="e" cm="1" vm="1">
        <f t="array" aca="1" ref="H1659" ca="1">VLOOKUP(Cpi_[[#This Row],[Year]:[Month]],crudeoil[],3,FALSE)</f>
        <v>#VALUE!</v>
      </c>
    </row>
    <row r="1660" spans="1:8" hidden="1" x14ac:dyDescent="0.3">
      <c r="A1660" t="s">
        <v>33</v>
      </c>
      <c r="B1660">
        <v>2014</v>
      </c>
      <c r="C1660" t="s">
        <v>42</v>
      </c>
      <c r="D1660" t="s">
        <v>14</v>
      </c>
      <c r="E1660" t="e">
        <f>VLOOKUP(Cpi_[[#This Row],[Attribute]],#REF!,2,FALSE)</f>
        <v>#REF!</v>
      </c>
      <c r="F1660">
        <v>125.2</v>
      </c>
      <c r="G1660">
        <f>(Cpi_[[#This Row],[Value]]-F1659)/F1659</f>
        <v>9.0592334494773566E-2</v>
      </c>
      <c r="H1660" t="e" cm="1" vm="1">
        <f t="array" aca="1" ref="H1660" ca="1">VLOOKUP(Cpi_[[#This Row],[Year]:[Month]],crudeoil[],3,FALSE)</f>
        <v>#VALUE!</v>
      </c>
    </row>
    <row r="1661" spans="1:8" hidden="1" x14ac:dyDescent="0.3">
      <c r="A1661" t="s">
        <v>33</v>
      </c>
      <c r="B1661">
        <v>2014</v>
      </c>
      <c r="C1661" t="s">
        <v>42</v>
      </c>
      <c r="D1661" t="s">
        <v>15</v>
      </c>
      <c r="E1661" t="e">
        <f>VLOOKUP(Cpi_[[#This Row],[Attribute]],#REF!,2,FALSE)</f>
        <v>#REF!</v>
      </c>
      <c r="F1661">
        <v>126.7</v>
      </c>
      <c r="G1661">
        <f>(Cpi_[[#This Row],[Value]]-F1660)/F1660</f>
        <v>1.1980830670926517E-2</v>
      </c>
      <c r="H1661" t="e" cm="1" vm="1">
        <f t="array" aca="1" ref="H1661" ca="1">VLOOKUP(Cpi_[[#This Row],[Year]:[Month]],crudeoil[],3,FALSE)</f>
        <v>#VALUE!</v>
      </c>
    </row>
    <row r="1662" spans="1:8" hidden="1" x14ac:dyDescent="0.3">
      <c r="A1662" t="s">
        <v>33</v>
      </c>
      <c r="B1662">
        <v>2014</v>
      </c>
      <c r="C1662" t="s">
        <v>42</v>
      </c>
      <c r="D1662" t="s">
        <v>16</v>
      </c>
      <c r="E1662" t="e">
        <f>VLOOKUP(Cpi_[[#This Row],[Attribute]],#REF!,2,FALSE)</f>
        <v>#REF!</v>
      </c>
      <c r="F1662">
        <v>124.3</v>
      </c>
      <c r="G1662">
        <f>(Cpi_[[#This Row],[Value]]-F1661)/F1661</f>
        <v>-1.8942383583267604E-2</v>
      </c>
      <c r="H1662" t="e" cm="1" vm="1">
        <f t="array" aca="1" ref="H1662" ca="1">VLOOKUP(Cpi_[[#This Row],[Year]:[Month]],crudeoil[],3,FALSE)</f>
        <v>#VALUE!</v>
      </c>
    </row>
    <row r="1663" spans="1:8" hidden="1" x14ac:dyDescent="0.3">
      <c r="A1663" t="s">
        <v>33</v>
      </c>
      <c r="B1663">
        <v>2014</v>
      </c>
      <c r="C1663" t="s">
        <v>42</v>
      </c>
      <c r="D1663" t="s">
        <v>17</v>
      </c>
      <c r="E1663" t="e">
        <f>VLOOKUP(Cpi_[[#This Row],[Attribute]],#REF!,2,FALSE)</f>
        <v>#REF!</v>
      </c>
      <c r="F1663">
        <v>119.2</v>
      </c>
      <c r="G1663">
        <f>(Cpi_[[#This Row],[Value]]-F1662)/F1662</f>
        <v>-4.102976669348346E-2</v>
      </c>
      <c r="H1663" t="e" cm="1" vm="1">
        <f t="array" aca="1" ref="H1663" ca="1">VLOOKUP(Cpi_[[#This Row],[Year]:[Month]],crudeoil[],3,FALSE)</f>
        <v>#VALUE!</v>
      </c>
    </row>
    <row r="1664" spans="1:8" hidden="1" x14ac:dyDescent="0.3">
      <c r="A1664" t="s">
        <v>33</v>
      </c>
      <c r="B1664">
        <v>2014</v>
      </c>
      <c r="C1664" t="s">
        <v>42</v>
      </c>
      <c r="D1664" t="s">
        <v>18</v>
      </c>
      <c r="E1664" t="e">
        <f>VLOOKUP(Cpi_[[#This Row],[Attribute]],#REF!,2,FALSE)</f>
        <v>#REF!</v>
      </c>
      <c r="F1664">
        <v>114.5</v>
      </c>
      <c r="G1664">
        <f>(Cpi_[[#This Row],[Value]]-F1663)/F1663</f>
        <v>-3.9429530201342308E-2</v>
      </c>
      <c r="H1664" t="e" cm="1" vm="1">
        <f t="array" aca="1" ref="H1664" ca="1">VLOOKUP(Cpi_[[#This Row],[Year]:[Month]],crudeoil[],3,FALSE)</f>
        <v>#VALUE!</v>
      </c>
    </row>
    <row r="1665" spans="1:8" hidden="1" x14ac:dyDescent="0.3">
      <c r="A1665" t="s">
        <v>33</v>
      </c>
      <c r="B1665">
        <v>2014</v>
      </c>
      <c r="C1665" t="s">
        <v>42</v>
      </c>
      <c r="D1665" t="s">
        <v>19</v>
      </c>
      <c r="E1665" t="e">
        <f>VLOOKUP(Cpi_[[#This Row],[Attribute]],#REF!,2,FALSE)</f>
        <v>#REF!</v>
      </c>
      <c r="F1665">
        <v>118.4</v>
      </c>
      <c r="G1665">
        <f>(Cpi_[[#This Row],[Value]]-F1664)/F1664</f>
        <v>3.4061135371179087E-2</v>
      </c>
      <c r="H1665" t="e" cm="1" vm="1">
        <f t="array" aca="1" ref="H1665" ca="1">VLOOKUP(Cpi_[[#This Row],[Year]:[Month]],crudeoil[],3,FALSE)</f>
        <v>#VALUE!</v>
      </c>
    </row>
    <row r="1666" spans="1:8" hidden="1" x14ac:dyDescent="0.3">
      <c r="A1666" t="s">
        <v>33</v>
      </c>
      <c r="B1666">
        <v>2014</v>
      </c>
      <c r="C1666" t="s">
        <v>42</v>
      </c>
      <c r="D1666" t="s">
        <v>20</v>
      </c>
      <c r="E1666" t="e">
        <f>VLOOKUP(Cpi_[[#This Row],[Attribute]],#REF!,2,FALSE)</f>
        <v>#REF!</v>
      </c>
      <c r="F1666">
        <v>116.1</v>
      </c>
      <c r="G1666">
        <f>(Cpi_[[#This Row],[Value]]-F1665)/F1665</f>
        <v>-1.9425675675675772E-2</v>
      </c>
      <c r="H1666" t="e" cm="1" vm="1">
        <f t="array" aca="1" ref="H1666" ca="1">VLOOKUP(Cpi_[[#This Row],[Year]:[Month]],crudeoil[],3,FALSE)</f>
        <v>#VALUE!</v>
      </c>
    </row>
    <row r="1667" spans="1:8" hidden="1" x14ac:dyDescent="0.3">
      <c r="A1667" t="s">
        <v>33</v>
      </c>
      <c r="B1667">
        <v>2014</v>
      </c>
      <c r="C1667" t="s">
        <v>42</v>
      </c>
      <c r="D1667" t="s">
        <v>21</v>
      </c>
      <c r="E1667" t="e">
        <f>VLOOKUP(Cpi_[[#This Row],[Attribute]],#REF!,2,FALSE)</f>
        <v>#REF!</v>
      </c>
      <c r="F1667">
        <v>111.8</v>
      </c>
      <c r="G1667">
        <f>(Cpi_[[#This Row],[Value]]-F1666)/F1666</f>
        <v>-3.7037037037037014E-2</v>
      </c>
      <c r="H1667" t="e" cm="1" vm="1">
        <f t="array" aca="1" ref="H1667" ca="1">VLOOKUP(Cpi_[[#This Row],[Year]:[Month]],crudeoil[],3,FALSE)</f>
        <v>#VALUE!</v>
      </c>
    </row>
    <row r="1668" spans="1:8" hidden="1" x14ac:dyDescent="0.3">
      <c r="A1668" t="s">
        <v>33</v>
      </c>
      <c r="B1668">
        <v>2014</v>
      </c>
      <c r="C1668" t="s">
        <v>42</v>
      </c>
      <c r="D1668" t="s">
        <v>22</v>
      </c>
      <c r="E1668" t="e">
        <f>VLOOKUP(Cpi_[[#This Row],[Attribute]],#REF!,2,FALSE)</f>
        <v>#REF!</v>
      </c>
      <c r="F1668">
        <v>115.5</v>
      </c>
      <c r="G1668">
        <f>(Cpi_[[#This Row],[Value]]-F1667)/F1667</f>
        <v>3.3094812164579636E-2</v>
      </c>
      <c r="H1668" t="e" cm="1" vm="1">
        <f t="array" aca="1" ref="H1668" ca="1">VLOOKUP(Cpi_[[#This Row],[Year]:[Month]],crudeoil[],3,FALSE)</f>
        <v>#VALUE!</v>
      </c>
    </row>
    <row r="1669" spans="1:8" hidden="1" x14ac:dyDescent="0.3">
      <c r="A1669" t="s">
        <v>33</v>
      </c>
      <c r="B1669">
        <v>2014</v>
      </c>
      <c r="C1669" t="s">
        <v>42</v>
      </c>
      <c r="D1669" t="s">
        <v>23</v>
      </c>
      <c r="E1669" t="e">
        <f>VLOOKUP(Cpi_[[#This Row],[Attribute]],#REF!,2,FALSE)</f>
        <v>#REF!</v>
      </c>
      <c r="F1669">
        <v>112.3</v>
      </c>
      <c r="G1669">
        <f>(Cpi_[[#This Row],[Value]]-F1668)/F1668</f>
        <v>-2.770562770562773E-2</v>
      </c>
      <c r="H1669" t="e" cm="1" vm="1">
        <f t="array" aca="1" ref="H1669" ca="1">VLOOKUP(Cpi_[[#This Row],[Year]:[Month]],crudeoil[],3,FALSE)</f>
        <v>#VALUE!</v>
      </c>
    </row>
    <row r="1670" spans="1:8" hidden="1" x14ac:dyDescent="0.3">
      <c r="A1670" t="s">
        <v>33</v>
      </c>
      <c r="B1670">
        <v>2014</v>
      </c>
      <c r="C1670" t="s">
        <v>42</v>
      </c>
      <c r="D1670" t="s">
        <v>24</v>
      </c>
      <c r="E1670" t="e">
        <f>VLOOKUP(Cpi_[[#This Row],[Attribute]],#REF!,2,FALSE)</f>
        <v>#REF!</v>
      </c>
      <c r="F1670">
        <v>111.2</v>
      </c>
      <c r="G1670">
        <f>(Cpi_[[#This Row],[Value]]-F1669)/F1669</f>
        <v>-9.7951914514692283E-3</v>
      </c>
      <c r="H1670" t="e" cm="1" vm="1">
        <f t="array" aca="1" ref="H1670" ca="1">VLOOKUP(Cpi_[[#This Row],[Year]:[Month]],crudeoil[],3,FALSE)</f>
        <v>#VALUE!</v>
      </c>
    </row>
    <row r="1671" spans="1:8" hidden="1" x14ac:dyDescent="0.3">
      <c r="A1671" t="s">
        <v>33</v>
      </c>
      <c r="B1671">
        <v>2014</v>
      </c>
      <c r="C1671" t="s">
        <v>42</v>
      </c>
      <c r="D1671" t="s">
        <v>25</v>
      </c>
      <c r="E1671" t="e">
        <f>VLOOKUP(Cpi_[[#This Row],[Attribute]],#REF!,2,FALSE)</f>
        <v>#REF!</v>
      </c>
      <c r="F1671">
        <v>113.4</v>
      </c>
      <c r="G1671">
        <f>(Cpi_[[#This Row],[Value]]-F1670)/F1670</f>
        <v>1.978417266187053E-2</v>
      </c>
      <c r="H1671" t="e" cm="1" vm="1">
        <f t="array" aca="1" ref="H1671" ca="1">VLOOKUP(Cpi_[[#This Row],[Year]:[Month]],crudeoil[],3,FALSE)</f>
        <v>#VALUE!</v>
      </c>
    </row>
    <row r="1672" spans="1:8" hidden="1" x14ac:dyDescent="0.3">
      <c r="A1672" t="s">
        <v>33</v>
      </c>
      <c r="B1672">
        <v>2014</v>
      </c>
      <c r="C1672" t="s">
        <v>42</v>
      </c>
      <c r="D1672" t="s">
        <v>26</v>
      </c>
      <c r="E1672" t="e">
        <f>VLOOKUP(Cpi_[[#This Row],[Attribute]],#REF!,2,FALSE)</f>
        <v>#REF!</v>
      </c>
      <c r="F1672">
        <v>120</v>
      </c>
      <c r="G1672">
        <f>(Cpi_[[#This Row],[Value]]-F1671)/F1671</f>
        <v>5.8201058201058149E-2</v>
      </c>
      <c r="H1672" t="e" cm="1" vm="1">
        <f t="array" aca="1" ref="H1672" ca="1">VLOOKUP(Cpi_[[#This Row],[Year]:[Month]],crudeoil[],3,FALSE)</f>
        <v>#VALUE!</v>
      </c>
    </row>
    <row r="1673" spans="1:8" hidden="1" x14ac:dyDescent="0.3">
      <c r="A1673" t="s">
        <v>33</v>
      </c>
      <c r="B1673">
        <v>2014</v>
      </c>
      <c r="C1673" t="s">
        <v>42</v>
      </c>
      <c r="D1673" t="s">
        <v>27</v>
      </c>
      <c r="E1673" t="e">
        <f>VLOOKUP(Cpi_[[#This Row],[Attribute]],#REF!,2,FALSE)</f>
        <v>#REF!</v>
      </c>
      <c r="F1673">
        <v>110</v>
      </c>
      <c r="G1673">
        <f>(Cpi_[[#This Row],[Value]]-F1672)/F1672</f>
        <v>-8.3333333333333329E-2</v>
      </c>
      <c r="H1673" t="e" cm="1" vm="1">
        <f t="array" aca="1" ref="H1673" ca="1">VLOOKUP(Cpi_[[#This Row],[Year]:[Month]],crudeoil[],3,FALSE)</f>
        <v>#VALUE!</v>
      </c>
    </row>
    <row r="1674" spans="1:8" hidden="1" x14ac:dyDescent="0.3">
      <c r="A1674" t="s">
        <v>33</v>
      </c>
      <c r="B1674">
        <v>2014</v>
      </c>
      <c r="C1674" t="s">
        <v>42</v>
      </c>
      <c r="D1674" t="s">
        <v>28</v>
      </c>
      <c r="E1674" t="e">
        <f>VLOOKUP(Cpi_[[#This Row],[Attribute]],#REF!,2,FALSE)</f>
        <v>#REF!</v>
      </c>
      <c r="F1674">
        <v>113.6</v>
      </c>
      <c r="G1674">
        <f>(Cpi_[[#This Row],[Value]]-F1673)/F1673</f>
        <v>3.2727272727272674E-2</v>
      </c>
      <c r="H1674" t="e" cm="1" vm="1">
        <f t="array" aca="1" ref="H1674" ca="1">VLOOKUP(Cpi_[[#This Row],[Year]:[Month]],crudeoil[],3,FALSE)</f>
        <v>#VALUE!</v>
      </c>
    </row>
    <row r="1675" spans="1:8" hidden="1" x14ac:dyDescent="0.3">
      <c r="A1675" t="s">
        <v>33</v>
      </c>
      <c r="B1675">
        <v>2014</v>
      </c>
      <c r="C1675" t="s">
        <v>42</v>
      </c>
      <c r="D1675" t="s">
        <v>29</v>
      </c>
      <c r="E1675" t="e" cm="1">
        <f t="array" aca="1" ref="E1675" ca="1">VLGeneral indexGeneral indexKUP(Cpi_[[#This Row],[Attribute]],#REF!,2,FALSE)</f>
        <v>#NAME?</v>
      </c>
      <c r="F1675">
        <v>119.2</v>
      </c>
      <c r="G1675">
        <f>(Cpi_[[#This Row],[Value]]-F1674)/F1674</f>
        <v>4.9295774647887404E-2</v>
      </c>
      <c r="H1675" t="e" cm="1" vm="1">
        <f t="array" aca="1" ref="H1675" ca="1">VLOOKUP(Cpi_[[#This Row],[Year]:[Month]],crudeoil[],3,FALSE)</f>
        <v>#VALUE!</v>
      </c>
    </row>
    <row r="1676" spans="1:8" hidden="1" x14ac:dyDescent="0.3">
      <c r="A1676" t="s">
        <v>34</v>
      </c>
      <c r="B1676">
        <v>2014</v>
      </c>
      <c r="C1676" t="s">
        <v>42</v>
      </c>
      <c r="D1676" t="s">
        <v>3</v>
      </c>
      <c r="E1676" t="e">
        <f>VLOOKUP(Cpi_[[#This Row],[Attribute]],#REF!,2,FALSE)</f>
        <v>#REF!</v>
      </c>
      <c r="F1676">
        <v>122.9</v>
      </c>
      <c r="G1676">
        <f>(Cpi_[[#This Row],[Value]]-F1675)/F1675</f>
        <v>3.1040268456375864E-2</v>
      </c>
      <c r="H1676" t="e" cm="1" vm="1">
        <f t="array" aca="1" ref="H1676" ca="1">VLOOKUP(Cpi_[[#This Row],[Year]:[Month]],crudeoil[],3,FALSE)</f>
        <v>#VALUE!</v>
      </c>
    </row>
    <row r="1677" spans="1:8" hidden="1" x14ac:dyDescent="0.3">
      <c r="A1677" t="s">
        <v>34</v>
      </c>
      <c r="B1677">
        <v>2014</v>
      </c>
      <c r="C1677" t="s">
        <v>42</v>
      </c>
      <c r="D1677" t="s">
        <v>4</v>
      </c>
      <c r="E1677" t="e">
        <f>VLOOKUP(Cpi_[[#This Row],[Attribute]],#REF!,2,FALSE)</f>
        <v>#REF!</v>
      </c>
      <c r="F1677">
        <v>123.5</v>
      </c>
      <c r="G1677">
        <f>(Cpi_[[#This Row],[Value]]-F1676)/F1676</f>
        <v>4.8820179007322559E-3</v>
      </c>
      <c r="H1677" t="e" cm="1" vm="1">
        <f t="array" aca="1" ref="H1677" ca="1">VLOOKUP(Cpi_[[#This Row],[Year]:[Month]],crudeoil[],3,FALSE)</f>
        <v>#VALUE!</v>
      </c>
    </row>
    <row r="1678" spans="1:8" hidden="1" x14ac:dyDescent="0.3">
      <c r="A1678" t="s">
        <v>34</v>
      </c>
      <c r="B1678">
        <v>2014</v>
      </c>
      <c r="C1678" t="s">
        <v>42</v>
      </c>
      <c r="D1678" t="s">
        <v>5</v>
      </c>
      <c r="E1678" t="e">
        <f>VLOOKUP(Cpi_[[#This Row],[Attribute]],#REF!,2,FALSE)</f>
        <v>#REF!</v>
      </c>
      <c r="F1678">
        <v>117.3</v>
      </c>
      <c r="G1678">
        <f>(Cpi_[[#This Row],[Value]]-F1677)/F1677</f>
        <v>-5.0202429149797591E-2</v>
      </c>
      <c r="H1678" t="e" cm="1" vm="1">
        <f t="array" aca="1" ref="H1678" ca="1">VLOOKUP(Cpi_[[#This Row],[Year]:[Month]],crudeoil[],3,FALSE)</f>
        <v>#VALUE!</v>
      </c>
    </row>
    <row r="1679" spans="1:8" hidden="1" x14ac:dyDescent="0.3">
      <c r="A1679" t="s">
        <v>34</v>
      </c>
      <c r="B1679">
        <v>2014</v>
      </c>
      <c r="C1679" t="s">
        <v>42</v>
      </c>
      <c r="D1679" t="s">
        <v>6</v>
      </c>
      <c r="E1679" t="e">
        <f>VLOOKUP(Cpi_[[#This Row],[Attribute]],#REF!,2,FALSE)</f>
        <v>#REF!</v>
      </c>
      <c r="F1679">
        <v>122.7</v>
      </c>
      <c r="G1679">
        <f>(Cpi_[[#This Row],[Value]]-F1678)/F1678</f>
        <v>4.6035805626598515E-2</v>
      </c>
      <c r="H1679" t="e" cm="1" vm="1">
        <f t="array" aca="1" ref="H1679" ca="1">VLOOKUP(Cpi_[[#This Row],[Year]:[Month]],crudeoil[],3,FALSE)</f>
        <v>#VALUE!</v>
      </c>
    </row>
    <row r="1680" spans="1:8" hidden="1" x14ac:dyDescent="0.3">
      <c r="A1680" t="s">
        <v>34</v>
      </c>
      <c r="B1680">
        <v>2014</v>
      </c>
      <c r="C1680" t="s">
        <v>42</v>
      </c>
      <c r="D1680" t="s">
        <v>7</v>
      </c>
      <c r="E1680" t="e">
        <f>VLOOKUP(Cpi_[[#This Row],[Attribute]],#REF!,2,FALSE)</f>
        <v>#REF!</v>
      </c>
      <c r="F1680">
        <v>107.9</v>
      </c>
      <c r="G1680">
        <f>(Cpi_[[#This Row],[Value]]-F1679)/F1679</f>
        <v>-0.12061939690301546</v>
      </c>
      <c r="H1680" t="e" cm="1" vm="1">
        <f t="array" aca="1" ref="H1680" ca="1">VLOOKUP(Cpi_[[#This Row],[Year]:[Month]],crudeoil[],3,FALSE)</f>
        <v>#VALUE!</v>
      </c>
    </row>
    <row r="1681" spans="1:8" hidden="1" x14ac:dyDescent="0.3">
      <c r="A1681" t="s">
        <v>34</v>
      </c>
      <c r="B1681">
        <v>2014</v>
      </c>
      <c r="C1681" t="s">
        <v>42</v>
      </c>
      <c r="D1681" t="s">
        <v>8</v>
      </c>
      <c r="E1681" t="e">
        <f>VLOOKUP(Cpi_[[#This Row],[Attribute]],#REF!,2,FALSE)</f>
        <v>#REF!</v>
      </c>
      <c r="F1681">
        <v>127.3</v>
      </c>
      <c r="G1681">
        <f>(Cpi_[[#This Row],[Value]]-F1680)/F1680</f>
        <v>0.1797961075069508</v>
      </c>
      <c r="H1681" t="e" cm="1" vm="1">
        <f t="array" aca="1" ref="H1681" ca="1">VLOOKUP(Cpi_[[#This Row],[Year]:[Month]],crudeoil[],3,FALSE)</f>
        <v>#VALUE!</v>
      </c>
    </row>
    <row r="1682" spans="1:8" hidden="1" x14ac:dyDescent="0.3">
      <c r="A1682" t="s">
        <v>34</v>
      </c>
      <c r="B1682">
        <v>2014</v>
      </c>
      <c r="C1682" t="s">
        <v>42</v>
      </c>
      <c r="D1682" t="s">
        <v>9</v>
      </c>
      <c r="E1682" t="e">
        <f>VLOOKUP(Cpi_[[#This Row],[Attribute]],#REF!,2,FALSE)</f>
        <v>#REF!</v>
      </c>
      <c r="F1682">
        <v>162.1</v>
      </c>
      <c r="G1682">
        <f>(Cpi_[[#This Row],[Value]]-F1681)/F1681</f>
        <v>0.27336999214454044</v>
      </c>
      <c r="H1682" t="e" cm="1" vm="1">
        <f t="array" aca="1" ref="H1682" ca="1">VLOOKUP(Cpi_[[#This Row],[Year]:[Month]],crudeoil[],3,FALSE)</f>
        <v>#VALUE!</v>
      </c>
    </row>
    <row r="1683" spans="1:8" hidden="1" x14ac:dyDescent="0.3">
      <c r="A1683" t="s">
        <v>34</v>
      </c>
      <c r="B1683">
        <v>2014</v>
      </c>
      <c r="C1683" t="s">
        <v>42</v>
      </c>
      <c r="D1683" t="s">
        <v>10</v>
      </c>
      <c r="E1683" t="e">
        <f>VLOOKUP(Cpi_[[#This Row],[Attribute]],#REF!,2,FALSE)</f>
        <v>#REF!</v>
      </c>
      <c r="F1683">
        <v>115.6</v>
      </c>
      <c r="G1683">
        <f>(Cpi_[[#This Row],[Value]]-F1682)/F1682</f>
        <v>-0.28685996298581123</v>
      </c>
      <c r="H1683" t="e" cm="1" vm="1">
        <f t="array" aca="1" ref="H1683" ca="1">VLOOKUP(Cpi_[[#This Row],[Year]:[Month]],crudeoil[],3,FALSE)</f>
        <v>#VALUE!</v>
      </c>
    </row>
    <row r="1684" spans="1:8" hidden="1" x14ac:dyDescent="0.3">
      <c r="A1684" t="s">
        <v>34</v>
      </c>
      <c r="B1684">
        <v>2014</v>
      </c>
      <c r="C1684" t="s">
        <v>42</v>
      </c>
      <c r="D1684" t="s">
        <v>11</v>
      </c>
      <c r="E1684" t="e">
        <f>VLOOKUP(Cpi_[[#This Row],[Attribute]],#REF!,2,FALSE)</f>
        <v>#REF!</v>
      </c>
      <c r="F1684">
        <v>103.8</v>
      </c>
      <c r="G1684">
        <f>(Cpi_[[#This Row],[Value]]-F1683)/F1683</f>
        <v>-0.10207612456747403</v>
      </c>
      <c r="H1684" t="e" cm="1" vm="1">
        <f t="array" aca="1" ref="H1684" ca="1">VLOOKUP(Cpi_[[#This Row],[Year]:[Month]],crudeoil[],3,FALSE)</f>
        <v>#VALUE!</v>
      </c>
    </row>
    <row r="1685" spans="1:8" hidden="1" x14ac:dyDescent="0.3">
      <c r="A1685" t="s">
        <v>34</v>
      </c>
      <c r="B1685">
        <v>2014</v>
      </c>
      <c r="C1685" t="s">
        <v>42</v>
      </c>
      <c r="D1685" t="s">
        <v>12</v>
      </c>
      <c r="E1685" t="e">
        <f>VLOOKUP(Cpi_[[#This Row],[Attribute]],#REF!,2,FALSE)</f>
        <v>#REF!</v>
      </c>
      <c r="F1685">
        <v>117.6</v>
      </c>
      <c r="G1685">
        <f>(Cpi_[[#This Row],[Value]]-F1684)/F1684</f>
        <v>0.13294797687861271</v>
      </c>
      <c r="H1685" t="e" cm="1" vm="1">
        <f t="array" aca="1" ref="H1685" ca="1">VLOOKUP(Cpi_[[#This Row],[Year]:[Month]],crudeoil[],3,FALSE)</f>
        <v>#VALUE!</v>
      </c>
    </row>
    <row r="1686" spans="1:8" hidden="1" x14ac:dyDescent="0.3">
      <c r="A1686" t="s">
        <v>34</v>
      </c>
      <c r="B1686">
        <v>2014</v>
      </c>
      <c r="C1686" t="s">
        <v>42</v>
      </c>
      <c r="D1686" t="s">
        <v>13</v>
      </c>
      <c r="E1686" t="e">
        <f>VLOOKUP(Cpi_[[#This Row],[Attribute]],#REF!,2,FALSE)</f>
        <v>#REF!</v>
      </c>
      <c r="F1686">
        <v>115.8</v>
      </c>
      <c r="G1686">
        <f>(Cpi_[[#This Row],[Value]]-F1685)/F1685</f>
        <v>-1.5306122448979569E-2</v>
      </c>
      <c r="H1686" t="e" cm="1" vm="1">
        <f t="array" aca="1" ref="H1686" ca="1">VLOOKUP(Cpi_[[#This Row],[Year]:[Month]],crudeoil[],3,FALSE)</f>
        <v>#VALUE!</v>
      </c>
    </row>
    <row r="1687" spans="1:8" hidden="1" x14ac:dyDescent="0.3">
      <c r="A1687" t="s">
        <v>34</v>
      </c>
      <c r="B1687">
        <v>2014</v>
      </c>
      <c r="C1687" t="s">
        <v>42</v>
      </c>
      <c r="D1687" t="s">
        <v>14</v>
      </c>
      <c r="E1687" t="e">
        <f>VLOOKUP(Cpi_[[#This Row],[Attribute]],#REF!,2,FALSE)</f>
        <v>#REF!</v>
      </c>
      <c r="F1687">
        <v>123.8</v>
      </c>
      <c r="G1687">
        <f>(Cpi_[[#This Row],[Value]]-F1686)/F1686</f>
        <v>6.9084628670120898E-2</v>
      </c>
      <c r="H1687" t="e" cm="1" vm="1">
        <f t="array" aca="1" ref="H1687" ca="1">VLOOKUP(Cpi_[[#This Row],[Year]:[Month]],crudeoil[],3,FALSE)</f>
        <v>#VALUE!</v>
      </c>
    </row>
    <row r="1688" spans="1:8" hidden="1" x14ac:dyDescent="0.3">
      <c r="A1688" t="s">
        <v>34</v>
      </c>
      <c r="B1688">
        <v>2014</v>
      </c>
      <c r="C1688" t="s">
        <v>42</v>
      </c>
      <c r="D1688" t="s">
        <v>15</v>
      </c>
      <c r="E1688" t="e">
        <f>VLOOKUP(Cpi_[[#This Row],[Attribute]],#REF!,2,FALSE)</f>
        <v>#REF!</v>
      </c>
      <c r="F1688">
        <v>125.8</v>
      </c>
      <c r="G1688">
        <f>(Cpi_[[#This Row],[Value]]-F1687)/F1687</f>
        <v>1.6155088852988692E-2</v>
      </c>
      <c r="H1688" t="e" cm="1" vm="1">
        <f t="array" aca="1" ref="H1688" ca="1">VLOOKUP(Cpi_[[#This Row],[Year]:[Month]],crudeoil[],3,FALSE)</f>
        <v>#VALUE!</v>
      </c>
    </row>
    <row r="1689" spans="1:8" hidden="1" x14ac:dyDescent="0.3">
      <c r="A1689" t="s">
        <v>34</v>
      </c>
      <c r="B1689">
        <v>2014</v>
      </c>
      <c r="C1689" t="s">
        <v>42</v>
      </c>
      <c r="D1689" t="s">
        <v>16</v>
      </c>
      <c r="E1689" t="e">
        <f>VLOOKUP(Cpi_[[#This Row],[Attribute]],#REF!,2,FALSE)</f>
        <v>#REF!</v>
      </c>
      <c r="F1689">
        <v>120.8</v>
      </c>
      <c r="G1689">
        <f>(Cpi_[[#This Row],[Value]]-F1688)/F1688</f>
        <v>-3.9745627980922099E-2</v>
      </c>
      <c r="H1689" t="e" cm="1" vm="1">
        <f t="array" aca="1" ref="H1689" ca="1">VLOOKUP(Cpi_[[#This Row],[Year]:[Month]],crudeoil[],3,FALSE)</f>
        <v>#VALUE!</v>
      </c>
    </row>
    <row r="1690" spans="1:8" hidden="1" x14ac:dyDescent="0.3">
      <c r="A1690" t="s">
        <v>34</v>
      </c>
      <c r="B1690">
        <v>2014</v>
      </c>
      <c r="C1690" t="s">
        <v>42</v>
      </c>
      <c r="D1690" t="s">
        <v>17</v>
      </c>
      <c r="E1690" t="e">
        <f>VLOOKUP(Cpi_[[#This Row],[Attribute]],#REF!,2,FALSE)</f>
        <v>#REF!</v>
      </c>
      <c r="F1690">
        <v>120.7</v>
      </c>
      <c r="G1690">
        <f>(Cpi_[[#This Row],[Value]]-F1689)/F1689</f>
        <v>-8.2781456953637679E-4</v>
      </c>
      <c r="H1690" t="e" cm="1" vm="1">
        <f t="array" aca="1" ref="H1690" ca="1">VLOOKUP(Cpi_[[#This Row],[Year]:[Month]],crudeoil[],3,FALSE)</f>
        <v>#VALUE!</v>
      </c>
    </row>
    <row r="1691" spans="1:8" hidden="1" x14ac:dyDescent="0.3">
      <c r="A1691" t="s">
        <v>34</v>
      </c>
      <c r="B1691">
        <v>2014</v>
      </c>
      <c r="C1691" t="s">
        <v>42</v>
      </c>
      <c r="D1691" t="s">
        <v>18</v>
      </c>
      <c r="E1691" t="e">
        <f>VLOOKUP(Cpi_[[#This Row],[Attribute]],#REF!,2,FALSE)</f>
        <v>#REF!</v>
      </c>
      <c r="F1691">
        <v>117.2</v>
      </c>
      <c r="G1691">
        <f>(Cpi_[[#This Row],[Value]]-F1690)/F1690</f>
        <v>-2.8997514498757249E-2</v>
      </c>
      <c r="H1691" t="e" cm="1" vm="1">
        <f t="array" aca="1" ref="H1691" ca="1">VLOOKUP(Cpi_[[#This Row],[Year]:[Month]],crudeoil[],3,FALSE)</f>
        <v>#VALUE!</v>
      </c>
    </row>
    <row r="1692" spans="1:8" hidden="1" x14ac:dyDescent="0.3">
      <c r="A1692" t="s">
        <v>34</v>
      </c>
      <c r="B1692">
        <v>2014</v>
      </c>
      <c r="C1692" t="s">
        <v>42</v>
      </c>
      <c r="D1692" t="s">
        <v>19</v>
      </c>
      <c r="E1692" t="e">
        <f>VLOOKUP(Cpi_[[#This Row],[Attribute]],#REF!,2,FALSE)</f>
        <v>#REF!</v>
      </c>
      <c r="F1692">
        <v>120.1</v>
      </c>
      <c r="G1692">
        <f>(Cpi_[[#This Row],[Value]]-F1691)/F1691</f>
        <v>2.4744027303754194E-2</v>
      </c>
      <c r="H1692" t="e" cm="1" vm="1">
        <f t="array" aca="1" ref="H1692" ca="1">VLOOKUP(Cpi_[[#This Row],[Year]:[Month]],crudeoil[],3,FALSE)</f>
        <v>#VALUE!</v>
      </c>
    </row>
    <row r="1693" spans="1:8" hidden="1" x14ac:dyDescent="0.3">
      <c r="A1693" t="s">
        <v>34</v>
      </c>
      <c r="B1693">
        <v>2014</v>
      </c>
      <c r="C1693" t="s">
        <v>42</v>
      </c>
      <c r="D1693" t="s">
        <v>20</v>
      </c>
      <c r="E1693" t="e">
        <f>VLOOKUP(Cpi_[[#This Row],[Attribute]],#REF!,2,FALSE)</f>
        <v>#REF!</v>
      </c>
      <c r="F1693">
        <v>116.1</v>
      </c>
      <c r="G1693">
        <f>(Cpi_[[#This Row],[Value]]-F1692)/F1692</f>
        <v>-3.330557868442964E-2</v>
      </c>
      <c r="H1693" t="e" cm="1" vm="1">
        <f t="array" aca="1" ref="H1693" ca="1">VLOOKUP(Cpi_[[#This Row],[Year]:[Month]],crudeoil[],3,FALSE)</f>
        <v>#VALUE!</v>
      </c>
    </row>
    <row r="1694" spans="1:8" hidden="1" x14ac:dyDescent="0.3">
      <c r="A1694" t="s">
        <v>34</v>
      </c>
      <c r="B1694">
        <v>2014</v>
      </c>
      <c r="C1694" t="s">
        <v>42</v>
      </c>
      <c r="D1694" t="s">
        <v>21</v>
      </c>
      <c r="E1694" t="e">
        <f>VLOOKUP(Cpi_[[#This Row],[Attribute]],#REF!,2,FALSE)</f>
        <v>#REF!</v>
      </c>
      <c r="F1694">
        <v>114.3</v>
      </c>
      <c r="G1694">
        <f>(Cpi_[[#This Row],[Value]]-F1693)/F1693</f>
        <v>-1.5503875968992224E-2</v>
      </c>
      <c r="H1694" t="e" cm="1" vm="1">
        <f t="array" aca="1" ref="H1694" ca="1">VLOOKUP(Cpi_[[#This Row],[Year]:[Month]],crudeoil[],3,FALSE)</f>
        <v>#VALUE!</v>
      </c>
    </row>
    <row r="1695" spans="1:8" hidden="1" x14ac:dyDescent="0.3">
      <c r="A1695" t="s">
        <v>34</v>
      </c>
      <c r="B1695">
        <v>2014</v>
      </c>
      <c r="C1695" t="s">
        <v>42</v>
      </c>
      <c r="D1695" t="s">
        <v>22</v>
      </c>
      <c r="E1695" t="e">
        <f>VLOOKUP(Cpi_[[#This Row],[Attribute]],#REF!,2,FALSE)</f>
        <v>#REF!</v>
      </c>
      <c r="F1695">
        <v>116.1</v>
      </c>
      <c r="G1695">
        <f>(Cpi_[[#This Row],[Value]]-F1694)/F1694</f>
        <v>1.5748031496062968E-2</v>
      </c>
      <c r="H1695" t="e" cm="1" vm="1">
        <f t="array" aca="1" ref="H1695" ca="1">VLOOKUP(Cpi_[[#This Row],[Year]:[Month]],crudeoil[],3,FALSE)</f>
        <v>#VALUE!</v>
      </c>
    </row>
    <row r="1696" spans="1:8" hidden="1" x14ac:dyDescent="0.3">
      <c r="A1696" t="s">
        <v>34</v>
      </c>
      <c r="B1696">
        <v>2014</v>
      </c>
      <c r="C1696" t="s">
        <v>42</v>
      </c>
      <c r="D1696" t="s">
        <v>23</v>
      </c>
      <c r="E1696" t="e">
        <f>VLOOKUP(Cpi_[[#This Row],[Attribute]],#REF!,2,FALSE)</f>
        <v>#REF!</v>
      </c>
      <c r="F1696">
        <v>113.7</v>
      </c>
      <c r="G1696">
        <f>(Cpi_[[#This Row],[Value]]-F1695)/F1695</f>
        <v>-2.0671834625322925E-2</v>
      </c>
      <c r="H1696" t="e" cm="1" vm="1">
        <f t="array" aca="1" ref="H1696" ca="1">VLOOKUP(Cpi_[[#This Row],[Year]:[Month]],crudeoil[],3,FALSE)</f>
        <v>#VALUE!</v>
      </c>
    </row>
    <row r="1697" spans="1:8" hidden="1" x14ac:dyDescent="0.3">
      <c r="A1697" t="s">
        <v>34</v>
      </c>
      <c r="B1697">
        <v>2014</v>
      </c>
      <c r="C1697" t="s">
        <v>42</v>
      </c>
      <c r="D1697" t="s">
        <v>24</v>
      </c>
      <c r="E1697" t="e">
        <f>VLOOKUP(Cpi_[[#This Row],[Attribute]],#REF!,2,FALSE)</f>
        <v>#REF!</v>
      </c>
      <c r="F1697">
        <v>112</v>
      </c>
      <c r="G1697">
        <f>(Cpi_[[#This Row],[Value]]-F1696)/F1696</f>
        <v>-1.495162708883028E-2</v>
      </c>
      <c r="H1697" t="e" cm="1" vm="1">
        <f t="array" aca="1" ref="H1697" ca="1">VLOOKUP(Cpi_[[#This Row],[Year]:[Month]],crudeoil[],3,FALSE)</f>
        <v>#VALUE!</v>
      </c>
    </row>
    <row r="1698" spans="1:8" hidden="1" x14ac:dyDescent="0.3">
      <c r="A1698" t="s">
        <v>34</v>
      </c>
      <c r="B1698">
        <v>2014</v>
      </c>
      <c r="C1698" t="s">
        <v>42</v>
      </c>
      <c r="D1698" t="s">
        <v>25</v>
      </c>
      <c r="E1698" t="e">
        <f>VLOOKUP(Cpi_[[#This Row],[Attribute]],#REF!,2,FALSE)</f>
        <v>#REF!</v>
      </c>
      <c r="F1698">
        <v>113.1</v>
      </c>
      <c r="G1698">
        <f>(Cpi_[[#This Row],[Value]]-F1697)/F1697</f>
        <v>9.8214285714285209E-3</v>
      </c>
      <c r="H1698" t="e" cm="1" vm="1">
        <f t="array" aca="1" ref="H1698" ca="1">VLOOKUP(Cpi_[[#This Row],[Year]:[Month]],crudeoil[],3,FALSE)</f>
        <v>#VALUE!</v>
      </c>
    </row>
    <row r="1699" spans="1:8" hidden="1" x14ac:dyDescent="0.3">
      <c r="A1699" t="s">
        <v>34</v>
      </c>
      <c r="B1699">
        <v>2014</v>
      </c>
      <c r="C1699" t="s">
        <v>42</v>
      </c>
      <c r="D1699" t="s">
        <v>26</v>
      </c>
      <c r="E1699" t="e">
        <f>VLOOKUP(Cpi_[[#This Row],[Attribute]],#REF!,2,FALSE)</f>
        <v>#REF!</v>
      </c>
      <c r="F1699">
        <v>118.6</v>
      </c>
      <c r="G1699">
        <f>(Cpi_[[#This Row],[Value]]-F1698)/F1698</f>
        <v>4.8629531388152084E-2</v>
      </c>
      <c r="H1699" t="e" cm="1" vm="1">
        <f t="array" aca="1" ref="H1699" ca="1">VLOOKUP(Cpi_[[#This Row],[Year]:[Month]],crudeoil[],3,FALSE)</f>
        <v>#VALUE!</v>
      </c>
    </row>
    <row r="1700" spans="1:8" hidden="1" x14ac:dyDescent="0.3">
      <c r="A1700" t="s">
        <v>34</v>
      </c>
      <c r="B1700">
        <v>2014</v>
      </c>
      <c r="C1700" t="s">
        <v>42</v>
      </c>
      <c r="D1700" t="s">
        <v>27</v>
      </c>
      <c r="E1700" t="e">
        <f>VLOOKUP(Cpi_[[#This Row],[Attribute]],#REF!,2,FALSE)</f>
        <v>#REF!</v>
      </c>
      <c r="F1700">
        <v>109.5</v>
      </c>
      <c r="G1700">
        <f>(Cpi_[[#This Row],[Value]]-F1699)/F1699</f>
        <v>-7.6728499156829638E-2</v>
      </c>
      <c r="H1700" t="e" cm="1" vm="1">
        <f t="array" aca="1" ref="H1700" ca="1">VLOOKUP(Cpi_[[#This Row],[Year]:[Month]],crudeoil[],3,FALSE)</f>
        <v>#VALUE!</v>
      </c>
    </row>
    <row r="1701" spans="1:8" hidden="1" x14ac:dyDescent="0.3">
      <c r="A1701" t="s">
        <v>34</v>
      </c>
      <c r="B1701">
        <v>2014</v>
      </c>
      <c r="C1701" t="s">
        <v>42</v>
      </c>
      <c r="D1701" t="s">
        <v>28</v>
      </c>
      <c r="E1701" t="e">
        <f>VLOOKUP(Cpi_[[#This Row],[Attribute]],#REF!,2,FALSE)</f>
        <v>#REF!</v>
      </c>
      <c r="F1701">
        <v>113.7</v>
      </c>
      <c r="G1701">
        <f>(Cpi_[[#This Row],[Value]]-F1700)/F1700</f>
        <v>3.8356164383561667E-2</v>
      </c>
      <c r="H1701" t="e" cm="1" vm="1">
        <f t="array" aca="1" ref="H1701" ca="1">VLOOKUP(Cpi_[[#This Row],[Year]:[Month]],crudeoil[],3,FALSE)</f>
        <v>#VALUE!</v>
      </c>
    </row>
    <row r="1702" spans="1:8" hidden="1" x14ac:dyDescent="0.3">
      <c r="A1702" t="s">
        <v>34</v>
      </c>
      <c r="B1702">
        <v>2014</v>
      </c>
      <c r="C1702" t="s">
        <v>42</v>
      </c>
      <c r="D1702" t="s">
        <v>29</v>
      </c>
      <c r="E1702" t="e" cm="1">
        <f t="array" aca="1" ref="E1702" ca="1">VLGeneral indexGeneral indexKUP(Cpi_[[#This Row],[Attribute]],#REF!,2,FALSE)</f>
        <v>#NAME?</v>
      </c>
      <c r="F1702">
        <v>120.1</v>
      </c>
      <c r="G1702">
        <f>(Cpi_[[#This Row],[Value]]-F1701)/F1701</f>
        <v>5.6288478452066769E-2</v>
      </c>
      <c r="H1702" t="e" cm="1" vm="1">
        <f t="array" aca="1" ref="H1702" ca="1">VLOOKUP(Cpi_[[#This Row],[Year]:[Month]],crudeoil[],3,FALSE)</f>
        <v>#VALUE!</v>
      </c>
    </row>
    <row r="1703" spans="1:8" hidden="1" x14ac:dyDescent="0.3">
      <c r="A1703" t="s">
        <v>30</v>
      </c>
      <c r="B1703">
        <v>2014</v>
      </c>
      <c r="C1703" t="s">
        <v>43</v>
      </c>
      <c r="D1703" t="s">
        <v>3</v>
      </c>
      <c r="E1703" t="e">
        <f>VLOOKUP(Cpi_[[#This Row],[Attribute]],#REF!,2,FALSE)</f>
        <v>#REF!</v>
      </c>
      <c r="F1703">
        <v>122.6</v>
      </c>
      <c r="G1703">
        <f>(Cpi_[[#This Row],[Value]]-F1702)/F1702</f>
        <v>2.0815986677768527E-2</v>
      </c>
      <c r="H1703" t="e" cm="1" vm="1">
        <f t="array" aca="1" ref="H1703" ca="1">VLOOKUP(Cpi_[[#This Row],[Year]:[Month]],crudeoil[],3,FALSE)</f>
        <v>#VALUE!</v>
      </c>
    </row>
    <row r="1704" spans="1:8" hidden="1" x14ac:dyDescent="0.3">
      <c r="A1704" t="s">
        <v>30</v>
      </c>
      <c r="B1704">
        <v>2014</v>
      </c>
      <c r="C1704" t="s">
        <v>43</v>
      </c>
      <c r="D1704" t="s">
        <v>4</v>
      </c>
      <c r="E1704" t="e">
        <f>VLOOKUP(Cpi_[[#This Row],[Attribute]],#REF!,2,FALSE)</f>
        <v>#REF!</v>
      </c>
      <c r="F1704">
        <v>122.5</v>
      </c>
      <c r="G1704">
        <f>(Cpi_[[#This Row],[Value]]-F1703)/F1703</f>
        <v>-8.1566068515492916E-4</v>
      </c>
      <c r="H1704" t="e" cm="1" vm="1">
        <f t="array" aca="1" ref="H1704" ca="1">VLOOKUP(Cpi_[[#This Row],[Year]:[Month]],crudeoil[],3,FALSE)</f>
        <v>#VALUE!</v>
      </c>
    </row>
    <row r="1705" spans="1:8" hidden="1" x14ac:dyDescent="0.3">
      <c r="A1705" t="s">
        <v>30</v>
      </c>
      <c r="B1705">
        <v>2014</v>
      </c>
      <c r="C1705" t="s">
        <v>43</v>
      </c>
      <c r="D1705" t="s">
        <v>5</v>
      </c>
      <c r="E1705" t="e">
        <f>VLOOKUP(Cpi_[[#This Row],[Attribute]],#REF!,2,FALSE)</f>
        <v>#REF!</v>
      </c>
      <c r="F1705">
        <v>118.3</v>
      </c>
      <c r="G1705">
        <f>(Cpi_[[#This Row],[Value]]-F1704)/F1704</f>
        <v>-3.4285714285714308E-2</v>
      </c>
      <c r="H1705" t="e" cm="1" vm="1">
        <f t="array" aca="1" ref="H1705" ca="1">VLOOKUP(Cpi_[[#This Row],[Year]:[Month]],crudeoil[],3,FALSE)</f>
        <v>#VALUE!</v>
      </c>
    </row>
    <row r="1706" spans="1:8" hidden="1" x14ac:dyDescent="0.3">
      <c r="A1706" t="s">
        <v>30</v>
      </c>
      <c r="B1706">
        <v>2014</v>
      </c>
      <c r="C1706" t="s">
        <v>43</v>
      </c>
      <c r="D1706" t="s">
        <v>6</v>
      </c>
      <c r="E1706" t="e">
        <f>VLOOKUP(Cpi_[[#This Row],[Attribute]],#REF!,2,FALSE)</f>
        <v>#REF!</v>
      </c>
      <c r="F1706">
        <v>123.2</v>
      </c>
      <c r="G1706">
        <f>(Cpi_[[#This Row],[Value]]-F1705)/F1705</f>
        <v>4.1420118343195318E-2</v>
      </c>
      <c r="H1706" t="e" cm="1" vm="1">
        <f t="array" aca="1" ref="H1706" ca="1">VLOOKUP(Cpi_[[#This Row],[Year]:[Month]],crudeoil[],3,FALSE)</f>
        <v>#VALUE!</v>
      </c>
    </row>
    <row r="1707" spans="1:8" hidden="1" x14ac:dyDescent="0.3">
      <c r="A1707" t="s">
        <v>30</v>
      </c>
      <c r="B1707">
        <v>2014</v>
      </c>
      <c r="C1707" t="s">
        <v>43</v>
      </c>
      <c r="D1707" t="s">
        <v>7</v>
      </c>
      <c r="E1707" t="e">
        <f>VLOOKUP(Cpi_[[#This Row],[Attribute]],#REF!,2,FALSE)</f>
        <v>#REF!</v>
      </c>
      <c r="F1707">
        <v>110.5</v>
      </c>
      <c r="G1707">
        <f>(Cpi_[[#This Row],[Value]]-F1706)/F1706</f>
        <v>-0.10308441558441561</v>
      </c>
      <c r="H1707" t="e" cm="1" vm="1">
        <f t="array" aca="1" ref="H1707" ca="1">VLOOKUP(Cpi_[[#This Row],[Year]:[Month]],crudeoil[],3,FALSE)</f>
        <v>#VALUE!</v>
      </c>
    </row>
    <row r="1708" spans="1:8" hidden="1" x14ac:dyDescent="0.3">
      <c r="A1708" t="s">
        <v>30</v>
      </c>
      <c r="B1708">
        <v>2014</v>
      </c>
      <c r="C1708" t="s">
        <v>43</v>
      </c>
      <c r="D1708" t="s">
        <v>8</v>
      </c>
      <c r="E1708" t="e">
        <f>VLOOKUP(Cpi_[[#This Row],[Attribute]],#REF!,2,FALSE)</f>
        <v>#REF!</v>
      </c>
      <c r="F1708">
        <v>128.9</v>
      </c>
      <c r="G1708">
        <f>(Cpi_[[#This Row],[Value]]-F1707)/F1707</f>
        <v>0.16651583710407244</v>
      </c>
      <c r="H1708" t="e" cm="1" vm="1">
        <f t="array" aca="1" ref="H1708" ca="1">VLOOKUP(Cpi_[[#This Row],[Year]:[Month]],crudeoil[],3,FALSE)</f>
        <v>#VALUE!</v>
      </c>
    </row>
    <row r="1709" spans="1:8" hidden="1" x14ac:dyDescent="0.3">
      <c r="A1709" t="s">
        <v>30</v>
      </c>
      <c r="B1709">
        <v>2014</v>
      </c>
      <c r="C1709" t="s">
        <v>43</v>
      </c>
      <c r="D1709" t="s">
        <v>9</v>
      </c>
      <c r="E1709" t="e">
        <f>VLOOKUP(Cpi_[[#This Row],[Attribute]],#REF!,2,FALSE)</f>
        <v>#REF!</v>
      </c>
      <c r="F1709">
        <v>155.30000000000001</v>
      </c>
      <c r="G1709">
        <f>(Cpi_[[#This Row],[Value]]-F1708)/F1708</f>
        <v>0.20480993017843294</v>
      </c>
      <c r="H1709" t="e" cm="1" vm="1">
        <f t="array" aca="1" ref="H1709" ca="1">VLOOKUP(Cpi_[[#This Row],[Year]:[Month]],crudeoil[],3,FALSE)</f>
        <v>#VALUE!</v>
      </c>
    </row>
    <row r="1710" spans="1:8" hidden="1" x14ac:dyDescent="0.3">
      <c r="A1710" t="s">
        <v>30</v>
      </c>
      <c r="B1710">
        <v>2014</v>
      </c>
      <c r="C1710" t="s">
        <v>43</v>
      </c>
      <c r="D1710" t="s">
        <v>10</v>
      </c>
      <c r="E1710" t="e">
        <f>VLOOKUP(Cpi_[[#This Row],[Attribute]],#REF!,2,FALSE)</f>
        <v>#REF!</v>
      </c>
      <c r="F1710">
        <v>115.5</v>
      </c>
      <c r="G1710">
        <f>(Cpi_[[#This Row],[Value]]-F1709)/F1709</f>
        <v>-0.25627817128139091</v>
      </c>
      <c r="H1710" t="e" cm="1" vm="1">
        <f t="array" aca="1" ref="H1710" ca="1">VLOOKUP(Cpi_[[#This Row],[Year]:[Month]],crudeoil[],3,FALSE)</f>
        <v>#VALUE!</v>
      </c>
    </row>
    <row r="1711" spans="1:8" hidden="1" x14ac:dyDescent="0.3">
      <c r="A1711" t="s">
        <v>30</v>
      </c>
      <c r="B1711">
        <v>2014</v>
      </c>
      <c r="C1711" t="s">
        <v>43</v>
      </c>
      <c r="D1711" t="s">
        <v>11</v>
      </c>
      <c r="E1711" t="e">
        <f>VLOOKUP(Cpi_[[#This Row],[Attribute]],#REF!,2,FALSE)</f>
        <v>#REF!</v>
      </c>
      <c r="F1711">
        <v>104</v>
      </c>
      <c r="G1711">
        <f>(Cpi_[[#This Row],[Value]]-F1710)/F1710</f>
        <v>-9.9567099567099568E-2</v>
      </c>
      <c r="H1711" t="e" cm="1" vm="1">
        <f t="array" aca="1" ref="H1711" ca="1">VLOOKUP(Cpi_[[#This Row],[Year]:[Month]],crudeoil[],3,FALSE)</f>
        <v>#VALUE!</v>
      </c>
    </row>
    <row r="1712" spans="1:8" hidden="1" x14ac:dyDescent="0.3">
      <c r="A1712" t="s">
        <v>30</v>
      </c>
      <c r="B1712">
        <v>2014</v>
      </c>
      <c r="C1712" t="s">
        <v>43</v>
      </c>
      <c r="D1712" t="s">
        <v>12</v>
      </c>
      <c r="E1712" t="e">
        <f>VLOOKUP(Cpi_[[#This Row],[Attribute]],#REF!,2,FALSE)</f>
        <v>#REF!</v>
      </c>
      <c r="F1712">
        <v>115.3</v>
      </c>
      <c r="G1712">
        <f>(Cpi_[[#This Row],[Value]]-F1711)/F1711</f>
        <v>0.10865384615384613</v>
      </c>
      <c r="H1712" t="e" cm="1" vm="1">
        <f t="array" aca="1" ref="H1712" ca="1">VLOOKUP(Cpi_[[#This Row],[Year]:[Month]],crudeoil[],3,FALSE)</f>
        <v>#VALUE!</v>
      </c>
    </row>
    <row r="1713" spans="1:8" hidden="1" x14ac:dyDescent="0.3">
      <c r="A1713" t="s">
        <v>30</v>
      </c>
      <c r="B1713">
        <v>2014</v>
      </c>
      <c r="C1713" t="s">
        <v>43</v>
      </c>
      <c r="D1713" t="s">
        <v>13</v>
      </c>
      <c r="E1713" t="e">
        <f>VLOOKUP(Cpi_[[#This Row],[Attribute]],#REF!,2,FALSE)</f>
        <v>#REF!</v>
      </c>
      <c r="F1713">
        <v>116.8</v>
      </c>
      <c r="G1713">
        <f>(Cpi_[[#This Row],[Value]]-F1712)/F1712</f>
        <v>1.3009540329575022E-2</v>
      </c>
      <c r="H1713" t="e" cm="1" vm="1">
        <f t="array" aca="1" ref="H1713" ca="1">VLOOKUP(Cpi_[[#This Row],[Year]:[Month]],crudeoil[],3,FALSE)</f>
        <v>#VALUE!</v>
      </c>
    </row>
    <row r="1714" spans="1:8" hidden="1" x14ac:dyDescent="0.3">
      <c r="A1714" t="s">
        <v>30</v>
      </c>
      <c r="B1714">
        <v>2014</v>
      </c>
      <c r="C1714" t="s">
        <v>43</v>
      </c>
      <c r="D1714" t="s">
        <v>14</v>
      </c>
      <c r="E1714" t="e">
        <f>VLOOKUP(Cpi_[[#This Row],[Attribute]],#REF!,2,FALSE)</f>
        <v>#REF!</v>
      </c>
      <c r="F1714">
        <v>123.2</v>
      </c>
      <c r="G1714">
        <f>(Cpi_[[#This Row],[Value]]-F1713)/F1713</f>
        <v>5.4794520547945258E-2</v>
      </c>
      <c r="H1714" t="e" cm="1" vm="1">
        <f t="array" aca="1" ref="H1714" ca="1">VLOOKUP(Cpi_[[#This Row],[Year]:[Month]],crudeoil[],3,FALSE)</f>
        <v>#VALUE!</v>
      </c>
    </row>
    <row r="1715" spans="1:8" hidden="1" x14ac:dyDescent="0.3">
      <c r="A1715" t="s">
        <v>30</v>
      </c>
      <c r="B1715">
        <v>2014</v>
      </c>
      <c r="C1715" t="s">
        <v>43</v>
      </c>
      <c r="D1715" t="s">
        <v>15</v>
      </c>
      <c r="E1715" t="e">
        <f>VLOOKUP(Cpi_[[#This Row],[Attribute]],#REF!,2,FALSE)</f>
        <v>#REF!</v>
      </c>
      <c r="F1715">
        <v>125.1</v>
      </c>
      <c r="G1715">
        <f>(Cpi_[[#This Row],[Value]]-F1714)/F1714</f>
        <v>1.5422077922077853E-2</v>
      </c>
      <c r="H1715" t="e" cm="1" vm="1">
        <f t="array" aca="1" ref="H1715" ca="1">VLOOKUP(Cpi_[[#This Row],[Year]:[Month]],crudeoil[],3,FALSE)</f>
        <v>#VALUE!</v>
      </c>
    </row>
    <row r="1716" spans="1:8" hidden="1" x14ac:dyDescent="0.3">
      <c r="A1716" t="s">
        <v>30</v>
      </c>
      <c r="B1716">
        <v>2014</v>
      </c>
      <c r="C1716" t="s">
        <v>43</v>
      </c>
      <c r="D1716" t="s">
        <v>16</v>
      </c>
      <c r="E1716" t="e">
        <f>VLOOKUP(Cpi_[[#This Row],[Attribute]],#REF!,2,FALSE)</f>
        <v>#REF!</v>
      </c>
      <c r="F1716">
        <v>120</v>
      </c>
      <c r="G1716">
        <f>(Cpi_[[#This Row],[Value]]-F1715)/F1715</f>
        <v>-4.0767386091127053E-2</v>
      </c>
      <c r="H1716" t="e" cm="1" vm="1">
        <f t="array" aca="1" ref="H1716" ca="1">VLOOKUP(Cpi_[[#This Row],[Year]:[Month]],crudeoil[],3,FALSE)</f>
        <v>#VALUE!</v>
      </c>
    </row>
    <row r="1717" spans="1:8" hidden="1" x14ac:dyDescent="0.3">
      <c r="A1717" t="s">
        <v>30</v>
      </c>
      <c r="B1717">
        <v>2014</v>
      </c>
      <c r="C1717" t="s">
        <v>43</v>
      </c>
      <c r="D1717" t="s">
        <v>17</v>
      </c>
      <c r="E1717" t="e">
        <f>VLOOKUP(Cpi_[[#This Row],[Attribute]],#REF!,2,FALSE)</f>
        <v>#REF!</v>
      </c>
      <c r="F1717">
        <v>122.7</v>
      </c>
      <c r="G1717">
        <f>(Cpi_[[#This Row],[Value]]-F1716)/F1716</f>
        <v>2.2500000000000023E-2</v>
      </c>
      <c r="H1717" t="e" cm="1" vm="1">
        <f t="array" aca="1" ref="H1717" ca="1">VLOOKUP(Cpi_[[#This Row],[Year]:[Month]],crudeoil[],3,FALSE)</f>
        <v>#VALUE!</v>
      </c>
    </row>
    <row r="1718" spans="1:8" hidden="1" x14ac:dyDescent="0.3">
      <c r="A1718" t="s">
        <v>30</v>
      </c>
      <c r="B1718">
        <v>2014</v>
      </c>
      <c r="C1718" t="s">
        <v>43</v>
      </c>
      <c r="D1718" t="s">
        <v>18</v>
      </c>
      <c r="E1718" t="e">
        <f>VLOOKUP(Cpi_[[#This Row],[Attribute]],#REF!,2,FALSE)</f>
        <v>#REF!</v>
      </c>
      <c r="F1718">
        <v>120.3</v>
      </c>
      <c r="G1718">
        <f>(Cpi_[[#This Row],[Value]]-F1717)/F1717</f>
        <v>-1.9559902200489043E-2</v>
      </c>
      <c r="H1718" t="e" cm="1" vm="1">
        <f t="array" aca="1" ref="H1718" ca="1">VLOOKUP(Cpi_[[#This Row],[Year]:[Month]],crudeoil[],3,FALSE)</f>
        <v>#VALUE!</v>
      </c>
    </row>
    <row r="1719" spans="1:8" hidden="1" x14ac:dyDescent="0.3">
      <c r="A1719" t="s">
        <v>30</v>
      </c>
      <c r="B1719">
        <v>2014</v>
      </c>
      <c r="C1719" t="s">
        <v>43</v>
      </c>
      <c r="D1719" t="s">
        <v>19</v>
      </c>
      <c r="E1719" t="e">
        <f>VLOOKUP(Cpi_[[#This Row],[Attribute]],#REF!,2,FALSE)</f>
        <v>#REF!</v>
      </c>
      <c r="F1719">
        <v>122.3</v>
      </c>
      <c r="G1719">
        <f>(Cpi_[[#This Row],[Value]]-F1718)/F1718</f>
        <v>1.6625103906899419E-2</v>
      </c>
      <c r="H1719" t="e" cm="1" vm="1">
        <f t="array" aca="1" ref="H1719" ca="1">VLOOKUP(Cpi_[[#This Row],[Year]:[Month]],crudeoil[],3,FALSE)</f>
        <v>#VALUE!</v>
      </c>
    </row>
    <row r="1720" spans="1:8" hidden="1" x14ac:dyDescent="0.3">
      <c r="A1720" t="s">
        <v>30</v>
      </c>
      <c r="B1720">
        <v>2014</v>
      </c>
      <c r="C1720" t="s">
        <v>43</v>
      </c>
      <c r="D1720" t="s">
        <v>20</v>
      </c>
      <c r="E1720" t="e">
        <f>VLOOKUP(Cpi_[[#This Row],[Attribute]],#REF!,2,FALSE)</f>
        <v>#REF!</v>
      </c>
      <c r="F1720" t="s">
        <v>32</v>
      </c>
      <c r="G1720" t="e">
        <f>(Cpi_[[#This Row],[Value]]-F1719)/F1719</f>
        <v>#VALUE!</v>
      </c>
      <c r="H1720" t="e" cm="1" vm="1">
        <f t="array" aca="1" ref="H1720" ca="1">VLOOKUP(Cpi_[[#This Row],[Year]:[Month]],crudeoil[],3,FALSE)</f>
        <v>#VALUE!</v>
      </c>
    </row>
    <row r="1721" spans="1:8" hidden="1" x14ac:dyDescent="0.3">
      <c r="A1721" t="s">
        <v>30</v>
      </c>
      <c r="B1721">
        <v>2014</v>
      </c>
      <c r="C1721" t="s">
        <v>43</v>
      </c>
      <c r="D1721" t="s">
        <v>21</v>
      </c>
      <c r="E1721" t="e">
        <f>VLOOKUP(Cpi_[[#This Row],[Attribute]],#REF!,2,FALSE)</f>
        <v>#REF!</v>
      </c>
      <c r="F1721">
        <v>116.4</v>
      </c>
      <c r="G1721" t="e">
        <f>(Cpi_[[#This Row],[Value]]-F1720)/F1720</f>
        <v>#VALUE!</v>
      </c>
      <c r="H1721" t="e" cm="1" vm="1">
        <f t="array" aca="1" ref="H1721" ca="1">VLOOKUP(Cpi_[[#This Row],[Year]:[Month]],crudeoil[],3,FALSE)</f>
        <v>#VALUE!</v>
      </c>
    </row>
    <row r="1722" spans="1:8" hidden="1" x14ac:dyDescent="0.3">
      <c r="A1722" t="s">
        <v>30</v>
      </c>
      <c r="B1722">
        <v>2014</v>
      </c>
      <c r="C1722" t="s">
        <v>43</v>
      </c>
      <c r="D1722" t="s">
        <v>22</v>
      </c>
      <c r="E1722" t="e">
        <f>VLOOKUP(Cpi_[[#This Row],[Attribute]],#REF!,2,FALSE)</f>
        <v>#REF!</v>
      </c>
      <c r="F1722">
        <v>117.5</v>
      </c>
      <c r="G1722">
        <f>(Cpi_[[#This Row],[Value]]-F1721)/F1721</f>
        <v>9.4501718213057927E-3</v>
      </c>
      <c r="H1722" t="e" cm="1" vm="1">
        <f t="array" aca="1" ref="H1722" ca="1">VLOOKUP(Cpi_[[#This Row],[Year]:[Month]],crudeoil[],3,FALSE)</f>
        <v>#VALUE!</v>
      </c>
    </row>
    <row r="1723" spans="1:8" hidden="1" x14ac:dyDescent="0.3">
      <c r="A1723" t="s">
        <v>30</v>
      </c>
      <c r="B1723">
        <v>2014</v>
      </c>
      <c r="C1723" t="s">
        <v>43</v>
      </c>
      <c r="D1723" t="s">
        <v>23</v>
      </c>
      <c r="E1723" t="e">
        <f>VLOOKUP(Cpi_[[#This Row],[Attribute]],#REF!,2,FALSE)</f>
        <v>#REF!</v>
      </c>
      <c r="F1723">
        <v>115.3</v>
      </c>
      <c r="G1723">
        <f>(Cpi_[[#This Row],[Value]]-F1722)/F1722</f>
        <v>-1.8723404255319175E-2</v>
      </c>
      <c r="H1723" t="e" cm="1" vm="1">
        <f t="array" aca="1" ref="H1723" ca="1">VLOOKUP(Cpi_[[#This Row],[Year]:[Month]],crudeoil[],3,FALSE)</f>
        <v>#VALUE!</v>
      </c>
    </row>
    <row r="1724" spans="1:8" hidden="1" x14ac:dyDescent="0.3">
      <c r="A1724" t="s">
        <v>30</v>
      </c>
      <c r="B1724">
        <v>2014</v>
      </c>
      <c r="C1724" t="s">
        <v>43</v>
      </c>
      <c r="D1724" t="s">
        <v>24</v>
      </c>
      <c r="E1724" t="e">
        <f>VLOOKUP(Cpi_[[#This Row],[Attribute]],#REF!,2,FALSE)</f>
        <v>#REF!</v>
      </c>
      <c r="F1724">
        <v>112.6</v>
      </c>
      <c r="G1724">
        <f>(Cpi_[[#This Row],[Value]]-F1723)/F1723</f>
        <v>-2.3417172593235065E-2</v>
      </c>
      <c r="H1724" t="e" cm="1" vm="1">
        <f t="array" aca="1" ref="H1724" ca="1">VLOOKUP(Cpi_[[#This Row],[Year]:[Month]],crudeoil[],3,FALSE)</f>
        <v>#VALUE!</v>
      </c>
    </row>
    <row r="1725" spans="1:8" hidden="1" x14ac:dyDescent="0.3">
      <c r="A1725" t="s">
        <v>30</v>
      </c>
      <c r="B1725">
        <v>2014</v>
      </c>
      <c r="C1725" t="s">
        <v>43</v>
      </c>
      <c r="D1725" t="s">
        <v>25</v>
      </c>
      <c r="E1725" t="e">
        <f>VLOOKUP(Cpi_[[#This Row],[Attribute]],#REF!,2,FALSE)</f>
        <v>#REF!</v>
      </c>
      <c r="F1725">
        <v>113</v>
      </c>
      <c r="G1725">
        <f>(Cpi_[[#This Row],[Value]]-F1724)/F1724</f>
        <v>3.5523978685613297E-3</v>
      </c>
      <c r="H1725" t="e" cm="1" vm="1">
        <f t="array" aca="1" ref="H1725" ca="1">VLOOKUP(Cpi_[[#This Row],[Year]:[Month]],crudeoil[],3,FALSE)</f>
        <v>#VALUE!</v>
      </c>
    </row>
    <row r="1726" spans="1:8" hidden="1" x14ac:dyDescent="0.3">
      <c r="A1726" t="s">
        <v>30</v>
      </c>
      <c r="B1726">
        <v>2014</v>
      </c>
      <c r="C1726" t="s">
        <v>43</v>
      </c>
      <c r="D1726" t="s">
        <v>26</v>
      </c>
      <c r="E1726" t="e">
        <f>VLOOKUP(Cpi_[[#This Row],[Attribute]],#REF!,2,FALSE)</f>
        <v>#REF!</v>
      </c>
      <c r="F1726">
        <v>116.9</v>
      </c>
      <c r="G1726">
        <f>(Cpi_[[#This Row],[Value]]-F1725)/F1725</f>
        <v>3.4513274336283234E-2</v>
      </c>
      <c r="H1726" t="e" cm="1" vm="1">
        <f t="array" aca="1" ref="H1726" ca="1">VLOOKUP(Cpi_[[#This Row],[Year]:[Month]],crudeoil[],3,FALSE)</f>
        <v>#VALUE!</v>
      </c>
    </row>
    <row r="1727" spans="1:8" hidden="1" x14ac:dyDescent="0.3">
      <c r="A1727" t="s">
        <v>30</v>
      </c>
      <c r="B1727">
        <v>2014</v>
      </c>
      <c r="C1727" t="s">
        <v>43</v>
      </c>
      <c r="D1727" t="s">
        <v>27</v>
      </c>
      <c r="E1727" t="e">
        <f>VLOOKUP(Cpi_[[#This Row],[Attribute]],#REF!,2,FALSE)</f>
        <v>#REF!</v>
      </c>
      <c r="F1727">
        <v>109.3</v>
      </c>
      <c r="G1727">
        <f>(Cpi_[[#This Row],[Value]]-F1726)/F1726</f>
        <v>-6.5012831479897421E-2</v>
      </c>
      <c r="H1727" t="e" cm="1" vm="1">
        <f t="array" aca="1" ref="H1727" ca="1">VLOOKUP(Cpi_[[#This Row],[Year]:[Month]],crudeoil[],3,FALSE)</f>
        <v>#VALUE!</v>
      </c>
    </row>
    <row r="1728" spans="1:8" hidden="1" x14ac:dyDescent="0.3">
      <c r="A1728" t="s">
        <v>30</v>
      </c>
      <c r="B1728">
        <v>2014</v>
      </c>
      <c r="C1728" t="s">
        <v>43</v>
      </c>
      <c r="D1728" t="s">
        <v>28</v>
      </c>
      <c r="E1728" t="e">
        <f>VLOOKUP(Cpi_[[#This Row],[Attribute]],#REF!,2,FALSE)</f>
        <v>#REF!</v>
      </c>
      <c r="F1728">
        <v>114</v>
      </c>
      <c r="G1728">
        <f>(Cpi_[[#This Row],[Value]]-F1727)/F1727</f>
        <v>4.3000914913083284E-2</v>
      </c>
      <c r="H1728" t="e" cm="1" vm="1">
        <f t="array" aca="1" ref="H1728" ca="1">VLOOKUP(Cpi_[[#This Row],[Year]:[Month]],crudeoil[],3,FALSE)</f>
        <v>#VALUE!</v>
      </c>
    </row>
    <row r="1729" spans="1:8" hidden="1" x14ac:dyDescent="0.3">
      <c r="A1729" t="s">
        <v>30</v>
      </c>
      <c r="B1729">
        <v>2014</v>
      </c>
      <c r="C1729" t="s">
        <v>43</v>
      </c>
      <c r="D1729" t="s">
        <v>29</v>
      </c>
      <c r="E1729" t="e" cm="1">
        <f t="array" aca="1" ref="E1729" ca="1">VLGeneral indexGeneral indexKUP(Cpi_[[#This Row],[Attribute]],#REF!,2,FALSE)</f>
        <v>#NAME?</v>
      </c>
      <c r="F1729">
        <v>121</v>
      </c>
      <c r="G1729">
        <f>(Cpi_[[#This Row],[Value]]-F1728)/F1728</f>
        <v>6.1403508771929821E-2</v>
      </c>
      <c r="H1729" t="e" cm="1" vm="1">
        <f t="array" aca="1" ref="H1729" ca="1">VLOOKUP(Cpi_[[#This Row],[Year]:[Month]],crudeoil[],3,FALSE)</f>
        <v>#VALUE!</v>
      </c>
    </row>
    <row r="1730" spans="1:8" hidden="1" x14ac:dyDescent="0.3">
      <c r="A1730" t="s">
        <v>33</v>
      </c>
      <c r="B1730">
        <v>2014</v>
      </c>
      <c r="C1730" t="s">
        <v>43</v>
      </c>
      <c r="D1730" t="s">
        <v>3</v>
      </c>
      <c r="E1730" t="e">
        <f>VLOOKUP(Cpi_[[#This Row],[Attribute]],#REF!,2,FALSE)</f>
        <v>#REF!</v>
      </c>
      <c r="F1730">
        <v>124.6</v>
      </c>
      <c r="G1730">
        <f>(Cpi_[[#This Row],[Value]]-F1729)/F1729</f>
        <v>2.9752066115702431E-2</v>
      </c>
      <c r="H1730" t="e" cm="1" vm="1">
        <f t="array" aca="1" ref="H1730" ca="1">VLOOKUP(Cpi_[[#This Row],[Year]:[Month]],crudeoil[],3,FALSE)</f>
        <v>#VALUE!</v>
      </c>
    </row>
    <row r="1731" spans="1:8" hidden="1" x14ac:dyDescent="0.3">
      <c r="A1731" t="s">
        <v>33</v>
      </c>
      <c r="B1731">
        <v>2014</v>
      </c>
      <c r="C1731" t="s">
        <v>43</v>
      </c>
      <c r="D1731" t="s">
        <v>4</v>
      </c>
      <c r="E1731" t="e">
        <f>VLOOKUP(Cpi_[[#This Row],[Attribute]],#REF!,2,FALSE)</f>
        <v>#REF!</v>
      </c>
      <c r="F1731">
        <v>126.1</v>
      </c>
      <c r="G1731">
        <f>(Cpi_[[#This Row],[Value]]-F1730)/F1730</f>
        <v>1.2038523274478331E-2</v>
      </c>
      <c r="H1731" t="e" cm="1" vm="1">
        <f t="array" aca="1" ref="H1731" ca="1">VLOOKUP(Cpi_[[#This Row],[Year]:[Month]],crudeoil[],3,FALSE)</f>
        <v>#VALUE!</v>
      </c>
    </row>
    <row r="1732" spans="1:8" hidden="1" x14ac:dyDescent="0.3">
      <c r="A1732" t="s">
        <v>33</v>
      </c>
      <c r="B1732">
        <v>2014</v>
      </c>
      <c r="C1732" t="s">
        <v>43</v>
      </c>
      <c r="D1732" t="s">
        <v>5</v>
      </c>
      <c r="E1732" t="e">
        <f>VLOOKUP(Cpi_[[#This Row],[Attribute]],#REF!,2,FALSE)</f>
        <v>#REF!</v>
      </c>
      <c r="F1732">
        <v>117.8</v>
      </c>
      <c r="G1732">
        <f>(Cpi_[[#This Row],[Value]]-F1731)/F1731</f>
        <v>-6.5820777160983321E-2</v>
      </c>
      <c r="H1732" t="e" cm="1" vm="1">
        <f t="array" aca="1" ref="H1732" ca="1">VLOOKUP(Cpi_[[#This Row],[Year]:[Month]],crudeoil[],3,FALSE)</f>
        <v>#VALUE!</v>
      </c>
    </row>
    <row r="1733" spans="1:8" hidden="1" x14ac:dyDescent="0.3">
      <c r="A1733" t="s">
        <v>33</v>
      </c>
      <c r="B1733">
        <v>2014</v>
      </c>
      <c r="C1733" t="s">
        <v>43</v>
      </c>
      <c r="D1733" t="s">
        <v>6</v>
      </c>
      <c r="E1733" t="e">
        <f>VLOOKUP(Cpi_[[#This Row],[Attribute]],#REF!,2,FALSE)</f>
        <v>#REF!</v>
      </c>
      <c r="F1733">
        <v>123.1</v>
      </c>
      <c r="G1733">
        <f>(Cpi_[[#This Row],[Value]]-F1732)/F1732</f>
        <v>4.4991511035653624E-2</v>
      </c>
      <c r="H1733" t="e" cm="1" vm="1">
        <f t="array" aca="1" ref="H1733" ca="1">VLOOKUP(Cpi_[[#This Row],[Year]:[Month]],crudeoil[],3,FALSE)</f>
        <v>#VALUE!</v>
      </c>
    </row>
    <row r="1734" spans="1:8" hidden="1" x14ac:dyDescent="0.3">
      <c r="A1734" t="s">
        <v>33</v>
      </c>
      <c r="B1734">
        <v>2014</v>
      </c>
      <c r="C1734" t="s">
        <v>43</v>
      </c>
      <c r="D1734" t="s">
        <v>7</v>
      </c>
      <c r="E1734" t="e">
        <f>VLOOKUP(Cpi_[[#This Row],[Attribute]],#REF!,2,FALSE)</f>
        <v>#REF!</v>
      </c>
      <c r="F1734">
        <v>103.5</v>
      </c>
      <c r="G1734">
        <f>(Cpi_[[#This Row],[Value]]-F1733)/F1733</f>
        <v>-0.15922014622258324</v>
      </c>
      <c r="H1734" t="e" cm="1" vm="1">
        <f t="array" aca="1" ref="H1734" ca="1">VLOOKUP(Cpi_[[#This Row],[Year]:[Month]],crudeoil[],3,FALSE)</f>
        <v>#VALUE!</v>
      </c>
    </row>
    <row r="1735" spans="1:8" hidden="1" x14ac:dyDescent="0.3">
      <c r="A1735" t="s">
        <v>33</v>
      </c>
      <c r="B1735">
        <v>2014</v>
      </c>
      <c r="C1735" t="s">
        <v>43</v>
      </c>
      <c r="D1735" t="s">
        <v>8</v>
      </c>
      <c r="E1735" t="e">
        <f>VLOOKUP(Cpi_[[#This Row],[Attribute]],#REF!,2,FALSE)</f>
        <v>#REF!</v>
      </c>
      <c r="F1735">
        <v>123.5</v>
      </c>
      <c r="G1735">
        <f>(Cpi_[[#This Row],[Value]]-F1734)/F1734</f>
        <v>0.19323671497584541</v>
      </c>
      <c r="H1735" t="e" cm="1" vm="1">
        <f t="array" aca="1" ref="H1735" ca="1">VLOOKUP(Cpi_[[#This Row],[Year]:[Month]],crudeoil[],3,FALSE)</f>
        <v>#VALUE!</v>
      </c>
    </row>
    <row r="1736" spans="1:8" hidden="1" x14ac:dyDescent="0.3">
      <c r="A1736" t="s">
        <v>33</v>
      </c>
      <c r="B1736">
        <v>2014</v>
      </c>
      <c r="C1736" t="s">
        <v>43</v>
      </c>
      <c r="D1736" t="s">
        <v>9</v>
      </c>
      <c r="E1736" t="e">
        <f>VLOOKUP(Cpi_[[#This Row],[Attribute]],#REF!,2,FALSE)</f>
        <v>#REF!</v>
      </c>
      <c r="F1736">
        <v>159.6</v>
      </c>
      <c r="G1736">
        <f>(Cpi_[[#This Row],[Value]]-F1735)/F1735</f>
        <v>0.29230769230769227</v>
      </c>
      <c r="H1736" t="e" cm="1" vm="1">
        <f t="array" aca="1" ref="H1736" ca="1">VLOOKUP(Cpi_[[#This Row],[Year]:[Month]],crudeoil[],3,FALSE)</f>
        <v>#VALUE!</v>
      </c>
    </row>
    <row r="1737" spans="1:8" hidden="1" x14ac:dyDescent="0.3">
      <c r="A1737" t="s">
        <v>33</v>
      </c>
      <c r="B1737">
        <v>2014</v>
      </c>
      <c r="C1737" t="s">
        <v>43</v>
      </c>
      <c r="D1737" t="s">
        <v>10</v>
      </c>
      <c r="E1737" t="e">
        <f>VLOOKUP(Cpi_[[#This Row],[Attribute]],#REF!,2,FALSE)</f>
        <v>#REF!</v>
      </c>
      <c r="F1737">
        <v>117.4</v>
      </c>
      <c r="G1737">
        <f>(Cpi_[[#This Row],[Value]]-F1736)/F1736</f>
        <v>-0.26441102756892226</v>
      </c>
      <c r="H1737" t="e" cm="1" vm="1">
        <f t="array" aca="1" ref="H1737" ca="1">VLOOKUP(Cpi_[[#This Row],[Year]:[Month]],crudeoil[],3,FALSE)</f>
        <v>#VALUE!</v>
      </c>
    </row>
    <row r="1738" spans="1:8" hidden="1" x14ac:dyDescent="0.3">
      <c r="A1738" t="s">
        <v>33</v>
      </c>
      <c r="B1738">
        <v>2014</v>
      </c>
      <c r="C1738" t="s">
        <v>43</v>
      </c>
      <c r="D1738" t="s">
        <v>11</v>
      </c>
      <c r="E1738" t="e">
        <f>VLOOKUP(Cpi_[[#This Row],[Attribute]],#REF!,2,FALSE)</f>
        <v>#REF!</v>
      </c>
      <c r="F1738">
        <v>101.2</v>
      </c>
      <c r="G1738">
        <f>(Cpi_[[#This Row],[Value]]-F1737)/F1737</f>
        <v>-0.13798977853492336</v>
      </c>
      <c r="H1738" t="e" cm="1" vm="1">
        <f t="array" aca="1" ref="H1738" ca="1">VLOOKUP(Cpi_[[#This Row],[Year]:[Month]],crudeoil[],3,FALSE)</f>
        <v>#VALUE!</v>
      </c>
    </row>
    <row r="1739" spans="1:8" hidden="1" x14ac:dyDescent="0.3">
      <c r="A1739" t="s">
        <v>33</v>
      </c>
      <c r="B1739">
        <v>2014</v>
      </c>
      <c r="C1739" t="s">
        <v>43</v>
      </c>
      <c r="D1739" t="s">
        <v>12</v>
      </c>
      <c r="E1739" t="e">
        <f>VLOOKUP(Cpi_[[#This Row],[Attribute]],#REF!,2,FALSE)</f>
        <v>#REF!</v>
      </c>
      <c r="F1739">
        <v>123.8</v>
      </c>
      <c r="G1739">
        <f>(Cpi_[[#This Row],[Value]]-F1738)/F1738</f>
        <v>0.22332015810276673</v>
      </c>
      <c r="H1739" t="e" cm="1" vm="1">
        <f t="array" aca="1" ref="H1739" ca="1">VLOOKUP(Cpi_[[#This Row],[Year]:[Month]],crudeoil[],3,FALSE)</f>
        <v>#VALUE!</v>
      </c>
    </row>
    <row r="1740" spans="1:8" hidden="1" x14ac:dyDescent="0.3">
      <c r="A1740" t="s">
        <v>33</v>
      </c>
      <c r="B1740">
        <v>2014</v>
      </c>
      <c r="C1740" t="s">
        <v>43</v>
      </c>
      <c r="D1740" t="s">
        <v>13</v>
      </c>
      <c r="E1740" t="e">
        <f>VLOOKUP(Cpi_[[#This Row],[Attribute]],#REF!,2,FALSE)</f>
        <v>#REF!</v>
      </c>
      <c r="F1740">
        <v>115.2</v>
      </c>
      <c r="G1740">
        <f>(Cpi_[[#This Row],[Value]]-F1739)/F1739</f>
        <v>-6.9466882067851329E-2</v>
      </c>
      <c r="H1740" t="e" cm="1" vm="1">
        <f t="array" aca="1" ref="H1740" ca="1">VLOOKUP(Cpi_[[#This Row],[Year]:[Month]],crudeoil[],3,FALSE)</f>
        <v>#VALUE!</v>
      </c>
    </row>
    <row r="1741" spans="1:8" hidden="1" x14ac:dyDescent="0.3">
      <c r="A1741" t="s">
        <v>33</v>
      </c>
      <c r="B1741">
        <v>2014</v>
      </c>
      <c r="C1741" t="s">
        <v>43</v>
      </c>
      <c r="D1741" t="s">
        <v>14</v>
      </c>
      <c r="E1741" t="e">
        <f>VLOOKUP(Cpi_[[#This Row],[Attribute]],#REF!,2,FALSE)</f>
        <v>#REF!</v>
      </c>
      <c r="F1741">
        <v>125.9</v>
      </c>
      <c r="G1741">
        <f>(Cpi_[[#This Row],[Value]]-F1740)/F1740</f>
        <v>9.2881944444444461E-2</v>
      </c>
      <c r="H1741" t="e" cm="1" vm="1">
        <f t="array" aca="1" ref="H1741" ca="1">VLOOKUP(Cpi_[[#This Row],[Year]:[Month]],crudeoil[],3,FALSE)</f>
        <v>#VALUE!</v>
      </c>
    </row>
    <row r="1742" spans="1:8" hidden="1" x14ac:dyDescent="0.3">
      <c r="A1742" t="s">
        <v>33</v>
      </c>
      <c r="B1742">
        <v>2014</v>
      </c>
      <c r="C1742" t="s">
        <v>43</v>
      </c>
      <c r="D1742" t="s">
        <v>15</v>
      </c>
      <c r="E1742" t="e">
        <f>VLOOKUP(Cpi_[[#This Row],[Attribute]],#REF!,2,FALSE)</f>
        <v>#REF!</v>
      </c>
      <c r="F1742">
        <v>125.8</v>
      </c>
      <c r="G1742">
        <f>(Cpi_[[#This Row],[Value]]-F1741)/F1741</f>
        <v>-7.9428117553620751E-4</v>
      </c>
      <c r="H1742" t="e" cm="1" vm="1">
        <f t="array" aca="1" ref="H1742" ca="1">VLOOKUP(Cpi_[[#This Row],[Year]:[Month]],crudeoil[],3,FALSE)</f>
        <v>#VALUE!</v>
      </c>
    </row>
    <row r="1743" spans="1:8" hidden="1" x14ac:dyDescent="0.3">
      <c r="A1743" t="s">
        <v>33</v>
      </c>
      <c r="B1743">
        <v>2014</v>
      </c>
      <c r="C1743" t="s">
        <v>43</v>
      </c>
      <c r="D1743" t="s">
        <v>16</v>
      </c>
      <c r="E1743" t="e">
        <f>VLOOKUP(Cpi_[[#This Row],[Attribute]],#REF!,2,FALSE)</f>
        <v>#REF!</v>
      </c>
      <c r="F1743">
        <v>124.3</v>
      </c>
      <c r="G1743">
        <f>(Cpi_[[#This Row],[Value]]-F1742)/F1742</f>
        <v>-1.192368839427663E-2</v>
      </c>
      <c r="H1743" t="e" cm="1" vm="1">
        <f t="array" aca="1" ref="H1743" ca="1">VLOOKUP(Cpi_[[#This Row],[Year]:[Month]],crudeoil[],3,FALSE)</f>
        <v>#VALUE!</v>
      </c>
    </row>
    <row r="1744" spans="1:8" hidden="1" x14ac:dyDescent="0.3">
      <c r="A1744" t="s">
        <v>33</v>
      </c>
      <c r="B1744">
        <v>2014</v>
      </c>
      <c r="C1744" t="s">
        <v>43</v>
      </c>
      <c r="D1744" t="s">
        <v>17</v>
      </c>
      <c r="E1744" t="e">
        <f>VLOOKUP(Cpi_[[#This Row],[Attribute]],#REF!,2,FALSE)</f>
        <v>#REF!</v>
      </c>
      <c r="F1744">
        <v>119.6</v>
      </c>
      <c r="G1744">
        <f>(Cpi_[[#This Row],[Value]]-F1743)/F1743</f>
        <v>-3.781174577634757E-2</v>
      </c>
      <c r="H1744" t="e" cm="1" vm="1">
        <f t="array" aca="1" ref="H1744" ca="1">VLOOKUP(Cpi_[[#This Row],[Year]:[Month]],crudeoil[],3,FALSE)</f>
        <v>#VALUE!</v>
      </c>
    </row>
    <row r="1745" spans="1:8" hidden="1" x14ac:dyDescent="0.3">
      <c r="A1745" t="s">
        <v>33</v>
      </c>
      <c r="B1745">
        <v>2014</v>
      </c>
      <c r="C1745" t="s">
        <v>43</v>
      </c>
      <c r="D1745" t="s">
        <v>18</v>
      </c>
      <c r="E1745" t="e">
        <f>VLOOKUP(Cpi_[[#This Row],[Attribute]],#REF!,2,FALSE)</f>
        <v>#REF!</v>
      </c>
      <c r="F1745">
        <v>114.9</v>
      </c>
      <c r="G1745">
        <f>(Cpi_[[#This Row],[Value]]-F1744)/F1744</f>
        <v>-3.9297658862876159E-2</v>
      </c>
      <c r="H1745" t="e" cm="1" vm="1">
        <f t="array" aca="1" ref="H1745" ca="1">VLOOKUP(Cpi_[[#This Row],[Year]:[Month]],crudeoil[],3,FALSE)</f>
        <v>#VALUE!</v>
      </c>
    </row>
    <row r="1746" spans="1:8" hidden="1" x14ac:dyDescent="0.3">
      <c r="A1746" t="s">
        <v>33</v>
      </c>
      <c r="B1746">
        <v>2014</v>
      </c>
      <c r="C1746" t="s">
        <v>43</v>
      </c>
      <c r="D1746" t="s">
        <v>19</v>
      </c>
      <c r="E1746" t="e">
        <f>VLOOKUP(Cpi_[[#This Row],[Attribute]],#REF!,2,FALSE)</f>
        <v>#REF!</v>
      </c>
      <c r="F1746">
        <v>118.9</v>
      </c>
      <c r="G1746">
        <f>(Cpi_[[#This Row],[Value]]-F1745)/F1745</f>
        <v>3.4812880765883375E-2</v>
      </c>
      <c r="H1746" t="e" cm="1" vm="1">
        <f t="array" aca="1" ref="H1746" ca="1">VLOOKUP(Cpi_[[#This Row],[Year]:[Month]],crudeoil[],3,FALSE)</f>
        <v>#VALUE!</v>
      </c>
    </row>
    <row r="1747" spans="1:8" hidden="1" x14ac:dyDescent="0.3">
      <c r="A1747" t="s">
        <v>33</v>
      </c>
      <c r="B1747">
        <v>2014</v>
      </c>
      <c r="C1747" t="s">
        <v>43</v>
      </c>
      <c r="D1747" t="s">
        <v>20</v>
      </c>
      <c r="E1747" t="e">
        <f>VLOOKUP(Cpi_[[#This Row],[Attribute]],#REF!,2,FALSE)</f>
        <v>#REF!</v>
      </c>
      <c r="F1747">
        <v>116.7</v>
      </c>
      <c r="G1747">
        <f>(Cpi_[[#This Row],[Value]]-F1746)/F1746</f>
        <v>-1.8502943650126179E-2</v>
      </c>
      <c r="H1747" t="e" cm="1" vm="1">
        <f t="array" aca="1" ref="H1747" ca="1">VLOOKUP(Cpi_[[#This Row],[Year]:[Month]],crudeoil[],3,FALSE)</f>
        <v>#VALUE!</v>
      </c>
    </row>
    <row r="1748" spans="1:8" hidden="1" x14ac:dyDescent="0.3">
      <c r="A1748" t="s">
        <v>33</v>
      </c>
      <c r="B1748">
        <v>2014</v>
      </c>
      <c r="C1748" t="s">
        <v>43</v>
      </c>
      <c r="D1748" t="s">
        <v>21</v>
      </c>
      <c r="E1748" t="e">
        <f>VLOOKUP(Cpi_[[#This Row],[Attribute]],#REF!,2,FALSE)</f>
        <v>#REF!</v>
      </c>
      <c r="F1748">
        <v>112</v>
      </c>
      <c r="G1748">
        <f>(Cpi_[[#This Row],[Value]]-F1747)/F1747</f>
        <v>-4.0274207369323071E-2</v>
      </c>
      <c r="H1748" t="e" cm="1" vm="1">
        <f t="array" aca="1" ref="H1748" ca="1">VLOOKUP(Cpi_[[#This Row],[Year]:[Month]],crudeoil[],3,FALSE)</f>
        <v>#VALUE!</v>
      </c>
    </row>
    <row r="1749" spans="1:8" hidden="1" x14ac:dyDescent="0.3">
      <c r="A1749" t="s">
        <v>33</v>
      </c>
      <c r="B1749">
        <v>2014</v>
      </c>
      <c r="C1749" t="s">
        <v>43</v>
      </c>
      <c r="D1749" t="s">
        <v>22</v>
      </c>
      <c r="E1749" t="e">
        <f>VLOOKUP(Cpi_[[#This Row],[Attribute]],#REF!,2,FALSE)</f>
        <v>#REF!</v>
      </c>
      <c r="F1749">
        <v>115.8</v>
      </c>
      <c r="G1749">
        <f>(Cpi_[[#This Row],[Value]]-F1748)/F1748</f>
        <v>3.3928571428571405E-2</v>
      </c>
      <c r="H1749" t="e" cm="1" vm="1">
        <f t="array" aca="1" ref="H1749" ca="1">VLOOKUP(Cpi_[[#This Row],[Year]:[Month]],crudeoil[],3,FALSE)</f>
        <v>#VALUE!</v>
      </c>
    </row>
    <row r="1750" spans="1:8" hidden="1" x14ac:dyDescent="0.3">
      <c r="A1750" t="s">
        <v>33</v>
      </c>
      <c r="B1750">
        <v>2014</v>
      </c>
      <c r="C1750" t="s">
        <v>43</v>
      </c>
      <c r="D1750" t="s">
        <v>23</v>
      </c>
      <c r="E1750" t="e">
        <f>VLOOKUP(Cpi_[[#This Row],[Attribute]],#REF!,2,FALSE)</f>
        <v>#REF!</v>
      </c>
      <c r="F1750">
        <v>112.6</v>
      </c>
      <c r="G1750">
        <f>(Cpi_[[#This Row],[Value]]-F1749)/F1749</f>
        <v>-2.7633851468048386E-2</v>
      </c>
      <c r="H1750" t="e" cm="1" vm="1">
        <f t="array" aca="1" ref="H1750" ca="1">VLOOKUP(Cpi_[[#This Row],[Year]:[Month]],crudeoil[],3,FALSE)</f>
        <v>#VALUE!</v>
      </c>
    </row>
    <row r="1751" spans="1:8" hidden="1" x14ac:dyDescent="0.3">
      <c r="A1751" t="s">
        <v>33</v>
      </c>
      <c r="B1751">
        <v>2014</v>
      </c>
      <c r="C1751" t="s">
        <v>43</v>
      </c>
      <c r="D1751" t="s">
        <v>24</v>
      </c>
      <c r="E1751" t="e">
        <f>VLOOKUP(Cpi_[[#This Row],[Attribute]],#REF!,2,FALSE)</f>
        <v>#REF!</v>
      </c>
      <c r="F1751">
        <v>111</v>
      </c>
      <c r="G1751">
        <f>(Cpi_[[#This Row],[Value]]-F1750)/F1750</f>
        <v>-1.4209591474245066E-2</v>
      </c>
      <c r="H1751" t="e" cm="1" vm="1">
        <f t="array" aca="1" ref="H1751" ca="1">VLOOKUP(Cpi_[[#This Row],[Year]:[Month]],crudeoil[],3,FALSE)</f>
        <v>#VALUE!</v>
      </c>
    </row>
    <row r="1752" spans="1:8" hidden="1" x14ac:dyDescent="0.3">
      <c r="A1752" t="s">
        <v>33</v>
      </c>
      <c r="B1752">
        <v>2014</v>
      </c>
      <c r="C1752" t="s">
        <v>43</v>
      </c>
      <c r="D1752" t="s">
        <v>25</v>
      </c>
      <c r="E1752" t="e">
        <f>VLOOKUP(Cpi_[[#This Row],[Attribute]],#REF!,2,FALSE)</f>
        <v>#REF!</v>
      </c>
      <c r="F1752">
        <v>113.6</v>
      </c>
      <c r="G1752">
        <f>(Cpi_[[#This Row],[Value]]-F1751)/F1751</f>
        <v>2.3423423423423372E-2</v>
      </c>
      <c r="H1752" t="e" cm="1" vm="1">
        <f t="array" aca="1" ref="H1752" ca="1">VLOOKUP(Cpi_[[#This Row],[Year]:[Month]],crudeoil[],3,FALSE)</f>
        <v>#VALUE!</v>
      </c>
    </row>
    <row r="1753" spans="1:8" hidden="1" x14ac:dyDescent="0.3">
      <c r="A1753" t="s">
        <v>33</v>
      </c>
      <c r="B1753">
        <v>2014</v>
      </c>
      <c r="C1753" t="s">
        <v>43</v>
      </c>
      <c r="D1753" t="s">
        <v>26</v>
      </c>
      <c r="E1753" t="e">
        <f>VLOOKUP(Cpi_[[#This Row],[Attribute]],#REF!,2,FALSE)</f>
        <v>#REF!</v>
      </c>
      <c r="F1753">
        <v>120.2</v>
      </c>
      <c r="G1753">
        <f>(Cpi_[[#This Row],[Value]]-F1752)/F1752</f>
        <v>5.809859154929585E-2</v>
      </c>
      <c r="H1753" t="e" cm="1" vm="1">
        <f t="array" aca="1" ref="H1753" ca="1">VLOOKUP(Cpi_[[#This Row],[Year]:[Month]],crudeoil[],3,FALSE)</f>
        <v>#VALUE!</v>
      </c>
    </row>
    <row r="1754" spans="1:8" hidden="1" x14ac:dyDescent="0.3">
      <c r="A1754" t="s">
        <v>33</v>
      </c>
      <c r="B1754">
        <v>2014</v>
      </c>
      <c r="C1754" t="s">
        <v>43</v>
      </c>
      <c r="D1754" t="s">
        <v>27</v>
      </c>
      <c r="E1754" t="e">
        <f>VLOOKUP(Cpi_[[#This Row],[Attribute]],#REF!,2,FALSE)</f>
        <v>#REF!</v>
      </c>
      <c r="F1754">
        <v>110.1</v>
      </c>
      <c r="G1754">
        <f>(Cpi_[[#This Row],[Value]]-F1753)/F1753</f>
        <v>-8.4026622296173109E-2</v>
      </c>
      <c r="H1754" t="e" cm="1" vm="1">
        <f t="array" aca="1" ref="H1754" ca="1">VLOOKUP(Cpi_[[#This Row],[Year]:[Month]],crudeoil[],3,FALSE)</f>
        <v>#VALUE!</v>
      </c>
    </row>
    <row r="1755" spans="1:8" hidden="1" x14ac:dyDescent="0.3">
      <c r="A1755" t="s">
        <v>33</v>
      </c>
      <c r="B1755">
        <v>2014</v>
      </c>
      <c r="C1755" t="s">
        <v>43</v>
      </c>
      <c r="D1755" t="s">
        <v>28</v>
      </c>
      <c r="E1755" t="e">
        <f>VLOOKUP(Cpi_[[#This Row],[Attribute]],#REF!,2,FALSE)</f>
        <v>#REF!</v>
      </c>
      <c r="F1755">
        <v>113.7</v>
      </c>
      <c r="G1755">
        <f>(Cpi_[[#This Row],[Value]]-F1754)/F1754</f>
        <v>3.2697547683923786E-2</v>
      </c>
      <c r="H1755" t="e" cm="1" vm="1">
        <f t="array" aca="1" ref="H1755" ca="1">VLOOKUP(Cpi_[[#This Row],[Year]:[Month]],crudeoil[],3,FALSE)</f>
        <v>#VALUE!</v>
      </c>
    </row>
    <row r="1756" spans="1:8" hidden="1" x14ac:dyDescent="0.3">
      <c r="A1756" t="s">
        <v>33</v>
      </c>
      <c r="B1756">
        <v>2014</v>
      </c>
      <c r="C1756" t="s">
        <v>43</v>
      </c>
      <c r="D1756" t="s">
        <v>29</v>
      </c>
      <c r="E1756" t="e" cm="1">
        <f t="array" aca="1" ref="E1756" ca="1">VLGeneral indexGeneral indexKUP(Cpi_[[#This Row],[Attribute]],#REF!,2,FALSE)</f>
        <v>#NAME?</v>
      </c>
      <c r="F1756">
        <v>119.1</v>
      </c>
      <c r="G1756">
        <f>(Cpi_[[#This Row],[Value]]-F1755)/F1755</f>
        <v>4.7493403693931326E-2</v>
      </c>
      <c r="H1756" t="e" cm="1" vm="1">
        <f t="array" aca="1" ref="H1756" ca="1">VLOOKUP(Cpi_[[#This Row],[Year]:[Month]],crudeoil[],3,FALSE)</f>
        <v>#VALUE!</v>
      </c>
    </row>
    <row r="1757" spans="1:8" hidden="1" x14ac:dyDescent="0.3">
      <c r="A1757" t="s">
        <v>34</v>
      </c>
      <c r="B1757">
        <v>2014</v>
      </c>
      <c r="C1757" t="s">
        <v>43</v>
      </c>
      <c r="D1757" t="s">
        <v>3</v>
      </c>
      <c r="E1757" t="e">
        <f>VLOOKUP(Cpi_[[#This Row],[Attribute]],#REF!,2,FALSE)</f>
        <v>#REF!</v>
      </c>
      <c r="F1757">
        <v>123.2</v>
      </c>
      <c r="G1757">
        <f>(Cpi_[[#This Row],[Value]]-F1756)/F1756</f>
        <v>3.442485306465163E-2</v>
      </c>
      <c r="H1757" t="e" cm="1" vm="1">
        <f t="array" aca="1" ref="H1757" ca="1">VLOOKUP(Cpi_[[#This Row],[Year]:[Month]],crudeoil[],3,FALSE)</f>
        <v>#VALUE!</v>
      </c>
    </row>
    <row r="1758" spans="1:8" hidden="1" x14ac:dyDescent="0.3">
      <c r="A1758" t="s">
        <v>34</v>
      </c>
      <c r="B1758">
        <v>2014</v>
      </c>
      <c r="C1758" t="s">
        <v>43</v>
      </c>
      <c r="D1758" t="s">
        <v>4</v>
      </c>
      <c r="E1758" t="e">
        <f>VLOOKUP(Cpi_[[#This Row],[Attribute]],#REF!,2,FALSE)</f>
        <v>#REF!</v>
      </c>
      <c r="F1758">
        <v>123.8</v>
      </c>
      <c r="G1758">
        <f>(Cpi_[[#This Row],[Value]]-F1757)/F1757</f>
        <v>4.870129870129824E-3</v>
      </c>
      <c r="H1758" t="e" cm="1" vm="1">
        <f t="array" aca="1" ref="H1758" ca="1">VLOOKUP(Cpi_[[#This Row],[Year]:[Month]],crudeoil[],3,FALSE)</f>
        <v>#VALUE!</v>
      </c>
    </row>
    <row r="1759" spans="1:8" hidden="1" x14ac:dyDescent="0.3">
      <c r="A1759" t="s">
        <v>34</v>
      </c>
      <c r="B1759">
        <v>2014</v>
      </c>
      <c r="C1759" t="s">
        <v>43</v>
      </c>
      <c r="D1759" t="s">
        <v>5</v>
      </c>
      <c r="E1759" t="e">
        <f>VLOOKUP(Cpi_[[#This Row],[Attribute]],#REF!,2,FALSE)</f>
        <v>#REF!</v>
      </c>
      <c r="F1759">
        <v>118.1</v>
      </c>
      <c r="G1759">
        <f>(Cpi_[[#This Row],[Value]]-F1758)/F1758</f>
        <v>-4.6042003231017793E-2</v>
      </c>
      <c r="H1759" t="e" cm="1" vm="1">
        <f t="array" aca="1" ref="H1759" ca="1">VLOOKUP(Cpi_[[#This Row],[Year]:[Month]],crudeoil[],3,FALSE)</f>
        <v>#VALUE!</v>
      </c>
    </row>
    <row r="1760" spans="1:8" hidden="1" x14ac:dyDescent="0.3">
      <c r="A1760" t="s">
        <v>34</v>
      </c>
      <c r="B1760">
        <v>2014</v>
      </c>
      <c r="C1760" t="s">
        <v>43</v>
      </c>
      <c r="D1760" t="s">
        <v>6</v>
      </c>
      <c r="E1760" t="e">
        <f>VLOOKUP(Cpi_[[#This Row],[Attribute]],#REF!,2,FALSE)</f>
        <v>#REF!</v>
      </c>
      <c r="F1760">
        <v>123.2</v>
      </c>
      <c r="G1760">
        <f>(Cpi_[[#This Row],[Value]]-F1759)/F1759</f>
        <v>4.3183742591024629E-2</v>
      </c>
      <c r="H1760" t="e" cm="1" vm="1">
        <f t="array" aca="1" ref="H1760" ca="1">VLOOKUP(Cpi_[[#This Row],[Year]:[Month]],crudeoil[],3,FALSE)</f>
        <v>#VALUE!</v>
      </c>
    </row>
    <row r="1761" spans="1:8" hidden="1" x14ac:dyDescent="0.3">
      <c r="A1761" t="s">
        <v>34</v>
      </c>
      <c r="B1761">
        <v>2014</v>
      </c>
      <c r="C1761" t="s">
        <v>43</v>
      </c>
      <c r="D1761" t="s">
        <v>7</v>
      </c>
      <c r="E1761" t="e">
        <f>VLOOKUP(Cpi_[[#This Row],[Attribute]],#REF!,2,FALSE)</f>
        <v>#REF!</v>
      </c>
      <c r="F1761">
        <v>107.9</v>
      </c>
      <c r="G1761">
        <f>(Cpi_[[#This Row],[Value]]-F1760)/F1760</f>
        <v>-0.12418831168831167</v>
      </c>
      <c r="H1761" t="e" cm="1" vm="1">
        <f t="array" aca="1" ref="H1761" ca="1">VLOOKUP(Cpi_[[#This Row],[Year]:[Month]],crudeoil[],3,FALSE)</f>
        <v>#VALUE!</v>
      </c>
    </row>
    <row r="1762" spans="1:8" hidden="1" x14ac:dyDescent="0.3">
      <c r="A1762" t="s">
        <v>34</v>
      </c>
      <c r="B1762">
        <v>2014</v>
      </c>
      <c r="C1762" t="s">
        <v>43</v>
      </c>
      <c r="D1762" t="s">
        <v>8</v>
      </c>
      <c r="E1762" t="e">
        <f>VLOOKUP(Cpi_[[#This Row],[Attribute]],#REF!,2,FALSE)</f>
        <v>#REF!</v>
      </c>
      <c r="F1762">
        <v>126.4</v>
      </c>
      <c r="G1762">
        <f>(Cpi_[[#This Row],[Value]]-F1761)/F1761</f>
        <v>0.17145505097312325</v>
      </c>
      <c r="H1762" t="e" cm="1" vm="1">
        <f t="array" aca="1" ref="H1762" ca="1">VLOOKUP(Cpi_[[#This Row],[Year]:[Month]],crudeoil[],3,FALSE)</f>
        <v>#VALUE!</v>
      </c>
    </row>
    <row r="1763" spans="1:8" hidden="1" x14ac:dyDescent="0.3">
      <c r="A1763" t="s">
        <v>34</v>
      </c>
      <c r="B1763">
        <v>2014</v>
      </c>
      <c r="C1763" t="s">
        <v>43</v>
      </c>
      <c r="D1763" t="s">
        <v>9</v>
      </c>
      <c r="E1763" t="e">
        <f>VLOOKUP(Cpi_[[#This Row],[Attribute]],#REF!,2,FALSE)</f>
        <v>#REF!</v>
      </c>
      <c r="F1763">
        <v>156.80000000000001</v>
      </c>
      <c r="G1763">
        <f>(Cpi_[[#This Row],[Value]]-F1762)/F1762</f>
        <v>0.24050632911392408</v>
      </c>
      <c r="H1763" t="e" cm="1" vm="1">
        <f t="array" aca="1" ref="H1763" ca="1">VLOOKUP(Cpi_[[#This Row],[Year]:[Month]],crudeoil[],3,FALSE)</f>
        <v>#VALUE!</v>
      </c>
    </row>
    <row r="1764" spans="1:8" hidden="1" x14ac:dyDescent="0.3">
      <c r="A1764" t="s">
        <v>34</v>
      </c>
      <c r="B1764">
        <v>2014</v>
      </c>
      <c r="C1764" t="s">
        <v>43</v>
      </c>
      <c r="D1764" t="s">
        <v>10</v>
      </c>
      <c r="E1764" t="e">
        <f>VLOOKUP(Cpi_[[#This Row],[Attribute]],#REF!,2,FALSE)</f>
        <v>#REF!</v>
      </c>
      <c r="F1764">
        <v>116.1</v>
      </c>
      <c r="G1764">
        <f>(Cpi_[[#This Row],[Value]]-F1763)/F1763</f>
        <v>-0.25956632653061235</v>
      </c>
      <c r="H1764" t="e" cm="1" vm="1">
        <f t="array" aca="1" ref="H1764" ca="1">VLOOKUP(Cpi_[[#This Row],[Year]:[Month]],crudeoil[],3,FALSE)</f>
        <v>#VALUE!</v>
      </c>
    </row>
    <row r="1765" spans="1:8" hidden="1" x14ac:dyDescent="0.3">
      <c r="A1765" t="s">
        <v>34</v>
      </c>
      <c r="B1765">
        <v>2014</v>
      </c>
      <c r="C1765" t="s">
        <v>43</v>
      </c>
      <c r="D1765" t="s">
        <v>11</v>
      </c>
      <c r="E1765" t="e">
        <f>VLOOKUP(Cpi_[[#This Row],[Attribute]],#REF!,2,FALSE)</f>
        <v>#REF!</v>
      </c>
      <c r="F1765">
        <v>103.1</v>
      </c>
      <c r="G1765">
        <f>(Cpi_[[#This Row],[Value]]-F1764)/F1764</f>
        <v>-0.1119724375538329</v>
      </c>
      <c r="H1765" t="e" cm="1" vm="1">
        <f t="array" aca="1" ref="H1765" ca="1">VLOOKUP(Cpi_[[#This Row],[Year]:[Month]],crudeoil[],3,FALSE)</f>
        <v>#VALUE!</v>
      </c>
    </row>
    <row r="1766" spans="1:8" hidden="1" x14ac:dyDescent="0.3">
      <c r="A1766" t="s">
        <v>34</v>
      </c>
      <c r="B1766">
        <v>2014</v>
      </c>
      <c r="C1766" t="s">
        <v>43</v>
      </c>
      <c r="D1766" t="s">
        <v>12</v>
      </c>
      <c r="E1766" t="e">
        <f>VLOOKUP(Cpi_[[#This Row],[Attribute]],#REF!,2,FALSE)</f>
        <v>#REF!</v>
      </c>
      <c r="F1766">
        <v>118.1</v>
      </c>
      <c r="G1766">
        <f>(Cpi_[[#This Row],[Value]]-F1765)/F1765</f>
        <v>0.14548981571290009</v>
      </c>
      <c r="H1766" t="e" cm="1" vm="1">
        <f t="array" aca="1" ref="H1766" ca="1">VLOOKUP(Cpi_[[#This Row],[Year]:[Month]],crudeoil[],3,FALSE)</f>
        <v>#VALUE!</v>
      </c>
    </row>
    <row r="1767" spans="1:8" hidden="1" x14ac:dyDescent="0.3">
      <c r="A1767" t="s">
        <v>34</v>
      </c>
      <c r="B1767">
        <v>2014</v>
      </c>
      <c r="C1767" t="s">
        <v>43</v>
      </c>
      <c r="D1767" t="s">
        <v>13</v>
      </c>
      <c r="E1767" t="e">
        <f>VLOOKUP(Cpi_[[#This Row],[Attribute]],#REF!,2,FALSE)</f>
        <v>#REF!</v>
      </c>
      <c r="F1767">
        <v>116.1</v>
      </c>
      <c r="G1767">
        <f>(Cpi_[[#This Row],[Value]]-F1766)/F1766</f>
        <v>-1.6934801016088061E-2</v>
      </c>
      <c r="H1767" t="e" cm="1" vm="1">
        <f t="array" aca="1" ref="H1767" ca="1">VLOOKUP(Cpi_[[#This Row],[Year]:[Month]],crudeoil[],3,FALSE)</f>
        <v>#VALUE!</v>
      </c>
    </row>
    <row r="1768" spans="1:8" hidden="1" x14ac:dyDescent="0.3">
      <c r="A1768" t="s">
        <v>34</v>
      </c>
      <c r="B1768">
        <v>2014</v>
      </c>
      <c r="C1768" t="s">
        <v>43</v>
      </c>
      <c r="D1768" t="s">
        <v>14</v>
      </c>
      <c r="E1768" t="e">
        <f>VLOOKUP(Cpi_[[#This Row],[Attribute]],#REF!,2,FALSE)</f>
        <v>#REF!</v>
      </c>
      <c r="F1768">
        <v>124.5</v>
      </c>
      <c r="G1768">
        <f>(Cpi_[[#This Row],[Value]]-F1767)/F1767</f>
        <v>7.2351421188630541E-2</v>
      </c>
      <c r="H1768" t="e" cm="1" vm="1">
        <f t="array" aca="1" ref="H1768" ca="1">VLOOKUP(Cpi_[[#This Row],[Year]:[Month]],crudeoil[],3,FALSE)</f>
        <v>#VALUE!</v>
      </c>
    </row>
    <row r="1769" spans="1:8" hidden="1" x14ac:dyDescent="0.3">
      <c r="A1769" t="s">
        <v>34</v>
      </c>
      <c r="B1769">
        <v>2014</v>
      </c>
      <c r="C1769" t="s">
        <v>43</v>
      </c>
      <c r="D1769" t="s">
        <v>15</v>
      </c>
      <c r="E1769" t="e">
        <f>VLOOKUP(Cpi_[[#This Row],[Attribute]],#REF!,2,FALSE)</f>
        <v>#REF!</v>
      </c>
      <c r="F1769">
        <v>125.4</v>
      </c>
      <c r="G1769">
        <f>(Cpi_[[#This Row],[Value]]-F1768)/F1768</f>
        <v>7.2289156626506477E-3</v>
      </c>
      <c r="H1769" t="e" cm="1" vm="1">
        <f t="array" aca="1" ref="H1769" ca="1">VLOOKUP(Cpi_[[#This Row],[Year]:[Month]],crudeoil[],3,FALSE)</f>
        <v>#VALUE!</v>
      </c>
    </row>
    <row r="1770" spans="1:8" hidden="1" x14ac:dyDescent="0.3">
      <c r="A1770" t="s">
        <v>34</v>
      </c>
      <c r="B1770">
        <v>2014</v>
      </c>
      <c r="C1770" t="s">
        <v>43</v>
      </c>
      <c r="D1770" t="s">
        <v>16</v>
      </c>
      <c r="E1770" t="e">
        <f>VLOOKUP(Cpi_[[#This Row],[Attribute]],#REF!,2,FALSE)</f>
        <v>#REF!</v>
      </c>
      <c r="F1770">
        <v>121.1</v>
      </c>
      <c r="G1770">
        <f>(Cpi_[[#This Row],[Value]]-F1769)/F1769</f>
        <v>-3.4290271132376482E-2</v>
      </c>
      <c r="H1770" t="e" cm="1" vm="1">
        <f t="array" aca="1" ref="H1770" ca="1">VLOOKUP(Cpi_[[#This Row],[Year]:[Month]],crudeoil[],3,FALSE)</f>
        <v>#VALUE!</v>
      </c>
    </row>
    <row r="1771" spans="1:8" hidden="1" x14ac:dyDescent="0.3">
      <c r="A1771" t="s">
        <v>34</v>
      </c>
      <c r="B1771">
        <v>2014</v>
      </c>
      <c r="C1771" t="s">
        <v>43</v>
      </c>
      <c r="D1771" t="s">
        <v>17</v>
      </c>
      <c r="E1771" t="e">
        <f>VLOOKUP(Cpi_[[#This Row],[Attribute]],#REF!,2,FALSE)</f>
        <v>#REF!</v>
      </c>
      <c r="F1771">
        <v>121.5</v>
      </c>
      <c r="G1771">
        <f>(Cpi_[[#This Row],[Value]]-F1770)/F1770</f>
        <v>3.3030553261767606E-3</v>
      </c>
      <c r="H1771" t="e" cm="1" vm="1">
        <f t="array" aca="1" ref="H1771" ca="1">VLOOKUP(Cpi_[[#This Row],[Year]:[Month]],crudeoil[],3,FALSE)</f>
        <v>#VALUE!</v>
      </c>
    </row>
    <row r="1772" spans="1:8" hidden="1" x14ac:dyDescent="0.3">
      <c r="A1772" t="s">
        <v>34</v>
      </c>
      <c r="B1772">
        <v>2014</v>
      </c>
      <c r="C1772" t="s">
        <v>43</v>
      </c>
      <c r="D1772" t="s">
        <v>18</v>
      </c>
      <c r="E1772" t="e">
        <f>VLOOKUP(Cpi_[[#This Row],[Attribute]],#REF!,2,FALSE)</f>
        <v>#REF!</v>
      </c>
      <c r="F1772">
        <v>118.1</v>
      </c>
      <c r="G1772">
        <f>(Cpi_[[#This Row],[Value]]-F1771)/F1771</f>
        <v>-2.7983539094650251E-2</v>
      </c>
      <c r="H1772" t="e" cm="1" vm="1">
        <f t="array" aca="1" ref="H1772" ca="1">VLOOKUP(Cpi_[[#This Row],[Year]:[Month]],crudeoil[],3,FALSE)</f>
        <v>#VALUE!</v>
      </c>
    </row>
    <row r="1773" spans="1:8" hidden="1" x14ac:dyDescent="0.3">
      <c r="A1773" t="s">
        <v>34</v>
      </c>
      <c r="B1773">
        <v>2014</v>
      </c>
      <c r="C1773" t="s">
        <v>43</v>
      </c>
      <c r="D1773" t="s">
        <v>19</v>
      </c>
      <c r="E1773" t="e">
        <f>VLOOKUP(Cpi_[[#This Row],[Attribute]],#REF!,2,FALSE)</f>
        <v>#REF!</v>
      </c>
      <c r="F1773">
        <v>121</v>
      </c>
      <c r="G1773">
        <f>(Cpi_[[#This Row],[Value]]-F1772)/F1772</f>
        <v>2.4555461473327739E-2</v>
      </c>
      <c r="H1773" t="e" cm="1" vm="1">
        <f t="array" aca="1" ref="H1773" ca="1">VLOOKUP(Cpi_[[#This Row],[Year]:[Month]],crudeoil[],3,FALSE)</f>
        <v>#VALUE!</v>
      </c>
    </row>
    <row r="1774" spans="1:8" hidden="1" x14ac:dyDescent="0.3">
      <c r="A1774" t="s">
        <v>34</v>
      </c>
      <c r="B1774">
        <v>2014</v>
      </c>
      <c r="C1774" t="s">
        <v>43</v>
      </c>
      <c r="D1774" t="s">
        <v>20</v>
      </c>
      <c r="E1774" t="e">
        <f>VLOOKUP(Cpi_[[#This Row],[Attribute]],#REF!,2,FALSE)</f>
        <v>#REF!</v>
      </c>
      <c r="F1774">
        <v>116.7</v>
      </c>
      <c r="G1774">
        <f>(Cpi_[[#This Row],[Value]]-F1773)/F1773</f>
        <v>-3.5537190082644603E-2</v>
      </c>
      <c r="H1774" t="e" cm="1" vm="1">
        <f t="array" aca="1" ref="H1774" ca="1">VLOOKUP(Cpi_[[#This Row],[Year]:[Month]],crudeoil[],3,FALSE)</f>
        <v>#VALUE!</v>
      </c>
    </row>
    <row r="1775" spans="1:8" hidden="1" x14ac:dyDescent="0.3">
      <c r="A1775" t="s">
        <v>34</v>
      </c>
      <c r="B1775">
        <v>2014</v>
      </c>
      <c r="C1775" t="s">
        <v>43</v>
      </c>
      <c r="D1775" t="s">
        <v>21</v>
      </c>
      <c r="E1775" t="e">
        <f>VLOOKUP(Cpi_[[#This Row],[Attribute]],#REF!,2,FALSE)</f>
        <v>#REF!</v>
      </c>
      <c r="F1775">
        <v>114.7</v>
      </c>
      <c r="G1775">
        <f>(Cpi_[[#This Row],[Value]]-F1774)/F1774</f>
        <v>-1.713796058269066E-2</v>
      </c>
      <c r="H1775" t="e" cm="1" vm="1">
        <f t="array" aca="1" ref="H1775" ca="1">VLOOKUP(Cpi_[[#This Row],[Year]:[Month]],crudeoil[],3,FALSE)</f>
        <v>#VALUE!</v>
      </c>
    </row>
    <row r="1776" spans="1:8" hidden="1" x14ac:dyDescent="0.3">
      <c r="A1776" t="s">
        <v>34</v>
      </c>
      <c r="B1776">
        <v>2014</v>
      </c>
      <c r="C1776" t="s">
        <v>43</v>
      </c>
      <c r="D1776" t="s">
        <v>22</v>
      </c>
      <c r="E1776" t="e">
        <f>VLOOKUP(Cpi_[[#This Row],[Attribute]],#REF!,2,FALSE)</f>
        <v>#REF!</v>
      </c>
      <c r="F1776">
        <v>116.7</v>
      </c>
      <c r="G1776">
        <f>(Cpi_[[#This Row],[Value]]-F1775)/F1775</f>
        <v>1.7436791630340016E-2</v>
      </c>
      <c r="H1776" t="e" cm="1" vm="1">
        <f t="array" aca="1" ref="H1776" ca="1">VLOOKUP(Cpi_[[#This Row],[Year]:[Month]],crudeoil[],3,FALSE)</f>
        <v>#VALUE!</v>
      </c>
    </row>
    <row r="1777" spans="1:8" hidden="1" x14ac:dyDescent="0.3">
      <c r="A1777" t="s">
        <v>34</v>
      </c>
      <c r="B1777">
        <v>2014</v>
      </c>
      <c r="C1777" t="s">
        <v>43</v>
      </c>
      <c r="D1777" t="s">
        <v>23</v>
      </c>
      <c r="E1777" t="e">
        <f>VLOOKUP(Cpi_[[#This Row],[Attribute]],#REF!,2,FALSE)</f>
        <v>#REF!</v>
      </c>
      <c r="F1777">
        <v>114.3</v>
      </c>
      <c r="G1777">
        <f>(Cpi_[[#This Row],[Value]]-F1776)/F1776</f>
        <v>-2.0565552699228839E-2</v>
      </c>
      <c r="H1777" t="e" cm="1" vm="1">
        <f t="array" aca="1" ref="H1777" ca="1">VLOOKUP(Cpi_[[#This Row],[Year]:[Month]],crudeoil[],3,FALSE)</f>
        <v>#VALUE!</v>
      </c>
    </row>
    <row r="1778" spans="1:8" hidden="1" x14ac:dyDescent="0.3">
      <c r="A1778" t="s">
        <v>34</v>
      </c>
      <c r="B1778">
        <v>2014</v>
      </c>
      <c r="C1778" t="s">
        <v>43</v>
      </c>
      <c r="D1778" t="s">
        <v>24</v>
      </c>
      <c r="E1778" t="e">
        <f>VLOOKUP(Cpi_[[#This Row],[Attribute]],#REF!,2,FALSE)</f>
        <v>#REF!</v>
      </c>
      <c r="F1778">
        <v>111.8</v>
      </c>
      <c r="G1778">
        <f>(Cpi_[[#This Row],[Value]]-F1777)/F1777</f>
        <v>-2.1872265966754158E-2</v>
      </c>
      <c r="H1778" t="e" cm="1" vm="1">
        <f t="array" aca="1" ref="H1778" ca="1">VLOOKUP(Cpi_[[#This Row],[Year]:[Month]],crudeoil[],3,FALSE)</f>
        <v>#VALUE!</v>
      </c>
    </row>
    <row r="1779" spans="1:8" hidden="1" x14ac:dyDescent="0.3">
      <c r="A1779" t="s">
        <v>34</v>
      </c>
      <c r="B1779">
        <v>2014</v>
      </c>
      <c r="C1779" t="s">
        <v>43</v>
      </c>
      <c r="D1779" t="s">
        <v>25</v>
      </c>
      <c r="E1779" t="e">
        <f>VLOOKUP(Cpi_[[#This Row],[Attribute]],#REF!,2,FALSE)</f>
        <v>#REF!</v>
      </c>
      <c r="F1779">
        <v>113.3</v>
      </c>
      <c r="G1779">
        <f>(Cpi_[[#This Row],[Value]]-F1778)/F1778</f>
        <v>1.3416815742397139E-2</v>
      </c>
      <c r="H1779" t="e" cm="1" vm="1">
        <f t="array" aca="1" ref="H1779" ca="1">VLOOKUP(Cpi_[[#This Row],[Year]:[Month]],crudeoil[],3,FALSE)</f>
        <v>#VALUE!</v>
      </c>
    </row>
    <row r="1780" spans="1:8" hidden="1" x14ac:dyDescent="0.3">
      <c r="A1780" t="s">
        <v>34</v>
      </c>
      <c r="B1780">
        <v>2014</v>
      </c>
      <c r="C1780" t="s">
        <v>43</v>
      </c>
      <c r="D1780" t="s">
        <v>26</v>
      </c>
      <c r="E1780" t="e">
        <f>VLOOKUP(Cpi_[[#This Row],[Attribute]],#REF!,2,FALSE)</f>
        <v>#REF!</v>
      </c>
      <c r="F1780">
        <v>118.8</v>
      </c>
      <c r="G1780">
        <f>(Cpi_[[#This Row],[Value]]-F1779)/F1779</f>
        <v>4.8543689320388349E-2</v>
      </c>
      <c r="H1780" t="e" cm="1" vm="1">
        <f t="array" aca="1" ref="H1780" ca="1">VLOOKUP(Cpi_[[#This Row],[Year]:[Month]],crudeoil[],3,FALSE)</f>
        <v>#VALUE!</v>
      </c>
    </row>
    <row r="1781" spans="1:8" hidden="1" x14ac:dyDescent="0.3">
      <c r="A1781" t="s">
        <v>34</v>
      </c>
      <c r="B1781">
        <v>2014</v>
      </c>
      <c r="C1781" t="s">
        <v>43</v>
      </c>
      <c r="D1781" t="s">
        <v>27</v>
      </c>
      <c r="E1781" t="e">
        <f>VLOOKUP(Cpi_[[#This Row],[Attribute]],#REF!,2,FALSE)</f>
        <v>#REF!</v>
      </c>
      <c r="F1781">
        <v>109.6</v>
      </c>
      <c r="G1781">
        <f>(Cpi_[[#This Row],[Value]]-F1780)/F1780</f>
        <v>-7.7441077441077463E-2</v>
      </c>
      <c r="H1781" t="e" cm="1" vm="1">
        <f t="array" aca="1" ref="H1781" ca="1">VLOOKUP(Cpi_[[#This Row],[Year]:[Month]],crudeoil[],3,FALSE)</f>
        <v>#VALUE!</v>
      </c>
    </row>
    <row r="1782" spans="1:8" hidden="1" x14ac:dyDescent="0.3">
      <c r="A1782" t="s">
        <v>34</v>
      </c>
      <c r="B1782">
        <v>2014</v>
      </c>
      <c r="C1782" t="s">
        <v>43</v>
      </c>
      <c r="D1782" t="s">
        <v>28</v>
      </c>
      <c r="E1782" t="e">
        <f>VLOOKUP(Cpi_[[#This Row],[Attribute]],#REF!,2,FALSE)</f>
        <v>#REF!</v>
      </c>
      <c r="F1782">
        <v>113.9</v>
      </c>
      <c r="G1782">
        <f>(Cpi_[[#This Row],[Value]]-F1781)/F1781</f>
        <v>3.9233576642335871E-2</v>
      </c>
      <c r="H1782" t="e" cm="1" vm="1">
        <f t="array" aca="1" ref="H1782" ca="1">VLOOKUP(Cpi_[[#This Row],[Year]:[Month]],crudeoil[],3,FALSE)</f>
        <v>#VALUE!</v>
      </c>
    </row>
    <row r="1783" spans="1:8" hidden="1" x14ac:dyDescent="0.3">
      <c r="A1783" t="s">
        <v>34</v>
      </c>
      <c r="B1783">
        <v>2014</v>
      </c>
      <c r="C1783" t="s">
        <v>43</v>
      </c>
      <c r="D1783" t="s">
        <v>29</v>
      </c>
      <c r="E1783" t="e" cm="1">
        <f t="array" aca="1" ref="E1783" ca="1">VLGeneral indexGeneral indexKUP(Cpi_[[#This Row],[Attribute]],#REF!,2,FALSE)</f>
        <v>#NAME?</v>
      </c>
      <c r="F1783">
        <v>120.1</v>
      </c>
      <c r="G1783">
        <f>(Cpi_[[#This Row],[Value]]-F1782)/F1782</f>
        <v>5.4433713784020968E-2</v>
      </c>
      <c r="H1783" t="e" cm="1" vm="1">
        <f t="array" aca="1" ref="H1783" ca="1">VLOOKUP(Cpi_[[#This Row],[Year]:[Month]],crudeoil[],3,FALSE)</f>
        <v>#VALUE!</v>
      </c>
    </row>
    <row r="1784" spans="1:8" hidden="1" x14ac:dyDescent="0.3">
      <c r="A1784" t="s">
        <v>30</v>
      </c>
      <c r="B1784">
        <v>2014</v>
      </c>
      <c r="C1784" t="s">
        <v>45</v>
      </c>
      <c r="D1784" t="s">
        <v>3</v>
      </c>
      <c r="E1784" t="e">
        <f>VLOOKUP(Cpi_[[#This Row],[Attribute]],#REF!,2,FALSE)</f>
        <v>#REF!</v>
      </c>
      <c r="F1784">
        <v>122.7</v>
      </c>
      <c r="G1784">
        <f>(Cpi_[[#This Row],[Value]]-F1783)/F1783</f>
        <v>2.1648626144879338E-2</v>
      </c>
      <c r="H1784" t="e" cm="1" vm="1">
        <f t="array" aca="1" ref="H1784" ca="1">VLOOKUP(Cpi_[[#This Row],[Year]:[Month]],crudeoil[],3,FALSE)</f>
        <v>#VALUE!</v>
      </c>
    </row>
    <row r="1785" spans="1:8" hidden="1" x14ac:dyDescent="0.3">
      <c r="A1785" t="s">
        <v>30</v>
      </c>
      <c r="B1785">
        <v>2014</v>
      </c>
      <c r="C1785" t="s">
        <v>45</v>
      </c>
      <c r="D1785" t="s">
        <v>4</v>
      </c>
      <c r="E1785" t="e">
        <f>VLOOKUP(Cpi_[[#This Row],[Attribute]],#REF!,2,FALSE)</f>
        <v>#REF!</v>
      </c>
      <c r="F1785">
        <v>122.6</v>
      </c>
      <c r="G1785">
        <f>(Cpi_[[#This Row],[Value]]-F1784)/F1784</f>
        <v>-8.1499592502044436E-4</v>
      </c>
      <c r="H1785" t="e" cm="1" vm="1">
        <f t="array" aca="1" ref="H1785" ca="1">VLOOKUP(Cpi_[[#This Row],[Year]:[Month]],crudeoil[],3,FALSE)</f>
        <v>#VALUE!</v>
      </c>
    </row>
    <row r="1786" spans="1:8" hidden="1" x14ac:dyDescent="0.3">
      <c r="A1786" t="s">
        <v>30</v>
      </c>
      <c r="B1786">
        <v>2014</v>
      </c>
      <c r="C1786" t="s">
        <v>45</v>
      </c>
      <c r="D1786" t="s">
        <v>5</v>
      </c>
      <c r="E1786" t="e">
        <f>VLOOKUP(Cpi_[[#This Row],[Attribute]],#REF!,2,FALSE)</f>
        <v>#REF!</v>
      </c>
      <c r="F1786">
        <v>119.9</v>
      </c>
      <c r="G1786">
        <f>(Cpi_[[#This Row],[Value]]-F1785)/F1785</f>
        <v>-2.2022838499184249E-2</v>
      </c>
      <c r="H1786" t="e" cm="1" vm="1">
        <f t="array" aca="1" ref="H1786" ca="1">VLOOKUP(Cpi_[[#This Row],[Year]:[Month]],crudeoil[],3,FALSE)</f>
        <v>#VALUE!</v>
      </c>
    </row>
    <row r="1787" spans="1:8" hidden="1" x14ac:dyDescent="0.3">
      <c r="A1787" t="s">
        <v>30</v>
      </c>
      <c r="B1787">
        <v>2014</v>
      </c>
      <c r="C1787" t="s">
        <v>45</v>
      </c>
      <c r="D1787" t="s">
        <v>6</v>
      </c>
      <c r="E1787" t="e">
        <f>VLOOKUP(Cpi_[[#This Row],[Attribute]],#REF!,2,FALSE)</f>
        <v>#REF!</v>
      </c>
      <c r="F1787">
        <v>124</v>
      </c>
      <c r="G1787">
        <f>(Cpi_[[#This Row],[Value]]-F1786)/F1786</f>
        <v>3.4195162635529561E-2</v>
      </c>
      <c r="H1787" t="e" cm="1" vm="1">
        <f t="array" aca="1" ref="H1787" ca="1">VLOOKUP(Cpi_[[#This Row],[Year]:[Month]],crudeoil[],3,FALSE)</f>
        <v>#VALUE!</v>
      </c>
    </row>
    <row r="1788" spans="1:8" hidden="1" x14ac:dyDescent="0.3">
      <c r="A1788" t="s">
        <v>30</v>
      </c>
      <c r="B1788">
        <v>2014</v>
      </c>
      <c r="C1788" t="s">
        <v>45</v>
      </c>
      <c r="D1788" t="s">
        <v>7</v>
      </c>
      <c r="E1788" t="e">
        <f>VLOOKUP(Cpi_[[#This Row],[Attribute]],#REF!,2,FALSE)</f>
        <v>#REF!</v>
      </c>
      <c r="F1788">
        <v>110.5</v>
      </c>
      <c r="G1788">
        <f>(Cpi_[[#This Row],[Value]]-F1787)/F1787</f>
        <v>-0.10887096774193548</v>
      </c>
      <c r="H1788" t="e" cm="1" vm="1">
        <f t="array" aca="1" ref="H1788" ca="1">VLOOKUP(Cpi_[[#This Row],[Year]:[Month]],crudeoil[],3,FALSE)</f>
        <v>#VALUE!</v>
      </c>
    </row>
    <row r="1789" spans="1:8" hidden="1" x14ac:dyDescent="0.3">
      <c r="A1789" t="s">
        <v>30</v>
      </c>
      <c r="B1789">
        <v>2014</v>
      </c>
      <c r="C1789" t="s">
        <v>45</v>
      </c>
      <c r="D1789" t="s">
        <v>8</v>
      </c>
      <c r="E1789" t="e">
        <f>VLOOKUP(Cpi_[[#This Row],[Attribute]],#REF!,2,FALSE)</f>
        <v>#REF!</v>
      </c>
      <c r="F1789">
        <v>128.80000000000001</v>
      </c>
      <c r="G1789">
        <f>(Cpi_[[#This Row],[Value]]-F1788)/F1788</f>
        <v>0.16561085972850689</v>
      </c>
      <c r="H1789" t="e" cm="1" vm="1">
        <f t="array" aca="1" ref="H1789" ca="1">VLOOKUP(Cpi_[[#This Row],[Year]:[Month]],crudeoil[],3,FALSE)</f>
        <v>#VALUE!</v>
      </c>
    </row>
    <row r="1790" spans="1:8" hidden="1" x14ac:dyDescent="0.3">
      <c r="A1790" t="s">
        <v>30</v>
      </c>
      <c r="B1790">
        <v>2014</v>
      </c>
      <c r="C1790" t="s">
        <v>45</v>
      </c>
      <c r="D1790" t="s">
        <v>9</v>
      </c>
      <c r="E1790" t="e">
        <f>VLOOKUP(Cpi_[[#This Row],[Attribute]],#REF!,2,FALSE)</f>
        <v>#REF!</v>
      </c>
      <c r="F1790">
        <v>152</v>
      </c>
      <c r="G1790">
        <f>(Cpi_[[#This Row],[Value]]-F1789)/F1789</f>
        <v>0.18012422360248437</v>
      </c>
      <c r="H1790" t="e" cm="1" vm="1">
        <f t="array" aca="1" ref="H1790" ca="1">VLOOKUP(Cpi_[[#This Row],[Year]:[Month]],crudeoil[],3,FALSE)</f>
        <v>#VALUE!</v>
      </c>
    </row>
    <row r="1791" spans="1:8" hidden="1" x14ac:dyDescent="0.3">
      <c r="A1791" t="s">
        <v>30</v>
      </c>
      <c r="B1791">
        <v>2014</v>
      </c>
      <c r="C1791" t="s">
        <v>45</v>
      </c>
      <c r="D1791" t="s">
        <v>10</v>
      </c>
      <c r="E1791" t="e">
        <f>VLOOKUP(Cpi_[[#This Row],[Attribute]],#REF!,2,FALSE)</f>
        <v>#REF!</v>
      </c>
      <c r="F1791">
        <v>116.2</v>
      </c>
      <c r="G1791">
        <f>(Cpi_[[#This Row],[Value]]-F1790)/F1790</f>
        <v>-0.23552631578947367</v>
      </c>
      <c r="H1791" t="e" cm="1" vm="1">
        <f t="array" aca="1" ref="H1791" ca="1">VLOOKUP(Cpi_[[#This Row],[Year]:[Month]],crudeoil[],3,FALSE)</f>
        <v>#VALUE!</v>
      </c>
    </row>
    <row r="1792" spans="1:8" hidden="1" x14ac:dyDescent="0.3">
      <c r="A1792" t="s">
        <v>30</v>
      </c>
      <c r="B1792">
        <v>2014</v>
      </c>
      <c r="C1792" t="s">
        <v>45</v>
      </c>
      <c r="D1792" t="s">
        <v>11</v>
      </c>
      <c r="E1792" t="e">
        <f>VLOOKUP(Cpi_[[#This Row],[Attribute]],#REF!,2,FALSE)</f>
        <v>#REF!</v>
      </c>
      <c r="F1792">
        <v>103.3</v>
      </c>
      <c r="G1792">
        <f>(Cpi_[[#This Row],[Value]]-F1791)/F1791</f>
        <v>-0.11101549053356287</v>
      </c>
      <c r="H1792" t="e" cm="1" vm="1">
        <f t="array" aca="1" ref="H1792" ca="1">VLOOKUP(Cpi_[[#This Row],[Year]:[Month]],crudeoil[],3,FALSE)</f>
        <v>#VALUE!</v>
      </c>
    </row>
    <row r="1793" spans="1:8" hidden="1" x14ac:dyDescent="0.3">
      <c r="A1793" t="s">
        <v>30</v>
      </c>
      <c r="B1793">
        <v>2014</v>
      </c>
      <c r="C1793" t="s">
        <v>45</v>
      </c>
      <c r="D1793" t="s">
        <v>12</v>
      </c>
      <c r="E1793" t="e">
        <f>VLOOKUP(Cpi_[[#This Row],[Attribute]],#REF!,2,FALSE)</f>
        <v>#REF!</v>
      </c>
      <c r="F1793">
        <v>115.8</v>
      </c>
      <c r="G1793">
        <f>(Cpi_[[#This Row],[Value]]-F1792)/F1792</f>
        <v>0.12100677637947725</v>
      </c>
      <c r="H1793" t="e" cm="1" vm="1">
        <f t="array" aca="1" ref="H1793" ca="1">VLOOKUP(Cpi_[[#This Row],[Year]:[Month]],crudeoil[],3,FALSE)</f>
        <v>#VALUE!</v>
      </c>
    </row>
    <row r="1794" spans="1:8" hidden="1" x14ac:dyDescent="0.3">
      <c r="A1794" t="s">
        <v>30</v>
      </c>
      <c r="B1794">
        <v>2014</v>
      </c>
      <c r="C1794" t="s">
        <v>45</v>
      </c>
      <c r="D1794" t="s">
        <v>13</v>
      </c>
      <c r="E1794" t="e">
        <f>VLOOKUP(Cpi_[[#This Row],[Attribute]],#REF!,2,FALSE)</f>
        <v>#REF!</v>
      </c>
      <c r="F1794">
        <v>116.8</v>
      </c>
      <c r="G1794">
        <f>(Cpi_[[#This Row],[Value]]-F1793)/F1793</f>
        <v>8.6355785837651123E-3</v>
      </c>
      <c r="H1794" t="e" cm="1" vm="1">
        <f t="array" aca="1" ref="H1794" ca="1">VLOOKUP(Cpi_[[#This Row],[Year]:[Month]],crudeoil[],3,FALSE)</f>
        <v>#VALUE!</v>
      </c>
    </row>
    <row r="1795" spans="1:8" hidden="1" x14ac:dyDescent="0.3">
      <c r="A1795" t="s">
        <v>30</v>
      </c>
      <c r="B1795">
        <v>2014</v>
      </c>
      <c r="C1795" t="s">
        <v>45</v>
      </c>
      <c r="D1795" t="s">
        <v>14</v>
      </c>
      <c r="E1795" t="e">
        <f>VLOOKUP(Cpi_[[#This Row],[Attribute]],#REF!,2,FALSE)</f>
        <v>#REF!</v>
      </c>
      <c r="F1795">
        <v>124.5</v>
      </c>
      <c r="G1795">
        <f>(Cpi_[[#This Row],[Value]]-F1794)/F1794</f>
        <v>6.5924657534246603E-2</v>
      </c>
      <c r="H1795" t="e" cm="1" vm="1">
        <f t="array" aca="1" ref="H1795" ca="1">VLOOKUP(Cpi_[[#This Row],[Year]:[Month]],crudeoil[],3,FALSE)</f>
        <v>#VALUE!</v>
      </c>
    </row>
    <row r="1796" spans="1:8" hidden="1" x14ac:dyDescent="0.3">
      <c r="A1796" t="s">
        <v>30</v>
      </c>
      <c r="B1796">
        <v>2014</v>
      </c>
      <c r="C1796" t="s">
        <v>45</v>
      </c>
      <c r="D1796" t="s">
        <v>15</v>
      </c>
      <c r="E1796" t="e">
        <f>VLOOKUP(Cpi_[[#This Row],[Attribute]],#REF!,2,FALSE)</f>
        <v>#REF!</v>
      </c>
      <c r="F1796">
        <v>124.9</v>
      </c>
      <c r="G1796">
        <f>(Cpi_[[#This Row],[Value]]-F1795)/F1795</f>
        <v>3.2128514056225356E-3</v>
      </c>
      <c r="H1796" t="e" cm="1" vm="1">
        <f t="array" aca="1" ref="H1796" ca="1">VLOOKUP(Cpi_[[#This Row],[Year]:[Month]],crudeoil[],3,FALSE)</f>
        <v>#VALUE!</v>
      </c>
    </row>
    <row r="1797" spans="1:8" hidden="1" x14ac:dyDescent="0.3">
      <c r="A1797" t="s">
        <v>30</v>
      </c>
      <c r="B1797">
        <v>2014</v>
      </c>
      <c r="C1797" t="s">
        <v>45</v>
      </c>
      <c r="D1797" t="s">
        <v>16</v>
      </c>
      <c r="E1797" t="e">
        <f>VLOOKUP(Cpi_[[#This Row],[Attribute]],#REF!,2,FALSE)</f>
        <v>#REF!</v>
      </c>
      <c r="F1797">
        <v>120.8</v>
      </c>
      <c r="G1797">
        <f>(Cpi_[[#This Row],[Value]]-F1796)/F1796</f>
        <v>-3.282626100880711E-2</v>
      </c>
      <c r="H1797" t="e" cm="1" vm="1">
        <f t="array" aca="1" ref="H1797" ca="1">VLOOKUP(Cpi_[[#This Row],[Year]:[Month]],crudeoil[],3,FALSE)</f>
        <v>#VALUE!</v>
      </c>
    </row>
    <row r="1798" spans="1:8" hidden="1" x14ac:dyDescent="0.3">
      <c r="A1798" t="s">
        <v>30</v>
      </c>
      <c r="B1798">
        <v>2014</v>
      </c>
      <c r="C1798" t="s">
        <v>45</v>
      </c>
      <c r="D1798" t="s">
        <v>17</v>
      </c>
      <c r="E1798" t="e">
        <f>VLOOKUP(Cpi_[[#This Row],[Attribute]],#REF!,2,FALSE)</f>
        <v>#REF!</v>
      </c>
      <c r="F1798">
        <v>123.3</v>
      </c>
      <c r="G1798">
        <f>(Cpi_[[#This Row],[Value]]-F1797)/F1797</f>
        <v>2.0695364238410598E-2</v>
      </c>
      <c r="H1798" t="e" cm="1" vm="1">
        <f t="array" aca="1" ref="H1798" ca="1">VLOOKUP(Cpi_[[#This Row],[Year]:[Month]],crudeoil[],3,FALSE)</f>
        <v>#VALUE!</v>
      </c>
    </row>
    <row r="1799" spans="1:8" hidden="1" x14ac:dyDescent="0.3">
      <c r="A1799" t="s">
        <v>30</v>
      </c>
      <c r="B1799">
        <v>2014</v>
      </c>
      <c r="C1799" t="s">
        <v>45</v>
      </c>
      <c r="D1799" t="s">
        <v>18</v>
      </c>
      <c r="E1799" t="e">
        <f>VLOOKUP(Cpi_[[#This Row],[Attribute]],#REF!,2,FALSE)</f>
        <v>#REF!</v>
      </c>
      <c r="F1799">
        <v>120.5</v>
      </c>
      <c r="G1799">
        <f>(Cpi_[[#This Row],[Value]]-F1798)/F1798</f>
        <v>-2.270884022708838E-2</v>
      </c>
      <c r="H1799" t="e" cm="1" vm="1">
        <f t="array" aca="1" ref="H1799" ca="1">VLOOKUP(Cpi_[[#This Row],[Year]:[Month]],crudeoil[],3,FALSE)</f>
        <v>#VALUE!</v>
      </c>
    </row>
    <row r="1800" spans="1:8" hidden="1" x14ac:dyDescent="0.3">
      <c r="A1800" t="s">
        <v>30</v>
      </c>
      <c r="B1800">
        <v>2014</v>
      </c>
      <c r="C1800" t="s">
        <v>45</v>
      </c>
      <c r="D1800" t="s">
        <v>19</v>
      </c>
      <c r="E1800" t="e">
        <f>VLOOKUP(Cpi_[[#This Row],[Attribute]],#REF!,2,FALSE)</f>
        <v>#REF!</v>
      </c>
      <c r="F1800">
        <v>122.9</v>
      </c>
      <c r="G1800">
        <f>(Cpi_[[#This Row],[Value]]-F1799)/F1799</f>
        <v>1.9917012448132827E-2</v>
      </c>
      <c r="H1800" t="e" cm="1" vm="1">
        <f t="array" aca="1" ref="H1800" ca="1">VLOOKUP(Cpi_[[#This Row],[Year]:[Month]],crudeoil[],3,FALSE)</f>
        <v>#VALUE!</v>
      </c>
    </row>
    <row r="1801" spans="1:8" hidden="1" x14ac:dyDescent="0.3">
      <c r="A1801" t="s">
        <v>30</v>
      </c>
      <c r="B1801">
        <v>2014</v>
      </c>
      <c r="C1801" t="s">
        <v>45</v>
      </c>
      <c r="D1801" t="s">
        <v>20</v>
      </c>
      <c r="E1801" t="e">
        <f>VLOOKUP(Cpi_[[#This Row],[Attribute]],#REF!,2,FALSE)</f>
        <v>#REF!</v>
      </c>
      <c r="F1801" t="s">
        <v>32</v>
      </c>
      <c r="G1801" t="e">
        <f>(Cpi_[[#This Row],[Value]]-F1800)/F1800</f>
        <v>#VALUE!</v>
      </c>
      <c r="H1801" t="e" cm="1" vm="1">
        <f t="array" aca="1" ref="H1801" ca="1">VLOOKUP(Cpi_[[#This Row],[Year]:[Month]],crudeoil[],3,FALSE)</f>
        <v>#VALUE!</v>
      </c>
    </row>
    <row r="1802" spans="1:8" hidden="1" x14ac:dyDescent="0.3">
      <c r="A1802" t="s">
        <v>30</v>
      </c>
      <c r="B1802">
        <v>2014</v>
      </c>
      <c r="C1802" t="s">
        <v>45</v>
      </c>
      <c r="D1802" t="s">
        <v>21</v>
      </c>
      <c r="E1802" t="e">
        <f>VLOOKUP(Cpi_[[#This Row],[Attribute]],#REF!,2,FALSE)</f>
        <v>#REF!</v>
      </c>
      <c r="F1802">
        <v>117.3</v>
      </c>
      <c r="G1802" t="e">
        <f>(Cpi_[[#This Row],[Value]]-F1801)/F1801</f>
        <v>#VALUE!</v>
      </c>
      <c r="H1802" t="e" cm="1" vm="1">
        <f t="array" aca="1" ref="H1802" ca="1">VLOOKUP(Cpi_[[#This Row],[Year]:[Month]],crudeoil[],3,FALSE)</f>
        <v>#VALUE!</v>
      </c>
    </row>
    <row r="1803" spans="1:8" hidden="1" x14ac:dyDescent="0.3">
      <c r="A1803" t="s">
        <v>30</v>
      </c>
      <c r="B1803">
        <v>2014</v>
      </c>
      <c r="C1803" t="s">
        <v>45</v>
      </c>
      <c r="D1803" t="s">
        <v>22</v>
      </c>
      <c r="E1803" t="e">
        <f>VLOOKUP(Cpi_[[#This Row],[Attribute]],#REF!,2,FALSE)</f>
        <v>#REF!</v>
      </c>
      <c r="F1803">
        <v>118.1</v>
      </c>
      <c r="G1803">
        <f>(Cpi_[[#This Row],[Value]]-F1802)/F1802</f>
        <v>6.8201193520886372E-3</v>
      </c>
      <c r="H1803" t="e" cm="1" vm="1">
        <f t="array" aca="1" ref="H1803" ca="1">VLOOKUP(Cpi_[[#This Row],[Year]:[Month]],crudeoil[],3,FALSE)</f>
        <v>#VALUE!</v>
      </c>
    </row>
    <row r="1804" spans="1:8" hidden="1" x14ac:dyDescent="0.3">
      <c r="A1804" t="s">
        <v>30</v>
      </c>
      <c r="B1804">
        <v>2014</v>
      </c>
      <c r="C1804" t="s">
        <v>45</v>
      </c>
      <c r="D1804" t="s">
        <v>23</v>
      </c>
      <c r="E1804" t="e">
        <f>VLOOKUP(Cpi_[[#This Row],[Attribute]],#REF!,2,FALSE)</f>
        <v>#REF!</v>
      </c>
      <c r="F1804">
        <v>115.9</v>
      </c>
      <c r="G1804">
        <f>(Cpi_[[#This Row],[Value]]-F1803)/F1803</f>
        <v>-1.8628281117696772E-2</v>
      </c>
      <c r="H1804" t="e" cm="1" vm="1">
        <f t="array" aca="1" ref="H1804" ca="1">VLOOKUP(Cpi_[[#This Row],[Year]:[Month]],crudeoil[],3,FALSE)</f>
        <v>#VALUE!</v>
      </c>
    </row>
    <row r="1805" spans="1:8" hidden="1" x14ac:dyDescent="0.3">
      <c r="A1805" t="s">
        <v>30</v>
      </c>
      <c r="B1805">
        <v>2014</v>
      </c>
      <c r="C1805" t="s">
        <v>45</v>
      </c>
      <c r="D1805" t="s">
        <v>24</v>
      </c>
      <c r="E1805" t="e">
        <f>VLOOKUP(Cpi_[[#This Row],[Attribute]],#REF!,2,FALSE)</f>
        <v>#REF!</v>
      </c>
      <c r="F1805">
        <v>112</v>
      </c>
      <c r="G1805">
        <f>(Cpi_[[#This Row],[Value]]-F1804)/F1804</f>
        <v>-3.364969801553068E-2</v>
      </c>
      <c r="H1805" t="e" cm="1" vm="1">
        <f t="array" aca="1" ref="H1805" ca="1">VLOOKUP(Cpi_[[#This Row],[Year]:[Month]],crudeoil[],3,FALSE)</f>
        <v>#VALUE!</v>
      </c>
    </row>
    <row r="1806" spans="1:8" hidden="1" x14ac:dyDescent="0.3">
      <c r="A1806" t="s">
        <v>30</v>
      </c>
      <c r="B1806">
        <v>2014</v>
      </c>
      <c r="C1806" t="s">
        <v>45</v>
      </c>
      <c r="D1806" t="s">
        <v>25</v>
      </c>
      <c r="E1806" t="e">
        <f>VLOOKUP(Cpi_[[#This Row],[Attribute]],#REF!,2,FALSE)</f>
        <v>#REF!</v>
      </c>
      <c r="F1806">
        <v>113.3</v>
      </c>
      <c r="G1806">
        <f>(Cpi_[[#This Row],[Value]]-F1805)/F1805</f>
        <v>1.1607142857142832E-2</v>
      </c>
      <c r="H1806" t="e" cm="1" vm="1">
        <f t="array" aca="1" ref="H1806" ca="1">VLOOKUP(Cpi_[[#This Row],[Year]:[Month]],crudeoil[],3,FALSE)</f>
        <v>#VALUE!</v>
      </c>
    </row>
    <row r="1807" spans="1:8" hidden="1" x14ac:dyDescent="0.3">
      <c r="A1807" t="s">
        <v>30</v>
      </c>
      <c r="B1807">
        <v>2014</v>
      </c>
      <c r="C1807" t="s">
        <v>45</v>
      </c>
      <c r="D1807" t="s">
        <v>26</v>
      </c>
      <c r="E1807" t="e">
        <f>VLOOKUP(Cpi_[[#This Row],[Attribute]],#REF!,2,FALSE)</f>
        <v>#REF!</v>
      </c>
      <c r="F1807">
        <v>117.2</v>
      </c>
      <c r="G1807">
        <f>(Cpi_[[#This Row],[Value]]-F1806)/F1806</f>
        <v>3.4421888790820879E-2</v>
      </c>
      <c r="H1807" t="e" cm="1" vm="1">
        <f t="array" aca="1" ref="H1807" ca="1">VLOOKUP(Cpi_[[#This Row],[Year]:[Month]],crudeoil[],3,FALSE)</f>
        <v>#VALUE!</v>
      </c>
    </row>
    <row r="1808" spans="1:8" hidden="1" x14ac:dyDescent="0.3">
      <c r="A1808" t="s">
        <v>30</v>
      </c>
      <c r="B1808">
        <v>2014</v>
      </c>
      <c r="C1808" t="s">
        <v>45</v>
      </c>
      <c r="D1808" t="s">
        <v>27</v>
      </c>
      <c r="E1808" t="e">
        <f>VLOOKUP(Cpi_[[#This Row],[Attribute]],#REF!,2,FALSE)</f>
        <v>#REF!</v>
      </c>
      <c r="F1808">
        <v>108.8</v>
      </c>
      <c r="G1808">
        <f>(Cpi_[[#This Row],[Value]]-F1807)/F1807</f>
        <v>-7.1672354948805514E-2</v>
      </c>
      <c r="H1808" t="e" cm="1" vm="1">
        <f t="array" aca="1" ref="H1808" ca="1">VLOOKUP(Cpi_[[#This Row],[Year]:[Month]],crudeoil[],3,FALSE)</f>
        <v>#VALUE!</v>
      </c>
    </row>
    <row r="1809" spans="1:8" hidden="1" x14ac:dyDescent="0.3">
      <c r="A1809" t="s">
        <v>30</v>
      </c>
      <c r="B1809">
        <v>2014</v>
      </c>
      <c r="C1809" t="s">
        <v>45</v>
      </c>
      <c r="D1809" t="s">
        <v>28</v>
      </c>
      <c r="E1809" t="e">
        <f>VLOOKUP(Cpi_[[#This Row],[Attribute]],#REF!,2,FALSE)</f>
        <v>#REF!</v>
      </c>
      <c r="F1809">
        <v>114.1</v>
      </c>
      <c r="G1809">
        <f>(Cpi_[[#This Row],[Value]]-F1808)/F1808</f>
        <v>4.871323529411762E-2</v>
      </c>
      <c r="H1809" t="e" cm="1" vm="1">
        <f t="array" aca="1" ref="H1809" ca="1">VLOOKUP(Cpi_[[#This Row],[Year]:[Month]],crudeoil[],3,FALSE)</f>
        <v>#VALUE!</v>
      </c>
    </row>
    <row r="1810" spans="1:8" hidden="1" x14ac:dyDescent="0.3">
      <c r="A1810" t="s">
        <v>30</v>
      </c>
      <c r="B1810">
        <v>2014</v>
      </c>
      <c r="C1810" t="s">
        <v>45</v>
      </c>
      <c r="D1810" t="s">
        <v>29</v>
      </c>
      <c r="E1810" t="e" cm="1">
        <f t="array" aca="1" ref="E1810" ca="1">VLGeneral indexGeneral indexKUP(Cpi_[[#This Row],[Attribute]],#REF!,2,FALSE)</f>
        <v>#NAME?</v>
      </c>
      <c r="F1810">
        <v>121.1</v>
      </c>
      <c r="G1810">
        <f>(Cpi_[[#This Row],[Value]]-F1809)/F1809</f>
        <v>6.1349693251533742E-2</v>
      </c>
      <c r="H1810" t="e" cm="1" vm="1">
        <f t="array" aca="1" ref="H1810" ca="1">VLOOKUP(Cpi_[[#This Row],[Year]:[Month]],crudeoil[],3,FALSE)</f>
        <v>#VALUE!</v>
      </c>
    </row>
    <row r="1811" spans="1:8" hidden="1" x14ac:dyDescent="0.3">
      <c r="A1811" t="s">
        <v>33</v>
      </c>
      <c r="B1811">
        <v>2014</v>
      </c>
      <c r="C1811" t="s">
        <v>45</v>
      </c>
      <c r="D1811" t="s">
        <v>3</v>
      </c>
      <c r="E1811" t="e">
        <f>VLOOKUP(Cpi_[[#This Row],[Attribute]],#REF!,2,FALSE)</f>
        <v>#REF!</v>
      </c>
      <c r="F1811">
        <v>124.5</v>
      </c>
      <c r="G1811">
        <f>(Cpi_[[#This Row],[Value]]-F1810)/F1810</f>
        <v>2.8075970272502113E-2</v>
      </c>
      <c r="H1811" t="e" cm="1" vm="1">
        <f t="array" aca="1" ref="H1811" ca="1">VLOOKUP(Cpi_[[#This Row],[Year]:[Month]],crudeoil[],3,FALSE)</f>
        <v>#VALUE!</v>
      </c>
    </row>
    <row r="1812" spans="1:8" hidden="1" x14ac:dyDescent="0.3">
      <c r="A1812" t="s">
        <v>33</v>
      </c>
      <c r="B1812">
        <v>2014</v>
      </c>
      <c r="C1812" t="s">
        <v>45</v>
      </c>
      <c r="D1812" t="s">
        <v>4</v>
      </c>
      <c r="E1812" t="e">
        <f>VLOOKUP(Cpi_[[#This Row],[Attribute]],#REF!,2,FALSE)</f>
        <v>#REF!</v>
      </c>
      <c r="F1812">
        <v>125.6</v>
      </c>
      <c r="G1812">
        <f>(Cpi_[[#This Row],[Value]]-F1811)/F1811</f>
        <v>8.8353413654618015E-3</v>
      </c>
      <c r="H1812" t="e" cm="1" vm="1">
        <f t="array" aca="1" ref="H1812" ca="1">VLOOKUP(Cpi_[[#This Row],[Year]:[Month]],crudeoil[],3,FALSE)</f>
        <v>#VALUE!</v>
      </c>
    </row>
    <row r="1813" spans="1:8" hidden="1" x14ac:dyDescent="0.3">
      <c r="A1813" t="s">
        <v>33</v>
      </c>
      <c r="B1813">
        <v>2014</v>
      </c>
      <c r="C1813" t="s">
        <v>45</v>
      </c>
      <c r="D1813" t="s">
        <v>5</v>
      </c>
      <c r="E1813" t="e">
        <f>VLOOKUP(Cpi_[[#This Row],[Attribute]],#REF!,2,FALSE)</f>
        <v>#REF!</v>
      </c>
      <c r="F1813">
        <v>122.7</v>
      </c>
      <c r="G1813">
        <f>(Cpi_[[#This Row],[Value]]-F1812)/F1812</f>
        <v>-2.3089171974522225E-2</v>
      </c>
      <c r="H1813" t="e" cm="1" vm="1">
        <f t="array" aca="1" ref="H1813" ca="1">VLOOKUP(Cpi_[[#This Row],[Year]:[Month]],crudeoil[],3,FALSE)</f>
        <v>#VALUE!</v>
      </c>
    </row>
    <row r="1814" spans="1:8" hidden="1" x14ac:dyDescent="0.3">
      <c r="A1814" t="s">
        <v>33</v>
      </c>
      <c r="B1814">
        <v>2014</v>
      </c>
      <c r="C1814" t="s">
        <v>45</v>
      </c>
      <c r="D1814" t="s">
        <v>6</v>
      </c>
      <c r="E1814" t="e">
        <f>VLOOKUP(Cpi_[[#This Row],[Attribute]],#REF!,2,FALSE)</f>
        <v>#REF!</v>
      </c>
      <c r="F1814">
        <v>124.6</v>
      </c>
      <c r="G1814">
        <f>(Cpi_[[#This Row],[Value]]-F1813)/F1813</f>
        <v>1.5484922575387054E-2</v>
      </c>
      <c r="H1814" t="e" cm="1" vm="1">
        <f t="array" aca="1" ref="H1814" ca="1">VLOOKUP(Cpi_[[#This Row],[Year]:[Month]],crudeoil[],3,FALSE)</f>
        <v>#VALUE!</v>
      </c>
    </row>
    <row r="1815" spans="1:8" hidden="1" x14ac:dyDescent="0.3">
      <c r="A1815" t="s">
        <v>33</v>
      </c>
      <c r="B1815">
        <v>2014</v>
      </c>
      <c r="C1815" t="s">
        <v>45</v>
      </c>
      <c r="D1815" t="s">
        <v>7</v>
      </c>
      <c r="E1815" t="e">
        <f>VLOOKUP(Cpi_[[#This Row],[Attribute]],#REF!,2,FALSE)</f>
        <v>#REF!</v>
      </c>
      <c r="F1815">
        <v>103.2</v>
      </c>
      <c r="G1815">
        <f>(Cpi_[[#This Row],[Value]]-F1814)/F1814</f>
        <v>-0.17174959871589079</v>
      </c>
      <c r="H1815" t="e" cm="1" vm="1">
        <f t="array" aca="1" ref="H1815" ca="1">VLOOKUP(Cpi_[[#This Row],[Year]:[Month]],crudeoil[],3,FALSE)</f>
        <v>#VALUE!</v>
      </c>
    </row>
    <row r="1816" spans="1:8" hidden="1" x14ac:dyDescent="0.3">
      <c r="A1816" t="s">
        <v>33</v>
      </c>
      <c r="B1816">
        <v>2014</v>
      </c>
      <c r="C1816" t="s">
        <v>45</v>
      </c>
      <c r="D1816" t="s">
        <v>8</v>
      </c>
      <c r="E1816" t="e">
        <f>VLOOKUP(Cpi_[[#This Row],[Attribute]],#REF!,2,FALSE)</f>
        <v>#REF!</v>
      </c>
      <c r="F1816">
        <v>122.2</v>
      </c>
      <c r="G1816">
        <f>(Cpi_[[#This Row],[Value]]-F1815)/F1815</f>
        <v>0.18410852713178294</v>
      </c>
      <c r="H1816" t="e" cm="1" vm="1">
        <f t="array" aca="1" ref="H1816" ca="1">VLOOKUP(Cpi_[[#This Row],[Year]:[Month]],crudeoil[],3,FALSE)</f>
        <v>#VALUE!</v>
      </c>
    </row>
    <row r="1817" spans="1:8" hidden="1" x14ac:dyDescent="0.3">
      <c r="A1817" t="s">
        <v>33</v>
      </c>
      <c r="B1817">
        <v>2014</v>
      </c>
      <c r="C1817" t="s">
        <v>45</v>
      </c>
      <c r="D1817" t="s">
        <v>9</v>
      </c>
      <c r="E1817" t="e">
        <f>VLOOKUP(Cpi_[[#This Row],[Attribute]],#REF!,2,FALSE)</f>
        <v>#REF!</v>
      </c>
      <c r="F1817">
        <v>153.19999999999999</v>
      </c>
      <c r="G1817">
        <f>(Cpi_[[#This Row],[Value]]-F1816)/F1816</f>
        <v>0.25368248772504082</v>
      </c>
      <c r="H1817" t="e" cm="1" vm="1">
        <f t="array" aca="1" ref="H1817" ca="1">VLOOKUP(Cpi_[[#This Row],[Year]:[Month]],crudeoil[],3,FALSE)</f>
        <v>#VALUE!</v>
      </c>
    </row>
    <row r="1818" spans="1:8" hidden="1" x14ac:dyDescent="0.3">
      <c r="A1818" t="s">
        <v>33</v>
      </c>
      <c r="B1818">
        <v>2014</v>
      </c>
      <c r="C1818" t="s">
        <v>45</v>
      </c>
      <c r="D1818" t="s">
        <v>10</v>
      </c>
      <c r="E1818" t="e">
        <f>VLOOKUP(Cpi_[[#This Row],[Attribute]],#REF!,2,FALSE)</f>
        <v>#REF!</v>
      </c>
      <c r="F1818">
        <v>119.3</v>
      </c>
      <c r="G1818">
        <f>(Cpi_[[#This Row],[Value]]-F1817)/F1817</f>
        <v>-0.22127937336814618</v>
      </c>
      <c r="H1818" t="e" cm="1" vm="1">
        <f t="array" aca="1" ref="H1818" ca="1">VLOOKUP(Cpi_[[#This Row],[Year]:[Month]],crudeoil[],3,FALSE)</f>
        <v>#VALUE!</v>
      </c>
    </row>
    <row r="1819" spans="1:8" hidden="1" x14ac:dyDescent="0.3">
      <c r="A1819" t="s">
        <v>33</v>
      </c>
      <c r="B1819">
        <v>2014</v>
      </c>
      <c r="C1819" t="s">
        <v>45</v>
      </c>
      <c r="D1819" t="s">
        <v>11</v>
      </c>
      <c r="E1819" t="e">
        <f>VLOOKUP(Cpi_[[#This Row],[Attribute]],#REF!,2,FALSE)</f>
        <v>#REF!</v>
      </c>
      <c r="F1819">
        <v>99.8</v>
      </c>
      <c r="G1819">
        <f>(Cpi_[[#This Row],[Value]]-F1818)/F1818</f>
        <v>-0.16345347862531434</v>
      </c>
      <c r="H1819" t="e" cm="1" vm="1">
        <f t="array" aca="1" ref="H1819" ca="1">VLOOKUP(Cpi_[[#This Row],[Year]:[Month]],crudeoil[],3,FALSE)</f>
        <v>#VALUE!</v>
      </c>
    </row>
    <row r="1820" spans="1:8" hidden="1" x14ac:dyDescent="0.3">
      <c r="A1820" t="s">
        <v>33</v>
      </c>
      <c r="B1820">
        <v>2014</v>
      </c>
      <c r="C1820" t="s">
        <v>45</v>
      </c>
      <c r="D1820" t="s">
        <v>12</v>
      </c>
      <c r="E1820" t="e">
        <f>VLOOKUP(Cpi_[[#This Row],[Attribute]],#REF!,2,FALSE)</f>
        <v>#REF!</v>
      </c>
      <c r="F1820">
        <v>124.6</v>
      </c>
      <c r="G1820">
        <f>(Cpi_[[#This Row],[Value]]-F1819)/F1819</f>
        <v>0.24849699398797592</v>
      </c>
      <c r="H1820" t="e" cm="1" vm="1">
        <f t="array" aca="1" ref="H1820" ca="1">VLOOKUP(Cpi_[[#This Row],[Year]:[Month]],crudeoil[],3,FALSE)</f>
        <v>#VALUE!</v>
      </c>
    </row>
    <row r="1821" spans="1:8" hidden="1" x14ac:dyDescent="0.3">
      <c r="A1821" t="s">
        <v>33</v>
      </c>
      <c r="B1821">
        <v>2014</v>
      </c>
      <c r="C1821" t="s">
        <v>45</v>
      </c>
      <c r="D1821" t="s">
        <v>13</v>
      </c>
      <c r="E1821" t="e">
        <f>VLOOKUP(Cpi_[[#This Row],[Attribute]],#REF!,2,FALSE)</f>
        <v>#REF!</v>
      </c>
      <c r="F1821">
        <v>115.8</v>
      </c>
      <c r="G1821">
        <f>(Cpi_[[#This Row],[Value]]-F1820)/F1820</f>
        <v>-7.0626003210272847E-2</v>
      </c>
      <c r="H1821" t="e" cm="1" vm="1">
        <f t="array" aca="1" ref="H1821" ca="1">VLOOKUP(Cpi_[[#This Row],[Year]:[Month]],crudeoil[],3,FALSE)</f>
        <v>#VALUE!</v>
      </c>
    </row>
    <row r="1822" spans="1:8" hidden="1" x14ac:dyDescent="0.3">
      <c r="A1822" t="s">
        <v>33</v>
      </c>
      <c r="B1822">
        <v>2014</v>
      </c>
      <c r="C1822" t="s">
        <v>45</v>
      </c>
      <c r="D1822" t="s">
        <v>14</v>
      </c>
      <c r="E1822" t="e">
        <f>VLOOKUP(Cpi_[[#This Row],[Attribute]],#REF!,2,FALSE)</f>
        <v>#REF!</v>
      </c>
      <c r="F1822">
        <v>126.9</v>
      </c>
      <c r="G1822">
        <f>(Cpi_[[#This Row],[Value]]-F1821)/F1821</f>
        <v>9.5854922279792823E-2</v>
      </c>
      <c r="H1822" t="e" cm="1" vm="1">
        <f t="array" aca="1" ref="H1822" ca="1">VLOOKUP(Cpi_[[#This Row],[Year]:[Month]],crudeoil[],3,FALSE)</f>
        <v>#VALUE!</v>
      </c>
    </row>
    <row r="1823" spans="1:8" hidden="1" x14ac:dyDescent="0.3">
      <c r="A1823" t="s">
        <v>33</v>
      </c>
      <c r="B1823">
        <v>2014</v>
      </c>
      <c r="C1823" t="s">
        <v>45</v>
      </c>
      <c r="D1823" t="s">
        <v>15</v>
      </c>
      <c r="E1823" t="e">
        <f>VLOOKUP(Cpi_[[#This Row],[Attribute]],#REF!,2,FALSE)</f>
        <v>#REF!</v>
      </c>
      <c r="F1823">
        <v>125.4</v>
      </c>
      <c r="G1823">
        <f>(Cpi_[[#This Row],[Value]]-F1822)/F1822</f>
        <v>-1.1820330969267139E-2</v>
      </c>
      <c r="H1823" t="e" cm="1" vm="1">
        <f t="array" aca="1" ref="H1823" ca="1">VLOOKUP(Cpi_[[#This Row],[Year]:[Month]],crudeoil[],3,FALSE)</f>
        <v>#VALUE!</v>
      </c>
    </row>
    <row r="1824" spans="1:8" hidden="1" x14ac:dyDescent="0.3">
      <c r="A1824" t="s">
        <v>33</v>
      </c>
      <c r="B1824">
        <v>2014</v>
      </c>
      <c r="C1824" t="s">
        <v>45</v>
      </c>
      <c r="D1824" t="s">
        <v>16</v>
      </c>
      <c r="E1824" t="e">
        <f>VLOOKUP(Cpi_[[#This Row],[Attribute]],#REF!,2,FALSE)</f>
        <v>#REF!</v>
      </c>
      <c r="F1824">
        <v>125.8</v>
      </c>
      <c r="G1824">
        <f>(Cpi_[[#This Row],[Value]]-F1823)/F1823</f>
        <v>3.1897926634768059E-3</v>
      </c>
      <c r="H1824" t="e" cm="1" vm="1">
        <f t="array" aca="1" ref="H1824" ca="1">VLOOKUP(Cpi_[[#This Row],[Year]:[Month]],crudeoil[],3,FALSE)</f>
        <v>#VALUE!</v>
      </c>
    </row>
    <row r="1825" spans="1:8" hidden="1" x14ac:dyDescent="0.3">
      <c r="A1825" t="s">
        <v>33</v>
      </c>
      <c r="B1825">
        <v>2014</v>
      </c>
      <c r="C1825" t="s">
        <v>45</v>
      </c>
      <c r="D1825" t="s">
        <v>17</v>
      </c>
      <c r="E1825" t="e">
        <f>VLOOKUP(Cpi_[[#This Row],[Attribute]],#REF!,2,FALSE)</f>
        <v>#REF!</v>
      </c>
      <c r="F1825">
        <v>120.3</v>
      </c>
      <c r="G1825">
        <f>(Cpi_[[#This Row],[Value]]-F1824)/F1824</f>
        <v>-4.372019077901431E-2</v>
      </c>
      <c r="H1825" t="e" cm="1" vm="1">
        <f t="array" aca="1" ref="H1825" ca="1">VLOOKUP(Cpi_[[#This Row],[Year]:[Month]],crudeoil[],3,FALSE)</f>
        <v>#VALUE!</v>
      </c>
    </row>
    <row r="1826" spans="1:8" hidden="1" x14ac:dyDescent="0.3">
      <c r="A1826" t="s">
        <v>33</v>
      </c>
      <c r="B1826">
        <v>2014</v>
      </c>
      <c r="C1826" t="s">
        <v>45</v>
      </c>
      <c r="D1826" t="s">
        <v>18</v>
      </c>
      <c r="E1826" t="e">
        <f>VLOOKUP(Cpi_[[#This Row],[Attribute]],#REF!,2,FALSE)</f>
        <v>#REF!</v>
      </c>
      <c r="F1826">
        <v>115.4</v>
      </c>
      <c r="G1826">
        <f>(Cpi_[[#This Row],[Value]]-F1825)/F1825</f>
        <v>-4.0731504571903505E-2</v>
      </c>
      <c r="H1826" t="e" cm="1" vm="1">
        <f t="array" aca="1" ref="H1826" ca="1">VLOOKUP(Cpi_[[#This Row],[Year]:[Month]],crudeoil[],3,FALSE)</f>
        <v>#VALUE!</v>
      </c>
    </row>
    <row r="1827" spans="1:8" hidden="1" x14ac:dyDescent="0.3">
      <c r="A1827" t="s">
        <v>33</v>
      </c>
      <c r="B1827">
        <v>2014</v>
      </c>
      <c r="C1827" t="s">
        <v>45</v>
      </c>
      <c r="D1827" t="s">
        <v>19</v>
      </c>
      <c r="E1827" t="e">
        <f>VLOOKUP(Cpi_[[#This Row],[Attribute]],#REF!,2,FALSE)</f>
        <v>#REF!</v>
      </c>
      <c r="F1827">
        <v>119.5</v>
      </c>
      <c r="G1827">
        <f>(Cpi_[[#This Row],[Value]]-F1826)/F1826</f>
        <v>3.5528596187174993E-2</v>
      </c>
      <c r="H1827" t="e" cm="1" vm="1">
        <f t="array" aca="1" ref="H1827" ca="1">VLOOKUP(Cpi_[[#This Row],[Year]:[Month]],crudeoil[],3,FALSE)</f>
        <v>#VALUE!</v>
      </c>
    </row>
    <row r="1828" spans="1:8" hidden="1" x14ac:dyDescent="0.3">
      <c r="A1828" t="s">
        <v>33</v>
      </c>
      <c r="B1828">
        <v>2014</v>
      </c>
      <c r="C1828" t="s">
        <v>45</v>
      </c>
      <c r="D1828" t="s">
        <v>20</v>
      </c>
      <c r="E1828" t="e">
        <f>VLOOKUP(Cpi_[[#This Row],[Attribute]],#REF!,2,FALSE)</f>
        <v>#REF!</v>
      </c>
      <c r="F1828">
        <v>117.1</v>
      </c>
      <c r="G1828">
        <f>(Cpi_[[#This Row],[Value]]-F1827)/F1827</f>
        <v>-2.0083682008368249E-2</v>
      </c>
      <c r="H1828" t="e" cm="1" vm="1">
        <f t="array" aca="1" ref="H1828" ca="1">VLOOKUP(Cpi_[[#This Row],[Year]:[Month]],crudeoil[],3,FALSE)</f>
        <v>#VALUE!</v>
      </c>
    </row>
    <row r="1829" spans="1:8" hidden="1" x14ac:dyDescent="0.3">
      <c r="A1829" t="s">
        <v>33</v>
      </c>
      <c r="B1829">
        <v>2014</v>
      </c>
      <c r="C1829" t="s">
        <v>45</v>
      </c>
      <c r="D1829" t="s">
        <v>21</v>
      </c>
      <c r="E1829" t="e">
        <f>VLOOKUP(Cpi_[[#This Row],[Attribute]],#REF!,2,FALSE)</f>
        <v>#REF!</v>
      </c>
      <c r="F1829">
        <v>112.6</v>
      </c>
      <c r="G1829">
        <f>(Cpi_[[#This Row],[Value]]-F1828)/F1828</f>
        <v>-3.8428693424423573E-2</v>
      </c>
      <c r="H1829" t="e" cm="1" vm="1">
        <f t="array" aca="1" ref="H1829" ca="1">VLOOKUP(Cpi_[[#This Row],[Year]:[Month]],crudeoil[],3,FALSE)</f>
        <v>#VALUE!</v>
      </c>
    </row>
    <row r="1830" spans="1:8" hidden="1" x14ac:dyDescent="0.3">
      <c r="A1830" t="s">
        <v>33</v>
      </c>
      <c r="B1830">
        <v>2014</v>
      </c>
      <c r="C1830" t="s">
        <v>45</v>
      </c>
      <c r="D1830" t="s">
        <v>22</v>
      </c>
      <c r="E1830" t="e">
        <f>VLOOKUP(Cpi_[[#This Row],[Attribute]],#REF!,2,FALSE)</f>
        <v>#REF!</v>
      </c>
      <c r="F1830">
        <v>116.4</v>
      </c>
      <c r="G1830">
        <f>(Cpi_[[#This Row],[Value]]-F1829)/F1829</f>
        <v>3.3747779751332252E-2</v>
      </c>
      <c r="H1830" t="e" cm="1" vm="1">
        <f t="array" aca="1" ref="H1830" ca="1">VLOOKUP(Cpi_[[#This Row],[Year]:[Month]],crudeoil[],3,FALSE)</f>
        <v>#VALUE!</v>
      </c>
    </row>
    <row r="1831" spans="1:8" hidden="1" x14ac:dyDescent="0.3">
      <c r="A1831" t="s">
        <v>33</v>
      </c>
      <c r="B1831">
        <v>2014</v>
      </c>
      <c r="C1831" t="s">
        <v>45</v>
      </c>
      <c r="D1831" t="s">
        <v>23</v>
      </c>
      <c r="E1831" t="e">
        <f>VLOOKUP(Cpi_[[#This Row],[Attribute]],#REF!,2,FALSE)</f>
        <v>#REF!</v>
      </c>
      <c r="F1831">
        <v>113</v>
      </c>
      <c r="G1831">
        <f>(Cpi_[[#This Row],[Value]]-F1830)/F1830</f>
        <v>-2.9209621993127197E-2</v>
      </c>
      <c r="H1831" t="e" cm="1" vm="1">
        <f t="array" aca="1" ref="H1831" ca="1">VLOOKUP(Cpi_[[#This Row],[Year]:[Month]],crudeoil[],3,FALSE)</f>
        <v>#VALUE!</v>
      </c>
    </row>
    <row r="1832" spans="1:8" hidden="1" x14ac:dyDescent="0.3">
      <c r="A1832" t="s">
        <v>33</v>
      </c>
      <c r="B1832">
        <v>2014</v>
      </c>
      <c r="C1832" t="s">
        <v>45</v>
      </c>
      <c r="D1832" t="s">
        <v>24</v>
      </c>
      <c r="E1832" t="e">
        <f>VLOOKUP(Cpi_[[#This Row],[Attribute]],#REF!,2,FALSE)</f>
        <v>#REF!</v>
      </c>
      <c r="F1832">
        <v>109.7</v>
      </c>
      <c r="G1832">
        <f>(Cpi_[[#This Row],[Value]]-F1831)/F1831</f>
        <v>-2.9203539823008825E-2</v>
      </c>
      <c r="H1832" t="e" cm="1" vm="1">
        <f t="array" aca="1" ref="H1832" ca="1">VLOOKUP(Cpi_[[#This Row],[Year]:[Month]],crudeoil[],3,FALSE)</f>
        <v>#VALUE!</v>
      </c>
    </row>
    <row r="1833" spans="1:8" hidden="1" x14ac:dyDescent="0.3">
      <c r="A1833" t="s">
        <v>33</v>
      </c>
      <c r="B1833">
        <v>2014</v>
      </c>
      <c r="C1833" t="s">
        <v>45</v>
      </c>
      <c r="D1833" t="s">
        <v>25</v>
      </c>
      <c r="E1833" t="e">
        <f>VLOOKUP(Cpi_[[#This Row],[Attribute]],#REF!,2,FALSE)</f>
        <v>#REF!</v>
      </c>
      <c r="F1833">
        <v>114</v>
      </c>
      <c r="G1833">
        <f>(Cpi_[[#This Row],[Value]]-F1832)/F1832</f>
        <v>3.9197812215132154E-2</v>
      </c>
      <c r="H1833" t="e" cm="1" vm="1">
        <f t="array" aca="1" ref="H1833" ca="1">VLOOKUP(Cpi_[[#This Row],[Year]:[Month]],crudeoil[],3,FALSE)</f>
        <v>#VALUE!</v>
      </c>
    </row>
    <row r="1834" spans="1:8" hidden="1" x14ac:dyDescent="0.3">
      <c r="A1834" t="s">
        <v>33</v>
      </c>
      <c r="B1834">
        <v>2014</v>
      </c>
      <c r="C1834" t="s">
        <v>45</v>
      </c>
      <c r="D1834" t="s">
        <v>26</v>
      </c>
      <c r="E1834" t="e">
        <f>VLOOKUP(Cpi_[[#This Row],[Attribute]],#REF!,2,FALSE)</f>
        <v>#REF!</v>
      </c>
      <c r="F1834">
        <v>120.3</v>
      </c>
      <c r="G1834">
        <f>(Cpi_[[#This Row],[Value]]-F1833)/F1833</f>
        <v>5.526315789473682E-2</v>
      </c>
      <c r="H1834" t="e" cm="1" vm="1">
        <f t="array" aca="1" ref="H1834" ca="1">VLOOKUP(Cpi_[[#This Row],[Year]:[Month]],crudeoil[],3,FALSE)</f>
        <v>#VALUE!</v>
      </c>
    </row>
    <row r="1835" spans="1:8" hidden="1" x14ac:dyDescent="0.3">
      <c r="A1835" t="s">
        <v>33</v>
      </c>
      <c r="B1835">
        <v>2014</v>
      </c>
      <c r="C1835" t="s">
        <v>45</v>
      </c>
      <c r="D1835" t="s">
        <v>27</v>
      </c>
      <c r="E1835" t="e">
        <f>VLOOKUP(Cpi_[[#This Row],[Attribute]],#REF!,2,FALSE)</f>
        <v>#REF!</v>
      </c>
      <c r="F1835">
        <v>109.6</v>
      </c>
      <c r="G1835">
        <f>(Cpi_[[#This Row],[Value]]-F1834)/F1834</f>
        <v>-8.8944305901911908E-2</v>
      </c>
      <c r="H1835" t="e" cm="1" vm="1">
        <f t="array" aca="1" ref="H1835" ca="1">VLOOKUP(Cpi_[[#This Row],[Year]:[Month]],crudeoil[],3,FALSE)</f>
        <v>#VALUE!</v>
      </c>
    </row>
    <row r="1836" spans="1:8" hidden="1" x14ac:dyDescent="0.3">
      <c r="A1836" t="s">
        <v>33</v>
      </c>
      <c r="B1836">
        <v>2014</v>
      </c>
      <c r="C1836" t="s">
        <v>45</v>
      </c>
      <c r="D1836" t="s">
        <v>28</v>
      </c>
      <c r="E1836" t="e">
        <f>VLOOKUP(Cpi_[[#This Row],[Attribute]],#REF!,2,FALSE)</f>
        <v>#REF!</v>
      </c>
      <c r="F1836">
        <v>113.4</v>
      </c>
      <c r="G1836">
        <f>(Cpi_[[#This Row],[Value]]-F1835)/F1835</f>
        <v>3.4671532846715432E-2</v>
      </c>
      <c r="H1836" t="e" cm="1" vm="1">
        <f t="array" aca="1" ref="H1836" ca="1">VLOOKUP(Cpi_[[#This Row],[Year]:[Month]],crudeoil[],3,FALSE)</f>
        <v>#VALUE!</v>
      </c>
    </row>
    <row r="1837" spans="1:8" hidden="1" x14ac:dyDescent="0.3">
      <c r="A1837" t="s">
        <v>33</v>
      </c>
      <c r="B1837">
        <v>2014</v>
      </c>
      <c r="C1837" t="s">
        <v>45</v>
      </c>
      <c r="D1837" t="s">
        <v>29</v>
      </c>
      <c r="E1837" t="e" cm="1">
        <f t="array" aca="1" ref="E1837" ca="1">VLGeneral indexGeneral indexKUP(Cpi_[[#This Row],[Attribute]],#REF!,2,FALSE)</f>
        <v>#NAME?</v>
      </c>
      <c r="F1837">
        <v>119</v>
      </c>
      <c r="G1837">
        <f>(Cpi_[[#This Row],[Value]]-F1836)/F1836</f>
        <v>4.9382716049382665E-2</v>
      </c>
      <c r="H1837" t="e" cm="1" vm="1">
        <f t="array" aca="1" ref="H1837" ca="1">VLOOKUP(Cpi_[[#This Row],[Year]:[Month]],crudeoil[],3,FALSE)</f>
        <v>#VALUE!</v>
      </c>
    </row>
    <row r="1838" spans="1:8" hidden="1" x14ac:dyDescent="0.3">
      <c r="A1838" t="s">
        <v>34</v>
      </c>
      <c r="B1838">
        <v>2014</v>
      </c>
      <c r="C1838" t="s">
        <v>45</v>
      </c>
      <c r="D1838" t="s">
        <v>3</v>
      </c>
      <c r="E1838" t="e">
        <f>VLOOKUP(Cpi_[[#This Row],[Attribute]],#REF!,2,FALSE)</f>
        <v>#REF!</v>
      </c>
      <c r="F1838">
        <v>123.3</v>
      </c>
      <c r="G1838">
        <f>(Cpi_[[#This Row],[Value]]-F1837)/F1837</f>
        <v>3.6134453781512581E-2</v>
      </c>
      <c r="H1838" t="e" cm="1" vm="1">
        <f t="array" aca="1" ref="H1838" ca="1">VLOOKUP(Cpi_[[#This Row],[Year]:[Month]],crudeoil[],3,FALSE)</f>
        <v>#VALUE!</v>
      </c>
    </row>
    <row r="1839" spans="1:8" hidden="1" x14ac:dyDescent="0.3">
      <c r="A1839" t="s">
        <v>34</v>
      </c>
      <c r="B1839">
        <v>2014</v>
      </c>
      <c r="C1839" t="s">
        <v>45</v>
      </c>
      <c r="D1839" t="s">
        <v>4</v>
      </c>
      <c r="E1839" t="e">
        <f>VLOOKUP(Cpi_[[#This Row],[Attribute]],#REF!,2,FALSE)</f>
        <v>#REF!</v>
      </c>
      <c r="F1839">
        <v>123.7</v>
      </c>
      <c r="G1839">
        <f>(Cpi_[[#This Row],[Value]]-F1838)/F1838</f>
        <v>3.2441200324412464E-3</v>
      </c>
      <c r="H1839" t="e" cm="1" vm="1">
        <f t="array" aca="1" ref="H1839" ca="1">VLOOKUP(Cpi_[[#This Row],[Year]:[Month]],crudeoil[],3,FALSE)</f>
        <v>#VALUE!</v>
      </c>
    </row>
    <row r="1840" spans="1:8" hidden="1" x14ac:dyDescent="0.3">
      <c r="A1840" t="s">
        <v>34</v>
      </c>
      <c r="B1840">
        <v>2014</v>
      </c>
      <c r="C1840" t="s">
        <v>45</v>
      </c>
      <c r="D1840" t="s">
        <v>5</v>
      </c>
      <c r="E1840" t="e">
        <f>VLOOKUP(Cpi_[[#This Row],[Attribute]],#REF!,2,FALSE)</f>
        <v>#REF!</v>
      </c>
      <c r="F1840">
        <v>121</v>
      </c>
      <c r="G1840">
        <f>(Cpi_[[#This Row],[Value]]-F1839)/F1839</f>
        <v>-2.1827000808407458E-2</v>
      </c>
      <c r="H1840" t="e" cm="1" vm="1">
        <f t="array" aca="1" ref="H1840" ca="1">VLOOKUP(Cpi_[[#This Row],[Year]:[Month]],crudeoil[],3,FALSE)</f>
        <v>#VALUE!</v>
      </c>
    </row>
    <row r="1841" spans="1:8" hidden="1" x14ac:dyDescent="0.3">
      <c r="A1841" t="s">
        <v>34</v>
      </c>
      <c r="B1841">
        <v>2014</v>
      </c>
      <c r="C1841" t="s">
        <v>45</v>
      </c>
      <c r="D1841" t="s">
        <v>6</v>
      </c>
      <c r="E1841" t="e">
        <f>VLOOKUP(Cpi_[[#This Row],[Attribute]],#REF!,2,FALSE)</f>
        <v>#REF!</v>
      </c>
      <c r="F1841">
        <v>124.2</v>
      </c>
      <c r="G1841">
        <f>(Cpi_[[#This Row],[Value]]-F1840)/F1840</f>
        <v>2.6446280991735561E-2</v>
      </c>
      <c r="H1841" t="e" cm="1" vm="1">
        <f t="array" aca="1" ref="H1841" ca="1">VLOOKUP(Cpi_[[#This Row],[Year]:[Month]],crudeoil[],3,FALSE)</f>
        <v>#VALUE!</v>
      </c>
    </row>
    <row r="1842" spans="1:8" hidden="1" x14ac:dyDescent="0.3">
      <c r="A1842" t="s">
        <v>34</v>
      </c>
      <c r="B1842">
        <v>2014</v>
      </c>
      <c r="C1842" t="s">
        <v>45</v>
      </c>
      <c r="D1842" t="s">
        <v>7</v>
      </c>
      <c r="E1842" t="e">
        <f>VLOOKUP(Cpi_[[#This Row],[Attribute]],#REF!,2,FALSE)</f>
        <v>#REF!</v>
      </c>
      <c r="F1842">
        <v>107.8</v>
      </c>
      <c r="G1842">
        <f>(Cpi_[[#This Row],[Value]]-F1841)/F1841</f>
        <v>-0.13204508856682773</v>
      </c>
      <c r="H1842" t="e" cm="1" vm="1">
        <f t="array" aca="1" ref="H1842" ca="1">VLOOKUP(Cpi_[[#This Row],[Year]:[Month]],crudeoil[],3,FALSE)</f>
        <v>#VALUE!</v>
      </c>
    </row>
    <row r="1843" spans="1:8" hidden="1" x14ac:dyDescent="0.3">
      <c r="A1843" t="s">
        <v>34</v>
      </c>
      <c r="B1843">
        <v>2014</v>
      </c>
      <c r="C1843" t="s">
        <v>45</v>
      </c>
      <c r="D1843" t="s">
        <v>8</v>
      </c>
      <c r="E1843" t="e">
        <f>VLOOKUP(Cpi_[[#This Row],[Attribute]],#REF!,2,FALSE)</f>
        <v>#REF!</v>
      </c>
      <c r="F1843">
        <v>125.7</v>
      </c>
      <c r="G1843">
        <f>(Cpi_[[#This Row],[Value]]-F1842)/F1842</f>
        <v>0.16604823747680897</v>
      </c>
      <c r="H1843" t="e" cm="1" vm="1">
        <f t="array" aca="1" ref="H1843" ca="1">VLOOKUP(Cpi_[[#This Row],[Year]:[Month]],crudeoil[],3,FALSE)</f>
        <v>#VALUE!</v>
      </c>
    </row>
    <row r="1844" spans="1:8" hidden="1" x14ac:dyDescent="0.3">
      <c r="A1844" t="s">
        <v>34</v>
      </c>
      <c r="B1844">
        <v>2014</v>
      </c>
      <c r="C1844" t="s">
        <v>45</v>
      </c>
      <c r="D1844" t="s">
        <v>9</v>
      </c>
      <c r="E1844" t="e">
        <f>VLOOKUP(Cpi_[[#This Row],[Attribute]],#REF!,2,FALSE)</f>
        <v>#REF!</v>
      </c>
      <c r="F1844">
        <v>152.4</v>
      </c>
      <c r="G1844">
        <f>(Cpi_[[#This Row],[Value]]-F1843)/F1843</f>
        <v>0.21241050119331745</v>
      </c>
      <c r="H1844" t="e" cm="1" vm="1">
        <f t="array" aca="1" ref="H1844" ca="1">VLOOKUP(Cpi_[[#This Row],[Year]:[Month]],crudeoil[],3,FALSE)</f>
        <v>#VALUE!</v>
      </c>
    </row>
    <row r="1845" spans="1:8" hidden="1" x14ac:dyDescent="0.3">
      <c r="A1845" t="s">
        <v>34</v>
      </c>
      <c r="B1845">
        <v>2014</v>
      </c>
      <c r="C1845" t="s">
        <v>45</v>
      </c>
      <c r="D1845" t="s">
        <v>10</v>
      </c>
      <c r="E1845" t="e">
        <f>VLOOKUP(Cpi_[[#This Row],[Attribute]],#REF!,2,FALSE)</f>
        <v>#REF!</v>
      </c>
      <c r="F1845">
        <v>117.2</v>
      </c>
      <c r="G1845">
        <f>(Cpi_[[#This Row],[Value]]-F1844)/F1844</f>
        <v>-0.23097112860892388</v>
      </c>
      <c r="H1845" t="e" cm="1" vm="1">
        <f t="array" aca="1" ref="H1845" ca="1">VLOOKUP(Cpi_[[#This Row],[Year]:[Month]],crudeoil[],3,FALSE)</f>
        <v>#VALUE!</v>
      </c>
    </row>
    <row r="1846" spans="1:8" hidden="1" x14ac:dyDescent="0.3">
      <c r="A1846" t="s">
        <v>34</v>
      </c>
      <c r="B1846">
        <v>2014</v>
      </c>
      <c r="C1846" t="s">
        <v>45</v>
      </c>
      <c r="D1846" t="s">
        <v>11</v>
      </c>
      <c r="E1846" t="e">
        <f>VLOOKUP(Cpi_[[#This Row],[Attribute]],#REF!,2,FALSE)</f>
        <v>#REF!</v>
      </c>
      <c r="F1846">
        <v>102.1</v>
      </c>
      <c r="G1846">
        <f>(Cpi_[[#This Row],[Value]]-F1845)/F1845</f>
        <v>-0.12883959044368606</v>
      </c>
      <c r="H1846" t="e" cm="1" vm="1">
        <f t="array" aca="1" ref="H1846" ca="1">VLOOKUP(Cpi_[[#This Row],[Year]:[Month]],crudeoil[],3,FALSE)</f>
        <v>#VALUE!</v>
      </c>
    </row>
    <row r="1847" spans="1:8" hidden="1" x14ac:dyDescent="0.3">
      <c r="A1847" t="s">
        <v>34</v>
      </c>
      <c r="B1847">
        <v>2014</v>
      </c>
      <c r="C1847" t="s">
        <v>45</v>
      </c>
      <c r="D1847" t="s">
        <v>12</v>
      </c>
      <c r="E1847" t="e">
        <f>VLOOKUP(Cpi_[[#This Row],[Attribute]],#REF!,2,FALSE)</f>
        <v>#REF!</v>
      </c>
      <c r="F1847">
        <v>118.7</v>
      </c>
      <c r="G1847">
        <f>(Cpi_[[#This Row],[Value]]-F1846)/F1846</f>
        <v>0.16258570029382968</v>
      </c>
      <c r="H1847" t="e" cm="1" vm="1">
        <f t="array" aca="1" ref="H1847" ca="1">VLOOKUP(Cpi_[[#This Row],[Year]:[Month]],crudeoil[],3,FALSE)</f>
        <v>#VALUE!</v>
      </c>
    </row>
    <row r="1848" spans="1:8" hidden="1" x14ac:dyDescent="0.3">
      <c r="A1848" t="s">
        <v>34</v>
      </c>
      <c r="B1848">
        <v>2014</v>
      </c>
      <c r="C1848" t="s">
        <v>45</v>
      </c>
      <c r="D1848" t="s">
        <v>13</v>
      </c>
      <c r="E1848" t="e">
        <f>VLOOKUP(Cpi_[[#This Row],[Attribute]],#REF!,2,FALSE)</f>
        <v>#REF!</v>
      </c>
      <c r="F1848">
        <v>116.4</v>
      </c>
      <c r="G1848">
        <f>(Cpi_[[#This Row],[Value]]-F1847)/F1847</f>
        <v>-1.9376579612468383E-2</v>
      </c>
      <c r="H1848" t="e" cm="1" vm="1">
        <f t="array" aca="1" ref="H1848" ca="1">VLOOKUP(Cpi_[[#This Row],[Year]:[Month]],crudeoil[],3,FALSE)</f>
        <v>#VALUE!</v>
      </c>
    </row>
    <row r="1849" spans="1:8" hidden="1" x14ac:dyDescent="0.3">
      <c r="A1849" t="s">
        <v>34</v>
      </c>
      <c r="B1849">
        <v>2014</v>
      </c>
      <c r="C1849" t="s">
        <v>45</v>
      </c>
      <c r="D1849" t="s">
        <v>14</v>
      </c>
      <c r="E1849" t="e">
        <f>VLOOKUP(Cpi_[[#This Row],[Attribute]],#REF!,2,FALSE)</f>
        <v>#REF!</v>
      </c>
      <c r="F1849">
        <v>125.6</v>
      </c>
      <c r="G1849">
        <f>(Cpi_[[#This Row],[Value]]-F1848)/F1848</f>
        <v>7.9037800687285123E-2</v>
      </c>
      <c r="H1849" t="e" cm="1" vm="1">
        <f t="array" aca="1" ref="H1849" ca="1">VLOOKUP(Cpi_[[#This Row],[Year]:[Month]],crudeoil[],3,FALSE)</f>
        <v>#VALUE!</v>
      </c>
    </row>
    <row r="1850" spans="1:8" hidden="1" x14ac:dyDescent="0.3">
      <c r="A1850" t="s">
        <v>34</v>
      </c>
      <c r="B1850">
        <v>2014</v>
      </c>
      <c r="C1850" t="s">
        <v>45</v>
      </c>
      <c r="D1850" t="s">
        <v>15</v>
      </c>
      <c r="E1850" t="e">
        <f>VLOOKUP(Cpi_[[#This Row],[Attribute]],#REF!,2,FALSE)</f>
        <v>#REF!</v>
      </c>
      <c r="F1850">
        <v>125.1</v>
      </c>
      <c r="G1850">
        <f>(Cpi_[[#This Row],[Value]]-F1849)/F1849</f>
        <v>-3.9808917197452229E-3</v>
      </c>
      <c r="H1850" t="e" cm="1" vm="1">
        <f t="array" aca="1" ref="H1850" ca="1">VLOOKUP(Cpi_[[#This Row],[Year]:[Month]],crudeoil[],3,FALSE)</f>
        <v>#VALUE!</v>
      </c>
    </row>
    <row r="1851" spans="1:8" hidden="1" x14ac:dyDescent="0.3">
      <c r="A1851" t="s">
        <v>34</v>
      </c>
      <c r="B1851">
        <v>2014</v>
      </c>
      <c r="C1851" t="s">
        <v>45</v>
      </c>
      <c r="D1851" t="s">
        <v>16</v>
      </c>
      <c r="E1851" t="e">
        <f>VLOOKUP(Cpi_[[#This Row],[Attribute]],#REF!,2,FALSE)</f>
        <v>#REF!</v>
      </c>
      <c r="F1851">
        <v>122.1</v>
      </c>
      <c r="G1851">
        <f>(Cpi_[[#This Row],[Value]]-F1850)/F1850</f>
        <v>-2.3980815347721823E-2</v>
      </c>
      <c r="H1851" t="e" cm="1" vm="1">
        <f t="array" aca="1" ref="H1851" ca="1">VLOOKUP(Cpi_[[#This Row],[Year]:[Month]],crudeoil[],3,FALSE)</f>
        <v>#VALUE!</v>
      </c>
    </row>
    <row r="1852" spans="1:8" hidden="1" x14ac:dyDescent="0.3">
      <c r="A1852" t="s">
        <v>34</v>
      </c>
      <c r="B1852">
        <v>2014</v>
      </c>
      <c r="C1852" t="s">
        <v>45</v>
      </c>
      <c r="D1852" t="s">
        <v>17</v>
      </c>
      <c r="E1852" t="e">
        <f>VLOOKUP(Cpi_[[#This Row],[Attribute]],#REF!,2,FALSE)</f>
        <v>#REF!</v>
      </c>
      <c r="F1852">
        <v>122.1</v>
      </c>
      <c r="G1852">
        <f>(Cpi_[[#This Row],[Value]]-F1851)/F1851</f>
        <v>0</v>
      </c>
      <c r="H1852" t="e" cm="1" vm="1">
        <f t="array" aca="1" ref="H1852" ca="1">VLOOKUP(Cpi_[[#This Row],[Year]:[Month]],crudeoil[],3,FALSE)</f>
        <v>#VALUE!</v>
      </c>
    </row>
    <row r="1853" spans="1:8" hidden="1" x14ac:dyDescent="0.3">
      <c r="A1853" t="s">
        <v>34</v>
      </c>
      <c r="B1853">
        <v>2014</v>
      </c>
      <c r="C1853" t="s">
        <v>45</v>
      </c>
      <c r="D1853" t="s">
        <v>18</v>
      </c>
      <c r="E1853" t="e">
        <f>VLOOKUP(Cpi_[[#This Row],[Attribute]],#REF!,2,FALSE)</f>
        <v>#REF!</v>
      </c>
      <c r="F1853">
        <v>118.4</v>
      </c>
      <c r="G1853">
        <f>(Cpi_[[#This Row],[Value]]-F1852)/F1852</f>
        <v>-3.030303030303021E-2</v>
      </c>
      <c r="H1853" t="e" cm="1" vm="1">
        <f t="array" aca="1" ref="H1853" ca="1">VLOOKUP(Cpi_[[#This Row],[Year]:[Month]],crudeoil[],3,FALSE)</f>
        <v>#VALUE!</v>
      </c>
    </row>
    <row r="1854" spans="1:8" hidden="1" x14ac:dyDescent="0.3">
      <c r="A1854" t="s">
        <v>34</v>
      </c>
      <c r="B1854">
        <v>2014</v>
      </c>
      <c r="C1854" t="s">
        <v>45</v>
      </c>
      <c r="D1854" t="s">
        <v>19</v>
      </c>
      <c r="E1854" t="e">
        <f>VLOOKUP(Cpi_[[#This Row],[Attribute]],#REF!,2,FALSE)</f>
        <v>#REF!</v>
      </c>
      <c r="F1854">
        <v>121.6</v>
      </c>
      <c r="G1854">
        <f>(Cpi_[[#This Row],[Value]]-F1853)/F1853</f>
        <v>2.7027027027026931E-2</v>
      </c>
      <c r="H1854" t="e" cm="1" vm="1">
        <f t="array" aca="1" ref="H1854" ca="1">VLOOKUP(Cpi_[[#This Row],[Year]:[Month]],crudeoil[],3,FALSE)</f>
        <v>#VALUE!</v>
      </c>
    </row>
    <row r="1855" spans="1:8" hidden="1" x14ac:dyDescent="0.3">
      <c r="A1855" t="s">
        <v>34</v>
      </c>
      <c r="B1855">
        <v>2014</v>
      </c>
      <c r="C1855" t="s">
        <v>45</v>
      </c>
      <c r="D1855" t="s">
        <v>20</v>
      </c>
      <c r="E1855" t="e">
        <f>VLOOKUP(Cpi_[[#This Row],[Attribute]],#REF!,2,FALSE)</f>
        <v>#REF!</v>
      </c>
      <c r="F1855">
        <v>117.1</v>
      </c>
      <c r="G1855">
        <f>(Cpi_[[#This Row],[Value]]-F1854)/F1854</f>
        <v>-3.7006578947368425E-2</v>
      </c>
      <c r="H1855" t="e" cm="1" vm="1">
        <f t="array" aca="1" ref="H1855" ca="1">VLOOKUP(Cpi_[[#This Row],[Year]:[Month]],crudeoil[],3,FALSE)</f>
        <v>#VALUE!</v>
      </c>
    </row>
    <row r="1856" spans="1:8" hidden="1" x14ac:dyDescent="0.3">
      <c r="A1856" t="s">
        <v>34</v>
      </c>
      <c r="B1856">
        <v>2014</v>
      </c>
      <c r="C1856" t="s">
        <v>45</v>
      </c>
      <c r="D1856" t="s">
        <v>21</v>
      </c>
      <c r="E1856" t="e">
        <f>VLOOKUP(Cpi_[[#This Row],[Attribute]],#REF!,2,FALSE)</f>
        <v>#REF!</v>
      </c>
      <c r="F1856">
        <v>115.5</v>
      </c>
      <c r="G1856">
        <f>(Cpi_[[#This Row],[Value]]-F1855)/F1855</f>
        <v>-1.3663535439794998E-2</v>
      </c>
      <c r="H1856" t="e" cm="1" vm="1">
        <f t="array" aca="1" ref="H1856" ca="1">VLOOKUP(Cpi_[[#This Row],[Year]:[Month]],crudeoil[],3,FALSE)</f>
        <v>#VALUE!</v>
      </c>
    </row>
    <row r="1857" spans="1:8" hidden="1" x14ac:dyDescent="0.3">
      <c r="A1857" t="s">
        <v>34</v>
      </c>
      <c r="B1857">
        <v>2014</v>
      </c>
      <c r="C1857" t="s">
        <v>45</v>
      </c>
      <c r="D1857" t="s">
        <v>22</v>
      </c>
      <c r="E1857" t="e">
        <f>VLOOKUP(Cpi_[[#This Row],[Attribute]],#REF!,2,FALSE)</f>
        <v>#REF!</v>
      </c>
      <c r="F1857">
        <v>117.3</v>
      </c>
      <c r="G1857">
        <f>(Cpi_[[#This Row],[Value]]-F1856)/F1856</f>
        <v>1.558441558441556E-2</v>
      </c>
      <c r="H1857" t="e" cm="1" vm="1">
        <f t="array" aca="1" ref="H1857" ca="1">VLOOKUP(Cpi_[[#This Row],[Year]:[Month]],crudeoil[],3,FALSE)</f>
        <v>#VALUE!</v>
      </c>
    </row>
    <row r="1858" spans="1:8" hidden="1" x14ac:dyDescent="0.3">
      <c r="A1858" t="s">
        <v>34</v>
      </c>
      <c r="B1858">
        <v>2014</v>
      </c>
      <c r="C1858" t="s">
        <v>45</v>
      </c>
      <c r="D1858" t="s">
        <v>23</v>
      </c>
      <c r="E1858" t="e">
        <f>VLOOKUP(Cpi_[[#This Row],[Attribute]],#REF!,2,FALSE)</f>
        <v>#REF!</v>
      </c>
      <c r="F1858">
        <v>114.8</v>
      </c>
      <c r="G1858">
        <f>(Cpi_[[#This Row],[Value]]-F1857)/F1857</f>
        <v>-2.1312872975277068E-2</v>
      </c>
      <c r="H1858" t="e" cm="1" vm="1">
        <f t="array" aca="1" ref="H1858" ca="1">VLOOKUP(Cpi_[[#This Row],[Year]:[Month]],crudeoil[],3,FALSE)</f>
        <v>#VALUE!</v>
      </c>
    </row>
    <row r="1859" spans="1:8" hidden="1" x14ac:dyDescent="0.3">
      <c r="A1859" t="s">
        <v>34</v>
      </c>
      <c r="B1859">
        <v>2014</v>
      </c>
      <c r="C1859" t="s">
        <v>45</v>
      </c>
      <c r="D1859" t="s">
        <v>24</v>
      </c>
      <c r="E1859" t="e">
        <f>VLOOKUP(Cpi_[[#This Row],[Attribute]],#REF!,2,FALSE)</f>
        <v>#REF!</v>
      </c>
      <c r="F1859">
        <v>110.8</v>
      </c>
      <c r="G1859">
        <f>(Cpi_[[#This Row],[Value]]-F1858)/F1858</f>
        <v>-3.484320557491289E-2</v>
      </c>
      <c r="H1859" t="e" cm="1" vm="1">
        <f t="array" aca="1" ref="H1859" ca="1">VLOOKUP(Cpi_[[#This Row],[Year]:[Month]],crudeoil[],3,FALSE)</f>
        <v>#VALUE!</v>
      </c>
    </row>
    <row r="1860" spans="1:8" hidden="1" x14ac:dyDescent="0.3">
      <c r="A1860" t="s">
        <v>34</v>
      </c>
      <c r="B1860">
        <v>2014</v>
      </c>
      <c r="C1860" t="s">
        <v>45</v>
      </c>
      <c r="D1860" t="s">
        <v>25</v>
      </c>
      <c r="E1860" t="e">
        <f>VLOOKUP(Cpi_[[#This Row],[Attribute]],#REF!,2,FALSE)</f>
        <v>#REF!</v>
      </c>
      <c r="F1860">
        <v>113.7</v>
      </c>
      <c r="G1860">
        <f>(Cpi_[[#This Row],[Value]]-F1859)/F1859</f>
        <v>2.6173285198556009E-2</v>
      </c>
      <c r="H1860" t="e" cm="1" vm="1">
        <f t="array" aca="1" ref="H1860" ca="1">VLOOKUP(Cpi_[[#This Row],[Year]:[Month]],crudeoil[],3,FALSE)</f>
        <v>#VALUE!</v>
      </c>
    </row>
    <row r="1861" spans="1:8" hidden="1" x14ac:dyDescent="0.3">
      <c r="A1861" t="s">
        <v>34</v>
      </c>
      <c r="B1861">
        <v>2014</v>
      </c>
      <c r="C1861" t="s">
        <v>45</v>
      </c>
      <c r="D1861" t="s">
        <v>26</v>
      </c>
      <c r="E1861" t="e">
        <f>VLOOKUP(Cpi_[[#This Row],[Attribute]],#REF!,2,FALSE)</f>
        <v>#REF!</v>
      </c>
      <c r="F1861">
        <v>119</v>
      </c>
      <c r="G1861">
        <f>(Cpi_[[#This Row],[Value]]-F1860)/F1860</f>
        <v>4.6613896218117831E-2</v>
      </c>
      <c r="H1861" t="e" cm="1" vm="1">
        <f t="array" aca="1" ref="H1861" ca="1">VLOOKUP(Cpi_[[#This Row],[Year]:[Month]],crudeoil[],3,FALSE)</f>
        <v>#VALUE!</v>
      </c>
    </row>
    <row r="1862" spans="1:8" hidden="1" x14ac:dyDescent="0.3">
      <c r="A1862" t="s">
        <v>34</v>
      </c>
      <c r="B1862">
        <v>2014</v>
      </c>
      <c r="C1862" t="s">
        <v>45</v>
      </c>
      <c r="D1862" t="s">
        <v>27</v>
      </c>
      <c r="E1862" t="e">
        <f>VLOOKUP(Cpi_[[#This Row],[Attribute]],#REF!,2,FALSE)</f>
        <v>#REF!</v>
      </c>
      <c r="F1862">
        <v>109.1</v>
      </c>
      <c r="G1862">
        <f>(Cpi_[[#This Row],[Value]]-F1861)/F1861</f>
        <v>-8.3193277310924421E-2</v>
      </c>
      <c r="H1862" t="e" cm="1" vm="1">
        <f t="array" aca="1" ref="H1862" ca="1">VLOOKUP(Cpi_[[#This Row],[Year]:[Month]],crudeoil[],3,FALSE)</f>
        <v>#VALUE!</v>
      </c>
    </row>
    <row r="1863" spans="1:8" hidden="1" x14ac:dyDescent="0.3">
      <c r="A1863" t="s">
        <v>34</v>
      </c>
      <c r="B1863">
        <v>2014</v>
      </c>
      <c r="C1863" t="s">
        <v>45</v>
      </c>
      <c r="D1863" t="s">
        <v>28</v>
      </c>
      <c r="E1863" t="e">
        <f>VLOOKUP(Cpi_[[#This Row],[Attribute]],#REF!,2,FALSE)</f>
        <v>#REF!</v>
      </c>
      <c r="F1863">
        <v>113.8</v>
      </c>
      <c r="G1863">
        <f>(Cpi_[[#This Row],[Value]]-F1862)/F1862</f>
        <v>4.3079743354720465E-2</v>
      </c>
      <c r="H1863" t="e" cm="1" vm="1">
        <f t="array" aca="1" ref="H1863" ca="1">VLOOKUP(Cpi_[[#This Row],[Year]:[Month]],crudeoil[],3,FALSE)</f>
        <v>#VALUE!</v>
      </c>
    </row>
    <row r="1864" spans="1:8" hidden="1" x14ac:dyDescent="0.3">
      <c r="A1864" t="s">
        <v>34</v>
      </c>
      <c r="B1864">
        <v>2014</v>
      </c>
      <c r="C1864" t="s">
        <v>45</v>
      </c>
      <c r="D1864" t="s">
        <v>29</v>
      </c>
      <c r="E1864" t="e" cm="1">
        <f t="array" aca="1" ref="E1864" ca="1">VLGeneral indexGeneral indexKUP(Cpi_[[#This Row],[Attribute]],#REF!,2,FALSE)</f>
        <v>#NAME?</v>
      </c>
      <c r="F1864">
        <v>120.1</v>
      </c>
      <c r="G1864">
        <f>(Cpi_[[#This Row],[Value]]-F1863)/F1863</f>
        <v>5.5360281195079061E-2</v>
      </c>
      <c r="H1864" t="e" cm="1" vm="1">
        <f t="array" aca="1" ref="H1864" ca="1">VLOOKUP(Cpi_[[#This Row],[Year]:[Month]],crudeoil[],3,FALSE)</f>
        <v>#VALUE!</v>
      </c>
    </row>
    <row r="1865" spans="1:8" hidden="1" x14ac:dyDescent="0.3">
      <c r="A1865" t="s">
        <v>30</v>
      </c>
      <c r="B1865">
        <v>2014</v>
      </c>
      <c r="C1865" t="s">
        <v>46</v>
      </c>
      <c r="D1865" t="s">
        <v>3</v>
      </c>
      <c r="E1865" t="e">
        <f>VLOOKUP(Cpi_[[#This Row],[Attribute]],#REF!,2,FALSE)</f>
        <v>#REF!</v>
      </c>
      <c r="F1865">
        <v>122.4</v>
      </c>
      <c r="G1865">
        <f>(Cpi_[[#This Row],[Value]]-F1864)/F1864</f>
        <v>1.915070774354714E-2</v>
      </c>
      <c r="H1865" t="e" cm="1" vm="1">
        <f t="array" aca="1" ref="H1865" ca="1">VLOOKUP(Cpi_[[#This Row],[Year]:[Month]],crudeoil[],3,FALSE)</f>
        <v>#VALUE!</v>
      </c>
    </row>
    <row r="1866" spans="1:8" hidden="1" x14ac:dyDescent="0.3">
      <c r="A1866" t="s">
        <v>30</v>
      </c>
      <c r="B1866">
        <v>2014</v>
      </c>
      <c r="C1866" t="s">
        <v>46</v>
      </c>
      <c r="D1866" t="s">
        <v>4</v>
      </c>
      <c r="E1866" t="e">
        <f>VLOOKUP(Cpi_[[#This Row],[Attribute]],#REF!,2,FALSE)</f>
        <v>#REF!</v>
      </c>
      <c r="F1866">
        <v>122.4</v>
      </c>
      <c r="G1866">
        <f>(Cpi_[[#This Row],[Value]]-F1865)/F1865</f>
        <v>0</v>
      </c>
      <c r="H1866" t="e" cm="1" vm="1">
        <f t="array" aca="1" ref="H1866" ca="1">VLOOKUP(Cpi_[[#This Row],[Year]:[Month]],crudeoil[],3,FALSE)</f>
        <v>#VALUE!</v>
      </c>
    </row>
    <row r="1867" spans="1:8" hidden="1" x14ac:dyDescent="0.3">
      <c r="A1867" t="s">
        <v>30</v>
      </c>
      <c r="B1867">
        <v>2014</v>
      </c>
      <c r="C1867" t="s">
        <v>46</v>
      </c>
      <c r="D1867" t="s">
        <v>5</v>
      </c>
      <c r="E1867" t="e">
        <f>VLOOKUP(Cpi_[[#This Row],[Attribute]],#REF!,2,FALSE)</f>
        <v>#REF!</v>
      </c>
      <c r="F1867">
        <v>121.8</v>
      </c>
      <c r="G1867">
        <f>(Cpi_[[#This Row],[Value]]-F1866)/F1866</f>
        <v>-4.9019607843137948E-3</v>
      </c>
      <c r="H1867" t="e" cm="1" vm="1">
        <f t="array" aca="1" ref="H1867" ca="1">VLOOKUP(Cpi_[[#This Row],[Year]:[Month]],crudeoil[],3,FALSE)</f>
        <v>#VALUE!</v>
      </c>
    </row>
    <row r="1868" spans="1:8" hidden="1" x14ac:dyDescent="0.3">
      <c r="A1868" t="s">
        <v>30</v>
      </c>
      <c r="B1868">
        <v>2014</v>
      </c>
      <c r="C1868" t="s">
        <v>46</v>
      </c>
      <c r="D1868" t="s">
        <v>6</v>
      </c>
      <c r="E1868" t="e">
        <f>VLOOKUP(Cpi_[[#This Row],[Attribute]],#REF!,2,FALSE)</f>
        <v>#REF!</v>
      </c>
      <c r="F1868">
        <v>124.2</v>
      </c>
      <c r="G1868">
        <f>(Cpi_[[#This Row],[Value]]-F1867)/F1867</f>
        <v>1.9704433497536995E-2</v>
      </c>
      <c r="H1868" t="e" cm="1" vm="1">
        <f t="array" aca="1" ref="H1868" ca="1">VLOOKUP(Cpi_[[#This Row],[Year]:[Month]],crudeoil[],3,FALSE)</f>
        <v>#VALUE!</v>
      </c>
    </row>
    <row r="1869" spans="1:8" hidden="1" x14ac:dyDescent="0.3">
      <c r="A1869" t="s">
        <v>30</v>
      </c>
      <c r="B1869">
        <v>2014</v>
      </c>
      <c r="C1869" t="s">
        <v>46</v>
      </c>
      <c r="D1869" t="s">
        <v>7</v>
      </c>
      <c r="E1869" t="e">
        <f>VLOOKUP(Cpi_[[#This Row],[Attribute]],#REF!,2,FALSE)</f>
        <v>#REF!</v>
      </c>
      <c r="F1869">
        <v>110.2</v>
      </c>
      <c r="G1869">
        <f>(Cpi_[[#This Row],[Value]]-F1868)/F1868</f>
        <v>-0.11272141706924316</v>
      </c>
      <c r="H1869" t="e" cm="1" vm="1">
        <f t="array" aca="1" ref="H1869" ca="1">VLOOKUP(Cpi_[[#This Row],[Year]:[Month]],crudeoil[],3,FALSE)</f>
        <v>#VALUE!</v>
      </c>
    </row>
    <row r="1870" spans="1:8" hidden="1" x14ac:dyDescent="0.3">
      <c r="A1870" t="s">
        <v>30</v>
      </c>
      <c r="B1870">
        <v>2014</v>
      </c>
      <c r="C1870" t="s">
        <v>46</v>
      </c>
      <c r="D1870" t="s">
        <v>8</v>
      </c>
      <c r="E1870" t="e">
        <f>VLOOKUP(Cpi_[[#This Row],[Attribute]],#REF!,2,FALSE)</f>
        <v>#REF!</v>
      </c>
      <c r="F1870">
        <v>128.6</v>
      </c>
      <c r="G1870">
        <f>(Cpi_[[#This Row],[Value]]-F1869)/F1869</f>
        <v>0.16696914700544457</v>
      </c>
      <c r="H1870" t="e" cm="1" vm="1">
        <f t="array" aca="1" ref="H1870" ca="1">VLOOKUP(Cpi_[[#This Row],[Year]:[Month]],crudeoil[],3,FALSE)</f>
        <v>#VALUE!</v>
      </c>
    </row>
    <row r="1871" spans="1:8" hidden="1" x14ac:dyDescent="0.3">
      <c r="A1871" t="s">
        <v>30</v>
      </c>
      <c r="B1871">
        <v>2014</v>
      </c>
      <c r="C1871" t="s">
        <v>46</v>
      </c>
      <c r="D1871" t="s">
        <v>9</v>
      </c>
      <c r="E1871" t="e">
        <f>VLOOKUP(Cpi_[[#This Row],[Attribute]],#REF!,2,FALSE)</f>
        <v>#REF!</v>
      </c>
      <c r="F1871">
        <v>140.30000000000001</v>
      </c>
      <c r="G1871">
        <f>(Cpi_[[#This Row],[Value]]-F1870)/F1870</f>
        <v>9.0979782270606671E-2</v>
      </c>
      <c r="H1871" t="e" cm="1" vm="1">
        <f t="array" aca="1" ref="H1871" ca="1">VLOOKUP(Cpi_[[#This Row],[Year]:[Month]],crudeoil[],3,FALSE)</f>
        <v>#VALUE!</v>
      </c>
    </row>
    <row r="1872" spans="1:8" hidden="1" x14ac:dyDescent="0.3">
      <c r="A1872" t="s">
        <v>30</v>
      </c>
      <c r="B1872">
        <v>2014</v>
      </c>
      <c r="C1872" t="s">
        <v>46</v>
      </c>
      <c r="D1872" t="s">
        <v>10</v>
      </c>
      <c r="E1872" t="e">
        <f>VLOOKUP(Cpi_[[#This Row],[Attribute]],#REF!,2,FALSE)</f>
        <v>#REF!</v>
      </c>
      <c r="F1872">
        <v>116.3</v>
      </c>
      <c r="G1872">
        <f>(Cpi_[[#This Row],[Value]]-F1871)/F1871</f>
        <v>-0.17106200997861734</v>
      </c>
      <c r="H1872" t="e" cm="1" vm="1">
        <f t="array" aca="1" ref="H1872" ca="1">VLOOKUP(Cpi_[[#This Row],[Year]:[Month]],crudeoil[],3,FALSE)</f>
        <v>#VALUE!</v>
      </c>
    </row>
    <row r="1873" spans="1:8" hidden="1" x14ac:dyDescent="0.3">
      <c r="A1873" t="s">
        <v>30</v>
      </c>
      <c r="B1873">
        <v>2014</v>
      </c>
      <c r="C1873" t="s">
        <v>46</v>
      </c>
      <c r="D1873" t="s">
        <v>11</v>
      </c>
      <c r="E1873" t="e">
        <f>VLOOKUP(Cpi_[[#This Row],[Attribute]],#REF!,2,FALSE)</f>
        <v>#REF!</v>
      </c>
      <c r="F1873">
        <v>102</v>
      </c>
      <c r="G1873">
        <f>(Cpi_[[#This Row],[Value]]-F1872)/F1872</f>
        <v>-0.12295786758383488</v>
      </c>
      <c r="H1873" t="e" cm="1" vm="1">
        <f t="array" aca="1" ref="H1873" ca="1">VLOOKUP(Cpi_[[#This Row],[Year]:[Month]],crudeoil[],3,FALSE)</f>
        <v>#VALUE!</v>
      </c>
    </row>
    <row r="1874" spans="1:8" hidden="1" x14ac:dyDescent="0.3">
      <c r="A1874" t="s">
        <v>30</v>
      </c>
      <c r="B1874">
        <v>2014</v>
      </c>
      <c r="C1874" t="s">
        <v>46</v>
      </c>
      <c r="D1874" t="s">
        <v>12</v>
      </c>
      <c r="E1874" t="e">
        <f>VLOOKUP(Cpi_[[#This Row],[Attribute]],#REF!,2,FALSE)</f>
        <v>#REF!</v>
      </c>
      <c r="F1874">
        <v>116</v>
      </c>
      <c r="G1874">
        <f>(Cpi_[[#This Row],[Value]]-F1873)/F1873</f>
        <v>0.13725490196078433</v>
      </c>
      <c r="H1874" t="e" cm="1" vm="1">
        <f t="array" aca="1" ref="H1874" ca="1">VLOOKUP(Cpi_[[#This Row],[Year]:[Month]],crudeoil[],3,FALSE)</f>
        <v>#VALUE!</v>
      </c>
    </row>
    <row r="1875" spans="1:8" hidden="1" x14ac:dyDescent="0.3">
      <c r="A1875" t="s">
        <v>30</v>
      </c>
      <c r="B1875">
        <v>2014</v>
      </c>
      <c r="C1875" t="s">
        <v>46</v>
      </c>
      <c r="D1875" t="s">
        <v>13</v>
      </c>
      <c r="E1875" t="e">
        <f>VLOOKUP(Cpi_[[#This Row],[Attribute]],#REF!,2,FALSE)</f>
        <v>#REF!</v>
      </c>
      <c r="F1875">
        <v>117.3</v>
      </c>
      <c r="G1875">
        <f>(Cpi_[[#This Row],[Value]]-F1874)/F1874</f>
        <v>1.1206896551724113E-2</v>
      </c>
      <c r="H1875" t="e" cm="1" vm="1">
        <f t="array" aca="1" ref="H1875" ca="1">VLOOKUP(Cpi_[[#This Row],[Year]:[Month]],crudeoil[],3,FALSE)</f>
        <v>#VALUE!</v>
      </c>
    </row>
    <row r="1876" spans="1:8" hidden="1" x14ac:dyDescent="0.3">
      <c r="A1876" t="s">
        <v>30</v>
      </c>
      <c r="B1876">
        <v>2014</v>
      </c>
      <c r="C1876" t="s">
        <v>46</v>
      </c>
      <c r="D1876" t="s">
        <v>14</v>
      </c>
      <c r="E1876" t="e">
        <f>VLOOKUP(Cpi_[[#This Row],[Attribute]],#REF!,2,FALSE)</f>
        <v>#REF!</v>
      </c>
      <c r="F1876">
        <v>124.8</v>
      </c>
      <c r="G1876">
        <f>(Cpi_[[#This Row],[Value]]-F1875)/F1875</f>
        <v>6.3938618925831206E-2</v>
      </c>
      <c r="H1876" t="e" cm="1" vm="1">
        <f t="array" aca="1" ref="H1876" ca="1">VLOOKUP(Cpi_[[#This Row],[Year]:[Month]],crudeoil[],3,FALSE)</f>
        <v>#VALUE!</v>
      </c>
    </row>
    <row r="1877" spans="1:8" hidden="1" x14ac:dyDescent="0.3">
      <c r="A1877" t="s">
        <v>30</v>
      </c>
      <c r="B1877">
        <v>2014</v>
      </c>
      <c r="C1877" t="s">
        <v>46</v>
      </c>
      <c r="D1877" t="s">
        <v>15</v>
      </c>
      <c r="E1877" t="e">
        <f>VLOOKUP(Cpi_[[#This Row],[Attribute]],#REF!,2,FALSE)</f>
        <v>#REF!</v>
      </c>
      <c r="F1877">
        <v>123.3</v>
      </c>
      <c r="G1877">
        <f>(Cpi_[[#This Row],[Value]]-F1876)/F1876</f>
        <v>-1.201923076923077E-2</v>
      </c>
      <c r="H1877" t="e" cm="1" vm="1">
        <f t="array" aca="1" ref="H1877" ca="1">VLOOKUP(Cpi_[[#This Row],[Year]:[Month]],crudeoil[],3,FALSE)</f>
        <v>#VALUE!</v>
      </c>
    </row>
    <row r="1878" spans="1:8" hidden="1" x14ac:dyDescent="0.3">
      <c r="A1878" t="s">
        <v>30</v>
      </c>
      <c r="B1878">
        <v>2014</v>
      </c>
      <c r="C1878" t="s">
        <v>46</v>
      </c>
      <c r="D1878" t="s">
        <v>16</v>
      </c>
      <c r="E1878" t="e">
        <f>VLOOKUP(Cpi_[[#This Row],[Attribute]],#REF!,2,FALSE)</f>
        <v>#REF!</v>
      </c>
      <c r="F1878">
        <v>121.7</v>
      </c>
      <c r="G1878">
        <f>(Cpi_[[#This Row],[Value]]-F1877)/F1877</f>
        <v>-1.2976480129764755E-2</v>
      </c>
      <c r="H1878" t="e" cm="1" vm="1">
        <f t="array" aca="1" ref="H1878" ca="1">VLOOKUP(Cpi_[[#This Row],[Year]:[Month]],crudeoil[],3,FALSE)</f>
        <v>#VALUE!</v>
      </c>
    </row>
    <row r="1879" spans="1:8" hidden="1" x14ac:dyDescent="0.3">
      <c r="A1879" t="s">
        <v>30</v>
      </c>
      <c r="B1879">
        <v>2014</v>
      </c>
      <c r="C1879" t="s">
        <v>46</v>
      </c>
      <c r="D1879" t="s">
        <v>17</v>
      </c>
      <c r="E1879" t="e">
        <f>VLOOKUP(Cpi_[[#This Row],[Attribute]],#REF!,2,FALSE)</f>
        <v>#REF!</v>
      </c>
      <c r="F1879">
        <v>123.8</v>
      </c>
      <c r="G1879">
        <f>(Cpi_[[#This Row],[Value]]-F1878)/F1878</f>
        <v>1.7255546425636765E-2</v>
      </c>
      <c r="H1879" t="e" cm="1" vm="1">
        <f t="array" aca="1" ref="H1879" ca="1">VLOOKUP(Cpi_[[#This Row],[Year]:[Month]],crudeoil[],3,FALSE)</f>
        <v>#VALUE!</v>
      </c>
    </row>
    <row r="1880" spans="1:8" hidden="1" x14ac:dyDescent="0.3">
      <c r="A1880" t="s">
        <v>30</v>
      </c>
      <c r="B1880">
        <v>2014</v>
      </c>
      <c r="C1880" t="s">
        <v>46</v>
      </c>
      <c r="D1880" t="s">
        <v>18</v>
      </c>
      <c r="E1880" t="e">
        <f>VLOOKUP(Cpi_[[#This Row],[Attribute]],#REF!,2,FALSE)</f>
        <v>#REF!</v>
      </c>
      <c r="F1880">
        <v>120.6</v>
      </c>
      <c r="G1880">
        <f>(Cpi_[[#This Row],[Value]]-F1879)/F1879</f>
        <v>-2.5848142164781929E-2</v>
      </c>
      <c r="H1880" t="e" cm="1" vm="1">
        <f t="array" aca="1" ref="H1880" ca="1">VLOOKUP(Cpi_[[#This Row],[Year]:[Month]],crudeoil[],3,FALSE)</f>
        <v>#VALUE!</v>
      </c>
    </row>
    <row r="1881" spans="1:8" hidden="1" x14ac:dyDescent="0.3">
      <c r="A1881" t="s">
        <v>30</v>
      </c>
      <c r="B1881">
        <v>2014</v>
      </c>
      <c r="C1881" t="s">
        <v>46</v>
      </c>
      <c r="D1881" t="s">
        <v>19</v>
      </c>
      <c r="E1881" t="e">
        <f>VLOOKUP(Cpi_[[#This Row],[Attribute]],#REF!,2,FALSE)</f>
        <v>#REF!</v>
      </c>
      <c r="F1881">
        <v>123.3</v>
      </c>
      <c r="G1881">
        <f>(Cpi_[[#This Row],[Value]]-F1880)/F1880</f>
        <v>2.238805970149256E-2</v>
      </c>
      <c r="H1881" t="e" cm="1" vm="1">
        <f t="array" aca="1" ref="H1881" ca="1">VLOOKUP(Cpi_[[#This Row],[Year]:[Month]],crudeoil[],3,FALSE)</f>
        <v>#VALUE!</v>
      </c>
    </row>
    <row r="1882" spans="1:8" hidden="1" x14ac:dyDescent="0.3">
      <c r="A1882" t="s">
        <v>30</v>
      </c>
      <c r="B1882">
        <v>2014</v>
      </c>
      <c r="C1882" t="s">
        <v>46</v>
      </c>
      <c r="D1882" t="s">
        <v>20</v>
      </c>
      <c r="E1882" t="e">
        <f>VLOOKUP(Cpi_[[#This Row],[Attribute]],#REF!,2,FALSE)</f>
        <v>#REF!</v>
      </c>
      <c r="F1882" t="s">
        <v>32</v>
      </c>
      <c r="G1882" t="e">
        <f>(Cpi_[[#This Row],[Value]]-F1881)/F1881</f>
        <v>#VALUE!</v>
      </c>
      <c r="H1882" t="e" cm="1" vm="1">
        <f t="array" aca="1" ref="H1882" ca="1">VLOOKUP(Cpi_[[#This Row],[Year]:[Month]],crudeoil[],3,FALSE)</f>
        <v>#VALUE!</v>
      </c>
    </row>
    <row r="1883" spans="1:8" hidden="1" x14ac:dyDescent="0.3">
      <c r="A1883" t="s">
        <v>30</v>
      </c>
      <c r="B1883">
        <v>2014</v>
      </c>
      <c r="C1883" t="s">
        <v>46</v>
      </c>
      <c r="D1883" t="s">
        <v>21</v>
      </c>
      <c r="E1883" t="e">
        <f>VLOOKUP(Cpi_[[#This Row],[Attribute]],#REF!,2,FALSE)</f>
        <v>#REF!</v>
      </c>
      <c r="F1883">
        <v>117.4</v>
      </c>
      <c r="G1883" t="e">
        <f>(Cpi_[[#This Row],[Value]]-F1882)/F1882</f>
        <v>#VALUE!</v>
      </c>
      <c r="H1883" t="e" cm="1" vm="1">
        <f t="array" aca="1" ref="H1883" ca="1">VLOOKUP(Cpi_[[#This Row],[Year]:[Month]],crudeoil[],3,FALSE)</f>
        <v>#VALUE!</v>
      </c>
    </row>
    <row r="1884" spans="1:8" hidden="1" x14ac:dyDescent="0.3">
      <c r="A1884" t="s">
        <v>30</v>
      </c>
      <c r="B1884">
        <v>2014</v>
      </c>
      <c r="C1884" t="s">
        <v>46</v>
      </c>
      <c r="D1884" t="s">
        <v>22</v>
      </c>
      <c r="E1884" t="e">
        <f>VLOOKUP(Cpi_[[#This Row],[Attribute]],#REF!,2,FALSE)</f>
        <v>#REF!</v>
      </c>
      <c r="F1884">
        <v>118.2</v>
      </c>
      <c r="G1884">
        <f>(Cpi_[[#This Row],[Value]]-F1883)/F1883</f>
        <v>6.8143100511073012E-3</v>
      </c>
      <c r="H1884" t="e" cm="1" vm="1">
        <f t="array" aca="1" ref="H1884" ca="1">VLOOKUP(Cpi_[[#This Row],[Year]:[Month]],crudeoil[],3,FALSE)</f>
        <v>#VALUE!</v>
      </c>
    </row>
    <row r="1885" spans="1:8" hidden="1" x14ac:dyDescent="0.3">
      <c r="A1885" t="s">
        <v>30</v>
      </c>
      <c r="B1885">
        <v>2014</v>
      </c>
      <c r="C1885" t="s">
        <v>46</v>
      </c>
      <c r="D1885" t="s">
        <v>23</v>
      </c>
      <c r="E1885" t="e">
        <f>VLOOKUP(Cpi_[[#This Row],[Attribute]],#REF!,2,FALSE)</f>
        <v>#REF!</v>
      </c>
      <c r="F1885">
        <v>116.2</v>
      </c>
      <c r="G1885">
        <f>(Cpi_[[#This Row],[Value]]-F1884)/F1884</f>
        <v>-1.6920473773265651E-2</v>
      </c>
      <c r="H1885" t="e" cm="1" vm="1">
        <f t="array" aca="1" ref="H1885" ca="1">VLOOKUP(Cpi_[[#This Row],[Year]:[Month]],crudeoil[],3,FALSE)</f>
        <v>#VALUE!</v>
      </c>
    </row>
    <row r="1886" spans="1:8" hidden="1" x14ac:dyDescent="0.3">
      <c r="A1886" t="s">
        <v>30</v>
      </c>
      <c r="B1886">
        <v>2014</v>
      </c>
      <c r="C1886" t="s">
        <v>46</v>
      </c>
      <c r="D1886" t="s">
        <v>24</v>
      </c>
      <c r="E1886" t="e">
        <f>VLOOKUP(Cpi_[[#This Row],[Attribute]],#REF!,2,FALSE)</f>
        <v>#REF!</v>
      </c>
      <c r="F1886">
        <v>111.5</v>
      </c>
      <c r="G1886">
        <f>(Cpi_[[#This Row],[Value]]-F1885)/F1885</f>
        <v>-4.0447504302926013E-2</v>
      </c>
      <c r="H1886" t="e" cm="1" vm="1">
        <f t="array" aca="1" ref="H1886" ca="1">VLOOKUP(Cpi_[[#This Row],[Year]:[Month]],crudeoil[],3,FALSE)</f>
        <v>#VALUE!</v>
      </c>
    </row>
    <row r="1887" spans="1:8" hidden="1" x14ac:dyDescent="0.3">
      <c r="A1887" t="s">
        <v>30</v>
      </c>
      <c r="B1887">
        <v>2014</v>
      </c>
      <c r="C1887" t="s">
        <v>46</v>
      </c>
      <c r="D1887" t="s">
        <v>25</v>
      </c>
      <c r="E1887" t="e">
        <f>VLOOKUP(Cpi_[[#This Row],[Attribute]],#REF!,2,FALSE)</f>
        <v>#REF!</v>
      </c>
      <c r="F1887">
        <v>113.3</v>
      </c>
      <c r="G1887">
        <f>(Cpi_[[#This Row],[Value]]-F1886)/F1886</f>
        <v>1.6143497757847507E-2</v>
      </c>
      <c r="H1887" t="e" cm="1" vm="1">
        <f t="array" aca="1" ref="H1887" ca="1">VLOOKUP(Cpi_[[#This Row],[Year]:[Month]],crudeoil[],3,FALSE)</f>
        <v>#VALUE!</v>
      </c>
    </row>
    <row r="1888" spans="1:8" hidden="1" x14ac:dyDescent="0.3">
      <c r="A1888" t="s">
        <v>30</v>
      </c>
      <c r="B1888">
        <v>2014</v>
      </c>
      <c r="C1888" t="s">
        <v>46</v>
      </c>
      <c r="D1888" t="s">
        <v>26</v>
      </c>
      <c r="E1888" t="e">
        <f>VLOOKUP(Cpi_[[#This Row],[Attribute]],#REF!,2,FALSE)</f>
        <v>#REF!</v>
      </c>
      <c r="F1888">
        <v>117.7</v>
      </c>
      <c r="G1888">
        <f>(Cpi_[[#This Row],[Value]]-F1887)/F1887</f>
        <v>3.8834951456310732E-2</v>
      </c>
      <c r="H1888" t="e" cm="1" vm="1">
        <f t="array" aca="1" ref="H1888" ca="1">VLOOKUP(Cpi_[[#This Row],[Year]:[Month]],crudeoil[],3,FALSE)</f>
        <v>#VALUE!</v>
      </c>
    </row>
    <row r="1889" spans="1:8" hidden="1" x14ac:dyDescent="0.3">
      <c r="A1889" t="s">
        <v>30</v>
      </c>
      <c r="B1889">
        <v>2014</v>
      </c>
      <c r="C1889" t="s">
        <v>46</v>
      </c>
      <c r="D1889" t="s">
        <v>27</v>
      </c>
      <c r="E1889" t="e">
        <f>VLOOKUP(Cpi_[[#This Row],[Attribute]],#REF!,2,FALSE)</f>
        <v>#REF!</v>
      </c>
      <c r="F1889">
        <v>109.4</v>
      </c>
      <c r="G1889">
        <f>(Cpi_[[#This Row],[Value]]-F1888)/F1888</f>
        <v>-7.051826677994899E-2</v>
      </c>
      <c r="H1889" t="e" cm="1" vm="1">
        <f t="array" aca="1" ref="H1889" ca="1">VLOOKUP(Cpi_[[#This Row],[Year]:[Month]],crudeoil[],3,FALSE)</f>
        <v>#VALUE!</v>
      </c>
    </row>
    <row r="1890" spans="1:8" hidden="1" x14ac:dyDescent="0.3">
      <c r="A1890" t="s">
        <v>30</v>
      </c>
      <c r="B1890">
        <v>2014</v>
      </c>
      <c r="C1890" t="s">
        <v>46</v>
      </c>
      <c r="D1890" t="s">
        <v>28</v>
      </c>
      <c r="E1890" t="e">
        <f>VLOOKUP(Cpi_[[#This Row],[Attribute]],#REF!,2,FALSE)</f>
        <v>#REF!</v>
      </c>
      <c r="F1890">
        <v>114.2</v>
      </c>
      <c r="G1890">
        <f>(Cpi_[[#This Row],[Value]]-F1889)/F1889</f>
        <v>4.3875685557586808E-2</v>
      </c>
      <c r="H1890" t="e" cm="1" vm="1">
        <f t="array" aca="1" ref="H1890" ca="1">VLOOKUP(Cpi_[[#This Row],[Year]:[Month]],crudeoil[],3,FALSE)</f>
        <v>#VALUE!</v>
      </c>
    </row>
    <row r="1891" spans="1:8" hidden="1" x14ac:dyDescent="0.3">
      <c r="A1891" t="s">
        <v>30</v>
      </c>
      <c r="B1891">
        <v>2014</v>
      </c>
      <c r="C1891" t="s">
        <v>46</v>
      </c>
      <c r="D1891" t="s">
        <v>29</v>
      </c>
      <c r="E1891" t="e" cm="1">
        <f t="array" aca="1" ref="E1891" ca="1">VLGeneral indexGeneral indexKUP(Cpi_[[#This Row],[Attribute]],#REF!,2,FALSE)</f>
        <v>#NAME?</v>
      </c>
      <c r="F1891">
        <v>120.3</v>
      </c>
      <c r="G1891">
        <f>(Cpi_[[#This Row],[Value]]-F1890)/F1890</f>
        <v>5.3415061295971927E-2</v>
      </c>
      <c r="H1891" t="e" cm="1" vm="1">
        <f t="array" aca="1" ref="H1891" ca="1">VLOOKUP(Cpi_[[#This Row],[Year]:[Month]],crudeoil[],3,FALSE)</f>
        <v>#VALUE!</v>
      </c>
    </row>
    <row r="1892" spans="1:8" hidden="1" x14ac:dyDescent="0.3">
      <c r="A1892" t="s">
        <v>33</v>
      </c>
      <c r="B1892">
        <v>2014</v>
      </c>
      <c r="C1892" t="s">
        <v>46</v>
      </c>
      <c r="D1892" t="s">
        <v>3</v>
      </c>
      <c r="E1892" t="e">
        <f>VLOOKUP(Cpi_[[#This Row],[Attribute]],#REF!,2,FALSE)</f>
        <v>#REF!</v>
      </c>
      <c r="F1892">
        <v>124</v>
      </c>
      <c r="G1892">
        <f>(Cpi_[[#This Row],[Value]]-F1891)/F1891</f>
        <v>3.0756442227763948E-2</v>
      </c>
      <c r="H1892" t="e" cm="1" vm="1">
        <f t="array" aca="1" ref="H1892" ca="1">VLOOKUP(Cpi_[[#This Row],[Year]:[Month]],crudeoil[],3,FALSE)</f>
        <v>#VALUE!</v>
      </c>
    </row>
    <row r="1893" spans="1:8" hidden="1" x14ac:dyDescent="0.3">
      <c r="A1893" t="s">
        <v>33</v>
      </c>
      <c r="B1893">
        <v>2014</v>
      </c>
      <c r="C1893" t="s">
        <v>46</v>
      </c>
      <c r="D1893" t="s">
        <v>4</v>
      </c>
      <c r="E1893" t="e">
        <f>VLOOKUP(Cpi_[[#This Row],[Attribute]],#REF!,2,FALSE)</f>
        <v>#REF!</v>
      </c>
      <c r="F1893">
        <v>124.7</v>
      </c>
      <c r="G1893">
        <f>(Cpi_[[#This Row],[Value]]-F1892)/F1892</f>
        <v>5.6451612903226037E-3</v>
      </c>
      <c r="H1893" t="e" cm="1" vm="1">
        <f t="array" aca="1" ref="H1893" ca="1">VLOOKUP(Cpi_[[#This Row],[Year]:[Month]],crudeoil[],3,FALSE)</f>
        <v>#VALUE!</v>
      </c>
    </row>
    <row r="1894" spans="1:8" hidden="1" x14ac:dyDescent="0.3">
      <c r="A1894" t="s">
        <v>33</v>
      </c>
      <c r="B1894">
        <v>2014</v>
      </c>
      <c r="C1894" t="s">
        <v>46</v>
      </c>
      <c r="D1894" t="s">
        <v>5</v>
      </c>
      <c r="E1894" t="e">
        <f>VLOOKUP(Cpi_[[#This Row],[Attribute]],#REF!,2,FALSE)</f>
        <v>#REF!</v>
      </c>
      <c r="F1894">
        <v>126.3</v>
      </c>
      <c r="G1894">
        <f>(Cpi_[[#This Row],[Value]]-F1893)/F1893</f>
        <v>1.283079390537285E-2</v>
      </c>
      <c r="H1894" t="e" cm="1" vm="1">
        <f t="array" aca="1" ref="H1894" ca="1">VLOOKUP(Cpi_[[#This Row],[Year]:[Month]],crudeoil[],3,FALSE)</f>
        <v>#VALUE!</v>
      </c>
    </row>
    <row r="1895" spans="1:8" hidden="1" x14ac:dyDescent="0.3">
      <c r="A1895" t="s">
        <v>33</v>
      </c>
      <c r="B1895">
        <v>2014</v>
      </c>
      <c r="C1895" t="s">
        <v>46</v>
      </c>
      <c r="D1895" t="s">
        <v>6</v>
      </c>
      <c r="E1895" t="e">
        <f>VLOOKUP(Cpi_[[#This Row],[Attribute]],#REF!,2,FALSE)</f>
        <v>#REF!</v>
      </c>
      <c r="F1895">
        <v>124.9</v>
      </c>
      <c r="G1895">
        <f>(Cpi_[[#This Row],[Value]]-F1894)/F1894</f>
        <v>-1.1084718923198665E-2</v>
      </c>
      <c r="H1895" t="e" cm="1" vm="1">
        <f t="array" aca="1" ref="H1895" ca="1">VLOOKUP(Cpi_[[#This Row],[Year]:[Month]],crudeoil[],3,FALSE)</f>
        <v>#VALUE!</v>
      </c>
    </row>
    <row r="1896" spans="1:8" hidden="1" x14ac:dyDescent="0.3">
      <c r="A1896" t="s">
        <v>33</v>
      </c>
      <c r="B1896">
        <v>2014</v>
      </c>
      <c r="C1896" t="s">
        <v>46</v>
      </c>
      <c r="D1896" t="s">
        <v>7</v>
      </c>
      <c r="E1896" t="e">
        <f>VLOOKUP(Cpi_[[#This Row],[Attribute]],#REF!,2,FALSE)</f>
        <v>#REF!</v>
      </c>
      <c r="F1896">
        <v>103</v>
      </c>
      <c r="G1896">
        <f>(Cpi_[[#This Row],[Value]]-F1895)/F1895</f>
        <v>-0.17534027221777426</v>
      </c>
      <c r="H1896" t="e" cm="1" vm="1">
        <f t="array" aca="1" ref="H1896" ca="1">VLOOKUP(Cpi_[[#This Row],[Year]:[Month]],crudeoil[],3,FALSE)</f>
        <v>#VALUE!</v>
      </c>
    </row>
    <row r="1897" spans="1:8" hidden="1" x14ac:dyDescent="0.3">
      <c r="A1897" t="s">
        <v>33</v>
      </c>
      <c r="B1897">
        <v>2014</v>
      </c>
      <c r="C1897" t="s">
        <v>46</v>
      </c>
      <c r="D1897" t="s">
        <v>8</v>
      </c>
      <c r="E1897" t="e">
        <f>VLOOKUP(Cpi_[[#This Row],[Attribute]],#REF!,2,FALSE)</f>
        <v>#REF!</v>
      </c>
      <c r="F1897">
        <v>122.3</v>
      </c>
      <c r="G1897">
        <f>(Cpi_[[#This Row],[Value]]-F1896)/F1896</f>
        <v>0.187378640776699</v>
      </c>
      <c r="H1897" t="e" cm="1" vm="1">
        <f t="array" aca="1" ref="H1897" ca="1">VLOOKUP(Cpi_[[#This Row],[Year]:[Month]],crudeoil[],3,FALSE)</f>
        <v>#VALUE!</v>
      </c>
    </row>
    <row r="1898" spans="1:8" hidden="1" x14ac:dyDescent="0.3">
      <c r="A1898" t="s">
        <v>33</v>
      </c>
      <c r="B1898">
        <v>2014</v>
      </c>
      <c r="C1898" t="s">
        <v>46</v>
      </c>
      <c r="D1898" t="s">
        <v>9</v>
      </c>
      <c r="E1898" t="e">
        <f>VLOOKUP(Cpi_[[#This Row],[Attribute]],#REF!,2,FALSE)</f>
        <v>#REF!</v>
      </c>
      <c r="F1898">
        <v>141</v>
      </c>
      <c r="G1898">
        <f>(Cpi_[[#This Row],[Value]]-F1897)/F1897</f>
        <v>0.15290269828291089</v>
      </c>
      <c r="H1898" t="e" cm="1" vm="1">
        <f t="array" aca="1" ref="H1898" ca="1">VLOOKUP(Cpi_[[#This Row],[Year]:[Month]],crudeoil[],3,FALSE)</f>
        <v>#VALUE!</v>
      </c>
    </row>
    <row r="1899" spans="1:8" hidden="1" x14ac:dyDescent="0.3">
      <c r="A1899" t="s">
        <v>33</v>
      </c>
      <c r="B1899">
        <v>2014</v>
      </c>
      <c r="C1899" t="s">
        <v>46</v>
      </c>
      <c r="D1899" t="s">
        <v>10</v>
      </c>
      <c r="E1899" t="e">
        <f>VLOOKUP(Cpi_[[#This Row],[Attribute]],#REF!,2,FALSE)</f>
        <v>#REF!</v>
      </c>
      <c r="F1899">
        <v>120.1</v>
      </c>
      <c r="G1899">
        <f>(Cpi_[[#This Row],[Value]]-F1898)/F1898</f>
        <v>-0.14822695035460998</v>
      </c>
      <c r="H1899" t="e" cm="1" vm="1">
        <f t="array" aca="1" ref="H1899" ca="1">VLOOKUP(Cpi_[[#This Row],[Year]:[Month]],crudeoil[],3,FALSE)</f>
        <v>#VALUE!</v>
      </c>
    </row>
    <row r="1900" spans="1:8" hidden="1" x14ac:dyDescent="0.3">
      <c r="A1900" t="s">
        <v>33</v>
      </c>
      <c r="B1900">
        <v>2014</v>
      </c>
      <c r="C1900" t="s">
        <v>46</v>
      </c>
      <c r="D1900" t="s">
        <v>11</v>
      </c>
      <c r="E1900" t="e">
        <f>VLOOKUP(Cpi_[[#This Row],[Attribute]],#REF!,2,FALSE)</f>
        <v>#REF!</v>
      </c>
      <c r="F1900">
        <v>97.8</v>
      </c>
      <c r="G1900">
        <f>(Cpi_[[#This Row],[Value]]-F1899)/F1899</f>
        <v>-0.18567860116569523</v>
      </c>
      <c r="H1900" t="e" cm="1" vm="1">
        <f t="array" aca="1" ref="H1900" ca="1">VLOOKUP(Cpi_[[#This Row],[Year]:[Month]],crudeoil[],3,FALSE)</f>
        <v>#VALUE!</v>
      </c>
    </row>
    <row r="1901" spans="1:8" hidden="1" x14ac:dyDescent="0.3">
      <c r="A1901" t="s">
        <v>33</v>
      </c>
      <c r="B1901">
        <v>2014</v>
      </c>
      <c r="C1901" t="s">
        <v>46</v>
      </c>
      <c r="D1901" t="s">
        <v>12</v>
      </c>
      <c r="E1901" t="e">
        <f>VLOOKUP(Cpi_[[#This Row],[Attribute]],#REF!,2,FALSE)</f>
        <v>#REF!</v>
      </c>
      <c r="F1901">
        <v>125.4</v>
      </c>
      <c r="G1901">
        <f>(Cpi_[[#This Row],[Value]]-F1900)/F1900</f>
        <v>0.28220858895705531</v>
      </c>
      <c r="H1901" t="e" cm="1" vm="1">
        <f t="array" aca="1" ref="H1901" ca="1">VLOOKUP(Cpi_[[#This Row],[Year]:[Month]],crudeoil[],3,FALSE)</f>
        <v>#VALUE!</v>
      </c>
    </row>
    <row r="1902" spans="1:8" hidden="1" x14ac:dyDescent="0.3">
      <c r="A1902" t="s">
        <v>33</v>
      </c>
      <c r="B1902">
        <v>2014</v>
      </c>
      <c r="C1902" t="s">
        <v>46</v>
      </c>
      <c r="D1902" t="s">
        <v>13</v>
      </c>
      <c r="E1902" t="e">
        <f>VLOOKUP(Cpi_[[#This Row],[Attribute]],#REF!,2,FALSE)</f>
        <v>#REF!</v>
      </c>
      <c r="F1902">
        <v>116.1</v>
      </c>
      <c r="G1902">
        <f>(Cpi_[[#This Row],[Value]]-F1901)/F1901</f>
        <v>-7.4162679425837402E-2</v>
      </c>
      <c r="H1902" t="e" cm="1" vm="1">
        <f t="array" aca="1" ref="H1902" ca="1">VLOOKUP(Cpi_[[#This Row],[Year]:[Month]],crudeoil[],3,FALSE)</f>
        <v>#VALUE!</v>
      </c>
    </row>
    <row r="1903" spans="1:8" hidden="1" x14ac:dyDescent="0.3">
      <c r="A1903" t="s">
        <v>33</v>
      </c>
      <c r="B1903">
        <v>2014</v>
      </c>
      <c r="C1903" t="s">
        <v>46</v>
      </c>
      <c r="D1903" t="s">
        <v>14</v>
      </c>
      <c r="E1903" t="e">
        <f>VLOOKUP(Cpi_[[#This Row],[Attribute]],#REF!,2,FALSE)</f>
        <v>#REF!</v>
      </c>
      <c r="F1903">
        <v>127.6</v>
      </c>
      <c r="G1903">
        <f>(Cpi_[[#This Row],[Value]]-F1902)/F1902</f>
        <v>9.905254091300604E-2</v>
      </c>
      <c r="H1903" t="e" cm="1" vm="1">
        <f t="array" aca="1" ref="H1903" ca="1">VLOOKUP(Cpi_[[#This Row],[Year]:[Month]],crudeoil[],3,FALSE)</f>
        <v>#VALUE!</v>
      </c>
    </row>
    <row r="1904" spans="1:8" hidden="1" x14ac:dyDescent="0.3">
      <c r="A1904" t="s">
        <v>33</v>
      </c>
      <c r="B1904">
        <v>2014</v>
      </c>
      <c r="C1904" t="s">
        <v>46</v>
      </c>
      <c r="D1904" t="s">
        <v>15</v>
      </c>
      <c r="E1904" t="e">
        <f>VLOOKUP(Cpi_[[#This Row],[Attribute]],#REF!,2,FALSE)</f>
        <v>#REF!</v>
      </c>
      <c r="F1904">
        <v>124</v>
      </c>
      <c r="G1904">
        <f>(Cpi_[[#This Row],[Value]]-F1903)/F1903</f>
        <v>-2.8213166144200583E-2</v>
      </c>
      <c r="H1904" t="e" cm="1" vm="1">
        <f t="array" aca="1" ref="H1904" ca="1">VLOOKUP(Cpi_[[#This Row],[Year]:[Month]],crudeoil[],3,FALSE)</f>
        <v>#VALUE!</v>
      </c>
    </row>
    <row r="1905" spans="1:8" hidden="1" x14ac:dyDescent="0.3">
      <c r="A1905" t="s">
        <v>33</v>
      </c>
      <c r="B1905">
        <v>2014</v>
      </c>
      <c r="C1905" t="s">
        <v>46</v>
      </c>
      <c r="D1905" t="s">
        <v>16</v>
      </c>
      <c r="E1905" t="e">
        <f>VLOOKUP(Cpi_[[#This Row],[Attribute]],#REF!,2,FALSE)</f>
        <v>#REF!</v>
      </c>
      <c r="F1905">
        <v>126.4</v>
      </c>
      <c r="G1905">
        <f>(Cpi_[[#This Row],[Value]]-F1904)/F1904</f>
        <v>1.9354838709677465E-2</v>
      </c>
      <c r="H1905" t="e" cm="1" vm="1">
        <f t="array" aca="1" ref="H1905" ca="1">VLOOKUP(Cpi_[[#This Row],[Year]:[Month]],crudeoil[],3,FALSE)</f>
        <v>#VALUE!</v>
      </c>
    </row>
    <row r="1906" spans="1:8" hidden="1" x14ac:dyDescent="0.3">
      <c r="A1906" t="s">
        <v>33</v>
      </c>
      <c r="B1906">
        <v>2014</v>
      </c>
      <c r="C1906" t="s">
        <v>46</v>
      </c>
      <c r="D1906" t="s">
        <v>17</v>
      </c>
      <c r="E1906" t="e">
        <f>VLOOKUP(Cpi_[[#This Row],[Attribute]],#REF!,2,FALSE)</f>
        <v>#REF!</v>
      </c>
      <c r="F1906">
        <v>120.7</v>
      </c>
      <c r="G1906">
        <f>(Cpi_[[#This Row],[Value]]-F1905)/F1905</f>
        <v>-4.5094936708860778E-2</v>
      </c>
      <c r="H1906" t="e" cm="1" vm="1">
        <f t="array" aca="1" ref="H1906" ca="1">VLOOKUP(Cpi_[[#This Row],[Year]:[Month]],crudeoil[],3,FALSE)</f>
        <v>#VALUE!</v>
      </c>
    </row>
    <row r="1907" spans="1:8" hidden="1" x14ac:dyDescent="0.3">
      <c r="A1907" t="s">
        <v>33</v>
      </c>
      <c r="B1907">
        <v>2014</v>
      </c>
      <c r="C1907" t="s">
        <v>46</v>
      </c>
      <c r="D1907" t="s">
        <v>18</v>
      </c>
      <c r="E1907" t="e">
        <f>VLOOKUP(Cpi_[[#This Row],[Attribute]],#REF!,2,FALSE)</f>
        <v>#REF!</v>
      </c>
      <c r="F1907">
        <v>115.8</v>
      </c>
      <c r="G1907">
        <f>(Cpi_[[#This Row],[Value]]-F1906)/F1906</f>
        <v>-4.0596520298260198E-2</v>
      </c>
      <c r="H1907" t="e" cm="1" vm="1">
        <f t="array" aca="1" ref="H1907" ca="1">VLOOKUP(Cpi_[[#This Row],[Year]:[Month]],crudeoil[],3,FALSE)</f>
        <v>#VALUE!</v>
      </c>
    </row>
    <row r="1908" spans="1:8" hidden="1" x14ac:dyDescent="0.3">
      <c r="A1908" t="s">
        <v>33</v>
      </c>
      <c r="B1908">
        <v>2014</v>
      </c>
      <c r="C1908" t="s">
        <v>46</v>
      </c>
      <c r="D1908" t="s">
        <v>19</v>
      </c>
      <c r="E1908" t="e">
        <f>VLOOKUP(Cpi_[[#This Row],[Attribute]],#REF!,2,FALSE)</f>
        <v>#REF!</v>
      </c>
      <c r="F1908">
        <v>120</v>
      </c>
      <c r="G1908">
        <f>(Cpi_[[#This Row],[Value]]-F1907)/F1907</f>
        <v>3.6269430051813496E-2</v>
      </c>
      <c r="H1908" t="e" cm="1" vm="1">
        <f t="array" aca="1" ref="H1908" ca="1">VLOOKUP(Cpi_[[#This Row],[Year]:[Month]],crudeoil[],3,FALSE)</f>
        <v>#VALUE!</v>
      </c>
    </row>
    <row r="1909" spans="1:8" hidden="1" x14ac:dyDescent="0.3">
      <c r="A1909" t="s">
        <v>33</v>
      </c>
      <c r="B1909">
        <v>2014</v>
      </c>
      <c r="C1909" t="s">
        <v>46</v>
      </c>
      <c r="D1909" t="s">
        <v>20</v>
      </c>
      <c r="E1909" t="e">
        <f>VLOOKUP(Cpi_[[#This Row],[Attribute]],#REF!,2,FALSE)</f>
        <v>#REF!</v>
      </c>
      <c r="F1909">
        <v>116.5</v>
      </c>
      <c r="G1909">
        <f>(Cpi_[[#This Row],[Value]]-F1908)/F1908</f>
        <v>-2.9166666666666667E-2</v>
      </c>
      <c r="H1909" t="e" cm="1" vm="1">
        <f t="array" aca="1" ref="H1909" ca="1">VLOOKUP(Cpi_[[#This Row],[Year]:[Month]],crudeoil[],3,FALSE)</f>
        <v>#VALUE!</v>
      </c>
    </row>
    <row r="1910" spans="1:8" hidden="1" x14ac:dyDescent="0.3">
      <c r="A1910" t="s">
        <v>33</v>
      </c>
      <c r="B1910">
        <v>2014</v>
      </c>
      <c r="C1910" t="s">
        <v>46</v>
      </c>
      <c r="D1910" t="s">
        <v>21</v>
      </c>
      <c r="E1910" t="e">
        <f>VLOOKUP(Cpi_[[#This Row],[Attribute]],#REF!,2,FALSE)</f>
        <v>#REF!</v>
      </c>
      <c r="F1910">
        <v>113</v>
      </c>
      <c r="G1910">
        <f>(Cpi_[[#This Row],[Value]]-F1909)/F1909</f>
        <v>-3.0042918454935622E-2</v>
      </c>
      <c r="H1910" t="e" cm="1" vm="1">
        <f t="array" aca="1" ref="H1910" ca="1">VLOOKUP(Cpi_[[#This Row],[Year]:[Month]],crudeoil[],3,FALSE)</f>
        <v>#VALUE!</v>
      </c>
    </row>
    <row r="1911" spans="1:8" hidden="1" x14ac:dyDescent="0.3">
      <c r="A1911" t="s">
        <v>33</v>
      </c>
      <c r="B1911">
        <v>2014</v>
      </c>
      <c r="C1911" t="s">
        <v>46</v>
      </c>
      <c r="D1911" t="s">
        <v>22</v>
      </c>
      <c r="E1911" t="e">
        <f>VLOOKUP(Cpi_[[#This Row],[Attribute]],#REF!,2,FALSE)</f>
        <v>#REF!</v>
      </c>
      <c r="F1911">
        <v>116.8</v>
      </c>
      <c r="G1911">
        <f>(Cpi_[[#This Row],[Value]]-F1910)/F1910</f>
        <v>3.3628318584070768E-2</v>
      </c>
      <c r="H1911" t="e" cm="1" vm="1">
        <f t="array" aca="1" ref="H1911" ca="1">VLOOKUP(Cpi_[[#This Row],[Year]:[Month]],crudeoil[],3,FALSE)</f>
        <v>#VALUE!</v>
      </c>
    </row>
    <row r="1912" spans="1:8" hidden="1" x14ac:dyDescent="0.3">
      <c r="A1912" t="s">
        <v>33</v>
      </c>
      <c r="B1912">
        <v>2014</v>
      </c>
      <c r="C1912" t="s">
        <v>46</v>
      </c>
      <c r="D1912" t="s">
        <v>23</v>
      </c>
      <c r="E1912" t="e">
        <f>VLOOKUP(Cpi_[[#This Row],[Attribute]],#REF!,2,FALSE)</f>
        <v>#REF!</v>
      </c>
      <c r="F1912">
        <v>113.2</v>
      </c>
      <c r="G1912">
        <f>(Cpi_[[#This Row],[Value]]-F1911)/F1911</f>
        <v>-3.0821917808219131E-2</v>
      </c>
      <c r="H1912" t="e" cm="1" vm="1">
        <f t="array" aca="1" ref="H1912" ca="1">VLOOKUP(Cpi_[[#This Row],[Year]:[Month]],crudeoil[],3,FALSE)</f>
        <v>#VALUE!</v>
      </c>
    </row>
    <row r="1913" spans="1:8" hidden="1" x14ac:dyDescent="0.3">
      <c r="A1913" t="s">
        <v>33</v>
      </c>
      <c r="B1913">
        <v>2014</v>
      </c>
      <c r="C1913" t="s">
        <v>46</v>
      </c>
      <c r="D1913" t="s">
        <v>24</v>
      </c>
      <c r="E1913" t="e">
        <f>VLOOKUP(Cpi_[[#This Row],[Attribute]],#REF!,2,FALSE)</f>
        <v>#REF!</v>
      </c>
      <c r="F1913">
        <v>108.8</v>
      </c>
      <c r="G1913">
        <f>(Cpi_[[#This Row],[Value]]-F1912)/F1912</f>
        <v>-3.8869257950530083E-2</v>
      </c>
      <c r="H1913" t="e" cm="1" vm="1">
        <f t="array" aca="1" ref="H1913" ca="1">VLOOKUP(Cpi_[[#This Row],[Year]:[Month]],crudeoil[],3,FALSE)</f>
        <v>#VALUE!</v>
      </c>
    </row>
    <row r="1914" spans="1:8" hidden="1" x14ac:dyDescent="0.3">
      <c r="A1914" t="s">
        <v>33</v>
      </c>
      <c r="B1914">
        <v>2014</v>
      </c>
      <c r="C1914" t="s">
        <v>46</v>
      </c>
      <c r="D1914" t="s">
        <v>25</v>
      </c>
      <c r="E1914" t="e">
        <f>VLOOKUP(Cpi_[[#This Row],[Attribute]],#REF!,2,FALSE)</f>
        <v>#REF!</v>
      </c>
      <c r="F1914">
        <v>114.3</v>
      </c>
      <c r="G1914">
        <f>(Cpi_[[#This Row],[Value]]-F1913)/F1913</f>
        <v>5.0551470588235295E-2</v>
      </c>
      <c r="H1914" t="e" cm="1" vm="1">
        <f t="array" aca="1" ref="H1914" ca="1">VLOOKUP(Cpi_[[#This Row],[Year]:[Month]],crudeoil[],3,FALSE)</f>
        <v>#VALUE!</v>
      </c>
    </row>
    <row r="1915" spans="1:8" hidden="1" x14ac:dyDescent="0.3">
      <c r="A1915" t="s">
        <v>33</v>
      </c>
      <c r="B1915">
        <v>2014</v>
      </c>
      <c r="C1915" t="s">
        <v>46</v>
      </c>
      <c r="D1915" t="s">
        <v>26</v>
      </c>
      <c r="E1915" t="e">
        <f>VLOOKUP(Cpi_[[#This Row],[Attribute]],#REF!,2,FALSE)</f>
        <v>#REF!</v>
      </c>
      <c r="F1915">
        <v>120.7</v>
      </c>
      <c r="G1915">
        <f>(Cpi_[[#This Row],[Value]]-F1914)/F1914</f>
        <v>5.5993000874890689E-2</v>
      </c>
      <c r="H1915" t="e" cm="1" vm="1">
        <f t="array" aca="1" ref="H1915" ca="1">VLOOKUP(Cpi_[[#This Row],[Year]:[Month]],crudeoil[],3,FALSE)</f>
        <v>#VALUE!</v>
      </c>
    </row>
    <row r="1916" spans="1:8" hidden="1" x14ac:dyDescent="0.3">
      <c r="A1916" t="s">
        <v>33</v>
      </c>
      <c r="B1916">
        <v>2014</v>
      </c>
      <c r="C1916" t="s">
        <v>46</v>
      </c>
      <c r="D1916" t="s">
        <v>27</v>
      </c>
      <c r="E1916" t="e">
        <f>VLOOKUP(Cpi_[[#This Row],[Attribute]],#REF!,2,FALSE)</f>
        <v>#REF!</v>
      </c>
      <c r="F1916">
        <v>110.4</v>
      </c>
      <c r="G1916">
        <f>(Cpi_[[#This Row],[Value]]-F1915)/F1915</f>
        <v>-8.5335542667771311E-2</v>
      </c>
      <c r="H1916" t="e" cm="1" vm="1">
        <f t="array" aca="1" ref="H1916" ca="1">VLOOKUP(Cpi_[[#This Row],[Year]:[Month]],crudeoil[],3,FALSE)</f>
        <v>#VALUE!</v>
      </c>
    </row>
    <row r="1917" spans="1:8" hidden="1" x14ac:dyDescent="0.3">
      <c r="A1917" t="s">
        <v>33</v>
      </c>
      <c r="B1917">
        <v>2014</v>
      </c>
      <c r="C1917" t="s">
        <v>46</v>
      </c>
      <c r="D1917" t="s">
        <v>28</v>
      </c>
      <c r="E1917" t="e">
        <f>VLOOKUP(Cpi_[[#This Row],[Attribute]],#REF!,2,FALSE)</f>
        <v>#REF!</v>
      </c>
      <c r="F1917">
        <v>113.4</v>
      </c>
      <c r="G1917">
        <f>(Cpi_[[#This Row],[Value]]-F1916)/F1916</f>
        <v>2.717391304347826E-2</v>
      </c>
      <c r="H1917" t="e" cm="1" vm="1">
        <f t="array" aca="1" ref="H1917" ca="1">VLOOKUP(Cpi_[[#This Row],[Year]:[Month]],crudeoil[],3,FALSE)</f>
        <v>#VALUE!</v>
      </c>
    </row>
    <row r="1918" spans="1:8" hidden="1" x14ac:dyDescent="0.3">
      <c r="A1918" t="s">
        <v>33</v>
      </c>
      <c r="B1918">
        <v>2014</v>
      </c>
      <c r="C1918" t="s">
        <v>46</v>
      </c>
      <c r="D1918" t="s">
        <v>29</v>
      </c>
      <c r="E1918" t="e" cm="1">
        <f t="array" aca="1" ref="E1918" ca="1">VLGeneral indexGeneral indexKUP(Cpi_[[#This Row],[Attribute]],#REF!,2,FALSE)</f>
        <v>#NAME?</v>
      </c>
      <c r="F1918">
        <v>118.4</v>
      </c>
      <c r="G1918">
        <f>(Cpi_[[#This Row],[Value]]-F1917)/F1917</f>
        <v>4.4091710758377423E-2</v>
      </c>
      <c r="H1918" t="e" cm="1" vm="1">
        <f t="array" aca="1" ref="H1918" ca="1">VLOOKUP(Cpi_[[#This Row],[Year]:[Month]],crudeoil[],3,FALSE)</f>
        <v>#VALUE!</v>
      </c>
    </row>
    <row r="1919" spans="1:8" hidden="1" x14ac:dyDescent="0.3">
      <c r="A1919" t="s">
        <v>34</v>
      </c>
      <c r="B1919">
        <v>2014</v>
      </c>
      <c r="C1919" t="s">
        <v>46</v>
      </c>
      <c r="D1919" t="s">
        <v>3</v>
      </c>
      <c r="E1919" t="e">
        <f>VLOOKUP(Cpi_[[#This Row],[Attribute]],#REF!,2,FALSE)</f>
        <v>#REF!</v>
      </c>
      <c r="F1919">
        <v>122.9</v>
      </c>
      <c r="G1919">
        <f>(Cpi_[[#This Row],[Value]]-F1918)/F1918</f>
        <v>3.8006756756756757E-2</v>
      </c>
      <c r="H1919" t="e" cm="1" vm="1">
        <f t="array" aca="1" ref="H1919" ca="1">VLOOKUP(Cpi_[[#This Row],[Year]:[Month]],crudeoil[],3,FALSE)</f>
        <v>#VALUE!</v>
      </c>
    </row>
    <row r="1920" spans="1:8" hidden="1" x14ac:dyDescent="0.3">
      <c r="A1920" t="s">
        <v>34</v>
      </c>
      <c r="B1920">
        <v>2014</v>
      </c>
      <c r="C1920" t="s">
        <v>46</v>
      </c>
      <c r="D1920" t="s">
        <v>4</v>
      </c>
      <c r="E1920" t="e">
        <f>VLOOKUP(Cpi_[[#This Row],[Attribute]],#REF!,2,FALSE)</f>
        <v>#REF!</v>
      </c>
      <c r="F1920">
        <v>123.2</v>
      </c>
      <c r="G1920">
        <f>(Cpi_[[#This Row],[Value]]-F1919)/F1919</f>
        <v>2.441008950366128E-3</v>
      </c>
      <c r="H1920" t="e" cm="1" vm="1">
        <f t="array" aca="1" ref="H1920" ca="1">VLOOKUP(Cpi_[[#This Row],[Year]:[Month]],crudeoil[],3,FALSE)</f>
        <v>#VALUE!</v>
      </c>
    </row>
    <row r="1921" spans="1:8" hidden="1" x14ac:dyDescent="0.3">
      <c r="A1921" t="s">
        <v>34</v>
      </c>
      <c r="B1921">
        <v>2014</v>
      </c>
      <c r="C1921" t="s">
        <v>46</v>
      </c>
      <c r="D1921" t="s">
        <v>5</v>
      </c>
      <c r="E1921" t="e">
        <f>VLOOKUP(Cpi_[[#This Row],[Attribute]],#REF!,2,FALSE)</f>
        <v>#REF!</v>
      </c>
      <c r="F1921">
        <v>123.5</v>
      </c>
      <c r="G1921">
        <f>(Cpi_[[#This Row],[Value]]-F1920)/F1920</f>
        <v>2.435064935064912E-3</v>
      </c>
      <c r="H1921" t="e" cm="1" vm="1">
        <f t="array" aca="1" ref="H1921" ca="1">VLOOKUP(Cpi_[[#This Row],[Year]:[Month]],crudeoil[],3,FALSE)</f>
        <v>#VALUE!</v>
      </c>
    </row>
    <row r="1922" spans="1:8" hidden="1" x14ac:dyDescent="0.3">
      <c r="A1922" t="s">
        <v>34</v>
      </c>
      <c r="B1922">
        <v>2014</v>
      </c>
      <c r="C1922" t="s">
        <v>46</v>
      </c>
      <c r="D1922" t="s">
        <v>6</v>
      </c>
      <c r="E1922" t="e">
        <f>VLOOKUP(Cpi_[[#This Row],[Attribute]],#REF!,2,FALSE)</f>
        <v>#REF!</v>
      </c>
      <c r="F1922">
        <v>124.5</v>
      </c>
      <c r="G1922">
        <f>(Cpi_[[#This Row],[Value]]-F1921)/F1921</f>
        <v>8.0971659919028341E-3</v>
      </c>
      <c r="H1922" t="e" cm="1" vm="1">
        <f t="array" aca="1" ref="H1922" ca="1">VLOOKUP(Cpi_[[#This Row],[Year]:[Month]],crudeoil[],3,FALSE)</f>
        <v>#VALUE!</v>
      </c>
    </row>
    <row r="1923" spans="1:8" hidden="1" x14ac:dyDescent="0.3">
      <c r="A1923" t="s">
        <v>34</v>
      </c>
      <c r="B1923">
        <v>2014</v>
      </c>
      <c r="C1923" t="s">
        <v>46</v>
      </c>
      <c r="D1923" t="s">
        <v>7</v>
      </c>
      <c r="E1923" t="e">
        <f>VLOOKUP(Cpi_[[#This Row],[Attribute]],#REF!,2,FALSE)</f>
        <v>#REF!</v>
      </c>
      <c r="F1923">
        <v>107.6</v>
      </c>
      <c r="G1923">
        <f>(Cpi_[[#This Row],[Value]]-F1922)/F1922</f>
        <v>-0.13574297188755025</v>
      </c>
      <c r="H1923" t="e" cm="1" vm="1">
        <f t="array" aca="1" ref="H1923" ca="1">VLOOKUP(Cpi_[[#This Row],[Year]:[Month]],crudeoil[],3,FALSE)</f>
        <v>#VALUE!</v>
      </c>
    </row>
    <row r="1924" spans="1:8" hidden="1" x14ac:dyDescent="0.3">
      <c r="A1924" t="s">
        <v>34</v>
      </c>
      <c r="B1924">
        <v>2014</v>
      </c>
      <c r="C1924" t="s">
        <v>46</v>
      </c>
      <c r="D1924" t="s">
        <v>8</v>
      </c>
      <c r="E1924" t="e">
        <f>VLOOKUP(Cpi_[[#This Row],[Attribute]],#REF!,2,FALSE)</f>
        <v>#REF!</v>
      </c>
      <c r="F1924">
        <v>125.7</v>
      </c>
      <c r="G1924">
        <f>(Cpi_[[#This Row],[Value]]-F1923)/F1923</f>
        <v>0.16821561338289973</v>
      </c>
      <c r="H1924" t="e" cm="1" vm="1">
        <f t="array" aca="1" ref="H1924" ca="1">VLOOKUP(Cpi_[[#This Row],[Year]:[Month]],crudeoil[],3,FALSE)</f>
        <v>#VALUE!</v>
      </c>
    </row>
    <row r="1925" spans="1:8" hidden="1" x14ac:dyDescent="0.3">
      <c r="A1925" t="s">
        <v>34</v>
      </c>
      <c r="B1925">
        <v>2014</v>
      </c>
      <c r="C1925" t="s">
        <v>46</v>
      </c>
      <c r="D1925" t="s">
        <v>9</v>
      </c>
      <c r="E1925" t="e">
        <f>VLOOKUP(Cpi_[[#This Row],[Attribute]],#REF!,2,FALSE)</f>
        <v>#REF!</v>
      </c>
      <c r="F1925">
        <v>140.5</v>
      </c>
      <c r="G1925">
        <f>(Cpi_[[#This Row],[Value]]-F1924)/F1924</f>
        <v>0.11774065234685757</v>
      </c>
      <c r="H1925" t="e" cm="1" vm="1">
        <f t="array" aca="1" ref="H1925" ca="1">VLOOKUP(Cpi_[[#This Row],[Year]:[Month]],crudeoil[],3,FALSE)</f>
        <v>#VALUE!</v>
      </c>
    </row>
    <row r="1926" spans="1:8" hidden="1" x14ac:dyDescent="0.3">
      <c r="A1926" t="s">
        <v>34</v>
      </c>
      <c r="B1926">
        <v>2014</v>
      </c>
      <c r="C1926" t="s">
        <v>46</v>
      </c>
      <c r="D1926" t="s">
        <v>10</v>
      </c>
      <c r="E1926" t="e">
        <f>VLOOKUP(Cpi_[[#This Row],[Attribute]],#REF!,2,FALSE)</f>
        <v>#REF!</v>
      </c>
      <c r="F1926">
        <v>117.6</v>
      </c>
      <c r="G1926">
        <f>(Cpi_[[#This Row],[Value]]-F1925)/F1925</f>
        <v>-0.16298932384341641</v>
      </c>
      <c r="H1926" t="e" cm="1" vm="1">
        <f t="array" aca="1" ref="H1926" ca="1">VLOOKUP(Cpi_[[#This Row],[Year]:[Month]],crudeoil[],3,FALSE)</f>
        <v>#VALUE!</v>
      </c>
    </row>
    <row r="1927" spans="1:8" hidden="1" x14ac:dyDescent="0.3">
      <c r="A1927" t="s">
        <v>34</v>
      </c>
      <c r="B1927">
        <v>2014</v>
      </c>
      <c r="C1927" t="s">
        <v>46</v>
      </c>
      <c r="D1927" t="s">
        <v>11</v>
      </c>
      <c r="E1927" t="e">
        <f>VLOOKUP(Cpi_[[#This Row],[Attribute]],#REF!,2,FALSE)</f>
        <v>#REF!</v>
      </c>
      <c r="F1927">
        <v>100.6</v>
      </c>
      <c r="G1927">
        <f>(Cpi_[[#This Row],[Value]]-F1926)/F1926</f>
        <v>-0.14455782312925169</v>
      </c>
      <c r="H1927" t="e" cm="1" vm="1">
        <f t="array" aca="1" ref="H1927" ca="1">VLOOKUP(Cpi_[[#This Row],[Year]:[Month]],crudeoil[],3,FALSE)</f>
        <v>#VALUE!</v>
      </c>
    </row>
    <row r="1928" spans="1:8" hidden="1" x14ac:dyDescent="0.3">
      <c r="A1928" t="s">
        <v>34</v>
      </c>
      <c r="B1928">
        <v>2014</v>
      </c>
      <c r="C1928" t="s">
        <v>46</v>
      </c>
      <c r="D1928" t="s">
        <v>12</v>
      </c>
      <c r="E1928" t="e">
        <f>VLOOKUP(Cpi_[[#This Row],[Attribute]],#REF!,2,FALSE)</f>
        <v>#REF!</v>
      </c>
      <c r="F1928">
        <v>119.1</v>
      </c>
      <c r="G1928">
        <f>(Cpi_[[#This Row],[Value]]-F1927)/F1927</f>
        <v>0.18389662027833004</v>
      </c>
      <c r="H1928" t="e" cm="1" vm="1">
        <f t="array" aca="1" ref="H1928" ca="1">VLOOKUP(Cpi_[[#This Row],[Year]:[Month]],crudeoil[],3,FALSE)</f>
        <v>#VALUE!</v>
      </c>
    </row>
    <row r="1929" spans="1:8" hidden="1" x14ac:dyDescent="0.3">
      <c r="A1929" t="s">
        <v>34</v>
      </c>
      <c r="B1929">
        <v>2014</v>
      </c>
      <c r="C1929" t="s">
        <v>46</v>
      </c>
      <c r="D1929" t="s">
        <v>13</v>
      </c>
      <c r="E1929" t="e">
        <f>VLOOKUP(Cpi_[[#This Row],[Attribute]],#REF!,2,FALSE)</f>
        <v>#REF!</v>
      </c>
      <c r="F1929">
        <v>116.8</v>
      </c>
      <c r="G1929">
        <f>(Cpi_[[#This Row],[Value]]-F1928)/F1928</f>
        <v>-1.9311502938706947E-2</v>
      </c>
      <c r="H1929" t="e" cm="1" vm="1">
        <f t="array" aca="1" ref="H1929" ca="1">VLOOKUP(Cpi_[[#This Row],[Year]:[Month]],crudeoil[],3,FALSE)</f>
        <v>#VALUE!</v>
      </c>
    </row>
    <row r="1930" spans="1:8" hidden="1" x14ac:dyDescent="0.3">
      <c r="A1930" t="s">
        <v>34</v>
      </c>
      <c r="B1930">
        <v>2014</v>
      </c>
      <c r="C1930" t="s">
        <v>46</v>
      </c>
      <c r="D1930" t="s">
        <v>14</v>
      </c>
      <c r="E1930" t="e">
        <f>VLOOKUP(Cpi_[[#This Row],[Attribute]],#REF!,2,FALSE)</f>
        <v>#REF!</v>
      </c>
      <c r="F1930">
        <v>126.1</v>
      </c>
      <c r="G1930">
        <f>(Cpi_[[#This Row],[Value]]-F1929)/F1929</f>
        <v>7.9623287671232848E-2</v>
      </c>
      <c r="H1930" t="e" cm="1" vm="1">
        <f t="array" aca="1" ref="H1930" ca="1">VLOOKUP(Cpi_[[#This Row],[Year]:[Month]],crudeoil[],3,FALSE)</f>
        <v>#VALUE!</v>
      </c>
    </row>
    <row r="1931" spans="1:8" hidden="1" x14ac:dyDescent="0.3">
      <c r="A1931" t="s">
        <v>34</v>
      </c>
      <c r="B1931">
        <v>2014</v>
      </c>
      <c r="C1931" t="s">
        <v>46</v>
      </c>
      <c r="D1931" t="s">
        <v>15</v>
      </c>
      <c r="E1931" t="e">
        <f>VLOOKUP(Cpi_[[#This Row],[Attribute]],#REF!,2,FALSE)</f>
        <v>#REF!</v>
      </c>
      <c r="F1931">
        <v>123.6</v>
      </c>
      <c r="G1931">
        <f>(Cpi_[[#This Row],[Value]]-F1930)/F1930</f>
        <v>-1.9825535289452818E-2</v>
      </c>
      <c r="H1931" t="e" cm="1" vm="1">
        <f t="array" aca="1" ref="H1931" ca="1">VLOOKUP(Cpi_[[#This Row],[Year]:[Month]],crudeoil[],3,FALSE)</f>
        <v>#VALUE!</v>
      </c>
    </row>
    <row r="1932" spans="1:8" hidden="1" x14ac:dyDescent="0.3">
      <c r="A1932" t="s">
        <v>34</v>
      </c>
      <c r="B1932">
        <v>2014</v>
      </c>
      <c r="C1932" t="s">
        <v>46</v>
      </c>
      <c r="D1932" t="s">
        <v>16</v>
      </c>
      <c r="E1932" t="e">
        <f>VLOOKUP(Cpi_[[#This Row],[Attribute]],#REF!,2,FALSE)</f>
        <v>#REF!</v>
      </c>
      <c r="F1932">
        <v>123</v>
      </c>
      <c r="G1932">
        <f>(Cpi_[[#This Row],[Value]]-F1931)/F1931</f>
        <v>-4.8543689320387894E-3</v>
      </c>
      <c r="H1932" t="e" cm="1" vm="1">
        <f t="array" aca="1" ref="H1932" ca="1">VLOOKUP(Cpi_[[#This Row],[Year]:[Month]],crudeoil[],3,FALSE)</f>
        <v>#VALUE!</v>
      </c>
    </row>
    <row r="1933" spans="1:8" hidden="1" x14ac:dyDescent="0.3">
      <c r="A1933" t="s">
        <v>34</v>
      </c>
      <c r="B1933">
        <v>2014</v>
      </c>
      <c r="C1933" t="s">
        <v>46</v>
      </c>
      <c r="D1933" t="s">
        <v>17</v>
      </c>
      <c r="E1933" t="e">
        <f>VLOOKUP(Cpi_[[#This Row],[Attribute]],#REF!,2,FALSE)</f>
        <v>#REF!</v>
      </c>
      <c r="F1933">
        <v>122.6</v>
      </c>
      <c r="G1933">
        <f>(Cpi_[[#This Row],[Value]]-F1932)/F1932</f>
        <v>-3.2520325203252497E-3</v>
      </c>
      <c r="H1933" t="e" cm="1" vm="1">
        <f t="array" aca="1" ref="H1933" ca="1">VLOOKUP(Cpi_[[#This Row],[Year]:[Month]],crudeoil[],3,FALSE)</f>
        <v>#VALUE!</v>
      </c>
    </row>
    <row r="1934" spans="1:8" hidden="1" x14ac:dyDescent="0.3">
      <c r="A1934" t="s">
        <v>34</v>
      </c>
      <c r="B1934">
        <v>2014</v>
      </c>
      <c r="C1934" t="s">
        <v>46</v>
      </c>
      <c r="D1934" t="s">
        <v>18</v>
      </c>
      <c r="E1934" t="e">
        <f>VLOOKUP(Cpi_[[#This Row],[Attribute]],#REF!,2,FALSE)</f>
        <v>#REF!</v>
      </c>
      <c r="F1934">
        <v>118.6</v>
      </c>
      <c r="G1934">
        <f>(Cpi_[[#This Row],[Value]]-F1933)/F1933</f>
        <v>-3.2626427406199025E-2</v>
      </c>
      <c r="H1934" t="e" cm="1" vm="1">
        <f t="array" aca="1" ref="H1934" ca="1">VLOOKUP(Cpi_[[#This Row],[Year]:[Month]],crudeoil[],3,FALSE)</f>
        <v>#VALUE!</v>
      </c>
    </row>
    <row r="1935" spans="1:8" hidden="1" x14ac:dyDescent="0.3">
      <c r="A1935" t="s">
        <v>34</v>
      </c>
      <c r="B1935">
        <v>2014</v>
      </c>
      <c r="C1935" t="s">
        <v>46</v>
      </c>
      <c r="D1935" t="s">
        <v>19</v>
      </c>
      <c r="E1935" t="e">
        <f>VLOOKUP(Cpi_[[#This Row],[Attribute]],#REF!,2,FALSE)</f>
        <v>#REF!</v>
      </c>
      <c r="F1935">
        <v>122</v>
      </c>
      <c r="G1935">
        <f>(Cpi_[[#This Row],[Value]]-F1934)/F1934</f>
        <v>2.8667790893760588E-2</v>
      </c>
      <c r="H1935" t="e" cm="1" vm="1">
        <f t="array" aca="1" ref="H1935" ca="1">VLOOKUP(Cpi_[[#This Row],[Year]:[Month]],crudeoil[],3,FALSE)</f>
        <v>#VALUE!</v>
      </c>
    </row>
    <row r="1936" spans="1:8" hidden="1" x14ac:dyDescent="0.3">
      <c r="A1936" t="s">
        <v>34</v>
      </c>
      <c r="B1936">
        <v>2014</v>
      </c>
      <c r="C1936" t="s">
        <v>46</v>
      </c>
      <c r="D1936" t="s">
        <v>20</v>
      </c>
      <c r="E1936" t="e">
        <f>VLOOKUP(Cpi_[[#This Row],[Attribute]],#REF!,2,FALSE)</f>
        <v>#REF!</v>
      </c>
      <c r="F1936">
        <v>116.5</v>
      </c>
      <c r="G1936">
        <f>(Cpi_[[#This Row],[Value]]-F1935)/F1935</f>
        <v>-4.5081967213114756E-2</v>
      </c>
      <c r="H1936" t="e" cm="1" vm="1">
        <f t="array" aca="1" ref="H1936" ca="1">VLOOKUP(Cpi_[[#This Row],[Year]:[Month]],crudeoil[],3,FALSE)</f>
        <v>#VALUE!</v>
      </c>
    </row>
    <row r="1937" spans="1:8" hidden="1" x14ac:dyDescent="0.3">
      <c r="A1937" t="s">
        <v>34</v>
      </c>
      <c r="B1937">
        <v>2014</v>
      </c>
      <c r="C1937" t="s">
        <v>46</v>
      </c>
      <c r="D1937" t="s">
        <v>21</v>
      </c>
      <c r="E1937" t="e">
        <f>VLOOKUP(Cpi_[[#This Row],[Attribute]],#REF!,2,FALSE)</f>
        <v>#REF!</v>
      </c>
      <c r="F1937">
        <v>115.7</v>
      </c>
      <c r="G1937">
        <f>(Cpi_[[#This Row],[Value]]-F1936)/F1936</f>
        <v>-6.8669527896995462E-3</v>
      </c>
      <c r="H1937" t="e" cm="1" vm="1">
        <f t="array" aca="1" ref="H1937" ca="1">VLOOKUP(Cpi_[[#This Row],[Year]:[Month]],crudeoil[],3,FALSE)</f>
        <v>#VALUE!</v>
      </c>
    </row>
    <row r="1938" spans="1:8" hidden="1" x14ac:dyDescent="0.3">
      <c r="A1938" t="s">
        <v>34</v>
      </c>
      <c r="B1938">
        <v>2014</v>
      </c>
      <c r="C1938" t="s">
        <v>46</v>
      </c>
      <c r="D1938" t="s">
        <v>22</v>
      </c>
      <c r="E1938" t="e">
        <f>VLOOKUP(Cpi_[[#This Row],[Attribute]],#REF!,2,FALSE)</f>
        <v>#REF!</v>
      </c>
      <c r="F1938">
        <v>117.5</v>
      </c>
      <c r="G1938">
        <f>(Cpi_[[#This Row],[Value]]-F1937)/F1937</f>
        <v>1.555747623163351E-2</v>
      </c>
      <c r="H1938" t="e" cm="1" vm="1">
        <f t="array" aca="1" ref="H1938" ca="1">VLOOKUP(Cpi_[[#This Row],[Year]:[Month]],crudeoil[],3,FALSE)</f>
        <v>#VALUE!</v>
      </c>
    </row>
    <row r="1939" spans="1:8" hidden="1" x14ac:dyDescent="0.3">
      <c r="A1939" t="s">
        <v>34</v>
      </c>
      <c r="B1939">
        <v>2014</v>
      </c>
      <c r="C1939" t="s">
        <v>46</v>
      </c>
      <c r="D1939" t="s">
        <v>23</v>
      </c>
      <c r="E1939" t="e">
        <f>VLOOKUP(Cpi_[[#This Row],[Attribute]],#REF!,2,FALSE)</f>
        <v>#REF!</v>
      </c>
      <c r="F1939">
        <v>115.1</v>
      </c>
      <c r="G1939">
        <f>(Cpi_[[#This Row],[Value]]-F1938)/F1938</f>
        <v>-2.0425531914893665E-2</v>
      </c>
      <c r="H1939" t="e" cm="1" vm="1">
        <f t="array" aca="1" ref="H1939" ca="1">VLOOKUP(Cpi_[[#This Row],[Year]:[Month]],crudeoil[],3,FALSE)</f>
        <v>#VALUE!</v>
      </c>
    </row>
    <row r="1940" spans="1:8" hidden="1" x14ac:dyDescent="0.3">
      <c r="A1940" t="s">
        <v>34</v>
      </c>
      <c r="B1940">
        <v>2014</v>
      </c>
      <c r="C1940" t="s">
        <v>46</v>
      </c>
      <c r="D1940" t="s">
        <v>24</v>
      </c>
      <c r="E1940" t="e">
        <f>VLOOKUP(Cpi_[[#This Row],[Attribute]],#REF!,2,FALSE)</f>
        <v>#REF!</v>
      </c>
      <c r="F1940">
        <v>110.1</v>
      </c>
      <c r="G1940">
        <f>(Cpi_[[#This Row],[Value]]-F1939)/F1939</f>
        <v>-4.3440486533449174E-2</v>
      </c>
      <c r="H1940" t="e" cm="1" vm="1">
        <f t="array" aca="1" ref="H1940" ca="1">VLOOKUP(Cpi_[[#This Row],[Year]:[Month]],crudeoil[],3,FALSE)</f>
        <v>#VALUE!</v>
      </c>
    </row>
    <row r="1941" spans="1:8" hidden="1" x14ac:dyDescent="0.3">
      <c r="A1941" t="s">
        <v>34</v>
      </c>
      <c r="B1941">
        <v>2014</v>
      </c>
      <c r="C1941" t="s">
        <v>46</v>
      </c>
      <c r="D1941" t="s">
        <v>25</v>
      </c>
      <c r="E1941" t="e">
        <f>VLOOKUP(Cpi_[[#This Row],[Attribute]],#REF!,2,FALSE)</f>
        <v>#REF!</v>
      </c>
      <c r="F1941">
        <v>113.9</v>
      </c>
      <c r="G1941">
        <f>(Cpi_[[#This Row],[Value]]-F1940)/F1940</f>
        <v>3.4514078110808463E-2</v>
      </c>
      <c r="H1941" t="e" cm="1" vm="1">
        <f t="array" aca="1" ref="H1941" ca="1">VLOOKUP(Cpi_[[#This Row],[Year]:[Month]],crudeoil[],3,FALSE)</f>
        <v>#VALUE!</v>
      </c>
    </row>
    <row r="1942" spans="1:8" hidden="1" x14ac:dyDescent="0.3">
      <c r="A1942" t="s">
        <v>34</v>
      </c>
      <c r="B1942">
        <v>2014</v>
      </c>
      <c r="C1942" t="s">
        <v>46</v>
      </c>
      <c r="D1942" t="s">
        <v>26</v>
      </c>
      <c r="E1942" t="e">
        <f>VLOOKUP(Cpi_[[#This Row],[Attribute]],#REF!,2,FALSE)</f>
        <v>#REF!</v>
      </c>
      <c r="F1942">
        <v>119.5</v>
      </c>
      <c r="G1942">
        <f>(Cpi_[[#This Row],[Value]]-F1941)/F1941</f>
        <v>4.9165935030728657E-2</v>
      </c>
      <c r="H1942" t="e" cm="1" vm="1">
        <f t="array" aca="1" ref="H1942" ca="1">VLOOKUP(Cpi_[[#This Row],[Year]:[Month]],crudeoil[],3,FALSE)</f>
        <v>#VALUE!</v>
      </c>
    </row>
    <row r="1943" spans="1:8" hidden="1" x14ac:dyDescent="0.3">
      <c r="A1943" t="s">
        <v>34</v>
      </c>
      <c r="B1943">
        <v>2014</v>
      </c>
      <c r="C1943" t="s">
        <v>46</v>
      </c>
      <c r="D1943" t="s">
        <v>27</v>
      </c>
      <c r="E1943" t="e">
        <f>VLOOKUP(Cpi_[[#This Row],[Attribute]],#REF!,2,FALSE)</f>
        <v>#REF!</v>
      </c>
      <c r="F1943">
        <v>109.8</v>
      </c>
      <c r="G1943">
        <f>(Cpi_[[#This Row],[Value]]-F1942)/F1942</f>
        <v>-8.1171548117154838E-2</v>
      </c>
      <c r="H1943" t="e" cm="1" vm="1">
        <f t="array" aca="1" ref="H1943" ca="1">VLOOKUP(Cpi_[[#This Row],[Year]:[Month]],crudeoil[],3,FALSE)</f>
        <v>#VALUE!</v>
      </c>
    </row>
    <row r="1944" spans="1:8" hidden="1" x14ac:dyDescent="0.3">
      <c r="A1944" t="s">
        <v>34</v>
      </c>
      <c r="B1944">
        <v>2014</v>
      </c>
      <c r="C1944" t="s">
        <v>46</v>
      </c>
      <c r="D1944" t="s">
        <v>28</v>
      </c>
      <c r="E1944" t="e">
        <f>VLOOKUP(Cpi_[[#This Row],[Attribute]],#REF!,2,FALSE)</f>
        <v>#REF!</v>
      </c>
      <c r="F1944">
        <v>113.8</v>
      </c>
      <c r="G1944">
        <f>(Cpi_[[#This Row],[Value]]-F1943)/F1943</f>
        <v>3.6429872495446269E-2</v>
      </c>
      <c r="H1944" t="e" cm="1" vm="1">
        <f t="array" aca="1" ref="H1944" ca="1">VLOOKUP(Cpi_[[#This Row],[Year]:[Month]],crudeoil[],3,FALSE)</f>
        <v>#VALUE!</v>
      </c>
    </row>
    <row r="1945" spans="1:8" hidden="1" x14ac:dyDescent="0.3">
      <c r="A1945" t="s">
        <v>34</v>
      </c>
      <c r="B1945">
        <v>2014</v>
      </c>
      <c r="C1945" t="s">
        <v>46</v>
      </c>
      <c r="D1945" t="s">
        <v>29</v>
      </c>
      <c r="E1945" t="e" cm="1">
        <f t="array" aca="1" ref="E1945" ca="1">VLGeneral indexGeneral indexKUP(Cpi_[[#This Row],[Attribute]],#REF!,2,FALSE)</f>
        <v>#NAME?</v>
      </c>
      <c r="F1945">
        <v>119.4</v>
      </c>
      <c r="G1945">
        <f>(Cpi_[[#This Row],[Value]]-F1944)/F1944</f>
        <v>4.9209138840070374E-2</v>
      </c>
      <c r="H1945" t="e" cm="1" vm="1">
        <f t="array" aca="1" ref="H1945" ca="1">VLOOKUP(Cpi_[[#This Row],[Year]:[Month]],crudeoil[],3,FALSE)</f>
        <v>#VALUE!</v>
      </c>
    </row>
    <row r="1946" spans="1:8" hidden="1" x14ac:dyDescent="0.3">
      <c r="A1946" t="s">
        <v>30</v>
      </c>
      <c r="B1946">
        <v>2015</v>
      </c>
      <c r="C1946" t="s">
        <v>31</v>
      </c>
      <c r="D1946" t="s">
        <v>3</v>
      </c>
      <c r="E1946" t="e">
        <f>VLOOKUP(Cpi_[[#This Row],[Attribute]],#REF!,2,FALSE)</f>
        <v>#REF!</v>
      </c>
      <c r="F1946">
        <v>123.1</v>
      </c>
      <c r="G1946">
        <f>(Cpi_[[#This Row],[Value]]-F1945)/F1945</f>
        <v>3.0988274706867575E-2</v>
      </c>
      <c r="H1946" t="e" cm="1" vm="1">
        <f t="array" aca="1" ref="H1946" ca="1">VLOOKUP(Cpi_[[#This Row],[Year]:[Month]],crudeoil[],3,FALSE)</f>
        <v>#VALUE!</v>
      </c>
    </row>
    <row r="1947" spans="1:8" hidden="1" x14ac:dyDescent="0.3">
      <c r="A1947" t="s">
        <v>30</v>
      </c>
      <c r="B1947">
        <v>2015</v>
      </c>
      <c r="C1947" t="s">
        <v>31</v>
      </c>
      <c r="D1947" t="s">
        <v>4</v>
      </c>
      <c r="E1947" t="e">
        <f>VLOOKUP(Cpi_[[#This Row],[Attribute]],#REF!,2,FALSE)</f>
        <v>#REF!</v>
      </c>
      <c r="F1947">
        <v>123.1</v>
      </c>
      <c r="G1947">
        <f>(Cpi_[[#This Row],[Value]]-F1946)/F1946</f>
        <v>0</v>
      </c>
      <c r="H1947" t="e" cm="1" vm="1">
        <f t="array" aca="1" ref="H1947" ca="1">VLOOKUP(Cpi_[[#This Row],[Year]:[Month]],crudeoil[],3,FALSE)</f>
        <v>#VALUE!</v>
      </c>
    </row>
    <row r="1948" spans="1:8" hidden="1" x14ac:dyDescent="0.3">
      <c r="A1948" t="s">
        <v>30</v>
      </c>
      <c r="B1948">
        <v>2015</v>
      </c>
      <c r="C1948" t="s">
        <v>31</v>
      </c>
      <c r="D1948" t="s">
        <v>5</v>
      </c>
      <c r="E1948" t="e">
        <f>VLOOKUP(Cpi_[[#This Row],[Attribute]],#REF!,2,FALSE)</f>
        <v>#REF!</v>
      </c>
      <c r="F1948">
        <v>122.1</v>
      </c>
      <c r="G1948">
        <f>(Cpi_[[#This Row],[Value]]-F1947)/F1947</f>
        <v>-8.1234768480909839E-3</v>
      </c>
      <c r="H1948" t="e" cm="1" vm="1">
        <f t="array" aca="1" ref="H1948" ca="1">VLOOKUP(Cpi_[[#This Row],[Year]:[Month]],crudeoil[],3,FALSE)</f>
        <v>#VALUE!</v>
      </c>
    </row>
    <row r="1949" spans="1:8" hidden="1" x14ac:dyDescent="0.3">
      <c r="A1949" t="s">
        <v>30</v>
      </c>
      <c r="B1949">
        <v>2015</v>
      </c>
      <c r="C1949" t="s">
        <v>31</v>
      </c>
      <c r="D1949" t="s">
        <v>6</v>
      </c>
      <c r="E1949" t="e">
        <f>VLOOKUP(Cpi_[[#This Row],[Attribute]],#REF!,2,FALSE)</f>
        <v>#REF!</v>
      </c>
      <c r="F1949">
        <v>124.9</v>
      </c>
      <c r="G1949">
        <f>(Cpi_[[#This Row],[Value]]-F1948)/F1948</f>
        <v>2.2932022932023025E-2</v>
      </c>
      <c r="H1949" t="e" cm="1" vm="1">
        <f t="array" aca="1" ref="H1949" ca="1">VLOOKUP(Cpi_[[#This Row],[Year]:[Month]],crudeoil[],3,FALSE)</f>
        <v>#VALUE!</v>
      </c>
    </row>
    <row r="1950" spans="1:8" hidden="1" x14ac:dyDescent="0.3">
      <c r="A1950" t="s">
        <v>30</v>
      </c>
      <c r="B1950">
        <v>2015</v>
      </c>
      <c r="C1950" t="s">
        <v>31</v>
      </c>
      <c r="D1950" t="s">
        <v>7</v>
      </c>
      <c r="E1950" t="e">
        <f>VLOOKUP(Cpi_[[#This Row],[Attribute]],#REF!,2,FALSE)</f>
        <v>#REF!</v>
      </c>
      <c r="F1950">
        <v>111</v>
      </c>
      <c r="G1950">
        <f>(Cpi_[[#This Row],[Value]]-F1949)/F1949</f>
        <v>-0.11128903122498003</v>
      </c>
      <c r="H1950" t="e" cm="1" vm="1">
        <f t="array" aca="1" ref="H1950" ca="1">VLOOKUP(Cpi_[[#This Row],[Year]:[Month]],crudeoil[],3,FALSE)</f>
        <v>#VALUE!</v>
      </c>
    </row>
    <row r="1951" spans="1:8" hidden="1" x14ac:dyDescent="0.3">
      <c r="A1951" t="s">
        <v>30</v>
      </c>
      <c r="B1951">
        <v>2015</v>
      </c>
      <c r="C1951" t="s">
        <v>31</v>
      </c>
      <c r="D1951" t="s">
        <v>8</v>
      </c>
      <c r="E1951" t="e">
        <f>VLOOKUP(Cpi_[[#This Row],[Attribute]],#REF!,2,FALSE)</f>
        <v>#REF!</v>
      </c>
      <c r="F1951">
        <v>130.4</v>
      </c>
      <c r="G1951">
        <f>(Cpi_[[#This Row],[Value]]-F1950)/F1950</f>
        <v>0.17477477477477482</v>
      </c>
      <c r="H1951" t="e" cm="1" vm="1">
        <f t="array" aca="1" ref="H1951" ca="1">VLOOKUP(Cpi_[[#This Row],[Year]:[Month]],crudeoil[],3,FALSE)</f>
        <v>#VALUE!</v>
      </c>
    </row>
    <row r="1952" spans="1:8" hidden="1" x14ac:dyDescent="0.3">
      <c r="A1952" t="s">
        <v>30</v>
      </c>
      <c r="B1952">
        <v>2015</v>
      </c>
      <c r="C1952" t="s">
        <v>31</v>
      </c>
      <c r="D1952" t="s">
        <v>9</v>
      </c>
      <c r="E1952" t="e">
        <f>VLOOKUP(Cpi_[[#This Row],[Attribute]],#REF!,2,FALSE)</f>
        <v>#REF!</v>
      </c>
      <c r="F1952">
        <v>132.30000000000001</v>
      </c>
      <c r="G1952">
        <f>(Cpi_[[#This Row],[Value]]-F1951)/F1951</f>
        <v>1.4570552147239306E-2</v>
      </c>
      <c r="H1952" t="e" cm="1" vm="1">
        <f t="array" aca="1" ref="H1952" ca="1">VLOOKUP(Cpi_[[#This Row],[Year]:[Month]],crudeoil[],3,FALSE)</f>
        <v>#VALUE!</v>
      </c>
    </row>
    <row r="1953" spans="1:8" hidden="1" x14ac:dyDescent="0.3">
      <c r="A1953" t="s">
        <v>30</v>
      </c>
      <c r="B1953">
        <v>2015</v>
      </c>
      <c r="C1953" t="s">
        <v>31</v>
      </c>
      <c r="D1953" t="s">
        <v>10</v>
      </c>
      <c r="E1953" t="e">
        <f>VLOOKUP(Cpi_[[#This Row],[Attribute]],#REF!,2,FALSE)</f>
        <v>#REF!</v>
      </c>
      <c r="F1953">
        <v>117.2</v>
      </c>
      <c r="G1953">
        <f>(Cpi_[[#This Row],[Value]]-F1952)/F1952</f>
        <v>-0.11413454270597133</v>
      </c>
      <c r="H1953" t="e" cm="1" vm="1">
        <f t="array" aca="1" ref="H1953" ca="1">VLOOKUP(Cpi_[[#This Row],[Year]:[Month]],crudeoil[],3,FALSE)</f>
        <v>#VALUE!</v>
      </c>
    </row>
    <row r="1954" spans="1:8" hidden="1" x14ac:dyDescent="0.3">
      <c r="A1954" t="s">
        <v>30</v>
      </c>
      <c r="B1954">
        <v>2015</v>
      </c>
      <c r="C1954" t="s">
        <v>31</v>
      </c>
      <c r="D1954" t="s">
        <v>11</v>
      </c>
      <c r="E1954" t="e">
        <f>VLOOKUP(Cpi_[[#This Row],[Attribute]],#REF!,2,FALSE)</f>
        <v>#REF!</v>
      </c>
      <c r="F1954">
        <v>100.5</v>
      </c>
      <c r="G1954">
        <f>(Cpi_[[#This Row],[Value]]-F1953)/F1953</f>
        <v>-0.14249146757679182</v>
      </c>
      <c r="H1954" t="e" cm="1" vm="1">
        <f t="array" aca="1" ref="H1954" ca="1">VLOOKUP(Cpi_[[#This Row],[Year]:[Month]],crudeoil[],3,FALSE)</f>
        <v>#VALUE!</v>
      </c>
    </row>
    <row r="1955" spans="1:8" hidden="1" x14ac:dyDescent="0.3">
      <c r="A1955" t="s">
        <v>30</v>
      </c>
      <c r="B1955">
        <v>2015</v>
      </c>
      <c r="C1955" t="s">
        <v>31</v>
      </c>
      <c r="D1955" t="s">
        <v>12</v>
      </c>
      <c r="E1955" t="e">
        <f>VLOOKUP(Cpi_[[#This Row],[Attribute]],#REF!,2,FALSE)</f>
        <v>#REF!</v>
      </c>
      <c r="F1955">
        <v>117.2</v>
      </c>
      <c r="G1955">
        <f>(Cpi_[[#This Row],[Value]]-F1954)/F1954</f>
        <v>0.16616915422885575</v>
      </c>
      <c r="H1955" t="e" cm="1" vm="1">
        <f t="array" aca="1" ref="H1955" ca="1">VLOOKUP(Cpi_[[#This Row],[Year]:[Month]],crudeoil[],3,FALSE)</f>
        <v>#VALUE!</v>
      </c>
    </row>
    <row r="1956" spans="1:8" hidden="1" x14ac:dyDescent="0.3">
      <c r="A1956" t="s">
        <v>30</v>
      </c>
      <c r="B1956">
        <v>2015</v>
      </c>
      <c r="C1956" t="s">
        <v>31</v>
      </c>
      <c r="D1956" t="s">
        <v>13</v>
      </c>
      <c r="E1956" t="e">
        <f>VLOOKUP(Cpi_[[#This Row],[Attribute]],#REF!,2,FALSE)</f>
        <v>#REF!</v>
      </c>
      <c r="F1956">
        <v>117.9</v>
      </c>
      <c r="G1956">
        <f>(Cpi_[[#This Row],[Value]]-F1955)/F1955</f>
        <v>5.9726962457338122E-3</v>
      </c>
      <c r="H1956" t="e" cm="1" vm="1">
        <f t="array" aca="1" ref="H1956" ca="1">VLOOKUP(Cpi_[[#This Row],[Year]:[Month]],crudeoil[],3,FALSE)</f>
        <v>#VALUE!</v>
      </c>
    </row>
    <row r="1957" spans="1:8" hidden="1" x14ac:dyDescent="0.3">
      <c r="A1957" t="s">
        <v>30</v>
      </c>
      <c r="B1957">
        <v>2015</v>
      </c>
      <c r="C1957" t="s">
        <v>31</v>
      </c>
      <c r="D1957" t="s">
        <v>14</v>
      </c>
      <c r="E1957" t="e">
        <f>VLOOKUP(Cpi_[[#This Row],[Attribute]],#REF!,2,FALSE)</f>
        <v>#REF!</v>
      </c>
      <c r="F1957">
        <v>125.6</v>
      </c>
      <c r="G1957">
        <f>(Cpi_[[#This Row],[Value]]-F1956)/F1956</f>
        <v>6.5309584393553763E-2</v>
      </c>
      <c r="H1957" t="e" cm="1" vm="1">
        <f t="array" aca="1" ref="H1957" ca="1">VLOOKUP(Cpi_[[#This Row],[Year]:[Month]],crudeoil[],3,FALSE)</f>
        <v>#VALUE!</v>
      </c>
    </row>
    <row r="1958" spans="1:8" hidden="1" x14ac:dyDescent="0.3">
      <c r="A1958" t="s">
        <v>30</v>
      </c>
      <c r="B1958">
        <v>2015</v>
      </c>
      <c r="C1958" t="s">
        <v>31</v>
      </c>
      <c r="D1958" t="s">
        <v>15</v>
      </c>
      <c r="E1958" t="e">
        <f>VLOOKUP(Cpi_[[#This Row],[Attribute]],#REF!,2,FALSE)</f>
        <v>#REF!</v>
      </c>
      <c r="F1958">
        <v>122.8</v>
      </c>
      <c r="G1958">
        <f>(Cpi_[[#This Row],[Value]]-F1957)/F1957</f>
        <v>-2.2292993630573226E-2</v>
      </c>
      <c r="H1958" t="e" cm="1" vm="1">
        <f t="array" aca="1" ref="H1958" ca="1">VLOOKUP(Cpi_[[#This Row],[Year]:[Month]],crudeoil[],3,FALSE)</f>
        <v>#VALUE!</v>
      </c>
    </row>
    <row r="1959" spans="1:8" hidden="1" x14ac:dyDescent="0.3">
      <c r="A1959" t="s">
        <v>30</v>
      </c>
      <c r="B1959">
        <v>2015</v>
      </c>
      <c r="C1959" t="s">
        <v>31</v>
      </c>
      <c r="D1959" t="s">
        <v>16</v>
      </c>
      <c r="E1959" t="e">
        <f>VLOOKUP(Cpi_[[#This Row],[Attribute]],#REF!,2,FALSE)</f>
        <v>#REF!</v>
      </c>
      <c r="F1959">
        <v>122.7</v>
      </c>
      <c r="G1959">
        <f>(Cpi_[[#This Row],[Value]]-F1958)/F1958</f>
        <v>-8.14332247556957E-4</v>
      </c>
      <c r="H1959" t="e" cm="1" vm="1">
        <f t="array" aca="1" ref="H1959" ca="1">VLOOKUP(Cpi_[[#This Row],[Year]:[Month]],crudeoil[],3,FALSE)</f>
        <v>#VALUE!</v>
      </c>
    </row>
    <row r="1960" spans="1:8" hidden="1" x14ac:dyDescent="0.3">
      <c r="A1960" t="s">
        <v>30</v>
      </c>
      <c r="B1960">
        <v>2015</v>
      </c>
      <c r="C1960" t="s">
        <v>31</v>
      </c>
      <c r="D1960" t="s">
        <v>17</v>
      </c>
      <c r="E1960" t="e">
        <f>VLOOKUP(Cpi_[[#This Row],[Attribute]],#REF!,2,FALSE)</f>
        <v>#REF!</v>
      </c>
      <c r="F1960">
        <v>124.4</v>
      </c>
      <c r="G1960">
        <f>(Cpi_[[#This Row],[Value]]-F1959)/F1959</f>
        <v>1.3854930725346395E-2</v>
      </c>
      <c r="H1960" t="e" cm="1" vm="1">
        <f t="array" aca="1" ref="H1960" ca="1">VLOOKUP(Cpi_[[#This Row],[Year]:[Month]],crudeoil[],3,FALSE)</f>
        <v>#VALUE!</v>
      </c>
    </row>
    <row r="1961" spans="1:8" hidden="1" x14ac:dyDescent="0.3">
      <c r="A1961" t="s">
        <v>30</v>
      </c>
      <c r="B1961">
        <v>2015</v>
      </c>
      <c r="C1961" t="s">
        <v>31</v>
      </c>
      <c r="D1961" t="s">
        <v>18</v>
      </c>
      <c r="E1961" t="e">
        <f>VLOOKUP(Cpi_[[#This Row],[Attribute]],#REF!,2,FALSE)</f>
        <v>#REF!</v>
      </c>
      <c r="F1961">
        <v>121.6</v>
      </c>
      <c r="G1961">
        <f>(Cpi_[[#This Row],[Value]]-F1960)/F1960</f>
        <v>-2.2508038585209094E-2</v>
      </c>
      <c r="H1961" t="e" cm="1" vm="1">
        <f t="array" aca="1" ref="H1961" ca="1">VLOOKUP(Cpi_[[#This Row],[Year]:[Month]],crudeoil[],3,FALSE)</f>
        <v>#VALUE!</v>
      </c>
    </row>
    <row r="1962" spans="1:8" hidden="1" x14ac:dyDescent="0.3">
      <c r="A1962" t="s">
        <v>30</v>
      </c>
      <c r="B1962">
        <v>2015</v>
      </c>
      <c r="C1962" t="s">
        <v>31</v>
      </c>
      <c r="D1962" t="s">
        <v>19</v>
      </c>
      <c r="E1962" t="e">
        <f>VLOOKUP(Cpi_[[#This Row],[Attribute]],#REF!,2,FALSE)</f>
        <v>#REF!</v>
      </c>
      <c r="F1962">
        <v>124</v>
      </c>
      <c r="G1962">
        <f>(Cpi_[[#This Row],[Value]]-F1961)/F1961</f>
        <v>1.9736842105263205E-2</v>
      </c>
      <c r="H1962" t="e" cm="1" vm="1">
        <f t="array" aca="1" ref="H1962" ca="1">VLOOKUP(Cpi_[[#This Row],[Year]:[Month]],crudeoil[],3,FALSE)</f>
        <v>#VALUE!</v>
      </c>
    </row>
    <row r="1963" spans="1:8" hidden="1" x14ac:dyDescent="0.3">
      <c r="A1963" t="s">
        <v>30</v>
      </c>
      <c r="B1963">
        <v>2015</v>
      </c>
      <c r="C1963" t="s">
        <v>31</v>
      </c>
      <c r="D1963" t="s">
        <v>20</v>
      </c>
      <c r="E1963" t="e">
        <f>VLOOKUP(Cpi_[[#This Row],[Attribute]],#REF!,2,FALSE)</f>
        <v>#REF!</v>
      </c>
      <c r="F1963" t="s">
        <v>32</v>
      </c>
      <c r="G1963" t="e">
        <f>(Cpi_[[#This Row],[Value]]-F1962)/F1962</f>
        <v>#VALUE!</v>
      </c>
      <c r="H1963" t="e" cm="1" vm="1">
        <f t="array" aca="1" ref="H1963" ca="1">VLOOKUP(Cpi_[[#This Row],[Year]:[Month]],crudeoil[],3,FALSE)</f>
        <v>#VALUE!</v>
      </c>
    </row>
    <row r="1964" spans="1:8" hidden="1" x14ac:dyDescent="0.3">
      <c r="A1964" t="s">
        <v>30</v>
      </c>
      <c r="B1964">
        <v>2015</v>
      </c>
      <c r="C1964" t="s">
        <v>31</v>
      </c>
      <c r="D1964" t="s">
        <v>21</v>
      </c>
      <c r="E1964" t="e">
        <f>VLOOKUP(Cpi_[[#This Row],[Attribute]],#REF!,2,FALSE)</f>
        <v>#REF!</v>
      </c>
      <c r="F1964">
        <v>118.4</v>
      </c>
      <c r="G1964" t="e">
        <f>(Cpi_[[#This Row],[Value]]-F1963)/F1963</f>
        <v>#VALUE!</v>
      </c>
      <c r="H1964" t="e" cm="1" vm="1">
        <f t="array" aca="1" ref="H1964" ca="1">VLOOKUP(Cpi_[[#This Row],[Year]:[Month]],crudeoil[],3,FALSE)</f>
        <v>#VALUE!</v>
      </c>
    </row>
    <row r="1965" spans="1:8" hidden="1" x14ac:dyDescent="0.3">
      <c r="A1965" t="s">
        <v>30</v>
      </c>
      <c r="B1965">
        <v>2015</v>
      </c>
      <c r="C1965" t="s">
        <v>31</v>
      </c>
      <c r="D1965" t="s">
        <v>22</v>
      </c>
      <c r="E1965" t="e">
        <f>VLOOKUP(Cpi_[[#This Row],[Attribute]],#REF!,2,FALSE)</f>
        <v>#REF!</v>
      </c>
      <c r="F1965">
        <v>118.9</v>
      </c>
      <c r="G1965">
        <f>(Cpi_[[#This Row],[Value]]-F1964)/F1964</f>
        <v>4.2229729729729723E-3</v>
      </c>
      <c r="H1965" t="e" cm="1" vm="1">
        <f t="array" aca="1" ref="H1965" ca="1">VLOOKUP(Cpi_[[#This Row],[Year]:[Month]],crudeoil[],3,FALSE)</f>
        <v>#VALUE!</v>
      </c>
    </row>
    <row r="1966" spans="1:8" hidden="1" x14ac:dyDescent="0.3">
      <c r="A1966" t="s">
        <v>30</v>
      </c>
      <c r="B1966">
        <v>2015</v>
      </c>
      <c r="C1966" t="s">
        <v>31</v>
      </c>
      <c r="D1966" t="s">
        <v>23</v>
      </c>
      <c r="E1966" t="e">
        <f>VLOOKUP(Cpi_[[#This Row],[Attribute]],#REF!,2,FALSE)</f>
        <v>#REF!</v>
      </c>
      <c r="F1966">
        <v>116.6</v>
      </c>
      <c r="G1966">
        <f>(Cpi_[[#This Row],[Value]]-F1965)/F1965</f>
        <v>-1.9343986543313804E-2</v>
      </c>
      <c r="H1966" t="e" cm="1" vm="1">
        <f t="array" aca="1" ref="H1966" ca="1">VLOOKUP(Cpi_[[#This Row],[Year]:[Month]],crudeoil[],3,FALSE)</f>
        <v>#VALUE!</v>
      </c>
    </row>
    <row r="1967" spans="1:8" hidden="1" x14ac:dyDescent="0.3">
      <c r="A1967" t="s">
        <v>30</v>
      </c>
      <c r="B1967">
        <v>2015</v>
      </c>
      <c r="C1967" t="s">
        <v>31</v>
      </c>
      <c r="D1967" t="s">
        <v>24</v>
      </c>
      <c r="E1967" t="e">
        <f>VLOOKUP(Cpi_[[#This Row],[Attribute]],#REF!,2,FALSE)</f>
        <v>#REF!</v>
      </c>
      <c r="F1967">
        <v>111</v>
      </c>
      <c r="G1967">
        <f>(Cpi_[[#This Row],[Value]]-F1966)/F1966</f>
        <v>-4.8027444253859304E-2</v>
      </c>
      <c r="H1967" t="e" cm="1" vm="1">
        <f t="array" aca="1" ref="H1967" ca="1">VLOOKUP(Cpi_[[#This Row],[Year]:[Month]],crudeoil[],3,FALSE)</f>
        <v>#VALUE!</v>
      </c>
    </row>
    <row r="1968" spans="1:8" hidden="1" x14ac:dyDescent="0.3">
      <c r="A1968" t="s">
        <v>30</v>
      </c>
      <c r="B1968">
        <v>2015</v>
      </c>
      <c r="C1968" t="s">
        <v>31</v>
      </c>
      <c r="D1968" t="s">
        <v>25</v>
      </c>
      <c r="E1968" t="e">
        <f>VLOOKUP(Cpi_[[#This Row],[Attribute]],#REF!,2,FALSE)</f>
        <v>#REF!</v>
      </c>
      <c r="F1968">
        <v>114</v>
      </c>
      <c r="G1968">
        <f>(Cpi_[[#This Row],[Value]]-F1967)/F1967</f>
        <v>2.7027027027027029E-2</v>
      </c>
      <c r="H1968" t="e" cm="1" vm="1">
        <f t="array" aca="1" ref="H1968" ca="1">VLOOKUP(Cpi_[[#This Row],[Year]:[Month]],crudeoil[],3,FALSE)</f>
        <v>#VALUE!</v>
      </c>
    </row>
    <row r="1969" spans="1:8" hidden="1" x14ac:dyDescent="0.3">
      <c r="A1969" t="s">
        <v>30</v>
      </c>
      <c r="B1969">
        <v>2015</v>
      </c>
      <c r="C1969" t="s">
        <v>31</v>
      </c>
      <c r="D1969" t="s">
        <v>26</v>
      </c>
      <c r="E1969" t="e">
        <f>VLOOKUP(Cpi_[[#This Row],[Attribute]],#REF!,2,FALSE)</f>
        <v>#REF!</v>
      </c>
      <c r="F1969">
        <v>118.2</v>
      </c>
      <c r="G1969">
        <f>(Cpi_[[#This Row],[Value]]-F1968)/F1968</f>
        <v>3.6842105263157919E-2</v>
      </c>
      <c r="H1969" t="e" cm="1" vm="1">
        <f t="array" aca="1" ref="H1969" ca="1">VLOOKUP(Cpi_[[#This Row],[Year]:[Month]],crudeoil[],3,FALSE)</f>
        <v>#VALUE!</v>
      </c>
    </row>
    <row r="1970" spans="1:8" hidden="1" x14ac:dyDescent="0.3">
      <c r="A1970" t="s">
        <v>30</v>
      </c>
      <c r="B1970">
        <v>2015</v>
      </c>
      <c r="C1970" t="s">
        <v>31</v>
      </c>
      <c r="D1970" t="s">
        <v>27</v>
      </c>
      <c r="E1970" t="e">
        <f>VLOOKUP(Cpi_[[#This Row],[Attribute]],#REF!,2,FALSE)</f>
        <v>#REF!</v>
      </c>
      <c r="F1970">
        <v>110.2</v>
      </c>
      <c r="G1970">
        <f>(Cpi_[[#This Row],[Value]]-F1969)/F1969</f>
        <v>-6.7681895093062605E-2</v>
      </c>
      <c r="H1970" t="e" cm="1" vm="1">
        <f t="array" aca="1" ref="H1970" ca="1">VLOOKUP(Cpi_[[#This Row],[Year]:[Month]],crudeoil[],3,FALSE)</f>
        <v>#VALUE!</v>
      </c>
    </row>
    <row r="1971" spans="1:8" hidden="1" x14ac:dyDescent="0.3">
      <c r="A1971" t="s">
        <v>30</v>
      </c>
      <c r="B1971">
        <v>2015</v>
      </c>
      <c r="C1971" t="s">
        <v>31</v>
      </c>
      <c r="D1971" t="s">
        <v>28</v>
      </c>
      <c r="E1971" t="e">
        <f>VLOOKUP(Cpi_[[#This Row],[Attribute]],#REF!,2,FALSE)</f>
        <v>#REF!</v>
      </c>
      <c r="F1971">
        <v>114.5</v>
      </c>
      <c r="G1971">
        <f>(Cpi_[[#This Row],[Value]]-F1970)/F1970</f>
        <v>3.9019963702359321E-2</v>
      </c>
      <c r="H1971" t="e" cm="1" vm="1">
        <f t="array" aca="1" ref="H1971" ca="1">VLOOKUP(Cpi_[[#This Row],[Year]:[Month]],crudeoil[],3,FALSE)</f>
        <v>#VALUE!</v>
      </c>
    </row>
    <row r="1972" spans="1:8" hidden="1" x14ac:dyDescent="0.3">
      <c r="A1972" t="s">
        <v>30</v>
      </c>
      <c r="B1972">
        <v>2015</v>
      </c>
      <c r="C1972" t="s">
        <v>31</v>
      </c>
      <c r="D1972" t="s">
        <v>29</v>
      </c>
      <c r="E1972" t="e" cm="1">
        <f t="array" aca="1" ref="E1972" ca="1">VLGeneral indexGeneral indexKUP(Cpi_[[#This Row],[Attribute]],#REF!,2,FALSE)</f>
        <v>#NAME?</v>
      </c>
      <c r="F1972">
        <v>120.3</v>
      </c>
      <c r="G1972">
        <f>(Cpi_[[#This Row],[Value]]-F1971)/F1971</f>
        <v>5.0655021834061113E-2</v>
      </c>
      <c r="H1972" t="e" cm="1" vm="1">
        <f t="array" aca="1" ref="H1972" ca="1">VLOOKUP(Cpi_[[#This Row],[Year]:[Month]],crudeoil[],3,FALSE)</f>
        <v>#VALUE!</v>
      </c>
    </row>
    <row r="1973" spans="1:8" hidden="1" x14ac:dyDescent="0.3">
      <c r="A1973" t="s">
        <v>33</v>
      </c>
      <c r="B1973">
        <v>2015</v>
      </c>
      <c r="C1973" t="s">
        <v>31</v>
      </c>
      <c r="D1973" t="s">
        <v>3</v>
      </c>
      <c r="E1973" t="e">
        <f>VLOOKUP(Cpi_[[#This Row],[Attribute]],#REF!,2,FALSE)</f>
        <v>#REF!</v>
      </c>
      <c r="F1973">
        <v>124</v>
      </c>
      <c r="G1973">
        <f>(Cpi_[[#This Row],[Value]]-F1972)/F1972</f>
        <v>3.0756442227763948E-2</v>
      </c>
      <c r="H1973" t="e" cm="1" vm="1">
        <f t="array" aca="1" ref="H1973" ca="1">VLOOKUP(Cpi_[[#This Row],[Year]:[Month]],crudeoil[],3,FALSE)</f>
        <v>#VALUE!</v>
      </c>
    </row>
    <row r="1974" spans="1:8" hidden="1" x14ac:dyDescent="0.3">
      <c r="A1974" t="s">
        <v>33</v>
      </c>
      <c r="B1974">
        <v>2015</v>
      </c>
      <c r="C1974" t="s">
        <v>31</v>
      </c>
      <c r="D1974" t="s">
        <v>4</v>
      </c>
      <c r="E1974" t="e">
        <f>VLOOKUP(Cpi_[[#This Row],[Attribute]],#REF!,2,FALSE)</f>
        <v>#REF!</v>
      </c>
      <c r="F1974">
        <v>125.5</v>
      </c>
      <c r="G1974">
        <f>(Cpi_[[#This Row],[Value]]-F1973)/F1973</f>
        <v>1.2096774193548387E-2</v>
      </c>
      <c r="H1974" t="e" cm="1" vm="1">
        <f t="array" aca="1" ref="H1974" ca="1">VLOOKUP(Cpi_[[#This Row],[Year]:[Month]],crudeoil[],3,FALSE)</f>
        <v>#VALUE!</v>
      </c>
    </row>
    <row r="1975" spans="1:8" hidden="1" x14ac:dyDescent="0.3">
      <c r="A1975" t="s">
        <v>33</v>
      </c>
      <c r="B1975">
        <v>2015</v>
      </c>
      <c r="C1975" t="s">
        <v>31</v>
      </c>
      <c r="D1975" t="s">
        <v>5</v>
      </c>
      <c r="E1975" t="e">
        <f>VLOOKUP(Cpi_[[#This Row],[Attribute]],#REF!,2,FALSE)</f>
        <v>#REF!</v>
      </c>
      <c r="F1975">
        <v>126.6</v>
      </c>
      <c r="G1975">
        <f>(Cpi_[[#This Row],[Value]]-F1974)/F1974</f>
        <v>8.7649402390437801E-3</v>
      </c>
      <c r="H1975" t="e" cm="1" vm="1">
        <f t="array" aca="1" ref="H1975" ca="1">VLOOKUP(Cpi_[[#This Row],[Year]:[Month]],crudeoil[],3,FALSE)</f>
        <v>#VALUE!</v>
      </c>
    </row>
    <row r="1976" spans="1:8" hidden="1" x14ac:dyDescent="0.3">
      <c r="A1976" t="s">
        <v>33</v>
      </c>
      <c r="B1976">
        <v>2015</v>
      </c>
      <c r="C1976" t="s">
        <v>31</v>
      </c>
      <c r="D1976" t="s">
        <v>6</v>
      </c>
      <c r="E1976" t="e">
        <f>VLOOKUP(Cpi_[[#This Row],[Attribute]],#REF!,2,FALSE)</f>
        <v>#REF!</v>
      </c>
      <c r="F1976">
        <v>125.2</v>
      </c>
      <c r="G1976">
        <f>(Cpi_[[#This Row],[Value]]-F1975)/F1975</f>
        <v>-1.1058451816745588E-2</v>
      </c>
      <c r="H1976" t="e" cm="1" vm="1">
        <f t="array" aca="1" ref="H1976" ca="1">VLOOKUP(Cpi_[[#This Row],[Year]:[Month]],crudeoil[],3,FALSE)</f>
        <v>#VALUE!</v>
      </c>
    </row>
    <row r="1977" spans="1:8" hidden="1" x14ac:dyDescent="0.3">
      <c r="A1977" t="s">
        <v>33</v>
      </c>
      <c r="B1977">
        <v>2015</v>
      </c>
      <c r="C1977" t="s">
        <v>31</v>
      </c>
      <c r="D1977" t="s">
        <v>7</v>
      </c>
      <c r="E1977" t="e">
        <f>VLOOKUP(Cpi_[[#This Row],[Attribute]],#REF!,2,FALSE)</f>
        <v>#REF!</v>
      </c>
      <c r="F1977">
        <v>104.3</v>
      </c>
      <c r="G1977">
        <f>(Cpi_[[#This Row],[Value]]-F1976)/F1976</f>
        <v>-0.16693290734824284</v>
      </c>
      <c r="H1977" t="e" cm="1" vm="1">
        <f t="array" aca="1" ref="H1977" ca="1">VLOOKUP(Cpi_[[#This Row],[Year]:[Month]],crudeoil[],3,FALSE)</f>
        <v>#VALUE!</v>
      </c>
    </row>
    <row r="1978" spans="1:8" hidden="1" x14ac:dyDescent="0.3">
      <c r="A1978" t="s">
        <v>33</v>
      </c>
      <c r="B1978">
        <v>2015</v>
      </c>
      <c r="C1978" t="s">
        <v>31</v>
      </c>
      <c r="D1978" t="s">
        <v>8</v>
      </c>
      <c r="E1978" t="e">
        <f>VLOOKUP(Cpi_[[#This Row],[Attribute]],#REF!,2,FALSE)</f>
        <v>#REF!</v>
      </c>
      <c r="F1978">
        <v>121.3</v>
      </c>
      <c r="G1978">
        <f>(Cpi_[[#This Row],[Value]]-F1977)/F1977</f>
        <v>0.16299137104506231</v>
      </c>
      <c r="H1978" t="e" cm="1" vm="1">
        <f t="array" aca="1" ref="H1978" ca="1">VLOOKUP(Cpi_[[#This Row],[Year]:[Month]],crudeoil[],3,FALSE)</f>
        <v>#VALUE!</v>
      </c>
    </row>
    <row r="1979" spans="1:8" hidden="1" x14ac:dyDescent="0.3">
      <c r="A1979" t="s">
        <v>33</v>
      </c>
      <c r="B1979">
        <v>2015</v>
      </c>
      <c r="C1979" t="s">
        <v>31</v>
      </c>
      <c r="D1979" t="s">
        <v>9</v>
      </c>
      <c r="E1979" t="e">
        <f>VLOOKUP(Cpi_[[#This Row],[Attribute]],#REF!,2,FALSE)</f>
        <v>#REF!</v>
      </c>
      <c r="F1979">
        <v>134.4</v>
      </c>
      <c r="G1979">
        <f>(Cpi_[[#This Row],[Value]]-F1978)/F1978</f>
        <v>0.10799670239076677</v>
      </c>
      <c r="H1979" t="e" cm="1" vm="1">
        <f t="array" aca="1" ref="H1979" ca="1">VLOOKUP(Cpi_[[#This Row],[Year]:[Month]],crudeoil[],3,FALSE)</f>
        <v>#VALUE!</v>
      </c>
    </row>
    <row r="1980" spans="1:8" hidden="1" x14ac:dyDescent="0.3">
      <c r="A1980" t="s">
        <v>33</v>
      </c>
      <c r="B1980">
        <v>2015</v>
      </c>
      <c r="C1980" t="s">
        <v>31</v>
      </c>
      <c r="D1980" t="s">
        <v>10</v>
      </c>
      <c r="E1980" t="e">
        <f>VLOOKUP(Cpi_[[#This Row],[Attribute]],#REF!,2,FALSE)</f>
        <v>#REF!</v>
      </c>
      <c r="F1980">
        <v>122.9</v>
      </c>
      <c r="G1980">
        <f>(Cpi_[[#This Row],[Value]]-F1979)/F1979</f>
        <v>-8.5565476190476192E-2</v>
      </c>
      <c r="H1980" t="e" cm="1" vm="1">
        <f t="array" aca="1" ref="H1980" ca="1">VLOOKUP(Cpi_[[#This Row],[Year]:[Month]],crudeoil[],3,FALSE)</f>
        <v>#VALUE!</v>
      </c>
    </row>
    <row r="1981" spans="1:8" hidden="1" x14ac:dyDescent="0.3">
      <c r="A1981" t="s">
        <v>33</v>
      </c>
      <c r="B1981">
        <v>2015</v>
      </c>
      <c r="C1981" t="s">
        <v>31</v>
      </c>
      <c r="D1981" t="s">
        <v>11</v>
      </c>
      <c r="E1981" t="e">
        <f>VLOOKUP(Cpi_[[#This Row],[Attribute]],#REF!,2,FALSE)</f>
        <v>#REF!</v>
      </c>
      <c r="F1981">
        <v>96.1</v>
      </c>
      <c r="G1981">
        <f>(Cpi_[[#This Row],[Value]]-F1980)/F1980</f>
        <v>-0.21806346623270961</v>
      </c>
      <c r="H1981" t="e" cm="1" vm="1">
        <f t="array" aca="1" ref="H1981" ca="1">VLOOKUP(Cpi_[[#This Row],[Year]:[Month]],crudeoil[],3,FALSE)</f>
        <v>#VALUE!</v>
      </c>
    </row>
    <row r="1982" spans="1:8" hidden="1" x14ac:dyDescent="0.3">
      <c r="A1982" t="s">
        <v>33</v>
      </c>
      <c r="B1982">
        <v>2015</v>
      </c>
      <c r="C1982" t="s">
        <v>31</v>
      </c>
      <c r="D1982" t="s">
        <v>12</v>
      </c>
      <c r="E1982" t="e">
        <f>VLOOKUP(Cpi_[[#This Row],[Attribute]],#REF!,2,FALSE)</f>
        <v>#REF!</v>
      </c>
      <c r="F1982">
        <v>126.6</v>
      </c>
      <c r="G1982">
        <f>(Cpi_[[#This Row],[Value]]-F1981)/F1981</f>
        <v>0.31737773152965665</v>
      </c>
      <c r="H1982" t="e" cm="1" vm="1">
        <f t="array" aca="1" ref="H1982" ca="1">VLOOKUP(Cpi_[[#This Row],[Year]:[Month]],crudeoil[],3,FALSE)</f>
        <v>#VALUE!</v>
      </c>
    </row>
    <row r="1983" spans="1:8" hidden="1" x14ac:dyDescent="0.3">
      <c r="A1983" t="s">
        <v>33</v>
      </c>
      <c r="B1983">
        <v>2015</v>
      </c>
      <c r="C1983" t="s">
        <v>31</v>
      </c>
      <c r="D1983" t="s">
        <v>13</v>
      </c>
      <c r="E1983" t="e">
        <f>VLOOKUP(Cpi_[[#This Row],[Attribute]],#REF!,2,FALSE)</f>
        <v>#REF!</v>
      </c>
      <c r="F1983">
        <v>116.5</v>
      </c>
      <c r="G1983">
        <f>(Cpi_[[#This Row],[Value]]-F1982)/F1982</f>
        <v>-7.9778830963665046E-2</v>
      </c>
      <c r="H1983" t="e" cm="1" vm="1">
        <f t="array" aca="1" ref="H1983" ca="1">VLOOKUP(Cpi_[[#This Row],[Year]:[Month]],crudeoil[],3,FALSE)</f>
        <v>#VALUE!</v>
      </c>
    </row>
    <row r="1984" spans="1:8" hidden="1" x14ac:dyDescent="0.3">
      <c r="A1984" t="s">
        <v>33</v>
      </c>
      <c r="B1984">
        <v>2015</v>
      </c>
      <c r="C1984" t="s">
        <v>31</v>
      </c>
      <c r="D1984" t="s">
        <v>14</v>
      </c>
      <c r="E1984" t="e">
        <f>VLOOKUP(Cpi_[[#This Row],[Attribute]],#REF!,2,FALSE)</f>
        <v>#REF!</v>
      </c>
      <c r="F1984">
        <v>128</v>
      </c>
      <c r="G1984">
        <f>(Cpi_[[#This Row],[Value]]-F1983)/F1983</f>
        <v>9.8712446351931327E-2</v>
      </c>
      <c r="H1984" t="e" cm="1" vm="1">
        <f t="array" aca="1" ref="H1984" ca="1">VLOOKUP(Cpi_[[#This Row],[Year]:[Month]],crudeoil[],3,FALSE)</f>
        <v>#VALUE!</v>
      </c>
    </row>
    <row r="1985" spans="1:8" hidden="1" x14ac:dyDescent="0.3">
      <c r="A1985" t="s">
        <v>33</v>
      </c>
      <c r="B1985">
        <v>2015</v>
      </c>
      <c r="C1985" t="s">
        <v>31</v>
      </c>
      <c r="D1985" t="s">
        <v>15</v>
      </c>
      <c r="E1985" t="e">
        <f>VLOOKUP(Cpi_[[#This Row],[Attribute]],#REF!,2,FALSE)</f>
        <v>#REF!</v>
      </c>
      <c r="F1985">
        <v>123.5</v>
      </c>
      <c r="G1985">
        <f>(Cpi_[[#This Row],[Value]]-F1984)/F1984</f>
        <v>-3.515625E-2</v>
      </c>
      <c r="H1985" t="e" cm="1" vm="1">
        <f t="array" aca="1" ref="H1985" ca="1">VLOOKUP(Cpi_[[#This Row],[Year]:[Month]],crudeoil[],3,FALSE)</f>
        <v>#VALUE!</v>
      </c>
    </row>
    <row r="1986" spans="1:8" hidden="1" x14ac:dyDescent="0.3">
      <c r="A1986" t="s">
        <v>33</v>
      </c>
      <c r="B1986">
        <v>2015</v>
      </c>
      <c r="C1986" t="s">
        <v>31</v>
      </c>
      <c r="D1986" t="s">
        <v>16</v>
      </c>
      <c r="E1986" t="e">
        <f>VLOOKUP(Cpi_[[#This Row],[Attribute]],#REF!,2,FALSE)</f>
        <v>#REF!</v>
      </c>
      <c r="F1986">
        <v>127.4</v>
      </c>
      <c r="G1986">
        <f>(Cpi_[[#This Row],[Value]]-F1985)/F1985</f>
        <v>3.1578947368421095E-2</v>
      </c>
      <c r="H1986" t="e" cm="1" vm="1">
        <f t="array" aca="1" ref="H1986" ca="1">VLOOKUP(Cpi_[[#This Row],[Year]:[Month]],crudeoil[],3,FALSE)</f>
        <v>#VALUE!</v>
      </c>
    </row>
    <row r="1987" spans="1:8" hidden="1" x14ac:dyDescent="0.3">
      <c r="A1987" t="s">
        <v>33</v>
      </c>
      <c r="B1987">
        <v>2015</v>
      </c>
      <c r="C1987" t="s">
        <v>31</v>
      </c>
      <c r="D1987" t="s">
        <v>17</v>
      </c>
      <c r="E1987" t="e">
        <f>VLOOKUP(Cpi_[[#This Row],[Attribute]],#REF!,2,FALSE)</f>
        <v>#REF!</v>
      </c>
      <c r="F1987">
        <v>121</v>
      </c>
      <c r="G1987">
        <f>(Cpi_[[#This Row],[Value]]-F1986)/F1986</f>
        <v>-5.0235478806907423E-2</v>
      </c>
      <c r="H1987" t="e" cm="1" vm="1">
        <f t="array" aca="1" ref="H1987" ca="1">VLOOKUP(Cpi_[[#This Row],[Year]:[Month]],crudeoil[],3,FALSE)</f>
        <v>#VALUE!</v>
      </c>
    </row>
    <row r="1988" spans="1:8" hidden="1" x14ac:dyDescent="0.3">
      <c r="A1988" t="s">
        <v>33</v>
      </c>
      <c r="B1988">
        <v>2015</v>
      </c>
      <c r="C1988" t="s">
        <v>31</v>
      </c>
      <c r="D1988" t="s">
        <v>18</v>
      </c>
      <c r="E1988" t="e">
        <f>VLOOKUP(Cpi_[[#This Row],[Attribute]],#REF!,2,FALSE)</f>
        <v>#REF!</v>
      </c>
      <c r="F1988">
        <v>116.1</v>
      </c>
      <c r="G1988">
        <f>(Cpi_[[#This Row],[Value]]-F1987)/F1987</f>
        <v>-4.0495867768595088E-2</v>
      </c>
      <c r="H1988" t="e" cm="1" vm="1">
        <f t="array" aca="1" ref="H1988" ca="1">VLOOKUP(Cpi_[[#This Row],[Year]:[Month]],crudeoil[],3,FALSE)</f>
        <v>#VALUE!</v>
      </c>
    </row>
    <row r="1989" spans="1:8" hidden="1" x14ac:dyDescent="0.3">
      <c r="A1989" t="s">
        <v>33</v>
      </c>
      <c r="B1989">
        <v>2015</v>
      </c>
      <c r="C1989" t="s">
        <v>31</v>
      </c>
      <c r="D1989" t="s">
        <v>19</v>
      </c>
      <c r="E1989" t="e">
        <f>VLOOKUP(Cpi_[[#This Row],[Attribute]],#REF!,2,FALSE)</f>
        <v>#REF!</v>
      </c>
      <c r="F1989">
        <v>120.2</v>
      </c>
      <c r="G1989">
        <f>(Cpi_[[#This Row],[Value]]-F1988)/F1988</f>
        <v>3.5314384151593527E-2</v>
      </c>
      <c r="H1989" t="e" cm="1" vm="1">
        <f t="array" aca="1" ref="H1989" ca="1">VLOOKUP(Cpi_[[#This Row],[Year]:[Month]],crudeoil[],3,FALSE)</f>
        <v>#VALUE!</v>
      </c>
    </row>
    <row r="1990" spans="1:8" hidden="1" x14ac:dyDescent="0.3">
      <c r="A1990" t="s">
        <v>33</v>
      </c>
      <c r="B1990">
        <v>2015</v>
      </c>
      <c r="C1990" t="s">
        <v>31</v>
      </c>
      <c r="D1990" t="s">
        <v>20</v>
      </c>
      <c r="E1990" t="e">
        <f>VLOOKUP(Cpi_[[#This Row],[Attribute]],#REF!,2,FALSE)</f>
        <v>#REF!</v>
      </c>
      <c r="F1990">
        <v>117.3</v>
      </c>
      <c r="G1990">
        <f>(Cpi_[[#This Row],[Value]]-F1989)/F1989</f>
        <v>-2.4126455906822011E-2</v>
      </c>
      <c r="H1990" t="e" cm="1" vm="1">
        <f t="array" aca="1" ref="H1990" ca="1">VLOOKUP(Cpi_[[#This Row],[Year]:[Month]],crudeoil[],3,FALSE)</f>
        <v>#VALUE!</v>
      </c>
    </row>
    <row r="1991" spans="1:8" hidden="1" x14ac:dyDescent="0.3">
      <c r="A1991" t="s">
        <v>33</v>
      </c>
      <c r="B1991">
        <v>2015</v>
      </c>
      <c r="C1991" t="s">
        <v>31</v>
      </c>
      <c r="D1991" t="s">
        <v>21</v>
      </c>
      <c r="E1991" t="e">
        <f>VLOOKUP(Cpi_[[#This Row],[Attribute]],#REF!,2,FALSE)</f>
        <v>#REF!</v>
      </c>
      <c r="F1991">
        <v>113.4</v>
      </c>
      <c r="G1991">
        <f>(Cpi_[[#This Row],[Value]]-F1990)/F1990</f>
        <v>-3.3248081841432152E-2</v>
      </c>
      <c r="H1991" t="e" cm="1" vm="1">
        <f t="array" aca="1" ref="H1991" ca="1">VLOOKUP(Cpi_[[#This Row],[Year]:[Month]],crudeoil[],3,FALSE)</f>
        <v>#VALUE!</v>
      </c>
    </row>
    <row r="1992" spans="1:8" hidden="1" x14ac:dyDescent="0.3">
      <c r="A1992" t="s">
        <v>33</v>
      </c>
      <c r="B1992">
        <v>2015</v>
      </c>
      <c r="C1992" t="s">
        <v>31</v>
      </c>
      <c r="D1992" t="s">
        <v>22</v>
      </c>
      <c r="E1992" t="e">
        <f>VLOOKUP(Cpi_[[#This Row],[Attribute]],#REF!,2,FALSE)</f>
        <v>#REF!</v>
      </c>
      <c r="F1992">
        <v>117.2</v>
      </c>
      <c r="G1992">
        <f>(Cpi_[[#This Row],[Value]]-F1991)/F1991</f>
        <v>3.3509700176366813E-2</v>
      </c>
      <c r="H1992" t="e" cm="1" vm="1">
        <f t="array" aca="1" ref="H1992" ca="1">VLOOKUP(Cpi_[[#This Row],[Year]:[Month]],crudeoil[],3,FALSE)</f>
        <v>#VALUE!</v>
      </c>
    </row>
    <row r="1993" spans="1:8" hidden="1" x14ac:dyDescent="0.3">
      <c r="A1993" t="s">
        <v>33</v>
      </c>
      <c r="B1993">
        <v>2015</v>
      </c>
      <c r="C1993" t="s">
        <v>31</v>
      </c>
      <c r="D1993" t="s">
        <v>23</v>
      </c>
      <c r="E1993" t="e">
        <f>VLOOKUP(Cpi_[[#This Row],[Attribute]],#REF!,2,FALSE)</f>
        <v>#REF!</v>
      </c>
      <c r="F1993">
        <v>113.7</v>
      </c>
      <c r="G1993">
        <f>(Cpi_[[#This Row],[Value]]-F1992)/F1992</f>
        <v>-2.9863481228668942E-2</v>
      </c>
      <c r="H1993" t="e" cm="1" vm="1">
        <f t="array" aca="1" ref="H1993" ca="1">VLOOKUP(Cpi_[[#This Row],[Year]:[Month]],crudeoil[],3,FALSE)</f>
        <v>#VALUE!</v>
      </c>
    </row>
    <row r="1994" spans="1:8" hidden="1" x14ac:dyDescent="0.3">
      <c r="A1994" t="s">
        <v>33</v>
      </c>
      <c r="B1994">
        <v>2015</v>
      </c>
      <c r="C1994" t="s">
        <v>31</v>
      </c>
      <c r="D1994" t="s">
        <v>24</v>
      </c>
      <c r="E1994" t="e">
        <f>VLOOKUP(Cpi_[[#This Row],[Attribute]],#REF!,2,FALSE)</f>
        <v>#REF!</v>
      </c>
      <c r="F1994">
        <v>107.9</v>
      </c>
      <c r="G1994">
        <f>(Cpi_[[#This Row],[Value]]-F1993)/F1993</f>
        <v>-5.1011433597185553E-2</v>
      </c>
      <c r="H1994" t="e" cm="1" vm="1">
        <f t="array" aca="1" ref="H1994" ca="1">VLOOKUP(Cpi_[[#This Row],[Year]:[Month]],crudeoil[],3,FALSE)</f>
        <v>#VALUE!</v>
      </c>
    </row>
    <row r="1995" spans="1:8" hidden="1" x14ac:dyDescent="0.3">
      <c r="A1995" t="s">
        <v>33</v>
      </c>
      <c r="B1995">
        <v>2015</v>
      </c>
      <c r="C1995" t="s">
        <v>31</v>
      </c>
      <c r="D1995" t="s">
        <v>25</v>
      </c>
      <c r="E1995" t="e">
        <f>VLOOKUP(Cpi_[[#This Row],[Attribute]],#REF!,2,FALSE)</f>
        <v>#REF!</v>
      </c>
      <c r="F1995">
        <v>114.6</v>
      </c>
      <c r="G1995">
        <f>(Cpi_[[#This Row],[Value]]-F1994)/F1994</f>
        <v>6.2094531974049939E-2</v>
      </c>
      <c r="H1995" t="e" cm="1" vm="1">
        <f t="array" aca="1" ref="H1995" ca="1">VLOOKUP(Cpi_[[#This Row],[Year]:[Month]],crudeoil[],3,FALSE)</f>
        <v>#VALUE!</v>
      </c>
    </row>
    <row r="1996" spans="1:8" hidden="1" x14ac:dyDescent="0.3">
      <c r="A1996" t="s">
        <v>33</v>
      </c>
      <c r="B1996">
        <v>2015</v>
      </c>
      <c r="C1996" t="s">
        <v>31</v>
      </c>
      <c r="D1996" t="s">
        <v>26</v>
      </c>
      <c r="E1996" t="e">
        <f>VLOOKUP(Cpi_[[#This Row],[Attribute]],#REF!,2,FALSE)</f>
        <v>#REF!</v>
      </c>
      <c r="F1996">
        <v>120.8</v>
      </c>
      <c r="G1996">
        <f>(Cpi_[[#This Row],[Value]]-F1995)/F1995</f>
        <v>5.4101221640488681E-2</v>
      </c>
      <c r="H1996" t="e" cm="1" vm="1">
        <f t="array" aca="1" ref="H1996" ca="1">VLOOKUP(Cpi_[[#This Row],[Year]:[Month]],crudeoil[],3,FALSE)</f>
        <v>#VALUE!</v>
      </c>
    </row>
    <row r="1997" spans="1:8" hidden="1" x14ac:dyDescent="0.3">
      <c r="A1997" t="s">
        <v>33</v>
      </c>
      <c r="B1997">
        <v>2015</v>
      </c>
      <c r="C1997" t="s">
        <v>31</v>
      </c>
      <c r="D1997" t="s">
        <v>27</v>
      </c>
      <c r="E1997" t="e">
        <f>VLOOKUP(Cpi_[[#This Row],[Attribute]],#REF!,2,FALSE)</f>
        <v>#REF!</v>
      </c>
      <c r="F1997">
        <v>111.4</v>
      </c>
      <c r="G1997">
        <f>(Cpi_[[#This Row],[Value]]-F1996)/F1996</f>
        <v>-7.7814569536423767E-2</v>
      </c>
      <c r="H1997" t="e" cm="1" vm="1">
        <f t="array" aca="1" ref="H1997" ca="1">VLOOKUP(Cpi_[[#This Row],[Year]:[Month]],crudeoil[],3,FALSE)</f>
        <v>#VALUE!</v>
      </c>
    </row>
    <row r="1998" spans="1:8" hidden="1" x14ac:dyDescent="0.3">
      <c r="A1998" t="s">
        <v>33</v>
      </c>
      <c r="B1998">
        <v>2015</v>
      </c>
      <c r="C1998" t="s">
        <v>31</v>
      </c>
      <c r="D1998" t="s">
        <v>28</v>
      </c>
      <c r="E1998" t="e">
        <f>VLOOKUP(Cpi_[[#This Row],[Attribute]],#REF!,2,FALSE)</f>
        <v>#REF!</v>
      </c>
      <c r="F1998">
        <v>113.4</v>
      </c>
      <c r="G1998">
        <f>(Cpi_[[#This Row],[Value]]-F1997)/F1997</f>
        <v>1.7953321364452424E-2</v>
      </c>
      <c r="H1998" t="e" cm="1" vm="1">
        <f t="array" aca="1" ref="H1998" ca="1">VLOOKUP(Cpi_[[#This Row],[Year]:[Month]],crudeoil[],3,FALSE)</f>
        <v>#VALUE!</v>
      </c>
    </row>
    <row r="1999" spans="1:8" hidden="1" x14ac:dyDescent="0.3">
      <c r="A1999" t="s">
        <v>33</v>
      </c>
      <c r="B1999">
        <v>2015</v>
      </c>
      <c r="C1999" t="s">
        <v>31</v>
      </c>
      <c r="D1999" t="s">
        <v>29</v>
      </c>
      <c r="E1999" t="e" cm="1">
        <f t="array" aca="1" ref="E1999" ca="1">VLGeneral indexGeneral indexKUP(Cpi_[[#This Row],[Attribute]],#REF!,2,FALSE)</f>
        <v>#NAME?</v>
      </c>
      <c r="F1999">
        <v>118.5</v>
      </c>
      <c r="G1999">
        <f>(Cpi_[[#This Row],[Value]]-F1998)/F1998</f>
        <v>4.4973544973544922E-2</v>
      </c>
      <c r="H1999" t="e" cm="1" vm="1">
        <f t="array" aca="1" ref="H1999" ca="1">VLOOKUP(Cpi_[[#This Row],[Year]:[Month]],crudeoil[],3,FALSE)</f>
        <v>#VALUE!</v>
      </c>
    </row>
    <row r="2000" spans="1:8" hidden="1" x14ac:dyDescent="0.3">
      <c r="A2000" t="s">
        <v>34</v>
      </c>
      <c r="B2000">
        <v>2015</v>
      </c>
      <c r="C2000" t="s">
        <v>31</v>
      </c>
      <c r="D2000" t="s">
        <v>3</v>
      </c>
      <c r="E2000" t="e">
        <f>VLOOKUP(Cpi_[[#This Row],[Attribute]],#REF!,2,FALSE)</f>
        <v>#REF!</v>
      </c>
      <c r="F2000">
        <v>123.4</v>
      </c>
      <c r="G2000">
        <f>(Cpi_[[#This Row],[Value]]-F1999)/F1999</f>
        <v>4.135021097046418E-2</v>
      </c>
      <c r="H2000" t="e" cm="1" vm="1">
        <f t="array" aca="1" ref="H2000" ca="1">VLOOKUP(Cpi_[[#This Row],[Year]:[Month]],crudeoil[],3,FALSE)</f>
        <v>#VALUE!</v>
      </c>
    </row>
    <row r="2001" spans="1:8" hidden="1" x14ac:dyDescent="0.3">
      <c r="A2001" t="s">
        <v>34</v>
      </c>
      <c r="B2001">
        <v>2015</v>
      </c>
      <c r="C2001" t="s">
        <v>31</v>
      </c>
      <c r="D2001" t="s">
        <v>4</v>
      </c>
      <c r="E2001" t="e">
        <f>VLOOKUP(Cpi_[[#This Row],[Attribute]],#REF!,2,FALSE)</f>
        <v>#REF!</v>
      </c>
      <c r="F2001">
        <v>123.9</v>
      </c>
      <c r="G2001">
        <f>(Cpi_[[#This Row],[Value]]-F2000)/F2000</f>
        <v>4.0518638573743921E-3</v>
      </c>
      <c r="H2001" t="e" cm="1" vm="1">
        <f t="array" aca="1" ref="H2001" ca="1">VLOOKUP(Cpi_[[#This Row],[Year]:[Month]],crudeoil[],3,FALSE)</f>
        <v>#VALUE!</v>
      </c>
    </row>
    <row r="2002" spans="1:8" hidden="1" x14ac:dyDescent="0.3">
      <c r="A2002" t="s">
        <v>34</v>
      </c>
      <c r="B2002">
        <v>2015</v>
      </c>
      <c r="C2002" t="s">
        <v>31</v>
      </c>
      <c r="D2002" t="s">
        <v>5</v>
      </c>
      <c r="E2002" t="e">
        <f>VLOOKUP(Cpi_[[#This Row],[Attribute]],#REF!,2,FALSE)</f>
        <v>#REF!</v>
      </c>
      <c r="F2002">
        <v>123.8</v>
      </c>
      <c r="G2002">
        <f>(Cpi_[[#This Row],[Value]]-F2001)/F2001</f>
        <v>-8.0710250201782507E-4</v>
      </c>
      <c r="H2002" t="e" cm="1" vm="1">
        <f t="array" aca="1" ref="H2002" ca="1">VLOOKUP(Cpi_[[#This Row],[Year]:[Month]],crudeoil[],3,FALSE)</f>
        <v>#VALUE!</v>
      </c>
    </row>
    <row r="2003" spans="1:8" hidden="1" x14ac:dyDescent="0.3">
      <c r="A2003" t="s">
        <v>34</v>
      </c>
      <c r="B2003">
        <v>2015</v>
      </c>
      <c r="C2003" t="s">
        <v>31</v>
      </c>
      <c r="D2003" t="s">
        <v>6</v>
      </c>
      <c r="E2003" t="e">
        <f>VLOOKUP(Cpi_[[#This Row],[Attribute]],#REF!,2,FALSE)</f>
        <v>#REF!</v>
      </c>
      <c r="F2003">
        <v>125</v>
      </c>
      <c r="G2003">
        <f>(Cpi_[[#This Row],[Value]]-F2002)/F2002</f>
        <v>9.6930533117932389E-3</v>
      </c>
      <c r="H2003" t="e" cm="1" vm="1">
        <f t="array" aca="1" ref="H2003" ca="1">VLOOKUP(Cpi_[[#This Row],[Year]:[Month]],crudeoil[],3,FALSE)</f>
        <v>#VALUE!</v>
      </c>
    </row>
    <row r="2004" spans="1:8" hidden="1" x14ac:dyDescent="0.3">
      <c r="A2004" t="s">
        <v>34</v>
      </c>
      <c r="B2004">
        <v>2015</v>
      </c>
      <c r="C2004" t="s">
        <v>31</v>
      </c>
      <c r="D2004" t="s">
        <v>7</v>
      </c>
      <c r="E2004" t="e">
        <f>VLOOKUP(Cpi_[[#This Row],[Attribute]],#REF!,2,FALSE)</f>
        <v>#REF!</v>
      </c>
      <c r="F2004">
        <v>108.5</v>
      </c>
      <c r="G2004">
        <f>(Cpi_[[#This Row],[Value]]-F2003)/F2003</f>
        <v>-0.13200000000000001</v>
      </c>
      <c r="H2004" t="e" cm="1" vm="1">
        <f t="array" aca="1" ref="H2004" ca="1">VLOOKUP(Cpi_[[#This Row],[Year]:[Month]],crudeoil[],3,FALSE)</f>
        <v>#VALUE!</v>
      </c>
    </row>
    <row r="2005" spans="1:8" hidden="1" x14ac:dyDescent="0.3">
      <c r="A2005" t="s">
        <v>34</v>
      </c>
      <c r="B2005">
        <v>2015</v>
      </c>
      <c r="C2005" t="s">
        <v>31</v>
      </c>
      <c r="D2005" t="s">
        <v>8</v>
      </c>
      <c r="E2005" t="e">
        <f>VLOOKUP(Cpi_[[#This Row],[Attribute]],#REF!,2,FALSE)</f>
        <v>#REF!</v>
      </c>
      <c r="F2005">
        <v>126.2</v>
      </c>
      <c r="G2005">
        <f>(Cpi_[[#This Row],[Value]]-F2004)/F2004</f>
        <v>0.16313364055299542</v>
      </c>
      <c r="H2005" t="e" cm="1" vm="1">
        <f t="array" aca="1" ref="H2005" ca="1">VLOOKUP(Cpi_[[#This Row],[Year]:[Month]],crudeoil[],3,FALSE)</f>
        <v>#VALUE!</v>
      </c>
    </row>
    <row r="2006" spans="1:8" hidden="1" x14ac:dyDescent="0.3">
      <c r="A2006" t="s">
        <v>34</v>
      </c>
      <c r="B2006">
        <v>2015</v>
      </c>
      <c r="C2006" t="s">
        <v>31</v>
      </c>
      <c r="D2006" t="s">
        <v>9</v>
      </c>
      <c r="E2006" t="e">
        <f>VLOOKUP(Cpi_[[#This Row],[Attribute]],#REF!,2,FALSE)</f>
        <v>#REF!</v>
      </c>
      <c r="F2006">
        <v>133</v>
      </c>
      <c r="G2006">
        <f>(Cpi_[[#This Row],[Value]]-F2005)/F2005</f>
        <v>5.3882725832012653E-2</v>
      </c>
      <c r="H2006" t="e" cm="1" vm="1">
        <f t="array" aca="1" ref="H2006" ca="1">VLOOKUP(Cpi_[[#This Row],[Year]:[Month]],crudeoil[],3,FALSE)</f>
        <v>#VALUE!</v>
      </c>
    </row>
    <row r="2007" spans="1:8" hidden="1" x14ac:dyDescent="0.3">
      <c r="A2007" t="s">
        <v>34</v>
      </c>
      <c r="B2007">
        <v>2015</v>
      </c>
      <c r="C2007" t="s">
        <v>31</v>
      </c>
      <c r="D2007" t="s">
        <v>10</v>
      </c>
      <c r="E2007" t="e">
        <f>VLOOKUP(Cpi_[[#This Row],[Attribute]],#REF!,2,FALSE)</f>
        <v>#REF!</v>
      </c>
      <c r="F2007">
        <v>119.1</v>
      </c>
      <c r="G2007">
        <f>(Cpi_[[#This Row],[Value]]-F2006)/F2006</f>
        <v>-0.10451127819548876</v>
      </c>
      <c r="H2007" t="e" cm="1" vm="1">
        <f t="array" aca="1" ref="H2007" ca="1">VLOOKUP(Cpi_[[#This Row],[Year]:[Month]],crudeoil[],3,FALSE)</f>
        <v>#VALUE!</v>
      </c>
    </row>
    <row r="2008" spans="1:8" hidden="1" x14ac:dyDescent="0.3">
      <c r="A2008" t="s">
        <v>34</v>
      </c>
      <c r="B2008">
        <v>2015</v>
      </c>
      <c r="C2008" t="s">
        <v>31</v>
      </c>
      <c r="D2008" t="s">
        <v>11</v>
      </c>
      <c r="E2008" t="e">
        <f>VLOOKUP(Cpi_[[#This Row],[Attribute]],#REF!,2,FALSE)</f>
        <v>#REF!</v>
      </c>
      <c r="F2008">
        <v>99</v>
      </c>
      <c r="G2008">
        <f>(Cpi_[[#This Row],[Value]]-F2007)/F2007</f>
        <v>-0.16876574307304781</v>
      </c>
      <c r="H2008" t="e" cm="1" vm="1">
        <f t="array" aca="1" ref="H2008" ca="1">VLOOKUP(Cpi_[[#This Row],[Year]:[Month]],crudeoil[],3,FALSE)</f>
        <v>#VALUE!</v>
      </c>
    </row>
    <row r="2009" spans="1:8" hidden="1" x14ac:dyDescent="0.3">
      <c r="A2009" t="s">
        <v>34</v>
      </c>
      <c r="B2009">
        <v>2015</v>
      </c>
      <c r="C2009" t="s">
        <v>31</v>
      </c>
      <c r="D2009" t="s">
        <v>12</v>
      </c>
      <c r="E2009" t="e">
        <f>VLOOKUP(Cpi_[[#This Row],[Attribute]],#REF!,2,FALSE)</f>
        <v>#REF!</v>
      </c>
      <c r="F2009">
        <v>120.3</v>
      </c>
      <c r="G2009">
        <f>(Cpi_[[#This Row],[Value]]-F2008)/F2008</f>
        <v>0.21515151515151512</v>
      </c>
      <c r="H2009" t="e" cm="1" vm="1">
        <f t="array" aca="1" ref="H2009" ca="1">VLOOKUP(Cpi_[[#This Row],[Year]:[Month]],crudeoil[],3,FALSE)</f>
        <v>#VALUE!</v>
      </c>
    </row>
    <row r="2010" spans="1:8" hidden="1" x14ac:dyDescent="0.3">
      <c r="A2010" t="s">
        <v>34</v>
      </c>
      <c r="B2010">
        <v>2015</v>
      </c>
      <c r="C2010" t="s">
        <v>31</v>
      </c>
      <c r="D2010" t="s">
        <v>13</v>
      </c>
      <c r="E2010" t="e">
        <f>VLOOKUP(Cpi_[[#This Row],[Attribute]],#REF!,2,FALSE)</f>
        <v>#REF!</v>
      </c>
      <c r="F2010">
        <v>117.3</v>
      </c>
      <c r="G2010">
        <f>(Cpi_[[#This Row],[Value]]-F2009)/F2009</f>
        <v>-2.4937655860349128E-2</v>
      </c>
      <c r="H2010" t="e" cm="1" vm="1">
        <f t="array" aca="1" ref="H2010" ca="1">VLOOKUP(Cpi_[[#This Row],[Year]:[Month]],crudeoil[],3,FALSE)</f>
        <v>#VALUE!</v>
      </c>
    </row>
    <row r="2011" spans="1:8" hidden="1" x14ac:dyDescent="0.3">
      <c r="A2011" t="s">
        <v>34</v>
      </c>
      <c r="B2011">
        <v>2015</v>
      </c>
      <c r="C2011" t="s">
        <v>31</v>
      </c>
      <c r="D2011" t="s">
        <v>14</v>
      </c>
      <c r="E2011" t="e">
        <f>VLOOKUP(Cpi_[[#This Row],[Attribute]],#REF!,2,FALSE)</f>
        <v>#REF!</v>
      </c>
      <c r="F2011">
        <v>126.7</v>
      </c>
      <c r="G2011">
        <f>(Cpi_[[#This Row],[Value]]-F2010)/F2010</f>
        <v>8.0136402387041825E-2</v>
      </c>
      <c r="H2011" t="e" cm="1" vm="1">
        <f t="array" aca="1" ref="H2011" ca="1">VLOOKUP(Cpi_[[#This Row],[Year]:[Month]],crudeoil[],3,FALSE)</f>
        <v>#VALUE!</v>
      </c>
    </row>
    <row r="2012" spans="1:8" hidden="1" x14ac:dyDescent="0.3">
      <c r="A2012" t="s">
        <v>34</v>
      </c>
      <c r="B2012">
        <v>2015</v>
      </c>
      <c r="C2012" t="s">
        <v>31</v>
      </c>
      <c r="D2012" t="s">
        <v>15</v>
      </c>
      <c r="E2012" t="e">
        <f>VLOOKUP(Cpi_[[#This Row],[Attribute]],#REF!,2,FALSE)</f>
        <v>#REF!</v>
      </c>
      <c r="F2012">
        <v>123.1</v>
      </c>
      <c r="G2012">
        <f>(Cpi_[[#This Row],[Value]]-F2011)/F2011</f>
        <v>-2.8413575374901408E-2</v>
      </c>
      <c r="H2012" t="e" cm="1" vm="1">
        <f t="array" aca="1" ref="H2012" ca="1">VLOOKUP(Cpi_[[#This Row],[Year]:[Month]],crudeoil[],3,FALSE)</f>
        <v>#VALUE!</v>
      </c>
    </row>
    <row r="2013" spans="1:8" hidden="1" x14ac:dyDescent="0.3">
      <c r="A2013" t="s">
        <v>34</v>
      </c>
      <c r="B2013">
        <v>2015</v>
      </c>
      <c r="C2013" t="s">
        <v>31</v>
      </c>
      <c r="D2013" t="s">
        <v>16</v>
      </c>
      <c r="E2013" t="e">
        <f>VLOOKUP(Cpi_[[#This Row],[Attribute]],#REF!,2,FALSE)</f>
        <v>#REF!</v>
      </c>
      <c r="F2013">
        <v>124</v>
      </c>
      <c r="G2013">
        <f>(Cpi_[[#This Row],[Value]]-F2012)/F2012</f>
        <v>7.3111291632819309E-3</v>
      </c>
      <c r="H2013" t="e" cm="1" vm="1">
        <f t="array" aca="1" ref="H2013" ca="1">VLOOKUP(Cpi_[[#This Row],[Year]:[Month]],crudeoil[],3,FALSE)</f>
        <v>#VALUE!</v>
      </c>
    </row>
    <row r="2014" spans="1:8" hidden="1" x14ac:dyDescent="0.3">
      <c r="A2014" t="s">
        <v>34</v>
      </c>
      <c r="B2014">
        <v>2015</v>
      </c>
      <c r="C2014" t="s">
        <v>31</v>
      </c>
      <c r="D2014" t="s">
        <v>17</v>
      </c>
      <c r="E2014" t="e">
        <f>VLOOKUP(Cpi_[[#This Row],[Attribute]],#REF!,2,FALSE)</f>
        <v>#REF!</v>
      </c>
      <c r="F2014">
        <v>123.1</v>
      </c>
      <c r="G2014">
        <f>(Cpi_[[#This Row],[Value]]-F2013)/F2013</f>
        <v>-7.2580645161290777E-3</v>
      </c>
      <c r="H2014" t="e" cm="1" vm="1">
        <f t="array" aca="1" ref="H2014" ca="1">VLOOKUP(Cpi_[[#This Row],[Year]:[Month]],crudeoil[],3,FALSE)</f>
        <v>#VALUE!</v>
      </c>
    </row>
    <row r="2015" spans="1:8" hidden="1" x14ac:dyDescent="0.3">
      <c r="A2015" t="s">
        <v>34</v>
      </c>
      <c r="B2015">
        <v>2015</v>
      </c>
      <c r="C2015" t="s">
        <v>31</v>
      </c>
      <c r="D2015" t="s">
        <v>18</v>
      </c>
      <c r="E2015" t="e">
        <f>VLOOKUP(Cpi_[[#This Row],[Attribute]],#REF!,2,FALSE)</f>
        <v>#REF!</v>
      </c>
      <c r="F2015">
        <v>119.3</v>
      </c>
      <c r="G2015">
        <f>(Cpi_[[#This Row],[Value]]-F2014)/F2014</f>
        <v>-3.0869212022745715E-2</v>
      </c>
      <c r="H2015" t="e" cm="1" vm="1">
        <f t="array" aca="1" ref="H2015" ca="1">VLOOKUP(Cpi_[[#This Row],[Year]:[Month]],crudeoil[],3,FALSE)</f>
        <v>#VALUE!</v>
      </c>
    </row>
    <row r="2016" spans="1:8" hidden="1" x14ac:dyDescent="0.3">
      <c r="A2016" t="s">
        <v>34</v>
      </c>
      <c r="B2016">
        <v>2015</v>
      </c>
      <c r="C2016" t="s">
        <v>31</v>
      </c>
      <c r="D2016" t="s">
        <v>19</v>
      </c>
      <c r="E2016" t="e">
        <f>VLOOKUP(Cpi_[[#This Row],[Attribute]],#REF!,2,FALSE)</f>
        <v>#REF!</v>
      </c>
      <c r="F2016">
        <v>122.5</v>
      </c>
      <c r="G2016">
        <f>(Cpi_[[#This Row],[Value]]-F2015)/F2015</f>
        <v>2.6823134953897761E-2</v>
      </c>
      <c r="H2016" t="e" cm="1" vm="1">
        <f t="array" aca="1" ref="H2016" ca="1">VLOOKUP(Cpi_[[#This Row],[Year]:[Month]],crudeoil[],3,FALSE)</f>
        <v>#VALUE!</v>
      </c>
    </row>
    <row r="2017" spans="1:8" hidden="1" x14ac:dyDescent="0.3">
      <c r="A2017" t="s">
        <v>34</v>
      </c>
      <c r="B2017">
        <v>2015</v>
      </c>
      <c r="C2017" t="s">
        <v>31</v>
      </c>
      <c r="D2017" t="s">
        <v>20</v>
      </c>
      <c r="E2017" t="e">
        <f>VLOOKUP(Cpi_[[#This Row],[Attribute]],#REF!,2,FALSE)</f>
        <v>#REF!</v>
      </c>
      <c r="F2017">
        <v>117.3</v>
      </c>
      <c r="G2017">
        <f>(Cpi_[[#This Row],[Value]]-F2016)/F2016</f>
        <v>-4.2448979591836758E-2</v>
      </c>
      <c r="H2017" t="e" cm="1" vm="1">
        <f t="array" aca="1" ref="H2017" ca="1">VLOOKUP(Cpi_[[#This Row],[Year]:[Month]],crudeoil[],3,FALSE)</f>
        <v>#VALUE!</v>
      </c>
    </row>
    <row r="2018" spans="1:8" hidden="1" x14ac:dyDescent="0.3">
      <c r="A2018" t="s">
        <v>34</v>
      </c>
      <c r="B2018">
        <v>2015</v>
      </c>
      <c r="C2018" t="s">
        <v>31</v>
      </c>
      <c r="D2018" t="s">
        <v>21</v>
      </c>
      <c r="E2018" t="e">
        <f>VLOOKUP(Cpi_[[#This Row],[Attribute]],#REF!,2,FALSE)</f>
        <v>#REF!</v>
      </c>
      <c r="F2018">
        <v>116.5</v>
      </c>
      <c r="G2018">
        <f>(Cpi_[[#This Row],[Value]]-F2017)/F2017</f>
        <v>-6.8201193520886372E-3</v>
      </c>
      <c r="H2018" t="e" cm="1" vm="1">
        <f t="array" aca="1" ref="H2018" ca="1">VLOOKUP(Cpi_[[#This Row],[Year]:[Month]],crudeoil[],3,FALSE)</f>
        <v>#VALUE!</v>
      </c>
    </row>
    <row r="2019" spans="1:8" hidden="1" x14ac:dyDescent="0.3">
      <c r="A2019" t="s">
        <v>34</v>
      </c>
      <c r="B2019">
        <v>2015</v>
      </c>
      <c r="C2019" t="s">
        <v>31</v>
      </c>
      <c r="D2019" t="s">
        <v>22</v>
      </c>
      <c r="E2019" t="e">
        <f>VLOOKUP(Cpi_[[#This Row],[Attribute]],#REF!,2,FALSE)</f>
        <v>#REF!</v>
      </c>
      <c r="F2019">
        <v>118.1</v>
      </c>
      <c r="G2019">
        <f>(Cpi_[[#This Row],[Value]]-F2018)/F2018</f>
        <v>1.3733905579399092E-2</v>
      </c>
      <c r="H2019" t="e" cm="1" vm="1">
        <f t="array" aca="1" ref="H2019" ca="1">VLOOKUP(Cpi_[[#This Row],[Year]:[Month]],crudeoil[],3,FALSE)</f>
        <v>#VALUE!</v>
      </c>
    </row>
    <row r="2020" spans="1:8" hidden="1" x14ac:dyDescent="0.3">
      <c r="A2020" t="s">
        <v>34</v>
      </c>
      <c r="B2020">
        <v>2015</v>
      </c>
      <c r="C2020" t="s">
        <v>31</v>
      </c>
      <c r="D2020" t="s">
        <v>23</v>
      </c>
      <c r="E2020" t="e">
        <f>VLOOKUP(Cpi_[[#This Row],[Attribute]],#REF!,2,FALSE)</f>
        <v>#REF!</v>
      </c>
      <c r="F2020">
        <v>115.5</v>
      </c>
      <c r="G2020">
        <f>(Cpi_[[#This Row],[Value]]-F2019)/F2019</f>
        <v>-2.2015241320914432E-2</v>
      </c>
      <c r="H2020" t="e" cm="1" vm="1">
        <f t="array" aca="1" ref="H2020" ca="1">VLOOKUP(Cpi_[[#This Row],[Year]:[Month]],crudeoil[],3,FALSE)</f>
        <v>#VALUE!</v>
      </c>
    </row>
    <row r="2021" spans="1:8" hidden="1" x14ac:dyDescent="0.3">
      <c r="A2021" t="s">
        <v>34</v>
      </c>
      <c r="B2021">
        <v>2015</v>
      </c>
      <c r="C2021" t="s">
        <v>31</v>
      </c>
      <c r="D2021" t="s">
        <v>24</v>
      </c>
      <c r="E2021" t="e">
        <f>VLOOKUP(Cpi_[[#This Row],[Attribute]],#REF!,2,FALSE)</f>
        <v>#REF!</v>
      </c>
      <c r="F2021">
        <v>109.4</v>
      </c>
      <c r="G2021">
        <f>(Cpi_[[#This Row],[Value]]-F2020)/F2020</f>
        <v>-5.2813852813852764E-2</v>
      </c>
      <c r="H2021" t="e" cm="1" vm="1">
        <f t="array" aca="1" ref="H2021" ca="1">VLOOKUP(Cpi_[[#This Row],[Year]:[Month]],crudeoil[],3,FALSE)</f>
        <v>#VALUE!</v>
      </c>
    </row>
    <row r="2022" spans="1:8" hidden="1" x14ac:dyDescent="0.3">
      <c r="A2022" t="s">
        <v>34</v>
      </c>
      <c r="B2022">
        <v>2015</v>
      </c>
      <c r="C2022" t="s">
        <v>31</v>
      </c>
      <c r="D2022" t="s">
        <v>25</v>
      </c>
      <c r="E2022" t="e">
        <f>VLOOKUP(Cpi_[[#This Row],[Attribute]],#REF!,2,FALSE)</f>
        <v>#REF!</v>
      </c>
      <c r="F2022">
        <v>114.3</v>
      </c>
      <c r="G2022">
        <f>(Cpi_[[#This Row],[Value]]-F2021)/F2021</f>
        <v>4.4789762340036482E-2</v>
      </c>
      <c r="H2022" t="e" cm="1" vm="1">
        <f t="array" aca="1" ref="H2022" ca="1">VLOOKUP(Cpi_[[#This Row],[Year]:[Month]],crudeoil[],3,FALSE)</f>
        <v>#VALUE!</v>
      </c>
    </row>
    <row r="2023" spans="1:8" hidden="1" x14ac:dyDescent="0.3">
      <c r="A2023" t="s">
        <v>34</v>
      </c>
      <c r="B2023">
        <v>2015</v>
      </c>
      <c r="C2023" t="s">
        <v>31</v>
      </c>
      <c r="D2023" t="s">
        <v>26</v>
      </c>
      <c r="E2023" t="e">
        <f>VLOOKUP(Cpi_[[#This Row],[Attribute]],#REF!,2,FALSE)</f>
        <v>#REF!</v>
      </c>
      <c r="F2023">
        <v>119.7</v>
      </c>
      <c r="G2023">
        <f>(Cpi_[[#This Row],[Value]]-F2022)/F2022</f>
        <v>4.7244094488189024E-2</v>
      </c>
      <c r="H2023" t="e" cm="1" vm="1">
        <f t="array" aca="1" ref="H2023" ca="1">VLOOKUP(Cpi_[[#This Row],[Year]:[Month]],crudeoil[],3,FALSE)</f>
        <v>#VALUE!</v>
      </c>
    </row>
    <row r="2024" spans="1:8" hidden="1" x14ac:dyDescent="0.3">
      <c r="A2024" t="s">
        <v>34</v>
      </c>
      <c r="B2024">
        <v>2015</v>
      </c>
      <c r="C2024" t="s">
        <v>31</v>
      </c>
      <c r="D2024" t="s">
        <v>27</v>
      </c>
      <c r="E2024" t="e">
        <f>VLOOKUP(Cpi_[[#This Row],[Attribute]],#REF!,2,FALSE)</f>
        <v>#REF!</v>
      </c>
      <c r="F2024">
        <v>110.7</v>
      </c>
      <c r="G2024">
        <f>(Cpi_[[#This Row],[Value]]-F2023)/F2023</f>
        <v>-7.5187969924812026E-2</v>
      </c>
      <c r="H2024" t="e" cm="1" vm="1">
        <f t="array" aca="1" ref="H2024" ca="1">VLOOKUP(Cpi_[[#This Row],[Year]:[Month]],crudeoil[],3,FALSE)</f>
        <v>#VALUE!</v>
      </c>
    </row>
    <row r="2025" spans="1:8" hidden="1" x14ac:dyDescent="0.3">
      <c r="A2025" t="s">
        <v>34</v>
      </c>
      <c r="B2025">
        <v>2015</v>
      </c>
      <c r="C2025" t="s">
        <v>31</v>
      </c>
      <c r="D2025" t="s">
        <v>28</v>
      </c>
      <c r="E2025" t="e">
        <f>VLOOKUP(Cpi_[[#This Row],[Attribute]],#REF!,2,FALSE)</f>
        <v>#REF!</v>
      </c>
      <c r="F2025">
        <v>114</v>
      </c>
      <c r="G2025">
        <f>(Cpi_[[#This Row],[Value]]-F2024)/F2024</f>
        <v>2.9810298102981005E-2</v>
      </c>
      <c r="H2025" t="e" cm="1" vm="1">
        <f t="array" aca="1" ref="H2025" ca="1">VLOOKUP(Cpi_[[#This Row],[Year]:[Month]],crudeoil[],3,FALSE)</f>
        <v>#VALUE!</v>
      </c>
    </row>
    <row r="2026" spans="1:8" hidden="1" x14ac:dyDescent="0.3">
      <c r="A2026" t="s">
        <v>34</v>
      </c>
      <c r="B2026">
        <v>2015</v>
      </c>
      <c r="C2026" t="s">
        <v>31</v>
      </c>
      <c r="D2026" t="s">
        <v>29</v>
      </c>
      <c r="E2026" t="e" cm="1">
        <f t="array" aca="1" ref="E2026" ca="1">VLGeneral indexGeneral indexKUP(Cpi_[[#This Row],[Attribute]],#REF!,2,FALSE)</f>
        <v>#NAME?</v>
      </c>
      <c r="F2026">
        <v>119.5</v>
      </c>
      <c r="G2026">
        <f>(Cpi_[[#This Row],[Value]]-F2025)/F2025</f>
        <v>4.8245614035087717E-2</v>
      </c>
      <c r="H2026" t="e" cm="1" vm="1">
        <f t="array" aca="1" ref="H2026" ca="1">VLOOKUP(Cpi_[[#This Row],[Year]:[Month]],crudeoil[],3,FALSE)</f>
        <v>#VALUE!</v>
      </c>
    </row>
    <row r="2027" spans="1:8" hidden="1" x14ac:dyDescent="0.3">
      <c r="A2027" t="s">
        <v>30</v>
      </c>
      <c r="B2027">
        <v>2015</v>
      </c>
      <c r="C2027" t="s">
        <v>35</v>
      </c>
      <c r="D2027" t="s">
        <v>3</v>
      </c>
      <c r="E2027" t="e">
        <f>VLOOKUP(Cpi_[[#This Row],[Attribute]],#REF!,2,FALSE)</f>
        <v>#REF!</v>
      </c>
      <c r="F2027">
        <v>123.4</v>
      </c>
      <c r="G2027">
        <f>(Cpi_[[#This Row],[Value]]-F2026)/F2026</f>
        <v>3.2635983263598373E-2</v>
      </c>
      <c r="H2027" t="e" cm="1" vm="1">
        <f t="array" aca="1" ref="H2027" ca="1">VLOOKUP(Cpi_[[#This Row],[Year]:[Month]],crudeoil[],3,FALSE)</f>
        <v>#VALUE!</v>
      </c>
    </row>
    <row r="2028" spans="1:8" hidden="1" x14ac:dyDescent="0.3">
      <c r="A2028" t="s">
        <v>30</v>
      </c>
      <c r="B2028">
        <v>2015</v>
      </c>
      <c r="C2028" t="s">
        <v>35</v>
      </c>
      <c r="D2028" t="s">
        <v>4</v>
      </c>
      <c r="E2028" t="e">
        <f>VLOOKUP(Cpi_[[#This Row],[Attribute]],#REF!,2,FALSE)</f>
        <v>#REF!</v>
      </c>
      <c r="F2028">
        <v>124.4</v>
      </c>
      <c r="G2028">
        <f>(Cpi_[[#This Row],[Value]]-F2027)/F2027</f>
        <v>8.1037277147487843E-3</v>
      </c>
      <c r="H2028" t="e" cm="1" vm="1">
        <f t="array" aca="1" ref="H2028" ca="1">VLOOKUP(Cpi_[[#This Row],[Year]:[Month]],crudeoil[],3,FALSE)</f>
        <v>#VALUE!</v>
      </c>
    </row>
    <row r="2029" spans="1:8" hidden="1" x14ac:dyDescent="0.3">
      <c r="A2029" t="s">
        <v>30</v>
      </c>
      <c r="B2029">
        <v>2015</v>
      </c>
      <c r="C2029" t="s">
        <v>35</v>
      </c>
      <c r="D2029" t="s">
        <v>5</v>
      </c>
      <c r="E2029" t="e">
        <f>VLOOKUP(Cpi_[[#This Row],[Attribute]],#REF!,2,FALSE)</f>
        <v>#REF!</v>
      </c>
      <c r="F2029">
        <v>122.1</v>
      </c>
      <c r="G2029">
        <f>(Cpi_[[#This Row],[Value]]-F2028)/F2028</f>
        <v>-1.8488745980707485E-2</v>
      </c>
      <c r="H2029" t="e" cm="1" vm="1">
        <f t="array" aca="1" ref="H2029" ca="1">VLOOKUP(Cpi_[[#This Row],[Year]:[Month]],crudeoil[],3,FALSE)</f>
        <v>#VALUE!</v>
      </c>
    </row>
    <row r="2030" spans="1:8" hidden="1" x14ac:dyDescent="0.3">
      <c r="A2030" t="s">
        <v>30</v>
      </c>
      <c r="B2030">
        <v>2015</v>
      </c>
      <c r="C2030" t="s">
        <v>35</v>
      </c>
      <c r="D2030" t="s">
        <v>6</v>
      </c>
      <c r="E2030" t="e">
        <f>VLOOKUP(Cpi_[[#This Row],[Attribute]],#REF!,2,FALSE)</f>
        <v>#REF!</v>
      </c>
      <c r="F2030">
        <v>125.8</v>
      </c>
      <c r="G2030">
        <f>(Cpi_[[#This Row],[Value]]-F2029)/F2029</f>
        <v>3.0303030303030328E-2</v>
      </c>
      <c r="H2030" t="e" cm="1" vm="1">
        <f t="array" aca="1" ref="H2030" ca="1">VLOOKUP(Cpi_[[#This Row],[Year]:[Month]],crudeoil[],3,FALSE)</f>
        <v>#VALUE!</v>
      </c>
    </row>
    <row r="2031" spans="1:8" hidden="1" x14ac:dyDescent="0.3">
      <c r="A2031" t="s">
        <v>30</v>
      </c>
      <c r="B2031">
        <v>2015</v>
      </c>
      <c r="C2031" t="s">
        <v>35</v>
      </c>
      <c r="D2031" t="s">
        <v>7</v>
      </c>
      <c r="E2031" t="e">
        <f>VLOOKUP(Cpi_[[#This Row],[Attribute]],#REF!,2,FALSE)</f>
        <v>#REF!</v>
      </c>
      <c r="F2031">
        <v>111.5</v>
      </c>
      <c r="G2031">
        <f>(Cpi_[[#This Row],[Value]]-F2030)/F2030</f>
        <v>-0.11367249602543718</v>
      </c>
      <c r="H2031" t="e" cm="1" vm="1">
        <f t="array" aca="1" ref="H2031" ca="1">VLOOKUP(Cpi_[[#This Row],[Year]:[Month]],crudeoil[],3,FALSE)</f>
        <v>#VALUE!</v>
      </c>
    </row>
    <row r="2032" spans="1:8" hidden="1" x14ac:dyDescent="0.3">
      <c r="A2032" t="s">
        <v>30</v>
      </c>
      <c r="B2032">
        <v>2015</v>
      </c>
      <c r="C2032" t="s">
        <v>35</v>
      </c>
      <c r="D2032" t="s">
        <v>8</v>
      </c>
      <c r="E2032" t="e">
        <f>VLOOKUP(Cpi_[[#This Row],[Attribute]],#REF!,2,FALSE)</f>
        <v>#REF!</v>
      </c>
      <c r="F2032">
        <v>129.4</v>
      </c>
      <c r="G2032">
        <f>(Cpi_[[#This Row],[Value]]-F2031)/F2031</f>
        <v>0.16053811659192829</v>
      </c>
      <c r="H2032" t="e" cm="1" vm="1">
        <f t="array" aca="1" ref="H2032" ca="1">VLOOKUP(Cpi_[[#This Row],[Year]:[Month]],crudeoil[],3,FALSE)</f>
        <v>#VALUE!</v>
      </c>
    </row>
    <row r="2033" spans="1:8" hidden="1" x14ac:dyDescent="0.3">
      <c r="A2033" t="s">
        <v>30</v>
      </c>
      <c r="B2033">
        <v>2015</v>
      </c>
      <c r="C2033" t="s">
        <v>35</v>
      </c>
      <c r="D2033" t="s">
        <v>9</v>
      </c>
      <c r="E2033" t="e">
        <f>VLOOKUP(Cpi_[[#This Row],[Attribute]],#REF!,2,FALSE)</f>
        <v>#REF!</v>
      </c>
      <c r="F2033">
        <v>128.19999999999999</v>
      </c>
      <c r="G2033">
        <f>(Cpi_[[#This Row],[Value]]-F2032)/F2032</f>
        <v>-9.2735703245750926E-3</v>
      </c>
      <c r="H2033" t="e" cm="1" vm="1">
        <f t="array" aca="1" ref="H2033" ca="1">VLOOKUP(Cpi_[[#This Row],[Year]:[Month]],crudeoil[],3,FALSE)</f>
        <v>#VALUE!</v>
      </c>
    </row>
    <row r="2034" spans="1:8" hidden="1" x14ac:dyDescent="0.3">
      <c r="A2034" t="s">
        <v>30</v>
      </c>
      <c r="B2034">
        <v>2015</v>
      </c>
      <c r="C2034" t="s">
        <v>35</v>
      </c>
      <c r="D2034" t="s">
        <v>10</v>
      </c>
      <c r="E2034" t="e">
        <f>VLOOKUP(Cpi_[[#This Row],[Attribute]],#REF!,2,FALSE)</f>
        <v>#REF!</v>
      </c>
      <c r="F2034">
        <v>118.8</v>
      </c>
      <c r="G2034">
        <f>(Cpi_[[#This Row],[Value]]-F2033)/F2033</f>
        <v>-7.3322932917316633E-2</v>
      </c>
      <c r="H2034" t="e" cm="1" vm="1">
        <f t="array" aca="1" ref="H2034" ca="1">VLOOKUP(Cpi_[[#This Row],[Year]:[Month]],crudeoil[],3,FALSE)</f>
        <v>#VALUE!</v>
      </c>
    </row>
    <row r="2035" spans="1:8" hidden="1" x14ac:dyDescent="0.3">
      <c r="A2035" t="s">
        <v>30</v>
      </c>
      <c r="B2035">
        <v>2015</v>
      </c>
      <c r="C2035" t="s">
        <v>35</v>
      </c>
      <c r="D2035" t="s">
        <v>11</v>
      </c>
      <c r="E2035" t="e">
        <f>VLOOKUP(Cpi_[[#This Row],[Attribute]],#REF!,2,FALSE)</f>
        <v>#REF!</v>
      </c>
      <c r="F2035">
        <v>100</v>
      </c>
      <c r="G2035">
        <f>(Cpi_[[#This Row],[Value]]-F2034)/F2034</f>
        <v>-0.15824915824915822</v>
      </c>
      <c r="H2035" t="e" cm="1" vm="1">
        <f t="array" aca="1" ref="H2035" ca="1">VLOOKUP(Cpi_[[#This Row],[Year]:[Month]],crudeoil[],3,FALSE)</f>
        <v>#VALUE!</v>
      </c>
    </row>
    <row r="2036" spans="1:8" hidden="1" x14ac:dyDescent="0.3">
      <c r="A2036" t="s">
        <v>30</v>
      </c>
      <c r="B2036">
        <v>2015</v>
      </c>
      <c r="C2036" t="s">
        <v>35</v>
      </c>
      <c r="D2036" t="s">
        <v>12</v>
      </c>
      <c r="E2036" t="e">
        <f>VLOOKUP(Cpi_[[#This Row],[Attribute]],#REF!,2,FALSE)</f>
        <v>#REF!</v>
      </c>
      <c r="F2036">
        <v>118.6</v>
      </c>
      <c r="G2036">
        <f>(Cpi_[[#This Row],[Value]]-F2035)/F2035</f>
        <v>0.18599999999999994</v>
      </c>
      <c r="H2036" t="e" cm="1" vm="1">
        <f t="array" aca="1" ref="H2036" ca="1">VLOOKUP(Cpi_[[#This Row],[Year]:[Month]],crudeoil[],3,FALSE)</f>
        <v>#VALUE!</v>
      </c>
    </row>
    <row r="2037" spans="1:8" hidden="1" x14ac:dyDescent="0.3">
      <c r="A2037" t="s">
        <v>30</v>
      </c>
      <c r="B2037">
        <v>2015</v>
      </c>
      <c r="C2037" t="s">
        <v>35</v>
      </c>
      <c r="D2037" t="s">
        <v>13</v>
      </c>
      <c r="E2037" t="e">
        <f>VLOOKUP(Cpi_[[#This Row],[Attribute]],#REF!,2,FALSE)</f>
        <v>#REF!</v>
      </c>
      <c r="F2037">
        <v>118.8</v>
      </c>
      <c r="G2037">
        <f>(Cpi_[[#This Row],[Value]]-F2036)/F2036</f>
        <v>1.6863406408094675E-3</v>
      </c>
      <c r="H2037" t="e" cm="1" vm="1">
        <f t="array" aca="1" ref="H2037" ca="1">VLOOKUP(Cpi_[[#This Row],[Year]:[Month]],crudeoil[],3,FALSE)</f>
        <v>#VALUE!</v>
      </c>
    </row>
    <row r="2038" spans="1:8" hidden="1" x14ac:dyDescent="0.3">
      <c r="A2038" t="s">
        <v>30</v>
      </c>
      <c r="B2038">
        <v>2015</v>
      </c>
      <c r="C2038" t="s">
        <v>35</v>
      </c>
      <c r="D2038" t="s">
        <v>14</v>
      </c>
      <c r="E2038" t="e">
        <f>VLOOKUP(Cpi_[[#This Row],[Attribute]],#REF!,2,FALSE)</f>
        <v>#REF!</v>
      </c>
      <c r="F2038">
        <v>126.8</v>
      </c>
      <c r="G2038">
        <f>(Cpi_[[#This Row],[Value]]-F2037)/F2037</f>
        <v>6.7340067340067339E-2</v>
      </c>
      <c r="H2038" t="e" cm="1" vm="1">
        <f t="array" aca="1" ref="H2038" ca="1">VLOOKUP(Cpi_[[#This Row],[Year]:[Month]],crudeoil[],3,FALSE)</f>
        <v>#VALUE!</v>
      </c>
    </row>
    <row r="2039" spans="1:8" hidden="1" x14ac:dyDescent="0.3">
      <c r="A2039" t="s">
        <v>30</v>
      </c>
      <c r="B2039">
        <v>2015</v>
      </c>
      <c r="C2039" t="s">
        <v>35</v>
      </c>
      <c r="D2039" t="s">
        <v>15</v>
      </c>
      <c r="E2039" t="e">
        <f>VLOOKUP(Cpi_[[#This Row],[Attribute]],#REF!,2,FALSE)</f>
        <v>#REF!</v>
      </c>
      <c r="F2039">
        <v>122.8</v>
      </c>
      <c r="G2039">
        <f>(Cpi_[[#This Row],[Value]]-F2038)/F2038</f>
        <v>-3.1545741324921134E-2</v>
      </c>
      <c r="H2039" t="e" cm="1" vm="1">
        <f t="array" aca="1" ref="H2039" ca="1">VLOOKUP(Cpi_[[#This Row],[Year]:[Month]],crudeoil[],3,FALSE)</f>
        <v>#VALUE!</v>
      </c>
    </row>
    <row r="2040" spans="1:8" hidden="1" x14ac:dyDescent="0.3">
      <c r="A2040" t="s">
        <v>30</v>
      </c>
      <c r="B2040">
        <v>2015</v>
      </c>
      <c r="C2040" t="s">
        <v>35</v>
      </c>
      <c r="D2040" t="s">
        <v>16</v>
      </c>
      <c r="E2040" t="e">
        <f>VLOOKUP(Cpi_[[#This Row],[Attribute]],#REF!,2,FALSE)</f>
        <v>#REF!</v>
      </c>
      <c r="F2040">
        <v>124.2</v>
      </c>
      <c r="G2040">
        <f>(Cpi_[[#This Row],[Value]]-F2039)/F2039</f>
        <v>1.1400651465798092E-2</v>
      </c>
      <c r="H2040" t="e" cm="1" vm="1">
        <f t="array" aca="1" ref="H2040" ca="1">VLOOKUP(Cpi_[[#This Row],[Year]:[Month]],crudeoil[],3,FALSE)</f>
        <v>#VALUE!</v>
      </c>
    </row>
    <row r="2041" spans="1:8" hidden="1" x14ac:dyDescent="0.3">
      <c r="A2041" t="s">
        <v>30</v>
      </c>
      <c r="B2041">
        <v>2015</v>
      </c>
      <c r="C2041" t="s">
        <v>35</v>
      </c>
      <c r="D2041" t="s">
        <v>17</v>
      </c>
      <c r="E2041" t="e">
        <f>VLOOKUP(Cpi_[[#This Row],[Attribute]],#REF!,2,FALSE)</f>
        <v>#REF!</v>
      </c>
      <c r="F2041">
        <v>125.4</v>
      </c>
      <c r="G2041">
        <f>(Cpi_[[#This Row],[Value]]-F2040)/F2040</f>
        <v>9.6618357487922926E-3</v>
      </c>
      <c r="H2041" t="e" cm="1" vm="1">
        <f t="array" aca="1" ref="H2041" ca="1">VLOOKUP(Cpi_[[#This Row],[Year]:[Month]],crudeoil[],3,FALSE)</f>
        <v>#VALUE!</v>
      </c>
    </row>
    <row r="2042" spans="1:8" hidden="1" x14ac:dyDescent="0.3">
      <c r="A2042" t="s">
        <v>30</v>
      </c>
      <c r="B2042">
        <v>2015</v>
      </c>
      <c r="C2042" t="s">
        <v>35</v>
      </c>
      <c r="D2042" t="s">
        <v>18</v>
      </c>
      <c r="E2042" t="e">
        <f>VLOOKUP(Cpi_[[#This Row],[Attribute]],#REF!,2,FALSE)</f>
        <v>#REF!</v>
      </c>
      <c r="F2042">
        <v>122.7</v>
      </c>
      <c r="G2042">
        <f>(Cpi_[[#This Row],[Value]]-F2041)/F2041</f>
        <v>-2.1531100478468922E-2</v>
      </c>
      <c r="H2042" t="e" cm="1" vm="1">
        <f t="array" aca="1" ref="H2042" ca="1">VLOOKUP(Cpi_[[#This Row],[Year]:[Month]],crudeoil[],3,FALSE)</f>
        <v>#VALUE!</v>
      </c>
    </row>
    <row r="2043" spans="1:8" hidden="1" x14ac:dyDescent="0.3">
      <c r="A2043" t="s">
        <v>30</v>
      </c>
      <c r="B2043">
        <v>2015</v>
      </c>
      <c r="C2043" t="s">
        <v>35</v>
      </c>
      <c r="D2043" t="s">
        <v>19</v>
      </c>
      <c r="E2043" t="e">
        <f>VLOOKUP(Cpi_[[#This Row],[Attribute]],#REF!,2,FALSE)</f>
        <v>#REF!</v>
      </c>
      <c r="F2043">
        <v>125</v>
      </c>
      <c r="G2043">
        <f>(Cpi_[[#This Row],[Value]]-F2042)/F2042</f>
        <v>1.8744906275468598E-2</v>
      </c>
      <c r="H2043" t="e" cm="1" vm="1">
        <f t="array" aca="1" ref="H2043" ca="1">VLOOKUP(Cpi_[[#This Row],[Year]:[Month]],crudeoil[],3,FALSE)</f>
        <v>#VALUE!</v>
      </c>
    </row>
    <row r="2044" spans="1:8" hidden="1" x14ac:dyDescent="0.3">
      <c r="A2044" t="s">
        <v>30</v>
      </c>
      <c r="B2044">
        <v>2015</v>
      </c>
      <c r="C2044" t="s">
        <v>35</v>
      </c>
      <c r="D2044" t="s">
        <v>20</v>
      </c>
      <c r="E2044" t="e">
        <f>VLOOKUP(Cpi_[[#This Row],[Attribute]],#REF!,2,FALSE)</f>
        <v>#REF!</v>
      </c>
      <c r="F2044" t="s">
        <v>32</v>
      </c>
      <c r="G2044" t="e">
        <f>(Cpi_[[#This Row],[Value]]-F2043)/F2043</f>
        <v>#VALUE!</v>
      </c>
      <c r="H2044" t="e" cm="1" vm="1">
        <f t="array" aca="1" ref="H2044" ca="1">VLOOKUP(Cpi_[[#This Row],[Year]:[Month]],crudeoil[],3,FALSE)</f>
        <v>#VALUE!</v>
      </c>
    </row>
    <row r="2045" spans="1:8" hidden="1" x14ac:dyDescent="0.3">
      <c r="A2045" t="s">
        <v>30</v>
      </c>
      <c r="B2045">
        <v>2015</v>
      </c>
      <c r="C2045" t="s">
        <v>35</v>
      </c>
      <c r="D2045" t="s">
        <v>21</v>
      </c>
      <c r="E2045" t="e">
        <f>VLOOKUP(Cpi_[[#This Row],[Attribute]],#REF!,2,FALSE)</f>
        <v>#REF!</v>
      </c>
      <c r="F2045">
        <v>120</v>
      </c>
      <c r="G2045" t="e">
        <f>(Cpi_[[#This Row],[Value]]-F2044)/F2044</f>
        <v>#VALUE!</v>
      </c>
      <c r="H2045" t="e" cm="1" vm="1">
        <f t="array" aca="1" ref="H2045" ca="1">VLOOKUP(Cpi_[[#This Row],[Year]:[Month]],crudeoil[],3,FALSE)</f>
        <v>#VALUE!</v>
      </c>
    </row>
    <row r="2046" spans="1:8" hidden="1" x14ac:dyDescent="0.3">
      <c r="A2046" t="s">
        <v>30</v>
      </c>
      <c r="B2046">
        <v>2015</v>
      </c>
      <c r="C2046" t="s">
        <v>35</v>
      </c>
      <c r="D2046" t="s">
        <v>22</v>
      </c>
      <c r="E2046" t="e">
        <f>VLOOKUP(Cpi_[[#This Row],[Attribute]],#REF!,2,FALSE)</f>
        <v>#REF!</v>
      </c>
      <c r="F2046">
        <v>119.6</v>
      </c>
      <c r="G2046">
        <f>(Cpi_[[#This Row],[Value]]-F2045)/F2045</f>
        <v>-3.3333333333333808E-3</v>
      </c>
      <c r="H2046" t="e" cm="1" vm="1">
        <f t="array" aca="1" ref="H2046" ca="1">VLOOKUP(Cpi_[[#This Row],[Year]:[Month]],crudeoil[],3,FALSE)</f>
        <v>#VALUE!</v>
      </c>
    </row>
    <row r="2047" spans="1:8" hidden="1" x14ac:dyDescent="0.3">
      <c r="A2047" t="s">
        <v>30</v>
      </c>
      <c r="B2047">
        <v>2015</v>
      </c>
      <c r="C2047" t="s">
        <v>35</v>
      </c>
      <c r="D2047" t="s">
        <v>23</v>
      </c>
      <c r="E2047" t="e">
        <f>VLOOKUP(Cpi_[[#This Row],[Attribute]],#REF!,2,FALSE)</f>
        <v>#REF!</v>
      </c>
      <c r="F2047">
        <v>117.7</v>
      </c>
      <c r="G2047">
        <f>(Cpi_[[#This Row],[Value]]-F2046)/F2046</f>
        <v>-1.5886287625417991E-2</v>
      </c>
      <c r="H2047" t="e" cm="1" vm="1">
        <f t="array" aca="1" ref="H2047" ca="1">VLOOKUP(Cpi_[[#This Row],[Year]:[Month]],crudeoil[],3,FALSE)</f>
        <v>#VALUE!</v>
      </c>
    </row>
    <row r="2048" spans="1:8" hidden="1" x14ac:dyDescent="0.3">
      <c r="A2048" t="s">
        <v>30</v>
      </c>
      <c r="B2048">
        <v>2015</v>
      </c>
      <c r="C2048" t="s">
        <v>35</v>
      </c>
      <c r="D2048" t="s">
        <v>24</v>
      </c>
      <c r="E2048" t="e">
        <f>VLOOKUP(Cpi_[[#This Row],[Attribute]],#REF!,2,FALSE)</f>
        <v>#REF!</v>
      </c>
      <c r="F2048">
        <v>110.9</v>
      </c>
      <c r="G2048">
        <f>(Cpi_[[#This Row],[Value]]-F2047)/F2047</f>
        <v>-5.7774001699235321E-2</v>
      </c>
      <c r="H2048" t="e" cm="1" vm="1">
        <f t="array" aca="1" ref="H2048" ca="1">VLOOKUP(Cpi_[[#This Row],[Year]:[Month]],crudeoil[],3,FALSE)</f>
        <v>#VALUE!</v>
      </c>
    </row>
    <row r="2049" spans="1:8" hidden="1" x14ac:dyDescent="0.3">
      <c r="A2049" t="s">
        <v>30</v>
      </c>
      <c r="B2049">
        <v>2015</v>
      </c>
      <c r="C2049" t="s">
        <v>35</v>
      </c>
      <c r="D2049" t="s">
        <v>25</v>
      </c>
      <c r="E2049" t="e">
        <f>VLOOKUP(Cpi_[[#This Row],[Attribute]],#REF!,2,FALSE)</f>
        <v>#REF!</v>
      </c>
      <c r="F2049">
        <v>114.8</v>
      </c>
      <c r="G2049">
        <f>(Cpi_[[#This Row],[Value]]-F2048)/F2048</f>
        <v>3.5166816952209121E-2</v>
      </c>
      <c r="H2049" t="e" cm="1" vm="1">
        <f t="array" aca="1" ref="H2049" ca="1">VLOOKUP(Cpi_[[#This Row],[Year]:[Month]],crudeoil[],3,FALSE)</f>
        <v>#VALUE!</v>
      </c>
    </row>
    <row r="2050" spans="1:8" hidden="1" x14ac:dyDescent="0.3">
      <c r="A2050" t="s">
        <v>30</v>
      </c>
      <c r="B2050">
        <v>2015</v>
      </c>
      <c r="C2050" t="s">
        <v>35</v>
      </c>
      <c r="D2050" t="s">
        <v>26</v>
      </c>
      <c r="E2050" t="e">
        <f>VLOOKUP(Cpi_[[#This Row],[Attribute]],#REF!,2,FALSE)</f>
        <v>#REF!</v>
      </c>
      <c r="F2050">
        <v>118.7</v>
      </c>
      <c r="G2050">
        <f>(Cpi_[[#This Row],[Value]]-F2049)/F2049</f>
        <v>3.3972125435540117E-2</v>
      </c>
      <c r="H2050" t="e" cm="1" vm="1">
        <f t="array" aca="1" ref="H2050" ca="1">VLOOKUP(Cpi_[[#This Row],[Year]:[Month]],crudeoil[],3,FALSE)</f>
        <v>#VALUE!</v>
      </c>
    </row>
    <row r="2051" spans="1:8" hidden="1" x14ac:dyDescent="0.3">
      <c r="A2051" t="s">
        <v>30</v>
      </c>
      <c r="B2051">
        <v>2015</v>
      </c>
      <c r="C2051" t="s">
        <v>35</v>
      </c>
      <c r="D2051" t="s">
        <v>27</v>
      </c>
      <c r="E2051" t="e">
        <f>VLOOKUP(Cpi_[[#This Row],[Attribute]],#REF!,2,FALSE)</f>
        <v>#REF!</v>
      </c>
      <c r="F2051">
        <v>110.8</v>
      </c>
      <c r="G2051">
        <f>(Cpi_[[#This Row],[Value]]-F2050)/F2050</f>
        <v>-6.6554338668913277E-2</v>
      </c>
      <c r="H2051" t="e" cm="1" vm="1">
        <f t="array" aca="1" ref="H2051" ca="1">VLOOKUP(Cpi_[[#This Row],[Year]:[Month]],crudeoil[],3,FALSE)</f>
        <v>#VALUE!</v>
      </c>
    </row>
    <row r="2052" spans="1:8" hidden="1" x14ac:dyDescent="0.3">
      <c r="A2052" t="s">
        <v>30</v>
      </c>
      <c r="B2052">
        <v>2015</v>
      </c>
      <c r="C2052" t="s">
        <v>35</v>
      </c>
      <c r="D2052" t="s">
        <v>28</v>
      </c>
      <c r="E2052" t="e">
        <f>VLOOKUP(Cpi_[[#This Row],[Attribute]],#REF!,2,FALSE)</f>
        <v>#REF!</v>
      </c>
      <c r="F2052">
        <v>115</v>
      </c>
      <c r="G2052">
        <f>(Cpi_[[#This Row],[Value]]-F2051)/F2051</f>
        <v>3.7906137184115549E-2</v>
      </c>
      <c r="H2052" t="e" cm="1" vm="1">
        <f t="array" aca="1" ref="H2052" ca="1">VLOOKUP(Cpi_[[#This Row],[Year]:[Month]],crudeoil[],3,FALSE)</f>
        <v>#VALUE!</v>
      </c>
    </row>
    <row r="2053" spans="1:8" hidden="1" x14ac:dyDescent="0.3">
      <c r="A2053" t="s">
        <v>30</v>
      </c>
      <c r="B2053">
        <v>2015</v>
      </c>
      <c r="C2053" t="s">
        <v>35</v>
      </c>
      <c r="D2053" t="s">
        <v>29</v>
      </c>
      <c r="E2053" t="e" cm="1">
        <f t="array" aca="1" ref="E2053" ca="1">VLGeneral indexGeneral indexKUP(Cpi_[[#This Row],[Attribute]],#REF!,2,FALSE)</f>
        <v>#NAME?</v>
      </c>
      <c r="F2053">
        <v>120.6</v>
      </c>
      <c r="G2053">
        <f>(Cpi_[[#This Row],[Value]]-F2052)/F2052</f>
        <v>4.8695652173912994E-2</v>
      </c>
      <c r="H2053" t="e" cm="1" vm="1">
        <f t="array" aca="1" ref="H2053" ca="1">VLOOKUP(Cpi_[[#This Row],[Year]:[Month]],crudeoil[],3,FALSE)</f>
        <v>#VALUE!</v>
      </c>
    </row>
    <row r="2054" spans="1:8" hidden="1" x14ac:dyDescent="0.3">
      <c r="A2054" t="s">
        <v>33</v>
      </c>
      <c r="B2054">
        <v>2015</v>
      </c>
      <c r="C2054" t="s">
        <v>35</v>
      </c>
      <c r="D2054" t="s">
        <v>3</v>
      </c>
      <c r="E2054" t="e">
        <f>VLOOKUP(Cpi_[[#This Row],[Attribute]],#REF!,2,FALSE)</f>
        <v>#REF!</v>
      </c>
      <c r="F2054">
        <v>124.3</v>
      </c>
      <c r="G2054">
        <f>(Cpi_[[#This Row],[Value]]-F2053)/F2053</f>
        <v>3.0679933665008315E-2</v>
      </c>
      <c r="H2054" t="e" cm="1" vm="1">
        <f t="array" aca="1" ref="H2054" ca="1">VLOOKUP(Cpi_[[#This Row],[Year]:[Month]],crudeoil[],3,FALSE)</f>
        <v>#VALUE!</v>
      </c>
    </row>
    <row r="2055" spans="1:8" hidden="1" x14ac:dyDescent="0.3">
      <c r="A2055" t="s">
        <v>33</v>
      </c>
      <c r="B2055">
        <v>2015</v>
      </c>
      <c r="C2055" t="s">
        <v>35</v>
      </c>
      <c r="D2055" t="s">
        <v>4</v>
      </c>
      <c r="E2055" t="e">
        <f>VLOOKUP(Cpi_[[#This Row],[Attribute]],#REF!,2,FALSE)</f>
        <v>#REF!</v>
      </c>
      <c r="F2055">
        <v>126.5</v>
      </c>
      <c r="G2055">
        <f>(Cpi_[[#This Row],[Value]]-F2054)/F2054</f>
        <v>1.7699115044247812E-2</v>
      </c>
      <c r="H2055" t="e" cm="1" vm="1">
        <f t="array" aca="1" ref="H2055" ca="1">VLOOKUP(Cpi_[[#This Row],[Year]:[Month]],crudeoil[],3,FALSE)</f>
        <v>#VALUE!</v>
      </c>
    </row>
    <row r="2056" spans="1:8" hidden="1" x14ac:dyDescent="0.3">
      <c r="A2056" t="s">
        <v>33</v>
      </c>
      <c r="B2056">
        <v>2015</v>
      </c>
      <c r="C2056" t="s">
        <v>35</v>
      </c>
      <c r="D2056" t="s">
        <v>5</v>
      </c>
      <c r="E2056" t="e">
        <f>VLOOKUP(Cpi_[[#This Row],[Attribute]],#REF!,2,FALSE)</f>
        <v>#REF!</v>
      </c>
      <c r="F2056">
        <v>119.5</v>
      </c>
      <c r="G2056">
        <f>(Cpi_[[#This Row],[Value]]-F2055)/F2055</f>
        <v>-5.533596837944664E-2</v>
      </c>
      <c r="H2056" t="e" cm="1" vm="1">
        <f t="array" aca="1" ref="H2056" ca="1">VLOOKUP(Cpi_[[#This Row],[Year]:[Month]],crudeoil[],3,FALSE)</f>
        <v>#VALUE!</v>
      </c>
    </row>
    <row r="2057" spans="1:8" hidden="1" x14ac:dyDescent="0.3">
      <c r="A2057" t="s">
        <v>33</v>
      </c>
      <c r="B2057">
        <v>2015</v>
      </c>
      <c r="C2057" t="s">
        <v>35</v>
      </c>
      <c r="D2057" t="s">
        <v>6</v>
      </c>
      <c r="E2057" t="e">
        <f>VLOOKUP(Cpi_[[#This Row],[Attribute]],#REF!,2,FALSE)</f>
        <v>#REF!</v>
      </c>
      <c r="F2057">
        <v>125.6</v>
      </c>
      <c r="G2057">
        <f>(Cpi_[[#This Row],[Value]]-F2056)/F2056</f>
        <v>5.104602510460246E-2</v>
      </c>
      <c r="H2057" t="e" cm="1" vm="1">
        <f t="array" aca="1" ref="H2057" ca="1">VLOOKUP(Cpi_[[#This Row],[Year]:[Month]],crudeoil[],3,FALSE)</f>
        <v>#VALUE!</v>
      </c>
    </row>
    <row r="2058" spans="1:8" hidden="1" x14ac:dyDescent="0.3">
      <c r="A2058" t="s">
        <v>33</v>
      </c>
      <c r="B2058">
        <v>2015</v>
      </c>
      <c r="C2058" t="s">
        <v>35</v>
      </c>
      <c r="D2058" t="s">
        <v>7</v>
      </c>
      <c r="E2058" t="e">
        <f>VLOOKUP(Cpi_[[#This Row],[Attribute]],#REF!,2,FALSE)</f>
        <v>#REF!</v>
      </c>
      <c r="F2058">
        <v>104.9</v>
      </c>
      <c r="G2058">
        <f>(Cpi_[[#This Row],[Value]]-F2057)/F2057</f>
        <v>-0.16480891719745214</v>
      </c>
      <c r="H2058" t="e" cm="1" vm="1">
        <f t="array" aca="1" ref="H2058" ca="1">VLOOKUP(Cpi_[[#This Row],[Year]:[Month]],crudeoil[],3,FALSE)</f>
        <v>#VALUE!</v>
      </c>
    </row>
    <row r="2059" spans="1:8" hidden="1" x14ac:dyDescent="0.3">
      <c r="A2059" t="s">
        <v>33</v>
      </c>
      <c r="B2059">
        <v>2015</v>
      </c>
      <c r="C2059" t="s">
        <v>35</v>
      </c>
      <c r="D2059" t="s">
        <v>8</v>
      </c>
      <c r="E2059" t="e">
        <f>VLOOKUP(Cpi_[[#This Row],[Attribute]],#REF!,2,FALSE)</f>
        <v>#REF!</v>
      </c>
      <c r="F2059">
        <v>121.6</v>
      </c>
      <c r="G2059">
        <f>(Cpi_[[#This Row],[Value]]-F2058)/F2058</f>
        <v>0.15919923736892266</v>
      </c>
      <c r="H2059" t="e" cm="1" vm="1">
        <f t="array" aca="1" ref="H2059" ca="1">VLOOKUP(Cpi_[[#This Row],[Year]:[Month]],crudeoil[],3,FALSE)</f>
        <v>#VALUE!</v>
      </c>
    </row>
    <row r="2060" spans="1:8" hidden="1" x14ac:dyDescent="0.3">
      <c r="A2060" t="s">
        <v>33</v>
      </c>
      <c r="B2060">
        <v>2015</v>
      </c>
      <c r="C2060" t="s">
        <v>35</v>
      </c>
      <c r="D2060" t="s">
        <v>9</v>
      </c>
      <c r="E2060" t="e">
        <f>VLOOKUP(Cpi_[[#This Row],[Attribute]],#REF!,2,FALSE)</f>
        <v>#REF!</v>
      </c>
      <c r="F2060">
        <v>131.80000000000001</v>
      </c>
      <c r="G2060">
        <f>(Cpi_[[#This Row],[Value]]-F2059)/F2059</f>
        <v>8.3881578947368571E-2</v>
      </c>
      <c r="H2060" t="e" cm="1" vm="1">
        <f t="array" aca="1" ref="H2060" ca="1">VLOOKUP(Cpi_[[#This Row],[Year]:[Month]],crudeoil[],3,FALSE)</f>
        <v>#VALUE!</v>
      </c>
    </row>
    <row r="2061" spans="1:8" hidden="1" x14ac:dyDescent="0.3">
      <c r="A2061" t="s">
        <v>33</v>
      </c>
      <c r="B2061">
        <v>2015</v>
      </c>
      <c r="C2061" t="s">
        <v>35</v>
      </c>
      <c r="D2061" t="s">
        <v>10</v>
      </c>
      <c r="E2061" t="e">
        <f>VLOOKUP(Cpi_[[#This Row],[Attribute]],#REF!,2,FALSE)</f>
        <v>#REF!</v>
      </c>
      <c r="F2061">
        <v>125.1</v>
      </c>
      <c r="G2061">
        <f>(Cpi_[[#This Row],[Value]]-F2060)/F2060</f>
        <v>-5.0834597875569168E-2</v>
      </c>
      <c r="H2061" t="e" cm="1" vm="1">
        <f t="array" aca="1" ref="H2061" ca="1">VLOOKUP(Cpi_[[#This Row],[Year]:[Month]],crudeoil[],3,FALSE)</f>
        <v>#VALUE!</v>
      </c>
    </row>
    <row r="2062" spans="1:8" hidden="1" x14ac:dyDescent="0.3">
      <c r="A2062" t="s">
        <v>33</v>
      </c>
      <c r="B2062">
        <v>2015</v>
      </c>
      <c r="C2062" t="s">
        <v>35</v>
      </c>
      <c r="D2062" t="s">
        <v>11</v>
      </c>
      <c r="E2062" t="e">
        <f>VLOOKUP(Cpi_[[#This Row],[Attribute]],#REF!,2,FALSE)</f>
        <v>#REF!</v>
      </c>
      <c r="F2062">
        <v>95</v>
      </c>
      <c r="G2062">
        <f>(Cpi_[[#This Row],[Value]]-F2061)/F2061</f>
        <v>-0.24060751398880892</v>
      </c>
      <c r="H2062" t="e" cm="1" vm="1">
        <f t="array" aca="1" ref="H2062" ca="1">VLOOKUP(Cpi_[[#This Row],[Year]:[Month]],crudeoil[],3,FALSE)</f>
        <v>#VALUE!</v>
      </c>
    </row>
    <row r="2063" spans="1:8" hidden="1" x14ac:dyDescent="0.3">
      <c r="A2063" t="s">
        <v>33</v>
      </c>
      <c r="B2063">
        <v>2015</v>
      </c>
      <c r="C2063" t="s">
        <v>35</v>
      </c>
      <c r="D2063" t="s">
        <v>12</v>
      </c>
      <c r="E2063" t="e">
        <f>VLOOKUP(Cpi_[[#This Row],[Attribute]],#REF!,2,FALSE)</f>
        <v>#REF!</v>
      </c>
      <c r="F2063">
        <v>127.7</v>
      </c>
      <c r="G2063">
        <f>(Cpi_[[#This Row],[Value]]-F2062)/F2062</f>
        <v>0.34421052631578952</v>
      </c>
      <c r="H2063" t="e" cm="1" vm="1">
        <f t="array" aca="1" ref="H2063" ca="1">VLOOKUP(Cpi_[[#This Row],[Year]:[Month]],crudeoil[],3,FALSE)</f>
        <v>#VALUE!</v>
      </c>
    </row>
    <row r="2064" spans="1:8" hidden="1" x14ac:dyDescent="0.3">
      <c r="A2064" t="s">
        <v>33</v>
      </c>
      <c r="B2064">
        <v>2015</v>
      </c>
      <c r="C2064" t="s">
        <v>35</v>
      </c>
      <c r="D2064" t="s">
        <v>13</v>
      </c>
      <c r="E2064" t="e">
        <f>VLOOKUP(Cpi_[[#This Row],[Attribute]],#REF!,2,FALSE)</f>
        <v>#REF!</v>
      </c>
      <c r="F2064">
        <v>116.8</v>
      </c>
      <c r="G2064">
        <f>(Cpi_[[#This Row],[Value]]-F2063)/F2063</f>
        <v>-8.5356303837118286E-2</v>
      </c>
      <c r="H2064" t="e" cm="1" vm="1">
        <f t="array" aca="1" ref="H2064" ca="1">VLOOKUP(Cpi_[[#This Row],[Year]:[Month]],crudeoil[],3,FALSE)</f>
        <v>#VALUE!</v>
      </c>
    </row>
    <row r="2065" spans="1:8" hidden="1" x14ac:dyDescent="0.3">
      <c r="A2065" t="s">
        <v>33</v>
      </c>
      <c r="B2065">
        <v>2015</v>
      </c>
      <c r="C2065" t="s">
        <v>35</v>
      </c>
      <c r="D2065" t="s">
        <v>14</v>
      </c>
      <c r="E2065" t="e">
        <f>VLOOKUP(Cpi_[[#This Row],[Attribute]],#REF!,2,FALSE)</f>
        <v>#REF!</v>
      </c>
      <c r="F2065">
        <v>128.6</v>
      </c>
      <c r="G2065">
        <f>(Cpi_[[#This Row],[Value]]-F2064)/F2064</f>
        <v>0.10102739726027395</v>
      </c>
      <c r="H2065" t="e" cm="1" vm="1">
        <f t="array" aca="1" ref="H2065" ca="1">VLOOKUP(Cpi_[[#This Row],[Year]:[Month]],crudeoil[],3,FALSE)</f>
        <v>#VALUE!</v>
      </c>
    </row>
    <row r="2066" spans="1:8" hidden="1" x14ac:dyDescent="0.3">
      <c r="A2066" t="s">
        <v>33</v>
      </c>
      <c r="B2066">
        <v>2015</v>
      </c>
      <c r="C2066" t="s">
        <v>35</v>
      </c>
      <c r="D2066" t="s">
        <v>15</v>
      </c>
      <c r="E2066" t="e">
        <f>VLOOKUP(Cpi_[[#This Row],[Attribute]],#REF!,2,FALSE)</f>
        <v>#REF!</v>
      </c>
      <c r="F2066">
        <v>123.7</v>
      </c>
      <c r="G2066">
        <f>(Cpi_[[#This Row],[Value]]-F2065)/F2065</f>
        <v>-3.8102643856920616E-2</v>
      </c>
      <c r="H2066" t="e" cm="1" vm="1">
        <f t="array" aca="1" ref="H2066" ca="1">VLOOKUP(Cpi_[[#This Row],[Year]:[Month]],crudeoil[],3,FALSE)</f>
        <v>#VALUE!</v>
      </c>
    </row>
    <row r="2067" spans="1:8" hidden="1" x14ac:dyDescent="0.3">
      <c r="A2067" t="s">
        <v>33</v>
      </c>
      <c r="B2067">
        <v>2015</v>
      </c>
      <c r="C2067" t="s">
        <v>35</v>
      </c>
      <c r="D2067" t="s">
        <v>16</v>
      </c>
      <c r="E2067" t="e">
        <f>VLOOKUP(Cpi_[[#This Row],[Attribute]],#REF!,2,FALSE)</f>
        <v>#REF!</v>
      </c>
      <c r="F2067">
        <v>128.1</v>
      </c>
      <c r="G2067">
        <f>(Cpi_[[#This Row],[Value]]-F2066)/F2066</f>
        <v>3.5569927243330572E-2</v>
      </c>
      <c r="H2067" t="e" cm="1" vm="1">
        <f t="array" aca="1" ref="H2067" ca="1">VLOOKUP(Cpi_[[#This Row],[Year]:[Month]],crudeoil[],3,FALSE)</f>
        <v>#VALUE!</v>
      </c>
    </row>
    <row r="2068" spans="1:8" hidden="1" x14ac:dyDescent="0.3">
      <c r="A2068" t="s">
        <v>33</v>
      </c>
      <c r="B2068">
        <v>2015</v>
      </c>
      <c r="C2068" t="s">
        <v>35</v>
      </c>
      <c r="D2068" t="s">
        <v>17</v>
      </c>
      <c r="E2068" t="e">
        <f>VLOOKUP(Cpi_[[#This Row],[Attribute]],#REF!,2,FALSE)</f>
        <v>#REF!</v>
      </c>
      <c r="F2068">
        <v>121.3</v>
      </c>
      <c r="G2068">
        <f>(Cpi_[[#This Row],[Value]]-F2067)/F2067</f>
        <v>-5.3083528493364542E-2</v>
      </c>
      <c r="H2068" t="e" cm="1" vm="1">
        <f t="array" aca="1" ref="H2068" ca="1">VLOOKUP(Cpi_[[#This Row],[Year]:[Month]],crudeoil[],3,FALSE)</f>
        <v>#VALUE!</v>
      </c>
    </row>
    <row r="2069" spans="1:8" hidden="1" x14ac:dyDescent="0.3">
      <c r="A2069" t="s">
        <v>33</v>
      </c>
      <c r="B2069">
        <v>2015</v>
      </c>
      <c r="C2069" t="s">
        <v>35</v>
      </c>
      <c r="D2069" t="s">
        <v>18</v>
      </c>
      <c r="E2069" t="e">
        <f>VLOOKUP(Cpi_[[#This Row],[Attribute]],#REF!,2,FALSE)</f>
        <v>#REF!</v>
      </c>
      <c r="F2069">
        <v>116.5</v>
      </c>
      <c r="G2069">
        <f>(Cpi_[[#This Row],[Value]]-F2068)/F2068</f>
        <v>-3.9571310799670217E-2</v>
      </c>
      <c r="H2069" t="e" cm="1" vm="1">
        <f t="array" aca="1" ref="H2069" ca="1">VLOOKUP(Cpi_[[#This Row],[Year]:[Month]],crudeoil[],3,FALSE)</f>
        <v>#VALUE!</v>
      </c>
    </row>
    <row r="2070" spans="1:8" hidden="1" x14ac:dyDescent="0.3">
      <c r="A2070" t="s">
        <v>33</v>
      </c>
      <c r="B2070">
        <v>2015</v>
      </c>
      <c r="C2070" t="s">
        <v>35</v>
      </c>
      <c r="D2070" t="s">
        <v>19</v>
      </c>
      <c r="E2070" t="e">
        <f>VLOOKUP(Cpi_[[#This Row],[Attribute]],#REF!,2,FALSE)</f>
        <v>#REF!</v>
      </c>
      <c r="F2070">
        <v>120.6</v>
      </c>
      <c r="G2070">
        <f>(Cpi_[[#This Row],[Value]]-F2069)/F2069</f>
        <v>3.5193133047210251E-2</v>
      </c>
      <c r="H2070" t="e" cm="1" vm="1">
        <f t="array" aca="1" ref="H2070" ca="1">VLOOKUP(Cpi_[[#This Row],[Year]:[Month]],crudeoil[],3,FALSE)</f>
        <v>#VALUE!</v>
      </c>
    </row>
    <row r="2071" spans="1:8" hidden="1" x14ac:dyDescent="0.3">
      <c r="A2071" t="s">
        <v>33</v>
      </c>
      <c r="B2071">
        <v>2015</v>
      </c>
      <c r="C2071" t="s">
        <v>35</v>
      </c>
      <c r="D2071" t="s">
        <v>20</v>
      </c>
      <c r="E2071" t="e">
        <f>VLOOKUP(Cpi_[[#This Row],[Attribute]],#REF!,2,FALSE)</f>
        <v>#REF!</v>
      </c>
      <c r="F2071">
        <v>118.1</v>
      </c>
      <c r="G2071">
        <f>(Cpi_[[#This Row],[Value]]-F2070)/F2070</f>
        <v>-2.0729684908789386E-2</v>
      </c>
      <c r="H2071" t="e" cm="1" vm="1">
        <f t="array" aca="1" ref="H2071" ca="1">VLOOKUP(Cpi_[[#This Row],[Year]:[Month]],crudeoil[],3,FALSE)</f>
        <v>#VALUE!</v>
      </c>
    </row>
    <row r="2072" spans="1:8" hidden="1" x14ac:dyDescent="0.3">
      <c r="A2072" t="s">
        <v>33</v>
      </c>
      <c r="B2072">
        <v>2015</v>
      </c>
      <c r="C2072" t="s">
        <v>35</v>
      </c>
      <c r="D2072" t="s">
        <v>21</v>
      </c>
      <c r="E2072" t="e">
        <f>VLOOKUP(Cpi_[[#This Row],[Attribute]],#REF!,2,FALSE)</f>
        <v>#REF!</v>
      </c>
      <c r="F2072">
        <v>114</v>
      </c>
      <c r="G2072">
        <f>(Cpi_[[#This Row],[Value]]-F2071)/F2071</f>
        <v>-3.4716342082980481E-2</v>
      </c>
      <c r="H2072" t="e" cm="1" vm="1">
        <f t="array" aca="1" ref="H2072" ca="1">VLOOKUP(Cpi_[[#This Row],[Year]:[Month]],crudeoil[],3,FALSE)</f>
        <v>#VALUE!</v>
      </c>
    </row>
    <row r="2073" spans="1:8" hidden="1" x14ac:dyDescent="0.3">
      <c r="A2073" t="s">
        <v>33</v>
      </c>
      <c r="B2073">
        <v>2015</v>
      </c>
      <c r="C2073" t="s">
        <v>35</v>
      </c>
      <c r="D2073" t="s">
        <v>22</v>
      </c>
      <c r="E2073" t="e">
        <f>VLOOKUP(Cpi_[[#This Row],[Attribute]],#REF!,2,FALSE)</f>
        <v>#REF!</v>
      </c>
      <c r="F2073">
        <v>117.7</v>
      </c>
      <c r="G2073">
        <f>(Cpi_[[#This Row],[Value]]-F2072)/F2072</f>
        <v>3.2456140350877218E-2</v>
      </c>
      <c r="H2073" t="e" cm="1" vm="1">
        <f t="array" aca="1" ref="H2073" ca="1">VLOOKUP(Cpi_[[#This Row],[Year]:[Month]],crudeoil[],3,FALSE)</f>
        <v>#VALUE!</v>
      </c>
    </row>
    <row r="2074" spans="1:8" hidden="1" x14ac:dyDescent="0.3">
      <c r="A2074" t="s">
        <v>33</v>
      </c>
      <c r="B2074">
        <v>2015</v>
      </c>
      <c r="C2074" t="s">
        <v>35</v>
      </c>
      <c r="D2074" t="s">
        <v>23</v>
      </c>
      <c r="E2074" t="e">
        <f>VLOOKUP(Cpi_[[#This Row],[Attribute]],#REF!,2,FALSE)</f>
        <v>#REF!</v>
      </c>
      <c r="F2074">
        <v>114.1</v>
      </c>
      <c r="G2074">
        <f>(Cpi_[[#This Row],[Value]]-F2073)/F2073</f>
        <v>-3.0586236193712903E-2</v>
      </c>
      <c r="H2074" t="e" cm="1" vm="1">
        <f t="array" aca="1" ref="H2074" ca="1">VLOOKUP(Cpi_[[#This Row],[Year]:[Month]],crudeoil[],3,FALSE)</f>
        <v>#VALUE!</v>
      </c>
    </row>
    <row r="2075" spans="1:8" hidden="1" x14ac:dyDescent="0.3">
      <c r="A2075" t="s">
        <v>33</v>
      </c>
      <c r="B2075">
        <v>2015</v>
      </c>
      <c r="C2075" t="s">
        <v>35</v>
      </c>
      <c r="D2075" t="s">
        <v>24</v>
      </c>
      <c r="E2075" t="e">
        <f>VLOOKUP(Cpi_[[#This Row],[Attribute]],#REF!,2,FALSE)</f>
        <v>#REF!</v>
      </c>
      <c r="F2075">
        <v>106.8</v>
      </c>
      <c r="G2075">
        <f>(Cpi_[[#This Row],[Value]]-F2074)/F2074</f>
        <v>-6.3978965819456599E-2</v>
      </c>
      <c r="H2075" t="e" cm="1" vm="1">
        <f t="array" aca="1" ref="H2075" ca="1">VLOOKUP(Cpi_[[#This Row],[Year]:[Month]],crudeoil[],3,FALSE)</f>
        <v>#VALUE!</v>
      </c>
    </row>
    <row r="2076" spans="1:8" hidden="1" x14ac:dyDescent="0.3">
      <c r="A2076" t="s">
        <v>33</v>
      </c>
      <c r="B2076">
        <v>2015</v>
      </c>
      <c r="C2076" t="s">
        <v>35</v>
      </c>
      <c r="D2076" t="s">
        <v>25</v>
      </c>
      <c r="E2076" t="e">
        <f>VLOOKUP(Cpi_[[#This Row],[Attribute]],#REF!,2,FALSE)</f>
        <v>#REF!</v>
      </c>
      <c r="F2076">
        <v>114.9</v>
      </c>
      <c r="G2076">
        <f>(Cpi_[[#This Row],[Value]]-F2075)/F2075</f>
        <v>7.5842696629213571E-2</v>
      </c>
      <c r="H2076" t="e" cm="1" vm="1">
        <f t="array" aca="1" ref="H2076" ca="1">VLOOKUP(Cpi_[[#This Row],[Year]:[Month]],crudeoil[],3,FALSE)</f>
        <v>#VALUE!</v>
      </c>
    </row>
    <row r="2077" spans="1:8" hidden="1" x14ac:dyDescent="0.3">
      <c r="A2077" t="s">
        <v>33</v>
      </c>
      <c r="B2077">
        <v>2015</v>
      </c>
      <c r="C2077" t="s">
        <v>35</v>
      </c>
      <c r="D2077" t="s">
        <v>26</v>
      </c>
      <c r="E2077" t="e">
        <f>VLOOKUP(Cpi_[[#This Row],[Attribute]],#REF!,2,FALSE)</f>
        <v>#REF!</v>
      </c>
      <c r="F2077">
        <v>120.4</v>
      </c>
      <c r="G2077">
        <f>(Cpi_[[#This Row],[Value]]-F2076)/F2076</f>
        <v>4.7867711053089644E-2</v>
      </c>
      <c r="H2077" t="e" cm="1" vm="1">
        <f t="array" aca="1" ref="H2077" ca="1">VLOOKUP(Cpi_[[#This Row],[Year]:[Month]],crudeoil[],3,FALSE)</f>
        <v>#VALUE!</v>
      </c>
    </row>
    <row r="2078" spans="1:8" hidden="1" x14ac:dyDescent="0.3">
      <c r="A2078" t="s">
        <v>33</v>
      </c>
      <c r="B2078">
        <v>2015</v>
      </c>
      <c r="C2078" t="s">
        <v>35</v>
      </c>
      <c r="D2078" t="s">
        <v>27</v>
      </c>
      <c r="E2078" t="e">
        <f>VLOOKUP(Cpi_[[#This Row],[Attribute]],#REF!,2,FALSE)</f>
        <v>#REF!</v>
      </c>
      <c r="F2078">
        <v>111.7</v>
      </c>
      <c r="G2078">
        <f>(Cpi_[[#This Row],[Value]]-F2077)/F2077</f>
        <v>-7.22591362126246E-2</v>
      </c>
      <c r="H2078" t="e" cm="1" vm="1">
        <f t="array" aca="1" ref="H2078" ca="1">VLOOKUP(Cpi_[[#This Row],[Year]:[Month]],crudeoil[],3,FALSE)</f>
        <v>#VALUE!</v>
      </c>
    </row>
    <row r="2079" spans="1:8" hidden="1" x14ac:dyDescent="0.3">
      <c r="A2079" t="s">
        <v>33</v>
      </c>
      <c r="B2079">
        <v>2015</v>
      </c>
      <c r="C2079" t="s">
        <v>35</v>
      </c>
      <c r="D2079" t="s">
        <v>28</v>
      </c>
      <c r="E2079" t="e">
        <f>VLOOKUP(Cpi_[[#This Row],[Attribute]],#REF!,2,FALSE)</f>
        <v>#REF!</v>
      </c>
      <c r="F2079">
        <v>113.2</v>
      </c>
      <c r="G2079">
        <f>(Cpi_[[#This Row],[Value]]-F2078)/F2078</f>
        <v>1.342882721575649E-2</v>
      </c>
      <c r="H2079" t="e" cm="1" vm="1">
        <f t="array" aca="1" ref="H2079" ca="1">VLOOKUP(Cpi_[[#This Row],[Year]:[Month]],crudeoil[],3,FALSE)</f>
        <v>#VALUE!</v>
      </c>
    </row>
    <row r="2080" spans="1:8" hidden="1" x14ac:dyDescent="0.3">
      <c r="A2080" t="s">
        <v>33</v>
      </c>
      <c r="B2080">
        <v>2015</v>
      </c>
      <c r="C2080" t="s">
        <v>35</v>
      </c>
      <c r="D2080" t="s">
        <v>29</v>
      </c>
      <c r="E2080" t="e" cm="1">
        <f t="array" aca="1" ref="E2080" ca="1">VLGeneral indexGeneral indexKUP(Cpi_[[#This Row],[Attribute]],#REF!,2,FALSE)</f>
        <v>#NAME?</v>
      </c>
      <c r="F2080">
        <v>118.7</v>
      </c>
      <c r="G2080">
        <f>(Cpi_[[#This Row],[Value]]-F2079)/F2079</f>
        <v>4.8586572438162542E-2</v>
      </c>
      <c r="H2080" t="e" cm="1" vm="1">
        <f t="array" aca="1" ref="H2080" ca="1">VLOOKUP(Cpi_[[#This Row],[Year]:[Month]],crudeoil[],3,FALSE)</f>
        <v>#VALUE!</v>
      </c>
    </row>
    <row r="2081" spans="1:8" hidden="1" x14ac:dyDescent="0.3">
      <c r="A2081" t="s">
        <v>34</v>
      </c>
      <c r="B2081">
        <v>2015</v>
      </c>
      <c r="C2081" t="s">
        <v>35</v>
      </c>
      <c r="D2081" t="s">
        <v>3</v>
      </c>
      <c r="E2081" t="e">
        <f>VLOOKUP(Cpi_[[#This Row],[Attribute]],#REF!,2,FALSE)</f>
        <v>#REF!</v>
      </c>
      <c r="F2081">
        <v>123.7</v>
      </c>
      <c r="G2081">
        <f>(Cpi_[[#This Row],[Value]]-F2080)/F2080</f>
        <v>4.2122999157540017E-2</v>
      </c>
      <c r="H2081" t="e" cm="1" vm="1">
        <f t="array" aca="1" ref="H2081" ca="1">VLOOKUP(Cpi_[[#This Row],[Year]:[Month]],crudeoil[],3,FALSE)</f>
        <v>#VALUE!</v>
      </c>
    </row>
    <row r="2082" spans="1:8" hidden="1" x14ac:dyDescent="0.3">
      <c r="A2082" t="s">
        <v>34</v>
      </c>
      <c r="B2082">
        <v>2015</v>
      </c>
      <c r="C2082" t="s">
        <v>35</v>
      </c>
      <c r="D2082" t="s">
        <v>4</v>
      </c>
      <c r="E2082" t="e">
        <f>VLOOKUP(Cpi_[[#This Row],[Attribute]],#REF!,2,FALSE)</f>
        <v>#REF!</v>
      </c>
      <c r="F2082">
        <v>125.1</v>
      </c>
      <c r="G2082">
        <f>(Cpi_[[#This Row],[Value]]-F2081)/F2081</f>
        <v>1.1317704122877862E-2</v>
      </c>
      <c r="H2082" t="e" cm="1" vm="1">
        <f t="array" aca="1" ref="H2082" ca="1">VLOOKUP(Cpi_[[#This Row],[Year]:[Month]],crudeoil[],3,FALSE)</f>
        <v>#VALUE!</v>
      </c>
    </row>
    <row r="2083" spans="1:8" hidden="1" x14ac:dyDescent="0.3">
      <c r="A2083" t="s">
        <v>34</v>
      </c>
      <c r="B2083">
        <v>2015</v>
      </c>
      <c r="C2083" t="s">
        <v>35</v>
      </c>
      <c r="D2083" t="s">
        <v>5</v>
      </c>
      <c r="E2083" t="e">
        <f>VLOOKUP(Cpi_[[#This Row],[Attribute]],#REF!,2,FALSE)</f>
        <v>#REF!</v>
      </c>
      <c r="F2083">
        <v>121.1</v>
      </c>
      <c r="G2083">
        <f>(Cpi_[[#This Row],[Value]]-F2082)/F2082</f>
        <v>-3.1974420463629097E-2</v>
      </c>
      <c r="H2083" t="e" cm="1" vm="1">
        <f t="array" aca="1" ref="H2083" ca="1">VLOOKUP(Cpi_[[#This Row],[Year]:[Month]],crudeoil[],3,FALSE)</f>
        <v>#VALUE!</v>
      </c>
    </row>
    <row r="2084" spans="1:8" hidden="1" x14ac:dyDescent="0.3">
      <c r="A2084" t="s">
        <v>34</v>
      </c>
      <c r="B2084">
        <v>2015</v>
      </c>
      <c r="C2084" t="s">
        <v>35</v>
      </c>
      <c r="D2084" t="s">
        <v>6</v>
      </c>
      <c r="E2084" t="e">
        <f>VLOOKUP(Cpi_[[#This Row],[Attribute]],#REF!,2,FALSE)</f>
        <v>#REF!</v>
      </c>
      <c r="F2084">
        <v>125.7</v>
      </c>
      <c r="G2084">
        <f>(Cpi_[[#This Row],[Value]]-F2083)/F2083</f>
        <v>3.7985136251032274E-2</v>
      </c>
      <c r="H2084" t="e" cm="1" vm="1">
        <f t="array" aca="1" ref="H2084" ca="1">VLOOKUP(Cpi_[[#This Row],[Year]:[Month]],crudeoil[],3,FALSE)</f>
        <v>#VALUE!</v>
      </c>
    </row>
    <row r="2085" spans="1:8" hidden="1" x14ac:dyDescent="0.3">
      <c r="A2085" t="s">
        <v>34</v>
      </c>
      <c r="B2085">
        <v>2015</v>
      </c>
      <c r="C2085" t="s">
        <v>35</v>
      </c>
      <c r="D2085" t="s">
        <v>7</v>
      </c>
      <c r="E2085" t="e">
        <f>VLOOKUP(Cpi_[[#This Row],[Attribute]],#REF!,2,FALSE)</f>
        <v>#REF!</v>
      </c>
      <c r="F2085">
        <v>109.1</v>
      </c>
      <c r="G2085">
        <f>(Cpi_[[#This Row],[Value]]-F2084)/F2084</f>
        <v>-0.13206046141607009</v>
      </c>
      <c r="H2085" t="e" cm="1" vm="1">
        <f t="array" aca="1" ref="H2085" ca="1">VLOOKUP(Cpi_[[#This Row],[Year]:[Month]],crudeoil[],3,FALSE)</f>
        <v>#VALUE!</v>
      </c>
    </row>
    <row r="2086" spans="1:8" hidden="1" x14ac:dyDescent="0.3">
      <c r="A2086" t="s">
        <v>34</v>
      </c>
      <c r="B2086">
        <v>2015</v>
      </c>
      <c r="C2086" t="s">
        <v>35</v>
      </c>
      <c r="D2086" t="s">
        <v>8</v>
      </c>
      <c r="E2086" t="e">
        <f>VLOOKUP(Cpi_[[#This Row],[Attribute]],#REF!,2,FALSE)</f>
        <v>#REF!</v>
      </c>
      <c r="F2086">
        <v>125.8</v>
      </c>
      <c r="G2086">
        <f>(Cpi_[[#This Row],[Value]]-F2085)/F2085</f>
        <v>0.15307057745187905</v>
      </c>
      <c r="H2086" t="e" cm="1" vm="1">
        <f t="array" aca="1" ref="H2086" ca="1">VLOOKUP(Cpi_[[#This Row],[Year]:[Month]],crudeoil[],3,FALSE)</f>
        <v>#VALUE!</v>
      </c>
    </row>
    <row r="2087" spans="1:8" hidden="1" x14ac:dyDescent="0.3">
      <c r="A2087" t="s">
        <v>34</v>
      </c>
      <c r="B2087">
        <v>2015</v>
      </c>
      <c r="C2087" t="s">
        <v>35</v>
      </c>
      <c r="D2087" t="s">
        <v>9</v>
      </c>
      <c r="E2087" t="e">
        <f>VLOOKUP(Cpi_[[#This Row],[Attribute]],#REF!,2,FALSE)</f>
        <v>#REF!</v>
      </c>
      <c r="F2087">
        <v>129.4</v>
      </c>
      <c r="G2087">
        <f>(Cpi_[[#This Row],[Value]]-F2086)/F2086</f>
        <v>2.8616852146263978E-2</v>
      </c>
      <c r="H2087" t="e" cm="1" vm="1">
        <f t="array" aca="1" ref="H2087" ca="1">VLOOKUP(Cpi_[[#This Row],[Year]:[Month]],crudeoil[],3,FALSE)</f>
        <v>#VALUE!</v>
      </c>
    </row>
    <row r="2088" spans="1:8" hidden="1" x14ac:dyDescent="0.3">
      <c r="A2088" t="s">
        <v>34</v>
      </c>
      <c r="B2088">
        <v>2015</v>
      </c>
      <c r="C2088" t="s">
        <v>35</v>
      </c>
      <c r="D2088" t="s">
        <v>10</v>
      </c>
      <c r="E2088" t="e">
        <f>VLOOKUP(Cpi_[[#This Row],[Attribute]],#REF!,2,FALSE)</f>
        <v>#REF!</v>
      </c>
      <c r="F2088">
        <v>120.9</v>
      </c>
      <c r="G2088">
        <f>(Cpi_[[#This Row],[Value]]-F2087)/F2087</f>
        <v>-6.5687789799072638E-2</v>
      </c>
      <c r="H2088" t="e" cm="1" vm="1">
        <f t="array" aca="1" ref="H2088" ca="1">VLOOKUP(Cpi_[[#This Row],[Year]:[Month]],crudeoil[],3,FALSE)</f>
        <v>#VALUE!</v>
      </c>
    </row>
    <row r="2089" spans="1:8" hidden="1" x14ac:dyDescent="0.3">
      <c r="A2089" t="s">
        <v>34</v>
      </c>
      <c r="B2089">
        <v>2015</v>
      </c>
      <c r="C2089" t="s">
        <v>35</v>
      </c>
      <c r="D2089" t="s">
        <v>11</v>
      </c>
      <c r="E2089" t="e">
        <f>VLOOKUP(Cpi_[[#This Row],[Attribute]],#REF!,2,FALSE)</f>
        <v>#REF!</v>
      </c>
      <c r="F2089">
        <v>98.3</v>
      </c>
      <c r="G2089">
        <f>(Cpi_[[#This Row],[Value]]-F2088)/F2088</f>
        <v>-0.18693134822167087</v>
      </c>
      <c r="H2089" t="e" cm="1" vm="1">
        <f t="array" aca="1" ref="H2089" ca="1">VLOOKUP(Cpi_[[#This Row],[Year]:[Month]],crudeoil[],3,FALSE)</f>
        <v>#VALUE!</v>
      </c>
    </row>
    <row r="2090" spans="1:8" hidden="1" x14ac:dyDescent="0.3">
      <c r="A2090" t="s">
        <v>34</v>
      </c>
      <c r="B2090">
        <v>2015</v>
      </c>
      <c r="C2090" t="s">
        <v>35</v>
      </c>
      <c r="D2090" t="s">
        <v>12</v>
      </c>
      <c r="E2090" t="e">
        <f>VLOOKUP(Cpi_[[#This Row],[Attribute]],#REF!,2,FALSE)</f>
        <v>#REF!</v>
      </c>
      <c r="F2090">
        <v>121.6</v>
      </c>
      <c r="G2090">
        <f>(Cpi_[[#This Row],[Value]]-F2089)/F2089</f>
        <v>0.23702950152594099</v>
      </c>
      <c r="H2090" t="e" cm="1" vm="1">
        <f t="array" aca="1" ref="H2090" ca="1">VLOOKUP(Cpi_[[#This Row],[Year]:[Month]],crudeoil[],3,FALSE)</f>
        <v>#VALUE!</v>
      </c>
    </row>
    <row r="2091" spans="1:8" hidden="1" x14ac:dyDescent="0.3">
      <c r="A2091" t="s">
        <v>34</v>
      </c>
      <c r="B2091">
        <v>2015</v>
      </c>
      <c r="C2091" t="s">
        <v>35</v>
      </c>
      <c r="D2091" t="s">
        <v>13</v>
      </c>
      <c r="E2091" t="e">
        <f>VLOOKUP(Cpi_[[#This Row],[Attribute]],#REF!,2,FALSE)</f>
        <v>#REF!</v>
      </c>
      <c r="F2091">
        <v>118</v>
      </c>
      <c r="G2091">
        <f>(Cpi_[[#This Row],[Value]]-F2090)/F2090</f>
        <v>-2.960526315789469E-2</v>
      </c>
      <c r="H2091" t="e" cm="1" vm="1">
        <f t="array" aca="1" ref="H2091" ca="1">VLOOKUP(Cpi_[[#This Row],[Year]:[Month]],crudeoil[],3,FALSE)</f>
        <v>#VALUE!</v>
      </c>
    </row>
    <row r="2092" spans="1:8" hidden="1" x14ac:dyDescent="0.3">
      <c r="A2092" t="s">
        <v>34</v>
      </c>
      <c r="B2092">
        <v>2015</v>
      </c>
      <c r="C2092" t="s">
        <v>35</v>
      </c>
      <c r="D2092" t="s">
        <v>14</v>
      </c>
      <c r="E2092" t="e">
        <f>VLOOKUP(Cpi_[[#This Row],[Attribute]],#REF!,2,FALSE)</f>
        <v>#REF!</v>
      </c>
      <c r="F2092">
        <v>127.6</v>
      </c>
      <c r="G2092">
        <f>(Cpi_[[#This Row],[Value]]-F2091)/F2091</f>
        <v>8.1355932203389783E-2</v>
      </c>
      <c r="H2092" t="e" cm="1" vm="1">
        <f t="array" aca="1" ref="H2092" ca="1">VLOOKUP(Cpi_[[#This Row],[Year]:[Month]],crudeoil[],3,FALSE)</f>
        <v>#VALUE!</v>
      </c>
    </row>
    <row r="2093" spans="1:8" hidden="1" x14ac:dyDescent="0.3">
      <c r="A2093" t="s">
        <v>34</v>
      </c>
      <c r="B2093">
        <v>2015</v>
      </c>
      <c r="C2093" t="s">
        <v>35</v>
      </c>
      <c r="D2093" t="s">
        <v>15</v>
      </c>
      <c r="E2093" t="e">
        <f>VLOOKUP(Cpi_[[#This Row],[Attribute]],#REF!,2,FALSE)</f>
        <v>#REF!</v>
      </c>
      <c r="F2093">
        <v>123.1</v>
      </c>
      <c r="G2093">
        <f>(Cpi_[[#This Row],[Value]]-F2092)/F2092</f>
        <v>-3.5266457680250787E-2</v>
      </c>
      <c r="H2093" t="e" cm="1" vm="1">
        <f t="array" aca="1" ref="H2093" ca="1">VLOOKUP(Cpi_[[#This Row],[Year]:[Month]],crudeoil[],3,FALSE)</f>
        <v>#VALUE!</v>
      </c>
    </row>
    <row r="2094" spans="1:8" hidden="1" x14ac:dyDescent="0.3">
      <c r="A2094" t="s">
        <v>34</v>
      </c>
      <c r="B2094">
        <v>2015</v>
      </c>
      <c r="C2094" t="s">
        <v>35</v>
      </c>
      <c r="D2094" t="s">
        <v>16</v>
      </c>
      <c r="E2094" t="e">
        <f>VLOOKUP(Cpi_[[#This Row],[Attribute]],#REF!,2,FALSE)</f>
        <v>#REF!</v>
      </c>
      <c r="F2094">
        <v>125.2</v>
      </c>
      <c r="G2094">
        <f>(Cpi_[[#This Row],[Value]]-F2093)/F2093</f>
        <v>1.7059301380991133E-2</v>
      </c>
      <c r="H2094" t="e" cm="1" vm="1">
        <f t="array" aca="1" ref="H2094" ca="1">VLOOKUP(Cpi_[[#This Row],[Year]:[Month]],crudeoil[],3,FALSE)</f>
        <v>#VALUE!</v>
      </c>
    </row>
    <row r="2095" spans="1:8" hidden="1" x14ac:dyDescent="0.3">
      <c r="A2095" t="s">
        <v>34</v>
      </c>
      <c r="B2095">
        <v>2015</v>
      </c>
      <c r="C2095" t="s">
        <v>35</v>
      </c>
      <c r="D2095" t="s">
        <v>17</v>
      </c>
      <c r="E2095" t="e">
        <f>VLOOKUP(Cpi_[[#This Row],[Attribute]],#REF!,2,FALSE)</f>
        <v>#REF!</v>
      </c>
      <c r="F2095">
        <v>123.8</v>
      </c>
      <c r="G2095">
        <f>(Cpi_[[#This Row],[Value]]-F2094)/F2094</f>
        <v>-1.1182108626198128E-2</v>
      </c>
      <c r="H2095" t="e" cm="1" vm="1">
        <f t="array" aca="1" ref="H2095" ca="1">VLOOKUP(Cpi_[[#This Row],[Year]:[Month]],crudeoil[],3,FALSE)</f>
        <v>#VALUE!</v>
      </c>
    </row>
    <row r="2096" spans="1:8" hidden="1" x14ac:dyDescent="0.3">
      <c r="A2096" t="s">
        <v>34</v>
      </c>
      <c r="B2096">
        <v>2015</v>
      </c>
      <c r="C2096" t="s">
        <v>35</v>
      </c>
      <c r="D2096" t="s">
        <v>18</v>
      </c>
      <c r="E2096" t="e">
        <f>VLOOKUP(Cpi_[[#This Row],[Attribute]],#REF!,2,FALSE)</f>
        <v>#REF!</v>
      </c>
      <c r="F2096">
        <v>120.1</v>
      </c>
      <c r="G2096">
        <f>(Cpi_[[#This Row],[Value]]-F2095)/F2095</f>
        <v>-2.9886914378029102E-2</v>
      </c>
      <c r="H2096" t="e" cm="1" vm="1">
        <f t="array" aca="1" ref="H2096" ca="1">VLOOKUP(Cpi_[[#This Row],[Year]:[Month]],crudeoil[],3,FALSE)</f>
        <v>#VALUE!</v>
      </c>
    </row>
    <row r="2097" spans="1:8" hidden="1" x14ac:dyDescent="0.3">
      <c r="A2097" t="s">
        <v>34</v>
      </c>
      <c r="B2097">
        <v>2015</v>
      </c>
      <c r="C2097" t="s">
        <v>35</v>
      </c>
      <c r="D2097" t="s">
        <v>19</v>
      </c>
      <c r="E2097" t="e">
        <f>VLOOKUP(Cpi_[[#This Row],[Attribute]],#REF!,2,FALSE)</f>
        <v>#REF!</v>
      </c>
      <c r="F2097">
        <v>123.3</v>
      </c>
      <c r="G2097">
        <f>(Cpi_[[#This Row],[Value]]-F2096)/F2096</f>
        <v>2.6644462947543739E-2</v>
      </c>
      <c r="H2097" t="e" cm="1" vm="1">
        <f t="array" aca="1" ref="H2097" ca="1">VLOOKUP(Cpi_[[#This Row],[Year]:[Month]],crudeoil[],3,FALSE)</f>
        <v>#VALUE!</v>
      </c>
    </row>
    <row r="2098" spans="1:8" hidden="1" x14ac:dyDescent="0.3">
      <c r="A2098" t="s">
        <v>34</v>
      </c>
      <c r="B2098">
        <v>2015</v>
      </c>
      <c r="C2098" t="s">
        <v>35</v>
      </c>
      <c r="D2098" t="s">
        <v>20</v>
      </c>
      <c r="E2098" t="e">
        <f>VLOOKUP(Cpi_[[#This Row],[Attribute]],#REF!,2,FALSE)</f>
        <v>#REF!</v>
      </c>
      <c r="F2098">
        <v>118.1</v>
      </c>
      <c r="G2098">
        <f>(Cpi_[[#This Row],[Value]]-F2097)/F2097</f>
        <v>-4.2173560421735631E-2</v>
      </c>
      <c r="H2098" t="e" cm="1" vm="1">
        <f t="array" aca="1" ref="H2098" ca="1">VLOOKUP(Cpi_[[#This Row],[Year]:[Month]],crudeoil[],3,FALSE)</f>
        <v>#VALUE!</v>
      </c>
    </row>
    <row r="2099" spans="1:8" hidden="1" x14ac:dyDescent="0.3">
      <c r="A2099" t="s">
        <v>34</v>
      </c>
      <c r="B2099">
        <v>2015</v>
      </c>
      <c r="C2099" t="s">
        <v>35</v>
      </c>
      <c r="D2099" t="s">
        <v>21</v>
      </c>
      <c r="E2099" t="e">
        <f>VLOOKUP(Cpi_[[#This Row],[Attribute]],#REF!,2,FALSE)</f>
        <v>#REF!</v>
      </c>
      <c r="F2099">
        <v>117.7</v>
      </c>
      <c r="G2099">
        <f>(Cpi_[[#This Row],[Value]]-F2098)/F2098</f>
        <v>-3.3869602032175401E-3</v>
      </c>
      <c r="H2099" t="e" cm="1" vm="1">
        <f t="array" aca="1" ref="H2099" ca="1">VLOOKUP(Cpi_[[#This Row],[Year]:[Month]],crudeoil[],3,FALSE)</f>
        <v>#VALUE!</v>
      </c>
    </row>
    <row r="2100" spans="1:8" hidden="1" x14ac:dyDescent="0.3">
      <c r="A2100" t="s">
        <v>34</v>
      </c>
      <c r="B2100">
        <v>2015</v>
      </c>
      <c r="C2100" t="s">
        <v>35</v>
      </c>
      <c r="D2100" t="s">
        <v>22</v>
      </c>
      <c r="E2100" t="e">
        <f>VLOOKUP(Cpi_[[#This Row],[Attribute]],#REF!,2,FALSE)</f>
        <v>#REF!</v>
      </c>
      <c r="F2100">
        <v>118.7</v>
      </c>
      <c r="G2100">
        <f>(Cpi_[[#This Row],[Value]]-F2099)/F2099</f>
        <v>8.4961767204757861E-3</v>
      </c>
      <c r="H2100" t="e" cm="1" vm="1">
        <f t="array" aca="1" ref="H2100" ca="1">VLOOKUP(Cpi_[[#This Row],[Year]:[Month]],crudeoil[],3,FALSE)</f>
        <v>#VALUE!</v>
      </c>
    </row>
    <row r="2101" spans="1:8" hidden="1" x14ac:dyDescent="0.3">
      <c r="A2101" t="s">
        <v>34</v>
      </c>
      <c r="B2101">
        <v>2015</v>
      </c>
      <c r="C2101" t="s">
        <v>35</v>
      </c>
      <c r="D2101" t="s">
        <v>23</v>
      </c>
      <c r="E2101" t="e">
        <f>VLOOKUP(Cpi_[[#This Row],[Attribute]],#REF!,2,FALSE)</f>
        <v>#REF!</v>
      </c>
      <c r="F2101">
        <v>116.3</v>
      </c>
      <c r="G2101">
        <f>(Cpi_[[#This Row],[Value]]-F2100)/F2100</f>
        <v>-2.0219039595619256E-2</v>
      </c>
      <c r="H2101" t="e" cm="1" vm="1">
        <f t="array" aca="1" ref="H2101" ca="1">VLOOKUP(Cpi_[[#This Row],[Year]:[Month]],crudeoil[],3,FALSE)</f>
        <v>#VALUE!</v>
      </c>
    </row>
    <row r="2102" spans="1:8" hidden="1" x14ac:dyDescent="0.3">
      <c r="A2102" t="s">
        <v>34</v>
      </c>
      <c r="B2102">
        <v>2015</v>
      </c>
      <c r="C2102" t="s">
        <v>35</v>
      </c>
      <c r="D2102" t="s">
        <v>24</v>
      </c>
      <c r="E2102" t="e">
        <f>VLOOKUP(Cpi_[[#This Row],[Attribute]],#REF!,2,FALSE)</f>
        <v>#REF!</v>
      </c>
      <c r="F2102">
        <v>108.7</v>
      </c>
      <c r="G2102">
        <f>(Cpi_[[#This Row],[Value]]-F2101)/F2101</f>
        <v>-6.5348237317282842E-2</v>
      </c>
      <c r="H2102" t="e" cm="1" vm="1">
        <f t="array" aca="1" ref="H2102" ca="1">VLOOKUP(Cpi_[[#This Row],[Year]:[Month]],crudeoil[],3,FALSE)</f>
        <v>#VALUE!</v>
      </c>
    </row>
    <row r="2103" spans="1:8" hidden="1" x14ac:dyDescent="0.3">
      <c r="A2103" t="s">
        <v>34</v>
      </c>
      <c r="B2103">
        <v>2015</v>
      </c>
      <c r="C2103" t="s">
        <v>35</v>
      </c>
      <c r="D2103" t="s">
        <v>25</v>
      </c>
      <c r="E2103" t="e">
        <f>VLOOKUP(Cpi_[[#This Row],[Attribute]],#REF!,2,FALSE)</f>
        <v>#REF!</v>
      </c>
      <c r="F2103">
        <v>114.9</v>
      </c>
      <c r="G2103">
        <f>(Cpi_[[#This Row],[Value]]-F2102)/F2102</f>
        <v>5.7037718491260374E-2</v>
      </c>
      <c r="H2103" t="e" cm="1" vm="1">
        <f t="array" aca="1" ref="H2103" ca="1">VLOOKUP(Cpi_[[#This Row],[Year]:[Month]],crudeoil[],3,FALSE)</f>
        <v>#VALUE!</v>
      </c>
    </row>
    <row r="2104" spans="1:8" hidden="1" x14ac:dyDescent="0.3">
      <c r="A2104" t="s">
        <v>34</v>
      </c>
      <c r="B2104">
        <v>2015</v>
      </c>
      <c r="C2104" t="s">
        <v>35</v>
      </c>
      <c r="D2104" t="s">
        <v>26</v>
      </c>
      <c r="E2104" t="e">
        <f>VLOOKUP(Cpi_[[#This Row],[Attribute]],#REF!,2,FALSE)</f>
        <v>#REF!</v>
      </c>
      <c r="F2104">
        <v>119.7</v>
      </c>
      <c r="G2104">
        <f>(Cpi_[[#This Row],[Value]]-F2103)/F2103</f>
        <v>4.1775456919060025E-2</v>
      </c>
      <c r="H2104" t="e" cm="1" vm="1">
        <f t="array" aca="1" ref="H2104" ca="1">VLOOKUP(Cpi_[[#This Row],[Year]:[Month]],crudeoil[],3,FALSE)</f>
        <v>#VALUE!</v>
      </c>
    </row>
    <row r="2105" spans="1:8" hidden="1" x14ac:dyDescent="0.3">
      <c r="A2105" t="s">
        <v>34</v>
      </c>
      <c r="B2105">
        <v>2015</v>
      </c>
      <c r="C2105" t="s">
        <v>35</v>
      </c>
      <c r="D2105" t="s">
        <v>27</v>
      </c>
      <c r="E2105" t="e">
        <f>VLOOKUP(Cpi_[[#This Row],[Attribute]],#REF!,2,FALSE)</f>
        <v>#REF!</v>
      </c>
      <c r="F2105">
        <v>111.2</v>
      </c>
      <c r="G2105">
        <f>(Cpi_[[#This Row],[Value]]-F2104)/F2104</f>
        <v>-7.1010860484544691E-2</v>
      </c>
      <c r="H2105" t="e" cm="1" vm="1">
        <f t="array" aca="1" ref="H2105" ca="1">VLOOKUP(Cpi_[[#This Row],[Year]:[Month]],crudeoil[],3,FALSE)</f>
        <v>#VALUE!</v>
      </c>
    </row>
    <row r="2106" spans="1:8" hidden="1" x14ac:dyDescent="0.3">
      <c r="A2106" t="s">
        <v>34</v>
      </c>
      <c r="B2106">
        <v>2015</v>
      </c>
      <c r="C2106" t="s">
        <v>35</v>
      </c>
      <c r="D2106" t="s">
        <v>28</v>
      </c>
      <c r="E2106" t="e">
        <f>VLOOKUP(Cpi_[[#This Row],[Attribute]],#REF!,2,FALSE)</f>
        <v>#REF!</v>
      </c>
      <c r="F2106">
        <v>114.1</v>
      </c>
      <c r="G2106">
        <f>(Cpi_[[#This Row],[Value]]-F2105)/F2105</f>
        <v>2.6079136690647403E-2</v>
      </c>
      <c r="H2106" t="e" cm="1" vm="1">
        <f t="array" aca="1" ref="H2106" ca="1">VLOOKUP(Cpi_[[#This Row],[Year]:[Month]],crudeoil[],3,FALSE)</f>
        <v>#VALUE!</v>
      </c>
    </row>
    <row r="2107" spans="1:8" hidden="1" x14ac:dyDescent="0.3">
      <c r="A2107" t="s">
        <v>34</v>
      </c>
      <c r="B2107">
        <v>2015</v>
      </c>
      <c r="C2107" t="s">
        <v>35</v>
      </c>
      <c r="D2107" t="s">
        <v>29</v>
      </c>
      <c r="E2107" t="e" cm="1">
        <f t="array" aca="1" ref="E2107" ca="1">VLGeneral indexGeneral indexKUP(Cpi_[[#This Row],[Attribute]],#REF!,2,FALSE)</f>
        <v>#NAME?</v>
      </c>
      <c r="F2107">
        <v>119.7</v>
      </c>
      <c r="G2107">
        <f>(Cpi_[[#This Row],[Value]]-F2106)/F2106</f>
        <v>4.9079754601227071E-2</v>
      </c>
      <c r="H2107" t="e" cm="1" vm="1">
        <f t="array" aca="1" ref="H2107" ca="1">VLOOKUP(Cpi_[[#This Row],[Year]:[Month]],crudeoil[],3,FALSE)</f>
        <v>#VALUE!</v>
      </c>
    </row>
    <row r="2108" spans="1:8" hidden="1" x14ac:dyDescent="0.3">
      <c r="A2108" t="s">
        <v>30</v>
      </c>
      <c r="B2108">
        <v>2015</v>
      </c>
      <c r="C2108" t="s">
        <v>36</v>
      </c>
      <c r="D2108" t="s">
        <v>3</v>
      </c>
      <c r="E2108" t="e">
        <f>VLOOKUP(Cpi_[[#This Row],[Attribute]],#REF!,2,FALSE)</f>
        <v>#REF!</v>
      </c>
      <c r="F2108">
        <v>123.3</v>
      </c>
      <c r="G2108">
        <f>(Cpi_[[#This Row],[Value]]-F2107)/F2107</f>
        <v>3.0075187969924765E-2</v>
      </c>
      <c r="H2108" t="e" cm="1" vm="1">
        <f t="array" aca="1" ref="H2108" ca="1">VLOOKUP(Cpi_[[#This Row],[Year]:[Month]],crudeoil[],3,FALSE)</f>
        <v>#VALUE!</v>
      </c>
    </row>
    <row r="2109" spans="1:8" hidden="1" x14ac:dyDescent="0.3">
      <c r="A2109" t="s">
        <v>30</v>
      </c>
      <c r="B2109">
        <v>2015</v>
      </c>
      <c r="C2109" t="s">
        <v>36</v>
      </c>
      <c r="D2109" t="s">
        <v>4</v>
      </c>
      <c r="E2109" t="e">
        <f>VLOOKUP(Cpi_[[#This Row],[Attribute]],#REF!,2,FALSE)</f>
        <v>#REF!</v>
      </c>
      <c r="F2109">
        <v>124.7</v>
      </c>
      <c r="G2109">
        <f>(Cpi_[[#This Row],[Value]]-F2108)/F2108</f>
        <v>1.1354420113544247E-2</v>
      </c>
      <c r="H2109" t="e" cm="1" vm="1">
        <f t="array" aca="1" ref="H2109" ca="1">VLOOKUP(Cpi_[[#This Row],[Year]:[Month]],crudeoil[],3,FALSE)</f>
        <v>#VALUE!</v>
      </c>
    </row>
    <row r="2110" spans="1:8" hidden="1" x14ac:dyDescent="0.3">
      <c r="A2110" t="s">
        <v>30</v>
      </c>
      <c r="B2110">
        <v>2015</v>
      </c>
      <c r="C2110" t="s">
        <v>36</v>
      </c>
      <c r="D2110" t="s">
        <v>5</v>
      </c>
      <c r="E2110" t="e">
        <f>VLOOKUP(Cpi_[[#This Row],[Attribute]],#REF!,2,FALSE)</f>
        <v>#REF!</v>
      </c>
      <c r="F2110">
        <v>118.9</v>
      </c>
      <c r="G2110">
        <f>(Cpi_[[#This Row],[Value]]-F2109)/F2109</f>
        <v>-4.6511627906976723E-2</v>
      </c>
      <c r="H2110" t="e" cm="1" vm="1">
        <f t="array" aca="1" ref="H2110" ca="1">VLOOKUP(Cpi_[[#This Row],[Year]:[Month]],crudeoil[],3,FALSE)</f>
        <v>#VALUE!</v>
      </c>
    </row>
    <row r="2111" spans="1:8" hidden="1" x14ac:dyDescent="0.3">
      <c r="A2111" t="s">
        <v>30</v>
      </c>
      <c r="B2111">
        <v>2015</v>
      </c>
      <c r="C2111" t="s">
        <v>36</v>
      </c>
      <c r="D2111" t="s">
        <v>6</v>
      </c>
      <c r="E2111" t="e">
        <f>VLOOKUP(Cpi_[[#This Row],[Attribute]],#REF!,2,FALSE)</f>
        <v>#REF!</v>
      </c>
      <c r="F2111">
        <v>126</v>
      </c>
      <c r="G2111">
        <f>(Cpi_[[#This Row],[Value]]-F2110)/F2110</f>
        <v>5.9714045416316183E-2</v>
      </c>
      <c r="H2111" t="e" cm="1" vm="1">
        <f t="array" aca="1" ref="H2111" ca="1">VLOOKUP(Cpi_[[#This Row],[Year]:[Month]],crudeoil[],3,FALSE)</f>
        <v>#VALUE!</v>
      </c>
    </row>
    <row r="2112" spans="1:8" hidden="1" x14ac:dyDescent="0.3">
      <c r="A2112" t="s">
        <v>30</v>
      </c>
      <c r="B2112">
        <v>2015</v>
      </c>
      <c r="C2112" t="s">
        <v>36</v>
      </c>
      <c r="D2112" t="s">
        <v>7</v>
      </c>
      <c r="E2112" t="e">
        <f>VLOOKUP(Cpi_[[#This Row],[Attribute]],#REF!,2,FALSE)</f>
        <v>#REF!</v>
      </c>
      <c r="F2112">
        <v>111.8</v>
      </c>
      <c r="G2112">
        <f>(Cpi_[[#This Row],[Value]]-F2111)/F2111</f>
        <v>-0.11269841269841271</v>
      </c>
      <c r="H2112" t="e" cm="1" vm="1">
        <f t="array" aca="1" ref="H2112" ca="1">VLOOKUP(Cpi_[[#This Row],[Year]:[Month]],crudeoil[],3,FALSE)</f>
        <v>#VALUE!</v>
      </c>
    </row>
    <row r="2113" spans="1:8" hidden="1" x14ac:dyDescent="0.3">
      <c r="A2113" t="s">
        <v>30</v>
      </c>
      <c r="B2113">
        <v>2015</v>
      </c>
      <c r="C2113" t="s">
        <v>36</v>
      </c>
      <c r="D2113" t="s">
        <v>8</v>
      </c>
      <c r="E2113" t="e">
        <f>VLOOKUP(Cpi_[[#This Row],[Attribute]],#REF!,2,FALSE)</f>
        <v>#REF!</v>
      </c>
      <c r="F2113">
        <v>130.9</v>
      </c>
      <c r="G2113">
        <f>(Cpi_[[#This Row],[Value]]-F2112)/F2112</f>
        <v>0.17084078711985698</v>
      </c>
      <c r="H2113" t="e" cm="1" vm="1">
        <f t="array" aca="1" ref="H2113" ca="1">VLOOKUP(Cpi_[[#This Row],[Year]:[Month]],crudeoil[],3,FALSE)</f>
        <v>#VALUE!</v>
      </c>
    </row>
    <row r="2114" spans="1:8" hidden="1" x14ac:dyDescent="0.3">
      <c r="A2114" t="s">
        <v>30</v>
      </c>
      <c r="B2114">
        <v>2015</v>
      </c>
      <c r="C2114" t="s">
        <v>36</v>
      </c>
      <c r="D2114" t="s">
        <v>9</v>
      </c>
      <c r="E2114" t="e">
        <f>VLOOKUP(Cpi_[[#This Row],[Attribute]],#REF!,2,FALSE)</f>
        <v>#REF!</v>
      </c>
      <c r="F2114">
        <v>128</v>
      </c>
      <c r="G2114">
        <f>(Cpi_[[#This Row],[Value]]-F2113)/F2113</f>
        <v>-2.2154316271963372E-2</v>
      </c>
      <c r="H2114" t="e" cm="1" vm="1">
        <f t="array" aca="1" ref="H2114" ca="1">VLOOKUP(Cpi_[[#This Row],[Year]:[Month]],crudeoil[],3,FALSE)</f>
        <v>#VALUE!</v>
      </c>
    </row>
    <row r="2115" spans="1:8" hidden="1" x14ac:dyDescent="0.3">
      <c r="A2115" t="s">
        <v>30</v>
      </c>
      <c r="B2115">
        <v>2015</v>
      </c>
      <c r="C2115" t="s">
        <v>36</v>
      </c>
      <c r="D2115" t="s">
        <v>10</v>
      </c>
      <c r="E2115" t="e">
        <f>VLOOKUP(Cpi_[[#This Row],[Attribute]],#REF!,2,FALSE)</f>
        <v>#REF!</v>
      </c>
      <c r="F2115">
        <v>119.9</v>
      </c>
      <c r="G2115">
        <f>(Cpi_[[#This Row],[Value]]-F2114)/F2114</f>
        <v>-6.3281249999999956E-2</v>
      </c>
      <c r="H2115" t="e" cm="1" vm="1">
        <f t="array" aca="1" ref="H2115" ca="1">VLOOKUP(Cpi_[[#This Row],[Year]:[Month]],crudeoil[],3,FALSE)</f>
        <v>#VALUE!</v>
      </c>
    </row>
    <row r="2116" spans="1:8" hidden="1" x14ac:dyDescent="0.3">
      <c r="A2116" t="s">
        <v>30</v>
      </c>
      <c r="B2116">
        <v>2015</v>
      </c>
      <c r="C2116" t="s">
        <v>36</v>
      </c>
      <c r="D2116" t="s">
        <v>11</v>
      </c>
      <c r="E2116" t="e">
        <f>VLOOKUP(Cpi_[[#This Row],[Attribute]],#REF!,2,FALSE)</f>
        <v>#REF!</v>
      </c>
      <c r="F2116">
        <v>98.9</v>
      </c>
      <c r="G2116">
        <f>(Cpi_[[#This Row],[Value]]-F2115)/F2115</f>
        <v>-0.17514595496246871</v>
      </c>
      <c r="H2116" t="e" cm="1" vm="1">
        <f t="array" aca="1" ref="H2116" ca="1">VLOOKUP(Cpi_[[#This Row],[Year]:[Month]],crudeoil[],3,FALSE)</f>
        <v>#VALUE!</v>
      </c>
    </row>
    <row r="2117" spans="1:8" hidden="1" x14ac:dyDescent="0.3">
      <c r="A2117" t="s">
        <v>30</v>
      </c>
      <c r="B2117">
        <v>2015</v>
      </c>
      <c r="C2117" t="s">
        <v>36</v>
      </c>
      <c r="D2117" t="s">
        <v>12</v>
      </c>
      <c r="E2117" t="e">
        <f>VLOOKUP(Cpi_[[#This Row],[Attribute]],#REF!,2,FALSE)</f>
        <v>#REF!</v>
      </c>
      <c r="F2117">
        <v>119.4</v>
      </c>
      <c r="G2117">
        <f>(Cpi_[[#This Row],[Value]]-F2116)/F2116</f>
        <v>0.20728008088978767</v>
      </c>
      <c r="H2117" t="e" cm="1" vm="1">
        <f t="array" aca="1" ref="H2117" ca="1">VLOOKUP(Cpi_[[#This Row],[Year]:[Month]],crudeoil[],3,FALSE)</f>
        <v>#VALUE!</v>
      </c>
    </row>
    <row r="2118" spans="1:8" hidden="1" x14ac:dyDescent="0.3">
      <c r="A2118" t="s">
        <v>30</v>
      </c>
      <c r="B2118">
        <v>2015</v>
      </c>
      <c r="C2118" t="s">
        <v>36</v>
      </c>
      <c r="D2118" t="s">
        <v>13</v>
      </c>
      <c r="E2118" t="e">
        <f>VLOOKUP(Cpi_[[#This Row],[Attribute]],#REF!,2,FALSE)</f>
        <v>#REF!</v>
      </c>
      <c r="F2118">
        <v>118.9</v>
      </c>
      <c r="G2118">
        <f>(Cpi_[[#This Row],[Value]]-F2117)/F2117</f>
        <v>-4.1876046901172526E-3</v>
      </c>
      <c r="H2118" t="e" cm="1" vm="1">
        <f t="array" aca="1" ref="H2118" ca="1">VLOOKUP(Cpi_[[#This Row],[Year]:[Month]],crudeoil[],3,FALSE)</f>
        <v>#VALUE!</v>
      </c>
    </row>
    <row r="2119" spans="1:8" hidden="1" x14ac:dyDescent="0.3">
      <c r="A2119" t="s">
        <v>30</v>
      </c>
      <c r="B2119">
        <v>2015</v>
      </c>
      <c r="C2119" t="s">
        <v>36</v>
      </c>
      <c r="D2119" t="s">
        <v>14</v>
      </c>
      <c r="E2119" t="e">
        <f>VLOOKUP(Cpi_[[#This Row],[Attribute]],#REF!,2,FALSE)</f>
        <v>#REF!</v>
      </c>
      <c r="F2119">
        <v>127.7</v>
      </c>
      <c r="G2119">
        <f>(Cpi_[[#This Row],[Value]]-F2118)/F2118</f>
        <v>7.4011774600504593E-2</v>
      </c>
      <c r="H2119" t="e" cm="1" vm="1">
        <f t="array" aca="1" ref="H2119" ca="1">VLOOKUP(Cpi_[[#This Row],[Year]:[Month]],crudeoil[],3,FALSE)</f>
        <v>#VALUE!</v>
      </c>
    </row>
    <row r="2120" spans="1:8" hidden="1" x14ac:dyDescent="0.3">
      <c r="A2120" t="s">
        <v>30</v>
      </c>
      <c r="B2120">
        <v>2015</v>
      </c>
      <c r="C2120" t="s">
        <v>36</v>
      </c>
      <c r="D2120" t="s">
        <v>15</v>
      </c>
      <c r="E2120" t="e">
        <f>VLOOKUP(Cpi_[[#This Row],[Attribute]],#REF!,2,FALSE)</f>
        <v>#REF!</v>
      </c>
      <c r="F2120">
        <v>123.1</v>
      </c>
      <c r="G2120">
        <f>(Cpi_[[#This Row],[Value]]-F2119)/F2119</f>
        <v>-3.6021926389976575E-2</v>
      </c>
      <c r="H2120" t="e" cm="1" vm="1">
        <f t="array" aca="1" ref="H2120" ca="1">VLOOKUP(Cpi_[[#This Row],[Year]:[Month]],crudeoil[],3,FALSE)</f>
        <v>#VALUE!</v>
      </c>
    </row>
    <row r="2121" spans="1:8" hidden="1" x14ac:dyDescent="0.3">
      <c r="A2121" t="s">
        <v>30</v>
      </c>
      <c r="B2121">
        <v>2015</v>
      </c>
      <c r="C2121" t="s">
        <v>36</v>
      </c>
      <c r="D2121" t="s">
        <v>16</v>
      </c>
      <c r="E2121" t="e">
        <f>VLOOKUP(Cpi_[[#This Row],[Attribute]],#REF!,2,FALSE)</f>
        <v>#REF!</v>
      </c>
      <c r="F2121">
        <v>124.7</v>
      </c>
      <c r="G2121">
        <f>(Cpi_[[#This Row],[Value]]-F2120)/F2120</f>
        <v>1.2997562956945643E-2</v>
      </c>
      <c r="H2121" t="e" cm="1" vm="1">
        <f t="array" aca="1" ref="H2121" ca="1">VLOOKUP(Cpi_[[#This Row],[Year]:[Month]],crudeoil[],3,FALSE)</f>
        <v>#VALUE!</v>
      </c>
    </row>
    <row r="2122" spans="1:8" hidden="1" x14ac:dyDescent="0.3">
      <c r="A2122" t="s">
        <v>30</v>
      </c>
      <c r="B2122">
        <v>2015</v>
      </c>
      <c r="C2122" t="s">
        <v>36</v>
      </c>
      <c r="D2122" t="s">
        <v>17</v>
      </c>
      <c r="E2122" t="e">
        <f>VLOOKUP(Cpi_[[#This Row],[Attribute]],#REF!,2,FALSE)</f>
        <v>#REF!</v>
      </c>
      <c r="F2122">
        <v>126</v>
      </c>
      <c r="G2122">
        <f>(Cpi_[[#This Row],[Value]]-F2121)/F2121</f>
        <v>1.0425020048115454E-2</v>
      </c>
      <c r="H2122" t="e" cm="1" vm="1">
        <f t="array" aca="1" ref="H2122" ca="1">VLOOKUP(Cpi_[[#This Row],[Year]:[Month]],crudeoil[],3,FALSE)</f>
        <v>#VALUE!</v>
      </c>
    </row>
    <row r="2123" spans="1:8" hidden="1" x14ac:dyDescent="0.3">
      <c r="A2123" t="s">
        <v>30</v>
      </c>
      <c r="B2123">
        <v>2015</v>
      </c>
      <c r="C2123" t="s">
        <v>36</v>
      </c>
      <c r="D2123" t="s">
        <v>18</v>
      </c>
      <c r="E2123" t="e">
        <f>VLOOKUP(Cpi_[[#This Row],[Attribute]],#REF!,2,FALSE)</f>
        <v>#REF!</v>
      </c>
      <c r="F2123">
        <v>122.9</v>
      </c>
      <c r="G2123">
        <f>(Cpi_[[#This Row],[Value]]-F2122)/F2122</f>
        <v>-2.4603174603174557E-2</v>
      </c>
      <c r="H2123" t="e" cm="1" vm="1">
        <f t="array" aca="1" ref="H2123" ca="1">VLOOKUP(Cpi_[[#This Row],[Year]:[Month]],crudeoil[],3,FALSE)</f>
        <v>#VALUE!</v>
      </c>
    </row>
    <row r="2124" spans="1:8" hidden="1" x14ac:dyDescent="0.3">
      <c r="A2124" t="s">
        <v>30</v>
      </c>
      <c r="B2124">
        <v>2015</v>
      </c>
      <c r="C2124" t="s">
        <v>36</v>
      </c>
      <c r="D2124" t="s">
        <v>19</v>
      </c>
      <c r="E2124" t="e">
        <f>VLOOKUP(Cpi_[[#This Row],[Attribute]],#REF!,2,FALSE)</f>
        <v>#REF!</v>
      </c>
      <c r="F2124">
        <v>125.5</v>
      </c>
      <c r="G2124">
        <f>(Cpi_[[#This Row],[Value]]-F2123)/F2123</f>
        <v>2.1155410903173265E-2</v>
      </c>
      <c r="H2124" t="e" cm="1" vm="1">
        <f t="array" aca="1" ref="H2124" ca="1">VLOOKUP(Cpi_[[#This Row],[Year]:[Month]],crudeoil[],3,FALSE)</f>
        <v>#VALUE!</v>
      </c>
    </row>
    <row r="2125" spans="1:8" hidden="1" x14ac:dyDescent="0.3">
      <c r="A2125" t="s">
        <v>30</v>
      </c>
      <c r="B2125">
        <v>2015</v>
      </c>
      <c r="C2125" t="s">
        <v>36</v>
      </c>
      <c r="D2125" t="s">
        <v>20</v>
      </c>
      <c r="E2125" t="e">
        <f>VLOOKUP(Cpi_[[#This Row],[Attribute]],#REF!,2,FALSE)</f>
        <v>#REF!</v>
      </c>
      <c r="F2125" t="s">
        <v>32</v>
      </c>
      <c r="G2125" t="e">
        <f>(Cpi_[[#This Row],[Value]]-F2124)/F2124</f>
        <v>#VALUE!</v>
      </c>
      <c r="H2125" t="e" cm="1" vm="1">
        <f t="array" aca="1" ref="H2125" ca="1">VLOOKUP(Cpi_[[#This Row],[Year]:[Month]],crudeoil[],3,FALSE)</f>
        <v>#VALUE!</v>
      </c>
    </row>
    <row r="2126" spans="1:8" hidden="1" x14ac:dyDescent="0.3">
      <c r="A2126" t="s">
        <v>30</v>
      </c>
      <c r="B2126">
        <v>2015</v>
      </c>
      <c r="C2126" t="s">
        <v>36</v>
      </c>
      <c r="D2126" t="s">
        <v>21</v>
      </c>
      <c r="E2126" t="e">
        <f>VLOOKUP(Cpi_[[#This Row],[Attribute]],#REF!,2,FALSE)</f>
        <v>#REF!</v>
      </c>
      <c r="F2126">
        <v>120.6</v>
      </c>
      <c r="G2126" t="e">
        <f>(Cpi_[[#This Row],[Value]]-F2125)/F2125</f>
        <v>#VALUE!</v>
      </c>
      <c r="H2126" t="e" cm="1" vm="1">
        <f t="array" aca="1" ref="H2126" ca="1">VLOOKUP(Cpi_[[#This Row],[Year]:[Month]],crudeoil[],3,FALSE)</f>
        <v>#VALUE!</v>
      </c>
    </row>
    <row r="2127" spans="1:8" hidden="1" x14ac:dyDescent="0.3">
      <c r="A2127" t="s">
        <v>30</v>
      </c>
      <c r="B2127">
        <v>2015</v>
      </c>
      <c r="C2127" t="s">
        <v>36</v>
      </c>
      <c r="D2127" t="s">
        <v>22</v>
      </c>
      <c r="E2127" t="e">
        <f>VLOOKUP(Cpi_[[#This Row],[Attribute]],#REF!,2,FALSE)</f>
        <v>#REF!</v>
      </c>
      <c r="F2127">
        <v>120.2</v>
      </c>
      <c r="G2127">
        <f>(Cpi_[[#This Row],[Value]]-F2126)/F2126</f>
        <v>-3.3167495854062312E-3</v>
      </c>
      <c r="H2127" t="e" cm="1" vm="1">
        <f t="array" aca="1" ref="H2127" ca="1">VLOOKUP(Cpi_[[#This Row],[Year]:[Month]],crudeoil[],3,FALSE)</f>
        <v>#VALUE!</v>
      </c>
    </row>
    <row r="2128" spans="1:8" hidden="1" x14ac:dyDescent="0.3">
      <c r="A2128" t="s">
        <v>30</v>
      </c>
      <c r="B2128">
        <v>2015</v>
      </c>
      <c r="C2128" t="s">
        <v>36</v>
      </c>
      <c r="D2128" t="s">
        <v>23</v>
      </c>
      <c r="E2128" t="e">
        <f>VLOOKUP(Cpi_[[#This Row],[Attribute]],#REF!,2,FALSE)</f>
        <v>#REF!</v>
      </c>
      <c r="F2128">
        <v>118.2</v>
      </c>
      <c r="G2128">
        <f>(Cpi_[[#This Row],[Value]]-F2127)/F2127</f>
        <v>-1.6638935108153077E-2</v>
      </c>
      <c r="H2128" t="e" cm="1" vm="1">
        <f t="array" aca="1" ref="H2128" ca="1">VLOOKUP(Cpi_[[#This Row],[Year]:[Month]],crudeoil[],3,FALSE)</f>
        <v>#VALUE!</v>
      </c>
    </row>
    <row r="2129" spans="1:8" hidden="1" x14ac:dyDescent="0.3">
      <c r="A2129" t="s">
        <v>30</v>
      </c>
      <c r="B2129">
        <v>2015</v>
      </c>
      <c r="C2129" t="s">
        <v>36</v>
      </c>
      <c r="D2129" t="s">
        <v>24</v>
      </c>
      <c r="E2129" t="e">
        <f>VLOOKUP(Cpi_[[#This Row],[Attribute]],#REF!,2,FALSE)</f>
        <v>#REF!</v>
      </c>
      <c r="F2129">
        <v>111.6</v>
      </c>
      <c r="G2129">
        <f>(Cpi_[[#This Row],[Value]]-F2128)/F2128</f>
        <v>-5.583756345177672E-2</v>
      </c>
      <c r="H2129" t="e" cm="1" vm="1">
        <f t="array" aca="1" ref="H2129" ca="1">VLOOKUP(Cpi_[[#This Row],[Year]:[Month]],crudeoil[],3,FALSE)</f>
        <v>#VALUE!</v>
      </c>
    </row>
    <row r="2130" spans="1:8" hidden="1" x14ac:dyDescent="0.3">
      <c r="A2130" t="s">
        <v>30</v>
      </c>
      <c r="B2130">
        <v>2015</v>
      </c>
      <c r="C2130" t="s">
        <v>36</v>
      </c>
      <c r="D2130" t="s">
        <v>25</v>
      </c>
      <c r="E2130" t="e">
        <f>VLOOKUP(Cpi_[[#This Row],[Attribute]],#REF!,2,FALSE)</f>
        <v>#REF!</v>
      </c>
      <c r="F2130">
        <v>115.5</v>
      </c>
      <c r="G2130">
        <f>(Cpi_[[#This Row],[Value]]-F2129)/F2129</f>
        <v>3.4946236559139837E-2</v>
      </c>
      <c r="H2130" t="e" cm="1" vm="1">
        <f t="array" aca="1" ref="H2130" ca="1">VLOOKUP(Cpi_[[#This Row],[Year]:[Month]],crudeoil[],3,FALSE)</f>
        <v>#VALUE!</v>
      </c>
    </row>
    <row r="2131" spans="1:8" hidden="1" x14ac:dyDescent="0.3">
      <c r="A2131" t="s">
        <v>30</v>
      </c>
      <c r="B2131">
        <v>2015</v>
      </c>
      <c r="C2131" t="s">
        <v>36</v>
      </c>
      <c r="D2131" t="s">
        <v>26</v>
      </c>
      <c r="E2131" t="e">
        <f>VLOOKUP(Cpi_[[#This Row],[Attribute]],#REF!,2,FALSE)</f>
        <v>#REF!</v>
      </c>
      <c r="F2131">
        <v>119.4</v>
      </c>
      <c r="G2131">
        <f>(Cpi_[[#This Row],[Value]]-F2130)/F2130</f>
        <v>3.3766233766233812E-2</v>
      </c>
      <c r="H2131" t="e" cm="1" vm="1">
        <f t="array" aca="1" ref="H2131" ca="1">VLOOKUP(Cpi_[[#This Row],[Year]:[Month]],crudeoil[],3,FALSE)</f>
        <v>#VALUE!</v>
      </c>
    </row>
    <row r="2132" spans="1:8" hidden="1" x14ac:dyDescent="0.3">
      <c r="A2132" t="s">
        <v>30</v>
      </c>
      <c r="B2132">
        <v>2015</v>
      </c>
      <c r="C2132" t="s">
        <v>36</v>
      </c>
      <c r="D2132" t="s">
        <v>27</v>
      </c>
      <c r="E2132" t="e">
        <f>VLOOKUP(Cpi_[[#This Row],[Attribute]],#REF!,2,FALSE)</f>
        <v>#REF!</v>
      </c>
      <c r="F2132">
        <v>110.8</v>
      </c>
      <c r="G2132">
        <f>(Cpi_[[#This Row],[Value]]-F2131)/F2131</f>
        <v>-7.2026800670016822E-2</v>
      </c>
      <c r="H2132" t="e" cm="1" vm="1">
        <f t="array" aca="1" ref="H2132" ca="1">VLOOKUP(Cpi_[[#This Row],[Year]:[Month]],crudeoil[],3,FALSE)</f>
        <v>#VALUE!</v>
      </c>
    </row>
    <row r="2133" spans="1:8" hidden="1" x14ac:dyDescent="0.3">
      <c r="A2133" t="s">
        <v>30</v>
      </c>
      <c r="B2133">
        <v>2015</v>
      </c>
      <c r="C2133" t="s">
        <v>36</v>
      </c>
      <c r="D2133" t="s">
        <v>28</v>
      </c>
      <c r="E2133" t="e">
        <f>VLOOKUP(Cpi_[[#This Row],[Attribute]],#REF!,2,FALSE)</f>
        <v>#REF!</v>
      </c>
      <c r="F2133">
        <v>115.5</v>
      </c>
      <c r="G2133">
        <f>(Cpi_[[#This Row],[Value]]-F2132)/F2132</f>
        <v>4.2418772563176922E-2</v>
      </c>
      <c r="H2133" t="e" cm="1" vm="1">
        <f t="array" aca="1" ref="H2133" ca="1">VLOOKUP(Cpi_[[#This Row],[Year]:[Month]],crudeoil[],3,FALSE)</f>
        <v>#VALUE!</v>
      </c>
    </row>
    <row r="2134" spans="1:8" hidden="1" x14ac:dyDescent="0.3">
      <c r="A2134" t="s">
        <v>30</v>
      </c>
      <c r="B2134">
        <v>2015</v>
      </c>
      <c r="C2134" t="s">
        <v>36</v>
      </c>
      <c r="D2134" t="s">
        <v>29</v>
      </c>
      <c r="E2134" t="e" cm="1">
        <f t="array" aca="1" ref="E2134" ca="1">VLGeneral indexGeneral indexKUP(Cpi_[[#This Row],[Attribute]],#REF!,2,FALSE)</f>
        <v>#NAME?</v>
      </c>
      <c r="F2134">
        <v>121.1</v>
      </c>
      <c r="G2134">
        <f>(Cpi_[[#This Row],[Value]]-F2133)/F2133</f>
        <v>4.8484848484848436E-2</v>
      </c>
      <c r="H2134" t="e" cm="1" vm="1">
        <f t="array" aca="1" ref="H2134" ca="1">VLOOKUP(Cpi_[[#This Row],[Year]:[Month]],crudeoil[],3,FALSE)</f>
        <v>#VALUE!</v>
      </c>
    </row>
    <row r="2135" spans="1:8" hidden="1" x14ac:dyDescent="0.3">
      <c r="A2135" t="s">
        <v>33</v>
      </c>
      <c r="B2135">
        <v>2015</v>
      </c>
      <c r="C2135" t="s">
        <v>36</v>
      </c>
      <c r="D2135" t="s">
        <v>3</v>
      </c>
      <c r="E2135" t="e">
        <f>VLOOKUP(Cpi_[[#This Row],[Attribute]],#REF!,2,FALSE)</f>
        <v>#REF!</v>
      </c>
      <c r="F2135">
        <v>124</v>
      </c>
      <c r="G2135">
        <f>(Cpi_[[#This Row],[Value]]-F2134)/F2134</f>
        <v>2.3947151114781219E-2</v>
      </c>
      <c r="H2135" t="e" cm="1" vm="1">
        <f t="array" aca="1" ref="H2135" ca="1">VLOOKUP(Cpi_[[#This Row],[Year]:[Month]],crudeoil[],3,FALSE)</f>
        <v>#VALUE!</v>
      </c>
    </row>
    <row r="2136" spans="1:8" hidden="1" x14ac:dyDescent="0.3">
      <c r="A2136" t="s">
        <v>33</v>
      </c>
      <c r="B2136">
        <v>2015</v>
      </c>
      <c r="C2136" t="s">
        <v>36</v>
      </c>
      <c r="D2136" t="s">
        <v>4</v>
      </c>
      <c r="E2136" t="e">
        <f>VLOOKUP(Cpi_[[#This Row],[Attribute]],#REF!,2,FALSE)</f>
        <v>#REF!</v>
      </c>
      <c r="F2136">
        <v>126.7</v>
      </c>
      <c r="G2136">
        <f>(Cpi_[[#This Row],[Value]]-F2135)/F2135</f>
        <v>2.1774193548387121E-2</v>
      </c>
      <c r="H2136" t="e" cm="1" vm="1">
        <f t="array" aca="1" ref="H2136" ca="1">VLOOKUP(Cpi_[[#This Row],[Year]:[Month]],crudeoil[],3,FALSE)</f>
        <v>#VALUE!</v>
      </c>
    </row>
    <row r="2137" spans="1:8" hidden="1" x14ac:dyDescent="0.3">
      <c r="A2137" t="s">
        <v>33</v>
      </c>
      <c r="B2137">
        <v>2015</v>
      </c>
      <c r="C2137" t="s">
        <v>36</v>
      </c>
      <c r="D2137" t="s">
        <v>5</v>
      </c>
      <c r="E2137" t="e">
        <f>VLOOKUP(Cpi_[[#This Row],[Attribute]],#REF!,2,FALSE)</f>
        <v>#REF!</v>
      </c>
      <c r="F2137">
        <v>113.5</v>
      </c>
      <c r="G2137">
        <f>(Cpi_[[#This Row],[Value]]-F2136)/F2136</f>
        <v>-0.10418310970797161</v>
      </c>
      <c r="H2137" t="e" cm="1" vm="1">
        <f t="array" aca="1" ref="H2137" ca="1">VLOOKUP(Cpi_[[#This Row],[Year]:[Month]],crudeoil[],3,FALSE)</f>
        <v>#VALUE!</v>
      </c>
    </row>
    <row r="2138" spans="1:8" hidden="1" x14ac:dyDescent="0.3">
      <c r="A2138" t="s">
        <v>33</v>
      </c>
      <c r="B2138">
        <v>2015</v>
      </c>
      <c r="C2138" t="s">
        <v>36</v>
      </c>
      <c r="D2138" t="s">
        <v>6</v>
      </c>
      <c r="E2138" t="e">
        <f>VLOOKUP(Cpi_[[#This Row],[Attribute]],#REF!,2,FALSE)</f>
        <v>#REF!</v>
      </c>
      <c r="F2138">
        <v>125.9</v>
      </c>
      <c r="G2138">
        <f>(Cpi_[[#This Row],[Value]]-F2137)/F2137</f>
        <v>0.10925110132158596</v>
      </c>
      <c r="H2138" t="e" cm="1" vm="1">
        <f t="array" aca="1" ref="H2138" ca="1">VLOOKUP(Cpi_[[#This Row],[Year]:[Month]],crudeoil[],3,FALSE)</f>
        <v>#VALUE!</v>
      </c>
    </row>
    <row r="2139" spans="1:8" hidden="1" x14ac:dyDescent="0.3">
      <c r="A2139" t="s">
        <v>33</v>
      </c>
      <c r="B2139">
        <v>2015</v>
      </c>
      <c r="C2139" t="s">
        <v>36</v>
      </c>
      <c r="D2139" t="s">
        <v>7</v>
      </c>
      <c r="E2139" t="e">
        <f>VLOOKUP(Cpi_[[#This Row],[Attribute]],#REF!,2,FALSE)</f>
        <v>#REF!</v>
      </c>
      <c r="F2139">
        <v>104.8</v>
      </c>
      <c r="G2139">
        <f>(Cpi_[[#This Row],[Value]]-F2138)/F2138</f>
        <v>-0.16759332803812554</v>
      </c>
      <c r="H2139" t="e" cm="1" vm="1">
        <f t="array" aca="1" ref="H2139" ca="1">VLOOKUP(Cpi_[[#This Row],[Year]:[Month]],crudeoil[],3,FALSE)</f>
        <v>#VALUE!</v>
      </c>
    </row>
    <row r="2140" spans="1:8" hidden="1" x14ac:dyDescent="0.3">
      <c r="A2140" t="s">
        <v>33</v>
      </c>
      <c r="B2140">
        <v>2015</v>
      </c>
      <c r="C2140" t="s">
        <v>36</v>
      </c>
      <c r="D2140" t="s">
        <v>8</v>
      </c>
      <c r="E2140" t="e">
        <f>VLOOKUP(Cpi_[[#This Row],[Attribute]],#REF!,2,FALSE)</f>
        <v>#REF!</v>
      </c>
      <c r="F2140">
        <v>123.8</v>
      </c>
      <c r="G2140">
        <f>(Cpi_[[#This Row],[Value]]-F2139)/F2139</f>
        <v>0.18129770992366412</v>
      </c>
      <c r="H2140" t="e" cm="1" vm="1">
        <f t="array" aca="1" ref="H2140" ca="1">VLOOKUP(Cpi_[[#This Row],[Year]:[Month]],crudeoil[],3,FALSE)</f>
        <v>#VALUE!</v>
      </c>
    </row>
    <row r="2141" spans="1:8" hidden="1" x14ac:dyDescent="0.3">
      <c r="A2141" t="s">
        <v>33</v>
      </c>
      <c r="B2141">
        <v>2015</v>
      </c>
      <c r="C2141" t="s">
        <v>36</v>
      </c>
      <c r="D2141" t="s">
        <v>9</v>
      </c>
      <c r="E2141" t="e">
        <f>VLOOKUP(Cpi_[[#This Row],[Attribute]],#REF!,2,FALSE)</f>
        <v>#REF!</v>
      </c>
      <c r="F2141">
        <v>131.4</v>
      </c>
      <c r="G2141">
        <f>(Cpi_[[#This Row],[Value]]-F2140)/F2140</f>
        <v>6.1389337641357095E-2</v>
      </c>
      <c r="H2141" t="e" cm="1" vm="1">
        <f t="array" aca="1" ref="H2141" ca="1">VLOOKUP(Cpi_[[#This Row],[Year]:[Month]],crudeoil[],3,FALSE)</f>
        <v>#VALUE!</v>
      </c>
    </row>
    <row r="2142" spans="1:8" hidden="1" x14ac:dyDescent="0.3">
      <c r="A2142" t="s">
        <v>33</v>
      </c>
      <c r="B2142">
        <v>2015</v>
      </c>
      <c r="C2142" t="s">
        <v>36</v>
      </c>
      <c r="D2142" t="s">
        <v>10</v>
      </c>
      <c r="E2142" t="e">
        <f>VLOOKUP(Cpi_[[#This Row],[Attribute]],#REF!,2,FALSE)</f>
        <v>#REF!</v>
      </c>
      <c r="F2142">
        <v>127.2</v>
      </c>
      <c r="G2142">
        <f>(Cpi_[[#This Row],[Value]]-F2141)/F2141</f>
        <v>-3.1963470319634722E-2</v>
      </c>
      <c r="H2142" t="e" cm="1" vm="1">
        <f t="array" aca="1" ref="H2142" ca="1">VLOOKUP(Cpi_[[#This Row],[Year]:[Month]],crudeoil[],3,FALSE)</f>
        <v>#VALUE!</v>
      </c>
    </row>
    <row r="2143" spans="1:8" hidden="1" x14ac:dyDescent="0.3">
      <c r="A2143" t="s">
        <v>33</v>
      </c>
      <c r="B2143">
        <v>2015</v>
      </c>
      <c r="C2143" t="s">
        <v>36</v>
      </c>
      <c r="D2143" t="s">
        <v>11</v>
      </c>
      <c r="E2143" t="e">
        <f>VLOOKUP(Cpi_[[#This Row],[Attribute]],#REF!,2,FALSE)</f>
        <v>#REF!</v>
      </c>
      <c r="F2143">
        <v>93.2</v>
      </c>
      <c r="G2143">
        <f>(Cpi_[[#This Row],[Value]]-F2142)/F2142</f>
        <v>-0.26729559748427673</v>
      </c>
      <c r="H2143" t="e" cm="1" vm="1">
        <f t="array" aca="1" ref="H2143" ca="1">VLOOKUP(Cpi_[[#This Row],[Year]:[Month]],crudeoil[],3,FALSE)</f>
        <v>#VALUE!</v>
      </c>
    </row>
    <row r="2144" spans="1:8" hidden="1" x14ac:dyDescent="0.3">
      <c r="A2144" t="s">
        <v>33</v>
      </c>
      <c r="B2144">
        <v>2015</v>
      </c>
      <c r="C2144" t="s">
        <v>36</v>
      </c>
      <c r="D2144" t="s">
        <v>12</v>
      </c>
      <c r="E2144" t="e">
        <f>VLOOKUP(Cpi_[[#This Row],[Attribute]],#REF!,2,FALSE)</f>
        <v>#REF!</v>
      </c>
      <c r="F2144">
        <v>127.4</v>
      </c>
      <c r="G2144">
        <f>(Cpi_[[#This Row],[Value]]-F2143)/F2143</f>
        <v>0.36695278969957085</v>
      </c>
      <c r="H2144" t="e" cm="1" vm="1">
        <f t="array" aca="1" ref="H2144" ca="1">VLOOKUP(Cpi_[[#This Row],[Year]:[Month]],crudeoil[],3,FALSE)</f>
        <v>#VALUE!</v>
      </c>
    </row>
    <row r="2145" spans="1:8" hidden="1" x14ac:dyDescent="0.3">
      <c r="A2145" t="s">
        <v>33</v>
      </c>
      <c r="B2145">
        <v>2015</v>
      </c>
      <c r="C2145" t="s">
        <v>36</v>
      </c>
      <c r="D2145" t="s">
        <v>13</v>
      </c>
      <c r="E2145" t="e">
        <f>VLOOKUP(Cpi_[[#This Row],[Attribute]],#REF!,2,FALSE)</f>
        <v>#REF!</v>
      </c>
      <c r="F2145">
        <v>117</v>
      </c>
      <c r="G2145">
        <f>(Cpi_[[#This Row],[Value]]-F2144)/F2144</f>
        <v>-8.1632653061224525E-2</v>
      </c>
      <c r="H2145" t="e" cm="1" vm="1">
        <f t="array" aca="1" ref="H2145" ca="1">VLOOKUP(Cpi_[[#This Row],[Year]:[Month]],crudeoil[],3,FALSE)</f>
        <v>#VALUE!</v>
      </c>
    </row>
    <row r="2146" spans="1:8" hidden="1" x14ac:dyDescent="0.3">
      <c r="A2146" t="s">
        <v>33</v>
      </c>
      <c r="B2146">
        <v>2015</v>
      </c>
      <c r="C2146" t="s">
        <v>36</v>
      </c>
      <c r="D2146" t="s">
        <v>14</v>
      </c>
      <c r="E2146" t="e">
        <f>VLOOKUP(Cpi_[[#This Row],[Attribute]],#REF!,2,FALSE)</f>
        <v>#REF!</v>
      </c>
      <c r="F2146">
        <v>129.19999999999999</v>
      </c>
      <c r="G2146">
        <f>(Cpi_[[#This Row],[Value]]-F2145)/F2145</f>
        <v>0.10427350427350418</v>
      </c>
      <c r="H2146" t="e" cm="1" vm="1">
        <f t="array" aca="1" ref="H2146" ca="1">VLOOKUP(Cpi_[[#This Row],[Year]:[Month]],crudeoil[],3,FALSE)</f>
        <v>#VALUE!</v>
      </c>
    </row>
    <row r="2147" spans="1:8" hidden="1" x14ac:dyDescent="0.3">
      <c r="A2147" t="s">
        <v>33</v>
      </c>
      <c r="B2147">
        <v>2015</v>
      </c>
      <c r="C2147" t="s">
        <v>36</v>
      </c>
      <c r="D2147" t="s">
        <v>15</v>
      </c>
      <c r="E2147" t="e">
        <f>VLOOKUP(Cpi_[[#This Row],[Attribute]],#REF!,2,FALSE)</f>
        <v>#REF!</v>
      </c>
      <c r="F2147">
        <v>123.9</v>
      </c>
      <c r="G2147">
        <f>(Cpi_[[#This Row],[Value]]-F2146)/F2146</f>
        <v>-4.1021671826625257E-2</v>
      </c>
      <c r="H2147" t="e" cm="1" vm="1">
        <f t="array" aca="1" ref="H2147" ca="1">VLOOKUP(Cpi_[[#This Row],[Year]:[Month]],crudeoil[],3,FALSE)</f>
        <v>#VALUE!</v>
      </c>
    </row>
    <row r="2148" spans="1:8" hidden="1" x14ac:dyDescent="0.3">
      <c r="A2148" t="s">
        <v>33</v>
      </c>
      <c r="B2148">
        <v>2015</v>
      </c>
      <c r="C2148" t="s">
        <v>36</v>
      </c>
      <c r="D2148" t="s">
        <v>16</v>
      </c>
      <c r="E2148" t="e">
        <f>VLOOKUP(Cpi_[[#This Row],[Attribute]],#REF!,2,FALSE)</f>
        <v>#REF!</v>
      </c>
      <c r="F2148">
        <v>128.80000000000001</v>
      </c>
      <c r="G2148">
        <f>(Cpi_[[#This Row],[Value]]-F2147)/F2147</f>
        <v>3.9548022598870101E-2</v>
      </c>
      <c r="H2148" t="e" cm="1" vm="1">
        <f t="array" aca="1" ref="H2148" ca="1">VLOOKUP(Cpi_[[#This Row],[Year]:[Month]],crudeoil[],3,FALSE)</f>
        <v>#VALUE!</v>
      </c>
    </row>
    <row r="2149" spans="1:8" hidden="1" x14ac:dyDescent="0.3">
      <c r="A2149" t="s">
        <v>33</v>
      </c>
      <c r="B2149">
        <v>2015</v>
      </c>
      <c r="C2149" t="s">
        <v>36</v>
      </c>
      <c r="D2149" t="s">
        <v>17</v>
      </c>
      <c r="E2149" t="e">
        <f>VLOOKUP(Cpi_[[#This Row],[Attribute]],#REF!,2,FALSE)</f>
        <v>#REF!</v>
      </c>
      <c r="F2149">
        <v>121.7</v>
      </c>
      <c r="G2149">
        <f>(Cpi_[[#This Row],[Value]]-F2148)/F2148</f>
        <v>-5.5124223602484534E-2</v>
      </c>
      <c r="H2149" t="e" cm="1" vm="1">
        <f t="array" aca="1" ref="H2149" ca="1">VLOOKUP(Cpi_[[#This Row],[Year]:[Month]],crudeoil[],3,FALSE)</f>
        <v>#VALUE!</v>
      </c>
    </row>
    <row r="2150" spans="1:8" hidden="1" x14ac:dyDescent="0.3">
      <c r="A2150" t="s">
        <v>33</v>
      </c>
      <c r="B2150">
        <v>2015</v>
      </c>
      <c r="C2150" t="s">
        <v>36</v>
      </c>
      <c r="D2150" t="s">
        <v>18</v>
      </c>
      <c r="E2150" t="e">
        <f>VLOOKUP(Cpi_[[#This Row],[Attribute]],#REF!,2,FALSE)</f>
        <v>#REF!</v>
      </c>
      <c r="F2150">
        <v>116.9</v>
      </c>
      <c r="G2150">
        <f>(Cpi_[[#This Row],[Value]]-F2149)/F2149</f>
        <v>-3.9441248972884119E-2</v>
      </c>
      <c r="H2150" t="e" cm="1" vm="1">
        <f t="array" aca="1" ref="H2150" ca="1">VLOOKUP(Cpi_[[#This Row],[Year]:[Month]],crudeoil[],3,FALSE)</f>
        <v>#VALUE!</v>
      </c>
    </row>
    <row r="2151" spans="1:8" hidden="1" x14ac:dyDescent="0.3">
      <c r="A2151" t="s">
        <v>33</v>
      </c>
      <c r="B2151">
        <v>2015</v>
      </c>
      <c r="C2151" t="s">
        <v>36</v>
      </c>
      <c r="D2151" t="s">
        <v>19</v>
      </c>
      <c r="E2151" t="e">
        <f>VLOOKUP(Cpi_[[#This Row],[Attribute]],#REF!,2,FALSE)</f>
        <v>#REF!</v>
      </c>
      <c r="F2151">
        <v>120.9</v>
      </c>
      <c r="G2151">
        <f>(Cpi_[[#This Row],[Value]]-F2150)/F2150</f>
        <v>3.4217279726261762E-2</v>
      </c>
      <c r="H2151" t="e" cm="1" vm="1">
        <f t="array" aca="1" ref="H2151" ca="1">VLOOKUP(Cpi_[[#This Row],[Year]:[Month]],crudeoil[],3,FALSE)</f>
        <v>#VALUE!</v>
      </c>
    </row>
    <row r="2152" spans="1:8" hidden="1" x14ac:dyDescent="0.3">
      <c r="A2152" t="s">
        <v>33</v>
      </c>
      <c r="B2152">
        <v>2015</v>
      </c>
      <c r="C2152" t="s">
        <v>36</v>
      </c>
      <c r="D2152" t="s">
        <v>20</v>
      </c>
      <c r="E2152" t="e">
        <f>VLOOKUP(Cpi_[[#This Row],[Attribute]],#REF!,2,FALSE)</f>
        <v>#REF!</v>
      </c>
      <c r="F2152">
        <v>118.6</v>
      </c>
      <c r="G2152">
        <f>(Cpi_[[#This Row],[Value]]-F2151)/F2151</f>
        <v>-1.9023986765922343E-2</v>
      </c>
      <c r="H2152" t="e" cm="1" vm="1">
        <f t="array" aca="1" ref="H2152" ca="1">VLOOKUP(Cpi_[[#This Row],[Year]:[Month]],crudeoil[],3,FALSE)</f>
        <v>#VALUE!</v>
      </c>
    </row>
    <row r="2153" spans="1:8" hidden="1" x14ac:dyDescent="0.3">
      <c r="A2153" t="s">
        <v>33</v>
      </c>
      <c r="B2153">
        <v>2015</v>
      </c>
      <c r="C2153" t="s">
        <v>36</v>
      </c>
      <c r="D2153" t="s">
        <v>21</v>
      </c>
      <c r="E2153" t="e">
        <f>VLOOKUP(Cpi_[[#This Row],[Attribute]],#REF!,2,FALSE)</f>
        <v>#REF!</v>
      </c>
      <c r="F2153">
        <v>114.4</v>
      </c>
      <c r="G2153">
        <f>(Cpi_[[#This Row],[Value]]-F2152)/F2152</f>
        <v>-3.541315345699822E-2</v>
      </c>
      <c r="H2153" t="e" cm="1" vm="1">
        <f t="array" aca="1" ref="H2153" ca="1">VLOOKUP(Cpi_[[#This Row],[Year]:[Month]],crudeoil[],3,FALSE)</f>
        <v>#VALUE!</v>
      </c>
    </row>
    <row r="2154" spans="1:8" hidden="1" x14ac:dyDescent="0.3">
      <c r="A2154" t="s">
        <v>33</v>
      </c>
      <c r="B2154">
        <v>2015</v>
      </c>
      <c r="C2154" t="s">
        <v>36</v>
      </c>
      <c r="D2154" t="s">
        <v>22</v>
      </c>
      <c r="E2154" t="e">
        <f>VLOOKUP(Cpi_[[#This Row],[Attribute]],#REF!,2,FALSE)</f>
        <v>#REF!</v>
      </c>
      <c r="F2154">
        <v>118</v>
      </c>
      <c r="G2154">
        <f>(Cpi_[[#This Row],[Value]]-F2153)/F2153</f>
        <v>3.1468531468531416E-2</v>
      </c>
      <c r="H2154" t="e" cm="1" vm="1">
        <f t="array" aca="1" ref="H2154" ca="1">VLOOKUP(Cpi_[[#This Row],[Year]:[Month]],crudeoil[],3,FALSE)</f>
        <v>#VALUE!</v>
      </c>
    </row>
    <row r="2155" spans="1:8" hidden="1" x14ac:dyDescent="0.3">
      <c r="A2155" t="s">
        <v>33</v>
      </c>
      <c r="B2155">
        <v>2015</v>
      </c>
      <c r="C2155" t="s">
        <v>36</v>
      </c>
      <c r="D2155" t="s">
        <v>23</v>
      </c>
      <c r="E2155" t="e">
        <f>VLOOKUP(Cpi_[[#This Row],[Attribute]],#REF!,2,FALSE)</f>
        <v>#REF!</v>
      </c>
      <c r="F2155">
        <v>114.3</v>
      </c>
      <c r="G2155">
        <f>(Cpi_[[#This Row],[Value]]-F2154)/F2154</f>
        <v>-3.1355932203389857E-2</v>
      </c>
      <c r="H2155" t="e" cm="1" vm="1">
        <f t="array" aca="1" ref="H2155" ca="1">VLOOKUP(Cpi_[[#This Row],[Year]:[Month]],crudeoil[],3,FALSE)</f>
        <v>#VALUE!</v>
      </c>
    </row>
    <row r="2156" spans="1:8" hidden="1" x14ac:dyDescent="0.3">
      <c r="A2156" t="s">
        <v>33</v>
      </c>
      <c r="B2156">
        <v>2015</v>
      </c>
      <c r="C2156" t="s">
        <v>36</v>
      </c>
      <c r="D2156" t="s">
        <v>24</v>
      </c>
      <c r="E2156" t="e">
        <f>VLOOKUP(Cpi_[[#This Row],[Attribute]],#REF!,2,FALSE)</f>
        <v>#REF!</v>
      </c>
      <c r="F2156">
        <v>108.4</v>
      </c>
      <c r="G2156">
        <f>(Cpi_[[#This Row],[Value]]-F2155)/F2155</f>
        <v>-5.1618547681539735E-2</v>
      </c>
      <c r="H2156" t="e" cm="1" vm="1">
        <f t="array" aca="1" ref="H2156" ca="1">VLOOKUP(Cpi_[[#This Row],[Year]:[Month]],crudeoil[],3,FALSE)</f>
        <v>#VALUE!</v>
      </c>
    </row>
    <row r="2157" spans="1:8" hidden="1" x14ac:dyDescent="0.3">
      <c r="A2157" t="s">
        <v>33</v>
      </c>
      <c r="B2157">
        <v>2015</v>
      </c>
      <c r="C2157" t="s">
        <v>36</v>
      </c>
      <c r="D2157" t="s">
        <v>25</v>
      </c>
      <c r="E2157" t="e">
        <f>VLOOKUP(Cpi_[[#This Row],[Attribute]],#REF!,2,FALSE)</f>
        <v>#REF!</v>
      </c>
      <c r="F2157">
        <v>115.4</v>
      </c>
      <c r="G2157">
        <f>(Cpi_[[#This Row],[Value]]-F2156)/F2156</f>
        <v>6.4575645756457564E-2</v>
      </c>
      <c r="H2157" t="e" cm="1" vm="1">
        <f t="array" aca="1" ref="H2157" ca="1">VLOOKUP(Cpi_[[#This Row],[Year]:[Month]],crudeoil[],3,FALSE)</f>
        <v>#VALUE!</v>
      </c>
    </row>
    <row r="2158" spans="1:8" hidden="1" x14ac:dyDescent="0.3">
      <c r="A2158" t="s">
        <v>33</v>
      </c>
      <c r="B2158">
        <v>2015</v>
      </c>
      <c r="C2158" t="s">
        <v>36</v>
      </c>
      <c r="D2158" t="s">
        <v>26</v>
      </c>
      <c r="E2158" t="e">
        <f>VLOOKUP(Cpi_[[#This Row],[Attribute]],#REF!,2,FALSE)</f>
        <v>#REF!</v>
      </c>
      <c r="F2158">
        <v>120.6</v>
      </c>
      <c r="G2158">
        <f>(Cpi_[[#This Row],[Value]]-F2157)/F2157</f>
        <v>4.506065857885605E-2</v>
      </c>
      <c r="H2158" t="e" cm="1" vm="1">
        <f t="array" aca="1" ref="H2158" ca="1">VLOOKUP(Cpi_[[#This Row],[Year]:[Month]],crudeoil[],3,FALSE)</f>
        <v>#VALUE!</v>
      </c>
    </row>
    <row r="2159" spans="1:8" hidden="1" x14ac:dyDescent="0.3">
      <c r="A2159" t="s">
        <v>33</v>
      </c>
      <c r="B2159">
        <v>2015</v>
      </c>
      <c r="C2159" t="s">
        <v>36</v>
      </c>
      <c r="D2159" t="s">
        <v>27</v>
      </c>
      <c r="E2159" t="e">
        <f>VLOOKUP(Cpi_[[#This Row],[Attribute]],#REF!,2,FALSE)</f>
        <v>#REF!</v>
      </c>
      <c r="F2159">
        <v>111.3</v>
      </c>
      <c r="G2159">
        <f>(Cpi_[[#This Row],[Value]]-F2158)/F2158</f>
        <v>-7.7114427860696499E-2</v>
      </c>
      <c r="H2159" t="e" cm="1" vm="1">
        <f t="array" aca="1" ref="H2159" ca="1">VLOOKUP(Cpi_[[#This Row],[Year]:[Month]],crudeoil[],3,FALSE)</f>
        <v>#VALUE!</v>
      </c>
    </row>
    <row r="2160" spans="1:8" hidden="1" x14ac:dyDescent="0.3">
      <c r="A2160" t="s">
        <v>33</v>
      </c>
      <c r="B2160">
        <v>2015</v>
      </c>
      <c r="C2160" t="s">
        <v>36</v>
      </c>
      <c r="D2160" t="s">
        <v>28</v>
      </c>
      <c r="E2160" t="e">
        <f>VLOOKUP(Cpi_[[#This Row],[Attribute]],#REF!,2,FALSE)</f>
        <v>#REF!</v>
      </c>
      <c r="F2160">
        <v>113.8</v>
      </c>
      <c r="G2160">
        <f>(Cpi_[[#This Row],[Value]]-F2159)/F2159</f>
        <v>2.2461814914645103E-2</v>
      </c>
      <c r="H2160" t="e" cm="1" vm="1">
        <f t="array" aca="1" ref="H2160" ca="1">VLOOKUP(Cpi_[[#This Row],[Year]:[Month]],crudeoil[],3,FALSE)</f>
        <v>#VALUE!</v>
      </c>
    </row>
    <row r="2161" spans="1:8" hidden="1" x14ac:dyDescent="0.3">
      <c r="A2161" t="s">
        <v>33</v>
      </c>
      <c r="B2161">
        <v>2015</v>
      </c>
      <c r="C2161" t="s">
        <v>36</v>
      </c>
      <c r="D2161" t="s">
        <v>29</v>
      </c>
      <c r="E2161" t="e" cm="1">
        <f t="array" aca="1" ref="E2161" ca="1">VLGeneral indexGeneral indexKUP(Cpi_[[#This Row],[Attribute]],#REF!,2,FALSE)</f>
        <v>#NAME?</v>
      </c>
      <c r="F2161">
        <v>119.1</v>
      </c>
      <c r="G2161">
        <f>(Cpi_[[#This Row],[Value]]-F2160)/F2160</f>
        <v>4.6572934973637937E-2</v>
      </c>
      <c r="H2161" t="e" cm="1" vm="1">
        <f t="array" aca="1" ref="H2161" ca="1">VLOOKUP(Cpi_[[#This Row],[Year]:[Month]],crudeoil[],3,FALSE)</f>
        <v>#VALUE!</v>
      </c>
    </row>
    <row r="2162" spans="1:8" hidden="1" x14ac:dyDescent="0.3">
      <c r="A2162" t="s">
        <v>34</v>
      </c>
      <c r="B2162">
        <v>2015</v>
      </c>
      <c r="C2162" t="s">
        <v>36</v>
      </c>
      <c r="D2162" t="s">
        <v>3</v>
      </c>
      <c r="E2162" t="e">
        <f>VLOOKUP(Cpi_[[#This Row],[Attribute]],#REF!,2,FALSE)</f>
        <v>#REF!</v>
      </c>
      <c r="F2162">
        <v>123.5</v>
      </c>
      <c r="G2162">
        <f>(Cpi_[[#This Row],[Value]]-F2161)/F2161</f>
        <v>3.6943744752309035E-2</v>
      </c>
      <c r="H2162" t="e" cm="1" vm="1">
        <f t="array" aca="1" ref="H2162" ca="1">VLOOKUP(Cpi_[[#This Row],[Year]:[Month]],crudeoil[],3,FALSE)</f>
        <v>#VALUE!</v>
      </c>
    </row>
    <row r="2163" spans="1:8" hidden="1" x14ac:dyDescent="0.3">
      <c r="A2163" t="s">
        <v>34</v>
      </c>
      <c r="B2163">
        <v>2015</v>
      </c>
      <c r="C2163" t="s">
        <v>36</v>
      </c>
      <c r="D2163" t="s">
        <v>4</v>
      </c>
      <c r="E2163" t="e">
        <f>VLOOKUP(Cpi_[[#This Row],[Attribute]],#REF!,2,FALSE)</f>
        <v>#REF!</v>
      </c>
      <c r="F2163">
        <v>125.4</v>
      </c>
      <c r="G2163">
        <f>(Cpi_[[#This Row],[Value]]-F2162)/F2162</f>
        <v>1.5384615384615431E-2</v>
      </c>
      <c r="H2163" t="e" cm="1" vm="1">
        <f t="array" aca="1" ref="H2163" ca="1">VLOOKUP(Cpi_[[#This Row],[Year]:[Month]],crudeoil[],3,FALSE)</f>
        <v>#VALUE!</v>
      </c>
    </row>
    <row r="2164" spans="1:8" hidden="1" x14ac:dyDescent="0.3">
      <c r="A2164" t="s">
        <v>34</v>
      </c>
      <c r="B2164">
        <v>2015</v>
      </c>
      <c r="C2164" t="s">
        <v>36</v>
      </c>
      <c r="D2164" t="s">
        <v>5</v>
      </c>
      <c r="E2164" t="e">
        <f>VLOOKUP(Cpi_[[#This Row],[Attribute]],#REF!,2,FALSE)</f>
        <v>#REF!</v>
      </c>
      <c r="F2164">
        <v>116.8</v>
      </c>
      <c r="G2164">
        <f>(Cpi_[[#This Row],[Value]]-F2163)/F2163</f>
        <v>-6.8580542264752853E-2</v>
      </c>
      <c r="H2164" t="e" cm="1" vm="1">
        <f t="array" aca="1" ref="H2164" ca="1">VLOOKUP(Cpi_[[#This Row],[Year]:[Month]],crudeoil[],3,FALSE)</f>
        <v>#VALUE!</v>
      </c>
    </row>
    <row r="2165" spans="1:8" hidden="1" x14ac:dyDescent="0.3">
      <c r="A2165" t="s">
        <v>34</v>
      </c>
      <c r="B2165">
        <v>2015</v>
      </c>
      <c r="C2165" t="s">
        <v>36</v>
      </c>
      <c r="D2165" t="s">
        <v>6</v>
      </c>
      <c r="E2165" t="e">
        <f>VLOOKUP(Cpi_[[#This Row],[Attribute]],#REF!,2,FALSE)</f>
        <v>#REF!</v>
      </c>
      <c r="F2165">
        <v>126</v>
      </c>
      <c r="G2165">
        <f>(Cpi_[[#This Row],[Value]]-F2164)/F2164</f>
        <v>7.8767123287671256E-2</v>
      </c>
      <c r="H2165" t="e" cm="1" vm="1">
        <f t="array" aca="1" ref="H2165" ca="1">VLOOKUP(Cpi_[[#This Row],[Year]:[Month]],crudeoil[],3,FALSE)</f>
        <v>#VALUE!</v>
      </c>
    </row>
    <row r="2166" spans="1:8" hidden="1" x14ac:dyDescent="0.3">
      <c r="A2166" t="s">
        <v>34</v>
      </c>
      <c r="B2166">
        <v>2015</v>
      </c>
      <c r="C2166" t="s">
        <v>36</v>
      </c>
      <c r="D2166" t="s">
        <v>7</v>
      </c>
      <c r="E2166" t="e">
        <f>VLOOKUP(Cpi_[[#This Row],[Attribute]],#REF!,2,FALSE)</f>
        <v>#REF!</v>
      </c>
      <c r="F2166">
        <v>109.2</v>
      </c>
      <c r="G2166">
        <f>(Cpi_[[#This Row],[Value]]-F2165)/F2165</f>
        <v>-0.1333333333333333</v>
      </c>
      <c r="H2166" t="e" cm="1" vm="1">
        <f t="array" aca="1" ref="H2166" ca="1">VLOOKUP(Cpi_[[#This Row],[Year]:[Month]],crudeoil[],3,FALSE)</f>
        <v>#VALUE!</v>
      </c>
    </row>
    <row r="2167" spans="1:8" hidden="1" x14ac:dyDescent="0.3">
      <c r="A2167" t="s">
        <v>34</v>
      </c>
      <c r="B2167">
        <v>2015</v>
      </c>
      <c r="C2167" t="s">
        <v>36</v>
      </c>
      <c r="D2167" t="s">
        <v>8</v>
      </c>
      <c r="E2167" t="e">
        <f>VLOOKUP(Cpi_[[#This Row],[Attribute]],#REF!,2,FALSE)</f>
        <v>#REF!</v>
      </c>
      <c r="F2167">
        <v>127.6</v>
      </c>
      <c r="G2167">
        <f>(Cpi_[[#This Row],[Value]]-F2166)/F2166</f>
        <v>0.16849816849816843</v>
      </c>
      <c r="H2167" t="e" cm="1" vm="1">
        <f t="array" aca="1" ref="H2167" ca="1">VLOOKUP(Cpi_[[#This Row],[Year]:[Month]],crudeoil[],3,FALSE)</f>
        <v>#VALUE!</v>
      </c>
    </row>
    <row r="2168" spans="1:8" hidden="1" x14ac:dyDescent="0.3">
      <c r="A2168" t="s">
        <v>34</v>
      </c>
      <c r="B2168">
        <v>2015</v>
      </c>
      <c r="C2168" t="s">
        <v>36</v>
      </c>
      <c r="D2168" t="s">
        <v>9</v>
      </c>
      <c r="E2168" t="e">
        <f>VLOOKUP(Cpi_[[#This Row],[Attribute]],#REF!,2,FALSE)</f>
        <v>#REF!</v>
      </c>
      <c r="F2168">
        <v>129.19999999999999</v>
      </c>
      <c r="G2168">
        <f>(Cpi_[[#This Row],[Value]]-F2167)/F2167</f>
        <v>1.2539184952978013E-2</v>
      </c>
      <c r="H2168" t="e" cm="1" vm="1">
        <f t="array" aca="1" ref="H2168" ca="1">VLOOKUP(Cpi_[[#This Row],[Year]:[Month]],crudeoil[],3,FALSE)</f>
        <v>#VALUE!</v>
      </c>
    </row>
    <row r="2169" spans="1:8" hidden="1" x14ac:dyDescent="0.3">
      <c r="A2169" t="s">
        <v>34</v>
      </c>
      <c r="B2169">
        <v>2015</v>
      </c>
      <c r="C2169" t="s">
        <v>36</v>
      </c>
      <c r="D2169" t="s">
        <v>10</v>
      </c>
      <c r="E2169" t="e">
        <f>VLOOKUP(Cpi_[[#This Row],[Attribute]],#REF!,2,FALSE)</f>
        <v>#REF!</v>
      </c>
      <c r="F2169">
        <v>122.4</v>
      </c>
      <c r="G2169">
        <f>(Cpi_[[#This Row],[Value]]-F2168)/F2168</f>
        <v>-5.2631578947368293E-2</v>
      </c>
      <c r="H2169" t="e" cm="1" vm="1">
        <f t="array" aca="1" ref="H2169" ca="1">VLOOKUP(Cpi_[[#This Row],[Year]:[Month]],crudeoil[],3,FALSE)</f>
        <v>#VALUE!</v>
      </c>
    </row>
    <row r="2170" spans="1:8" hidden="1" x14ac:dyDescent="0.3">
      <c r="A2170" t="s">
        <v>34</v>
      </c>
      <c r="B2170">
        <v>2015</v>
      </c>
      <c r="C2170" t="s">
        <v>36</v>
      </c>
      <c r="D2170" t="s">
        <v>11</v>
      </c>
      <c r="E2170" t="e">
        <f>VLOOKUP(Cpi_[[#This Row],[Attribute]],#REF!,2,FALSE)</f>
        <v>#REF!</v>
      </c>
      <c r="F2170">
        <v>97</v>
      </c>
      <c r="G2170">
        <f>(Cpi_[[#This Row],[Value]]-F2169)/F2169</f>
        <v>-0.20751633986928109</v>
      </c>
      <c r="H2170" t="e" cm="1" vm="1">
        <f t="array" aca="1" ref="H2170" ca="1">VLOOKUP(Cpi_[[#This Row],[Year]:[Month]],crudeoil[],3,FALSE)</f>
        <v>#VALUE!</v>
      </c>
    </row>
    <row r="2171" spans="1:8" hidden="1" x14ac:dyDescent="0.3">
      <c r="A2171" t="s">
        <v>34</v>
      </c>
      <c r="B2171">
        <v>2015</v>
      </c>
      <c r="C2171" t="s">
        <v>36</v>
      </c>
      <c r="D2171" t="s">
        <v>12</v>
      </c>
      <c r="E2171" t="e">
        <f>VLOOKUP(Cpi_[[#This Row],[Attribute]],#REF!,2,FALSE)</f>
        <v>#REF!</v>
      </c>
      <c r="F2171">
        <v>122.1</v>
      </c>
      <c r="G2171">
        <f>(Cpi_[[#This Row],[Value]]-F2170)/F2170</f>
        <v>0.25876288659793811</v>
      </c>
      <c r="H2171" t="e" cm="1" vm="1">
        <f t="array" aca="1" ref="H2171" ca="1">VLOOKUP(Cpi_[[#This Row],[Year]:[Month]],crudeoil[],3,FALSE)</f>
        <v>#VALUE!</v>
      </c>
    </row>
    <row r="2172" spans="1:8" hidden="1" x14ac:dyDescent="0.3">
      <c r="A2172" t="s">
        <v>34</v>
      </c>
      <c r="B2172">
        <v>2015</v>
      </c>
      <c r="C2172" t="s">
        <v>36</v>
      </c>
      <c r="D2172" t="s">
        <v>13</v>
      </c>
      <c r="E2172" t="e">
        <f>VLOOKUP(Cpi_[[#This Row],[Attribute]],#REF!,2,FALSE)</f>
        <v>#REF!</v>
      </c>
      <c r="F2172">
        <v>118.1</v>
      </c>
      <c r="G2172">
        <f>(Cpi_[[#This Row],[Value]]-F2171)/F2171</f>
        <v>-3.276003276003276E-2</v>
      </c>
      <c r="H2172" t="e" cm="1" vm="1">
        <f t="array" aca="1" ref="H2172" ca="1">VLOOKUP(Cpi_[[#This Row],[Year]:[Month]],crudeoil[],3,FALSE)</f>
        <v>#VALUE!</v>
      </c>
    </row>
    <row r="2173" spans="1:8" hidden="1" x14ac:dyDescent="0.3">
      <c r="A2173" t="s">
        <v>34</v>
      </c>
      <c r="B2173">
        <v>2015</v>
      </c>
      <c r="C2173" t="s">
        <v>36</v>
      </c>
      <c r="D2173" t="s">
        <v>14</v>
      </c>
      <c r="E2173" t="e">
        <f>VLOOKUP(Cpi_[[#This Row],[Attribute]],#REF!,2,FALSE)</f>
        <v>#REF!</v>
      </c>
      <c r="F2173">
        <v>128.4</v>
      </c>
      <c r="G2173">
        <f>(Cpi_[[#This Row],[Value]]-F2172)/F2172</f>
        <v>8.7214225232853618E-2</v>
      </c>
      <c r="H2173" t="e" cm="1" vm="1">
        <f t="array" aca="1" ref="H2173" ca="1">VLOOKUP(Cpi_[[#This Row],[Year]:[Month]],crudeoil[],3,FALSE)</f>
        <v>#VALUE!</v>
      </c>
    </row>
    <row r="2174" spans="1:8" hidden="1" x14ac:dyDescent="0.3">
      <c r="A2174" t="s">
        <v>34</v>
      </c>
      <c r="B2174">
        <v>2015</v>
      </c>
      <c r="C2174" t="s">
        <v>36</v>
      </c>
      <c r="D2174" t="s">
        <v>15</v>
      </c>
      <c r="E2174" t="e">
        <f>VLOOKUP(Cpi_[[#This Row],[Attribute]],#REF!,2,FALSE)</f>
        <v>#REF!</v>
      </c>
      <c r="F2174">
        <v>123.4</v>
      </c>
      <c r="G2174">
        <f>(Cpi_[[#This Row],[Value]]-F2173)/F2173</f>
        <v>-3.8940809968847349E-2</v>
      </c>
      <c r="H2174" t="e" cm="1" vm="1">
        <f t="array" aca="1" ref="H2174" ca="1">VLOOKUP(Cpi_[[#This Row],[Year]:[Month]],crudeoil[],3,FALSE)</f>
        <v>#VALUE!</v>
      </c>
    </row>
    <row r="2175" spans="1:8" hidden="1" x14ac:dyDescent="0.3">
      <c r="A2175" t="s">
        <v>34</v>
      </c>
      <c r="B2175">
        <v>2015</v>
      </c>
      <c r="C2175" t="s">
        <v>36</v>
      </c>
      <c r="D2175" t="s">
        <v>16</v>
      </c>
      <c r="E2175" t="e">
        <f>VLOOKUP(Cpi_[[#This Row],[Attribute]],#REF!,2,FALSE)</f>
        <v>#REF!</v>
      </c>
      <c r="F2175">
        <v>125.8</v>
      </c>
      <c r="G2175">
        <f>(Cpi_[[#This Row],[Value]]-F2174)/F2174</f>
        <v>1.9448946515397011E-2</v>
      </c>
      <c r="H2175" t="e" cm="1" vm="1">
        <f t="array" aca="1" ref="H2175" ca="1">VLOOKUP(Cpi_[[#This Row],[Year]:[Month]],crudeoil[],3,FALSE)</f>
        <v>#VALUE!</v>
      </c>
    </row>
    <row r="2176" spans="1:8" hidden="1" x14ac:dyDescent="0.3">
      <c r="A2176" t="s">
        <v>34</v>
      </c>
      <c r="B2176">
        <v>2015</v>
      </c>
      <c r="C2176" t="s">
        <v>36</v>
      </c>
      <c r="D2176" t="s">
        <v>17</v>
      </c>
      <c r="E2176" t="e">
        <f>VLOOKUP(Cpi_[[#This Row],[Attribute]],#REF!,2,FALSE)</f>
        <v>#REF!</v>
      </c>
      <c r="F2176">
        <v>124.3</v>
      </c>
      <c r="G2176">
        <f>(Cpi_[[#This Row],[Value]]-F2175)/F2175</f>
        <v>-1.192368839427663E-2</v>
      </c>
      <c r="H2176" t="e" cm="1" vm="1">
        <f t="array" aca="1" ref="H2176" ca="1">VLOOKUP(Cpi_[[#This Row],[Year]:[Month]],crudeoil[],3,FALSE)</f>
        <v>#VALUE!</v>
      </c>
    </row>
    <row r="2177" spans="1:8" hidden="1" x14ac:dyDescent="0.3">
      <c r="A2177" t="s">
        <v>34</v>
      </c>
      <c r="B2177">
        <v>2015</v>
      </c>
      <c r="C2177" t="s">
        <v>36</v>
      </c>
      <c r="D2177" t="s">
        <v>18</v>
      </c>
      <c r="E2177" t="e">
        <f>VLOOKUP(Cpi_[[#This Row],[Attribute]],#REF!,2,FALSE)</f>
        <v>#REF!</v>
      </c>
      <c r="F2177">
        <v>120.4</v>
      </c>
      <c r="G2177">
        <f>(Cpi_[[#This Row],[Value]]-F2176)/F2176</f>
        <v>-3.1375703942075554E-2</v>
      </c>
      <c r="H2177" t="e" cm="1" vm="1">
        <f t="array" aca="1" ref="H2177" ca="1">VLOOKUP(Cpi_[[#This Row],[Year]:[Month]],crudeoil[],3,FALSE)</f>
        <v>#VALUE!</v>
      </c>
    </row>
    <row r="2178" spans="1:8" hidden="1" x14ac:dyDescent="0.3">
      <c r="A2178" t="s">
        <v>34</v>
      </c>
      <c r="B2178">
        <v>2015</v>
      </c>
      <c r="C2178" t="s">
        <v>36</v>
      </c>
      <c r="D2178" t="s">
        <v>19</v>
      </c>
      <c r="E2178" t="e">
        <f>VLOOKUP(Cpi_[[#This Row],[Attribute]],#REF!,2,FALSE)</f>
        <v>#REF!</v>
      </c>
      <c r="F2178">
        <v>123.7</v>
      </c>
      <c r="G2178">
        <f>(Cpi_[[#This Row],[Value]]-F2177)/F2177</f>
        <v>2.7408637873754128E-2</v>
      </c>
      <c r="H2178" t="e" cm="1" vm="1">
        <f t="array" aca="1" ref="H2178" ca="1">VLOOKUP(Cpi_[[#This Row],[Year]:[Month]],crudeoil[],3,FALSE)</f>
        <v>#VALUE!</v>
      </c>
    </row>
    <row r="2179" spans="1:8" hidden="1" x14ac:dyDescent="0.3">
      <c r="A2179" t="s">
        <v>34</v>
      </c>
      <c r="B2179">
        <v>2015</v>
      </c>
      <c r="C2179" t="s">
        <v>36</v>
      </c>
      <c r="D2179" t="s">
        <v>20</v>
      </c>
      <c r="E2179" t="e">
        <f>VLOOKUP(Cpi_[[#This Row],[Attribute]],#REF!,2,FALSE)</f>
        <v>#REF!</v>
      </c>
      <c r="F2179">
        <v>118.6</v>
      </c>
      <c r="G2179">
        <f>(Cpi_[[#This Row],[Value]]-F2178)/F2178</f>
        <v>-4.1228779304769675E-2</v>
      </c>
      <c r="H2179" t="e" cm="1" vm="1">
        <f t="array" aca="1" ref="H2179" ca="1">VLOOKUP(Cpi_[[#This Row],[Year]:[Month]],crudeoil[],3,FALSE)</f>
        <v>#VALUE!</v>
      </c>
    </row>
    <row r="2180" spans="1:8" hidden="1" x14ac:dyDescent="0.3">
      <c r="A2180" t="s">
        <v>34</v>
      </c>
      <c r="B2180">
        <v>2015</v>
      </c>
      <c r="C2180" t="s">
        <v>36</v>
      </c>
      <c r="D2180" t="s">
        <v>21</v>
      </c>
      <c r="E2180" t="e">
        <f>VLOOKUP(Cpi_[[#This Row],[Attribute]],#REF!,2,FALSE)</f>
        <v>#REF!</v>
      </c>
      <c r="F2180">
        <v>118.3</v>
      </c>
      <c r="G2180">
        <f>(Cpi_[[#This Row],[Value]]-F2179)/F2179</f>
        <v>-2.5295109612141413E-3</v>
      </c>
      <c r="H2180" t="e" cm="1" vm="1">
        <f t="array" aca="1" ref="H2180" ca="1">VLOOKUP(Cpi_[[#This Row],[Year]:[Month]],crudeoil[],3,FALSE)</f>
        <v>#VALUE!</v>
      </c>
    </row>
    <row r="2181" spans="1:8" hidden="1" x14ac:dyDescent="0.3">
      <c r="A2181" t="s">
        <v>34</v>
      </c>
      <c r="B2181">
        <v>2015</v>
      </c>
      <c r="C2181" t="s">
        <v>36</v>
      </c>
      <c r="D2181" t="s">
        <v>22</v>
      </c>
      <c r="E2181" t="e">
        <f>VLOOKUP(Cpi_[[#This Row],[Attribute]],#REF!,2,FALSE)</f>
        <v>#REF!</v>
      </c>
      <c r="F2181">
        <v>119.2</v>
      </c>
      <c r="G2181">
        <f>(Cpi_[[#This Row],[Value]]-F2180)/F2180</f>
        <v>7.6077768385461172E-3</v>
      </c>
      <c r="H2181" t="e" cm="1" vm="1">
        <f t="array" aca="1" ref="H2181" ca="1">VLOOKUP(Cpi_[[#This Row],[Year]:[Month]],crudeoil[],3,FALSE)</f>
        <v>#VALUE!</v>
      </c>
    </row>
    <row r="2182" spans="1:8" hidden="1" x14ac:dyDescent="0.3">
      <c r="A2182" t="s">
        <v>34</v>
      </c>
      <c r="B2182">
        <v>2015</v>
      </c>
      <c r="C2182" t="s">
        <v>36</v>
      </c>
      <c r="D2182" t="s">
        <v>23</v>
      </c>
      <c r="E2182" t="e">
        <f>VLOOKUP(Cpi_[[#This Row],[Attribute]],#REF!,2,FALSE)</f>
        <v>#REF!</v>
      </c>
      <c r="F2182">
        <v>116.7</v>
      </c>
      <c r="G2182">
        <f>(Cpi_[[#This Row],[Value]]-F2181)/F2181</f>
        <v>-2.0973154362416108E-2</v>
      </c>
      <c r="H2182" t="e" cm="1" vm="1">
        <f t="array" aca="1" ref="H2182" ca="1">VLOOKUP(Cpi_[[#This Row],[Year]:[Month]],crudeoil[],3,FALSE)</f>
        <v>#VALUE!</v>
      </c>
    </row>
    <row r="2183" spans="1:8" hidden="1" x14ac:dyDescent="0.3">
      <c r="A2183" t="s">
        <v>34</v>
      </c>
      <c r="B2183">
        <v>2015</v>
      </c>
      <c r="C2183" t="s">
        <v>36</v>
      </c>
      <c r="D2183" t="s">
        <v>24</v>
      </c>
      <c r="E2183" t="e">
        <f>VLOOKUP(Cpi_[[#This Row],[Attribute]],#REF!,2,FALSE)</f>
        <v>#REF!</v>
      </c>
      <c r="F2183">
        <v>109.9</v>
      </c>
      <c r="G2183">
        <f>(Cpi_[[#This Row],[Value]]-F2182)/F2182</f>
        <v>-5.826906598114822E-2</v>
      </c>
      <c r="H2183" t="e" cm="1" vm="1">
        <f t="array" aca="1" ref="H2183" ca="1">VLOOKUP(Cpi_[[#This Row],[Year]:[Month]],crudeoil[],3,FALSE)</f>
        <v>#VALUE!</v>
      </c>
    </row>
    <row r="2184" spans="1:8" hidden="1" x14ac:dyDescent="0.3">
      <c r="A2184" t="s">
        <v>34</v>
      </c>
      <c r="B2184">
        <v>2015</v>
      </c>
      <c r="C2184" t="s">
        <v>36</v>
      </c>
      <c r="D2184" t="s">
        <v>25</v>
      </c>
      <c r="E2184" t="e">
        <f>VLOOKUP(Cpi_[[#This Row],[Attribute]],#REF!,2,FALSE)</f>
        <v>#REF!</v>
      </c>
      <c r="F2184">
        <v>115.4</v>
      </c>
      <c r="G2184">
        <f>(Cpi_[[#This Row],[Value]]-F2183)/F2183</f>
        <v>5.0045495905368512E-2</v>
      </c>
      <c r="H2184" t="e" cm="1" vm="1">
        <f t="array" aca="1" ref="H2184" ca="1">VLOOKUP(Cpi_[[#This Row],[Year]:[Month]],crudeoil[],3,FALSE)</f>
        <v>#VALUE!</v>
      </c>
    </row>
    <row r="2185" spans="1:8" hidden="1" x14ac:dyDescent="0.3">
      <c r="A2185" t="s">
        <v>34</v>
      </c>
      <c r="B2185">
        <v>2015</v>
      </c>
      <c r="C2185" t="s">
        <v>36</v>
      </c>
      <c r="D2185" t="s">
        <v>26</v>
      </c>
      <c r="E2185" t="e">
        <f>VLOOKUP(Cpi_[[#This Row],[Attribute]],#REF!,2,FALSE)</f>
        <v>#REF!</v>
      </c>
      <c r="F2185">
        <v>120.1</v>
      </c>
      <c r="G2185">
        <f>(Cpi_[[#This Row],[Value]]-F2184)/F2184</f>
        <v>4.0727902946273729E-2</v>
      </c>
      <c r="H2185" t="e" cm="1" vm="1">
        <f t="array" aca="1" ref="H2185" ca="1">VLOOKUP(Cpi_[[#This Row],[Year]:[Month]],crudeoil[],3,FALSE)</f>
        <v>#VALUE!</v>
      </c>
    </row>
    <row r="2186" spans="1:8" hidden="1" x14ac:dyDescent="0.3">
      <c r="A2186" t="s">
        <v>34</v>
      </c>
      <c r="B2186">
        <v>2015</v>
      </c>
      <c r="C2186" t="s">
        <v>36</v>
      </c>
      <c r="D2186" t="s">
        <v>27</v>
      </c>
      <c r="E2186" t="e">
        <f>VLOOKUP(Cpi_[[#This Row],[Attribute]],#REF!,2,FALSE)</f>
        <v>#REF!</v>
      </c>
      <c r="F2186">
        <v>111</v>
      </c>
      <c r="G2186">
        <f>(Cpi_[[#This Row],[Value]]-F2185)/F2185</f>
        <v>-7.5770191507077395E-2</v>
      </c>
      <c r="H2186" t="e" cm="1" vm="1">
        <f t="array" aca="1" ref="H2186" ca="1">VLOOKUP(Cpi_[[#This Row],[Year]:[Month]],crudeoil[],3,FALSE)</f>
        <v>#VALUE!</v>
      </c>
    </row>
    <row r="2187" spans="1:8" hidden="1" x14ac:dyDescent="0.3">
      <c r="A2187" t="s">
        <v>34</v>
      </c>
      <c r="B2187">
        <v>2015</v>
      </c>
      <c r="C2187" t="s">
        <v>36</v>
      </c>
      <c r="D2187" t="s">
        <v>28</v>
      </c>
      <c r="E2187" t="e">
        <f>VLOOKUP(Cpi_[[#This Row],[Attribute]],#REF!,2,FALSE)</f>
        <v>#REF!</v>
      </c>
      <c r="F2187">
        <v>114.7</v>
      </c>
      <c r="G2187">
        <f>(Cpi_[[#This Row],[Value]]-F2186)/F2186</f>
        <v>3.3333333333333361E-2</v>
      </c>
      <c r="H2187" t="e" cm="1" vm="1">
        <f t="array" aca="1" ref="H2187" ca="1">VLOOKUP(Cpi_[[#This Row],[Year]:[Month]],crudeoil[],3,FALSE)</f>
        <v>#VALUE!</v>
      </c>
    </row>
    <row r="2188" spans="1:8" hidden="1" x14ac:dyDescent="0.3">
      <c r="A2188" t="s">
        <v>34</v>
      </c>
      <c r="B2188">
        <v>2015</v>
      </c>
      <c r="C2188" t="s">
        <v>36</v>
      </c>
      <c r="D2188" t="s">
        <v>29</v>
      </c>
      <c r="E2188" t="e" cm="1">
        <f t="array" aca="1" ref="E2188" ca="1">VLGeneral indexGeneral indexKUP(Cpi_[[#This Row],[Attribute]],#REF!,2,FALSE)</f>
        <v>#NAME?</v>
      </c>
      <c r="F2188">
        <v>120.2</v>
      </c>
      <c r="G2188">
        <f>(Cpi_[[#This Row],[Value]]-F2187)/F2187</f>
        <v>4.7951176983435047E-2</v>
      </c>
      <c r="H2188" t="e" cm="1" vm="1">
        <f t="array" aca="1" ref="H2188" ca="1">VLOOKUP(Cpi_[[#This Row],[Year]:[Month]],crudeoil[],3,FALSE)</f>
        <v>#VALUE!</v>
      </c>
    </row>
    <row r="2189" spans="1:8" hidden="1" x14ac:dyDescent="0.3">
      <c r="A2189" t="s">
        <v>30</v>
      </c>
      <c r="B2189">
        <v>2015</v>
      </c>
      <c r="C2189" t="s">
        <v>37</v>
      </c>
      <c r="D2189" t="s">
        <v>3</v>
      </c>
      <c r="E2189" t="e">
        <f>VLOOKUP(Cpi_[[#This Row],[Attribute]],#REF!,2,FALSE)</f>
        <v>#REF!</v>
      </c>
      <c r="F2189">
        <v>123.3</v>
      </c>
      <c r="G2189">
        <f>(Cpi_[[#This Row],[Value]]-F2188)/F2188</f>
        <v>2.5790349417637224E-2</v>
      </c>
      <c r="H2189" t="e" cm="1" vm="1">
        <f t="array" aca="1" ref="H2189" ca="1">VLOOKUP(Cpi_[[#This Row],[Year]:[Month]],crudeoil[],3,FALSE)</f>
        <v>#VALUE!</v>
      </c>
    </row>
    <row r="2190" spans="1:8" hidden="1" x14ac:dyDescent="0.3">
      <c r="A2190" t="s">
        <v>30</v>
      </c>
      <c r="B2190">
        <v>2015</v>
      </c>
      <c r="C2190" t="s">
        <v>37</v>
      </c>
      <c r="D2190" t="s">
        <v>4</v>
      </c>
      <c r="E2190" t="e">
        <f>VLOOKUP(Cpi_[[#This Row],[Attribute]],#REF!,2,FALSE)</f>
        <v>#REF!</v>
      </c>
      <c r="F2190">
        <v>125.5</v>
      </c>
      <c r="G2190">
        <f>(Cpi_[[#This Row],[Value]]-F2189)/F2189</f>
        <v>1.7842660178426624E-2</v>
      </c>
      <c r="H2190" t="e" cm="1" vm="1">
        <f t="array" aca="1" ref="H2190" ca="1">VLOOKUP(Cpi_[[#This Row],[Year]:[Month]],crudeoil[],3,FALSE)</f>
        <v>#VALUE!</v>
      </c>
    </row>
    <row r="2191" spans="1:8" hidden="1" x14ac:dyDescent="0.3">
      <c r="A2191" t="s">
        <v>30</v>
      </c>
      <c r="B2191">
        <v>2015</v>
      </c>
      <c r="C2191" t="s">
        <v>37</v>
      </c>
      <c r="D2191" t="s">
        <v>5</v>
      </c>
      <c r="E2191" t="e">
        <f>VLOOKUP(Cpi_[[#This Row],[Attribute]],#REF!,2,FALSE)</f>
        <v>#REF!</v>
      </c>
      <c r="F2191">
        <v>117.2</v>
      </c>
      <c r="G2191">
        <f>(Cpi_[[#This Row],[Value]]-F2190)/F2190</f>
        <v>-6.6135458167330657E-2</v>
      </c>
      <c r="H2191" t="e" cm="1" vm="1">
        <f t="array" aca="1" ref="H2191" ca="1">VLOOKUP(Cpi_[[#This Row],[Year]:[Month]],crudeoil[],3,FALSE)</f>
        <v>#VALUE!</v>
      </c>
    </row>
    <row r="2192" spans="1:8" hidden="1" x14ac:dyDescent="0.3">
      <c r="A2192" t="s">
        <v>30</v>
      </c>
      <c r="B2192">
        <v>2015</v>
      </c>
      <c r="C2192" t="s">
        <v>37</v>
      </c>
      <c r="D2192" t="s">
        <v>6</v>
      </c>
      <c r="E2192" t="e">
        <f>VLOOKUP(Cpi_[[#This Row],[Attribute]],#REF!,2,FALSE)</f>
        <v>#REF!</v>
      </c>
      <c r="F2192">
        <v>126.8</v>
      </c>
      <c r="G2192">
        <f>(Cpi_[[#This Row],[Value]]-F2191)/F2191</f>
        <v>8.1911262798634768E-2</v>
      </c>
      <c r="H2192" t="e" cm="1" vm="1">
        <f t="array" aca="1" ref="H2192" ca="1">VLOOKUP(Cpi_[[#This Row],[Year]:[Month]],crudeoil[],3,FALSE)</f>
        <v>#VALUE!</v>
      </c>
    </row>
    <row r="2193" spans="1:8" hidden="1" x14ac:dyDescent="0.3">
      <c r="A2193" t="s">
        <v>30</v>
      </c>
      <c r="B2193">
        <v>2015</v>
      </c>
      <c r="C2193" t="s">
        <v>37</v>
      </c>
      <c r="D2193" t="s">
        <v>7</v>
      </c>
      <c r="E2193" t="e">
        <f>VLOOKUP(Cpi_[[#This Row],[Attribute]],#REF!,2,FALSE)</f>
        <v>#REF!</v>
      </c>
      <c r="F2193">
        <v>111.9</v>
      </c>
      <c r="G2193">
        <f>(Cpi_[[#This Row],[Value]]-F2192)/F2192</f>
        <v>-0.11750788643533117</v>
      </c>
      <c r="H2193" t="e" cm="1" vm="1">
        <f t="array" aca="1" ref="H2193" ca="1">VLOOKUP(Cpi_[[#This Row],[Year]:[Month]],crudeoil[],3,FALSE)</f>
        <v>#VALUE!</v>
      </c>
    </row>
    <row r="2194" spans="1:8" hidden="1" x14ac:dyDescent="0.3">
      <c r="A2194" t="s">
        <v>30</v>
      </c>
      <c r="B2194">
        <v>2015</v>
      </c>
      <c r="C2194" t="s">
        <v>37</v>
      </c>
      <c r="D2194" t="s">
        <v>8</v>
      </c>
      <c r="E2194" t="e">
        <f>VLOOKUP(Cpi_[[#This Row],[Attribute]],#REF!,2,FALSE)</f>
        <v>#REF!</v>
      </c>
      <c r="F2194">
        <v>134.19999999999999</v>
      </c>
      <c r="G2194">
        <f>(Cpi_[[#This Row],[Value]]-F2193)/F2193</f>
        <v>0.19928507596067901</v>
      </c>
      <c r="H2194" t="e" cm="1" vm="1">
        <f t="array" aca="1" ref="H2194" ca="1">VLOOKUP(Cpi_[[#This Row],[Year]:[Month]],crudeoil[],3,FALSE)</f>
        <v>#VALUE!</v>
      </c>
    </row>
    <row r="2195" spans="1:8" hidden="1" x14ac:dyDescent="0.3">
      <c r="A2195" t="s">
        <v>30</v>
      </c>
      <c r="B2195">
        <v>2015</v>
      </c>
      <c r="C2195" t="s">
        <v>37</v>
      </c>
      <c r="D2195" t="s">
        <v>9</v>
      </c>
      <c r="E2195" t="e">
        <f>VLOOKUP(Cpi_[[#This Row],[Attribute]],#REF!,2,FALSE)</f>
        <v>#REF!</v>
      </c>
      <c r="F2195">
        <v>127.5</v>
      </c>
      <c r="G2195">
        <f>(Cpi_[[#This Row],[Value]]-F2194)/F2194</f>
        <v>-4.9925484351713782E-2</v>
      </c>
      <c r="H2195" t="e" cm="1" vm="1">
        <f t="array" aca="1" ref="H2195" ca="1">VLOOKUP(Cpi_[[#This Row],[Year]:[Month]],crudeoil[],3,FALSE)</f>
        <v>#VALUE!</v>
      </c>
    </row>
    <row r="2196" spans="1:8" hidden="1" x14ac:dyDescent="0.3">
      <c r="A2196" t="s">
        <v>30</v>
      </c>
      <c r="B2196">
        <v>2015</v>
      </c>
      <c r="C2196" t="s">
        <v>37</v>
      </c>
      <c r="D2196" t="s">
        <v>10</v>
      </c>
      <c r="E2196" t="e">
        <f>VLOOKUP(Cpi_[[#This Row],[Attribute]],#REF!,2,FALSE)</f>
        <v>#REF!</v>
      </c>
      <c r="F2196">
        <v>121.5</v>
      </c>
      <c r="G2196">
        <f>(Cpi_[[#This Row],[Value]]-F2195)/F2195</f>
        <v>-4.7058823529411764E-2</v>
      </c>
      <c r="H2196" t="e" cm="1" vm="1">
        <f t="array" aca="1" ref="H2196" ca="1">VLOOKUP(Cpi_[[#This Row],[Year]:[Month]],crudeoil[],3,FALSE)</f>
        <v>#VALUE!</v>
      </c>
    </row>
    <row r="2197" spans="1:8" hidden="1" x14ac:dyDescent="0.3">
      <c r="A2197" t="s">
        <v>30</v>
      </c>
      <c r="B2197">
        <v>2015</v>
      </c>
      <c r="C2197" t="s">
        <v>37</v>
      </c>
      <c r="D2197" t="s">
        <v>11</v>
      </c>
      <c r="E2197" t="e">
        <f>VLOOKUP(Cpi_[[#This Row],[Attribute]],#REF!,2,FALSE)</f>
        <v>#REF!</v>
      </c>
      <c r="F2197">
        <v>97.8</v>
      </c>
      <c r="G2197">
        <f>(Cpi_[[#This Row],[Value]]-F2196)/F2196</f>
        <v>-0.19506172839506175</v>
      </c>
      <c r="H2197" t="e" cm="1" vm="1">
        <f t="array" aca="1" ref="H2197" ca="1">VLOOKUP(Cpi_[[#This Row],[Year]:[Month]],crudeoil[],3,FALSE)</f>
        <v>#VALUE!</v>
      </c>
    </row>
    <row r="2198" spans="1:8" hidden="1" x14ac:dyDescent="0.3">
      <c r="A2198" t="s">
        <v>30</v>
      </c>
      <c r="B2198">
        <v>2015</v>
      </c>
      <c r="C2198" t="s">
        <v>37</v>
      </c>
      <c r="D2198" t="s">
        <v>12</v>
      </c>
      <c r="E2198" t="e">
        <f>VLOOKUP(Cpi_[[#This Row],[Attribute]],#REF!,2,FALSE)</f>
        <v>#REF!</v>
      </c>
      <c r="F2198">
        <v>119.8</v>
      </c>
      <c r="G2198">
        <f>(Cpi_[[#This Row],[Value]]-F2197)/F2197</f>
        <v>0.22494887525562374</v>
      </c>
      <c r="H2198" t="e" cm="1" vm="1">
        <f t="array" aca="1" ref="H2198" ca="1">VLOOKUP(Cpi_[[#This Row],[Year]:[Month]],crudeoil[],3,FALSE)</f>
        <v>#VALUE!</v>
      </c>
    </row>
    <row r="2199" spans="1:8" hidden="1" x14ac:dyDescent="0.3">
      <c r="A2199" t="s">
        <v>30</v>
      </c>
      <c r="B2199">
        <v>2015</v>
      </c>
      <c r="C2199" t="s">
        <v>37</v>
      </c>
      <c r="D2199" t="s">
        <v>13</v>
      </c>
      <c r="E2199" t="e">
        <f>VLOOKUP(Cpi_[[#This Row],[Attribute]],#REF!,2,FALSE)</f>
        <v>#REF!</v>
      </c>
      <c r="F2199">
        <v>119.4</v>
      </c>
      <c r="G2199">
        <f>(Cpi_[[#This Row],[Value]]-F2198)/F2198</f>
        <v>-3.338898163605939E-3</v>
      </c>
      <c r="H2199" t="e" cm="1" vm="1">
        <f t="array" aca="1" ref="H2199" ca="1">VLOOKUP(Cpi_[[#This Row],[Year]:[Month]],crudeoil[],3,FALSE)</f>
        <v>#VALUE!</v>
      </c>
    </row>
    <row r="2200" spans="1:8" hidden="1" x14ac:dyDescent="0.3">
      <c r="A2200" t="s">
        <v>30</v>
      </c>
      <c r="B2200">
        <v>2015</v>
      </c>
      <c r="C2200" t="s">
        <v>37</v>
      </c>
      <c r="D2200" t="s">
        <v>14</v>
      </c>
      <c r="E2200" t="e">
        <f>VLOOKUP(Cpi_[[#This Row],[Attribute]],#REF!,2,FALSE)</f>
        <v>#REF!</v>
      </c>
      <c r="F2200">
        <v>128.69999999999999</v>
      </c>
      <c r="G2200">
        <f>(Cpi_[[#This Row],[Value]]-F2199)/F2199</f>
        <v>7.7889447236180756E-2</v>
      </c>
      <c r="H2200" t="e" cm="1" vm="1">
        <f t="array" aca="1" ref="H2200" ca="1">VLOOKUP(Cpi_[[#This Row],[Year]:[Month]],crudeoil[],3,FALSE)</f>
        <v>#VALUE!</v>
      </c>
    </row>
    <row r="2201" spans="1:8" hidden="1" x14ac:dyDescent="0.3">
      <c r="A2201" t="s">
        <v>30</v>
      </c>
      <c r="B2201">
        <v>2015</v>
      </c>
      <c r="C2201" t="s">
        <v>37</v>
      </c>
      <c r="D2201" t="s">
        <v>15</v>
      </c>
      <c r="E2201" t="e">
        <f>VLOOKUP(Cpi_[[#This Row],[Attribute]],#REF!,2,FALSE)</f>
        <v>#REF!</v>
      </c>
      <c r="F2201">
        <v>123.6</v>
      </c>
      <c r="G2201">
        <f>(Cpi_[[#This Row],[Value]]-F2200)/F2200</f>
        <v>-3.962703962703959E-2</v>
      </c>
      <c r="H2201" t="e" cm="1" vm="1">
        <f t="array" aca="1" ref="H2201" ca="1">VLOOKUP(Cpi_[[#This Row],[Year]:[Month]],crudeoil[],3,FALSE)</f>
        <v>#VALUE!</v>
      </c>
    </row>
    <row r="2202" spans="1:8" hidden="1" x14ac:dyDescent="0.3">
      <c r="A2202" t="s">
        <v>30</v>
      </c>
      <c r="B2202">
        <v>2015</v>
      </c>
      <c r="C2202" t="s">
        <v>37</v>
      </c>
      <c r="D2202" t="s">
        <v>16</v>
      </c>
      <c r="E2202" t="e">
        <f>VLOOKUP(Cpi_[[#This Row],[Attribute]],#REF!,2,FALSE)</f>
        <v>#REF!</v>
      </c>
      <c r="F2202">
        <v>125.7</v>
      </c>
      <c r="G2202">
        <f>(Cpi_[[#This Row],[Value]]-F2201)/F2201</f>
        <v>1.6990291262135991E-2</v>
      </c>
      <c r="H2202" t="e" cm="1" vm="1">
        <f t="array" aca="1" ref="H2202" ca="1">VLOOKUP(Cpi_[[#This Row],[Year]:[Month]],crudeoil[],3,FALSE)</f>
        <v>#VALUE!</v>
      </c>
    </row>
    <row r="2203" spans="1:8" hidden="1" x14ac:dyDescent="0.3">
      <c r="A2203" t="s">
        <v>30</v>
      </c>
      <c r="B2203">
        <v>2015</v>
      </c>
      <c r="C2203" t="s">
        <v>37</v>
      </c>
      <c r="D2203" t="s">
        <v>17</v>
      </c>
      <c r="E2203" t="e">
        <f>VLOOKUP(Cpi_[[#This Row],[Attribute]],#REF!,2,FALSE)</f>
        <v>#REF!</v>
      </c>
      <c r="F2203">
        <v>126.4</v>
      </c>
      <c r="G2203">
        <f>(Cpi_[[#This Row],[Value]]-F2202)/F2202</f>
        <v>5.5688146380270713E-3</v>
      </c>
      <c r="H2203" t="e" cm="1" vm="1">
        <f t="array" aca="1" ref="H2203" ca="1">VLOOKUP(Cpi_[[#This Row],[Year]:[Month]],crudeoil[],3,FALSE)</f>
        <v>#VALUE!</v>
      </c>
    </row>
    <row r="2204" spans="1:8" hidden="1" x14ac:dyDescent="0.3">
      <c r="A2204" t="s">
        <v>30</v>
      </c>
      <c r="B2204">
        <v>2015</v>
      </c>
      <c r="C2204" t="s">
        <v>37</v>
      </c>
      <c r="D2204" t="s">
        <v>18</v>
      </c>
      <c r="E2204" t="e">
        <f>VLOOKUP(Cpi_[[#This Row],[Attribute]],#REF!,2,FALSE)</f>
        <v>#REF!</v>
      </c>
      <c r="F2204">
        <v>123.3</v>
      </c>
      <c r="G2204">
        <f>(Cpi_[[#This Row],[Value]]-F2203)/F2203</f>
        <v>-2.4525316455696267E-2</v>
      </c>
      <c r="H2204" t="e" cm="1" vm="1">
        <f t="array" aca="1" ref="H2204" ca="1">VLOOKUP(Cpi_[[#This Row],[Year]:[Month]],crudeoil[],3,FALSE)</f>
        <v>#VALUE!</v>
      </c>
    </row>
    <row r="2205" spans="1:8" hidden="1" x14ac:dyDescent="0.3">
      <c r="A2205" t="s">
        <v>30</v>
      </c>
      <c r="B2205">
        <v>2015</v>
      </c>
      <c r="C2205" t="s">
        <v>37</v>
      </c>
      <c r="D2205" t="s">
        <v>19</v>
      </c>
      <c r="E2205" t="e">
        <f>VLOOKUP(Cpi_[[#This Row],[Attribute]],#REF!,2,FALSE)</f>
        <v>#REF!</v>
      </c>
      <c r="F2205">
        <v>126</v>
      </c>
      <c r="G2205">
        <f>(Cpi_[[#This Row],[Value]]-F2204)/F2204</f>
        <v>2.1897810218978124E-2</v>
      </c>
      <c r="H2205" t="e" cm="1" vm="1">
        <f t="array" aca="1" ref="H2205" ca="1">VLOOKUP(Cpi_[[#This Row],[Year]:[Month]],crudeoil[],3,FALSE)</f>
        <v>#VALUE!</v>
      </c>
    </row>
    <row r="2206" spans="1:8" hidden="1" x14ac:dyDescent="0.3">
      <c r="A2206" t="s">
        <v>30</v>
      </c>
      <c r="B2206">
        <v>2015</v>
      </c>
      <c r="C2206" t="s">
        <v>37</v>
      </c>
      <c r="D2206" t="s">
        <v>20</v>
      </c>
      <c r="E2206" t="e">
        <f>VLOOKUP(Cpi_[[#This Row],[Attribute]],#REF!,2,FALSE)</f>
        <v>#REF!</v>
      </c>
      <c r="F2206" t="s">
        <v>32</v>
      </c>
      <c r="G2206" t="e">
        <f>(Cpi_[[#This Row],[Value]]-F2205)/F2205</f>
        <v>#VALUE!</v>
      </c>
      <c r="H2206" t="e" cm="1" vm="1">
        <f t="array" aca="1" ref="H2206" ca="1">VLOOKUP(Cpi_[[#This Row],[Year]:[Month]],crudeoil[],3,FALSE)</f>
        <v>#VALUE!</v>
      </c>
    </row>
    <row r="2207" spans="1:8" hidden="1" x14ac:dyDescent="0.3">
      <c r="A2207" t="s">
        <v>30</v>
      </c>
      <c r="B2207">
        <v>2015</v>
      </c>
      <c r="C2207" t="s">
        <v>37</v>
      </c>
      <c r="D2207" t="s">
        <v>21</v>
      </c>
      <c r="E2207" t="e">
        <f>VLOOKUP(Cpi_[[#This Row],[Attribute]],#REF!,2,FALSE)</f>
        <v>#REF!</v>
      </c>
      <c r="F2207">
        <v>121.2</v>
      </c>
      <c r="G2207" t="e">
        <f>(Cpi_[[#This Row],[Value]]-F2206)/F2206</f>
        <v>#VALUE!</v>
      </c>
      <c r="H2207" t="e" cm="1" vm="1">
        <f t="array" aca="1" ref="H2207" ca="1">VLOOKUP(Cpi_[[#This Row],[Year]:[Month]],crudeoil[],3,FALSE)</f>
        <v>#VALUE!</v>
      </c>
    </row>
    <row r="2208" spans="1:8" hidden="1" x14ac:dyDescent="0.3">
      <c r="A2208" t="s">
        <v>30</v>
      </c>
      <c r="B2208">
        <v>2015</v>
      </c>
      <c r="C2208" t="s">
        <v>37</v>
      </c>
      <c r="D2208" t="s">
        <v>22</v>
      </c>
      <c r="E2208" t="e">
        <f>VLOOKUP(Cpi_[[#This Row],[Attribute]],#REF!,2,FALSE)</f>
        <v>#REF!</v>
      </c>
      <c r="F2208">
        <v>120.9</v>
      </c>
      <c r="G2208">
        <f>(Cpi_[[#This Row],[Value]]-F2207)/F2207</f>
        <v>-2.4752475247524519E-3</v>
      </c>
      <c r="H2208" t="e" cm="1" vm="1">
        <f t="array" aca="1" ref="H2208" ca="1">VLOOKUP(Cpi_[[#This Row],[Year]:[Month]],crudeoil[],3,FALSE)</f>
        <v>#VALUE!</v>
      </c>
    </row>
    <row r="2209" spans="1:8" hidden="1" x14ac:dyDescent="0.3">
      <c r="A2209" t="s">
        <v>30</v>
      </c>
      <c r="B2209">
        <v>2015</v>
      </c>
      <c r="C2209" t="s">
        <v>37</v>
      </c>
      <c r="D2209" t="s">
        <v>23</v>
      </c>
      <c r="E2209" t="e">
        <f>VLOOKUP(Cpi_[[#This Row],[Attribute]],#REF!,2,FALSE)</f>
        <v>#REF!</v>
      </c>
      <c r="F2209">
        <v>118.6</v>
      </c>
      <c r="G2209">
        <f>(Cpi_[[#This Row],[Value]]-F2208)/F2208</f>
        <v>-1.9023986765922343E-2</v>
      </c>
      <c r="H2209" t="e" cm="1" vm="1">
        <f t="array" aca="1" ref="H2209" ca="1">VLOOKUP(Cpi_[[#This Row],[Year]:[Month]],crudeoil[],3,FALSE)</f>
        <v>#VALUE!</v>
      </c>
    </row>
    <row r="2210" spans="1:8" hidden="1" x14ac:dyDescent="0.3">
      <c r="A2210" t="s">
        <v>30</v>
      </c>
      <c r="B2210">
        <v>2015</v>
      </c>
      <c r="C2210" t="s">
        <v>37</v>
      </c>
      <c r="D2210" t="s">
        <v>24</v>
      </c>
      <c r="E2210" t="e">
        <f>VLOOKUP(Cpi_[[#This Row],[Attribute]],#REF!,2,FALSE)</f>
        <v>#REF!</v>
      </c>
      <c r="F2210">
        <v>111.9</v>
      </c>
      <c r="G2210">
        <f>(Cpi_[[#This Row],[Value]]-F2209)/F2209</f>
        <v>-5.6492411467116262E-2</v>
      </c>
      <c r="H2210" t="e" cm="1" vm="1">
        <f t="array" aca="1" ref="H2210" ca="1">VLOOKUP(Cpi_[[#This Row],[Year]:[Month]],crudeoil[],3,FALSE)</f>
        <v>#VALUE!</v>
      </c>
    </row>
    <row r="2211" spans="1:8" hidden="1" x14ac:dyDescent="0.3">
      <c r="A2211" t="s">
        <v>30</v>
      </c>
      <c r="B2211">
        <v>2015</v>
      </c>
      <c r="C2211" t="s">
        <v>37</v>
      </c>
      <c r="D2211" t="s">
        <v>25</v>
      </c>
      <c r="E2211" t="e">
        <f>VLOOKUP(Cpi_[[#This Row],[Attribute]],#REF!,2,FALSE)</f>
        <v>#REF!</v>
      </c>
      <c r="F2211">
        <v>116.2</v>
      </c>
      <c r="G2211">
        <f>(Cpi_[[#This Row],[Value]]-F2210)/F2210</f>
        <v>3.8427167113494164E-2</v>
      </c>
      <c r="H2211" t="e" cm="1" vm="1">
        <f t="array" aca="1" ref="H2211" ca="1">VLOOKUP(Cpi_[[#This Row],[Year]:[Month]],crudeoil[],3,FALSE)</f>
        <v>#VALUE!</v>
      </c>
    </row>
    <row r="2212" spans="1:8" hidden="1" x14ac:dyDescent="0.3">
      <c r="A2212" t="s">
        <v>30</v>
      </c>
      <c r="B2212">
        <v>2015</v>
      </c>
      <c r="C2212" t="s">
        <v>37</v>
      </c>
      <c r="D2212" t="s">
        <v>26</v>
      </c>
      <c r="E2212" t="e">
        <f>VLOOKUP(Cpi_[[#This Row],[Attribute]],#REF!,2,FALSE)</f>
        <v>#REF!</v>
      </c>
      <c r="F2212">
        <v>119.9</v>
      </c>
      <c r="G2212">
        <f>(Cpi_[[#This Row],[Value]]-F2211)/F2211</f>
        <v>3.1841652323580057E-2</v>
      </c>
      <c r="H2212" t="e" cm="1" vm="1">
        <f t="array" aca="1" ref="H2212" ca="1">VLOOKUP(Cpi_[[#This Row],[Year]:[Month]],crudeoil[],3,FALSE)</f>
        <v>#VALUE!</v>
      </c>
    </row>
    <row r="2213" spans="1:8" hidden="1" x14ac:dyDescent="0.3">
      <c r="A2213" t="s">
        <v>30</v>
      </c>
      <c r="B2213">
        <v>2015</v>
      </c>
      <c r="C2213" t="s">
        <v>37</v>
      </c>
      <c r="D2213" t="s">
        <v>27</v>
      </c>
      <c r="E2213" t="e">
        <f>VLOOKUP(Cpi_[[#This Row],[Attribute]],#REF!,2,FALSE)</f>
        <v>#REF!</v>
      </c>
      <c r="F2213">
        <v>111.6</v>
      </c>
      <c r="G2213">
        <f>(Cpi_[[#This Row],[Value]]-F2212)/F2212</f>
        <v>-6.9224353628023441E-2</v>
      </c>
      <c r="H2213" t="e" cm="1" vm="1">
        <f t="array" aca="1" ref="H2213" ca="1">VLOOKUP(Cpi_[[#This Row],[Year]:[Month]],crudeoil[],3,FALSE)</f>
        <v>#VALUE!</v>
      </c>
    </row>
    <row r="2214" spans="1:8" hidden="1" x14ac:dyDescent="0.3">
      <c r="A2214" t="s">
        <v>30</v>
      </c>
      <c r="B2214">
        <v>2015</v>
      </c>
      <c r="C2214" t="s">
        <v>37</v>
      </c>
      <c r="D2214" t="s">
        <v>28</v>
      </c>
      <c r="E2214" t="e">
        <f>VLOOKUP(Cpi_[[#This Row],[Attribute]],#REF!,2,FALSE)</f>
        <v>#REF!</v>
      </c>
      <c r="F2214">
        <v>116</v>
      </c>
      <c r="G2214">
        <f>(Cpi_[[#This Row],[Value]]-F2213)/F2213</f>
        <v>3.9426523297491092E-2</v>
      </c>
      <c r="H2214" t="e" cm="1" vm="1">
        <f t="array" aca="1" ref="H2214" ca="1">VLOOKUP(Cpi_[[#This Row],[Year]:[Month]],crudeoil[],3,FALSE)</f>
        <v>#VALUE!</v>
      </c>
    </row>
    <row r="2215" spans="1:8" hidden="1" x14ac:dyDescent="0.3">
      <c r="A2215" t="s">
        <v>30</v>
      </c>
      <c r="B2215">
        <v>2015</v>
      </c>
      <c r="C2215" t="s">
        <v>37</v>
      </c>
      <c r="D2215" t="s">
        <v>29</v>
      </c>
      <c r="E2215" t="e" cm="1">
        <f t="array" aca="1" ref="E2215" ca="1">VLGeneral indexGeneral indexKUP(Cpi_[[#This Row],[Attribute]],#REF!,2,FALSE)</f>
        <v>#NAME?</v>
      </c>
      <c r="F2215">
        <v>121.5</v>
      </c>
      <c r="G2215">
        <f>(Cpi_[[#This Row],[Value]]-F2214)/F2214</f>
        <v>4.7413793103448273E-2</v>
      </c>
      <c r="H2215" t="e" cm="1" vm="1">
        <f t="array" aca="1" ref="H2215" ca="1">VLOOKUP(Cpi_[[#This Row],[Year]:[Month]],crudeoil[],3,FALSE)</f>
        <v>#VALUE!</v>
      </c>
    </row>
    <row r="2216" spans="1:8" hidden="1" x14ac:dyDescent="0.3">
      <c r="A2216" t="s">
        <v>33</v>
      </c>
      <c r="B2216">
        <v>2015</v>
      </c>
      <c r="C2216" t="s">
        <v>37</v>
      </c>
      <c r="D2216" t="s">
        <v>3</v>
      </c>
      <c r="E2216" t="e">
        <f>VLOOKUP(Cpi_[[#This Row],[Attribute]],#REF!,2,FALSE)</f>
        <v>#REF!</v>
      </c>
      <c r="F2216">
        <v>123.8</v>
      </c>
      <c r="G2216">
        <f>(Cpi_[[#This Row],[Value]]-F2215)/F2215</f>
        <v>1.8930041152263349E-2</v>
      </c>
      <c r="H2216" t="e" cm="1" vm="1">
        <f t="array" aca="1" ref="H2216" ca="1">VLOOKUP(Cpi_[[#This Row],[Year]:[Month]],crudeoil[],3,FALSE)</f>
        <v>#VALUE!</v>
      </c>
    </row>
    <row r="2217" spans="1:8" hidden="1" x14ac:dyDescent="0.3">
      <c r="A2217" t="s">
        <v>33</v>
      </c>
      <c r="B2217">
        <v>2015</v>
      </c>
      <c r="C2217" t="s">
        <v>37</v>
      </c>
      <c r="D2217" t="s">
        <v>4</v>
      </c>
      <c r="E2217" t="e">
        <f>VLOOKUP(Cpi_[[#This Row],[Attribute]],#REF!,2,FALSE)</f>
        <v>#REF!</v>
      </c>
      <c r="F2217">
        <v>128.19999999999999</v>
      </c>
      <c r="G2217">
        <f>(Cpi_[[#This Row],[Value]]-F2216)/F2216</f>
        <v>3.5541195476575055E-2</v>
      </c>
      <c r="H2217" t="e" cm="1" vm="1">
        <f t="array" aca="1" ref="H2217" ca="1">VLOOKUP(Cpi_[[#This Row],[Year]:[Month]],crudeoil[],3,FALSE)</f>
        <v>#VALUE!</v>
      </c>
    </row>
    <row r="2218" spans="1:8" hidden="1" x14ac:dyDescent="0.3">
      <c r="A2218" t="s">
        <v>33</v>
      </c>
      <c r="B2218">
        <v>2015</v>
      </c>
      <c r="C2218" t="s">
        <v>37</v>
      </c>
      <c r="D2218" t="s">
        <v>5</v>
      </c>
      <c r="E2218" t="e">
        <f>VLOOKUP(Cpi_[[#This Row],[Attribute]],#REF!,2,FALSE)</f>
        <v>#REF!</v>
      </c>
      <c r="F2218">
        <v>110</v>
      </c>
      <c r="G2218">
        <f>(Cpi_[[#This Row],[Value]]-F2217)/F2217</f>
        <v>-0.14196567862714501</v>
      </c>
      <c r="H2218" t="e" cm="1" vm="1">
        <f t="array" aca="1" ref="H2218" ca="1">VLOOKUP(Cpi_[[#This Row],[Year]:[Month]],crudeoil[],3,FALSE)</f>
        <v>#VALUE!</v>
      </c>
    </row>
    <row r="2219" spans="1:8" hidden="1" x14ac:dyDescent="0.3">
      <c r="A2219" t="s">
        <v>33</v>
      </c>
      <c r="B2219">
        <v>2015</v>
      </c>
      <c r="C2219" t="s">
        <v>37</v>
      </c>
      <c r="D2219" t="s">
        <v>6</v>
      </c>
      <c r="E2219" t="e">
        <f>VLOOKUP(Cpi_[[#This Row],[Attribute]],#REF!,2,FALSE)</f>
        <v>#REF!</v>
      </c>
      <c r="F2219">
        <v>126.3</v>
      </c>
      <c r="G2219">
        <f>(Cpi_[[#This Row],[Value]]-F2218)/F2218</f>
        <v>0.14818181818181816</v>
      </c>
      <c r="H2219" t="e" cm="1" vm="1">
        <f t="array" aca="1" ref="H2219" ca="1">VLOOKUP(Cpi_[[#This Row],[Year]:[Month]],crudeoil[],3,FALSE)</f>
        <v>#VALUE!</v>
      </c>
    </row>
    <row r="2220" spans="1:8" hidden="1" x14ac:dyDescent="0.3">
      <c r="A2220" t="s">
        <v>33</v>
      </c>
      <c r="B2220">
        <v>2015</v>
      </c>
      <c r="C2220" t="s">
        <v>37</v>
      </c>
      <c r="D2220" t="s">
        <v>7</v>
      </c>
      <c r="E2220" t="e">
        <f>VLOOKUP(Cpi_[[#This Row],[Attribute]],#REF!,2,FALSE)</f>
        <v>#REF!</v>
      </c>
      <c r="F2220">
        <v>104.5</v>
      </c>
      <c r="G2220">
        <f>(Cpi_[[#This Row],[Value]]-F2219)/F2219</f>
        <v>-0.17260490894695169</v>
      </c>
      <c r="H2220" t="e" cm="1" vm="1">
        <f t="array" aca="1" ref="H2220" ca="1">VLOOKUP(Cpi_[[#This Row],[Year]:[Month]],crudeoil[],3,FALSE)</f>
        <v>#VALUE!</v>
      </c>
    </row>
    <row r="2221" spans="1:8" hidden="1" x14ac:dyDescent="0.3">
      <c r="A2221" t="s">
        <v>33</v>
      </c>
      <c r="B2221">
        <v>2015</v>
      </c>
      <c r="C2221" t="s">
        <v>37</v>
      </c>
      <c r="D2221" t="s">
        <v>8</v>
      </c>
      <c r="E2221" t="e">
        <f>VLOOKUP(Cpi_[[#This Row],[Attribute]],#REF!,2,FALSE)</f>
        <v>#REF!</v>
      </c>
      <c r="F2221">
        <v>130.6</v>
      </c>
      <c r="G2221">
        <f>(Cpi_[[#This Row],[Value]]-F2220)/F2220</f>
        <v>0.24976076555023918</v>
      </c>
      <c r="H2221" t="e" cm="1" vm="1">
        <f t="array" aca="1" ref="H2221" ca="1">VLOOKUP(Cpi_[[#This Row],[Year]:[Month]],crudeoil[],3,FALSE)</f>
        <v>#VALUE!</v>
      </c>
    </row>
    <row r="2222" spans="1:8" hidden="1" x14ac:dyDescent="0.3">
      <c r="A2222" t="s">
        <v>33</v>
      </c>
      <c r="B2222">
        <v>2015</v>
      </c>
      <c r="C2222" t="s">
        <v>37</v>
      </c>
      <c r="D2222" t="s">
        <v>9</v>
      </c>
      <c r="E2222" t="e">
        <f>VLOOKUP(Cpi_[[#This Row],[Attribute]],#REF!,2,FALSE)</f>
        <v>#REF!</v>
      </c>
      <c r="F2222">
        <v>130.80000000000001</v>
      </c>
      <c r="G2222">
        <f>(Cpi_[[#This Row],[Value]]-F2221)/F2221</f>
        <v>1.5313935681471444E-3</v>
      </c>
      <c r="H2222" t="e" cm="1" vm="1">
        <f t="array" aca="1" ref="H2222" ca="1">VLOOKUP(Cpi_[[#This Row],[Year]:[Month]],crudeoil[],3,FALSE)</f>
        <v>#VALUE!</v>
      </c>
    </row>
    <row r="2223" spans="1:8" hidden="1" x14ac:dyDescent="0.3">
      <c r="A2223" t="s">
        <v>33</v>
      </c>
      <c r="B2223">
        <v>2015</v>
      </c>
      <c r="C2223" t="s">
        <v>37</v>
      </c>
      <c r="D2223" t="s">
        <v>10</v>
      </c>
      <c r="E2223" t="e">
        <f>VLOOKUP(Cpi_[[#This Row],[Attribute]],#REF!,2,FALSE)</f>
        <v>#REF!</v>
      </c>
      <c r="F2223">
        <v>131.30000000000001</v>
      </c>
      <c r="G2223">
        <f>(Cpi_[[#This Row],[Value]]-F2222)/F2222</f>
        <v>3.8226299694189597E-3</v>
      </c>
      <c r="H2223" t="e" cm="1" vm="1">
        <f t="array" aca="1" ref="H2223" ca="1">VLOOKUP(Cpi_[[#This Row],[Year]:[Month]],crudeoil[],3,FALSE)</f>
        <v>#VALUE!</v>
      </c>
    </row>
    <row r="2224" spans="1:8" hidden="1" x14ac:dyDescent="0.3">
      <c r="A2224" t="s">
        <v>33</v>
      </c>
      <c r="B2224">
        <v>2015</v>
      </c>
      <c r="C2224" t="s">
        <v>37</v>
      </c>
      <c r="D2224" t="s">
        <v>11</v>
      </c>
      <c r="E2224" t="e">
        <f>VLOOKUP(Cpi_[[#This Row],[Attribute]],#REF!,2,FALSE)</f>
        <v>#REF!</v>
      </c>
      <c r="F2224">
        <v>91.6</v>
      </c>
      <c r="G2224">
        <f>(Cpi_[[#This Row],[Value]]-F2223)/F2223</f>
        <v>-0.30236100533130245</v>
      </c>
      <c r="H2224" t="e" cm="1" vm="1">
        <f t="array" aca="1" ref="H2224" ca="1">VLOOKUP(Cpi_[[#This Row],[Year]:[Month]],crudeoil[],3,FALSE)</f>
        <v>#VALUE!</v>
      </c>
    </row>
    <row r="2225" spans="1:8" hidden="1" x14ac:dyDescent="0.3">
      <c r="A2225" t="s">
        <v>33</v>
      </c>
      <c r="B2225">
        <v>2015</v>
      </c>
      <c r="C2225" t="s">
        <v>37</v>
      </c>
      <c r="D2225" t="s">
        <v>12</v>
      </c>
      <c r="E2225" t="e">
        <f>VLOOKUP(Cpi_[[#This Row],[Attribute]],#REF!,2,FALSE)</f>
        <v>#REF!</v>
      </c>
      <c r="F2225">
        <v>127.7</v>
      </c>
      <c r="G2225">
        <f>(Cpi_[[#This Row],[Value]]-F2224)/F2224</f>
        <v>0.3941048034934499</v>
      </c>
      <c r="H2225" t="e" cm="1" vm="1">
        <f t="array" aca="1" ref="H2225" ca="1">VLOOKUP(Cpi_[[#This Row],[Year]:[Month]],crudeoil[],3,FALSE)</f>
        <v>#VALUE!</v>
      </c>
    </row>
    <row r="2226" spans="1:8" hidden="1" x14ac:dyDescent="0.3">
      <c r="A2226" t="s">
        <v>33</v>
      </c>
      <c r="B2226">
        <v>2015</v>
      </c>
      <c r="C2226" t="s">
        <v>37</v>
      </c>
      <c r="D2226" t="s">
        <v>13</v>
      </c>
      <c r="E2226" t="e">
        <f>VLOOKUP(Cpi_[[#This Row],[Attribute]],#REF!,2,FALSE)</f>
        <v>#REF!</v>
      </c>
      <c r="F2226">
        <v>117.2</v>
      </c>
      <c r="G2226">
        <f>(Cpi_[[#This Row],[Value]]-F2225)/F2225</f>
        <v>-8.2223962411902898E-2</v>
      </c>
      <c r="H2226" t="e" cm="1" vm="1">
        <f t="array" aca="1" ref="H2226" ca="1">VLOOKUP(Cpi_[[#This Row],[Year]:[Month]],crudeoil[],3,FALSE)</f>
        <v>#VALUE!</v>
      </c>
    </row>
    <row r="2227" spans="1:8" hidden="1" x14ac:dyDescent="0.3">
      <c r="A2227" t="s">
        <v>33</v>
      </c>
      <c r="B2227">
        <v>2015</v>
      </c>
      <c r="C2227" t="s">
        <v>37</v>
      </c>
      <c r="D2227" t="s">
        <v>14</v>
      </c>
      <c r="E2227" t="e">
        <f>VLOOKUP(Cpi_[[#This Row],[Attribute]],#REF!,2,FALSE)</f>
        <v>#REF!</v>
      </c>
      <c r="F2227">
        <v>129.5</v>
      </c>
      <c r="G2227">
        <f>(Cpi_[[#This Row],[Value]]-F2226)/F2226</f>
        <v>0.10494880546075083</v>
      </c>
      <c r="H2227" t="e" cm="1" vm="1">
        <f t="array" aca="1" ref="H2227" ca="1">VLOOKUP(Cpi_[[#This Row],[Year]:[Month]],crudeoil[],3,FALSE)</f>
        <v>#VALUE!</v>
      </c>
    </row>
    <row r="2228" spans="1:8" hidden="1" x14ac:dyDescent="0.3">
      <c r="A2228" t="s">
        <v>33</v>
      </c>
      <c r="B2228">
        <v>2015</v>
      </c>
      <c r="C2228" t="s">
        <v>37</v>
      </c>
      <c r="D2228" t="s">
        <v>15</v>
      </c>
      <c r="E2228" t="e">
        <f>VLOOKUP(Cpi_[[#This Row],[Attribute]],#REF!,2,FALSE)</f>
        <v>#REF!</v>
      </c>
      <c r="F2228">
        <v>124.6</v>
      </c>
      <c r="G2228">
        <f>(Cpi_[[#This Row],[Value]]-F2227)/F2227</f>
        <v>-3.7837837837837882E-2</v>
      </c>
      <c r="H2228" t="e" cm="1" vm="1">
        <f t="array" aca="1" ref="H2228" ca="1">VLOOKUP(Cpi_[[#This Row],[Year]:[Month]],crudeoil[],3,FALSE)</f>
        <v>#VALUE!</v>
      </c>
    </row>
    <row r="2229" spans="1:8" hidden="1" x14ac:dyDescent="0.3">
      <c r="A2229" t="s">
        <v>33</v>
      </c>
      <c r="B2229">
        <v>2015</v>
      </c>
      <c r="C2229" t="s">
        <v>37</v>
      </c>
      <c r="D2229" t="s">
        <v>16</v>
      </c>
      <c r="E2229" t="e">
        <f>VLOOKUP(Cpi_[[#This Row],[Attribute]],#REF!,2,FALSE)</f>
        <v>#REF!</v>
      </c>
      <c r="F2229">
        <v>130.1</v>
      </c>
      <c r="G2229">
        <f>(Cpi_[[#This Row],[Value]]-F2228)/F2228</f>
        <v>4.414125200642055E-2</v>
      </c>
      <c r="H2229" t="e" cm="1" vm="1">
        <f t="array" aca="1" ref="H2229" ca="1">VLOOKUP(Cpi_[[#This Row],[Year]:[Month]],crudeoil[],3,FALSE)</f>
        <v>#VALUE!</v>
      </c>
    </row>
    <row r="2230" spans="1:8" hidden="1" x14ac:dyDescent="0.3">
      <c r="A2230" t="s">
        <v>33</v>
      </c>
      <c r="B2230">
        <v>2015</v>
      </c>
      <c r="C2230" t="s">
        <v>37</v>
      </c>
      <c r="D2230" t="s">
        <v>17</v>
      </c>
      <c r="E2230" t="e">
        <f>VLOOKUP(Cpi_[[#This Row],[Attribute]],#REF!,2,FALSE)</f>
        <v>#REF!</v>
      </c>
      <c r="F2230">
        <v>122.1</v>
      </c>
      <c r="G2230">
        <f>(Cpi_[[#This Row],[Value]]-F2229)/F2229</f>
        <v>-6.149116064565719E-2</v>
      </c>
      <c r="H2230" t="e" cm="1" vm="1">
        <f t="array" aca="1" ref="H2230" ca="1">VLOOKUP(Cpi_[[#This Row],[Year]:[Month]],crudeoil[],3,FALSE)</f>
        <v>#VALUE!</v>
      </c>
    </row>
    <row r="2231" spans="1:8" hidden="1" x14ac:dyDescent="0.3">
      <c r="A2231" t="s">
        <v>33</v>
      </c>
      <c r="B2231">
        <v>2015</v>
      </c>
      <c r="C2231" t="s">
        <v>37</v>
      </c>
      <c r="D2231" t="s">
        <v>18</v>
      </c>
      <c r="E2231" t="e">
        <f>VLOOKUP(Cpi_[[#This Row],[Attribute]],#REF!,2,FALSE)</f>
        <v>#REF!</v>
      </c>
      <c r="F2231">
        <v>117.2</v>
      </c>
      <c r="G2231">
        <f>(Cpi_[[#This Row],[Value]]-F2230)/F2230</f>
        <v>-4.0131040131040061E-2</v>
      </c>
      <c r="H2231" t="e" cm="1" vm="1">
        <f t="array" aca="1" ref="H2231" ca="1">VLOOKUP(Cpi_[[#This Row],[Year]:[Month]],crudeoil[],3,FALSE)</f>
        <v>#VALUE!</v>
      </c>
    </row>
    <row r="2232" spans="1:8" hidden="1" x14ac:dyDescent="0.3">
      <c r="A2232" t="s">
        <v>33</v>
      </c>
      <c r="B2232">
        <v>2015</v>
      </c>
      <c r="C2232" t="s">
        <v>37</v>
      </c>
      <c r="D2232" t="s">
        <v>19</v>
      </c>
      <c r="E2232" t="e">
        <f>VLOOKUP(Cpi_[[#This Row],[Attribute]],#REF!,2,FALSE)</f>
        <v>#REF!</v>
      </c>
      <c r="F2232">
        <v>121.3</v>
      </c>
      <c r="G2232">
        <f>(Cpi_[[#This Row],[Value]]-F2231)/F2231</f>
        <v>3.4982935153583569E-2</v>
      </c>
      <c r="H2232" t="e" cm="1" vm="1">
        <f t="array" aca="1" ref="H2232" ca="1">VLOOKUP(Cpi_[[#This Row],[Year]:[Month]],crudeoil[],3,FALSE)</f>
        <v>#VALUE!</v>
      </c>
    </row>
    <row r="2233" spans="1:8" hidden="1" x14ac:dyDescent="0.3">
      <c r="A2233" t="s">
        <v>33</v>
      </c>
      <c r="B2233">
        <v>2015</v>
      </c>
      <c r="C2233" t="s">
        <v>37</v>
      </c>
      <c r="D2233" t="s">
        <v>20</v>
      </c>
      <c r="E2233" t="e">
        <f>VLOOKUP(Cpi_[[#This Row],[Attribute]],#REF!,2,FALSE)</f>
        <v>#REF!</v>
      </c>
      <c r="F2233">
        <v>119.2</v>
      </c>
      <c r="G2233">
        <f>(Cpi_[[#This Row],[Value]]-F2232)/F2232</f>
        <v>-1.7312448474855684E-2</v>
      </c>
      <c r="H2233" t="e" cm="1" vm="1">
        <f t="array" aca="1" ref="H2233" ca="1">VLOOKUP(Cpi_[[#This Row],[Year]:[Month]],crudeoil[],3,FALSE)</f>
        <v>#VALUE!</v>
      </c>
    </row>
    <row r="2234" spans="1:8" hidden="1" x14ac:dyDescent="0.3">
      <c r="A2234" t="s">
        <v>33</v>
      </c>
      <c r="B2234">
        <v>2015</v>
      </c>
      <c r="C2234" t="s">
        <v>37</v>
      </c>
      <c r="D2234" t="s">
        <v>21</v>
      </c>
      <c r="E2234" t="e">
        <f>VLOOKUP(Cpi_[[#This Row],[Attribute]],#REF!,2,FALSE)</f>
        <v>#REF!</v>
      </c>
      <c r="F2234">
        <v>114.7</v>
      </c>
      <c r="G2234">
        <f>(Cpi_[[#This Row],[Value]]-F2233)/F2233</f>
        <v>-3.7751677852348994E-2</v>
      </c>
      <c r="H2234" t="e" cm="1" vm="1">
        <f t="array" aca="1" ref="H2234" ca="1">VLOOKUP(Cpi_[[#This Row],[Year]:[Month]],crudeoil[],3,FALSE)</f>
        <v>#VALUE!</v>
      </c>
    </row>
    <row r="2235" spans="1:8" hidden="1" x14ac:dyDescent="0.3">
      <c r="A2235" t="s">
        <v>33</v>
      </c>
      <c r="B2235">
        <v>2015</v>
      </c>
      <c r="C2235" t="s">
        <v>37</v>
      </c>
      <c r="D2235" t="s">
        <v>22</v>
      </c>
      <c r="E2235" t="e">
        <f>VLOOKUP(Cpi_[[#This Row],[Attribute]],#REF!,2,FALSE)</f>
        <v>#REF!</v>
      </c>
      <c r="F2235">
        <v>118.4</v>
      </c>
      <c r="G2235">
        <f>(Cpi_[[#This Row],[Value]]-F2234)/F2234</f>
        <v>3.2258064516129059E-2</v>
      </c>
      <c r="H2235" t="e" cm="1" vm="1">
        <f t="array" aca="1" ref="H2235" ca="1">VLOOKUP(Cpi_[[#This Row],[Year]:[Month]],crudeoil[],3,FALSE)</f>
        <v>#VALUE!</v>
      </c>
    </row>
    <row r="2236" spans="1:8" hidden="1" x14ac:dyDescent="0.3">
      <c r="A2236" t="s">
        <v>33</v>
      </c>
      <c r="B2236">
        <v>2015</v>
      </c>
      <c r="C2236" t="s">
        <v>37</v>
      </c>
      <c r="D2236" t="s">
        <v>23</v>
      </c>
      <c r="E2236" t="e">
        <f>VLOOKUP(Cpi_[[#This Row],[Attribute]],#REF!,2,FALSE)</f>
        <v>#REF!</v>
      </c>
      <c r="F2236">
        <v>114.6</v>
      </c>
      <c r="G2236">
        <f>(Cpi_[[#This Row],[Value]]-F2235)/F2235</f>
        <v>-3.209459459459469E-2</v>
      </c>
      <c r="H2236" t="e" cm="1" vm="1">
        <f t="array" aca="1" ref="H2236" ca="1">VLOOKUP(Cpi_[[#This Row],[Year]:[Month]],crudeoil[],3,FALSE)</f>
        <v>#VALUE!</v>
      </c>
    </row>
    <row r="2237" spans="1:8" hidden="1" x14ac:dyDescent="0.3">
      <c r="A2237" t="s">
        <v>33</v>
      </c>
      <c r="B2237">
        <v>2015</v>
      </c>
      <c r="C2237" t="s">
        <v>37</v>
      </c>
      <c r="D2237" t="s">
        <v>24</v>
      </c>
      <c r="E2237" t="e">
        <f>VLOOKUP(Cpi_[[#This Row],[Attribute]],#REF!,2,FALSE)</f>
        <v>#REF!</v>
      </c>
      <c r="F2237">
        <v>108.4</v>
      </c>
      <c r="G2237">
        <f>(Cpi_[[#This Row],[Value]]-F2236)/F2236</f>
        <v>-5.4101221640488563E-2</v>
      </c>
      <c r="H2237" t="e" cm="1" vm="1">
        <f t="array" aca="1" ref="H2237" ca="1">VLOOKUP(Cpi_[[#This Row],[Year]:[Month]],crudeoil[],3,FALSE)</f>
        <v>#VALUE!</v>
      </c>
    </row>
    <row r="2238" spans="1:8" hidden="1" x14ac:dyDescent="0.3">
      <c r="A2238" t="s">
        <v>33</v>
      </c>
      <c r="B2238">
        <v>2015</v>
      </c>
      <c r="C2238" t="s">
        <v>37</v>
      </c>
      <c r="D2238" t="s">
        <v>25</v>
      </c>
      <c r="E2238" t="e">
        <f>VLOOKUP(Cpi_[[#This Row],[Attribute]],#REF!,2,FALSE)</f>
        <v>#REF!</v>
      </c>
      <c r="F2238">
        <v>115.6</v>
      </c>
      <c r="G2238">
        <f>(Cpi_[[#This Row],[Value]]-F2237)/F2237</f>
        <v>6.6420664206641958E-2</v>
      </c>
      <c r="H2238" t="e" cm="1" vm="1">
        <f t="array" aca="1" ref="H2238" ca="1">VLOOKUP(Cpi_[[#This Row],[Year]:[Month]],crudeoil[],3,FALSE)</f>
        <v>#VALUE!</v>
      </c>
    </row>
    <row r="2239" spans="1:8" hidden="1" x14ac:dyDescent="0.3">
      <c r="A2239" t="s">
        <v>33</v>
      </c>
      <c r="B2239">
        <v>2015</v>
      </c>
      <c r="C2239" t="s">
        <v>37</v>
      </c>
      <c r="D2239" t="s">
        <v>26</v>
      </c>
      <c r="E2239" t="e">
        <f>VLOOKUP(Cpi_[[#This Row],[Attribute]],#REF!,2,FALSE)</f>
        <v>#REF!</v>
      </c>
      <c r="F2239">
        <v>121.7</v>
      </c>
      <c r="G2239">
        <f>(Cpi_[[#This Row],[Value]]-F2238)/F2238</f>
        <v>5.2768166089965471E-2</v>
      </c>
      <c r="H2239" t="e" cm="1" vm="1">
        <f t="array" aca="1" ref="H2239" ca="1">VLOOKUP(Cpi_[[#This Row],[Year]:[Month]],crudeoil[],3,FALSE)</f>
        <v>#VALUE!</v>
      </c>
    </row>
    <row r="2240" spans="1:8" hidden="1" x14ac:dyDescent="0.3">
      <c r="A2240" t="s">
        <v>33</v>
      </c>
      <c r="B2240">
        <v>2015</v>
      </c>
      <c r="C2240" t="s">
        <v>37</v>
      </c>
      <c r="D2240" t="s">
        <v>27</v>
      </c>
      <c r="E2240" t="e">
        <f>VLOOKUP(Cpi_[[#This Row],[Attribute]],#REF!,2,FALSE)</f>
        <v>#REF!</v>
      </c>
      <c r="F2240">
        <v>111.8</v>
      </c>
      <c r="G2240">
        <f>(Cpi_[[#This Row],[Value]]-F2239)/F2239</f>
        <v>-8.134757600657358E-2</v>
      </c>
      <c r="H2240" t="e" cm="1" vm="1">
        <f t="array" aca="1" ref="H2240" ca="1">VLOOKUP(Cpi_[[#This Row],[Year]:[Month]],crudeoil[],3,FALSE)</f>
        <v>#VALUE!</v>
      </c>
    </row>
    <row r="2241" spans="1:8" hidden="1" x14ac:dyDescent="0.3">
      <c r="A2241" t="s">
        <v>33</v>
      </c>
      <c r="B2241">
        <v>2015</v>
      </c>
      <c r="C2241" t="s">
        <v>37</v>
      </c>
      <c r="D2241" t="s">
        <v>28</v>
      </c>
      <c r="E2241" t="e">
        <f>VLOOKUP(Cpi_[[#This Row],[Attribute]],#REF!,2,FALSE)</f>
        <v>#REF!</v>
      </c>
      <c r="F2241">
        <v>114.2</v>
      </c>
      <c r="G2241">
        <f>(Cpi_[[#This Row],[Value]]-F2240)/F2240</f>
        <v>2.1466905187835471E-2</v>
      </c>
      <c r="H2241" t="e" cm="1" vm="1">
        <f t="array" aca="1" ref="H2241" ca="1">VLOOKUP(Cpi_[[#This Row],[Year]:[Month]],crudeoil[],3,FALSE)</f>
        <v>#VALUE!</v>
      </c>
    </row>
    <row r="2242" spans="1:8" hidden="1" x14ac:dyDescent="0.3">
      <c r="A2242" t="s">
        <v>33</v>
      </c>
      <c r="B2242">
        <v>2015</v>
      </c>
      <c r="C2242" t="s">
        <v>37</v>
      </c>
      <c r="D2242" t="s">
        <v>29</v>
      </c>
      <c r="E2242" t="e" cm="1">
        <f t="array" aca="1" ref="E2242" ca="1">VLGeneral indexGeneral indexKUP(Cpi_[[#This Row],[Attribute]],#REF!,2,FALSE)</f>
        <v>#NAME?</v>
      </c>
      <c r="F2242">
        <v>119.7</v>
      </c>
      <c r="G2242">
        <f>(Cpi_[[#This Row],[Value]]-F2241)/F2241</f>
        <v>4.816112084063047E-2</v>
      </c>
      <c r="H2242" t="e" cm="1" vm="1">
        <f t="array" aca="1" ref="H2242" ca="1">VLOOKUP(Cpi_[[#This Row],[Year]:[Month]],crudeoil[],3,FALSE)</f>
        <v>#VALUE!</v>
      </c>
    </row>
    <row r="2243" spans="1:8" hidden="1" x14ac:dyDescent="0.3">
      <c r="A2243" t="s">
        <v>34</v>
      </c>
      <c r="B2243">
        <v>2015</v>
      </c>
      <c r="C2243" t="s">
        <v>37</v>
      </c>
      <c r="D2243" t="s">
        <v>3</v>
      </c>
      <c r="E2243" t="e">
        <f>VLOOKUP(Cpi_[[#This Row],[Attribute]],#REF!,2,FALSE)</f>
        <v>#REF!</v>
      </c>
      <c r="F2243">
        <v>123.5</v>
      </c>
      <c r="G2243">
        <f>(Cpi_[[#This Row],[Value]]-F2242)/F2242</f>
        <v>3.1746031746031723E-2</v>
      </c>
      <c r="H2243" t="e" cm="1" vm="1">
        <f t="array" aca="1" ref="H2243" ca="1">VLOOKUP(Cpi_[[#This Row],[Year]:[Month]],crudeoil[],3,FALSE)</f>
        <v>#VALUE!</v>
      </c>
    </row>
    <row r="2244" spans="1:8" hidden="1" x14ac:dyDescent="0.3">
      <c r="A2244" t="s">
        <v>34</v>
      </c>
      <c r="B2244">
        <v>2015</v>
      </c>
      <c r="C2244" t="s">
        <v>37</v>
      </c>
      <c r="D2244" t="s">
        <v>4</v>
      </c>
      <c r="E2244" t="e">
        <f>VLOOKUP(Cpi_[[#This Row],[Attribute]],#REF!,2,FALSE)</f>
        <v>#REF!</v>
      </c>
      <c r="F2244">
        <v>126.4</v>
      </c>
      <c r="G2244">
        <f>(Cpi_[[#This Row],[Value]]-F2243)/F2243</f>
        <v>2.3481781376518265E-2</v>
      </c>
      <c r="H2244" t="e" cm="1" vm="1">
        <f t="array" aca="1" ref="H2244" ca="1">VLOOKUP(Cpi_[[#This Row],[Year]:[Month]],crudeoil[],3,FALSE)</f>
        <v>#VALUE!</v>
      </c>
    </row>
    <row r="2245" spans="1:8" hidden="1" x14ac:dyDescent="0.3">
      <c r="A2245" t="s">
        <v>34</v>
      </c>
      <c r="B2245">
        <v>2015</v>
      </c>
      <c r="C2245" t="s">
        <v>37</v>
      </c>
      <c r="D2245" t="s">
        <v>5</v>
      </c>
      <c r="E2245" t="e">
        <f>VLOOKUP(Cpi_[[#This Row],[Attribute]],#REF!,2,FALSE)</f>
        <v>#REF!</v>
      </c>
      <c r="F2245">
        <v>114.4</v>
      </c>
      <c r="G2245">
        <f>(Cpi_[[#This Row],[Value]]-F2244)/F2244</f>
        <v>-9.4936708860759486E-2</v>
      </c>
      <c r="H2245" t="e" cm="1" vm="1">
        <f t="array" aca="1" ref="H2245" ca="1">VLOOKUP(Cpi_[[#This Row],[Year]:[Month]],crudeoil[],3,FALSE)</f>
        <v>#VALUE!</v>
      </c>
    </row>
    <row r="2246" spans="1:8" hidden="1" x14ac:dyDescent="0.3">
      <c r="A2246" t="s">
        <v>34</v>
      </c>
      <c r="B2246">
        <v>2015</v>
      </c>
      <c r="C2246" t="s">
        <v>37</v>
      </c>
      <c r="D2246" t="s">
        <v>6</v>
      </c>
      <c r="E2246" t="e">
        <f>VLOOKUP(Cpi_[[#This Row],[Attribute]],#REF!,2,FALSE)</f>
        <v>#REF!</v>
      </c>
      <c r="F2246">
        <v>126.6</v>
      </c>
      <c r="G2246">
        <f>(Cpi_[[#This Row],[Value]]-F2245)/F2245</f>
        <v>0.10664335664335654</v>
      </c>
      <c r="H2246" t="e" cm="1" vm="1">
        <f t="array" aca="1" ref="H2246" ca="1">VLOOKUP(Cpi_[[#This Row],[Year]:[Month]],crudeoil[],3,FALSE)</f>
        <v>#VALUE!</v>
      </c>
    </row>
    <row r="2247" spans="1:8" hidden="1" x14ac:dyDescent="0.3">
      <c r="A2247" t="s">
        <v>34</v>
      </c>
      <c r="B2247">
        <v>2015</v>
      </c>
      <c r="C2247" t="s">
        <v>37</v>
      </c>
      <c r="D2247" t="s">
        <v>7</v>
      </c>
      <c r="E2247" t="e">
        <f>VLOOKUP(Cpi_[[#This Row],[Attribute]],#REF!,2,FALSE)</f>
        <v>#REF!</v>
      </c>
      <c r="F2247">
        <v>109.2</v>
      </c>
      <c r="G2247">
        <f>(Cpi_[[#This Row],[Value]]-F2246)/F2246</f>
        <v>-0.13744075829383881</v>
      </c>
      <c r="H2247" t="e" cm="1" vm="1">
        <f t="array" aca="1" ref="H2247" ca="1">VLOOKUP(Cpi_[[#This Row],[Year]:[Month]],crudeoil[],3,FALSE)</f>
        <v>#VALUE!</v>
      </c>
    </row>
    <row r="2248" spans="1:8" hidden="1" x14ac:dyDescent="0.3">
      <c r="A2248" t="s">
        <v>34</v>
      </c>
      <c r="B2248">
        <v>2015</v>
      </c>
      <c r="C2248" t="s">
        <v>37</v>
      </c>
      <c r="D2248" t="s">
        <v>8</v>
      </c>
      <c r="E2248" t="e">
        <f>VLOOKUP(Cpi_[[#This Row],[Attribute]],#REF!,2,FALSE)</f>
        <v>#REF!</v>
      </c>
      <c r="F2248">
        <v>132.5</v>
      </c>
      <c r="G2248">
        <f>(Cpi_[[#This Row],[Value]]-F2247)/F2247</f>
        <v>0.21336996336996333</v>
      </c>
      <c r="H2248" t="e" cm="1" vm="1">
        <f t="array" aca="1" ref="H2248" ca="1">VLOOKUP(Cpi_[[#This Row],[Year]:[Month]],crudeoil[],3,FALSE)</f>
        <v>#VALUE!</v>
      </c>
    </row>
    <row r="2249" spans="1:8" hidden="1" x14ac:dyDescent="0.3">
      <c r="A2249" t="s">
        <v>34</v>
      </c>
      <c r="B2249">
        <v>2015</v>
      </c>
      <c r="C2249" t="s">
        <v>37</v>
      </c>
      <c r="D2249" t="s">
        <v>9</v>
      </c>
      <c r="E2249" t="e">
        <f>VLOOKUP(Cpi_[[#This Row],[Attribute]],#REF!,2,FALSE)</f>
        <v>#REF!</v>
      </c>
      <c r="F2249">
        <v>128.6</v>
      </c>
      <c r="G2249">
        <f>(Cpi_[[#This Row],[Value]]-F2248)/F2248</f>
        <v>-2.9433962264150987E-2</v>
      </c>
      <c r="H2249" t="e" cm="1" vm="1">
        <f t="array" aca="1" ref="H2249" ca="1">VLOOKUP(Cpi_[[#This Row],[Year]:[Month]],crudeoil[],3,FALSE)</f>
        <v>#VALUE!</v>
      </c>
    </row>
    <row r="2250" spans="1:8" hidden="1" x14ac:dyDescent="0.3">
      <c r="A2250" t="s">
        <v>34</v>
      </c>
      <c r="B2250">
        <v>2015</v>
      </c>
      <c r="C2250" t="s">
        <v>37</v>
      </c>
      <c r="D2250" t="s">
        <v>10</v>
      </c>
      <c r="E2250" t="e">
        <f>VLOOKUP(Cpi_[[#This Row],[Attribute]],#REF!,2,FALSE)</f>
        <v>#REF!</v>
      </c>
      <c r="F2250">
        <v>124.8</v>
      </c>
      <c r="G2250">
        <f>(Cpi_[[#This Row],[Value]]-F2249)/F2249</f>
        <v>-2.9548989113530304E-2</v>
      </c>
      <c r="H2250" t="e" cm="1" vm="1">
        <f t="array" aca="1" ref="H2250" ca="1">VLOOKUP(Cpi_[[#This Row],[Year]:[Month]],crudeoil[],3,FALSE)</f>
        <v>#VALUE!</v>
      </c>
    </row>
    <row r="2251" spans="1:8" hidden="1" x14ac:dyDescent="0.3">
      <c r="A2251" t="s">
        <v>34</v>
      </c>
      <c r="B2251">
        <v>2015</v>
      </c>
      <c r="C2251" t="s">
        <v>37</v>
      </c>
      <c r="D2251" t="s">
        <v>11</v>
      </c>
      <c r="E2251" t="e">
        <f>VLOOKUP(Cpi_[[#This Row],[Attribute]],#REF!,2,FALSE)</f>
        <v>#REF!</v>
      </c>
      <c r="F2251">
        <v>95.7</v>
      </c>
      <c r="G2251">
        <f>(Cpi_[[#This Row],[Value]]-F2250)/F2250</f>
        <v>-0.23317307692307687</v>
      </c>
      <c r="H2251" t="e" cm="1" vm="1">
        <f t="array" aca="1" ref="H2251" ca="1">VLOOKUP(Cpi_[[#This Row],[Year]:[Month]],crudeoil[],3,FALSE)</f>
        <v>#VALUE!</v>
      </c>
    </row>
    <row r="2252" spans="1:8" hidden="1" x14ac:dyDescent="0.3">
      <c r="A2252" t="s">
        <v>34</v>
      </c>
      <c r="B2252">
        <v>2015</v>
      </c>
      <c r="C2252" t="s">
        <v>37</v>
      </c>
      <c r="D2252" t="s">
        <v>12</v>
      </c>
      <c r="E2252" t="e">
        <f>VLOOKUP(Cpi_[[#This Row],[Attribute]],#REF!,2,FALSE)</f>
        <v>#REF!</v>
      </c>
      <c r="F2252">
        <v>122.4</v>
      </c>
      <c r="G2252">
        <f>(Cpi_[[#This Row],[Value]]-F2251)/F2251</f>
        <v>0.27899686520376177</v>
      </c>
      <c r="H2252" t="e" cm="1" vm="1">
        <f t="array" aca="1" ref="H2252" ca="1">VLOOKUP(Cpi_[[#This Row],[Year]:[Month]],crudeoil[],3,FALSE)</f>
        <v>#VALUE!</v>
      </c>
    </row>
    <row r="2253" spans="1:8" hidden="1" x14ac:dyDescent="0.3">
      <c r="A2253" t="s">
        <v>34</v>
      </c>
      <c r="B2253">
        <v>2015</v>
      </c>
      <c r="C2253" t="s">
        <v>37</v>
      </c>
      <c r="D2253" t="s">
        <v>13</v>
      </c>
      <c r="E2253" t="e">
        <f>VLOOKUP(Cpi_[[#This Row],[Attribute]],#REF!,2,FALSE)</f>
        <v>#REF!</v>
      </c>
      <c r="F2253">
        <v>118.5</v>
      </c>
      <c r="G2253">
        <f>(Cpi_[[#This Row],[Value]]-F2252)/F2252</f>
        <v>-3.1862745098039262E-2</v>
      </c>
      <c r="H2253" t="e" cm="1" vm="1">
        <f t="array" aca="1" ref="H2253" ca="1">VLOOKUP(Cpi_[[#This Row],[Year]:[Month]],crudeoil[],3,FALSE)</f>
        <v>#VALUE!</v>
      </c>
    </row>
    <row r="2254" spans="1:8" hidden="1" x14ac:dyDescent="0.3">
      <c r="A2254" t="s">
        <v>34</v>
      </c>
      <c r="B2254">
        <v>2015</v>
      </c>
      <c r="C2254" t="s">
        <v>37</v>
      </c>
      <c r="D2254" t="s">
        <v>14</v>
      </c>
      <c r="E2254" t="e">
        <f>VLOOKUP(Cpi_[[#This Row],[Attribute]],#REF!,2,FALSE)</f>
        <v>#REF!</v>
      </c>
      <c r="F2254">
        <v>129.1</v>
      </c>
      <c r="G2254">
        <f>(Cpi_[[#This Row],[Value]]-F2253)/F2253</f>
        <v>8.9451476793248899E-2</v>
      </c>
      <c r="H2254" t="e" cm="1" vm="1">
        <f t="array" aca="1" ref="H2254" ca="1">VLOOKUP(Cpi_[[#This Row],[Year]:[Month]],crudeoil[],3,FALSE)</f>
        <v>#VALUE!</v>
      </c>
    </row>
    <row r="2255" spans="1:8" hidden="1" x14ac:dyDescent="0.3">
      <c r="A2255" t="s">
        <v>34</v>
      </c>
      <c r="B2255">
        <v>2015</v>
      </c>
      <c r="C2255" t="s">
        <v>37</v>
      </c>
      <c r="D2255" t="s">
        <v>15</v>
      </c>
      <c r="E2255" t="e">
        <f>VLOOKUP(Cpi_[[#This Row],[Attribute]],#REF!,2,FALSE)</f>
        <v>#REF!</v>
      </c>
      <c r="F2255">
        <v>124</v>
      </c>
      <c r="G2255">
        <f>(Cpi_[[#This Row],[Value]]-F2254)/F2254</f>
        <v>-3.9504260263361693E-2</v>
      </c>
      <c r="H2255" t="e" cm="1" vm="1">
        <f t="array" aca="1" ref="H2255" ca="1">VLOOKUP(Cpi_[[#This Row],[Year]:[Month]],crudeoil[],3,FALSE)</f>
        <v>#VALUE!</v>
      </c>
    </row>
    <row r="2256" spans="1:8" hidden="1" x14ac:dyDescent="0.3">
      <c r="A2256" t="s">
        <v>34</v>
      </c>
      <c r="B2256">
        <v>2015</v>
      </c>
      <c r="C2256" t="s">
        <v>37</v>
      </c>
      <c r="D2256" t="s">
        <v>16</v>
      </c>
      <c r="E2256" t="e">
        <f>VLOOKUP(Cpi_[[#This Row],[Attribute]],#REF!,2,FALSE)</f>
        <v>#REF!</v>
      </c>
      <c r="F2256">
        <v>126.9</v>
      </c>
      <c r="G2256">
        <f>(Cpi_[[#This Row],[Value]]-F2255)/F2255</f>
        <v>2.3387096774193594E-2</v>
      </c>
      <c r="H2256" t="e" cm="1" vm="1">
        <f t="array" aca="1" ref="H2256" ca="1">VLOOKUP(Cpi_[[#This Row],[Year]:[Month]],crudeoil[],3,FALSE)</f>
        <v>#VALUE!</v>
      </c>
    </row>
    <row r="2257" spans="1:8" hidden="1" x14ac:dyDescent="0.3">
      <c r="A2257" t="s">
        <v>34</v>
      </c>
      <c r="B2257">
        <v>2015</v>
      </c>
      <c r="C2257" t="s">
        <v>37</v>
      </c>
      <c r="D2257" t="s">
        <v>17</v>
      </c>
      <c r="E2257" t="e">
        <f>VLOOKUP(Cpi_[[#This Row],[Attribute]],#REF!,2,FALSE)</f>
        <v>#REF!</v>
      </c>
      <c r="F2257">
        <v>124.7</v>
      </c>
      <c r="G2257">
        <f>(Cpi_[[#This Row],[Value]]-F2256)/F2256</f>
        <v>-1.7336485421591826E-2</v>
      </c>
      <c r="H2257" t="e" cm="1" vm="1">
        <f t="array" aca="1" ref="H2257" ca="1">VLOOKUP(Cpi_[[#This Row],[Year]:[Month]],crudeoil[],3,FALSE)</f>
        <v>#VALUE!</v>
      </c>
    </row>
    <row r="2258" spans="1:8" hidden="1" x14ac:dyDescent="0.3">
      <c r="A2258" t="s">
        <v>34</v>
      </c>
      <c r="B2258">
        <v>2015</v>
      </c>
      <c r="C2258" t="s">
        <v>37</v>
      </c>
      <c r="D2258" t="s">
        <v>18</v>
      </c>
      <c r="E2258" t="e">
        <f>VLOOKUP(Cpi_[[#This Row],[Attribute]],#REF!,2,FALSE)</f>
        <v>#REF!</v>
      </c>
      <c r="F2258">
        <v>120.8</v>
      </c>
      <c r="G2258">
        <f>(Cpi_[[#This Row],[Value]]-F2257)/F2257</f>
        <v>-3.127506014434648E-2</v>
      </c>
      <c r="H2258" t="e" cm="1" vm="1">
        <f t="array" aca="1" ref="H2258" ca="1">VLOOKUP(Cpi_[[#This Row],[Year]:[Month]],crudeoil[],3,FALSE)</f>
        <v>#VALUE!</v>
      </c>
    </row>
    <row r="2259" spans="1:8" hidden="1" x14ac:dyDescent="0.3">
      <c r="A2259" t="s">
        <v>34</v>
      </c>
      <c r="B2259">
        <v>2015</v>
      </c>
      <c r="C2259" t="s">
        <v>37</v>
      </c>
      <c r="D2259" t="s">
        <v>19</v>
      </c>
      <c r="E2259" t="e">
        <f>VLOOKUP(Cpi_[[#This Row],[Attribute]],#REF!,2,FALSE)</f>
        <v>#REF!</v>
      </c>
      <c r="F2259">
        <v>124.1</v>
      </c>
      <c r="G2259">
        <f>(Cpi_[[#This Row],[Value]]-F2258)/F2258</f>
        <v>2.7317880794701963E-2</v>
      </c>
      <c r="H2259" t="e" cm="1" vm="1">
        <f t="array" aca="1" ref="H2259" ca="1">VLOOKUP(Cpi_[[#This Row],[Year]:[Month]],crudeoil[],3,FALSE)</f>
        <v>#VALUE!</v>
      </c>
    </row>
    <row r="2260" spans="1:8" hidden="1" x14ac:dyDescent="0.3">
      <c r="A2260" t="s">
        <v>34</v>
      </c>
      <c r="B2260">
        <v>2015</v>
      </c>
      <c r="C2260" t="s">
        <v>37</v>
      </c>
      <c r="D2260" t="s">
        <v>20</v>
      </c>
      <c r="E2260" t="e">
        <f>VLOOKUP(Cpi_[[#This Row],[Attribute]],#REF!,2,FALSE)</f>
        <v>#REF!</v>
      </c>
      <c r="F2260">
        <v>119.2</v>
      </c>
      <c r="G2260">
        <f>(Cpi_[[#This Row],[Value]]-F2259)/F2259</f>
        <v>-3.948428686543104E-2</v>
      </c>
      <c r="H2260" t="e" cm="1" vm="1">
        <f t="array" aca="1" ref="H2260" ca="1">VLOOKUP(Cpi_[[#This Row],[Year]:[Month]],crudeoil[],3,FALSE)</f>
        <v>#VALUE!</v>
      </c>
    </row>
    <row r="2261" spans="1:8" hidden="1" x14ac:dyDescent="0.3">
      <c r="A2261" t="s">
        <v>34</v>
      </c>
      <c r="B2261">
        <v>2015</v>
      </c>
      <c r="C2261" t="s">
        <v>37</v>
      </c>
      <c r="D2261" t="s">
        <v>21</v>
      </c>
      <c r="E2261" t="e">
        <f>VLOOKUP(Cpi_[[#This Row],[Attribute]],#REF!,2,FALSE)</f>
        <v>#REF!</v>
      </c>
      <c r="F2261">
        <v>118.7</v>
      </c>
      <c r="G2261">
        <f>(Cpi_[[#This Row],[Value]]-F2260)/F2260</f>
        <v>-4.1946308724832215E-3</v>
      </c>
      <c r="H2261" t="e" cm="1" vm="1">
        <f t="array" aca="1" ref="H2261" ca="1">VLOOKUP(Cpi_[[#This Row],[Year]:[Month]],crudeoil[],3,FALSE)</f>
        <v>#VALUE!</v>
      </c>
    </row>
    <row r="2262" spans="1:8" hidden="1" x14ac:dyDescent="0.3">
      <c r="A2262" t="s">
        <v>34</v>
      </c>
      <c r="B2262">
        <v>2015</v>
      </c>
      <c r="C2262" t="s">
        <v>37</v>
      </c>
      <c r="D2262" t="s">
        <v>22</v>
      </c>
      <c r="E2262" t="e">
        <f>VLOOKUP(Cpi_[[#This Row],[Attribute]],#REF!,2,FALSE)</f>
        <v>#REF!</v>
      </c>
      <c r="F2262">
        <v>119.7</v>
      </c>
      <c r="G2262">
        <f>(Cpi_[[#This Row],[Value]]-F2261)/F2261</f>
        <v>8.4245998315080027E-3</v>
      </c>
      <c r="H2262" t="e" cm="1" vm="1">
        <f t="array" aca="1" ref="H2262" ca="1">VLOOKUP(Cpi_[[#This Row],[Year]:[Month]],crudeoil[],3,FALSE)</f>
        <v>#VALUE!</v>
      </c>
    </row>
    <row r="2263" spans="1:8" hidden="1" x14ac:dyDescent="0.3">
      <c r="A2263" t="s">
        <v>34</v>
      </c>
      <c r="B2263">
        <v>2015</v>
      </c>
      <c r="C2263" t="s">
        <v>37</v>
      </c>
      <c r="D2263" t="s">
        <v>23</v>
      </c>
      <c r="E2263" t="e">
        <f>VLOOKUP(Cpi_[[#This Row],[Attribute]],#REF!,2,FALSE)</f>
        <v>#REF!</v>
      </c>
      <c r="F2263">
        <v>117.1</v>
      </c>
      <c r="G2263">
        <f>(Cpi_[[#This Row],[Value]]-F2262)/F2262</f>
        <v>-2.1720969089390214E-2</v>
      </c>
      <c r="H2263" t="e" cm="1" vm="1">
        <f t="array" aca="1" ref="H2263" ca="1">VLOOKUP(Cpi_[[#This Row],[Year]:[Month]],crudeoil[],3,FALSE)</f>
        <v>#VALUE!</v>
      </c>
    </row>
    <row r="2264" spans="1:8" hidden="1" x14ac:dyDescent="0.3">
      <c r="A2264" t="s">
        <v>34</v>
      </c>
      <c r="B2264">
        <v>2015</v>
      </c>
      <c r="C2264" t="s">
        <v>37</v>
      </c>
      <c r="D2264" t="s">
        <v>24</v>
      </c>
      <c r="E2264" t="e">
        <f>VLOOKUP(Cpi_[[#This Row],[Attribute]],#REF!,2,FALSE)</f>
        <v>#REF!</v>
      </c>
      <c r="F2264">
        <v>110.1</v>
      </c>
      <c r="G2264">
        <f>(Cpi_[[#This Row],[Value]]-F2263)/F2263</f>
        <v>-5.9777967549103334E-2</v>
      </c>
      <c r="H2264" t="e" cm="1" vm="1">
        <f t="array" aca="1" ref="H2264" ca="1">VLOOKUP(Cpi_[[#This Row],[Year]:[Month]],crudeoil[],3,FALSE)</f>
        <v>#VALUE!</v>
      </c>
    </row>
    <row r="2265" spans="1:8" hidden="1" x14ac:dyDescent="0.3">
      <c r="A2265" t="s">
        <v>34</v>
      </c>
      <c r="B2265">
        <v>2015</v>
      </c>
      <c r="C2265" t="s">
        <v>37</v>
      </c>
      <c r="D2265" t="s">
        <v>25</v>
      </c>
      <c r="E2265" t="e">
        <f>VLOOKUP(Cpi_[[#This Row],[Attribute]],#REF!,2,FALSE)</f>
        <v>#REF!</v>
      </c>
      <c r="F2265">
        <v>115.9</v>
      </c>
      <c r="G2265">
        <f>(Cpi_[[#This Row],[Value]]-F2264)/F2264</f>
        <v>5.2679382379654964E-2</v>
      </c>
      <c r="H2265" t="e" cm="1" vm="1">
        <f t="array" aca="1" ref="H2265" ca="1">VLOOKUP(Cpi_[[#This Row],[Year]:[Month]],crudeoil[],3,FALSE)</f>
        <v>#VALUE!</v>
      </c>
    </row>
    <row r="2266" spans="1:8" hidden="1" x14ac:dyDescent="0.3">
      <c r="A2266" t="s">
        <v>34</v>
      </c>
      <c r="B2266">
        <v>2015</v>
      </c>
      <c r="C2266" t="s">
        <v>37</v>
      </c>
      <c r="D2266" t="s">
        <v>26</v>
      </c>
      <c r="E2266" t="e">
        <f>VLOOKUP(Cpi_[[#This Row],[Attribute]],#REF!,2,FALSE)</f>
        <v>#REF!</v>
      </c>
      <c r="F2266">
        <v>121</v>
      </c>
      <c r="G2266">
        <f>(Cpi_[[#This Row],[Value]]-F2265)/F2265</f>
        <v>4.4003451251078463E-2</v>
      </c>
      <c r="H2266" t="e" cm="1" vm="1">
        <f t="array" aca="1" ref="H2266" ca="1">VLOOKUP(Cpi_[[#This Row],[Year]:[Month]],crudeoil[],3,FALSE)</f>
        <v>#VALUE!</v>
      </c>
    </row>
    <row r="2267" spans="1:8" hidden="1" x14ac:dyDescent="0.3">
      <c r="A2267" t="s">
        <v>34</v>
      </c>
      <c r="B2267">
        <v>2015</v>
      </c>
      <c r="C2267" t="s">
        <v>37</v>
      </c>
      <c r="D2267" t="s">
        <v>27</v>
      </c>
      <c r="E2267" t="e">
        <f>VLOOKUP(Cpi_[[#This Row],[Attribute]],#REF!,2,FALSE)</f>
        <v>#REF!</v>
      </c>
      <c r="F2267">
        <v>111.7</v>
      </c>
      <c r="G2267">
        <f>(Cpi_[[#This Row],[Value]]-F2266)/F2266</f>
        <v>-7.6859504132231388E-2</v>
      </c>
      <c r="H2267" t="e" cm="1" vm="1">
        <f t="array" aca="1" ref="H2267" ca="1">VLOOKUP(Cpi_[[#This Row],[Year]:[Month]],crudeoil[],3,FALSE)</f>
        <v>#VALUE!</v>
      </c>
    </row>
    <row r="2268" spans="1:8" hidden="1" x14ac:dyDescent="0.3">
      <c r="A2268" t="s">
        <v>34</v>
      </c>
      <c r="B2268">
        <v>2015</v>
      </c>
      <c r="C2268" t="s">
        <v>37</v>
      </c>
      <c r="D2268" t="s">
        <v>28</v>
      </c>
      <c r="E2268" t="e">
        <f>VLOOKUP(Cpi_[[#This Row],[Attribute]],#REF!,2,FALSE)</f>
        <v>#REF!</v>
      </c>
      <c r="F2268">
        <v>115.1</v>
      </c>
      <c r="G2268">
        <f>(Cpi_[[#This Row],[Value]]-F2267)/F2267</f>
        <v>3.04386750223813E-2</v>
      </c>
      <c r="H2268" t="e" cm="1" vm="1">
        <f t="array" aca="1" ref="H2268" ca="1">VLOOKUP(Cpi_[[#This Row],[Year]:[Month]],crudeoil[],3,FALSE)</f>
        <v>#VALUE!</v>
      </c>
    </row>
    <row r="2269" spans="1:8" hidden="1" x14ac:dyDescent="0.3">
      <c r="A2269" t="s">
        <v>34</v>
      </c>
      <c r="B2269">
        <v>2015</v>
      </c>
      <c r="C2269" t="s">
        <v>37</v>
      </c>
      <c r="D2269" t="s">
        <v>29</v>
      </c>
      <c r="E2269" t="e" cm="1">
        <f t="array" aca="1" ref="E2269" ca="1">VLGeneral indexGeneral indexKUP(Cpi_[[#This Row],[Attribute]],#REF!,2,FALSE)</f>
        <v>#NAME?</v>
      </c>
      <c r="F2269">
        <v>120.7</v>
      </c>
      <c r="G2269">
        <f>(Cpi_[[#This Row],[Value]]-F2268)/F2268</f>
        <v>4.8653344917463155E-2</v>
      </c>
      <c r="H2269" t="e" cm="1" vm="1">
        <f t="array" aca="1" ref="H2269" ca="1">VLOOKUP(Cpi_[[#This Row],[Year]:[Month]],crudeoil[],3,FALSE)</f>
        <v>#VALUE!</v>
      </c>
    </row>
    <row r="2270" spans="1:8" hidden="1" x14ac:dyDescent="0.3">
      <c r="A2270" t="s">
        <v>30</v>
      </c>
      <c r="B2270">
        <v>2015</v>
      </c>
      <c r="C2270" t="s">
        <v>38</v>
      </c>
      <c r="D2270" t="s">
        <v>3</v>
      </c>
      <c r="E2270" t="e">
        <f>VLOOKUP(Cpi_[[#This Row],[Attribute]],#REF!,2,FALSE)</f>
        <v>#REF!</v>
      </c>
      <c r="F2270">
        <v>123.5</v>
      </c>
      <c r="G2270">
        <f>(Cpi_[[#This Row],[Value]]-F2269)/F2269</f>
        <v>2.3198011599005777E-2</v>
      </c>
      <c r="H2270" t="e" cm="1" vm="1">
        <f t="array" aca="1" ref="H2270" ca="1">VLOOKUP(Cpi_[[#This Row],[Year]:[Month]],crudeoil[],3,FALSE)</f>
        <v>#VALUE!</v>
      </c>
    </row>
    <row r="2271" spans="1:8" hidden="1" x14ac:dyDescent="0.3">
      <c r="A2271" t="s">
        <v>30</v>
      </c>
      <c r="B2271">
        <v>2015</v>
      </c>
      <c r="C2271" t="s">
        <v>38</v>
      </c>
      <c r="D2271" t="s">
        <v>4</v>
      </c>
      <c r="E2271" t="e">
        <f>VLOOKUP(Cpi_[[#This Row],[Attribute]],#REF!,2,FALSE)</f>
        <v>#REF!</v>
      </c>
      <c r="F2271">
        <v>127.1</v>
      </c>
      <c r="G2271">
        <f>(Cpi_[[#This Row],[Value]]-F2270)/F2270</f>
        <v>2.9149797570850157E-2</v>
      </c>
      <c r="H2271" t="e" cm="1" vm="1">
        <f t="array" aca="1" ref="H2271" ca="1">VLOOKUP(Cpi_[[#This Row],[Year]:[Month]],crudeoil[],3,FALSE)</f>
        <v>#VALUE!</v>
      </c>
    </row>
    <row r="2272" spans="1:8" hidden="1" x14ac:dyDescent="0.3">
      <c r="A2272" t="s">
        <v>30</v>
      </c>
      <c r="B2272">
        <v>2015</v>
      </c>
      <c r="C2272" t="s">
        <v>38</v>
      </c>
      <c r="D2272" t="s">
        <v>5</v>
      </c>
      <c r="E2272" t="e">
        <f>VLOOKUP(Cpi_[[#This Row],[Attribute]],#REF!,2,FALSE)</f>
        <v>#REF!</v>
      </c>
      <c r="F2272">
        <v>117.3</v>
      </c>
      <c r="G2272">
        <f>(Cpi_[[#This Row],[Value]]-F2271)/F2271</f>
        <v>-7.7104642014162061E-2</v>
      </c>
      <c r="H2272" t="e" cm="1" vm="1">
        <f t="array" aca="1" ref="H2272" ca="1">VLOOKUP(Cpi_[[#This Row],[Year]:[Month]],crudeoil[],3,FALSE)</f>
        <v>#VALUE!</v>
      </c>
    </row>
    <row r="2273" spans="1:8" hidden="1" x14ac:dyDescent="0.3">
      <c r="A2273" t="s">
        <v>30</v>
      </c>
      <c r="B2273">
        <v>2015</v>
      </c>
      <c r="C2273" t="s">
        <v>38</v>
      </c>
      <c r="D2273" t="s">
        <v>6</v>
      </c>
      <c r="E2273" t="e">
        <f>VLOOKUP(Cpi_[[#This Row],[Attribute]],#REF!,2,FALSE)</f>
        <v>#REF!</v>
      </c>
      <c r="F2273">
        <v>127.7</v>
      </c>
      <c r="G2273">
        <f>(Cpi_[[#This Row],[Value]]-F2272)/F2272</f>
        <v>8.866155157715265E-2</v>
      </c>
      <c r="H2273" t="e" cm="1" vm="1">
        <f t="array" aca="1" ref="H2273" ca="1">VLOOKUP(Cpi_[[#This Row],[Year]:[Month]],crudeoil[],3,FALSE)</f>
        <v>#VALUE!</v>
      </c>
    </row>
    <row r="2274" spans="1:8" hidden="1" x14ac:dyDescent="0.3">
      <c r="A2274" t="s">
        <v>30</v>
      </c>
      <c r="B2274">
        <v>2015</v>
      </c>
      <c r="C2274" t="s">
        <v>38</v>
      </c>
      <c r="D2274" t="s">
        <v>7</v>
      </c>
      <c r="E2274" t="e">
        <f>VLOOKUP(Cpi_[[#This Row],[Attribute]],#REF!,2,FALSE)</f>
        <v>#REF!</v>
      </c>
      <c r="F2274">
        <v>112.5</v>
      </c>
      <c r="G2274">
        <f>(Cpi_[[#This Row],[Value]]-F2273)/F2273</f>
        <v>-0.11902897415818327</v>
      </c>
      <c r="H2274" t="e" cm="1" vm="1">
        <f t="array" aca="1" ref="H2274" ca="1">VLOOKUP(Cpi_[[#This Row],[Year]:[Month]],crudeoil[],3,FALSE)</f>
        <v>#VALUE!</v>
      </c>
    </row>
    <row r="2275" spans="1:8" hidden="1" x14ac:dyDescent="0.3">
      <c r="A2275" t="s">
        <v>30</v>
      </c>
      <c r="B2275">
        <v>2015</v>
      </c>
      <c r="C2275" t="s">
        <v>38</v>
      </c>
      <c r="D2275" t="s">
        <v>8</v>
      </c>
      <c r="E2275" t="e">
        <f>VLOOKUP(Cpi_[[#This Row],[Attribute]],#REF!,2,FALSE)</f>
        <v>#REF!</v>
      </c>
      <c r="F2275">
        <v>134.1</v>
      </c>
      <c r="G2275">
        <f>(Cpi_[[#This Row],[Value]]-F2274)/F2274</f>
        <v>0.19199999999999995</v>
      </c>
      <c r="H2275" t="e" cm="1" vm="1">
        <f t="array" aca="1" ref="H2275" ca="1">VLOOKUP(Cpi_[[#This Row],[Year]:[Month]],crudeoil[],3,FALSE)</f>
        <v>#VALUE!</v>
      </c>
    </row>
    <row r="2276" spans="1:8" hidden="1" x14ac:dyDescent="0.3">
      <c r="A2276" t="s">
        <v>30</v>
      </c>
      <c r="B2276">
        <v>2015</v>
      </c>
      <c r="C2276" t="s">
        <v>38</v>
      </c>
      <c r="D2276" t="s">
        <v>9</v>
      </c>
      <c r="E2276" t="e">
        <f>VLOOKUP(Cpi_[[#This Row],[Attribute]],#REF!,2,FALSE)</f>
        <v>#REF!</v>
      </c>
      <c r="F2276">
        <v>128.5</v>
      </c>
      <c r="G2276">
        <f>(Cpi_[[#This Row],[Value]]-F2275)/F2275</f>
        <v>-4.1759880686055142E-2</v>
      </c>
      <c r="H2276" t="e" cm="1" vm="1">
        <f t="array" aca="1" ref="H2276" ca="1">VLOOKUP(Cpi_[[#This Row],[Year]:[Month]],crudeoil[],3,FALSE)</f>
        <v>#VALUE!</v>
      </c>
    </row>
    <row r="2277" spans="1:8" hidden="1" x14ac:dyDescent="0.3">
      <c r="A2277" t="s">
        <v>30</v>
      </c>
      <c r="B2277">
        <v>2015</v>
      </c>
      <c r="C2277" t="s">
        <v>38</v>
      </c>
      <c r="D2277" t="s">
        <v>10</v>
      </c>
      <c r="E2277" t="e">
        <f>VLOOKUP(Cpi_[[#This Row],[Attribute]],#REF!,2,FALSE)</f>
        <v>#REF!</v>
      </c>
      <c r="F2277">
        <v>124.3</v>
      </c>
      <c r="G2277">
        <f>(Cpi_[[#This Row],[Value]]-F2276)/F2276</f>
        <v>-3.2684824902723758E-2</v>
      </c>
      <c r="H2277" t="e" cm="1" vm="1">
        <f t="array" aca="1" ref="H2277" ca="1">VLOOKUP(Cpi_[[#This Row],[Year]:[Month]],crudeoil[],3,FALSE)</f>
        <v>#VALUE!</v>
      </c>
    </row>
    <row r="2278" spans="1:8" hidden="1" x14ac:dyDescent="0.3">
      <c r="A2278" t="s">
        <v>30</v>
      </c>
      <c r="B2278">
        <v>2015</v>
      </c>
      <c r="C2278" t="s">
        <v>38</v>
      </c>
      <c r="D2278" t="s">
        <v>11</v>
      </c>
      <c r="E2278" t="e">
        <f>VLOOKUP(Cpi_[[#This Row],[Attribute]],#REF!,2,FALSE)</f>
        <v>#REF!</v>
      </c>
      <c r="F2278">
        <v>97.6</v>
      </c>
      <c r="G2278">
        <f>(Cpi_[[#This Row],[Value]]-F2277)/F2277</f>
        <v>-0.21480289621882545</v>
      </c>
      <c r="H2278" t="e" cm="1" vm="1">
        <f t="array" aca="1" ref="H2278" ca="1">VLOOKUP(Cpi_[[#This Row],[Year]:[Month]],crudeoil[],3,FALSE)</f>
        <v>#VALUE!</v>
      </c>
    </row>
    <row r="2279" spans="1:8" hidden="1" x14ac:dyDescent="0.3">
      <c r="A2279" t="s">
        <v>30</v>
      </c>
      <c r="B2279">
        <v>2015</v>
      </c>
      <c r="C2279" t="s">
        <v>38</v>
      </c>
      <c r="D2279" t="s">
        <v>12</v>
      </c>
      <c r="E2279" t="e">
        <f>VLOOKUP(Cpi_[[#This Row],[Attribute]],#REF!,2,FALSE)</f>
        <v>#REF!</v>
      </c>
      <c r="F2279">
        <v>120.7</v>
      </c>
      <c r="G2279">
        <f>(Cpi_[[#This Row],[Value]]-F2278)/F2278</f>
        <v>0.23668032786885257</v>
      </c>
      <c r="H2279" t="e" cm="1" vm="1">
        <f t="array" aca="1" ref="H2279" ca="1">VLOOKUP(Cpi_[[#This Row],[Year]:[Month]],crudeoil[],3,FALSE)</f>
        <v>#VALUE!</v>
      </c>
    </row>
    <row r="2280" spans="1:8" hidden="1" x14ac:dyDescent="0.3">
      <c r="A2280" t="s">
        <v>30</v>
      </c>
      <c r="B2280">
        <v>2015</v>
      </c>
      <c r="C2280" t="s">
        <v>38</v>
      </c>
      <c r="D2280" t="s">
        <v>13</v>
      </c>
      <c r="E2280" t="e">
        <f>VLOOKUP(Cpi_[[#This Row],[Attribute]],#REF!,2,FALSE)</f>
        <v>#REF!</v>
      </c>
      <c r="F2280">
        <v>120.2</v>
      </c>
      <c r="G2280">
        <f>(Cpi_[[#This Row],[Value]]-F2279)/F2279</f>
        <v>-4.1425020712510356E-3</v>
      </c>
      <c r="H2280" t="e" cm="1" vm="1">
        <f t="array" aca="1" ref="H2280" ca="1">VLOOKUP(Cpi_[[#This Row],[Year]:[Month]],crudeoil[],3,FALSE)</f>
        <v>#VALUE!</v>
      </c>
    </row>
    <row r="2281" spans="1:8" hidden="1" x14ac:dyDescent="0.3">
      <c r="A2281" t="s">
        <v>30</v>
      </c>
      <c r="B2281">
        <v>2015</v>
      </c>
      <c r="C2281" t="s">
        <v>38</v>
      </c>
      <c r="D2281" t="s">
        <v>14</v>
      </c>
      <c r="E2281" t="e">
        <f>VLOOKUP(Cpi_[[#This Row],[Attribute]],#REF!,2,FALSE)</f>
        <v>#REF!</v>
      </c>
      <c r="F2281">
        <v>129.80000000000001</v>
      </c>
      <c r="G2281">
        <f>(Cpi_[[#This Row],[Value]]-F2280)/F2280</f>
        <v>7.9866888519134843E-2</v>
      </c>
      <c r="H2281" t="e" cm="1" vm="1">
        <f t="array" aca="1" ref="H2281" ca="1">VLOOKUP(Cpi_[[#This Row],[Year]:[Month]],crudeoil[],3,FALSE)</f>
        <v>#VALUE!</v>
      </c>
    </row>
    <row r="2282" spans="1:8" hidden="1" x14ac:dyDescent="0.3">
      <c r="A2282" t="s">
        <v>30</v>
      </c>
      <c r="B2282">
        <v>2015</v>
      </c>
      <c r="C2282" t="s">
        <v>38</v>
      </c>
      <c r="D2282" t="s">
        <v>15</v>
      </c>
      <c r="E2282" t="e">
        <f>VLOOKUP(Cpi_[[#This Row],[Attribute]],#REF!,2,FALSE)</f>
        <v>#REF!</v>
      </c>
      <c r="F2282">
        <v>124.4</v>
      </c>
      <c r="G2282">
        <f>(Cpi_[[#This Row],[Value]]-F2281)/F2281</f>
        <v>-4.1602465331278933E-2</v>
      </c>
      <c r="H2282" t="e" cm="1" vm="1">
        <f t="array" aca="1" ref="H2282" ca="1">VLOOKUP(Cpi_[[#This Row],[Year]:[Month]],crudeoil[],3,FALSE)</f>
        <v>#VALUE!</v>
      </c>
    </row>
    <row r="2283" spans="1:8" hidden="1" x14ac:dyDescent="0.3">
      <c r="A2283" t="s">
        <v>30</v>
      </c>
      <c r="B2283">
        <v>2015</v>
      </c>
      <c r="C2283" t="s">
        <v>38</v>
      </c>
      <c r="D2283" t="s">
        <v>16</v>
      </c>
      <c r="E2283" t="e">
        <f>VLOOKUP(Cpi_[[#This Row],[Attribute]],#REF!,2,FALSE)</f>
        <v>#REF!</v>
      </c>
      <c r="F2283">
        <v>126.7</v>
      </c>
      <c r="G2283">
        <f>(Cpi_[[#This Row],[Value]]-F2282)/F2282</f>
        <v>1.848874598070737E-2</v>
      </c>
      <c r="H2283" t="e" cm="1" vm="1">
        <f t="array" aca="1" ref="H2283" ca="1">VLOOKUP(Cpi_[[#This Row],[Year]:[Month]],crudeoil[],3,FALSE)</f>
        <v>#VALUE!</v>
      </c>
    </row>
    <row r="2284" spans="1:8" hidden="1" x14ac:dyDescent="0.3">
      <c r="A2284" t="s">
        <v>30</v>
      </c>
      <c r="B2284">
        <v>2015</v>
      </c>
      <c r="C2284" t="s">
        <v>38</v>
      </c>
      <c r="D2284" t="s">
        <v>17</v>
      </c>
      <c r="E2284" t="e">
        <f>VLOOKUP(Cpi_[[#This Row],[Attribute]],#REF!,2,FALSE)</f>
        <v>#REF!</v>
      </c>
      <c r="F2284">
        <v>127.3</v>
      </c>
      <c r="G2284">
        <f>(Cpi_[[#This Row],[Value]]-F2283)/F2283</f>
        <v>4.7355958958168456E-3</v>
      </c>
      <c r="H2284" t="e" cm="1" vm="1">
        <f t="array" aca="1" ref="H2284" ca="1">VLOOKUP(Cpi_[[#This Row],[Year]:[Month]],crudeoil[],3,FALSE)</f>
        <v>#VALUE!</v>
      </c>
    </row>
    <row r="2285" spans="1:8" hidden="1" x14ac:dyDescent="0.3">
      <c r="A2285" t="s">
        <v>30</v>
      </c>
      <c r="B2285">
        <v>2015</v>
      </c>
      <c r="C2285" t="s">
        <v>38</v>
      </c>
      <c r="D2285" t="s">
        <v>18</v>
      </c>
      <c r="E2285" t="e">
        <f>VLOOKUP(Cpi_[[#This Row],[Attribute]],#REF!,2,FALSE)</f>
        <v>#REF!</v>
      </c>
      <c r="F2285">
        <v>124.1</v>
      </c>
      <c r="G2285">
        <f>(Cpi_[[#This Row],[Value]]-F2284)/F2284</f>
        <v>-2.5137470542026731E-2</v>
      </c>
      <c r="H2285" t="e" cm="1" vm="1">
        <f t="array" aca="1" ref="H2285" ca="1">VLOOKUP(Cpi_[[#This Row],[Year]:[Month]],crudeoil[],3,FALSE)</f>
        <v>#VALUE!</v>
      </c>
    </row>
    <row r="2286" spans="1:8" hidden="1" x14ac:dyDescent="0.3">
      <c r="A2286" t="s">
        <v>30</v>
      </c>
      <c r="B2286">
        <v>2015</v>
      </c>
      <c r="C2286" t="s">
        <v>38</v>
      </c>
      <c r="D2286" t="s">
        <v>19</v>
      </c>
      <c r="E2286" t="e">
        <f>VLOOKUP(Cpi_[[#This Row],[Attribute]],#REF!,2,FALSE)</f>
        <v>#REF!</v>
      </c>
      <c r="F2286">
        <v>126.8</v>
      </c>
      <c r="G2286">
        <f>(Cpi_[[#This Row],[Value]]-F2285)/F2285</f>
        <v>2.1756647864625327E-2</v>
      </c>
      <c r="H2286" t="e" cm="1" vm="1">
        <f t="array" aca="1" ref="H2286" ca="1">VLOOKUP(Cpi_[[#This Row],[Year]:[Month]],crudeoil[],3,FALSE)</f>
        <v>#VALUE!</v>
      </c>
    </row>
    <row r="2287" spans="1:8" hidden="1" x14ac:dyDescent="0.3">
      <c r="A2287" t="s">
        <v>30</v>
      </c>
      <c r="B2287">
        <v>2015</v>
      </c>
      <c r="C2287" t="s">
        <v>38</v>
      </c>
      <c r="D2287" t="s">
        <v>20</v>
      </c>
      <c r="E2287" t="e">
        <f>VLOOKUP(Cpi_[[#This Row],[Attribute]],#REF!,2,FALSE)</f>
        <v>#REF!</v>
      </c>
      <c r="F2287" t="s">
        <v>32</v>
      </c>
      <c r="G2287" t="e">
        <f>(Cpi_[[#This Row],[Value]]-F2286)/F2286</f>
        <v>#VALUE!</v>
      </c>
      <c r="H2287" t="e" cm="1" vm="1">
        <f t="array" aca="1" ref="H2287" ca="1">VLOOKUP(Cpi_[[#This Row],[Year]:[Month]],crudeoil[],3,FALSE)</f>
        <v>#VALUE!</v>
      </c>
    </row>
    <row r="2288" spans="1:8" hidden="1" x14ac:dyDescent="0.3">
      <c r="A2288" t="s">
        <v>30</v>
      </c>
      <c r="B2288">
        <v>2015</v>
      </c>
      <c r="C2288" t="s">
        <v>38</v>
      </c>
      <c r="D2288" t="s">
        <v>21</v>
      </c>
      <c r="E2288" t="e">
        <f>VLOOKUP(Cpi_[[#This Row],[Attribute]],#REF!,2,FALSE)</f>
        <v>#REF!</v>
      </c>
      <c r="F2288">
        <v>121.9</v>
      </c>
      <c r="G2288" t="e">
        <f>(Cpi_[[#This Row],[Value]]-F2287)/F2287</f>
        <v>#VALUE!</v>
      </c>
      <c r="H2288" t="e" cm="1" vm="1">
        <f t="array" aca="1" ref="H2288" ca="1">VLOOKUP(Cpi_[[#This Row],[Year]:[Month]],crudeoil[],3,FALSE)</f>
        <v>#VALUE!</v>
      </c>
    </row>
    <row r="2289" spans="1:8" hidden="1" x14ac:dyDescent="0.3">
      <c r="A2289" t="s">
        <v>30</v>
      </c>
      <c r="B2289">
        <v>2015</v>
      </c>
      <c r="C2289" t="s">
        <v>38</v>
      </c>
      <c r="D2289" t="s">
        <v>22</v>
      </c>
      <c r="E2289" t="e">
        <f>VLOOKUP(Cpi_[[#This Row],[Attribute]],#REF!,2,FALSE)</f>
        <v>#REF!</v>
      </c>
      <c r="F2289">
        <v>121.5</v>
      </c>
      <c r="G2289">
        <f>(Cpi_[[#This Row],[Value]]-F2288)/F2288</f>
        <v>-3.2813781788351573E-3</v>
      </c>
      <c r="H2289" t="e" cm="1" vm="1">
        <f t="array" aca="1" ref="H2289" ca="1">VLOOKUP(Cpi_[[#This Row],[Year]:[Month]],crudeoil[],3,FALSE)</f>
        <v>#VALUE!</v>
      </c>
    </row>
    <row r="2290" spans="1:8" hidden="1" x14ac:dyDescent="0.3">
      <c r="A2290" t="s">
        <v>30</v>
      </c>
      <c r="B2290">
        <v>2015</v>
      </c>
      <c r="C2290" t="s">
        <v>38</v>
      </c>
      <c r="D2290" t="s">
        <v>23</v>
      </c>
      <c r="E2290" t="e">
        <f>VLOOKUP(Cpi_[[#This Row],[Attribute]],#REF!,2,FALSE)</f>
        <v>#REF!</v>
      </c>
      <c r="F2290">
        <v>119.4</v>
      </c>
      <c r="G2290">
        <f>(Cpi_[[#This Row],[Value]]-F2289)/F2289</f>
        <v>-1.7283950617283904E-2</v>
      </c>
      <c r="H2290" t="e" cm="1" vm="1">
        <f t="array" aca="1" ref="H2290" ca="1">VLOOKUP(Cpi_[[#This Row],[Year]:[Month]],crudeoil[],3,FALSE)</f>
        <v>#VALUE!</v>
      </c>
    </row>
    <row r="2291" spans="1:8" hidden="1" x14ac:dyDescent="0.3">
      <c r="A2291" t="s">
        <v>30</v>
      </c>
      <c r="B2291">
        <v>2015</v>
      </c>
      <c r="C2291" t="s">
        <v>38</v>
      </c>
      <c r="D2291" t="s">
        <v>24</v>
      </c>
      <c r="E2291" t="e">
        <f>VLOOKUP(Cpi_[[#This Row],[Attribute]],#REF!,2,FALSE)</f>
        <v>#REF!</v>
      </c>
      <c r="F2291">
        <v>113.3</v>
      </c>
      <c r="G2291">
        <f>(Cpi_[[#This Row],[Value]]-F2290)/F2290</f>
        <v>-5.1088777219430552E-2</v>
      </c>
      <c r="H2291" t="e" cm="1" vm="1">
        <f t="array" aca="1" ref="H2291" ca="1">VLOOKUP(Cpi_[[#This Row],[Year]:[Month]],crudeoil[],3,FALSE)</f>
        <v>#VALUE!</v>
      </c>
    </row>
    <row r="2292" spans="1:8" hidden="1" x14ac:dyDescent="0.3">
      <c r="A2292" t="s">
        <v>30</v>
      </c>
      <c r="B2292">
        <v>2015</v>
      </c>
      <c r="C2292" t="s">
        <v>38</v>
      </c>
      <c r="D2292" t="s">
        <v>25</v>
      </c>
      <c r="E2292" t="e">
        <f>VLOOKUP(Cpi_[[#This Row],[Attribute]],#REF!,2,FALSE)</f>
        <v>#REF!</v>
      </c>
      <c r="F2292">
        <v>116.7</v>
      </c>
      <c r="G2292">
        <f>(Cpi_[[#This Row],[Value]]-F2291)/F2291</f>
        <v>3.0008826125331029E-2</v>
      </c>
      <c r="H2292" t="e" cm="1" vm="1">
        <f t="array" aca="1" ref="H2292" ca="1">VLOOKUP(Cpi_[[#This Row],[Year]:[Month]],crudeoil[],3,FALSE)</f>
        <v>#VALUE!</v>
      </c>
    </row>
    <row r="2293" spans="1:8" hidden="1" x14ac:dyDescent="0.3">
      <c r="A2293" t="s">
        <v>30</v>
      </c>
      <c r="B2293">
        <v>2015</v>
      </c>
      <c r="C2293" t="s">
        <v>38</v>
      </c>
      <c r="D2293" t="s">
        <v>26</v>
      </c>
      <c r="E2293" t="e">
        <f>VLOOKUP(Cpi_[[#This Row],[Attribute]],#REF!,2,FALSE)</f>
        <v>#REF!</v>
      </c>
      <c r="F2293">
        <v>120.5</v>
      </c>
      <c r="G2293">
        <f>(Cpi_[[#This Row],[Value]]-F2292)/F2292</f>
        <v>3.2562125107112226E-2</v>
      </c>
      <c r="H2293" t="e" cm="1" vm="1">
        <f t="array" aca="1" ref="H2293" ca="1">VLOOKUP(Cpi_[[#This Row],[Year]:[Month]],crudeoil[],3,FALSE)</f>
        <v>#VALUE!</v>
      </c>
    </row>
    <row r="2294" spans="1:8" hidden="1" x14ac:dyDescent="0.3">
      <c r="A2294" t="s">
        <v>30</v>
      </c>
      <c r="B2294">
        <v>2015</v>
      </c>
      <c r="C2294" t="s">
        <v>38</v>
      </c>
      <c r="D2294" t="s">
        <v>27</v>
      </c>
      <c r="E2294" t="e">
        <f>VLOOKUP(Cpi_[[#This Row],[Attribute]],#REF!,2,FALSE)</f>
        <v>#REF!</v>
      </c>
      <c r="F2294">
        <v>112.3</v>
      </c>
      <c r="G2294">
        <f>(Cpi_[[#This Row],[Value]]-F2293)/F2293</f>
        <v>-6.8049792531120354E-2</v>
      </c>
      <c r="H2294" t="e" cm="1" vm="1">
        <f t="array" aca="1" ref="H2294" ca="1">VLOOKUP(Cpi_[[#This Row],[Year]:[Month]],crudeoil[],3,FALSE)</f>
        <v>#VALUE!</v>
      </c>
    </row>
    <row r="2295" spans="1:8" hidden="1" x14ac:dyDescent="0.3">
      <c r="A2295" t="s">
        <v>30</v>
      </c>
      <c r="B2295">
        <v>2015</v>
      </c>
      <c r="C2295" t="s">
        <v>38</v>
      </c>
      <c r="D2295" t="s">
        <v>28</v>
      </c>
      <c r="E2295" t="e">
        <f>VLOOKUP(Cpi_[[#This Row],[Attribute]],#REF!,2,FALSE)</f>
        <v>#REF!</v>
      </c>
      <c r="F2295">
        <v>116.9</v>
      </c>
      <c r="G2295">
        <f>(Cpi_[[#This Row],[Value]]-F2294)/F2294</f>
        <v>4.0961709706144336E-2</v>
      </c>
      <c r="H2295" t="e" cm="1" vm="1">
        <f t="array" aca="1" ref="H2295" ca="1">VLOOKUP(Cpi_[[#This Row],[Year]:[Month]],crudeoil[],3,FALSE)</f>
        <v>#VALUE!</v>
      </c>
    </row>
    <row r="2296" spans="1:8" hidden="1" x14ac:dyDescent="0.3">
      <c r="A2296" t="s">
        <v>30</v>
      </c>
      <c r="B2296">
        <v>2015</v>
      </c>
      <c r="C2296" t="s">
        <v>38</v>
      </c>
      <c r="D2296" t="s">
        <v>29</v>
      </c>
      <c r="E2296" t="e" cm="1">
        <f t="array" aca="1" ref="E2296" ca="1">VLGeneral indexGeneral indexKUP(Cpi_[[#This Row],[Attribute]],#REF!,2,FALSE)</f>
        <v>#NAME?</v>
      </c>
      <c r="F2296">
        <v>122.4</v>
      </c>
      <c r="G2296">
        <f>(Cpi_[[#This Row],[Value]]-F2295)/F2295</f>
        <v>4.7048759623609923E-2</v>
      </c>
      <c r="H2296" t="e" cm="1" vm="1">
        <f t="array" aca="1" ref="H2296" ca="1">VLOOKUP(Cpi_[[#This Row],[Year]:[Month]],crudeoil[],3,FALSE)</f>
        <v>#VALUE!</v>
      </c>
    </row>
    <row r="2297" spans="1:8" hidden="1" x14ac:dyDescent="0.3">
      <c r="A2297" t="s">
        <v>33</v>
      </c>
      <c r="B2297">
        <v>2015</v>
      </c>
      <c r="C2297" t="s">
        <v>38</v>
      </c>
      <c r="D2297" t="s">
        <v>3</v>
      </c>
      <c r="E2297" t="e">
        <f>VLOOKUP(Cpi_[[#This Row],[Attribute]],#REF!,2,FALSE)</f>
        <v>#REF!</v>
      </c>
      <c r="F2297">
        <v>123.8</v>
      </c>
      <c r="G2297">
        <f>(Cpi_[[#This Row],[Value]]-F2296)/F2296</f>
        <v>1.1437908496731956E-2</v>
      </c>
      <c r="H2297" t="e" cm="1" vm="1">
        <f t="array" aca="1" ref="H2297" ca="1">VLOOKUP(Cpi_[[#This Row],[Year]:[Month]],crudeoil[],3,FALSE)</f>
        <v>#VALUE!</v>
      </c>
    </row>
    <row r="2298" spans="1:8" hidden="1" x14ac:dyDescent="0.3">
      <c r="A2298" t="s">
        <v>33</v>
      </c>
      <c r="B2298">
        <v>2015</v>
      </c>
      <c r="C2298" t="s">
        <v>38</v>
      </c>
      <c r="D2298" t="s">
        <v>4</v>
      </c>
      <c r="E2298" t="e">
        <f>VLOOKUP(Cpi_[[#This Row],[Attribute]],#REF!,2,FALSE)</f>
        <v>#REF!</v>
      </c>
      <c r="F2298">
        <v>129.69999999999999</v>
      </c>
      <c r="G2298">
        <f>(Cpi_[[#This Row],[Value]]-F2297)/F2297</f>
        <v>4.7657512116316574E-2</v>
      </c>
      <c r="H2298" t="e" cm="1" vm="1">
        <f t="array" aca="1" ref="H2298" ca="1">VLOOKUP(Cpi_[[#This Row],[Year]:[Month]],crudeoil[],3,FALSE)</f>
        <v>#VALUE!</v>
      </c>
    </row>
    <row r="2299" spans="1:8" hidden="1" x14ac:dyDescent="0.3">
      <c r="A2299" t="s">
        <v>33</v>
      </c>
      <c r="B2299">
        <v>2015</v>
      </c>
      <c r="C2299" t="s">
        <v>38</v>
      </c>
      <c r="D2299" t="s">
        <v>5</v>
      </c>
      <c r="E2299" t="e">
        <f>VLOOKUP(Cpi_[[#This Row],[Attribute]],#REF!,2,FALSE)</f>
        <v>#REF!</v>
      </c>
      <c r="F2299">
        <v>111.3</v>
      </c>
      <c r="G2299">
        <f>(Cpi_[[#This Row],[Value]]-F2298)/F2298</f>
        <v>-0.14186584425597529</v>
      </c>
      <c r="H2299" t="e" cm="1" vm="1">
        <f t="array" aca="1" ref="H2299" ca="1">VLOOKUP(Cpi_[[#This Row],[Year]:[Month]],crudeoil[],3,FALSE)</f>
        <v>#VALUE!</v>
      </c>
    </row>
    <row r="2300" spans="1:8" hidden="1" x14ac:dyDescent="0.3">
      <c r="A2300" t="s">
        <v>33</v>
      </c>
      <c r="B2300">
        <v>2015</v>
      </c>
      <c r="C2300" t="s">
        <v>38</v>
      </c>
      <c r="D2300" t="s">
        <v>6</v>
      </c>
      <c r="E2300" t="e">
        <f>VLOOKUP(Cpi_[[#This Row],[Attribute]],#REF!,2,FALSE)</f>
        <v>#REF!</v>
      </c>
      <c r="F2300">
        <v>126.6</v>
      </c>
      <c r="G2300">
        <f>(Cpi_[[#This Row],[Value]]-F2299)/F2299</f>
        <v>0.13746630727762801</v>
      </c>
      <c r="H2300" t="e" cm="1" vm="1">
        <f t="array" aca="1" ref="H2300" ca="1">VLOOKUP(Cpi_[[#This Row],[Year]:[Month]],crudeoil[],3,FALSE)</f>
        <v>#VALUE!</v>
      </c>
    </row>
    <row r="2301" spans="1:8" hidden="1" x14ac:dyDescent="0.3">
      <c r="A2301" t="s">
        <v>33</v>
      </c>
      <c r="B2301">
        <v>2015</v>
      </c>
      <c r="C2301" t="s">
        <v>38</v>
      </c>
      <c r="D2301" t="s">
        <v>7</v>
      </c>
      <c r="E2301" t="e">
        <f>VLOOKUP(Cpi_[[#This Row],[Attribute]],#REF!,2,FALSE)</f>
        <v>#REF!</v>
      </c>
      <c r="F2301">
        <v>105.2</v>
      </c>
      <c r="G2301">
        <f>(Cpi_[[#This Row],[Value]]-F2300)/F2300</f>
        <v>-0.1690363349131121</v>
      </c>
      <c r="H2301" t="e" cm="1" vm="1">
        <f t="array" aca="1" ref="H2301" ca="1">VLOOKUP(Cpi_[[#This Row],[Year]:[Month]],crudeoil[],3,FALSE)</f>
        <v>#VALUE!</v>
      </c>
    </row>
    <row r="2302" spans="1:8" hidden="1" x14ac:dyDescent="0.3">
      <c r="A2302" t="s">
        <v>33</v>
      </c>
      <c r="B2302">
        <v>2015</v>
      </c>
      <c r="C2302" t="s">
        <v>38</v>
      </c>
      <c r="D2302" t="s">
        <v>8</v>
      </c>
      <c r="E2302" t="e">
        <f>VLOOKUP(Cpi_[[#This Row],[Attribute]],#REF!,2,FALSE)</f>
        <v>#REF!</v>
      </c>
      <c r="F2302">
        <v>130.80000000000001</v>
      </c>
      <c r="G2302">
        <f>(Cpi_[[#This Row],[Value]]-F2301)/F2301</f>
        <v>0.24334600760456282</v>
      </c>
      <c r="H2302" t="e" cm="1" vm="1">
        <f t="array" aca="1" ref="H2302" ca="1">VLOOKUP(Cpi_[[#This Row],[Year]:[Month]],crudeoil[],3,FALSE)</f>
        <v>#VALUE!</v>
      </c>
    </row>
    <row r="2303" spans="1:8" hidden="1" x14ac:dyDescent="0.3">
      <c r="A2303" t="s">
        <v>33</v>
      </c>
      <c r="B2303">
        <v>2015</v>
      </c>
      <c r="C2303" t="s">
        <v>38</v>
      </c>
      <c r="D2303" t="s">
        <v>9</v>
      </c>
      <c r="E2303" t="e">
        <f>VLOOKUP(Cpi_[[#This Row],[Attribute]],#REF!,2,FALSE)</f>
        <v>#REF!</v>
      </c>
      <c r="F2303">
        <v>135.6</v>
      </c>
      <c r="G2303">
        <f>(Cpi_[[#This Row],[Value]]-F2302)/F2302</f>
        <v>3.6697247706421882E-2</v>
      </c>
      <c r="H2303" t="e" cm="1" vm="1">
        <f t="array" aca="1" ref="H2303" ca="1">VLOOKUP(Cpi_[[#This Row],[Year]:[Month]],crudeoil[],3,FALSE)</f>
        <v>#VALUE!</v>
      </c>
    </row>
    <row r="2304" spans="1:8" hidden="1" x14ac:dyDescent="0.3">
      <c r="A2304" t="s">
        <v>33</v>
      </c>
      <c r="B2304">
        <v>2015</v>
      </c>
      <c r="C2304" t="s">
        <v>38</v>
      </c>
      <c r="D2304" t="s">
        <v>10</v>
      </c>
      <c r="E2304" t="e">
        <f>VLOOKUP(Cpi_[[#This Row],[Attribute]],#REF!,2,FALSE)</f>
        <v>#REF!</v>
      </c>
      <c r="F2304">
        <v>142.6</v>
      </c>
      <c r="G2304">
        <f>(Cpi_[[#This Row],[Value]]-F2303)/F2303</f>
        <v>5.1622418879056046E-2</v>
      </c>
      <c r="H2304" t="e" cm="1" vm="1">
        <f t="array" aca="1" ref="H2304" ca="1">VLOOKUP(Cpi_[[#This Row],[Year]:[Month]],crudeoil[],3,FALSE)</f>
        <v>#VALUE!</v>
      </c>
    </row>
    <row r="2305" spans="1:8" hidden="1" x14ac:dyDescent="0.3">
      <c r="A2305" t="s">
        <v>33</v>
      </c>
      <c r="B2305">
        <v>2015</v>
      </c>
      <c r="C2305" t="s">
        <v>38</v>
      </c>
      <c r="D2305" t="s">
        <v>11</v>
      </c>
      <c r="E2305" t="e">
        <f>VLOOKUP(Cpi_[[#This Row],[Attribute]],#REF!,2,FALSE)</f>
        <v>#REF!</v>
      </c>
      <c r="F2305">
        <v>90.8</v>
      </c>
      <c r="G2305">
        <f>(Cpi_[[#This Row],[Value]]-F2304)/F2304</f>
        <v>-0.36325385694249651</v>
      </c>
      <c r="H2305" t="e" cm="1" vm="1">
        <f t="array" aca="1" ref="H2305" ca="1">VLOOKUP(Cpi_[[#This Row],[Year]:[Month]],crudeoil[],3,FALSE)</f>
        <v>#VALUE!</v>
      </c>
    </row>
    <row r="2306" spans="1:8" hidden="1" x14ac:dyDescent="0.3">
      <c r="A2306" t="s">
        <v>33</v>
      </c>
      <c r="B2306">
        <v>2015</v>
      </c>
      <c r="C2306" t="s">
        <v>38</v>
      </c>
      <c r="D2306" t="s">
        <v>12</v>
      </c>
      <c r="E2306" t="e">
        <f>VLOOKUP(Cpi_[[#This Row],[Attribute]],#REF!,2,FALSE)</f>
        <v>#REF!</v>
      </c>
      <c r="F2306">
        <v>128.80000000000001</v>
      </c>
      <c r="G2306">
        <f>(Cpi_[[#This Row],[Value]]-F2305)/F2305</f>
        <v>0.41850220264317195</v>
      </c>
      <c r="H2306" t="e" cm="1" vm="1">
        <f t="array" aca="1" ref="H2306" ca="1">VLOOKUP(Cpi_[[#This Row],[Year]:[Month]],crudeoil[],3,FALSE)</f>
        <v>#VALUE!</v>
      </c>
    </row>
    <row r="2307" spans="1:8" hidden="1" x14ac:dyDescent="0.3">
      <c r="A2307" t="s">
        <v>33</v>
      </c>
      <c r="B2307">
        <v>2015</v>
      </c>
      <c r="C2307" t="s">
        <v>38</v>
      </c>
      <c r="D2307" t="s">
        <v>13</v>
      </c>
      <c r="E2307" t="e">
        <f>VLOOKUP(Cpi_[[#This Row],[Attribute]],#REF!,2,FALSE)</f>
        <v>#REF!</v>
      </c>
      <c r="F2307">
        <v>117.7</v>
      </c>
      <c r="G2307">
        <f>(Cpi_[[#This Row],[Value]]-F2306)/F2306</f>
        <v>-8.618012422360255E-2</v>
      </c>
      <c r="H2307" t="e" cm="1" vm="1">
        <f t="array" aca="1" ref="H2307" ca="1">VLOOKUP(Cpi_[[#This Row],[Year]:[Month]],crudeoil[],3,FALSE)</f>
        <v>#VALUE!</v>
      </c>
    </row>
    <row r="2308" spans="1:8" hidden="1" x14ac:dyDescent="0.3">
      <c r="A2308" t="s">
        <v>33</v>
      </c>
      <c r="B2308">
        <v>2015</v>
      </c>
      <c r="C2308" t="s">
        <v>38</v>
      </c>
      <c r="D2308" t="s">
        <v>14</v>
      </c>
      <c r="E2308" t="e">
        <f>VLOOKUP(Cpi_[[#This Row],[Attribute]],#REF!,2,FALSE)</f>
        <v>#REF!</v>
      </c>
      <c r="F2308">
        <v>129.9</v>
      </c>
      <c r="G2308">
        <f>(Cpi_[[#This Row],[Value]]-F2307)/F2307</f>
        <v>0.10365335598980462</v>
      </c>
      <c r="H2308" t="e" cm="1" vm="1">
        <f t="array" aca="1" ref="H2308" ca="1">VLOOKUP(Cpi_[[#This Row],[Year]:[Month]],crudeoil[],3,FALSE)</f>
        <v>#VALUE!</v>
      </c>
    </row>
    <row r="2309" spans="1:8" hidden="1" x14ac:dyDescent="0.3">
      <c r="A2309" t="s">
        <v>33</v>
      </c>
      <c r="B2309">
        <v>2015</v>
      </c>
      <c r="C2309" t="s">
        <v>38</v>
      </c>
      <c r="D2309" t="s">
        <v>15</v>
      </c>
      <c r="E2309" t="e">
        <f>VLOOKUP(Cpi_[[#This Row],[Attribute]],#REF!,2,FALSE)</f>
        <v>#REF!</v>
      </c>
      <c r="F2309">
        <v>126.1</v>
      </c>
      <c r="G2309">
        <f>(Cpi_[[#This Row],[Value]]-F2308)/F2308</f>
        <v>-2.9253271747498161E-2</v>
      </c>
      <c r="H2309" t="e" cm="1" vm="1">
        <f t="array" aca="1" ref="H2309" ca="1">VLOOKUP(Cpi_[[#This Row],[Year]:[Month]],crudeoil[],3,FALSE)</f>
        <v>#VALUE!</v>
      </c>
    </row>
    <row r="2310" spans="1:8" hidden="1" x14ac:dyDescent="0.3">
      <c r="A2310" t="s">
        <v>33</v>
      </c>
      <c r="B2310">
        <v>2015</v>
      </c>
      <c r="C2310" t="s">
        <v>38</v>
      </c>
      <c r="D2310" t="s">
        <v>16</v>
      </c>
      <c r="E2310" t="e">
        <f>VLOOKUP(Cpi_[[#This Row],[Attribute]],#REF!,2,FALSE)</f>
        <v>#REF!</v>
      </c>
      <c r="F2310">
        <v>131.30000000000001</v>
      </c>
      <c r="G2310">
        <f>(Cpi_[[#This Row],[Value]]-F2309)/F2309</f>
        <v>4.1237113402061994E-2</v>
      </c>
      <c r="H2310" t="e" cm="1" vm="1">
        <f t="array" aca="1" ref="H2310" ca="1">VLOOKUP(Cpi_[[#This Row],[Year]:[Month]],crudeoil[],3,FALSE)</f>
        <v>#VALUE!</v>
      </c>
    </row>
    <row r="2311" spans="1:8" hidden="1" x14ac:dyDescent="0.3">
      <c r="A2311" t="s">
        <v>33</v>
      </c>
      <c r="B2311">
        <v>2015</v>
      </c>
      <c r="C2311" t="s">
        <v>38</v>
      </c>
      <c r="D2311" t="s">
        <v>17</v>
      </c>
      <c r="E2311" t="e">
        <f>VLOOKUP(Cpi_[[#This Row],[Attribute]],#REF!,2,FALSE)</f>
        <v>#REF!</v>
      </c>
      <c r="F2311">
        <v>122.4</v>
      </c>
      <c r="G2311">
        <f>(Cpi_[[#This Row],[Value]]-F2310)/F2310</f>
        <v>-6.7783701447067815E-2</v>
      </c>
      <c r="H2311" t="e" cm="1" vm="1">
        <f t="array" aca="1" ref="H2311" ca="1">VLOOKUP(Cpi_[[#This Row],[Year]:[Month]],crudeoil[],3,FALSE)</f>
        <v>#VALUE!</v>
      </c>
    </row>
    <row r="2312" spans="1:8" hidden="1" x14ac:dyDescent="0.3">
      <c r="A2312" t="s">
        <v>33</v>
      </c>
      <c r="B2312">
        <v>2015</v>
      </c>
      <c r="C2312" t="s">
        <v>38</v>
      </c>
      <c r="D2312" t="s">
        <v>18</v>
      </c>
      <c r="E2312" t="e">
        <f>VLOOKUP(Cpi_[[#This Row],[Attribute]],#REF!,2,FALSE)</f>
        <v>#REF!</v>
      </c>
      <c r="F2312">
        <v>117.4</v>
      </c>
      <c r="G2312">
        <f>(Cpi_[[#This Row],[Value]]-F2311)/F2311</f>
        <v>-4.084967320261438E-2</v>
      </c>
      <c r="H2312" t="e" cm="1" vm="1">
        <f t="array" aca="1" ref="H2312" ca="1">VLOOKUP(Cpi_[[#This Row],[Year]:[Month]],crudeoil[],3,FALSE)</f>
        <v>#VALUE!</v>
      </c>
    </row>
    <row r="2313" spans="1:8" hidden="1" x14ac:dyDescent="0.3">
      <c r="A2313" t="s">
        <v>33</v>
      </c>
      <c r="B2313">
        <v>2015</v>
      </c>
      <c r="C2313" t="s">
        <v>38</v>
      </c>
      <c r="D2313" t="s">
        <v>19</v>
      </c>
      <c r="E2313" t="e">
        <f>VLOOKUP(Cpi_[[#This Row],[Attribute]],#REF!,2,FALSE)</f>
        <v>#REF!</v>
      </c>
      <c r="F2313">
        <v>121.6</v>
      </c>
      <c r="G2313">
        <f>(Cpi_[[#This Row],[Value]]-F2312)/F2312</f>
        <v>3.5775127768313361E-2</v>
      </c>
      <c r="H2313" t="e" cm="1" vm="1">
        <f t="array" aca="1" ref="H2313" ca="1">VLOOKUP(Cpi_[[#This Row],[Year]:[Month]],crudeoil[],3,FALSE)</f>
        <v>#VALUE!</v>
      </c>
    </row>
    <row r="2314" spans="1:8" hidden="1" x14ac:dyDescent="0.3">
      <c r="A2314" t="s">
        <v>33</v>
      </c>
      <c r="B2314">
        <v>2015</v>
      </c>
      <c r="C2314" t="s">
        <v>38</v>
      </c>
      <c r="D2314" t="s">
        <v>20</v>
      </c>
      <c r="E2314" t="e">
        <f>VLOOKUP(Cpi_[[#This Row],[Attribute]],#REF!,2,FALSE)</f>
        <v>#REF!</v>
      </c>
      <c r="F2314">
        <v>119.6</v>
      </c>
      <c r="G2314">
        <f>(Cpi_[[#This Row],[Value]]-F2313)/F2313</f>
        <v>-1.6447368421052631E-2</v>
      </c>
      <c r="H2314" t="e" cm="1" vm="1">
        <f t="array" aca="1" ref="H2314" ca="1">VLOOKUP(Cpi_[[#This Row],[Year]:[Month]],crudeoil[],3,FALSE)</f>
        <v>#VALUE!</v>
      </c>
    </row>
    <row r="2315" spans="1:8" hidden="1" x14ac:dyDescent="0.3">
      <c r="A2315" t="s">
        <v>33</v>
      </c>
      <c r="B2315">
        <v>2015</v>
      </c>
      <c r="C2315" t="s">
        <v>38</v>
      </c>
      <c r="D2315" t="s">
        <v>21</v>
      </c>
      <c r="E2315" t="e">
        <f>VLOOKUP(Cpi_[[#This Row],[Attribute]],#REF!,2,FALSE)</f>
        <v>#REF!</v>
      </c>
      <c r="F2315">
        <v>114.9</v>
      </c>
      <c r="G2315">
        <f>(Cpi_[[#This Row],[Value]]-F2314)/F2314</f>
        <v>-3.9297658862876159E-2</v>
      </c>
      <c r="H2315" t="e" cm="1" vm="1">
        <f t="array" aca="1" ref="H2315" ca="1">VLOOKUP(Cpi_[[#This Row],[Year]:[Month]],crudeoil[],3,FALSE)</f>
        <v>#VALUE!</v>
      </c>
    </row>
    <row r="2316" spans="1:8" hidden="1" x14ac:dyDescent="0.3">
      <c r="A2316" t="s">
        <v>33</v>
      </c>
      <c r="B2316">
        <v>2015</v>
      </c>
      <c r="C2316" t="s">
        <v>38</v>
      </c>
      <c r="D2316" t="s">
        <v>22</v>
      </c>
      <c r="E2316" t="e">
        <f>VLOOKUP(Cpi_[[#This Row],[Attribute]],#REF!,2,FALSE)</f>
        <v>#REF!</v>
      </c>
      <c r="F2316">
        <v>118.7</v>
      </c>
      <c r="G2316">
        <f>(Cpi_[[#This Row],[Value]]-F2315)/F2315</f>
        <v>3.3072236727589181E-2</v>
      </c>
      <c r="H2316" t="e" cm="1" vm="1">
        <f t="array" aca="1" ref="H2316" ca="1">VLOOKUP(Cpi_[[#This Row],[Year]:[Month]],crudeoil[],3,FALSE)</f>
        <v>#VALUE!</v>
      </c>
    </row>
    <row r="2317" spans="1:8" hidden="1" x14ac:dyDescent="0.3">
      <c r="A2317" t="s">
        <v>33</v>
      </c>
      <c r="B2317">
        <v>2015</v>
      </c>
      <c r="C2317" t="s">
        <v>38</v>
      </c>
      <c r="D2317" t="s">
        <v>23</v>
      </c>
      <c r="E2317" t="e">
        <f>VLOOKUP(Cpi_[[#This Row],[Attribute]],#REF!,2,FALSE)</f>
        <v>#REF!</v>
      </c>
      <c r="F2317">
        <v>114.9</v>
      </c>
      <c r="G2317">
        <f>(Cpi_[[#This Row],[Value]]-F2316)/F2316</f>
        <v>-3.2013479359730389E-2</v>
      </c>
      <c r="H2317" t="e" cm="1" vm="1">
        <f t="array" aca="1" ref="H2317" ca="1">VLOOKUP(Cpi_[[#This Row],[Year]:[Month]],crudeoil[],3,FALSE)</f>
        <v>#VALUE!</v>
      </c>
    </row>
    <row r="2318" spans="1:8" hidden="1" x14ac:dyDescent="0.3">
      <c r="A2318" t="s">
        <v>33</v>
      </c>
      <c r="B2318">
        <v>2015</v>
      </c>
      <c r="C2318" t="s">
        <v>38</v>
      </c>
      <c r="D2318" t="s">
        <v>24</v>
      </c>
      <c r="E2318" t="e">
        <f>VLOOKUP(Cpi_[[#This Row],[Attribute]],#REF!,2,FALSE)</f>
        <v>#REF!</v>
      </c>
      <c r="F2318">
        <v>110.8</v>
      </c>
      <c r="G2318">
        <f>(Cpi_[[#This Row],[Value]]-F2317)/F2317</f>
        <v>-3.5683202785030531E-2</v>
      </c>
      <c r="H2318" t="e" cm="1" vm="1">
        <f t="array" aca="1" ref="H2318" ca="1">VLOOKUP(Cpi_[[#This Row],[Year]:[Month]],crudeoil[],3,FALSE)</f>
        <v>#VALUE!</v>
      </c>
    </row>
    <row r="2319" spans="1:8" hidden="1" x14ac:dyDescent="0.3">
      <c r="A2319" t="s">
        <v>33</v>
      </c>
      <c r="B2319">
        <v>2015</v>
      </c>
      <c r="C2319" t="s">
        <v>38</v>
      </c>
      <c r="D2319" t="s">
        <v>25</v>
      </c>
      <c r="E2319" t="e">
        <f>VLOOKUP(Cpi_[[#This Row],[Attribute]],#REF!,2,FALSE)</f>
        <v>#REF!</v>
      </c>
      <c r="F2319">
        <v>116</v>
      </c>
      <c r="G2319">
        <f>(Cpi_[[#This Row],[Value]]-F2318)/F2318</f>
        <v>4.6931407942238296E-2</v>
      </c>
      <c r="H2319" t="e" cm="1" vm="1">
        <f t="array" aca="1" ref="H2319" ca="1">VLOOKUP(Cpi_[[#This Row],[Year]:[Month]],crudeoil[],3,FALSE)</f>
        <v>#VALUE!</v>
      </c>
    </row>
    <row r="2320" spans="1:8" hidden="1" x14ac:dyDescent="0.3">
      <c r="A2320" t="s">
        <v>33</v>
      </c>
      <c r="B2320">
        <v>2015</v>
      </c>
      <c r="C2320" t="s">
        <v>38</v>
      </c>
      <c r="D2320" t="s">
        <v>26</v>
      </c>
      <c r="E2320" t="e">
        <f>VLOOKUP(Cpi_[[#This Row],[Attribute]],#REF!,2,FALSE)</f>
        <v>#REF!</v>
      </c>
      <c r="F2320">
        <v>122</v>
      </c>
      <c r="G2320">
        <f>(Cpi_[[#This Row],[Value]]-F2319)/F2319</f>
        <v>5.1724137931034482E-2</v>
      </c>
      <c r="H2320" t="e" cm="1" vm="1">
        <f t="array" aca="1" ref="H2320" ca="1">VLOOKUP(Cpi_[[#This Row],[Year]:[Month]],crudeoil[],3,FALSE)</f>
        <v>#VALUE!</v>
      </c>
    </row>
    <row r="2321" spans="1:8" hidden="1" x14ac:dyDescent="0.3">
      <c r="A2321" t="s">
        <v>33</v>
      </c>
      <c r="B2321">
        <v>2015</v>
      </c>
      <c r="C2321" t="s">
        <v>38</v>
      </c>
      <c r="D2321" t="s">
        <v>27</v>
      </c>
      <c r="E2321" t="e">
        <f>VLOOKUP(Cpi_[[#This Row],[Attribute]],#REF!,2,FALSE)</f>
        <v>#REF!</v>
      </c>
      <c r="F2321">
        <v>112.4</v>
      </c>
      <c r="G2321">
        <f>(Cpi_[[#This Row],[Value]]-F2320)/F2320</f>
        <v>-7.8688524590163886E-2</v>
      </c>
      <c r="H2321" t="e" cm="1" vm="1">
        <f t="array" aca="1" ref="H2321" ca="1">VLOOKUP(Cpi_[[#This Row],[Year]:[Month]],crudeoil[],3,FALSE)</f>
        <v>#VALUE!</v>
      </c>
    </row>
    <row r="2322" spans="1:8" hidden="1" x14ac:dyDescent="0.3">
      <c r="A2322" t="s">
        <v>33</v>
      </c>
      <c r="B2322">
        <v>2015</v>
      </c>
      <c r="C2322" t="s">
        <v>38</v>
      </c>
      <c r="D2322" t="s">
        <v>28</v>
      </c>
      <c r="E2322" t="e">
        <f>VLOOKUP(Cpi_[[#This Row],[Attribute]],#REF!,2,FALSE)</f>
        <v>#REF!</v>
      </c>
      <c r="F2322">
        <v>115.2</v>
      </c>
      <c r="G2322">
        <f>(Cpi_[[#This Row],[Value]]-F2321)/F2321</f>
        <v>2.4911032028469723E-2</v>
      </c>
      <c r="H2322" t="e" cm="1" vm="1">
        <f t="array" aca="1" ref="H2322" ca="1">VLOOKUP(Cpi_[[#This Row],[Year]:[Month]],crudeoil[],3,FALSE)</f>
        <v>#VALUE!</v>
      </c>
    </row>
    <row r="2323" spans="1:8" hidden="1" x14ac:dyDescent="0.3">
      <c r="A2323" t="s">
        <v>33</v>
      </c>
      <c r="B2323">
        <v>2015</v>
      </c>
      <c r="C2323" t="s">
        <v>38</v>
      </c>
      <c r="D2323" t="s">
        <v>29</v>
      </c>
      <c r="E2323" t="e" cm="1">
        <f t="array" aca="1" ref="E2323" ca="1">VLGeneral indexGeneral indexKUP(Cpi_[[#This Row],[Attribute]],#REF!,2,FALSE)</f>
        <v>#NAME?</v>
      </c>
      <c r="F2323">
        <v>120.7</v>
      </c>
      <c r="G2323">
        <f>(Cpi_[[#This Row],[Value]]-F2322)/F2322</f>
        <v>4.7743055555555552E-2</v>
      </c>
      <c r="H2323" t="e" cm="1" vm="1">
        <f t="array" aca="1" ref="H2323" ca="1">VLOOKUP(Cpi_[[#This Row],[Year]:[Month]],crudeoil[],3,FALSE)</f>
        <v>#VALUE!</v>
      </c>
    </row>
    <row r="2324" spans="1:8" hidden="1" x14ac:dyDescent="0.3">
      <c r="A2324" t="s">
        <v>34</v>
      </c>
      <c r="B2324">
        <v>2015</v>
      </c>
      <c r="C2324" t="s">
        <v>38</v>
      </c>
      <c r="D2324" t="s">
        <v>3</v>
      </c>
      <c r="E2324" t="e">
        <f>VLOOKUP(Cpi_[[#This Row],[Attribute]],#REF!,2,FALSE)</f>
        <v>#REF!</v>
      </c>
      <c r="F2324">
        <v>123.6</v>
      </c>
      <c r="G2324">
        <f>(Cpi_[[#This Row],[Value]]-F2323)/F2323</f>
        <v>2.4026512013255934E-2</v>
      </c>
      <c r="H2324" t="e" cm="1" vm="1">
        <f t="array" aca="1" ref="H2324" ca="1">VLOOKUP(Cpi_[[#This Row],[Year]:[Month]],crudeoil[],3,FALSE)</f>
        <v>#VALUE!</v>
      </c>
    </row>
    <row r="2325" spans="1:8" hidden="1" x14ac:dyDescent="0.3">
      <c r="A2325" t="s">
        <v>34</v>
      </c>
      <c r="B2325">
        <v>2015</v>
      </c>
      <c r="C2325" t="s">
        <v>38</v>
      </c>
      <c r="D2325" t="s">
        <v>4</v>
      </c>
      <c r="E2325" t="e">
        <f>VLOOKUP(Cpi_[[#This Row],[Attribute]],#REF!,2,FALSE)</f>
        <v>#REF!</v>
      </c>
      <c r="F2325">
        <v>128</v>
      </c>
      <c r="G2325">
        <f>(Cpi_[[#This Row],[Value]]-F2324)/F2324</f>
        <v>3.5598705501618172E-2</v>
      </c>
      <c r="H2325" t="e" cm="1" vm="1">
        <f t="array" aca="1" ref="H2325" ca="1">VLOOKUP(Cpi_[[#This Row],[Year]:[Month]],crudeoil[],3,FALSE)</f>
        <v>#VALUE!</v>
      </c>
    </row>
    <row r="2326" spans="1:8" hidden="1" x14ac:dyDescent="0.3">
      <c r="A2326" t="s">
        <v>34</v>
      </c>
      <c r="B2326">
        <v>2015</v>
      </c>
      <c r="C2326" t="s">
        <v>38</v>
      </c>
      <c r="D2326" t="s">
        <v>5</v>
      </c>
      <c r="E2326" t="e">
        <f>VLOOKUP(Cpi_[[#This Row],[Attribute]],#REF!,2,FALSE)</f>
        <v>#REF!</v>
      </c>
      <c r="F2326">
        <v>115</v>
      </c>
      <c r="G2326">
        <f>(Cpi_[[#This Row],[Value]]-F2325)/F2325</f>
        <v>-0.1015625</v>
      </c>
      <c r="H2326" t="e" cm="1" vm="1">
        <f t="array" aca="1" ref="H2326" ca="1">VLOOKUP(Cpi_[[#This Row],[Year]:[Month]],crudeoil[],3,FALSE)</f>
        <v>#VALUE!</v>
      </c>
    </row>
    <row r="2327" spans="1:8" hidden="1" x14ac:dyDescent="0.3">
      <c r="A2327" t="s">
        <v>34</v>
      </c>
      <c r="B2327">
        <v>2015</v>
      </c>
      <c r="C2327" t="s">
        <v>38</v>
      </c>
      <c r="D2327" t="s">
        <v>6</v>
      </c>
      <c r="E2327" t="e">
        <f>VLOOKUP(Cpi_[[#This Row],[Attribute]],#REF!,2,FALSE)</f>
        <v>#REF!</v>
      </c>
      <c r="F2327">
        <v>127.3</v>
      </c>
      <c r="G2327">
        <f>(Cpi_[[#This Row],[Value]]-F2326)/F2326</f>
        <v>0.10695652173913041</v>
      </c>
      <c r="H2327" t="e" cm="1" vm="1">
        <f t="array" aca="1" ref="H2327" ca="1">VLOOKUP(Cpi_[[#This Row],[Year]:[Month]],crudeoil[],3,FALSE)</f>
        <v>#VALUE!</v>
      </c>
    </row>
    <row r="2328" spans="1:8" hidden="1" x14ac:dyDescent="0.3">
      <c r="A2328" t="s">
        <v>34</v>
      </c>
      <c r="B2328">
        <v>2015</v>
      </c>
      <c r="C2328" t="s">
        <v>38</v>
      </c>
      <c r="D2328" t="s">
        <v>7</v>
      </c>
      <c r="E2328" t="e">
        <f>VLOOKUP(Cpi_[[#This Row],[Attribute]],#REF!,2,FALSE)</f>
        <v>#REF!</v>
      </c>
      <c r="F2328">
        <v>109.8</v>
      </c>
      <c r="G2328">
        <f>(Cpi_[[#This Row],[Value]]-F2327)/F2327</f>
        <v>-0.13747054202670855</v>
      </c>
      <c r="H2328" t="e" cm="1" vm="1">
        <f t="array" aca="1" ref="H2328" ca="1">VLOOKUP(Cpi_[[#This Row],[Year]:[Month]],crudeoil[],3,FALSE)</f>
        <v>#VALUE!</v>
      </c>
    </row>
    <row r="2329" spans="1:8" hidden="1" x14ac:dyDescent="0.3">
      <c r="A2329" t="s">
        <v>34</v>
      </c>
      <c r="B2329">
        <v>2015</v>
      </c>
      <c r="C2329" t="s">
        <v>38</v>
      </c>
      <c r="D2329" t="s">
        <v>8</v>
      </c>
      <c r="E2329" t="e">
        <f>VLOOKUP(Cpi_[[#This Row],[Attribute]],#REF!,2,FALSE)</f>
        <v>#REF!</v>
      </c>
      <c r="F2329">
        <v>132.6</v>
      </c>
      <c r="G2329">
        <f>(Cpi_[[#This Row],[Value]]-F2328)/F2328</f>
        <v>0.2076502732240437</v>
      </c>
      <c r="H2329" t="e" cm="1" vm="1">
        <f t="array" aca="1" ref="H2329" ca="1">VLOOKUP(Cpi_[[#This Row],[Year]:[Month]],crudeoil[],3,FALSE)</f>
        <v>#VALUE!</v>
      </c>
    </row>
    <row r="2330" spans="1:8" hidden="1" x14ac:dyDescent="0.3">
      <c r="A2330" t="s">
        <v>34</v>
      </c>
      <c r="B2330">
        <v>2015</v>
      </c>
      <c r="C2330" t="s">
        <v>38</v>
      </c>
      <c r="D2330" t="s">
        <v>9</v>
      </c>
      <c r="E2330" t="e">
        <f>VLOOKUP(Cpi_[[#This Row],[Attribute]],#REF!,2,FALSE)</f>
        <v>#REF!</v>
      </c>
      <c r="F2330">
        <v>130.9</v>
      </c>
      <c r="G2330">
        <f>(Cpi_[[#This Row],[Value]]-F2329)/F2329</f>
        <v>-1.2820512820512735E-2</v>
      </c>
      <c r="H2330" t="e" cm="1" vm="1">
        <f t="array" aca="1" ref="H2330" ca="1">VLOOKUP(Cpi_[[#This Row],[Year]:[Month]],crudeoil[],3,FALSE)</f>
        <v>#VALUE!</v>
      </c>
    </row>
    <row r="2331" spans="1:8" hidden="1" x14ac:dyDescent="0.3">
      <c r="A2331" t="s">
        <v>34</v>
      </c>
      <c r="B2331">
        <v>2015</v>
      </c>
      <c r="C2331" t="s">
        <v>38</v>
      </c>
      <c r="D2331" t="s">
        <v>10</v>
      </c>
      <c r="E2331" t="e">
        <f>VLOOKUP(Cpi_[[#This Row],[Attribute]],#REF!,2,FALSE)</f>
        <v>#REF!</v>
      </c>
      <c r="F2331">
        <v>130.5</v>
      </c>
      <c r="G2331">
        <f>(Cpi_[[#This Row],[Value]]-F2330)/F2330</f>
        <v>-3.0557677616501579E-3</v>
      </c>
      <c r="H2331" t="e" cm="1" vm="1">
        <f t="array" aca="1" ref="H2331" ca="1">VLOOKUP(Cpi_[[#This Row],[Year]:[Month]],crudeoil[],3,FALSE)</f>
        <v>#VALUE!</v>
      </c>
    </row>
    <row r="2332" spans="1:8" hidden="1" x14ac:dyDescent="0.3">
      <c r="A2332" t="s">
        <v>34</v>
      </c>
      <c r="B2332">
        <v>2015</v>
      </c>
      <c r="C2332" t="s">
        <v>38</v>
      </c>
      <c r="D2332" t="s">
        <v>11</v>
      </c>
      <c r="E2332" t="e">
        <f>VLOOKUP(Cpi_[[#This Row],[Attribute]],#REF!,2,FALSE)</f>
        <v>#REF!</v>
      </c>
      <c r="F2332">
        <v>95.3</v>
      </c>
      <c r="G2332">
        <f>(Cpi_[[#This Row],[Value]]-F2331)/F2331</f>
        <v>-0.26973180076628356</v>
      </c>
      <c r="H2332" t="e" cm="1" vm="1">
        <f t="array" aca="1" ref="H2332" ca="1">VLOOKUP(Cpi_[[#This Row],[Year]:[Month]],crudeoil[],3,FALSE)</f>
        <v>#VALUE!</v>
      </c>
    </row>
    <row r="2333" spans="1:8" hidden="1" x14ac:dyDescent="0.3">
      <c r="A2333" t="s">
        <v>34</v>
      </c>
      <c r="B2333">
        <v>2015</v>
      </c>
      <c r="C2333" t="s">
        <v>38</v>
      </c>
      <c r="D2333" t="s">
        <v>12</v>
      </c>
      <c r="E2333" t="e">
        <f>VLOOKUP(Cpi_[[#This Row],[Attribute]],#REF!,2,FALSE)</f>
        <v>#REF!</v>
      </c>
      <c r="F2333">
        <v>123.4</v>
      </c>
      <c r="G2333">
        <f>(Cpi_[[#This Row],[Value]]-F2332)/F2332</f>
        <v>0.2948583420776496</v>
      </c>
      <c r="H2333" t="e" cm="1" vm="1">
        <f t="array" aca="1" ref="H2333" ca="1">VLOOKUP(Cpi_[[#This Row],[Year]:[Month]],crudeoil[],3,FALSE)</f>
        <v>#VALUE!</v>
      </c>
    </row>
    <row r="2334" spans="1:8" hidden="1" x14ac:dyDescent="0.3">
      <c r="A2334" t="s">
        <v>34</v>
      </c>
      <c r="B2334">
        <v>2015</v>
      </c>
      <c r="C2334" t="s">
        <v>38</v>
      </c>
      <c r="D2334" t="s">
        <v>13</v>
      </c>
      <c r="E2334" t="e">
        <f>VLOOKUP(Cpi_[[#This Row],[Attribute]],#REF!,2,FALSE)</f>
        <v>#REF!</v>
      </c>
      <c r="F2334">
        <v>119.2</v>
      </c>
      <c r="G2334">
        <f>(Cpi_[[#This Row],[Value]]-F2333)/F2333</f>
        <v>-3.4035656401944919E-2</v>
      </c>
      <c r="H2334" t="e" cm="1" vm="1">
        <f t="array" aca="1" ref="H2334" ca="1">VLOOKUP(Cpi_[[#This Row],[Year]:[Month]],crudeoil[],3,FALSE)</f>
        <v>#VALUE!</v>
      </c>
    </row>
    <row r="2335" spans="1:8" hidden="1" x14ac:dyDescent="0.3">
      <c r="A2335" t="s">
        <v>34</v>
      </c>
      <c r="B2335">
        <v>2015</v>
      </c>
      <c r="C2335" t="s">
        <v>38</v>
      </c>
      <c r="D2335" t="s">
        <v>14</v>
      </c>
      <c r="E2335" t="e">
        <f>VLOOKUP(Cpi_[[#This Row],[Attribute]],#REF!,2,FALSE)</f>
        <v>#REF!</v>
      </c>
      <c r="F2335">
        <v>129.80000000000001</v>
      </c>
      <c r="G2335">
        <f>(Cpi_[[#This Row],[Value]]-F2334)/F2334</f>
        <v>8.8926174496644361E-2</v>
      </c>
      <c r="H2335" t="e" cm="1" vm="1">
        <f t="array" aca="1" ref="H2335" ca="1">VLOOKUP(Cpi_[[#This Row],[Year]:[Month]],crudeoil[],3,FALSE)</f>
        <v>#VALUE!</v>
      </c>
    </row>
    <row r="2336" spans="1:8" hidden="1" x14ac:dyDescent="0.3">
      <c r="A2336" t="s">
        <v>34</v>
      </c>
      <c r="B2336">
        <v>2015</v>
      </c>
      <c r="C2336" t="s">
        <v>38</v>
      </c>
      <c r="D2336" t="s">
        <v>15</v>
      </c>
      <c r="E2336" t="e">
        <f>VLOOKUP(Cpi_[[#This Row],[Attribute]],#REF!,2,FALSE)</f>
        <v>#REF!</v>
      </c>
      <c r="F2336">
        <v>125</v>
      </c>
      <c r="G2336">
        <f>(Cpi_[[#This Row],[Value]]-F2335)/F2335</f>
        <v>-3.69799691833591E-2</v>
      </c>
      <c r="H2336" t="e" cm="1" vm="1">
        <f t="array" aca="1" ref="H2336" ca="1">VLOOKUP(Cpi_[[#This Row],[Year]:[Month]],crudeoil[],3,FALSE)</f>
        <v>#VALUE!</v>
      </c>
    </row>
    <row r="2337" spans="1:8" hidden="1" x14ac:dyDescent="0.3">
      <c r="A2337" t="s">
        <v>34</v>
      </c>
      <c r="B2337">
        <v>2015</v>
      </c>
      <c r="C2337" t="s">
        <v>38</v>
      </c>
      <c r="D2337" t="s">
        <v>16</v>
      </c>
      <c r="E2337" t="e">
        <f>VLOOKUP(Cpi_[[#This Row],[Attribute]],#REF!,2,FALSE)</f>
        <v>#REF!</v>
      </c>
      <c r="F2337">
        <v>127.9</v>
      </c>
      <c r="G2337">
        <f>(Cpi_[[#This Row],[Value]]-F2336)/F2336</f>
        <v>2.3200000000000047E-2</v>
      </c>
      <c r="H2337" t="e" cm="1" vm="1">
        <f t="array" aca="1" ref="H2337" ca="1">VLOOKUP(Cpi_[[#This Row],[Year]:[Month]],crudeoil[],3,FALSE)</f>
        <v>#VALUE!</v>
      </c>
    </row>
    <row r="2338" spans="1:8" hidden="1" x14ac:dyDescent="0.3">
      <c r="A2338" t="s">
        <v>34</v>
      </c>
      <c r="B2338">
        <v>2015</v>
      </c>
      <c r="C2338" t="s">
        <v>38</v>
      </c>
      <c r="D2338" t="s">
        <v>17</v>
      </c>
      <c r="E2338" t="e">
        <f>VLOOKUP(Cpi_[[#This Row],[Attribute]],#REF!,2,FALSE)</f>
        <v>#REF!</v>
      </c>
      <c r="F2338">
        <v>125.4</v>
      </c>
      <c r="G2338">
        <f>(Cpi_[[#This Row],[Value]]-F2337)/F2337</f>
        <v>-1.9546520719311962E-2</v>
      </c>
      <c r="H2338" t="e" cm="1" vm="1">
        <f t="array" aca="1" ref="H2338" ca="1">VLOOKUP(Cpi_[[#This Row],[Year]:[Month]],crudeoil[],3,FALSE)</f>
        <v>#VALUE!</v>
      </c>
    </row>
    <row r="2339" spans="1:8" hidden="1" x14ac:dyDescent="0.3">
      <c r="A2339" t="s">
        <v>34</v>
      </c>
      <c r="B2339">
        <v>2015</v>
      </c>
      <c r="C2339" t="s">
        <v>38</v>
      </c>
      <c r="D2339" t="s">
        <v>18</v>
      </c>
      <c r="E2339" t="e">
        <f>VLOOKUP(Cpi_[[#This Row],[Attribute]],#REF!,2,FALSE)</f>
        <v>#REF!</v>
      </c>
      <c r="F2339">
        <v>121.3</v>
      </c>
      <c r="G2339">
        <f>(Cpi_[[#This Row],[Value]]-F2338)/F2338</f>
        <v>-3.2695374800638027E-2</v>
      </c>
      <c r="H2339" t="e" cm="1" vm="1">
        <f t="array" aca="1" ref="H2339" ca="1">VLOOKUP(Cpi_[[#This Row],[Year]:[Month]],crudeoil[],3,FALSE)</f>
        <v>#VALUE!</v>
      </c>
    </row>
    <row r="2340" spans="1:8" hidden="1" x14ac:dyDescent="0.3">
      <c r="A2340" t="s">
        <v>34</v>
      </c>
      <c r="B2340">
        <v>2015</v>
      </c>
      <c r="C2340" t="s">
        <v>38</v>
      </c>
      <c r="D2340" t="s">
        <v>19</v>
      </c>
      <c r="E2340" t="e">
        <f>VLOOKUP(Cpi_[[#This Row],[Attribute]],#REF!,2,FALSE)</f>
        <v>#REF!</v>
      </c>
      <c r="F2340">
        <v>124.7</v>
      </c>
      <c r="G2340">
        <f>(Cpi_[[#This Row],[Value]]-F2339)/F2339</f>
        <v>2.8029678483099799E-2</v>
      </c>
      <c r="H2340" t="e" cm="1" vm="1">
        <f t="array" aca="1" ref="H2340" ca="1">VLOOKUP(Cpi_[[#This Row],[Year]:[Month]],crudeoil[],3,FALSE)</f>
        <v>#VALUE!</v>
      </c>
    </row>
    <row r="2341" spans="1:8" hidden="1" x14ac:dyDescent="0.3">
      <c r="A2341" t="s">
        <v>34</v>
      </c>
      <c r="B2341">
        <v>2015</v>
      </c>
      <c r="C2341" t="s">
        <v>38</v>
      </c>
      <c r="D2341" t="s">
        <v>20</v>
      </c>
      <c r="E2341" t="e">
        <f>VLOOKUP(Cpi_[[#This Row],[Attribute]],#REF!,2,FALSE)</f>
        <v>#REF!</v>
      </c>
      <c r="F2341">
        <v>119.6</v>
      </c>
      <c r="G2341">
        <f>(Cpi_[[#This Row],[Value]]-F2340)/F2340</f>
        <v>-4.0898155573376171E-2</v>
      </c>
      <c r="H2341" t="e" cm="1" vm="1">
        <f t="array" aca="1" ref="H2341" ca="1">VLOOKUP(Cpi_[[#This Row],[Year]:[Month]],crudeoil[],3,FALSE)</f>
        <v>#VALUE!</v>
      </c>
    </row>
    <row r="2342" spans="1:8" hidden="1" x14ac:dyDescent="0.3">
      <c r="A2342" t="s">
        <v>34</v>
      </c>
      <c r="B2342">
        <v>2015</v>
      </c>
      <c r="C2342" t="s">
        <v>38</v>
      </c>
      <c r="D2342" t="s">
        <v>21</v>
      </c>
      <c r="E2342" t="e">
        <f>VLOOKUP(Cpi_[[#This Row],[Attribute]],#REF!,2,FALSE)</f>
        <v>#REF!</v>
      </c>
      <c r="F2342">
        <v>119.2</v>
      </c>
      <c r="G2342">
        <f>(Cpi_[[#This Row],[Value]]-F2341)/F2341</f>
        <v>-3.3444816053510994E-3</v>
      </c>
      <c r="H2342" t="e" cm="1" vm="1">
        <f t="array" aca="1" ref="H2342" ca="1">VLOOKUP(Cpi_[[#This Row],[Year]:[Month]],crudeoil[],3,FALSE)</f>
        <v>#VALUE!</v>
      </c>
    </row>
    <row r="2343" spans="1:8" hidden="1" x14ac:dyDescent="0.3">
      <c r="A2343" t="s">
        <v>34</v>
      </c>
      <c r="B2343">
        <v>2015</v>
      </c>
      <c r="C2343" t="s">
        <v>38</v>
      </c>
      <c r="D2343" t="s">
        <v>22</v>
      </c>
      <c r="E2343" t="e">
        <f>VLOOKUP(Cpi_[[#This Row],[Attribute]],#REF!,2,FALSE)</f>
        <v>#REF!</v>
      </c>
      <c r="F2343">
        <v>120.2</v>
      </c>
      <c r="G2343">
        <f>(Cpi_[[#This Row],[Value]]-F2342)/F2342</f>
        <v>8.389261744966443E-3</v>
      </c>
      <c r="H2343" t="e" cm="1" vm="1">
        <f t="array" aca="1" ref="H2343" ca="1">VLOOKUP(Cpi_[[#This Row],[Year]:[Month]],crudeoil[],3,FALSE)</f>
        <v>#VALUE!</v>
      </c>
    </row>
    <row r="2344" spans="1:8" hidden="1" x14ac:dyDescent="0.3">
      <c r="A2344" t="s">
        <v>34</v>
      </c>
      <c r="B2344">
        <v>2015</v>
      </c>
      <c r="C2344" t="s">
        <v>38</v>
      </c>
      <c r="D2344" t="s">
        <v>23</v>
      </c>
      <c r="E2344" t="e">
        <f>VLOOKUP(Cpi_[[#This Row],[Attribute]],#REF!,2,FALSE)</f>
        <v>#REF!</v>
      </c>
      <c r="F2344">
        <v>117.7</v>
      </c>
      <c r="G2344">
        <f>(Cpi_[[#This Row],[Value]]-F2343)/F2343</f>
        <v>-2.0798668885191347E-2</v>
      </c>
      <c r="H2344" t="e" cm="1" vm="1">
        <f t="array" aca="1" ref="H2344" ca="1">VLOOKUP(Cpi_[[#This Row],[Year]:[Month]],crudeoil[],3,FALSE)</f>
        <v>#VALUE!</v>
      </c>
    </row>
    <row r="2345" spans="1:8" hidden="1" x14ac:dyDescent="0.3">
      <c r="A2345" t="s">
        <v>34</v>
      </c>
      <c r="B2345">
        <v>2015</v>
      </c>
      <c r="C2345" t="s">
        <v>38</v>
      </c>
      <c r="D2345" t="s">
        <v>24</v>
      </c>
      <c r="E2345" t="e">
        <f>VLOOKUP(Cpi_[[#This Row],[Attribute]],#REF!,2,FALSE)</f>
        <v>#REF!</v>
      </c>
      <c r="F2345">
        <v>112</v>
      </c>
      <c r="G2345">
        <f>(Cpi_[[#This Row],[Value]]-F2344)/F2344</f>
        <v>-4.8428207306712004E-2</v>
      </c>
      <c r="H2345" t="e" cm="1" vm="1">
        <f t="array" aca="1" ref="H2345" ca="1">VLOOKUP(Cpi_[[#This Row],[Year]:[Month]],crudeoil[],3,FALSE)</f>
        <v>#VALUE!</v>
      </c>
    </row>
    <row r="2346" spans="1:8" hidden="1" x14ac:dyDescent="0.3">
      <c r="A2346" t="s">
        <v>34</v>
      </c>
      <c r="B2346">
        <v>2015</v>
      </c>
      <c r="C2346" t="s">
        <v>38</v>
      </c>
      <c r="D2346" t="s">
        <v>25</v>
      </c>
      <c r="E2346" t="e">
        <f>VLOOKUP(Cpi_[[#This Row],[Attribute]],#REF!,2,FALSE)</f>
        <v>#REF!</v>
      </c>
      <c r="F2346">
        <v>116.3</v>
      </c>
      <c r="G2346">
        <f>(Cpi_[[#This Row],[Value]]-F2345)/F2345</f>
        <v>3.8392857142857117E-2</v>
      </c>
      <c r="H2346" t="e" cm="1" vm="1">
        <f t="array" aca="1" ref="H2346" ca="1">VLOOKUP(Cpi_[[#This Row],[Year]:[Month]],crudeoil[],3,FALSE)</f>
        <v>#VALUE!</v>
      </c>
    </row>
    <row r="2347" spans="1:8" hidden="1" x14ac:dyDescent="0.3">
      <c r="A2347" t="s">
        <v>34</v>
      </c>
      <c r="B2347">
        <v>2015</v>
      </c>
      <c r="C2347" t="s">
        <v>38</v>
      </c>
      <c r="D2347" t="s">
        <v>26</v>
      </c>
      <c r="E2347" t="e">
        <f>VLOOKUP(Cpi_[[#This Row],[Attribute]],#REF!,2,FALSE)</f>
        <v>#REF!</v>
      </c>
      <c r="F2347">
        <v>121.4</v>
      </c>
      <c r="G2347">
        <f>(Cpi_[[#This Row],[Value]]-F2346)/F2346</f>
        <v>4.385210662080833E-2</v>
      </c>
      <c r="H2347" t="e" cm="1" vm="1">
        <f t="array" aca="1" ref="H2347" ca="1">VLOOKUP(Cpi_[[#This Row],[Year]:[Month]],crudeoil[],3,FALSE)</f>
        <v>#VALUE!</v>
      </c>
    </row>
    <row r="2348" spans="1:8" hidden="1" x14ac:dyDescent="0.3">
      <c r="A2348" t="s">
        <v>34</v>
      </c>
      <c r="B2348">
        <v>2015</v>
      </c>
      <c r="C2348" t="s">
        <v>38</v>
      </c>
      <c r="D2348" t="s">
        <v>27</v>
      </c>
      <c r="E2348" t="e">
        <f>VLOOKUP(Cpi_[[#This Row],[Attribute]],#REF!,2,FALSE)</f>
        <v>#REF!</v>
      </c>
      <c r="F2348">
        <v>112.3</v>
      </c>
      <c r="G2348">
        <f>(Cpi_[[#This Row],[Value]]-F2347)/F2347</f>
        <v>-7.4958813838550312E-2</v>
      </c>
      <c r="H2348" t="e" cm="1" vm="1">
        <f t="array" aca="1" ref="H2348" ca="1">VLOOKUP(Cpi_[[#This Row],[Year]:[Month]],crudeoil[],3,FALSE)</f>
        <v>#VALUE!</v>
      </c>
    </row>
    <row r="2349" spans="1:8" hidden="1" x14ac:dyDescent="0.3">
      <c r="A2349" t="s">
        <v>34</v>
      </c>
      <c r="B2349">
        <v>2015</v>
      </c>
      <c r="C2349" t="s">
        <v>38</v>
      </c>
      <c r="D2349" t="s">
        <v>28</v>
      </c>
      <c r="E2349" t="e">
        <f>VLOOKUP(Cpi_[[#This Row],[Attribute]],#REF!,2,FALSE)</f>
        <v>#REF!</v>
      </c>
      <c r="F2349">
        <v>116.1</v>
      </c>
      <c r="G2349">
        <f>(Cpi_[[#This Row],[Value]]-F2348)/F2348</f>
        <v>3.3837934105075664E-2</v>
      </c>
      <c r="H2349" t="e" cm="1" vm="1">
        <f t="array" aca="1" ref="H2349" ca="1">VLOOKUP(Cpi_[[#This Row],[Year]:[Month]],crudeoil[],3,FALSE)</f>
        <v>#VALUE!</v>
      </c>
    </row>
    <row r="2350" spans="1:8" hidden="1" x14ac:dyDescent="0.3">
      <c r="A2350" t="s">
        <v>34</v>
      </c>
      <c r="B2350">
        <v>2015</v>
      </c>
      <c r="C2350" t="s">
        <v>38</v>
      </c>
      <c r="D2350" t="s">
        <v>29</v>
      </c>
      <c r="E2350" t="e" cm="1">
        <f t="array" aca="1" ref="E2350" ca="1">VLGeneral indexGeneral indexKUP(Cpi_[[#This Row],[Attribute]],#REF!,2,FALSE)</f>
        <v>#NAME?</v>
      </c>
      <c r="F2350">
        <v>121.6</v>
      </c>
      <c r="G2350">
        <f>(Cpi_[[#This Row],[Value]]-F2349)/F2349</f>
        <v>4.7372954349698536E-2</v>
      </c>
      <c r="H2350" t="e" cm="1" vm="1">
        <f t="array" aca="1" ref="H2350" ca="1">VLOOKUP(Cpi_[[#This Row],[Year]:[Month]],crudeoil[],3,FALSE)</f>
        <v>#VALUE!</v>
      </c>
    </row>
    <row r="2351" spans="1:8" hidden="1" x14ac:dyDescent="0.3">
      <c r="A2351" t="s">
        <v>30</v>
      </c>
      <c r="B2351">
        <v>2015</v>
      </c>
      <c r="C2351" t="s">
        <v>39</v>
      </c>
      <c r="D2351" t="s">
        <v>3</v>
      </c>
      <c r="E2351" t="e">
        <f>VLOOKUP(Cpi_[[#This Row],[Attribute]],#REF!,2,FALSE)</f>
        <v>#REF!</v>
      </c>
      <c r="F2351">
        <v>124.1</v>
      </c>
      <c r="G2351">
        <f>(Cpi_[[#This Row],[Value]]-F2350)/F2350</f>
        <v>2.0559210526315791E-2</v>
      </c>
      <c r="H2351" t="e" cm="1" vm="1">
        <f t="array" aca="1" ref="H2351" ca="1">VLOOKUP(Cpi_[[#This Row],[Year]:[Month]],crudeoil[],3,FALSE)</f>
        <v>#VALUE!</v>
      </c>
    </row>
    <row r="2352" spans="1:8" hidden="1" x14ac:dyDescent="0.3">
      <c r="A2352" t="s">
        <v>30</v>
      </c>
      <c r="B2352">
        <v>2015</v>
      </c>
      <c r="C2352" t="s">
        <v>39</v>
      </c>
      <c r="D2352" t="s">
        <v>4</v>
      </c>
      <c r="E2352" t="e">
        <f>VLOOKUP(Cpi_[[#This Row],[Attribute]],#REF!,2,FALSE)</f>
        <v>#REF!</v>
      </c>
      <c r="F2352">
        <v>130.4</v>
      </c>
      <c r="G2352">
        <f>(Cpi_[[#This Row],[Value]]-F2351)/F2351</f>
        <v>5.0765511684125797E-2</v>
      </c>
      <c r="H2352" t="e" cm="1" vm="1">
        <f t="array" aca="1" ref="H2352" ca="1">VLOOKUP(Cpi_[[#This Row],[Year]:[Month]],crudeoil[],3,FALSE)</f>
        <v>#VALUE!</v>
      </c>
    </row>
    <row r="2353" spans="1:8" hidden="1" x14ac:dyDescent="0.3">
      <c r="A2353" t="s">
        <v>30</v>
      </c>
      <c r="B2353">
        <v>2015</v>
      </c>
      <c r="C2353" t="s">
        <v>39</v>
      </c>
      <c r="D2353" t="s">
        <v>5</v>
      </c>
      <c r="E2353" t="e">
        <f>VLOOKUP(Cpi_[[#This Row],[Attribute]],#REF!,2,FALSE)</f>
        <v>#REF!</v>
      </c>
      <c r="F2353">
        <v>122.1</v>
      </c>
      <c r="G2353">
        <f>(Cpi_[[#This Row],[Value]]-F2352)/F2352</f>
        <v>-6.3650306748466348E-2</v>
      </c>
      <c r="H2353" t="e" cm="1" vm="1">
        <f t="array" aca="1" ref="H2353" ca="1">VLOOKUP(Cpi_[[#This Row],[Year]:[Month]],crudeoil[],3,FALSE)</f>
        <v>#VALUE!</v>
      </c>
    </row>
    <row r="2354" spans="1:8" hidden="1" x14ac:dyDescent="0.3">
      <c r="A2354" t="s">
        <v>30</v>
      </c>
      <c r="B2354">
        <v>2015</v>
      </c>
      <c r="C2354" t="s">
        <v>39</v>
      </c>
      <c r="D2354" t="s">
        <v>6</v>
      </c>
      <c r="E2354" t="e">
        <f>VLOOKUP(Cpi_[[#This Row],[Attribute]],#REF!,2,FALSE)</f>
        <v>#REF!</v>
      </c>
      <c r="F2354">
        <v>128.69999999999999</v>
      </c>
      <c r="G2354">
        <f>(Cpi_[[#This Row],[Value]]-F2353)/F2353</f>
        <v>5.4054054054054008E-2</v>
      </c>
      <c r="H2354" t="e" cm="1" vm="1">
        <f t="array" aca="1" ref="H2354" ca="1">VLOOKUP(Cpi_[[#This Row],[Year]:[Month]],crudeoil[],3,FALSE)</f>
        <v>#VALUE!</v>
      </c>
    </row>
    <row r="2355" spans="1:8" hidden="1" x14ac:dyDescent="0.3">
      <c r="A2355" t="s">
        <v>30</v>
      </c>
      <c r="B2355">
        <v>2015</v>
      </c>
      <c r="C2355" t="s">
        <v>39</v>
      </c>
      <c r="D2355" t="s">
        <v>7</v>
      </c>
      <c r="E2355" t="e">
        <f>VLOOKUP(Cpi_[[#This Row],[Attribute]],#REF!,2,FALSE)</f>
        <v>#REF!</v>
      </c>
      <c r="F2355">
        <v>114.1</v>
      </c>
      <c r="G2355">
        <f>(Cpi_[[#This Row],[Value]]-F2354)/F2354</f>
        <v>-0.11344211344211341</v>
      </c>
      <c r="H2355" t="e" cm="1" vm="1">
        <f t="array" aca="1" ref="H2355" ca="1">VLOOKUP(Cpi_[[#This Row],[Year]:[Month]],crudeoil[],3,FALSE)</f>
        <v>#VALUE!</v>
      </c>
    </row>
    <row r="2356" spans="1:8" hidden="1" x14ac:dyDescent="0.3">
      <c r="A2356" t="s">
        <v>30</v>
      </c>
      <c r="B2356">
        <v>2015</v>
      </c>
      <c r="C2356" t="s">
        <v>39</v>
      </c>
      <c r="D2356" t="s">
        <v>8</v>
      </c>
      <c r="E2356" t="e">
        <f>VLOOKUP(Cpi_[[#This Row],[Attribute]],#REF!,2,FALSE)</f>
        <v>#REF!</v>
      </c>
      <c r="F2356">
        <v>133.19999999999999</v>
      </c>
      <c r="G2356">
        <f>(Cpi_[[#This Row],[Value]]-F2355)/F2355</f>
        <v>0.16739702015775632</v>
      </c>
      <c r="H2356" t="e" cm="1" vm="1">
        <f t="array" aca="1" ref="H2356" ca="1">VLOOKUP(Cpi_[[#This Row],[Year]:[Month]],crudeoil[],3,FALSE)</f>
        <v>#VALUE!</v>
      </c>
    </row>
    <row r="2357" spans="1:8" hidden="1" x14ac:dyDescent="0.3">
      <c r="A2357" t="s">
        <v>30</v>
      </c>
      <c r="B2357">
        <v>2015</v>
      </c>
      <c r="C2357" t="s">
        <v>39</v>
      </c>
      <c r="D2357" t="s">
        <v>9</v>
      </c>
      <c r="E2357" t="e">
        <f>VLOOKUP(Cpi_[[#This Row],[Attribute]],#REF!,2,FALSE)</f>
        <v>#REF!</v>
      </c>
      <c r="F2357">
        <v>135.19999999999999</v>
      </c>
      <c r="G2357">
        <f>(Cpi_[[#This Row],[Value]]-F2356)/F2356</f>
        <v>1.5015015015015017E-2</v>
      </c>
      <c r="H2357" t="e" cm="1" vm="1">
        <f t="array" aca="1" ref="H2357" ca="1">VLOOKUP(Cpi_[[#This Row],[Year]:[Month]],crudeoil[],3,FALSE)</f>
        <v>#VALUE!</v>
      </c>
    </row>
    <row r="2358" spans="1:8" hidden="1" x14ac:dyDescent="0.3">
      <c r="A2358" t="s">
        <v>30</v>
      </c>
      <c r="B2358">
        <v>2015</v>
      </c>
      <c r="C2358" t="s">
        <v>39</v>
      </c>
      <c r="D2358" t="s">
        <v>10</v>
      </c>
      <c r="E2358" t="e">
        <f>VLOOKUP(Cpi_[[#This Row],[Attribute]],#REF!,2,FALSE)</f>
        <v>#REF!</v>
      </c>
      <c r="F2358">
        <v>131.9</v>
      </c>
      <c r="G2358">
        <f>(Cpi_[[#This Row],[Value]]-F2357)/F2357</f>
        <v>-2.4408284023668514E-2</v>
      </c>
      <c r="H2358" t="e" cm="1" vm="1">
        <f t="array" aca="1" ref="H2358" ca="1">VLOOKUP(Cpi_[[#This Row],[Year]:[Month]],crudeoil[],3,FALSE)</f>
        <v>#VALUE!</v>
      </c>
    </row>
    <row r="2359" spans="1:8" hidden="1" x14ac:dyDescent="0.3">
      <c r="A2359" t="s">
        <v>30</v>
      </c>
      <c r="B2359">
        <v>2015</v>
      </c>
      <c r="C2359" t="s">
        <v>39</v>
      </c>
      <c r="D2359" t="s">
        <v>11</v>
      </c>
      <c r="E2359" t="e">
        <f>VLOOKUP(Cpi_[[#This Row],[Attribute]],#REF!,2,FALSE)</f>
        <v>#REF!</v>
      </c>
      <c r="F2359">
        <v>96.3</v>
      </c>
      <c r="G2359">
        <f>(Cpi_[[#This Row],[Value]]-F2358)/F2358</f>
        <v>-0.26990144048521614</v>
      </c>
      <c r="H2359" t="e" cm="1" vm="1">
        <f t="array" aca="1" ref="H2359" ca="1">VLOOKUP(Cpi_[[#This Row],[Year]:[Month]],crudeoil[],3,FALSE)</f>
        <v>#VALUE!</v>
      </c>
    </row>
    <row r="2360" spans="1:8" hidden="1" x14ac:dyDescent="0.3">
      <c r="A2360" t="s">
        <v>30</v>
      </c>
      <c r="B2360">
        <v>2015</v>
      </c>
      <c r="C2360" t="s">
        <v>39</v>
      </c>
      <c r="D2360" t="s">
        <v>12</v>
      </c>
      <c r="E2360" t="e">
        <f>VLOOKUP(Cpi_[[#This Row],[Attribute]],#REF!,2,FALSE)</f>
        <v>#REF!</v>
      </c>
      <c r="F2360">
        <v>123</v>
      </c>
      <c r="G2360">
        <f>(Cpi_[[#This Row],[Value]]-F2359)/F2359</f>
        <v>0.27725856697819318</v>
      </c>
      <c r="H2360" t="e" cm="1" vm="1">
        <f t="array" aca="1" ref="H2360" ca="1">VLOOKUP(Cpi_[[#This Row],[Year]:[Month]],crudeoil[],3,FALSE)</f>
        <v>#VALUE!</v>
      </c>
    </row>
    <row r="2361" spans="1:8" hidden="1" x14ac:dyDescent="0.3">
      <c r="A2361" t="s">
        <v>30</v>
      </c>
      <c r="B2361">
        <v>2015</v>
      </c>
      <c r="C2361" t="s">
        <v>39</v>
      </c>
      <c r="D2361" t="s">
        <v>13</v>
      </c>
      <c r="E2361" t="e">
        <f>VLOOKUP(Cpi_[[#This Row],[Attribute]],#REF!,2,FALSE)</f>
        <v>#REF!</v>
      </c>
      <c r="F2361">
        <v>121.1</v>
      </c>
      <c r="G2361">
        <f>(Cpi_[[#This Row],[Value]]-F2360)/F2360</f>
        <v>-1.5447154471544761E-2</v>
      </c>
      <c r="H2361" t="e" cm="1" vm="1">
        <f t="array" aca="1" ref="H2361" ca="1">VLOOKUP(Cpi_[[#This Row],[Year]:[Month]],crudeoil[],3,FALSE)</f>
        <v>#VALUE!</v>
      </c>
    </row>
    <row r="2362" spans="1:8" hidden="1" x14ac:dyDescent="0.3">
      <c r="A2362" t="s">
        <v>30</v>
      </c>
      <c r="B2362">
        <v>2015</v>
      </c>
      <c r="C2362" t="s">
        <v>39</v>
      </c>
      <c r="D2362" t="s">
        <v>14</v>
      </c>
      <c r="E2362" t="e">
        <f>VLOOKUP(Cpi_[[#This Row],[Attribute]],#REF!,2,FALSE)</f>
        <v>#REF!</v>
      </c>
      <c r="F2362">
        <v>131.19999999999999</v>
      </c>
      <c r="G2362">
        <f>(Cpi_[[#This Row],[Value]]-F2361)/F2361</f>
        <v>8.3402146985961975E-2</v>
      </c>
      <c r="H2362" t="e" cm="1" vm="1">
        <f t="array" aca="1" ref="H2362" ca="1">VLOOKUP(Cpi_[[#This Row],[Year]:[Month]],crudeoil[],3,FALSE)</f>
        <v>#VALUE!</v>
      </c>
    </row>
    <row r="2363" spans="1:8" hidden="1" x14ac:dyDescent="0.3">
      <c r="A2363" t="s">
        <v>30</v>
      </c>
      <c r="B2363">
        <v>2015</v>
      </c>
      <c r="C2363" t="s">
        <v>39</v>
      </c>
      <c r="D2363" t="s">
        <v>15</v>
      </c>
      <c r="E2363" t="e">
        <f>VLOOKUP(Cpi_[[#This Row],[Attribute]],#REF!,2,FALSE)</f>
        <v>#REF!</v>
      </c>
      <c r="F2363">
        <v>126.6</v>
      </c>
      <c r="G2363">
        <f>(Cpi_[[#This Row],[Value]]-F2362)/F2362</f>
        <v>-3.5060975609756059E-2</v>
      </c>
      <c r="H2363" t="e" cm="1" vm="1">
        <f t="array" aca="1" ref="H2363" ca="1">VLOOKUP(Cpi_[[#This Row],[Year]:[Month]],crudeoil[],3,FALSE)</f>
        <v>#VALUE!</v>
      </c>
    </row>
    <row r="2364" spans="1:8" hidden="1" x14ac:dyDescent="0.3">
      <c r="A2364" t="s">
        <v>30</v>
      </c>
      <c r="B2364">
        <v>2015</v>
      </c>
      <c r="C2364" t="s">
        <v>39</v>
      </c>
      <c r="D2364" t="s">
        <v>16</v>
      </c>
      <c r="E2364" t="e">
        <f>VLOOKUP(Cpi_[[#This Row],[Attribute]],#REF!,2,FALSE)</f>
        <v>#REF!</v>
      </c>
      <c r="F2364">
        <v>128.19999999999999</v>
      </c>
      <c r="G2364">
        <f>(Cpi_[[#This Row],[Value]]-F2363)/F2363</f>
        <v>1.2638230647709277E-2</v>
      </c>
      <c r="H2364" t="e" cm="1" vm="1">
        <f t="array" aca="1" ref="H2364" ca="1">VLOOKUP(Cpi_[[#This Row],[Year]:[Month]],crudeoil[],3,FALSE)</f>
        <v>#VALUE!</v>
      </c>
    </row>
    <row r="2365" spans="1:8" hidden="1" x14ac:dyDescent="0.3">
      <c r="A2365" t="s">
        <v>30</v>
      </c>
      <c r="B2365">
        <v>2015</v>
      </c>
      <c r="C2365" t="s">
        <v>39</v>
      </c>
      <c r="D2365" t="s">
        <v>17</v>
      </c>
      <c r="E2365" t="e">
        <f>VLOOKUP(Cpi_[[#This Row],[Attribute]],#REF!,2,FALSE)</f>
        <v>#REF!</v>
      </c>
      <c r="F2365">
        <v>128.4</v>
      </c>
      <c r="G2365">
        <f>(Cpi_[[#This Row],[Value]]-F2364)/F2364</f>
        <v>1.560062402496233E-3</v>
      </c>
      <c r="H2365" t="e" cm="1" vm="1">
        <f t="array" aca="1" ref="H2365" ca="1">VLOOKUP(Cpi_[[#This Row],[Year]:[Month]],crudeoil[],3,FALSE)</f>
        <v>#VALUE!</v>
      </c>
    </row>
    <row r="2366" spans="1:8" hidden="1" x14ac:dyDescent="0.3">
      <c r="A2366" t="s">
        <v>30</v>
      </c>
      <c r="B2366">
        <v>2015</v>
      </c>
      <c r="C2366" t="s">
        <v>39</v>
      </c>
      <c r="D2366" t="s">
        <v>18</v>
      </c>
      <c r="E2366" t="e">
        <f>VLOOKUP(Cpi_[[#This Row],[Attribute]],#REF!,2,FALSE)</f>
        <v>#REF!</v>
      </c>
      <c r="F2366">
        <v>125.1</v>
      </c>
      <c r="G2366">
        <f>(Cpi_[[#This Row],[Value]]-F2365)/F2365</f>
        <v>-2.5700934579439338E-2</v>
      </c>
      <c r="H2366" t="e" cm="1" vm="1">
        <f t="array" aca="1" ref="H2366" ca="1">VLOOKUP(Cpi_[[#This Row],[Year]:[Month]],crudeoil[],3,FALSE)</f>
        <v>#VALUE!</v>
      </c>
    </row>
    <row r="2367" spans="1:8" hidden="1" x14ac:dyDescent="0.3">
      <c r="A2367" t="s">
        <v>30</v>
      </c>
      <c r="B2367">
        <v>2015</v>
      </c>
      <c r="C2367" t="s">
        <v>39</v>
      </c>
      <c r="D2367" t="s">
        <v>19</v>
      </c>
      <c r="E2367" t="e">
        <f>VLOOKUP(Cpi_[[#This Row],[Attribute]],#REF!,2,FALSE)</f>
        <v>#REF!</v>
      </c>
      <c r="F2367">
        <v>128</v>
      </c>
      <c r="G2367">
        <f>(Cpi_[[#This Row],[Value]]-F2366)/F2366</f>
        <v>2.3181454836131141E-2</v>
      </c>
      <c r="H2367" t="e" cm="1" vm="1">
        <f t="array" aca="1" ref="H2367" ca="1">VLOOKUP(Cpi_[[#This Row],[Year]:[Month]],crudeoil[],3,FALSE)</f>
        <v>#VALUE!</v>
      </c>
    </row>
    <row r="2368" spans="1:8" hidden="1" x14ac:dyDescent="0.3">
      <c r="A2368" t="s">
        <v>30</v>
      </c>
      <c r="B2368">
        <v>2015</v>
      </c>
      <c r="C2368" t="s">
        <v>39</v>
      </c>
      <c r="D2368" t="s">
        <v>20</v>
      </c>
      <c r="E2368" t="e">
        <f>VLOOKUP(Cpi_[[#This Row],[Attribute]],#REF!,2,FALSE)</f>
        <v>#REF!</v>
      </c>
      <c r="F2368" t="s">
        <v>32</v>
      </c>
      <c r="G2368" t="e">
        <f>(Cpi_[[#This Row],[Value]]-F2367)/F2367</f>
        <v>#VALUE!</v>
      </c>
      <c r="H2368" t="e" cm="1" vm="1">
        <f t="array" aca="1" ref="H2368" ca="1">VLOOKUP(Cpi_[[#This Row],[Year]:[Month]],crudeoil[],3,FALSE)</f>
        <v>#VALUE!</v>
      </c>
    </row>
    <row r="2369" spans="1:8" hidden="1" x14ac:dyDescent="0.3">
      <c r="A2369" t="s">
        <v>30</v>
      </c>
      <c r="B2369">
        <v>2015</v>
      </c>
      <c r="C2369" t="s">
        <v>39</v>
      </c>
      <c r="D2369" t="s">
        <v>21</v>
      </c>
      <c r="E2369" t="e">
        <f>VLOOKUP(Cpi_[[#This Row],[Attribute]],#REF!,2,FALSE)</f>
        <v>#REF!</v>
      </c>
      <c r="F2369">
        <v>122.6</v>
      </c>
      <c r="G2369" t="e">
        <f>(Cpi_[[#This Row],[Value]]-F2368)/F2368</f>
        <v>#VALUE!</v>
      </c>
      <c r="H2369" t="e" cm="1" vm="1">
        <f t="array" aca="1" ref="H2369" ca="1">VLOOKUP(Cpi_[[#This Row],[Year]:[Month]],crudeoil[],3,FALSE)</f>
        <v>#VALUE!</v>
      </c>
    </row>
    <row r="2370" spans="1:8" hidden="1" x14ac:dyDescent="0.3">
      <c r="A2370" t="s">
        <v>30</v>
      </c>
      <c r="B2370">
        <v>2015</v>
      </c>
      <c r="C2370" t="s">
        <v>39</v>
      </c>
      <c r="D2370" t="s">
        <v>22</v>
      </c>
      <c r="E2370" t="e">
        <f>VLOOKUP(Cpi_[[#This Row],[Attribute]],#REF!,2,FALSE)</f>
        <v>#REF!</v>
      </c>
      <c r="F2370">
        <v>122.8</v>
      </c>
      <c r="G2370">
        <f>(Cpi_[[#This Row],[Value]]-F2369)/F2369</f>
        <v>1.6313213703099743E-3</v>
      </c>
      <c r="H2370" t="e" cm="1" vm="1">
        <f t="array" aca="1" ref="H2370" ca="1">VLOOKUP(Cpi_[[#This Row],[Year]:[Month]],crudeoil[],3,FALSE)</f>
        <v>#VALUE!</v>
      </c>
    </row>
    <row r="2371" spans="1:8" hidden="1" x14ac:dyDescent="0.3">
      <c r="A2371" t="s">
        <v>30</v>
      </c>
      <c r="B2371">
        <v>2015</v>
      </c>
      <c r="C2371" t="s">
        <v>39</v>
      </c>
      <c r="D2371" t="s">
        <v>23</v>
      </c>
      <c r="E2371" t="e">
        <f>VLOOKUP(Cpi_[[#This Row],[Attribute]],#REF!,2,FALSE)</f>
        <v>#REF!</v>
      </c>
      <c r="F2371">
        <v>120.4</v>
      </c>
      <c r="G2371">
        <f>(Cpi_[[#This Row],[Value]]-F2370)/F2370</f>
        <v>-1.9543973941368011E-2</v>
      </c>
      <c r="H2371" t="e" cm="1" vm="1">
        <f t="array" aca="1" ref="H2371" ca="1">VLOOKUP(Cpi_[[#This Row],[Year]:[Month]],crudeoil[],3,FALSE)</f>
        <v>#VALUE!</v>
      </c>
    </row>
    <row r="2372" spans="1:8" hidden="1" x14ac:dyDescent="0.3">
      <c r="A2372" t="s">
        <v>30</v>
      </c>
      <c r="B2372">
        <v>2015</v>
      </c>
      <c r="C2372" t="s">
        <v>39</v>
      </c>
      <c r="D2372" t="s">
        <v>24</v>
      </c>
      <c r="E2372" t="e">
        <f>VLOOKUP(Cpi_[[#This Row],[Attribute]],#REF!,2,FALSE)</f>
        <v>#REF!</v>
      </c>
      <c r="F2372">
        <v>114.2</v>
      </c>
      <c r="G2372">
        <f>(Cpi_[[#This Row],[Value]]-F2371)/F2371</f>
        <v>-5.1495016611295699E-2</v>
      </c>
      <c r="H2372" t="e" cm="1" vm="1">
        <f t="array" aca="1" ref="H2372" ca="1">VLOOKUP(Cpi_[[#This Row],[Year]:[Month]],crudeoil[],3,FALSE)</f>
        <v>#VALUE!</v>
      </c>
    </row>
    <row r="2373" spans="1:8" hidden="1" x14ac:dyDescent="0.3">
      <c r="A2373" t="s">
        <v>30</v>
      </c>
      <c r="B2373">
        <v>2015</v>
      </c>
      <c r="C2373" t="s">
        <v>39</v>
      </c>
      <c r="D2373" t="s">
        <v>25</v>
      </c>
      <c r="E2373" t="e">
        <f>VLOOKUP(Cpi_[[#This Row],[Attribute]],#REF!,2,FALSE)</f>
        <v>#REF!</v>
      </c>
      <c r="F2373">
        <v>117.9</v>
      </c>
      <c r="G2373">
        <f>(Cpi_[[#This Row],[Value]]-F2372)/F2372</f>
        <v>3.2399299474605979E-2</v>
      </c>
      <c r="H2373" t="e" cm="1" vm="1">
        <f t="array" aca="1" ref="H2373" ca="1">VLOOKUP(Cpi_[[#This Row],[Year]:[Month]],crudeoil[],3,FALSE)</f>
        <v>#VALUE!</v>
      </c>
    </row>
    <row r="2374" spans="1:8" hidden="1" x14ac:dyDescent="0.3">
      <c r="A2374" t="s">
        <v>30</v>
      </c>
      <c r="B2374">
        <v>2015</v>
      </c>
      <c r="C2374" t="s">
        <v>39</v>
      </c>
      <c r="D2374" t="s">
        <v>26</v>
      </c>
      <c r="E2374" t="e">
        <f>VLOOKUP(Cpi_[[#This Row],[Attribute]],#REF!,2,FALSE)</f>
        <v>#REF!</v>
      </c>
      <c r="F2374">
        <v>122</v>
      </c>
      <c r="G2374">
        <f>(Cpi_[[#This Row],[Value]]-F2373)/F2373</f>
        <v>3.4775233248515641E-2</v>
      </c>
      <c r="H2374" t="e" cm="1" vm="1">
        <f t="array" aca="1" ref="H2374" ca="1">VLOOKUP(Cpi_[[#This Row],[Year]:[Month]],crudeoil[],3,FALSE)</f>
        <v>#VALUE!</v>
      </c>
    </row>
    <row r="2375" spans="1:8" hidden="1" x14ac:dyDescent="0.3">
      <c r="A2375" t="s">
        <v>30</v>
      </c>
      <c r="B2375">
        <v>2015</v>
      </c>
      <c r="C2375" t="s">
        <v>39</v>
      </c>
      <c r="D2375" t="s">
        <v>27</v>
      </c>
      <c r="E2375" t="e">
        <f>VLOOKUP(Cpi_[[#This Row],[Attribute]],#REF!,2,FALSE)</f>
        <v>#REF!</v>
      </c>
      <c r="F2375">
        <v>113</v>
      </c>
      <c r="G2375">
        <f>(Cpi_[[#This Row],[Value]]-F2374)/F2374</f>
        <v>-7.3770491803278687E-2</v>
      </c>
      <c r="H2375" t="e" cm="1" vm="1">
        <f t="array" aca="1" ref="H2375" ca="1">VLOOKUP(Cpi_[[#This Row],[Year]:[Month]],crudeoil[],3,FALSE)</f>
        <v>#VALUE!</v>
      </c>
    </row>
    <row r="2376" spans="1:8" hidden="1" x14ac:dyDescent="0.3">
      <c r="A2376" t="s">
        <v>30</v>
      </c>
      <c r="B2376">
        <v>2015</v>
      </c>
      <c r="C2376" t="s">
        <v>39</v>
      </c>
      <c r="D2376" t="s">
        <v>28</v>
      </c>
      <c r="E2376" t="e">
        <f>VLOOKUP(Cpi_[[#This Row],[Attribute]],#REF!,2,FALSE)</f>
        <v>#REF!</v>
      </c>
      <c r="F2376">
        <v>117.9</v>
      </c>
      <c r="G2376">
        <f>(Cpi_[[#This Row],[Value]]-F2375)/F2375</f>
        <v>4.3362831858407128E-2</v>
      </c>
      <c r="H2376" t="e" cm="1" vm="1">
        <f t="array" aca="1" ref="H2376" ca="1">VLOOKUP(Cpi_[[#This Row],[Year]:[Month]],crudeoil[],3,FALSE)</f>
        <v>#VALUE!</v>
      </c>
    </row>
    <row r="2377" spans="1:8" hidden="1" x14ac:dyDescent="0.3">
      <c r="A2377" t="s">
        <v>30</v>
      </c>
      <c r="B2377">
        <v>2015</v>
      </c>
      <c r="C2377" t="s">
        <v>39</v>
      </c>
      <c r="D2377" t="s">
        <v>29</v>
      </c>
      <c r="E2377" t="e" cm="1">
        <f t="array" aca="1" ref="E2377" ca="1">VLGeneral indexGeneral indexKUP(Cpi_[[#This Row],[Attribute]],#REF!,2,FALSE)</f>
        <v>#NAME?</v>
      </c>
      <c r="F2377">
        <v>124.1</v>
      </c>
      <c r="G2377">
        <f>(Cpi_[[#This Row],[Value]]-F2376)/F2376</f>
        <v>5.258693808312119E-2</v>
      </c>
      <c r="H2377" t="e" cm="1" vm="1">
        <f t="array" aca="1" ref="H2377" ca="1">VLOOKUP(Cpi_[[#This Row],[Year]:[Month]],crudeoil[],3,FALSE)</f>
        <v>#VALUE!</v>
      </c>
    </row>
    <row r="2378" spans="1:8" hidden="1" x14ac:dyDescent="0.3">
      <c r="A2378" t="s">
        <v>33</v>
      </c>
      <c r="B2378">
        <v>2015</v>
      </c>
      <c r="C2378" t="s">
        <v>39</v>
      </c>
      <c r="D2378" t="s">
        <v>3</v>
      </c>
      <c r="E2378" t="e">
        <f>VLOOKUP(Cpi_[[#This Row],[Attribute]],#REF!,2,FALSE)</f>
        <v>#REF!</v>
      </c>
      <c r="F2378">
        <v>123.6</v>
      </c>
      <c r="G2378">
        <f>(Cpi_[[#This Row],[Value]]-F2377)/F2377</f>
        <v>-4.0290088638195009E-3</v>
      </c>
      <c r="H2378" t="e" cm="1" vm="1">
        <f t="array" aca="1" ref="H2378" ca="1">VLOOKUP(Cpi_[[#This Row],[Year]:[Month]],crudeoil[],3,FALSE)</f>
        <v>#VALUE!</v>
      </c>
    </row>
    <row r="2379" spans="1:8" hidden="1" x14ac:dyDescent="0.3">
      <c r="A2379" t="s">
        <v>33</v>
      </c>
      <c r="B2379">
        <v>2015</v>
      </c>
      <c r="C2379" t="s">
        <v>39</v>
      </c>
      <c r="D2379" t="s">
        <v>4</v>
      </c>
      <c r="E2379" t="e">
        <f>VLOOKUP(Cpi_[[#This Row],[Attribute]],#REF!,2,FALSE)</f>
        <v>#REF!</v>
      </c>
      <c r="F2379">
        <v>134.4</v>
      </c>
      <c r="G2379">
        <f>(Cpi_[[#This Row],[Value]]-F2378)/F2378</f>
        <v>8.7378640776699129E-2</v>
      </c>
      <c r="H2379" t="e" cm="1" vm="1">
        <f t="array" aca="1" ref="H2379" ca="1">VLOOKUP(Cpi_[[#This Row],[Year]:[Month]],crudeoil[],3,FALSE)</f>
        <v>#VALUE!</v>
      </c>
    </row>
    <row r="2380" spans="1:8" hidden="1" x14ac:dyDescent="0.3">
      <c r="A2380" t="s">
        <v>33</v>
      </c>
      <c r="B2380">
        <v>2015</v>
      </c>
      <c r="C2380" t="s">
        <v>39</v>
      </c>
      <c r="D2380" t="s">
        <v>5</v>
      </c>
      <c r="E2380" t="e">
        <f>VLOOKUP(Cpi_[[#This Row],[Attribute]],#REF!,2,FALSE)</f>
        <v>#REF!</v>
      </c>
      <c r="F2380">
        <v>120.9</v>
      </c>
      <c r="G2380">
        <f>(Cpi_[[#This Row],[Value]]-F2379)/F2379</f>
        <v>-0.10044642857142856</v>
      </c>
      <c r="H2380" t="e" cm="1" vm="1">
        <f t="array" aca="1" ref="H2380" ca="1">VLOOKUP(Cpi_[[#This Row],[Year]:[Month]],crudeoil[],3,FALSE)</f>
        <v>#VALUE!</v>
      </c>
    </row>
    <row r="2381" spans="1:8" hidden="1" x14ac:dyDescent="0.3">
      <c r="A2381" t="s">
        <v>33</v>
      </c>
      <c r="B2381">
        <v>2015</v>
      </c>
      <c r="C2381" t="s">
        <v>39</v>
      </c>
      <c r="D2381" t="s">
        <v>6</v>
      </c>
      <c r="E2381" t="e">
        <f>VLOOKUP(Cpi_[[#This Row],[Attribute]],#REF!,2,FALSE)</f>
        <v>#REF!</v>
      </c>
      <c r="F2381">
        <v>127.3</v>
      </c>
      <c r="G2381">
        <f>(Cpi_[[#This Row],[Value]]-F2380)/F2380</f>
        <v>5.2936311000827053E-2</v>
      </c>
      <c r="H2381" t="e" cm="1" vm="1">
        <f t="array" aca="1" ref="H2381" ca="1">VLOOKUP(Cpi_[[#This Row],[Year]:[Month]],crudeoil[],3,FALSE)</f>
        <v>#VALUE!</v>
      </c>
    </row>
    <row r="2382" spans="1:8" hidden="1" x14ac:dyDescent="0.3">
      <c r="A2382" t="s">
        <v>33</v>
      </c>
      <c r="B2382">
        <v>2015</v>
      </c>
      <c r="C2382" t="s">
        <v>39</v>
      </c>
      <c r="D2382" t="s">
        <v>7</v>
      </c>
      <c r="E2382" t="e">
        <f>VLOOKUP(Cpi_[[#This Row],[Attribute]],#REF!,2,FALSE)</f>
        <v>#REF!</v>
      </c>
      <c r="F2382">
        <v>106</v>
      </c>
      <c r="G2382">
        <f>(Cpi_[[#This Row],[Value]]-F2381)/F2381</f>
        <v>-0.16732128829536527</v>
      </c>
      <c r="H2382" t="e" cm="1" vm="1">
        <f t="array" aca="1" ref="H2382" ca="1">VLOOKUP(Cpi_[[#This Row],[Year]:[Month]],crudeoil[],3,FALSE)</f>
        <v>#VALUE!</v>
      </c>
    </row>
    <row r="2383" spans="1:8" hidden="1" x14ac:dyDescent="0.3">
      <c r="A2383" t="s">
        <v>33</v>
      </c>
      <c r="B2383">
        <v>2015</v>
      </c>
      <c r="C2383" t="s">
        <v>39</v>
      </c>
      <c r="D2383" t="s">
        <v>8</v>
      </c>
      <c r="E2383" t="e">
        <f>VLOOKUP(Cpi_[[#This Row],[Attribute]],#REF!,2,FALSE)</f>
        <v>#REF!</v>
      </c>
      <c r="F2383">
        <v>132.30000000000001</v>
      </c>
      <c r="G2383">
        <f>(Cpi_[[#This Row],[Value]]-F2382)/F2382</f>
        <v>0.24811320754716992</v>
      </c>
      <c r="H2383" t="e" cm="1" vm="1">
        <f t="array" aca="1" ref="H2383" ca="1">VLOOKUP(Cpi_[[#This Row],[Year]:[Month]],crudeoil[],3,FALSE)</f>
        <v>#VALUE!</v>
      </c>
    </row>
    <row r="2384" spans="1:8" hidden="1" x14ac:dyDescent="0.3">
      <c r="A2384" t="s">
        <v>33</v>
      </c>
      <c r="B2384">
        <v>2015</v>
      </c>
      <c r="C2384" t="s">
        <v>39</v>
      </c>
      <c r="D2384" t="s">
        <v>9</v>
      </c>
      <c r="E2384" t="e">
        <f>VLOOKUP(Cpi_[[#This Row],[Attribute]],#REF!,2,FALSE)</f>
        <v>#REF!</v>
      </c>
      <c r="F2384">
        <v>146.69999999999999</v>
      </c>
      <c r="G2384">
        <f>(Cpi_[[#This Row],[Value]]-F2383)/F2383</f>
        <v>0.1088435374149658</v>
      </c>
      <c r="H2384" t="e" cm="1" vm="1">
        <f t="array" aca="1" ref="H2384" ca="1">VLOOKUP(Cpi_[[#This Row],[Year]:[Month]],crudeoil[],3,FALSE)</f>
        <v>#VALUE!</v>
      </c>
    </row>
    <row r="2385" spans="1:8" hidden="1" x14ac:dyDescent="0.3">
      <c r="A2385" t="s">
        <v>33</v>
      </c>
      <c r="B2385">
        <v>2015</v>
      </c>
      <c r="C2385" t="s">
        <v>39</v>
      </c>
      <c r="D2385" t="s">
        <v>10</v>
      </c>
      <c r="E2385" t="e">
        <f>VLOOKUP(Cpi_[[#This Row],[Attribute]],#REF!,2,FALSE)</f>
        <v>#REF!</v>
      </c>
      <c r="F2385">
        <v>148.1</v>
      </c>
      <c r="G2385">
        <f>(Cpi_[[#This Row],[Value]]-F2384)/F2384</f>
        <v>9.5432856169052876E-3</v>
      </c>
      <c r="H2385" t="e" cm="1" vm="1">
        <f t="array" aca="1" ref="H2385" ca="1">VLOOKUP(Cpi_[[#This Row],[Year]:[Month]],crudeoil[],3,FALSE)</f>
        <v>#VALUE!</v>
      </c>
    </row>
    <row r="2386" spans="1:8" hidden="1" x14ac:dyDescent="0.3">
      <c r="A2386" t="s">
        <v>33</v>
      </c>
      <c r="B2386">
        <v>2015</v>
      </c>
      <c r="C2386" t="s">
        <v>39</v>
      </c>
      <c r="D2386" t="s">
        <v>11</v>
      </c>
      <c r="E2386" t="e">
        <f>VLOOKUP(Cpi_[[#This Row],[Attribute]],#REF!,2,FALSE)</f>
        <v>#REF!</v>
      </c>
      <c r="F2386">
        <v>89.8</v>
      </c>
      <c r="G2386">
        <f>(Cpi_[[#This Row],[Value]]-F2385)/F2385</f>
        <v>-0.39365293720459149</v>
      </c>
      <c r="H2386" t="e" cm="1" vm="1">
        <f t="array" aca="1" ref="H2386" ca="1">VLOOKUP(Cpi_[[#This Row],[Year]:[Month]],crudeoil[],3,FALSE)</f>
        <v>#VALUE!</v>
      </c>
    </row>
    <row r="2387" spans="1:8" hidden="1" x14ac:dyDescent="0.3">
      <c r="A2387" t="s">
        <v>33</v>
      </c>
      <c r="B2387">
        <v>2015</v>
      </c>
      <c r="C2387" t="s">
        <v>39</v>
      </c>
      <c r="D2387" t="s">
        <v>12</v>
      </c>
      <c r="E2387" t="e">
        <f>VLOOKUP(Cpi_[[#This Row],[Attribute]],#REF!,2,FALSE)</f>
        <v>#REF!</v>
      </c>
      <c r="F2387">
        <v>130.5</v>
      </c>
      <c r="G2387">
        <f>(Cpi_[[#This Row],[Value]]-F2386)/F2386</f>
        <v>0.45322939866369716</v>
      </c>
      <c r="H2387" t="e" cm="1" vm="1">
        <f t="array" aca="1" ref="H2387" ca="1">VLOOKUP(Cpi_[[#This Row],[Year]:[Month]],crudeoil[],3,FALSE)</f>
        <v>#VALUE!</v>
      </c>
    </row>
    <row r="2388" spans="1:8" hidden="1" x14ac:dyDescent="0.3">
      <c r="A2388" t="s">
        <v>33</v>
      </c>
      <c r="B2388">
        <v>2015</v>
      </c>
      <c r="C2388" t="s">
        <v>39</v>
      </c>
      <c r="D2388" t="s">
        <v>13</v>
      </c>
      <c r="E2388" t="e">
        <f>VLOOKUP(Cpi_[[#This Row],[Attribute]],#REF!,2,FALSE)</f>
        <v>#REF!</v>
      </c>
      <c r="F2388">
        <v>118</v>
      </c>
      <c r="G2388">
        <f>(Cpi_[[#This Row],[Value]]-F2387)/F2387</f>
        <v>-9.5785440613026823E-2</v>
      </c>
      <c r="H2388" t="e" cm="1" vm="1">
        <f t="array" aca="1" ref="H2388" ca="1">VLOOKUP(Cpi_[[#This Row],[Year]:[Month]],crudeoil[],3,FALSE)</f>
        <v>#VALUE!</v>
      </c>
    </row>
    <row r="2389" spans="1:8" hidden="1" x14ac:dyDescent="0.3">
      <c r="A2389" t="s">
        <v>33</v>
      </c>
      <c r="B2389">
        <v>2015</v>
      </c>
      <c r="C2389" t="s">
        <v>39</v>
      </c>
      <c r="D2389" t="s">
        <v>14</v>
      </c>
      <c r="E2389" t="e">
        <f>VLOOKUP(Cpi_[[#This Row],[Attribute]],#REF!,2,FALSE)</f>
        <v>#REF!</v>
      </c>
      <c r="F2389">
        <v>130.5</v>
      </c>
      <c r="G2389">
        <f>(Cpi_[[#This Row],[Value]]-F2388)/F2388</f>
        <v>0.1059322033898305</v>
      </c>
      <c r="H2389" t="e" cm="1" vm="1">
        <f t="array" aca="1" ref="H2389" ca="1">VLOOKUP(Cpi_[[#This Row],[Year]:[Month]],crudeoil[],3,FALSE)</f>
        <v>#VALUE!</v>
      </c>
    </row>
    <row r="2390" spans="1:8" hidden="1" x14ac:dyDescent="0.3">
      <c r="A2390" t="s">
        <v>33</v>
      </c>
      <c r="B2390">
        <v>2015</v>
      </c>
      <c r="C2390" t="s">
        <v>39</v>
      </c>
      <c r="D2390" t="s">
        <v>15</v>
      </c>
      <c r="E2390" t="e">
        <f>VLOOKUP(Cpi_[[#This Row],[Attribute]],#REF!,2,FALSE)</f>
        <v>#REF!</v>
      </c>
      <c r="F2390">
        <v>128.5</v>
      </c>
      <c r="G2390">
        <f>(Cpi_[[#This Row],[Value]]-F2389)/F2389</f>
        <v>-1.532567049808429E-2</v>
      </c>
      <c r="H2390" t="e" cm="1" vm="1">
        <f t="array" aca="1" ref="H2390" ca="1">VLOOKUP(Cpi_[[#This Row],[Year]:[Month]],crudeoil[],3,FALSE)</f>
        <v>#VALUE!</v>
      </c>
    </row>
    <row r="2391" spans="1:8" hidden="1" x14ac:dyDescent="0.3">
      <c r="A2391" t="s">
        <v>33</v>
      </c>
      <c r="B2391">
        <v>2015</v>
      </c>
      <c r="C2391" t="s">
        <v>39</v>
      </c>
      <c r="D2391" t="s">
        <v>16</v>
      </c>
      <c r="E2391" t="e">
        <f>VLOOKUP(Cpi_[[#This Row],[Attribute]],#REF!,2,FALSE)</f>
        <v>#REF!</v>
      </c>
      <c r="F2391">
        <v>132.1</v>
      </c>
      <c r="G2391">
        <f>(Cpi_[[#This Row],[Value]]-F2390)/F2390</f>
        <v>2.8015564202334586E-2</v>
      </c>
      <c r="H2391" t="e" cm="1" vm="1">
        <f t="array" aca="1" ref="H2391" ca="1">VLOOKUP(Cpi_[[#This Row],[Year]:[Month]],crudeoil[],3,FALSE)</f>
        <v>#VALUE!</v>
      </c>
    </row>
    <row r="2392" spans="1:8" hidden="1" x14ac:dyDescent="0.3">
      <c r="A2392" t="s">
        <v>33</v>
      </c>
      <c r="B2392">
        <v>2015</v>
      </c>
      <c r="C2392" t="s">
        <v>39</v>
      </c>
      <c r="D2392" t="s">
        <v>17</v>
      </c>
      <c r="E2392" t="e">
        <f>VLOOKUP(Cpi_[[#This Row],[Attribute]],#REF!,2,FALSE)</f>
        <v>#REF!</v>
      </c>
      <c r="F2392">
        <v>123.2</v>
      </c>
      <c r="G2392">
        <f>(Cpi_[[#This Row],[Value]]-F2391)/F2391</f>
        <v>-6.737320211960629E-2</v>
      </c>
      <c r="H2392" t="e" cm="1" vm="1">
        <f t="array" aca="1" ref="H2392" ca="1">VLOOKUP(Cpi_[[#This Row],[Year]:[Month]],crudeoil[],3,FALSE)</f>
        <v>#VALUE!</v>
      </c>
    </row>
    <row r="2393" spans="1:8" hidden="1" x14ac:dyDescent="0.3">
      <c r="A2393" t="s">
        <v>33</v>
      </c>
      <c r="B2393">
        <v>2015</v>
      </c>
      <c r="C2393" t="s">
        <v>39</v>
      </c>
      <c r="D2393" t="s">
        <v>18</v>
      </c>
      <c r="E2393" t="e">
        <f>VLOOKUP(Cpi_[[#This Row],[Attribute]],#REF!,2,FALSE)</f>
        <v>#REF!</v>
      </c>
      <c r="F2393">
        <v>117.6</v>
      </c>
      <c r="G2393">
        <f>(Cpi_[[#This Row],[Value]]-F2392)/F2392</f>
        <v>-4.5454545454545525E-2</v>
      </c>
      <c r="H2393" t="e" cm="1" vm="1">
        <f t="array" aca="1" ref="H2393" ca="1">VLOOKUP(Cpi_[[#This Row],[Year]:[Month]],crudeoil[],3,FALSE)</f>
        <v>#VALUE!</v>
      </c>
    </row>
    <row r="2394" spans="1:8" hidden="1" x14ac:dyDescent="0.3">
      <c r="A2394" t="s">
        <v>33</v>
      </c>
      <c r="B2394">
        <v>2015</v>
      </c>
      <c r="C2394" t="s">
        <v>39</v>
      </c>
      <c r="D2394" t="s">
        <v>19</v>
      </c>
      <c r="E2394" t="e">
        <f>VLOOKUP(Cpi_[[#This Row],[Attribute]],#REF!,2,FALSE)</f>
        <v>#REF!</v>
      </c>
      <c r="F2394">
        <v>122.3</v>
      </c>
      <c r="G2394">
        <f>(Cpi_[[#This Row],[Value]]-F2393)/F2393</f>
        <v>3.9965986394557847E-2</v>
      </c>
      <c r="H2394" t="e" cm="1" vm="1">
        <f t="array" aca="1" ref="H2394" ca="1">VLOOKUP(Cpi_[[#This Row],[Year]:[Month]],crudeoil[],3,FALSE)</f>
        <v>#VALUE!</v>
      </c>
    </row>
    <row r="2395" spans="1:8" hidden="1" x14ac:dyDescent="0.3">
      <c r="A2395" t="s">
        <v>33</v>
      </c>
      <c r="B2395">
        <v>2015</v>
      </c>
      <c r="C2395" t="s">
        <v>39</v>
      </c>
      <c r="D2395" t="s">
        <v>20</v>
      </c>
      <c r="E2395" t="e">
        <f>VLOOKUP(Cpi_[[#This Row],[Attribute]],#REF!,2,FALSE)</f>
        <v>#REF!</v>
      </c>
      <c r="F2395">
        <v>119</v>
      </c>
      <c r="G2395">
        <f>(Cpi_[[#This Row],[Value]]-F2394)/F2394</f>
        <v>-2.6982829108748954E-2</v>
      </c>
      <c r="H2395" t="e" cm="1" vm="1">
        <f t="array" aca="1" ref="H2395" ca="1">VLOOKUP(Cpi_[[#This Row],[Year]:[Month]],crudeoil[],3,FALSE)</f>
        <v>#VALUE!</v>
      </c>
    </row>
    <row r="2396" spans="1:8" hidden="1" x14ac:dyDescent="0.3">
      <c r="A2396" t="s">
        <v>33</v>
      </c>
      <c r="B2396">
        <v>2015</v>
      </c>
      <c r="C2396" t="s">
        <v>39</v>
      </c>
      <c r="D2396" t="s">
        <v>21</v>
      </c>
      <c r="E2396" t="e">
        <f>VLOOKUP(Cpi_[[#This Row],[Attribute]],#REF!,2,FALSE)</f>
        <v>#REF!</v>
      </c>
      <c r="F2396">
        <v>115.1</v>
      </c>
      <c r="G2396">
        <f>(Cpi_[[#This Row],[Value]]-F2395)/F2395</f>
        <v>-3.2773109243697529E-2</v>
      </c>
      <c r="H2396" t="e" cm="1" vm="1">
        <f t="array" aca="1" ref="H2396" ca="1">VLOOKUP(Cpi_[[#This Row],[Year]:[Month]],crudeoil[],3,FALSE)</f>
        <v>#VALUE!</v>
      </c>
    </row>
    <row r="2397" spans="1:8" hidden="1" x14ac:dyDescent="0.3">
      <c r="A2397" t="s">
        <v>33</v>
      </c>
      <c r="B2397">
        <v>2015</v>
      </c>
      <c r="C2397" t="s">
        <v>39</v>
      </c>
      <c r="D2397" t="s">
        <v>22</v>
      </c>
      <c r="E2397" t="e">
        <f>VLOOKUP(Cpi_[[#This Row],[Attribute]],#REF!,2,FALSE)</f>
        <v>#REF!</v>
      </c>
      <c r="F2397">
        <v>119.2</v>
      </c>
      <c r="G2397">
        <f>(Cpi_[[#This Row],[Value]]-F2396)/F2396</f>
        <v>3.56211989574284E-2</v>
      </c>
      <c r="H2397" t="e" cm="1" vm="1">
        <f t="array" aca="1" ref="H2397" ca="1">VLOOKUP(Cpi_[[#This Row],[Year]:[Month]],crudeoil[],3,FALSE)</f>
        <v>#VALUE!</v>
      </c>
    </row>
    <row r="2398" spans="1:8" hidden="1" x14ac:dyDescent="0.3">
      <c r="A2398" t="s">
        <v>33</v>
      </c>
      <c r="B2398">
        <v>2015</v>
      </c>
      <c r="C2398" t="s">
        <v>39</v>
      </c>
      <c r="D2398" t="s">
        <v>23</v>
      </c>
      <c r="E2398" t="e">
        <f>VLOOKUP(Cpi_[[#This Row],[Attribute]],#REF!,2,FALSE)</f>
        <v>#REF!</v>
      </c>
      <c r="F2398">
        <v>115.4</v>
      </c>
      <c r="G2398">
        <f>(Cpi_[[#This Row],[Value]]-F2397)/F2397</f>
        <v>-3.1879194630872458E-2</v>
      </c>
      <c r="H2398" t="e" cm="1" vm="1">
        <f t="array" aca="1" ref="H2398" ca="1">VLOOKUP(Cpi_[[#This Row],[Year]:[Month]],crudeoil[],3,FALSE)</f>
        <v>#VALUE!</v>
      </c>
    </row>
    <row r="2399" spans="1:8" hidden="1" x14ac:dyDescent="0.3">
      <c r="A2399" t="s">
        <v>33</v>
      </c>
      <c r="B2399">
        <v>2015</v>
      </c>
      <c r="C2399" t="s">
        <v>39</v>
      </c>
      <c r="D2399" t="s">
        <v>24</v>
      </c>
      <c r="E2399" t="e">
        <f>VLOOKUP(Cpi_[[#This Row],[Attribute]],#REF!,2,FALSE)</f>
        <v>#REF!</v>
      </c>
      <c r="F2399">
        <v>111.7</v>
      </c>
      <c r="G2399">
        <f>(Cpi_[[#This Row],[Value]]-F2398)/F2398</f>
        <v>-3.2062391681109206E-2</v>
      </c>
      <c r="H2399" t="e" cm="1" vm="1">
        <f t="array" aca="1" ref="H2399" ca="1">VLOOKUP(Cpi_[[#This Row],[Year]:[Month]],crudeoil[],3,FALSE)</f>
        <v>#VALUE!</v>
      </c>
    </row>
    <row r="2400" spans="1:8" hidden="1" x14ac:dyDescent="0.3">
      <c r="A2400" t="s">
        <v>33</v>
      </c>
      <c r="B2400">
        <v>2015</v>
      </c>
      <c r="C2400" t="s">
        <v>39</v>
      </c>
      <c r="D2400" t="s">
        <v>25</v>
      </c>
      <c r="E2400" t="e">
        <f>VLOOKUP(Cpi_[[#This Row],[Attribute]],#REF!,2,FALSE)</f>
        <v>#REF!</v>
      </c>
      <c r="F2400">
        <v>116.2</v>
      </c>
      <c r="G2400">
        <f>(Cpi_[[#This Row],[Value]]-F2399)/F2399</f>
        <v>4.0286481647269473E-2</v>
      </c>
      <c r="H2400" t="e" cm="1" vm="1">
        <f t="array" aca="1" ref="H2400" ca="1">VLOOKUP(Cpi_[[#This Row],[Year]:[Month]],crudeoil[],3,FALSE)</f>
        <v>#VALUE!</v>
      </c>
    </row>
    <row r="2401" spans="1:8" hidden="1" x14ac:dyDescent="0.3">
      <c r="A2401" t="s">
        <v>33</v>
      </c>
      <c r="B2401">
        <v>2015</v>
      </c>
      <c r="C2401" t="s">
        <v>39</v>
      </c>
      <c r="D2401" t="s">
        <v>26</v>
      </c>
      <c r="E2401" t="e">
        <f>VLOOKUP(Cpi_[[#This Row],[Attribute]],#REF!,2,FALSE)</f>
        <v>#REF!</v>
      </c>
      <c r="F2401">
        <v>123.8</v>
      </c>
      <c r="G2401">
        <f>(Cpi_[[#This Row],[Value]]-F2400)/F2400</f>
        <v>6.5404475043029209E-2</v>
      </c>
      <c r="H2401" t="e" cm="1" vm="1">
        <f t="array" aca="1" ref="H2401" ca="1">VLOOKUP(Cpi_[[#This Row],[Year]:[Month]],crudeoil[],3,FALSE)</f>
        <v>#VALUE!</v>
      </c>
    </row>
    <row r="2402" spans="1:8" hidden="1" x14ac:dyDescent="0.3">
      <c r="A2402" t="s">
        <v>33</v>
      </c>
      <c r="B2402">
        <v>2015</v>
      </c>
      <c r="C2402" t="s">
        <v>39</v>
      </c>
      <c r="D2402" t="s">
        <v>27</v>
      </c>
      <c r="E2402" t="e">
        <f>VLOOKUP(Cpi_[[#This Row],[Attribute]],#REF!,2,FALSE)</f>
        <v>#REF!</v>
      </c>
      <c r="F2402">
        <v>112.5</v>
      </c>
      <c r="G2402">
        <f>(Cpi_[[#This Row],[Value]]-F2401)/F2401</f>
        <v>-9.1276252019386092E-2</v>
      </c>
      <c r="H2402" t="e" cm="1" vm="1">
        <f t="array" aca="1" ref="H2402" ca="1">VLOOKUP(Cpi_[[#This Row],[Year]:[Month]],crudeoil[],3,FALSE)</f>
        <v>#VALUE!</v>
      </c>
    </row>
    <row r="2403" spans="1:8" hidden="1" x14ac:dyDescent="0.3">
      <c r="A2403" t="s">
        <v>33</v>
      </c>
      <c r="B2403">
        <v>2015</v>
      </c>
      <c r="C2403" t="s">
        <v>39</v>
      </c>
      <c r="D2403" t="s">
        <v>28</v>
      </c>
      <c r="E2403" t="e">
        <f>VLOOKUP(Cpi_[[#This Row],[Attribute]],#REF!,2,FALSE)</f>
        <v>#REF!</v>
      </c>
      <c r="F2403">
        <v>116</v>
      </c>
      <c r="G2403">
        <f>(Cpi_[[#This Row],[Value]]-F2402)/F2402</f>
        <v>3.111111111111111E-2</v>
      </c>
      <c r="H2403" t="e" cm="1" vm="1">
        <f t="array" aca="1" ref="H2403" ca="1">VLOOKUP(Cpi_[[#This Row],[Year]:[Month]],crudeoil[],3,FALSE)</f>
        <v>#VALUE!</v>
      </c>
    </row>
    <row r="2404" spans="1:8" hidden="1" x14ac:dyDescent="0.3">
      <c r="A2404" t="s">
        <v>33</v>
      </c>
      <c r="B2404">
        <v>2015</v>
      </c>
      <c r="C2404" t="s">
        <v>39</v>
      </c>
      <c r="D2404" t="s">
        <v>29</v>
      </c>
      <c r="E2404" t="e" cm="1">
        <f t="array" aca="1" ref="E2404" ca="1">VLGeneral indexGeneral indexKUP(Cpi_[[#This Row],[Attribute]],#REF!,2,FALSE)</f>
        <v>#NAME?</v>
      </c>
      <c r="F2404">
        <v>121.7</v>
      </c>
      <c r="G2404">
        <f>(Cpi_[[#This Row],[Value]]-F2403)/F2403</f>
        <v>4.913793103448278E-2</v>
      </c>
      <c r="H2404" t="e" cm="1" vm="1">
        <f t="array" aca="1" ref="H2404" ca="1">VLOOKUP(Cpi_[[#This Row],[Year]:[Month]],crudeoil[],3,FALSE)</f>
        <v>#VALUE!</v>
      </c>
    </row>
    <row r="2405" spans="1:8" hidden="1" x14ac:dyDescent="0.3">
      <c r="A2405" t="s">
        <v>34</v>
      </c>
      <c r="B2405">
        <v>2015</v>
      </c>
      <c r="C2405" t="s">
        <v>39</v>
      </c>
      <c r="D2405" t="s">
        <v>3</v>
      </c>
      <c r="E2405" t="e">
        <f>VLOOKUP(Cpi_[[#This Row],[Attribute]],#REF!,2,FALSE)</f>
        <v>#REF!</v>
      </c>
      <c r="F2405">
        <v>123.9</v>
      </c>
      <c r="G2405">
        <f>(Cpi_[[#This Row],[Value]]-F2404)/F2404</f>
        <v>1.8077239112571922E-2</v>
      </c>
      <c r="H2405" t="e" cm="1" vm="1">
        <f t="array" aca="1" ref="H2405" ca="1">VLOOKUP(Cpi_[[#This Row],[Year]:[Month]],crudeoil[],3,FALSE)</f>
        <v>#VALUE!</v>
      </c>
    </row>
    <row r="2406" spans="1:8" hidden="1" x14ac:dyDescent="0.3">
      <c r="A2406" t="s">
        <v>34</v>
      </c>
      <c r="B2406">
        <v>2015</v>
      </c>
      <c r="C2406" t="s">
        <v>39</v>
      </c>
      <c r="D2406" t="s">
        <v>4</v>
      </c>
      <c r="E2406" t="e">
        <f>VLOOKUP(Cpi_[[#This Row],[Attribute]],#REF!,2,FALSE)</f>
        <v>#REF!</v>
      </c>
      <c r="F2406">
        <v>131.80000000000001</v>
      </c>
      <c r="G2406">
        <f>(Cpi_[[#This Row],[Value]]-F2405)/F2405</f>
        <v>6.3761097659402785E-2</v>
      </c>
      <c r="H2406" t="e" cm="1" vm="1">
        <f t="array" aca="1" ref="H2406" ca="1">VLOOKUP(Cpi_[[#This Row],[Year]:[Month]],crudeoil[],3,FALSE)</f>
        <v>#VALUE!</v>
      </c>
    </row>
    <row r="2407" spans="1:8" hidden="1" x14ac:dyDescent="0.3">
      <c r="A2407" t="s">
        <v>34</v>
      </c>
      <c r="B2407">
        <v>2015</v>
      </c>
      <c r="C2407" t="s">
        <v>39</v>
      </c>
      <c r="D2407" t="s">
        <v>5</v>
      </c>
      <c r="E2407" t="e">
        <f>VLOOKUP(Cpi_[[#This Row],[Attribute]],#REF!,2,FALSE)</f>
        <v>#REF!</v>
      </c>
      <c r="F2407">
        <v>121.6</v>
      </c>
      <c r="G2407">
        <f>(Cpi_[[#This Row],[Value]]-F2406)/F2406</f>
        <v>-7.7389984825493294E-2</v>
      </c>
      <c r="H2407" t="e" cm="1" vm="1">
        <f t="array" aca="1" ref="H2407" ca="1">VLOOKUP(Cpi_[[#This Row],[Year]:[Month]],crudeoil[],3,FALSE)</f>
        <v>#VALUE!</v>
      </c>
    </row>
    <row r="2408" spans="1:8" hidden="1" x14ac:dyDescent="0.3">
      <c r="A2408" t="s">
        <v>34</v>
      </c>
      <c r="B2408">
        <v>2015</v>
      </c>
      <c r="C2408" t="s">
        <v>39</v>
      </c>
      <c r="D2408" t="s">
        <v>6</v>
      </c>
      <c r="E2408" t="e">
        <f>VLOOKUP(Cpi_[[#This Row],[Attribute]],#REF!,2,FALSE)</f>
        <v>#REF!</v>
      </c>
      <c r="F2408">
        <v>128.19999999999999</v>
      </c>
      <c r="G2408">
        <f>(Cpi_[[#This Row],[Value]]-F2407)/F2407</f>
        <v>5.4276315789473638E-2</v>
      </c>
      <c r="H2408" t="e" cm="1" vm="1">
        <f t="array" aca="1" ref="H2408" ca="1">VLOOKUP(Cpi_[[#This Row],[Year]:[Month]],crudeoil[],3,FALSE)</f>
        <v>#VALUE!</v>
      </c>
    </row>
    <row r="2409" spans="1:8" hidden="1" x14ac:dyDescent="0.3">
      <c r="A2409" t="s">
        <v>34</v>
      </c>
      <c r="B2409">
        <v>2015</v>
      </c>
      <c r="C2409" t="s">
        <v>39</v>
      </c>
      <c r="D2409" t="s">
        <v>7</v>
      </c>
      <c r="E2409" t="e">
        <f>VLOOKUP(Cpi_[[#This Row],[Attribute]],#REF!,2,FALSE)</f>
        <v>#REF!</v>
      </c>
      <c r="F2409">
        <v>111.1</v>
      </c>
      <c r="G2409">
        <f>(Cpi_[[#This Row],[Value]]-F2408)/F2408</f>
        <v>-0.13338533541341652</v>
      </c>
      <c r="H2409" t="e" cm="1" vm="1">
        <f t="array" aca="1" ref="H2409" ca="1">VLOOKUP(Cpi_[[#This Row],[Year]:[Month]],crudeoil[],3,FALSE)</f>
        <v>#VALUE!</v>
      </c>
    </row>
    <row r="2410" spans="1:8" hidden="1" x14ac:dyDescent="0.3">
      <c r="A2410" t="s">
        <v>34</v>
      </c>
      <c r="B2410">
        <v>2015</v>
      </c>
      <c r="C2410" t="s">
        <v>39</v>
      </c>
      <c r="D2410" t="s">
        <v>8</v>
      </c>
      <c r="E2410" t="e">
        <f>VLOOKUP(Cpi_[[#This Row],[Attribute]],#REF!,2,FALSE)</f>
        <v>#REF!</v>
      </c>
      <c r="F2410">
        <v>132.80000000000001</v>
      </c>
      <c r="G2410">
        <f>(Cpi_[[#This Row],[Value]]-F2409)/F2409</f>
        <v>0.19531953195319549</v>
      </c>
      <c r="H2410" t="e" cm="1" vm="1">
        <f t="array" aca="1" ref="H2410" ca="1">VLOOKUP(Cpi_[[#This Row],[Year]:[Month]],crudeoil[],3,FALSE)</f>
        <v>#VALUE!</v>
      </c>
    </row>
    <row r="2411" spans="1:8" hidden="1" x14ac:dyDescent="0.3">
      <c r="A2411" t="s">
        <v>34</v>
      </c>
      <c r="B2411">
        <v>2015</v>
      </c>
      <c r="C2411" t="s">
        <v>39</v>
      </c>
      <c r="D2411" t="s">
        <v>9</v>
      </c>
      <c r="E2411" t="e">
        <f>VLOOKUP(Cpi_[[#This Row],[Attribute]],#REF!,2,FALSE)</f>
        <v>#REF!</v>
      </c>
      <c r="F2411">
        <v>139.1</v>
      </c>
      <c r="G2411">
        <f>(Cpi_[[#This Row],[Value]]-F2410)/F2410</f>
        <v>4.7439759036144447E-2</v>
      </c>
      <c r="H2411" t="e" cm="1" vm="1">
        <f t="array" aca="1" ref="H2411" ca="1">VLOOKUP(Cpi_[[#This Row],[Year]:[Month]],crudeoil[],3,FALSE)</f>
        <v>#VALUE!</v>
      </c>
    </row>
    <row r="2412" spans="1:8" hidden="1" x14ac:dyDescent="0.3">
      <c r="A2412" t="s">
        <v>34</v>
      </c>
      <c r="B2412">
        <v>2015</v>
      </c>
      <c r="C2412" t="s">
        <v>39</v>
      </c>
      <c r="D2412" t="s">
        <v>10</v>
      </c>
      <c r="E2412" t="e">
        <f>VLOOKUP(Cpi_[[#This Row],[Attribute]],#REF!,2,FALSE)</f>
        <v>#REF!</v>
      </c>
      <c r="F2412">
        <v>137.4</v>
      </c>
      <c r="G2412">
        <f>(Cpi_[[#This Row],[Value]]-F2411)/F2411</f>
        <v>-1.2221423436376626E-2</v>
      </c>
      <c r="H2412" t="e" cm="1" vm="1">
        <f t="array" aca="1" ref="H2412" ca="1">VLOOKUP(Cpi_[[#This Row],[Year]:[Month]],crudeoil[],3,FALSE)</f>
        <v>#VALUE!</v>
      </c>
    </row>
    <row r="2413" spans="1:8" hidden="1" x14ac:dyDescent="0.3">
      <c r="A2413" t="s">
        <v>34</v>
      </c>
      <c r="B2413">
        <v>2015</v>
      </c>
      <c r="C2413" t="s">
        <v>39</v>
      </c>
      <c r="D2413" t="s">
        <v>11</v>
      </c>
      <c r="E2413" t="e">
        <f>VLOOKUP(Cpi_[[#This Row],[Attribute]],#REF!,2,FALSE)</f>
        <v>#REF!</v>
      </c>
      <c r="F2413">
        <v>94.1</v>
      </c>
      <c r="G2413">
        <f>(Cpi_[[#This Row],[Value]]-F2412)/F2412</f>
        <v>-0.31513828238719077</v>
      </c>
      <c r="H2413" t="e" cm="1" vm="1">
        <f t="array" aca="1" ref="H2413" ca="1">VLOOKUP(Cpi_[[#This Row],[Year]:[Month]],crudeoil[],3,FALSE)</f>
        <v>#VALUE!</v>
      </c>
    </row>
    <row r="2414" spans="1:8" hidden="1" x14ac:dyDescent="0.3">
      <c r="A2414" t="s">
        <v>34</v>
      </c>
      <c r="B2414">
        <v>2015</v>
      </c>
      <c r="C2414" t="s">
        <v>39</v>
      </c>
      <c r="D2414" t="s">
        <v>12</v>
      </c>
      <c r="E2414" t="e">
        <f>VLOOKUP(Cpi_[[#This Row],[Attribute]],#REF!,2,FALSE)</f>
        <v>#REF!</v>
      </c>
      <c r="F2414">
        <v>125.5</v>
      </c>
      <c r="G2414">
        <f>(Cpi_[[#This Row],[Value]]-F2413)/F2413</f>
        <v>0.33368756641870356</v>
      </c>
      <c r="H2414" t="e" cm="1" vm="1">
        <f t="array" aca="1" ref="H2414" ca="1">VLOOKUP(Cpi_[[#This Row],[Year]:[Month]],crudeoil[],3,FALSE)</f>
        <v>#VALUE!</v>
      </c>
    </row>
    <row r="2415" spans="1:8" hidden="1" x14ac:dyDescent="0.3">
      <c r="A2415" t="s">
        <v>34</v>
      </c>
      <c r="B2415">
        <v>2015</v>
      </c>
      <c r="C2415" t="s">
        <v>39</v>
      </c>
      <c r="D2415" t="s">
        <v>13</v>
      </c>
      <c r="E2415" t="e">
        <f>VLOOKUP(Cpi_[[#This Row],[Attribute]],#REF!,2,FALSE)</f>
        <v>#REF!</v>
      </c>
      <c r="F2415">
        <v>119.8</v>
      </c>
      <c r="G2415">
        <f>(Cpi_[[#This Row],[Value]]-F2414)/F2414</f>
        <v>-4.5418326693227117E-2</v>
      </c>
      <c r="H2415" t="e" cm="1" vm="1">
        <f t="array" aca="1" ref="H2415" ca="1">VLOOKUP(Cpi_[[#This Row],[Year]:[Month]],crudeoil[],3,FALSE)</f>
        <v>#VALUE!</v>
      </c>
    </row>
    <row r="2416" spans="1:8" hidden="1" x14ac:dyDescent="0.3">
      <c r="A2416" t="s">
        <v>34</v>
      </c>
      <c r="B2416">
        <v>2015</v>
      </c>
      <c r="C2416" t="s">
        <v>39</v>
      </c>
      <c r="D2416" t="s">
        <v>14</v>
      </c>
      <c r="E2416" t="e">
        <f>VLOOKUP(Cpi_[[#This Row],[Attribute]],#REF!,2,FALSE)</f>
        <v>#REF!</v>
      </c>
      <c r="F2416">
        <v>130.9</v>
      </c>
      <c r="G2416">
        <f>(Cpi_[[#This Row],[Value]]-F2415)/F2415</f>
        <v>9.2654424040066852E-2</v>
      </c>
      <c r="H2416" t="e" cm="1" vm="1">
        <f t="array" aca="1" ref="H2416" ca="1">VLOOKUP(Cpi_[[#This Row],[Year]:[Month]],crudeoil[],3,FALSE)</f>
        <v>#VALUE!</v>
      </c>
    </row>
    <row r="2417" spans="1:8" hidden="1" x14ac:dyDescent="0.3">
      <c r="A2417" t="s">
        <v>34</v>
      </c>
      <c r="B2417">
        <v>2015</v>
      </c>
      <c r="C2417" t="s">
        <v>39</v>
      </c>
      <c r="D2417" t="s">
        <v>15</v>
      </c>
      <c r="E2417" t="e">
        <f>VLOOKUP(Cpi_[[#This Row],[Attribute]],#REF!,2,FALSE)</f>
        <v>#REF!</v>
      </c>
      <c r="F2417">
        <v>127.3</v>
      </c>
      <c r="G2417">
        <f>(Cpi_[[#This Row],[Value]]-F2416)/F2416</f>
        <v>-2.7501909854851094E-2</v>
      </c>
      <c r="H2417" t="e" cm="1" vm="1">
        <f t="array" aca="1" ref="H2417" ca="1">VLOOKUP(Cpi_[[#This Row],[Year]:[Month]],crudeoil[],3,FALSE)</f>
        <v>#VALUE!</v>
      </c>
    </row>
    <row r="2418" spans="1:8" hidden="1" x14ac:dyDescent="0.3">
      <c r="A2418" t="s">
        <v>34</v>
      </c>
      <c r="B2418">
        <v>2015</v>
      </c>
      <c r="C2418" t="s">
        <v>39</v>
      </c>
      <c r="D2418" t="s">
        <v>16</v>
      </c>
      <c r="E2418" t="e">
        <f>VLOOKUP(Cpi_[[#This Row],[Attribute]],#REF!,2,FALSE)</f>
        <v>#REF!</v>
      </c>
      <c r="F2418">
        <v>129.19999999999999</v>
      </c>
      <c r="G2418">
        <f>(Cpi_[[#This Row],[Value]]-F2417)/F2417</f>
        <v>1.4925373134328292E-2</v>
      </c>
      <c r="H2418" t="e" cm="1" vm="1">
        <f t="array" aca="1" ref="H2418" ca="1">VLOOKUP(Cpi_[[#This Row],[Year]:[Month]],crudeoil[],3,FALSE)</f>
        <v>#VALUE!</v>
      </c>
    </row>
    <row r="2419" spans="1:8" hidden="1" x14ac:dyDescent="0.3">
      <c r="A2419" t="s">
        <v>34</v>
      </c>
      <c r="B2419">
        <v>2015</v>
      </c>
      <c r="C2419" t="s">
        <v>39</v>
      </c>
      <c r="D2419" t="s">
        <v>17</v>
      </c>
      <c r="E2419" t="e">
        <f>VLOOKUP(Cpi_[[#This Row],[Attribute]],#REF!,2,FALSE)</f>
        <v>#REF!</v>
      </c>
      <c r="F2419">
        <v>126.4</v>
      </c>
      <c r="G2419">
        <f>(Cpi_[[#This Row],[Value]]-F2418)/F2418</f>
        <v>-2.1671826625386865E-2</v>
      </c>
      <c r="H2419" t="e" cm="1" vm="1">
        <f t="array" aca="1" ref="H2419" ca="1">VLOOKUP(Cpi_[[#This Row],[Year]:[Month]],crudeoil[],3,FALSE)</f>
        <v>#VALUE!</v>
      </c>
    </row>
    <row r="2420" spans="1:8" hidden="1" x14ac:dyDescent="0.3">
      <c r="A2420" t="s">
        <v>34</v>
      </c>
      <c r="B2420">
        <v>2015</v>
      </c>
      <c r="C2420" t="s">
        <v>39</v>
      </c>
      <c r="D2420" t="s">
        <v>18</v>
      </c>
      <c r="E2420" t="e">
        <f>VLOOKUP(Cpi_[[#This Row],[Attribute]],#REF!,2,FALSE)</f>
        <v>#REF!</v>
      </c>
      <c r="F2420">
        <v>122</v>
      </c>
      <c r="G2420">
        <f>(Cpi_[[#This Row],[Value]]-F2419)/F2419</f>
        <v>-3.4810126582278528E-2</v>
      </c>
      <c r="H2420" t="e" cm="1" vm="1">
        <f t="array" aca="1" ref="H2420" ca="1">VLOOKUP(Cpi_[[#This Row],[Year]:[Month]],crudeoil[],3,FALSE)</f>
        <v>#VALUE!</v>
      </c>
    </row>
    <row r="2421" spans="1:8" hidden="1" x14ac:dyDescent="0.3">
      <c r="A2421" t="s">
        <v>34</v>
      </c>
      <c r="B2421">
        <v>2015</v>
      </c>
      <c r="C2421" t="s">
        <v>39</v>
      </c>
      <c r="D2421" t="s">
        <v>19</v>
      </c>
      <c r="E2421" t="e">
        <f>VLOOKUP(Cpi_[[#This Row],[Attribute]],#REF!,2,FALSE)</f>
        <v>#REF!</v>
      </c>
      <c r="F2421">
        <v>125.7</v>
      </c>
      <c r="G2421">
        <f>(Cpi_[[#This Row],[Value]]-F2420)/F2420</f>
        <v>3.0327868852459038E-2</v>
      </c>
      <c r="H2421" t="e" cm="1" vm="1">
        <f t="array" aca="1" ref="H2421" ca="1">VLOOKUP(Cpi_[[#This Row],[Year]:[Month]],crudeoil[],3,FALSE)</f>
        <v>#VALUE!</v>
      </c>
    </row>
    <row r="2422" spans="1:8" hidden="1" x14ac:dyDescent="0.3">
      <c r="A2422" t="s">
        <v>34</v>
      </c>
      <c r="B2422">
        <v>2015</v>
      </c>
      <c r="C2422" t="s">
        <v>39</v>
      </c>
      <c r="D2422" t="s">
        <v>20</v>
      </c>
      <c r="E2422" t="e">
        <f>VLOOKUP(Cpi_[[#This Row],[Attribute]],#REF!,2,FALSE)</f>
        <v>#REF!</v>
      </c>
      <c r="F2422">
        <v>119</v>
      </c>
      <c r="G2422">
        <f>(Cpi_[[#This Row],[Value]]-F2421)/F2421</f>
        <v>-5.3301511535401774E-2</v>
      </c>
      <c r="H2422" t="e" cm="1" vm="1">
        <f t="array" aca="1" ref="H2422" ca="1">VLOOKUP(Cpi_[[#This Row],[Year]:[Month]],crudeoil[],3,FALSE)</f>
        <v>#VALUE!</v>
      </c>
    </row>
    <row r="2423" spans="1:8" hidden="1" x14ac:dyDescent="0.3">
      <c r="A2423" t="s">
        <v>34</v>
      </c>
      <c r="B2423">
        <v>2015</v>
      </c>
      <c r="C2423" t="s">
        <v>39</v>
      </c>
      <c r="D2423" t="s">
        <v>21</v>
      </c>
      <c r="E2423" t="e">
        <f>VLOOKUP(Cpi_[[#This Row],[Attribute]],#REF!,2,FALSE)</f>
        <v>#REF!</v>
      </c>
      <c r="F2423">
        <v>119.8</v>
      </c>
      <c r="G2423">
        <f>(Cpi_[[#This Row],[Value]]-F2422)/F2422</f>
        <v>6.7226890756302282E-3</v>
      </c>
      <c r="H2423" t="e" cm="1" vm="1">
        <f t="array" aca="1" ref="H2423" ca="1">VLOOKUP(Cpi_[[#This Row],[Year]:[Month]],crudeoil[],3,FALSE)</f>
        <v>#VALUE!</v>
      </c>
    </row>
    <row r="2424" spans="1:8" hidden="1" x14ac:dyDescent="0.3">
      <c r="A2424" t="s">
        <v>34</v>
      </c>
      <c r="B2424">
        <v>2015</v>
      </c>
      <c r="C2424" t="s">
        <v>39</v>
      </c>
      <c r="D2424" t="s">
        <v>22</v>
      </c>
      <c r="E2424" t="e">
        <f>VLOOKUP(Cpi_[[#This Row],[Attribute]],#REF!,2,FALSE)</f>
        <v>#REF!</v>
      </c>
      <c r="F2424">
        <v>121.1</v>
      </c>
      <c r="G2424">
        <f>(Cpi_[[#This Row],[Value]]-F2423)/F2423</f>
        <v>1.0851419031719508E-2</v>
      </c>
      <c r="H2424" t="e" cm="1" vm="1">
        <f t="array" aca="1" ref="H2424" ca="1">VLOOKUP(Cpi_[[#This Row],[Year]:[Month]],crudeoil[],3,FALSE)</f>
        <v>#VALUE!</v>
      </c>
    </row>
    <row r="2425" spans="1:8" hidden="1" x14ac:dyDescent="0.3">
      <c r="A2425" t="s">
        <v>34</v>
      </c>
      <c r="B2425">
        <v>2015</v>
      </c>
      <c r="C2425" t="s">
        <v>39</v>
      </c>
      <c r="D2425" t="s">
        <v>23</v>
      </c>
      <c r="E2425" t="e">
        <f>VLOOKUP(Cpi_[[#This Row],[Attribute]],#REF!,2,FALSE)</f>
        <v>#REF!</v>
      </c>
      <c r="F2425">
        <v>118.5</v>
      </c>
      <c r="G2425">
        <f>(Cpi_[[#This Row],[Value]]-F2424)/F2424</f>
        <v>-2.1469859620148593E-2</v>
      </c>
      <c r="H2425" t="e" cm="1" vm="1">
        <f t="array" aca="1" ref="H2425" ca="1">VLOOKUP(Cpi_[[#This Row],[Year]:[Month]],crudeoil[],3,FALSE)</f>
        <v>#VALUE!</v>
      </c>
    </row>
    <row r="2426" spans="1:8" hidden="1" x14ac:dyDescent="0.3">
      <c r="A2426" t="s">
        <v>34</v>
      </c>
      <c r="B2426">
        <v>2015</v>
      </c>
      <c r="C2426" t="s">
        <v>39</v>
      </c>
      <c r="D2426" t="s">
        <v>24</v>
      </c>
      <c r="E2426" t="e">
        <f>VLOOKUP(Cpi_[[#This Row],[Attribute]],#REF!,2,FALSE)</f>
        <v>#REF!</v>
      </c>
      <c r="F2426">
        <v>112.9</v>
      </c>
      <c r="G2426">
        <f>(Cpi_[[#This Row],[Value]]-F2425)/F2425</f>
        <v>-4.7257383966244675E-2</v>
      </c>
      <c r="H2426" t="e" cm="1" vm="1">
        <f t="array" aca="1" ref="H2426" ca="1">VLOOKUP(Cpi_[[#This Row],[Year]:[Month]],crudeoil[],3,FALSE)</f>
        <v>#VALUE!</v>
      </c>
    </row>
    <row r="2427" spans="1:8" hidden="1" x14ac:dyDescent="0.3">
      <c r="A2427" t="s">
        <v>34</v>
      </c>
      <c r="B2427">
        <v>2015</v>
      </c>
      <c r="C2427" t="s">
        <v>39</v>
      </c>
      <c r="D2427" t="s">
        <v>25</v>
      </c>
      <c r="E2427" t="e">
        <f>VLOOKUP(Cpi_[[#This Row],[Attribute]],#REF!,2,FALSE)</f>
        <v>#REF!</v>
      </c>
      <c r="F2427">
        <v>116.9</v>
      </c>
      <c r="G2427">
        <f>(Cpi_[[#This Row],[Value]]-F2426)/F2426</f>
        <v>3.5429583702391493E-2</v>
      </c>
      <c r="H2427" t="e" cm="1" vm="1">
        <f t="array" aca="1" ref="H2427" ca="1">VLOOKUP(Cpi_[[#This Row],[Year]:[Month]],crudeoil[],3,FALSE)</f>
        <v>#VALUE!</v>
      </c>
    </row>
    <row r="2428" spans="1:8" hidden="1" x14ac:dyDescent="0.3">
      <c r="A2428" t="s">
        <v>34</v>
      </c>
      <c r="B2428">
        <v>2015</v>
      </c>
      <c r="C2428" t="s">
        <v>39</v>
      </c>
      <c r="D2428" t="s">
        <v>26</v>
      </c>
      <c r="E2428" t="e">
        <f>VLOOKUP(Cpi_[[#This Row],[Attribute]],#REF!,2,FALSE)</f>
        <v>#REF!</v>
      </c>
      <c r="F2428">
        <v>123.1</v>
      </c>
      <c r="G2428">
        <f>(Cpi_[[#This Row],[Value]]-F2427)/F2427</f>
        <v>5.3036783575705633E-2</v>
      </c>
      <c r="H2428" t="e" cm="1" vm="1">
        <f t="array" aca="1" ref="H2428" ca="1">VLOOKUP(Cpi_[[#This Row],[Year]:[Month]],crudeoil[],3,FALSE)</f>
        <v>#VALUE!</v>
      </c>
    </row>
    <row r="2429" spans="1:8" hidden="1" x14ac:dyDescent="0.3">
      <c r="A2429" t="s">
        <v>34</v>
      </c>
      <c r="B2429">
        <v>2015</v>
      </c>
      <c r="C2429" t="s">
        <v>39</v>
      </c>
      <c r="D2429" t="s">
        <v>27</v>
      </c>
      <c r="E2429" t="e">
        <f>VLOOKUP(Cpi_[[#This Row],[Attribute]],#REF!,2,FALSE)</f>
        <v>#REF!</v>
      </c>
      <c r="F2429">
        <v>112.8</v>
      </c>
      <c r="G2429">
        <f>(Cpi_[[#This Row],[Value]]-F2428)/F2428</f>
        <v>-8.3671811535337107E-2</v>
      </c>
      <c r="H2429" t="e" cm="1" vm="1">
        <f t="array" aca="1" ref="H2429" ca="1">VLOOKUP(Cpi_[[#This Row],[Year]:[Month]],crudeoil[],3,FALSE)</f>
        <v>#VALUE!</v>
      </c>
    </row>
    <row r="2430" spans="1:8" hidden="1" x14ac:dyDescent="0.3">
      <c r="A2430" t="s">
        <v>34</v>
      </c>
      <c r="B2430">
        <v>2015</v>
      </c>
      <c r="C2430" t="s">
        <v>39</v>
      </c>
      <c r="D2430" t="s">
        <v>28</v>
      </c>
      <c r="E2430" t="e">
        <f>VLOOKUP(Cpi_[[#This Row],[Attribute]],#REF!,2,FALSE)</f>
        <v>#REF!</v>
      </c>
      <c r="F2430">
        <v>117</v>
      </c>
      <c r="G2430">
        <f>(Cpi_[[#This Row],[Value]]-F2429)/F2429</f>
        <v>3.7234042553191515E-2</v>
      </c>
      <c r="H2430" t="e" cm="1" vm="1">
        <f t="array" aca="1" ref="H2430" ca="1">VLOOKUP(Cpi_[[#This Row],[Year]:[Month]],crudeoil[],3,FALSE)</f>
        <v>#VALUE!</v>
      </c>
    </row>
    <row r="2431" spans="1:8" hidden="1" x14ac:dyDescent="0.3">
      <c r="A2431" t="s">
        <v>34</v>
      </c>
      <c r="B2431">
        <v>2015</v>
      </c>
      <c r="C2431" t="s">
        <v>39</v>
      </c>
      <c r="D2431" t="s">
        <v>29</v>
      </c>
      <c r="E2431" t="e" cm="1">
        <f t="array" aca="1" ref="E2431" ca="1">VLGeneral indexGeneral indexKUP(Cpi_[[#This Row],[Attribute]],#REF!,2,FALSE)</f>
        <v>#NAME?</v>
      </c>
      <c r="F2431">
        <v>123</v>
      </c>
      <c r="G2431">
        <f>(Cpi_[[#This Row],[Value]]-F2430)/F2430</f>
        <v>5.128205128205128E-2</v>
      </c>
      <c r="H2431" t="e" cm="1" vm="1">
        <f t="array" aca="1" ref="H2431" ca="1">VLOOKUP(Cpi_[[#This Row],[Year]:[Month]],crudeoil[],3,FALSE)</f>
        <v>#VALUE!</v>
      </c>
    </row>
    <row r="2432" spans="1:8" hidden="1" x14ac:dyDescent="0.3">
      <c r="A2432" t="s">
        <v>30</v>
      </c>
      <c r="B2432">
        <v>2015</v>
      </c>
      <c r="C2432" t="s">
        <v>40</v>
      </c>
      <c r="D2432" t="s">
        <v>3</v>
      </c>
      <c r="E2432" t="e">
        <f>VLOOKUP(Cpi_[[#This Row],[Attribute]],#REF!,2,FALSE)</f>
        <v>#REF!</v>
      </c>
      <c r="F2432">
        <v>124</v>
      </c>
      <c r="G2432">
        <f>(Cpi_[[#This Row],[Value]]-F2431)/F2431</f>
        <v>8.130081300813009E-3</v>
      </c>
      <c r="H2432" t="e" cm="1" vm="1">
        <f t="array" aca="1" ref="H2432" ca="1">VLOOKUP(Cpi_[[#This Row],[Year]:[Month]],crudeoil[],3,FALSE)</f>
        <v>#VALUE!</v>
      </c>
    </row>
    <row r="2433" spans="1:8" hidden="1" x14ac:dyDescent="0.3">
      <c r="A2433" t="s">
        <v>30</v>
      </c>
      <c r="B2433">
        <v>2015</v>
      </c>
      <c r="C2433" t="s">
        <v>40</v>
      </c>
      <c r="D2433" t="s">
        <v>4</v>
      </c>
      <c r="E2433" t="e">
        <f>VLOOKUP(Cpi_[[#This Row],[Attribute]],#REF!,2,FALSE)</f>
        <v>#REF!</v>
      </c>
      <c r="F2433">
        <v>131.5</v>
      </c>
      <c r="G2433">
        <f>(Cpi_[[#This Row],[Value]]-F2432)/F2432</f>
        <v>6.0483870967741937E-2</v>
      </c>
      <c r="H2433" t="e" cm="1" vm="1">
        <f t="array" aca="1" ref="H2433" ca="1">VLOOKUP(Cpi_[[#This Row],[Year]:[Month]],crudeoil[],3,FALSE)</f>
        <v>#VALUE!</v>
      </c>
    </row>
    <row r="2434" spans="1:8" hidden="1" x14ac:dyDescent="0.3">
      <c r="A2434" t="s">
        <v>30</v>
      </c>
      <c r="B2434">
        <v>2015</v>
      </c>
      <c r="C2434" t="s">
        <v>40</v>
      </c>
      <c r="D2434" t="s">
        <v>5</v>
      </c>
      <c r="E2434" t="e">
        <f>VLOOKUP(Cpi_[[#This Row],[Attribute]],#REF!,2,FALSE)</f>
        <v>#REF!</v>
      </c>
      <c r="F2434">
        <v>122</v>
      </c>
      <c r="G2434">
        <f>(Cpi_[[#This Row],[Value]]-F2433)/F2433</f>
        <v>-7.2243346007604556E-2</v>
      </c>
      <c r="H2434" t="e" cm="1" vm="1">
        <f t="array" aca="1" ref="H2434" ca="1">VLOOKUP(Cpi_[[#This Row],[Year]:[Month]],crudeoil[],3,FALSE)</f>
        <v>#VALUE!</v>
      </c>
    </row>
    <row r="2435" spans="1:8" hidden="1" x14ac:dyDescent="0.3">
      <c r="A2435" t="s">
        <v>30</v>
      </c>
      <c r="B2435">
        <v>2015</v>
      </c>
      <c r="C2435" t="s">
        <v>40</v>
      </c>
      <c r="D2435" t="s">
        <v>6</v>
      </c>
      <c r="E2435" t="e">
        <f>VLOOKUP(Cpi_[[#This Row],[Attribute]],#REF!,2,FALSE)</f>
        <v>#REF!</v>
      </c>
      <c r="F2435">
        <v>128.69999999999999</v>
      </c>
      <c r="G2435">
        <f>(Cpi_[[#This Row],[Value]]-F2434)/F2434</f>
        <v>5.4918032786885153E-2</v>
      </c>
      <c r="H2435" t="e" cm="1" vm="1">
        <f t="array" aca="1" ref="H2435" ca="1">VLOOKUP(Cpi_[[#This Row],[Year]:[Month]],crudeoil[],3,FALSE)</f>
        <v>#VALUE!</v>
      </c>
    </row>
    <row r="2436" spans="1:8" hidden="1" x14ac:dyDescent="0.3">
      <c r="A2436" t="s">
        <v>30</v>
      </c>
      <c r="B2436">
        <v>2015</v>
      </c>
      <c r="C2436" t="s">
        <v>40</v>
      </c>
      <c r="D2436" t="s">
        <v>7</v>
      </c>
      <c r="E2436" t="e">
        <f>VLOOKUP(Cpi_[[#This Row],[Attribute]],#REF!,2,FALSE)</f>
        <v>#REF!</v>
      </c>
      <c r="F2436">
        <v>113.5</v>
      </c>
      <c r="G2436">
        <f>(Cpi_[[#This Row],[Value]]-F2435)/F2435</f>
        <v>-0.11810411810411803</v>
      </c>
      <c r="H2436" t="e" cm="1" vm="1">
        <f t="array" aca="1" ref="H2436" ca="1">VLOOKUP(Cpi_[[#This Row],[Year]:[Month]],crudeoil[],3,FALSE)</f>
        <v>#VALUE!</v>
      </c>
    </row>
    <row r="2437" spans="1:8" hidden="1" x14ac:dyDescent="0.3">
      <c r="A2437" t="s">
        <v>30</v>
      </c>
      <c r="B2437">
        <v>2015</v>
      </c>
      <c r="C2437" t="s">
        <v>40</v>
      </c>
      <c r="D2437" t="s">
        <v>8</v>
      </c>
      <c r="E2437" t="e">
        <f>VLOOKUP(Cpi_[[#This Row],[Attribute]],#REF!,2,FALSE)</f>
        <v>#REF!</v>
      </c>
      <c r="F2437">
        <v>133.30000000000001</v>
      </c>
      <c r="G2437">
        <f>(Cpi_[[#This Row],[Value]]-F2436)/F2436</f>
        <v>0.17444933920704855</v>
      </c>
      <c r="H2437" t="e" cm="1" vm="1">
        <f t="array" aca="1" ref="H2437" ca="1">VLOOKUP(Cpi_[[#This Row],[Year]:[Month]],crudeoil[],3,FALSE)</f>
        <v>#VALUE!</v>
      </c>
    </row>
    <row r="2438" spans="1:8" hidden="1" x14ac:dyDescent="0.3">
      <c r="A2438" t="s">
        <v>30</v>
      </c>
      <c r="B2438">
        <v>2015</v>
      </c>
      <c r="C2438" t="s">
        <v>40</v>
      </c>
      <c r="D2438" t="s">
        <v>9</v>
      </c>
      <c r="E2438" t="e">
        <f>VLOOKUP(Cpi_[[#This Row],[Attribute]],#REF!,2,FALSE)</f>
        <v>#REF!</v>
      </c>
      <c r="F2438">
        <v>140.80000000000001</v>
      </c>
      <c r="G2438">
        <f>(Cpi_[[#This Row],[Value]]-F2437)/F2437</f>
        <v>5.6264066016504119E-2</v>
      </c>
      <c r="H2438" t="e" cm="1" vm="1">
        <f t="array" aca="1" ref="H2438" ca="1">VLOOKUP(Cpi_[[#This Row],[Year]:[Month]],crudeoil[],3,FALSE)</f>
        <v>#VALUE!</v>
      </c>
    </row>
    <row r="2439" spans="1:8" hidden="1" x14ac:dyDescent="0.3">
      <c r="A2439" t="s">
        <v>30</v>
      </c>
      <c r="B2439">
        <v>2015</v>
      </c>
      <c r="C2439" t="s">
        <v>40</v>
      </c>
      <c r="D2439" t="s">
        <v>10</v>
      </c>
      <c r="E2439" t="e">
        <f>VLOOKUP(Cpi_[[#This Row],[Attribute]],#REF!,2,FALSE)</f>
        <v>#REF!</v>
      </c>
      <c r="F2439">
        <v>133.80000000000001</v>
      </c>
      <c r="G2439">
        <f>(Cpi_[[#This Row],[Value]]-F2438)/F2438</f>
        <v>-4.9715909090909088E-2</v>
      </c>
      <c r="H2439" t="e" cm="1" vm="1">
        <f t="array" aca="1" ref="H2439" ca="1">VLOOKUP(Cpi_[[#This Row],[Year]:[Month]],crudeoil[],3,FALSE)</f>
        <v>#VALUE!</v>
      </c>
    </row>
    <row r="2440" spans="1:8" hidden="1" x14ac:dyDescent="0.3">
      <c r="A2440" t="s">
        <v>30</v>
      </c>
      <c r="B2440">
        <v>2015</v>
      </c>
      <c r="C2440" t="s">
        <v>40</v>
      </c>
      <c r="D2440" t="s">
        <v>11</v>
      </c>
      <c r="E2440" t="e">
        <f>VLOOKUP(Cpi_[[#This Row],[Attribute]],#REF!,2,FALSE)</f>
        <v>#REF!</v>
      </c>
      <c r="F2440">
        <v>94.1</v>
      </c>
      <c r="G2440">
        <f>(Cpi_[[#This Row],[Value]]-F2439)/F2439</f>
        <v>-0.29671150971599414</v>
      </c>
      <c r="H2440" t="e" cm="1" vm="1">
        <f t="array" aca="1" ref="H2440" ca="1">VLOOKUP(Cpi_[[#This Row],[Year]:[Month]],crudeoil[],3,FALSE)</f>
        <v>#VALUE!</v>
      </c>
    </row>
    <row r="2441" spans="1:8" hidden="1" x14ac:dyDescent="0.3">
      <c r="A2441" t="s">
        <v>30</v>
      </c>
      <c r="B2441">
        <v>2015</v>
      </c>
      <c r="C2441" t="s">
        <v>40</v>
      </c>
      <c r="D2441" t="s">
        <v>12</v>
      </c>
      <c r="E2441" t="e">
        <f>VLOOKUP(Cpi_[[#This Row],[Attribute]],#REF!,2,FALSE)</f>
        <v>#REF!</v>
      </c>
      <c r="F2441">
        <v>123.4</v>
      </c>
      <c r="G2441">
        <f>(Cpi_[[#This Row],[Value]]-F2440)/F2440</f>
        <v>0.31137088204038271</v>
      </c>
      <c r="H2441" t="e" cm="1" vm="1">
        <f t="array" aca="1" ref="H2441" ca="1">VLOOKUP(Cpi_[[#This Row],[Year]:[Month]],crudeoil[],3,FALSE)</f>
        <v>#VALUE!</v>
      </c>
    </row>
    <row r="2442" spans="1:8" hidden="1" x14ac:dyDescent="0.3">
      <c r="A2442" t="s">
        <v>30</v>
      </c>
      <c r="B2442">
        <v>2015</v>
      </c>
      <c r="C2442" t="s">
        <v>40</v>
      </c>
      <c r="D2442" t="s">
        <v>13</v>
      </c>
      <c r="E2442" t="e">
        <f>VLOOKUP(Cpi_[[#This Row],[Attribute]],#REF!,2,FALSE)</f>
        <v>#REF!</v>
      </c>
      <c r="F2442">
        <v>121</v>
      </c>
      <c r="G2442">
        <f>(Cpi_[[#This Row],[Value]]-F2441)/F2441</f>
        <v>-1.9448946515397129E-2</v>
      </c>
      <c r="H2442" t="e" cm="1" vm="1">
        <f t="array" aca="1" ref="H2442" ca="1">VLOOKUP(Cpi_[[#This Row],[Year]:[Month]],crudeoil[],3,FALSE)</f>
        <v>#VALUE!</v>
      </c>
    </row>
    <row r="2443" spans="1:8" hidden="1" x14ac:dyDescent="0.3">
      <c r="A2443" t="s">
        <v>30</v>
      </c>
      <c r="B2443">
        <v>2015</v>
      </c>
      <c r="C2443" t="s">
        <v>40</v>
      </c>
      <c r="D2443" t="s">
        <v>14</v>
      </c>
      <c r="E2443" t="e">
        <f>VLOOKUP(Cpi_[[#This Row],[Attribute]],#REF!,2,FALSE)</f>
        <v>#REF!</v>
      </c>
      <c r="F2443">
        <v>131.69999999999999</v>
      </c>
      <c r="G2443">
        <f>(Cpi_[[#This Row],[Value]]-F2442)/F2442</f>
        <v>8.8429752066115613E-2</v>
      </c>
      <c r="H2443" t="e" cm="1" vm="1">
        <f t="array" aca="1" ref="H2443" ca="1">VLOOKUP(Cpi_[[#This Row],[Year]:[Month]],crudeoil[],3,FALSE)</f>
        <v>#VALUE!</v>
      </c>
    </row>
    <row r="2444" spans="1:8" hidden="1" x14ac:dyDescent="0.3">
      <c r="A2444" t="s">
        <v>30</v>
      </c>
      <c r="B2444">
        <v>2015</v>
      </c>
      <c r="C2444" t="s">
        <v>40</v>
      </c>
      <c r="D2444" t="s">
        <v>15</v>
      </c>
      <c r="E2444" t="e">
        <f>VLOOKUP(Cpi_[[#This Row],[Attribute]],#REF!,2,FALSE)</f>
        <v>#REF!</v>
      </c>
      <c r="F2444">
        <v>127.5</v>
      </c>
      <c r="G2444">
        <f>(Cpi_[[#This Row],[Value]]-F2443)/F2443</f>
        <v>-3.1890660592255045E-2</v>
      </c>
      <c r="H2444" t="e" cm="1" vm="1">
        <f t="array" aca="1" ref="H2444" ca="1">VLOOKUP(Cpi_[[#This Row],[Year]:[Month]],crudeoil[],3,FALSE)</f>
        <v>#VALUE!</v>
      </c>
    </row>
    <row r="2445" spans="1:8" hidden="1" x14ac:dyDescent="0.3">
      <c r="A2445" t="s">
        <v>30</v>
      </c>
      <c r="B2445">
        <v>2015</v>
      </c>
      <c r="C2445" t="s">
        <v>40</v>
      </c>
      <c r="D2445" t="s">
        <v>16</v>
      </c>
      <c r="E2445" t="e">
        <f>VLOOKUP(Cpi_[[#This Row],[Attribute]],#REF!,2,FALSE)</f>
        <v>#REF!</v>
      </c>
      <c r="F2445">
        <v>129.4</v>
      </c>
      <c r="G2445">
        <f>(Cpi_[[#This Row],[Value]]-F2444)/F2444</f>
        <v>1.4901960784313771E-2</v>
      </c>
      <c r="H2445" t="e" cm="1" vm="1">
        <f t="array" aca="1" ref="H2445" ca="1">VLOOKUP(Cpi_[[#This Row],[Year]:[Month]],crudeoil[],3,FALSE)</f>
        <v>#VALUE!</v>
      </c>
    </row>
    <row r="2446" spans="1:8" hidden="1" x14ac:dyDescent="0.3">
      <c r="A2446" t="s">
        <v>30</v>
      </c>
      <c r="B2446">
        <v>2015</v>
      </c>
      <c r="C2446" t="s">
        <v>40</v>
      </c>
      <c r="D2446" t="s">
        <v>17</v>
      </c>
      <c r="E2446" t="e">
        <f>VLOOKUP(Cpi_[[#This Row],[Attribute]],#REF!,2,FALSE)</f>
        <v>#REF!</v>
      </c>
      <c r="F2446">
        <v>128.80000000000001</v>
      </c>
      <c r="G2446">
        <f>(Cpi_[[#This Row],[Value]]-F2445)/F2445</f>
        <v>-4.6367851622874361E-3</v>
      </c>
      <c r="H2446" t="e" cm="1" vm="1">
        <f t="array" aca="1" ref="H2446" ca="1">VLOOKUP(Cpi_[[#This Row],[Year]:[Month]],crudeoil[],3,FALSE)</f>
        <v>#VALUE!</v>
      </c>
    </row>
    <row r="2447" spans="1:8" hidden="1" x14ac:dyDescent="0.3">
      <c r="A2447" t="s">
        <v>30</v>
      </c>
      <c r="B2447">
        <v>2015</v>
      </c>
      <c r="C2447" t="s">
        <v>40</v>
      </c>
      <c r="D2447" t="s">
        <v>18</v>
      </c>
      <c r="E2447" t="e">
        <f>VLOOKUP(Cpi_[[#This Row],[Attribute]],#REF!,2,FALSE)</f>
        <v>#REF!</v>
      </c>
      <c r="F2447">
        <v>125.5</v>
      </c>
      <c r="G2447">
        <f>(Cpi_[[#This Row],[Value]]-F2446)/F2446</f>
        <v>-2.5621118012422447E-2</v>
      </c>
      <c r="H2447" t="e" cm="1" vm="1">
        <f t="array" aca="1" ref="H2447" ca="1">VLOOKUP(Cpi_[[#This Row],[Year]:[Month]],crudeoil[],3,FALSE)</f>
        <v>#VALUE!</v>
      </c>
    </row>
    <row r="2448" spans="1:8" hidden="1" x14ac:dyDescent="0.3">
      <c r="A2448" t="s">
        <v>30</v>
      </c>
      <c r="B2448">
        <v>2015</v>
      </c>
      <c r="C2448" t="s">
        <v>40</v>
      </c>
      <c r="D2448" t="s">
        <v>19</v>
      </c>
      <c r="E2448" t="e">
        <f>VLOOKUP(Cpi_[[#This Row],[Attribute]],#REF!,2,FALSE)</f>
        <v>#REF!</v>
      </c>
      <c r="F2448">
        <v>128.30000000000001</v>
      </c>
      <c r="G2448">
        <f>(Cpi_[[#This Row],[Value]]-F2447)/F2447</f>
        <v>2.2310756972111646E-2</v>
      </c>
      <c r="H2448" t="e" cm="1" vm="1">
        <f t="array" aca="1" ref="H2448" ca="1">VLOOKUP(Cpi_[[#This Row],[Year]:[Month]],crudeoil[],3,FALSE)</f>
        <v>#VALUE!</v>
      </c>
    </row>
    <row r="2449" spans="1:8" hidden="1" x14ac:dyDescent="0.3">
      <c r="A2449" t="s">
        <v>30</v>
      </c>
      <c r="B2449">
        <v>2015</v>
      </c>
      <c r="C2449" t="s">
        <v>40</v>
      </c>
      <c r="D2449" t="s">
        <v>20</v>
      </c>
      <c r="E2449" t="e">
        <f>VLOOKUP(Cpi_[[#This Row],[Attribute]],#REF!,2,FALSE)</f>
        <v>#REF!</v>
      </c>
      <c r="F2449" t="s">
        <v>32</v>
      </c>
      <c r="G2449" t="e">
        <f>(Cpi_[[#This Row],[Value]]-F2448)/F2448</f>
        <v>#VALUE!</v>
      </c>
      <c r="H2449" t="e" cm="1" vm="1">
        <f t="array" aca="1" ref="H2449" ca="1">VLOOKUP(Cpi_[[#This Row],[Year]:[Month]],crudeoil[],3,FALSE)</f>
        <v>#VALUE!</v>
      </c>
    </row>
    <row r="2450" spans="1:8" hidden="1" x14ac:dyDescent="0.3">
      <c r="A2450" t="s">
        <v>30</v>
      </c>
      <c r="B2450">
        <v>2015</v>
      </c>
      <c r="C2450" t="s">
        <v>40</v>
      </c>
      <c r="D2450" t="s">
        <v>21</v>
      </c>
      <c r="E2450" t="e">
        <f>VLOOKUP(Cpi_[[#This Row],[Attribute]],#REF!,2,FALSE)</f>
        <v>#REF!</v>
      </c>
      <c r="F2450">
        <v>123</v>
      </c>
      <c r="G2450" t="e">
        <f>(Cpi_[[#This Row],[Value]]-F2449)/F2449</f>
        <v>#VALUE!</v>
      </c>
      <c r="H2450" t="e" cm="1" vm="1">
        <f t="array" aca="1" ref="H2450" ca="1">VLOOKUP(Cpi_[[#This Row],[Year]:[Month]],crudeoil[],3,FALSE)</f>
        <v>#VALUE!</v>
      </c>
    </row>
    <row r="2451" spans="1:8" hidden="1" x14ac:dyDescent="0.3">
      <c r="A2451" t="s">
        <v>30</v>
      </c>
      <c r="B2451">
        <v>2015</v>
      </c>
      <c r="C2451" t="s">
        <v>40</v>
      </c>
      <c r="D2451" t="s">
        <v>22</v>
      </c>
      <c r="E2451" t="e">
        <f>VLOOKUP(Cpi_[[#This Row],[Attribute]],#REF!,2,FALSE)</f>
        <v>#REF!</v>
      </c>
      <c r="F2451">
        <v>123</v>
      </c>
      <c r="G2451">
        <f>(Cpi_[[#This Row],[Value]]-F2450)/F2450</f>
        <v>0</v>
      </c>
      <c r="H2451" t="e" cm="1" vm="1">
        <f t="array" aca="1" ref="H2451" ca="1">VLOOKUP(Cpi_[[#This Row],[Year]:[Month]],crudeoil[],3,FALSE)</f>
        <v>#VALUE!</v>
      </c>
    </row>
    <row r="2452" spans="1:8" hidden="1" x14ac:dyDescent="0.3">
      <c r="A2452" t="s">
        <v>30</v>
      </c>
      <c r="B2452">
        <v>2015</v>
      </c>
      <c r="C2452" t="s">
        <v>40</v>
      </c>
      <c r="D2452" t="s">
        <v>23</v>
      </c>
      <c r="E2452" t="e">
        <f>VLOOKUP(Cpi_[[#This Row],[Attribute]],#REF!,2,FALSE)</f>
        <v>#REF!</v>
      </c>
      <c r="F2452">
        <v>120.8</v>
      </c>
      <c r="G2452">
        <f>(Cpi_[[#This Row],[Value]]-F2451)/F2451</f>
        <v>-1.788617886178864E-2</v>
      </c>
      <c r="H2452" t="e" cm="1" vm="1">
        <f t="array" aca="1" ref="H2452" ca="1">VLOOKUP(Cpi_[[#This Row],[Year]:[Month]],crudeoil[],3,FALSE)</f>
        <v>#VALUE!</v>
      </c>
    </row>
    <row r="2453" spans="1:8" hidden="1" x14ac:dyDescent="0.3">
      <c r="A2453" t="s">
        <v>30</v>
      </c>
      <c r="B2453">
        <v>2015</v>
      </c>
      <c r="C2453" t="s">
        <v>40</v>
      </c>
      <c r="D2453" t="s">
        <v>24</v>
      </c>
      <c r="E2453" t="e">
        <f>VLOOKUP(Cpi_[[#This Row],[Attribute]],#REF!,2,FALSE)</f>
        <v>#REF!</v>
      </c>
      <c r="F2453">
        <v>114.1</v>
      </c>
      <c r="G2453">
        <f>(Cpi_[[#This Row],[Value]]-F2452)/F2452</f>
        <v>-5.5463576158940424E-2</v>
      </c>
      <c r="H2453" t="e" cm="1" vm="1">
        <f t="array" aca="1" ref="H2453" ca="1">VLOOKUP(Cpi_[[#This Row],[Year]:[Month]],crudeoil[],3,FALSE)</f>
        <v>#VALUE!</v>
      </c>
    </row>
    <row r="2454" spans="1:8" hidden="1" x14ac:dyDescent="0.3">
      <c r="A2454" t="s">
        <v>30</v>
      </c>
      <c r="B2454">
        <v>2015</v>
      </c>
      <c r="C2454" t="s">
        <v>40</v>
      </c>
      <c r="D2454" t="s">
        <v>25</v>
      </c>
      <c r="E2454" t="e">
        <f>VLOOKUP(Cpi_[[#This Row],[Attribute]],#REF!,2,FALSE)</f>
        <v>#REF!</v>
      </c>
      <c r="F2454">
        <v>118</v>
      </c>
      <c r="G2454">
        <f>(Cpi_[[#This Row],[Value]]-F2453)/F2453</f>
        <v>3.4180543382997419E-2</v>
      </c>
      <c r="H2454" t="e" cm="1" vm="1">
        <f t="array" aca="1" ref="H2454" ca="1">VLOOKUP(Cpi_[[#This Row],[Year]:[Month]],crudeoil[],3,FALSE)</f>
        <v>#VALUE!</v>
      </c>
    </row>
    <row r="2455" spans="1:8" hidden="1" x14ac:dyDescent="0.3">
      <c r="A2455" t="s">
        <v>30</v>
      </c>
      <c r="B2455">
        <v>2015</v>
      </c>
      <c r="C2455" t="s">
        <v>40</v>
      </c>
      <c r="D2455" t="s">
        <v>26</v>
      </c>
      <c r="E2455" t="e">
        <f>VLOOKUP(Cpi_[[#This Row],[Attribute]],#REF!,2,FALSE)</f>
        <v>#REF!</v>
      </c>
      <c r="F2455">
        <v>122.9</v>
      </c>
      <c r="G2455">
        <f>(Cpi_[[#This Row],[Value]]-F2454)/F2454</f>
        <v>4.1525423728813605E-2</v>
      </c>
      <c r="H2455" t="e" cm="1" vm="1">
        <f t="array" aca="1" ref="H2455" ca="1">VLOOKUP(Cpi_[[#This Row],[Year]:[Month]],crudeoil[],3,FALSE)</f>
        <v>#VALUE!</v>
      </c>
    </row>
    <row r="2456" spans="1:8" hidden="1" x14ac:dyDescent="0.3">
      <c r="A2456" t="s">
        <v>30</v>
      </c>
      <c r="B2456">
        <v>2015</v>
      </c>
      <c r="C2456" t="s">
        <v>40</v>
      </c>
      <c r="D2456" t="s">
        <v>27</v>
      </c>
      <c r="E2456" t="e">
        <f>VLOOKUP(Cpi_[[#This Row],[Attribute]],#REF!,2,FALSE)</f>
        <v>#REF!</v>
      </c>
      <c r="F2456">
        <v>112.7</v>
      </c>
      <c r="G2456">
        <f>(Cpi_[[#This Row],[Value]]-F2455)/F2455</f>
        <v>-8.2994304312449169E-2</v>
      </c>
      <c r="H2456" t="e" cm="1" vm="1">
        <f t="array" aca="1" ref="H2456" ca="1">VLOOKUP(Cpi_[[#This Row],[Year]:[Month]],crudeoil[],3,FALSE)</f>
        <v>#VALUE!</v>
      </c>
    </row>
    <row r="2457" spans="1:8" hidden="1" x14ac:dyDescent="0.3">
      <c r="A2457" t="s">
        <v>30</v>
      </c>
      <c r="B2457">
        <v>2015</v>
      </c>
      <c r="C2457" t="s">
        <v>40</v>
      </c>
      <c r="D2457" t="s">
        <v>28</v>
      </c>
      <c r="E2457" t="e">
        <f>VLOOKUP(Cpi_[[#This Row],[Attribute]],#REF!,2,FALSE)</f>
        <v>#REF!</v>
      </c>
      <c r="F2457">
        <v>118.1</v>
      </c>
      <c r="G2457">
        <f>(Cpi_[[#This Row],[Value]]-F2456)/F2456</f>
        <v>4.7914818101153431E-2</v>
      </c>
      <c r="H2457" t="e" cm="1" vm="1">
        <f t="array" aca="1" ref="H2457" ca="1">VLOOKUP(Cpi_[[#This Row],[Year]:[Month]],crudeoil[],3,FALSE)</f>
        <v>#VALUE!</v>
      </c>
    </row>
    <row r="2458" spans="1:8" hidden="1" x14ac:dyDescent="0.3">
      <c r="A2458" t="s">
        <v>30</v>
      </c>
      <c r="B2458">
        <v>2015</v>
      </c>
      <c r="C2458" t="s">
        <v>40</v>
      </c>
      <c r="D2458" t="s">
        <v>29</v>
      </c>
      <c r="E2458" t="e" cm="1">
        <f t="array" aca="1" ref="E2458" ca="1">VLGeneral indexGeneral indexKUP(Cpi_[[#This Row],[Attribute]],#REF!,2,FALSE)</f>
        <v>#NAME?</v>
      </c>
      <c r="F2458">
        <v>124.7</v>
      </c>
      <c r="G2458">
        <f>(Cpi_[[#This Row],[Value]]-F2457)/F2457</f>
        <v>5.5884843353090678E-2</v>
      </c>
      <c r="H2458" t="e" cm="1" vm="1">
        <f t="array" aca="1" ref="H2458" ca="1">VLOOKUP(Cpi_[[#This Row],[Year]:[Month]],crudeoil[],3,FALSE)</f>
        <v>#VALUE!</v>
      </c>
    </row>
    <row r="2459" spans="1:8" hidden="1" x14ac:dyDescent="0.3">
      <c r="A2459" t="s">
        <v>33</v>
      </c>
      <c r="B2459">
        <v>2015</v>
      </c>
      <c r="C2459" t="s">
        <v>40</v>
      </c>
      <c r="D2459" t="s">
        <v>3</v>
      </c>
      <c r="E2459" t="e">
        <f>VLOOKUP(Cpi_[[#This Row],[Attribute]],#REF!,2,FALSE)</f>
        <v>#REF!</v>
      </c>
      <c r="F2459">
        <v>123.2</v>
      </c>
      <c r="G2459">
        <f>(Cpi_[[#This Row],[Value]]-F2458)/F2458</f>
        <v>-1.2028869286287089E-2</v>
      </c>
      <c r="H2459" t="e" cm="1" vm="1">
        <f t="array" aca="1" ref="H2459" ca="1">VLOOKUP(Cpi_[[#This Row],[Year]:[Month]],crudeoil[],3,FALSE)</f>
        <v>#VALUE!</v>
      </c>
    </row>
    <row r="2460" spans="1:8" hidden="1" x14ac:dyDescent="0.3">
      <c r="A2460" t="s">
        <v>33</v>
      </c>
      <c r="B2460">
        <v>2015</v>
      </c>
      <c r="C2460" t="s">
        <v>40</v>
      </c>
      <c r="D2460" t="s">
        <v>4</v>
      </c>
      <c r="E2460" t="e">
        <f>VLOOKUP(Cpi_[[#This Row],[Attribute]],#REF!,2,FALSE)</f>
        <v>#REF!</v>
      </c>
      <c r="F2460">
        <v>134.30000000000001</v>
      </c>
      <c r="G2460">
        <f>(Cpi_[[#This Row],[Value]]-F2459)/F2459</f>
        <v>9.0097402597402662E-2</v>
      </c>
      <c r="H2460" t="e" cm="1" vm="1">
        <f t="array" aca="1" ref="H2460" ca="1">VLOOKUP(Cpi_[[#This Row],[Year]:[Month]],crudeoil[],3,FALSE)</f>
        <v>#VALUE!</v>
      </c>
    </row>
    <row r="2461" spans="1:8" hidden="1" x14ac:dyDescent="0.3">
      <c r="A2461" t="s">
        <v>33</v>
      </c>
      <c r="B2461">
        <v>2015</v>
      </c>
      <c r="C2461" t="s">
        <v>40</v>
      </c>
      <c r="D2461" t="s">
        <v>5</v>
      </c>
      <c r="E2461" t="e">
        <f>VLOOKUP(Cpi_[[#This Row],[Attribute]],#REF!,2,FALSE)</f>
        <v>#REF!</v>
      </c>
      <c r="F2461">
        <v>119.5</v>
      </c>
      <c r="G2461">
        <f>(Cpi_[[#This Row],[Value]]-F2460)/F2460</f>
        <v>-0.11020104244229345</v>
      </c>
      <c r="H2461" t="e" cm="1" vm="1">
        <f t="array" aca="1" ref="H2461" ca="1">VLOOKUP(Cpi_[[#This Row],[Year]:[Month]],crudeoil[],3,FALSE)</f>
        <v>#VALUE!</v>
      </c>
    </row>
    <row r="2462" spans="1:8" hidden="1" x14ac:dyDescent="0.3">
      <c r="A2462" t="s">
        <v>33</v>
      </c>
      <c r="B2462">
        <v>2015</v>
      </c>
      <c r="C2462" t="s">
        <v>40</v>
      </c>
      <c r="D2462" t="s">
        <v>6</v>
      </c>
      <c r="E2462" t="e">
        <f>VLOOKUP(Cpi_[[#This Row],[Attribute]],#REF!,2,FALSE)</f>
        <v>#REF!</v>
      </c>
      <c r="F2462">
        <v>127.7</v>
      </c>
      <c r="G2462">
        <f>(Cpi_[[#This Row],[Value]]-F2461)/F2461</f>
        <v>6.8619246861924707E-2</v>
      </c>
      <c r="H2462" t="e" cm="1" vm="1">
        <f t="array" aca="1" ref="H2462" ca="1">VLOOKUP(Cpi_[[#This Row],[Year]:[Month]],crudeoil[],3,FALSE)</f>
        <v>#VALUE!</v>
      </c>
    </row>
    <row r="2463" spans="1:8" hidden="1" x14ac:dyDescent="0.3">
      <c r="A2463" t="s">
        <v>33</v>
      </c>
      <c r="B2463">
        <v>2015</v>
      </c>
      <c r="C2463" t="s">
        <v>40</v>
      </c>
      <c r="D2463" t="s">
        <v>7</v>
      </c>
      <c r="E2463" t="e">
        <f>VLOOKUP(Cpi_[[#This Row],[Attribute]],#REF!,2,FALSE)</f>
        <v>#REF!</v>
      </c>
      <c r="F2463">
        <v>106.3</v>
      </c>
      <c r="G2463">
        <f>(Cpi_[[#This Row],[Value]]-F2462)/F2462</f>
        <v>-0.16758026624902117</v>
      </c>
      <c r="H2463" t="e" cm="1" vm="1">
        <f t="array" aca="1" ref="H2463" ca="1">VLOOKUP(Cpi_[[#This Row],[Year]:[Month]],crudeoil[],3,FALSE)</f>
        <v>#VALUE!</v>
      </c>
    </row>
    <row r="2464" spans="1:8" hidden="1" x14ac:dyDescent="0.3">
      <c r="A2464" t="s">
        <v>33</v>
      </c>
      <c r="B2464">
        <v>2015</v>
      </c>
      <c r="C2464" t="s">
        <v>40</v>
      </c>
      <c r="D2464" t="s">
        <v>8</v>
      </c>
      <c r="E2464" t="e">
        <f>VLOOKUP(Cpi_[[#This Row],[Attribute]],#REF!,2,FALSE)</f>
        <v>#REF!</v>
      </c>
      <c r="F2464">
        <v>132.80000000000001</v>
      </c>
      <c r="G2464">
        <f>(Cpi_[[#This Row],[Value]]-F2463)/F2463</f>
        <v>0.24929444967074332</v>
      </c>
      <c r="H2464" t="e" cm="1" vm="1">
        <f t="array" aca="1" ref="H2464" ca="1">VLOOKUP(Cpi_[[#This Row],[Year]:[Month]],crudeoil[],3,FALSE)</f>
        <v>#VALUE!</v>
      </c>
    </row>
    <row r="2465" spans="1:8" hidden="1" x14ac:dyDescent="0.3">
      <c r="A2465" t="s">
        <v>33</v>
      </c>
      <c r="B2465">
        <v>2015</v>
      </c>
      <c r="C2465" t="s">
        <v>40</v>
      </c>
      <c r="D2465" t="s">
        <v>9</v>
      </c>
      <c r="E2465" t="e">
        <f>VLOOKUP(Cpi_[[#This Row],[Attribute]],#REF!,2,FALSE)</f>
        <v>#REF!</v>
      </c>
      <c r="F2465">
        <v>153.5</v>
      </c>
      <c r="G2465">
        <f>(Cpi_[[#This Row],[Value]]-F2464)/F2464</f>
        <v>0.15587349397590353</v>
      </c>
      <c r="H2465" t="e" cm="1" vm="1">
        <f t="array" aca="1" ref="H2465" ca="1">VLOOKUP(Cpi_[[#This Row],[Year]:[Month]],crudeoil[],3,FALSE)</f>
        <v>#VALUE!</v>
      </c>
    </row>
    <row r="2466" spans="1:8" hidden="1" x14ac:dyDescent="0.3">
      <c r="A2466" t="s">
        <v>33</v>
      </c>
      <c r="B2466">
        <v>2015</v>
      </c>
      <c r="C2466" t="s">
        <v>40</v>
      </c>
      <c r="D2466" t="s">
        <v>10</v>
      </c>
      <c r="E2466" t="e">
        <f>VLOOKUP(Cpi_[[#This Row],[Attribute]],#REF!,2,FALSE)</f>
        <v>#REF!</v>
      </c>
      <c r="F2466">
        <v>149.5</v>
      </c>
      <c r="G2466">
        <f>(Cpi_[[#This Row],[Value]]-F2465)/F2465</f>
        <v>-2.6058631921824105E-2</v>
      </c>
      <c r="H2466" t="e" cm="1" vm="1">
        <f t="array" aca="1" ref="H2466" ca="1">VLOOKUP(Cpi_[[#This Row],[Year]:[Month]],crudeoil[],3,FALSE)</f>
        <v>#VALUE!</v>
      </c>
    </row>
    <row r="2467" spans="1:8" hidden="1" x14ac:dyDescent="0.3">
      <c r="A2467" t="s">
        <v>33</v>
      </c>
      <c r="B2467">
        <v>2015</v>
      </c>
      <c r="C2467" t="s">
        <v>40</v>
      </c>
      <c r="D2467" t="s">
        <v>11</v>
      </c>
      <c r="E2467" t="e">
        <f>VLOOKUP(Cpi_[[#This Row],[Attribute]],#REF!,2,FALSE)</f>
        <v>#REF!</v>
      </c>
      <c r="F2467">
        <v>85.7</v>
      </c>
      <c r="G2467">
        <f>(Cpi_[[#This Row],[Value]]-F2466)/F2466</f>
        <v>-0.42675585284280937</v>
      </c>
      <c r="H2467" t="e" cm="1" vm="1">
        <f t="array" aca="1" ref="H2467" ca="1">VLOOKUP(Cpi_[[#This Row],[Year]:[Month]],crudeoil[],3,FALSE)</f>
        <v>#VALUE!</v>
      </c>
    </row>
    <row r="2468" spans="1:8" hidden="1" x14ac:dyDescent="0.3">
      <c r="A2468" t="s">
        <v>33</v>
      </c>
      <c r="B2468">
        <v>2015</v>
      </c>
      <c r="C2468" t="s">
        <v>40</v>
      </c>
      <c r="D2468" t="s">
        <v>12</v>
      </c>
      <c r="E2468" t="e">
        <f>VLOOKUP(Cpi_[[#This Row],[Attribute]],#REF!,2,FALSE)</f>
        <v>#REF!</v>
      </c>
      <c r="F2468">
        <v>131.5</v>
      </c>
      <c r="G2468">
        <f>(Cpi_[[#This Row],[Value]]-F2467)/F2467</f>
        <v>0.53442240373395555</v>
      </c>
      <c r="H2468" t="e" cm="1" vm="1">
        <f t="array" aca="1" ref="H2468" ca="1">VLOOKUP(Cpi_[[#This Row],[Year]:[Month]],crudeoil[],3,FALSE)</f>
        <v>#VALUE!</v>
      </c>
    </row>
    <row r="2469" spans="1:8" hidden="1" x14ac:dyDescent="0.3">
      <c r="A2469" t="s">
        <v>33</v>
      </c>
      <c r="B2469">
        <v>2015</v>
      </c>
      <c r="C2469" t="s">
        <v>40</v>
      </c>
      <c r="D2469" t="s">
        <v>13</v>
      </c>
      <c r="E2469" t="e">
        <f>VLOOKUP(Cpi_[[#This Row],[Attribute]],#REF!,2,FALSE)</f>
        <v>#REF!</v>
      </c>
      <c r="F2469">
        <v>118.3</v>
      </c>
      <c r="G2469">
        <f>(Cpi_[[#This Row],[Value]]-F2468)/F2468</f>
        <v>-0.10038022813688215</v>
      </c>
      <c r="H2469" t="e" cm="1" vm="1">
        <f t="array" aca="1" ref="H2469" ca="1">VLOOKUP(Cpi_[[#This Row],[Year]:[Month]],crudeoil[],3,FALSE)</f>
        <v>#VALUE!</v>
      </c>
    </row>
    <row r="2470" spans="1:8" hidden="1" x14ac:dyDescent="0.3">
      <c r="A2470" t="s">
        <v>33</v>
      </c>
      <c r="B2470">
        <v>2015</v>
      </c>
      <c r="C2470" t="s">
        <v>40</v>
      </c>
      <c r="D2470" t="s">
        <v>14</v>
      </c>
      <c r="E2470" t="e">
        <f>VLOOKUP(Cpi_[[#This Row],[Attribute]],#REF!,2,FALSE)</f>
        <v>#REF!</v>
      </c>
      <c r="F2470">
        <v>131.1</v>
      </c>
      <c r="G2470">
        <f>(Cpi_[[#This Row],[Value]]-F2469)/F2469</f>
        <v>0.10819949281487741</v>
      </c>
      <c r="H2470" t="e" cm="1" vm="1">
        <f t="array" aca="1" ref="H2470" ca="1">VLOOKUP(Cpi_[[#This Row],[Year]:[Month]],crudeoil[],3,FALSE)</f>
        <v>#VALUE!</v>
      </c>
    </row>
    <row r="2471" spans="1:8" hidden="1" x14ac:dyDescent="0.3">
      <c r="A2471" t="s">
        <v>33</v>
      </c>
      <c r="B2471">
        <v>2015</v>
      </c>
      <c r="C2471" t="s">
        <v>40</v>
      </c>
      <c r="D2471" t="s">
        <v>15</v>
      </c>
      <c r="E2471" t="e">
        <f>VLOOKUP(Cpi_[[#This Row],[Attribute]],#REF!,2,FALSE)</f>
        <v>#REF!</v>
      </c>
      <c r="F2471">
        <v>129.5</v>
      </c>
      <c r="G2471">
        <f>(Cpi_[[#This Row],[Value]]-F2470)/F2470</f>
        <v>-1.2204424103737562E-2</v>
      </c>
      <c r="H2471" t="e" cm="1" vm="1">
        <f t="array" aca="1" ref="H2471" ca="1">VLOOKUP(Cpi_[[#This Row],[Year]:[Month]],crudeoil[],3,FALSE)</f>
        <v>#VALUE!</v>
      </c>
    </row>
    <row r="2472" spans="1:8" hidden="1" x14ac:dyDescent="0.3">
      <c r="A2472" t="s">
        <v>33</v>
      </c>
      <c r="B2472">
        <v>2015</v>
      </c>
      <c r="C2472" t="s">
        <v>40</v>
      </c>
      <c r="D2472" t="s">
        <v>16</v>
      </c>
      <c r="E2472" t="e">
        <f>VLOOKUP(Cpi_[[#This Row],[Attribute]],#REF!,2,FALSE)</f>
        <v>#REF!</v>
      </c>
      <c r="F2472">
        <v>133.1</v>
      </c>
      <c r="G2472">
        <f>(Cpi_[[#This Row],[Value]]-F2471)/F2471</f>
        <v>2.7799227799227756E-2</v>
      </c>
      <c r="H2472" t="e" cm="1" vm="1">
        <f t="array" aca="1" ref="H2472" ca="1">VLOOKUP(Cpi_[[#This Row],[Year]:[Month]],crudeoil[],3,FALSE)</f>
        <v>#VALUE!</v>
      </c>
    </row>
    <row r="2473" spans="1:8" hidden="1" x14ac:dyDescent="0.3">
      <c r="A2473" t="s">
        <v>33</v>
      </c>
      <c r="B2473">
        <v>2015</v>
      </c>
      <c r="C2473" t="s">
        <v>40</v>
      </c>
      <c r="D2473" t="s">
        <v>17</v>
      </c>
      <c r="E2473" t="e">
        <f>VLOOKUP(Cpi_[[#This Row],[Attribute]],#REF!,2,FALSE)</f>
        <v>#REF!</v>
      </c>
      <c r="F2473">
        <v>123.5</v>
      </c>
      <c r="G2473">
        <f>(Cpi_[[#This Row],[Value]]-F2472)/F2472</f>
        <v>-7.212622088655142E-2</v>
      </c>
      <c r="H2473" t="e" cm="1" vm="1">
        <f t="array" aca="1" ref="H2473" ca="1">VLOOKUP(Cpi_[[#This Row],[Year]:[Month]],crudeoil[],3,FALSE)</f>
        <v>#VALUE!</v>
      </c>
    </row>
    <row r="2474" spans="1:8" hidden="1" x14ac:dyDescent="0.3">
      <c r="A2474" t="s">
        <v>33</v>
      </c>
      <c r="B2474">
        <v>2015</v>
      </c>
      <c r="C2474" t="s">
        <v>40</v>
      </c>
      <c r="D2474" t="s">
        <v>18</v>
      </c>
      <c r="E2474" t="e">
        <f>VLOOKUP(Cpi_[[#This Row],[Attribute]],#REF!,2,FALSE)</f>
        <v>#REF!</v>
      </c>
      <c r="F2474">
        <v>117.9</v>
      </c>
      <c r="G2474">
        <f>(Cpi_[[#This Row],[Value]]-F2473)/F2473</f>
        <v>-4.5344129554655825E-2</v>
      </c>
      <c r="H2474" t="e" cm="1" vm="1">
        <f t="array" aca="1" ref="H2474" ca="1">VLOOKUP(Cpi_[[#This Row],[Year]:[Month]],crudeoil[],3,FALSE)</f>
        <v>#VALUE!</v>
      </c>
    </row>
    <row r="2475" spans="1:8" hidden="1" x14ac:dyDescent="0.3">
      <c r="A2475" t="s">
        <v>33</v>
      </c>
      <c r="B2475">
        <v>2015</v>
      </c>
      <c r="C2475" t="s">
        <v>40</v>
      </c>
      <c r="D2475" t="s">
        <v>19</v>
      </c>
      <c r="E2475" t="e">
        <f>VLOOKUP(Cpi_[[#This Row],[Attribute]],#REF!,2,FALSE)</f>
        <v>#REF!</v>
      </c>
      <c r="F2475">
        <v>122.7</v>
      </c>
      <c r="G2475">
        <f>(Cpi_[[#This Row],[Value]]-F2474)/F2474</f>
        <v>4.0712468193384199E-2</v>
      </c>
      <c r="H2475" t="e" cm="1" vm="1">
        <f t="array" aca="1" ref="H2475" ca="1">VLOOKUP(Cpi_[[#This Row],[Year]:[Month]],crudeoil[],3,FALSE)</f>
        <v>#VALUE!</v>
      </c>
    </row>
    <row r="2476" spans="1:8" hidden="1" x14ac:dyDescent="0.3">
      <c r="A2476" t="s">
        <v>33</v>
      </c>
      <c r="B2476">
        <v>2015</v>
      </c>
      <c r="C2476" t="s">
        <v>40</v>
      </c>
      <c r="D2476" t="s">
        <v>20</v>
      </c>
      <c r="E2476" t="e">
        <f>VLOOKUP(Cpi_[[#This Row],[Attribute]],#REF!,2,FALSE)</f>
        <v>#REF!</v>
      </c>
      <c r="F2476">
        <v>119.9</v>
      </c>
      <c r="G2476">
        <f>(Cpi_[[#This Row],[Value]]-F2475)/F2475</f>
        <v>-2.2819885900570474E-2</v>
      </c>
      <c r="H2476" t="e" cm="1" vm="1">
        <f t="array" aca="1" ref="H2476" ca="1">VLOOKUP(Cpi_[[#This Row],[Year]:[Month]],crudeoil[],3,FALSE)</f>
        <v>#VALUE!</v>
      </c>
    </row>
    <row r="2477" spans="1:8" hidden="1" x14ac:dyDescent="0.3">
      <c r="A2477" t="s">
        <v>33</v>
      </c>
      <c r="B2477">
        <v>2015</v>
      </c>
      <c r="C2477" t="s">
        <v>40</v>
      </c>
      <c r="D2477" t="s">
        <v>21</v>
      </c>
      <c r="E2477" t="e">
        <f>VLOOKUP(Cpi_[[#This Row],[Attribute]],#REF!,2,FALSE)</f>
        <v>#REF!</v>
      </c>
      <c r="F2477">
        <v>115.3</v>
      </c>
      <c r="G2477">
        <f>(Cpi_[[#This Row],[Value]]-F2476)/F2476</f>
        <v>-3.8365304420350362E-2</v>
      </c>
      <c r="H2477" t="e" cm="1" vm="1">
        <f t="array" aca="1" ref="H2477" ca="1">VLOOKUP(Cpi_[[#This Row],[Year]:[Month]],crudeoil[],3,FALSE)</f>
        <v>#VALUE!</v>
      </c>
    </row>
    <row r="2478" spans="1:8" hidden="1" x14ac:dyDescent="0.3">
      <c r="A2478" t="s">
        <v>33</v>
      </c>
      <c r="B2478">
        <v>2015</v>
      </c>
      <c r="C2478" t="s">
        <v>40</v>
      </c>
      <c r="D2478" t="s">
        <v>22</v>
      </c>
      <c r="E2478" t="e">
        <f>VLOOKUP(Cpi_[[#This Row],[Attribute]],#REF!,2,FALSE)</f>
        <v>#REF!</v>
      </c>
      <c r="F2478">
        <v>119.5</v>
      </c>
      <c r="G2478">
        <f>(Cpi_[[#This Row],[Value]]-F2477)/F2477</f>
        <v>3.6426712922810085E-2</v>
      </c>
      <c r="H2478" t="e" cm="1" vm="1">
        <f t="array" aca="1" ref="H2478" ca="1">VLOOKUP(Cpi_[[#This Row],[Year]:[Month]],crudeoil[],3,FALSE)</f>
        <v>#VALUE!</v>
      </c>
    </row>
    <row r="2479" spans="1:8" hidden="1" x14ac:dyDescent="0.3">
      <c r="A2479" t="s">
        <v>33</v>
      </c>
      <c r="B2479">
        <v>2015</v>
      </c>
      <c r="C2479" t="s">
        <v>40</v>
      </c>
      <c r="D2479" t="s">
        <v>23</v>
      </c>
      <c r="E2479" t="e">
        <f>VLOOKUP(Cpi_[[#This Row],[Attribute]],#REF!,2,FALSE)</f>
        <v>#REF!</v>
      </c>
      <c r="F2479">
        <v>116</v>
      </c>
      <c r="G2479">
        <f>(Cpi_[[#This Row],[Value]]-F2478)/F2478</f>
        <v>-2.9288702928870293E-2</v>
      </c>
      <c r="H2479" t="e" cm="1" vm="1">
        <f t="array" aca="1" ref="H2479" ca="1">VLOOKUP(Cpi_[[#This Row],[Year]:[Month]],crudeoil[],3,FALSE)</f>
        <v>#VALUE!</v>
      </c>
    </row>
    <row r="2480" spans="1:8" hidden="1" x14ac:dyDescent="0.3">
      <c r="A2480" t="s">
        <v>33</v>
      </c>
      <c r="B2480">
        <v>2015</v>
      </c>
      <c r="C2480" t="s">
        <v>40</v>
      </c>
      <c r="D2480" t="s">
        <v>24</v>
      </c>
      <c r="E2480" t="e">
        <f>VLOOKUP(Cpi_[[#This Row],[Attribute]],#REF!,2,FALSE)</f>
        <v>#REF!</v>
      </c>
      <c r="F2480">
        <v>111.5</v>
      </c>
      <c r="G2480">
        <f>(Cpi_[[#This Row],[Value]]-F2479)/F2479</f>
        <v>-3.8793103448275863E-2</v>
      </c>
      <c r="H2480" t="e" cm="1" vm="1">
        <f t="array" aca="1" ref="H2480" ca="1">VLOOKUP(Cpi_[[#This Row],[Year]:[Month]],crudeoil[],3,FALSE)</f>
        <v>#VALUE!</v>
      </c>
    </row>
    <row r="2481" spans="1:8" hidden="1" x14ac:dyDescent="0.3">
      <c r="A2481" t="s">
        <v>33</v>
      </c>
      <c r="B2481">
        <v>2015</v>
      </c>
      <c r="C2481" t="s">
        <v>40</v>
      </c>
      <c r="D2481" t="s">
        <v>25</v>
      </c>
      <c r="E2481" t="e">
        <f>VLOOKUP(Cpi_[[#This Row],[Attribute]],#REF!,2,FALSE)</f>
        <v>#REF!</v>
      </c>
      <c r="F2481">
        <v>116.6</v>
      </c>
      <c r="G2481">
        <f>(Cpi_[[#This Row],[Value]]-F2480)/F2480</f>
        <v>4.5739910313901296E-2</v>
      </c>
      <c r="H2481" t="e" cm="1" vm="1">
        <f t="array" aca="1" ref="H2481" ca="1">VLOOKUP(Cpi_[[#This Row],[Year]:[Month]],crudeoil[],3,FALSE)</f>
        <v>#VALUE!</v>
      </c>
    </row>
    <row r="2482" spans="1:8" hidden="1" x14ac:dyDescent="0.3">
      <c r="A2482" t="s">
        <v>33</v>
      </c>
      <c r="B2482">
        <v>2015</v>
      </c>
      <c r="C2482" t="s">
        <v>40</v>
      </c>
      <c r="D2482" t="s">
        <v>26</v>
      </c>
      <c r="E2482" t="e">
        <f>VLOOKUP(Cpi_[[#This Row],[Attribute]],#REF!,2,FALSE)</f>
        <v>#REF!</v>
      </c>
      <c r="F2482">
        <v>125.4</v>
      </c>
      <c r="G2482">
        <f>(Cpi_[[#This Row],[Value]]-F2481)/F2481</f>
        <v>7.5471698113207641E-2</v>
      </c>
      <c r="H2482" t="e" cm="1" vm="1">
        <f t="array" aca="1" ref="H2482" ca="1">VLOOKUP(Cpi_[[#This Row],[Year]:[Month]],crudeoil[],3,FALSE)</f>
        <v>#VALUE!</v>
      </c>
    </row>
    <row r="2483" spans="1:8" hidden="1" x14ac:dyDescent="0.3">
      <c r="A2483" t="s">
        <v>33</v>
      </c>
      <c r="B2483">
        <v>2015</v>
      </c>
      <c r="C2483" t="s">
        <v>40</v>
      </c>
      <c r="D2483" t="s">
        <v>27</v>
      </c>
      <c r="E2483" t="e">
        <f>VLOOKUP(Cpi_[[#This Row],[Attribute]],#REF!,2,FALSE)</f>
        <v>#REF!</v>
      </c>
      <c r="F2483">
        <v>111.7</v>
      </c>
      <c r="G2483">
        <f>(Cpi_[[#This Row],[Value]]-F2482)/F2482</f>
        <v>-0.10925039872408296</v>
      </c>
      <c r="H2483" t="e" cm="1" vm="1">
        <f t="array" aca="1" ref="H2483" ca="1">VLOOKUP(Cpi_[[#This Row],[Year]:[Month]],crudeoil[],3,FALSE)</f>
        <v>#VALUE!</v>
      </c>
    </row>
    <row r="2484" spans="1:8" hidden="1" x14ac:dyDescent="0.3">
      <c r="A2484" t="s">
        <v>33</v>
      </c>
      <c r="B2484">
        <v>2015</v>
      </c>
      <c r="C2484" t="s">
        <v>40</v>
      </c>
      <c r="D2484" t="s">
        <v>28</v>
      </c>
      <c r="E2484" t="e">
        <f>VLOOKUP(Cpi_[[#This Row],[Attribute]],#REF!,2,FALSE)</f>
        <v>#REF!</v>
      </c>
      <c r="F2484">
        <v>116.3</v>
      </c>
      <c r="G2484">
        <f>(Cpi_[[#This Row],[Value]]-F2483)/F2483</f>
        <v>4.1181736794986518E-2</v>
      </c>
      <c r="H2484" t="e" cm="1" vm="1">
        <f t="array" aca="1" ref="H2484" ca="1">VLOOKUP(Cpi_[[#This Row],[Year]:[Month]],crudeoil[],3,FALSE)</f>
        <v>#VALUE!</v>
      </c>
    </row>
    <row r="2485" spans="1:8" hidden="1" x14ac:dyDescent="0.3">
      <c r="A2485" t="s">
        <v>33</v>
      </c>
      <c r="B2485">
        <v>2015</v>
      </c>
      <c r="C2485" t="s">
        <v>40</v>
      </c>
      <c r="D2485" t="s">
        <v>29</v>
      </c>
      <c r="E2485" t="e" cm="1">
        <f t="array" aca="1" ref="E2485" ca="1">VLGeneral indexGeneral indexKUP(Cpi_[[#This Row],[Attribute]],#REF!,2,FALSE)</f>
        <v>#NAME?</v>
      </c>
      <c r="F2485">
        <v>122.4</v>
      </c>
      <c r="G2485">
        <f>(Cpi_[[#This Row],[Value]]-F2484)/F2484</f>
        <v>5.2450558899398182E-2</v>
      </c>
      <c r="H2485" t="e" cm="1" vm="1">
        <f t="array" aca="1" ref="H2485" ca="1">VLOOKUP(Cpi_[[#This Row],[Year]:[Month]],crudeoil[],3,FALSE)</f>
        <v>#VALUE!</v>
      </c>
    </row>
    <row r="2486" spans="1:8" hidden="1" x14ac:dyDescent="0.3">
      <c r="A2486" t="s">
        <v>34</v>
      </c>
      <c r="B2486">
        <v>2015</v>
      </c>
      <c r="C2486" t="s">
        <v>40</v>
      </c>
      <c r="D2486" t="s">
        <v>3</v>
      </c>
      <c r="E2486" t="e">
        <f>VLOOKUP(Cpi_[[#This Row],[Attribute]],#REF!,2,FALSE)</f>
        <v>#REF!</v>
      </c>
      <c r="F2486">
        <v>123.7</v>
      </c>
      <c r="G2486">
        <f>(Cpi_[[#This Row],[Value]]-F2485)/F2485</f>
        <v>1.0620915032679715E-2</v>
      </c>
      <c r="H2486" t="e" cm="1" vm="1">
        <f t="array" aca="1" ref="H2486" ca="1">VLOOKUP(Cpi_[[#This Row],[Year]:[Month]],crudeoil[],3,FALSE)</f>
        <v>#VALUE!</v>
      </c>
    </row>
    <row r="2487" spans="1:8" hidden="1" x14ac:dyDescent="0.3">
      <c r="A2487" t="s">
        <v>34</v>
      </c>
      <c r="B2487">
        <v>2015</v>
      </c>
      <c r="C2487" t="s">
        <v>40</v>
      </c>
      <c r="D2487" t="s">
        <v>4</v>
      </c>
      <c r="E2487" t="e">
        <f>VLOOKUP(Cpi_[[#This Row],[Attribute]],#REF!,2,FALSE)</f>
        <v>#REF!</v>
      </c>
      <c r="F2487">
        <v>132.5</v>
      </c>
      <c r="G2487">
        <f>(Cpi_[[#This Row],[Value]]-F2486)/F2486</f>
        <v>7.1139854486661255E-2</v>
      </c>
      <c r="H2487" t="e" cm="1" vm="1">
        <f t="array" aca="1" ref="H2487" ca="1">VLOOKUP(Cpi_[[#This Row],[Year]:[Month]],crudeoil[],3,FALSE)</f>
        <v>#VALUE!</v>
      </c>
    </row>
    <row r="2488" spans="1:8" hidden="1" x14ac:dyDescent="0.3">
      <c r="A2488" t="s">
        <v>34</v>
      </c>
      <c r="B2488">
        <v>2015</v>
      </c>
      <c r="C2488" t="s">
        <v>40</v>
      </c>
      <c r="D2488" t="s">
        <v>5</v>
      </c>
      <c r="E2488" t="e">
        <f>VLOOKUP(Cpi_[[#This Row],[Attribute]],#REF!,2,FALSE)</f>
        <v>#REF!</v>
      </c>
      <c r="F2488">
        <v>121</v>
      </c>
      <c r="G2488">
        <f>(Cpi_[[#This Row],[Value]]-F2487)/F2487</f>
        <v>-8.6792452830188674E-2</v>
      </c>
      <c r="H2488" t="e" cm="1" vm="1">
        <f t="array" aca="1" ref="H2488" ca="1">VLOOKUP(Cpi_[[#This Row],[Year]:[Month]],crudeoil[],3,FALSE)</f>
        <v>#VALUE!</v>
      </c>
    </row>
    <row r="2489" spans="1:8" hidden="1" x14ac:dyDescent="0.3">
      <c r="A2489" t="s">
        <v>34</v>
      </c>
      <c r="B2489">
        <v>2015</v>
      </c>
      <c r="C2489" t="s">
        <v>40</v>
      </c>
      <c r="D2489" t="s">
        <v>6</v>
      </c>
      <c r="E2489" t="e">
        <f>VLOOKUP(Cpi_[[#This Row],[Attribute]],#REF!,2,FALSE)</f>
        <v>#REF!</v>
      </c>
      <c r="F2489">
        <v>128.30000000000001</v>
      </c>
      <c r="G2489">
        <f>(Cpi_[[#This Row],[Value]]-F2488)/F2488</f>
        <v>6.0330578512396787E-2</v>
      </c>
      <c r="H2489" t="e" cm="1" vm="1">
        <f t="array" aca="1" ref="H2489" ca="1">VLOOKUP(Cpi_[[#This Row],[Year]:[Month]],crudeoil[],3,FALSE)</f>
        <v>#VALUE!</v>
      </c>
    </row>
    <row r="2490" spans="1:8" hidden="1" x14ac:dyDescent="0.3">
      <c r="A2490" t="s">
        <v>34</v>
      </c>
      <c r="B2490">
        <v>2015</v>
      </c>
      <c r="C2490" t="s">
        <v>40</v>
      </c>
      <c r="D2490" t="s">
        <v>7</v>
      </c>
      <c r="E2490" t="e">
        <f>VLOOKUP(Cpi_[[#This Row],[Attribute]],#REF!,2,FALSE)</f>
        <v>#REF!</v>
      </c>
      <c r="F2490">
        <v>110.9</v>
      </c>
      <c r="G2490">
        <f>(Cpi_[[#This Row],[Value]]-F2489)/F2489</f>
        <v>-0.13561964146531569</v>
      </c>
      <c r="H2490" t="e" cm="1" vm="1">
        <f t="array" aca="1" ref="H2490" ca="1">VLOOKUP(Cpi_[[#This Row],[Year]:[Month]],crudeoil[],3,FALSE)</f>
        <v>#VALUE!</v>
      </c>
    </row>
    <row r="2491" spans="1:8" hidden="1" x14ac:dyDescent="0.3">
      <c r="A2491" t="s">
        <v>34</v>
      </c>
      <c r="B2491">
        <v>2015</v>
      </c>
      <c r="C2491" t="s">
        <v>40</v>
      </c>
      <c r="D2491" t="s">
        <v>8</v>
      </c>
      <c r="E2491" t="e">
        <f>VLOOKUP(Cpi_[[#This Row],[Attribute]],#REF!,2,FALSE)</f>
        <v>#REF!</v>
      </c>
      <c r="F2491">
        <v>133.1</v>
      </c>
      <c r="G2491">
        <f>(Cpi_[[#This Row],[Value]]-F2490)/F2490</f>
        <v>0.20018034265103685</v>
      </c>
      <c r="H2491" t="e" cm="1" vm="1">
        <f t="array" aca="1" ref="H2491" ca="1">VLOOKUP(Cpi_[[#This Row],[Year]:[Month]],crudeoil[],3,FALSE)</f>
        <v>#VALUE!</v>
      </c>
    </row>
    <row r="2492" spans="1:8" hidden="1" x14ac:dyDescent="0.3">
      <c r="A2492" t="s">
        <v>34</v>
      </c>
      <c r="B2492">
        <v>2015</v>
      </c>
      <c r="C2492" t="s">
        <v>40</v>
      </c>
      <c r="D2492" t="s">
        <v>9</v>
      </c>
      <c r="E2492" t="e">
        <f>VLOOKUP(Cpi_[[#This Row],[Attribute]],#REF!,2,FALSE)</f>
        <v>#REF!</v>
      </c>
      <c r="F2492">
        <v>145.1</v>
      </c>
      <c r="G2492">
        <f>(Cpi_[[#This Row],[Value]]-F2491)/F2491</f>
        <v>9.0157776108189341E-2</v>
      </c>
      <c r="H2492" t="e" cm="1" vm="1">
        <f t="array" aca="1" ref="H2492" ca="1">VLOOKUP(Cpi_[[#This Row],[Year]:[Month]],crudeoil[],3,FALSE)</f>
        <v>#VALUE!</v>
      </c>
    </row>
    <row r="2493" spans="1:8" hidden="1" x14ac:dyDescent="0.3">
      <c r="A2493" t="s">
        <v>34</v>
      </c>
      <c r="B2493">
        <v>2015</v>
      </c>
      <c r="C2493" t="s">
        <v>40</v>
      </c>
      <c r="D2493" t="s">
        <v>10</v>
      </c>
      <c r="E2493" t="e">
        <f>VLOOKUP(Cpi_[[#This Row],[Attribute]],#REF!,2,FALSE)</f>
        <v>#REF!</v>
      </c>
      <c r="F2493">
        <v>139.1</v>
      </c>
      <c r="G2493">
        <f>(Cpi_[[#This Row],[Value]]-F2492)/F2492</f>
        <v>-4.1350792556857342E-2</v>
      </c>
      <c r="H2493" t="e" cm="1" vm="1">
        <f t="array" aca="1" ref="H2493" ca="1">VLOOKUP(Cpi_[[#This Row],[Year]:[Month]],crudeoil[],3,FALSE)</f>
        <v>#VALUE!</v>
      </c>
    </row>
    <row r="2494" spans="1:8" hidden="1" x14ac:dyDescent="0.3">
      <c r="A2494" t="s">
        <v>34</v>
      </c>
      <c r="B2494">
        <v>2015</v>
      </c>
      <c r="C2494" t="s">
        <v>40</v>
      </c>
      <c r="D2494" t="s">
        <v>11</v>
      </c>
      <c r="E2494" t="e">
        <f>VLOOKUP(Cpi_[[#This Row],[Attribute]],#REF!,2,FALSE)</f>
        <v>#REF!</v>
      </c>
      <c r="F2494">
        <v>91.3</v>
      </c>
      <c r="G2494">
        <f>(Cpi_[[#This Row],[Value]]-F2493)/F2493</f>
        <v>-0.34363767074047447</v>
      </c>
      <c r="H2494" t="e" cm="1" vm="1">
        <f t="array" aca="1" ref="H2494" ca="1">VLOOKUP(Cpi_[[#This Row],[Year]:[Month]],crudeoil[],3,FALSE)</f>
        <v>#VALUE!</v>
      </c>
    </row>
    <row r="2495" spans="1:8" hidden="1" x14ac:dyDescent="0.3">
      <c r="A2495" t="s">
        <v>34</v>
      </c>
      <c r="B2495">
        <v>2015</v>
      </c>
      <c r="C2495" t="s">
        <v>40</v>
      </c>
      <c r="D2495" t="s">
        <v>12</v>
      </c>
      <c r="E2495" t="e">
        <f>VLOOKUP(Cpi_[[#This Row],[Attribute]],#REF!,2,FALSE)</f>
        <v>#REF!</v>
      </c>
      <c r="F2495">
        <v>126.1</v>
      </c>
      <c r="G2495">
        <f>(Cpi_[[#This Row],[Value]]-F2494)/F2494</f>
        <v>0.38116100766703176</v>
      </c>
      <c r="H2495" t="e" cm="1" vm="1">
        <f t="array" aca="1" ref="H2495" ca="1">VLOOKUP(Cpi_[[#This Row],[Year]:[Month]],crudeoil[],3,FALSE)</f>
        <v>#VALUE!</v>
      </c>
    </row>
    <row r="2496" spans="1:8" hidden="1" x14ac:dyDescent="0.3">
      <c r="A2496" t="s">
        <v>34</v>
      </c>
      <c r="B2496">
        <v>2015</v>
      </c>
      <c r="C2496" t="s">
        <v>40</v>
      </c>
      <c r="D2496" t="s">
        <v>13</v>
      </c>
      <c r="E2496" t="e">
        <f>VLOOKUP(Cpi_[[#This Row],[Attribute]],#REF!,2,FALSE)</f>
        <v>#REF!</v>
      </c>
      <c r="F2496">
        <v>119.9</v>
      </c>
      <c r="G2496">
        <f>(Cpi_[[#This Row],[Value]]-F2495)/F2495</f>
        <v>-4.916732751784289E-2</v>
      </c>
      <c r="H2496" t="e" cm="1" vm="1">
        <f t="array" aca="1" ref="H2496" ca="1">VLOOKUP(Cpi_[[#This Row],[Year]:[Month]],crudeoil[],3,FALSE)</f>
        <v>#VALUE!</v>
      </c>
    </row>
    <row r="2497" spans="1:8" hidden="1" x14ac:dyDescent="0.3">
      <c r="A2497" t="s">
        <v>34</v>
      </c>
      <c r="B2497">
        <v>2015</v>
      </c>
      <c r="C2497" t="s">
        <v>40</v>
      </c>
      <c r="D2497" t="s">
        <v>14</v>
      </c>
      <c r="E2497" t="e">
        <f>VLOOKUP(Cpi_[[#This Row],[Attribute]],#REF!,2,FALSE)</f>
        <v>#REF!</v>
      </c>
      <c r="F2497">
        <v>131.4</v>
      </c>
      <c r="G2497">
        <f>(Cpi_[[#This Row],[Value]]-F2496)/F2496</f>
        <v>9.591326105087572E-2</v>
      </c>
      <c r="H2497" t="e" cm="1" vm="1">
        <f t="array" aca="1" ref="H2497" ca="1">VLOOKUP(Cpi_[[#This Row],[Year]:[Month]],crudeoil[],3,FALSE)</f>
        <v>#VALUE!</v>
      </c>
    </row>
    <row r="2498" spans="1:8" hidden="1" x14ac:dyDescent="0.3">
      <c r="A2498" t="s">
        <v>34</v>
      </c>
      <c r="B2498">
        <v>2015</v>
      </c>
      <c r="C2498" t="s">
        <v>40</v>
      </c>
      <c r="D2498" t="s">
        <v>15</v>
      </c>
      <c r="E2498" t="e">
        <f>VLOOKUP(Cpi_[[#This Row],[Attribute]],#REF!,2,FALSE)</f>
        <v>#REF!</v>
      </c>
      <c r="F2498">
        <v>128.19999999999999</v>
      </c>
      <c r="G2498">
        <f>(Cpi_[[#This Row],[Value]]-F2497)/F2497</f>
        <v>-2.4353120243531329E-2</v>
      </c>
      <c r="H2498" t="e" cm="1" vm="1">
        <f t="array" aca="1" ref="H2498" ca="1">VLOOKUP(Cpi_[[#This Row],[Year]:[Month]],crudeoil[],3,FALSE)</f>
        <v>#VALUE!</v>
      </c>
    </row>
    <row r="2499" spans="1:8" hidden="1" x14ac:dyDescent="0.3">
      <c r="A2499" t="s">
        <v>34</v>
      </c>
      <c r="B2499">
        <v>2015</v>
      </c>
      <c r="C2499" t="s">
        <v>40</v>
      </c>
      <c r="D2499" t="s">
        <v>16</v>
      </c>
      <c r="E2499" t="e">
        <f>VLOOKUP(Cpi_[[#This Row],[Attribute]],#REF!,2,FALSE)</f>
        <v>#REF!</v>
      </c>
      <c r="F2499">
        <v>130.4</v>
      </c>
      <c r="G2499">
        <f>(Cpi_[[#This Row],[Value]]-F2498)/F2498</f>
        <v>1.7160686427457234E-2</v>
      </c>
      <c r="H2499" t="e" cm="1" vm="1">
        <f t="array" aca="1" ref="H2499" ca="1">VLOOKUP(Cpi_[[#This Row],[Year]:[Month]],crudeoil[],3,FALSE)</f>
        <v>#VALUE!</v>
      </c>
    </row>
    <row r="2500" spans="1:8" hidden="1" x14ac:dyDescent="0.3">
      <c r="A2500" t="s">
        <v>34</v>
      </c>
      <c r="B2500">
        <v>2015</v>
      </c>
      <c r="C2500" t="s">
        <v>40</v>
      </c>
      <c r="D2500" t="s">
        <v>17</v>
      </c>
      <c r="E2500" t="e">
        <f>VLOOKUP(Cpi_[[#This Row],[Attribute]],#REF!,2,FALSE)</f>
        <v>#REF!</v>
      </c>
      <c r="F2500">
        <v>126.7</v>
      </c>
      <c r="G2500">
        <f>(Cpi_[[#This Row],[Value]]-F2499)/F2499</f>
        <v>-2.8374233128834376E-2</v>
      </c>
      <c r="H2500" t="e" cm="1" vm="1">
        <f t="array" aca="1" ref="H2500" ca="1">VLOOKUP(Cpi_[[#This Row],[Year]:[Month]],crudeoil[],3,FALSE)</f>
        <v>#VALUE!</v>
      </c>
    </row>
    <row r="2501" spans="1:8" hidden="1" x14ac:dyDescent="0.3">
      <c r="A2501" t="s">
        <v>34</v>
      </c>
      <c r="B2501">
        <v>2015</v>
      </c>
      <c r="C2501" t="s">
        <v>40</v>
      </c>
      <c r="D2501" t="s">
        <v>18</v>
      </c>
      <c r="E2501" t="e">
        <f>VLOOKUP(Cpi_[[#This Row],[Attribute]],#REF!,2,FALSE)</f>
        <v>#REF!</v>
      </c>
      <c r="F2501">
        <v>122.3</v>
      </c>
      <c r="G2501">
        <f>(Cpi_[[#This Row],[Value]]-F2500)/F2500</f>
        <v>-3.4727703235990573E-2</v>
      </c>
      <c r="H2501" t="e" cm="1" vm="1">
        <f t="array" aca="1" ref="H2501" ca="1">VLOOKUP(Cpi_[[#This Row],[Year]:[Month]],crudeoil[],3,FALSE)</f>
        <v>#VALUE!</v>
      </c>
    </row>
    <row r="2502" spans="1:8" hidden="1" x14ac:dyDescent="0.3">
      <c r="A2502" t="s">
        <v>34</v>
      </c>
      <c r="B2502">
        <v>2015</v>
      </c>
      <c r="C2502" t="s">
        <v>40</v>
      </c>
      <c r="D2502" t="s">
        <v>19</v>
      </c>
      <c r="E2502" t="e">
        <f>VLOOKUP(Cpi_[[#This Row],[Attribute]],#REF!,2,FALSE)</f>
        <v>#REF!</v>
      </c>
      <c r="F2502">
        <v>126.1</v>
      </c>
      <c r="G2502">
        <f>(Cpi_[[#This Row],[Value]]-F2501)/F2501</f>
        <v>3.1071136549468498E-2</v>
      </c>
      <c r="H2502" t="e" cm="1" vm="1">
        <f t="array" aca="1" ref="H2502" ca="1">VLOOKUP(Cpi_[[#This Row],[Year]:[Month]],crudeoil[],3,FALSE)</f>
        <v>#VALUE!</v>
      </c>
    </row>
    <row r="2503" spans="1:8" hidden="1" x14ac:dyDescent="0.3">
      <c r="A2503" t="s">
        <v>34</v>
      </c>
      <c r="B2503">
        <v>2015</v>
      </c>
      <c r="C2503" t="s">
        <v>40</v>
      </c>
      <c r="D2503" t="s">
        <v>20</v>
      </c>
      <c r="E2503" t="e">
        <f>VLOOKUP(Cpi_[[#This Row],[Attribute]],#REF!,2,FALSE)</f>
        <v>#REF!</v>
      </c>
      <c r="F2503">
        <v>119.9</v>
      </c>
      <c r="G2503">
        <f>(Cpi_[[#This Row],[Value]]-F2502)/F2502</f>
        <v>-4.916732751784289E-2</v>
      </c>
      <c r="H2503" t="e" cm="1" vm="1">
        <f t="array" aca="1" ref="H2503" ca="1">VLOOKUP(Cpi_[[#This Row],[Year]:[Month]],crudeoil[],3,FALSE)</f>
        <v>#VALUE!</v>
      </c>
    </row>
    <row r="2504" spans="1:8" hidden="1" x14ac:dyDescent="0.3">
      <c r="A2504" t="s">
        <v>34</v>
      </c>
      <c r="B2504">
        <v>2015</v>
      </c>
      <c r="C2504" t="s">
        <v>40</v>
      </c>
      <c r="D2504" t="s">
        <v>21</v>
      </c>
      <c r="E2504" t="e">
        <f>VLOOKUP(Cpi_[[#This Row],[Attribute]],#REF!,2,FALSE)</f>
        <v>#REF!</v>
      </c>
      <c r="F2504">
        <v>120.1</v>
      </c>
      <c r="G2504">
        <f>(Cpi_[[#This Row],[Value]]-F2503)/F2503</f>
        <v>1.6680567139281787E-3</v>
      </c>
      <c r="H2504" t="e" cm="1" vm="1">
        <f t="array" aca="1" ref="H2504" ca="1">VLOOKUP(Cpi_[[#This Row],[Year]:[Month]],crudeoil[],3,FALSE)</f>
        <v>#VALUE!</v>
      </c>
    </row>
    <row r="2505" spans="1:8" hidden="1" x14ac:dyDescent="0.3">
      <c r="A2505" t="s">
        <v>34</v>
      </c>
      <c r="B2505">
        <v>2015</v>
      </c>
      <c r="C2505" t="s">
        <v>40</v>
      </c>
      <c r="D2505" t="s">
        <v>22</v>
      </c>
      <c r="E2505" t="e">
        <f>VLOOKUP(Cpi_[[#This Row],[Attribute]],#REF!,2,FALSE)</f>
        <v>#REF!</v>
      </c>
      <c r="F2505">
        <v>121.3</v>
      </c>
      <c r="G2505">
        <f>(Cpi_[[#This Row],[Value]]-F2504)/F2504</f>
        <v>9.9916736053289167E-3</v>
      </c>
      <c r="H2505" t="e" cm="1" vm="1">
        <f t="array" aca="1" ref="H2505" ca="1">VLOOKUP(Cpi_[[#This Row],[Year]:[Month]],crudeoil[],3,FALSE)</f>
        <v>#VALUE!</v>
      </c>
    </row>
    <row r="2506" spans="1:8" hidden="1" x14ac:dyDescent="0.3">
      <c r="A2506" t="s">
        <v>34</v>
      </c>
      <c r="B2506">
        <v>2015</v>
      </c>
      <c r="C2506" t="s">
        <v>40</v>
      </c>
      <c r="D2506" t="s">
        <v>23</v>
      </c>
      <c r="E2506" t="e">
        <f>VLOOKUP(Cpi_[[#This Row],[Attribute]],#REF!,2,FALSE)</f>
        <v>#REF!</v>
      </c>
      <c r="F2506">
        <v>119</v>
      </c>
      <c r="G2506">
        <f>(Cpi_[[#This Row],[Value]]-F2505)/F2505</f>
        <v>-1.8961253091508635E-2</v>
      </c>
      <c r="H2506" t="e" cm="1" vm="1">
        <f t="array" aca="1" ref="H2506" ca="1">VLOOKUP(Cpi_[[#This Row],[Year]:[Month]],crudeoil[],3,FALSE)</f>
        <v>#VALUE!</v>
      </c>
    </row>
    <row r="2507" spans="1:8" hidden="1" x14ac:dyDescent="0.3">
      <c r="A2507" t="s">
        <v>34</v>
      </c>
      <c r="B2507">
        <v>2015</v>
      </c>
      <c r="C2507" t="s">
        <v>40</v>
      </c>
      <c r="D2507" t="s">
        <v>24</v>
      </c>
      <c r="E2507" t="e">
        <f>VLOOKUP(Cpi_[[#This Row],[Attribute]],#REF!,2,FALSE)</f>
        <v>#REF!</v>
      </c>
      <c r="F2507">
        <v>112.7</v>
      </c>
      <c r="G2507">
        <f>(Cpi_[[#This Row],[Value]]-F2506)/F2506</f>
        <v>-5.2941176470588214E-2</v>
      </c>
      <c r="H2507" t="e" cm="1" vm="1">
        <f t="array" aca="1" ref="H2507" ca="1">VLOOKUP(Cpi_[[#This Row],[Year]:[Month]],crudeoil[],3,FALSE)</f>
        <v>#VALUE!</v>
      </c>
    </row>
    <row r="2508" spans="1:8" hidden="1" x14ac:dyDescent="0.3">
      <c r="A2508" t="s">
        <v>34</v>
      </c>
      <c r="B2508">
        <v>2015</v>
      </c>
      <c r="C2508" t="s">
        <v>40</v>
      </c>
      <c r="D2508" t="s">
        <v>25</v>
      </c>
      <c r="E2508" t="e">
        <f>VLOOKUP(Cpi_[[#This Row],[Attribute]],#REF!,2,FALSE)</f>
        <v>#REF!</v>
      </c>
      <c r="F2508">
        <v>117.2</v>
      </c>
      <c r="G2508">
        <f>(Cpi_[[#This Row],[Value]]-F2507)/F2507</f>
        <v>3.9929015084294583E-2</v>
      </c>
      <c r="H2508" t="e" cm="1" vm="1">
        <f t="array" aca="1" ref="H2508" ca="1">VLOOKUP(Cpi_[[#This Row],[Year]:[Month]],crudeoil[],3,FALSE)</f>
        <v>#VALUE!</v>
      </c>
    </row>
    <row r="2509" spans="1:8" hidden="1" x14ac:dyDescent="0.3">
      <c r="A2509" t="s">
        <v>34</v>
      </c>
      <c r="B2509">
        <v>2015</v>
      </c>
      <c r="C2509" t="s">
        <v>40</v>
      </c>
      <c r="D2509" t="s">
        <v>26</v>
      </c>
      <c r="E2509" t="e">
        <f>VLOOKUP(Cpi_[[#This Row],[Attribute]],#REF!,2,FALSE)</f>
        <v>#REF!</v>
      </c>
      <c r="F2509">
        <v>124.4</v>
      </c>
      <c r="G2509">
        <f>(Cpi_[[#This Row],[Value]]-F2508)/F2508</f>
        <v>6.1433447098976135E-2</v>
      </c>
      <c r="H2509" t="e" cm="1" vm="1">
        <f t="array" aca="1" ref="H2509" ca="1">VLOOKUP(Cpi_[[#This Row],[Year]:[Month]],crudeoil[],3,FALSE)</f>
        <v>#VALUE!</v>
      </c>
    </row>
    <row r="2510" spans="1:8" hidden="1" x14ac:dyDescent="0.3">
      <c r="A2510" t="s">
        <v>34</v>
      </c>
      <c r="B2510">
        <v>2015</v>
      </c>
      <c r="C2510" t="s">
        <v>40</v>
      </c>
      <c r="D2510" t="s">
        <v>27</v>
      </c>
      <c r="E2510" t="e">
        <f>VLOOKUP(Cpi_[[#This Row],[Attribute]],#REF!,2,FALSE)</f>
        <v>#REF!</v>
      </c>
      <c r="F2510">
        <v>112.3</v>
      </c>
      <c r="G2510">
        <f>(Cpi_[[#This Row],[Value]]-F2509)/F2509</f>
        <v>-9.7266881028938976E-2</v>
      </c>
      <c r="H2510" t="e" cm="1" vm="1">
        <f t="array" aca="1" ref="H2510" ca="1">VLOOKUP(Cpi_[[#This Row],[Year]:[Month]],crudeoil[],3,FALSE)</f>
        <v>#VALUE!</v>
      </c>
    </row>
    <row r="2511" spans="1:8" hidden="1" x14ac:dyDescent="0.3">
      <c r="A2511" t="s">
        <v>34</v>
      </c>
      <c r="B2511">
        <v>2015</v>
      </c>
      <c r="C2511" t="s">
        <v>40</v>
      </c>
      <c r="D2511" t="s">
        <v>28</v>
      </c>
      <c r="E2511" t="e">
        <f>VLOOKUP(Cpi_[[#This Row],[Attribute]],#REF!,2,FALSE)</f>
        <v>#REF!</v>
      </c>
      <c r="F2511">
        <v>117.2</v>
      </c>
      <c r="G2511">
        <f>(Cpi_[[#This Row],[Value]]-F2510)/F2510</f>
        <v>4.363312555654502E-2</v>
      </c>
      <c r="H2511" t="e" cm="1" vm="1">
        <f t="array" aca="1" ref="H2511" ca="1">VLOOKUP(Cpi_[[#This Row],[Year]:[Month]],crudeoil[],3,FALSE)</f>
        <v>#VALUE!</v>
      </c>
    </row>
    <row r="2512" spans="1:8" hidden="1" x14ac:dyDescent="0.3">
      <c r="A2512" t="s">
        <v>34</v>
      </c>
      <c r="B2512">
        <v>2015</v>
      </c>
      <c r="C2512" t="s">
        <v>40</v>
      </c>
      <c r="D2512" t="s">
        <v>29</v>
      </c>
      <c r="E2512" t="e" cm="1">
        <f t="array" aca="1" ref="E2512" ca="1">VLGeneral indexGeneral indexKUP(Cpi_[[#This Row],[Attribute]],#REF!,2,FALSE)</f>
        <v>#NAME?</v>
      </c>
      <c r="F2512">
        <v>123.6</v>
      </c>
      <c r="G2512">
        <f>(Cpi_[[#This Row],[Value]]-F2511)/F2511</f>
        <v>5.4607508532423132E-2</v>
      </c>
      <c r="H2512" t="e" cm="1" vm="1">
        <f t="array" aca="1" ref="H2512" ca="1">VLOOKUP(Cpi_[[#This Row],[Year]:[Month]],crudeoil[],3,FALSE)</f>
        <v>#VALUE!</v>
      </c>
    </row>
    <row r="2513" spans="1:8" hidden="1" x14ac:dyDescent="0.3">
      <c r="A2513" t="s">
        <v>30</v>
      </c>
      <c r="B2513">
        <v>2015</v>
      </c>
      <c r="C2513" t="s">
        <v>41</v>
      </c>
      <c r="D2513" t="s">
        <v>3</v>
      </c>
      <c r="E2513" t="e">
        <f>VLOOKUP(Cpi_[[#This Row],[Attribute]],#REF!,2,FALSE)</f>
        <v>#REF!</v>
      </c>
      <c r="F2513">
        <v>124.7</v>
      </c>
      <c r="G2513">
        <f>(Cpi_[[#This Row],[Value]]-F2512)/F2512</f>
        <v>8.8996763754046002E-3</v>
      </c>
      <c r="H2513" t="e" cm="1" vm="1">
        <f t="array" aca="1" ref="H2513" ca="1">VLOOKUP(Cpi_[[#This Row],[Year]:[Month]],crudeoil[],3,FALSE)</f>
        <v>#VALUE!</v>
      </c>
    </row>
    <row r="2514" spans="1:8" hidden="1" x14ac:dyDescent="0.3">
      <c r="A2514" t="s">
        <v>30</v>
      </c>
      <c r="B2514">
        <v>2015</v>
      </c>
      <c r="C2514" t="s">
        <v>41</v>
      </c>
      <c r="D2514" t="s">
        <v>4</v>
      </c>
      <c r="E2514" t="e">
        <f>VLOOKUP(Cpi_[[#This Row],[Attribute]],#REF!,2,FALSE)</f>
        <v>#REF!</v>
      </c>
      <c r="F2514">
        <v>131.30000000000001</v>
      </c>
      <c r="G2514">
        <f>(Cpi_[[#This Row],[Value]]-F2513)/F2513</f>
        <v>5.292702485966326E-2</v>
      </c>
      <c r="H2514" t="e" cm="1" vm="1">
        <f t="array" aca="1" ref="H2514" ca="1">VLOOKUP(Cpi_[[#This Row],[Year]:[Month]],crudeoil[],3,FALSE)</f>
        <v>#VALUE!</v>
      </c>
    </row>
    <row r="2515" spans="1:8" hidden="1" x14ac:dyDescent="0.3">
      <c r="A2515" t="s">
        <v>30</v>
      </c>
      <c r="B2515">
        <v>2015</v>
      </c>
      <c r="C2515" t="s">
        <v>41</v>
      </c>
      <c r="D2515" t="s">
        <v>5</v>
      </c>
      <c r="E2515" t="e">
        <f>VLOOKUP(Cpi_[[#This Row],[Attribute]],#REF!,2,FALSE)</f>
        <v>#REF!</v>
      </c>
      <c r="F2515">
        <v>121.3</v>
      </c>
      <c r="G2515">
        <f>(Cpi_[[#This Row],[Value]]-F2514)/F2514</f>
        <v>-7.6161462300076269E-2</v>
      </c>
      <c r="H2515" t="e" cm="1" vm="1">
        <f t="array" aca="1" ref="H2515" ca="1">VLOOKUP(Cpi_[[#This Row],[Year]:[Month]],crudeoil[],3,FALSE)</f>
        <v>#VALUE!</v>
      </c>
    </row>
    <row r="2516" spans="1:8" hidden="1" x14ac:dyDescent="0.3">
      <c r="A2516" t="s">
        <v>30</v>
      </c>
      <c r="B2516">
        <v>2015</v>
      </c>
      <c r="C2516" t="s">
        <v>41</v>
      </c>
      <c r="D2516" t="s">
        <v>6</v>
      </c>
      <c r="E2516" t="e">
        <f>VLOOKUP(Cpi_[[#This Row],[Attribute]],#REF!,2,FALSE)</f>
        <v>#REF!</v>
      </c>
      <c r="F2516">
        <v>128.80000000000001</v>
      </c>
      <c r="G2516">
        <f>(Cpi_[[#This Row],[Value]]-F2515)/F2515</f>
        <v>6.1830173124484869E-2</v>
      </c>
      <c r="H2516" t="e" cm="1" vm="1">
        <f t="array" aca="1" ref="H2516" ca="1">VLOOKUP(Cpi_[[#This Row],[Year]:[Month]],crudeoil[],3,FALSE)</f>
        <v>#VALUE!</v>
      </c>
    </row>
    <row r="2517" spans="1:8" hidden="1" x14ac:dyDescent="0.3">
      <c r="A2517" t="s">
        <v>30</v>
      </c>
      <c r="B2517">
        <v>2015</v>
      </c>
      <c r="C2517" t="s">
        <v>41</v>
      </c>
      <c r="D2517" t="s">
        <v>7</v>
      </c>
      <c r="E2517" t="e">
        <f>VLOOKUP(Cpi_[[#This Row],[Attribute]],#REF!,2,FALSE)</f>
        <v>#REF!</v>
      </c>
      <c r="F2517">
        <v>114</v>
      </c>
      <c r="G2517">
        <f>(Cpi_[[#This Row],[Value]]-F2516)/F2516</f>
        <v>-0.11490683229813672</v>
      </c>
      <c r="H2517" t="e" cm="1" vm="1">
        <f t="array" aca="1" ref="H2517" ca="1">VLOOKUP(Cpi_[[#This Row],[Year]:[Month]],crudeoil[],3,FALSE)</f>
        <v>#VALUE!</v>
      </c>
    </row>
    <row r="2518" spans="1:8" hidden="1" x14ac:dyDescent="0.3">
      <c r="A2518" t="s">
        <v>30</v>
      </c>
      <c r="B2518">
        <v>2015</v>
      </c>
      <c r="C2518" t="s">
        <v>41</v>
      </c>
      <c r="D2518" t="s">
        <v>8</v>
      </c>
      <c r="E2518" t="e">
        <f>VLOOKUP(Cpi_[[#This Row],[Attribute]],#REF!,2,FALSE)</f>
        <v>#REF!</v>
      </c>
      <c r="F2518">
        <v>134.19999999999999</v>
      </c>
      <c r="G2518">
        <f>(Cpi_[[#This Row],[Value]]-F2517)/F2517</f>
        <v>0.17719298245614026</v>
      </c>
      <c r="H2518" t="e" cm="1" vm="1">
        <f t="array" aca="1" ref="H2518" ca="1">VLOOKUP(Cpi_[[#This Row],[Year]:[Month]],crudeoil[],3,FALSE)</f>
        <v>#VALUE!</v>
      </c>
    </row>
    <row r="2519" spans="1:8" hidden="1" x14ac:dyDescent="0.3">
      <c r="A2519" t="s">
        <v>30</v>
      </c>
      <c r="B2519">
        <v>2015</v>
      </c>
      <c r="C2519" t="s">
        <v>41</v>
      </c>
      <c r="D2519" t="s">
        <v>9</v>
      </c>
      <c r="E2519" t="e">
        <f>VLOOKUP(Cpi_[[#This Row],[Attribute]],#REF!,2,FALSE)</f>
        <v>#REF!</v>
      </c>
      <c r="F2519">
        <v>153.6</v>
      </c>
      <c r="G2519">
        <f>(Cpi_[[#This Row],[Value]]-F2518)/F2518</f>
        <v>0.14456035767511183</v>
      </c>
      <c r="H2519" t="e" cm="1" vm="1">
        <f t="array" aca="1" ref="H2519" ca="1">VLOOKUP(Cpi_[[#This Row],[Year]:[Month]],crudeoil[],3,FALSE)</f>
        <v>#VALUE!</v>
      </c>
    </row>
    <row r="2520" spans="1:8" hidden="1" x14ac:dyDescent="0.3">
      <c r="A2520" t="s">
        <v>30</v>
      </c>
      <c r="B2520">
        <v>2015</v>
      </c>
      <c r="C2520" t="s">
        <v>41</v>
      </c>
      <c r="D2520" t="s">
        <v>10</v>
      </c>
      <c r="E2520" t="e">
        <f>VLOOKUP(Cpi_[[#This Row],[Attribute]],#REF!,2,FALSE)</f>
        <v>#REF!</v>
      </c>
      <c r="F2520">
        <v>137.9</v>
      </c>
      <c r="G2520">
        <f>(Cpi_[[#This Row],[Value]]-F2519)/F2519</f>
        <v>-0.1022135416666666</v>
      </c>
      <c r="H2520" t="e" cm="1" vm="1">
        <f t="array" aca="1" ref="H2520" ca="1">VLOOKUP(Cpi_[[#This Row],[Year]:[Month]],crudeoil[],3,FALSE)</f>
        <v>#VALUE!</v>
      </c>
    </row>
    <row r="2521" spans="1:8" hidden="1" x14ac:dyDescent="0.3">
      <c r="A2521" t="s">
        <v>30</v>
      </c>
      <c r="B2521">
        <v>2015</v>
      </c>
      <c r="C2521" t="s">
        <v>41</v>
      </c>
      <c r="D2521" t="s">
        <v>11</v>
      </c>
      <c r="E2521" t="e">
        <f>VLOOKUP(Cpi_[[#This Row],[Attribute]],#REF!,2,FALSE)</f>
        <v>#REF!</v>
      </c>
      <c r="F2521">
        <v>93.1</v>
      </c>
      <c r="G2521">
        <f>(Cpi_[[#This Row],[Value]]-F2520)/F2520</f>
        <v>-0.32487309644670059</v>
      </c>
      <c r="H2521" t="e" cm="1" vm="1">
        <f t="array" aca="1" ref="H2521" ca="1">VLOOKUP(Cpi_[[#This Row],[Year]:[Month]],crudeoil[],3,FALSE)</f>
        <v>#VALUE!</v>
      </c>
    </row>
    <row r="2522" spans="1:8" hidden="1" x14ac:dyDescent="0.3">
      <c r="A2522" t="s">
        <v>30</v>
      </c>
      <c r="B2522">
        <v>2015</v>
      </c>
      <c r="C2522" t="s">
        <v>41</v>
      </c>
      <c r="D2522" t="s">
        <v>12</v>
      </c>
      <c r="E2522" t="e">
        <f>VLOOKUP(Cpi_[[#This Row],[Attribute]],#REF!,2,FALSE)</f>
        <v>#REF!</v>
      </c>
      <c r="F2522">
        <v>123.9</v>
      </c>
      <c r="G2522">
        <f>(Cpi_[[#This Row],[Value]]-F2521)/F2521</f>
        <v>0.33082706766917308</v>
      </c>
      <c r="H2522" t="e" cm="1" vm="1">
        <f t="array" aca="1" ref="H2522" ca="1">VLOOKUP(Cpi_[[#This Row],[Year]:[Month]],crudeoil[],3,FALSE)</f>
        <v>#VALUE!</v>
      </c>
    </row>
    <row r="2523" spans="1:8" hidden="1" x14ac:dyDescent="0.3">
      <c r="A2523" t="s">
        <v>30</v>
      </c>
      <c r="B2523">
        <v>2015</v>
      </c>
      <c r="C2523" t="s">
        <v>41</v>
      </c>
      <c r="D2523" t="s">
        <v>13</v>
      </c>
      <c r="E2523" t="e">
        <f>VLOOKUP(Cpi_[[#This Row],[Attribute]],#REF!,2,FALSE)</f>
        <v>#REF!</v>
      </c>
      <c r="F2523">
        <v>121.5</v>
      </c>
      <c r="G2523">
        <f>(Cpi_[[#This Row],[Value]]-F2522)/F2522</f>
        <v>-1.9370460048426196E-2</v>
      </c>
      <c r="H2523" t="e" cm="1" vm="1">
        <f t="array" aca="1" ref="H2523" ca="1">VLOOKUP(Cpi_[[#This Row],[Year]:[Month]],crudeoil[],3,FALSE)</f>
        <v>#VALUE!</v>
      </c>
    </row>
    <row r="2524" spans="1:8" hidden="1" x14ac:dyDescent="0.3">
      <c r="A2524" t="s">
        <v>30</v>
      </c>
      <c r="B2524">
        <v>2015</v>
      </c>
      <c r="C2524" t="s">
        <v>41</v>
      </c>
      <c r="D2524" t="s">
        <v>14</v>
      </c>
      <c r="E2524" t="e">
        <f>VLOOKUP(Cpi_[[#This Row],[Attribute]],#REF!,2,FALSE)</f>
        <v>#REF!</v>
      </c>
      <c r="F2524">
        <v>132.5</v>
      </c>
      <c r="G2524">
        <f>(Cpi_[[#This Row],[Value]]-F2523)/F2523</f>
        <v>9.0534979423868317E-2</v>
      </c>
      <c r="H2524" t="e" cm="1" vm="1">
        <f t="array" aca="1" ref="H2524" ca="1">VLOOKUP(Cpi_[[#This Row],[Year]:[Month]],crudeoil[],3,FALSE)</f>
        <v>#VALUE!</v>
      </c>
    </row>
    <row r="2525" spans="1:8" hidden="1" x14ac:dyDescent="0.3">
      <c r="A2525" t="s">
        <v>30</v>
      </c>
      <c r="B2525">
        <v>2015</v>
      </c>
      <c r="C2525" t="s">
        <v>41</v>
      </c>
      <c r="D2525" t="s">
        <v>15</v>
      </c>
      <c r="E2525" t="e">
        <f>VLOOKUP(Cpi_[[#This Row],[Attribute]],#REF!,2,FALSE)</f>
        <v>#REF!</v>
      </c>
      <c r="F2525">
        <v>129.80000000000001</v>
      </c>
      <c r="G2525">
        <f>(Cpi_[[#This Row],[Value]]-F2524)/F2524</f>
        <v>-2.0377358490565951E-2</v>
      </c>
      <c r="H2525" t="e" cm="1" vm="1">
        <f t="array" aca="1" ref="H2525" ca="1">VLOOKUP(Cpi_[[#This Row],[Year]:[Month]],crudeoil[],3,FALSE)</f>
        <v>#VALUE!</v>
      </c>
    </row>
    <row r="2526" spans="1:8" hidden="1" x14ac:dyDescent="0.3">
      <c r="A2526" t="s">
        <v>30</v>
      </c>
      <c r="B2526">
        <v>2015</v>
      </c>
      <c r="C2526" t="s">
        <v>41</v>
      </c>
      <c r="D2526" t="s">
        <v>16</v>
      </c>
      <c r="E2526" t="e">
        <f>VLOOKUP(Cpi_[[#This Row],[Attribute]],#REF!,2,FALSE)</f>
        <v>#REF!</v>
      </c>
      <c r="F2526">
        <v>130.1</v>
      </c>
      <c r="G2526">
        <f>(Cpi_[[#This Row],[Value]]-F2525)/F2525</f>
        <v>2.3112480739598067E-3</v>
      </c>
      <c r="H2526" t="e" cm="1" vm="1">
        <f t="array" aca="1" ref="H2526" ca="1">VLOOKUP(Cpi_[[#This Row],[Year]:[Month]],crudeoil[],3,FALSE)</f>
        <v>#VALUE!</v>
      </c>
    </row>
    <row r="2527" spans="1:8" hidden="1" x14ac:dyDescent="0.3">
      <c r="A2527" t="s">
        <v>30</v>
      </c>
      <c r="B2527">
        <v>2015</v>
      </c>
      <c r="C2527" t="s">
        <v>41</v>
      </c>
      <c r="D2527" t="s">
        <v>17</v>
      </c>
      <c r="E2527" t="e">
        <f>VLOOKUP(Cpi_[[#This Row],[Attribute]],#REF!,2,FALSE)</f>
        <v>#REF!</v>
      </c>
      <c r="F2527">
        <v>129.5</v>
      </c>
      <c r="G2527">
        <f>(Cpi_[[#This Row],[Value]]-F2526)/F2526</f>
        <v>-4.6118370484242452E-3</v>
      </c>
      <c r="H2527" t="e" cm="1" vm="1">
        <f t="array" aca="1" ref="H2527" ca="1">VLOOKUP(Cpi_[[#This Row],[Year]:[Month]],crudeoil[],3,FALSE)</f>
        <v>#VALUE!</v>
      </c>
    </row>
    <row r="2528" spans="1:8" hidden="1" x14ac:dyDescent="0.3">
      <c r="A2528" t="s">
        <v>30</v>
      </c>
      <c r="B2528">
        <v>2015</v>
      </c>
      <c r="C2528" t="s">
        <v>41</v>
      </c>
      <c r="D2528" t="s">
        <v>18</v>
      </c>
      <c r="E2528" t="e">
        <f>VLOOKUP(Cpi_[[#This Row],[Attribute]],#REF!,2,FALSE)</f>
        <v>#REF!</v>
      </c>
      <c r="F2528">
        <v>126.3</v>
      </c>
      <c r="G2528">
        <f>(Cpi_[[#This Row],[Value]]-F2527)/F2527</f>
        <v>-2.4710424710424731E-2</v>
      </c>
      <c r="H2528" t="e" cm="1" vm="1">
        <f t="array" aca="1" ref="H2528" ca="1">VLOOKUP(Cpi_[[#This Row],[Year]:[Month]],crudeoil[],3,FALSE)</f>
        <v>#VALUE!</v>
      </c>
    </row>
    <row r="2529" spans="1:8" hidden="1" x14ac:dyDescent="0.3">
      <c r="A2529" t="s">
        <v>30</v>
      </c>
      <c r="B2529">
        <v>2015</v>
      </c>
      <c r="C2529" t="s">
        <v>41</v>
      </c>
      <c r="D2529" t="s">
        <v>19</v>
      </c>
      <c r="E2529" t="e">
        <f>VLOOKUP(Cpi_[[#This Row],[Attribute]],#REF!,2,FALSE)</f>
        <v>#REF!</v>
      </c>
      <c r="F2529">
        <v>129</v>
      </c>
      <c r="G2529">
        <f>(Cpi_[[#This Row],[Value]]-F2528)/F2528</f>
        <v>2.1377672209026151E-2</v>
      </c>
      <c r="H2529" t="e" cm="1" vm="1">
        <f t="array" aca="1" ref="H2529" ca="1">VLOOKUP(Cpi_[[#This Row],[Year]:[Month]],crudeoil[],3,FALSE)</f>
        <v>#VALUE!</v>
      </c>
    </row>
    <row r="2530" spans="1:8" hidden="1" x14ac:dyDescent="0.3">
      <c r="A2530" t="s">
        <v>30</v>
      </c>
      <c r="B2530">
        <v>2015</v>
      </c>
      <c r="C2530" t="s">
        <v>41</v>
      </c>
      <c r="D2530" t="s">
        <v>20</v>
      </c>
      <c r="E2530" t="e">
        <f>VLOOKUP(Cpi_[[#This Row],[Attribute]],#REF!,2,FALSE)</f>
        <v>#REF!</v>
      </c>
      <c r="F2530" t="s">
        <v>32</v>
      </c>
      <c r="G2530" t="e">
        <f>(Cpi_[[#This Row],[Value]]-F2529)/F2529</f>
        <v>#VALUE!</v>
      </c>
      <c r="H2530" t="e" cm="1" vm="1">
        <f t="array" aca="1" ref="H2530" ca="1">VLOOKUP(Cpi_[[#This Row],[Year]:[Month]],crudeoil[],3,FALSE)</f>
        <v>#VALUE!</v>
      </c>
    </row>
    <row r="2531" spans="1:8" hidden="1" x14ac:dyDescent="0.3">
      <c r="A2531" t="s">
        <v>30</v>
      </c>
      <c r="B2531">
        <v>2015</v>
      </c>
      <c r="C2531" t="s">
        <v>41</v>
      </c>
      <c r="D2531" t="s">
        <v>21</v>
      </c>
      <c r="E2531" t="e">
        <f>VLOOKUP(Cpi_[[#This Row],[Attribute]],#REF!,2,FALSE)</f>
        <v>#REF!</v>
      </c>
      <c r="F2531">
        <v>123.8</v>
      </c>
      <c r="G2531" t="e">
        <f>(Cpi_[[#This Row],[Value]]-F2530)/F2530</f>
        <v>#VALUE!</v>
      </c>
      <c r="H2531" t="e" cm="1" vm="1">
        <f t="array" aca="1" ref="H2531" ca="1">VLOOKUP(Cpi_[[#This Row],[Year]:[Month]],crudeoil[],3,FALSE)</f>
        <v>#VALUE!</v>
      </c>
    </row>
    <row r="2532" spans="1:8" hidden="1" x14ac:dyDescent="0.3">
      <c r="A2532" t="s">
        <v>30</v>
      </c>
      <c r="B2532">
        <v>2015</v>
      </c>
      <c r="C2532" t="s">
        <v>41</v>
      </c>
      <c r="D2532" t="s">
        <v>22</v>
      </c>
      <c r="E2532" t="e">
        <f>VLOOKUP(Cpi_[[#This Row],[Attribute]],#REF!,2,FALSE)</f>
        <v>#REF!</v>
      </c>
      <c r="F2532">
        <v>123.7</v>
      </c>
      <c r="G2532">
        <f>(Cpi_[[#This Row],[Value]]-F2531)/F2531</f>
        <v>-8.0775444264938865E-4</v>
      </c>
      <c r="H2532" t="e" cm="1" vm="1">
        <f t="array" aca="1" ref="H2532" ca="1">VLOOKUP(Cpi_[[#This Row],[Year]:[Month]],crudeoil[],3,FALSE)</f>
        <v>#VALUE!</v>
      </c>
    </row>
    <row r="2533" spans="1:8" hidden="1" x14ac:dyDescent="0.3">
      <c r="A2533" t="s">
        <v>30</v>
      </c>
      <c r="B2533">
        <v>2015</v>
      </c>
      <c r="C2533" t="s">
        <v>41</v>
      </c>
      <c r="D2533" t="s">
        <v>23</v>
      </c>
      <c r="E2533" t="e">
        <f>VLOOKUP(Cpi_[[#This Row],[Attribute]],#REF!,2,FALSE)</f>
        <v>#REF!</v>
      </c>
      <c r="F2533">
        <v>121.1</v>
      </c>
      <c r="G2533">
        <f>(Cpi_[[#This Row],[Value]]-F2532)/F2532</f>
        <v>-2.1018593371059081E-2</v>
      </c>
      <c r="H2533" t="e" cm="1" vm="1">
        <f t="array" aca="1" ref="H2533" ca="1">VLOOKUP(Cpi_[[#This Row],[Year]:[Month]],crudeoil[],3,FALSE)</f>
        <v>#VALUE!</v>
      </c>
    </row>
    <row r="2534" spans="1:8" hidden="1" x14ac:dyDescent="0.3">
      <c r="A2534" t="s">
        <v>30</v>
      </c>
      <c r="B2534">
        <v>2015</v>
      </c>
      <c r="C2534" t="s">
        <v>41</v>
      </c>
      <c r="D2534" t="s">
        <v>24</v>
      </c>
      <c r="E2534" t="e">
        <f>VLOOKUP(Cpi_[[#This Row],[Attribute]],#REF!,2,FALSE)</f>
        <v>#REF!</v>
      </c>
      <c r="F2534">
        <v>113.6</v>
      </c>
      <c r="G2534">
        <f>(Cpi_[[#This Row],[Value]]-F2533)/F2533</f>
        <v>-6.1932287365813382E-2</v>
      </c>
      <c r="H2534" t="e" cm="1" vm="1">
        <f t="array" aca="1" ref="H2534" ca="1">VLOOKUP(Cpi_[[#This Row],[Year]:[Month]],crudeoil[],3,FALSE)</f>
        <v>#VALUE!</v>
      </c>
    </row>
    <row r="2535" spans="1:8" hidden="1" x14ac:dyDescent="0.3">
      <c r="A2535" t="s">
        <v>30</v>
      </c>
      <c r="B2535">
        <v>2015</v>
      </c>
      <c r="C2535" t="s">
        <v>41</v>
      </c>
      <c r="D2535" t="s">
        <v>25</v>
      </c>
      <c r="E2535" t="e">
        <f>VLOOKUP(Cpi_[[#This Row],[Attribute]],#REF!,2,FALSE)</f>
        <v>#REF!</v>
      </c>
      <c r="F2535">
        <v>118.5</v>
      </c>
      <c r="G2535">
        <f>(Cpi_[[#This Row],[Value]]-F2534)/F2534</f>
        <v>4.3133802816901462E-2</v>
      </c>
      <c r="H2535" t="e" cm="1" vm="1">
        <f t="array" aca="1" ref="H2535" ca="1">VLOOKUP(Cpi_[[#This Row],[Year]:[Month]],crudeoil[],3,FALSE)</f>
        <v>#VALUE!</v>
      </c>
    </row>
    <row r="2536" spans="1:8" hidden="1" x14ac:dyDescent="0.3">
      <c r="A2536" t="s">
        <v>30</v>
      </c>
      <c r="B2536">
        <v>2015</v>
      </c>
      <c r="C2536" t="s">
        <v>41</v>
      </c>
      <c r="D2536" t="s">
        <v>26</v>
      </c>
      <c r="E2536" t="e">
        <f>VLOOKUP(Cpi_[[#This Row],[Attribute]],#REF!,2,FALSE)</f>
        <v>#REF!</v>
      </c>
      <c r="F2536">
        <v>123.6</v>
      </c>
      <c r="G2536">
        <f>(Cpi_[[#This Row],[Value]]-F2535)/F2535</f>
        <v>4.3037974683544256E-2</v>
      </c>
      <c r="H2536" t="e" cm="1" vm="1">
        <f t="array" aca="1" ref="H2536" ca="1">VLOOKUP(Cpi_[[#This Row],[Year]:[Month]],crudeoil[],3,FALSE)</f>
        <v>#VALUE!</v>
      </c>
    </row>
    <row r="2537" spans="1:8" hidden="1" x14ac:dyDescent="0.3">
      <c r="A2537" t="s">
        <v>30</v>
      </c>
      <c r="B2537">
        <v>2015</v>
      </c>
      <c r="C2537" t="s">
        <v>41</v>
      </c>
      <c r="D2537" t="s">
        <v>27</v>
      </c>
      <c r="E2537" t="e">
        <f>VLOOKUP(Cpi_[[#This Row],[Attribute]],#REF!,2,FALSE)</f>
        <v>#REF!</v>
      </c>
      <c r="F2537">
        <v>112.5</v>
      </c>
      <c r="G2537">
        <f>(Cpi_[[#This Row],[Value]]-F2536)/F2536</f>
        <v>-8.9805825242718407E-2</v>
      </c>
      <c r="H2537" t="e" cm="1" vm="1">
        <f t="array" aca="1" ref="H2537" ca="1">VLOOKUP(Cpi_[[#This Row],[Year]:[Month]],crudeoil[],3,FALSE)</f>
        <v>#VALUE!</v>
      </c>
    </row>
    <row r="2538" spans="1:8" hidden="1" x14ac:dyDescent="0.3">
      <c r="A2538" t="s">
        <v>30</v>
      </c>
      <c r="B2538">
        <v>2015</v>
      </c>
      <c r="C2538" t="s">
        <v>41</v>
      </c>
      <c r="D2538" t="s">
        <v>28</v>
      </c>
      <c r="E2538" t="e">
        <f>VLOOKUP(Cpi_[[#This Row],[Attribute]],#REF!,2,FALSE)</f>
        <v>#REF!</v>
      </c>
      <c r="F2538">
        <v>118.2</v>
      </c>
      <c r="G2538">
        <f>(Cpi_[[#This Row],[Value]]-F2537)/F2537</f>
        <v>5.0666666666666693E-2</v>
      </c>
      <c r="H2538" t="e" cm="1" vm="1">
        <f t="array" aca="1" ref="H2538" ca="1">VLOOKUP(Cpi_[[#This Row],[Year]:[Month]],crudeoil[],3,FALSE)</f>
        <v>#VALUE!</v>
      </c>
    </row>
    <row r="2539" spans="1:8" hidden="1" x14ac:dyDescent="0.3">
      <c r="A2539" t="s">
        <v>30</v>
      </c>
      <c r="B2539">
        <v>2015</v>
      </c>
      <c r="C2539" t="s">
        <v>41</v>
      </c>
      <c r="D2539" t="s">
        <v>29</v>
      </c>
      <c r="E2539" t="e" cm="1">
        <f t="array" aca="1" ref="E2539" ca="1">VLGeneral indexGeneral indexKUP(Cpi_[[#This Row],[Attribute]],#REF!,2,FALSE)</f>
        <v>#NAME?</v>
      </c>
      <c r="F2539">
        <v>126.1</v>
      </c>
      <c r="G2539">
        <f>(Cpi_[[#This Row],[Value]]-F2538)/F2538</f>
        <v>6.6835871404399255E-2</v>
      </c>
      <c r="H2539" t="e" cm="1" vm="1">
        <f t="array" aca="1" ref="H2539" ca="1">VLOOKUP(Cpi_[[#This Row],[Year]:[Month]],crudeoil[],3,FALSE)</f>
        <v>#VALUE!</v>
      </c>
    </row>
    <row r="2540" spans="1:8" hidden="1" x14ac:dyDescent="0.3">
      <c r="A2540" t="s">
        <v>33</v>
      </c>
      <c r="B2540">
        <v>2015</v>
      </c>
      <c r="C2540" t="s">
        <v>41</v>
      </c>
      <c r="D2540" t="s">
        <v>3</v>
      </c>
      <c r="E2540" t="e">
        <f>VLOOKUP(Cpi_[[#This Row],[Attribute]],#REF!,2,FALSE)</f>
        <v>#REF!</v>
      </c>
      <c r="F2540">
        <v>123.1</v>
      </c>
      <c r="G2540">
        <f>(Cpi_[[#This Row],[Value]]-F2539)/F2539</f>
        <v>-2.379064234734338E-2</v>
      </c>
      <c r="H2540" t="e" cm="1" vm="1">
        <f t="array" aca="1" ref="H2540" ca="1">VLOOKUP(Cpi_[[#This Row],[Year]:[Month]],crudeoil[],3,FALSE)</f>
        <v>#VALUE!</v>
      </c>
    </row>
    <row r="2541" spans="1:8" hidden="1" x14ac:dyDescent="0.3">
      <c r="A2541" t="s">
        <v>33</v>
      </c>
      <c r="B2541">
        <v>2015</v>
      </c>
      <c r="C2541" t="s">
        <v>41</v>
      </c>
      <c r="D2541" t="s">
        <v>4</v>
      </c>
      <c r="E2541" t="e">
        <f>VLOOKUP(Cpi_[[#This Row],[Attribute]],#REF!,2,FALSE)</f>
        <v>#REF!</v>
      </c>
      <c r="F2541">
        <v>131.69999999999999</v>
      </c>
      <c r="G2541">
        <f>(Cpi_[[#This Row],[Value]]-F2540)/F2540</f>
        <v>6.9861900893582407E-2</v>
      </c>
      <c r="H2541" t="e" cm="1" vm="1">
        <f t="array" aca="1" ref="H2541" ca="1">VLOOKUP(Cpi_[[#This Row],[Year]:[Month]],crudeoil[],3,FALSE)</f>
        <v>#VALUE!</v>
      </c>
    </row>
    <row r="2542" spans="1:8" hidden="1" x14ac:dyDescent="0.3">
      <c r="A2542" t="s">
        <v>33</v>
      </c>
      <c r="B2542">
        <v>2015</v>
      </c>
      <c r="C2542" t="s">
        <v>41</v>
      </c>
      <c r="D2542" t="s">
        <v>5</v>
      </c>
      <c r="E2542" t="e">
        <f>VLOOKUP(Cpi_[[#This Row],[Attribute]],#REF!,2,FALSE)</f>
        <v>#REF!</v>
      </c>
      <c r="F2542">
        <v>118.1</v>
      </c>
      <c r="G2542">
        <f>(Cpi_[[#This Row],[Value]]-F2541)/F2541</f>
        <v>-0.10326499620349275</v>
      </c>
      <c r="H2542" t="e" cm="1" vm="1">
        <f t="array" aca="1" ref="H2542" ca="1">VLOOKUP(Cpi_[[#This Row],[Year]:[Month]],crudeoil[],3,FALSE)</f>
        <v>#VALUE!</v>
      </c>
    </row>
    <row r="2543" spans="1:8" hidden="1" x14ac:dyDescent="0.3">
      <c r="A2543" t="s">
        <v>33</v>
      </c>
      <c r="B2543">
        <v>2015</v>
      </c>
      <c r="C2543" t="s">
        <v>41</v>
      </c>
      <c r="D2543" t="s">
        <v>6</v>
      </c>
      <c r="E2543" t="e">
        <f>VLOOKUP(Cpi_[[#This Row],[Attribute]],#REF!,2,FALSE)</f>
        <v>#REF!</v>
      </c>
      <c r="F2543">
        <v>128</v>
      </c>
      <c r="G2543">
        <f>(Cpi_[[#This Row],[Value]]-F2542)/F2542</f>
        <v>8.3827265029635958E-2</v>
      </c>
      <c r="H2543" t="e" cm="1" vm="1">
        <f t="array" aca="1" ref="H2543" ca="1">VLOOKUP(Cpi_[[#This Row],[Year]:[Month]],crudeoil[],3,FALSE)</f>
        <v>#VALUE!</v>
      </c>
    </row>
    <row r="2544" spans="1:8" hidden="1" x14ac:dyDescent="0.3">
      <c r="A2544" t="s">
        <v>33</v>
      </c>
      <c r="B2544">
        <v>2015</v>
      </c>
      <c r="C2544" t="s">
        <v>41</v>
      </c>
      <c r="D2544" t="s">
        <v>7</v>
      </c>
      <c r="E2544" t="e">
        <f>VLOOKUP(Cpi_[[#This Row],[Attribute]],#REF!,2,FALSE)</f>
        <v>#REF!</v>
      </c>
      <c r="F2544">
        <v>106.8</v>
      </c>
      <c r="G2544">
        <f>(Cpi_[[#This Row],[Value]]-F2543)/F2543</f>
        <v>-0.16562500000000002</v>
      </c>
      <c r="H2544" t="e" cm="1" vm="1">
        <f t="array" aca="1" ref="H2544" ca="1">VLOOKUP(Cpi_[[#This Row],[Year]:[Month]],crudeoil[],3,FALSE)</f>
        <v>#VALUE!</v>
      </c>
    </row>
    <row r="2545" spans="1:8" hidden="1" x14ac:dyDescent="0.3">
      <c r="A2545" t="s">
        <v>33</v>
      </c>
      <c r="B2545">
        <v>2015</v>
      </c>
      <c r="C2545" t="s">
        <v>41</v>
      </c>
      <c r="D2545" t="s">
        <v>8</v>
      </c>
      <c r="E2545" t="e">
        <f>VLOOKUP(Cpi_[[#This Row],[Attribute]],#REF!,2,FALSE)</f>
        <v>#REF!</v>
      </c>
      <c r="F2545">
        <v>130.1</v>
      </c>
      <c r="G2545">
        <f>(Cpi_[[#This Row],[Value]]-F2544)/F2544</f>
        <v>0.21816479400749061</v>
      </c>
      <c r="H2545" t="e" cm="1" vm="1">
        <f t="array" aca="1" ref="H2545" ca="1">VLOOKUP(Cpi_[[#This Row],[Year]:[Month]],crudeoil[],3,FALSE)</f>
        <v>#VALUE!</v>
      </c>
    </row>
    <row r="2546" spans="1:8" hidden="1" x14ac:dyDescent="0.3">
      <c r="A2546" t="s">
        <v>33</v>
      </c>
      <c r="B2546">
        <v>2015</v>
      </c>
      <c r="C2546" t="s">
        <v>41</v>
      </c>
      <c r="D2546" t="s">
        <v>9</v>
      </c>
      <c r="E2546" t="e">
        <f>VLOOKUP(Cpi_[[#This Row],[Attribute]],#REF!,2,FALSE)</f>
        <v>#REF!</v>
      </c>
      <c r="F2546">
        <v>165.5</v>
      </c>
      <c r="G2546">
        <f>(Cpi_[[#This Row],[Value]]-F2545)/F2545</f>
        <v>0.27209838585703311</v>
      </c>
      <c r="H2546" t="e" cm="1" vm="1">
        <f t="array" aca="1" ref="H2546" ca="1">VLOOKUP(Cpi_[[#This Row],[Year]:[Month]],crudeoil[],3,FALSE)</f>
        <v>#VALUE!</v>
      </c>
    </row>
    <row r="2547" spans="1:8" hidden="1" x14ac:dyDescent="0.3">
      <c r="A2547" t="s">
        <v>33</v>
      </c>
      <c r="B2547">
        <v>2015</v>
      </c>
      <c r="C2547" t="s">
        <v>41</v>
      </c>
      <c r="D2547" t="s">
        <v>10</v>
      </c>
      <c r="E2547" t="e">
        <f>VLOOKUP(Cpi_[[#This Row],[Attribute]],#REF!,2,FALSE)</f>
        <v>#REF!</v>
      </c>
      <c r="F2547">
        <v>156</v>
      </c>
      <c r="G2547">
        <f>(Cpi_[[#This Row],[Value]]-F2546)/F2546</f>
        <v>-5.7401812688821753E-2</v>
      </c>
      <c r="H2547" t="e" cm="1" vm="1">
        <f t="array" aca="1" ref="H2547" ca="1">VLOOKUP(Cpi_[[#This Row],[Year]:[Month]],crudeoil[],3,FALSE)</f>
        <v>#VALUE!</v>
      </c>
    </row>
    <row r="2548" spans="1:8" hidden="1" x14ac:dyDescent="0.3">
      <c r="A2548" t="s">
        <v>33</v>
      </c>
      <c r="B2548">
        <v>2015</v>
      </c>
      <c r="C2548" t="s">
        <v>41</v>
      </c>
      <c r="D2548" t="s">
        <v>11</v>
      </c>
      <c r="E2548" t="e">
        <f>VLOOKUP(Cpi_[[#This Row],[Attribute]],#REF!,2,FALSE)</f>
        <v>#REF!</v>
      </c>
      <c r="F2548">
        <v>85.3</v>
      </c>
      <c r="G2548">
        <f>(Cpi_[[#This Row],[Value]]-F2547)/F2547</f>
        <v>-0.4532051282051282</v>
      </c>
      <c r="H2548" t="e" cm="1" vm="1">
        <f t="array" aca="1" ref="H2548" ca="1">VLOOKUP(Cpi_[[#This Row],[Year]:[Month]],crudeoil[],3,FALSE)</f>
        <v>#VALUE!</v>
      </c>
    </row>
    <row r="2549" spans="1:8" hidden="1" x14ac:dyDescent="0.3">
      <c r="A2549" t="s">
        <v>33</v>
      </c>
      <c r="B2549">
        <v>2015</v>
      </c>
      <c r="C2549" t="s">
        <v>41</v>
      </c>
      <c r="D2549" t="s">
        <v>12</v>
      </c>
      <c r="E2549" t="e">
        <f>VLOOKUP(Cpi_[[#This Row],[Attribute]],#REF!,2,FALSE)</f>
        <v>#REF!</v>
      </c>
      <c r="F2549">
        <v>132.69999999999999</v>
      </c>
      <c r="G2549">
        <f>(Cpi_[[#This Row],[Value]]-F2548)/F2548</f>
        <v>0.555685814771395</v>
      </c>
      <c r="H2549" t="e" cm="1" vm="1">
        <f t="array" aca="1" ref="H2549" ca="1">VLOOKUP(Cpi_[[#This Row],[Year]:[Month]],crudeoil[],3,FALSE)</f>
        <v>#VALUE!</v>
      </c>
    </row>
    <row r="2550" spans="1:8" hidden="1" x14ac:dyDescent="0.3">
      <c r="A2550" t="s">
        <v>33</v>
      </c>
      <c r="B2550">
        <v>2015</v>
      </c>
      <c r="C2550" t="s">
        <v>41</v>
      </c>
      <c r="D2550" t="s">
        <v>13</v>
      </c>
      <c r="E2550" t="e">
        <f>VLOOKUP(Cpi_[[#This Row],[Attribute]],#REF!,2,FALSE)</f>
        <v>#REF!</v>
      </c>
      <c r="F2550">
        <v>118.8</v>
      </c>
      <c r="G2550">
        <f>(Cpi_[[#This Row],[Value]]-F2549)/F2549</f>
        <v>-0.10474755086661637</v>
      </c>
      <c r="H2550" t="e" cm="1" vm="1">
        <f t="array" aca="1" ref="H2550" ca="1">VLOOKUP(Cpi_[[#This Row],[Year]:[Month]],crudeoil[],3,FALSE)</f>
        <v>#VALUE!</v>
      </c>
    </row>
    <row r="2551" spans="1:8" hidden="1" x14ac:dyDescent="0.3">
      <c r="A2551" t="s">
        <v>33</v>
      </c>
      <c r="B2551">
        <v>2015</v>
      </c>
      <c r="C2551" t="s">
        <v>41</v>
      </c>
      <c r="D2551" t="s">
        <v>14</v>
      </c>
      <c r="E2551" t="e">
        <f>VLOOKUP(Cpi_[[#This Row],[Attribute]],#REF!,2,FALSE)</f>
        <v>#REF!</v>
      </c>
      <c r="F2551">
        <v>131.69999999999999</v>
      </c>
      <c r="G2551">
        <f>(Cpi_[[#This Row],[Value]]-F2550)/F2550</f>
        <v>0.10858585858585852</v>
      </c>
      <c r="H2551" t="e" cm="1" vm="1">
        <f t="array" aca="1" ref="H2551" ca="1">VLOOKUP(Cpi_[[#This Row],[Year]:[Month]],crudeoil[],3,FALSE)</f>
        <v>#VALUE!</v>
      </c>
    </row>
    <row r="2552" spans="1:8" hidden="1" x14ac:dyDescent="0.3">
      <c r="A2552" t="s">
        <v>33</v>
      </c>
      <c r="B2552">
        <v>2015</v>
      </c>
      <c r="C2552" t="s">
        <v>41</v>
      </c>
      <c r="D2552" t="s">
        <v>15</v>
      </c>
      <c r="E2552" t="e">
        <f>VLOOKUP(Cpi_[[#This Row],[Attribute]],#REF!,2,FALSE)</f>
        <v>#REF!</v>
      </c>
      <c r="F2552">
        <v>131.1</v>
      </c>
      <c r="G2552">
        <f>(Cpi_[[#This Row],[Value]]-F2551)/F2551</f>
        <v>-4.5558086560364038E-3</v>
      </c>
      <c r="H2552" t="e" cm="1" vm="1">
        <f t="array" aca="1" ref="H2552" ca="1">VLOOKUP(Cpi_[[#This Row],[Year]:[Month]],crudeoil[],3,FALSE)</f>
        <v>#VALUE!</v>
      </c>
    </row>
    <row r="2553" spans="1:8" hidden="1" x14ac:dyDescent="0.3">
      <c r="A2553" t="s">
        <v>33</v>
      </c>
      <c r="B2553">
        <v>2015</v>
      </c>
      <c r="C2553" t="s">
        <v>41</v>
      </c>
      <c r="D2553" t="s">
        <v>16</v>
      </c>
      <c r="E2553" t="e">
        <f>VLOOKUP(Cpi_[[#This Row],[Attribute]],#REF!,2,FALSE)</f>
        <v>#REF!</v>
      </c>
      <c r="F2553">
        <v>134.19999999999999</v>
      </c>
      <c r="G2553">
        <f>(Cpi_[[#This Row],[Value]]-F2552)/F2552</f>
        <v>2.3646071700991568E-2</v>
      </c>
      <c r="H2553" t="e" cm="1" vm="1">
        <f t="array" aca="1" ref="H2553" ca="1">VLOOKUP(Cpi_[[#This Row],[Year]:[Month]],crudeoil[],3,FALSE)</f>
        <v>#VALUE!</v>
      </c>
    </row>
    <row r="2554" spans="1:8" hidden="1" x14ac:dyDescent="0.3">
      <c r="A2554" t="s">
        <v>33</v>
      </c>
      <c r="B2554">
        <v>2015</v>
      </c>
      <c r="C2554" t="s">
        <v>41</v>
      </c>
      <c r="D2554" t="s">
        <v>17</v>
      </c>
      <c r="E2554" t="e">
        <f>VLOOKUP(Cpi_[[#This Row],[Attribute]],#REF!,2,FALSE)</f>
        <v>#REF!</v>
      </c>
      <c r="F2554">
        <v>123.7</v>
      </c>
      <c r="G2554">
        <f>(Cpi_[[#This Row],[Value]]-F2553)/F2553</f>
        <v>-7.8241430700446993E-2</v>
      </c>
      <c r="H2554" t="e" cm="1" vm="1">
        <f t="array" aca="1" ref="H2554" ca="1">VLOOKUP(Cpi_[[#This Row],[Year]:[Month]],crudeoil[],3,FALSE)</f>
        <v>#VALUE!</v>
      </c>
    </row>
    <row r="2555" spans="1:8" hidden="1" x14ac:dyDescent="0.3">
      <c r="A2555" t="s">
        <v>33</v>
      </c>
      <c r="B2555">
        <v>2015</v>
      </c>
      <c r="C2555" t="s">
        <v>41</v>
      </c>
      <c r="D2555" t="s">
        <v>18</v>
      </c>
      <c r="E2555" t="e">
        <f>VLOOKUP(Cpi_[[#This Row],[Attribute]],#REF!,2,FALSE)</f>
        <v>#REF!</v>
      </c>
      <c r="F2555">
        <v>118.2</v>
      </c>
      <c r="G2555">
        <f>(Cpi_[[#This Row],[Value]]-F2554)/F2554</f>
        <v>-4.44624090541633E-2</v>
      </c>
      <c r="H2555" t="e" cm="1" vm="1">
        <f t="array" aca="1" ref="H2555" ca="1">VLOOKUP(Cpi_[[#This Row],[Year]:[Month]],crudeoil[],3,FALSE)</f>
        <v>#VALUE!</v>
      </c>
    </row>
    <row r="2556" spans="1:8" hidden="1" x14ac:dyDescent="0.3">
      <c r="A2556" t="s">
        <v>33</v>
      </c>
      <c r="B2556">
        <v>2015</v>
      </c>
      <c r="C2556" t="s">
        <v>41</v>
      </c>
      <c r="D2556" t="s">
        <v>19</v>
      </c>
      <c r="E2556" t="e">
        <f>VLOOKUP(Cpi_[[#This Row],[Attribute]],#REF!,2,FALSE)</f>
        <v>#REF!</v>
      </c>
      <c r="F2556">
        <v>122.9</v>
      </c>
      <c r="G2556">
        <f>(Cpi_[[#This Row],[Value]]-F2555)/F2555</f>
        <v>3.9763113367174301E-2</v>
      </c>
      <c r="H2556" t="e" cm="1" vm="1">
        <f t="array" aca="1" ref="H2556" ca="1">VLOOKUP(Cpi_[[#This Row],[Year]:[Month]],crudeoil[],3,FALSE)</f>
        <v>#VALUE!</v>
      </c>
    </row>
    <row r="2557" spans="1:8" hidden="1" x14ac:dyDescent="0.3">
      <c r="A2557" t="s">
        <v>33</v>
      </c>
      <c r="B2557">
        <v>2015</v>
      </c>
      <c r="C2557" t="s">
        <v>41</v>
      </c>
      <c r="D2557" t="s">
        <v>20</v>
      </c>
      <c r="E2557" t="e">
        <f>VLOOKUP(Cpi_[[#This Row],[Attribute]],#REF!,2,FALSE)</f>
        <v>#REF!</v>
      </c>
      <c r="F2557">
        <v>120.9</v>
      </c>
      <c r="G2557">
        <f>(Cpi_[[#This Row],[Value]]-F2556)/F2556</f>
        <v>-1.627339300244101E-2</v>
      </c>
      <c r="H2557" t="e" cm="1" vm="1">
        <f t="array" aca="1" ref="H2557" ca="1">VLOOKUP(Cpi_[[#This Row],[Year]:[Month]],crudeoil[],3,FALSE)</f>
        <v>#VALUE!</v>
      </c>
    </row>
    <row r="2558" spans="1:8" hidden="1" x14ac:dyDescent="0.3">
      <c r="A2558" t="s">
        <v>33</v>
      </c>
      <c r="B2558">
        <v>2015</v>
      </c>
      <c r="C2558" t="s">
        <v>41</v>
      </c>
      <c r="D2558" t="s">
        <v>21</v>
      </c>
      <c r="E2558" t="e">
        <f>VLOOKUP(Cpi_[[#This Row],[Attribute]],#REF!,2,FALSE)</f>
        <v>#REF!</v>
      </c>
      <c r="F2558">
        <v>115.3</v>
      </c>
      <c r="G2558">
        <f>(Cpi_[[#This Row],[Value]]-F2557)/F2557</f>
        <v>-4.6319272125723808E-2</v>
      </c>
      <c r="H2558" t="e" cm="1" vm="1">
        <f t="array" aca="1" ref="H2558" ca="1">VLOOKUP(Cpi_[[#This Row],[Year]:[Month]],crudeoil[],3,FALSE)</f>
        <v>#VALUE!</v>
      </c>
    </row>
    <row r="2559" spans="1:8" hidden="1" x14ac:dyDescent="0.3">
      <c r="A2559" t="s">
        <v>33</v>
      </c>
      <c r="B2559">
        <v>2015</v>
      </c>
      <c r="C2559" t="s">
        <v>41</v>
      </c>
      <c r="D2559" t="s">
        <v>22</v>
      </c>
      <c r="E2559" t="e">
        <f>VLOOKUP(Cpi_[[#This Row],[Attribute]],#REF!,2,FALSE)</f>
        <v>#REF!</v>
      </c>
      <c r="F2559">
        <v>120</v>
      </c>
      <c r="G2559">
        <f>(Cpi_[[#This Row],[Value]]-F2558)/F2558</f>
        <v>4.0763226366001763E-2</v>
      </c>
      <c r="H2559" t="e" cm="1" vm="1">
        <f t="array" aca="1" ref="H2559" ca="1">VLOOKUP(Cpi_[[#This Row],[Year]:[Month]],crudeoil[],3,FALSE)</f>
        <v>#VALUE!</v>
      </c>
    </row>
    <row r="2560" spans="1:8" hidden="1" x14ac:dyDescent="0.3">
      <c r="A2560" t="s">
        <v>33</v>
      </c>
      <c r="B2560">
        <v>2015</v>
      </c>
      <c r="C2560" t="s">
        <v>41</v>
      </c>
      <c r="D2560" t="s">
        <v>23</v>
      </c>
      <c r="E2560" t="e">
        <f>VLOOKUP(Cpi_[[#This Row],[Attribute]],#REF!,2,FALSE)</f>
        <v>#REF!</v>
      </c>
      <c r="F2560">
        <v>116.6</v>
      </c>
      <c r="G2560">
        <f>(Cpi_[[#This Row],[Value]]-F2559)/F2559</f>
        <v>-2.833333333333338E-2</v>
      </c>
      <c r="H2560" t="e" cm="1" vm="1">
        <f t="array" aca="1" ref="H2560" ca="1">VLOOKUP(Cpi_[[#This Row],[Year]:[Month]],crudeoil[],3,FALSE)</f>
        <v>#VALUE!</v>
      </c>
    </row>
    <row r="2561" spans="1:8" hidden="1" x14ac:dyDescent="0.3">
      <c r="A2561" t="s">
        <v>33</v>
      </c>
      <c r="B2561">
        <v>2015</v>
      </c>
      <c r="C2561" t="s">
        <v>41</v>
      </c>
      <c r="D2561" t="s">
        <v>24</v>
      </c>
      <c r="E2561" t="e">
        <f>VLOOKUP(Cpi_[[#This Row],[Attribute]],#REF!,2,FALSE)</f>
        <v>#REF!</v>
      </c>
      <c r="F2561">
        <v>109.9</v>
      </c>
      <c r="G2561">
        <f>(Cpi_[[#This Row],[Value]]-F2560)/F2560</f>
        <v>-5.7461406518010197E-2</v>
      </c>
      <c r="H2561" t="e" cm="1" vm="1">
        <f t="array" aca="1" ref="H2561" ca="1">VLOOKUP(Cpi_[[#This Row],[Year]:[Month]],crudeoil[],3,FALSE)</f>
        <v>#VALUE!</v>
      </c>
    </row>
    <row r="2562" spans="1:8" hidden="1" x14ac:dyDescent="0.3">
      <c r="A2562" t="s">
        <v>33</v>
      </c>
      <c r="B2562">
        <v>2015</v>
      </c>
      <c r="C2562" t="s">
        <v>41</v>
      </c>
      <c r="D2562" t="s">
        <v>25</v>
      </c>
      <c r="E2562" t="e">
        <f>VLOOKUP(Cpi_[[#This Row],[Attribute]],#REF!,2,FALSE)</f>
        <v>#REF!</v>
      </c>
      <c r="F2562">
        <v>117.2</v>
      </c>
      <c r="G2562">
        <f>(Cpi_[[#This Row],[Value]]-F2561)/F2561</f>
        <v>6.6424021838034544E-2</v>
      </c>
      <c r="H2562" t="e" cm="1" vm="1">
        <f t="array" aca="1" ref="H2562" ca="1">VLOOKUP(Cpi_[[#This Row],[Year]:[Month]],crudeoil[],3,FALSE)</f>
        <v>#VALUE!</v>
      </c>
    </row>
    <row r="2563" spans="1:8" hidden="1" x14ac:dyDescent="0.3">
      <c r="A2563" t="s">
        <v>33</v>
      </c>
      <c r="B2563">
        <v>2015</v>
      </c>
      <c r="C2563" t="s">
        <v>41</v>
      </c>
      <c r="D2563" t="s">
        <v>26</v>
      </c>
      <c r="E2563" t="e">
        <f>VLOOKUP(Cpi_[[#This Row],[Attribute]],#REF!,2,FALSE)</f>
        <v>#REF!</v>
      </c>
      <c r="F2563">
        <v>126.2</v>
      </c>
      <c r="G2563">
        <f>(Cpi_[[#This Row],[Value]]-F2562)/F2562</f>
        <v>7.6791808873720141E-2</v>
      </c>
      <c r="H2563" t="e" cm="1" vm="1">
        <f t="array" aca="1" ref="H2563" ca="1">VLOOKUP(Cpi_[[#This Row],[Year]:[Month]],crudeoil[],3,FALSE)</f>
        <v>#VALUE!</v>
      </c>
    </row>
    <row r="2564" spans="1:8" hidden="1" x14ac:dyDescent="0.3">
      <c r="A2564" t="s">
        <v>33</v>
      </c>
      <c r="B2564">
        <v>2015</v>
      </c>
      <c r="C2564" t="s">
        <v>41</v>
      </c>
      <c r="D2564" t="s">
        <v>27</v>
      </c>
      <c r="E2564" t="e">
        <f>VLOOKUP(Cpi_[[#This Row],[Attribute]],#REF!,2,FALSE)</f>
        <v>#REF!</v>
      </c>
      <c r="F2564">
        <v>112</v>
      </c>
      <c r="G2564">
        <f>(Cpi_[[#This Row],[Value]]-F2563)/F2563</f>
        <v>-0.11251980982567356</v>
      </c>
      <c r="H2564" t="e" cm="1" vm="1">
        <f t="array" aca="1" ref="H2564" ca="1">VLOOKUP(Cpi_[[#This Row],[Year]:[Month]],crudeoil[],3,FALSE)</f>
        <v>#VALUE!</v>
      </c>
    </row>
    <row r="2565" spans="1:8" hidden="1" x14ac:dyDescent="0.3">
      <c r="A2565" t="s">
        <v>33</v>
      </c>
      <c r="B2565">
        <v>2015</v>
      </c>
      <c r="C2565" t="s">
        <v>41</v>
      </c>
      <c r="D2565" t="s">
        <v>28</v>
      </c>
      <c r="E2565" t="e">
        <f>VLOOKUP(Cpi_[[#This Row],[Attribute]],#REF!,2,FALSE)</f>
        <v>#REF!</v>
      </c>
      <c r="F2565">
        <v>116.2</v>
      </c>
      <c r="G2565">
        <f>(Cpi_[[#This Row],[Value]]-F2564)/F2564</f>
        <v>3.7500000000000026E-2</v>
      </c>
      <c r="H2565" t="e" cm="1" vm="1">
        <f t="array" aca="1" ref="H2565" ca="1">VLOOKUP(Cpi_[[#This Row],[Year]:[Month]],crudeoil[],3,FALSE)</f>
        <v>#VALUE!</v>
      </c>
    </row>
    <row r="2566" spans="1:8" hidden="1" x14ac:dyDescent="0.3">
      <c r="A2566" t="s">
        <v>33</v>
      </c>
      <c r="B2566">
        <v>2015</v>
      </c>
      <c r="C2566" t="s">
        <v>41</v>
      </c>
      <c r="D2566" t="s">
        <v>29</v>
      </c>
      <c r="E2566" t="e" cm="1">
        <f t="array" aca="1" ref="E2566" ca="1">VLGeneral indexGeneral indexKUP(Cpi_[[#This Row],[Attribute]],#REF!,2,FALSE)</f>
        <v>#NAME?</v>
      </c>
      <c r="F2566">
        <v>123.2</v>
      </c>
      <c r="G2566">
        <f>(Cpi_[[#This Row],[Value]]-F2565)/F2565</f>
        <v>6.0240963855421686E-2</v>
      </c>
      <c r="H2566" t="e" cm="1" vm="1">
        <f t="array" aca="1" ref="H2566" ca="1">VLOOKUP(Cpi_[[#This Row],[Year]:[Month]],crudeoil[],3,FALSE)</f>
        <v>#VALUE!</v>
      </c>
    </row>
    <row r="2567" spans="1:8" hidden="1" x14ac:dyDescent="0.3">
      <c r="A2567" t="s">
        <v>34</v>
      </c>
      <c r="B2567">
        <v>2015</v>
      </c>
      <c r="C2567" t="s">
        <v>41</v>
      </c>
      <c r="D2567" t="s">
        <v>3</v>
      </c>
      <c r="E2567" t="e">
        <f>VLOOKUP(Cpi_[[#This Row],[Attribute]],#REF!,2,FALSE)</f>
        <v>#REF!</v>
      </c>
      <c r="F2567">
        <v>124.2</v>
      </c>
      <c r="G2567">
        <f>(Cpi_[[#This Row],[Value]]-F2566)/F2566</f>
        <v>8.1168831168831161E-3</v>
      </c>
      <c r="H2567" t="e" cm="1" vm="1">
        <f t="array" aca="1" ref="H2567" ca="1">VLOOKUP(Cpi_[[#This Row],[Year]:[Month]],crudeoil[],3,FALSE)</f>
        <v>#VALUE!</v>
      </c>
    </row>
    <row r="2568" spans="1:8" hidden="1" x14ac:dyDescent="0.3">
      <c r="A2568" t="s">
        <v>34</v>
      </c>
      <c r="B2568">
        <v>2015</v>
      </c>
      <c r="C2568" t="s">
        <v>41</v>
      </c>
      <c r="D2568" t="s">
        <v>4</v>
      </c>
      <c r="E2568" t="e">
        <f>VLOOKUP(Cpi_[[#This Row],[Attribute]],#REF!,2,FALSE)</f>
        <v>#REF!</v>
      </c>
      <c r="F2568">
        <v>131.4</v>
      </c>
      <c r="G2568">
        <f>(Cpi_[[#This Row],[Value]]-F2567)/F2567</f>
        <v>5.7971014492753645E-2</v>
      </c>
      <c r="H2568" t="e" cm="1" vm="1">
        <f t="array" aca="1" ref="H2568" ca="1">VLOOKUP(Cpi_[[#This Row],[Year]:[Month]],crudeoil[],3,FALSE)</f>
        <v>#VALUE!</v>
      </c>
    </row>
    <row r="2569" spans="1:8" hidden="1" x14ac:dyDescent="0.3">
      <c r="A2569" t="s">
        <v>34</v>
      </c>
      <c r="B2569">
        <v>2015</v>
      </c>
      <c r="C2569" t="s">
        <v>41</v>
      </c>
      <c r="D2569" t="s">
        <v>5</v>
      </c>
      <c r="E2569" t="e">
        <f>VLOOKUP(Cpi_[[#This Row],[Attribute]],#REF!,2,FALSE)</f>
        <v>#REF!</v>
      </c>
      <c r="F2569">
        <v>120.1</v>
      </c>
      <c r="G2569">
        <f>(Cpi_[[#This Row],[Value]]-F2568)/F2568</f>
        <v>-8.5996955859969637E-2</v>
      </c>
      <c r="H2569" t="e" cm="1" vm="1">
        <f t="array" aca="1" ref="H2569" ca="1">VLOOKUP(Cpi_[[#This Row],[Year]:[Month]],crudeoil[],3,FALSE)</f>
        <v>#VALUE!</v>
      </c>
    </row>
    <row r="2570" spans="1:8" hidden="1" x14ac:dyDescent="0.3">
      <c r="A2570" t="s">
        <v>34</v>
      </c>
      <c r="B2570">
        <v>2015</v>
      </c>
      <c r="C2570" t="s">
        <v>41</v>
      </c>
      <c r="D2570" t="s">
        <v>6</v>
      </c>
      <c r="E2570" t="e">
        <f>VLOOKUP(Cpi_[[#This Row],[Attribute]],#REF!,2,FALSE)</f>
        <v>#REF!</v>
      </c>
      <c r="F2570">
        <v>128.5</v>
      </c>
      <c r="G2570">
        <f>(Cpi_[[#This Row],[Value]]-F2569)/F2569</f>
        <v>6.9941715237302304E-2</v>
      </c>
      <c r="H2570" t="e" cm="1" vm="1">
        <f t="array" aca="1" ref="H2570" ca="1">VLOOKUP(Cpi_[[#This Row],[Year]:[Month]],crudeoil[],3,FALSE)</f>
        <v>#VALUE!</v>
      </c>
    </row>
    <row r="2571" spans="1:8" hidden="1" x14ac:dyDescent="0.3">
      <c r="A2571" t="s">
        <v>34</v>
      </c>
      <c r="B2571">
        <v>2015</v>
      </c>
      <c r="C2571" t="s">
        <v>41</v>
      </c>
      <c r="D2571" t="s">
        <v>7</v>
      </c>
      <c r="E2571" t="e">
        <f>VLOOKUP(Cpi_[[#This Row],[Attribute]],#REF!,2,FALSE)</f>
        <v>#REF!</v>
      </c>
      <c r="F2571">
        <v>111.4</v>
      </c>
      <c r="G2571">
        <f>(Cpi_[[#This Row],[Value]]-F2570)/F2570</f>
        <v>-0.13307392996108944</v>
      </c>
      <c r="H2571" t="e" cm="1" vm="1">
        <f t="array" aca="1" ref="H2571" ca="1">VLOOKUP(Cpi_[[#This Row],[Year]:[Month]],crudeoil[],3,FALSE)</f>
        <v>#VALUE!</v>
      </c>
    </row>
    <row r="2572" spans="1:8" hidden="1" x14ac:dyDescent="0.3">
      <c r="A2572" t="s">
        <v>34</v>
      </c>
      <c r="B2572">
        <v>2015</v>
      </c>
      <c r="C2572" t="s">
        <v>41</v>
      </c>
      <c r="D2572" t="s">
        <v>8</v>
      </c>
      <c r="E2572" t="e">
        <f>VLOOKUP(Cpi_[[#This Row],[Attribute]],#REF!,2,FALSE)</f>
        <v>#REF!</v>
      </c>
      <c r="F2572">
        <v>132.30000000000001</v>
      </c>
      <c r="G2572">
        <f>(Cpi_[[#This Row],[Value]]-F2571)/F2571</f>
        <v>0.18761220825852787</v>
      </c>
      <c r="H2572" t="e" cm="1" vm="1">
        <f t="array" aca="1" ref="H2572" ca="1">VLOOKUP(Cpi_[[#This Row],[Year]:[Month]],crudeoil[],3,FALSE)</f>
        <v>#VALUE!</v>
      </c>
    </row>
    <row r="2573" spans="1:8" hidden="1" x14ac:dyDescent="0.3">
      <c r="A2573" t="s">
        <v>34</v>
      </c>
      <c r="B2573">
        <v>2015</v>
      </c>
      <c r="C2573" t="s">
        <v>41</v>
      </c>
      <c r="D2573" t="s">
        <v>9</v>
      </c>
      <c r="E2573" t="e">
        <f>VLOOKUP(Cpi_[[#This Row],[Attribute]],#REF!,2,FALSE)</f>
        <v>#REF!</v>
      </c>
      <c r="F2573">
        <v>157.6</v>
      </c>
      <c r="G2573">
        <f>(Cpi_[[#This Row],[Value]]-F2572)/F2572</f>
        <v>0.19123204837490537</v>
      </c>
      <c r="H2573" t="e" cm="1" vm="1">
        <f t="array" aca="1" ref="H2573" ca="1">VLOOKUP(Cpi_[[#This Row],[Year]:[Month]],crudeoil[],3,FALSE)</f>
        <v>#VALUE!</v>
      </c>
    </row>
    <row r="2574" spans="1:8" hidden="1" x14ac:dyDescent="0.3">
      <c r="A2574" t="s">
        <v>34</v>
      </c>
      <c r="B2574">
        <v>2015</v>
      </c>
      <c r="C2574" t="s">
        <v>41</v>
      </c>
      <c r="D2574" t="s">
        <v>10</v>
      </c>
      <c r="E2574" t="e">
        <f>VLOOKUP(Cpi_[[#This Row],[Attribute]],#REF!,2,FALSE)</f>
        <v>#REF!</v>
      </c>
      <c r="F2574">
        <v>144</v>
      </c>
      <c r="G2574">
        <f>(Cpi_[[#This Row],[Value]]-F2573)/F2573</f>
        <v>-8.629441624365479E-2</v>
      </c>
      <c r="H2574" t="e" cm="1" vm="1">
        <f t="array" aca="1" ref="H2574" ca="1">VLOOKUP(Cpi_[[#This Row],[Year]:[Month]],crudeoil[],3,FALSE)</f>
        <v>#VALUE!</v>
      </c>
    </row>
    <row r="2575" spans="1:8" hidden="1" x14ac:dyDescent="0.3">
      <c r="A2575" t="s">
        <v>34</v>
      </c>
      <c r="B2575">
        <v>2015</v>
      </c>
      <c r="C2575" t="s">
        <v>41</v>
      </c>
      <c r="D2575" t="s">
        <v>11</v>
      </c>
      <c r="E2575" t="e">
        <f>VLOOKUP(Cpi_[[#This Row],[Attribute]],#REF!,2,FALSE)</f>
        <v>#REF!</v>
      </c>
      <c r="F2575">
        <v>90.5</v>
      </c>
      <c r="G2575">
        <f>(Cpi_[[#This Row],[Value]]-F2574)/F2574</f>
        <v>-0.37152777777777779</v>
      </c>
      <c r="H2575" t="e" cm="1" vm="1">
        <f t="array" aca="1" ref="H2575" ca="1">VLOOKUP(Cpi_[[#This Row],[Year]:[Month]],crudeoil[],3,FALSE)</f>
        <v>#VALUE!</v>
      </c>
    </row>
    <row r="2576" spans="1:8" hidden="1" x14ac:dyDescent="0.3">
      <c r="A2576" t="s">
        <v>34</v>
      </c>
      <c r="B2576">
        <v>2015</v>
      </c>
      <c r="C2576" t="s">
        <v>41</v>
      </c>
      <c r="D2576" t="s">
        <v>12</v>
      </c>
      <c r="E2576" t="e">
        <f>VLOOKUP(Cpi_[[#This Row],[Attribute]],#REF!,2,FALSE)</f>
        <v>#REF!</v>
      </c>
      <c r="F2576">
        <v>126.8</v>
      </c>
      <c r="G2576">
        <f>(Cpi_[[#This Row],[Value]]-F2575)/F2575</f>
        <v>0.40110497237569059</v>
      </c>
      <c r="H2576" t="e" cm="1" vm="1">
        <f t="array" aca="1" ref="H2576" ca="1">VLOOKUP(Cpi_[[#This Row],[Year]:[Month]],crudeoil[],3,FALSE)</f>
        <v>#VALUE!</v>
      </c>
    </row>
    <row r="2577" spans="1:8" hidden="1" x14ac:dyDescent="0.3">
      <c r="A2577" t="s">
        <v>34</v>
      </c>
      <c r="B2577">
        <v>2015</v>
      </c>
      <c r="C2577" t="s">
        <v>41</v>
      </c>
      <c r="D2577" t="s">
        <v>13</v>
      </c>
      <c r="E2577" t="e">
        <f>VLOOKUP(Cpi_[[#This Row],[Attribute]],#REF!,2,FALSE)</f>
        <v>#REF!</v>
      </c>
      <c r="F2577">
        <v>120.4</v>
      </c>
      <c r="G2577">
        <f>(Cpi_[[#This Row],[Value]]-F2576)/F2576</f>
        <v>-5.0473186119873753E-2</v>
      </c>
      <c r="H2577" t="e" cm="1" vm="1">
        <f t="array" aca="1" ref="H2577" ca="1">VLOOKUP(Cpi_[[#This Row],[Year]:[Month]],crudeoil[],3,FALSE)</f>
        <v>#VALUE!</v>
      </c>
    </row>
    <row r="2578" spans="1:8" hidden="1" x14ac:dyDescent="0.3">
      <c r="A2578" t="s">
        <v>34</v>
      </c>
      <c r="B2578">
        <v>2015</v>
      </c>
      <c r="C2578" t="s">
        <v>41</v>
      </c>
      <c r="D2578" t="s">
        <v>14</v>
      </c>
      <c r="E2578" t="e">
        <f>VLOOKUP(Cpi_[[#This Row],[Attribute]],#REF!,2,FALSE)</f>
        <v>#REF!</v>
      </c>
      <c r="F2578">
        <v>132.1</v>
      </c>
      <c r="G2578">
        <f>(Cpi_[[#This Row],[Value]]-F2577)/F2577</f>
        <v>9.717607973421917E-2</v>
      </c>
      <c r="H2578" t="e" cm="1" vm="1">
        <f t="array" aca="1" ref="H2578" ca="1">VLOOKUP(Cpi_[[#This Row],[Year]:[Month]],crudeoil[],3,FALSE)</f>
        <v>#VALUE!</v>
      </c>
    </row>
    <row r="2579" spans="1:8" hidden="1" x14ac:dyDescent="0.3">
      <c r="A2579" t="s">
        <v>34</v>
      </c>
      <c r="B2579">
        <v>2015</v>
      </c>
      <c r="C2579" t="s">
        <v>41</v>
      </c>
      <c r="D2579" t="s">
        <v>15</v>
      </c>
      <c r="E2579" t="e">
        <f>VLOOKUP(Cpi_[[#This Row],[Attribute]],#REF!,2,FALSE)</f>
        <v>#REF!</v>
      </c>
      <c r="F2579">
        <v>130.30000000000001</v>
      </c>
      <c r="G2579">
        <f>(Cpi_[[#This Row],[Value]]-F2578)/F2578</f>
        <v>-1.3626040878122506E-2</v>
      </c>
      <c r="H2579" t="e" cm="1" vm="1">
        <f t="array" aca="1" ref="H2579" ca="1">VLOOKUP(Cpi_[[#This Row],[Year]:[Month]],crudeoil[],3,FALSE)</f>
        <v>#VALUE!</v>
      </c>
    </row>
    <row r="2580" spans="1:8" hidden="1" x14ac:dyDescent="0.3">
      <c r="A2580" t="s">
        <v>34</v>
      </c>
      <c r="B2580">
        <v>2015</v>
      </c>
      <c r="C2580" t="s">
        <v>41</v>
      </c>
      <c r="D2580" t="s">
        <v>16</v>
      </c>
      <c r="E2580" t="e">
        <f>VLOOKUP(Cpi_[[#This Row],[Attribute]],#REF!,2,FALSE)</f>
        <v>#REF!</v>
      </c>
      <c r="F2580">
        <v>131.19999999999999</v>
      </c>
      <c r="G2580">
        <f>(Cpi_[[#This Row],[Value]]-F2579)/F2579</f>
        <v>6.907137375287622E-3</v>
      </c>
      <c r="H2580" t="e" cm="1" vm="1">
        <f t="array" aca="1" ref="H2580" ca="1">VLOOKUP(Cpi_[[#This Row],[Year]:[Month]],crudeoil[],3,FALSE)</f>
        <v>#VALUE!</v>
      </c>
    </row>
    <row r="2581" spans="1:8" hidden="1" x14ac:dyDescent="0.3">
      <c r="A2581" t="s">
        <v>34</v>
      </c>
      <c r="B2581">
        <v>2015</v>
      </c>
      <c r="C2581" t="s">
        <v>41</v>
      </c>
      <c r="D2581" t="s">
        <v>17</v>
      </c>
      <c r="E2581" t="e">
        <f>VLOOKUP(Cpi_[[#This Row],[Attribute]],#REF!,2,FALSE)</f>
        <v>#REF!</v>
      </c>
      <c r="F2581">
        <v>127.2</v>
      </c>
      <c r="G2581">
        <f>(Cpi_[[#This Row],[Value]]-F2580)/F2580</f>
        <v>-3.0487804878048676E-2</v>
      </c>
      <c r="H2581" t="e" cm="1" vm="1">
        <f t="array" aca="1" ref="H2581" ca="1">VLOOKUP(Cpi_[[#This Row],[Year]:[Month]],crudeoil[],3,FALSE)</f>
        <v>#VALUE!</v>
      </c>
    </row>
    <row r="2582" spans="1:8" hidden="1" x14ac:dyDescent="0.3">
      <c r="A2582" t="s">
        <v>34</v>
      </c>
      <c r="B2582">
        <v>2015</v>
      </c>
      <c r="C2582" t="s">
        <v>41</v>
      </c>
      <c r="D2582" t="s">
        <v>18</v>
      </c>
      <c r="E2582" t="e">
        <f>VLOOKUP(Cpi_[[#This Row],[Attribute]],#REF!,2,FALSE)</f>
        <v>#REF!</v>
      </c>
      <c r="F2582">
        <v>122.9</v>
      </c>
      <c r="G2582">
        <f>(Cpi_[[#This Row],[Value]]-F2581)/F2581</f>
        <v>-3.3805031446540859E-2</v>
      </c>
      <c r="H2582" t="e" cm="1" vm="1">
        <f t="array" aca="1" ref="H2582" ca="1">VLOOKUP(Cpi_[[#This Row],[Year]:[Month]],crudeoil[],3,FALSE)</f>
        <v>#VALUE!</v>
      </c>
    </row>
    <row r="2583" spans="1:8" hidden="1" x14ac:dyDescent="0.3">
      <c r="A2583" t="s">
        <v>34</v>
      </c>
      <c r="B2583">
        <v>2015</v>
      </c>
      <c r="C2583" t="s">
        <v>41</v>
      </c>
      <c r="D2583" t="s">
        <v>19</v>
      </c>
      <c r="E2583" t="e">
        <f>VLOOKUP(Cpi_[[#This Row],[Attribute]],#REF!,2,FALSE)</f>
        <v>#REF!</v>
      </c>
      <c r="F2583">
        <v>126.6</v>
      </c>
      <c r="G2583">
        <f>(Cpi_[[#This Row],[Value]]-F2582)/F2582</f>
        <v>3.0105777054515774E-2</v>
      </c>
      <c r="H2583" t="e" cm="1" vm="1">
        <f t="array" aca="1" ref="H2583" ca="1">VLOOKUP(Cpi_[[#This Row],[Year]:[Month]],crudeoil[],3,FALSE)</f>
        <v>#VALUE!</v>
      </c>
    </row>
    <row r="2584" spans="1:8" hidden="1" x14ac:dyDescent="0.3">
      <c r="A2584" t="s">
        <v>34</v>
      </c>
      <c r="B2584">
        <v>2015</v>
      </c>
      <c r="C2584" t="s">
        <v>41</v>
      </c>
      <c r="D2584" t="s">
        <v>20</v>
      </c>
      <c r="E2584" t="e">
        <f>VLOOKUP(Cpi_[[#This Row],[Attribute]],#REF!,2,FALSE)</f>
        <v>#REF!</v>
      </c>
      <c r="F2584">
        <v>120.9</v>
      </c>
      <c r="G2584">
        <f>(Cpi_[[#This Row],[Value]]-F2583)/F2583</f>
        <v>-4.5023696682464365E-2</v>
      </c>
      <c r="H2584" t="e" cm="1" vm="1">
        <f t="array" aca="1" ref="H2584" ca="1">VLOOKUP(Cpi_[[#This Row],[Year]:[Month]],crudeoil[],3,FALSE)</f>
        <v>#VALUE!</v>
      </c>
    </row>
    <row r="2585" spans="1:8" hidden="1" x14ac:dyDescent="0.3">
      <c r="A2585" t="s">
        <v>34</v>
      </c>
      <c r="B2585">
        <v>2015</v>
      </c>
      <c r="C2585" t="s">
        <v>41</v>
      </c>
      <c r="D2585" t="s">
        <v>21</v>
      </c>
      <c r="E2585" t="e">
        <f>VLOOKUP(Cpi_[[#This Row],[Attribute]],#REF!,2,FALSE)</f>
        <v>#REF!</v>
      </c>
      <c r="F2585">
        <v>120.6</v>
      </c>
      <c r="G2585">
        <f>(Cpi_[[#This Row],[Value]]-F2584)/F2584</f>
        <v>-2.4813895781638658E-3</v>
      </c>
      <c r="H2585" t="e" cm="1" vm="1">
        <f t="array" aca="1" ref="H2585" ca="1">VLOOKUP(Cpi_[[#This Row],[Year]:[Month]],crudeoil[],3,FALSE)</f>
        <v>#VALUE!</v>
      </c>
    </row>
    <row r="2586" spans="1:8" hidden="1" x14ac:dyDescent="0.3">
      <c r="A2586" t="s">
        <v>34</v>
      </c>
      <c r="B2586">
        <v>2015</v>
      </c>
      <c r="C2586" t="s">
        <v>41</v>
      </c>
      <c r="D2586" t="s">
        <v>22</v>
      </c>
      <c r="E2586" t="e">
        <f>VLOOKUP(Cpi_[[#This Row],[Attribute]],#REF!,2,FALSE)</f>
        <v>#REF!</v>
      </c>
      <c r="F2586">
        <v>122</v>
      </c>
      <c r="G2586">
        <f>(Cpi_[[#This Row],[Value]]-F2585)/F2585</f>
        <v>1.1608623548922104E-2</v>
      </c>
      <c r="H2586" t="e" cm="1" vm="1">
        <f t="array" aca="1" ref="H2586" ca="1">VLOOKUP(Cpi_[[#This Row],[Year]:[Month]],crudeoil[],3,FALSE)</f>
        <v>#VALUE!</v>
      </c>
    </row>
    <row r="2587" spans="1:8" hidden="1" x14ac:dyDescent="0.3">
      <c r="A2587" t="s">
        <v>34</v>
      </c>
      <c r="B2587">
        <v>2015</v>
      </c>
      <c r="C2587" t="s">
        <v>41</v>
      </c>
      <c r="D2587" t="s">
        <v>23</v>
      </c>
      <c r="E2587" t="e">
        <f>VLOOKUP(Cpi_[[#This Row],[Attribute]],#REF!,2,FALSE)</f>
        <v>#REF!</v>
      </c>
      <c r="F2587">
        <v>119.4</v>
      </c>
      <c r="G2587">
        <f>(Cpi_[[#This Row],[Value]]-F2586)/F2586</f>
        <v>-2.1311475409836019E-2</v>
      </c>
      <c r="H2587" t="e" cm="1" vm="1">
        <f t="array" aca="1" ref="H2587" ca="1">VLOOKUP(Cpi_[[#This Row],[Year]:[Month]],crudeoil[],3,FALSE)</f>
        <v>#VALUE!</v>
      </c>
    </row>
    <row r="2588" spans="1:8" hidden="1" x14ac:dyDescent="0.3">
      <c r="A2588" t="s">
        <v>34</v>
      </c>
      <c r="B2588">
        <v>2015</v>
      </c>
      <c r="C2588" t="s">
        <v>41</v>
      </c>
      <c r="D2588" t="s">
        <v>24</v>
      </c>
      <c r="E2588" t="e">
        <f>VLOOKUP(Cpi_[[#This Row],[Attribute]],#REF!,2,FALSE)</f>
        <v>#REF!</v>
      </c>
      <c r="F2588">
        <v>111.7</v>
      </c>
      <c r="G2588">
        <f>(Cpi_[[#This Row],[Value]]-F2587)/F2587</f>
        <v>-6.448911222780572E-2</v>
      </c>
      <c r="H2588" t="e" cm="1" vm="1">
        <f t="array" aca="1" ref="H2588" ca="1">VLOOKUP(Cpi_[[#This Row],[Year]:[Month]],crudeoil[],3,FALSE)</f>
        <v>#VALUE!</v>
      </c>
    </row>
    <row r="2589" spans="1:8" hidden="1" x14ac:dyDescent="0.3">
      <c r="A2589" t="s">
        <v>34</v>
      </c>
      <c r="B2589">
        <v>2015</v>
      </c>
      <c r="C2589" t="s">
        <v>41</v>
      </c>
      <c r="D2589" t="s">
        <v>25</v>
      </c>
      <c r="E2589" t="e">
        <f>VLOOKUP(Cpi_[[#This Row],[Attribute]],#REF!,2,FALSE)</f>
        <v>#REF!</v>
      </c>
      <c r="F2589">
        <v>117.8</v>
      </c>
      <c r="G2589">
        <f>(Cpi_[[#This Row],[Value]]-F2588)/F2588</f>
        <v>5.4610564010743011E-2</v>
      </c>
      <c r="H2589" t="e" cm="1" vm="1">
        <f t="array" aca="1" ref="H2589" ca="1">VLOOKUP(Cpi_[[#This Row],[Year]:[Month]],crudeoil[],3,FALSE)</f>
        <v>#VALUE!</v>
      </c>
    </row>
    <row r="2590" spans="1:8" hidden="1" x14ac:dyDescent="0.3">
      <c r="A2590" t="s">
        <v>34</v>
      </c>
      <c r="B2590">
        <v>2015</v>
      </c>
      <c r="C2590" t="s">
        <v>41</v>
      </c>
      <c r="D2590" t="s">
        <v>26</v>
      </c>
      <c r="E2590" t="e">
        <f>VLOOKUP(Cpi_[[#This Row],[Attribute]],#REF!,2,FALSE)</f>
        <v>#REF!</v>
      </c>
      <c r="F2590">
        <v>125.1</v>
      </c>
      <c r="G2590">
        <f>(Cpi_[[#This Row],[Value]]-F2589)/F2589</f>
        <v>6.1969439728353115E-2</v>
      </c>
      <c r="H2590" t="e" cm="1" vm="1">
        <f t="array" aca="1" ref="H2590" ca="1">VLOOKUP(Cpi_[[#This Row],[Year]:[Month]],crudeoil[],3,FALSE)</f>
        <v>#VALUE!</v>
      </c>
    </row>
    <row r="2591" spans="1:8" hidden="1" x14ac:dyDescent="0.3">
      <c r="A2591" t="s">
        <v>34</v>
      </c>
      <c r="B2591">
        <v>2015</v>
      </c>
      <c r="C2591" t="s">
        <v>41</v>
      </c>
      <c r="D2591" t="s">
        <v>27</v>
      </c>
      <c r="E2591" t="e">
        <f>VLOOKUP(Cpi_[[#This Row],[Attribute]],#REF!,2,FALSE)</f>
        <v>#REF!</v>
      </c>
      <c r="F2591">
        <v>112.3</v>
      </c>
      <c r="G2591">
        <f>(Cpi_[[#This Row],[Value]]-F2590)/F2590</f>
        <v>-0.10231814548361309</v>
      </c>
      <c r="H2591" t="e" cm="1" vm="1">
        <f t="array" aca="1" ref="H2591" ca="1">VLOOKUP(Cpi_[[#This Row],[Year]:[Month]],crudeoil[],3,FALSE)</f>
        <v>#VALUE!</v>
      </c>
    </row>
    <row r="2592" spans="1:8" hidden="1" x14ac:dyDescent="0.3">
      <c r="A2592" t="s">
        <v>34</v>
      </c>
      <c r="B2592">
        <v>2015</v>
      </c>
      <c r="C2592" t="s">
        <v>41</v>
      </c>
      <c r="D2592" t="s">
        <v>28</v>
      </c>
      <c r="E2592" t="e">
        <f>VLOOKUP(Cpi_[[#This Row],[Attribute]],#REF!,2,FALSE)</f>
        <v>#REF!</v>
      </c>
      <c r="F2592">
        <v>117.2</v>
      </c>
      <c r="G2592">
        <f>(Cpi_[[#This Row],[Value]]-F2591)/F2591</f>
        <v>4.363312555654502E-2</v>
      </c>
      <c r="H2592" t="e" cm="1" vm="1">
        <f t="array" aca="1" ref="H2592" ca="1">VLOOKUP(Cpi_[[#This Row],[Year]:[Month]],crudeoil[],3,FALSE)</f>
        <v>#VALUE!</v>
      </c>
    </row>
    <row r="2593" spans="1:8" hidden="1" x14ac:dyDescent="0.3">
      <c r="A2593" t="s">
        <v>34</v>
      </c>
      <c r="B2593">
        <v>2015</v>
      </c>
      <c r="C2593" t="s">
        <v>41</v>
      </c>
      <c r="D2593" t="s">
        <v>29</v>
      </c>
      <c r="E2593" t="e" cm="1">
        <f t="array" aca="1" ref="E2593" ca="1">VLGeneral indexGeneral indexKUP(Cpi_[[#This Row],[Attribute]],#REF!,2,FALSE)</f>
        <v>#NAME?</v>
      </c>
      <c r="F2593">
        <v>124.8</v>
      </c>
      <c r="G2593">
        <f>(Cpi_[[#This Row],[Value]]-F2592)/F2592</f>
        <v>6.4846416382252511E-2</v>
      </c>
      <c r="H2593" t="e" cm="1" vm="1">
        <f t="array" aca="1" ref="H2593" ca="1">VLOOKUP(Cpi_[[#This Row],[Year]:[Month]],crudeoil[],3,FALSE)</f>
        <v>#VALUE!</v>
      </c>
    </row>
    <row r="2594" spans="1:8" hidden="1" x14ac:dyDescent="0.3">
      <c r="A2594" t="s">
        <v>30</v>
      </c>
      <c r="B2594">
        <v>2015</v>
      </c>
      <c r="C2594" t="s">
        <v>42</v>
      </c>
      <c r="D2594" t="s">
        <v>3</v>
      </c>
      <c r="E2594" t="e">
        <f>VLOOKUP(Cpi_[[#This Row],[Attribute]],#REF!,2,FALSE)</f>
        <v>#REF!</v>
      </c>
      <c r="F2594">
        <v>125.1</v>
      </c>
      <c r="G2594">
        <f>(Cpi_[[#This Row],[Value]]-F2593)/F2593</f>
        <v>2.403846153846131E-3</v>
      </c>
      <c r="H2594" t="e" cm="1" vm="1">
        <f t="array" aca="1" ref="H2594" ca="1">VLOOKUP(Cpi_[[#This Row],[Year]:[Month]],crudeoil[],3,FALSE)</f>
        <v>#VALUE!</v>
      </c>
    </row>
    <row r="2595" spans="1:8" hidden="1" x14ac:dyDescent="0.3">
      <c r="A2595" t="s">
        <v>30</v>
      </c>
      <c r="B2595">
        <v>2015</v>
      </c>
      <c r="C2595" t="s">
        <v>42</v>
      </c>
      <c r="D2595" t="s">
        <v>4</v>
      </c>
      <c r="E2595" t="e">
        <f>VLOOKUP(Cpi_[[#This Row],[Attribute]],#REF!,2,FALSE)</f>
        <v>#REF!</v>
      </c>
      <c r="F2595">
        <v>131.1</v>
      </c>
      <c r="G2595">
        <f>(Cpi_[[#This Row],[Value]]-F2594)/F2594</f>
        <v>4.7961630695443645E-2</v>
      </c>
      <c r="H2595" t="e" cm="1" vm="1">
        <f t="array" aca="1" ref="H2595" ca="1">VLOOKUP(Cpi_[[#This Row],[Year]:[Month]],crudeoil[],3,FALSE)</f>
        <v>#VALUE!</v>
      </c>
    </row>
    <row r="2596" spans="1:8" hidden="1" x14ac:dyDescent="0.3">
      <c r="A2596" t="s">
        <v>30</v>
      </c>
      <c r="B2596">
        <v>2015</v>
      </c>
      <c r="C2596" t="s">
        <v>42</v>
      </c>
      <c r="D2596" t="s">
        <v>5</v>
      </c>
      <c r="E2596" t="e">
        <f>VLOOKUP(Cpi_[[#This Row],[Attribute]],#REF!,2,FALSE)</f>
        <v>#REF!</v>
      </c>
      <c r="F2596">
        <v>120.7</v>
      </c>
      <c r="G2596">
        <f>(Cpi_[[#This Row],[Value]]-F2595)/F2595</f>
        <v>-7.9328756674294371E-2</v>
      </c>
      <c r="H2596" t="e" cm="1" vm="1">
        <f t="array" aca="1" ref="H2596" ca="1">VLOOKUP(Cpi_[[#This Row],[Year]:[Month]],crudeoil[],3,FALSE)</f>
        <v>#VALUE!</v>
      </c>
    </row>
    <row r="2597" spans="1:8" hidden="1" x14ac:dyDescent="0.3">
      <c r="A2597" t="s">
        <v>30</v>
      </c>
      <c r="B2597">
        <v>2015</v>
      </c>
      <c r="C2597" t="s">
        <v>42</v>
      </c>
      <c r="D2597" t="s">
        <v>6</v>
      </c>
      <c r="E2597" t="e">
        <f>VLOOKUP(Cpi_[[#This Row],[Attribute]],#REF!,2,FALSE)</f>
        <v>#REF!</v>
      </c>
      <c r="F2597">
        <v>129.19999999999999</v>
      </c>
      <c r="G2597">
        <f>(Cpi_[[#This Row],[Value]]-F2596)/F2596</f>
        <v>7.0422535211267484E-2</v>
      </c>
      <c r="H2597" t="e" cm="1" vm="1">
        <f t="array" aca="1" ref="H2597" ca="1">VLOOKUP(Cpi_[[#This Row],[Year]:[Month]],crudeoil[],3,FALSE)</f>
        <v>#VALUE!</v>
      </c>
    </row>
    <row r="2598" spans="1:8" hidden="1" x14ac:dyDescent="0.3">
      <c r="A2598" t="s">
        <v>30</v>
      </c>
      <c r="B2598">
        <v>2015</v>
      </c>
      <c r="C2598" t="s">
        <v>42</v>
      </c>
      <c r="D2598" t="s">
        <v>7</v>
      </c>
      <c r="E2598" t="e">
        <f>VLOOKUP(Cpi_[[#This Row],[Attribute]],#REF!,2,FALSE)</f>
        <v>#REF!</v>
      </c>
      <c r="F2598">
        <v>114.7</v>
      </c>
      <c r="G2598">
        <f>(Cpi_[[#This Row],[Value]]-F2597)/F2597</f>
        <v>-0.11222910216718256</v>
      </c>
      <c r="H2598" t="e" cm="1" vm="1">
        <f t="array" aca="1" ref="H2598" ca="1">VLOOKUP(Cpi_[[#This Row],[Year]:[Month]],crudeoil[],3,FALSE)</f>
        <v>#VALUE!</v>
      </c>
    </row>
    <row r="2599" spans="1:8" hidden="1" x14ac:dyDescent="0.3">
      <c r="A2599" t="s">
        <v>30</v>
      </c>
      <c r="B2599">
        <v>2015</v>
      </c>
      <c r="C2599" t="s">
        <v>42</v>
      </c>
      <c r="D2599" t="s">
        <v>8</v>
      </c>
      <c r="E2599" t="e">
        <f>VLOOKUP(Cpi_[[#This Row],[Attribute]],#REF!,2,FALSE)</f>
        <v>#REF!</v>
      </c>
      <c r="F2599">
        <v>132.30000000000001</v>
      </c>
      <c r="G2599">
        <f>(Cpi_[[#This Row],[Value]]-F2598)/F2598</f>
        <v>0.15344376634699222</v>
      </c>
      <c r="H2599" t="e" cm="1" vm="1">
        <f t="array" aca="1" ref="H2599" ca="1">VLOOKUP(Cpi_[[#This Row],[Year]:[Month]],crudeoil[],3,FALSE)</f>
        <v>#VALUE!</v>
      </c>
    </row>
    <row r="2600" spans="1:8" hidden="1" x14ac:dyDescent="0.3">
      <c r="A2600" t="s">
        <v>30</v>
      </c>
      <c r="B2600">
        <v>2015</v>
      </c>
      <c r="C2600" t="s">
        <v>42</v>
      </c>
      <c r="D2600" t="s">
        <v>9</v>
      </c>
      <c r="E2600" t="e">
        <f>VLOOKUP(Cpi_[[#This Row],[Attribute]],#REF!,2,FALSE)</f>
        <v>#REF!</v>
      </c>
      <c r="F2600">
        <v>158.9</v>
      </c>
      <c r="G2600">
        <f>(Cpi_[[#This Row],[Value]]-F2599)/F2599</f>
        <v>0.20105820105820099</v>
      </c>
      <c r="H2600" t="e" cm="1" vm="1">
        <f t="array" aca="1" ref="H2600" ca="1">VLOOKUP(Cpi_[[#This Row],[Year]:[Month]],crudeoil[],3,FALSE)</f>
        <v>#VALUE!</v>
      </c>
    </row>
    <row r="2601" spans="1:8" hidden="1" x14ac:dyDescent="0.3">
      <c r="A2601" t="s">
        <v>30</v>
      </c>
      <c r="B2601">
        <v>2015</v>
      </c>
      <c r="C2601" t="s">
        <v>42</v>
      </c>
      <c r="D2601" t="s">
        <v>10</v>
      </c>
      <c r="E2601" t="e">
        <f>VLOOKUP(Cpi_[[#This Row],[Attribute]],#REF!,2,FALSE)</f>
        <v>#REF!</v>
      </c>
      <c r="F2601">
        <v>142.1</v>
      </c>
      <c r="G2601">
        <f>(Cpi_[[#This Row],[Value]]-F2600)/F2600</f>
        <v>-0.10572687224669611</v>
      </c>
      <c r="H2601" t="e" cm="1" vm="1">
        <f t="array" aca="1" ref="H2601" ca="1">VLOOKUP(Cpi_[[#This Row],[Year]:[Month]],crudeoil[],3,FALSE)</f>
        <v>#VALUE!</v>
      </c>
    </row>
    <row r="2602" spans="1:8" hidden="1" x14ac:dyDescent="0.3">
      <c r="A2602" t="s">
        <v>30</v>
      </c>
      <c r="B2602">
        <v>2015</v>
      </c>
      <c r="C2602" t="s">
        <v>42</v>
      </c>
      <c r="D2602" t="s">
        <v>11</v>
      </c>
      <c r="E2602" t="e">
        <f>VLOOKUP(Cpi_[[#This Row],[Attribute]],#REF!,2,FALSE)</f>
        <v>#REF!</v>
      </c>
      <c r="F2602">
        <v>92.5</v>
      </c>
      <c r="G2602">
        <f>(Cpi_[[#This Row],[Value]]-F2601)/F2601</f>
        <v>-0.34904996481351158</v>
      </c>
      <c r="H2602" t="e" cm="1" vm="1">
        <f t="array" aca="1" ref="H2602" ca="1">VLOOKUP(Cpi_[[#This Row],[Year]:[Month]],crudeoil[],3,FALSE)</f>
        <v>#VALUE!</v>
      </c>
    </row>
    <row r="2603" spans="1:8" hidden="1" x14ac:dyDescent="0.3">
      <c r="A2603" t="s">
        <v>30</v>
      </c>
      <c r="B2603">
        <v>2015</v>
      </c>
      <c r="C2603" t="s">
        <v>42</v>
      </c>
      <c r="D2603" t="s">
        <v>12</v>
      </c>
      <c r="E2603" t="e">
        <f>VLOOKUP(Cpi_[[#This Row],[Attribute]],#REF!,2,FALSE)</f>
        <v>#REF!</v>
      </c>
      <c r="F2603">
        <v>125.4</v>
      </c>
      <c r="G2603">
        <f>(Cpi_[[#This Row],[Value]]-F2602)/F2602</f>
        <v>0.35567567567567576</v>
      </c>
      <c r="H2603" t="e" cm="1" vm="1">
        <f t="array" aca="1" ref="H2603" ca="1">VLOOKUP(Cpi_[[#This Row],[Year]:[Month]],crudeoil[],3,FALSE)</f>
        <v>#VALUE!</v>
      </c>
    </row>
    <row r="2604" spans="1:8" hidden="1" x14ac:dyDescent="0.3">
      <c r="A2604" t="s">
        <v>30</v>
      </c>
      <c r="B2604">
        <v>2015</v>
      </c>
      <c r="C2604" t="s">
        <v>42</v>
      </c>
      <c r="D2604" t="s">
        <v>13</v>
      </c>
      <c r="E2604" t="e">
        <f>VLOOKUP(Cpi_[[#This Row],[Attribute]],#REF!,2,FALSE)</f>
        <v>#REF!</v>
      </c>
      <c r="F2604">
        <v>121.9</v>
      </c>
      <c r="G2604">
        <f>(Cpi_[[#This Row],[Value]]-F2603)/F2603</f>
        <v>-2.7910685805422646E-2</v>
      </c>
      <c r="H2604" t="e" cm="1" vm="1">
        <f t="array" aca="1" ref="H2604" ca="1">VLOOKUP(Cpi_[[#This Row],[Year]:[Month]],crudeoil[],3,FALSE)</f>
        <v>#VALUE!</v>
      </c>
    </row>
    <row r="2605" spans="1:8" hidden="1" x14ac:dyDescent="0.3">
      <c r="A2605" t="s">
        <v>30</v>
      </c>
      <c r="B2605">
        <v>2015</v>
      </c>
      <c r="C2605" t="s">
        <v>42</v>
      </c>
      <c r="D2605" t="s">
        <v>14</v>
      </c>
      <c r="E2605" t="e">
        <f>VLOOKUP(Cpi_[[#This Row],[Attribute]],#REF!,2,FALSE)</f>
        <v>#REF!</v>
      </c>
      <c r="F2605">
        <v>132.69999999999999</v>
      </c>
      <c r="G2605">
        <f>(Cpi_[[#This Row],[Value]]-F2604)/F2604</f>
        <v>8.8597210828547851E-2</v>
      </c>
      <c r="H2605" t="e" cm="1" vm="1">
        <f t="array" aca="1" ref="H2605" ca="1">VLOOKUP(Cpi_[[#This Row],[Year]:[Month]],crudeoil[],3,FALSE)</f>
        <v>#VALUE!</v>
      </c>
    </row>
    <row r="2606" spans="1:8" hidden="1" x14ac:dyDescent="0.3">
      <c r="A2606" t="s">
        <v>30</v>
      </c>
      <c r="B2606">
        <v>2015</v>
      </c>
      <c r="C2606" t="s">
        <v>42</v>
      </c>
      <c r="D2606" t="s">
        <v>15</v>
      </c>
      <c r="E2606" t="e">
        <f>VLOOKUP(Cpi_[[#This Row],[Attribute]],#REF!,2,FALSE)</f>
        <v>#REF!</v>
      </c>
      <c r="F2606">
        <v>131</v>
      </c>
      <c r="G2606">
        <f>(Cpi_[[#This Row],[Value]]-F2605)/F2605</f>
        <v>-1.2810851544837895E-2</v>
      </c>
      <c r="H2606" t="e" cm="1" vm="1">
        <f t="array" aca="1" ref="H2606" ca="1">VLOOKUP(Cpi_[[#This Row],[Year]:[Month]],crudeoil[],3,FALSE)</f>
        <v>#VALUE!</v>
      </c>
    </row>
    <row r="2607" spans="1:8" hidden="1" x14ac:dyDescent="0.3">
      <c r="A2607" t="s">
        <v>30</v>
      </c>
      <c r="B2607">
        <v>2015</v>
      </c>
      <c r="C2607" t="s">
        <v>42</v>
      </c>
      <c r="D2607" t="s">
        <v>16</v>
      </c>
      <c r="E2607" t="e">
        <f>VLOOKUP(Cpi_[[#This Row],[Attribute]],#REF!,2,FALSE)</f>
        <v>#REF!</v>
      </c>
      <c r="F2607">
        <v>131</v>
      </c>
      <c r="G2607">
        <f>(Cpi_[[#This Row],[Value]]-F2606)/F2606</f>
        <v>0</v>
      </c>
      <c r="H2607" t="e" cm="1" vm="1">
        <f t="array" aca="1" ref="H2607" ca="1">VLOOKUP(Cpi_[[#This Row],[Year]:[Month]],crudeoil[],3,FALSE)</f>
        <v>#VALUE!</v>
      </c>
    </row>
    <row r="2608" spans="1:8" hidden="1" x14ac:dyDescent="0.3">
      <c r="A2608" t="s">
        <v>30</v>
      </c>
      <c r="B2608">
        <v>2015</v>
      </c>
      <c r="C2608" t="s">
        <v>42</v>
      </c>
      <c r="D2608" t="s">
        <v>17</v>
      </c>
      <c r="E2608" t="e">
        <f>VLOOKUP(Cpi_[[#This Row],[Attribute]],#REF!,2,FALSE)</f>
        <v>#REF!</v>
      </c>
      <c r="F2608">
        <v>130.4</v>
      </c>
      <c r="G2608">
        <f>(Cpi_[[#This Row],[Value]]-F2607)/F2607</f>
        <v>-4.580152671755682E-3</v>
      </c>
      <c r="H2608" t="e" cm="1" vm="1">
        <f t="array" aca="1" ref="H2608" ca="1">VLOOKUP(Cpi_[[#This Row],[Year]:[Month]],crudeoil[],3,FALSE)</f>
        <v>#VALUE!</v>
      </c>
    </row>
    <row r="2609" spans="1:8" hidden="1" x14ac:dyDescent="0.3">
      <c r="A2609" t="s">
        <v>30</v>
      </c>
      <c r="B2609">
        <v>2015</v>
      </c>
      <c r="C2609" t="s">
        <v>42</v>
      </c>
      <c r="D2609" t="s">
        <v>18</v>
      </c>
      <c r="E2609" t="e">
        <f>VLOOKUP(Cpi_[[#This Row],[Attribute]],#REF!,2,FALSE)</f>
        <v>#REF!</v>
      </c>
      <c r="F2609">
        <v>126.8</v>
      </c>
      <c r="G2609">
        <f>(Cpi_[[#This Row],[Value]]-F2608)/F2608</f>
        <v>-2.7607361963190247E-2</v>
      </c>
      <c r="H2609" t="e" cm="1" vm="1">
        <f t="array" aca="1" ref="H2609" ca="1">VLOOKUP(Cpi_[[#This Row],[Year]:[Month]],crudeoil[],3,FALSE)</f>
        <v>#VALUE!</v>
      </c>
    </row>
    <row r="2610" spans="1:8" hidden="1" x14ac:dyDescent="0.3">
      <c r="A2610" t="s">
        <v>30</v>
      </c>
      <c r="B2610">
        <v>2015</v>
      </c>
      <c r="C2610" t="s">
        <v>42</v>
      </c>
      <c r="D2610" t="s">
        <v>19</v>
      </c>
      <c r="E2610" t="e">
        <f>VLOOKUP(Cpi_[[#This Row],[Attribute]],#REF!,2,FALSE)</f>
        <v>#REF!</v>
      </c>
      <c r="F2610">
        <v>129.9</v>
      </c>
      <c r="G2610">
        <f>(Cpi_[[#This Row],[Value]]-F2609)/F2609</f>
        <v>2.4447949526813947E-2</v>
      </c>
      <c r="H2610" t="e" cm="1" vm="1">
        <f t="array" aca="1" ref="H2610" ca="1">VLOOKUP(Cpi_[[#This Row],[Year]:[Month]],crudeoil[],3,FALSE)</f>
        <v>#VALUE!</v>
      </c>
    </row>
    <row r="2611" spans="1:8" hidden="1" x14ac:dyDescent="0.3">
      <c r="A2611" t="s">
        <v>30</v>
      </c>
      <c r="B2611">
        <v>2015</v>
      </c>
      <c r="C2611" t="s">
        <v>42</v>
      </c>
      <c r="D2611" t="s">
        <v>20</v>
      </c>
      <c r="E2611" t="e">
        <f>VLOOKUP(Cpi_[[#This Row],[Attribute]],#REF!,2,FALSE)</f>
        <v>#REF!</v>
      </c>
      <c r="F2611" t="s">
        <v>32</v>
      </c>
      <c r="G2611" t="e">
        <f>(Cpi_[[#This Row],[Value]]-F2610)/F2610</f>
        <v>#VALUE!</v>
      </c>
      <c r="H2611" t="e" cm="1" vm="1">
        <f t="array" aca="1" ref="H2611" ca="1">VLOOKUP(Cpi_[[#This Row],[Year]:[Month]],crudeoil[],3,FALSE)</f>
        <v>#VALUE!</v>
      </c>
    </row>
    <row r="2612" spans="1:8" hidden="1" x14ac:dyDescent="0.3">
      <c r="A2612" t="s">
        <v>30</v>
      </c>
      <c r="B2612">
        <v>2015</v>
      </c>
      <c r="C2612" t="s">
        <v>42</v>
      </c>
      <c r="D2612" t="s">
        <v>21</v>
      </c>
      <c r="E2612" t="e">
        <f>VLOOKUP(Cpi_[[#This Row],[Attribute]],#REF!,2,FALSE)</f>
        <v>#REF!</v>
      </c>
      <c r="F2612">
        <v>123.7</v>
      </c>
      <c r="G2612" t="e">
        <f>(Cpi_[[#This Row],[Value]]-F2611)/F2611</f>
        <v>#VALUE!</v>
      </c>
      <c r="H2612" t="e" cm="1" vm="1">
        <f t="array" aca="1" ref="H2612" ca="1">VLOOKUP(Cpi_[[#This Row],[Year]:[Month]],crudeoil[],3,FALSE)</f>
        <v>#VALUE!</v>
      </c>
    </row>
    <row r="2613" spans="1:8" hidden="1" x14ac:dyDescent="0.3">
      <c r="A2613" t="s">
        <v>30</v>
      </c>
      <c r="B2613">
        <v>2015</v>
      </c>
      <c r="C2613" t="s">
        <v>42</v>
      </c>
      <c r="D2613" t="s">
        <v>22</v>
      </c>
      <c r="E2613" t="e">
        <f>VLOOKUP(Cpi_[[#This Row],[Attribute]],#REF!,2,FALSE)</f>
        <v>#REF!</v>
      </c>
      <c r="F2613">
        <v>124.5</v>
      </c>
      <c r="G2613">
        <f>(Cpi_[[#This Row],[Value]]-F2612)/F2612</f>
        <v>6.467259498787366E-3</v>
      </c>
      <c r="H2613" t="e" cm="1" vm="1">
        <f t="array" aca="1" ref="H2613" ca="1">VLOOKUP(Cpi_[[#This Row],[Year]:[Month]],crudeoil[],3,FALSE)</f>
        <v>#VALUE!</v>
      </c>
    </row>
    <row r="2614" spans="1:8" hidden="1" x14ac:dyDescent="0.3">
      <c r="A2614" t="s">
        <v>30</v>
      </c>
      <c r="B2614">
        <v>2015</v>
      </c>
      <c r="C2614" t="s">
        <v>42</v>
      </c>
      <c r="D2614" t="s">
        <v>23</v>
      </c>
      <c r="E2614" t="e">
        <f>VLOOKUP(Cpi_[[#This Row],[Attribute]],#REF!,2,FALSE)</f>
        <v>#REF!</v>
      </c>
      <c r="F2614">
        <v>121.4</v>
      </c>
      <c r="G2614">
        <f>(Cpi_[[#This Row],[Value]]-F2613)/F2613</f>
        <v>-2.4899598393574252E-2</v>
      </c>
      <c r="H2614" t="e" cm="1" vm="1">
        <f t="array" aca="1" ref="H2614" ca="1">VLOOKUP(Cpi_[[#This Row],[Year]:[Month]],crudeoil[],3,FALSE)</f>
        <v>#VALUE!</v>
      </c>
    </row>
    <row r="2615" spans="1:8" hidden="1" x14ac:dyDescent="0.3">
      <c r="A2615" t="s">
        <v>30</v>
      </c>
      <c r="B2615">
        <v>2015</v>
      </c>
      <c r="C2615" t="s">
        <v>42</v>
      </c>
      <c r="D2615" t="s">
        <v>24</v>
      </c>
      <c r="E2615" t="e">
        <f>VLOOKUP(Cpi_[[#This Row],[Attribute]],#REF!,2,FALSE)</f>
        <v>#REF!</v>
      </c>
      <c r="F2615">
        <v>113.8</v>
      </c>
      <c r="G2615">
        <f>(Cpi_[[#This Row],[Value]]-F2614)/F2614</f>
        <v>-6.260296540362445E-2</v>
      </c>
      <c r="H2615" t="e" cm="1" vm="1">
        <f t="array" aca="1" ref="H2615" ca="1">VLOOKUP(Cpi_[[#This Row],[Year]:[Month]],crudeoil[],3,FALSE)</f>
        <v>#VALUE!</v>
      </c>
    </row>
    <row r="2616" spans="1:8" hidden="1" x14ac:dyDescent="0.3">
      <c r="A2616" t="s">
        <v>30</v>
      </c>
      <c r="B2616">
        <v>2015</v>
      </c>
      <c r="C2616" t="s">
        <v>42</v>
      </c>
      <c r="D2616" t="s">
        <v>25</v>
      </c>
      <c r="E2616" t="e">
        <f>VLOOKUP(Cpi_[[#This Row],[Attribute]],#REF!,2,FALSE)</f>
        <v>#REF!</v>
      </c>
      <c r="F2616">
        <v>119.6</v>
      </c>
      <c r="G2616">
        <f>(Cpi_[[#This Row],[Value]]-F2615)/F2615</f>
        <v>5.0966608084358503E-2</v>
      </c>
      <c r="H2616" t="e" cm="1" vm="1">
        <f t="array" aca="1" ref="H2616" ca="1">VLOOKUP(Cpi_[[#This Row],[Year]:[Month]],crudeoil[],3,FALSE)</f>
        <v>#VALUE!</v>
      </c>
    </row>
    <row r="2617" spans="1:8" hidden="1" x14ac:dyDescent="0.3">
      <c r="A2617" t="s">
        <v>30</v>
      </c>
      <c r="B2617">
        <v>2015</v>
      </c>
      <c r="C2617" t="s">
        <v>42</v>
      </c>
      <c r="D2617" t="s">
        <v>26</v>
      </c>
      <c r="E2617" t="e">
        <f>VLOOKUP(Cpi_[[#This Row],[Attribute]],#REF!,2,FALSE)</f>
        <v>#REF!</v>
      </c>
      <c r="F2617">
        <v>124.5</v>
      </c>
      <c r="G2617">
        <f>(Cpi_[[#This Row],[Value]]-F2616)/F2616</f>
        <v>4.0969899665551889E-2</v>
      </c>
      <c r="H2617" t="e" cm="1" vm="1">
        <f t="array" aca="1" ref="H2617" ca="1">VLOOKUP(Cpi_[[#This Row],[Year]:[Month]],crudeoil[],3,FALSE)</f>
        <v>#VALUE!</v>
      </c>
    </row>
    <row r="2618" spans="1:8" hidden="1" x14ac:dyDescent="0.3">
      <c r="A2618" t="s">
        <v>30</v>
      </c>
      <c r="B2618">
        <v>2015</v>
      </c>
      <c r="C2618" t="s">
        <v>42</v>
      </c>
      <c r="D2618" t="s">
        <v>27</v>
      </c>
      <c r="E2618" t="e">
        <f>VLOOKUP(Cpi_[[#This Row],[Attribute]],#REF!,2,FALSE)</f>
        <v>#REF!</v>
      </c>
      <c r="F2618">
        <v>113.7</v>
      </c>
      <c r="G2618">
        <f>(Cpi_[[#This Row],[Value]]-F2617)/F2617</f>
        <v>-8.67469879518072E-2</v>
      </c>
      <c r="H2618" t="e" cm="1" vm="1">
        <f t="array" aca="1" ref="H2618" ca="1">VLOOKUP(Cpi_[[#This Row],[Year]:[Month]],crudeoil[],3,FALSE)</f>
        <v>#VALUE!</v>
      </c>
    </row>
    <row r="2619" spans="1:8" hidden="1" x14ac:dyDescent="0.3">
      <c r="A2619" t="s">
        <v>30</v>
      </c>
      <c r="B2619">
        <v>2015</v>
      </c>
      <c r="C2619" t="s">
        <v>42</v>
      </c>
      <c r="D2619" t="s">
        <v>28</v>
      </c>
      <c r="E2619" t="e">
        <f>VLOOKUP(Cpi_[[#This Row],[Attribute]],#REF!,2,FALSE)</f>
        <v>#REF!</v>
      </c>
      <c r="F2619">
        <v>118.8</v>
      </c>
      <c r="G2619">
        <f>(Cpi_[[#This Row],[Value]]-F2618)/F2618</f>
        <v>4.4854881266490711E-2</v>
      </c>
      <c r="H2619" t="e" cm="1" vm="1">
        <f t="array" aca="1" ref="H2619" ca="1">VLOOKUP(Cpi_[[#This Row],[Year]:[Month]],crudeoil[],3,FALSE)</f>
        <v>#VALUE!</v>
      </c>
    </row>
    <row r="2620" spans="1:8" hidden="1" x14ac:dyDescent="0.3">
      <c r="A2620" t="s">
        <v>30</v>
      </c>
      <c r="B2620">
        <v>2015</v>
      </c>
      <c r="C2620" t="s">
        <v>42</v>
      </c>
      <c r="D2620" t="s">
        <v>29</v>
      </c>
      <c r="E2620" t="e" cm="1">
        <f t="array" aca="1" ref="E2620" ca="1">VLGeneral indexGeneral indexKUP(Cpi_[[#This Row],[Attribute]],#REF!,2,FALSE)</f>
        <v>#NAME?</v>
      </c>
      <c r="F2620">
        <v>127</v>
      </c>
      <c r="G2620">
        <f>(Cpi_[[#This Row],[Value]]-F2619)/F2619</f>
        <v>6.9023569023569042E-2</v>
      </c>
      <c r="H2620" t="e" cm="1" vm="1">
        <f t="array" aca="1" ref="H2620" ca="1">VLOOKUP(Cpi_[[#This Row],[Year]:[Month]],crudeoil[],3,FALSE)</f>
        <v>#VALUE!</v>
      </c>
    </row>
    <row r="2621" spans="1:8" hidden="1" x14ac:dyDescent="0.3">
      <c r="A2621" t="s">
        <v>33</v>
      </c>
      <c r="B2621">
        <v>2015</v>
      </c>
      <c r="C2621" t="s">
        <v>42</v>
      </c>
      <c r="D2621" t="s">
        <v>3</v>
      </c>
      <c r="E2621" t="e">
        <f>VLOOKUP(Cpi_[[#This Row],[Attribute]],#REF!,2,FALSE)</f>
        <v>#REF!</v>
      </c>
      <c r="F2621">
        <v>123.4</v>
      </c>
      <c r="G2621">
        <f>(Cpi_[[#This Row],[Value]]-F2620)/F2620</f>
        <v>-2.834645669291334E-2</v>
      </c>
      <c r="H2621" t="e" cm="1" vm="1">
        <f t="array" aca="1" ref="H2621" ca="1">VLOOKUP(Cpi_[[#This Row],[Year]:[Month]],crudeoil[],3,FALSE)</f>
        <v>#VALUE!</v>
      </c>
    </row>
    <row r="2622" spans="1:8" hidden="1" x14ac:dyDescent="0.3">
      <c r="A2622" t="s">
        <v>33</v>
      </c>
      <c r="B2622">
        <v>2015</v>
      </c>
      <c r="C2622" t="s">
        <v>42</v>
      </c>
      <c r="D2622" t="s">
        <v>4</v>
      </c>
      <c r="E2622" t="e">
        <f>VLOOKUP(Cpi_[[#This Row],[Attribute]],#REF!,2,FALSE)</f>
        <v>#REF!</v>
      </c>
      <c r="F2622">
        <v>129</v>
      </c>
      <c r="G2622">
        <f>(Cpi_[[#This Row],[Value]]-F2621)/F2621</f>
        <v>4.5380875202593145E-2</v>
      </c>
      <c r="H2622" t="e" cm="1" vm="1">
        <f t="array" aca="1" ref="H2622" ca="1">VLOOKUP(Cpi_[[#This Row],[Year]:[Month]],crudeoil[],3,FALSE)</f>
        <v>#VALUE!</v>
      </c>
    </row>
    <row r="2623" spans="1:8" hidden="1" x14ac:dyDescent="0.3">
      <c r="A2623" t="s">
        <v>33</v>
      </c>
      <c r="B2623">
        <v>2015</v>
      </c>
      <c r="C2623" t="s">
        <v>42</v>
      </c>
      <c r="D2623" t="s">
        <v>5</v>
      </c>
      <c r="E2623" t="e">
        <f>VLOOKUP(Cpi_[[#This Row],[Attribute]],#REF!,2,FALSE)</f>
        <v>#REF!</v>
      </c>
      <c r="F2623">
        <v>115.6</v>
      </c>
      <c r="G2623">
        <f>(Cpi_[[#This Row],[Value]]-F2622)/F2622</f>
        <v>-0.1038759689922481</v>
      </c>
      <c r="H2623" t="e" cm="1" vm="1">
        <f t="array" aca="1" ref="H2623" ca="1">VLOOKUP(Cpi_[[#This Row],[Year]:[Month]],crudeoil[],3,FALSE)</f>
        <v>#VALUE!</v>
      </c>
    </row>
    <row r="2624" spans="1:8" hidden="1" x14ac:dyDescent="0.3">
      <c r="A2624" t="s">
        <v>33</v>
      </c>
      <c r="B2624">
        <v>2015</v>
      </c>
      <c r="C2624" t="s">
        <v>42</v>
      </c>
      <c r="D2624" t="s">
        <v>6</v>
      </c>
      <c r="E2624" t="e">
        <f>VLOOKUP(Cpi_[[#This Row],[Attribute]],#REF!,2,FALSE)</f>
        <v>#REF!</v>
      </c>
      <c r="F2624">
        <v>128.30000000000001</v>
      </c>
      <c r="G2624">
        <f>(Cpi_[[#This Row],[Value]]-F2623)/F2623</f>
        <v>0.10986159169550189</v>
      </c>
      <c r="H2624" t="e" cm="1" vm="1">
        <f t="array" aca="1" ref="H2624" ca="1">VLOOKUP(Cpi_[[#This Row],[Year]:[Month]],crudeoil[],3,FALSE)</f>
        <v>#VALUE!</v>
      </c>
    </row>
    <row r="2625" spans="1:8" hidden="1" x14ac:dyDescent="0.3">
      <c r="A2625" t="s">
        <v>33</v>
      </c>
      <c r="B2625">
        <v>2015</v>
      </c>
      <c r="C2625" t="s">
        <v>42</v>
      </c>
      <c r="D2625" t="s">
        <v>7</v>
      </c>
      <c r="E2625" t="e">
        <f>VLOOKUP(Cpi_[[#This Row],[Attribute]],#REF!,2,FALSE)</f>
        <v>#REF!</v>
      </c>
      <c r="F2625">
        <v>107</v>
      </c>
      <c r="G2625">
        <f>(Cpi_[[#This Row],[Value]]-F2624)/F2624</f>
        <v>-0.16601714731098993</v>
      </c>
      <c r="H2625" t="e" cm="1" vm="1">
        <f t="array" aca="1" ref="H2625" ca="1">VLOOKUP(Cpi_[[#This Row],[Year]:[Month]],crudeoil[],3,FALSE)</f>
        <v>#VALUE!</v>
      </c>
    </row>
    <row r="2626" spans="1:8" hidden="1" x14ac:dyDescent="0.3">
      <c r="A2626" t="s">
        <v>33</v>
      </c>
      <c r="B2626">
        <v>2015</v>
      </c>
      <c r="C2626" t="s">
        <v>42</v>
      </c>
      <c r="D2626" t="s">
        <v>8</v>
      </c>
      <c r="E2626" t="e">
        <f>VLOOKUP(Cpi_[[#This Row],[Attribute]],#REF!,2,FALSE)</f>
        <v>#REF!</v>
      </c>
      <c r="F2626">
        <v>124</v>
      </c>
      <c r="G2626">
        <f>(Cpi_[[#This Row],[Value]]-F2625)/F2625</f>
        <v>0.15887850467289719</v>
      </c>
      <c r="H2626" t="e" cm="1" vm="1">
        <f t="array" aca="1" ref="H2626" ca="1">VLOOKUP(Cpi_[[#This Row],[Year]:[Month]],crudeoil[],3,FALSE)</f>
        <v>#VALUE!</v>
      </c>
    </row>
    <row r="2627" spans="1:8" hidden="1" x14ac:dyDescent="0.3">
      <c r="A2627" t="s">
        <v>33</v>
      </c>
      <c r="B2627">
        <v>2015</v>
      </c>
      <c r="C2627" t="s">
        <v>42</v>
      </c>
      <c r="D2627" t="s">
        <v>9</v>
      </c>
      <c r="E2627" t="e">
        <f>VLOOKUP(Cpi_[[#This Row],[Attribute]],#REF!,2,FALSE)</f>
        <v>#REF!</v>
      </c>
      <c r="F2627">
        <v>168.5</v>
      </c>
      <c r="G2627">
        <f>(Cpi_[[#This Row],[Value]]-F2626)/F2626</f>
        <v>0.3588709677419355</v>
      </c>
      <c r="H2627" t="e" cm="1" vm="1">
        <f t="array" aca="1" ref="H2627" ca="1">VLOOKUP(Cpi_[[#This Row],[Year]:[Month]],crudeoil[],3,FALSE)</f>
        <v>#VALUE!</v>
      </c>
    </row>
    <row r="2628" spans="1:8" hidden="1" x14ac:dyDescent="0.3">
      <c r="A2628" t="s">
        <v>33</v>
      </c>
      <c r="B2628">
        <v>2015</v>
      </c>
      <c r="C2628" t="s">
        <v>42</v>
      </c>
      <c r="D2628" t="s">
        <v>10</v>
      </c>
      <c r="E2628" t="e">
        <f>VLOOKUP(Cpi_[[#This Row],[Attribute]],#REF!,2,FALSE)</f>
        <v>#REF!</v>
      </c>
      <c r="F2628">
        <v>165.4</v>
      </c>
      <c r="G2628">
        <f>(Cpi_[[#This Row],[Value]]-F2627)/F2627</f>
        <v>-1.8397626112759611E-2</v>
      </c>
      <c r="H2628" t="e" cm="1" vm="1">
        <f t="array" aca="1" ref="H2628" ca="1">VLOOKUP(Cpi_[[#This Row],[Year]:[Month]],crudeoil[],3,FALSE)</f>
        <v>#VALUE!</v>
      </c>
    </row>
    <row r="2629" spans="1:8" hidden="1" x14ac:dyDescent="0.3">
      <c r="A2629" t="s">
        <v>33</v>
      </c>
      <c r="B2629">
        <v>2015</v>
      </c>
      <c r="C2629" t="s">
        <v>42</v>
      </c>
      <c r="D2629" t="s">
        <v>11</v>
      </c>
      <c r="E2629" t="e">
        <f>VLOOKUP(Cpi_[[#This Row],[Attribute]],#REF!,2,FALSE)</f>
        <v>#REF!</v>
      </c>
      <c r="F2629">
        <v>86.3</v>
      </c>
      <c r="G2629">
        <f>(Cpi_[[#This Row],[Value]]-F2628)/F2628</f>
        <v>-0.47823458282950426</v>
      </c>
      <c r="H2629" t="e" cm="1" vm="1">
        <f t="array" aca="1" ref="H2629" ca="1">VLOOKUP(Cpi_[[#This Row],[Year]:[Month]],crudeoil[],3,FALSE)</f>
        <v>#VALUE!</v>
      </c>
    </row>
    <row r="2630" spans="1:8" hidden="1" x14ac:dyDescent="0.3">
      <c r="A2630" t="s">
        <v>33</v>
      </c>
      <c r="B2630">
        <v>2015</v>
      </c>
      <c r="C2630" t="s">
        <v>42</v>
      </c>
      <c r="D2630" t="s">
        <v>12</v>
      </c>
      <c r="E2630" t="e">
        <f>VLOOKUP(Cpi_[[#This Row],[Attribute]],#REF!,2,FALSE)</f>
        <v>#REF!</v>
      </c>
      <c r="F2630">
        <v>134.4</v>
      </c>
      <c r="G2630">
        <f>(Cpi_[[#This Row],[Value]]-F2629)/F2629</f>
        <v>0.55735805330243349</v>
      </c>
      <c r="H2630" t="e" cm="1" vm="1">
        <f t="array" aca="1" ref="H2630" ca="1">VLOOKUP(Cpi_[[#This Row],[Year]:[Month]],crudeoil[],3,FALSE)</f>
        <v>#VALUE!</v>
      </c>
    </row>
    <row r="2631" spans="1:8" hidden="1" x14ac:dyDescent="0.3">
      <c r="A2631" t="s">
        <v>33</v>
      </c>
      <c r="B2631">
        <v>2015</v>
      </c>
      <c r="C2631" t="s">
        <v>42</v>
      </c>
      <c r="D2631" t="s">
        <v>13</v>
      </c>
      <c r="E2631" t="e">
        <f>VLOOKUP(Cpi_[[#This Row],[Attribute]],#REF!,2,FALSE)</f>
        <v>#REF!</v>
      </c>
      <c r="F2631">
        <v>119.1</v>
      </c>
      <c r="G2631">
        <f>(Cpi_[[#This Row],[Value]]-F2630)/F2630</f>
        <v>-0.1138392857142858</v>
      </c>
      <c r="H2631" t="e" cm="1" vm="1">
        <f t="array" aca="1" ref="H2631" ca="1">VLOOKUP(Cpi_[[#This Row],[Year]:[Month]],crudeoil[],3,FALSE)</f>
        <v>#VALUE!</v>
      </c>
    </row>
    <row r="2632" spans="1:8" hidden="1" x14ac:dyDescent="0.3">
      <c r="A2632" t="s">
        <v>33</v>
      </c>
      <c r="B2632">
        <v>2015</v>
      </c>
      <c r="C2632" t="s">
        <v>42</v>
      </c>
      <c r="D2632" t="s">
        <v>14</v>
      </c>
      <c r="E2632" t="e">
        <f>VLOOKUP(Cpi_[[#This Row],[Attribute]],#REF!,2,FALSE)</f>
        <v>#REF!</v>
      </c>
      <c r="F2632">
        <v>132.30000000000001</v>
      </c>
      <c r="G2632">
        <f>(Cpi_[[#This Row],[Value]]-F2631)/F2631</f>
        <v>0.11083123425692711</v>
      </c>
      <c r="H2632" t="e" cm="1" vm="1">
        <f t="array" aca="1" ref="H2632" ca="1">VLOOKUP(Cpi_[[#This Row],[Year]:[Month]],crudeoil[],3,FALSE)</f>
        <v>#VALUE!</v>
      </c>
    </row>
    <row r="2633" spans="1:8" hidden="1" x14ac:dyDescent="0.3">
      <c r="A2633" t="s">
        <v>33</v>
      </c>
      <c r="B2633">
        <v>2015</v>
      </c>
      <c r="C2633" t="s">
        <v>42</v>
      </c>
      <c r="D2633" t="s">
        <v>15</v>
      </c>
      <c r="E2633" t="e">
        <f>VLOOKUP(Cpi_[[#This Row],[Attribute]],#REF!,2,FALSE)</f>
        <v>#REF!</v>
      </c>
      <c r="F2633">
        <v>131.5</v>
      </c>
      <c r="G2633">
        <f>(Cpi_[[#This Row],[Value]]-F2632)/F2632</f>
        <v>-6.0468631897204177E-3</v>
      </c>
      <c r="H2633" t="e" cm="1" vm="1">
        <f t="array" aca="1" ref="H2633" ca="1">VLOOKUP(Cpi_[[#This Row],[Year]:[Month]],crudeoil[],3,FALSE)</f>
        <v>#VALUE!</v>
      </c>
    </row>
    <row r="2634" spans="1:8" hidden="1" x14ac:dyDescent="0.3">
      <c r="A2634" t="s">
        <v>33</v>
      </c>
      <c r="B2634">
        <v>2015</v>
      </c>
      <c r="C2634" t="s">
        <v>42</v>
      </c>
      <c r="D2634" t="s">
        <v>16</v>
      </c>
      <c r="E2634" t="e">
        <f>VLOOKUP(Cpi_[[#This Row],[Attribute]],#REF!,2,FALSE)</f>
        <v>#REF!</v>
      </c>
      <c r="F2634">
        <v>134.69999999999999</v>
      </c>
      <c r="G2634">
        <f>(Cpi_[[#This Row],[Value]]-F2633)/F2633</f>
        <v>2.4334600760456189E-2</v>
      </c>
      <c r="H2634" t="e" cm="1" vm="1">
        <f t="array" aca="1" ref="H2634" ca="1">VLOOKUP(Cpi_[[#This Row],[Year]:[Month]],crudeoil[],3,FALSE)</f>
        <v>#VALUE!</v>
      </c>
    </row>
    <row r="2635" spans="1:8" hidden="1" x14ac:dyDescent="0.3">
      <c r="A2635" t="s">
        <v>33</v>
      </c>
      <c r="B2635">
        <v>2015</v>
      </c>
      <c r="C2635" t="s">
        <v>42</v>
      </c>
      <c r="D2635" t="s">
        <v>17</v>
      </c>
      <c r="E2635" t="e">
        <f>VLOOKUP(Cpi_[[#This Row],[Attribute]],#REF!,2,FALSE)</f>
        <v>#REF!</v>
      </c>
      <c r="F2635">
        <v>124</v>
      </c>
      <c r="G2635">
        <f>(Cpi_[[#This Row],[Value]]-F2634)/F2634</f>
        <v>-7.9435783221974685E-2</v>
      </c>
      <c r="H2635" t="e" cm="1" vm="1">
        <f t="array" aca="1" ref="H2635" ca="1">VLOOKUP(Cpi_[[#This Row],[Year]:[Month]],crudeoil[],3,FALSE)</f>
        <v>#VALUE!</v>
      </c>
    </row>
    <row r="2636" spans="1:8" hidden="1" x14ac:dyDescent="0.3">
      <c r="A2636" t="s">
        <v>33</v>
      </c>
      <c r="B2636">
        <v>2015</v>
      </c>
      <c r="C2636" t="s">
        <v>42</v>
      </c>
      <c r="D2636" t="s">
        <v>18</v>
      </c>
      <c r="E2636" t="e">
        <f>VLOOKUP(Cpi_[[#This Row],[Attribute]],#REF!,2,FALSE)</f>
        <v>#REF!</v>
      </c>
      <c r="F2636">
        <v>118.6</v>
      </c>
      <c r="G2636">
        <f>(Cpi_[[#This Row],[Value]]-F2635)/F2635</f>
        <v>-4.3548387096774242E-2</v>
      </c>
      <c r="H2636" t="e" cm="1" vm="1">
        <f t="array" aca="1" ref="H2636" ca="1">VLOOKUP(Cpi_[[#This Row],[Year]:[Month]],crudeoil[],3,FALSE)</f>
        <v>#VALUE!</v>
      </c>
    </row>
    <row r="2637" spans="1:8" hidden="1" x14ac:dyDescent="0.3">
      <c r="A2637" t="s">
        <v>33</v>
      </c>
      <c r="B2637">
        <v>2015</v>
      </c>
      <c r="C2637" t="s">
        <v>42</v>
      </c>
      <c r="D2637" t="s">
        <v>19</v>
      </c>
      <c r="E2637" t="e">
        <f>VLOOKUP(Cpi_[[#This Row],[Attribute]],#REF!,2,FALSE)</f>
        <v>#REF!</v>
      </c>
      <c r="F2637">
        <v>123.2</v>
      </c>
      <c r="G2637">
        <f>(Cpi_[[#This Row],[Value]]-F2636)/F2636</f>
        <v>3.8785834738617277E-2</v>
      </c>
      <c r="H2637" t="e" cm="1" vm="1">
        <f t="array" aca="1" ref="H2637" ca="1">VLOOKUP(Cpi_[[#This Row],[Year]:[Month]],crudeoil[],3,FALSE)</f>
        <v>#VALUE!</v>
      </c>
    </row>
    <row r="2638" spans="1:8" hidden="1" x14ac:dyDescent="0.3">
      <c r="A2638" t="s">
        <v>33</v>
      </c>
      <c r="B2638">
        <v>2015</v>
      </c>
      <c r="C2638" t="s">
        <v>42</v>
      </c>
      <c r="D2638" t="s">
        <v>20</v>
      </c>
      <c r="E2638" t="e">
        <f>VLOOKUP(Cpi_[[#This Row],[Attribute]],#REF!,2,FALSE)</f>
        <v>#REF!</v>
      </c>
      <c r="F2638">
        <v>121.6</v>
      </c>
      <c r="G2638">
        <f>(Cpi_[[#This Row],[Value]]-F2637)/F2637</f>
        <v>-1.2987012987013056E-2</v>
      </c>
      <c r="H2638" t="e" cm="1" vm="1">
        <f t="array" aca="1" ref="H2638" ca="1">VLOOKUP(Cpi_[[#This Row],[Year]:[Month]],crudeoil[],3,FALSE)</f>
        <v>#VALUE!</v>
      </c>
    </row>
    <row r="2639" spans="1:8" hidden="1" x14ac:dyDescent="0.3">
      <c r="A2639" t="s">
        <v>33</v>
      </c>
      <c r="B2639">
        <v>2015</v>
      </c>
      <c r="C2639" t="s">
        <v>42</v>
      </c>
      <c r="D2639" t="s">
        <v>21</v>
      </c>
      <c r="E2639" t="e">
        <f>VLOOKUP(Cpi_[[#This Row],[Attribute]],#REF!,2,FALSE)</f>
        <v>#REF!</v>
      </c>
      <c r="F2639">
        <v>115.1</v>
      </c>
      <c r="G2639">
        <f>(Cpi_[[#This Row],[Value]]-F2638)/F2638</f>
        <v>-5.3453947368421052E-2</v>
      </c>
      <c r="H2639" t="e" cm="1" vm="1">
        <f t="array" aca="1" ref="H2639" ca="1">VLOOKUP(Cpi_[[#This Row],[Year]:[Month]],crudeoil[],3,FALSE)</f>
        <v>#VALUE!</v>
      </c>
    </row>
    <row r="2640" spans="1:8" hidden="1" x14ac:dyDescent="0.3">
      <c r="A2640" t="s">
        <v>33</v>
      </c>
      <c r="B2640">
        <v>2015</v>
      </c>
      <c r="C2640" t="s">
        <v>42</v>
      </c>
      <c r="D2640" t="s">
        <v>22</v>
      </c>
      <c r="E2640" t="e">
        <f>VLOOKUP(Cpi_[[#This Row],[Attribute]],#REF!,2,FALSE)</f>
        <v>#REF!</v>
      </c>
      <c r="F2640">
        <v>120.4</v>
      </c>
      <c r="G2640">
        <f>(Cpi_[[#This Row],[Value]]-F2639)/F2639</f>
        <v>4.6046915725456224E-2</v>
      </c>
      <c r="H2640" t="e" cm="1" vm="1">
        <f t="array" aca="1" ref="H2640" ca="1">VLOOKUP(Cpi_[[#This Row],[Year]:[Month]],crudeoil[],3,FALSE)</f>
        <v>#VALUE!</v>
      </c>
    </row>
    <row r="2641" spans="1:8" hidden="1" x14ac:dyDescent="0.3">
      <c r="A2641" t="s">
        <v>33</v>
      </c>
      <c r="B2641">
        <v>2015</v>
      </c>
      <c r="C2641" t="s">
        <v>42</v>
      </c>
      <c r="D2641" t="s">
        <v>23</v>
      </c>
      <c r="E2641" t="e">
        <f>VLOOKUP(Cpi_[[#This Row],[Attribute]],#REF!,2,FALSE)</f>
        <v>#REF!</v>
      </c>
      <c r="F2641">
        <v>117.1</v>
      </c>
      <c r="G2641">
        <f>(Cpi_[[#This Row],[Value]]-F2640)/F2640</f>
        <v>-2.7408637873754246E-2</v>
      </c>
      <c r="H2641" t="e" cm="1" vm="1">
        <f t="array" aca="1" ref="H2641" ca="1">VLOOKUP(Cpi_[[#This Row],[Year]:[Month]],crudeoil[],3,FALSE)</f>
        <v>#VALUE!</v>
      </c>
    </row>
    <row r="2642" spans="1:8" hidden="1" x14ac:dyDescent="0.3">
      <c r="A2642" t="s">
        <v>33</v>
      </c>
      <c r="B2642">
        <v>2015</v>
      </c>
      <c r="C2642" t="s">
        <v>42</v>
      </c>
      <c r="D2642" t="s">
        <v>24</v>
      </c>
      <c r="E2642" t="e">
        <f>VLOOKUP(Cpi_[[#This Row],[Attribute]],#REF!,2,FALSE)</f>
        <v>#REF!</v>
      </c>
      <c r="F2642">
        <v>109.1</v>
      </c>
      <c r="G2642">
        <f>(Cpi_[[#This Row],[Value]]-F2641)/F2641</f>
        <v>-6.8317677198975232E-2</v>
      </c>
      <c r="H2642" t="e" cm="1" vm="1">
        <f t="array" aca="1" ref="H2642" ca="1">VLOOKUP(Cpi_[[#This Row],[Year]:[Month]],crudeoil[],3,FALSE)</f>
        <v>#VALUE!</v>
      </c>
    </row>
    <row r="2643" spans="1:8" hidden="1" x14ac:dyDescent="0.3">
      <c r="A2643" t="s">
        <v>33</v>
      </c>
      <c r="B2643">
        <v>2015</v>
      </c>
      <c r="C2643" t="s">
        <v>42</v>
      </c>
      <c r="D2643" t="s">
        <v>25</v>
      </c>
      <c r="E2643" t="e">
        <f>VLOOKUP(Cpi_[[#This Row],[Attribute]],#REF!,2,FALSE)</f>
        <v>#REF!</v>
      </c>
      <c r="F2643">
        <v>117.3</v>
      </c>
      <c r="G2643">
        <f>(Cpi_[[#This Row],[Value]]-F2642)/F2642</f>
        <v>7.5160403299725051E-2</v>
      </c>
      <c r="H2643" t="e" cm="1" vm="1">
        <f t="array" aca="1" ref="H2643" ca="1">VLOOKUP(Cpi_[[#This Row],[Year]:[Month]],crudeoil[],3,FALSE)</f>
        <v>#VALUE!</v>
      </c>
    </row>
    <row r="2644" spans="1:8" hidden="1" x14ac:dyDescent="0.3">
      <c r="A2644" t="s">
        <v>33</v>
      </c>
      <c r="B2644">
        <v>2015</v>
      </c>
      <c r="C2644" t="s">
        <v>42</v>
      </c>
      <c r="D2644" t="s">
        <v>26</v>
      </c>
      <c r="E2644" t="e">
        <f>VLOOKUP(Cpi_[[#This Row],[Attribute]],#REF!,2,FALSE)</f>
        <v>#REF!</v>
      </c>
      <c r="F2644">
        <v>126.5</v>
      </c>
      <c r="G2644">
        <f>(Cpi_[[#This Row],[Value]]-F2643)/F2643</f>
        <v>7.8431372549019635E-2</v>
      </c>
      <c r="H2644" t="e" cm="1" vm="1">
        <f t="array" aca="1" ref="H2644" ca="1">VLOOKUP(Cpi_[[#This Row],[Year]:[Month]],crudeoil[],3,FALSE)</f>
        <v>#VALUE!</v>
      </c>
    </row>
    <row r="2645" spans="1:8" hidden="1" x14ac:dyDescent="0.3">
      <c r="A2645" t="s">
        <v>33</v>
      </c>
      <c r="B2645">
        <v>2015</v>
      </c>
      <c r="C2645" t="s">
        <v>42</v>
      </c>
      <c r="D2645" t="s">
        <v>27</v>
      </c>
      <c r="E2645" t="e">
        <f>VLOOKUP(Cpi_[[#This Row],[Attribute]],#REF!,2,FALSE)</f>
        <v>#REF!</v>
      </c>
      <c r="F2645">
        <v>112.9</v>
      </c>
      <c r="G2645">
        <f>(Cpi_[[#This Row],[Value]]-F2644)/F2644</f>
        <v>-0.10750988142292485</v>
      </c>
      <c r="H2645" t="e" cm="1" vm="1">
        <f t="array" aca="1" ref="H2645" ca="1">VLOOKUP(Cpi_[[#This Row],[Year]:[Month]],crudeoil[],3,FALSE)</f>
        <v>#VALUE!</v>
      </c>
    </row>
    <row r="2646" spans="1:8" hidden="1" x14ac:dyDescent="0.3">
      <c r="A2646" t="s">
        <v>33</v>
      </c>
      <c r="B2646">
        <v>2015</v>
      </c>
      <c r="C2646" t="s">
        <v>42</v>
      </c>
      <c r="D2646" t="s">
        <v>28</v>
      </c>
      <c r="E2646" t="e">
        <f>VLOOKUP(Cpi_[[#This Row],[Attribute]],#REF!,2,FALSE)</f>
        <v>#REF!</v>
      </c>
      <c r="F2646">
        <v>116.2</v>
      </c>
      <c r="G2646">
        <f>(Cpi_[[#This Row],[Value]]-F2645)/F2645</f>
        <v>2.9229406554472957E-2</v>
      </c>
      <c r="H2646" t="e" cm="1" vm="1">
        <f t="array" aca="1" ref="H2646" ca="1">VLOOKUP(Cpi_[[#This Row],[Year]:[Month]],crudeoil[],3,FALSE)</f>
        <v>#VALUE!</v>
      </c>
    </row>
    <row r="2647" spans="1:8" hidden="1" x14ac:dyDescent="0.3">
      <c r="A2647" t="s">
        <v>33</v>
      </c>
      <c r="B2647">
        <v>2015</v>
      </c>
      <c r="C2647" t="s">
        <v>42</v>
      </c>
      <c r="D2647" t="s">
        <v>29</v>
      </c>
      <c r="E2647" t="e" cm="1">
        <f t="array" aca="1" ref="E2647" ca="1">VLGeneral indexGeneral indexKUP(Cpi_[[#This Row],[Attribute]],#REF!,2,FALSE)</f>
        <v>#NAME?</v>
      </c>
      <c r="F2647">
        <v>123.5</v>
      </c>
      <c r="G2647">
        <f>(Cpi_[[#This Row],[Value]]-F2646)/F2646</f>
        <v>6.2822719449225448E-2</v>
      </c>
      <c r="H2647" t="e" cm="1" vm="1">
        <f t="array" aca="1" ref="H2647" ca="1">VLOOKUP(Cpi_[[#This Row],[Year]:[Month]],crudeoil[],3,FALSE)</f>
        <v>#VALUE!</v>
      </c>
    </row>
    <row r="2648" spans="1:8" hidden="1" x14ac:dyDescent="0.3">
      <c r="A2648" t="s">
        <v>34</v>
      </c>
      <c r="B2648">
        <v>2015</v>
      </c>
      <c r="C2648" t="s">
        <v>42</v>
      </c>
      <c r="D2648" t="s">
        <v>3</v>
      </c>
      <c r="E2648" t="e">
        <f>VLOOKUP(Cpi_[[#This Row],[Attribute]],#REF!,2,FALSE)</f>
        <v>#REF!</v>
      </c>
      <c r="F2648">
        <v>124.6</v>
      </c>
      <c r="G2648">
        <f>(Cpi_[[#This Row],[Value]]-F2647)/F2647</f>
        <v>8.9068825910930717E-3</v>
      </c>
      <c r="H2648" t="e" cm="1" vm="1">
        <f t="array" aca="1" ref="H2648" ca="1">VLOOKUP(Cpi_[[#This Row],[Year]:[Month]],crudeoil[],3,FALSE)</f>
        <v>#VALUE!</v>
      </c>
    </row>
    <row r="2649" spans="1:8" hidden="1" x14ac:dyDescent="0.3">
      <c r="A2649" t="s">
        <v>34</v>
      </c>
      <c r="B2649">
        <v>2015</v>
      </c>
      <c r="C2649" t="s">
        <v>42</v>
      </c>
      <c r="D2649" t="s">
        <v>4</v>
      </c>
      <c r="E2649" t="e">
        <f>VLOOKUP(Cpi_[[#This Row],[Attribute]],#REF!,2,FALSE)</f>
        <v>#REF!</v>
      </c>
      <c r="F2649">
        <v>130.4</v>
      </c>
      <c r="G2649">
        <f>(Cpi_[[#This Row],[Value]]-F2648)/F2648</f>
        <v>4.6548956661316303E-2</v>
      </c>
      <c r="H2649" t="e" cm="1" vm="1">
        <f t="array" aca="1" ref="H2649" ca="1">VLOOKUP(Cpi_[[#This Row],[Year]:[Month]],crudeoil[],3,FALSE)</f>
        <v>#VALUE!</v>
      </c>
    </row>
    <row r="2650" spans="1:8" hidden="1" x14ac:dyDescent="0.3">
      <c r="A2650" t="s">
        <v>34</v>
      </c>
      <c r="B2650">
        <v>2015</v>
      </c>
      <c r="C2650" t="s">
        <v>42</v>
      </c>
      <c r="D2650" t="s">
        <v>5</v>
      </c>
      <c r="E2650" t="e">
        <f>VLOOKUP(Cpi_[[#This Row],[Attribute]],#REF!,2,FALSE)</f>
        <v>#REF!</v>
      </c>
      <c r="F2650">
        <v>118.7</v>
      </c>
      <c r="G2650">
        <f>(Cpi_[[#This Row],[Value]]-F2649)/F2649</f>
        <v>-8.9723926380368121E-2</v>
      </c>
      <c r="H2650" t="e" cm="1" vm="1">
        <f t="array" aca="1" ref="H2650" ca="1">VLOOKUP(Cpi_[[#This Row],[Year]:[Month]],crudeoil[],3,FALSE)</f>
        <v>#VALUE!</v>
      </c>
    </row>
    <row r="2651" spans="1:8" hidden="1" x14ac:dyDescent="0.3">
      <c r="A2651" t="s">
        <v>34</v>
      </c>
      <c r="B2651">
        <v>2015</v>
      </c>
      <c r="C2651" t="s">
        <v>42</v>
      </c>
      <c r="D2651" t="s">
        <v>6</v>
      </c>
      <c r="E2651" t="e">
        <f>VLOOKUP(Cpi_[[#This Row],[Attribute]],#REF!,2,FALSE)</f>
        <v>#REF!</v>
      </c>
      <c r="F2651">
        <v>128.9</v>
      </c>
      <c r="G2651">
        <f>(Cpi_[[#This Row],[Value]]-F2650)/F2650</f>
        <v>8.5930918281381663E-2</v>
      </c>
      <c r="H2651" t="e" cm="1" vm="1">
        <f t="array" aca="1" ref="H2651" ca="1">VLOOKUP(Cpi_[[#This Row],[Year]:[Month]],crudeoil[],3,FALSE)</f>
        <v>#VALUE!</v>
      </c>
    </row>
    <row r="2652" spans="1:8" hidden="1" x14ac:dyDescent="0.3">
      <c r="A2652" t="s">
        <v>34</v>
      </c>
      <c r="B2652">
        <v>2015</v>
      </c>
      <c r="C2652" t="s">
        <v>42</v>
      </c>
      <c r="D2652" t="s">
        <v>7</v>
      </c>
      <c r="E2652" t="e">
        <f>VLOOKUP(Cpi_[[#This Row],[Attribute]],#REF!,2,FALSE)</f>
        <v>#REF!</v>
      </c>
      <c r="F2652">
        <v>111.9</v>
      </c>
      <c r="G2652">
        <f>(Cpi_[[#This Row],[Value]]-F2651)/F2651</f>
        <v>-0.13188518231186966</v>
      </c>
      <c r="H2652" t="e" cm="1" vm="1">
        <f t="array" aca="1" ref="H2652" ca="1">VLOOKUP(Cpi_[[#This Row],[Year]:[Month]],crudeoil[],3,FALSE)</f>
        <v>#VALUE!</v>
      </c>
    </row>
    <row r="2653" spans="1:8" hidden="1" x14ac:dyDescent="0.3">
      <c r="A2653" t="s">
        <v>34</v>
      </c>
      <c r="B2653">
        <v>2015</v>
      </c>
      <c r="C2653" t="s">
        <v>42</v>
      </c>
      <c r="D2653" t="s">
        <v>8</v>
      </c>
      <c r="E2653" t="e">
        <f>VLOOKUP(Cpi_[[#This Row],[Attribute]],#REF!,2,FALSE)</f>
        <v>#REF!</v>
      </c>
      <c r="F2653">
        <v>128.4</v>
      </c>
      <c r="G2653">
        <f>(Cpi_[[#This Row],[Value]]-F2652)/F2652</f>
        <v>0.14745308310991956</v>
      </c>
      <c r="H2653" t="e" cm="1" vm="1">
        <f t="array" aca="1" ref="H2653" ca="1">VLOOKUP(Cpi_[[#This Row],[Year]:[Month]],crudeoil[],3,FALSE)</f>
        <v>#VALUE!</v>
      </c>
    </row>
    <row r="2654" spans="1:8" hidden="1" x14ac:dyDescent="0.3">
      <c r="A2654" t="s">
        <v>34</v>
      </c>
      <c r="B2654">
        <v>2015</v>
      </c>
      <c r="C2654" t="s">
        <v>42</v>
      </c>
      <c r="D2654" t="s">
        <v>9</v>
      </c>
      <c r="E2654" t="e">
        <f>VLOOKUP(Cpi_[[#This Row],[Attribute]],#REF!,2,FALSE)</f>
        <v>#REF!</v>
      </c>
      <c r="F2654">
        <v>162.19999999999999</v>
      </c>
      <c r="G2654">
        <f>(Cpi_[[#This Row],[Value]]-F2653)/F2653</f>
        <v>0.26323987538940796</v>
      </c>
      <c r="H2654" t="e" cm="1" vm="1">
        <f t="array" aca="1" ref="H2654" ca="1">VLOOKUP(Cpi_[[#This Row],[Year]:[Month]],crudeoil[],3,FALSE)</f>
        <v>#VALUE!</v>
      </c>
    </row>
    <row r="2655" spans="1:8" hidden="1" x14ac:dyDescent="0.3">
      <c r="A2655" t="s">
        <v>34</v>
      </c>
      <c r="B2655">
        <v>2015</v>
      </c>
      <c r="C2655" t="s">
        <v>42</v>
      </c>
      <c r="D2655" t="s">
        <v>10</v>
      </c>
      <c r="E2655" t="e">
        <f>VLOOKUP(Cpi_[[#This Row],[Attribute]],#REF!,2,FALSE)</f>
        <v>#REF!</v>
      </c>
      <c r="F2655">
        <v>150</v>
      </c>
      <c r="G2655">
        <f>(Cpi_[[#This Row],[Value]]-F2654)/F2654</f>
        <v>-7.5215782983970345E-2</v>
      </c>
      <c r="H2655" t="e" cm="1" vm="1">
        <f t="array" aca="1" ref="H2655" ca="1">VLOOKUP(Cpi_[[#This Row],[Year]:[Month]],crudeoil[],3,FALSE)</f>
        <v>#VALUE!</v>
      </c>
    </row>
    <row r="2656" spans="1:8" hidden="1" x14ac:dyDescent="0.3">
      <c r="A2656" t="s">
        <v>34</v>
      </c>
      <c r="B2656">
        <v>2015</v>
      </c>
      <c r="C2656" t="s">
        <v>42</v>
      </c>
      <c r="D2656" t="s">
        <v>11</v>
      </c>
      <c r="E2656" t="e">
        <f>VLOOKUP(Cpi_[[#This Row],[Attribute]],#REF!,2,FALSE)</f>
        <v>#REF!</v>
      </c>
      <c r="F2656">
        <v>90.4</v>
      </c>
      <c r="G2656">
        <f>(Cpi_[[#This Row],[Value]]-F2655)/F2655</f>
        <v>-0.39733333333333332</v>
      </c>
      <c r="H2656" t="e" cm="1" vm="1">
        <f t="array" aca="1" ref="H2656" ca="1">VLOOKUP(Cpi_[[#This Row],[Year]:[Month]],crudeoil[],3,FALSE)</f>
        <v>#VALUE!</v>
      </c>
    </row>
    <row r="2657" spans="1:8" hidden="1" x14ac:dyDescent="0.3">
      <c r="A2657" t="s">
        <v>34</v>
      </c>
      <c r="B2657">
        <v>2015</v>
      </c>
      <c r="C2657" t="s">
        <v>42</v>
      </c>
      <c r="D2657" t="s">
        <v>12</v>
      </c>
      <c r="E2657" t="e">
        <f>VLOOKUP(Cpi_[[#This Row],[Attribute]],#REF!,2,FALSE)</f>
        <v>#REF!</v>
      </c>
      <c r="F2657">
        <v>128.4</v>
      </c>
      <c r="G2657">
        <f>(Cpi_[[#This Row],[Value]]-F2656)/F2656</f>
        <v>0.42035398230088494</v>
      </c>
      <c r="H2657" t="e" cm="1" vm="1">
        <f t="array" aca="1" ref="H2657" ca="1">VLOOKUP(Cpi_[[#This Row],[Year]:[Month]],crudeoil[],3,FALSE)</f>
        <v>#VALUE!</v>
      </c>
    </row>
    <row r="2658" spans="1:8" hidden="1" x14ac:dyDescent="0.3">
      <c r="A2658" t="s">
        <v>34</v>
      </c>
      <c r="B2658">
        <v>2015</v>
      </c>
      <c r="C2658" t="s">
        <v>42</v>
      </c>
      <c r="D2658" t="s">
        <v>13</v>
      </c>
      <c r="E2658" t="e">
        <f>VLOOKUP(Cpi_[[#This Row],[Attribute]],#REF!,2,FALSE)</f>
        <v>#REF!</v>
      </c>
      <c r="F2658">
        <v>120.7</v>
      </c>
      <c r="G2658">
        <f>(Cpi_[[#This Row],[Value]]-F2657)/F2657</f>
        <v>-5.9968847352024943E-2</v>
      </c>
      <c r="H2658" t="e" cm="1" vm="1">
        <f t="array" aca="1" ref="H2658" ca="1">VLOOKUP(Cpi_[[#This Row],[Year]:[Month]],crudeoil[],3,FALSE)</f>
        <v>#VALUE!</v>
      </c>
    </row>
    <row r="2659" spans="1:8" hidden="1" x14ac:dyDescent="0.3">
      <c r="A2659" t="s">
        <v>34</v>
      </c>
      <c r="B2659">
        <v>2015</v>
      </c>
      <c r="C2659" t="s">
        <v>42</v>
      </c>
      <c r="D2659" t="s">
        <v>14</v>
      </c>
      <c r="E2659" t="e">
        <f>VLOOKUP(Cpi_[[#This Row],[Attribute]],#REF!,2,FALSE)</f>
        <v>#REF!</v>
      </c>
      <c r="F2659">
        <v>132.5</v>
      </c>
      <c r="G2659">
        <f>(Cpi_[[#This Row],[Value]]-F2658)/F2658</f>
        <v>9.7763048881524414E-2</v>
      </c>
      <c r="H2659" t="e" cm="1" vm="1">
        <f t="array" aca="1" ref="H2659" ca="1">VLOOKUP(Cpi_[[#This Row],[Year]:[Month]],crudeoil[],3,FALSE)</f>
        <v>#VALUE!</v>
      </c>
    </row>
    <row r="2660" spans="1:8" hidden="1" x14ac:dyDescent="0.3">
      <c r="A2660" t="s">
        <v>34</v>
      </c>
      <c r="B2660">
        <v>2015</v>
      </c>
      <c r="C2660" t="s">
        <v>42</v>
      </c>
      <c r="D2660" t="s">
        <v>15</v>
      </c>
      <c r="E2660" t="e">
        <f>VLOOKUP(Cpi_[[#This Row],[Attribute]],#REF!,2,FALSE)</f>
        <v>#REF!</v>
      </c>
      <c r="F2660">
        <v>131.19999999999999</v>
      </c>
      <c r="G2660">
        <f>(Cpi_[[#This Row],[Value]]-F2659)/F2659</f>
        <v>-9.8113207547170667E-3</v>
      </c>
      <c r="H2660" t="e" cm="1" vm="1">
        <f t="array" aca="1" ref="H2660" ca="1">VLOOKUP(Cpi_[[#This Row],[Year]:[Month]],crudeoil[],3,FALSE)</f>
        <v>#VALUE!</v>
      </c>
    </row>
    <row r="2661" spans="1:8" hidden="1" x14ac:dyDescent="0.3">
      <c r="A2661" t="s">
        <v>34</v>
      </c>
      <c r="B2661">
        <v>2015</v>
      </c>
      <c r="C2661" t="s">
        <v>42</v>
      </c>
      <c r="D2661" t="s">
        <v>16</v>
      </c>
      <c r="E2661" t="e">
        <f>VLOOKUP(Cpi_[[#This Row],[Attribute]],#REF!,2,FALSE)</f>
        <v>#REF!</v>
      </c>
      <c r="F2661">
        <v>132</v>
      </c>
      <c r="G2661">
        <f>(Cpi_[[#This Row],[Value]]-F2660)/F2660</f>
        <v>6.097560975609843E-3</v>
      </c>
      <c r="H2661" t="e" cm="1" vm="1">
        <f t="array" aca="1" ref="H2661" ca="1">VLOOKUP(Cpi_[[#This Row],[Year]:[Month]],crudeoil[],3,FALSE)</f>
        <v>#VALUE!</v>
      </c>
    </row>
    <row r="2662" spans="1:8" hidden="1" x14ac:dyDescent="0.3">
      <c r="A2662" t="s">
        <v>34</v>
      </c>
      <c r="B2662">
        <v>2015</v>
      </c>
      <c r="C2662" t="s">
        <v>42</v>
      </c>
      <c r="D2662" t="s">
        <v>17</v>
      </c>
      <c r="E2662" t="e">
        <f>VLOOKUP(Cpi_[[#This Row],[Attribute]],#REF!,2,FALSE)</f>
        <v>#REF!</v>
      </c>
      <c r="F2662">
        <v>127.9</v>
      </c>
      <c r="G2662">
        <f>(Cpi_[[#This Row],[Value]]-F2661)/F2661</f>
        <v>-3.1060606060606018E-2</v>
      </c>
      <c r="H2662" t="e" cm="1" vm="1">
        <f t="array" aca="1" ref="H2662" ca="1">VLOOKUP(Cpi_[[#This Row],[Year]:[Month]],crudeoil[],3,FALSE)</f>
        <v>#VALUE!</v>
      </c>
    </row>
    <row r="2663" spans="1:8" hidden="1" x14ac:dyDescent="0.3">
      <c r="A2663" t="s">
        <v>34</v>
      </c>
      <c r="B2663">
        <v>2015</v>
      </c>
      <c r="C2663" t="s">
        <v>42</v>
      </c>
      <c r="D2663" t="s">
        <v>18</v>
      </c>
      <c r="E2663" t="e">
        <f>VLOOKUP(Cpi_[[#This Row],[Attribute]],#REF!,2,FALSE)</f>
        <v>#REF!</v>
      </c>
      <c r="F2663">
        <v>123.4</v>
      </c>
      <c r="G2663">
        <f>(Cpi_[[#This Row],[Value]]-F2662)/F2662</f>
        <v>-3.5183737294761534E-2</v>
      </c>
      <c r="H2663" t="e" cm="1" vm="1">
        <f t="array" aca="1" ref="H2663" ca="1">VLOOKUP(Cpi_[[#This Row],[Year]:[Month]],crudeoil[],3,FALSE)</f>
        <v>#VALUE!</v>
      </c>
    </row>
    <row r="2664" spans="1:8" hidden="1" x14ac:dyDescent="0.3">
      <c r="A2664" t="s">
        <v>34</v>
      </c>
      <c r="B2664">
        <v>2015</v>
      </c>
      <c r="C2664" t="s">
        <v>42</v>
      </c>
      <c r="D2664" t="s">
        <v>19</v>
      </c>
      <c r="E2664" t="e">
        <f>VLOOKUP(Cpi_[[#This Row],[Attribute]],#REF!,2,FALSE)</f>
        <v>#REF!</v>
      </c>
      <c r="F2664">
        <v>127.2</v>
      </c>
      <c r="G2664">
        <f>(Cpi_[[#This Row],[Value]]-F2663)/F2663</f>
        <v>3.0794165316045355E-2</v>
      </c>
      <c r="H2664" t="e" cm="1" vm="1">
        <f t="array" aca="1" ref="H2664" ca="1">VLOOKUP(Cpi_[[#This Row],[Year]:[Month]],crudeoil[],3,FALSE)</f>
        <v>#VALUE!</v>
      </c>
    </row>
    <row r="2665" spans="1:8" hidden="1" x14ac:dyDescent="0.3">
      <c r="A2665" t="s">
        <v>34</v>
      </c>
      <c r="B2665">
        <v>2015</v>
      </c>
      <c r="C2665" t="s">
        <v>42</v>
      </c>
      <c r="D2665" t="s">
        <v>20</v>
      </c>
      <c r="E2665" t="e">
        <f>VLOOKUP(Cpi_[[#This Row],[Attribute]],#REF!,2,FALSE)</f>
        <v>#REF!</v>
      </c>
      <c r="F2665">
        <v>121.6</v>
      </c>
      <c r="G2665">
        <f>(Cpi_[[#This Row],[Value]]-F2664)/F2664</f>
        <v>-4.4025157232704469E-2</v>
      </c>
      <c r="H2665" t="e" cm="1" vm="1">
        <f t="array" aca="1" ref="H2665" ca="1">VLOOKUP(Cpi_[[#This Row],[Year]:[Month]],crudeoil[],3,FALSE)</f>
        <v>#VALUE!</v>
      </c>
    </row>
    <row r="2666" spans="1:8" hidden="1" x14ac:dyDescent="0.3">
      <c r="A2666" t="s">
        <v>34</v>
      </c>
      <c r="B2666">
        <v>2015</v>
      </c>
      <c r="C2666" t="s">
        <v>42</v>
      </c>
      <c r="D2666" t="s">
        <v>21</v>
      </c>
      <c r="E2666" t="e">
        <f>VLOOKUP(Cpi_[[#This Row],[Attribute]],#REF!,2,FALSE)</f>
        <v>#REF!</v>
      </c>
      <c r="F2666">
        <v>120.4</v>
      </c>
      <c r="G2666">
        <f>(Cpi_[[#This Row],[Value]]-F2665)/F2665</f>
        <v>-9.8684210526314865E-3</v>
      </c>
      <c r="H2666" t="e" cm="1" vm="1">
        <f t="array" aca="1" ref="H2666" ca="1">VLOOKUP(Cpi_[[#This Row],[Year]:[Month]],crudeoil[],3,FALSE)</f>
        <v>#VALUE!</v>
      </c>
    </row>
    <row r="2667" spans="1:8" hidden="1" x14ac:dyDescent="0.3">
      <c r="A2667" t="s">
        <v>34</v>
      </c>
      <c r="B2667">
        <v>2015</v>
      </c>
      <c r="C2667" t="s">
        <v>42</v>
      </c>
      <c r="D2667" t="s">
        <v>22</v>
      </c>
      <c r="E2667" t="e">
        <f>VLOOKUP(Cpi_[[#This Row],[Attribute]],#REF!,2,FALSE)</f>
        <v>#REF!</v>
      </c>
      <c r="F2667">
        <v>122.6</v>
      </c>
      <c r="G2667">
        <f>(Cpi_[[#This Row],[Value]]-F2666)/F2666</f>
        <v>1.827242524916934E-2</v>
      </c>
      <c r="H2667" t="e" cm="1" vm="1">
        <f t="array" aca="1" ref="H2667" ca="1">VLOOKUP(Cpi_[[#This Row],[Year]:[Month]],crudeoil[],3,FALSE)</f>
        <v>#VALUE!</v>
      </c>
    </row>
    <row r="2668" spans="1:8" hidden="1" x14ac:dyDescent="0.3">
      <c r="A2668" t="s">
        <v>34</v>
      </c>
      <c r="B2668">
        <v>2015</v>
      </c>
      <c r="C2668" t="s">
        <v>42</v>
      </c>
      <c r="D2668" t="s">
        <v>23</v>
      </c>
      <c r="E2668" t="e">
        <f>VLOOKUP(Cpi_[[#This Row],[Attribute]],#REF!,2,FALSE)</f>
        <v>#REF!</v>
      </c>
      <c r="F2668">
        <v>119.8</v>
      </c>
      <c r="G2668">
        <f>(Cpi_[[#This Row],[Value]]-F2667)/F2667</f>
        <v>-2.2838499184339292E-2</v>
      </c>
      <c r="H2668" t="e" cm="1" vm="1">
        <f t="array" aca="1" ref="H2668" ca="1">VLOOKUP(Cpi_[[#This Row],[Year]:[Month]],crudeoil[],3,FALSE)</f>
        <v>#VALUE!</v>
      </c>
    </row>
    <row r="2669" spans="1:8" hidden="1" x14ac:dyDescent="0.3">
      <c r="A2669" t="s">
        <v>34</v>
      </c>
      <c r="B2669">
        <v>2015</v>
      </c>
      <c r="C2669" t="s">
        <v>42</v>
      </c>
      <c r="D2669" t="s">
        <v>24</v>
      </c>
      <c r="E2669" t="e">
        <f>VLOOKUP(Cpi_[[#This Row],[Attribute]],#REF!,2,FALSE)</f>
        <v>#REF!</v>
      </c>
      <c r="F2669">
        <v>111.3</v>
      </c>
      <c r="G2669">
        <f>(Cpi_[[#This Row],[Value]]-F2668)/F2668</f>
        <v>-7.0951585976627721E-2</v>
      </c>
      <c r="H2669" t="e" cm="1" vm="1">
        <f t="array" aca="1" ref="H2669" ca="1">VLOOKUP(Cpi_[[#This Row],[Year]:[Month]],crudeoil[],3,FALSE)</f>
        <v>#VALUE!</v>
      </c>
    </row>
    <row r="2670" spans="1:8" hidden="1" x14ac:dyDescent="0.3">
      <c r="A2670" t="s">
        <v>34</v>
      </c>
      <c r="B2670">
        <v>2015</v>
      </c>
      <c r="C2670" t="s">
        <v>42</v>
      </c>
      <c r="D2670" t="s">
        <v>25</v>
      </c>
      <c r="E2670" t="e">
        <f>VLOOKUP(Cpi_[[#This Row],[Attribute]],#REF!,2,FALSE)</f>
        <v>#REF!</v>
      </c>
      <c r="F2670">
        <v>118.3</v>
      </c>
      <c r="G2670">
        <f>(Cpi_[[#This Row],[Value]]-F2669)/F2669</f>
        <v>6.2893081761006289E-2</v>
      </c>
      <c r="H2670" t="e" cm="1" vm="1">
        <f t="array" aca="1" ref="H2670" ca="1">VLOOKUP(Cpi_[[#This Row],[Year]:[Month]],crudeoil[],3,FALSE)</f>
        <v>#VALUE!</v>
      </c>
    </row>
    <row r="2671" spans="1:8" hidden="1" x14ac:dyDescent="0.3">
      <c r="A2671" t="s">
        <v>34</v>
      </c>
      <c r="B2671">
        <v>2015</v>
      </c>
      <c r="C2671" t="s">
        <v>42</v>
      </c>
      <c r="D2671" t="s">
        <v>26</v>
      </c>
      <c r="E2671" t="e">
        <f>VLOOKUP(Cpi_[[#This Row],[Attribute]],#REF!,2,FALSE)</f>
        <v>#REF!</v>
      </c>
      <c r="F2671">
        <v>125.7</v>
      </c>
      <c r="G2671">
        <f>(Cpi_[[#This Row],[Value]]-F2670)/F2670</f>
        <v>6.2552831783601062E-2</v>
      </c>
      <c r="H2671" t="e" cm="1" vm="1">
        <f t="array" aca="1" ref="H2671" ca="1">VLOOKUP(Cpi_[[#This Row],[Year]:[Month]],crudeoil[],3,FALSE)</f>
        <v>#VALUE!</v>
      </c>
    </row>
    <row r="2672" spans="1:8" hidden="1" x14ac:dyDescent="0.3">
      <c r="A2672" t="s">
        <v>34</v>
      </c>
      <c r="B2672">
        <v>2015</v>
      </c>
      <c r="C2672" t="s">
        <v>42</v>
      </c>
      <c r="D2672" t="s">
        <v>27</v>
      </c>
      <c r="E2672" t="e">
        <f>VLOOKUP(Cpi_[[#This Row],[Attribute]],#REF!,2,FALSE)</f>
        <v>#REF!</v>
      </c>
      <c r="F2672">
        <v>113.4</v>
      </c>
      <c r="G2672">
        <f>(Cpi_[[#This Row],[Value]]-F2671)/F2671</f>
        <v>-9.7852028639618116E-2</v>
      </c>
      <c r="H2672" t="e" cm="1" vm="1">
        <f t="array" aca="1" ref="H2672" ca="1">VLOOKUP(Cpi_[[#This Row],[Year]:[Month]],crudeoil[],3,FALSE)</f>
        <v>#VALUE!</v>
      </c>
    </row>
    <row r="2673" spans="1:8" hidden="1" x14ac:dyDescent="0.3">
      <c r="A2673" t="s">
        <v>34</v>
      </c>
      <c r="B2673">
        <v>2015</v>
      </c>
      <c r="C2673" t="s">
        <v>42</v>
      </c>
      <c r="D2673" t="s">
        <v>28</v>
      </c>
      <c r="E2673" t="e">
        <f>VLOOKUP(Cpi_[[#This Row],[Attribute]],#REF!,2,FALSE)</f>
        <v>#REF!</v>
      </c>
      <c r="F2673">
        <v>117.5</v>
      </c>
      <c r="G2673">
        <f>(Cpi_[[#This Row],[Value]]-F2672)/F2672</f>
        <v>3.6155202821869438E-2</v>
      </c>
      <c r="H2673" t="e" cm="1" vm="1">
        <f t="array" aca="1" ref="H2673" ca="1">VLOOKUP(Cpi_[[#This Row],[Year]:[Month]],crudeoil[],3,FALSE)</f>
        <v>#VALUE!</v>
      </c>
    </row>
    <row r="2674" spans="1:8" hidden="1" x14ac:dyDescent="0.3">
      <c r="A2674" t="s">
        <v>34</v>
      </c>
      <c r="B2674">
        <v>2015</v>
      </c>
      <c r="C2674" t="s">
        <v>42</v>
      </c>
      <c r="D2674" t="s">
        <v>29</v>
      </c>
      <c r="E2674" t="e" cm="1">
        <f t="array" aca="1" ref="E2674" ca="1">VLGeneral indexGeneral indexKUP(Cpi_[[#This Row],[Attribute]],#REF!,2,FALSE)</f>
        <v>#NAME?</v>
      </c>
      <c r="F2674">
        <v>125.4</v>
      </c>
      <c r="G2674">
        <f>(Cpi_[[#This Row],[Value]]-F2673)/F2673</f>
        <v>6.7234042553191542E-2</v>
      </c>
      <c r="H2674" t="e" cm="1" vm="1">
        <f t="array" aca="1" ref="H2674" ca="1">VLOOKUP(Cpi_[[#This Row],[Year]:[Month]],crudeoil[],3,FALSE)</f>
        <v>#VALUE!</v>
      </c>
    </row>
    <row r="2675" spans="1:8" hidden="1" x14ac:dyDescent="0.3">
      <c r="A2675" t="s">
        <v>30</v>
      </c>
      <c r="B2675">
        <v>2015</v>
      </c>
      <c r="C2675" t="s">
        <v>43</v>
      </c>
      <c r="D2675" t="s">
        <v>3</v>
      </c>
      <c r="E2675" t="e">
        <f>VLOOKUP(Cpi_[[#This Row],[Attribute]],#REF!,2,FALSE)</f>
        <v>#REF!</v>
      </c>
      <c r="F2675">
        <v>125.6</v>
      </c>
      <c r="G2675">
        <f>(Cpi_[[#This Row],[Value]]-F2674)/F2674</f>
        <v>1.5948963317383464E-3</v>
      </c>
      <c r="H2675" t="e" cm="1" vm="1">
        <f t="array" aca="1" ref="H2675" ca="1">VLOOKUP(Cpi_[[#This Row],[Year]:[Month]],crudeoil[],3,FALSE)</f>
        <v>#VALUE!</v>
      </c>
    </row>
    <row r="2676" spans="1:8" hidden="1" x14ac:dyDescent="0.3">
      <c r="A2676" t="s">
        <v>30</v>
      </c>
      <c r="B2676">
        <v>2015</v>
      </c>
      <c r="C2676" t="s">
        <v>43</v>
      </c>
      <c r="D2676" t="s">
        <v>4</v>
      </c>
      <c r="E2676" t="e">
        <f>VLOOKUP(Cpi_[[#This Row],[Attribute]],#REF!,2,FALSE)</f>
        <v>#REF!</v>
      </c>
      <c r="F2676">
        <v>130.4</v>
      </c>
      <c r="G2676">
        <f>(Cpi_[[#This Row],[Value]]-F2675)/F2675</f>
        <v>3.8216560509554236E-2</v>
      </c>
      <c r="H2676" t="e" cm="1" vm="1">
        <f t="array" aca="1" ref="H2676" ca="1">VLOOKUP(Cpi_[[#This Row],[Year]:[Month]],crudeoil[],3,FALSE)</f>
        <v>#VALUE!</v>
      </c>
    </row>
    <row r="2677" spans="1:8" hidden="1" x14ac:dyDescent="0.3">
      <c r="A2677" t="s">
        <v>30</v>
      </c>
      <c r="B2677">
        <v>2015</v>
      </c>
      <c r="C2677" t="s">
        <v>43</v>
      </c>
      <c r="D2677" t="s">
        <v>5</v>
      </c>
      <c r="E2677" t="e">
        <f>VLOOKUP(Cpi_[[#This Row],[Attribute]],#REF!,2,FALSE)</f>
        <v>#REF!</v>
      </c>
      <c r="F2677">
        <v>120.8</v>
      </c>
      <c r="G2677">
        <f>(Cpi_[[#This Row],[Value]]-F2676)/F2676</f>
        <v>-7.3619631901840552E-2</v>
      </c>
      <c r="H2677" t="e" cm="1" vm="1">
        <f t="array" aca="1" ref="H2677" ca="1">VLOOKUP(Cpi_[[#This Row],[Year]:[Month]],crudeoil[],3,FALSE)</f>
        <v>#VALUE!</v>
      </c>
    </row>
    <row r="2678" spans="1:8" hidden="1" x14ac:dyDescent="0.3">
      <c r="A2678" t="s">
        <v>30</v>
      </c>
      <c r="B2678">
        <v>2015</v>
      </c>
      <c r="C2678" t="s">
        <v>43</v>
      </c>
      <c r="D2678" t="s">
        <v>6</v>
      </c>
      <c r="E2678" t="e">
        <f>VLOOKUP(Cpi_[[#This Row],[Attribute]],#REF!,2,FALSE)</f>
        <v>#REF!</v>
      </c>
      <c r="F2678">
        <v>129.4</v>
      </c>
      <c r="G2678">
        <f>(Cpi_[[#This Row],[Value]]-F2677)/F2677</f>
        <v>7.1192052980132522E-2</v>
      </c>
      <c r="H2678" t="e" cm="1" vm="1">
        <f t="array" aca="1" ref="H2678" ca="1">VLOOKUP(Cpi_[[#This Row],[Year]:[Month]],crudeoil[],3,FALSE)</f>
        <v>#VALUE!</v>
      </c>
    </row>
    <row r="2679" spans="1:8" hidden="1" x14ac:dyDescent="0.3">
      <c r="A2679" t="s">
        <v>30</v>
      </c>
      <c r="B2679">
        <v>2015</v>
      </c>
      <c r="C2679" t="s">
        <v>43</v>
      </c>
      <c r="D2679" t="s">
        <v>7</v>
      </c>
      <c r="E2679" t="e">
        <f>VLOOKUP(Cpi_[[#This Row],[Attribute]],#REF!,2,FALSE)</f>
        <v>#REF!</v>
      </c>
      <c r="F2679">
        <v>115.8</v>
      </c>
      <c r="G2679">
        <f>(Cpi_[[#This Row],[Value]]-F2678)/F2678</f>
        <v>-0.10510046367851629</v>
      </c>
      <c r="H2679" t="e" cm="1" vm="1">
        <f t="array" aca="1" ref="H2679" ca="1">VLOOKUP(Cpi_[[#This Row],[Year]:[Month]],crudeoil[],3,FALSE)</f>
        <v>#VALUE!</v>
      </c>
    </row>
    <row r="2680" spans="1:8" hidden="1" x14ac:dyDescent="0.3">
      <c r="A2680" t="s">
        <v>30</v>
      </c>
      <c r="B2680">
        <v>2015</v>
      </c>
      <c r="C2680" t="s">
        <v>43</v>
      </c>
      <c r="D2680" t="s">
        <v>8</v>
      </c>
      <c r="E2680" t="e">
        <f>VLOOKUP(Cpi_[[#This Row],[Attribute]],#REF!,2,FALSE)</f>
        <v>#REF!</v>
      </c>
      <c r="F2680">
        <v>133.19999999999999</v>
      </c>
      <c r="G2680">
        <f>(Cpi_[[#This Row],[Value]]-F2679)/F2679</f>
        <v>0.15025906735751288</v>
      </c>
      <c r="H2680" t="e" cm="1" vm="1">
        <f t="array" aca="1" ref="H2680" ca="1">VLOOKUP(Cpi_[[#This Row],[Year]:[Month]],crudeoil[],3,FALSE)</f>
        <v>#VALUE!</v>
      </c>
    </row>
    <row r="2681" spans="1:8" hidden="1" x14ac:dyDescent="0.3">
      <c r="A2681" t="s">
        <v>30</v>
      </c>
      <c r="B2681">
        <v>2015</v>
      </c>
      <c r="C2681" t="s">
        <v>43</v>
      </c>
      <c r="D2681" t="s">
        <v>9</v>
      </c>
      <c r="E2681" t="e">
        <f>VLOOKUP(Cpi_[[#This Row],[Attribute]],#REF!,2,FALSE)</f>
        <v>#REF!</v>
      </c>
      <c r="F2681">
        <v>157.69999999999999</v>
      </c>
      <c r="G2681">
        <f>(Cpi_[[#This Row],[Value]]-F2680)/F2680</f>
        <v>0.18393393393393395</v>
      </c>
      <c r="H2681" t="e" cm="1" vm="1">
        <f t="array" aca="1" ref="H2681" ca="1">VLOOKUP(Cpi_[[#This Row],[Year]:[Month]],crudeoil[],3,FALSE)</f>
        <v>#VALUE!</v>
      </c>
    </row>
    <row r="2682" spans="1:8" hidden="1" x14ac:dyDescent="0.3">
      <c r="A2682" t="s">
        <v>30</v>
      </c>
      <c r="B2682">
        <v>2015</v>
      </c>
      <c r="C2682" t="s">
        <v>43</v>
      </c>
      <c r="D2682" t="s">
        <v>10</v>
      </c>
      <c r="E2682" t="e">
        <f>VLOOKUP(Cpi_[[#This Row],[Attribute]],#REF!,2,FALSE)</f>
        <v>#REF!</v>
      </c>
      <c r="F2682">
        <v>154.19999999999999</v>
      </c>
      <c r="G2682">
        <f>(Cpi_[[#This Row],[Value]]-F2681)/F2681</f>
        <v>-2.2194039315155359E-2</v>
      </c>
      <c r="H2682" t="e" cm="1" vm="1">
        <f t="array" aca="1" ref="H2682" ca="1">VLOOKUP(Cpi_[[#This Row],[Year]:[Month]],crudeoil[],3,FALSE)</f>
        <v>#VALUE!</v>
      </c>
    </row>
    <row r="2683" spans="1:8" hidden="1" x14ac:dyDescent="0.3">
      <c r="A2683" t="s">
        <v>30</v>
      </c>
      <c r="B2683">
        <v>2015</v>
      </c>
      <c r="C2683" t="s">
        <v>43</v>
      </c>
      <c r="D2683" t="s">
        <v>11</v>
      </c>
      <c r="E2683" t="e">
        <f>VLOOKUP(Cpi_[[#This Row],[Attribute]],#REF!,2,FALSE)</f>
        <v>#REF!</v>
      </c>
      <c r="F2683">
        <v>93.7</v>
      </c>
      <c r="G2683">
        <f>(Cpi_[[#This Row],[Value]]-F2682)/F2682</f>
        <v>-0.39234760051880668</v>
      </c>
      <c r="H2683" t="e" cm="1" vm="1">
        <f t="array" aca="1" ref="H2683" ca="1">VLOOKUP(Cpi_[[#This Row],[Year]:[Month]],crudeoil[],3,FALSE)</f>
        <v>#VALUE!</v>
      </c>
    </row>
    <row r="2684" spans="1:8" hidden="1" x14ac:dyDescent="0.3">
      <c r="A2684" t="s">
        <v>30</v>
      </c>
      <c r="B2684">
        <v>2015</v>
      </c>
      <c r="C2684" t="s">
        <v>43</v>
      </c>
      <c r="D2684" t="s">
        <v>12</v>
      </c>
      <c r="E2684" t="e">
        <f>VLOOKUP(Cpi_[[#This Row],[Attribute]],#REF!,2,FALSE)</f>
        <v>#REF!</v>
      </c>
      <c r="F2684">
        <v>126.6</v>
      </c>
      <c r="G2684">
        <f>(Cpi_[[#This Row],[Value]]-F2683)/F2683</f>
        <v>0.35112059765208103</v>
      </c>
      <c r="H2684" t="e" cm="1" vm="1">
        <f t="array" aca="1" ref="H2684" ca="1">VLOOKUP(Cpi_[[#This Row],[Year]:[Month]],crudeoil[],3,FALSE)</f>
        <v>#VALUE!</v>
      </c>
    </row>
    <row r="2685" spans="1:8" hidden="1" x14ac:dyDescent="0.3">
      <c r="A2685" t="s">
        <v>30</v>
      </c>
      <c r="B2685">
        <v>2015</v>
      </c>
      <c r="C2685" t="s">
        <v>43</v>
      </c>
      <c r="D2685" t="s">
        <v>13</v>
      </c>
      <c r="E2685" t="e">
        <f>VLOOKUP(Cpi_[[#This Row],[Attribute]],#REF!,2,FALSE)</f>
        <v>#REF!</v>
      </c>
      <c r="F2685">
        <v>122.3</v>
      </c>
      <c r="G2685">
        <f>(Cpi_[[#This Row],[Value]]-F2684)/F2684</f>
        <v>-3.396524486571878E-2</v>
      </c>
      <c r="H2685" t="e" cm="1" vm="1">
        <f t="array" aca="1" ref="H2685" ca="1">VLOOKUP(Cpi_[[#This Row],[Year]:[Month]],crudeoil[],3,FALSE)</f>
        <v>#VALUE!</v>
      </c>
    </row>
    <row r="2686" spans="1:8" hidden="1" x14ac:dyDescent="0.3">
      <c r="A2686" t="s">
        <v>30</v>
      </c>
      <c r="B2686">
        <v>2015</v>
      </c>
      <c r="C2686" t="s">
        <v>43</v>
      </c>
      <c r="D2686" t="s">
        <v>14</v>
      </c>
      <c r="E2686" t="e">
        <f>VLOOKUP(Cpi_[[#This Row],[Attribute]],#REF!,2,FALSE)</f>
        <v>#REF!</v>
      </c>
      <c r="F2686">
        <v>133.1</v>
      </c>
      <c r="G2686">
        <f>(Cpi_[[#This Row],[Value]]-F2685)/F2685</f>
        <v>8.8307440719542094E-2</v>
      </c>
      <c r="H2686" t="e" cm="1" vm="1">
        <f t="array" aca="1" ref="H2686" ca="1">VLOOKUP(Cpi_[[#This Row],[Year]:[Month]],crudeoil[],3,FALSE)</f>
        <v>#VALUE!</v>
      </c>
    </row>
    <row r="2687" spans="1:8" hidden="1" x14ac:dyDescent="0.3">
      <c r="A2687" t="s">
        <v>30</v>
      </c>
      <c r="B2687">
        <v>2015</v>
      </c>
      <c r="C2687" t="s">
        <v>43</v>
      </c>
      <c r="D2687" t="s">
        <v>15</v>
      </c>
      <c r="E2687" t="e">
        <f>VLOOKUP(Cpi_[[#This Row],[Attribute]],#REF!,2,FALSE)</f>
        <v>#REF!</v>
      </c>
      <c r="F2687">
        <v>131.80000000000001</v>
      </c>
      <c r="G2687">
        <f>(Cpi_[[#This Row],[Value]]-F2686)/F2686</f>
        <v>-9.7670924117203833E-3</v>
      </c>
      <c r="H2687" t="e" cm="1" vm="1">
        <f t="array" aca="1" ref="H2687" ca="1">VLOOKUP(Cpi_[[#This Row],[Year]:[Month]],crudeoil[],3,FALSE)</f>
        <v>#VALUE!</v>
      </c>
    </row>
    <row r="2688" spans="1:8" hidden="1" x14ac:dyDescent="0.3">
      <c r="A2688" t="s">
        <v>30</v>
      </c>
      <c r="B2688">
        <v>2015</v>
      </c>
      <c r="C2688" t="s">
        <v>43</v>
      </c>
      <c r="D2688" t="s">
        <v>16</v>
      </c>
      <c r="E2688" t="e">
        <f>VLOOKUP(Cpi_[[#This Row],[Attribute]],#REF!,2,FALSE)</f>
        <v>#REF!</v>
      </c>
      <c r="F2688">
        <v>131.5</v>
      </c>
      <c r="G2688">
        <f>(Cpi_[[#This Row],[Value]]-F2687)/F2687</f>
        <v>-2.2761760242792969E-3</v>
      </c>
      <c r="H2688" t="e" cm="1" vm="1">
        <f t="array" aca="1" ref="H2688" ca="1">VLOOKUP(Cpi_[[#This Row],[Year]:[Month]],crudeoil[],3,FALSE)</f>
        <v>#VALUE!</v>
      </c>
    </row>
    <row r="2689" spans="1:8" hidden="1" x14ac:dyDescent="0.3">
      <c r="A2689" t="s">
        <v>30</v>
      </c>
      <c r="B2689">
        <v>2015</v>
      </c>
      <c r="C2689" t="s">
        <v>43</v>
      </c>
      <c r="D2689" t="s">
        <v>17</v>
      </c>
      <c r="E2689" t="e">
        <f>VLOOKUP(Cpi_[[#This Row],[Attribute]],#REF!,2,FALSE)</f>
        <v>#REF!</v>
      </c>
      <c r="F2689">
        <v>131.1</v>
      </c>
      <c r="G2689">
        <f>(Cpi_[[#This Row],[Value]]-F2688)/F2688</f>
        <v>-3.0418250950570774E-3</v>
      </c>
      <c r="H2689" t="e" cm="1" vm="1">
        <f t="array" aca="1" ref="H2689" ca="1">VLOOKUP(Cpi_[[#This Row],[Year]:[Month]],crudeoil[],3,FALSE)</f>
        <v>#VALUE!</v>
      </c>
    </row>
    <row r="2690" spans="1:8" hidden="1" x14ac:dyDescent="0.3">
      <c r="A2690" t="s">
        <v>30</v>
      </c>
      <c r="B2690">
        <v>2015</v>
      </c>
      <c r="C2690" t="s">
        <v>43</v>
      </c>
      <c r="D2690" t="s">
        <v>18</v>
      </c>
      <c r="E2690" t="e">
        <f>VLOOKUP(Cpi_[[#This Row],[Attribute]],#REF!,2,FALSE)</f>
        <v>#REF!</v>
      </c>
      <c r="F2690">
        <v>127.3</v>
      </c>
      <c r="G2690">
        <f>(Cpi_[[#This Row],[Value]]-F2689)/F2689</f>
        <v>-2.8985507246376791E-2</v>
      </c>
      <c r="H2690" t="e" cm="1" vm="1">
        <f t="array" aca="1" ref="H2690" ca="1">VLOOKUP(Cpi_[[#This Row],[Year]:[Month]],crudeoil[],3,FALSE)</f>
        <v>#VALUE!</v>
      </c>
    </row>
    <row r="2691" spans="1:8" hidden="1" x14ac:dyDescent="0.3">
      <c r="A2691" t="s">
        <v>30</v>
      </c>
      <c r="B2691">
        <v>2015</v>
      </c>
      <c r="C2691" t="s">
        <v>43</v>
      </c>
      <c r="D2691" t="s">
        <v>19</v>
      </c>
      <c r="E2691" t="e">
        <f>VLOOKUP(Cpi_[[#This Row],[Attribute]],#REF!,2,FALSE)</f>
        <v>#REF!</v>
      </c>
      <c r="F2691">
        <v>130.6</v>
      </c>
      <c r="G2691">
        <f>(Cpi_[[#This Row],[Value]]-F2690)/F2690</f>
        <v>2.5923016496465022E-2</v>
      </c>
      <c r="H2691" t="e" cm="1" vm="1">
        <f t="array" aca="1" ref="H2691" ca="1">VLOOKUP(Cpi_[[#This Row],[Year]:[Month]],crudeoil[],3,FALSE)</f>
        <v>#VALUE!</v>
      </c>
    </row>
    <row r="2692" spans="1:8" hidden="1" x14ac:dyDescent="0.3">
      <c r="A2692" t="s">
        <v>30</v>
      </c>
      <c r="B2692">
        <v>2015</v>
      </c>
      <c r="C2692" t="s">
        <v>43</v>
      </c>
      <c r="D2692" t="s">
        <v>20</v>
      </c>
      <c r="E2692" t="e">
        <f>VLOOKUP(Cpi_[[#This Row],[Attribute]],#REF!,2,FALSE)</f>
        <v>#REF!</v>
      </c>
      <c r="F2692" t="s">
        <v>32</v>
      </c>
      <c r="G2692" t="e">
        <f>(Cpi_[[#This Row],[Value]]-F2691)/F2691</f>
        <v>#VALUE!</v>
      </c>
      <c r="H2692" t="e" cm="1" vm="1">
        <f t="array" aca="1" ref="H2692" ca="1">VLOOKUP(Cpi_[[#This Row],[Year]:[Month]],crudeoil[],3,FALSE)</f>
        <v>#VALUE!</v>
      </c>
    </row>
    <row r="2693" spans="1:8" hidden="1" x14ac:dyDescent="0.3">
      <c r="A2693" t="s">
        <v>30</v>
      </c>
      <c r="B2693">
        <v>2015</v>
      </c>
      <c r="C2693" t="s">
        <v>43</v>
      </c>
      <c r="D2693" t="s">
        <v>21</v>
      </c>
      <c r="E2693" t="e">
        <f>VLOOKUP(Cpi_[[#This Row],[Attribute]],#REF!,2,FALSE)</f>
        <v>#REF!</v>
      </c>
      <c r="F2693">
        <v>124.4</v>
      </c>
      <c r="G2693" t="e">
        <f>(Cpi_[[#This Row],[Value]]-F2692)/F2692</f>
        <v>#VALUE!</v>
      </c>
      <c r="H2693" t="e" cm="1" vm="1">
        <f t="array" aca="1" ref="H2693" ca="1">VLOOKUP(Cpi_[[#This Row],[Year]:[Month]],crudeoil[],3,FALSE)</f>
        <v>#VALUE!</v>
      </c>
    </row>
    <row r="2694" spans="1:8" hidden="1" x14ac:dyDescent="0.3">
      <c r="A2694" t="s">
        <v>30</v>
      </c>
      <c r="B2694">
        <v>2015</v>
      </c>
      <c r="C2694" t="s">
        <v>43</v>
      </c>
      <c r="D2694" t="s">
        <v>22</v>
      </c>
      <c r="E2694" t="e">
        <f>VLOOKUP(Cpi_[[#This Row],[Attribute]],#REF!,2,FALSE)</f>
        <v>#REF!</v>
      </c>
      <c r="F2694">
        <v>125.1</v>
      </c>
      <c r="G2694">
        <f>(Cpi_[[#This Row],[Value]]-F2693)/F2693</f>
        <v>5.627009646302159E-3</v>
      </c>
      <c r="H2694" t="e" cm="1" vm="1">
        <f t="array" aca="1" ref="H2694" ca="1">VLOOKUP(Cpi_[[#This Row],[Year]:[Month]],crudeoil[],3,FALSE)</f>
        <v>#VALUE!</v>
      </c>
    </row>
    <row r="2695" spans="1:8" hidden="1" x14ac:dyDescent="0.3">
      <c r="A2695" t="s">
        <v>30</v>
      </c>
      <c r="B2695">
        <v>2015</v>
      </c>
      <c r="C2695" t="s">
        <v>43</v>
      </c>
      <c r="D2695" t="s">
        <v>23</v>
      </c>
      <c r="E2695" t="e">
        <f>VLOOKUP(Cpi_[[#This Row],[Attribute]],#REF!,2,FALSE)</f>
        <v>#REF!</v>
      </c>
      <c r="F2695">
        <v>122</v>
      </c>
      <c r="G2695">
        <f>(Cpi_[[#This Row],[Value]]-F2694)/F2694</f>
        <v>-2.4780175859312505E-2</v>
      </c>
      <c r="H2695" t="e" cm="1" vm="1">
        <f t="array" aca="1" ref="H2695" ca="1">VLOOKUP(Cpi_[[#This Row],[Year]:[Month]],crudeoil[],3,FALSE)</f>
        <v>#VALUE!</v>
      </c>
    </row>
    <row r="2696" spans="1:8" hidden="1" x14ac:dyDescent="0.3">
      <c r="A2696" t="s">
        <v>30</v>
      </c>
      <c r="B2696">
        <v>2015</v>
      </c>
      <c r="C2696" t="s">
        <v>43</v>
      </c>
      <c r="D2696" t="s">
        <v>24</v>
      </c>
      <c r="E2696" t="e">
        <f>VLOOKUP(Cpi_[[#This Row],[Attribute]],#REF!,2,FALSE)</f>
        <v>#REF!</v>
      </c>
      <c r="F2696">
        <v>113.8</v>
      </c>
      <c r="G2696">
        <f>(Cpi_[[#This Row],[Value]]-F2695)/F2695</f>
        <v>-6.7213114754098385E-2</v>
      </c>
      <c r="H2696" t="e" cm="1" vm="1">
        <f t="array" aca="1" ref="H2696" ca="1">VLOOKUP(Cpi_[[#This Row],[Year]:[Month]],crudeoil[],3,FALSE)</f>
        <v>#VALUE!</v>
      </c>
    </row>
    <row r="2697" spans="1:8" hidden="1" x14ac:dyDescent="0.3">
      <c r="A2697" t="s">
        <v>30</v>
      </c>
      <c r="B2697">
        <v>2015</v>
      </c>
      <c r="C2697" t="s">
        <v>43</v>
      </c>
      <c r="D2697" t="s">
        <v>25</v>
      </c>
      <c r="E2697" t="e">
        <f>VLOOKUP(Cpi_[[#This Row],[Attribute]],#REF!,2,FALSE)</f>
        <v>#REF!</v>
      </c>
      <c r="F2697">
        <v>120.1</v>
      </c>
      <c r="G2697">
        <f>(Cpi_[[#This Row],[Value]]-F2696)/F2696</f>
        <v>5.5360281195079061E-2</v>
      </c>
      <c r="H2697" t="e" cm="1" vm="1">
        <f t="array" aca="1" ref="H2697" ca="1">VLOOKUP(Cpi_[[#This Row],[Year]:[Month]],crudeoil[],3,FALSE)</f>
        <v>#VALUE!</v>
      </c>
    </row>
    <row r="2698" spans="1:8" hidden="1" x14ac:dyDescent="0.3">
      <c r="A2698" t="s">
        <v>30</v>
      </c>
      <c r="B2698">
        <v>2015</v>
      </c>
      <c r="C2698" t="s">
        <v>43</v>
      </c>
      <c r="D2698" t="s">
        <v>26</v>
      </c>
      <c r="E2698" t="e">
        <f>VLOOKUP(Cpi_[[#This Row],[Attribute]],#REF!,2,FALSE)</f>
        <v>#REF!</v>
      </c>
      <c r="F2698">
        <v>125.1</v>
      </c>
      <c r="G2698">
        <f>(Cpi_[[#This Row],[Value]]-F2697)/F2697</f>
        <v>4.1631973355537054E-2</v>
      </c>
      <c r="H2698" t="e" cm="1" vm="1">
        <f t="array" aca="1" ref="H2698" ca="1">VLOOKUP(Cpi_[[#This Row],[Year]:[Month]],crudeoil[],3,FALSE)</f>
        <v>#VALUE!</v>
      </c>
    </row>
    <row r="2699" spans="1:8" hidden="1" x14ac:dyDescent="0.3">
      <c r="A2699" t="s">
        <v>30</v>
      </c>
      <c r="B2699">
        <v>2015</v>
      </c>
      <c r="C2699" t="s">
        <v>43</v>
      </c>
      <c r="D2699" t="s">
        <v>27</v>
      </c>
      <c r="E2699" t="e">
        <f>VLOOKUP(Cpi_[[#This Row],[Attribute]],#REF!,2,FALSE)</f>
        <v>#REF!</v>
      </c>
      <c r="F2699">
        <v>114.2</v>
      </c>
      <c r="G2699">
        <f>(Cpi_[[#This Row],[Value]]-F2698)/F2698</f>
        <v>-8.7130295763389223E-2</v>
      </c>
      <c r="H2699" t="e" cm="1" vm="1">
        <f t="array" aca="1" ref="H2699" ca="1">VLOOKUP(Cpi_[[#This Row],[Year]:[Month]],crudeoil[],3,FALSE)</f>
        <v>#VALUE!</v>
      </c>
    </row>
    <row r="2700" spans="1:8" hidden="1" x14ac:dyDescent="0.3">
      <c r="A2700" t="s">
        <v>30</v>
      </c>
      <c r="B2700">
        <v>2015</v>
      </c>
      <c r="C2700" t="s">
        <v>43</v>
      </c>
      <c r="D2700" t="s">
        <v>28</v>
      </c>
      <c r="E2700" t="e">
        <f>VLOOKUP(Cpi_[[#This Row],[Attribute]],#REF!,2,FALSE)</f>
        <v>#REF!</v>
      </c>
      <c r="F2700">
        <v>119.2</v>
      </c>
      <c r="G2700">
        <f>(Cpi_[[#This Row],[Value]]-F2699)/F2699</f>
        <v>4.3782837127845885E-2</v>
      </c>
      <c r="H2700" t="e" cm="1" vm="1">
        <f t="array" aca="1" ref="H2700" ca="1">VLOOKUP(Cpi_[[#This Row],[Year]:[Month]],crudeoil[],3,FALSE)</f>
        <v>#VALUE!</v>
      </c>
    </row>
    <row r="2701" spans="1:8" hidden="1" x14ac:dyDescent="0.3">
      <c r="A2701" t="s">
        <v>30</v>
      </c>
      <c r="B2701">
        <v>2015</v>
      </c>
      <c r="C2701" t="s">
        <v>43</v>
      </c>
      <c r="D2701" t="s">
        <v>29</v>
      </c>
      <c r="E2701" t="e" cm="1">
        <f t="array" aca="1" ref="E2701" ca="1">VLGeneral indexGeneral indexKUP(Cpi_[[#This Row],[Attribute]],#REF!,2,FALSE)</f>
        <v>#NAME?</v>
      </c>
      <c r="F2701">
        <v>127.7</v>
      </c>
      <c r="G2701">
        <f>(Cpi_[[#This Row],[Value]]-F2700)/F2700</f>
        <v>7.1308724832214759E-2</v>
      </c>
      <c r="H2701" t="e" cm="1" vm="1">
        <f t="array" aca="1" ref="H2701" ca="1">VLOOKUP(Cpi_[[#This Row],[Year]:[Month]],crudeoil[],3,FALSE)</f>
        <v>#VALUE!</v>
      </c>
    </row>
    <row r="2702" spans="1:8" hidden="1" x14ac:dyDescent="0.3">
      <c r="A2702" t="s">
        <v>33</v>
      </c>
      <c r="B2702">
        <v>2015</v>
      </c>
      <c r="C2702" t="s">
        <v>43</v>
      </c>
      <c r="D2702" t="s">
        <v>3</v>
      </c>
      <c r="E2702" t="e">
        <f>VLOOKUP(Cpi_[[#This Row],[Attribute]],#REF!,2,FALSE)</f>
        <v>#REF!</v>
      </c>
      <c r="F2702">
        <v>123.6</v>
      </c>
      <c r="G2702">
        <f>(Cpi_[[#This Row],[Value]]-F2701)/F2701</f>
        <v>-3.2106499608457385E-2</v>
      </c>
      <c r="H2702" t="e" cm="1" vm="1">
        <f t="array" aca="1" ref="H2702" ca="1">VLOOKUP(Cpi_[[#This Row],[Year]:[Month]],crudeoil[],3,FALSE)</f>
        <v>#VALUE!</v>
      </c>
    </row>
    <row r="2703" spans="1:8" hidden="1" x14ac:dyDescent="0.3">
      <c r="A2703" t="s">
        <v>33</v>
      </c>
      <c r="B2703">
        <v>2015</v>
      </c>
      <c r="C2703" t="s">
        <v>43</v>
      </c>
      <c r="D2703" t="s">
        <v>4</v>
      </c>
      <c r="E2703" t="e">
        <f>VLOOKUP(Cpi_[[#This Row],[Attribute]],#REF!,2,FALSE)</f>
        <v>#REF!</v>
      </c>
      <c r="F2703">
        <v>128.6</v>
      </c>
      <c r="G2703">
        <f>(Cpi_[[#This Row],[Value]]-F2702)/F2702</f>
        <v>4.0453074433656963E-2</v>
      </c>
      <c r="H2703" t="e" cm="1" vm="1">
        <f t="array" aca="1" ref="H2703" ca="1">VLOOKUP(Cpi_[[#This Row],[Year]:[Month]],crudeoil[],3,FALSE)</f>
        <v>#VALUE!</v>
      </c>
    </row>
    <row r="2704" spans="1:8" hidden="1" x14ac:dyDescent="0.3">
      <c r="A2704" t="s">
        <v>33</v>
      </c>
      <c r="B2704">
        <v>2015</v>
      </c>
      <c r="C2704" t="s">
        <v>43</v>
      </c>
      <c r="D2704" t="s">
        <v>5</v>
      </c>
      <c r="E2704" t="e">
        <f>VLOOKUP(Cpi_[[#This Row],[Attribute]],#REF!,2,FALSE)</f>
        <v>#REF!</v>
      </c>
      <c r="F2704">
        <v>115.9</v>
      </c>
      <c r="G2704">
        <f>(Cpi_[[#This Row],[Value]]-F2703)/F2703</f>
        <v>-9.875583203732495E-2</v>
      </c>
      <c r="H2704" t="e" cm="1" vm="1">
        <f t="array" aca="1" ref="H2704" ca="1">VLOOKUP(Cpi_[[#This Row],[Year]:[Month]],crudeoil[],3,FALSE)</f>
        <v>#VALUE!</v>
      </c>
    </row>
    <row r="2705" spans="1:8" hidden="1" x14ac:dyDescent="0.3">
      <c r="A2705" t="s">
        <v>33</v>
      </c>
      <c r="B2705">
        <v>2015</v>
      </c>
      <c r="C2705" t="s">
        <v>43</v>
      </c>
      <c r="D2705" t="s">
        <v>6</v>
      </c>
      <c r="E2705" t="e">
        <f>VLOOKUP(Cpi_[[#This Row],[Attribute]],#REF!,2,FALSE)</f>
        <v>#REF!</v>
      </c>
      <c r="F2705">
        <v>128.5</v>
      </c>
      <c r="G2705">
        <f>(Cpi_[[#This Row],[Value]]-F2704)/F2704</f>
        <v>0.10871440897325275</v>
      </c>
      <c r="H2705" t="e" cm="1" vm="1">
        <f t="array" aca="1" ref="H2705" ca="1">VLOOKUP(Cpi_[[#This Row],[Year]:[Month]],crudeoil[],3,FALSE)</f>
        <v>#VALUE!</v>
      </c>
    </row>
    <row r="2706" spans="1:8" hidden="1" x14ac:dyDescent="0.3">
      <c r="A2706" t="s">
        <v>33</v>
      </c>
      <c r="B2706">
        <v>2015</v>
      </c>
      <c r="C2706" t="s">
        <v>43</v>
      </c>
      <c r="D2706" t="s">
        <v>7</v>
      </c>
      <c r="E2706" t="e">
        <f>VLOOKUP(Cpi_[[#This Row],[Attribute]],#REF!,2,FALSE)</f>
        <v>#REF!</v>
      </c>
      <c r="F2706">
        <v>109</v>
      </c>
      <c r="G2706">
        <f>(Cpi_[[#This Row],[Value]]-F2705)/F2705</f>
        <v>-0.1517509727626459</v>
      </c>
      <c r="H2706" t="e" cm="1" vm="1">
        <f t="array" aca="1" ref="H2706" ca="1">VLOOKUP(Cpi_[[#This Row],[Year]:[Month]],crudeoil[],3,FALSE)</f>
        <v>#VALUE!</v>
      </c>
    </row>
    <row r="2707" spans="1:8" hidden="1" x14ac:dyDescent="0.3">
      <c r="A2707" t="s">
        <v>33</v>
      </c>
      <c r="B2707">
        <v>2015</v>
      </c>
      <c r="C2707" t="s">
        <v>43</v>
      </c>
      <c r="D2707" t="s">
        <v>8</v>
      </c>
      <c r="E2707" t="e">
        <f>VLOOKUP(Cpi_[[#This Row],[Attribute]],#REF!,2,FALSE)</f>
        <v>#REF!</v>
      </c>
      <c r="F2707">
        <v>124.1</v>
      </c>
      <c r="G2707">
        <f>(Cpi_[[#This Row],[Value]]-F2706)/F2706</f>
        <v>0.13853211009174307</v>
      </c>
      <c r="H2707" t="e" cm="1" vm="1">
        <f t="array" aca="1" ref="H2707" ca="1">VLOOKUP(Cpi_[[#This Row],[Year]:[Month]],crudeoil[],3,FALSE)</f>
        <v>#VALUE!</v>
      </c>
    </row>
    <row r="2708" spans="1:8" hidden="1" x14ac:dyDescent="0.3">
      <c r="A2708" t="s">
        <v>33</v>
      </c>
      <c r="B2708">
        <v>2015</v>
      </c>
      <c r="C2708" t="s">
        <v>43</v>
      </c>
      <c r="D2708" t="s">
        <v>9</v>
      </c>
      <c r="E2708" t="e">
        <f>VLOOKUP(Cpi_[[#This Row],[Attribute]],#REF!,2,FALSE)</f>
        <v>#REF!</v>
      </c>
      <c r="F2708">
        <v>165.8</v>
      </c>
      <c r="G2708">
        <f>(Cpi_[[#This Row],[Value]]-F2707)/F2707</f>
        <v>0.33601933924254651</v>
      </c>
      <c r="H2708" t="e" cm="1" vm="1">
        <f t="array" aca="1" ref="H2708" ca="1">VLOOKUP(Cpi_[[#This Row],[Year]:[Month]],crudeoil[],3,FALSE)</f>
        <v>#VALUE!</v>
      </c>
    </row>
    <row r="2709" spans="1:8" hidden="1" x14ac:dyDescent="0.3">
      <c r="A2709" t="s">
        <v>33</v>
      </c>
      <c r="B2709">
        <v>2015</v>
      </c>
      <c r="C2709" t="s">
        <v>43</v>
      </c>
      <c r="D2709" t="s">
        <v>10</v>
      </c>
      <c r="E2709" t="e">
        <f>VLOOKUP(Cpi_[[#This Row],[Attribute]],#REF!,2,FALSE)</f>
        <v>#REF!</v>
      </c>
      <c r="F2709">
        <v>187.2</v>
      </c>
      <c r="G2709">
        <f>(Cpi_[[#This Row],[Value]]-F2708)/F2708</f>
        <v>0.12907117008443894</v>
      </c>
      <c r="H2709" t="e" cm="1" vm="1">
        <f t="array" aca="1" ref="H2709" ca="1">VLOOKUP(Cpi_[[#This Row],[Year]:[Month]],crudeoil[],3,FALSE)</f>
        <v>#VALUE!</v>
      </c>
    </row>
    <row r="2710" spans="1:8" hidden="1" x14ac:dyDescent="0.3">
      <c r="A2710" t="s">
        <v>33</v>
      </c>
      <c r="B2710">
        <v>2015</v>
      </c>
      <c r="C2710" t="s">
        <v>43</v>
      </c>
      <c r="D2710" t="s">
        <v>11</v>
      </c>
      <c r="E2710" t="e">
        <f>VLOOKUP(Cpi_[[#This Row],[Attribute]],#REF!,2,FALSE)</f>
        <v>#REF!</v>
      </c>
      <c r="F2710">
        <v>89.4</v>
      </c>
      <c r="G2710">
        <f>(Cpi_[[#This Row],[Value]]-F2709)/F2709</f>
        <v>-0.52243589743589736</v>
      </c>
      <c r="H2710" t="e" cm="1" vm="1">
        <f t="array" aca="1" ref="H2710" ca="1">VLOOKUP(Cpi_[[#This Row],[Year]:[Month]],crudeoil[],3,FALSE)</f>
        <v>#VALUE!</v>
      </c>
    </row>
    <row r="2711" spans="1:8" hidden="1" x14ac:dyDescent="0.3">
      <c r="A2711" t="s">
        <v>33</v>
      </c>
      <c r="B2711">
        <v>2015</v>
      </c>
      <c r="C2711" t="s">
        <v>43</v>
      </c>
      <c r="D2711" t="s">
        <v>12</v>
      </c>
      <c r="E2711" t="e">
        <f>VLOOKUP(Cpi_[[#This Row],[Attribute]],#REF!,2,FALSE)</f>
        <v>#REF!</v>
      </c>
      <c r="F2711">
        <v>135.80000000000001</v>
      </c>
      <c r="G2711">
        <f>(Cpi_[[#This Row],[Value]]-F2710)/F2710</f>
        <v>0.51901565995525734</v>
      </c>
      <c r="H2711" t="e" cm="1" vm="1">
        <f t="array" aca="1" ref="H2711" ca="1">VLOOKUP(Cpi_[[#This Row],[Year]:[Month]],crudeoil[],3,FALSE)</f>
        <v>#VALUE!</v>
      </c>
    </row>
    <row r="2712" spans="1:8" hidden="1" x14ac:dyDescent="0.3">
      <c r="A2712" t="s">
        <v>33</v>
      </c>
      <c r="B2712">
        <v>2015</v>
      </c>
      <c r="C2712" t="s">
        <v>43</v>
      </c>
      <c r="D2712" t="s">
        <v>13</v>
      </c>
      <c r="E2712" t="e">
        <f>VLOOKUP(Cpi_[[#This Row],[Attribute]],#REF!,2,FALSE)</f>
        <v>#REF!</v>
      </c>
      <c r="F2712">
        <v>119.4</v>
      </c>
      <c r="G2712">
        <f>(Cpi_[[#This Row],[Value]]-F2711)/F2711</f>
        <v>-0.12076583210603832</v>
      </c>
      <c r="H2712" t="e" cm="1" vm="1">
        <f t="array" aca="1" ref="H2712" ca="1">VLOOKUP(Cpi_[[#This Row],[Year]:[Month]],crudeoil[],3,FALSE)</f>
        <v>#VALUE!</v>
      </c>
    </row>
    <row r="2713" spans="1:8" hidden="1" x14ac:dyDescent="0.3">
      <c r="A2713" t="s">
        <v>33</v>
      </c>
      <c r="B2713">
        <v>2015</v>
      </c>
      <c r="C2713" t="s">
        <v>43</v>
      </c>
      <c r="D2713" t="s">
        <v>14</v>
      </c>
      <c r="E2713" t="e">
        <f>VLOOKUP(Cpi_[[#This Row],[Attribute]],#REF!,2,FALSE)</f>
        <v>#REF!</v>
      </c>
      <c r="F2713">
        <v>132.9</v>
      </c>
      <c r="G2713">
        <f>(Cpi_[[#This Row],[Value]]-F2712)/F2712</f>
        <v>0.11306532663316582</v>
      </c>
      <c r="H2713" t="e" cm="1" vm="1">
        <f t="array" aca="1" ref="H2713" ca="1">VLOOKUP(Cpi_[[#This Row],[Year]:[Month]],crudeoil[],3,FALSE)</f>
        <v>#VALUE!</v>
      </c>
    </row>
    <row r="2714" spans="1:8" hidden="1" x14ac:dyDescent="0.3">
      <c r="A2714" t="s">
        <v>33</v>
      </c>
      <c r="B2714">
        <v>2015</v>
      </c>
      <c r="C2714" t="s">
        <v>43</v>
      </c>
      <c r="D2714" t="s">
        <v>15</v>
      </c>
      <c r="E2714" t="e">
        <f>VLOOKUP(Cpi_[[#This Row],[Attribute]],#REF!,2,FALSE)</f>
        <v>#REF!</v>
      </c>
      <c r="F2714">
        <v>132.6</v>
      </c>
      <c r="G2714">
        <f>(Cpi_[[#This Row],[Value]]-F2713)/F2713</f>
        <v>-2.2573363431152094E-3</v>
      </c>
      <c r="H2714" t="e" cm="1" vm="1">
        <f t="array" aca="1" ref="H2714" ca="1">VLOOKUP(Cpi_[[#This Row],[Year]:[Month]],crudeoil[],3,FALSE)</f>
        <v>#VALUE!</v>
      </c>
    </row>
    <row r="2715" spans="1:8" hidden="1" x14ac:dyDescent="0.3">
      <c r="A2715" t="s">
        <v>33</v>
      </c>
      <c r="B2715">
        <v>2015</v>
      </c>
      <c r="C2715" t="s">
        <v>43</v>
      </c>
      <c r="D2715" t="s">
        <v>16</v>
      </c>
      <c r="E2715" t="e">
        <f>VLOOKUP(Cpi_[[#This Row],[Attribute]],#REF!,2,FALSE)</f>
        <v>#REF!</v>
      </c>
      <c r="F2715">
        <v>135.30000000000001</v>
      </c>
      <c r="G2715">
        <f>(Cpi_[[#This Row],[Value]]-F2714)/F2714</f>
        <v>2.0361990950226373E-2</v>
      </c>
      <c r="H2715" t="e" cm="1" vm="1">
        <f t="array" aca="1" ref="H2715" ca="1">VLOOKUP(Cpi_[[#This Row],[Year]:[Month]],crudeoil[],3,FALSE)</f>
        <v>#VALUE!</v>
      </c>
    </row>
    <row r="2716" spans="1:8" hidden="1" x14ac:dyDescent="0.3">
      <c r="A2716" t="s">
        <v>33</v>
      </c>
      <c r="B2716">
        <v>2015</v>
      </c>
      <c r="C2716" t="s">
        <v>43</v>
      </c>
      <c r="D2716" t="s">
        <v>17</v>
      </c>
      <c r="E2716" t="e">
        <f>VLOOKUP(Cpi_[[#This Row],[Attribute]],#REF!,2,FALSE)</f>
        <v>#REF!</v>
      </c>
      <c r="F2716">
        <v>124.4</v>
      </c>
      <c r="G2716">
        <f>(Cpi_[[#This Row],[Value]]-F2715)/F2715</f>
        <v>-8.0561714708056203E-2</v>
      </c>
      <c r="H2716" t="e" cm="1" vm="1">
        <f t="array" aca="1" ref="H2716" ca="1">VLOOKUP(Cpi_[[#This Row],[Year]:[Month]],crudeoil[],3,FALSE)</f>
        <v>#VALUE!</v>
      </c>
    </row>
    <row r="2717" spans="1:8" hidden="1" x14ac:dyDescent="0.3">
      <c r="A2717" t="s">
        <v>33</v>
      </c>
      <c r="B2717">
        <v>2015</v>
      </c>
      <c r="C2717" t="s">
        <v>43</v>
      </c>
      <c r="D2717" t="s">
        <v>18</v>
      </c>
      <c r="E2717" t="e">
        <f>VLOOKUP(Cpi_[[#This Row],[Attribute]],#REF!,2,FALSE)</f>
        <v>#REF!</v>
      </c>
      <c r="F2717">
        <v>118.8</v>
      </c>
      <c r="G2717">
        <f>(Cpi_[[#This Row],[Value]]-F2716)/F2716</f>
        <v>-4.501607717041807E-2</v>
      </c>
      <c r="H2717" t="e" cm="1" vm="1">
        <f t="array" aca="1" ref="H2717" ca="1">VLOOKUP(Cpi_[[#This Row],[Year]:[Month]],crudeoil[],3,FALSE)</f>
        <v>#VALUE!</v>
      </c>
    </row>
    <row r="2718" spans="1:8" hidden="1" x14ac:dyDescent="0.3">
      <c r="A2718" t="s">
        <v>33</v>
      </c>
      <c r="B2718">
        <v>2015</v>
      </c>
      <c r="C2718" t="s">
        <v>43</v>
      </c>
      <c r="D2718" t="s">
        <v>19</v>
      </c>
      <c r="E2718" t="e">
        <f>VLOOKUP(Cpi_[[#This Row],[Attribute]],#REF!,2,FALSE)</f>
        <v>#REF!</v>
      </c>
      <c r="F2718">
        <v>123.6</v>
      </c>
      <c r="G2718">
        <f>(Cpi_[[#This Row],[Value]]-F2717)/F2717</f>
        <v>4.040404040404038E-2</v>
      </c>
      <c r="H2718" t="e" cm="1" vm="1">
        <f t="array" aca="1" ref="H2718" ca="1">VLOOKUP(Cpi_[[#This Row],[Year]:[Month]],crudeoil[],3,FALSE)</f>
        <v>#VALUE!</v>
      </c>
    </row>
    <row r="2719" spans="1:8" hidden="1" x14ac:dyDescent="0.3">
      <c r="A2719" t="s">
        <v>33</v>
      </c>
      <c r="B2719">
        <v>2015</v>
      </c>
      <c r="C2719" t="s">
        <v>43</v>
      </c>
      <c r="D2719" t="s">
        <v>20</v>
      </c>
      <c r="E2719" t="e">
        <f>VLOOKUP(Cpi_[[#This Row],[Attribute]],#REF!,2,FALSE)</f>
        <v>#REF!</v>
      </c>
      <c r="F2719">
        <v>122.4</v>
      </c>
      <c r="G2719">
        <f>(Cpi_[[#This Row],[Value]]-F2718)/F2718</f>
        <v>-9.7087378640775789E-3</v>
      </c>
      <c r="H2719" t="e" cm="1" vm="1">
        <f t="array" aca="1" ref="H2719" ca="1">VLOOKUP(Cpi_[[#This Row],[Year]:[Month]],crudeoil[],3,FALSE)</f>
        <v>#VALUE!</v>
      </c>
    </row>
    <row r="2720" spans="1:8" hidden="1" x14ac:dyDescent="0.3">
      <c r="A2720" t="s">
        <v>33</v>
      </c>
      <c r="B2720">
        <v>2015</v>
      </c>
      <c r="C2720" t="s">
        <v>43</v>
      </c>
      <c r="D2720" t="s">
        <v>21</v>
      </c>
      <c r="E2720" t="e">
        <f>VLOOKUP(Cpi_[[#This Row],[Attribute]],#REF!,2,FALSE)</f>
        <v>#REF!</v>
      </c>
      <c r="F2720">
        <v>114.9</v>
      </c>
      <c r="G2720">
        <f>(Cpi_[[#This Row],[Value]]-F2719)/F2719</f>
        <v>-6.1274509803921566E-2</v>
      </c>
      <c r="H2720" t="e" cm="1" vm="1">
        <f t="array" aca="1" ref="H2720" ca="1">VLOOKUP(Cpi_[[#This Row],[Year]:[Month]],crudeoil[],3,FALSE)</f>
        <v>#VALUE!</v>
      </c>
    </row>
    <row r="2721" spans="1:8" hidden="1" x14ac:dyDescent="0.3">
      <c r="A2721" t="s">
        <v>33</v>
      </c>
      <c r="B2721">
        <v>2015</v>
      </c>
      <c r="C2721" t="s">
        <v>43</v>
      </c>
      <c r="D2721" t="s">
        <v>22</v>
      </c>
      <c r="E2721" t="e">
        <f>VLOOKUP(Cpi_[[#This Row],[Attribute]],#REF!,2,FALSE)</f>
        <v>#REF!</v>
      </c>
      <c r="F2721">
        <v>120.7</v>
      </c>
      <c r="G2721">
        <f>(Cpi_[[#This Row],[Value]]-F2720)/F2720</f>
        <v>5.0478677110530869E-2</v>
      </c>
      <c r="H2721" t="e" cm="1" vm="1">
        <f t="array" aca="1" ref="H2721" ca="1">VLOOKUP(Cpi_[[#This Row],[Year]:[Month]],crudeoil[],3,FALSE)</f>
        <v>#VALUE!</v>
      </c>
    </row>
    <row r="2722" spans="1:8" hidden="1" x14ac:dyDescent="0.3">
      <c r="A2722" t="s">
        <v>33</v>
      </c>
      <c r="B2722">
        <v>2015</v>
      </c>
      <c r="C2722" t="s">
        <v>43</v>
      </c>
      <c r="D2722" t="s">
        <v>23</v>
      </c>
      <c r="E2722" t="e">
        <f>VLOOKUP(Cpi_[[#This Row],[Attribute]],#REF!,2,FALSE)</f>
        <v>#REF!</v>
      </c>
      <c r="F2722">
        <v>117.7</v>
      </c>
      <c r="G2722">
        <f>(Cpi_[[#This Row],[Value]]-F2721)/F2721</f>
        <v>-2.4855012427506214E-2</v>
      </c>
      <c r="H2722" t="e" cm="1" vm="1">
        <f t="array" aca="1" ref="H2722" ca="1">VLOOKUP(Cpi_[[#This Row],[Year]:[Month]],crudeoil[],3,FALSE)</f>
        <v>#VALUE!</v>
      </c>
    </row>
    <row r="2723" spans="1:8" hidden="1" x14ac:dyDescent="0.3">
      <c r="A2723" t="s">
        <v>33</v>
      </c>
      <c r="B2723">
        <v>2015</v>
      </c>
      <c r="C2723" t="s">
        <v>43</v>
      </c>
      <c r="D2723" t="s">
        <v>24</v>
      </c>
      <c r="E2723" t="e">
        <f>VLOOKUP(Cpi_[[#This Row],[Attribute]],#REF!,2,FALSE)</f>
        <v>#REF!</v>
      </c>
      <c r="F2723">
        <v>109.3</v>
      </c>
      <c r="G2723">
        <f>(Cpi_[[#This Row],[Value]]-F2722)/F2722</f>
        <v>-7.1367884451996655E-2</v>
      </c>
      <c r="H2723" t="e" cm="1" vm="1">
        <f t="array" aca="1" ref="H2723" ca="1">VLOOKUP(Cpi_[[#This Row],[Year]:[Month]],crudeoil[],3,FALSE)</f>
        <v>#VALUE!</v>
      </c>
    </row>
    <row r="2724" spans="1:8" hidden="1" x14ac:dyDescent="0.3">
      <c r="A2724" t="s">
        <v>33</v>
      </c>
      <c r="B2724">
        <v>2015</v>
      </c>
      <c r="C2724" t="s">
        <v>43</v>
      </c>
      <c r="D2724" t="s">
        <v>25</v>
      </c>
      <c r="E2724" t="e">
        <f>VLOOKUP(Cpi_[[#This Row],[Attribute]],#REF!,2,FALSE)</f>
        <v>#REF!</v>
      </c>
      <c r="F2724">
        <v>117.7</v>
      </c>
      <c r="G2724">
        <f>(Cpi_[[#This Row],[Value]]-F2723)/F2723</f>
        <v>7.6852698993595661E-2</v>
      </c>
      <c r="H2724" t="e" cm="1" vm="1">
        <f t="array" aca="1" ref="H2724" ca="1">VLOOKUP(Cpi_[[#This Row],[Year]:[Month]],crudeoil[],3,FALSE)</f>
        <v>#VALUE!</v>
      </c>
    </row>
    <row r="2725" spans="1:8" hidden="1" x14ac:dyDescent="0.3">
      <c r="A2725" t="s">
        <v>33</v>
      </c>
      <c r="B2725">
        <v>2015</v>
      </c>
      <c r="C2725" t="s">
        <v>43</v>
      </c>
      <c r="D2725" t="s">
        <v>26</v>
      </c>
      <c r="E2725" t="e">
        <f>VLOOKUP(Cpi_[[#This Row],[Attribute]],#REF!,2,FALSE)</f>
        <v>#REF!</v>
      </c>
      <c r="F2725">
        <v>126.5</v>
      </c>
      <c r="G2725">
        <f>(Cpi_[[#This Row],[Value]]-F2724)/F2724</f>
        <v>7.4766355140186896E-2</v>
      </c>
      <c r="H2725" t="e" cm="1" vm="1">
        <f t="array" aca="1" ref="H2725" ca="1">VLOOKUP(Cpi_[[#This Row],[Year]:[Month]],crudeoil[],3,FALSE)</f>
        <v>#VALUE!</v>
      </c>
    </row>
    <row r="2726" spans="1:8" hidden="1" x14ac:dyDescent="0.3">
      <c r="A2726" t="s">
        <v>33</v>
      </c>
      <c r="B2726">
        <v>2015</v>
      </c>
      <c r="C2726" t="s">
        <v>43</v>
      </c>
      <c r="D2726" t="s">
        <v>27</v>
      </c>
      <c r="E2726" t="e">
        <f>VLOOKUP(Cpi_[[#This Row],[Attribute]],#REF!,2,FALSE)</f>
        <v>#REF!</v>
      </c>
      <c r="F2726">
        <v>113.5</v>
      </c>
      <c r="G2726">
        <f>(Cpi_[[#This Row],[Value]]-F2725)/F2725</f>
        <v>-0.10276679841897234</v>
      </c>
      <c r="H2726" t="e" cm="1" vm="1">
        <f t="array" aca="1" ref="H2726" ca="1">VLOOKUP(Cpi_[[#This Row],[Year]:[Month]],crudeoil[],3,FALSE)</f>
        <v>#VALUE!</v>
      </c>
    </row>
    <row r="2727" spans="1:8" hidden="1" x14ac:dyDescent="0.3">
      <c r="A2727" t="s">
        <v>33</v>
      </c>
      <c r="B2727">
        <v>2015</v>
      </c>
      <c r="C2727" t="s">
        <v>43</v>
      </c>
      <c r="D2727" t="s">
        <v>28</v>
      </c>
      <c r="E2727" t="e">
        <f>VLOOKUP(Cpi_[[#This Row],[Attribute]],#REF!,2,FALSE)</f>
        <v>#REF!</v>
      </c>
      <c r="F2727">
        <v>116.5</v>
      </c>
      <c r="G2727">
        <f>(Cpi_[[#This Row],[Value]]-F2726)/F2726</f>
        <v>2.643171806167401E-2</v>
      </c>
      <c r="H2727" t="e" cm="1" vm="1">
        <f t="array" aca="1" ref="H2727" ca="1">VLOOKUP(Cpi_[[#This Row],[Year]:[Month]],crudeoil[],3,FALSE)</f>
        <v>#VALUE!</v>
      </c>
    </row>
    <row r="2728" spans="1:8" hidden="1" x14ac:dyDescent="0.3">
      <c r="A2728" t="s">
        <v>33</v>
      </c>
      <c r="B2728">
        <v>2015</v>
      </c>
      <c r="C2728" t="s">
        <v>43</v>
      </c>
      <c r="D2728" t="s">
        <v>29</v>
      </c>
      <c r="E2728" t="e" cm="1">
        <f t="array" aca="1" ref="E2728" ca="1">VLGeneral indexGeneral indexKUP(Cpi_[[#This Row],[Attribute]],#REF!,2,FALSE)</f>
        <v>#NAME?</v>
      </c>
      <c r="F2728">
        <v>124.2</v>
      </c>
      <c r="G2728">
        <f>(Cpi_[[#This Row],[Value]]-F2727)/F2727</f>
        <v>6.6094420600858392E-2</v>
      </c>
      <c r="H2728" t="e" cm="1" vm="1">
        <f t="array" aca="1" ref="H2728" ca="1">VLOOKUP(Cpi_[[#This Row],[Year]:[Month]],crudeoil[],3,FALSE)</f>
        <v>#VALUE!</v>
      </c>
    </row>
    <row r="2729" spans="1:8" hidden="1" x14ac:dyDescent="0.3">
      <c r="A2729" t="s">
        <v>34</v>
      </c>
      <c r="B2729">
        <v>2015</v>
      </c>
      <c r="C2729" t="s">
        <v>43</v>
      </c>
      <c r="D2729" t="s">
        <v>3</v>
      </c>
      <c r="E2729" t="e">
        <f>VLOOKUP(Cpi_[[#This Row],[Attribute]],#REF!,2,FALSE)</f>
        <v>#REF!</v>
      </c>
      <c r="F2729">
        <v>125</v>
      </c>
      <c r="G2729">
        <f>(Cpi_[[#This Row],[Value]]-F2728)/F2728</f>
        <v>6.4412238325281569E-3</v>
      </c>
      <c r="H2729" t="e" cm="1" vm="1">
        <f t="array" aca="1" ref="H2729" ca="1">VLOOKUP(Cpi_[[#This Row],[Year]:[Month]],crudeoil[],3,FALSE)</f>
        <v>#VALUE!</v>
      </c>
    </row>
    <row r="2730" spans="1:8" hidden="1" x14ac:dyDescent="0.3">
      <c r="A2730" t="s">
        <v>34</v>
      </c>
      <c r="B2730">
        <v>2015</v>
      </c>
      <c r="C2730" t="s">
        <v>43</v>
      </c>
      <c r="D2730" t="s">
        <v>4</v>
      </c>
      <c r="E2730" t="e">
        <f>VLOOKUP(Cpi_[[#This Row],[Attribute]],#REF!,2,FALSE)</f>
        <v>#REF!</v>
      </c>
      <c r="F2730">
        <v>129.80000000000001</v>
      </c>
      <c r="G2730">
        <f>(Cpi_[[#This Row],[Value]]-F2729)/F2729</f>
        <v>3.8400000000000094E-2</v>
      </c>
      <c r="H2730" t="e" cm="1" vm="1">
        <f t="array" aca="1" ref="H2730" ca="1">VLOOKUP(Cpi_[[#This Row],[Year]:[Month]],crudeoil[],3,FALSE)</f>
        <v>#VALUE!</v>
      </c>
    </row>
    <row r="2731" spans="1:8" hidden="1" x14ac:dyDescent="0.3">
      <c r="A2731" t="s">
        <v>34</v>
      </c>
      <c r="B2731">
        <v>2015</v>
      </c>
      <c r="C2731" t="s">
        <v>43</v>
      </c>
      <c r="D2731" t="s">
        <v>5</v>
      </c>
      <c r="E2731" t="e">
        <f>VLOOKUP(Cpi_[[#This Row],[Attribute]],#REF!,2,FALSE)</f>
        <v>#REF!</v>
      </c>
      <c r="F2731">
        <v>118.9</v>
      </c>
      <c r="G2731">
        <f>(Cpi_[[#This Row],[Value]]-F2730)/F2730</f>
        <v>-8.3975346687211128E-2</v>
      </c>
      <c r="H2731" t="e" cm="1" vm="1">
        <f t="array" aca="1" ref="H2731" ca="1">VLOOKUP(Cpi_[[#This Row],[Year]:[Month]],crudeoil[],3,FALSE)</f>
        <v>#VALUE!</v>
      </c>
    </row>
    <row r="2732" spans="1:8" hidden="1" x14ac:dyDescent="0.3">
      <c r="A2732" t="s">
        <v>34</v>
      </c>
      <c r="B2732">
        <v>2015</v>
      </c>
      <c r="C2732" t="s">
        <v>43</v>
      </c>
      <c r="D2732" t="s">
        <v>6</v>
      </c>
      <c r="E2732" t="e">
        <f>VLOOKUP(Cpi_[[#This Row],[Attribute]],#REF!,2,FALSE)</f>
        <v>#REF!</v>
      </c>
      <c r="F2732">
        <v>129.1</v>
      </c>
      <c r="G2732">
        <f>(Cpi_[[#This Row],[Value]]-F2731)/F2731</f>
        <v>8.5786375105130264E-2</v>
      </c>
      <c r="H2732" t="e" cm="1" vm="1">
        <f t="array" aca="1" ref="H2732" ca="1">VLOOKUP(Cpi_[[#This Row],[Year]:[Month]],crudeoil[],3,FALSE)</f>
        <v>#VALUE!</v>
      </c>
    </row>
    <row r="2733" spans="1:8" hidden="1" x14ac:dyDescent="0.3">
      <c r="A2733" t="s">
        <v>34</v>
      </c>
      <c r="B2733">
        <v>2015</v>
      </c>
      <c r="C2733" t="s">
        <v>43</v>
      </c>
      <c r="D2733" t="s">
        <v>7</v>
      </c>
      <c r="E2733" t="e">
        <f>VLOOKUP(Cpi_[[#This Row],[Attribute]],#REF!,2,FALSE)</f>
        <v>#REF!</v>
      </c>
      <c r="F2733">
        <v>113.3</v>
      </c>
      <c r="G2733">
        <f>(Cpi_[[#This Row],[Value]]-F2732)/F2732</f>
        <v>-0.12238574748257164</v>
      </c>
      <c r="H2733" t="e" cm="1" vm="1">
        <f t="array" aca="1" ref="H2733" ca="1">VLOOKUP(Cpi_[[#This Row],[Year]:[Month]],crudeoil[],3,FALSE)</f>
        <v>#VALUE!</v>
      </c>
    </row>
    <row r="2734" spans="1:8" hidden="1" x14ac:dyDescent="0.3">
      <c r="A2734" t="s">
        <v>34</v>
      </c>
      <c r="B2734">
        <v>2015</v>
      </c>
      <c r="C2734" t="s">
        <v>43</v>
      </c>
      <c r="D2734" t="s">
        <v>8</v>
      </c>
      <c r="E2734" t="e">
        <f>VLOOKUP(Cpi_[[#This Row],[Attribute]],#REF!,2,FALSE)</f>
        <v>#REF!</v>
      </c>
      <c r="F2734">
        <v>129</v>
      </c>
      <c r="G2734">
        <f>(Cpi_[[#This Row],[Value]]-F2733)/F2733</f>
        <v>0.13857016769638131</v>
      </c>
      <c r="H2734" t="e" cm="1" vm="1">
        <f t="array" aca="1" ref="H2734" ca="1">VLOOKUP(Cpi_[[#This Row],[Year]:[Month]],crudeoil[],3,FALSE)</f>
        <v>#VALUE!</v>
      </c>
    </row>
    <row r="2735" spans="1:8" hidden="1" x14ac:dyDescent="0.3">
      <c r="A2735" t="s">
        <v>34</v>
      </c>
      <c r="B2735">
        <v>2015</v>
      </c>
      <c r="C2735" t="s">
        <v>43</v>
      </c>
      <c r="D2735" t="s">
        <v>9</v>
      </c>
      <c r="E2735" t="e">
        <f>VLOOKUP(Cpi_[[#This Row],[Attribute]],#REF!,2,FALSE)</f>
        <v>#REF!</v>
      </c>
      <c r="F2735">
        <v>160.4</v>
      </c>
      <c r="G2735">
        <f>(Cpi_[[#This Row],[Value]]-F2734)/F2734</f>
        <v>0.24341085271317833</v>
      </c>
      <c r="H2735" t="e" cm="1" vm="1">
        <f t="array" aca="1" ref="H2735" ca="1">VLOOKUP(Cpi_[[#This Row],[Year]:[Month]],crudeoil[],3,FALSE)</f>
        <v>#VALUE!</v>
      </c>
    </row>
    <row r="2736" spans="1:8" hidden="1" x14ac:dyDescent="0.3">
      <c r="A2736" t="s">
        <v>34</v>
      </c>
      <c r="B2736">
        <v>2015</v>
      </c>
      <c r="C2736" t="s">
        <v>43</v>
      </c>
      <c r="D2736" t="s">
        <v>10</v>
      </c>
      <c r="E2736" t="e">
        <f>VLOOKUP(Cpi_[[#This Row],[Attribute]],#REF!,2,FALSE)</f>
        <v>#REF!</v>
      </c>
      <c r="F2736">
        <v>165.3</v>
      </c>
      <c r="G2736">
        <f>(Cpi_[[#This Row],[Value]]-F2735)/F2735</f>
        <v>3.0548628428927714E-2</v>
      </c>
      <c r="H2736" t="e" cm="1" vm="1">
        <f t="array" aca="1" ref="H2736" ca="1">VLOOKUP(Cpi_[[#This Row],[Year]:[Month]],crudeoil[],3,FALSE)</f>
        <v>#VALUE!</v>
      </c>
    </row>
    <row r="2737" spans="1:8" hidden="1" x14ac:dyDescent="0.3">
      <c r="A2737" t="s">
        <v>34</v>
      </c>
      <c r="B2737">
        <v>2015</v>
      </c>
      <c r="C2737" t="s">
        <v>43</v>
      </c>
      <c r="D2737" t="s">
        <v>11</v>
      </c>
      <c r="E2737" t="e">
        <f>VLOOKUP(Cpi_[[#This Row],[Attribute]],#REF!,2,FALSE)</f>
        <v>#REF!</v>
      </c>
      <c r="F2737">
        <v>92.3</v>
      </c>
      <c r="G2737">
        <f>(Cpi_[[#This Row],[Value]]-F2736)/F2736</f>
        <v>-0.44162129461585004</v>
      </c>
      <c r="H2737" t="e" cm="1" vm="1">
        <f t="array" aca="1" ref="H2737" ca="1">VLOOKUP(Cpi_[[#This Row],[Year]:[Month]],crudeoil[],3,FALSE)</f>
        <v>#VALUE!</v>
      </c>
    </row>
    <row r="2738" spans="1:8" hidden="1" x14ac:dyDescent="0.3">
      <c r="A2738" t="s">
        <v>34</v>
      </c>
      <c r="B2738">
        <v>2015</v>
      </c>
      <c r="C2738" t="s">
        <v>43</v>
      </c>
      <c r="D2738" t="s">
        <v>12</v>
      </c>
      <c r="E2738" t="e">
        <f>VLOOKUP(Cpi_[[#This Row],[Attribute]],#REF!,2,FALSE)</f>
        <v>#REF!</v>
      </c>
      <c r="F2738">
        <v>129.69999999999999</v>
      </c>
      <c r="G2738">
        <f>(Cpi_[[#This Row],[Value]]-F2737)/F2737</f>
        <v>0.40520043336944739</v>
      </c>
      <c r="H2738" t="e" cm="1" vm="1">
        <f t="array" aca="1" ref="H2738" ca="1">VLOOKUP(Cpi_[[#This Row],[Year]:[Month]],crudeoil[],3,FALSE)</f>
        <v>#VALUE!</v>
      </c>
    </row>
    <row r="2739" spans="1:8" hidden="1" x14ac:dyDescent="0.3">
      <c r="A2739" t="s">
        <v>34</v>
      </c>
      <c r="B2739">
        <v>2015</v>
      </c>
      <c r="C2739" t="s">
        <v>43</v>
      </c>
      <c r="D2739" t="s">
        <v>13</v>
      </c>
      <c r="E2739" t="e">
        <f>VLOOKUP(Cpi_[[#This Row],[Attribute]],#REF!,2,FALSE)</f>
        <v>#REF!</v>
      </c>
      <c r="F2739">
        <v>121.1</v>
      </c>
      <c r="G2739">
        <f>(Cpi_[[#This Row],[Value]]-F2738)/F2738</f>
        <v>-6.6306861989205823E-2</v>
      </c>
      <c r="H2739" t="e" cm="1" vm="1">
        <f t="array" aca="1" ref="H2739" ca="1">VLOOKUP(Cpi_[[#This Row],[Year]:[Month]],crudeoil[],3,FALSE)</f>
        <v>#VALUE!</v>
      </c>
    </row>
    <row r="2740" spans="1:8" hidden="1" x14ac:dyDescent="0.3">
      <c r="A2740" t="s">
        <v>34</v>
      </c>
      <c r="B2740">
        <v>2015</v>
      </c>
      <c r="C2740" t="s">
        <v>43</v>
      </c>
      <c r="D2740" t="s">
        <v>14</v>
      </c>
      <c r="E2740" t="e">
        <f>VLOOKUP(Cpi_[[#This Row],[Attribute]],#REF!,2,FALSE)</f>
        <v>#REF!</v>
      </c>
      <c r="F2740">
        <v>133</v>
      </c>
      <c r="G2740">
        <f>(Cpi_[[#This Row],[Value]]-F2739)/F2739</f>
        <v>9.8265895953757273E-2</v>
      </c>
      <c r="H2740" t="e" cm="1" vm="1">
        <f t="array" aca="1" ref="H2740" ca="1">VLOOKUP(Cpi_[[#This Row],[Year]:[Month]],crudeoil[],3,FALSE)</f>
        <v>#VALUE!</v>
      </c>
    </row>
    <row r="2741" spans="1:8" hidden="1" x14ac:dyDescent="0.3">
      <c r="A2741" t="s">
        <v>34</v>
      </c>
      <c r="B2741">
        <v>2015</v>
      </c>
      <c r="C2741" t="s">
        <v>43</v>
      </c>
      <c r="D2741" t="s">
        <v>15</v>
      </c>
      <c r="E2741" t="e">
        <f>VLOOKUP(Cpi_[[#This Row],[Attribute]],#REF!,2,FALSE)</f>
        <v>#REF!</v>
      </c>
      <c r="F2741">
        <v>132.1</v>
      </c>
      <c r="G2741">
        <f>(Cpi_[[#This Row],[Value]]-F2740)/F2740</f>
        <v>-6.7669172932331252E-3</v>
      </c>
      <c r="H2741" t="e" cm="1" vm="1">
        <f t="array" aca="1" ref="H2741" ca="1">VLOOKUP(Cpi_[[#This Row],[Year]:[Month]],crudeoil[],3,FALSE)</f>
        <v>#VALUE!</v>
      </c>
    </row>
    <row r="2742" spans="1:8" hidden="1" x14ac:dyDescent="0.3">
      <c r="A2742" t="s">
        <v>34</v>
      </c>
      <c r="B2742">
        <v>2015</v>
      </c>
      <c r="C2742" t="s">
        <v>43</v>
      </c>
      <c r="D2742" t="s">
        <v>16</v>
      </c>
      <c r="E2742" t="e">
        <f>VLOOKUP(Cpi_[[#This Row],[Attribute]],#REF!,2,FALSE)</f>
        <v>#REF!</v>
      </c>
      <c r="F2742">
        <v>132.5</v>
      </c>
      <c r="G2742">
        <f>(Cpi_[[#This Row],[Value]]-F2741)/F2741</f>
        <v>3.0280090840272954E-3</v>
      </c>
      <c r="H2742" t="e" cm="1" vm="1">
        <f t="array" aca="1" ref="H2742" ca="1">VLOOKUP(Cpi_[[#This Row],[Year]:[Month]],crudeoil[],3,FALSE)</f>
        <v>#VALUE!</v>
      </c>
    </row>
    <row r="2743" spans="1:8" hidden="1" x14ac:dyDescent="0.3">
      <c r="A2743" t="s">
        <v>34</v>
      </c>
      <c r="B2743">
        <v>2015</v>
      </c>
      <c r="C2743" t="s">
        <v>43</v>
      </c>
      <c r="D2743" t="s">
        <v>17</v>
      </c>
      <c r="E2743" t="e">
        <f>VLOOKUP(Cpi_[[#This Row],[Attribute]],#REF!,2,FALSE)</f>
        <v>#REF!</v>
      </c>
      <c r="F2743">
        <v>128.5</v>
      </c>
      <c r="G2743">
        <f>(Cpi_[[#This Row],[Value]]-F2742)/F2742</f>
        <v>-3.0188679245283019E-2</v>
      </c>
      <c r="H2743" t="e" cm="1" vm="1">
        <f t="array" aca="1" ref="H2743" ca="1">VLOOKUP(Cpi_[[#This Row],[Year]:[Month]],crudeoil[],3,FALSE)</f>
        <v>#VALUE!</v>
      </c>
    </row>
    <row r="2744" spans="1:8" hidden="1" x14ac:dyDescent="0.3">
      <c r="A2744" t="s">
        <v>34</v>
      </c>
      <c r="B2744">
        <v>2015</v>
      </c>
      <c r="C2744" t="s">
        <v>43</v>
      </c>
      <c r="D2744" t="s">
        <v>18</v>
      </c>
      <c r="E2744" t="e">
        <f>VLOOKUP(Cpi_[[#This Row],[Attribute]],#REF!,2,FALSE)</f>
        <v>#REF!</v>
      </c>
      <c r="F2744">
        <v>123.8</v>
      </c>
      <c r="G2744">
        <f>(Cpi_[[#This Row],[Value]]-F2743)/F2743</f>
        <v>-3.6575875486381346E-2</v>
      </c>
      <c r="H2744" t="e" cm="1" vm="1">
        <f t="array" aca="1" ref="H2744" ca="1">VLOOKUP(Cpi_[[#This Row],[Year]:[Month]],crudeoil[],3,FALSE)</f>
        <v>#VALUE!</v>
      </c>
    </row>
    <row r="2745" spans="1:8" hidden="1" x14ac:dyDescent="0.3">
      <c r="A2745" t="s">
        <v>34</v>
      </c>
      <c r="B2745">
        <v>2015</v>
      </c>
      <c r="C2745" t="s">
        <v>43</v>
      </c>
      <c r="D2745" t="s">
        <v>19</v>
      </c>
      <c r="E2745" t="e">
        <f>VLOOKUP(Cpi_[[#This Row],[Attribute]],#REF!,2,FALSE)</f>
        <v>#REF!</v>
      </c>
      <c r="F2745">
        <v>127.8</v>
      </c>
      <c r="G2745">
        <f>(Cpi_[[#This Row],[Value]]-F2744)/F2744</f>
        <v>3.2310177705977383E-2</v>
      </c>
      <c r="H2745" t="e" cm="1" vm="1">
        <f t="array" aca="1" ref="H2745" ca="1">VLOOKUP(Cpi_[[#This Row],[Year]:[Month]],crudeoil[],3,FALSE)</f>
        <v>#VALUE!</v>
      </c>
    </row>
    <row r="2746" spans="1:8" hidden="1" x14ac:dyDescent="0.3">
      <c r="A2746" t="s">
        <v>34</v>
      </c>
      <c r="B2746">
        <v>2015</v>
      </c>
      <c r="C2746" t="s">
        <v>43</v>
      </c>
      <c r="D2746" t="s">
        <v>20</v>
      </c>
      <c r="E2746" t="e">
        <f>VLOOKUP(Cpi_[[#This Row],[Attribute]],#REF!,2,FALSE)</f>
        <v>#REF!</v>
      </c>
      <c r="F2746">
        <v>122.4</v>
      </c>
      <c r="G2746">
        <f>(Cpi_[[#This Row],[Value]]-F2745)/F2745</f>
        <v>-4.22535211267605E-2</v>
      </c>
      <c r="H2746" t="e" cm="1" vm="1">
        <f t="array" aca="1" ref="H2746" ca="1">VLOOKUP(Cpi_[[#This Row],[Year]:[Month]],crudeoil[],3,FALSE)</f>
        <v>#VALUE!</v>
      </c>
    </row>
    <row r="2747" spans="1:8" hidden="1" x14ac:dyDescent="0.3">
      <c r="A2747" t="s">
        <v>34</v>
      </c>
      <c r="B2747">
        <v>2015</v>
      </c>
      <c r="C2747" t="s">
        <v>43</v>
      </c>
      <c r="D2747" t="s">
        <v>21</v>
      </c>
      <c r="E2747" t="e">
        <f>VLOOKUP(Cpi_[[#This Row],[Attribute]],#REF!,2,FALSE)</f>
        <v>#REF!</v>
      </c>
      <c r="F2747">
        <v>120.8</v>
      </c>
      <c r="G2747">
        <f>(Cpi_[[#This Row],[Value]]-F2746)/F2746</f>
        <v>-1.3071895424836671E-2</v>
      </c>
      <c r="H2747" t="e" cm="1" vm="1">
        <f t="array" aca="1" ref="H2747" ca="1">VLOOKUP(Cpi_[[#This Row],[Year]:[Month]],crudeoil[],3,FALSE)</f>
        <v>#VALUE!</v>
      </c>
    </row>
    <row r="2748" spans="1:8" hidden="1" x14ac:dyDescent="0.3">
      <c r="A2748" t="s">
        <v>34</v>
      </c>
      <c r="B2748">
        <v>2015</v>
      </c>
      <c r="C2748" t="s">
        <v>43</v>
      </c>
      <c r="D2748" t="s">
        <v>22</v>
      </c>
      <c r="E2748" t="e">
        <f>VLOOKUP(Cpi_[[#This Row],[Attribute]],#REF!,2,FALSE)</f>
        <v>#REF!</v>
      </c>
      <c r="F2748">
        <v>123</v>
      </c>
      <c r="G2748">
        <f>(Cpi_[[#This Row],[Value]]-F2747)/F2747</f>
        <v>1.8211920529801348E-2</v>
      </c>
      <c r="H2748" t="e" cm="1" vm="1">
        <f t="array" aca="1" ref="H2748" ca="1">VLOOKUP(Cpi_[[#This Row],[Year]:[Month]],crudeoil[],3,FALSE)</f>
        <v>#VALUE!</v>
      </c>
    </row>
    <row r="2749" spans="1:8" hidden="1" x14ac:dyDescent="0.3">
      <c r="A2749" t="s">
        <v>34</v>
      </c>
      <c r="B2749">
        <v>2015</v>
      </c>
      <c r="C2749" t="s">
        <v>43</v>
      </c>
      <c r="D2749" t="s">
        <v>23</v>
      </c>
      <c r="E2749" t="e">
        <f>VLOOKUP(Cpi_[[#This Row],[Attribute]],#REF!,2,FALSE)</f>
        <v>#REF!</v>
      </c>
      <c r="F2749">
        <v>120.4</v>
      </c>
      <c r="G2749">
        <f>(Cpi_[[#This Row],[Value]]-F2748)/F2748</f>
        <v>-2.1138211382113775E-2</v>
      </c>
      <c r="H2749" t="e" cm="1" vm="1">
        <f t="array" aca="1" ref="H2749" ca="1">VLOOKUP(Cpi_[[#This Row],[Year]:[Month]],crudeoil[],3,FALSE)</f>
        <v>#VALUE!</v>
      </c>
    </row>
    <row r="2750" spans="1:8" hidden="1" x14ac:dyDescent="0.3">
      <c r="A2750" t="s">
        <v>34</v>
      </c>
      <c r="B2750">
        <v>2015</v>
      </c>
      <c r="C2750" t="s">
        <v>43</v>
      </c>
      <c r="D2750" t="s">
        <v>24</v>
      </c>
      <c r="E2750" t="e">
        <f>VLOOKUP(Cpi_[[#This Row],[Attribute]],#REF!,2,FALSE)</f>
        <v>#REF!</v>
      </c>
      <c r="F2750">
        <v>111.4</v>
      </c>
      <c r="G2750">
        <f>(Cpi_[[#This Row],[Value]]-F2749)/F2749</f>
        <v>-7.4750830564784043E-2</v>
      </c>
      <c r="H2750" t="e" cm="1" vm="1">
        <f t="array" aca="1" ref="H2750" ca="1">VLOOKUP(Cpi_[[#This Row],[Year]:[Month]],crudeoil[],3,FALSE)</f>
        <v>#VALUE!</v>
      </c>
    </row>
    <row r="2751" spans="1:8" hidden="1" x14ac:dyDescent="0.3">
      <c r="A2751" t="s">
        <v>34</v>
      </c>
      <c r="B2751">
        <v>2015</v>
      </c>
      <c r="C2751" t="s">
        <v>43</v>
      </c>
      <c r="D2751" t="s">
        <v>25</v>
      </c>
      <c r="E2751" t="e">
        <f>VLOOKUP(Cpi_[[#This Row],[Attribute]],#REF!,2,FALSE)</f>
        <v>#REF!</v>
      </c>
      <c r="F2751">
        <v>118.7</v>
      </c>
      <c r="G2751">
        <f>(Cpi_[[#This Row],[Value]]-F2750)/F2750</f>
        <v>6.552962298025132E-2</v>
      </c>
      <c r="H2751" t="e" cm="1" vm="1">
        <f t="array" aca="1" ref="H2751" ca="1">VLOOKUP(Cpi_[[#This Row],[Year]:[Month]],crudeoil[],3,FALSE)</f>
        <v>#VALUE!</v>
      </c>
    </row>
    <row r="2752" spans="1:8" hidden="1" x14ac:dyDescent="0.3">
      <c r="A2752" t="s">
        <v>34</v>
      </c>
      <c r="B2752">
        <v>2015</v>
      </c>
      <c r="C2752" t="s">
        <v>43</v>
      </c>
      <c r="D2752" t="s">
        <v>26</v>
      </c>
      <c r="E2752" t="e">
        <f>VLOOKUP(Cpi_[[#This Row],[Attribute]],#REF!,2,FALSE)</f>
        <v>#REF!</v>
      </c>
      <c r="F2752">
        <v>125.9</v>
      </c>
      <c r="G2752">
        <f>(Cpi_[[#This Row],[Value]]-F2751)/F2751</f>
        <v>6.0657118786857644E-2</v>
      </c>
      <c r="H2752" t="e" cm="1" vm="1">
        <f t="array" aca="1" ref="H2752" ca="1">VLOOKUP(Cpi_[[#This Row],[Year]:[Month]],crudeoil[],3,FALSE)</f>
        <v>#VALUE!</v>
      </c>
    </row>
    <row r="2753" spans="1:8" hidden="1" x14ac:dyDescent="0.3">
      <c r="A2753" t="s">
        <v>34</v>
      </c>
      <c r="B2753">
        <v>2015</v>
      </c>
      <c r="C2753" t="s">
        <v>43</v>
      </c>
      <c r="D2753" t="s">
        <v>27</v>
      </c>
      <c r="E2753" t="e">
        <f>VLOOKUP(Cpi_[[#This Row],[Attribute]],#REF!,2,FALSE)</f>
        <v>#REF!</v>
      </c>
      <c r="F2753">
        <v>113.9</v>
      </c>
      <c r="G2753">
        <f>(Cpi_[[#This Row],[Value]]-F2752)/F2752</f>
        <v>-9.5313741064336766E-2</v>
      </c>
      <c r="H2753" t="e" cm="1" vm="1">
        <f t="array" aca="1" ref="H2753" ca="1">VLOOKUP(Cpi_[[#This Row],[Year]:[Month]],crudeoil[],3,FALSE)</f>
        <v>#VALUE!</v>
      </c>
    </row>
    <row r="2754" spans="1:8" hidden="1" x14ac:dyDescent="0.3">
      <c r="A2754" t="s">
        <v>34</v>
      </c>
      <c r="B2754">
        <v>2015</v>
      </c>
      <c r="C2754" t="s">
        <v>43</v>
      </c>
      <c r="D2754" t="s">
        <v>28</v>
      </c>
      <c r="E2754" t="e">
        <f>VLOOKUP(Cpi_[[#This Row],[Attribute]],#REF!,2,FALSE)</f>
        <v>#REF!</v>
      </c>
      <c r="F2754">
        <v>117.9</v>
      </c>
      <c r="G2754">
        <f>(Cpi_[[#This Row],[Value]]-F2753)/F2753</f>
        <v>3.5118525021949079E-2</v>
      </c>
      <c r="H2754" t="e" cm="1" vm="1">
        <f t="array" aca="1" ref="H2754" ca="1">VLOOKUP(Cpi_[[#This Row],[Year]:[Month]],crudeoil[],3,FALSE)</f>
        <v>#VALUE!</v>
      </c>
    </row>
    <row r="2755" spans="1:8" hidden="1" x14ac:dyDescent="0.3">
      <c r="A2755" t="s">
        <v>34</v>
      </c>
      <c r="B2755">
        <v>2015</v>
      </c>
      <c r="C2755" t="s">
        <v>43</v>
      </c>
      <c r="D2755" t="s">
        <v>29</v>
      </c>
      <c r="E2755" t="e" cm="1">
        <f t="array" aca="1" ref="E2755" ca="1">VLGeneral indexGeneral indexKUP(Cpi_[[#This Row],[Attribute]],#REF!,2,FALSE)</f>
        <v>#NAME?</v>
      </c>
      <c r="F2755">
        <v>126.1</v>
      </c>
      <c r="G2755">
        <f>(Cpi_[[#This Row],[Value]]-F2754)/F2754</f>
        <v>6.9550466497031282E-2</v>
      </c>
      <c r="H2755" t="e" cm="1" vm="1">
        <f t="array" aca="1" ref="H2755" ca="1">VLOOKUP(Cpi_[[#This Row],[Year]:[Month]],crudeoil[],3,FALSE)</f>
        <v>#VALUE!</v>
      </c>
    </row>
    <row r="2756" spans="1:8" hidden="1" x14ac:dyDescent="0.3">
      <c r="A2756" t="s">
        <v>30</v>
      </c>
      <c r="B2756">
        <v>2015</v>
      </c>
      <c r="C2756" t="s">
        <v>45</v>
      </c>
      <c r="D2756" t="s">
        <v>3</v>
      </c>
      <c r="E2756" t="e">
        <f>VLOOKUP(Cpi_[[#This Row],[Attribute]],#REF!,2,FALSE)</f>
        <v>#REF!</v>
      </c>
      <c r="F2756">
        <v>126.1</v>
      </c>
      <c r="G2756">
        <f>(Cpi_[[#This Row],[Value]]-F2755)/F2755</f>
        <v>0</v>
      </c>
      <c r="H2756" t="e" cm="1" vm="1">
        <f t="array" aca="1" ref="H2756" ca="1">VLOOKUP(Cpi_[[#This Row],[Year]:[Month]],crudeoil[],3,FALSE)</f>
        <v>#VALUE!</v>
      </c>
    </row>
    <row r="2757" spans="1:8" hidden="1" x14ac:dyDescent="0.3">
      <c r="A2757" t="s">
        <v>30</v>
      </c>
      <c r="B2757">
        <v>2015</v>
      </c>
      <c r="C2757" t="s">
        <v>45</v>
      </c>
      <c r="D2757" t="s">
        <v>4</v>
      </c>
      <c r="E2757" t="e">
        <f>VLOOKUP(Cpi_[[#This Row],[Attribute]],#REF!,2,FALSE)</f>
        <v>#REF!</v>
      </c>
      <c r="F2757">
        <v>130.6</v>
      </c>
      <c r="G2757">
        <f>(Cpi_[[#This Row],[Value]]-F2756)/F2756</f>
        <v>3.5685963521015072E-2</v>
      </c>
      <c r="H2757" t="e" cm="1" vm="1">
        <f t="array" aca="1" ref="H2757" ca="1">VLOOKUP(Cpi_[[#This Row],[Year]:[Month]],crudeoil[],3,FALSE)</f>
        <v>#VALUE!</v>
      </c>
    </row>
    <row r="2758" spans="1:8" hidden="1" x14ac:dyDescent="0.3">
      <c r="A2758" t="s">
        <v>30</v>
      </c>
      <c r="B2758">
        <v>2015</v>
      </c>
      <c r="C2758" t="s">
        <v>45</v>
      </c>
      <c r="D2758" t="s">
        <v>5</v>
      </c>
      <c r="E2758" t="e">
        <f>VLOOKUP(Cpi_[[#This Row],[Attribute]],#REF!,2,FALSE)</f>
        <v>#REF!</v>
      </c>
      <c r="F2758">
        <v>121.7</v>
      </c>
      <c r="G2758">
        <f>(Cpi_[[#This Row],[Value]]-F2757)/F2757</f>
        <v>-6.8147013782542051E-2</v>
      </c>
      <c r="H2758" t="e" cm="1" vm="1">
        <f t="array" aca="1" ref="H2758" ca="1">VLOOKUP(Cpi_[[#This Row],[Year]:[Month]],crudeoil[],3,FALSE)</f>
        <v>#VALUE!</v>
      </c>
    </row>
    <row r="2759" spans="1:8" hidden="1" x14ac:dyDescent="0.3">
      <c r="A2759" t="s">
        <v>30</v>
      </c>
      <c r="B2759">
        <v>2015</v>
      </c>
      <c r="C2759" t="s">
        <v>45</v>
      </c>
      <c r="D2759" t="s">
        <v>6</v>
      </c>
      <c r="E2759" t="e">
        <f>VLOOKUP(Cpi_[[#This Row],[Attribute]],#REF!,2,FALSE)</f>
        <v>#REF!</v>
      </c>
      <c r="F2759">
        <v>129.5</v>
      </c>
      <c r="G2759">
        <f>(Cpi_[[#This Row],[Value]]-F2758)/F2758</f>
        <v>6.409202958093671E-2</v>
      </c>
      <c r="H2759" t="e" cm="1" vm="1">
        <f t="array" aca="1" ref="H2759" ca="1">VLOOKUP(Cpi_[[#This Row],[Year]:[Month]],crudeoil[],3,FALSE)</f>
        <v>#VALUE!</v>
      </c>
    </row>
    <row r="2760" spans="1:8" hidden="1" x14ac:dyDescent="0.3">
      <c r="A2760" t="s">
        <v>30</v>
      </c>
      <c r="B2760">
        <v>2015</v>
      </c>
      <c r="C2760" t="s">
        <v>45</v>
      </c>
      <c r="D2760" t="s">
        <v>7</v>
      </c>
      <c r="E2760" t="e">
        <f>VLOOKUP(Cpi_[[#This Row],[Attribute]],#REF!,2,FALSE)</f>
        <v>#REF!</v>
      </c>
      <c r="F2760">
        <v>117.8</v>
      </c>
      <c r="G2760">
        <f>(Cpi_[[#This Row],[Value]]-F2759)/F2759</f>
        <v>-9.0347490347490372E-2</v>
      </c>
      <c r="H2760" t="e" cm="1" vm="1">
        <f t="array" aca="1" ref="H2760" ca="1">VLOOKUP(Cpi_[[#This Row],[Year]:[Month]],crudeoil[],3,FALSE)</f>
        <v>#VALUE!</v>
      </c>
    </row>
    <row r="2761" spans="1:8" hidden="1" x14ac:dyDescent="0.3">
      <c r="A2761" t="s">
        <v>30</v>
      </c>
      <c r="B2761">
        <v>2015</v>
      </c>
      <c r="C2761" t="s">
        <v>45</v>
      </c>
      <c r="D2761" t="s">
        <v>8</v>
      </c>
      <c r="E2761" t="e">
        <f>VLOOKUP(Cpi_[[#This Row],[Attribute]],#REF!,2,FALSE)</f>
        <v>#REF!</v>
      </c>
      <c r="F2761">
        <v>132.1</v>
      </c>
      <c r="G2761">
        <f>(Cpi_[[#This Row],[Value]]-F2760)/F2760</f>
        <v>0.12139219015280134</v>
      </c>
      <c r="H2761" t="e" cm="1" vm="1">
        <f t="array" aca="1" ref="H2761" ca="1">VLOOKUP(Cpi_[[#This Row],[Year]:[Month]],crudeoil[],3,FALSE)</f>
        <v>#VALUE!</v>
      </c>
    </row>
    <row r="2762" spans="1:8" hidden="1" x14ac:dyDescent="0.3">
      <c r="A2762" t="s">
        <v>30</v>
      </c>
      <c r="B2762">
        <v>2015</v>
      </c>
      <c r="C2762" t="s">
        <v>45</v>
      </c>
      <c r="D2762" t="s">
        <v>9</v>
      </c>
      <c r="E2762" t="e">
        <f>VLOOKUP(Cpi_[[#This Row],[Attribute]],#REF!,2,FALSE)</f>
        <v>#REF!</v>
      </c>
      <c r="F2762">
        <v>155.19999999999999</v>
      </c>
      <c r="G2762">
        <f>(Cpi_[[#This Row],[Value]]-F2761)/F2761</f>
        <v>0.17486752460257377</v>
      </c>
      <c r="H2762" t="e" cm="1" vm="1">
        <f t="array" aca="1" ref="H2762" ca="1">VLOOKUP(Cpi_[[#This Row],[Year]:[Month]],crudeoil[],3,FALSE)</f>
        <v>#VALUE!</v>
      </c>
    </row>
    <row r="2763" spans="1:8" hidden="1" x14ac:dyDescent="0.3">
      <c r="A2763" t="s">
        <v>30</v>
      </c>
      <c r="B2763">
        <v>2015</v>
      </c>
      <c r="C2763" t="s">
        <v>45</v>
      </c>
      <c r="D2763" t="s">
        <v>10</v>
      </c>
      <c r="E2763" t="e">
        <f>VLOOKUP(Cpi_[[#This Row],[Attribute]],#REF!,2,FALSE)</f>
        <v>#REF!</v>
      </c>
      <c r="F2763">
        <v>160.80000000000001</v>
      </c>
      <c r="G2763">
        <f>(Cpi_[[#This Row],[Value]]-F2762)/F2762</f>
        <v>3.6082474226804273E-2</v>
      </c>
      <c r="H2763" t="e" cm="1" vm="1">
        <f t="array" aca="1" ref="H2763" ca="1">VLOOKUP(Cpi_[[#This Row],[Year]:[Month]],crudeoil[],3,FALSE)</f>
        <v>#VALUE!</v>
      </c>
    </row>
    <row r="2764" spans="1:8" hidden="1" x14ac:dyDescent="0.3">
      <c r="A2764" t="s">
        <v>30</v>
      </c>
      <c r="B2764">
        <v>2015</v>
      </c>
      <c r="C2764" t="s">
        <v>45</v>
      </c>
      <c r="D2764" t="s">
        <v>11</v>
      </c>
      <c r="E2764" t="e">
        <f>VLOOKUP(Cpi_[[#This Row],[Attribute]],#REF!,2,FALSE)</f>
        <v>#REF!</v>
      </c>
      <c r="F2764">
        <v>94.5</v>
      </c>
      <c r="G2764">
        <f>(Cpi_[[#This Row],[Value]]-F2763)/F2763</f>
        <v>-0.41231343283582095</v>
      </c>
      <c r="H2764" t="e" cm="1" vm="1">
        <f t="array" aca="1" ref="H2764" ca="1">VLOOKUP(Cpi_[[#This Row],[Year]:[Month]],crudeoil[],3,FALSE)</f>
        <v>#VALUE!</v>
      </c>
    </row>
    <row r="2765" spans="1:8" hidden="1" x14ac:dyDescent="0.3">
      <c r="A2765" t="s">
        <v>30</v>
      </c>
      <c r="B2765">
        <v>2015</v>
      </c>
      <c r="C2765" t="s">
        <v>45</v>
      </c>
      <c r="D2765" t="s">
        <v>12</v>
      </c>
      <c r="E2765" t="e">
        <f>VLOOKUP(Cpi_[[#This Row],[Attribute]],#REF!,2,FALSE)</f>
        <v>#REF!</v>
      </c>
      <c r="F2765">
        <v>128.30000000000001</v>
      </c>
      <c r="G2765">
        <f>(Cpi_[[#This Row],[Value]]-F2764)/F2764</f>
        <v>0.35767195767195781</v>
      </c>
      <c r="H2765" t="e" cm="1" vm="1">
        <f t="array" aca="1" ref="H2765" ca="1">VLOOKUP(Cpi_[[#This Row],[Year]:[Month]],crudeoil[],3,FALSE)</f>
        <v>#VALUE!</v>
      </c>
    </row>
    <row r="2766" spans="1:8" hidden="1" x14ac:dyDescent="0.3">
      <c r="A2766" t="s">
        <v>30</v>
      </c>
      <c r="B2766">
        <v>2015</v>
      </c>
      <c r="C2766" t="s">
        <v>45</v>
      </c>
      <c r="D2766" t="s">
        <v>13</v>
      </c>
      <c r="E2766" t="e">
        <f>VLOOKUP(Cpi_[[#This Row],[Attribute]],#REF!,2,FALSE)</f>
        <v>#REF!</v>
      </c>
      <c r="F2766">
        <v>123.1</v>
      </c>
      <c r="G2766">
        <f>(Cpi_[[#This Row],[Value]]-F2765)/F2765</f>
        <v>-4.0530007794232395E-2</v>
      </c>
      <c r="H2766" t="e" cm="1" vm="1">
        <f t="array" aca="1" ref="H2766" ca="1">VLOOKUP(Cpi_[[#This Row],[Year]:[Month]],crudeoil[],3,FALSE)</f>
        <v>#VALUE!</v>
      </c>
    </row>
    <row r="2767" spans="1:8" hidden="1" x14ac:dyDescent="0.3">
      <c r="A2767" t="s">
        <v>30</v>
      </c>
      <c r="B2767">
        <v>2015</v>
      </c>
      <c r="C2767" t="s">
        <v>45</v>
      </c>
      <c r="D2767" t="s">
        <v>14</v>
      </c>
      <c r="E2767" t="e">
        <f>VLOOKUP(Cpi_[[#This Row],[Attribute]],#REF!,2,FALSE)</f>
        <v>#REF!</v>
      </c>
      <c r="F2767">
        <v>134.19999999999999</v>
      </c>
      <c r="G2767">
        <f>(Cpi_[[#This Row],[Value]]-F2766)/F2766</f>
        <v>9.0170593013809863E-2</v>
      </c>
      <c r="H2767" t="e" cm="1" vm="1">
        <f t="array" aca="1" ref="H2767" ca="1">VLOOKUP(Cpi_[[#This Row],[Year]:[Month]],crudeoil[],3,FALSE)</f>
        <v>#VALUE!</v>
      </c>
    </row>
    <row r="2768" spans="1:8" hidden="1" x14ac:dyDescent="0.3">
      <c r="A2768" t="s">
        <v>30</v>
      </c>
      <c r="B2768">
        <v>2015</v>
      </c>
      <c r="C2768" t="s">
        <v>45</v>
      </c>
      <c r="D2768" t="s">
        <v>15</v>
      </c>
      <c r="E2768" t="e">
        <f>VLOOKUP(Cpi_[[#This Row],[Attribute]],#REF!,2,FALSE)</f>
        <v>#REF!</v>
      </c>
      <c r="F2768">
        <v>132.4</v>
      </c>
      <c r="G2768">
        <f>(Cpi_[[#This Row],[Value]]-F2767)/F2767</f>
        <v>-1.341281669150509E-2</v>
      </c>
      <c r="H2768" t="e" cm="1" vm="1">
        <f t="array" aca="1" ref="H2768" ca="1">VLOOKUP(Cpi_[[#This Row],[Year]:[Month]],crudeoil[],3,FALSE)</f>
        <v>#VALUE!</v>
      </c>
    </row>
    <row r="2769" spans="1:8" hidden="1" x14ac:dyDescent="0.3">
      <c r="A2769" t="s">
        <v>30</v>
      </c>
      <c r="B2769">
        <v>2015</v>
      </c>
      <c r="C2769" t="s">
        <v>45</v>
      </c>
      <c r="D2769" t="s">
        <v>16</v>
      </c>
      <c r="E2769" t="e">
        <f>VLOOKUP(Cpi_[[#This Row],[Attribute]],#REF!,2,FALSE)</f>
        <v>#REF!</v>
      </c>
      <c r="F2769">
        <v>132.19999999999999</v>
      </c>
      <c r="G2769">
        <f>(Cpi_[[#This Row],[Value]]-F2768)/F2768</f>
        <v>-1.510574018127017E-3</v>
      </c>
      <c r="H2769" t="e" cm="1" vm="1">
        <f t="array" aca="1" ref="H2769" ca="1">VLOOKUP(Cpi_[[#This Row],[Year]:[Month]],crudeoil[],3,FALSE)</f>
        <v>#VALUE!</v>
      </c>
    </row>
    <row r="2770" spans="1:8" hidden="1" x14ac:dyDescent="0.3">
      <c r="A2770" t="s">
        <v>30</v>
      </c>
      <c r="B2770">
        <v>2015</v>
      </c>
      <c r="C2770" t="s">
        <v>45</v>
      </c>
      <c r="D2770" t="s">
        <v>17</v>
      </c>
      <c r="E2770" t="e">
        <f>VLOOKUP(Cpi_[[#This Row],[Attribute]],#REF!,2,FALSE)</f>
        <v>#REF!</v>
      </c>
      <c r="F2770">
        <v>132.1</v>
      </c>
      <c r="G2770">
        <f>(Cpi_[[#This Row],[Value]]-F2769)/F2769</f>
        <v>-7.5642965204231714E-4</v>
      </c>
      <c r="H2770" t="e" cm="1" vm="1">
        <f t="array" aca="1" ref="H2770" ca="1">VLOOKUP(Cpi_[[#This Row],[Year]:[Month]],crudeoil[],3,FALSE)</f>
        <v>#VALUE!</v>
      </c>
    </row>
    <row r="2771" spans="1:8" hidden="1" x14ac:dyDescent="0.3">
      <c r="A2771" t="s">
        <v>30</v>
      </c>
      <c r="B2771">
        <v>2015</v>
      </c>
      <c r="C2771" t="s">
        <v>45</v>
      </c>
      <c r="D2771" t="s">
        <v>18</v>
      </c>
      <c r="E2771" t="e">
        <f>VLOOKUP(Cpi_[[#This Row],[Attribute]],#REF!,2,FALSE)</f>
        <v>#REF!</v>
      </c>
      <c r="F2771">
        <v>128.19999999999999</v>
      </c>
      <c r="G2771">
        <f>(Cpi_[[#This Row],[Value]]-F2770)/F2770</f>
        <v>-2.9523088569265752E-2</v>
      </c>
      <c r="H2771" t="e" cm="1" vm="1">
        <f t="array" aca="1" ref="H2771" ca="1">VLOOKUP(Cpi_[[#This Row],[Year]:[Month]],crudeoil[],3,FALSE)</f>
        <v>#VALUE!</v>
      </c>
    </row>
    <row r="2772" spans="1:8" hidden="1" x14ac:dyDescent="0.3">
      <c r="A2772" t="s">
        <v>30</v>
      </c>
      <c r="B2772">
        <v>2015</v>
      </c>
      <c r="C2772" t="s">
        <v>45</v>
      </c>
      <c r="D2772" t="s">
        <v>19</v>
      </c>
      <c r="E2772" t="e">
        <f>VLOOKUP(Cpi_[[#This Row],[Attribute]],#REF!,2,FALSE)</f>
        <v>#REF!</v>
      </c>
      <c r="F2772">
        <v>131.5</v>
      </c>
      <c r="G2772">
        <f>(Cpi_[[#This Row],[Value]]-F2771)/F2771</f>
        <v>2.5741029641185739E-2</v>
      </c>
      <c r="H2772" t="e" cm="1" vm="1">
        <f t="array" aca="1" ref="H2772" ca="1">VLOOKUP(Cpi_[[#This Row],[Year]:[Month]],crudeoil[],3,FALSE)</f>
        <v>#VALUE!</v>
      </c>
    </row>
    <row r="2773" spans="1:8" hidden="1" x14ac:dyDescent="0.3">
      <c r="A2773" t="s">
        <v>30</v>
      </c>
      <c r="B2773">
        <v>2015</v>
      </c>
      <c r="C2773" t="s">
        <v>45</v>
      </c>
      <c r="D2773" t="s">
        <v>20</v>
      </c>
      <c r="E2773" t="e">
        <f>VLOOKUP(Cpi_[[#This Row],[Attribute]],#REF!,2,FALSE)</f>
        <v>#REF!</v>
      </c>
      <c r="F2773" t="s">
        <v>32</v>
      </c>
      <c r="G2773" t="e">
        <f>(Cpi_[[#This Row],[Value]]-F2772)/F2772</f>
        <v>#VALUE!</v>
      </c>
      <c r="H2773" t="e" cm="1" vm="1">
        <f t="array" aca="1" ref="H2773" ca="1">VLOOKUP(Cpi_[[#This Row],[Year]:[Month]],crudeoil[],3,FALSE)</f>
        <v>#VALUE!</v>
      </c>
    </row>
    <row r="2774" spans="1:8" hidden="1" x14ac:dyDescent="0.3">
      <c r="A2774" t="s">
        <v>30</v>
      </c>
      <c r="B2774">
        <v>2015</v>
      </c>
      <c r="C2774" t="s">
        <v>45</v>
      </c>
      <c r="D2774" t="s">
        <v>21</v>
      </c>
      <c r="E2774" t="e">
        <f>VLOOKUP(Cpi_[[#This Row],[Attribute]],#REF!,2,FALSE)</f>
        <v>#REF!</v>
      </c>
      <c r="F2774">
        <v>125.6</v>
      </c>
      <c r="G2774" t="e">
        <f>(Cpi_[[#This Row],[Value]]-F2773)/F2773</f>
        <v>#VALUE!</v>
      </c>
      <c r="H2774" t="e" cm="1" vm="1">
        <f t="array" aca="1" ref="H2774" ca="1">VLOOKUP(Cpi_[[#This Row],[Year]:[Month]],crudeoil[],3,FALSE)</f>
        <v>#VALUE!</v>
      </c>
    </row>
    <row r="2775" spans="1:8" hidden="1" x14ac:dyDescent="0.3">
      <c r="A2775" t="s">
        <v>30</v>
      </c>
      <c r="B2775">
        <v>2015</v>
      </c>
      <c r="C2775" t="s">
        <v>45</v>
      </c>
      <c r="D2775" t="s">
        <v>22</v>
      </c>
      <c r="E2775" t="e">
        <f>VLOOKUP(Cpi_[[#This Row],[Attribute]],#REF!,2,FALSE)</f>
        <v>#REF!</v>
      </c>
      <c r="F2775">
        <v>125.6</v>
      </c>
      <c r="G2775">
        <f>(Cpi_[[#This Row],[Value]]-F2774)/F2774</f>
        <v>0</v>
      </c>
      <c r="H2775" t="e" cm="1" vm="1">
        <f t="array" aca="1" ref="H2775" ca="1">VLOOKUP(Cpi_[[#This Row],[Year]:[Month]],crudeoil[],3,FALSE)</f>
        <v>#VALUE!</v>
      </c>
    </row>
    <row r="2776" spans="1:8" hidden="1" x14ac:dyDescent="0.3">
      <c r="A2776" t="s">
        <v>30</v>
      </c>
      <c r="B2776">
        <v>2015</v>
      </c>
      <c r="C2776" t="s">
        <v>45</v>
      </c>
      <c r="D2776" t="s">
        <v>23</v>
      </c>
      <c r="E2776" t="e">
        <f>VLOOKUP(Cpi_[[#This Row],[Attribute]],#REF!,2,FALSE)</f>
        <v>#REF!</v>
      </c>
      <c r="F2776">
        <v>122.6</v>
      </c>
      <c r="G2776">
        <f>(Cpi_[[#This Row],[Value]]-F2775)/F2775</f>
        <v>-2.3885350318471339E-2</v>
      </c>
      <c r="H2776" t="e" cm="1" vm="1">
        <f t="array" aca="1" ref="H2776" ca="1">VLOOKUP(Cpi_[[#This Row],[Year]:[Month]],crudeoil[],3,FALSE)</f>
        <v>#VALUE!</v>
      </c>
    </row>
    <row r="2777" spans="1:8" hidden="1" x14ac:dyDescent="0.3">
      <c r="A2777" t="s">
        <v>30</v>
      </c>
      <c r="B2777">
        <v>2015</v>
      </c>
      <c r="C2777" t="s">
        <v>45</v>
      </c>
      <c r="D2777" t="s">
        <v>24</v>
      </c>
      <c r="E2777" t="e">
        <f>VLOOKUP(Cpi_[[#This Row],[Attribute]],#REF!,2,FALSE)</f>
        <v>#REF!</v>
      </c>
      <c r="F2777">
        <v>114</v>
      </c>
      <c r="G2777">
        <f>(Cpi_[[#This Row],[Value]]-F2776)/F2776</f>
        <v>-7.0146818923327858E-2</v>
      </c>
      <c r="H2777" t="e" cm="1" vm="1">
        <f t="array" aca="1" ref="H2777" ca="1">VLOOKUP(Cpi_[[#This Row],[Year]:[Month]],crudeoil[],3,FALSE)</f>
        <v>#VALUE!</v>
      </c>
    </row>
    <row r="2778" spans="1:8" hidden="1" x14ac:dyDescent="0.3">
      <c r="A2778" t="s">
        <v>30</v>
      </c>
      <c r="B2778">
        <v>2015</v>
      </c>
      <c r="C2778" t="s">
        <v>45</v>
      </c>
      <c r="D2778" t="s">
        <v>25</v>
      </c>
      <c r="E2778" t="e">
        <f>VLOOKUP(Cpi_[[#This Row],[Attribute]],#REF!,2,FALSE)</f>
        <v>#REF!</v>
      </c>
      <c r="F2778">
        <v>120.9</v>
      </c>
      <c r="G2778">
        <f>(Cpi_[[#This Row],[Value]]-F2777)/F2777</f>
        <v>6.0526315789473734E-2</v>
      </c>
      <c r="H2778" t="e" cm="1" vm="1">
        <f t="array" aca="1" ref="H2778" ca="1">VLOOKUP(Cpi_[[#This Row],[Year]:[Month]],crudeoil[],3,FALSE)</f>
        <v>#VALUE!</v>
      </c>
    </row>
    <row r="2779" spans="1:8" hidden="1" x14ac:dyDescent="0.3">
      <c r="A2779" t="s">
        <v>30</v>
      </c>
      <c r="B2779">
        <v>2015</v>
      </c>
      <c r="C2779" t="s">
        <v>45</v>
      </c>
      <c r="D2779" t="s">
        <v>26</v>
      </c>
      <c r="E2779" t="e">
        <f>VLOOKUP(Cpi_[[#This Row],[Attribute]],#REF!,2,FALSE)</f>
        <v>#REF!</v>
      </c>
      <c r="F2779">
        <v>125.8</v>
      </c>
      <c r="G2779">
        <f>(Cpi_[[#This Row],[Value]]-F2778)/F2778</f>
        <v>4.0529363110008196E-2</v>
      </c>
      <c r="H2779" t="e" cm="1" vm="1">
        <f t="array" aca="1" ref="H2779" ca="1">VLOOKUP(Cpi_[[#This Row],[Year]:[Month]],crudeoil[],3,FALSE)</f>
        <v>#VALUE!</v>
      </c>
    </row>
    <row r="2780" spans="1:8" hidden="1" x14ac:dyDescent="0.3">
      <c r="A2780" t="s">
        <v>30</v>
      </c>
      <c r="B2780">
        <v>2015</v>
      </c>
      <c r="C2780" t="s">
        <v>45</v>
      </c>
      <c r="D2780" t="s">
        <v>27</v>
      </c>
      <c r="E2780" t="e">
        <f>VLOOKUP(Cpi_[[#This Row],[Attribute]],#REF!,2,FALSE)</f>
        <v>#REF!</v>
      </c>
      <c r="F2780">
        <v>114.2</v>
      </c>
      <c r="G2780">
        <f>(Cpi_[[#This Row],[Value]]-F2779)/F2779</f>
        <v>-9.2209856915739227E-2</v>
      </c>
      <c r="H2780" t="e" cm="1" vm="1">
        <f t="array" aca="1" ref="H2780" ca="1">VLOOKUP(Cpi_[[#This Row],[Year]:[Month]],crudeoil[],3,FALSE)</f>
        <v>#VALUE!</v>
      </c>
    </row>
    <row r="2781" spans="1:8" hidden="1" x14ac:dyDescent="0.3">
      <c r="A2781" t="s">
        <v>30</v>
      </c>
      <c r="B2781">
        <v>2015</v>
      </c>
      <c r="C2781" t="s">
        <v>45</v>
      </c>
      <c r="D2781" t="s">
        <v>28</v>
      </c>
      <c r="E2781" t="e">
        <f>VLOOKUP(Cpi_[[#This Row],[Attribute]],#REF!,2,FALSE)</f>
        <v>#REF!</v>
      </c>
      <c r="F2781">
        <v>119.6</v>
      </c>
      <c r="G2781">
        <f>(Cpi_[[#This Row],[Value]]-F2780)/F2780</f>
        <v>4.7285464098073479E-2</v>
      </c>
      <c r="H2781" t="e" cm="1" vm="1">
        <f t="array" aca="1" ref="H2781" ca="1">VLOOKUP(Cpi_[[#This Row],[Year]:[Month]],crudeoil[],3,FALSE)</f>
        <v>#VALUE!</v>
      </c>
    </row>
    <row r="2782" spans="1:8" hidden="1" x14ac:dyDescent="0.3">
      <c r="A2782" t="s">
        <v>30</v>
      </c>
      <c r="B2782">
        <v>2015</v>
      </c>
      <c r="C2782" t="s">
        <v>45</v>
      </c>
      <c r="D2782" t="s">
        <v>29</v>
      </c>
      <c r="E2782" t="e" cm="1">
        <f t="array" aca="1" ref="E2782" ca="1">VLGeneral indexGeneral indexKUP(Cpi_[[#This Row],[Attribute]],#REF!,2,FALSE)</f>
        <v>#NAME?</v>
      </c>
      <c r="F2782">
        <v>128.30000000000001</v>
      </c>
      <c r="G2782">
        <f>(Cpi_[[#This Row],[Value]]-F2781)/F2781</f>
        <v>7.2742474916388106E-2</v>
      </c>
      <c r="H2782" t="e" cm="1" vm="1">
        <f t="array" aca="1" ref="H2782" ca="1">VLOOKUP(Cpi_[[#This Row],[Year]:[Month]],crudeoil[],3,FALSE)</f>
        <v>#VALUE!</v>
      </c>
    </row>
    <row r="2783" spans="1:8" hidden="1" x14ac:dyDescent="0.3">
      <c r="A2783" t="s">
        <v>33</v>
      </c>
      <c r="B2783">
        <v>2015</v>
      </c>
      <c r="C2783" t="s">
        <v>45</v>
      </c>
      <c r="D2783" t="s">
        <v>3</v>
      </c>
      <c r="E2783" t="e">
        <f>VLOOKUP(Cpi_[[#This Row],[Attribute]],#REF!,2,FALSE)</f>
        <v>#REF!</v>
      </c>
      <c r="F2783">
        <v>124</v>
      </c>
      <c r="G2783">
        <f>(Cpi_[[#This Row],[Value]]-F2782)/F2782</f>
        <v>-3.3515198752922921E-2</v>
      </c>
      <c r="H2783" t="e" cm="1" vm="1">
        <f t="array" aca="1" ref="H2783" ca="1">VLOOKUP(Cpi_[[#This Row],[Year]:[Month]],crudeoil[],3,FALSE)</f>
        <v>#VALUE!</v>
      </c>
    </row>
    <row r="2784" spans="1:8" hidden="1" x14ac:dyDescent="0.3">
      <c r="A2784" t="s">
        <v>33</v>
      </c>
      <c r="B2784">
        <v>2015</v>
      </c>
      <c r="C2784" t="s">
        <v>45</v>
      </c>
      <c r="D2784" t="s">
        <v>4</v>
      </c>
      <c r="E2784" t="e">
        <f>VLOOKUP(Cpi_[[#This Row],[Attribute]],#REF!,2,FALSE)</f>
        <v>#REF!</v>
      </c>
      <c r="F2784">
        <v>129.80000000000001</v>
      </c>
      <c r="G2784">
        <f>(Cpi_[[#This Row],[Value]]-F2783)/F2783</f>
        <v>4.6774193548387188E-2</v>
      </c>
      <c r="H2784" t="e" cm="1" vm="1">
        <f t="array" aca="1" ref="H2784" ca="1">VLOOKUP(Cpi_[[#This Row],[Year]:[Month]],crudeoil[],3,FALSE)</f>
        <v>#VALUE!</v>
      </c>
    </row>
    <row r="2785" spans="1:8" hidden="1" x14ac:dyDescent="0.3">
      <c r="A2785" t="s">
        <v>33</v>
      </c>
      <c r="B2785">
        <v>2015</v>
      </c>
      <c r="C2785" t="s">
        <v>45</v>
      </c>
      <c r="D2785" t="s">
        <v>5</v>
      </c>
      <c r="E2785" t="e">
        <f>VLOOKUP(Cpi_[[#This Row],[Attribute]],#REF!,2,FALSE)</f>
        <v>#REF!</v>
      </c>
      <c r="F2785">
        <v>121.5</v>
      </c>
      <c r="G2785">
        <f>(Cpi_[[#This Row],[Value]]-F2784)/F2784</f>
        <v>-6.3944530046225037E-2</v>
      </c>
      <c r="H2785" t="e" cm="1" vm="1">
        <f t="array" aca="1" ref="H2785" ca="1">VLOOKUP(Cpi_[[#This Row],[Year]:[Month]],crudeoil[],3,FALSE)</f>
        <v>#VALUE!</v>
      </c>
    </row>
    <row r="2786" spans="1:8" hidden="1" x14ac:dyDescent="0.3">
      <c r="A2786" t="s">
        <v>33</v>
      </c>
      <c r="B2786">
        <v>2015</v>
      </c>
      <c r="C2786" t="s">
        <v>45</v>
      </c>
      <c r="D2786" t="s">
        <v>6</v>
      </c>
      <c r="E2786" t="e">
        <f>VLOOKUP(Cpi_[[#This Row],[Attribute]],#REF!,2,FALSE)</f>
        <v>#REF!</v>
      </c>
      <c r="F2786">
        <v>128.6</v>
      </c>
      <c r="G2786">
        <f>(Cpi_[[#This Row],[Value]]-F2785)/F2785</f>
        <v>5.8436213991769501E-2</v>
      </c>
      <c r="H2786" t="e" cm="1" vm="1">
        <f t="array" aca="1" ref="H2786" ca="1">VLOOKUP(Cpi_[[#This Row],[Year]:[Month]],crudeoil[],3,FALSE)</f>
        <v>#VALUE!</v>
      </c>
    </row>
    <row r="2787" spans="1:8" hidden="1" x14ac:dyDescent="0.3">
      <c r="A2787" t="s">
        <v>33</v>
      </c>
      <c r="B2787">
        <v>2015</v>
      </c>
      <c r="C2787" t="s">
        <v>45</v>
      </c>
      <c r="D2787" t="s">
        <v>7</v>
      </c>
      <c r="E2787" t="e">
        <f>VLOOKUP(Cpi_[[#This Row],[Attribute]],#REF!,2,FALSE)</f>
        <v>#REF!</v>
      </c>
      <c r="F2787">
        <v>110</v>
      </c>
      <c r="G2787">
        <f>(Cpi_[[#This Row],[Value]]-F2786)/F2786</f>
        <v>-0.14463452566096419</v>
      </c>
      <c r="H2787" t="e" cm="1" vm="1">
        <f t="array" aca="1" ref="H2787" ca="1">VLOOKUP(Cpi_[[#This Row],[Year]:[Month]],crudeoil[],3,FALSE)</f>
        <v>#VALUE!</v>
      </c>
    </row>
    <row r="2788" spans="1:8" hidden="1" x14ac:dyDescent="0.3">
      <c r="A2788" t="s">
        <v>33</v>
      </c>
      <c r="B2788">
        <v>2015</v>
      </c>
      <c r="C2788" t="s">
        <v>45</v>
      </c>
      <c r="D2788" t="s">
        <v>8</v>
      </c>
      <c r="E2788" t="e">
        <f>VLOOKUP(Cpi_[[#This Row],[Attribute]],#REF!,2,FALSE)</f>
        <v>#REF!</v>
      </c>
      <c r="F2788">
        <v>123.7</v>
      </c>
      <c r="G2788">
        <f>(Cpi_[[#This Row],[Value]]-F2787)/F2787</f>
        <v>0.12454545454545457</v>
      </c>
      <c r="H2788" t="e" cm="1" vm="1">
        <f t="array" aca="1" ref="H2788" ca="1">VLOOKUP(Cpi_[[#This Row],[Year]:[Month]],crudeoil[],3,FALSE)</f>
        <v>#VALUE!</v>
      </c>
    </row>
    <row r="2789" spans="1:8" hidden="1" x14ac:dyDescent="0.3">
      <c r="A2789" t="s">
        <v>33</v>
      </c>
      <c r="B2789">
        <v>2015</v>
      </c>
      <c r="C2789" t="s">
        <v>45</v>
      </c>
      <c r="D2789" t="s">
        <v>9</v>
      </c>
      <c r="E2789" t="e">
        <f>VLOOKUP(Cpi_[[#This Row],[Attribute]],#REF!,2,FALSE)</f>
        <v>#REF!</v>
      </c>
      <c r="F2789">
        <v>164.6</v>
      </c>
      <c r="G2789">
        <f>(Cpi_[[#This Row],[Value]]-F2788)/F2788</f>
        <v>0.33063864187550518</v>
      </c>
      <c r="H2789" t="e" cm="1" vm="1">
        <f t="array" aca="1" ref="H2789" ca="1">VLOOKUP(Cpi_[[#This Row],[Year]:[Month]],crudeoil[],3,FALSE)</f>
        <v>#VALUE!</v>
      </c>
    </row>
    <row r="2790" spans="1:8" hidden="1" x14ac:dyDescent="0.3">
      <c r="A2790" t="s">
        <v>33</v>
      </c>
      <c r="B2790">
        <v>2015</v>
      </c>
      <c r="C2790" t="s">
        <v>45</v>
      </c>
      <c r="D2790" t="s">
        <v>10</v>
      </c>
      <c r="E2790" t="e">
        <f>VLOOKUP(Cpi_[[#This Row],[Attribute]],#REF!,2,FALSE)</f>
        <v>#REF!</v>
      </c>
      <c r="F2790">
        <v>191.6</v>
      </c>
      <c r="G2790">
        <f>(Cpi_[[#This Row],[Value]]-F2789)/F2789</f>
        <v>0.16403402187120292</v>
      </c>
      <c r="H2790" t="e" cm="1" vm="1">
        <f t="array" aca="1" ref="H2790" ca="1">VLOOKUP(Cpi_[[#This Row],[Year]:[Month]],crudeoil[],3,FALSE)</f>
        <v>#VALUE!</v>
      </c>
    </row>
    <row r="2791" spans="1:8" hidden="1" x14ac:dyDescent="0.3">
      <c r="A2791" t="s">
        <v>33</v>
      </c>
      <c r="B2791">
        <v>2015</v>
      </c>
      <c r="C2791" t="s">
        <v>45</v>
      </c>
      <c r="D2791" t="s">
        <v>11</v>
      </c>
      <c r="E2791" t="e">
        <f>VLOOKUP(Cpi_[[#This Row],[Attribute]],#REF!,2,FALSE)</f>
        <v>#REF!</v>
      </c>
      <c r="F2791">
        <v>90.8</v>
      </c>
      <c r="G2791">
        <f>(Cpi_[[#This Row],[Value]]-F2790)/F2790</f>
        <v>-0.52609603340292277</v>
      </c>
      <c r="H2791" t="e" cm="1" vm="1">
        <f t="array" aca="1" ref="H2791" ca="1">VLOOKUP(Cpi_[[#This Row],[Year]:[Month]],crudeoil[],3,FALSE)</f>
        <v>#VALUE!</v>
      </c>
    </row>
    <row r="2792" spans="1:8" hidden="1" x14ac:dyDescent="0.3">
      <c r="A2792" t="s">
        <v>33</v>
      </c>
      <c r="B2792">
        <v>2015</v>
      </c>
      <c r="C2792" t="s">
        <v>45</v>
      </c>
      <c r="D2792" t="s">
        <v>12</v>
      </c>
      <c r="E2792" t="e">
        <f>VLOOKUP(Cpi_[[#This Row],[Attribute]],#REF!,2,FALSE)</f>
        <v>#REF!</v>
      </c>
      <c r="F2792">
        <v>137.1</v>
      </c>
      <c r="G2792">
        <f>(Cpi_[[#This Row],[Value]]-F2791)/F2791</f>
        <v>0.50991189427312777</v>
      </c>
      <c r="H2792" t="e" cm="1" vm="1">
        <f t="array" aca="1" ref="H2792" ca="1">VLOOKUP(Cpi_[[#This Row],[Year]:[Month]],crudeoil[],3,FALSE)</f>
        <v>#VALUE!</v>
      </c>
    </row>
    <row r="2793" spans="1:8" hidden="1" x14ac:dyDescent="0.3">
      <c r="A2793" t="s">
        <v>33</v>
      </c>
      <c r="B2793">
        <v>2015</v>
      </c>
      <c r="C2793" t="s">
        <v>45</v>
      </c>
      <c r="D2793" t="s">
        <v>13</v>
      </c>
      <c r="E2793" t="e">
        <f>VLOOKUP(Cpi_[[#This Row],[Attribute]],#REF!,2,FALSE)</f>
        <v>#REF!</v>
      </c>
      <c r="F2793">
        <v>119.8</v>
      </c>
      <c r="G2793">
        <f>(Cpi_[[#This Row],[Value]]-F2792)/F2792</f>
        <v>-0.1261852662290299</v>
      </c>
      <c r="H2793" t="e" cm="1" vm="1">
        <f t="array" aca="1" ref="H2793" ca="1">VLOOKUP(Cpi_[[#This Row],[Year]:[Month]],crudeoil[],3,FALSE)</f>
        <v>#VALUE!</v>
      </c>
    </row>
    <row r="2794" spans="1:8" hidden="1" x14ac:dyDescent="0.3">
      <c r="A2794" t="s">
        <v>33</v>
      </c>
      <c r="B2794">
        <v>2015</v>
      </c>
      <c r="C2794" t="s">
        <v>45</v>
      </c>
      <c r="D2794" t="s">
        <v>14</v>
      </c>
      <c r="E2794" t="e">
        <f>VLOOKUP(Cpi_[[#This Row],[Attribute]],#REF!,2,FALSE)</f>
        <v>#REF!</v>
      </c>
      <c r="F2794">
        <v>133.69999999999999</v>
      </c>
      <c r="G2794">
        <f>(Cpi_[[#This Row],[Value]]-F2793)/F2793</f>
        <v>0.11602671118530877</v>
      </c>
      <c r="H2794" t="e" cm="1" vm="1">
        <f t="array" aca="1" ref="H2794" ca="1">VLOOKUP(Cpi_[[#This Row],[Year]:[Month]],crudeoil[],3,FALSE)</f>
        <v>#VALUE!</v>
      </c>
    </row>
    <row r="2795" spans="1:8" hidden="1" x14ac:dyDescent="0.3">
      <c r="A2795" t="s">
        <v>33</v>
      </c>
      <c r="B2795">
        <v>2015</v>
      </c>
      <c r="C2795" t="s">
        <v>45</v>
      </c>
      <c r="D2795" t="s">
        <v>15</v>
      </c>
      <c r="E2795" t="e">
        <f>VLOOKUP(Cpi_[[#This Row],[Attribute]],#REF!,2,FALSE)</f>
        <v>#REF!</v>
      </c>
      <c r="F2795">
        <v>133.30000000000001</v>
      </c>
      <c r="G2795">
        <f>(Cpi_[[#This Row],[Value]]-F2794)/F2794</f>
        <v>-2.991772625280309E-3</v>
      </c>
      <c r="H2795" t="e" cm="1" vm="1">
        <f t="array" aca="1" ref="H2795" ca="1">VLOOKUP(Cpi_[[#This Row],[Year]:[Month]],crudeoil[],3,FALSE)</f>
        <v>#VALUE!</v>
      </c>
    </row>
    <row r="2796" spans="1:8" hidden="1" x14ac:dyDescent="0.3">
      <c r="A2796" t="s">
        <v>33</v>
      </c>
      <c r="B2796">
        <v>2015</v>
      </c>
      <c r="C2796" t="s">
        <v>45</v>
      </c>
      <c r="D2796" t="s">
        <v>16</v>
      </c>
      <c r="E2796" t="e">
        <f>VLOOKUP(Cpi_[[#This Row],[Attribute]],#REF!,2,FALSE)</f>
        <v>#REF!</v>
      </c>
      <c r="F2796">
        <v>137.6</v>
      </c>
      <c r="G2796">
        <f>(Cpi_[[#This Row],[Value]]-F2795)/F2795</f>
        <v>3.22580645161289E-2</v>
      </c>
      <c r="H2796" t="e" cm="1" vm="1">
        <f t="array" aca="1" ref="H2796" ca="1">VLOOKUP(Cpi_[[#This Row],[Year]:[Month]],crudeoil[],3,FALSE)</f>
        <v>#VALUE!</v>
      </c>
    </row>
    <row r="2797" spans="1:8" hidden="1" x14ac:dyDescent="0.3">
      <c r="A2797" t="s">
        <v>33</v>
      </c>
      <c r="B2797">
        <v>2015</v>
      </c>
      <c r="C2797" t="s">
        <v>45</v>
      </c>
      <c r="D2797" t="s">
        <v>17</v>
      </c>
      <c r="E2797" t="e">
        <f>VLOOKUP(Cpi_[[#This Row],[Attribute]],#REF!,2,FALSE)</f>
        <v>#REF!</v>
      </c>
      <c r="F2797">
        <v>125</v>
      </c>
      <c r="G2797">
        <f>(Cpi_[[#This Row],[Value]]-F2796)/F2796</f>
        <v>-9.1569767441860433E-2</v>
      </c>
      <c r="H2797" t="e" cm="1" vm="1">
        <f t="array" aca="1" ref="H2797" ca="1">VLOOKUP(Cpi_[[#This Row],[Year]:[Month]],crudeoil[],3,FALSE)</f>
        <v>#VALUE!</v>
      </c>
    </row>
    <row r="2798" spans="1:8" hidden="1" x14ac:dyDescent="0.3">
      <c r="A2798" t="s">
        <v>33</v>
      </c>
      <c r="B2798">
        <v>2015</v>
      </c>
      <c r="C2798" t="s">
        <v>45</v>
      </c>
      <c r="D2798" t="s">
        <v>18</v>
      </c>
      <c r="E2798" t="e">
        <f>VLOOKUP(Cpi_[[#This Row],[Attribute]],#REF!,2,FALSE)</f>
        <v>#REF!</v>
      </c>
      <c r="F2798">
        <v>119.3</v>
      </c>
      <c r="G2798">
        <f>(Cpi_[[#This Row],[Value]]-F2797)/F2797</f>
        <v>-4.5600000000000022E-2</v>
      </c>
      <c r="H2798" t="e" cm="1" vm="1">
        <f t="array" aca="1" ref="H2798" ca="1">VLOOKUP(Cpi_[[#This Row],[Year]:[Month]],crudeoil[],3,FALSE)</f>
        <v>#VALUE!</v>
      </c>
    </row>
    <row r="2799" spans="1:8" hidden="1" x14ac:dyDescent="0.3">
      <c r="A2799" t="s">
        <v>33</v>
      </c>
      <c r="B2799">
        <v>2015</v>
      </c>
      <c r="C2799" t="s">
        <v>45</v>
      </c>
      <c r="D2799" t="s">
        <v>19</v>
      </c>
      <c r="E2799" t="e">
        <f>VLOOKUP(Cpi_[[#This Row],[Attribute]],#REF!,2,FALSE)</f>
        <v>#REF!</v>
      </c>
      <c r="F2799">
        <v>124.2</v>
      </c>
      <c r="G2799">
        <f>(Cpi_[[#This Row],[Value]]-F2798)/F2798</f>
        <v>4.1072925398155956E-2</v>
      </c>
      <c r="H2799" t="e" cm="1" vm="1">
        <f t="array" aca="1" ref="H2799" ca="1">VLOOKUP(Cpi_[[#This Row],[Year]:[Month]],crudeoil[],3,FALSE)</f>
        <v>#VALUE!</v>
      </c>
    </row>
    <row r="2800" spans="1:8" hidden="1" x14ac:dyDescent="0.3">
      <c r="A2800" t="s">
        <v>33</v>
      </c>
      <c r="B2800">
        <v>2015</v>
      </c>
      <c r="C2800" t="s">
        <v>45</v>
      </c>
      <c r="D2800" t="s">
        <v>20</v>
      </c>
      <c r="E2800" t="e">
        <f>VLOOKUP(Cpi_[[#This Row],[Attribute]],#REF!,2,FALSE)</f>
        <v>#REF!</v>
      </c>
      <c r="F2800">
        <v>122.9</v>
      </c>
      <c r="G2800">
        <f>(Cpi_[[#This Row],[Value]]-F2799)/F2799</f>
        <v>-1.046698872785827E-2</v>
      </c>
      <c r="H2800" t="e" cm="1" vm="1">
        <f t="array" aca="1" ref="H2800" ca="1">VLOOKUP(Cpi_[[#This Row],[Year]:[Month]],crudeoil[],3,FALSE)</f>
        <v>#VALUE!</v>
      </c>
    </row>
    <row r="2801" spans="1:8" hidden="1" x14ac:dyDescent="0.3">
      <c r="A2801" t="s">
        <v>33</v>
      </c>
      <c r="B2801">
        <v>2015</v>
      </c>
      <c r="C2801" t="s">
        <v>45</v>
      </c>
      <c r="D2801" t="s">
        <v>21</v>
      </c>
      <c r="E2801" t="e">
        <f>VLOOKUP(Cpi_[[#This Row],[Attribute]],#REF!,2,FALSE)</f>
        <v>#REF!</v>
      </c>
      <c r="F2801">
        <v>115.1</v>
      </c>
      <c r="G2801">
        <f>(Cpi_[[#This Row],[Value]]-F2800)/F2800</f>
        <v>-6.3466232709520023E-2</v>
      </c>
      <c r="H2801" t="e" cm="1" vm="1">
        <f t="array" aca="1" ref="H2801" ca="1">VLOOKUP(Cpi_[[#This Row],[Year]:[Month]],crudeoil[],3,FALSE)</f>
        <v>#VALUE!</v>
      </c>
    </row>
    <row r="2802" spans="1:8" hidden="1" x14ac:dyDescent="0.3">
      <c r="A2802" t="s">
        <v>33</v>
      </c>
      <c r="B2802">
        <v>2015</v>
      </c>
      <c r="C2802" t="s">
        <v>45</v>
      </c>
      <c r="D2802" t="s">
        <v>22</v>
      </c>
      <c r="E2802" t="e">
        <f>VLOOKUP(Cpi_[[#This Row],[Attribute]],#REF!,2,FALSE)</f>
        <v>#REF!</v>
      </c>
      <c r="F2802">
        <v>121</v>
      </c>
      <c r="G2802">
        <f>(Cpi_[[#This Row],[Value]]-F2801)/F2801</f>
        <v>5.125977410947008E-2</v>
      </c>
      <c r="H2802" t="e" cm="1" vm="1">
        <f t="array" aca="1" ref="H2802" ca="1">VLOOKUP(Cpi_[[#This Row],[Year]:[Month]],crudeoil[],3,FALSE)</f>
        <v>#VALUE!</v>
      </c>
    </row>
    <row r="2803" spans="1:8" hidden="1" x14ac:dyDescent="0.3">
      <c r="A2803" t="s">
        <v>33</v>
      </c>
      <c r="B2803">
        <v>2015</v>
      </c>
      <c r="C2803" t="s">
        <v>45</v>
      </c>
      <c r="D2803" t="s">
        <v>23</v>
      </c>
      <c r="E2803" t="e">
        <f>VLOOKUP(Cpi_[[#This Row],[Attribute]],#REF!,2,FALSE)</f>
        <v>#REF!</v>
      </c>
      <c r="F2803">
        <v>118.1</v>
      </c>
      <c r="G2803">
        <f>(Cpi_[[#This Row],[Value]]-F2802)/F2802</f>
        <v>-2.3966942148760377E-2</v>
      </c>
      <c r="H2803" t="e" cm="1" vm="1">
        <f t="array" aca="1" ref="H2803" ca="1">VLOOKUP(Cpi_[[#This Row],[Year]:[Month]],crudeoil[],3,FALSE)</f>
        <v>#VALUE!</v>
      </c>
    </row>
    <row r="2804" spans="1:8" hidden="1" x14ac:dyDescent="0.3">
      <c r="A2804" t="s">
        <v>33</v>
      </c>
      <c r="B2804">
        <v>2015</v>
      </c>
      <c r="C2804" t="s">
        <v>45</v>
      </c>
      <c r="D2804" t="s">
        <v>24</v>
      </c>
      <c r="E2804" t="e">
        <f>VLOOKUP(Cpi_[[#This Row],[Attribute]],#REF!,2,FALSE)</f>
        <v>#REF!</v>
      </c>
      <c r="F2804">
        <v>109.3</v>
      </c>
      <c r="G2804">
        <f>(Cpi_[[#This Row],[Value]]-F2803)/F2803</f>
        <v>-7.4513124470787451E-2</v>
      </c>
      <c r="H2804" t="e" cm="1" vm="1">
        <f t="array" aca="1" ref="H2804" ca="1">VLOOKUP(Cpi_[[#This Row],[Year]:[Month]],crudeoil[],3,FALSE)</f>
        <v>#VALUE!</v>
      </c>
    </row>
    <row r="2805" spans="1:8" hidden="1" x14ac:dyDescent="0.3">
      <c r="A2805" t="s">
        <v>33</v>
      </c>
      <c r="B2805">
        <v>2015</v>
      </c>
      <c r="C2805" t="s">
        <v>45</v>
      </c>
      <c r="D2805" t="s">
        <v>25</v>
      </c>
      <c r="E2805" t="e">
        <f>VLOOKUP(Cpi_[[#This Row],[Attribute]],#REF!,2,FALSE)</f>
        <v>#REF!</v>
      </c>
      <c r="F2805">
        <v>117.9</v>
      </c>
      <c r="G2805">
        <f>(Cpi_[[#This Row],[Value]]-F2804)/F2804</f>
        <v>7.8682525160109873E-2</v>
      </c>
      <c r="H2805" t="e" cm="1" vm="1">
        <f t="array" aca="1" ref="H2805" ca="1">VLOOKUP(Cpi_[[#This Row],[Year]:[Month]],crudeoil[],3,FALSE)</f>
        <v>#VALUE!</v>
      </c>
    </row>
    <row r="2806" spans="1:8" hidden="1" x14ac:dyDescent="0.3">
      <c r="A2806" t="s">
        <v>33</v>
      </c>
      <c r="B2806">
        <v>2015</v>
      </c>
      <c r="C2806" t="s">
        <v>45</v>
      </c>
      <c r="D2806" t="s">
        <v>26</v>
      </c>
      <c r="E2806" t="e">
        <f>VLOOKUP(Cpi_[[#This Row],[Attribute]],#REF!,2,FALSE)</f>
        <v>#REF!</v>
      </c>
      <c r="F2806">
        <v>126.6</v>
      </c>
      <c r="G2806">
        <f>(Cpi_[[#This Row],[Value]]-F2805)/F2805</f>
        <v>7.3791348600508802E-2</v>
      </c>
      <c r="H2806" t="e" cm="1" vm="1">
        <f t="array" aca="1" ref="H2806" ca="1">VLOOKUP(Cpi_[[#This Row],[Year]:[Month]],crudeoil[],3,FALSE)</f>
        <v>#VALUE!</v>
      </c>
    </row>
    <row r="2807" spans="1:8" hidden="1" x14ac:dyDescent="0.3">
      <c r="A2807" t="s">
        <v>33</v>
      </c>
      <c r="B2807">
        <v>2015</v>
      </c>
      <c r="C2807" t="s">
        <v>45</v>
      </c>
      <c r="D2807" t="s">
        <v>27</v>
      </c>
      <c r="E2807" t="e">
        <f>VLOOKUP(Cpi_[[#This Row],[Attribute]],#REF!,2,FALSE)</f>
        <v>#REF!</v>
      </c>
      <c r="F2807">
        <v>113.3</v>
      </c>
      <c r="G2807">
        <f>(Cpi_[[#This Row],[Value]]-F2806)/F2806</f>
        <v>-0.10505529225908371</v>
      </c>
      <c r="H2807" t="e" cm="1" vm="1">
        <f t="array" aca="1" ref="H2807" ca="1">VLOOKUP(Cpi_[[#This Row],[Year]:[Month]],crudeoil[],3,FALSE)</f>
        <v>#VALUE!</v>
      </c>
    </row>
    <row r="2808" spans="1:8" hidden="1" x14ac:dyDescent="0.3">
      <c r="A2808" t="s">
        <v>33</v>
      </c>
      <c r="B2808">
        <v>2015</v>
      </c>
      <c r="C2808" t="s">
        <v>45</v>
      </c>
      <c r="D2808" t="s">
        <v>28</v>
      </c>
      <c r="E2808" t="e">
        <f>VLOOKUP(Cpi_[[#This Row],[Attribute]],#REF!,2,FALSE)</f>
        <v>#REF!</v>
      </c>
      <c r="F2808">
        <v>116.6</v>
      </c>
      <c r="G2808">
        <f>(Cpi_[[#This Row],[Value]]-F2807)/F2807</f>
        <v>2.9126213592232986E-2</v>
      </c>
      <c r="H2808" t="e" cm="1" vm="1">
        <f t="array" aca="1" ref="H2808" ca="1">VLOOKUP(Cpi_[[#This Row],[Year]:[Month]],crudeoil[],3,FALSE)</f>
        <v>#VALUE!</v>
      </c>
    </row>
    <row r="2809" spans="1:8" hidden="1" x14ac:dyDescent="0.3">
      <c r="A2809" t="s">
        <v>33</v>
      </c>
      <c r="B2809">
        <v>2015</v>
      </c>
      <c r="C2809" t="s">
        <v>45</v>
      </c>
      <c r="D2809" t="s">
        <v>29</v>
      </c>
      <c r="E2809" t="e" cm="1">
        <f t="array" aca="1" ref="E2809" ca="1">VLGeneral indexGeneral indexKUP(Cpi_[[#This Row],[Attribute]],#REF!,2,FALSE)</f>
        <v>#NAME?</v>
      </c>
      <c r="F2809">
        <v>124.6</v>
      </c>
      <c r="G2809">
        <f>(Cpi_[[#This Row],[Value]]-F2808)/F2808</f>
        <v>6.86106346483705E-2</v>
      </c>
      <c r="H2809" t="e" cm="1" vm="1">
        <f t="array" aca="1" ref="H2809" ca="1">VLOOKUP(Cpi_[[#This Row],[Year]:[Month]],crudeoil[],3,FALSE)</f>
        <v>#VALUE!</v>
      </c>
    </row>
    <row r="2810" spans="1:8" hidden="1" x14ac:dyDescent="0.3">
      <c r="A2810" t="s">
        <v>34</v>
      </c>
      <c r="B2810">
        <v>2015</v>
      </c>
      <c r="C2810" t="s">
        <v>45</v>
      </c>
      <c r="D2810" t="s">
        <v>3</v>
      </c>
      <c r="E2810" t="e">
        <f>VLOOKUP(Cpi_[[#This Row],[Attribute]],#REF!,2,FALSE)</f>
        <v>#REF!</v>
      </c>
      <c r="F2810">
        <v>125.4</v>
      </c>
      <c r="G2810">
        <f>(Cpi_[[#This Row],[Value]]-F2809)/F2809</f>
        <v>6.4205457463885349E-3</v>
      </c>
      <c r="H2810" t="e" cm="1" vm="1">
        <f t="array" aca="1" ref="H2810" ca="1">VLOOKUP(Cpi_[[#This Row],[Year]:[Month]],crudeoil[],3,FALSE)</f>
        <v>#VALUE!</v>
      </c>
    </row>
    <row r="2811" spans="1:8" hidden="1" x14ac:dyDescent="0.3">
      <c r="A2811" t="s">
        <v>34</v>
      </c>
      <c r="B2811">
        <v>2015</v>
      </c>
      <c r="C2811" t="s">
        <v>45</v>
      </c>
      <c r="D2811" t="s">
        <v>4</v>
      </c>
      <c r="E2811" t="e">
        <f>VLOOKUP(Cpi_[[#This Row],[Attribute]],#REF!,2,FALSE)</f>
        <v>#REF!</v>
      </c>
      <c r="F2811">
        <v>130.30000000000001</v>
      </c>
      <c r="G2811">
        <f>(Cpi_[[#This Row],[Value]]-F2810)/F2810</f>
        <v>3.9074960127591749E-2</v>
      </c>
      <c r="H2811" t="e" cm="1" vm="1">
        <f t="array" aca="1" ref="H2811" ca="1">VLOOKUP(Cpi_[[#This Row],[Year]:[Month]],crudeoil[],3,FALSE)</f>
        <v>#VALUE!</v>
      </c>
    </row>
    <row r="2812" spans="1:8" hidden="1" x14ac:dyDescent="0.3">
      <c r="A2812" t="s">
        <v>34</v>
      </c>
      <c r="B2812">
        <v>2015</v>
      </c>
      <c r="C2812" t="s">
        <v>45</v>
      </c>
      <c r="D2812" t="s">
        <v>5</v>
      </c>
      <c r="E2812" t="e">
        <f>VLOOKUP(Cpi_[[#This Row],[Attribute]],#REF!,2,FALSE)</f>
        <v>#REF!</v>
      </c>
      <c r="F2812">
        <v>121.6</v>
      </c>
      <c r="G2812">
        <f>(Cpi_[[#This Row],[Value]]-F2811)/F2811</f>
        <v>-6.6768994627782172E-2</v>
      </c>
      <c r="H2812" t="e" cm="1" vm="1">
        <f t="array" aca="1" ref="H2812" ca="1">VLOOKUP(Cpi_[[#This Row],[Year]:[Month]],crudeoil[],3,FALSE)</f>
        <v>#VALUE!</v>
      </c>
    </row>
    <row r="2813" spans="1:8" hidden="1" x14ac:dyDescent="0.3">
      <c r="A2813" t="s">
        <v>34</v>
      </c>
      <c r="B2813">
        <v>2015</v>
      </c>
      <c r="C2813" t="s">
        <v>45</v>
      </c>
      <c r="D2813" t="s">
        <v>6</v>
      </c>
      <c r="E2813" t="e">
        <f>VLOOKUP(Cpi_[[#This Row],[Attribute]],#REF!,2,FALSE)</f>
        <v>#REF!</v>
      </c>
      <c r="F2813">
        <v>129.19999999999999</v>
      </c>
      <c r="G2813">
        <f>(Cpi_[[#This Row],[Value]]-F2812)/F2812</f>
        <v>6.2499999999999958E-2</v>
      </c>
      <c r="H2813" t="e" cm="1" vm="1">
        <f t="array" aca="1" ref="H2813" ca="1">VLOOKUP(Cpi_[[#This Row],[Year]:[Month]],crudeoil[],3,FALSE)</f>
        <v>#VALUE!</v>
      </c>
    </row>
    <row r="2814" spans="1:8" hidden="1" x14ac:dyDescent="0.3">
      <c r="A2814" t="s">
        <v>34</v>
      </c>
      <c r="B2814">
        <v>2015</v>
      </c>
      <c r="C2814" t="s">
        <v>45</v>
      </c>
      <c r="D2814" t="s">
        <v>7</v>
      </c>
      <c r="E2814" t="e">
        <f>VLOOKUP(Cpi_[[#This Row],[Attribute]],#REF!,2,FALSE)</f>
        <v>#REF!</v>
      </c>
      <c r="F2814">
        <v>114.9</v>
      </c>
      <c r="G2814">
        <f>(Cpi_[[#This Row],[Value]]-F2813)/F2813</f>
        <v>-0.11068111455108347</v>
      </c>
      <c r="H2814" t="e" cm="1" vm="1">
        <f t="array" aca="1" ref="H2814" ca="1">VLOOKUP(Cpi_[[#This Row],[Year]:[Month]],crudeoil[],3,FALSE)</f>
        <v>#VALUE!</v>
      </c>
    </row>
    <row r="2815" spans="1:8" hidden="1" x14ac:dyDescent="0.3">
      <c r="A2815" t="s">
        <v>34</v>
      </c>
      <c r="B2815">
        <v>2015</v>
      </c>
      <c r="C2815" t="s">
        <v>45</v>
      </c>
      <c r="D2815" t="s">
        <v>8</v>
      </c>
      <c r="E2815" t="e">
        <f>VLOOKUP(Cpi_[[#This Row],[Attribute]],#REF!,2,FALSE)</f>
        <v>#REF!</v>
      </c>
      <c r="F2815">
        <v>128.19999999999999</v>
      </c>
      <c r="G2815">
        <f>(Cpi_[[#This Row],[Value]]-F2814)/F2814</f>
        <v>0.11575282854656208</v>
      </c>
      <c r="H2815" t="e" cm="1" vm="1">
        <f t="array" aca="1" ref="H2815" ca="1">VLOOKUP(Cpi_[[#This Row],[Year]:[Month]],crudeoil[],3,FALSE)</f>
        <v>#VALUE!</v>
      </c>
    </row>
    <row r="2816" spans="1:8" hidden="1" x14ac:dyDescent="0.3">
      <c r="A2816" t="s">
        <v>34</v>
      </c>
      <c r="B2816">
        <v>2015</v>
      </c>
      <c r="C2816" t="s">
        <v>45</v>
      </c>
      <c r="D2816" t="s">
        <v>9</v>
      </c>
      <c r="E2816" t="e">
        <f>VLOOKUP(Cpi_[[#This Row],[Attribute]],#REF!,2,FALSE)</f>
        <v>#REF!</v>
      </c>
      <c r="F2816">
        <v>158.4</v>
      </c>
      <c r="G2816">
        <f>(Cpi_[[#This Row],[Value]]-F2815)/F2815</f>
        <v>0.23556942277691123</v>
      </c>
      <c r="H2816" t="e" cm="1" vm="1">
        <f t="array" aca="1" ref="H2816" ca="1">VLOOKUP(Cpi_[[#This Row],[Year]:[Month]],crudeoil[],3,FALSE)</f>
        <v>#VALUE!</v>
      </c>
    </row>
    <row r="2817" spans="1:8" hidden="1" x14ac:dyDescent="0.3">
      <c r="A2817" t="s">
        <v>34</v>
      </c>
      <c r="B2817">
        <v>2015</v>
      </c>
      <c r="C2817" t="s">
        <v>45</v>
      </c>
      <c r="D2817" t="s">
        <v>10</v>
      </c>
      <c r="E2817" t="e">
        <f>VLOOKUP(Cpi_[[#This Row],[Attribute]],#REF!,2,FALSE)</f>
        <v>#REF!</v>
      </c>
      <c r="F2817">
        <v>171.2</v>
      </c>
      <c r="G2817">
        <f>(Cpi_[[#This Row],[Value]]-F2816)/F2816</f>
        <v>8.0808080808080704E-2</v>
      </c>
      <c r="H2817" t="e" cm="1" vm="1">
        <f t="array" aca="1" ref="H2817" ca="1">VLOOKUP(Cpi_[[#This Row],[Year]:[Month]],crudeoil[],3,FALSE)</f>
        <v>#VALUE!</v>
      </c>
    </row>
    <row r="2818" spans="1:8" hidden="1" x14ac:dyDescent="0.3">
      <c r="A2818" t="s">
        <v>34</v>
      </c>
      <c r="B2818">
        <v>2015</v>
      </c>
      <c r="C2818" t="s">
        <v>45</v>
      </c>
      <c r="D2818" t="s">
        <v>11</v>
      </c>
      <c r="E2818" t="e">
        <f>VLOOKUP(Cpi_[[#This Row],[Attribute]],#REF!,2,FALSE)</f>
        <v>#REF!</v>
      </c>
      <c r="F2818">
        <v>93.3</v>
      </c>
      <c r="G2818">
        <f>(Cpi_[[#This Row],[Value]]-F2817)/F2817</f>
        <v>-0.4550233644859813</v>
      </c>
      <c r="H2818" t="e" cm="1" vm="1">
        <f t="array" aca="1" ref="H2818" ca="1">VLOOKUP(Cpi_[[#This Row],[Year]:[Month]],crudeoil[],3,FALSE)</f>
        <v>#VALUE!</v>
      </c>
    </row>
    <row r="2819" spans="1:8" hidden="1" x14ac:dyDescent="0.3">
      <c r="A2819" t="s">
        <v>34</v>
      </c>
      <c r="B2819">
        <v>2015</v>
      </c>
      <c r="C2819" t="s">
        <v>45</v>
      </c>
      <c r="D2819" t="s">
        <v>12</v>
      </c>
      <c r="E2819" t="e">
        <f>VLOOKUP(Cpi_[[#This Row],[Attribute]],#REF!,2,FALSE)</f>
        <v>#REF!</v>
      </c>
      <c r="F2819">
        <v>131.19999999999999</v>
      </c>
      <c r="G2819">
        <f>(Cpi_[[#This Row],[Value]]-F2818)/F2818</f>
        <v>0.40621650589496239</v>
      </c>
      <c r="H2819" t="e" cm="1" vm="1">
        <f t="array" aca="1" ref="H2819" ca="1">VLOOKUP(Cpi_[[#This Row],[Year]:[Month]],crudeoil[],3,FALSE)</f>
        <v>#VALUE!</v>
      </c>
    </row>
    <row r="2820" spans="1:8" hidden="1" x14ac:dyDescent="0.3">
      <c r="A2820" t="s">
        <v>34</v>
      </c>
      <c r="B2820">
        <v>2015</v>
      </c>
      <c r="C2820" t="s">
        <v>45</v>
      </c>
      <c r="D2820" t="s">
        <v>13</v>
      </c>
      <c r="E2820" t="e">
        <f>VLOOKUP(Cpi_[[#This Row],[Attribute]],#REF!,2,FALSE)</f>
        <v>#REF!</v>
      </c>
      <c r="F2820">
        <v>121.7</v>
      </c>
      <c r="G2820">
        <f>(Cpi_[[#This Row],[Value]]-F2819)/F2819</f>
        <v>-7.2408536585365751E-2</v>
      </c>
      <c r="H2820" t="e" cm="1" vm="1">
        <f t="array" aca="1" ref="H2820" ca="1">VLOOKUP(Cpi_[[#This Row],[Year]:[Month]],crudeoil[],3,FALSE)</f>
        <v>#VALUE!</v>
      </c>
    </row>
    <row r="2821" spans="1:8" hidden="1" x14ac:dyDescent="0.3">
      <c r="A2821" t="s">
        <v>34</v>
      </c>
      <c r="B2821">
        <v>2015</v>
      </c>
      <c r="C2821" t="s">
        <v>45</v>
      </c>
      <c r="D2821" t="s">
        <v>14</v>
      </c>
      <c r="E2821" t="e">
        <f>VLOOKUP(Cpi_[[#This Row],[Attribute]],#REF!,2,FALSE)</f>
        <v>#REF!</v>
      </c>
      <c r="F2821">
        <v>134</v>
      </c>
      <c r="G2821">
        <f>(Cpi_[[#This Row],[Value]]-F2820)/F2820</f>
        <v>0.10106820049301558</v>
      </c>
      <c r="H2821" t="e" cm="1" vm="1">
        <f t="array" aca="1" ref="H2821" ca="1">VLOOKUP(Cpi_[[#This Row],[Year]:[Month]],crudeoil[],3,FALSE)</f>
        <v>#VALUE!</v>
      </c>
    </row>
    <row r="2822" spans="1:8" hidden="1" x14ac:dyDescent="0.3">
      <c r="A2822" t="s">
        <v>34</v>
      </c>
      <c r="B2822">
        <v>2015</v>
      </c>
      <c r="C2822" t="s">
        <v>45</v>
      </c>
      <c r="D2822" t="s">
        <v>15</v>
      </c>
      <c r="E2822" t="e">
        <f>VLOOKUP(Cpi_[[#This Row],[Attribute]],#REF!,2,FALSE)</f>
        <v>#REF!</v>
      </c>
      <c r="F2822">
        <v>132.69999999999999</v>
      </c>
      <c r="G2822">
        <f>(Cpi_[[#This Row],[Value]]-F2821)/F2821</f>
        <v>-9.7014925373135174E-3</v>
      </c>
      <c r="H2822" t="e" cm="1" vm="1">
        <f t="array" aca="1" ref="H2822" ca="1">VLOOKUP(Cpi_[[#This Row],[Year]:[Month]],crudeoil[],3,FALSE)</f>
        <v>#VALUE!</v>
      </c>
    </row>
    <row r="2823" spans="1:8" hidden="1" x14ac:dyDescent="0.3">
      <c r="A2823" t="s">
        <v>34</v>
      </c>
      <c r="B2823">
        <v>2015</v>
      </c>
      <c r="C2823" t="s">
        <v>45</v>
      </c>
      <c r="D2823" t="s">
        <v>16</v>
      </c>
      <c r="E2823" t="e">
        <f>VLOOKUP(Cpi_[[#This Row],[Attribute]],#REF!,2,FALSE)</f>
        <v>#REF!</v>
      </c>
      <c r="F2823">
        <v>133.6</v>
      </c>
      <c r="G2823">
        <f>(Cpi_[[#This Row],[Value]]-F2822)/F2822</f>
        <v>6.7822155237377973E-3</v>
      </c>
      <c r="H2823" t="e" cm="1" vm="1">
        <f t="array" aca="1" ref="H2823" ca="1">VLOOKUP(Cpi_[[#This Row],[Year]:[Month]],crudeoil[],3,FALSE)</f>
        <v>#VALUE!</v>
      </c>
    </row>
    <row r="2824" spans="1:8" hidden="1" x14ac:dyDescent="0.3">
      <c r="A2824" t="s">
        <v>34</v>
      </c>
      <c r="B2824">
        <v>2015</v>
      </c>
      <c r="C2824" t="s">
        <v>45</v>
      </c>
      <c r="D2824" t="s">
        <v>17</v>
      </c>
      <c r="E2824" t="e">
        <f>VLOOKUP(Cpi_[[#This Row],[Attribute]],#REF!,2,FALSE)</f>
        <v>#REF!</v>
      </c>
      <c r="F2824">
        <v>129.30000000000001</v>
      </c>
      <c r="G2824">
        <f>(Cpi_[[#This Row],[Value]]-F2823)/F2823</f>
        <v>-3.2185628742514842E-2</v>
      </c>
      <c r="H2824" t="e" cm="1" vm="1">
        <f t="array" aca="1" ref="H2824" ca="1">VLOOKUP(Cpi_[[#This Row],[Year]:[Month]],crudeoil[],3,FALSE)</f>
        <v>#VALUE!</v>
      </c>
    </row>
    <row r="2825" spans="1:8" hidden="1" x14ac:dyDescent="0.3">
      <c r="A2825" t="s">
        <v>34</v>
      </c>
      <c r="B2825">
        <v>2015</v>
      </c>
      <c r="C2825" t="s">
        <v>45</v>
      </c>
      <c r="D2825" t="s">
        <v>18</v>
      </c>
      <c r="E2825" t="e">
        <f>VLOOKUP(Cpi_[[#This Row],[Attribute]],#REF!,2,FALSE)</f>
        <v>#REF!</v>
      </c>
      <c r="F2825">
        <v>124.5</v>
      </c>
      <c r="G2825">
        <f>(Cpi_[[#This Row],[Value]]-F2824)/F2824</f>
        <v>-3.7122969837587089E-2</v>
      </c>
      <c r="H2825" t="e" cm="1" vm="1">
        <f t="array" aca="1" ref="H2825" ca="1">VLOOKUP(Cpi_[[#This Row],[Year]:[Month]],crudeoil[],3,FALSE)</f>
        <v>#VALUE!</v>
      </c>
    </row>
    <row r="2826" spans="1:8" hidden="1" x14ac:dyDescent="0.3">
      <c r="A2826" t="s">
        <v>34</v>
      </c>
      <c r="B2826">
        <v>2015</v>
      </c>
      <c r="C2826" t="s">
        <v>45</v>
      </c>
      <c r="D2826" t="s">
        <v>19</v>
      </c>
      <c r="E2826" t="e">
        <f>VLOOKUP(Cpi_[[#This Row],[Attribute]],#REF!,2,FALSE)</f>
        <v>#REF!</v>
      </c>
      <c r="F2826">
        <v>128.6</v>
      </c>
      <c r="G2826">
        <f>(Cpi_[[#This Row],[Value]]-F2825)/F2825</f>
        <v>3.2931726907630479E-2</v>
      </c>
      <c r="H2826" t="e" cm="1" vm="1">
        <f t="array" aca="1" ref="H2826" ca="1">VLOOKUP(Cpi_[[#This Row],[Year]:[Month]],crudeoil[],3,FALSE)</f>
        <v>#VALUE!</v>
      </c>
    </row>
    <row r="2827" spans="1:8" hidden="1" x14ac:dyDescent="0.3">
      <c r="A2827" t="s">
        <v>34</v>
      </c>
      <c r="B2827">
        <v>2015</v>
      </c>
      <c r="C2827" t="s">
        <v>45</v>
      </c>
      <c r="D2827" t="s">
        <v>20</v>
      </c>
      <c r="E2827" t="e">
        <f>VLOOKUP(Cpi_[[#This Row],[Attribute]],#REF!,2,FALSE)</f>
        <v>#REF!</v>
      </c>
      <c r="F2827">
        <v>122.9</v>
      </c>
      <c r="G2827">
        <f>(Cpi_[[#This Row],[Value]]-F2826)/F2826</f>
        <v>-4.4323483670295406E-2</v>
      </c>
      <c r="H2827" t="e" cm="1" vm="1">
        <f t="array" aca="1" ref="H2827" ca="1">VLOOKUP(Cpi_[[#This Row],[Year]:[Month]],crudeoil[],3,FALSE)</f>
        <v>#VALUE!</v>
      </c>
    </row>
    <row r="2828" spans="1:8" hidden="1" x14ac:dyDescent="0.3">
      <c r="A2828" t="s">
        <v>34</v>
      </c>
      <c r="B2828">
        <v>2015</v>
      </c>
      <c r="C2828" t="s">
        <v>45</v>
      </c>
      <c r="D2828" t="s">
        <v>21</v>
      </c>
      <c r="E2828" t="e">
        <f>VLOOKUP(Cpi_[[#This Row],[Attribute]],#REF!,2,FALSE)</f>
        <v>#REF!</v>
      </c>
      <c r="F2828">
        <v>121.6</v>
      </c>
      <c r="G2828">
        <f>(Cpi_[[#This Row],[Value]]-F2827)/F2827</f>
        <v>-1.0577705451586749E-2</v>
      </c>
      <c r="H2828" t="e" cm="1" vm="1">
        <f t="array" aca="1" ref="H2828" ca="1">VLOOKUP(Cpi_[[#This Row],[Year]:[Month]],crudeoil[],3,FALSE)</f>
        <v>#VALUE!</v>
      </c>
    </row>
    <row r="2829" spans="1:8" hidden="1" x14ac:dyDescent="0.3">
      <c r="A2829" t="s">
        <v>34</v>
      </c>
      <c r="B2829">
        <v>2015</v>
      </c>
      <c r="C2829" t="s">
        <v>45</v>
      </c>
      <c r="D2829" t="s">
        <v>22</v>
      </c>
      <c r="E2829" t="e">
        <f>VLOOKUP(Cpi_[[#This Row],[Attribute]],#REF!,2,FALSE)</f>
        <v>#REF!</v>
      </c>
      <c r="F2829">
        <v>123.4</v>
      </c>
      <c r="G2829">
        <f>(Cpi_[[#This Row],[Value]]-F2828)/F2828</f>
        <v>1.4802631578947463E-2</v>
      </c>
      <c r="H2829" t="e" cm="1" vm="1">
        <f t="array" aca="1" ref="H2829" ca="1">VLOOKUP(Cpi_[[#This Row],[Year]:[Month]],crudeoil[],3,FALSE)</f>
        <v>#VALUE!</v>
      </c>
    </row>
    <row r="2830" spans="1:8" hidden="1" x14ac:dyDescent="0.3">
      <c r="A2830" t="s">
        <v>34</v>
      </c>
      <c r="B2830">
        <v>2015</v>
      </c>
      <c r="C2830" t="s">
        <v>45</v>
      </c>
      <c r="D2830" t="s">
        <v>23</v>
      </c>
      <c r="E2830" t="e">
        <f>VLOOKUP(Cpi_[[#This Row],[Attribute]],#REF!,2,FALSE)</f>
        <v>#REF!</v>
      </c>
      <c r="F2830">
        <v>120.9</v>
      </c>
      <c r="G2830">
        <f>(Cpi_[[#This Row],[Value]]-F2829)/F2829</f>
        <v>-2.0259319286871962E-2</v>
      </c>
      <c r="H2830" t="e" cm="1" vm="1">
        <f t="array" aca="1" ref="H2830" ca="1">VLOOKUP(Cpi_[[#This Row],[Year]:[Month]],crudeoil[],3,FALSE)</f>
        <v>#VALUE!</v>
      </c>
    </row>
    <row r="2831" spans="1:8" hidden="1" x14ac:dyDescent="0.3">
      <c r="A2831" t="s">
        <v>34</v>
      </c>
      <c r="B2831">
        <v>2015</v>
      </c>
      <c r="C2831" t="s">
        <v>45</v>
      </c>
      <c r="D2831" t="s">
        <v>24</v>
      </c>
      <c r="E2831" t="e">
        <f>VLOOKUP(Cpi_[[#This Row],[Attribute]],#REF!,2,FALSE)</f>
        <v>#REF!</v>
      </c>
      <c r="F2831">
        <v>111.5</v>
      </c>
      <c r="G2831">
        <f>(Cpi_[[#This Row],[Value]]-F2830)/F2830</f>
        <v>-7.7750206782464887E-2</v>
      </c>
      <c r="H2831" t="e" cm="1" vm="1">
        <f t="array" aca="1" ref="H2831" ca="1">VLOOKUP(Cpi_[[#This Row],[Year]:[Month]],crudeoil[],3,FALSE)</f>
        <v>#VALUE!</v>
      </c>
    </row>
    <row r="2832" spans="1:8" hidden="1" x14ac:dyDescent="0.3">
      <c r="A2832" t="s">
        <v>34</v>
      </c>
      <c r="B2832">
        <v>2015</v>
      </c>
      <c r="C2832" t="s">
        <v>45</v>
      </c>
      <c r="D2832" t="s">
        <v>25</v>
      </c>
      <c r="E2832" t="e">
        <f>VLOOKUP(Cpi_[[#This Row],[Attribute]],#REF!,2,FALSE)</f>
        <v>#REF!</v>
      </c>
      <c r="F2832">
        <v>119.2</v>
      </c>
      <c r="G2832">
        <f>(Cpi_[[#This Row],[Value]]-F2831)/F2831</f>
        <v>6.9058295964125591E-2</v>
      </c>
      <c r="H2832" t="e" cm="1" vm="1">
        <f t="array" aca="1" ref="H2832" ca="1">VLOOKUP(Cpi_[[#This Row],[Year]:[Month]],crudeoil[],3,FALSE)</f>
        <v>#VALUE!</v>
      </c>
    </row>
    <row r="2833" spans="1:8" hidden="1" x14ac:dyDescent="0.3">
      <c r="A2833" t="s">
        <v>34</v>
      </c>
      <c r="B2833">
        <v>2015</v>
      </c>
      <c r="C2833" t="s">
        <v>45</v>
      </c>
      <c r="D2833" t="s">
        <v>26</v>
      </c>
      <c r="E2833" t="e">
        <f>VLOOKUP(Cpi_[[#This Row],[Attribute]],#REF!,2,FALSE)</f>
        <v>#REF!</v>
      </c>
      <c r="F2833">
        <v>126.3</v>
      </c>
      <c r="G2833">
        <f>(Cpi_[[#This Row],[Value]]-F2832)/F2832</f>
        <v>5.9563758389261694E-2</v>
      </c>
      <c r="H2833" t="e" cm="1" vm="1">
        <f t="array" aca="1" ref="H2833" ca="1">VLOOKUP(Cpi_[[#This Row],[Year]:[Month]],crudeoil[],3,FALSE)</f>
        <v>#VALUE!</v>
      </c>
    </row>
    <row r="2834" spans="1:8" hidden="1" x14ac:dyDescent="0.3">
      <c r="A2834" t="s">
        <v>34</v>
      </c>
      <c r="B2834">
        <v>2015</v>
      </c>
      <c r="C2834" t="s">
        <v>45</v>
      </c>
      <c r="D2834" t="s">
        <v>27</v>
      </c>
      <c r="E2834" t="e">
        <f>VLOOKUP(Cpi_[[#This Row],[Attribute]],#REF!,2,FALSE)</f>
        <v>#REF!</v>
      </c>
      <c r="F2834">
        <v>113.8</v>
      </c>
      <c r="G2834">
        <f>(Cpi_[[#This Row],[Value]]-F2833)/F2833</f>
        <v>-9.8970704671417262E-2</v>
      </c>
      <c r="H2834" t="e" cm="1" vm="1">
        <f t="array" aca="1" ref="H2834" ca="1">VLOOKUP(Cpi_[[#This Row],[Year]:[Month]],crudeoil[],3,FALSE)</f>
        <v>#VALUE!</v>
      </c>
    </row>
    <row r="2835" spans="1:8" hidden="1" x14ac:dyDescent="0.3">
      <c r="A2835" t="s">
        <v>34</v>
      </c>
      <c r="B2835">
        <v>2015</v>
      </c>
      <c r="C2835" t="s">
        <v>45</v>
      </c>
      <c r="D2835" t="s">
        <v>28</v>
      </c>
      <c r="E2835" t="e">
        <f>VLOOKUP(Cpi_[[#This Row],[Attribute]],#REF!,2,FALSE)</f>
        <v>#REF!</v>
      </c>
      <c r="F2835">
        <v>118.1</v>
      </c>
      <c r="G2835">
        <f>(Cpi_[[#This Row],[Value]]-F2834)/F2834</f>
        <v>3.7785588752196814E-2</v>
      </c>
      <c r="H2835" t="e" cm="1" vm="1">
        <f t="array" aca="1" ref="H2835" ca="1">VLOOKUP(Cpi_[[#This Row],[Year]:[Month]],crudeoil[],3,FALSE)</f>
        <v>#VALUE!</v>
      </c>
    </row>
    <row r="2836" spans="1:8" hidden="1" x14ac:dyDescent="0.3">
      <c r="A2836" t="s">
        <v>34</v>
      </c>
      <c r="B2836">
        <v>2015</v>
      </c>
      <c r="C2836" t="s">
        <v>45</v>
      </c>
      <c r="D2836" t="s">
        <v>29</v>
      </c>
      <c r="E2836" t="e" cm="1">
        <f t="array" aca="1" ref="E2836" ca="1">VLGeneral indexGeneral indexKUP(Cpi_[[#This Row],[Attribute]],#REF!,2,FALSE)</f>
        <v>#NAME?</v>
      </c>
      <c r="F2836">
        <v>126.6</v>
      </c>
      <c r="G2836">
        <f>(Cpi_[[#This Row],[Value]]-F2835)/F2835</f>
        <v>7.1972904318374262E-2</v>
      </c>
      <c r="H2836" t="e" cm="1" vm="1">
        <f t="array" aca="1" ref="H2836" ca="1">VLOOKUP(Cpi_[[#This Row],[Year]:[Month]],crudeoil[],3,FALSE)</f>
        <v>#VALUE!</v>
      </c>
    </row>
    <row r="2837" spans="1:8" hidden="1" x14ac:dyDescent="0.3">
      <c r="A2837" t="s">
        <v>30</v>
      </c>
      <c r="B2837">
        <v>2015</v>
      </c>
      <c r="C2837" t="s">
        <v>46</v>
      </c>
      <c r="D2837" t="s">
        <v>3</v>
      </c>
      <c r="E2837" t="e">
        <f>VLOOKUP(Cpi_[[#This Row],[Attribute]],#REF!,2,FALSE)</f>
        <v>#REF!</v>
      </c>
      <c r="F2837">
        <v>126.3</v>
      </c>
      <c r="G2837">
        <f>(Cpi_[[#This Row],[Value]]-F2836)/F2836</f>
        <v>-2.3696682464454753E-3</v>
      </c>
      <c r="H2837" t="e" cm="1" vm="1">
        <f t="array" aca="1" ref="H2837" ca="1">VLOOKUP(Cpi_[[#This Row],[Year]:[Month]],crudeoil[],3,FALSE)</f>
        <v>#VALUE!</v>
      </c>
    </row>
    <row r="2838" spans="1:8" hidden="1" x14ac:dyDescent="0.3">
      <c r="A2838" t="s">
        <v>30</v>
      </c>
      <c r="B2838">
        <v>2015</v>
      </c>
      <c r="C2838" t="s">
        <v>46</v>
      </c>
      <c r="D2838" t="s">
        <v>4</v>
      </c>
      <c r="E2838" t="e">
        <f>VLOOKUP(Cpi_[[#This Row],[Attribute]],#REF!,2,FALSE)</f>
        <v>#REF!</v>
      </c>
      <c r="F2838">
        <v>131.30000000000001</v>
      </c>
      <c r="G2838">
        <f>(Cpi_[[#This Row],[Value]]-F2837)/F2837</f>
        <v>3.958828186856702E-2</v>
      </c>
      <c r="H2838" t="e" cm="1" vm="1">
        <f t="array" aca="1" ref="H2838" ca="1">VLOOKUP(Cpi_[[#This Row],[Year]:[Month]],crudeoil[],3,FALSE)</f>
        <v>#VALUE!</v>
      </c>
    </row>
    <row r="2839" spans="1:8" hidden="1" x14ac:dyDescent="0.3">
      <c r="A2839" t="s">
        <v>30</v>
      </c>
      <c r="B2839">
        <v>2015</v>
      </c>
      <c r="C2839" t="s">
        <v>46</v>
      </c>
      <c r="D2839" t="s">
        <v>5</v>
      </c>
      <c r="E2839" t="e">
        <f>VLOOKUP(Cpi_[[#This Row],[Attribute]],#REF!,2,FALSE)</f>
        <v>#REF!</v>
      </c>
      <c r="F2839">
        <v>123.3</v>
      </c>
      <c r="G2839">
        <f>(Cpi_[[#This Row],[Value]]-F2838)/F2838</f>
        <v>-6.0929169840061033E-2</v>
      </c>
      <c r="H2839" t="e" cm="1" vm="1">
        <f t="array" aca="1" ref="H2839" ca="1">VLOOKUP(Cpi_[[#This Row],[Year]:[Month]],crudeoil[],3,FALSE)</f>
        <v>#VALUE!</v>
      </c>
    </row>
    <row r="2840" spans="1:8" hidden="1" x14ac:dyDescent="0.3">
      <c r="A2840" t="s">
        <v>30</v>
      </c>
      <c r="B2840">
        <v>2015</v>
      </c>
      <c r="C2840" t="s">
        <v>46</v>
      </c>
      <c r="D2840" t="s">
        <v>6</v>
      </c>
      <c r="E2840" t="e">
        <f>VLOOKUP(Cpi_[[#This Row],[Attribute]],#REF!,2,FALSE)</f>
        <v>#REF!</v>
      </c>
      <c r="F2840">
        <v>129.80000000000001</v>
      </c>
      <c r="G2840">
        <f>(Cpi_[[#This Row],[Value]]-F2839)/F2839</f>
        <v>5.2716950527169619E-2</v>
      </c>
      <c r="H2840" t="e" cm="1" vm="1">
        <f t="array" aca="1" ref="H2840" ca="1">VLOOKUP(Cpi_[[#This Row],[Year]:[Month]],crudeoil[],3,FALSE)</f>
        <v>#VALUE!</v>
      </c>
    </row>
    <row r="2841" spans="1:8" hidden="1" x14ac:dyDescent="0.3">
      <c r="A2841" t="s">
        <v>30</v>
      </c>
      <c r="B2841">
        <v>2015</v>
      </c>
      <c r="C2841" t="s">
        <v>46</v>
      </c>
      <c r="D2841" t="s">
        <v>7</v>
      </c>
      <c r="E2841" t="e">
        <f>VLOOKUP(Cpi_[[#This Row],[Attribute]],#REF!,2,FALSE)</f>
        <v>#REF!</v>
      </c>
      <c r="F2841">
        <v>118.3</v>
      </c>
      <c r="G2841">
        <f>(Cpi_[[#This Row],[Value]]-F2840)/F2840</f>
        <v>-8.8597842835131072E-2</v>
      </c>
      <c r="H2841" t="e" cm="1" vm="1">
        <f t="array" aca="1" ref="H2841" ca="1">VLOOKUP(Cpi_[[#This Row],[Year]:[Month]],crudeoil[],3,FALSE)</f>
        <v>#VALUE!</v>
      </c>
    </row>
    <row r="2842" spans="1:8" hidden="1" x14ac:dyDescent="0.3">
      <c r="A2842" t="s">
        <v>30</v>
      </c>
      <c r="B2842">
        <v>2015</v>
      </c>
      <c r="C2842" t="s">
        <v>46</v>
      </c>
      <c r="D2842" t="s">
        <v>8</v>
      </c>
      <c r="E2842" t="e">
        <f>VLOOKUP(Cpi_[[#This Row],[Attribute]],#REF!,2,FALSE)</f>
        <v>#REF!</v>
      </c>
      <c r="F2842">
        <v>131.6</v>
      </c>
      <c r="G2842">
        <f>(Cpi_[[#This Row],[Value]]-F2841)/F2841</f>
        <v>0.11242603550295856</v>
      </c>
      <c r="H2842" t="e" cm="1" vm="1">
        <f t="array" aca="1" ref="H2842" ca="1">VLOOKUP(Cpi_[[#This Row],[Year]:[Month]],crudeoil[],3,FALSE)</f>
        <v>#VALUE!</v>
      </c>
    </row>
    <row r="2843" spans="1:8" hidden="1" x14ac:dyDescent="0.3">
      <c r="A2843" t="s">
        <v>30</v>
      </c>
      <c r="B2843">
        <v>2015</v>
      </c>
      <c r="C2843" t="s">
        <v>46</v>
      </c>
      <c r="D2843" t="s">
        <v>9</v>
      </c>
      <c r="E2843" t="e">
        <f>VLOOKUP(Cpi_[[#This Row],[Attribute]],#REF!,2,FALSE)</f>
        <v>#REF!</v>
      </c>
      <c r="F2843">
        <v>145.5</v>
      </c>
      <c r="G2843">
        <f>(Cpi_[[#This Row],[Value]]-F2842)/F2842</f>
        <v>0.10562310030395142</v>
      </c>
      <c r="H2843" t="e" cm="1" vm="1">
        <f t="array" aca="1" ref="H2843" ca="1">VLOOKUP(Cpi_[[#This Row],[Year]:[Month]],crudeoil[],3,FALSE)</f>
        <v>#VALUE!</v>
      </c>
    </row>
    <row r="2844" spans="1:8" hidden="1" x14ac:dyDescent="0.3">
      <c r="A2844" t="s">
        <v>30</v>
      </c>
      <c r="B2844">
        <v>2015</v>
      </c>
      <c r="C2844" t="s">
        <v>46</v>
      </c>
      <c r="D2844" t="s">
        <v>10</v>
      </c>
      <c r="E2844" t="e">
        <f>VLOOKUP(Cpi_[[#This Row],[Attribute]],#REF!,2,FALSE)</f>
        <v>#REF!</v>
      </c>
      <c r="F2844">
        <v>162.1</v>
      </c>
      <c r="G2844">
        <f>(Cpi_[[#This Row],[Value]]-F2843)/F2843</f>
        <v>0.11408934707903776</v>
      </c>
      <c r="H2844" t="e" cm="1" vm="1">
        <f t="array" aca="1" ref="H2844" ca="1">VLOOKUP(Cpi_[[#This Row],[Year]:[Month]],crudeoil[],3,FALSE)</f>
        <v>#VALUE!</v>
      </c>
    </row>
    <row r="2845" spans="1:8" hidden="1" x14ac:dyDescent="0.3">
      <c r="A2845" t="s">
        <v>30</v>
      </c>
      <c r="B2845">
        <v>2015</v>
      </c>
      <c r="C2845" t="s">
        <v>46</v>
      </c>
      <c r="D2845" t="s">
        <v>11</v>
      </c>
      <c r="E2845" t="e">
        <f>VLOOKUP(Cpi_[[#This Row],[Attribute]],#REF!,2,FALSE)</f>
        <v>#REF!</v>
      </c>
      <c r="F2845">
        <v>95.4</v>
      </c>
      <c r="G2845">
        <f>(Cpi_[[#This Row],[Value]]-F2844)/F2844</f>
        <v>-0.4114743985194324</v>
      </c>
      <c r="H2845" t="e" cm="1" vm="1">
        <f t="array" aca="1" ref="H2845" ca="1">VLOOKUP(Cpi_[[#This Row],[Year]:[Month]],crudeoil[],3,FALSE)</f>
        <v>#VALUE!</v>
      </c>
    </row>
    <row r="2846" spans="1:8" hidden="1" x14ac:dyDescent="0.3">
      <c r="A2846" t="s">
        <v>30</v>
      </c>
      <c r="B2846">
        <v>2015</v>
      </c>
      <c r="C2846" t="s">
        <v>46</v>
      </c>
      <c r="D2846" t="s">
        <v>12</v>
      </c>
      <c r="E2846" t="e">
        <f>VLOOKUP(Cpi_[[#This Row],[Attribute]],#REF!,2,FALSE)</f>
        <v>#REF!</v>
      </c>
      <c r="F2846">
        <v>128.9</v>
      </c>
      <c r="G2846">
        <f>(Cpi_[[#This Row],[Value]]-F2845)/F2845</f>
        <v>0.35115303983228507</v>
      </c>
      <c r="H2846" t="e" cm="1" vm="1">
        <f t="array" aca="1" ref="H2846" ca="1">VLOOKUP(Cpi_[[#This Row],[Year]:[Month]],crudeoil[],3,FALSE)</f>
        <v>#VALUE!</v>
      </c>
    </row>
    <row r="2847" spans="1:8" hidden="1" x14ac:dyDescent="0.3">
      <c r="A2847" t="s">
        <v>30</v>
      </c>
      <c r="B2847">
        <v>2015</v>
      </c>
      <c r="C2847" t="s">
        <v>46</v>
      </c>
      <c r="D2847" t="s">
        <v>13</v>
      </c>
      <c r="E2847" t="e">
        <f>VLOOKUP(Cpi_[[#This Row],[Attribute]],#REF!,2,FALSE)</f>
        <v>#REF!</v>
      </c>
      <c r="F2847">
        <v>123.3</v>
      </c>
      <c r="G2847">
        <f>(Cpi_[[#This Row],[Value]]-F2846)/F2846</f>
        <v>-4.3444530643910073E-2</v>
      </c>
      <c r="H2847" t="e" cm="1" vm="1">
        <f t="array" aca="1" ref="H2847" ca="1">VLOOKUP(Cpi_[[#This Row],[Year]:[Month]],crudeoil[],3,FALSE)</f>
        <v>#VALUE!</v>
      </c>
    </row>
    <row r="2848" spans="1:8" hidden="1" x14ac:dyDescent="0.3">
      <c r="A2848" t="s">
        <v>30</v>
      </c>
      <c r="B2848">
        <v>2015</v>
      </c>
      <c r="C2848" t="s">
        <v>46</v>
      </c>
      <c r="D2848" t="s">
        <v>14</v>
      </c>
      <c r="E2848" t="e">
        <f>VLOOKUP(Cpi_[[#This Row],[Attribute]],#REF!,2,FALSE)</f>
        <v>#REF!</v>
      </c>
      <c r="F2848">
        <v>135.1</v>
      </c>
      <c r="G2848">
        <f>(Cpi_[[#This Row],[Value]]-F2847)/F2847</f>
        <v>9.5701540957015385E-2</v>
      </c>
      <c r="H2848" t="e" cm="1" vm="1">
        <f t="array" aca="1" ref="H2848" ca="1">VLOOKUP(Cpi_[[#This Row],[Year]:[Month]],crudeoil[],3,FALSE)</f>
        <v>#VALUE!</v>
      </c>
    </row>
    <row r="2849" spans="1:8" hidden="1" x14ac:dyDescent="0.3">
      <c r="A2849" t="s">
        <v>30</v>
      </c>
      <c r="B2849">
        <v>2015</v>
      </c>
      <c r="C2849" t="s">
        <v>46</v>
      </c>
      <c r="D2849" t="s">
        <v>15</v>
      </c>
      <c r="E2849" t="e">
        <f>VLOOKUP(Cpi_[[#This Row],[Attribute]],#REF!,2,FALSE)</f>
        <v>#REF!</v>
      </c>
      <c r="F2849">
        <v>131.4</v>
      </c>
      <c r="G2849">
        <f>(Cpi_[[#This Row],[Value]]-F2848)/F2848</f>
        <v>-2.7387120651369272E-2</v>
      </c>
      <c r="H2849" t="e" cm="1" vm="1">
        <f t="array" aca="1" ref="H2849" ca="1">VLOOKUP(Cpi_[[#This Row],[Year]:[Month]],crudeoil[],3,FALSE)</f>
        <v>#VALUE!</v>
      </c>
    </row>
    <row r="2850" spans="1:8" hidden="1" x14ac:dyDescent="0.3">
      <c r="A2850" t="s">
        <v>30</v>
      </c>
      <c r="B2850">
        <v>2015</v>
      </c>
      <c r="C2850" t="s">
        <v>46</v>
      </c>
      <c r="D2850" t="s">
        <v>16</v>
      </c>
      <c r="E2850" t="e">
        <f>VLOOKUP(Cpi_[[#This Row],[Attribute]],#REF!,2,FALSE)</f>
        <v>#REF!</v>
      </c>
      <c r="F2850">
        <v>133.1</v>
      </c>
      <c r="G2850">
        <f>(Cpi_[[#This Row],[Value]]-F2849)/F2849</f>
        <v>1.2937595129375864E-2</v>
      </c>
      <c r="H2850" t="e" cm="1" vm="1">
        <f t="array" aca="1" ref="H2850" ca="1">VLOOKUP(Cpi_[[#This Row],[Year]:[Month]],crudeoil[],3,FALSE)</f>
        <v>#VALUE!</v>
      </c>
    </row>
    <row r="2851" spans="1:8" hidden="1" x14ac:dyDescent="0.3">
      <c r="A2851" t="s">
        <v>30</v>
      </c>
      <c r="B2851">
        <v>2015</v>
      </c>
      <c r="C2851" t="s">
        <v>46</v>
      </c>
      <c r="D2851" t="s">
        <v>17</v>
      </c>
      <c r="E2851" t="e">
        <f>VLOOKUP(Cpi_[[#This Row],[Attribute]],#REF!,2,FALSE)</f>
        <v>#REF!</v>
      </c>
      <c r="F2851">
        <v>132.5</v>
      </c>
      <c r="G2851">
        <f>(Cpi_[[#This Row],[Value]]-F2850)/F2850</f>
        <v>-4.5078888054094239E-3</v>
      </c>
      <c r="H2851" t="e" cm="1" vm="1">
        <f t="array" aca="1" ref="H2851" ca="1">VLOOKUP(Cpi_[[#This Row],[Year]:[Month]],crudeoil[],3,FALSE)</f>
        <v>#VALUE!</v>
      </c>
    </row>
    <row r="2852" spans="1:8" hidden="1" x14ac:dyDescent="0.3">
      <c r="A2852" t="s">
        <v>30</v>
      </c>
      <c r="B2852">
        <v>2015</v>
      </c>
      <c r="C2852" t="s">
        <v>46</v>
      </c>
      <c r="D2852" t="s">
        <v>18</v>
      </c>
      <c r="E2852" t="e">
        <f>VLOOKUP(Cpi_[[#This Row],[Attribute]],#REF!,2,FALSE)</f>
        <v>#REF!</v>
      </c>
      <c r="F2852">
        <v>128.5</v>
      </c>
      <c r="G2852">
        <f>(Cpi_[[#This Row],[Value]]-F2851)/F2851</f>
        <v>-3.0188679245283019E-2</v>
      </c>
      <c r="H2852" t="e" cm="1" vm="1">
        <f t="array" aca="1" ref="H2852" ca="1">VLOOKUP(Cpi_[[#This Row],[Year]:[Month]],crudeoil[],3,FALSE)</f>
        <v>#VALUE!</v>
      </c>
    </row>
    <row r="2853" spans="1:8" hidden="1" x14ac:dyDescent="0.3">
      <c r="A2853" t="s">
        <v>30</v>
      </c>
      <c r="B2853">
        <v>2015</v>
      </c>
      <c r="C2853" t="s">
        <v>46</v>
      </c>
      <c r="D2853" t="s">
        <v>19</v>
      </c>
      <c r="E2853" t="e">
        <f>VLOOKUP(Cpi_[[#This Row],[Attribute]],#REF!,2,FALSE)</f>
        <v>#REF!</v>
      </c>
      <c r="F2853">
        <v>131.9</v>
      </c>
      <c r="G2853">
        <f>(Cpi_[[#This Row],[Value]]-F2852)/F2852</f>
        <v>2.645914396887164E-2</v>
      </c>
      <c r="H2853" t="e" cm="1" vm="1">
        <f t="array" aca="1" ref="H2853" ca="1">VLOOKUP(Cpi_[[#This Row],[Year]:[Month]],crudeoil[],3,FALSE)</f>
        <v>#VALUE!</v>
      </c>
    </row>
    <row r="2854" spans="1:8" hidden="1" x14ac:dyDescent="0.3">
      <c r="A2854" t="s">
        <v>30</v>
      </c>
      <c r="B2854">
        <v>2015</v>
      </c>
      <c r="C2854" t="s">
        <v>46</v>
      </c>
      <c r="D2854" t="s">
        <v>20</v>
      </c>
      <c r="E2854" t="e">
        <f>VLOOKUP(Cpi_[[#This Row],[Attribute]],#REF!,2,FALSE)</f>
        <v>#REF!</v>
      </c>
      <c r="F2854" t="s">
        <v>32</v>
      </c>
      <c r="G2854" t="e">
        <f>(Cpi_[[#This Row],[Value]]-F2853)/F2853</f>
        <v>#VALUE!</v>
      </c>
      <c r="H2854" t="e" cm="1" vm="1">
        <f t="array" aca="1" ref="H2854" ca="1">VLOOKUP(Cpi_[[#This Row],[Year]:[Month]],crudeoil[],3,FALSE)</f>
        <v>#VALUE!</v>
      </c>
    </row>
    <row r="2855" spans="1:8" hidden="1" x14ac:dyDescent="0.3">
      <c r="A2855" t="s">
        <v>30</v>
      </c>
      <c r="B2855">
        <v>2015</v>
      </c>
      <c r="C2855" t="s">
        <v>46</v>
      </c>
      <c r="D2855" t="s">
        <v>21</v>
      </c>
      <c r="E2855" t="e">
        <f>VLOOKUP(Cpi_[[#This Row],[Attribute]],#REF!,2,FALSE)</f>
        <v>#REF!</v>
      </c>
      <c r="F2855">
        <v>125.7</v>
      </c>
      <c r="G2855" t="e">
        <f>(Cpi_[[#This Row],[Value]]-F2854)/F2854</f>
        <v>#VALUE!</v>
      </c>
      <c r="H2855" t="e" cm="1" vm="1">
        <f t="array" aca="1" ref="H2855" ca="1">VLOOKUP(Cpi_[[#This Row],[Year]:[Month]],crudeoil[],3,FALSE)</f>
        <v>#VALUE!</v>
      </c>
    </row>
    <row r="2856" spans="1:8" hidden="1" x14ac:dyDescent="0.3">
      <c r="A2856" t="s">
        <v>30</v>
      </c>
      <c r="B2856">
        <v>2015</v>
      </c>
      <c r="C2856" t="s">
        <v>46</v>
      </c>
      <c r="D2856" t="s">
        <v>22</v>
      </c>
      <c r="E2856" t="e">
        <f>VLOOKUP(Cpi_[[#This Row],[Attribute]],#REF!,2,FALSE)</f>
        <v>#REF!</v>
      </c>
      <c r="F2856">
        <v>126</v>
      </c>
      <c r="G2856">
        <f>(Cpi_[[#This Row],[Value]]-F2855)/F2855</f>
        <v>2.3866348448687122E-3</v>
      </c>
      <c r="H2856" t="e" cm="1" vm="1">
        <f t="array" aca="1" ref="H2856" ca="1">VLOOKUP(Cpi_[[#This Row],[Year]:[Month]],crudeoil[],3,FALSE)</f>
        <v>#VALUE!</v>
      </c>
    </row>
    <row r="2857" spans="1:8" hidden="1" x14ac:dyDescent="0.3">
      <c r="A2857" t="s">
        <v>30</v>
      </c>
      <c r="B2857">
        <v>2015</v>
      </c>
      <c r="C2857" t="s">
        <v>46</v>
      </c>
      <c r="D2857" t="s">
        <v>23</v>
      </c>
      <c r="E2857" t="e">
        <f>VLOOKUP(Cpi_[[#This Row],[Attribute]],#REF!,2,FALSE)</f>
        <v>#REF!</v>
      </c>
      <c r="F2857">
        <v>123.1</v>
      </c>
      <c r="G2857">
        <f>(Cpi_[[#This Row],[Value]]-F2856)/F2856</f>
        <v>-2.3015873015873062E-2</v>
      </c>
      <c r="H2857" t="e" cm="1" vm="1">
        <f t="array" aca="1" ref="H2857" ca="1">VLOOKUP(Cpi_[[#This Row],[Year]:[Month]],crudeoil[],3,FALSE)</f>
        <v>#VALUE!</v>
      </c>
    </row>
    <row r="2858" spans="1:8" hidden="1" x14ac:dyDescent="0.3">
      <c r="A2858" t="s">
        <v>30</v>
      </c>
      <c r="B2858">
        <v>2015</v>
      </c>
      <c r="C2858" t="s">
        <v>46</v>
      </c>
      <c r="D2858" t="s">
        <v>24</v>
      </c>
      <c r="E2858" t="e">
        <f>VLOOKUP(Cpi_[[#This Row],[Attribute]],#REF!,2,FALSE)</f>
        <v>#REF!</v>
      </c>
      <c r="F2858">
        <v>114</v>
      </c>
      <c r="G2858">
        <f>(Cpi_[[#This Row],[Value]]-F2857)/F2857</f>
        <v>-7.3923639317627896E-2</v>
      </c>
      <c r="H2858" t="e" cm="1" vm="1">
        <f t="array" aca="1" ref="H2858" ca="1">VLOOKUP(Cpi_[[#This Row],[Year]:[Month]],crudeoil[],3,FALSE)</f>
        <v>#VALUE!</v>
      </c>
    </row>
    <row r="2859" spans="1:8" hidden="1" x14ac:dyDescent="0.3">
      <c r="A2859" t="s">
        <v>30</v>
      </c>
      <c r="B2859">
        <v>2015</v>
      </c>
      <c r="C2859" t="s">
        <v>46</v>
      </c>
      <c r="D2859" t="s">
        <v>25</v>
      </c>
      <c r="E2859" t="e">
        <f>VLOOKUP(Cpi_[[#This Row],[Attribute]],#REF!,2,FALSE)</f>
        <v>#REF!</v>
      </c>
      <c r="F2859">
        <v>121.6</v>
      </c>
      <c r="G2859">
        <f>(Cpi_[[#This Row],[Value]]-F2858)/F2858</f>
        <v>6.666666666666661E-2</v>
      </c>
      <c r="H2859" t="e" cm="1" vm="1">
        <f t="array" aca="1" ref="H2859" ca="1">VLOOKUP(Cpi_[[#This Row],[Year]:[Month]],crudeoil[],3,FALSE)</f>
        <v>#VALUE!</v>
      </c>
    </row>
    <row r="2860" spans="1:8" hidden="1" x14ac:dyDescent="0.3">
      <c r="A2860" t="s">
        <v>30</v>
      </c>
      <c r="B2860">
        <v>2015</v>
      </c>
      <c r="C2860" t="s">
        <v>46</v>
      </c>
      <c r="D2860" t="s">
        <v>26</v>
      </c>
      <c r="E2860" t="e">
        <f>VLOOKUP(Cpi_[[#This Row],[Attribute]],#REF!,2,FALSE)</f>
        <v>#REF!</v>
      </c>
      <c r="F2860">
        <v>125.6</v>
      </c>
      <c r="G2860">
        <f>(Cpi_[[#This Row],[Value]]-F2859)/F2859</f>
        <v>3.2894736842105261E-2</v>
      </c>
      <c r="H2860" t="e" cm="1" vm="1">
        <f t="array" aca="1" ref="H2860" ca="1">VLOOKUP(Cpi_[[#This Row],[Year]:[Month]],crudeoil[],3,FALSE)</f>
        <v>#VALUE!</v>
      </c>
    </row>
    <row r="2861" spans="1:8" hidden="1" x14ac:dyDescent="0.3">
      <c r="A2861" t="s">
        <v>30</v>
      </c>
      <c r="B2861">
        <v>2015</v>
      </c>
      <c r="C2861" t="s">
        <v>46</v>
      </c>
      <c r="D2861" t="s">
        <v>27</v>
      </c>
      <c r="E2861" t="e">
        <f>VLOOKUP(Cpi_[[#This Row],[Attribute]],#REF!,2,FALSE)</f>
        <v>#REF!</v>
      </c>
      <c r="F2861">
        <v>114.1</v>
      </c>
      <c r="G2861">
        <f>(Cpi_[[#This Row],[Value]]-F2860)/F2860</f>
        <v>-9.1560509554140135E-2</v>
      </c>
      <c r="H2861" t="e" cm="1" vm="1">
        <f t="array" aca="1" ref="H2861" ca="1">VLOOKUP(Cpi_[[#This Row],[Year]:[Month]],crudeoil[],3,FALSE)</f>
        <v>#VALUE!</v>
      </c>
    </row>
    <row r="2862" spans="1:8" hidden="1" x14ac:dyDescent="0.3">
      <c r="A2862" t="s">
        <v>30</v>
      </c>
      <c r="B2862">
        <v>2015</v>
      </c>
      <c r="C2862" t="s">
        <v>46</v>
      </c>
      <c r="D2862" t="s">
        <v>28</v>
      </c>
      <c r="E2862" t="e">
        <f>VLOOKUP(Cpi_[[#This Row],[Attribute]],#REF!,2,FALSE)</f>
        <v>#REF!</v>
      </c>
      <c r="F2862">
        <v>119.8</v>
      </c>
      <c r="G2862">
        <f>(Cpi_[[#This Row],[Value]]-F2861)/F2861</f>
        <v>4.9956178790534649E-2</v>
      </c>
      <c r="H2862" t="e" cm="1" vm="1">
        <f t="array" aca="1" ref="H2862" ca="1">VLOOKUP(Cpi_[[#This Row],[Year]:[Month]],crudeoil[],3,FALSE)</f>
        <v>#VALUE!</v>
      </c>
    </row>
    <row r="2863" spans="1:8" hidden="1" x14ac:dyDescent="0.3">
      <c r="A2863" t="s">
        <v>30</v>
      </c>
      <c r="B2863">
        <v>2015</v>
      </c>
      <c r="C2863" t="s">
        <v>46</v>
      </c>
      <c r="D2863" t="s">
        <v>29</v>
      </c>
      <c r="E2863" t="e" cm="1">
        <f t="array" aca="1" ref="E2863" ca="1">VLGeneral indexGeneral indexKUP(Cpi_[[#This Row],[Attribute]],#REF!,2,FALSE)</f>
        <v>#NAME?</v>
      </c>
      <c r="F2863">
        <v>127.9</v>
      </c>
      <c r="G2863">
        <f>(Cpi_[[#This Row],[Value]]-F2862)/F2862</f>
        <v>6.761268781302178E-2</v>
      </c>
      <c r="H2863" t="e" cm="1" vm="1">
        <f t="array" aca="1" ref="H2863" ca="1">VLOOKUP(Cpi_[[#This Row],[Year]:[Month]],crudeoil[],3,FALSE)</f>
        <v>#VALUE!</v>
      </c>
    </row>
    <row r="2864" spans="1:8" hidden="1" x14ac:dyDescent="0.3">
      <c r="A2864" t="s">
        <v>33</v>
      </c>
      <c r="B2864">
        <v>2015</v>
      </c>
      <c r="C2864" t="s">
        <v>46</v>
      </c>
      <c r="D2864" t="s">
        <v>3</v>
      </c>
      <c r="E2864" t="e">
        <f>VLOOKUP(Cpi_[[#This Row],[Attribute]],#REF!,2,FALSE)</f>
        <v>#REF!</v>
      </c>
      <c r="F2864">
        <v>124.3</v>
      </c>
      <c r="G2864">
        <f>(Cpi_[[#This Row],[Value]]-F2863)/F2863</f>
        <v>-2.8146989835809291E-2</v>
      </c>
      <c r="H2864" t="e" cm="1" vm="1">
        <f t="array" aca="1" ref="H2864" ca="1">VLOOKUP(Cpi_[[#This Row],[Year]:[Month]],crudeoil[],3,FALSE)</f>
        <v>#VALUE!</v>
      </c>
    </row>
    <row r="2865" spans="1:8" hidden="1" x14ac:dyDescent="0.3">
      <c r="A2865" t="s">
        <v>33</v>
      </c>
      <c r="B2865">
        <v>2015</v>
      </c>
      <c r="C2865" t="s">
        <v>46</v>
      </c>
      <c r="D2865" t="s">
        <v>4</v>
      </c>
      <c r="E2865" t="e">
        <f>VLOOKUP(Cpi_[[#This Row],[Attribute]],#REF!,2,FALSE)</f>
        <v>#REF!</v>
      </c>
      <c r="F2865">
        <v>131.69999999999999</v>
      </c>
      <c r="G2865">
        <f>(Cpi_[[#This Row],[Value]]-F2864)/F2864</f>
        <v>5.9533386967015219E-2</v>
      </c>
      <c r="H2865" t="e" cm="1" vm="1">
        <f t="array" aca="1" ref="H2865" ca="1">VLOOKUP(Cpi_[[#This Row],[Year]:[Month]],crudeoil[],3,FALSE)</f>
        <v>#VALUE!</v>
      </c>
    </row>
    <row r="2866" spans="1:8" hidden="1" x14ac:dyDescent="0.3">
      <c r="A2866" t="s">
        <v>33</v>
      </c>
      <c r="B2866">
        <v>2015</v>
      </c>
      <c r="C2866" t="s">
        <v>46</v>
      </c>
      <c r="D2866" t="s">
        <v>5</v>
      </c>
      <c r="E2866" t="e">
        <f>VLOOKUP(Cpi_[[#This Row],[Attribute]],#REF!,2,FALSE)</f>
        <v>#REF!</v>
      </c>
      <c r="F2866">
        <v>127.1</v>
      </c>
      <c r="G2866">
        <f>(Cpi_[[#This Row],[Value]]-F2865)/F2865</f>
        <v>-3.492786636294605E-2</v>
      </c>
      <c r="H2866" t="e" cm="1" vm="1">
        <f t="array" aca="1" ref="H2866" ca="1">VLOOKUP(Cpi_[[#This Row],[Year]:[Month]],crudeoil[],3,FALSE)</f>
        <v>#VALUE!</v>
      </c>
    </row>
    <row r="2867" spans="1:8" hidden="1" x14ac:dyDescent="0.3">
      <c r="A2867" t="s">
        <v>33</v>
      </c>
      <c r="B2867">
        <v>2015</v>
      </c>
      <c r="C2867" t="s">
        <v>46</v>
      </c>
      <c r="D2867" t="s">
        <v>6</v>
      </c>
      <c r="E2867" t="e">
        <f>VLOOKUP(Cpi_[[#This Row],[Attribute]],#REF!,2,FALSE)</f>
        <v>#REF!</v>
      </c>
      <c r="F2867">
        <v>128.6</v>
      </c>
      <c r="G2867">
        <f>(Cpi_[[#This Row],[Value]]-F2866)/F2866</f>
        <v>1.1801730920535013E-2</v>
      </c>
      <c r="H2867" t="e" cm="1" vm="1">
        <f t="array" aca="1" ref="H2867" ca="1">VLOOKUP(Cpi_[[#This Row],[Year]:[Month]],crudeoil[],3,FALSE)</f>
        <v>#VALUE!</v>
      </c>
    </row>
    <row r="2868" spans="1:8" hidden="1" x14ac:dyDescent="0.3">
      <c r="A2868" t="s">
        <v>33</v>
      </c>
      <c r="B2868">
        <v>2015</v>
      </c>
      <c r="C2868" t="s">
        <v>46</v>
      </c>
      <c r="D2868" t="s">
        <v>7</v>
      </c>
      <c r="E2868" t="e">
        <f>VLOOKUP(Cpi_[[#This Row],[Attribute]],#REF!,2,FALSE)</f>
        <v>#REF!</v>
      </c>
      <c r="F2868">
        <v>110</v>
      </c>
      <c r="G2868">
        <f>(Cpi_[[#This Row],[Value]]-F2867)/F2867</f>
        <v>-0.14463452566096419</v>
      </c>
      <c r="H2868" t="e" cm="1" vm="1">
        <f t="array" aca="1" ref="H2868" ca="1">VLOOKUP(Cpi_[[#This Row],[Year]:[Month]],crudeoil[],3,FALSE)</f>
        <v>#VALUE!</v>
      </c>
    </row>
    <row r="2869" spans="1:8" hidden="1" x14ac:dyDescent="0.3">
      <c r="A2869" t="s">
        <v>33</v>
      </c>
      <c r="B2869">
        <v>2015</v>
      </c>
      <c r="C2869" t="s">
        <v>46</v>
      </c>
      <c r="D2869" t="s">
        <v>8</v>
      </c>
      <c r="E2869" t="e">
        <f>VLOOKUP(Cpi_[[#This Row],[Attribute]],#REF!,2,FALSE)</f>
        <v>#REF!</v>
      </c>
      <c r="F2869">
        <v>120.8</v>
      </c>
      <c r="G2869">
        <f>(Cpi_[[#This Row],[Value]]-F2868)/F2868</f>
        <v>9.8181818181818162E-2</v>
      </c>
      <c r="H2869" t="e" cm="1" vm="1">
        <f t="array" aca="1" ref="H2869" ca="1">VLOOKUP(Cpi_[[#This Row],[Year]:[Month]],crudeoil[],3,FALSE)</f>
        <v>#VALUE!</v>
      </c>
    </row>
    <row r="2870" spans="1:8" hidden="1" x14ac:dyDescent="0.3">
      <c r="A2870" t="s">
        <v>33</v>
      </c>
      <c r="B2870">
        <v>2015</v>
      </c>
      <c r="C2870" t="s">
        <v>46</v>
      </c>
      <c r="D2870" t="s">
        <v>9</v>
      </c>
      <c r="E2870" t="e">
        <f>VLOOKUP(Cpi_[[#This Row],[Attribute]],#REF!,2,FALSE)</f>
        <v>#REF!</v>
      </c>
      <c r="F2870">
        <v>149</v>
      </c>
      <c r="G2870">
        <f>(Cpi_[[#This Row],[Value]]-F2869)/F2869</f>
        <v>0.23344370860927155</v>
      </c>
      <c r="H2870" t="e" cm="1" vm="1">
        <f t="array" aca="1" ref="H2870" ca="1">VLOOKUP(Cpi_[[#This Row],[Year]:[Month]],crudeoil[],3,FALSE)</f>
        <v>#VALUE!</v>
      </c>
    </row>
    <row r="2871" spans="1:8" hidden="1" x14ac:dyDescent="0.3">
      <c r="A2871" t="s">
        <v>33</v>
      </c>
      <c r="B2871">
        <v>2015</v>
      </c>
      <c r="C2871" t="s">
        <v>46</v>
      </c>
      <c r="D2871" t="s">
        <v>10</v>
      </c>
      <c r="E2871" t="e">
        <f>VLOOKUP(Cpi_[[#This Row],[Attribute]],#REF!,2,FALSE)</f>
        <v>#REF!</v>
      </c>
      <c r="F2871">
        <v>190.1</v>
      </c>
      <c r="G2871">
        <f>(Cpi_[[#This Row],[Value]]-F2870)/F2870</f>
        <v>0.27583892617449662</v>
      </c>
      <c r="H2871" t="e" cm="1" vm="1">
        <f t="array" aca="1" ref="H2871" ca="1">VLOOKUP(Cpi_[[#This Row],[Year]:[Month]],crudeoil[],3,FALSE)</f>
        <v>#VALUE!</v>
      </c>
    </row>
    <row r="2872" spans="1:8" hidden="1" x14ac:dyDescent="0.3">
      <c r="A2872" t="s">
        <v>33</v>
      </c>
      <c r="B2872">
        <v>2015</v>
      </c>
      <c r="C2872" t="s">
        <v>46</v>
      </c>
      <c r="D2872" t="s">
        <v>11</v>
      </c>
      <c r="E2872" t="e">
        <f>VLOOKUP(Cpi_[[#This Row],[Attribute]],#REF!,2,FALSE)</f>
        <v>#REF!</v>
      </c>
      <c r="F2872">
        <v>92.7</v>
      </c>
      <c r="G2872">
        <f>(Cpi_[[#This Row],[Value]]-F2871)/F2871</f>
        <v>-0.51236191478169379</v>
      </c>
      <c r="H2872" t="e" cm="1" vm="1">
        <f t="array" aca="1" ref="H2872" ca="1">VLOOKUP(Cpi_[[#This Row],[Year]:[Month]],crudeoil[],3,FALSE)</f>
        <v>#VALUE!</v>
      </c>
    </row>
    <row r="2873" spans="1:8" hidden="1" x14ac:dyDescent="0.3">
      <c r="A2873" t="s">
        <v>33</v>
      </c>
      <c r="B2873">
        <v>2015</v>
      </c>
      <c r="C2873" t="s">
        <v>46</v>
      </c>
      <c r="D2873" t="s">
        <v>12</v>
      </c>
      <c r="E2873" t="e">
        <f>VLOOKUP(Cpi_[[#This Row],[Attribute]],#REF!,2,FALSE)</f>
        <v>#REF!</v>
      </c>
      <c r="F2873">
        <v>138.6</v>
      </c>
      <c r="G2873">
        <f>(Cpi_[[#This Row],[Value]]-F2872)/F2872</f>
        <v>0.49514563106796106</v>
      </c>
      <c r="H2873" t="e" cm="1" vm="1">
        <f t="array" aca="1" ref="H2873" ca="1">VLOOKUP(Cpi_[[#This Row],[Year]:[Month]],crudeoil[],3,FALSE)</f>
        <v>#VALUE!</v>
      </c>
    </row>
    <row r="2874" spans="1:8" hidden="1" x14ac:dyDescent="0.3">
      <c r="A2874" t="s">
        <v>33</v>
      </c>
      <c r="B2874">
        <v>2015</v>
      </c>
      <c r="C2874" t="s">
        <v>46</v>
      </c>
      <c r="D2874" t="s">
        <v>13</v>
      </c>
      <c r="E2874" t="e">
        <f>VLOOKUP(Cpi_[[#This Row],[Attribute]],#REF!,2,FALSE)</f>
        <v>#REF!</v>
      </c>
      <c r="F2874">
        <v>120.2</v>
      </c>
      <c r="G2874">
        <f>(Cpi_[[#This Row],[Value]]-F2873)/F2873</f>
        <v>-0.13275613275613271</v>
      </c>
      <c r="H2874" t="e" cm="1" vm="1">
        <f t="array" aca="1" ref="H2874" ca="1">VLOOKUP(Cpi_[[#This Row],[Year]:[Month]],crudeoil[],3,FALSE)</f>
        <v>#VALUE!</v>
      </c>
    </row>
    <row r="2875" spans="1:8" hidden="1" x14ac:dyDescent="0.3">
      <c r="A2875" t="s">
        <v>33</v>
      </c>
      <c r="B2875">
        <v>2015</v>
      </c>
      <c r="C2875" t="s">
        <v>46</v>
      </c>
      <c r="D2875" t="s">
        <v>14</v>
      </c>
      <c r="E2875" t="e">
        <f>VLOOKUP(Cpi_[[#This Row],[Attribute]],#REF!,2,FALSE)</f>
        <v>#REF!</v>
      </c>
      <c r="F2875">
        <v>134.19999999999999</v>
      </c>
      <c r="G2875">
        <f>(Cpi_[[#This Row],[Value]]-F2874)/F2874</f>
        <v>0.11647254575707143</v>
      </c>
      <c r="H2875" t="e" cm="1" vm="1">
        <f t="array" aca="1" ref="H2875" ca="1">VLOOKUP(Cpi_[[#This Row],[Year]:[Month]],crudeoil[],3,FALSE)</f>
        <v>#VALUE!</v>
      </c>
    </row>
    <row r="2876" spans="1:8" hidden="1" x14ac:dyDescent="0.3">
      <c r="A2876" t="s">
        <v>33</v>
      </c>
      <c r="B2876">
        <v>2015</v>
      </c>
      <c r="C2876" t="s">
        <v>46</v>
      </c>
      <c r="D2876" t="s">
        <v>15</v>
      </c>
      <c r="E2876" t="e">
        <f>VLOOKUP(Cpi_[[#This Row],[Attribute]],#REF!,2,FALSE)</f>
        <v>#REF!</v>
      </c>
      <c r="F2876">
        <v>131.5</v>
      </c>
      <c r="G2876">
        <f>(Cpi_[[#This Row],[Value]]-F2875)/F2875</f>
        <v>-2.011922503725774E-2</v>
      </c>
      <c r="H2876" t="e" cm="1" vm="1">
        <f t="array" aca="1" ref="H2876" ca="1">VLOOKUP(Cpi_[[#This Row],[Year]:[Month]],crudeoil[],3,FALSE)</f>
        <v>#VALUE!</v>
      </c>
    </row>
    <row r="2877" spans="1:8" hidden="1" x14ac:dyDescent="0.3">
      <c r="A2877" t="s">
        <v>33</v>
      </c>
      <c r="B2877">
        <v>2015</v>
      </c>
      <c r="C2877" t="s">
        <v>46</v>
      </c>
      <c r="D2877" t="s">
        <v>16</v>
      </c>
      <c r="E2877" t="e">
        <f>VLOOKUP(Cpi_[[#This Row],[Attribute]],#REF!,2,FALSE)</f>
        <v>#REF!</v>
      </c>
      <c r="F2877">
        <v>138.19999999999999</v>
      </c>
      <c r="G2877">
        <f>(Cpi_[[#This Row],[Value]]-F2876)/F2876</f>
        <v>5.0950570342205237E-2</v>
      </c>
      <c r="H2877" t="e" cm="1" vm="1">
        <f t="array" aca="1" ref="H2877" ca="1">VLOOKUP(Cpi_[[#This Row],[Year]:[Month]],crudeoil[],3,FALSE)</f>
        <v>#VALUE!</v>
      </c>
    </row>
    <row r="2878" spans="1:8" hidden="1" x14ac:dyDescent="0.3">
      <c r="A2878" t="s">
        <v>33</v>
      </c>
      <c r="B2878">
        <v>2015</v>
      </c>
      <c r="C2878" t="s">
        <v>46</v>
      </c>
      <c r="D2878" t="s">
        <v>17</v>
      </c>
      <c r="E2878" t="e">
        <f>VLOOKUP(Cpi_[[#This Row],[Attribute]],#REF!,2,FALSE)</f>
        <v>#REF!</v>
      </c>
      <c r="F2878">
        <v>125.4</v>
      </c>
      <c r="G2878">
        <f>(Cpi_[[#This Row],[Value]]-F2877)/F2877</f>
        <v>-9.2619392185238666E-2</v>
      </c>
      <c r="H2878" t="e" cm="1" vm="1">
        <f t="array" aca="1" ref="H2878" ca="1">VLOOKUP(Cpi_[[#This Row],[Year]:[Month]],crudeoil[],3,FALSE)</f>
        <v>#VALUE!</v>
      </c>
    </row>
    <row r="2879" spans="1:8" hidden="1" x14ac:dyDescent="0.3">
      <c r="A2879" t="s">
        <v>33</v>
      </c>
      <c r="B2879">
        <v>2015</v>
      </c>
      <c r="C2879" t="s">
        <v>46</v>
      </c>
      <c r="D2879" t="s">
        <v>18</v>
      </c>
      <c r="E2879" t="e">
        <f>VLOOKUP(Cpi_[[#This Row],[Attribute]],#REF!,2,FALSE)</f>
        <v>#REF!</v>
      </c>
      <c r="F2879">
        <v>119.5</v>
      </c>
      <c r="G2879">
        <f>(Cpi_[[#This Row],[Value]]-F2878)/F2878</f>
        <v>-4.7049441786283938E-2</v>
      </c>
      <c r="H2879" t="e" cm="1" vm="1">
        <f t="array" aca="1" ref="H2879" ca="1">VLOOKUP(Cpi_[[#This Row],[Year]:[Month]],crudeoil[],3,FALSE)</f>
        <v>#VALUE!</v>
      </c>
    </row>
    <row r="2880" spans="1:8" hidden="1" x14ac:dyDescent="0.3">
      <c r="A2880" t="s">
        <v>33</v>
      </c>
      <c r="B2880">
        <v>2015</v>
      </c>
      <c r="C2880" t="s">
        <v>46</v>
      </c>
      <c r="D2880" t="s">
        <v>19</v>
      </c>
      <c r="E2880" t="e">
        <f>VLOOKUP(Cpi_[[#This Row],[Attribute]],#REF!,2,FALSE)</f>
        <v>#REF!</v>
      </c>
      <c r="F2880">
        <v>124.5</v>
      </c>
      <c r="G2880">
        <f>(Cpi_[[#This Row],[Value]]-F2879)/F2879</f>
        <v>4.1841004184100417E-2</v>
      </c>
      <c r="H2880" t="e" cm="1" vm="1">
        <f t="array" aca="1" ref="H2880" ca="1">VLOOKUP(Cpi_[[#This Row],[Year]:[Month]],crudeoil[],3,FALSE)</f>
        <v>#VALUE!</v>
      </c>
    </row>
    <row r="2881" spans="1:8" hidden="1" x14ac:dyDescent="0.3">
      <c r="A2881" t="s">
        <v>33</v>
      </c>
      <c r="B2881">
        <v>2015</v>
      </c>
      <c r="C2881" t="s">
        <v>46</v>
      </c>
      <c r="D2881" t="s">
        <v>20</v>
      </c>
      <c r="E2881" t="e">
        <f>VLOOKUP(Cpi_[[#This Row],[Attribute]],#REF!,2,FALSE)</f>
        <v>#REF!</v>
      </c>
      <c r="F2881">
        <v>122.4</v>
      </c>
      <c r="G2881">
        <f>(Cpi_[[#This Row],[Value]]-F2880)/F2880</f>
        <v>-1.6867469879518027E-2</v>
      </c>
      <c r="H2881" t="e" cm="1" vm="1">
        <f t="array" aca="1" ref="H2881" ca="1">VLOOKUP(Cpi_[[#This Row],[Year]:[Month]],crudeoil[],3,FALSE)</f>
        <v>#VALUE!</v>
      </c>
    </row>
    <row r="2882" spans="1:8" hidden="1" x14ac:dyDescent="0.3">
      <c r="A2882" t="s">
        <v>33</v>
      </c>
      <c r="B2882">
        <v>2015</v>
      </c>
      <c r="C2882" t="s">
        <v>46</v>
      </c>
      <c r="D2882" t="s">
        <v>21</v>
      </c>
      <c r="E2882" t="e">
        <f>VLOOKUP(Cpi_[[#This Row],[Attribute]],#REF!,2,FALSE)</f>
        <v>#REF!</v>
      </c>
      <c r="F2882">
        <v>116</v>
      </c>
      <c r="G2882">
        <f>(Cpi_[[#This Row],[Value]]-F2881)/F2881</f>
        <v>-5.2287581699346448E-2</v>
      </c>
      <c r="H2882" t="e" cm="1" vm="1">
        <f t="array" aca="1" ref="H2882" ca="1">VLOOKUP(Cpi_[[#This Row],[Year]:[Month]],crudeoil[],3,FALSE)</f>
        <v>#VALUE!</v>
      </c>
    </row>
    <row r="2883" spans="1:8" hidden="1" x14ac:dyDescent="0.3">
      <c r="A2883" t="s">
        <v>33</v>
      </c>
      <c r="B2883">
        <v>2015</v>
      </c>
      <c r="C2883" t="s">
        <v>46</v>
      </c>
      <c r="D2883" t="s">
        <v>22</v>
      </c>
      <c r="E2883" t="e">
        <f>VLOOKUP(Cpi_[[#This Row],[Attribute]],#REF!,2,FALSE)</f>
        <v>#REF!</v>
      </c>
      <c r="F2883">
        <v>121</v>
      </c>
      <c r="G2883">
        <f>(Cpi_[[#This Row],[Value]]-F2882)/F2882</f>
        <v>4.3103448275862072E-2</v>
      </c>
      <c r="H2883" t="e" cm="1" vm="1">
        <f t="array" aca="1" ref="H2883" ca="1">VLOOKUP(Cpi_[[#This Row],[Year]:[Month]],crudeoil[],3,FALSE)</f>
        <v>#VALUE!</v>
      </c>
    </row>
    <row r="2884" spans="1:8" hidden="1" x14ac:dyDescent="0.3">
      <c r="A2884" t="s">
        <v>33</v>
      </c>
      <c r="B2884">
        <v>2015</v>
      </c>
      <c r="C2884" t="s">
        <v>46</v>
      </c>
      <c r="D2884" t="s">
        <v>23</v>
      </c>
      <c r="E2884" t="e">
        <f>VLOOKUP(Cpi_[[#This Row],[Attribute]],#REF!,2,FALSE)</f>
        <v>#REF!</v>
      </c>
      <c r="F2884">
        <v>118.6</v>
      </c>
      <c r="G2884">
        <f>(Cpi_[[#This Row],[Value]]-F2883)/F2883</f>
        <v>-1.9834710743801699E-2</v>
      </c>
      <c r="H2884" t="e" cm="1" vm="1">
        <f t="array" aca="1" ref="H2884" ca="1">VLOOKUP(Cpi_[[#This Row],[Year]:[Month]],crudeoil[],3,FALSE)</f>
        <v>#VALUE!</v>
      </c>
    </row>
    <row r="2885" spans="1:8" hidden="1" x14ac:dyDescent="0.3">
      <c r="A2885" t="s">
        <v>33</v>
      </c>
      <c r="B2885">
        <v>2015</v>
      </c>
      <c r="C2885" t="s">
        <v>46</v>
      </c>
      <c r="D2885" t="s">
        <v>24</v>
      </c>
      <c r="E2885" t="e">
        <f>VLOOKUP(Cpi_[[#This Row],[Attribute]],#REF!,2,FALSE)</f>
        <v>#REF!</v>
      </c>
      <c r="F2885">
        <v>109.3</v>
      </c>
      <c r="G2885">
        <f>(Cpi_[[#This Row],[Value]]-F2884)/F2884</f>
        <v>-7.8414839797639108E-2</v>
      </c>
      <c r="H2885" t="e" cm="1" vm="1">
        <f t="array" aca="1" ref="H2885" ca="1">VLOOKUP(Cpi_[[#This Row],[Year]:[Month]],crudeoil[],3,FALSE)</f>
        <v>#VALUE!</v>
      </c>
    </row>
    <row r="2886" spans="1:8" hidden="1" x14ac:dyDescent="0.3">
      <c r="A2886" t="s">
        <v>33</v>
      </c>
      <c r="B2886">
        <v>2015</v>
      </c>
      <c r="C2886" t="s">
        <v>46</v>
      </c>
      <c r="D2886" t="s">
        <v>25</v>
      </c>
      <c r="E2886" t="e">
        <f>VLOOKUP(Cpi_[[#This Row],[Attribute]],#REF!,2,FALSE)</f>
        <v>#REF!</v>
      </c>
      <c r="F2886">
        <v>118.1</v>
      </c>
      <c r="G2886">
        <f>(Cpi_[[#This Row],[Value]]-F2885)/F2885</f>
        <v>8.0512351326623946E-2</v>
      </c>
      <c r="H2886" t="e" cm="1" vm="1">
        <f t="array" aca="1" ref="H2886" ca="1">VLOOKUP(Cpi_[[#This Row],[Year]:[Month]],crudeoil[],3,FALSE)</f>
        <v>#VALUE!</v>
      </c>
    </row>
    <row r="2887" spans="1:8" hidden="1" x14ac:dyDescent="0.3">
      <c r="A2887" t="s">
        <v>33</v>
      </c>
      <c r="B2887">
        <v>2015</v>
      </c>
      <c r="C2887" t="s">
        <v>46</v>
      </c>
      <c r="D2887" t="s">
        <v>26</v>
      </c>
      <c r="E2887" t="e">
        <f>VLOOKUP(Cpi_[[#This Row],[Attribute]],#REF!,2,FALSE)</f>
        <v>#REF!</v>
      </c>
      <c r="F2887">
        <v>126.6</v>
      </c>
      <c r="G2887">
        <f>(Cpi_[[#This Row],[Value]]-F2886)/F2886</f>
        <v>7.1972904318374262E-2</v>
      </c>
      <c r="H2887" t="e" cm="1" vm="1">
        <f t="array" aca="1" ref="H2887" ca="1">VLOOKUP(Cpi_[[#This Row],[Year]:[Month]],crudeoil[],3,FALSE)</f>
        <v>#VALUE!</v>
      </c>
    </row>
    <row r="2888" spans="1:8" hidden="1" x14ac:dyDescent="0.3">
      <c r="A2888" t="s">
        <v>33</v>
      </c>
      <c r="B2888">
        <v>2015</v>
      </c>
      <c r="C2888" t="s">
        <v>46</v>
      </c>
      <c r="D2888" t="s">
        <v>27</v>
      </c>
      <c r="E2888" t="e">
        <f>VLOOKUP(Cpi_[[#This Row],[Attribute]],#REF!,2,FALSE)</f>
        <v>#REF!</v>
      </c>
      <c r="F2888">
        <v>113.2</v>
      </c>
      <c r="G2888">
        <f>(Cpi_[[#This Row],[Value]]-F2887)/F2887</f>
        <v>-0.1058451816745655</v>
      </c>
      <c r="H2888" t="e" cm="1" vm="1">
        <f t="array" aca="1" ref="H2888" ca="1">VLOOKUP(Cpi_[[#This Row],[Year]:[Month]],crudeoil[],3,FALSE)</f>
        <v>#VALUE!</v>
      </c>
    </row>
    <row r="2889" spans="1:8" hidden="1" x14ac:dyDescent="0.3">
      <c r="A2889" t="s">
        <v>33</v>
      </c>
      <c r="B2889">
        <v>2015</v>
      </c>
      <c r="C2889" t="s">
        <v>46</v>
      </c>
      <c r="D2889" t="s">
        <v>28</v>
      </c>
      <c r="E2889" t="e">
        <f>VLOOKUP(Cpi_[[#This Row],[Attribute]],#REF!,2,FALSE)</f>
        <v>#REF!</v>
      </c>
      <c r="F2889">
        <v>116.7</v>
      </c>
      <c r="G2889">
        <f>(Cpi_[[#This Row],[Value]]-F2888)/F2888</f>
        <v>3.0918727915194344E-2</v>
      </c>
      <c r="H2889" t="e" cm="1" vm="1">
        <f t="array" aca="1" ref="H2889" ca="1">VLOOKUP(Cpi_[[#This Row],[Year]:[Month]],crudeoil[],3,FALSE)</f>
        <v>#VALUE!</v>
      </c>
    </row>
    <row r="2890" spans="1:8" hidden="1" x14ac:dyDescent="0.3">
      <c r="A2890" t="s">
        <v>33</v>
      </c>
      <c r="B2890">
        <v>2015</v>
      </c>
      <c r="C2890" t="s">
        <v>46</v>
      </c>
      <c r="D2890" t="s">
        <v>29</v>
      </c>
      <c r="E2890" t="e" cm="1">
        <f t="array" aca="1" ref="E2890" ca="1">VLGeneral indexGeneral indexKUP(Cpi_[[#This Row],[Attribute]],#REF!,2,FALSE)</f>
        <v>#NAME?</v>
      </c>
      <c r="F2890">
        <v>124</v>
      </c>
      <c r="G2890">
        <f>(Cpi_[[#This Row],[Value]]-F2889)/F2889</f>
        <v>6.2553556126820883E-2</v>
      </c>
      <c r="H2890" t="e" cm="1" vm="1">
        <f t="array" aca="1" ref="H2890" ca="1">VLOOKUP(Cpi_[[#This Row],[Year]:[Month]],crudeoil[],3,FALSE)</f>
        <v>#VALUE!</v>
      </c>
    </row>
    <row r="2891" spans="1:8" hidden="1" x14ac:dyDescent="0.3">
      <c r="A2891" t="s">
        <v>34</v>
      </c>
      <c r="B2891">
        <v>2015</v>
      </c>
      <c r="C2891" t="s">
        <v>46</v>
      </c>
      <c r="D2891" t="s">
        <v>3</v>
      </c>
      <c r="E2891" t="e">
        <f>VLOOKUP(Cpi_[[#This Row],[Attribute]],#REF!,2,FALSE)</f>
        <v>#REF!</v>
      </c>
      <c r="F2891">
        <v>125.7</v>
      </c>
      <c r="G2891">
        <f>(Cpi_[[#This Row],[Value]]-F2890)/F2890</f>
        <v>1.3709677419354862E-2</v>
      </c>
      <c r="H2891" t="e" cm="1" vm="1">
        <f t="array" aca="1" ref="H2891" ca="1">VLOOKUP(Cpi_[[#This Row],[Year]:[Month]],crudeoil[],3,FALSE)</f>
        <v>#VALUE!</v>
      </c>
    </row>
    <row r="2892" spans="1:8" hidden="1" x14ac:dyDescent="0.3">
      <c r="A2892" t="s">
        <v>34</v>
      </c>
      <c r="B2892">
        <v>2015</v>
      </c>
      <c r="C2892" t="s">
        <v>46</v>
      </c>
      <c r="D2892" t="s">
        <v>4</v>
      </c>
      <c r="E2892" t="e">
        <f>VLOOKUP(Cpi_[[#This Row],[Attribute]],#REF!,2,FALSE)</f>
        <v>#REF!</v>
      </c>
      <c r="F2892">
        <v>131.4</v>
      </c>
      <c r="G2892">
        <f>(Cpi_[[#This Row],[Value]]-F2891)/F2891</f>
        <v>4.5346062052505985E-2</v>
      </c>
      <c r="H2892" t="e" cm="1" vm="1">
        <f t="array" aca="1" ref="H2892" ca="1">VLOOKUP(Cpi_[[#This Row],[Year]:[Month]],crudeoil[],3,FALSE)</f>
        <v>#VALUE!</v>
      </c>
    </row>
    <row r="2893" spans="1:8" hidden="1" x14ac:dyDescent="0.3">
      <c r="A2893" t="s">
        <v>34</v>
      </c>
      <c r="B2893">
        <v>2015</v>
      </c>
      <c r="C2893" t="s">
        <v>46</v>
      </c>
      <c r="D2893" t="s">
        <v>5</v>
      </c>
      <c r="E2893" t="e">
        <f>VLOOKUP(Cpi_[[#This Row],[Attribute]],#REF!,2,FALSE)</f>
        <v>#REF!</v>
      </c>
      <c r="F2893">
        <v>124.8</v>
      </c>
      <c r="G2893">
        <f>(Cpi_[[#This Row],[Value]]-F2892)/F2892</f>
        <v>-5.0228310502283165E-2</v>
      </c>
      <c r="H2893" t="e" cm="1" vm="1">
        <f t="array" aca="1" ref="H2893" ca="1">VLOOKUP(Cpi_[[#This Row],[Year]:[Month]],crudeoil[],3,FALSE)</f>
        <v>#VALUE!</v>
      </c>
    </row>
    <row r="2894" spans="1:8" hidden="1" x14ac:dyDescent="0.3">
      <c r="A2894" t="s">
        <v>34</v>
      </c>
      <c r="B2894">
        <v>2015</v>
      </c>
      <c r="C2894" t="s">
        <v>46</v>
      </c>
      <c r="D2894" t="s">
        <v>6</v>
      </c>
      <c r="E2894" t="e">
        <f>VLOOKUP(Cpi_[[#This Row],[Attribute]],#REF!,2,FALSE)</f>
        <v>#REF!</v>
      </c>
      <c r="F2894">
        <v>129.4</v>
      </c>
      <c r="G2894">
        <f>(Cpi_[[#This Row],[Value]]-F2893)/F2893</f>
        <v>3.6858974358974429E-2</v>
      </c>
      <c r="H2894" t="e" cm="1" vm="1">
        <f t="array" aca="1" ref="H2894" ca="1">VLOOKUP(Cpi_[[#This Row],[Year]:[Month]],crudeoil[],3,FALSE)</f>
        <v>#VALUE!</v>
      </c>
    </row>
    <row r="2895" spans="1:8" hidden="1" x14ac:dyDescent="0.3">
      <c r="A2895" t="s">
        <v>34</v>
      </c>
      <c r="B2895">
        <v>2015</v>
      </c>
      <c r="C2895" t="s">
        <v>46</v>
      </c>
      <c r="D2895" t="s">
        <v>7</v>
      </c>
      <c r="E2895" t="e">
        <f>VLOOKUP(Cpi_[[#This Row],[Attribute]],#REF!,2,FALSE)</f>
        <v>#REF!</v>
      </c>
      <c r="F2895">
        <v>115.3</v>
      </c>
      <c r="G2895">
        <f>(Cpi_[[#This Row],[Value]]-F2894)/F2894</f>
        <v>-0.10896445131375586</v>
      </c>
      <c r="H2895" t="e" cm="1" vm="1">
        <f t="array" aca="1" ref="H2895" ca="1">VLOOKUP(Cpi_[[#This Row],[Year]:[Month]],crudeoil[],3,FALSE)</f>
        <v>#VALUE!</v>
      </c>
    </row>
    <row r="2896" spans="1:8" hidden="1" x14ac:dyDescent="0.3">
      <c r="A2896" t="s">
        <v>34</v>
      </c>
      <c r="B2896">
        <v>2015</v>
      </c>
      <c r="C2896" t="s">
        <v>46</v>
      </c>
      <c r="D2896" t="s">
        <v>8</v>
      </c>
      <c r="E2896" t="e">
        <f>VLOOKUP(Cpi_[[#This Row],[Attribute]],#REF!,2,FALSE)</f>
        <v>#REF!</v>
      </c>
      <c r="F2896">
        <v>126.6</v>
      </c>
      <c r="G2896">
        <f>(Cpi_[[#This Row],[Value]]-F2895)/F2895</f>
        <v>9.8005203816131814E-2</v>
      </c>
      <c r="H2896" t="e" cm="1" vm="1">
        <f t="array" aca="1" ref="H2896" ca="1">VLOOKUP(Cpi_[[#This Row],[Year]:[Month]],crudeoil[],3,FALSE)</f>
        <v>#VALUE!</v>
      </c>
    </row>
    <row r="2897" spans="1:8" hidden="1" x14ac:dyDescent="0.3">
      <c r="A2897" t="s">
        <v>34</v>
      </c>
      <c r="B2897">
        <v>2015</v>
      </c>
      <c r="C2897" t="s">
        <v>46</v>
      </c>
      <c r="D2897" t="s">
        <v>9</v>
      </c>
      <c r="E2897" t="e">
        <f>VLOOKUP(Cpi_[[#This Row],[Attribute]],#REF!,2,FALSE)</f>
        <v>#REF!</v>
      </c>
      <c r="F2897">
        <v>146.69999999999999</v>
      </c>
      <c r="G2897">
        <f>(Cpi_[[#This Row],[Value]]-F2896)/F2896</f>
        <v>0.15876777251184832</v>
      </c>
      <c r="H2897" t="e" cm="1" vm="1">
        <f t="array" aca="1" ref="H2897" ca="1">VLOOKUP(Cpi_[[#This Row],[Year]:[Month]],crudeoil[],3,FALSE)</f>
        <v>#VALUE!</v>
      </c>
    </row>
    <row r="2898" spans="1:8" hidden="1" x14ac:dyDescent="0.3">
      <c r="A2898" t="s">
        <v>34</v>
      </c>
      <c r="B2898">
        <v>2015</v>
      </c>
      <c r="C2898" t="s">
        <v>46</v>
      </c>
      <c r="D2898" t="s">
        <v>10</v>
      </c>
      <c r="E2898" t="e">
        <f>VLOOKUP(Cpi_[[#This Row],[Attribute]],#REF!,2,FALSE)</f>
        <v>#REF!</v>
      </c>
      <c r="F2898">
        <v>171.5</v>
      </c>
      <c r="G2898">
        <f>(Cpi_[[#This Row],[Value]]-F2897)/F2897</f>
        <v>0.16905248807089307</v>
      </c>
      <c r="H2898" t="e" cm="1" vm="1">
        <f t="array" aca="1" ref="H2898" ca="1">VLOOKUP(Cpi_[[#This Row],[Year]:[Month]],crudeoil[],3,FALSE)</f>
        <v>#VALUE!</v>
      </c>
    </row>
    <row r="2899" spans="1:8" hidden="1" x14ac:dyDescent="0.3">
      <c r="A2899" t="s">
        <v>34</v>
      </c>
      <c r="B2899">
        <v>2015</v>
      </c>
      <c r="C2899" t="s">
        <v>46</v>
      </c>
      <c r="D2899" t="s">
        <v>11</v>
      </c>
      <c r="E2899" t="e">
        <f>VLOOKUP(Cpi_[[#This Row],[Attribute]],#REF!,2,FALSE)</f>
        <v>#REF!</v>
      </c>
      <c r="F2899">
        <v>94.5</v>
      </c>
      <c r="G2899">
        <f>(Cpi_[[#This Row],[Value]]-F2898)/F2898</f>
        <v>-0.44897959183673469</v>
      </c>
      <c r="H2899" t="e" cm="1" vm="1">
        <f t="array" aca="1" ref="H2899" ca="1">VLOOKUP(Cpi_[[#This Row],[Year]:[Month]],crudeoil[],3,FALSE)</f>
        <v>#VALUE!</v>
      </c>
    </row>
    <row r="2900" spans="1:8" hidden="1" x14ac:dyDescent="0.3">
      <c r="A2900" t="s">
        <v>34</v>
      </c>
      <c r="B2900">
        <v>2015</v>
      </c>
      <c r="C2900" t="s">
        <v>46</v>
      </c>
      <c r="D2900" t="s">
        <v>12</v>
      </c>
      <c r="E2900" t="e">
        <f>VLOOKUP(Cpi_[[#This Row],[Attribute]],#REF!,2,FALSE)</f>
        <v>#REF!</v>
      </c>
      <c r="F2900">
        <v>132.1</v>
      </c>
      <c r="G2900">
        <f>(Cpi_[[#This Row],[Value]]-F2899)/F2899</f>
        <v>0.39788359788359784</v>
      </c>
      <c r="H2900" t="e" cm="1" vm="1">
        <f t="array" aca="1" ref="H2900" ca="1">VLOOKUP(Cpi_[[#This Row],[Year]:[Month]],crudeoil[],3,FALSE)</f>
        <v>#VALUE!</v>
      </c>
    </row>
    <row r="2901" spans="1:8" hidden="1" x14ac:dyDescent="0.3">
      <c r="A2901" t="s">
        <v>34</v>
      </c>
      <c r="B2901">
        <v>2015</v>
      </c>
      <c r="C2901" t="s">
        <v>46</v>
      </c>
      <c r="D2901" t="s">
        <v>13</v>
      </c>
      <c r="E2901" t="e">
        <f>VLOOKUP(Cpi_[[#This Row],[Attribute]],#REF!,2,FALSE)</f>
        <v>#REF!</v>
      </c>
      <c r="F2901">
        <v>122</v>
      </c>
      <c r="G2901">
        <f>(Cpi_[[#This Row],[Value]]-F2900)/F2900</f>
        <v>-7.6457229371688071E-2</v>
      </c>
      <c r="H2901" t="e" cm="1" vm="1">
        <f t="array" aca="1" ref="H2901" ca="1">VLOOKUP(Cpi_[[#This Row],[Year]:[Month]],crudeoil[],3,FALSE)</f>
        <v>#VALUE!</v>
      </c>
    </row>
    <row r="2902" spans="1:8" hidden="1" x14ac:dyDescent="0.3">
      <c r="A2902" t="s">
        <v>34</v>
      </c>
      <c r="B2902">
        <v>2015</v>
      </c>
      <c r="C2902" t="s">
        <v>46</v>
      </c>
      <c r="D2902" t="s">
        <v>14</v>
      </c>
      <c r="E2902" t="e">
        <f>VLOOKUP(Cpi_[[#This Row],[Attribute]],#REF!,2,FALSE)</f>
        <v>#REF!</v>
      </c>
      <c r="F2902">
        <v>134.69999999999999</v>
      </c>
      <c r="G2902">
        <f>(Cpi_[[#This Row],[Value]]-F2901)/F2901</f>
        <v>0.10409836065573762</v>
      </c>
      <c r="H2902" t="e" cm="1" vm="1">
        <f t="array" aca="1" ref="H2902" ca="1">VLOOKUP(Cpi_[[#This Row],[Year]:[Month]],crudeoil[],3,FALSE)</f>
        <v>#VALUE!</v>
      </c>
    </row>
    <row r="2903" spans="1:8" hidden="1" x14ac:dyDescent="0.3">
      <c r="A2903" t="s">
        <v>34</v>
      </c>
      <c r="B2903">
        <v>2015</v>
      </c>
      <c r="C2903" t="s">
        <v>46</v>
      </c>
      <c r="D2903" t="s">
        <v>15</v>
      </c>
      <c r="E2903" t="e">
        <f>VLOOKUP(Cpi_[[#This Row],[Attribute]],#REF!,2,FALSE)</f>
        <v>#REF!</v>
      </c>
      <c r="F2903">
        <v>131.4</v>
      </c>
      <c r="G2903">
        <f>(Cpi_[[#This Row],[Value]]-F2902)/F2902</f>
        <v>-2.4498886414253775E-2</v>
      </c>
      <c r="H2903" t="e" cm="1" vm="1">
        <f t="array" aca="1" ref="H2903" ca="1">VLOOKUP(Cpi_[[#This Row],[Year]:[Month]],crudeoil[],3,FALSE)</f>
        <v>#VALUE!</v>
      </c>
    </row>
    <row r="2904" spans="1:8" hidden="1" x14ac:dyDescent="0.3">
      <c r="A2904" t="s">
        <v>34</v>
      </c>
      <c r="B2904">
        <v>2015</v>
      </c>
      <c r="C2904" t="s">
        <v>46</v>
      </c>
      <c r="D2904" t="s">
        <v>16</v>
      </c>
      <c r="E2904" t="e">
        <f>VLOOKUP(Cpi_[[#This Row],[Attribute]],#REF!,2,FALSE)</f>
        <v>#REF!</v>
      </c>
      <c r="F2904">
        <v>134.5</v>
      </c>
      <c r="G2904">
        <f>(Cpi_[[#This Row],[Value]]-F2903)/F2903</f>
        <v>2.3592085235920809E-2</v>
      </c>
      <c r="H2904" t="e" cm="1" vm="1">
        <f t="array" aca="1" ref="H2904" ca="1">VLOOKUP(Cpi_[[#This Row],[Year]:[Month]],crudeoil[],3,FALSE)</f>
        <v>#VALUE!</v>
      </c>
    </row>
    <row r="2905" spans="1:8" hidden="1" x14ac:dyDescent="0.3">
      <c r="A2905" t="s">
        <v>34</v>
      </c>
      <c r="B2905">
        <v>2015</v>
      </c>
      <c r="C2905" t="s">
        <v>46</v>
      </c>
      <c r="D2905" t="s">
        <v>17</v>
      </c>
      <c r="E2905" t="e">
        <f>VLOOKUP(Cpi_[[#This Row],[Attribute]],#REF!,2,FALSE)</f>
        <v>#REF!</v>
      </c>
      <c r="F2905">
        <v>129.69999999999999</v>
      </c>
      <c r="G2905">
        <f>(Cpi_[[#This Row],[Value]]-F2904)/F2904</f>
        <v>-3.5687732342007519E-2</v>
      </c>
      <c r="H2905" t="e" cm="1" vm="1">
        <f t="array" aca="1" ref="H2905" ca="1">VLOOKUP(Cpi_[[#This Row],[Year]:[Month]],crudeoil[],3,FALSE)</f>
        <v>#VALUE!</v>
      </c>
    </row>
    <row r="2906" spans="1:8" hidden="1" x14ac:dyDescent="0.3">
      <c r="A2906" t="s">
        <v>34</v>
      </c>
      <c r="B2906">
        <v>2015</v>
      </c>
      <c r="C2906" t="s">
        <v>46</v>
      </c>
      <c r="D2906" t="s">
        <v>18</v>
      </c>
      <c r="E2906" t="e">
        <f>VLOOKUP(Cpi_[[#This Row],[Attribute]],#REF!,2,FALSE)</f>
        <v>#REF!</v>
      </c>
      <c r="F2906">
        <v>124.8</v>
      </c>
      <c r="G2906">
        <f>(Cpi_[[#This Row],[Value]]-F2905)/F2905</f>
        <v>-3.777949113338467E-2</v>
      </c>
      <c r="H2906" t="e" cm="1" vm="1">
        <f t="array" aca="1" ref="H2906" ca="1">VLOOKUP(Cpi_[[#This Row],[Year]:[Month]],crudeoil[],3,FALSE)</f>
        <v>#VALUE!</v>
      </c>
    </row>
    <row r="2907" spans="1:8" hidden="1" x14ac:dyDescent="0.3">
      <c r="A2907" t="s">
        <v>34</v>
      </c>
      <c r="B2907">
        <v>2015</v>
      </c>
      <c r="C2907" t="s">
        <v>46</v>
      </c>
      <c r="D2907" t="s">
        <v>19</v>
      </c>
      <c r="E2907" t="e">
        <f>VLOOKUP(Cpi_[[#This Row],[Attribute]],#REF!,2,FALSE)</f>
        <v>#REF!</v>
      </c>
      <c r="F2907">
        <v>129</v>
      </c>
      <c r="G2907">
        <f>(Cpi_[[#This Row],[Value]]-F2906)/F2906</f>
        <v>3.365384615384618E-2</v>
      </c>
      <c r="H2907" t="e" cm="1" vm="1">
        <f t="array" aca="1" ref="H2907" ca="1">VLOOKUP(Cpi_[[#This Row],[Year]:[Month]],crudeoil[],3,FALSE)</f>
        <v>#VALUE!</v>
      </c>
    </row>
    <row r="2908" spans="1:8" hidden="1" x14ac:dyDescent="0.3">
      <c r="A2908" t="s">
        <v>34</v>
      </c>
      <c r="B2908">
        <v>2015</v>
      </c>
      <c r="C2908" t="s">
        <v>46</v>
      </c>
      <c r="D2908" t="s">
        <v>20</v>
      </c>
      <c r="E2908" t="e">
        <f>VLOOKUP(Cpi_[[#This Row],[Attribute]],#REF!,2,FALSE)</f>
        <v>#REF!</v>
      </c>
      <c r="F2908">
        <v>122.4</v>
      </c>
      <c r="G2908">
        <f>(Cpi_[[#This Row],[Value]]-F2907)/F2907</f>
        <v>-5.1162790697674376E-2</v>
      </c>
      <c r="H2908" t="e" cm="1" vm="1">
        <f t="array" aca="1" ref="H2908" ca="1">VLOOKUP(Cpi_[[#This Row],[Year]:[Month]],crudeoil[],3,FALSE)</f>
        <v>#VALUE!</v>
      </c>
    </row>
    <row r="2909" spans="1:8" hidden="1" x14ac:dyDescent="0.3">
      <c r="A2909" t="s">
        <v>34</v>
      </c>
      <c r="B2909">
        <v>2015</v>
      </c>
      <c r="C2909" t="s">
        <v>46</v>
      </c>
      <c r="D2909" t="s">
        <v>21</v>
      </c>
      <c r="E2909" t="e">
        <f>VLOOKUP(Cpi_[[#This Row],[Attribute]],#REF!,2,FALSE)</f>
        <v>#REF!</v>
      </c>
      <c r="F2909">
        <v>122</v>
      </c>
      <c r="G2909">
        <f>(Cpi_[[#This Row],[Value]]-F2908)/F2908</f>
        <v>-3.2679738562091968E-3</v>
      </c>
      <c r="H2909" t="e" cm="1" vm="1">
        <f t="array" aca="1" ref="H2909" ca="1">VLOOKUP(Cpi_[[#This Row],[Year]:[Month]],crudeoil[],3,FALSE)</f>
        <v>#VALUE!</v>
      </c>
    </row>
    <row r="2910" spans="1:8" hidden="1" x14ac:dyDescent="0.3">
      <c r="A2910" t="s">
        <v>34</v>
      </c>
      <c r="B2910">
        <v>2015</v>
      </c>
      <c r="C2910" t="s">
        <v>46</v>
      </c>
      <c r="D2910" t="s">
        <v>22</v>
      </c>
      <c r="E2910" t="e">
        <f>VLOOKUP(Cpi_[[#This Row],[Attribute]],#REF!,2,FALSE)</f>
        <v>#REF!</v>
      </c>
      <c r="F2910">
        <v>123.6</v>
      </c>
      <c r="G2910">
        <f>(Cpi_[[#This Row],[Value]]-F2909)/F2909</f>
        <v>1.3114754098360609E-2</v>
      </c>
      <c r="H2910" t="e" cm="1" vm="1">
        <f t="array" aca="1" ref="H2910" ca="1">VLOOKUP(Cpi_[[#This Row],[Year]:[Month]],crudeoil[],3,FALSE)</f>
        <v>#VALUE!</v>
      </c>
    </row>
    <row r="2911" spans="1:8" hidden="1" x14ac:dyDescent="0.3">
      <c r="A2911" t="s">
        <v>34</v>
      </c>
      <c r="B2911">
        <v>2015</v>
      </c>
      <c r="C2911" t="s">
        <v>46</v>
      </c>
      <c r="D2911" t="s">
        <v>23</v>
      </c>
      <c r="E2911" t="e">
        <f>VLOOKUP(Cpi_[[#This Row],[Attribute]],#REF!,2,FALSE)</f>
        <v>#REF!</v>
      </c>
      <c r="F2911">
        <v>121.4</v>
      </c>
      <c r="G2911">
        <f>(Cpi_[[#This Row],[Value]]-F2910)/F2910</f>
        <v>-1.7799352750808971E-2</v>
      </c>
      <c r="H2911" t="e" cm="1" vm="1">
        <f t="array" aca="1" ref="H2911" ca="1">VLOOKUP(Cpi_[[#This Row],[Year]:[Month]],crudeoil[],3,FALSE)</f>
        <v>#VALUE!</v>
      </c>
    </row>
    <row r="2912" spans="1:8" hidden="1" x14ac:dyDescent="0.3">
      <c r="A2912" t="s">
        <v>34</v>
      </c>
      <c r="B2912">
        <v>2015</v>
      </c>
      <c r="C2912" t="s">
        <v>46</v>
      </c>
      <c r="D2912" t="s">
        <v>24</v>
      </c>
      <c r="E2912" t="e">
        <f>VLOOKUP(Cpi_[[#This Row],[Attribute]],#REF!,2,FALSE)</f>
        <v>#REF!</v>
      </c>
      <c r="F2912">
        <v>111.5</v>
      </c>
      <c r="G2912">
        <f>(Cpi_[[#This Row],[Value]]-F2911)/F2911</f>
        <v>-8.1548599670510757E-2</v>
      </c>
      <c r="H2912" t="e" cm="1" vm="1">
        <f t="array" aca="1" ref="H2912" ca="1">VLOOKUP(Cpi_[[#This Row],[Year]:[Month]],crudeoil[],3,FALSE)</f>
        <v>#VALUE!</v>
      </c>
    </row>
    <row r="2913" spans="1:8" hidden="1" x14ac:dyDescent="0.3">
      <c r="A2913" t="s">
        <v>34</v>
      </c>
      <c r="B2913">
        <v>2015</v>
      </c>
      <c r="C2913" t="s">
        <v>46</v>
      </c>
      <c r="D2913" t="s">
        <v>25</v>
      </c>
      <c r="E2913" t="e">
        <f>VLOOKUP(Cpi_[[#This Row],[Attribute]],#REF!,2,FALSE)</f>
        <v>#REF!</v>
      </c>
      <c r="F2913">
        <v>119.6</v>
      </c>
      <c r="G2913">
        <f>(Cpi_[[#This Row],[Value]]-F2912)/F2912</f>
        <v>7.2645739910313853E-2</v>
      </c>
      <c r="H2913" t="e" cm="1" vm="1">
        <f t="array" aca="1" ref="H2913" ca="1">VLOOKUP(Cpi_[[#This Row],[Year]:[Month]],crudeoil[],3,FALSE)</f>
        <v>#VALUE!</v>
      </c>
    </row>
    <row r="2914" spans="1:8" hidden="1" x14ac:dyDescent="0.3">
      <c r="A2914" t="s">
        <v>34</v>
      </c>
      <c r="B2914">
        <v>2015</v>
      </c>
      <c r="C2914" t="s">
        <v>46</v>
      </c>
      <c r="D2914" t="s">
        <v>26</v>
      </c>
      <c r="E2914" t="e">
        <f>VLOOKUP(Cpi_[[#This Row],[Attribute]],#REF!,2,FALSE)</f>
        <v>#REF!</v>
      </c>
      <c r="F2914">
        <v>126.2</v>
      </c>
      <c r="G2914">
        <f>(Cpi_[[#This Row],[Value]]-F2913)/F2913</f>
        <v>5.5183946488294389E-2</v>
      </c>
      <c r="H2914" t="e" cm="1" vm="1">
        <f t="array" aca="1" ref="H2914" ca="1">VLOOKUP(Cpi_[[#This Row],[Year]:[Month]],crudeoil[],3,FALSE)</f>
        <v>#VALUE!</v>
      </c>
    </row>
    <row r="2915" spans="1:8" hidden="1" x14ac:dyDescent="0.3">
      <c r="A2915" t="s">
        <v>34</v>
      </c>
      <c r="B2915">
        <v>2015</v>
      </c>
      <c r="C2915" t="s">
        <v>46</v>
      </c>
      <c r="D2915" t="s">
        <v>27</v>
      </c>
      <c r="E2915" t="e">
        <f>VLOOKUP(Cpi_[[#This Row],[Attribute]],#REF!,2,FALSE)</f>
        <v>#REF!</v>
      </c>
      <c r="F2915">
        <v>113.7</v>
      </c>
      <c r="G2915">
        <f>(Cpi_[[#This Row],[Value]]-F2914)/F2914</f>
        <v>-9.9049128367670367E-2</v>
      </c>
      <c r="H2915" t="e" cm="1" vm="1">
        <f t="array" aca="1" ref="H2915" ca="1">VLOOKUP(Cpi_[[#This Row],[Year]:[Month]],crudeoil[],3,FALSE)</f>
        <v>#VALUE!</v>
      </c>
    </row>
    <row r="2916" spans="1:8" hidden="1" x14ac:dyDescent="0.3">
      <c r="A2916" t="s">
        <v>34</v>
      </c>
      <c r="B2916">
        <v>2015</v>
      </c>
      <c r="C2916" t="s">
        <v>46</v>
      </c>
      <c r="D2916" t="s">
        <v>28</v>
      </c>
      <c r="E2916" t="e">
        <f>VLOOKUP(Cpi_[[#This Row],[Attribute]],#REF!,2,FALSE)</f>
        <v>#REF!</v>
      </c>
      <c r="F2916">
        <v>118.3</v>
      </c>
      <c r="G2916">
        <f>(Cpi_[[#This Row],[Value]]-F2915)/F2915</f>
        <v>4.0457343887422989E-2</v>
      </c>
      <c r="H2916" t="e" cm="1" vm="1">
        <f t="array" aca="1" ref="H2916" ca="1">VLOOKUP(Cpi_[[#This Row],[Year]:[Month]],crudeoil[],3,FALSE)</f>
        <v>#VALUE!</v>
      </c>
    </row>
    <row r="2917" spans="1:8" hidden="1" x14ac:dyDescent="0.3">
      <c r="A2917" t="s">
        <v>34</v>
      </c>
      <c r="B2917">
        <v>2015</v>
      </c>
      <c r="C2917" t="s">
        <v>46</v>
      </c>
      <c r="D2917" t="s">
        <v>29</v>
      </c>
      <c r="E2917" t="e" cm="1">
        <f t="array" aca="1" ref="E2917" ca="1">VLGeneral indexGeneral indexKUP(Cpi_[[#This Row],[Attribute]],#REF!,2,FALSE)</f>
        <v>#NAME?</v>
      </c>
      <c r="F2917">
        <v>126.1</v>
      </c>
      <c r="G2917">
        <f>(Cpi_[[#This Row],[Value]]-F2916)/F2916</f>
        <v>6.5934065934065908E-2</v>
      </c>
      <c r="H2917" t="e" cm="1" vm="1">
        <f t="array" aca="1" ref="H2917" ca="1">VLOOKUP(Cpi_[[#This Row],[Year]:[Month]],crudeoil[],3,FALSE)</f>
        <v>#VALUE!</v>
      </c>
    </row>
    <row r="2918" spans="1:8" hidden="1" x14ac:dyDescent="0.3">
      <c r="A2918" t="s">
        <v>30</v>
      </c>
      <c r="B2918">
        <v>2016</v>
      </c>
      <c r="C2918" t="s">
        <v>31</v>
      </c>
      <c r="D2918" t="s">
        <v>3</v>
      </c>
      <c r="E2918" t="e">
        <f>VLOOKUP(Cpi_[[#This Row],[Attribute]],#REF!,2,FALSE)</f>
        <v>#REF!</v>
      </c>
      <c r="F2918">
        <v>126.8</v>
      </c>
      <c r="G2918">
        <f>(Cpi_[[#This Row],[Value]]-F2917)/F2917</f>
        <v>5.551149881046811E-3</v>
      </c>
      <c r="H2918" t="e" cm="1" vm="1">
        <f t="array" aca="1" ref="H2918" ca="1">VLOOKUP(Cpi_[[#This Row],[Year]:[Month]],crudeoil[],3,FALSE)</f>
        <v>#VALUE!</v>
      </c>
    </row>
    <row r="2919" spans="1:8" hidden="1" x14ac:dyDescent="0.3">
      <c r="A2919" t="s">
        <v>30</v>
      </c>
      <c r="B2919">
        <v>2016</v>
      </c>
      <c r="C2919" t="s">
        <v>31</v>
      </c>
      <c r="D2919" t="s">
        <v>4</v>
      </c>
      <c r="E2919" t="e">
        <f>VLOOKUP(Cpi_[[#This Row],[Attribute]],#REF!,2,FALSE)</f>
        <v>#REF!</v>
      </c>
      <c r="F2919">
        <v>133.19999999999999</v>
      </c>
      <c r="G2919">
        <f>(Cpi_[[#This Row],[Value]]-F2918)/F2918</f>
        <v>5.0473186119873753E-2</v>
      </c>
      <c r="H2919" t="e" cm="1" vm="1">
        <f t="array" aca="1" ref="H2919" ca="1">VLOOKUP(Cpi_[[#This Row],[Year]:[Month]],crudeoil[],3,FALSE)</f>
        <v>#VALUE!</v>
      </c>
    </row>
    <row r="2920" spans="1:8" hidden="1" x14ac:dyDescent="0.3">
      <c r="A2920" t="s">
        <v>30</v>
      </c>
      <c r="B2920">
        <v>2016</v>
      </c>
      <c r="C2920" t="s">
        <v>31</v>
      </c>
      <c r="D2920" t="s">
        <v>5</v>
      </c>
      <c r="E2920" t="e">
        <f>VLOOKUP(Cpi_[[#This Row],[Attribute]],#REF!,2,FALSE)</f>
        <v>#REF!</v>
      </c>
      <c r="F2920">
        <v>126.5</v>
      </c>
      <c r="G2920">
        <f>(Cpi_[[#This Row],[Value]]-F2919)/F2919</f>
        <v>-5.0300300300300221E-2</v>
      </c>
      <c r="H2920" t="e" cm="1" vm="1">
        <f t="array" aca="1" ref="H2920" ca="1">VLOOKUP(Cpi_[[#This Row],[Year]:[Month]],crudeoil[],3,FALSE)</f>
        <v>#VALUE!</v>
      </c>
    </row>
    <row r="2921" spans="1:8" hidden="1" x14ac:dyDescent="0.3">
      <c r="A2921" t="s">
        <v>30</v>
      </c>
      <c r="B2921">
        <v>2016</v>
      </c>
      <c r="C2921" t="s">
        <v>31</v>
      </c>
      <c r="D2921" t="s">
        <v>6</v>
      </c>
      <c r="E2921" t="e">
        <f>VLOOKUP(Cpi_[[#This Row],[Attribute]],#REF!,2,FALSE)</f>
        <v>#REF!</v>
      </c>
      <c r="F2921">
        <v>130.30000000000001</v>
      </c>
      <c r="G2921">
        <f>(Cpi_[[#This Row],[Value]]-F2920)/F2920</f>
        <v>3.0039525691699695E-2</v>
      </c>
      <c r="H2921" t="e" cm="1" vm="1">
        <f t="array" aca="1" ref="H2921" ca="1">VLOOKUP(Cpi_[[#This Row],[Year]:[Month]],crudeoil[],3,FALSE)</f>
        <v>#VALUE!</v>
      </c>
    </row>
    <row r="2922" spans="1:8" hidden="1" x14ac:dyDescent="0.3">
      <c r="A2922" t="s">
        <v>30</v>
      </c>
      <c r="B2922">
        <v>2016</v>
      </c>
      <c r="C2922" t="s">
        <v>31</v>
      </c>
      <c r="D2922" t="s">
        <v>7</v>
      </c>
      <c r="E2922" t="e">
        <f>VLOOKUP(Cpi_[[#This Row],[Attribute]],#REF!,2,FALSE)</f>
        <v>#REF!</v>
      </c>
      <c r="F2922">
        <v>118.9</v>
      </c>
      <c r="G2922">
        <f>(Cpi_[[#This Row],[Value]]-F2921)/F2921</f>
        <v>-8.7490406753645472E-2</v>
      </c>
      <c r="H2922" t="e" cm="1" vm="1">
        <f t="array" aca="1" ref="H2922" ca="1">VLOOKUP(Cpi_[[#This Row],[Year]:[Month]],crudeoil[],3,FALSE)</f>
        <v>#VALUE!</v>
      </c>
    </row>
    <row r="2923" spans="1:8" hidden="1" x14ac:dyDescent="0.3">
      <c r="A2923" t="s">
        <v>30</v>
      </c>
      <c r="B2923">
        <v>2016</v>
      </c>
      <c r="C2923" t="s">
        <v>31</v>
      </c>
      <c r="D2923" t="s">
        <v>8</v>
      </c>
      <c r="E2923" t="e">
        <f>VLOOKUP(Cpi_[[#This Row],[Attribute]],#REF!,2,FALSE)</f>
        <v>#REF!</v>
      </c>
      <c r="F2923">
        <v>131.6</v>
      </c>
      <c r="G2923">
        <f>(Cpi_[[#This Row],[Value]]-F2922)/F2922</f>
        <v>0.10681244743481907</v>
      </c>
      <c r="H2923" t="e" cm="1" vm="1">
        <f t="array" aca="1" ref="H2923" ca="1">VLOOKUP(Cpi_[[#This Row],[Year]:[Month]],crudeoil[],3,FALSE)</f>
        <v>#VALUE!</v>
      </c>
    </row>
    <row r="2924" spans="1:8" hidden="1" x14ac:dyDescent="0.3">
      <c r="A2924" t="s">
        <v>30</v>
      </c>
      <c r="B2924">
        <v>2016</v>
      </c>
      <c r="C2924" t="s">
        <v>31</v>
      </c>
      <c r="D2924" t="s">
        <v>9</v>
      </c>
      <c r="E2924" t="e">
        <f>VLOOKUP(Cpi_[[#This Row],[Attribute]],#REF!,2,FALSE)</f>
        <v>#REF!</v>
      </c>
      <c r="F2924">
        <v>140.1</v>
      </c>
      <c r="G2924">
        <f>(Cpi_[[#This Row],[Value]]-F2923)/F2923</f>
        <v>6.4589665653495443E-2</v>
      </c>
      <c r="H2924" t="e" cm="1" vm="1">
        <f t="array" aca="1" ref="H2924" ca="1">VLOOKUP(Cpi_[[#This Row],[Year]:[Month]],crudeoil[],3,FALSE)</f>
        <v>#VALUE!</v>
      </c>
    </row>
    <row r="2925" spans="1:8" hidden="1" x14ac:dyDescent="0.3">
      <c r="A2925" t="s">
        <v>30</v>
      </c>
      <c r="B2925">
        <v>2016</v>
      </c>
      <c r="C2925" t="s">
        <v>31</v>
      </c>
      <c r="D2925" t="s">
        <v>10</v>
      </c>
      <c r="E2925" t="e">
        <f>VLOOKUP(Cpi_[[#This Row],[Attribute]],#REF!,2,FALSE)</f>
        <v>#REF!</v>
      </c>
      <c r="F2925">
        <v>163.80000000000001</v>
      </c>
      <c r="G2925">
        <f>(Cpi_[[#This Row],[Value]]-F2924)/F2924</f>
        <v>0.16916488222698087</v>
      </c>
      <c r="H2925" t="e" cm="1" vm="1">
        <f t="array" aca="1" ref="H2925" ca="1">VLOOKUP(Cpi_[[#This Row],[Year]:[Month]],crudeoil[],3,FALSE)</f>
        <v>#VALUE!</v>
      </c>
    </row>
    <row r="2926" spans="1:8" hidden="1" x14ac:dyDescent="0.3">
      <c r="A2926" t="s">
        <v>30</v>
      </c>
      <c r="B2926">
        <v>2016</v>
      </c>
      <c r="C2926" t="s">
        <v>31</v>
      </c>
      <c r="D2926" t="s">
        <v>11</v>
      </c>
      <c r="E2926" t="e">
        <f>VLOOKUP(Cpi_[[#This Row],[Attribute]],#REF!,2,FALSE)</f>
        <v>#REF!</v>
      </c>
      <c r="F2926">
        <v>97.7</v>
      </c>
      <c r="G2926">
        <f>(Cpi_[[#This Row],[Value]]-F2925)/F2925</f>
        <v>-0.40354090354090355</v>
      </c>
      <c r="H2926" t="e" cm="1" vm="1">
        <f t="array" aca="1" ref="H2926" ca="1">VLOOKUP(Cpi_[[#This Row],[Year]:[Month]],crudeoil[],3,FALSE)</f>
        <v>#VALUE!</v>
      </c>
    </row>
    <row r="2927" spans="1:8" hidden="1" x14ac:dyDescent="0.3">
      <c r="A2927" t="s">
        <v>30</v>
      </c>
      <c r="B2927">
        <v>2016</v>
      </c>
      <c r="C2927" t="s">
        <v>31</v>
      </c>
      <c r="D2927" t="s">
        <v>12</v>
      </c>
      <c r="E2927" t="e">
        <f>VLOOKUP(Cpi_[[#This Row],[Attribute]],#REF!,2,FALSE)</f>
        <v>#REF!</v>
      </c>
      <c r="F2927">
        <v>129.6</v>
      </c>
      <c r="G2927">
        <f>(Cpi_[[#This Row],[Value]]-F2926)/F2926</f>
        <v>0.32650972364380748</v>
      </c>
      <c r="H2927" t="e" cm="1" vm="1">
        <f t="array" aca="1" ref="H2927" ca="1">VLOOKUP(Cpi_[[#This Row],[Year]:[Month]],crudeoil[],3,FALSE)</f>
        <v>#VALUE!</v>
      </c>
    </row>
    <row r="2928" spans="1:8" hidden="1" x14ac:dyDescent="0.3">
      <c r="A2928" t="s">
        <v>30</v>
      </c>
      <c r="B2928">
        <v>2016</v>
      </c>
      <c r="C2928" t="s">
        <v>31</v>
      </c>
      <c r="D2928" t="s">
        <v>13</v>
      </c>
      <c r="E2928" t="e">
        <f>VLOOKUP(Cpi_[[#This Row],[Attribute]],#REF!,2,FALSE)</f>
        <v>#REF!</v>
      </c>
      <c r="F2928">
        <v>124.3</v>
      </c>
      <c r="G2928">
        <f>(Cpi_[[#This Row],[Value]]-F2927)/F2927</f>
        <v>-4.0895061728395042E-2</v>
      </c>
      <c r="H2928" t="e" cm="1" vm="1">
        <f t="array" aca="1" ref="H2928" ca="1">VLOOKUP(Cpi_[[#This Row],[Year]:[Month]],crudeoil[],3,FALSE)</f>
        <v>#VALUE!</v>
      </c>
    </row>
    <row r="2929" spans="1:8" hidden="1" x14ac:dyDescent="0.3">
      <c r="A2929" t="s">
        <v>30</v>
      </c>
      <c r="B2929">
        <v>2016</v>
      </c>
      <c r="C2929" t="s">
        <v>31</v>
      </c>
      <c r="D2929" t="s">
        <v>14</v>
      </c>
      <c r="E2929" t="e">
        <f>VLOOKUP(Cpi_[[#This Row],[Attribute]],#REF!,2,FALSE)</f>
        <v>#REF!</v>
      </c>
      <c r="F2929">
        <v>135.9</v>
      </c>
      <c r="G2929">
        <f>(Cpi_[[#This Row],[Value]]-F2928)/F2928</f>
        <v>9.3322606596942956E-2</v>
      </c>
      <c r="H2929" t="e" cm="1" vm="1">
        <f t="array" aca="1" ref="H2929" ca="1">VLOOKUP(Cpi_[[#This Row],[Year]:[Month]],crudeoil[],3,FALSE)</f>
        <v>#VALUE!</v>
      </c>
    </row>
    <row r="2930" spans="1:8" hidden="1" x14ac:dyDescent="0.3">
      <c r="A2930" t="s">
        <v>30</v>
      </c>
      <c r="B2930">
        <v>2016</v>
      </c>
      <c r="C2930" t="s">
        <v>31</v>
      </c>
      <c r="D2930" t="s">
        <v>15</v>
      </c>
      <c r="E2930" t="e">
        <f>VLOOKUP(Cpi_[[#This Row],[Attribute]],#REF!,2,FALSE)</f>
        <v>#REF!</v>
      </c>
      <c r="F2930">
        <v>131.4</v>
      </c>
      <c r="G2930">
        <f>(Cpi_[[#This Row],[Value]]-F2929)/F2929</f>
        <v>-3.3112582781456949E-2</v>
      </c>
      <c r="H2930" t="e" cm="1" vm="1">
        <f t="array" aca="1" ref="H2930" ca="1">VLOOKUP(Cpi_[[#This Row],[Year]:[Month]],crudeoil[],3,FALSE)</f>
        <v>#VALUE!</v>
      </c>
    </row>
    <row r="2931" spans="1:8" hidden="1" x14ac:dyDescent="0.3">
      <c r="A2931" t="s">
        <v>30</v>
      </c>
      <c r="B2931">
        <v>2016</v>
      </c>
      <c r="C2931" t="s">
        <v>31</v>
      </c>
      <c r="D2931" t="s">
        <v>16</v>
      </c>
      <c r="E2931" t="e">
        <f>VLOOKUP(Cpi_[[#This Row],[Attribute]],#REF!,2,FALSE)</f>
        <v>#REF!</v>
      </c>
      <c r="F2931">
        <v>133.6</v>
      </c>
      <c r="G2931">
        <f>(Cpi_[[#This Row],[Value]]-F2930)/F2930</f>
        <v>1.6742770167427614E-2</v>
      </c>
      <c r="H2931" t="e" cm="1" vm="1">
        <f t="array" aca="1" ref="H2931" ca="1">VLOOKUP(Cpi_[[#This Row],[Year]:[Month]],crudeoil[],3,FALSE)</f>
        <v>#VALUE!</v>
      </c>
    </row>
    <row r="2932" spans="1:8" hidden="1" x14ac:dyDescent="0.3">
      <c r="A2932" t="s">
        <v>30</v>
      </c>
      <c r="B2932">
        <v>2016</v>
      </c>
      <c r="C2932" t="s">
        <v>31</v>
      </c>
      <c r="D2932" t="s">
        <v>17</v>
      </c>
      <c r="E2932" t="e">
        <f>VLOOKUP(Cpi_[[#This Row],[Attribute]],#REF!,2,FALSE)</f>
        <v>#REF!</v>
      </c>
      <c r="F2932">
        <v>133.19999999999999</v>
      </c>
      <c r="G2932">
        <f>(Cpi_[[#This Row],[Value]]-F2931)/F2931</f>
        <v>-2.9940119760479469E-3</v>
      </c>
      <c r="H2932" t="e" cm="1" vm="1">
        <f t="array" aca="1" ref="H2932" ca="1">VLOOKUP(Cpi_[[#This Row],[Year]:[Month]],crudeoil[],3,FALSE)</f>
        <v>#VALUE!</v>
      </c>
    </row>
    <row r="2933" spans="1:8" hidden="1" x14ac:dyDescent="0.3">
      <c r="A2933" t="s">
        <v>30</v>
      </c>
      <c r="B2933">
        <v>2016</v>
      </c>
      <c r="C2933" t="s">
        <v>31</v>
      </c>
      <c r="D2933" t="s">
        <v>18</v>
      </c>
      <c r="E2933" t="e">
        <f>VLOOKUP(Cpi_[[#This Row],[Attribute]],#REF!,2,FALSE)</f>
        <v>#REF!</v>
      </c>
      <c r="F2933">
        <v>128.9</v>
      </c>
      <c r="G2933">
        <f>(Cpi_[[#This Row],[Value]]-F2932)/F2932</f>
        <v>-3.2282282282282158E-2</v>
      </c>
      <c r="H2933" t="e" cm="1" vm="1">
        <f t="array" aca="1" ref="H2933" ca="1">VLOOKUP(Cpi_[[#This Row],[Year]:[Month]],crudeoil[],3,FALSE)</f>
        <v>#VALUE!</v>
      </c>
    </row>
    <row r="2934" spans="1:8" hidden="1" x14ac:dyDescent="0.3">
      <c r="A2934" t="s">
        <v>30</v>
      </c>
      <c r="B2934">
        <v>2016</v>
      </c>
      <c r="C2934" t="s">
        <v>31</v>
      </c>
      <c r="D2934" t="s">
        <v>19</v>
      </c>
      <c r="E2934" t="e">
        <f>VLOOKUP(Cpi_[[#This Row],[Attribute]],#REF!,2,FALSE)</f>
        <v>#REF!</v>
      </c>
      <c r="F2934">
        <v>132.6</v>
      </c>
      <c r="G2934">
        <f>(Cpi_[[#This Row],[Value]]-F2933)/F2933</f>
        <v>2.8704422032583308E-2</v>
      </c>
      <c r="H2934" t="e" cm="1" vm="1">
        <f t="array" aca="1" ref="H2934" ca="1">VLOOKUP(Cpi_[[#This Row],[Year]:[Month]],crudeoil[],3,FALSE)</f>
        <v>#VALUE!</v>
      </c>
    </row>
    <row r="2935" spans="1:8" hidden="1" x14ac:dyDescent="0.3">
      <c r="A2935" t="s">
        <v>30</v>
      </c>
      <c r="B2935">
        <v>2016</v>
      </c>
      <c r="C2935" t="s">
        <v>31</v>
      </c>
      <c r="D2935" t="s">
        <v>20</v>
      </c>
      <c r="E2935" t="e">
        <f>VLOOKUP(Cpi_[[#This Row],[Attribute]],#REF!,2,FALSE)</f>
        <v>#REF!</v>
      </c>
      <c r="F2935" t="s">
        <v>32</v>
      </c>
      <c r="G2935" t="e">
        <f>(Cpi_[[#This Row],[Value]]-F2934)/F2934</f>
        <v>#VALUE!</v>
      </c>
      <c r="H2935" t="e" cm="1" vm="1">
        <f t="array" aca="1" ref="H2935" ca="1">VLOOKUP(Cpi_[[#This Row],[Year]:[Month]],crudeoil[],3,FALSE)</f>
        <v>#VALUE!</v>
      </c>
    </row>
    <row r="2936" spans="1:8" hidden="1" x14ac:dyDescent="0.3">
      <c r="A2936" t="s">
        <v>30</v>
      </c>
      <c r="B2936">
        <v>2016</v>
      </c>
      <c r="C2936" t="s">
        <v>31</v>
      </c>
      <c r="D2936" t="s">
        <v>21</v>
      </c>
      <c r="E2936" t="e">
        <f>VLOOKUP(Cpi_[[#This Row],[Attribute]],#REF!,2,FALSE)</f>
        <v>#REF!</v>
      </c>
      <c r="F2936">
        <v>126.2</v>
      </c>
      <c r="G2936" t="e">
        <f>(Cpi_[[#This Row],[Value]]-F2935)/F2935</f>
        <v>#VALUE!</v>
      </c>
      <c r="H2936" t="e" cm="1" vm="1">
        <f t="array" aca="1" ref="H2936" ca="1">VLOOKUP(Cpi_[[#This Row],[Year]:[Month]],crudeoil[],3,FALSE)</f>
        <v>#VALUE!</v>
      </c>
    </row>
    <row r="2937" spans="1:8" hidden="1" x14ac:dyDescent="0.3">
      <c r="A2937" t="s">
        <v>30</v>
      </c>
      <c r="B2937">
        <v>2016</v>
      </c>
      <c r="C2937" t="s">
        <v>31</v>
      </c>
      <c r="D2937" t="s">
        <v>22</v>
      </c>
      <c r="E2937" t="e">
        <f>VLOOKUP(Cpi_[[#This Row],[Attribute]],#REF!,2,FALSE)</f>
        <v>#REF!</v>
      </c>
      <c r="F2937">
        <v>126.6</v>
      </c>
      <c r="G2937">
        <f>(Cpi_[[#This Row],[Value]]-F2936)/F2936</f>
        <v>3.1695721077653841E-3</v>
      </c>
      <c r="H2937" t="e" cm="1" vm="1">
        <f t="array" aca="1" ref="H2937" ca="1">VLOOKUP(Cpi_[[#This Row],[Year]:[Month]],crudeoil[],3,FALSE)</f>
        <v>#VALUE!</v>
      </c>
    </row>
    <row r="2938" spans="1:8" hidden="1" x14ac:dyDescent="0.3">
      <c r="A2938" t="s">
        <v>30</v>
      </c>
      <c r="B2938">
        <v>2016</v>
      </c>
      <c r="C2938" t="s">
        <v>31</v>
      </c>
      <c r="D2938" t="s">
        <v>23</v>
      </c>
      <c r="E2938" t="e">
        <f>VLOOKUP(Cpi_[[#This Row],[Attribute]],#REF!,2,FALSE)</f>
        <v>#REF!</v>
      </c>
      <c r="F2938">
        <v>123.7</v>
      </c>
      <c r="G2938">
        <f>(Cpi_[[#This Row],[Value]]-F2937)/F2937</f>
        <v>-2.2906793048973077E-2</v>
      </c>
      <c r="H2938" t="e" cm="1" vm="1">
        <f t="array" aca="1" ref="H2938" ca="1">VLOOKUP(Cpi_[[#This Row],[Year]:[Month]],crudeoil[],3,FALSE)</f>
        <v>#VALUE!</v>
      </c>
    </row>
    <row r="2939" spans="1:8" hidden="1" x14ac:dyDescent="0.3">
      <c r="A2939" t="s">
        <v>30</v>
      </c>
      <c r="B2939">
        <v>2016</v>
      </c>
      <c r="C2939" t="s">
        <v>31</v>
      </c>
      <c r="D2939" t="s">
        <v>24</v>
      </c>
      <c r="E2939" t="e">
        <f>VLOOKUP(Cpi_[[#This Row],[Attribute]],#REF!,2,FALSE)</f>
        <v>#REF!</v>
      </c>
      <c r="F2939">
        <v>113.6</v>
      </c>
      <c r="G2939">
        <f>(Cpi_[[#This Row],[Value]]-F2938)/F2938</f>
        <v>-8.1649151172190848E-2</v>
      </c>
      <c r="H2939" t="e" cm="1" vm="1">
        <f t="array" aca="1" ref="H2939" ca="1">VLOOKUP(Cpi_[[#This Row],[Year]:[Month]],crudeoil[],3,FALSE)</f>
        <v>#VALUE!</v>
      </c>
    </row>
    <row r="2940" spans="1:8" hidden="1" x14ac:dyDescent="0.3">
      <c r="A2940" t="s">
        <v>30</v>
      </c>
      <c r="B2940">
        <v>2016</v>
      </c>
      <c r="C2940" t="s">
        <v>31</v>
      </c>
      <c r="D2940" t="s">
        <v>25</v>
      </c>
      <c r="E2940" t="e">
        <f>VLOOKUP(Cpi_[[#This Row],[Attribute]],#REF!,2,FALSE)</f>
        <v>#REF!</v>
      </c>
      <c r="F2940">
        <v>121.4</v>
      </c>
      <c r="G2940">
        <f>(Cpi_[[#This Row],[Value]]-F2939)/F2939</f>
        <v>6.8661971830986018E-2</v>
      </c>
      <c r="H2940" t="e" cm="1" vm="1">
        <f t="array" aca="1" ref="H2940" ca="1">VLOOKUP(Cpi_[[#This Row],[Year]:[Month]],crudeoil[],3,FALSE)</f>
        <v>#VALUE!</v>
      </c>
    </row>
    <row r="2941" spans="1:8" hidden="1" x14ac:dyDescent="0.3">
      <c r="A2941" t="s">
        <v>30</v>
      </c>
      <c r="B2941">
        <v>2016</v>
      </c>
      <c r="C2941" t="s">
        <v>31</v>
      </c>
      <c r="D2941" t="s">
        <v>26</v>
      </c>
      <c r="E2941" t="e">
        <f>VLOOKUP(Cpi_[[#This Row],[Attribute]],#REF!,2,FALSE)</f>
        <v>#REF!</v>
      </c>
      <c r="F2941">
        <v>126.2</v>
      </c>
      <c r="G2941">
        <f>(Cpi_[[#This Row],[Value]]-F2940)/F2940</f>
        <v>3.9538714991762744E-2</v>
      </c>
      <c r="H2941" t="e" cm="1" vm="1">
        <f t="array" aca="1" ref="H2941" ca="1">VLOOKUP(Cpi_[[#This Row],[Year]:[Month]],crudeoil[],3,FALSE)</f>
        <v>#VALUE!</v>
      </c>
    </row>
    <row r="2942" spans="1:8" hidden="1" x14ac:dyDescent="0.3">
      <c r="A2942" t="s">
        <v>30</v>
      </c>
      <c r="B2942">
        <v>2016</v>
      </c>
      <c r="C2942" t="s">
        <v>31</v>
      </c>
      <c r="D2942" t="s">
        <v>27</v>
      </c>
      <c r="E2942" t="e">
        <f>VLOOKUP(Cpi_[[#This Row],[Attribute]],#REF!,2,FALSE)</f>
        <v>#REF!</v>
      </c>
      <c r="F2942">
        <v>114.9</v>
      </c>
      <c r="G2942">
        <f>(Cpi_[[#This Row],[Value]]-F2941)/F2941</f>
        <v>-8.954041204437399E-2</v>
      </c>
      <c r="H2942" t="e" cm="1" vm="1">
        <f t="array" aca="1" ref="H2942" ca="1">VLOOKUP(Cpi_[[#This Row],[Year]:[Month]],crudeoil[],3,FALSE)</f>
        <v>#VALUE!</v>
      </c>
    </row>
    <row r="2943" spans="1:8" hidden="1" x14ac:dyDescent="0.3">
      <c r="A2943" t="s">
        <v>30</v>
      </c>
      <c r="B2943">
        <v>2016</v>
      </c>
      <c r="C2943" t="s">
        <v>31</v>
      </c>
      <c r="D2943" t="s">
        <v>28</v>
      </c>
      <c r="E2943" t="e">
        <f>VLOOKUP(Cpi_[[#This Row],[Attribute]],#REF!,2,FALSE)</f>
        <v>#REF!</v>
      </c>
      <c r="F2943">
        <v>120.1</v>
      </c>
      <c r="G2943">
        <f>(Cpi_[[#This Row],[Value]]-F2942)/F2942</f>
        <v>4.5256744995648288E-2</v>
      </c>
      <c r="H2943" t="e" cm="1" vm="1">
        <f t="array" aca="1" ref="H2943" ca="1">VLOOKUP(Cpi_[[#This Row],[Year]:[Month]],crudeoil[],3,FALSE)</f>
        <v>#VALUE!</v>
      </c>
    </row>
    <row r="2944" spans="1:8" hidden="1" x14ac:dyDescent="0.3">
      <c r="A2944" t="s">
        <v>30</v>
      </c>
      <c r="B2944">
        <v>2016</v>
      </c>
      <c r="C2944" t="s">
        <v>31</v>
      </c>
      <c r="D2944" t="s">
        <v>29</v>
      </c>
      <c r="E2944" t="e" cm="1">
        <f t="array" aca="1" ref="E2944" ca="1">VLGeneral indexGeneral indexKUP(Cpi_[[#This Row],[Attribute]],#REF!,2,FALSE)</f>
        <v>#NAME?</v>
      </c>
      <c r="F2944">
        <v>128.1</v>
      </c>
      <c r="G2944">
        <f>(Cpi_[[#This Row],[Value]]-F2943)/F2943</f>
        <v>6.6611157368859281E-2</v>
      </c>
      <c r="H2944" t="e" cm="1" vm="1">
        <f t="array" aca="1" ref="H2944" ca="1">VLOOKUP(Cpi_[[#This Row],[Year]:[Month]],crudeoil[],3,FALSE)</f>
        <v>#VALUE!</v>
      </c>
    </row>
    <row r="2945" spans="1:8" hidden="1" x14ac:dyDescent="0.3">
      <c r="A2945" t="s">
        <v>33</v>
      </c>
      <c r="B2945">
        <v>2016</v>
      </c>
      <c r="C2945" t="s">
        <v>31</v>
      </c>
      <c r="D2945" t="s">
        <v>3</v>
      </c>
      <c r="E2945" t="e">
        <f>VLOOKUP(Cpi_[[#This Row],[Attribute]],#REF!,2,FALSE)</f>
        <v>#REF!</v>
      </c>
      <c r="F2945">
        <v>124.7</v>
      </c>
      <c r="G2945">
        <f>(Cpi_[[#This Row],[Value]]-F2944)/F2944</f>
        <v>-2.6541764246682215E-2</v>
      </c>
      <c r="H2945" t="e" cm="1" vm="1">
        <f t="array" aca="1" ref="H2945" ca="1">VLOOKUP(Cpi_[[#This Row],[Year]:[Month]],crudeoil[],3,FALSE)</f>
        <v>#VALUE!</v>
      </c>
    </row>
    <row r="2946" spans="1:8" hidden="1" x14ac:dyDescent="0.3">
      <c r="A2946" t="s">
        <v>33</v>
      </c>
      <c r="B2946">
        <v>2016</v>
      </c>
      <c r="C2946" t="s">
        <v>31</v>
      </c>
      <c r="D2946" t="s">
        <v>4</v>
      </c>
      <c r="E2946" t="e">
        <f>VLOOKUP(Cpi_[[#This Row],[Attribute]],#REF!,2,FALSE)</f>
        <v>#REF!</v>
      </c>
      <c r="F2946">
        <v>135.9</v>
      </c>
      <c r="G2946">
        <f>(Cpi_[[#This Row],[Value]]-F2945)/F2945</f>
        <v>8.9815557337610291E-2</v>
      </c>
      <c r="H2946" t="e" cm="1" vm="1">
        <f t="array" aca="1" ref="H2946" ca="1">VLOOKUP(Cpi_[[#This Row],[Year]:[Month]],crudeoil[],3,FALSE)</f>
        <v>#VALUE!</v>
      </c>
    </row>
    <row r="2947" spans="1:8" hidden="1" x14ac:dyDescent="0.3">
      <c r="A2947" t="s">
        <v>33</v>
      </c>
      <c r="B2947">
        <v>2016</v>
      </c>
      <c r="C2947" t="s">
        <v>31</v>
      </c>
      <c r="D2947" t="s">
        <v>5</v>
      </c>
      <c r="E2947" t="e">
        <f>VLOOKUP(Cpi_[[#This Row],[Attribute]],#REF!,2,FALSE)</f>
        <v>#REF!</v>
      </c>
      <c r="F2947">
        <v>132</v>
      </c>
      <c r="G2947">
        <f>(Cpi_[[#This Row],[Value]]-F2946)/F2946</f>
        <v>-2.8697571743929399E-2</v>
      </c>
      <c r="H2947" t="e" cm="1" vm="1">
        <f t="array" aca="1" ref="H2947" ca="1">VLOOKUP(Cpi_[[#This Row],[Year]:[Month]],crudeoil[],3,FALSE)</f>
        <v>#VALUE!</v>
      </c>
    </row>
    <row r="2948" spans="1:8" hidden="1" x14ac:dyDescent="0.3">
      <c r="A2948" t="s">
        <v>33</v>
      </c>
      <c r="B2948">
        <v>2016</v>
      </c>
      <c r="C2948" t="s">
        <v>31</v>
      </c>
      <c r="D2948" t="s">
        <v>6</v>
      </c>
      <c r="E2948" t="e">
        <f>VLOOKUP(Cpi_[[#This Row],[Attribute]],#REF!,2,FALSE)</f>
        <v>#REF!</v>
      </c>
      <c r="F2948">
        <v>129.19999999999999</v>
      </c>
      <c r="G2948">
        <f>(Cpi_[[#This Row],[Value]]-F2947)/F2947</f>
        <v>-2.1212121212121297E-2</v>
      </c>
      <c r="H2948" t="e" cm="1" vm="1">
        <f t="array" aca="1" ref="H2948" ca="1">VLOOKUP(Cpi_[[#This Row],[Year]:[Month]],crudeoil[],3,FALSE)</f>
        <v>#VALUE!</v>
      </c>
    </row>
    <row r="2949" spans="1:8" hidden="1" x14ac:dyDescent="0.3">
      <c r="A2949" t="s">
        <v>33</v>
      </c>
      <c r="B2949">
        <v>2016</v>
      </c>
      <c r="C2949" t="s">
        <v>31</v>
      </c>
      <c r="D2949" t="s">
        <v>7</v>
      </c>
      <c r="E2949" t="e">
        <f>VLOOKUP(Cpi_[[#This Row],[Attribute]],#REF!,2,FALSE)</f>
        <v>#REF!</v>
      </c>
      <c r="F2949">
        <v>109.7</v>
      </c>
      <c r="G2949">
        <f>(Cpi_[[#This Row],[Value]]-F2948)/F2948</f>
        <v>-0.15092879256965935</v>
      </c>
      <c r="H2949" t="e" cm="1" vm="1">
        <f t="array" aca="1" ref="H2949" ca="1">VLOOKUP(Cpi_[[#This Row],[Year]:[Month]],crudeoil[],3,FALSE)</f>
        <v>#VALUE!</v>
      </c>
    </row>
    <row r="2950" spans="1:8" hidden="1" x14ac:dyDescent="0.3">
      <c r="A2950" t="s">
        <v>33</v>
      </c>
      <c r="B2950">
        <v>2016</v>
      </c>
      <c r="C2950" t="s">
        <v>31</v>
      </c>
      <c r="D2950" t="s">
        <v>8</v>
      </c>
      <c r="E2950" t="e">
        <f>VLOOKUP(Cpi_[[#This Row],[Attribute]],#REF!,2,FALSE)</f>
        <v>#REF!</v>
      </c>
      <c r="F2950">
        <v>119</v>
      </c>
      <c r="G2950">
        <f>(Cpi_[[#This Row],[Value]]-F2949)/F2949</f>
        <v>8.4776663628076551E-2</v>
      </c>
      <c r="H2950" t="e" cm="1" vm="1">
        <f t="array" aca="1" ref="H2950" ca="1">VLOOKUP(Cpi_[[#This Row],[Year]:[Month]],crudeoil[],3,FALSE)</f>
        <v>#VALUE!</v>
      </c>
    </row>
    <row r="2951" spans="1:8" hidden="1" x14ac:dyDescent="0.3">
      <c r="A2951" t="s">
        <v>33</v>
      </c>
      <c r="B2951">
        <v>2016</v>
      </c>
      <c r="C2951" t="s">
        <v>31</v>
      </c>
      <c r="D2951" t="s">
        <v>9</v>
      </c>
      <c r="E2951" t="e">
        <f>VLOOKUP(Cpi_[[#This Row],[Attribute]],#REF!,2,FALSE)</f>
        <v>#REF!</v>
      </c>
      <c r="F2951">
        <v>144.1</v>
      </c>
      <c r="G2951">
        <f>(Cpi_[[#This Row],[Value]]-F2950)/F2950</f>
        <v>0.2109243697478991</v>
      </c>
      <c r="H2951" t="e" cm="1" vm="1">
        <f t="array" aca="1" ref="H2951" ca="1">VLOOKUP(Cpi_[[#This Row],[Year]:[Month]],crudeoil[],3,FALSE)</f>
        <v>#VALUE!</v>
      </c>
    </row>
    <row r="2952" spans="1:8" hidden="1" x14ac:dyDescent="0.3">
      <c r="A2952" t="s">
        <v>33</v>
      </c>
      <c r="B2952">
        <v>2016</v>
      </c>
      <c r="C2952" t="s">
        <v>31</v>
      </c>
      <c r="D2952" t="s">
        <v>10</v>
      </c>
      <c r="E2952" t="e">
        <f>VLOOKUP(Cpi_[[#This Row],[Attribute]],#REF!,2,FALSE)</f>
        <v>#REF!</v>
      </c>
      <c r="F2952">
        <v>184.2</v>
      </c>
      <c r="G2952">
        <f>(Cpi_[[#This Row],[Value]]-F2951)/F2951</f>
        <v>0.27827897293546144</v>
      </c>
      <c r="H2952" t="e" cm="1" vm="1">
        <f t="array" aca="1" ref="H2952" ca="1">VLOOKUP(Cpi_[[#This Row],[Year]:[Month]],crudeoil[],3,FALSE)</f>
        <v>#VALUE!</v>
      </c>
    </row>
    <row r="2953" spans="1:8" hidden="1" x14ac:dyDescent="0.3">
      <c r="A2953" t="s">
        <v>33</v>
      </c>
      <c r="B2953">
        <v>2016</v>
      </c>
      <c r="C2953" t="s">
        <v>31</v>
      </c>
      <c r="D2953" t="s">
        <v>11</v>
      </c>
      <c r="E2953" t="e">
        <f>VLOOKUP(Cpi_[[#This Row],[Attribute]],#REF!,2,FALSE)</f>
        <v>#REF!</v>
      </c>
      <c r="F2953">
        <v>96.7</v>
      </c>
      <c r="G2953">
        <f>(Cpi_[[#This Row],[Value]]-F2952)/F2952</f>
        <v>-0.47502714440825183</v>
      </c>
      <c r="H2953" t="e" cm="1" vm="1">
        <f t="array" aca="1" ref="H2953" ca="1">VLOOKUP(Cpi_[[#This Row],[Year]:[Month]],crudeoil[],3,FALSE)</f>
        <v>#VALUE!</v>
      </c>
    </row>
    <row r="2954" spans="1:8" hidden="1" x14ac:dyDescent="0.3">
      <c r="A2954" t="s">
        <v>33</v>
      </c>
      <c r="B2954">
        <v>2016</v>
      </c>
      <c r="C2954" t="s">
        <v>31</v>
      </c>
      <c r="D2954" t="s">
        <v>12</v>
      </c>
      <c r="E2954" t="e">
        <f>VLOOKUP(Cpi_[[#This Row],[Attribute]],#REF!,2,FALSE)</f>
        <v>#REF!</v>
      </c>
      <c r="F2954">
        <v>139.5</v>
      </c>
      <c r="G2954">
        <f>(Cpi_[[#This Row],[Value]]-F2953)/F2953</f>
        <v>0.44260599793174765</v>
      </c>
      <c r="H2954" t="e" cm="1" vm="1">
        <f t="array" aca="1" ref="H2954" ca="1">VLOOKUP(Cpi_[[#This Row],[Year]:[Month]],crudeoil[],3,FALSE)</f>
        <v>#VALUE!</v>
      </c>
    </row>
    <row r="2955" spans="1:8" hidden="1" x14ac:dyDescent="0.3">
      <c r="A2955" t="s">
        <v>33</v>
      </c>
      <c r="B2955">
        <v>2016</v>
      </c>
      <c r="C2955" t="s">
        <v>31</v>
      </c>
      <c r="D2955" t="s">
        <v>13</v>
      </c>
      <c r="E2955" t="e">
        <f>VLOOKUP(Cpi_[[#This Row],[Attribute]],#REF!,2,FALSE)</f>
        <v>#REF!</v>
      </c>
      <c r="F2955">
        <v>120.5</v>
      </c>
      <c r="G2955">
        <f>(Cpi_[[#This Row],[Value]]-F2954)/F2954</f>
        <v>-0.13620071684587814</v>
      </c>
      <c r="H2955" t="e" cm="1" vm="1">
        <f t="array" aca="1" ref="H2955" ca="1">VLOOKUP(Cpi_[[#This Row],[Year]:[Month]],crudeoil[],3,FALSE)</f>
        <v>#VALUE!</v>
      </c>
    </row>
    <row r="2956" spans="1:8" hidden="1" x14ac:dyDescent="0.3">
      <c r="A2956" t="s">
        <v>33</v>
      </c>
      <c r="B2956">
        <v>2016</v>
      </c>
      <c r="C2956" t="s">
        <v>31</v>
      </c>
      <c r="D2956" t="s">
        <v>14</v>
      </c>
      <c r="E2956" t="e">
        <f>VLOOKUP(Cpi_[[#This Row],[Attribute]],#REF!,2,FALSE)</f>
        <v>#REF!</v>
      </c>
      <c r="F2956">
        <v>134.69999999999999</v>
      </c>
      <c r="G2956">
        <f>(Cpi_[[#This Row],[Value]]-F2955)/F2955</f>
        <v>0.11784232365145218</v>
      </c>
      <c r="H2956" t="e" cm="1" vm="1">
        <f t="array" aca="1" ref="H2956" ca="1">VLOOKUP(Cpi_[[#This Row],[Year]:[Month]],crudeoil[],3,FALSE)</f>
        <v>#VALUE!</v>
      </c>
    </row>
    <row r="2957" spans="1:8" hidden="1" x14ac:dyDescent="0.3">
      <c r="A2957" t="s">
        <v>33</v>
      </c>
      <c r="B2957">
        <v>2016</v>
      </c>
      <c r="C2957" t="s">
        <v>31</v>
      </c>
      <c r="D2957" t="s">
        <v>15</v>
      </c>
      <c r="E2957" t="e">
        <f>VLOOKUP(Cpi_[[#This Row],[Attribute]],#REF!,2,FALSE)</f>
        <v>#REF!</v>
      </c>
      <c r="F2957">
        <v>131.19999999999999</v>
      </c>
      <c r="G2957">
        <f>(Cpi_[[#This Row],[Value]]-F2956)/F2956</f>
        <v>-2.5983667409057165E-2</v>
      </c>
      <c r="H2957" t="e" cm="1" vm="1">
        <f t="array" aca="1" ref="H2957" ca="1">VLOOKUP(Cpi_[[#This Row],[Year]:[Month]],crudeoil[],3,FALSE)</f>
        <v>#VALUE!</v>
      </c>
    </row>
    <row r="2958" spans="1:8" hidden="1" x14ac:dyDescent="0.3">
      <c r="A2958" t="s">
        <v>33</v>
      </c>
      <c r="B2958">
        <v>2016</v>
      </c>
      <c r="C2958" t="s">
        <v>31</v>
      </c>
      <c r="D2958" t="s">
        <v>16</v>
      </c>
      <c r="E2958" t="e">
        <f>VLOOKUP(Cpi_[[#This Row],[Attribute]],#REF!,2,FALSE)</f>
        <v>#REF!</v>
      </c>
      <c r="F2958">
        <v>139.5</v>
      </c>
      <c r="G2958">
        <f>(Cpi_[[#This Row],[Value]]-F2957)/F2957</f>
        <v>6.3262195121951317E-2</v>
      </c>
      <c r="H2958" t="e" cm="1" vm="1">
        <f t="array" aca="1" ref="H2958" ca="1">VLOOKUP(Cpi_[[#This Row],[Year]:[Month]],crudeoil[],3,FALSE)</f>
        <v>#VALUE!</v>
      </c>
    </row>
    <row r="2959" spans="1:8" hidden="1" x14ac:dyDescent="0.3">
      <c r="A2959" t="s">
        <v>33</v>
      </c>
      <c r="B2959">
        <v>2016</v>
      </c>
      <c r="C2959" t="s">
        <v>31</v>
      </c>
      <c r="D2959" t="s">
        <v>17</v>
      </c>
      <c r="E2959" t="e">
        <f>VLOOKUP(Cpi_[[#This Row],[Attribute]],#REF!,2,FALSE)</f>
        <v>#REF!</v>
      </c>
      <c r="F2959">
        <v>125.8</v>
      </c>
      <c r="G2959">
        <f>(Cpi_[[#This Row],[Value]]-F2958)/F2958</f>
        <v>-9.8207885304659515E-2</v>
      </c>
      <c r="H2959" t="e" cm="1" vm="1">
        <f t="array" aca="1" ref="H2959" ca="1">VLOOKUP(Cpi_[[#This Row],[Year]:[Month]],crudeoil[],3,FALSE)</f>
        <v>#VALUE!</v>
      </c>
    </row>
    <row r="2960" spans="1:8" hidden="1" x14ac:dyDescent="0.3">
      <c r="A2960" t="s">
        <v>33</v>
      </c>
      <c r="B2960">
        <v>2016</v>
      </c>
      <c r="C2960" t="s">
        <v>31</v>
      </c>
      <c r="D2960" t="s">
        <v>18</v>
      </c>
      <c r="E2960" t="e">
        <f>VLOOKUP(Cpi_[[#This Row],[Attribute]],#REF!,2,FALSE)</f>
        <v>#REF!</v>
      </c>
      <c r="F2960">
        <v>119.8</v>
      </c>
      <c r="G2960">
        <f>(Cpi_[[#This Row],[Value]]-F2959)/F2959</f>
        <v>-4.7694753577106522E-2</v>
      </c>
      <c r="H2960" t="e" cm="1" vm="1">
        <f t="array" aca="1" ref="H2960" ca="1">VLOOKUP(Cpi_[[#This Row],[Year]:[Month]],crudeoil[],3,FALSE)</f>
        <v>#VALUE!</v>
      </c>
    </row>
    <row r="2961" spans="1:8" hidden="1" x14ac:dyDescent="0.3">
      <c r="A2961" t="s">
        <v>33</v>
      </c>
      <c r="B2961">
        <v>2016</v>
      </c>
      <c r="C2961" t="s">
        <v>31</v>
      </c>
      <c r="D2961" t="s">
        <v>19</v>
      </c>
      <c r="E2961" t="e">
        <f>VLOOKUP(Cpi_[[#This Row],[Attribute]],#REF!,2,FALSE)</f>
        <v>#REF!</v>
      </c>
      <c r="F2961">
        <v>124.9</v>
      </c>
      <c r="G2961">
        <f>(Cpi_[[#This Row],[Value]]-F2960)/F2960</f>
        <v>4.25709515859767E-2</v>
      </c>
      <c r="H2961" t="e" cm="1" vm="1">
        <f t="array" aca="1" ref="H2961" ca="1">VLOOKUP(Cpi_[[#This Row],[Year]:[Month]],crudeoil[],3,FALSE)</f>
        <v>#VALUE!</v>
      </c>
    </row>
    <row r="2962" spans="1:8" hidden="1" x14ac:dyDescent="0.3">
      <c r="A2962" t="s">
        <v>33</v>
      </c>
      <c r="B2962">
        <v>2016</v>
      </c>
      <c r="C2962" t="s">
        <v>31</v>
      </c>
      <c r="D2962" t="s">
        <v>20</v>
      </c>
      <c r="E2962" t="e">
        <f>VLOOKUP(Cpi_[[#This Row],[Attribute]],#REF!,2,FALSE)</f>
        <v>#REF!</v>
      </c>
      <c r="F2962">
        <v>123.4</v>
      </c>
      <c r="G2962">
        <f>(Cpi_[[#This Row],[Value]]-F2961)/F2961</f>
        <v>-1.2009607686148919E-2</v>
      </c>
      <c r="H2962" t="e" cm="1" vm="1">
        <f t="array" aca="1" ref="H2962" ca="1">VLOOKUP(Cpi_[[#This Row],[Year]:[Month]],crudeoil[],3,FALSE)</f>
        <v>#VALUE!</v>
      </c>
    </row>
    <row r="2963" spans="1:8" hidden="1" x14ac:dyDescent="0.3">
      <c r="A2963" t="s">
        <v>33</v>
      </c>
      <c r="B2963">
        <v>2016</v>
      </c>
      <c r="C2963" t="s">
        <v>31</v>
      </c>
      <c r="D2963" t="s">
        <v>21</v>
      </c>
      <c r="E2963" t="e">
        <f>VLOOKUP(Cpi_[[#This Row],[Attribute]],#REF!,2,FALSE)</f>
        <v>#REF!</v>
      </c>
      <c r="F2963">
        <v>116.9</v>
      </c>
      <c r="G2963">
        <f>(Cpi_[[#This Row],[Value]]-F2962)/F2962</f>
        <v>-5.2674230145867099E-2</v>
      </c>
      <c r="H2963" t="e" cm="1" vm="1">
        <f t="array" aca="1" ref="H2963" ca="1">VLOOKUP(Cpi_[[#This Row],[Year]:[Month]],crudeoil[],3,FALSE)</f>
        <v>#VALUE!</v>
      </c>
    </row>
    <row r="2964" spans="1:8" hidden="1" x14ac:dyDescent="0.3">
      <c r="A2964" t="s">
        <v>33</v>
      </c>
      <c r="B2964">
        <v>2016</v>
      </c>
      <c r="C2964" t="s">
        <v>31</v>
      </c>
      <c r="D2964" t="s">
        <v>22</v>
      </c>
      <c r="E2964" t="e">
        <f>VLOOKUP(Cpi_[[#This Row],[Attribute]],#REF!,2,FALSE)</f>
        <v>#REF!</v>
      </c>
      <c r="F2964">
        <v>121.6</v>
      </c>
      <c r="G2964">
        <f>(Cpi_[[#This Row],[Value]]-F2963)/F2963</f>
        <v>4.0205303678357472E-2</v>
      </c>
      <c r="H2964" t="e" cm="1" vm="1">
        <f t="array" aca="1" ref="H2964" ca="1">VLOOKUP(Cpi_[[#This Row],[Year]:[Month]],crudeoil[],3,FALSE)</f>
        <v>#VALUE!</v>
      </c>
    </row>
    <row r="2965" spans="1:8" hidden="1" x14ac:dyDescent="0.3">
      <c r="A2965" t="s">
        <v>33</v>
      </c>
      <c r="B2965">
        <v>2016</v>
      </c>
      <c r="C2965" t="s">
        <v>31</v>
      </c>
      <c r="D2965" t="s">
        <v>23</v>
      </c>
      <c r="E2965" t="e">
        <f>VLOOKUP(Cpi_[[#This Row],[Attribute]],#REF!,2,FALSE)</f>
        <v>#REF!</v>
      </c>
      <c r="F2965">
        <v>119.1</v>
      </c>
      <c r="G2965">
        <f>(Cpi_[[#This Row],[Value]]-F2964)/F2964</f>
        <v>-2.0559210526315791E-2</v>
      </c>
      <c r="H2965" t="e" cm="1" vm="1">
        <f t="array" aca="1" ref="H2965" ca="1">VLOOKUP(Cpi_[[#This Row],[Year]:[Month]],crudeoil[],3,FALSE)</f>
        <v>#VALUE!</v>
      </c>
    </row>
    <row r="2966" spans="1:8" hidden="1" x14ac:dyDescent="0.3">
      <c r="A2966" t="s">
        <v>33</v>
      </c>
      <c r="B2966">
        <v>2016</v>
      </c>
      <c r="C2966" t="s">
        <v>31</v>
      </c>
      <c r="D2966" t="s">
        <v>24</v>
      </c>
      <c r="E2966" t="e">
        <f>VLOOKUP(Cpi_[[#This Row],[Attribute]],#REF!,2,FALSE)</f>
        <v>#REF!</v>
      </c>
      <c r="F2966">
        <v>108.9</v>
      </c>
      <c r="G2966">
        <f>(Cpi_[[#This Row],[Value]]-F2965)/F2965</f>
        <v>-8.5642317380352551E-2</v>
      </c>
      <c r="H2966" t="e" cm="1" vm="1">
        <f t="array" aca="1" ref="H2966" ca="1">VLOOKUP(Cpi_[[#This Row],[Year]:[Month]],crudeoil[],3,FALSE)</f>
        <v>#VALUE!</v>
      </c>
    </row>
    <row r="2967" spans="1:8" hidden="1" x14ac:dyDescent="0.3">
      <c r="A2967" t="s">
        <v>33</v>
      </c>
      <c r="B2967">
        <v>2016</v>
      </c>
      <c r="C2967" t="s">
        <v>31</v>
      </c>
      <c r="D2967" t="s">
        <v>25</v>
      </c>
      <c r="E2967" t="e">
        <f>VLOOKUP(Cpi_[[#This Row],[Attribute]],#REF!,2,FALSE)</f>
        <v>#REF!</v>
      </c>
      <c r="F2967">
        <v>118.5</v>
      </c>
      <c r="G2967">
        <f>(Cpi_[[#This Row],[Value]]-F2966)/F2966</f>
        <v>8.8154269972451738E-2</v>
      </c>
      <c r="H2967" t="e" cm="1" vm="1">
        <f t="array" aca="1" ref="H2967" ca="1">VLOOKUP(Cpi_[[#This Row],[Year]:[Month]],crudeoil[],3,FALSE)</f>
        <v>#VALUE!</v>
      </c>
    </row>
    <row r="2968" spans="1:8" hidden="1" x14ac:dyDescent="0.3">
      <c r="A2968" t="s">
        <v>33</v>
      </c>
      <c r="B2968">
        <v>2016</v>
      </c>
      <c r="C2968" t="s">
        <v>31</v>
      </c>
      <c r="D2968" t="s">
        <v>26</v>
      </c>
      <c r="E2968" t="e">
        <f>VLOOKUP(Cpi_[[#This Row],[Attribute]],#REF!,2,FALSE)</f>
        <v>#REF!</v>
      </c>
      <c r="F2968">
        <v>126.4</v>
      </c>
      <c r="G2968">
        <f>(Cpi_[[#This Row],[Value]]-F2967)/F2967</f>
        <v>6.6666666666666721E-2</v>
      </c>
      <c r="H2968" t="e" cm="1" vm="1">
        <f t="array" aca="1" ref="H2968" ca="1">VLOOKUP(Cpi_[[#This Row],[Year]:[Month]],crudeoil[],3,FALSE)</f>
        <v>#VALUE!</v>
      </c>
    </row>
    <row r="2969" spans="1:8" hidden="1" x14ac:dyDescent="0.3">
      <c r="A2969" t="s">
        <v>33</v>
      </c>
      <c r="B2969">
        <v>2016</v>
      </c>
      <c r="C2969" t="s">
        <v>31</v>
      </c>
      <c r="D2969" t="s">
        <v>27</v>
      </c>
      <c r="E2969" t="e">
        <f>VLOOKUP(Cpi_[[#This Row],[Attribute]],#REF!,2,FALSE)</f>
        <v>#REF!</v>
      </c>
      <c r="F2969">
        <v>114</v>
      </c>
      <c r="G2969">
        <f>(Cpi_[[#This Row],[Value]]-F2968)/F2968</f>
        <v>-9.8101265822784847E-2</v>
      </c>
      <c r="H2969" t="e" cm="1" vm="1">
        <f t="array" aca="1" ref="H2969" ca="1">VLOOKUP(Cpi_[[#This Row],[Year]:[Month]],crudeoil[],3,FALSE)</f>
        <v>#VALUE!</v>
      </c>
    </row>
    <row r="2970" spans="1:8" hidden="1" x14ac:dyDescent="0.3">
      <c r="A2970" t="s">
        <v>33</v>
      </c>
      <c r="B2970">
        <v>2016</v>
      </c>
      <c r="C2970" t="s">
        <v>31</v>
      </c>
      <c r="D2970" t="s">
        <v>28</v>
      </c>
      <c r="E2970" t="e">
        <f>VLOOKUP(Cpi_[[#This Row],[Attribute]],#REF!,2,FALSE)</f>
        <v>#REF!</v>
      </c>
      <c r="F2970">
        <v>116.8</v>
      </c>
      <c r="G2970">
        <f>(Cpi_[[#This Row],[Value]]-F2969)/F2969</f>
        <v>2.4561403508771906E-2</v>
      </c>
      <c r="H2970" t="e" cm="1" vm="1">
        <f t="array" aca="1" ref="H2970" ca="1">VLOOKUP(Cpi_[[#This Row],[Year]:[Month]],crudeoil[],3,FALSE)</f>
        <v>#VALUE!</v>
      </c>
    </row>
    <row r="2971" spans="1:8" hidden="1" x14ac:dyDescent="0.3">
      <c r="A2971" t="s">
        <v>33</v>
      </c>
      <c r="B2971">
        <v>2016</v>
      </c>
      <c r="C2971" t="s">
        <v>31</v>
      </c>
      <c r="D2971" t="s">
        <v>29</v>
      </c>
      <c r="E2971" t="e" cm="1">
        <f t="array" aca="1" ref="E2971" ca="1">VLGeneral indexGeneral indexKUP(Cpi_[[#This Row],[Attribute]],#REF!,2,FALSE)</f>
        <v>#NAME?</v>
      </c>
      <c r="F2971">
        <v>124.2</v>
      </c>
      <c r="G2971">
        <f>(Cpi_[[#This Row],[Value]]-F2970)/F2970</f>
        <v>6.3356164383561689E-2</v>
      </c>
      <c r="H2971" t="e" cm="1" vm="1">
        <f t="array" aca="1" ref="H2971" ca="1">VLOOKUP(Cpi_[[#This Row],[Year]:[Month]],crudeoil[],3,FALSE)</f>
        <v>#VALUE!</v>
      </c>
    </row>
    <row r="2972" spans="1:8" hidden="1" x14ac:dyDescent="0.3">
      <c r="A2972" t="s">
        <v>34</v>
      </c>
      <c r="B2972">
        <v>2016</v>
      </c>
      <c r="C2972" t="s">
        <v>31</v>
      </c>
      <c r="D2972" t="s">
        <v>3</v>
      </c>
      <c r="E2972" t="e">
        <f>VLOOKUP(Cpi_[[#This Row],[Attribute]],#REF!,2,FALSE)</f>
        <v>#REF!</v>
      </c>
      <c r="F2972">
        <v>126.1</v>
      </c>
      <c r="G2972">
        <f>(Cpi_[[#This Row],[Value]]-F2971)/F2971</f>
        <v>1.5297906602254359E-2</v>
      </c>
      <c r="H2972" t="e" cm="1" vm="1">
        <f t="array" aca="1" ref="H2972" ca="1">VLOOKUP(Cpi_[[#This Row],[Year]:[Month]],crudeoil[],3,FALSE)</f>
        <v>#VALUE!</v>
      </c>
    </row>
    <row r="2973" spans="1:8" hidden="1" x14ac:dyDescent="0.3">
      <c r="A2973" t="s">
        <v>34</v>
      </c>
      <c r="B2973">
        <v>2016</v>
      </c>
      <c r="C2973" t="s">
        <v>31</v>
      </c>
      <c r="D2973" t="s">
        <v>4</v>
      </c>
      <c r="E2973" t="e">
        <f>VLOOKUP(Cpi_[[#This Row],[Attribute]],#REF!,2,FALSE)</f>
        <v>#REF!</v>
      </c>
      <c r="F2973">
        <v>134.1</v>
      </c>
      <c r="G2973">
        <f>(Cpi_[[#This Row],[Value]]-F2972)/F2972</f>
        <v>6.3441712926249005E-2</v>
      </c>
      <c r="H2973" t="e" cm="1" vm="1">
        <f t="array" aca="1" ref="H2973" ca="1">VLOOKUP(Cpi_[[#This Row],[Year]:[Month]],crudeoil[],3,FALSE)</f>
        <v>#VALUE!</v>
      </c>
    </row>
    <row r="2974" spans="1:8" hidden="1" x14ac:dyDescent="0.3">
      <c r="A2974" t="s">
        <v>34</v>
      </c>
      <c r="B2974">
        <v>2016</v>
      </c>
      <c r="C2974" t="s">
        <v>31</v>
      </c>
      <c r="D2974" t="s">
        <v>5</v>
      </c>
      <c r="E2974" t="e">
        <f>VLOOKUP(Cpi_[[#This Row],[Attribute]],#REF!,2,FALSE)</f>
        <v>#REF!</v>
      </c>
      <c r="F2974">
        <v>128.6</v>
      </c>
      <c r="G2974">
        <f>(Cpi_[[#This Row],[Value]]-F2973)/F2973</f>
        <v>-4.1014168530947054E-2</v>
      </c>
      <c r="H2974" t="e" cm="1" vm="1">
        <f t="array" aca="1" ref="H2974" ca="1">VLOOKUP(Cpi_[[#This Row],[Year]:[Month]],crudeoil[],3,FALSE)</f>
        <v>#VALUE!</v>
      </c>
    </row>
    <row r="2975" spans="1:8" hidden="1" x14ac:dyDescent="0.3">
      <c r="A2975" t="s">
        <v>34</v>
      </c>
      <c r="B2975">
        <v>2016</v>
      </c>
      <c r="C2975" t="s">
        <v>31</v>
      </c>
      <c r="D2975" t="s">
        <v>6</v>
      </c>
      <c r="E2975" t="e">
        <f>VLOOKUP(Cpi_[[#This Row],[Attribute]],#REF!,2,FALSE)</f>
        <v>#REF!</v>
      </c>
      <c r="F2975">
        <v>129.9</v>
      </c>
      <c r="G2975">
        <f>(Cpi_[[#This Row],[Value]]-F2974)/F2974</f>
        <v>1.0108864696734148E-2</v>
      </c>
      <c r="H2975" t="e" cm="1" vm="1">
        <f t="array" aca="1" ref="H2975" ca="1">VLOOKUP(Cpi_[[#This Row],[Year]:[Month]],crudeoil[],3,FALSE)</f>
        <v>#VALUE!</v>
      </c>
    </row>
    <row r="2976" spans="1:8" hidden="1" x14ac:dyDescent="0.3">
      <c r="A2976" t="s">
        <v>34</v>
      </c>
      <c r="B2976">
        <v>2016</v>
      </c>
      <c r="C2976" t="s">
        <v>31</v>
      </c>
      <c r="D2976" t="s">
        <v>7</v>
      </c>
      <c r="E2976" t="e">
        <f>VLOOKUP(Cpi_[[#This Row],[Attribute]],#REF!,2,FALSE)</f>
        <v>#REF!</v>
      </c>
      <c r="F2976">
        <v>115.5</v>
      </c>
      <c r="G2976">
        <f>(Cpi_[[#This Row],[Value]]-F2975)/F2975</f>
        <v>-0.11085450346420327</v>
      </c>
      <c r="H2976" t="e" cm="1" vm="1">
        <f t="array" aca="1" ref="H2976" ca="1">VLOOKUP(Cpi_[[#This Row],[Year]:[Month]],crudeoil[],3,FALSE)</f>
        <v>#VALUE!</v>
      </c>
    </row>
    <row r="2977" spans="1:8" hidden="1" x14ac:dyDescent="0.3">
      <c r="A2977" t="s">
        <v>34</v>
      </c>
      <c r="B2977">
        <v>2016</v>
      </c>
      <c r="C2977" t="s">
        <v>31</v>
      </c>
      <c r="D2977" t="s">
        <v>8</v>
      </c>
      <c r="E2977" t="e">
        <f>VLOOKUP(Cpi_[[#This Row],[Attribute]],#REF!,2,FALSE)</f>
        <v>#REF!</v>
      </c>
      <c r="F2977">
        <v>125.7</v>
      </c>
      <c r="G2977">
        <f>(Cpi_[[#This Row],[Value]]-F2976)/F2976</f>
        <v>8.8311688311688341E-2</v>
      </c>
      <c r="H2977" t="e" cm="1" vm="1">
        <f t="array" aca="1" ref="H2977" ca="1">VLOOKUP(Cpi_[[#This Row],[Year]:[Month]],crudeoil[],3,FALSE)</f>
        <v>#VALUE!</v>
      </c>
    </row>
    <row r="2978" spans="1:8" hidden="1" x14ac:dyDescent="0.3">
      <c r="A2978" t="s">
        <v>34</v>
      </c>
      <c r="B2978">
        <v>2016</v>
      </c>
      <c r="C2978" t="s">
        <v>31</v>
      </c>
      <c r="D2978" t="s">
        <v>9</v>
      </c>
      <c r="E2978" t="e">
        <f>VLOOKUP(Cpi_[[#This Row],[Attribute]],#REF!,2,FALSE)</f>
        <v>#REF!</v>
      </c>
      <c r="F2978">
        <v>141.5</v>
      </c>
      <c r="G2978">
        <f>(Cpi_[[#This Row],[Value]]-F2977)/F2977</f>
        <v>0.12569610182975335</v>
      </c>
      <c r="H2978" t="e" cm="1" vm="1">
        <f t="array" aca="1" ref="H2978" ca="1">VLOOKUP(Cpi_[[#This Row],[Year]:[Month]],crudeoil[],3,FALSE)</f>
        <v>#VALUE!</v>
      </c>
    </row>
    <row r="2979" spans="1:8" hidden="1" x14ac:dyDescent="0.3">
      <c r="A2979" t="s">
        <v>34</v>
      </c>
      <c r="B2979">
        <v>2016</v>
      </c>
      <c r="C2979" t="s">
        <v>31</v>
      </c>
      <c r="D2979" t="s">
        <v>10</v>
      </c>
      <c r="E2979" t="e">
        <f>VLOOKUP(Cpi_[[#This Row],[Attribute]],#REF!,2,FALSE)</f>
        <v>#REF!</v>
      </c>
      <c r="F2979">
        <v>170.7</v>
      </c>
      <c r="G2979">
        <f>(Cpi_[[#This Row],[Value]]-F2978)/F2978</f>
        <v>0.20636042402826846</v>
      </c>
      <c r="H2979" t="e" cm="1" vm="1">
        <f t="array" aca="1" ref="H2979" ca="1">VLOOKUP(Cpi_[[#This Row],[Year]:[Month]],crudeoil[],3,FALSE)</f>
        <v>#VALUE!</v>
      </c>
    </row>
    <row r="2980" spans="1:8" hidden="1" x14ac:dyDescent="0.3">
      <c r="A2980" t="s">
        <v>34</v>
      </c>
      <c r="B2980">
        <v>2016</v>
      </c>
      <c r="C2980" t="s">
        <v>31</v>
      </c>
      <c r="D2980" t="s">
        <v>11</v>
      </c>
      <c r="E2980" t="e">
        <f>VLOOKUP(Cpi_[[#This Row],[Attribute]],#REF!,2,FALSE)</f>
        <v>#REF!</v>
      </c>
      <c r="F2980">
        <v>97.4</v>
      </c>
      <c r="G2980">
        <f>(Cpi_[[#This Row],[Value]]-F2979)/F2979</f>
        <v>-0.42940831868775625</v>
      </c>
      <c r="H2980" t="e" cm="1" vm="1">
        <f t="array" aca="1" ref="H2980" ca="1">VLOOKUP(Cpi_[[#This Row],[Year]:[Month]],crudeoil[],3,FALSE)</f>
        <v>#VALUE!</v>
      </c>
    </row>
    <row r="2981" spans="1:8" hidden="1" x14ac:dyDescent="0.3">
      <c r="A2981" t="s">
        <v>34</v>
      </c>
      <c r="B2981">
        <v>2016</v>
      </c>
      <c r="C2981" t="s">
        <v>31</v>
      </c>
      <c r="D2981" t="s">
        <v>12</v>
      </c>
      <c r="E2981" t="e">
        <f>VLOOKUP(Cpi_[[#This Row],[Attribute]],#REF!,2,FALSE)</f>
        <v>#REF!</v>
      </c>
      <c r="F2981">
        <v>132.9</v>
      </c>
      <c r="G2981">
        <f>(Cpi_[[#This Row],[Value]]-F2980)/F2980</f>
        <v>0.36447638603696098</v>
      </c>
      <c r="H2981" t="e" cm="1" vm="1">
        <f t="array" aca="1" ref="H2981" ca="1">VLOOKUP(Cpi_[[#This Row],[Year]:[Month]],crudeoil[],3,FALSE)</f>
        <v>#VALUE!</v>
      </c>
    </row>
    <row r="2982" spans="1:8" hidden="1" x14ac:dyDescent="0.3">
      <c r="A2982" t="s">
        <v>34</v>
      </c>
      <c r="B2982">
        <v>2016</v>
      </c>
      <c r="C2982" t="s">
        <v>31</v>
      </c>
      <c r="D2982" t="s">
        <v>13</v>
      </c>
      <c r="E2982" t="e">
        <f>VLOOKUP(Cpi_[[#This Row],[Attribute]],#REF!,2,FALSE)</f>
        <v>#REF!</v>
      </c>
      <c r="F2982">
        <v>122.7</v>
      </c>
      <c r="G2982">
        <f>(Cpi_[[#This Row],[Value]]-F2981)/F2981</f>
        <v>-7.6749435665914245E-2</v>
      </c>
      <c r="H2982" t="e" cm="1" vm="1">
        <f t="array" aca="1" ref="H2982" ca="1">VLOOKUP(Cpi_[[#This Row],[Year]:[Month]],crudeoil[],3,FALSE)</f>
        <v>#VALUE!</v>
      </c>
    </row>
    <row r="2983" spans="1:8" hidden="1" x14ac:dyDescent="0.3">
      <c r="A2983" t="s">
        <v>34</v>
      </c>
      <c r="B2983">
        <v>2016</v>
      </c>
      <c r="C2983" t="s">
        <v>31</v>
      </c>
      <c r="D2983" t="s">
        <v>14</v>
      </c>
      <c r="E2983" t="e">
        <f>VLOOKUP(Cpi_[[#This Row],[Attribute]],#REF!,2,FALSE)</f>
        <v>#REF!</v>
      </c>
      <c r="F2983">
        <v>135.30000000000001</v>
      </c>
      <c r="G2983">
        <f>(Cpi_[[#This Row],[Value]]-F2982)/F2982</f>
        <v>0.10268948655256731</v>
      </c>
      <c r="H2983" t="e" cm="1" vm="1">
        <f t="array" aca="1" ref="H2983" ca="1">VLOOKUP(Cpi_[[#This Row],[Year]:[Month]],crudeoil[],3,FALSE)</f>
        <v>#VALUE!</v>
      </c>
    </row>
    <row r="2984" spans="1:8" hidden="1" x14ac:dyDescent="0.3">
      <c r="A2984" t="s">
        <v>34</v>
      </c>
      <c r="B2984">
        <v>2016</v>
      </c>
      <c r="C2984" t="s">
        <v>31</v>
      </c>
      <c r="D2984" t="s">
        <v>15</v>
      </c>
      <c r="E2984" t="e">
        <f>VLOOKUP(Cpi_[[#This Row],[Attribute]],#REF!,2,FALSE)</f>
        <v>#REF!</v>
      </c>
      <c r="F2984">
        <v>131.30000000000001</v>
      </c>
      <c r="G2984">
        <f>(Cpi_[[#This Row],[Value]]-F2983)/F2983</f>
        <v>-2.956393200295639E-2</v>
      </c>
      <c r="H2984" t="e" cm="1" vm="1">
        <f t="array" aca="1" ref="H2984" ca="1">VLOOKUP(Cpi_[[#This Row],[Year]:[Month]],crudeoil[],3,FALSE)</f>
        <v>#VALUE!</v>
      </c>
    </row>
    <row r="2985" spans="1:8" hidden="1" x14ac:dyDescent="0.3">
      <c r="A2985" t="s">
        <v>34</v>
      </c>
      <c r="B2985">
        <v>2016</v>
      </c>
      <c r="C2985" t="s">
        <v>31</v>
      </c>
      <c r="D2985" t="s">
        <v>16</v>
      </c>
      <c r="E2985" t="e">
        <f>VLOOKUP(Cpi_[[#This Row],[Attribute]],#REF!,2,FALSE)</f>
        <v>#REF!</v>
      </c>
      <c r="F2985">
        <v>135.19999999999999</v>
      </c>
      <c r="G2985">
        <f>(Cpi_[[#This Row],[Value]]-F2984)/F2984</f>
        <v>2.9702970297029528E-2</v>
      </c>
      <c r="H2985" t="e" cm="1" vm="1">
        <f t="array" aca="1" ref="H2985" ca="1">VLOOKUP(Cpi_[[#This Row],[Year]:[Month]],crudeoil[],3,FALSE)</f>
        <v>#VALUE!</v>
      </c>
    </row>
    <row r="2986" spans="1:8" hidden="1" x14ac:dyDescent="0.3">
      <c r="A2986" t="s">
        <v>34</v>
      </c>
      <c r="B2986">
        <v>2016</v>
      </c>
      <c r="C2986" t="s">
        <v>31</v>
      </c>
      <c r="D2986" t="s">
        <v>17</v>
      </c>
      <c r="E2986" t="e">
        <f>VLOOKUP(Cpi_[[#This Row],[Attribute]],#REF!,2,FALSE)</f>
        <v>#REF!</v>
      </c>
      <c r="F2986">
        <v>130.30000000000001</v>
      </c>
      <c r="G2986">
        <f>(Cpi_[[#This Row],[Value]]-F2985)/F2985</f>
        <v>-3.6242603550295696E-2</v>
      </c>
      <c r="H2986" t="e" cm="1" vm="1">
        <f t="array" aca="1" ref="H2986" ca="1">VLOOKUP(Cpi_[[#This Row],[Year]:[Month]],crudeoil[],3,FALSE)</f>
        <v>#VALUE!</v>
      </c>
    </row>
    <row r="2987" spans="1:8" hidden="1" x14ac:dyDescent="0.3">
      <c r="A2987" t="s">
        <v>34</v>
      </c>
      <c r="B2987">
        <v>2016</v>
      </c>
      <c r="C2987" t="s">
        <v>31</v>
      </c>
      <c r="D2987" t="s">
        <v>18</v>
      </c>
      <c r="E2987" t="e">
        <f>VLOOKUP(Cpi_[[#This Row],[Attribute]],#REF!,2,FALSE)</f>
        <v>#REF!</v>
      </c>
      <c r="F2987">
        <v>125.1</v>
      </c>
      <c r="G2987">
        <f>(Cpi_[[#This Row],[Value]]-F2986)/F2986</f>
        <v>-3.9907904834996288E-2</v>
      </c>
      <c r="H2987" t="e" cm="1" vm="1">
        <f t="array" aca="1" ref="H2987" ca="1">VLOOKUP(Cpi_[[#This Row],[Year]:[Month]],crudeoil[],3,FALSE)</f>
        <v>#VALUE!</v>
      </c>
    </row>
    <row r="2988" spans="1:8" hidden="1" x14ac:dyDescent="0.3">
      <c r="A2988" t="s">
        <v>34</v>
      </c>
      <c r="B2988">
        <v>2016</v>
      </c>
      <c r="C2988" t="s">
        <v>31</v>
      </c>
      <c r="D2988" t="s">
        <v>19</v>
      </c>
      <c r="E2988" t="e">
        <f>VLOOKUP(Cpi_[[#This Row],[Attribute]],#REF!,2,FALSE)</f>
        <v>#REF!</v>
      </c>
      <c r="F2988">
        <v>129.5</v>
      </c>
      <c r="G2988">
        <f>(Cpi_[[#This Row],[Value]]-F2987)/F2987</f>
        <v>3.5171862509992054E-2</v>
      </c>
      <c r="H2988" t="e" cm="1" vm="1">
        <f t="array" aca="1" ref="H2988" ca="1">VLOOKUP(Cpi_[[#This Row],[Year]:[Month]],crudeoil[],3,FALSE)</f>
        <v>#VALUE!</v>
      </c>
    </row>
    <row r="2989" spans="1:8" hidden="1" x14ac:dyDescent="0.3">
      <c r="A2989" t="s">
        <v>34</v>
      </c>
      <c r="B2989">
        <v>2016</v>
      </c>
      <c r="C2989" t="s">
        <v>31</v>
      </c>
      <c r="D2989" t="s">
        <v>20</v>
      </c>
      <c r="E2989" t="e">
        <f>VLOOKUP(Cpi_[[#This Row],[Attribute]],#REF!,2,FALSE)</f>
        <v>#REF!</v>
      </c>
      <c r="F2989">
        <v>123.4</v>
      </c>
      <c r="G2989">
        <f>(Cpi_[[#This Row],[Value]]-F2988)/F2988</f>
        <v>-4.7104247104247057E-2</v>
      </c>
      <c r="H2989" t="e" cm="1" vm="1">
        <f t="array" aca="1" ref="H2989" ca="1">VLOOKUP(Cpi_[[#This Row],[Year]:[Month]],crudeoil[],3,FALSE)</f>
        <v>#VALUE!</v>
      </c>
    </row>
    <row r="2990" spans="1:8" hidden="1" x14ac:dyDescent="0.3">
      <c r="A2990" t="s">
        <v>34</v>
      </c>
      <c r="B2990">
        <v>2016</v>
      </c>
      <c r="C2990" t="s">
        <v>31</v>
      </c>
      <c r="D2990" t="s">
        <v>21</v>
      </c>
      <c r="E2990" t="e">
        <f>VLOOKUP(Cpi_[[#This Row],[Attribute]],#REF!,2,FALSE)</f>
        <v>#REF!</v>
      </c>
      <c r="F2990">
        <v>122.7</v>
      </c>
      <c r="G2990">
        <f>(Cpi_[[#This Row],[Value]]-F2989)/F2989</f>
        <v>-5.6726094003241717E-3</v>
      </c>
      <c r="H2990" t="e" cm="1" vm="1">
        <f t="array" aca="1" ref="H2990" ca="1">VLOOKUP(Cpi_[[#This Row],[Year]:[Month]],crudeoil[],3,FALSE)</f>
        <v>#VALUE!</v>
      </c>
    </row>
    <row r="2991" spans="1:8" hidden="1" x14ac:dyDescent="0.3">
      <c r="A2991" t="s">
        <v>34</v>
      </c>
      <c r="B2991">
        <v>2016</v>
      </c>
      <c r="C2991" t="s">
        <v>31</v>
      </c>
      <c r="D2991" t="s">
        <v>22</v>
      </c>
      <c r="E2991" t="e">
        <f>VLOOKUP(Cpi_[[#This Row],[Attribute]],#REF!,2,FALSE)</f>
        <v>#REF!</v>
      </c>
      <c r="F2991">
        <v>124.2</v>
      </c>
      <c r="G2991">
        <f>(Cpi_[[#This Row],[Value]]-F2990)/F2990</f>
        <v>1.2224938875305623E-2</v>
      </c>
      <c r="H2991" t="e" cm="1" vm="1">
        <f t="array" aca="1" ref="H2991" ca="1">VLOOKUP(Cpi_[[#This Row],[Year]:[Month]],crudeoil[],3,FALSE)</f>
        <v>#VALUE!</v>
      </c>
    </row>
    <row r="2992" spans="1:8" hidden="1" x14ac:dyDescent="0.3">
      <c r="A2992" t="s">
        <v>34</v>
      </c>
      <c r="B2992">
        <v>2016</v>
      </c>
      <c r="C2992" t="s">
        <v>31</v>
      </c>
      <c r="D2992" t="s">
        <v>23</v>
      </c>
      <c r="E2992" t="e">
        <f>VLOOKUP(Cpi_[[#This Row],[Attribute]],#REF!,2,FALSE)</f>
        <v>#REF!</v>
      </c>
      <c r="F2992">
        <v>122</v>
      </c>
      <c r="G2992">
        <f>(Cpi_[[#This Row],[Value]]-F2991)/F2991</f>
        <v>-1.7713365539452519E-2</v>
      </c>
      <c r="H2992" t="e" cm="1" vm="1">
        <f t="array" aca="1" ref="H2992" ca="1">VLOOKUP(Cpi_[[#This Row],[Year]:[Month]],crudeoil[],3,FALSE)</f>
        <v>#VALUE!</v>
      </c>
    </row>
    <row r="2993" spans="1:8" hidden="1" x14ac:dyDescent="0.3">
      <c r="A2993" t="s">
        <v>34</v>
      </c>
      <c r="B2993">
        <v>2016</v>
      </c>
      <c r="C2993" t="s">
        <v>31</v>
      </c>
      <c r="D2993" t="s">
        <v>24</v>
      </c>
      <c r="E2993" t="e">
        <f>VLOOKUP(Cpi_[[#This Row],[Attribute]],#REF!,2,FALSE)</f>
        <v>#REF!</v>
      </c>
      <c r="F2993">
        <v>111.1</v>
      </c>
      <c r="G2993">
        <f>(Cpi_[[#This Row],[Value]]-F2992)/F2992</f>
        <v>-8.9344262295082008E-2</v>
      </c>
      <c r="H2993" t="e" cm="1" vm="1">
        <f t="array" aca="1" ref="H2993" ca="1">VLOOKUP(Cpi_[[#This Row],[Year]:[Month]],crudeoil[],3,FALSE)</f>
        <v>#VALUE!</v>
      </c>
    </row>
    <row r="2994" spans="1:8" hidden="1" x14ac:dyDescent="0.3">
      <c r="A2994" t="s">
        <v>34</v>
      </c>
      <c r="B2994">
        <v>2016</v>
      </c>
      <c r="C2994" t="s">
        <v>31</v>
      </c>
      <c r="D2994" t="s">
        <v>25</v>
      </c>
      <c r="E2994" t="e">
        <f>VLOOKUP(Cpi_[[#This Row],[Attribute]],#REF!,2,FALSE)</f>
        <v>#REF!</v>
      </c>
      <c r="F2994">
        <v>119.8</v>
      </c>
      <c r="G2994">
        <f>(Cpi_[[#This Row],[Value]]-F2993)/F2993</f>
        <v>7.8307830783078333E-2</v>
      </c>
      <c r="H2994" t="e" cm="1" vm="1">
        <f t="array" aca="1" ref="H2994" ca="1">VLOOKUP(Cpi_[[#This Row],[Year]:[Month]],crudeoil[],3,FALSE)</f>
        <v>#VALUE!</v>
      </c>
    </row>
    <row r="2995" spans="1:8" hidden="1" x14ac:dyDescent="0.3">
      <c r="A2995" t="s">
        <v>34</v>
      </c>
      <c r="B2995">
        <v>2016</v>
      </c>
      <c r="C2995" t="s">
        <v>31</v>
      </c>
      <c r="D2995" t="s">
        <v>26</v>
      </c>
      <c r="E2995" t="e">
        <f>VLOOKUP(Cpi_[[#This Row],[Attribute]],#REF!,2,FALSE)</f>
        <v>#REF!</v>
      </c>
      <c r="F2995">
        <v>126.3</v>
      </c>
      <c r="G2995">
        <f>(Cpi_[[#This Row],[Value]]-F2994)/F2994</f>
        <v>5.4257095158597661E-2</v>
      </c>
      <c r="H2995" t="e" cm="1" vm="1">
        <f t="array" aca="1" ref="H2995" ca="1">VLOOKUP(Cpi_[[#This Row],[Year]:[Month]],crudeoil[],3,FALSE)</f>
        <v>#VALUE!</v>
      </c>
    </row>
    <row r="2996" spans="1:8" hidden="1" x14ac:dyDescent="0.3">
      <c r="A2996" t="s">
        <v>34</v>
      </c>
      <c r="B2996">
        <v>2016</v>
      </c>
      <c r="C2996" t="s">
        <v>31</v>
      </c>
      <c r="D2996" t="s">
        <v>27</v>
      </c>
      <c r="E2996" t="e">
        <f>VLOOKUP(Cpi_[[#This Row],[Attribute]],#REF!,2,FALSE)</f>
        <v>#REF!</v>
      </c>
      <c r="F2996">
        <v>114.5</v>
      </c>
      <c r="G2996">
        <f>(Cpi_[[#This Row],[Value]]-F2995)/F2995</f>
        <v>-9.3428345209817867E-2</v>
      </c>
      <c r="H2996" t="e" cm="1" vm="1">
        <f t="array" aca="1" ref="H2996" ca="1">VLOOKUP(Cpi_[[#This Row],[Year]:[Month]],crudeoil[],3,FALSE)</f>
        <v>#VALUE!</v>
      </c>
    </row>
    <row r="2997" spans="1:8" hidden="1" x14ac:dyDescent="0.3">
      <c r="A2997" t="s">
        <v>34</v>
      </c>
      <c r="B2997">
        <v>2016</v>
      </c>
      <c r="C2997" t="s">
        <v>31</v>
      </c>
      <c r="D2997" t="s">
        <v>28</v>
      </c>
      <c r="E2997" t="e">
        <f>VLOOKUP(Cpi_[[#This Row],[Attribute]],#REF!,2,FALSE)</f>
        <v>#REF!</v>
      </c>
      <c r="F2997">
        <v>118.5</v>
      </c>
      <c r="G2997">
        <f>(Cpi_[[#This Row],[Value]]-F2996)/F2996</f>
        <v>3.4934497816593885E-2</v>
      </c>
      <c r="H2997" t="e" cm="1" vm="1">
        <f t="array" aca="1" ref="H2997" ca="1">VLOOKUP(Cpi_[[#This Row],[Year]:[Month]],crudeoil[],3,FALSE)</f>
        <v>#VALUE!</v>
      </c>
    </row>
    <row r="2998" spans="1:8" hidden="1" x14ac:dyDescent="0.3">
      <c r="A2998" t="s">
        <v>34</v>
      </c>
      <c r="B2998">
        <v>2016</v>
      </c>
      <c r="C2998" t="s">
        <v>31</v>
      </c>
      <c r="D2998" t="s">
        <v>29</v>
      </c>
      <c r="E2998" t="e" cm="1">
        <f t="array" aca="1" ref="E2998" ca="1">VLGeneral indexGeneral indexKUP(Cpi_[[#This Row],[Attribute]],#REF!,2,FALSE)</f>
        <v>#NAME?</v>
      </c>
      <c r="F2998">
        <v>126.3</v>
      </c>
      <c r="G2998">
        <f>(Cpi_[[#This Row],[Value]]-F2997)/F2997</f>
        <v>6.5822784810126558E-2</v>
      </c>
      <c r="H2998" t="e" cm="1" vm="1">
        <f t="array" aca="1" ref="H2998" ca="1">VLOOKUP(Cpi_[[#This Row],[Year]:[Month]],crudeoil[],3,FALSE)</f>
        <v>#VALUE!</v>
      </c>
    </row>
    <row r="2999" spans="1:8" hidden="1" x14ac:dyDescent="0.3">
      <c r="A2999" t="s">
        <v>30</v>
      </c>
      <c r="B2999">
        <v>2016</v>
      </c>
      <c r="C2999" t="s">
        <v>35</v>
      </c>
      <c r="D2999" t="s">
        <v>3</v>
      </c>
      <c r="E2999" t="e">
        <f>VLOOKUP(Cpi_[[#This Row],[Attribute]],#REF!,2,FALSE)</f>
        <v>#REF!</v>
      </c>
      <c r="F2999">
        <v>127.1</v>
      </c>
      <c r="G2999">
        <f>(Cpi_[[#This Row],[Value]]-F2998)/F2998</f>
        <v>6.3341250989706827E-3</v>
      </c>
      <c r="H2999" t="e" cm="1" vm="1">
        <f t="array" aca="1" ref="H2999" ca="1">VLOOKUP(Cpi_[[#This Row],[Year]:[Month]],crudeoil[],3,FALSE)</f>
        <v>#VALUE!</v>
      </c>
    </row>
    <row r="3000" spans="1:8" hidden="1" x14ac:dyDescent="0.3">
      <c r="A3000" t="s">
        <v>30</v>
      </c>
      <c r="B3000">
        <v>2016</v>
      </c>
      <c r="C3000" t="s">
        <v>35</v>
      </c>
      <c r="D3000" t="s">
        <v>4</v>
      </c>
      <c r="E3000" t="e">
        <f>VLOOKUP(Cpi_[[#This Row],[Attribute]],#REF!,2,FALSE)</f>
        <v>#REF!</v>
      </c>
      <c r="F3000">
        <v>133.69999999999999</v>
      </c>
      <c r="G3000">
        <f>(Cpi_[[#This Row],[Value]]-F2999)/F2999</f>
        <v>5.1927616050354009E-2</v>
      </c>
      <c r="H3000" t="e" cm="1" vm="1">
        <f t="array" aca="1" ref="H3000" ca="1">VLOOKUP(Cpi_[[#This Row],[Year]:[Month]],crudeoil[],3,FALSE)</f>
        <v>#VALUE!</v>
      </c>
    </row>
    <row r="3001" spans="1:8" hidden="1" x14ac:dyDescent="0.3">
      <c r="A3001" t="s">
        <v>30</v>
      </c>
      <c r="B3001">
        <v>2016</v>
      </c>
      <c r="C3001" t="s">
        <v>35</v>
      </c>
      <c r="D3001" t="s">
        <v>5</v>
      </c>
      <c r="E3001" t="e">
        <f>VLOOKUP(Cpi_[[#This Row],[Attribute]],#REF!,2,FALSE)</f>
        <v>#REF!</v>
      </c>
      <c r="F3001">
        <v>127.7</v>
      </c>
      <c r="G3001">
        <f>(Cpi_[[#This Row],[Value]]-F3000)/F3000</f>
        <v>-4.4876589379207077E-2</v>
      </c>
      <c r="H3001" t="e" cm="1" vm="1">
        <f t="array" aca="1" ref="H3001" ca="1">VLOOKUP(Cpi_[[#This Row],[Year]:[Month]],crudeoil[],3,FALSE)</f>
        <v>#VALUE!</v>
      </c>
    </row>
    <row r="3002" spans="1:8" hidden="1" x14ac:dyDescent="0.3">
      <c r="A3002" t="s">
        <v>30</v>
      </c>
      <c r="B3002">
        <v>2016</v>
      </c>
      <c r="C3002" t="s">
        <v>35</v>
      </c>
      <c r="D3002" t="s">
        <v>6</v>
      </c>
      <c r="E3002" t="e">
        <f>VLOOKUP(Cpi_[[#This Row],[Attribute]],#REF!,2,FALSE)</f>
        <v>#REF!</v>
      </c>
      <c r="F3002">
        <v>130.69999999999999</v>
      </c>
      <c r="G3002">
        <f>(Cpi_[[#This Row],[Value]]-F3001)/F3001</f>
        <v>2.3492560689115E-2</v>
      </c>
      <c r="H3002" t="e" cm="1" vm="1">
        <f t="array" aca="1" ref="H3002" ca="1">VLOOKUP(Cpi_[[#This Row],[Year]:[Month]],crudeoil[],3,FALSE)</f>
        <v>#VALUE!</v>
      </c>
    </row>
    <row r="3003" spans="1:8" hidden="1" x14ac:dyDescent="0.3">
      <c r="A3003" t="s">
        <v>30</v>
      </c>
      <c r="B3003">
        <v>2016</v>
      </c>
      <c r="C3003" t="s">
        <v>35</v>
      </c>
      <c r="D3003" t="s">
        <v>7</v>
      </c>
      <c r="E3003" t="e">
        <f>VLOOKUP(Cpi_[[#This Row],[Attribute]],#REF!,2,FALSE)</f>
        <v>#REF!</v>
      </c>
      <c r="F3003">
        <v>118.5</v>
      </c>
      <c r="G3003">
        <f>(Cpi_[[#This Row],[Value]]-F3002)/F3002</f>
        <v>-9.3343534812547743E-2</v>
      </c>
      <c r="H3003" t="e" cm="1" vm="1">
        <f t="array" aca="1" ref="H3003" ca="1">VLOOKUP(Cpi_[[#This Row],[Year]:[Month]],crudeoil[],3,FALSE)</f>
        <v>#VALUE!</v>
      </c>
    </row>
    <row r="3004" spans="1:8" hidden="1" x14ac:dyDescent="0.3">
      <c r="A3004" t="s">
        <v>30</v>
      </c>
      <c r="B3004">
        <v>2016</v>
      </c>
      <c r="C3004" t="s">
        <v>35</v>
      </c>
      <c r="D3004" t="s">
        <v>8</v>
      </c>
      <c r="E3004" t="e">
        <f>VLOOKUP(Cpi_[[#This Row],[Attribute]],#REF!,2,FALSE)</f>
        <v>#REF!</v>
      </c>
      <c r="F3004">
        <v>130.4</v>
      </c>
      <c r="G3004">
        <f>(Cpi_[[#This Row],[Value]]-F3003)/F3003</f>
        <v>0.10042194092827009</v>
      </c>
      <c r="H3004" t="e" cm="1" vm="1">
        <f t="array" aca="1" ref="H3004" ca="1">VLOOKUP(Cpi_[[#This Row],[Year]:[Month]],crudeoil[],3,FALSE)</f>
        <v>#VALUE!</v>
      </c>
    </row>
    <row r="3005" spans="1:8" hidden="1" x14ac:dyDescent="0.3">
      <c r="A3005" t="s">
        <v>30</v>
      </c>
      <c r="B3005">
        <v>2016</v>
      </c>
      <c r="C3005" t="s">
        <v>35</v>
      </c>
      <c r="D3005" t="s">
        <v>9</v>
      </c>
      <c r="E3005" t="e">
        <f>VLOOKUP(Cpi_[[#This Row],[Attribute]],#REF!,2,FALSE)</f>
        <v>#REF!</v>
      </c>
      <c r="F3005">
        <v>130.9</v>
      </c>
      <c r="G3005">
        <f>(Cpi_[[#This Row],[Value]]-F3004)/F3004</f>
        <v>3.8343558282208589E-3</v>
      </c>
      <c r="H3005" t="e" cm="1" vm="1">
        <f t="array" aca="1" ref="H3005" ca="1">VLOOKUP(Cpi_[[#This Row],[Year]:[Month]],crudeoil[],3,FALSE)</f>
        <v>#VALUE!</v>
      </c>
    </row>
    <row r="3006" spans="1:8" hidden="1" x14ac:dyDescent="0.3">
      <c r="A3006" t="s">
        <v>30</v>
      </c>
      <c r="B3006">
        <v>2016</v>
      </c>
      <c r="C3006" t="s">
        <v>35</v>
      </c>
      <c r="D3006" t="s">
        <v>10</v>
      </c>
      <c r="E3006" t="e">
        <f>VLOOKUP(Cpi_[[#This Row],[Attribute]],#REF!,2,FALSE)</f>
        <v>#REF!</v>
      </c>
      <c r="F3006">
        <v>162.80000000000001</v>
      </c>
      <c r="G3006">
        <f>(Cpi_[[#This Row],[Value]]-F3005)/F3005</f>
        <v>0.24369747899159666</v>
      </c>
      <c r="H3006" t="e" cm="1" vm="1">
        <f t="array" aca="1" ref="H3006" ca="1">VLOOKUP(Cpi_[[#This Row],[Year]:[Month]],crudeoil[],3,FALSE)</f>
        <v>#VALUE!</v>
      </c>
    </row>
    <row r="3007" spans="1:8" hidden="1" x14ac:dyDescent="0.3">
      <c r="A3007" t="s">
        <v>30</v>
      </c>
      <c r="B3007">
        <v>2016</v>
      </c>
      <c r="C3007" t="s">
        <v>35</v>
      </c>
      <c r="D3007" t="s">
        <v>11</v>
      </c>
      <c r="E3007" t="e">
        <f>VLOOKUP(Cpi_[[#This Row],[Attribute]],#REF!,2,FALSE)</f>
        <v>#REF!</v>
      </c>
      <c r="F3007">
        <v>98.7</v>
      </c>
      <c r="G3007">
        <f>(Cpi_[[#This Row],[Value]]-F3006)/F3006</f>
        <v>-0.39373464373464379</v>
      </c>
      <c r="H3007" t="e" cm="1" vm="1">
        <f t="array" aca="1" ref="H3007" ca="1">VLOOKUP(Cpi_[[#This Row],[Year]:[Month]],crudeoil[],3,FALSE)</f>
        <v>#VALUE!</v>
      </c>
    </row>
    <row r="3008" spans="1:8" hidden="1" x14ac:dyDescent="0.3">
      <c r="A3008" t="s">
        <v>30</v>
      </c>
      <c r="B3008">
        <v>2016</v>
      </c>
      <c r="C3008" t="s">
        <v>35</v>
      </c>
      <c r="D3008" t="s">
        <v>12</v>
      </c>
      <c r="E3008" t="e">
        <f>VLOOKUP(Cpi_[[#This Row],[Attribute]],#REF!,2,FALSE)</f>
        <v>#REF!</v>
      </c>
      <c r="F3008">
        <v>130.6</v>
      </c>
      <c r="G3008">
        <f>(Cpi_[[#This Row],[Value]]-F3007)/F3007</f>
        <v>0.32320162107396139</v>
      </c>
      <c r="H3008" t="e" cm="1" vm="1">
        <f t="array" aca="1" ref="H3008" ca="1">VLOOKUP(Cpi_[[#This Row],[Year]:[Month]],crudeoil[],3,FALSE)</f>
        <v>#VALUE!</v>
      </c>
    </row>
    <row r="3009" spans="1:8" hidden="1" x14ac:dyDescent="0.3">
      <c r="A3009" t="s">
        <v>30</v>
      </c>
      <c r="B3009">
        <v>2016</v>
      </c>
      <c r="C3009" t="s">
        <v>35</v>
      </c>
      <c r="D3009" t="s">
        <v>13</v>
      </c>
      <c r="E3009" t="e">
        <f>VLOOKUP(Cpi_[[#This Row],[Attribute]],#REF!,2,FALSE)</f>
        <v>#REF!</v>
      </c>
      <c r="F3009">
        <v>124.8</v>
      </c>
      <c r="G3009">
        <f>(Cpi_[[#This Row],[Value]]-F3008)/F3008</f>
        <v>-4.4410413476263379E-2</v>
      </c>
      <c r="H3009" t="e" cm="1" vm="1">
        <f t="array" aca="1" ref="H3009" ca="1">VLOOKUP(Cpi_[[#This Row],[Year]:[Month]],crudeoil[],3,FALSE)</f>
        <v>#VALUE!</v>
      </c>
    </row>
    <row r="3010" spans="1:8" hidden="1" x14ac:dyDescent="0.3">
      <c r="A3010" t="s">
        <v>30</v>
      </c>
      <c r="B3010">
        <v>2016</v>
      </c>
      <c r="C3010" t="s">
        <v>35</v>
      </c>
      <c r="D3010" t="s">
        <v>14</v>
      </c>
      <c r="E3010" t="e">
        <f>VLOOKUP(Cpi_[[#This Row],[Attribute]],#REF!,2,FALSE)</f>
        <v>#REF!</v>
      </c>
      <c r="F3010">
        <v>136.4</v>
      </c>
      <c r="G3010">
        <f>(Cpi_[[#This Row],[Value]]-F3009)/F3009</f>
        <v>9.2948717948718021E-2</v>
      </c>
      <c r="H3010" t="e" cm="1" vm="1">
        <f t="array" aca="1" ref="H3010" ca="1">VLOOKUP(Cpi_[[#This Row],[Year]:[Month]],crudeoil[],3,FALSE)</f>
        <v>#VALUE!</v>
      </c>
    </row>
    <row r="3011" spans="1:8" hidden="1" x14ac:dyDescent="0.3">
      <c r="A3011" t="s">
        <v>30</v>
      </c>
      <c r="B3011">
        <v>2016</v>
      </c>
      <c r="C3011" t="s">
        <v>35</v>
      </c>
      <c r="D3011" t="s">
        <v>15</v>
      </c>
      <c r="E3011" t="e">
        <f>VLOOKUP(Cpi_[[#This Row],[Attribute]],#REF!,2,FALSE)</f>
        <v>#REF!</v>
      </c>
      <c r="F3011">
        <v>130.30000000000001</v>
      </c>
      <c r="G3011">
        <f>(Cpi_[[#This Row],[Value]]-F3010)/F3010</f>
        <v>-4.4721407624633384E-2</v>
      </c>
      <c r="H3011" t="e" cm="1" vm="1">
        <f t="array" aca="1" ref="H3011" ca="1">VLOOKUP(Cpi_[[#This Row],[Year]:[Month]],crudeoil[],3,FALSE)</f>
        <v>#VALUE!</v>
      </c>
    </row>
    <row r="3012" spans="1:8" hidden="1" x14ac:dyDescent="0.3">
      <c r="A3012" t="s">
        <v>30</v>
      </c>
      <c r="B3012">
        <v>2016</v>
      </c>
      <c r="C3012" t="s">
        <v>35</v>
      </c>
      <c r="D3012" t="s">
        <v>16</v>
      </c>
      <c r="E3012" t="e">
        <f>VLOOKUP(Cpi_[[#This Row],[Attribute]],#REF!,2,FALSE)</f>
        <v>#REF!</v>
      </c>
      <c r="F3012">
        <v>134.4</v>
      </c>
      <c r="G3012">
        <f>(Cpi_[[#This Row],[Value]]-F3011)/F3011</f>
        <v>3.1465848042977695E-2</v>
      </c>
      <c r="H3012" t="e" cm="1" vm="1">
        <f t="array" aca="1" ref="H3012" ca="1">VLOOKUP(Cpi_[[#This Row],[Year]:[Month]],crudeoil[],3,FALSE)</f>
        <v>#VALUE!</v>
      </c>
    </row>
    <row r="3013" spans="1:8" hidden="1" x14ac:dyDescent="0.3">
      <c r="A3013" t="s">
        <v>30</v>
      </c>
      <c r="B3013">
        <v>2016</v>
      </c>
      <c r="C3013" t="s">
        <v>35</v>
      </c>
      <c r="D3013" t="s">
        <v>17</v>
      </c>
      <c r="E3013" t="e">
        <f>VLOOKUP(Cpi_[[#This Row],[Attribute]],#REF!,2,FALSE)</f>
        <v>#REF!</v>
      </c>
      <c r="F3013">
        <v>133.9</v>
      </c>
      <c r="G3013">
        <f>(Cpi_[[#This Row],[Value]]-F3012)/F3012</f>
        <v>-3.720238095238095E-3</v>
      </c>
      <c r="H3013" t="e" cm="1" vm="1">
        <f t="array" aca="1" ref="H3013" ca="1">VLOOKUP(Cpi_[[#This Row],[Year]:[Month]],crudeoil[],3,FALSE)</f>
        <v>#VALUE!</v>
      </c>
    </row>
    <row r="3014" spans="1:8" hidden="1" x14ac:dyDescent="0.3">
      <c r="A3014" t="s">
        <v>30</v>
      </c>
      <c r="B3014">
        <v>2016</v>
      </c>
      <c r="C3014" t="s">
        <v>35</v>
      </c>
      <c r="D3014" t="s">
        <v>18</v>
      </c>
      <c r="E3014" t="e">
        <f>VLOOKUP(Cpi_[[#This Row],[Attribute]],#REF!,2,FALSE)</f>
        <v>#REF!</v>
      </c>
      <c r="F3014">
        <v>129.80000000000001</v>
      </c>
      <c r="G3014">
        <f>(Cpi_[[#This Row],[Value]]-F3013)/F3013</f>
        <v>-3.0619865571321837E-2</v>
      </c>
      <c r="H3014" t="e" cm="1" vm="1">
        <f t="array" aca="1" ref="H3014" ca="1">VLOOKUP(Cpi_[[#This Row],[Year]:[Month]],crudeoil[],3,FALSE)</f>
        <v>#VALUE!</v>
      </c>
    </row>
    <row r="3015" spans="1:8" hidden="1" x14ac:dyDescent="0.3">
      <c r="A3015" t="s">
        <v>30</v>
      </c>
      <c r="B3015">
        <v>2016</v>
      </c>
      <c r="C3015" t="s">
        <v>35</v>
      </c>
      <c r="D3015" t="s">
        <v>19</v>
      </c>
      <c r="E3015" t="e">
        <f>VLOOKUP(Cpi_[[#This Row],[Attribute]],#REF!,2,FALSE)</f>
        <v>#REF!</v>
      </c>
      <c r="F3015">
        <v>133.4</v>
      </c>
      <c r="G3015">
        <f>(Cpi_[[#This Row],[Value]]-F3014)/F3014</f>
        <v>2.7734976887519216E-2</v>
      </c>
      <c r="H3015" t="e" cm="1" vm="1">
        <f t="array" aca="1" ref="H3015" ca="1">VLOOKUP(Cpi_[[#This Row],[Year]:[Month]],crudeoil[],3,FALSE)</f>
        <v>#VALUE!</v>
      </c>
    </row>
    <row r="3016" spans="1:8" hidden="1" x14ac:dyDescent="0.3">
      <c r="A3016" t="s">
        <v>30</v>
      </c>
      <c r="B3016">
        <v>2016</v>
      </c>
      <c r="C3016" t="s">
        <v>35</v>
      </c>
      <c r="D3016" t="s">
        <v>20</v>
      </c>
      <c r="E3016" t="e">
        <f>VLOOKUP(Cpi_[[#This Row],[Attribute]],#REF!,2,FALSE)</f>
        <v>#REF!</v>
      </c>
      <c r="F3016" t="s">
        <v>32</v>
      </c>
      <c r="G3016" t="e">
        <f>(Cpi_[[#This Row],[Value]]-F3015)/F3015</f>
        <v>#VALUE!</v>
      </c>
      <c r="H3016" t="e" cm="1" vm="1">
        <f t="array" aca="1" ref="H3016" ca="1">VLOOKUP(Cpi_[[#This Row],[Year]:[Month]],crudeoil[],3,FALSE)</f>
        <v>#VALUE!</v>
      </c>
    </row>
    <row r="3017" spans="1:8" hidden="1" x14ac:dyDescent="0.3">
      <c r="A3017" t="s">
        <v>30</v>
      </c>
      <c r="B3017">
        <v>2016</v>
      </c>
      <c r="C3017" t="s">
        <v>35</v>
      </c>
      <c r="D3017" t="s">
        <v>21</v>
      </c>
      <c r="E3017" t="e">
        <f>VLOOKUP(Cpi_[[#This Row],[Attribute]],#REF!,2,FALSE)</f>
        <v>#REF!</v>
      </c>
      <c r="F3017">
        <v>127.5</v>
      </c>
      <c r="G3017" t="e">
        <f>(Cpi_[[#This Row],[Value]]-F3016)/F3016</f>
        <v>#VALUE!</v>
      </c>
      <c r="H3017" t="e" cm="1" vm="1">
        <f t="array" aca="1" ref="H3017" ca="1">VLOOKUP(Cpi_[[#This Row],[Year]:[Month]],crudeoil[],3,FALSE)</f>
        <v>#VALUE!</v>
      </c>
    </row>
    <row r="3018" spans="1:8" hidden="1" x14ac:dyDescent="0.3">
      <c r="A3018" t="s">
        <v>30</v>
      </c>
      <c r="B3018">
        <v>2016</v>
      </c>
      <c r="C3018" t="s">
        <v>35</v>
      </c>
      <c r="D3018" t="s">
        <v>22</v>
      </c>
      <c r="E3018" t="e">
        <f>VLOOKUP(Cpi_[[#This Row],[Attribute]],#REF!,2,FALSE)</f>
        <v>#REF!</v>
      </c>
      <c r="F3018">
        <v>127.1</v>
      </c>
      <c r="G3018">
        <f>(Cpi_[[#This Row],[Value]]-F3017)/F3017</f>
        <v>-3.1372549019608289E-3</v>
      </c>
      <c r="H3018" t="e" cm="1" vm="1">
        <f t="array" aca="1" ref="H3018" ca="1">VLOOKUP(Cpi_[[#This Row],[Year]:[Month]],crudeoil[],3,FALSE)</f>
        <v>#VALUE!</v>
      </c>
    </row>
    <row r="3019" spans="1:8" hidden="1" x14ac:dyDescent="0.3">
      <c r="A3019" t="s">
        <v>30</v>
      </c>
      <c r="B3019">
        <v>2016</v>
      </c>
      <c r="C3019" t="s">
        <v>35</v>
      </c>
      <c r="D3019" t="s">
        <v>23</v>
      </c>
      <c r="E3019" t="e">
        <f>VLOOKUP(Cpi_[[#This Row],[Attribute]],#REF!,2,FALSE)</f>
        <v>#REF!</v>
      </c>
      <c r="F3019">
        <v>124.3</v>
      </c>
      <c r="G3019">
        <f>(Cpi_[[#This Row],[Value]]-F3018)/F3018</f>
        <v>-2.2029897718332001E-2</v>
      </c>
      <c r="H3019" t="e" cm="1" vm="1">
        <f t="array" aca="1" ref="H3019" ca="1">VLOOKUP(Cpi_[[#This Row],[Year]:[Month]],crudeoil[],3,FALSE)</f>
        <v>#VALUE!</v>
      </c>
    </row>
    <row r="3020" spans="1:8" hidden="1" x14ac:dyDescent="0.3">
      <c r="A3020" t="s">
        <v>30</v>
      </c>
      <c r="B3020">
        <v>2016</v>
      </c>
      <c r="C3020" t="s">
        <v>35</v>
      </c>
      <c r="D3020" t="s">
        <v>24</v>
      </c>
      <c r="E3020" t="e">
        <f>VLOOKUP(Cpi_[[#This Row],[Attribute]],#REF!,2,FALSE)</f>
        <v>#REF!</v>
      </c>
      <c r="F3020">
        <v>113.9</v>
      </c>
      <c r="G3020">
        <f>(Cpi_[[#This Row],[Value]]-F3019)/F3019</f>
        <v>-8.3668543845534932E-2</v>
      </c>
      <c r="H3020" t="e" cm="1" vm="1">
        <f t="array" aca="1" ref="H3020" ca="1">VLOOKUP(Cpi_[[#This Row],[Year]:[Month]],crudeoil[],3,FALSE)</f>
        <v>#VALUE!</v>
      </c>
    </row>
    <row r="3021" spans="1:8" hidden="1" x14ac:dyDescent="0.3">
      <c r="A3021" t="s">
        <v>30</v>
      </c>
      <c r="B3021">
        <v>2016</v>
      </c>
      <c r="C3021" t="s">
        <v>35</v>
      </c>
      <c r="D3021" t="s">
        <v>25</v>
      </c>
      <c r="E3021" t="e">
        <f>VLOOKUP(Cpi_[[#This Row],[Attribute]],#REF!,2,FALSE)</f>
        <v>#REF!</v>
      </c>
      <c r="F3021">
        <v>122.3</v>
      </c>
      <c r="G3021">
        <f>(Cpi_[[#This Row],[Value]]-F3020)/F3020</f>
        <v>7.3748902546092981E-2</v>
      </c>
      <c r="H3021" t="e" cm="1" vm="1">
        <f t="array" aca="1" ref="H3021" ca="1">VLOOKUP(Cpi_[[#This Row],[Year]:[Month]],crudeoil[],3,FALSE)</f>
        <v>#VALUE!</v>
      </c>
    </row>
    <row r="3022" spans="1:8" hidden="1" x14ac:dyDescent="0.3">
      <c r="A3022" t="s">
        <v>30</v>
      </c>
      <c r="B3022">
        <v>2016</v>
      </c>
      <c r="C3022" t="s">
        <v>35</v>
      </c>
      <c r="D3022" t="s">
        <v>26</v>
      </c>
      <c r="E3022" t="e">
        <f>VLOOKUP(Cpi_[[#This Row],[Attribute]],#REF!,2,FALSE)</f>
        <v>#REF!</v>
      </c>
      <c r="F3022">
        <v>127.1</v>
      </c>
      <c r="G3022">
        <f>(Cpi_[[#This Row],[Value]]-F3021)/F3021</f>
        <v>3.9247751430907585E-2</v>
      </c>
      <c r="H3022" t="e" cm="1" vm="1">
        <f t="array" aca="1" ref="H3022" ca="1">VLOOKUP(Cpi_[[#This Row],[Year]:[Month]],crudeoil[],3,FALSE)</f>
        <v>#VALUE!</v>
      </c>
    </row>
    <row r="3023" spans="1:8" hidden="1" x14ac:dyDescent="0.3">
      <c r="A3023" t="s">
        <v>30</v>
      </c>
      <c r="B3023">
        <v>2016</v>
      </c>
      <c r="C3023" t="s">
        <v>35</v>
      </c>
      <c r="D3023" t="s">
        <v>27</v>
      </c>
      <c r="E3023" t="e">
        <f>VLOOKUP(Cpi_[[#This Row],[Attribute]],#REF!,2,FALSE)</f>
        <v>#REF!</v>
      </c>
      <c r="F3023">
        <v>116.8</v>
      </c>
      <c r="G3023">
        <f>(Cpi_[[#This Row],[Value]]-F3022)/F3022</f>
        <v>-8.1038552321007068E-2</v>
      </c>
      <c r="H3023" t="e" cm="1" vm="1">
        <f t="array" aca="1" ref="H3023" ca="1">VLOOKUP(Cpi_[[#This Row],[Year]:[Month]],crudeoil[],3,FALSE)</f>
        <v>#VALUE!</v>
      </c>
    </row>
    <row r="3024" spans="1:8" hidden="1" x14ac:dyDescent="0.3">
      <c r="A3024" t="s">
        <v>30</v>
      </c>
      <c r="B3024">
        <v>2016</v>
      </c>
      <c r="C3024" t="s">
        <v>35</v>
      </c>
      <c r="D3024" t="s">
        <v>28</v>
      </c>
      <c r="E3024" t="e">
        <f>VLOOKUP(Cpi_[[#This Row],[Attribute]],#REF!,2,FALSE)</f>
        <v>#REF!</v>
      </c>
      <c r="F3024">
        <v>120.9</v>
      </c>
      <c r="G3024">
        <f>(Cpi_[[#This Row],[Value]]-F3023)/F3023</f>
        <v>3.5102739726027468E-2</v>
      </c>
      <c r="H3024" t="e" cm="1" vm="1">
        <f t="array" aca="1" ref="H3024" ca="1">VLOOKUP(Cpi_[[#This Row],[Year]:[Month]],crudeoil[],3,FALSE)</f>
        <v>#VALUE!</v>
      </c>
    </row>
    <row r="3025" spans="1:8" hidden="1" x14ac:dyDescent="0.3">
      <c r="A3025" t="s">
        <v>30</v>
      </c>
      <c r="B3025">
        <v>2016</v>
      </c>
      <c r="C3025" t="s">
        <v>35</v>
      </c>
      <c r="D3025" t="s">
        <v>29</v>
      </c>
      <c r="E3025" t="e" cm="1">
        <f t="array" aca="1" ref="E3025" ca="1">VLGeneral indexGeneral indexKUP(Cpi_[[#This Row],[Attribute]],#REF!,2,FALSE)</f>
        <v>#NAME?</v>
      </c>
      <c r="F3025">
        <v>127.9</v>
      </c>
      <c r="G3025">
        <f>(Cpi_[[#This Row],[Value]]-F3024)/F3024</f>
        <v>5.7899090157154671E-2</v>
      </c>
      <c r="H3025" t="e" cm="1" vm="1">
        <f t="array" aca="1" ref="H3025" ca="1">VLOOKUP(Cpi_[[#This Row],[Year]:[Month]],crudeoil[],3,FALSE)</f>
        <v>#VALUE!</v>
      </c>
    </row>
    <row r="3026" spans="1:8" hidden="1" x14ac:dyDescent="0.3">
      <c r="A3026" t="s">
        <v>33</v>
      </c>
      <c r="B3026">
        <v>2016</v>
      </c>
      <c r="C3026" t="s">
        <v>35</v>
      </c>
      <c r="D3026" t="s">
        <v>3</v>
      </c>
      <c r="E3026" t="e">
        <f>VLOOKUP(Cpi_[[#This Row],[Attribute]],#REF!,2,FALSE)</f>
        <v>#REF!</v>
      </c>
      <c r="F3026">
        <v>124.8</v>
      </c>
      <c r="G3026">
        <f>(Cpi_[[#This Row],[Value]]-F3025)/F3025</f>
        <v>-2.4237685691946897E-2</v>
      </c>
      <c r="H3026" t="e" cm="1" vm="1">
        <f t="array" aca="1" ref="H3026" ca="1">VLOOKUP(Cpi_[[#This Row],[Year]:[Month]],crudeoil[],3,FALSE)</f>
        <v>#VALUE!</v>
      </c>
    </row>
    <row r="3027" spans="1:8" hidden="1" x14ac:dyDescent="0.3">
      <c r="A3027" t="s">
        <v>33</v>
      </c>
      <c r="B3027">
        <v>2016</v>
      </c>
      <c r="C3027" t="s">
        <v>35</v>
      </c>
      <c r="D3027" t="s">
        <v>4</v>
      </c>
      <c r="E3027" t="e">
        <f>VLOOKUP(Cpi_[[#This Row],[Attribute]],#REF!,2,FALSE)</f>
        <v>#REF!</v>
      </c>
      <c r="F3027">
        <v>135.1</v>
      </c>
      <c r="G3027">
        <f>(Cpi_[[#This Row],[Value]]-F3026)/F3026</f>
        <v>8.2532051282051266E-2</v>
      </c>
      <c r="H3027" t="e" cm="1" vm="1">
        <f t="array" aca="1" ref="H3027" ca="1">VLOOKUP(Cpi_[[#This Row],[Year]:[Month]],crudeoil[],3,FALSE)</f>
        <v>#VALUE!</v>
      </c>
    </row>
    <row r="3028" spans="1:8" hidden="1" x14ac:dyDescent="0.3">
      <c r="A3028" t="s">
        <v>33</v>
      </c>
      <c r="B3028">
        <v>2016</v>
      </c>
      <c r="C3028" t="s">
        <v>35</v>
      </c>
      <c r="D3028" t="s">
        <v>5</v>
      </c>
      <c r="E3028" t="e">
        <f>VLOOKUP(Cpi_[[#This Row],[Attribute]],#REF!,2,FALSE)</f>
        <v>#REF!</v>
      </c>
      <c r="F3028">
        <v>130.30000000000001</v>
      </c>
      <c r="G3028">
        <f>(Cpi_[[#This Row],[Value]]-F3027)/F3027</f>
        <v>-3.5529237601776335E-2</v>
      </c>
      <c r="H3028" t="e" cm="1" vm="1">
        <f t="array" aca="1" ref="H3028" ca="1">VLOOKUP(Cpi_[[#This Row],[Year]:[Month]],crudeoil[],3,FALSE)</f>
        <v>#VALUE!</v>
      </c>
    </row>
    <row r="3029" spans="1:8" hidden="1" x14ac:dyDescent="0.3">
      <c r="A3029" t="s">
        <v>33</v>
      </c>
      <c r="B3029">
        <v>2016</v>
      </c>
      <c r="C3029" t="s">
        <v>35</v>
      </c>
      <c r="D3029" t="s">
        <v>6</v>
      </c>
      <c r="E3029" t="e">
        <f>VLOOKUP(Cpi_[[#This Row],[Attribute]],#REF!,2,FALSE)</f>
        <v>#REF!</v>
      </c>
      <c r="F3029">
        <v>129.6</v>
      </c>
      <c r="G3029">
        <f>(Cpi_[[#This Row],[Value]]-F3028)/F3028</f>
        <v>-5.3722179585573059E-3</v>
      </c>
      <c r="H3029" t="e" cm="1" vm="1">
        <f t="array" aca="1" ref="H3029" ca="1">VLOOKUP(Cpi_[[#This Row],[Year]:[Month]],crudeoil[],3,FALSE)</f>
        <v>#VALUE!</v>
      </c>
    </row>
    <row r="3030" spans="1:8" hidden="1" x14ac:dyDescent="0.3">
      <c r="A3030" t="s">
        <v>33</v>
      </c>
      <c r="B3030">
        <v>2016</v>
      </c>
      <c r="C3030" t="s">
        <v>35</v>
      </c>
      <c r="D3030" t="s">
        <v>7</v>
      </c>
      <c r="E3030" t="e">
        <f>VLOOKUP(Cpi_[[#This Row],[Attribute]],#REF!,2,FALSE)</f>
        <v>#REF!</v>
      </c>
      <c r="F3030">
        <v>108.4</v>
      </c>
      <c r="G3030">
        <f>(Cpi_[[#This Row],[Value]]-F3029)/F3029</f>
        <v>-0.16358024691358017</v>
      </c>
      <c r="H3030" t="e" cm="1" vm="1">
        <f t="array" aca="1" ref="H3030" ca="1">VLOOKUP(Cpi_[[#This Row],[Year]:[Month]],crudeoil[],3,FALSE)</f>
        <v>#VALUE!</v>
      </c>
    </row>
    <row r="3031" spans="1:8" hidden="1" x14ac:dyDescent="0.3">
      <c r="A3031" t="s">
        <v>33</v>
      </c>
      <c r="B3031">
        <v>2016</v>
      </c>
      <c r="C3031" t="s">
        <v>35</v>
      </c>
      <c r="D3031" t="s">
        <v>8</v>
      </c>
      <c r="E3031" t="e">
        <f>VLOOKUP(Cpi_[[#This Row],[Attribute]],#REF!,2,FALSE)</f>
        <v>#REF!</v>
      </c>
      <c r="F3031">
        <v>118.6</v>
      </c>
      <c r="G3031">
        <f>(Cpi_[[#This Row],[Value]]-F3030)/F3030</f>
        <v>9.4095940959409485E-2</v>
      </c>
      <c r="H3031" t="e" cm="1" vm="1">
        <f t="array" aca="1" ref="H3031" ca="1">VLOOKUP(Cpi_[[#This Row],[Year]:[Month]],crudeoil[],3,FALSE)</f>
        <v>#VALUE!</v>
      </c>
    </row>
    <row r="3032" spans="1:8" hidden="1" x14ac:dyDescent="0.3">
      <c r="A3032" t="s">
        <v>33</v>
      </c>
      <c r="B3032">
        <v>2016</v>
      </c>
      <c r="C3032" t="s">
        <v>35</v>
      </c>
      <c r="D3032" t="s">
        <v>9</v>
      </c>
      <c r="E3032" t="e">
        <f>VLOOKUP(Cpi_[[#This Row],[Attribute]],#REF!,2,FALSE)</f>
        <v>#REF!</v>
      </c>
      <c r="F3032">
        <v>129.19999999999999</v>
      </c>
      <c r="G3032">
        <f>(Cpi_[[#This Row],[Value]]-F3031)/F3031</f>
        <v>8.9376053962900465E-2</v>
      </c>
      <c r="H3032" t="e" cm="1" vm="1">
        <f t="array" aca="1" ref="H3032" ca="1">VLOOKUP(Cpi_[[#This Row],[Year]:[Month]],crudeoil[],3,FALSE)</f>
        <v>#VALUE!</v>
      </c>
    </row>
    <row r="3033" spans="1:8" hidden="1" x14ac:dyDescent="0.3">
      <c r="A3033" t="s">
        <v>33</v>
      </c>
      <c r="B3033">
        <v>2016</v>
      </c>
      <c r="C3033" t="s">
        <v>35</v>
      </c>
      <c r="D3033" t="s">
        <v>10</v>
      </c>
      <c r="E3033" t="e">
        <f>VLOOKUP(Cpi_[[#This Row],[Attribute]],#REF!,2,FALSE)</f>
        <v>#REF!</v>
      </c>
      <c r="F3033">
        <v>176.4</v>
      </c>
      <c r="G3033">
        <f>(Cpi_[[#This Row],[Value]]-F3032)/F3032</f>
        <v>0.36532507739938097</v>
      </c>
      <c r="H3033" t="e" cm="1" vm="1">
        <f t="array" aca="1" ref="H3033" ca="1">VLOOKUP(Cpi_[[#This Row],[Year]:[Month]],crudeoil[],3,FALSE)</f>
        <v>#VALUE!</v>
      </c>
    </row>
    <row r="3034" spans="1:8" hidden="1" x14ac:dyDescent="0.3">
      <c r="A3034" t="s">
        <v>33</v>
      </c>
      <c r="B3034">
        <v>2016</v>
      </c>
      <c r="C3034" t="s">
        <v>35</v>
      </c>
      <c r="D3034" t="s">
        <v>11</v>
      </c>
      <c r="E3034" t="e">
        <f>VLOOKUP(Cpi_[[#This Row],[Attribute]],#REF!,2,FALSE)</f>
        <v>#REF!</v>
      </c>
      <c r="F3034">
        <v>99.1</v>
      </c>
      <c r="G3034">
        <f>(Cpi_[[#This Row],[Value]]-F3033)/F3033</f>
        <v>-0.43820861678004541</v>
      </c>
      <c r="H3034" t="e" cm="1" vm="1">
        <f t="array" aca="1" ref="H3034" ca="1">VLOOKUP(Cpi_[[#This Row],[Year]:[Month]],crudeoil[],3,FALSE)</f>
        <v>#VALUE!</v>
      </c>
    </row>
    <row r="3035" spans="1:8" hidden="1" x14ac:dyDescent="0.3">
      <c r="A3035" t="s">
        <v>33</v>
      </c>
      <c r="B3035">
        <v>2016</v>
      </c>
      <c r="C3035" t="s">
        <v>35</v>
      </c>
      <c r="D3035" t="s">
        <v>12</v>
      </c>
      <c r="E3035" t="e">
        <f>VLOOKUP(Cpi_[[#This Row],[Attribute]],#REF!,2,FALSE)</f>
        <v>#REF!</v>
      </c>
      <c r="F3035">
        <v>139.69999999999999</v>
      </c>
      <c r="G3035">
        <f>(Cpi_[[#This Row],[Value]]-F3034)/F3034</f>
        <v>0.40968718466195758</v>
      </c>
      <c r="H3035" t="e" cm="1" vm="1">
        <f t="array" aca="1" ref="H3035" ca="1">VLOOKUP(Cpi_[[#This Row],[Year]:[Month]],crudeoil[],3,FALSE)</f>
        <v>#VALUE!</v>
      </c>
    </row>
    <row r="3036" spans="1:8" hidden="1" x14ac:dyDescent="0.3">
      <c r="A3036" t="s">
        <v>33</v>
      </c>
      <c r="B3036">
        <v>2016</v>
      </c>
      <c r="C3036" t="s">
        <v>35</v>
      </c>
      <c r="D3036" t="s">
        <v>13</v>
      </c>
      <c r="E3036" t="e">
        <f>VLOOKUP(Cpi_[[#This Row],[Attribute]],#REF!,2,FALSE)</f>
        <v>#REF!</v>
      </c>
      <c r="F3036">
        <v>120.6</v>
      </c>
      <c r="G3036">
        <f>(Cpi_[[#This Row],[Value]]-F3035)/F3035</f>
        <v>-0.13672154617036503</v>
      </c>
      <c r="H3036" t="e" cm="1" vm="1">
        <f t="array" aca="1" ref="H3036" ca="1">VLOOKUP(Cpi_[[#This Row],[Year]:[Month]],crudeoil[],3,FALSE)</f>
        <v>#VALUE!</v>
      </c>
    </row>
    <row r="3037" spans="1:8" hidden="1" x14ac:dyDescent="0.3">
      <c r="A3037" t="s">
        <v>33</v>
      </c>
      <c r="B3037">
        <v>2016</v>
      </c>
      <c r="C3037" t="s">
        <v>35</v>
      </c>
      <c r="D3037" t="s">
        <v>14</v>
      </c>
      <c r="E3037" t="e">
        <f>VLOOKUP(Cpi_[[#This Row],[Attribute]],#REF!,2,FALSE)</f>
        <v>#REF!</v>
      </c>
      <c r="F3037">
        <v>135.19999999999999</v>
      </c>
      <c r="G3037">
        <f>(Cpi_[[#This Row],[Value]]-F3036)/F3036</f>
        <v>0.12106135986732998</v>
      </c>
      <c r="H3037" t="e" cm="1" vm="1">
        <f t="array" aca="1" ref="H3037" ca="1">VLOOKUP(Cpi_[[#This Row],[Year]:[Month]],crudeoil[],3,FALSE)</f>
        <v>#VALUE!</v>
      </c>
    </row>
    <row r="3038" spans="1:8" hidden="1" x14ac:dyDescent="0.3">
      <c r="A3038" t="s">
        <v>33</v>
      </c>
      <c r="B3038">
        <v>2016</v>
      </c>
      <c r="C3038" t="s">
        <v>35</v>
      </c>
      <c r="D3038" t="s">
        <v>15</v>
      </c>
      <c r="E3038" t="e">
        <f>VLOOKUP(Cpi_[[#This Row],[Attribute]],#REF!,2,FALSE)</f>
        <v>#REF!</v>
      </c>
      <c r="F3038">
        <v>129.1</v>
      </c>
      <c r="G3038">
        <f>(Cpi_[[#This Row],[Value]]-F3037)/F3037</f>
        <v>-4.5118343195266232E-2</v>
      </c>
      <c r="H3038" t="e" cm="1" vm="1">
        <f t="array" aca="1" ref="H3038" ca="1">VLOOKUP(Cpi_[[#This Row],[Year]:[Month]],crudeoil[],3,FALSE)</f>
        <v>#VALUE!</v>
      </c>
    </row>
    <row r="3039" spans="1:8" hidden="1" x14ac:dyDescent="0.3">
      <c r="A3039" t="s">
        <v>33</v>
      </c>
      <c r="B3039">
        <v>2016</v>
      </c>
      <c r="C3039" t="s">
        <v>35</v>
      </c>
      <c r="D3039" t="s">
        <v>16</v>
      </c>
      <c r="E3039" t="e">
        <f>VLOOKUP(Cpi_[[#This Row],[Attribute]],#REF!,2,FALSE)</f>
        <v>#REF!</v>
      </c>
      <c r="F3039">
        <v>140</v>
      </c>
      <c r="G3039">
        <f>(Cpi_[[#This Row],[Value]]-F3038)/F3038</f>
        <v>8.4430673896204539E-2</v>
      </c>
      <c r="H3039" t="e" cm="1" vm="1">
        <f t="array" aca="1" ref="H3039" ca="1">VLOOKUP(Cpi_[[#This Row],[Year]:[Month]],crudeoil[],3,FALSE)</f>
        <v>#VALUE!</v>
      </c>
    </row>
    <row r="3040" spans="1:8" hidden="1" x14ac:dyDescent="0.3">
      <c r="A3040" t="s">
        <v>33</v>
      </c>
      <c r="B3040">
        <v>2016</v>
      </c>
      <c r="C3040" t="s">
        <v>35</v>
      </c>
      <c r="D3040" t="s">
        <v>17</v>
      </c>
      <c r="E3040" t="e">
        <f>VLOOKUP(Cpi_[[#This Row],[Attribute]],#REF!,2,FALSE)</f>
        <v>#REF!</v>
      </c>
      <c r="F3040">
        <v>126.2</v>
      </c>
      <c r="G3040">
        <f>(Cpi_[[#This Row],[Value]]-F3039)/F3039</f>
        <v>-9.8571428571428546E-2</v>
      </c>
      <c r="H3040" t="e" cm="1" vm="1">
        <f t="array" aca="1" ref="H3040" ca="1">VLOOKUP(Cpi_[[#This Row],[Year]:[Month]],crudeoil[],3,FALSE)</f>
        <v>#VALUE!</v>
      </c>
    </row>
    <row r="3041" spans="1:8" hidden="1" x14ac:dyDescent="0.3">
      <c r="A3041" t="s">
        <v>33</v>
      </c>
      <c r="B3041">
        <v>2016</v>
      </c>
      <c r="C3041" t="s">
        <v>35</v>
      </c>
      <c r="D3041" t="s">
        <v>18</v>
      </c>
      <c r="E3041" t="e">
        <f>VLOOKUP(Cpi_[[#This Row],[Attribute]],#REF!,2,FALSE)</f>
        <v>#REF!</v>
      </c>
      <c r="F3041">
        <v>120.1</v>
      </c>
      <c r="G3041">
        <f>(Cpi_[[#This Row],[Value]]-F3040)/F3040</f>
        <v>-4.8335974643423207E-2</v>
      </c>
      <c r="H3041" t="e" cm="1" vm="1">
        <f t="array" aca="1" ref="H3041" ca="1">VLOOKUP(Cpi_[[#This Row],[Year]:[Month]],crudeoil[],3,FALSE)</f>
        <v>#VALUE!</v>
      </c>
    </row>
    <row r="3042" spans="1:8" hidden="1" x14ac:dyDescent="0.3">
      <c r="A3042" t="s">
        <v>33</v>
      </c>
      <c r="B3042">
        <v>2016</v>
      </c>
      <c r="C3042" t="s">
        <v>35</v>
      </c>
      <c r="D3042" t="s">
        <v>19</v>
      </c>
      <c r="E3042" t="e">
        <f>VLOOKUP(Cpi_[[#This Row],[Attribute]],#REF!,2,FALSE)</f>
        <v>#REF!</v>
      </c>
      <c r="F3042">
        <v>125.3</v>
      </c>
      <c r="G3042">
        <f>(Cpi_[[#This Row],[Value]]-F3041)/F3041</f>
        <v>4.3297252289758559E-2</v>
      </c>
      <c r="H3042" t="e" cm="1" vm="1">
        <f t="array" aca="1" ref="H3042" ca="1">VLOOKUP(Cpi_[[#This Row],[Year]:[Month]],crudeoil[],3,FALSE)</f>
        <v>#VALUE!</v>
      </c>
    </row>
    <row r="3043" spans="1:8" hidden="1" x14ac:dyDescent="0.3">
      <c r="A3043" t="s">
        <v>33</v>
      </c>
      <c r="B3043">
        <v>2016</v>
      </c>
      <c r="C3043" t="s">
        <v>35</v>
      </c>
      <c r="D3043" t="s">
        <v>20</v>
      </c>
      <c r="E3043" t="e">
        <f>VLOOKUP(Cpi_[[#This Row],[Attribute]],#REF!,2,FALSE)</f>
        <v>#REF!</v>
      </c>
      <c r="F3043">
        <v>124.4</v>
      </c>
      <c r="G3043">
        <f>(Cpi_[[#This Row],[Value]]-F3042)/F3042</f>
        <v>-7.1827613727054387E-3</v>
      </c>
      <c r="H3043" t="e" cm="1" vm="1">
        <f t="array" aca="1" ref="H3043" ca="1">VLOOKUP(Cpi_[[#This Row],[Year]:[Month]],crudeoil[],3,FALSE)</f>
        <v>#VALUE!</v>
      </c>
    </row>
    <row r="3044" spans="1:8" hidden="1" x14ac:dyDescent="0.3">
      <c r="A3044" t="s">
        <v>33</v>
      </c>
      <c r="B3044">
        <v>2016</v>
      </c>
      <c r="C3044" t="s">
        <v>35</v>
      </c>
      <c r="D3044" t="s">
        <v>21</v>
      </c>
      <c r="E3044" t="e">
        <f>VLOOKUP(Cpi_[[#This Row],[Attribute]],#REF!,2,FALSE)</f>
        <v>#REF!</v>
      </c>
      <c r="F3044">
        <v>116</v>
      </c>
      <c r="G3044">
        <f>(Cpi_[[#This Row],[Value]]-F3043)/F3043</f>
        <v>-6.7524115755627057E-2</v>
      </c>
      <c r="H3044" t="e" cm="1" vm="1">
        <f t="array" aca="1" ref="H3044" ca="1">VLOOKUP(Cpi_[[#This Row],[Year]:[Month]],crudeoil[],3,FALSE)</f>
        <v>#VALUE!</v>
      </c>
    </row>
    <row r="3045" spans="1:8" hidden="1" x14ac:dyDescent="0.3">
      <c r="A3045" t="s">
        <v>33</v>
      </c>
      <c r="B3045">
        <v>2016</v>
      </c>
      <c r="C3045" t="s">
        <v>35</v>
      </c>
      <c r="D3045" t="s">
        <v>22</v>
      </c>
      <c r="E3045" t="e">
        <f>VLOOKUP(Cpi_[[#This Row],[Attribute]],#REF!,2,FALSE)</f>
        <v>#REF!</v>
      </c>
      <c r="F3045">
        <v>121.8</v>
      </c>
      <c r="G3045">
        <f>(Cpi_[[#This Row],[Value]]-F3044)/F3044</f>
        <v>4.9999999999999975E-2</v>
      </c>
      <c r="H3045" t="e" cm="1" vm="1">
        <f t="array" aca="1" ref="H3045" ca="1">VLOOKUP(Cpi_[[#This Row],[Year]:[Month]],crudeoil[],3,FALSE)</f>
        <v>#VALUE!</v>
      </c>
    </row>
    <row r="3046" spans="1:8" hidden="1" x14ac:dyDescent="0.3">
      <c r="A3046" t="s">
        <v>33</v>
      </c>
      <c r="B3046">
        <v>2016</v>
      </c>
      <c r="C3046" t="s">
        <v>35</v>
      </c>
      <c r="D3046" t="s">
        <v>23</v>
      </c>
      <c r="E3046" t="e">
        <f>VLOOKUP(Cpi_[[#This Row],[Attribute]],#REF!,2,FALSE)</f>
        <v>#REF!</v>
      </c>
      <c r="F3046">
        <v>119.5</v>
      </c>
      <c r="G3046">
        <f>(Cpi_[[#This Row],[Value]]-F3045)/F3045</f>
        <v>-1.888341543513955E-2</v>
      </c>
      <c r="H3046" t="e" cm="1" vm="1">
        <f t="array" aca="1" ref="H3046" ca="1">VLOOKUP(Cpi_[[#This Row],[Year]:[Month]],crudeoil[],3,FALSE)</f>
        <v>#VALUE!</v>
      </c>
    </row>
    <row r="3047" spans="1:8" hidden="1" x14ac:dyDescent="0.3">
      <c r="A3047" t="s">
        <v>33</v>
      </c>
      <c r="B3047">
        <v>2016</v>
      </c>
      <c r="C3047" t="s">
        <v>35</v>
      </c>
      <c r="D3047" t="s">
        <v>24</v>
      </c>
      <c r="E3047" t="e">
        <f>VLOOKUP(Cpi_[[#This Row],[Attribute]],#REF!,2,FALSE)</f>
        <v>#REF!</v>
      </c>
      <c r="F3047">
        <v>109.1</v>
      </c>
      <c r="G3047">
        <f>(Cpi_[[#This Row],[Value]]-F3046)/F3046</f>
        <v>-8.702928870292892E-2</v>
      </c>
      <c r="H3047" t="e" cm="1" vm="1">
        <f t="array" aca="1" ref="H3047" ca="1">VLOOKUP(Cpi_[[#This Row],[Year]:[Month]],crudeoil[],3,FALSE)</f>
        <v>#VALUE!</v>
      </c>
    </row>
    <row r="3048" spans="1:8" hidden="1" x14ac:dyDescent="0.3">
      <c r="A3048" t="s">
        <v>33</v>
      </c>
      <c r="B3048">
        <v>2016</v>
      </c>
      <c r="C3048" t="s">
        <v>35</v>
      </c>
      <c r="D3048" t="s">
        <v>25</v>
      </c>
      <c r="E3048" t="e">
        <f>VLOOKUP(Cpi_[[#This Row],[Attribute]],#REF!,2,FALSE)</f>
        <v>#REF!</v>
      </c>
      <c r="F3048">
        <v>118.8</v>
      </c>
      <c r="G3048">
        <f>(Cpi_[[#This Row],[Value]]-F3047)/F3047</f>
        <v>8.8909257561869875E-2</v>
      </c>
      <c r="H3048" t="e" cm="1" vm="1">
        <f t="array" aca="1" ref="H3048" ca="1">VLOOKUP(Cpi_[[#This Row],[Year]:[Month]],crudeoil[],3,FALSE)</f>
        <v>#VALUE!</v>
      </c>
    </row>
    <row r="3049" spans="1:8" hidden="1" x14ac:dyDescent="0.3">
      <c r="A3049" t="s">
        <v>33</v>
      </c>
      <c r="B3049">
        <v>2016</v>
      </c>
      <c r="C3049" t="s">
        <v>35</v>
      </c>
      <c r="D3049" t="s">
        <v>26</v>
      </c>
      <c r="E3049" t="e">
        <f>VLOOKUP(Cpi_[[#This Row],[Attribute]],#REF!,2,FALSE)</f>
        <v>#REF!</v>
      </c>
      <c r="F3049">
        <v>126.3</v>
      </c>
      <c r="G3049">
        <f>(Cpi_[[#This Row],[Value]]-F3048)/F3048</f>
        <v>6.3131313131313135E-2</v>
      </c>
      <c r="H3049" t="e" cm="1" vm="1">
        <f t="array" aca="1" ref="H3049" ca="1">VLOOKUP(Cpi_[[#This Row],[Year]:[Month]],crudeoil[],3,FALSE)</f>
        <v>#VALUE!</v>
      </c>
    </row>
    <row r="3050" spans="1:8" hidden="1" x14ac:dyDescent="0.3">
      <c r="A3050" t="s">
        <v>33</v>
      </c>
      <c r="B3050">
        <v>2016</v>
      </c>
      <c r="C3050" t="s">
        <v>35</v>
      </c>
      <c r="D3050" t="s">
        <v>27</v>
      </c>
      <c r="E3050" t="e">
        <f>VLOOKUP(Cpi_[[#This Row],[Attribute]],#REF!,2,FALSE)</f>
        <v>#REF!</v>
      </c>
      <c r="F3050">
        <v>116.2</v>
      </c>
      <c r="G3050">
        <f>(Cpi_[[#This Row],[Value]]-F3049)/F3049</f>
        <v>-7.9968329374505098E-2</v>
      </c>
      <c r="H3050" t="e" cm="1" vm="1">
        <f t="array" aca="1" ref="H3050" ca="1">VLOOKUP(Cpi_[[#This Row],[Year]:[Month]],crudeoil[],3,FALSE)</f>
        <v>#VALUE!</v>
      </c>
    </row>
    <row r="3051" spans="1:8" hidden="1" x14ac:dyDescent="0.3">
      <c r="A3051" t="s">
        <v>33</v>
      </c>
      <c r="B3051">
        <v>2016</v>
      </c>
      <c r="C3051" t="s">
        <v>35</v>
      </c>
      <c r="D3051" t="s">
        <v>28</v>
      </c>
      <c r="E3051" t="e">
        <f>VLOOKUP(Cpi_[[#This Row],[Attribute]],#REF!,2,FALSE)</f>
        <v>#REF!</v>
      </c>
      <c r="F3051">
        <v>117.2</v>
      </c>
      <c r="G3051">
        <f>(Cpi_[[#This Row],[Value]]-F3050)/F3050</f>
        <v>8.6058519793459545E-3</v>
      </c>
      <c r="H3051" t="e" cm="1" vm="1">
        <f t="array" aca="1" ref="H3051" ca="1">VLOOKUP(Cpi_[[#This Row],[Year]:[Month]],crudeoil[],3,FALSE)</f>
        <v>#VALUE!</v>
      </c>
    </row>
    <row r="3052" spans="1:8" hidden="1" x14ac:dyDescent="0.3">
      <c r="A3052" t="s">
        <v>33</v>
      </c>
      <c r="B3052">
        <v>2016</v>
      </c>
      <c r="C3052" t="s">
        <v>35</v>
      </c>
      <c r="D3052" t="s">
        <v>29</v>
      </c>
      <c r="E3052" t="e" cm="1">
        <f t="array" aca="1" ref="E3052" ca="1">VLGeneral indexGeneral indexKUP(Cpi_[[#This Row],[Attribute]],#REF!,2,FALSE)</f>
        <v>#NAME?</v>
      </c>
      <c r="F3052">
        <v>123.8</v>
      </c>
      <c r="G3052">
        <f>(Cpi_[[#This Row],[Value]]-F3051)/F3051</f>
        <v>5.6313993174061383E-2</v>
      </c>
      <c r="H3052" t="e" cm="1" vm="1">
        <f t="array" aca="1" ref="H3052" ca="1">VLOOKUP(Cpi_[[#This Row],[Year]:[Month]],crudeoil[],3,FALSE)</f>
        <v>#VALUE!</v>
      </c>
    </row>
    <row r="3053" spans="1:8" hidden="1" x14ac:dyDescent="0.3">
      <c r="A3053" t="s">
        <v>34</v>
      </c>
      <c r="B3053">
        <v>2016</v>
      </c>
      <c r="C3053" t="s">
        <v>35</v>
      </c>
      <c r="D3053" t="s">
        <v>3</v>
      </c>
      <c r="E3053" t="e">
        <f>VLOOKUP(Cpi_[[#This Row],[Attribute]],#REF!,2,FALSE)</f>
        <v>#REF!</v>
      </c>
      <c r="F3053">
        <v>126.4</v>
      </c>
      <c r="G3053">
        <f>(Cpi_[[#This Row],[Value]]-F3052)/F3052</f>
        <v>2.1001615508885369E-2</v>
      </c>
      <c r="H3053" t="e" cm="1" vm="1">
        <f t="array" aca="1" ref="H3053" ca="1">VLOOKUP(Cpi_[[#This Row],[Year]:[Month]],crudeoil[],3,FALSE)</f>
        <v>#VALUE!</v>
      </c>
    </row>
    <row r="3054" spans="1:8" hidden="1" x14ac:dyDescent="0.3">
      <c r="A3054" t="s">
        <v>34</v>
      </c>
      <c r="B3054">
        <v>2016</v>
      </c>
      <c r="C3054" t="s">
        <v>35</v>
      </c>
      <c r="D3054" t="s">
        <v>4</v>
      </c>
      <c r="E3054" t="e">
        <f>VLOOKUP(Cpi_[[#This Row],[Attribute]],#REF!,2,FALSE)</f>
        <v>#REF!</v>
      </c>
      <c r="F3054">
        <v>134.19999999999999</v>
      </c>
      <c r="G3054">
        <f>(Cpi_[[#This Row],[Value]]-F3053)/F3053</f>
        <v>6.1708860759493535E-2</v>
      </c>
      <c r="H3054" t="e" cm="1" vm="1">
        <f t="array" aca="1" ref="H3054" ca="1">VLOOKUP(Cpi_[[#This Row],[Year]:[Month]],crudeoil[],3,FALSE)</f>
        <v>#VALUE!</v>
      </c>
    </row>
    <row r="3055" spans="1:8" hidden="1" x14ac:dyDescent="0.3">
      <c r="A3055" t="s">
        <v>34</v>
      </c>
      <c r="B3055">
        <v>2016</v>
      </c>
      <c r="C3055" t="s">
        <v>35</v>
      </c>
      <c r="D3055" t="s">
        <v>5</v>
      </c>
      <c r="E3055" t="e">
        <f>VLOOKUP(Cpi_[[#This Row],[Attribute]],#REF!,2,FALSE)</f>
        <v>#REF!</v>
      </c>
      <c r="F3055">
        <v>128.69999999999999</v>
      </c>
      <c r="G3055">
        <f>(Cpi_[[#This Row],[Value]]-F3054)/F3054</f>
        <v>-4.0983606557377053E-2</v>
      </c>
      <c r="H3055" t="e" cm="1" vm="1">
        <f t="array" aca="1" ref="H3055" ca="1">VLOOKUP(Cpi_[[#This Row],[Year]:[Month]],crudeoil[],3,FALSE)</f>
        <v>#VALUE!</v>
      </c>
    </row>
    <row r="3056" spans="1:8" hidden="1" x14ac:dyDescent="0.3">
      <c r="A3056" t="s">
        <v>34</v>
      </c>
      <c r="B3056">
        <v>2016</v>
      </c>
      <c r="C3056" t="s">
        <v>35</v>
      </c>
      <c r="D3056" t="s">
        <v>6</v>
      </c>
      <c r="E3056" t="e">
        <f>VLOOKUP(Cpi_[[#This Row],[Attribute]],#REF!,2,FALSE)</f>
        <v>#REF!</v>
      </c>
      <c r="F3056">
        <v>130.30000000000001</v>
      </c>
      <c r="G3056">
        <f>(Cpi_[[#This Row],[Value]]-F3055)/F3055</f>
        <v>1.2432012432012609E-2</v>
      </c>
      <c r="H3056" t="e" cm="1" vm="1">
        <f t="array" aca="1" ref="H3056" ca="1">VLOOKUP(Cpi_[[#This Row],[Year]:[Month]],crudeoil[],3,FALSE)</f>
        <v>#VALUE!</v>
      </c>
    </row>
    <row r="3057" spans="1:8" hidden="1" x14ac:dyDescent="0.3">
      <c r="A3057" t="s">
        <v>34</v>
      </c>
      <c r="B3057">
        <v>2016</v>
      </c>
      <c r="C3057" t="s">
        <v>35</v>
      </c>
      <c r="D3057" t="s">
        <v>7</v>
      </c>
      <c r="E3057" t="e">
        <f>VLOOKUP(Cpi_[[#This Row],[Attribute]],#REF!,2,FALSE)</f>
        <v>#REF!</v>
      </c>
      <c r="F3057">
        <v>114.8</v>
      </c>
      <c r="G3057">
        <f>(Cpi_[[#This Row],[Value]]-F3056)/F3056</f>
        <v>-0.11895625479662328</v>
      </c>
      <c r="H3057" t="e" cm="1" vm="1">
        <f t="array" aca="1" ref="H3057" ca="1">VLOOKUP(Cpi_[[#This Row],[Year]:[Month]],crudeoil[],3,FALSE)</f>
        <v>#VALUE!</v>
      </c>
    </row>
    <row r="3058" spans="1:8" hidden="1" x14ac:dyDescent="0.3">
      <c r="A3058" t="s">
        <v>34</v>
      </c>
      <c r="B3058">
        <v>2016</v>
      </c>
      <c r="C3058" t="s">
        <v>35</v>
      </c>
      <c r="D3058" t="s">
        <v>8</v>
      </c>
      <c r="E3058" t="e">
        <f>VLOOKUP(Cpi_[[#This Row],[Attribute]],#REF!,2,FALSE)</f>
        <v>#REF!</v>
      </c>
      <c r="F3058">
        <v>124.9</v>
      </c>
      <c r="G3058">
        <f>(Cpi_[[#This Row],[Value]]-F3057)/F3057</f>
        <v>8.7979094076655134E-2</v>
      </c>
      <c r="H3058" t="e" cm="1" vm="1">
        <f t="array" aca="1" ref="H3058" ca="1">VLOOKUP(Cpi_[[#This Row],[Year]:[Month]],crudeoil[],3,FALSE)</f>
        <v>#VALUE!</v>
      </c>
    </row>
    <row r="3059" spans="1:8" hidden="1" x14ac:dyDescent="0.3">
      <c r="A3059" t="s">
        <v>34</v>
      </c>
      <c r="B3059">
        <v>2016</v>
      </c>
      <c r="C3059" t="s">
        <v>35</v>
      </c>
      <c r="D3059" t="s">
        <v>9</v>
      </c>
      <c r="E3059" t="e">
        <f>VLOOKUP(Cpi_[[#This Row],[Attribute]],#REF!,2,FALSE)</f>
        <v>#REF!</v>
      </c>
      <c r="F3059">
        <v>130.30000000000001</v>
      </c>
      <c r="G3059">
        <f>(Cpi_[[#This Row],[Value]]-F3058)/F3058</f>
        <v>4.3234587670136153E-2</v>
      </c>
      <c r="H3059" t="e" cm="1" vm="1">
        <f t="array" aca="1" ref="H3059" ca="1">VLOOKUP(Cpi_[[#This Row],[Year]:[Month]],crudeoil[],3,FALSE)</f>
        <v>#VALUE!</v>
      </c>
    </row>
    <row r="3060" spans="1:8" hidden="1" x14ac:dyDescent="0.3">
      <c r="A3060" t="s">
        <v>34</v>
      </c>
      <c r="B3060">
        <v>2016</v>
      </c>
      <c r="C3060" t="s">
        <v>35</v>
      </c>
      <c r="D3060" t="s">
        <v>10</v>
      </c>
      <c r="E3060" t="e">
        <f>VLOOKUP(Cpi_[[#This Row],[Attribute]],#REF!,2,FALSE)</f>
        <v>#REF!</v>
      </c>
      <c r="F3060">
        <v>167.4</v>
      </c>
      <c r="G3060">
        <f>(Cpi_[[#This Row],[Value]]-F3059)/F3059</f>
        <v>0.28472755180353027</v>
      </c>
      <c r="H3060" t="e" cm="1" vm="1">
        <f t="array" aca="1" ref="H3060" ca="1">VLOOKUP(Cpi_[[#This Row],[Year]:[Month]],crudeoil[],3,FALSE)</f>
        <v>#VALUE!</v>
      </c>
    </row>
    <row r="3061" spans="1:8" hidden="1" x14ac:dyDescent="0.3">
      <c r="A3061" t="s">
        <v>34</v>
      </c>
      <c r="B3061">
        <v>2016</v>
      </c>
      <c r="C3061" t="s">
        <v>35</v>
      </c>
      <c r="D3061" t="s">
        <v>11</v>
      </c>
      <c r="E3061" t="e">
        <f>VLOOKUP(Cpi_[[#This Row],[Attribute]],#REF!,2,FALSE)</f>
        <v>#REF!</v>
      </c>
      <c r="F3061">
        <v>98.8</v>
      </c>
      <c r="G3061">
        <f>(Cpi_[[#This Row],[Value]]-F3060)/F3060</f>
        <v>-0.40979689366786143</v>
      </c>
      <c r="H3061" t="e" cm="1" vm="1">
        <f t="array" aca="1" ref="H3061" ca="1">VLOOKUP(Cpi_[[#This Row],[Year]:[Month]],crudeoil[],3,FALSE)</f>
        <v>#VALUE!</v>
      </c>
    </row>
    <row r="3062" spans="1:8" hidden="1" x14ac:dyDescent="0.3">
      <c r="A3062" t="s">
        <v>34</v>
      </c>
      <c r="B3062">
        <v>2016</v>
      </c>
      <c r="C3062" t="s">
        <v>35</v>
      </c>
      <c r="D3062" t="s">
        <v>12</v>
      </c>
      <c r="E3062" t="e">
        <f>VLOOKUP(Cpi_[[#This Row],[Attribute]],#REF!,2,FALSE)</f>
        <v>#REF!</v>
      </c>
      <c r="F3062">
        <v>133.6</v>
      </c>
      <c r="G3062">
        <f>(Cpi_[[#This Row],[Value]]-F3061)/F3061</f>
        <v>0.35222672064777327</v>
      </c>
      <c r="H3062" t="e" cm="1" vm="1">
        <f t="array" aca="1" ref="H3062" ca="1">VLOOKUP(Cpi_[[#This Row],[Year]:[Month]],crudeoil[],3,FALSE)</f>
        <v>#VALUE!</v>
      </c>
    </row>
    <row r="3063" spans="1:8" hidden="1" x14ac:dyDescent="0.3">
      <c r="A3063" t="s">
        <v>34</v>
      </c>
      <c r="B3063">
        <v>2016</v>
      </c>
      <c r="C3063" t="s">
        <v>35</v>
      </c>
      <c r="D3063" t="s">
        <v>13</v>
      </c>
      <c r="E3063" t="e">
        <f>VLOOKUP(Cpi_[[#This Row],[Attribute]],#REF!,2,FALSE)</f>
        <v>#REF!</v>
      </c>
      <c r="F3063">
        <v>123</v>
      </c>
      <c r="G3063">
        <f>(Cpi_[[#This Row],[Value]]-F3062)/F3062</f>
        <v>-7.934131736526942E-2</v>
      </c>
      <c r="H3063" t="e" cm="1" vm="1">
        <f t="array" aca="1" ref="H3063" ca="1">VLOOKUP(Cpi_[[#This Row],[Year]:[Month]],crudeoil[],3,FALSE)</f>
        <v>#VALUE!</v>
      </c>
    </row>
    <row r="3064" spans="1:8" hidden="1" x14ac:dyDescent="0.3">
      <c r="A3064" t="s">
        <v>34</v>
      </c>
      <c r="B3064">
        <v>2016</v>
      </c>
      <c r="C3064" t="s">
        <v>35</v>
      </c>
      <c r="D3064" t="s">
        <v>14</v>
      </c>
      <c r="E3064" t="e">
        <f>VLOOKUP(Cpi_[[#This Row],[Attribute]],#REF!,2,FALSE)</f>
        <v>#REF!</v>
      </c>
      <c r="F3064">
        <v>135.80000000000001</v>
      </c>
      <c r="G3064">
        <f>(Cpi_[[#This Row],[Value]]-F3063)/F3063</f>
        <v>0.1040650406504066</v>
      </c>
      <c r="H3064" t="e" cm="1" vm="1">
        <f t="array" aca="1" ref="H3064" ca="1">VLOOKUP(Cpi_[[#This Row],[Year]:[Month]],crudeoil[],3,FALSE)</f>
        <v>#VALUE!</v>
      </c>
    </row>
    <row r="3065" spans="1:8" hidden="1" x14ac:dyDescent="0.3">
      <c r="A3065" t="s">
        <v>34</v>
      </c>
      <c r="B3065">
        <v>2016</v>
      </c>
      <c r="C3065" t="s">
        <v>35</v>
      </c>
      <c r="D3065" t="s">
        <v>15</v>
      </c>
      <c r="E3065" t="e">
        <f>VLOOKUP(Cpi_[[#This Row],[Attribute]],#REF!,2,FALSE)</f>
        <v>#REF!</v>
      </c>
      <c r="F3065">
        <v>129.9</v>
      </c>
      <c r="G3065">
        <f>(Cpi_[[#This Row],[Value]]-F3064)/F3064</f>
        <v>-4.3446244477172352E-2</v>
      </c>
      <c r="H3065" t="e" cm="1" vm="1">
        <f t="array" aca="1" ref="H3065" ca="1">VLOOKUP(Cpi_[[#This Row],[Year]:[Month]],crudeoil[],3,FALSE)</f>
        <v>#VALUE!</v>
      </c>
    </row>
    <row r="3066" spans="1:8" hidden="1" x14ac:dyDescent="0.3">
      <c r="A3066" t="s">
        <v>34</v>
      </c>
      <c r="B3066">
        <v>2016</v>
      </c>
      <c r="C3066" t="s">
        <v>35</v>
      </c>
      <c r="D3066" t="s">
        <v>16</v>
      </c>
      <c r="E3066" t="e">
        <f>VLOOKUP(Cpi_[[#This Row],[Attribute]],#REF!,2,FALSE)</f>
        <v>#REF!</v>
      </c>
      <c r="F3066">
        <v>135.9</v>
      </c>
      <c r="G3066">
        <f>(Cpi_[[#This Row],[Value]]-F3065)/F3065</f>
        <v>4.6189376443418015E-2</v>
      </c>
      <c r="H3066" t="e" cm="1" vm="1">
        <f t="array" aca="1" ref="H3066" ca="1">VLOOKUP(Cpi_[[#This Row],[Year]:[Month]],crudeoil[],3,FALSE)</f>
        <v>#VALUE!</v>
      </c>
    </row>
    <row r="3067" spans="1:8" hidden="1" x14ac:dyDescent="0.3">
      <c r="A3067" t="s">
        <v>34</v>
      </c>
      <c r="B3067">
        <v>2016</v>
      </c>
      <c r="C3067" t="s">
        <v>35</v>
      </c>
      <c r="D3067" t="s">
        <v>17</v>
      </c>
      <c r="E3067" t="e">
        <f>VLOOKUP(Cpi_[[#This Row],[Attribute]],#REF!,2,FALSE)</f>
        <v>#REF!</v>
      </c>
      <c r="F3067">
        <v>130.9</v>
      </c>
      <c r="G3067">
        <f>(Cpi_[[#This Row],[Value]]-F3066)/F3066</f>
        <v>-3.679175864606328E-2</v>
      </c>
      <c r="H3067" t="e" cm="1" vm="1">
        <f t="array" aca="1" ref="H3067" ca="1">VLOOKUP(Cpi_[[#This Row],[Year]:[Month]],crudeoil[],3,FALSE)</f>
        <v>#VALUE!</v>
      </c>
    </row>
    <row r="3068" spans="1:8" hidden="1" x14ac:dyDescent="0.3">
      <c r="A3068" t="s">
        <v>34</v>
      </c>
      <c r="B3068">
        <v>2016</v>
      </c>
      <c r="C3068" t="s">
        <v>35</v>
      </c>
      <c r="D3068" t="s">
        <v>18</v>
      </c>
      <c r="E3068" t="e">
        <f>VLOOKUP(Cpi_[[#This Row],[Attribute]],#REF!,2,FALSE)</f>
        <v>#REF!</v>
      </c>
      <c r="F3068">
        <v>125.8</v>
      </c>
      <c r="G3068">
        <f>(Cpi_[[#This Row],[Value]]-F3067)/F3067</f>
        <v>-3.8961038961039023E-2</v>
      </c>
      <c r="H3068" t="e" cm="1" vm="1">
        <f t="array" aca="1" ref="H3068" ca="1">VLOOKUP(Cpi_[[#This Row],[Year]:[Month]],crudeoil[],3,FALSE)</f>
        <v>#VALUE!</v>
      </c>
    </row>
    <row r="3069" spans="1:8" hidden="1" x14ac:dyDescent="0.3">
      <c r="A3069" t="s">
        <v>34</v>
      </c>
      <c r="B3069">
        <v>2016</v>
      </c>
      <c r="C3069" t="s">
        <v>35</v>
      </c>
      <c r="D3069" t="s">
        <v>19</v>
      </c>
      <c r="E3069" t="e">
        <f>VLOOKUP(Cpi_[[#This Row],[Attribute]],#REF!,2,FALSE)</f>
        <v>#REF!</v>
      </c>
      <c r="F3069">
        <v>130.19999999999999</v>
      </c>
      <c r="G3069">
        <f>(Cpi_[[#This Row],[Value]]-F3068)/F3068</f>
        <v>3.4976152623211382E-2</v>
      </c>
      <c r="H3069" t="e" cm="1" vm="1">
        <f t="array" aca="1" ref="H3069" ca="1">VLOOKUP(Cpi_[[#This Row],[Year]:[Month]],crudeoil[],3,FALSE)</f>
        <v>#VALUE!</v>
      </c>
    </row>
    <row r="3070" spans="1:8" hidden="1" x14ac:dyDescent="0.3">
      <c r="A3070" t="s">
        <v>34</v>
      </c>
      <c r="B3070">
        <v>2016</v>
      </c>
      <c r="C3070" t="s">
        <v>35</v>
      </c>
      <c r="D3070" t="s">
        <v>20</v>
      </c>
      <c r="E3070" t="e">
        <f>VLOOKUP(Cpi_[[#This Row],[Attribute]],#REF!,2,FALSE)</f>
        <v>#REF!</v>
      </c>
      <c r="F3070">
        <v>124.4</v>
      </c>
      <c r="G3070">
        <f>(Cpi_[[#This Row],[Value]]-F3069)/F3069</f>
        <v>-4.4546850998463776E-2</v>
      </c>
      <c r="H3070" t="e" cm="1" vm="1">
        <f t="array" aca="1" ref="H3070" ca="1">VLOOKUP(Cpi_[[#This Row],[Year]:[Month]],crudeoil[],3,FALSE)</f>
        <v>#VALUE!</v>
      </c>
    </row>
    <row r="3071" spans="1:8" hidden="1" x14ac:dyDescent="0.3">
      <c r="A3071" t="s">
        <v>34</v>
      </c>
      <c r="B3071">
        <v>2016</v>
      </c>
      <c r="C3071" t="s">
        <v>35</v>
      </c>
      <c r="D3071" t="s">
        <v>21</v>
      </c>
      <c r="E3071" t="e">
        <f>VLOOKUP(Cpi_[[#This Row],[Attribute]],#REF!,2,FALSE)</f>
        <v>#REF!</v>
      </c>
      <c r="F3071">
        <v>123.1</v>
      </c>
      <c r="G3071">
        <f>(Cpi_[[#This Row],[Value]]-F3070)/F3070</f>
        <v>-1.0450160771704272E-2</v>
      </c>
      <c r="H3071" t="e" cm="1" vm="1">
        <f t="array" aca="1" ref="H3071" ca="1">VLOOKUP(Cpi_[[#This Row],[Year]:[Month]],crudeoil[],3,FALSE)</f>
        <v>#VALUE!</v>
      </c>
    </row>
    <row r="3072" spans="1:8" hidden="1" x14ac:dyDescent="0.3">
      <c r="A3072" t="s">
        <v>34</v>
      </c>
      <c r="B3072">
        <v>2016</v>
      </c>
      <c r="C3072" t="s">
        <v>35</v>
      </c>
      <c r="D3072" t="s">
        <v>22</v>
      </c>
      <c r="E3072" t="e">
        <f>VLOOKUP(Cpi_[[#This Row],[Attribute]],#REF!,2,FALSE)</f>
        <v>#REF!</v>
      </c>
      <c r="F3072">
        <v>124.6</v>
      </c>
      <c r="G3072">
        <f>(Cpi_[[#This Row],[Value]]-F3071)/F3071</f>
        <v>1.2185215272136476E-2</v>
      </c>
      <c r="H3072" t="e" cm="1" vm="1">
        <f t="array" aca="1" ref="H3072" ca="1">VLOOKUP(Cpi_[[#This Row],[Year]:[Month]],crudeoil[],3,FALSE)</f>
        <v>#VALUE!</v>
      </c>
    </row>
    <row r="3073" spans="1:8" hidden="1" x14ac:dyDescent="0.3">
      <c r="A3073" t="s">
        <v>34</v>
      </c>
      <c r="B3073">
        <v>2016</v>
      </c>
      <c r="C3073" t="s">
        <v>35</v>
      </c>
      <c r="D3073" t="s">
        <v>23</v>
      </c>
      <c r="E3073" t="e">
        <f>VLOOKUP(Cpi_[[#This Row],[Attribute]],#REF!,2,FALSE)</f>
        <v>#REF!</v>
      </c>
      <c r="F3073">
        <v>122.5</v>
      </c>
      <c r="G3073">
        <f>(Cpi_[[#This Row],[Value]]-F3072)/F3072</f>
        <v>-1.6853932584269617E-2</v>
      </c>
      <c r="H3073" t="e" cm="1" vm="1">
        <f t="array" aca="1" ref="H3073" ca="1">VLOOKUP(Cpi_[[#This Row],[Year]:[Month]],crudeoil[],3,FALSE)</f>
        <v>#VALUE!</v>
      </c>
    </row>
    <row r="3074" spans="1:8" hidden="1" x14ac:dyDescent="0.3">
      <c r="A3074" t="s">
        <v>34</v>
      </c>
      <c r="B3074">
        <v>2016</v>
      </c>
      <c r="C3074" t="s">
        <v>35</v>
      </c>
      <c r="D3074" t="s">
        <v>24</v>
      </c>
      <c r="E3074" t="e">
        <f>VLOOKUP(Cpi_[[#This Row],[Attribute]],#REF!,2,FALSE)</f>
        <v>#REF!</v>
      </c>
      <c r="F3074">
        <v>111.4</v>
      </c>
      <c r="G3074">
        <f>(Cpi_[[#This Row],[Value]]-F3073)/F3073</f>
        <v>-9.0612244897959132E-2</v>
      </c>
      <c r="H3074" t="e" cm="1" vm="1">
        <f t="array" aca="1" ref="H3074" ca="1">VLOOKUP(Cpi_[[#This Row],[Year]:[Month]],crudeoil[],3,FALSE)</f>
        <v>#VALUE!</v>
      </c>
    </row>
    <row r="3075" spans="1:8" hidden="1" x14ac:dyDescent="0.3">
      <c r="A3075" t="s">
        <v>34</v>
      </c>
      <c r="B3075">
        <v>2016</v>
      </c>
      <c r="C3075" t="s">
        <v>35</v>
      </c>
      <c r="D3075" t="s">
        <v>25</v>
      </c>
      <c r="E3075" t="e">
        <f>VLOOKUP(Cpi_[[#This Row],[Attribute]],#REF!,2,FALSE)</f>
        <v>#REF!</v>
      </c>
      <c r="F3075">
        <v>120.3</v>
      </c>
      <c r="G3075">
        <f>(Cpi_[[#This Row],[Value]]-F3074)/F3074</f>
        <v>7.9892280071813204E-2</v>
      </c>
      <c r="H3075" t="e" cm="1" vm="1">
        <f t="array" aca="1" ref="H3075" ca="1">VLOOKUP(Cpi_[[#This Row],[Year]:[Month]],crudeoil[],3,FALSE)</f>
        <v>#VALUE!</v>
      </c>
    </row>
    <row r="3076" spans="1:8" hidden="1" x14ac:dyDescent="0.3">
      <c r="A3076" t="s">
        <v>34</v>
      </c>
      <c r="B3076">
        <v>2016</v>
      </c>
      <c r="C3076" t="s">
        <v>35</v>
      </c>
      <c r="D3076" t="s">
        <v>26</v>
      </c>
      <c r="E3076" t="e">
        <f>VLOOKUP(Cpi_[[#This Row],[Attribute]],#REF!,2,FALSE)</f>
        <v>#REF!</v>
      </c>
      <c r="F3076">
        <v>126.6</v>
      </c>
      <c r="G3076">
        <f>(Cpi_[[#This Row],[Value]]-F3075)/F3075</f>
        <v>5.2369077306733146E-2</v>
      </c>
      <c r="H3076" t="e" cm="1" vm="1">
        <f t="array" aca="1" ref="H3076" ca="1">VLOOKUP(Cpi_[[#This Row],[Year]:[Month]],crudeoil[],3,FALSE)</f>
        <v>#VALUE!</v>
      </c>
    </row>
    <row r="3077" spans="1:8" hidden="1" x14ac:dyDescent="0.3">
      <c r="A3077" t="s">
        <v>34</v>
      </c>
      <c r="B3077">
        <v>2016</v>
      </c>
      <c r="C3077" t="s">
        <v>35</v>
      </c>
      <c r="D3077" t="s">
        <v>27</v>
      </c>
      <c r="E3077" t="e">
        <f>VLOOKUP(Cpi_[[#This Row],[Attribute]],#REF!,2,FALSE)</f>
        <v>#REF!</v>
      </c>
      <c r="F3077">
        <v>116.6</v>
      </c>
      <c r="G3077">
        <f>(Cpi_[[#This Row],[Value]]-F3076)/F3076</f>
        <v>-7.8988941548183256E-2</v>
      </c>
      <c r="H3077" t="e" cm="1" vm="1">
        <f t="array" aca="1" ref="H3077" ca="1">VLOOKUP(Cpi_[[#This Row],[Year]:[Month]],crudeoil[],3,FALSE)</f>
        <v>#VALUE!</v>
      </c>
    </row>
    <row r="3078" spans="1:8" hidden="1" x14ac:dyDescent="0.3">
      <c r="A3078" t="s">
        <v>34</v>
      </c>
      <c r="B3078">
        <v>2016</v>
      </c>
      <c r="C3078" t="s">
        <v>35</v>
      </c>
      <c r="D3078" t="s">
        <v>28</v>
      </c>
      <c r="E3078" t="e">
        <f>VLOOKUP(Cpi_[[#This Row],[Attribute]],#REF!,2,FALSE)</f>
        <v>#REF!</v>
      </c>
      <c r="F3078">
        <v>119.1</v>
      </c>
      <c r="G3078">
        <f>(Cpi_[[#This Row],[Value]]-F3077)/F3077</f>
        <v>2.1440823327615783E-2</v>
      </c>
      <c r="H3078" t="e" cm="1" vm="1">
        <f t="array" aca="1" ref="H3078" ca="1">VLOOKUP(Cpi_[[#This Row],[Year]:[Month]],crudeoil[],3,FALSE)</f>
        <v>#VALUE!</v>
      </c>
    </row>
    <row r="3079" spans="1:8" hidden="1" x14ac:dyDescent="0.3">
      <c r="A3079" t="s">
        <v>34</v>
      </c>
      <c r="B3079">
        <v>2016</v>
      </c>
      <c r="C3079" t="s">
        <v>35</v>
      </c>
      <c r="D3079" t="s">
        <v>29</v>
      </c>
      <c r="E3079" t="e" cm="1">
        <f t="array" aca="1" ref="E3079" ca="1">VLGeneral indexGeneral indexKUP(Cpi_[[#This Row],[Attribute]],#REF!,2,FALSE)</f>
        <v>#NAME?</v>
      </c>
      <c r="F3079">
        <v>126</v>
      </c>
      <c r="G3079">
        <f>(Cpi_[[#This Row],[Value]]-F3078)/F3078</f>
        <v>5.7934508816120958E-2</v>
      </c>
      <c r="H3079" t="e" cm="1" vm="1">
        <f t="array" aca="1" ref="H3079" ca="1">VLOOKUP(Cpi_[[#This Row],[Year]:[Month]],crudeoil[],3,FALSE)</f>
        <v>#VALUE!</v>
      </c>
    </row>
    <row r="3080" spans="1:8" hidden="1" x14ac:dyDescent="0.3">
      <c r="A3080" t="s">
        <v>30</v>
      </c>
      <c r="B3080">
        <v>2016</v>
      </c>
      <c r="C3080" t="s">
        <v>36</v>
      </c>
      <c r="D3080" t="s">
        <v>3</v>
      </c>
      <c r="E3080" t="e">
        <f>VLOOKUP(Cpi_[[#This Row],[Attribute]],#REF!,2,FALSE)</f>
        <v>#REF!</v>
      </c>
      <c r="F3080">
        <v>127.3</v>
      </c>
      <c r="G3080">
        <f>(Cpi_[[#This Row],[Value]]-F3079)/F3079</f>
        <v>1.0317460317460295E-2</v>
      </c>
      <c r="H3080" t="e" cm="1" vm="1">
        <f t="array" aca="1" ref="H3080" ca="1">VLOOKUP(Cpi_[[#This Row],[Year]:[Month]],crudeoil[],3,FALSE)</f>
        <v>#VALUE!</v>
      </c>
    </row>
    <row r="3081" spans="1:8" hidden="1" x14ac:dyDescent="0.3">
      <c r="A3081" t="s">
        <v>30</v>
      </c>
      <c r="B3081">
        <v>2016</v>
      </c>
      <c r="C3081" t="s">
        <v>36</v>
      </c>
      <c r="D3081" t="s">
        <v>4</v>
      </c>
      <c r="E3081" t="e">
        <f>VLOOKUP(Cpi_[[#This Row],[Attribute]],#REF!,2,FALSE)</f>
        <v>#REF!</v>
      </c>
      <c r="F3081">
        <v>134.4</v>
      </c>
      <c r="G3081">
        <f>(Cpi_[[#This Row],[Value]]-F3080)/F3080</f>
        <v>5.5773762765121825E-2</v>
      </c>
      <c r="H3081" t="e" cm="1" vm="1">
        <f t="array" aca="1" ref="H3081" ca="1">VLOOKUP(Cpi_[[#This Row],[Year]:[Month]],crudeoil[],3,FALSE)</f>
        <v>#VALUE!</v>
      </c>
    </row>
    <row r="3082" spans="1:8" hidden="1" x14ac:dyDescent="0.3">
      <c r="A3082" t="s">
        <v>30</v>
      </c>
      <c r="B3082">
        <v>2016</v>
      </c>
      <c r="C3082" t="s">
        <v>36</v>
      </c>
      <c r="D3082" t="s">
        <v>5</v>
      </c>
      <c r="E3082" t="e">
        <f>VLOOKUP(Cpi_[[#This Row],[Attribute]],#REF!,2,FALSE)</f>
        <v>#REF!</v>
      </c>
      <c r="F3082">
        <v>125.1</v>
      </c>
      <c r="G3082">
        <f>(Cpi_[[#This Row],[Value]]-F3081)/F3081</f>
        <v>-6.9196428571428659E-2</v>
      </c>
      <c r="H3082" t="e" cm="1" vm="1">
        <f t="array" aca="1" ref="H3082" ca="1">VLOOKUP(Cpi_[[#This Row],[Year]:[Month]],crudeoil[],3,FALSE)</f>
        <v>#VALUE!</v>
      </c>
    </row>
    <row r="3083" spans="1:8" hidden="1" x14ac:dyDescent="0.3">
      <c r="A3083" t="s">
        <v>30</v>
      </c>
      <c r="B3083">
        <v>2016</v>
      </c>
      <c r="C3083" t="s">
        <v>36</v>
      </c>
      <c r="D3083" t="s">
        <v>6</v>
      </c>
      <c r="E3083" t="e">
        <f>VLOOKUP(Cpi_[[#This Row],[Attribute]],#REF!,2,FALSE)</f>
        <v>#REF!</v>
      </c>
      <c r="F3083">
        <v>130.5</v>
      </c>
      <c r="G3083">
        <f>(Cpi_[[#This Row],[Value]]-F3082)/F3082</f>
        <v>4.3165467625899331E-2</v>
      </c>
      <c r="H3083" t="e" cm="1" vm="1">
        <f t="array" aca="1" ref="H3083" ca="1">VLOOKUP(Cpi_[[#This Row],[Year]:[Month]],crudeoil[],3,FALSE)</f>
        <v>#VALUE!</v>
      </c>
    </row>
    <row r="3084" spans="1:8" hidden="1" x14ac:dyDescent="0.3">
      <c r="A3084" t="s">
        <v>30</v>
      </c>
      <c r="B3084">
        <v>2016</v>
      </c>
      <c r="C3084" t="s">
        <v>36</v>
      </c>
      <c r="D3084" t="s">
        <v>7</v>
      </c>
      <c r="E3084" t="e">
        <f>VLOOKUP(Cpi_[[#This Row],[Attribute]],#REF!,2,FALSE)</f>
        <v>#REF!</v>
      </c>
      <c r="F3084">
        <v>118.3</v>
      </c>
      <c r="G3084">
        <f>(Cpi_[[#This Row],[Value]]-F3083)/F3083</f>
        <v>-9.3486590038314193E-2</v>
      </c>
      <c r="H3084" t="e" cm="1" vm="1">
        <f t="array" aca="1" ref="H3084" ca="1">VLOOKUP(Cpi_[[#This Row],[Year]:[Month]],crudeoil[],3,FALSE)</f>
        <v>#VALUE!</v>
      </c>
    </row>
    <row r="3085" spans="1:8" hidden="1" x14ac:dyDescent="0.3">
      <c r="A3085" t="s">
        <v>30</v>
      </c>
      <c r="B3085">
        <v>2016</v>
      </c>
      <c r="C3085" t="s">
        <v>36</v>
      </c>
      <c r="D3085" t="s">
        <v>8</v>
      </c>
      <c r="E3085" t="e">
        <f>VLOOKUP(Cpi_[[#This Row],[Attribute]],#REF!,2,FALSE)</f>
        <v>#REF!</v>
      </c>
      <c r="F3085">
        <v>131.69999999999999</v>
      </c>
      <c r="G3085">
        <f>(Cpi_[[#This Row],[Value]]-F3084)/F3084</f>
        <v>0.11327134404057473</v>
      </c>
      <c r="H3085" t="e" cm="1" vm="1">
        <f t="array" aca="1" ref="H3085" ca="1">VLOOKUP(Cpi_[[#This Row],[Year]:[Month]],crudeoil[],3,FALSE)</f>
        <v>#VALUE!</v>
      </c>
    </row>
    <row r="3086" spans="1:8" hidden="1" x14ac:dyDescent="0.3">
      <c r="A3086" t="s">
        <v>30</v>
      </c>
      <c r="B3086">
        <v>2016</v>
      </c>
      <c r="C3086" t="s">
        <v>36</v>
      </c>
      <c r="D3086" t="s">
        <v>9</v>
      </c>
      <c r="E3086" t="e">
        <f>VLOOKUP(Cpi_[[#This Row],[Attribute]],#REF!,2,FALSE)</f>
        <v>#REF!</v>
      </c>
      <c r="F3086">
        <v>130.69999999999999</v>
      </c>
      <c r="G3086">
        <f>(Cpi_[[#This Row],[Value]]-F3085)/F3085</f>
        <v>-7.5930144267274116E-3</v>
      </c>
      <c r="H3086" t="e" cm="1" vm="1">
        <f t="array" aca="1" ref="H3086" ca="1">VLOOKUP(Cpi_[[#This Row],[Year]:[Month]],crudeoil[],3,FALSE)</f>
        <v>#VALUE!</v>
      </c>
    </row>
    <row r="3087" spans="1:8" hidden="1" x14ac:dyDescent="0.3">
      <c r="A3087" t="s">
        <v>30</v>
      </c>
      <c r="B3087">
        <v>2016</v>
      </c>
      <c r="C3087" t="s">
        <v>36</v>
      </c>
      <c r="D3087" t="s">
        <v>10</v>
      </c>
      <c r="E3087" t="e">
        <f>VLOOKUP(Cpi_[[#This Row],[Attribute]],#REF!,2,FALSE)</f>
        <v>#REF!</v>
      </c>
      <c r="F3087">
        <v>161.19999999999999</v>
      </c>
      <c r="G3087">
        <f>(Cpi_[[#This Row],[Value]]-F3086)/F3086</f>
        <v>0.23335883703136956</v>
      </c>
      <c r="H3087" t="e" cm="1" vm="1">
        <f t="array" aca="1" ref="H3087" ca="1">VLOOKUP(Cpi_[[#This Row],[Year]:[Month]],crudeoil[],3,FALSE)</f>
        <v>#VALUE!</v>
      </c>
    </row>
    <row r="3088" spans="1:8" hidden="1" x14ac:dyDescent="0.3">
      <c r="A3088" t="s">
        <v>30</v>
      </c>
      <c r="B3088">
        <v>2016</v>
      </c>
      <c r="C3088" t="s">
        <v>36</v>
      </c>
      <c r="D3088" t="s">
        <v>11</v>
      </c>
      <c r="E3088" t="e">
        <f>VLOOKUP(Cpi_[[#This Row],[Attribute]],#REF!,2,FALSE)</f>
        <v>#REF!</v>
      </c>
      <c r="F3088">
        <v>100.4</v>
      </c>
      <c r="G3088">
        <f>(Cpi_[[#This Row],[Value]]-F3087)/F3087</f>
        <v>-0.3771712158808932</v>
      </c>
      <c r="H3088" t="e" cm="1" vm="1">
        <f t="array" aca="1" ref="H3088" ca="1">VLOOKUP(Cpi_[[#This Row],[Year]:[Month]],crudeoil[],3,FALSE)</f>
        <v>#VALUE!</v>
      </c>
    </row>
    <row r="3089" spans="1:8" hidden="1" x14ac:dyDescent="0.3">
      <c r="A3089" t="s">
        <v>30</v>
      </c>
      <c r="B3089">
        <v>2016</v>
      </c>
      <c r="C3089" t="s">
        <v>36</v>
      </c>
      <c r="D3089" t="s">
        <v>12</v>
      </c>
      <c r="E3089" t="e">
        <f>VLOOKUP(Cpi_[[#This Row],[Attribute]],#REF!,2,FALSE)</f>
        <v>#REF!</v>
      </c>
      <c r="F3089">
        <v>130.80000000000001</v>
      </c>
      <c r="G3089">
        <f>(Cpi_[[#This Row],[Value]]-F3088)/F3088</f>
        <v>0.30278884462151401</v>
      </c>
      <c r="H3089" t="e" cm="1" vm="1">
        <f t="array" aca="1" ref="H3089" ca="1">VLOOKUP(Cpi_[[#This Row],[Year]:[Month]],crudeoil[],3,FALSE)</f>
        <v>#VALUE!</v>
      </c>
    </row>
    <row r="3090" spans="1:8" hidden="1" x14ac:dyDescent="0.3">
      <c r="A3090" t="s">
        <v>30</v>
      </c>
      <c r="B3090">
        <v>2016</v>
      </c>
      <c r="C3090" t="s">
        <v>36</v>
      </c>
      <c r="D3090" t="s">
        <v>13</v>
      </c>
      <c r="E3090" t="e">
        <f>VLOOKUP(Cpi_[[#This Row],[Attribute]],#REF!,2,FALSE)</f>
        <v>#REF!</v>
      </c>
      <c r="F3090">
        <v>124.9</v>
      </c>
      <c r="G3090">
        <f>(Cpi_[[#This Row],[Value]]-F3089)/F3089</f>
        <v>-4.510703363914377E-2</v>
      </c>
      <c r="H3090" t="e" cm="1" vm="1">
        <f t="array" aca="1" ref="H3090" ca="1">VLOOKUP(Cpi_[[#This Row],[Year]:[Month]],crudeoil[],3,FALSE)</f>
        <v>#VALUE!</v>
      </c>
    </row>
    <row r="3091" spans="1:8" hidden="1" x14ac:dyDescent="0.3">
      <c r="A3091" t="s">
        <v>30</v>
      </c>
      <c r="B3091">
        <v>2016</v>
      </c>
      <c r="C3091" t="s">
        <v>36</v>
      </c>
      <c r="D3091" t="s">
        <v>14</v>
      </c>
      <c r="E3091" t="e">
        <f>VLOOKUP(Cpi_[[#This Row],[Attribute]],#REF!,2,FALSE)</f>
        <v>#REF!</v>
      </c>
      <c r="F3091">
        <v>137</v>
      </c>
      <c r="G3091">
        <f>(Cpi_[[#This Row],[Value]]-F3090)/F3090</f>
        <v>9.6877502001601237E-2</v>
      </c>
      <c r="H3091" t="e" cm="1" vm="1">
        <f t="array" aca="1" ref="H3091" ca="1">VLOOKUP(Cpi_[[#This Row],[Year]:[Month]],crudeoil[],3,FALSE)</f>
        <v>#VALUE!</v>
      </c>
    </row>
    <row r="3092" spans="1:8" hidden="1" x14ac:dyDescent="0.3">
      <c r="A3092" t="s">
        <v>30</v>
      </c>
      <c r="B3092">
        <v>2016</v>
      </c>
      <c r="C3092" t="s">
        <v>36</v>
      </c>
      <c r="D3092" t="s">
        <v>15</v>
      </c>
      <c r="E3092" t="e">
        <f>VLOOKUP(Cpi_[[#This Row],[Attribute]],#REF!,2,FALSE)</f>
        <v>#REF!</v>
      </c>
      <c r="F3092">
        <v>130.4</v>
      </c>
      <c r="G3092">
        <f>(Cpi_[[#This Row],[Value]]-F3091)/F3091</f>
        <v>-4.8175182481751781E-2</v>
      </c>
      <c r="H3092" t="e" cm="1" vm="1">
        <f t="array" aca="1" ref="H3092" ca="1">VLOOKUP(Cpi_[[#This Row],[Year]:[Month]],crudeoil[],3,FALSE)</f>
        <v>#VALUE!</v>
      </c>
    </row>
    <row r="3093" spans="1:8" hidden="1" x14ac:dyDescent="0.3">
      <c r="A3093" t="s">
        <v>30</v>
      </c>
      <c r="B3093">
        <v>2016</v>
      </c>
      <c r="C3093" t="s">
        <v>36</v>
      </c>
      <c r="D3093" t="s">
        <v>16</v>
      </c>
      <c r="E3093" t="e">
        <f>VLOOKUP(Cpi_[[#This Row],[Attribute]],#REF!,2,FALSE)</f>
        <v>#REF!</v>
      </c>
      <c r="F3093">
        <v>135</v>
      </c>
      <c r="G3093">
        <f>(Cpi_[[#This Row],[Value]]-F3092)/F3092</f>
        <v>3.5276073619631858E-2</v>
      </c>
      <c r="H3093" t="e" cm="1" vm="1">
        <f t="array" aca="1" ref="H3093" ca="1">VLOOKUP(Cpi_[[#This Row],[Year]:[Month]],crudeoil[],3,FALSE)</f>
        <v>#VALUE!</v>
      </c>
    </row>
    <row r="3094" spans="1:8" hidden="1" x14ac:dyDescent="0.3">
      <c r="A3094" t="s">
        <v>30</v>
      </c>
      <c r="B3094">
        <v>2016</v>
      </c>
      <c r="C3094" t="s">
        <v>36</v>
      </c>
      <c r="D3094" t="s">
        <v>17</v>
      </c>
      <c r="E3094" t="e">
        <f>VLOOKUP(Cpi_[[#This Row],[Attribute]],#REF!,2,FALSE)</f>
        <v>#REF!</v>
      </c>
      <c r="F3094">
        <v>134.4</v>
      </c>
      <c r="G3094">
        <f>(Cpi_[[#This Row],[Value]]-F3093)/F3093</f>
        <v>-4.4444444444444019E-3</v>
      </c>
      <c r="H3094" t="e" cm="1" vm="1">
        <f t="array" aca="1" ref="H3094" ca="1">VLOOKUP(Cpi_[[#This Row],[Year]:[Month]],crudeoil[],3,FALSE)</f>
        <v>#VALUE!</v>
      </c>
    </row>
    <row r="3095" spans="1:8" hidden="1" x14ac:dyDescent="0.3">
      <c r="A3095" t="s">
        <v>30</v>
      </c>
      <c r="B3095">
        <v>2016</v>
      </c>
      <c r="C3095" t="s">
        <v>36</v>
      </c>
      <c r="D3095" t="s">
        <v>18</v>
      </c>
      <c r="E3095" t="e">
        <f>VLOOKUP(Cpi_[[#This Row],[Attribute]],#REF!,2,FALSE)</f>
        <v>#REF!</v>
      </c>
      <c r="F3095">
        <v>130.19999999999999</v>
      </c>
      <c r="G3095">
        <f>(Cpi_[[#This Row],[Value]]-F3094)/F3094</f>
        <v>-3.1250000000000125E-2</v>
      </c>
      <c r="H3095" t="e" cm="1" vm="1">
        <f t="array" aca="1" ref="H3095" ca="1">VLOOKUP(Cpi_[[#This Row],[Year]:[Month]],crudeoil[],3,FALSE)</f>
        <v>#VALUE!</v>
      </c>
    </row>
    <row r="3096" spans="1:8" hidden="1" x14ac:dyDescent="0.3">
      <c r="A3096" t="s">
        <v>30</v>
      </c>
      <c r="B3096">
        <v>2016</v>
      </c>
      <c r="C3096" t="s">
        <v>36</v>
      </c>
      <c r="D3096" t="s">
        <v>19</v>
      </c>
      <c r="E3096" t="e">
        <f>VLOOKUP(Cpi_[[#This Row],[Attribute]],#REF!,2,FALSE)</f>
        <v>#REF!</v>
      </c>
      <c r="F3096">
        <v>133.80000000000001</v>
      </c>
      <c r="G3096">
        <f>(Cpi_[[#This Row],[Value]]-F3095)/F3095</f>
        <v>2.7649769585253635E-2</v>
      </c>
      <c r="H3096" t="e" cm="1" vm="1">
        <f t="array" aca="1" ref="H3096" ca="1">VLOOKUP(Cpi_[[#This Row],[Year]:[Month]],crudeoil[],3,FALSE)</f>
        <v>#VALUE!</v>
      </c>
    </row>
    <row r="3097" spans="1:8" hidden="1" x14ac:dyDescent="0.3">
      <c r="A3097" t="s">
        <v>30</v>
      </c>
      <c r="B3097">
        <v>2016</v>
      </c>
      <c r="C3097" t="s">
        <v>36</v>
      </c>
      <c r="D3097" t="s">
        <v>20</v>
      </c>
      <c r="E3097" t="e">
        <f>VLOOKUP(Cpi_[[#This Row],[Attribute]],#REF!,2,FALSE)</f>
        <v>#REF!</v>
      </c>
      <c r="F3097" t="s">
        <v>32</v>
      </c>
      <c r="G3097" t="e">
        <f>(Cpi_[[#This Row],[Value]]-F3096)/F3096</f>
        <v>#VALUE!</v>
      </c>
      <c r="H3097" t="e" cm="1" vm="1">
        <f t="array" aca="1" ref="H3097" ca="1">VLOOKUP(Cpi_[[#This Row],[Year]:[Month]],crudeoil[],3,FALSE)</f>
        <v>#VALUE!</v>
      </c>
    </row>
    <row r="3098" spans="1:8" hidden="1" x14ac:dyDescent="0.3">
      <c r="A3098" t="s">
        <v>30</v>
      </c>
      <c r="B3098">
        <v>2016</v>
      </c>
      <c r="C3098" t="s">
        <v>36</v>
      </c>
      <c r="D3098" t="s">
        <v>21</v>
      </c>
      <c r="E3098" t="e">
        <f>VLOOKUP(Cpi_[[#This Row],[Attribute]],#REF!,2,FALSE)</f>
        <v>#REF!</v>
      </c>
      <c r="F3098">
        <v>127</v>
      </c>
      <c r="G3098" t="e">
        <f>(Cpi_[[#This Row],[Value]]-F3097)/F3097</f>
        <v>#VALUE!</v>
      </c>
      <c r="H3098" t="e" cm="1" vm="1">
        <f t="array" aca="1" ref="H3098" ca="1">VLOOKUP(Cpi_[[#This Row],[Year]:[Month]],crudeoil[],3,FALSE)</f>
        <v>#VALUE!</v>
      </c>
    </row>
    <row r="3099" spans="1:8" hidden="1" x14ac:dyDescent="0.3">
      <c r="A3099" t="s">
        <v>30</v>
      </c>
      <c r="B3099">
        <v>2016</v>
      </c>
      <c r="C3099" t="s">
        <v>36</v>
      </c>
      <c r="D3099" t="s">
        <v>22</v>
      </c>
      <c r="E3099" t="e">
        <f>VLOOKUP(Cpi_[[#This Row],[Attribute]],#REF!,2,FALSE)</f>
        <v>#REF!</v>
      </c>
      <c r="F3099">
        <v>127.7</v>
      </c>
      <c r="G3099">
        <f>(Cpi_[[#This Row],[Value]]-F3098)/F3098</f>
        <v>5.5118110236220697E-3</v>
      </c>
      <c r="H3099" t="e" cm="1" vm="1">
        <f t="array" aca="1" ref="H3099" ca="1">VLOOKUP(Cpi_[[#This Row],[Year]:[Month]],crudeoil[],3,FALSE)</f>
        <v>#VALUE!</v>
      </c>
    </row>
    <row r="3100" spans="1:8" hidden="1" x14ac:dyDescent="0.3">
      <c r="A3100" t="s">
        <v>30</v>
      </c>
      <c r="B3100">
        <v>2016</v>
      </c>
      <c r="C3100" t="s">
        <v>36</v>
      </c>
      <c r="D3100" t="s">
        <v>23</v>
      </c>
      <c r="E3100" t="e">
        <f>VLOOKUP(Cpi_[[#This Row],[Attribute]],#REF!,2,FALSE)</f>
        <v>#REF!</v>
      </c>
      <c r="F3100">
        <v>124.8</v>
      </c>
      <c r="G3100">
        <f>(Cpi_[[#This Row],[Value]]-F3099)/F3099</f>
        <v>-2.270947533281132E-2</v>
      </c>
      <c r="H3100" t="e" cm="1" vm="1">
        <f t="array" aca="1" ref="H3100" ca="1">VLOOKUP(Cpi_[[#This Row],[Year]:[Month]],crudeoil[],3,FALSE)</f>
        <v>#VALUE!</v>
      </c>
    </row>
    <row r="3101" spans="1:8" hidden="1" x14ac:dyDescent="0.3">
      <c r="A3101" t="s">
        <v>30</v>
      </c>
      <c r="B3101">
        <v>2016</v>
      </c>
      <c r="C3101" t="s">
        <v>36</v>
      </c>
      <c r="D3101" t="s">
        <v>24</v>
      </c>
      <c r="E3101" t="e">
        <f>VLOOKUP(Cpi_[[#This Row],[Attribute]],#REF!,2,FALSE)</f>
        <v>#REF!</v>
      </c>
      <c r="F3101">
        <v>113.6</v>
      </c>
      <c r="G3101">
        <f>(Cpi_[[#This Row],[Value]]-F3100)/F3100</f>
        <v>-8.9743589743589772E-2</v>
      </c>
      <c r="H3101" t="e" cm="1" vm="1">
        <f t="array" aca="1" ref="H3101" ca="1">VLOOKUP(Cpi_[[#This Row],[Year]:[Month]],crudeoil[],3,FALSE)</f>
        <v>#VALUE!</v>
      </c>
    </row>
    <row r="3102" spans="1:8" hidden="1" x14ac:dyDescent="0.3">
      <c r="A3102" t="s">
        <v>30</v>
      </c>
      <c r="B3102">
        <v>2016</v>
      </c>
      <c r="C3102" t="s">
        <v>36</v>
      </c>
      <c r="D3102" t="s">
        <v>25</v>
      </c>
      <c r="E3102" t="e">
        <f>VLOOKUP(Cpi_[[#This Row],[Attribute]],#REF!,2,FALSE)</f>
        <v>#REF!</v>
      </c>
      <c r="F3102">
        <v>122.5</v>
      </c>
      <c r="G3102">
        <f>(Cpi_[[#This Row],[Value]]-F3101)/F3101</f>
        <v>7.834507042253526E-2</v>
      </c>
      <c r="H3102" t="e" cm="1" vm="1">
        <f t="array" aca="1" ref="H3102" ca="1">VLOOKUP(Cpi_[[#This Row],[Year]:[Month]],crudeoil[],3,FALSE)</f>
        <v>#VALUE!</v>
      </c>
    </row>
    <row r="3103" spans="1:8" hidden="1" x14ac:dyDescent="0.3">
      <c r="A3103" t="s">
        <v>30</v>
      </c>
      <c r="B3103">
        <v>2016</v>
      </c>
      <c r="C3103" t="s">
        <v>36</v>
      </c>
      <c r="D3103" t="s">
        <v>26</v>
      </c>
      <c r="E3103" t="e">
        <f>VLOOKUP(Cpi_[[#This Row],[Attribute]],#REF!,2,FALSE)</f>
        <v>#REF!</v>
      </c>
      <c r="F3103">
        <v>127.5</v>
      </c>
      <c r="G3103">
        <f>(Cpi_[[#This Row],[Value]]-F3102)/F3102</f>
        <v>4.0816326530612242E-2</v>
      </c>
      <c r="H3103" t="e" cm="1" vm="1">
        <f t="array" aca="1" ref="H3103" ca="1">VLOOKUP(Cpi_[[#This Row],[Year]:[Month]],crudeoil[],3,FALSE)</f>
        <v>#VALUE!</v>
      </c>
    </row>
    <row r="3104" spans="1:8" hidden="1" x14ac:dyDescent="0.3">
      <c r="A3104" t="s">
        <v>30</v>
      </c>
      <c r="B3104">
        <v>2016</v>
      </c>
      <c r="C3104" t="s">
        <v>36</v>
      </c>
      <c r="D3104" t="s">
        <v>27</v>
      </c>
      <c r="E3104" t="e">
        <f>VLOOKUP(Cpi_[[#This Row],[Attribute]],#REF!,2,FALSE)</f>
        <v>#REF!</v>
      </c>
      <c r="F3104">
        <v>117.4</v>
      </c>
      <c r="G3104">
        <f>(Cpi_[[#This Row],[Value]]-F3103)/F3103</f>
        <v>-7.9215686274509756E-2</v>
      </c>
      <c r="H3104" t="e" cm="1" vm="1">
        <f t="array" aca="1" ref="H3104" ca="1">VLOOKUP(Cpi_[[#This Row],[Year]:[Month]],crudeoil[],3,FALSE)</f>
        <v>#VALUE!</v>
      </c>
    </row>
    <row r="3105" spans="1:8" hidden="1" x14ac:dyDescent="0.3">
      <c r="A3105" t="s">
        <v>30</v>
      </c>
      <c r="B3105">
        <v>2016</v>
      </c>
      <c r="C3105" t="s">
        <v>36</v>
      </c>
      <c r="D3105" t="s">
        <v>28</v>
      </c>
      <c r="E3105" t="e">
        <f>VLOOKUP(Cpi_[[#This Row],[Attribute]],#REF!,2,FALSE)</f>
        <v>#REF!</v>
      </c>
      <c r="F3105">
        <v>121.1</v>
      </c>
      <c r="G3105">
        <f>(Cpi_[[#This Row],[Value]]-F3104)/F3104</f>
        <v>3.1516183986371279E-2</v>
      </c>
      <c r="H3105" t="e" cm="1" vm="1">
        <f t="array" aca="1" ref="H3105" ca="1">VLOOKUP(Cpi_[[#This Row],[Year]:[Month]],crudeoil[],3,FALSE)</f>
        <v>#VALUE!</v>
      </c>
    </row>
    <row r="3106" spans="1:8" hidden="1" x14ac:dyDescent="0.3">
      <c r="A3106" t="s">
        <v>30</v>
      </c>
      <c r="B3106">
        <v>2016</v>
      </c>
      <c r="C3106" t="s">
        <v>36</v>
      </c>
      <c r="D3106" t="s">
        <v>29</v>
      </c>
      <c r="E3106" t="e" cm="1">
        <f t="array" aca="1" ref="E3106" ca="1">VLGeneral indexGeneral indexKUP(Cpi_[[#This Row],[Attribute]],#REF!,2,FALSE)</f>
        <v>#NAME?</v>
      </c>
      <c r="F3106">
        <v>128</v>
      </c>
      <c r="G3106">
        <f>(Cpi_[[#This Row],[Value]]-F3105)/F3105</f>
        <v>5.6977704376548359E-2</v>
      </c>
      <c r="H3106" t="e" cm="1" vm="1">
        <f t="array" aca="1" ref="H3106" ca="1">VLOOKUP(Cpi_[[#This Row],[Year]:[Month]],crudeoil[],3,FALSE)</f>
        <v>#VALUE!</v>
      </c>
    </row>
    <row r="3107" spans="1:8" hidden="1" x14ac:dyDescent="0.3">
      <c r="A3107" t="s">
        <v>33</v>
      </c>
      <c r="B3107">
        <v>2016</v>
      </c>
      <c r="C3107" t="s">
        <v>36</v>
      </c>
      <c r="D3107" t="s">
        <v>3</v>
      </c>
      <c r="E3107" t="e">
        <f>VLOOKUP(Cpi_[[#This Row],[Attribute]],#REF!,2,FALSE)</f>
        <v>#REF!</v>
      </c>
      <c r="F3107">
        <v>124.8</v>
      </c>
      <c r="G3107">
        <f>(Cpi_[[#This Row],[Value]]-F3106)/F3106</f>
        <v>-2.5000000000000022E-2</v>
      </c>
      <c r="H3107" t="e" cm="1" vm="1">
        <f t="array" aca="1" ref="H3107" ca="1">VLOOKUP(Cpi_[[#This Row],[Year]:[Month]],crudeoil[],3,FALSE)</f>
        <v>#VALUE!</v>
      </c>
    </row>
    <row r="3108" spans="1:8" hidden="1" x14ac:dyDescent="0.3">
      <c r="A3108" t="s">
        <v>33</v>
      </c>
      <c r="B3108">
        <v>2016</v>
      </c>
      <c r="C3108" t="s">
        <v>36</v>
      </c>
      <c r="D3108" t="s">
        <v>4</v>
      </c>
      <c r="E3108" t="e">
        <f>VLOOKUP(Cpi_[[#This Row],[Attribute]],#REF!,2,FALSE)</f>
        <v>#REF!</v>
      </c>
      <c r="F3108">
        <v>136.30000000000001</v>
      </c>
      <c r="G3108">
        <f>(Cpi_[[#This Row],[Value]]-F3107)/F3107</f>
        <v>9.2147435897436014E-2</v>
      </c>
      <c r="H3108" t="e" cm="1" vm="1">
        <f t="array" aca="1" ref="H3108" ca="1">VLOOKUP(Cpi_[[#This Row],[Year]:[Month]],crudeoil[],3,FALSE)</f>
        <v>#VALUE!</v>
      </c>
    </row>
    <row r="3109" spans="1:8" hidden="1" x14ac:dyDescent="0.3">
      <c r="A3109" t="s">
        <v>33</v>
      </c>
      <c r="B3109">
        <v>2016</v>
      </c>
      <c r="C3109" t="s">
        <v>36</v>
      </c>
      <c r="D3109" t="s">
        <v>5</v>
      </c>
      <c r="E3109" t="e">
        <f>VLOOKUP(Cpi_[[#This Row],[Attribute]],#REF!,2,FALSE)</f>
        <v>#REF!</v>
      </c>
      <c r="F3109">
        <v>123.7</v>
      </c>
      <c r="G3109">
        <f>(Cpi_[[#This Row],[Value]]-F3108)/F3108</f>
        <v>-9.2443140132061688E-2</v>
      </c>
      <c r="H3109" t="e" cm="1" vm="1">
        <f t="array" aca="1" ref="H3109" ca="1">VLOOKUP(Cpi_[[#This Row],[Year]:[Month]],crudeoil[],3,FALSE)</f>
        <v>#VALUE!</v>
      </c>
    </row>
    <row r="3110" spans="1:8" hidden="1" x14ac:dyDescent="0.3">
      <c r="A3110" t="s">
        <v>33</v>
      </c>
      <c r="B3110">
        <v>2016</v>
      </c>
      <c r="C3110" t="s">
        <v>36</v>
      </c>
      <c r="D3110" t="s">
        <v>6</v>
      </c>
      <c r="E3110" t="e">
        <f>VLOOKUP(Cpi_[[#This Row],[Attribute]],#REF!,2,FALSE)</f>
        <v>#REF!</v>
      </c>
      <c r="F3110">
        <v>129.69999999999999</v>
      </c>
      <c r="G3110">
        <f>(Cpi_[[#This Row],[Value]]-F3109)/F3109</f>
        <v>4.8504446240905302E-2</v>
      </c>
      <c r="H3110" t="e" cm="1" vm="1">
        <f t="array" aca="1" ref="H3110" ca="1">VLOOKUP(Cpi_[[#This Row],[Year]:[Month]],crudeoil[],3,FALSE)</f>
        <v>#VALUE!</v>
      </c>
    </row>
    <row r="3111" spans="1:8" hidden="1" x14ac:dyDescent="0.3">
      <c r="A3111" t="s">
        <v>33</v>
      </c>
      <c r="B3111">
        <v>2016</v>
      </c>
      <c r="C3111" t="s">
        <v>36</v>
      </c>
      <c r="D3111" t="s">
        <v>7</v>
      </c>
      <c r="E3111" t="e">
        <f>VLOOKUP(Cpi_[[#This Row],[Attribute]],#REF!,2,FALSE)</f>
        <v>#REF!</v>
      </c>
      <c r="F3111">
        <v>107.9</v>
      </c>
      <c r="G3111">
        <f>(Cpi_[[#This Row],[Value]]-F3110)/F3110</f>
        <v>-0.16808018504240543</v>
      </c>
      <c r="H3111" t="e" cm="1" vm="1">
        <f t="array" aca="1" ref="H3111" ca="1">VLOOKUP(Cpi_[[#This Row],[Year]:[Month]],crudeoil[],3,FALSE)</f>
        <v>#VALUE!</v>
      </c>
    </row>
    <row r="3112" spans="1:8" hidden="1" x14ac:dyDescent="0.3">
      <c r="A3112" t="s">
        <v>33</v>
      </c>
      <c r="B3112">
        <v>2016</v>
      </c>
      <c r="C3112" t="s">
        <v>36</v>
      </c>
      <c r="D3112" t="s">
        <v>8</v>
      </c>
      <c r="E3112" t="e">
        <f>VLOOKUP(Cpi_[[#This Row],[Attribute]],#REF!,2,FALSE)</f>
        <v>#REF!</v>
      </c>
      <c r="F3112">
        <v>119.9</v>
      </c>
      <c r="G3112">
        <f>(Cpi_[[#This Row],[Value]]-F3111)/F3111</f>
        <v>0.11121408711770157</v>
      </c>
      <c r="H3112" t="e" cm="1" vm="1">
        <f t="array" aca="1" ref="H3112" ca="1">VLOOKUP(Cpi_[[#This Row],[Year]:[Month]],crudeoil[],3,FALSE)</f>
        <v>#VALUE!</v>
      </c>
    </row>
    <row r="3113" spans="1:8" hidden="1" x14ac:dyDescent="0.3">
      <c r="A3113" t="s">
        <v>33</v>
      </c>
      <c r="B3113">
        <v>2016</v>
      </c>
      <c r="C3113" t="s">
        <v>36</v>
      </c>
      <c r="D3113" t="s">
        <v>9</v>
      </c>
      <c r="E3113" t="e">
        <f>VLOOKUP(Cpi_[[#This Row],[Attribute]],#REF!,2,FALSE)</f>
        <v>#REF!</v>
      </c>
      <c r="F3113">
        <v>128.1</v>
      </c>
      <c r="G3113">
        <f>(Cpi_[[#This Row],[Value]]-F3112)/F3112</f>
        <v>6.8390325271059121E-2</v>
      </c>
      <c r="H3113" t="e" cm="1" vm="1">
        <f t="array" aca="1" ref="H3113" ca="1">VLOOKUP(Cpi_[[#This Row],[Year]:[Month]],crudeoil[],3,FALSE)</f>
        <v>#VALUE!</v>
      </c>
    </row>
    <row r="3114" spans="1:8" hidden="1" x14ac:dyDescent="0.3">
      <c r="A3114" t="s">
        <v>33</v>
      </c>
      <c r="B3114">
        <v>2016</v>
      </c>
      <c r="C3114" t="s">
        <v>36</v>
      </c>
      <c r="D3114" t="s">
        <v>10</v>
      </c>
      <c r="E3114" t="e">
        <f>VLOOKUP(Cpi_[[#This Row],[Attribute]],#REF!,2,FALSE)</f>
        <v>#REF!</v>
      </c>
      <c r="F3114">
        <v>170.3</v>
      </c>
      <c r="G3114">
        <f>(Cpi_[[#This Row],[Value]]-F3113)/F3113</f>
        <v>0.32943013270882138</v>
      </c>
      <c r="H3114" t="e" cm="1" vm="1">
        <f t="array" aca="1" ref="H3114" ca="1">VLOOKUP(Cpi_[[#This Row],[Year]:[Month]],crudeoil[],3,FALSE)</f>
        <v>#VALUE!</v>
      </c>
    </row>
    <row r="3115" spans="1:8" hidden="1" x14ac:dyDescent="0.3">
      <c r="A3115" t="s">
        <v>33</v>
      </c>
      <c r="B3115">
        <v>2016</v>
      </c>
      <c r="C3115" t="s">
        <v>36</v>
      </c>
      <c r="D3115" t="s">
        <v>11</v>
      </c>
      <c r="E3115" t="e">
        <f>VLOOKUP(Cpi_[[#This Row],[Attribute]],#REF!,2,FALSE)</f>
        <v>#REF!</v>
      </c>
      <c r="F3115">
        <v>101.8</v>
      </c>
      <c r="G3115">
        <f>(Cpi_[[#This Row],[Value]]-F3114)/F3114</f>
        <v>-0.40223135642982977</v>
      </c>
      <c r="H3115" t="e" cm="1" vm="1">
        <f t="array" aca="1" ref="H3115" ca="1">VLOOKUP(Cpi_[[#This Row],[Year]:[Month]],crudeoil[],3,FALSE)</f>
        <v>#VALUE!</v>
      </c>
    </row>
    <row r="3116" spans="1:8" hidden="1" x14ac:dyDescent="0.3">
      <c r="A3116" t="s">
        <v>33</v>
      </c>
      <c r="B3116">
        <v>2016</v>
      </c>
      <c r="C3116" t="s">
        <v>36</v>
      </c>
      <c r="D3116" t="s">
        <v>12</v>
      </c>
      <c r="E3116" t="e">
        <f>VLOOKUP(Cpi_[[#This Row],[Attribute]],#REF!,2,FALSE)</f>
        <v>#REF!</v>
      </c>
      <c r="F3116">
        <v>140.1</v>
      </c>
      <c r="G3116">
        <f>(Cpi_[[#This Row],[Value]]-F3115)/F3115</f>
        <v>0.37622789783889976</v>
      </c>
      <c r="H3116" t="e" cm="1" vm="1">
        <f t="array" aca="1" ref="H3116" ca="1">VLOOKUP(Cpi_[[#This Row],[Year]:[Month]],crudeoil[],3,FALSE)</f>
        <v>#VALUE!</v>
      </c>
    </row>
    <row r="3117" spans="1:8" hidden="1" x14ac:dyDescent="0.3">
      <c r="A3117" t="s">
        <v>33</v>
      </c>
      <c r="B3117">
        <v>2016</v>
      </c>
      <c r="C3117" t="s">
        <v>36</v>
      </c>
      <c r="D3117" t="s">
        <v>13</v>
      </c>
      <c r="E3117" t="e">
        <f>VLOOKUP(Cpi_[[#This Row],[Attribute]],#REF!,2,FALSE)</f>
        <v>#REF!</v>
      </c>
      <c r="F3117">
        <v>120.7</v>
      </c>
      <c r="G3117">
        <f>(Cpi_[[#This Row],[Value]]-F3116)/F3116</f>
        <v>-0.1384725196288365</v>
      </c>
      <c r="H3117" t="e" cm="1" vm="1">
        <f t="array" aca="1" ref="H3117" ca="1">VLOOKUP(Cpi_[[#This Row],[Year]:[Month]],crudeoil[],3,FALSE)</f>
        <v>#VALUE!</v>
      </c>
    </row>
    <row r="3118" spans="1:8" hidden="1" x14ac:dyDescent="0.3">
      <c r="A3118" t="s">
        <v>33</v>
      </c>
      <c r="B3118">
        <v>2016</v>
      </c>
      <c r="C3118" t="s">
        <v>36</v>
      </c>
      <c r="D3118" t="s">
        <v>14</v>
      </c>
      <c r="E3118" t="e">
        <f>VLOOKUP(Cpi_[[#This Row],[Attribute]],#REF!,2,FALSE)</f>
        <v>#REF!</v>
      </c>
      <c r="F3118">
        <v>135.4</v>
      </c>
      <c r="G3118">
        <f>(Cpi_[[#This Row],[Value]]-F3117)/F3117</f>
        <v>0.12178956089478046</v>
      </c>
      <c r="H3118" t="e" cm="1" vm="1">
        <f t="array" aca="1" ref="H3118" ca="1">VLOOKUP(Cpi_[[#This Row],[Year]:[Month]],crudeoil[],3,FALSE)</f>
        <v>#VALUE!</v>
      </c>
    </row>
    <row r="3119" spans="1:8" hidden="1" x14ac:dyDescent="0.3">
      <c r="A3119" t="s">
        <v>33</v>
      </c>
      <c r="B3119">
        <v>2016</v>
      </c>
      <c r="C3119" t="s">
        <v>36</v>
      </c>
      <c r="D3119" t="s">
        <v>15</v>
      </c>
      <c r="E3119" t="e">
        <f>VLOOKUP(Cpi_[[#This Row],[Attribute]],#REF!,2,FALSE)</f>
        <v>#REF!</v>
      </c>
      <c r="F3119">
        <v>128.9</v>
      </c>
      <c r="G3119">
        <f>(Cpi_[[#This Row],[Value]]-F3118)/F3118</f>
        <v>-4.8005908419497784E-2</v>
      </c>
      <c r="H3119" t="e" cm="1" vm="1">
        <f t="array" aca="1" ref="H3119" ca="1">VLOOKUP(Cpi_[[#This Row],[Year]:[Month]],crudeoil[],3,FALSE)</f>
        <v>#VALUE!</v>
      </c>
    </row>
    <row r="3120" spans="1:8" hidden="1" x14ac:dyDescent="0.3">
      <c r="A3120" t="s">
        <v>33</v>
      </c>
      <c r="B3120">
        <v>2016</v>
      </c>
      <c r="C3120" t="s">
        <v>36</v>
      </c>
      <c r="D3120" t="s">
        <v>16</v>
      </c>
      <c r="E3120" t="e">
        <f>VLOOKUP(Cpi_[[#This Row],[Attribute]],#REF!,2,FALSE)</f>
        <v>#REF!</v>
      </c>
      <c r="F3120">
        <v>140.6</v>
      </c>
      <c r="G3120">
        <f>(Cpi_[[#This Row],[Value]]-F3119)/F3119</f>
        <v>9.0768037238169036E-2</v>
      </c>
      <c r="H3120" t="e" cm="1" vm="1">
        <f t="array" aca="1" ref="H3120" ca="1">VLOOKUP(Cpi_[[#This Row],[Year]:[Month]],crudeoil[],3,FALSE)</f>
        <v>#VALUE!</v>
      </c>
    </row>
    <row r="3121" spans="1:8" hidden="1" x14ac:dyDescent="0.3">
      <c r="A3121" t="s">
        <v>33</v>
      </c>
      <c r="B3121">
        <v>2016</v>
      </c>
      <c r="C3121" t="s">
        <v>36</v>
      </c>
      <c r="D3121" t="s">
        <v>17</v>
      </c>
      <c r="E3121" t="e">
        <f>VLOOKUP(Cpi_[[#This Row],[Attribute]],#REF!,2,FALSE)</f>
        <v>#REF!</v>
      </c>
      <c r="F3121">
        <v>126.4</v>
      </c>
      <c r="G3121">
        <f>(Cpi_[[#This Row],[Value]]-F3120)/F3120</f>
        <v>-0.10099573257467986</v>
      </c>
      <c r="H3121" t="e" cm="1" vm="1">
        <f t="array" aca="1" ref="H3121" ca="1">VLOOKUP(Cpi_[[#This Row],[Year]:[Month]],crudeoil[],3,FALSE)</f>
        <v>#VALUE!</v>
      </c>
    </row>
    <row r="3122" spans="1:8" hidden="1" x14ac:dyDescent="0.3">
      <c r="A3122" t="s">
        <v>33</v>
      </c>
      <c r="B3122">
        <v>2016</v>
      </c>
      <c r="C3122" t="s">
        <v>36</v>
      </c>
      <c r="D3122" t="s">
        <v>18</v>
      </c>
      <c r="E3122" t="e">
        <f>VLOOKUP(Cpi_[[#This Row],[Attribute]],#REF!,2,FALSE)</f>
        <v>#REF!</v>
      </c>
      <c r="F3122">
        <v>120.3</v>
      </c>
      <c r="G3122">
        <f>(Cpi_[[#This Row],[Value]]-F3121)/F3121</f>
        <v>-4.8259493670886139E-2</v>
      </c>
      <c r="H3122" t="e" cm="1" vm="1">
        <f t="array" aca="1" ref="H3122" ca="1">VLOOKUP(Cpi_[[#This Row],[Year]:[Month]],crudeoil[],3,FALSE)</f>
        <v>#VALUE!</v>
      </c>
    </row>
    <row r="3123" spans="1:8" hidden="1" x14ac:dyDescent="0.3">
      <c r="A3123" t="s">
        <v>33</v>
      </c>
      <c r="B3123">
        <v>2016</v>
      </c>
      <c r="C3123" t="s">
        <v>36</v>
      </c>
      <c r="D3123" t="s">
        <v>19</v>
      </c>
      <c r="E3123" t="e">
        <f>VLOOKUP(Cpi_[[#This Row],[Attribute]],#REF!,2,FALSE)</f>
        <v>#REF!</v>
      </c>
      <c r="F3123">
        <v>125.5</v>
      </c>
      <c r="G3123">
        <f>(Cpi_[[#This Row],[Value]]-F3122)/F3122</f>
        <v>4.3225270157938513E-2</v>
      </c>
      <c r="H3123" t="e" cm="1" vm="1">
        <f t="array" aca="1" ref="H3123" ca="1">VLOOKUP(Cpi_[[#This Row],[Year]:[Month]],crudeoil[],3,FALSE)</f>
        <v>#VALUE!</v>
      </c>
    </row>
    <row r="3124" spans="1:8" hidden="1" x14ac:dyDescent="0.3">
      <c r="A3124" t="s">
        <v>33</v>
      </c>
      <c r="B3124">
        <v>2016</v>
      </c>
      <c r="C3124" t="s">
        <v>36</v>
      </c>
      <c r="D3124" t="s">
        <v>20</v>
      </c>
      <c r="E3124" t="e">
        <f>VLOOKUP(Cpi_[[#This Row],[Attribute]],#REF!,2,FALSE)</f>
        <v>#REF!</v>
      </c>
      <c r="F3124">
        <v>124.9</v>
      </c>
      <c r="G3124">
        <f>(Cpi_[[#This Row],[Value]]-F3123)/F3123</f>
        <v>-4.780876494023859E-3</v>
      </c>
      <c r="H3124" t="e" cm="1" vm="1">
        <f t="array" aca="1" ref="H3124" ca="1">VLOOKUP(Cpi_[[#This Row],[Year]:[Month]],crudeoil[],3,FALSE)</f>
        <v>#VALUE!</v>
      </c>
    </row>
    <row r="3125" spans="1:8" hidden="1" x14ac:dyDescent="0.3">
      <c r="A3125" t="s">
        <v>33</v>
      </c>
      <c r="B3125">
        <v>2016</v>
      </c>
      <c r="C3125" t="s">
        <v>36</v>
      </c>
      <c r="D3125" t="s">
        <v>21</v>
      </c>
      <c r="E3125" t="e">
        <f>VLOOKUP(Cpi_[[#This Row],[Attribute]],#REF!,2,FALSE)</f>
        <v>#REF!</v>
      </c>
      <c r="F3125">
        <v>114.8</v>
      </c>
      <c r="G3125">
        <f>(Cpi_[[#This Row],[Value]]-F3124)/F3124</f>
        <v>-8.0864691753402787E-2</v>
      </c>
      <c r="H3125" t="e" cm="1" vm="1">
        <f t="array" aca="1" ref="H3125" ca="1">VLOOKUP(Cpi_[[#This Row],[Year]:[Month]],crudeoil[],3,FALSE)</f>
        <v>#VALUE!</v>
      </c>
    </row>
    <row r="3126" spans="1:8" hidden="1" x14ac:dyDescent="0.3">
      <c r="A3126" t="s">
        <v>33</v>
      </c>
      <c r="B3126">
        <v>2016</v>
      </c>
      <c r="C3126" t="s">
        <v>36</v>
      </c>
      <c r="D3126" t="s">
        <v>22</v>
      </c>
      <c r="E3126" t="e">
        <f>VLOOKUP(Cpi_[[#This Row],[Attribute]],#REF!,2,FALSE)</f>
        <v>#REF!</v>
      </c>
      <c r="F3126">
        <v>122.3</v>
      </c>
      <c r="G3126">
        <f>(Cpi_[[#This Row],[Value]]-F3125)/F3125</f>
        <v>6.5331010452961677E-2</v>
      </c>
      <c r="H3126" t="e" cm="1" vm="1">
        <f t="array" aca="1" ref="H3126" ca="1">VLOOKUP(Cpi_[[#This Row],[Year]:[Month]],crudeoil[],3,FALSE)</f>
        <v>#VALUE!</v>
      </c>
    </row>
    <row r="3127" spans="1:8" hidden="1" x14ac:dyDescent="0.3">
      <c r="A3127" t="s">
        <v>33</v>
      </c>
      <c r="B3127">
        <v>2016</v>
      </c>
      <c r="C3127" t="s">
        <v>36</v>
      </c>
      <c r="D3127" t="s">
        <v>23</v>
      </c>
      <c r="E3127" t="e">
        <f>VLOOKUP(Cpi_[[#This Row],[Attribute]],#REF!,2,FALSE)</f>
        <v>#REF!</v>
      </c>
      <c r="F3127">
        <v>119.7</v>
      </c>
      <c r="G3127">
        <f>(Cpi_[[#This Row],[Value]]-F3126)/F3126</f>
        <v>-2.1259198691741574E-2</v>
      </c>
      <c r="H3127" t="e" cm="1" vm="1">
        <f t="array" aca="1" ref="H3127" ca="1">VLOOKUP(Cpi_[[#This Row],[Year]:[Month]],crudeoil[],3,FALSE)</f>
        <v>#VALUE!</v>
      </c>
    </row>
    <row r="3128" spans="1:8" hidden="1" x14ac:dyDescent="0.3">
      <c r="A3128" t="s">
        <v>33</v>
      </c>
      <c r="B3128">
        <v>2016</v>
      </c>
      <c r="C3128" t="s">
        <v>36</v>
      </c>
      <c r="D3128" t="s">
        <v>24</v>
      </c>
      <c r="E3128" t="e">
        <f>VLOOKUP(Cpi_[[#This Row],[Attribute]],#REF!,2,FALSE)</f>
        <v>#REF!</v>
      </c>
      <c r="F3128">
        <v>108.5</v>
      </c>
      <c r="G3128">
        <f>(Cpi_[[#This Row],[Value]]-F3127)/F3127</f>
        <v>-9.3567251461988327E-2</v>
      </c>
      <c r="H3128" t="e" cm="1" vm="1">
        <f t="array" aca="1" ref="H3128" ca="1">VLOOKUP(Cpi_[[#This Row],[Year]:[Month]],crudeoil[],3,FALSE)</f>
        <v>#VALUE!</v>
      </c>
    </row>
    <row r="3129" spans="1:8" hidden="1" x14ac:dyDescent="0.3">
      <c r="A3129" t="s">
        <v>33</v>
      </c>
      <c r="B3129">
        <v>2016</v>
      </c>
      <c r="C3129" t="s">
        <v>36</v>
      </c>
      <c r="D3129" t="s">
        <v>25</v>
      </c>
      <c r="E3129" t="e">
        <f>VLOOKUP(Cpi_[[#This Row],[Attribute]],#REF!,2,FALSE)</f>
        <v>#REF!</v>
      </c>
      <c r="F3129">
        <v>119.1</v>
      </c>
      <c r="G3129">
        <f>(Cpi_[[#This Row],[Value]]-F3128)/F3128</f>
        <v>9.7695852534562158E-2</v>
      </c>
      <c r="H3129" t="e" cm="1" vm="1">
        <f t="array" aca="1" ref="H3129" ca="1">VLOOKUP(Cpi_[[#This Row],[Year]:[Month]],crudeoil[],3,FALSE)</f>
        <v>#VALUE!</v>
      </c>
    </row>
    <row r="3130" spans="1:8" hidden="1" x14ac:dyDescent="0.3">
      <c r="A3130" t="s">
        <v>33</v>
      </c>
      <c r="B3130">
        <v>2016</v>
      </c>
      <c r="C3130" t="s">
        <v>36</v>
      </c>
      <c r="D3130" t="s">
        <v>26</v>
      </c>
      <c r="E3130" t="e">
        <f>VLOOKUP(Cpi_[[#This Row],[Attribute]],#REF!,2,FALSE)</f>
        <v>#REF!</v>
      </c>
      <c r="F3130">
        <v>126.4</v>
      </c>
      <c r="G3130">
        <f>(Cpi_[[#This Row],[Value]]-F3129)/F3129</f>
        <v>6.1293031066330911E-2</v>
      </c>
      <c r="H3130" t="e" cm="1" vm="1">
        <f t="array" aca="1" ref="H3130" ca="1">VLOOKUP(Cpi_[[#This Row],[Year]:[Month]],crudeoil[],3,FALSE)</f>
        <v>#VALUE!</v>
      </c>
    </row>
    <row r="3131" spans="1:8" hidden="1" x14ac:dyDescent="0.3">
      <c r="A3131" t="s">
        <v>33</v>
      </c>
      <c r="B3131">
        <v>2016</v>
      </c>
      <c r="C3131" t="s">
        <v>36</v>
      </c>
      <c r="D3131" t="s">
        <v>27</v>
      </c>
      <c r="E3131" t="e">
        <f>VLOOKUP(Cpi_[[#This Row],[Attribute]],#REF!,2,FALSE)</f>
        <v>#REF!</v>
      </c>
      <c r="F3131">
        <v>117.1</v>
      </c>
      <c r="G3131">
        <f>(Cpi_[[#This Row],[Value]]-F3130)/F3130</f>
        <v>-7.3575949367088694E-2</v>
      </c>
      <c r="H3131" t="e" cm="1" vm="1">
        <f t="array" aca="1" ref="H3131" ca="1">VLOOKUP(Cpi_[[#This Row],[Year]:[Month]],crudeoil[],3,FALSE)</f>
        <v>#VALUE!</v>
      </c>
    </row>
    <row r="3132" spans="1:8" hidden="1" x14ac:dyDescent="0.3">
      <c r="A3132" t="s">
        <v>33</v>
      </c>
      <c r="B3132">
        <v>2016</v>
      </c>
      <c r="C3132" t="s">
        <v>36</v>
      </c>
      <c r="D3132" t="s">
        <v>28</v>
      </c>
      <c r="E3132" t="e">
        <f>VLOOKUP(Cpi_[[#This Row],[Attribute]],#REF!,2,FALSE)</f>
        <v>#REF!</v>
      </c>
      <c r="F3132">
        <v>117.3</v>
      </c>
      <c r="G3132">
        <f>(Cpi_[[#This Row],[Value]]-F3131)/F3131</f>
        <v>1.7079419299744051E-3</v>
      </c>
      <c r="H3132" t="e" cm="1" vm="1">
        <f t="array" aca="1" ref="H3132" ca="1">VLOOKUP(Cpi_[[#This Row],[Year]:[Month]],crudeoil[],3,FALSE)</f>
        <v>#VALUE!</v>
      </c>
    </row>
    <row r="3133" spans="1:8" hidden="1" x14ac:dyDescent="0.3">
      <c r="A3133" t="s">
        <v>33</v>
      </c>
      <c r="B3133">
        <v>2016</v>
      </c>
      <c r="C3133" t="s">
        <v>36</v>
      </c>
      <c r="D3133" t="s">
        <v>29</v>
      </c>
      <c r="E3133" t="e" cm="1">
        <f t="array" aca="1" ref="E3133" ca="1">VLGeneral indexGeneral indexKUP(Cpi_[[#This Row],[Attribute]],#REF!,2,FALSE)</f>
        <v>#NAME?</v>
      </c>
      <c r="F3133">
        <v>123.8</v>
      </c>
      <c r="G3133">
        <f>(Cpi_[[#This Row],[Value]]-F3132)/F3132</f>
        <v>5.5413469735720373E-2</v>
      </c>
      <c r="H3133" t="e" cm="1" vm="1">
        <f t="array" aca="1" ref="H3133" ca="1">VLOOKUP(Cpi_[[#This Row],[Year]:[Month]],crudeoil[],3,FALSE)</f>
        <v>#VALUE!</v>
      </c>
    </row>
    <row r="3134" spans="1:8" hidden="1" x14ac:dyDescent="0.3">
      <c r="A3134" t="s">
        <v>34</v>
      </c>
      <c r="B3134">
        <v>2016</v>
      </c>
      <c r="C3134" t="s">
        <v>36</v>
      </c>
      <c r="D3134" t="s">
        <v>3</v>
      </c>
      <c r="E3134" t="e">
        <f>VLOOKUP(Cpi_[[#This Row],[Attribute]],#REF!,2,FALSE)</f>
        <v>#REF!</v>
      </c>
      <c r="F3134">
        <v>126.5</v>
      </c>
      <c r="G3134">
        <f>(Cpi_[[#This Row],[Value]]-F3133)/F3133</f>
        <v>2.1809369951534756E-2</v>
      </c>
      <c r="H3134" t="e" cm="1" vm="1">
        <f t="array" aca="1" ref="H3134" ca="1">VLOOKUP(Cpi_[[#This Row],[Year]:[Month]],crudeoil[],3,FALSE)</f>
        <v>#VALUE!</v>
      </c>
    </row>
    <row r="3135" spans="1:8" hidden="1" x14ac:dyDescent="0.3">
      <c r="A3135" t="s">
        <v>34</v>
      </c>
      <c r="B3135">
        <v>2016</v>
      </c>
      <c r="C3135" t="s">
        <v>36</v>
      </c>
      <c r="D3135" t="s">
        <v>4</v>
      </c>
      <c r="E3135" t="e">
        <f>VLOOKUP(Cpi_[[#This Row],[Attribute]],#REF!,2,FALSE)</f>
        <v>#REF!</v>
      </c>
      <c r="F3135">
        <v>135.1</v>
      </c>
      <c r="G3135">
        <f>(Cpi_[[#This Row],[Value]]-F3134)/F3134</f>
        <v>6.7984189723320113E-2</v>
      </c>
      <c r="H3135" t="e" cm="1" vm="1">
        <f t="array" aca="1" ref="H3135" ca="1">VLOOKUP(Cpi_[[#This Row],[Year]:[Month]],crudeoil[],3,FALSE)</f>
        <v>#VALUE!</v>
      </c>
    </row>
    <row r="3136" spans="1:8" hidden="1" x14ac:dyDescent="0.3">
      <c r="A3136" t="s">
        <v>34</v>
      </c>
      <c r="B3136">
        <v>2016</v>
      </c>
      <c r="C3136" t="s">
        <v>36</v>
      </c>
      <c r="D3136" t="s">
        <v>5</v>
      </c>
      <c r="E3136" t="e">
        <f>VLOOKUP(Cpi_[[#This Row],[Attribute]],#REF!,2,FALSE)</f>
        <v>#REF!</v>
      </c>
      <c r="F3136">
        <v>124.6</v>
      </c>
      <c r="G3136">
        <f>(Cpi_[[#This Row],[Value]]-F3135)/F3135</f>
        <v>-7.7720207253886009E-2</v>
      </c>
      <c r="H3136" t="e" cm="1" vm="1">
        <f t="array" aca="1" ref="H3136" ca="1">VLOOKUP(Cpi_[[#This Row],[Year]:[Month]],crudeoil[],3,FALSE)</f>
        <v>#VALUE!</v>
      </c>
    </row>
    <row r="3137" spans="1:8" hidden="1" x14ac:dyDescent="0.3">
      <c r="A3137" t="s">
        <v>34</v>
      </c>
      <c r="B3137">
        <v>2016</v>
      </c>
      <c r="C3137" t="s">
        <v>36</v>
      </c>
      <c r="D3137" t="s">
        <v>6</v>
      </c>
      <c r="E3137" t="e">
        <f>VLOOKUP(Cpi_[[#This Row],[Attribute]],#REF!,2,FALSE)</f>
        <v>#REF!</v>
      </c>
      <c r="F3137">
        <v>130.19999999999999</v>
      </c>
      <c r="G3137">
        <f>(Cpi_[[#This Row],[Value]]-F3136)/F3136</f>
        <v>4.4943820224719058E-2</v>
      </c>
      <c r="H3137" t="e" cm="1" vm="1">
        <f t="array" aca="1" ref="H3137" ca="1">VLOOKUP(Cpi_[[#This Row],[Year]:[Month]],crudeoil[],3,FALSE)</f>
        <v>#VALUE!</v>
      </c>
    </row>
    <row r="3138" spans="1:8" hidden="1" x14ac:dyDescent="0.3">
      <c r="A3138" t="s">
        <v>34</v>
      </c>
      <c r="B3138">
        <v>2016</v>
      </c>
      <c r="C3138" t="s">
        <v>36</v>
      </c>
      <c r="D3138" t="s">
        <v>7</v>
      </c>
      <c r="E3138" t="e">
        <f>VLOOKUP(Cpi_[[#This Row],[Attribute]],#REF!,2,FALSE)</f>
        <v>#REF!</v>
      </c>
      <c r="F3138">
        <v>114.5</v>
      </c>
      <c r="G3138">
        <f>(Cpi_[[#This Row],[Value]]-F3137)/F3137</f>
        <v>-0.12058371735791083</v>
      </c>
      <c r="H3138" t="e" cm="1" vm="1">
        <f t="array" aca="1" ref="H3138" ca="1">VLOOKUP(Cpi_[[#This Row],[Year]:[Month]],crudeoil[],3,FALSE)</f>
        <v>#VALUE!</v>
      </c>
    </row>
    <row r="3139" spans="1:8" hidden="1" x14ac:dyDescent="0.3">
      <c r="A3139" t="s">
        <v>34</v>
      </c>
      <c r="B3139">
        <v>2016</v>
      </c>
      <c r="C3139" t="s">
        <v>36</v>
      </c>
      <c r="D3139" t="s">
        <v>8</v>
      </c>
      <c r="E3139" t="e">
        <f>VLOOKUP(Cpi_[[#This Row],[Attribute]],#REF!,2,FALSE)</f>
        <v>#REF!</v>
      </c>
      <c r="F3139">
        <v>126.2</v>
      </c>
      <c r="G3139">
        <f>(Cpi_[[#This Row],[Value]]-F3138)/F3138</f>
        <v>0.10218340611353714</v>
      </c>
      <c r="H3139" t="e" cm="1" vm="1">
        <f t="array" aca="1" ref="H3139" ca="1">VLOOKUP(Cpi_[[#This Row],[Year]:[Month]],crudeoil[],3,FALSE)</f>
        <v>#VALUE!</v>
      </c>
    </row>
    <row r="3140" spans="1:8" hidden="1" x14ac:dyDescent="0.3">
      <c r="A3140" t="s">
        <v>34</v>
      </c>
      <c r="B3140">
        <v>2016</v>
      </c>
      <c r="C3140" t="s">
        <v>36</v>
      </c>
      <c r="D3140" t="s">
        <v>9</v>
      </c>
      <c r="E3140" t="e">
        <f>VLOOKUP(Cpi_[[#This Row],[Attribute]],#REF!,2,FALSE)</f>
        <v>#REF!</v>
      </c>
      <c r="F3140">
        <v>129.80000000000001</v>
      </c>
      <c r="G3140">
        <f>(Cpi_[[#This Row],[Value]]-F3139)/F3139</f>
        <v>2.8526148969889132E-2</v>
      </c>
      <c r="H3140" t="e" cm="1" vm="1">
        <f t="array" aca="1" ref="H3140" ca="1">VLOOKUP(Cpi_[[#This Row],[Year]:[Month]],crudeoil[],3,FALSE)</f>
        <v>#VALUE!</v>
      </c>
    </row>
    <row r="3141" spans="1:8" hidden="1" x14ac:dyDescent="0.3">
      <c r="A3141" t="s">
        <v>34</v>
      </c>
      <c r="B3141">
        <v>2016</v>
      </c>
      <c r="C3141" t="s">
        <v>36</v>
      </c>
      <c r="D3141" t="s">
        <v>10</v>
      </c>
      <c r="E3141" t="e">
        <f>VLOOKUP(Cpi_[[#This Row],[Attribute]],#REF!,2,FALSE)</f>
        <v>#REF!</v>
      </c>
      <c r="F3141">
        <v>164.3</v>
      </c>
      <c r="G3141">
        <f>(Cpi_[[#This Row],[Value]]-F3140)/F3140</f>
        <v>0.2657935285053929</v>
      </c>
      <c r="H3141" t="e" cm="1" vm="1">
        <f t="array" aca="1" ref="H3141" ca="1">VLOOKUP(Cpi_[[#This Row],[Year]:[Month]],crudeoil[],3,FALSE)</f>
        <v>#VALUE!</v>
      </c>
    </row>
    <row r="3142" spans="1:8" hidden="1" x14ac:dyDescent="0.3">
      <c r="A3142" t="s">
        <v>34</v>
      </c>
      <c r="B3142">
        <v>2016</v>
      </c>
      <c r="C3142" t="s">
        <v>36</v>
      </c>
      <c r="D3142" t="s">
        <v>11</v>
      </c>
      <c r="E3142" t="e">
        <f>VLOOKUP(Cpi_[[#This Row],[Attribute]],#REF!,2,FALSE)</f>
        <v>#REF!</v>
      </c>
      <c r="F3142">
        <v>100.9</v>
      </c>
      <c r="G3142">
        <f>(Cpi_[[#This Row],[Value]]-F3141)/F3141</f>
        <v>-0.38587948874010958</v>
      </c>
      <c r="H3142" t="e" cm="1" vm="1">
        <f t="array" aca="1" ref="H3142" ca="1">VLOOKUP(Cpi_[[#This Row],[Year]:[Month]],crudeoil[],3,FALSE)</f>
        <v>#VALUE!</v>
      </c>
    </row>
    <row r="3143" spans="1:8" hidden="1" x14ac:dyDescent="0.3">
      <c r="A3143" t="s">
        <v>34</v>
      </c>
      <c r="B3143">
        <v>2016</v>
      </c>
      <c r="C3143" t="s">
        <v>36</v>
      </c>
      <c r="D3143" t="s">
        <v>12</v>
      </c>
      <c r="E3143" t="e">
        <f>VLOOKUP(Cpi_[[#This Row],[Attribute]],#REF!,2,FALSE)</f>
        <v>#REF!</v>
      </c>
      <c r="F3143">
        <v>133.9</v>
      </c>
      <c r="G3143">
        <f>(Cpi_[[#This Row],[Value]]-F3142)/F3142</f>
        <v>0.32705649157581762</v>
      </c>
      <c r="H3143" t="e" cm="1" vm="1">
        <f t="array" aca="1" ref="H3143" ca="1">VLOOKUP(Cpi_[[#This Row],[Year]:[Month]],crudeoil[],3,FALSE)</f>
        <v>#VALUE!</v>
      </c>
    </row>
    <row r="3144" spans="1:8" hidden="1" x14ac:dyDescent="0.3">
      <c r="A3144" t="s">
        <v>34</v>
      </c>
      <c r="B3144">
        <v>2016</v>
      </c>
      <c r="C3144" t="s">
        <v>36</v>
      </c>
      <c r="D3144" t="s">
        <v>13</v>
      </c>
      <c r="E3144" t="e">
        <f>VLOOKUP(Cpi_[[#This Row],[Attribute]],#REF!,2,FALSE)</f>
        <v>#REF!</v>
      </c>
      <c r="F3144">
        <v>123.1</v>
      </c>
      <c r="G3144">
        <f>(Cpi_[[#This Row],[Value]]-F3143)/F3143</f>
        <v>-8.0657206870799192E-2</v>
      </c>
      <c r="H3144" t="e" cm="1" vm="1">
        <f t="array" aca="1" ref="H3144" ca="1">VLOOKUP(Cpi_[[#This Row],[Year]:[Month]],crudeoil[],3,FALSE)</f>
        <v>#VALUE!</v>
      </c>
    </row>
    <row r="3145" spans="1:8" hidden="1" x14ac:dyDescent="0.3">
      <c r="A3145" t="s">
        <v>34</v>
      </c>
      <c r="B3145">
        <v>2016</v>
      </c>
      <c r="C3145" t="s">
        <v>36</v>
      </c>
      <c r="D3145" t="s">
        <v>14</v>
      </c>
      <c r="E3145" t="e">
        <f>VLOOKUP(Cpi_[[#This Row],[Attribute]],#REF!,2,FALSE)</f>
        <v>#REF!</v>
      </c>
      <c r="F3145">
        <v>136.30000000000001</v>
      </c>
      <c r="G3145">
        <f>(Cpi_[[#This Row],[Value]]-F3144)/F3144</f>
        <v>0.10722989439480111</v>
      </c>
      <c r="H3145" t="e" cm="1" vm="1">
        <f t="array" aca="1" ref="H3145" ca="1">VLOOKUP(Cpi_[[#This Row],[Year]:[Month]],crudeoil[],3,FALSE)</f>
        <v>#VALUE!</v>
      </c>
    </row>
    <row r="3146" spans="1:8" hidden="1" x14ac:dyDescent="0.3">
      <c r="A3146" t="s">
        <v>34</v>
      </c>
      <c r="B3146">
        <v>2016</v>
      </c>
      <c r="C3146" t="s">
        <v>36</v>
      </c>
      <c r="D3146" t="s">
        <v>15</v>
      </c>
      <c r="E3146" t="e">
        <f>VLOOKUP(Cpi_[[#This Row],[Attribute]],#REF!,2,FALSE)</f>
        <v>#REF!</v>
      </c>
      <c r="F3146">
        <v>129.80000000000001</v>
      </c>
      <c r="G3146">
        <f>(Cpi_[[#This Row],[Value]]-F3145)/F3145</f>
        <v>-4.7688921496698455E-2</v>
      </c>
      <c r="H3146" t="e" cm="1" vm="1">
        <f t="array" aca="1" ref="H3146" ca="1">VLOOKUP(Cpi_[[#This Row],[Year]:[Month]],crudeoil[],3,FALSE)</f>
        <v>#VALUE!</v>
      </c>
    </row>
    <row r="3147" spans="1:8" hidden="1" x14ac:dyDescent="0.3">
      <c r="A3147" t="s">
        <v>34</v>
      </c>
      <c r="B3147">
        <v>2016</v>
      </c>
      <c r="C3147" t="s">
        <v>36</v>
      </c>
      <c r="D3147" t="s">
        <v>16</v>
      </c>
      <c r="E3147" t="e">
        <f>VLOOKUP(Cpi_[[#This Row],[Attribute]],#REF!,2,FALSE)</f>
        <v>#REF!</v>
      </c>
      <c r="F3147">
        <v>136.5</v>
      </c>
      <c r="G3147">
        <f>(Cpi_[[#This Row],[Value]]-F3146)/F3146</f>
        <v>5.1617873651771867E-2</v>
      </c>
      <c r="H3147" t="e" cm="1" vm="1">
        <f t="array" aca="1" ref="H3147" ca="1">VLOOKUP(Cpi_[[#This Row],[Year]:[Month]],crudeoil[],3,FALSE)</f>
        <v>#VALUE!</v>
      </c>
    </row>
    <row r="3148" spans="1:8" hidden="1" x14ac:dyDescent="0.3">
      <c r="A3148" t="s">
        <v>34</v>
      </c>
      <c r="B3148">
        <v>2016</v>
      </c>
      <c r="C3148" t="s">
        <v>36</v>
      </c>
      <c r="D3148" t="s">
        <v>17</v>
      </c>
      <c r="E3148" t="e">
        <f>VLOOKUP(Cpi_[[#This Row],[Attribute]],#REF!,2,FALSE)</f>
        <v>#REF!</v>
      </c>
      <c r="F3148">
        <v>131.30000000000001</v>
      </c>
      <c r="G3148">
        <f>(Cpi_[[#This Row],[Value]]-F3147)/F3147</f>
        <v>-3.8095238095238015E-2</v>
      </c>
      <c r="H3148" t="e" cm="1" vm="1">
        <f t="array" aca="1" ref="H3148" ca="1">VLOOKUP(Cpi_[[#This Row],[Year]:[Month]],crudeoil[],3,FALSE)</f>
        <v>#VALUE!</v>
      </c>
    </row>
    <row r="3149" spans="1:8" hidden="1" x14ac:dyDescent="0.3">
      <c r="A3149" t="s">
        <v>34</v>
      </c>
      <c r="B3149">
        <v>2016</v>
      </c>
      <c r="C3149" t="s">
        <v>36</v>
      </c>
      <c r="D3149" t="s">
        <v>18</v>
      </c>
      <c r="E3149" t="e">
        <f>VLOOKUP(Cpi_[[#This Row],[Attribute]],#REF!,2,FALSE)</f>
        <v>#REF!</v>
      </c>
      <c r="F3149">
        <v>126.1</v>
      </c>
      <c r="G3149">
        <f>(Cpi_[[#This Row],[Value]]-F3148)/F3148</f>
        <v>-3.9603960396039729E-2</v>
      </c>
      <c r="H3149" t="e" cm="1" vm="1">
        <f t="array" aca="1" ref="H3149" ca="1">VLOOKUP(Cpi_[[#This Row],[Year]:[Month]],crudeoil[],3,FALSE)</f>
        <v>#VALUE!</v>
      </c>
    </row>
    <row r="3150" spans="1:8" hidden="1" x14ac:dyDescent="0.3">
      <c r="A3150" t="s">
        <v>34</v>
      </c>
      <c r="B3150">
        <v>2016</v>
      </c>
      <c r="C3150" t="s">
        <v>36</v>
      </c>
      <c r="D3150" t="s">
        <v>19</v>
      </c>
      <c r="E3150" t="e">
        <f>VLOOKUP(Cpi_[[#This Row],[Attribute]],#REF!,2,FALSE)</f>
        <v>#REF!</v>
      </c>
      <c r="F3150">
        <v>130.5</v>
      </c>
      <c r="G3150">
        <f>(Cpi_[[#This Row],[Value]]-F3149)/F3149</f>
        <v>3.4892942109437004E-2</v>
      </c>
      <c r="H3150" t="e" cm="1" vm="1">
        <f t="array" aca="1" ref="H3150" ca="1">VLOOKUP(Cpi_[[#This Row],[Year]:[Month]],crudeoil[],3,FALSE)</f>
        <v>#VALUE!</v>
      </c>
    </row>
    <row r="3151" spans="1:8" hidden="1" x14ac:dyDescent="0.3">
      <c r="A3151" t="s">
        <v>34</v>
      </c>
      <c r="B3151">
        <v>2016</v>
      </c>
      <c r="C3151" t="s">
        <v>36</v>
      </c>
      <c r="D3151" t="s">
        <v>20</v>
      </c>
      <c r="E3151" t="e">
        <f>VLOOKUP(Cpi_[[#This Row],[Attribute]],#REF!,2,FALSE)</f>
        <v>#REF!</v>
      </c>
      <c r="F3151">
        <v>124.9</v>
      </c>
      <c r="G3151">
        <f>(Cpi_[[#This Row],[Value]]-F3150)/F3150</f>
        <v>-4.2911877394635971E-2</v>
      </c>
      <c r="H3151" t="e" cm="1" vm="1">
        <f t="array" aca="1" ref="H3151" ca="1">VLOOKUP(Cpi_[[#This Row],[Year]:[Month]],crudeoil[],3,FALSE)</f>
        <v>#VALUE!</v>
      </c>
    </row>
    <row r="3152" spans="1:8" hidden="1" x14ac:dyDescent="0.3">
      <c r="A3152" t="s">
        <v>34</v>
      </c>
      <c r="B3152">
        <v>2016</v>
      </c>
      <c r="C3152" t="s">
        <v>36</v>
      </c>
      <c r="D3152" t="s">
        <v>21</v>
      </c>
      <c r="E3152" t="e">
        <f>VLOOKUP(Cpi_[[#This Row],[Attribute]],#REF!,2,FALSE)</f>
        <v>#REF!</v>
      </c>
      <c r="F3152">
        <v>122.4</v>
      </c>
      <c r="G3152">
        <f>(Cpi_[[#This Row],[Value]]-F3151)/F3151</f>
        <v>-2.0016012810248198E-2</v>
      </c>
      <c r="H3152" t="e" cm="1" vm="1">
        <f t="array" aca="1" ref="H3152" ca="1">VLOOKUP(Cpi_[[#This Row],[Year]:[Month]],crudeoil[],3,FALSE)</f>
        <v>#VALUE!</v>
      </c>
    </row>
    <row r="3153" spans="1:8" hidden="1" x14ac:dyDescent="0.3">
      <c r="A3153" t="s">
        <v>34</v>
      </c>
      <c r="B3153">
        <v>2016</v>
      </c>
      <c r="C3153" t="s">
        <v>36</v>
      </c>
      <c r="D3153" t="s">
        <v>22</v>
      </c>
      <c r="E3153" t="e">
        <f>VLOOKUP(Cpi_[[#This Row],[Attribute]],#REF!,2,FALSE)</f>
        <v>#REF!</v>
      </c>
      <c r="F3153">
        <v>125.1</v>
      </c>
      <c r="G3153">
        <f>(Cpi_[[#This Row],[Value]]-F3152)/F3152</f>
        <v>2.2058823529411672E-2</v>
      </c>
      <c r="H3153" t="e" cm="1" vm="1">
        <f t="array" aca="1" ref="H3153" ca="1">VLOOKUP(Cpi_[[#This Row],[Year]:[Month]],crudeoil[],3,FALSE)</f>
        <v>#VALUE!</v>
      </c>
    </row>
    <row r="3154" spans="1:8" hidden="1" x14ac:dyDescent="0.3">
      <c r="A3154" t="s">
        <v>34</v>
      </c>
      <c r="B3154">
        <v>2016</v>
      </c>
      <c r="C3154" t="s">
        <v>36</v>
      </c>
      <c r="D3154" t="s">
        <v>23</v>
      </c>
      <c r="E3154" t="e">
        <f>VLOOKUP(Cpi_[[#This Row],[Attribute]],#REF!,2,FALSE)</f>
        <v>#REF!</v>
      </c>
      <c r="F3154">
        <v>122.9</v>
      </c>
      <c r="G3154">
        <f>(Cpi_[[#This Row],[Value]]-F3153)/F3153</f>
        <v>-1.7585931254995912E-2</v>
      </c>
      <c r="H3154" t="e" cm="1" vm="1">
        <f t="array" aca="1" ref="H3154" ca="1">VLOOKUP(Cpi_[[#This Row],[Year]:[Month]],crudeoil[],3,FALSE)</f>
        <v>#VALUE!</v>
      </c>
    </row>
    <row r="3155" spans="1:8" hidden="1" x14ac:dyDescent="0.3">
      <c r="A3155" t="s">
        <v>34</v>
      </c>
      <c r="B3155">
        <v>2016</v>
      </c>
      <c r="C3155" t="s">
        <v>36</v>
      </c>
      <c r="D3155" t="s">
        <v>24</v>
      </c>
      <c r="E3155" t="e">
        <f>VLOOKUP(Cpi_[[#This Row],[Attribute]],#REF!,2,FALSE)</f>
        <v>#REF!</v>
      </c>
      <c r="F3155">
        <v>110.9</v>
      </c>
      <c r="G3155">
        <f>(Cpi_[[#This Row],[Value]]-F3154)/F3154</f>
        <v>-9.7640358014646045E-2</v>
      </c>
      <c r="H3155" t="e" cm="1" vm="1">
        <f t="array" aca="1" ref="H3155" ca="1">VLOOKUP(Cpi_[[#This Row],[Year]:[Month]],crudeoil[],3,FALSE)</f>
        <v>#VALUE!</v>
      </c>
    </row>
    <row r="3156" spans="1:8" hidden="1" x14ac:dyDescent="0.3">
      <c r="A3156" t="s">
        <v>34</v>
      </c>
      <c r="B3156">
        <v>2016</v>
      </c>
      <c r="C3156" t="s">
        <v>36</v>
      </c>
      <c r="D3156" t="s">
        <v>25</v>
      </c>
      <c r="E3156" t="e">
        <f>VLOOKUP(Cpi_[[#This Row],[Attribute]],#REF!,2,FALSE)</f>
        <v>#REF!</v>
      </c>
      <c r="F3156">
        <v>120.6</v>
      </c>
      <c r="G3156">
        <f>(Cpi_[[#This Row],[Value]]-F3155)/F3155</f>
        <v>8.7466185752930456E-2</v>
      </c>
      <c r="H3156" t="e" cm="1" vm="1">
        <f t="array" aca="1" ref="H3156" ca="1">VLOOKUP(Cpi_[[#This Row],[Year]:[Month]],crudeoil[],3,FALSE)</f>
        <v>#VALUE!</v>
      </c>
    </row>
    <row r="3157" spans="1:8" hidden="1" x14ac:dyDescent="0.3">
      <c r="A3157" t="s">
        <v>34</v>
      </c>
      <c r="B3157">
        <v>2016</v>
      </c>
      <c r="C3157" t="s">
        <v>36</v>
      </c>
      <c r="D3157" t="s">
        <v>26</v>
      </c>
      <c r="E3157" t="e">
        <f>VLOOKUP(Cpi_[[#This Row],[Attribute]],#REF!,2,FALSE)</f>
        <v>#REF!</v>
      </c>
      <c r="F3157">
        <v>126.9</v>
      </c>
      <c r="G3157">
        <f>(Cpi_[[#This Row],[Value]]-F3156)/F3156</f>
        <v>5.2238805970149349E-2</v>
      </c>
      <c r="H3157" t="e" cm="1" vm="1">
        <f t="array" aca="1" ref="H3157" ca="1">VLOOKUP(Cpi_[[#This Row],[Year]:[Month]],crudeoil[],3,FALSE)</f>
        <v>#VALUE!</v>
      </c>
    </row>
    <row r="3158" spans="1:8" hidden="1" x14ac:dyDescent="0.3">
      <c r="A3158" t="s">
        <v>34</v>
      </c>
      <c r="B3158">
        <v>2016</v>
      </c>
      <c r="C3158" t="s">
        <v>36</v>
      </c>
      <c r="D3158" t="s">
        <v>27</v>
      </c>
      <c r="E3158" t="e">
        <f>VLOOKUP(Cpi_[[#This Row],[Attribute]],#REF!,2,FALSE)</f>
        <v>#REF!</v>
      </c>
      <c r="F3158">
        <v>117.3</v>
      </c>
      <c r="G3158">
        <f>(Cpi_[[#This Row],[Value]]-F3157)/F3157</f>
        <v>-7.565011820330976E-2</v>
      </c>
      <c r="H3158" t="e" cm="1" vm="1">
        <f t="array" aca="1" ref="H3158" ca="1">VLOOKUP(Cpi_[[#This Row],[Year]:[Month]],crudeoil[],3,FALSE)</f>
        <v>#VALUE!</v>
      </c>
    </row>
    <row r="3159" spans="1:8" hidden="1" x14ac:dyDescent="0.3">
      <c r="A3159" t="s">
        <v>34</v>
      </c>
      <c r="B3159">
        <v>2016</v>
      </c>
      <c r="C3159" t="s">
        <v>36</v>
      </c>
      <c r="D3159" t="s">
        <v>28</v>
      </c>
      <c r="E3159" t="e">
        <f>VLOOKUP(Cpi_[[#This Row],[Attribute]],#REF!,2,FALSE)</f>
        <v>#REF!</v>
      </c>
      <c r="F3159">
        <v>119.3</v>
      </c>
      <c r="G3159">
        <f>(Cpi_[[#This Row],[Value]]-F3158)/F3158</f>
        <v>1.7050298380221655E-2</v>
      </c>
      <c r="H3159" t="e" cm="1" vm="1">
        <f t="array" aca="1" ref="H3159" ca="1">VLOOKUP(Cpi_[[#This Row],[Year]:[Month]],crudeoil[],3,FALSE)</f>
        <v>#VALUE!</v>
      </c>
    </row>
    <row r="3160" spans="1:8" hidden="1" x14ac:dyDescent="0.3">
      <c r="A3160" t="s">
        <v>34</v>
      </c>
      <c r="B3160">
        <v>2016</v>
      </c>
      <c r="C3160" t="s">
        <v>36</v>
      </c>
      <c r="D3160" t="s">
        <v>29</v>
      </c>
      <c r="E3160" t="e" cm="1">
        <f t="array" aca="1" ref="E3160" ca="1">VLGeneral indexGeneral indexKUP(Cpi_[[#This Row],[Attribute]],#REF!,2,FALSE)</f>
        <v>#NAME?</v>
      </c>
      <c r="F3160">
        <v>126</v>
      </c>
      <c r="G3160">
        <f>(Cpi_[[#This Row],[Value]]-F3159)/F3159</f>
        <v>5.6160938809723414E-2</v>
      </c>
      <c r="H3160" t="e" cm="1" vm="1">
        <f t="array" aca="1" ref="H3160" ca="1">VLOOKUP(Cpi_[[#This Row],[Year]:[Month]],crudeoil[],3,FALSE)</f>
        <v>#VALUE!</v>
      </c>
    </row>
    <row r="3161" spans="1:8" hidden="1" x14ac:dyDescent="0.3">
      <c r="A3161" t="s">
        <v>30</v>
      </c>
      <c r="B3161">
        <v>2016</v>
      </c>
      <c r="C3161" t="s">
        <v>37</v>
      </c>
      <c r="D3161" t="s">
        <v>3</v>
      </c>
      <c r="E3161" t="e">
        <f>VLOOKUP(Cpi_[[#This Row],[Attribute]],#REF!,2,FALSE)</f>
        <v>#REF!</v>
      </c>
      <c r="F3161">
        <v>127.4</v>
      </c>
      <c r="G3161">
        <f>(Cpi_[[#This Row],[Value]]-F3160)/F3160</f>
        <v>1.1111111111111157E-2</v>
      </c>
      <c r="H3161" t="e" cm="1" vm="1">
        <f t="array" aca="1" ref="H3161" ca="1">VLOOKUP(Cpi_[[#This Row],[Year]:[Month]],crudeoil[],3,FALSE)</f>
        <v>#VALUE!</v>
      </c>
    </row>
    <row r="3162" spans="1:8" hidden="1" x14ac:dyDescent="0.3">
      <c r="A3162" t="s">
        <v>30</v>
      </c>
      <c r="B3162">
        <v>2016</v>
      </c>
      <c r="C3162" t="s">
        <v>37</v>
      </c>
      <c r="D3162" t="s">
        <v>4</v>
      </c>
      <c r="E3162" t="e">
        <f>VLOOKUP(Cpi_[[#This Row],[Attribute]],#REF!,2,FALSE)</f>
        <v>#REF!</v>
      </c>
      <c r="F3162">
        <v>135.4</v>
      </c>
      <c r="G3162">
        <f>(Cpi_[[#This Row],[Value]]-F3161)/F3161</f>
        <v>6.2794348508634218E-2</v>
      </c>
      <c r="H3162" t="e" cm="1" vm="1">
        <f t="array" aca="1" ref="H3162" ca="1">VLOOKUP(Cpi_[[#This Row],[Year]:[Month]],crudeoil[],3,FALSE)</f>
        <v>#VALUE!</v>
      </c>
    </row>
    <row r="3163" spans="1:8" hidden="1" x14ac:dyDescent="0.3">
      <c r="A3163" t="s">
        <v>30</v>
      </c>
      <c r="B3163">
        <v>2016</v>
      </c>
      <c r="C3163" t="s">
        <v>37</v>
      </c>
      <c r="D3163" t="s">
        <v>5</v>
      </c>
      <c r="E3163" t="e">
        <f>VLOOKUP(Cpi_[[#This Row],[Attribute]],#REF!,2,FALSE)</f>
        <v>#REF!</v>
      </c>
      <c r="F3163">
        <v>123.4</v>
      </c>
      <c r="G3163">
        <f>(Cpi_[[#This Row],[Value]]-F3162)/F3162</f>
        <v>-8.8626292466765136E-2</v>
      </c>
      <c r="H3163" t="e" cm="1" vm="1">
        <f t="array" aca="1" ref="H3163" ca="1">VLOOKUP(Cpi_[[#This Row],[Year]:[Month]],crudeoil[],3,FALSE)</f>
        <v>#VALUE!</v>
      </c>
    </row>
    <row r="3164" spans="1:8" hidden="1" x14ac:dyDescent="0.3">
      <c r="A3164" t="s">
        <v>30</v>
      </c>
      <c r="B3164">
        <v>2016</v>
      </c>
      <c r="C3164" t="s">
        <v>37</v>
      </c>
      <c r="D3164" t="s">
        <v>6</v>
      </c>
      <c r="E3164" t="e">
        <f>VLOOKUP(Cpi_[[#This Row],[Attribute]],#REF!,2,FALSE)</f>
        <v>#REF!</v>
      </c>
      <c r="F3164">
        <v>131.30000000000001</v>
      </c>
      <c r="G3164">
        <f>(Cpi_[[#This Row],[Value]]-F3163)/F3163</f>
        <v>6.4019448946515442E-2</v>
      </c>
      <c r="H3164" t="e" cm="1" vm="1">
        <f t="array" aca="1" ref="H3164" ca="1">VLOOKUP(Cpi_[[#This Row],[Year]:[Month]],crudeoil[],3,FALSE)</f>
        <v>#VALUE!</v>
      </c>
    </row>
    <row r="3165" spans="1:8" hidden="1" x14ac:dyDescent="0.3">
      <c r="A3165" t="s">
        <v>30</v>
      </c>
      <c r="B3165">
        <v>2016</v>
      </c>
      <c r="C3165" t="s">
        <v>37</v>
      </c>
      <c r="D3165" t="s">
        <v>7</v>
      </c>
      <c r="E3165" t="e">
        <f>VLOOKUP(Cpi_[[#This Row],[Attribute]],#REF!,2,FALSE)</f>
        <v>#REF!</v>
      </c>
      <c r="F3165">
        <v>118.2</v>
      </c>
      <c r="G3165">
        <f>(Cpi_[[#This Row],[Value]]-F3164)/F3164</f>
        <v>-9.9771515613099826E-2</v>
      </c>
      <c r="H3165" t="e" cm="1" vm="1">
        <f t="array" aca="1" ref="H3165" ca="1">VLOOKUP(Cpi_[[#This Row],[Year]:[Month]],crudeoil[],3,FALSE)</f>
        <v>#VALUE!</v>
      </c>
    </row>
    <row r="3166" spans="1:8" hidden="1" x14ac:dyDescent="0.3">
      <c r="A3166" t="s">
        <v>30</v>
      </c>
      <c r="B3166">
        <v>2016</v>
      </c>
      <c r="C3166" t="s">
        <v>37</v>
      </c>
      <c r="D3166" t="s">
        <v>8</v>
      </c>
      <c r="E3166" t="e">
        <f>VLOOKUP(Cpi_[[#This Row],[Attribute]],#REF!,2,FALSE)</f>
        <v>#REF!</v>
      </c>
      <c r="F3166">
        <v>138.1</v>
      </c>
      <c r="G3166">
        <f>(Cpi_[[#This Row],[Value]]-F3165)/F3165</f>
        <v>0.16835871404399316</v>
      </c>
      <c r="H3166" t="e" cm="1" vm="1">
        <f t="array" aca="1" ref="H3166" ca="1">VLOOKUP(Cpi_[[#This Row],[Year]:[Month]],crudeoil[],3,FALSE)</f>
        <v>#VALUE!</v>
      </c>
    </row>
    <row r="3167" spans="1:8" hidden="1" x14ac:dyDescent="0.3">
      <c r="A3167" t="s">
        <v>30</v>
      </c>
      <c r="B3167">
        <v>2016</v>
      </c>
      <c r="C3167" t="s">
        <v>37</v>
      </c>
      <c r="D3167" t="s">
        <v>9</v>
      </c>
      <c r="E3167" t="e">
        <f>VLOOKUP(Cpi_[[#This Row],[Attribute]],#REF!,2,FALSE)</f>
        <v>#REF!</v>
      </c>
      <c r="F3167">
        <v>134.1</v>
      </c>
      <c r="G3167">
        <f>(Cpi_[[#This Row],[Value]]-F3166)/F3166</f>
        <v>-2.8964518464880521E-2</v>
      </c>
      <c r="H3167" t="e" cm="1" vm="1">
        <f t="array" aca="1" ref="H3167" ca="1">VLOOKUP(Cpi_[[#This Row],[Year]:[Month]],crudeoil[],3,FALSE)</f>
        <v>#VALUE!</v>
      </c>
    </row>
    <row r="3168" spans="1:8" hidden="1" x14ac:dyDescent="0.3">
      <c r="A3168" t="s">
        <v>30</v>
      </c>
      <c r="B3168">
        <v>2016</v>
      </c>
      <c r="C3168" t="s">
        <v>37</v>
      </c>
      <c r="D3168" t="s">
        <v>10</v>
      </c>
      <c r="E3168" t="e">
        <f>VLOOKUP(Cpi_[[#This Row],[Attribute]],#REF!,2,FALSE)</f>
        <v>#REF!</v>
      </c>
      <c r="F3168">
        <v>162.69999999999999</v>
      </c>
      <c r="G3168">
        <f>(Cpi_[[#This Row],[Value]]-F3167)/F3167</f>
        <v>0.21327367636092465</v>
      </c>
      <c r="H3168" t="e" cm="1" vm="1">
        <f t="array" aca="1" ref="H3168" ca="1">VLOOKUP(Cpi_[[#This Row],[Year]:[Month]],crudeoil[],3,FALSE)</f>
        <v>#VALUE!</v>
      </c>
    </row>
    <row r="3169" spans="1:8" hidden="1" x14ac:dyDescent="0.3">
      <c r="A3169" t="s">
        <v>30</v>
      </c>
      <c r="B3169">
        <v>2016</v>
      </c>
      <c r="C3169" t="s">
        <v>37</v>
      </c>
      <c r="D3169" t="s">
        <v>11</v>
      </c>
      <c r="E3169" t="e">
        <f>VLOOKUP(Cpi_[[#This Row],[Attribute]],#REF!,2,FALSE)</f>
        <v>#REF!</v>
      </c>
      <c r="F3169">
        <v>105</v>
      </c>
      <c r="G3169">
        <f>(Cpi_[[#This Row],[Value]]-F3168)/F3168</f>
        <v>-0.35464044253226795</v>
      </c>
      <c r="H3169" t="e" cm="1" vm="1">
        <f t="array" aca="1" ref="H3169" ca="1">VLOOKUP(Cpi_[[#This Row],[Year]:[Month]],crudeoil[],3,FALSE)</f>
        <v>#VALUE!</v>
      </c>
    </row>
    <row r="3170" spans="1:8" hidden="1" x14ac:dyDescent="0.3">
      <c r="A3170" t="s">
        <v>30</v>
      </c>
      <c r="B3170">
        <v>2016</v>
      </c>
      <c r="C3170" t="s">
        <v>37</v>
      </c>
      <c r="D3170" t="s">
        <v>12</v>
      </c>
      <c r="E3170" t="e">
        <f>VLOOKUP(Cpi_[[#This Row],[Attribute]],#REF!,2,FALSE)</f>
        <v>#REF!</v>
      </c>
      <c r="F3170">
        <v>131.4</v>
      </c>
      <c r="G3170">
        <f>(Cpi_[[#This Row],[Value]]-F3169)/F3169</f>
        <v>0.2514285714285715</v>
      </c>
      <c r="H3170" t="e" cm="1" vm="1">
        <f t="array" aca="1" ref="H3170" ca="1">VLOOKUP(Cpi_[[#This Row],[Year]:[Month]],crudeoil[],3,FALSE)</f>
        <v>#VALUE!</v>
      </c>
    </row>
    <row r="3171" spans="1:8" hidden="1" x14ac:dyDescent="0.3">
      <c r="A3171" t="s">
        <v>30</v>
      </c>
      <c r="B3171">
        <v>2016</v>
      </c>
      <c r="C3171" t="s">
        <v>37</v>
      </c>
      <c r="D3171" t="s">
        <v>13</v>
      </c>
      <c r="E3171" t="e">
        <f>VLOOKUP(Cpi_[[#This Row],[Attribute]],#REF!,2,FALSE)</f>
        <v>#REF!</v>
      </c>
      <c r="F3171">
        <v>125.4</v>
      </c>
      <c r="G3171">
        <f>(Cpi_[[#This Row],[Value]]-F3170)/F3170</f>
        <v>-4.5662100456621002E-2</v>
      </c>
      <c r="H3171" t="e" cm="1" vm="1">
        <f t="array" aca="1" ref="H3171" ca="1">VLOOKUP(Cpi_[[#This Row],[Year]:[Month]],crudeoil[],3,FALSE)</f>
        <v>#VALUE!</v>
      </c>
    </row>
    <row r="3172" spans="1:8" hidden="1" x14ac:dyDescent="0.3">
      <c r="A3172" t="s">
        <v>30</v>
      </c>
      <c r="B3172">
        <v>2016</v>
      </c>
      <c r="C3172" t="s">
        <v>37</v>
      </c>
      <c r="D3172" t="s">
        <v>14</v>
      </c>
      <c r="E3172" t="e">
        <f>VLOOKUP(Cpi_[[#This Row],[Attribute]],#REF!,2,FALSE)</f>
        <v>#REF!</v>
      </c>
      <c r="F3172">
        <v>137.4</v>
      </c>
      <c r="G3172">
        <f>(Cpi_[[#This Row],[Value]]-F3171)/F3171</f>
        <v>9.569377990430622E-2</v>
      </c>
      <c r="H3172" t="e" cm="1" vm="1">
        <f t="array" aca="1" ref="H3172" ca="1">VLOOKUP(Cpi_[[#This Row],[Year]:[Month]],crudeoil[],3,FALSE)</f>
        <v>#VALUE!</v>
      </c>
    </row>
    <row r="3173" spans="1:8" hidden="1" x14ac:dyDescent="0.3">
      <c r="A3173" t="s">
        <v>30</v>
      </c>
      <c r="B3173">
        <v>2016</v>
      </c>
      <c r="C3173" t="s">
        <v>37</v>
      </c>
      <c r="D3173" t="s">
        <v>15</v>
      </c>
      <c r="E3173" t="e">
        <f>VLOOKUP(Cpi_[[#This Row],[Attribute]],#REF!,2,FALSE)</f>
        <v>#REF!</v>
      </c>
      <c r="F3173">
        <v>131.80000000000001</v>
      </c>
      <c r="G3173">
        <f>(Cpi_[[#This Row],[Value]]-F3172)/F3172</f>
        <v>-4.0756914119359493E-2</v>
      </c>
      <c r="H3173" t="e" cm="1" vm="1">
        <f t="array" aca="1" ref="H3173" ca="1">VLOOKUP(Cpi_[[#This Row],[Year]:[Month]],crudeoil[],3,FALSE)</f>
        <v>#VALUE!</v>
      </c>
    </row>
    <row r="3174" spans="1:8" hidden="1" x14ac:dyDescent="0.3">
      <c r="A3174" t="s">
        <v>30</v>
      </c>
      <c r="B3174">
        <v>2016</v>
      </c>
      <c r="C3174" t="s">
        <v>37</v>
      </c>
      <c r="D3174" t="s">
        <v>16</v>
      </c>
      <c r="E3174" t="e">
        <f>VLOOKUP(Cpi_[[#This Row],[Attribute]],#REF!,2,FALSE)</f>
        <v>#REF!</v>
      </c>
      <c r="F3174">
        <v>135.5</v>
      </c>
      <c r="G3174">
        <f>(Cpi_[[#This Row],[Value]]-F3173)/F3173</f>
        <v>2.8072837632776845E-2</v>
      </c>
      <c r="H3174" t="e" cm="1" vm="1">
        <f t="array" aca="1" ref="H3174" ca="1">VLOOKUP(Cpi_[[#This Row],[Year]:[Month]],crudeoil[],3,FALSE)</f>
        <v>#VALUE!</v>
      </c>
    </row>
    <row r="3175" spans="1:8" hidden="1" x14ac:dyDescent="0.3">
      <c r="A3175" t="s">
        <v>30</v>
      </c>
      <c r="B3175">
        <v>2016</v>
      </c>
      <c r="C3175" t="s">
        <v>37</v>
      </c>
      <c r="D3175" t="s">
        <v>17</v>
      </c>
      <c r="E3175" t="e">
        <f>VLOOKUP(Cpi_[[#This Row],[Attribute]],#REF!,2,FALSE)</f>
        <v>#REF!</v>
      </c>
      <c r="F3175">
        <v>135</v>
      </c>
      <c r="G3175">
        <f>(Cpi_[[#This Row],[Value]]-F3174)/F3174</f>
        <v>-3.6900369003690036E-3</v>
      </c>
      <c r="H3175" t="e" cm="1" vm="1">
        <f t="array" aca="1" ref="H3175" ca="1">VLOOKUP(Cpi_[[#This Row],[Year]:[Month]],crudeoil[],3,FALSE)</f>
        <v>#VALUE!</v>
      </c>
    </row>
    <row r="3176" spans="1:8" hidden="1" x14ac:dyDescent="0.3">
      <c r="A3176" t="s">
        <v>30</v>
      </c>
      <c r="B3176">
        <v>2016</v>
      </c>
      <c r="C3176" t="s">
        <v>37</v>
      </c>
      <c r="D3176" t="s">
        <v>18</v>
      </c>
      <c r="E3176" t="e">
        <f>VLOOKUP(Cpi_[[#This Row],[Attribute]],#REF!,2,FALSE)</f>
        <v>#REF!</v>
      </c>
      <c r="F3176">
        <v>130.6</v>
      </c>
      <c r="G3176">
        <f>(Cpi_[[#This Row],[Value]]-F3175)/F3175</f>
        <v>-3.2592592592592631E-2</v>
      </c>
      <c r="H3176" t="e" cm="1" vm="1">
        <f t="array" aca="1" ref="H3176" ca="1">VLOOKUP(Cpi_[[#This Row],[Year]:[Month]],crudeoil[],3,FALSE)</f>
        <v>#VALUE!</v>
      </c>
    </row>
    <row r="3177" spans="1:8" hidden="1" x14ac:dyDescent="0.3">
      <c r="A3177" t="s">
        <v>30</v>
      </c>
      <c r="B3177">
        <v>2016</v>
      </c>
      <c r="C3177" t="s">
        <v>37</v>
      </c>
      <c r="D3177" t="s">
        <v>19</v>
      </c>
      <c r="E3177" t="e">
        <f>VLOOKUP(Cpi_[[#This Row],[Attribute]],#REF!,2,FALSE)</f>
        <v>#REF!</v>
      </c>
      <c r="F3177">
        <v>134.4</v>
      </c>
      <c r="G3177">
        <f>(Cpi_[[#This Row],[Value]]-F3176)/F3176</f>
        <v>2.9096477794793352E-2</v>
      </c>
      <c r="H3177" t="e" cm="1" vm="1">
        <f t="array" aca="1" ref="H3177" ca="1">VLOOKUP(Cpi_[[#This Row],[Year]:[Month]],crudeoil[],3,FALSE)</f>
        <v>#VALUE!</v>
      </c>
    </row>
    <row r="3178" spans="1:8" hidden="1" x14ac:dyDescent="0.3">
      <c r="A3178" t="s">
        <v>30</v>
      </c>
      <c r="B3178">
        <v>2016</v>
      </c>
      <c r="C3178" t="s">
        <v>37</v>
      </c>
      <c r="D3178" t="s">
        <v>20</v>
      </c>
      <c r="E3178" t="e">
        <f>VLOOKUP(Cpi_[[#This Row],[Attribute]],#REF!,2,FALSE)</f>
        <v>#REF!</v>
      </c>
      <c r="F3178" t="s">
        <v>32</v>
      </c>
      <c r="G3178" t="e">
        <f>(Cpi_[[#This Row],[Value]]-F3177)/F3177</f>
        <v>#VALUE!</v>
      </c>
      <c r="H3178" t="e" cm="1" vm="1">
        <f t="array" aca="1" ref="H3178" ca="1">VLOOKUP(Cpi_[[#This Row],[Year]:[Month]],crudeoil[],3,FALSE)</f>
        <v>#VALUE!</v>
      </c>
    </row>
    <row r="3179" spans="1:8" hidden="1" x14ac:dyDescent="0.3">
      <c r="A3179" t="s">
        <v>30</v>
      </c>
      <c r="B3179">
        <v>2016</v>
      </c>
      <c r="C3179" t="s">
        <v>37</v>
      </c>
      <c r="D3179" t="s">
        <v>21</v>
      </c>
      <c r="E3179" t="e">
        <f>VLOOKUP(Cpi_[[#This Row],[Attribute]],#REF!,2,FALSE)</f>
        <v>#REF!</v>
      </c>
      <c r="F3179">
        <v>127</v>
      </c>
      <c r="G3179" t="e">
        <f>(Cpi_[[#This Row],[Value]]-F3178)/F3178</f>
        <v>#VALUE!</v>
      </c>
      <c r="H3179" t="e" cm="1" vm="1">
        <f t="array" aca="1" ref="H3179" ca="1">VLOOKUP(Cpi_[[#This Row],[Year]:[Month]],crudeoil[],3,FALSE)</f>
        <v>#VALUE!</v>
      </c>
    </row>
    <row r="3180" spans="1:8" hidden="1" x14ac:dyDescent="0.3">
      <c r="A3180" t="s">
        <v>30</v>
      </c>
      <c r="B3180">
        <v>2016</v>
      </c>
      <c r="C3180" t="s">
        <v>37</v>
      </c>
      <c r="D3180" t="s">
        <v>22</v>
      </c>
      <c r="E3180" t="e">
        <f>VLOOKUP(Cpi_[[#This Row],[Attribute]],#REF!,2,FALSE)</f>
        <v>#REF!</v>
      </c>
      <c r="F3180">
        <v>128</v>
      </c>
      <c r="G3180">
        <f>(Cpi_[[#This Row],[Value]]-F3179)/F3179</f>
        <v>7.874015748031496E-3</v>
      </c>
      <c r="H3180" t="e" cm="1" vm="1">
        <f t="array" aca="1" ref="H3180" ca="1">VLOOKUP(Cpi_[[#This Row],[Year]:[Month]],crudeoil[],3,FALSE)</f>
        <v>#VALUE!</v>
      </c>
    </row>
    <row r="3181" spans="1:8" hidden="1" x14ac:dyDescent="0.3">
      <c r="A3181" t="s">
        <v>30</v>
      </c>
      <c r="B3181">
        <v>2016</v>
      </c>
      <c r="C3181" t="s">
        <v>37</v>
      </c>
      <c r="D3181" t="s">
        <v>23</v>
      </c>
      <c r="E3181" t="e">
        <f>VLOOKUP(Cpi_[[#This Row],[Attribute]],#REF!,2,FALSE)</f>
        <v>#REF!</v>
      </c>
      <c r="F3181">
        <v>125.2</v>
      </c>
      <c r="G3181">
        <f>(Cpi_[[#This Row],[Value]]-F3180)/F3180</f>
        <v>-2.1874999999999978E-2</v>
      </c>
      <c r="H3181" t="e" cm="1" vm="1">
        <f t="array" aca="1" ref="H3181" ca="1">VLOOKUP(Cpi_[[#This Row],[Year]:[Month]],crudeoil[],3,FALSE)</f>
        <v>#VALUE!</v>
      </c>
    </row>
    <row r="3182" spans="1:8" hidden="1" x14ac:dyDescent="0.3">
      <c r="A3182" t="s">
        <v>30</v>
      </c>
      <c r="B3182">
        <v>2016</v>
      </c>
      <c r="C3182" t="s">
        <v>37</v>
      </c>
      <c r="D3182" t="s">
        <v>24</v>
      </c>
      <c r="E3182" t="e">
        <f>VLOOKUP(Cpi_[[#This Row],[Attribute]],#REF!,2,FALSE)</f>
        <v>#REF!</v>
      </c>
      <c r="F3182">
        <v>114.4</v>
      </c>
      <c r="G3182">
        <f>(Cpi_[[#This Row],[Value]]-F3181)/F3181</f>
        <v>-8.6261980830670895E-2</v>
      </c>
      <c r="H3182" t="e" cm="1" vm="1">
        <f t="array" aca="1" ref="H3182" ca="1">VLOOKUP(Cpi_[[#This Row],[Year]:[Month]],crudeoil[],3,FALSE)</f>
        <v>#VALUE!</v>
      </c>
    </row>
    <row r="3183" spans="1:8" hidden="1" x14ac:dyDescent="0.3">
      <c r="A3183" t="s">
        <v>30</v>
      </c>
      <c r="B3183">
        <v>2016</v>
      </c>
      <c r="C3183" t="s">
        <v>37</v>
      </c>
      <c r="D3183" t="s">
        <v>25</v>
      </c>
      <c r="E3183" t="e">
        <f>VLOOKUP(Cpi_[[#This Row],[Attribute]],#REF!,2,FALSE)</f>
        <v>#REF!</v>
      </c>
      <c r="F3183">
        <v>123.2</v>
      </c>
      <c r="G3183">
        <f>(Cpi_[[#This Row],[Value]]-F3182)/F3182</f>
        <v>7.69230769230769E-2</v>
      </c>
      <c r="H3183" t="e" cm="1" vm="1">
        <f t="array" aca="1" ref="H3183" ca="1">VLOOKUP(Cpi_[[#This Row],[Year]:[Month]],crudeoil[],3,FALSE)</f>
        <v>#VALUE!</v>
      </c>
    </row>
    <row r="3184" spans="1:8" hidden="1" x14ac:dyDescent="0.3">
      <c r="A3184" t="s">
        <v>30</v>
      </c>
      <c r="B3184">
        <v>2016</v>
      </c>
      <c r="C3184" t="s">
        <v>37</v>
      </c>
      <c r="D3184" t="s">
        <v>26</v>
      </c>
      <c r="E3184" t="e">
        <f>VLOOKUP(Cpi_[[#This Row],[Attribute]],#REF!,2,FALSE)</f>
        <v>#REF!</v>
      </c>
      <c r="F3184">
        <v>127.9</v>
      </c>
      <c r="G3184">
        <f>(Cpi_[[#This Row],[Value]]-F3183)/F3183</f>
        <v>3.8149350649350669E-2</v>
      </c>
      <c r="H3184" t="e" cm="1" vm="1">
        <f t="array" aca="1" ref="H3184" ca="1">VLOOKUP(Cpi_[[#This Row],[Year]:[Month]],crudeoil[],3,FALSE)</f>
        <v>#VALUE!</v>
      </c>
    </row>
    <row r="3185" spans="1:8" hidden="1" x14ac:dyDescent="0.3">
      <c r="A3185" t="s">
        <v>30</v>
      </c>
      <c r="B3185">
        <v>2016</v>
      </c>
      <c r="C3185" t="s">
        <v>37</v>
      </c>
      <c r="D3185" t="s">
        <v>27</v>
      </c>
      <c r="E3185" t="e">
        <f>VLOOKUP(Cpi_[[#This Row],[Attribute]],#REF!,2,FALSE)</f>
        <v>#REF!</v>
      </c>
      <c r="F3185">
        <v>118.4</v>
      </c>
      <c r="G3185">
        <f>(Cpi_[[#This Row],[Value]]-F3184)/F3184</f>
        <v>-7.4276778733385451E-2</v>
      </c>
      <c r="H3185" t="e" cm="1" vm="1">
        <f t="array" aca="1" ref="H3185" ca="1">VLOOKUP(Cpi_[[#This Row],[Year]:[Month]],crudeoil[],3,FALSE)</f>
        <v>#VALUE!</v>
      </c>
    </row>
    <row r="3186" spans="1:8" hidden="1" x14ac:dyDescent="0.3">
      <c r="A3186" t="s">
        <v>30</v>
      </c>
      <c r="B3186">
        <v>2016</v>
      </c>
      <c r="C3186" t="s">
        <v>37</v>
      </c>
      <c r="D3186" t="s">
        <v>28</v>
      </c>
      <c r="E3186" t="e">
        <f>VLOOKUP(Cpi_[[#This Row],[Attribute]],#REF!,2,FALSE)</f>
        <v>#REF!</v>
      </c>
      <c r="F3186">
        <v>121.7</v>
      </c>
      <c r="G3186">
        <f>(Cpi_[[#This Row],[Value]]-F3185)/F3185</f>
        <v>2.7871621621621597E-2</v>
      </c>
      <c r="H3186" t="e" cm="1" vm="1">
        <f t="array" aca="1" ref="H3186" ca="1">VLOOKUP(Cpi_[[#This Row],[Year]:[Month]],crudeoil[],3,FALSE)</f>
        <v>#VALUE!</v>
      </c>
    </row>
    <row r="3187" spans="1:8" hidden="1" x14ac:dyDescent="0.3">
      <c r="A3187" t="s">
        <v>30</v>
      </c>
      <c r="B3187">
        <v>2016</v>
      </c>
      <c r="C3187" t="s">
        <v>37</v>
      </c>
      <c r="D3187" t="s">
        <v>29</v>
      </c>
      <c r="E3187" t="e" cm="1">
        <f t="array" aca="1" ref="E3187" ca="1">VLGeneral indexGeneral indexKUP(Cpi_[[#This Row],[Attribute]],#REF!,2,FALSE)</f>
        <v>#NAME?</v>
      </c>
      <c r="F3187">
        <v>129</v>
      </c>
      <c r="G3187">
        <f>(Cpi_[[#This Row],[Value]]-F3186)/F3186</f>
        <v>5.9983566146261276E-2</v>
      </c>
      <c r="H3187" t="e" cm="1" vm="1">
        <f t="array" aca="1" ref="H3187" ca="1">VLOOKUP(Cpi_[[#This Row],[Year]:[Month]],crudeoil[],3,FALSE)</f>
        <v>#VALUE!</v>
      </c>
    </row>
    <row r="3188" spans="1:8" hidden="1" x14ac:dyDescent="0.3">
      <c r="A3188" t="s">
        <v>33</v>
      </c>
      <c r="B3188">
        <v>2016</v>
      </c>
      <c r="C3188" t="s">
        <v>37</v>
      </c>
      <c r="D3188" t="s">
        <v>3</v>
      </c>
      <c r="E3188" t="e">
        <f>VLOOKUP(Cpi_[[#This Row],[Attribute]],#REF!,2,FALSE)</f>
        <v>#REF!</v>
      </c>
      <c r="F3188">
        <v>124.9</v>
      </c>
      <c r="G3188">
        <f>(Cpi_[[#This Row],[Value]]-F3187)/F3187</f>
        <v>-3.1782945736434066E-2</v>
      </c>
      <c r="H3188" t="e" cm="1" vm="1">
        <f t="array" aca="1" ref="H3188" ca="1">VLOOKUP(Cpi_[[#This Row],[Year]:[Month]],crudeoil[],3,FALSE)</f>
        <v>#VALUE!</v>
      </c>
    </row>
    <row r="3189" spans="1:8" hidden="1" x14ac:dyDescent="0.3">
      <c r="A3189" t="s">
        <v>33</v>
      </c>
      <c r="B3189">
        <v>2016</v>
      </c>
      <c r="C3189" t="s">
        <v>37</v>
      </c>
      <c r="D3189" t="s">
        <v>4</v>
      </c>
      <c r="E3189" t="e">
        <f>VLOOKUP(Cpi_[[#This Row],[Attribute]],#REF!,2,FALSE)</f>
        <v>#REF!</v>
      </c>
      <c r="F3189">
        <v>139.30000000000001</v>
      </c>
      <c r="G3189">
        <f>(Cpi_[[#This Row],[Value]]-F3188)/F3188</f>
        <v>0.11529223378702966</v>
      </c>
      <c r="H3189" t="e" cm="1" vm="1">
        <f t="array" aca="1" ref="H3189" ca="1">VLOOKUP(Cpi_[[#This Row],[Year]:[Month]],crudeoil[],3,FALSE)</f>
        <v>#VALUE!</v>
      </c>
    </row>
    <row r="3190" spans="1:8" hidden="1" x14ac:dyDescent="0.3">
      <c r="A3190" t="s">
        <v>33</v>
      </c>
      <c r="B3190">
        <v>2016</v>
      </c>
      <c r="C3190" t="s">
        <v>37</v>
      </c>
      <c r="D3190" t="s">
        <v>5</v>
      </c>
      <c r="E3190" t="e">
        <f>VLOOKUP(Cpi_[[#This Row],[Attribute]],#REF!,2,FALSE)</f>
        <v>#REF!</v>
      </c>
      <c r="F3190">
        <v>119.9</v>
      </c>
      <c r="G3190">
        <f>(Cpi_[[#This Row],[Value]]-F3189)/F3189</f>
        <v>-0.13926776740847097</v>
      </c>
      <c r="H3190" t="e" cm="1" vm="1">
        <f t="array" aca="1" ref="H3190" ca="1">VLOOKUP(Cpi_[[#This Row],[Year]:[Month]],crudeoil[],3,FALSE)</f>
        <v>#VALUE!</v>
      </c>
    </row>
    <row r="3191" spans="1:8" hidden="1" x14ac:dyDescent="0.3">
      <c r="A3191" t="s">
        <v>33</v>
      </c>
      <c r="B3191">
        <v>2016</v>
      </c>
      <c r="C3191" t="s">
        <v>37</v>
      </c>
      <c r="D3191" t="s">
        <v>6</v>
      </c>
      <c r="E3191" t="e">
        <f>VLOOKUP(Cpi_[[#This Row],[Attribute]],#REF!,2,FALSE)</f>
        <v>#REF!</v>
      </c>
      <c r="F3191">
        <v>130.19999999999999</v>
      </c>
      <c r="G3191">
        <f>(Cpi_[[#This Row],[Value]]-F3190)/F3190</f>
        <v>8.5904920767305937E-2</v>
      </c>
      <c r="H3191" t="e" cm="1" vm="1">
        <f t="array" aca="1" ref="H3191" ca="1">VLOOKUP(Cpi_[[#This Row],[Year]:[Month]],crudeoil[],3,FALSE)</f>
        <v>#VALUE!</v>
      </c>
    </row>
    <row r="3192" spans="1:8" hidden="1" x14ac:dyDescent="0.3">
      <c r="A3192" t="s">
        <v>33</v>
      </c>
      <c r="B3192">
        <v>2016</v>
      </c>
      <c r="C3192" t="s">
        <v>37</v>
      </c>
      <c r="D3192" t="s">
        <v>7</v>
      </c>
      <c r="E3192" t="e">
        <f>VLOOKUP(Cpi_[[#This Row],[Attribute]],#REF!,2,FALSE)</f>
        <v>#REF!</v>
      </c>
      <c r="F3192">
        <v>108.9</v>
      </c>
      <c r="G3192">
        <f>(Cpi_[[#This Row],[Value]]-F3191)/F3191</f>
        <v>-0.16359447004608282</v>
      </c>
      <c r="H3192" t="e" cm="1" vm="1">
        <f t="array" aca="1" ref="H3192" ca="1">VLOOKUP(Cpi_[[#This Row],[Year]:[Month]],crudeoil[],3,FALSE)</f>
        <v>#VALUE!</v>
      </c>
    </row>
    <row r="3193" spans="1:8" hidden="1" x14ac:dyDescent="0.3">
      <c r="A3193" t="s">
        <v>33</v>
      </c>
      <c r="B3193">
        <v>2016</v>
      </c>
      <c r="C3193" t="s">
        <v>37</v>
      </c>
      <c r="D3193" t="s">
        <v>8</v>
      </c>
      <c r="E3193" t="e">
        <f>VLOOKUP(Cpi_[[#This Row],[Attribute]],#REF!,2,FALSE)</f>
        <v>#REF!</v>
      </c>
      <c r="F3193">
        <v>131.1</v>
      </c>
      <c r="G3193">
        <f>(Cpi_[[#This Row],[Value]]-F3192)/F3192</f>
        <v>0.20385674931129466</v>
      </c>
      <c r="H3193" t="e" cm="1" vm="1">
        <f t="array" aca="1" ref="H3193" ca="1">VLOOKUP(Cpi_[[#This Row],[Year]:[Month]],crudeoil[],3,FALSE)</f>
        <v>#VALUE!</v>
      </c>
    </row>
    <row r="3194" spans="1:8" hidden="1" x14ac:dyDescent="0.3">
      <c r="A3194" t="s">
        <v>33</v>
      </c>
      <c r="B3194">
        <v>2016</v>
      </c>
      <c r="C3194" t="s">
        <v>37</v>
      </c>
      <c r="D3194" t="s">
        <v>9</v>
      </c>
      <c r="E3194" t="e">
        <f>VLOOKUP(Cpi_[[#This Row],[Attribute]],#REF!,2,FALSE)</f>
        <v>#REF!</v>
      </c>
      <c r="F3194">
        <v>136.80000000000001</v>
      </c>
      <c r="G3194">
        <f>(Cpi_[[#This Row],[Value]]-F3193)/F3193</f>
        <v>4.3478260869565348E-2</v>
      </c>
      <c r="H3194" t="e" cm="1" vm="1">
        <f t="array" aca="1" ref="H3194" ca="1">VLOOKUP(Cpi_[[#This Row],[Year]:[Month]],crudeoil[],3,FALSE)</f>
        <v>#VALUE!</v>
      </c>
    </row>
    <row r="3195" spans="1:8" hidden="1" x14ac:dyDescent="0.3">
      <c r="A3195" t="s">
        <v>33</v>
      </c>
      <c r="B3195">
        <v>2016</v>
      </c>
      <c r="C3195" t="s">
        <v>37</v>
      </c>
      <c r="D3195" t="s">
        <v>10</v>
      </c>
      <c r="E3195" t="e">
        <f>VLOOKUP(Cpi_[[#This Row],[Attribute]],#REF!,2,FALSE)</f>
        <v>#REF!</v>
      </c>
      <c r="F3195">
        <v>176.9</v>
      </c>
      <c r="G3195">
        <f>(Cpi_[[#This Row],[Value]]-F3194)/F3194</f>
        <v>0.29312865497076018</v>
      </c>
      <c r="H3195" t="e" cm="1" vm="1">
        <f t="array" aca="1" ref="H3195" ca="1">VLOOKUP(Cpi_[[#This Row],[Year]:[Month]],crudeoil[],3,FALSE)</f>
        <v>#VALUE!</v>
      </c>
    </row>
    <row r="3196" spans="1:8" hidden="1" x14ac:dyDescent="0.3">
      <c r="A3196" t="s">
        <v>33</v>
      </c>
      <c r="B3196">
        <v>2016</v>
      </c>
      <c r="C3196" t="s">
        <v>37</v>
      </c>
      <c r="D3196" t="s">
        <v>11</v>
      </c>
      <c r="E3196" t="e">
        <f>VLOOKUP(Cpi_[[#This Row],[Attribute]],#REF!,2,FALSE)</f>
        <v>#REF!</v>
      </c>
      <c r="F3196">
        <v>109.1</v>
      </c>
      <c r="G3196">
        <f>(Cpi_[[#This Row],[Value]]-F3195)/F3195</f>
        <v>-0.38326738270209165</v>
      </c>
      <c r="H3196" t="e" cm="1" vm="1">
        <f t="array" aca="1" ref="H3196" ca="1">VLOOKUP(Cpi_[[#This Row],[Year]:[Month]],crudeoil[],3,FALSE)</f>
        <v>#VALUE!</v>
      </c>
    </row>
    <row r="3197" spans="1:8" hidden="1" x14ac:dyDescent="0.3">
      <c r="A3197" t="s">
        <v>33</v>
      </c>
      <c r="B3197">
        <v>2016</v>
      </c>
      <c r="C3197" t="s">
        <v>37</v>
      </c>
      <c r="D3197" t="s">
        <v>12</v>
      </c>
      <c r="E3197" t="e">
        <f>VLOOKUP(Cpi_[[#This Row],[Attribute]],#REF!,2,FALSE)</f>
        <v>#REF!</v>
      </c>
      <c r="F3197">
        <v>140.4</v>
      </c>
      <c r="G3197">
        <f>(Cpi_[[#This Row],[Value]]-F3196)/F3196</f>
        <v>0.28689275893675537</v>
      </c>
      <c r="H3197" t="e" cm="1" vm="1">
        <f t="array" aca="1" ref="H3197" ca="1">VLOOKUP(Cpi_[[#This Row],[Year]:[Month]],crudeoil[],3,FALSE)</f>
        <v>#VALUE!</v>
      </c>
    </row>
    <row r="3198" spans="1:8" hidden="1" x14ac:dyDescent="0.3">
      <c r="A3198" t="s">
        <v>33</v>
      </c>
      <c r="B3198">
        <v>2016</v>
      </c>
      <c r="C3198" t="s">
        <v>37</v>
      </c>
      <c r="D3198" t="s">
        <v>13</v>
      </c>
      <c r="E3198" t="e">
        <f>VLOOKUP(Cpi_[[#This Row],[Attribute]],#REF!,2,FALSE)</f>
        <v>#REF!</v>
      </c>
      <c r="F3198">
        <v>121.1</v>
      </c>
      <c r="G3198">
        <f>(Cpi_[[#This Row],[Value]]-F3197)/F3197</f>
        <v>-0.13746438746438755</v>
      </c>
      <c r="H3198" t="e" cm="1" vm="1">
        <f t="array" aca="1" ref="H3198" ca="1">VLOOKUP(Cpi_[[#This Row],[Year]:[Month]],crudeoil[],3,FALSE)</f>
        <v>#VALUE!</v>
      </c>
    </row>
    <row r="3199" spans="1:8" hidden="1" x14ac:dyDescent="0.3">
      <c r="A3199" t="s">
        <v>33</v>
      </c>
      <c r="B3199">
        <v>2016</v>
      </c>
      <c r="C3199" t="s">
        <v>37</v>
      </c>
      <c r="D3199" t="s">
        <v>14</v>
      </c>
      <c r="E3199" t="e">
        <f>VLOOKUP(Cpi_[[#This Row],[Attribute]],#REF!,2,FALSE)</f>
        <v>#REF!</v>
      </c>
      <c r="F3199">
        <v>135.9</v>
      </c>
      <c r="G3199">
        <f>(Cpi_[[#This Row],[Value]]-F3198)/F3198</f>
        <v>0.1222130470685385</v>
      </c>
      <c r="H3199" t="e" cm="1" vm="1">
        <f t="array" aca="1" ref="H3199" ca="1">VLOOKUP(Cpi_[[#This Row],[Year]:[Month]],crudeoil[],3,FALSE)</f>
        <v>#VALUE!</v>
      </c>
    </row>
    <row r="3200" spans="1:8" hidden="1" x14ac:dyDescent="0.3">
      <c r="A3200" t="s">
        <v>33</v>
      </c>
      <c r="B3200">
        <v>2016</v>
      </c>
      <c r="C3200" t="s">
        <v>37</v>
      </c>
      <c r="D3200" t="s">
        <v>15</v>
      </c>
      <c r="E3200" t="e">
        <f>VLOOKUP(Cpi_[[#This Row],[Attribute]],#REF!,2,FALSE)</f>
        <v>#REF!</v>
      </c>
      <c r="F3200">
        <v>131.80000000000001</v>
      </c>
      <c r="G3200">
        <f>(Cpi_[[#This Row],[Value]]-F3199)/F3199</f>
        <v>-3.0169242089771849E-2</v>
      </c>
      <c r="H3200" t="e" cm="1" vm="1">
        <f t="array" aca="1" ref="H3200" ca="1">VLOOKUP(Cpi_[[#This Row],[Year]:[Month]],crudeoil[],3,FALSE)</f>
        <v>#VALUE!</v>
      </c>
    </row>
    <row r="3201" spans="1:8" hidden="1" x14ac:dyDescent="0.3">
      <c r="A3201" t="s">
        <v>33</v>
      </c>
      <c r="B3201">
        <v>2016</v>
      </c>
      <c r="C3201" t="s">
        <v>37</v>
      </c>
      <c r="D3201" t="s">
        <v>16</v>
      </c>
      <c r="E3201" t="e">
        <f>VLOOKUP(Cpi_[[#This Row],[Attribute]],#REF!,2,FALSE)</f>
        <v>#REF!</v>
      </c>
      <c r="F3201">
        <v>141.5</v>
      </c>
      <c r="G3201">
        <f>(Cpi_[[#This Row],[Value]]-F3200)/F3200</f>
        <v>7.3596358118361058E-2</v>
      </c>
      <c r="H3201" t="e" cm="1" vm="1">
        <f t="array" aca="1" ref="H3201" ca="1">VLOOKUP(Cpi_[[#This Row],[Year]:[Month]],crudeoil[],3,FALSE)</f>
        <v>#VALUE!</v>
      </c>
    </row>
    <row r="3202" spans="1:8" hidden="1" x14ac:dyDescent="0.3">
      <c r="A3202" t="s">
        <v>33</v>
      </c>
      <c r="B3202">
        <v>2016</v>
      </c>
      <c r="C3202" t="s">
        <v>37</v>
      </c>
      <c r="D3202" t="s">
        <v>17</v>
      </c>
      <c r="E3202" t="e">
        <f>VLOOKUP(Cpi_[[#This Row],[Attribute]],#REF!,2,FALSE)</f>
        <v>#REF!</v>
      </c>
      <c r="F3202">
        <v>126.8</v>
      </c>
      <c r="G3202">
        <f>(Cpi_[[#This Row],[Value]]-F3201)/F3201</f>
        <v>-0.10388692579505303</v>
      </c>
      <c r="H3202" t="e" cm="1" vm="1">
        <f t="array" aca="1" ref="H3202" ca="1">VLOOKUP(Cpi_[[#This Row],[Year]:[Month]],crudeoil[],3,FALSE)</f>
        <v>#VALUE!</v>
      </c>
    </row>
    <row r="3203" spans="1:8" hidden="1" x14ac:dyDescent="0.3">
      <c r="A3203" t="s">
        <v>33</v>
      </c>
      <c r="B3203">
        <v>2016</v>
      </c>
      <c r="C3203" t="s">
        <v>37</v>
      </c>
      <c r="D3203" t="s">
        <v>18</v>
      </c>
      <c r="E3203" t="e">
        <f>VLOOKUP(Cpi_[[#This Row],[Attribute]],#REF!,2,FALSE)</f>
        <v>#REF!</v>
      </c>
      <c r="F3203">
        <v>120.5</v>
      </c>
      <c r="G3203">
        <f>(Cpi_[[#This Row],[Value]]-F3202)/F3202</f>
        <v>-4.9684542586750764E-2</v>
      </c>
      <c r="H3203" t="e" cm="1" vm="1">
        <f t="array" aca="1" ref="H3203" ca="1">VLOOKUP(Cpi_[[#This Row],[Year]:[Month]],crudeoil[],3,FALSE)</f>
        <v>#VALUE!</v>
      </c>
    </row>
    <row r="3204" spans="1:8" hidden="1" x14ac:dyDescent="0.3">
      <c r="A3204" t="s">
        <v>33</v>
      </c>
      <c r="B3204">
        <v>2016</v>
      </c>
      <c r="C3204" t="s">
        <v>37</v>
      </c>
      <c r="D3204" t="s">
        <v>19</v>
      </c>
      <c r="E3204" t="e">
        <f>VLOOKUP(Cpi_[[#This Row],[Attribute]],#REF!,2,FALSE)</f>
        <v>#REF!</v>
      </c>
      <c r="F3204">
        <v>125.8</v>
      </c>
      <c r="G3204">
        <f>(Cpi_[[#This Row],[Value]]-F3203)/F3203</f>
        <v>4.3983402489626532E-2</v>
      </c>
      <c r="H3204" t="e" cm="1" vm="1">
        <f t="array" aca="1" ref="H3204" ca="1">VLOOKUP(Cpi_[[#This Row],[Year]:[Month]],crudeoil[],3,FALSE)</f>
        <v>#VALUE!</v>
      </c>
    </row>
    <row r="3205" spans="1:8" hidden="1" x14ac:dyDescent="0.3">
      <c r="A3205" t="s">
        <v>33</v>
      </c>
      <c r="B3205">
        <v>2016</v>
      </c>
      <c r="C3205" t="s">
        <v>37</v>
      </c>
      <c r="D3205" t="s">
        <v>20</v>
      </c>
      <c r="E3205" t="e">
        <f>VLOOKUP(Cpi_[[#This Row],[Attribute]],#REF!,2,FALSE)</f>
        <v>#REF!</v>
      </c>
      <c r="F3205">
        <v>125.6</v>
      </c>
      <c r="G3205">
        <f>(Cpi_[[#This Row],[Value]]-F3204)/F3204</f>
        <v>-1.5898251192369066E-3</v>
      </c>
      <c r="H3205" t="e" cm="1" vm="1">
        <f t="array" aca="1" ref="H3205" ca="1">VLOOKUP(Cpi_[[#This Row],[Year]:[Month]],crudeoil[],3,FALSE)</f>
        <v>#VALUE!</v>
      </c>
    </row>
    <row r="3206" spans="1:8" hidden="1" x14ac:dyDescent="0.3">
      <c r="A3206" t="s">
        <v>33</v>
      </c>
      <c r="B3206">
        <v>2016</v>
      </c>
      <c r="C3206" t="s">
        <v>37</v>
      </c>
      <c r="D3206" t="s">
        <v>21</v>
      </c>
      <c r="E3206" t="e">
        <f>VLOOKUP(Cpi_[[#This Row],[Attribute]],#REF!,2,FALSE)</f>
        <v>#REF!</v>
      </c>
      <c r="F3206">
        <v>114.6</v>
      </c>
      <c r="G3206">
        <f>(Cpi_[[#This Row],[Value]]-F3205)/F3205</f>
        <v>-8.7579617834394913E-2</v>
      </c>
      <c r="H3206" t="e" cm="1" vm="1">
        <f t="array" aca="1" ref="H3206" ca="1">VLOOKUP(Cpi_[[#This Row],[Year]:[Month]],crudeoil[],3,FALSE)</f>
        <v>#VALUE!</v>
      </c>
    </row>
    <row r="3207" spans="1:8" hidden="1" x14ac:dyDescent="0.3">
      <c r="A3207" t="s">
        <v>33</v>
      </c>
      <c r="B3207">
        <v>2016</v>
      </c>
      <c r="C3207" t="s">
        <v>37</v>
      </c>
      <c r="D3207" t="s">
        <v>22</v>
      </c>
      <c r="E3207" t="e">
        <f>VLOOKUP(Cpi_[[#This Row],[Attribute]],#REF!,2,FALSE)</f>
        <v>#REF!</v>
      </c>
      <c r="F3207">
        <v>122.8</v>
      </c>
      <c r="G3207">
        <f>(Cpi_[[#This Row],[Value]]-F3206)/F3206</f>
        <v>7.1553228621291473E-2</v>
      </c>
      <c r="H3207" t="e" cm="1" vm="1">
        <f t="array" aca="1" ref="H3207" ca="1">VLOOKUP(Cpi_[[#This Row],[Year]:[Month]],crudeoil[],3,FALSE)</f>
        <v>#VALUE!</v>
      </c>
    </row>
    <row r="3208" spans="1:8" hidden="1" x14ac:dyDescent="0.3">
      <c r="A3208" t="s">
        <v>33</v>
      </c>
      <c r="B3208">
        <v>2016</v>
      </c>
      <c r="C3208" t="s">
        <v>37</v>
      </c>
      <c r="D3208" t="s">
        <v>23</v>
      </c>
      <c r="E3208" t="e">
        <f>VLOOKUP(Cpi_[[#This Row],[Attribute]],#REF!,2,FALSE)</f>
        <v>#REF!</v>
      </c>
      <c r="F3208">
        <v>120</v>
      </c>
      <c r="G3208">
        <f>(Cpi_[[#This Row],[Value]]-F3207)/F3207</f>
        <v>-2.280130293159607E-2</v>
      </c>
      <c r="H3208" t="e" cm="1" vm="1">
        <f t="array" aca="1" ref="H3208" ca="1">VLOOKUP(Cpi_[[#This Row],[Year]:[Month]],crudeoil[],3,FALSE)</f>
        <v>#VALUE!</v>
      </c>
    </row>
    <row r="3209" spans="1:8" hidden="1" x14ac:dyDescent="0.3">
      <c r="A3209" t="s">
        <v>33</v>
      </c>
      <c r="B3209">
        <v>2016</v>
      </c>
      <c r="C3209" t="s">
        <v>37</v>
      </c>
      <c r="D3209" t="s">
        <v>24</v>
      </c>
      <c r="E3209" t="e">
        <f>VLOOKUP(Cpi_[[#This Row],[Attribute]],#REF!,2,FALSE)</f>
        <v>#REF!</v>
      </c>
      <c r="F3209">
        <v>110</v>
      </c>
      <c r="G3209">
        <f>(Cpi_[[#This Row],[Value]]-F3208)/F3208</f>
        <v>-8.3333333333333329E-2</v>
      </c>
      <c r="H3209" t="e" cm="1" vm="1">
        <f t="array" aca="1" ref="H3209" ca="1">VLOOKUP(Cpi_[[#This Row],[Year]:[Month]],crudeoil[],3,FALSE)</f>
        <v>#VALUE!</v>
      </c>
    </row>
    <row r="3210" spans="1:8" hidden="1" x14ac:dyDescent="0.3">
      <c r="A3210" t="s">
        <v>33</v>
      </c>
      <c r="B3210">
        <v>2016</v>
      </c>
      <c r="C3210" t="s">
        <v>37</v>
      </c>
      <c r="D3210" t="s">
        <v>25</v>
      </c>
      <c r="E3210" t="e">
        <f>VLOOKUP(Cpi_[[#This Row],[Attribute]],#REF!,2,FALSE)</f>
        <v>#REF!</v>
      </c>
      <c r="F3210">
        <v>119.5</v>
      </c>
      <c r="G3210">
        <f>(Cpi_[[#This Row],[Value]]-F3209)/F3209</f>
        <v>8.6363636363636365E-2</v>
      </c>
      <c r="H3210" t="e" cm="1" vm="1">
        <f t="array" aca="1" ref="H3210" ca="1">VLOOKUP(Cpi_[[#This Row],[Year]:[Month]],crudeoil[],3,FALSE)</f>
        <v>#VALUE!</v>
      </c>
    </row>
    <row r="3211" spans="1:8" hidden="1" x14ac:dyDescent="0.3">
      <c r="A3211" t="s">
        <v>33</v>
      </c>
      <c r="B3211">
        <v>2016</v>
      </c>
      <c r="C3211" t="s">
        <v>37</v>
      </c>
      <c r="D3211" t="s">
        <v>26</v>
      </c>
      <c r="E3211" t="e">
        <f>VLOOKUP(Cpi_[[#This Row],[Attribute]],#REF!,2,FALSE)</f>
        <v>#REF!</v>
      </c>
      <c r="F3211">
        <v>127.6</v>
      </c>
      <c r="G3211">
        <f>(Cpi_[[#This Row],[Value]]-F3210)/F3210</f>
        <v>6.778242677824263E-2</v>
      </c>
      <c r="H3211" t="e" cm="1" vm="1">
        <f t="array" aca="1" ref="H3211" ca="1">VLOOKUP(Cpi_[[#This Row],[Year]:[Month]],crudeoil[],3,FALSE)</f>
        <v>#VALUE!</v>
      </c>
    </row>
    <row r="3212" spans="1:8" hidden="1" x14ac:dyDescent="0.3">
      <c r="A3212" t="s">
        <v>33</v>
      </c>
      <c r="B3212">
        <v>2016</v>
      </c>
      <c r="C3212" t="s">
        <v>37</v>
      </c>
      <c r="D3212" t="s">
        <v>27</v>
      </c>
      <c r="E3212" t="e">
        <f>VLOOKUP(Cpi_[[#This Row],[Attribute]],#REF!,2,FALSE)</f>
        <v>#REF!</v>
      </c>
      <c r="F3212">
        <v>117.6</v>
      </c>
      <c r="G3212">
        <f>(Cpi_[[#This Row],[Value]]-F3211)/F3211</f>
        <v>-7.8369905956112859E-2</v>
      </c>
      <c r="H3212" t="e" cm="1" vm="1">
        <f t="array" aca="1" ref="H3212" ca="1">VLOOKUP(Cpi_[[#This Row],[Year]:[Month]],crudeoil[],3,FALSE)</f>
        <v>#VALUE!</v>
      </c>
    </row>
    <row r="3213" spans="1:8" hidden="1" x14ac:dyDescent="0.3">
      <c r="A3213" t="s">
        <v>33</v>
      </c>
      <c r="B3213">
        <v>2016</v>
      </c>
      <c r="C3213" t="s">
        <v>37</v>
      </c>
      <c r="D3213" t="s">
        <v>28</v>
      </c>
      <c r="E3213" t="e">
        <f>VLOOKUP(Cpi_[[#This Row],[Attribute]],#REF!,2,FALSE)</f>
        <v>#REF!</v>
      </c>
      <c r="F3213">
        <v>118.2</v>
      </c>
      <c r="G3213">
        <f>(Cpi_[[#This Row],[Value]]-F3212)/F3212</f>
        <v>5.1020408163266031E-3</v>
      </c>
      <c r="H3213" t="e" cm="1" vm="1">
        <f t="array" aca="1" ref="H3213" ca="1">VLOOKUP(Cpi_[[#This Row],[Year]:[Month]],crudeoil[],3,FALSE)</f>
        <v>#VALUE!</v>
      </c>
    </row>
    <row r="3214" spans="1:8" hidden="1" x14ac:dyDescent="0.3">
      <c r="A3214" t="s">
        <v>33</v>
      </c>
      <c r="B3214">
        <v>2016</v>
      </c>
      <c r="C3214" t="s">
        <v>37</v>
      </c>
      <c r="D3214" t="s">
        <v>29</v>
      </c>
      <c r="E3214" t="e" cm="1">
        <f t="array" aca="1" ref="E3214" ca="1">VLGeneral indexGeneral indexKUP(Cpi_[[#This Row],[Attribute]],#REF!,2,FALSE)</f>
        <v>#NAME?</v>
      </c>
      <c r="F3214">
        <v>125.3</v>
      </c>
      <c r="G3214">
        <f>(Cpi_[[#This Row],[Value]]-F3213)/F3213</f>
        <v>6.0067681895093011E-2</v>
      </c>
      <c r="H3214" t="e" cm="1" vm="1">
        <f t="array" aca="1" ref="H3214" ca="1">VLOOKUP(Cpi_[[#This Row],[Year]:[Month]],crudeoil[],3,FALSE)</f>
        <v>#VALUE!</v>
      </c>
    </row>
    <row r="3215" spans="1:8" hidden="1" x14ac:dyDescent="0.3">
      <c r="A3215" t="s">
        <v>34</v>
      </c>
      <c r="B3215">
        <v>2016</v>
      </c>
      <c r="C3215" t="s">
        <v>37</v>
      </c>
      <c r="D3215" t="s">
        <v>3</v>
      </c>
      <c r="E3215" t="e">
        <f>VLOOKUP(Cpi_[[#This Row],[Attribute]],#REF!,2,FALSE)</f>
        <v>#REF!</v>
      </c>
      <c r="F3215">
        <v>126.6</v>
      </c>
      <c r="G3215">
        <f>(Cpi_[[#This Row],[Value]]-F3214)/F3214</f>
        <v>1.0375099760574599E-2</v>
      </c>
      <c r="H3215" t="e" cm="1" vm="1">
        <f t="array" aca="1" ref="H3215" ca="1">VLOOKUP(Cpi_[[#This Row],[Year]:[Month]],crudeoil[],3,FALSE)</f>
        <v>#VALUE!</v>
      </c>
    </row>
    <row r="3216" spans="1:8" hidden="1" x14ac:dyDescent="0.3">
      <c r="A3216" t="s">
        <v>34</v>
      </c>
      <c r="B3216">
        <v>2016</v>
      </c>
      <c r="C3216" t="s">
        <v>37</v>
      </c>
      <c r="D3216" t="s">
        <v>4</v>
      </c>
      <c r="E3216" t="e">
        <f>VLOOKUP(Cpi_[[#This Row],[Attribute]],#REF!,2,FALSE)</f>
        <v>#REF!</v>
      </c>
      <c r="F3216">
        <v>136.80000000000001</v>
      </c>
      <c r="G3216">
        <f>(Cpi_[[#This Row],[Value]]-F3215)/F3215</f>
        <v>8.0568720379147057E-2</v>
      </c>
      <c r="H3216" t="e" cm="1" vm="1">
        <f t="array" aca="1" ref="H3216" ca="1">VLOOKUP(Cpi_[[#This Row],[Year]:[Month]],crudeoil[],3,FALSE)</f>
        <v>#VALUE!</v>
      </c>
    </row>
    <row r="3217" spans="1:8" hidden="1" x14ac:dyDescent="0.3">
      <c r="A3217" t="s">
        <v>34</v>
      </c>
      <c r="B3217">
        <v>2016</v>
      </c>
      <c r="C3217" t="s">
        <v>37</v>
      </c>
      <c r="D3217" t="s">
        <v>5</v>
      </c>
      <c r="E3217" t="e">
        <f>VLOOKUP(Cpi_[[#This Row],[Attribute]],#REF!,2,FALSE)</f>
        <v>#REF!</v>
      </c>
      <c r="F3217">
        <v>122</v>
      </c>
      <c r="G3217">
        <f>(Cpi_[[#This Row],[Value]]-F3216)/F3216</f>
        <v>-0.10818713450292405</v>
      </c>
      <c r="H3217" t="e" cm="1" vm="1">
        <f t="array" aca="1" ref="H3217" ca="1">VLOOKUP(Cpi_[[#This Row],[Year]:[Month]],crudeoil[],3,FALSE)</f>
        <v>#VALUE!</v>
      </c>
    </row>
    <row r="3218" spans="1:8" hidden="1" x14ac:dyDescent="0.3">
      <c r="A3218" t="s">
        <v>34</v>
      </c>
      <c r="B3218">
        <v>2016</v>
      </c>
      <c r="C3218" t="s">
        <v>37</v>
      </c>
      <c r="D3218" t="s">
        <v>6</v>
      </c>
      <c r="E3218" t="e">
        <f>VLOOKUP(Cpi_[[#This Row],[Attribute]],#REF!,2,FALSE)</f>
        <v>#REF!</v>
      </c>
      <c r="F3218">
        <v>130.9</v>
      </c>
      <c r="G3218">
        <f>(Cpi_[[#This Row],[Value]]-F3217)/F3217</f>
        <v>7.2950819672131198E-2</v>
      </c>
      <c r="H3218" t="e" cm="1" vm="1">
        <f t="array" aca="1" ref="H3218" ca="1">VLOOKUP(Cpi_[[#This Row],[Year]:[Month]],crudeoil[],3,FALSE)</f>
        <v>#VALUE!</v>
      </c>
    </row>
    <row r="3219" spans="1:8" hidden="1" x14ac:dyDescent="0.3">
      <c r="A3219" t="s">
        <v>34</v>
      </c>
      <c r="B3219">
        <v>2016</v>
      </c>
      <c r="C3219" t="s">
        <v>37</v>
      </c>
      <c r="D3219" t="s">
        <v>7</v>
      </c>
      <c r="E3219" t="e">
        <f>VLOOKUP(Cpi_[[#This Row],[Attribute]],#REF!,2,FALSE)</f>
        <v>#REF!</v>
      </c>
      <c r="F3219">
        <v>114.8</v>
      </c>
      <c r="G3219">
        <f>(Cpi_[[#This Row],[Value]]-F3218)/F3218</f>
        <v>-0.12299465240641717</v>
      </c>
      <c r="H3219" t="e" cm="1" vm="1">
        <f t="array" aca="1" ref="H3219" ca="1">VLOOKUP(Cpi_[[#This Row],[Year]:[Month]],crudeoil[],3,FALSE)</f>
        <v>#VALUE!</v>
      </c>
    </row>
    <row r="3220" spans="1:8" hidden="1" x14ac:dyDescent="0.3">
      <c r="A3220" t="s">
        <v>34</v>
      </c>
      <c r="B3220">
        <v>2016</v>
      </c>
      <c r="C3220" t="s">
        <v>37</v>
      </c>
      <c r="D3220" t="s">
        <v>8</v>
      </c>
      <c r="E3220" t="e">
        <f>VLOOKUP(Cpi_[[#This Row],[Attribute]],#REF!,2,FALSE)</f>
        <v>#REF!</v>
      </c>
      <c r="F3220">
        <v>134.80000000000001</v>
      </c>
      <c r="G3220">
        <f>(Cpi_[[#This Row],[Value]]-F3219)/F3219</f>
        <v>0.17421602787456458</v>
      </c>
      <c r="H3220" t="e" cm="1" vm="1">
        <f t="array" aca="1" ref="H3220" ca="1">VLOOKUP(Cpi_[[#This Row],[Year]:[Month]],crudeoil[],3,FALSE)</f>
        <v>#VALUE!</v>
      </c>
    </row>
    <row r="3221" spans="1:8" hidden="1" x14ac:dyDescent="0.3">
      <c r="A3221" t="s">
        <v>34</v>
      </c>
      <c r="B3221">
        <v>2016</v>
      </c>
      <c r="C3221" t="s">
        <v>37</v>
      </c>
      <c r="D3221" t="s">
        <v>9</v>
      </c>
      <c r="E3221" t="e">
        <f>VLOOKUP(Cpi_[[#This Row],[Attribute]],#REF!,2,FALSE)</f>
        <v>#REF!</v>
      </c>
      <c r="F3221">
        <v>135</v>
      </c>
      <c r="G3221">
        <f>(Cpi_[[#This Row],[Value]]-F3220)/F3220</f>
        <v>1.4836795252224674E-3</v>
      </c>
      <c r="H3221" t="e" cm="1" vm="1">
        <f t="array" aca="1" ref="H3221" ca="1">VLOOKUP(Cpi_[[#This Row],[Year]:[Month]],crudeoil[],3,FALSE)</f>
        <v>#VALUE!</v>
      </c>
    </row>
    <row r="3222" spans="1:8" hidden="1" x14ac:dyDescent="0.3">
      <c r="A3222" t="s">
        <v>34</v>
      </c>
      <c r="B3222">
        <v>2016</v>
      </c>
      <c r="C3222" t="s">
        <v>37</v>
      </c>
      <c r="D3222" t="s">
        <v>10</v>
      </c>
      <c r="E3222" t="e">
        <f>VLOOKUP(Cpi_[[#This Row],[Attribute]],#REF!,2,FALSE)</f>
        <v>#REF!</v>
      </c>
      <c r="F3222">
        <v>167.5</v>
      </c>
      <c r="G3222">
        <f>(Cpi_[[#This Row],[Value]]-F3221)/F3221</f>
        <v>0.24074074074074073</v>
      </c>
      <c r="H3222" t="e" cm="1" vm="1">
        <f t="array" aca="1" ref="H3222" ca="1">VLOOKUP(Cpi_[[#This Row],[Year]:[Month]],crudeoil[],3,FALSE)</f>
        <v>#VALUE!</v>
      </c>
    </row>
    <row r="3223" spans="1:8" hidden="1" x14ac:dyDescent="0.3">
      <c r="A3223" t="s">
        <v>34</v>
      </c>
      <c r="B3223">
        <v>2016</v>
      </c>
      <c r="C3223" t="s">
        <v>37</v>
      </c>
      <c r="D3223" t="s">
        <v>11</v>
      </c>
      <c r="E3223" t="e">
        <f>VLOOKUP(Cpi_[[#This Row],[Attribute]],#REF!,2,FALSE)</f>
        <v>#REF!</v>
      </c>
      <c r="F3223">
        <v>106.4</v>
      </c>
      <c r="G3223">
        <f>(Cpi_[[#This Row],[Value]]-F3222)/F3222</f>
        <v>-0.36477611940298504</v>
      </c>
      <c r="H3223" t="e" cm="1" vm="1">
        <f t="array" aca="1" ref="H3223" ca="1">VLOOKUP(Cpi_[[#This Row],[Year]:[Month]],crudeoil[],3,FALSE)</f>
        <v>#VALUE!</v>
      </c>
    </row>
    <row r="3224" spans="1:8" hidden="1" x14ac:dyDescent="0.3">
      <c r="A3224" t="s">
        <v>34</v>
      </c>
      <c r="B3224">
        <v>2016</v>
      </c>
      <c r="C3224" t="s">
        <v>37</v>
      </c>
      <c r="D3224" t="s">
        <v>12</v>
      </c>
      <c r="E3224" t="e">
        <f>VLOOKUP(Cpi_[[#This Row],[Attribute]],#REF!,2,FALSE)</f>
        <v>#REF!</v>
      </c>
      <c r="F3224">
        <v>134.4</v>
      </c>
      <c r="G3224">
        <f>(Cpi_[[#This Row],[Value]]-F3223)/F3223</f>
        <v>0.26315789473684209</v>
      </c>
      <c r="H3224" t="e" cm="1" vm="1">
        <f t="array" aca="1" ref="H3224" ca="1">VLOOKUP(Cpi_[[#This Row],[Year]:[Month]],crudeoil[],3,FALSE)</f>
        <v>#VALUE!</v>
      </c>
    </row>
    <row r="3225" spans="1:8" hidden="1" x14ac:dyDescent="0.3">
      <c r="A3225" t="s">
        <v>34</v>
      </c>
      <c r="B3225">
        <v>2016</v>
      </c>
      <c r="C3225" t="s">
        <v>37</v>
      </c>
      <c r="D3225" t="s">
        <v>13</v>
      </c>
      <c r="E3225" t="e">
        <f>VLOOKUP(Cpi_[[#This Row],[Attribute]],#REF!,2,FALSE)</f>
        <v>#REF!</v>
      </c>
      <c r="F3225">
        <v>123.6</v>
      </c>
      <c r="G3225">
        <f>(Cpi_[[#This Row],[Value]]-F3224)/F3224</f>
        <v>-8.0357142857142932E-2</v>
      </c>
      <c r="H3225" t="e" cm="1" vm="1">
        <f t="array" aca="1" ref="H3225" ca="1">VLOOKUP(Cpi_[[#This Row],[Year]:[Month]],crudeoil[],3,FALSE)</f>
        <v>#VALUE!</v>
      </c>
    </row>
    <row r="3226" spans="1:8" hidden="1" x14ac:dyDescent="0.3">
      <c r="A3226" t="s">
        <v>34</v>
      </c>
      <c r="B3226">
        <v>2016</v>
      </c>
      <c r="C3226" t="s">
        <v>37</v>
      </c>
      <c r="D3226" t="s">
        <v>14</v>
      </c>
      <c r="E3226" t="e">
        <f>VLOOKUP(Cpi_[[#This Row],[Attribute]],#REF!,2,FALSE)</f>
        <v>#REF!</v>
      </c>
      <c r="F3226">
        <v>136.69999999999999</v>
      </c>
      <c r="G3226">
        <f>(Cpi_[[#This Row],[Value]]-F3225)/F3225</f>
        <v>0.10598705501618119</v>
      </c>
      <c r="H3226" t="e" cm="1" vm="1">
        <f t="array" aca="1" ref="H3226" ca="1">VLOOKUP(Cpi_[[#This Row],[Year]:[Month]],crudeoil[],3,FALSE)</f>
        <v>#VALUE!</v>
      </c>
    </row>
    <row r="3227" spans="1:8" hidden="1" x14ac:dyDescent="0.3">
      <c r="A3227" t="s">
        <v>34</v>
      </c>
      <c r="B3227">
        <v>2016</v>
      </c>
      <c r="C3227" t="s">
        <v>37</v>
      </c>
      <c r="D3227" t="s">
        <v>15</v>
      </c>
      <c r="E3227" t="e">
        <f>VLOOKUP(Cpi_[[#This Row],[Attribute]],#REF!,2,FALSE)</f>
        <v>#REF!</v>
      </c>
      <c r="F3227">
        <v>131.80000000000001</v>
      </c>
      <c r="G3227">
        <f>(Cpi_[[#This Row],[Value]]-F3226)/F3226</f>
        <v>-3.5844915874176868E-2</v>
      </c>
      <c r="H3227" t="e" cm="1" vm="1">
        <f t="array" aca="1" ref="H3227" ca="1">VLOOKUP(Cpi_[[#This Row],[Year]:[Month]],crudeoil[],3,FALSE)</f>
        <v>#VALUE!</v>
      </c>
    </row>
    <row r="3228" spans="1:8" hidden="1" x14ac:dyDescent="0.3">
      <c r="A3228" t="s">
        <v>34</v>
      </c>
      <c r="B3228">
        <v>2016</v>
      </c>
      <c r="C3228" t="s">
        <v>37</v>
      </c>
      <c r="D3228" t="s">
        <v>16</v>
      </c>
      <c r="E3228" t="e">
        <f>VLOOKUP(Cpi_[[#This Row],[Attribute]],#REF!,2,FALSE)</f>
        <v>#REF!</v>
      </c>
      <c r="F3228">
        <v>137.1</v>
      </c>
      <c r="G3228">
        <f>(Cpi_[[#This Row],[Value]]-F3227)/F3227</f>
        <v>4.0212443095599258E-2</v>
      </c>
      <c r="H3228" t="e" cm="1" vm="1">
        <f t="array" aca="1" ref="H3228" ca="1">VLOOKUP(Cpi_[[#This Row],[Year]:[Month]],crudeoil[],3,FALSE)</f>
        <v>#VALUE!</v>
      </c>
    </row>
    <row r="3229" spans="1:8" hidden="1" x14ac:dyDescent="0.3">
      <c r="A3229" t="s">
        <v>34</v>
      </c>
      <c r="B3229">
        <v>2016</v>
      </c>
      <c r="C3229" t="s">
        <v>37</v>
      </c>
      <c r="D3229" t="s">
        <v>17</v>
      </c>
      <c r="E3229" t="e">
        <f>VLOOKUP(Cpi_[[#This Row],[Attribute]],#REF!,2,FALSE)</f>
        <v>#REF!</v>
      </c>
      <c r="F3229">
        <v>131.80000000000001</v>
      </c>
      <c r="G3229">
        <f>(Cpi_[[#This Row],[Value]]-F3228)/F3228</f>
        <v>-3.8657913931436784E-2</v>
      </c>
      <c r="H3229" t="e" cm="1" vm="1">
        <f t="array" aca="1" ref="H3229" ca="1">VLOOKUP(Cpi_[[#This Row],[Year]:[Month]],crudeoil[],3,FALSE)</f>
        <v>#VALUE!</v>
      </c>
    </row>
    <row r="3230" spans="1:8" hidden="1" x14ac:dyDescent="0.3">
      <c r="A3230" t="s">
        <v>34</v>
      </c>
      <c r="B3230">
        <v>2016</v>
      </c>
      <c r="C3230" t="s">
        <v>37</v>
      </c>
      <c r="D3230" t="s">
        <v>18</v>
      </c>
      <c r="E3230" t="e">
        <f>VLOOKUP(Cpi_[[#This Row],[Attribute]],#REF!,2,FALSE)</f>
        <v>#REF!</v>
      </c>
      <c r="F3230">
        <v>126.4</v>
      </c>
      <c r="G3230">
        <f>(Cpi_[[#This Row],[Value]]-F3229)/F3229</f>
        <v>-4.0971168437025834E-2</v>
      </c>
      <c r="H3230" t="e" cm="1" vm="1">
        <f t="array" aca="1" ref="H3230" ca="1">VLOOKUP(Cpi_[[#This Row],[Year]:[Month]],crudeoil[],3,FALSE)</f>
        <v>#VALUE!</v>
      </c>
    </row>
    <row r="3231" spans="1:8" hidden="1" x14ac:dyDescent="0.3">
      <c r="A3231" t="s">
        <v>34</v>
      </c>
      <c r="B3231">
        <v>2016</v>
      </c>
      <c r="C3231" t="s">
        <v>37</v>
      </c>
      <c r="D3231" t="s">
        <v>19</v>
      </c>
      <c r="E3231" t="e">
        <f>VLOOKUP(Cpi_[[#This Row],[Attribute]],#REF!,2,FALSE)</f>
        <v>#REF!</v>
      </c>
      <c r="F3231">
        <v>131</v>
      </c>
      <c r="G3231">
        <f>(Cpi_[[#This Row],[Value]]-F3230)/F3230</f>
        <v>3.639240506329109E-2</v>
      </c>
      <c r="H3231" t="e" cm="1" vm="1">
        <f t="array" aca="1" ref="H3231" ca="1">VLOOKUP(Cpi_[[#This Row],[Year]:[Month]],crudeoil[],3,FALSE)</f>
        <v>#VALUE!</v>
      </c>
    </row>
    <row r="3232" spans="1:8" hidden="1" x14ac:dyDescent="0.3">
      <c r="A3232" t="s">
        <v>34</v>
      </c>
      <c r="B3232">
        <v>2016</v>
      </c>
      <c r="C3232" t="s">
        <v>37</v>
      </c>
      <c r="D3232" t="s">
        <v>20</v>
      </c>
      <c r="E3232" t="e">
        <f>VLOOKUP(Cpi_[[#This Row],[Attribute]],#REF!,2,FALSE)</f>
        <v>#REF!</v>
      </c>
      <c r="F3232">
        <v>125.6</v>
      </c>
      <c r="G3232">
        <f>(Cpi_[[#This Row],[Value]]-F3231)/F3231</f>
        <v>-4.1221374045801569E-2</v>
      </c>
      <c r="H3232" t="e" cm="1" vm="1">
        <f t="array" aca="1" ref="H3232" ca="1">VLOOKUP(Cpi_[[#This Row],[Year]:[Month]],crudeoil[],3,FALSE)</f>
        <v>#VALUE!</v>
      </c>
    </row>
    <row r="3233" spans="1:8" hidden="1" x14ac:dyDescent="0.3">
      <c r="A3233" t="s">
        <v>34</v>
      </c>
      <c r="B3233">
        <v>2016</v>
      </c>
      <c r="C3233" t="s">
        <v>37</v>
      </c>
      <c r="D3233" t="s">
        <v>21</v>
      </c>
      <c r="E3233" t="e">
        <f>VLOOKUP(Cpi_[[#This Row],[Attribute]],#REF!,2,FALSE)</f>
        <v>#REF!</v>
      </c>
      <c r="F3233">
        <v>122.3</v>
      </c>
      <c r="G3233">
        <f>(Cpi_[[#This Row],[Value]]-F3232)/F3232</f>
        <v>-2.6273885350318452E-2</v>
      </c>
      <c r="H3233" t="e" cm="1" vm="1">
        <f t="array" aca="1" ref="H3233" ca="1">VLOOKUP(Cpi_[[#This Row],[Year]:[Month]],crudeoil[],3,FALSE)</f>
        <v>#VALUE!</v>
      </c>
    </row>
    <row r="3234" spans="1:8" hidden="1" x14ac:dyDescent="0.3">
      <c r="A3234" t="s">
        <v>34</v>
      </c>
      <c r="B3234">
        <v>2016</v>
      </c>
      <c r="C3234" t="s">
        <v>37</v>
      </c>
      <c r="D3234" t="s">
        <v>22</v>
      </c>
      <c r="E3234" t="e">
        <f>VLOOKUP(Cpi_[[#This Row],[Attribute]],#REF!,2,FALSE)</f>
        <v>#REF!</v>
      </c>
      <c r="F3234">
        <v>125.5</v>
      </c>
      <c r="G3234">
        <f>(Cpi_[[#This Row],[Value]]-F3233)/F3233</f>
        <v>2.6165167620605095E-2</v>
      </c>
      <c r="H3234" t="e" cm="1" vm="1">
        <f t="array" aca="1" ref="H3234" ca="1">VLOOKUP(Cpi_[[#This Row],[Year]:[Month]],crudeoil[],3,FALSE)</f>
        <v>#VALUE!</v>
      </c>
    </row>
    <row r="3235" spans="1:8" hidden="1" x14ac:dyDescent="0.3">
      <c r="A3235" t="s">
        <v>34</v>
      </c>
      <c r="B3235">
        <v>2016</v>
      </c>
      <c r="C3235" t="s">
        <v>37</v>
      </c>
      <c r="D3235" t="s">
        <v>23</v>
      </c>
      <c r="E3235" t="e">
        <f>VLOOKUP(Cpi_[[#This Row],[Attribute]],#REF!,2,FALSE)</f>
        <v>#REF!</v>
      </c>
      <c r="F3235">
        <v>123.2</v>
      </c>
      <c r="G3235">
        <f>(Cpi_[[#This Row],[Value]]-F3234)/F3234</f>
        <v>-1.8326693227091611E-2</v>
      </c>
      <c r="H3235" t="e" cm="1" vm="1">
        <f t="array" aca="1" ref="H3235" ca="1">VLOOKUP(Cpi_[[#This Row],[Year]:[Month]],crudeoil[],3,FALSE)</f>
        <v>#VALUE!</v>
      </c>
    </row>
    <row r="3236" spans="1:8" hidden="1" x14ac:dyDescent="0.3">
      <c r="A3236" t="s">
        <v>34</v>
      </c>
      <c r="B3236">
        <v>2016</v>
      </c>
      <c r="C3236" t="s">
        <v>37</v>
      </c>
      <c r="D3236" t="s">
        <v>24</v>
      </c>
      <c r="E3236" t="e">
        <f>VLOOKUP(Cpi_[[#This Row],[Attribute]],#REF!,2,FALSE)</f>
        <v>#REF!</v>
      </c>
      <c r="F3236">
        <v>112.1</v>
      </c>
      <c r="G3236">
        <f>(Cpi_[[#This Row],[Value]]-F3235)/F3235</f>
        <v>-9.0097402597402662E-2</v>
      </c>
      <c r="H3236" t="e" cm="1" vm="1">
        <f t="array" aca="1" ref="H3236" ca="1">VLOOKUP(Cpi_[[#This Row],[Year]:[Month]],crudeoil[],3,FALSE)</f>
        <v>#VALUE!</v>
      </c>
    </row>
    <row r="3237" spans="1:8" hidden="1" x14ac:dyDescent="0.3">
      <c r="A3237" t="s">
        <v>34</v>
      </c>
      <c r="B3237">
        <v>2016</v>
      </c>
      <c r="C3237" t="s">
        <v>37</v>
      </c>
      <c r="D3237" t="s">
        <v>25</v>
      </c>
      <c r="E3237" t="e">
        <f>VLOOKUP(Cpi_[[#This Row],[Attribute]],#REF!,2,FALSE)</f>
        <v>#REF!</v>
      </c>
      <c r="F3237">
        <v>121.1</v>
      </c>
      <c r="G3237">
        <f>(Cpi_[[#This Row],[Value]]-F3236)/F3236</f>
        <v>8.0285459411239962E-2</v>
      </c>
      <c r="H3237" t="e" cm="1" vm="1">
        <f t="array" aca="1" ref="H3237" ca="1">VLOOKUP(Cpi_[[#This Row],[Year]:[Month]],crudeoil[],3,FALSE)</f>
        <v>#VALUE!</v>
      </c>
    </row>
    <row r="3238" spans="1:8" hidden="1" x14ac:dyDescent="0.3">
      <c r="A3238" t="s">
        <v>34</v>
      </c>
      <c r="B3238">
        <v>2016</v>
      </c>
      <c r="C3238" t="s">
        <v>37</v>
      </c>
      <c r="D3238" t="s">
        <v>26</v>
      </c>
      <c r="E3238" t="e">
        <f>VLOOKUP(Cpi_[[#This Row],[Attribute]],#REF!,2,FALSE)</f>
        <v>#REF!</v>
      </c>
      <c r="F3238">
        <v>127.7</v>
      </c>
      <c r="G3238">
        <f>(Cpi_[[#This Row],[Value]]-F3237)/F3237</f>
        <v>5.4500412881915844E-2</v>
      </c>
      <c r="H3238" t="e" cm="1" vm="1">
        <f t="array" aca="1" ref="H3238" ca="1">VLOOKUP(Cpi_[[#This Row],[Year]:[Month]],crudeoil[],3,FALSE)</f>
        <v>#VALUE!</v>
      </c>
    </row>
    <row r="3239" spans="1:8" hidden="1" x14ac:dyDescent="0.3">
      <c r="A3239" t="s">
        <v>34</v>
      </c>
      <c r="B3239">
        <v>2016</v>
      </c>
      <c r="C3239" t="s">
        <v>37</v>
      </c>
      <c r="D3239" t="s">
        <v>27</v>
      </c>
      <c r="E3239" t="e">
        <f>VLOOKUP(Cpi_[[#This Row],[Attribute]],#REF!,2,FALSE)</f>
        <v>#REF!</v>
      </c>
      <c r="F3239">
        <v>118.1</v>
      </c>
      <c r="G3239">
        <f>(Cpi_[[#This Row],[Value]]-F3238)/F3238</f>
        <v>-7.5176194205168426E-2</v>
      </c>
      <c r="H3239" t="e" cm="1" vm="1">
        <f t="array" aca="1" ref="H3239" ca="1">VLOOKUP(Cpi_[[#This Row],[Year]:[Month]],crudeoil[],3,FALSE)</f>
        <v>#VALUE!</v>
      </c>
    </row>
    <row r="3240" spans="1:8" hidden="1" x14ac:dyDescent="0.3">
      <c r="A3240" t="s">
        <v>34</v>
      </c>
      <c r="B3240">
        <v>2016</v>
      </c>
      <c r="C3240" t="s">
        <v>37</v>
      </c>
      <c r="D3240" t="s">
        <v>28</v>
      </c>
      <c r="E3240" t="e">
        <f>VLOOKUP(Cpi_[[#This Row],[Attribute]],#REF!,2,FALSE)</f>
        <v>#REF!</v>
      </c>
      <c r="F3240">
        <v>120</v>
      </c>
      <c r="G3240">
        <f>(Cpi_[[#This Row],[Value]]-F3239)/F3239</f>
        <v>1.6088060965283708E-2</v>
      </c>
      <c r="H3240" t="e" cm="1" vm="1">
        <f t="array" aca="1" ref="H3240" ca="1">VLOOKUP(Cpi_[[#This Row],[Year]:[Month]],crudeoil[],3,FALSE)</f>
        <v>#VALUE!</v>
      </c>
    </row>
    <row r="3241" spans="1:8" hidden="1" x14ac:dyDescent="0.3">
      <c r="A3241" t="s">
        <v>34</v>
      </c>
      <c r="B3241">
        <v>2016</v>
      </c>
      <c r="C3241" t="s">
        <v>37</v>
      </c>
      <c r="D3241" t="s">
        <v>29</v>
      </c>
      <c r="E3241" t="e" cm="1">
        <f t="array" aca="1" ref="E3241" ca="1">VLGeneral indexGeneral indexKUP(Cpi_[[#This Row],[Attribute]],#REF!,2,FALSE)</f>
        <v>#NAME?</v>
      </c>
      <c r="F3241">
        <v>127.3</v>
      </c>
      <c r="G3241">
        <f>(Cpi_[[#This Row],[Value]]-F3240)/F3240</f>
        <v>6.0833333333333309E-2</v>
      </c>
      <c r="H3241" t="e" cm="1" vm="1">
        <f t="array" aca="1" ref="H3241" ca="1">VLOOKUP(Cpi_[[#This Row],[Year]:[Month]],crudeoil[],3,FALSE)</f>
        <v>#VALUE!</v>
      </c>
    </row>
    <row r="3242" spans="1:8" hidden="1" x14ac:dyDescent="0.3">
      <c r="A3242" t="s">
        <v>30</v>
      </c>
      <c r="B3242">
        <v>2016</v>
      </c>
      <c r="C3242" t="s">
        <v>38</v>
      </c>
      <c r="D3242" t="s">
        <v>3</v>
      </c>
      <c r="E3242" t="e">
        <f>VLOOKUP(Cpi_[[#This Row],[Attribute]],#REF!,2,FALSE)</f>
        <v>#REF!</v>
      </c>
      <c r="F3242">
        <v>127.6</v>
      </c>
      <c r="G3242">
        <f>(Cpi_[[#This Row],[Value]]-F3241)/F3241</f>
        <v>2.3566378633149815E-3</v>
      </c>
      <c r="H3242" t="e" cm="1" vm="1">
        <f t="array" aca="1" ref="H3242" ca="1">VLOOKUP(Cpi_[[#This Row],[Year]:[Month]],crudeoil[],3,FALSE)</f>
        <v>#VALUE!</v>
      </c>
    </row>
    <row r="3243" spans="1:8" hidden="1" x14ac:dyDescent="0.3">
      <c r="A3243" t="s">
        <v>30</v>
      </c>
      <c r="B3243">
        <v>2016</v>
      </c>
      <c r="C3243" t="s">
        <v>38</v>
      </c>
      <c r="D3243" t="s">
        <v>4</v>
      </c>
      <c r="E3243" t="e">
        <f>VLOOKUP(Cpi_[[#This Row],[Attribute]],#REF!,2,FALSE)</f>
        <v>#REF!</v>
      </c>
      <c r="F3243">
        <v>137.5</v>
      </c>
      <c r="G3243">
        <f>(Cpi_[[#This Row],[Value]]-F3242)/F3242</f>
        <v>7.7586206896551768E-2</v>
      </c>
      <c r="H3243" t="e" cm="1" vm="1">
        <f t="array" aca="1" ref="H3243" ca="1">VLOOKUP(Cpi_[[#This Row],[Year]:[Month]],crudeoil[],3,FALSE)</f>
        <v>#VALUE!</v>
      </c>
    </row>
    <row r="3244" spans="1:8" hidden="1" x14ac:dyDescent="0.3">
      <c r="A3244" t="s">
        <v>30</v>
      </c>
      <c r="B3244">
        <v>2016</v>
      </c>
      <c r="C3244" t="s">
        <v>38</v>
      </c>
      <c r="D3244" t="s">
        <v>5</v>
      </c>
      <c r="E3244" t="e">
        <f>VLOOKUP(Cpi_[[#This Row],[Attribute]],#REF!,2,FALSE)</f>
        <v>#REF!</v>
      </c>
      <c r="F3244">
        <v>124.4</v>
      </c>
      <c r="G3244">
        <f>(Cpi_[[#This Row],[Value]]-F3243)/F3243</f>
        <v>-9.5272727272727231E-2</v>
      </c>
      <c r="H3244" t="e" cm="1" vm="1">
        <f t="array" aca="1" ref="H3244" ca="1">VLOOKUP(Cpi_[[#This Row],[Year]:[Month]],crudeoil[],3,FALSE)</f>
        <v>#VALUE!</v>
      </c>
    </row>
    <row r="3245" spans="1:8" hidden="1" x14ac:dyDescent="0.3">
      <c r="A3245" t="s">
        <v>30</v>
      </c>
      <c r="B3245">
        <v>2016</v>
      </c>
      <c r="C3245" t="s">
        <v>38</v>
      </c>
      <c r="D3245" t="s">
        <v>6</v>
      </c>
      <c r="E3245" t="e">
        <f>VLOOKUP(Cpi_[[#This Row],[Attribute]],#REF!,2,FALSE)</f>
        <v>#REF!</v>
      </c>
      <c r="F3245">
        <v>132.4</v>
      </c>
      <c r="G3245">
        <f>(Cpi_[[#This Row],[Value]]-F3244)/F3244</f>
        <v>6.4308681672025719E-2</v>
      </c>
      <c r="H3245" t="e" cm="1" vm="1">
        <f t="array" aca="1" ref="H3245" ca="1">VLOOKUP(Cpi_[[#This Row],[Year]:[Month]],crudeoil[],3,FALSE)</f>
        <v>#VALUE!</v>
      </c>
    </row>
    <row r="3246" spans="1:8" hidden="1" x14ac:dyDescent="0.3">
      <c r="A3246" t="s">
        <v>30</v>
      </c>
      <c r="B3246">
        <v>2016</v>
      </c>
      <c r="C3246" t="s">
        <v>38</v>
      </c>
      <c r="D3246" t="s">
        <v>7</v>
      </c>
      <c r="E3246" t="e">
        <f>VLOOKUP(Cpi_[[#This Row],[Attribute]],#REF!,2,FALSE)</f>
        <v>#REF!</v>
      </c>
      <c r="F3246">
        <v>118.2</v>
      </c>
      <c r="G3246">
        <f>(Cpi_[[#This Row],[Value]]-F3245)/F3245</f>
        <v>-0.10725075528700909</v>
      </c>
      <c r="H3246" t="e" cm="1" vm="1">
        <f t="array" aca="1" ref="H3246" ca="1">VLOOKUP(Cpi_[[#This Row],[Year]:[Month]],crudeoil[],3,FALSE)</f>
        <v>#VALUE!</v>
      </c>
    </row>
    <row r="3247" spans="1:8" hidden="1" x14ac:dyDescent="0.3">
      <c r="A3247" t="s">
        <v>30</v>
      </c>
      <c r="B3247">
        <v>2016</v>
      </c>
      <c r="C3247" t="s">
        <v>38</v>
      </c>
      <c r="D3247" t="s">
        <v>8</v>
      </c>
      <c r="E3247" t="e">
        <f>VLOOKUP(Cpi_[[#This Row],[Attribute]],#REF!,2,FALSE)</f>
        <v>#REF!</v>
      </c>
      <c r="F3247">
        <v>138.1</v>
      </c>
      <c r="G3247">
        <f>(Cpi_[[#This Row],[Value]]-F3246)/F3246</f>
        <v>0.16835871404399316</v>
      </c>
      <c r="H3247" t="e" cm="1" vm="1">
        <f t="array" aca="1" ref="H3247" ca="1">VLOOKUP(Cpi_[[#This Row],[Year]:[Month]],crudeoil[],3,FALSE)</f>
        <v>#VALUE!</v>
      </c>
    </row>
    <row r="3248" spans="1:8" hidden="1" x14ac:dyDescent="0.3">
      <c r="A3248" t="s">
        <v>30</v>
      </c>
      <c r="B3248">
        <v>2016</v>
      </c>
      <c r="C3248" t="s">
        <v>38</v>
      </c>
      <c r="D3248" t="s">
        <v>9</v>
      </c>
      <c r="E3248" t="e">
        <f>VLOOKUP(Cpi_[[#This Row],[Attribute]],#REF!,2,FALSE)</f>
        <v>#REF!</v>
      </c>
      <c r="F3248">
        <v>141.80000000000001</v>
      </c>
      <c r="G3248">
        <f>(Cpi_[[#This Row],[Value]]-F3247)/F3247</f>
        <v>2.6792179580014609E-2</v>
      </c>
      <c r="H3248" t="e" cm="1" vm="1">
        <f t="array" aca="1" ref="H3248" ca="1">VLOOKUP(Cpi_[[#This Row],[Year]:[Month]],crudeoil[],3,FALSE)</f>
        <v>#VALUE!</v>
      </c>
    </row>
    <row r="3249" spans="1:8" hidden="1" x14ac:dyDescent="0.3">
      <c r="A3249" t="s">
        <v>30</v>
      </c>
      <c r="B3249">
        <v>2016</v>
      </c>
      <c r="C3249" t="s">
        <v>38</v>
      </c>
      <c r="D3249" t="s">
        <v>10</v>
      </c>
      <c r="E3249" t="e">
        <f>VLOOKUP(Cpi_[[#This Row],[Attribute]],#REF!,2,FALSE)</f>
        <v>#REF!</v>
      </c>
      <c r="F3249">
        <v>166</v>
      </c>
      <c r="G3249">
        <f>(Cpi_[[#This Row],[Value]]-F3248)/F3248</f>
        <v>0.17066290550070512</v>
      </c>
      <c r="H3249" t="e" cm="1" vm="1">
        <f t="array" aca="1" ref="H3249" ca="1">VLOOKUP(Cpi_[[#This Row],[Year]:[Month]],crudeoil[],3,FALSE)</f>
        <v>#VALUE!</v>
      </c>
    </row>
    <row r="3250" spans="1:8" hidden="1" x14ac:dyDescent="0.3">
      <c r="A3250" t="s">
        <v>30</v>
      </c>
      <c r="B3250">
        <v>2016</v>
      </c>
      <c r="C3250" t="s">
        <v>38</v>
      </c>
      <c r="D3250" t="s">
        <v>11</v>
      </c>
      <c r="E3250" t="e">
        <f>VLOOKUP(Cpi_[[#This Row],[Attribute]],#REF!,2,FALSE)</f>
        <v>#REF!</v>
      </c>
      <c r="F3250">
        <v>107.5</v>
      </c>
      <c r="G3250">
        <f>(Cpi_[[#This Row],[Value]]-F3249)/F3249</f>
        <v>-0.35240963855421686</v>
      </c>
      <c r="H3250" t="e" cm="1" vm="1">
        <f t="array" aca="1" ref="H3250" ca="1">VLOOKUP(Cpi_[[#This Row],[Year]:[Month]],crudeoil[],3,FALSE)</f>
        <v>#VALUE!</v>
      </c>
    </row>
    <row r="3251" spans="1:8" hidden="1" x14ac:dyDescent="0.3">
      <c r="A3251" t="s">
        <v>30</v>
      </c>
      <c r="B3251">
        <v>2016</v>
      </c>
      <c r="C3251" t="s">
        <v>38</v>
      </c>
      <c r="D3251" t="s">
        <v>12</v>
      </c>
      <c r="E3251" t="e">
        <f>VLOOKUP(Cpi_[[#This Row],[Attribute]],#REF!,2,FALSE)</f>
        <v>#REF!</v>
      </c>
      <c r="F3251">
        <v>132.19999999999999</v>
      </c>
      <c r="G3251">
        <f>(Cpi_[[#This Row],[Value]]-F3250)/F3250</f>
        <v>0.22976744186046502</v>
      </c>
      <c r="H3251" t="e" cm="1" vm="1">
        <f t="array" aca="1" ref="H3251" ca="1">VLOOKUP(Cpi_[[#This Row],[Year]:[Month]],crudeoil[],3,FALSE)</f>
        <v>#VALUE!</v>
      </c>
    </row>
    <row r="3252" spans="1:8" hidden="1" x14ac:dyDescent="0.3">
      <c r="A3252" t="s">
        <v>30</v>
      </c>
      <c r="B3252">
        <v>2016</v>
      </c>
      <c r="C3252" t="s">
        <v>38</v>
      </c>
      <c r="D3252" t="s">
        <v>13</v>
      </c>
      <c r="E3252" t="e">
        <f>VLOOKUP(Cpi_[[#This Row],[Attribute]],#REF!,2,FALSE)</f>
        <v>#REF!</v>
      </c>
      <c r="F3252">
        <v>126.1</v>
      </c>
      <c r="G3252">
        <f>(Cpi_[[#This Row],[Value]]-F3251)/F3251</f>
        <v>-4.6142208774583922E-2</v>
      </c>
      <c r="H3252" t="e" cm="1" vm="1">
        <f t="array" aca="1" ref="H3252" ca="1">VLOOKUP(Cpi_[[#This Row],[Year]:[Month]],crudeoil[],3,FALSE)</f>
        <v>#VALUE!</v>
      </c>
    </row>
    <row r="3253" spans="1:8" hidden="1" x14ac:dyDescent="0.3">
      <c r="A3253" t="s">
        <v>30</v>
      </c>
      <c r="B3253">
        <v>2016</v>
      </c>
      <c r="C3253" t="s">
        <v>38</v>
      </c>
      <c r="D3253" t="s">
        <v>14</v>
      </c>
      <c r="E3253" t="e">
        <f>VLOOKUP(Cpi_[[#This Row],[Attribute]],#REF!,2,FALSE)</f>
        <v>#REF!</v>
      </c>
      <c r="F3253">
        <v>138.30000000000001</v>
      </c>
      <c r="G3253">
        <f>(Cpi_[[#This Row],[Value]]-F3252)/F3252</f>
        <v>9.674861221252988E-2</v>
      </c>
      <c r="H3253" t="e" cm="1" vm="1">
        <f t="array" aca="1" ref="H3253" ca="1">VLOOKUP(Cpi_[[#This Row],[Year]:[Month]],crudeoil[],3,FALSE)</f>
        <v>#VALUE!</v>
      </c>
    </row>
    <row r="3254" spans="1:8" hidden="1" x14ac:dyDescent="0.3">
      <c r="A3254" t="s">
        <v>30</v>
      </c>
      <c r="B3254">
        <v>2016</v>
      </c>
      <c r="C3254" t="s">
        <v>38</v>
      </c>
      <c r="D3254" t="s">
        <v>15</v>
      </c>
      <c r="E3254" t="e">
        <f>VLOOKUP(Cpi_[[#This Row],[Attribute]],#REF!,2,FALSE)</f>
        <v>#REF!</v>
      </c>
      <c r="F3254">
        <v>133.6</v>
      </c>
      <c r="G3254">
        <f>(Cpi_[[#This Row],[Value]]-F3253)/F3253</f>
        <v>-3.3984092552422393E-2</v>
      </c>
      <c r="H3254" t="e" cm="1" vm="1">
        <f t="array" aca="1" ref="H3254" ca="1">VLOOKUP(Cpi_[[#This Row],[Year]:[Month]],crudeoil[],3,FALSE)</f>
        <v>#VALUE!</v>
      </c>
    </row>
    <row r="3255" spans="1:8" hidden="1" x14ac:dyDescent="0.3">
      <c r="A3255" t="s">
        <v>30</v>
      </c>
      <c r="B3255">
        <v>2016</v>
      </c>
      <c r="C3255" t="s">
        <v>38</v>
      </c>
      <c r="D3255" t="s">
        <v>16</v>
      </c>
      <c r="E3255" t="e">
        <f>VLOOKUP(Cpi_[[#This Row],[Attribute]],#REF!,2,FALSE)</f>
        <v>#REF!</v>
      </c>
      <c r="F3255">
        <v>136</v>
      </c>
      <c r="G3255">
        <f>(Cpi_[[#This Row],[Value]]-F3254)/F3254</f>
        <v>1.796407185628747E-2</v>
      </c>
      <c r="H3255" t="e" cm="1" vm="1">
        <f t="array" aca="1" ref="H3255" ca="1">VLOOKUP(Cpi_[[#This Row],[Year]:[Month]],crudeoil[],3,FALSE)</f>
        <v>#VALUE!</v>
      </c>
    </row>
    <row r="3256" spans="1:8" hidden="1" x14ac:dyDescent="0.3">
      <c r="A3256" t="s">
        <v>30</v>
      </c>
      <c r="B3256">
        <v>2016</v>
      </c>
      <c r="C3256" t="s">
        <v>38</v>
      </c>
      <c r="D3256" t="s">
        <v>17</v>
      </c>
      <c r="E3256" t="e">
        <f>VLOOKUP(Cpi_[[#This Row],[Attribute]],#REF!,2,FALSE)</f>
        <v>#REF!</v>
      </c>
      <c r="F3256">
        <v>135.4</v>
      </c>
      <c r="G3256">
        <f>(Cpi_[[#This Row],[Value]]-F3255)/F3255</f>
        <v>-4.4117647058823112E-3</v>
      </c>
      <c r="H3256" t="e" cm="1" vm="1">
        <f t="array" aca="1" ref="H3256" ca="1">VLOOKUP(Cpi_[[#This Row],[Year]:[Month]],crudeoil[],3,FALSE)</f>
        <v>#VALUE!</v>
      </c>
    </row>
    <row r="3257" spans="1:8" hidden="1" x14ac:dyDescent="0.3">
      <c r="A3257" t="s">
        <v>30</v>
      </c>
      <c r="B3257">
        <v>2016</v>
      </c>
      <c r="C3257" t="s">
        <v>38</v>
      </c>
      <c r="D3257" t="s">
        <v>18</v>
      </c>
      <c r="E3257" t="e">
        <f>VLOOKUP(Cpi_[[#This Row],[Attribute]],#REF!,2,FALSE)</f>
        <v>#REF!</v>
      </c>
      <c r="F3257">
        <v>131.1</v>
      </c>
      <c r="G3257">
        <f>(Cpi_[[#This Row],[Value]]-F3256)/F3256</f>
        <v>-3.1757754800590926E-2</v>
      </c>
      <c r="H3257" t="e" cm="1" vm="1">
        <f t="array" aca="1" ref="H3257" ca="1">VLOOKUP(Cpi_[[#This Row],[Year]:[Month]],crudeoil[],3,FALSE)</f>
        <v>#VALUE!</v>
      </c>
    </row>
    <row r="3258" spans="1:8" hidden="1" x14ac:dyDescent="0.3">
      <c r="A3258" t="s">
        <v>30</v>
      </c>
      <c r="B3258">
        <v>2016</v>
      </c>
      <c r="C3258" t="s">
        <v>38</v>
      </c>
      <c r="D3258" t="s">
        <v>19</v>
      </c>
      <c r="E3258" t="e">
        <f>VLOOKUP(Cpi_[[#This Row],[Attribute]],#REF!,2,FALSE)</f>
        <v>#REF!</v>
      </c>
      <c r="F3258">
        <v>134.80000000000001</v>
      </c>
      <c r="G3258">
        <f>(Cpi_[[#This Row],[Value]]-F3257)/F3257</f>
        <v>2.8222730739893342E-2</v>
      </c>
      <c r="H3258" t="e" cm="1" vm="1">
        <f t="array" aca="1" ref="H3258" ca="1">VLOOKUP(Cpi_[[#This Row],[Year]:[Month]],crudeoil[],3,FALSE)</f>
        <v>#VALUE!</v>
      </c>
    </row>
    <row r="3259" spans="1:8" hidden="1" x14ac:dyDescent="0.3">
      <c r="A3259" t="s">
        <v>30</v>
      </c>
      <c r="B3259">
        <v>2016</v>
      </c>
      <c r="C3259" t="s">
        <v>38</v>
      </c>
      <c r="D3259" t="s">
        <v>20</v>
      </c>
      <c r="E3259" t="e">
        <f>VLOOKUP(Cpi_[[#This Row],[Attribute]],#REF!,2,FALSE)</f>
        <v>#REF!</v>
      </c>
      <c r="F3259" t="s">
        <v>32</v>
      </c>
      <c r="G3259" t="e">
        <f>(Cpi_[[#This Row],[Value]]-F3258)/F3258</f>
        <v>#VALUE!</v>
      </c>
      <c r="H3259" t="e" cm="1" vm="1">
        <f t="array" aca="1" ref="H3259" ca="1">VLOOKUP(Cpi_[[#This Row],[Year]:[Month]],crudeoil[],3,FALSE)</f>
        <v>#VALUE!</v>
      </c>
    </row>
    <row r="3260" spans="1:8" hidden="1" x14ac:dyDescent="0.3">
      <c r="A3260" t="s">
        <v>30</v>
      </c>
      <c r="B3260">
        <v>2016</v>
      </c>
      <c r="C3260" t="s">
        <v>38</v>
      </c>
      <c r="D3260" t="s">
        <v>21</v>
      </c>
      <c r="E3260" t="e">
        <f>VLOOKUP(Cpi_[[#This Row],[Attribute]],#REF!,2,FALSE)</f>
        <v>#REF!</v>
      </c>
      <c r="F3260">
        <v>127.4</v>
      </c>
      <c r="G3260" t="e">
        <f>(Cpi_[[#This Row],[Value]]-F3259)/F3259</f>
        <v>#VALUE!</v>
      </c>
      <c r="H3260" t="e" cm="1" vm="1">
        <f t="array" aca="1" ref="H3260" ca="1">VLOOKUP(Cpi_[[#This Row],[Year]:[Month]],crudeoil[],3,FALSE)</f>
        <v>#VALUE!</v>
      </c>
    </row>
    <row r="3261" spans="1:8" hidden="1" x14ac:dyDescent="0.3">
      <c r="A3261" t="s">
        <v>30</v>
      </c>
      <c r="B3261">
        <v>2016</v>
      </c>
      <c r="C3261" t="s">
        <v>38</v>
      </c>
      <c r="D3261" t="s">
        <v>22</v>
      </c>
      <c r="E3261" t="e">
        <f>VLOOKUP(Cpi_[[#This Row],[Attribute]],#REF!,2,FALSE)</f>
        <v>#REF!</v>
      </c>
      <c r="F3261">
        <v>128.5</v>
      </c>
      <c r="G3261">
        <f>(Cpi_[[#This Row],[Value]]-F3260)/F3260</f>
        <v>8.6342229199371599E-3</v>
      </c>
      <c r="H3261" t="e" cm="1" vm="1">
        <f t="array" aca="1" ref="H3261" ca="1">VLOOKUP(Cpi_[[#This Row],[Year]:[Month]],crudeoil[],3,FALSE)</f>
        <v>#VALUE!</v>
      </c>
    </row>
    <row r="3262" spans="1:8" hidden="1" x14ac:dyDescent="0.3">
      <c r="A3262" t="s">
        <v>30</v>
      </c>
      <c r="B3262">
        <v>2016</v>
      </c>
      <c r="C3262" t="s">
        <v>38</v>
      </c>
      <c r="D3262" t="s">
        <v>23</v>
      </c>
      <c r="E3262" t="e">
        <f>VLOOKUP(Cpi_[[#This Row],[Attribute]],#REF!,2,FALSE)</f>
        <v>#REF!</v>
      </c>
      <c r="F3262">
        <v>125.8</v>
      </c>
      <c r="G3262">
        <f>(Cpi_[[#This Row],[Value]]-F3261)/F3261</f>
        <v>-2.1011673151750995E-2</v>
      </c>
      <c r="H3262" t="e" cm="1" vm="1">
        <f t="array" aca="1" ref="H3262" ca="1">VLOOKUP(Cpi_[[#This Row],[Year]:[Month]],crudeoil[],3,FALSE)</f>
        <v>#VALUE!</v>
      </c>
    </row>
    <row r="3263" spans="1:8" hidden="1" x14ac:dyDescent="0.3">
      <c r="A3263" t="s">
        <v>30</v>
      </c>
      <c r="B3263">
        <v>2016</v>
      </c>
      <c r="C3263" t="s">
        <v>38</v>
      </c>
      <c r="D3263" t="s">
        <v>24</v>
      </c>
      <c r="E3263" t="e">
        <f>VLOOKUP(Cpi_[[#This Row],[Attribute]],#REF!,2,FALSE)</f>
        <v>#REF!</v>
      </c>
      <c r="F3263">
        <v>115.1</v>
      </c>
      <c r="G3263">
        <f>(Cpi_[[#This Row],[Value]]-F3262)/F3262</f>
        <v>-8.5055643879173318E-2</v>
      </c>
      <c r="H3263" t="e" cm="1" vm="1">
        <f t="array" aca="1" ref="H3263" ca="1">VLOOKUP(Cpi_[[#This Row],[Year]:[Month]],crudeoil[],3,FALSE)</f>
        <v>#VALUE!</v>
      </c>
    </row>
    <row r="3264" spans="1:8" hidden="1" x14ac:dyDescent="0.3">
      <c r="A3264" t="s">
        <v>30</v>
      </c>
      <c r="B3264">
        <v>2016</v>
      </c>
      <c r="C3264" t="s">
        <v>38</v>
      </c>
      <c r="D3264" t="s">
        <v>25</v>
      </c>
      <c r="E3264" t="e">
        <f>VLOOKUP(Cpi_[[#This Row],[Attribute]],#REF!,2,FALSE)</f>
        <v>#REF!</v>
      </c>
      <c r="F3264">
        <v>123.6</v>
      </c>
      <c r="G3264">
        <f>(Cpi_[[#This Row],[Value]]-F3263)/F3263</f>
        <v>7.3848827106863607E-2</v>
      </c>
      <c r="H3264" t="e" cm="1" vm="1">
        <f t="array" aca="1" ref="H3264" ca="1">VLOOKUP(Cpi_[[#This Row],[Year]:[Month]],crudeoil[],3,FALSE)</f>
        <v>#VALUE!</v>
      </c>
    </row>
    <row r="3265" spans="1:8" hidden="1" x14ac:dyDescent="0.3">
      <c r="A3265" t="s">
        <v>30</v>
      </c>
      <c r="B3265">
        <v>2016</v>
      </c>
      <c r="C3265" t="s">
        <v>38</v>
      </c>
      <c r="D3265" t="s">
        <v>26</v>
      </c>
      <c r="E3265" t="e">
        <f>VLOOKUP(Cpi_[[#This Row],[Attribute]],#REF!,2,FALSE)</f>
        <v>#REF!</v>
      </c>
      <c r="F3265">
        <v>129.1</v>
      </c>
      <c r="G3265">
        <f>(Cpi_[[#This Row],[Value]]-F3264)/F3264</f>
        <v>4.4498381877022652E-2</v>
      </c>
      <c r="H3265" t="e" cm="1" vm="1">
        <f t="array" aca="1" ref="H3265" ca="1">VLOOKUP(Cpi_[[#This Row],[Year]:[Month]],crudeoil[],3,FALSE)</f>
        <v>#VALUE!</v>
      </c>
    </row>
    <row r="3266" spans="1:8" hidden="1" x14ac:dyDescent="0.3">
      <c r="A3266" t="s">
        <v>30</v>
      </c>
      <c r="B3266">
        <v>2016</v>
      </c>
      <c r="C3266" t="s">
        <v>38</v>
      </c>
      <c r="D3266" t="s">
        <v>27</v>
      </c>
      <c r="E3266" t="e">
        <f>VLOOKUP(Cpi_[[#This Row],[Attribute]],#REF!,2,FALSE)</f>
        <v>#REF!</v>
      </c>
      <c r="F3266">
        <v>119.7</v>
      </c>
      <c r="G3266">
        <f>(Cpi_[[#This Row],[Value]]-F3265)/F3265</f>
        <v>-7.2811773818745096E-2</v>
      </c>
      <c r="H3266" t="e" cm="1" vm="1">
        <f t="array" aca="1" ref="H3266" ca="1">VLOOKUP(Cpi_[[#This Row],[Year]:[Month]],crudeoil[],3,FALSE)</f>
        <v>#VALUE!</v>
      </c>
    </row>
    <row r="3267" spans="1:8" hidden="1" x14ac:dyDescent="0.3">
      <c r="A3267" t="s">
        <v>30</v>
      </c>
      <c r="B3267">
        <v>2016</v>
      </c>
      <c r="C3267" t="s">
        <v>38</v>
      </c>
      <c r="D3267" t="s">
        <v>28</v>
      </c>
      <c r="E3267" t="e">
        <f>VLOOKUP(Cpi_[[#This Row],[Attribute]],#REF!,2,FALSE)</f>
        <v>#REF!</v>
      </c>
      <c r="F3267">
        <v>122.5</v>
      </c>
      <c r="G3267">
        <f>(Cpi_[[#This Row],[Value]]-F3266)/F3266</f>
        <v>2.339181286549705E-2</v>
      </c>
      <c r="H3267" t="e" cm="1" vm="1">
        <f t="array" aca="1" ref="H3267" ca="1">VLOOKUP(Cpi_[[#This Row],[Year]:[Month]],crudeoil[],3,FALSE)</f>
        <v>#VALUE!</v>
      </c>
    </row>
    <row r="3268" spans="1:8" hidden="1" x14ac:dyDescent="0.3">
      <c r="A3268" t="s">
        <v>30</v>
      </c>
      <c r="B3268">
        <v>2016</v>
      </c>
      <c r="C3268" t="s">
        <v>38</v>
      </c>
      <c r="D3268" t="s">
        <v>29</v>
      </c>
      <c r="E3268" t="e" cm="1">
        <f t="array" aca="1" ref="E3268" ca="1">VLGeneral indexGeneral indexKUP(Cpi_[[#This Row],[Attribute]],#REF!,2,FALSE)</f>
        <v>#NAME?</v>
      </c>
      <c r="F3268">
        <v>130.30000000000001</v>
      </c>
      <c r="G3268">
        <f>(Cpi_[[#This Row],[Value]]-F3267)/F3267</f>
        <v>6.3673469387755199E-2</v>
      </c>
      <c r="H3268" t="e" cm="1" vm="1">
        <f t="array" aca="1" ref="H3268" ca="1">VLOOKUP(Cpi_[[#This Row],[Year]:[Month]],crudeoil[],3,FALSE)</f>
        <v>#VALUE!</v>
      </c>
    </row>
    <row r="3269" spans="1:8" hidden="1" x14ac:dyDescent="0.3">
      <c r="A3269" t="s">
        <v>33</v>
      </c>
      <c r="B3269">
        <v>2016</v>
      </c>
      <c r="C3269" t="s">
        <v>38</v>
      </c>
      <c r="D3269" t="s">
        <v>3</v>
      </c>
      <c r="E3269" t="e">
        <f>VLOOKUP(Cpi_[[#This Row],[Attribute]],#REF!,2,FALSE)</f>
        <v>#REF!</v>
      </c>
      <c r="F3269">
        <v>125</v>
      </c>
      <c r="G3269">
        <f>(Cpi_[[#This Row],[Value]]-F3268)/F3268</f>
        <v>-4.0675364543361556E-2</v>
      </c>
      <c r="H3269" t="e" cm="1" vm="1">
        <f t="array" aca="1" ref="H3269" ca="1">VLOOKUP(Cpi_[[#This Row],[Year]:[Month]],crudeoil[],3,FALSE)</f>
        <v>#VALUE!</v>
      </c>
    </row>
    <row r="3270" spans="1:8" hidden="1" x14ac:dyDescent="0.3">
      <c r="A3270" t="s">
        <v>33</v>
      </c>
      <c r="B3270">
        <v>2016</v>
      </c>
      <c r="C3270" t="s">
        <v>38</v>
      </c>
      <c r="D3270" t="s">
        <v>4</v>
      </c>
      <c r="E3270" t="e">
        <f>VLOOKUP(Cpi_[[#This Row],[Attribute]],#REF!,2,FALSE)</f>
        <v>#REF!</v>
      </c>
      <c r="F3270">
        <v>142.1</v>
      </c>
      <c r="G3270">
        <f>(Cpi_[[#This Row],[Value]]-F3269)/F3269</f>
        <v>0.13679999999999995</v>
      </c>
      <c r="H3270" t="e" cm="1" vm="1">
        <f t="array" aca="1" ref="H3270" ca="1">VLOOKUP(Cpi_[[#This Row],[Year]:[Month]],crudeoil[],3,FALSE)</f>
        <v>#VALUE!</v>
      </c>
    </row>
    <row r="3271" spans="1:8" hidden="1" x14ac:dyDescent="0.3">
      <c r="A3271" t="s">
        <v>33</v>
      </c>
      <c r="B3271">
        <v>2016</v>
      </c>
      <c r="C3271" t="s">
        <v>38</v>
      </c>
      <c r="D3271" t="s">
        <v>5</v>
      </c>
      <c r="E3271" t="e">
        <f>VLOOKUP(Cpi_[[#This Row],[Attribute]],#REF!,2,FALSE)</f>
        <v>#REF!</v>
      </c>
      <c r="F3271">
        <v>127</v>
      </c>
      <c r="G3271">
        <f>(Cpi_[[#This Row],[Value]]-F3270)/F3270</f>
        <v>-0.10626319493314564</v>
      </c>
      <c r="H3271" t="e" cm="1" vm="1">
        <f t="array" aca="1" ref="H3271" ca="1">VLOOKUP(Cpi_[[#This Row],[Year]:[Month]],crudeoil[],3,FALSE)</f>
        <v>#VALUE!</v>
      </c>
    </row>
    <row r="3272" spans="1:8" hidden="1" x14ac:dyDescent="0.3">
      <c r="A3272" t="s">
        <v>33</v>
      </c>
      <c r="B3272">
        <v>2016</v>
      </c>
      <c r="C3272" t="s">
        <v>38</v>
      </c>
      <c r="D3272" t="s">
        <v>6</v>
      </c>
      <c r="E3272" t="e">
        <f>VLOOKUP(Cpi_[[#This Row],[Attribute]],#REF!,2,FALSE)</f>
        <v>#REF!</v>
      </c>
      <c r="F3272">
        <v>130.4</v>
      </c>
      <c r="G3272">
        <f>(Cpi_[[#This Row],[Value]]-F3271)/F3271</f>
        <v>2.6771653543307131E-2</v>
      </c>
      <c r="H3272" t="e" cm="1" vm="1">
        <f t="array" aca="1" ref="H3272" ca="1">VLOOKUP(Cpi_[[#This Row],[Year]:[Month]],crudeoil[],3,FALSE)</f>
        <v>#VALUE!</v>
      </c>
    </row>
    <row r="3273" spans="1:8" hidden="1" x14ac:dyDescent="0.3">
      <c r="A3273" t="s">
        <v>33</v>
      </c>
      <c r="B3273">
        <v>2016</v>
      </c>
      <c r="C3273" t="s">
        <v>38</v>
      </c>
      <c r="D3273" t="s">
        <v>7</v>
      </c>
      <c r="E3273" t="e">
        <f>VLOOKUP(Cpi_[[#This Row],[Attribute]],#REF!,2,FALSE)</f>
        <v>#REF!</v>
      </c>
      <c r="F3273">
        <v>109.6</v>
      </c>
      <c r="G3273">
        <f>(Cpi_[[#This Row],[Value]]-F3272)/F3272</f>
        <v>-0.15950920245398781</v>
      </c>
      <c r="H3273" t="e" cm="1" vm="1">
        <f t="array" aca="1" ref="H3273" ca="1">VLOOKUP(Cpi_[[#This Row],[Year]:[Month]],crudeoil[],3,FALSE)</f>
        <v>#VALUE!</v>
      </c>
    </row>
    <row r="3274" spans="1:8" hidden="1" x14ac:dyDescent="0.3">
      <c r="A3274" t="s">
        <v>33</v>
      </c>
      <c r="B3274">
        <v>2016</v>
      </c>
      <c r="C3274" t="s">
        <v>38</v>
      </c>
      <c r="D3274" t="s">
        <v>8</v>
      </c>
      <c r="E3274" t="e">
        <f>VLOOKUP(Cpi_[[#This Row],[Attribute]],#REF!,2,FALSE)</f>
        <v>#REF!</v>
      </c>
      <c r="F3274">
        <v>133.5</v>
      </c>
      <c r="G3274">
        <f>(Cpi_[[#This Row],[Value]]-F3273)/F3273</f>
        <v>0.21806569343065699</v>
      </c>
      <c r="H3274" t="e" cm="1" vm="1">
        <f t="array" aca="1" ref="H3274" ca="1">VLOOKUP(Cpi_[[#This Row],[Year]:[Month]],crudeoil[],3,FALSE)</f>
        <v>#VALUE!</v>
      </c>
    </row>
    <row r="3275" spans="1:8" hidden="1" x14ac:dyDescent="0.3">
      <c r="A3275" t="s">
        <v>33</v>
      </c>
      <c r="B3275">
        <v>2016</v>
      </c>
      <c r="C3275" t="s">
        <v>38</v>
      </c>
      <c r="D3275" t="s">
        <v>9</v>
      </c>
      <c r="E3275" t="e">
        <f>VLOOKUP(Cpi_[[#This Row],[Attribute]],#REF!,2,FALSE)</f>
        <v>#REF!</v>
      </c>
      <c r="F3275">
        <v>151.4</v>
      </c>
      <c r="G3275">
        <f>(Cpi_[[#This Row],[Value]]-F3274)/F3274</f>
        <v>0.13408239700374536</v>
      </c>
      <c r="H3275" t="e" cm="1" vm="1">
        <f t="array" aca="1" ref="H3275" ca="1">VLOOKUP(Cpi_[[#This Row],[Year]:[Month]],crudeoil[],3,FALSE)</f>
        <v>#VALUE!</v>
      </c>
    </row>
    <row r="3276" spans="1:8" hidden="1" x14ac:dyDescent="0.3">
      <c r="A3276" t="s">
        <v>33</v>
      </c>
      <c r="B3276">
        <v>2016</v>
      </c>
      <c r="C3276" t="s">
        <v>38</v>
      </c>
      <c r="D3276" t="s">
        <v>10</v>
      </c>
      <c r="E3276" t="e">
        <f>VLOOKUP(Cpi_[[#This Row],[Attribute]],#REF!,2,FALSE)</f>
        <v>#REF!</v>
      </c>
      <c r="F3276">
        <v>182.8</v>
      </c>
      <c r="G3276">
        <f>(Cpi_[[#This Row],[Value]]-F3275)/F3275</f>
        <v>0.20739762219286662</v>
      </c>
      <c r="H3276" t="e" cm="1" vm="1">
        <f t="array" aca="1" ref="H3276" ca="1">VLOOKUP(Cpi_[[#This Row],[Year]:[Month]],crudeoil[],3,FALSE)</f>
        <v>#VALUE!</v>
      </c>
    </row>
    <row r="3277" spans="1:8" hidden="1" x14ac:dyDescent="0.3">
      <c r="A3277" t="s">
        <v>33</v>
      </c>
      <c r="B3277">
        <v>2016</v>
      </c>
      <c r="C3277" t="s">
        <v>38</v>
      </c>
      <c r="D3277" t="s">
        <v>11</v>
      </c>
      <c r="E3277" t="e">
        <f>VLOOKUP(Cpi_[[#This Row],[Attribute]],#REF!,2,FALSE)</f>
        <v>#REF!</v>
      </c>
      <c r="F3277">
        <v>111.1</v>
      </c>
      <c r="G3277">
        <f>(Cpi_[[#This Row],[Value]]-F3276)/F3276</f>
        <v>-0.39223194748358869</v>
      </c>
      <c r="H3277" t="e" cm="1" vm="1">
        <f t="array" aca="1" ref="H3277" ca="1">VLOOKUP(Cpi_[[#This Row],[Year]:[Month]],crudeoil[],3,FALSE)</f>
        <v>#VALUE!</v>
      </c>
    </row>
    <row r="3278" spans="1:8" hidden="1" x14ac:dyDescent="0.3">
      <c r="A3278" t="s">
        <v>33</v>
      </c>
      <c r="B3278">
        <v>2016</v>
      </c>
      <c r="C3278" t="s">
        <v>38</v>
      </c>
      <c r="D3278" t="s">
        <v>12</v>
      </c>
      <c r="E3278" t="e">
        <f>VLOOKUP(Cpi_[[#This Row],[Attribute]],#REF!,2,FALSE)</f>
        <v>#REF!</v>
      </c>
      <c r="F3278">
        <v>141.5</v>
      </c>
      <c r="G3278">
        <f>(Cpi_[[#This Row],[Value]]-F3277)/F3277</f>
        <v>0.27362736273627369</v>
      </c>
      <c r="H3278" t="e" cm="1" vm="1">
        <f t="array" aca="1" ref="H3278" ca="1">VLOOKUP(Cpi_[[#This Row],[Year]:[Month]],crudeoil[],3,FALSE)</f>
        <v>#VALUE!</v>
      </c>
    </row>
    <row r="3279" spans="1:8" hidden="1" x14ac:dyDescent="0.3">
      <c r="A3279" t="s">
        <v>33</v>
      </c>
      <c r="B3279">
        <v>2016</v>
      </c>
      <c r="C3279" t="s">
        <v>38</v>
      </c>
      <c r="D3279" t="s">
        <v>13</v>
      </c>
      <c r="E3279" t="e">
        <f>VLOOKUP(Cpi_[[#This Row],[Attribute]],#REF!,2,FALSE)</f>
        <v>#REF!</v>
      </c>
      <c r="F3279">
        <v>121.5</v>
      </c>
      <c r="G3279">
        <f>(Cpi_[[#This Row],[Value]]-F3278)/F3278</f>
        <v>-0.14134275618374559</v>
      </c>
      <c r="H3279" t="e" cm="1" vm="1">
        <f t="array" aca="1" ref="H3279" ca="1">VLOOKUP(Cpi_[[#This Row],[Year]:[Month]],crudeoil[],3,FALSE)</f>
        <v>#VALUE!</v>
      </c>
    </row>
    <row r="3280" spans="1:8" hidden="1" x14ac:dyDescent="0.3">
      <c r="A3280" t="s">
        <v>33</v>
      </c>
      <c r="B3280">
        <v>2016</v>
      </c>
      <c r="C3280" t="s">
        <v>38</v>
      </c>
      <c r="D3280" t="s">
        <v>14</v>
      </c>
      <c r="E3280" t="e">
        <f>VLOOKUP(Cpi_[[#This Row],[Attribute]],#REF!,2,FALSE)</f>
        <v>#REF!</v>
      </c>
      <c r="F3280">
        <v>136.30000000000001</v>
      </c>
      <c r="G3280">
        <f>(Cpi_[[#This Row],[Value]]-F3279)/F3279</f>
        <v>0.12181069958847746</v>
      </c>
      <c r="H3280" t="e" cm="1" vm="1">
        <f t="array" aca="1" ref="H3280" ca="1">VLOOKUP(Cpi_[[#This Row],[Year]:[Month]],crudeoil[],3,FALSE)</f>
        <v>#VALUE!</v>
      </c>
    </row>
    <row r="3281" spans="1:8" hidden="1" x14ac:dyDescent="0.3">
      <c r="A3281" t="s">
        <v>33</v>
      </c>
      <c r="B3281">
        <v>2016</v>
      </c>
      <c r="C3281" t="s">
        <v>38</v>
      </c>
      <c r="D3281" t="s">
        <v>15</v>
      </c>
      <c r="E3281" t="e">
        <f>VLOOKUP(Cpi_[[#This Row],[Attribute]],#REF!,2,FALSE)</f>
        <v>#REF!</v>
      </c>
      <c r="F3281">
        <v>134.6</v>
      </c>
      <c r="G3281">
        <f>(Cpi_[[#This Row],[Value]]-F3280)/F3280</f>
        <v>-1.2472487160675106E-2</v>
      </c>
      <c r="H3281" t="e" cm="1" vm="1">
        <f t="array" aca="1" ref="H3281" ca="1">VLOOKUP(Cpi_[[#This Row],[Year]:[Month]],crudeoil[],3,FALSE)</f>
        <v>#VALUE!</v>
      </c>
    </row>
    <row r="3282" spans="1:8" hidden="1" x14ac:dyDescent="0.3">
      <c r="A3282" t="s">
        <v>33</v>
      </c>
      <c r="B3282">
        <v>2016</v>
      </c>
      <c r="C3282" t="s">
        <v>38</v>
      </c>
      <c r="D3282" t="s">
        <v>16</v>
      </c>
      <c r="E3282" t="e">
        <f>VLOOKUP(Cpi_[[#This Row],[Attribute]],#REF!,2,FALSE)</f>
        <v>#REF!</v>
      </c>
      <c r="F3282">
        <v>142.19999999999999</v>
      </c>
      <c r="G3282">
        <f>(Cpi_[[#This Row],[Value]]-F3281)/F3281</f>
        <v>5.6463595839524476E-2</v>
      </c>
      <c r="H3282" t="e" cm="1" vm="1">
        <f t="array" aca="1" ref="H3282" ca="1">VLOOKUP(Cpi_[[#This Row],[Year]:[Month]],crudeoil[],3,FALSE)</f>
        <v>#VALUE!</v>
      </c>
    </row>
    <row r="3283" spans="1:8" hidden="1" x14ac:dyDescent="0.3">
      <c r="A3283" t="s">
        <v>33</v>
      </c>
      <c r="B3283">
        <v>2016</v>
      </c>
      <c r="C3283" t="s">
        <v>38</v>
      </c>
      <c r="D3283" t="s">
        <v>17</v>
      </c>
      <c r="E3283" t="e">
        <f>VLOOKUP(Cpi_[[#This Row],[Attribute]],#REF!,2,FALSE)</f>
        <v>#REF!</v>
      </c>
      <c r="F3283">
        <v>127.2</v>
      </c>
      <c r="G3283">
        <f>(Cpi_[[#This Row],[Value]]-F3282)/F3282</f>
        <v>-0.10548523206751045</v>
      </c>
      <c r="H3283" t="e" cm="1" vm="1">
        <f t="array" aca="1" ref="H3283" ca="1">VLOOKUP(Cpi_[[#This Row],[Year]:[Month]],crudeoil[],3,FALSE)</f>
        <v>#VALUE!</v>
      </c>
    </row>
    <row r="3284" spans="1:8" hidden="1" x14ac:dyDescent="0.3">
      <c r="A3284" t="s">
        <v>33</v>
      </c>
      <c r="B3284">
        <v>2016</v>
      </c>
      <c r="C3284" t="s">
        <v>38</v>
      </c>
      <c r="D3284" t="s">
        <v>18</v>
      </c>
      <c r="E3284" t="e">
        <f>VLOOKUP(Cpi_[[#This Row],[Attribute]],#REF!,2,FALSE)</f>
        <v>#REF!</v>
      </c>
      <c r="F3284">
        <v>120.7</v>
      </c>
      <c r="G3284">
        <f>(Cpi_[[#This Row],[Value]]-F3283)/F3283</f>
        <v>-5.1100628930817606E-2</v>
      </c>
      <c r="H3284" t="e" cm="1" vm="1">
        <f t="array" aca="1" ref="H3284" ca="1">VLOOKUP(Cpi_[[#This Row],[Year]:[Month]],crudeoil[],3,FALSE)</f>
        <v>#VALUE!</v>
      </c>
    </row>
    <row r="3285" spans="1:8" hidden="1" x14ac:dyDescent="0.3">
      <c r="A3285" t="s">
        <v>33</v>
      </c>
      <c r="B3285">
        <v>2016</v>
      </c>
      <c r="C3285" t="s">
        <v>38</v>
      </c>
      <c r="D3285" t="s">
        <v>19</v>
      </c>
      <c r="E3285" t="e">
        <f>VLOOKUP(Cpi_[[#This Row],[Attribute]],#REF!,2,FALSE)</f>
        <v>#REF!</v>
      </c>
      <c r="F3285">
        <v>126.2</v>
      </c>
      <c r="G3285">
        <f>(Cpi_[[#This Row],[Value]]-F3284)/F3284</f>
        <v>4.5567522783761388E-2</v>
      </c>
      <c r="H3285" t="e" cm="1" vm="1">
        <f t="array" aca="1" ref="H3285" ca="1">VLOOKUP(Cpi_[[#This Row],[Year]:[Month]],crudeoil[],3,FALSE)</f>
        <v>#VALUE!</v>
      </c>
    </row>
    <row r="3286" spans="1:8" hidden="1" x14ac:dyDescent="0.3">
      <c r="A3286" t="s">
        <v>33</v>
      </c>
      <c r="B3286">
        <v>2016</v>
      </c>
      <c r="C3286" t="s">
        <v>38</v>
      </c>
      <c r="D3286" t="s">
        <v>20</v>
      </c>
      <c r="E3286" t="e">
        <f>VLOOKUP(Cpi_[[#This Row],[Attribute]],#REF!,2,FALSE)</f>
        <v>#REF!</v>
      </c>
      <c r="F3286">
        <v>126</v>
      </c>
      <c r="G3286">
        <f>(Cpi_[[#This Row],[Value]]-F3285)/F3285</f>
        <v>-1.5847860538827482E-3</v>
      </c>
      <c r="H3286" t="e" cm="1" vm="1">
        <f t="array" aca="1" ref="H3286" ca="1">VLOOKUP(Cpi_[[#This Row],[Year]:[Month]],crudeoil[],3,FALSE)</f>
        <v>#VALUE!</v>
      </c>
    </row>
    <row r="3287" spans="1:8" hidden="1" x14ac:dyDescent="0.3">
      <c r="A3287" t="s">
        <v>33</v>
      </c>
      <c r="B3287">
        <v>2016</v>
      </c>
      <c r="C3287" t="s">
        <v>38</v>
      </c>
      <c r="D3287" t="s">
        <v>21</v>
      </c>
      <c r="E3287" t="e">
        <f>VLOOKUP(Cpi_[[#This Row],[Attribute]],#REF!,2,FALSE)</f>
        <v>#REF!</v>
      </c>
      <c r="F3287">
        <v>115</v>
      </c>
      <c r="G3287">
        <f>(Cpi_[[#This Row],[Value]]-F3286)/F3286</f>
        <v>-8.7301587301587297E-2</v>
      </c>
      <c r="H3287" t="e" cm="1" vm="1">
        <f t="array" aca="1" ref="H3287" ca="1">VLOOKUP(Cpi_[[#This Row],[Year]:[Month]],crudeoil[],3,FALSE)</f>
        <v>#VALUE!</v>
      </c>
    </row>
    <row r="3288" spans="1:8" hidden="1" x14ac:dyDescent="0.3">
      <c r="A3288" t="s">
        <v>33</v>
      </c>
      <c r="B3288">
        <v>2016</v>
      </c>
      <c r="C3288" t="s">
        <v>38</v>
      </c>
      <c r="D3288" t="s">
        <v>22</v>
      </c>
      <c r="E3288" t="e">
        <f>VLOOKUP(Cpi_[[#This Row],[Attribute]],#REF!,2,FALSE)</f>
        <v>#REF!</v>
      </c>
      <c r="F3288">
        <v>123.2</v>
      </c>
      <c r="G3288">
        <f>(Cpi_[[#This Row],[Value]]-F3287)/F3287</f>
        <v>7.1304347826086981E-2</v>
      </c>
      <c r="H3288" t="e" cm="1" vm="1">
        <f t="array" aca="1" ref="H3288" ca="1">VLOOKUP(Cpi_[[#This Row],[Year]:[Month]],crudeoil[],3,FALSE)</f>
        <v>#VALUE!</v>
      </c>
    </row>
    <row r="3289" spans="1:8" hidden="1" x14ac:dyDescent="0.3">
      <c r="A3289" t="s">
        <v>33</v>
      </c>
      <c r="B3289">
        <v>2016</v>
      </c>
      <c r="C3289" t="s">
        <v>38</v>
      </c>
      <c r="D3289" t="s">
        <v>23</v>
      </c>
      <c r="E3289" t="e">
        <f>VLOOKUP(Cpi_[[#This Row],[Attribute]],#REF!,2,FALSE)</f>
        <v>#REF!</v>
      </c>
      <c r="F3289">
        <v>120.3</v>
      </c>
      <c r="G3289">
        <f>(Cpi_[[#This Row],[Value]]-F3288)/F3288</f>
        <v>-2.3538961038961085E-2</v>
      </c>
      <c r="H3289" t="e" cm="1" vm="1">
        <f t="array" aca="1" ref="H3289" ca="1">VLOOKUP(Cpi_[[#This Row],[Year]:[Month]],crudeoil[],3,FALSE)</f>
        <v>#VALUE!</v>
      </c>
    </row>
    <row r="3290" spans="1:8" hidden="1" x14ac:dyDescent="0.3">
      <c r="A3290" t="s">
        <v>33</v>
      </c>
      <c r="B3290">
        <v>2016</v>
      </c>
      <c r="C3290" t="s">
        <v>38</v>
      </c>
      <c r="D3290" t="s">
        <v>24</v>
      </c>
      <c r="E3290" t="e">
        <f>VLOOKUP(Cpi_[[#This Row],[Attribute]],#REF!,2,FALSE)</f>
        <v>#REF!</v>
      </c>
      <c r="F3290">
        <v>110.7</v>
      </c>
      <c r="G3290">
        <f>(Cpi_[[#This Row],[Value]]-F3289)/F3289</f>
        <v>-7.9800498753117163E-2</v>
      </c>
      <c r="H3290" t="e" cm="1" vm="1">
        <f t="array" aca="1" ref="H3290" ca="1">VLOOKUP(Cpi_[[#This Row],[Year]:[Month]],crudeoil[],3,FALSE)</f>
        <v>#VALUE!</v>
      </c>
    </row>
    <row r="3291" spans="1:8" hidden="1" x14ac:dyDescent="0.3">
      <c r="A3291" t="s">
        <v>33</v>
      </c>
      <c r="B3291">
        <v>2016</v>
      </c>
      <c r="C3291" t="s">
        <v>38</v>
      </c>
      <c r="D3291" t="s">
        <v>25</v>
      </c>
      <c r="E3291" t="e">
        <f>VLOOKUP(Cpi_[[#This Row],[Attribute]],#REF!,2,FALSE)</f>
        <v>#REF!</v>
      </c>
      <c r="F3291">
        <v>119.8</v>
      </c>
      <c r="G3291">
        <f>(Cpi_[[#This Row],[Value]]-F3290)/F3290</f>
        <v>8.2204155374887025E-2</v>
      </c>
      <c r="H3291" t="e" cm="1" vm="1">
        <f t="array" aca="1" ref="H3291" ca="1">VLOOKUP(Cpi_[[#This Row],[Year]:[Month]],crudeoil[],3,FALSE)</f>
        <v>#VALUE!</v>
      </c>
    </row>
    <row r="3292" spans="1:8" hidden="1" x14ac:dyDescent="0.3">
      <c r="A3292" t="s">
        <v>33</v>
      </c>
      <c r="B3292">
        <v>2016</v>
      </c>
      <c r="C3292" t="s">
        <v>38</v>
      </c>
      <c r="D3292" t="s">
        <v>26</v>
      </c>
      <c r="E3292" t="e">
        <f>VLOOKUP(Cpi_[[#This Row],[Attribute]],#REF!,2,FALSE)</f>
        <v>#REF!</v>
      </c>
      <c r="F3292">
        <v>128</v>
      </c>
      <c r="G3292">
        <f>(Cpi_[[#This Row],[Value]]-F3291)/F3291</f>
        <v>6.8447412353923237E-2</v>
      </c>
      <c r="H3292" t="e" cm="1" vm="1">
        <f t="array" aca="1" ref="H3292" ca="1">VLOOKUP(Cpi_[[#This Row],[Year]:[Month]],crudeoil[],3,FALSE)</f>
        <v>#VALUE!</v>
      </c>
    </row>
    <row r="3293" spans="1:8" hidden="1" x14ac:dyDescent="0.3">
      <c r="A3293" t="s">
        <v>33</v>
      </c>
      <c r="B3293">
        <v>2016</v>
      </c>
      <c r="C3293" t="s">
        <v>38</v>
      </c>
      <c r="D3293" t="s">
        <v>27</v>
      </c>
      <c r="E3293" t="e">
        <f>VLOOKUP(Cpi_[[#This Row],[Attribute]],#REF!,2,FALSE)</f>
        <v>#REF!</v>
      </c>
      <c r="F3293">
        <v>118.5</v>
      </c>
      <c r="G3293">
        <f>(Cpi_[[#This Row],[Value]]-F3292)/F3292</f>
        <v>-7.421875E-2</v>
      </c>
      <c r="H3293" t="e" cm="1" vm="1">
        <f t="array" aca="1" ref="H3293" ca="1">VLOOKUP(Cpi_[[#This Row],[Year]:[Month]],crudeoil[],3,FALSE)</f>
        <v>#VALUE!</v>
      </c>
    </row>
    <row r="3294" spans="1:8" hidden="1" x14ac:dyDescent="0.3">
      <c r="A3294" t="s">
        <v>33</v>
      </c>
      <c r="B3294">
        <v>2016</v>
      </c>
      <c r="C3294" t="s">
        <v>38</v>
      </c>
      <c r="D3294" t="s">
        <v>28</v>
      </c>
      <c r="E3294" t="e">
        <f>VLOOKUP(Cpi_[[#This Row],[Attribute]],#REF!,2,FALSE)</f>
        <v>#REF!</v>
      </c>
      <c r="F3294">
        <v>118.7</v>
      </c>
      <c r="G3294">
        <f>(Cpi_[[#This Row],[Value]]-F3293)/F3293</f>
        <v>1.6877637130801927E-3</v>
      </c>
      <c r="H3294" t="e" cm="1" vm="1">
        <f t="array" aca="1" ref="H3294" ca="1">VLOOKUP(Cpi_[[#This Row],[Year]:[Month]],crudeoil[],3,FALSE)</f>
        <v>#VALUE!</v>
      </c>
    </row>
    <row r="3295" spans="1:8" hidden="1" x14ac:dyDescent="0.3">
      <c r="A3295" t="s">
        <v>33</v>
      </c>
      <c r="B3295">
        <v>2016</v>
      </c>
      <c r="C3295" t="s">
        <v>38</v>
      </c>
      <c r="D3295" t="s">
        <v>29</v>
      </c>
      <c r="E3295" t="e" cm="1">
        <f t="array" aca="1" ref="E3295" ca="1">VLGeneral indexGeneral indexKUP(Cpi_[[#This Row],[Attribute]],#REF!,2,FALSE)</f>
        <v>#NAME?</v>
      </c>
      <c r="F3295">
        <v>126.6</v>
      </c>
      <c r="G3295">
        <f>(Cpi_[[#This Row],[Value]]-F3294)/F3294</f>
        <v>6.6554338668913152E-2</v>
      </c>
      <c r="H3295" t="e" cm="1" vm="1">
        <f t="array" aca="1" ref="H3295" ca="1">VLOOKUP(Cpi_[[#This Row],[Year]:[Month]],crudeoil[],3,FALSE)</f>
        <v>#VALUE!</v>
      </c>
    </row>
    <row r="3296" spans="1:8" hidden="1" x14ac:dyDescent="0.3">
      <c r="A3296" t="s">
        <v>34</v>
      </c>
      <c r="B3296">
        <v>2016</v>
      </c>
      <c r="C3296" t="s">
        <v>38</v>
      </c>
      <c r="D3296" t="s">
        <v>3</v>
      </c>
      <c r="E3296" t="e">
        <f>VLOOKUP(Cpi_[[#This Row],[Attribute]],#REF!,2,FALSE)</f>
        <v>#REF!</v>
      </c>
      <c r="F3296">
        <v>126.8</v>
      </c>
      <c r="G3296">
        <f>(Cpi_[[#This Row],[Value]]-F3295)/F3295</f>
        <v>1.5797788309636876E-3</v>
      </c>
      <c r="H3296" t="e" cm="1" vm="1">
        <f t="array" aca="1" ref="H3296" ca="1">VLOOKUP(Cpi_[[#This Row],[Year]:[Month]],crudeoil[],3,FALSE)</f>
        <v>#VALUE!</v>
      </c>
    </row>
    <row r="3297" spans="1:8" hidden="1" x14ac:dyDescent="0.3">
      <c r="A3297" t="s">
        <v>34</v>
      </c>
      <c r="B3297">
        <v>2016</v>
      </c>
      <c r="C3297" t="s">
        <v>38</v>
      </c>
      <c r="D3297" t="s">
        <v>4</v>
      </c>
      <c r="E3297" t="e">
        <f>VLOOKUP(Cpi_[[#This Row],[Attribute]],#REF!,2,FALSE)</f>
        <v>#REF!</v>
      </c>
      <c r="F3297">
        <v>139.1</v>
      </c>
      <c r="G3297">
        <f>(Cpi_[[#This Row],[Value]]-F3296)/F3296</f>
        <v>9.7003154574132472E-2</v>
      </c>
      <c r="H3297" t="e" cm="1" vm="1">
        <f t="array" aca="1" ref="H3297" ca="1">VLOOKUP(Cpi_[[#This Row],[Year]:[Month]],crudeoil[],3,FALSE)</f>
        <v>#VALUE!</v>
      </c>
    </row>
    <row r="3298" spans="1:8" hidden="1" x14ac:dyDescent="0.3">
      <c r="A3298" t="s">
        <v>34</v>
      </c>
      <c r="B3298">
        <v>2016</v>
      </c>
      <c r="C3298" t="s">
        <v>38</v>
      </c>
      <c r="D3298" t="s">
        <v>5</v>
      </c>
      <c r="E3298" t="e">
        <f>VLOOKUP(Cpi_[[#This Row],[Attribute]],#REF!,2,FALSE)</f>
        <v>#REF!</v>
      </c>
      <c r="F3298">
        <v>125.4</v>
      </c>
      <c r="G3298">
        <f>(Cpi_[[#This Row],[Value]]-F3297)/F3297</f>
        <v>-9.8490294751976917E-2</v>
      </c>
      <c r="H3298" t="e" cm="1" vm="1">
        <f t="array" aca="1" ref="H3298" ca="1">VLOOKUP(Cpi_[[#This Row],[Year]:[Month]],crudeoil[],3,FALSE)</f>
        <v>#VALUE!</v>
      </c>
    </row>
    <row r="3299" spans="1:8" hidden="1" x14ac:dyDescent="0.3">
      <c r="A3299" t="s">
        <v>34</v>
      </c>
      <c r="B3299">
        <v>2016</v>
      </c>
      <c r="C3299" t="s">
        <v>38</v>
      </c>
      <c r="D3299" t="s">
        <v>6</v>
      </c>
      <c r="E3299" t="e">
        <f>VLOOKUP(Cpi_[[#This Row],[Attribute]],#REF!,2,FALSE)</f>
        <v>#REF!</v>
      </c>
      <c r="F3299">
        <v>131.69999999999999</v>
      </c>
      <c r="G3299">
        <f>(Cpi_[[#This Row],[Value]]-F3298)/F3298</f>
        <v>5.0239234449760625E-2</v>
      </c>
      <c r="H3299" t="e" cm="1" vm="1">
        <f t="array" aca="1" ref="H3299" ca="1">VLOOKUP(Cpi_[[#This Row],[Year]:[Month]],crudeoil[],3,FALSE)</f>
        <v>#VALUE!</v>
      </c>
    </row>
    <row r="3300" spans="1:8" hidden="1" x14ac:dyDescent="0.3">
      <c r="A3300" t="s">
        <v>34</v>
      </c>
      <c r="B3300">
        <v>2016</v>
      </c>
      <c r="C3300" t="s">
        <v>38</v>
      </c>
      <c r="D3300" t="s">
        <v>7</v>
      </c>
      <c r="E3300" t="e">
        <f>VLOOKUP(Cpi_[[#This Row],[Attribute]],#REF!,2,FALSE)</f>
        <v>#REF!</v>
      </c>
      <c r="F3300">
        <v>115</v>
      </c>
      <c r="G3300">
        <f>(Cpi_[[#This Row],[Value]]-F3299)/F3299</f>
        <v>-0.12680334092634768</v>
      </c>
      <c r="H3300" t="e" cm="1" vm="1">
        <f t="array" aca="1" ref="H3300" ca="1">VLOOKUP(Cpi_[[#This Row],[Year]:[Month]],crudeoil[],3,FALSE)</f>
        <v>#VALUE!</v>
      </c>
    </row>
    <row r="3301" spans="1:8" hidden="1" x14ac:dyDescent="0.3">
      <c r="A3301" t="s">
        <v>34</v>
      </c>
      <c r="B3301">
        <v>2016</v>
      </c>
      <c r="C3301" t="s">
        <v>38</v>
      </c>
      <c r="D3301" t="s">
        <v>8</v>
      </c>
      <c r="E3301" t="e">
        <f>VLOOKUP(Cpi_[[#This Row],[Attribute]],#REF!,2,FALSE)</f>
        <v>#REF!</v>
      </c>
      <c r="F3301">
        <v>136</v>
      </c>
      <c r="G3301">
        <f>(Cpi_[[#This Row],[Value]]-F3300)/F3300</f>
        <v>0.18260869565217391</v>
      </c>
      <c r="H3301" t="e" cm="1" vm="1">
        <f t="array" aca="1" ref="H3301" ca="1">VLOOKUP(Cpi_[[#This Row],[Year]:[Month]],crudeoil[],3,FALSE)</f>
        <v>#VALUE!</v>
      </c>
    </row>
    <row r="3302" spans="1:8" hidden="1" x14ac:dyDescent="0.3">
      <c r="A3302" t="s">
        <v>34</v>
      </c>
      <c r="B3302">
        <v>2016</v>
      </c>
      <c r="C3302" t="s">
        <v>38</v>
      </c>
      <c r="D3302" t="s">
        <v>9</v>
      </c>
      <c r="E3302" t="e">
        <f>VLOOKUP(Cpi_[[#This Row],[Attribute]],#REF!,2,FALSE)</f>
        <v>#REF!</v>
      </c>
      <c r="F3302">
        <v>145.1</v>
      </c>
      <c r="G3302">
        <f>(Cpi_[[#This Row],[Value]]-F3301)/F3301</f>
        <v>6.691176470588231E-2</v>
      </c>
      <c r="H3302" t="e" cm="1" vm="1">
        <f t="array" aca="1" ref="H3302" ca="1">VLOOKUP(Cpi_[[#This Row],[Year]:[Month]],crudeoil[],3,FALSE)</f>
        <v>#VALUE!</v>
      </c>
    </row>
    <row r="3303" spans="1:8" hidden="1" x14ac:dyDescent="0.3">
      <c r="A3303" t="s">
        <v>34</v>
      </c>
      <c r="B3303">
        <v>2016</v>
      </c>
      <c r="C3303" t="s">
        <v>38</v>
      </c>
      <c r="D3303" t="s">
        <v>10</v>
      </c>
      <c r="E3303" t="e">
        <f>VLOOKUP(Cpi_[[#This Row],[Attribute]],#REF!,2,FALSE)</f>
        <v>#REF!</v>
      </c>
      <c r="F3303">
        <v>171.7</v>
      </c>
      <c r="G3303">
        <f>(Cpi_[[#This Row],[Value]]-F3302)/F3302</f>
        <v>0.1833218470020675</v>
      </c>
      <c r="H3303" t="e" cm="1" vm="1">
        <f t="array" aca="1" ref="H3303" ca="1">VLOOKUP(Cpi_[[#This Row],[Year]:[Month]],crudeoil[],3,FALSE)</f>
        <v>#VALUE!</v>
      </c>
    </row>
    <row r="3304" spans="1:8" hidden="1" x14ac:dyDescent="0.3">
      <c r="A3304" t="s">
        <v>34</v>
      </c>
      <c r="B3304">
        <v>2016</v>
      </c>
      <c r="C3304" t="s">
        <v>38</v>
      </c>
      <c r="D3304" t="s">
        <v>11</v>
      </c>
      <c r="E3304" t="e">
        <f>VLOOKUP(Cpi_[[#This Row],[Attribute]],#REF!,2,FALSE)</f>
        <v>#REF!</v>
      </c>
      <c r="F3304">
        <v>108.7</v>
      </c>
      <c r="G3304">
        <f>(Cpi_[[#This Row],[Value]]-F3303)/F3303</f>
        <v>-0.36691904484566096</v>
      </c>
      <c r="H3304" t="e" cm="1" vm="1">
        <f t="array" aca="1" ref="H3304" ca="1">VLOOKUP(Cpi_[[#This Row],[Year]:[Month]],crudeoil[],3,FALSE)</f>
        <v>#VALUE!</v>
      </c>
    </row>
    <row r="3305" spans="1:8" hidden="1" x14ac:dyDescent="0.3">
      <c r="A3305" t="s">
        <v>34</v>
      </c>
      <c r="B3305">
        <v>2016</v>
      </c>
      <c r="C3305" t="s">
        <v>38</v>
      </c>
      <c r="D3305" t="s">
        <v>12</v>
      </c>
      <c r="E3305" t="e">
        <f>VLOOKUP(Cpi_[[#This Row],[Attribute]],#REF!,2,FALSE)</f>
        <v>#REF!</v>
      </c>
      <c r="F3305">
        <v>135.30000000000001</v>
      </c>
      <c r="G3305">
        <f>(Cpi_[[#This Row],[Value]]-F3304)/F3304</f>
        <v>0.24471021159153641</v>
      </c>
      <c r="H3305" t="e" cm="1" vm="1">
        <f t="array" aca="1" ref="H3305" ca="1">VLOOKUP(Cpi_[[#This Row],[Year]:[Month]],crudeoil[],3,FALSE)</f>
        <v>#VALUE!</v>
      </c>
    </row>
    <row r="3306" spans="1:8" hidden="1" x14ac:dyDescent="0.3">
      <c r="A3306" t="s">
        <v>34</v>
      </c>
      <c r="B3306">
        <v>2016</v>
      </c>
      <c r="C3306" t="s">
        <v>38</v>
      </c>
      <c r="D3306" t="s">
        <v>13</v>
      </c>
      <c r="E3306" t="e">
        <f>VLOOKUP(Cpi_[[#This Row],[Attribute]],#REF!,2,FALSE)</f>
        <v>#REF!</v>
      </c>
      <c r="F3306">
        <v>124.2</v>
      </c>
      <c r="G3306">
        <f>(Cpi_[[#This Row],[Value]]-F3305)/F3305</f>
        <v>-8.2039911308204053E-2</v>
      </c>
      <c r="H3306" t="e" cm="1" vm="1">
        <f t="array" aca="1" ref="H3306" ca="1">VLOOKUP(Cpi_[[#This Row],[Year]:[Month]],crudeoil[],3,FALSE)</f>
        <v>#VALUE!</v>
      </c>
    </row>
    <row r="3307" spans="1:8" hidden="1" x14ac:dyDescent="0.3">
      <c r="A3307" t="s">
        <v>34</v>
      </c>
      <c r="B3307">
        <v>2016</v>
      </c>
      <c r="C3307" t="s">
        <v>38</v>
      </c>
      <c r="D3307" t="s">
        <v>14</v>
      </c>
      <c r="E3307" t="e">
        <f>VLOOKUP(Cpi_[[#This Row],[Attribute]],#REF!,2,FALSE)</f>
        <v>#REF!</v>
      </c>
      <c r="F3307">
        <v>137.4</v>
      </c>
      <c r="G3307">
        <f>(Cpi_[[#This Row],[Value]]-F3306)/F3306</f>
        <v>0.10628019323671499</v>
      </c>
      <c r="H3307" t="e" cm="1" vm="1">
        <f t="array" aca="1" ref="H3307" ca="1">VLOOKUP(Cpi_[[#This Row],[Year]:[Month]],crudeoil[],3,FALSE)</f>
        <v>#VALUE!</v>
      </c>
    </row>
    <row r="3308" spans="1:8" hidden="1" x14ac:dyDescent="0.3">
      <c r="A3308" t="s">
        <v>34</v>
      </c>
      <c r="B3308">
        <v>2016</v>
      </c>
      <c r="C3308" t="s">
        <v>38</v>
      </c>
      <c r="D3308" t="s">
        <v>15</v>
      </c>
      <c r="E3308" t="e">
        <f>VLOOKUP(Cpi_[[#This Row],[Attribute]],#REF!,2,FALSE)</f>
        <v>#REF!</v>
      </c>
      <c r="F3308">
        <v>134</v>
      </c>
      <c r="G3308">
        <f>(Cpi_[[#This Row],[Value]]-F3307)/F3307</f>
        <v>-2.4745269286754044E-2</v>
      </c>
      <c r="H3308" t="e" cm="1" vm="1">
        <f t="array" aca="1" ref="H3308" ca="1">VLOOKUP(Cpi_[[#This Row],[Year]:[Month]],crudeoil[],3,FALSE)</f>
        <v>#VALUE!</v>
      </c>
    </row>
    <row r="3309" spans="1:8" hidden="1" x14ac:dyDescent="0.3">
      <c r="A3309" t="s">
        <v>34</v>
      </c>
      <c r="B3309">
        <v>2016</v>
      </c>
      <c r="C3309" t="s">
        <v>38</v>
      </c>
      <c r="D3309" t="s">
        <v>16</v>
      </c>
      <c r="E3309" t="e">
        <f>VLOOKUP(Cpi_[[#This Row],[Attribute]],#REF!,2,FALSE)</f>
        <v>#REF!</v>
      </c>
      <c r="F3309">
        <v>137.69999999999999</v>
      </c>
      <c r="G3309">
        <f>(Cpi_[[#This Row],[Value]]-F3308)/F3308</f>
        <v>2.7611940298507377E-2</v>
      </c>
      <c r="H3309" t="e" cm="1" vm="1">
        <f t="array" aca="1" ref="H3309" ca="1">VLOOKUP(Cpi_[[#This Row],[Year]:[Month]],crudeoil[],3,FALSE)</f>
        <v>#VALUE!</v>
      </c>
    </row>
    <row r="3310" spans="1:8" hidden="1" x14ac:dyDescent="0.3">
      <c r="A3310" t="s">
        <v>34</v>
      </c>
      <c r="B3310">
        <v>2016</v>
      </c>
      <c r="C3310" t="s">
        <v>38</v>
      </c>
      <c r="D3310" t="s">
        <v>17</v>
      </c>
      <c r="E3310" t="e">
        <f>VLOOKUP(Cpi_[[#This Row],[Attribute]],#REF!,2,FALSE)</f>
        <v>#REF!</v>
      </c>
      <c r="F3310">
        <v>132.19999999999999</v>
      </c>
      <c r="G3310">
        <f>(Cpi_[[#This Row],[Value]]-F3309)/F3309</f>
        <v>-3.9941902687000728E-2</v>
      </c>
      <c r="H3310" t="e" cm="1" vm="1">
        <f t="array" aca="1" ref="H3310" ca="1">VLOOKUP(Cpi_[[#This Row],[Year]:[Month]],crudeoil[],3,FALSE)</f>
        <v>#VALUE!</v>
      </c>
    </row>
    <row r="3311" spans="1:8" hidden="1" x14ac:dyDescent="0.3">
      <c r="A3311" t="s">
        <v>34</v>
      </c>
      <c r="B3311">
        <v>2016</v>
      </c>
      <c r="C3311" t="s">
        <v>38</v>
      </c>
      <c r="D3311" t="s">
        <v>18</v>
      </c>
      <c r="E3311" t="e">
        <f>VLOOKUP(Cpi_[[#This Row],[Attribute]],#REF!,2,FALSE)</f>
        <v>#REF!</v>
      </c>
      <c r="F3311">
        <v>126.8</v>
      </c>
      <c r="G3311">
        <f>(Cpi_[[#This Row],[Value]]-F3310)/F3310</f>
        <v>-4.0847201210287384E-2</v>
      </c>
      <c r="H3311" t="e" cm="1" vm="1">
        <f t="array" aca="1" ref="H3311" ca="1">VLOOKUP(Cpi_[[#This Row],[Year]:[Month]],crudeoil[],3,FALSE)</f>
        <v>#VALUE!</v>
      </c>
    </row>
    <row r="3312" spans="1:8" hidden="1" x14ac:dyDescent="0.3">
      <c r="A3312" t="s">
        <v>34</v>
      </c>
      <c r="B3312">
        <v>2016</v>
      </c>
      <c r="C3312" t="s">
        <v>38</v>
      </c>
      <c r="D3312" t="s">
        <v>19</v>
      </c>
      <c r="E3312" t="e">
        <f>VLOOKUP(Cpi_[[#This Row],[Attribute]],#REF!,2,FALSE)</f>
        <v>#REF!</v>
      </c>
      <c r="F3312">
        <v>131.4</v>
      </c>
      <c r="G3312">
        <f>(Cpi_[[#This Row],[Value]]-F3311)/F3311</f>
        <v>3.6277602523659372E-2</v>
      </c>
      <c r="H3312" t="e" cm="1" vm="1">
        <f t="array" aca="1" ref="H3312" ca="1">VLOOKUP(Cpi_[[#This Row],[Year]:[Month]],crudeoil[],3,FALSE)</f>
        <v>#VALUE!</v>
      </c>
    </row>
    <row r="3313" spans="1:8" hidden="1" x14ac:dyDescent="0.3">
      <c r="A3313" t="s">
        <v>34</v>
      </c>
      <c r="B3313">
        <v>2016</v>
      </c>
      <c r="C3313" t="s">
        <v>38</v>
      </c>
      <c r="D3313" t="s">
        <v>20</v>
      </c>
      <c r="E3313" t="e">
        <f>VLOOKUP(Cpi_[[#This Row],[Attribute]],#REF!,2,FALSE)</f>
        <v>#REF!</v>
      </c>
      <c r="F3313">
        <v>126</v>
      </c>
      <c r="G3313">
        <f>(Cpi_[[#This Row],[Value]]-F3312)/F3312</f>
        <v>-4.1095890410958943E-2</v>
      </c>
      <c r="H3313" t="e" cm="1" vm="1">
        <f t="array" aca="1" ref="H3313" ca="1">VLOOKUP(Cpi_[[#This Row],[Year]:[Month]],crudeoil[],3,FALSE)</f>
        <v>#VALUE!</v>
      </c>
    </row>
    <row r="3314" spans="1:8" hidden="1" x14ac:dyDescent="0.3">
      <c r="A3314" t="s">
        <v>34</v>
      </c>
      <c r="B3314">
        <v>2016</v>
      </c>
      <c r="C3314" t="s">
        <v>38</v>
      </c>
      <c r="D3314" t="s">
        <v>21</v>
      </c>
      <c r="E3314" t="e">
        <f>VLOOKUP(Cpi_[[#This Row],[Attribute]],#REF!,2,FALSE)</f>
        <v>#REF!</v>
      </c>
      <c r="F3314">
        <v>122.7</v>
      </c>
      <c r="G3314">
        <f>(Cpi_[[#This Row],[Value]]-F3313)/F3313</f>
        <v>-2.6190476190476167E-2</v>
      </c>
      <c r="H3314" t="e" cm="1" vm="1">
        <f t="array" aca="1" ref="H3314" ca="1">VLOOKUP(Cpi_[[#This Row],[Year]:[Month]],crudeoil[],3,FALSE)</f>
        <v>#VALUE!</v>
      </c>
    </row>
    <row r="3315" spans="1:8" hidden="1" x14ac:dyDescent="0.3">
      <c r="A3315" t="s">
        <v>34</v>
      </c>
      <c r="B3315">
        <v>2016</v>
      </c>
      <c r="C3315" t="s">
        <v>38</v>
      </c>
      <c r="D3315" t="s">
        <v>22</v>
      </c>
      <c r="E3315" t="e">
        <f>VLOOKUP(Cpi_[[#This Row],[Attribute]],#REF!,2,FALSE)</f>
        <v>#REF!</v>
      </c>
      <c r="F3315">
        <v>126</v>
      </c>
      <c r="G3315">
        <f>(Cpi_[[#This Row],[Value]]-F3314)/F3314</f>
        <v>2.6894865525672346E-2</v>
      </c>
      <c r="H3315" t="e" cm="1" vm="1">
        <f t="array" aca="1" ref="H3315" ca="1">VLOOKUP(Cpi_[[#This Row],[Year]:[Month]],crudeoil[],3,FALSE)</f>
        <v>#VALUE!</v>
      </c>
    </row>
    <row r="3316" spans="1:8" hidden="1" x14ac:dyDescent="0.3">
      <c r="A3316" t="s">
        <v>34</v>
      </c>
      <c r="B3316">
        <v>2016</v>
      </c>
      <c r="C3316" t="s">
        <v>38</v>
      </c>
      <c r="D3316" t="s">
        <v>23</v>
      </c>
      <c r="E3316" t="e">
        <f>VLOOKUP(Cpi_[[#This Row],[Attribute]],#REF!,2,FALSE)</f>
        <v>#REF!</v>
      </c>
      <c r="F3316">
        <v>123.7</v>
      </c>
      <c r="G3316">
        <f>(Cpi_[[#This Row],[Value]]-F3315)/F3315</f>
        <v>-1.8253968253968231E-2</v>
      </c>
      <c r="H3316" t="e" cm="1" vm="1">
        <f t="array" aca="1" ref="H3316" ca="1">VLOOKUP(Cpi_[[#This Row],[Year]:[Month]],crudeoil[],3,FALSE)</f>
        <v>#VALUE!</v>
      </c>
    </row>
    <row r="3317" spans="1:8" hidden="1" x14ac:dyDescent="0.3">
      <c r="A3317" t="s">
        <v>34</v>
      </c>
      <c r="B3317">
        <v>2016</v>
      </c>
      <c r="C3317" t="s">
        <v>38</v>
      </c>
      <c r="D3317" t="s">
        <v>24</v>
      </c>
      <c r="E3317" t="e">
        <f>VLOOKUP(Cpi_[[#This Row],[Attribute]],#REF!,2,FALSE)</f>
        <v>#REF!</v>
      </c>
      <c r="F3317">
        <v>112.8</v>
      </c>
      <c r="G3317">
        <f>(Cpi_[[#This Row],[Value]]-F3316)/F3316</f>
        <v>-8.8116410670978224E-2</v>
      </c>
      <c r="H3317" t="e" cm="1" vm="1">
        <f t="array" aca="1" ref="H3317" ca="1">VLOOKUP(Cpi_[[#This Row],[Year]:[Month]],crudeoil[],3,FALSE)</f>
        <v>#VALUE!</v>
      </c>
    </row>
    <row r="3318" spans="1:8" hidden="1" x14ac:dyDescent="0.3">
      <c r="A3318" t="s">
        <v>34</v>
      </c>
      <c r="B3318">
        <v>2016</v>
      </c>
      <c r="C3318" t="s">
        <v>38</v>
      </c>
      <c r="D3318" t="s">
        <v>25</v>
      </c>
      <c r="E3318" t="e">
        <f>VLOOKUP(Cpi_[[#This Row],[Attribute]],#REF!,2,FALSE)</f>
        <v>#REF!</v>
      </c>
      <c r="F3318">
        <v>121.5</v>
      </c>
      <c r="G3318">
        <f>(Cpi_[[#This Row],[Value]]-F3317)/F3317</f>
        <v>7.7127659574468113E-2</v>
      </c>
      <c r="H3318" t="e" cm="1" vm="1">
        <f t="array" aca="1" ref="H3318" ca="1">VLOOKUP(Cpi_[[#This Row],[Year]:[Month]],crudeoil[],3,FALSE)</f>
        <v>#VALUE!</v>
      </c>
    </row>
    <row r="3319" spans="1:8" hidden="1" x14ac:dyDescent="0.3">
      <c r="A3319" t="s">
        <v>34</v>
      </c>
      <c r="B3319">
        <v>2016</v>
      </c>
      <c r="C3319" t="s">
        <v>38</v>
      </c>
      <c r="D3319" t="s">
        <v>26</v>
      </c>
      <c r="E3319" t="e">
        <f>VLOOKUP(Cpi_[[#This Row],[Attribute]],#REF!,2,FALSE)</f>
        <v>#REF!</v>
      </c>
      <c r="F3319">
        <v>128.5</v>
      </c>
      <c r="G3319">
        <f>(Cpi_[[#This Row],[Value]]-F3318)/F3318</f>
        <v>5.7613168724279837E-2</v>
      </c>
      <c r="H3319" t="e" cm="1" vm="1">
        <f t="array" aca="1" ref="H3319" ca="1">VLOOKUP(Cpi_[[#This Row],[Year]:[Month]],crudeoil[],3,FALSE)</f>
        <v>#VALUE!</v>
      </c>
    </row>
    <row r="3320" spans="1:8" hidden="1" x14ac:dyDescent="0.3">
      <c r="A3320" t="s">
        <v>34</v>
      </c>
      <c r="B3320">
        <v>2016</v>
      </c>
      <c r="C3320" t="s">
        <v>38</v>
      </c>
      <c r="D3320" t="s">
        <v>27</v>
      </c>
      <c r="E3320" t="e">
        <f>VLOOKUP(Cpi_[[#This Row],[Attribute]],#REF!,2,FALSE)</f>
        <v>#REF!</v>
      </c>
      <c r="F3320">
        <v>119.2</v>
      </c>
      <c r="G3320">
        <f>(Cpi_[[#This Row],[Value]]-F3319)/F3319</f>
        <v>-7.2373540856031107E-2</v>
      </c>
      <c r="H3320" t="e" cm="1" vm="1">
        <f t="array" aca="1" ref="H3320" ca="1">VLOOKUP(Cpi_[[#This Row],[Year]:[Month]],crudeoil[],3,FALSE)</f>
        <v>#VALUE!</v>
      </c>
    </row>
    <row r="3321" spans="1:8" hidden="1" x14ac:dyDescent="0.3">
      <c r="A3321" t="s">
        <v>34</v>
      </c>
      <c r="B3321">
        <v>2016</v>
      </c>
      <c r="C3321" t="s">
        <v>38</v>
      </c>
      <c r="D3321" t="s">
        <v>28</v>
      </c>
      <c r="E3321" t="e">
        <f>VLOOKUP(Cpi_[[#This Row],[Attribute]],#REF!,2,FALSE)</f>
        <v>#REF!</v>
      </c>
      <c r="F3321">
        <v>120.7</v>
      </c>
      <c r="G3321">
        <f>(Cpi_[[#This Row],[Value]]-F3320)/F3320</f>
        <v>1.2583892617449664E-2</v>
      </c>
      <c r="H3321" t="e" cm="1" vm="1">
        <f t="array" aca="1" ref="H3321" ca="1">VLOOKUP(Cpi_[[#This Row],[Year]:[Month]],crudeoil[],3,FALSE)</f>
        <v>#VALUE!</v>
      </c>
    </row>
    <row r="3322" spans="1:8" hidden="1" x14ac:dyDescent="0.3">
      <c r="A3322" t="s">
        <v>34</v>
      </c>
      <c r="B3322">
        <v>2016</v>
      </c>
      <c r="C3322" t="s">
        <v>38</v>
      </c>
      <c r="D3322" t="s">
        <v>29</v>
      </c>
      <c r="E3322" t="e" cm="1">
        <f t="array" aca="1" ref="E3322" ca="1">VLGeneral indexGeneral indexKUP(Cpi_[[#This Row],[Attribute]],#REF!,2,FALSE)</f>
        <v>#NAME?</v>
      </c>
      <c r="F3322">
        <v>128.6</v>
      </c>
      <c r="G3322">
        <f>(Cpi_[[#This Row],[Value]]-F3321)/F3321</f>
        <v>6.5451532725766287E-2</v>
      </c>
      <c r="H3322" t="e" cm="1" vm="1">
        <f t="array" aca="1" ref="H3322" ca="1">VLOOKUP(Cpi_[[#This Row],[Year]:[Month]],crudeoil[],3,FALSE)</f>
        <v>#VALUE!</v>
      </c>
    </row>
    <row r="3323" spans="1:8" hidden="1" x14ac:dyDescent="0.3">
      <c r="A3323" t="s">
        <v>30</v>
      </c>
      <c r="B3323">
        <v>2016</v>
      </c>
      <c r="C3323" t="s">
        <v>39</v>
      </c>
      <c r="D3323" t="s">
        <v>3</v>
      </c>
      <c r="E3323" t="e">
        <f>VLOOKUP(Cpi_[[#This Row],[Attribute]],#REF!,2,FALSE)</f>
        <v>#REF!</v>
      </c>
      <c r="F3323">
        <v>128.6</v>
      </c>
      <c r="G3323">
        <f>(Cpi_[[#This Row],[Value]]-F3322)/F3322</f>
        <v>0</v>
      </c>
      <c r="H3323" t="e" cm="1" vm="1">
        <f t="array" aca="1" ref="H3323" ca="1">VLOOKUP(Cpi_[[#This Row],[Year]:[Month]],crudeoil[],3,FALSE)</f>
        <v>#VALUE!</v>
      </c>
    </row>
    <row r="3324" spans="1:8" hidden="1" x14ac:dyDescent="0.3">
      <c r="A3324" t="s">
        <v>30</v>
      </c>
      <c r="B3324">
        <v>2016</v>
      </c>
      <c r="C3324" t="s">
        <v>39</v>
      </c>
      <c r="D3324" t="s">
        <v>4</v>
      </c>
      <c r="E3324" t="e">
        <f>VLOOKUP(Cpi_[[#This Row],[Attribute]],#REF!,2,FALSE)</f>
        <v>#REF!</v>
      </c>
      <c r="F3324">
        <v>138.6</v>
      </c>
      <c r="G3324">
        <f>(Cpi_[[#This Row],[Value]]-F3323)/F3323</f>
        <v>7.7760497667185069E-2</v>
      </c>
      <c r="H3324" t="e" cm="1" vm="1">
        <f t="array" aca="1" ref="H3324" ca="1">VLOOKUP(Cpi_[[#This Row],[Year]:[Month]],crudeoil[],3,FALSE)</f>
        <v>#VALUE!</v>
      </c>
    </row>
    <row r="3325" spans="1:8" hidden="1" x14ac:dyDescent="0.3">
      <c r="A3325" t="s">
        <v>30</v>
      </c>
      <c r="B3325">
        <v>2016</v>
      </c>
      <c r="C3325" t="s">
        <v>39</v>
      </c>
      <c r="D3325" t="s">
        <v>5</v>
      </c>
      <c r="E3325" t="e">
        <f>VLOOKUP(Cpi_[[#This Row],[Attribute]],#REF!,2,FALSE)</f>
        <v>#REF!</v>
      </c>
      <c r="F3325">
        <v>126.6</v>
      </c>
      <c r="G3325">
        <f>(Cpi_[[#This Row],[Value]]-F3324)/F3324</f>
        <v>-8.658008658008659E-2</v>
      </c>
      <c r="H3325" t="e" cm="1" vm="1">
        <f t="array" aca="1" ref="H3325" ca="1">VLOOKUP(Cpi_[[#This Row],[Year]:[Month]],crudeoil[],3,FALSE)</f>
        <v>#VALUE!</v>
      </c>
    </row>
    <row r="3326" spans="1:8" hidden="1" x14ac:dyDescent="0.3">
      <c r="A3326" t="s">
        <v>30</v>
      </c>
      <c r="B3326">
        <v>2016</v>
      </c>
      <c r="C3326" t="s">
        <v>39</v>
      </c>
      <c r="D3326" t="s">
        <v>6</v>
      </c>
      <c r="E3326" t="e">
        <f>VLOOKUP(Cpi_[[#This Row],[Attribute]],#REF!,2,FALSE)</f>
        <v>#REF!</v>
      </c>
      <c r="F3326">
        <v>133.6</v>
      </c>
      <c r="G3326">
        <f>(Cpi_[[#This Row],[Value]]-F3325)/F3325</f>
        <v>5.5292259083728278E-2</v>
      </c>
      <c r="H3326" t="e" cm="1" vm="1">
        <f t="array" aca="1" ref="H3326" ca="1">VLOOKUP(Cpi_[[#This Row],[Year]:[Month]],crudeoil[],3,FALSE)</f>
        <v>#VALUE!</v>
      </c>
    </row>
    <row r="3327" spans="1:8" hidden="1" x14ac:dyDescent="0.3">
      <c r="A3327" t="s">
        <v>30</v>
      </c>
      <c r="B3327">
        <v>2016</v>
      </c>
      <c r="C3327" t="s">
        <v>39</v>
      </c>
      <c r="D3327" t="s">
        <v>7</v>
      </c>
      <c r="E3327" t="e">
        <f>VLOOKUP(Cpi_[[#This Row],[Attribute]],#REF!,2,FALSE)</f>
        <v>#REF!</v>
      </c>
      <c r="F3327">
        <v>118.6</v>
      </c>
      <c r="G3327">
        <f>(Cpi_[[#This Row],[Value]]-F3326)/F3326</f>
        <v>-0.11227544910179642</v>
      </c>
      <c r="H3327" t="e" cm="1" vm="1">
        <f t="array" aca="1" ref="H3327" ca="1">VLOOKUP(Cpi_[[#This Row],[Year]:[Month]],crudeoil[],3,FALSE)</f>
        <v>#VALUE!</v>
      </c>
    </row>
    <row r="3328" spans="1:8" hidden="1" x14ac:dyDescent="0.3">
      <c r="A3328" t="s">
        <v>30</v>
      </c>
      <c r="B3328">
        <v>2016</v>
      </c>
      <c r="C3328" t="s">
        <v>39</v>
      </c>
      <c r="D3328" t="s">
        <v>8</v>
      </c>
      <c r="E3328" t="e">
        <f>VLOOKUP(Cpi_[[#This Row],[Attribute]],#REF!,2,FALSE)</f>
        <v>#REF!</v>
      </c>
      <c r="F3328">
        <v>137.4</v>
      </c>
      <c r="G3328">
        <f>(Cpi_[[#This Row],[Value]]-F3327)/F3327</f>
        <v>0.1585160202360878</v>
      </c>
      <c r="H3328" t="e" cm="1" vm="1">
        <f t="array" aca="1" ref="H3328" ca="1">VLOOKUP(Cpi_[[#This Row],[Year]:[Month]],crudeoil[],3,FALSE)</f>
        <v>#VALUE!</v>
      </c>
    </row>
    <row r="3329" spans="1:8" hidden="1" x14ac:dyDescent="0.3">
      <c r="A3329" t="s">
        <v>30</v>
      </c>
      <c r="B3329">
        <v>2016</v>
      </c>
      <c r="C3329" t="s">
        <v>39</v>
      </c>
      <c r="D3329" t="s">
        <v>9</v>
      </c>
      <c r="E3329" t="e">
        <f>VLOOKUP(Cpi_[[#This Row],[Attribute]],#REF!,2,FALSE)</f>
        <v>#REF!</v>
      </c>
      <c r="F3329">
        <v>152.5</v>
      </c>
      <c r="G3329">
        <f>(Cpi_[[#This Row],[Value]]-F3328)/F3328</f>
        <v>0.10989810771470156</v>
      </c>
      <c r="H3329" t="e" cm="1" vm="1">
        <f t="array" aca="1" ref="H3329" ca="1">VLOOKUP(Cpi_[[#This Row],[Year]:[Month]],crudeoil[],3,FALSE)</f>
        <v>#VALUE!</v>
      </c>
    </row>
    <row r="3330" spans="1:8" hidden="1" x14ac:dyDescent="0.3">
      <c r="A3330" t="s">
        <v>30</v>
      </c>
      <c r="B3330">
        <v>2016</v>
      </c>
      <c r="C3330" t="s">
        <v>39</v>
      </c>
      <c r="D3330" t="s">
        <v>10</v>
      </c>
      <c r="E3330" t="e">
        <f>VLOOKUP(Cpi_[[#This Row],[Attribute]],#REF!,2,FALSE)</f>
        <v>#REF!</v>
      </c>
      <c r="F3330">
        <v>169.2</v>
      </c>
      <c r="G3330">
        <f>(Cpi_[[#This Row],[Value]]-F3329)/F3329</f>
        <v>0.1095081967213114</v>
      </c>
      <c r="H3330" t="e" cm="1" vm="1">
        <f t="array" aca="1" ref="H3330" ca="1">VLOOKUP(Cpi_[[#This Row],[Year]:[Month]],crudeoil[],3,FALSE)</f>
        <v>#VALUE!</v>
      </c>
    </row>
    <row r="3331" spans="1:8" hidden="1" x14ac:dyDescent="0.3">
      <c r="A3331" t="s">
        <v>30</v>
      </c>
      <c r="B3331">
        <v>2016</v>
      </c>
      <c r="C3331" t="s">
        <v>39</v>
      </c>
      <c r="D3331" t="s">
        <v>11</v>
      </c>
      <c r="E3331" t="e">
        <f>VLOOKUP(Cpi_[[#This Row],[Attribute]],#REF!,2,FALSE)</f>
        <v>#REF!</v>
      </c>
      <c r="F3331">
        <v>108.8</v>
      </c>
      <c r="G3331">
        <f>(Cpi_[[#This Row],[Value]]-F3330)/F3330</f>
        <v>-0.35697399527186757</v>
      </c>
      <c r="H3331" t="e" cm="1" vm="1">
        <f t="array" aca="1" ref="H3331" ca="1">VLOOKUP(Cpi_[[#This Row],[Year]:[Month]],crudeoil[],3,FALSE)</f>
        <v>#VALUE!</v>
      </c>
    </row>
    <row r="3332" spans="1:8" hidden="1" x14ac:dyDescent="0.3">
      <c r="A3332" t="s">
        <v>30</v>
      </c>
      <c r="B3332">
        <v>2016</v>
      </c>
      <c r="C3332" t="s">
        <v>39</v>
      </c>
      <c r="D3332" t="s">
        <v>12</v>
      </c>
      <c r="E3332" t="e">
        <f>VLOOKUP(Cpi_[[#This Row],[Attribute]],#REF!,2,FALSE)</f>
        <v>#REF!</v>
      </c>
      <c r="F3332">
        <v>133.1</v>
      </c>
      <c r="G3332">
        <f>(Cpi_[[#This Row],[Value]]-F3331)/F3331</f>
        <v>0.2233455882352941</v>
      </c>
      <c r="H3332" t="e" cm="1" vm="1">
        <f t="array" aca="1" ref="H3332" ca="1">VLOOKUP(Cpi_[[#This Row],[Year]:[Month]],crudeoil[],3,FALSE)</f>
        <v>#VALUE!</v>
      </c>
    </row>
    <row r="3333" spans="1:8" hidden="1" x14ac:dyDescent="0.3">
      <c r="A3333" t="s">
        <v>30</v>
      </c>
      <c r="B3333">
        <v>2016</v>
      </c>
      <c r="C3333" t="s">
        <v>39</v>
      </c>
      <c r="D3333" t="s">
        <v>13</v>
      </c>
      <c r="E3333" t="e">
        <f>VLOOKUP(Cpi_[[#This Row],[Attribute]],#REF!,2,FALSE)</f>
        <v>#REF!</v>
      </c>
      <c r="F3333">
        <v>126.4</v>
      </c>
      <c r="G3333">
        <f>(Cpi_[[#This Row],[Value]]-F3332)/F3332</f>
        <v>-5.0338091660405627E-2</v>
      </c>
      <c r="H3333" t="e" cm="1" vm="1">
        <f t="array" aca="1" ref="H3333" ca="1">VLOOKUP(Cpi_[[#This Row],[Year]:[Month]],crudeoil[],3,FALSE)</f>
        <v>#VALUE!</v>
      </c>
    </row>
    <row r="3334" spans="1:8" hidden="1" x14ac:dyDescent="0.3">
      <c r="A3334" t="s">
        <v>30</v>
      </c>
      <c r="B3334">
        <v>2016</v>
      </c>
      <c r="C3334" t="s">
        <v>39</v>
      </c>
      <c r="D3334" t="s">
        <v>14</v>
      </c>
      <c r="E3334" t="e">
        <f>VLOOKUP(Cpi_[[#This Row],[Attribute]],#REF!,2,FALSE)</f>
        <v>#REF!</v>
      </c>
      <c r="F3334">
        <v>139.19999999999999</v>
      </c>
      <c r="G3334">
        <f>(Cpi_[[#This Row],[Value]]-F3333)/F3333</f>
        <v>0.10126582278480999</v>
      </c>
      <c r="H3334" t="e" cm="1" vm="1">
        <f t="array" aca="1" ref="H3334" ca="1">VLOOKUP(Cpi_[[#This Row],[Year]:[Month]],crudeoil[],3,FALSE)</f>
        <v>#VALUE!</v>
      </c>
    </row>
    <row r="3335" spans="1:8" hidden="1" x14ac:dyDescent="0.3">
      <c r="A3335" t="s">
        <v>30</v>
      </c>
      <c r="B3335">
        <v>2016</v>
      </c>
      <c r="C3335" t="s">
        <v>39</v>
      </c>
      <c r="D3335" t="s">
        <v>15</v>
      </c>
      <c r="E3335" t="e">
        <f>VLOOKUP(Cpi_[[#This Row],[Attribute]],#REF!,2,FALSE)</f>
        <v>#REF!</v>
      </c>
      <c r="F3335">
        <v>136</v>
      </c>
      <c r="G3335">
        <f>(Cpi_[[#This Row],[Value]]-F3334)/F3334</f>
        <v>-2.2988505747126357E-2</v>
      </c>
      <c r="H3335" t="e" cm="1" vm="1">
        <f t="array" aca="1" ref="H3335" ca="1">VLOOKUP(Cpi_[[#This Row],[Year]:[Month]],crudeoil[],3,FALSE)</f>
        <v>#VALUE!</v>
      </c>
    </row>
    <row r="3336" spans="1:8" hidden="1" x14ac:dyDescent="0.3">
      <c r="A3336" t="s">
        <v>30</v>
      </c>
      <c r="B3336">
        <v>2016</v>
      </c>
      <c r="C3336" t="s">
        <v>39</v>
      </c>
      <c r="D3336" t="s">
        <v>16</v>
      </c>
      <c r="E3336" t="e">
        <f>VLOOKUP(Cpi_[[#This Row],[Attribute]],#REF!,2,FALSE)</f>
        <v>#REF!</v>
      </c>
      <c r="F3336">
        <v>137.19999999999999</v>
      </c>
      <c r="G3336">
        <f>(Cpi_[[#This Row],[Value]]-F3335)/F3335</f>
        <v>8.8235294117646225E-3</v>
      </c>
      <c r="H3336" t="e" cm="1" vm="1">
        <f t="array" aca="1" ref="H3336" ca="1">VLOOKUP(Cpi_[[#This Row],[Year]:[Month]],crudeoil[],3,FALSE)</f>
        <v>#VALUE!</v>
      </c>
    </row>
    <row r="3337" spans="1:8" hidden="1" x14ac:dyDescent="0.3">
      <c r="A3337" t="s">
        <v>30</v>
      </c>
      <c r="B3337">
        <v>2016</v>
      </c>
      <c r="C3337" t="s">
        <v>39</v>
      </c>
      <c r="D3337" t="s">
        <v>17</v>
      </c>
      <c r="E3337" t="e">
        <f>VLOOKUP(Cpi_[[#This Row],[Attribute]],#REF!,2,FALSE)</f>
        <v>#REF!</v>
      </c>
      <c r="F3337">
        <v>136.30000000000001</v>
      </c>
      <c r="G3337">
        <f>(Cpi_[[#This Row],[Value]]-F3336)/F3336</f>
        <v>-6.5597667638482311E-3</v>
      </c>
      <c r="H3337" t="e" cm="1" vm="1">
        <f t="array" aca="1" ref="H3337" ca="1">VLOOKUP(Cpi_[[#This Row],[Year]:[Month]],crudeoil[],3,FALSE)</f>
        <v>#VALUE!</v>
      </c>
    </row>
    <row r="3338" spans="1:8" hidden="1" x14ac:dyDescent="0.3">
      <c r="A3338" t="s">
        <v>30</v>
      </c>
      <c r="B3338">
        <v>2016</v>
      </c>
      <c r="C3338" t="s">
        <v>39</v>
      </c>
      <c r="D3338" t="s">
        <v>18</v>
      </c>
      <c r="E3338" t="e">
        <f>VLOOKUP(Cpi_[[#This Row],[Attribute]],#REF!,2,FALSE)</f>
        <v>#REF!</v>
      </c>
      <c r="F3338">
        <v>131.6</v>
      </c>
      <c r="G3338">
        <f>(Cpi_[[#This Row],[Value]]-F3337)/F3337</f>
        <v>-3.448275862068978E-2</v>
      </c>
      <c r="H3338" t="e" cm="1" vm="1">
        <f t="array" aca="1" ref="H3338" ca="1">VLOOKUP(Cpi_[[#This Row],[Year]:[Month]],crudeoil[],3,FALSE)</f>
        <v>#VALUE!</v>
      </c>
    </row>
    <row r="3339" spans="1:8" hidden="1" x14ac:dyDescent="0.3">
      <c r="A3339" t="s">
        <v>30</v>
      </c>
      <c r="B3339">
        <v>2016</v>
      </c>
      <c r="C3339" t="s">
        <v>39</v>
      </c>
      <c r="D3339" t="s">
        <v>19</v>
      </c>
      <c r="E3339" t="e">
        <f>VLOOKUP(Cpi_[[#This Row],[Attribute]],#REF!,2,FALSE)</f>
        <v>#REF!</v>
      </c>
      <c r="F3339">
        <v>135.6</v>
      </c>
      <c r="G3339">
        <f>(Cpi_[[#This Row],[Value]]-F3338)/F3338</f>
        <v>3.0395136778115502E-2</v>
      </c>
      <c r="H3339" t="e" cm="1" vm="1">
        <f t="array" aca="1" ref="H3339" ca="1">VLOOKUP(Cpi_[[#This Row],[Year]:[Month]],crudeoil[],3,FALSE)</f>
        <v>#VALUE!</v>
      </c>
    </row>
    <row r="3340" spans="1:8" hidden="1" x14ac:dyDescent="0.3">
      <c r="A3340" t="s">
        <v>30</v>
      </c>
      <c r="B3340">
        <v>2016</v>
      </c>
      <c r="C3340" t="s">
        <v>39</v>
      </c>
      <c r="D3340" t="s">
        <v>20</v>
      </c>
      <c r="E3340" t="e">
        <f>VLOOKUP(Cpi_[[#This Row],[Attribute]],#REF!,2,FALSE)</f>
        <v>#REF!</v>
      </c>
      <c r="F3340" t="s">
        <v>32</v>
      </c>
      <c r="G3340" t="e">
        <f>(Cpi_[[#This Row],[Value]]-F3339)/F3339</f>
        <v>#VALUE!</v>
      </c>
      <c r="H3340" t="e" cm="1" vm="1">
        <f t="array" aca="1" ref="H3340" ca="1">VLOOKUP(Cpi_[[#This Row],[Year]:[Month]],crudeoil[],3,FALSE)</f>
        <v>#VALUE!</v>
      </c>
    </row>
    <row r="3341" spans="1:8" hidden="1" x14ac:dyDescent="0.3">
      <c r="A3341" t="s">
        <v>30</v>
      </c>
      <c r="B3341">
        <v>2016</v>
      </c>
      <c r="C3341" t="s">
        <v>39</v>
      </c>
      <c r="D3341" t="s">
        <v>21</v>
      </c>
      <c r="E3341" t="e">
        <f>VLOOKUP(Cpi_[[#This Row],[Attribute]],#REF!,2,FALSE)</f>
        <v>#REF!</v>
      </c>
      <c r="F3341">
        <v>128</v>
      </c>
      <c r="G3341" t="e">
        <f>(Cpi_[[#This Row],[Value]]-F3340)/F3340</f>
        <v>#VALUE!</v>
      </c>
      <c r="H3341" t="e" cm="1" vm="1">
        <f t="array" aca="1" ref="H3341" ca="1">VLOOKUP(Cpi_[[#This Row],[Year]:[Month]],crudeoil[],3,FALSE)</f>
        <v>#VALUE!</v>
      </c>
    </row>
    <row r="3342" spans="1:8" hidden="1" x14ac:dyDescent="0.3">
      <c r="A3342" t="s">
        <v>30</v>
      </c>
      <c r="B3342">
        <v>2016</v>
      </c>
      <c r="C3342" t="s">
        <v>39</v>
      </c>
      <c r="D3342" t="s">
        <v>22</v>
      </c>
      <c r="E3342" t="e">
        <f>VLOOKUP(Cpi_[[#This Row],[Attribute]],#REF!,2,FALSE)</f>
        <v>#REF!</v>
      </c>
      <c r="F3342">
        <v>129.30000000000001</v>
      </c>
      <c r="G3342">
        <f>(Cpi_[[#This Row],[Value]]-F3341)/F3341</f>
        <v>1.0156250000000089E-2</v>
      </c>
      <c r="H3342" t="e" cm="1" vm="1">
        <f t="array" aca="1" ref="H3342" ca="1">VLOOKUP(Cpi_[[#This Row],[Year]:[Month]],crudeoil[],3,FALSE)</f>
        <v>#VALUE!</v>
      </c>
    </row>
    <row r="3343" spans="1:8" hidden="1" x14ac:dyDescent="0.3">
      <c r="A3343" t="s">
        <v>30</v>
      </c>
      <c r="B3343">
        <v>2016</v>
      </c>
      <c r="C3343" t="s">
        <v>39</v>
      </c>
      <c r="D3343" t="s">
        <v>23</v>
      </c>
      <c r="E3343" t="e">
        <f>VLOOKUP(Cpi_[[#This Row],[Attribute]],#REF!,2,FALSE)</f>
        <v>#REF!</v>
      </c>
      <c r="F3343">
        <v>126.2</v>
      </c>
      <c r="G3343">
        <f>(Cpi_[[#This Row],[Value]]-F3342)/F3342</f>
        <v>-2.3975251353441671E-2</v>
      </c>
      <c r="H3343" t="e" cm="1" vm="1">
        <f t="array" aca="1" ref="H3343" ca="1">VLOOKUP(Cpi_[[#This Row],[Year]:[Month]],crudeoil[],3,FALSE)</f>
        <v>#VALUE!</v>
      </c>
    </row>
    <row r="3344" spans="1:8" hidden="1" x14ac:dyDescent="0.3">
      <c r="A3344" t="s">
        <v>30</v>
      </c>
      <c r="B3344">
        <v>2016</v>
      </c>
      <c r="C3344" t="s">
        <v>39</v>
      </c>
      <c r="D3344" t="s">
        <v>24</v>
      </c>
      <c r="E3344" t="e">
        <f>VLOOKUP(Cpi_[[#This Row],[Attribute]],#REF!,2,FALSE)</f>
        <v>#REF!</v>
      </c>
      <c r="F3344">
        <v>116.3</v>
      </c>
      <c r="G3344">
        <f>(Cpi_[[#This Row],[Value]]-F3343)/F3343</f>
        <v>-7.8446909667194975E-2</v>
      </c>
      <c r="H3344" t="e" cm="1" vm="1">
        <f t="array" aca="1" ref="H3344" ca="1">VLOOKUP(Cpi_[[#This Row],[Year]:[Month]],crudeoil[],3,FALSE)</f>
        <v>#VALUE!</v>
      </c>
    </row>
    <row r="3345" spans="1:8" hidden="1" x14ac:dyDescent="0.3">
      <c r="A3345" t="s">
        <v>30</v>
      </c>
      <c r="B3345">
        <v>2016</v>
      </c>
      <c r="C3345" t="s">
        <v>39</v>
      </c>
      <c r="D3345" t="s">
        <v>25</v>
      </c>
      <c r="E3345" t="e">
        <f>VLOOKUP(Cpi_[[#This Row],[Attribute]],#REF!,2,FALSE)</f>
        <v>#REF!</v>
      </c>
      <c r="F3345">
        <v>124.1</v>
      </c>
      <c r="G3345">
        <f>(Cpi_[[#This Row],[Value]]-F3344)/F3344</f>
        <v>6.7067927773000843E-2</v>
      </c>
      <c r="H3345" t="e" cm="1" vm="1">
        <f t="array" aca="1" ref="H3345" ca="1">VLOOKUP(Cpi_[[#This Row],[Year]:[Month]],crudeoil[],3,FALSE)</f>
        <v>#VALUE!</v>
      </c>
    </row>
    <row r="3346" spans="1:8" hidden="1" x14ac:dyDescent="0.3">
      <c r="A3346" t="s">
        <v>30</v>
      </c>
      <c r="B3346">
        <v>2016</v>
      </c>
      <c r="C3346" t="s">
        <v>39</v>
      </c>
      <c r="D3346" t="s">
        <v>26</v>
      </c>
      <c r="E3346" t="e">
        <f>VLOOKUP(Cpi_[[#This Row],[Attribute]],#REF!,2,FALSE)</f>
        <v>#REF!</v>
      </c>
      <c r="F3346">
        <v>130.19999999999999</v>
      </c>
      <c r="G3346">
        <f>(Cpi_[[#This Row],[Value]]-F3345)/F3345</f>
        <v>4.9153908138597859E-2</v>
      </c>
      <c r="H3346" t="e" cm="1" vm="1">
        <f t="array" aca="1" ref="H3346" ca="1">VLOOKUP(Cpi_[[#This Row],[Year]:[Month]],crudeoil[],3,FALSE)</f>
        <v>#VALUE!</v>
      </c>
    </row>
    <row r="3347" spans="1:8" hidden="1" x14ac:dyDescent="0.3">
      <c r="A3347" t="s">
        <v>30</v>
      </c>
      <c r="B3347">
        <v>2016</v>
      </c>
      <c r="C3347" t="s">
        <v>39</v>
      </c>
      <c r="D3347" t="s">
        <v>27</v>
      </c>
      <c r="E3347" t="e">
        <f>VLOOKUP(Cpi_[[#This Row],[Attribute]],#REF!,2,FALSE)</f>
        <v>#REF!</v>
      </c>
      <c r="F3347">
        <v>119.9</v>
      </c>
      <c r="G3347">
        <f>(Cpi_[[#This Row],[Value]]-F3346)/F3346</f>
        <v>-7.9109062980030592E-2</v>
      </c>
      <c r="H3347" t="e" cm="1" vm="1">
        <f t="array" aca="1" ref="H3347" ca="1">VLOOKUP(Cpi_[[#This Row],[Year]:[Month]],crudeoil[],3,FALSE)</f>
        <v>#VALUE!</v>
      </c>
    </row>
    <row r="3348" spans="1:8" hidden="1" x14ac:dyDescent="0.3">
      <c r="A3348" t="s">
        <v>30</v>
      </c>
      <c r="B3348">
        <v>2016</v>
      </c>
      <c r="C3348" t="s">
        <v>39</v>
      </c>
      <c r="D3348" t="s">
        <v>28</v>
      </c>
      <c r="E3348" t="e">
        <f>VLOOKUP(Cpi_[[#This Row],[Attribute]],#REF!,2,FALSE)</f>
        <v>#REF!</v>
      </c>
      <c r="F3348">
        <v>123.3</v>
      </c>
      <c r="G3348">
        <f>(Cpi_[[#This Row],[Value]]-F3347)/F3347</f>
        <v>2.8356964136780578E-2</v>
      </c>
      <c r="H3348" t="e" cm="1" vm="1">
        <f t="array" aca="1" ref="H3348" ca="1">VLOOKUP(Cpi_[[#This Row],[Year]:[Month]],crudeoil[],3,FALSE)</f>
        <v>#VALUE!</v>
      </c>
    </row>
    <row r="3349" spans="1:8" hidden="1" x14ac:dyDescent="0.3">
      <c r="A3349" t="s">
        <v>30</v>
      </c>
      <c r="B3349">
        <v>2016</v>
      </c>
      <c r="C3349" t="s">
        <v>39</v>
      </c>
      <c r="D3349" t="s">
        <v>29</v>
      </c>
      <c r="E3349" t="e" cm="1">
        <f t="array" aca="1" ref="E3349" ca="1">VLGeneral indexGeneral indexKUP(Cpi_[[#This Row],[Attribute]],#REF!,2,FALSE)</f>
        <v>#NAME?</v>
      </c>
      <c r="F3349">
        <v>131.9</v>
      </c>
      <c r="G3349">
        <f>(Cpi_[[#This Row],[Value]]-F3348)/F3348</f>
        <v>6.9748580697485879E-2</v>
      </c>
      <c r="H3349" t="e" cm="1" vm="1">
        <f t="array" aca="1" ref="H3349" ca="1">VLOOKUP(Cpi_[[#This Row],[Year]:[Month]],crudeoil[],3,FALSE)</f>
        <v>#VALUE!</v>
      </c>
    </row>
    <row r="3350" spans="1:8" hidden="1" x14ac:dyDescent="0.3">
      <c r="A3350" t="s">
        <v>33</v>
      </c>
      <c r="B3350">
        <v>2016</v>
      </c>
      <c r="C3350" t="s">
        <v>39</v>
      </c>
      <c r="D3350" t="s">
        <v>3</v>
      </c>
      <c r="E3350" t="e">
        <f>VLOOKUP(Cpi_[[#This Row],[Attribute]],#REF!,2,FALSE)</f>
        <v>#REF!</v>
      </c>
      <c r="F3350">
        <v>125.9</v>
      </c>
      <c r="G3350">
        <f>(Cpi_[[#This Row],[Value]]-F3349)/F3349</f>
        <v>-4.5489006823351025E-2</v>
      </c>
      <c r="H3350" t="e" cm="1" vm="1">
        <f t="array" aca="1" ref="H3350" ca="1">VLOOKUP(Cpi_[[#This Row],[Year]:[Month]],crudeoil[],3,FALSE)</f>
        <v>#VALUE!</v>
      </c>
    </row>
    <row r="3351" spans="1:8" hidden="1" x14ac:dyDescent="0.3">
      <c r="A3351" t="s">
        <v>33</v>
      </c>
      <c r="B3351">
        <v>2016</v>
      </c>
      <c r="C3351" t="s">
        <v>39</v>
      </c>
      <c r="D3351" t="s">
        <v>4</v>
      </c>
      <c r="E3351" t="e">
        <f>VLOOKUP(Cpi_[[#This Row],[Attribute]],#REF!,2,FALSE)</f>
        <v>#REF!</v>
      </c>
      <c r="F3351">
        <v>143.9</v>
      </c>
      <c r="G3351">
        <f>(Cpi_[[#This Row],[Value]]-F3350)/F3350</f>
        <v>0.14297061159650515</v>
      </c>
      <c r="H3351" t="e" cm="1" vm="1">
        <f t="array" aca="1" ref="H3351" ca="1">VLOOKUP(Cpi_[[#This Row],[Year]:[Month]],crudeoil[],3,FALSE)</f>
        <v>#VALUE!</v>
      </c>
    </row>
    <row r="3352" spans="1:8" hidden="1" x14ac:dyDescent="0.3">
      <c r="A3352" t="s">
        <v>33</v>
      </c>
      <c r="B3352">
        <v>2016</v>
      </c>
      <c r="C3352" t="s">
        <v>39</v>
      </c>
      <c r="D3352" t="s">
        <v>5</v>
      </c>
      <c r="E3352" t="e">
        <f>VLOOKUP(Cpi_[[#This Row],[Attribute]],#REF!,2,FALSE)</f>
        <v>#REF!</v>
      </c>
      <c r="F3352">
        <v>130.9</v>
      </c>
      <c r="G3352">
        <f>(Cpi_[[#This Row],[Value]]-F3351)/F3351</f>
        <v>-9.0340514246004172E-2</v>
      </c>
      <c r="H3352" t="e" cm="1" vm="1">
        <f t="array" aca="1" ref="H3352" ca="1">VLOOKUP(Cpi_[[#This Row],[Year]:[Month]],crudeoil[],3,FALSE)</f>
        <v>#VALUE!</v>
      </c>
    </row>
    <row r="3353" spans="1:8" hidden="1" x14ac:dyDescent="0.3">
      <c r="A3353" t="s">
        <v>33</v>
      </c>
      <c r="B3353">
        <v>2016</v>
      </c>
      <c r="C3353" t="s">
        <v>39</v>
      </c>
      <c r="D3353" t="s">
        <v>6</v>
      </c>
      <c r="E3353" t="e">
        <f>VLOOKUP(Cpi_[[#This Row],[Attribute]],#REF!,2,FALSE)</f>
        <v>#REF!</v>
      </c>
      <c r="F3353">
        <v>131</v>
      </c>
      <c r="G3353">
        <f>(Cpi_[[#This Row],[Value]]-F3352)/F3352</f>
        <v>7.6394194041248516E-4</v>
      </c>
      <c r="H3353" t="e" cm="1" vm="1">
        <f t="array" aca="1" ref="H3353" ca="1">VLOOKUP(Cpi_[[#This Row],[Year]:[Month]],crudeoil[],3,FALSE)</f>
        <v>#VALUE!</v>
      </c>
    </row>
    <row r="3354" spans="1:8" hidden="1" x14ac:dyDescent="0.3">
      <c r="A3354" t="s">
        <v>33</v>
      </c>
      <c r="B3354">
        <v>2016</v>
      </c>
      <c r="C3354" t="s">
        <v>39</v>
      </c>
      <c r="D3354" t="s">
        <v>7</v>
      </c>
      <c r="E3354" t="e">
        <f>VLOOKUP(Cpi_[[#This Row],[Attribute]],#REF!,2,FALSE)</f>
        <v>#REF!</v>
      </c>
      <c r="F3354">
        <v>110.2</v>
      </c>
      <c r="G3354">
        <f>(Cpi_[[#This Row],[Value]]-F3353)/F3353</f>
        <v>-0.15877862595419845</v>
      </c>
      <c r="H3354" t="e" cm="1" vm="1">
        <f t="array" aca="1" ref="H3354" ca="1">VLOOKUP(Cpi_[[#This Row],[Year]:[Month]],crudeoil[],3,FALSE)</f>
        <v>#VALUE!</v>
      </c>
    </row>
    <row r="3355" spans="1:8" hidden="1" x14ac:dyDescent="0.3">
      <c r="A3355" t="s">
        <v>33</v>
      </c>
      <c r="B3355">
        <v>2016</v>
      </c>
      <c r="C3355" t="s">
        <v>39</v>
      </c>
      <c r="D3355" t="s">
        <v>8</v>
      </c>
      <c r="E3355" t="e">
        <f>VLOOKUP(Cpi_[[#This Row],[Attribute]],#REF!,2,FALSE)</f>
        <v>#REF!</v>
      </c>
      <c r="F3355">
        <v>135.5</v>
      </c>
      <c r="G3355">
        <f>(Cpi_[[#This Row],[Value]]-F3354)/F3354</f>
        <v>0.22958257713248637</v>
      </c>
      <c r="H3355" t="e" cm="1" vm="1">
        <f t="array" aca="1" ref="H3355" ca="1">VLOOKUP(Cpi_[[#This Row],[Year]:[Month]],crudeoil[],3,FALSE)</f>
        <v>#VALUE!</v>
      </c>
    </row>
    <row r="3356" spans="1:8" hidden="1" x14ac:dyDescent="0.3">
      <c r="A3356" t="s">
        <v>33</v>
      </c>
      <c r="B3356">
        <v>2016</v>
      </c>
      <c r="C3356" t="s">
        <v>39</v>
      </c>
      <c r="D3356" t="s">
        <v>9</v>
      </c>
      <c r="E3356" t="e">
        <f>VLOOKUP(Cpi_[[#This Row],[Attribute]],#REF!,2,FALSE)</f>
        <v>#REF!</v>
      </c>
      <c r="F3356">
        <v>173.7</v>
      </c>
      <c r="G3356">
        <f>(Cpi_[[#This Row],[Value]]-F3355)/F3355</f>
        <v>0.28191881918819178</v>
      </c>
      <c r="H3356" t="e" cm="1" vm="1">
        <f t="array" aca="1" ref="H3356" ca="1">VLOOKUP(Cpi_[[#This Row],[Year]:[Month]],crudeoil[],3,FALSE)</f>
        <v>#VALUE!</v>
      </c>
    </row>
    <row r="3357" spans="1:8" hidden="1" x14ac:dyDescent="0.3">
      <c r="A3357" t="s">
        <v>33</v>
      </c>
      <c r="B3357">
        <v>2016</v>
      </c>
      <c r="C3357" t="s">
        <v>39</v>
      </c>
      <c r="D3357" t="s">
        <v>10</v>
      </c>
      <c r="E3357" t="e">
        <f>VLOOKUP(Cpi_[[#This Row],[Attribute]],#REF!,2,FALSE)</f>
        <v>#REF!</v>
      </c>
      <c r="F3357">
        <v>184.4</v>
      </c>
      <c r="G3357">
        <f>(Cpi_[[#This Row],[Value]]-F3356)/F3356</f>
        <v>6.1600460564191238E-2</v>
      </c>
      <c r="H3357" t="e" cm="1" vm="1">
        <f t="array" aca="1" ref="H3357" ca="1">VLOOKUP(Cpi_[[#This Row],[Year]:[Month]],crudeoil[],3,FALSE)</f>
        <v>#VALUE!</v>
      </c>
    </row>
    <row r="3358" spans="1:8" hidden="1" x14ac:dyDescent="0.3">
      <c r="A3358" t="s">
        <v>33</v>
      </c>
      <c r="B3358">
        <v>2016</v>
      </c>
      <c r="C3358" t="s">
        <v>39</v>
      </c>
      <c r="D3358" t="s">
        <v>11</v>
      </c>
      <c r="E3358" t="e">
        <f>VLOOKUP(Cpi_[[#This Row],[Attribute]],#REF!,2,FALSE)</f>
        <v>#REF!</v>
      </c>
      <c r="F3358">
        <v>112</v>
      </c>
      <c r="G3358">
        <f>(Cpi_[[#This Row],[Value]]-F3357)/F3357</f>
        <v>-0.3926247288503254</v>
      </c>
      <c r="H3358" t="e" cm="1" vm="1">
        <f t="array" aca="1" ref="H3358" ca="1">VLOOKUP(Cpi_[[#This Row],[Year]:[Month]],crudeoil[],3,FALSE)</f>
        <v>#VALUE!</v>
      </c>
    </row>
    <row r="3359" spans="1:8" hidden="1" x14ac:dyDescent="0.3">
      <c r="A3359" t="s">
        <v>33</v>
      </c>
      <c r="B3359">
        <v>2016</v>
      </c>
      <c r="C3359" t="s">
        <v>39</v>
      </c>
      <c r="D3359" t="s">
        <v>12</v>
      </c>
      <c r="E3359" t="e">
        <f>VLOOKUP(Cpi_[[#This Row],[Attribute]],#REF!,2,FALSE)</f>
        <v>#REF!</v>
      </c>
      <c r="F3359">
        <v>142.80000000000001</v>
      </c>
      <c r="G3359">
        <f>(Cpi_[[#This Row],[Value]]-F3358)/F3358</f>
        <v>0.27500000000000008</v>
      </c>
      <c r="H3359" t="e" cm="1" vm="1">
        <f t="array" aca="1" ref="H3359" ca="1">VLOOKUP(Cpi_[[#This Row],[Year]:[Month]],crudeoil[],3,FALSE)</f>
        <v>#VALUE!</v>
      </c>
    </row>
    <row r="3360" spans="1:8" hidden="1" x14ac:dyDescent="0.3">
      <c r="A3360" t="s">
        <v>33</v>
      </c>
      <c r="B3360">
        <v>2016</v>
      </c>
      <c r="C3360" t="s">
        <v>39</v>
      </c>
      <c r="D3360" t="s">
        <v>13</v>
      </c>
      <c r="E3360" t="e">
        <f>VLOOKUP(Cpi_[[#This Row],[Attribute]],#REF!,2,FALSE)</f>
        <v>#REF!</v>
      </c>
      <c r="F3360">
        <v>121.6</v>
      </c>
      <c r="G3360">
        <f>(Cpi_[[#This Row],[Value]]-F3359)/F3359</f>
        <v>-0.14845938375350151</v>
      </c>
      <c r="H3360" t="e" cm="1" vm="1">
        <f t="array" aca="1" ref="H3360" ca="1">VLOOKUP(Cpi_[[#This Row],[Year]:[Month]],crudeoil[],3,FALSE)</f>
        <v>#VALUE!</v>
      </c>
    </row>
    <row r="3361" spans="1:8" hidden="1" x14ac:dyDescent="0.3">
      <c r="A3361" t="s">
        <v>33</v>
      </c>
      <c r="B3361">
        <v>2016</v>
      </c>
      <c r="C3361" t="s">
        <v>39</v>
      </c>
      <c r="D3361" t="s">
        <v>14</v>
      </c>
      <c r="E3361" t="e">
        <f>VLOOKUP(Cpi_[[#This Row],[Attribute]],#REF!,2,FALSE)</f>
        <v>#REF!</v>
      </c>
      <c r="F3361">
        <v>136.9</v>
      </c>
      <c r="G3361">
        <f>(Cpi_[[#This Row],[Value]]-F3360)/F3360</f>
        <v>0.12582236842105274</v>
      </c>
      <c r="H3361" t="e" cm="1" vm="1">
        <f t="array" aca="1" ref="H3361" ca="1">VLOOKUP(Cpi_[[#This Row],[Year]:[Month]],crudeoil[],3,FALSE)</f>
        <v>#VALUE!</v>
      </c>
    </row>
    <row r="3362" spans="1:8" hidden="1" x14ac:dyDescent="0.3">
      <c r="A3362" t="s">
        <v>33</v>
      </c>
      <c r="B3362">
        <v>2016</v>
      </c>
      <c r="C3362" t="s">
        <v>39</v>
      </c>
      <c r="D3362" t="s">
        <v>15</v>
      </c>
      <c r="E3362" t="e">
        <f>VLOOKUP(Cpi_[[#This Row],[Attribute]],#REF!,2,FALSE)</f>
        <v>#REF!</v>
      </c>
      <c r="F3362">
        <v>138.19999999999999</v>
      </c>
      <c r="G3362">
        <f>(Cpi_[[#This Row],[Value]]-F3361)/F3361</f>
        <v>9.4959824689553173E-3</v>
      </c>
      <c r="H3362" t="e" cm="1" vm="1">
        <f t="array" aca="1" ref="H3362" ca="1">VLOOKUP(Cpi_[[#This Row],[Year]:[Month]],crudeoil[],3,FALSE)</f>
        <v>#VALUE!</v>
      </c>
    </row>
    <row r="3363" spans="1:8" hidden="1" x14ac:dyDescent="0.3">
      <c r="A3363" t="s">
        <v>33</v>
      </c>
      <c r="B3363">
        <v>2016</v>
      </c>
      <c r="C3363" t="s">
        <v>39</v>
      </c>
      <c r="D3363" t="s">
        <v>16</v>
      </c>
      <c r="E3363" t="e">
        <f>VLOOKUP(Cpi_[[#This Row],[Attribute]],#REF!,2,FALSE)</f>
        <v>#REF!</v>
      </c>
      <c r="F3363">
        <v>142.69999999999999</v>
      </c>
      <c r="G3363">
        <f>(Cpi_[[#This Row],[Value]]-F3362)/F3362</f>
        <v>3.2561505065123016E-2</v>
      </c>
      <c r="H3363" t="e" cm="1" vm="1">
        <f t="array" aca="1" ref="H3363" ca="1">VLOOKUP(Cpi_[[#This Row],[Year]:[Month]],crudeoil[],3,FALSE)</f>
        <v>#VALUE!</v>
      </c>
    </row>
    <row r="3364" spans="1:8" hidden="1" x14ac:dyDescent="0.3">
      <c r="A3364" t="s">
        <v>33</v>
      </c>
      <c r="B3364">
        <v>2016</v>
      </c>
      <c r="C3364" t="s">
        <v>39</v>
      </c>
      <c r="D3364" t="s">
        <v>17</v>
      </c>
      <c r="E3364" t="e">
        <f>VLOOKUP(Cpi_[[#This Row],[Attribute]],#REF!,2,FALSE)</f>
        <v>#REF!</v>
      </c>
      <c r="F3364">
        <v>127.6</v>
      </c>
      <c r="G3364">
        <f>(Cpi_[[#This Row],[Value]]-F3363)/F3363</f>
        <v>-0.1058163980378416</v>
      </c>
      <c r="H3364" t="e" cm="1" vm="1">
        <f t="array" aca="1" ref="H3364" ca="1">VLOOKUP(Cpi_[[#This Row],[Year]:[Month]],crudeoil[],3,FALSE)</f>
        <v>#VALUE!</v>
      </c>
    </row>
    <row r="3365" spans="1:8" hidden="1" x14ac:dyDescent="0.3">
      <c r="A3365" t="s">
        <v>33</v>
      </c>
      <c r="B3365">
        <v>2016</v>
      </c>
      <c r="C3365" t="s">
        <v>39</v>
      </c>
      <c r="D3365" t="s">
        <v>18</v>
      </c>
      <c r="E3365" t="e">
        <f>VLOOKUP(Cpi_[[#This Row],[Attribute]],#REF!,2,FALSE)</f>
        <v>#REF!</v>
      </c>
      <c r="F3365">
        <v>121.1</v>
      </c>
      <c r="G3365">
        <f>(Cpi_[[#This Row],[Value]]-F3364)/F3364</f>
        <v>-5.0940438871473356E-2</v>
      </c>
      <c r="H3365" t="e" cm="1" vm="1">
        <f t="array" aca="1" ref="H3365" ca="1">VLOOKUP(Cpi_[[#This Row],[Year]:[Month]],crudeoil[],3,FALSE)</f>
        <v>#VALUE!</v>
      </c>
    </row>
    <row r="3366" spans="1:8" hidden="1" x14ac:dyDescent="0.3">
      <c r="A3366" t="s">
        <v>33</v>
      </c>
      <c r="B3366">
        <v>2016</v>
      </c>
      <c r="C3366" t="s">
        <v>39</v>
      </c>
      <c r="D3366" t="s">
        <v>19</v>
      </c>
      <c r="E3366" t="e">
        <f>VLOOKUP(Cpi_[[#This Row],[Attribute]],#REF!,2,FALSE)</f>
        <v>#REF!</v>
      </c>
      <c r="F3366">
        <v>126.6</v>
      </c>
      <c r="G3366">
        <f>(Cpi_[[#This Row],[Value]]-F3365)/F3365</f>
        <v>4.5417010734929812E-2</v>
      </c>
      <c r="H3366" t="e" cm="1" vm="1">
        <f t="array" aca="1" ref="H3366" ca="1">VLOOKUP(Cpi_[[#This Row],[Year]:[Month]],crudeoil[],3,FALSE)</f>
        <v>#VALUE!</v>
      </c>
    </row>
    <row r="3367" spans="1:8" hidden="1" x14ac:dyDescent="0.3">
      <c r="A3367" t="s">
        <v>33</v>
      </c>
      <c r="B3367">
        <v>2016</v>
      </c>
      <c r="C3367" t="s">
        <v>39</v>
      </c>
      <c r="D3367" t="s">
        <v>20</v>
      </c>
      <c r="E3367" t="e">
        <f>VLOOKUP(Cpi_[[#This Row],[Attribute]],#REF!,2,FALSE)</f>
        <v>#REF!</v>
      </c>
      <c r="F3367">
        <v>125.5</v>
      </c>
      <c r="G3367">
        <f>(Cpi_[[#This Row],[Value]]-F3366)/F3366</f>
        <v>-8.688783570300113E-3</v>
      </c>
      <c r="H3367" t="e" cm="1" vm="1">
        <f t="array" aca="1" ref="H3367" ca="1">VLOOKUP(Cpi_[[#This Row],[Year]:[Month]],crudeoil[],3,FALSE)</f>
        <v>#VALUE!</v>
      </c>
    </row>
    <row r="3368" spans="1:8" hidden="1" x14ac:dyDescent="0.3">
      <c r="A3368" t="s">
        <v>33</v>
      </c>
      <c r="B3368">
        <v>2016</v>
      </c>
      <c r="C3368" t="s">
        <v>39</v>
      </c>
      <c r="D3368" t="s">
        <v>21</v>
      </c>
      <c r="E3368" t="e">
        <f>VLOOKUP(Cpi_[[#This Row],[Attribute]],#REF!,2,FALSE)</f>
        <v>#REF!</v>
      </c>
      <c r="F3368">
        <v>115.5</v>
      </c>
      <c r="G3368">
        <f>(Cpi_[[#This Row],[Value]]-F3367)/F3367</f>
        <v>-7.9681274900398405E-2</v>
      </c>
      <c r="H3368" t="e" cm="1" vm="1">
        <f t="array" aca="1" ref="H3368" ca="1">VLOOKUP(Cpi_[[#This Row],[Year]:[Month]],crudeoil[],3,FALSE)</f>
        <v>#VALUE!</v>
      </c>
    </row>
    <row r="3369" spans="1:8" hidden="1" x14ac:dyDescent="0.3">
      <c r="A3369" t="s">
        <v>33</v>
      </c>
      <c r="B3369">
        <v>2016</v>
      </c>
      <c r="C3369" t="s">
        <v>39</v>
      </c>
      <c r="D3369" t="s">
        <v>22</v>
      </c>
      <c r="E3369" t="e">
        <f>VLOOKUP(Cpi_[[#This Row],[Attribute]],#REF!,2,FALSE)</f>
        <v>#REF!</v>
      </c>
      <c r="F3369">
        <v>123.2</v>
      </c>
      <c r="G3369">
        <f>(Cpi_[[#This Row],[Value]]-F3368)/F3368</f>
        <v>6.6666666666666693E-2</v>
      </c>
      <c r="H3369" t="e" cm="1" vm="1">
        <f t="array" aca="1" ref="H3369" ca="1">VLOOKUP(Cpi_[[#This Row],[Year]:[Month]],crudeoil[],3,FALSE)</f>
        <v>#VALUE!</v>
      </c>
    </row>
    <row r="3370" spans="1:8" hidden="1" x14ac:dyDescent="0.3">
      <c r="A3370" t="s">
        <v>33</v>
      </c>
      <c r="B3370">
        <v>2016</v>
      </c>
      <c r="C3370" t="s">
        <v>39</v>
      </c>
      <c r="D3370" t="s">
        <v>23</v>
      </c>
      <c r="E3370" t="e">
        <f>VLOOKUP(Cpi_[[#This Row],[Attribute]],#REF!,2,FALSE)</f>
        <v>#REF!</v>
      </c>
      <c r="F3370">
        <v>120.6</v>
      </c>
      <c r="G3370">
        <f>(Cpi_[[#This Row],[Value]]-F3369)/F3369</f>
        <v>-2.1103896103896173E-2</v>
      </c>
      <c r="H3370" t="e" cm="1" vm="1">
        <f t="array" aca="1" ref="H3370" ca="1">VLOOKUP(Cpi_[[#This Row],[Year]:[Month]],crudeoil[],3,FALSE)</f>
        <v>#VALUE!</v>
      </c>
    </row>
    <row r="3371" spans="1:8" hidden="1" x14ac:dyDescent="0.3">
      <c r="A3371" t="s">
        <v>33</v>
      </c>
      <c r="B3371">
        <v>2016</v>
      </c>
      <c r="C3371" t="s">
        <v>39</v>
      </c>
      <c r="D3371" t="s">
        <v>24</v>
      </c>
      <c r="E3371" t="e">
        <f>VLOOKUP(Cpi_[[#This Row],[Attribute]],#REF!,2,FALSE)</f>
        <v>#REF!</v>
      </c>
      <c r="F3371">
        <v>112.3</v>
      </c>
      <c r="G3371">
        <f>(Cpi_[[#This Row],[Value]]-F3370)/F3370</f>
        <v>-6.8822553897180741E-2</v>
      </c>
      <c r="H3371" t="e" cm="1" vm="1">
        <f t="array" aca="1" ref="H3371" ca="1">VLOOKUP(Cpi_[[#This Row],[Year]:[Month]],crudeoil[],3,FALSE)</f>
        <v>#VALUE!</v>
      </c>
    </row>
    <row r="3372" spans="1:8" hidden="1" x14ac:dyDescent="0.3">
      <c r="A3372" t="s">
        <v>33</v>
      </c>
      <c r="B3372">
        <v>2016</v>
      </c>
      <c r="C3372" t="s">
        <v>39</v>
      </c>
      <c r="D3372" t="s">
        <v>25</v>
      </c>
      <c r="E3372" t="e">
        <f>VLOOKUP(Cpi_[[#This Row],[Attribute]],#REF!,2,FALSE)</f>
        <v>#REF!</v>
      </c>
      <c r="F3372">
        <v>119.9</v>
      </c>
      <c r="G3372">
        <f>(Cpi_[[#This Row],[Value]]-F3371)/F3371</f>
        <v>6.7675868210151452E-2</v>
      </c>
      <c r="H3372" t="e" cm="1" vm="1">
        <f t="array" aca="1" ref="H3372" ca="1">VLOOKUP(Cpi_[[#This Row],[Year]:[Month]],crudeoil[],3,FALSE)</f>
        <v>#VALUE!</v>
      </c>
    </row>
    <row r="3373" spans="1:8" hidden="1" x14ac:dyDescent="0.3">
      <c r="A3373" t="s">
        <v>33</v>
      </c>
      <c r="B3373">
        <v>2016</v>
      </c>
      <c r="C3373" t="s">
        <v>39</v>
      </c>
      <c r="D3373" t="s">
        <v>26</v>
      </c>
      <c r="E3373" t="e">
        <f>VLOOKUP(Cpi_[[#This Row],[Attribute]],#REF!,2,FALSE)</f>
        <v>#REF!</v>
      </c>
      <c r="F3373">
        <v>129.30000000000001</v>
      </c>
      <c r="G3373">
        <f>(Cpi_[[#This Row],[Value]]-F3372)/F3372</f>
        <v>7.8398665554628905E-2</v>
      </c>
      <c r="H3373" t="e" cm="1" vm="1">
        <f t="array" aca="1" ref="H3373" ca="1">VLOOKUP(Cpi_[[#This Row],[Year]:[Month]],crudeoil[],3,FALSE)</f>
        <v>#VALUE!</v>
      </c>
    </row>
    <row r="3374" spans="1:8" hidden="1" x14ac:dyDescent="0.3">
      <c r="A3374" t="s">
        <v>33</v>
      </c>
      <c r="B3374">
        <v>2016</v>
      </c>
      <c r="C3374" t="s">
        <v>39</v>
      </c>
      <c r="D3374" t="s">
        <v>27</v>
      </c>
      <c r="E3374" t="e">
        <f>VLOOKUP(Cpi_[[#This Row],[Attribute]],#REF!,2,FALSE)</f>
        <v>#REF!</v>
      </c>
      <c r="F3374">
        <v>118.8</v>
      </c>
      <c r="G3374">
        <f>(Cpi_[[#This Row],[Value]]-F3373)/F3373</f>
        <v>-8.1206496519721685E-2</v>
      </c>
      <c r="H3374" t="e" cm="1" vm="1">
        <f t="array" aca="1" ref="H3374" ca="1">VLOOKUP(Cpi_[[#This Row],[Year]:[Month]],crudeoil[],3,FALSE)</f>
        <v>#VALUE!</v>
      </c>
    </row>
    <row r="3375" spans="1:8" hidden="1" x14ac:dyDescent="0.3">
      <c r="A3375" t="s">
        <v>33</v>
      </c>
      <c r="B3375">
        <v>2016</v>
      </c>
      <c r="C3375" t="s">
        <v>39</v>
      </c>
      <c r="D3375" t="s">
        <v>28</v>
      </c>
      <c r="E3375" t="e">
        <f>VLOOKUP(Cpi_[[#This Row],[Attribute]],#REF!,2,FALSE)</f>
        <v>#REF!</v>
      </c>
      <c r="F3375">
        <v>119.6</v>
      </c>
      <c r="G3375">
        <f>(Cpi_[[#This Row],[Value]]-F3374)/F3374</f>
        <v>6.7340067340067103E-3</v>
      </c>
      <c r="H3375" t="e" cm="1" vm="1">
        <f t="array" aca="1" ref="H3375" ca="1">VLOOKUP(Cpi_[[#This Row],[Year]:[Month]],crudeoil[],3,FALSE)</f>
        <v>#VALUE!</v>
      </c>
    </row>
    <row r="3376" spans="1:8" hidden="1" x14ac:dyDescent="0.3">
      <c r="A3376" t="s">
        <v>33</v>
      </c>
      <c r="B3376">
        <v>2016</v>
      </c>
      <c r="C3376" t="s">
        <v>39</v>
      </c>
      <c r="D3376" t="s">
        <v>29</v>
      </c>
      <c r="E3376" t="e" cm="1">
        <f t="array" aca="1" ref="E3376" ca="1">VLGeneral indexGeneral indexKUP(Cpi_[[#This Row],[Attribute]],#REF!,2,FALSE)</f>
        <v>#NAME?</v>
      </c>
      <c r="F3376">
        <v>128.1</v>
      </c>
      <c r="G3376">
        <f>(Cpi_[[#This Row],[Value]]-F3375)/F3375</f>
        <v>7.1070234113712383E-2</v>
      </c>
      <c r="H3376" t="e" cm="1" vm="1">
        <f t="array" aca="1" ref="H3376" ca="1">VLOOKUP(Cpi_[[#This Row],[Year]:[Month]],crudeoil[],3,FALSE)</f>
        <v>#VALUE!</v>
      </c>
    </row>
    <row r="3377" spans="1:8" hidden="1" x14ac:dyDescent="0.3">
      <c r="A3377" t="s">
        <v>34</v>
      </c>
      <c r="B3377">
        <v>2016</v>
      </c>
      <c r="C3377" t="s">
        <v>39</v>
      </c>
      <c r="D3377" t="s">
        <v>3</v>
      </c>
      <c r="E3377" t="e">
        <f>VLOOKUP(Cpi_[[#This Row],[Attribute]],#REF!,2,FALSE)</f>
        <v>#REF!</v>
      </c>
      <c r="F3377">
        <v>127.7</v>
      </c>
      <c r="G3377">
        <f>(Cpi_[[#This Row],[Value]]-F3376)/F3376</f>
        <v>-3.1225604996096136E-3</v>
      </c>
      <c r="H3377" t="e" cm="1" vm="1">
        <f t="array" aca="1" ref="H3377" ca="1">VLOOKUP(Cpi_[[#This Row],[Year]:[Month]],crudeoil[],3,FALSE)</f>
        <v>#VALUE!</v>
      </c>
    </row>
    <row r="3378" spans="1:8" hidden="1" x14ac:dyDescent="0.3">
      <c r="A3378" t="s">
        <v>34</v>
      </c>
      <c r="B3378">
        <v>2016</v>
      </c>
      <c r="C3378" t="s">
        <v>39</v>
      </c>
      <c r="D3378" t="s">
        <v>4</v>
      </c>
      <c r="E3378" t="e">
        <f>VLOOKUP(Cpi_[[#This Row],[Attribute]],#REF!,2,FALSE)</f>
        <v>#REF!</v>
      </c>
      <c r="F3378">
        <v>140.5</v>
      </c>
      <c r="G3378">
        <f>(Cpi_[[#This Row],[Value]]-F3377)/F3377</f>
        <v>0.10023492560689112</v>
      </c>
      <c r="H3378" t="e" cm="1" vm="1">
        <f t="array" aca="1" ref="H3378" ca="1">VLOOKUP(Cpi_[[#This Row],[Year]:[Month]],crudeoil[],3,FALSE)</f>
        <v>#VALUE!</v>
      </c>
    </row>
    <row r="3379" spans="1:8" hidden="1" x14ac:dyDescent="0.3">
      <c r="A3379" t="s">
        <v>34</v>
      </c>
      <c r="B3379">
        <v>2016</v>
      </c>
      <c r="C3379" t="s">
        <v>39</v>
      </c>
      <c r="D3379" t="s">
        <v>5</v>
      </c>
      <c r="E3379" t="e">
        <f>VLOOKUP(Cpi_[[#This Row],[Attribute]],#REF!,2,FALSE)</f>
        <v>#REF!</v>
      </c>
      <c r="F3379">
        <v>128.30000000000001</v>
      </c>
      <c r="G3379">
        <f>(Cpi_[[#This Row],[Value]]-F3378)/F3378</f>
        <v>-8.6832740213523052E-2</v>
      </c>
      <c r="H3379" t="e" cm="1" vm="1">
        <f t="array" aca="1" ref="H3379" ca="1">VLOOKUP(Cpi_[[#This Row],[Year]:[Month]],crudeoil[],3,FALSE)</f>
        <v>#VALUE!</v>
      </c>
    </row>
    <row r="3380" spans="1:8" hidden="1" x14ac:dyDescent="0.3">
      <c r="A3380" t="s">
        <v>34</v>
      </c>
      <c r="B3380">
        <v>2016</v>
      </c>
      <c r="C3380" t="s">
        <v>39</v>
      </c>
      <c r="D3380" t="s">
        <v>6</v>
      </c>
      <c r="E3380" t="e">
        <f>VLOOKUP(Cpi_[[#This Row],[Attribute]],#REF!,2,FALSE)</f>
        <v>#REF!</v>
      </c>
      <c r="F3380">
        <v>132.6</v>
      </c>
      <c r="G3380">
        <f>(Cpi_[[#This Row],[Value]]-F3379)/F3379</f>
        <v>3.3515198752922699E-2</v>
      </c>
      <c r="H3380" t="e" cm="1" vm="1">
        <f t="array" aca="1" ref="H3380" ca="1">VLOOKUP(Cpi_[[#This Row],[Year]:[Month]],crudeoil[],3,FALSE)</f>
        <v>#VALUE!</v>
      </c>
    </row>
    <row r="3381" spans="1:8" hidden="1" x14ac:dyDescent="0.3">
      <c r="A3381" t="s">
        <v>34</v>
      </c>
      <c r="B3381">
        <v>2016</v>
      </c>
      <c r="C3381" t="s">
        <v>39</v>
      </c>
      <c r="D3381" t="s">
        <v>7</v>
      </c>
      <c r="E3381" t="e">
        <f>VLOOKUP(Cpi_[[#This Row],[Attribute]],#REF!,2,FALSE)</f>
        <v>#REF!</v>
      </c>
      <c r="F3381">
        <v>115.5</v>
      </c>
      <c r="G3381">
        <f>(Cpi_[[#This Row],[Value]]-F3380)/F3380</f>
        <v>-0.12895927601809951</v>
      </c>
      <c r="H3381" t="e" cm="1" vm="1">
        <f t="array" aca="1" ref="H3381" ca="1">VLOOKUP(Cpi_[[#This Row],[Year]:[Month]],crudeoil[],3,FALSE)</f>
        <v>#VALUE!</v>
      </c>
    </row>
    <row r="3382" spans="1:8" hidden="1" x14ac:dyDescent="0.3">
      <c r="A3382" t="s">
        <v>34</v>
      </c>
      <c r="B3382">
        <v>2016</v>
      </c>
      <c r="C3382" t="s">
        <v>39</v>
      </c>
      <c r="D3382" t="s">
        <v>8</v>
      </c>
      <c r="E3382" t="e">
        <f>VLOOKUP(Cpi_[[#This Row],[Attribute]],#REF!,2,FALSE)</f>
        <v>#REF!</v>
      </c>
      <c r="F3382">
        <v>136.5</v>
      </c>
      <c r="G3382">
        <f>(Cpi_[[#This Row],[Value]]-F3381)/F3381</f>
        <v>0.18181818181818182</v>
      </c>
      <c r="H3382" t="e" cm="1" vm="1">
        <f t="array" aca="1" ref="H3382" ca="1">VLOOKUP(Cpi_[[#This Row],[Year]:[Month]],crudeoil[],3,FALSE)</f>
        <v>#VALUE!</v>
      </c>
    </row>
    <row r="3383" spans="1:8" hidden="1" x14ac:dyDescent="0.3">
      <c r="A3383" t="s">
        <v>34</v>
      </c>
      <c r="B3383">
        <v>2016</v>
      </c>
      <c r="C3383" t="s">
        <v>39</v>
      </c>
      <c r="D3383" t="s">
        <v>9</v>
      </c>
      <c r="E3383" t="e">
        <f>VLOOKUP(Cpi_[[#This Row],[Attribute]],#REF!,2,FALSE)</f>
        <v>#REF!</v>
      </c>
      <c r="F3383">
        <v>159.69999999999999</v>
      </c>
      <c r="G3383">
        <f>(Cpi_[[#This Row],[Value]]-F3382)/F3382</f>
        <v>0.16996336996336989</v>
      </c>
      <c r="H3383" t="e" cm="1" vm="1">
        <f t="array" aca="1" ref="H3383" ca="1">VLOOKUP(Cpi_[[#This Row],[Year]:[Month]],crudeoil[],3,FALSE)</f>
        <v>#VALUE!</v>
      </c>
    </row>
    <row r="3384" spans="1:8" hidden="1" x14ac:dyDescent="0.3">
      <c r="A3384" t="s">
        <v>34</v>
      </c>
      <c r="B3384">
        <v>2016</v>
      </c>
      <c r="C3384" t="s">
        <v>39</v>
      </c>
      <c r="D3384" t="s">
        <v>10</v>
      </c>
      <c r="E3384" t="e">
        <f>VLOOKUP(Cpi_[[#This Row],[Attribute]],#REF!,2,FALSE)</f>
        <v>#REF!</v>
      </c>
      <c r="F3384">
        <v>174.3</v>
      </c>
      <c r="G3384">
        <f>(Cpi_[[#This Row],[Value]]-F3383)/F3383</f>
        <v>9.1421415153412802E-2</v>
      </c>
      <c r="H3384" t="e" cm="1" vm="1">
        <f t="array" aca="1" ref="H3384" ca="1">VLOOKUP(Cpi_[[#This Row],[Year]:[Month]],crudeoil[],3,FALSE)</f>
        <v>#VALUE!</v>
      </c>
    </row>
    <row r="3385" spans="1:8" hidden="1" x14ac:dyDescent="0.3">
      <c r="A3385" t="s">
        <v>34</v>
      </c>
      <c r="B3385">
        <v>2016</v>
      </c>
      <c r="C3385" t="s">
        <v>39</v>
      </c>
      <c r="D3385" t="s">
        <v>11</v>
      </c>
      <c r="E3385" t="e">
        <f>VLOOKUP(Cpi_[[#This Row],[Attribute]],#REF!,2,FALSE)</f>
        <v>#REF!</v>
      </c>
      <c r="F3385">
        <v>109.9</v>
      </c>
      <c r="G3385">
        <f>(Cpi_[[#This Row],[Value]]-F3384)/F3384</f>
        <v>-0.36947791164658633</v>
      </c>
      <c r="H3385" t="e" cm="1" vm="1">
        <f t="array" aca="1" ref="H3385" ca="1">VLOOKUP(Cpi_[[#This Row],[Year]:[Month]],crudeoil[],3,FALSE)</f>
        <v>#VALUE!</v>
      </c>
    </row>
    <row r="3386" spans="1:8" hidden="1" x14ac:dyDescent="0.3">
      <c r="A3386" t="s">
        <v>34</v>
      </c>
      <c r="B3386">
        <v>2016</v>
      </c>
      <c r="C3386" t="s">
        <v>39</v>
      </c>
      <c r="D3386" t="s">
        <v>12</v>
      </c>
      <c r="E3386" t="e">
        <f>VLOOKUP(Cpi_[[#This Row],[Attribute]],#REF!,2,FALSE)</f>
        <v>#REF!</v>
      </c>
      <c r="F3386">
        <v>136.30000000000001</v>
      </c>
      <c r="G3386">
        <f>(Cpi_[[#This Row],[Value]]-F3385)/F3385</f>
        <v>0.24021838034576892</v>
      </c>
      <c r="H3386" t="e" cm="1" vm="1">
        <f t="array" aca="1" ref="H3386" ca="1">VLOOKUP(Cpi_[[#This Row],[Year]:[Month]],crudeoil[],3,FALSE)</f>
        <v>#VALUE!</v>
      </c>
    </row>
    <row r="3387" spans="1:8" hidden="1" x14ac:dyDescent="0.3">
      <c r="A3387" t="s">
        <v>34</v>
      </c>
      <c r="B3387">
        <v>2016</v>
      </c>
      <c r="C3387" t="s">
        <v>39</v>
      </c>
      <c r="D3387" t="s">
        <v>13</v>
      </c>
      <c r="E3387" t="e">
        <f>VLOOKUP(Cpi_[[#This Row],[Attribute]],#REF!,2,FALSE)</f>
        <v>#REF!</v>
      </c>
      <c r="F3387">
        <v>124.4</v>
      </c>
      <c r="G3387">
        <f>(Cpi_[[#This Row],[Value]]-F3386)/F3386</f>
        <v>-8.7307410124724913E-2</v>
      </c>
      <c r="H3387" t="e" cm="1" vm="1">
        <f t="array" aca="1" ref="H3387" ca="1">VLOOKUP(Cpi_[[#This Row],[Year]:[Month]],crudeoil[],3,FALSE)</f>
        <v>#VALUE!</v>
      </c>
    </row>
    <row r="3388" spans="1:8" hidden="1" x14ac:dyDescent="0.3">
      <c r="A3388" t="s">
        <v>34</v>
      </c>
      <c r="B3388">
        <v>2016</v>
      </c>
      <c r="C3388" t="s">
        <v>39</v>
      </c>
      <c r="D3388" t="s">
        <v>14</v>
      </c>
      <c r="E3388" t="e">
        <f>VLOOKUP(Cpi_[[#This Row],[Attribute]],#REF!,2,FALSE)</f>
        <v>#REF!</v>
      </c>
      <c r="F3388">
        <v>138.1</v>
      </c>
      <c r="G3388">
        <f>(Cpi_[[#This Row],[Value]]-F3387)/F3387</f>
        <v>0.11012861736334395</v>
      </c>
      <c r="H3388" t="e" cm="1" vm="1">
        <f t="array" aca="1" ref="H3388" ca="1">VLOOKUP(Cpi_[[#This Row],[Year]:[Month]],crudeoil[],3,FALSE)</f>
        <v>#VALUE!</v>
      </c>
    </row>
    <row r="3389" spans="1:8" hidden="1" x14ac:dyDescent="0.3">
      <c r="A3389" t="s">
        <v>34</v>
      </c>
      <c r="B3389">
        <v>2016</v>
      </c>
      <c r="C3389" t="s">
        <v>39</v>
      </c>
      <c r="D3389" t="s">
        <v>15</v>
      </c>
      <c r="E3389" t="e">
        <f>VLOOKUP(Cpi_[[#This Row],[Attribute]],#REF!,2,FALSE)</f>
        <v>#REF!</v>
      </c>
      <c r="F3389">
        <v>136.80000000000001</v>
      </c>
      <c r="G3389">
        <f>(Cpi_[[#This Row],[Value]]-F3388)/F3388</f>
        <v>-9.4134685010860471E-3</v>
      </c>
      <c r="H3389" t="e" cm="1" vm="1">
        <f t="array" aca="1" ref="H3389" ca="1">VLOOKUP(Cpi_[[#This Row],[Year]:[Month]],crudeoil[],3,FALSE)</f>
        <v>#VALUE!</v>
      </c>
    </row>
    <row r="3390" spans="1:8" hidden="1" x14ac:dyDescent="0.3">
      <c r="A3390" t="s">
        <v>34</v>
      </c>
      <c r="B3390">
        <v>2016</v>
      </c>
      <c r="C3390" t="s">
        <v>39</v>
      </c>
      <c r="D3390" t="s">
        <v>16</v>
      </c>
      <c r="E3390" t="e">
        <f>VLOOKUP(Cpi_[[#This Row],[Attribute]],#REF!,2,FALSE)</f>
        <v>#REF!</v>
      </c>
      <c r="F3390">
        <v>138.69999999999999</v>
      </c>
      <c r="G3390">
        <f>(Cpi_[[#This Row],[Value]]-F3389)/F3389</f>
        <v>1.3888888888888722E-2</v>
      </c>
      <c r="H3390" t="e" cm="1" vm="1">
        <f t="array" aca="1" ref="H3390" ca="1">VLOOKUP(Cpi_[[#This Row],[Year]:[Month]],crudeoil[],3,FALSE)</f>
        <v>#VALUE!</v>
      </c>
    </row>
    <row r="3391" spans="1:8" hidden="1" x14ac:dyDescent="0.3">
      <c r="A3391" t="s">
        <v>34</v>
      </c>
      <c r="B3391">
        <v>2016</v>
      </c>
      <c r="C3391" t="s">
        <v>39</v>
      </c>
      <c r="D3391" t="s">
        <v>17</v>
      </c>
      <c r="E3391" t="e">
        <f>VLOOKUP(Cpi_[[#This Row],[Attribute]],#REF!,2,FALSE)</f>
        <v>#REF!</v>
      </c>
      <c r="F3391">
        <v>132.9</v>
      </c>
      <c r="G3391">
        <f>(Cpi_[[#This Row],[Value]]-F3390)/F3390</f>
        <v>-4.1816870944484379E-2</v>
      </c>
      <c r="H3391" t="e" cm="1" vm="1">
        <f t="array" aca="1" ref="H3391" ca="1">VLOOKUP(Cpi_[[#This Row],[Year]:[Month]],crudeoil[],3,FALSE)</f>
        <v>#VALUE!</v>
      </c>
    </row>
    <row r="3392" spans="1:8" hidden="1" x14ac:dyDescent="0.3">
      <c r="A3392" t="s">
        <v>34</v>
      </c>
      <c r="B3392">
        <v>2016</v>
      </c>
      <c r="C3392" t="s">
        <v>39</v>
      </c>
      <c r="D3392" t="s">
        <v>18</v>
      </c>
      <c r="E3392" t="e">
        <f>VLOOKUP(Cpi_[[#This Row],[Attribute]],#REF!,2,FALSE)</f>
        <v>#REF!</v>
      </c>
      <c r="F3392">
        <v>127.2</v>
      </c>
      <c r="G3392">
        <f>(Cpi_[[#This Row],[Value]]-F3391)/F3391</f>
        <v>-4.288939051918738E-2</v>
      </c>
      <c r="H3392" t="e" cm="1" vm="1">
        <f t="array" aca="1" ref="H3392" ca="1">VLOOKUP(Cpi_[[#This Row],[Year]:[Month]],crudeoil[],3,FALSE)</f>
        <v>#VALUE!</v>
      </c>
    </row>
    <row r="3393" spans="1:8" hidden="1" x14ac:dyDescent="0.3">
      <c r="A3393" t="s">
        <v>34</v>
      </c>
      <c r="B3393">
        <v>2016</v>
      </c>
      <c r="C3393" t="s">
        <v>39</v>
      </c>
      <c r="D3393" t="s">
        <v>19</v>
      </c>
      <c r="E3393" t="e">
        <f>VLOOKUP(Cpi_[[#This Row],[Attribute]],#REF!,2,FALSE)</f>
        <v>#REF!</v>
      </c>
      <c r="F3393">
        <v>132</v>
      </c>
      <c r="G3393">
        <f>(Cpi_[[#This Row],[Value]]-F3392)/F3392</f>
        <v>3.7735849056603751E-2</v>
      </c>
      <c r="H3393" t="e" cm="1" vm="1">
        <f t="array" aca="1" ref="H3393" ca="1">VLOOKUP(Cpi_[[#This Row],[Year]:[Month]],crudeoil[],3,FALSE)</f>
        <v>#VALUE!</v>
      </c>
    </row>
    <row r="3394" spans="1:8" hidden="1" x14ac:dyDescent="0.3">
      <c r="A3394" t="s">
        <v>34</v>
      </c>
      <c r="B3394">
        <v>2016</v>
      </c>
      <c r="C3394" t="s">
        <v>39</v>
      </c>
      <c r="D3394" t="s">
        <v>20</v>
      </c>
      <c r="E3394" t="e">
        <f>VLOOKUP(Cpi_[[#This Row],[Attribute]],#REF!,2,FALSE)</f>
        <v>#REF!</v>
      </c>
      <c r="F3394">
        <v>125.5</v>
      </c>
      <c r="G3394">
        <f>(Cpi_[[#This Row],[Value]]-F3393)/F3393</f>
        <v>-4.924242424242424E-2</v>
      </c>
      <c r="H3394" t="e" cm="1" vm="1">
        <f t="array" aca="1" ref="H3394" ca="1">VLOOKUP(Cpi_[[#This Row],[Year]:[Month]],crudeoil[],3,FALSE)</f>
        <v>#VALUE!</v>
      </c>
    </row>
    <row r="3395" spans="1:8" hidden="1" x14ac:dyDescent="0.3">
      <c r="A3395" t="s">
        <v>34</v>
      </c>
      <c r="B3395">
        <v>2016</v>
      </c>
      <c r="C3395" t="s">
        <v>39</v>
      </c>
      <c r="D3395" t="s">
        <v>21</v>
      </c>
      <c r="E3395" t="e">
        <f>VLOOKUP(Cpi_[[#This Row],[Attribute]],#REF!,2,FALSE)</f>
        <v>#REF!</v>
      </c>
      <c r="F3395">
        <v>123.3</v>
      </c>
      <c r="G3395">
        <f>(Cpi_[[#This Row],[Value]]-F3394)/F3394</f>
        <v>-1.7529880478087671E-2</v>
      </c>
      <c r="H3395" t="e" cm="1" vm="1">
        <f t="array" aca="1" ref="H3395" ca="1">VLOOKUP(Cpi_[[#This Row],[Year]:[Month]],crudeoil[],3,FALSE)</f>
        <v>#VALUE!</v>
      </c>
    </row>
    <row r="3396" spans="1:8" hidden="1" x14ac:dyDescent="0.3">
      <c r="A3396" t="s">
        <v>34</v>
      </c>
      <c r="B3396">
        <v>2016</v>
      </c>
      <c r="C3396" t="s">
        <v>39</v>
      </c>
      <c r="D3396" t="s">
        <v>22</v>
      </c>
      <c r="E3396" t="e">
        <f>VLOOKUP(Cpi_[[#This Row],[Attribute]],#REF!,2,FALSE)</f>
        <v>#REF!</v>
      </c>
      <c r="F3396">
        <v>126.4</v>
      </c>
      <c r="G3396">
        <f>(Cpi_[[#This Row],[Value]]-F3395)/F3395</f>
        <v>2.5141930251419371E-2</v>
      </c>
      <c r="H3396" t="e" cm="1" vm="1">
        <f t="array" aca="1" ref="H3396" ca="1">VLOOKUP(Cpi_[[#This Row],[Year]:[Month]],crudeoil[],3,FALSE)</f>
        <v>#VALUE!</v>
      </c>
    </row>
    <row r="3397" spans="1:8" hidden="1" x14ac:dyDescent="0.3">
      <c r="A3397" t="s">
        <v>34</v>
      </c>
      <c r="B3397">
        <v>2016</v>
      </c>
      <c r="C3397" t="s">
        <v>39</v>
      </c>
      <c r="D3397" t="s">
        <v>23</v>
      </c>
      <c r="E3397" t="e">
        <f>VLOOKUP(Cpi_[[#This Row],[Attribute]],#REF!,2,FALSE)</f>
        <v>#REF!</v>
      </c>
      <c r="F3397">
        <v>124.1</v>
      </c>
      <c r="G3397">
        <f>(Cpi_[[#This Row],[Value]]-F3396)/F3396</f>
        <v>-1.819620253164566E-2</v>
      </c>
      <c r="H3397" t="e" cm="1" vm="1">
        <f t="array" aca="1" ref="H3397" ca="1">VLOOKUP(Cpi_[[#This Row],[Year]:[Month]],crudeoil[],3,FALSE)</f>
        <v>#VALUE!</v>
      </c>
    </row>
    <row r="3398" spans="1:8" hidden="1" x14ac:dyDescent="0.3">
      <c r="A3398" t="s">
        <v>34</v>
      </c>
      <c r="B3398">
        <v>2016</v>
      </c>
      <c r="C3398" t="s">
        <v>39</v>
      </c>
      <c r="D3398" t="s">
        <v>24</v>
      </c>
      <c r="E3398" t="e">
        <f>VLOOKUP(Cpi_[[#This Row],[Attribute]],#REF!,2,FALSE)</f>
        <v>#REF!</v>
      </c>
      <c r="F3398">
        <v>114.2</v>
      </c>
      <c r="G3398">
        <f>(Cpi_[[#This Row],[Value]]-F3397)/F3397</f>
        <v>-7.9774375503626038E-2</v>
      </c>
      <c r="H3398" t="e" cm="1" vm="1">
        <f t="array" aca="1" ref="H3398" ca="1">VLOOKUP(Cpi_[[#This Row],[Year]:[Month]],crudeoil[],3,FALSE)</f>
        <v>#VALUE!</v>
      </c>
    </row>
    <row r="3399" spans="1:8" hidden="1" x14ac:dyDescent="0.3">
      <c r="A3399" t="s">
        <v>34</v>
      </c>
      <c r="B3399">
        <v>2016</v>
      </c>
      <c r="C3399" t="s">
        <v>39</v>
      </c>
      <c r="D3399" t="s">
        <v>25</v>
      </c>
      <c r="E3399" t="e">
        <f>VLOOKUP(Cpi_[[#This Row],[Attribute]],#REF!,2,FALSE)</f>
        <v>#REF!</v>
      </c>
      <c r="F3399">
        <v>121.7</v>
      </c>
      <c r="G3399">
        <f>(Cpi_[[#This Row],[Value]]-F3398)/F3398</f>
        <v>6.5674255691768824E-2</v>
      </c>
      <c r="H3399" t="e" cm="1" vm="1">
        <f t="array" aca="1" ref="H3399" ca="1">VLOOKUP(Cpi_[[#This Row],[Year]:[Month]],crudeoil[],3,FALSE)</f>
        <v>#VALUE!</v>
      </c>
    </row>
    <row r="3400" spans="1:8" hidden="1" x14ac:dyDescent="0.3">
      <c r="A3400" t="s">
        <v>34</v>
      </c>
      <c r="B3400">
        <v>2016</v>
      </c>
      <c r="C3400" t="s">
        <v>39</v>
      </c>
      <c r="D3400" t="s">
        <v>26</v>
      </c>
      <c r="E3400" t="e">
        <f>VLOOKUP(Cpi_[[#This Row],[Attribute]],#REF!,2,FALSE)</f>
        <v>#REF!</v>
      </c>
      <c r="F3400">
        <v>129.69999999999999</v>
      </c>
      <c r="G3400">
        <f>(Cpi_[[#This Row],[Value]]-F3399)/F3399</f>
        <v>6.5735414954806781E-2</v>
      </c>
      <c r="H3400" t="e" cm="1" vm="1">
        <f t="array" aca="1" ref="H3400" ca="1">VLOOKUP(Cpi_[[#This Row],[Year]:[Month]],crudeoil[],3,FALSE)</f>
        <v>#VALUE!</v>
      </c>
    </row>
    <row r="3401" spans="1:8" hidden="1" x14ac:dyDescent="0.3">
      <c r="A3401" t="s">
        <v>34</v>
      </c>
      <c r="B3401">
        <v>2016</v>
      </c>
      <c r="C3401" t="s">
        <v>39</v>
      </c>
      <c r="D3401" t="s">
        <v>27</v>
      </c>
      <c r="E3401" t="e">
        <f>VLOOKUP(Cpi_[[#This Row],[Attribute]],#REF!,2,FALSE)</f>
        <v>#REF!</v>
      </c>
      <c r="F3401">
        <v>119.4</v>
      </c>
      <c r="G3401">
        <f>(Cpi_[[#This Row],[Value]]-F3400)/F3400</f>
        <v>-7.9414032382420841E-2</v>
      </c>
      <c r="H3401" t="e" cm="1" vm="1">
        <f t="array" aca="1" ref="H3401" ca="1">VLOOKUP(Cpi_[[#This Row],[Year]:[Month]],crudeoil[],3,FALSE)</f>
        <v>#VALUE!</v>
      </c>
    </row>
    <row r="3402" spans="1:8" hidden="1" x14ac:dyDescent="0.3">
      <c r="A3402" t="s">
        <v>34</v>
      </c>
      <c r="B3402">
        <v>2016</v>
      </c>
      <c r="C3402" t="s">
        <v>39</v>
      </c>
      <c r="D3402" t="s">
        <v>28</v>
      </c>
      <c r="E3402" t="e">
        <f>VLOOKUP(Cpi_[[#This Row],[Attribute]],#REF!,2,FALSE)</f>
        <v>#REF!</v>
      </c>
      <c r="F3402">
        <v>121.5</v>
      </c>
      <c r="G3402">
        <f>(Cpi_[[#This Row],[Value]]-F3401)/F3401</f>
        <v>1.7587939698492414E-2</v>
      </c>
      <c r="H3402" t="e" cm="1" vm="1">
        <f t="array" aca="1" ref="H3402" ca="1">VLOOKUP(Cpi_[[#This Row],[Year]:[Month]],crudeoil[],3,FALSE)</f>
        <v>#VALUE!</v>
      </c>
    </row>
    <row r="3403" spans="1:8" hidden="1" x14ac:dyDescent="0.3">
      <c r="A3403" t="s">
        <v>34</v>
      </c>
      <c r="B3403">
        <v>2016</v>
      </c>
      <c r="C3403" t="s">
        <v>39</v>
      </c>
      <c r="D3403" t="s">
        <v>29</v>
      </c>
      <c r="E3403" t="e" cm="1">
        <f t="array" aca="1" ref="E3403" ca="1">VLGeneral indexGeneral indexKUP(Cpi_[[#This Row],[Attribute]],#REF!,2,FALSE)</f>
        <v>#NAME?</v>
      </c>
      <c r="F3403">
        <v>130.1</v>
      </c>
      <c r="G3403">
        <f>(Cpi_[[#This Row],[Value]]-F3402)/F3402</f>
        <v>7.0781893004115179E-2</v>
      </c>
      <c r="H3403" t="e" cm="1" vm="1">
        <f t="array" aca="1" ref="H3403" ca="1">VLOOKUP(Cpi_[[#This Row],[Year]:[Month]],crudeoil[],3,FALSE)</f>
        <v>#VALUE!</v>
      </c>
    </row>
    <row r="3404" spans="1:8" hidden="1" x14ac:dyDescent="0.3">
      <c r="A3404" t="s">
        <v>30</v>
      </c>
      <c r="B3404">
        <v>2016</v>
      </c>
      <c r="C3404" t="s">
        <v>40</v>
      </c>
      <c r="D3404" t="s">
        <v>3</v>
      </c>
      <c r="E3404" t="e">
        <f>VLOOKUP(Cpi_[[#This Row],[Attribute]],#REF!,2,FALSE)</f>
        <v>#REF!</v>
      </c>
      <c r="F3404">
        <v>129.30000000000001</v>
      </c>
      <c r="G3404">
        <f>(Cpi_[[#This Row],[Value]]-F3403)/F3403</f>
        <v>-6.1491160645655877E-3</v>
      </c>
      <c r="H3404" t="e" cm="1" vm="1">
        <f t="array" aca="1" ref="H3404" ca="1">VLOOKUP(Cpi_[[#This Row],[Year]:[Month]],crudeoil[],3,FALSE)</f>
        <v>#VALUE!</v>
      </c>
    </row>
    <row r="3405" spans="1:8" hidden="1" x14ac:dyDescent="0.3">
      <c r="A3405" t="s">
        <v>30</v>
      </c>
      <c r="B3405">
        <v>2016</v>
      </c>
      <c r="C3405" t="s">
        <v>40</v>
      </c>
      <c r="D3405" t="s">
        <v>4</v>
      </c>
      <c r="E3405" t="e">
        <f>VLOOKUP(Cpi_[[#This Row],[Attribute]],#REF!,2,FALSE)</f>
        <v>#REF!</v>
      </c>
      <c r="F3405">
        <v>139.5</v>
      </c>
      <c r="G3405">
        <f>(Cpi_[[#This Row],[Value]]-F3404)/F3404</f>
        <v>7.8886310904872289E-2</v>
      </c>
      <c r="H3405" t="e" cm="1" vm="1">
        <f t="array" aca="1" ref="H3405" ca="1">VLOOKUP(Cpi_[[#This Row],[Year]:[Month]],crudeoil[],3,FALSE)</f>
        <v>#VALUE!</v>
      </c>
    </row>
    <row r="3406" spans="1:8" hidden="1" x14ac:dyDescent="0.3">
      <c r="A3406" t="s">
        <v>30</v>
      </c>
      <c r="B3406">
        <v>2016</v>
      </c>
      <c r="C3406" t="s">
        <v>40</v>
      </c>
      <c r="D3406" t="s">
        <v>5</v>
      </c>
      <c r="E3406" t="e">
        <f>VLOOKUP(Cpi_[[#This Row],[Attribute]],#REF!,2,FALSE)</f>
        <v>#REF!</v>
      </c>
      <c r="F3406">
        <v>129.6</v>
      </c>
      <c r="G3406">
        <f>(Cpi_[[#This Row],[Value]]-F3405)/F3405</f>
        <v>-7.0967741935483913E-2</v>
      </c>
      <c r="H3406" t="e" cm="1" vm="1">
        <f t="array" aca="1" ref="H3406" ca="1">VLOOKUP(Cpi_[[#This Row],[Year]:[Month]],crudeoil[],3,FALSE)</f>
        <v>#VALUE!</v>
      </c>
    </row>
    <row r="3407" spans="1:8" hidden="1" x14ac:dyDescent="0.3">
      <c r="A3407" t="s">
        <v>30</v>
      </c>
      <c r="B3407">
        <v>2016</v>
      </c>
      <c r="C3407" t="s">
        <v>40</v>
      </c>
      <c r="D3407" t="s">
        <v>6</v>
      </c>
      <c r="E3407" t="e">
        <f>VLOOKUP(Cpi_[[#This Row],[Attribute]],#REF!,2,FALSE)</f>
        <v>#REF!</v>
      </c>
      <c r="F3407">
        <v>134.5</v>
      </c>
      <c r="G3407">
        <f>(Cpi_[[#This Row],[Value]]-F3406)/F3406</f>
        <v>3.7808641975308685E-2</v>
      </c>
      <c r="H3407" t="e" cm="1" vm="1">
        <f t="array" aca="1" ref="H3407" ca="1">VLOOKUP(Cpi_[[#This Row],[Year]:[Month]],crudeoil[],3,FALSE)</f>
        <v>#VALUE!</v>
      </c>
    </row>
    <row r="3408" spans="1:8" hidden="1" x14ac:dyDescent="0.3">
      <c r="A3408" t="s">
        <v>30</v>
      </c>
      <c r="B3408">
        <v>2016</v>
      </c>
      <c r="C3408" t="s">
        <v>40</v>
      </c>
      <c r="D3408" t="s">
        <v>7</v>
      </c>
      <c r="E3408" t="e">
        <f>VLOOKUP(Cpi_[[#This Row],[Attribute]],#REF!,2,FALSE)</f>
        <v>#REF!</v>
      </c>
      <c r="F3408">
        <v>119.5</v>
      </c>
      <c r="G3408">
        <f>(Cpi_[[#This Row],[Value]]-F3407)/F3407</f>
        <v>-0.11152416356877323</v>
      </c>
      <c r="H3408" t="e" cm="1" vm="1">
        <f t="array" aca="1" ref="H3408" ca="1">VLOOKUP(Cpi_[[#This Row],[Year]:[Month]],crudeoil[],3,FALSE)</f>
        <v>#VALUE!</v>
      </c>
    </row>
    <row r="3409" spans="1:8" hidden="1" x14ac:dyDescent="0.3">
      <c r="A3409" t="s">
        <v>30</v>
      </c>
      <c r="B3409">
        <v>2016</v>
      </c>
      <c r="C3409" t="s">
        <v>40</v>
      </c>
      <c r="D3409" t="s">
        <v>8</v>
      </c>
      <c r="E3409" t="e">
        <f>VLOOKUP(Cpi_[[#This Row],[Attribute]],#REF!,2,FALSE)</f>
        <v>#REF!</v>
      </c>
      <c r="F3409">
        <v>138.5</v>
      </c>
      <c r="G3409">
        <f>(Cpi_[[#This Row],[Value]]-F3408)/F3408</f>
        <v>0.15899581589958159</v>
      </c>
      <c r="H3409" t="e" cm="1" vm="1">
        <f t="array" aca="1" ref="H3409" ca="1">VLOOKUP(Cpi_[[#This Row],[Year]:[Month]],crudeoil[],3,FALSE)</f>
        <v>#VALUE!</v>
      </c>
    </row>
    <row r="3410" spans="1:8" hidden="1" x14ac:dyDescent="0.3">
      <c r="A3410" t="s">
        <v>30</v>
      </c>
      <c r="B3410">
        <v>2016</v>
      </c>
      <c r="C3410" t="s">
        <v>40</v>
      </c>
      <c r="D3410" t="s">
        <v>9</v>
      </c>
      <c r="E3410" t="e">
        <f>VLOOKUP(Cpi_[[#This Row],[Attribute]],#REF!,2,FALSE)</f>
        <v>#REF!</v>
      </c>
      <c r="F3410">
        <v>158.19999999999999</v>
      </c>
      <c r="G3410">
        <f>(Cpi_[[#This Row],[Value]]-F3409)/F3409</f>
        <v>0.14223826714801435</v>
      </c>
      <c r="H3410" t="e" cm="1" vm="1">
        <f t="array" aca="1" ref="H3410" ca="1">VLOOKUP(Cpi_[[#This Row],[Year]:[Month]],crudeoil[],3,FALSE)</f>
        <v>#VALUE!</v>
      </c>
    </row>
    <row r="3411" spans="1:8" hidden="1" x14ac:dyDescent="0.3">
      <c r="A3411" t="s">
        <v>30</v>
      </c>
      <c r="B3411">
        <v>2016</v>
      </c>
      <c r="C3411" t="s">
        <v>40</v>
      </c>
      <c r="D3411" t="s">
        <v>10</v>
      </c>
      <c r="E3411" t="e">
        <f>VLOOKUP(Cpi_[[#This Row],[Attribute]],#REF!,2,FALSE)</f>
        <v>#REF!</v>
      </c>
      <c r="F3411">
        <v>171.8</v>
      </c>
      <c r="G3411">
        <f>(Cpi_[[#This Row],[Value]]-F3410)/F3410</f>
        <v>8.5967130214917975E-2</v>
      </c>
      <c r="H3411" t="e" cm="1" vm="1">
        <f t="array" aca="1" ref="H3411" ca="1">VLOOKUP(Cpi_[[#This Row],[Year]:[Month]],crudeoil[],3,FALSE)</f>
        <v>#VALUE!</v>
      </c>
    </row>
    <row r="3412" spans="1:8" hidden="1" x14ac:dyDescent="0.3">
      <c r="A3412" t="s">
        <v>30</v>
      </c>
      <c r="B3412">
        <v>2016</v>
      </c>
      <c r="C3412" t="s">
        <v>40</v>
      </c>
      <c r="D3412" t="s">
        <v>11</v>
      </c>
      <c r="E3412" t="e">
        <f>VLOOKUP(Cpi_[[#This Row],[Attribute]],#REF!,2,FALSE)</f>
        <v>#REF!</v>
      </c>
      <c r="F3412">
        <v>110.3</v>
      </c>
      <c r="G3412">
        <f>(Cpi_[[#This Row],[Value]]-F3411)/F3411</f>
        <v>-0.35797438882421428</v>
      </c>
      <c r="H3412" t="e" cm="1" vm="1">
        <f t="array" aca="1" ref="H3412" ca="1">VLOOKUP(Cpi_[[#This Row],[Year]:[Month]],crudeoil[],3,FALSE)</f>
        <v>#VALUE!</v>
      </c>
    </row>
    <row r="3413" spans="1:8" hidden="1" x14ac:dyDescent="0.3">
      <c r="A3413" t="s">
        <v>30</v>
      </c>
      <c r="B3413">
        <v>2016</v>
      </c>
      <c r="C3413" t="s">
        <v>40</v>
      </c>
      <c r="D3413" t="s">
        <v>12</v>
      </c>
      <c r="E3413" t="e">
        <f>VLOOKUP(Cpi_[[#This Row],[Attribute]],#REF!,2,FALSE)</f>
        <v>#REF!</v>
      </c>
      <c r="F3413">
        <v>134.30000000000001</v>
      </c>
      <c r="G3413">
        <f>(Cpi_[[#This Row],[Value]]-F3412)/F3412</f>
        <v>0.21758839528558491</v>
      </c>
      <c r="H3413" t="e" cm="1" vm="1">
        <f t="array" aca="1" ref="H3413" ca="1">VLOOKUP(Cpi_[[#This Row],[Year]:[Month]],crudeoil[],3,FALSE)</f>
        <v>#VALUE!</v>
      </c>
    </row>
    <row r="3414" spans="1:8" hidden="1" x14ac:dyDescent="0.3">
      <c r="A3414" t="s">
        <v>30</v>
      </c>
      <c r="B3414">
        <v>2016</v>
      </c>
      <c r="C3414" t="s">
        <v>40</v>
      </c>
      <c r="D3414" t="s">
        <v>13</v>
      </c>
      <c r="E3414" t="e">
        <f>VLOOKUP(Cpi_[[#This Row],[Attribute]],#REF!,2,FALSE)</f>
        <v>#REF!</v>
      </c>
      <c r="F3414">
        <v>127.3</v>
      </c>
      <c r="G3414">
        <f>(Cpi_[[#This Row],[Value]]-F3413)/F3413</f>
        <v>-5.2122114668652374E-2</v>
      </c>
      <c r="H3414" t="e" cm="1" vm="1">
        <f t="array" aca="1" ref="H3414" ca="1">VLOOKUP(Cpi_[[#This Row],[Year]:[Month]],crudeoil[],3,FALSE)</f>
        <v>#VALUE!</v>
      </c>
    </row>
    <row r="3415" spans="1:8" hidden="1" x14ac:dyDescent="0.3">
      <c r="A3415" t="s">
        <v>30</v>
      </c>
      <c r="B3415">
        <v>2016</v>
      </c>
      <c r="C3415" t="s">
        <v>40</v>
      </c>
      <c r="D3415" t="s">
        <v>14</v>
      </c>
      <c r="E3415" t="e">
        <f>VLOOKUP(Cpi_[[#This Row],[Attribute]],#REF!,2,FALSE)</f>
        <v>#REF!</v>
      </c>
      <c r="F3415">
        <v>139.9</v>
      </c>
      <c r="G3415">
        <f>(Cpi_[[#This Row],[Value]]-F3414)/F3414</f>
        <v>9.8978790259230232E-2</v>
      </c>
      <c r="H3415" t="e" cm="1" vm="1">
        <f t="array" aca="1" ref="H3415" ca="1">VLOOKUP(Cpi_[[#This Row],[Year]:[Month]],crudeoil[],3,FALSE)</f>
        <v>#VALUE!</v>
      </c>
    </row>
    <row r="3416" spans="1:8" hidden="1" x14ac:dyDescent="0.3">
      <c r="A3416" t="s">
        <v>30</v>
      </c>
      <c r="B3416">
        <v>2016</v>
      </c>
      <c r="C3416" t="s">
        <v>40</v>
      </c>
      <c r="D3416" t="s">
        <v>15</v>
      </c>
      <c r="E3416" t="e">
        <f>VLOOKUP(Cpi_[[#This Row],[Attribute]],#REF!,2,FALSE)</f>
        <v>#REF!</v>
      </c>
      <c r="F3416">
        <v>137.6</v>
      </c>
      <c r="G3416">
        <f>(Cpi_[[#This Row],[Value]]-F3415)/F3415</f>
        <v>-1.6440314510364627E-2</v>
      </c>
      <c r="H3416" t="e" cm="1" vm="1">
        <f t="array" aca="1" ref="H3416" ca="1">VLOOKUP(Cpi_[[#This Row],[Year]:[Month]],crudeoil[],3,FALSE)</f>
        <v>#VALUE!</v>
      </c>
    </row>
    <row r="3417" spans="1:8" hidden="1" x14ac:dyDescent="0.3">
      <c r="A3417" t="s">
        <v>30</v>
      </c>
      <c r="B3417">
        <v>2016</v>
      </c>
      <c r="C3417" t="s">
        <v>40</v>
      </c>
      <c r="D3417" t="s">
        <v>16</v>
      </c>
      <c r="E3417" t="e">
        <f>VLOOKUP(Cpi_[[#This Row],[Attribute]],#REF!,2,FALSE)</f>
        <v>#REF!</v>
      </c>
      <c r="F3417">
        <v>138</v>
      </c>
      <c r="G3417">
        <f>(Cpi_[[#This Row],[Value]]-F3416)/F3416</f>
        <v>2.9069767441860881E-3</v>
      </c>
      <c r="H3417" t="e" cm="1" vm="1">
        <f t="array" aca="1" ref="H3417" ca="1">VLOOKUP(Cpi_[[#This Row],[Year]:[Month]],crudeoil[],3,FALSE)</f>
        <v>#VALUE!</v>
      </c>
    </row>
    <row r="3418" spans="1:8" hidden="1" x14ac:dyDescent="0.3">
      <c r="A3418" t="s">
        <v>30</v>
      </c>
      <c r="B3418">
        <v>2016</v>
      </c>
      <c r="C3418" t="s">
        <v>40</v>
      </c>
      <c r="D3418" t="s">
        <v>17</v>
      </c>
      <c r="E3418" t="e">
        <f>VLOOKUP(Cpi_[[#This Row],[Attribute]],#REF!,2,FALSE)</f>
        <v>#REF!</v>
      </c>
      <c r="F3418">
        <v>137.19999999999999</v>
      </c>
      <c r="G3418">
        <f>(Cpi_[[#This Row],[Value]]-F3417)/F3417</f>
        <v>-5.7971014492754448E-3</v>
      </c>
      <c r="H3418" t="e" cm="1" vm="1">
        <f t="array" aca="1" ref="H3418" ca="1">VLOOKUP(Cpi_[[#This Row],[Year]:[Month]],crudeoil[],3,FALSE)</f>
        <v>#VALUE!</v>
      </c>
    </row>
    <row r="3419" spans="1:8" hidden="1" x14ac:dyDescent="0.3">
      <c r="A3419" t="s">
        <v>30</v>
      </c>
      <c r="B3419">
        <v>2016</v>
      </c>
      <c r="C3419" t="s">
        <v>40</v>
      </c>
      <c r="D3419" t="s">
        <v>18</v>
      </c>
      <c r="E3419" t="e">
        <f>VLOOKUP(Cpi_[[#This Row],[Attribute]],#REF!,2,FALSE)</f>
        <v>#REF!</v>
      </c>
      <c r="F3419">
        <v>132.19999999999999</v>
      </c>
      <c r="G3419">
        <f>(Cpi_[[#This Row],[Value]]-F3418)/F3418</f>
        <v>-3.6443148688046649E-2</v>
      </c>
      <c r="H3419" t="e" cm="1" vm="1">
        <f t="array" aca="1" ref="H3419" ca="1">VLOOKUP(Cpi_[[#This Row],[Year]:[Month]],crudeoil[],3,FALSE)</f>
        <v>#VALUE!</v>
      </c>
    </row>
    <row r="3420" spans="1:8" hidden="1" x14ac:dyDescent="0.3">
      <c r="A3420" t="s">
        <v>30</v>
      </c>
      <c r="B3420">
        <v>2016</v>
      </c>
      <c r="C3420" t="s">
        <v>40</v>
      </c>
      <c r="D3420" t="s">
        <v>19</v>
      </c>
      <c r="E3420" t="e">
        <f>VLOOKUP(Cpi_[[#This Row],[Attribute]],#REF!,2,FALSE)</f>
        <v>#REF!</v>
      </c>
      <c r="F3420">
        <v>136.5</v>
      </c>
      <c r="G3420">
        <f>(Cpi_[[#This Row],[Value]]-F3419)/F3419</f>
        <v>3.2526475037821571E-2</v>
      </c>
      <c r="H3420" t="e" cm="1" vm="1">
        <f t="array" aca="1" ref="H3420" ca="1">VLOOKUP(Cpi_[[#This Row],[Year]:[Month]],crudeoil[],3,FALSE)</f>
        <v>#VALUE!</v>
      </c>
    </row>
    <row r="3421" spans="1:8" hidden="1" x14ac:dyDescent="0.3">
      <c r="A3421" t="s">
        <v>30</v>
      </c>
      <c r="B3421">
        <v>2016</v>
      </c>
      <c r="C3421" t="s">
        <v>40</v>
      </c>
      <c r="D3421" t="s">
        <v>20</v>
      </c>
      <c r="E3421" t="e">
        <f>VLOOKUP(Cpi_[[#This Row],[Attribute]],#REF!,2,FALSE)</f>
        <v>#REF!</v>
      </c>
      <c r="F3421" t="s">
        <v>32</v>
      </c>
      <c r="G3421" t="e">
        <f>(Cpi_[[#This Row],[Value]]-F3420)/F3420</f>
        <v>#VALUE!</v>
      </c>
      <c r="H3421" t="e" cm="1" vm="1">
        <f t="array" aca="1" ref="H3421" ca="1">VLOOKUP(Cpi_[[#This Row],[Year]:[Month]],crudeoil[],3,FALSE)</f>
        <v>#VALUE!</v>
      </c>
    </row>
    <row r="3422" spans="1:8" hidden="1" x14ac:dyDescent="0.3">
      <c r="A3422" t="s">
        <v>30</v>
      </c>
      <c r="B3422">
        <v>2016</v>
      </c>
      <c r="C3422" t="s">
        <v>40</v>
      </c>
      <c r="D3422" t="s">
        <v>21</v>
      </c>
      <c r="E3422" t="e">
        <f>VLOOKUP(Cpi_[[#This Row],[Attribute]],#REF!,2,FALSE)</f>
        <v>#REF!</v>
      </c>
      <c r="F3422">
        <v>128.19999999999999</v>
      </c>
      <c r="G3422" t="e">
        <f>(Cpi_[[#This Row],[Value]]-F3421)/F3421</f>
        <v>#VALUE!</v>
      </c>
      <c r="H3422" t="e" cm="1" vm="1">
        <f t="array" aca="1" ref="H3422" ca="1">VLOOKUP(Cpi_[[#This Row],[Year]:[Month]],crudeoil[],3,FALSE)</f>
        <v>#VALUE!</v>
      </c>
    </row>
    <row r="3423" spans="1:8" hidden="1" x14ac:dyDescent="0.3">
      <c r="A3423" t="s">
        <v>30</v>
      </c>
      <c r="B3423">
        <v>2016</v>
      </c>
      <c r="C3423" t="s">
        <v>40</v>
      </c>
      <c r="D3423" t="s">
        <v>22</v>
      </c>
      <c r="E3423" t="e">
        <f>VLOOKUP(Cpi_[[#This Row],[Attribute]],#REF!,2,FALSE)</f>
        <v>#REF!</v>
      </c>
      <c r="F3423">
        <v>130</v>
      </c>
      <c r="G3423">
        <f>(Cpi_[[#This Row],[Value]]-F3422)/F3422</f>
        <v>1.4040561622464989E-2</v>
      </c>
      <c r="H3423" t="e" cm="1" vm="1">
        <f t="array" aca="1" ref="H3423" ca="1">VLOOKUP(Cpi_[[#This Row],[Year]:[Month]],crudeoil[],3,FALSE)</f>
        <v>#VALUE!</v>
      </c>
    </row>
    <row r="3424" spans="1:8" hidden="1" x14ac:dyDescent="0.3">
      <c r="A3424" t="s">
        <v>30</v>
      </c>
      <c r="B3424">
        <v>2016</v>
      </c>
      <c r="C3424" t="s">
        <v>40</v>
      </c>
      <c r="D3424" t="s">
        <v>23</v>
      </c>
      <c r="E3424" t="e">
        <f>VLOOKUP(Cpi_[[#This Row],[Attribute]],#REF!,2,FALSE)</f>
        <v>#REF!</v>
      </c>
      <c r="F3424">
        <v>126.7</v>
      </c>
      <c r="G3424">
        <f>(Cpi_[[#This Row],[Value]]-F3423)/F3423</f>
        <v>-2.5384615384615363E-2</v>
      </c>
      <c r="H3424" t="e" cm="1" vm="1">
        <f t="array" aca="1" ref="H3424" ca="1">VLOOKUP(Cpi_[[#This Row],[Year]:[Month]],crudeoil[],3,FALSE)</f>
        <v>#VALUE!</v>
      </c>
    </row>
    <row r="3425" spans="1:8" hidden="1" x14ac:dyDescent="0.3">
      <c r="A3425" t="s">
        <v>30</v>
      </c>
      <c r="B3425">
        <v>2016</v>
      </c>
      <c r="C3425" t="s">
        <v>40</v>
      </c>
      <c r="D3425" t="s">
        <v>24</v>
      </c>
      <c r="E3425" t="e">
        <f>VLOOKUP(Cpi_[[#This Row],[Attribute]],#REF!,2,FALSE)</f>
        <v>#REF!</v>
      </c>
      <c r="F3425">
        <v>116.4</v>
      </c>
      <c r="G3425">
        <f>(Cpi_[[#This Row],[Value]]-F3424)/F3424</f>
        <v>-8.1294396211523262E-2</v>
      </c>
      <c r="H3425" t="e" cm="1" vm="1">
        <f t="array" aca="1" ref="H3425" ca="1">VLOOKUP(Cpi_[[#This Row],[Year]:[Month]],crudeoil[],3,FALSE)</f>
        <v>#VALUE!</v>
      </c>
    </row>
    <row r="3426" spans="1:8" hidden="1" x14ac:dyDescent="0.3">
      <c r="A3426" t="s">
        <v>30</v>
      </c>
      <c r="B3426">
        <v>2016</v>
      </c>
      <c r="C3426" t="s">
        <v>40</v>
      </c>
      <c r="D3426" t="s">
        <v>25</v>
      </c>
      <c r="E3426" t="e">
        <f>VLOOKUP(Cpi_[[#This Row],[Attribute]],#REF!,2,FALSE)</f>
        <v>#REF!</v>
      </c>
      <c r="F3426">
        <v>125.2</v>
      </c>
      <c r="G3426">
        <f>(Cpi_[[#This Row],[Value]]-F3425)/F3425</f>
        <v>7.5601374570446703E-2</v>
      </c>
      <c r="H3426" t="e" cm="1" vm="1">
        <f t="array" aca="1" ref="H3426" ca="1">VLOOKUP(Cpi_[[#This Row],[Year]:[Month]],crudeoil[],3,FALSE)</f>
        <v>#VALUE!</v>
      </c>
    </row>
    <row r="3427" spans="1:8" hidden="1" x14ac:dyDescent="0.3">
      <c r="A3427" t="s">
        <v>30</v>
      </c>
      <c r="B3427">
        <v>2016</v>
      </c>
      <c r="C3427" t="s">
        <v>40</v>
      </c>
      <c r="D3427" t="s">
        <v>26</v>
      </c>
      <c r="E3427" t="e">
        <f>VLOOKUP(Cpi_[[#This Row],[Attribute]],#REF!,2,FALSE)</f>
        <v>#REF!</v>
      </c>
      <c r="F3427">
        <v>130.80000000000001</v>
      </c>
      <c r="G3427">
        <f>(Cpi_[[#This Row],[Value]]-F3426)/F3426</f>
        <v>4.47284345047924E-2</v>
      </c>
      <c r="H3427" t="e" cm="1" vm="1">
        <f t="array" aca="1" ref="H3427" ca="1">VLOOKUP(Cpi_[[#This Row],[Year]:[Month]],crudeoil[],3,FALSE)</f>
        <v>#VALUE!</v>
      </c>
    </row>
    <row r="3428" spans="1:8" hidden="1" x14ac:dyDescent="0.3">
      <c r="A3428" t="s">
        <v>30</v>
      </c>
      <c r="B3428">
        <v>2016</v>
      </c>
      <c r="C3428" t="s">
        <v>40</v>
      </c>
      <c r="D3428" t="s">
        <v>27</v>
      </c>
      <c r="E3428" t="e">
        <f>VLOOKUP(Cpi_[[#This Row],[Attribute]],#REF!,2,FALSE)</f>
        <v>#REF!</v>
      </c>
      <c r="F3428">
        <v>120.9</v>
      </c>
      <c r="G3428">
        <f>(Cpi_[[#This Row],[Value]]-F3427)/F3427</f>
        <v>-7.5688073394495445E-2</v>
      </c>
      <c r="H3428" t="e" cm="1" vm="1">
        <f t="array" aca="1" ref="H3428" ca="1">VLOOKUP(Cpi_[[#This Row],[Year]:[Month]],crudeoil[],3,FALSE)</f>
        <v>#VALUE!</v>
      </c>
    </row>
    <row r="3429" spans="1:8" hidden="1" x14ac:dyDescent="0.3">
      <c r="A3429" t="s">
        <v>30</v>
      </c>
      <c r="B3429">
        <v>2016</v>
      </c>
      <c r="C3429" t="s">
        <v>40</v>
      </c>
      <c r="D3429" t="s">
        <v>28</v>
      </c>
      <c r="E3429" t="e">
        <f>VLOOKUP(Cpi_[[#This Row],[Attribute]],#REF!,2,FALSE)</f>
        <v>#REF!</v>
      </c>
      <c r="F3429">
        <v>123.8</v>
      </c>
      <c r="G3429">
        <f>(Cpi_[[#This Row],[Value]]-F3428)/F3428</f>
        <v>2.3986765922249721E-2</v>
      </c>
      <c r="H3429" t="e" cm="1" vm="1">
        <f t="array" aca="1" ref="H3429" ca="1">VLOOKUP(Cpi_[[#This Row],[Year]:[Month]],crudeoil[],3,FALSE)</f>
        <v>#VALUE!</v>
      </c>
    </row>
    <row r="3430" spans="1:8" hidden="1" x14ac:dyDescent="0.3">
      <c r="A3430" t="s">
        <v>30</v>
      </c>
      <c r="B3430">
        <v>2016</v>
      </c>
      <c r="C3430" t="s">
        <v>40</v>
      </c>
      <c r="D3430" t="s">
        <v>29</v>
      </c>
      <c r="E3430" t="e" cm="1">
        <f t="array" aca="1" ref="E3430" ca="1">VLGeneral indexGeneral indexKUP(Cpi_[[#This Row],[Attribute]],#REF!,2,FALSE)</f>
        <v>#NAME?</v>
      </c>
      <c r="F3430">
        <v>133</v>
      </c>
      <c r="G3430">
        <f>(Cpi_[[#This Row],[Value]]-F3429)/F3429</f>
        <v>7.4313408723748003E-2</v>
      </c>
      <c r="H3430" t="e" cm="1" vm="1">
        <f t="array" aca="1" ref="H3430" ca="1">VLOOKUP(Cpi_[[#This Row],[Year]:[Month]],crudeoil[],3,FALSE)</f>
        <v>#VALUE!</v>
      </c>
    </row>
    <row r="3431" spans="1:8" hidden="1" x14ac:dyDescent="0.3">
      <c r="A3431" t="s">
        <v>33</v>
      </c>
      <c r="B3431">
        <v>2016</v>
      </c>
      <c r="C3431" t="s">
        <v>40</v>
      </c>
      <c r="D3431" t="s">
        <v>3</v>
      </c>
      <c r="E3431" t="e">
        <f>VLOOKUP(Cpi_[[#This Row],[Attribute]],#REF!,2,FALSE)</f>
        <v>#REF!</v>
      </c>
      <c r="F3431">
        <v>126.8</v>
      </c>
      <c r="G3431">
        <f>(Cpi_[[#This Row],[Value]]-F3430)/F3430</f>
        <v>-4.661654135338348E-2</v>
      </c>
      <c r="H3431" t="e" cm="1" vm="1">
        <f t="array" aca="1" ref="H3431" ca="1">VLOOKUP(Cpi_[[#This Row],[Year]:[Month]],crudeoil[],3,FALSE)</f>
        <v>#VALUE!</v>
      </c>
    </row>
    <row r="3432" spans="1:8" hidden="1" x14ac:dyDescent="0.3">
      <c r="A3432" t="s">
        <v>33</v>
      </c>
      <c r="B3432">
        <v>2016</v>
      </c>
      <c r="C3432" t="s">
        <v>40</v>
      </c>
      <c r="D3432" t="s">
        <v>4</v>
      </c>
      <c r="E3432" t="e">
        <f>VLOOKUP(Cpi_[[#This Row],[Attribute]],#REF!,2,FALSE)</f>
        <v>#REF!</v>
      </c>
      <c r="F3432">
        <v>144.19999999999999</v>
      </c>
      <c r="G3432">
        <f>(Cpi_[[#This Row],[Value]]-F3431)/F3431</f>
        <v>0.13722397476340686</v>
      </c>
      <c r="H3432" t="e" cm="1" vm="1">
        <f t="array" aca="1" ref="H3432" ca="1">VLOOKUP(Cpi_[[#This Row],[Year]:[Month]],crudeoil[],3,FALSE)</f>
        <v>#VALUE!</v>
      </c>
    </row>
    <row r="3433" spans="1:8" hidden="1" x14ac:dyDescent="0.3">
      <c r="A3433" t="s">
        <v>33</v>
      </c>
      <c r="B3433">
        <v>2016</v>
      </c>
      <c r="C3433" t="s">
        <v>40</v>
      </c>
      <c r="D3433" t="s">
        <v>5</v>
      </c>
      <c r="E3433" t="e">
        <f>VLOOKUP(Cpi_[[#This Row],[Attribute]],#REF!,2,FALSE)</f>
        <v>#REF!</v>
      </c>
      <c r="F3433">
        <v>136.6</v>
      </c>
      <c r="G3433">
        <f>(Cpi_[[#This Row],[Value]]-F3432)/F3432</f>
        <v>-5.2704576976421599E-2</v>
      </c>
      <c r="H3433" t="e" cm="1" vm="1">
        <f t="array" aca="1" ref="H3433" ca="1">VLOOKUP(Cpi_[[#This Row],[Year]:[Month]],crudeoil[],3,FALSE)</f>
        <v>#VALUE!</v>
      </c>
    </row>
    <row r="3434" spans="1:8" hidden="1" x14ac:dyDescent="0.3">
      <c r="A3434" t="s">
        <v>33</v>
      </c>
      <c r="B3434">
        <v>2016</v>
      </c>
      <c r="C3434" t="s">
        <v>40</v>
      </c>
      <c r="D3434" t="s">
        <v>6</v>
      </c>
      <c r="E3434" t="e">
        <f>VLOOKUP(Cpi_[[#This Row],[Attribute]],#REF!,2,FALSE)</f>
        <v>#REF!</v>
      </c>
      <c r="F3434">
        <v>131.80000000000001</v>
      </c>
      <c r="G3434">
        <f>(Cpi_[[#This Row],[Value]]-F3433)/F3433</f>
        <v>-3.5139092240117006E-2</v>
      </c>
      <c r="H3434" t="e" cm="1" vm="1">
        <f t="array" aca="1" ref="H3434" ca="1">VLOOKUP(Cpi_[[#This Row],[Year]:[Month]],crudeoil[],3,FALSE)</f>
        <v>#VALUE!</v>
      </c>
    </row>
    <row r="3435" spans="1:8" hidden="1" x14ac:dyDescent="0.3">
      <c r="A3435" t="s">
        <v>33</v>
      </c>
      <c r="B3435">
        <v>2016</v>
      </c>
      <c r="C3435" t="s">
        <v>40</v>
      </c>
      <c r="D3435" t="s">
        <v>7</v>
      </c>
      <c r="E3435" t="e">
        <f>VLOOKUP(Cpi_[[#This Row],[Attribute]],#REF!,2,FALSE)</f>
        <v>#REF!</v>
      </c>
      <c r="F3435">
        <v>111</v>
      </c>
      <c r="G3435">
        <f>(Cpi_[[#This Row],[Value]]-F3434)/F3434</f>
        <v>-0.15781487101669203</v>
      </c>
      <c r="H3435" t="e" cm="1" vm="1">
        <f t="array" aca="1" ref="H3435" ca="1">VLOOKUP(Cpi_[[#This Row],[Year]:[Month]],crudeoil[],3,FALSE)</f>
        <v>#VALUE!</v>
      </c>
    </row>
    <row r="3436" spans="1:8" hidden="1" x14ac:dyDescent="0.3">
      <c r="A3436" t="s">
        <v>33</v>
      </c>
      <c r="B3436">
        <v>2016</v>
      </c>
      <c r="C3436" t="s">
        <v>40</v>
      </c>
      <c r="D3436" t="s">
        <v>8</v>
      </c>
      <c r="E3436" t="e">
        <f>VLOOKUP(Cpi_[[#This Row],[Attribute]],#REF!,2,FALSE)</f>
        <v>#REF!</v>
      </c>
      <c r="F3436">
        <v>137</v>
      </c>
      <c r="G3436">
        <f>(Cpi_[[#This Row],[Value]]-F3435)/F3435</f>
        <v>0.23423423423423423</v>
      </c>
      <c r="H3436" t="e" cm="1" vm="1">
        <f t="array" aca="1" ref="H3436" ca="1">VLOOKUP(Cpi_[[#This Row],[Year]:[Month]],crudeoil[],3,FALSE)</f>
        <v>#VALUE!</v>
      </c>
    </row>
    <row r="3437" spans="1:8" hidden="1" x14ac:dyDescent="0.3">
      <c r="A3437" t="s">
        <v>33</v>
      </c>
      <c r="B3437">
        <v>2016</v>
      </c>
      <c r="C3437" t="s">
        <v>40</v>
      </c>
      <c r="D3437" t="s">
        <v>9</v>
      </c>
      <c r="E3437" t="e">
        <f>VLOOKUP(Cpi_[[#This Row],[Attribute]],#REF!,2,FALSE)</f>
        <v>#REF!</v>
      </c>
      <c r="F3437">
        <v>179.5</v>
      </c>
      <c r="G3437">
        <f>(Cpi_[[#This Row],[Value]]-F3436)/F3436</f>
        <v>0.31021897810218979</v>
      </c>
      <c r="H3437" t="e" cm="1" vm="1">
        <f t="array" aca="1" ref="H3437" ca="1">VLOOKUP(Cpi_[[#This Row],[Year]:[Month]],crudeoil[],3,FALSE)</f>
        <v>#VALUE!</v>
      </c>
    </row>
    <row r="3438" spans="1:8" hidden="1" x14ac:dyDescent="0.3">
      <c r="A3438" t="s">
        <v>33</v>
      </c>
      <c r="B3438">
        <v>2016</v>
      </c>
      <c r="C3438" t="s">
        <v>40</v>
      </c>
      <c r="D3438" t="s">
        <v>10</v>
      </c>
      <c r="E3438" t="e">
        <f>VLOOKUP(Cpi_[[#This Row],[Attribute]],#REF!,2,FALSE)</f>
        <v>#REF!</v>
      </c>
      <c r="F3438">
        <v>188.4</v>
      </c>
      <c r="G3438">
        <f>(Cpi_[[#This Row],[Value]]-F3437)/F3437</f>
        <v>4.9582172701949895E-2</v>
      </c>
      <c r="H3438" t="e" cm="1" vm="1">
        <f t="array" aca="1" ref="H3438" ca="1">VLOOKUP(Cpi_[[#This Row],[Year]:[Month]],crudeoil[],3,FALSE)</f>
        <v>#VALUE!</v>
      </c>
    </row>
    <row r="3439" spans="1:8" hidden="1" x14ac:dyDescent="0.3">
      <c r="A3439" t="s">
        <v>33</v>
      </c>
      <c r="B3439">
        <v>2016</v>
      </c>
      <c r="C3439" t="s">
        <v>40</v>
      </c>
      <c r="D3439" t="s">
        <v>11</v>
      </c>
      <c r="E3439" t="e">
        <f>VLOOKUP(Cpi_[[#This Row],[Attribute]],#REF!,2,FALSE)</f>
        <v>#REF!</v>
      </c>
      <c r="F3439">
        <v>113.3</v>
      </c>
      <c r="G3439">
        <f>(Cpi_[[#This Row],[Value]]-F3438)/F3438</f>
        <v>-0.39861995753715501</v>
      </c>
      <c r="H3439" t="e" cm="1" vm="1">
        <f t="array" aca="1" ref="H3439" ca="1">VLOOKUP(Cpi_[[#This Row],[Year]:[Month]],crudeoil[],3,FALSE)</f>
        <v>#VALUE!</v>
      </c>
    </row>
    <row r="3440" spans="1:8" hidden="1" x14ac:dyDescent="0.3">
      <c r="A3440" t="s">
        <v>33</v>
      </c>
      <c r="B3440">
        <v>2016</v>
      </c>
      <c r="C3440" t="s">
        <v>40</v>
      </c>
      <c r="D3440" t="s">
        <v>12</v>
      </c>
      <c r="E3440" t="e">
        <f>VLOOKUP(Cpi_[[#This Row],[Attribute]],#REF!,2,FALSE)</f>
        <v>#REF!</v>
      </c>
      <c r="F3440">
        <v>143.9</v>
      </c>
      <c r="G3440">
        <f>(Cpi_[[#This Row],[Value]]-F3439)/F3439</f>
        <v>0.27007943512797888</v>
      </c>
      <c r="H3440" t="e" cm="1" vm="1">
        <f t="array" aca="1" ref="H3440" ca="1">VLOOKUP(Cpi_[[#This Row],[Year]:[Month]],crudeoil[],3,FALSE)</f>
        <v>#VALUE!</v>
      </c>
    </row>
    <row r="3441" spans="1:8" hidden="1" x14ac:dyDescent="0.3">
      <c r="A3441" t="s">
        <v>33</v>
      </c>
      <c r="B3441">
        <v>2016</v>
      </c>
      <c r="C3441" t="s">
        <v>40</v>
      </c>
      <c r="D3441" t="s">
        <v>13</v>
      </c>
      <c r="E3441" t="e">
        <f>VLOOKUP(Cpi_[[#This Row],[Attribute]],#REF!,2,FALSE)</f>
        <v>#REF!</v>
      </c>
      <c r="F3441">
        <v>121.7</v>
      </c>
      <c r="G3441">
        <f>(Cpi_[[#This Row],[Value]]-F3440)/F3440</f>
        <v>-0.15427380125086868</v>
      </c>
      <c r="H3441" t="e" cm="1" vm="1">
        <f t="array" aca="1" ref="H3441" ca="1">VLOOKUP(Cpi_[[#This Row],[Year]:[Month]],crudeoil[],3,FALSE)</f>
        <v>#VALUE!</v>
      </c>
    </row>
    <row r="3442" spans="1:8" hidden="1" x14ac:dyDescent="0.3">
      <c r="A3442" t="s">
        <v>33</v>
      </c>
      <c r="B3442">
        <v>2016</v>
      </c>
      <c r="C3442" t="s">
        <v>40</v>
      </c>
      <c r="D3442" t="s">
        <v>14</v>
      </c>
      <c r="E3442" t="e">
        <f>VLOOKUP(Cpi_[[#This Row],[Attribute]],#REF!,2,FALSE)</f>
        <v>#REF!</v>
      </c>
      <c r="F3442">
        <v>137.5</v>
      </c>
      <c r="G3442">
        <f>(Cpi_[[#This Row],[Value]]-F3441)/F3441</f>
        <v>0.1298274445357436</v>
      </c>
      <c r="H3442" t="e" cm="1" vm="1">
        <f t="array" aca="1" ref="H3442" ca="1">VLOOKUP(Cpi_[[#This Row],[Year]:[Month]],crudeoil[],3,FALSE)</f>
        <v>#VALUE!</v>
      </c>
    </row>
    <row r="3443" spans="1:8" hidden="1" x14ac:dyDescent="0.3">
      <c r="A3443" t="s">
        <v>33</v>
      </c>
      <c r="B3443">
        <v>2016</v>
      </c>
      <c r="C3443" t="s">
        <v>40</v>
      </c>
      <c r="D3443" t="s">
        <v>15</v>
      </c>
      <c r="E3443" t="e">
        <f>VLOOKUP(Cpi_[[#This Row],[Attribute]],#REF!,2,FALSE)</f>
        <v>#REF!</v>
      </c>
      <c r="F3443">
        <v>139.80000000000001</v>
      </c>
      <c r="G3443">
        <f>(Cpi_[[#This Row],[Value]]-F3442)/F3442</f>
        <v>1.6727272727272809E-2</v>
      </c>
      <c r="H3443" t="e" cm="1" vm="1">
        <f t="array" aca="1" ref="H3443" ca="1">VLOOKUP(Cpi_[[#This Row],[Year]:[Month]],crudeoil[],3,FALSE)</f>
        <v>#VALUE!</v>
      </c>
    </row>
    <row r="3444" spans="1:8" hidden="1" x14ac:dyDescent="0.3">
      <c r="A3444" t="s">
        <v>33</v>
      </c>
      <c r="B3444">
        <v>2016</v>
      </c>
      <c r="C3444" t="s">
        <v>40</v>
      </c>
      <c r="D3444" t="s">
        <v>16</v>
      </c>
      <c r="E3444" t="e">
        <f>VLOOKUP(Cpi_[[#This Row],[Attribute]],#REF!,2,FALSE)</f>
        <v>#REF!</v>
      </c>
      <c r="F3444">
        <v>142.9</v>
      </c>
      <c r="G3444">
        <f>(Cpi_[[#This Row],[Value]]-F3443)/F3443</f>
        <v>2.2174535050071487E-2</v>
      </c>
      <c r="H3444" t="e" cm="1" vm="1">
        <f t="array" aca="1" ref="H3444" ca="1">VLOOKUP(Cpi_[[#This Row],[Year]:[Month]],crudeoil[],3,FALSE)</f>
        <v>#VALUE!</v>
      </c>
    </row>
    <row r="3445" spans="1:8" hidden="1" x14ac:dyDescent="0.3">
      <c r="A3445" t="s">
        <v>33</v>
      </c>
      <c r="B3445">
        <v>2016</v>
      </c>
      <c r="C3445" t="s">
        <v>40</v>
      </c>
      <c r="D3445" t="s">
        <v>17</v>
      </c>
      <c r="E3445" t="e">
        <f>VLOOKUP(Cpi_[[#This Row],[Attribute]],#REF!,2,FALSE)</f>
        <v>#REF!</v>
      </c>
      <c r="F3445">
        <v>127.9</v>
      </c>
      <c r="G3445">
        <f>(Cpi_[[#This Row],[Value]]-F3444)/F3444</f>
        <v>-0.10496850944716585</v>
      </c>
      <c r="H3445" t="e" cm="1" vm="1">
        <f t="array" aca="1" ref="H3445" ca="1">VLOOKUP(Cpi_[[#This Row],[Year]:[Month]],crudeoil[],3,FALSE)</f>
        <v>#VALUE!</v>
      </c>
    </row>
    <row r="3446" spans="1:8" hidden="1" x14ac:dyDescent="0.3">
      <c r="A3446" t="s">
        <v>33</v>
      </c>
      <c r="B3446">
        <v>2016</v>
      </c>
      <c r="C3446" t="s">
        <v>40</v>
      </c>
      <c r="D3446" t="s">
        <v>18</v>
      </c>
      <c r="E3446" t="e">
        <f>VLOOKUP(Cpi_[[#This Row],[Attribute]],#REF!,2,FALSE)</f>
        <v>#REF!</v>
      </c>
      <c r="F3446">
        <v>121.1</v>
      </c>
      <c r="G3446">
        <f>(Cpi_[[#This Row],[Value]]-F3445)/F3445</f>
        <v>-5.3166536356528626E-2</v>
      </c>
      <c r="H3446" t="e" cm="1" vm="1">
        <f t="array" aca="1" ref="H3446" ca="1">VLOOKUP(Cpi_[[#This Row],[Year]:[Month]],crudeoil[],3,FALSE)</f>
        <v>#VALUE!</v>
      </c>
    </row>
    <row r="3447" spans="1:8" hidden="1" x14ac:dyDescent="0.3">
      <c r="A3447" t="s">
        <v>33</v>
      </c>
      <c r="B3447">
        <v>2016</v>
      </c>
      <c r="C3447" t="s">
        <v>40</v>
      </c>
      <c r="D3447" t="s">
        <v>19</v>
      </c>
      <c r="E3447" t="e">
        <f>VLOOKUP(Cpi_[[#This Row],[Attribute]],#REF!,2,FALSE)</f>
        <v>#REF!</v>
      </c>
      <c r="F3447">
        <v>126.9</v>
      </c>
      <c r="G3447">
        <f>(Cpi_[[#This Row],[Value]]-F3446)/F3446</f>
        <v>4.7894302229562438E-2</v>
      </c>
      <c r="H3447" t="e" cm="1" vm="1">
        <f t="array" aca="1" ref="H3447" ca="1">VLOOKUP(Cpi_[[#This Row],[Year]:[Month]],crudeoil[],3,FALSE)</f>
        <v>#VALUE!</v>
      </c>
    </row>
    <row r="3448" spans="1:8" hidden="1" x14ac:dyDescent="0.3">
      <c r="A3448" t="s">
        <v>33</v>
      </c>
      <c r="B3448">
        <v>2016</v>
      </c>
      <c r="C3448" t="s">
        <v>40</v>
      </c>
      <c r="D3448" t="s">
        <v>20</v>
      </c>
      <c r="E3448" t="e">
        <f>VLOOKUP(Cpi_[[#This Row],[Attribute]],#REF!,2,FALSE)</f>
        <v>#REF!</v>
      </c>
      <c r="F3448">
        <v>126.4</v>
      </c>
      <c r="G3448">
        <f>(Cpi_[[#This Row],[Value]]-F3447)/F3447</f>
        <v>-3.9401103230890461E-3</v>
      </c>
      <c r="H3448" t="e" cm="1" vm="1">
        <f t="array" aca="1" ref="H3448" ca="1">VLOOKUP(Cpi_[[#This Row],[Year]:[Month]],crudeoil[],3,FALSE)</f>
        <v>#VALUE!</v>
      </c>
    </row>
    <row r="3449" spans="1:8" hidden="1" x14ac:dyDescent="0.3">
      <c r="A3449" t="s">
        <v>33</v>
      </c>
      <c r="B3449">
        <v>2016</v>
      </c>
      <c r="C3449" t="s">
        <v>40</v>
      </c>
      <c r="D3449" t="s">
        <v>21</v>
      </c>
      <c r="E3449" t="e">
        <f>VLOOKUP(Cpi_[[#This Row],[Attribute]],#REF!,2,FALSE)</f>
        <v>#REF!</v>
      </c>
      <c r="F3449">
        <v>115.5</v>
      </c>
      <c r="G3449">
        <f>(Cpi_[[#This Row],[Value]]-F3448)/F3448</f>
        <v>-8.6234177215189917E-2</v>
      </c>
      <c r="H3449" t="e" cm="1" vm="1">
        <f t="array" aca="1" ref="H3449" ca="1">VLOOKUP(Cpi_[[#This Row],[Year]:[Month]],crudeoil[],3,FALSE)</f>
        <v>#VALUE!</v>
      </c>
    </row>
    <row r="3450" spans="1:8" hidden="1" x14ac:dyDescent="0.3">
      <c r="A3450" t="s">
        <v>33</v>
      </c>
      <c r="B3450">
        <v>2016</v>
      </c>
      <c r="C3450" t="s">
        <v>40</v>
      </c>
      <c r="D3450" t="s">
        <v>22</v>
      </c>
      <c r="E3450" t="e">
        <f>VLOOKUP(Cpi_[[#This Row],[Attribute]],#REF!,2,FALSE)</f>
        <v>#REF!</v>
      </c>
      <c r="F3450">
        <v>123.5</v>
      </c>
      <c r="G3450">
        <f>(Cpi_[[#This Row],[Value]]-F3449)/F3449</f>
        <v>6.9264069264069264E-2</v>
      </c>
      <c r="H3450" t="e" cm="1" vm="1">
        <f t="array" aca="1" ref="H3450" ca="1">VLOOKUP(Cpi_[[#This Row],[Year]:[Month]],crudeoil[],3,FALSE)</f>
        <v>#VALUE!</v>
      </c>
    </row>
    <row r="3451" spans="1:8" hidden="1" x14ac:dyDescent="0.3">
      <c r="A3451" t="s">
        <v>33</v>
      </c>
      <c r="B3451">
        <v>2016</v>
      </c>
      <c r="C3451" t="s">
        <v>40</v>
      </c>
      <c r="D3451" t="s">
        <v>23</v>
      </c>
      <c r="E3451" t="e">
        <f>VLOOKUP(Cpi_[[#This Row],[Attribute]],#REF!,2,FALSE)</f>
        <v>#REF!</v>
      </c>
      <c r="F3451">
        <v>120.9</v>
      </c>
      <c r="G3451">
        <f>(Cpi_[[#This Row],[Value]]-F3450)/F3450</f>
        <v>-2.1052631578947323E-2</v>
      </c>
      <c r="H3451" t="e" cm="1" vm="1">
        <f t="array" aca="1" ref="H3451" ca="1">VLOOKUP(Cpi_[[#This Row],[Year]:[Month]],crudeoil[],3,FALSE)</f>
        <v>#VALUE!</v>
      </c>
    </row>
    <row r="3452" spans="1:8" hidden="1" x14ac:dyDescent="0.3">
      <c r="A3452" t="s">
        <v>33</v>
      </c>
      <c r="B3452">
        <v>2016</v>
      </c>
      <c r="C3452" t="s">
        <v>40</v>
      </c>
      <c r="D3452" t="s">
        <v>24</v>
      </c>
      <c r="E3452" t="e">
        <f>VLOOKUP(Cpi_[[#This Row],[Attribute]],#REF!,2,FALSE)</f>
        <v>#REF!</v>
      </c>
      <c r="F3452">
        <v>111.7</v>
      </c>
      <c r="G3452">
        <f>(Cpi_[[#This Row],[Value]]-F3451)/F3451</f>
        <v>-7.6095947063689023E-2</v>
      </c>
      <c r="H3452" t="e" cm="1" vm="1">
        <f t="array" aca="1" ref="H3452" ca="1">VLOOKUP(Cpi_[[#This Row],[Year]:[Month]],crudeoil[],3,FALSE)</f>
        <v>#VALUE!</v>
      </c>
    </row>
    <row r="3453" spans="1:8" hidden="1" x14ac:dyDescent="0.3">
      <c r="A3453" t="s">
        <v>33</v>
      </c>
      <c r="B3453">
        <v>2016</v>
      </c>
      <c r="C3453" t="s">
        <v>40</v>
      </c>
      <c r="D3453" t="s">
        <v>25</v>
      </c>
      <c r="E3453" t="e">
        <f>VLOOKUP(Cpi_[[#This Row],[Attribute]],#REF!,2,FALSE)</f>
        <v>#REF!</v>
      </c>
      <c r="F3453">
        <v>120.3</v>
      </c>
      <c r="G3453">
        <f>(Cpi_[[#This Row],[Value]]-F3452)/F3452</f>
        <v>7.6991942703670491E-2</v>
      </c>
      <c r="H3453" t="e" cm="1" vm="1">
        <f t="array" aca="1" ref="H3453" ca="1">VLOOKUP(Cpi_[[#This Row],[Year]:[Month]],crudeoil[],3,FALSE)</f>
        <v>#VALUE!</v>
      </c>
    </row>
    <row r="3454" spans="1:8" hidden="1" x14ac:dyDescent="0.3">
      <c r="A3454" t="s">
        <v>33</v>
      </c>
      <c r="B3454">
        <v>2016</v>
      </c>
      <c r="C3454" t="s">
        <v>40</v>
      </c>
      <c r="D3454" t="s">
        <v>26</v>
      </c>
      <c r="E3454" t="e">
        <f>VLOOKUP(Cpi_[[#This Row],[Attribute]],#REF!,2,FALSE)</f>
        <v>#REF!</v>
      </c>
      <c r="F3454">
        <v>130.80000000000001</v>
      </c>
      <c r="G3454">
        <f>(Cpi_[[#This Row],[Value]]-F3453)/F3453</f>
        <v>8.728179551122206E-2</v>
      </c>
      <c r="H3454" t="e" cm="1" vm="1">
        <f t="array" aca="1" ref="H3454" ca="1">VLOOKUP(Cpi_[[#This Row],[Year]:[Month]],crudeoil[],3,FALSE)</f>
        <v>#VALUE!</v>
      </c>
    </row>
    <row r="3455" spans="1:8" hidden="1" x14ac:dyDescent="0.3">
      <c r="A3455" t="s">
        <v>33</v>
      </c>
      <c r="B3455">
        <v>2016</v>
      </c>
      <c r="C3455" t="s">
        <v>40</v>
      </c>
      <c r="D3455" t="s">
        <v>27</v>
      </c>
      <c r="E3455" t="e">
        <f>VLOOKUP(Cpi_[[#This Row],[Attribute]],#REF!,2,FALSE)</f>
        <v>#REF!</v>
      </c>
      <c r="F3455">
        <v>120</v>
      </c>
      <c r="G3455">
        <f>(Cpi_[[#This Row],[Value]]-F3454)/F3454</f>
        <v>-8.2568807339449615E-2</v>
      </c>
      <c r="H3455" t="e" cm="1" vm="1">
        <f t="array" aca="1" ref="H3455" ca="1">VLOOKUP(Cpi_[[#This Row],[Year]:[Month]],crudeoil[],3,FALSE)</f>
        <v>#VALUE!</v>
      </c>
    </row>
    <row r="3456" spans="1:8" hidden="1" x14ac:dyDescent="0.3">
      <c r="A3456" t="s">
        <v>33</v>
      </c>
      <c r="B3456">
        <v>2016</v>
      </c>
      <c r="C3456" t="s">
        <v>40</v>
      </c>
      <c r="D3456" t="s">
        <v>28</v>
      </c>
      <c r="E3456" t="e">
        <f>VLOOKUP(Cpi_[[#This Row],[Attribute]],#REF!,2,FALSE)</f>
        <v>#REF!</v>
      </c>
      <c r="F3456">
        <v>119.9</v>
      </c>
      <c r="G3456">
        <f>(Cpi_[[#This Row],[Value]]-F3455)/F3455</f>
        <v>-8.3333333333328601E-4</v>
      </c>
      <c r="H3456" t="e" cm="1" vm="1">
        <f t="array" aca="1" ref="H3456" ca="1">VLOOKUP(Cpi_[[#This Row],[Year]:[Month]],crudeoil[],3,FALSE)</f>
        <v>#VALUE!</v>
      </c>
    </row>
    <row r="3457" spans="1:8" hidden="1" x14ac:dyDescent="0.3">
      <c r="A3457" t="s">
        <v>33</v>
      </c>
      <c r="B3457">
        <v>2016</v>
      </c>
      <c r="C3457" t="s">
        <v>40</v>
      </c>
      <c r="D3457" t="s">
        <v>29</v>
      </c>
      <c r="E3457" t="e" cm="1">
        <f t="array" aca="1" ref="E3457" ca="1">VLGeneral indexGeneral indexKUP(Cpi_[[#This Row],[Attribute]],#REF!,2,FALSE)</f>
        <v>#NAME?</v>
      </c>
      <c r="F3457">
        <v>129</v>
      </c>
      <c r="G3457">
        <f>(Cpi_[[#This Row],[Value]]-F3456)/F3456</f>
        <v>7.5896580483736389E-2</v>
      </c>
      <c r="H3457" t="e" cm="1" vm="1">
        <f t="array" aca="1" ref="H3457" ca="1">VLOOKUP(Cpi_[[#This Row],[Year]:[Month]],crudeoil[],3,FALSE)</f>
        <v>#VALUE!</v>
      </c>
    </row>
    <row r="3458" spans="1:8" hidden="1" x14ac:dyDescent="0.3">
      <c r="A3458" t="s">
        <v>34</v>
      </c>
      <c r="B3458">
        <v>2016</v>
      </c>
      <c r="C3458" t="s">
        <v>40</v>
      </c>
      <c r="D3458" t="s">
        <v>3</v>
      </c>
      <c r="E3458" t="e">
        <f>VLOOKUP(Cpi_[[#This Row],[Attribute]],#REF!,2,FALSE)</f>
        <v>#REF!</v>
      </c>
      <c r="F3458">
        <v>128.5</v>
      </c>
      <c r="G3458">
        <f>(Cpi_[[#This Row],[Value]]-F3457)/F3457</f>
        <v>-3.875968992248062E-3</v>
      </c>
      <c r="H3458" t="e" cm="1" vm="1">
        <f t="array" aca="1" ref="H3458" ca="1">VLOOKUP(Cpi_[[#This Row],[Year]:[Month]],crudeoil[],3,FALSE)</f>
        <v>#VALUE!</v>
      </c>
    </row>
    <row r="3459" spans="1:8" hidden="1" x14ac:dyDescent="0.3">
      <c r="A3459" t="s">
        <v>34</v>
      </c>
      <c r="B3459">
        <v>2016</v>
      </c>
      <c r="C3459" t="s">
        <v>40</v>
      </c>
      <c r="D3459" t="s">
        <v>4</v>
      </c>
      <c r="E3459" t="e">
        <f>VLOOKUP(Cpi_[[#This Row],[Attribute]],#REF!,2,FALSE)</f>
        <v>#REF!</v>
      </c>
      <c r="F3459">
        <v>141.19999999999999</v>
      </c>
      <c r="G3459">
        <f>(Cpi_[[#This Row],[Value]]-F3458)/F3458</f>
        <v>9.8832684824902636E-2</v>
      </c>
      <c r="H3459" t="e" cm="1" vm="1">
        <f t="array" aca="1" ref="H3459" ca="1">VLOOKUP(Cpi_[[#This Row],[Year]:[Month]],crudeoil[],3,FALSE)</f>
        <v>#VALUE!</v>
      </c>
    </row>
    <row r="3460" spans="1:8" hidden="1" x14ac:dyDescent="0.3">
      <c r="A3460" t="s">
        <v>34</v>
      </c>
      <c r="B3460">
        <v>2016</v>
      </c>
      <c r="C3460" t="s">
        <v>40</v>
      </c>
      <c r="D3460" t="s">
        <v>5</v>
      </c>
      <c r="E3460" t="e">
        <f>VLOOKUP(Cpi_[[#This Row],[Attribute]],#REF!,2,FALSE)</f>
        <v>#REF!</v>
      </c>
      <c r="F3460">
        <v>132.30000000000001</v>
      </c>
      <c r="G3460">
        <f>(Cpi_[[#This Row],[Value]]-F3459)/F3459</f>
        <v>-6.3031161473087668E-2</v>
      </c>
      <c r="H3460" t="e" cm="1" vm="1">
        <f t="array" aca="1" ref="H3460" ca="1">VLOOKUP(Cpi_[[#This Row],[Year]:[Month]],crudeoil[],3,FALSE)</f>
        <v>#VALUE!</v>
      </c>
    </row>
    <row r="3461" spans="1:8" hidden="1" x14ac:dyDescent="0.3">
      <c r="A3461" t="s">
        <v>34</v>
      </c>
      <c r="B3461">
        <v>2016</v>
      </c>
      <c r="C3461" t="s">
        <v>40</v>
      </c>
      <c r="D3461" t="s">
        <v>6</v>
      </c>
      <c r="E3461" t="e">
        <f>VLOOKUP(Cpi_[[#This Row],[Attribute]],#REF!,2,FALSE)</f>
        <v>#REF!</v>
      </c>
      <c r="F3461">
        <v>133.5</v>
      </c>
      <c r="G3461">
        <f>(Cpi_[[#This Row],[Value]]-F3460)/F3460</f>
        <v>9.0702947845804124E-3</v>
      </c>
      <c r="H3461" t="e" cm="1" vm="1">
        <f t="array" aca="1" ref="H3461" ca="1">VLOOKUP(Cpi_[[#This Row],[Year]:[Month]],crudeoil[],3,FALSE)</f>
        <v>#VALUE!</v>
      </c>
    </row>
    <row r="3462" spans="1:8" hidden="1" x14ac:dyDescent="0.3">
      <c r="A3462" t="s">
        <v>34</v>
      </c>
      <c r="B3462">
        <v>2016</v>
      </c>
      <c r="C3462" t="s">
        <v>40</v>
      </c>
      <c r="D3462" t="s">
        <v>7</v>
      </c>
      <c r="E3462" t="e">
        <f>VLOOKUP(Cpi_[[#This Row],[Attribute]],#REF!,2,FALSE)</f>
        <v>#REF!</v>
      </c>
      <c r="F3462">
        <v>116.4</v>
      </c>
      <c r="G3462">
        <f>(Cpi_[[#This Row],[Value]]-F3461)/F3461</f>
        <v>-0.1280898876404494</v>
      </c>
      <c r="H3462" t="e" cm="1" vm="1">
        <f t="array" aca="1" ref="H3462" ca="1">VLOOKUP(Cpi_[[#This Row],[Year]:[Month]],crudeoil[],3,FALSE)</f>
        <v>#VALUE!</v>
      </c>
    </row>
    <row r="3463" spans="1:8" hidden="1" x14ac:dyDescent="0.3">
      <c r="A3463" t="s">
        <v>34</v>
      </c>
      <c r="B3463">
        <v>2016</v>
      </c>
      <c r="C3463" t="s">
        <v>40</v>
      </c>
      <c r="D3463" t="s">
        <v>8</v>
      </c>
      <c r="E3463" t="e">
        <f>VLOOKUP(Cpi_[[#This Row],[Attribute]],#REF!,2,FALSE)</f>
        <v>#REF!</v>
      </c>
      <c r="F3463">
        <v>137.80000000000001</v>
      </c>
      <c r="G3463">
        <f>(Cpi_[[#This Row],[Value]]-F3462)/F3462</f>
        <v>0.18384879725085915</v>
      </c>
      <c r="H3463" t="e" cm="1" vm="1">
        <f t="array" aca="1" ref="H3463" ca="1">VLOOKUP(Cpi_[[#This Row],[Year]:[Month]],crudeoil[],3,FALSE)</f>
        <v>#VALUE!</v>
      </c>
    </row>
    <row r="3464" spans="1:8" hidden="1" x14ac:dyDescent="0.3">
      <c r="A3464" t="s">
        <v>34</v>
      </c>
      <c r="B3464">
        <v>2016</v>
      </c>
      <c r="C3464" t="s">
        <v>40</v>
      </c>
      <c r="D3464" t="s">
        <v>9</v>
      </c>
      <c r="E3464" t="e">
        <f>VLOOKUP(Cpi_[[#This Row],[Attribute]],#REF!,2,FALSE)</f>
        <v>#REF!</v>
      </c>
      <c r="F3464">
        <v>165.4</v>
      </c>
      <c r="G3464">
        <f>(Cpi_[[#This Row],[Value]]-F3463)/F3463</f>
        <v>0.20029027576197381</v>
      </c>
      <c r="H3464" t="e" cm="1" vm="1">
        <f t="array" aca="1" ref="H3464" ca="1">VLOOKUP(Cpi_[[#This Row],[Year]:[Month]],crudeoil[],3,FALSE)</f>
        <v>#VALUE!</v>
      </c>
    </row>
    <row r="3465" spans="1:8" hidden="1" x14ac:dyDescent="0.3">
      <c r="A3465" t="s">
        <v>34</v>
      </c>
      <c r="B3465">
        <v>2016</v>
      </c>
      <c r="C3465" t="s">
        <v>40</v>
      </c>
      <c r="D3465" t="s">
        <v>10</v>
      </c>
      <c r="E3465" t="e">
        <f>VLOOKUP(Cpi_[[#This Row],[Attribute]],#REF!,2,FALSE)</f>
        <v>#REF!</v>
      </c>
      <c r="F3465">
        <v>177.4</v>
      </c>
      <c r="G3465">
        <f>(Cpi_[[#This Row],[Value]]-F3464)/F3464</f>
        <v>7.2551390568319218E-2</v>
      </c>
      <c r="H3465" t="e" cm="1" vm="1">
        <f t="array" aca="1" ref="H3465" ca="1">VLOOKUP(Cpi_[[#This Row],[Year]:[Month]],crudeoil[],3,FALSE)</f>
        <v>#VALUE!</v>
      </c>
    </row>
    <row r="3466" spans="1:8" hidden="1" x14ac:dyDescent="0.3">
      <c r="A3466" t="s">
        <v>34</v>
      </c>
      <c r="B3466">
        <v>2016</v>
      </c>
      <c r="C3466" t="s">
        <v>40</v>
      </c>
      <c r="D3466" t="s">
        <v>11</v>
      </c>
      <c r="E3466" t="e">
        <f>VLOOKUP(Cpi_[[#This Row],[Attribute]],#REF!,2,FALSE)</f>
        <v>#REF!</v>
      </c>
      <c r="F3466">
        <v>111.3</v>
      </c>
      <c r="G3466">
        <f>(Cpi_[[#This Row],[Value]]-F3465)/F3465</f>
        <v>-0.37260428410372043</v>
      </c>
      <c r="H3466" t="e" cm="1" vm="1">
        <f t="array" aca="1" ref="H3466" ca="1">VLOOKUP(Cpi_[[#This Row],[Year]:[Month]],crudeoil[],3,FALSE)</f>
        <v>#VALUE!</v>
      </c>
    </row>
    <row r="3467" spans="1:8" hidden="1" x14ac:dyDescent="0.3">
      <c r="A3467" t="s">
        <v>34</v>
      </c>
      <c r="B3467">
        <v>2016</v>
      </c>
      <c r="C3467" t="s">
        <v>40</v>
      </c>
      <c r="D3467" t="s">
        <v>12</v>
      </c>
      <c r="E3467" t="e">
        <f>VLOOKUP(Cpi_[[#This Row],[Attribute]],#REF!,2,FALSE)</f>
        <v>#REF!</v>
      </c>
      <c r="F3467">
        <v>137.5</v>
      </c>
      <c r="G3467">
        <f>(Cpi_[[#This Row],[Value]]-F3466)/F3466</f>
        <v>0.23539982030548071</v>
      </c>
      <c r="H3467" t="e" cm="1" vm="1">
        <f t="array" aca="1" ref="H3467" ca="1">VLOOKUP(Cpi_[[#This Row],[Year]:[Month]],crudeoil[],3,FALSE)</f>
        <v>#VALUE!</v>
      </c>
    </row>
    <row r="3468" spans="1:8" hidden="1" x14ac:dyDescent="0.3">
      <c r="A3468" t="s">
        <v>34</v>
      </c>
      <c r="B3468">
        <v>2016</v>
      </c>
      <c r="C3468" t="s">
        <v>40</v>
      </c>
      <c r="D3468" t="s">
        <v>13</v>
      </c>
      <c r="E3468" t="e">
        <f>VLOOKUP(Cpi_[[#This Row],[Attribute]],#REF!,2,FALSE)</f>
        <v>#REF!</v>
      </c>
      <c r="F3468">
        <v>125</v>
      </c>
      <c r="G3468">
        <f>(Cpi_[[#This Row],[Value]]-F3467)/F3467</f>
        <v>-9.0909090909090912E-2</v>
      </c>
      <c r="H3468" t="e" cm="1" vm="1">
        <f t="array" aca="1" ref="H3468" ca="1">VLOOKUP(Cpi_[[#This Row],[Year]:[Month]],crudeoil[],3,FALSE)</f>
        <v>#VALUE!</v>
      </c>
    </row>
    <row r="3469" spans="1:8" hidden="1" x14ac:dyDescent="0.3">
      <c r="A3469" t="s">
        <v>34</v>
      </c>
      <c r="B3469">
        <v>2016</v>
      </c>
      <c r="C3469" t="s">
        <v>40</v>
      </c>
      <c r="D3469" t="s">
        <v>14</v>
      </c>
      <c r="E3469" t="e">
        <f>VLOOKUP(Cpi_[[#This Row],[Attribute]],#REF!,2,FALSE)</f>
        <v>#REF!</v>
      </c>
      <c r="F3469">
        <v>138.80000000000001</v>
      </c>
      <c r="G3469">
        <f>(Cpi_[[#This Row],[Value]]-F3468)/F3468</f>
        <v>0.1104000000000001</v>
      </c>
      <c r="H3469" t="e" cm="1" vm="1">
        <f t="array" aca="1" ref="H3469" ca="1">VLOOKUP(Cpi_[[#This Row],[Year]:[Month]],crudeoil[],3,FALSE)</f>
        <v>#VALUE!</v>
      </c>
    </row>
    <row r="3470" spans="1:8" hidden="1" x14ac:dyDescent="0.3">
      <c r="A3470" t="s">
        <v>34</v>
      </c>
      <c r="B3470">
        <v>2016</v>
      </c>
      <c r="C3470" t="s">
        <v>40</v>
      </c>
      <c r="D3470" t="s">
        <v>15</v>
      </c>
      <c r="E3470" t="e">
        <f>VLOOKUP(Cpi_[[#This Row],[Attribute]],#REF!,2,FALSE)</f>
        <v>#REF!</v>
      </c>
      <c r="F3470">
        <v>138.4</v>
      </c>
      <c r="G3470">
        <f>(Cpi_[[#This Row],[Value]]-F3469)/F3469</f>
        <v>-2.8818443804034988E-3</v>
      </c>
      <c r="H3470" t="e" cm="1" vm="1">
        <f t="array" aca="1" ref="H3470" ca="1">VLOOKUP(Cpi_[[#This Row],[Year]:[Month]],crudeoil[],3,FALSE)</f>
        <v>#VALUE!</v>
      </c>
    </row>
    <row r="3471" spans="1:8" hidden="1" x14ac:dyDescent="0.3">
      <c r="A3471" t="s">
        <v>34</v>
      </c>
      <c r="B3471">
        <v>2016</v>
      </c>
      <c r="C3471" t="s">
        <v>40</v>
      </c>
      <c r="D3471" t="s">
        <v>16</v>
      </c>
      <c r="E3471" t="e">
        <f>VLOOKUP(Cpi_[[#This Row],[Attribute]],#REF!,2,FALSE)</f>
        <v>#REF!</v>
      </c>
      <c r="F3471">
        <v>139.30000000000001</v>
      </c>
      <c r="G3471">
        <f>(Cpi_[[#This Row],[Value]]-F3470)/F3470</f>
        <v>6.5028901734104456E-3</v>
      </c>
      <c r="H3471" t="e" cm="1" vm="1">
        <f t="array" aca="1" ref="H3471" ca="1">VLOOKUP(Cpi_[[#This Row],[Year]:[Month]],crudeoil[],3,FALSE)</f>
        <v>#VALUE!</v>
      </c>
    </row>
    <row r="3472" spans="1:8" hidden="1" x14ac:dyDescent="0.3">
      <c r="A3472" t="s">
        <v>34</v>
      </c>
      <c r="B3472">
        <v>2016</v>
      </c>
      <c r="C3472" t="s">
        <v>40</v>
      </c>
      <c r="D3472" t="s">
        <v>17</v>
      </c>
      <c r="E3472" t="e">
        <f>VLOOKUP(Cpi_[[#This Row],[Attribute]],#REF!,2,FALSE)</f>
        <v>#REF!</v>
      </c>
      <c r="F3472">
        <v>133.5</v>
      </c>
      <c r="G3472">
        <f>(Cpi_[[#This Row],[Value]]-F3471)/F3471</f>
        <v>-4.1636755204594478E-2</v>
      </c>
      <c r="H3472" t="e" cm="1" vm="1">
        <f t="array" aca="1" ref="H3472" ca="1">VLOOKUP(Cpi_[[#This Row],[Year]:[Month]],crudeoil[],3,FALSE)</f>
        <v>#VALUE!</v>
      </c>
    </row>
    <row r="3473" spans="1:8" hidden="1" x14ac:dyDescent="0.3">
      <c r="A3473" t="s">
        <v>34</v>
      </c>
      <c r="B3473">
        <v>2016</v>
      </c>
      <c r="C3473" t="s">
        <v>40</v>
      </c>
      <c r="D3473" t="s">
        <v>18</v>
      </c>
      <c r="E3473" t="e">
        <f>VLOOKUP(Cpi_[[#This Row],[Attribute]],#REF!,2,FALSE)</f>
        <v>#REF!</v>
      </c>
      <c r="F3473">
        <v>127.6</v>
      </c>
      <c r="G3473">
        <f>(Cpi_[[#This Row],[Value]]-F3472)/F3472</f>
        <v>-4.4194756554307157E-2</v>
      </c>
      <c r="H3473" t="e" cm="1" vm="1">
        <f t="array" aca="1" ref="H3473" ca="1">VLOOKUP(Cpi_[[#This Row],[Year]:[Month]],crudeoil[],3,FALSE)</f>
        <v>#VALUE!</v>
      </c>
    </row>
    <row r="3474" spans="1:8" hidden="1" x14ac:dyDescent="0.3">
      <c r="A3474" t="s">
        <v>34</v>
      </c>
      <c r="B3474">
        <v>2016</v>
      </c>
      <c r="C3474" t="s">
        <v>40</v>
      </c>
      <c r="D3474" t="s">
        <v>19</v>
      </c>
      <c r="E3474" t="e">
        <f>VLOOKUP(Cpi_[[#This Row],[Attribute]],#REF!,2,FALSE)</f>
        <v>#REF!</v>
      </c>
      <c r="F3474">
        <v>132.69999999999999</v>
      </c>
      <c r="G3474">
        <f>(Cpi_[[#This Row],[Value]]-F3473)/F3473</f>
        <v>3.9968652037617514E-2</v>
      </c>
      <c r="H3474" t="e" cm="1" vm="1">
        <f t="array" aca="1" ref="H3474" ca="1">VLOOKUP(Cpi_[[#This Row],[Year]:[Month]],crudeoil[],3,FALSE)</f>
        <v>#VALUE!</v>
      </c>
    </row>
    <row r="3475" spans="1:8" hidden="1" x14ac:dyDescent="0.3">
      <c r="A3475" t="s">
        <v>34</v>
      </c>
      <c r="B3475">
        <v>2016</v>
      </c>
      <c r="C3475" t="s">
        <v>40</v>
      </c>
      <c r="D3475" t="s">
        <v>20</v>
      </c>
      <c r="E3475" t="e">
        <f>VLOOKUP(Cpi_[[#This Row],[Attribute]],#REF!,2,FALSE)</f>
        <v>#REF!</v>
      </c>
      <c r="F3475">
        <v>126.4</v>
      </c>
      <c r="G3475">
        <f>(Cpi_[[#This Row],[Value]]-F3474)/F3474</f>
        <v>-4.7475508666164158E-2</v>
      </c>
      <c r="H3475" t="e" cm="1" vm="1">
        <f t="array" aca="1" ref="H3475" ca="1">VLOOKUP(Cpi_[[#This Row],[Year]:[Month]],crudeoil[],3,FALSE)</f>
        <v>#VALUE!</v>
      </c>
    </row>
    <row r="3476" spans="1:8" hidden="1" x14ac:dyDescent="0.3">
      <c r="A3476" t="s">
        <v>34</v>
      </c>
      <c r="B3476">
        <v>2016</v>
      </c>
      <c r="C3476" t="s">
        <v>40</v>
      </c>
      <c r="D3476" t="s">
        <v>21</v>
      </c>
      <c r="E3476" t="e">
        <f>VLOOKUP(Cpi_[[#This Row],[Attribute]],#REF!,2,FALSE)</f>
        <v>#REF!</v>
      </c>
      <c r="F3476">
        <v>123.4</v>
      </c>
      <c r="G3476">
        <f>(Cpi_[[#This Row],[Value]]-F3475)/F3475</f>
        <v>-2.3734177215189872E-2</v>
      </c>
      <c r="H3476" t="e" cm="1" vm="1">
        <f t="array" aca="1" ref="H3476" ca="1">VLOOKUP(Cpi_[[#This Row],[Year]:[Month]],crudeoil[],3,FALSE)</f>
        <v>#VALUE!</v>
      </c>
    </row>
    <row r="3477" spans="1:8" hidden="1" x14ac:dyDescent="0.3">
      <c r="A3477" t="s">
        <v>34</v>
      </c>
      <c r="B3477">
        <v>2016</v>
      </c>
      <c r="C3477" t="s">
        <v>40</v>
      </c>
      <c r="D3477" t="s">
        <v>22</v>
      </c>
      <c r="E3477" t="e">
        <f>VLOOKUP(Cpi_[[#This Row],[Attribute]],#REF!,2,FALSE)</f>
        <v>#REF!</v>
      </c>
      <c r="F3477">
        <v>126.9</v>
      </c>
      <c r="G3477">
        <f>(Cpi_[[#This Row],[Value]]-F3476)/F3476</f>
        <v>2.8363047001620744E-2</v>
      </c>
      <c r="H3477" t="e" cm="1" vm="1">
        <f t="array" aca="1" ref="H3477" ca="1">VLOOKUP(Cpi_[[#This Row],[Year]:[Month]],crudeoil[],3,FALSE)</f>
        <v>#VALUE!</v>
      </c>
    </row>
    <row r="3478" spans="1:8" hidden="1" x14ac:dyDescent="0.3">
      <c r="A3478" t="s">
        <v>34</v>
      </c>
      <c r="B3478">
        <v>2016</v>
      </c>
      <c r="C3478" t="s">
        <v>40</v>
      </c>
      <c r="D3478" t="s">
        <v>23</v>
      </c>
      <c r="E3478" t="e">
        <f>VLOOKUP(Cpi_[[#This Row],[Attribute]],#REF!,2,FALSE)</f>
        <v>#REF!</v>
      </c>
      <c r="F3478">
        <v>124.5</v>
      </c>
      <c r="G3478">
        <f>(Cpi_[[#This Row],[Value]]-F3477)/F3477</f>
        <v>-1.8912529550827468E-2</v>
      </c>
      <c r="H3478" t="e" cm="1" vm="1">
        <f t="array" aca="1" ref="H3478" ca="1">VLOOKUP(Cpi_[[#This Row],[Year]:[Month]],crudeoil[],3,FALSE)</f>
        <v>#VALUE!</v>
      </c>
    </row>
    <row r="3479" spans="1:8" hidden="1" x14ac:dyDescent="0.3">
      <c r="A3479" t="s">
        <v>34</v>
      </c>
      <c r="B3479">
        <v>2016</v>
      </c>
      <c r="C3479" t="s">
        <v>40</v>
      </c>
      <c r="D3479" t="s">
        <v>24</v>
      </c>
      <c r="E3479" t="e">
        <f>VLOOKUP(Cpi_[[#This Row],[Attribute]],#REF!,2,FALSE)</f>
        <v>#REF!</v>
      </c>
      <c r="F3479">
        <v>113.9</v>
      </c>
      <c r="G3479">
        <f>(Cpi_[[#This Row],[Value]]-F3478)/F3478</f>
        <v>-8.5140562248995938E-2</v>
      </c>
      <c r="H3479" t="e" cm="1" vm="1">
        <f t="array" aca="1" ref="H3479" ca="1">VLOOKUP(Cpi_[[#This Row],[Year]:[Month]],crudeoil[],3,FALSE)</f>
        <v>#VALUE!</v>
      </c>
    </row>
    <row r="3480" spans="1:8" hidden="1" x14ac:dyDescent="0.3">
      <c r="A3480" t="s">
        <v>34</v>
      </c>
      <c r="B3480">
        <v>2016</v>
      </c>
      <c r="C3480" t="s">
        <v>40</v>
      </c>
      <c r="D3480" t="s">
        <v>25</v>
      </c>
      <c r="E3480" t="e">
        <f>VLOOKUP(Cpi_[[#This Row],[Attribute]],#REF!,2,FALSE)</f>
        <v>#REF!</v>
      </c>
      <c r="F3480">
        <v>122.4</v>
      </c>
      <c r="G3480">
        <f>(Cpi_[[#This Row],[Value]]-F3479)/F3479</f>
        <v>7.4626865671641784E-2</v>
      </c>
      <c r="H3480" t="e" cm="1" vm="1">
        <f t="array" aca="1" ref="H3480" ca="1">VLOOKUP(Cpi_[[#This Row],[Year]:[Month]],crudeoil[],3,FALSE)</f>
        <v>#VALUE!</v>
      </c>
    </row>
    <row r="3481" spans="1:8" hidden="1" x14ac:dyDescent="0.3">
      <c r="A3481" t="s">
        <v>34</v>
      </c>
      <c r="B3481">
        <v>2016</v>
      </c>
      <c r="C3481" t="s">
        <v>40</v>
      </c>
      <c r="D3481" t="s">
        <v>26</v>
      </c>
      <c r="E3481" t="e">
        <f>VLOOKUP(Cpi_[[#This Row],[Attribute]],#REF!,2,FALSE)</f>
        <v>#REF!</v>
      </c>
      <c r="F3481">
        <v>130.80000000000001</v>
      </c>
      <c r="G3481">
        <f>(Cpi_[[#This Row],[Value]]-F3480)/F3480</f>
        <v>6.8627450980392204E-2</v>
      </c>
      <c r="H3481" t="e" cm="1" vm="1">
        <f t="array" aca="1" ref="H3481" ca="1">VLOOKUP(Cpi_[[#This Row],[Year]:[Month]],crudeoil[],3,FALSE)</f>
        <v>#VALUE!</v>
      </c>
    </row>
    <row r="3482" spans="1:8" hidden="1" x14ac:dyDescent="0.3">
      <c r="A3482" t="s">
        <v>34</v>
      </c>
      <c r="B3482">
        <v>2016</v>
      </c>
      <c r="C3482" t="s">
        <v>40</v>
      </c>
      <c r="D3482" t="s">
        <v>27</v>
      </c>
      <c r="E3482" t="e">
        <f>VLOOKUP(Cpi_[[#This Row],[Attribute]],#REF!,2,FALSE)</f>
        <v>#REF!</v>
      </c>
      <c r="F3482">
        <v>120.5</v>
      </c>
      <c r="G3482">
        <f>(Cpi_[[#This Row],[Value]]-F3481)/F3481</f>
        <v>-7.8746177370030659E-2</v>
      </c>
      <c r="H3482" t="e" cm="1" vm="1">
        <f t="array" aca="1" ref="H3482" ca="1">VLOOKUP(Cpi_[[#This Row],[Year]:[Month]],crudeoil[],3,FALSE)</f>
        <v>#VALUE!</v>
      </c>
    </row>
    <row r="3483" spans="1:8" hidden="1" x14ac:dyDescent="0.3">
      <c r="A3483" t="s">
        <v>34</v>
      </c>
      <c r="B3483">
        <v>2016</v>
      </c>
      <c r="C3483" t="s">
        <v>40</v>
      </c>
      <c r="D3483" t="s">
        <v>28</v>
      </c>
      <c r="E3483" t="e">
        <f>VLOOKUP(Cpi_[[#This Row],[Attribute]],#REF!,2,FALSE)</f>
        <v>#REF!</v>
      </c>
      <c r="F3483">
        <v>121.9</v>
      </c>
      <c r="G3483">
        <f>(Cpi_[[#This Row],[Value]]-F3482)/F3482</f>
        <v>1.1618257261410836E-2</v>
      </c>
      <c r="H3483" t="e" cm="1" vm="1">
        <f t="array" aca="1" ref="H3483" ca="1">VLOOKUP(Cpi_[[#This Row],[Year]:[Month]],crudeoil[],3,FALSE)</f>
        <v>#VALUE!</v>
      </c>
    </row>
    <row r="3484" spans="1:8" hidden="1" x14ac:dyDescent="0.3">
      <c r="A3484" t="s">
        <v>34</v>
      </c>
      <c r="B3484">
        <v>2016</v>
      </c>
      <c r="C3484" t="s">
        <v>40</v>
      </c>
      <c r="D3484" t="s">
        <v>29</v>
      </c>
      <c r="E3484" t="e" cm="1">
        <f t="array" aca="1" ref="E3484" ca="1">VLGeneral indexGeneral indexKUP(Cpi_[[#This Row],[Attribute]],#REF!,2,FALSE)</f>
        <v>#NAME?</v>
      </c>
      <c r="F3484">
        <v>131.1</v>
      </c>
      <c r="G3484">
        <f>(Cpi_[[#This Row],[Value]]-F3483)/F3483</f>
        <v>7.5471698113207447E-2</v>
      </c>
      <c r="H3484" t="e" cm="1" vm="1">
        <f t="array" aca="1" ref="H3484" ca="1">VLOOKUP(Cpi_[[#This Row],[Year]:[Month]],crudeoil[],3,FALSE)</f>
        <v>#VALUE!</v>
      </c>
    </row>
    <row r="3485" spans="1:8" hidden="1" x14ac:dyDescent="0.3">
      <c r="A3485" t="s">
        <v>30</v>
      </c>
      <c r="B3485">
        <v>2016</v>
      </c>
      <c r="C3485" t="s">
        <v>41</v>
      </c>
      <c r="D3485" t="s">
        <v>3</v>
      </c>
      <c r="E3485" t="e">
        <f>VLOOKUP(Cpi_[[#This Row],[Attribute]],#REF!,2,FALSE)</f>
        <v>#REF!</v>
      </c>
      <c r="F3485">
        <v>130.1</v>
      </c>
      <c r="G3485">
        <f>(Cpi_[[#This Row],[Value]]-F3484)/F3484</f>
        <v>-7.6277650648360036E-3</v>
      </c>
      <c r="H3485" t="e" cm="1" vm="1">
        <f t="array" aca="1" ref="H3485" ca="1">VLOOKUP(Cpi_[[#This Row],[Year]:[Month]],crudeoil[],3,FALSE)</f>
        <v>#VALUE!</v>
      </c>
    </row>
    <row r="3486" spans="1:8" hidden="1" x14ac:dyDescent="0.3">
      <c r="A3486" t="s">
        <v>30</v>
      </c>
      <c r="B3486">
        <v>2016</v>
      </c>
      <c r="C3486" t="s">
        <v>41</v>
      </c>
      <c r="D3486" t="s">
        <v>4</v>
      </c>
      <c r="E3486" t="e">
        <f>VLOOKUP(Cpi_[[#This Row],[Attribute]],#REF!,2,FALSE)</f>
        <v>#REF!</v>
      </c>
      <c r="F3486">
        <v>138.80000000000001</v>
      </c>
      <c r="G3486">
        <f>(Cpi_[[#This Row],[Value]]-F3485)/F3485</f>
        <v>6.687163720215232E-2</v>
      </c>
      <c r="H3486" t="e" cm="1" vm="1">
        <f t="array" aca="1" ref="H3486" ca="1">VLOOKUP(Cpi_[[#This Row],[Year]:[Month]],crudeoil[],3,FALSE)</f>
        <v>#VALUE!</v>
      </c>
    </row>
    <row r="3487" spans="1:8" hidden="1" x14ac:dyDescent="0.3">
      <c r="A3487" t="s">
        <v>30</v>
      </c>
      <c r="B3487">
        <v>2016</v>
      </c>
      <c r="C3487" t="s">
        <v>41</v>
      </c>
      <c r="D3487" t="s">
        <v>5</v>
      </c>
      <c r="E3487" t="e">
        <f>VLOOKUP(Cpi_[[#This Row],[Attribute]],#REF!,2,FALSE)</f>
        <v>#REF!</v>
      </c>
      <c r="F3487">
        <v>130.30000000000001</v>
      </c>
      <c r="G3487">
        <f>(Cpi_[[#This Row],[Value]]-F3486)/F3486</f>
        <v>-6.1239193083573479E-2</v>
      </c>
      <c r="H3487" t="e" cm="1" vm="1">
        <f t="array" aca="1" ref="H3487" ca="1">VLOOKUP(Cpi_[[#This Row],[Year]:[Month]],crudeoil[],3,FALSE)</f>
        <v>#VALUE!</v>
      </c>
    </row>
    <row r="3488" spans="1:8" hidden="1" x14ac:dyDescent="0.3">
      <c r="A3488" t="s">
        <v>30</v>
      </c>
      <c r="B3488">
        <v>2016</v>
      </c>
      <c r="C3488" t="s">
        <v>41</v>
      </c>
      <c r="D3488" t="s">
        <v>6</v>
      </c>
      <c r="E3488" t="e">
        <f>VLOOKUP(Cpi_[[#This Row],[Attribute]],#REF!,2,FALSE)</f>
        <v>#REF!</v>
      </c>
      <c r="F3488">
        <v>135.30000000000001</v>
      </c>
      <c r="G3488">
        <f>(Cpi_[[#This Row],[Value]]-F3487)/F3487</f>
        <v>3.8372985418265539E-2</v>
      </c>
      <c r="H3488" t="e" cm="1" vm="1">
        <f t="array" aca="1" ref="H3488" ca="1">VLOOKUP(Cpi_[[#This Row],[Year]:[Month]],crudeoil[],3,FALSE)</f>
        <v>#VALUE!</v>
      </c>
    </row>
    <row r="3489" spans="1:8" hidden="1" x14ac:dyDescent="0.3">
      <c r="A3489" t="s">
        <v>30</v>
      </c>
      <c r="B3489">
        <v>2016</v>
      </c>
      <c r="C3489" t="s">
        <v>41</v>
      </c>
      <c r="D3489" t="s">
        <v>7</v>
      </c>
      <c r="E3489" t="e">
        <f>VLOOKUP(Cpi_[[#This Row],[Attribute]],#REF!,2,FALSE)</f>
        <v>#REF!</v>
      </c>
      <c r="F3489">
        <v>119.9</v>
      </c>
      <c r="G3489">
        <f>(Cpi_[[#This Row],[Value]]-F3488)/F3488</f>
        <v>-0.11382113821138215</v>
      </c>
      <c r="H3489" t="e" cm="1" vm="1">
        <f t="array" aca="1" ref="H3489" ca="1">VLOOKUP(Cpi_[[#This Row],[Year]:[Month]],crudeoil[],3,FALSE)</f>
        <v>#VALUE!</v>
      </c>
    </row>
    <row r="3490" spans="1:8" hidden="1" x14ac:dyDescent="0.3">
      <c r="A3490" t="s">
        <v>30</v>
      </c>
      <c r="B3490">
        <v>2016</v>
      </c>
      <c r="C3490" t="s">
        <v>41</v>
      </c>
      <c r="D3490" t="s">
        <v>8</v>
      </c>
      <c r="E3490" t="e">
        <f>VLOOKUP(Cpi_[[#This Row],[Attribute]],#REF!,2,FALSE)</f>
        <v>#REF!</v>
      </c>
      <c r="F3490">
        <v>140.19999999999999</v>
      </c>
      <c r="G3490">
        <f>(Cpi_[[#This Row],[Value]]-F3489)/F3489</f>
        <v>0.16930775646371962</v>
      </c>
      <c r="H3490" t="e" cm="1" vm="1">
        <f t="array" aca="1" ref="H3490" ca="1">VLOOKUP(Cpi_[[#This Row],[Year]:[Month]],crudeoil[],3,FALSE)</f>
        <v>#VALUE!</v>
      </c>
    </row>
    <row r="3491" spans="1:8" hidden="1" x14ac:dyDescent="0.3">
      <c r="A3491" t="s">
        <v>30</v>
      </c>
      <c r="B3491">
        <v>2016</v>
      </c>
      <c r="C3491" t="s">
        <v>41</v>
      </c>
      <c r="D3491" t="s">
        <v>9</v>
      </c>
      <c r="E3491" t="e">
        <f>VLOOKUP(Cpi_[[#This Row],[Attribute]],#REF!,2,FALSE)</f>
        <v>#REF!</v>
      </c>
      <c r="F3491">
        <v>156.9</v>
      </c>
      <c r="G3491">
        <f>(Cpi_[[#This Row],[Value]]-F3490)/F3490</f>
        <v>0.11911554921540669</v>
      </c>
      <c r="H3491" t="e" cm="1" vm="1">
        <f t="array" aca="1" ref="H3491" ca="1">VLOOKUP(Cpi_[[#This Row],[Year]:[Month]],crudeoil[],3,FALSE)</f>
        <v>#VALUE!</v>
      </c>
    </row>
    <row r="3492" spans="1:8" hidden="1" x14ac:dyDescent="0.3">
      <c r="A3492" t="s">
        <v>30</v>
      </c>
      <c r="B3492">
        <v>2016</v>
      </c>
      <c r="C3492" t="s">
        <v>41</v>
      </c>
      <c r="D3492" t="s">
        <v>10</v>
      </c>
      <c r="E3492" t="e">
        <f>VLOOKUP(Cpi_[[#This Row],[Attribute]],#REF!,2,FALSE)</f>
        <v>#REF!</v>
      </c>
      <c r="F3492">
        <v>172.2</v>
      </c>
      <c r="G3492">
        <f>(Cpi_[[#This Row],[Value]]-F3491)/F3491</f>
        <v>9.7514340344168143E-2</v>
      </c>
      <c r="H3492" t="e" cm="1" vm="1">
        <f t="array" aca="1" ref="H3492" ca="1">VLOOKUP(Cpi_[[#This Row],[Year]:[Month]],crudeoil[],3,FALSE)</f>
        <v>#VALUE!</v>
      </c>
    </row>
    <row r="3493" spans="1:8" hidden="1" x14ac:dyDescent="0.3">
      <c r="A3493" t="s">
        <v>30</v>
      </c>
      <c r="B3493">
        <v>2016</v>
      </c>
      <c r="C3493" t="s">
        <v>41</v>
      </c>
      <c r="D3493" t="s">
        <v>11</v>
      </c>
      <c r="E3493" t="e">
        <f>VLOOKUP(Cpi_[[#This Row],[Attribute]],#REF!,2,FALSE)</f>
        <v>#REF!</v>
      </c>
      <c r="F3493">
        <v>112.1</v>
      </c>
      <c r="G3493">
        <f>(Cpi_[[#This Row],[Value]]-F3492)/F3492</f>
        <v>-0.3490127758420441</v>
      </c>
      <c r="H3493" t="e" cm="1" vm="1">
        <f t="array" aca="1" ref="H3493" ca="1">VLOOKUP(Cpi_[[#This Row],[Year]:[Month]],crudeoil[],3,FALSE)</f>
        <v>#VALUE!</v>
      </c>
    </row>
    <row r="3494" spans="1:8" hidden="1" x14ac:dyDescent="0.3">
      <c r="A3494" t="s">
        <v>30</v>
      </c>
      <c r="B3494">
        <v>2016</v>
      </c>
      <c r="C3494" t="s">
        <v>41</v>
      </c>
      <c r="D3494" t="s">
        <v>12</v>
      </c>
      <c r="E3494" t="e">
        <f>VLOOKUP(Cpi_[[#This Row],[Attribute]],#REF!,2,FALSE)</f>
        <v>#REF!</v>
      </c>
      <c r="F3494">
        <v>134.9</v>
      </c>
      <c r="G3494">
        <f>(Cpi_[[#This Row],[Value]]-F3493)/F3493</f>
        <v>0.2033898305084747</v>
      </c>
      <c r="H3494" t="e" cm="1" vm="1">
        <f t="array" aca="1" ref="H3494" ca="1">VLOOKUP(Cpi_[[#This Row],[Year]:[Month]],crudeoil[],3,FALSE)</f>
        <v>#VALUE!</v>
      </c>
    </row>
    <row r="3495" spans="1:8" hidden="1" x14ac:dyDescent="0.3">
      <c r="A3495" t="s">
        <v>30</v>
      </c>
      <c r="B3495">
        <v>2016</v>
      </c>
      <c r="C3495" t="s">
        <v>41</v>
      </c>
      <c r="D3495" t="s">
        <v>13</v>
      </c>
      <c r="E3495" t="e">
        <f>VLOOKUP(Cpi_[[#This Row],[Attribute]],#REF!,2,FALSE)</f>
        <v>#REF!</v>
      </c>
      <c r="F3495">
        <v>128.1</v>
      </c>
      <c r="G3495">
        <f>(Cpi_[[#This Row],[Value]]-F3494)/F3494</f>
        <v>-5.0407709414381108E-2</v>
      </c>
      <c r="H3495" t="e" cm="1" vm="1">
        <f t="array" aca="1" ref="H3495" ca="1">VLOOKUP(Cpi_[[#This Row],[Year]:[Month]],crudeoil[],3,FALSE)</f>
        <v>#VALUE!</v>
      </c>
    </row>
    <row r="3496" spans="1:8" hidden="1" x14ac:dyDescent="0.3">
      <c r="A3496" t="s">
        <v>30</v>
      </c>
      <c r="B3496">
        <v>2016</v>
      </c>
      <c r="C3496" t="s">
        <v>41</v>
      </c>
      <c r="D3496" t="s">
        <v>14</v>
      </c>
      <c r="E3496" t="e">
        <f>VLOOKUP(Cpi_[[#This Row],[Attribute]],#REF!,2,FALSE)</f>
        <v>#REF!</v>
      </c>
      <c r="F3496">
        <v>140.69999999999999</v>
      </c>
      <c r="G3496">
        <f>(Cpi_[[#This Row],[Value]]-F3495)/F3495</f>
        <v>9.8360655737704875E-2</v>
      </c>
      <c r="H3496" t="e" cm="1" vm="1">
        <f t="array" aca="1" ref="H3496" ca="1">VLOOKUP(Cpi_[[#This Row],[Year]:[Month]],crudeoil[],3,FALSE)</f>
        <v>#VALUE!</v>
      </c>
    </row>
    <row r="3497" spans="1:8" hidden="1" x14ac:dyDescent="0.3">
      <c r="A3497" t="s">
        <v>30</v>
      </c>
      <c r="B3497">
        <v>2016</v>
      </c>
      <c r="C3497" t="s">
        <v>41</v>
      </c>
      <c r="D3497" t="s">
        <v>15</v>
      </c>
      <c r="E3497" t="e">
        <f>VLOOKUP(Cpi_[[#This Row],[Attribute]],#REF!,2,FALSE)</f>
        <v>#REF!</v>
      </c>
      <c r="F3497">
        <v>138</v>
      </c>
      <c r="G3497">
        <f>(Cpi_[[#This Row],[Value]]-F3496)/F3496</f>
        <v>-1.9189765458422096E-2</v>
      </c>
      <c r="H3497" t="e" cm="1" vm="1">
        <f t="array" aca="1" ref="H3497" ca="1">VLOOKUP(Cpi_[[#This Row],[Year]:[Month]],crudeoil[],3,FALSE)</f>
        <v>#VALUE!</v>
      </c>
    </row>
    <row r="3498" spans="1:8" hidden="1" x14ac:dyDescent="0.3">
      <c r="A3498" t="s">
        <v>30</v>
      </c>
      <c r="B3498">
        <v>2016</v>
      </c>
      <c r="C3498" t="s">
        <v>41</v>
      </c>
      <c r="D3498" t="s">
        <v>16</v>
      </c>
      <c r="E3498" t="e">
        <f>VLOOKUP(Cpi_[[#This Row],[Attribute]],#REF!,2,FALSE)</f>
        <v>#REF!</v>
      </c>
      <c r="F3498">
        <v>138.9</v>
      </c>
      <c r="G3498">
        <f>(Cpi_[[#This Row],[Value]]-F3497)/F3497</f>
        <v>6.5217391304348239E-3</v>
      </c>
      <c r="H3498" t="e" cm="1" vm="1">
        <f t="array" aca="1" ref="H3498" ca="1">VLOOKUP(Cpi_[[#This Row],[Year]:[Month]],crudeoil[],3,FALSE)</f>
        <v>#VALUE!</v>
      </c>
    </row>
    <row r="3499" spans="1:8" hidden="1" x14ac:dyDescent="0.3">
      <c r="A3499" t="s">
        <v>30</v>
      </c>
      <c r="B3499">
        <v>2016</v>
      </c>
      <c r="C3499" t="s">
        <v>41</v>
      </c>
      <c r="D3499" t="s">
        <v>17</v>
      </c>
      <c r="E3499" t="e">
        <f>VLOOKUP(Cpi_[[#This Row],[Attribute]],#REF!,2,FALSE)</f>
        <v>#REF!</v>
      </c>
      <c r="F3499">
        <v>137.80000000000001</v>
      </c>
      <c r="G3499">
        <f>(Cpi_[[#This Row],[Value]]-F3498)/F3498</f>
        <v>-7.919366450683904E-3</v>
      </c>
      <c r="H3499" t="e" cm="1" vm="1">
        <f t="array" aca="1" ref="H3499" ca="1">VLOOKUP(Cpi_[[#This Row],[Year]:[Month]],crudeoil[],3,FALSE)</f>
        <v>#VALUE!</v>
      </c>
    </row>
    <row r="3500" spans="1:8" hidden="1" x14ac:dyDescent="0.3">
      <c r="A3500" t="s">
        <v>30</v>
      </c>
      <c r="B3500">
        <v>2016</v>
      </c>
      <c r="C3500" t="s">
        <v>41</v>
      </c>
      <c r="D3500" t="s">
        <v>18</v>
      </c>
      <c r="E3500" t="e">
        <f>VLOOKUP(Cpi_[[#This Row],[Attribute]],#REF!,2,FALSE)</f>
        <v>#REF!</v>
      </c>
      <c r="F3500">
        <v>133</v>
      </c>
      <c r="G3500">
        <f>(Cpi_[[#This Row],[Value]]-F3499)/F3499</f>
        <v>-3.4833091436865103E-2</v>
      </c>
      <c r="H3500" t="e" cm="1" vm="1">
        <f t="array" aca="1" ref="H3500" ca="1">VLOOKUP(Cpi_[[#This Row],[Year]:[Month]],crudeoil[],3,FALSE)</f>
        <v>#VALUE!</v>
      </c>
    </row>
    <row r="3501" spans="1:8" hidden="1" x14ac:dyDescent="0.3">
      <c r="A3501" t="s">
        <v>30</v>
      </c>
      <c r="B3501">
        <v>2016</v>
      </c>
      <c r="C3501" t="s">
        <v>41</v>
      </c>
      <c r="D3501" t="s">
        <v>19</v>
      </c>
      <c r="E3501" t="e">
        <f>VLOOKUP(Cpi_[[#This Row],[Attribute]],#REF!,2,FALSE)</f>
        <v>#REF!</v>
      </c>
      <c r="F3501">
        <v>137.1</v>
      </c>
      <c r="G3501">
        <f>(Cpi_[[#This Row],[Value]]-F3500)/F3500</f>
        <v>3.082706766917289E-2</v>
      </c>
      <c r="H3501" t="e" cm="1" vm="1">
        <f t="array" aca="1" ref="H3501" ca="1">VLOOKUP(Cpi_[[#This Row],[Year]:[Month]],crudeoil[],3,FALSE)</f>
        <v>#VALUE!</v>
      </c>
    </row>
    <row r="3502" spans="1:8" hidden="1" x14ac:dyDescent="0.3">
      <c r="A3502" t="s">
        <v>30</v>
      </c>
      <c r="B3502">
        <v>2016</v>
      </c>
      <c r="C3502" t="s">
        <v>41</v>
      </c>
      <c r="D3502" t="s">
        <v>20</v>
      </c>
      <c r="E3502" t="e">
        <f>VLOOKUP(Cpi_[[#This Row],[Attribute]],#REF!,2,FALSE)</f>
        <v>#REF!</v>
      </c>
      <c r="F3502" t="s">
        <v>32</v>
      </c>
      <c r="G3502" t="e">
        <f>(Cpi_[[#This Row],[Value]]-F3501)/F3501</f>
        <v>#VALUE!</v>
      </c>
      <c r="H3502" t="e" cm="1" vm="1">
        <f t="array" aca="1" ref="H3502" ca="1">VLOOKUP(Cpi_[[#This Row],[Year]:[Month]],crudeoil[],3,FALSE)</f>
        <v>#VALUE!</v>
      </c>
    </row>
    <row r="3503" spans="1:8" hidden="1" x14ac:dyDescent="0.3">
      <c r="A3503" t="s">
        <v>30</v>
      </c>
      <c r="B3503">
        <v>2016</v>
      </c>
      <c r="C3503" t="s">
        <v>41</v>
      </c>
      <c r="D3503" t="s">
        <v>21</v>
      </c>
      <c r="E3503" t="e">
        <f>VLOOKUP(Cpi_[[#This Row],[Attribute]],#REF!,2,FALSE)</f>
        <v>#REF!</v>
      </c>
      <c r="F3503">
        <v>129.1</v>
      </c>
      <c r="G3503" t="e">
        <f>(Cpi_[[#This Row],[Value]]-F3502)/F3502</f>
        <v>#VALUE!</v>
      </c>
      <c r="H3503" t="e" cm="1" vm="1">
        <f t="array" aca="1" ref="H3503" ca="1">VLOOKUP(Cpi_[[#This Row],[Year]:[Month]],crudeoil[],3,FALSE)</f>
        <v>#VALUE!</v>
      </c>
    </row>
    <row r="3504" spans="1:8" hidden="1" x14ac:dyDescent="0.3">
      <c r="A3504" t="s">
        <v>30</v>
      </c>
      <c r="B3504">
        <v>2016</v>
      </c>
      <c r="C3504" t="s">
        <v>41</v>
      </c>
      <c r="D3504" t="s">
        <v>22</v>
      </c>
      <c r="E3504" t="e">
        <f>VLOOKUP(Cpi_[[#This Row],[Attribute]],#REF!,2,FALSE)</f>
        <v>#REF!</v>
      </c>
      <c r="F3504">
        <v>130.6</v>
      </c>
      <c r="G3504">
        <f>(Cpi_[[#This Row],[Value]]-F3503)/F3503</f>
        <v>1.1618900077459334E-2</v>
      </c>
      <c r="H3504" t="e" cm="1" vm="1">
        <f t="array" aca="1" ref="H3504" ca="1">VLOOKUP(Cpi_[[#This Row],[Year]:[Month]],crudeoil[],3,FALSE)</f>
        <v>#VALUE!</v>
      </c>
    </row>
    <row r="3505" spans="1:8" hidden="1" x14ac:dyDescent="0.3">
      <c r="A3505" t="s">
        <v>30</v>
      </c>
      <c r="B3505">
        <v>2016</v>
      </c>
      <c r="C3505" t="s">
        <v>41</v>
      </c>
      <c r="D3505" t="s">
        <v>23</v>
      </c>
      <c r="E3505" t="e">
        <f>VLOOKUP(Cpi_[[#This Row],[Attribute]],#REF!,2,FALSE)</f>
        <v>#REF!</v>
      </c>
      <c r="F3505">
        <v>127</v>
      </c>
      <c r="G3505">
        <f>(Cpi_[[#This Row],[Value]]-F3504)/F3504</f>
        <v>-2.7565084226646205E-2</v>
      </c>
      <c r="H3505" t="e" cm="1" vm="1">
        <f t="array" aca="1" ref="H3505" ca="1">VLOOKUP(Cpi_[[#This Row],[Year]:[Month]],crudeoil[],3,FALSE)</f>
        <v>#VALUE!</v>
      </c>
    </row>
    <row r="3506" spans="1:8" hidden="1" x14ac:dyDescent="0.3">
      <c r="A3506" t="s">
        <v>30</v>
      </c>
      <c r="B3506">
        <v>2016</v>
      </c>
      <c r="C3506" t="s">
        <v>41</v>
      </c>
      <c r="D3506" t="s">
        <v>24</v>
      </c>
      <c r="E3506" t="e">
        <f>VLOOKUP(Cpi_[[#This Row],[Attribute]],#REF!,2,FALSE)</f>
        <v>#REF!</v>
      </c>
      <c r="F3506">
        <v>116</v>
      </c>
      <c r="G3506">
        <f>(Cpi_[[#This Row],[Value]]-F3505)/F3505</f>
        <v>-8.6614173228346455E-2</v>
      </c>
      <c r="H3506" t="e" cm="1" vm="1">
        <f t="array" aca="1" ref="H3506" ca="1">VLOOKUP(Cpi_[[#This Row],[Year]:[Month]],crudeoil[],3,FALSE)</f>
        <v>#VALUE!</v>
      </c>
    </row>
    <row r="3507" spans="1:8" hidden="1" x14ac:dyDescent="0.3">
      <c r="A3507" t="s">
        <v>30</v>
      </c>
      <c r="B3507">
        <v>2016</v>
      </c>
      <c r="C3507" t="s">
        <v>41</v>
      </c>
      <c r="D3507" t="s">
        <v>25</v>
      </c>
      <c r="E3507" t="e">
        <f>VLOOKUP(Cpi_[[#This Row],[Attribute]],#REF!,2,FALSE)</f>
        <v>#REF!</v>
      </c>
      <c r="F3507">
        <v>125.5</v>
      </c>
      <c r="G3507">
        <f>(Cpi_[[#This Row],[Value]]-F3506)/F3506</f>
        <v>8.1896551724137928E-2</v>
      </c>
      <c r="H3507" t="e" cm="1" vm="1">
        <f t="array" aca="1" ref="H3507" ca="1">VLOOKUP(Cpi_[[#This Row],[Year]:[Month]],crudeoil[],3,FALSE)</f>
        <v>#VALUE!</v>
      </c>
    </row>
    <row r="3508" spans="1:8" hidden="1" x14ac:dyDescent="0.3">
      <c r="A3508" t="s">
        <v>30</v>
      </c>
      <c r="B3508">
        <v>2016</v>
      </c>
      <c r="C3508" t="s">
        <v>41</v>
      </c>
      <c r="D3508" t="s">
        <v>26</v>
      </c>
      <c r="E3508" t="e">
        <f>VLOOKUP(Cpi_[[#This Row],[Attribute]],#REF!,2,FALSE)</f>
        <v>#REF!</v>
      </c>
      <c r="F3508">
        <v>131.9</v>
      </c>
      <c r="G3508">
        <f>(Cpi_[[#This Row],[Value]]-F3507)/F3507</f>
        <v>5.0996015936255024E-2</v>
      </c>
      <c r="H3508" t="e" cm="1" vm="1">
        <f t="array" aca="1" ref="H3508" ca="1">VLOOKUP(Cpi_[[#This Row],[Year]:[Month]],crudeoil[],3,FALSE)</f>
        <v>#VALUE!</v>
      </c>
    </row>
    <row r="3509" spans="1:8" hidden="1" x14ac:dyDescent="0.3">
      <c r="A3509" t="s">
        <v>30</v>
      </c>
      <c r="B3509">
        <v>2016</v>
      </c>
      <c r="C3509" t="s">
        <v>41</v>
      </c>
      <c r="D3509" t="s">
        <v>27</v>
      </c>
      <c r="E3509" t="e">
        <f>VLOOKUP(Cpi_[[#This Row],[Attribute]],#REF!,2,FALSE)</f>
        <v>#REF!</v>
      </c>
      <c r="F3509">
        <v>122</v>
      </c>
      <c r="G3509">
        <f>(Cpi_[[#This Row],[Value]]-F3508)/F3508</f>
        <v>-7.5056861258529228E-2</v>
      </c>
      <c r="H3509" t="e" cm="1" vm="1">
        <f t="array" aca="1" ref="H3509" ca="1">VLOOKUP(Cpi_[[#This Row],[Year]:[Month]],crudeoil[],3,FALSE)</f>
        <v>#VALUE!</v>
      </c>
    </row>
    <row r="3510" spans="1:8" hidden="1" x14ac:dyDescent="0.3">
      <c r="A3510" t="s">
        <v>30</v>
      </c>
      <c r="B3510">
        <v>2016</v>
      </c>
      <c r="C3510" t="s">
        <v>41</v>
      </c>
      <c r="D3510" t="s">
        <v>28</v>
      </c>
      <c r="E3510" t="e">
        <f>VLOOKUP(Cpi_[[#This Row],[Attribute]],#REF!,2,FALSE)</f>
        <v>#REF!</v>
      </c>
      <c r="F3510">
        <v>124.2</v>
      </c>
      <c r="G3510">
        <f>(Cpi_[[#This Row],[Value]]-F3509)/F3509</f>
        <v>1.8032786885245924E-2</v>
      </c>
      <c r="H3510" t="e" cm="1" vm="1">
        <f t="array" aca="1" ref="H3510" ca="1">VLOOKUP(Cpi_[[#This Row],[Year]:[Month]],crudeoil[],3,FALSE)</f>
        <v>#VALUE!</v>
      </c>
    </row>
    <row r="3511" spans="1:8" hidden="1" x14ac:dyDescent="0.3">
      <c r="A3511" t="s">
        <v>30</v>
      </c>
      <c r="B3511">
        <v>2016</v>
      </c>
      <c r="C3511" t="s">
        <v>41</v>
      </c>
      <c r="D3511" t="s">
        <v>29</v>
      </c>
      <c r="E3511" t="e" cm="1">
        <f t="array" aca="1" ref="E3511" ca="1">VLGeneral indexGeneral indexKUP(Cpi_[[#This Row],[Attribute]],#REF!,2,FALSE)</f>
        <v>#NAME?</v>
      </c>
      <c r="F3511">
        <v>133.5</v>
      </c>
      <c r="G3511">
        <f>(Cpi_[[#This Row],[Value]]-F3510)/F3510</f>
        <v>7.4879227053140068E-2</v>
      </c>
      <c r="H3511" t="e" cm="1" vm="1">
        <f t="array" aca="1" ref="H3511" ca="1">VLOOKUP(Cpi_[[#This Row],[Year]:[Month]],crudeoil[],3,FALSE)</f>
        <v>#VALUE!</v>
      </c>
    </row>
    <row r="3512" spans="1:8" hidden="1" x14ac:dyDescent="0.3">
      <c r="A3512" t="s">
        <v>33</v>
      </c>
      <c r="B3512">
        <v>2016</v>
      </c>
      <c r="C3512" t="s">
        <v>41</v>
      </c>
      <c r="D3512" t="s">
        <v>3</v>
      </c>
      <c r="E3512" t="e">
        <f>VLOOKUP(Cpi_[[#This Row],[Attribute]],#REF!,2,FALSE)</f>
        <v>#REF!</v>
      </c>
      <c r="F3512">
        <v>127.6</v>
      </c>
      <c r="G3512">
        <f>(Cpi_[[#This Row],[Value]]-F3511)/F3511</f>
        <v>-4.4194756554307157E-2</v>
      </c>
      <c r="H3512" t="e" cm="1" vm="1">
        <f t="array" aca="1" ref="H3512" ca="1">VLOOKUP(Cpi_[[#This Row],[Year]:[Month]],crudeoil[],3,FALSE)</f>
        <v>#VALUE!</v>
      </c>
    </row>
    <row r="3513" spans="1:8" hidden="1" x14ac:dyDescent="0.3">
      <c r="A3513" t="s">
        <v>33</v>
      </c>
      <c r="B3513">
        <v>2016</v>
      </c>
      <c r="C3513" t="s">
        <v>41</v>
      </c>
      <c r="D3513" t="s">
        <v>4</v>
      </c>
      <c r="E3513" t="e">
        <f>VLOOKUP(Cpi_[[#This Row],[Attribute]],#REF!,2,FALSE)</f>
        <v>#REF!</v>
      </c>
      <c r="F3513">
        <v>140.30000000000001</v>
      </c>
      <c r="G3513">
        <f>(Cpi_[[#This Row],[Value]]-F3512)/F3512</f>
        <v>9.9529780564263468E-2</v>
      </c>
      <c r="H3513" t="e" cm="1" vm="1">
        <f t="array" aca="1" ref="H3513" ca="1">VLOOKUP(Cpi_[[#This Row],[Year]:[Month]],crudeoil[],3,FALSE)</f>
        <v>#VALUE!</v>
      </c>
    </row>
    <row r="3514" spans="1:8" hidden="1" x14ac:dyDescent="0.3">
      <c r="A3514" t="s">
        <v>33</v>
      </c>
      <c r="B3514">
        <v>2016</v>
      </c>
      <c r="C3514" t="s">
        <v>41</v>
      </c>
      <c r="D3514" t="s">
        <v>5</v>
      </c>
      <c r="E3514" t="e">
        <f>VLOOKUP(Cpi_[[#This Row],[Attribute]],#REF!,2,FALSE)</f>
        <v>#REF!</v>
      </c>
      <c r="F3514">
        <v>133.69999999999999</v>
      </c>
      <c r="G3514">
        <f>(Cpi_[[#This Row],[Value]]-F3513)/F3513</f>
        <v>-4.7042052744119899E-2</v>
      </c>
      <c r="H3514" t="e" cm="1" vm="1">
        <f t="array" aca="1" ref="H3514" ca="1">VLOOKUP(Cpi_[[#This Row],[Year]:[Month]],crudeoil[],3,FALSE)</f>
        <v>#VALUE!</v>
      </c>
    </row>
    <row r="3515" spans="1:8" hidden="1" x14ac:dyDescent="0.3">
      <c r="A3515" t="s">
        <v>33</v>
      </c>
      <c r="B3515">
        <v>2016</v>
      </c>
      <c r="C3515" t="s">
        <v>41</v>
      </c>
      <c r="D3515" t="s">
        <v>6</v>
      </c>
      <c r="E3515" t="e">
        <f>VLOOKUP(Cpi_[[#This Row],[Attribute]],#REF!,2,FALSE)</f>
        <v>#REF!</v>
      </c>
      <c r="F3515">
        <v>132.19999999999999</v>
      </c>
      <c r="G3515">
        <f>(Cpi_[[#This Row],[Value]]-F3514)/F3514</f>
        <v>-1.1219147344801795E-2</v>
      </c>
      <c r="H3515" t="e" cm="1" vm="1">
        <f t="array" aca="1" ref="H3515" ca="1">VLOOKUP(Cpi_[[#This Row],[Year]:[Month]],crudeoil[],3,FALSE)</f>
        <v>#VALUE!</v>
      </c>
    </row>
    <row r="3516" spans="1:8" hidden="1" x14ac:dyDescent="0.3">
      <c r="A3516" t="s">
        <v>33</v>
      </c>
      <c r="B3516">
        <v>2016</v>
      </c>
      <c r="C3516" t="s">
        <v>41</v>
      </c>
      <c r="D3516" t="s">
        <v>7</v>
      </c>
      <c r="E3516" t="e">
        <f>VLOOKUP(Cpi_[[#This Row],[Attribute]],#REF!,2,FALSE)</f>
        <v>#REF!</v>
      </c>
      <c r="F3516">
        <v>111.8</v>
      </c>
      <c r="G3516">
        <f>(Cpi_[[#This Row],[Value]]-F3515)/F3515</f>
        <v>-0.15431164901664141</v>
      </c>
      <c r="H3516" t="e" cm="1" vm="1">
        <f t="array" aca="1" ref="H3516" ca="1">VLOOKUP(Cpi_[[#This Row],[Year]:[Month]],crudeoil[],3,FALSE)</f>
        <v>#VALUE!</v>
      </c>
    </row>
    <row r="3517" spans="1:8" hidden="1" x14ac:dyDescent="0.3">
      <c r="A3517" t="s">
        <v>33</v>
      </c>
      <c r="B3517">
        <v>2016</v>
      </c>
      <c r="C3517" t="s">
        <v>41</v>
      </c>
      <c r="D3517" t="s">
        <v>8</v>
      </c>
      <c r="E3517" t="e">
        <f>VLOOKUP(Cpi_[[#This Row],[Attribute]],#REF!,2,FALSE)</f>
        <v>#REF!</v>
      </c>
      <c r="F3517">
        <v>135.80000000000001</v>
      </c>
      <c r="G3517">
        <f>(Cpi_[[#This Row],[Value]]-F3516)/F3516</f>
        <v>0.21466905187835433</v>
      </c>
      <c r="H3517" t="e" cm="1" vm="1">
        <f t="array" aca="1" ref="H3517" ca="1">VLOOKUP(Cpi_[[#This Row],[Year]:[Month]],crudeoil[],3,FALSE)</f>
        <v>#VALUE!</v>
      </c>
    </row>
    <row r="3518" spans="1:8" hidden="1" x14ac:dyDescent="0.3">
      <c r="A3518" t="s">
        <v>33</v>
      </c>
      <c r="B3518">
        <v>2016</v>
      </c>
      <c r="C3518" t="s">
        <v>41</v>
      </c>
      <c r="D3518" t="s">
        <v>9</v>
      </c>
      <c r="E3518" t="e">
        <f>VLOOKUP(Cpi_[[#This Row],[Attribute]],#REF!,2,FALSE)</f>
        <v>#REF!</v>
      </c>
      <c r="F3518">
        <v>163.5</v>
      </c>
      <c r="G3518">
        <f>(Cpi_[[#This Row],[Value]]-F3517)/F3517</f>
        <v>0.20397643593519871</v>
      </c>
      <c r="H3518" t="e" cm="1" vm="1">
        <f t="array" aca="1" ref="H3518" ca="1">VLOOKUP(Cpi_[[#This Row],[Year]:[Month]],crudeoil[],3,FALSE)</f>
        <v>#VALUE!</v>
      </c>
    </row>
    <row r="3519" spans="1:8" hidden="1" x14ac:dyDescent="0.3">
      <c r="A3519" t="s">
        <v>33</v>
      </c>
      <c r="B3519">
        <v>2016</v>
      </c>
      <c r="C3519" t="s">
        <v>41</v>
      </c>
      <c r="D3519" t="s">
        <v>10</v>
      </c>
      <c r="E3519" t="e">
        <f>VLOOKUP(Cpi_[[#This Row],[Attribute]],#REF!,2,FALSE)</f>
        <v>#REF!</v>
      </c>
      <c r="F3519">
        <v>182.3</v>
      </c>
      <c r="G3519">
        <f>(Cpi_[[#This Row],[Value]]-F3518)/F3518</f>
        <v>0.11498470948012239</v>
      </c>
      <c r="H3519" t="e" cm="1" vm="1">
        <f t="array" aca="1" ref="H3519" ca="1">VLOOKUP(Cpi_[[#This Row],[Year]:[Month]],crudeoil[],3,FALSE)</f>
        <v>#VALUE!</v>
      </c>
    </row>
    <row r="3520" spans="1:8" hidden="1" x14ac:dyDescent="0.3">
      <c r="A3520" t="s">
        <v>33</v>
      </c>
      <c r="B3520">
        <v>2016</v>
      </c>
      <c r="C3520" t="s">
        <v>41</v>
      </c>
      <c r="D3520" t="s">
        <v>11</v>
      </c>
      <c r="E3520" t="e">
        <f>VLOOKUP(Cpi_[[#This Row],[Attribute]],#REF!,2,FALSE)</f>
        <v>#REF!</v>
      </c>
      <c r="F3520">
        <v>114.6</v>
      </c>
      <c r="G3520">
        <f>(Cpi_[[#This Row],[Value]]-F3519)/F3519</f>
        <v>-0.37136588041689528</v>
      </c>
      <c r="H3520" t="e" cm="1" vm="1">
        <f t="array" aca="1" ref="H3520" ca="1">VLOOKUP(Cpi_[[#This Row],[Year]:[Month]],crudeoil[],3,FALSE)</f>
        <v>#VALUE!</v>
      </c>
    </row>
    <row r="3521" spans="1:8" hidden="1" x14ac:dyDescent="0.3">
      <c r="A3521" t="s">
        <v>33</v>
      </c>
      <c r="B3521">
        <v>2016</v>
      </c>
      <c r="C3521" t="s">
        <v>41</v>
      </c>
      <c r="D3521" t="s">
        <v>12</v>
      </c>
      <c r="E3521" t="e">
        <f>VLOOKUP(Cpi_[[#This Row],[Attribute]],#REF!,2,FALSE)</f>
        <v>#REF!</v>
      </c>
      <c r="F3521">
        <v>144.6</v>
      </c>
      <c r="G3521">
        <f>(Cpi_[[#This Row],[Value]]-F3520)/F3520</f>
        <v>0.26178010471204188</v>
      </c>
      <c r="H3521" t="e" cm="1" vm="1">
        <f t="array" aca="1" ref="H3521" ca="1">VLOOKUP(Cpi_[[#This Row],[Year]:[Month]],crudeoil[],3,FALSE)</f>
        <v>#VALUE!</v>
      </c>
    </row>
    <row r="3522" spans="1:8" hidden="1" x14ac:dyDescent="0.3">
      <c r="A3522" t="s">
        <v>33</v>
      </c>
      <c r="B3522">
        <v>2016</v>
      </c>
      <c r="C3522" t="s">
        <v>41</v>
      </c>
      <c r="D3522" t="s">
        <v>13</v>
      </c>
      <c r="E3522" t="e">
        <f>VLOOKUP(Cpi_[[#This Row],[Attribute]],#REF!,2,FALSE)</f>
        <v>#REF!</v>
      </c>
      <c r="F3522">
        <v>121.9</v>
      </c>
      <c r="G3522">
        <f>(Cpi_[[#This Row],[Value]]-F3521)/F3521</f>
        <v>-0.15698478561549092</v>
      </c>
      <c r="H3522" t="e" cm="1" vm="1">
        <f t="array" aca="1" ref="H3522" ca="1">VLOOKUP(Cpi_[[#This Row],[Year]:[Month]],crudeoil[],3,FALSE)</f>
        <v>#VALUE!</v>
      </c>
    </row>
    <row r="3523" spans="1:8" hidden="1" x14ac:dyDescent="0.3">
      <c r="A3523" t="s">
        <v>33</v>
      </c>
      <c r="B3523">
        <v>2016</v>
      </c>
      <c r="C3523" t="s">
        <v>41</v>
      </c>
      <c r="D3523" t="s">
        <v>14</v>
      </c>
      <c r="E3523" t="e">
        <f>VLOOKUP(Cpi_[[#This Row],[Attribute]],#REF!,2,FALSE)</f>
        <v>#REF!</v>
      </c>
      <c r="F3523">
        <v>138.1</v>
      </c>
      <c r="G3523">
        <f>(Cpi_[[#This Row],[Value]]-F3522)/F3522</f>
        <v>0.13289581624282187</v>
      </c>
      <c r="H3523" t="e" cm="1" vm="1">
        <f t="array" aca="1" ref="H3523" ca="1">VLOOKUP(Cpi_[[#This Row],[Year]:[Month]],crudeoil[],3,FALSE)</f>
        <v>#VALUE!</v>
      </c>
    </row>
    <row r="3524" spans="1:8" hidden="1" x14ac:dyDescent="0.3">
      <c r="A3524" t="s">
        <v>33</v>
      </c>
      <c r="B3524">
        <v>2016</v>
      </c>
      <c r="C3524" t="s">
        <v>41</v>
      </c>
      <c r="D3524" t="s">
        <v>15</v>
      </c>
      <c r="E3524" t="e">
        <f>VLOOKUP(Cpi_[[#This Row],[Attribute]],#REF!,2,FALSE)</f>
        <v>#REF!</v>
      </c>
      <c r="F3524">
        <v>137.6</v>
      </c>
      <c r="G3524">
        <f>(Cpi_[[#This Row],[Value]]-F3523)/F3523</f>
        <v>-3.6205648081100651E-3</v>
      </c>
      <c r="H3524" t="e" cm="1" vm="1">
        <f t="array" aca="1" ref="H3524" ca="1">VLOOKUP(Cpi_[[#This Row],[Year]:[Month]],crudeoil[],3,FALSE)</f>
        <v>#VALUE!</v>
      </c>
    </row>
    <row r="3525" spans="1:8" hidden="1" x14ac:dyDescent="0.3">
      <c r="A3525" t="s">
        <v>33</v>
      </c>
      <c r="B3525">
        <v>2016</v>
      </c>
      <c r="C3525" t="s">
        <v>41</v>
      </c>
      <c r="D3525" t="s">
        <v>16</v>
      </c>
      <c r="E3525" t="e">
        <f>VLOOKUP(Cpi_[[#This Row],[Attribute]],#REF!,2,FALSE)</f>
        <v>#REF!</v>
      </c>
      <c r="F3525">
        <v>143.6</v>
      </c>
      <c r="G3525">
        <f>(Cpi_[[#This Row],[Value]]-F3524)/F3524</f>
        <v>4.3604651162790699E-2</v>
      </c>
      <c r="H3525" t="e" cm="1" vm="1">
        <f t="array" aca="1" ref="H3525" ca="1">VLOOKUP(Cpi_[[#This Row],[Year]:[Month]],crudeoil[],3,FALSE)</f>
        <v>#VALUE!</v>
      </c>
    </row>
    <row r="3526" spans="1:8" hidden="1" x14ac:dyDescent="0.3">
      <c r="A3526" t="s">
        <v>33</v>
      </c>
      <c r="B3526">
        <v>2016</v>
      </c>
      <c r="C3526" t="s">
        <v>41</v>
      </c>
      <c r="D3526" t="s">
        <v>17</v>
      </c>
      <c r="E3526" t="e">
        <f>VLOOKUP(Cpi_[[#This Row],[Attribute]],#REF!,2,FALSE)</f>
        <v>#REF!</v>
      </c>
      <c r="F3526">
        <v>128.30000000000001</v>
      </c>
      <c r="G3526">
        <f>(Cpi_[[#This Row],[Value]]-F3525)/F3525</f>
        <v>-0.10654596100278541</v>
      </c>
      <c r="H3526" t="e" cm="1" vm="1">
        <f t="array" aca="1" ref="H3526" ca="1">VLOOKUP(Cpi_[[#This Row],[Year]:[Month]],crudeoil[],3,FALSE)</f>
        <v>#VALUE!</v>
      </c>
    </row>
    <row r="3527" spans="1:8" hidden="1" x14ac:dyDescent="0.3">
      <c r="A3527" t="s">
        <v>33</v>
      </c>
      <c r="B3527">
        <v>2016</v>
      </c>
      <c r="C3527" t="s">
        <v>41</v>
      </c>
      <c r="D3527" t="s">
        <v>18</v>
      </c>
      <c r="E3527" t="e">
        <f>VLOOKUP(Cpi_[[#This Row],[Attribute]],#REF!,2,FALSE)</f>
        <v>#REF!</v>
      </c>
      <c r="F3527">
        <v>121.4</v>
      </c>
      <c r="G3527">
        <f>(Cpi_[[#This Row],[Value]]-F3526)/F3526</f>
        <v>-5.3780202650039008E-2</v>
      </c>
      <c r="H3527" t="e" cm="1" vm="1">
        <f t="array" aca="1" ref="H3527" ca="1">VLOOKUP(Cpi_[[#This Row],[Year]:[Month]],crudeoil[],3,FALSE)</f>
        <v>#VALUE!</v>
      </c>
    </row>
    <row r="3528" spans="1:8" hidden="1" x14ac:dyDescent="0.3">
      <c r="A3528" t="s">
        <v>33</v>
      </c>
      <c r="B3528">
        <v>2016</v>
      </c>
      <c r="C3528" t="s">
        <v>41</v>
      </c>
      <c r="D3528" t="s">
        <v>19</v>
      </c>
      <c r="E3528" t="e">
        <f>VLOOKUP(Cpi_[[#This Row],[Attribute]],#REF!,2,FALSE)</f>
        <v>#REF!</v>
      </c>
      <c r="F3528">
        <v>127.3</v>
      </c>
      <c r="G3528">
        <f>(Cpi_[[#This Row],[Value]]-F3527)/F3527</f>
        <v>4.8599670510708327E-2</v>
      </c>
      <c r="H3528" t="e" cm="1" vm="1">
        <f t="array" aca="1" ref="H3528" ca="1">VLOOKUP(Cpi_[[#This Row],[Year]:[Month]],crudeoil[],3,FALSE)</f>
        <v>#VALUE!</v>
      </c>
    </row>
    <row r="3529" spans="1:8" hidden="1" x14ac:dyDescent="0.3">
      <c r="A3529" t="s">
        <v>33</v>
      </c>
      <c r="B3529">
        <v>2016</v>
      </c>
      <c r="C3529" t="s">
        <v>41</v>
      </c>
      <c r="D3529" t="s">
        <v>20</v>
      </c>
      <c r="E3529" t="e">
        <f>VLOOKUP(Cpi_[[#This Row],[Attribute]],#REF!,2,FALSE)</f>
        <v>#REF!</v>
      </c>
      <c r="F3529">
        <v>127.3</v>
      </c>
      <c r="G3529">
        <f>(Cpi_[[#This Row],[Value]]-F3528)/F3528</f>
        <v>0</v>
      </c>
      <c r="H3529" t="e" cm="1" vm="1">
        <f t="array" aca="1" ref="H3529" ca="1">VLOOKUP(Cpi_[[#This Row],[Year]:[Month]],crudeoil[],3,FALSE)</f>
        <v>#VALUE!</v>
      </c>
    </row>
    <row r="3530" spans="1:8" hidden="1" x14ac:dyDescent="0.3">
      <c r="A3530" t="s">
        <v>33</v>
      </c>
      <c r="B3530">
        <v>2016</v>
      </c>
      <c r="C3530" t="s">
        <v>41</v>
      </c>
      <c r="D3530" t="s">
        <v>21</v>
      </c>
      <c r="E3530" t="e">
        <f>VLOOKUP(Cpi_[[#This Row],[Attribute]],#REF!,2,FALSE)</f>
        <v>#REF!</v>
      </c>
      <c r="F3530">
        <v>114.7</v>
      </c>
      <c r="G3530">
        <f>(Cpi_[[#This Row],[Value]]-F3529)/F3529</f>
        <v>-9.8978790259230121E-2</v>
      </c>
      <c r="H3530" t="e" cm="1" vm="1">
        <f t="array" aca="1" ref="H3530" ca="1">VLOOKUP(Cpi_[[#This Row],[Year]:[Month]],crudeoil[],3,FALSE)</f>
        <v>#VALUE!</v>
      </c>
    </row>
    <row r="3531" spans="1:8" hidden="1" x14ac:dyDescent="0.3">
      <c r="A3531" t="s">
        <v>33</v>
      </c>
      <c r="B3531">
        <v>2016</v>
      </c>
      <c r="C3531" t="s">
        <v>41</v>
      </c>
      <c r="D3531" t="s">
        <v>22</v>
      </c>
      <c r="E3531" t="e">
        <f>VLOOKUP(Cpi_[[#This Row],[Attribute]],#REF!,2,FALSE)</f>
        <v>#REF!</v>
      </c>
      <c r="F3531">
        <v>123.9</v>
      </c>
      <c r="G3531">
        <f>(Cpi_[[#This Row],[Value]]-F3530)/F3530</f>
        <v>8.0209241499564099E-2</v>
      </c>
      <c r="H3531" t="e" cm="1" vm="1">
        <f t="array" aca="1" ref="H3531" ca="1">VLOOKUP(Cpi_[[#This Row],[Year]:[Month]],crudeoil[],3,FALSE)</f>
        <v>#VALUE!</v>
      </c>
    </row>
    <row r="3532" spans="1:8" hidden="1" x14ac:dyDescent="0.3">
      <c r="A3532" t="s">
        <v>33</v>
      </c>
      <c r="B3532">
        <v>2016</v>
      </c>
      <c r="C3532" t="s">
        <v>41</v>
      </c>
      <c r="D3532" t="s">
        <v>23</v>
      </c>
      <c r="E3532" t="e">
        <f>VLOOKUP(Cpi_[[#This Row],[Attribute]],#REF!,2,FALSE)</f>
        <v>#REF!</v>
      </c>
      <c r="F3532">
        <v>121.2</v>
      </c>
      <c r="G3532">
        <f>(Cpi_[[#This Row],[Value]]-F3531)/F3531</f>
        <v>-2.1791767554479442E-2</v>
      </c>
      <c r="H3532" t="e" cm="1" vm="1">
        <f t="array" aca="1" ref="H3532" ca="1">VLOOKUP(Cpi_[[#This Row],[Year]:[Month]],crudeoil[],3,FALSE)</f>
        <v>#VALUE!</v>
      </c>
    </row>
    <row r="3533" spans="1:8" hidden="1" x14ac:dyDescent="0.3">
      <c r="A3533" t="s">
        <v>33</v>
      </c>
      <c r="B3533">
        <v>2016</v>
      </c>
      <c r="C3533" t="s">
        <v>41</v>
      </c>
      <c r="D3533" t="s">
        <v>24</v>
      </c>
      <c r="E3533" t="e">
        <f>VLOOKUP(Cpi_[[#This Row],[Attribute]],#REF!,2,FALSE)</f>
        <v>#REF!</v>
      </c>
      <c r="F3533">
        <v>110.4</v>
      </c>
      <c r="G3533">
        <f>(Cpi_[[#This Row],[Value]]-F3532)/F3532</f>
        <v>-8.9108910891089077E-2</v>
      </c>
      <c r="H3533" t="e" cm="1" vm="1">
        <f t="array" aca="1" ref="H3533" ca="1">VLOOKUP(Cpi_[[#This Row],[Year]:[Month]],crudeoil[],3,FALSE)</f>
        <v>#VALUE!</v>
      </c>
    </row>
    <row r="3534" spans="1:8" hidden="1" x14ac:dyDescent="0.3">
      <c r="A3534" t="s">
        <v>33</v>
      </c>
      <c r="B3534">
        <v>2016</v>
      </c>
      <c r="C3534" t="s">
        <v>41</v>
      </c>
      <c r="D3534" t="s">
        <v>25</v>
      </c>
      <c r="E3534" t="e">
        <f>VLOOKUP(Cpi_[[#This Row],[Attribute]],#REF!,2,FALSE)</f>
        <v>#REF!</v>
      </c>
      <c r="F3534">
        <v>120.6</v>
      </c>
      <c r="G3534">
        <f>(Cpi_[[#This Row],[Value]]-F3533)/F3533</f>
        <v>9.2391304347825984E-2</v>
      </c>
      <c r="H3534" t="e" cm="1" vm="1">
        <f t="array" aca="1" ref="H3534" ca="1">VLOOKUP(Cpi_[[#This Row],[Year]:[Month]],crudeoil[],3,FALSE)</f>
        <v>#VALUE!</v>
      </c>
    </row>
    <row r="3535" spans="1:8" hidden="1" x14ac:dyDescent="0.3">
      <c r="A3535" t="s">
        <v>33</v>
      </c>
      <c r="B3535">
        <v>2016</v>
      </c>
      <c r="C3535" t="s">
        <v>41</v>
      </c>
      <c r="D3535" t="s">
        <v>26</v>
      </c>
      <c r="E3535" t="e">
        <f>VLOOKUP(Cpi_[[#This Row],[Attribute]],#REF!,2,FALSE)</f>
        <v>#REF!</v>
      </c>
      <c r="F3535">
        <v>131.5</v>
      </c>
      <c r="G3535">
        <f>(Cpi_[[#This Row],[Value]]-F3534)/F3534</f>
        <v>9.0381426202321771E-2</v>
      </c>
      <c r="H3535" t="e" cm="1" vm="1">
        <f t="array" aca="1" ref="H3535" ca="1">VLOOKUP(Cpi_[[#This Row],[Year]:[Month]],crudeoil[],3,FALSE)</f>
        <v>#VALUE!</v>
      </c>
    </row>
    <row r="3536" spans="1:8" hidden="1" x14ac:dyDescent="0.3">
      <c r="A3536" t="s">
        <v>33</v>
      </c>
      <c r="B3536">
        <v>2016</v>
      </c>
      <c r="C3536" t="s">
        <v>41</v>
      </c>
      <c r="D3536" t="s">
        <v>27</v>
      </c>
      <c r="E3536" t="e">
        <f>VLOOKUP(Cpi_[[#This Row],[Attribute]],#REF!,2,FALSE)</f>
        <v>#REF!</v>
      </c>
      <c r="F3536">
        <v>120.9</v>
      </c>
      <c r="G3536">
        <f>(Cpi_[[#This Row],[Value]]-F3535)/F3535</f>
        <v>-8.0608365019011363E-2</v>
      </c>
      <c r="H3536" t="e" cm="1" vm="1">
        <f t="array" aca="1" ref="H3536" ca="1">VLOOKUP(Cpi_[[#This Row],[Year]:[Month]],crudeoil[],3,FALSE)</f>
        <v>#VALUE!</v>
      </c>
    </row>
    <row r="3537" spans="1:8" hidden="1" x14ac:dyDescent="0.3">
      <c r="A3537" t="s">
        <v>33</v>
      </c>
      <c r="B3537">
        <v>2016</v>
      </c>
      <c r="C3537" t="s">
        <v>41</v>
      </c>
      <c r="D3537" t="s">
        <v>28</v>
      </c>
      <c r="E3537" t="e">
        <f>VLOOKUP(Cpi_[[#This Row],[Attribute]],#REF!,2,FALSE)</f>
        <v>#REF!</v>
      </c>
      <c r="F3537">
        <v>119.9</v>
      </c>
      <c r="G3537">
        <f>(Cpi_[[#This Row],[Value]]-F3536)/F3536</f>
        <v>-8.271298593879239E-3</v>
      </c>
      <c r="H3537" t="e" cm="1" vm="1">
        <f t="array" aca="1" ref="H3537" ca="1">VLOOKUP(Cpi_[[#This Row],[Year]:[Month]],crudeoil[],3,FALSE)</f>
        <v>#VALUE!</v>
      </c>
    </row>
    <row r="3538" spans="1:8" hidden="1" x14ac:dyDescent="0.3">
      <c r="A3538" t="s">
        <v>33</v>
      </c>
      <c r="B3538">
        <v>2016</v>
      </c>
      <c r="C3538" t="s">
        <v>41</v>
      </c>
      <c r="D3538" t="s">
        <v>29</v>
      </c>
      <c r="E3538" t="e" cm="1">
        <f t="array" aca="1" ref="E3538" ca="1">VLGeneral indexGeneral indexKUP(Cpi_[[#This Row],[Attribute]],#REF!,2,FALSE)</f>
        <v>#NAME?</v>
      </c>
      <c r="F3538">
        <v>128.4</v>
      </c>
      <c r="G3538">
        <f>(Cpi_[[#This Row],[Value]]-F3537)/F3537</f>
        <v>7.0892410341951623E-2</v>
      </c>
      <c r="H3538" t="e" cm="1" vm="1">
        <f t="array" aca="1" ref="H3538" ca="1">VLOOKUP(Cpi_[[#This Row],[Year]:[Month]],crudeoil[],3,FALSE)</f>
        <v>#VALUE!</v>
      </c>
    </row>
    <row r="3539" spans="1:8" hidden="1" x14ac:dyDescent="0.3">
      <c r="A3539" t="s">
        <v>34</v>
      </c>
      <c r="B3539">
        <v>2016</v>
      </c>
      <c r="C3539" t="s">
        <v>41</v>
      </c>
      <c r="D3539" t="s">
        <v>3</v>
      </c>
      <c r="E3539" t="e">
        <f>VLOOKUP(Cpi_[[#This Row],[Attribute]],#REF!,2,FALSE)</f>
        <v>#REF!</v>
      </c>
      <c r="F3539">
        <v>129.30000000000001</v>
      </c>
      <c r="G3539">
        <f>(Cpi_[[#This Row],[Value]]-F3538)/F3538</f>
        <v>7.0093457943925675E-3</v>
      </c>
      <c r="H3539" t="e" cm="1" vm="1">
        <f t="array" aca="1" ref="H3539" ca="1">VLOOKUP(Cpi_[[#This Row],[Year]:[Month]],crudeoil[],3,FALSE)</f>
        <v>#VALUE!</v>
      </c>
    </row>
    <row r="3540" spans="1:8" hidden="1" x14ac:dyDescent="0.3">
      <c r="A3540" t="s">
        <v>34</v>
      </c>
      <c r="B3540">
        <v>2016</v>
      </c>
      <c r="C3540" t="s">
        <v>41</v>
      </c>
      <c r="D3540" t="s">
        <v>4</v>
      </c>
      <c r="E3540" t="e">
        <f>VLOOKUP(Cpi_[[#This Row],[Attribute]],#REF!,2,FALSE)</f>
        <v>#REF!</v>
      </c>
      <c r="F3540">
        <v>139.30000000000001</v>
      </c>
      <c r="G3540">
        <f>(Cpi_[[#This Row],[Value]]-F3539)/F3539</f>
        <v>7.7339520494972919E-2</v>
      </c>
      <c r="H3540" t="e" cm="1" vm="1">
        <f t="array" aca="1" ref="H3540" ca="1">VLOOKUP(Cpi_[[#This Row],[Year]:[Month]],crudeoil[],3,FALSE)</f>
        <v>#VALUE!</v>
      </c>
    </row>
    <row r="3541" spans="1:8" hidden="1" x14ac:dyDescent="0.3">
      <c r="A3541" t="s">
        <v>34</v>
      </c>
      <c r="B3541">
        <v>2016</v>
      </c>
      <c r="C3541" t="s">
        <v>41</v>
      </c>
      <c r="D3541" t="s">
        <v>5</v>
      </c>
      <c r="E3541" t="e">
        <f>VLOOKUP(Cpi_[[#This Row],[Attribute]],#REF!,2,FALSE)</f>
        <v>#REF!</v>
      </c>
      <c r="F3541">
        <v>131.6</v>
      </c>
      <c r="G3541">
        <f>(Cpi_[[#This Row],[Value]]-F3540)/F3540</f>
        <v>-5.5276381909547853E-2</v>
      </c>
      <c r="H3541" t="e" cm="1" vm="1">
        <f t="array" aca="1" ref="H3541" ca="1">VLOOKUP(Cpi_[[#This Row],[Year]:[Month]],crudeoil[],3,FALSE)</f>
        <v>#VALUE!</v>
      </c>
    </row>
    <row r="3542" spans="1:8" hidden="1" x14ac:dyDescent="0.3">
      <c r="A3542" t="s">
        <v>34</v>
      </c>
      <c r="B3542">
        <v>2016</v>
      </c>
      <c r="C3542" t="s">
        <v>41</v>
      </c>
      <c r="D3542" t="s">
        <v>6</v>
      </c>
      <c r="E3542" t="e">
        <f>VLOOKUP(Cpi_[[#This Row],[Attribute]],#REF!,2,FALSE)</f>
        <v>#REF!</v>
      </c>
      <c r="F3542">
        <v>134.1</v>
      </c>
      <c r="G3542">
        <f>(Cpi_[[#This Row],[Value]]-F3541)/F3541</f>
        <v>1.8996960486322188E-2</v>
      </c>
      <c r="H3542" t="e" cm="1" vm="1">
        <f t="array" aca="1" ref="H3542" ca="1">VLOOKUP(Cpi_[[#This Row],[Year]:[Month]],crudeoil[],3,FALSE)</f>
        <v>#VALUE!</v>
      </c>
    </row>
    <row r="3543" spans="1:8" hidden="1" x14ac:dyDescent="0.3">
      <c r="A3543" t="s">
        <v>34</v>
      </c>
      <c r="B3543">
        <v>2016</v>
      </c>
      <c r="C3543" t="s">
        <v>41</v>
      </c>
      <c r="D3543" t="s">
        <v>7</v>
      </c>
      <c r="E3543" t="e">
        <f>VLOOKUP(Cpi_[[#This Row],[Attribute]],#REF!,2,FALSE)</f>
        <v>#REF!</v>
      </c>
      <c r="F3543">
        <v>116.9</v>
      </c>
      <c r="G3543">
        <f>(Cpi_[[#This Row],[Value]]-F3542)/F3542</f>
        <v>-0.12826249067859799</v>
      </c>
      <c r="H3543" t="e" cm="1" vm="1">
        <f t="array" aca="1" ref="H3543" ca="1">VLOOKUP(Cpi_[[#This Row],[Year]:[Month]],crudeoil[],3,FALSE)</f>
        <v>#VALUE!</v>
      </c>
    </row>
    <row r="3544" spans="1:8" hidden="1" x14ac:dyDescent="0.3">
      <c r="A3544" t="s">
        <v>34</v>
      </c>
      <c r="B3544">
        <v>2016</v>
      </c>
      <c r="C3544" t="s">
        <v>41</v>
      </c>
      <c r="D3544" t="s">
        <v>8</v>
      </c>
      <c r="E3544" t="e">
        <f>VLOOKUP(Cpi_[[#This Row],[Attribute]],#REF!,2,FALSE)</f>
        <v>#REF!</v>
      </c>
      <c r="F3544">
        <v>138.1</v>
      </c>
      <c r="G3544">
        <f>(Cpi_[[#This Row],[Value]]-F3543)/F3543</f>
        <v>0.18135158254918723</v>
      </c>
      <c r="H3544" t="e" cm="1" vm="1">
        <f t="array" aca="1" ref="H3544" ca="1">VLOOKUP(Cpi_[[#This Row],[Year]:[Month]],crudeoil[],3,FALSE)</f>
        <v>#VALUE!</v>
      </c>
    </row>
    <row r="3545" spans="1:8" hidden="1" x14ac:dyDescent="0.3">
      <c r="A3545" t="s">
        <v>34</v>
      </c>
      <c r="B3545">
        <v>2016</v>
      </c>
      <c r="C3545" t="s">
        <v>41</v>
      </c>
      <c r="D3545" t="s">
        <v>9</v>
      </c>
      <c r="E3545" t="e">
        <f>VLOOKUP(Cpi_[[#This Row],[Attribute]],#REF!,2,FALSE)</f>
        <v>#REF!</v>
      </c>
      <c r="F3545">
        <v>159.1</v>
      </c>
      <c r="G3545">
        <f>(Cpi_[[#This Row],[Value]]-F3544)/F3544</f>
        <v>0.15206372194062273</v>
      </c>
      <c r="H3545" t="e" cm="1" vm="1">
        <f t="array" aca="1" ref="H3545" ca="1">VLOOKUP(Cpi_[[#This Row],[Year]:[Month]],crudeoil[],3,FALSE)</f>
        <v>#VALUE!</v>
      </c>
    </row>
    <row r="3546" spans="1:8" hidden="1" x14ac:dyDescent="0.3">
      <c r="A3546" t="s">
        <v>34</v>
      </c>
      <c r="B3546">
        <v>2016</v>
      </c>
      <c r="C3546" t="s">
        <v>41</v>
      </c>
      <c r="D3546" t="s">
        <v>10</v>
      </c>
      <c r="E3546" t="e">
        <f>VLOOKUP(Cpi_[[#This Row],[Attribute]],#REF!,2,FALSE)</f>
        <v>#REF!</v>
      </c>
      <c r="F3546">
        <v>175.6</v>
      </c>
      <c r="G3546">
        <f>(Cpi_[[#This Row],[Value]]-F3545)/F3545</f>
        <v>0.10370835952231301</v>
      </c>
      <c r="H3546" t="e" cm="1" vm="1">
        <f t="array" aca="1" ref="H3546" ca="1">VLOOKUP(Cpi_[[#This Row],[Year]:[Month]],crudeoil[],3,FALSE)</f>
        <v>#VALUE!</v>
      </c>
    </row>
    <row r="3547" spans="1:8" hidden="1" x14ac:dyDescent="0.3">
      <c r="A3547" t="s">
        <v>34</v>
      </c>
      <c r="B3547">
        <v>2016</v>
      </c>
      <c r="C3547" t="s">
        <v>41</v>
      </c>
      <c r="D3547" t="s">
        <v>11</v>
      </c>
      <c r="E3547" t="e">
        <f>VLOOKUP(Cpi_[[#This Row],[Attribute]],#REF!,2,FALSE)</f>
        <v>#REF!</v>
      </c>
      <c r="F3547">
        <v>112.9</v>
      </c>
      <c r="G3547">
        <f>(Cpi_[[#This Row],[Value]]-F3546)/F3546</f>
        <v>-0.35706150341685644</v>
      </c>
      <c r="H3547" t="e" cm="1" vm="1">
        <f t="array" aca="1" ref="H3547" ca="1">VLOOKUP(Cpi_[[#This Row],[Year]:[Month]],crudeoil[],3,FALSE)</f>
        <v>#VALUE!</v>
      </c>
    </row>
    <row r="3548" spans="1:8" hidden="1" x14ac:dyDescent="0.3">
      <c r="A3548" t="s">
        <v>34</v>
      </c>
      <c r="B3548">
        <v>2016</v>
      </c>
      <c r="C3548" t="s">
        <v>41</v>
      </c>
      <c r="D3548" t="s">
        <v>12</v>
      </c>
      <c r="E3548" t="e">
        <f>VLOOKUP(Cpi_[[#This Row],[Attribute]],#REF!,2,FALSE)</f>
        <v>#REF!</v>
      </c>
      <c r="F3548">
        <v>138.1</v>
      </c>
      <c r="G3548">
        <f>(Cpi_[[#This Row],[Value]]-F3547)/F3547</f>
        <v>0.22320637732506632</v>
      </c>
      <c r="H3548" t="e" cm="1" vm="1">
        <f t="array" aca="1" ref="H3548" ca="1">VLOOKUP(Cpi_[[#This Row],[Year]:[Month]],crudeoil[],3,FALSE)</f>
        <v>#VALUE!</v>
      </c>
    </row>
    <row r="3549" spans="1:8" hidden="1" x14ac:dyDescent="0.3">
      <c r="A3549" t="s">
        <v>34</v>
      </c>
      <c r="B3549">
        <v>2016</v>
      </c>
      <c r="C3549" t="s">
        <v>41</v>
      </c>
      <c r="D3549" t="s">
        <v>13</v>
      </c>
      <c r="E3549" t="e">
        <f>VLOOKUP(Cpi_[[#This Row],[Attribute]],#REF!,2,FALSE)</f>
        <v>#REF!</v>
      </c>
      <c r="F3549">
        <v>125.5</v>
      </c>
      <c r="G3549">
        <f>(Cpi_[[#This Row],[Value]]-F3548)/F3548</f>
        <v>-9.12382331643736E-2</v>
      </c>
      <c r="H3549" t="e" cm="1" vm="1">
        <f t="array" aca="1" ref="H3549" ca="1">VLOOKUP(Cpi_[[#This Row],[Year]:[Month]],crudeoil[],3,FALSE)</f>
        <v>#VALUE!</v>
      </c>
    </row>
    <row r="3550" spans="1:8" hidden="1" x14ac:dyDescent="0.3">
      <c r="A3550" t="s">
        <v>34</v>
      </c>
      <c r="B3550">
        <v>2016</v>
      </c>
      <c r="C3550" t="s">
        <v>41</v>
      </c>
      <c r="D3550" t="s">
        <v>14</v>
      </c>
      <c r="E3550" t="e">
        <f>VLOOKUP(Cpi_[[#This Row],[Attribute]],#REF!,2,FALSE)</f>
        <v>#REF!</v>
      </c>
      <c r="F3550">
        <v>139.5</v>
      </c>
      <c r="G3550">
        <f>(Cpi_[[#This Row],[Value]]-F3549)/F3549</f>
        <v>0.11155378486055777</v>
      </c>
      <c r="H3550" t="e" cm="1" vm="1">
        <f t="array" aca="1" ref="H3550" ca="1">VLOOKUP(Cpi_[[#This Row],[Year]:[Month]],crudeoil[],3,FALSE)</f>
        <v>#VALUE!</v>
      </c>
    </row>
    <row r="3551" spans="1:8" hidden="1" x14ac:dyDescent="0.3">
      <c r="A3551" t="s">
        <v>34</v>
      </c>
      <c r="B3551">
        <v>2016</v>
      </c>
      <c r="C3551" t="s">
        <v>41</v>
      </c>
      <c r="D3551" t="s">
        <v>15</v>
      </c>
      <c r="E3551" t="e">
        <f>VLOOKUP(Cpi_[[#This Row],[Attribute]],#REF!,2,FALSE)</f>
        <v>#REF!</v>
      </c>
      <c r="F3551">
        <v>137.9</v>
      </c>
      <c r="G3551">
        <f>(Cpi_[[#This Row],[Value]]-F3550)/F3550</f>
        <v>-1.1469534050179172E-2</v>
      </c>
      <c r="H3551" t="e" cm="1" vm="1">
        <f t="array" aca="1" ref="H3551" ca="1">VLOOKUP(Cpi_[[#This Row],[Year]:[Month]],crudeoil[],3,FALSE)</f>
        <v>#VALUE!</v>
      </c>
    </row>
    <row r="3552" spans="1:8" hidden="1" x14ac:dyDescent="0.3">
      <c r="A3552" t="s">
        <v>34</v>
      </c>
      <c r="B3552">
        <v>2016</v>
      </c>
      <c r="C3552" t="s">
        <v>41</v>
      </c>
      <c r="D3552" t="s">
        <v>16</v>
      </c>
      <c r="E3552" t="e">
        <f>VLOOKUP(Cpi_[[#This Row],[Attribute]],#REF!,2,FALSE)</f>
        <v>#REF!</v>
      </c>
      <c r="F3552">
        <v>140.19999999999999</v>
      </c>
      <c r="G3552">
        <f>(Cpi_[[#This Row],[Value]]-F3551)/F3551</f>
        <v>1.6678752719361731E-2</v>
      </c>
      <c r="H3552" t="e" cm="1" vm="1">
        <f t="array" aca="1" ref="H3552" ca="1">VLOOKUP(Cpi_[[#This Row],[Year]:[Month]],crudeoil[],3,FALSE)</f>
        <v>#VALUE!</v>
      </c>
    </row>
    <row r="3553" spans="1:8" hidden="1" x14ac:dyDescent="0.3">
      <c r="A3553" t="s">
        <v>34</v>
      </c>
      <c r="B3553">
        <v>2016</v>
      </c>
      <c r="C3553" t="s">
        <v>41</v>
      </c>
      <c r="D3553" t="s">
        <v>17</v>
      </c>
      <c r="E3553" t="e">
        <f>VLOOKUP(Cpi_[[#This Row],[Attribute]],#REF!,2,FALSE)</f>
        <v>#REF!</v>
      </c>
      <c r="F3553">
        <v>134.1</v>
      </c>
      <c r="G3553">
        <f>(Cpi_[[#This Row],[Value]]-F3552)/F3552</f>
        <v>-4.3509272467902961E-2</v>
      </c>
      <c r="H3553" t="e" cm="1" vm="1">
        <f t="array" aca="1" ref="H3553" ca="1">VLOOKUP(Cpi_[[#This Row],[Year]:[Month]],crudeoil[],3,FALSE)</f>
        <v>#VALUE!</v>
      </c>
    </row>
    <row r="3554" spans="1:8" hidden="1" x14ac:dyDescent="0.3">
      <c r="A3554" t="s">
        <v>34</v>
      </c>
      <c r="B3554">
        <v>2016</v>
      </c>
      <c r="C3554" t="s">
        <v>41</v>
      </c>
      <c r="D3554" t="s">
        <v>18</v>
      </c>
      <c r="E3554" t="e">
        <f>VLOOKUP(Cpi_[[#This Row],[Attribute]],#REF!,2,FALSE)</f>
        <v>#REF!</v>
      </c>
      <c r="F3554">
        <v>128.19999999999999</v>
      </c>
      <c r="G3554">
        <f>(Cpi_[[#This Row],[Value]]-F3553)/F3553</f>
        <v>-4.399701715137961E-2</v>
      </c>
      <c r="H3554" t="e" cm="1" vm="1">
        <f t="array" aca="1" ref="H3554" ca="1">VLOOKUP(Cpi_[[#This Row],[Year]:[Month]],crudeoil[],3,FALSE)</f>
        <v>#VALUE!</v>
      </c>
    </row>
    <row r="3555" spans="1:8" hidden="1" x14ac:dyDescent="0.3">
      <c r="A3555" t="s">
        <v>34</v>
      </c>
      <c r="B3555">
        <v>2016</v>
      </c>
      <c r="C3555" t="s">
        <v>41</v>
      </c>
      <c r="D3555" t="s">
        <v>19</v>
      </c>
      <c r="E3555" t="e">
        <f>VLOOKUP(Cpi_[[#This Row],[Attribute]],#REF!,2,FALSE)</f>
        <v>#REF!</v>
      </c>
      <c r="F3555">
        <v>133.19999999999999</v>
      </c>
      <c r="G3555">
        <f>(Cpi_[[#This Row],[Value]]-F3554)/F3554</f>
        <v>3.9001560062402497E-2</v>
      </c>
      <c r="H3555" t="e" cm="1" vm="1">
        <f t="array" aca="1" ref="H3555" ca="1">VLOOKUP(Cpi_[[#This Row],[Year]:[Month]],crudeoil[],3,FALSE)</f>
        <v>#VALUE!</v>
      </c>
    </row>
    <row r="3556" spans="1:8" hidden="1" x14ac:dyDescent="0.3">
      <c r="A3556" t="s">
        <v>34</v>
      </c>
      <c r="B3556">
        <v>2016</v>
      </c>
      <c r="C3556" t="s">
        <v>41</v>
      </c>
      <c r="D3556" t="s">
        <v>20</v>
      </c>
      <c r="E3556" t="e">
        <f>VLOOKUP(Cpi_[[#This Row],[Attribute]],#REF!,2,FALSE)</f>
        <v>#REF!</v>
      </c>
      <c r="F3556">
        <v>127.3</v>
      </c>
      <c r="G3556">
        <f>(Cpi_[[#This Row],[Value]]-F3555)/F3555</f>
        <v>-4.4294294294294233E-2</v>
      </c>
      <c r="H3556" t="e" cm="1" vm="1">
        <f t="array" aca="1" ref="H3556" ca="1">VLOOKUP(Cpi_[[#This Row],[Year]:[Month]],crudeoil[],3,FALSE)</f>
        <v>#VALUE!</v>
      </c>
    </row>
    <row r="3557" spans="1:8" hidden="1" x14ac:dyDescent="0.3">
      <c r="A3557" t="s">
        <v>34</v>
      </c>
      <c r="B3557">
        <v>2016</v>
      </c>
      <c r="C3557" t="s">
        <v>41</v>
      </c>
      <c r="D3557" t="s">
        <v>21</v>
      </c>
      <c r="E3557" t="e">
        <f>VLOOKUP(Cpi_[[#This Row],[Attribute]],#REF!,2,FALSE)</f>
        <v>#REF!</v>
      </c>
      <c r="F3557">
        <v>123.6</v>
      </c>
      <c r="G3557">
        <f>(Cpi_[[#This Row],[Value]]-F3556)/F3556</f>
        <v>-2.9065200314218404E-2</v>
      </c>
      <c r="H3557" t="e" cm="1" vm="1">
        <f t="array" aca="1" ref="H3557" ca="1">VLOOKUP(Cpi_[[#This Row],[Year]:[Month]],crudeoil[],3,FALSE)</f>
        <v>#VALUE!</v>
      </c>
    </row>
    <row r="3558" spans="1:8" hidden="1" x14ac:dyDescent="0.3">
      <c r="A3558" t="s">
        <v>34</v>
      </c>
      <c r="B3558">
        <v>2016</v>
      </c>
      <c r="C3558" t="s">
        <v>41</v>
      </c>
      <c r="D3558" t="s">
        <v>22</v>
      </c>
      <c r="E3558" t="e">
        <f>VLOOKUP(Cpi_[[#This Row],[Attribute]],#REF!,2,FALSE)</f>
        <v>#REF!</v>
      </c>
      <c r="F3558">
        <v>127.4</v>
      </c>
      <c r="G3558">
        <f>(Cpi_[[#This Row],[Value]]-F3557)/F3557</f>
        <v>3.0744336569579381E-2</v>
      </c>
      <c r="H3558" t="e" cm="1" vm="1">
        <f t="array" aca="1" ref="H3558" ca="1">VLOOKUP(Cpi_[[#This Row],[Year]:[Month]],crudeoil[],3,FALSE)</f>
        <v>#VALUE!</v>
      </c>
    </row>
    <row r="3559" spans="1:8" hidden="1" x14ac:dyDescent="0.3">
      <c r="A3559" t="s">
        <v>34</v>
      </c>
      <c r="B3559">
        <v>2016</v>
      </c>
      <c r="C3559" t="s">
        <v>41</v>
      </c>
      <c r="D3559" t="s">
        <v>23</v>
      </c>
      <c r="E3559" t="e">
        <f>VLOOKUP(Cpi_[[#This Row],[Attribute]],#REF!,2,FALSE)</f>
        <v>#REF!</v>
      </c>
      <c r="F3559">
        <v>124.8</v>
      </c>
      <c r="G3559">
        <f>(Cpi_[[#This Row],[Value]]-F3558)/F3558</f>
        <v>-2.0408163265306187E-2</v>
      </c>
      <c r="H3559" t="e" cm="1" vm="1">
        <f t="array" aca="1" ref="H3559" ca="1">VLOOKUP(Cpi_[[#This Row],[Year]:[Month]],crudeoil[],3,FALSE)</f>
        <v>#VALUE!</v>
      </c>
    </row>
    <row r="3560" spans="1:8" hidden="1" x14ac:dyDescent="0.3">
      <c r="A3560" t="s">
        <v>34</v>
      </c>
      <c r="B3560">
        <v>2016</v>
      </c>
      <c r="C3560" t="s">
        <v>41</v>
      </c>
      <c r="D3560" t="s">
        <v>24</v>
      </c>
      <c r="E3560" t="e">
        <f>VLOOKUP(Cpi_[[#This Row],[Attribute]],#REF!,2,FALSE)</f>
        <v>#REF!</v>
      </c>
      <c r="F3560">
        <v>113.1</v>
      </c>
      <c r="G3560">
        <f>(Cpi_[[#This Row],[Value]]-F3559)/F3559</f>
        <v>-9.3750000000000028E-2</v>
      </c>
      <c r="H3560" t="e" cm="1" vm="1">
        <f t="array" aca="1" ref="H3560" ca="1">VLOOKUP(Cpi_[[#This Row],[Year]:[Month]],crudeoil[],3,FALSE)</f>
        <v>#VALUE!</v>
      </c>
    </row>
    <row r="3561" spans="1:8" hidden="1" x14ac:dyDescent="0.3">
      <c r="A3561" t="s">
        <v>34</v>
      </c>
      <c r="B3561">
        <v>2016</v>
      </c>
      <c r="C3561" t="s">
        <v>41</v>
      </c>
      <c r="D3561" t="s">
        <v>25</v>
      </c>
      <c r="E3561" t="e">
        <f>VLOOKUP(Cpi_[[#This Row],[Attribute]],#REF!,2,FALSE)</f>
        <v>#REF!</v>
      </c>
      <c r="F3561">
        <v>122.7</v>
      </c>
      <c r="G3561">
        <f>(Cpi_[[#This Row],[Value]]-F3560)/F3560</f>
        <v>8.4880636604774615E-2</v>
      </c>
      <c r="H3561" t="e" cm="1" vm="1">
        <f t="array" aca="1" ref="H3561" ca="1">VLOOKUP(Cpi_[[#This Row],[Year]:[Month]],crudeoil[],3,FALSE)</f>
        <v>#VALUE!</v>
      </c>
    </row>
    <row r="3562" spans="1:8" hidden="1" x14ac:dyDescent="0.3">
      <c r="A3562" t="s">
        <v>34</v>
      </c>
      <c r="B3562">
        <v>2016</v>
      </c>
      <c r="C3562" t="s">
        <v>41</v>
      </c>
      <c r="D3562" t="s">
        <v>26</v>
      </c>
      <c r="E3562" t="e">
        <f>VLOOKUP(Cpi_[[#This Row],[Attribute]],#REF!,2,FALSE)</f>
        <v>#REF!</v>
      </c>
      <c r="F3562">
        <v>131.69999999999999</v>
      </c>
      <c r="G3562">
        <f>(Cpi_[[#This Row],[Value]]-F3561)/F3561</f>
        <v>7.3349633251833621E-2</v>
      </c>
      <c r="H3562" t="e" cm="1" vm="1">
        <f t="array" aca="1" ref="H3562" ca="1">VLOOKUP(Cpi_[[#This Row],[Year]:[Month]],crudeoil[],3,FALSE)</f>
        <v>#VALUE!</v>
      </c>
    </row>
    <row r="3563" spans="1:8" hidden="1" x14ac:dyDescent="0.3">
      <c r="A3563" t="s">
        <v>34</v>
      </c>
      <c r="B3563">
        <v>2016</v>
      </c>
      <c r="C3563" t="s">
        <v>41</v>
      </c>
      <c r="D3563" t="s">
        <v>27</v>
      </c>
      <c r="E3563" t="e">
        <f>VLOOKUP(Cpi_[[#This Row],[Attribute]],#REF!,2,FALSE)</f>
        <v>#REF!</v>
      </c>
      <c r="F3563">
        <v>121.5</v>
      </c>
      <c r="G3563">
        <f>(Cpi_[[#This Row],[Value]]-F3562)/F3562</f>
        <v>-7.7448747152619513E-2</v>
      </c>
      <c r="H3563" t="e" cm="1" vm="1">
        <f t="array" aca="1" ref="H3563" ca="1">VLOOKUP(Cpi_[[#This Row],[Year]:[Month]],crudeoil[],3,FALSE)</f>
        <v>#VALUE!</v>
      </c>
    </row>
    <row r="3564" spans="1:8" hidden="1" x14ac:dyDescent="0.3">
      <c r="A3564" t="s">
        <v>34</v>
      </c>
      <c r="B3564">
        <v>2016</v>
      </c>
      <c r="C3564" t="s">
        <v>41</v>
      </c>
      <c r="D3564" t="s">
        <v>28</v>
      </c>
      <c r="E3564" t="e">
        <f>VLOOKUP(Cpi_[[#This Row],[Attribute]],#REF!,2,FALSE)</f>
        <v>#REF!</v>
      </c>
      <c r="F3564">
        <v>122.1</v>
      </c>
      <c r="G3564">
        <f>(Cpi_[[#This Row],[Value]]-F3563)/F3563</f>
        <v>4.9382716049382247E-3</v>
      </c>
      <c r="H3564" t="e" cm="1" vm="1">
        <f t="array" aca="1" ref="H3564" ca="1">VLOOKUP(Cpi_[[#This Row],[Year]:[Month]],crudeoil[],3,FALSE)</f>
        <v>#VALUE!</v>
      </c>
    </row>
    <row r="3565" spans="1:8" hidden="1" x14ac:dyDescent="0.3">
      <c r="A3565" t="s">
        <v>34</v>
      </c>
      <c r="B3565">
        <v>2016</v>
      </c>
      <c r="C3565" t="s">
        <v>41</v>
      </c>
      <c r="D3565" t="s">
        <v>29</v>
      </c>
      <c r="E3565" t="e" cm="1">
        <f t="array" aca="1" ref="E3565" ca="1">VLGeneral indexGeneral indexKUP(Cpi_[[#This Row],[Attribute]],#REF!,2,FALSE)</f>
        <v>#NAME?</v>
      </c>
      <c r="F3565">
        <v>131.1</v>
      </c>
      <c r="G3565">
        <f>(Cpi_[[#This Row],[Value]]-F3564)/F3564</f>
        <v>7.3710073710073709E-2</v>
      </c>
      <c r="H3565" t="e" cm="1" vm="1">
        <f t="array" aca="1" ref="H3565" ca="1">VLOOKUP(Cpi_[[#This Row],[Year]:[Month]],crudeoil[],3,FALSE)</f>
        <v>#VALUE!</v>
      </c>
    </row>
    <row r="3566" spans="1:8" hidden="1" x14ac:dyDescent="0.3">
      <c r="A3566" t="s">
        <v>30</v>
      </c>
      <c r="B3566">
        <v>2016</v>
      </c>
      <c r="C3566" t="s">
        <v>42</v>
      </c>
      <c r="D3566" t="s">
        <v>3</v>
      </c>
      <c r="E3566" t="e">
        <f>VLOOKUP(Cpi_[[#This Row],[Attribute]],#REF!,2,FALSE)</f>
        <v>#REF!</v>
      </c>
      <c r="F3566">
        <v>130.80000000000001</v>
      </c>
      <c r="G3566">
        <f>(Cpi_[[#This Row],[Value]]-F3565)/F3565</f>
        <v>-2.2883295194506708E-3</v>
      </c>
      <c r="H3566" t="e" cm="1" vm="1">
        <f t="array" aca="1" ref="H3566" ca="1">VLOOKUP(Cpi_[[#This Row],[Year]:[Month]],crudeoil[],3,FALSE)</f>
        <v>#VALUE!</v>
      </c>
    </row>
    <row r="3567" spans="1:8" hidden="1" x14ac:dyDescent="0.3">
      <c r="A3567" t="s">
        <v>30</v>
      </c>
      <c r="B3567">
        <v>2016</v>
      </c>
      <c r="C3567" t="s">
        <v>42</v>
      </c>
      <c r="D3567" t="s">
        <v>4</v>
      </c>
      <c r="E3567" t="e">
        <f>VLOOKUP(Cpi_[[#This Row],[Attribute]],#REF!,2,FALSE)</f>
        <v>#REF!</v>
      </c>
      <c r="F3567">
        <v>138.19999999999999</v>
      </c>
      <c r="G3567">
        <f>(Cpi_[[#This Row],[Value]]-F3566)/F3566</f>
        <v>5.657492354740043E-2</v>
      </c>
      <c r="H3567" t="e" cm="1" vm="1">
        <f t="array" aca="1" ref="H3567" ca="1">VLOOKUP(Cpi_[[#This Row],[Year]:[Month]],crudeoil[],3,FALSE)</f>
        <v>#VALUE!</v>
      </c>
    </row>
    <row r="3568" spans="1:8" hidden="1" x14ac:dyDescent="0.3">
      <c r="A3568" t="s">
        <v>30</v>
      </c>
      <c r="B3568">
        <v>2016</v>
      </c>
      <c r="C3568" t="s">
        <v>42</v>
      </c>
      <c r="D3568" t="s">
        <v>5</v>
      </c>
      <c r="E3568" t="e">
        <f>VLOOKUP(Cpi_[[#This Row],[Attribute]],#REF!,2,FALSE)</f>
        <v>#REF!</v>
      </c>
      <c r="F3568">
        <v>130.5</v>
      </c>
      <c r="G3568">
        <f>(Cpi_[[#This Row],[Value]]-F3567)/F3567</f>
        <v>-5.571635311143263E-2</v>
      </c>
      <c r="H3568" t="e" cm="1" vm="1">
        <f t="array" aca="1" ref="H3568" ca="1">VLOOKUP(Cpi_[[#This Row],[Year]:[Month]],crudeoil[],3,FALSE)</f>
        <v>#VALUE!</v>
      </c>
    </row>
    <row r="3569" spans="1:8" hidden="1" x14ac:dyDescent="0.3">
      <c r="A3569" t="s">
        <v>30</v>
      </c>
      <c r="B3569">
        <v>2016</v>
      </c>
      <c r="C3569" t="s">
        <v>42</v>
      </c>
      <c r="D3569" t="s">
        <v>6</v>
      </c>
      <c r="E3569" t="e">
        <f>VLOOKUP(Cpi_[[#This Row],[Attribute]],#REF!,2,FALSE)</f>
        <v>#REF!</v>
      </c>
      <c r="F3569">
        <v>135.5</v>
      </c>
      <c r="G3569">
        <f>(Cpi_[[#This Row],[Value]]-F3568)/F3568</f>
        <v>3.8314176245210725E-2</v>
      </c>
      <c r="H3569" t="e" cm="1" vm="1">
        <f t="array" aca="1" ref="H3569" ca="1">VLOOKUP(Cpi_[[#This Row],[Year]:[Month]],crudeoil[],3,FALSE)</f>
        <v>#VALUE!</v>
      </c>
    </row>
    <row r="3570" spans="1:8" hidden="1" x14ac:dyDescent="0.3">
      <c r="A3570" t="s">
        <v>30</v>
      </c>
      <c r="B3570">
        <v>2016</v>
      </c>
      <c r="C3570" t="s">
        <v>42</v>
      </c>
      <c r="D3570" t="s">
        <v>7</v>
      </c>
      <c r="E3570" t="e">
        <f>VLOOKUP(Cpi_[[#This Row],[Attribute]],#REF!,2,FALSE)</f>
        <v>#REF!</v>
      </c>
      <c r="F3570">
        <v>120.2</v>
      </c>
      <c r="G3570">
        <f>(Cpi_[[#This Row],[Value]]-F3569)/F3569</f>
        <v>-0.1129151291512915</v>
      </c>
      <c r="H3570" t="e" cm="1" vm="1">
        <f t="array" aca="1" ref="H3570" ca="1">VLOOKUP(Cpi_[[#This Row],[Year]:[Month]],crudeoil[],3,FALSE)</f>
        <v>#VALUE!</v>
      </c>
    </row>
    <row r="3571" spans="1:8" hidden="1" x14ac:dyDescent="0.3">
      <c r="A3571" t="s">
        <v>30</v>
      </c>
      <c r="B3571">
        <v>2016</v>
      </c>
      <c r="C3571" t="s">
        <v>42</v>
      </c>
      <c r="D3571" t="s">
        <v>8</v>
      </c>
      <c r="E3571" t="e">
        <f>VLOOKUP(Cpi_[[#This Row],[Attribute]],#REF!,2,FALSE)</f>
        <v>#REF!</v>
      </c>
      <c r="F3571">
        <v>139.19999999999999</v>
      </c>
      <c r="G3571">
        <f>(Cpi_[[#This Row],[Value]]-F3570)/F3570</f>
        <v>0.15806988352745413</v>
      </c>
      <c r="H3571" t="e" cm="1" vm="1">
        <f t="array" aca="1" ref="H3571" ca="1">VLOOKUP(Cpi_[[#This Row],[Year]:[Month]],crudeoil[],3,FALSE)</f>
        <v>#VALUE!</v>
      </c>
    </row>
    <row r="3572" spans="1:8" hidden="1" x14ac:dyDescent="0.3">
      <c r="A3572" t="s">
        <v>30</v>
      </c>
      <c r="B3572">
        <v>2016</v>
      </c>
      <c r="C3572" t="s">
        <v>42</v>
      </c>
      <c r="D3572" t="s">
        <v>9</v>
      </c>
      <c r="E3572" t="e">
        <f>VLOOKUP(Cpi_[[#This Row],[Attribute]],#REF!,2,FALSE)</f>
        <v>#REF!</v>
      </c>
      <c r="F3572">
        <v>149.5</v>
      </c>
      <c r="G3572">
        <f>(Cpi_[[#This Row],[Value]]-F3571)/F3571</f>
        <v>7.3994252873563301E-2</v>
      </c>
      <c r="H3572" t="e" cm="1" vm="1">
        <f t="array" aca="1" ref="H3572" ca="1">VLOOKUP(Cpi_[[#This Row],[Year]:[Month]],crudeoil[],3,FALSE)</f>
        <v>#VALUE!</v>
      </c>
    </row>
    <row r="3573" spans="1:8" hidden="1" x14ac:dyDescent="0.3">
      <c r="A3573" t="s">
        <v>30</v>
      </c>
      <c r="B3573">
        <v>2016</v>
      </c>
      <c r="C3573" t="s">
        <v>42</v>
      </c>
      <c r="D3573" t="s">
        <v>10</v>
      </c>
      <c r="E3573" t="e">
        <f>VLOOKUP(Cpi_[[#This Row],[Attribute]],#REF!,2,FALSE)</f>
        <v>#REF!</v>
      </c>
      <c r="F3573">
        <v>170.4</v>
      </c>
      <c r="G3573">
        <f>(Cpi_[[#This Row],[Value]]-F3572)/F3572</f>
        <v>0.13979933110367898</v>
      </c>
      <c r="H3573" t="e" cm="1" vm="1">
        <f t="array" aca="1" ref="H3573" ca="1">VLOOKUP(Cpi_[[#This Row],[Year]:[Month]],crudeoil[],3,FALSE)</f>
        <v>#VALUE!</v>
      </c>
    </row>
    <row r="3574" spans="1:8" hidden="1" x14ac:dyDescent="0.3">
      <c r="A3574" t="s">
        <v>30</v>
      </c>
      <c r="B3574">
        <v>2016</v>
      </c>
      <c r="C3574" t="s">
        <v>42</v>
      </c>
      <c r="D3574" t="s">
        <v>11</v>
      </c>
      <c r="E3574" t="e">
        <f>VLOOKUP(Cpi_[[#This Row],[Attribute]],#REF!,2,FALSE)</f>
        <v>#REF!</v>
      </c>
      <c r="F3574">
        <v>113.1</v>
      </c>
      <c r="G3574">
        <f>(Cpi_[[#This Row],[Value]]-F3573)/F3573</f>
        <v>-0.33626760563380287</v>
      </c>
      <c r="H3574" t="e" cm="1" vm="1">
        <f t="array" aca="1" ref="H3574" ca="1">VLOOKUP(Cpi_[[#This Row],[Year]:[Month]],crudeoil[],3,FALSE)</f>
        <v>#VALUE!</v>
      </c>
    </row>
    <row r="3575" spans="1:8" hidden="1" x14ac:dyDescent="0.3">
      <c r="A3575" t="s">
        <v>30</v>
      </c>
      <c r="B3575">
        <v>2016</v>
      </c>
      <c r="C3575" t="s">
        <v>42</v>
      </c>
      <c r="D3575" t="s">
        <v>12</v>
      </c>
      <c r="E3575" t="e">
        <f>VLOOKUP(Cpi_[[#This Row],[Attribute]],#REF!,2,FALSE)</f>
        <v>#REF!</v>
      </c>
      <c r="F3575">
        <v>135.80000000000001</v>
      </c>
      <c r="G3575">
        <f>(Cpi_[[#This Row],[Value]]-F3574)/F3574</f>
        <v>0.20070733863837328</v>
      </c>
      <c r="H3575" t="e" cm="1" vm="1">
        <f t="array" aca="1" ref="H3575" ca="1">VLOOKUP(Cpi_[[#This Row],[Year]:[Month]],crudeoil[],3,FALSE)</f>
        <v>#VALUE!</v>
      </c>
    </row>
    <row r="3576" spans="1:8" hidden="1" x14ac:dyDescent="0.3">
      <c r="A3576" t="s">
        <v>30</v>
      </c>
      <c r="B3576">
        <v>2016</v>
      </c>
      <c r="C3576" t="s">
        <v>42</v>
      </c>
      <c r="D3576" t="s">
        <v>13</v>
      </c>
      <c r="E3576" t="e">
        <f>VLOOKUP(Cpi_[[#This Row],[Attribute]],#REF!,2,FALSE)</f>
        <v>#REF!</v>
      </c>
      <c r="F3576">
        <v>128.80000000000001</v>
      </c>
      <c r="G3576">
        <f>(Cpi_[[#This Row],[Value]]-F3575)/F3575</f>
        <v>-5.1546391752577317E-2</v>
      </c>
      <c r="H3576" t="e" cm="1" vm="1">
        <f t="array" aca="1" ref="H3576" ca="1">VLOOKUP(Cpi_[[#This Row],[Year]:[Month]],crudeoil[],3,FALSE)</f>
        <v>#VALUE!</v>
      </c>
    </row>
    <row r="3577" spans="1:8" hidden="1" x14ac:dyDescent="0.3">
      <c r="A3577" t="s">
        <v>30</v>
      </c>
      <c r="B3577">
        <v>2016</v>
      </c>
      <c r="C3577" t="s">
        <v>42</v>
      </c>
      <c r="D3577" t="s">
        <v>14</v>
      </c>
      <c r="E3577" t="e">
        <f>VLOOKUP(Cpi_[[#This Row],[Attribute]],#REF!,2,FALSE)</f>
        <v>#REF!</v>
      </c>
      <c r="F3577">
        <v>141.5</v>
      </c>
      <c r="G3577">
        <f>(Cpi_[[#This Row],[Value]]-F3576)/F3576</f>
        <v>9.8602484472049598E-2</v>
      </c>
      <c r="H3577" t="e" cm="1" vm="1">
        <f t="array" aca="1" ref="H3577" ca="1">VLOOKUP(Cpi_[[#This Row],[Year]:[Month]],crudeoil[],3,FALSE)</f>
        <v>#VALUE!</v>
      </c>
    </row>
    <row r="3578" spans="1:8" hidden="1" x14ac:dyDescent="0.3">
      <c r="A3578" t="s">
        <v>30</v>
      </c>
      <c r="B3578">
        <v>2016</v>
      </c>
      <c r="C3578" t="s">
        <v>42</v>
      </c>
      <c r="D3578" t="s">
        <v>15</v>
      </c>
      <c r="E3578" t="e">
        <f>VLOOKUP(Cpi_[[#This Row],[Attribute]],#REF!,2,FALSE)</f>
        <v>#REF!</v>
      </c>
      <c r="F3578">
        <v>137.19999999999999</v>
      </c>
      <c r="G3578">
        <f>(Cpi_[[#This Row],[Value]]-F3577)/F3577</f>
        <v>-3.038869257950538E-2</v>
      </c>
      <c r="H3578" t="e" cm="1" vm="1">
        <f t="array" aca="1" ref="H3578" ca="1">VLOOKUP(Cpi_[[#This Row],[Year]:[Month]],crudeoil[],3,FALSE)</f>
        <v>#VALUE!</v>
      </c>
    </row>
    <row r="3579" spans="1:8" hidden="1" x14ac:dyDescent="0.3">
      <c r="A3579" t="s">
        <v>30</v>
      </c>
      <c r="B3579">
        <v>2016</v>
      </c>
      <c r="C3579" t="s">
        <v>42</v>
      </c>
      <c r="D3579" t="s">
        <v>16</v>
      </c>
      <c r="E3579" t="e">
        <f>VLOOKUP(Cpi_[[#This Row],[Attribute]],#REF!,2,FALSE)</f>
        <v>#REF!</v>
      </c>
      <c r="F3579">
        <v>139.9</v>
      </c>
      <c r="G3579">
        <f>(Cpi_[[#This Row],[Value]]-F3578)/F3578</f>
        <v>1.9679300291545316E-2</v>
      </c>
      <c r="H3579" t="e" cm="1" vm="1">
        <f t="array" aca="1" ref="H3579" ca="1">VLOOKUP(Cpi_[[#This Row],[Year]:[Month]],crudeoil[],3,FALSE)</f>
        <v>#VALUE!</v>
      </c>
    </row>
    <row r="3580" spans="1:8" hidden="1" x14ac:dyDescent="0.3">
      <c r="A3580" t="s">
        <v>30</v>
      </c>
      <c r="B3580">
        <v>2016</v>
      </c>
      <c r="C3580" t="s">
        <v>42</v>
      </c>
      <c r="D3580" t="s">
        <v>17</v>
      </c>
      <c r="E3580" t="e">
        <f>VLOOKUP(Cpi_[[#This Row],[Attribute]],#REF!,2,FALSE)</f>
        <v>#REF!</v>
      </c>
      <c r="F3580">
        <v>138.5</v>
      </c>
      <c r="G3580">
        <f>(Cpi_[[#This Row],[Value]]-F3579)/F3579</f>
        <v>-1.0007147962830634E-2</v>
      </c>
      <c r="H3580" t="e" cm="1" vm="1">
        <f t="array" aca="1" ref="H3580" ca="1">VLOOKUP(Cpi_[[#This Row],[Year]:[Month]],crudeoil[],3,FALSE)</f>
        <v>#VALUE!</v>
      </c>
    </row>
    <row r="3581" spans="1:8" hidden="1" x14ac:dyDescent="0.3">
      <c r="A3581" t="s">
        <v>30</v>
      </c>
      <c r="B3581">
        <v>2016</v>
      </c>
      <c r="C3581" t="s">
        <v>42</v>
      </c>
      <c r="D3581" t="s">
        <v>18</v>
      </c>
      <c r="E3581" t="e">
        <f>VLOOKUP(Cpi_[[#This Row],[Attribute]],#REF!,2,FALSE)</f>
        <v>#REF!</v>
      </c>
      <c r="F3581">
        <v>133.5</v>
      </c>
      <c r="G3581">
        <f>(Cpi_[[#This Row],[Value]]-F3580)/F3580</f>
        <v>-3.6101083032490974E-2</v>
      </c>
      <c r="H3581" t="e" cm="1" vm="1">
        <f t="array" aca="1" ref="H3581" ca="1">VLOOKUP(Cpi_[[#This Row],[Year]:[Month]],crudeoil[],3,FALSE)</f>
        <v>#VALUE!</v>
      </c>
    </row>
    <row r="3582" spans="1:8" hidden="1" x14ac:dyDescent="0.3">
      <c r="A3582" t="s">
        <v>30</v>
      </c>
      <c r="B3582">
        <v>2016</v>
      </c>
      <c r="C3582" t="s">
        <v>42</v>
      </c>
      <c r="D3582" t="s">
        <v>19</v>
      </c>
      <c r="E3582" t="e">
        <f>VLOOKUP(Cpi_[[#This Row],[Attribute]],#REF!,2,FALSE)</f>
        <v>#REF!</v>
      </c>
      <c r="F3582">
        <v>137.80000000000001</v>
      </c>
      <c r="G3582">
        <f>(Cpi_[[#This Row],[Value]]-F3581)/F3581</f>
        <v>3.220973782771544E-2</v>
      </c>
      <c r="H3582" t="e" cm="1" vm="1">
        <f t="array" aca="1" ref="H3582" ca="1">VLOOKUP(Cpi_[[#This Row],[Year]:[Month]],crudeoil[],3,FALSE)</f>
        <v>#VALUE!</v>
      </c>
    </row>
    <row r="3583" spans="1:8" hidden="1" x14ac:dyDescent="0.3">
      <c r="A3583" t="s">
        <v>30</v>
      </c>
      <c r="B3583">
        <v>2016</v>
      </c>
      <c r="C3583" t="s">
        <v>42</v>
      </c>
      <c r="D3583" t="s">
        <v>20</v>
      </c>
      <c r="E3583" t="e">
        <f>VLOOKUP(Cpi_[[#This Row],[Attribute]],#REF!,2,FALSE)</f>
        <v>#REF!</v>
      </c>
      <c r="F3583" t="s">
        <v>32</v>
      </c>
      <c r="G3583" t="e">
        <f>(Cpi_[[#This Row],[Value]]-F3582)/F3582</f>
        <v>#VALUE!</v>
      </c>
      <c r="H3583" t="e" cm="1" vm="1">
        <f t="array" aca="1" ref="H3583" ca="1">VLOOKUP(Cpi_[[#This Row],[Year]:[Month]],crudeoil[],3,FALSE)</f>
        <v>#VALUE!</v>
      </c>
    </row>
    <row r="3584" spans="1:8" hidden="1" x14ac:dyDescent="0.3">
      <c r="A3584" t="s">
        <v>30</v>
      </c>
      <c r="B3584">
        <v>2016</v>
      </c>
      <c r="C3584" t="s">
        <v>42</v>
      </c>
      <c r="D3584" t="s">
        <v>21</v>
      </c>
      <c r="E3584" t="e">
        <f>VLOOKUP(Cpi_[[#This Row],[Attribute]],#REF!,2,FALSE)</f>
        <v>#REF!</v>
      </c>
      <c r="F3584">
        <v>129.69999999999999</v>
      </c>
      <c r="G3584" t="e">
        <f>(Cpi_[[#This Row],[Value]]-F3583)/F3583</f>
        <v>#VALUE!</v>
      </c>
      <c r="H3584" t="e" cm="1" vm="1">
        <f t="array" aca="1" ref="H3584" ca="1">VLOOKUP(Cpi_[[#This Row],[Year]:[Month]],crudeoil[],3,FALSE)</f>
        <v>#VALUE!</v>
      </c>
    </row>
    <row r="3585" spans="1:8" hidden="1" x14ac:dyDescent="0.3">
      <c r="A3585" t="s">
        <v>30</v>
      </c>
      <c r="B3585">
        <v>2016</v>
      </c>
      <c r="C3585" t="s">
        <v>42</v>
      </c>
      <c r="D3585" t="s">
        <v>22</v>
      </c>
      <c r="E3585" t="e">
        <f>VLOOKUP(Cpi_[[#This Row],[Attribute]],#REF!,2,FALSE)</f>
        <v>#REF!</v>
      </c>
      <c r="F3585">
        <v>131.1</v>
      </c>
      <c r="G3585">
        <f>(Cpi_[[#This Row],[Value]]-F3584)/F3584</f>
        <v>1.0794140323824255E-2</v>
      </c>
      <c r="H3585" t="e" cm="1" vm="1">
        <f t="array" aca="1" ref="H3585" ca="1">VLOOKUP(Cpi_[[#This Row],[Year]:[Month]],crudeoil[],3,FALSE)</f>
        <v>#VALUE!</v>
      </c>
    </row>
    <row r="3586" spans="1:8" hidden="1" x14ac:dyDescent="0.3">
      <c r="A3586" t="s">
        <v>30</v>
      </c>
      <c r="B3586">
        <v>2016</v>
      </c>
      <c r="C3586" t="s">
        <v>42</v>
      </c>
      <c r="D3586" t="s">
        <v>23</v>
      </c>
      <c r="E3586" t="e">
        <f>VLOOKUP(Cpi_[[#This Row],[Attribute]],#REF!,2,FALSE)</f>
        <v>#REF!</v>
      </c>
      <c r="F3586">
        <v>127.8</v>
      </c>
      <c r="G3586">
        <f>(Cpi_[[#This Row],[Value]]-F3585)/F3585</f>
        <v>-2.5171624713958788E-2</v>
      </c>
      <c r="H3586" t="e" cm="1" vm="1">
        <f t="array" aca="1" ref="H3586" ca="1">VLOOKUP(Cpi_[[#This Row],[Year]:[Month]],crudeoil[],3,FALSE)</f>
        <v>#VALUE!</v>
      </c>
    </row>
    <row r="3587" spans="1:8" hidden="1" x14ac:dyDescent="0.3">
      <c r="A3587" t="s">
        <v>30</v>
      </c>
      <c r="B3587">
        <v>2016</v>
      </c>
      <c r="C3587" t="s">
        <v>42</v>
      </c>
      <c r="D3587" t="s">
        <v>24</v>
      </c>
      <c r="E3587" t="e">
        <f>VLOOKUP(Cpi_[[#This Row],[Attribute]],#REF!,2,FALSE)</f>
        <v>#REF!</v>
      </c>
      <c r="F3587">
        <v>117</v>
      </c>
      <c r="G3587">
        <f>(Cpi_[[#This Row],[Value]]-F3586)/F3586</f>
        <v>-8.4507042253521111E-2</v>
      </c>
      <c r="H3587" t="e" cm="1" vm="1">
        <f t="array" aca="1" ref="H3587" ca="1">VLOOKUP(Cpi_[[#This Row],[Year]:[Month]],crudeoil[],3,FALSE)</f>
        <v>#VALUE!</v>
      </c>
    </row>
    <row r="3588" spans="1:8" hidden="1" x14ac:dyDescent="0.3">
      <c r="A3588" t="s">
        <v>30</v>
      </c>
      <c r="B3588">
        <v>2016</v>
      </c>
      <c r="C3588" t="s">
        <v>42</v>
      </c>
      <c r="D3588" t="s">
        <v>25</v>
      </c>
      <c r="E3588" t="e">
        <f>VLOOKUP(Cpi_[[#This Row],[Attribute]],#REF!,2,FALSE)</f>
        <v>#REF!</v>
      </c>
      <c r="F3588">
        <v>125.7</v>
      </c>
      <c r="G3588">
        <f>(Cpi_[[#This Row],[Value]]-F3587)/F3587</f>
        <v>7.4358974358974386E-2</v>
      </c>
      <c r="H3588" t="e" cm="1" vm="1">
        <f t="array" aca="1" ref="H3588" ca="1">VLOOKUP(Cpi_[[#This Row],[Year]:[Month]],crudeoil[],3,FALSE)</f>
        <v>#VALUE!</v>
      </c>
    </row>
    <row r="3589" spans="1:8" hidden="1" x14ac:dyDescent="0.3">
      <c r="A3589" t="s">
        <v>30</v>
      </c>
      <c r="B3589">
        <v>2016</v>
      </c>
      <c r="C3589" t="s">
        <v>42</v>
      </c>
      <c r="D3589" t="s">
        <v>26</v>
      </c>
      <c r="E3589" t="e">
        <f>VLOOKUP(Cpi_[[#This Row],[Attribute]],#REF!,2,FALSE)</f>
        <v>#REF!</v>
      </c>
      <c r="F3589">
        <v>132.19999999999999</v>
      </c>
      <c r="G3589">
        <f>(Cpi_[[#This Row],[Value]]-F3588)/F3588</f>
        <v>5.171042163882248E-2</v>
      </c>
      <c r="H3589" t="e" cm="1" vm="1">
        <f t="array" aca="1" ref="H3589" ca="1">VLOOKUP(Cpi_[[#This Row],[Year]:[Month]],crudeoil[],3,FALSE)</f>
        <v>#VALUE!</v>
      </c>
    </row>
    <row r="3590" spans="1:8" hidden="1" x14ac:dyDescent="0.3">
      <c r="A3590" t="s">
        <v>30</v>
      </c>
      <c r="B3590">
        <v>2016</v>
      </c>
      <c r="C3590" t="s">
        <v>42</v>
      </c>
      <c r="D3590" t="s">
        <v>27</v>
      </c>
      <c r="E3590" t="e">
        <f>VLOOKUP(Cpi_[[#This Row],[Attribute]],#REF!,2,FALSE)</f>
        <v>#REF!</v>
      </c>
      <c r="F3590">
        <v>122.8</v>
      </c>
      <c r="G3590">
        <f>(Cpi_[[#This Row],[Value]]-F3589)/F3589</f>
        <v>-7.1104387291981791E-2</v>
      </c>
      <c r="H3590" t="e" cm="1" vm="1">
        <f t="array" aca="1" ref="H3590" ca="1">VLOOKUP(Cpi_[[#This Row],[Year]:[Month]],crudeoil[],3,FALSE)</f>
        <v>#VALUE!</v>
      </c>
    </row>
    <row r="3591" spans="1:8" hidden="1" x14ac:dyDescent="0.3">
      <c r="A3591" t="s">
        <v>30</v>
      </c>
      <c r="B3591">
        <v>2016</v>
      </c>
      <c r="C3591" t="s">
        <v>42</v>
      </c>
      <c r="D3591" t="s">
        <v>28</v>
      </c>
      <c r="E3591" t="e">
        <f>VLOOKUP(Cpi_[[#This Row],[Attribute]],#REF!,2,FALSE)</f>
        <v>#REF!</v>
      </c>
      <c r="F3591">
        <v>124.9</v>
      </c>
      <c r="G3591">
        <f>(Cpi_[[#This Row],[Value]]-F3590)/F3590</f>
        <v>1.7100977198697138E-2</v>
      </c>
      <c r="H3591" t="e" cm="1" vm="1">
        <f t="array" aca="1" ref="H3591" ca="1">VLOOKUP(Cpi_[[#This Row],[Year]:[Month]],crudeoil[],3,FALSE)</f>
        <v>#VALUE!</v>
      </c>
    </row>
    <row r="3592" spans="1:8" hidden="1" x14ac:dyDescent="0.3">
      <c r="A3592" t="s">
        <v>30</v>
      </c>
      <c r="B3592">
        <v>2016</v>
      </c>
      <c r="C3592" t="s">
        <v>42</v>
      </c>
      <c r="D3592" t="s">
        <v>29</v>
      </c>
      <c r="E3592" t="e" cm="1">
        <f t="array" aca="1" ref="E3592" ca="1">VLGeneral indexGeneral indexKUP(Cpi_[[#This Row],[Attribute]],#REF!,2,FALSE)</f>
        <v>#NAME?</v>
      </c>
      <c r="F3592">
        <v>133.4</v>
      </c>
      <c r="G3592">
        <f>(Cpi_[[#This Row],[Value]]-F3591)/F3591</f>
        <v>6.8054443554843871E-2</v>
      </c>
      <c r="H3592" t="e" cm="1" vm="1">
        <f t="array" aca="1" ref="H3592" ca="1">VLOOKUP(Cpi_[[#This Row],[Year]:[Month]],crudeoil[],3,FALSE)</f>
        <v>#VALUE!</v>
      </c>
    </row>
    <row r="3593" spans="1:8" hidden="1" x14ac:dyDescent="0.3">
      <c r="A3593" t="s">
        <v>33</v>
      </c>
      <c r="B3593">
        <v>2016</v>
      </c>
      <c r="C3593" t="s">
        <v>42</v>
      </c>
      <c r="D3593" t="s">
        <v>3</v>
      </c>
      <c r="E3593" t="e">
        <f>VLOOKUP(Cpi_[[#This Row],[Attribute]],#REF!,2,FALSE)</f>
        <v>#REF!</v>
      </c>
      <c r="F3593">
        <v>128.1</v>
      </c>
      <c r="G3593">
        <f>(Cpi_[[#This Row],[Value]]-F3592)/F3592</f>
        <v>-3.9730134932533814E-2</v>
      </c>
      <c r="H3593" t="e" cm="1" vm="1">
        <f t="array" aca="1" ref="H3593" ca="1">VLOOKUP(Cpi_[[#This Row],[Year]:[Month]],crudeoil[],3,FALSE)</f>
        <v>#VALUE!</v>
      </c>
    </row>
    <row r="3594" spans="1:8" hidden="1" x14ac:dyDescent="0.3">
      <c r="A3594" t="s">
        <v>33</v>
      </c>
      <c r="B3594">
        <v>2016</v>
      </c>
      <c r="C3594" t="s">
        <v>42</v>
      </c>
      <c r="D3594" t="s">
        <v>4</v>
      </c>
      <c r="E3594" t="e">
        <f>VLOOKUP(Cpi_[[#This Row],[Attribute]],#REF!,2,FALSE)</f>
        <v>#REF!</v>
      </c>
      <c r="F3594">
        <v>137.69999999999999</v>
      </c>
      <c r="G3594">
        <f>(Cpi_[[#This Row],[Value]]-F3593)/F3593</f>
        <v>7.4941451990632277E-2</v>
      </c>
      <c r="H3594" t="e" cm="1" vm="1">
        <f t="array" aca="1" ref="H3594" ca="1">VLOOKUP(Cpi_[[#This Row],[Year]:[Month]],crudeoil[],3,FALSE)</f>
        <v>#VALUE!</v>
      </c>
    </row>
    <row r="3595" spans="1:8" hidden="1" x14ac:dyDescent="0.3">
      <c r="A3595" t="s">
        <v>33</v>
      </c>
      <c r="B3595">
        <v>2016</v>
      </c>
      <c r="C3595" t="s">
        <v>42</v>
      </c>
      <c r="D3595" t="s">
        <v>5</v>
      </c>
      <c r="E3595" t="e">
        <f>VLOOKUP(Cpi_[[#This Row],[Attribute]],#REF!,2,FALSE)</f>
        <v>#REF!</v>
      </c>
      <c r="F3595">
        <v>130.6</v>
      </c>
      <c r="G3595">
        <f>(Cpi_[[#This Row],[Value]]-F3594)/F3594</f>
        <v>-5.1561365286855447E-2</v>
      </c>
      <c r="H3595" t="e" cm="1" vm="1">
        <f t="array" aca="1" ref="H3595" ca="1">VLOOKUP(Cpi_[[#This Row],[Year]:[Month]],crudeoil[],3,FALSE)</f>
        <v>#VALUE!</v>
      </c>
    </row>
    <row r="3596" spans="1:8" hidden="1" x14ac:dyDescent="0.3">
      <c r="A3596" t="s">
        <v>33</v>
      </c>
      <c r="B3596">
        <v>2016</v>
      </c>
      <c r="C3596" t="s">
        <v>42</v>
      </c>
      <c r="D3596" t="s">
        <v>6</v>
      </c>
      <c r="E3596" t="e">
        <f>VLOOKUP(Cpi_[[#This Row],[Attribute]],#REF!,2,FALSE)</f>
        <v>#REF!</v>
      </c>
      <c r="F3596">
        <v>132.6</v>
      </c>
      <c r="G3596">
        <f>(Cpi_[[#This Row],[Value]]-F3595)/F3595</f>
        <v>1.5313935681470138E-2</v>
      </c>
      <c r="H3596" t="e" cm="1" vm="1">
        <f t="array" aca="1" ref="H3596" ca="1">VLOOKUP(Cpi_[[#This Row],[Year]:[Month]],crudeoil[],3,FALSE)</f>
        <v>#VALUE!</v>
      </c>
    </row>
    <row r="3597" spans="1:8" hidden="1" x14ac:dyDescent="0.3">
      <c r="A3597" t="s">
        <v>33</v>
      </c>
      <c r="B3597">
        <v>2016</v>
      </c>
      <c r="C3597" t="s">
        <v>42</v>
      </c>
      <c r="D3597" t="s">
        <v>7</v>
      </c>
      <c r="E3597" t="e">
        <f>VLOOKUP(Cpi_[[#This Row],[Attribute]],#REF!,2,FALSE)</f>
        <v>#REF!</v>
      </c>
      <c r="F3597">
        <v>111.9</v>
      </c>
      <c r="G3597">
        <f>(Cpi_[[#This Row],[Value]]-F3596)/F3596</f>
        <v>-0.15610859728506779</v>
      </c>
      <c r="H3597" t="e" cm="1" vm="1">
        <f t="array" aca="1" ref="H3597" ca="1">VLOOKUP(Cpi_[[#This Row],[Year]:[Month]],crudeoil[],3,FALSE)</f>
        <v>#VALUE!</v>
      </c>
    </row>
    <row r="3598" spans="1:8" hidden="1" x14ac:dyDescent="0.3">
      <c r="A3598" t="s">
        <v>33</v>
      </c>
      <c r="B3598">
        <v>2016</v>
      </c>
      <c r="C3598" t="s">
        <v>42</v>
      </c>
      <c r="D3598" t="s">
        <v>8</v>
      </c>
      <c r="E3598" t="e">
        <f>VLOOKUP(Cpi_[[#This Row],[Attribute]],#REF!,2,FALSE)</f>
        <v>#REF!</v>
      </c>
      <c r="F3598">
        <v>132.5</v>
      </c>
      <c r="G3598">
        <f>(Cpi_[[#This Row],[Value]]-F3597)/F3597</f>
        <v>0.18409294012511165</v>
      </c>
      <c r="H3598" t="e" cm="1" vm="1">
        <f t="array" aca="1" ref="H3598" ca="1">VLOOKUP(Cpi_[[#This Row],[Year]:[Month]],crudeoil[],3,FALSE)</f>
        <v>#VALUE!</v>
      </c>
    </row>
    <row r="3599" spans="1:8" hidden="1" x14ac:dyDescent="0.3">
      <c r="A3599" t="s">
        <v>33</v>
      </c>
      <c r="B3599">
        <v>2016</v>
      </c>
      <c r="C3599" t="s">
        <v>42</v>
      </c>
      <c r="D3599" t="s">
        <v>9</v>
      </c>
      <c r="E3599" t="e">
        <f>VLOOKUP(Cpi_[[#This Row],[Attribute]],#REF!,2,FALSE)</f>
        <v>#REF!</v>
      </c>
      <c r="F3599">
        <v>152.9</v>
      </c>
      <c r="G3599">
        <f>(Cpi_[[#This Row],[Value]]-F3598)/F3598</f>
        <v>0.15396226415094344</v>
      </c>
      <c r="H3599" t="e" cm="1" vm="1">
        <f t="array" aca="1" ref="H3599" ca="1">VLOOKUP(Cpi_[[#This Row],[Year]:[Month]],crudeoil[],3,FALSE)</f>
        <v>#VALUE!</v>
      </c>
    </row>
    <row r="3600" spans="1:8" hidden="1" x14ac:dyDescent="0.3">
      <c r="A3600" t="s">
        <v>33</v>
      </c>
      <c r="B3600">
        <v>2016</v>
      </c>
      <c r="C3600" t="s">
        <v>42</v>
      </c>
      <c r="D3600" t="s">
        <v>10</v>
      </c>
      <c r="E3600" t="e">
        <f>VLOOKUP(Cpi_[[#This Row],[Attribute]],#REF!,2,FALSE)</f>
        <v>#REF!</v>
      </c>
      <c r="F3600">
        <v>173.6</v>
      </c>
      <c r="G3600">
        <f>(Cpi_[[#This Row],[Value]]-F3599)/F3599</f>
        <v>0.13538260300850222</v>
      </c>
      <c r="H3600" t="e" cm="1" vm="1">
        <f t="array" aca="1" ref="H3600" ca="1">VLOOKUP(Cpi_[[#This Row],[Year]:[Month]],crudeoil[],3,FALSE)</f>
        <v>#VALUE!</v>
      </c>
    </row>
    <row r="3601" spans="1:8" hidden="1" x14ac:dyDescent="0.3">
      <c r="A3601" t="s">
        <v>33</v>
      </c>
      <c r="B3601">
        <v>2016</v>
      </c>
      <c r="C3601" t="s">
        <v>42</v>
      </c>
      <c r="D3601" t="s">
        <v>11</v>
      </c>
      <c r="E3601" t="e">
        <f>VLOOKUP(Cpi_[[#This Row],[Attribute]],#REF!,2,FALSE)</f>
        <v>#REF!</v>
      </c>
      <c r="F3601">
        <v>115.1</v>
      </c>
      <c r="G3601">
        <f>(Cpi_[[#This Row],[Value]]-F3600)/F3600</f>
        <v>-0.33698156682027652</v>
      </c>
      <c r="H3601" t="e" cm="1" vm="1">
        <f t="array" aca="1" ref="H3601" ca="1">VLOOKUP(Cpi_[[#This Row],[Year]:[Month]],crudeoil[],3,FALSE)</f>
        <v>#VALUE!</v>
      </c>
    </row>
    <row r="3602" spans="1:8" hidden="1" x14ac:dyDescent="0.3">
      <c r="A3602" t="s">
        <v>33</v>
      </c>
      <c r="B3602">
        <v>2016</v>
      </c>
      <c r="C3602" t="s">
        <v>42</v>
      </c>
      <c r="D3602" t="s">
        <v>12</v>
      </c>
      <c r="E3602" t="e">
        <f>VLOOKUP(Cpi_[[#This Row],[Attribute]],#REF!,2,FALSE)</f>
        <v>#REF!</v>
      </c>
      <c r="F3602">
        <v>144.80000000000001</v>
      </c>
      <c r="G3602">
        <f>(Cpi_[[#This Row],[Value]]-F3601)/F3601</f>
        <v>0.25803649000868828</v>
      </c>
      <c r="H3602" t="e" cm="1" vm="1">
        <f t="array" aca="1" ref="H3602" ca="1">VLOOKUP(Cpi_[[#This Row],[Year]:[Month]],crudeoil[],3,FALSE)</f>
        <v>#VALUE!</v>
      </c>
    </row>
    <row r="3603" spans="1:8" hidden="1" x14ac:dyDescent="0.3">
      <c r="A3603" t="s">
        <v>33</v>
      </c>
      <c r="B3603">
        <v>2016</v>
      </c>
      <c r="C3603" t="s">
        <v>42</v>
      </c>
      <c r="D3603" t="s">
        <v>13</v>
      </c>
      <c r="E3603" t="e">
        <f>VLOOKUP(Cpi_[[#This Row],[Attribute]],#REF!,2,FALSE)</f>
        <v>#REF!</v>
      </c>
      <c r="F3603">
        <v>122.1</v>
      </c>
      <c r="G3603">
        <f>(Cpi_[[#This Row],[Value]]-F3602)/F3602</f>
        <v>-0.15676795580110509</v>
      </c>
      <c r="H3603" t="e" cm="1" vm="1">
        <f t="array" aca="1" ref="H3603" ca="1">VLOOKUP(Cpi_[[#This Row],[Year]:[Month]],crudeoil[],3,FALSE)</f>
        <v>#VALUE!</v>
      </c>
    </row>
    <row r="3604" spans="1:8" hidden="1" x14ac:dyDescent="0.3">
      <c r="A3604" t="s">
        <v>33</v>
      </c>
      <c r="B3604">
        <v>2016</v>
      </c>
      <c r="C3604" t="s">
        <v>42</v>
      </c>
      <c r="D3604" t="s">
        <v>14</v>
      </c>
      <c r="E3604" t="e">
        <f>VLOOKUP(Cpi_[[#This Row],[Attribute]],#REF!,2,FALSE)</f>
        <v>#REF!</v>
      </c>
      <c r="F3604">
        <v>138.80000000000001</v>
      </c>
      <c r="G3604">
        <f>(Cpi_[[#This Row],[Value]]-F3603)/F3603</f>
        <v>0.13677313677313693</v>
      </c>
      <c r="H3604" t="e" cm="1" vm="1">
        <f t="array" aca="1" ref="H3604" ca="1">VLOOKUP(Cpi_[[#This Row],[Year]:[Month]],crudeoil[],3,FALSE)</f>
        <v>#VALUE!</v>
      </c>
    </row>
    <row r="3605" spans="1:8" hidden="1" x14ac:dyDescent="0.3">
      <c r="A3605" t="s">
        <v>33</v>
      </c>
      <c r="B3605">
        <v>2016</v>
      </c>
      <c r="C3605" t="s">
        <v>42</v>
      </c>
      <c r="D3605" t="s">
        <v>15</v>
      </c>
      <c r="E3605" t="e">
        <f>VLOOKUP(Cpi_[[#This Row],[Attribute]],#REF!,2,FALSE)</f>
        <v>#REF!</v>
      </c>
      <c r="F3605">
        <v>135.69999999999999</v>
      </c>
      <c r="G3605">
        <f>(Cpi_[[#This Row],[Value]]-F3604)/F3604</f>
        <v>-2.2334293948126964E-2</v>
      </c>
      <c r="H3605" t="e" cm="1" vm="1">
        <f t="array" aca="1" ref="H3605" ca="1">VLOOKUP(Cpi_[[#This Row],[Year]:[Month]],crudeoil[],3,FALSE)</f>
        <v>#VALUE!</v>
      </c>
    </row>
    <row r="3606" spans="1:8" hidden="1" x14ac:dyDescent="0.3">
      <c r="A3606" t="s">
        <v>33</v>
      </c>
      <c r="B3606">
        <v>2016</v>
      </c>
      <c r="C3606" t="s">
        <v>42</v>
      </c>
      <c r="D3606" t="s">
        <v>16</v>
      </c>
      <c r="E3606" t="e">
        <f>VLOOKUP(Cpi_[[#This Row],[Attribute]],#REF!,2,FALSE)</f>
        <v>#REF!</v>
      </c>
      <c r="F3606">
        <v>143.9</v>
      </c>
      <c r="G3606">
        <f>(Cpi_[[#This Row],[Value]]-F3605)/F3605</f>
        <v>6.0427413411938233E-2</v>
      </c>
      <c r="H3606" t="e" cm="1" vm="1">
        <f t="array" aca="1" ref="H3606" ca="1">VLOOKUP(Cpi_[[#This Row],[Year]:[Month]],crudeoil[],3,FALSE)</f>
        <v>#VALUE!</v>
      </c>
    </row>
    <row r="3607" spans="1:8" hidden="1" x14ac:dyDescent="0.3">
      <c r="A3607" t="s">
        <v>33</v>
      </c>
      <c r="B3607">
        <v>2016</v>
      </c>
      <c r="C3607" t="s">
        <v>42</v>
      </c>
      <c r="D3607" t="s">
        <v>17</v>
      </c>
      <c r="E3607" t="e">
        <f>VLOOKUP(Cpi_[[#This Row],[Attribute]],#REF!,2,FALSE)</f>
        <v>#REF!</v>
      </c>
      <c r="F3607">
        <v>128.69999999999999</v>
      </c>
      <c r="G3607">
        <f>(Cpi_[[#This Row],[Value]]-F3606)/F3606</f>
        <v>-0.10562890896455883</v>
      </c>
      <c r="H3607" t="e" cm="1" vm="1">
        <f t="array" aca="1" ref="H3607" ca="1">VLOOKUP(Cpi_[[#This Row],[Year]:[Month]],crudeoil[],3,FALSE)</f>
        <v>#VALUE!</v>
      </c>
    </row>
    <row r="3608" spans="1:8" hidden="1" x14ac:dyDescent="0.3">
      <c r="A3608" t="s">
        <v>33</v>
      </c>
      <c r="B3608">
        <v>2016</v>
      </c>
      <c r="C3608" t="s">
        <v>42</v>
      </c>
      <c r="D3608" t="s">
        <v>18</v>
      </c>
      <c r="E3608" t="e">
        <f>VLOOKUP(Cpi_[[#This Row],[Attribute]],#REF!,2,FALSE)</f>
        <v>#REF!</v>
      </c>
      <c r="F3608">
        <v>121.6</v>
      </c>
      <c r="G3608">
        <f>(Cpi_[[#This Row],[Value]]-F3607)/F3607</f>
        <v>-5.5167055167055126E-2</v>
      </c>
      <c r="H3608" t="e" cm="1" vm="1">
        <f t="array" aca="1" ref="H3608" ca="1">VLOOKUP(Cpi_[[#This Row],[Year]:[Month]],crudeoil[],3,FALSE)</f>
        <v>#VALUE!</v>
      </c>
    </row>
    <row r="3609" spans="1:8" hidden="1" x14ac:dyDescent="0.3">
      <c r="A3609" t="s">
        <v>33</v>
      </c>
      <c r="B3609">
        <v>2016</v>
      </c>
      <c r="C3609" t="s">
        <v>42</v>
      </c>
      <c r="D3609" t="s">
        <v>19</v>
      </c>
      <c r="E3609" t="e">
        <f>VLOOKUP(Cpi_[[#This Row],[Attribute]],#REF!,2,FALSE)</f>
        <v>#REF!</v>
      </c>
      <c r="F3609">
        <v>127.7</v>
      </c>
      <c r="G3609">
        <f>(Cpi_[[#This Row],[Value]]-F3608)/F3608</f>
        <v>5.0164473684210599E-2</v>
      </c>
      <c r="H3609" t="e" cm="1" vm="1">
        <f t="array" aca="1" ref="H3609" ca="1">VLOOKUP(Cpi_[[#This Row],[Year]:[Month]],crudeoil[],3,FALSE)</f>
        <v>#VALUE!</v>
      </c>
    </row>
    <row r="3610" spans="1:8" hidden="1" x14ac:dyDescent="0.3">
      <c r="A3610" t="s">
        <v>33</v>
      </c>
      <c r="B3610">
        <v>2016</v>
      </c>
      <c r="C3610" t="s">
        <v>42</v>
      </c>
      <c r="D3610" t="s">
        <v>20</v>
      </c>
      <c r="E3610" t="e">
        <f>VLOOKUP(Cpi_[[#This Row],[Attribute]],#REF!,2,FALSE)</f>
        <v>#REF!</v>
      </c>
      <c r="F3610">
        <v>127.9</v>
      </c>
      <c r="G3610">
        <f>(Cpi_[[#This Row],[Value]]-F3609)/F3609</f>
        <v>1.5661707126076964E-3</v>
      </c>
      <c r="H3610" t="e" cm="1" vm="1">
        <f t="array" aca="1" ref="H3610" ca="1">VLOOKUP(Cpi_[[#This Row],[Year]:[Month]],crudeoil[],3,FALSE)</f>
        <v>#VALUE!</v>
      </c>
    </row>
    <row r="3611" spans="1:8" hidden="1" x14ac:dyDescent="0.3">
      <c r="A3611" t="s">
        <v>33</v>
      </c>
      <c r="B3611">
        <v>2016</v>
      </c>
      <c r="C3611" t="s">
        <v>42</v>
      </c>
      <c r="D3611" t="s">
        <v>21</v>
      </c>
      <c r="E3611" t="e">
        <f>VLOOKUP(Cpi_[[#This Row],[Attribute]],#REF!,2,FALSE)</f>
        <v>#REF!</v>
      </c>
      <c r="F3611">
        <v>114.8</v>
      </c>
      <c r="G3611">
        <f>(Cpi_[[#This Row],[Value]]-F3610)/F3610</f>
        <v>-0.10242376856919475</v>
      </c>
      <c r="H3611" t="e" cm="1" vm="1">
        <f t="array" aca="1" ref="H3611" ca="1">VLOOKUP(Cpi_[[#This Row],[Year]:[Month]],crudeoil[],3,FALSE)</f>
        <v>#VALUE!</v>
      </c>
    </row>
    <row r="3612" spans="1:8" hidden="1" x14ac:dyDescent="0.3">
      <c r="A3612" t="s">
        <v>33</v>
      </c>
      <c r="B3612">
        <v>2016</v>
      </c>
      <c r="C3612" t="s">
        <v>42</v>
      </c>
      <c r="D3612" t="s">
        <v>22</v>
      </c>
      <c r="E3612" t="e">
        <f>VLOOKUP(Cpi_[[#This Row],[Attribute]],#REF!,2,FALSE)</f>
        <v>#REF!</v>
      </c>
      <c r="F3612">
        <v>124.3</v>
      </c>
      <c r="G3612">
        <f>(Cpi_[[#This Row],[Value]]-F3611)/F3611</f>
        <v>8.2752613240418119E-2</v>
      </c>
      <c r="H3612" t="e" cm="1" vm="1">
        <f t="array" aca="1" ref="H3612" ca="1">VLOOKUP(Cpi_[[#This Row],[Year]:[Month]],crudeoil[],3,FALSE)</f>
        <v>#VALUE!</v>
      </c>
    </row>
    <row r="3613" spans="1:8" hidden="1" x14ac:dyDescent="0.3">
      <c r="A3613" t="s">
        <v>33</v>
      </c>
      <c r="B3613">
        <v>2016</v>
      </c>
      <c r="C3613" t="s">
        <v>42</v>
      </c>
      <c r="D3613" t="s">
        <v>23</v>
      </c>
      <c r="E3613" t="e">
        <f>VLOOKUP(Cpi_[[#This Row],[Attribute]],#REF!,2,FALSE)</f>
        <v>#REF!</v>
      </c>
      <c r="F3613">
        <v>121.4</v>
      </c>
      <c r="G3613">
        <f>(Cpi_[[#This Row],[Value]]-F3612)/F3612</f>
        <v>-2.3330651649235652E-2</v>
      </c>
      <c r="H3613" t="e" cm="1" vm="1">
        <f t="array" aca="1" ref="H3613" ca="1">VLOOKUP(Cpi_[[#This Row],[Year]:[Month]],crudeoil[],3,FALSE)</f>
        <v>#VALUE!</v>
      </c>
    </row>
    <row r="3614" spans="1:8" hidden="1" x14ac:dyDescent="0.3">
      <c r="A3614" t="s">
        <v>33</v>
      </c>
      <c r="B3614">
        <v>2016</v>
      </c>
      <c r="C3614" t="s">
        <v>42</v>
      </c>
      <c r="D3614" t="s">
        <v>24</v>
      </c>
      <c r="E3614" t="e">
        <f>VLOOKUP(Cpi_[[#This Row],[Attribute]],#REF!,2,FALSE)</f>
        <v>#REF!</v>
      </c>
      <c r="F3614">
        <v>111.8</v>
      </c>
      <c r="G3614">
        <f>(Cpi_[[#This Row],[Value]]-F3613)/F3613</f>
        <v>-7.9077429983525599E-2</v>
      </c>
      <c r="H3614" t="e" cm="1" vm="1">
        <f t="array" aca="1" ref="H3614" ca="1">VLOOKUP(Cpi_[[#This Row],[Year]:[Month]],crudeoil[],3,FALSE)</f>
        <v>#VALUE!</v>
      </c>
    </row>
    <row r="3615" spans="1:8" hidden="1" x14ac:dyDescent="0.3">
      <c r="A3615" t="s">
        <v>33</v>
      </c>
      <c r="B3615">
        <v>2016</v>
      </c>
      <c r="C3615" t="s">
        <v>42</v>
      </c>
      <c r="D3615" t="s">
        <v>25</v>
      </c>
      <c r="E3615" t="e">
        <f>VLOOKUP(Cpi_[[#This Row],[Attribute]],#REF!,2,FALSE)</f>
        <v>#REF!</v>
      </c>
      <c r="F3615">
        <v>120.8</v>
      </c>
      <c r="G3615">
        <f>(Cpi_[[#This Row],[Value]]-F3614)/F3614</f>
        <v>8.0500894454382826E-2</v>
      </c>
      <c r="H3615" t="e" cm="1" vm="1">
        <f t="array" aca="1" ref="H3615" ca="1">VLOOKUP(Cpi_[[#This Row],[Year]:[Month]],crudeoil[],3,FALSE)</f>
        <v>#VALUE!</v>
      </c>
    </row>
    <row r="3616" spans="1:8" hidden="1" x14ac:dyDescent="0.3">
      <c r="A3616" t="s">
        <v>33</v>
      </c>
      <c r="B3616">
        <v>2016</v>
      </c>
      <c r="C3616" t="s">
        <v>42</v>
      </c>
      <c r="D3616" t="s">
        <v>26</v>
      </c>
      <c r="E3616" t="e">
        <f>VLOOKUP(Cpi_[[#This Row],[Attribute]],#REF!,2,FALSE)</f>
        <v>#REF!</v>
      </c>
      <c r="F3616">
        <v>131.6</v>
      </c>
      <c r="G3616">
        <f>(Cpi_[[#This Row],[Value]]-F3615)/F3615</f>
        <v>8.940397350993376E-2</v>
      </c>
      <c r="H3616" t="e" cm="1" vm="1">
        <f t="array" aca="1" ref="H3616" ca="1">VLOOKUP(Cpi_[[#This Row],[Year]:[Month]],crudeoil[],3,FALSE)</f>
        <v>#VALUE!</v>
      </c>
    </row>
    <row r="3617" spans="1:8" hidden="1" x14ac:dyDescent="0.3">
      <c r="A3617" t="s">
        <v>33</v>
      </c>
      <c r="B3617">
        <v>2016</v>
      </c>
      <c r="C3617" t="s">
        <v>42</v>
      </c>
      <c r="D3617" t="s">
        <v>27</v>
      </c>
      <c r="E3617" t="e">
        <f>VLOOKUP(Cpi_[[#This Row],[Attribute]],#REF!,2,FALSE)</f>
        <v>#REF!</v>
      </c>
      <c r="F3617">
        <v>121.2</v>
      </c>
      <c r="G3617">
        <f>(Cpi_[[#This Row],[Value]]-F3616)/F3616</f>
        <v>-7.9027355623100246E-2</v>
      </c>
      <c r="H3617" t="e" cm="1" vm="1">
        <f t="array" aca="1" ref="H3617" ca="1">VLOOKUP(Cpi_[[#This Row],[Year]:[Month]],crudeoil[],3,FALSE)</f>
        <v>#VALUE!</v>
      </c>
    </row>
    <row r="3618" spans="1:8" hidden="1" x14ac:dyDescent="0.3">
      <c r="A3618" t="s">
        <v>33</v>
      </c>
      <c r="B3618">
        <v>2016</v>
      </c>
      <c r="C3618" t="s">
        <v>42</v>
      </c>
      <c r="D3618" t="s">
        <v>28</v>
      </c>
      <c r="E3618" t="e">
        <f>VLOOKUP(Cpi_[[#This Row],[Attribute]],#REF!,2,FALSE)</f>
        <v>#REF!</v>
      </c>
      <c r="F3618">
        <v>120.5</v>
      </c>
      <c r="G3618">
        <f>(Cpi_[[#This Row],[Value]]-F3617)/F3617</f>
        <v>-5.7755775577557986E-3</v>
      </c>
      <c r="H3618" t="e" cm="1" vm="1">
        <f t="array" aca="1" ref="H3618" ca="1">VLOOKUP(Cpi_[[#This Row],[Year]:[Month]],crudeoil[],3,FALSE)</f>
        <v>#VALUE!</v>
      </c>
    </row>
    <row r="3619" spans="1:8" hidden="1" x14ac:dyDescent="0.3">
      <c r="A3619" t="s">
        <v>33</v>
      </c>
      <c r="B3619">
        <v>2016</v>
      </c>
      <c r="C3619" t="s">
        <v>42</v>
      </c>
      <c r="D3619" t="s">
        <v>29</v>
      </c>
      <c r="E3619" t="e" cm="1">
        <f t="array" aca="1" ref="E3619" ca="1">VLGeneral indexGeneral indexKUP(Cpi_[[#This Row],[Attribute]],#REF!,2,FALSE)</f>
        <v>#NAME?</v>
      </c>
      <c r="F3619">
        <v>128</v>
      </c>
      <c r="G3619">
        <f>(Cpi_[[#This Row],[Value]]-F3618)/F3618</f>
        <v>6.2240663900414939E-2</v>
      </c>
      <c r="H3619" t="e" cm="1" vm="1">
        <f t="array" aca="1" ref="H3619" ca="1">VLOOKUP(Cpi_[[#This Row],[Year]:[Month]],crudeoil[],3,FALSE)</f>
        <v>#VALUE!</v>
      </c>
    </row>
    <row r="3620" spans="1:8" hidden="1" x14ac:dyDescent="0.3">
      <c r="A3620" t="s">
        <v>34</v>
      </c>
      <c r="B3620">
        <v>2016</v>
      </c>
      <c r="C3620" t="s">
        <v>42</v>
      </c>
      <c r="D3620" t="s">
        <v>3</v>
      </c>
      <c r="E3620" t="e">
        <f>VLOOKUP(Cpi_[[#This Row],[Attribute]],#REF!,2,FALSE)</f>
        <v>#REF!</v>
      </c>
      <c r="F3620">
        <v>129.9</v>
      </c>
      <c r="G3620">
        <f>(Cpi_[[#This Row],[Value]]-F3619)/F3619</f>
        <v>1.4843750000000044E-2</v>
      </c>
      <c r="H3620" t="e" cm="1" vm="1">
        <f t="array" aca="1" ref="H3620" ca="1">VLOOKUP(Cpi_[[#This Row],[Year]:[Month]],crudeoil[],3,FALSE)</f>
        <v>#VALUE!</v>
      </c>
    </row>
    <row r="3621" spans="1:8" hidden="1" x14ac:dyDescent="0.3">
      <c r="A3621" t="s">
        <v>34</v>
      </c>
      <c r="B3621">
        <v>2016</v>
      </c>
      <c r="C3621" t="s">
        <v>42</v>
      </c>
      <c r="D3621" t="s">
        <v>4</v>
      </c>
      <c r="E3621" t="e">
        <f>VLOOKUP(Cpi_[[#This Row],[Attribute]],#REF!,2,FALSE)</f>
        <v>#REF!</v>
      </c>
      <c r="F3621">
        <v>138</v>
      </c>
      <c r="G3621">
        <f>(Cpi_[[#This Row],[Value]]-F3620)/F3620</f>
        <v>6.2355658198614272E-2</v>
      </c>
      <c r="H3621" t="e" cm="1" vm="1">
        <f t="array" aca="1" ref="H3621" ca="1">VLOOKUP(Cpi_[[#This Row],[Year]:[Month]],crudeoil[],3,FALSE)</f>
        <v>#VALUE!</v>
      </c>
    </row>
    <row r="3622" spans="1:8" hidden="1" x14ac:dyDescent="0.3">
      <c r="A3622" t="s">
        <v>34</v>
      </c>
      <c r="B3622">
        <v>2016</v>
      </c>
      <c r="C3622" t="s">
        <v>42</v>
      </c>
      <c r="D3622" t="s">
        <v>5</v>
      </c>
      <c r="E3622" t="e">
        <f>VLOOKUP(Cpi_[[#This Row],[Attribute]],#REF!,2,FALSE)</f>
        <v>#REF!</v>
      </c>
      <c r="F3622">
        <v>130.5</v>
      </c>
      <c r="G3622">
        <f>(Cpi_[[#This Row],[Value]]-F3621)/F3621</f>
        <v>-5.434782608695652E-2</v>
      </c>
      <c r="H3622" t="e" cm="1" vm="1">
        <f t="array" aca="1" ref="H3622" ca="1">VLOOKUP(Cpi_[[#This Row],[Year]:[Month]],crudeoil[],3,FALSE)</f>
        <v>#VALUE!</v>
      </c>
    </row>
    <row r="3623" spans="1:8" hidden="1" x14ac:dyDescent="0.3">
      <c r="A3623" t="s">
        <v>34</v>
      </c>
      <c r="B3623">
        <v>2016</v>
      </c>
      <c r="C3623" t="s">
        <v>42</v>
      </c>
      <c r="D3623" t="s">
        <v>6</v>
      </c>
      <c r="E3623" t="e">
        <f>VLOOKUP(Cpi_[[#This Row],[Attribute]],#REF!,2,FALSE)</f>
        <v>#REF!</v>
      </c>
      <c r="F3623">
        <v>134.4</v>
      </c>
      <c r="G3623">
        <f>(Cpi_[[#This Row],[Value]]-F3622)/F3622</f>
        <v>2.9885057471264413E-2</v>
      </c>
      <c r="H3623" t="e" cm="1" vm="1">
        <f t="array" aca="1" ref="H3623" ca="1">VLOOKUP(Cpi_[[#This Row],[Year]:[Month]],crudeoil[],3,FALSE)</f>
        <v>#VALUE!</v>
      </c>
    </row>
    <row r="3624" spans="1:8" hidden="1" x14ac:dyDescent="0.3">
      <c r="A3624" t="s">
        <v>34</v>
      </c>
      <c r="B3624">
        <v>2016</v>
      </c>
      <c r="C3624" t="s">
        <v>42</v>
      </c>
      <c r="D3624" t="s">
        <v>7</v>
      </c>
      <c r="E3624" t="e">
        <f>VLOOKUP(Cpi_[[#This Row],[Attribute]],#REF!,2,FALSE)</f>
        <v>#REF!</v>
      </c>
      <c r="F3624">
        <v>117.2</v>
      </c>
      <c r="G3624">
        <f>(Cpi_[[#This Row],[Value]]-F3623)/F3623</f>
        <v>-0.12797619047619049</v>
      </c>
      <c r="H3624" t="e" cm="1" vm="1">
        <f t="array" aca="1" ref="H3624" ca="1">VLOOKUP(Cpi_[[#This Row],[Year]:[Month]],crudeoil[],3,FALSE)</f>
        <v>#VALUE!</v>
      </c>
    </row>
    <row r="3625" spans="1:8" hidden="1" x14ac:dyDescent="0.3">
      <c r="A3625" t="s">
        <v>34</v>
      </c>
      <c r="B3625">
        <v>2016</v>
      </c>
      <c r="C3625" t="s">
        <v>42</v>
      </c>
      <c r="D3625" t="s">
        <v>8</v>
      </c>
      <c r="E3625" t="e">
        <f>VLOOKUP(Cpi_[[#This Row],[Attribute]],#REF!,2,FALSE)</f>
        <v>#REF!</v>
      </c>
      <c r="F3625">
        <v>136.1</v>
      </c>
      <c r="G3625">
        <f>(Cpi_[[#This Row],[Value]]-F3624)/F3624</f>
        <v>0.16126279863481222</v>
      </c>
      <c r="H3625" t="e" cm="1" vm="1">
        <f t="array" aca="1" ref="H3625" ca="1">VLOOKUP(Cpi_[[#This Row],[Year]:[Month]],crudeoil[],3,FALSE)</f>
        <v>#VALUE!</v>
      </c>
    </row>
    <row r="3626" spans="1:8" hidden="1" x14ac:dyDescent="0.3">
      <c r="A3626" t="s">
        <v>34</v>
      </c>
      <c r="B3626">
        <v>2016</v>
      </c>
      <c r="C3626" t="s">
        <v>42</v>
      </c>
      <c r="D3626" t="s">
        <v>9</v>
      </c>
      <c r="E3626" t="e">
        <f>VLOOKUP(Cpi_[[#This Row],[Attribute]],#REF!,2,FALSE)</f>
        <v>#REF!</v>
      </c>
      <c r="F3626">
        <v>150.69999999999999</v>
      </c>
      <c r="G3626">
        <f>(Cpi_[[#This Row],[Value]]-F3625)/F3625</f>
        <v>0.1072740631888317</v>
      </c>
      <c r="H3626" t="e" cm="1" vm="1">
        <f t="array" aca="1" ref="H3626" ca="1">VLOOKUP(Cpi_[[#This Row],[Year]:[Month]],crudeoil[],3,FALSE)</f>
        <v>#VALUE!</v>
      </c>
    </row>
    <row r="3627" spans="1:8" hidden="1" x14ac:dyDescent="0.3">
      <c r="A3627" t="s">
        <v>34</v>
      </c>
      <c r="B3627">
        <v>2016</v>
      </c>
      <c r="C3627" t="s">
        <v>42</v>
      </c>
      <c r="D3627" t="s">
        <v>10</v>
      </c>
      <c r="E3627" t="e">
        <f>VLOOKUP(Cpi_[[#This Row],[Attribute]],#REF!,2,FALSE)</f>
        <v>#REF!</v>
      </c>
      <c r="F3627">
        <v>171.5</v>
      </c>
      <c r="G3627">
        <f>(Cpi_[[#This Row],[Value]]-F3626)/F3626</f>
        <v>0.1380225613802257</v>
      </c>
      <c r="H3627" t="e" cm="1" vm="1">
        <f t="array" aca="1" ref="H3627" ca="1">VLOOKUP(Cpi_[[#This Row],[Year]:[Month]],crudeoil[],3,FALSE)</f>
        <v>#VALUE!</v>
      </c>
    </row>
    <row r="3628" spans="1:8" hidden="1" x14ac:dyDescent="0.3">
      <c r="A3628" t="s">
        <v>34</v>
      </c>
      <c r="B3628">
        <v>2016</v>
      </c>
      <c r="C3628" t="s">
        <v>42</v>
      </c>
      <c r="D3628" t="s">
        <v>11</v>
      </c>
      <c r="E3628" t="e">
        <f>VLOOKUP(Cpi_[[#This Row],[Attribute]],#REF!,2,FALSE)</f>
        <v>#REF!</v>
      </c>
      <c r="F3628">
        <v>113.8</v>
      </c>
      <c r="G3628">
        <f>(Cpi_[[#This Row],[Value]]-F3627)/F3627</f>
        <v>-0.33644314868804664</v>
      </c>
      <c r="H3628" t="e" cm="1" vm="1">
        <f t="array" aca="1" ref="H3628" ca="1">VLOOKUP(Cpi_[[#This Row],[Year]:[Month]],crudeoil[],3,FALSE)</f>
        <v>#VALUE!</v>
      </c>
    </row>
    <row r="3629" spans="1:8" hidden="1" x14ac:dyDescent="0.3">
      <c r="A3629" t="s">
        <v>34</v>
      </c>
      <c r="B3629">
        <v>2016</v>
      </c>
      <c r="C3629" t="s">
        <v>42</v>
      </c>
      <c r="D3629" t="s">
        <v>12</v>
      </c>
      <c r="E3629" t="e">
        <f>VLOOKUP(Cpi_[[#This Row],[Attribute]],#REF!,2,FALSE)</f>
        <v>#REF!</v>
      </c>
      <c r="F3629">
        <v>138.80000000000001</v>
      </c>
      <c r="G3629">
        <f>(Cpi_[[#This Row],[Value]]-F3628)/F3628</f>
        <v>0.21968365553602826</v>
      </c>
      <c r="H3629" t="e" cm="1" vm="1">
        <f t="array" aca="1" ref="H3629" ca="1">VLOOKUP(Cpi_[[#This Row],[Year]:[Month]],crudeoil[],3,FALSE)</f>
        <v>#VALUE!</v>
      </c>
    </row>
    <row r="3630" spans="1:8" hidden="1" x14ac:dyDescent="0.3">
      <c r="A3630" t="s">
        <v>34</v>
      </c>
      <c r="B3630">
        <v>2016</v>
      </c>
      <c r="C3630" t="s">
        <v>42</v>
      </c>
      <c r="D3630" t="s">
        <v>13</v>
      </c>
      <c r="E3630" t="e">
        <f>VLOOKUP(Cpi_[[#This Row],[Attribute]],#REF!,2,FALSE)</f>
        <v>#REF!</v>
      </c>
      <c r="F3630">
        <v>126</v>
      </c>
      <c r="G3630">
        <f>(Cpi_[[#This Row],[Value]]-F3629)/F3629</f>
        <v>-9.221902017291074E-2</v>
      </c>
      <c r="H3630" t="e" cm="1" vm="1">
        <f t="array" aca="1" ref="H3630" ca="1">VLOOKUP(Cpi_[[#This Row],[Year]:[Month]],crudeoil[],3,FALSE)</f>
        <v>#VALUE!</v>
      </c>
    </row>
    <row r="3631" spans="1:8" hidden="1" x14ac:dyDescent="0.3">
      <c r="A3631" t="s">
        <v>34</v>
      </c>
      <c r="B3631">
        <v>2016</v>
      </c>
      <c r="C3631" t="s">
        <v>42</v>
      </c>
      <c r="D3631" t="s">
        <v>14</v>
      </c>
      <c r="E3631" t="e">
        <f>VLOOKUP(Cpi_[[#This Row],[Attribute]],#REF!,2,FALSE)</f>
        <v>#REF!</v>
      </c>
      <c r="F3631">
        <v>140.19999999999999</v>
      </c>
      <c r="G3631">
        <f>(Cpi_[[#This Row],[Value]]-F3630)/F3630</f>
        <v>0.1126984126984126</v>
      </c>
      <c r="H3631" t="e" cm="1" vm="1">
        <f t="array" aca="1" ref="H3631" ca="1">VLOOKUP(Cpi_[[#This Row],[Year]:[Month]],crudeoil[],3,FALSE)</f>
        <v>#VALUE!</v>
      </c>
    </row>
    <row r="3632" spans="1:8" hidden="1" x14ac:dyDescent="0.3">
      <c r="A3632" t="s">
        <v>34</v>
      </c>
      <c r="B3632">
        <v>2016</v>
      </c>
      <c r="C3632" t="s">
        <v>42</v>
      </c>
      <c r="D3632" t="s">
        <v>15</v>
      </c>
      <c r="E3632" t="e">
        <f>VLOOKUP(Cpi_[[#This Row],[Attribute]],#REF!,2,FALSE)</f>
        <v>#REF!</v>
      </c>
      <c r="F3632">
        <v>136.6</v>
      </c>
      <c r="G3632">
        <f>(Cpi_[[#This Row],[Value]]-F3631)/F3631</f>
        <v>-2.5677603423680417E-2</v>
      </c>
      <c r="H3632" t="e" cm="1" vm="1">
        <f t="array" aca="1" ref="H3632" ca="1">VLOOKUP(Cpi_[[#This Row],[Year]:[Month]],crudeoil[],3,FALSE)</f>
        <v>#VALUE!</v>
      </c>
    </row>
    <row r="3633" spans="1:8" hidden="1" x14ac:dyDescent="0.3">
      <c r="A3633" t="s">
        <v>34</v>
      </c>
      <c r="B3633">
        <v>2016</v>
      </c>
      <c r="C3633" t="s">
        <v>42</v>
      </c>
      <c r="D3633" t="s">
        <v>16</v>
      </c>
      <c r="E3633" t="e">
        <f>VLOOKUP(Cpi_[[#This Row],[Attribute]],#REF!,2,FALSE)</f>
        <v>#REF!</v>
      </c>
      <c r="F3633">
        <v>141</v>
      </c>
      <c r="G3633">
        <f>(Cpi_[[#This Row],[Value]]-F3632)/F3632</f>
        <v>3.2210834553440745E-2</v>
      </c>
      <c r="H3633" t="e" cm="1" vm="1">
        <f t="array" aca="1" ref="H3633" ca="1">VLOOKUP(Cpi_[[#This Row],[Year]:[Month]],crudeoil[],3,FALSE)</f>
        <v>#VALUE!</v>
      </c>
    </row>
    <row r="3634" spans="1:8" hidden="1" x14ac:dyDescent="0.3">
      <c r="A3634" t="s">
        <v>34</v>
      </c>
      <c r="B3634">
        <v>2016</v>
      </c>
      <c r="C3634" t="s">
        <v>42</v>
      </c>
      <c r="D3634" t="s">
        <v>17</v>
      </c>
      <c r="E3634" t="e">
        <f>VLOOKUP(Cpi_[[#This Row],[Attribute]],#REF!,2,FALSE)</f>
        <v>#REF!</v>
      </c>
      <c r="F3634">
        <v>134.6</v>
      </c>
      <c r="G3634">
        <f>(Cpi_[[#This Row],[Value]]-F3633)/F3633</f>
        <v>-4.5390070921985853E-2</v>
      </c>
      <c r="H3634" t="e" cm="1" vm="1">
        <f t="array" aca="1" ref="H3634" ca="1">VLOOKUP(Cpi_[[#This Row],[Year]:[Month]],crudeoil[],3,FALSE)</f>
        <v>#VALUE!</v>
      </c>
    </row>
    <row r="3635" spans="1:8" hidden="1" x14ac:dyDescent="0.3">
      <c r="A3635" t="s">
        <v>34</v>
      </c>
      <c r="B3635">
        <v>2016</v>
      </c>
      <c r="C3635" t="s">
        <v>42</v>
      </c>
      <c r="D3635" t="s">
        <v>18</v>
      </c>
      <c r="E3635" t="e">
        <f>VLOOKUP(Cpi_[[#This Row],[Attribute]],#REF!,2,FALSE)</f>
        <v>#REF!</v>
      </c>
      <c r="F3635">
        <v>128.6</v>
      </c>
      <c r="G3635">
        <f>(Cpi_[[#This Row],[Value]]-F3634)/F3634</f>
        <v>-4.4576523031203567E-2</v>
      </c>
      <c r="H3635" t="e" cm="1" vm="1">
        <f t="array" aca="1" ref="H3635" ca="1">VLOOKUP(Cpi_[[#This Row],[Year]:[Month]],crudeoil[],3,FALSE)</f>
        <v>#VALUE!</v>
      </c>
    </row>
    <row r="3636" spans="1:8" hidden="1" x14ac:dyDescent="0.3">
      <c r="A3636" t="s">
        <v>34</v>
      </c>
      <c r="B3636">
        <v>2016</v>
      </c>
      <c r="C3636" t="s">
        <v>42</v>
      </c>
      <c r="D3636" t="s">
        <v>19</v>
      </c>
      <c r="E3636" t="e">
        <f>VLOOKUP(Cpi_[[#This Row],[Attribute]],#REF!,2,FALSE)</f>
        <v>#REF!</v>
      </c>
      <c r="F3636">
        <v>133.80000000000001</v>
      </c>
      <c r="G3636">
        <f>(Cpi_[[#This Row],[Value]]-F3635)/F3635</f>
        <v>4.0435458786936371E-2</v>
      </c>
      <c r="H3636" t="e" cm="1" vm="1">
        <f t="array" aca="1" ref="H3636" ca="1">VLOOKUP(Cpi_[[#This Row],[Year]:[Month]],crudeoil[],3,FALSE)</f>
        <v>#VALUE!</v>
      </c>
    </row>
    <row r="3637" spans="1:8" hidden="1" x14ac:dyDescent="0.3">
      <c r="A3637" t="s">
        <v>34</v>
      </c>
      <c r="B3637">
        <v>2016</v>
      </c>
      <c r="C3637" t="s">
        <v>42</v>
      </c>
      <c r="D3637" t="s">
        <v>20</v>
      </c>
      <c r="E3637" t="e">
        <f>VLOOKUP(Cpi_[[#This Row],[Attribute]],#REF!,2,FALSE)</f>
        <v>#REF!</v>
      </c>
      <c r="F3637">
        <v>127.9</v>
      </c>
      <c r="G3637">
        <f>(Cpi_[[#This Row],[Value]]-F3636)/F3636</f>
        <v>-4.4095665171898397E-2</v>
      </c>
      <c r="H3637" t="e" cm="1" vm="1">
        <f t="array" aca="1" ref="H3637" ca="1">VLOOKUP(Cpi_[[#This Row],[Year]:[Month]],crudeoil[],3,FALSE)</f>
        <v>#VALUE!</v>
      </c>
    </row>
    <row r="3638" spans="1:8" hidden="1" x14ac:dyDescent="0.3">
      <c r="A3638" t="s">
        <v>34</v>
      </c>
      <c r="B3638">
        <v>2016</v>
      </c>
      <c r="C3638" t="s">
        <v>42</v>
      </c>
      <c r="D3638" t="s">
        <v>21</v>
      </c>
      <c r="E3638" t="e">
        <f>VLOOKUP(Cpi_[[#This Row],[Attribute]],#REF!,2,FALSE)</f>
        <v>#REF!</v>
      </c>
      <c r="F3638">
        <v>124.1</v>
      </c>
      <c r="G3638">
        <f>(Cpi_[[#This Row],[Value]]-F3637)/F3637</f>
        <v>-2.9710711493354271E-2</v>
      </c>
      <c r="H3638" t="e" cm="1" vm="1">
        <f t="array" aca="1" ref="H3638" ca="1">VLOOKUP(Cpi_[[#This Row],[Year]:[Month]],crudeoil[],3,FALSE)</f>
        <v>#VALUE!</v>
      </c>
    </row>
    <row r="3639" spans="1:8" hidden="1" x14ac:dyDescent="0.3">
      <c r="A3639" t="s">
        <v>34</v>
      </c>
      <c r="B3639">
        <v>2016</v>
      </c>
      <c r="C3639" t="s">
        <v>42</v>
      </c>
      <c r="D3639" t="s">
        <v>22</v>
      </c>
      <c r="E3639" t="e">
        <f>VLOOKUP(Cpi_[[#This Row],[Attribute]],#REF!,2,FALSE)</f>
        <v>#REF!</v>
      </c>
      <c r="F3639">
        <v>127.9</v>
      </c>
      <c r="G3639">
        <f>(Cpi_[[#This Row],[Value]]-F3638)/F3638</f>
        <v>3.0620467365028298E-2</v>
      </c>
      <c r="H3639" t="e" cm="1" vm="1">
        <f t="array" aca="1" ref="H3639" ca="1">VLOOKUP(Cpi_[[#This Row],[Year]:[Month]],crudeoil[],3,FALSE)</f>
        <v>#VALUE!</v>
      </c>
    </row>
    <row r="3640" spans="1:8" hidden="1" x14ac:dyDescent="0.3">
      <c r="A3640" t="s">
        <v>34</v>
      </c>
      <c r="B3640">
        <v>2016</v>
      </c>
      <c r="C3640" t="s">
        <v>42</v>
      </c>
      <c r="D3640" t="s">
        <v>23</v>
      </c>
      <c r="E3640" t="e">
        <f>VLOOKUP(Cpi_[[#This Row],[Attribute]],#REF!,2,FALSE)</f>
        <v>#REF!</v>
      </c>
      <c r="F3640">
        <v>125.4</v>
      </c>
      <c r="G3640">
        <f>(Cpi_[[#This Row],[Value]]-F3639)/F3639</f>
        <v>-1.9546520719311962E-2</v>
      </c>
      <c r="H3640" t="e" cm="1" vm="1">
        <f t="array" aca="1" ref="H3640" ca="1">VLOOKUP(Cpi_[[#This Row],[Year]:[Month]],crudeoil[],3,FALSE)</f>
        <v>#VALUE!</v>
      </c>
    </row>
    <row r="3641" spans="1:8" hidden="1" x14ac:dyDescent="0.3">
      <c r="A3641" t="s">
        <v>34</v>
      </c>
      <c r="B3641">
        <v>2016</v>
      </c>
      <c r="C3641" t="s">
        <v>42</v>
      </c>
      <c r="D3641" t="s">
        <v>24</v>
      </c>
      <c r="E3641" t="e">
        <f>VLOOKUP(Cpi_[[#This Row],[Attribute]],#REF!,2,FALSE)</f>
        <v>#REF!</v>
      </c>
      <c r="F3641">
        <v>114.3</v>
      </c>
      <c r="G3641">
        <f>(Cpi_[[#This Row],[Value]]-F3640)/F3640</f>
        <v>-8.8516746411483313E-2</v>
      </c>
      <c r="H3641" t="e" cm="1" vm="1">
        <f t="array" aca="1" ref="H3641" ca="1">VLOOKUP(Cpi_[[#This Row],[Year]:[Month]],crudeoil[],3,FALSE)</f>
        <v>#VALUE!</v>
      </c>
    </row>
    <row r="3642" spans="1:8" hidden="1" x14ac:dyDescent="0.3">
      <c r="A3642" t="s">
        <v>34</v>
      </c>
      <c r="B3642">
        <v>2016</v>
      </c>
      <c r="C3642" t="s">
        <v>42</v>
      </c>
      <c r="D3642" t="s">
        <v>25</v>
      </c>
      <c r="E3642" t="e">
        <f>VLOOKUP(Cpi_[[#This Row],[Attribute]],#REF!,2,FALSE)</f>
        <v>#REF!</v>
      </c>
      <c r="F3642">
        <v>122.9</v>
      </c>
      <c r="G3642">
        <f>(Cpi_[[#This Row],[Value]]-F3641)/F3641</f>
        <v>7.5240594925634369E-2</v>
      </c>
      <c r="H3642" t="e" cm="1" vm="1">
        <f t="array" aca="1" ref="H3642" ca="1">VLOOKUP(Cpi_[[#This Row],[Year]:[Month]],crudeoil[],3,FALSE)</f>
        <v>#VALUE!</v>
      </c>
    </row>
    <row r="3643" spans="1:8" hidden="1" x14ac:dyDescent="0.3">
      <c r="A3643" t="s">
        <v>34</v>
      </c>
      <c r="B3643">
        <v>2016</v>
      </c>
      <c r="C3643" t="s">
        <v>42</v>
      </c>
      <c r="D3643" t="s">
        <v>26</v>
      </c>
      <c r="E3643" t="e">
        <f>VLOOKUP(Cpi_[[#This Row],[Attribute]],#REF!,2,FALSE)</f>
        <v>#REF!</v>
      </c>
      <c r="F3643">
        <v>131.80000000000001</v>
      </c>
      <c r="G3643">
        <f>(Cpi_[[#This Row],[Value]]-F3642)/F3642</f>
        <v>7.2416598860862533E-2</v>
      </c>
      <c r="H3643" t="e" cm="1" vm="1">
        <f t="array" aca="1" ref="H3643" ca="1">VLOOKUP(Cpi_[[#This Row],[Year]:[Month]],crudeoil[],3,FALSE)</f>
        <v>#VALUE!</v>
      </c>
    </row>
    <row r="3644" spans="1:8" hidden="1" x14ac:dyDescent="0.3">
      <c r="A3644" t="s">
        <v>34</v>
      </c>
      <c r="B3644">
        <v>2016</v>
      </c>
      <c r="C3644" t="s">
        <v>42</v>
      </c>
      <c r="D3644" t="s">
        <v>27</v>
      </c>
      <c r="E3644" t="e">
        <f>VLOOKUP(Cpi_[[#This Row],[Attribute]],#REF!,2,FALSE)</f>
        <v>#REF!</v>
      </c>
      <c r="F3644">
        <v>122.1</v>
      </c>
      <c r="G3644">
        <f>(Cpi_[[#This Row],[Value]]-F3643)/F3643</f>
        <v>-7.359635811836128E-2</v>
      </c>
      <c r="H3644" t="e" cm="1" vm="1">
        <f t="array" aca="1" ref="H3644" ca="1">VLOOKUP(Cpi_[[#This Row],[Year]:[Month]],crudeoil[],3,FALSE)</f>
        <v>#VALUE!</v>
      </c>
    </row>
    <row r="3645" spans="1:8" hidden="1" x14ac:dyDescent="0.3">
      <c r="A3645" t="s">
        <v>34</v>
      </c>
      <c r="B3645">
        <v>2016</v>
      </c>
      <c r="C3645" t="s">
        <v>42</v>
      </c>
      <c r="D3645" t="s">
        <v>28</v>
      </c>
      <c r="E3645" t="e">
        <f>VLOOKUP(Cpi_[[#This Row],[Attribute]],#REF!,2,FALSE)</f>
        <v>#REF!</v>
      </c>
      <c r="F3645">
        <v>122.8</v>
      </c>
      <c r="G3645">
        <f>(Cpi_[[#This Row],[Value]]-F3644)/F3644</f>
        <v>5.7330057330057561E-3</v>
      </c>
      <c r="H3645" t="e" cm="1" vm="1">
        <f t="array" aca="1" ref="H3645" ca="1">VLOOKUP(Cpi_[[#This Row],[Year]:[Month]],crudeoil[],3,FALSE)</f>
        <v>#VALUE!</v>
      </c>
    </row>
    <row r="3646" spans="1:8" hidden="1" x14ac:dyDescent="0.3">
      <c r="A3646" t="s">
        <v>34</v>
      </c>
      <c r="B3646">
        <v>2016</v>
      </c>
      <c r="C3646" t="s">
        <v>42</v>
      </c>
      <c r="D3646" t="s">
        <v>29</v>
      </c>
      <c r="E3646" t="e" cm="1">
        <f t="array" aca="1" ref="E3646" ca="1">VLGeneral indexGeneral indexKUP(Cpi_[[#This Row],[Attribute]],#REF!,2,FALSE)</f>
        <v>#NAME?</v>
      </c>
      <c r="F3646">
        <v>130.9</v>
      </c>
      <c r="G3646">
        <f>(Cpi_[[#This Row],[Value]]-F3645)/F3645</f>
        <v>6.5960912052117335E-2</v>
      </c>
      <c r="H3646" t="e" cm="1" vm="1">
        <f t="array" aca="1" ref="H3646" ca="1">VLOOKUP(Cpi_[[#This Row],[Year]:[Month]],crudeoil[],3,FALSE)</f>
        <v>#VALUE!</v>
      </c>
    </row>
    <row r="3647" spans="1:8" hidden="1" x14ac:dyDescent="0.3">
      <c r="A3647" t="s">
        <v>30</v>
      </c>
      <c r="B3647">
        <v>2016</v>
      </c>
      <c r="C3647" t="s">
        <v>43</v>
      </c>
      <c r="D3647" t="s">
        <v>3</v>
      </c>
      <c r="E3647" t="e">
        <f>VLOOKUP(Cpi_[[#This Row],[Attribute]],#REF!,2,FALSE)</f>
        <v>#REF!</v>
      </c>
      <c r="F3647">
        <v>131.30000000000001</v>
      </c>
      <c r="G3647">
        <f>(Cpi_[[#This Row],[Value]]-F3646)/F3646</f>
        <v>3.0557677616501579E-3</v>
      </c>
      <c r="H3647" t="e" cm="1" vm="1">
        <f t="array" aca="1" ref="H3647" ca="1">VLOOKUP(Cpi_[[#This Row],[Year]:[Month]],crudeoil[],3,FALSE)</f>
        <v>#VALUE!</v>
      </c>
    </row>
    <row r="3648" spans="1:8" hidden="1" x14ac:dyDescent="0.3">
      <c r="A3648" t="s">
        <v>30</v>
      </c>
      <c r="B3648">
        <v>2016</v>
      </c>
      <c r="C3648" t="s">
        <v>43</v>
      </c>
      <c r="D3648" t="s">
        <v>4</v>
      </c>
      <c r="E3648" t="e">
        <f>VLOOKUP(Cpi_[[#This Row],[Attribute]],#REF!,2,FALSE)</f>
        <v>#REF!</v>
      </c>
      <c r="F3648">
        <v>137.6</v>
      </c>
      <c r="G3648">
        <f>(Cpi_[[#This Row],[Value]]-F3647)/F3647</f>
        <v>4.798172124904785E-2</v>
      </c>
      <c r="H3648" t="e" cm="1" vm="1">
        <f t="array" aca="1" ref="H3648" ca="1">VLOOKUP(Cpi_[[#This Row],[Year]:[Month]],crudeoil[],3,FALSE)</f>
        <v>#VALUE!</v>
      </c>
    </row>
    <row r="3649" spans="1:8" hidden="1" x14ac:dyDescent="0.3">
      <c r="A3649" t="s">
        <v>30</v>
      </c>
      <c r="B3649">
        <v>2016</v>
      </c>
      <c r="C3649" t="s">
        <v>43</v>
      </c>
      <c r="D3649" t="s">
        <v>5</v>
      </c>
      <c r="E3649" t="e">
        <f>VLOOKUP(Cpi_[[#This Row],[Attribute]],#REF!,2,FALSE)</f>
        <v>#REF!</v>
      </c>
      <c r="F3649">
        <v>130.1</v>
      </c>
      <c r="G3649">
        <f>(Cpi_[[#This Row],[Value]]-F3648)/F3648</f>
        <v>-5.4505813953488372E-2</v>
      </c>
      <c r="H3649" t="e" cm="1" vm="1">
        <f t="array" aca="1" ref="H3649" ca="1">VLOOKUP(Cpi_[[#This Row],[Year]:[Month]],crudeoil[],3,FALSE)</f>
        <v>#VALUE!</v>
      </c>
    </row>
    <row r="3650" spans="1:8" hidden="1" x14ac:dyDescent="0.3">
      <c r="A3650" t="s">
        <v>30</v>
      </c>
      <c r="B3650">
        <v>2016</v>
      </c>
      <c r="C3650" t="s">
        <v>43</v>
      </c>
      <c r="D3650" t="s">
        <v>6</v>
      </c>
      <c r="E3650" t="e">
        <f>VLOOKUP(Cpi_[[#This Row],[Attribute]],#REF!,2,FALSE)</f>
        <v>#REF!</v>
      </c>
      <c r="F3650">
        <v>136</v>
      </c>
      <c r="G3650">
        <f>(Cpi_[[#This Row],[Value]]-F3649)/F3649</f>
        <v>4.5349730976172224E-2</v>
      </c>
      <c r="H3650" t="e" cm="1" vm="1">
        <f t="array" aca="1" ref="H3650" ca="1">VLOOKUP(Cpi_[[#This Row],[Year]:[Month]],crudeoil[],3,FALSE)</f>
        <v>#VALUE!</v>
      </c>
    </row>
    <row r="3651" spans="1:8" hidden="1" x14ac:dyDescent="0.3">
      <c r="A3651" t="s">
        <v>30</v>
      </c>
      <c r="B3651">
        <v>2016</v>
      </c>
      <c r="C3651" t="s">
        <v>43</v>
      </c>
      <c r="D3651" t="s">
        <v>7</v>
      </c>
      <c r="E3651" t="e">
        <f>VLOOKUP(Cpi_[[#This Row],[Attribute]],#REF!,2,FALSE)</f>
        <v>#REF!</v>
      </c>
      <c r="F3651">
        <v>120.8</v>
      </c>
      <c r="G3651">
        <f>(Cpi_[[#This Row],[Value]]-F3650)/F3650</f>
        <v>-0.11176470588235296</v>
      </c>
      <c r="H3651" t="e" cm="1" vm="1">
        <f t="array" aca="1" ref="H3651" ca="1">VLOOKUP(Cpi_[[#This Row],[Year]:[Month]],crudeoil[],3,FALSE)</f>
        <v>#VALUE!</v>
      </c>
    </row>
    <row r="3652" spans="1:8" hidden="1" x14ac:dyDescent="0.3">
      <c r="A3652" t="s">
        <v>30</v>
      </c>
      <c r="B3652">
        <v>2016</v>
      </c>
      <c r="C3652" t="s">
        <v>43</v>
      </c>
      <c r="D3652" t="s">
        <v>8</v>
      </c>
      <c r="E3652" t="e">
        <f>VLOOKUP(Cpi_[[#This Row],[Attribute]],#REF!,2,FALSE)</f>
        <v>#REF!</v>
      </c>
      <c r="F3652">
        <v>138.4</v>
      </c>
      <c r="G3652">
        <f>(Cpi_[[#This Row],[Value]]-F3651)/F3651</f>
        <v>0.14569536423841067</v>
      </c>
      <c r="H3652" t="e" cm="1" vm="1">
        <f t="array" aca="1" ref="H3652" ca="1">VLOOKUP(Cpi_[[#This Row],[Year]:[Month]],crudeoil[],3,FALSE)</f>
        <v>#VALUE!</v>
      </c>
    </row>
    <row r="3653" spans="1:8" hidden="1" x14ac:dyDescent="0.3">
      <c r="A3653" t="s">
        <v>30</v>
      </c>
      <c r="B3653">
        <v>2016</v>
      </c>
      <c r="C3653" t="s">
        <v>43</v>
      </c>
      <c r="D3653" t="s">
        <v>9</v>
      </c>
      <c r="E3653" t="e">
        <f>VLOOKUP(Cpi_[[#This Row],[Attribute]],#REF!,2,FALSE)</f>
        <v>#REF!</v>
      </c>
      <c r="F3653">
        <v>149.19999999999999</v>
      </c>
      <c r="G3653">
        <f>(Cpi_[[#This Row],[Value]]-F3652)/F3652</f>
        <v>7.8034682080924733E-2</v>
      </c>
      <c r="H3653" t="e" cm="1" vm="1">
        <f t="array" aca="1" ref="H3653" ca="1">VLOOKUP(Cpi_[[#This Row],[Year]:[Month]],crudeoil[],3,FALSE)</f>
        <v>#VALUE!</v>
      </c>
    </row>
    <row r="3654" spans="1:8" hidden="1" x14ac:dyDescent="0.3">
      <c r="A3654" t="s">
        <v>30</v>
      </c>
      <c r="B3654">
        <v>2016</v>
      </c>
      <c r="C3654" t="s">
        <v>43</v>
      </c>
      <c r="D3654" t="s">
        <v>10</v>
      </c>
      <c r="E3654" t="e">
        <f>VLOOKUP(Cpi_[[#This Row],[Attribute]],#REF!,2,FALSE)</f>
        <v>#REF!</v>
      </c>
      <c r="F3654">
        <v>170.2</v>
      </c>
      <c r="G3654">
        <f>(Cpi_[[#This Row],[Value]]-F3653)/F3653</f>
        <v>0.14075067024128687</v>
      </c>
      <c r="H3654" t="e" cm="1" vm="1">
        <f t="array" aca="1" ref="H3654" ca="1">VLOOKUP(Cpi_[[#This Row],[Year]:[Month]],crudeoil[],3,FALSE)</f>
        <v>#VALUE!</v>
      </c>
    </row>
    <row r="3655" spans="1:8" hidden="1" x14ac:dyDescent="0.3">
      <c r="A3655" t="s">
        <v>30</v>
      </c>
      <c r="B3655">
        <v>2016</v>
      </c>
      <c r="C3655" t="s">
        <v>43</v>
      </c>
      <c r="D3655" t="s">
        <v>11</v>
      </c>
      <c r="E3655" t="e">
        <f>VLOOKUP(Cpi_[[#This Row],[Attribute]],#REF!,2,FALSE)</f>
        <v>#REF!</v>
      </c>
      <c r="F3655">
        <v>113.4</v>
      </c>
      <c r="G3655">
        <f>(Cpi_[[#This Row],[Value]]-F3654)/F3654</f>
        <v>-0.33372502937720322</v>
      </c>
      <c r="H3655" t="e" cm="1" vm="1">
        <f t="array" aca="1" ref="H3655" ca="1">VLOOKUP(Cpi_[[#This Row],[Year]:[Month]],crudeoil[],3,FALSE)</f>
        <v>#VALUE!</v>
      </c>
    </row>
    <row r="3656" spans="1:8" hidden="1" x14ac:dyDescent="0.3">
      <c r="A3656" t="s">
        <v>30</v>
      </c>
      <c r="B3656">
        <v>2016</v>
      </c>
      <c r="C3656" t="s">
        <v>43</v>
      </c>
      <c r="D3656" t="s">
        <v>12</v>
      </c>
      <c r="E3656" t="e">
        <f>VLOOKUP(Cpi_[[#This Row],[Attribute]],#REF!,2,FALSE)</f>
        <v>#REF!</v>
      </c>
      <c r="F3656">
        <v>136.30000000000001</v>
      </c>
      <c r="G3656">
        <f>(Cpi_[[#This Row],[Value]]-F3655)/F3655</f>
        <v>0.20194003527336865</v>
      </c>
      <c r="H3656" t="e" cm="1" vm="1">
        <f t="array" aca="1" ref="H3656" ca="1">VLOOKUP(Cpi_[[#This Row],[Year]:[Month]],crudeoil[],3,FALSE)</f>
        <v>#VALUE!</v>
      </c>
    </row>
    <row r="3657" spans="1:8" hidden="1" x14ac:dyDescent="0.3">
      <c r="A3657" t="s">
        <v>30</v>
      </c>
      <c r="B3657">
        <v>2016</v>
      </c>
      <c r="C3657" t="s">
        <v>43</v>
      </c>
      <c r="D3657" t="s">
        <v>13</v>
      </c>
      <c r="E3657" t="e">
        <f>VLOOKUP(Cpi_[[#This Row],[Attribute]],#REF!,2,FALSE)</f>
        <v>#REF!</v>
      </c>
      <c r="F3657">
        <v>128.69999999999999</v>
      </c>
      <c r="G3657">
        <f>(Cpi_[[#This Row],[Value]]-F3656)/F3656</f>
        <v>-5.5759354365370668E-2</v>
      </c>
      <c r="H3657" t="e" cm="1" vm="1">
        <f t="array" aca="1" ref="H3657" ca="1">VLOOKUP(Cpi_[[#This Row],[Year]:[Month]],crudeoil[],3,FALSE)</f>
        <v>#VALUE!</v>
      </c>
    </row>
    <row r="3658" spans="1:8" hidden="1" x14ac:dyDescent="0.3">
      <c r="A3658" t="s">
        <v>30</v>
      </c>
      <c r="B3658">
        <v>2016</v>
      </c>
      <c r="C3658" t="s">
        <v>43</v>
      </c>
      <c r="D3658" t="s">
        <v>14</v>
      </c>
      <c r="E3658" t="e">
        <f>VLOOKUP(Cpi_[[#This Row],[Attribute]],#REF!,2,FALSE)</f>
        <v>#REF!</v>
      </c>
      <c r="F3658">
        <v>142.4</v>
      </c>
      <c r="G3658">
        <f>(Cpi_[[#This Row],[Value]]-F3657)/F3657</f>
        <v>0.10644910644910659</v>
      </c>
      <c r="H3658" t="e" cm="1" vm="1">
        <f t="array" aca="1" ref="H3658" ca="1">VLOOKUP(Cpi_[[#This Row],[Year]:[Month]],crudeoil[],3,FALSE)</f>
        <v>#VALUE!</v>
      </c>
    </row>
    <row r="3659" spans="1:8" hidden="1" x14ac:dyDescent="0.3">
      <c r="A3659" t="s">
        <v>30</v>
      </c>
      <c r="B3659">
        <v>2016</v>
      </c>
      <c r="C3659" t="s">
        <v>43</v>
      </c>
      <c r="D3659" t="s">
        <v>15</v>
      </c>
      <c r="E3659" t="e">
        <f>VLOOKUP(Cpi_[[#This Row],[Attribute]],#REF!,2,FALSE)</f>
        <v>#REF!</v>
      </c>
      <c r="F3659">
        <v>137.4</v>
      </c>
      <c r="G3659">
        <f>(Cpi_[[#This Row],[Value]]-F3658)/F3658</f>
        <v>-3.5112359550561793E-2</v>
      </c>
      <c r="H3659" t="e" cm="1" vm="1">
        <f t="array" aca="1" ref="H3659" ca="1">VLOOKUP(Cpi_[[#This Row],[Year]:[Month]],crudeoil[],3,FALSE)</f>
        <v>#VALUE!</v>
      </c>
    </row>
    <row r="3660" spans="1:8" hidden="1" x14ac:dyDescent="0.3">
      <c r="A3660" t="s">
        <v>30</v>
      </c>
      <c r="B3660">
        <v>2016</v>
      </c>
      <c r="C3660" t="s">
        <v>43</v>
      </c>
      <c r="D3660" t="s">
        <v>16</v>
      </c>
      <c r="E3660" t="e">
        <f>VLOOKUP(Cpi_[[#This Row],[Attribute]],#REF!,2,FALSE)</f>
        <v>#REF!</v>
      </c>
      <c r="F3660">
        <v>140.9</v>
      </c>
      <c r="G3660">
        <f>(Cpi_[[#This Row],[Value]]-F3659)/F3659</f>
        <v>2.5473071324599708E-2</v>
      </c>
      <c r="H3660" t="e" cm="1" vm="1">
        <f t="array" aca="1" ref="H3660" ca="1">VLOOKUP(Cpi_[[#This Row],[Year]:[Month]],crudeoil[],3,FALSE)</f>
        <v>#VALUE!</v>
      </c>
    </row>
    <row r="3661" spans="1:8" hidden="1" x14ac:dyDescent="0.3">
      <c r="A3661" t="s">
        <v>30</v>
      </c>
      <c r="B3661">
        <v>2016</v>
      </c>
      <c r="C3661" t="s">
        <v>43</v>
      </c>
      <c r="D3661" t="s">
        <v>17</v>
      </c>
      <c r="E3661" t="e">
        <f>VLOOKUP(Cpi_[[#This Row],[Attribute]],#REF!,2,FALSE)</f>
        <v>#REF!</v>
      </c>
      <c r="F3661">
        <v>139.6</v>
      </c>
      <c r="G3661">
        <f>(Cpi_[[#This Row],[Value]]-F3660)/F3660</f>
        <v>-9.2264017033357789E-3</v>
      </c>
      <c r="H3661" t="e" cm="1" vm="1">
        <f t="array" aca="1" ref="H3661" ca="1">VLOOKUP(Cpi_[[#This Row],[Year]:[Month]],crudeoil[],3,FALSE)</f>
        <v>#VALUE!</v>
      </c>
    </row>
    <row r="3662" spans="1:8" hidden="1" x14ac:dyDescent="0.3">
      <c r="A3662" t="s">
        <v>30</v>
      </c>
      <c r="B3662">
        <v>2016</v>
      </c>
      <c r="C3662" t="s">
        <v>43</v>
      </c>
      <c r="D3662" t="s">
        <v>18</v>
      </c>
      <c r="E3662" t="e">
        <f>VLOOKUP(Cpi_[[#This Row],[Attribute]],#REF!,2,FALSE)</f>
        <v>#REF!</v>
      </c>
      <c r="F3662">
        <v>134.30000000000001</v>
      </c>
      <c r="G3662">
        <f>(Cpi_[[#This Row],[Value]]-F3661)/F3661</f>
        <v>-3.7965616045845155E-2</v>
      </c>
      <c r="H3662" t="e" cm="1" vm="1">
        <f t="array" aca="1" ref="H3662" ca="1">VLOOKUP(Cpi_[[#This Row],[Year]:[Month]],crudeoil[],3,FALSE)</f>
        <v>#VALUE!</v>
      </c>
    </row>
    <row r="3663" spans="1:8" hidden="1" x14ac:dyDescent="0.3">
      <c r="A3663" t="s">
        <v>30</v>
      </c>
      <c r="B3663">
        <v>2016</v>
      </c>
      <c r="C3663" t="s">
        <v>43</v>
      </c>
      <c r="D3663" t="s">
        <v>19</v>
      </c>
      <c r="E3663" t="e">
        <f>VLOOKUP(Cpi_[[#This Row],[Attribute]],#REF!,2,FALSE)</f>
        <v>#REF!</v>
      </c>
      <c r="F3663">
        <v>138.80000000000001</v>
      </c>
      <c r="G3663">
        <f>(Cpi_[[#This Row],[Value]]-F3662)/F3662</f>
        <v>3.350707371556217E-2</v>
      </c>
      <c r="H3663" t="e" cm="1" vm="1">
        <f t="array" aca="1" ref="H3663" ca="1">VLOOKUP(Cpi_[[#This Row],[Year]:[Month]],crudeoil[],3,FALSE)</f>
        <v>#VALUE!</v>
      </c>
    </row>
    <row r="3664" spans="1:8" hidden="1" x14ac:dyDescent="0.3">
      <c r="A3664" t="s">
        <v>30</v>
      </c>
      <c r="B3664">
        <v>2016</v>
      </c>
      <c r="C3664" t="s">
        <v>43</v>
      </c>
      <c r="D3664" t="s">
        <v>20</v>
      </c>
      <c r="E3664" t="e">
        <f>VLOOKUP(Cpi_[[#This Row],[Attribute]],#REF!,2,FALSE)</f>
        <v>#REF!</v>
      </c>
      <c r="F3664" t="s">
        <v>32</v>
      </c>
      <c r="G3664" t="e">
        <f>(Cpi_[[#This Row],[Value]]-F3663)/F3663</f>
        <v>#VALUE!</v>
      </c>
      <c r="H3664" t="e" cm="1" vm="1">
        <f t="array" aca="1" ref="H3664" ca="1">VLOOKUP(Cpi_[[#This Row],[Year]:[Month]],crudeoil[],3,FALSE)</f>
        <v>#VALUE!</v>
      </c>
    </row>
    <row r="3665" spans="1:8" hidden="1" x14ac:dyDescent="0.3">
      <c r="A3665" t="s">
        <v>30</v>
      </c>
      <c r="B3665">
        <v>2016</v>
      </c>
      <c r="C3665" t="s">
        <v>43</v>
      </c>
      <c r="D3665" t="s">
        <v>21</v>
      </c>
      <c r="E3665" t="e">
        <f>VLOOKUP(Cpi_[[#This Row],[Attribute]],#REF!,2,FALSE)</f>
        <v>#REF!</v>
      </c>
      <c r="F3665">
        <v>129.80000000000001</v>
      </c>
      <c r="G3665" t="e">
        <f>(Cpi_[[#This Row],[Value]]-F3664)/F3664</f>
        <v>#VALUE!</v>
      </c>
      <c r="H3665" t="e" cm="1" vm="1">
        <f t="array" aca="1" ref="H3665" ca="1">VLOOKUP(Cpi_[[#This Row],[Year]:[Month]],crudeoil[],3,FALSE)</f>
        <v>#VALUE!</v>
      </c>
    </row>
    <row r="3666" spans="1:8" hidden="1" x14ac:dyDescent="0.3">
      <c r="A3666" t="s">
        <v>30</v>
      </c>
      <c r="B3666">
        <v>2016</v>
      </c>
      <c r="C3666" t="s">
        <v>43</v>
      </c>
      <c r="D3666" t="s">
        <v>22</v>
      </c>
      <c r="E3666" t="e">
        <f>VLOOKUP(Cpi_[[#This Row],[Attribute]],#REF!,2,FALSE)</f>
        <v>#REF!</v>
      </c>
      <c r="F3666">
        <v>131.80000000000001</v>
      </c>
      <c r="G3666">
        <f>(Cpi_[[#This Row],[Value]]-F3665)/F3665</f>
        <v>1.5408320493066254E-2</v>
      </c>
      <c r="H3666" t="e" cm="1" vm="1">
        <f t="array" aca="1" ref="H3666" ca="1">VLOOKUP(Cpi_[[#This Row],[Year]:[Month]],crudeoil[],3,FALSE)</f>
        <v>#VALUE!</v>
      </c>
    </row>
    <row r="3667" spans="1:8" hidden="1" x14ac:dyDescent="0.3">
      <c r="A3667" t="s">
        <v>30</v>
      </c>
      <c r="B3667">
        <v>2016</v>
      </c>
      <c r="C3667" t="s">
        <v>43</v>
      </c>
      <c r="D3667" t="s">
        <v>23</v>
      </c>
      <c r="E3667" t="e">
        <f>VLOOKUP(Cpi_[[#This Row],[Attribute]],#REF!,2,FALSE)</f>
        <v>#REF!</v>
      </c>
      <c r="F3667">
        <v>128.69999999999999</v>
      </c>
      <c r="G3667">
        <f>(Cpi_[[#This Row],[Value]]-F3666)/F3666</f>
        <v>-2.3520485584218685E-2</v>
      </c>
      <c r="H3667" t="e" cm="1" vm="1">
        <f t="array" aca="1" ref="H3667" ca="1">VLOOKUP(Cpi_[[#This Row],[Year]:[Month]],crudeoil[],3,FALSE)</f>
        <v>#VALUE!</v>
      </c>
    </row>
    <row r="3668" spans="1:8" hidden="1" x14ac:dyDescent="0.3">
      <c r="A3668" t="s">
        <v>30</v>
      </c>
      <c r="B3668">
        <v>2016</v>
      </c>
      <c r="C3668" t="s">
        <v>43</v>
      </c>
      <c r="D3668" t="s">
        <v>24</v>
      </c>
      <c r="E3668" t="e">
        <f>VLOOKUP(Cpi_[[#This Row],[Attribute]],#REF!,2,FALSE)</f>
        <v>#REF!</v>
      </c>
      <c r="F3668">
        <v>117.8</v>
      </c>
      <c r="G3668">
        <f>(Cpi_[[#This Row],[Value]]-F3667)/F3667</f>
        <v>-8.4693084693084633E-2</v>
      </c>
      <c r="H3668" t="e" cm="1" vm="1">
        <f t="array" aca="1" ref="H3668" ca="1">VLOOKUP(Cpi_[[#This Row],[Year]:[Month]],crudeoil[],3,FALSE)</f>
        <v>#VALUE!</v>
      </c>
    </row>
    <row r="3669" spans="1:8" hidden="1" x14ac:dyDescent="0.3">
      <c r="A3669" t="s">
        <v>30</v>
      </c>
      <c r="B3669">
        <v>2016</v>
      </c>
      <c r="C3669" t="s">
        <v>43</v>
      </c>
      <c r="D3669" t="s">
        <v>25</v>
      </c>
      <c r="E3669" t="e">
        <f>VLOOKUP(Cpi_[[#This Row],[Attribute]],#REF!,2,FALSE)</f>
        <v>#REF!</v>
      </c>
      <c r="F3669">
        <v>126.5</v>
      </c>
      <c r="G3669">
        <f>(Cpi_[[#This Row],[Value]]-F3668)/F3668</f>
        <v>7.3853989813242815E-2</v>
      </c>
      <c r="H3669" t="e" cm="1" vm="1">
        <f t="array" aca="1" ref="H3669" ca="1">VLOOKUP(Cpi_[[#This Row],[Year]:[Month]],crudeoil[],3,FALSE)</f>
        <v>#VALUE!</v>
      </c>
    </row>
    <row r="3670" spans="1:8" hidden="1" x14ac:dyDescent="0.3">
      <c r="A3670" t="s">
        <v>30</v>
      </c>
      <c r="B3670">
        <v>2016</v>
      </c>
      <c r="C3670" t="s">
        <v>43</v>
      </c>
      <c r="D3670" t="s">
        <v>26</v>
      </c>
      <c r="E3670" t="e">
        <f>VLOOKUP(Cpi_[[#This Row],[Attribute]],#REF!,2,FALSE)</f>
        <v>#REF!</v>
      </c>
      <c r="F3670">
        <v>133</v>
      </c>
      <c r="G3670">
        <f>(Cpi_[[#This Row],[Value]]-F3669)/F3669</f>
        <v>5.1383399209486168E-2</v>
      </c>
      <c r="H3670" t="e" cm="1" vm="1">
        <f t="array" aca="1" ref="H3670" ca="1">VLOOKUP(Cpi_[[#This Row],[Year]:[Month]],crudeoil[],3,FALSE)</f>
        <v>#VALUE!</v>
      </c>
    </row>
    <row r="3671" spans="1:8" hidden="1" x14ac:dyDescent="0.3">
      <c r="A3671" t="s">
        <v>30</v>
      </c>
      <c r="B3671">
        <v>2016</v>
      </c>
      <c r="C3671" t="s">
        <v>43</v>
      </c>
      <c r="D3671" t="s">
        <v>27</v>
      </c>
      <c r="E3671" t="e">
        <f>VLOOKUP(Cpi_[[#This Row],[Attribute]],#REF!,2,FALSE)</f>
        <v>#REF!</v>
      </c>
      <c r="F3671">
        <v>123</v>
      </c>
      <c r="G3671">
        <f>(Cpi_[[#This Row],[Value]]-F3670)/F3670</f>
        <v>-7.5187969924812026E-2</v>
      </c>
      <c r="H3671" t="e" cm="1" vm="1">
        <f t="array" aca="1" ref="H3671" ca="1">VLOOKUP(Cpi_[[#This Row],[Year]:[Month]],crudeoil[],3,FALSE)</f>
        <v>#VALUE!</v>
      </c>
    </row>
    <row r="3672" spans="1:8" hidden="1" x14ac:dyDescent="0.3">
      <c r="A3672" t="s">
        <v>30</v>
      </c>
      <c r="B3672">
        <v>2016</v>
      </c>
      <c r="C3672" t="s">
        <v>43</v>
      </c>
      <c r="D3672" t="s">
        <v>28</v>
      </c>
      <c r="E3672" t="e">
        <f>VLOOKUP(Cpi_[[#This Row],[Attribute]],#REF!,2,FALSE)</f>
        <v>#REF!</v>
      </c>
      <c r="F3672">
        <v>125.7</v>
      </c>
      <c r="G3672">
        <f>(Cpi_[[#This Row],[Value]]-F3671)/F3671</f>
        <v>2.1951219512195145E-2</v>
      </c>
      <c r="H3672" t="e" cm="1" vm="1">
        <f t="array" aca="1" ref="H3672" ca="1">VLOOKUP(Cpi_[[#This Row],[Year]:[Month]],crudeoil[],3,FALSE)</f>
        <v>#VALUE!</v>
      </c>
    </row>
    <row r="3673" spans="1:8" hidden="1" x14ac:dyDescent="0.3">
      <c r="A3673" t="s">
        <v>30</v>
      </c>
      <c r="B3673">
        <v>2016</v>
      </c>
      <c r="C3673" t="s">
        <v>43</v>
      </c>
      <c r="D3673" t="s">
        <v>29</v>
      </c>
      <c r="E3673" t="e" cm="1">
        <f t="array" aca="1" ref="E3673" ca="1">VLGeneral indexGeneral indexKUP(Cpi_[[#This Row],[Attribute]],#REF!,2,FALSE)</f>
        <v>#NAME?</v>
      </c>
      <c r="F3673">
        <v>133.80000000000001</v>
      </c>
      <c r="G3673">
        <f>(Cpi_[[#This Row],[Value]]-F3672)/F3672</f>
        <v>6.4439140811455908E-2</v>
      </c>
      <c r="H3673" t="e" cm="1" vm="1">
        <f t="array" aca="1" ref="H3673" ca="1">VLOOKUP(Cpi_[[#This Row],[Year]:[Month]],crudeoil[],3,FALSE)</f>
        <v>#VALUE!</v>
      </c>
    </row>
    <row r="3674" spans="1:8" hidden="1" x14ac:dyDescent="0.3">
      <c r="A3674" t="s">
        <v>33</v>
      </c>
      <c r="B3674">
        <v>2016</v>
      </c>
      <c r="C3674" t="s">
        <v>43</v>
      </c>
      <c r="D3674" t="s">
        <v>3</v>
      </c>
      <c r="E3674" t="e">
        <f>VLOOKUP(Cpi_[[#This Row],[Attribute]],#REF!,2,FALSE)</f>
        <v>#REF!</v>
      </c>
      <c r="F3674">
        <v>128.69999999999999</v>
      </c>
      <c r="G3674">
        <f>(Cpi_[[#This Row],[Value]]-F3673)/F3673</f>
        <v>-3.8116591928251287E-2</v>
      </c>
      <c r="H3674" t="e" cm="1" vm="1">
        <f t="array" aca="1" ref="H3674" ca="1">VLOOKUP(Cpi_[[#This Row],[Year]:[Month]],crudeoil[],3,FALSE)</f>
        <v>#VALUE!</v>
      </c>
    </row>
    <row r="3675" spans="1:8" hidden="1" x14ac:dyDescent="0.3">
      <c r="A3675" t="s">
        <v>33</v>
      </c>
      <c r="B3675">
        <v>2016</v>
      </c>
      <c r="C3675" t="s">
        <v>43</v>
      </c>
      <c r="D3675" t="s">
        <v>4</v>
      </c>
      <c r="E3675" t="e">
        <f>VLOOKUP(Cpi_[[#This Row],[Attribute]],#REF!,2,FALSE)</f>
        <v>#REF!</v>
      </c>
      <c r="F3675">
        <v>138.4</v>
      </c>
      <c r="G3675">
        <f>(Cpi_[[#This Row],[Value]]-F3674)/F3674</f>
        <v>7.5369075369075514E-2</v>
      </c>
      <c r="H3675" t="e" cm="1" vm="1">
        <f t="array" aca="1" ref="H3675" ca="1">VLOOKUP(Cpi_[[#This Row],[Year]:[Month]],crudeoil[],3,FALSE)</f>
        <v>#VALUE!</v>
      </c>
    </row>
    <row r="3676" spans="1:8" hidden="1" x14ac:dyDescent="0.3">
      <c r="A3676" t="s">
        <v>33</v>
      </c>
      <c r="B3676">
        <v>2016</v>
      </c>
      <c r="C3676" t="s">
        <v>43</v>
      </c>
      <c r="D3676" t="s">
        <v>5</v>
      </c>
      <c r="E3676" t="e">
        <f>VLOOKUP(Cpi_[[#This Row],[Attribute]],#REF!,2,FALSE)</f>
        <v>#REF!</v>
      </c>
      <c r="F3676">
        <v>130.30000000000001</v>
      </c>
      <c r="G3676">
        <f>(Cpi_[[#This Row],[Value]]-F3675)/F3675</f>
        <v>-5.8526011560693599E-2</v>
      </c>
      <c r="H3676" t="e" cm="1" vm="1">
        <f t="array" aca="1" ref="H3676" ca="1">VLOOKUP(Cpi_[[#This Row],[Year]:[Month]],crudeoil[],3,FALSE)</f>
        <v>#VALUE!</v>
      </c>
    </row>
    <row r="3677" spans="1:8" hidden="1" x14ac:dyDescent="0.3">
      <c r="A3677" t="s">
        <v>33</v>
      </c>
      <c r="B3677">
        <v>2016</v>
      </c>
      <c r="C3677" t="s">
        <v>43</v>
      </c>
      <c r="D3677" t="s">
        <v>6</v>
      </c>
      <c r="E3677" t="e">
        <f>VLOOKUP(Cpi_[[#This Row],[Attribute]],#REF!,2,FALSE)</f>
        <v>#REF!</v>
      </c>
      <c r="F3677">
        <v>132.69999999999999</v>
      </c>
      <c r="G3677">
        <f>(Cpi_[[#This Row],[Value]]-F3676)/F3676</f>
        <v>1.8419033000767283E-2</v>
      </c>
      <c r="H3677" t="e" cm="1" vm="1">
        <f t="array" aca="1" ref="H3677" ca="1">VLOOKUP(Cpi_[[#This Row],[Year]:[Month]],crudeoil[],3,FALSE)</f>
        <v>#VALUE!</v>
      </c>
    </row>
    <row r="3678" spans="1:8" hidden="1" x14ac:dyDescent="0.3">
      <c r="A3678" t="s">
        <v>33</v>
      </c>
      <c r="B3678">
        <v>2016</v>
      </c>
      <c r="C3678" t="s">
        <v>43</v>
      </c>
      <c r="D3678" t="s">
        <v>7</v>
      </c>
      <c r="E3678" t="e">
        <f>VLOOKUP(Cpi_[[#This Row],[Attribute]],#REF!,2,FALSE)</f>
        <v>#REF!</v>
      </c>
      <c r="F3678">
        <v>112.5</v>
      </c>
      <c r="G3678">
        <f>(Cpi_[[#This Row],[Value]]-F3677)/F3677</f>
        <v>-0.15222305953278065</v>
      </c>
      <c r="H3678" t="e" cm="1" vm="1">
        <f t="array" aca="1" ref="H3678" ca="1">VLOOKUP(Cpi_[[#This Row],[Year]:[Month]],crudeoil[],3,FALSE)</f>
        <v>#VALUE!</v>
      </c>
    </row>
    <row r="3679" spans="1:8" hidden="1" x14ac:dyDescent="0.3">
      <c r="A3679" t="s">
        <v>33</v>
      </c>
      <c r="B3679">
        <v>2016</v>
      </c>
      <c r="C3679" t="s">
        <v>43</v>
      </c>
      <c r="D3679" t="s">
        <v>8</v>
      </c>
      <c r="E3679" t="e">
        <f>VLOOKUP(Cpi_[[#This Row],[Attribute]],#REF!,2,FALSE)</f>
        <v>#REF!</v>
      </c>
      <c r="F3679">
        <v>130.4</v>
      </c>
      <c r="G3679">
        <f>(Cpi_[[#This Row],[Value]]-F3678)/F3678</f>
        <v>0.15911111111111118</v>
      </c>
      <c r="H3679" t="e" cm="1" vm="1">
        <f t="array" aca="1" ref="H3679" ca="1">VLOOKUP(Cpi_[[#This Row],[Year]:[Month]],crudeoil[],3,FALSE)</f>
        <v>#VALUE!</v>
      </c>
    </row>
    <row r="3680" spans="1:8" hidden="1" x14ac:dyDescent="0.3">
      <c r="A3680" t="s">
        <v>33</v>
      </c>
      <c r="B3680">
        <v>2016</v>
      </c>
      <c r="C3680" t="s">
        <v>43</v>
      </c>
      <c r="D3680" t="s">
        <v>9</v>
      </c>
      <c r="E3680" t="e">
        <f>VLOOKUP(Cpi_[[#This Row],[Attribute]],#REF!,2,FALSE)</f>
        <v>#REF!</v>
      </c>
      <c r="F3680">
        <v>155.1</v>
      </c>
      <c r="G3680">
        <f>(Cpi_[[#This Row],[Value]]-F3679)/F3679</f>
        <v>0.18941717791411034</v>
      </c>
      <c r="H3680" t="e" cm="1" vm="1">
        <f t="array" aca="1" ref="H3680" ca="1">VLOOKUP(Cpi_[[#This Row],[Year]:[Month]],crudeoil[],3,FALSE)</f>
        <v>#VALUE!</v>
      </c>
    </row>
    <row r="3681" spans="1:8" hidden="1" x14ac:dyDescent="0.3">
      <c r="A3681" t="s">
        <v>33</v>
      </c>
      <c r="B3681">
        <v>2016</v>
      </c>
      <c r="C3681" t="s">
        <v>43</v>
      </c>
      <c r="D3681" t="s">
        <v>10</v>
      </c>
      <c r="E3681" t="e">
        <f>VLOOKUP(Cpi_[[#This Row],[Attribute]],#REF!,2,FALSE)</f>
        <v>#REF!</v>
      </c>
      <c r="F3681">
        <v>175.7</v>
      </c>
      <c r="G3681">
        <f>(Cpi_[[#This Row],[Value]]-F3680)/F3680</f>
        <v>0.13281753707285618</v>
      </c>
      <c r="H3681" t="e" cm="1" vm="1">
        <f t="array" aca="1" ref="H3681" ca="1">VLOOKUP(Cpi_[[#This Row],[Year]:[Month]],crudeoil[],3,FALSE)</f>
        <v>#VALUE!</v>
      </c>
    </row>
    <row r="3682" spans="1:8" hidden="1" x14ac:dyDescent="0.3">
      <c r="A3682" t="s">
        <v>33</v>
      </c>
      <c r="B3682">
        <v>2016</v>
      </c>
      <c r="C3682" t="s">
        <v>43</v>
      </c>
      <c r="D3682" t="s">
        <v>11</v>
      </c>
      <c r="E3682" t="e">
        <f>VLOOKUP(Cpi_[[#This Row],[Attribute]],#REF!,2,FALSE)</f>
        <v>#REF!</v>
      </c>
      <c r="F3682">
        <v>115.4</v>
      </c>
      <c r="G3682">
        <f>(Cpi_[[#This Row],[Value]]-F3681)/F3681</f>
        <v>-0.34319863403528733</v>
      </c>
      <c r="H3682" t="e" cm="1" vm="1">
        <f t="array" aca="1" ref="H3682" ca="1">VLOOKUP(Cpi_[[#This Row],[Year]:[Month]],crudeoil[],3,FALSE)</f>
        <v>#VALUE!</v>
      </c>
    </row>
    <row r="3683" spans="1:8" hidden="1" x14ac:dyDescent="0.3">
      <c r="A3683" t="s">
        <v>33</v>
      </c>
      <c r="B3683">
        <v>2016</v>
      </c>
      <c r="C3683" t="s">
        <v>43</v>
      </c>
      <c r="D3683" t="s">
        <v>12</v>
      </c>
      <c r="E3683" t="e">
        <f>VLOOKUP(Cpi_[[#This Row],[Attribute]],#REF!,2,FALSE)</f>
        <v>#REF!</v>
      </c>
      <c r="F3683">
        <v>145.30000000000001</v>
      </c>
      <c r="G3683">
        <f>(Cpi_[[#This Row],[Value]]-F3682)/F3682</f>
        <v>0.25909878682842291</v>
      </c>
      <c r="H3683" t="e" cm="1" vm="1">
        <f t="array" aca="1" ref="H3683" ca="1">VLOOKUP(Cpi_[[#This Row],[Year]:[Month]],crudeoil[],3,FALSE)</f>
        <v>#VALUE!</v>
      </c>
    </row>
    <row r="3684" spans="1:8" hidden="1" x14ac:dyDescent="0.3">
      <c r="A3684" t="s">
        <v>33</v>
      </c>
      <c r="B3684">
        <v>2016</v>
      </c>
      <c r="C3684" t="s">
        <v>43</v>
      </c>
      <c r="D3684" t="s">
        <v>13</v>
      </c>
      <c r="E3684" t="e">
        <f>VLOOKUP(Cpi_[[#This Row],[Attribute]],#REF!,2,FALSE)</f>
        <v>#REF!</v>
      </c>
      <c r="F3684">
        <v>122.5</v>
      </c>
      <c r="G3684">
        <f>(Cpi_[[#This Row],[Value]]-F3683)/F3683</f>
        <v>-0.15691672401927054</v>
      </c>
      <c r="H3684" t="e" cm="1" vm="1">
        <f t="array" aca="1" ref="H3684" ca="1">VLOOKUP(Cpi_[[#This Row],[Year]:[Month]],crudeoil[],3,FALSE)</f>
        <v>#VALUE!</v>
      </c>
    </row>
    <row r="3685" spans="1:8" hidden="1" x14ac:dyDescent="0.3">
      <c r="A3685" t="s">
        <v>33</v>
      </c>
      <c r="B3685">
        <v>2016</v>
      </c>
      <c r="C3685" t="s">
        <v>43</v>
      </c>
      <c r="D3685" t="s">
        <v>14</v>
      </c>
      <c r="E3685" t="e">
        <f>VLOOKUP(Cpi_[[#This Row],[Attribute]],#REF!,2,FALSE)</f>
        <v>#REF!</v>
      </c>
      <c r="F3685">
        <v>139.6</v>
      </c>
      <c r="G3685">
        <f>(Cpi_[[#This Row],[Value]]-F3684)/F3684</f>
        <v>0.13959183673469383</v>
      </c>
      <c r="H3685" t="e" cm="1" vm="1">
        <f t="array" aca="1" ref="H3685" ca="1">VLOOKUP(Cpi_[[#This Row],[Year]:[Month]],crudeoil[],3,FALSE)</f>
        <v>#VALUE!</v>
      </c>
    </row>
    <row r="3686" spans="1:8" hidden="1" x14ac:dyDescent="0.3">
      <c r="A3686" t="s">
        <v>33</v>
      </c>
      <c r="B3686">
        <v>2016</v>
      </c>
      <c r="C3686" t="s">
        <v>43</v>
      </c>
      <c r="D3686" t="s">
        <v>15</v>
      </c>
      <c r="E3686" t="e">
        <f>VLOOKUP(Cpi_[[#This Row],[Attribute]],#REF!,2,FALSE)</f>
        <v>#REF!</v>
      </c>
      <c r="F3686">
        <v>136.30000000000001</v>
      </c>
      <c r="G3686">
        <f>(Cpi_[[#This Row],[Value]]-F3685)/F3685</f>
        <v>-2.3638968481375238E-2</v>
      </c>
      <c r="H3686" t="e" cm="1" vm="1">
        <f t="array" aca="1" ref="H3686" ca="1">VLOOKUP(Cpi_[[#This Row],[Year]:[Month]],crudeoil[],3,FALSE)</f>
        <v>#VALUE!</v>
      </c>
    </row>
    <row r="3687" spans="1:8" hidden="1" x14ac:dyDescent="0.3">
      <c r="A3687" t="s">
        <v>33</v>
      </c>
      <c r="B3687">
        <v>2016</v>
      </c>
      <c r="C3687" t="s">
        <v>43</v>
      </c>
      <c r="D3687" t="s">
        <v>16</v>
      </c>
      <c r="E3687" t="e">
        <f>VLOOKUP(Cpi_[[#This Row],[Attribute]],#REF!,2,FALSE)</f>
        <v>#REF!</v>
      </c>
      <c r="F3687">
        <v>144.30000000000001</v>
      </c>
      <c r="G3687">
        <f>(Cpi_[[#This Row],[Value]]-F3686)/F3686</f>
        <v>5.8694057226705794E-2</v>
      </c>
      <c r="H3687" t="e" cm="1" vm="1">
        <f t="array" aca="1" ref="H3687" ca="1">VLOOKUP(Cpi_[[#This Row],[Year]:[Month]],crudeoil[],3,FALSE)</f>
        <v>#VALUE!</v>
      </c>
    </row>
    <row r="3688" spans="1:8" hidden="1" x14ac:dyDescent="0.3">
      <c r="A3688" t="s">
        <v>33</v>
      </c>
      <c r="B3688">
        <v>2016</v>
      </c>
      <c r="C3688" t="s">
        <v>43</v>
      </c>
      <c r="D3688" t="s">
        <v>17</v>
      </c>
      <c r="E3688" t="e">
        <f>VLOOKUP(Cpi_[[#This Row],[Attribute]],#REF!,2,FALSE)</f>
        <v>#REF!</v>
      </c>
      <c r="F3688">
        <v>129.1</v>
      </c>
      <c r="G3688">
        <f>(Cpi_[[#This Row],[Value]]-F3687)/F3687</f>
        <v>-0.10533610533610545</v>
      </c>
      <c r="H3688" t="e" cm="1" vm="1">
        <f t="array" aca="1" ref="H3688" ca="1">VLOOKUP(Cpi_[[#This Row],[Year]:[Month]],crudeoil[],3,FALSE)</f>
        <v>#VALUE!</v>
      </c>
    </row>
    <row r="3689" spans="1:8" hidden="1" x14ac:dyDescent="0.3">
      <c r="A3689" t="s">
        <v>33</v>
      </c>
      <c r="B3689">
        <v>2016</v>
      </c>
      <c r="C3689" t="s">
        <v>43</v>
      </c>
      <c r="D3689" t="s">
        <v>18</v>
      </c>
      <c r="E3689" t="e">
        <f>VLOOKUP(Cpi_[[#This Row],[Attribute]],#REF!,2,FALSE)</f>
        <v>#REF!</v>
      </c>
      <c r="F3689">
        <v>121.9</v>
      </c>
      <c r="G3689">
        <f>(Cpi_[[#This Row],[Value]]-F3688)/F3688</f>
        <v>-5.5770720371804715E-2</v>
      </c>
      <c r="H3689" t="e" cm="1" vm="1">
        <f t="array" aca="1" ref="H3689" ca="1">VLOOKUP(Cpi_[[#This Row],[Year]:[Month]],crudeoil[],3,FALSE)</f>
        <v>#VALUE!</v>
      </c>
    </row>
    <row r="3690" spans="1:8" hidden="1" x14ac:dyDescent="0.3">
      <c r="A3690" t="s">
        <v>33</v>
      </c>
      <c r="B3690">
        <v>2016</v>
      </c>
      <c r="C3690" t="s">
        <v>43</v>
      </c>
      <c r="D3690" t="s">
        <v>19</v>
      </c>
      <c r="E3690" t="e">
        <f>VLOOKUP(Cpi_[[#This Row],[Attribute]],#REF!,2,FALSE)</f>
        <v>#REF!</v>
      </c>
      <c r="F3690">
        <v>128</v>
      </c>
      <c r="G3690">
        <f>(Cpi_[[#This Row],[Value]]-F3689)/F3689</f>
        <v>5.004101722723539E-2</v>
      </c>
      <c r="H3690" t="e" cm="1" vm="1">
        <f t="array" aca="1" ref="H3690" ca="1">VLOOKUP(Cpi_[[#This Row],[Year]:[Month]],crudeoil[],3,FALSE)</f>
        <v>#VALUE!</v>
      </c>
    </row>
    <row r="3691" spans="1:8" hidden="1" x14ac:dyDescent="0.3">
      <c r="A3691" t="s">
        <v>33</v>
      </c>
      <c r="B3691">
        <v>2016</v>
      </c>
      <c r="C3691" t="s">
        <v>43</v>
      </c>
      <c r="D3691" t="s">
        <v>20</v>
      </c>
      <c r="E3691" t="e">
        <f>VLOOKUP(Cpi_[[#This Row],[Attribute]],#REF!,2,FALSE)</f>
        <v>#REF!</v>
      </c>
      <c r="F3691">
        <v>128.69999999999999</v>
      </c>
      <c r="G3691">
        <f>(Cpi_[[#This Row],[Value]]-F3690)/F3690</f>
        <v>5.4687499999999112E-3</v>
      </c>
      <c r="H3691" t="e" cm="1" vm="1">
        <f t="array" aca="1" ref="H3691" ca="1">VLOOKUP(Cpi_[[#This Row],[Year]:[Month]],crudeoil[],3,FALSE)</f>
        <v>#VALUE!</v>
      </c>
    </row>
    <row r="3692" spans="1:8" hidden="1" x14ac:dyDescent="0.3">
      <c r="A3692" t="s">
        <v>33</v>
      </c>
      <c r="B3692">
        <v>2016</v>
      </c>
      <c r="C3692" t="s">
        <v>43</v>
      </c>
      <c r="D3692" t="s">
        <v>21</v>
      </c>
      <c r="E3692" t="e">
        <f>VLOOKUP(Cpi_[[#This Row],[Attribute]],#REF!,2,FALSE)</f>
        <v>#REF!</v>
      </c>
      <c r="F3692">
        <v>115.2</v>
      </c>
      <c r="G3692">
        <f>(Cpi_[[#This Row],[Value]]-F3691)/F3691</f>
        <v>-0.1048951048951048</v>
      </c>
      <c r="H3692" t="e" cm="1" vm="1">
        <f t="array" aca="1" ref="H3692" ca="1">VLOOKUP(Cpi_[[#This Row],[Year]:[Month]],crudeoil[],3,FALSE)</f>
        <v>#VALUE!</v>
      </c>
    </row>
    <row r="3693" spans="1:8" hidden="1" x14ac:dyDescent="0.3">
      <c r="A3693" t="s">
        <v>33</v>
      </c>
      <c r="B3693">
        <v>2016</v>
      </c>
      <c r="C3693" t="s">
        <v>43</v>
      </c>
      <c r="D3693" t="s">
        <v>22</v>
      </c>
      <c r="E3693" t="e">
        <f>VLOOKUP(Cpi_[[#This Row],[Attribute]],#REF!,2,FALSE)</f>
        <v>#REF!</v>
      </c>
      <c r="F3693">
        <v>124.5</v>
      </c>
      <c r="G3693">
        <f>(Cpi_[[#This Row],[Value]]-F3692)/F3692</f>
        <v>8.0729166666666644E-2</v>
      </c>
      <c r="H3693" t="e" cm="1" vm="1">
        <f t="array" aca="1" ref="H3693" ca="1">VLOOKUP(Cpi_[[#This Row],[Year]:[Month]],crudeoil[],3,FALSE)</f>
        <v>#VALUE!</v>
      </c>
    </row>
    <row r="3694" spans="1:8" hidden="1" x14ac:dyDescent="0.3">
      <c r="A3694" t="s">
        <v>33</v>
      </c>
      <c r="B3694">
        <v>2016</v>
      </c>
      <c r="C3694" t="s">
        <v>43</v>
      </c>
      <c r="D3694" t="s">
        <v>23</v>
      </c>
      <c r="E3694" t="e">
        <f>VLOOKUP(Cpi_[[#This Row],[Attribute]],#REF!,2,FALSE)</f>
        <v>#REF!</v>
      </c>
      <c r="F3694">
        <v>121.8</v>
      </c>
      <c r="G3694">
        <f>(Cpi_[[#This Row],[Value]]-F3693)/F3693</f>
        <v>-2.1686746987951831E-2</v>
      </c>
      <c r="H3694" t="e" cm="1" vm="1">
        <f t="array" aca="1" ref="H3694" ca="1">VLOOKUP(Cpi_[[#This Row],[Year]:[Month]],crudeoil[],3,FALSE)</f>
        <v>#VALUE!</v>
      </c>
    </row>
    <row r="3695" spans="1:8" hidden="1" x14ac:dyDescent="0.3">
      <c r="A3695" t="s">
        <v>33</v>
      </c>
      <c r="B3695">
        <v>2016</v>
      </c>
      <c r="C3695" t="s">
        <v>43</v>
      </c>
      <c r="D3695" t="s">
        <v>24</v>
      </c>
      <c r="E3695" t="e">
        <f>VLOOKUP(Cpi_[[#This Row],[Attribute]],#REF!,2,FALSE)</f>
        <v>#REF!</v>
      </c>
      <c r="F3695">
        <v>112.8</v>
      </c>
      <c r="G3695">
        <f>(Cpi_[[#This Row],[Value]]-F3694)/F3694</f>
        <v>-7.3891625615763554E-2</v>
      </c>
      <c r="H3695" t="e" cm="1" vm="1">
        <f t="array" aca="1" ref="H3695" ca="1">VLOOKUP(Cpi_[[#This Row],[Year]:[Month]],crudeoil[],3,FALSE)</f>
        <v>#VALUE!</v>
      </c>
    </row>
    <row r="3696" spans="1:8" hidden="1" x14ac:dyDescent="0.3">
      <c r="A3696" t="s">
        <v>33</v>
      </c>
      <c r="B3696">
        <v>2016</v>
      </c>
      <c r="C3696" t="s">
        <v>43</v>
      </c>
      <c r="D3696" t="s">
        <v>25</v>
      </c>
      <c r="E3696" t="e">
        <f>VLOOKUP(Cpi_[[#This Row],[Attribute]],#REF!,2,FALSE)</f>
        <v>#REF!</v>
      </c>
      <c r="F3696">
        <v>121.2</v>
      </c>
      <c r="G3696">
        <f>(Cpi_[[#This Row],[Value]]-F3695)/F3695</f>
        <v>7.4468085106383031E-2</v>
      </c>
      <c r="H3696" t="e" cm="1" vm="1">
        <f t="array" aca="1" ref="H3696" ca="1">VLOOKUP(Cpi_[[#This Row],[Year]:[Month]],crudeoil[],3,FALSE)</f>
        <v>#VALUE!</v>
      </c>
    </row>
    <row r="3697" spans="1:8" hidden="1" x14ac:dyDescent="0.3">
      <c r="A3697" t="s">
        <v>33</v>
      </c>
      <c r="B3697">
        <v>2016</v>
      </c>
      <c r="C3697" t="s">
        <v>43</v>
      </c>
      <c r="D3697" t="s">
        <v>26</v>
      </c>
      <c r="E3697" t="e">
        <f>VLOOKUP(Cpi_[[#This Row],[Attribute]],#REF!,2,FALSE)</f>
        <v>#REF!</v>
      </c>
      <c r="F3697">
        <v>131.9</v>
      </c>
      <c r="G3697">
        <f>(Cpi_[[#This Row],[Value]]-F3696)/F3696</f>
        <v>8.8283828382838311E-2</v>
      </c>
      <c r="H3697" t="e" cm="1" vm="1">
        <f t="array" aca="1" ref="H3697" ca="1">VLOOKUP(Cpi_[[#This Row],[Year]:[Month]],crudeoil[],3,FALSE)</f>
        <v>#VALUE!</v>
      </c>
    </row>
    <row r="3698" spans="1:8" hidden="1" x14ac:dyDescent="0.3">
      <c r="A3698" t="s">
        <v>33</v>
      </c>
      <c r="B3698">
        <v>2016</v>
      </c>
      <c r="C3698" t="s">
        <v>43</v>
      </c>
      <c r="D3698" t="s">
        <v>27</v>
      </c>
      <c r="E3698" t="e">
        <f>VLOOKUP(Cpi_[[#This Row],[Attribute]],#REF!,2,FALSE)</f>
        <v>#REF!</v>
      </c>
      <c r="F3698">
        <v>120.8</v>
      </c>
      <c r="G3698">
        <f>(Cpi_[[#This Row],[Value]]-F3697)/F3697</f>
        <v>-8.4154662623199455E-2</v>
      </c>
      <c r="H3698" t="e" cm="1" vm="1">
        <f t="array" aca="1" ref="H3698" ca="1">VLOOKUP(Cpi_[[#This Row],[Year]:[Month]],crudeoil[],3,FALSE)</f>
        <v>#VALUE!</v>
      </c>
    </row>
    <row r="3699" spans="1:8" hidden="1" x14ac:dyDescent="0.3">
      <c r="A3699" t="s">
        <v>33</v>
      </c>
      <c r="B3699">
        <v>2016</v>
      </c>
      <c r="C3699" t="s">
        <v>43</v>
      </c>
      <c r="D3699" t="s">
        <v>28</v>
      </c>
      <c r="E3699" t="e">
        <f>VLOOKUP(Cpi_[[#This Row],[Attribute]],#REF!,2,FALSE)</f>
        <v>#REF!</v>
      </c>
      <c r="F3699">
        <v>120.9</v>
      </c>
      <c r="G3699">
        <f>(Cpi_[[#This Row],[Value]]-F3698)/F3698</f>
        <v>8.2781456953649442E-4</v>
      </c>
      <c r="H3699" t="e" cm="1" vm="1">
        <f t="array" aca="1" ref="H3699" ca="1">VLOOKUP(Cpi_[[#This Row],[Year]:[Month]],crudeoil[],3,FALSE)</f>
        <v>#VALUE!</v>
      </c>
    </row>
    <row r="3700" spans="1:8" hidden="1" x14ac:dyDescent="0.3">
      <c r="A3700" t="s">
        <v>33</v>
      </c>
      <c r="B3700">
        <v>2016</v>
      </c>
      <c r="C3700" t="s">
        <v>43</v>
      </c>
      <c r="D3700" t="s">
        <v>29</v>
      </c>
      <c r="E3700" t="e" cm="1">
        <f t="array" aca="1" ref="E3700" ca="1">VLGeneral indexGeneral indexKUP(Cpi_[[#This Row],[Attribute]],#REF!,2,FALSE)</f>
        <v>#NAME?</v>
      </c>
      <c r="F3700">
        <v>128.6</v>
      </c>
      <c r="G3700">
        <f>(Cpi_[[#This Row],[Value]]-F3699)/F3699</f>
        <v>6.3688999172870048E-2</v>
      </c>
      <c r="H3700" t="e" cm="1" vm="1">
        <f t="array" aca="1" ref="H3700" ca="1">VLOOKUP(Cpi_[[#This Row],[Year]:[Month]],crudeoil[],3,FALSE)</f>
        <v>#VALUE!</v>
      </c>
    </row>
    <row r="3701" spans="1:8" hidden="1" x14ac:dyDescent="0.3">
      <c r="A3701" t="s">
        <v>34</v>
      </c>
      <c r="B3701">
        <v>2016</v>
      </c>
      <c r="C3701" t="s">
        <v>43</v>
      </c>
      <c r="D3701" t="s">
        <v>3</v>
      </c>
      <c r="E3701" t="e">
        <f>VLOOKUP(Cpi_[[#This Row],[Attribute]],#REF!,2,FALSE)</f>
        <v>#REF!</v>
      </c>
      <c r="F3701">
        <v>130.5</v>
      </c>
      <c r="G3701">
        <f>(Cpi_[[#This Row],[Value]]-F3700)/F3700</f>
        <v>1.4774494556765208E-2</v>
      </c>
      <c r="H3701" t="e" cm="1" vm="1">
        <f t="array" aca="1" ref="H3701" ca="1">VLOOKUP(Cpi_[[#This Row],[Year]:[Month]],crudeoil[],3,FALSE)</f>
        <v>#VALUE!</v>
      </c>
    </row>
    <row r="3702" spans="1:8" hidden="1" x14ac:dyDescent="0.3">
      <c r="A3702" t="s">
        <v>34</v>
      </c>
      <c r="B3702">
        <v>2016</v>
      </c>
      <c r="C3702" t="s">
        <v>43</v>
      </c>
      <c r="D3702" t="s">
        <v>4</v>
      </c>
      <c r="E3702" t="e">
        <f>VLOOKUP(Cpi_[[#This Row],[Attribute]],#REF!,2,FALSE)</f>
        <v>#REF!</v>
      </c>
      <c r="F3702">
        <v>137.9</v>
      </c>
      <c r="G3702">
        <f>(Cpi_[[#This Row],[Value]]-F3701)/F3701</f>
        <v>5.6704980842911923E-2</v>
      </c>
      <c r="H3702" t="e" cm="1" vm="1">
        <f t="array" aca="1" ref="H3702" ca="1">VLOOKUP(Cpi_[[#This Row],[Year]:[Month]],crudeoil[],3,FALSE)</f>
        <v>#VALUE!</v>
      </c>
    </row>
    <row r="3703" spans="1:8" hidden="1" x14ac:dyDescent="0.3">
      <c r="A3703" t="s">
        <v>34</v>
      </c>
      <c r="B3703">
        <v>2016</v>
      </c>
      <c r="C3703" t="s">
        <v>43</v>
      </c>
      <c r="D3703" t="s">
        <v>5</v>
      </c>
      <c r="E3703" t="e">
        <f>VLOOKUP(Cpi_[[#This Row],[Attribute]],#REF!,2,FALSE)</f>
        <v>#REF!</v>
      </c>
      <c r="F3703">
        <v>130.19999999999999</v>
      </c>
      <c r="G3703">
        <f>(Cpi_[[#This Row],[Value]]-F3702)/F3702</f>
        <v>-5.5837563451776769E-2</v>
      </c>
      <c r="H3703" t="e" cm="1" vm="1">
        <f t="array" aca="1" ref="H3703" ca="1">VLOOKUP(Cpi_[[#This Row],[Year]:[Month]],crudeoil[],3,FALSE)</f>
        <v>#VALUE!</v>
      </c>
    </row>
    <row r="3704" spans="1:8" hidden="1" x14ac:dyDescent="0.3">
      <c r="A3704" t="s">
        <v>34</v>
      </c>
      <c r="B3704">
        <v>2016</v>
      </c>
      <c r="C3704" t="s">
        <v>43</v>
      </c>
      <c r="D3704" t="s">
        <v>6</v>
      </c>
      <c r="E3704" t="e">
        <f>VLOOKUP(Cpi_[[#This Row],[Attribute]],#REF!,2,FALSE)</f>
        <v>#REF!</v>
      </c>
      <c r="F3704">
        <v>134.80000000000001</v>
      </c>
      <c r="G3704">
        <f>(Cpi_[[#This Row],[Value]]-F3703)/F3703</f>
        <v>3.5330261136712927E-2</v>
      </c>
      <c r="H3704" t="e" cm="1" vm="1">
        <f t="array" aca="1" ref="H3704" ca="1">VLOOKUP(Cpi_[[#This Row],[Year]:[Month]],crudeoil[],3,FALSE)</f>
        <v>#VALUE!</v>
      </c>
    </row>
    <row r="3705" spans="1:8" hidden="1" x14ac:dyDescent="0.3">
      <c r="A3705" t="s">
        <v>34</v>
      </c>
      <c r="B3705">
        <v>2016</v>
      </c>
      <c r="C3705" t="s">
        <v>43</v>
      </c>
      <c r="D3705" t="s">
        <v>7</v>
      </c>
      <c r="E3705" t="e">
        <f>VLOOKUP(Cpi_[[#This Row],[Attribute]],#REF!,2,FALSE)</f>
        <v>#REF!</v>
      </c>
      <c r="F3705">
        <v>117.8</v>
      </c>
      <c r="G3705">
        <f>(Cpi_[[#This Row],[Value]]-F3704)/F3704</f>
        <v>-0.12611275964391702</v>
      </c>
      <c r="H3705" t="e" cm="1" vm="1">
        <f t="array" aca="1" ref="H3705" ca="1">VLOOKUP(Cpi_[[#This Row],[Year]:[Month]],crudeoil[],3,FALSE)</f>
        <v>#VALUE!</v>
      </c>
    </row>
    <row r="3706" spans="1:8" hidden="1" x14ac:dyDescent="0.3">
      <c r="A3706" t="s">
        <v>34</v>
      </c>
      <c r="B3706">
        <v>2016</v>
      </c>
      <c r="C3706" t="s">
        <v>43</v>
      </c>
      <c r="D3706" t="s">
        <v>8</v>
      </c>
      <c r="E3706" t="e">
        <f>VLOOKUP(Cpi_[[#This Row],[Attribute]],#REF!,2,FALSE)</f>
        <v>#REF!</v>
      </c>
      <c r="F3706">
        <v>134.69999999999999</v>
      </c>
      <c r="G3706">
        <f>(Cpi_[[#This Row],[Value]]-F3705)/F3705</f>
        <v>0.14346349745331063</v>
      </c>
      <c r="H3706" t="e" cm="1" vm="1">
        <f t="array" aca="1" ref="H3706" ca="1">VLOOKUP(Cpi_[[#This Row],[Year]:[Month]],crudeoil[],3,FALSE)</f>
        <v>#VALUE!</v>
      </c>
    </row>
    <row r="3707" spans="1:8" hidden="1" x14ac:dyDescent="0.3">
      <c r="A3707" t="s">
        <v>34</v>
      </c>
      <c r="B3707">
        <v>2016</v>
      </c>
      <c r="C3707" t="s">
        <v>43</v>
      </c>
      <c r="D3707" t="s">
        <v>9</v>
      </c>
      <c r="E3707" t="e">
        <f>VLOOKUP(Cpi_[[#This Row],[Attribute]],#REF!,2,FALSE)</f>
        <v>#REF!</v>
      </c>
      <c r="F3707">
        <v>151.19999999999999</v>
      </c>
      <c r="G3707">
        <f>(Cpi_[[#This Row],[Value]]-F3706)/F3706</f>
        <v>0.1224944320712695</v>
      </c>
      <c r="H3707" t="e" cm="1" vm="1">
        <f t="array" aca="1" ref="H3707" ca="1">VLOOKUP(Cpi_[[#This Row],[Year]:[Month]],crudeoil[],3,FALSE)</f>
        <v>#VALUE!</v>
      </c>
    </row>
    <row r="3708" spans="1:8" hidden="1" x14ac:dyDescent="0.3">
      <c r="A3708" t="s">
        <v>34</v>
      </c>
      <c r="B3708">
        <v>2016</v>
      </c>
      <c r="C3708" t="s">
        <v>43</v>
      </c>
      <c r="D3708" t="s">
        <v>10</v>
      </c>
      <c r="E3708" t="e">
        <f>VLOOKUP(Cpi_[[#This Row],[Attribute]],#REF!,2,FALSE)</f>
        <v>#REF!</v>
      </c>
      <c r="F3708">
        <v>172.1</v>
      </c>
      <c r="G3708">
        <f>(Cpi_[[#This Row],[Value]]-F3707)/F3707</f>
        <v>0.13822751322751328</v>
      </c>
      <c r="H3708" t="e" cm="1" vm="1">
        <f t="array" aca="1" ref="H3708" ca="1">VLOOKUP(Cpi_[[#This Row],[Year]:[Month]],crudeoil[],3,FALSE)</f>
        <v>#VALUE!</v>
      </c>
    </row>
    <row r="3709" spans="1:8" hidden="1" x14ac:dyDescent="0.3">
      <c r="A3709" t="s">
        <v>34</v>
      </c>
      <c r="B3709">
        <v>2016</v>
      </c>
      <c r="C3709" t="s">
        <v>43</v>
      </c>
      <c r="D3709" t="s">
        <v>11</v>
      </c>
      <c r="E3709" t="e">
        <f>VLOOKUP(Cpi_[[#This Row],[Attribute]],#REF!,2,FALSE)</f>
        <v>#REF!</v>
      </c>
      <c r="F3709">
        <v>114.1</v>
      </c>
      <c r="G3709">
        <f>(Cpi_[[#This Row],[Value]]-F3708)/F3708</f>
        <v>-0.337013364323068</v>
      </c>
      <c r="H3709" t="e" cm="1" vm="1">
        <f t="array" aca="1" ref="H3709" ca="1">VLOOKUP(Cpi_[[#This Row],[Year]:[Month]],crudeoil[],3,FALSE)</f>
        <v>#VALUE!</v>
      </c>
    </row>
    <row r="3710" spans="1:8" hidden="1" x14ac:dyDescent="0.3">
      <c r="A3710" t="s">
        <v>34</v>
      </c>
      <c r="B3710">
        <v>2016</v>
      </c>
      <c r="C3710" t="s">
        <v>43</v>
      </c>
      <c r="D3710" t="s">
        <v>12</v>
      </c>
      <c r="E3710" t="e">
        <f>VLOOKUP(Cpi_[[#This Row],[Attribute]],#REF!,2,FALSE)</f>
        <v>#REF!</v>
      </c>
      <c r="F3710">
        <v>139.30000000000001</v>
      </c>
      <c r="G3710">
        <f>(Cpi_[[#This Row],[Value]]-F3709)/F3709</f>
        <v>0.22085889570552164</v>
      </c>
      <c r="H3710" t="e" cm="1" vm="1">
        <f t="array" aca="1" ref="H3710" ca="1">VLOOKUP(Cpi_[[#This Row],[Year]:[Month]],crudeoil[],3,FALSE)</f>
        <v>#VALUE!</v>
      </c>
    </row>
    <row r="3711" spans="1:8" hidden="1" x14ac:dyDescent="0.3">
      <c r="A3711" t="s">
        <v>34</v>
      </c>
      <c r="B3711">
        <v>2016</v>
      </c>
      <c r="C3711" t="s">
        <v>43</v>
      </c>
      <c r="D3711" t="s">
        <v>13</v>
      </c>
      <c r="E3711" t="e">
        <f>VLOOKUP(Cpi_[[#This Row],[Attribute]],#REF!,2,FALSE)</f>
        <v>#REF!</v>
      </c>
      <c r="F3711">
        <v>126.1</v>
      </c>
      <c r="G3711">
        <f>(Cpi_[[#This Row],[Value]]-F3710)/F3710</f>
        <v>-9.4759511844939096E-2</v>
      </c>
      <c r="H3711" t="e" cm="1" vm="1">
        <f t="array" aca="1" ref="H3711" ca="1">VLOOKUP(Cpi_[[#This Row],[Year]:[Month]],crudeoil[],3,FALSE)</f>
        <v>#VALUE!</v>
      </c>
    </row>
    <row r="3712" spans="1:8" hidden="1" x14ac:dyDescent="0.3">
      <c r="A3712" t="s">
        <v>34</v>
      </c>
      <c r="B3712">
        <v>2016</v>
      </c>
      <c r="C3712" t="s">
        <v>43</v>
      </c>
      <c r="D3712" t="s">
        <v>14</v>
      </c>
      <c r="E3712" t="e">
        <f>VLOOKUP(Cpi_[[#This Row],[Attribute]],#REF!,2,FALSE)</f>
        <v>#REF!</v>
      </c>
      <c r="F3712">
        <v>141.1</v>
      </c>
      <c r="G3712">
        <f>(Cpi_[[#This Row],[Value]]-F3711)/F3711</f>
        <v>0.1189532117367169</v>
      </c>
      <c r="H3712" t="e" cm="1" vm="1">
        <f t="array" aca="1" ref="H3712" ca="1">VLOOKUP(Cpi_[[#This Row],[Year]:[Month]],crudeoil[],3,FALSE)</f>
        <v>#VALUE!</v>
      </c>
    </row>
    <row r="3713" spans="1:8" hidden="1" x14ac:dyDescent="0.3">
      <c r="A3713" t="s">
        <v>34</v>
      </c>
      <c r="B3713">
        <v>2016</v>
      </c>
      <c r="C3713" t="s">
        <v>43</v>
      </c>
      <c r="D3713" t="s">
        <v>15</v>
      </c>
      <c r="E3713" t="e">
        <f>VLOOKUP(Cpi_[[#This Row],[Attribute]],#REF!,2,FALSE)</f>
        <v>#REF!</v>
      </c>
      <c r="F3713">
        <v>137</v>
      </c>
      <c r="G3713">
        <f>(Cpi_[[#This Row],[Value]]-F3712)/F3712</f>
        <v>-2.9057406094968069E-2</v>
      </c>
      <c r="H3713" t="e" cm="1" vm="1">
        <f t="array" aca="1" ref="H3713" ca="1">VLOOKUP(Cpi_[[#This Row],[Year]:[Month]],crudeoil[],3,FALSE)</f>
        <v>#VALUE!</v>
      </c>
    </row>
    <row r="3714" spans="1:8" hidden="1" x14ac:dyDescent="0.3">
      <c r="A3714" t="s">
        <v>34</v>
      </c>
      <c r="B3714">
        <v>2016</v>
      </c>
      <c r="C3714" t="s">
        <v>43</v>
      </c>
      <c r="D3714" t="s">
        <v>16</v>
      </c>
      <c r="E3714" t="e">
        <f>VLOOKUP(Cpi_[[#This Row],[Attribute]],#REF!,2,FALSE)</f>
        <v>#REF!</v>
      </c>
      <c r="F3714">
        <v>141.80000000000001</v>
      </c>
      <c r="G3714">
        <f>(Cpi_[[#This Row],[Value]]-F3713)/F3713</f>
        <v>3.503649635036505E-2</v>
      </c>
      <c r="H3714" t="e" cm="1" vm="1">
        <f t="array" aca="1" ref="H3714" ca="1">VLOOKUP(Cpi_[[#This Row],[Year]:[Month]],crudeoil[],3,FALSE)</f>
        <v>#VALUE!</v>
      </c>
    </row>
    <row r="3715" spans="1:8" hidden="1" x14ac:dyDescent="0.3">
      <c r="A3715" t="s">
        <v>34</v>
      </c>
      <c r="B3715">
        <v>2016</v>
      </c>
      <c r="C3715" t="s">
        <v>43</v>
      </c>
      <c r="D3715" t="s">
        <v>17</v>
      </c>
      <c r="E3715" t="e">
        <f>VLOOKUP(Cpi_[[#This Row],[Attribute]],#REF!,2,FALSE)</f>
        <v>#REF!</v>
      </c>
      <c r="F3715">
        <v>135.5</v>
      </c>
      <c r="G3715">
        <f>(Cpi_[[#This Row],[Value]]-F3714)/F3714</f>
        <v>-4.4428772919605154E-2</v>
      </c>
      <c r="H3715" t="e" cm="1" vm="1">
        <f t="array" aca="1" ref="H3715" ca="1">VLOOKUP(Cpi_[[#This Row],[Year]:[Month]],crudeoil[],3,FALSE)</f>
        <v>#VALUE!</v>
      </c>
    </row>
    <row r="3716" spans="1:8" hidden="1" x14ac:dyDescent="0.3">
      <c r="A3716" t="s">
        <v>34</v>
      </c>
      <c r="B3716">
        <v>2016</v>
      </c>
      <c r="C3716" t="s">
        <v>43</v>
      </c>
      <c r="D3716" t="s">
        <v>18</v>
      </c>
      <c r="E3716" t="e">
        <f>VLOOKUP(Cpi_[[#This Row],[Attribute]],#REF!,2,FALSE)</f>
        <v>#REF!</v>
      </c>
      <c r="F3716">
        <v>129.1</v>
      </c>
      <c r="G3716">
        <f>(Cpi_[[#This Row],[Value]]-F3715)/F3715</f>
        <v>-4.7232472324723287E-2</v>
      </c>
      <c r="H3716" t="e" cm="1" vm="1">
        <f t="array" aca="1" ref="H3716" ca="1">VLOOKUP(Cpi_[[#This Row],[Year]:[Month]],crudeoil[],3,FALSE)</f>
        <v>#VALUE!</v>
      </c>
    </row>
    <row r="3717" spans="1:8" hidden="1" x14ac:dyDescent="0.3">
      <c r="A3717" t="s">
        <v>34</v>
      </c>
      <c r="B3717">
        <v>2016</v>
      </c>
      <c r="C3717" t="s">
        <v>43</v>
      </c>
      <c r="D3717" t="s">
        <v>19</v>
      </c>
      <c r="E3717" t="e">
        <f>VLOOKUP(Cpi_[[#This Row],[Attribute]],#REF!,2,FALSE)</f>
        <v>#REF!</v>
      </c>
      <c r="F3717">
        <v>134.5</v>
      </c>
      <c r="G3717">
        <f>(Cpi_[[#This Row],[Value]]-F3716)/F3716</f>
        <v>4.1828040278853645E-2</v>
      </c>
      <c r="H3717" t="e" cm="1" vm="1">
        <f t="array" aca="1" ref="H3717" ca="1">VLOOKUP(Cpi_[[#This Row],[Year]:[Month]],crudeoil[],3,FALSE)</f>
        <v>#VALUE!</v>
      </c>
    </row>
    <row r="3718" spans="1:8" hidden="1" x14ac:dyDescent="0.3">
      <c r="A3718" t="s">
        <v>34</v>
      </c>
      <c r="B3718">
        <v>2016</v>
      </c>
      <c r="C3718" t="s">
        <v>43</v>
      </c>
      <c r="D3718" t="s">
        <v>20</v>
      </c>
      <c r="E3718" t="e">
        <f>VLOOKUP(Cpi_[[#This Row],[Attribute]],#REF!,2,FALSE)</f>
        <v>#REF!</v>
      </c>
      <c r="F3718">
        <v>128.69999999999999</v>
      </c>
      <c r="G3718">
        <f>(Cpi_[[#This Row],[Value]]-F3717)/F3717</f>
        <v>-4.3122676579925738E-2</v>
      </c>
      <c r="H3718" t="e" cm="1" vm="1">
        <f t="array" aca="1" ref="H3718" ca="1">VLOOKUP(Cpi_[[#This Row],[Year]:[Month]],crudeoil[],3,FALSE)</f>
        <v>#VALUE!</v>
      </c>
    </row>
    <row r="3719" spans="1:8" hidden="1" x14ac:dyDescent="0.3">
      <c r="A3719" t="s">
        <v>34</v>
      </c>
      <c r="B3719">
        <v>2016</v>
      </c>
      <c r="C3719" t="s">
        <v>43</v>
      </c>
      <c r="D3719" t="s">
        <v>21</v>
      </c>
      <c r="E3719" t="e">
        <f>VLOOKUP(Cpi_[[#This Row],[Attribute]],#REF!,2,FALSE)</f>
        <v>#REF!</v>
      </c>
      <c r="F3719">
        <v>124.3</v>
      </c>
      <c r="G3719">
        <f>(Cpi_[[#This Row],[Value]]-F3718)/F3718</f>
        <v>-3.4188034188034122E-2</v>
      </c>
      <c r="H3719" t="e" cm="1" vm="1">
        <f t="array" aca="1" ref="H3719" ca="1">VLOOKUP(Cpi_[[#This Row],[Year]:[Month]],crudeoil[],3,FALSE)</f>
        <v>#VALUE!</v>
      </c>
    </row>
    <row r="3720" spans="1:8" hidden="1" x14ac:dyDescent="0.3">
      <c r="A3720" t="s">
        <v>34</v>
      </c>
      <c r="B3720">
        <v>2016</v>
      </c>
      <c r="C3720" t="s">
        <v>43</v>
      </c>
      <c r="D3720" t="s">
        <v>22</v>
      </c>
      <c r="E3720" t="e">
        <f>VLOOKUP(Cpi_[[#This Row],[Attribute]],#REF!,2,FALSE)</f>
        <v>#REF!</v>
      </c>
      <c r="F3720">
        <v>128.4</v>
      </c>
      <c r="G3720">
        <f>(Cpi_[[#This Row],[Value]]-F3719)/F3719</f>
        <v>3.2984714400643676E-2</v>
      </c>
      <c r="H3720" t="e" cm="1" vm="1">
        <f t="array" aca="1" ref="H3720" ca="1">VLOOKUP(Cpi_[[#This Row],[Year]:[Month]],crudeoil[],3,FALSE)</f>
        <v>#VALUE!</v>
      </c>
    </row>
    <row r="3721" spans="1:8" hidden="1" x14ac:dyDescent="0.3">
      <c r="A3721" t="s">
        <v>34</v>
      </c>
      <c r="B3721">
        <v>2016</v>
      </c>
      <c r="C3721" t="s">
        <v>43</v>
      </c>
      <c r="D3721" t="s">
        <v>23</v>
      </c>
      <c r="E3721" t="e">
        <f>VLOOKUP(Cpi_[[#This Row],[Attribute]],#REF!,2,FALSE)</f>
        <v>#REF!</v>
      </c>
      <c r="F3721">
        <v>126.1</v>
      </c>
      <c r="G3721">
        <f>(Cpi_[[#This Row],[Value]]-F3720)/F3720</f>
        <v>-1.7912772585669871E-2</v>
      </c>
      <c r="H3721" t="e" cm="1" vm="1">
        <f t="array" aca="1" ref="H3721" ca="1">VLOOKUP(Cpi_[[#This Row],[Year]:[Month]],crudeoil[],3,FALSE)</f>
        <v>#VALUE!</v>
      </c>
    </row>
    <row r="3722" spans="1:8" hidden="1" x14ac:dyDescent="0.3">
      <c r="A3722" t="s">
        <v>34</v>
      </c>
      <c r="B3722">
        <v>2016</v>
      </c>
      <c r="C3722" t="s">
        <v>43</v>
      </c>
      <c r="D3722" t="s">
        <v>24</v>
      </c>
      <c r="E3722" t="e">
        <f>VLOOKUP(Cpi_[[#This Row],[Attribute]],#REF!,2,FALSE)</f>
        <v>#REF!</v>
      </c>
      <c r="F3722">
        <v>115.2</v>
      </c>
      <c r="G3722">
        <f>(Cpi_[[#This Row],[Value]]-F3721)/F3721</f>
        <v>-8.6439333862014217E-2</v>
      </c>
      <c r="H3722" t="e" cm="1" vm="1">
        <f t="array" aca="1" ref="H3722" ca="1">VLOOKUP(Cpi_[[#This Row],[Year]:[Month]],crudeoil[],3,FALSE)</f>
        <v>#VALUE!</v>
      </c>
    </row>
    <row r="3723" spans="1:8" hidden="1" x14ac:dyDescent="0.3">
      <c r="A3723" t="s">
        <v>34</v>
      </c>
      <c r="B3723">
        <v>2016</v>
      </c>
      <c r="C3723" t="s">
        <v>43</v>
      </c>
      <c r="D3723" t="s">
        <v>25</v>
      </c>
      <c r="E3723" t="e">
        <f>VLOOKUP(Cpi_[[#This Row],[Attribute]],#REF!,2,FALSE)</f>
        <v>#REF!</v>
      </c>
      <c r="F3723">
        <v>123.5</v>
      </c>
      <c r="G3723">
        <f>(Cpi_[[#This Row],[Value]]-F3722)/F3722</f>
        <v>7.2048611111111091E-2</v>
      </c>
      <c r="H3723" t="e" cm="1" vm="1">
        <f t="array" aca="1" ref="H3723" ca="1">VLOOKUP(Cpi_[[#This Row],[Year]:[Month]],crudeoil[],3,FALSE)</f>
        <v>#VALUE!</v>
      </c>
    </row>
    <row r="3724" spans="1:8" hidden="1" x14ac:dyDescent="0.3">
      <c r="A3724" t="s">
        <v>34</v>
      </c>
      <c r="B3724">
        <v>2016</v>
      </c>
      <c r="C3724" t="s">
        <v>43</v>
      </c>
      <c r="D3724" t="s">
        <v>26</v>
      </c>
      <c r="E3724" t="e">
        <f>VLOOKUP(Cpi_[[#This Row],[Attribute]],#REF!,2,FALSE)</f>
        <v>#REF!</v>
      </c>
      <c r="F3724">
        <v>132.4</v>
      </c>
      <c r="G3724">
        <f>(Cpi_[[#This Row],[Value]]-F3723)/F3723</f>
        <v>7.2064777327935273E-2</v>
      </c>
      <c r="H3724" t="e" cm="1" vm="1">
        <f t="array" aca="1" ref="H3724" ca="1">VLOOKUP(Cpi_[[#This Row],[Year]:[Month]],crudeoil[],3,FALSE)</f>
        <v>#VALUE!</v>
      </c>
    </row>
    <row r="3725" spans="1:8" hidden="1" x14ac:dyDescent="0.3">
      <c r="A3725" t="s">
        <v>34</v>
      </c>
      <c r="B3725">
        <v>2016</v>
      </c>
      <c r="C3725" t="s">
        <v>43</v>
      </c>
      <c r="D3725" t="s">
        <v>27</v>
      </c>
      <c r="E3725" t="e">
        <f>VLOOKUP(Cpi_[[#This Row],[Attribute]],#REF!,2,FALSE)</f>
        <v>#REF!</v>
      </c>
      <c r="F3725">
        <v>122.1</v>
      </c>
      <c r="G3725">
        <f>(Cpi_[[#This Row],[Value]]-F3724)/F3724</f>
        <v>-7.7794561933534831E-2</v>
      </c>
      <c r="H3725" t="e" cm="1" vm="1">
        <f t="array" aca="1" ref="H3725" ca="1">VLOOKUP(Cpi_[[#This Row],[Year]:[Month]],crudeoil[],3,FALSE)</f>
        <v>#VALUE!</v>
      </c>
    </row>
    <row r="3726" spans="1:8" hidden="1" x14ac:dyDescent="0.3">
      <c r="A3726" t="s">
        <v>34</v>
      </c>
      <c r="B3726">
        <v>2016</v>
      </c>
      <c r="C3726" t="s">
        <v>43</v>
      </c>
      <c r="D3726" t="s">
        <v>28</v>
      </c>
      <c r="E3726" t="e">
        <f>VLOOKUP(Cpi_[[#This Row],[Attribute]],#REF!,2,FALSE)</f>
        <v>#REF!</v>
      </c>
      <c r="F3726">
        <v>123.4</v>
      </c>
      <c r="G3726">
        <f>(Cpi_[[#This Row],[Value]]-F3725)/F3725</f>
        <v>1.064701064701074E-2</v>
      </c>
      <c r="H3726" t="e" cm="1" vm="1">
        <f t="array" aca="1" ref="H3726" ca="1">VLOOKUP(Cpi_[[#This Row],[Year]:[Month]],crudeoil[],3,FALSE)</f>
        <v>#VALUE!</v>
      </c>
    </row>
    <row r="3727" spans="1:8" hidden="1" x14ac:dyDescent="0.3">
      <c r="A3727" t="s">
        <v>34</v>
      </c>
      <c r="B3727">
        <v>2016</v>
      </c>
      <c r="C3727" t="s">
        <v>43</v>
      </c>
      <c r="D3727" t="s">
        <v>29</v>
      </c>
      <c r="E3727" t="e" cm="1">
        <f t="array" aca="1" ref="E3727" ca="1">VLGeneral indexGeneral indexKUP(Cpi_[[#This Row],[Attribute]],#REF!,2,FALSE)</f>
        <v>#NAME?</v>
      </c>
      <c r="F3727">
        <v>131.4</v>
      </c>
      <c r="G3727">
        <f>(Cpi_[[#This Row],[Value]]-F3726)/F3726</f>
        <v>6.4829821717990274E-2</v>
      </c>
      <c r="H3727" t="e" cm="1" vm="1">
        <f t="array" aca="1" ref="H3727" ca="1">VLOOKUP(Cpi_[[#This Row],[Year]:[Month]],crudeoil[],3,FALSE)</f>
        <v>#VALUE!</v>
      </c>
    </row>
    <row r="3728" spans="1:8" hidden="1" x14ac:dyDescent="0.3">
      <c r="A3728" t="s">
        <v>30</v>
      </c>
      <c r="B3728">
        <v>2016</v>
      </c>
      <c r="C3728" t="s">
        <v>45</v>
      </c>
      <c r="D3728" t="s">
        <v>3</v>
      </c>
      <c r="E3728" t="e">
        <f>VLOOKUP(Cpi_[[#This Row],[Attribute]],#REF!,2,FALSE)</f>
        <v>#REF!</v>
      </c>
      <c r="F3728">
        <v>132</v>
      </c>
      <c r="G3728">
        <f>(Cpi_[[#This Row],[Value]]-F3727)/F3727</f>
        <v>4.5662100456620568E-3</v>
      </c>
      <c r="H3728" t="e" cm="1" vm="1">
        <f t="array" aca="1" ref="H3728" ca="1">VLOOKUP(Cpi_[[#This Row],[Year]:[Month]],crudeoil[],3,FALSE)</f>
        <v>#VALUE!</v>
      </c>
    </row>
    <row r="3729" spans="1:8" hidden="1" x14ac:dyDescent="0.3">
      <c r="A3729" t="s">
        <v>30</v>
      </c>
      <c r="B3729">
        <v>2016</v>
      </c>
      <c r="C3729" t="s">
        <v>45</v>
      </c>
      <c r="D3729" t="s">
        <v>4</v>
      </c>
      <c r="E3729" t="e">
        <f>VLOOKUP(Cpi_[[#This Row],[Attribute]],#REF!,2,FALSE)</f>
        <v>#REF!</v>
      </c>
      <c r="F3729">
        <v>137.4</v>
      </c>
      <c r="G3729">
        <f>(Cpi_[[#This Row],[Value]]-F3728)/F3728</f>
        <v>4.090909090909095E-2</v>
      </c>
      <c r="H3729" t="e" cm="1" vm="1">
        <f t="array" aca="1" ref="H3729" ca="1">VLOOKUP(Cpi_[[#This Row],[Year]:[Month]],crudeoil[],3,FALSE)</f>
        <v>#VALUE!</v>
      </c>
    </row>
    <row r="3730" spans="1:8" hidden="1" x14ac:dyDescent="0.3">
      <c r="A3730" t="s">
        <v>30</v>
      </c>
      <c r="B3730">
        <v>2016</v>
      </c>
      <c r="C3730" t="s">
        <v>45</v>
      </c>
      <c r="D3730" t="s">
        <v>5</v>
      </c>
      <c r="E3730" t="e">
        <f>VLOOKUP(Cpi_[[#This Row],[Attribute]],#REF!,2,FALSE)</f>
        <v>#REF!</v>
      </c>
      <c r="F3730">
        <v>130.6</v>
      </c>
      <c r="G3730">
        <f>(Cpi_[[#This Row],[Value]]-F3729)/F3729</f>
        <v>-4.9490538573508089E-2</v>
      </c>
      <c r="H3730" t="e" cm="1" vm="1">
        <f t="array" aca="1" ref="H3730" ca="1">VLOOKUP(Cpi_[[#This Row],[Year]:[Month]],crudeoil[],3,FALSE)</f>
        <v>#VALUE!</v>
      </c>
    </row>
    <row r="3731" spans="1:8" hidden="1" x14ac:dyDescent="0.3">
      <c r="A3731" t="s">
        <v>30</v>
      </c>
      <c r="B3731">
        <v>2016</v>
      </c>
      <c r="C3731" t="s">
        <v>45</v>
      </c>
      <c r="D3731" t="s">
        <v>6</v>
      </c>
      <c r="E3731" t="e">
        <f>VLOOKUP(Cpi_[[#This Row],[Attribute]],#REF!,2,FALSE)</f>
        <v>#REF!</v>
      </c>
      <c r="F3731">
        <v>136.19999999999999</v>
      </c>
      <c r="G3731">
        <f>(Cpi_[[#This Row],[Value]]-F3730)/F3730</f>
        <v>4.2879019908116343E-2</v>
      </c>
      <c r="H3731" t="e" cm="1" vm="1">
        <f t="array" aca="1" ref="H3731" ca="1">VLOOKUP(Cpi_[[#This Row],[Year]:[Month]],crudeoil[],3,FALSE)</f>
        <v>#VALUE!</v>
      </c>
    </row>
    <row r="3732" spans="1:8" hidden="1" x14ac:dyDescent="0.3">
      <c r="A3732" t="s">
        <v>30</v>
      </c>
      <c r="B3732">
        <v>2016</v>
      </c>
      <c r="C3732" t="s">
        <v>45</v>
      </c>
      <c r="D3732" t="s">
        <v>7</v>
      </c>
      <c r="E3732" t="e">
        <f>VLOOKUP(Cpi_[[#This Row],[Attribute]],#REF!,2,FALSE)</f>
        <v>#REF!</v>
      </c>
      <c r="F3732">
        <v>121.1</v>
      </c>
      <c r="G3732">
        <f>(Cpi_[[#This Row],[Value]]-F3731)/F3731</f>
        <v>-0.1108663729809104</v>
      </c>
      <c r="H3732" t="e" cm="1" vm="1">
        <f t="array" aca="1" ref="H3732" ca="1">VLOOKUP(Cpi_[[#This Row],[Year]:[Month]],crudeoil[],3,FALSE)</f>
        <v>#VALUE!</v>
      </c>
    </row>
    <row r="3733" spans="1:8" hidden="1" x14ac:dyDescent="0.3">
      <c r="A3733" t="s">
        <v>30</v>
      </c>
      <c r="B3733">
        <v>2016</v>
      </c>
      <c r="C3733" t="s">
        <v>45</v>
      </c>
      <c r="D3733" t="s">
        <v>8</v>
      </c>
      <c r="E3733" t="e">
        <f>VLOOKUP(Cpi_[[#This Row],[Attribute]],#REF!,2,FALSE)</f>
        <v>#REF!</v>
      </c>
      <c r="F3733">
        <v>136.9</v>
      </c>
      <c r="G3733">
        <f>(Cpi_[[#This Row],[Value]]-F3732)/F3732</f>
        <v>0.13047068538398029</v>
      </c>
      <c r="H3733" t="e" cm="1" vm="1">
        <f t="array" aca="1" ref="H3733" ca="1">VLOOKUP(Cpi_[[#This Row],[Year]:[Month]],crudeoil[],3,FALSE)</f>
        <v>#VALUE!</v>
      </c>
    </row>
    <row r="3734" spans="1:8" hidden="1" x14ac:dyDescent="0.3">
      <c r="A3734" t="s">
        <v>30</v>
      </c>
      <c r="B3734">
        <v>2016</v>
      </c>
      <c r="C3734" t="s">
        <v>45</v>
      </c>
      <c r="D3734" t="s">
        <v>9</v>
      </c>
      <c r="E3734" t="e">
        <f>VLOOKUP(Cpi_[[#This Row],[Attribute]],#REF!,2,FALSE)</f>
        <v>#REF!</v>
      </c>
      <c r="F3734">
        <v>141.80000000000001</v>
      </c>
      <c r="G3734">
        <f>(Cpi_[[#This Row],[Value]]-F3733)/F3733</f>
        <v>3.5792549306062862E-2</v>
      </c>
      <c r="H3734" t="e" cm="1" vm="1">
        <f t="array" aca="1" ref="H3734" ca="1">VLOOKUP(Cpi_[[#This Row],[Year]:[Month]],crudeoil[],3,FALSE)</f>
        <v>#VALUE!</v>
      </c>
    </row>
    <row r="3735" spans="1:8" hidden="1" x14ac:dyDescent="0.3">
      <c r="A3735" t="s">
        <v>30</v>
      </c>
      <c r="B3735">
        <v>2016</v>
      </c>
      <c r="C3735" t="s">
        <v>45</v>
      </c>
      <c r="D3735" t="s">
        <v>10</v>
      </c>
      <c r="E3735" t="e">
        <f>VLOOKUP(Cpi_[[#This Row],[Attribute]],#REF!,2,FALSE)</f>
        <v>#REF!</v>
      </c>
      <c r="F3735">
        <v>170</v>
      </c>
      <c r="G3735">
        <f>(Cpi_[[#This Row],[Value]]-F3734)/F3734</f>
        <v>0.1988716502115655</v>
      </c>
      <c r="H3735" t="e" cm="1" vm="1">
        <f t="array" aca="1" ref="H3735" ca="1">VLOOKUP(Cpi_[[#This Row],[Year]:[Month]],crudeoil[],3,FALSE)</f>
        <v>#VALUE!</v>
      </c>
    </row>
    <row r="3736" spans="1:8" hidden="1" x14ac:dyDescent="0.3">
      <c r="A3736" t="s">
        <v>30</v>
      </c>
      <c r="B3736">
        <v>2016</v>
      </c>
      <c r="C3736" t="s">
        <v>45</v>
      </c>
      <c r="D3736" t="s">
        <v>11</v>
      </c>
      <c r="E3736" t="e">
        <f>VLOOKUP(Cpi_[[#This Row],[Attribute]],#REF!,2,FALSE)</f>
        <v>#REF!</v>
      </c>
      <c r="F3736">
        <v>113.4</v>
      </c>
      <c r="G3736">
        <f>(Cpi_[[#This Row],[Value]]-F3735)/F3735</f>
        <v>-0.33294117647058818</v>
      </c>
      <c r="H3736" t="e" cm="1" vm="1">
        <f t="array" aca="1" ref="H3736" ca="1">VLOOKUP(Cpi_[[#This Row],[Year]:[Month]],crudeoil[],3,FALSE)</f>
        <v>#VALUE!</v>
      </c>
    </row>
    <row r="3737" spans="1:8" hidden="1" x14ac:dyDescent="0.3">
      <c r="A3737" t="s">
        <v>30</v>
      </c>
      <c r="B3737">
        <v>2016</v>
      </c>
      <c r="C3737" t="s">
        <v>45</v>
      </c>
      <c r="D3737" t="s">
        <v>12</v>
      </c>
      <c r="E3737" t="e">
        <f>VLOOKUP(Cpi_[[#This Row],[Attribute]],#REF!,2,FALSE)</f>
        <v>#REF!</v>
      </c>
      <c r="F3737">
        <v>136.80000000000001</v>
      </c>
      <c r="G3737">
        <f>(Cpi_[[#This Row],[Value]]-F3736)/F3736</f>
        <v>0.20634920634920639</v>
      </c>
      <c r="H3737" t="e" cm="1" vm="1">
        <f t="array" aca="1" ref="H3737" ca="1">VLOOKUP(Cpi_[[#This Row],[Year]:[Month]],crudeoil[],3,FALSE)</f>
        <v>#VALUE!</v>
      </c>
    </row>
    <row r="3738" spans="1:8" hidden="1" x14ac:dyDescent="0.3">
      <c r="A3738" t="s">
        <v>30</v>
      </c>
      <c r="B3738">
        <v>2016</v>
      </c>
      <c r="C3738" t="s">
        <v>45</v>
      </c>
      <c r="D3738" t="s">
        <v>13</v>
      </c>
      <c r="E3738" t="e">
        <f>VLOOKUP(Cpi_[[#This Row],[Attribute]],#REF!,2,FALSE)</f>
        <v>#REF!</v>
      </c>
      <c r="F3738">
        <v>128.69999999999999</v>
      </c>
      <c r="G3738">
        <f>(Cpi_[[#This Row],[Value]]-F3737)/F3737</f>
        <v>-5.9210526315789637E-2</v>
      </c>
      <c r="H3738" t="e" cm="1" vm="1">
        <f t="array" aca="1" ref="H3738" ca="1">VLOOKUP(Cpi_[[#This Row],[Year]:[Month]],crudeoil[],3,FALSE)</f>
        <v>#VALUE!</v>
      </c>
    </row>
    <row r="3739" spans="1:8" hidden="1" x14ac:dyDescent="0.3">
      <c r="A3739" t="s">
        <v>30</v>
      </c>
      <c r="B3739">
        <v>2016</v>
      </c>
      <c r="C3739" t="s">
        <v>45</v>
      </c>
      <c r="D3739" t="s">
        <v>14</v>
      </c>
      <c r="E3739" t="e">
        <f>VLOOKUP(Cpi_[[#This Row],[Attribute]],#REF!,2,FALSE)</f>
        <v>#REF!</v>
      </c>
      <c r="F3739">
        <v>143.1</v>
      </c>
      <c r="G3739">
        <f>(Cpi_[[#This Row],[Value]]-F3738)/F3738</f>
        <v>0.11188811188811194</v>
      </c>
      <c r="H3739" t="e" cm="1" vm="1">
        <f t="array" aca="1" ref="H3739" ca="1">VLOOKUP(Cpi_[[#This Row],[Year]:[Month]],crudeoil[],3,FALSE)</f>
        <v>#VALUE!</v>
      </c>
    </row>
    <row r="3740" spans="1:8" hidden="1" x14ac:dyDescent="0.3">
      <c r="A3740" t="s">
        <v>30</v>
      </c>
      <c r="B3740">
        <v>2016</v>
      </c>
      <c r="C3740" t="s">
        <v>45</v>
      </c>
      <c r="D3740" t="s">
        <v>15</v>
      </c>
      <c r="E3740" t="e">
        <f>VLOOKUP(Cpi_[[#This Row],[Attribute]],#REF!,2,FALSE)</f>
        <v>#REF!</v>
      </c>
      <c r="F3740">
        <v>136.6</v>
      </c>
      <c r="G3740">
        <f>(Cpi_[[#This Row],[Value]]-F3739)/F3739</f>
        <v>-4.5422781271837874E-2</v>
      </c>
      <c r="H3740" t="e" cm="1" vm="1">
        <f t="array" aca="1" ref="H3740" ca="1">VLOOKUP(Cpi_[[#This Row],[Year]:[Month]],crudeoil[],3,FALSE)</f>
        <v>#VALUE!</v>
      </c>
    </row>
    <row r="3741" spans="1:8" hidden="1" x14ac:dyDescent="0.3">
      <c r="A3741" t="s">
        <v>30</v>
      </c>
      <c r="B3741">
        <v>2016</v>
      </c>
      <c r="C3741" t="s">
        <v>45</v>
      </c>
      <c r="D3741" t="s">
        <v>16</v>
      </c>
      <c r="E3741" t="e">
        <f>VLOOKUP(Cpi_[[#This Row],[Attribute]],#REF!,2,FALSE)</f>
        <v>#REF!</v>
      </c>
      <c r="F3741">
        <v>141.19999999999999</v>
      </c>
      <c r="G3741">
        <f>(Cpi_[[#This Row],[Value]]-F3740)/F3740</f>
        <v>3.3674963396778876E-2</v>
      </c>
      <c r="H3741" t="e" cm="1" vm="1">
        <f t="array" aca="1" ref="H3741" ca="1">VLOOKUP(Cpi_[[#This Row],[Year]:[Month]],crudeoil[],3,FALSE)</f>
        <v>#VALUE!</v>
      </c>
    </row>
    <row r="3742" spans="1:8" hidden="1" x14ac:dyDescent="0.3">
      <c r="A3742" t="s">
        <v>30</v>
      </c>
      <c r="B3742">
        <v>2016</v>
      </c>
      <c r="C3742" t="s">
        <v>45</v>
      </c>
      <c r="D3742" t="s">
        <v>17</v>
      </c>
      <c r="E3742" t="e">
        <f>VLOOKUP(Cpi_[[#This Row],[Attribute]],#REF!,2,FALSE)</f>
        <v>#REF!</v>
      </c>
      <c r="F3742">
        <v>139.9</v>
      </c>
      <c r="G3742">
        <f>(Cpi_[[#This Row],[Value]]-F3741)/F3741</f>
        <v>-9.2067988668554038E-3</v>
      </c>
      <c r="H3742" t="e" cm="1" vm="1">
        <f t="array" aca="1" ref="H3742" ca="1">VLOOKUP(Cpi_[[#This Row],[Year]:[Month]],crudeoil[],3,FALSE)</f>
        <v>#VALUE!</v>
      </c>
    </row>
    <row r="3743" spans="1:8" hidden="1" x14ac:dyDescent="0.3">
      <c r="A3743" t="s">
        <v>30</v>
      </c>
      <c r="B3743">
        <v>2016</v>
      </c>
      <c r="C3743" t="s">
        <v>45</v>
      </c>
      <c r="D3743" t="s">
        <v>18</v>
      </c>
      <c r="E3743" t="e">
        <f>VLOOKUP(Cpi_[[#This Row],[Attribute]],#REF!,2,FALSE)</f>
        <v>#REF!</v>
      </c>
      <c r="F3743">
        <v>134.5</v>
      </c>
      <c r="G3743">
        <f>(Cpi_[[#This Row],[Value]]-F3742)/F3742</f>
        <v>-3.8598999285203758E-2</v>
      </c>
      <c r="H3743" t="e" cm="1" vm="1">
        <f t="array" aca="1" ref="H3743" ca="1">VLOOKUP(Cpi_[[#This Row],[Year]:[Month]],crudeoil[],3,FALSE)</f>
        <v>#VALUE!</v>
      </c>
    </row>
    <row r="3744" spans="1:8" hidden="1" x14ac:dyDescent="0.3">
      <c r="A3744" t="s">
        <v>30</v>
      </c>
      <c r="B3744">
        <v>2016</v>
      </c>
      <c r="C3744" t="s">
        <v>45</v>
      </c>
      <c r="D3744" t="s">
        <v>19</v>
      </c>
      <c r="E3744" t="e">
        <f>VLOOKUP(Cpi_[[#This Row],[Attribute]],#REF!,2,FALSE)</f>
        <v>#REF!</v>
      </c>
      <c r="F3744">
        <v>139.19999999999999</v>
      </c>
      <c r="G3744">
        <f>(Cpi_[[#This Row],[Value]]-F3743)/F3743</f>
        <v>3.4944237918215527E-2</v>
      </c>
      <c r="H3744" t="e" cm="1" vm="1">
        <f t="array" aca="1" ref="H3744" ca="1">VLOOKUP(Cpi_[[#This Row],[Year]:[Month]],crudeoil[],3,FALSE)</f>
        <v>#VALUE!</v>
      </c>
    </row>
    <row r="3745" spans="1:8" hidden="1" x14ac:dyDescent="0.3">
      <c r="A3745" t="s">
        <v>30</v>
      </c>
      <c r="B3745">
        <v>2016</v>
      </c>
      <c r="C3745" t="s">
        <v>45</v>
      </c>
      <c r="D3745" t="s">
        <v>20</v>
      </c>
      <c r="E3745" t="e">
        <f>VLOOKUP(Cpi_[[#This Row],[Attribute]],#REF!,2,FALSE)</f>
        <v>#REF!</v>
      </c>
      <c r="F3745" t="s">
        <v>32</v>
      </c>
      <c r="G3745" t="e">
        <f>(Cpi_[[#This Row],[Value]]-F3744)/F3744</f>
        <v>#VALUE!</v>
      </c>
      <c r="H3745" t="e" cm="1" vm="1">
        <f t="array" aca="1" ref="H3745" ca="1">VLOOKUP(Cpi_[[#This Row],[Year]:[Month]],crudeoil[],3,FALSE)</f>
        <v>#VALUE!</v>
      </c>
    </row>
    <row r="3746" spans="1:8" hidden="1" x14ac:dyDescent="0.3">
      <c r="A3746" t="s">
        <v>30</v>
      </c>
      <c r="B3746">
        <v>2016</v>
      </c>
      <c r="C3746" t="s">
        <v>45</v>
      </c>
      <c r="D3746" t="s">
        <v>21</v>
      </c>
      <c r="E3746" t="e">
        <f>VLOOKUP(Cpi_[[#This Row],[Attribute]],#REF!,2,FALSE)</f>
        <v>#REF!</v>
      </c>
      <c r="F3746">
        <v>130.30000000000001</v>
      </c>
      <c r="G3746" t="e">
        <f>(Cpi_[[#This Row],[Value]]-F3745)/F3745</f>
        <v>#VALUE!</v>
      </c>
      <c r="H3746" t="e" cm="1" vm="1">
        <f t="array" aca="1" ref="H3746" ca="1">VLOOKUP(Cpi_[[#This Row],[Year]:[Month]],crudeoil[],3,FALSE)</f>
        <v>#VALUE!</v>
      </c>
    </row>
    <row r="3747" spans="1:8" hidden="1" x14ac:dyDescent="0.3">
      <c r="A3747" t="s">
        <v>30</v>
      </c>
      <c r="B3747">
        <v>2016</v>
      </c>
      <c r="C3747" t="s">
        <v>45</v>
      </c>
      <c r="D3747" t="s">
        <v>22</v>
      </c>
      <c r="E3747" t="e">
        <f>VLOOKUP(Cpi_[[#This Row],[Attribute]],#REF!,2,FALSE)</f>
        <v>#REF!</v>
      </c>
      <c r="F3747">
        <v>132.1</v>
      </c>
      <c r="G3747">
        <f>(Cpi_[[#This Row],[Value]]-F3746)/F3746</f>
        <v>1.3814274750575463E-2</v>
      </c>
      <c r="H3747" t="e" cm="1" vm="1">
        <f t="array" aca="1" ref="H3747" ca="1">VLOOKUP(Cpi_[[#This Row],[Year]:[Month]],crudeoil[],3,FALSE)</f>
        <v>#VALUE!</v>
      </c>
    </row>
    <row r="3748" spans="1:8" hidden="1" x14ac:dyDescent="0.3">
      <c r="A3748" t="s">
        <v>30</v>
      </c>
      <c r="B3748">
        <v>2016</v>
      </c>
      <c r="C3748" t="s">
        <v>45</v>
      </c>
      <c r="D3748" t="s">
        <v>23</v>
      </c>
      <c r="E3748" t="e">
        <f>VLOOKUP(Cpi_[[#This Row],[Attribute]],#REF!,2,FALSE)</f>
        <v>#REF!</v>
      </c>
      <c r="F3748">
        <v>129.1</v>
      </c>
      <c r="G3748">
        <f>(Cpi_[[#This Row],[Value]]-F3747)/F3747</f>
        <v>-2.2710068130204392E-2</v>
      </c>
      <c r="H3748" t="e" cm="1" vm="1">
        <f t="array" aca="1" ref="H3748" ca="1">VLOOKUP(Cpi_[[#This Row],[Year]:[Month]],crudeoil[],3,FALSE)</f>
        <v>#VALUE!</v>
      </c>
    </row>
    <row r="3749" spans="1:8" hidden="1" x14ac:dyDescent="0.3">
      <c r="A3749" t="s">
        <v>30</v>
      </c>
      <c r="B3749">
        <v>2016</v>
      </c>
      <c r="C3749" t="s">
        <v>45</v>
      </c>
      <c r="D3749" t="s">
        <v>24</v>
      </c>
      <c r="E3749" t="e">
        <f>VLOOKUP(Cpi_[[#This Row],[Attribute]],#REF!,2,FALSE)</f>
        <v>#REF!</v>
      </c>
      <c r="F3749">
        <v>118.2</v>
      </c>
      <c r="G3749">
        <f>(Cpi_[[#This Row],[Value]]-F3748)/F3748</f>
        <v>-8.4430673896204428E-2</v>
      </c>
      <c r="H3749" t="e" cm="1" vm="1">
        <f t="array" aca="1" ref="H3749" ca="1">VLOOKUP(Cpi_[[#This Row],[Year]:[Month]],crudeoil[],3,FALSE)</f>
        <v>#VALUE!</v>
      </c>
    </row>
    <row r="3750" spans="1:8" hidden="1" x14ac:dyDescent="0.3">
      <c r="A3750" t="s">
        <v>30</v>
      </c>
      <c r="B3750">
        <v>2016</v>
      </c>
      <c r="C3750" t="s">
        <v>45</v>
      </c>
      <c r="D3750" t="s">
        <v>25</v>
      </c>
      <c r="E3750" t="e">
        <f>VLOOKUP(Cpi_[[#This Row],[Attribute]],#REF!,2,FALSE)</f>
        <v>#REF!</v>
      </c>
      <c r="F3750">
        <v>126.9</v>
      </c>
      <c r="G3750">
        <f>(Cpi_[[#This Row],[Value]]-F3749)/F3749</f>
        <v>7.360406091370561E-2</v>
      </c>
      <c r="H3750" t="e" cm="1" vm="1">
        <f t="array" aca="1" ref="H3750" ca="1">VLOOKUP(Cpi_[[#This Row],[Year]:[Month]],crudeoil[],3,FALSE)</f>
        <v>#VALUE!</v>
      </c>
    </row>
    <row r="3751" spans="1:8" hidden="1" x14ac:dyDescent="0.3">
      <c r="A3751" t="s">
        <v>30</v>
      </c>
      <c r="B3751">
        <v>2016</v>
      </c>
      <c r="C3751" t="s">
        <v>45</v>
      </c>
      <c r="D3751" t="s">
        <v>26</v>
      </c>
      <c r="E3751" t="e">
        <f>VLOOKUP(Cpi_[[#This Row],[Attribute]],#REF!,2,FALSE)</f>
        <v>#REF!</v>
      </c>
      <c r="F3751">
        <v>133.69999999999999</v>
      </c>
      <c r="G3751">
        <f>(Cpi_[[#This Row],[Value]]-F3750)/F3750</f>
        <v>5.3585500394010895E-2</v>
      </c>
      <c r="H3751" t="e" cm="1" vm="1">
        <f t="array" aca="1" ref="H3751" ca="1">VLOOKUP(Cpi_[[#This Row],[Year]:[Month]],crudeoil[],3,FALSE)</f>
        <v>#VALUE!</v>
      </c>
    </row>
    <row r="3752" spans="1:8" hidden="1" x14ac:dyDescent="0.3">
      <c r="A3752" t="s">
        <v>30</v>
      </c>
      <c r="B3752">
        <v>2016</v>
      </c>
      <c r="C3752" t="s">
        <v>45</v>
      </c>
      <c r="D3752" t="s">
        <v>27</v>
      </c>
      <c r="E3752" t="e">
        <f>VLOOKUP(Cpi_[[#This Row],[Attribute]],#REF!,2,FALSE)</f>
        <v>#REF!</v>
      </c>
      <c r="F3752">
        <v>123.5</v>
      </c>
      <c r="G3752">
        <f>(Cpi_[[#This Row],[Value]]-F3751)/F3751</f>
        <v>-7.6290201944652122E-2</v>
      </c>
      <c r="H3752" t="e" cm="1" vm="1">
        <f t="array" aca="1" ref="H3752" ca="1">VLOOKUP(Cpi_[[#This Row],[Year]:[Month]],crudeoil[],3,FALSE)</f>
        <v>#VALUE!</v>
      </c>
    </row>
    <row r="3753" spans="1:8" hidden="1" x14ac:dyDescent="0.3">
      <c r="A3753" t="s">
        <v>30</v>
      </c>
      <c r="B3753">
        <v>2016</v>
      </c>
      <c r="C3753" t="s">
        <v>45</v>
      </c>
      <c r="D3753" t="s">
        <v>28</v>
      </c>
      <c r="E3753" t="e">
        <f>VLOOKUP(Cpi_[[#This Row],[Attribute]],#REF!,2,FALSE)</f>
        <v>#REF!</v>
      </c>
      <c r="F3753">
        <v>126.1</v>
      </c>
      <c r="G3753">
        <f>(Cpi_[[#This Row],[Value]]-F3752)/F3752</f>
        <v>2.1052631578947323E-2</v>
      </c>
      <c r="H3753" t="e" cm="1" vm="1">
        <f t="array" aca="1" ref="H3753" ca="1">VLOOKUP(Cpi_[[#This Row],[Year]:[Month]],crudeoil[],3,FALSE)</f>
        <v>#VALUE!</v>
      </c>
    </row>
    <row r="3754" spans="1:8" hidden="1" x14ac:dyDescent="0.3">
      <c r="A3754" t="s">
        <v>30</v>
      </c>
      <c r="B3754">
        <v>2016</v>
      </c>
      <c r="C3754" t="s">
        <v>45</v>
      </c>
      <c r="D3754" t="s">
        <v>29</v>
      </c>
      <c r="E3754" t="e" cm="1">
        <f t="array" aca="1" ref="E3754" ca="1">VLGeneral indexGeneral indexKUP(Cpi_[[#This Row],[Attribute]],#REF!,2,FALSE)</f>
        <v>#NAME?</v>
      </c>
      <c r="F3754">
        <v>133.6</v>
      </c>
      <c r="G3754">
        <f>(Cpi_[[#This Row],[Value]]-F3753)/F3753</f>
        <v>5.9476605868358449E-2</v>
      </c>
      <c r="H3754" t="e" cm="1" vm="1">
        <f t="array" aca="1" ref="H3754" ca="1">VLOOKUP(Cpi_[[#This Row],[Year]:[Month]],crudeoil[],3,FALSE)</f>
        <v>#VALUE!</v>
      </c>
    </row>
    <row r="3755" spans="1:8" hidden="1" x14ac:dyDescent="0.3">
      <c r="A3755" t="s">
        <v>33</v>
      </c>
      <c r="B3755">
        <v>2016</v>
      </c>
      <c r="C3755" t="s">
        <v>45</v>
      </c>
      <c r="D3755" t="s">
        <v>3</v>
      </c>
      <c r="E3755" t="e">
        <f>VLOOKUP(Cpi_[[#This Row],[Attribute]],#REF!,2,FALSE)</f>
        <v>#REF!</v>
      </c>
      <c r="F3755">
        <v>130.19999999999999</v>
      </c>
      <c r="G3755">
        <f>(Cpi_[[#This Row],[Value]]-F3754)/F3754</f>
        <v>-2.544910179640723E-2</v>
      </c>
      <c r="H3755" t="e" cm="1" vm="1">
        <f t="array" aca="1" ref="H3755" ca="1">VLOOKUP(Cpi_[[#This Row],[Year]:[Month]],crudeoil[],3,FALSE)</f>
        <v>#VALUE!</v>
      </c>
    </row>
    <row r="3756" spans="1:8" hidden="1" x14ac:dyDescent="0.3">
      <c r="A3756" t="s">
        <v>33</v>
      </c>
      <c r="B3756">
        <v>2016</v>
      </c>
      <c r="C3756" t="s">
        <v>45</v>
      </c>
      <c r="D3756" t="s">
        <v>4</v>
      </c>
      <c r="E3756" t="e">
        <f>VLOOKUP(Cpi_[[#This Row],[Attribute]],#REF!,2,FALSE)</f>
        <v>#REF!</v>
      </c>
      <c r="F3756">
        <v>138.5</v>
      </c>
      <c r="G3756">
        <f>(Cpi_[[#This Row],[Value]]-F3755)/F3755</f>
        <v>6.3748079877112229E-2</v>
      </c>
      <c r="H3756" t="e" cm="1" vm="1">
        <f t="array" aca="1" ref="H3756" ca="1">VLOOKUP(Cpi_[[#This Row],[Year]:[Month]],crudeoil[],3,FALSE)</f>
        <v>#VALUE!</v>
      </c>
    </row>
    <row r="3757" spans="1:8" hidden="1" x14ac:dyDescent="0.3">
      <c r="A3757" t="s">
        <v>33</v>
      </c>
      <c r="B3757">
        <v>2016</v>
      </c>
      <c r="C3757" t="s">
        <v>45</v>
      </c>
      <c r="D3757" t="s">
        <v>5</v>
      </c>
      <c r="E3757" t="e">
        <f>VLOOKUP(Cpi_[[#This Row],[Attribute]],#REF!,2,FALSE)</f>
        <v>#REF!</v>
      </c>
      <c r="F3757">
        <v>134.1</v>
      </c>
      <c r="G3757">
        <f>(Cpi_[[#This Row],[Value]]-F3756)/F3756</f>
        <v>-3.17689530685921E-2</v>
      </c>
      <c r="H3757" t="e" cm="1" vm="1">
        <f t="array" aca="1" ref="H3757" ca="1">VLOOKUP(Cpi_[[#This Row],[Year]:[Month]],crudeoil[],3,FALSE)</f>
        <v>#VALUE!</v>
      </c>
    </row>
    <row r="3758" spans="1:8" hidden="1" x14ac:dyDescent="0.3">
      <c r="A3758" t="s">
        <v>33</v>
      </c>
      <c r="B3758">
        <v>2016</v>
      </c>
      <c r="C3758" t="s">
        <v>45</v>
      </c>
      <c r="D3758" t="s">
        <v>6</v>
      </c>
      <c r="E3758" t="e">
        <f>VLOOKUP(Cpi_[[#This Row],[Attribute]],#REF!,2,FALSE)</f>
        <v>#REF!</v>
      </c>
      <c r="F3758">
        <v>132.9</v>
      </c>
      <c r="G3758">
        <f>(Cpi_[[#This Row],[Value]]-F3757)/F3757</f>
        <v>-8.948545861297454E-3</v>
      </c>
      <c r="H3758" t="e" cm="1" vm="1">
        <f t="array" aca="1" ref="H3758" ca="1">VLOOKUP(Cpi_[[#This Row],[Year]:[Month]],crudeoil[],3,FALSE)</f>
        <v>#VALUE!</v>
      </c>
    </row>
    <row r="3759" spans="1:8" hidden="1" x14ac:dyDescent="0.3">
      <c r="A3759" t="s">
        <v>33</v>
      </c>
      <c r="B3759">
        <v>2016</v>
      </c>
      <c r="C3759" t="s">
        <v>45</v>
      </c>
      <c r="D3759" t="s">
        <v>7</v>
      </c>
      <c r="E3759" t="e">
        <f>VLOOKUP(Cpi_[[#This Row],[Attribute]],#REF!,2,FALSE)</f>
        <v>#REF!</v>
      </c>
      <c r="F3759">
        <v>112.6</v>
      </c>
      <c r="G3759">
        <f>(Cpi_[[#This Row],[Value]]-F3758)/F3758</f>
        <v>-0.15274642588412349</v>
      </c>
      <c r="H3759" t="e" cm="1" vm="1">
        <f t="array" aca="1" ref="H3759" ca="1">VLOOKUP(Cpi_[[#This Row],[Year]:[Month]],crudeoil[],3,FALSE)</f>
        <v>#VALUE!</v>
      </c>
    </row>
    <row r="3760" spans="1:8" hidden="1" x14ac:dyDescent="0.3">
      <c r="A3760" t="s">
        <v>33</v>
      </c>
      <c r="B3760">
        <v>2016</v>
      </c>
      <c r="C3760" t="s">
        <v>45</v>
      </c>
      <c r="D3760" t="s">
        <v>8</v>
      </c>
      <c r="E3760" t="e">
        <f>VLOOKUP(Cpi_[[#This Row],[Attribute]],#REF!,2,FALSE)</f>
        <v>#REF!</v>
      </c>
      <c r="F3760">
        <v>130.80000000000001</v>
      </c>
      <c r="G3760">
        <f>(Cpi_[[#This Row],[Value]]-F3759)/F3759</f>
        <v>0.16163410301953834</v>
      </c>
      <c r="H3760" t="e" cm="1" vm="1">
        <f t="array" aca="1" ref="H3760" ca="1">VLOOKUP(Cpi_[[#This Row],[Year]:[Month]],crudeoil[],3,FALSE)</f>
        <v>#VALUE!</v>
      </c>
    </row>
    <row r="3761" spans="1:8" hidden="1" x14ac:dyDescent="0.3">
      <c r="A3761" t="s">
        <v>33</v>
      </c>
      <c r="B3761">
        <v>2016</v>
      </c>
      <c r="C3761" t="s">
        <v>45</v>
      </c>
      <c r="D3761" t="s">
        <v>9</v>
      </c>
      <c r="E3761" t="e">
        <f>VLOOKUP(Cpi_[[#This Row],[Attribute]],#REF!,2,FALSE)</f>
        <v>#REF!</v>
      </c>
      <c r="F3761">
        <v>142</v>
      </c>
      <c r="G3761">
        <f>(Cpi_[[#This Row],[Value]]-F3760)/F3760</f>
        <v>8.5626911314984622E-2</v>
      </c>
      <c r="H3761" t="e" cm="1" vm="1">
        <f t="array" aca="1" ref="H3761" ca="1">VLOOKUP(Cpi_[[#This Row],[Year]:[Month]],crudeoil[],3,FALSE)</f>
        <v>#VALUE!</v>
      </c>
    </row>
    <row r="3762" spans="1:8" hidden="1" x14ac:dyDescent="0.3">
      <c r="A3762" t="s">
        <v>33</v>
      </c>
      <c r="B3762">
        <v>2016</v>
      </c>
      <c r="C3762" t="s">
        <v>45</v>
      </c>
      <c r="D3762" t="s">
        <v>10</v>
      </c>
      <c r="E3762" t="e">
        <f>VLOOKUP(Cpi_[[#This Row],[Attribute]],#REF!,2,FALSE)</f>
        <v>#REF!</v>
      </c>
      <c r="F3762">
        <v>174.9</v>
      </c>
      <c r="G3762">
        <f>(Cpi_[[#This Row],[Value]]-F3761)/F3761</f>
        <v>0.23169014084507047</v>
      </c>
      <c r="H3762" t="e" cm="1" vm="1">
        <f t="array" aca="1" ref="H3762" ca="1">VLOOKUP(Cpi_[[#This Row],[Year]:[Month]],crudeoil[],3,FALSE)</f>
        <v>#VALUE!</v>
      </c>
    </row>
    <row r="3763" spans="1:8" hidden="1" x14ac:dyDescent="0.3">
      <c r="A3763" t="s">
        <v>33</v>
      </c>
      <c r="B3763">
        <v>2016</v>
      </c>
      <c r="C3763" t="s">
        <v>45</v>
      </c>
      <c r="D3763" t="s">
        <v>11</v>
      </c>
      <c r="E3763" t="e">
        <f>VLOOKUP(Cpi_[[#This Row],[Attribute]],#REF!,2,FALSE)</f>
        <v>#REF!</v>
      </c>
      <c r="F3763">
        <v>115.6</v>
      </c>
      <c r="G3763">
        <f>(Cpi_[[#This Row],[Value]]-F3762)/F3762</f>
        <v>-0.33905088622069762</v>
      </c>
      <c r="H3763" t="e" cm="1" vm="1">
        <f t="array" aca="1" ref="H3763" ca="1">VLOOKUP(Cpi_[[#This Row],[Year]:[Month]],crudeoil[],3,FALSE)</f>
        <v>#VALUE!</v>
      </c>
    </row>
    <row r="3764" spans="1:8" hidden="1" x14ac:dyDescent="0.3">
      <c r="A3764" t="s">
        <v>33</v>
      </c>
      <c r="B3764">
        <v>2016</v>
      </c>
      <c r="C3764" t="s">
        <v>45</v>
      </c>
      <c r="D3764" t="s">
        <v>12</v>
      </c>
      <c r="E3764" t="e">
        <f>VLOOKUP(Cpi_[[#This Row],[Attribute]],#REF!,2,FALSE)</f>
        <v>#REF!</v>
      </c>
      <c r="F3764">
        <v>145.4</v>
      </c>
      <c r="G3764">
        <f>(Cpi_[[#This Row],[Value]]-F3763)/F3763</f>
        <v>0.2577854671280278</v>
      </c>
      <c r="H3764" t="e" cm="1" vm="1">
        <f t="array" aca="1" ref="H3764" ca="1">VLOOKUP(Cpi_[[#This Row],[Year]:[Month]],crudeoil[],3,FALSE)</f>
        <v>#VALUE!</v>
      </c>
    </row>
    <row r="3765" spans="1:8" hidden="1" x14ac:dyDescent="0.3">
      <c r="A3765" t="s">
        <v>33</v>
      </c>
      <c r="B3765">
        <v>2016</v>
      </c>
      <c r="C3765" t="s">
        <v>45</v>
      </c>
      <c r="D3765" t="s">
        <v>13</v>
      </c>
      <c r="E3765" t="e">
        <f>VLOOKUP(Cpi_[[#This Row],[Attribute]],#REF!,2,FALSE)</f>
        <v>#REF!</v>
      </c>
      <c r="F3765">
        <v>122.7</v>
      </c>
      <c r="G3765">
        <f>(Cpi_[[#This Row],[Value]]-F3764)/F3764</f>
        <v>-0.15612104539202201</v>
      </c>
      <c r="H3765" t="e" cm="1" vm="1">
        <f t="array" aca="1" ref="H3765" ca="1">VLOOKUP(Cpi_[[#This Row],[Year]:[Month]],crudeoil[],3,FALSE)</f>
        <v>#VALUE!</v>
      </c>
    </row>
    <row r="3766" spans="1:8" hidden="1" x14ac:dyDescent="0.3">
      <c r="A3766" t="s">
        <v>33</v>
      </c>
      <c r="B3766">
        <v>2016</v>
      </c>
      <c r="C3766" t="s">
        <v>45</v>
      </c>
      <c r="D3766" t="s">
        <v>14</v>
      </c>
      <c r="E3766" t="e">
        <f>VLOOKUP(Cpi_[[#This Row],[Attribute]],#REF!,2,FALSE)</f>
        <v>#REF!</v>
      </c>
      <c r="F3766">
        <v>140.30000000000001</v>
      </c>
      <c r="G3766">
        <f>(Cpi_[[#This Row],[Value]]-F3765)/F3765</f>
        <v>0.14343928280358606</v>
      </c>
      <c r="H3766" t="e" cm="1" vm="1">
        <f t="array" aca="1" ref="H3766" ca="1">VLOOKUP(Cpi_[[#This Row],[Year]:[Month]],crudeoil[],3,FALSE)</f>
        <v>#VALUE!</v>
      </c>
    </row>
    <row r="3767" spans="1:8" hidden="1" x14ac:dyDescent="0.3">
      <c r="A3767" t="s">
        <v>33</v>
      </c>
      <c r="B3767">
        <v>2016</v>
      </c>
      <c r="C3767" t="s">
        <v>45</v>
      </c>
      <c r="D3767" t="s">
        <v>15</v>
      </c>
      <c r="E3767" t="e">
        <f>VLOOKUP(Cpi_[[#This Row],[Attribute]],#REF!,2,FALSE)</f>
        <v>#REF!</v>
      </c>
      <c r="F3767">
        <v>135.19999999999999</v>
      </c>
      <c r="G3767">
        <f>(Cpi_[[#This Row],[Value]]-F3766)/F3766</f>
        <v>-3.6350677120456323E-2</v>
      </c>
      <c r="H3767" t="e" cm="1" vm="1">
        <f t="array" aca="1" ref="H3767" ca="1">VLOOKUP(Cpi_[[#This Row],[Year]:[Month]],crudeoil[],3,FALSE)</f>
        <v>#VALUE!</v>
      </c>
    </row>
    <row r="3768" spans="1:8" hidden="1" x14ac:dyDescent="0.3">
      <c r="A3768" t="s">
        <v>33</v>
      </c>
      <c r="B3768">
        <v>2016</v>
      </c>
      <c r="C3768" t="s">
        <v>45</v>
      </c>
      <c r="D3768" t="s">
        <v>16</v>
      </c>
      <c r="E3768" t="e">
        <f>VLOOKUP(Cpi_[[#This Row],[Attribute]],#REF!,2,FALSE)</f>
        <v>#REF!</v>
      </c>
      <c r="F3768">
        <v>144.30000000000001</v>
      </c>
      <c r="G3768">
        <f>(Cpi_[[#This Row],[Value]]-F3767)/F3767</f>
        <v>6.7307692307692485E-2</v>
      </c>
      <c r="H3768" t="e" cm="1" vm="1">
        <f t="array" aca="1" ref="H3768" ca="1">VLOOKUP(Cpi_[[#This Row],[Year]:[Month]],crudeoil[],3,FALSE)</f>
        <v>#VALUE!</v>
      </c>
    </row>
    <row r="3769" spans="1:8" hidden="1" x14ac:dyDescent="0.3">
      <c r="A3769" t="s">
        <v>33</v>
      </c>
      <c r="B3769">
        <v>2016</v>
      </c>
      <c r="C3769" t="s">
        <v>45</v>
      </c>
      <c r="D3769" t="s">
        <v>17</v>
      </c>
      <c r="E3769" t="e">
        <f>VLOOKUP(Cpi_[[#This Row],[Attribute]],#REF!,2,FALSE)</f>
        <v>#REF!</v>
      </c>
      <c r="F3769">
        <v>129.6</v>
      </c>
      <c r="G3769">
        <f>(Cpi_[[#This Row],[Value]]-F3768)/F3768</f>
        <v>-0.10187110187110199</v>
      </c>
      <c r="H3769" t="e" cm="1" vm="1">
        <f t="array" aca="1" ref="H3769" ca="1">VLOOKUP(Cpi_[[#This Row],[Year]:[Month]],crudeoil[],3,FALSE)</f>
        <v>#VALUE!</v>
      </c>
    </row>
    <row r="3770" spans="1:8" hidden="1" x14ac:dyDescent="0.3">
      <c r="A3770" t="s">
        <v>33</v>
      </c>
      <c r="B3770">
        <v>2016</v>
      </c>
      <c r="C3770" t="s">
        <v>45</v>
      </c>
      <c r="D3770" t="s">
        <v>18</v>
      </c>
      <c r="E3770" t="e">
        <f>VLOOKUP(Cpi_[[#This Row],[Attribute]],#REF!,2,FALSE)</f>
        <v>#REF!</v>
      </c>
      <c r="F3770">
        <v>122.1</v>
      </c>
      <c r="G3770">
        <f>(Cpi_[[#This Row],[Value]]-F3769)/F3769</f>
        <v>-5.7870370370370371E-2</v>
      </c>
      <c r="H3770" t="e" cm="1" vm="1">
        <f t="array" aca="1" ref="H3770" ca="1">VLOOKUP(Cpi_[[#This Row],[Year]:[Month]],crudeoil[],3,FALSE)</f>
        <v>#VALUE!</v>
      </c>
    </row>
    <row r="3771" spans="1:8" hidden="1" x14ac:dyDescent="0.3">
      <c r="A3771" t="s">
        <v>33</v>
      </c>
      <c r="B3771">
        <v>2016</v>
      </c>
      <c r="C3771" t="s">
        <v>45</v>
      </c>
      <c r="D3771" t="s">
        <v>19</v>
      </c>
      <c r="E3771" t="e">
        <f>VLOOKUP(Cpi_[[#This Row],[Attribute]],#REF!,2,FALSE)</f>
        <v>#REF!</v>
      </c>
      <c r="F3771">
        <v>128.5</v>
      </c>
      <c r="G3771">
        <f>(Cpi_[[#This Row],[Value]]-F3770)/F3770</f>
        <v>5.2416052416052468E-2</v>
      </c>
      <c r="H3771" t="e" cm="1" vm="1">
        <f t="array" aca="1" ref="H3771" ca="1">VLOOKUP(Cpi_[[#This Row],[Year]:[Month]],crudeoil[],3,FALSE)</f>
        <v>#VALUE!</v>
      </c>
    </row>
    <row r="3772" spans="1:8" hidden="1" x14ac:dyDescent="0.3">
      <c r="A3772" t="s">
        <v>33</v>
      </c>
      <c r="B3772">
        <v>2016</v>
      </c>
      <c r="C3772" t="s">
        <v>45</v>
      </c>
      <c r="D3772" t="s">
        <v>20</v>
      </c>
      <c r="E3772" t="e">
        <f>VLOOKUP(Cpi_[[#This Row],[Attribute]],#REF!,2,FALSE)</f>
        <v>#REF!</v>
      </c>
      <c r="F3772">
        <v>129.1</v>
      </c>
      <c r="G3772">
        <f>(Cpi_[[#This Row],[Value]]-F3771)/F3771</f>
        <v>4.6692607003890607E-3</v>
      </c>
      <c r="H3772" t="e" cm="1" vm="1">
        <f t="array" aca="1" ref="H3772" ca="1">VLOOKUP(Cpi_[[#This Row],[Year]:[Month]],crudeoil[],3,FALSE)</f>
        <v>#VALUE!</v>
      </c>
    </row>
    <row r="3773" spans="1:8" hidden="1" x14ac:dyDescent="0.3">
      <c r="A3773" t="s">
        <v>33</v>
      </c>
      <c r="B3773">
        <v>2016</v>
      </c>
      <c r="C3773" t="s">
        <v>45</v>
      </c>
      <c r="D3773" t="s">
        <v>21</v>
      </c>
      <c r="E3773" t="e">
        <f>VLOOKUP(Cpi_[[#This Row],[Attribute]],#REF!,2,FALSE)</f>
        <v>#REF!</v>
      </c>
      <c r="F3773">
        <v>116.2</v>
      </c>
      <c r="G3773">
        <f>(Cpi_[[#This Row],[Value]]-F3772)/F3772</f>
        <v>-9.9922540666150209E-2</v>
      </c>
      <c r="H3773" t="e" cm="1" vm="1">
        <f t="array" aca="1" ref="H3773" ca="1">VLOOKUP(Cpi_[[#This Row],[Year]:[Month]],crudeoil[],3,FALSE)</f>
        <v>#VALUE!</v>
      </c>
    </row>
    <row r="3774" spans="1:8" hidden="1" x14ac:dyDescent="0.3">
      <c r="A3774" t="s">
        <v>33</v>
      </c>
      <c r="B3774">
        <v>2016</v>
      </c>
      <c r="C3774" t="s">
        <v>45</v>
      </c>
      <c r="D3774" t="s">
        <v>22</v>
      </c>
      <c r="E3774" t="e">
        <f>VLOOKUP(Cpi_[[#This Row],[Attribute]],#REF!,2,FALSE)</f>
        <v>#REF!</v>
      </c>
      <c r="F3774">
        <v>124.7</v>
      </c>
      <c r="G3774">
        <f>(Cpi_[[#This Row],[Value]]-F3773)/F3773</f>
        <v>7.3149741824440617E-2</v>
      </c>
      <c r="H3774" t="e" cm="1" vm="1">
        <f t="array" aca="1" ref="H3774" ca="1">VLOOKUP(Cpi_[[#This Row],[Year]:[Month]],crudeoil[],3,FALSE)</f>
        <v>#VALUE!</v>
      </c>
    </row>
    <row r="3775" spans="1:8" hidden="1" x14ac:dyDescent="0.3">
      <c r="A3775" t="s">
        <v>33</v>
      </c>
      <c r="B3775">
        <v>2016</v>
      </c>
      <c r="C3775" t="s">
        <v>45</v>
      </c>
      <c r="D3775" t="s">
        <v>23</v>
      </c>
      <c r="E3775" t="e">
        <f>VLOOKUP(Cpi_[[#This Row],[Attribute]],#REF!,2,FALSE)</f>
        <v>#REF!</v>
      </c>
      <c r="F3775">
        <v>122.1</v>
      </c>
      <c r="G3775">
        <f>(Cpi_[[#This Row],[Value]]-F3774)/F3774</f>
        <v>-2.0850040096231023E-2</v>
      </c>
      <c r="H3775" t="e" cm="1" vm="1">
        <f t="array" aca="1" ref="H3775" ca="1">VLOOKUP(Cpi_[[#This Row],[Year]:[Month]],crudeoil[],3,FALSE)</f>
        <v>#VALUE!</v>
      </c>
    </row>
    <row r="3776" spans="1:8" hidden="1" x14ac:dyDescent="0.3">
      <c r="A3776" t="s">
        <v>33</v>
      </c>
      <c r="B3776">
        <v>2016</v>
      </c>
      <c r="C3776" t="s">
        <v>45</v>
      </c>
      <c r="D3776" t="s">
        <v>24</v>
      </c>
      <c r="E3776" t="e">
        <f>VLOOKUP(Cpi_[[#This Row],[Attribute]],#REF!,2,FALSE)</f>
        <v>#REF!</v>
      </c>
      <c r="F3776">
        <v>113.4</v>
      </c>
      <c r="G3776">
        <f>(Cpi_[[#This Row],[Value]]-F3775)/F3775</f>
        <v>-7.1253071253071162E-2</v>
      </c>
      <c r="H3776" t="e" cm="1" vm="1">
        <f t="array" aca="1" ref="H3776" ca="1">VLOOKUP(Cpi_[[#This Row],[Year]:[Month]],crudeoil[],3,FALSE)</f>
        <v>#VALUE!</v>
      </c>
    </row>
    <row r="3777" spans="1:8" hidden="1" x14ac:dyDescent="0.3">
      <c r="A3777" t="s">
        <v>33</v>
      </c>
      <c r="B3777">
        <v>2016</v>
      </c>
      <c r="C3777" t="s">
        <v>45</v>
      </c>
      <c r="D3777" t="s">
        <v>25</v>
      </c>
      <c r="E3777" t="e">
        <f>VLOOKUP(Cpi_[[#This Row],[Attribute]],#REF!,2,FALSE)</f>
        <v>#REF!</v>
      </c>
      <c r="F3777">
        <v>121.7</v>
      </c>
      <c r="G3777">
        <f>(Cpi_[[#This Row],[Value]]-F3776)/F3776</f>
        <v>7.3192239858906494E-2</v>
      </c>
      <c r="H3777" t="e" cm="1" vm="1">
        <f t="array" aca="1" ref="H3777" ca="1">VLOOKUP(Cpi_[[#This Row],[Year]:[Month]],crudeoil[],3,FALSE)</f>
        <v>#VALUE!</v>
      </c>
    </row>
    <row r="3778" spans="1:8" hidden="1" x14ac:dyDescent="0.3">
      <c r="A3778" t="s">
        <v>33</v>
      </c>
      <c r="B3778">
        <v>2016</v>
      </c>
      <c r="C3778" t="s">
        <v>45</v>
      </c>
      <c r="D3778" t="s">
        <v>26</v>
      </c>
      <c r="E3778" t="e">
        <f>VLOOKUP(Cpi_[[#This Row],[Attribute]],#REF!,2,FALSE)</f>
        <v>#REF!</v>
      </c>
      <c r="F3778">
        <v>132.1</v>
      </c>
      <c r="G3778">
        <f>(Cpi_[[#This Row],[Value]]-F3777)/F3777</f>
        <v>8.5456039441248896E-2</v>
      </c>
      <c r="H3778" t="e" cm="1" vm="1">
        <f t="array" aca="1" ref="H3778" ca="1">VLOOKUP(Cpi_[[#This Row],[Year]:[Month]],crudeoil[],3,FALSE)</f>
        <v>#VALUE!</v>
      </c>
    </row>
    <row r="3779" spans="1:8" hidden="1" x14ac:dyDescent="0.3">
      <c r="A3779" t="s">
        <v>33</v>
      </c>
      <c r="B3779">
        <v>2016</v>
      </c>
      <c r="C3779" t="s">
        <v>45</v>
      </c>
      <c r="D3779" t="s">
        <v>27</v>
      </c>
      <c r="E3779" t="e">
        <f>VLOOKUP(Cpi_[[#This Row],[Attribute]],#REF!,2,FALSE)</f>
        <v>#REF!</v>
      </c>
      <c r="F3779">
        <v>121.3</v>
      </c>
      <c r="G3779">
        <f>(Cpi_[[#This Row],[Value]]-F3778)/F3778</f>
        <v>-8.1756245268735789E-2</v>
      </c>
      <c r="H3779" t="e" cm="1" vm="1">
        <f t="array" aca="1" ref="H3779" ca="1">VLOOKUP(Cpi_[[#This Row],[Year]:[Month]],crudeoil[],3,FALSE)</f>
        <v>#VALUE!</v>
      </c>
    </row>
    <row r="3780" spans="1:8" hidden="1" x14ac:dyDescent="0.3">
      <c r="A3780" t="s">
        <v>33</v>
      </c>
      <c r="B3780">
        <v>2016</v>
      </c>
      <c r="C3780" t="s">
        <v>45</v>
      </c>
      <c r="D3780" t="s">
        <v>28</v>
      </c>
      <c r="E3780" t="e">
        <f>VLOOKUP(Cpi_[[#This Row],[Attribute]],#REF!,2,FALSE)</f>
        <v>#REF!</v>
      </c>
      <c r="F3780">
        <v>121.3</v>
      </c>
      <c r="G3780">
        <f>(Cpi_[[#This Row],[Value]]-F3779)/F3779</f>
        <v>0</v>
      </c>
      <c r="H3780" t="e" cm="1" vm="1">
        <f t="array" aca="1" ref="H3780" ca="1">VLOOKUP(Cpi_[[#This Row],[Year]:[Month]],crudeoil[],3,FALSE)</f>
        <v>#VALUE!</v>
      </c>
    </row>
    <row r="3781" spans="1:8" hidden="1" x14ac:dyDescent="0.3">
      <c r="A3781" t="s">
        <v>33</v>
      </c>
      <c r="B3781">
        <v>2016</v>
      </c>
      <c r="C3781" t="s">
        <v>45</v>
      </c>
      <c r="D3781" t="s">
        <v>29</v>
      </c>
      <c r="E3781" t="e" cm="1">
        <f t="array" aca="1" ref="E3781" ca="1">VLGeneral indexGeneral indexKUP(Cpi_[[#This Row],[Attribute]],#REF!,2,FALSE)</f>
        <v>#NAME?</v>
      </c>
      <c r="F3781">
        <v>128.5</v>
      </c>
      <c r="G3781">
        <f>(Cpi_[[#This Row],[Value]]-F3780)/F3780</f>
        <v>5.9356966199505382E-2</v>
      </c>
      <c r="H3781" t="e" cm="1" vm="1">
        <f t="array" aca="1" ref="H3781" ca="1">VLOOKUP(Cpi_[[#This Row],[Year]:[Month]],crudeoil[],3,FALSE)</f>
        <v>#VALUE!</v>
      </c>
    </row>
    <row r="3782" spans="1:8" hidden="1" x14ac:dyDescent="0.3">
      <c r="A3782" t="s">
        <v>34</v>
      </c>
      <c r="B3782">
        <v>2016</v>
      </c>
      <c r="C3782" t="s">
        <v>45</v>
      </c>
      <c r="D3782" t="s">
        <v>3</v>
      </c>
      <c r="E3782" t="e">
        <f>VLOOKUP(Cpi_[[#This Row],[Attribute]],#REF!,2,FALSE)</f>
        <v>#REF!</v>
      </c>
      <c r="F3782">
        <v>131.4</v>
      </c>
      <c r="G3782">
        <f>(Cpi_[[#This Row],[Value]]-F3781)/F3781</f>
        <v>2.2568093385214053E-2</v>
      </c>
      <c r="H3782" t="e" cm="1" vm="1">
        <f t="array" aca="1" ref="H3782" ca="1">VLOOKUP(Cpi_[[#This Row],[Year]:[Month]],crudeoil[],3,FALSE)</f>
        <v>#VALUE!</v>
      </c>
    </row>
    <row r="3783" spans="1:8" hidden="1" x14ac:dyDescent="0.3">
      <c r="A3783" t="s">
        <v>34</v>
      </c>
      <c r="B3783">
        <v>2016</v>
      </c>
      <c r="C3783" t="s">
        <v>45</v>
      </c>
      <c r="D3783" t="s">
        <v>4</v>
      </c>
      <c r="E3783" t="e">
        <f>VLOOKUP(Cpi_[[#This Row],[Attribute]],#REF!,2,FALSE)</f>
        <v>#REF!</v>
      </c>
      <c r="F3783">
        <v>137.80000000000001</v>
      </c>
      <c r="G3783">
        <f>(Cpi_[[#This Row],[Value]]-F3782)/F3782</f>
        <v>4.8706240487062444E-2</v>
      </c>
      <c r="H3783" t="e" cm="1" vm="1">
        <f t="array" aca="1" ref="H3783" ca="1">VLOOKUP(Cpi_[[#This Row],[Year]:[Month]],crudeoil[],3,FALSE)</f>
        <v>#VALUE!</v>
      </c>
    </row>
    <row r="3784" spans="1:8" hidden="1" x14ac:dyDescent="0.3">
      <c r="A3784" t="s">
        <v>34</v>
      </c>
      <c r="B3784">
        <v>2016</v>
      </c>
      <c r="C3784" t="s">
        <v>45</v>
      </c>
      <c r="D3784" t="s">
        <v>5</v>
      </c>
      <c r="E3784" t="e">
        <f>VLOOKUP(Cpi_[[#This Row],[Attribute]],#REF!,2,FALSE)</f>
        <v>#REF!</v>
      </c>
      <c r="F3784">
        <v>132</v>
      </c>
      <c r="G3784">
        <f>(Cpi_[[#This Row],[Value]]-F3783)/F3783</f>
        <v>-4.2089985486211984E-2</v>
      </c>
      <c r="H3784" t="e" cm="1" vm="1">
        <f t="array" aca="1" ref="H3784" ca="1">VLOOKUP(Cpi_[[#This Row],[Year]:[Month]],crudeoil[],3,FALSE)</f>
        <v>#VALUE!</v>
      </c>
    </row>
    <row r="3785" spans="1:8" hidden="1" x14ac:dyDescent="0.3">
      <c r="A3785" t="s">
        <v>34</v>
      </c>
      <c r="B3785">
        <v>2016</v>
      </c>
      <c r="C3785" t="s">
        <v>45</v>
      </c>
      <c r="D3785" t="s">
        <v>6</v>
      </c>
      <c r="E3785" t="e">
        <f>VLOOKUP(Cpi_[[#This Row],[Attribute]],#REF!,2,FALSE)</f>
        <v>#REF!</v>
      </c>
      <c r="F3785">
        <v>135</v>
      </c>
      <c r="G3785">
        <f>(Cpi_[[#This Row],[Value]]-F3784)/F3784</f>
        <v>2.2727272727272728E-2</v>
      </c>
      <c r="H3785" t="e" cm="1" vm="1">
        <f t="array" aca="1" ref="H3785" ca="1">VLOOKUP(Cpi_[[#This Row],[Year]:[Month]],crudeoil[],3,FALSE)</f>
        <v>#VALUE!</v>
      </c>
    </row>
    <row r="3786" spans="1:8" hidden="1" x14ac:dyDescent="0.3">
      <c r="A3786" t="s">
        <v>34</v>
      </c>
      <c r="B3786">
        <v>2016</v>
      </c>
      <c r="C3786" t="s">
        <v>45</v>
      </c>
      <c r="D3786" t="s">
        <v>7</v>
      </c>
      <c r="E3786" t="e">
        <f>VLOOKUP(Cpi_[[#This Row],[Attribute]],#REF!,2,FALSE)</f>
        <v>#REF!</v>
      </c>
      <c r="F3786">
        <v>118</v>
      </c>
      <c r="G3786">
        <f>(Cpi_[[#This Row],[Value]]-F3785)/F3785</f>
        <v>-0.12592592592592591</v>
      </c>
      <c r="H3786" t="e" cm="1" vm="1">
        <f t="array" aca="1" ref="H3786" ca="1">VLOOKUP(Cpi_[[#This Row],[Year]:[Month]],crudeoil[],3,FALSE)</f>
        <v>#VALUE!</v>
      </c>
    </row>
    <row r="3787" spans="1:8" hidden="1" x14ac:dyDescent="0.3">
      <c r="A3787" t="s">
        <v>34</v>
      </c>
      <c r="B3787">
        <v>2016</v>
      </c>
      <c r="C3787" t="s">
        <v>45</v>
      </c>
      <c r="D3787" t="s">
        <v>8</v>
      </c>
      <c r="E3787" t="e">
        <f>VLOOKUP(Cpi_[[#This Row],[Attribute]],#REF!,2,FALSE)</f>
        <v>#REF!</v>
      </c>
      <c r="F3787">
        <v>134.1</v>
      </c>
      <c r="G3787">
        <f>(Cpi_[[#This Row],[Value]]-F3786)/F3786</f>
        <v>0.13644067796610165</v>
      </c>
      <c r="H3787" t="e" cm="1" vm="1">
        <f t="array" aca="1" ref="H3787" ca="1">VLOOKUP(Cpi_[[#This Row],[Year]:[Month]],crudeoil[],3,FALSE)</f>
        <v>#VALUE!</v>
      </c>
    </row>
    <row r="3788" spans="1:8" hidden="1" x14ac:dyDescent="0.3">
      <c r="A3788" t="s">
        <v>34</v>
      </c>
      <c r="B3788">
        <v>2016</v>
      </c>
      <c r="C3788" t="s">
        <v>45</v>
      </c>
      <c r="D3788" t="s">
        <v>9</v>
      </c>
      <c r="E3788" t="e">
        <f>VLOOKUP(Cpi_[[#This Row],[Attribute]],#REF!,2,FALSE)</f>
        <v>#REF!</v>
      </c>
      <c r="F3788">
        <v>141.9</v>
      </c>
      <c r="G3788">
        <f>(Cpi_[[#This Row],[Value]]-F3787)/F3787</f>
        <v>5.8165548098434092E-2</v>
      </c>
      <c r="H3788" t="e" cm="1" vm="1">
        <f t="array" aca="1" ref="H3788" ca="1">VLOOKUP(Cpi_[[#This Row],[Year]:[Month]],crudeoil[],3,FALSE)</f>
        <v>#VALUE!</v>
      </c>
    </row>
    <row r="3789" spans="1:8" hidden="1" x14ac:dyDescent="0.3">
      <c r="A3789" t="s">
        <v>34</v>
      </c>
      <c r="B3789">
        <v>2016</v>
      </c>
      <c r="C3789" t="s">
        <v>45</v>
      </c>
      <c r="D3789" t="s">
        <v>10</v>
      </c>
      <c r="E3789" t="e">
        <f>VLOOKUP(Cpi_[[#This Row],[Attribute]],#REF!,2,FALSE)</f>
        <v>#REF!</v>
      </c>
      <c r="F3789">
        <v>171.7</v>
      </c>
      <c r="G3789">
        <f>(Cpi_[[#This Row],[Value]]-F3788)/F3788</f>
        <v>0.21000704721634941</v>
      </c>
      <c r="H3789" t="e" cm="1" vm="1">
        <f t="array" aca="1" ref="H3789" ca="1">VLOOKUP(Cpi_[[#This Row],[Year]:[Month]],crudeoil[],3,FALSE)</f>
        <v>#VALUE!</v>
      </c>
    </row>
    <row r="3790" spans="1:8" hidden="1" x14ac:dyDescent="0.3">
      <c r="A3790" t="s">
        <v>34</v>
      </c>
      <c r="B3790">
        <v>2016</v>
      </c>
      <c r="C3790" t="s">
        <v>45</v>
      </c>
      <c r="D3790" t="s">
        <v>11</v>
      </c>
      <c r="E3790" t="e">
        <f>VLOOKUP(Cpi_[[#This Row],[Attribute]],#REF!,2,FALSE)</f>
        <v>#REF!</v>
      </c>
      <c r="F3790">
        <v>114.1</v>
      </c>
      <c r="G3790">
        <f>(Cpi_[[#This Row],[Value]]-F3789)/F3789</f>
        <v>-0.33546884100174723</v>
      </c>
      <c r="H3790" t="e" cm="1" vm="1">
        <f t="array" aca="1" ref="H3790" ca="1">VLOOKUP(Cpi_[[#This Row],[Year]:[Month]],crudeoil[],3,FALSE)</f>
        <v>#VALUE!</v>
      </c>
    </row>
    <row r="3791" spans="1:8" hidden="1" x14ac:dyDescent="0.3">
      <c r="A3791" t="s">
        <v>34</v>
      </c>
      <c r="B3791">
        <v>2016</v>
      </c>
      <c r="C3791" t="s">
        <v>45</v>
      </c>
      <c r="D3791" t="s">
        <v>12</v>
      </c>
      <c r="E3791" t="e">
        <f>VLOOKUP(Cpi_[[#This Row],[Attribute]],#REF!,2,FALSE)</f>
        <v>#REF!</v>
      </c>
      <c r="F3791">
        <v>139.69999999999999</v>
      </c>
      <c r="G3791">
        <f>(Cpi_[[#This Row],[Value]]-F3790)/F3790</f>
        <v>0.22436459246275192</v>
      </c>
      <c r="H3791" t="e" cm="1" vm="1">
        <f t="array" aca="1" ref="H3791" ca="1">VLOOKUP(Cpi_[[#This Row],[Year]:[Month]],crudeoil[],3,FALSE)</f>
        <v>#VALUE!</v>
      </c>
    </row>
    <row r="3792" spans="1:8" hidden="1" x14ac:dyDescent="0.3">
      <c r="A3792" t="s">
        <v>34</v>
      </c>
      <c r="B3792">
        <v>2016</v>
      </c>
      <c r="C3792" t="s">
        <v>45</v>
      </c>
      <c r="D3792" t="s">
        <v>13</v>
      </c>
      <c r="E3792" t="e">
        <f>VLOOKUP(Cpi_[[#This Row],[Attribute]],#REF!,2,FALSE)</f>
        <v>#REF!</v>
      </c>
      <c r="F3792">
        <v>126.2</v>
      </c>
      <c r="G3792">
        <f>(Cpi_[[#This Row],[Value]]-F3791)/F3791</f>
        <v>-9.6635647816750089E-2</v>
      </c>
      <c r="H3792" t="e" cm="1" vm="1">
        <f t="array" aca="1" ref="H3792" ca="1">VLOOKUP(Cpi_[[#This Row],[Year]:[Month]],crudeoil[],3,FALSE)</f>
        <v>#VALUE!</v>
      </c>
    </row>
    <row r="3793" spans="1:8" hidden="1" x14ac:dyDescent="0.3">
      <c r="A3793" t="s">
        <v>34</v>
      </c>
      <c r="B3793">
        <v>2016</v>
      </c>
      <c r="C3793" t="s">
        <v>45</v>
      </c>
      <c r="D3793" t="s">
        <v>14</v>
      </c>
      <c r="E3793" t="e">
        <f>VLOOKUP(Cpi_[[#This Row],[Attribute]],#REF!,2,FALSE)</f>
        <v>#REF!</v>
      </c>
      <c r="F3793">
        <v>141.80000000000001</v>
      </c>
      <c r="G3793">
        <f>(Cpi_[[#This Row],[Value]]-F3792)/F3792</f>
        <v>0.12361331220285268</v>
      </c>
      <c r="H3793" t="e" cm="1" vm="1">
        <f t="array" aca="1" ref="H3793" ca="1">VLOOKUP(Cpi_[[#This Row],[Year]:[Month]],crudeoil[],3,FALSE)</f>
        <v>#VALUE!</v>
      </c>
    </row>
    <row r="3794" spans="1:8" hidden="1" x14ac:dyDescent="0.3">
      <c r="A3794" t="s">
        <v>34</v>
      </c>
      <c r="B3794">
        <v>2016</v>
      </c>
      <c r="C3794" t="s">
        <v>45</v>
      </c>
      <c r="D3794" t="s">
        <v>15</v>
      </c>
      <c r="E3794" t="e">
        <f>VLOOKUP(Cpi_[[#This Row],[Attribute]],#REF!,2,FALSE)</f>
        <v>#REF!</v>
      </c>
      <c r="F3794">
        <v>136.1</v>
      </c>
      <c r="G3794">
        <f>(Cpi_[[#This Row],[Value]]-F3793)/F3793</f>
        <v>-4.019746121297614E-2</v>
      </c>
      <c r="H3794" t="e" cm="1" vm="1">
        <f t="array" aca="1" ref="H3794" ca="1">VLOOKUP(Cpi_[[#This Row],[Year]:[Month]],crudeoil[],3,FALSE)</f>
        <v>#VALUE!</v>
      </c>
    </row>
    <row r="3795" spans="1:8" hidden="1" x14ac:dyDescent="0.3">
      <c r="A3795" t="s">
        <v>34</v>
      </c>
      <c r="B3795">
        <v>2016</v>
      </c>
      <c r="C3795" t="s">
        <v>45</v>
      </c>
      <c r="D3795" t="s">
        <v>16</v>
      </c>
      <c r="E3795" t="e">
        <f>VLOOKUP(Cpi_[[#This Row],[Attribute]],#REF!,2,FALSE)</f>
        <v>#REF!</v>
      </c>
      <c r="F3795">
        <v>142</v>
      </c>
      <c r="G3795">
        <f>(Cpi_[[#This Row],[Value]]-F3794)/F3794</f>
        <v>4.3350477590007389E-2</v>
      </c>
      <c r="H3795" t="e" cm="1" vm="1">
        <f t="array" aca="1" ref="H3795" ca="1">VLOOKUP(Cpi_[[#This Row],[Year]:[Month]],crudeoil[],3,FALSE)</f>
        <v>#VALUE!</v>
      </c>
    </row>
    <row r="3796" spans="1:8" hidden="1" x14ac:dyDescent="0.3">
      <c r="A3796" t="s">
        <v>34</v>
      </c>
      <c r="B3796">
        <v>2016</v>
      </c>
      <c r="C3796" t="s">
        <v>45</v>
      </c>
      <c r="D3796" t="s">
        <v>17</v>
      </c>
      <c r="E3796" t="e">
        <f>VLOOKUP(Cpi_[[#This Row],[Attribute]],#REF!,2,FALSE)</f>
        <v>#REF!</v>
      </c>
      <c r="F3796">
        <v>135.80000000000001</v>
      </c>
      <c r="G3796">
        <f>(Cpi_[[#This Row],[Value]]-F3795)/F3795</f>
        <v>-4.3661971830985837E-2</v>
      </c>
      <c r="H3796" t="e" cm="1" vm="1">
        <f t="array" aca="1" ref="H3796" ca="1">VLOOKUP(Cpi_[[#This Row],[Year]:[Month]],crudeoil[],3,FALSE)</f>
        <v>#VALUE!</v>
      </c>
    </row>
    <row r="3797" spans="1:8" hidden="1" x14ac:dyDescent="0.3">
      <c r="A3797" t="s">
        <v>34</v>
      </c>
      <c r="B3797">
        <v>2016</v>
      </c>
      <c r="C3797" t="s">
        <v>45</v>
      </c>
      <c r="D3797" t="s">
        <v>18</v>
      </c>
      <c r="E3797" t="e">
        <f>VLOOKUP(Cpi_[[#This Row],[Attribute]],#REF!,2,FALSE)</f>
        <v>#REF!</v>
      </c>
      <c r="F3797">
        <v>129.30000000000001</v>
      </c>
      <c r="G3797">
        <f>(Cpi_[[#This Row],[Value]]-F3796)/F3796</f>
        <v>-4.7864506627393222E-2</v>
      </c>
      <c r="H3797" t="e" cm="1" vm="1">
        <f t="array" aca="1" ref="H3797" ca="1">VLOOKUP(Cpi_[[#This Row],[Year]:[Month]],crudeoil[],3,FALSE)</f>
        <v>#VALUE!</v>
      </c>
    </row>
    <row r="3798" spans="1:8" hidden="1" x14ac:dyDescent="0.3">
      <c r="A3798" t="s">
        <v>34</v>
      </c>
      <c r="B3798">
        <v>2016</v>
      </c>
      <c r="C3798" t="s">
        <v>45</v>
      </c>
      <c r="D3798" t="s">
        <v>19</v>
      </c>
      <c r="E3798" t="e">
        <f>VLOOKUP(Cpi_[[#This Row],[Attribute]],#REF!,2,FALSE)</f>
        <v>#REF!</v>
      </c>
      <c r="F3798">
        <v>135</v>
      </c>
      <c r="G3798">
        <f>(Cpi_[[#This Row],[Value]]-F3797)/F3797</f>
        <v>4.4083526682134479E-2</v>
      </c>
      <c r="H3798" t="e" cm="1" vm="1">
        <f t="array" aca="1" ref="H3798" ca="1">VLOOKUP(Cpi_[[#This Row],[Year]:[Month]],crudeoil[],3,FALSE)</f>
        <v>#VALUE!</v>
      </c>
    </row>
    <row r="3799" spans="1:8" hidden="1" x14ac:dyDescent="0.3">
      <c r="A3799" t="s">
        <v>34</v>
      </c>
      <c r="B3799">
        <v>2016</v>
      </c>
      <c r="C3799" t="s">
        <v>45</v>
      </c>
      <c r="D3799" t="s">
        <v>20</v>
      </c>
      <c r="E3799" t="e">
        <f>VLOOKUP(Cpi_[[#This Row],[Attribute]],#REF!,2,FALSE)</f>
        <v>#REF!</v>
      </c>
      <c r="F3799">
        <v>129.1</v>
      </c>
      <c r="G3799">
        <f>(Cpi_[[#This Row],[Value]]-F3798)/F3798</f>
        <v>-4.3703703703703745E-2</v>
      </c>
      <c r="H3799" t="e" cm="1" vm="1">
        <f t="array" aca="1" ref="H3799" ca="1">VLOOKUP(Cpi_[[#This Row],[Year]:[Month]],crudeoil[],3,FALSE)</f>
        <v>#VALUE!</v>
      </c>
    </row>
    <row r="3800" spans="1:8" hidden="1" x14ac:dyDescent="0.3">
      <c r="A3800" t="s">
        <v>34</v>
      </c>
      <c r="B3800">
        <v>2016</v>
      </c>
      <c r="C3800" t="s">
        <v>45</v>
      </c>
      <c r="D3800" t="s">
        <v>21</v>
      </c>
      <c r="E3800" t="e">
        <f>VLOOKUP(Cpi_[[#This Row],[Attribute]],#REF!,2,FALSE)</f>
        <v>#REF!</v>
      </c>
      <c r="F3800">
        <v>125</v>
      </c>
      <c r="G3800">
        <f>(Cpi_[[#This Row],[Value]]-F3799)/F3799</f>
        <v>-3.1758326878388803E-2</v>
      </c>
      <c r="H3800" t="e" cm="1" vm="1">
        <f t="array" aca="1" ref="H3800" ca="1">VLOOKUP(Cpi_[[#This Row],[Year]:[Month]],crudeoil[],3,FALSE)</f>
        <v>#VALUE!</v>
      </c>
    </row>
    <row r="3801" spans="1:8" hidden="1" x14ac:dyDescent="0.3">
      <c r="A3801" t="s">
        <v>34</v>
      </c>
      <c r="B3801">
        <v>2016</v>
      </c>
      <c r="C3801" t="s">
        <v>45</v>
      </c>
      <c r="D3801" t="s">
        <v>22</v>
      </c>
      <c r="E3801" t="e">
        <f>VLOOKUP(Cpi_[[#This Row],[Attribute]],#REF!,2,FALSE)</f>
        <v>#REF!</v>
      </c>
      <c r="F3801">
        <v>128.6</v>
      </c>
      <c r="G3801">
        <f>(Cpi_[[#This Row],[Value]]-F3800)/F3800</f>
        <v>2.8799999999999954E-2</v>
      </c>
      <c r="H3801" t="e" cm="1" vm="1">
        <f t="array" aca="1" ref="H3801" ca="1">VLOOKUP(Cpi_[[#This Row],[Year]:[Month]],crudeoil[],3,FALSE)</f>
        <v>#VALUE!</v>
      </c>
    </row>
    <row r="3802" spans="1:8" hidden="1" x14ac:dyDescent="0.3">
      <c r="A3802" t="s">
        <v>34</v>
      </c>
      <c r="B3802">
        <v>2016</v>
      </c>
      <c r="C3802" t="s">
        <v>45</v>
      </c>
      <c r="D3802" t="s">
        <v>23</v>
      </c>
      <c r="E3802" t="e">
        <f>VLOOKUP(Cpi_[[#This Row],[Attribute]],#REF!,2,FALSE)</f>
        <v>#REF!</v>
      </c>
      <c r="F3802">
        <v>126.4</v>
      </c>
      <c r="G3802">
        <f>(Cpi_[[#This Row],[Value]]-F3801)/F3801</f>
        <v>-1.7107309486780627E-2</v>
      </c>
      <c r="H3802" t="e" cm="1" vm="1">
        <f t="array" aca="1" ref="H3802" ca="1">VLOOKUP(Cpi_[[#This Row],[Year]:[Month]],crudeoil[],3,FALSE)</f>
        <v>#VALUE!</v>
      </c>
    </row>
    <row r="3803" spans="1:8" hidden="1" x14ac:dyDescent="0.3">
      <c r="A3803" t="s">
        <v>34</v>
      </c>
      <c r="B3803">
        <v>2016</v>
      </c>
      <c r="C3803" t="s">
        <v>45</v>
      </c>
      <c r="D3803" t="s">
        <v>24</v>
      </c>
      <c r="E3803" t="e">
        <f>VLOOKUP(Cpi_[[#This Row],[Attribute]],#REF!,2,FALSE)</f>
        <v>#REF!</v>
      </c>
      <c r="F3803">
        <v>115.7</v>
      </c>
      <c r="G3803">
        <f>(Cpi_[[#This Row],[Value]]-F3802)/F3802</f>
        <v>-8.4651898734177236E-2</v>
      </c>
      <c r="H3803" t="e" cm="1" vm="1">
        <f t="array" aca="1" ref="H3803" ca="1">VLOOKUP(Cpi_[[#This Row],[Year]:[Month]],crudeoil[],3,FALSE)</f>
        <v>#VALUE!</v>
      </c>
    </row>
    <row r="3804" spans="1:8" hidden="1" x14ac:dyDescent="0.3">
      <c r="A3804" t="s">
        <v>34</v>
      </c>
      <c r="B3804">
        <v>2016</v>
      </c>
      <c r="C3804" t="s">
        <v>45</v>
      </c>
      <c r="D3804" t="s">
        <v>25</v>
      </c>
      <c r="E3804" t="e">
        <f>VLOOKUP(Cpi_[[#This Row],[Attribute]],#REF!,2,FALSE)</f>
        <v>#REF!</v>
      </c>
      <c r="F3804">
        <v>124</v>
      </c>
      <c r="G3804">
        <f>(Cpi_[[#This Row],[Value]]-F3803)/F3803</f>
        <v>7.173725151253238E-2</v>
      </c>
      <c r="H3804" t="e" cm="1" vm="1">
        <f t="array" aca="1" ref="H3804" ca="1">VLOOKUP(Cpi_[[#This Row],[Year]:[Month]],crudeoil[],3,FALSE)</f>
        <v>#VALUE!</v>
      </c>
    </row>
    <row r="3805" spans="1:8" hidden="1" x14ac:dyDescent="0.3">
      <c r="A3805" t="s">
        <v>34</v>
      </c>
      <c r="B3805">
        <v>2016</v>
      </c>
      <c r="C3805" t="s">
        <v>45</v>
      </c>
      <c r="D3805" t="s">
        <v>26</v>
      </c>
      <c r="E3805" t="e">
        <f>VLOOKUP(Cpi_[[#This Row],[Attribute]],#REF!,2,FALSE)</f>
        <v>#REF!</v>
      </c>
      <c r="F3805">
        <v>132.80000000000001</v>
      </c>
      <c r="G3805">
        <f>(Cpi_[[#This Row],[Value]]-F3804)/F3804</f>
        <v>7.0967741935483969E-2</v>
      </c>
      <c r="H3805" t="e" cm="1" vm="1">
        <f t="array" aca="1" ref="H3805" ca="1">VLOOKUP(Cpi_[[#This Row],[Year]:[Month]],crudeoil[],3,FALSE)</f>
        <v>#VALUE!</v>
      </c>
    </row>
    <row r="3806" spans="1:8" hidden="1" x14ac:dyDescent="0.3">
      <c r="A3806" t="s">
        <v>34</v>
      </c>
      <c r="B3806">
        <v>2016</v>
      </c>
      <c r="C3806" t="s">
        <v>45</v>
      </c>
      <c r="D3806" t="s">
        <v>27</v>
      </c>
      <c r="E3806" t="e">
        <f>VLOOKUP(Cpi_[[#This Row],[Attribute]],#REF!,2,FALSE)</f>
        <v>#REF!</v>
      </c>
      <c r="F3806">
        <v>122.6</v>
      </c>
      <c r="G3806">
        <f>(Cpi_[[#This Row],[Value]]-F3805)/F3805</f>
        <v>-7.6807228915662773E-2</v>
      </c>
      <c r="H3806" t="e" cm="1" vm="1">
        <f t="array" aca="1" ref="H3806" ca="1">VLOOKUP(Cpi_[[#This Row],[Year]:[Month]],crudeoil[],3,FALSE)</f>
        <v>#VALUE!</v>
      </c>
    </row>
    <row r="3807" spans="1:8" hidden="1" x14ac:dyDescent="0.3">
      <c r="A3807" t="s">
        <v>34</v>
      </c>
      <c r="B3807">
        <v>2016</v>
      </c>
      <c r="C3807" t="s">
        <v>45</v>
      </c>
      <c r="D3807" t="s">
        <v>28</v>
      </c>
      <c r="E3807" t="e">
        <f>VLOOKUP(Cpi_[[#This Row],[Attribute]],#REF!,2,FALSE)</f>
        <v>#REF!</v>
      </c>
      <c r="F3807">
        <v>123.8</v>
      </c>
      <c r="G3807">
        <f>(Cpi_[[#This Row],[Value]]-F3806)/F3806</f>
        <v>9.7879282218597298E-3</v>
      </c>
      <c r="H3807" t="e" cm="1" vm="1">
        <f t="array" aca="1" ref="H3807" ca="1">VLOOKUP(Cpi_[[#This Row],[Year]:[Month]],crudeoil[],3,FALSE)</f>
        <v>#VALUE!</v>
      </c>
    </row>
    <row r="3808" spans="1:8" hidden="1" x14ac:dyDescent="0.3">
      <c r="A3808" t="s">
        <v>34</v>
      </c>
      <c r="B3808">
        <v>2016</v>
      </c>
      <c r="C3808" t="s">
        <v>45</v>
      </c>
      <c r="D3808" t="s">
        <v>29</v>
      </c>
      <c r="E3808" t="e" cm="1">
        <f t="array" aca="1" ref="E3808" ca="1">VLGeneral indexGeneral indexKUP(Cpi_[[#This Row],[Attribute]],#REF!,2,FALSE)</f>
        <v>#NAME?</v>
      </c>
      <c r="F3808">
        <v>131.19999999999999</v>
      </c>
      <c r="G3808">
        <f>(Cpi_[[#This Row],[Value]]-F3807)/F3807</f>
        <v>5.9773828756058092E-2</v>
      </c>
      <c r="H3808" t="e" cm="1" vm="1">
        <f t="array" aca="1" ref="H3808" ca="1">VLOOKUP(Cpi_[[#This Row],[Year]:[Month]],crudeoil[],3,FALSE)</f>
        <v>#VALUE!</v>
      </c>
    </row>
    <row r="3809" spans="1:8" hidden="1" x14ac:dyDescent="0.3">
      <c r="A3809" t="s">
        <v>30</v>
      </c>
      <c r="B3809">
        <v>2016</v>
      </c>
      <c r="C3809" t="s">
        <v>46</v>
      </c>
      <c r="D3809" t="s">
        <v>3</v>
      </c>
      <c r="E3809" t="e">
        <f>VLOOKUP(Cpi_[[#This Row],[Attribute]],#REF!,2,FALSE)</f>
        <v>#REF!</v>
      </c>
      <c r="F3809">
        <v>132.6</v>
      </c>
      <c r="G3809">
        <f>(Cpi_[[#This Row],[Value]]-F3808)/F3808</f>
        <v>1.0670731707317117E-2</v>
      </c>
      <c r="H3809" t="e" cm="1" vm="1">
        <f t="array" aca="1" ref="H3809" ca="1">VLOOKUP(Cpi_[[#This Row],[Year]:[Month]],crudeoil[],3,FALSE)</f>
        <v>#VALUE!</v>
      </c>
    </row>
    <row r="3810" spans="1:8" hidden="1" x14ac:dyDescent="0.3">
      <c r="A3810" t="s">
        <v>30</v>
      </c>
      <c r="B3810">
        <v>2016</v>
      </c>
      <c r="C3810" t="s">
        <v>46</v>
      </c>
      <c r="D3810" t="s">
        <v>4</v>
      </c>
      <c r="E3810" t="e">
        <f>VLOOKUP(Cpi_[[#This Row],[Attribute]],#REF!,2,FALSE)</f>
        <v>#REF!</v>
      </c>
      <c r="F3810">
        <v>137.30000000000001</v>
      </c>
      <c r="G3810">
        <f>(Cpi_[[#This Row],[Value]]-F3809)/F3809</f>
        <v>3.5444947209653223E-2</v>
      </c>
      <c r="H3810" t="e" cm="1" vm="1">
        <f t="array" aca="1" ref="H3810" ca="1">VLOOKUP(Cpi_[[#This Row],[Year]:[Month]],crudeoil[],3,FALSE)</f>
        <v>#VALUE!</v>
      </c>
    </row>
    <row r="3811" spans="1:8" hidden="1" x14ac:dyDescent="0.3">
      <c r="A3811" t="s">
        <v>30</v>
      </c>
      <c r="B3811">
        <v>2016</v>
      </c>
      <c r="C3811" t="s">
        <v>46</v>
      </c>
      <c r="D3811" t="s">
        <v>5</v>
      </c>
      <c r="E3811" t="e">
        <f>VLOOKUP(Cpi_[[#This Row],[Attribute]],#REF!,2,FALSE)</f>
        <v>#REF!</v>
      </c>
      <c r="F3811">
        <v>131.6</v>
      </c>
      <c r="G3811">
        <f>(Cpi_[[#This Row],[Value]]-F3810)/F3810</f>
        <v>-4.1514930808448772E-2</v>
      </c>
      <c r="H3811" t="e" cm="1" vm="1">
        <f t="array" aca="1" ref="H3811" ca="1">VLOOKUP(Cpi_[[#This Row],[Year]:[Month]],crudeoil[],3,FALSE)</f>
        <v>#VALUE!</v>
      </c>
    </row>
    <row r="3812" spans="1:8" hidden="1" x14ac:dyDescent="0.3">
      <c r="A3812" t="s">
        <v>30</v>
      </c>
      <c r="B3812">
        <v>2016</v>
      </c>
      <c r="C3812" t="s">
        <v>46</v>
      </c>
      <c r="D3812" t="s">
        <v>6</v>
      </c>
      <c r="E3812" t="e">
        <f>VLOOKUP(Cpi_[[#This Row],[Attribute]],#REF!,2,FALSE)</f>
        <v>#REF!</v>
      </c>
      <c r="F3812">
        <v>136.30000000000001</v>
      </c>
      <c r="G3812">
        <f>(Cpi_[[#This Row],[Value]]-F3811)/F3811</f>
        <v>3.5714285714285844E-2</v>
      </c>
      <c r="H3812" t="e" cm="1" vm="1">
        <f t="array" aca="1" ref="H3812" ca="1">VLOOKUP(Cpi_[[#This Row],[Year]:[Month]],crudeoil[],3,FALSE)</f>
        <v>#VALUE!</v>
      </c>
    </row>
    <row r="3813" spans="1:8" hidden="1" x14ac:dyDescent="0.3">
      <c r="A3813" t="s">
        <v>30</v>
      </c>
      <c r="B3813">
        <v>2016</v>
      </c>
      <c r="C3813" t="s">
        <v>46</v>
      </c>
      <c r="D3813" t="s">
        <v>7</v>
      </c>
      <c r="E3813" t="e">
        <f>VLOOKUP(Cpi_[[#This Row],[Attribute]],#REF!,2,FALSE)</f>
        <v>#REF!</v>
      </c>
      <c r="F3813">
        <v>121.6</v>
      </c>
      <c r="G3813">
        <f>(Cpi_[[#This Row],[Value]]-F3812)/F3812</f>
        <v>-0.10785033015407201</v>
      </c>
      <c r="H3813" t="e" cm="1" vm="1">
        <f t="array" aca="1" ref="H3813" ca="1">VLOOKUP(Cpi_[[#This Row],[Year]:[Month]],crudeoil[],3,FALSE)</f>
        <v>#VALUE!</v>
      </c>
    </row>
    <row r="3814" spans="1:8" hidden="1" x14ac:dyDescent="0.3">
      <c r="A3814" t="s">
        <v>30</v>
      </c>
      <c r="B3814">
        <v>2016</v>
      </c>
      <c r="C3814" t="s">
        <v>46</v>
      </c>
      <c r="D3814" t="s">
        <v>8</v>
      </c>
      <c r="E3814" t="e">
        <f>VLOOKUP(Cpi_[[#This Row],[Attribute]],#REF!,2,FALSE)</f>
        <v>#REF!</v>
      </c>
      <c r="F3814">
        <v>135.6</v>
      </c>
      <c r="G3814">
        <f>(Cpi_[[#This Row],[Value]]-F3813)/F3813</f>
        <v>0.11513157894736843</v>
      </c>
      <c r="H3814" t="e" cm="1" vm="1">
        <f t="array" aca="1" ref="H3814" ca="1">VLOOKUP(Cpi_[[#This Row],[Year]:[Month]],crudeoil[],3,FALSE)</f>
        <v>#VALUE!</v>
      </c>
    </row>
    <row r="3815" spans="1:8" hidden="1" x14ac:dyDescent="0.3">
      <c r="A3815" t="s">
        <v>30</v>
      </c>
      <c r="B3815">
        <v>2016</v>
      </c>
      <c r="C3815" t="s">
        <v>46</v>
      </c>
      <c r="D3815" t="s">
        <v>9</v>
      </c>
      <c r="E3815" t="e">
        <f>VLOOKUP(Cpi_[[#This Row],[Attribute]],#REF!,2,FALSE)</f>
        <v>#REF!</v>
      </c>
      <c r="F3815">
        <v>127.5</v>
      </c>
      <c r="G3815">
        <f>(Cpi_[[#This Row],[Value]]-F3814)/F3814</f>
        <v>-5.9734513274336244E-2</v>
      </c>
      <c r="H3815" t="e" cm="1" vm="1">
        <f t="array" aca="1" ref="H3815" ca="1">VLOOKUP(Cpi_[[#This Row],[Year]:[Month]],crudeoil[],3,FALSE)</f>
        <v>#VALUE!</v>
      </c>
    </row>
    <row r="3816" spans="1:8" hidden="1" x14ac:dyDescent="0.3">
      <c r="A3816" t="s">
        <v>30</v>
      </c>
      <c r="B3816">
        <v>2016</v>
      </c>
      <c r="C3816" t="s">
        <v>46</v>
      </c>
      <c r="D3816" t="s">
        <v>10</v>
      </c>
      <c r="E3816" t="e">
        <f>VLOOKUP(Cpi_[[#This Row],[Attribute]],#REF!,2,FALSE)</f>
        <v>#REF!</v>
      </c>
      <c r="F3816">
        <v>167.9</v>
      </c>
      <c r="G3816">
        <f>(Cpi_[[#This Row],[Value]]-F3815)/F3815</f>
        <v>0.31686274509803924</v>
      </c>
      <c r="H3816" t="e" cm="1" vm="1">
        <f t="array" aca="1" ref="H3816" ca="1">VLOOKUP(Cpi_[[#This Row],[Year]:[Month]],crudeoil[],3,FALSE)</f>
        <v>#VALUE!</v>
      </c>
    </row>
    <row r="3817" spans="1:8" hidden="1" x14ac:dyDescent="0.3">
      <c r="A3817" t="s">
        <v>30</v>
      </c>
      <c r="B3817">
        <v>2016</v>
      </c>
      <c r="C3817" t="s">
        <v>46</v>
      </c>
      <c r="D3817" t="s">
        <v>11</v>
      </c>
      <c r="E3817" t="e">
        <f>VLOOKUP(Cpi_[[#This Row],[Attribute]],#REF!,2,FALSE)</f>
        <v>#REF!</v>
      </c>
      <c r="F3817">
        <v>113.8</v>
      </c>
      <c r="G3817">
        <f>(Cpi_[[#This Row],[Value]]-F3816)/F3816</f>
        <v>-0.32221560452650388</v>
      </c>
      <c r="H3817" t="e" cm="1" vm="1">
        <f t="array" aca="1" ref="H3817" ca="1">VLOOKUP(Cpi_[[#This Row],[Year]:[Month]],crudeoil[],3,FALSE)</f>
        <v>#VALUE!</v>
      </c>
    </row>
    <row r="3818" spans="1:8" hidden="1" x14ac:dyDescent="0.3">
      <c r="A3818" t="s">
        <v>30</v>
      </c>
      <c r="B3818">
        <v>2016</v>
      </c>
      <c r="C3818" t="s">
        <v>46</v>
      </c>
      <c r="D3818" t="s">
        <v>12</v>
      </c>
      <c r="E3818" t="e">
        <f>VLOOKUP(Cpi_[[#This Row],[Attribute]],#REF!,2,FALSE)</f>
        <v>#REF!</v>
      </c>
      <c r="F3818">
        <v>137.5</v>
      </c>
      <c r="G3818">
        <f>(Cpi_[[#This Row],[Value]]-F3817)/F3817</f>
        <v>0.20826010544815468</v>
      </c>
      <c r="H3818" t="e" cm="1" vm="1">
        <f t="array" aca="1" ref="H3818" ca="1">VLOOKUP(Cpi_[[#This Row],[Year]:[Month]],crudeoil[],3,FALSE)</f>
        <v>#VALUE!</v>
      </c>
    </row>
    <row r="3819" spans="1:8" hidden="1" x14ac:dyDescent="0.3">
      <c r="A3819" t="s">
        <v>30</v>
      </c>
      <c r="B3819">
        <v>2016</v>
      </c>
      <c r="C3819" t="s">
        <v>46</v>
      </c>
      <c r="D3819" t="s">
        <v>13</v>
      </c>
      <c r="E3819" t="e">
        <f>VLOOKUP(Cpi_[[#This Row],[Attribute]],#REF!,2,FALSE)</f>
        <v>#REF!</v>
      </c>
      <c r="F3819">
        <v>129.1</v>
      </c>
      <c r="G3819">
        <f>(Cpi_[[#This Row],[Value]]-F3818)/F3818</f>
        <v>-6.1090909090909133E-2</v>
      </c>
      <c r="H3819" t="e" cm="1" vm="1">
        <f t="array" aca="1" ref="H3819" ca="1">VLOOKUP(Cpi_[[#This Row],[Year]:[Month]],crudeoil[],3,FALSE)</f>
        <v>#VALUE!</v>
      </c>
    </row>
    <row r="3820" spans="1:8" hidden="1" x14ac:dyDescent="0.3">
      <c r="A3820" t="s">
        <v>30</v>
      </c>
      <c r="B3820">
        <v>2016</v>
      </c>
      <c r="C3820" t="s">
        <v>46</v>
      </c>
      <c r="D3820" t="s">
        <v>14</v>
      </c>
      <c r="E3820" t="e">
        <f>VLOOKUP(Cpi_[[#This Row],[Attribute]],#REF!,2,FALSE)</f>
        <v>#REF!</v>
      </c>
      <c r="F3820">
        <v>143.6</v>
      </c>
      <c r="G3820">
        <f>(Cpi_[[#This Row],[Value]]-F3819)/F3819</f>
        <v>0.1123160340821069</v>
      </c>
      <c r="H3820" t="e" cm="1" vm="1">
        <f t="array" aca="1" ref="H3820" ca="1">VLOOKUP(Cpi_[[#This Row],[Year]:[Month]],crudeoil[],3,FALSE)</f>
        <v>#VALUE!</v>
      </c>
    </row>
    <row r="3821" spans="1:8" hidden="1" x14ac:dyDescent="0.3">
      <c r="A3821" t="s">
        <v>30</v>
      </c>
      <c r="B3821">
        <v>2016</v>
      </c>
      <c r="C3821" t="s">
        <v>46</v>
      </c>
      <c r="D3821" t="s">
        <v>15</v>
      </c>
      <c r="E3821" t="e">
        <f>VLOOKUP(Cpi_[[#This Row],[Attribute]],#REF!,2,FALSE)</f>
        <v>#REF!</v>
      </c>
      <c r="F3821">
        <v>134.69999999999999</v>
      </c>
      <c r="G3821">
        <f>(Cpi_[[#This Row],[Value]]-F3820)/F3820</f>
        <v>-6.1977715877437368E-2</v>
      </c>
      <c r="H3821" t="e" cm="1" vm="1">
        <f t="array" aca="1" ref="H3821" ca="1">VLOOKUP(Cpi_[[#This Row],[Year]:[Month]],crudeoil[],3,FALSE)</f>
        <v>#VALUE!</v>
      </c>
    </row>
    <row r="3822" spans="1:8" hidden="1" x14ac:dyDescent="0.3">
      <c r="A3822" t="s">
        <v>30</v>
      </c>
      <c r="B3822">
        <v>2016</v>
      </c>
      <c r="C3822" t="s">
        <v>46</v>
      </c>
      <c r="D3822" t="s">
        <v>16</v>
      </c>
      <c r="E3822" t="e">
        <f>VLOOKUP(Cpi_[[#This Row],[Attribute]],#REF!,2,FALSE)</f>
        <v>#REF!</v>
      </c>
      <c r="F3822">
        <v>142.4</v>
      </c>
      <c r="G3822">
        <f>(Cpi_[[#This Row],[Value]]-F3821)/F3821</f>
        <v>5.7164068299925895E-2</v>
      </c>
      <c r="H3822" t="e" cm="1" vm="1">
        <f t="array" aca="1" ref="H3822" ca="1">VLOOKUP(Cpi_[[#This Row],[Year]:[Month]],crudeoil[],3,FALSE)</f>
        <v>#VALUE!</v>
      </c>
    </row>
    <row r="3823" spans="1:8" hidden="1" x14ac:dyDescent="0.3">
      <c r="A3823" t="s">
        <v>30</v>
      </c>
      <c r="B3823">
        <v>2016</v>
      </c>
      <c r="C3823" t="s">
        <v>46</v>
      </c>
      <c r="D3823" t="s">
        <v>17</v>
      </c>
      <c r="E3823" t="e">
        <f>VLOOKUP(Cpi_[[#This Row],[Attribute]],#REF!,2,FALSE)</f>
        <v>#REF!</v>
      </c>
      <c r="F3823">
        <v>140.4</v>
      </c>
      <c r="G3823">
        <f>(Cpi_[[#This Row],[Value]]-F3822)/F3822</f>
        <v>-1.4044943820224719E-2</v>
      </c>
      <c r="H3823" t="e" cm="1" vm="1">
        <f t="array" aca="1" ref="H3823" ca="1">VLOOKUP(Cpi_[[#This Row],[Year]:[Month]],crudeoil[],3,FALSE)</f>
        <v>#VALUE!</v>
      </c>
    </row>
    <row r="3824" spans="1:8" hidden="1" x14ac:dyDescent="0.3">
      <c r="A3824" t="s">
        <v>30</v>
      </c>
      <c r="B3824">
        <v>2016</v>
      </c>
      <c r="C3824" t="s">
        <v>46</v>
      </c>
      <c r="D3824" t="s">
        <v>18</v>
      </c>
      <c r="E3824" t="e">
        <f>VLOOKUP(Cpi_[[#This Row],[Attribute]],#REF!,2,FALSE)</f>
        <v>#REF!</v>
      </c>
      <c r="F3824">
        <v>135.19999999999999</v>
      </c>
      <c r="G3824">
        <f>(Cpi_[[#This Row],[Value]]-F3823)/F3823</f>
        <v>-3.703703703703716E-2</v>
      </c>
      <c r="H3824" t="e" cm="1" vm="1">
        <f t="array" aca="1" ref="H3824" ca="1">VLOOKUP(Cpi_[[#This Row],[Year]:[Month]],crudeoil[],3,FALSE)</f>
        <v>#VALUE!</v>
      </c>
    </row>
    <row r="3825" spans="1:8" hidden="1" x14ac:dyDescent="0.3">
      <c r="A3825" t="s">
        <v>30</v>
      </c>
      <c r="B3825">
        <v>2016</v>
      </c>
      <c r="C3825" t="s">
        <v>46</v>
      </c>
      <c r="D3825" t="s">
        <v>19</v>
      </c>
      <c r="E3825" t="e">
        <f>VLOOKUP(Cpi_[[#This Row],[Attribute]],#REF!,2,FALSE)</f>
        <v>#REF!</v>
      </c>
      <c r="F3825">
        <v>139.69999999999999</v>
      </c>
      <c r="G3825">
        <f>(Cpi_[[#This Row],[Value]]-F3824)/F3824</f>
        <v>3.3284023668639057E-2</v>
      </c>
      <c r="H3825" t="e" cm="1" vm="1">
        <f t="array" aca="1" ref="H3825" ca="1">VLOOKUP(Cpi_[[#This Row],[Year]:[Month]],crudeoil[],3,FALSE)</f>
        <v>#VALUE!</v>
      </c>
    </row>
    <row r="3826" spans="1:8" hidden="1" x14ac:dyDescent="0.3">
      <c r="A3826" t="s">
        <v>30</v>
      </c>
      <c r="B3826">
        <v>2016</v>
      </c>
      <c r="C3826" t="s">
        <v>46</v>
      </c>
      <c r="D3826" t="s">
        <v>20</v>
      </c>
      <c r="E3826" t="e">
        <f>VLOOKUP(Cpi_[[#This Row],[Attribute]],#REF!,2,FALSE)</f>
        <v>#REF!</v>
      </c>
      <c r="F3826" t="s">
        <v>32</v>
      </c>
      <c r="G3826" t="e">
        <f>(Cpi_[[#This Row],[Value]]-F3825)/F3825</f>
        <v>#VALUE!</v>
      </c>
      <c r="H3826" t="e" cm="1" vm="1">
        <f t="array" aca="1" ref="H3826" ca="1">VLOOKUP(Cpi_[[#This Row],[Year]:[Month]],crudeoil[],3,FALSE)</f>
        <v>#VALUE!</v>
      </c>
    </row>
    <row r="3827" spans="1:8" hidden="1" x14ac:dyDescent="0.3">
      <c r="A3827" t="s">
        <v>30</v>
      </c>
      <c r="B3827">
        <v>2016</v>
      </c>
      <c r="C3827" t="s">
        <v>46</v>
      </c>
      <c r="D3827" t="s">
        <v>21</v>
      </c>
      <c r="E3827" t="e">
        <f>VLOOKUP(Cpi_[[#This Row],[Attribute]],#REF!,2,FALSE)</f>
        <v>#REF!</v>
      </c>
      <c r="F3827">
        <v>132</v>
      </c>
      <c r="G3827" t="e">
        <f>(Cpi_[[#This Row],[Value]]-F3826)/F3826</f>
        <v>#VALUE!</v>
      </c>
      <c r="H3827" t="e" cm="1" vm="1">
        <f t="array" aca="1" ref="H3827" ca="1">VLOOKUP(Cpi_[[#This Row],[Year]:[Month]],crudeoil[],3,FALSE)</f>
        <v>#VALUE!</v>
      </c>
    </row>
    <row r="3828" spans="1:8" hidden="1" x14ac:dyDescent="0.3">
      <c r="A3828" t="s">
        <v>30</v>
      </c>
      <c r="B3828">
        <v>2016</v>
      </c>
      <c r="C3828" t="s">
        <v>46</v>
      </c>
      <c r="D3828" t="s">
        <v>22</v>
      </c>
      <c r="E3828" t="e">
        <f>VLOOKUP(Cpi_[[#This Row],[Attribute]],#REF!,2,FALSE)</f>
        <v>#REF!</v>
      </c>
      <c r="F3828">
        <v>132.9</v>
      </c>
      <c r="G3828">
        <f>(Cpi_[[#This Row],[Value]]-F3827)/F3827</f>
        <v>6.8181818181818612E-3</v>
      </c>
      <c r="H3828" t="e" cm="1" vm="1">
        <f t="array" aca="1" ref="H3828" ca="1">VLOOKUP(Cpi_[[#This Row],[Year]:[Month]],crudeoil[],3,FALSE)</f>
        <v>#VALUE!</v>
      </c>
    </row>
    <row r="3829" spans="1:8" hidden="1" x14ac:dyDescent="0.3">
      <c r="A3829" t="s">
        <v>30</v>
      </c>
      <c r="B3829">
        <v>2016</v>
      </c>
      <c r="C3829" t="s">
        <v>46</v>
      </c>
      <c r="D3829" t="s">
        <v>23</v>
      </c>
      <c r="E3829" t="e">
        <f>VLOOKUP(Cpi_[[#This Row],[Attribute]],#REF!,2,FALSE)</f>
        <v>#REF!</v>
      </c>
      <c r="F3829">
        <v>129.69999999999999</v>
      </c>
      <c r="G3829">
        <f>(Cpi_[[#This Row],[Value]]-F3828)/F3828</f>
        <v>-2.4078254326561452E-2</v>
      </c>
      <c r="H3829" t="e" cm="1" vm="1">
        <f t="array" aca="1" ref="H3829" ca="1">VLOOKUP(Cpi_[[#This Row],[Year]:[Month]],crudeoil[],3,FALSE)</f>
        <v>#VALUE!</v>
      </c>
    </row>
    <row r="3830" spans="1:8" hidden="1" x14ac:dyDescent="0.3">
      <c r="A3830" t="s">
        <v>30</v>
      </c>
      <c r="B3830">
        <v>2016</v>
      </c>
      <c r="C3830" t="s">
        <v>46</v>
      </c>
      <c r="D3830" t="s">
        <v>24</v>
      </c>
      <c r="E3830" t="e">
        <f>VLOOKUP(Cpi_[[#This Row],[Attribute]],#REF!,2,FALSE)</f>
        <v>#REF!</v>
      </c>
      <c r="F3830">
        <v>118.6</v>
      </c>
      <c r="G3830">
        <f>(Cpi_[[#This Row],[Value]]-F3829)/F3829</f>
        <v>-8.5582112567463342E-2</v>
      </c>
      <c r="H3830" t="e" cm="1" vm="1">
        <f t="array" aca="1" ref="H3830" ca="1">VLOOKUP(Cpi_[[#This Row],[Year]:[Month]],crudeoil[],3,FALSE)</f>
        <v>#VALUE!</v>
      </c>
    </row>
    <row r="3831" spans="1:8" hidden="1" x14ac:dyDescent="0.3">
      <c r="A3831" t="s">
        <v>30</v>
      </c>
      <c r="B3831">
        <v>2016</v>
      </c>
      <c r="C3831" t="s">
        <v>46</v>
      </c>
      <c r="D3831" t="s">
        <v>25</v>
      </c>
      <c r="E3831" t="e">
        <f>VLOOKUP(Cpi_[[#This Row],[Attribute]],#REF!,2,FALSE)</f>
        <v>#REF!</v>
      </c>
      <c r="F3831">
        <v>127.3</v>
      </c>
      <c r="G3831">
        <f>(Cpi_[[#This Row],[Value]]-F3830)/F3830</f>
        <v>7.3355817875210824E-2</v>
      </c>
      <c r="H3831" t="e" cm="1" vm="1">
        <f t="array" aca="1" ref="H3831" ca="1">VLOOKUP(Cpi_[[#This Row],[Year]:[Month]],crudeoil[],3,FALSE)</f>
        <v>#VALUE!</v>
      </c>
    </row>
    <row r="3832" spans="1:8" hidden="1" x14ac:dyDescent="0.3">
      <c r="A3832" t="s">
        <v>30</v>
      </c>
      <c r="B3832">
        <v>2016</v>
      </c>
      <c r="C3832" t="s">
        <v>46</v>
      </c>
      <c r="D3832" t="s">
        <v>26</v>
      </c>
      <c r="E3832" t="e">
        <f>VLOOKUP(Cpi_[[#This Row],[Attribute]],#REF!,2,FALSE)</f>
        <v>#REF!</v>
      </c>
      <c r="F3832">
        <v>134.19999999999999</v>
      </c>
      <c r="G3832">
        <f>(Cpi_[[#This Row],[Value]]-F3831)/F3831</f>
        <v>5.4202670856245028E-2</v>
      </c>
      <c r="H3832" t="e" cm="1" vm="1">
        <f t="array" aca="1" ref="H3832" ca="1">VLOOKUP(Cpi_[[#This Row],[Year]:[Month]],crudeoil[],3,FALSE)</f>
        <v>#VALUE!</v>
      </c>
    </row>
    <row r="3833" spans="1:8" hidden="1" x14ac:dyDescent="0.3">
      <c r="A3833" t="s">
        <v>30</v>
      </c>
      <c r="B3833">
        <v>2016</v>
      </c>
      <c r="C3833" t="s">
        <v>46</v>
      </c>
      <c r="D3833" t="s">
        <v>27</v>
      </c>
      <c r="E3833" t="e">
        <f>VLOOKUP(Cpi_[[#This Row],[Attribute]],#REF!,2,FALSE)</f>
        <v>#REF!</v>
      </c>
      <c r="F3833">
        <v>121.9</v>
      </c>
      <c r="G3833">
        <f>(Cpi_[[#This Row],[Value]]-F3832)/F3832</f>
        <v>-9.1654247391952187E-2</v>
      </c>
      <c r="H3833" t="e" cm="1" vm="1">
        <f t="array" aca="1" ref="H3833" ca="1">VLOOKUP(Cpi_[[#This Row],[Year]:[Month]],crudeoil[],3,FALSE)</f>
        <v>#VALUE!</v>
      </c>
    </row>
    <row r="3834" spans="1:8" hidden="1" x14ac:dyDescent="0.3">
      <c r="A3834" t="s">
        <v>30</v>
      </c>
      <c r="B3834">
        <v>2016</v>
      </c>
      <c r="C3834" t="s">
        <v>46</v>
      </c>
      <c r="D3834" t="s">
        <v>28</v>
      </c>
      <c r="E3834" t="e">
        <f>VLOOKUP(Cpi_[[#This Row],[Attribute]],#REF!,2,FALSE)</f>
        <v>#REF!</v>
      </c>
      <c r="F3834">
        <v>126.3</v>
      </c>
      <c r="G3834">
        <f>(Cpi_[[#This Row],[Value]]-F3833)/F3833</f>
        <v>3.6095159967186145E-2</v>
      </c>
      <c r="H3834" t="e" cm="1" vm="1">
        <f t="array" aca="1" ref="H3834" ca="1">VLOOKUP(Cpi_[[#This Row],[Year]:[Month]],crudeoil[],3,FALSE)</f>
        <v>#VALUE!</v>
      </c>
    </row>
    <row r="3835" spans="1:8" hidden="1" x14ac:dyDescent="0.3">
      <c r="A3835" t="s">
        <v>30</v>
      </c>
      <c r="B3835">
        <v>2016</v>
      </c>
      <c r="C3835" t="s">
        <v>46</v>
      </c>
      <c r="D3835" t="s">
        <v>29</v>
      </c>
      <c r="E3835" t="e" cm="1">
        <f t="array" aca="1" ref="E3835" ca="1">VLGeneral indexGeneral indexKUP(Cpi_[[#This Row],[Attribute]],#REF!,2,FALSE)</f>
        <v>#NAME?</v>
      </c>
      <c r="F3835">
        <v>132.80000000000001</v>
      </c>
      <c r="G3835">
        <f>(Cpi_[[#This Row],[Value]]-F3834)/F3834</f>
        <v>5.1464766429137089E-2</v>
      </c>
      <c r="H3835" t="e" cm="1" vm="1">
        <f t="array" aca="1" ref="H3835" ca="1">VLOOKUP(Cpi_[[#This Row],[Year]:[Month]],crudeoil[],3,FALSE)</f>
        <v>#VALUE!</v>
      </c>
    </row>
    <row r="3836" spans="1:8" hidden="1" x14ac:dyDescent="0.3">
      <c r="A3836" t="s">
        <v>33</v>
      </c>
      <c r="B3836">
        <v>2016</v>
      </c>
      <c r="C3836" t="s">
        <v>46</v>
      </c>
      <c r="D3836" t="s">
        <v>3</v>
      </c>
      <c r="E3836" t="e">
        <f>VLOOKUP(Cpi_[[#This Row],[Attribute]],#REF!,2,FALSE)</f>
        <v>#REF!</v>
      </c>
      <c r="F3836">
        <v>131.6</v>
      </c>
      <c r="G3836">
        <f>(Cpi_[[#This Row],[Value]]-F3835)/F3835</f>
        <v>-9.036144578313381E-3</v>
      </c>
      <c r="H3836" t="e" cm="1" vm="1">
        <f t="array" aca="1" ref="H3836" ca="1">VLOOKUP(Cpi_[[#This Row],[Year]:[Month]],crudeoil[],3,FALSE)</f>
        <v>#VALUE!</v>
      </c>
    </row>
    <row r="3837" spans="1:8" hidden="1" x14ac:dyDescent="0.3">
      <c r="A3837" t="s">
        <v>33</v>
      </c>
      <c r="B3837">
        <v>2016</v>
      </c>
      <c r="C3837" t="s">
        <v>46</v>
      </c>
      <c r="D3837" t="s">
        <v>4</v>
      </c>
      <c r="E3837" t="e">
        <f>VLOOKUP(Cpi_[[#This Row],[Attribute]],#REF!,2,FALSE)</f>
        <v>#REF!</v>
      </c>
      <c r="F3837">
        <v>138.19999999999999</v>
      </c>
      <c r="G3837">
        <f>(Cpi_[[#This Row],[Value]]-F3836)/F3836</f>
        <v>5.0151975683890536E-2</v>
      </c>
      <c r="H3837" t="e" cm="1" vm="1">
        <f t="array" aca="1" ref="H3837" ca="1">VLOOKUP(Cpi_[[#This Row],[Year]:[Month]],crudeoil[],3,FALSE)</f>
        <v>#VALUE!</v>
      </c>
    </row>
    <row r="3838" spans="1:8" hidden="1" x14ac:dyDescent="0.3">
      <c r="A3838" t="s">
        <v>33</v>
      </c>
      <c r="B3838">
        <v>2016</v>
      </c>
      <c r="C3838" t="s">
        <v>46</v>
      </c>
      <c r="D3838" t="s">
        <v>5</v>
      </c>
      <c r="E3838" t="e">
        <f>VLOOKUP(Cpi_[[#This Row],[Attribute]],#REF!,2,FALSE)</f>
        <v>#REF!</v>
      </c>
      <c r="F3838">
        <v>134.9</v>
      </c>
      <c r="G3838">
        <f>(Cpi_[[#This Row],[Value]]-F3837)/F3837</f>
        <v>-2.3878437047756752E-2</v>
      </c>
      <c r="H3838" t="e" cm="1" vm="1">
        <f t="array" aca="1" ref="H3838" ca="1">VLOOKUP(Cpi_[[#This Row],[Year]:[Month]],crudeoil[],3,FALSE)</f>
        <v>#VALUE!</v>
      </c>
    </row>
    <row r="3839" spans="1:8" hidden="1" x14ac:dyDescent="0.3">
      <c r="A3839" t="s">
        <v>33</v>
      </c>
      <c r="B3839">
        <v>2016</v>
      </c>
      <c r="C3839" t="s">
        <v>46</v>
      </c>
      <c r="D3839" t="s">
        <v>6</v>
      </c>
      <c r="E3839" t="e">
        <f>VLOOKUP(Cpi_[[#This Row],[Attribute]],#REF!,2,FALSE)</f>
        <v>#REF!</v>
      </c>
      <c r="F3839">
        <v>133.1</v>
      </c>
      <c r="G3839">
        <f>(Cpi_[[#This Row],[Value]]-F3838)/F3838</f>
        <v>-1.3343217197924473E-2</v>
      </c>
      <c r="H3839" t="e" cm="1" vm="1">
        <f t="array" aca="1" ref="H3839" ca="1">VLOOKUP(Cpi_[[#This Row],[Year]:[Month]],crudeoil[],3,FALSE)</f>
        <v>#VALUE!</v>
      </c>
    </row>
    <row r="3840" spans="1:8" hidden="1" x14ac:dyDescent="0.3">
      <c r="A3840" t="s">
        <v>33</v>
      </c>
      <c r="B3840">
        <v>2016</v>
      </c>
      <c r="C3840" t="s">
        <v>46</v>
      </c>
      <c r="D3840" t="s">
        <v>7</v>
      </c>
      <c r="E3840" t="e">
        <f>VLOOKUP(Cpi_[[#This Row],[Attribute]],#REF!,2,FALSE)</f>
        <v>#REF!</v>
      </c>
      <c r="F3840">
        <v>113.5</v>
      </c>
      <c r="G3840">
        <f>(Cpi_[[#This Row],[Value]]-F3839)/F3839</f>
        <v>-0.1472577009767092</v>
      </c>
      <c r="H3840" t="e" cm="1" vm="1">
        <f t="array" aca="1" ref="H3840" ca="1">VLOOKUP(Cpi_[[#This Row],[Year]:[Month]],crudeoil[],3,FALSE)</f>
        <v>#VALUE!</v>
      </c>
    </row>
    <row r="3841" spans="1:8" hidden="1" x14ac:dyDescent="0.3">
      <c r="A3841" t="s">
        <v>33</v>
      </c>
      <c r="B3841">
        <v>2016</v>
      </c>
      <c r="C3841" t="s">
        <v>46</v>
      </c>
      <c r="D3841" t="s">
        <v>8</v>
      </c>
      <c r="E3841" t="e">
        <f>VLOOKUP(Cpi_[[#This Row],[Attribute]],#REF!,2,FALSE)</f>
        <v>#REF!</v>
      </c>
      <c r="F3841">
        <v>129.30000000000001</v>
      </c>
      <c r="G3841">
        <f>(Cpi_[[#This Row],[Value]]-F3840)/F3840</f>
        <v>0.13920704845814988</v>
      </c>
      <c r="H3841" t="e" cm="1" vm="1">
        <f t="array" aca="1" ref="H3841" ca="1">VLOOKUP(Cpi_[[#This Row],[Year]:[Month]],crudeoil[],3,FALSE)</f>
        <v>#VALUE!</v>
      </c>
    </row>
    <row r="3842" spans="1:8" hidden="1" x14ac:dyDescent="0.3">
      <c r="A3842" t="s">
        <v>33</v>
      </c>
      <c r="B3842">
        <v>2016</v>
      </c>
      <c r="C3842" t="s">
        <v>46</v>
      </c>
      <c r="D3842" t="s">
        <v>9</v>
      </c>
      <c r="E3842" t="e">
        <f>VLOOKUP(Cpi_[[#This Row],[Attribute]],#REF!,2,FALSE)</f>
        <v>#REF!</v>
      </c>
      <c r="F3842">
        <v>121.1</v>
      </c>
      <c r="G3842">
        <f>(Cpi_[[#This Row],[Value]]-F3841)/F3841</f>
        <v>-6.341840680587793E-2</v>
      </c>
      <c r="H3842" t="e" cm="1" vm="1">
        <f t="array" aca="1" ref="H3842" ca="1">VLOOKUP(Cpi_[[#This Row],[Year]:[Month]],crudeoil[],3,FALSE)</f>
        <v>#VALUE!</v>
      </c>
    </row>
    <row r="3843" spans="1:8" hidden="1" x14ac:dyDescent="0.3">
      <c r="A3843" t="s">
        <v>33</v>
      </c>
      <c r="B3843">
        <v>2016</v>
      </c>
      <c r="C3843" t="s">
        <v>46</v>
      </c>
      <c r="D3843" t="s">
        <v>10</v>
      </c>
      <c r="E3843" t="e">
        <f>VLOOKUP(Cpi_[[#This Row],[Attribute]],#REF!,2,FALSE)</f>
        <v>#REF!</v>
      </c>
      <c r="F3843">
        <v>170.3</v>
      </c>
      <c r="G3843">
        <f>(Cpi_[[#This Row],[Value]]-F3842)/F3842</f>
        <v>0.40627580511973593</v>
      </c>
      <c r="H3843" t="e" cm="1" vm="1">
        <f t="array" aca="1" ref="H3843" ca="1">VLOOKUP(Cpi_[[#This Row],[Year]:[Month]],crudeoil[],3,FALSE)</f>
        <v>#VALUE!</v>
      </c>
    </row>
    <row r="3844" spans="1:8" hidden="1" x14ac:dyDescent="0.3">
      <c r="A3844" t="s">
        <v>33</v>
      </c>
      <c r="B3844">
        <v>2016</v>
      </c>
      <c r="C3844" t="s">
        <v>46</v>
      </c>
      <c r="D3844" t="s">
        <v>11</v>
      </c>
      <c r="E3844" t="e">
        <f>VLOOKUP(Cpi_[[#This Row],[Attribute]],#REF!,2,FALSE)</f>
        <v>#REF!</v>
      </c>
      <c r="F3844">
        <v>115.5</v>
      </c>
      <c r="G3844">
        <f>(Cpi_[[#This Row],[Value]]-F3843)/F3843</f>
        <v>-0.32178508514386384</v>
      </c>
      <c r="H3844" t="e" cm="1" vm="1">
        <f t="array" aca="1" ref="H3844" ca="1">VLOOKUP(Cpi_[[#This Row],[Year]:[Month]],crudeoil[],3,FALSE)</f>
        <v>#VALUE!</v>
      </c>
    </row>
    <row r="3845" spans="1:8" hidden="1" x14ac:dyDescent="0.3">
      <c r="A3845" t="s">
        <v>33</v>
      </c>
      <c r="B3845">
        <v>2016</v>
      </c>
      <c r="C3845" t="s">
        <v>46</v>
      </c>
      <c r="D3845" t="s">
        <v>12</v>
      </c>
      <c r="E3845" t="e">
        <f>VLOOKUP(Cpi_[[#This Row],[Attribute]],#REF!,2,FALSE)</f>
        <v>#REF!</v>
      </c>
      <c r="F3845">
        <v>145.5</v>
      </c>
      <c r="G3845">
        <f>(Cpi_[[#This Row],[Value]]-F3844)/F3844</f>
        <v>0.25974025974025972</v>
      </c>
      <c r="H3845" t="e" cm="1" vm="1">
        <f t="array" aca="1" ref="H3845" ca="1">VLOOKUP(Cpi_[[#This Row],[Year]:[Month]],crudeoil[],3,FALSE)</f>
        <v>#VALUE!</v>
      </c>
    </row>
    <row r="3846" spans="1:8" hidden="1" x14ac:dyDescent="0.3">
      <c r="A3846" t="s">
        <v>33</v>
      </c>
      <c r="B3846">
        <v>2016</v>
      </c>
      <c r="C3846" t="s">
        <v>46</v>
      </c>
      <c r="D3846" t="s">
        <v>13</v>
      </c>
      <c r="E3846" t="e">
        <f>VLOOKUP(Cpi_[[#This Row],[Attribute]],#REF!,2,FALSE)</f>
        <v>#REF!</v>
      </c>
      <c r="F3846">
        <v>123.1</v>
      </c>
      <c r="G3846">
        <f>(Cpi_[[#This Row],[Value]]-F3845)/F3845</f>
        <v>-0.1539518900343643</v>
      </c>
      <c r="H3846" t="e" cm="1" vm="1">
        <f t="array" aca="1" ref="H3846" ca="1">VLOOKUP(Cpi_[[#This Row],[Year]:[Month]],crudeoil[],3,FALSE)</f>
        <v>#VALUE!</v>
      </c>
    </row>
    <row r="3847" spans="1:8" hidden="1" x14ac:dyDescent="0.3">
      <c r="A3847" t="s">
        <v>33</v>
      </c>
      <c r="B3847">
        <v>2016</v>
      </c>
      <c r="C3847" t="s">
        <v>46</v>
      </c>
      <c r="D3847" t="s">
        <v>14</v>
      </c>
      <c r="E3847" t="e">
        <f>VLOOKUP(Cpi_[[#This Row],[Attribute]],#REF!,2,FALSE)</f>
        <v>#REF!</v>
      </c>
      <c r="F3847">
        <v>140.9</v>
      </c>
      <c r="G3847">
        <f>(Cpi_[[#This Row],[Value]]-F3846)/F3846</f>
        <v>0.1445978878960196</v>
      </c>
      <c r="H3847" t="e" cm="1" vm="1">
        <f t="array" aca="1" ref="H3847" ca="1">VLOOKUP(Cpi_[[#This Row],[Year]:[Month]],crudeoil[],3,FALSE)</f>
        <v>#VALUE!</v>
      </c>
    </row>
    <row r="3848" spans="1:8" hidden="1" x14ac:dyDescent="0.3">
      <c r="A3848" t="s">
        <v>33</v>
      </c>
      <c r="B3848">
        <v>2016</v>
      </c>
      <c r="C3848" t="s">
        <v>46</v>
      </c>
      <c r="D3848" t="s">
        <v>15</v>
      </c>
      <c r="E3848" t="e">
        <f>VLOOKUP(Cpi_[[#This Row],[Attribute]],#REF!,2,FALSE)</f>
        <v>#REF!</v>
      </c>
      <c r="F3848">
        <v>132.80000000000001</v>
      </c>
      <c r="G3848">
        <f>(Cpi_[[#This Row],[Value]]-F3847)/F3847</f>
        <v>-5.7487579843860853E-2</v>
      </c>
      <c r="H3848" t="e" cm="1" vm="1">
        <f t="array" aca="1" ref="H3848" ca="1">VLOOKUP(Cpi_[[#This Row],[Year]:[Month]],crudeoil[],3,FALSE)</f>
        <v>#VALUE!</v>
      </c>
    </row>
    <row r="3849" spans="1:8" hidden="1" x14ac:dyDescent="0.3">
      <c r="A3849" t="s">
        <v>33</v>
      </c>
      <c r="B3849">
        <v>2016</v>
      </c>
      <c r="C3849" t="s">
        <v>46</v>
      </c>
      <c r="D3849" t="s">
        <v>16</v>
      </c>
      <c r="E3849" t="e">
        <f>VLOOKUP(Cpi_[[#This Row],[Attribute]],#REF!,2,FALSE)</f>
        <v>#REF!</v>
      </c>
      <c r="F3849">
        <v>145</v>
      </c>
      <c r="G3849">
        <f>(Cpi_[[#This Row],[Value]]-F3848)/F3848</f>
        <v>9.1867469879517979E-2</v>
      </c>
      <c r="H3849" t="e" cm="1" vm="1">
        <f t="array" aca="1" ref="H3849" ca="1">VLOOKUP(Cpi_[[#This Row],[Year]:[Month]],crudeoil[],3,FALSE)</f>
        <v>#VALUE!</v>
      </c>
    </row>
    <row r="3850" spans="1:8" hidden="1" x14ac:dyDescent="0.3">
      <c r="A3850" t="s">
        <v>33</v>
      </c>
      <c r="B3850">
        <v>2016</v>
      </c>
      <c r="C3850" t="s">
        <v>46</v>
      </c>
      <c r="D3850" t="s">
        <v>17</v>
      </c>
      <c r="E3850" t="e">
        <f>VLOOKUP(Cpi_[[#This Row],[Attribute]],#REF!,2,FALSE)</f>
        <v>#REF!</v>
      </c>
      <c r="F3850">
        <v>130</v>
      </c>
      <c r="G3850">
        <f>(Cpi_[[#This Row],[Value]]-F3849)/F3849</f>
        <v>-0.10344827586206896</v>
      </c>
      <c r="H3850" t="e" cm="1" vm="1">
        <f t="array" aca="1" ref="H3850" ca="1">VLOOKUP(Cpi_[[#This Row],[Year]:[Month]],crudeoil[],3,FALSE)</f>
        <v>#VALUE!</v>
      </c>
    </row>
    <row r="3851" spans="1:8" hidden="1" x14ac:dyDescent="0.3">
      <c r="A3851" t="s">
        <v>33</v>
      </c>
      <c r="B3851">
        <v>2016</v>
      </c>
      <c r="C3851" t="s">
        <v>46</v>
      </c>
      <c r="D3851" t="s">
        <v>18</v>
      </c>
      <c r="E3851" t="e">
        <f>VLOOKUP(Cpi_[[#This Row],[Attribute]],#REF!,2,FALSE)</f>
        <v>#REF!</v>
      </c>
      <c r="F3851">
        <v>122.2</v>
      </c>
      <c r="G3851">
        <f>(Cpi_[[#This Row],[Value]]-F3850)/F3850</f>
        <v>-5.9999999999999977E-2</v>
      </c>
      <c r="H3851" t="e" cm="1" vm="1">
        <f t="array" aca="1" ref="H3851" ca="1">VLOOKUP(Cpi_[[#This Row],[Year]:[Month]],crudeoil[],3,FALSE)</f>
        <v>#VALUE!</v>
      </c>
    </row>
    <row r="3852" spans="1:8" hidden="1" x14ac:dyDescent="0.3">
      <c r="A3852" t="s">
        <v>33</v>
      </c>
      <c r="B3852">
        <v>2016</v>
      </c>
      <c r="C3852" t="s">
        <v>46</v>
      </c>
      <c r="D3852" t="s">
        <v>19</v>
      </c>
      <c r="E3852" t="e">
        <f>VLOOKUP(Cpi_[[#This Row],[Attribute]],#REF!,2,FALSE)</f>
        <v>#REF!</v>
      </c>
      <c r="F3852">
        <v>128.80000000000001</v>
      </c>
      <c r="G3852">
        <f>(Cpi_[[#This Row],[Value]]-F3851)/F3851</f>
        <v>5.4009819967266844E-2</v>
      </c>
      <c r="H3852" t="e" cm="1" vm="1">
        <f t="array" aca="1" ref="H3852" ca="1">VLOOKUP(Cpi_[[#This Row],[Year]:[Month]],crudeoil[],3,FALSE)</f>
        <v>#VALUE!</v>
      </c>
    </row>
    <row r="3853" spans="1:8" hidden="1" x14ac:dyDescent="0.3">
      <c r="A3853" t="s">
        <v>33</v>
      </c>
      <c r="B3853">
        <v>2016</v>
      </c>
      <c r="C3853" t="s">
        <v>46</v>
      </c>
      <c r="D3853" t="s">
        <v>20</v>
      </c>
      <c r="E3853" t="e">
        <f>VLOOKUP(Cpi_[[#This Row],[Attribute]],#REF!,2,FALSE)</f>
        <v>#REF!</v>
      </c>
      <c r="F3853">
        <v>128.5</v>
      </c>
      <c r="G3853">
        <f>(Cpi_[[#This Row],[Value]]-F3852)/F3852</f>
        <v>-2.329192546583939E-3</v>
      </c>
      <c r="H3853" t="e" cm="1" vm="1">
        <f t="array" aca="1" ref="H3853" ca="1">VLOOKUP(Cpi_[[#This Row],[Year]:[Month]],crudeoil[],3,FALSE)</f>
        <v>#VALUE!</v>
      </c>
    </row>
    <row r="3854" spans="1:8" hidden="1" x14ac:dyDescent="0.3">
      <c r="A3854" t="s">
        <v>33</v>
      </c>
      <c r="B3854">
        <v>2016</v>
      </c>
      <c r="C3854" t="s">
        <v>46</v>
      </c>
      <c r="D3854" t="s">
        <v>21</v>
      </c>
      <c r="E3854" t="e">
        <f>VLOOKUP(Cpi_[[#This Row],[Attribute]],#REF!,2,FALSE)</f>
        <v>#REF!</v>
      </c>
      <c r="F3854">
        <v>117.8</v>
      </c>
      <c r="G3854">
        <f>(Cpi_[[#This Row],[Value]]-F3853)/F3853</f>
        <v>-8.3268482490272397E-2</v>
      </c>
      <c r="H3854" t="e" cm="1" vm="1">
        <f t="array" aca="1" ref="H3854" ca="1">VLOOKUP(Cpi_[[#This Row],[Year]:[Month]],crudeoil[],3,FALSE)</f>
        <v>#VALUE!</v>
      </c>
    </row>
    <row r="3855" spans="1:8" hidden="1" x14ac:dyDescent="0.3">
      <c r="A3855" t="s">
        <v>33</v>
      </c>
      <c r="B3855">
        <v>2016</v>
      </c>
      <c r="C3855" t="s">
        <v>46</v>
      </c>
      <c r="D3855" t="s">
        <v>22</v>
      </c>
      <c r="E3855" t="e">
        <f>VLOOKUP(Cpi_[[#This Row],[Attribute]],#REF!,2,FALSE)</f>
        <v>#REF!</v>
      </c>
      <c r="F3855">
        <v>125</v>
      </c>
      <c r="G3855">
        <f>(Cpi_[[#This Row],[Value]]-F3854)/F3854</f>
        <v>6.1120543293718195E-2</v>
      </c>
      <c r="H3855" t="e" cm="1" vm="1">
        <f t="array" aca="1" ref="H3855" ca="1">VLOOKUP(Cpi_[[#This Row],[Year]:[Month]],crudeoil[],3,FALSE)</f>
        <v>#VALUE!</v>
      </c>
    </row>
    <row r="3856" spans="1:8" hidden="1" x14ac:dyDescent="0.3">
      <c r="A3856" t="s">
        <v>33</v>
      </c>
      <c r="B3856">
        <v>2016</v>
      </c>
      <c r="C3856" t="s">
        <v>46</v>
      </c>
      <c r="D3856" t="s">
        <v>23</v>
      </c>
      <c r="E3856" t="e">
        <f>VLOOKUP(Cpi_[[#This Row],[Attribute]],#REF!,2,FALSE)</f>
        <v>#REF!</v>
      </c>
      <c r="F3856">
        <v>122.3</v>
      </c>
      <c r="G3856">
        <f>(Cpi_[[#This Row],[Value]]-F3855)/F3855</f>
        <v>-2.1600000000000022E-2</v>
      </c>
      <c r="H3856" t="e" cm="1" vm="1">
        <f t="array" aca="1" ref="H3856" ca="1">VLOOKUP(Cpi_[[#This Row],[Year]:[Month]],crudeoil[],3,FALSE)</f>
        <v>#VALUE!</v>
      </c>
    </row>
    <row r="3857" spans="1:8" hidden="1" x14ac:dyDescent="0.3">
      <c r="A3857" t="s">
        <v>33</v>
      </c>
      <c r="B3857">
        <v>2016</v>
      </c>
      <c r="C3857" t="s">
        <v>46</v>
      </c>
      <c r="D3857" t="s">
        <v>24</v>
      </c>
      <c r="E3857" t="e">
        <f>VLOOKUP(Cpi_[[#This Row],[Attribute]],#REF!,2,FALSE)</f>
        <v>#REF!</v>
      </c>
      <c r="F3857">
        <v>113.7</v>
      </c>
      <c r="G3857">
        <f>(Cpi_[[#This Row],[Value]]-F3856)/F3856</f>
        <v>-7.0318887980376082E-2</v>
      </c>
      <c r="H3857" t="e" cm="1" vm="1">
        <f t="array" aca="1" ref="H3857" ca="1">VLOOKUP(Cpi_[[#This Row],[Year]:[Month]],crudeoil[],3,FALSE)</f>
        <v>#VALUE!</v>
      </c>
    </row>
    <row r="3858" spans="1:8" hidden="1" x14ac:dyDescent="0.3">
      <c r="A3858" t="s">
        <v>33</v>
      </c>
      <c r="B3858">
        <v>2016</v>
      </c>
      <c r="C3858" t="s">
        <v>46</v>
      </c>
      <c r="D3858" t="s">
        <v>25</v>
      </c>
      <c r="E3858" t="e">
        <f>VLOOKUP(Cpi_[[#This Row],[Attribute]],#REF!,2,FALSE)</f>
        <v>#REF!</v>
      </c>
      <c r="F3858">
        <v>121.8</v>
      </c>
      <c r="G3858">
        <f>(Cpi_[[#This Row],[Value]]-F3857)/F3857</f>
        <v>7.1240105540897047E-2</v>
      </c>
      <c r="H3858" t="e" cm="1" vm="1">
        <f t="array" aca="1" ref="H3858" ca="1">VLOOKUP(Cpi_[[#This Row],[Year]:[Month]],crudeoil[],3,FALSE)</f>
        <v>#VALUE!</v>
      </c>
    </row>
    <row r="3859" spans="1:8" hidden="1" x14ac:dyDescent="0.3">
      <c r="A3859" t="s">
        <v>33</v>
      </c>
      <c r="B3859">
        <v>2016</v>
      </c>
      <c r="C3859" t="s">
        <v>46</v>
      </c>
      <c r="D3859" t="s">
        <v>26</v>
      </c>
      <c r="E3859" t="e">
        <f>VLOOKUP(Cpi_[[#This Row],[Attribute]],#REF!,2,FALSE)</f>
        <v>#REF!</v>
      </c>
      <c r="F3859">
        <v>132.30000000000001</v>
      </c>
      <c r="G3859">
        <f>(Cpi_[[#This Row],[Value]]-F3858)/F3858</f>
        <v>8.6206896551724255E-2</v>
      </c>
      <c r="H3859" t="e" cm="1" vm="1">
        <f t="array" aca="1" ref="H3859" ca="1">VLOOKUP(Cpi_[[#This Row],[Year]:[Month]],crudeoil[],3,FALSE)</f>
        <v>#VALUE!</v>
      </c>
    </row>
    <row r="3860" spans="1:8" hidden="1" x14ac:dyDescent="0.3">
      <c r="A3860" t="s">
        <v>33</v>
      </c>
      <c r="B3860">
        <v>2016</v>
      </c>
      <c r="C3860" t="s">
        <v>46</v>
      </c>
      <c r="D3860" t="s">
        <v>27</v>
      </c>
      <c r="E3860" t="e">
        <f>VLOOKUP(Cpi_[[#This Row],[Attribute]],#REF!,2,FALSE)</f>
        <v>#REF!</v>
      </c>
      <c r="F3860">
        <v>119.9</v>
      </c>
      <c r="G3860">
        <f>(Cpi_[[#This Row],[Value]]-F3859)/F3859</f>
        <v>-9.3726379440665183E-2</v>
      </c>
      <c r="H3860" t="e" cm="1" vm="1">
        <f t="array" aca="1" ref="H3860" ca="1">VLOOKUP(Cpi_[[#This Row],[Year]:[Month]],crudeoil[],3,FALSE)</f>
        <v>#VALUE!</v>
      </c>
    </row>
    <row r="3861" spans="1:8" hidden="1" x14ac:dyDescent="0.3">
      <c r="A3861" t="s">
        <v>33</v>
      </c>
      <c r="B3861">
        <v>2016</v>
      </c>
      <c r="C3861" t="s">
        <v>46</v>
      </c>
      <c r="D3861" t="s">
        <v>28</v>
      </c>
      <c r="E3861" t="e">
        <f>VLOOKUP(Cpi_[[#This Row],[Attribute]],#REF!,2,FALSE)</f>
        <v>#REF!</v>
      </c>
      <c r="F3861">
        <v>121.4</v>
      </c>
      <c r="G3861">
        <f>(Cpi_[[#This Row],[Value]]-F3860)/F3860</f>
        <v>1.251042535446205E-2</v>
      </c>
      <c r="H3861" t="e" cm="1" vm="1">
        <f t="array" aca="1" ref="H3861" ca="1">VLOOKUP(Cpi_[[#This Row],[Year]:[Month]],crudeoil[],3,FALSE)</f>
        <v>#VALUE!</v>
      </c>
    </row>
    <row r="3862" spans="1:8" hidden="1" x14ac:dyDescent="0.3">
      <c r="A3862" t="s">
        <v>33</v>
      </c>
      <c r="B3862">
        <v>2016</v>
      </c>
      <c r="C3862" t="s">
        <v>46</v>
      </c>
      <c r="D3862" t="s">
        <v>29</v>
      </c>
      <c r="E3862" t="e" cm="1">
        <f t="array" aca="1" ref="E3862" ca="1">VLGeneral indexGeneral indexKUP(Cpi_[[#This Row],[Attribute]],#REF!,2,FALSE)</f>
        <v>#NAME?</v>
      </c>
      <c r="F3862">
        <v>127.6</v>
      </c>
      <c r="G3862">
        <f>(Cpi_[[#This Row],[Value]]-F3861)/F3861</f>
        <v>5.1070840197693479E-2</v>
      </c>
      <c r="H3862" t="e" cm="1" vm="1">
        <f t="array" aca="1" ref="H3862" ca="1">VLOOKUP(Cpi_[[#This Row],[Year]:[Month]],crudeoil[],3,FALSE)</f>
        <v>#VALUE!</v>
      </c>
    </row>
    <row r="3863" spans="1:8" hidden="1" x14ac:dyDescent="0.3">
      <c r="A3863" t="s">
        <v>34</v>
      </c>
      <c r="B3863">
        <v>2016</v>
      </c>
      <c r="C3863" t="s">
        <v>46</v>
      </c>
      <c r="D3863" t="s">
        <v>3</v>
      </c>
      <c r="E3863" t="e">
        <f>VLOOKUP(Cpi_[[#This Row],[Attribute]],#REF!,2,FALSE)</f>
        <v>#REF!</v>
      </c>
      <c r="F3863">
        <v>132.30000000000001</v>
      </c>
      <c r="G3863">
        <f>(Cpi_[[#This Row],[Value]]-F3862)/F3862</f>
        <v>3.6833855799373177E-2</v>
      </c>
      <c r="H3863" t="e" cm="1" vm="1">
        <f t="array" aca="1" ref="H3863" ca="1">VLOOKUP(Cpi_[[#This Row],[Year]:[Month]],crudeoil[],3,FALSE)</f>
        <v>#VALUE!</v>
      </c>
    </row>
    <row r="3864" spans="1:8" hidden="1" x14ac:dyDescent="0.3">
      <c r="A3864" t="s">
        <v>34</v>
      </c>
      <c r="B3864">
        <v>2016</v>
      </c>
      <c r="C3864" t="s">
        <v>46</v>
      </c>
      <c r="D3864" t="s">
        <v>4</v>
      </c>
      <c r="E3864" t="e">
        <f>VLOOKUP(Cpi_[[#This Row],[Attribute]],#REF!,2,FALSE)</f>
        <v>#REF!</v>
      </c>
      <c r="F3864">
        <v>137.6</v>
      </c>
      <c r="G3864">
        <f>(Cpi_[[#This Row],[Value]]-F3863)/F3863</f>
        <v>4.0060468631897071E-2</v>
      </c>
      <c r="H3864" t="e" cm="1" vm="1">
        <f t="array" aca="1" ref="H3864" ca="1">VLOOKUP(Cpi_[[#This Row],[Year]:[Month]],crudeoil[],3,FALSE)</f>
        <v>#VALUE!</v>
      </c>
    </row>
    <row r="3865" spans="1:8" hidden="1" x14ac:dyDescent="0.3">
      <c r="A3865" t="s">
        <v>34</v>
      </c>
      <c r="B3865">
        <v>2016</v>
      </c>
      <c r="C3865" t="s">
        <v>46</v>
      </c>
      <c r="D3865" t="s">
        <v>5</v>
      </c>
      <c r="E3865" t="e">
        <f>VLOOKUP(Cpi_[[#This Row],[Attribute]],#REF!,2,FALSE)</f>
        <v>#REF!</v>
      </c>
      <c r="F3865">
        <v>132.9</v>
      </c>
      <c r="G3865">
        <f>(Cpi_[[#This Row],[Value]]-F3864)/F3864</f>
        <v>-3.4156976744185968E-2</v>
      </c>
      <c r="H3865" t="e" cm="1" vm="1">
        <f t="array" aca="1" ref="H3865" ca="1">VLOOKUP(Cpi_[[#This Row],[Year]:[Month]],crudeoil[],3,FALSE)</f>
        <v>#VALUE!</v>
      </c>
    </row>
    <row r="3866" spans="1:8" hidden="1" x14ac:dyDescent="0.3">
      <c r="A3866" t="s">
        <v>34</v>
      </c>
      <c r="B3866">
        <v>2016</v>
      </c>
      <c r="C3866" t="s">
        <v>46</v>
      </c>
      <c r="D3866" t="s">
        <v>6</v>
      </c>
      <c r="E3866" t="e">
        <f>VLOOKUP(Cpi_[[#This Row],[Attribute]],#REF!,2,FALSE)</f>
        <v>#REF!</v>
      </c>
      <c r="F3866">
        <v>135.1</v>
      </c>
      <c r="G3866">
        <f>(Cpi_[[#This Row],[Value]]-F3865)/F3865</f>
        <v>1.6553799849510824E-2</v>
      </c>
      <c r="H3866" t="e" cm="1" vm="1">
        <f t="array" aca="1" ref="H3866" ca="1">VLOOKUP(Cpi_[[#This Row],[Year]:[Month]],crudeoil[],3,FALSE)</f>
        <v>#VALUE!</v>
      </c>
    </row>
    <row r="3867" spans="1:8" hidden="1" x14ac:dyDescent="0.3">
      <c r="A3867" t="s">
        <v>34</v>
      </c>
      <c r="B3867">
        <v>2016</v>
      </c>
      <c r="C3867" t="s">
        <v>46</v>
      </c>
      <c r="D3867" t="s">
        <v>7</v>
      </c>
      <c r="E3867" t="e">
        <f>VLOOKUP(Cpi_[[#This Row],[Attribute]],#REF!,2,FALSE)</f>
        <v>#REF!</v>
      </c>
      <c r="F3867">
        <v>118.6</v>
      </c>
      <c r="G3867">
        <f>(Cpi_[[#This Row],[Value]]-F3866)/F3866</f>
        <v>-0.12213175425610659</v>
      </c>
      <c r="H3867" t="e" cm="1" vm="1">
        <f t="array" aca="1" ref="H3867" ca="1">VLOOKUP(Cpi_[[#This Row],[Year]:[Month]],crudeoil[],3,FALSE)</f>
        <v>#VALUE!</v>
      </c>
    </row>
    <row r="3868" spans="1:8" hidden="1" x14ac:dyDescent="0.3">
      <c r="A3868" t="s">
        <v>34</v>
      </c>
      <c r="B3868">
        <v>2016</v>
      </c>
      <c r="C3868" t="s">
        <v>46</v>
      </c>
      <c r="D3868" t="s">
        <v>8</v>
      </c>
      <c r="E3868" t="e">
        <f>VLOOKUP(Cpi_[[#This Row],[Attribute]],#REF!,2,FALSE)</f>
        <v>#REF!</v>
      </c>
      <c r="F3868">
        <v>132.69999999999999</v>
      </c>
      <c r="G3868">
        <f>(Cpi_[[#This Row],[Value]]-F3867)/F3867</f>
        <v>0.11888701517706572</v>
      </c>
      <c r="H3868" t="e" cm="1" vm="1">
        <f t="array" aca="1" ref="H3868" ca="1">VLOOKUP(Cpi_[[#This Row],[Year]:[Month]],crudeoil[],3,FALSE)</f>
        <v>#VALUE!</v>
      </c>
    </row>
    <row r="3869" spans="1:8" hidden="1" x14ac:dyDescent="0.3">
      <c r="A3869" t="s">
        <v>34</v>
      </c>
      <c r="B3869">
        <v>2016</v>
      </c>
      <c r="C3869" t="s">
        <v>46</v>
      </c>
      <c r="D3869" t="s">
        <v>9</v>
      </c>
      <c r="E3869" t="e">
        <f>VLOOKUP(Cpi_[[#This Row],[Attribute]],#REF!,2,FALSE)</f>
        <v>#REF!</v>
      </c>
      <c r="F3869">
        <v>125.3</v>
      </c>
      <c r="G3869">
        <f>(Cpi_[[#This Row],[Value]]-F3868)/F3868</f>
        <v>-5.5764883195177029E-2</v>
      </c>
      <c r="H3869" t="e" cm="1" vm="1">
        <f t="array" aca="1" ref="H3869" ca="1">VLOOKUP(Cpi_[[#This Row],[Year]:[Month]],crudeoil[],3,FALSE)</f>
        <v>#VALUE!</v>
      </c>
    </row>
    <row r="3870" spans="1:8" hidden="1" x14ac:dyDescent="0.3">
      <c r="A3870" t="s">
        <v>34</v>
      </c>
      <c r="B3870">
        <v>2016</v>
      </c>
      <c r="C3870" t="s">
        <v>46</v>
      </c>
      <c r="D3870" t="s">
        <v>10</v>
      </c>
      <c r="E3870" t="e">
        <f>VLOOKUP(Cpi_[[#This Row],[Attribute]],#REF!,2,FALSE)</f>
        <v>#REF!</v>
      </c>
      <c r="F3870">
        <v>168.7</v>
      </c>
      <c r="G3870">
        <f>(Cpi_[[#This Row],[Value]]-F3869)/F3869</f>
        <v>0.34636871508379879</v>
      </c>
      <c r="H3870" t="e" cm="1" vm="1">
        <f t="array" aca="1" ref="H3870" ca="1">VLOOKUP(Cpi_[[#This Row],[Year]:[Month]],crudeoil[],3,FALSE)</f>
        <v>#VALUE!</v>
      </c>
    </row>
    <row r="3871" spans="1:8" hidden="1" x14ac:dyDescent="0.3">
      <c r="A3871" t="s">
        <v>34</v>
      </c>
      <c r="B3871">
        <v>2016</v>
      </c>
      <c r="C3871" t="s">
        <v>46</v>
      </c>
      <c r="D3871" t="s">
        <v>11</v>
      </c>
      <c r="E3871" t="e">
        <f>VLOOKUP(Cpi_[[#This Row],[Attribute]],#REF!,2,FALSE)</f>
        <v>#REF!</v>
      </c>
      <c r="F3871">
        <v>114.4</v>
      </c>
      <c r="G3871">
        <f>(Cpi_[[#This Row],[Value]]-F3870)/F3870</f>
        <v>-0.32187314759928859</v>
      </c>
      <c r="H3871" t="e" cm="1" vm="1">
        <f t="array" aca="1" ref="H3871" ca="1">VLOOKUP(Cpi_[[#This Row],[Year]:[Month]],crudeoil[],3,FALSE)</f>
        <v>#VALUE!</v>
      </c>
    </row>
    <row r="3872" spans="1:8" hidden="1" x14ac:dyDescent="0.3">
      <c r="A3872" t="s">
        <v>34</v>
      </c>
      <c r="B3872">
        <v>2016</v>
      </c>
      <c r="C3872" t="s">
        <v>46</v>
      </c>
      <c r="D3872" t="s">
        <v>12</v>
      </c>
      <c r="E3872" t="e">
        <f>VLOOKUP(Cpi_[[#This Row],[Attribute]],#REF!,2,FALSE)</f>
        <v>#REF!</v>
      </c>
      <c r="F3872">
        <v>140.19999999999999</v>
      </c>
      <c r="G3872">
        <f>(Cpi_[[#This Row],[Value]]-F3871)/F3871</f>
        <v>0.22552447552447535</v>
      </c>
      <c r="H3872" t="e" cm="1" vm="1">
        <f t="array" aca="1" ref="H3872" ca="1">VLOOKUP(Cpi_[[#This Row],[Year]:[Month]],crudeoil[],3,FALSE)</f>
        <v>#VALUE!</v>
      </c>
    </row>
    <row r="3873" spans="1:8" hidden="1" x14ac:dyDescent="0.3">
      <c r="A3873" t="s">
        <v>34</v>
      </c>
      <c r="B3873">
        <v>2016</v>
      </c>
      <c r="C3873" t="s">
        <v>46</v>
      </c>
      <c r="D3873" t="s">
        <v>13</v>
      </c>
      <c r="E3873" t="e">
        <f>VLOOKUP(Cpi_[[#This Row],[Attribute]],#REF!,2,FALSE)</f>
        <v>#REF!</v>
      </c>
      <c r="F3873">
        <v>126.6</v>
      </c>
      <c r="G3873">
        <f>(Cpi_[[#This Row],[Value]]-F3872)/F3872</f>
        <v>-9.7004279600570578E-2</v>
      </c>
      <c r="H3873" t="e" cm="1" vm="1">
        <f t="array" aca="1" ref="H3873" ca="1">VLOOKUP(Cpi_[[#This Row],[Year]:[Month]],crudeoil[],3,FALSE)</f>
        <v>#VALUE!</v>
      </c>
    </row>
    <row r="3874" spans="1:8" hidden="1" x14ac:dyDescent="0.3">
      <c r="A3874" t="s">
        <v>34</v>
      </c>
      <c r="B3874">
        <v>2016</v>
      </c>
      <c r="C3874" t="s">
        <v>46</v>
      </c>
      <c r="D3874" t="s">
        <v>14</v>
      </c>
      <c r="E3874" t="e">
        <f>VLOOKUP(Cpi_[[#This Row],[Attribute]],#REF!,2,FALSE)</f>
        <v>#REF!</v>
      </c>
      <c r="F3874">
        <v>142.30000000000001</v>
      </c>
      <c r="G3874">
        <f>(Cpi_[[#This Row],[Value]]-F3873)/F3873</f>
        <v>0.12401263823064786</v>
      </c>
      <c r="H3874" t="e" cm="1" vm="1">
        <f t="array" aca="1" ref="H3874" ca="1">VLOOKUP(Cpi_[[#This Row],[Year]:[Month]],crudeoil[],3,FALSE)</f>
        <v>#VALUE!</v>
      </c>
    </row>
    <row r="3875" spans="1:8" hidden="1" x14ac:dyDescent="0.3">
      <c r="A3875" t="s">
        <v>34</v>
      </c>
      <c r="B3875">
        <v>2016</v>
      </c>
      <c r="C3875" t="s">
        <v>46</v>
      </c>
      <c r="D3875" t="s">
        <v>15</v>
      </c>
      <c r="E3875" t="e">
        <f>VLOOKUP(Cpi_[[#This Row],[Attribute]],#REF!,2,FALSE)</f>
        <v>#REF!</v>
      </c>
      <c r="F3875">
        <v>134</v>
      </c>
      <c r="G3875">
        <f>(Cpi_[[#This Row],[Value]]-F3874)/F3874</f>
        <v>-5.832747716092769E-2</v>
      </c>
      <c r="H3875" t="e" cm="1" vm="1">
        <f t="array" aca="1" ref="H3875" ca="1">VLOOKUP(Cpi_[[#This Row],[Year]:[Month]],crudeoil[],3,FALSE)</f>
        <v>#VALUE!</v>
      </c>
    </row>
    <row r="3876" spans="1:8" hidden="1" x14ac:dyDescent="0.3">
      <c r="A3876" t="s">
        <v>34</v>
      </c>
      <c r="B3876">
        <v>2016</v>
      </c>
      <c r="C3876" t="s">
        <v>46</v>
      </c>
      <c r="D3876" t="s">
        <v>16</v>
      </c>
      <c r="E3876" t="e">
        <f>VLOOKUP(Cpi_[[#This Row],[Attribute]],#REF!,2,FALSE)</f>
        <v>#REF!</v>
      </c>
      <c r="F3876">
        <v>143.1</v>
      </c>
      <c r="G3876">
        <f>(Cpi_[[#This Row],[Value]]-F3875)/F3875</f>
        <v>6.7910447761193982E-2</v>
      </c>
      <c r="H3876" t="e" cm="1" vm="1">
        <f t="array" aca="1" ref="H3876" ca="1">VLOOKUP(Cpi_[[#This Row],[Year]:[Month]],crudeoil[],3,FALSE)</f>
        <v>#VALUE!</v>
      </c>
    </row>
    <row r="3877" spans="1:8" hidden="1" x14ac:dyDescent="0.3">
      <c r="A3877" t="s">
        <v>34</v>
      </c>
      <c r="B3877">
        <v>2016</v>
      </c>
      <c r="C3877" t="s">
        <v>46</v>
      </c>
      <c r="D3877" t="s">
        <v>17</v>
      </c>
      <c r="E3877" t="e">
        <f>VLOOKUP(Cpi_[[#This Row],[Attribute]],#REF!,2,FALSE)</f>
        <v>#REF!</v>
      </c>
      <c r="F3877">
        <v>136.30000000000001</v>
      </c>
      <c r="G3877">
        <f>(Cpi_[[#This Row],[Value]]-F3876)/F3876</f>
        <v>-4.7519217330537968E-2</v>
      </c>
      <c r="H3877" t="e" cm="1" vm="1">
        <f t="array" aca="1" ref="H3877" ca="1">VLOOKUP(Cpi_[[#This Row],[Year]:[Month]],crudeoil[],3,FALSE)</f>
        <v>#VALUE!</v>
      </c>
    </row>
    <row r="3878" spans="1:8" hidden="1" x14ac:dyDescent="0.3">
      <c r="A3878" t="s">
        <v>34</v>
      </c>
      <c r="B3878">
        <v>2016</v>
      </c>
      <c r="C3878" t="s">
        <v>46</v>
      </c>
      <c r="D3878" t="s">
        <v>18</v>
      </c>
      <c r="E3878" t="e">
        <f>VLOOKUP(Cpi_[[#This Row],[Attribute]],#REF!,2,FALSE)</f>
        <v>#REF!</v>
      </c>
      <c r="F3878">
        <v>129.80000000000001</v>
      </c>
      <c r="G3878">
        <f>(Cpi_[[#This Row],[Value]]-F3877)/F3877</f>
        <v>-4.7688921496698455E-2</v>
      </c>
      <c r="H3878" t="e" cm="1" vm="1">
        <f t="array" aca="1" ref="H3878" ca="1">VLOOKUP(Cpi_[[#This Row],[Year]:[Month]],crudeoil[],3,FALSE)</f>
        <v>#VALUE!</v>
      </c>
    </row>
    <row r="3879" spans="1:8" hidden="1" x14ac:dyDescent="0.3">
      <c r="A3879" t="s">
        <v>34</v>
      </c>
      <c r="B3879">
        <v>2016</v>
      </c>
      <c r="C3879" t="s">
        <v>46</v>
      </c>
      <c r="D3879" t="s">
        <v>19</v>
      </c>
      <c r="E3879" t="e">
        <f>VLOOKUP(Cpi_[[#This Row],[Attribute]],#REF!,2,FALSE)</f>
        <v>#REF!</v>
      </c>
      <c r="F3879">
        <v>135.4</v>
      </c>
      <c r="G3879">
        <f>(Cpi_[[#This Row],[Value]]-F3878)/F3878</f>
        <v>4.314329738058547E-2</v>
      </c>
      <c r="H3879" t="e" cm="1" vm="1">
        <f t="array" aca="1" ref="H3879" ca="1">VLOOKUP(Cpi_[[#This Row],[Year]:[Month]],crudeoil[],3,FALSE)</f>
        <v>#VALUE!</v>
      </c>
    </row>
    <row r="3880" spans="1:8" hidden="1" x14ac:dyDescent="0.3">
      <c r="A3880" t="s">
        <v>34</v>
      </c>
      <c r="B3880">
        <v>2016</v>
      </c>
      <c r="C3880" t="s">
        <v>46</v>
      </c>
      <c r="D3880" t="s">
        <v>20</v>
      </c>
      <c r="E3880" t="e">
        <f>VLOOKUP(Cpi_[[#This Row],[Attribute]],#REF!,2,FALSE)</f>
        <v>#REF!</v>
      </c>
      <c r="F3880">
        <v>128.5</v>
      </c>
      <c r="G3880">
        <f>(Cpi_[[#This Row],[Value]]-F3879)/F3879</f>
        <v>-5.0960118168389995E-2</v>
      </c>
      <c r="H3880" t="e" cm="1" vm="1">
        <f t="array" aca="1" ref="H3880" ca="1">VLOOKUP(Cpi_[[#This Row],[Year]:[Month]],crudeoil[],3,FALSE)</f>
        <v>#VALUE!</v>
      </c>
    </row>
    <row r="3881" spans="1:8" hidden="1" x14ac:dyDescent="0.3">
      <c r="A3881" t="s">
        <v>34</v>
      </c>
      <c r="B3881">
        <v>2016</v>
      </c>
      <c r="C3881" t="s">
        <v>46</v>
      </c>
      <c r="D3881" t="s">
        <v>21</v>
      </c>
      <c r="E3881" t="e">
        <f>VLOOKUP(Cpi_[[#This Row],[Attribute]],#REF!,2,FALSE)</f>
        <v>#REF!</v>
      </c>
      <c r="F3881">
        <v>126.6</v>
      </c>
      <c r="G3881">
        <f>(Cpi_[[#This Row],[Value]]-F3880)/F3880</f>
        <v>-1.4785992217898877E-2</v>
      </c>
      <c r="H3881" t="e" cm="1" vm="1">
        <f t="array" aca="1" ref="H3881" ca="1">VLOOKUP(Cpi_[[#This Row],[Year]:[Month]],crudeoil[],3,FALSE)</f>
        <v>#VALUE!</v>
      </c>
    </row>
    <row r="3882" spans="1:8" hidden="1" x14ac:dyDescent="0.3">
      <c r="A3882" t="s">
        <v>34</v>
      </c>
      <c r="B3882">
        <v>2016</v>
      </c>
      <c r="C3882" t="s">
        <v>46</v>
      </c>
      <c r="D3882" t="s">
        <v>22</v>
      </c>
      <c r="E3882" t="e">
        <f>VLOOKUP(Cpi_[[#This Row],[Attribute]],#REF!,2,FALSE)</f>
        <v>#REF!</v>
      </c>
      <c r="F3882">
        <v>129.19999999999999</v>
      </c>
      <c r="G3882">
        <f>(Cpi_[[#This Row],[Value]]-F3881)/F3881</f>
        <v>2.0537124802527604E-2</v>
      </c>
      <c r="H3882" t="e" cm="1" vm="1">
        <f t="array" aca="1" ref="H3882" ca="1">VLOOKUP(Cpi_[[#This Row],[Year]:[Month]],crudeoil[],3,FALSE)</f>
        <v>#VALUE!</v>
      </c>
    </row>
    <row r="3883" spans="1:8" hidden="1" x14ac:dyDescent="0.3">
      <c r="A3883" t="s">
        <v>34</v>
      </c>
      <c r="B3883">
        <v>2016</v>
      </c>
      <c r="C3883" t="s">
        <v>46</v>
      </c>
      <c r="D3883" t="s">
        <v>23</v>
      </c>
      <c r="E3883" t="e">
        <f>VLOOKUP(Cpi_[[#This Row],[Attribute]],#REF!,2,FALSE)</f>
        <v>#REF!</v>
      </c>
      <c r="F3883">
        <v>126.9</v>
      </c>
      <c r="G3883">
        <f>(Cpi_[[#This Row],[Value]]-F3882)/F3882</f>
        <v>-1.7801857585139188E-2</v>
      </c>
      <c r="H3883" t="e" cm="1" vm="1">
        <f t="array" aca="1" ref="H3883" ca="1">VLOOKUP(Cpi_[[#This Row],[Year]:[Month]],crudeoil[],3,FALSE)</f>
        <v>#VALUE!</v>
      </c>
    </row>
    <row r="3884" spans="1:8" hidden="1" x14ac:dyDescent="0.3">
      <c r="A3884" t="s">
        <v>34</v>
      </c>
      <c r="B3884">
        <v>2016</v>
      </c>
      <c r="C3884" t="s">
        <v>46</v>
      </c>
      <c r="D3884" t="s">
        <v>24</v>
      </c>
      <c r="E3884" t="e">
        <f>VLOOKUP(Cpi_[[#This Row],[Attribute]],#REF!,2,FALSE)</f>
        <v>#REF!</v>
      </c>
      <c r="F3884">
        <v>116</v>
      </c>
      <c r="G3884">
        <f>(Cpi_[[#This Row],[Value]]-F3883)/F3883</f>
        <v>-8.5894405043341254E-2</v>
      </c>
      <c r="H3884" t="e" cm="1" vm="1">
        <f t="array" aca="1" ref="H3884" ca="1">VLOOKUP(Cpi_[[#This Row],[Year]:[Month]],crudeoil[],3,FALSE)</f>
        <v>#VALUE!</v>
      </c>
    </row>
    <row r="3885" spans="1:8" hidden="1" x14ac:dyDescent="0.3">
      <c r="A3885" t="s">
        <v>34</v>
      </c>
      <c r="B3885">
        <v>2016</v>
      </c>
      <c r="C3885" t="s">
        <v>46</v>
      </c>
      <c r="D3885" t="s">
        <v>25</v>
      </c>
      <c r="E3885" t="e">
        <f>VLOOKUP(Cpi_[[#This Row],[Attribute]],#REF!,2,FALSE)</f>
        <v>#REF!</v>
      </c>
      <c r="F3885">
        <v>124.2</v>
      </c>
      <c r="G3885">
        <f>(Cpi_[[#This Row],[Value]]-F3884)/F3884</f>
        <v>7.0689655172413823E-2</v>
      </c>
      <c r="H3885" t="e" cm="1" vm="1">
        <f t="array" aca="1" ref="H3885" ca="1">VLOOKUP(Cpi_[[#This Row],[Year]:[Month]],crudeoil[],3,FALSE)</f>
        <v>#VALUE!</v>
      </c>
    </row>
    <row r="3886" spans="1:8" hidden="1" x14ac:dyDescent="0.3">
      <c r="A3886" t="s">
        <v>34</v>
      </c>
      <c r="B3886">
        <v>2016</v>
      </c>
      <c r="C3886" t="s">
        <v>46</v>
      </c>
      <c r="D3886" t="s">
        <v>26</v>
      </c>
      <c r="E3886" t="e">
        <f>VLOOKUP(Cpi_[[#This Row],[Attribute]],#REF!,2,FALSE)</f>
        <v>#REF!</v>
      </c>
      <c r="F3886">
        <v>133.1</v>
      </c>
      <c r="G3886">
        <f>(Cpi_[[#This Row],[Value]]-F3885)/F3885</f>
        <v>7.1658615136875936E-2</v>
      </c>
      <c r="H3886" t="e" cm="1" vm="1">
        <f t="array" aca="1" ref="H3886" ca="1">VLOOKUP(Cpi_[[#This Row],[Year]:[Month]],crudeoil[],3,FALSE)</f>
        <v>#VALUE!</v>
      </c>
    </row>
    <row r="3887" spans="1:8" hidden="1" x14ac:dyDescent="0.3">
      <c r="A3887" t="s">
        <v>34</v>
      </c>
      <c r="B3887">
        <v>2016</v>
      </c>
      <c r="C3887" t="s">
        <v>46</v>
      </c>
      <c r="D3887" t="s">
        <v>27</v>
      </c>
      <c r="E3887" t="e">
        <f>VLOOKUP(Cpi_[[#This Row],[Attribute]],#REF!,2,FALSE)</f>
        <v>#REF!</v>
      </c>
      <c r="F3887">
        <v>121.1</v>
      </c>
      <c r="G3887">
        <f>(Cpi_[[#This Row],[Value]]-F3886)/F3886</f>
        <v>-9.0157776108189341E-2</v>
      </c>
      <c r="H3887" t="e" cm="1" vm="1">
        <f t="array" aca="1" ref="H3887" ca="1">VLOOKUP(Cpi_[[#This Row],[Year]:[Month]],crudeoil[],3,FALSE)</f>
        <v>#VALUE!</v>
      </c>
    </row>
    <row r="3888" spans="1:8" hidden="1" x14ac:dyDescent="0.3">
      <c r="A3888" t="s">
        <v>34</v>
      </c>
      <c r="B3888">
        <v>2016</v>
      </c>
      <c r="C3888" t="s">
        <v>46</v>
      </c>
      <c r="D3888" t="s">
        <v>28</v>
      </c>
      <c r="E3888" t="e">
        <f>VLOOKUP(Cpi_[[#This Row],[Attribute]],#REF!,2,FALSE)</f>
        <v>#REF!</v>
      </c>
      <c r="F3888">
        <v>123.9</v>
      </c>
      <c r="G3888">
        <f>(Cpi_[[#This Row],[Value]]-F3887)/F3887</f>
        <v>2.312138728323709E-2</v>
      </c>
      <c r="H3888" t="e" cm="1" vm="1">
        <f t="array" aca="1" ref="H3888" ca="1">VLOOKUP(Cpi_[[#This Row],[Year]:[Month]],crudeoil[],3,FALSE)</f>
        <v>#VALUE!</v>
      </c>
    </row>
    <row r="3889" spans="1:8" hidden="1" x14ac:dyDescent="0.3">
      <c r="A3889" t="s">
        <v>34</v>
      </c>
      <c r="B3889">
        <v>2016</v>
      </c>
      <c r="C3889" t="s">
        <v>46</v>
      </c>
      <c r="D3889" t="s">
        <v>29</v>
      </c>
      <c r="E3889" t="e" cm="1">
        <f t="array" aca="1" ref="E3889" ca="1">VLGeneral indexGeneral indexKUP(Cpi_[[#This Row],[Attribute]],#REF!,2,FALSE)</f>
        <v>#NAME?</v>
      </c>
      <c r="F3889">
        <v>130.4</v>
      </c>
      <c r="G3889">
        <f>(Cpi_[[#This Row],[Value]]-F3888)/F3888</f>
        <v>5.2461662631154156E-2</v>
      </c>
      <c r="H3889" t="e" cm="1" vm="1">
        <f t="array" aca="1" ref="H3889" ca="1">VLOOKUP(Cpi_[[#This Row],[Year]:[Month]],crudeoil[],3,FALSE)</f>
        <v>#VALUE!</v>
      </c>
    </row>
    <row r="3890" spans="1:8" hidden="1" x14ac:dyDescent="0.3">
      <c r="A3890" t="s">
        <v>30</v>
      </c>
      <c r="B3890">
        <v>2017</v>
      </c>
      <c r="C3890" t="s">
        <v>31</v>
      </c>
      <c r="D3890" t="s">
        <v>3</v>
      </c>
      <c r="E3890" t="e">
        <f>VLOOKUP(Cpi_[[#This Row],[Attribute]],#REF!,2,FALSE)</f>
        <v>#REF!</v>
      </c>
      <c r="F3890">
        <v>133.1</v>
      </c>
      <c r="G3890">
        <f>(Cpi_[[#This Row],[Value]]-F3889)/F3889</f>
        <v>2.070552147239255E-2</v>
      </c>
      <c r="H3890" t="e" cm="1" vm="1">
        <f t="array" aca="1" ref="H3890" ca="1">VLOOKUP(Cpi_[[#This Row],[Year]:[Month]],crudeoil[],3,FALSE)</f>
        <v>#VALUE!</v>
      </c>
    </row>
    <row r="3891" spans="1:8" hidden="1" x14ac:dyDescent="0.3">
      <c r="A3891" t="s">
        <v>30</v>
      </c>
      <c r="B3891">
        <v>2017</v>
      </c>
      <c r="C3891" t="s">
        <v>31</v>
      </c>
      <c r="D3891" t="s">
        <v>4</v>
      </c>
      <c r="E3891" t="e">
        <f>VLOOKUP(Cpi_[[#This Row],[Attribute]],#REF!,2,FALSE)</f>
        <v>#REF!</v>
      </c>
      <c r="F3891">
        <v>137.80000000000001</v>
      </c>
      <c r="G3891">
        <f>(Cpi_[[#This Row],[Value]]-F3890)/F3890</f>
        <v>3.5311795642374286E-2</v>
      </c>
      <c r="H3891" t="e" cm="1" vm="1">
        <f t="array" aca="1" ref="H3891" ca="1">VLOOKUP(Cpi_[[#This Row],[Year]:[Month]],crudeoil[],3,FALSE)</f>
        <v>#VALUE!</v>
      </c>
    </row>
    <row r="3892" spans="1:8" hidden="1" x14ac:dyDescent="0.3">
      <c r="A3892" t="s">
        <v>30</v>
      </c>
      <c r="B3892">
        <v>2017</v>
      </c>
      <c r="C3892" t="s">
        <v>31</v>
      </c>
      <c r="D3892" t="s">
        <v>5</v>
      </c>
      <c r="E3892" t="e">
        <f>VLOOKUP(Cpi_[[#This Row],[Attribute]],#REF!,2,FALSE)</f>
        <v>#REF!</v>
      </c>
      <c r="F3892">
        <v>131.9</v>
      </c>
      <c r="G3892">
        <f>(Cpi_[[#This Row],[Value]]-F3891)/F3891</f>
        <v>-4.2815674891146627E-2</v>
      </c>
      <c r="H3892" t="e" cm="1" vm="1">
        <f t="array" aca="1" ref="H3892" ca="1">VLOOKUP(Cpi_[[#This Row],[Year]:[Month]],crudeoil[],3,FALSE)</f>
        <v>#VALUE!</v>
      </c>
    </row>
    <row r="3893" spans="1:8" hidden="1" x14ac:dyDescent="0.3">
      <c r="A3893" t="s">
        <v>30</v>
      </c>
      <c r="B3893">
        <v>2017</v>
      </c>
      <c r="C3893" t="s">
        <v>31</v>
      </c>
      <c r="D3893" t="s">
        <v>6</v>
      </c>
      <c r="E3893" t="e">
        <f>VLOOKUP(Cpi_[[#This Row],[Attribute]],#REF!,2,FALSE)</f>
        <v>#REF!</v>
      </c>
      <c r="F3893">
        <v>136.69999999999999</v>
      </c>
      <c r="G3893">
        <f>(Cpi_[[#This Row],[Value]]-F3892)/F3892</f>
        <v>3.6391205458680687E-2</v>
      </c>
      <c r="H3893" t="e" cm="1" vm="1">
        <f t="array" aca="1" ref="H3893" ca="1">VLOOKUP(Cpi_[[#This Row],[Year]:[Month]],crudeoil[],3,FALSE)</f>
        <v>#VALUE!</v>
      </c>
    </row>
    <row r="3894" spans="1:8" hidden="1" x14ac:dyDescent="0.3">
      <c r="A3894" t="s">
        <v>30</v>
      </c>
      <c r="B3894">
        <v>2017</v>
      </c>
      <c r="C3894" t="s">
        <v>31</v>
      </c>
      <c r="D3894" t="s">
        <v>7</v>
      </c>
      <c r="E3894" t="e">
        <f>VLOOKUP(Cpi_[[#This Row],[Attribute]],#REF!,2,FALSE)</f>
        <v>#REF!</v>
      </c>
      <c r="F3894">
        <v>122</v>
      </c>
      <c r="G3894">
        <f>(Cpi_[[#This Row],[Value]]-F3893)/F3893</f>
        <v>-0.10753474762253101</v>
      </c>
      <c r="H3894" t="e" cm="1" vm="1">
        <f t="array" aca="1" ref="H3894" ca="1">VLOOKUP(Cpi_[[#This Row],[Year]:[Month]],crudeoil[],3,FALSE)</f>
        <v>#VALUE!</v>
      </c>
    </row>
    <row r="3895" spans="1:8" hidden="1" x14ac:dyDescent="0.3">
      <c r="A3895" t="s">
        <v>30</v>
      </c>
      <c r="B3895">
        <v>2017</v>
      </c>
      <c r="C3895" t="s">
        <v>31</v>
      </c>
      <c r="D3895" t="s">
        <v>8</v>
      </c>
      <c r="E3895" t="e">
        <f>VLOOKUP(Cpi_[[#This Row],[Attribute]],#REF!,2,FALSE)</f>
        <v>#REF!</v>
      </c>
      <c r="F3895">
        <v>136</v>
      </c>
      <c r="G3895">
        <f>(Cpi_[[#This Row],[Value]]-F3894)/F3894</f>
        <v>0.11475409836065574</v>
      </c>
      <c r="H3895" t="e" cm="1" vm="1">
        <f t="array" aca="1" ref="H3895" ca="1">VLOOKUP(Cpi_[[#This Row],[Year]:[Month]],crudeoil[],3,FALSE)</f>
        <v>#VALUE!</v>
      </c>
    </row>
    <row r="3896" spans="1:8" hidden="1" x14ac:dyDescent="0.3">
      <c r="A3896" t="s">
        <v>30</v>
      </c>
      <c r="B3896">
        <v>2017</v>
      </c>
      <c r="C3896" t="s">
        <v>31</v>
      </c>
      <c r="D3896" t="s">
        <v>9</v>
      </c>
      <c r="E3896" t="e">
        <f>VLOOKUP(Cpi_[[#This Row],[Attribute]],#REF!,2,FALSE)</f>
        <v>#REF!</v>
      </c>
      <c r="F3896">
        <v>119.8</v>
      </c>
      <c r="G3896">
        <f>(Cpi_[[#This Row],[Value]]-F3895)/F3895</f>
        <v>-0.11911764705882355</v>
      </c>
      <c r="H3896" t="e" cm="1" vm="1">
        <f t="array" aca="1" ref="H3896" ca="1">VLOOKUP(Cpi_[[#This Row],[Year]:[Month]],crudeoil[],3,FALSE)</f>
        <v>#VALUE!</v>
      </c>
    </row>
    <row r="3897" spans="1:8" hidden="1" x14ac:dyDescent="0.3">
      <c r="A3897" t="s">
        <v>30</v>
      </c>
      <c r="B3897">
        <v>2017</v>
      </c>
      <c r="C3897" t="s">
        <v>31</v>
      </c>
      <c r="D3897" t="s">
        <v>10</v>
      </c>
      <c r="E3897" t="e">
        <f>VLOOKUP(Cpi_[[#This Row],[Attribute]],#REF!,2,FALSE)</f>
        <v>#REF!</v>
      </c>
      <c r="F3897">
        <v>161.69999999999999</v>
      </c>
      <c r="G3897">
        <f>(Cpi_[[#This Row],[Value]]-F3896)/F3896</f>
        <v>0.34974958263772948</v>
      </c>
      <c r="H3897" t="e" cm="1" vm="1">
        <f t="array" aca="1" ref="H3897" ca="1">VLOOKUP(Cpi_[[#This Row],[Year]:[Month]],crudeoil[],3,FALSE)</f>
        <v>#VALUE!</v>
      </c>
    </row>
    <row r="3898" spans="1:8" hidden="1" x14ac:dyDescent="0.3">
      <c r="A3898" t="s">
        <v>30</v>
      </c>
      <c r="B3898">
        <v>2017</v>
      </c>
      <c r="C3898" t="s">
        <v>31</v>
      </c>
      <c r="D3898" t="s">
        <v>11</v>
      </c>
      <c r="E3898" t="e">
        <f>VLOOKUP(Cpi_[[#This Row],[Attribute]],#REF!,2,FALSE)</f>
        <v>#REF!</v>
      </c>
      <c r="F3898">
        <v>114.8</v>
      </c>
      <c r="G3898">
        <f>(Cpi_[[#This Row],[Value]]-F3897)/F3897</f>
        <v>-0.29004329004328999</v>
      </c>
      <c r="H3898" t="e" cm="1" vm="1">
        <f t="array" aca="1" ref="H3898" ca="1">VLOOKUP(Cpi_[[#This Row],[Year]:[Month]],crudeoil[],3,FALSE)</f>
        <v>#VALUE!</v>
      </c>
    </row>
    <row r="3899" spans="1:8" hidden="1" x14ac:dyDescent="0.3">
      <c r="A3899" t="s">
        <v>30</v>
      </c>
      <c r="B3899">
        <v>2017</v>
      </c>
      <c r="C3899" t="s">
        <v>31</v>
      </c>
      <c r="D3899" t="s">
        <v>12</v>
      </c>
      <c r="E3899" t="e">
        <f>VLOOKUP(Cpi_[[#This Row],[Attribute]],#REF!,2,FALSE)</f>
        <v>#REF!</v>
      </c>
      <c r="F3899">
        <v>136.9</v>
      </c>
      <c r="G3899">
        <f>(Cpi_[[#This Row],[Value]]-F3898)/F3898</f>
        <v>0.19250871080139381</v>
      </c>
      <c r="H3899" t="e" cm="1" vm="1">
        <f t="array" aca="1" ref="H3899" ca="1">VLOOKUP(Cpi_[[#This Row],[Year]:[Month]],crudeoil[],3,FALSE)</f>
        <v>#VALUE!</v>
      </c>
    </row>
    <row r="3900" spans="1:8" hidden="1" x14ac:dyDescent="0.3">
      <c r="A3900" t="s">
        <v>30</v>
      </c>
      <c r="B3900">
        <v>2017</v>
      </c>
      <c r="C3900" t="s">
        <v>31</v>
      </c>
      <c r="D3900" t="s">
        <v>13</v>
      </c>
      <c r="E3900" t="e">
        <f>VLOOKUP(Cpi_[[#This Row],[Attribute]],#REF!,2,FALSE)</f>
        <v>#REF!</v>
      </c>
      <c r="F3900">
        <v>129</v>
      </c>
      <c r="G3900">
        <f>(Cpi_[[#This Row],[Value]]-F3899)/F3899</f>
        <v>-5.7706355003652343E-2</v>
      </c>
      <c r="H3900" t="e" cm="1" vm="1">
        <f t="array" aca="1" ref="H3900" ca="1">VLOOKUP(Cpi_[[#This Row],[Year]:[Month]],crudeoil[],3,FALSE)</f>
        <v>#VALUE!</v>
      </c>
    </row>
    <row r="3901" spans="1:8" hidden="1" x14ac:dyDescent="0.3">
      <c r="A3901" t="s">
        <v>30</v>
      </c>
      <c r="B3901">
        <v>2017</v>
      </c>
      <c r="C3901" t="s">
        <v>31</v>
      </c>
      <c r="D3901" t="s">
        <v>14</v>
      </c>
      <c r="E3901" t="e">
        <f>VLOOKUP(Cpi_[[#This Row],[Attribute]],#REF!,2,FALSE)</f>
        <v>#REF!</v>
      </c>
      <c r="F3901">
        <v>143.9</v>
      </c>
      <c r="G3901">
        <f>(Cpi_[[#This Row],[Value]]-F3900)/F3900</f>
        <v>0.1155038759689923</v>
      </c>
      <c r="H3901" t="e" cm="1" vm="1">
        <f t="array" aca="1" ref="H3901" ca="1">VLOOKUP(Cpi_[[#This Row],[Year]:[Month]],crudeoil[],3,FALSE)</f>
        <v>#VALUE!</v>
      </c>
    </row>
    <row r="3902" spans="1:8" hidden="1" x14ac:dyDescent="0.3">
      <c r="A3902" t="s">
        <v>30</v>
      </c>
      <c r="B3902">
        <v>2017</v>
      </c>
      <c r="C3902" t="s">
        <v>31</v>
      </c>
      <c r="D3902" t="s">
        <v>15</v>
      </c>
      <c r="E3902" t="e">
        <f>VLOOKUP(Cpi_[[#This Row],[Attribute]],#REF!,2,FALSE)</f>
        <v>#REF!</v>
      </c>
      <c r="F3902">
        <v>133.69999999999999</v>
      </c>
      <c r="G3902">
        <f>(Cpi_[[#This Row],[Value]]-F3901)/F3901</f>
        <v>-7.0882557331480314E-2</v>
      </c>
      <c r="H3902" t="e" cm="1" vm="1">
        <f t="array" aca="1" ref="H3902" ca="1">VLOOKUP(Cpi_[[#This Row],[Year]:[Month]],crudeoil[],3,FALSE)</f>
        <v>#VALUE!</v>
      </c>
    </row>
    <row r="3903" spans="1:8" hidden="1" x14ac:dyDescent="0.3">
      <c r="A3903" t="s">
        <v>30</v>
      </c>
      <c r="B3903">
        <v>2017</v>
      </c>
      <c r="C3903" t="s">
        <v>31</v>
      </c>
      <c r="D3903" t="s">
        <v>16</v>
      </c>
      <c r="E3903" t="e">
        <f>VLOOKUP(Cpi_[[#This Row],[Attribute]],#REF!,2,FALSE)</f>
        <v>#REF!</v>
      </c>
      <c r="F3903">
        <v>143.1</v>
      </c>
      <c r="G3903">
        <f>(Cpi_[[#This Row],[Value]]-F3902)/F3902</f>
        <v>7.0306656694091293E-2</v>
      </c>
      <c r="H3903" t="e" cm="1" vm="1">
        <f t="array" aca="1" ref="H3903" ca="1">VLOOKUP(Cpi_[[#This Row],[Year]:[Month]],crudeoil[],3,FALSE)</f>
        <v>#VALUE!</v>
      </c>
    </row>
    <row r="3904" spans="1:8" hidden="1" x14ac:dyDescent="0.3">
      <c r="A3904" t="s">
        <v>30</v>
      </c>
      <c r="B3904">
        <v>2017</v>
      </c>
      <c r="C3904" t="s">
        <v>31</v>
      </c>
      <c r="D3904" t="s">
        <v>17</v>
      </c>
      <c r="E3904" t="e">
        <f>VLOOKUP(Cpi_[[#This Row],[Attribute]],#REF!,2,FALSE)</f>
        <v>#REF!</v>
      </c>
      <c r="F3904">
        <v>140.69999999999999</v>
      </c>
      <c r="G3904">
        <f>(Cpi_[[#This Row],[Value]]-F3903)/F3903</f>
        <v>-1.6771488469601716E-2</v>
      </c>
      <c r="H3904" t="e" cm="1" vm="1">
        <f t="array" aca="1" ref="H3904" ca="1">VLOOKUP(Cpi_[[#This Row],[Year]:[Month]],crudeoil[],3,FALSE)</f>
        <v>#VALUE!</v>
      </c>
    </row>
    <row r="3905" spans="1:8" hidden="1" x14ac:dyDescent="0.3">
      <c r="A3905" t="s">
        <v>30</v>
      </c>
      <c r="B3905">
        <v>2017</v>
      </c>
      <c r="C3905" t="s">
        <v>31</v>
      </c>
      <c r="D3905" t="s">
        <v>18</v>
      </c>
      <c r="E3905" t="e">
        <f>VLOOKUP(Cpi_[[#This Row],[Attribute]],#REF!,2,FALSE)</f>
        <v>#REF!</v>
      </c>
      <c r="F3905">
        <v>135.80000000000001</v>
      </c>
      <c r="G3905">
        <f>(Cpi_[[#This Row],[Value]]-F3904)/F3904</f>
        <v>-3.4825870646766011E-2</v>
      </c>
      <c r="H3905" t="e" cm="1" vm="1">
        <f t="array" aca="1" ref="H3905" ca="1">VLOOKUP(Cpi_[[#This Row],[Year]:[Month]],crudeoil[],3,FALSE)</f>
        <v>#VALUE!</v>
      </c>
    </row>
    <row r="3906" spans="1:8" hidden="1" x14ac:dyDescent="0.3">
      <c r="A3906" t="s">
        <v>30</v>
      </c>
      <c r="B3906">
        <v>2017</v>
      </c>
      <c r="C3906" t="s">
        <v>31</v>
      </c>
      <c r="D3906" t="s">
        <v>19</v>
      </c>
      <c r="E3906" t="e">
        <f>VLOOKUP(Cpi_[[#This Row],[Attribute]],#REF!,2,FALSE)</f>
        <v>#REF!</v>
      </c>
      <c r="F3906">
        <v>140</v>
      </c>
      <c r="G3906">
        <f>(Cpi_[[#This Row],[Value]]-F3905)/F3905</f>
        <v>3.0927835051546306E-2</v>
      </c>
      <c r="H3906" t="e" cm="1" vm="1">
        <f t="array" aca="1" ref="H3906" ca="1">VLOOKUP(Cpi_[[#This Row],[Year]:[Month]],crudeoil[],3,FALSE)</f>
        <v>#VALUE!</v>
      </c>
    </row>
    <row r="3907" spans="1:8" hidden="1" x14ac:dyDescent="0.3">
      <c r="A3907" t="s">
        <v>30</v>
      </c>
      <c r="B3907">
        <v>2017</v>
      </c>
      <c r="C3907" t="s">
        <v>31</v>
      </c>
      <c r="D3907" t="s">
        <v>20</v>
      </c>
      <c r="E3907" t="e">
        <f>VLOOKUP(Cpi_[[#This Row],[Attribute]],#REF!,2,FALSE)</f>
        <v>#REF!</v>
      </c>
      <c r="F3907" t="s">
        <v>32</v>
      </c>
      <c r="G3907" t="e">
        <f>(Cpi_[[#This Row],[Value]]-F3906)/F3906</f>
        <v>#VALUE!</v>
      </c>
      <c r="H3907" t="e" cm="1" vm="1">
        <f t="array" aca="1" ref="H3907" ca="1">VLOOKUP(Cpi_[[#This Row],[Year]:[Month]],crudeoil[],3,FALSE)</f>
        <v>#VALUE!</v>
      </c>
    </row>
    <row r="3908" spans="1:8" hidden="1" x14ac:dyDescent="0.3">
      <c r="A3908" t="s">
        <v>30</v>
      </c>
      <c r="B3908">
        <v>2017</v>
      </c>
      <c r="C3908" t="s">
        <v>31</v>
      </c>
      <c r="D3908" t="s">
        <v>21</v>
      </c>
      <c r="E3908" t="e">
        <f>VLOOKUP(Cpi_[[#This Row],[Attribute]],#REF!,2,FALSE)</f>
        <v>#REF!</v>
      </c>
      <c r="F3908">
        <v>132.1</v>
      </c>
      <c r="G3908" t="e">
        <f>(Cpi_[[#This Row],[Value]]-F3907)/F3907</f>
        <v>#VALUE!</v>
      </c>
      <c r="H3908" t="e" cm="1" vm="1">
        <f t="array" aca="1" ref="H3908" ca="1">VLOOKUP(Cpi_[[#This Row],[Year]:[Month]],crudeoil[],3,FALSE)</f>
        <v>#VALUE!</v>
      </c>
    </row>
    <row r="3909" spans="1:8" hidden="1" x14ac:dyDescent="0.3">
      <c r="A3909" t="s">
        <v>30</v>
      </c>
      <c r="B3909">
        <v>2017</v>
      </c>
      <c r="C3909" t="s">
        <v>31</v>
      </c>
      <c r="D3909" t="s">
        <v>22</v>
      </c>
      <c r="E3909" t="e">
        <f>VLOOKUP(Cpi_[[#This Row],[Attribute]],#REF!,2,FALSE)</f>
        <v>#REF!</v>
      </c>
      <c r="F3909">
        <v>133.19999999999999</v>
      </c>
      <c r="G3909">
        <f>(Cpi_[[#This Row],[Value]]-F3908)/F3908</f>
        <v>8.3270249810749007E-3</v>
      </c>
      <c r="H3909" t="e" cm="1" vm="1">
        <f t="array" aca="1" ref="H3909" ca="1">VLOOKUP(Cpi_[[#This Row],[Year]:[Month]],crudeoil[],3,FALSE)</f>
        <v>#VALUE!</v>
      </c>
    </row>
    <row r="3910" spans="1:8" hidden="1" x14ac:dyDescent="0.3">
      <c r="A3910" t="s">
        <v>30</v>
      </c>
      <c r="B3910">
        <v>2017</v>
      </c>
      <c r="C3910" t="s">
        <v>31</v>
      </c>
      <c r="D3910" t="s">
        <v>23</v>
      </c>
      <c r="E3910" t="e">
        <f>VLOOKUP(Cpi_[[#This Row],[Attribute]],#REF!,2,FALSE)</f>
        <v>#REF!</v>
      </c>
      <c r="F3910">
        <v>129.9</v>
      </c>
      <c r="G3910">
        <f>(Cpi_[[#This Row],[Value]]-F3909)/F3909</f>
        <v>-2.477477477477465E-2</v>
      </c>
      <c r="H3910" t="e" cm="1" vm="1">
        <f t="array" aca="1" ref="H3910" ca="1">VLOOKUP(Cpi_[[#This Row],[Year]:[Month]],crudeoil[],3,FALSE)</f>
        <v>#VALUE!</v>
      </c>
    </row>
    <row r="3911" spans="1:8" hidden="1" x14ac:dyDescent="0.3">
      <c r="A3911" t="s">
        <v>30</v>
      </c>
      <c r="B3911">
        <v>2017</v>
      </c>
      <c r="C3911" t="s">
        <v>31</v>
      </c>
      <c r="D3911" t="s">
        <v>24</v>
      </c>
      <c r="E3911" t="e">
        <f>VLOOKUP(Cpi_[[#This Row],[Attribute]],#REF!,2,FALSE)</f>
        <v>#REF!</v>
      </c>
      <c r="F3911">
        <v>119.1</v>
      </c>
      <c r="G3911">
        <f>(Cpi_[[#This Row],[Value]]-F3910)/F3910</f>
        <v>-8.3140877598152516E-2</v>
      </c>
      <c r="H3911" t="e" cm="1" vm="1">
        <f t="array" aca="1" ref="H3911" ca="1">VLOOKUP(Cpi_[[#This Row],[Year]:[Month]],crudeoil[],3,FALSE)</f>
        <v>#VALUE!</v>
      </c>
    </row>
    <row r="3912" spans="1:8" hidden="1" x14ac:dyDescent="0.3">
      <c r="A3912" t="s">
        <v>30</v>
      </c>
      <c r="B3912">
        <v>2017</v>
      </c>
      <c r="C3912" t="s">
        <v>31</v>
      </c>
      <c r="D3912" t="s">
        <v>25</v>
      </c>
      <c r="E3912" t="e">
        <f>VLOOKUP(Cpi_[[#This Row],[Attribute]],#REF!,2,FALSE)</f>
        <v>#REF!</v>
      </c>
      <c r="F3912">
        <v>127</v>
      </c>
      <c r="G3912">
        <f>(Cpi_[[#This Row],[Value]]-F3911)/F3911</f>
        <v>6.6330814441645722E-2</v>
      </c>
      <c r="H3912" t="e" cm="1" vm="1">
        <f t="array" aca="1" ref="H3912" ca="1">VLOOKUP(Cpi_[[#This Row],[Year]:[Month]],crudeoil[],3,FALSE)</f>
        <v>#VALUE!</v>
      </c>
    </row>
    <row r="3913" spans="1:8" hidden="1" x14ac:dyDescent="0.3">
      <c r="A3913" t="s">
        <v>30</v>
      </c>
      <c r="B3913">
        <v>2017</v>
      </c>
      <c r="C3913" t="s">
        <v>31</v>
      </c>
      <c r="D3913" t="s">
        <v>26</v>
      </c>
      <c r="E3913" t="e">
        <f>VLOOKUP(Cpi_[[#This Row],[Attribute]],#REF!,2,FALSE)</f>
        <v>#REF!</v>
      </c>
      <c r="F3913">
        <v>134.6</v>
      </c>
      <c r="G3913">
        <f>(Cpi_[[#This Row],[Value]]-F3912)/F3912</f>
        <v>5.9842519685039328E-2</v>
      </c>
      <c r="H3913" t="e" cm="1" vm="1">
        <f t="array" aca="1" ref="H3913" ca="1">VLOOKUP(Cpi_[[#This Row],[Year]:[Month]],crudeoil[],3,FALSE)</f>
        <v>#VALUE!</v>
      </c>
    </row>
    <row r="3914" spans="1:8" hidden="1" x14ac:dyDescent="0.3">
      <c r="A3914" t="s">
        <v>30</v>
      </c>
      <c r="B3914">
        <v>2017</v>
      </c>
      <c r="C3914" t="s">
        <v>31</v>
      </c>
      <c r="D3914" t="s">
        <v>27</v>
      </c>
      <c r="E3914" t="e">
        <f>VLOOKUP(Cpi_[[#This Row],[Attribute]],#REF!,2,FALSE)</f>
        <v>#REF!</v>
      </c>
      <c r="F3914">
        <v>122.3</v>
      </c>
      <c r="G3914">
        <f>(Cpi_[[#This Row],[Value]]-F3913)/F3913</f>
        <v>-9.1381872213967291E-2</v>
      </c>
      <c r="H3914" t="e" cm="1" vm="1">
        <f t="array" aca="1" ref="H3914" ca="1">VLOOKUP(Cpi_[[#This Row],[Year]:[Month]],crudeoil[],3,FALSE)</f>
        <v>#VALUE!</v>
      </c>
    </row>
    <row r="3915" spans="1:8" hidden="1" x14ac:dyDescent="0.3">
      <c r="A3915" t="s">
        <v>30</v>
      </c>
      <c r="B3915">
        <v>2017</v>
      </c>
      <c r="C3915" t="s">
        <v>31</v>
      </c>
      <c r="D3915" t="s">
        <v>28</v>
      </c>
      <c r="E3915" t="e">
        <f>VLOOKUP(Cpi_[[#This Row],[Attribute]],#REF!,2,FALSE)</f>
        <v>#REF!</v>
      </c>
      <c r="F3915">
        <v>126.6</v>
      </c>
      <c r="G3915">
        <f>(Cpi_[[#This Row],[Value]]-F3914)/F3914</f>
        <v>3.5159443990188041E-2</v>
      </c>
      <c r="H3915" t="e" cm="1" vm="1">
        <f t="array" aca="1" ref="H3915" ca="1">VLOOKUP(Cpi_[[#This Row],[Year]:[Month]],crudeoil[],3,FALSE)</f>
        <v>#VALUE!</v>
      </c>
    </row>
    <row r="3916" spans="1:8" hidden="1" x14ac:dyDescent="0.3">
      <c r="A3916" t="s">
        <v>30</v>
      </c>
      <c r="B3916">
        <v>2017</v>
      </c>
      <c r="C3916" t="s">
        <v>31</v>
      </c>
      <c r="D3916" t="s">
        <v>29</v>
      </c>
      <c r="E3916" t="e" cm="1">
        <f t="array" aca="1" ref="E3916" ca="1">VLGeneral indexGeneral indexKUP(Cpi_[[#This Row],[Attribute]],#REF!,2,FALSE)</f>
        <v>#NAME?</v>
      </c>
      <c r="F3916">
        <v>132.4</v>
      </c>
      <c r="G3916">
        <f>(Cpi_[[#This Row],[Value]]-F3915)/F3915</f>
        <v>4.5813586097946377E-2</v>
      </c>
      <c r="H3916" t="e" cm="1" vm="1">
        <f t="array" aca="1" ref="H3916" ca="1">VLOOKUP(Cpi_[[#This Row],[Year]:[Month]],crudeoil[],3,FALSE)</f>
        <v>#VALUE!</v>
      </c>
    </row>
    <row r="3917" spans="1:8" hidden="1" x14ac:dyDescent="0.3">
      <c r="A3917" t="s">
        <v>33</v>
      </c>
      <c r="B3917">
        <v>2017</v>
      </c>
      <c r="C3917" t="s">
        <v>31</v>
      </c>
      <c r="D3917" t="s">
        <v>3</v>
      </c>
      <c r="E3917" t="e">
        <f>VLOOKUP(Cpi_[[#This Row],[Attribute]],#REF!,2,FALSE)</f>
        <v>#REF!</v>
      </c>
      <c r="F3917">
        <v>132.19999999999999</v>
      </c>
      <c r="G3917">
        <f>(Cpi_[[#This Row],[Value]]-F3916)/F3916</f>
        <v>-1.510574018127017E-3</v>
      </c>
      <c r="H3917" t="e" cm="1" vm="1">
        <f t="array" aca="1" ref="H3917" ca="1">VLOOKUP(Cpi_[[#This Row],[Year]:[Month]],crudeoil[],3,FALSE)</f>
        <v>#VALUE!</v>
      </c>
    </row>
    <row r="3918" spans="1:8" hidden="1" x14ac:dyDescent="0.3">
      <c r="A3918" t="s">
        <v>33</v>
      </c>
      <c r="B3918">
        <v>2017</v>
      </c>
      <c r="C3918" t="s">
        <v>31</v>
      </c>
      <c r="D3918" t="s">
        <v>4</v>
      </c>
      <c r="E3918" t="e">
        <f>VLOOKUP(Cpi_[[#This Row],[Attribute]],#REF!,2,FALSE)</f>
        <v>#REF!</v>
      </c>
      <c r="F3918">
        <v>138.9</v>
      </c>
      <c r="G3918">
        <f>(Cpi_[[#This Row],[Value]]-F3917)/F3917</f>
        <v>5.0680786686838258E-2</v>
      </c>
      <c r="H3918" t="e" cm="1" vm="1">
        <f t="array" aca="1" ref="H3918" ca="1">VLOOKUP(Cpi_[[#This Row],[Year]:[Month]],crudeoil[],3,FALSE)</f>
        <v>#VALUE!</v>
      </c>
    </row>
    <row r="3919" spans="1:8" hidden="1" x14ac:dyDescent="0.3">
      <c r="A3919" t="s">
        <v>33</v>
      </c>
      <c r="B3919">
        <v>2017</v>
      </c>
      <c r="C3919" t="s">
        <v>31</v>
      </c>
      <c r="D3919" t="s">
        <v>5</v>
      </c>
      <c r="E3919" t="e">
        <f>VLOOKUP(Cpi_[[#This Row],[Attribute]],#REF!,2,FALSE)</f>
        <v>#REF!</v>
      </c>
      <c r="F3919">
        <v>132.6</v>
      </c>
      <c r="G3919">
        <f>(Cpi_[[#This Row],[Value]]-F3918)/F3918</f>
        <v>-4.5356371490280857E-2</v>
      </c>
      <c r="H3919" t="e" cm="1" vm="1">
        <f t="array" aca="1" ref="H3919" ca="1">VLOOKUP(Cpi_[[#This Row],[Year]:[Month]],crudeoil[],3,FALSE)</f>
        <v>#VALUE!</v>
      </c>
    </row>
    <row r="3920" spans="1:8" hidden="1" x14ac:dyDescent="0.3">
      <c r="A3920" t="s">
        <v>33</v>
      </c>
      <c r="B3920">
        <v>2017</v>
      </c>
      <c r="C3920" t="s">
        <v>31</v>
      </c>
      <c r="D3920" t="s">
        <v>6</v>
      </c>
      <c r="E3920" t="e">
        <f>VLOOKUP(Cpi_[[#This Row],[Attribute]],#REF!,2,FALSE)</f>
        <v>#REF!</v>
      </c>
      <c r="F3920">
        <v>133.1</v>
      </c>
      <c r="G3920">
        <f>(Cpi_[[#This Row],[Value]]-F3919)/F3919</f>
        <v>3.770739064856712E-3</v>
      </c>
      <c r="H3920" t="e" cm="1" vm="1">
        <f t="array" aca="1" ref="H3920" ca="1">VLOOKUP(Cpi_[[#This Row],[Year]:[Month]],crudeoil[],3,FALSE)</f>
        <v>#VALUE!</v>
      </c>
    </row>
    <row r="3921" spans="1:8" hidden="1" x14ac:dyDescent="0.3">
      <c r="A3921" t="s">
        <v>33</v>
      </c>
      <c r="B3921">
        <v>2017</v>
      </c>
      <c r="C3921" t="s">
        <v>31</v>
      </c>
      <c r="D3921" t="s">
        <v>7</v>
      </c>
      <c r="E3921" t="e">
        <f>VLOOKUP(Cpi_[[#This Row],[Attribute]],#REF!,2,FALSE)</f>
        <v>#REF!</v>
      </c>
      <c r="F3921">
        <v>114</v>
      </c>
      <c r="G3921">
        <f>(Cpi_[[#This Row],[Value]]-F3920)/F3920</f>
        <v>-0.14350112697220133</v>
      </c>
      <c r="H3921" t="e" cm="1" vm="1">
        <f t="array" aca="1" ref="H3921" ca="1">VLOOKUP(Cpi_[[#This Row],[Year]:[Month]],crudeoil[],3,FALSE)</f>
        <v>#VALUE!</v>
      </c>
    </row>
    <row r="3922" spans="1:8" hidden="1" x14ac:dyDescent="0.3">
      <c r="A3922" t="s">
        <v>33</v>
      </c>
      <c r="B3922">
        <v>2017</v>
      </c>
      <c r="C3922" t="s">
        <v>31</v>
      </c>
      <c r="D3922" t="s">
        <v>8</v>
      </c>
      <c r="E3922" t="e">
        <f>VLOOKUP(Cpi_[[#This Row],[Attribute]],#REF!,2,FALSE)</f>
        <v>#REF!</v>
      </c>
      <c r="F3922">
        <v>129.6</v>
      </c>
      <c r="G3922">
        <f>(Cpi_[[#This Row],[Value]]-F3921)/F3921</f>
        <v>0.13684210526315785</v>
      </c>
      <c r="H3922" t="e" cm="1" vm="1">
        <f t="array" aca="1" ref="H3922" ca="1">VLOOKUP(Cpi_[[#This Row],[Year]:[Month]],crudeoil[],3,FALSE)</f>
        <v>#VALUE!</v>
      </c>
    </row>
    <row r="3923" spans="1:8" hidden="1" x14ac:dyDescent="0.3">
      <c r="A3923" t="s">
        <v>33</v>
      </c>
      <c r="B3923">
        <v>2017</v>
      </c>
      <c r="C3923" t="s">
        <v>31</v>
      </c>
      <c r="D3923" t="s">
        <v>9</v>
      </c>
      <c r="E3923" t="e">
        <f>VLOOKUP(Cpi_[[#This Row],[Attribute]],#REF!,2,FALSE)</f>
        <v>#REF!</v>
      </c>
      <c r="F3923">
        <v>118.7</v>
      </c>
      <c r="G3923">
        <f>(Cpi_[[#This Row],[Value]]-F3922)/F3922</f>
        <v>-8.4104938271604882E-2</v>
      </c>
      <c r="H3923" t="e" cm="1" vm="1">
        <f t="array" aca="1" ref="H3923" ca="1">VLOOKUP(Cpi_[[#This Row],[Year]:[Month]],crudeoil[],3,FALSE)</f>
        <v>#VALUE!</v>
      </c>
    </row>
    <row r="3924" spans="1:8" hidden="1" x14ac:dyDescent="0.3">
      <c r="A3924" t="s">
        <v>33</v>
      </c>
      <c r="B3924">
        <v>2017</v>
      </c>
      <c r="C3924" t="s">
        <v>31</v>
      </c>
      <c r="D3924" t="s">
        <v>10</v>
      </c>
      <c r="E3924" t="e">
        <f>VLOOKUP(Cpi_[[#This Row],[Attribute]],#REF!,2,FALSE)</f>
        <v>#REF!</v>
      </c>
      <c r="F3924">
        <v>155.1</v>
      </c>
      <c r="G3924">
        <f>(Cpi_[[#This Row],[Value]]-F3923)/F3923</f>
        <v>0.30665543386689126</v>
      </c>
      <c r="H3924" t="e" cm="1" vm="1">
        <f t="array" aca="1" ref="H3924" ca="1">VLOOKUP(Cpi_[[#This Row],[Year]:[Month]],crudeoil[],3,FALSE)</f>
        <v>#VALUE!</v>
      </c>
    </row>
    <row r="3925" spans="1:8" hidden="1" x14ac:dyDescent="0.3">
      <c r="A3925" t="s">
        <v>33</v>
      </c>
      <c r="B3925">
        <v>2017</v>
      </c>
      <c r="C3925" t="s">
        <v>31</v>
      </c>
      <c r="D3925" t="s">
        <v>11</v>
      </c>
      <c r="E3925" t="e">
        <f>VLOOKUP(Cpi_[[#This Row],[Attribute]],#REF!,2,FALSE)</f>
        <v>#REF!</v>
      </c>
      <c r="F3925">
        <v>117.3</v>
      </c>
      <c r="G3925">
        <f>(Cpi_[[#This Row],[Value]]-F3924)/F3924</f>
        <v>-0.2437137330754352</v>
      </c>
      <c r="H3925" t="e" cm="1" vm="1">
        <f t="array" aca="1" ref="H3925" ca="1">VLOOKUP(Cpi_[[#This Row],[Year]:[Month]],crudeoil[],3,FALSE)</f>
        <v>#VALUE!</v>
      </c>
    </row>
    <row r="3926" spans="1:8" hidden="1" x14ac:dyDescent="0.3">
      <c r="A3926" t="s">
        <v>33</v>
      </c>
      <c r="B3926">
        <v>2017</v>
      </c>
      <c r="C3926" t="s">
        <v>31</v>
      </c>
      <c r="D3926" t="s">
        <v>12</v>
      </c>
      <c r="E3926" t="e">
        <f>VLOOKUP(Cpi_[[#This Row],[Attribute]],#REF!,2,FALSE)</f>
        <v>#REF!</v>
      </c>
      <c r="F3926">
        <v>144.9</v>
      </c>
      <c r="G3926">
        <f>(Cpi_[[#This Row],[Value]]-F3925)/F3925</f>
        <v>0.2352941176470589</v>
      </c>
      <c r="H3926" t="e" cm="1" vm="1">
        <f t="array" aca="1" ref="H3926" ca="1">VLOOKUP(Cpi_[[#This Row],[Year]:[Month]],crudeoil[],3,FALSE)</f>
        <v>#VALUE!</v>
      </c>
    </row>
    <row r="3927" spans="1:8" hidden="1" x14ac:dyDescent="0.3">
      <c r="A3927" t="s">
        <v>33</v>
      </c>
      <c r="B3927">
        <v>2017</v>
      </c>
      <c r="C3927" t="s">
        <v>31</v>
      </c>
      <c r="D3927" t="s">
        <v>13</v>
      </c>
      <c r="E3927" t="e">
        <f>VLOOKUP(Cpi_[[#This Row],[Attribute]],#REF!,2,FALSE)</f>
        <v>#REF!</v>
      </c>
      <c r="F3927">
        <v>123.2</v>
      </c>
      <c r="G3927">
        <f>(Cpi_[[#This Row],[Value]]-F3926)/F3926</f>
        <v>-0.14975845410628022</v>
      </c>
      <c r="H3927" t="e" cm="1" vm="1">
        <f t="array" aca="1" ref="H3927" ca="1">VLOOKUP(Cpi_[[#This Row],[Year]:[Month]],crudeoil[],3,FALSE)</f>
        <v>#VALUE!</v>
      </c>
    </row>
    <row r="3928" spans="1:8" hidden="1" x14ac:dyDescent="0.3">
      <c r="A3928" t="s">
        <v>33</v>
      </c>
      <c r="B3928">
        <v>2017</v>
      </c>
      <c r="C3928" t="s">
        <v>31</v>
      </c>
      <c r="D3928" t="s">
        <v>14</v>
      </c>
      <c r="E3928" t="e">
        <f>VLOOKUP(Cpi_[[#This Row],[Attribute]],#REF!,2,FALSE)</f>
        <v>#REF!</v>
      </c>
      <c r="F3928">
        <v>141.6</v>
      </c>
      <c r="G3928">
        <f>(Cpi_[[#This Row],[Value]]-F3927)/F3927</f>
        <v>0.14935064935064929</v>
      </c>
      <c r="H3928" t="e" cm="1" vm="1">
        <f t="array" aca="1" ref="H3928" ca="1">VLOOKUP(Cpi_[[#This Row],[Year]:[Month]],crudeoil[],3,FALSE)</f>
        <v>#VALUE!</v>
      </c>
    </row>
    <row r="3929" spans="1:8" hidden="1" x14ac:dyDescent="0.3">
      <c r="A3929" t="s">
        <v>33</v>
      </c>
      <c r="B3929">
        <v>2017</v>
      </c>
      <c r="C3929" t="s">
        <v>31</v>
      </c>
      <c r="D3929" t="s">
        <v>15</v>
      </c>
      <c r="E3929" t="e">
        <f>VLOOKUP(Cpi_[[#This Row],[Attribute]],#REF!,2,FALSE)</f>
        <v>#REF!</v>
      </c>
      <c r="F3929">
        <v>132</v>
      </c>
      <c r="G3929">
        <f>(Cpi_[[#This Row],[Value]]-F3928)/F3928</f>
        <v>-6.7796610169491484E-2</v>
      </c>
      <c r="H3929" t="e" cm="1" vm="1">
        <f t="array" aca="1" ref="H3929" ca="1">VLOOKUP(Cpi_[[#This Row],[Year]:[Month]],crudeoil[],3,FALSE)</f>
        <v>#VALUE!</v>
      </c>
    </row>
    <row r="3930" spans="1:8" hidden="1" x14ac:dyDescent="0.3">
      <c r="A3930" t="s">
        <v>33</v>
      </c>
      <c r="B3930">
        <v>2017</v>
      </c>
      <c r="C3930" t="s">
        <v>31</v>
      </c>
      <c r="D3930" t="s">
        <v>16</v>
      </c>
      <c r="E3930" t="e">
        <f>VLOOKUP(Cpi_[[#This Row],[Attribute]],#REF!,2,FALSE)</f>
        <v>#REF!</v>
      </c>
      <c r="F3930">
        <v>145.6</v>
      </c>
      <c r="G3930">
        <f>(Cpi_[[#This Row],[Value]]-F3929)/F3929</f>
        <v>0.10303030303030299</v>
      </c>
      <c r="H3930" t="e" cm="1" vm="1">
        <f t="array" aca="1" ref="H3930" ca="1">VLOOKUP(Cpi_[[#This Row],[Year]:[Month]],crudeoil[],3,FALSE)</f>
        <v>#VALUE!</v>
      </c>
    </row>
    <row r="3931" spans="1:8" hidden="1" x14ac:dyDescent="0.3">
      <c r="A3931" t="s">
        <v>33</v>
      </c>
      <c r="B3931">
        <v>2017</v>
      </c>
      <c r="C3931" t="s">
        <v>31</v>
      </c>
      <c r="D3931" t="s">
        <v>17</v>
      </c>
      <c r="E3931" t="e">
        <f>VLOOKUP(Cpi_[[#This Row],[Attribute]],#REF!,2,FALSE)</f>
        <v>#REF!</v>
      </c>
      <c r="F3931">
        <v>130.19999999999999</v>
      </c>
      <c r="G3931">
        <f>(Cpi_[[#This Row],[Value]]-F3930)/F3930</f>
        <v>-0.10576923076923081</v>
      </c>
      <c r="H3931" t="e" cm="1" vm="1">
        <f t="array" aca="1" ref="H3931" ca="1">VLOOKUP(Cpi_[[#This Row],[Year]:[Month]],crudeoil[],3,FALSE)</f>
        <v>#VALUE!</v>
      </c>
    </row>
    <row r="3932" spans="1:8" hidden="1" x14ac:dyDescent="0.3">
      <c r="A3932" t="s">
        <v>33</v>
      </c>
      <c r="B3932">
        <v>2017</v>
      </c>
      <c r="C3932" t="s">
        <v>31</v>
      </c>
      <c r="D3932" t="s">
        <v>18</v>
      </c>
      <c r="E3932" t="e">
        <f>VLOOKUP(Cpi_[[#This Row],[Attribute]],#REF!,2,FALSE)</f>
        <v>#REF!</v>
      </c>
      <c r="F3932">
        <v>122.3</v>
      </c>
      <c r="G3932">
        <f>(Cpi_[[#This Row],[Value]]-F3931)/F3931</f>
        <v>-6.0675883256528361E-2</v>
      </c>
      <c r="H3932" t="e" cm="1" vm="1">
        <f t="array" aca="1" ref="H3932" ca="1">VLOOKUP(Cpi_[[#This Row],[Year]:[Month]],crudeoil[],3,FALSE)</f>
        <v>#VALUE!</v>
      </c>
    </row>
    <row r="3933" spans="1:8" hidden="1" x14ac:dyDescent="0.3">
      <c r="A3933" t="s">
        <v>33</v>
      </c>
      <c r="B3933">
        <v>2017</v>
      </c>
      <c r="C3933" t="s">
        <v>31</v>
      </c>
      <c r="D3933" t="s">
        <v>19</v>
      </c>
      <c r="E3933" t="e">
        <f>VLOOKUP(Cpi_[[#This Row],[Attribute]],#REF!,2,FALSE)</f>
        <v>#REF!</v>
      </c>
      <c r="F3933">
        <v>129</v>
      </c>
      <c r="G3933">
        <f>(Cpi_[[#This Row],[Value]]-F3932)/F3932</f>
        <v>5.4783319705641889E-2</v>
      </c>
      <c r="H3933" t="e" cm="1" vm="1">
        <f t="array" aca="1" ref="H3933" ca="1">VLOOKUP(Cpi_[[#This Row],[Year]:[Month]],crudeoil[],3,FALSE)</f>
        <v>#VALUE!</v>
      </c>
    </row>
    <row r="3934" spans="1:8" hidden="1" x14ac:dyDescent="0.3">
      <c r="A3934" t="s">
        <v>33</v>
      </c>
      <c r="B3934">
        <v>2017</v>
      </c>
      <c r="C3934" t="s">
        <v>31</v>
      </c>
      <c r="D3934" t="s">
        <v>20</v>
      </c>
      <c r="E3934" t="e">
        <f>VLOOKUP(Cpi_[[#This Row],[Attribute]],#REF!,2,FALSE)</f>
        <v>#REF!</v>
      </c>
      <c r="F3934">
        <v>129.6</v>
      </c>
      <c r="G3934">
        <f>(Cpi_[[#This Row],[Value]]-F3933)/F3933</f>
        <v>4.6511627906976301E-3</v>
      </c>
      <c r="H3934" t="e" cm="1" vm="1">
        <f t="array" aca="1" ref="H3934" ca="1">VLOOKUP(Cpi_[[#This Row],[Year]:[Month]],crudeoil[],3,FALSE)</f>
        <v>#VALUE!</v>
      </c>
    </row>
    <row r="3935" spans="1:8" hidden="1" x14ac:dyDescent="0.3">
      <c r="A3935" t="s">
        <v>33</v>
      </c>
      <c r="B3935">
        <v>2017</v>
      </c>
      <c r="C3935" t="s">
        <v>31</v>
      </c>
      <c r="D3935" t="s">
        <v>21</v>
      </c>
      <c r="E3935" t="e">
        <f>VLOOKUP(Cpi_[[#This Row],[Attribute]],#REF!,2,FALSE)</f>
        <v>#REF!</v>
      </c>
      <c r="F3935">
        <v>118</v>
      </c>
      <c r="G3935">
        <f>(Cpi_[[#This Row],[Value]]-F3934)/F3934</f>
        <v>-8.9506172839506126E-2</v>
      </c>
      <c r="H3935" t="e" cm="1" vm="1">
        <f t="array" aca="1" ref="H3935" ca="1">VLOOKUP(Cpi_[[#This Row],[Year]:[Month]],crudeoil[],3,FALSE)</f>
        <v>#VALUE!</v>
      </c>
    </row>
    <row r="3936" spans="1:8" hidden="1" x14ac:dyDescent="0.3">
      <c r="A3936" t="s">
        <v>33</v>
      </c>
      <c r="B3936">
        <v>2017</v>
      </c>
      <c r="C3936" t="s">
        <v>31</v>
      </c>
      <c r="D3936" t="s">
        <v>22</v>
      </c>
      <c r="E3936" t="e">
        <f>VLOOKUP(Cpi_[[#This Row],[Attribute]],#REF!,2,FALSE)</f>
        <v>#REF!</v>
      </c>
      <c r="F3936">
        <v>125.1</v>
      </c>
      <c r="G3936">
        <f>(Cpi_[[#This Row],[Value]]-F3935)/F3935</f>
        <v>6.0169491525423682E-2</v>
      </c>
      <c r="H3936" t="e" cm="1" vm="1">
        <f t="array" aca="1" ref="H3936" ca="1">VLOOKUP(Cpi_[[#This Row],[Year]:[Month]],crudeoil[],3,FALSE)</f>
        <v>#VALUE!</v>
      </c>
    </row>
    <row r="3937" spans="1:8" hidden="1" x14ac:dyDescent="0.3">
      <c r="A3937" t="s">
        <v>33</v>
      </c>
      <c r="B3937">
        <v>2017</v>
      </c>
      <c r="C3937" t="s">
        <v>31</v>
      </c>
      <c r="D3937" t="s">
        <v>23</v>
      </c>
      <c r="E3937" t="e">
        <f>VLOOKUP(Cpi_[[#This Row],[Attribute]],#REF!,2,FALSE)</f>
        <v>#REF!</v>
      </c>
      <c r="F3937">
        <v>122.6</v>
      </c>
      <c r="G3937">
        <f>(Cpi_[[#This Row],[Value]]-F3936)/F3936</f>
        <v>-1.9984012789768187E-2</v>
      </c>
      <c r="H3937" t="e" cm="1" vm="1">
        <f t="array" aca="1" ref="H3937" ca="1">VLOOKUP(Cpi_[[#This Row],[Year]:[Month]],crudeoil[],3,FALSE)</f>
        <v>#VALUE!</v>
      </c>
    </row>
    <row r="3938" spans="1:8" hidden="1" x14ac:dyDescent="0.3">
      <c r="A3938" t="s">
        <v>33</v>
      </c>
      <c r="B3938">
        <v>2017</v>
      </c>
      <c r="C3938" t="s">
        <v>31</v>
      </c>
      <c r="D3938" t="s">
        <v>24</v>
      </c>
      <c r="E3938" t="e">
        <f>VLOOKUP(Cpi_[[#This Row],[Attribute]],#REF!,2,FALSE)</f>
        <v>#REF!</v>
      </c>
      <c r="F3938">
        <v>115.2</v>
      </c>
      <c r="G3938">
        <f>(Cpi_[[#This Row],[Value]]-F3937)/F3937</f>
        <v>-6.0358890701468125E-2</v>
      </c>
      <c r="H3938" t="e" cm="1" vm="1">
        <f t="array" aca="1" ref="H3938" ca="1">VLOOKUP(Cpi_[[#This Row],[Year]:[Month]],crudeoil[],3,FALSE)</f>
        <v>#VALUE!</v>
      </c>
    </row>
    <row r="3939" spans="1:8" hidden="1" x14ac:dyDescent="0.3">
      <c r="A3939" t="s">
        <v>33</v>
      </c>
      <c r="B3939">
        <v>2017</v>
      </c>
      <c r="C3939" t="s">
        <v>31</v>
      </c>
      <c r="D3939" t="s">
        <v>25</v>
      </c>
      <c r="E3939" t="e">
        <f>VLOOKUP(Cpi_[[#This Row],[Attribute]],#REF!,2,FALSE)</f>
        <v>#REF!</v>
      </c>
      <c r="F3939">
        <v>122</v>
      </c>
      <c r="G3939">
        <f>(Cpi_[[#This Row],[Value]]-F3938)/F3938</f>
        <v>5.9027777777777748E-2</v>
      </c>
      <c r="H3939" t="e" cm="1" vm="1">
        <f t="array" aca="1" ref="H3939" ca="1">VLOOKUP(Cpi_[[#This Row],[Year]:[Month]],crudeoil[],3,FALSE)</f>
        <v>#VALUE!</v>
      </c>
    </row>
    <row r="3940" spans="1:8" hidden="1" x14ac:dyDescent="0.3">
      <c r="A3940" t="s">
        <v>33</v>
      </c>
      <c r="B3940">
        <v>2017</v>
      </c>
      <c r="C3940" t="s">
        <v>31</v>
      </c>
      <c r="D3940" t="s">
        <v>26</v>
      </c>
      <c r="E3940" t="e">
        <f>VLOOKUP(Cpi_[[#This Row],[Attribute]],#REF!,2,FALSE)</f>
        <v>#REF!</v>
      </c>
      <c r="F3940">
        <v>132.4</v>
      </c>
      <c r="G3940">
        <f>(Cpi_[[#This Row],[Value]]-F3939)/F3939</f>
        <v>8.5245901639344313E-2</v>
      </c>
      <c r="H3940" t="e" cm="1" vm="1">
        <f t="array" aca="1" ref="H3940" ca="1">VLOOKUP(Cpi_[[#This Row],[Year]:[Month]],crudeoil[],3,FALSE)</f>
        <v>#VALUE!</v>
      </c>
    </row>
    <row r="3941" spans="1:8" hidden="1" x14ac:dyDescent="0.3">
      <c r="A3941" t="s">
        <v>33</v>
      </c>
      <c r="B3941">
        <v>2017</v>
      </c>
      <c r="C3941" t="s">
        <v>31</v>
      </c>
      <c r="D3941" t="s">
        <v>27</v>
      </c>
      <c r="E3941" t="e">
        <f>VLOOKUP(Cpi_[[#This Row],[Attribute]],#REF!,2,FALSE)</f>
        <v>#REF!</v>
      </c>
      <c r="F3941">
        <v>120.9</v>
      </c>
      <c r="G3941">
        <f>(Cpi_[[#This Row],[Value]]-F3940)/F3940</f>
        <v>-8.6858006042296071E-2</v>
      </c>
      <c r="H3941" t="e" cm="1" vm="1">
        <f t="array" aca="1" ref="H3941" ca="1">VLOOKUP(Cpi_[[#This Row],[Year]:[Month]],crudeoil[],3,FALSE)</f>
        <v>#VALUE!</v>
      </c>
    </row>
    <row r="3942" spans="1:8" hidden="1" x14ac:dyDescent="0.3">
      <c r="A3942" t="s">
        <v>33</v>
      </c>
      <c r="B3942">
        <v>2017</v>
      </c>
      <c r="C3942" t="s">
        <v>31</v>
      </c>
      <c r="D3942" t="s">
        <v>28</v>
      </c>
      <c r="E3942" t="e">
        <f>VLOOKUP(Cpi_[[#This Row],[Attribute]],#REF!,2,FALSE)</f>
        <v>#REF!</v>
      </c>
      <c r="F3942">
        <v>122.1</v>
      </c>
      <c r="G3942">
        <f>(Cpi_[[#This Row],[Value]]-F3941)/F3941</f>
        <v>9.9255583126549932E-3</v>
      </c>
      <c r="H3942" t="e" cm="1" vm="1">
        <f t="array" aca="1" ref="H3942" ca="1">VLOOKUP(Cpi_[[#This Row],[Year]:[Month]],crudeoil[],3,FALSE)</f>
        <v>#VALUE!</v>
      </c>
    </row>
    <row r="3943" spans="1:8" hidden="1" x14ac:dyDescent="0.3">
      <c r="A3943" t="s">
        <v>33</v>
      </c>
      <c r="B3943">
        <v>2017</v>
      </c>
      <c r="C3943" t="s">
        <v>31</v>
      </c>
      <c r="D3943" t="s">
        <v>29</v>
      </c>
      <c r="E3943" t="e" cm="1">
        <f t="array" aca="1" ref="E3943" ca="1">VLGeneral indexGeneral indexKUP(Cpi_[[#This Row],[Attribute]],#REF!,2,FALSE)</f>
        <v>#NAME?</v>
      </c>
      <c r="F3943">
        <v>127.8</v>
      </c>
      <c r="G3943">
        <f>(Cpi_[[#This Row],[Value]]-F3942)/F3942</f>
        <v>4.6683046683046708E-2</v>
      </c>
      <c r="H3943" t="e" cm="1" vm="1">
        <f t="array" aca="1" ref="H3943" ca="1">VLOOKUP(Cpi_[[#This Row],[Year]:[Month]],crudeoil[],3,FALSE)</f>
        <v>#VALUE!</v>
      </c>
    </row>
    <row r="3944" spans="1:8" hidden="1" x14ac:dyDescent="0.3">
      <c r="A3944" t="s">
        <v>34</v>
      </c>
      <c r="B3944">
        <v>2017</v>
      </c>
      <c r="C3944" t="s">
        <v>31</v>
      </c>
      <c r="D3944" t="s">
        <v>3</v>
      </c>
      <c r="E3944" t="e">
        <f>VLOOKUP(Cpi_[[#This Row],[Attribute]],#REF!,2,FALSE)</f>
        <v>#REF!</v>
      </c>
      <c r="F3944">
        <v>132.80000000000001</v>
      </c>
      <c r="G3944">
        <f>(Cpi_[[#This Row],[Value]]-F3943)/F3943</f>
        <v>3.9123630672926561E-2</v>
      </c>
      <c r="H3944" t="e" cm="1" vm="1">
        <f t="array" aca="1" ref="H3944" ca="1">VLOOKUP(Cpi_[[#This Row],[Year]:[Month]],crudeoil[],3,FALSE)</f>
        <v>#VALUE!</v>
      </c>
    </row>
    <row r="3945" spans="1:8" hidden="1" x14ac:dyDescent="0.3">
      <c r="A3945" t="s">
        <v>34</v>
      </c>
      <c r="B3945">
        <v>2017</v>
      </c>
      <c r="C3945" t="s">
        <v>31</v>
      </c>
      <c r="D3945" t="s">
        <v>4</v>
      </c>
      <c r="E3945" t="e">
        <f>VLOOKUP(Cpi_[[#This Row],[Attribute]],#REF!,2,FALSE)</f>
        <v>#REF!</v>
      </c>
      <c r="F3945">
        <v>138.19999999999999</v>
      </c>
      <c r="G3945">
        <f>(Cpi_[[#This Row],[Value]]-F3944)/F3944</f>
        <v>4.0662650602409464E-2</v>
      </c>
      <c r="H3945" t="e" cm="1" vm="1">
        <f t="array" aca="1" ref="H3945" ca="1">VLOOKUP(Cpi_[[#This Row],[Year]:[Month]],crudeoil[],3,FALSE)</f>
        <v>#VALUE!</v>
      </c>
    </row>
    <row r="3946" spans="1:8" hidden="1" x14ac:dyDescent="0.3">
      <c r="A3946" t="s">
        <v>34</v>
      </c>
      <c r="B3946">
        <v>2017</v>
      </c>
      <c r="C3946" t="s">
        <v>31</v>
      </c>
      <c r="D3946" t="s">
        <v>5</v>
      </c>
      <c r="E3946" t="e">
        <f>VLOOKUP(Cpi_[[#This Row],[Attribute]],#REF!,2,FALSE)</f>
        <v>#REF!</v>
      </c>
      <c r="F3946">
        <v>132.19999999999999</v>
      </c>
      <c r="G3946">
        <f>(Cpi_[[#This Row],[Value]]-F3945)/F3945</f>
        <v>-4.3415340086830685E-2</v>
      </c>
      <c r="H3946" t="e" cm="1" vm="1">
        <f t="array" aca="1" ref="H3946" ca="1">VLOOKUP(Cpi_[[#This Row],[Year]:[Month]],crudeoil[],3,FALSE)</f>
        <v>#VALUE!</v>
      </c>
    </row>
    <row r="3947" spans="1:8" hidden="1" x14ac:dyDescent="0.3">
      <c r="A3947" t="s">
        <v>34</v>
      </c>
      <c r="B3947">
        <v>2017</v>
      </c>
      <c r="C3947" t="s">
        <v>31</v>
      </c>
      <c r="D3947" t="s">
        <v>6</v>
      </c>
      <c r="E3947" t="e">
        <f>VLOOKUP(Cpi_[[#This Row],[Attribute]],#REF!,2,FALSE)</f>
        <v>#REF!</v>
      </c>
      <c r="F3947">
        <v>135.4</v>
      </c>
      <c r="G3947">
        <f>(Cpi_[[#This Row],[Value]]-F3946)/F3946</f>
        <v>2.4205748865355654E-2</v>
      </c>
      <c r="H3947" t="e" cm="1" vm="1">
        <f t="array" aca="1" ref="H3947" ca="1">VLOOKUP(Cpi_[[#This Row],[Year]:[Month]],crudeoil[],3,FALSE)</f>
        <v>#VALUE!</v>
      </c>
    </row>
    <row r="3948" spans="1:8" hidden="1" x14ac:dyDescent="0.3">
      <c r="A3948" t="s">
        <v>34</v>
      </c>
      <c r="B3948">
        <v>2017</v>
      </c>
      <c r="C3948" t="s">
        <v>31</v>
      </c>
      <c r="D3948" t="s">
        <v>7</v>
      </c>
      <c r="E3948" t="e">
        <f>VLOOKUP(Cpi_[[#This Row],[Attribute]],#REF!,2,FALSE)</f>
        <v>#REF!</v>
      </c>
      <c r="F3948">
        <v>119.1</v>
      </c>
      <c r="G3948">
        <f>(Cpi_[[#This Row],[Value]]-F3947)/F3947</f>
        <v>-0.12038404726735606</v>
      </c>
      <c r="H3948" t="e" cm="1" vm="1">
        <f t="array" aca="1" ref="H3948" ca="1">VLOOKUP(Cpi_[[#This Row],[Year]:[Month]],crudeoil[],3,FALSE)</f>
        <v>#VALUE!</v>
      </c>
    </row>
    <row r="3949" spans="1:8" hidden="1" x14ac:dyDescent="0.3">
      <c r="A3949" t="s">
        <v>34</v>
      </c>
      <c r="B3949">
        <v>2017</v>
      </c>
      <c r="C3949" t="s">
        <v>31</v>
      </c>
      <c r="D3949" t="s">
        <v>8</v>
      </c>
      <c r="E3949" t="e">
        <f>VLOOKUP(Cpi_[[#This Row],[Attribute]],#REF!,2,FALSE)</f>
        <v>#REF!</v>
      </c>
      <c r="F3949">
        <v>133</v>
      </c>
      <c r="G3949">
        <f>(Cpi_[[#This Row],[Value]]-F3948)/F3948</f>
        <v>0.11670864819479435</v>
      </c>
      <c r="H3949" t="e" cm="1" vm="1">
        <f t="array" aca="1" ref="H3949" ca="1">VLOOKUP(Cpi_[[#This Row],[Year]:[Month]],crudeoil[],3,FALSE)</f>
        <v>#VALUE!</v>
      </c>
    </row>
    <row r="3950" spans="1:8" hidden="1" x14ac:dyDescent="0.3">
      <c r="A3950" t="s">
        <v>34</v>
      </c>
      <c r="B3950">
        <v>2017</v>
      </c>
      <c r="C3950" t="s">
        <v>31</v>
      </c>
      <c r="D3950" t="s">
        <v>9</v>
      </c>
      <c r="E3950" t="e">
        <f>VLOOKUP(Cpi_[[#This Row],[Attribute]],#REF!,2,FALSE)</f>
        <v>#REF!</v>
      </c>
      <c r="F3950">
        <v>119.4</v>
      </c>
      <c r="G3950">
        <f>(Cpi_[[#This Row],[Value]]-F3949)/F3949</f>
        <v>-0.10225563909774432</v>
      </c>
      <c r="H3950" t="e" cm="1" vm="1">
        <f t="array" aca="1" ref="H3950" ca="1">VLOOKUP(Cpi_[[#This Row],[Year]:[Month]],crudeoil[],3,FALSE)</f>
        <v>#VALUE!</v>
      </c>
    </row>
    <row r="3951" spans="1:8" hidden="1" x14ac:dyDescent="0.3">
      <c r="A3951" t="s">
        <v>34</v>
      </c>
      <c r="B3951">
        <v>2017</v>
      </c>
      <c r="C3951" t="s">
        <v>31</v>
      </c>
      <c r="D3951" t="s">
        <v>10</v>
      </c>
      <c r="E3951" t="e">
        <f>VLOOKUP(Cpi_[[#This Row],[Attribute]],#REF!,2,FALSE)</f>
        <v>#REF!</v>
      </c>
      <c r="F3951">
        <v>159.5</v>
      </c>
      <c r="G3951">
        <f>(Cpi_[[#This Row],[Value]]-F3950)/F3950</f>
        <v>0.33584589614740362</v>
      </c>
      <c r="H3951" t="e" cm="1" vm="1">
        <f t="array" aca="1" ref="H3951" ca="1">VLOOKUP(Cpi_[[#This Row],[Year]:[Month]],crudeoil[],3,FALSE)</f>
        <v>#VALUE!</v>
      </c>
    </row>
    <row r="3952" spans="1:8" hidden="1" x14ac:dyDescent="0.3">
      <c r="A3952" t="s">
        <v>34</v>
      </c>
      <c r="B3952">
        <v>2017</v>
      </c>
      <c r="C3952" t="s">
        <v>31</v>
      </c>
      <c r="D3952" t="s">
        <v>11</v>
      </c>
      <c r="E3952" t="e">
        <f>VLOOKUP(Cpi_[[#This Row],[Attribute]],#REF!,2,FALSE)</f>
        <v>#REF!</v>
      </c>
      <c r="F3952">
        <v>115.6</v>
      </c>
      <c r="G3952">
        <f>(Cpi_[[#This Row],[Value]]-F3951)/F3951</f>
        <v>-0.27523510971786835</v>
      </c>
      <c r="H3952" t="e" cm="1" vm="1">
        <f t="array" aca="1" ref="H3952" ca="1">VLOOKUP(Cpi_[[#This Row],[Year]:[Month]],crudeoil[],3,FALSE)</f>
        <v>#VALUE!</v>
      </c>
    </row>
    <row r="3953" spans="1:8" hidden="1" x14ac:dyDescent="0.3">
      <c r="A3953" t="s">
        <v>34</v>
      </c>
      <c r="B3953">
        <v>2017</v>
      </c>
      <c r="C3953" t="s">
        <v>31</v>
      </c>
      <c r="D3953" t="s">
        <v>12</v>
      </c>
      <c r="E3953" t="e">
        <f>VLOOKUP(Cpi_[[#This Row],[Attribute]],#REF!,2,FALSE)</f>
        <v>#REF!</v>
      </c>
      <c r="F3953">
        <v>139.6</v>
      </c>
      <c r="G3953">
        <f>(Cpi_[[#This Row],[Value]]-F3952)/F3952</f>
        <v>0.20761245674740486</v>
      </c>
      <c r="H3953" t="e" cm="1" vm="1">
        <f t="array" aca="1" ref="H3953" ca="1">VLOOKUP(Cpi_[[#This Row],[Year]:[Month]],crudeoil[],3,FALSE)</f>
        <v>#VALUE!</v>
      </c>
    </row>
    <row r="3954" spans="1:8" hidden="1" x14ac:dyDescent="0.3">
      <c r="A3954" t="s">
        <v>34</v>
      </c>
      <c r="B3954">
        <v>2017</v>
      </c>
      <c r="C3954" t="s">
        <v>31</v>
      </c>
      <c r="D3954" t="s">
        <v>13</v>
      </c>
      <c r="E3954" t="e">
        <f>VLOOKUP(Cpi_[[#This Row],[Attribute]],#REF!,2,FALSE)</f>
        <v>#REF!</v>
      </c>
      <c r="F3954">
        <v>126.6</v>
      </c>
      <c r="G3954">
        <f>(Cpi_[[#This Row],[Value]]-F3953)/F3953</f>
        <v>-9.3123209169054449E-2</v>
      </c>
      <c r="H3954" t="e" cm="1" vm="1">
        <f t="array" aca="1" ref="H3954" ca="1">VLOOKUP(Cpi_[[#This Row],[Year]:[Month]],crudeoil[],3,FALSE)</f>
        <v>#VALUE!</v>
      </c>
    </row>
    <row r="3955" spans="1:8" hidden="1" x14ac:dyDescent="0.3">
      <c r="A3955" t="s">
        <v>34</v>
      </c>
      <c r="B3955">
        <v>2017</v>
      </c>
      <c r="C3955" t="s">
        <v>31</v>
      </c>
      <c r="D3955" t="s">
        <v>14</v>
      </c>
      <c r="E3955" t="e">
        <f>VLOOKUP(Cpi_[[#This Row],[Attribute]],#REF!,2,FALSE)</f>
        <v>#REF!</v>
      </c>
      <c r="F3955">
        <v>142.80000000000001</v>
      </c>
      <c r="G3955">
        <f>(Cpi_[[#This Row],[Value]]-F3954)/F3954</f>
        <v>0.127962085308057</v>
      </c>
      <c r="H3955" t="e" cm="1" vm="1">
        <f t="array" aca="1" ref="H3955" ca="1">VLOOKUP(Cpi_[[#This Row],[Year]:[Month]],crudeoil[],3,FALSE)</f>
        <v>#VALUE!</v>
      </c>
    </row>
    <row r="3956" spans="1:8" hidden="1" x14ac:dyDescent="0.3">
      <c r="A3956" t="s">
        <v>34</v>
      </c>
      <c r="B3956">
        <v>2017</v>
      </c>
      <c r="C3956" t="s">
        <v>31</v>
      </c>
      <c r="D3956" t="s">
        <v>15</v>
      </c>
      <c r="E3956" t="e">
        <f>VLOOKUP(Cpi_[[#This Row],[Attribute]],#REF!,2,FALSE)</f>
        <v>#REF!</v>
      </c>
      <c r="F3956">
        <v>133.1</v>
      </c>
      <c r="G3956">
        <f>(Cpi_[[#This Row],[Value]]-F3955)/F3955</f>
        <v>-6.7927170868347458E-2</v>
      </c>
      <c r="H3956" t="e" cm="1" vm="1">
        <f t="array" aca="1" ref="H3956" ca="1">VLOOKUP(Cpi_[[#This Row],[Year]:[Month]],crudeoil[],3,FALSE)</f>
        <v>#VALUE!</v>
      </c>
    </row>
    <row r="3957" spans="1:8" hidden="1" x14ac:dyDescent="0.3">
      <c r="A3957" t="s">
        <v>34</v>
      </c>
      <c r="B3957">
        <v>2017</v>
      </c>
      <c r="C3957" t="s">
        <v>31</v>
      </c>
      <c r="D3957" t="s">
        <v>16</v>
      </c>
      <c r="E3957" t="e">
        <f>VLOOKUP(Cpi_[[#This Row],[Attribute]],#REF!,2,FALSE)</f>
        <v>#REF!</v>
      </c>
      <c r="F3957">
        <v>143.80000000000001</v>
      </c>
      <c r="G3957">
        <f>(Cpi_[[#This Row],[Value]]-F3956)/F3956</f>
        <v>8.0390683696468956E-2</v>
      </c>
      <c r="H3957" t="e" cm="1" vm="1">
        <f t="array" aca="1" ref="H3957" ca="1">VLOOKUP(Cpi_[[#This Row],[Year]:[Month]],crudeoil[],3,FALSE)</f>
        <v>#VALUE!</v>
      </c>
    </row>
    <row r="3958" spans="1:8" hidden="1" x14ac:dyDescent="0.3">
      <c r="A3958" t="s">
        <v>34</v>
      </c>
      <c r="B3958">
        <v>2017</v>
      </c>
      <c r="C3958" t="s">
        <v>31</v>
      </c>
      <c r="D3958" t="s">
        <v>17</v>
      </c>
      <c r="E3958" t="e">
        <f>VLOOKUP(Cpi_[[#This Row],[Attribute]],#REF!,2,FALSE)</f>
        <v>#REF!</v>
      </c>
      <c r="F3958">
        <v>136.6</v>
      </c>
      <c r="G3958">
        <f>(Cpi_[[#This Row],[Value]]-F3957)/F3957</f>
        <v>-5.0069541029207347E-2</v>
      </c>
      <c r="H3958" t="e" cm="1" vm="1">
        <f t="array" aca="1" ref="H3958" ca="1">VLOOKUP(Cpi_[[#This Row],[Year]:[Month]],crudeoil[],3,FALSE)</f>
        <v>#VALUE!</v>
      </c>
    </row>
    <row r="3959" spans="1:8" hidden="1" x14ac:dyDescent="0.3">
      <c r="A3959" t="s">
        <v>34</v>
      </c>
      <c r="B3959">
        <v>2017</v>
      </c>
      <c r="C3959" t="s">
        <v>31</v>
      </c>
      <c r="D3959" t="s">
        <v>18</v>
      </c>
      <c r="E3959" t="e">
        <f>VLOOKUP(Cpi_[[#This Row],[Attribute]],#REF!,2,FALSE)</f>
        <v>#REF!</v>
      </c>
      <c r="F3959">
        <v>130.19999999999999</v>
      </c>
      <c r="G3959">
        <f>(Cpi_[[#This Row],[Value]]-F3958)/F3958</f>
        <v>-4.6852122986822883E-2</v>
      </c>
      <c r="H3959" t="e" cm="1" vm="1">
        <f t="array" aca="1" ref="H3959" ca="1">VLOOKUP(Cpi_[[#This Row],[Year]:[Month]],crudeoil[],3,FALSE)</f>
        <v>#VALUE!</v>
      </c>
    </row>
    <row r="3960" spans="1:8" hidden="1" x14ac:dyDescent="0.3">
      <c r="A3960" t="s">
        <v>34</v>
      </c>
      <c r="B3960">
        <v>2017</v>
      </c>
      <c r="C3960" t="s">
        <v>31</v>
      </c>
      <c r="D3960" t="s">
        <v>19</v>
      </c>
      <c r="E3960" t="e">
        <f>VLOOKUP(Cpi_[[#This Row],[Attribute]],#REF!,2,FALSE)</f>
        <v>#REF!</v>
      </c>
      <c r="F3960">
        <v>135.6</v>
      </c>
      <c r="G3960">
        <f>(Cpi_[[#This Row],[Value]]-F3959)/F3959</f>
        <v>4.1474654377880234E-2</v>
      </c>
      <c r="H3960" t="e" cm="1" vm="1">
        <f t="array" aca="1" ref="H3960" ca="1">VLOOKUP(Cpi_[[#This Row],[Year]:[Month]],crudeoil[],3,FALSE)</f>
        <v>#VALUE!</v>
      </c>
    </row>
    <row r="3961" spans="1:8" hidden="1" x14ac:dyDescent="0.3">
      <c r="A3961" t="s">
        <v>34</v>
      </c>
      <c r="B3961">
        <v>2017</v>
      </c>
      <c r="C3961" t="s">
        <v>31</v>
      </c>
      <c r="D3961" t="s">
        <v>20</v>
      </c>
      <c r="E3961" t="e">
        <f>VLOOKUP(Cpi_[[#This Row],[Attribute]],#REF!,2,FALSE)</f>
        <v>#REF!</v>
      </c>
      <c r="F3961">
        <v>129.6</v>
      </c>
      <c r="G3961">
        <f>(Cpi_[[#This Row],[Value]]-F3960)/F3960</f>
        <v>-4.4247787610619468E-2</v>
      </c>
      <c r="H3961" t="e" cm="1" vm="1">
        <f t="array" aca="1" ref="H3961" ca="1">VLOOKUP(Cpi_[[#This Row],[Year]:[Month]],crudeoil[],3,FALSE)</f>
        <v>#VALUE!</v>
      </c>
    </row>
    <row r="3962" spans="1:8" hidden="1" x14ac:dyDescent="0.3">
      <c r="A3962" t="s">
        <v>34</v>
      </c>
      <c r="B3962">
        <v>2017</v>
      </c>
      <c r="C3962" t="s">
        <v>31</v>
      </c>
      <c r="D3962" t="s">
        <v>21</v>
      </c>
      <c r="E3962" t="e">
        <f>VLOOKUP(Cpi_[[#This Row],[Attribute]],#REF!,2,FALSE)</f>
        <v>#REF!</v>
      </c>
      <c r="F3962">
        <v>126.8</v>
      </c>
      <c r="G3962">
        <f>(Cpi_[[#This Row],[Value]]-F3961)/F3961</f>
        <v>-2.1604938271604916E-2</v>
      </c>
      <c r="H3962" t="e" cm="1" vm="1">
        <f t="array" aca="1" ref="H3962" ca="1">VLOOKUP(Cpi_[[#This Row],[Year]:[Month]],crudeoil[],3,FALSE)</f>
        <v>#VALUE!</v>
      </c>
    </row>
    <row r="3963" spans="1:8" hidden="1" x14ac:dyDescent="0.3">
      <c r="A3963" t="s">
        <v>34</v>
      </c>
      <c r="B3963">
        <v>2017</v>
      </c>
      <c r="C3963" t="s">
        <v>31</v>
      </c>
      <c r="D3963" t="s">
        <v>22</v>
      </c>
      <c r="E3963" t="e">
        <f>VLOOKUP(Cpi_[[#This Row],[Attribute]],#REF!,2,FALSE)</f>
        <v>#REF!</v>
      </c>
      <c r="F3963">
        <v>129.4</v>
      </c>
      <c r="G3963">
        <f>(Cpi_[[#This Row],[Value]]-F3962)/F3962</f>
        <v>2.0504731861198805E-2</v>
      </c>
      <c r="H3963" t="e" cm="1" vm="1">
        <f t="array" aca="1" ref="H3963" ca="1">VLOOKUP(Cpi_[[#This Row],[Year]:[Month]],crudeoil[],3,FALSE)</f>
        <v>#VALUE!</v>
      </c>
    </row>
    <row r="3964" spans="1:8" hidden="1" x14ac:dyDescent="0.3">
      <c r="A3964" t="s">
        <v>34</v>
      </c>
      <c r="B3964">
        <v>2017</v>
      </c>
      <c r="C3964" t="s">
        <v>31</v>
      </c>
      <c r="D3964" t="s">
        <v>23</v>
      </c>
      <c r="E3964" t="e">
        <f>VLOOKUP(Cpi_[[#This Row],[Attribute]],#REF!,2,FALSE)</f>
        <v>#REF!</v>
      </c>
      <c r="F3964">
        <v>127.1</v>
      </c>
      <c r="G3964">
        <f>(Cpi_[[#This Row],[Value]]-F3963)/F3963</f>
        <v>-1.7774343122102097E-2</v>
      </c>
      <c r="H3964" t="e" cm="1" vm="1">
        <f t="array" aca="1" ref="H3964" ca="1">VLOOKUP(Cpi_[[#This Row],[Year]:[Month]],crudeoil[],3,FALSE)</f>
        <v>#VALUE!</v>
      </c>
    </row>
    <row r="3965" spans="1:8" hidden="1" x14ac:dyDescent="0.3">
      <c r="A3965" t="s">
        <v>34</v>
      </c>
      <c r="B3965">
        <v>2017</v>
      </c>
      <c r="C3965" t="s">
        <v>31</v>
      </c>
      <c r="D3965" t="s">
        <v>24</v>
      </c>
      <c r="E3965" t="e">
        <f>VLOOKUP(Cpi_[[#This Row],[Attribute]],#REF!,2,FALSE)</f>
        <v>#REF!</v>
      </c>
      <c r="F3965">
        <v>117</v>
      </c>
      <c r="G3965">
        <f>(Cpi_[[#This Row],[Value]]-F3964)/F3964</f>
        <v>-7.946498819826904E-2</v>
      </c>
      <c r="H3965" t="e" cm="1" vm="1">
        <f t="array" aca="1" ref="H3965" ca="1">VLOOKUP(Cpi_[[#This Row],[Year]:[Month]],crudeoil[],3,FALSE)</f>
        <v>#VALUE!</v>
      </c>
    </row>
    <row r="3966" spans="1:8" hidden="1" x14ac:dyDescent="0.3">
      <c r="A3966" t="s">
        <v>34</v>
      </c>
      <c r="B3966">
        <v>2017</v>
      </c>
      <c r="C3966" t="s">
        <v>31</v>
      </c>
      <c r="D3966" t="s">
        <v>25</v>
      </c>
      <c r="E3966" t="e">
        <f>VLOOKUP(Cpi_[[#This Row],[Attribute]],#REF!,2,FALSE)</f>
        <v>#REF!</v>
      </c>
      <c r="F3966">
        <v>124.2</v>
      </c>
      <c r="G3966">
        <f>(Cpi_[[#This Row],[Value]]-F3965)/F3965</f>
        <v>6.1538461538461563E-2</v>
      </c>
      <c r="H3966" t="e" cm="1" vm="1">
        <f t="array" aca="1" ref="H3966" ca="1">VLOOKUP(Cpi_[[#This Row],[Year]:[Month]],crudeoil[],3,FALSE)</f>
        <v>#VALUE!</v>
      </c>
    </row>
    <row r="3967" spans="1:8" hidden="1" x14ac:dyDescent="0.3">
      <c r="A3967" t="s">
        <v>34</v>
      </c>
      <c r="B3967">
        <v>2017</v>
      </c>
      <c r="C3967" t="s">
        <v>31</v>
      </c>
      <c r="D3967" t="s">
        <v>26</v>
      </c>
      <c r="E3967" t="e">
        <f>VLOOKUP(Cpi_[[#This Row],[Attribute]],#REF!,2,FALSE)</f>
        <v>#REF!</v>
      </c>
      <c r="F3967">
        <v>133.30000000000001</v>
      </c>
      <c r="G3967">
        <f>(Cpi_[[#This Row],[Value]]-F3966)/F3966</f>
        <v>7.3268921095008113E-2</v>
      </c>
      <c r="H3967" t="e" cm="1" vm="1">
        <f t="array" aca="1" ref="H3967" ca="1">VLOOKUP(Cpi_[[#This Row],[Year]:[Month]],crudeoil[],3,FALSE)</f>
        <v>#VALUE!</v>
      </c>
    </row>
    <row r="3968" spans="1:8" hidden="1" x14ac:dyDescent="0.3">
      <c r="A3968" t="s">
        <v>34</v>
      </c>
      <c r="B3968">
        <v>2017</v>
      </c>
      <c r="C3968" t="s">
        <v>31</v>
      </c>
      <c r="D3968" t="s">
        <v>27</v>
      </c>
      <c r="E3968" t="e">
        <f>VLOOKUP(Cpi_[[#This Row],[Attribute]],#REF!,2,FALSE)</f>
        <v>#REF!</v>
      </c>
      <c r="F3968">
        <v>121.7</v>
      </c>
      <c r="G3968">
        <f>(Cpi_[[#This Row],[Value]]-F3967)/F3967</f>
        <v>-8.7021755438859774E-2</v>
      </c>
      <c r="H3968" t="e" cm="1" vm="1">
        <f t="array" aca="1" ref="H3968" ca="1">VLOOKUP(Cpi_[[#This Row],[Year]:[Month]],crudeoil[],3,FALSE)</f>
        <v>#VALUE!</v>
      </c>
    </row>
    <row r="3969" spans="1:8" hidden="1" x14ac:dyDescent="0.3">
      <c r="A3969" t="s">
        <v>34</v>
      </c>
      <c r="B3969">
        <v>2017</v>
      </c>
      <c r="C3969" t="s">
        <v>31</v>
      </c>
      <c r="D3969" t="s">
        <v>28</v>
      </c>
      <c r="E3969" t="e">
        <f>VLOOKUP(Cpi_[[#This Row],[Attribute]],#REF!,2,FALSE)</f>
        <v>#REF!</v>
      </c>
      <c r="F3969">
        <v>124.4</v>
      </c>
      <c r="G3969">
        <f>(Cpi_[[#This Row],[Value]]-F3968)/F3968</f>
        <v>2.2185702547247353E-2</v>
      </c>
      <c r="H3969" t="e" cm="1" vm="1">
        <f t="array" aca="1" ref="H3969" ca="1">VLOOKUP(Cpi_[[#This Row],[Year]:[Month]],crudeoil[],3,FALSE)</f>
        <v>#VALUE!</v>
      </c>
    </row>
    <row r="3970" spans="1:8" hidden="1" x14ac:dyDescent="0.3">
      <c r="A3970" t="s">
        <v>34</v>
      </c>
      <c r="B3970">
        <v>2017</v>
      </c>
      <c r="C3970" t="s">
        <v>31</v>
      </c>
      <c r="D3970" t="s">
        <v>29</v>
      </c>
      <c r="E3970" t="e" cm="1">
        <f t="array" aca="1" ref="E3970" ca="1">VLGeneral indexGeneral indexKUP(Cpi_[[#This Row],[Attribute]],#REF!,2,FALSE)</f>
        <v>#NAME?</v>
      </c>
      <c r="F3970">
        <v>130.30000000000001</v>
      </c>
      <c r="G3970">
        <f>(Cpi_[[#This Row],[Value]]-F3969)/F3969</f>
        <v>4.7427652733119018E-2</v>
      </c>
      <c r="H3970" t="e" cm="1" vm="1">
        <f t="array" aca="1" ref="H3970" ca="1">VLOOKUP(Cpi_[[#This Row],[Year]:[Month]],crudeoil[],3,FALSE)</f>
        <v>#VALUE!</v>
      </c>
    </row>
    <row r="3971" spans="1:8" hidden="1" x14ac:dyDescent="0.3">
      <c r="A3971" t="s">
        <v>30</v>
      </c>
      <c r="B3971">
        <v>2017</v>
      </c>
      <c r="C3971" t="s">
        <v>35</v>
      </c>
      <c r="D3971" t="s">
        <v>3</v>
      </c>
      <c r="E3971" t="e">
        <f>VLOOKUP(Cpi_[[#This Row],[Attribute]],#REF!,2,FALSE)</f>
        <v>#REF!</v>
      </c>
      <c r="F3971">
        <v>133.30000000000001</v>
      </c>
      <c r="G3971">
        <f>(Cpi_[[#This Row],[Value]]-F3970)/F3970</f>
        <v>2.3023791250959321E-2</v>
      </c>
      <c r="H3971" t="e" cm="1" vm="1">
        <f t="array" aca="1" ref="H3971" ca="1">VLOOKUP(Cpi_[[#This Row],[Year]:[Month]],crudeoil[],3,FALSE)</f>
        <v>#VALUE!</v>
      </c>
    </row>
    <row r="3972" spans="1:8" hidden="1" x14ac:dyDescent="0.3">
      <c r="A3972" t="s">
        <v>30</v>
      </c>
      <c r="B3972">
        <v>2017</v>
      </c>
      <c r="C3972" t="s">
        <v>35</v>
      </c>
      <c r="D3972" t="s">
        <v>4</v>
      </c>
      <c r="E3972" t="e">
        <f>VLOOKUP(Cpi_[[#This Row],[Attribute]],#REF!,2,FALSE)</f>
        <v>#REF!</v>
      </c>
      <c r="F3972">
        <v>138.30000000000001</v>
      </c>
      <c r="G3972">
        <f>(Cpi_[[#This Row],[Value]]-F3971)/F3971</f>
        <v>3.7509377344336084E-2</v>
      </c>
      <c r="H3972" t="e" cm="1" vm="1">
        <f t="array" aca="1" ref="H3972" ca="1">VLOOKUP(Cpi_[[#This Row],[Year]:[Month]],crudeoil[],3,FALSE)</f>
        <v>#VALUE!</v>
      </c>
    </row>
    <row r="3973" spans="1:8" hidden="1" x14ac:dyDescent="0.3">
      <c r="A3973" t="s">
        <v>30</v>
      </c>
      <c r="B3973">
        <v>2017</v>
      </c>
      <c r="C3973" t="s">
        <v>35</v>
      </c>
      <c r="D3973" t="s">
        <v>5</v>
      </c>
      <c r="E3973" t="e">
        <f>VLOOKUP(Cpi_[[#This Row],[Attribute]],#REF!,2,FALSE)</f>
        <v>#REF!</v>
      </c>
      <c r="F3973">
        <v>129.30000000000001</v>
      </c>
      <c r="G3973">
        <f>(Cpi_[[#This Row],[Value]]-F3972)/F3972</f>
        <v>-6.5075921908893705E-2</v>
      </c>
      <c r="H3973" t="e" cm="1" vm="1">
        <f t="array" aca="1" ref="H3973" ca="1">VLOOKUP(Cpi_[[#This Row],[Year]:[Month]],crudeoil[],3,FALSE)</f>
        <v>#VALUE!</v>
      </c>
    </row>
    <row r="3974" spans="1:8" hidden="1" x14ac:dyDescent="0.3">
      <c r="A3974" t="s">
        <v>30</v>
      </c>
      <c r="B3974">
        <v>2017</v>
      </c>
      <c r="C3974" t="s">
        <v>35</v>
      </c>
      <c r="D3974" t="s">
        <v>6</v>
      </c>
      <c r="E3974" t="e">
        <f>VLOOKUP(Cpi_[[#This Row],[Attribute]],#REF!,2,FALSE)</f>
        <v>#REF!</v>
      </c>
      <c r="F3974">
        <v>137.19999999999999</v>
      </c>
      <c r="G3974">
        <f>(Cpi_[[#This Row],[Value]]-F3973)/F3973</f>
        <v>6.1098221191028437E-2</v>
      </c>
      <c r="H3974" t="e" cm="1" vm="1">
        <f t="array" aca="1" ref="H3974" ca="1">VLOOKUP(Cpi_[[#This Row],[Year]:[Month]],crudeoil[],3,FALSE)</f>
        <v>#VALUE!</v>
      </c>
    </row>
    <row r="3975" spans="1:8" hidden="1" x14ac:dyDescent="0.3">
      <c r="A3975" t="s">
        <v>30</v>
      </c>
      <c r="B3975">
        <v>2017</v>
      </c>
      <c r="C3975" t="s">
        <v>35</v>
      </c>
      <c r="D3975" t="s">
        <v>7</v>
      </c>
      <c r="E3975" t="e">
        <f>VLOOKUP(Cpi_[[#This Row],[Attribute]],#REF!,2,FALSE)</f>
        <v>#REF!</v>
      </c>
      <c r="F3975">
        <v>122.1</v>
      </c>
      <c r="G3975">
        <f>(Cpi_[[#This Row],[Value]]-F3974)/F3974</f>
        <v>-0.11005830903790084</v>
      </c>
      <c r="H3975" t="e" cm="1" vm="1">
        <f t="array" aca="1" ref="H3975" ca="1">VLOOKUP(Cpi_[[#This Row],[Year]:[Month]],crudeoil[],3,FALSE)</f>
        <v>#VALUE!</v>
      </c>
    </row>
    <row r="3976" spans="1:8" hidden="1" x14ac:dyDescent="0.3">
      <c r="A3976" t="s">
        <v>30</v>
      </c>
      <c r="B3976">
        <v>2017</v>
      </c>
      <c r="C3976" t="s">
        <v>35</v>
      </c>
      <c r="D3976" t="s">
        <v>8</v>
      </c>
      <c r="E3976" t="e">
        <f>VLOOKUP(Cpi_[[#This Row],[Attribute]],#REF!,2,FALSE)</f>
        <v>#REF!</v>
      </c>
      <c r="F3976">
        <v>138.69999999999999</v>
      </c>
      <c r="G3976">
        <f>(Cpi_[[#This Row],[Value]]-F3975)/F3975</f>
        <v>0.13595413595413591</v>
      </c>
      <c r="H3976" t="e" cm="1" vm="1">
        <f t="array" aca="1" ref="H3976" ca="1">VLOOKUP(Cpi_[[#This Row],[Year]:[Month]],crudeoil[],3,FALSE)</f>
        <v>#VALUE!</v>
      </c>
    </row>
    <row r="3977" spans="1:8" hidden="1" x14ac:dyDescent="0.3">
      <c r="A3977" t="s">
        <v>30</v>
      </c>
      <c r="B3977">
        <v>2017</v>
      </c>
      <c r="C3977" t="s">
        <v>35</v>
      </c>
      <c r="D3977" t="s">
        <v>9</v>
      </c>
      <c r="E3977" t="e">
        <f>VLOOKUP(Cpi_[[#This Row],[Attribute]],#REF!,2,FALSE)</f>
        <v>#REF!</v>
      </c>
      <c r="F3977">
        <v>119.1</v>
      </c>
      <c r="G3977">
        <f>(Cpi_[[#This Row],[Value]]-F3976)/F3976</f>
        <v>-0.14131218457101655</v>
      </c>
      <c r="H3977" t="e" cm="1" vm="1">
        <f t="array" aca="1" ref="H3977" ca="1">VLOOKUP(Cpi_[[#This Row],[Year]:[Month]],crudeoil[],3,FALSE)</f>
        <v>#VALUE!</v>
      </c>
    </row>
    <row r="3978" spans="1:8" hidden="1" x14ac:dyDescent="0.3">
      <c r="A3978" t="s">
        <v>30</v>
      </c>
      <c r="B3978">
        <v>2017</v>
      </c>
      <c r="C3978" t="s">
        <v>35</v>
      </c>
      <c r="D3978" t="s">
        <v>10</v>
      </c>
      <c r="E3978" t="e">
        <f>VLOOKUP(Cpi_[[#This Row],[Attribute]],#REF!,2,FALSE)</f>
        <v>#REF!</v>
      </c>
      <c r="F3978">
        <v>156.9</v>
      </c>
      <c r="G3978">
        <f>(Cpi_[[#This Row],[Value]]-F3977)/F3977</f>
        <v>0.31738035264483638</v>
      </c>
      <c r="H3978" t="e" cm="1" vm="1">
        <f t="array" aca="1" ref="H3978" ca="1">VLOOKUP(Cpi_[[#This Row],[Year]:[Month]],crudeoil[],3,FALSE)</f>
        <v>#VALUE!</v>
      </c>
    </row>
    <row r="3979" spans="1:8" hidden="1" x14ac:dyDescent="0.3">
      <c r="A3979" t="s">
        <v>30</v>
      </c>
      <c r="B3979">
        <v>2017</v>
      </c>
      <c r="C3979" t="s">
        <v>35</v>
      </c>
      <c r="D3979" t="s">
        <v>11</v>
      </c>
      <c r="E3979" t="e">
        <f>VLOOKUP(Cpi_[[#This Row],[Attribute]],#REF!,2,FALSE)</f>
        <v>#REF!</v>
      </c>
      <c r="F3979">
        <v>116.2</v>
      </c>
      <c r="G3979">
        <f>(Cpi_[[#This Row],[Value]]-F3978)/F3978</f>
        <v>-0.25940089228808161</v>
      </c>
      <c r="H3979" t="e" cm="1" vm="1">
        <f t="array" aca="1" ref="H3979" ca="1">VLOOKUP(Cpi_[[#This Row],[Year]:[Month]],crudeoil[],3,FALSE)</f>
        <v>#VALUE!</v>
      </c>
    </row>
    <row r="3980" spans="1:8" hidden="1" x14ac:dyDescent="0.3">
      <c r="A3980" t="s">
        <v>30</v>
      </c>
      <c r="B3980">
        <v>2017</v>
      </c>
      <c r="C3980" t="s">
        <v>35</v>
      </c>
      <c r="D3980" t="s">
        <v>12</v>
      </c>
      <c r="E3980" t="e">
        <f>VLOOKUP(Cpi_[[#This Row],[Attribute]],#REF!,2,FALSE)</f>
        <v>#REF!</v>
      </c>
      <c r="F3980">
        <v>136</v>
      </c>
      <c r="G3980">
        <f>(Cpi_[[#This Row],[Value]]-F3979)/F3979</f>
        <v>0.17039586919104988</v>
      </c>
      <c r="H3980" t="e" cm="1" vm="1">
        <f t="array" aca="1" ref="H3980" ca="1">VLOOKUP(Cpi_[[#This Row],[Year]:[Month]],crudeoil[],3,FALSE)</f>
        <v>#VALUE!</v>
      </c>
    </row>
    <row r="3981" spans="1:8" hidden="1" x14ac:dyDescent="0.3">
      <c r="A3981" t="s">
        <v>30</v>
      </c>
      <c r="B3981">
        <v>2017</v>
      </c>
      <c r="C3981" t="s">
        <v>35</v>
      </c>
      <c r="D3981" t="s">
        <v>13</v>
      </c>
      <c r="E3981" t="e">
        <f>VLOOKUP(Cpi_[[#This Row],[Attribute]],#REF!,2,FALSE)</f>
        <v>#REF!</v>
      </c>
      <c r="F3981">
        <v>129.4</v>
      </c>
      <c r="G3981">
        <f>(Cpi_[[#This Row],[Value]]-F3980)/F3980</f>
        <v>-4.8529411764705842E-2</v>
      </c>
      <c r="H3981" t="e" cm="1" vm="1">
        <f t="array" aca="1" ref="H3981" ca="1">VLOOKUP(Cpi_[[#This Row],[Year]:[Month]],crudeoil[],3,FALSE)</f>
        <v>#VALUE!</v>
      </c>
    </row>
    <row r="3982" spans="1:8" hidden="1" x14ac:dyDescent="0.3">
      <c r="A3982" t="s">
        <v>30</v>
      </c>
      <c r="B3982">
        <v>2017</v>
      </c>
      <c r="C3982" t="s">
        <v>35</v>
      </c>
      <c r="D3982" t="s">
        <v>14</v>
      </c>
      <c r="E3982" t="e">
        <f>VLOOKUP(Cpi_[[#This Row],[Attribute]],#REF!,2,FALSE)</f>
        <v>#REF!</v>
      </c>
      <c r="F3982">
        <v>144.4</v>
      </c>
      <c r="G3982">
        <f>(Cpi_[[#This Row],[Value]]-F3981)/F3981</f>
        <v>0.11591962905718702</v>
      </c>
      <c r="H3982" t="e" cm="1" vm="1">
        <f t="array" aca="1" ref="H3982" ca="1">VLOOKUP(Cpi_[[#This Row],[Year]:[Month]],crudeoil[],3,FALSE)</f>
        <v>#VALUE!</v>
      </c>
    </row>
    <row r="3983" spans="1:8" hidden="1" x14ac:dyDescent="0.3">
      <c r="A3983" t="s">
        <v>30</v>
      </c>
      <c r="B3983">
        <v>2017</v>
      </c>
      <c r="C3983" t="s">
        <v>35</v>
      </c>
      <c r="D3983" t="s">
        <v>15</v>
      </c>
      <c r="E3983" t="e">
        <f>VLOOKUP(Cpi_[[#This Row],[Attribute]],#REF!,2,FALSE)</f>
        <v>#REF!</v>
      </c>
      <c r="F3983">
        <v>133.6</v>
      </c>
      <c r="G3983">
        <f>(Cpi_[[#This Row],[Value]]-F3982)/F3982</f>
        <v>-7.4792243767313096E-2</v>
      </c>
      <c r="H3983" t="e" cm="1" vm="1">
        <f t="array" aca="1" ref="H3983" ca="1">VLOOKUP(Cpi_[[#This Row],[Year]:[Month]],crudeoil[],3,FALSE)</f>
        <v>#VALUE!</v>
      </c>
    </row>
    <row r="3984" spans="1:8" hidden="1" x14ac:dyDescent="0.3">
      <c r="A3984" t="s">
        <v>30</v>
      </c>
      <c r="B3984">
        <v>2017</v>
      </c>
      <c r="C3984" t="s">
        <v>35</v>
      </c>
      <c r="D3984" t="s">
        <v>16</v>
      </c>
      <c r="E3984" t="e">
        <f>VLOOKUP(Cpi_[[#This Row],[Attribute]],#REF!,2,FALSE)</f>
        <v>#REF!</v>
      </c>
      <c r="F3984">
        <v>143.69999999999999</v>
      </c>
      <c r="G3984">
        <f>(Cpi_[[#This Row],[Value]]-F3983)/F3983</f>
        <v>7.5598802395209538E-2</v>
      </c>
      <c r="H3984" t="e" cm="1" vm="1">
        <f t="array" aca="1" ref="H3984" ca="1">VLOOKUP(Cpi_[[#This Row],[Year]:[Month]],crudeoil[],3,FALSE)</f>
        <v>#VALUE!</v>
      </c>
    </row>
    <row r="3985" spans="1:8" hidden="1" x14ac:dyDescent="0.3">
      <c r="A3985" t="s">
        <v>30</v>
      </c>
      <c r="B3985">
        <v>2017</v>
      </c>
      <c r="C3985" t="s">
        <v>35</v>
      </c>
      <c r="D3985" t="s">
        <v>17</v>
      </c>
      <c r="E3985" t="e">
        <f>VLOOKUP(Cpi_[[#This Row],[Attribute]],#REF!,2,FALSE)</f>
        <v>#REF!</v>
      </c>
      <c r="F3985">
        <v>140.9</v>
      </c>
      <c r="G3985">
        <f>(Cpi_[[#This Row],[Value]]-F3984)/F3984</f>
        <v>-1.9485038274182208E-2</v>
      </c>
      <c r="H3985" t="e" cm="1" vm="1">
        <f t="array" aca="1" ref="H3985" ca="1">VLOOKUP(Cpi_[[#This Row],[Year]:[Month]],crudeoil[],3,FALSE)</f>
        <v>#VALUE!</v>
      </c>
    </row>
    <row r="3986" spans="1:8" hidden="1" x14ac:dyDescent="0.3">
      <c r="A3986" t="s">
        <v>30</v>
      </c>
      <c r="B3986">
        <v>2017</v>
      </c>
      <c r="C3986" t="s">
        <v>35</v>
      </c>
      <c r="D3986" t="s">
        <v>18</v>
      </c>
      <c r="E3986" t="e">
        <f>VLOOKUP(Cpi_[[#This Row],[Attribute]],#REF!,2,FALSE)</f>
        <v>#REF!</v>
      </c>
      <c r="F3986">
        <v>135.80000000000001</v>
      </c>
      <c r="G3986">
        <f>(Cpi_[[#This Row],[Value]]-F3985)/F3985</f>
        <v>-3.6195883605393851E-2</v>
      </c>
      <c r="H3986" t="e" cm="1" vm="1">
        <f t="array" aca="1" ref="H3986" ca="1">VLOOKUP(Cpi_[[#This Row],[Year]:[Month]],crudeoil[],3,FALSE)</f>
        <v>#VALUE!</v>
      </c>
    </row>
    <row r="3987" spans="1:8" hidden="1" x14ac:dyDescent="0.3">
      <c r="A3987" t="s">
        <v>30</v>
      </c>
      <c r="B3987">
        <v>2017</v>
      </c>
      <c r="C3987" t="s">
        <v>35</v>
      </c>
      <c r="D3987" t="s">
        <v>19</v>
      </c>
      <c r="E3987" t="e">
        <f>VLOOKUP(Cpi_[[#This Row],[Attribute]],#REF!,2,FALSE)</f>
        <v>#REF!</v>
      </c>
      <c r="F3987">
        <v>140.19999999999999</v>
      </c>
      <c r="G3987">
        <f>(Cpi_[[#This Row],[Value]]-F3986)/F3986</f>
        <v>3.2400589101619859E-2</v>
      </c>
      <c r="H3987" t="e" cm="1" vm="1">
        <f t="array" aca="1" ref="H3987" ca="1">VLOOKUP(Cpi_[[#This Row],[Year]:[Month]],crudeoil[],3,FALSE)</f>
        <v>#VALUE!</v>
      </c>
    </row>
    <row r="3988" spans="1:8" hidden="1" x14ac:dyDescent="0.3">
      <c r="A3988" t="s">
        <v>30</v>
      </c>
      <c r="B3988">
        <v>2017</v>
      </c>
      <c r="C3988" t="s">
        <v>35</v>
      </c>
      <c r="D3988" t="s">
        <v>20</v>
      </c>
      <c r="E3988" t="e">
        <f>VLOOKUP(Cpi_[[#This Row],[Attribute]],#REF!,2,FALSE)</f>
        <v>#REF!</v>
      </c>
      <c r="F3988" t="s">
        <v>32</v>
      </c>
      <c r="G3988" t="e">
        <f>(Cpi_[[#This Row],[Value]]-F3987)/F3987</f>
        <v>#VALUE!</v>
      </c>
      <c r="H3988" t="e" cm="1" vm="1">
        <f t="array" aca="1" ref="H3988" ca="1">VLOOKUP(Cpi_[[#This Row],[Year]:[Month]],crudeoil[],3,FALSE)</f>
        <v>#VALUE!</v>
      </c>
    </row>
    <row r="3989" spans="1:8" hidden="1" x14ac:dyDescent="0.3">
      <c r="A3989" t="s">
        <v>30</v>
      </c>
      <c r="B3989">
        <v>2017</v>
      </c>
      <c r="C3989" t="s">
        <v>35</v>
      </c>
      <c r="D3989" t="s">
        <v>21</v>
      </c>
      <c r="E3989" t="e">
        <f>VLOOKUP(Cpi_[[#This Row],[Attribute]],#REF!,2,FALSE)</f>
        <v>#REF!</v>
      </c>
      <c r="F3989">
        <v>133.19999999999999</v>
      </c>
      <c r="G3989" t="e">
        <f>(Cpi_[[#This Row],[Value]]-F3988)/F3988</f>
        <v>#VALUE!</v>
      </c>
      <c r="H3989" t="e" cm="1" vm="1">
        <f t="array" aca="1" ref="H3989" ca="1">VLOOKUP(Cpi_[[#This Row],[Year]:[Month]],crudeoil[],3,FALSE)</f>
        <v>#VALUE!</v>
      </c>
    </row>
    <row r="3990" spans="1:8" hidden="1" x14ac:dyDescent="0.3">
      <c r="A3990" t="s">
        <v>30</v>
      </c>
      <c r="B3990">
        <v>2017</v>
      </c>
      <c r="C3990" t="s">
        <v>35</v>
      </c>
      <c r="D3990" t="s">
        <v>22</v>
      </c>
      <c r="E3990" t="e">
        <f>VLOOKUP(Cpi_[[#This Row],[Attribute]],#REF!,2,FALSE)</f>
        <v>#REF!</v>
      </c>
      <c r="F3990">
        <v>133.6</v>
      </c>
      <c r="G3990">
        <f>(Cpi_[[#This Row],[Value]]-F3989)/F3989</f>
        <v>3.0030030030030459E-3</v>
      </c>
      <c r="H3990" t="e" cm="1" vm="1">
        <f t="array" aca="1" ref="H3990" ca="1">VLOOKUP(Cpi_[[#This Row],[Year]:[Month]],crudeoil[],3,FALSE)</f>
        <v>#VALUE!</v>
      </c>
    </row>
    <row r="3991" spans="1:8" hidden="1" x14ac:dyDescent="0.3">
      <c r="A3991" t="s">
        <v>30</v>
      </c>
      <c r="B3991">
        <v>2017</v>
      </c>
      <c r="C3991" t="s">
        <v>35</v>
      </c>
      <c r="D3991" t="s">
        <v>23</v>
      </c>
      <c r="E3991" t="e">
        <f>VLOOKUP(Cpi_[[#This Row],[Attribute]],#REF!,2,FALSE)</f>
        <v>#REF!</v>
      </c>
      <c r="F3991">
        <v>130.1</v>
      </c>
      <c r="G3991">
        <f>(Cpi_[[#This Row],[Value]]-F3990)/F3990</f>
        <v>-2.6197604790419163E-2</v>
      </c>
      <c r="H3991" t="e" cm="1" vm="1">
        <f t="array" aca="1" ref="H3991" ca="1">VLOOKUP(Cpi_[[#This Row],[Year]:[Month]],crudeoil[],3,FALSE)</f>
        <v>#VALUE!</v>
      </c>
    </row>
    <row r="3992" spans="1:8" hidden="1" x14ac:dyDescent="0.3">
      <c r="A3992" t="s">
        <v>30</v>
      </c>
      <c r="B3992">
        <v>2017</v>
      </c>
      <c r="C3992" t="s">
        <v>35</v>
      </c>
      <c r="D3992" t="s">
        <v>24</v>
      </c>
      <c r="E3992" t="e">
        <f>VLOOKUP(Cpi_[[#This Row],[Attribute]],#REF!,2,FALSE)</f>
        <v>#REF!</v>
      </c>
      <c r="F3992">
        <v>119.5</v>
      </c>
      <c r="G3992">
        <f>(Cpi_[[#This Row],[Value]]-F3991)/F3991</f>
        <v>-8.1475787855495738E-2</v>
      </c>
      <c r="H3992" t="e" cm="1" vm="1">
        <f t="array" aca="1" ref="H3992" ca="1">VLOOKUP(Cpi_[[#This Row],[Year]:[Month]],crudeoil[],3,FALSE)</f>
        <v>#VALUE!</v>
      </c>
    </row>
    <row r="3993" spans="1:8" hidden="1" x14ac:dyDescent="0.3">
      <c r="A3993" t="s">
        <v>30</v>
      </c>
      <c r="B3993">
        <v>2017</v>
      </c>
      <c r="C3993" t="s">
        <v>35</v>
      </c>
      <c r="D3993" t="s">
        <v>25</v>
      </c>
      <c r="E3993" t="e">
        <f>VLOOKUP(Cpi_[[#This Row],[Attribute]],#REF!,2,FALSE)</f>
        <v>#REF!</v>
      </c>
      <c r="F3993">
        <v>127.7</v>
      </c>
      <c r="G3993">
        <f>(Cpi_[[#This Row],[Value]]-F3992)/F3992</f>
        <v>6.8619246861924707E-2</v>
      </c>
      <c r="H3993" t="e" cm="1" vm="1">
        <f t="array" aca="1" ref="H3993" ca="1">VLOOKUP(Cpi_[[#This Row],[Year]:[Month]],crudeoil[],3,FALSE)</f>
        <v>#VALUE!</v>
      </c>
    </row>
    <row r="3994" spans="1:8" hidden="1" x14ac:dyDescent="0.3">
      <c r="A3994" t="s">
        <v>30</v>
      </c>
      <c r="B3994">
        <v>2017</v>
      </c>
      <c r="C3994" t="s">
        <v>35</v>
      </c>
      <c r="D3994" t="s">
        <v>26</v>
      </c>
      <c r="E3994" t="e">
        <f>VLOOKUP(Cpi_[[#This Row],[Attribute]],#REF!,2,FALSE)</f>
        <v>#REF!</v>
      </c>
      <c r="F3994">
        <v>134.9</v>
      </c>
      <c r="G3994">
        <f>(Cpi_[[#This Row],[Value]]-F3993)/F3993</f>
        <v>5.6382145653876295E-2</v>
      </c>
      <c r="H3994" t="e" cm="1" vm="1">
        <f t="array" aca="1" ref="H3994" ca="1">VLOOKUP(Cpi_[[#This Row],[Year]:[Month]],crudeoil[],3,FALSE)</f>
        <v>#VALUE!</v>
      </c>
    </row>
    <row r="3995" spans="1:8" hidden="1" x14ac:dyDescent="0.3">
      <c r="A3995" t="s">
        <v>30</v>
      </c>
      <c r="B3995">
        <v>2017</v>
      </c>
      <c r="C3995" t="s">
        <v>35</v>
      </c>
      <c r="D3995" t="s">
        <v>27</v>
      </c>
      <c r="E3995" t="e">
        <f>VLOOKUP(Cpi_[[#This Row],[Attribute]],#REF!,2,FALSE)</f>
        <v>#REF!</v>
      </c>
      <c r="F3995">
        <v>123.2</v>
      </c>
      <c r="G3995">
        <f>(Cpi_[[#This Row],[Value]]-F3994)/F3994</f>
        <v>-8.6730911786508547E-2</v>
      </c>
      <c r="H3995" t="e" cm="1" vm="1">
        <f t="array" aca="1" ref="H3995" ca="1">VLOOKUP(Cpi_[[#This Row],[Year]:[Month]],crudeoil[],3,FALSE)</f>
        <v>#VALUE!</v>
      </c>
    </row>
    <row r="3996" spans="1:8" hidden="1" x14ac:dyDescent="0.3">
      <c r="A3996" t="s">
        <v>30</v>
      </c>
      <c r="B3996">
        <v>2017</v>
      </c>
      <c r="C3996" t="s">
        <v>35</v>
      </c>
      <c r="D3996" t="s">
        <v>28</v>
      </c>
      <c r="E3996" t="e">
        <f>VLOOKUP(Cpi_[[#This Row],[Attribute]],#REF!,2,FALSE)</f>
        <v>#REF!</v>
      </c>
      <c r="F3996">
        <v>127</v>
      </c>
      <c r="G3996">
        <f>(Cpi_[[#This Row],[Value]]-F3995)/F3995</f>
        <v>3.084415584415582E-2</v>
      </c>
      <c r="H3996" t="e" cm="1" vm="1">
        <f t="array" aca="1" ref="H3996" ca="1">VLOOKUP(Cpi_[[#This Row],[Year]:[Month]],crudeoil[],3,FALSE)</f>
        <v>#VALUE!</v>
      </c>
    </row>
    <row r="3997" spans="1:8" hidden="1" x14ac:dyDescent="0.3">
      <c r="A3997" t="s">
        <v>30</v>
      </c>
      <c r="B3997">
        <v>2017</v>
      </c>
      <c r="C3997" t="s">
        <v>35</v>
      </c>
      <c r="D3997" t="s">
        <v>29</v>
      </c>
      <c r="E3997" t="e" cm="1">
        <f t="array" aca="1" ref="E3997" ca="1">VLGeneral indexGeneral indexKUP(Cpi_[[#This Row],[Attribute]],#REF!,2,FALSE)</f>
        <v>#NAME?</v>
      </c>
      <c r="F3997">
        <v>132.6</v>
      </c>
      <c r="G3997">
        <f>(Cpi_[[#This Row],[Value]]-F3996)/F3996</f>
        <v>4.4094488188976336E-2</v>
      </c>
      <c r="H3997" t="e" cm="1" vm="1">
        <f t="array" aca="1" ref="H3997" ca="1">VLOOKUP(Cpi_[[#This Row],[Year]:[Month]],crudeoil[],3,FALSE)</f>
        <v>#VALUE!</v>
      </c>
    </row>
    <row r="3998" spans="1:8" hidden="1" x14ac:dyDescent="0.3">
      <c r="A3998" t="s">
        <v>33</v>
      </c>
      <c r="B3998">
        <v>2017</v>
      </c>
      <c r="C3998" t="s">
        <v>35</v>
      </c>
      <c r="D3998" t="s">
        <v>3</v>
      </c>
      <c r="E3998" t="e">
        <f>VLOOKUP(Cpi_[[#This Row],[Attribute]],#REF!,2,FALSE)</f>
        <v>#REF!</v>
      </c>
      <c r="F3998">
        <v>132.80000000000001</v>
      </c>
      <c r="G3998">
        <f>(Cpi_[[#This Row],[Value]]-F3997)/F3997</f>
        <v>1.5082956259428134E-3</v>
      </c>
      <c r="H3998" t="e" cm="1" vm="1">
        <f t="array" aca="1" ref="H3998" ca="1">VLOOKUP(Cpi_[[#This Row],[Year]:[Month]],crudeoil[],3,FALSE)</f>
        <v>#VALUE!</v>
      </c>
    </row>
    <row r="3999" spans="1:8" hidden="1" x14ac:dyDescent="0.3">
      <c r="A3999" t="s">
        <v>33</v>
      </c>
      <c r="B3999">
        <v>2017</v>
      </c>
      <c r="C3999" t="s">
        <v>35</v>
      </c>
      <c r="D3999" t="s">
        <v>4</v>
      </c>
      <c r="E3999" t="e">
        <f>VLOOKUP(Cpi_[[#This Row],[Attribute]],#REF!,2,FALSE)</f>
        <v>#REF!</v>
      </c>
      <c r="F3999">
        <v>139.80000000000001</v>
      </c>
      <c r="G3999">
        <f>(Cpi_[[#This Row],[Value]]-F3998)/F3998</f>
        <v>5.2710843373493972E-2</v>
      </c>
      <c r="H3999" t="e" cm="1" vm="1">
        <f t="array" aca="1" ref="H3999" ca="1">VLOOKUP(Cpi_[[#This Row],[Year]:[Month]],crudeoil[],3,FALSE)</f>
        <v>#VALUE!</v>
      </c>
    </row>
    <row r="4000" spans="1:8" hidden="1" x14ac:dyDescent="0.3">
      <c r="A4000" t="s">
        <v>33</v>
      </c>
      <c r="B4000">
        <v>2017</v>
      </c>
      <c r="C4000" t="s">
        <v>35</v>
      </c>
      <c r="D4000" t="s">
        <v>5</v>
      </c>
      <c r="E4000" t="e">
        <f>VLOOKUP(Cpi_[[#This Row],[Attribute]],#REF!,2,FALSE)</f>
        <v>#REF!</v>
      </c>
      <c r="F4000">
        <v>129.30000000000001</v>
      </c>
      <c r="G4000">
        <f>(Cpi_[[#This Row],[Value]]-F3999)/F3999</f>
        <v>-7.5107296137339047E-2</v>
      </c>
      <c r="H4000" t="e" cm="1" vm="1">
        <f t="array" aca="1" ref="H4000" ca="1">VLOOKUP(Cpi_[[#This Row],[Year]:[Month]],crudeoil[],3,FALSE)</f>
        <v>#VALUE!</v>
      </c>
    </row>
    <row r="4001" spans="1:8" hidden="1" x14ac:dyDescent="0.3">
      <c r="A4001" t="s">
        <v>33</v>
      </c>
      <c r="B4001">
        <v>2017</v>
      </c>
      <c r="C4001" t="s">
        <v>35</v>
      </c>
      <c r="D4001" t="s">
        <v>6</v>
      </c>
      <c r="E4001" t="e">
        <f>VLOOKUP(Cpi_[[#This Row],[Attribute]],#REF!,2,FALSE)</f>
        <v>#REF!</v>
      </c>
      <c r="F4001">
        <v>133.5</v>
      </c>
      <c r="G4001">
        <f>(Cpi_[[#This Row],[Value]]-F4000)/F4000</f>
        <v>3.248259860788854E-2</v>
      </c>
      <c r="H4001" t="e" cm="1" vm="1">
        <f t="array" aca="1" ref="H4001" ca="1">VLOOKUP(Cpi_[[#This Row],[Year]:[Month]],crudeoil[],3,FALSE)</f>
        <v>#VALUE!</v>
      </c>
    </row>
    <row r="4002" spans="1:8" hidden="1" x14ac:dyDescent="0.3">
      <c r="A4002" t="s">
        <v>33</v>
      </c>
      <c r="B4002">
        <v>2017</v>
      </c>
      <c r="C4002" t="s">
        <v>35</v>
      </c>
      <c r="D4002" t="s">
        <v>7</v>
      </c>
      <c r="E4002" t="e">
        <f>VLOOKUP(Cpi_[[#This Row],[Attribute]],#REF!,2,FALSE)</f>
        <v>#REF!</v>
      </c>
      <c r="F4002">
        <v>114.3</v>
      </c>
      <c r="G4002">
        <f>(Cpi_[[#This Row],[Value]]-F4001)/F4001</f>
        <v>-0.14382022471910114</v>
      </c>
      <c r="H4002" t="e" cm="1" vm="1">
        <f t="array" aca="1" ref="H4002" ca="1">VLOOKUP(Cpi_[[#This Row],[Year]:[Month]],crudeoil[],3,FALSE)</f>
        <v>#VALUE!</v>
      </c>
    </row>
    <row r="4003" spans="1:8" hidden="1" x14ac:dyDescent="0.3">
      <c r="A4003" t="s">
        <v>33</v>
      </c>
      <c r="B4003">
        <v>2017</v>
      </c>
      <c r="C4003" t="s">
        <v>35</v>
      </c>
      <c r="D4003" t="s">
        <v>8</v>
      </c>
      <c r="E4003" t="e">
        <f>VLOOKUP(Cpi_[[#This Row],[Attribute]],#REF!,2,FALSE)</f>
        <v>#REF!</v>
      </c>
      <c r="F4003">
        <v>131.4</v>
      </c>
      <c r="G4003">
        <f>(Cpi_[[#This Row],[Value]]-F4002)/F4002</f>
        <v>0.14960629921259849</v>
      </c>
      <c r="H4003" t="e" cm="1" vm="1">
        <f t="array" aca="1" ref="H4003" ca="1">VLOOKUP(Cpi_[[#This Row],[Year]:[Month]],crudeoil[],3,FALSE)</f>
        <v>#VALUE!</v>
      </c>
    </row>
    <row r="4004" spans="1:8" hidden="1" x14ac:dyDescent="0.3">
      <c r="A4004" t="s">
        <v>33</v>
      </c>
      <c r="B4004">
        <v>2017</v>
      </c>
      <c r="C4004" t="s">
        <v>35</v>
      </c>
      <c r="D4004" t="s">
        <v>9</v>
      </c>
      <c r="E4004" t="e">
        <f>VLOOKUP(Cpi_[[#This Row],[Attribute]],#REF!,2,FALSE)</f>
        <v>#REF!</v>
      </c>
      <c r="F4004">
        <v>120.2</v>
      </c>
      <c r="G4004">
        <f>(Cpi_[[#This Row],[Value]]-F4003)/F4003</f>
        <v>-8.5235920852359232E-2</v>
      </c>
      <c r="H4004" t="e" cm="1" vm="1">
        <f t="array" aca="1" ref="H4004" ca="1">VLOOKUP(Cpi_[[#This Row],[Year]:[Month]],crudeoil[],3,FALSE)</f>
        <v>#VALUE!</v>
      </c>
    </row>
    <row r="4005" spans="1:8" hidden="1" x14ac:dyDescent="0.3">
      <c r="A4005" t="s">
        <v>33</v>
      </c>
      <c r="B4005">
        <v>2017</v>
      </c>
      <c r="C4005" t="s">
        <v>35</v>
      </c>
      <c r="D4005" t="s">
        <v>10</v>
      </c>
      <c r="E4005" t="e">
        <f>VLOOKUP(Cpi_[[#This Row],[Attribute]],#REF!,2,FALSE)</f>
        <v>#REF!</v>
      </c>
      <c r="F4005">
        <v>143.1</v>
      </c>
      <c r="G4005">
        <f>(Cpi_[[#This Row],[Value]]-F4004)/F4004</f>
        <v>0.19051580698835266</v>
      </c>
      <c r="H4005" t="e" cm="1" vm="1">
        <f t="array" aca="1" ref="H4005" ca="1">VLOOKUP(Cpi_[[#This Row],[Year]:[Month]],crudeoil[],3,FALSE)</f>
        <v>#VALUE!</v>
      </c>
    </row>
    <row r="4006" spans="1:8" hidden="1" x14ac:dyDescent="0.3">
      <c r="A4006" t="s">
        <v>33</v>
      </c>
      <c r="B4006">
        <v>2017</v>
      </c>
      <c r="C4006" t="s">
        <v>35</v>
      </c>
      <c r="D4006" t="s">
        <v>11</v>
      </c>
      <c r="E4006" t="e">
        <f>VLOOKUP(Cpi_[[#This Row],[Attribute]],#REF!,2,FALSE)</f>
        <v>#REF!</v>
      </c>
      <c r="F4006">
        <v>119.5</v>
      </c>
      <c r="G4006">
        <f>(Cpi_[[#This Row],[Value]]-F4005)/F4005</f>
        <v>-0.1649196366177498</v>
      </c>
      <c r="H4006" t="e" cm="1" vm="1">
        <f t="array" aca="1" ref="H4006" ca="1">VLOOKUP(Cpi_[[#This Row],[Year]:[Month]],crudeoil[],3,FALSE)</f>
        <v>#VALUE!</v>
      </c>
    </row>
    <row r="4007" spans="1:8" hidden="1" x14ac:dyDescent="0.3">
      <c r="A4007" t="s">
        <v>33</v>
      </c>
      <c r="B4007">
        <v>2017</v>
      </c>
      <c r="C4007" t="s">
        <v>35</v>
      </c>
      <c r="D4007" t="s">
        <v>12</v>
      </c>
      <c r="E4007" t="e">
        <f>VLOOKUP(Cpi_[[#This Row],[Attribute]],#REF!,2,FALSE)</f>
        <v>#REF!</v>
      </c>
      <c r="F4007">
        <v>144</v>
      </c>
      <c r="G4007">
        <f>(Cpi_[[#This Row],[Value]]-F4006)/F4006</f>
        <v>0.20502092050209206</v>
      </c>
      <c r="H4007" t="e" cm="1" vm="1">
        <f t="array" aca="1" ref="H4007" ca="1">VLOOKUP(Cpi_[[#This Row],[Year]:[Month]],crudeoil[],3,FALSE)</f>
        <v>#VALUE!</v>
      </c>
    </row>
    <row r="4008" spans="1:8" hidden="1" x14ac:dyDescent="0.3">
      <c r="A4008" t="s">
        <v>33</v>
      </c>
      <c r="B4008">
        <v>2017</v>
      </c>
      <c r="C4008" t="s">
        <v>35</v>
      </c>
      <c r="D4008" t="s">
        <v>13</v>
      </c>
      <c r="E4008" t="e">
        <f>VLOOKUP(Cpi_[[#This Row],[Attribute]],#REF!,2,FALSE)</f>
        <v>#REF!</v>
      </c>
      <c r="F4008">
        <v>123.4</v>
      </c>
      <c r="G4008">
        <f>(Cpi_[[#This Row],[Value]]-F4007)/F4007</f>
        <v>-0.14305555555555552</v>
      </c>
      <c r="H4008" t="e" cm="1" vm="1">
        <f t="array" aca="1" ref="H4008" ca="1">VLOOKUP(Cpi_[[#This Row],[Year]:[Month]],crudeoil[],3,FALSE)</f>
        <v>#VALUE!</v>
      </c>
    </row>
    <row r="4009" spans="1:8" hidden="1" x14ac:dyDescent="0.3">
      <c r="A4009" t="s">
        <v>33</v>
      </c>
      <c r="B4009">
        <v>2017</v>
      </c>
      <c r="C4009" t="s">
        <v>35</v>
      </c>
      <c r="D4009" t="s">
        <v>14</v>
      </c>
      <c r="E4009" t="e">
        <f>VLOOKUP(Cpi_[[#This Row],[Attribute]],#REF!,2,FALSE)</f>
        <v>#REF!</v>
      </c>
      <c r="F4009">
        <v>141.9</v>
      </c>
      <c r="G4009">
        <f>(Cpi_[[#This Row],[Value]]-F4008)/F4008</f>
        <v>0.14991896272285252</v>
      </c>
      <c r="H4009" t="e" cm="1" vm="1">
        <f t="array" aca="1" ref="H4009" ca="1">VLOOKUP(Cpi_[[#This Row],[Year]:[Month]],crudeoil[],3,FALSE)</f>
        <v>#VALUE!</v>
      </c>
    </row>
    <row r="4010" spans="1:8" hidden="1" x14ac:dyDescent="0.3">
      <c r="A4010" t="s">
        <v>33</v>
      </c>
      <c r="B4010">
        <v>2017</v>
      </c>
      <c r="C4010" t="s">
        <v>35</v>
      </c>
      <c r="D4010" t="s">
        <v>15</v>
      </c>
      <c r="E4010" t="e">
        <f>VLOOKUP(Cpi_[[#This Row],[Attribute]],#REF!,2,FALSE)</f>
        <v>#REF!</v>
      </c>
      <c r="F4010">
        <v>132.1</v>
      </c>
      <c r="G4010">
        <f>(Cpi_[[#This Row],[Value]]-F4009)/F4009</f>
        <v>-6.9062720225511007E-2</v>
      </c>
      <c r="H4010" t="e" cm="1" vm="1">
        <f t="array" aca="1" ref="H4010" ca="1">VLOOKUP(Cpi_[[#This Row],[Year]:[Month]],crudeoil[],3,FALSE)</f>
        <v>#VALUE!</v>
      </c>
    </row>
    <row r="4011" spans="1:8" hidden="1" x14ac:dyDescent="0.3">
      <c r="A4011" t="s">
        <v>33</v>
      </c>
      <c r="B4011">
        <v>2017</v>
      </c>
      <c r="C4011" t="s">
        <v>35</v>
      </c>
      <c r="D4011" t="s">
        <v>16</v>
      </c>
      <c r="E4011" t="e">
        <f>VLOOKUP(Cpi_[[#This Row],[Attribute]],#REF!,2,FALSE)</f>
        <v>#REF!</v>
      </c>
      <c r="F4011">
        <v>146.30000000000001</v>
      </c>
      <c r="G4011">
        <f>(Cpi_[[#This Row],[Value]]-F4010)/F4010</f>
        <v>0.10749432248296759</v>
      </c>
      <c r="H4011" t="e" cm="1" vm="1">
        <f t="array" aca="1" ref="H4011" ca="1">VLOOKUP(Cpi_[[#This Row],[Year]:[Month]],crudeoil[],3,FALSE)</f>
        <v>#VALUE!</v>
      </c>
    </row>
    <row r="4012" spans="1:8" hidden="1" x14ac:dyDescent="0.3">
      <c r="A4012" t="s">
        <v>33</v>
      </c>
      <c r="B4012">
        <v>2017</v>
      </c>
      <c r="C4012" t="s">
        <v>35</v>
      </c>
      <c r="D4012" t="s">
        <v>17</v>
      </c>
      <c r="E4012" t="e">
        <f>VLOOKUP(Cpi_[[#This Row],[Attribute]],#REF!,2,FALSE)</f>
        <v>#REF!</v>
      </c>
      <c r="F4012">
        <v>130.5</v>
      </c>
      <c r="G4012">
        <f>(Cpi_[[#This Row],[Value]]-F4011)/F4011</f>
        <v>-0.1079972658920028</v>
      </c>
      <c r="H4012" t="e" cm="1" vm="1">
        <f t="array" aca="1" ref="H4012" ca="1">VLOOKUP(Cpi_[[#This Row],[Year]:[Month]],crudeoil[],3,FALSE)</f>
        <v>#VALUE!</v>
      </c>
    </row>
    <row r="4013" spans="1:8" hidden="1" x14ac:dyDescent="0.3">
      <c r="A4013" t="s">
        <v>33</v>
      </c>
      <c r="B4013">
        <v>2017</v>
      </c>
      <c r="C4013" t="s">
        <v>35</v>
      </c>
      <c r="D4013" t="s">
        <v>18</v>
      </c>
      <c r="E4013" t="e">
        <f>VLOOKUP(Cpi_[[#This Row],[Attribute]],#REF!,2,FALSE)</f>
        <v>#REF!</v>
      </c>
      <c r="F4013">
        <v>122.5</v>
      </c>
      <c r="G4013">
        <f>(Cpi_[[#This Row],[Value]]-F4012)/F4012</f>
        <v>-6.1302681992337162E-2</v>
      </c>
      <c r="H4013" t="e" cm="1" vm="1">
        <f t="array" aca="1" ref="H4013" ca="1">VLOOKUP(Cpi_[[#This Row],[Year]:[Month]],crudeoil[],3,FALSE)</f>
        <v>#VALUE!</v>
      </c>
    </row>
    <row r="4014" spans="1:8" hidden="1" x14ac:dyDescent="0.3">
      <c r="A4014" t="s">
        <v>33</v>
      </c>
      <c r="B4014">
        <v>2017</v>
      </c>
      <c r="C4014" t="s">
        <v>35</v>
      </c>
      <c r="D4014" t="s">
        <v>19</v>
      </c>
      <c r="E4014" t="e">
        <f>VLOOKUP(Cpi_[[#This Row],[Attribute]],#REF!,2,FALSE)</f>
        <v>#REF!</v>
      </c>
      <c r="F4014">
        <v>129.30000000000001</v>
      </c>
      <c r="G4014">
        <f>(Cpi_[[#This Row],[Value]]-F4013)/F4013</f>
        <v>5.5510204081632743E-2</v>
      </c>
      <c r="H4014" t="e" cm="1" vm="1">
        <f t="array" aca="1" ref="H4014" ca="1">VLOOKUP(Cpi_[[#This Row],[Year]:[Month]],crudeoil[],3,FALSE)</f>
        <v>#VALUE!</v>
      </c>
    </row>
    <row r="4015" spans="1:8" hidden="1" x14ac:dyDescent="0.3">
      <c r="A4015" t="s">
        <v>33</v>
      </c>
      <c r="B4015">
        <v>2017</v>
      </c>
      <c r="C4015" t="s">
        <v>35</v>
      </c>
      <c r="D4015" t="s">
        <v>20</v>
      </c>
      <c r="E4015" t="e">
        <f>VLOOKUP(Cpi_[[#This Row],[Attribute]],#REF!,2,FALSE)</f>
        <v>#REF!</v>
      </c>
      <c r="F4015">
        <v>130.5</v>
      </c>
      <c r="G4015">
        <f>(Cpi_[[#This Row],[Value]]-F4014)/F4014</f>
        <v>9.2807424593966629E-3</v>
      </c>
      <c r="H4015" t="e" cm="1" vm="1">
        <f t="array" aca="1" ref="H4015" ca="1">VLOOKUP(Cpi_[[#This Row],[Year]:[Month]],crudeoil[],3,FALSE)</f>
        <v>#VALUE!</v>
      </c>
    </row>
    <row r="4016" spans="1:8" hidden="1" x14ac:dyDescent="0.3">
      <c r="A4016" t="s">
        <v>33</v>
      </c>
      <c r="B4016">
        <v>2017</v>
      </c>
      <c r="C4016" t="s">
        <v>35</v>
      </c>
      <c r="D4016" t="s">
        <v>21</v>
      </c>
      <c r="E4016" t="e">
        <f>VLOOKUP(Cpi_[[#This Row],[Attribute]],#REF!,2,FALSE)</f>
        <v>#REF!</v>
      </c>
      <c r="F4016">
        <v>119.2</v>
      </c>
      <c r="G4016">
        <f>(Cpi_[[#This Row],[Value]]-F4015)/F4015</f>
        <v>-8.6590038314176221E-2</v>
      </c>
      <c r="H4016" t="e" cm="1" vm="1">
        <f t="array" aca="1" ref="H4016" ca="1">VLOOKUP(Cpi_[[#This Row],[Year]:[Month]],crudeoil[],3,FALSE)</f>
        <v>#VALUE!</v>
      </c>
    </row>
    <row r="4017" spans="1:8" hidden="1" x14ac:dyDescent="0.3">
      <c r="A4017" t="s">
        <v>33</v>
      </c>
      <c r="B4017">
        <v>2017</v>
      </c>
      <c r="C4017" t="s">
        <v>35</v>
      </c>
      <c r="D4017" t="s">
        <v>22</v>
      </c>
      <c r="E4017" t="e">
        <f>VLOOKUP(Cpi_[[#This Row],[Attribute]],#REF!,2,FALSE)</f>
        <v>#REF!</v>
      </c>
      <c r="F4017">
        <v>125.3</v>
      </c>
      <c r="G4017">
        <f>(Cpi_[[#This Row],[Value]]-F4016)/F4016</f>
        <v>5.1174496644295256E-2</v>
      </c>
      <c r="H4017" t="e" cm="1" vm="1">
        <f t="array" aca="1" ref="H4017" ca="1">VLOOKUP(Cpi_[[#This Row],[Year]:[Month]],crudeoil[],3,FALSE)</f>
        <v>#VALUE!</v>
      </c>
    </row>
    <row r="4018" spans="1:8" hidden="1" x14ac:dyDescent="0.3">
      <c r="A4018" t="s">
        <v>33</v>
      </c>
      <c r="B4018">
        <v>2017</v>
      </c>
      <c r="C4018" t="s">
        <v>35</v>
      </c>
      <c r="D4018" t="s">
        <v>23</v>
      </c>
      <c r="E4018" t="e">
        <f>VLOOKUP(Cpi_[[#This Row],[Attribute]],#REF!,2,FALSE)</f>
        <v>#REF!</v>
      </c>
      <c r="F4018">
        <v>122.9</v>
      </c>
      <c r="G4018">
        <f>(Cpi_[[#This Row],[Value]]-F4017)/F4017</f>
        <v>-1.9154030327214615E-2</v>
      </c>
      <c r="H4018" t="e" cm="1" vm="1">
        <f t="array" aca="1" ref="H4018" ca="1">VLOOKUP(Cpi_[[#This Row],[Year]:[Month]],crudeoil[],3,FALSE)</f>
        <v>#VALUE!</v>
      </c>
    </row>
    <row r="4019" spans="1:8" hidden="1" x14ac:dyDescent="0.3">
      <c r="A4019" t="s">
        <v>33</v>
      </c>
      <c r="B4019">
        <v>2017</v>
      </c>
      <c r="C4019" t="s">
        <v>35</v>
      </c>
      <c r="D4019" t="s">
        <v>24</v>
      </c>
      <c r="E4019" t="e">
        <f>VLOOKUP(Cpi_[[#This Row],[Attribute]],#REF!,2,FALSE)</f>
        <v>#REF!</v>
      </c>
      <c r="F4019">
        <v>115.5</v>
      </c>
      <c r="G4019">
        <f>(Cpi_[[#This Row],[Value]]-F4018)/F4018</f>
        <v>-6.0211554109031777E-2</v>
      </c>
      <c r="H4019" t="e" cm="1" vm="1">
        <f t="array" aca="1" ref="H4019" ca="1">VLOOKUP(Cpi_[[#This Row],[Year]:[Month]],crudeoil[],3,FALSE)</f>
        <v>#VALUE!</v>
      </c>
    </row>
    <row r="4020" spans="1:8" hidden="1" x14ac:dyDescent="0.3">
      <c r="A4020" t="s">
        <v>33</v>
      </c>
      <c r="B4020">
        <v>2017</v>
      </c>
      <c r="C4020" t="s">
        <v>35</v>
      </c>
      <c r="D4020" t="s">
        <v>25</v>
      </c>
      <c r="E4020" t="e">
        <f>VLOOKUP(Cpi_[[#This Row],[Attribute]],#REF!,2,FALSE)</f>
        <v>#REF!</v>
      </c>
      <c r="F4020">
        <v>122.2</v>
      </c>
      <c r="G4020">
        <f>(Cpi_[[#This Row],[Value]]-F4019)/F4019</f>
        <v>5.800865800865803E-2</v>
      </c>
      <c r="H4020" t="e" cm="1" vm="1">
        <f t="array" aca="1" ref="H4020" ca="1">VLOOKUP(Cpi_[[#This Row],[Year]:[Month]],crudeoil[],3,FALSE)</f>
        <v>#VALUE!</v>
      </c>
    </row>
    <row r="4021" spans="1:8" hidden="1" x14ac:dyDescent="0.3">
      <c r="A4021" t="s">
        <v>33</v>
      </c>
      <c r="B4021">
        <v>2017</v>
      </c>
      <c r="C4021" t="s">
        <v>35</v>
      </c>
      <c r="D4021" t="s">
        <v>26</v>
      </c>
      <c r="E4021" t="e">
        <f>VLOOKUP(Cpi_[[#This Row],[Attribute]],#REF!,2,FALSE)</f>
        <v>#REF!</v>
      </c>
      <c r="F4021">
        <v>132.4</v>
      </c>
      <c r="G4021">
        <f>(Cpi_[[#This Row],[Value]]-F4020)/F4020</f>
        <v>8.3469721767594124E-2</v>
      </c>
      <c r="H4021" t="e" cm="1" vm="1">
        <f t="array" aca="1" ref="H4021" ca="1">VLOOKUP(Cpi_[[#This Row],[Year]:[Month]],crudeoil[],3,FALSE)</f>
        <v>#VALUE!</v>
      </c>
    </row>
    <row r="4022" spans="1:8" hidden="1" x14ac:dyDescent="0.3">
      <c r="A4022" t="s">
        <v>33</v>
      </c>
      <c r="B4022">
        <v>2017</v>
      </c>
      <c r="C4022" t="s">
        <v>35</v>
      </c>
      <c r="D4022" t="s">
        <v>27</v>
      </c>
      <c r="E4022" t="e">
        <f>VLOOKUP(Cpi_[[#This Row],[Attribute]],#REF!,2,FALSE)</f>
        <v>#REF!</v>
      </c>
      <c r="F4022">
        <v>121.7</v>
      </c>
      <c r="G4022">
        <f>(Cpi_[[#This Row],[Value]]-F4021)/F4021</f>
        <v>-8.0815709969788541E-2</v>
      </c>
      <c r="H4022" t="e" cm="1" vm="1">
        <f t="array" aca="1" ref="H4022" ca="1">VLOOKUP(Cpi_[[#This Row],[Year]:[Month]],crudeoil[],3,FALSE)</f>
        <v>#VALUE!</v>
      </c>
    </row>
    <row r="4023" spans="1:8" hidden="1" x14ac:dyDescent="0.3">
      <c r="A4023" t="s">
        <v>33</v>
      </c>
      <c r="B4023">
        <v>2017</v>
      </c>
      <c r="C4023" t="s">
        <v>35</v>
      </c>
      <c r="D4023" t="s">
        <v>28</v>
      </c>
      <c r="E4023" t="e">
        <f>VLOOKUP(Cpi_[[#This Row],[Attribute]],#REF!,2,FALSE)</f>
        <v>#REF!</v>
      </c>
      <c r="F4023">
        <v>122.4</v>
      </c>
      <c r="G4023">
        <f>(Cpi_[[#This Row],[Value]]-F4022)/F4022</f>
        <v>5.7518488085456275E-3</v>
      </c>
      <c r="H4023" t="e" cm="1" vm="1">
        <f t="array" aca="1" ref="H4023" ca="1">VLOOKUP(Cpi_[[#This Row],[Year]:[Month]],crudeoil[],3,FALSE)</f>
        <v>#VALUE!</v>
      </c>
    </row>
    <row r="4024" spans="1:8" hidden="1" x14ac:dyDescent="0.3">
      <c r="A4024" t="s">
        <v>33</v>
      </c>
      <c r="B4024">
        <v>2017</v>
      </c>
      <c r="C4024" t="s">
        <v>35</v>
      </c>
      <c r="D4024" t="s">
        <v>29</v>
      </c>
      <c r="E4024" t="e" cm="1">
        <f t="array" aca="1" ref="E4024" ca="1">VLGeneral indexGeneral indexKUP(Cpi_[[#This Row],[Attribute]],#REF!,2,FALSE)</f>
        <v>#NAME?</v>
      </c>
      <c r="F4024">
        <v>128.19999999999999</v>
      </c>
      <c r="G4024">
        <f>(Cpi_[[#This Row],[Value]]-F4023)/F4023</f>
        <v>4.7385620915032539E-2</v>
      </c>
      <c r="H4024" t="e" cm="1" vm="1">
        <f t="array" aca="1" ref="H4024" ca="1">VLOOKUP(Cpi_[[#This Row],[Year]:[Month]],crudeoil[],3,FALSE)</f>
        <v>#VALUE!</v>
      </c>
    </row>
    <row r="4025" spans="1:8" hidden="1" x14ac:dyDescent="0.3">
      <c r="A4025" t="s">
        <v>34</v>
      </c>
      <c r="B4025">
        <v>2017</v>
      </c>
      <c r="C4025" t="s">
        <v>35</v>
      </c>
      <c r="D4025" t="s">
        <v>3</v>
      </c>
      <c r="E4025" t="e">
        <f>VLOOKUP(Cpi_[[#This Row],[Attribute]],#REF!,2,FALSE)</f>
        <v>#REF!</v>
      </c>
      <c r="F4025">
        <v>133.1</v>
      </c>
      <c r="G4025">
        <f>(Cpi_[[#This Row],[Value]]-F4024)/F4024</f>
        <v>3.8221528861154493E-2</v>
      </c>
      <c r="H4025" t="e" cm="1" vm="1">
        <f t="array" aca="1" ref="H4025" ca="1">VLOOKUP(Cpi_[[#This Row],[Year]:[Month]],crudeoil[],3,FALSE)</f>
        <v>#VALUE!</v>
      </c>
    </row>
    <row r="4026" spans="1:8" hidden="1" x14ac:dyDescent="0.3">
      <c r="A4026" t="s">
        <v>34</v>
      </c>
      <c r="B4026">
        <v>2017</v>
      </c>
      <c r="C4026" t="s">
        <v>35</v>
      </c>
      <c r="D4026" t="s">
        <v>4</v>
      </c>
      <c r="E4026" t="e">
        <f>VLOOKUP(Cpi_[[#This Row],[Attribute]],#REF!,2,FALSE)</f>
        <v>#REF!</v>
      </c>
      <c r="F4026">
        <v>138.80000000000001</v>
      </c>
      <c r="G4026">
        <f>(Cpi_[[#This Row],[Value]]-F4025)/F4025</f>
        <v>4.2824943651390064E-2</v>
      </c>
      <c r="H4026" t="e" cm="1" vm="1">
        <f t="array" aca="1" ref="H4026" ca="1">VLOOKUP(Cpi_[[#This Row],[Year]:[Month]],crudeoil[],3,FALSE)</f>
        <v>#VALUE!</v>
      </c>
    </row>
    <row r="4027" spans="1:8" hidden="1" x14ac:dyDescent="0.3">
      <c r="A4027" t="s">
        <v>34</v>
      </c>
      <c r="B4027">
        <v>2017</v>
      </c>
      <c r="C4027" t="s">
        <v>35</v>
      </c>
      <c r="D4027" t="s">
        <v>5</v>
      </c>
      <c r="E4027" t="e">
        <f>VLOOKUP(Cpi_[[#This Row],[Attribute]],#REF!,2,FALSE)</f>
        <v>#REF!</v>
      </c>
      <c r="F4027">
        <v>129.30000000000001</v>
      </c>
      <c r="G4027">
        <f>(Cpi_[[#This Row],[Value]]-F4026)/F4026</f>
        <v>-6.8443804034582126E-2</v>
      </c>
      <c r="H4027" t="e" cm="1" vm="1">
        <f t="array" aca="1" ref="H4027" ca="1">VLOOKUP(Cpi_[[#This Row],[Year]:[Month]],crudeoil[],3,FALSE)</f>
        <v>#VALUE!</v>
      </c>
    </row>
    <row r="4028" spans="1:8" hidden="1" x14ac:dyDescent="0.3">
      <c r="A4028" t="s">
        <v>34</v>
      </c>
      <c r="B4028">
        <v>2017</v>
      </c>
      <c r="C4028" t="s">
        <v>35</v>
      </c>
      <c r="D4028" t="s">
        <v>6</v>
      </c>
      <c r="E4028" t="e">
        <f>VLOOKUP(Cpi_[[#This Row],[Attribute]],#REF!,2,FALSE)</f>
        <v>#REF!</v>
      </c>
      <c r="F4028">
        <v>135.80000000000001</v>
      </c>
      <c r="G4028">
        <f>(Cpi_[[#This Row],[Value]]-F4027)/F4027</f>
        <v>5.0270688321732399E-2</v>
      </c>
      <c r="H4028" t="e" cm="1" vm="1">
        <f t="array" aca="1" ref="H4028" ca="1">VLOOKUP(Cpi_[[#This Row],[Year]:[Month]],crudeoil[],3,FALSE)</f>
        <v>#VALUE!</v>
      </c>
    </row>
    <row r="4029" spans="1:8" hidden="1" x14ac:dyDescent="0.3">
      <c r="A4029" t="s">
        <v>34</v>
      </c>
      <c r="B4029">
        <v>2017</v>
      </c>
      <c r="C4029" t="s">
        <v>35</v>
      </c>
      <c r="D4029" t="s">
        <v>7</v>
      </c>
      <c r="E4029" t="e">
        <f>VLOOKUP(Cpi_[[#This Row],[Attribute]],#REF!,2,FALSE)</f>
        <v>#REF!</v>
      </c>
      <c r="F4029">
        <v>119.2</v>
      </c>
      <c r="G4029">
        <f>(Cpi_[[#This Row],[Value]]-F4028)/F4028</f>
        <v>-0.12223858615611198</v>
      </c>
      <c r="H4029" t="e" cm="1" vm="1">
        <f t="array" aca="1" ref="H4029" ca="1">VLOOKUP(Cpi_[[#This Row],[Year]:[Month]],crudeoil[],3,FALSE)</f>
        <v>#VALUE!</v>
      </c>
    </row>
    <row r="4030" spans="1:8" hidden="1" x14ac:dyDescent="0.3">
      <c r="A4030" t="s">
        <v>34</v>
      </c>
      <c r="B4030">
        <v>2017</v>
      </c>
      <c r="C4030" t="s">
        <v>35</v>
      </c>
      <c r="D4030" t="s">
        <v>8</v>
      </c>
      <c r="E4030" t="e">
        <f>VLOOKUP(Cpi_[[#This Row],[Attribute]],#REF!,2,FALSE)</f>
        <v>#REF!</v>
      </c>
      <c r="F4030">
        <v>135.30000000000001</v>
      </c>
      <c r="G4030">
        <f>(Cpi_[[#This Row],[Value]]-F4029)/F4029</f>
        <v>0.1350671140939598</v>
      </c>
      <c r="H4030" t="e" cm="1" vm="1">
        <f t="array" aca="1" ref="H4030" ca="1">VLOOKUP(Cpi_[[#This Row],[Year]:[Month]],crudeoil[],3,FALSE)</f>
        <v>#VALUE!</v>
      </c>
    </row>
    <row r="4031" spans="1:8" hidden="1" x14ac:dyDescent="0.3">
      <c r="A4031" t="s">
        <v>34</v>
      </c>
      <c r="B4031">
        <v>2017</v>
      </c>
      <c r="C4031" t="s">
        <v>35</v>
      </c>
      <c r="D4031" t="s">
        <v>9</v>
      </c>
      <c r="E4031" t="e">
        <f>VLOOKUP(Cpi_[[#This Row],[Attribute]],#REF!,2,FALSE)</f>
        <v>#REF!</v>
      </c>
      <c r="F4031">
        <v>119.5</v>
      </c>
      <c r="G4031">
        <f>(Cpi_[[#This Row],[Value]]-F4030)/F4030</f>
        <v>-0.11677753141167782</v>
      </c>
      <c r="H4031" t="e" cm="1" vm="1">
        <f t="array" aca="1" ref="H4031" ca="1">VLOOKUP(Cpi_[[#This Row],[Year]:[Month]],crudeoil[],3,FALSE)</f>
        <v>#VALUE!</v>
      </c>
    </row>
    <row r="4032" spans="1:8" hidden="1" x14ac:dyDescent="0.3">
      <c r="A4032" t="s">
        <v>34</v>
      </c>
      <c r="B4032">
        <v>2017</v>
      </c>
      <c r="C4032" t="s">
        <v>35</v>
      </c>
      <c r="D4032" t="s">
        <v>10</v>
      </c>
      <c r="E4032" t="e">
        <f>VLOOKUP(Cpi_[[#This Row],[Attribute]],#REF!,2,FALSE)</f>
        <v>#REF!</v>
      </c>
      <c r="F4032">
        <v>152.19999999999999</v>
      </c>
      <c r="G4032">
        <f>(Cpi_[[#This Row],[Value]]-F4031)/F4031</f>
        <v>0.27364016736401664</v>
      </c>
      <c r="H4032" t="e" cm="1" vm="1">
        <f t="array" aca="1" ref="H4032" ca="1">VLOOKUP(Cpi_[[#This Row],[Year]:[Month]],crudeoil[],3,FALSE)</f>
        <v>#VALUE!</v>
      </c>
    </row>
    <row r="4033" spans="1:8" hidden="1" x14ac:dyDescent="0.3">
      <c r="A4033" t="s">
        <v>34</v>
      </c>
      <c r="B4033">
        <v>2017</v>
      </c>
      <c r="C4033" t="s">
        <v>35</v>
      </c>
      <c r="D4033" t="s">
        <v>11</v>
      </c>
      <c r="E4033" t="e">
        <f>VLOOKUP(Cpi_[[#This Row],[Attribute]],#REF!,2,FALSE)</f>
        <v>#REF!</v>
      </c>
      <c r="F4033">
        <v>117.3</v>
      </c>
      <c r="G4033">
        <f>(Cpi_[[#This Row],[Value]]-F4032)/F4032</f>
        <v>-0.22930354796320626</v>
      </c>
      <c r="H4033" t="e" cm="1" vm="1">
        <f t="array" aca="1" ref="H4033" ca="1">VLOOKUP(Cpi_[[#This Row],[Year]:[Month]],crudeoil[],3,FALSE)</f>
        <v>#VALUE!</v>
      </c>
    </row>
    <row r="4034" spans="1:8" hidden="1" x14ac:dyDescent="0.3">
      <c r="A4034" t="s">
        <v>34</v>
      </c>
      <c r="B4034">
        <v>2017</v>
      </c>
      <c r="C4034" t="s">
        <v>35</v>
      </c>
      <c r="D4034" t="s">
        <v>12</v>
      </c>
      <c r="E4034" t="e">
        <f>VLOOKUP(Cpi_[[#This Row],[Attribute]],#REF!,2,FALSE)</f>
        <v>#REF!</v>
      </c>
      <c r="F4034">
        <v>138.69999999999999</v>
      </c>
      <c r="G4034">
        <f>(Cpi_[[#This Row],[Value]]-F4033)/F4033</f>
        <v>0.18243819266837163</v>
      </c>
      <c r="H4034" t="e" cm="1" vm="1">
        <f t="array" aca="1" ref="H4034" ca="1">VLOOKUP(Cpi_[[#This Row],[Year]:[Month]],crudeoil[],3,FALSE)</f>
        <v>#VALUE!</v>
      </c>
    </row>
    <row r="4035" spans="1:8" hidden="1" x14ac:dyDescent="0.3">
      <c r="A4035" t="s">
        <v>34</v>
      </c>
      <c r="B4035">
        <v>2017</v>
      </c>
      <c r="C4035" t="s">
        <v>35</v>
      </c>
      <c r="D4035" t="s">
        <v>13</v>
      </c>
      <c r="E4035" t="e">
        <f>VLOOKUP(Cpi_[[#This Row],[Attribute]],#REF!,2,FALSE)</f>
        <v>#REF!</v>
      </c>
      <c r="F4035">
        <v>126.9</v>
      </c>
      <c r="G4035">
        <f>(Cpi_[[#This Row],[Value]]-F4034)/F4034</f>
        <v>-8.5075702956020072E-2</v>
      </c>
      <c r="H4035" t="e" cm="1" vm="1">
        <f t="array" aca="1" ref="H4035" ca="1">VLOOKUP(Cpi_[[#This Row],[Year]:[Month]],crudeoil[],3,FALSE)</f>
        <v>#VALUE!</v>
      </c>
    </row>
    <row r="4036" spans="1:8" hidden="1" x14ac:dyDescent="0.3">
      <c r="A4036" t="s">
        <v>34</v>
      </c>
      <c r="B4036">
        <v>2017</v>
      </c>
      <c r="C4036" t="s">
        <v>35</v>
      </c>
      <c r="D4036" t="s">
        <v>14</v>
      </c>
      <c r="E4036" t="e">
        <f>VLOOKUP(Cpi_[[#This Row],[Attribute]],#REF!,2,FALSE)</f>
        <v>#REF!</v>
      </c>
      <c r="F4036">
        <v>143.19999999999999</v>
      </c>
      <c r="G4036">
        <f>(Cpi_[[#This Row],[Value]]-F4035)/F4035</f>
        <v>0.12844759653270277</v>
      </c>
      <c r="H4036" t="e" cm="1" vm="1">
        <f t="array" aca="1" ref="H4036" ca="1">VLOOKUP(Cpi_[[#This Row],[Year]:[Month]],crudeoil[],3,FALSE)</f>
        <v>#VALUE!</v>
      </c>
    </row>
    <row r="4037" spans="1:8" hidden="1" x14ac:dyDescent="0.3">
      <c r="A4037" t="s">
        <v>34</v>
      </c>
      <c r="B4037">
        <v>2017</v>
      </c>
      <c r="C4037" t="s">
        <v>35</v>
      </c>
      <c r="D4037" t="s">
        <v>15</v>
      </c>
      <c r="E4037" t="e">
        <f>VLOOKUP(Cpi_[[#This Row],[Attribute]],#REF!,2,FALSE)</f>
        <v>#REF!</v>
      </c>
      <c r="F4037">
        <v>133</v>
      </c>
      <c r="G4037">
        <f>(Cpi_[[#This Row],[Value]]-F4036)/F4036</f>
        <v>-7.1229050279329534E-2</v>
      </c>
      <c r="H4037" t="e" cm="1" vm="1">
        <f t="array" aca="1" ref="H4037" ca="1">VLOOKUP(Cpi_[[#This Row],[Year]:[Month]],crudeoil[],3,FALSE)</f>
        <v>#VALUE!</v>
      </c>
    </row>
    <row r="4038" spans="1:8" hidden="1" x14ac:dyDescent="0.3">
      <c r="A4038" t="s">
        <v>34</v>
      </c>
      <c r="B4038">
        <v>2017</v>
      </c>
      <c r="C4038" t="s">
        <v>35</v>
      </c>
      <c r="D4038" t="s">
        <v>16</v>
      </c>
      <c r="E4038" t="e">
        <f>VLOOKUP(Cpi_[[#This Row],[Attribute]],#REF!,2,FALSE)</f>
        <v>#REF!</v>
      </c>
      <c r="F4038">
        <v>144.4</v>
      </c>
      <c r="G4038">
        <f>(Cpi_[[#This Row],[Value]]-F4037)/F4037</f>
        <v>8.5714285714285757E-2</v>
      </c>
      <c r="H4038" t="e" cm="1" vm="1">
        <f t="array" aca="1" ref="H4038" ca="1">VLOOKUP(Cpi_[[#This Row],[Year]:[Month]],crudeoil[],3,FALSE)</f>
        <v>#VALUE!</v>
      </c>
    </row>
    <row r="4039" spans="1:8" hidden="1" x14ac:dyDescent="0.3">
      <c r="A4039" t="s">
        <v>34</v>
      </c>
      <c r="B4039">
        <v>2017</v>
      </c>
      <c r="C4039" t="s">
        <v>35</v>
      </c>
      <c r="D4039" t="s">
        <v>17</v>
      </c>
      <c r="E4039" t="e">
        <f>VLOOKUP(Cpi_[[#This Row],[Attribute]],#REF!,2,FALSE)</f>
        <v>#REF!</v>
      </c>
      <c r="F4039">
        <v>136.80000000000001</v>
      </c>
      <c r="G4039">
        <f>(Cpi_[[#This Row],[Value]]-F4038)/F4038</f>
        <v>-5.2631578947368376E-2</v>
      </c>
      <c r="H4039" t="e" cm="1" vm="1">
        <f t="array" aca="1" ref="H4039" ca="1">VLOOKUP(Cpi_[[#This Row],[Year]:[Month]],crudeoil[],3,FALSE)</f>
        <v>#VALUE!</v>
      </c>
    </row>
    <row r="4040" spans="1:8" hidden="1" x14ac:dyDescent="0.3">
      <c r="A4040" t="s">
        <v>34</v>
      </c>
      <c r="B4040">
        <v>2017</v>
      </c>
      <c r="C4040" t="s">
        <v>35</v>
      </c>
      <c r="D4040" t="s">
        <v>18</v>
      </c>
      <c r="E4040" t="e">
        <f>VLOOKUP(Cpi_[[#This Row],[Attribute]],#REF!,2,FALSE)</f>
        <v>#REF!</v>
      </c>
      <c r="F4040">
        <v>130.30000000000001</v>
      </c>
      <c r="G4040">
        <f>(Cpi_[[#This Row],[Value]]-F4039)/F4039</f>
        <v>-4.7514619883040933E-2</v>
      </c>
      <c r="H4040" t="e" cm="1" vm="1">
        <f t="array" aca="1" ref="H4040" ca="1">VLOOKUP(Cpi_[[#This Row],[Year]:[Month]],crudeoil[],3,FALSE)</f>
        <v>#VALUE!</v>
      </c>
    </row>
    <row r="4041" spans="1:8" hidden="1" x14ac:dyDescent="0.3">
      <c r="A4041" t="s">
        <v>34</v>
      </c>
      <c r="B4041">
        <v>2017</v>
      </c>
      <c r="C4041" t="s">
        <v>35</v>
      </c>
      <c r="D4041" t="s">
        <v>19</v>
      </c>
      <c r="E4041" t="e">
        <f>VLOOKUP(Cpi_[[#This Row],[Attribute]],#REF!,2,FALSE)</f>
        <v>#REF!</v>
      </c>
      <c r="F4041">
        <v>135.9</v>
      </c>
      <c r="G4041">
        <f>(Cpi_[[#This Row],[Value]]-F4040)/F4040</f>
        <v>4.2977743668457358E-2</v>
      </c>
      <c r="H4041" t="e" cm="1" vm="1">
        <f t="array" aca="1" ref="H4041" ca="1">VLOOKUP(Cpi_[[#This Row],[Year]:[Month]],crudeoil[],3,FALSE)</f>
        <v>#VALUE!</v>
      </c>
    </row>
    <row r="4042" spans="1:8" hidden="1" x14ac:dyDescent="0.3">
      <c r="A4042" t="s">
        <v>34</v>
      </c>
      <c r="B4042">
        <v>2017</v>
      </c>
      <c r="C4042" t="s">
        <v>35</v>
      </c>
      <c r="D4042" t="s">
        <v>20</v>
      </c>
      <c r="E4042" t="e">
        <f>VLOOKUP(Cpi_[[#This Row],[Attribute]],#REF!,2,FALSE)</f>
        <v>#REF!</v>
      </c>
      <c r="F4042">
        <v>130.5</v>
      </c>
      <c r="G4042">
        <f>(Cpi_[[#This Row],[Value]]-F4041)/F4041</f>
        <v>-3.9735099337748388E-2</v>
      </c>
      <c r="H4042" t="e" cm="1" vm="1">
        <f t="array" aca="1" ref="H4042" ca="1">VLOOKUP(Cpi_[[#This Row],[Year]:[Month]],crudeoil[],3,FALSE)</f>
        <v>#VALUE!</v>
      </c>
    </row>
    <row r="4043" spans="1:8" hidden="1" x14ac:dyDescent="0.3">
      <c r="A4043" t="s">
        <v>34</v>
      </c>
      <c r="B4043">
        <v>2017</v>
      </c>
      <c r="C4043" t="s">
        <v>35</v>
      </c>
      <c r="D4043" t="s">
        <v>21</v>
      </c>
      <c r="E4043" t="e">
        <f>VLOOKUP(Cpi_[[#This Row],[Attribute]],#REF!,2,FALSE)</f>
        <v>#REF!</v>
      </c>
      <c r="F4043">
        <v>127.9</v>
      </c>
      <c r="G4043">
        <f>(Cpi_[[#This Row],[Value]]-F4042)/F4042</f>
        <v>-1.9923371647509534E-2</v>
      </c>
      <c r="H4043" t="e" cm="1" vm="1">
        <f t="array" aca="1" ref="H4043" ca="1">VLOOKUP(Cpi_[[#This Row],[Year]:[Month]],crudeoil[],3,FALSE)</f>
        <v>#VALUE!</v>
      </c>
    </row>
    <row r="4044" spans="1:8" hidden="1" x14ac:dyDescent="0.3">
      <c r="A4044" t="s">
        <v>34</v>
      </c>
      <c r="B4044">
        <v>2017</v>
      </c>
      <c r="C4044" t="s">
        <v>35</v>
      </c>
      <c r="D4044" t="s">
        <v>22</v>
      </c>
      <c r="E4044" t="e">
        <f>VLOOKUP(Cpi_[[#This Row],[Attribute]],#REF!,2,FALSE)</f>
        <v>#REF!</v>
      </c>
      <c r="F4044">
        <v>129.69999999999999</v>
      </c>
      <c r="G4044">
        <f>(Cpi_[[#This Row],[Value]]-F4043)/F4043</f>
        <v>1.4073494917904479E-2</v>
      </c>
      <c r="H4044" t="e" cm="1" vm="1">
        <f t="array" aca="1" ref="H4044" ca="1">VLOOKUP(Cpi_[[#This Row],[Year]:[Month]],crudeoil[],3,FALSE)</f>
        <v>#VALUE!</v>
      </c>
    </row>
    <row r="4045" spans="1:8" hidden="1" x14ac:dyDescent="0.3">
      <c r="A4045" t="s">
        <v>34</v>
      </c>
      <c r="B4045">
        <v>2017</v>
      </c>
      <c r="C4045" t="s">
        <v>35</v>
      </c>
      <c r="D4045" t="s">
        <v>23</v>
      </c>
      <c r="E4045" t="e">
        <f>VLOOKUP(Cpi_[[#This Row],[Attribute]],#REF!,2,FALSE)</f>
        <v>#REF!</v>
      </c>
      <c r="F4045">
        <v>127.4</v>
      </c>
      <c r="G4045">
        <f>(Cpi_[[#This Row],[Value]]-F4044)/F4044</f>
        <v>-1.7733230531996786E-2</v>
      </c>
      <c r="H4045" t="e" cm="1" vm="1">
        <f t="array" aca="1" ref="H4045" ca="1">VLOOKUP(Cpi_[[#This Row],[Year]:[Month]],crudeoil[],3,FALSE)</f>
        <v>#VALUE!</v>
      </c>
    </row>
    <row r="4046" spans="1:8" hidden="1" x14ac:dyDescent="0.3">
      <c r="A4046" t="s">
        <v>34</v>
      </c>
      <c r="B4046">
        <v>2017</v>
      </c>
      <c r="C4046" t="s">
        <v>35</v>
      </c>
      <c r="D4046" t="s">
        <v>24</v>
      </c>
      <c r="E4046" t="e">
        <f>VLOOKUP(Cpi_[[#This Row],[Attribute]],#REF!,2,FALSE)</f>
        <v>#REF!</v>
      </c>
      <c r="F4046">
        <v>117.4</v>
      </c>
      <c r="G4046">
        <f>(Cpi_[[#This Row],[Value]]-F4045)/F4045</f>
        <v>-7.8492935635792779E-2</v>
      </c>
      <c r="H4046" t="e" cm="1" vm="1">
        <f t="array" aca="1" ref="H4046" ca="1">VLOOKUP(Cpi_[[#This Row],[Year]:[Month]],crudeoil[],3,FALSE)</f>
        <v>#VALUE!</v>
      </c>
    </row>
    <row r="4047" spans="1:8" hidden="1" x14ac:dyDescent="0.3">
      <c r="A4047" t="s">
        <v>34</v>
      </c>
      <c r="B4047">
        <v>2017</v>
      </c>
      <c r="C4047" t="s">
        <v>35</v>
      </c>
      <c r="D4047" t="s">
        <v>25</v>
      </c>
      <c r="E4047" t="e">
        <f>VLOOKUP(Cpi_[[#This Row],[Attribute]],#REF!,2,FALSE)</f>
        <v>#REF!</v>
      </c>
      <c r="F4047">
        <v>124.6</v>
      </c>
      <c r="G4047">
        <f>(Cpi_[[#This Row],[Value]]-F4046)/F4046</f>
        <v>6.132879045996583E-2</v>
      </c>
      <c r="H4047" t="e" cm="1" vm="1">
        <f t="array" aca="1" ref="H4047" ca="1">VLOOKUP(Cpi_[[#This Row],[Year]:[Month]],crudeoil[],3,FALSE)</f>
        <v>#VALUE!</v>
      </c>
    </row>
    <row r="4048" spans="1:8" hidden="1" x14ac:dyDescent="0.3">
      <c r="A4048" t="s">
        <v>34</v>
      </c>
      <c r="B4048">
        <v>2017</v>
      </c>
      <c r="C4048" t="s">
        <v>35</v>
      </c>
      <c r="D4048" t="s">
        <v>26</v>
      </c>
      <c r="E4048" t="e">
        <f>VLOOKUP(Cpi_[[#This Row],[Attribute]],#REF!,2,FALSE)</f>
        <v>#REF!</v>
      </c>
      <c r="F4048">
        <v>133.4</v>
      </c>
      <c r="G4048">
        <f>(Cpi_[[#This Row],[Value]]-F4047)/F4047</f>
        <v>7.0626003210272972E-2</v>
      </c>
      <c r="H4048" t="e" cm="1" vm="1">
        <f t="array" aca="1" ref="H4048" ca="1">VLOOKUP(Cpi_[[#This Row],[Year]:[Month]],crudeoil[],3,FALSE)</f>
        <v>#VALUE!</v>
      </c>
    </row>
    <row r="4049" spans="1:8" hidden="1" x14ac:dyDescent="0.3">
      <c r="A4049" t="s">
        <v>34</v>
      </c>
      <c r="B4049">
        <v>2017</v>
      </c>
      <c r="C4049" t="s">
        <v>35</v>
      </c>
      <c r="D4049" t="s">
        <v>27</v>
      </c>
      <c r="E4049" t="e">
        <f>VLOOKUP(Cpi_[[#This Row],[Attribute]],#REF!,2,FALSE)</f>
        <v>#REF!</v>
      </c>
      <c r="F4049">
        <v>122.6</v>
      </c>
      <c r="G4049">
        <f>(Cpi_[[#This Row],[Value]]-F4048)/F4048</f>
        <v>-8.0959520239880137E-2</v>
      </c>
      <c r="H4049" t="e" cm="1" vm="1">
        <f t="array" aca="1" ref="H4049" ca="1">VLOOKUP(Cpi_[[#This Row],[Year]:[Month]],crudeoil[],3,FALSE)</f>
        <v>#VALUE!</v>
      </c>
    </row>
    <row r="4050" spans="1:8" hidden="1" x14ac:dyDescent="0.3">
      <c r="A4050" t="s">
        <v>34</v>
      </c>
      <c r="B4050">
        <v>2017</v>
      </c>
      <c r="C4050" t="s">
        <v>35</v>
      </c>
      <c r="D4050" t="s">
        <v>28</v>
      </c>
      <c r="E4050" t="e">
        <f>VLOOKUP(Cpi_[[#This Row],[Attribute]],#REF!,2,FALSE)</f>
        <v>#REF!</v>
      </c>
      <c r="F4050">
        <v>124.8</v>
      </c>
      <c r="G4050">
        <f>(Cpi_[[#This Row],[Value]]-F4049)/F4049</f>
        <v>1.7944535073409484E-2</v>
      </c>
      <c r="H4050" t="e" cm="1" vm="1">
        <f t="array" aca="1" ref="H4050" ca="1">VLOOKUP(Cpi_[[#This Row],[Year]:[Month]],crudeoil[],3,FALSE)</f>
        <v>#VALUE!</v>
      </c>
    </row>
    <row r="4051" spans="1:8" hidden="1" x14ac:dyDescent="0.3">
      <c r="A4051" t="s">
        <v>34</v>
      </c>
      <c r="B4051">
        <v>2017</v>
      </c>
      <c r="C4051" t="s">
        <v>35</v>
      </c>
      <c r="D4051" t="s">
        <v>29</v>
      </c>
      <c r="E4051" t="e" cm="1">
        <f t="array" aca="1" ref="E4051" ca="1">VLGeneral indexGeneral indexKUP(Cpi_[[#This Row],[Attribute]],#REF!,2,FALSE)</f>
        <v>#NAME?</v>
      </c>
      <c r="F4051">
        <v>130.6</v>
      </c>
      <c r="G4051">
        <f>(Cpi_[[#This Row],[Value]]-F4050)/F4050</f>
        <v>4.6474358974358955E-2</v>
      </c>
      <c r="H4051" t="e" cm="1" vm="1">
        <f t="array" aca="1" ref="H4051" ca="1">VLOOKUP(Cpi_[[#This Row],[Year]:[Month]],crudeoil[],3,FALSE)</f>
        <v>#VALUE!</v>
      </c>
    </row>
    <row r="4052" spans="1:8" hidden="1" x14ac:dyDescent="0.3">
      <c r="A4052" t="s">
        <v>30</v>
      </c>
      <c r="B4052">
        <v>2017</v>
      </c>
      <c r="C4052" t="s">
        <v>36</v>
      </c>
      <c r="D4052" t="s">
        <v>3</v>
      </c>
      <c r="E4052" t="e">
        <f>VLOOKUP(Cpi_[[#This Row],[Attribute]],#REF!,2,FALSE)</f>
        <v>#REF!</v>
      </c>
      <c r="F4052">
        <v>133.6</v>
      </c>
      <c r="G4052">
        <f>(Cpi_[[#This Row],[Value]]-F4051)/F4051</f>
        <v>2.2970903522205207E-2</v>
      </c>
      <c r="H4052" t="e" cm="1" vm="1">
        <f t="array" aca="1" ref="H4052" ca="1">VLOOKUP(Cpi_[[#This Row],[Year]:[Month]],crudeoil[],3,FALSE)</f>
        <v>#VALUE!</v>
      </c>
    </row>
    <row r="4053" spans="1:8" hidden="1" x14ac:dyDescent="0.3">
      <c r="A4053" t="s">
        <v>30</v>
      </c>
      <c r="B4053">
        <v>2017</v>
      </c>
      <c r="C4053" t="s">
        <v>36</v>
      </c>
      <c r="D4053" t="s">
        <v>4</v>
      </c>
      <c r="E4053" t="e">
        <f>VLOOKUP(Cpi_[[#This Row],[Attribute]],#REF!,2,FALSE)</f>
        <v>#REF!</v>
      </c>
      <c r="F4053">
        <v>138.80000000000001</v>
      </c>
      <c r="G4053">
        <f>(Cpi_[[#This Row],[Value]]-F4052)/F4052</f>
        <v>3.8922155688622881E-2</v>
      </c>
      <c r="H4053" t="e" cm="1" vm="1">
        <f t="array" aca="1" ref="H4053" ca="1">VLOOKUP(Cpi_[[#This Row],[Year]:[Month]],crudeoil[],3,FALSE)</f>
        <v>#VALUE!</v>
      </c>
    </row>
    <row r="4054" spans="1:8" hidden="1" x14ac:dyDescent="0.3">
      <c r="A4054" t="s">
        <v>30</v>
      </c>
      <c r="B4054">
        <v>2017</v>
      </c>
      <c r="C4054" t="s">
        <v>36</v>
      </c>
      <c r="D4054" t="s">
        <v>5</v>
      </c>
      <c r="E4054" t="e">
        <f>VLOOKUP(Cpi_[[#This Row],[Attribute]],#REF!,2,FALSE)</f>
        <v>#REF!</v>
      </c>
      <c r="F4054">
        <v>128.80000000000001</v>
      </c>
      <c r="G4054">
        <f>(Cpi_[[#This Row],[Value]]-F4053)/F4053</f>
        <v>-7.2046109510086456E-2</v>
      </c>
      <c r="H4054" t="e" cm="1" vm="1">
        <f t="array" aca="1" ref="H4054" ca="1">VLOOKUP(Cpi_[[#This Row],[Year]:[Month]],crudeoil[],3,FALSE)</f>
        <v>#VALUE!</v>
      </c>
    </row>
    <row r="4055" spans="1:8" hidden="1" x14ac:dyDescent="0.3">
      <c r="A4055" t="s">
        <v>30</v>
      </c>
      <c r="B4055">
        <v>2017</v>
      </c>
      <c r="C4055" t="s">
        <v>36</v>
      </c>
      <c r="D4055" t="s">
        <v>6</v>
      </c>
      <c r="E4055" t="e">
        <f>VLOOKUP(Cpi_[[#This Row],[Attribute]],#REF!,2,FALSE)</f>
        <v>#REF!</v>
      </c>
      <c r="F4055">
        <v>137.19999999999999</v>
      </c>
      <c r="G4055">
        <f>(Cpi_[[#This Row],[Value]]-F4054)/F4054</f>
        <v>6.5217391304347644E-2</v>
      </c>
      <c r="H4055" t="e" cm="1" vm="1">
        <f t="array" aca="1" ref="H4055" ca="1">VLOOKUP(Cpi_[[#This Row],[Year]:[Month]],crudeoil[],3,FALSE)</f>
        <v>#VALUE!</v>
      </c>
    </row>
    <row r="4056" spans="1:8" hidden="1" x14ac:dyDescent="0.3">
      <c r="A4056" t="s">
        <v>30</v>
      </c>
      <c r="B4056">
        <v>2017</v>
      </c>
      <c r="C4056" t="s">
        <v>36</v>
      </c>
      <c r="D4056" t="s">
        <v>7</v>
      </c>
      <c r="E4056" t="e">
        <f>VLOOKUP(Cpi_[[#This Row],[Attribute]],#REF!,2,FALSE)</f>
        <v>#REF!</v>
      </c>
      <c r="F4056">
        <v>121.6</v>
      </c>
      <c r="G4056">
        <f>(Cpi_[[#This Row],[Value]]-F4055)/F4055</f>
        <v>-0.11370262390670551</v>
      </c>
      <c r="H4056" t="e" cm="1" vm="1">
        <f t="array" aca="1" ref="H4056" ca="1">VLOOKUP(Cpi_[[#This Row],[Year]:[Month]],crudeoil[],3,FALSE)</f>
        <v>#VALUE!</v>
      </c>
    </row>
    <row r="4057" spans="1:8" hidden="1" x14ac:dyDescent="0.3">
      <c r="A4057" t="s">
        <v>30</v>
      </c>
      <c r="B4057">
        <v>2017</v>
      </c>
      <c r="C4057" t="s">
        <v>36</v>
      </c>
      <c r="D4057" t="s">
        <v>8</v>
      </c>
      <c r="E4057" t="e">
        <f>VLOOKUP(Cpi_[[#This Row],[Attribute]],#REF!,2,FALSE)</f>
        <v>#REF!</v>
      </c>
      <c r="F4057">
        <v>139.69999999999999</v>
      </c>
      <c r="G4057">
        <f>(Cpi_[[#This Row],[Value]]-F4056)/F4056</f>
        <v>0.14884868421052627</v>
      </c>
      <c r="H4057" t="e" cm="1" vm="1">
        <f t="array" aca="1" ref="H4057" ca="1">VLOOKUP(Cpi_[[#This Row],[Year]:[Month]],crudeoil[],3,FALSE)</f>
        <v>#VALUE!</v>
      </c>
    </row>
    <row r="4058" spans="1:8" hidden="1" x14ac:dyDescent="0.3">
      <c r="A4058" t="s">
        <v>30</v>
      </c>
      <c r="B4058">
        <v>2017</v>
      </c>
      <c r="C4058" t="s">
        <v>36</v>
      </c>
      <c r="D4058" t="s">
        <v>9</v>
      </c>
      <c r="E4058" t="e">
        <f>VLOOKUP(Cpi_[[#This Row],[Attribute]],#REF!,2,FALSE)</f>
        <v>#REF!</v>
      </c>
      <c r="F4058">
        <v>119.7</v>
      </c>
      <c r="G4058">
        <f>(Cpi_[[#This Row],[Value]]-F4057)/F4057</f>
        <v>-0.14316392269148165</v>
      </c>
      <c r="H4058" t="e" cm="1" vm="1">
        <f t="array" aca="1" ref="H4058" ca="1">VLOOKUP(Cpi_[[#This Row],[Year]:[Month]],crudeoil[],3,FALSE)</f>
        <v>#VALUE!</v>
      </c>
    </row>
    <row r="4059" spans="1:8" hidden="1" x14ac:dyDescent="0.3">
      <c r="A4059" t="s">
        <v>30</v>
      </c>
      <c r="B4059">
        <v>2017</v>
      </c>
      <c r="C4059" t="s">
        <v>36</v>
      </c>
      <c r="D4059" t="s">
        <v>10</v>
      </c>
      <c r="E4059" t="e">
        <f>VLOOKUP(Cpi_[[#This Row],[Attribute]],#REF!,2,FALSE)</f>
        <v>#REF!</v>
      </c>
      <c r="F4059">
        <v>148</v>
      </c>
      <c r="G4059">
        <f>(Cpi_[[#This Row],[Value]]-F4058)/F4058</f>
        <v>0.23642439431913112</v>
      </c>
      <c r="H4059" t="e" cm="1" vm="1">
        <f t="array" aca="1" ref="H4059" ca="1">VLOOKUP(Cpi_[[#This Row],[Year]:[Month]],crudeoil[],3,FALSE)</f>
        <v>#VALUE!</v>
      </c>
    </row>
    <row r="4060" spans="1:8" hidden="1" x14ac:dyDescent="0.3">
      <c r="A4060" t="s">
        <v>30</v>
      </c>
      <c r="B4060">
        <v>2017</v>
      </c>
      <c r="C4060" t="s">
        <v>36</v>
      </c>
      <c r="D4060" t="s">
        <v>11</v>
      </c>
      <c r="E4060" t="e">
        <f>VLOOKUP(Cpi_[[#This Row],[Attribute]],#REF!,2,FALSE)</f>
        <v>#REF!</v>
      </c>
      <c r="F4060">
        <v>116.9</v>
      </c>
      <c r="G4060">
        <f>(Cpi_[[#This Row],[Value]]-F4059)/F4059</f>
        <v>-0.2101351351351351</v>
      </c>
      <c r="H4060" t="e" cm="1" vm="1">
        <f t="array" aca="1" ref="H4060" ca="1">VLOOKUP(Cpi_[[#This Row],[Year]:[Month]],crudeoil[],3,FALSE)</f>
        <v>#VALUE!</v>
      </c>
    </row>
    <row r="4061" spans="1:8" hidden="1" x14ac:dyDescent="0.3">
      <c r="A4061" t="s">
        <v>30</v>
      </c>
      <c r="B4061">
        <v>2017</v>
      </c>
      <c r="C4061" t="s">
        <v>36</v>
      </c>
      <c r="D4061" t="s">
        <v>12</v>
      </c>
      <c r="E4061" t="e">
        <f>VLOOKUP(Cpi_[[#This Row],[Attribute]],#REF!,2,FALSE)</f>
        <v>#REF!</v>
      </c>
      <c r="F4061">
        <v>135.6</v>
      </c>
      <c r="G4061">
        <f>(Cpi_[[#This Row],[Value]]-F4060)/F4060</f>
        <v>0.15996578272027362</v>
      </c>
      <c r="H4061" t="e" cm="1" vm="1">
        <f t="array" aca="1" ref="H4061" ca="1">VLOOKUP(Cpi_[[#This Row],[Year]:[Month]],crudeoil[],3,FALSE)</f>
        <v>#VALUE!</v>
      </c>
    </row>
    <row r="4062" spans="1:8" hidden="1" x14ac:dyDescent="0.3">
      <c r="A4062" t="s">
        <v>30</v>
      </c>
      <c r="B4062">
        <v>2017</v>
      </c>
      <c r="C4062" t="s">
        <v>36</v>
      </c>
      <c r="D4062" t="s">
        <v>13</v>
      </c>
      <c r="E4062" t="e">
        <f>VLOOKUP(Cpi_[[#This Row],[Attribute]],#REF!,2,FALSE)</f>
        <v>#REF!</v>
      </c>
      <c r="F4062">
        <v>129.80000000000001</v>
      </c>
      <c r="G4062">
        <f>(Cpi_[[#This Row],[Value]]-F4061)/F4061</f>
        <v>-4.2772861356932028E-2</v>
      </c>
      <c r="H4062" t="e" cm="1" vm="1">
        <f t="array" aca="1" ref="H4062" ca="1">VLOOKUP(Cpi_[[#This Row],[Year]:[Month]],crudeoil[],3,FALSE)</f>
        <v>#VALUE!</v>
      </c>
    </row>
    <row r="4063" spans="1:8" hidden="1" x14ac:dyDescent="0.3">
      <c r="A4063" t="s">
        <v>30</v>
      </c>
      <c r="B4063">
        <v>2017</v>
      </c>
      <c r="C4063" t="s">
        <v>36</v>
      </c>
      <c r="D4063" t="s">
        <v>14</v>
      </c>
      <c r="E4063" t="e">
        <f>VLOOKUP(Cpi_[[#This Row],[Attribute]],#REF!,2,FALSE)</f>
        <v>#REF!</v>
      </c>
      <c r="F4063">
        <v>145.4</v>
      </c>
      <c r="G4063">
        <f>(Cpi_[[#This Row],[Value]]-F4062)/F4062</f>
        <v>0.12018489984591674</v>
      </c>
      <c r="H4063" t="e" cm="1" vm="1">
        <f t="array" aca="1" ref="H4063" ca="1">VLOOKUP(Cpi_[[#This Row],[Year]:[Month]],crudeoil[],3,FALSE)</f>
        <v>#VALUE!</v>
      </c>
    </row>
    <row r="4064" spans="1:8" hidden="1" x14ac:dyDescent="0.3">
      <c r="A4064" t="s">
        <v>30</v>
      </c>
      <c r="B4064">
        <v>2017</v>
      </c>
      <c r="C4064" t="s">
        <v>36</v>
      </c>
      <c r="D4064" t="s">
        <v>15</v>
      </c>
      <c r="E4064" t="e">
        <f>VLOOKUP(Cpi_[[#This Row],[Attribute]],#REF!,2,FALSE)</f>
        <v>#REF!</v>
      </c>
      <c r="F4064">
        <v>133.4</v>
      </c>
      <c r="G4064">
        <f>(Cpi_[[#This Row],[Value]]-F4063)/F4063</f>
        <v>-8.2530949105914714E-2</v>
      </c>
      <c r="H4064" t="e" cm="1" vm="1">
        <f t="array" aca="1" ref="H4064" ca="1">VLOOKUP(Cpi_[[#This Row],[Year]:[Month]],crudeoil[],3,FALSE)</f>
        <v>#VALUE!</v>
      </c>
    </row>
    <row r="4065" spans="1:8" hidden="1" x14ac:dyDescent="0.3">
      <c r="A4065" t="s">
        <v>30</v>
      </c>
      <c r="B4065">
        <v>2017</v>
      </c>
      <c r="C4065" t="s">
        <v>36</v>
      </c>
      <c r="D4065" t="s">
        <v>16</v>
      </c>
      <c r="E4065" t="e">
        <f>VLOOKUP(Cpi_[[#This Row],[Attribute]],#REF!,2,FALSE)</f>
        <v>#REF!</v>
      </c>
      <c r="F4065">
        <v>144.19999999999999</v>
      </c>
      <c r="G4065">
        <f>(Cpi_[[#This Row],[Value]]-F4064)/F4064</f>
        <v>8.0959520239879929E-2</v>
      </c>
      <c r="H4065" t="e" cm="1" vm="1">
        <f t="array" aca="1" ref="H4065" ca="1">VLOOKUP(Cpi_[[#This Row],[Year]:[Month]],crudeoil[],3,FALSE)</f>
        <v>#VALUE!</v>
      </c>
    </row>
    <row r="4066" spans="1:8" hidden="1" x14ac:dyDescent="0.3">
      <c r="A4066" t="s">
        <v>30</v>
      </c>
      <c r="B4066">
        <v>2017</v>
      </c>
      <c r="C4066" t="s">
        <v>36</v>
      </c>
      <c r="D4066" t="s">
        <v>17</v>
      </c>
      <c r="E4066" t="e">
        <f>VLOOKUP(Cpi_[[#This Row],[Attribute]],#REF!,2,FALSE)</f>
        <v>#REF!</v>
      </c>
      <c r="F4066">
        <v>141.6</v>
      </c>
      <c r="G4066">
        <f>(Cpi_[[#This Row],[Value]]-F4065)/F4065</f>
        <v>-1.8030513176144205E-2</v>
      </c>
      <c r="H4066" t="e" cm="1" vm="1">
        <f t="array" aca="1" ref="H4066" ca="1">VLOOKUP(Cpi_[[#This Row],[Year]:[Month]],crudeoil[],3,FALSE)</f>
        <v>#VALUE!</v>
      </c>
    </row>
    <row r="4067" spans="1:8" hidden="1" x14ac:dyDescent="0.3">
      <c r="A4067" t="s">
        <v>30</v>
      </c>
      <c r="B4067">
        <v>2017</v>
      </c>
      <c r="C4067" t="s">
        <v>36</v>
      </c>
      <c r="D4067" t="s">
        <v>18</v>
      </c>
      <c r="E4067" t="e">
        <f>VLOOKUP(Cpi_[[#This Row],[Attribute]],#REF!,2,FALSE)</f>
        <v>#REF!</v>
      </c>
      <c r="F4067">
        <v>136.19999999999999</v>
      </c>
      <c r="G4067">
        <f>(Cpi_[[#This Row],[Value]]-F4066)/F4066</f>
        <v>-3.8135593220339027E-2</v>
      </c>
      <c r="H4067" t="e" cm="1" vm="1">
        <f t="array" aca="1" ref="H4067" ca="1">VLOOKUP(Cpi_[[#This Row],[Year]:[Month]],crudeoil[],3,FALSE)</f>
        <v>#VALUE!</v>
      </c>
    </row>
    <row r="4068" spans="1:8" hidden="1" x14ac:dyDescent="0.3">
      <c r="A4068" t="s">
        <v>30</v>
      </c>
      <c r="B4068">
        <v>2017</v>
      </c>
      <c r="C4068" t="s">
        <v>36</v>
      </c>
      <c r="D4068" t="s">
        <v>19</v>
      </c>
      <c r="E4068" t="e">
        <f>VLOOKUP(Cpi_[[#This Row],[Attribute]],#REF!,2,FALSE)</f>
        <v>#REF!</v>
      </c>
      <c r="F4068">
        <v>140.80000000000001</v>
      </c>
      <c r="G4068">
        <f>(Cpi_[[#This Row],[Value]]-F4067)/F4067</f>
        <v>3.3773861967694739E-2</v>
      </c>
      <c r="H4068" t="e" cm="1" vm="1">
        <f t="array" aca="1" ref="H4068" ca="1">VLOOKUP(Cpi_[[#This Row],[Year]:[Month]],crudeoil[],3,FALSE)</f>
        <v>#VALUE!</v>
      </c>
    </row>
    <row r="4069" spans="1:8" hidden="1" x14ac:dyDescent="0.3">
      <c r="A4069" t="s">
        <v>30</v>
      </c>
      <c r="B4069">
        <v>2017</v>
      </c>
      <c r="C4069" t="s">
        <v>36</v>
      </c>
      <c r="D4069" t="s">
        <v>20</v>
      </c>
      <c r="E4069" t="e">
        <f>VLOOKUP(Cpi_[[#This Row],[Attribute]],#REF!,2,FALSE)</f>
        <v>#REF!</v>
      </c>
      <c r="F4069" t="s">
        <v>32</v>
      </c>
      <c r="G4069" t="e">
        <f>(Cpi_[[#This Row],[Value]]-F4068)/F4068</f>
        <v>#VALUE!</v>
      </c>
      <c r="H4069" t="e" cm="1" vm="1">
        <f t="array" aca="1" ref="H4069" ca="1">VLOOKUP(Cpi_[[#This Row],[Year]:[Month]],crudeoil[],3,FALSE)</f>
        <v>#VALUE!</v>
      </c>
    </row>
    <row r="4070" spans="1:8" hidden="1" x14ac:dyDescent="0.3">
      <c r="A4070" t="s">
        <v>30</v>
      </c>
      <c r="B4070">
        <v>2017</v>
      </c>
      <c r="C4070" t="s">
        <v>36</v>
      </c>
      <c r="D4070" t="s">
        <v>21</v>
      </c>
      <c r="E4070" t="e">
        <f>VLOOKUP(Cpi_[[#This Row],[Attribute]],#REF!,2,FALSE)</f>
        <v>#REF!</v>
      </c>
      <c r="F4070">
        <v>134.19999999999999</v>
      </c>
      <c r="G4070" t="e">
        <f>(Cpi_[[#This Row],[Value]]-F4069)/F4069</f>
        <v>#VALUE!</v>
      </c>
      <c r="H4070" t="e" cm="1" vm="1">
        <f t="array" aca="1" ref="H4070" ca="1">VLOOKUP(Cpi_[[#This Row],[Year]:[Month]],crudeoil[],3,FALSE)</f>
        <v>#VALUE!</v>
      </c>
    </row>
    <row r="4071" spans="1:8" hidden="1" x14ac:dyDescent="0.3">
      <c r="A4071" t="s">
        <v>30</v>
      </c>
      <c r="B4071">
        <v>2017</v>
      </c>
      <c r="C4071" t="s">
        <v>36</v>
      </c>
      <c r="D4071" t="s">
        <v>22</v>
      </c>
      <c r="E4071" t="e">
        <f>VLOOKUP(Cpi_[[#This Row],[Attribute]],#REF!,2,FALSE)</f>
        <v>#REF!</v>
      </c>
      <c r="F4071">
        <v>134.1</v>
      </c>
      <c r="G4071">
        <f>(Cpi_[[#This Row],[Value]]-F4070)/F4070</f>
        <v>-7.4515648286135861E-4</v>
      </c>
      <c r="H4071" t="e" cm="1" vm="1">
        <f t="array" aca="1" ref="H4071" ca="1">VLOOKUP(Cpi_[[#This Row],[Year]:[Month]],crudeoil[],3,FALSE)</f>
        <v>#VALUE!</v>
      </c>
    </row>
    <row r="4072" spans="1:8" hidden="1" x14ac:dyDescent="0.3">
      <c r="A4072" t="s">
        <v>30</v>
      </c>
      <c r="B4072">
        <v>2017</v>
      </c>
      <c r="C4072" t="s">
        <v>36</v>
      </c>
      <c r="D4072" t="s">
        <v>23</v>
      </c>
      <c r="E4072" t="e">
        <f>VLOOKUP(Cpi_[[#This Row],[Attribute]],#REF!,2,FALSE)</f>
        <v>#REF!</v>
      </c>
      <c r="F4072">
        <v>130.6</v>
      </c>
      <c r="G4072">
        <f>(Cpi_[[#This Row],[Value]]-F4071)/F4071</f>
        <v>-2.609992542878449E-2</v>
      </c>
      <c r="H4072" t="e" cm="1" vm="1">
        <f t="array" aca="1" ref="H4072" ca="1">VLOOKUP(Cpi_[[#This Row],[Year]:[Month]],crudeoil[],3,FALSE)</f>
        <v>#VALUE!</v>
      </c>
    </row>
    <row r="4073" spans="1:8" hidden="1" x14ac:dyDescent="0.3">
      <c r="A4073" t="s">
        <v>30</v>
      </c>
      <c r="B4073">
        <v>2017</v>
      </c>
      <c r="C4073" t="s">
        <v>36</v>
      </c>
      <c r="D4073" t="s">
        <v>24</v>
      </c>
      <c r="E4073" t="e">
        <f>VLOOKUP(Cpi_[[#This Row],[Attribute]],#REF!,2,FALSE)</f>
        <v>#REF!</v>
      </c>
      <c r="F4073">
        <v>119.8</v>
      </c>
      <c r="G4073">
        <f>(Cpi_[[#This Row],[Value]]-F4072)/F4072</f>
        <v>-8.2695252679938727E-2</v>
      </c>
      <c r="H4073" t="e" cm="1" vm="1">
        <f t="array" aca="1" ref="H4073" ca="1">VLOOKUP(Cpi_[[#This Row],[Year]:[Month]],crudeoil[],3,FALSE)</f>
        <v>#VALUE!</v>
      </c>
    </row>
    <row r="4074" spans="1:8" hidden="1" x14ac:dyDescent="0.3">
      <c r="A4074" t="s">
        <v>30</v>
      </c>
      <c r="B4074">
        <v>2017</v>
      </c>
      <c r="C4074" t="s">
        <v>36</v>
      </c>
      <c r="D4074" t="s">
        <v>25</v>
      </c>
      <c r="E4074" t="e">
        <f>VLOOKUP(Cpi_[[#This Row],[Attribute]],#REF!,2,FALSE)</f>
        <v>#REF!</v>
      </c>
      <c r="F4074">
        <v>128.30000000000001</v>
      </c>
      <c r="G4074">
        <f>(Cpi_[[#This Row],[Value]]-F4073)/F4073</f>
        <v>7.0951585976627832E-2</v>
      </c>
      <c r="H4074" t="e" cm="1" vm="1">
        <f t="array" aca="1" ref="H4074" ca="1">VLOOKUP(Cpi_[[#This Row],[Year]:[Month]],crudeoil[],3,FALSE)</f>
        <v>#VALUE!</v>
      </c>
    </row>
    <row r="4075" spans="1:8" hidden="1" x14ac:dyDescent="0.3">
      <c r="A4075" t="s">
        <v>30</v>
      </c>
      <c r="B4075">
        <v>2017</v>
      </c>
      <c r="C4075" t="s">
        <v>36</v>
      </c>
      <c r="D4075" t="s">
        <v>26</v>
      </c>
      <c r="E4075" t="e">
        <f>VLOOKUP(Cpi_[[#This Row],[Attribute]],#REF!,2,FALSE)</f>
        <v>#REF!</v>
      </c>
      <c r="F4075">
        <v>135.19999999999999</v>
      </c>
      <c r="G4075">
        <f>(Cpi_[[#This Row],[Value]]-F4074)/F4074</f>
        <v>5.3780202650038786E-2</v>
      </c>
      <c r="H4075" t="e" cm="1" vm="1">
        <f t="array" aca="1" ref="H4075" ca="1">VLOOKUP(Cpi_[[#This Row],[Year]:[Month]],crudeoil[],3,FALSE)</f>
        <v>#VALUE!</v>
      </c>
    </row>
    <row r="4076" spans="1:8" hidden="1" x14ac:dyDescent="0.3">
      <c r="A4076" t="s">
        <v>30</v>
      </c>
      <c r="B4076">
        <v>2017</v>
      </c>
      <c r="C4076" t="s">
        <v>36</v>
      </c>
      <c r="D4076" t="s">
        <v>27</v>
      </c>
      <c r="E4076" t="e">
        <f>VLOOKUP(Cpi_[[#This Row],[Attribute]],#REF!,2,FALSE)</f>
        <v>#REF!</v>
      </c>
      <c r="F4076">
        <v>123.3</v>
      </c>
      <c r="G4076">
        <f>(Cpi_[[#This Row],[Value]]-F4075)/F4075</f>
        <v>-8.8017751479289891E-2</v>
      </c>
      <c r="H4076" t="e" cm="1" vm="1">
        <f t="array" aca="1" ref="H4076" ca="1">VLOOKUP(Cpi_[[#This Row],[Year]:[Month]],crudeoil[],3,FALSE)</f>
        <v>#VALUE!</v>
      </c>
    </row>
    <row r="4077" spans="1:8" hidden="1" x14ac:dyDescent="0.3">
      <c r="A4077" t="s">
        <v>30</v>
      </c>
      <c r="B4077">
        <v>2017</v>
      </c>
      <c r="C4077" t="s">
        <v>36</v>
      </c>
      <c r="D4077" t="s">
        <v>28</v>
      </c>
      <c r="E4077" t="e">
        <f>VLOOKUP(Cpi_[[#This Row],[Attribute]],#REF!,2,FALSE)</f>
        <v>#REF!</v>
      </c>
      <c r="F4077">
        <v>127.4</v>
      </c>
      <c r="G4077">
        <f>(Cpi_[[#This Row],[Value]]-F4076)/F4076</f>
        <v>3.3252230332522371E-2</v>
      </c>
      <c r="H4077" t="e" cm="1" vm="1">
        <f t="array" aca="1" ref="H4077" ca="1">VLOOKUP(Cpi_[[#This Row],[Year]:[Month]],crudeoil[],3,FALSE)</f>
        <v>#VALUE!</v>
      </c>
    </row>
    <row r="4078" spans="1:8" hidden="1" x14ac:dyDescent="0.3">
      <c r="A4078" t="s">
        <v>30</v>
      </c>
      <c r="B4078">
        <v>2017</v>
      </c>
      <c r="C4078" t="s">
        <v>36</v>
      </c>
      <c r="D4078" t="s">
        <v>29</v>
      </c>
      <c r="E4078" t="e" cm="1">
        <f t="array" aca="1" ref="E4078" ca="1">VLGeneral indexGeneral indexKUP(Cpi_[[#This Row],[Attribute]],#REF!,2,FALSE)</f>
        <v>#NAME?</v>
      </c>
      <c r="F4078">
        <v>132.80000000000001</v>
      </c>
      <c r="G4078">
        <f>(Cpi_[[#This Row],[Value]]-F4077)/F4077</f>
        <v>4.2386185243328142E-2</v>
      </c>
      <c r="H4078" t="e" cm="1" vm="1">
        <f t="array" aca="1" ref="H4078" ca="1">VLOOKUP(Cpi_[[#This Row],[Year]:[Month]],crudeoil[],3,FALSE)</f>
        <v>#VALUE!</v>
      </c>
    </row>
    <row r="4079" spans="1:8" hidden="1" x14ac:dyDescent="0.3">
      <c r="A4079" t="s">
        <v>33</v>
      </c>
      <c r="B4079">
        <v>2017</v>
      </c>
      <c r="C4079" t="s">
        <v>36</v>
      </c>
      <c r="D4079" t="s">
        <v>3</v>
      </c>
      <c r="E4079" t="e">
        <f>VLOOKUP(Cpi_[[#This Row],[Attribute]],#REF!,2,FALSE)</f>
        <v>#REF!</v>
      </c>
      <c r="F4079">
        <v>132.69999999999999</v>
      </c>
      <c r="G4079">
        <f>(Cpi_[[#This Row],[Value]]-F4078)/F4078</f>
        <v>-7.5301204819294221E-4</v>
      </c>
      <c r="H4079" t="e" cm="1" vm="1">
        <f t="array" aca="1" ref="H4079" ca="1">VLOOKUP(Cpi_[[#This Row],[Year]:[Month]],crudeoil[],3,FALSE)</f>
        <v>#VALUE!</v>
      </c>
    </row>
    <row r="4080" spans="1:8" hidden="1" x14ac:dyDescent="0.3">
      <c r="A4080" t="s">
        <v>33</v>
      </c>
      <c r="B4080">
        <v>2017</v>
      </c>
      <c r="C4080" t="s">
        <v>36</v>
      </c>
      <c r="D4080" t="s">
        <v>4</v>
      </c>
      <c r="E4080" t="e">
        <f>VLOOKUP(Cpi_[[#This Row],[Attribute]],#REF!,2,FALSE)</f>
        <v>#REF!</v>
      </c>
      <c r="F4080">
        <v>139.4</v>
      </c>
      <c r="G4080">
        <f>(Cpi_[[#This Row],[Value]]-F4079)/F4079</f>
        <v>5.0489826676714526E-2</v>
      </c>
      <c r="H4080" t="e" cm="1" vm="1">
        <f t="array" aca="1" ref="H4080" ca="1">VLOOKUP(Cpi_[[#This Row],[Year]:[Month]],crudeoil[],3,FALSE)</f>
        <v>#VALUE!</v>
      </c>
    </row>
    <row r="4081" spans="1:8" hidden="1" x14ac:dyDescent="0.3">
      <c r="A4081" t="s">
        <v>33</v>
      </c>
      <c r="B4081">
        <v>2017</v>
      </c>
      <c r="C4081" t="s">
        <v>36</v>
      </c>
      <c r="D4081" t="s">
        <v>5</v>
      </c>
      <c r="E4081" t="e">
        <f>VLOOKUP(Cpi_[[#This Row],[Attribute]],#REF!,2,FALSE)</f>
        <v>#REF!</v>
      </c>
      <c r="F4081">
        <v>128.4</v>
      </c>
      <c r="G4081">
        <f>(Cpi_[[#This Row],[Value]]-F4080)/F4080</f>
        <v>-7.8909612625538014E-2</v>
      </c>
      <c r="H4081" t="e" cm="1" vm="1">
        <f t="array" aca="1" ref="H4081" ca="1">VLOOKUP(Cpi_[[#This Row],[Year]:[Month]],crudeoil[],3,FALSE)</f>
        <v>#VALUE!</v>
      </c>
    </row>
    <row r="4082" spans="1:8" hidden="1" x14ac:dyDescent="0.3">
      <c r="A4082" t="s">
        <v>33</v>
      </c>
      <c r="B4082">
        <v>2017</v>
      </c>
      <c r="C4082" t="s">
        <v>36</v>
      </c>
      <c r="D4082" t="s">
        <v>6</v>
      </c>
      <c r="E4082" t="e">
        <f>VLOOKUP(Cpi_[[#This Row],[Attribute]],#REF!,2,FALSE)</f>
        <v>#REF!</v>
      </c>
      <c r="F4082">
        <v>134.9</v>
      </c>
      <c r="G4082">
        <f>(Cpi_[[#This Row],[Value]]-F4081)/F4081</f>
        <v>5.0623052959501556E-2</v>
      </c>
      <c r="H4082" t="e" cm="1" vm="1">
        <f t="array" aca="1" ref="H4082" ca="1">VLOOKUP(Cpi_[[#This Row],[Year]:[Month]],crudeoil[],3,FALSE)</f>
        <v>#VALUE!</v>
      </c>
    </row>
    <row r="4083" spans="1:8" hidden="1" x14ac:dyDescent="0.3">
      <c r="A4083" t="s">
        <v>33</v>
      </c>
      <c r="B4083">
        <v>2017</v>
      </c>
      <c r="C4083" t="s">
        <v>36</v>
      </c>
      <c r="D4083" t="s">
        <v>7</v>
      </c>
      <c r="E4083" t="e">
        <f>VLOOKUP(Cpi_[[#This Row],[Attribute]],#REF!,2,FALSE)</f>
        <v>#REF!</v>
      </c>
      <c r="F4083">
        <v>114</v>
      </c>
      <c r="G4083">
        <f>(Cpi_[[#This Row],[Value]]-F4082)/F4082</f>
        <v>-0.15492957746478878</v>
      </c>
      <c r="H4083" t="e" cm="1" vm="1">
        <f t="array" aca="1" ref="H4083" ca="1">VLOOKUP(Cpi_[[#This Row],[Year]:[Month]],crudeoil[],3,FALSE)</f>
        <v>#VALUE!</v>
      </c>
    </row>
    <row r="4084" spans="1:8" hidden="1" x14ac:dyDescent="0.3">
      <c r="A4084" t="s">
        <v>33</v>
      </c>
      <c r="B4084">
        <v>2017</v>
      </c>
      <c r="C4084" t="s">
        <v>36</v>
      </c>
      <c r="D4084" t="s">
        <v>8</v>
      </c>
      <c r="E4084" t="e">
        <f>VLOOKUP(Cpi_[[#This Row],[Attribute]],#REF!,2,FALSE)</f>
        <v>#REF!</v>
      </c>
      <c r="F4084">
        <v>136.80000000000001</v>
      </c>
      <c r="G4084">
        <f>(Cpi_[[#This Row],[Value]]-F4083)/F4083</f>
        <v>0.20000000000000009</v>
      </c>
      <c r="H4084" t="e" cm="1" vm="1">
        <f t="array" aca="1" ref="H4084" ca="1">VLOOKUP(Cpi_[[#This Row],[Year]:[Month]],crudeoil[],3,FALSE)</f>
        <v>#VALUE!</v>
      </c>
    </row>
    <row r="4085" spans="1:8" hidden="1" x14ac:dyDescent="0.3">
      <c r="A4085" t="s">
        <v>33</v>
      </c>
      <c r="B4085">
        <v>2017</v>
      </c>
      <c r="C4085" t="s">
        <v>36</v>
      </c>
      <c r="D4085" t="s">
        <v>9</v>
      </c>
      <c r="E4085" t="e">
        <f>VLOOKUP(Cpi_[[#This Row],[Attribute]],#REF!,2,FALSE)</f>
        <v>#REF!</v>
      </c>
      <c r="F4085">
        <v>122.2</v>
      </c>
      <c r="G4085">
        <f>(Cpi_[[#This Row],[Value]]-F4084)/F4084</f>
        <v>-0.10672514619883046</v>
      </c>
      <c r="H4085" t="e" cm="1" vm="1">
        <f t="array" aca="1" ref="H4085" ca="1">VLOOKUP(Cpi_[[#This Row],[Year]:[Month]],crudeoil[],3,FALSE)</f>
        <v>#VALUE!</v>
      </c>
    </row>
    <row r="4086" spans="1:8" hidden="1" x14ac:dyDescent="0.3">
      <c r="A4086" t="s">
        <v>33</v>
      </c>
      <c r="B4086">
        <v>2017</v>
      </c>
      <c r="C4086" t="s">
        <v>36</v>
      </c>
      <c r="D4086" t="s">
        <v>10</v>
      </c>
      <c r="E4086" t="e">
        <f>VLOOKUP(Cpi_[[#This Row],[Attribute]],#REF!,2,FALSE)</f>
        <v>#REF!</v>
      </c>
      <c r="F4086">
        <v>135.80000000000001</v>
      </c>
      <c r="G4086">
        <f>(Cpi_[[#This Row],[Value]]-F4085)/F4085</f>
        <v>0.11129296235679222</v>
      </c>
      <c r="H4086" t="e" cm="1" vm="1">
        <f t="array" aca="1" ref="H4086" ca="1">VLOOKUP(Cpi_[[#This Row],[Year]:[Month]],crudeoil[],3,FALSE)</f>
        <v>#VALUE!</v>
      </c>
    </row>
    <row r="4087" spans="1:8" hidden="1" x14ac:dyDescent="0.3">
      <c r="A4087" t="s">
        <v>33</v>
      </c>
      <c r="B4087">
        <v>2017</v>
      </c>
      <c r="C4087" t="s">
        <v>36</v>
      </c>
      <c r="D4087" t="s">
        <v>11</v>
      </c>
      <c r="E4087" t="e">
        <f>VLOOKUP(Cpi_[[#This Row],[Attribute]],#REF!,2,FALSE)</f>
        <v>#REF!</v>
      </c>
      <c r="F4087">
        <v>120.3</v>
      </c>
      <c r="G4087">
        <f>(Cpi_[[#This Row],[Value]]-F4086)/F4086</f>
        <v>-0.11413843888070702</v>
      </c>
      <c r="H4087" t="e" cm="1" vm="1">
        <f t="array" aca="1" ref="H4087" ca="1">VLOOKUP(Cpi_[[#This Row],[Year]:[Month]],crudeoil[],3,FALSE)</f>
        <v>#VALUE!</v>
      </c>
    </row>
    <row r="4088" spans="1:8" hidden="1" x14ac:dyDescent="0.3">
      <c r="A4088" t="s">
        <v>33</v>
      </c>
      <c r="B4088">
        <v>2017</v>
      </c>
      <c r="C4088" t="s">
        <v>36</v>
      </c>
      <c r="D4088" t="s">
        <v>12</v>
      </c>
      <c r="E4088" t="e">
        <f>VLOOKUP(Cpi_[[#This Row],[Attribute]],#REF!,2,FALSE)</f>
        <v>#REF!</v>
      </c>
      <c r="F4088">
        <v>142.6</v>
      </c>
      <c r="G4088">
        <f>(Cpi_[[#This Row],[Value]]-F4087)/F4087</f>
        <v>0.1853699085619285</v>
      </c>
      <c r="H4088" t="e" cm="1" vm="1">
        <f t="array" aca="1" ref="H4088" ca="1">VLOOKUP(Cpi_[[#This Row],[Year]:[Month]],crudeoil[],3,FALSE)</f>
        <v>#VALUE!</v>
      </c>
    </row>
    <row r="4089" spans="1:8" hidden="1" x14ac:dyDescent="0.3">
      <c r="A4089" t="s">
        <v>33</v>
      </c>
      <c r="B4089">
        <v>2017</v>
      </c>
      <c r="C4089" t="s">
        <v>36</v>
      </c>
      <c r="D4089" t="s">
        <v>13</v>
      </c>
      <c r="E4089" t="e">
        <f>VLOOKUP(Cpi_[[#This Row],[Attribute]],#REF!,2,FALSE)</f>
        <v>#REF!</v>
      </c>
      <c r="F4089">
        <v>123.6</v>
      </c>
      <c r="G4089">
        <f>(Cpi_[[#This Row],[Value]]-F4088)/F4088</f>
        <v>-0.13323983169705469</v>
      </c>
      <c r="H4089" t="e" cm="1" vm="1">
        <f t="array" aca="1" ref="H4089" ca="1">VLOOKUP(Cpi_[[#This Row],[Year]:[Month]],crudeoil[],3,FALSE)</f>
        <v>#VALUE!</v>
      </c>
    </row>
    <row r="4090" spans="1:8" hidden="1" x14ac:dyDescent="0.3">
      <c r="A4090" t="s">
        <v>33</v>
      </c>
      <c r="B4090">
        <v>2017</v>
      </c>
      <c r="C4090" t="s">
        <v>36</v>
      </c>
      <c r="D4090" t="s">
        <v>14</v>
      </c>
      <c r="E4090" t="e">
        <f>VLOOKUP(Cpi_[[#This Row],[Attribute]],#REF!,2,FALSE)</f>
        <v>#REF!</v>
      </c>
      <c r="F4090">
        <v>142.4</v>
      </c>
      <c r="G4090">
        <f>(Cpi_[[#This Row],[Value]]-F4089)/F4089</f>
        <v>0.15210355987055027</v>
      </c>
      <c r="H4090" t="e" cm="1" vm="1">
        <f t="array" aca="1" ref="H4090" ca="1">VLOOKUP(Cpi_[[#This Row],[Year]:[Month]],crudeoil[],3,FALSE)</f>
        <v>#VALUE!</v>
      </c>
    </row>
    <row r="4091" spans="1:8" hidden="1" x14ac:dyDescent="0.3">
      <c r="A4091" t="s">
        <v>33</v>
      </c>
      <c r="B4091">
        <v>2017</v>
      </c>
      <c r="C4091" t="s">
        <v>36</v>
      </c>
      <c r="D4091" t="s">
        <v>15</v>
      </c>
      <c r="E4091" t="e">
        <f>VLOOKUP(Cpi_[[#This Row],[Attribute]],#REF!,2,FALSE)</f>
        <v>#REF!</v>
      </c>
      <c r="F4091">
        <v>132.6</v>
      </c>
      <c r="G4091">
        <f>(Cpi_[[#This Row],[Value]]-F4090)/F4090</f>
        <v>-6.8820224719101195E-2</v>
      </c>
      <c r="H4091" t="e" cm="1" vm="1">
        <f t="array" aca="1" ref="H4091" ca="1">VLOOKUP(Cpi_[[#This Row],[Year]:[Month]],crudeoil[],3,FALSE)</f>
        <v>#VALUE!</v>
      </c>
    </row>
    <row r="4092" spans="1:8" hidden="1" x14ac:dyDescent="0.3">
      <c r="A4092" t="s">
        <v>33</v>
      </c>
      <c r="B4092">
        <v>2017</v>
      </c>
      <c r="C4092" t="s">
        <v>36</v>
      </c>
      <c r="D4092" t="s">
        <v>16</v>
      </c>
      <c r="E4092" t="e">
        <f>VLOOKUP(Cpi_[[#This Row],[Attribute]],#REF!,2,FALSE)</f>
        <v>#REF!</v>
      </c>
      <c r="F4092">
        <v>147.5</v>
      </c>
      <c r="G4092">
        <f>(Cpi_[[#This Row],[Value]]-F4091)/F4091</f>
        <v>0.11236802413273006</v>
      </c>
      <c r="H4092" t="e" cm="1" vm="1">
        <f t="array" aca="1" ref="H4092" ca="1">VLOOKUP(Cpi_[[#This Row],[Year]:[Month]],crudeoil[],3,FALSE)</f>
        <v>#VALUE!</v>
      </c>
    </row>
    <row r="4093" spans="1:8" hidden="1" x14ac:dyDescent="0.3">
      <c r="A4093" t="s">
        <v>33</v>
      </c>
      <c r="B4093">
        <v>2017</v>
      </c>
      <c r="C4093" t="s">
        <v>36</v>
      </c>
      <c r="D4093" t="s">
        <v>17</v>
      </c>
      <c r="E4093" t="e">
        <f>VLOOKUP(Cpi_[[#This Row],[Attribute]],#REF!,2,FALSE)</f>
        <v>#REF!</v>
      </c>
      <c r="F4093">
        <v>130.80000000000001</v>
      </c>
      <c r="G4093">
        <f>(Cpi_[[#This Row],[Value]]-F4092)/F4092</f>
        <v>-0.11322033898305077</v>
      </c>
      <c r="H4093" t="e" cm="1" vm="1">
        <f t="array" aca="1" ref="H4093" ca="1">VLOOKUP(Cpi_[[#This Row],[Year]:[Month]],crudeoil[],3,FALSE)</f>
        <v>#VALUE!</v>
      </c>
    </row>
    <row r="4094" spans="1:8" hidden="1" x14ac:dyDescent="0.3">
      <c r="A4094" t="s">
        <v>33</v>
      </c>
      <c r="B4094">
        <v>2017</v>
      </c>
      <c r="C4094" t="s">
        <v>36</v>
      </c>
      <c r="D4094" t="s">
        <v>18</v>
      </c>
      <c r="E4094" t="e">
        <f>VLOOKUP(Cpi_[[#This Row],[Attribute]],#REF!,2,FALSE)</f>
        <v>#REF!</v>
      </c>
      <c r="F4094">
        <v>122.8</v>
      </c>
      <c r="G4094">
        <f>(Cpi_[[#This Row],[Value]]-F4093)/F4093</f>
        <v>-6.1162079510703467E-2</v>
      </c>
      <c r="H4094" t="e" cm="1" vm="1">
        <f t="array" aca="1" ref="H4094" ca="1">VLOOKUP(Cpi_[[#This Row],[Year]:[Month]],crudeoil[],3,FALSE)</f>
        <v>#VALUE!</v>
      </c>
    </row>
    <row r="4095" spans="1:8" hidden="1" x14ac:dyDescent="0.3">
      <c r="A4095" t="s">
        <v>33</v>
      </c>
      <c r="B4095">
        <v>2017</v>
      </c>
      <c r="C4095" t="s">
        <v>36</v>
      </c>
      <c r="D4095" t="s">
        <v>19</v>
      </c>
      <c r="E4095" t="e">
        <f>VLOOKUP(Cpi_[[#This Row],[Attribute]],#REF!,2,FALSE)</f>
        <v>#REF!</v>
      </c>
      <c r="F4095">
        <v>129.6</v>
      </c>
      <c r="G4095">
        <f>(Cpi_[[#This Row],[Value]]-F4094)/F4094</f>
        <v>5.5374592833876198E-2</v>
      </c>
      <c r="H4095" t="e" cm="1" vm="1">
        <f t="array" aca="1" ref="H4095" ca="1">VLOOKUP(Cpi_[[#This Row],[Year]:[Month]],crudeoil[],3,FALSE)</f>
        <v>#VALUE!</v>
      </c>
    </row>
    <row r="4096" spans="1:8" hidden="1" x14ac:dyDescent="0.3">
      <c r="A4096" t="s">
        <v>33</v>
      </c>
      <c r="B4096">
        <v>2017</v>
      </c>
      <c r="C4096" t="s">
        <v>36</v>
      </c>
      <c r="D4096" t="s">
        <v>20</v>
      </c>
      <c r="E4096" t="e">
        <f>VLOOKUP(Cpi_[[#This Row],[Attribute]],#REF!,2,FALSE)</f>
        <v>#REF!</v>
      </c>
      <c r="F4096">
        <v>131.1</v>
      </c>
      <c r="G4096">
        <f>(Cpi_[[#This Row],[Value]]-F4095)/F4095</f>
        <v>1.1574074074074075E-2</v>
      </c>
      <c r="H4096" t="e" cm="1" vm="1">
        <f t="array" aca="1" ref="H4096" ca="1">VLOOKUP(Cpi_[[#This Row],[Year]:[Month]],crudeoil[],3,FALSE)</f>
        <v>#VALUE!</v>
      </c>
    </row>
    <row r="4097" spans="1:8" hidden="1" x14ac:dyDescent="0.3">
      <c r="A4097" t="s">
        <v>33</v>
      </c>
      <c r="B4097">
        <v>2017</v>
      </c>
      <c r="C4097" t="s">
        <v>36</v>
      </c>
      <c r="D4097" t="s">
        <v>21</v>
      </c>
      <c r="E4097" t="e">
        <f>VLOOKUP(Cpi_[[#This Row],[Attribute]],#REF!,2,FALSE)</f>
        <v>#REF!</v>
      </c>
      <c r="F4097">
        <v>120.8</v>
      </c>
      <c r="G4097">
        <f>(Cpi_[[#This Row],[Value]]-F4096)/F4096</f>
        <v>-7.8565980167810814E-2</v>
      </c>
      <c r="H4097" t="e" cm="1" vm="1">
        <f t="array" aca="1" ref="H4097" ca="1">VLOOKUP(Cpi_[[#This Row],[Year]:[Month]],crudeoil[],3,FALSE)</f>
        <v>#VALUE!</v>
      </c>
    </row>
    <row r="4098" spans="1:8" hidden="1" x14ac:dyDescent="0.3">
      <c r="A4098" t="s">
        <v>33</v>
      </c>
      <c r="B4098">
        <v>2017</v>
      </c>
      <c r="C4098" t="s">
        <v>36</v>
      </c>
      <c r="D4098" t="s">
        <v>22</v>
      </c>
      <c r="E4098" t="e">
        <f>VLOOKUP(Cpi_[[#This Row],[Attribute]],#REF!,2,FALSE)</f>
        <v>#REF!</v>
      </c>
      <c r="F4098">
        <v>125.6</v>
      </c>
      <c r="G4098">
        <f>(Cpi_[[#This Row],[Value]]-F4097)/F4097</f>
        <v>3.9735099337748318E-2</v>
      </c>
      <c r="H4098" t="e" cm="1" vm="1">
        <f t="array" aca="1" ref="H4098" ca="1">VLOOKUP(Cpi_[[#This Row],[Year]:[Month]],crudeoil[],3,FALSE)</f>
        <v>#VALUE!</v>
      </c>
    </row>
    <row r="4099" spans="1:8" hidden="1" x14ac:dyDescent="0.3">
      <c r="A4099" t="s">
        <v>33</v>
      </c>
      <c r="B4099">
        <v>2017</v>
      </c>
      <c r="C4099" t="s">
        <v>36</v>
      </c>
      <c r="D4099" t="s">
        <v>23</v>
      </c>
      <c r="E4099" t="e">
        <f>VLOOKUP(Cpi_[[#This Row],[Attribute]],#REF!,2,FALSE)</f>
        <v>#REF!</v>
      </c>
      <c r="F4099">
        <v>123.1</v>
      </c>
      <c r="G4099">
        <f>(Cpi_[[#This Row],[Value]]-F4098)/F4098</f>
        <v>-1.9904458598726117E-2</v>
      </c>
      <c r="H4099" t="e" cm="1" vm="1">
        <f t="array" aca="1" ref="H4099" ca="1">VLOOKUP(Cpi_[[#This Row],[Year]:[Month]],crudeoil[],3,FALSE)</f>
        <v>#VALUE!</v>
      </c>
    </row>
    <row r="4100" spans="1:8" hidden="1" x14ac:dyDescent="0.3">
      <c r="A4100" t="s">
        <v>33</v>
      </c>
      <c r="B4100">
        <v>2017</v>
      </c>
      <c r="C4100" t="s">
        <v>36</v>
      </c>
      <c r="D4100" t="s">
        <v>24</v>
      </c>
      <c r="E4100" t="e">
        <f>VLOOKUP(Cpi_[[#This Row],[Attribute]],#REF!,2,FALSE)</f>
        <v>#REF!</v>
      </c>
      <c r="F4100">
        <v>115.6</v>
      </c>
      <c r="G4100">
        <f>(Cpi_[[#This Row],[Value]]-F4099)/F4099</f>
        <v>-6.0926076360682375E-2</v>
      </c>
      <c r="H4100" t="e" cm="1" vm="1">
        <f t="array" aca="1" ref="H4100" ca="1">VLOOKUP(Cpi_[[#This Row],[Year]:[Month]],crudeoil[],3,FALSE)</f>
        <v>#VALUE!</v>
      </c>
    </row>
    <row r="4101" spans="1:8" hidden="1" x14ac:dyDescent="0.3">
      <c r="A4101" t="s">
        <v>33</v>
      </c>
      <c r="B4101">
        <v>2017</v>
      </c>
      <c r="C4101" t="s">
        <v>36</v>
      </c>
      <c r="D4101" t="s">
        <v>25</v>
      </c>
      <c r="E4101" t="e">
        <f>VLOOKUP(Cpi_[[#This Row],[Attribute]],#REF!,2,FALSE)</f>
        <v>#REF!</v>
      </c>
      <c r="F4101">
        <v>122.4</v>
      </c>
      <c r="G4101">
        <f>(Cpi_[[#This Row],[Value]]-F4100)/F4100</f>
        <v>5.8823529411764809E-2</v>
      </c>
      <c r="H4101" t="e" cm="1" vm="1">
        <f t="array" aca="1" ref="H4101" ca="1">VLOOKUP(Cpi_[[#This Row],[Year]:[Month]],crudeoil[],3,FALSE)</f>
        <v>#VALUE!</v>
      </c>
    </row>
    <row r="4102" spans="1:8" hidden="1" x14ac:dyDescent="0.3">
      <c r="A4102" t="s">
        <v>33</v>
      </c>
      <c r="B4102">
        <v>2017</v>
      </c>
      <c r="C4102" t="s">
        <v>36</v>
      </c>
      <c r="D4102" t="s">
        <v>26</v>
      </c>
      <c r="E4102" t="e">
        <f>VLOOKUP(Cpi_[[#This Row],[Attribute]],#REF!,2,FALSE)</f>
        <v>#REF!</v>
      </c>
      <c r="F4102">
        <v>132.80000000000001</v>
      </c>
      <c r="G4102">
        <f>(Cpi_[[#This Row],[Value]]-F4101)/F4101</f>
        <v>8.4967320261437954E-2</v>
      </c>
      <c r="H4102" t="e" cm="1" vm="1">
        <f t="array" aca="1" ref="H4102" ca="1">VLOOKUP(Cpi_[[#This Row],[Year]:[Month]],crudeoil[],3,FALSE)</f>
        <v>#VALUE!</v>
      </c>
    </row>
    <row r="4103" spans="1:8" hidden="1" x14ac:dyDescent="0.3">
      <c r="A4103" t="s">
        <v>33</v>
      </c>
      <c r="B4103">
        <v>2017</v>
      </c>
      <c r="C4103" t="s">
        <v>36</v>
      </c>
      <c r="D4103" t="s">
        <v>27</v>
      </c>
      <c r="E4103" t="e">
        <f>VLOOKUP(Cpi_[[#This Row],[Attribute]],#REF!,2,FALSE)</f>
        <v>#REF!</v>
      </c>
      <c r="F4103">
        <v>121.7</v>
      </c>
      <c r="G4103">
        <f>(Cpi_[[#This Row],[Value]]-F4102)/F4102</f>
        <v>-8.3584337349397644E-2</v>
      </c>
      <c r="H4103" t="e" cm="1" vm="1">
        <f t="array" aca="1" ref="H4103" ca="1">VLOOKUP(Cpi_[[#This Row],[Year]:[Month]],crudeoil[],3,FALSE)</f>
        <v>#VALUE!</v>
      </c>
    </row>
    <row r="4104" spans="1:8" hidden="1" x14ac:dyDescent="0.3">
      <c r="A4104" t="s">
        <v>33</v>
      </c>
      <c r="B4104">
        <v>2017</v>
      </c>
      <c r="C4104" t="s">
        <v>36</v>
      </c>
      <c r="D4104" t="s">
        <v>28</v>
      </c>
      <c r="E4104" t="e">
        <f>VLOOKUP(Cpi_[[#This Row],[Attribute]],#REF!,2,FALSE)</f>
        <v>#REF!</v>
      </c>
      <c r="F4104">
        <v>122.6</v>
      </c>
      <c r="G4104">
        <f>(Cpi_[[#This Row],[Value]]-F4103)/F4103</f>
        <v>7.3952341824157063E-3</v>
      </c>
      <c r="H4104" t="e" cm="1" vm="1">
        <f t="array" aca="1" ref="H4104" ca="1">VLOOKUP(Cpi_[[#This Row],[Year]:[Month]],crudeoil[],3,FALSE)</f>
        <v>#VALUE!</v>
      </c>
    </row>
    <row r="4105" spans="1:8" hidden="1" x14ac:dyDescent="0.3">
      <c r="A4105" t="s">
        <v>33</v>
      </c>
      <c r="B4105">
        <v>2017</v>
      </c>
      <c r="C4105" t="s">
        <v>36</v>
      </c>
      <c r="D4105" t="s">
        <v>29</v>
      </c>
      <c r="E4105" t="e" cm="1">
        <f t="array" aca="1" ref="E4105" ca="1">VLGeneral indexGeneral indexKUP(Cpi_[[#This Row],[Attribute]],#REF!,2,FALSE)</f>
        <v>#NAME?</v>
      </c>
      <c r="F4105">
        <v>128.69999999999999</v>
      </c>
      <c r="G4105">
        <f>(Cpi_[[#This Row],[Value]]-F4104)/F4104</f>
        <v>4.9755301794453463E-2</v>
      </c>
      <c r="H4105" t="e" cm="1" vm="1">
        <f t="array" aca="1" ref="H4105" ca="1">VLOOKUP(Cpi_[[#This Row],[Year]:[Month]],crudeoil[],3,FALSE)</f>
        <v>#VALUE!</v>
      </c>
    </row>
    <row r="4106" spans="1:8" hidden="1" x14ac:dyDescent="0.3">
      <c r="A4106" t="s">
        <v>34</v>
      </c>
      <c r="B4106">
        <v>2017</v>
      </c>
      <c r="C4106" t="s">
        <v>36</v>
      </c>
      <c r="D4106" t="s">
        <v>3</v>
      </c>
      <c r="E4106" t="e">
        <f>VLOOKUP(Cpi_[[#This Row],[Attribute]],#REF!,2,FALSE)</f>
        <v>#REF!</v>
      </c>
      <c r="F4106">
        <v>133.30000000000001</v>
      </c>
      <c r="G4106">
        <f>(Cpi_[[#This Row],[Value]]-F4105)/F4105</f>
        <v>3.5742035742035924E-2</v>
      </c>
      <c r="H4106" t="e" cm="1" vm="1">
        <f t="array" aca="1" ref="H4106" ca="1">VLOOKUP(Cpi_[[#This Row],[Year]:[Month]],crudeoil[],3,FALSE)</f>
        <v>#VALUE!</v>
      </c>
    </row>
    <row r="4107" spans="1:8" hidden="1" x14ac:dyDescent="0.3">
      <c r="A4107" t="s">
        <v>34</v>
      </c>
      <c r="B4107">
        <v>2017</v>
      </c>
      <c r="C4107" t="s">
        <v>36</v>
      </c>
      <c r="D4107" t="s">
        <v>4</v>
      </c>
      <c r="E4107" t="e">
        <f>VLOOKUP(Cpi_[[#This Row],[Attribute]],#REF!,2,FALSE)</f>
        <v>#REF!</v>
      </c>
      <c r="F4107">
        <v>139</v>
      </c>
      <c r="G4107">
        <f>(Cpi_[[#This Row],[Value]]-F4106)/F4106</f>
        <v>4.2760690172543046E-2</v>
      </c>
      <c r="H4107" t="e" cm="1" vm="1">
        <f t="array" aca="1" ref="H4107" ca="1">VLOOKUP(Cpi_[[#This Row],[Year]:[Month]],crudeoil[],3,FALSE)</f>
        <v>#VALUE!</v>
      </c>
    </row>
    <row r="4108" spans="1:8" hidden="1" x14ac:dyDescent="0.3">
      <c r="A4108" t="s">
        <v>34</v>
      </c>
      <c r="B4108">
        <v>2017</v>
      </c>
      <c r="C4108" t="s">
        <v>36</v>
      </c>
      <c r="D4108" t="s">
        <v>5</v>
      </c>
      <c r="E4108" t="e">
        <f>VLOOKUP(Cpi_[[#This Row],[Attribute]],#REF!,2,FALSE)</f>
        <v>#REF!</v>
      </c>
      <c r="F4108">
        <v>128.6</v>
      </c>
      <c r="G4108">
        <f>(Cpi_[[#This Row],[Value]]-F4107)/F4107</f>
        <v>-7.4820143884892124E-2</v>
      </c>
      <c r="H4108" t="e" cm="1" vm="1">
        <f t="array" aca="1" ref="H4108" ca="1">VLOOKUP(Cpi_[[#This Row],[Year]:[Month]],crudeoil[],3,FALSE)</f>
        <v>#VALUE!</v>
      </c>
    </row>
    <row r="4109" spans="1:8" hidden="1" x14ac:dyDescent="0.3">
      <c r="A4109" t="s">
        <v>34</v>
      </c>
      <c r="B4109">
        <v>2017</v>
      </c>
      <c r="C4109" t="s">
        <v>36</v>
      </c>
      <c r="D4109" t="s">
        <v>6</v>
      </c>
      <c r="E4109" t="e">
        <f>VLOOKUP(Cpi_[[#This Row],[Attribute]],#REF!,2,FALSE)</f>
        <v>#REF!</v>
      </c>
      <c r="F4109">
        <v>136.30000000000001</v>
      </c>
      <c r="G4109">
        <f>(Cpi_[[#This Row],[Value]]-F4108)/F4108</f>
        <v>5.9875583203732638E-2</v>
      </c>
      <c r="H4109" t="e" cm="1" vm="1">
        <f t="array" aca="1" ref="H4109" ca="1">VLOOKUP(Cpi_[[#This Row],[Year]:[Month]],crudeoil[],3,FALSE)</f>
        <v>#VALUE!</v>
      </c>
    </row>
    <row r="4110" spans="1:8" hidden="1" x14ac:dyDescent="0.3">
      <c r="A4110" t="s">
        <v>34</v>
      </c>
      <c r="B4110">
        <v>2017</v>
      </c>
      <c r="C4110" t="s">
        <v>36</v>
      </c>
      <c r="D4110" t="s">
        <v>7</v>
      </c>
      <c r="E4110" t="e">
        <f>VLOOKUP(Cpi_[[#This Row],[Attribute]],#REF!,2,FALSE)</f>
        <v>#REF!</v>
      </c>
      <c r="F4110">
        <v>118.8</v>
      </c>
      <c r="G4110">
        <f>(Cpi_[[#This Row],[Value]]-F4109)/F4109</f>
        <v>-0.12839325018341902</v>
      </c>
      <c r="H4110" t="e" cm="1" vm="1">
        <f t="array" aca="1" ref="H4110" ca="1">VLOOKUP(Cpi_[[#This Row],[Year]:[Month]],crudeoil[],3,FALSE)</f>
        <v>#VALUE!</v>
      </c>
    </row>
    <row r="4111" spans="1:8" hidden="1" x14ac:dyDescent="0.3">
      <c r="A4111" t="s">
        <v>34</v>
      </c>
      <c r="B4111">
        <v>2017</v>
      </c>
      <c r="C4111" t="s">
        <v>36</v>
      </c>
      <c r="D4111" t="s">
        <v>8</v>
      </c>
      <c r="E4111" t="e">
        <f>VLOOKUP(Cpi_[[#This Row],[Attribute]],#REF!,2,FALSE)</f>
        <v>#REF!</v>
      </c>
      <c r="F4111">
        <v>138.30000000000001</v>
      </c>
      <c r="G4111">
        <f>(Cpi_[[#This Row],[Value]]-F4110)/F4110</f>
        <v>0.16414141414141425</v>
      </c>
      <c r="H4111" t="e" cm="1" vm="1">
        <f t="array" aca="1" ref="H4111" ca="1">VLOOKUP(Cpi_[[#This Row],[Year]:[Month]],crudeoil[],3,FALSE)</f>
        <v>#VALUE!</v>
      </c>
    </row>
    <row r="4112" spans="1:8" hidden="1" x14ac:dyDescent="0.3">
      <c r="A4112" t="s">
        <v>34</v>
      </c>
      <c r="B4112">
        <v>2017</v>
      </c>
      <c r="C4112" t="s">
        <v>36</v>
      </c>
      <c r="D4112" t="s">
        <v>9</v>
      </c>
      <c r="E4112" t="e">
        <f>VLOOKUP(Cpi_[[#This Row],[Attribute]],#REF!,2,FALSE)</f>
        <v>#REF!</v>
      </c>
      <c r="F4112">
        <v>120.5</v>
      </c>
      <c r="G4112">
        <f>(Cpi_[[#This Row],[Value]]-F4111)/F4111</f>
        <v>-0.12870571221981209</v>
      </c>
      <c r="H4112" t="e" cm="1" vm="1">
        <f t="array" aca="1" ref="H4112" ca="1">VLOOKUP(Cpi_[[#This Row],[Year]:[Month]],crudeoil[],3,FALSE)</f>
        <v>#VALUE!</v>
      </c>
    </row>
    <row r="4113" spans="1:8" hidden="1" x14ac:dyDescent="0.3">
      <c r="A4113" t="s">
        <v>34</v>
      </c>
      <c r="B4113">
        <v>2017</v>
      </c>
      <c r="C4113" t="s">
        <v>36</v>
      </c>
      <c r="D4113" t="s">
        <v>10</v>
      </c>
      <c r="E4113" t="e">
        <f>VLOOKUP(Cpi_[[#This Row],[Attribute]],#REF!,2,FALSE)</f>
        <v>#REF!</v>
      </c>
      <c r="F4113">
        <v>143.9</v>
      </c>
      <c r="G4113">
        <f>(Cpi_[[#This Row],[Value]]-F4112)/F4112</f>
        <v>0.19419087136929467</v>
      </c>
      <c r="H4113" t="e" cm="1" vm="1">
        <f t="array" aca="1" ref="H4113" ca="1">VLOOKUP(Cpi_[[#This Row],[Year]:[Month]],crudeoil[],3,FALSE)</f>
        <v>#VALUE!</v>
      </c>
    </row>
    <row r="4114" spans="1:8" hidden="1" x14ac:dyDescent="0.3">
      <c r="A4114" t="s">
        <v>34</v>
      </c>
      <c r="B4114">
        <v>2017</v>
      </c>
      <c r="C4114" t="s">
        <v>36</v>
      </c>
      <c r="D4114" t="s">
        <v>11</v>
      </c>
      <c r="E4114" t="e">
        <f>VLOOKUP(Cpi_[[#This Row],[Attribute]],#REF!,2,FALSE)</f>
        <v>#REF!</v>
      </c>
      <c r="F4114">
        <v>118</v>
      </c>
      <c r="G4114">
        <f>(Cpi_[[#This Row],[Value]]-F4113)/F4113</f>
        <v>-0.17998610145934679</v>
      </c>
      <c r="H4114" t="e" cm="1" vm="1">
        <f t="array" aca="1" ref="H4114" ca="1">VLOOKUP(Cpi_[[#This Row],[Year]:[Month]],crudeoil[],3,FALSE)</f>
        <v>#VALUE!</v>
      </c>
    </row>
    <row r="4115" spans="1:8" hidden="1" x14ac:dyDescent="0.3">
      <c r="A4115" t="s">
        <v>34</v>
      </c>
      <c r="B4115">
        <v>2017</v>
      </c>
      <c r="C4115" t="s">
        <v>36</v>
      </c>
      <c r="D4115" t="s">
        <v>12</v>
      </c>
      <c r="E4115" t="e">
        <f>VLOOKUP(Cpi_[[#This Row],[Attribute]],#REF!,2,FALSE)</f>
        <v>#REF!</v>
      </c>
      <c r="F4115">
        <v>137.9</v>
      </c>
      <c r="G4115">
        <f>(Cpi_[[#This Row],[Value]]-F4114)/F4114</f>
        <v>0.16864406779661023</v>
      </c>
      <c r="H4115" t="e" cm="1" vm="1">
        <f t="array" aca="1" ref="H4115" ca="1">VLOOKUP(Cpi_[[#This Row],[Year]:[Month]],crudeoil[],3,FALSE)</f>
        <v>#VALUE!</v>
      </c>
    </row>
    <row r="4116" spans="1:8" hidden="1" x14ac:dyDescent="0.3">
      <c r="A4116" t="s">
        <v>34</v>
      </c>
      <c r="B4116">
        <v>2017</v>
      </c>
      <c r="C4116" t="s">
        <v>36</v>
      </c>
      <c r="D4116" t="s">
        <v>13</v>
      </c>
      <c r="E4116" t="e">
        <f>VLOOKUP(Cpi_[[#This Row],[Attribute]],#REF!,2,FALSE)</f>
        <v>#REF!</v>
      </c>
      <c r="F4116">
        <v>127.2</v>
      </c>
      <c r="G4116">
        <f>(Cpi_[[#This Row],[Value]]-F4115)/F4115</f>
        <v>-7.7592458303118214E-2</v>
      </c>
      <c r="H4116" t="e" cm="1" vm="1">
        <f t="array" aca="1" ref="H4116" ca="1">VLOOKUP(Cpi_[[#This Row],[Year]:[Month]],crudeoil[],3,FALSE)</f>
        <v>#VALUE!</v>
      </c>
    </row>
    <row r="4117" spans="1:8" hidden="1" x14ac:dyDescent="0.3">
      <c r="A4117" t="s">
        <v>34</v>
      </c>
      <c r="B4117">
        <v>2017</v>
      </c>
      <c r="C4117" t="s">
        <v>36</v>
      </c>
      <c r="D4117" t="s">
        <v>14</v>
      </c>
      <c r="E4117" t="e">
        <f>VLOOKUP(Cpi_[[#This Row],[Attribute]],#REF!,2,FALSE)</f>
        <v>#REF!</v>
      </c>
      <c r="F4117">
        <v>144</v>
      </c>
      <c r="G4117">
        <f>(Cpi_[[#This Row],[Value]]-F4116)/F4116</f>
        <v>0.13207547169811318</v>
      </c>
      <c r="H4117" t="e" cm="1" vm="1">
        <f t="array" aca="1" ref="H4117" ca="1">VLOOKUP(Cpi_[[#This Row],[Year]:[Month]],crudeoil[],3,FALSE)</f>
        <v>#VALUE!</v>
      </c>
    </row>
    <row r="4118" spans="1:8" hidden="1" x14ac:dyDescent="0.3">
      <c r="A4118" t="s">
        <v>34</v>
      </c>
      <c r="B4118">
        <v>2017</v>
      </c>
      <c r="C4118" t="s">
        <v>36</v>
      </c>
      <c r="D4118" t="s">
        <v>15</v>
      </c>
      <c r="E4118" t="e">
        <f>VLOOKUP(Cpi_[[#This Row],[Attribute]],#REF!,2,FALSE)</f>
        <v>#REF!</v>
      </c>
      <c r="F4118">
        <v>133.1</v>
      </c>
      <c r="G4118">
        <f>(Cpi_[[#This Row],[Value]]-F4117)/F4117</f>
        <v>-7.5694444444444481E-2</v>
      </c>
      <c r="H4118" t="e" cm="1" vm="1">
        <f t="array" aca="1" ref="H4118" ca="1">VLOOKUP(Cpi_[[#This Row],[Year]:[Month]],crudeoil[],3,FALSE)</f>
        <v>#VALUE!</v>
      </c>
    </row>
    <row r="4119" spans="1:8" hidden="1" x14ac:dyDescent="0.3">
      <c r="A4119" t="s">
        <v>34</v>
      </c>
      <c r="B4119">
        <v>2017</v>
      </c>
      <c r="C4119" t="s">
        <v>36</v>
      </c>
      <c r="D4119" t="s">
        <v>16</v>
      </c>
      <c r="E4119" t="e">
        <f>VLOOKUP(Cpi_[[#This Row],[Attribute]],#REF!,2,FALSE)</f>
        <v>#REF!</v>
      </c>
      <c r="F4119">
        <v>145.1</v>
      </c>
      <c r="G4119">
        <f>(Cpi_[[#This Row],[Value]]-F4118)/F4118</f>
        <v>9.0157776108189341E-2</v>
      </c>
      <c r="H4119" t="e" cm="1" vm="1">
        <f t="array" aca="1" ref="H4119" ca="1">VLOOKUP(Cpi_[[#This Row],[Year]:[Month]],crudeoil[],3,FALSE)</f>
        <v>#VALUE!</v>
      </c>
    </row>
    <row r="4120" spans="1:8" hidden="1" x14ac:dyDescent="0.3">
      <c r="A4120" t="s">
        <v>34</v>
      </c>
      <c r="B4120">
        <v>2017</v>
      </c>
      <c r="C4120" t="s">
        <v>36</v>
      </c>
      <c r="D4120" t="s">
        <v>17</v>
      </c>
      <c r="E4120" t="e">
        <f>VLOOKUP(Cpi_[[#This Row],[Attribute]],#REF!,2,FALSE)</f>
        <v>#REF!</v>
      </c>
      <c r="F4120">
        <v>137.30000000000001</v>
      </c>
      <c r="G4120">
        <f>(Cpi_[[#This Row],[Value]]-F4119)/F4119</f>
        <v>-5.3756030323914426E-2</v>
      </c>
      <c r="H4120" t="e" cm="1" vm="1">
        <f t="array" aca="1" ref="H4120" ca="1">VLOOKUP(Cpi_[[#This Row],[Year]:[Month]],crudeoil[],3,FALSE)</f>
        <v>#VALUE!</v>
      </c>
    </row>
    <row r="4121" spans="1:8" hidden="1" x14ac:dyDescent="0.3">
      <c r="A4121" t="s">
        <v>34</v>
      </c>
      <c r="B4121">
        <v>2017</v>
      </c>
      <c r="C4121" t="s">
        <v>36</v>
      </c>
      <c r="D4121" t="s">
        <v>18</v>
      </c>
      <c r="E4121" t="e">
        <f>VLOOKUP(Cpi_[[#This Row],[Attribute]],#REF!,2,FALSE)</f>
        <v>#REF!</v>
      </c>
      <c r="F4121">
        <v>130.6</v>
      </c>
      <c r="G4121">
        <f>(Cpi_[[#This Row],[Value]]-F4120)/F4120</f>
        <v>-4.8798252002913448E-2</v>
      </c>
      <c r="H4121" t="e" cm="1" vm="1">
        <f t="array" aca="1" ref="H4121" ca="1">VLOOKUP(Cpi_[[#This Row],[Year]:[Month]],crudeoil[],3,FALSE)</f>
        <v>#VALUE!</v>
      </c>
    </row>
    <row r="4122" spans="1:8" hidden="1" x14ac:dyDescent="0.3">
      <c r="A4122" t="s">
        <v>34</v>
      </c>
      <c r="B4122">
        <v>2017</v>
      </c>
      <c r="C4122" t="s">
        <v>36</v>
      </c>
      <c r="D4122" t="s">
        <v>19</v>
      </c>
      <c r="E4122" t="e">
        <f>VLOOKUP(Cpi_[[#This Row],[Attribute]],#REF!,2,FALSE)</f>
        <v>#REF!</v>
      </c>
      <c r="F4122">
        <v>136.4</v>
      </c>
      <c r="G4122">
        <f>(Cpi_[[#This Row],[Value]]-F4121)/F4121</f>
        <v>4.441041347626349E-2</v>
      </c>
      <c r="H4122" t="e" cm="1" vm="1">
        <f t="array" aca="1" ref="H4122" ca="1">VLOOKUP(Cpi_[[#This Row],[Year]:[Month]],crudeoil[],3,FALSE)</f>
        <v>#VALUE!</v>
      </c>
    </row>
    <row r="4123" spans="1:8" hidden="1" x14ac:dyDescent="0.3">
      <c r="A4123" t="s">
        <v>34</v>
      </c>
      <c r="B4123">
        <v>2017</v>
      </c>
      <c r="C4123" t="s">
        <v>36</v>
      </c>
      <c r="D4123" t="s">
        <v>20</v>
      </c>
      <c r="E4123" t="e">
        <f>VLOOKUP(Cpi_[[#This Row],[Attribute]],#REF!,2,FALSE)</f>
        <v>#REF!</v>
      </c>
      <c r="F4123">
        <v>131.1</v>
      </c>
      <c r="G4123">
        <f>(Cpi_[[#This Row],[Value]]-F4122)/F4122</f>
        <v>-3.8856304985337327E-2</v>
      </c>
      <c r="H4123" t="e" cm="1" vm="1">
        <f t="array" aca="1" ref="H4123" ca="1">VLOOKUP(Cpi_[[#This Row],[Year]:[Month]],crudeoil[],3,FALSE)</f>
        <v>#VALUE!</v>
      </c>
    </row>
    <row r="4124" spans="1:8" hidden="1" x14ac:dyDescent="0.3">
      <c r="A4124" t="s">
        <v>34</v>
      </c>
      <c r="B4124">
        <v>2017</v>
      </c>
      <c r="C4124" t="s">
        <v>36</v>
      </c>
      <c r="D4124" t="s">
        <v>21</v>
      </c>
      <c r="E4124" t="e">
        <f>VLOOKUP(Cpi_[[#This Row],[Attribute]],#REF!,2,FALSE)</f>
        <v>#REF!</v>
      </c>
      <c r="F4124">
        <v>129.1</v>
      </c>
      <c r="G4124">
        <f>(Cpi_[[#This Row],[Value]]-F4123)/F4123</f>
        <v>-1.5255530129672007E-2</v>
      </c>
      <c r="H4124" t="e" cm="1" vm="1">
        <f t="array" aca="1" ref="H4124" ca="1">VLOOKUP(Cpi_[[#This Row],[Year]:[Month]],crudeoil[],3,FALSE)</f>
        <v>#VALUE!</v>
      </c>
    </row>
    <row r="4125" spans="1:8" hidden="1" x14ac:dyDescent="0.3">
      <c r="A4125" t="s">
        <v>34</v>
      </c>
      <c r="B4125">
        <v>2017</v>
      </c>
      <c r="C4125" t="s">
        <v>36</v>
      </c>
      <c r="D4125" t="s">
        <v>22</v>
      </c>
      <c r="E4125" t="e">
        <f>VLOOKUP(Cpi_[[#This Row],[Attribute]],#REF!,2,FALSE)</f>
        <v>#REF!</v>
      </c>
      <c r="F4125">
        <v>130.1</v>
      </c>
      <c r="G4125">
        <f>(Cpi_[[#This Row],[Value]]-F4124)/F4124</f>
        <v>7.7459333849728895E-3</v>
      </c>
      <c r="H4125" t="e" cm="1" vm="1">
        <f t="array" aca="1" ref="H4125" ca="1">VLOOKUP(Cpi_[[#This Row],[Year]:[Month]],crudeoil[],3,FALSE)</f>
        <v>#VALUE!</v>
      </c>
    </row>
    <row r="4126" spans="1:8" hidden="1" x14ac:dyDescent="0.3">
      <c r="A4126" t="s">
        <v>34</v>
      </c>
      <c r="B4126">
        <v>2017</v>
      </c>
      <c r="C4126" t="s">
        <v>36</v>
      </c>
      <c r="D4126" t="s">
        <v>23</v>
      </c>
      <c r="E4126" t="e">
        <f>VLOOKUP(Cpi_[[#This Row],[Attribute]],#REF!,2,FALSE)</f>
        <v>#REF!</v>
      </c>
      <c r="F4126">
        <v>127.8</v>
      </c>
      <c r="G4126">
        <f>(Cpi_[[#This Row],[Value]]-F4125)/F4125</f>
        <v>-1.7678708685626422E-2</v>
      </c>
      <c r="H4126" t="e" cm="1" vm="1">
        <f t="array" aca="1" ref="H4126" ca="1">VLOOKUP(Cpi_[[#This Row],[Year]:[Month]],crudeoil[],3,FALSE)</f>
        <v>#VALUE!</v>
      </c>
    </row>
    <row r="4127" spans="1:8" hidden="1" x14ac:dyDescent="0.3">
      <c r="A4127" t="s">
        <v>34</v>
      </c>
      <c r="B4127">
        <v>2017</v>
      </c>
      <c r="C4127" t="s">
        <v>36</v>
      </c>
      <c r="D4127" t="s">
        <v>24</v>
      </c>
      <c r="E4127" t="e">
        <f>VLOOKUP(Cpi_[[#This Row],[Attribute]],#REF!,2,FALSE)</f>
        <v>#REF!</v>
      </c>
      <c r="F4127">
        <v>117.6</v>
      </c>
      <c r="G4127">
        <f>(Cpi_[[#This Row],[Value]]-F4126)/F4126</f>
        <v>-7.9812206572769981E-2</v>
      </c>
      <c r="H4127" t="e" cm="1" vm="1">
        <f t="array" aca="1" ref="H4127" ca="1">VLOOKUP(Cpi_[[#This Row],[Year]:[Month]],crudeoil[],3,FALSE)</f>
        <v>#VALUE!</v>
      </c>
    </row>
    <row r="4128" spans="1:8" hidden="1" x14ac:dyDescent="0.3">
      <c r="A4128" t="s">
        <v>34</v>
      </c>
      <c r="B4128">
        <v>2017</v>
      </c>
      <c r="C4128" t="s">
        <v>36</v>
      </c>
      <c r="D4128" t="s">
        <v>25</v>
      </c>
      <c r="E4128" t="e">
        <f>VLOOKUP(Cpi_[[#This Row],[Attribute]],#REF!,2,FALSE)</f>
        <v>#REF!</v>
      </c>
      <c r="F4128">
        <v>125</v>
      </c>
      <c r="G4128">
        <f>(Cpi_[[#This Row],[Value]]-F4127)/F4127</f>
        <v>6.2925170068027267E-2</v>
      </c>
      <c r="H4128" t="e" cm="1" vm="1">
        <f t="array" aca="1" ref="H4128" ca="1">VLOOKUP(Cpi_[[#This Row],[Year]:[Month]],crudeoil[],3,FALSE)</f>
        <v>#VALUE!</v>
      </c>
    </row>
    <row r="4129" spans="1:8" hidden="1" x14ac:dyDescent="0.3">
      <c r="A4129" t="s">
        <v>34</v>
      </c>
      <c r="B4129">
        <v>2017</v>
      </c>
      <c r="C4129" t="s">
        <v>36</v>
      </c>
      <c r="D4129" t="s">
        <v>26</v>
      </c>
      <c r="E4129" t="e">
        <f>VLOOKUP(Cpi_[[#This Row],[Attribute]],#REF!,2,FALSE)</f>
        <v>#REF!</v>
      </c>
      <c r="F4129">
        <v>133.80000000000001</v>
      </c>
      <c r="G4129">
        <f>(Cpi_[[#This Row],[Value]]-F4128)/F4128</f>
        <v>7.0400000000000088E-2</v>
      </c>
      <c r="H4129" t="e" cm="1" vm="1">
        <f t="array" aca="1" ref="H4129" ca="1">VLOOKUP(Cpi_[[#This Row],[Year]:[Month]],crudeoil[],3,FALSE)</f>
        <v>#VALUE!</v>
      </c>
    </row>
    <row r="4130" spans="1:8" hidden="1" x14ac:dyDescent="0.3">
      <c r="A4130" t="s">
        <v>34</v>
      </c>
      <c r="B4130">
        <v>2017</v>
      </c>
      <c r="C4130" t="s">
        <v>36</v>
      </c>
      <c r="D4130" t="s">
        <v>27</v>
      </c>
      <c r="E4130" t="e">
        <f>VLOOKUP(Cpi_[[#This Row],[Attribute]],#REF!,2,FALSE)</f>
        <v>#REF!</v>
      </c>
      <c r="F4130">
        <v>122.6</v>
      </c>
      <c r="G4130">
        <f>(Cpi_[[#This Row],[Value]]-F4129)/F4129</f>
        <v>-8.3707025411061411E-2</v>
      </c>
      <c r="H4130" t="e" cm="1" vm="1">
        <f t="array" aca="1" ref="H4130" ca="1">VLOOKUP(Cpi_[[#This Row],[Year]:[Month]],crudeoil[],3,FALSE)</f>
        <v>#VALUE!</v>
      </c>
    </row>
    <row r="4131" spans="1:8" hidden="1" x14ac:dyDescent="0.3">
      <c r="A4131" t="s">
        <v>34</v>
      </c>
      <c r="B4131">
        <v>2017</v>
      </c>
      <c r="C4131" t="s">
        <v>36</v>
      </c>
      <c r="D4131" t="s">
        <v>28</v>
      </c>
      <c r="E4131" t="e">
        <f>VLOOKUP(Cpi_[[#This Row],[Attribute]],#REF!,2,FALSE)</f>
        <v>#REF!</v>
      </c>
      <c r="F4131">
        <v>125.1</v>
      </c>
      <c r="G4131">
        <f>(Cpi_[[#This Row],[Value]]-F4130)/F4130</f>
        <v>2.0391517128874388E-2</v>
      </c>
      <c r="H4131" t="e" cm="1" vm="1">
        <f t="array" aca="1" ref="H4131" ca="1">VLOOKUP(Cpi_[[#This Row],[Year]:[Month]],crudeoil[],3,FALSE)</f>
        <v>#VALUE!</v>
      </c>
    </row>
    <row r="4132" spans="1:8" hidden="1" x14ac:dyDescent="0.3">
      <c r="A4132" t="s">
        <v>34</v>
      </c>
      <c r="B4132">
        <v>2017</v>
      </c>
      <c r="C4132" t="s">
        <v>36</v>
      </c>
      <c r="D4132" t="s">
        <v>29</v>
      </c>
      <c r="E4132" t="e" cm="1">
        <f t="array" aca="1" ref="E4132" ca="1">VLGeneral indexGeneral indexKUP(Cpi_[[#This Row],[Attribute]],#REF!,2,FALSE)</f>
        <v>#NAME?</v>
      </c>
      <c r="F4132">
        <v>130.9</v>
      </c>
      <c r="G4132">
        <f>(Cpi_[[#This Row],[Value]]-F4131)/F4131</f>
        <v>4.6362909672262281E-2</v>
      </c>
      <c r="H4132" t="e" cm="1" vm="1">
        <f t="array" aca="1" ref="H4132" ca="1">VLOOKUP(Cpi_[[#This Row],[Year]:[Month]],crudeoil[],3,FALSE)</f>
        <v>#VALUE!</v>
      </c>
    </row>
    <row r="4133" spans="1:8" hidden="1" x14ac:dyDescent="0.3">
      <c r="A4133" t="s">
        <v>30</v>
      </c>
      <c r="B4133">
        <v>2017</v>
      </c>
      <c r="C4133" t="s">
        <v>37</v>
      </c>
      <c r="D4133" t="s">
        <v>3</v>
      </c>
      <c r="E4133" t="e">
        <f>VLOOKUP(Cpi_[[#This Row],[Attribute]],#REF!,2,FALSE)</f>
        <v>#REF!</v>
      </c>
      <c r="F4133">
        <v>133.19999999999999</v>
      </c>
      <c r="G4133">
        <f>(Cpi_[[#This Row],[Value]]-F4132)/F4132</f>
        <v>1.7570664629488027E-2</v>
      </c>
      <c r="H4133" t="e" cm="1" vm="1">
        <f t="array" aca="1" ref="H4133" ca="1">VLOOKUP(Cpi_[[#This Row],[Year]:[Month]],crudeoil[],3,FALSE)</f>
        <v>#VALUE!</v>
      </c>
    </row>
    <row r="4134" spans="1:8" hidden="1" x14ac:dyDescent="0.3">
      <c r="A4134" t="s">
        <v>30</v>
      </c>
      <c r="B4134">
        <v>2017</v>
      </c>
      <c r="C4134" t="s">
        <v>37</v>
      </c>
      <c r="D4134" t="s">
        <v>4</v>
      </c>
      <c r="E4134" t="e">
        <f>VLOOKUP(Cpi_[[#This Row],[Attribute]],#REF!,2,FALSE)</f>
        <v>#REF!</v>
      </c>
      <c r="F4134">
        <v>138.69999999999999</v>
      </c>
      <c r="G4134">
        <f>(Cpi_[[#This Row],[Value]]-F4133)/F4133</f>
        <v>4.1291291291291297E-2</v>
      </c>
      <c r="H4134" t="e" cm="1" vm="1">
        <f t="array" aca="1" ref="H4134" ca="1">VLOOKUP(Cpi_[[#This Row],[Year]:[Month]],crudeoil[],3,FALSE)</f>
        <v>#VALUE!</v>
      </c>
    </row>
    <row r="4135" spans="1:8" hidden="1" x14ac:dyDescent="0.3">
      <c r="A4135" t="s">
        <v>30</v>
      </c>
      <c r="B4135">
        <v>2017</v>
      </c>
      <c r="C4135" t="s">
        <v>37</v>
      </c>
      <c r="D4135" t="s">
        <v>5</v>
      </c>
      <c r="E4135" t="e">
        <f>VLOOKUP(Cpi_[[#This Row],[Attribute]],#REF!,2,FALSE)</f>
        <v>#REF!</v>
      </c>
      <c r="F4135">
        <v>127.1</v>
      </c>
      <c r="G4135">
        <f>(Cpi_[[#This Row],[Value]]-F4134)/F4134</f>
        <v>-8.3633741888968965E-2</v>
      </c>
      <c r="H4135" t="e" cm="1" vm="1">
        <f t="array" aca="1" ref="H4135" ca="1">VLOOKUP(Cpi_[[#This Row],[Year]:[Month]],crudeoil[],3,FALSE)</f>
        <v>#VALUE!</v>
      </c>
    </row>
    <row r="4136" spans="1:8" hidden="1" x14ac:dyDescent="0.3">
      <c r="A4136" t="s">
        <v>30</v>
      </c>
      <c r="B4136">
        <v>2017</v>
      </c>
      <c r="C4136" t="s">
        <v>37</v>
      </c>
      <c r="D4136" t="s">
        <v>6</v>
      </c>
      <c r="E4136" t="e">
        <f>VLOOKUP(Cpi_[[#This Row],[Attribute]],#REF!,2,FALSE)</f>
        <v>#REF!</v>
      </c>
      <c r="F4136">
        <v>137.69999999999999</v>
      </c>
      <c r="G4136">
        <f>(Cpi_[[#This Row],[Value]]-F4135)/F4135</f>
        <v>8.3398898505114047E-2</v>
      </c>
      <c r="H4136" t="e" cm="1" vm="1">
        <f t="array" aca="1" ref="H4136" ca="1">VLOOKUP(Cpi_[[#This Row],[Year]:[Month]],crudeoil[],3,FALSE)</f>
        <v>#VALUE!</v>
      </c>
    </row>
    <row r="4137" spans="1:8" hidden="1" x14ac:dyDescent="0.3">
      <c r="A4137" t="s">
        <v>30</v>
      </c>
      <c r="B4137">
        <v>2017</v>
      </c>
      <c r="C4137" t="s">
        <v>37</v>
      </c>
      <c r="D4137" t="s">
        <v>7</v>
      </c>
      <c r="E4137" t="e">
        <f>VLOOKUP(Cpi_[[#This Row],[Attribute]],#REF!,2,FALSE)</f>
        <v>#REF!</v>
      </c>
      <c r="F4137">
        <v>121.3</v>
      </c>
      <c r="G4137">
        <f>(Cpi_[[#This Row],[Value]]-F4136)/F4136</f>
        <v>-0.1190994916485112</v>
      </c>
      <c r="H4137" t="e" cm="1" vm="1">
        <f t="array" aca="1" ref="H4137" ca="1">VLOOKUP(Cpi_[[#This Row],[Year]:[Month]],crudeoil[],3,FALSE)</f>
        <v>#VALUE!</v>
      </c>
    </row>
    <row r="4138" spans="1:8" hidden="1" x14ac:dyDescent="0.3">
      <c r="A4138" t="s">
        <v>30</v>
      </c>
      <c r="B4138">
        <v>2017</v>
      </c>
      <c r="C4138" t="s">
        <v>37</v>
      </c>
      <c r="D4138" t="s">
        <v>8</v>
      </c>
      <c r="E4138" t="e">
        <f>VLOOKUP(Cpi_[[#This Row],[Attribute]],#REF!,2,FALSE)</f>
        <v>#REF!</v>
      </c>
      <c r="F4138">
        <v>141.80000000000001</v>
      </c>
      <c r="G4138">
        <f>(Cpi_[[#This Row],[Value]]-F4137)/F4137</f>
        <v>0.1690024732069251</v>
      </c>
      <c r="H4138" t="e" cm="1" vm="1">
        <f t="array" aca="1" ref="H4138" ca="1">VLOOKUP(Cpi_[[#This Row],[Year]:[Month]],crudeoil[],3,FALSE)</f>
        <v>#VALUE!</v>
      </c>
    </row>
    <row r="4139" spans="1:8" hidden="1" x14ac:dyDescent="0.3">
      <c r="A4139" t="s">
        <v>30</v>
      </c>
      <c r="B4139">
        <v>2017</v>
      </c>
      <c r="C4139" t="s">
        <v>37</v>
      </c>
      <c r="D4139" t="s">
        <v>9</v>
      </c>
      <c r="E4139" t="e">
        <f>VLOOKUP(Cpi_[[#This Row],[Attribute]],#REF!,2,FALSE)</f>
        <v>#REF!</v>
      </c>
      <c r="F4139">
        <v>121.5</v>
      </c>
      <c r="G4139">
        <f>(Cpi_[[#This Row],[Value]]-F4138)/F4138</f>
        <v>-0.14315937940761642</v>
      </c>
      <c r="H4139" t="e" cm="1" vm="1">
        <f t="array" aca="1" ref="H4139" ca="1">VLOOKUP(Cpi_[[#This Row],[Year]:[Month]],crudeoil[],3,FALSE)</f>
        <v>#VALUE!</v>
      </c>
    </row>
    <row r="4140" spans="1:8" hidden="1" x14ac:dyDescent="0.3">
      <c r="A4140" t="s">
        <v>30</v>
      </c>
      <c r="B4140">
        <v>2017</v>
      </c>
      <c r="C4140" t="s">
        <v>37</v>
      </c>
      <c r="D4140" t="s">
        <v>10</v>
      </c>
      <c r="E4140" t="e">
        <f>VLOOKUP(Cpi_[[#This Row],[Attribute]],#REF!,2,FALSE)</f>
        <v>#REF!</v>
      </c>
      <c r="F4140">
        <v>144.5</v>
      </c>
      <c r="G4140">
        <f>(Cpi_[[#This Row],[Value]]-F4139)/F4139</f>
        <v>0.18930041152263374</v>
      </c>
      <c r="H4140" t="e" cm="1" vm="1">
        <f t="array" aca="1" ref="H4140" ca="1">VLOOKUP(Cpi_[[#This Row],[Year]:[Month]],crudeoil[],3,FALSE)</f>
        <v>#VALUE!</v>
      </c>
    </row>
    <row r="4141" spans="1:8" hidden="1" x14ac:dyDescent="0.3">
      <c r="A4141" t="s">
        <v>30</v>
      </c>
      <c r="B4141">
        <v>2017</v>
      </c>
      <c r="C4141" t="s">
        <v>37</v>
      </c>
      <c r="D4141" t="s">
        <v>11</v>
      </c>
      <c r="E4141" t="e">
        <f>VLOOKUP(Cpi_[[#This Row],[Attribute]],#REF!,2,FALSE)</f>
        <v>#REF!</v>
      </c>
      <c r="F4141">
        <v>117.4</v>
      </c>
      <c r="G4141">
        <f>(Cpi_[[#This Row],[Value]]-F4140)/F4140</f>
        <v>-0.18754325259515567</v>
      </c>
      <c r="H4141" t="e" cm="1" vm="1">
        <f t="array" aca="1" ref="H4141" ca="1">VLOOKUP(Cpi_[[#This Row],[Year]:[Month]],crudeoil[],3,FALSE)</f>
        <v>#VALUE!</v>
      </c>
    </row>
    <row r="4142" spans="1:8" hidden="1" x14ac:dyDescent="0.3">
      <c r="A4142" t="s">
        <v>30</v>
      </c>
      <c r="B4142">
        <v>2017</v>
      </c>
      <c r="C4142" t="s">
        <v>37</v>
      </c>
      <c r="D4142" t="s">
        <v>12</v>
      </c>
      <c r="E4142" t="e">
        <f>VLOOKUP(Cpi_[[#This Row],[Attribute]],#REF!,2,FALSE)</f>
        <v>#REF!</v>
      </c>
      <c r="F4142">
        <v>134.1</v>
      </c>
      <c r="G4142">
        <f>(Cpi_[[#This Row],[Value]]-F4141)/F4141</f>
        <v>0.14224872231686531</v>
      </c>
      <c r="H4142" t="e" cm="1" vm="1">
        <f t="array" aca="1" ref="H4142" ca="1">VLOOKUP(Cpi_[[#This Row],[Year]:[Month]],crudeoil[],3,FALSE)</f>
        <v>#VALUE!</v>
      </c>
    </row>
    <row r="4143" spans="1:8" hidden="1" x14ac:dyDescent="0.3">
      <c r="A4143" t="s">
        <v>30</v>
      </c>
      <c r="B4143">
        <v>2017</v>
      </c>
      <c r="C4143" t="s">
        <v>37</v>
      </c>
      <c r="D4143" t="s">
        <v>13</v>
      </c>
      <c r="E4143" t="e">
        <f>VLOOKUP(Cpi_[[#This Row],[Attribute]],#REF!,2,FALSE)</f>
        <v>#REF!</v>
      </c>
      <c r="F4143">
        <v>130</v>
      </c>
      <c r="G4143">
        <f>(Cpi_[[#This Row],[Value]]-F4142)/F4142</f>
        <v>-3.0574198359433216E-2</v>
      </c>
      <c r="H4143" t="e" cm="1" vm="1">
        <f t="array" aca="1" ref="H4143" ca="1">VLOOKUP(Cpi_[[#This Row],[Year]:[Month]],crudeoil[],3,FALSE)</f>
        <v>#VALUE!</v>
      </c>
    </row>
    <row r="4144" spans="1:8" hidden="1" x14ac:dyDescent="0.3">
      <c r="A4144" t="s">
        <v>30</v>
      </c>
      <c r="B4144">
        <v>2017</v>
      </c>
      <c r="C4144" t="s">
        <v>37</v>
      </c>
      <c r="D4144" t="s">
        <v>14</v>
      </c>
      <c r="E4144" t="e">
        <f>VLOOKUP(Cpi_[[#This Row],[Attribute]],#REF!,2,FALSE)</f>
        <v>#REF!</v>
      </c>
      <c r="F4144">
        <v>145.5</v>
      </c>
      <c r="G4144">
        <f>(Cpi_[[#This Row],[Value]]-F4143)/F4143</f>
        <v>0.11923076923076924</v>
      </c>
      <c r="H4144" t="e" cm="1" vm="1">
        <f t="array" aca="1" ref="H4144" ca="1">VLOOKUP(Cpi_[[#This Row],[Year]:[Month]],crudeoil[],3,FALSE)</f>
        <v>#VALUE!</v>
      </c>
    </row>
    <row r="4145" spans="1:8" hidden="1" x14ac:dyDescent="0.3">
      <c r="A4145" t="s">
        <v>30</v>
      </c>
      <c r="B4145">
        <v>2017</v>
      </c>
      <c r="C4145" t="s">
        <v>37</v>
      </c>
      <c r="D4145" t="s">
        <v>15</v>
      </c>
      <c r="E4145" t="e">
        <f>VLOOKUP(Cpi_[[#This Row],[Attribute]],#REF!,2,FALSE)</f>
        <v>#REF!</v>
      </c>
      <c r="F4145">
        <v>133.5</v>
      </c>
      <c r="G4145">
        <f>(Cpi_[[#This Row],[Value]]-F4144)/F4144</f>
        <v>-8.247422680412371E-2</v>
      </c>
      <c r="H4145" t="e" cm="1" vm="1">
        <f t="array" aca="1" ref="H4145" ca="1">VLOOKUP(Cpi_[[#This Row],[Year]:[Month]],crudeoil[],3,FALSE)</f>
        <v>#VALUE!</v>
      </c>
    </row>
    <row r="4146" spans="1:8" hidden="1" x14ac:dyDescent="0.3">
      <c r="A4146" t="s">
        <v>30</v>
      </c>
      <c r="B4146">
        <v>2017</v>
      </c>
      <c r="C4146" t="s">
        <v>37</v>
      </c>
      <c r="D4146" t="s">
        <v>16</v>
      </c>
      <c r="E4146" t="e">
        <f>VLOOKUP(Cpi_[[#This Row],[Attribute]],#REF!,2,FALSE)</f>
        <v>#REF!</v>
      </c>
      <c r="F4146">
        <v>144.4</v>
      </c>
      <c r="G4146">
        <f>(Cpi_[[#This Row],[Value]]-F4145)/F4145</f>
        <v>8.1647940074906403E-2</v>
      </c>
      <c r="H4146" t="e" cm="1" vm="1">
        <f t="array" aca="1" ref="H4146" ca="1">VLOOKUP(Cpi_[[#This Row],[Year]:[Month]],crudeoil[],3,FALSE)</f>
        <v>#VALUE!</v>
      </c>
    </row>
    <row r="4147" spans="1:8" hidden="1" x14ac:dyDescent="0.3">
      <c r="A4147" t="s">
        <v>30</v>
      </c>
      <c r="B4147">
        <v>2017</v>
      </c>
      <c r="C4147" t="s">
        <v>37</v>
      </c>
      <c r="D4147" t="s">
        <v>17</v>
      </c>
      <c r="E4147" t="e">
        <f>VLOOKUP(Cpi_[[#This Row],[Attribute]],#REF!,2,FALSE)</f>
        <v>#REF!</v>
      </c>
      <c r="F4147">
        <v>142.4</v>
      </c>
      <c r="G4147">
        <f>(Cpi_[[#This Row],[Value]]-F4146)/F4146</f>
        <v>-1.3850415512465374E-2</v>
      </c>
      <c r="H4147" t="e" cm="1" vm="1">
        <f t="array" aca="1" ref="H4147" ca="1">VLOOKUP(Cpi_[[#This Row],[Year]:[Month]],crudeoil[],3,FALSE)</f>
        <v>#VALUE!</v>
      </c>
    </row>
    <row r="4148" spans="1:8" hidden="1" x14ac:dyDescent="0.3">
      <c r="A4148" t="s">
        <v>30</v>
      </c>
      <c r="B4148">
        <v>2017</v>
      </c>
      <c r="C4148" t="s">
        <v>37</v>
      </c>
      <c r="D4148" t="s">
        <v>18</v>
      </c>
      <c r="E4148" t="e">
        <f>VLOOKUP(Cpi_[[#This Row],[Attribute]],#REF!,2,FALSE)</f>
        <v>#REF!</v>
      </c>
      <c r="F4148">
        <v>136.80000000000001</v>
      </c>
      <c r="G4148">
        <f>(Cpi_[[#This Row],[Value]]-F4147)/F4147</f>
        <v>-3.9325842696629171E-2</v>
      </c>
      <c r="H4148" t="e" cm="1" vm="1">
        <f t="array" aca="1" ref="H4148" ca="1">VLOOKUP(Cpi_[[#This Row],[Year]:[Month]],crudeoil[],3,FALSE)</f>
        <v>#VALUE!</v>
      </c>
    </row>
    <row r="4149" spans="1:8" hidden="1" x14ac:dyDescent="0.3">
      <c r="A4149" t="s">
        <v>30</v>
      </c>
      <c r="B4149">
        <v>2017</v>
      </c>
      <c r="C4149" t="s">
        <v>37</v>
      </c>
      <c r="D4149" t="s">
        <v>19</v>
      </c>
      <c r="E4149" t="e">
        <f>VLOOKUP(Cpi_[[#This Row],[Attribute]],#REF!,2,FALSE)</f>
        <v>#REF!</v>
      </c>
      <c r="F4149">
        <v>141.6</v>
      </c>
      <c r="G4149">
        <f>(Cpi_[[#This Row],[Value]]-F4148)/F4148</f>
        <v>3.5087719298245487E-2</v>
      </c>
      <c r="H4149" t="e" cm="1" vm="1">
        <f t="array" aca="1" ref="H4149" ca="1">VLOOKUP(Cpi_[[#This Row],[Year]:[Month]],crudeoil[],3,FALSE)</f>
        <v>#VALUE!</v>
      </c>
    </row>
    <row r="4150" spans="1:8" hidden="1" x14ac:dyDescent="0.3">
      <c r="A4150" t="s">
        <v>30</v>
      </c>
      <c r="B4150">
        <v>2017</v>
      </c>
      <c r="C4150" t="s">
        <v>37</v>
      </c>
      <c r="D4150" t="s">
        <v>20</v>
      </c>
      <c r="E4150" t="e">
        <f>VLOOKUP(Cpi_[[#This Row],[Attribute]],#REF!,2,FALSE)</f>
        <v>#REF!</v>
      </c>
      <c r="F4150" t="s">
        <v>32</v>
      </c>
      <c r="G4150" t="e">
        <f>(Cpi_[[#This Row],[Value]]-F4149)/F4149</f>
        <v>#VALUE!</v>
      </c>
      <c r="H4150" t="e" cm="1" vm="1">
        <f t="array" aca="1" ref="H4150" ca="1">VLOOKUP(Cpi_[[#This Row],[Year]:[Month]],crudeoil[],3,FALSE)</f>
        <v>#VALUE!</v>
      </c>
    </row>
    <row r="4151" spans="1:8" hidden="1" x14ac:dyDescent="0.3">
      <c r="A4151" t="s">
        <v>30</v>
      </c>
      <c r="B4151">
        <v>2017</v>
      </c>
      <c r="C4151" t="s">
        <v>37</v>
      </c>
      <c r="D4151" t="s">
        <v>21</v>
      </c>
      <c r="E4151" t="e">
        <f>VLOOKUP(Cpi_[[#This Row],[Attribute]],#REF!,2,FALSE)</f>
        <v>#REF!</v>
      </c>
      <c r="F4151">
        <v>135</v>
      </c>
      <c r="G4151" t="e">
        <f>(Cpi_[[#This Row],[Value]]-F4150)/F4150</f>
        <v>#VALUE!</v>
      </c>
      <c r="H4151" t="e" cm="1" vm="1">
        <f t="array" aca="1" ref="H4151" ca="1">VLOOKUP(Cpi_[[#This Row],[Year]:[Month]],crudeoil[],3,FALSE)</f>
        <v>#VALUE!</v>
      </c>
    </row>
    <row r="4152" spans="1:8" hidden="1" x14ac:dyDescent="0.3">
      <c r="A4152" t="s">
        <v>30</v>
      </c>
      <c r="B4152">
        <v>2017</v>
      </c>
      <c r="C4152" t="s">
        <v>37</v>
      </c>
      <c r="D4152" t="s">
        <v>22</v>
      </c>
      <c r="E4152" t="e">
        <f>VLOOKUP(Cpi_[[#This Row],[Attribute]],#REF!,2,FALSE)</f>
        <v>#REF!</v>
      </c>
      <c r="F4152">
        <v>134.30000000000001</v>
      </c>
      <c r="G4152">
        <f>(Cpi_[[#This Row],[Value]]-F4151)/F4151</f>
        <v>-5.1851851851851009E-3</v>
      </c>
      <c r="H4152" t="e" cm="1" vm="1">
        <f t="array" aca="1" ref="H4152" ca="1">VLOOKUP(Cpi_[[#This Row],[Year]:[Month]],crudeoil[],3,FALSE)</f>
        <v>#VALUE!</v>
      </c>
    </row>
    <row r="4153" spans="1:8" hidden="1" x14ac:dyDescent="0.3">
      <c r="A4153" t="s">
        <v>30</v>
      </c>
      <c r="B4153">
        <v>2017</v>
      </c>
      <c r="C4153" t="s">
        <v>37</v>
      </c>
      <c r="D4153" t="s">
        <v>23</v>
      </c>
      <c r="E4153" t="e">
        <f>VLOOKUP(Cpi_[[#This Row],[Attribute]],#REF!,2,FALSE)</f>
        <v>#REF!</v>
      </c>
      <c r="F4153">
        <v>131</v>
      </c>
      <c r="G4153">
        <f>(Cpi_[[#This Row],[Value]]-F4152)/F4152</f>
        <v>-2.4571854058079011E-2</v>
      </c>
      <c r="H4153" t="e" cm="1" vm="1">
        <f t="array" aca="1" ref="H4153" ca="1">VLOOKUP(Cpi_[[#This Row],[Year]:[Month]],crudeoil[],3,FALSE)</f>
        <v>#VALUE!</v>
      </c>
    </row>
    <row r="4154" spans="1:8" hidden="1" x14ac:dyDescent="0.3">
      <c r="A4154" t="s">
        <v>30</v>
      </c>
      <c r="B4154">
        <v>2017</v>
      </c>
      <c r="C4154" t="s">
        <v>37</v>
      </c>
      <c r="D4154" t="s">
        <v>24</v>
      </c>
      <c r="E4154" t="e">
        <f>VLOOKUP(Cpi_[[#This Row],[Attribute]],#REF!,2,FALSE)</f>
        <v>#REF!</v>
      </c>
      <c r="F4154">
        <v>119.2</v>
      </c>
      <c r="G4154">
        <f>(Cpi_[[#This Row],[Value]]-F4153)/F4153</f>
        <v>-9.0076335877862568E-2</v>
      </c>
      <c r="H4154" t="e" cm="1" vm="1">
        <f t="array" aca="1" ref="H4154" ca="1">VLOOKUP(Cpi_[[#This Row],[Year]:[Month]],crudeoil[],3,FALSE)</f>
        <v>#VALUE!</v>
      </c>
    </row>
    <row r="4155" spans="1:8" hidden="1" x14ac:dyDescent="0.3">
      <c r="A4155" t="s">
        <v>30</v>
      </c>
      <c r="B4155">
        <v>2017</v>
      </c>
      <c r="C4155" t="s">
        <v>37</v>
      </c>
      <c r="D4155" t="s">
        <v>25</v>
      </c>
      <c r="E4155" t="e">
        <f>VLOOKUP(Cpi_[[#This Row],[Attribute]],#REF!,2,FALSE)</f>
        <v>#REF!</v>
      </c>
      <c r="F4155">
        <v>128.30000000000001</v>
      </c>
      <c r="G4155">
        <f>(Cpi_[[#This Row],[Value]]-F4154)/F4154</f>
        <v>7.6342281879194701E-2</v>
      </c>
      <c r="H4155" t="e" cm="1" vm="1">
        <f t="array" aca="1" ref="H4155" ca="1">VLOOKUP(Cpi_[[#This Row],[Year]:[Month]],crudeoil[],3,FALSE)</f>
        <v>#VALUE!</v>
      </c>
    </row>
    <row r="4156" spans="1:8" hidden="1" x14ac:dyDescent="0.3">
      <c r="A4156" t="s">
        <v>30</v>
      </c>
      <c r="B4156">
        <v>2017</v>
      </c>
      <c r="C4156" t="s">
        <v>37</v>
      </c>
      <c r="D4156" t="s">
        <v>26</v>
      </c>
      <c r="E4156" t="e">
        <f>VLOOKUP(Cpi_[[#This Row],[Attribute]],#REF!,2,FALSE)</f>
        <v>#REF!</v>
      </c>
      <c r="F4156">
        <v>135.69999999999999</v>
      </c>
      <c r="G4156">
        <f>(Cpi_[[#This Row],[Value]]-F4155)/F4155</f>
        <v>5.7677318784099582E-2</v>
      </c>
      <c r="H4156" t="e" cm="1" vm="1">
        <f t="array" aca="1" ref="H4156" ca="1">VLOOKUP(Cpi_[[#This Row],[Year]:[Month]],crudeoil[],3,FALSE)</f>
        <v>#VALUE!</v>
      </c>
    </row>
    <row r="4157" spans="1:8" hidden="1" x14ac:dyDescent="0.3">
      <c r="A4157" t="s">
        <v>30</v>
      </c>
      <c r="B4157">
        <v>2017</v>
      </c>
      <c r="C4157" t="s">
        <v>37</v>
      </c>
      <c r="D4157" t="s">
        <v>27</v>
      </c>
      <c r="E4157" t="e">
        <f>VLOOKUP(Cpi_[[#This Row],[Attribute]],#REF!,2,FALSE)</f>
        <v>#REF!</v>
      </c>
      <c r="F4157">
        <v>123.7</v>
      </c>
      <c r="G4157">
        <f>(Cpi_[[#This Row],[Value]]-F4156)/F4156</f>
        <v>-8.8430361090641021E-2</v>
      </c>
      <c r="H4157" t="e" cm="1" vm="1">
        <f t="array" aca="1" ref="H4157" ca="1">VLOOKUP(Cpi_[[#This Row],[Year]:[Month]],crudeoil[],3,FALSE)</f>
        <v>#VALUE!</v>
      </c>
    </row>
    <row r="4158" spans="1:8" hidden="1" x14ac:dyDescent="0.3">
      <c r="A4158" t="s">
        <v>30</v>
      </c>
      <c r="B4158">
        <v>2017</v>
      </c>
      <c r="C4158" t="s">
        <v>37</v>
      </c>
      <c r="D4158" t="s">
        <v>28</v>
      </c>
      <c r="E4158" t="e">
        <f>VLOOKUP(Cpi_[[#This Row],[Attribute]],#REF!,2,FALSE)</f>
        <v>#REF!</v>
      </c>
      <c r="F4158">
        <v>127.5</v>
      </c>
      <c r="G4158">
        <f>(Cpi_[[#This Row],[Value]]-F4157)/F4157</f>
        <v>3.0719482619240072E-2</v>
      </c>
      <c r="H4158" t="e" cm="1" vm="1">
        <f t="array" aca="1" ref="H4158" ca="1">VLOOKUP(Cpi_[[#This Row],[Year]:[Month]],crudeoil[],3,FALSE)</f>
        <v>#VALUE!</v>
      </c>
    </row>
    <row r="4159" spans="1:8" hidden="1" x14ac:dyDescent="0.3">
      <c r="A4159" t="s">
        <v>30</v>
      </c>
      <c r="B4159">
        <v>2017</v>
      </c>
      <c r="C4159" t="s">
        <v>37</v>
      </c>
      <c r="D4159" t="s">
        <v>29</v>
      </c>
      <c r="E4159" t="e" cm="1">
        <f t="array" aca="1" ref="E4159" ca="1">VLGeneral indexGeneral indexKUP(Cpi_[[#This Row],[Attribute]],#REF!,2,FALSE)</f>
        <v>#NAME?</v>
      </c>
      <c r="F4159">
        <v>132.9</v>
      </c>
      <c r="G4159">
        <f>(Cpi_[[#This Row],[Value]]-F4158)/F4158</f>
        <v>4.2352941176470635E-2</v>
      </c>
      <c r="H4159" t="e" cm="1" vm="1">
        <f t="array" aca="1" ref="H4159" ca="1">VLOOKUP(Cpi_[[#This Row],[Year]:[Month]],crudeoil[],3,FALSE)</f>
        <v>#VALUE!</v>
      </c>
    </row>
    <row r="4160" spans="1:8" hidden="1" x14ac:dyDescent="0.3">
      <c r="A4160" t="s">
        <v>33</v>
      </c>
      <c r="B4160">
        <v>2017</v>
      </c>
      <c r="C4160" t="s">
        <v>37</v>
      </c>
      <c r="D4160" t="s">
        <v>3</v>
      </c>
      <c r="E4160" t="e">
        <f>VLOOKUP(Cpi_[[#This Row],[Attribute]],#REF!,2,FALSE)</f>
        <v>#REF!</v>
      </c>
      <c r="F4160">
        <v>132.69999999999999</v>
      </c>
      <c r="G4160">
        <f>(Cpi_[[#This Row],[Value]]-F4159)/F4159</f>
        <v>-1.5048908954102111E-3</v>
      </c>
      <c r="H4160" t="e" cm="1" vm="1">
        <f t="array" aca="1" ref="H4160" ca="1">VLOOKUP(Cpi_[[#This Row],[Year]:[Month]],crudeoil[],3,FALSE)</f>
        <v>#VALUE!</v>
      </c>
    </row>
    <row r="4161" spans="1:8" hidden="1" x14ac:dyDescent="0.3">
      <c r="A4161" t="s">
        <v>33</v>
      </c>
      <c r="B4161">
        <v>2017</v>
      </c>
      <c r="C4161" t="s">
        <v>37</v>
      </c>
      <c r="D4161" t="s">
        <v>4</v>
      </c>
      <c r="E4161" t="e">
        <f>VLOOKUP(Cpi_[[#This Row],[Attribute]],#REF!,2,FALSE)</f>
        <v>#REF!</v>
      </c>
      <c r="F4161">
        <v>140.6</v>
      </c>
      <c r="G4161">
        <f>(Cpi_[[#This Row],[Value]]-F4160)/F4160</f>
        <v>5.9532780708364777E-2</v>
      </c>
      <c r="H4161" t="e" cm="1" vm="1">
        <f t="array" aca="1" ref="H4161" ca="1">VLOOKUP(Cpi_[[#This Row],[Year]:[Month]],crudeoil[],3,FALSE)</f>
        <v>#VALUE!</v>
      </c>
    </row>
    <row r="4162" spans="1:8" hidden="1" x14ac:dyDescent="0.3">
      <c r="A4162" t="s">
        <v>33</v>
      </c>
      <c r="B4162">
        <v>2017</v>
      </c>
      <c r="C4162" t="s">
        <v>37</v>
      </c>
      <c r="D4162" t="s">
        <v>5</v>
      </c>
      <c r="E4162" t="e">
        <f>VLOOKUP(Cpi_[[#This Row],[Attribute]],#REF!,2,FALSE)</f>
        <v>#REF!</v>
      </c>
      <c r="F4162">
        <v>124.5</v>
      </c>
      <c r="G4162">
        <f>(Cpi_[[#This Row],[Value]]-F4161)/F4161</f>
        <v>-0.11450924608819342</v>
      </c>
      <c r="H4162" t="e" cm="1" vm="1">
        <f t="array" aca="1" ref="H4162" ca="1">VLOOKUP(Cpi_[[#This Row],[Year]:[Month]],crudeoil[],3,FALSE)</f>
        <v>#VALUE!</v>
      </c>
    </row>
    <row r="4163" spans="1:8" hidden="1" x14ac:dyDescent="0.3">
      <c r="A4163" t="s">
        <v>33</v>
      </c>
      <c r="B4163">
        <v>2017</v>
      </c>
      <c r="C4163" t="s">
        <v>37</v>
      </c>
      <c r="D4163" t="s">
        <v>6</v>
      </c>
      <c r="E4163" t="e">
        <f>VLOOKUP(Cpi_[[#This Row],[Attribute]],#REF!,2,FALSE)</f>
        <v>#REF!</v>
      </c>
      <c r="F4163">
        <v>136.30000000000001</v>
      </c>
      <c r="G4163">
        <f>(Cpi_[[#This Row],[Value]]-F4162)/F4162</f>
        <v>9.4779116465863539E-2</v>
      </c>
      <c r="H4163" t="e" cm="1" vm="1">
        <f t="array" aca="1" ref="H4163" ca="1">VLOOKUP(Cpi_[[#This Row],[Year]:[Month]],crudeoil[],3,FALSE)</f>
        <v>#VALUE!</v>
      </c>
    </row>
    <row r="4164" spans="1:8" hidden="1" x14ac:dyDescent="0.3">
      <c r="A4164" t="s">
        <v>33</v>
      </c>
      <c r="B4164">
        <v>2017</v>
      </c>
      <c r="C4164" t="s">
        <v>37</v>
      </c>
      <c r="D4164" t="s">
        <v>7</v>
      </c>
      <c r="E4164" t="e">
        <f>VLOOKUP(Cpi_[[#This Row],[Attribute]],#REF!,2,FALSE)</f>
        <v>#REF!</v>
      </c>
      <c r="F4164">
        <v>113.5</v>
      </c>
      <c r="G4164">
        <f>(Cpi_[[#This Row],[Value]]-F4163)/F4163</f>
        <v>-0.1672780630961116</v>
      </c>
      <c r="H4164" t="e" cm="1" vm="1">
        <f t="array" aca="1" ref="H4164" ca="1">VLOOKUP(Cpi_[[#This Row],[Year]:[Month]],crudeoil[],3,FALSE)</f>
        <v>#VALUE!</v>
      </c>
    </row>
    <row r="4165" spans="1:8" hidden="1" x14ac:dyDescent="0.3">
      <c r="A4165" t="s">
        <v>33</v>
      </c>
      <c r="B4165">
        <v>2017</v>
      </c>
      <c r="C4165" t="s">
        <v>37</v>
      </c>
      <c r="D4165" t="s">
        <v>8</v>
      </c>
      <c r="E4165" t="e">
        <f>VLOOKUP(Cpi_[[#This Row],[Attribute]],#REF!,2,FALSE)</f>
        <v>#REF!</v>
      </c>
      <c r="F4165">
        <v>137.69999999999999</v>
      </c>
      <c r="G4165">
        <f>(Cpi_[[#This Row],[Value]]-F4164)/F4164</f>
        <v>0.2132158590308369</v>
      </c>
      <c r="H4165" t="e" cm="1" vm="1">
        <f t="array" aca="1" ref="H4165" ca="1">VLOOKUP(Cpi_[[#This Row],[Year]:[Month]],crudeoil[],3,FALSE)</f>
        <v>#VALUE!</v>
      </c>
    </row>
    <row r="4166" spans="1:8" hidden="1" x14ac:dyDescent="0.3">
      <c r="A4166" t="s">
        <v>33</v>
      </c>
      <c r="B4166">
        <v>2017</v>
      </c>
      <c r="C4166" t="s">
        <v>37</v>
      </c>
      <c r="D4166" t="s">
        <v>9</v>
      </c>
      <c r="E4166" t="e">
        <f>VLOOKUP(Cpi_[[#This Row],[Attribute]],#REF!,2,FALSE)</f>
        <v>#REF!</v>
      </c>
      <c r="F4166">
        <v>127.1</v>
      </c>
      <c r="G4166">
        <f>(Cpi_[[#This Row],[Value]]-F4165)/F4165</f>
        <v>-7.6978939724037729E-2</v>
      </c>
      <c r="H4166" t="e" cm="1" vm="1">
        <f t="array" aca="1" ref="H4166" ca="1">VLOOKUP(Cpi_[[#This Row],[Year]:[Month]],crudeoil[],3,FALSE)</f>
        <v>#VALUE!</v>
      </c>
    </row>
    <row r="4167" spans="1:8" hidden="1" x14ac:dyDescent="0.3">
      <c r="A4167" t="s">
        <v>33</v>
      </c>
      <c r="B4167">
        <v>2017</v>
      </c>
      <c r="C4167" t="s">
        <v>37</v>
      </c>
      <c r="D4167" t="s">
        <v>10</v>
      </c>
      <c r="E4167" t="e">
        <f>VLOOKUP(Cpi_[[#This Row],[Attribute]],#REF!,2,FALSE)</f>
        <v>#REF!</v>
      </c>
      <c r="F4167">
        <v>133.80000000000001</v>
      </c>
      <c r="G4167">
        <f>(Cpi_[[#This Row],[Value]]-F4166)/F4166</f>
        <v>5.2714398111723189E-2</v>
      </c>
      <c r="H4167" t="e" cm="1" vm="1">
        <f t="array" aca="1" ref="H4167" ca="1">VLOOKUP(Cpi_[[#This Row],[Year]:[Month]],crudeoil[],3,FALSE)</f>
        <v>#VALUE!</v>
      </c>
    </row>
    <row r="4168" spans="1:8" hidden="1" x14ac:dyDescent="0.3">
      <c r="A4168" t="s">
        <v>33</v>
      </c>
      <c r="B4168">
        <v>2017</v>
      </c>
      <c r="C4168" t="s">
        <v>37</v>
      </c>
      <c r="D4168" t="s">
        <v>11</v>
      </c>
      <c r="E4168" t="e">
        <f>VLOOKUP(Cpi_[[#This Row],[Attribute]],#REF!,2,FALSE)</f>
        <v>#REF!</v>
      </c>
      <c r="F4168">
        <v>120.8</v>
      </c>
      <c r="G4168">
        <f>(Cpi_[[#This Row],[Value]]-F4167)/F4167</f>
        <v>-9.7159940209267659E-2</v>
      </c>
      <c r="H4168" t="e" cm="1" vm="1">
        <f t="array" aca="1" ref="H4168" ca="1">VLOOKUP(Cpi_[[#This Row],[Year]:[Month]],crudeoil[],3,FALSE)</f>
        <v>#VALUE!</v>
      </c>
    </row>
    <row r="4169" spans="1:8" hidden="1" x14ac:dyDescent="0.3">
      <c r="A4169" t="s">
        <v>33</v>
      </c>
      <c r="B4169">
        <v>2017</v>
      </c>
      <c r="C4169" t="s">
        <v>37</v>
      </c>
      <c r="D4169" t="s">
        <v>12</v>
      </c>
      <c r="E4169" t="e">
        <f>VLOOKUP(Cpi_[[#This Row],[Attribute]],#REF!,2,FALSE)</f>
        <v>#REF!</v>
      </c>
      <c r="F4169">
        <v>141.30000000000001</v>
      </c>
      <c r="G4169">
        <f>(Cpi_[[#This Row],[Value]]-F4168)/F4168</f>
        <v>0.169701986754967</v>
      </c>
      <c r="H4169" t="e" cm="1" vm="1">
        <f t="array" aca="1" ref="H4169" ca="1">VLOOKUP(Cpi_[[#This Row],[Year]:[Month]],crudeoil[],3,FALSE)</f>
        <v>#VALUE!</v>
      </c>
    </row>
    <row r="4170" spans="1:8" hidden="1" x14ac:dyDescent="0.3">
      <c r="A4170" t="s">
        <v>33</v>
      </c>
      <c r="B4170">
        <v>2017</v>
      </c>
      <c r="C4170" t="s">
        <v>37</v>
      </c>
      <c r="D4170" t="s">
        <v>13</v>
      </c>
      <c r="E4170" t="e">
        <f>VLOOKUP(Cpi_[[#This Row],[Attribute]],#REF!,2,FALSE)</f>
        <v>#REF!</v>
      </c>
      <c r="F4170">
        <v>123.8</v>
      </c>
      <c r="G4170">
        <f>(Cpi_[[#This Row],[Value]]-F4169)/F4169</f>
        <v>-0.12384996461429591</v>
      </c>
      <c r="H4170" t="e" cm="1" vm="1">
        <f t="array" aca="1" ref="H4170" ca="1">VLOOKUP(Cpi_[[#This Row],[Year]:[Month]],crudeoil[],3,FALSE)</f>
        <v>#VALUE!</v>
      </c>
    </row>
    <row r="4171" spans="1:8" hidden="1" x14ac:dyDescent="0.3">
      <c r="A4171" t="s">
        <v>33</v>
      </c>
      <c r="B4171">
        <v>2017</v>
      </c>
      <c r="C4171" t="s">
        <v>37</v>
      </c>
      <c r="D4171" t="s">
        <v>14</v>
      </c>
      <c r="E4171" t="e">
        <f>VLOOKUP(Cpi_[[#This Row],[Attribute]],#REF!,2,FALSE)</f>
        <v>#REF!</v>
      </c>
      <c r="F4171">
        <v>142.6</v>
      </c>
      <c r="G4171">
        <f>(Cpi_[[#This Row],[Value]]-F4170)/F4170</f>
        <v>0.15185783521809368</v>
      </c>
      <c r="H4171" t="e" cm="1" vm="1">
        <f t="array" aca="1" ref="H4171" ca="1">VLOOKUP(Cpi_[[#This Row],[Year]:[Month]],crudeoil[],3,FALSE)</f>
        <v>#VALUE!</v>
      </c>
    </row>
    <row r="4172" spans="1:8" hidden="1" x14ac:dyDescent="0.3">
      <c r="A4172" t="s">
        <v>33</v>
      </c>
      <c r="B4172">
        <v>2017</v>
      </c>
      <c r="C4172" t="s">
        <v>37</v>
      </c>
      <c r="D4172" t="s">
        <v>15</v>
      </c>
      <c r="E4172" t="e">
        <f>VLOOKUP(Cpi_[[#This Row],[Attribute]],#REF!,2,FALSE)</f>
        <v>#REF!</v>
      </c>
      <c r="F4172">
        <v>133.4</v>
      </c>
      <c r="G4172">
        <f>(Cpi_[[#This Row],[Value]]-F4171)/F4171</f>
        <v>-6.4516129032257993E-2</v>
      </c>
      <c r="H4172" t="e" cm="1" vm="1">
        <f t="array" aca="1" ref="H4172" ca="1">VLOOKUP(Cpi_[[#This Row],[Year]:[Month]],crudeoil[],3,FALSE)</f>
        <v>#VALUE!</v>
      </c>
    </row>
    <row r="4173" spans="1:8" hidden="1" x14ac:dyDescent="0.3">
      <c r="A4173" t="s">
        <v>33</v>
      </c>
      <c r="B4173">
        <v>2017</v>
      </c>
      <c r="C4173" t="s">
        <v>37</v>
      </c>
      <c r="D4173" t="s">
        <v>16</v>
      </c>
      <c r="E4173" t="e">
        <f>VLOOKUP(Cpi_[[#This Row],[Attribute]],#REF!,2,FALSE)</f>
        <v>#REF!</v>
      </c>
      <c r="F4173">
        <v>148</v>
      </c>
      <c r="G4173">
        <f>(Cpi_[[#This Row],[Value]]-F4172)/F4172</f>
        <v>0.10944527736131929</v>
      </c>
      <c r="H4173" t="e" cm="1" vm="1">
        <f t="array" aca="1" ref="H4173" ca="1">VLOOKUP(Cpi_[[#This Row],[Year]:[Month]],crudeoil[],3,FALSE)</f>
        <v>#VALUE!</v>
      </c>
    </row>
    <row r="4174" spans="1:8" hidden="1" x14ac:dyDescent="0.3">
      <c r="A4174" t="s">
        <v>33</v>
      </c>
      <c r="B4174">
        <v>2017</v>
      </c>
      <c r="C4174" t="s">
        <v>37</v>
      </c>
      <c r="D4174" t="s">
        <v>17</v>
      </c>
      <c r="E4174" t="e">
        <f>VLOOKUP(Cpi_[[#This Row],[Attribute]],#REF!,2,FALSE)</f>
        <v>#REF!</v>
      </c>
      <c r="F4174">
        <v>131.19999999999999</v>
      </c>
      <c r="G4174">
        <f>(Cpi_[[#This Row],[Value]]-F4173)/F4173</f>
        <v>-0.11351351351351359</v>
      </c>
      <c r="H4174" t="e" cm="1" vm="1">
        <f t="array" aca="1" ref="H4174" ca="1">VLOOKUP(Cpi_[[#This Row],[Year]:[Month]],crudeoil[],3,FALSE)</f>
        <v>#VALUE!</v>
      </c>
    </row>
    <row r="4175" spans="1:8" hidden="1" x14ac:dyDescent="0.3">
      <c r="A4175" t="s">
        <v>33</v>
      </c>
      <c r="B4175">
        <v>2017</v>
      </c>
      <c r="C4175" t="s">
        <v>37</v>
      </c>
      <c r="D4175" t="s">
        <v>18</v>
      </c>
      <c r="E4175" t="e">
        <f>VLOOKUP(Cpi_[[#This Row],[Attribute]],#REF!,2,FALSE)</f>
        <v>#REF!</v>
      </c>
      <c r="F4175">
        <v>123</v>
      </c>
      <c r="G4175">
        <f>(Cpi_[[#This Row],[Value]]-F4174)/F4174</f>
        <v>-6.2499999999999917E-2</v>
      </c>
      <c r="H4175" t="e" cm="1" vm="1">
        <f t="array" aca="1" ref="H4175" ca="1">VLOOKUP(Cpi_[[#This Row],[Year]:[Month]],crudeoil[],3,FALSE)</f>
        <v>#VALUE!</v>
      </c>
    </row>
    <row r="4176" spans="1:8" hidden="1" x14ac:dyDescent="0.3">
      <c r="A4176" t="s">
        <v>33</v>
      </c>
      <c r="B4176">
        <v>2017</v>
      </c>
      <c r="C4176" t="s">
        <v>37</v>
      </c>
      <c r="D4176" t="s">
        <v>19</v>
      </c>
      <c r="E4176" t="e">
        <f>VLOOKUP(Cpi_[[#This Row],[Attribute]],#REF!,2,FALSE)</f>
        <v>#REF!</v>
      </c>
      <c r="F4176">
        <v>130</v>
      </c>
      <c r="G4176">
        <f>(Cpi_[[#This Row],[Value]]-F4175)/F4175</f>
        <v>5.6910569105691054E-2</v>
      </c>
      <c r="H4176" t="e" cm="1" vm="1">
        <f t="array" aca="1" ref="H4176" ca="1">VLOOKUP(Cpi_[[#This Row],[Year]:[Month]],crudeoil[],3,FALSE)</f>
        <v>#VALUE!</v>
      </c>
    </row>
    <row r="4177" spans="1:8" hidden="1" x14ac:dyDescent="0.3">
      <c r="A4177" t="s">
        <v>33</v>
      </c>
      <c r="B4177">
        <v>2017</v>
      </c>
      <c r="C4177" t="s">
        <v>37</v>
      </c>
      <c r="D4177" t="s">
        <v>20</v>
      </c>
      <c r="E4177" t="e">
        <f>VLOOKUP(Cpi_[[#This Row],[Attribute]],#REF!,2,FALSE)</f>
        <v>#REF!</v>
      </c>
      <c r="F4177">
        <v>131.69999999999999</v>
      </c>
      <c r="G4177">
        <f>(Cpi_[[#This Row],[Value]]-F4176)/F4176</f>
        <v>1.307692307692299E-2</v>
      </c>
      <c r="H4177" t="e" cm="1" vm="1">
        <f t="array" aca="1" ref="H4177" ca="1">VLOOKUP(Cpi_[[#This Row],[Year]:[Month]],crudeoil[],3,FALSE)</f>
        <v>#VALUE!</v>
      </c>
    </row>
    <row r="4178" spans="1:8" hidden="1" x14ac:dyDescent="0.3">
      <c r="A4178" t="s">
        <v>33</v>
      </c>
      <c r="B4178">
        <v>2017</v>
      </c>
      <c r="C4178" t="s">
        <v>37</v>
      </c>
      <c r="D4178" t="s">
        <v>21</v>
      </c>
      <c r="E4178" t="e">
        <f>VLOOKUP(Cpi_[[#This Row],[Attribute]],#REF!,2,FALSE)</f>
        <v>#REF!</v>
      </c>
      <c r="F4178">
        <v>121.4</v>
      </c>
      <c r="G4178">
        <f>(Cpi_[[#This Row],[Value]]-F4177)/F4177</f>
        <v>-7.8208048595292207E-2</v>
      </c>
      <c r="H4178" t="e" cm="1" vm="1">
        <f t="array" aca="1" ref="H4178" ca="1">VLOOKUP(Cpi_[[#This Row],[Year]:[Month]],crudeoil[],3,FALSE)</f>
        <v>#VALUE!</v>
      </c>
    </row>
    <row r="4179" spans="1:8" hidden="1" x14ac:dyDescent="0.3">
      <c r="A4179" t="s">
        <v>33</v>
      </c>
      <c r="B4179">
        <v>2017</v>
      </c>
      <c r="C4179" t="s">
        <v>37</v>
      </c>
      <c r="D4179" t="s">
        <v>22</v>
      </c>
      <c r="E4179" t="e">
        <f>VLOOKUP(Cpi_[[#This Row],[Attribute]],#REF!,2,FALSE)</f>
        <v>#REF!</v>
      </c>
      <c r="F4179">
        <v>126</v>
      </c>
      <c r="G4179">
        <f>(Cpi_[[#This Row],[Value]]-F4178)/F4178</f>
        <v>3.7891268533772601E-2</v>
      </c>
      <c r="H4179" t="e" cm="1" vm="1">
        <f t="array" aca="1" ref="H4179" ca="1">VLOOKUP(Cpi_[[#This Row],[Year]:[Month]],crudeoil[],3,FALSE)</f>
        <v>#VALUE!</v>
      </c>
    </row>
    <row r="4180" spans="1:8" hidden="1" x14ac:dyDescent="0.3">
      <c r="A4180" t="s">
        <v>33</v>
      </c>
      <c r="B4180">
        <v>2017</v>
      </c>
      <c r="C4180" t="s">
        <v>37</v>
      </c>
      <c r="D4180" t="s">
        <v>23</v>
      </c>
      <c r="E4180" t="e">
        <f>VLOOKUP(Cpi_[[#This Row],[Attribute]],#REF!,2,FALSE)</f>
        <v>#REF!</v>
      </c>
      <c r="F4180">
        <v>123.4</v>
      </c>
      <c r="G4180">
        <f>(Cpi_[[#This Row],[Value]]-F4179)/F4179</f>
        <v>-2.0634920634920589E-2</v>
      </c>
      <c r="H4180" t="e" cm="1" vm="1">
        <f t="array" aca="1" ref="H4180" ca="1">VLOOKUP(Cpi_[[#This Row],[Year]:[Month]],crudeoil[],3,FALSE)</f>
        <v>#VALUE!</v>
      </c>
    </row>
    <row r="4181" spans="1:8" hidden="1" x14ac:dyDescent="0.3">
      <c r="A4181" t="s">
        <v>33</v>
      </c>
      <c r="B4181">
        <v>2017</v>
      </c>
      <c r="C4181" t="s">
        <v>37</v>
      </c>
      <c r="D4181" t="s">
        <v>24</v>
      </c>
      <c r="E4181" t="e">
        <f>VLOOKUP(Cpi_[[#This Row],[Attribute]],#REF!,2,FALSE)</f>
        <v>#REF!</v>
      </c>
      <c r="F4181">
        <v>114.3</v>
      </c>
      <c r="G4181">
        <f>(Cpi_[[#This Row],[Value]]-F4180)/F4180</f>
        <v>-7.374392220421401E-2</v>
      </c>
      <c r="H4181" t="e" cm="1" vm="1">
        <f t="array" aca="1" ref="H4181" ca="1">VLOOKUP(Cpi_[[#This Row],[Year]:[Month]],crudeoil[],3,FALSE)</f>
        <v>#VALUE!</v>
      </c>
    </row>
    <row r="4182" spans="1:8" hidden="1" x14ac:dyDescent="0.3">
      <c r="A4182" t="s">
        <v>33</v>
      </c>
      <c r="B4182">
        <v>2017</v>
      </c>
      <c r="C4182" t="s">
        <v>37</v>
      </c>
      <c r="D4182" t="s">
        <v>25</v>
      </c>
      <c r="E4182" t="e">
        <f>VLOOKUP(Cpi_[[#This Row],[Attribute]],#REF!,2,FALSE)</f>
        <v>#REF!</v>
      </c>
      <c r="F4182">
        <v>122.6</v>
      </c>
      <c r="G4182">
        <f>(Cpi_[[#This Row],[Value]]-F4181)/F4181</f>
        <v>7.2615923009623773E-2</v>
      </c>
      <c r="H4182" t="e" cm="1" vm="1">
        <f t="array" aca="1" ref="H4182" ca="1">VLOOKUP(Cpi_[[#This Row],[Year]:[Month]],crudeoil[],3,FALSE)</f>
        <v>#VALUE!</v>
      </c>
    </row>
    <row r="4183" spans="1:8" hidden="1" x14ac:dyDescent="0.3">
      <c r="A4183" t="s">
        <v>33</v>
      </c>
      <c r="B4183">
        <v>2017</v>
      </c>
      <c r="C4183" t="s">
        <v>37</v>
      </c>
      <c r="D4183" t="s">
        <v>26</v>
      </c>
      <c r="E4183" t="e">
        <f>VLOOKUP(Cpi_[[#This Row],[Attribute]],#REF!,2,FALSE)</f>
        <v>#REF!</v>
      </c>
      <c r="F4183">
        <v>133.6</v>
      </c>
      <c r="G4183">
        <f>(Cpi_[[#This Row],[Value]]-F4182)/F4182</f>
        <v>8.9722675367047311E-2</v>
      </c>
      <c r="H4183" t="e" cm="1" vm="1">
        <f t="array" aca="1" ref="H4183" ca="1">VLOOKUP(Cpi_[[#This Row],[Year]:[Month]],crudeoil[],3,FALSE)</f>
        <v>#VALUE!</v>
      </c>
    </row>
    <row r="4184" spans="1:8" hidden="1" x14ac:dyDescent="0.3">
      <c r="A4184" t="s">
        <v>33</v>
      </c>
      <c r="B4184">
        <v>2017</v>
      </c>
      <c r="C4184" t="s">
        <v>37</v>
      </c>
      <c r="D4184" t="s">
        <v>27</v>
      </c>
      <c r="E4184" t="e">
        <f>VLOOKUP(Cpi_[[#This Row],[Attribute]],#REF!,2,FALSE)</f>
        <v>#REF!</v>
      </c>
      <c r="F4184">
        <v>122.2</v>
      </c>
      <c r="G4184">
        <f>(Cpi_[[#This Row],[Value]]-F4183)/F4183</f>
        <v>-8.5329341317365207E-2</v>
      </c>
      <c r="H4184" t="e" cm="1" vm="1">
        <f t="array" aca="1" ref="H4184" ca="1">VLOOKUP(Cpi_[[#This Row],[Year]:[Month]],crudeoil[],3,FALSE)</f>
        <v>#VALUE!</v>
      </c>
    </row>
    <row r="4185" spans="1:8" hidden="1" x14ac:dyDescent="0.3">
      <c r="A4185" t="s">
        <v>33</v>
      </c>
      <c r="B4185">
        <v>2017</v>
      </c>
      <c r="C4185" t="s">
        <v>37</v>
      </c>
      <c r="D4185" t="s">
        <v>28</v>
      </c>
      <c r="E4185" t="e">
        <f>VLOOKUP(Cpi_[[#This Row],[Attribute]],#REF!,2,FALSE)</f>
        <v>#REF!</v>
      </c>
      <c r="F4185">
        <v>122.5</v>
      </c>
      <c r="G4185">
        <f>(Cpi_[[#This Row],[Value]]-F4184)/F4184</f>
        <v>2.4549918166939209E-3</v>
      </c>
      <c r="H4185" t="e" cm="1" vm="1">
        <f t="array" aca="1" ref="H4185" ca="1">VLOOKUP(Cpi_[[#This Row],[Year]:[Month]],crudeoil[],3,FALSE)</f>
        <v>#VALUE!</v>
      </c>
    </row>
    <row r="4186" spans="1:8" hidden="1" x14ac:dyDescent="0.3">
      <c r="A4186" t="s">
        <v>33</v>
      </c>
      <c r="B4186">
        <v>2017</v>
      </c>
      <c r="C4186" t="s">
        <v>37</v>
      </c>
      <c r="D4186" t="s">
        <v>29</v>
      </c>
      <c r="E4186" t="e" cm="1">
        <f t="array" aca="1" ref="E4186" ca="1">VLGeneral indexGeneral indexKUP(Cpi_[[#This Row],[Attribute]],#REF!,2,FALSE)</f>
        <v>#NAME?</v>
      </c>
      <c r="F4186">
        <v>129.1</v>
      </c>
      <c r="G4186">
        <f>(Cpi_[[#This Row],[Value]]-F4185)/F4185</f>
        <v>5.3877551020408115E-2</v>
      </c>
      <c r="H4186" t="e" cm="1" vm="1">
        <f t="array" aca="1" ref="H4186" ca="1">VLOOKUP(Cpi_[[#This Row],[Year]:[Month]],crudeoil[],3,FALSE)</f>
        <v>#VALUE!</v>
      </c>
    </row>
    <row r="4187" spans="1:8" hidden="1" x14ac:dyDescent="0.3">
      <c r="A4187" t="s">
        <v>34</v>
      </c>
      <c r="B4187">
        <v>2017</v>
      </c>
      <c r="C4187" t="s">
        <v>37</v>
      </c>
      <c r="D4187" t="s">
        <v>3</v>
      </c>
      <c r="E4187" t="e">
        <f>VLOOKUP(Cpi_[[#This Row],[Attribute]],#REF!,2,FALSE)</f>
        <v>#REF!</v>
      </c>
      <c r="F4187">
        <v>133</v>
      </c>
      <c r="G4187">
        <f>(Cpi_[[#This Row],[Value]]-F4186)/F4186</f>
        <v>3.0209140201394313E-2</v>
      </c>
      <c r="H4187" t="e" cm="1" vm="1">
        <f t="array" aca="1" ref="H4187" ca="1">VLOOKUP(Cpi_[[#This Row],[Year]:[Month]],crudeoil[],3,FALSE)</f>
        <v>#VALUE!</v>
      </c>
    </row>
    <row r="4188" spans="1:8" hidden="1" x14ac:dyDescent="0.3">
      <c r="A4188" t="s">
        <v>34</v>
      </c>
      <c r="B4188">
        <v>2017</v>
      </c>
      <c r="C4188" t="s">
        <v>37</v>
      </c>
      <c r="D4188" t="s">
        <v>4</v>
      </c>
      <c r="E4188" t="e">
        <f>VLOOKUP(Cpi_[[#This Row],[Attribute]],#REF!,2,FALSE)</f>
        <v>#REF!</v>
      </c>
      <c r="F4188">
        <v>139.4</v>
      </c>
      <c r="G4188">
        <f>(Cpi_[[#This Row],[Value]]-F4187)/F4187</f>
        <v>4.8120300751879744E-2</v>
      </c>
      <c r="H4188" t="e" cm="1" vm="1">
        <f t="array" aca="1" ref="H4188" ca="1">VLOOKUP(Cpi_[[#This Row],[Year]:[Month]],crudeoil[],3,FALSE)</f>
        <v>#VALUE!</v>
      </c>
    </row>
    <row r="4189" spans="1:8" hidden="1" x14ac:dyDescent="0.3">
      <c r="A4189" t="s">
        <v>34</v>
      </c>
      <c r="B4189">
        <v>2017</v>
      </c>
      <c r="C4189" t="s">
        <v>37</v>
      </c>
      <c r="D4189" t="s">
        <v>5</v>
      </c>
      <c r="E4189" t="e">
        <f>VLOOKUP(Cpi_[[#This Row],[Attribute]],#REF!,2,FALSE)</f>
        <v>#REF!</v>
      </c>
      <c r="F4189">
        <v>126.1</v>
      </c>
      <c r="G4189">
        <f>(Cpi_[[#This Row],[Value]]-F4188)/F4188</f>
        <v>-9.5408895265423316E-2</v>
      </c>
      <c r="H4189" t="e" cm="1" vm="1">
        <f t="array" aca="1" ref="H4189" ca="1">VLOOKUP(Cpi_[[#This Row],[Year]:[Month]],crudeoil[],3,FALSE)</f>
        <v>#VALUE!</v>
      </c>
    </row>
    <row r="4190" spans="1:8" hidden="1" x14ac:dyDescent="0.3">
      <c r="A4190" t="s">
        <v>34</v>
      </c>
      <c r="B4190">
        <v>2017</v>
      </c>
      <c r="C4190" t="s">
        <v>37</v>
      </c>
      <c r="D4190" t="s">
        <v>6</v>
      </c>
      <c r="E4190" t="e">
        <f>VLOOKUP(Cpi_[[#This Row],[Attribute]],#REF!,2,FALSE)</f>
        <v>#REF!</v>
      </c>
      <c r="F4190">
        <v>137.19999999999999</v>
      </c>
      <c r="G4190">
        <f>(Cpi_[[#This Row],[Value]]-F4189)/F4189</f>
        <v>8.8025376685170464E-2</v>
      </c>
      <c r="H4190" t="e" cm="1" vm="1">
        <f t="array" aca="1" ref="H4190" ca="1">VLOOKUP(Cpi_[[#This Row],[Year]:[Month]],crudeoil[],3,FALSE)</f>
        <v>#VALUE!</v>
      </c>
    </row>
    <row r="4191" spans="1:8" hidden="1" x14ac:dyDescent="0.3">
      <c r="A4191" t="s">
        <v>34</v>
      </c>
      <c r="B4191">
        <v>2017</v>
      </c>
      <c r="C4191" t="s">
        <v>37</v>
      </c>
      <c r="D4191" t="s">
        <v>7</v>
      </c>
      <c r="E4191" t="e">
        <f>VLOOKUP(Cpi_[[#This Row],[Attribute]],#REF!,2,FALSE)</f>
        <v>#REF!</v>
      </c>
      <c r="F4191">
        <v>118.4</v>
      </c>
      <c r="G4191">
        <f>(Cpi_[[#This Row],[Value]]-F4190)/F4190</f>
        <v>-0.13702623906705527</v>
      </c>
      <c r="H4191" t="e" cm="1" vm="1">
        <f t="array" aca="1" ref="H4191" ca="1">VLOOKUP(Cpi_[[#This Row],[Year]:[Month]],crudeoil[],3,FALSE)</f>
        <v>#VALUE!</v>
      </c>
    </row>
    <row r="4192" spans="1:8" hidden="1" x14ac:dyDescent="0.3">
      <c r="A4192" t="s">
        <v>34</v>
      </c>
      <c r="B4192">
        <v>2017</v>
      </c>
      <c r="C4192" t="s">
        <v>37</v>
      </c>
      <c r="D4192" t="s">
        <v>8</v>
      </c>
      <c r="E4192" t="e">
        <f>VLOOKUP(Cpi_[[#This Row],[Attribute]],#REF!,2,FALSE)</f>
        <v>#REF!</v>
      </c>
      <c r="F4192">
        <v>139.9</v>
      </c>
      <c r="G4192">
        <f>(Cpi_[[#This Row],[Value]]-F4191)/F4191</f>
        <v>0.18158783783783783</v>
      </c>
      <c r="H4192" t="e" cm="1" vm="1">
        <f t="array" aca="1" ref="H4192" ca="1">VLOOKUP(Cpi_[[#This Row],[Year]:[Month]],crudeoil[],3,FALSE)</f>
        <v>#VALUE!</v>
      </c>
    </row>
    <row r="4193" spans="1:8" hidden="1" x14ac:dyDescent="0.3">
      <c r="A4193" t="s">
        <v>34</v>
      </c>
      <c r="B4193">
        <v>2017</v>
      </c>
      <c r="C4193" t="s">
        <v>37</v>
      </c>
      <c r="D4193" t="s">
        <v>9</v>
      </c>
      <c r="E4193" t="e">
        <f>VLOOKUP(Cpi_[[#This Row],[Attribute]],#REF!,2,FALSE)</f>
        <v>#REF!</v>
      </c>
      <c r="F4193">
        <v>123.4</v>
      </c>
      <c r="G4193">
        <f>(Cpi_[[#This Row],[Value]]-F4192)/F4192</f>
        <v>-0.11794138670478913</v>
      </c>
      <c r="H4193" t="e" cm="1" vm="1">
        <f t="array" aca="1" ref="H4193" ca="1">VLOOKUP(Cpi_[[#This Row],[Year]:[Month]],crudeoil[],3,FALSE)</f>
        <v>#VALUE!</v>
      </c>
    </row>
    <row r="4194" spans="1:8" hidden="1" x14ac:dyDescent="0.3">
      <c r="A4194" t="s">
        <v>34</v>
      </c>
      <c r="B4194">
        <v>2017</v>
      </c>
      <c r="C4194" t="s">
        <v>37</v>
      </c>
      <c r="D4194" t="s">
        <v>10</v>
      </c>
      <c r="E4194" t="e">
        <f>VLOOKUP(Cpi_[[#This Row],[Attribute]],#REF!,2,FALSE)</f>
        <v>#REF!</v>
      </c>
      <c r="F4194">
        <v>140.9</v>
      </c>
      <c r="G4194">
        <f>(Cpi_[[#This Row],[Value]]-F4193)/F4193</f>
        <v>0.14181523500810372</v>
      </c>
      <c r="H4194" t="e" cm="1" vm="1">
        <f t="array" aca="1" ref="H4194" ca="1">VLOOKUP(Cpi_[[#This Row],[Year]:[Month]],crudeoil[],3,FALSE)</f>
        <v>#VALUE!</v>
      </c>
    </row>
    <row r="4195" spans="1:8" hidden="1" x14ac:dyDescent="0.3">
      <c r="A4195" t="s">
        <v>34</v>
      </c>
      <c r="B4195">
        <v>2017</v>
      </c>
      <c r="C4195" t="s">
        <v>37</v>
      </c>
      <c r="D4195" t="s">
        <v>11</v>
      </c>
      <c r="E4195" t="e">
        <f>VLOOKUP(Cpi_[[#This Row],[Attribute]],#REF!,2,FALSE)</f>
        <v>#REF!</v>
      </c>
      <c r="F4195">
        <v>118.5</v>
      </c>
      <c r="G4195">
        <f>(Cpi_[[#This Row],[Value]]-F4194)/F4194</f>
        <v>-0.15897799858055361</v>
      </c>
      <c r="H4195" t="e" cm="1" vm="1">
        <f t="array" aca="1" ref="H4195" ca="1">VLOOKUP(Cpi_[[#This Row],[Year]:[Month]],crudeoil[],3,FALSE)</f>
        <v>#VALUE!</v>
      </c>
    </row>
    <row r="4196" spans="1:8" hidden="1" x14ac:dyDescent="0.3">
      <c r="A4196" t="s">
        <v>34</v>
      </c>
      <c r="B4196">
        <v>2017</v>
      </c>
      <c r="C4196" t="s">
        <v>37</v>
      </c>
      <c r="D4196" t="s">
        <v>12</v>
      </c>
      <c r="E4196" t="e">
        <f>VLOOKUP(Cpi_[[#This Row],[Attribute]],#REF!,2,FALSE)</f>
        <v>#REF!</v>
      </c>
      <c r="F4196">
        <v>136.5</v>
      </c>
      <c r="G4196">
        <f>(Cpi_[[#This Row],[Value]]-F4195)/F4195</f>
        <v>0.15189873417721519</v>
      </c>
      <c r="H4196" t="e" cm="1" vm="1">
        <f t="array" aca="1" ref="H4196" ca="1">VLOOKUP(Cpi_[[#This Row],[Year]:[Month]],crudeoil[],3,FALSE)</f>
        <v>#VALUE!</v>
      </c>
    </row>
    <row r="4197" spans="1:8" hidden="1" x14ac:dyDescent="0.3">
      <c r="A4197" t="s">
        <v>34</v>
      </c>
      <c r="B4197">
        <v>2017</v>
      </c>
      <c r="C4197" t="s">
        <v>37</v>
      </c>
      <c r="D4197" t="s">
        <v>13</v>
      </c>
      <c r="E4197" t="e">
        <f>VLOOKUP(Cpi_[[#This Row],[Attribute]],#REF!,2,FALSE)</f>
        <v>#REF!</v>
      </c>
      <c r="F4197">
        <v>127.4</v>
      </c>
      <c r="G4197">
        <f>(Cpi_[[#This Row],[Value]]-F4196)/F4196</f>
        <v>-6.6666666666666624E-2</v>
      </c>
      <c r="H4197" t="e" cm="1" vm="1">
        <f t="array" aca="1" ref="H4197" ca="1">VLOOKUP(Cpi_[[#This Row],[Year]:[Month]],crudeoil[],3,FALSE)</f>
        <v>#VALUE!</v>
      </c>
    </row>
    <row r="4198" spans="1:8" hidden="1" x14ac:dyDescent="0.3">
      <c r="A4198" t="s">
        <v>34</v>
      </c>
      <c r="B4198">
        <v>2017</v>
      </c>
      <c r="C4198" t="s">
        <v>37</v>
      </c>
      <c r="D4198" t="s">
        <v>14</v>
      </c>
      <c r="E4198" t="e">
        <f>VLOOKUP(Cpi_[[#This Row],[Attribute]],#REF!,2,FALSE)</f>
        <v>#REF!</v>
      </c>
      <c r="F4198">
        <v>144.19999999999999</v>
      </c>
      <c r="G4198">
        <f>(Cpi_[[#This Row],[Value]]-F4197)/F4197</f>
        <v>0.13186813186813173</v>
      </c>
      <c r="H4198" t="e" cm="1" vm="1">
        <f t="array" aca="1" ref="H4198" ca="1">VLOOKUP(Cpi_[[#This Row],[Year]:[Month]],crudeoil[],3,FALSE)</f>
        <v>#VALUE!</v>
      </c>
    </row>
    <row r="4199" spans="1:8" hidden="1" x14ac:dyDescent="0.3">
      <c r="A4199" t="s">
        <v>34</v>
      </c>
      <c r="B4199">
        <v>2017</v>
      </c>
      <c r="C4199" t="s">
        <v>37</v>
      </c>
      <c r="D4199" t="s">
        <v>15</v>
      </c>
      <c r="E4199" t="e">
        <f>VLOOKUP(Cpi_[[#This Row],[Attribute]],#REF!,2,FALSE)</f>
        <v>#REF!</v>
      </c>
      <c r="F4199">
        <v>133.5</v>
      </c>
      <c r="G4199">
        <f>(Cpi_[[#This Row],[Value]]-F4198)/F4198</f>
        <v>-7.4202496532593545E-2</v>
      </c>
      <c r="H4199" t="e" cm="1" vm="1">
        <f t="array" aca="1" ref="H4199" ca="1">VLOOKUP(Cpi_[[#This Row],[Year]:[Month]],crudeoil[],3,FALSE)</f>
        <v>#VALUE!</v>
      </c>
    </row>
    <row r="4200" spans="1:8" hidden="1" x14ac:dyDescent="0.3">
      <c r="A4200" t="s">
        <v>34</v>
      </c>
      <c r="B4200">
        <v>2017</v>
      </c>
      <c r="C4200" t="s">
        <v>37</v>
      </c>
      <c r="D4200" t="s">
        <v>16</v>
      </c>
      <c r="E4200" t="e">
        <f>VLOOKUP(Cpi_[[#This Row],[Attribute]],#REF!,2,FALSE)</f>
        <v>#REF!</v>
      </c>
      <c r="F4200">
        <v>145.4</v>
      </c>
      <c r="G4200">
        <f>(Cpi_[[#This Row],[Value]]-F4199)/F4199</f>
        <v>8.9138576779026257E-2</v>
      </c>
      <c r="H4200" t="e" cm="1" vm="1">
        <f t="array" aca="1" ref="H4200" ca="1">VLOOKUP(Cpi_[[#This Row],[Year]:[Month]],crudeoil[],3,FALSE)</f>
        <v>#VALUE!</v>
      </c>
    </row>
    <row r="4201" spans="1:8" hidden="1" x14ac:dyDescent="0.3">
      <c r="A4201" t="s">
        <v>34</v>
      </c>
      <c r="B4201">
        <v>2017</v>
      </c>
      <c r="C4201" t="s">
        <v>37</v>
      </c>
      <c r="D4201" t="s">
        <v>17</v>
      </c>
      <c r="E4201" t="e">
        <f>VLOOKUP(Cpi_[[#This Row],[Attribute]],#REF!,2,FALSE)</f>
        <v>#REF!</v>
      </c>
      <c r="F4201">
        <v>138</v>
      </c>
      <c r="G4201">
        <f>(Cpi_[[#This Row],[Value]]-F4200)/F4200</f>
        <v>-5.0894085281980778E-2</v>
      </c>
      <c r="H4201" t="e" cm="1" vm="1">
        <f t="array" aca="1" ref="H4201" ca="1">VLOOKUP(Cpi_[[#This Row],[Year]:[Month]],crudeoil[],3,FALSE)</f>
        <v>#VALUE!</v>
      </c>
    </row>
    <row r="4202" spans="1:8" hidden="1" x14ac:dyDescent="0.3">
      <c r="A4202" t="s">
        <v>34</v>
      </c>
      <c r="B4202">
        <v>2017</v>
      </c>
      <c r="C4202" t="s">
        <v>37</v>
      </c>
      <c r="D4202" t="s">
        <v>18</v>
      </c>
      <c r="E4202" t="e">
        <f>VLOOKUP(Cpi_[[#This Row],[Attribute]],#REF!,2,FALSE)</f>
        <v>#REF!</v>
      </c>
      <c r="F4202">
        <v>131.1</v>
      </c>
      <c r="G4202">
        <f>(Cpi_[[#This Row],[Value]]-F4201)/F4201</f>
        <v>-5.0000000000000044E-2</v>
      </c>
      <c r="H4202" t="e" cm="1" vm="1">
        <f t="array" aca="1" ref="H4202" ca="1">VLOOKUP(Cpi_[[#This Row],[Year]:[Month]],crudeoil[],3,FALSE)</f>
        <v>#VALUE!</v>
      </c>
    </row>
    <row r="4203" spans="1:8" hidden="1" x14ac:dyDescent="0.3">
      <c r="A4203" t="s">
        <v>34</v>
      </c>
      <c r="B4203">
        <v>2017</v>
      </c>
      <c r="C4203" t="s">
        <v>37</v>
      </c>
      <c r="D4203" t="s">
        <v>19</v>
      </c>
      <c r="E4203" t="e">
        <f>VLOOKUP(Cpi_[[#This Row],[Attribute]],#REF!,2,FALSE)</f>
        <v>#REF!</v>
      </c>
      <c r="F4203">
        <v>137</v>
      </c>
      <c r="G4203">
        <f>(Cpi_[[#This Row],[Value]]-F4202)/F4202</f>
        <v>4.500381388253246E-2</v>
      </c>
      <c r="H4203" t="e" cm="1" vm="1">
        <f t="array" aca="1" ref="H4203" ca="1">VLOOKUP(Cpi_[[#This Row],[Year]:[Month]],crudeoil[],3,FALSE)</f>
        <v>#VALUE!</v>
      </c>
    </row>
    <row r="4204" spans="1:8" hidden="1" x14ac:dyDescent="0.3">
      <c r="A4204" t="s">
        <v>34</v>
      </c>
      <c r="B4204">
        <v>2017</v>
      </c>
      <c r="C4204" t="s">
        <v>37</v>
      </c>
      <c r="D4204" t="s">
        <v>20</v>
      </c>
      <c r="E4204" t="e">
        <f>VLOOKUP(Cpi_[[#This Row],[Attribute]],#REF!,2,FALSE)</f>
        <v>#REF!</v>
      </c>
      <c r="F4204">
        <v>131.69999999999999</v>
      </c>
      <c r="G4204">
        <f>(Cpi_[[#This Row],[Value]]-F4203)/F4203</f>
        <v>-3.8686131386861396E-2</v>
      </c>
      <c r="H4204" t="e" cm="1" vm="1">
        <f t="array" aca="1" ref="H4204" ca="1">VLOOKUP(Cpi_[[#This Row],[Year]:[Month]],crudeoil[],3,FALSE)</f>
        <v>#VALUE!</v>
      </c>
    </row>
    <row r="4205" spans="1:8" hidden="1" x14ac:dyDescent="0.3">
      <c r="A4205" t="s">
        <v>34</v>
      </c>
      <c r="B4205">
        <v>2017</v>
      </c>
      <c r="C4205" t="s">
        <v>37</v>
      </c>
      <c r="D4205" t="s">
        <v>21</v>
      </c>
      <c r="E4205" t="e">
        <f>VLOOKUP(Cpi_[[#This Row],[Attribute]],#REF!,2,FALSE)</f>
        <v>#REF!</v>
      </c>
      <c r="F4205">
        <v>129.80000000000001</v>
      </c>
      <c r="G4205">
        <f>(Cpi_[[#This Row],[Value]]-F4204)/F4204</f>
        <v>-1.4426727410781909E-2</v>
      </c>
      <c r="H4205" t="e" cm="1" vm="1">
        <f t="array" aca="1" ref="H4205" ca="1">VLOOKUP(Cpi_[[#This Row],[Year]:[Month]],crudeoil[],3,FALSE)</f>
        <v>#VALUE!</v>
      </c>
    </row>
    <row r="4206" spans="1:8" hidden="1" x14ac:dyDescent="0.3">
      <c r="A4206" t="s">
        <v>34</v>
      </c>
      <c r="B4206">
        <v>2017</v>
      </c>
      <c r="C4206" t="s">
        <v>37</v>
      </c>
      <c r="D4206" t="s">
        <v>22</v>
      </c>
      <c r="E4206" t="e">
        <f>VLOOKUP(Cpi_[[#This Row],[Attribute]],#REF!,2,FALSE)</f>
        <v>#REF!</v>
      </c>
      <c r="F4206">
        <v>130.4</v>
      </c>
      <c r="G4206">
        <f>(Cpi_[[#This Row],[Value]]-F4205)/F4205</f>
        <v>4.6224961479198329E-3</v>
      </c>
      <c r="H4206" t="e" cm="1" vm="1">
        <f t="array" aca="1" ref="H4206" ca="1">VLOOKUP(Cpi_[[#This Row],[Year]:[Month]],crudeoil[],3,FALSE)</f>
        <v>#VALUE!</v>
      </c>
    </row>
    <row r="4207" spans="1:8" hidden="1" x14ac:dyDescent="0.3">
      <c r="A4207" t="s">
        <v>34</v>
      </c>
      <c r="B4207">
        <v>2017</v>
      </c>
      <c r="C4207" t="s">
        <v>37</v>
      </c>
      <c r="D4207" t="s">
        <v>23</v>
      </c>
      <c r="E4207" t="e">
        <f>VLOOKUP(Cpi_[[#This Row],[Attribute]],#REF!,2,FALSE)</f>
        <v>#REF!</v>
      </c>
      <c r="F4207">
        <v>128.1</v>
      </c>
      <c r="G4207">
        <f>(Cpi_[[#This Row],[Value]]-F4206)/F4206</f>
        <v>-1.7638036809816036E-2</v>
      </c>
      <c r="H4207" t="e" cm="1" vm="1">
        <f t="array" aca="1" ref="H4207" ca="1">VLOOKUP(Cpi_[[#This Row],[Year]:[Month]],crudeoil[],3,FALSE)</f>
        <v>#VALUE!</v>
      </c>
    </row>
    <row r="4208" spans="1:8" hidden="1" x14ac:dyDescent="0.3">
      <c r="A4208" t="s">
        <v>34</v>
      </c>
      <c r="B4208">
        <v>2017</v>
      </c>
      <c r="C4208" t="s">
        <v>37</v>
      </c>
      <c r="D4208" t="s">
        <v>24</v>
      </c>
      <c r="E4208" t="e">
        <f>VLOOKUP(Cpi_[[#This Row],[Attribute]],#REF!,2,FALSE)</f>
        <v>#REF!</v>
      </c>
      <c r="F4208">
        <v>116.6</v>
      </c>
      <c r="G4208">
        <f>(Cpi_[[#This Row],[Value]]-F4207)/F4207</f>
        <v>-8.9773614363778301E-2</v>
      </c>
      <c r="H4208" t="e" cm="1" vm="1">
        <f t="array" aca="1" ref="H4208" ca="1">VLOOKUP(Cpi_[[#This Row],[Year]:[Month]],crudeoil[],3,FALSE)</f>
        <v>#VALUE!</v>
      </c>
    </row>
    <row r="4209" spans="1:8" hidden="1" x14ac:dyDescent="0.3">
      <c r="A4209" t="s">
        <v>34</v>
      </c>
      <c r="B4209">
        <v>2017</v>
      </c>
      <c r="C4209" t="s">
        <v>37</v>
      </c>
      <c r="D4209" t="s">
        <v>25</v>
      </c>
      <c r="E4209" t="e">
        <f>VLOOKUP(Cpi_[[#This Row],[Attribute]],#REF!,2,FALSE)</f>
        <v>#REF!</v>
      </c>
      <c r="F4209">
        <v>125.1</v>
      </c>
      <c r="G4209">
        <f>(Cpi_[[#This Row],[Value]]-F4208)/F4208</f>
        <v>7.2898799313893661E-2</v>
      </c>
      <c r="H4209" t="e" cm="1" vm="1">
        <f t="array" aca="1" ref="H4209" ca="1">VLOOKUP(Cpi_[[#This Row],[Year]:[Month]],crudeoil[],3,FALSE)</f>
        <v>#VALUE!</v>
      </c>
    </row>
    <row r="4210" spans="1:8" hidden="1" x14ac:dyDescent="0.3">
      <c r="A4210" t="s">
        <v>34</v>
      </c>
      <c r="B4210">
        <v>2017</v>
      </c>
      <c r="C4210" t="s">
        <v>37</v>
      </c>
      <c r="D4210" t="s">
        <v>26</v>
      </c>
      <c r="E4210" t="e">
        <f>VLOOKUP(Cpi_[[#This Row],[Attribute]],#REF!,2,FALSE)</f>
        <v>#REF!</v>
      </c>
      <c r="F4210">
        <v>134.5</v>
      </c>
      <c r="G4210">
        <f>(Cpi_[[#This Row],[Value]]-F4209)/F4209</f>
        <v>7.5139888089528428E-2</v>
      </c>
      <c r="H4210" t="e" cm="1" vm="1">
        <f t="array" aca="1" ref="H4210" ca="1">VLOOKUP(Cpi_[[#This Row],[Year]:[Month]],crudeoil[],3,FALSE)</f>
        <v>#VALUE!</v>
      </c>
    </row>
    <row r="4211" spans="1:8" hidden="1" x14ac:dyDescent="0.3">
      <c r="A4211" t="s">
        <v>34</v>
      </c>
      <c r="B4211">
        <v>2017</v>
      </c>
      <c r="C4211" t="s">
        <v>37</v>
      </c>
      <c r="D4211" t="s">
        <v>27</v>
      </c>
      <c r="E4211" t="e">
        <f>VLOOKUP(Cpi_[[#This Row],[Attribute]],#REF!,2,FALSE)</f>
        <v>#REF!</v>
      </c>
      <c r="F4211">
        <v>123.1</v>
      </c>
      <c r="G4211">
        <f>(Cpi_[[#This Row],[Value]]-F4210)/F4210</f>
        <v>-8.4758364312267701E-2</v>
      </c>
      <c r="H4211" t="e" cm="1" vm="1">
        <f t="array" aca="1" ref="H4211" ca="1">VLOOKUP(Cpi_[[#This Row],[Year]:[Month]],crudeoil[],3,FALSE)</f>
        <v>#VALUE!</v>
      </c>
    </row>
    <row r="4212" spans="1:8" hidden="1" x14ac:dyDescent="0.3">
      <c r="A4212" t="s">
        <v>34</v>
      </c>
      <c r="B4212">
        <v>2017</v>
      </c>
      <c r="C4212" t="s">
        <v>37</v>
      </c>
      <c r="D4212" t="s">
        <v>28</v>
      </c>
      <c r="E4212" t="e">
        <f>VLOOKUP(Cpi_[[#This Row],[Attribute]],#REF!,2,FALSE)</f>
        <v>#REF!</v>
      </c>
      <c r="F4212">
        <v>125.1</v>
      </c>
      <c r="G4212">
        <f>(Cpi_[[#This Row],[Value]]-F4211)/F4211</f>
        <v>1.6246953696181968E-2</v>
      </c>
      <c r="H4212" t="e" cm="1" vm="1">
        <f t="array" aca="1" ref="H4212" ca="1">VLOOKUP(Cpi_[[#This Row],[Year]:[Month]],crudeoil[],3,FALSE)</f>
        <v>#VALUE!</v>
      </c>
    </row>
    <row r="4213" spans="1:8" hidden="1" x14ac:dyDescent="0.3">
      <c r="A4213" t="s">
        <v>34</v>
      </c>
      <c r="B4213">
        <v>2017</v>
      </c>
      <c r="C4213" t="s">
        <v>37</v>
      </c>
      <c r="D4213" t="s">
        <v>29</v>
      </c>
      <c r="E4213" t="e" cm="1">
        <f t="array" aca="1" ref="E4213" ca="1">VLGeneral indexGeneral indexKUP(Cpi_[[#This Row],[Attribute]],#REF!,2,FALSE)</f>
        <v>#NAME?</v>
      </c>
      <c r="F4213">
        <v>131.1</v>
      </c>
      <c r="G4213">
        <f>(Cpi_[[#This Row],[Value]]-F4212)/F4212</f>
        <v>4.7961630695443645E-2</v>
      </c>
      <c r="H4213" t="e" cm="1" vm="1">
        <f t="array" aca="1" ref="H4213" ca="1">VLOOKUP(Cpi_[[#This Row],[Year]:[Month]],crudeoil[],3,FALSE)</f>
        <v>#VALUE!</v>
      </c>
    </row>
    <row r="4214" spans="1:8" hidden="1" x14ac:dyDescent="0.3">
      <c r="A4214" t="s">
        <v>30</v>
      </c>
      <c r="B4214">
        <v>2017</v>
      </c>
      <c r="C4214" t="s">
        <v>38</v>
      </c>
      <c r="D4214" t="s">
        <v>3</v>
      </c>
      <c r="E4214" t="e">
        <f>VLOOKUP(Cpi_[[#This Row],[Attribute]],#REF!,2,FALSE)</f>
        <v>#REF!</v>
      </c>
      <c r="F4214">
        <v>133.1</v>
      </c>
      <c r="G4214">
        <f>(Cpi_[[#This Row],[Value]]-F4213)/F4213</f>
        <v>1.5255530129672007E-2</v>
      </c>
      <c r="H4214" t="e" cm="1" vm="1">
        <f t="array" aca="1" ref="H4214" ca="1">VLOOKUP(Cpi_[[#This Row],[Year]:[Month]],crudeoil[],3,FALSE)</f>
        <v>#VALUE!</v>
      </c>
    </row>
    <row r="4215" spans="1:8" hidden="1" x14ac:dyDescent="0.3">
      <c r="A4215" t="s">
        <v>30</v>
      </c>
      <c r="B4215">
        <v>2017</v>
      </c>
      <c r="C4215" t="s">
        <v>38</v>
      </c>
      <c r="D4215" t="s">
        <v>4</v>
      </c>
      <c r="E4215" t="e">
        <f>VLOOKUP(Cpi_[[#This Row],[Attribute]],#REF!,2,FALSE)</f>
        <v>#REF!</v>
      </c>
      <c r="F4215">
        <v>140.30000000000001</v>
      </c>
      <c r="G4215">
        <f>(Cpi_[[#This Row],[Value]]-F4214)/F4214</f>
        <v>5.4094665664913728E-2</v>
      </c>
      <c r="H4215" t="e" cm="1" vm="1">
        <f t="array" aca="1" ref="H4215" ca="1">VLOOKUP(Cpi_[[#This Row],[Year]:[Month]],crudeoil[],3,FALSE)</f>
        <v>#VALUE!</v>
      </c>
    </row>
    <row r="4216" spans="1:8" hidden="1" x14ac:dyDescent="0.3">
      <c r="A4216" t="s">
        <v>30</v>
      </c>
      <c r="B4216">
        <v>2017</v>
      </c>
      <c r="C4216" t="s">
        <v>38</v>
      </c>
      <c r="D4216" t="s">
        <v>5</v>
      </c>
      <c r="E4216" t="e">
        <f>VLOOKUP(Cpi_[[#This Row],[Attribute]],#REF!,2,FALSE)</f>
        <v>#REF!</v>
      </c>
      <c r="F4216">
        <v>126.8</v>
      </c>
      <c r="G4216">
        <f>(Cpi_[[#This Row],[Value]]-F4215)/F4215</f>
        <v>-9.6222380612972294E-2</v>
      </c>
      <c r="H4216" t="e" cm="1" vm="1">
        <f t="array" aca="1" ref="H4216" ca="1">VLOOKUP(Cpi_[[#This Row],[Year]:[Month]],crudeoil[],3,FALSE)</f>
        <v>#VALUE!</v>
      </c>
    </row>
    <row r="4217" spans="1:8" hidden="1" x14ac:dyDescent="0.3">
      <c r="A4217" t="s">
        <v>30</v>
      </c>
      <c r="B4217">
        <v>2017</v>
      </c>
      <c r="C4217" t="s">
        <v>38</v>
      </c>
      <c r="D4217" t="s">
        <v>6</v>
      </c>
      <c r="E4217" t="e">
        <f>VLOOKUP(Cpi_[[#This Row],[Attribute]],#REF!,2,FALSE)</f>
        <v>#REF!</v>
      </c>
      <c r="F4217">
        <v>138.19999999999999</v>
      </c>
      <c r="G4217">
        <f>(Cpi_[[#This Row],[Value]]-F4216)/F4216</f>
        <v>8.9905362776025177E-2</v>
      </c>
      <c r="H4217" t="e" cm="1" vm="1">
        <f t="array" aca="1" ref="H4217" ca="1">VLOOKUP(Cpi_[[#This Row],[Year]:[Month]],crudeoil[],3,FALSE)</f>
        <v>#VALUE!</v>
      </c>
    </row>
    <row r="4218" spans="1:8" hidden="1" x14ac:dyDescent="0.3">
      <c r="A4218" t="s">
        <v>30</v>
      </c>
      <c r="B4218">
        <v>2017</v>
      </c>
      <c r="C4218" t="s">
        <v>38</v>
      </c>
      <c r="D4218" t="s">
        <v>7</v>
      </c>
      <c r="E4218" t="e">
        <f>VLOOKUP(Cpi_[[#This Row],[Attribute]],#REF!,2,FALSE)</f>
        <v>#REF!</v>
      </c>
      <c r="F4218">
        <v>120.8</v>
      </c>
      <c r="G4218">
        <f>(Cpi_[[#This Row],[Value]]-F4217)/F4217</f>
        <v>-0.12590448625180892</v>
      </c>
      <c r="H4218" t="e" cm="1" vm="1">
        <f t="array" aca="1" ref="H4218" ca="1">VLOOKUP(Cpi_[[#This Row],[Year]:[Month]],crudeoil[],3,FALSE)</f>
        <v>#VALUE!</v>
      </c>
    </row>
    <row r="4219" spans="1:8" hidden="1" x14ac:dyDescent="0.3">
      <c r="A4219" t="s">
        <v>30</v>
      </c>
      <c r="B4219">
        <v>2017</v>
      </c>
      <c r="C4219" t="s">
        <v>38</v>
      </c>
      <c r="D4219" t="s">
        <v>8</v>
      </c>
      <c r="E4219" t="e">
        <f>VLOOKUP(Cpi_[[#This Row],[Attribute]],#REF!,2,FALSE)</f>
        <v>#REF!</v>
      </c>
      <c r="F4219">
        <v>140.19999999999999</v>
      </c>
      <c r="G4219">
        <f>(Cpi_[[#This Row],[Value]]-F4218)/F4218</f>
        <v>0.16059602649006616</v>
      </c>
      <c r="H4219" t="e" cm="1" vm="1">
        <f t="array" aca="1" ref="H4219" ca="1">VLOOKUP(Cpi_[[#This Row],[Year]:[Month]],crudeoil[],3,FALSE)</f>
        <v>#VALUE!</v>
      </c>
    </row>
    <row r="4220" spans="1:8" hidden="1" x14ac:dyDescent="0.3">
      <c r="A4220" t="s">
        <v>30</v>
      </c>
      <c r="B4220">
        <v>2017</v>
      </c>
      <c r="C4220" t="s">
        <v>38</v>
      </c>
      <c r="D4220" t="s">
        <v>9</v>
      </c>
      <c r="E4220" t="e">
        <f>VLOOKUP(Cpi_[[#This Row],[Attribute]],#REF!,2,FALSE)</f>
        <v>#REF!</v>
      </c>
      <c r="F4220">
        <v>123.8</v>
      </c>
      <c r="G4220">
        <f>(Cpi_[[#This Row],[Value]]-F4219)/F4219</f>
        <v>-0.11697574893009981</v>
      </c>
      <c r="H4220" t="e" cm="1" vm="1">
        <f t="array" aca="1" ref="H4220" ca="1">VLOOKUP(Cpi_[[#This Row],[Year]:[Month]],crudeoil[],3,FALSE)</f>
        <v>#VALUE!</v>
      </c>
    </row>
    <row r="4221" spans="1:8" hidden="1" x14ac:dyDescent="0.3">
      <c r="A4221" t="s">
        <v>30</v>
      </c>
      <c r="B4221">
        <v>2017</v>
      </c>
      <c r="C4221" t="s">
        <v>38</v>
      </c>
      <c r="D4221" t="s">
        <v>10</v>
      </c>
      <c r="E4221" t="e">
        <f>VLOOKUP(Cpi_[[#This Row],[Attribute]],#REF!,2,FALSE)</f>
        <v>#REF!</v>
      </c>
      <c r="F4221">
        <v>141.80000000000001</v>
      </c>
      <c r="G4221">
        <f>(Cpi_[[#This Row],[Value]]-F4220)/F4220</f>
        <v>0.14539579967689834</v>
      </c>
      <c r="H4221" t="e" cm="1" vm="1">
        <f t="array" aca="1" ref="H4221" ca="1">VLOOKUP(Cpi_[[#This Row],[Year]:[Month]],crudeoil[],3,FALSE)</f>
        <v>#VALUE!</v>
      </c>
    </row>
    <row r="4222" spans="1:8" hidden="1" x14ac:dyDescent="0.3">
      <c r="A4222" t="s">
        <v>30</v>
      </c>
      <c r="B4222">
        <v>2017</v>
      </c>
      <c r="C4222" t="s">
        <v>38</v>
      </c>
      <c r="D4222" t="s">
        <v>11</v>
      </c>
      <c r="E4222" t="e">
        <f>VLOOKUP(Cpi_[[#This Row],[Attribute]],#REF!,2,FALSE)</f>
        <v>#REF!</v>
      </c>
      <c r="F4222">
        <v>118.6</v>
      </c>
      <c r="G4222">
        <f>(Cpi_[[#This Row],[Value]]-F4221)/F4221</f>
        <v>-0.16361071932299023</v>
      </c>
      <c r="H4222" t="e" cm="1" vm="1">
        <f t="array" aca="1" ref="H4222" ca="1">VLOOKUP(Cpi_[[#This Row],[Year]:[Month]],crudeoil[],3,FALSE)</f>
        <v>#VALUE!</v>
      </c>
    </row>
    <row r="4223" spans="1:8" hidden="1" x14ac:dyDescent="0.3">
      <c r="A4223" t="s">
        <v>30</v>
      </c>
      <c r="B4223">
        <v>2017</v>
      </c>
      <c r="C4223" t="s">
        <v>38</v>
      </c>
      <c r="D4223" t="s">
        <v>12</v>
      </c>
      <c r="E4223" t="e">
        <f>VLOOKUP(Cpi_[[#This Row],[Attribute]],#REF!,2,FALSE)</f>
        <v>#REF!</v>
      </c>
      <c r="F4223">
        <v>134</v>
      </c>
      <c r="G4223">
        <f>(Cpi_[[#This Row],[Value]]-F4222)/F4222</f>
        <v>0.1298482293423272</v>
      </c>
      <c r="H4223" t="e" cm="1" vm="1">
        <f t="array" aca="1" ref="H4223" ca="1">VLOOKUP(Cpi_[[#This Row],[Year]:[Month]],crudeoil[],3,FALSE)</f>
        <v>#VALUE!</v>
      </c>
    </row>
    <row r="4224" spans="1:8" hidden="1" x14ac:dyDescent="0.3">
      <c r="A4224" t="s">
        <v>30</v>
      </c>
      <c r="B4224">
        <v>2017</v>
      </c>
      <c r="C4224" t="s">
        <v>38</v>
      </c>
      <c r="D4224" t="s">
        <v>13</v>
      </c>
      <c r="E4224" t="e">
        <f>VLOOKUP(Cpi_[[#This Row],[Attribute]],#REF!,2,FALSE)</f>
        <v>#REF!</v>
      </c>
      <c r="F4224">
        <v>130.30000000000001</v>
      </c>
      <c r="G4224">
        <f>(Cpi_[[#This Row],[Value]]-F4223)/F4223</f>
        <v>-2.7611940298507377E-2</v>
      </c>
      <c r="H4224" t="e" cm="1" vm="1">
        <f t="array" aca="1" ref="H4224" ca="1">VLOOKUP(Cpi_[[#This Row],[Year]:[Month]],crudeoil[],3,FALSE)</f>
        <v>#VALUE!</v>
      </c>
    </row>
    <row r="4225" spans="1:8" hidden="1" x14ac:dyDescent="0.3">
      <c r="A4225" t="s">
        <v>30</v>
      </c>
      <c r="B4225">
        <v>2017</v>
      </c>
      <c r="C4225" t="s">
        <v>38</v>
      </c>
      <c r="D4225" t="s">
        <v>14</v>
      </c>
      <c r="E4225" t="e">
        <f>VLOOKUP(Cpi_[[#This Row],[Attribute]],#REF!,2,FALSE)</f>
        <v>#REF!</v>
      </c>
      <c r="F4225">
        <v>145.80000000000001</v>
      </c>
      <c r="G4225">
        <f>(Cpi_[[#This Row],[Value]]-F4224)/F4224</f>
        <v>0.11895625479662317</v>
      </c>
      <c r="H4225" t="e" cm="1" vm="1">
        <f t="array" aca="1" ref="H4225" ca="1">VLOOKUP(Cpi_[[#This Row],[Year]:[Month]],crudeoil[],3,FALSE)</f>
        <v>#VALUE!</v>
      </c>
    </row>
    <row r="4226" spans="1:8" hidden="1" x14ac:dyDescent="0.3">
      <c r="A4226" t="s">
        <v>30</v>
      </c>
      <c r="B4226">
        <v>2017</v>
      </c>
      <c r="C4226" t="s">
        <v>38</v>
      </c>
      <c r="D4226" t="s">
        <v>15</v>
      </c>
      <c r="E4226" t="e">
        <f>VLOOKUP(Cpi_[[#This Row],[Attribute]],#REF!,2,FALSE)</f>
        <v>#REF!</v>
      </c>
      <c r="F4226">
        <v>133.80000000000001</v>
      </c>
      <c r="G4226">
        <f>(Cpi_[[#This Row],[Value]]-F4225)/F4225</f>
        <v>-8.2304526748971193E-2</v>
      </c>
      <c r="H4226" t="e" cm="1" vm="1">
        <f t="array" aca="1" ref="H4226" ca="1">VLOOKUP(Cpi_[[#This Row],[Year]:[Month]],crudeoil[],3,FALSE)</f>
        <v>#VALUE!</v>
      </c>
    </row>
    <row r="4227" spans="1:8" hidden="1" x14ac:dyDescent="0.3">
      <c r="A4227" t="s">
        <v>30</v>
      </c>
      <c r="B4227">
        <v>2017</v>
      </c>
      <c r="C4227" t="s">
        <v>38</v>
      </c>
      <c r="D4227" t="s">
        <v>16</v>
      </c>
      <c r="E4227" t="e">
        <f>VLOOKUP(Cpi_[[#This Row],[Attribute]],#REF!,2,FALSE)</f>
        <v>#REF!</v>
      </c>
      <c r="F4227">
        <v>145.5</v>
      </c>
      <c r="G4227">
        <f>(Cpi_[[#This Row],[Value]]-F4226)/F4226</f>
        <v>8.7443946188340713E-2</v>
      </c>
      <c r="H4227" t="e" cm="1" vm="1">
        <f t="array" aca="1" ref="H4227" ca="1">VLOOKUP(Cpi_[[#This Row],[Year]:[Month]],crudeoil[],3,FALSE)</f>
        <v>#VALUE!</v>
      </c>
    </row>
    <row r="4228" spans="1:8" hidden="1" x14ac:dyDescent="0.3">
      <c r="A4228" t="s">
        <v>30</v>
      </c>
      <c r="B4228">
        <v>2017</v>
      </c>
      <c r="C4228" t="s">
        <v>38</v>
      </c>
      <c r="D4228" t="s">
        <v>17</v>
      </c>
      <c r="E4228" t="e">
        <f>VLOOKUP(Cpi_[[#This Row],[Attribute]],#REF!,2,FALSE)</f>
        <v>#REF!</v>
      </c>
      <c r="F4228">
        <v>142.5</v>
      </c>
      <c r="G4228">
        <f>(Cpi_[[#This Row],[Value]]-F4227)/F4227</f>
        <v>-2.0618556701030927E-2</v>
      </c>
      <c r="H4228" t="e" cm="1" vm="1">
        <f t="array" aca="1" ref="H4228" ca="1">VLOOKUP(Cpi_[[#This Row],[Year]:[Month]],crudeoil[],3,FALSE)</f>
        <v>#VALUE!</v>
      </c>
    </row>
    <row r="4229" spans="1:8" hidden="1" x14ac:dyDescent="0.3">
      <c r="A4229" t="s">
        <v>30</v>
      </c>
      <c r="B4229">
        <v>2017</v>
      </c>
      <c r="C4229" t="s">
        <v>38</v>
      </c>
      <c r="D4229" t="s">
        <v>18</v>
      </c>
      <c r="E4229" t="e">
        <f>VLOOKUP(Cpi_[[#This Row],[Attribute]],#REF!,2,FALSE)</f>
        <v>#REF!</v>
      </c>
      <c r="F4229">
        <v>137.30000000000001</v>
      </c>
      <c r="G4229">
        <f>(Cpi_[[#This Row],[Value]]-F4228)/F4228</f>
        <v>-3.6491228070175359E-2</v>
      </c>
      <c r="H4229" t="e" cm="1" vm="1">
        <f t="array" aca="1" ref="H4229" ca="1">VLOOKUP(Cpi_[[#This Row],[Year]:[Month]],crudeoil[],3,FALSE)</f>
        <v>#VALUE!</v>
      </c>
    </row>
    <row r="4230" spans="1:8" hidden="1" x14ac:dyDescent="0.3">
      <c r="A4230" t="s">
        <v>30</v>
      </c>
      <c r="B4230">
        <v>2017</v>
      </c>
      <c r="C4230" t="s">
        <v>38</v>
      </c>
      <c r="D4230" t="s">
        <v>19</v>
      </c>
      <c r="E4230" t="e">
        <f>VLOOKUP(Cpi_[[#This Row],[Attribute]],#REF!,2,FALSE)</f>
        <v>#REF!</v>
      </c>
      <c r="F4230">
        <v>141.80000000000001</v>
      </c>
      <c r="G4230">
        <f>(Cpi_[[#This Row],[Value]]-F4229)/F4229</f>
        <v>3.2774945375091041E-2</v>
      </c>
      <c r="H4230" t="e" cm="1" vm="1">
        <f t="array" aca="1" ref="H4230" ca="1">VLOOKUP(Cpi_[[#This Row],[Year]:[Month]],crudeoil[],3,FALSE)</f>
        <v>#VALUE!</v>
      </c>
    </row>
    <row r="4231" spans="1:8" hidden="1" x14ac:dyDescent="0.3">
      <c r="A4231" t="s">
        <v>30</v>
      </c>
      <c r="B4231">
        <v>2017</v>
      </c>
      <c r="C4231" t="s">
        <v>38</v>
      </c>
      <c r="D4231" t="s">
        <v>20</v>
      </c>
      <c r="E4231" t="e">
        <f>VLOOKUP(Cpi_[[#This Row],[Attribute]],#REF!,2,FALSE)</f>
        <v>#REF!</v>
      </c>
      <c r="F4231" t="s">
        <v>32</v>
      </c>
      <c r="G4231" t="e">
        <f>(Cpi_[[#This Row],[Value]]-F4230)/F4230</f>
        <v>#VALUE!</v>
      </c>
      <c r="H4231" t="e" cm="1" vm="1">
        <f t="array" aca="1" ref="H4231" ca="1">VLOOKUP(Cpi_[[#This Row],[Year]:[Month]],crudeoil[],3,FALSE)</f>
        <v>#VALUE!</v>
      </c>
    </row>
    <row r="4232" spans="1:8" hidden="1" x14ac:dyDescent="0.3">
      <c r="A4232" t="s">
        <v>30</v>
      </c>
      <c r="B4232">
        <v>2017</v>
      </c>
      <c r="C4232" t="s">
        <v>38</v>
      </c>
      <c r="D4232" t="s">
        <v>21</v>
      </c>
      <c r="E4232" t="e">
        <f>VLOOKUP(Cpi_[[#This Row],[Attribute]],#REF!,2,FALSE)</f>
        <v>#REF!</v>
      </c>
      <c r="F4232">
        <v>135</v>
      </c>
      <c r="G4232" t="e">
        <f>(Cpi_[[#This Row],[Value]]-F4231)/F4231</f>
        <v>#VALUE!</v>
      </c>
      <c r="H4232" t="e" cm="1" vm="1">
        <f t="array" aca="1" ref="H4232" ca="1">VLOOKUP(Cpi_[[#This Row],[Year]:[Month]],crudeoil[],3,FALSE)</f>
        <v>#VALUE!</v>
      </c>
    </row>
    <row r="4233" spans="1:8" hidden="1" x14ac:dyDescent="0.3">
      <c r="A4233" t="s">
        <v>30</v>
      </c>
      <c r="B4233">
        <v>2017</v>
      </c>
      <c r="C4233" t="s">
        <v>38</v>
      </c>
      <c r="D4233" t="s">
        <v>22</v>
      </c>
      <c r="E4233" t="e">
        <f>VLOOKUP(Cpi_[[#This Row],[Attribute]],#REF!,2,FALSE)</f>
        <v>#REF!</v>
      </c>
      <c r="F4233">
        <v>134.9</v>
      </c>
      <c r="G4233">
        <f>(Cpi_[[#This Row],[Value]]-F4232)/F4232</f>
        <v>-7.4074074074069864E-4</v>
      </c>
      <c r="H4233" t="e" cm="1" vm="1">
        <f t="array" aca="1" ref="H4233" ca="1">VLOOKUP(Cpi_[[#This Row],[Year]:[Month]],crudeoil[],3,FALSE)</f>
        <v>#VALUE!</v>
      </c>
    </row>
    <row r="4234" spans="1:8" hidden="1" x14ac:dyDescent="0.3">
      <c r="A4234" t="s">
        <v>30</v>
      </c>
      <c r="B4234">
        <v>2017</v>
      </c>
      <c r="C4234" t="s">
        <v>38</v>
      </c>
      <c r="D4234" t="s">
        <v>23</v>
      </c>
      <c r="E4234" t="e">
        <f>VLOOKUP(Cpi_[[#This Row],[Attribute]],#REF!,2,FALSE)</f>
        <v>#REF!</v>
      </c>
      <c r="F4234">
        <v>131.4</v>
      </c>
      <c r="G4234">
        <f>(Cpi_[[#This Row],[Value]]-F4233)/F4233</f>
        <v>-2.5945144551519642E-2</v>
      </c>
      <c r="H4234" t="e" cm="1" vm="1">
        <f t="array" aca="1" ref="H4234" ca="1">VLOOKUP(Cpi_[[#This Row],[Year]:[Month]],crudeoil[],3,FALSE)</f>
        <v>#VALUE!</v>
      </c>
    </row>
    <row r="4235" spans="1:8" hidden="1" x14ac:dyDescent="0.3">
      <c r="A4235" t="s">
        <v>30</v>
      </c>
      <c r="B4235">
        <v>2017</v>
      </c>
      <c r="C4235" t="s">
        <v>38</v>
      </c>
      <c r="D4235" t="s">
        <v>24</v>
      </c>
      <c r="E4235" t="e">
        <f>VLOOKUP(Cpi_[[#This Row],[Attribute]],#REF!,2,FALSE)</f>
        <v>#REF!</v>
      </c>
      <c r="F4235">
        <v>119.4</v>
      </c>
      <c r="G4235">
        <f>(Cpi_[[#This Row],[Value]]-F4234)/F4234</f>
        <v>-9.1324200913242004E-2</v>
      </c>
      <c r="H4235" t="e" cm="1" vm="1">
        <f t="array" aca="1" ref="H4235" ca="1">VLOOKUP(Cpi_[[#This Row],[Year]:[Month]],crudeoil[],3,FALSE)</f>
        <v>#VALUE!</v>
      </c>
    </row>
    <row r="4236" spans="1:8" hidden="1" x14ac:dyDescent="0.3">
      <c r="A4236" t="s">
        <v>30</v>
      </c>
      <c r="B4236">
        <v>2017</v>
      </c>
      <c r="C4236" t="s">
        <v>38</v>
      </c>
      <c r="D4236" t="s">
        <v>25</v>
      </c>
      <c r="E4236" t="e">
        <f>VLOOKUP(Cpi_[[#This Row],[Attribute]],#REF!,2,FALSE)</f>
        <v>#REF!</v>
      </c>
      <c r="F4236">
        <v>129.4</v>
      </c>
      <c r="G4236">
        <f>(Cpi_[[#This Row],[Value]]-F4235)/F4235</f>
        <v>8.3752093802345051E-2</v>
      </c>
      <c r="H4236" t="e" cm="1" vm="1">
        <f t="array" aca="1" ref="H4236" ca="1">VLOOKUP(Cpi_[[#This Row],[Year]:[Month]],crudeoil[],3,FALSE)</f>
        <v>#VALUE!</v>
      </c>
    </row>
    <row r="4237" spans="1:8" hidden="1" x14ac:dyDescent="0.3">
      <c r="A4237" t="s">
        <v>30</v>
      </c>
      <c r="B4237">
        <v>2017</v>
      </c>
      <c r="C4237" t="s">
        <v>38</v>
      </c>
      <c r="D4237" t="s">
        <v>26</v>
      </c>
      <c r="E4237" t="e">
        <f>VLOOKUP(Cpi_[[#This Row],[Attribute]],#REF!,2,FALSE)</f>
        <v>#REF!</v>
      </c>
      <c r="F4237">
        <v>136.30000000000001</v>
      </c>
      <c r="G4237">
        <f>(Cpi_[[#This Row],[Value]]-F4236)/F4236</f>
        <v>5.332302936630607E-2</v>
      </c>
      <c r="H4237" t="e" cm="1" vm="1">
        <f t="array" aca="1" ref="H4237" ca="1">VLOOKUP(Cpi_[[#This Row],[Year]:[Month]],crudeoil[],3,FALSE)</f>
        <v>#VALUE!</v>
      </c>
    </row>
    <row r="4238" spans="1:8" hidden="1" x14ac:dyDescent="0.3">
      <c r="A4238" t="s">
        <v>30</v>
      </c>
      <c r="B4238">
        <v>2017</v>
      </c>
      <c r="C4238" t="s">
        <v>38</v>
      </c>
      <c r="D4238" t="s">
        <v>27</v>
      </c>
      <c r="E4238" t="e">
        <f>VLOOKUP(Cpi_[[#This Row],[Attribute]],#REF!,2,FALSE)</f>
        <v>#REF!</v>
      </c>
      <c r="F4238">
        <v>123.7</v>
      </c>
      <c r="G4238">
        <f>(Cpi_[[#This Row],[Value]]-F4237)/F4237</f>
        <v>-9.2443140132061688E-2</v>
      </c>
      <c r="H4238" t="e" cm="1" vm="1">
        <f t="array" aca="1" ref="H4238" ca="1">VLOOKUP(Cpi_[[#This Row],[Year]:[Month]],crudeoil[],3,FALSE)</f>
        <v>#VALUE!</v>
      </c>
    </row>
    <row r="4239" spans="1:8" hidden="1" x14ac:dyDescent="0.3">
      <c r="A4239" t="s">
        <v>30</v>
      </c>
      <c r="B4239">
        <v>2017</v>
      </c>
      <c r="C4239" t="s">
        <v>38</v>
      </c>
      <c r="D4239" t="s">
        <v>28</v>
      </c>
      <c r="E4239" t="e">
        <f>VLOOKUP(Cpi_[[#This Row],[Attribute]],#REF!,2,FALSE)</f>
        <v>#REF!</v>
      </c>
      <c r="F4239">
        <v>127.9</v>
      </c>
      <c r="G4239">
        <f>(Cpi_[[#This Row],[Value]]-F4238)/F4238</f>
        <v>3.3953112368633812E-2</v>
      </c>
      <c r="H4239" t="e" cm="1" vm="1">
        <f t="array" aca="1" ref="H4239" ca="1">VLOOKUP(Cpi_[[#This Row],[Year]:[Month]],crudeoil[],3,FALSE)</f>
        <v>#VALUE!</v>
      </c>
    </row>
    <row r="4240" spans="1:8" hidden="1" x14ac:dyDescent="0.3">
      <c r="A4240" t="s">
        <v>30</v>
      </c>
      <c r="B4240">
        <v>2017</v>
      </c>
      <c r="C4240" t="s">
        <v>38</v>
      </c>
      <c r="D4240" t="s">
        <v>29</v>
      </c>
      <c r="E4240" t="e" cm="1">
        <f t="array" aca="1" ref="E4240" ca="1">VLGeneral indexGeneral indexKUP(Cpi_[[#This Row],[Attribute]],#REF!,2,FALSE)</f>
        <v>#NAME?</v>
      </c>
      <c r="F4240">
        <v>133.30000000000001</v>
      </c>
      <c r="G4240">
        <f>(Cpi_[[#This Row],[Value]]-F4239)/F4239</f>
        <v>4.2220484753713879E-2</v>
      </c>
      <c r="H4240" t="e" cm="1" vm="1">
        <f t="array" aca="1" ref="H4240" ca="1">VLOOKUP(Cpi_[[#This Row],[Year]:[Month]],crudeoil[],3,FALSE)</f>
        <v>#VALUE!</v>
      </c>
    </row>
    <row r="4241" spans="1:8" hidden="1" x14ac:dyDescent="0.3">
      <c r="A4241" t="s">
        <v>33</v>
      </c>
      <c r="B4241">
        <v>2017</v>
      </c>
      <c r="C4241" t="s">
        <v>38</v>
      </c>
      <c r="D4241" t="s">
        <v>3</v>
      </c>
      <c r="E4241" t="e">
        <f>VLOOKUP(Cpi_[[#This Row],[Attribute]],#REF!,2,FALSE)</f>
        <v>#REF!</v>
      </c>
      <c r="F4241">
        <v>132.6</v>
      </c>
      <c r="G4241">
        <f>(Cpi_[[#This Row],[Value]]-F4240)/F4240</f>
        <v>-5.2513128282071792E-3</v>
      </c>
      <c r="H4241" t="e" cm="1" vm="1">
        <f t="array" aca="1" ref="H4241" ca="1">VLOOKUP(Cpi_[[#This Row],[Year]:[Month]],crudeoil[],3,FALSE)</f>
        <v>#VALUE!</v>
      </c>
    </row>
    <row r="4242" spans="1:8" hidden="1" x14ac:dyDescent="0.3">
      <c r="A4242" t="s">
        <v>33</v>
      </c>
      <c r="B4242">
        <v>2017</v>
      </c>
      <c r="C4242" t="s">
        <v>38</v>
      </c>
      <c r="D4242" t="s">
        <v>4</v>
      </c>
      <c r="E4242" t="e">
        <f>VLOOKUP(Cpi_[[#This Row],[Attribute]],#REF!,2,FALSE)</f>
        <v>#REF!</v>
      </c>
      <c r="F4242">
        <v>144.1</v>
      </c>
      <c r="G4242">
        <f>(Cpi_[[#This Row],[Value]]-F4241)/F4241</f>
        <v>8.6726998491704371E-2</v>
      </c>
      <c r="H4242" t="e" cm="1" vm="1">
        <f t="array" aca="1" ref="H4242" ca="1">VLOOKUP(Cpi_[[#This Row],[Year]:[Month]],crudeoil[],3,FALSE)</f>
        <v>#VALUE!</v>
      </c>
    </row>
    <row r="4243" spans="1:8" hidden="1" x14ac:dyDescent="0.3">
      <c r="A4243" t="s">
        <v>33</v>
      </c>
      <c r="B4243">
        <v>2017</v>
      </c>
      <c r="C4243" t="s">
        <v>38</v>
      </c>
      <c r="D4243" t="s">
        <v>5</v>
      </c>
      <c r="E4243" t="e">
        <f>VLOOKUP(Cpi_[[#This Row],[Attribute]],#REF!,2,FALSE)</f>
        <v>#REF!</v>
      </c>
      <c r="F4243">
        <v>125.6</v>
      </c>
      <c r="G4243">
        <f>(Cpi_[[#This Row],[Value]]-F4242)/F4242</f>
        <v>-0.12838306731436502</v>
      </c>
      <c r="H4243" t="e" cm="1" vm="1">
        <f t="array" aca="1" ref="H4243" ca="1">VLOOKUP(Cpi_[[#This Row],[Year]:[Month]],crudeoil[],3,FALSE)</f>
        <v>#VALUE!</v>
      </c>
    </row>
    <row r="4244" spans="1:8" hidden="1" x14ac:dyDescent="0.3">
      <c r="A4244" t="s">
        <v>33</v>
      </c>
      <c r="B4244">
        <v>2017</v>
      </c>
      <c r="C4244" t="s">
        <v>38</v>
      </c>
      <c r="D4244" t="s">
        <v>6</v>
      </c>
      <c r="E4244" t="e">
        <f>VLOOKUP(Cpi_[[#This Row],[Attribute]],#REF!,2,FALSE)</f>
        <v>#REF!</v>
      </c>
      <c r="F4244">
        <v>136.80000000000001</v>
      </c>
      <c r="G4244">
        <f>(Cpi_[[#This Row],[Value]]-F4243)/F4243</f>
        <v>8.917197452229314E-2</v>
      </c>
      <c r="H4244" t="e" cm="1" vm="1">
        <f t="array" aca="1" ref="H4244" ca="1">VLOOKUP(Cpi_[[#This Row],[Year]:[Month]],crudeoil[],3,FALSE)</f>
        <v>#VALUE!</v>
      </c>
    </row>
    <row r="4245" spans="1:8" hidden="1" x14ac:dyDescent="0.3">
      <c r="A4245" t="s">
        <v>33</v>
      </c>
      <c r="B4245">
        <v>2017</v>
      </c>
      <c r="C4245" t="s">
        <v>38</v>
      </c>
      <c r="D4245" t="s">
        <v>7</v>
      </c>
      <c r="E4245" t="e">
        <f>VLOOKUP(Cpi_[[#This Row],[Attribute]],#REF!,2,FALSE)</f>
        <v>#REF!</v>
      </c>
      <c r="F4245">
        <v>113.4</v>
      </c>
      <c r="G4245">
        <f>(Cpi_[[#This Row],[Value]]-F4244)/F4244</f>
        <v>-0.1710526315789474</v>
      </c>
      <c r="H4245" t="e" cm="1" vm="1">
        <f t="array" aca="1" ref="H4245" ca="1">VLOOKUP(Cpi_[[#This Row],[Year]:[Month]],crudeoil[],3,FALSE)</f>
        <v>#VALUE!</v>
      </c>
    </row>
    <row r="4246" spans="1:8" hidden="1" x14ac:dyDescent="0.3">
      <c r="A4246" t="s">
        <v>33</v>
      </c>
      <c r="B4246">
        <v>2017</v>
      </c>
      <c r="C4246" t="s">
        <v>38</v>
      </c>
      <c r="D4246" t="s">
        <v>8</v>
      </c>
      <c r="E4246" t="e">
        <f>VLOOKUP(Cpi_[[#This Row],[Attribute]],#REF!,2,FALSE)</f>
        <v>#REF!</v>
      </c>
      <c r="F4246">
        <v>135.19999999999999</v>
      </c>
      <c r="G4246">
        <f>(Cpi_[[#This Row],[Value]]-F4245)/F4245</f>
        <v>0.19223985890652542</v>
      </c>
      <c r="H4246" t="e" cm="1" vm="1">
        <f t="array" aca="1" ref="H4246" ca="1">VLOOKUP(Cpi_[[#This Row],[Year]:[Month]],crudeoil[],3,FALSE)</f>
        <v>#VALUE!</v>
      </c>
    </row>
    <row r="4247" spans="1:8" hidden="1" x14ac:dyDescent="0.3">
      <c r="A4247" t="s">
        <v>33</v>
      </c>
      <c r="B4247">
        <v>2017</v>
      </c>
      <c r="C4247" t="s">
        <v>38</v>
      </c>
      <c r="D4247" t="s">
        <v>9</v>
      </c>
      <c r="E4247" t="e">
        <f>VLOOKUP(Cpi_[[#This Row],[Attribute]],#REF!,2,FALSE)</f>
        <v>#REF!</v>
      </c>
      <c r="F4247">
        <v>129.19999999999999</v>
      </c>
      <c r="G4247">
        <f>(Cpi_[[#This Row],[Value]]-F4246)/F4246</f>
        <v>-4.4378698224852076E-2</v>
      </c>
      <c r="H4247" t="e" cm="1" vm="1">
        <f t="array" aca="1" ref="H4247" ca="1">VLOOKUP(Cpi_[[#This Row],[Year]:[Month]],crudeoil[],3,FALSE)</f>
        <v>#VALUE!</v>
      </c>
    </row>
    <row r="4248" spans="1:8" hidden="1" x14ac:dyDescent="0.3">
      <c r="A4248" t="s">
        <v>33</v>
      </c>
      <c r="B4248">
        <v>2017</v>
      </c>
      <c r="C4248" t="s">
        <v>38</v>
      </c>
      <c r="D4248" t="s">
        <v>10</v>
      </c>
      <c r="E4248" t="e">
        <f>VLOOKUP(Cpi_[[#This Row],[Attribute]],#REF!,2,FALSE)</f>
        <v>#REF!</v>
      </c>
      <c r="F4248">
        <v>131.5</v>
      </c>
      <c r="G4248">
        <f>(Cpi_[[#This Row],[Value]]-F4247)/F4247</f>
        <v>1.780185758513941E-2</v>
      </c>
      <c r="H4248" t="e" cm="1" vm="1">
        <f t="array" aca="1" ref="H4248" ca="1">VLOOKUP(Cpi_[[#This Row],[Year]:[Month]],crudeoil[],3,FALSE)</f>
        <v>#VALUE!</v>
      </c>
    </row>
    <row r="4249" spans="1:8" hidden="1" x14ac:dyDescent="0.3">
      <c r="A4249" t="s">
        <v>33</v>
      </c>
      <c r="B4249">
        <v>2017</v>
      </c>
      <c r="C4249" t="s">
        <v>38</v>
      </c>
      <c r="D4249" t="s">
        <v>11</v>
      </c>
      <c r="E4249" t="e">
        <f>VLOOKUP(Cpi_[[#This Row],[Attribute]],#REF!,2,FALSE)</f>
        <v>#REF!</v>
      </c>
      <c r="F4249">
        <v>121</v>
      </c>
      <c r="G4249">
        <f>(Cpi_[[#This Row],[Value]]-F4248)/F4248</f>
        <v>-7.9847908745247151E-2</v>
      </c>
      <c r="H4249" t="e" cm="1" vm="1">
        <f t="array" aca="1" ref="H4249" ca="1">VLOOKUP(Cpi_[[#This Row],[Year]:[Month]],crudeoil[],3,FALSE)</f>
        <v>#VALUE!</v>
      </c>
    </row>
    <row r="4250" spans="1:8" hidden="1" x14ac:dyDescent="0.3">
      <c r="A4250" t="s">
        <v>33</v>
      </c>
      <c r="B4250">
        <v>2017</v>
      </c>
      <c r="C4250" t="s">
        <v>38</v>
      </c>
      <c r="D4250" t="s">
        <v>12</v>
      </c>
      <c r="E4250" t="e">
        <f>VLOOKUP(Cpi_[[#This Row],[Attribute]],#REF!,2,FALSE)</f>
        <v>#REF!</v>
      </c>
      <c r="F4250">
        <v>139.9</v>
      </c>
      <c r="G4250">
        <f>(Cpi_[[#This Row],[Value]]-F4249)/F4249</f>
        <v>0.15619834710743807</v>
      </c>
      <c r="H4250" t="e" cm="1" vm="1">
        <f t="array" aca="1" ref="H4250" ca="1">VLOOKUP(Cpi_[[#This Row],[Year]:[Month]],crudeoil[],3,FALSE)</f>
        <v>#VALUE!</v>
      </c>
    </row>
    <row r="4251" spans="1:8" hidden="1" x14ac:dyDescent="0.3">
      <c r="A4251" t="s">
        <v>33</v>
      </c>
      <c r="B4251">
        <v>2017</v>
      </c>
      <c r="C4251" t="s">
        <v>38</v>
      </c>
      <c r="D4251" t="s">
        <v>13</v>
      </c>
      <c r="E4251" t="e">
        <f>VLOOKUP(Cpi_[[#This Row],[Attribute]],#REF!,2,FALSE)</f>
        <v>#REF!</v>
      </c>
      <c r="F4251">
        <v>123.8</v>
      </c>
      <c r="G4251">
        <f>(Cpi_[[#This Row],[Value]]-F4250)/F4250</f>
        <v>-0.11508220157255188</v>
      </c>
      <c r="H4251" t="e" cm="1" vm="1">
        <f t="array" aca="1" ref="H4251" ca="1">VLOOKUP(Cpi_[[#This Row],[Year]:[Month]],crudeoil[],3,FALSE)</f>
        <v>#VALUE!</v>
      </c>
    </row>
    <row r="4252" spans="1:8" hidden="1" x14ac:dyDescent="0.3">
      <c r="A4252" t="s">
        <v>33</v>
      </c>
      <c r="B4252">
        <v>2017</v>
      </c>
      <c r="C4252" t="s">
        <v>38</v>
      </c>
      <c r="D4252" t="s">
        <v>14</v>
      </c>
      <c r="E4252" t="e">
        <f>VLOOKUP(Cpi_[[#This Row],[Attribute]],#REF!,2,FALSE)</f>
        <v>#REF!</v>
      </c>
      <c r="F4252">
        <v>142.9</v>
      </c>
      <c r="G4252">
        <f>(Cpi_[[#This Row],[Value]]-F4251)/F4251</f>
        <v>0.15428109854604208</v>
      </c>
      <c r="H4252" t="e" cm="1" vm="1">
        <f t="array" aca="1" ref="H4252" ca="1">VLOOKUP(Cpi_[[#This Row],[Year]:[Month]],crudeoil[],3,FALSE)</f>
        <v>#VALUE!</v>
      </c>
    </row>
    <row r="4253" spans="1:8" hidden="1" x14ac:dyDescent="0.3">
      <c r="A4253" t="s">
        <v>33</v>
      </c>
      <c r="B4253">
        <v>2017</v>
      </c>
      <c r="C4253" t="s">
        <v>38</v>
      </c>
      <c r="D4253" t="s">
        <v>15</v>
      </c>
      <c r="E4253" t="e">
        <f>VLOOKUP(Cpi_[[#This Row],[Attribute]],#REF!,2,FALSE)</f>
        <v>#REF!</v>
      </c>
      <c r="F4253">
        <v>133.6</v>
      </c>
      <c r="G4253">
        <f>(Cpi_[[#This Row],[Value]]-F4252)/F4252</f>
        <v>-6.50804758572429E-2</v>
      </c>
      <c r="H4253" t="e" cm="1" vm="1">
        <f t="array" aca="1" ref="H4253" ca="1">VLOOKUP(Cpi_[[#This Row],[Year]:[Month]],crudeoil[],3,FALSE)</f>
        <v>#VALUE!</v>
      </c>
    </row>
    <row r="4254" spans="1:8" hidden="1" x14ac:dyDescent="0.3">
      <c r="A4254" t="s">
        <v>33</v>
      </c>
      <c r="B4254">
        <v>2017</v>
      </c>
      <c r="C4254" t="s">
        <v>38</v>
      </c>
      <c r="D4254" t="s">
        <v>16</v>
      </c>
      <c r="E4254" t="e">
        <f>VLOOKUP(Cpi_[[#This Row],[Attribute]],#REF!,2,FALSE)</f>
        <v>#REF!</v>
      </c>
      <c r="F4254">
        <v>148.30000000000001</v>
      </c>
      <c r="G4254">
        <f>(Cpi_[[#This Row],[Value]]-F4253)/F4253</f>
        <v>0.11002994011976061</v>
      </c>
      <c r="H4254" t="e" cm="1" vm="1">
        <f t="array" aca="1" ref="H4254" ca="1">VLOOKUP(Cpi_[[#This Row],[Year]:[Month]],crudeoil[],3,FALSE)</f>
        <v>#VALUE!</v>
      </c>
    </row>
    <row r="4255" spans="1:8" hidden="1" x14ac:dyDescent="0.3">
      <c r="A4255" t="s">
        <v>33</v>
      </c>
      <c r="B4255">
        <v>2017</v>
      </c>
      <c r="C4255" t="s">
        <v>38</v>
      </c>
      <c r="D4255" t="s">
        <v>17</v>
      </c>
      <c r="E4255" t="e">
        <f>VLOOKUP(Cpi_[[#This Row],[Attribute]],#REF!,2,FALSE)</f>
        <v>#REF!</v>
      </c>
      <c r="F4255">
        <v>131.5</v>
      </c>
      <c r="G4255">
        <f>(Cpi_[[#This Row],[Value]]-F4254)/F4254</f>
        <v>-0.11328388401888072</v>
      </c>
      <c r="H4255" t="e" cm="1" vm="1">
        <f t="array" aca="1" ref="H4255" ca="1">VLOOKUP(Cpi_[[#This Row],[Year]:[Month]],crudeoil[],3,FALSE)</f>
        <v>#VALUE!</v>
      </c>
    </row>
    <row r="4256" spans="1:8" hidden="1" x14ac:dyDescent="0.3">
      <c r="A4256" t="s">
        <v>33</v>
      </c>
      <c r="B4256">
        <v>2017</v>
      </c>
      <c r="C4256" t="s">
        <v>38</v>
      </c>
      <c r="D4256" t="s">
        <v>18</v>
      </c>
      <c r="E4256" t="e">
        <f>VLOOKUP(Cpi_[[#This Row],[Attribute]],#REF!,2,FALSE)</f>
        <v>#REF!</v>
      </c>
      <c r="F4256">
        <v>123.2</v>
      </c>
      <c r="G4256">
        <f>(Cpi_[[#This Row],[Value]]-F4255)/F4255</f>
        <v>-6.3117870722433439E-2</v>
      </c>
      <c r="H4256" t="e" cm="1" vm="1">
        <f t="array" aca="1" ref="H4256" ca="1">VLOOKUP(Cpi_[[#This Row],[Year]:[Month]],crudeoil[],3,FALSE)</f>
        <v>#VALUE!</v>
      </c>
    </row>
    <row r="4257" spans="1:8" hidden="1" x14ac:dyDescent="0.3">
      <c r="A4257" t="s">
        <v>33</v>
      </c>
      <c r="B4257">
        <v>2017</v>
      </c>
      <c r="C4257" t="s">
        <v>38</v>
      </c>
      <c r="D4257" t="s">
        <v>19</v>
      </c>
      <c r="E4257" t="e">
        <f>VLOOKUP(Cpi_[[#This Row],[Attribute]],#REF!,2,FALSE)</f>
        <v>#REF!</v>
      </c>
      <c r="F4257">
        <v>130.19999999999999</v>
      </c>
      <c r="G4257">
        <f>(Cpi_[[#This Row],[Value]]-F4256)/F4256</f>
        <v>5.6818181818181698E-2</v>
      </c>
      <c r="H4257" t="e" cm="1" vm="1">
        <f t="array" aca="1" ref="H4257" ca="1">VLOOKUP(Cpi_[[#This Row],[Year]:[Month]],crudeoil[],3,FALSE)</f>
        <v>#VALUE!</v>
      </c>
    </row>
    <row r="4258" spans="1:8" hidden="1" x14ac:dyDescent="0.3">
      <c r="A4258" t="s">
        <v>33</v>
      </c>
      <c r="B4258">
        <v>2017</v>
      </c>
      <c r="C4258" t="s">
        <v>38</v>
      </c>
      <c r="D4258" t="s">
        <v>20</v>
      </c>
      <c r="E4258" t="e">
        <f>VLOOKUP(Cpi_[[#This Row],[Attribute]],#REF!,2,FALSE)</f>
        <v>#REF!</v>
      </c>
      <c r="F4258">
        <v>132.1</v>
      </c>
      <c r="G4258">
        <f>(Cpi_[[#This Row],[Value]]-F4257)/F4257</f>
        <v>1.4592933947772703E-2</v>
      </c>
      <c r="H4258" t="e" cm="1" vm="1">
        <f t="array" aca="1" ref="H4258" ca="1">VLOOKUP(Cpi_[[#This Row],[Year]:[Month]],crudeoil[],3,FALSE)</f>
        <v>#VALUE!</v>
      </c>
    </row>
    <row r="4259" spans="1:8" hidden="1" x14ac:dyDescent="0.3">
      <c r="A4259" t="s">
        <v>33</v>
      </c>
      <c r="B4259">
        <v>2017</v>
      </c>
      <c r="C4259" t="s">
        <v>38</v>
      </c>
      <c r="D4259" t="s">
        <v>21</v>
      </c>
      <c r="E4259" t="e">
        <f>VLOOKUP(Cpi_[[#This Row],[Attribute]],#REF!,2,FALSE)</f>
        <v>#REF!</v>
      </c>
      <c r="F4259">
        <v>120.1</v>
      </c>
      <c r="G4259">
        <f>(Cpi_[[#This Row],[Value]]-F4258)/F4258</f>
        <v>-9.0840272520817569E-2</v>
      </c>
      <c r="H4259" t="e" cm="1" vm="1">
        <f t="array" aca="1" ref="H4259" ca="1">VLOOKUP(Cpi_[[#This Row],[Year]:[Month]],crudeoil[],3,FALSE)</f>
        <v>#VALUE!</v>
      </c>
    </row>
    <row r="4260" spans="1:8" hidden="1" x14ac:dyDescent="0.3">
      <c r="A4260" t="s">
        <v>33</v>
      </c>
      <c r="B4260">
        <v>2017</v>
      </c>
      <c r="C4260" t="s">
        <v>38</v>
      </c>
      <c r="D4260" t="s">
        <v>22</v>
      </c>
      <c r="E4260" t="e">
        <f>VLOOKUP(Cpi_[[#This Row],[Attribute]],#REF!,2,FALSE)</f>
        <v>#REF!</v>
      </c>
      <c r="F4260">
        <v>126.5</v>
      </c>
      <c r="G4260">
        <f>(Cpi_[[#This Row],[Value]]-F4259)/F4259</f>
        <v>5.3288925895087477E-2</v>
      </c>
      <c r="H4260" t="e" cm="1" vm="1">
        <f t="array" aca="1" ref="H4260" ca="1">VLOOKUP(Cpi_[[#This Row],[Year]:[Month]],crudeoil[],3,FALSE)</f>
        <v>#VALUE!</v>
      </c>
    </row>
    <row r="4261" spans="1:8" hidden="1" x14ac:dyDescent="0.3">
      <c r="A4261" t="s">
        <v>33</v>
      </c>
      <c r="B4261">
        <v>2017</v>
      </c>
      <c r="C4261" t="s">
        <v>38</v>
      </c>
      <c r="D4261" t="s">
        <v>23</v>
      </c>
      <c r="E4261" t="e">
        <f>VLOOKUP(Cpi_[[#This Row],[Attribute]],#REF!,2,FALSE)</f>
        <v>#REF!</v>
      </c>
      <c r="F4261">
        <v>123.6</v>
      </c>
      <c r="G4261">
        <f>(Cpi_[[#This Row],[Value]]-F4260)/F4260</f>
        <v>-2.2924901185770796E-2</v>
      </c>
      <c r="H4261" t="e" cm="1" vm="1">
        <f t="array" aca="1" ref="H4261" ca="1">VLOOKUP(Cpi_[[#This Row],[Year]:[Month]],crudeoil[],3,FALSE)</f>
        <v>#VALUE!</v>
      </c>
    </row>
    <row r="4262" spans="1:8" hidden="1" x14ac:dyDescent="0.3">
      <c r="A4262" t="s">
        <v>33</v>
      </c>
      <c r="B4262">
        <v>2017</v>
      </c>
      <c r="C4262" t="s">
        <v>38</v>
      </c>
      <c r="D4262" t="s">
        <v>24</v>
      </c>
      <c r="E4262" t="e">
        <f>VLOOKUP(Cpi_[[#This Row],[Attribute]],#REF!,2,FALSE)</f>
        <v>#REF!</v>
      </c>
      <c r="F4262">
        <v>114.3</v>
      </c>
      <c r="G4262">
        <f>(Cpi_[[#This Row],[Value]]-F4261)/F4261</f>
        <v>-7.5242718446601922E-2</v>
      </c>
      <c r="H4262" t="e" cm="1" vm="1">
        <f t="array" aca="1" ref="H4262" ca="1">VLOOKUP(Cpi_[[#This Row],[Year]:[Month]],crudeoil[],3,FALSE)</f>
        <v>#VALUE!</v>
      </c>
    </row>
    <row r="4263" spans="1:8" hidden="1" x14ac:dyDescent="0.3">
      <c r="A4263" t="s">
        <v>33</v>
      </c>
      <c r="B4263">
        <v>2017</v>
      </c>
      <c r="C4263" t="s">
        <v>38</v>
      </c>
      <c r="D4263" t="s">
        <v>25</v>
      </c>
      <c r="E4263" t="e">
        <f>VLOOKUP(Cpi_[[#This Row],[Attribute]],#REF!,2,FALSE)</f>
        <v>#REF!</v>
      </c>
      <c r="F4263">
        <v>122.8</v>
      </c>
      <c r="G4263">
        <f>(Cpi_[[#This Row],[Value]]-F4262)/F4262</f>
        <v>7.4365704286964138E-2</v>
      </c>
      <c r="H4263" t="e" cm="1" vm="1">
        <f t="array" aca="1" ref="H4263" ca="1">VLOOKUP(Cpi_[[#This Row],[Year]:[Month]],crudeoil[],3,FALSE)</f>
        <v>#VALUE!</v>
      </c>
    </row>
    <row r="4264" spans="1:8" hidden="1" x14ac:dyDescent="0.3">
      <c r="A4264" t="s">
        <v>33</v>
      </c>
      <c r="B4264">
        <v>2017</v>
      </c>
      <c r="C4264" t="s">
        <v>38</v>
      </c>
      <c r="D4264" t="s">
        <v>26</v>
      </c>
      <c r="E4264" t="e">
        <f>VLOOKUP(Cpi_[[#This Row],[Attribute]],#REF!,2,FALSE)</f>
        <v>#REF!</v>
      </c>
      <c r="F4264">
        <v>133.80000000000001</v>
      </c>
      <c r="G4264">
        <f>(Cpi_[[#This Row],[Value]]-F4263)/F4263</f>
        <v>8.9576547231270481E-2</v>
      </c>
      <c r="H4264" t="e" cm="1" vm="1">
        <f t="array" aca="1" ref="H4264" ca="1">VLOOKUP(Cpi_[[#This Row],[Year]:[Month]],crudeoil[],3,FALSE)</f>
        <v>#VALUE!</v>
      </c>
    </row>
    <row r="4265" spans="1:8" hidden="1" x14ac:dyDescent="0.3">
      <c r="A4265" t="s">
        <v>33</v>
      </c>
      <c r="B4265">
        <v>2017</v>
      </c>
      <c r="C4265" t="s">
        <v>38</v>
      </c>
      <c r="D4265" t="s">
        <v>27</v>
      </c>
      <c r="E4265" t="e">
        <f>VLOOKUP(Cpi_[[#This Row],[Attribute]],#REF!,2,FALSE)</f>
        <v>#REF!</v>
      </c>
      <c r="F4265">
        <v>122</v>
      </c>
      <c r="G4265">
        <f>(Cpi_[[#This Row],[Value]]-F4264)/F4264</f>
        <v>-8.8191330343796795E-2</v>
      </c>
      <c r="H4265" t="e" cm="1" vm="1">
        <f t="array" aca="1" ref="H4265" ca="1">VLOOKUP(Cpi_[[#This Row],[Year]:[Month]],crudeoil[],3,FALSE)</f>
        <v>#VALUE!</v>
      </c>
    </row>
    <row r="4266" spans="1:8" hidden="1" x14ac:dyDescent="0.3">
      <c r="A4266" t="s">
        <v>33</v>
      </c>
      <c r="B4266">
        <v>2017</v>
      </c>
      <c r="C4266" t="s">
        <v>38</v>
      </c>
      <c r="D4266" t="s">
        <v>28</v>
      </c>
      <c r="E4266" t="e">
        <f>VLOOKUP(Cpi_[[#This Row],[Attribute]],#REF!,2,FALSE)</f>
        <v>#REF!</v>
      </c>
      <c r="F4266">
        <v>122.6</v>
      </c>
      <c r="G4266">
        <f>(Cpi_[[#This Row],[Value]]-F4265)/F4265</f>
        <v>4.9180327868851995E-3</v>
      </c>
      <c r="H4266" t="e" cm="1" vm="1">
        <f t="array" aca="1" ref="H4266" ca="1">VLOOKUP(Cpi_[[#This Row],[Year]:[Month]],crudeoil[],3,FALSE)</f>
        <v>#VALUE!</v>
      </c>
    </row>
    <row r="4267" spans="1:8" hidden="1" x14ac:dyDescent="0.3">
      <c r="A4267" t="s">
        <v>33</v>
      </c>
      <c r="B4267">
        <v>2017</v>
      </c>
      <c r="C4267" t="s">
        <v>38</v>
      </c>
      <c r="D4267" t="s">
        <v>29</v>
      </c>
      <c r="E4267" t="e" cm="1">
        <f t="array" aca="1" ref="E4267" ca="1">VLGeneral indexGeneral indexKUP(Cpi_[[#This Row],[Attribute]],#REF!,2,FALSE)</f>
        <v>#NAME?</v>
      </c>
      <c r="F4267">
        <v>129.30000000000001</v>
      </c>
      <c r="G4267">
        <f>(Cpi_[[#This Row],[Value]]-F4266)/F4266</f>
        <v>5.46492659053835E-2</v>
      </c>
      <c r="H4267" t="e" cm="1" vm="1">
        <f t="array" aca="1" ref="H4267" ca="1">VLOOKUP(Cpi_[[#This Row],[Year]:[Month]],crudeoil[],3,FALSE)</f>
        <v>#VALUE!</v>
      </c>
    </row>
    <row r="4268" spans="1:8" hidden="1" x14ac:dyDescent="0.3">
      <c r="A4268" t="s">
        <v>34</v>
      </c>
      <c r="B4268">
        <v>2017</v>
      </c>
      <c r="C4268" t="s">
        <v>38</v>
      </c>
      <c r="D4268" t="s">
        <v>3</v>
      </c>
      <c r="E4268" t="e">
        <f>VLOOKUP(Cpi_[[#This Row],[Attribute]],#REF!,2,FALSE)</f>
        <v>#REF!</v>
      </c>
      <c r="F4268">
        <v>132.9</v>
      </c>
      <c r="G4268">
        <f>(Cpi_[[#This Row],[Value]]-F4267)/F4267</f>
        <v>2.7842227378190209E-2</v>
      </c>
      <c r="H4268" t="e" cm="1" vm="1">
        <f t="array" aca="1" ref="H4268" ca="1">VLOOKUP(Cpi_[[#This Row],[Year]:[Month]],crudeoil[],3,FALSE)</f>
        <v>#VALUE!</v>
      </c>
    </row>
    <row r="4269" spans="1:8" hidden="1" x14ac:dyDescent="0.3">
      <c r="A4269" t="s">
        <v>34</v>
      </c>
      <c r="B4269">
        <v>2017</v>
      </c>
      <c r="C4269" t="s">
        <v>38</v>
      </c>
      <c r="D4269" t="s">
        <v>4</v>
      </c>
      <c r="E4269" t="e">
        <f>VLOOKUP(Cpi_[[#This Row],[Attribute]],#REF!,2,FALSE)</f>
        <v>#REF!</v>
      </c>
      <c r="F4269">
        <v>141.6</v>
      </c>
      <c r="G4269">
        <f>(Cpi_[[#This Row],[Value]]-F4268)/F4268</f>
        <v>6.5462753950338515E-2</v>
      </c>
      <c r="H4269" t="e" cm="1" vm="1">
        <f t="array" aca="1" ref="H4269" ca="1">VLOOKUP(Cpi_[[#This Row],[Year]:[Month]],crudeoil[],3,FALSE)</f>
        <v>#VALUE!</v>
      </c>
    </row>
    <row r="4270" spans="1:8" hidden="1" x14ac:dyDescent="0.3">
      <c r="A4270" t="s">
        <v>34</v>
      </c>
      <c r="B4270">
        <v>2017</v>
      </c>
      <c r="C4270" t="s">
        <v>38</v>
      </c>
      <c r="D4270" t="s">
        <v>5</v>
      </c>
      <c r="E4270" t="e">
        <f>VLOOKUP(Cpi_[[#This Row],[Attribute]],#REF!,2,FALSE)</f>
        <v>#REF!</v>
      </c>
      <c r="F4270">
        <v>126.3</v>
      </c>
      <c r="G4270">
        <f>(Cpi_[[#This Row],[Value]]-F4269)/F4269</f>
        <v>-0.10805084745762711</v>
      </c>
      <c r="H4270" t="e" cm="1" vm="1">
        <f t="array" aca="1" ref="H4270" ca="1">VLOOKUP(Cpi_[[#This Row],[Year]:[Month]],crudeoil[],3,FALSE)</f>
        <v>#VALUE!</v>
      </c>
    </row>
    <row r="4271" spans="1:8" hidden="1" x14ac:dyDescent="0.3">
      <c r="A4271" t="s">
        <v>34</v>
      </c>
      <c r="B4271">
        <v>2017</v>
      </c>
      <c r="C4271" t="s">
        <v>38</v>
      </c>
      <c r="D4271" t="s">
        <v>6</v>
      </c>
      <c r="E4271" t="e">
        <f>VLOOKUP(Cpi_[[#This Row],[Attribute]],#REF!,2,FALSE)</f>
        <v>#REF!</v>
      </c>
      <c r="F4271">
        <v>137.69999999999999</v>
      </c>
      <c r="G4271">
        <f>(Cpi_[[#This Row],[Value]]-F4270)/F4270</f>
        <v>9.0261282660332481E-2</v>
      </c>
      <c r="H4271" t="e" cm="1" vm="1">
        <f t="array" aca="1" ref="H4271" ca="1">VLOOKUP(Cpi_[[#This Row],[Year]:[Month]],crudeoil[],3,FALSE)</f>
        <v>#VALUE!</v>
      </c>
    </row>
    <row r="4272" spans="1:8" hidden="1" x14ac:dyDescent="0.3">
      <c r="A4272" t="s">
        <v>34</v>
      </c>
      <c r="B4272">
        <v>2017</v>
      </c>
      <c r="C4272" t="s">
        <v>38</v>
      </c>
      <c r="D4272" t="s">
        <v>7</v>
      </c>
      <c r="E4272" t="e">
        <f>VLOOKUP(Cpi_[[#This Row],[Attribute]],#REF!,2,FALSE)</f>
        <v>#REF!</v>
      </c>
      <c r="F4272">
        <v>118.1</v>
      </c>
      <c r="G4272">
        <f>(Cpi_[[#This Row],[Value]]-F4271)/F4271</f>
        <v>-0.14233841684822074</v>
      </c>
      <c r="H4272" t="e" cm="1" vm="1">
        <f t="array" aca="1" ref="H4272" ca="1">VLOOKUP(Cpi_[[#This Row],[Year]:[Month]],crudeoil[],3,FALSE)</f>
        <v>#VALUE!</v>
      </c>
    </row>
    <row r="4273" spans="1:8" hidden="1" x14ac:dyDescent="0.3">
      <c r="A4273" t="s">
        <v>34</v>
      </c>
      <c r="B4273">
        <v>2017</v>
      </c>
      <c r="C4273" t="s">
        <v>38</v>
      </c>
      <c r="D4273" t="s">
        <v>8</v>
      </c>
      <c r="E4273" t="e">
        <f>VLOOKUP(Cpi_[[#This Row],[Attribute]],#REF!,2,FALSE)</f>
        <v>#REF!</v>
      </c>
      <c r="F4273">
        <v>137.9</v>
      </c>
      <c r="G4273">
        <f>(Cpi_[[#This Row],[Value]]-F4272)/F4272</f>
        <v>0.16765453005927192</v>
      </c>
      <c r="H4273" t="e" cm="1" vm="1">
        <f t="array" aca="1" ref="H4273" ca="1">VLOOKUP(Cpi_[[#This Row],[Year]:[Month]],crudeoil[],3,FALSE)</f>
        <v>#VALUE!</v>
      </c>
    </row>
    <row r="4274" spans="1:8" hidden="1" x14ac:dyDescent="0.3">
      <c r="A4274" t="s">
        <v>34</v>
      </c>
      <c r="B4274">
        <v>2017</v>
      </c>
      <c r="C4274" t="s">
        <v>38</v>
      </c>
      <c r="D4274" t="s">
        <v>9</v>
      </c>
      <c r="E4274" t="e">
        <f>VLOOKUP(Cpi_[[#This Row],[Attribute]],#REF!,2,FALSE)</f>
        <v>#REF!</v>
      </c>
      <c r="F4274">
        <v>125.6</v>
      </c>
      <c r="G4274">
        <f>(Cpi_[[#This Row],[Value]]-F4273)/F4273</f>
        <v>-8.919506889050044E-2</v>
      </c>
      <c r="H4274" t="e" cm="1" vm="1">
        <f t="array" aca="1" ref="H4274" ca="1">VLOOKUP(Cpi_[[#This Row],[Year]:[Month]],crudeoil[],3,FALSE)</f>
        <v>#VALUE!</v>
      </c>
    </row>
    <row r="4275" spans="1:8" hidden="1" x14ac:dyDescent="0.3">
      <c r="A4275" t="s">
        <v>34</v>
      </c>
      <c r="B4275">
        <v>2017</v>
      </c>
      <c r="C4275" t="s">
        <v>38</v>
      </c>
      <c r="D4275" t="s">
        <v>10</v>
      </c>
      <c r="E4275" t="e">
        <f>VLOOKUP(Cpi_[[#This Row],[Attribute]],#REF!,2,FALSE)</f>
        <v>#REF!</v>
      </c>
      <c r="F4275">
        <v>138.30000000000001</v>
      </c>
      <c r="G4275">
        <f>(Cpi_[[#This Row],[Value]]-F4274)/F4274</f>
        <v>0.10111464968152881</v>
      </c>
      <c r="H4275" t="e" cm="1" vm="1">
        <f t="array" aca="1" ref="H4275" ca="1">VLOOKUP(Cpi_[[#This Row],[Year]:[Month]],crudeoil[],3,FALSE)</f>
        <v>#VALUE!</v>
      </c>
    </row>
    <row r="4276" spans="1:8" hidden="1" x14ac:dyDescent="0.3">
      <c r="A4276" t="s">
        <v>34</v>
      </c>
      <c r="B4276">
        <v>2017</v>
      </c>
      <c r="C4276" t="s">
        <v>38</v>
      </c>
      <c r="D4276" t="s">
        <v>11</v>
      </c>
      <c r="E4276" t="e">
        <f>VLOOKUP(Cpi_[[#This Row],[Attribute]],#REF!,2,FALSE)</f>
        <v>#REF!</v>
      </c>
      <c r="F4276">
        <v>119.4</v>
      </c>
      <c r="G4276">
        <f>(Cpi_[[#This Row],[Value]]-F4275)/F4275</f>
        <v>-0.13665943600867683</v>
      </c>
      <c r="H4276" t="e" cm="1" vm="1">
        <f t="array" aca="1" ref="H4276" ca="1">VLOOKUP(Cpi_[[#This Row],[Year]:[Month]],crudeoil[],3,FALSE)</f>
        <v>#VALUE!</v>
      </c>
    </row>
    <row r="4277" spans="1:8" hidden="1" x14ac:dyDescent="0.3">
      <c r="A4277" t="s">
        <v>34</v>
      </c>
      <c r="B4277">
        <v>2017</v>
      </c>
      <c r="C4277" t="s">
        <v>38</v>
      </c>
      <c r="D4277" t="s">
        <v>12</v>
      </c>
      <c r="E4277" t="e">
        <f>VLOOKUP(Cpi_[[#This Row],[Attribute]],#REF!,2,FALSE)</f>
        <v>#REF!</v>
      </c>
      <c r="F4277">
        <v>136</v>
      </c>
      <c r="G4277">
        <f>(Cpi_[[#This Row],[Value]]-F4276)/F4276</f>
        <v>0.13902847571189275</v>
      </c>
      <c r="H4277" t="e" cm="1" vm="1">
        <f t="array" aca="1" ref="H4277" ca="1">VLOOKUP(Cpi_[[#This Row],[Year]:[Month]],crudeoil[],3,FALSE)</f>
        <v>#VALUE!</v>
      </c>
    </row>
    <row r="4278" spans="1:8" hidden="1" x14ac:dyDescent="0.3">
      <c r="A4278" t="s">
        <v>34</v>
      </c>
      <c r="B4278">
        <v>2017</v>
      </c>
      <c r="C4278" t="s">
        <v>38</v>
      </c>
      <c r="D4278" t="s">
        <v>13</v>
      </c>
      <c r="E4278" t="e">
        <f>VLOOKUP(Cpi_[[#This Row],[Attribute]],#REF!,2,FALSE)</f>
        <v>#REF!</v>
      </c>
      <c r="F4278">
        <v>127.6</v>
      </c>
      <c r="G4278">
        <f>(Cpi_[[#This Row],[Value]]-F4277)/F4277</f>
        <v>-6.1764705882352985E-2</v>
      </c>
      <c r="H4278" t="e" cm="1" vm="1">
        <f t="array" aca="1" ref="H4278" ca="1">VLOOKUP(Cpi_[[#This Row],[Year]:[Month]],crudeoil[],3,FALSE)</f>
        <v>#VALUE!</v>
      </c>
    </row>
    <row r="4279" spans="1:8" hidden="1" x14ac:dyDescent="0.3">
      <c r="A4279" t="s">
        <v>34</v>
      </c>
      <c r="B4279">
        <v>2017</v>
      </c>
      <c r="C4279" t="s">
        <v>38</v>
      </c>
      <c r="D4279" t="s">
        <v>14</v>
      </c>
      <c r="E4279" t="e">
        <f>VLOOKUP(Cpi_[[#This Row],[Attribute]],#REF!,2,FALSE)</f>
        <v>#REF!</v>
      </c>
      <c r="F4279">
        <v>144.5</v>
      </c>
      <c r="G4279">
        <f>(Cpi_[[#This Row],[Value]]-F4278)/F4278</f>
        <v>0.13244514106583077</v>
      </c>
      <c r="H4279" t="e" cm="1" vm="1">
        <f t="array" aca="1" ref="H4279" ca="1">VLOOKUP(Cpi_[[#This Row],[Year]:[Month]],crudeoil[],3,FALSE)</f>
        <v>#VALUE!</v>
      </c>
    </row>
    <row r="4280" spans="1:8" hidden="1" x14ac:dyDescent="0.3">
      <c r="A4280" t="s">
        <v>34</v>
      </c>
      <c r="B4280">
        <v>2017</v>
      </c>
      <c r="C4280" t="s">
        <v>38</v>
      </c>
      <c r="D4280" t="s">
        <v>15</v>
      </c>
      <c r="E4280" t="e">
        <f>VLOOKUP(Cpi_[[#This Row],[Attribute]],#REF!,2,FALSE)</f>
        <v>#REF!</v>
      </c>
      <c r="F4280">
        <v>133.69999999999999</v>
      </c>
      <c r="G4280">
        <f>(Cpi_[[#This Row],[Value]]-F4279)/F4279</f>
        <v>-7.474048442906582E-2</v>
      </c>
      <c r="H4280" t="e" cm="1" vm="1">
        <f t="array" aca="1" ref="H4280" ca="1">VLOOKUP(Cpi_[[#This Row],[Year]:[Month]],crudeoil[],3,FALSE)</f>
        <v>#VALUE!</v>
      </c>
    </row>
    <row r="4281" spans="1:8" hidden="1" x14ac:dyDescent="0.3">
      <c r="A4281" t="s">
        <v>34</v>
      </c>
      <c r="B4281">
        <v>2017</v>
      </c>
      <c r="C4281" t="s">
        <v>38</v>
      </c>
      <c r="D4281" t="s">
        <v>16</v>
      </c>
      <c r="E4281" t="e">
        <f>VLOOKUP(Cpi_[[#This Row],[Attribute]],#REF!,2,FALSE)</f>
        <v>#REF!</v>
      </c>
      <c r="F4281">
        <v>146.19999999999999</v>
      </c>
      <c r="G4281">
        <f>(Cpi_[[#This Row],[Value]]-F4280)/F4280</f>
        <v>9.349289454001497E-2</v>
      </c>
      <c r="H4281" t="e" cm="1" vm="1">
        <f t="array" aca="1" ref="H4281" ca="1">VLOOKUP(Cpi_[[#This Row],[Year]:[Month]],crudeoil[],3,FALSE)</f>
        <v>#VALUE!</v>
      </c>
    </row>
    <row r="4282" spans="1:8" hidden="1" x14ac:dyDescent="0.3">
      <c r="A4282" t="s">
        <v>34</v>
      </c>
      <c r="B4282">
        <v>2017</v>
      </c>
      <c r="C4282" t="s">
        <v>38</v>
      </c>
      <c r="D4282" t="s">
        <v>17</v>
      </c>
      <c r="E4282" t="e">
        <f>VLOOKUP(Cpi_[[#This Row],[Attribute]],#REF!,2,FALSE)</f>
        <v>#REF!</v>
      </c>
      <c r="F4282">
        <v>138.19999999999999</v>
      </c>
      <c r="G4282">
        <f>(Cpi_[[#This Row],[Value]]-F4281)/F4281</f>
        <v>-5.4719562243502058E-2</v>
      </c>
      <c r="H4282" t="e" cm="1" vm="1">
        <f t="array" aca="1" ref="H4282" ca="1">VLOOKUP(Cpi_[[#This Row],[Year]:[Month]],crudeoil[],3,FALSE)</f>
        <v>#VALUE!</v>
      </c>
    </row>
    <row r="4283" spans="1:8" hidden="1" x14ac:dyDescent="0.3">
      <c r="A4283" t="s">
        <v>34</v>
      </c>
      <c r="B4283">
        <v>2017</v>
      </c>
      <c r="C4283" t="s">
        <v>38</v>
      </c>
      <c r="D4283" t="s">
        <v>18</v>
      </c>
      <c r="E4283" t="e">
        <f>VLOOKUP(Cpi_[[#This Row],[Attribute]],#REF!,2,FALSE)</f>
        <v>#REF!</v>
      </c>
      <c r="F4283">
        <v>131.4</v>
      </c>
      <c r="G4283">
        <f>(Cpi_[[#This Row],[Value]]-F4282)/F4282</f>
        <v>-4.9204052098407988E-2</v>
      </c>
      <c r="H4283" t="e" cm="1" vm="1">
        <f t="array" aca="1" ref="H4283" ca="1">VLOOKUP(Cpi_[[#This Row],[Year]:[Month]],crudeoil[],3,FALSE)</f>
        <v>#VALUE!</v>
      </c>
    </row>
    <row r="4284" spans="1:8" hidden="1" x14ac:dyDescent="0.3">
      <c r="A4284" t="s">
        <v>34</v>
      </c>
      <c r="B4284">
        <v>2017</v>
      </c>
      <c r="C4284" t="s">
        <v>38</v>
      </c>
      <c r="D4284" t="s">
        <v>19</v>
      </c>
      <c r="E4284" t="e">
        <f>VLOOKUP(Cpi_[[#This Row],[Attribute]],#REF!,2,FALSE)</f>
        <v>#REF!</v>
      </c>
      <c r="F4284">
        <v>137.19999999999999</v>
      </c>
      <c r="G4284">
        <f>(Cpi_[[#This Row],[Value]]-F4283)/F4283</f>
        <v>4.414003044140017E-2</v>
      </c>
      <c r="H4284" t="e" cm="1" vm="1">
        <f t="array" aca="1" ref="H4284" ca="1">VLOOKUP(Cpi_[[#This Row],[Year]:[Month]],crudeoil[],3,FALSE)</f>
        <v>#VALUE!</v>
      </c>
    </row>
    <row r="4285" spans="1:8" hidden="1" x14ac:dyDescent="0.3">
      <c r="A4285" t="s">
        <v>34</v>
      </c>
      <c r="B4285">
        <v>2017</v>
      </c>
      <c r="C4285" t="s">
        <v>38</v>
      </c>
      <c r="D4285" t="s">
        <v>20</v>
      </c>
      <c r="E4285" t="e">
        <f>VLOOKUP(Cpi_[[#This Row],[Attribute]],#REF!,2,FALSE)</f>
        <v>#REF!</v>
      </c>
      <c r="F4285">
        <v>132.1</v>
      </c>
      <c r="G4285">
        <f>(Cpi_[[#This Row],[Value]]-F4284)/F4284</f>
        <v>-3.7172011661807544E-2</v>
      </c>
      <c r="H4285" t="e" cm="1" vm="1">
        <f t="array" aca="1" ref="H4285" ca="1">VLOOKUP(Cpi_[[#This Row],[Year]:[Month]],crudeoil[],3,FALSE)</f>
        <v>#VALUE!</v>
      </c>
    </row>
    <row r="4286" spans="1:8" hidden="1" x14ac:dyDescent="0.3">
      <c r="A4286" t="s">
        <v>34</v>
      </c>
      <c r="B4286">
        <v>2017</v>
      </c>
      <c r="C4286" t="s">
        <v>38</v>
      </c>
      <c r="D4286" t="s">
        <v>21</v>
      </c>
      <c r="E4286" t="e">
        <f>VLOOKUP(Cpi_[[#This Row],[Attribute]],#REF!,2,FALSE)</f>
        <v>#REF!</v>
      </c>
      <c r="F4286">
        <v>129.4</v>
      </c>
      <c r="G4286">
        <f>(Cpi_[[#This Row],[Value]]-F4285)/F4285</f>
        <v>-2.0439061317183867E-2</v>
      </c>
      <c r="H4286" t="e" cm="1" vm="1">
        <f t="array" aca="1" ref="H4286" ca="1">VLOOKUP(Cpi_[[#This Row],[Year]:[Month]],crudeoil[],3,FALSE)</f>
        <v>#VALUE!</v>
      </c>
    </row>
    <row r="4287" spans="1:8" hidden="1" x14ac:dyDescent="0.3">
      <c r="A4287" t="s">
        <v>34</v>
      </c>
      <c r="B4287">
        <v>2017</v>
      </c>
      <c r="C4287" t="s">
        <v>38</v>
      </c>
      <c r="D4287" t="s">
        <v>22</v>
      </c>
      <c r="E4287" t="e">
        <f>VLOOKUP(Cpi_[[#This Row],[Attribute]],#REF!,2,FALSE)</f>
        <v>#REF!</v>
      </c>
      <c r="F4287">
        <v>130.9</v>
      </c>
      <c r="G4287">
        <f>(Cpi_[[#This Row],[Value]]-F4286)/F4286</f>
        <v>1.15919629057187E-2</v>
      </c>
      <c r="H4287" t="e" cm="1" vm="1">
        <f t="array" aca="1" ref="H4287" ca="1">VLOOKUP(Cpi_[[#This Row],[Year]:[Month]],crudeoil[],3,FALSE)</f>
        <v>#VALUE!</v>
      </c>
    </row>
    <row r="4288" spans="1:8" hidden="1" x14ac:dyDescent="0.3">
      <c r="A4288" t="s">
        <v>34</v>
      </c>
      <c r="B4288">
        <v>2017</v>
      </c>
      <c r="C4288" t="s">
        <v>38</v>
      </c>
      <c r="D4288" t="s">
        <v>23</v>
      </c>
      <c r="E4288" t="e">
        <f>VLOOKUP(Cpi_[[#This Row],[Attribute]],#REF!,2,FALSE)</f>
        <v>#REF!</v>
      </c>
      <c r="F4288">
        <v>128.4</v>
      </c>
      <c r="G4288">
        <f>(Cpi_[[#This Row],[Value]]-F4287)/F4287</f>
        <v>-1.9098548510313215E-2</v>
      </c>
      <c r="H4288" t="e" cm="1" vm="1">
        <f t="array" aca="1" ref="H4288" ca="1">VLOOKUP(Cpi_[[#This Row],[Year]:[Month]],crudeoil[],3,FALSE)</f>
        <v>#VALUE!</v>
      </c>
    </row>
    <row r="4289" spans="1:8" hidden="1" x14ac:dyDescent="0.3">
      <c r="A4289" t="s">
        <v>34</v>
      </c>
      <c r="B4289">
        <v>2017</v>
      </c>
      <c r="C4289" t="s">
        <v>38</v>
      </c>
      <c r="D4289" t="s">
        <v>24</v>
      </c>
      <c r="E4289" t="e">
        <f>VLOOKUP(Cpi_[[#This Row],[Attribute]],#REF!,2,FALSE)</f>
        <v>#REF!</v>
      </c>
      <c r="F4289">
        <v>116.7</v>
      </c>
      <c r="G4289">
        <f>(Cpi_[[#This Row],[Value]]-F4288)/F4288</f>
        <v>-9.1121495327102828E-2</v>
      </c>
      <c r="H4289" t="e" cm="1" vm="1">
        <f t="array" aca="1" ref="H4289" ca="1">VLOOKUP(Cpi_[[#This Row],[Year]:[Month]],crudeoil[],3,FALSE)</f>
        <v>#VALUE!</v>
      </c>
    </row>
    <row r="4290" spans="1:8" hidden="1" x14ac:dyDescent="0.3">
      <c r="A4290" t="s">
        <v>34</v>
      </c>
      <c r="B4290">
        <v>2017</v>
      </c>
      <c r="C4290" t="s">
        <v>38</v>
      </c>
      <c r="D4290" t="s">
        <v>25</v>
      </c>
      <c r="E4290" t="e">
        <f>VLOOKUP(Cpi_[[#This Row],[Attribute]],#REF!,2,FALSE)</f>
        <v>#REF!</v>
      </c>
      <c r="F4290">
        <v>125.7</v>
      </c>
      <c r="G4290">
        <f>(Cpi_[[#This Row],[Value]]-F4289)/F4289</f>
        <v>7.7120822622107968E-2</v>
      </c>
      <c r="H4290" t="e" cm="1" vm="1">
        <f t="array" aca="1" ref="H4290" ca="1">VLOOKUP(Cpi_[[#This Row],[Year]:[Month]],crudeoil[],3,FALSE)</f>
        <v>#VALUE!</v>
      </c>
    </row>
    <row r="4291" spans="1:8" hidden="1" x14ac:dyDescent="0.3">
      <c r="A4291" t="s">
        <v>34</v>
      </c>
      <c r="B4291">
        <v>2017</v>
      </c>
      <c r="C4291" t="s">
        <v>38</v>
      </c>
      <c r="D4291" t="s">
        <v>26</v>
      </c>
      <c r="E4291" t="e">
        <f>VLOOKUP(Cpi_[[#This Row],[Attribute]],#REF!,2,FALSE)</f>
        <v>#REF!</v>
      </c>
      <c r="F4291">
        <v>134.80000000000001</v>
      </c>
      <c r="G4291">
        <f>(Cpi_[[#This Row],[Value]]-F4290)/F4290</f>
        <v>7.2394590294351691E-2</v>
      </c>
      <c r="H4291" t="e" cm="1" vm="1">
        <f t="array" aca="1" ref="H4291" ca="1">VLOOKUP(Cpi_[[#This Row],[Year]:[Month]],crudeoil[],3,FALSE)</f>
        <v>#VALUE!</v>
      </c>
    </row>
    <row r="4292" spans="1:8" hidden="1" x14ac:dyDescent="0.3">
      <c r="A4292" t="s">
        <v>34</v>
      </c>
      <c r="B4292">
        <v>2017</v>
      </c>
      <c r="C4292" t="s">
        <v>38</v>
      </c>
      <c r="D4292" t="s">
        <v>27</v>
      </c>
      <c r="E4292" t="e">
        <f>VLOOKUP(Cpi_[[#This Row],[Attribute]],#REF!,2,FALSE)</f>
        <v>#REF!</v>
      </c>
      <c r="F4292">
        <v>123</v>
      </c>
      <c r="G4292">
        <f>(Cpi_[[#This Row],[Value]]-F4291)/F4291</f>
        <v>-8.7537091988130644E-2</v>
      </c>
      <c r="H4292" t="e" cm="1" vm="1">
        <f t="array" aca="1" ref="H4292" ca="1">VLOOKUP(Cpi_[[#This Row],[Year]:[Month]],crudeoil[],3,FALSE)</f>
        <v>#VALUE!</v>
      </c>
    </row>
    <row r="4293" spans="1:8" hidden="1" x14ac:dyDescent="0.3">
      <c r="A4293" t="s">
        <v>34</v>
      </c>
      <c r="B4293">
        <v>2017</v>
      </c>
      <c r="C4293" t="s">
        <v>38</v>
      </c>
      <c r="D4293" t="s">
        <v>28</v>
      </c>
      <c r="E4293" t="e">
        <f>VLOOKUP(Cpi_[[#This Row],[Attribute]],#REF!,2,FALSE)</f>
        <v>#REF!</v>
      </c>
      <c r="F4293">
        <v>125.3</v>
      </c>
      <c r="G4293">
        <f>(Cpi_[[#This Row],[Value]]-F4292)/F4292</f>
        <v>1.8699186991869895E-2</v>
      </c>
      <c r="H4293" t="e" cm="1" vm="1">
        <f t="array" aca="1" ref="H4293" ca="1">VLOOKUP(Cpi_[[#This Row],[Year]:[Month]],crudeoil[],3,FALSE)</f>
        <v>#VALUE!</v>
      </c>
    </row>
    <row r="4294" spans="1:8" hidden="1" x14ac:dyDescent="0.3">
      <c r="A4294" t="s">
        <v>34</v>
      </c>
      <c r="B4294">
        <v>2017</v>
      </c>
      <c r="C4294" t="s">
        <v>38</v>
      </c>
      <c r="D4294" t="s">
        <v>29</v>
      </c>
      <c r="E4294" t="e" cm="1">
        <f t="array" aca="1" ref="E4294" ca="1">VLGeneral indexGeneral indexKUP(Cpi_[[#This Row],[Attribute]],#REF!,2,FALSE)</f>
        <v>#NAME?</v>
      </c>
      <c r="F4294">
        <v>131.4</v>
      </c>
      <c r="G4294">
        <f>(Cpi_[[#This Row],[Value]]-F4293)/F4293</f>
        <v>4.8683160415004062E-2</v>
      </c>
      <c r="H4294" t="e" cm="1" vm="1">
        <f t="array" aca="1" ref="H4294" ca="1">VLOOKUP(Cpi_[[#This Row],[Year]:[Month]],crudeoil[],3,FALSE)</f>
        <v>#VALUE!</v>
      </c>
    </row>
    <row r="4295" spans="1:8" hidden="1" x14ac:dyDescent="0.3">
      <c r="A4295" t="s">
        <v>30</v>
      </c>
      <c r="B4295">
        <v>2017</v>
      </c>
      <c r="C4295" t="s">
        <v>39</v>
      </c>
      <c r="D4295" t="s">
        <v>3</v>
      </c>
      <c r="E4295" t="e">
        <f>VLOOKUP(Cpi_[[#This Row],[Attribute]],#REF!,2,FALSE)</f>
        <v>#REF!</v>
      </c>
      <c r="F4295">
        <v>133.5</v>
      </c>
      <c r="G4295">
        <f>(Cpi_[[#This Row],[Value]]-F4294)/F4294</f>
        <v>1.5981735159817309E-2</v>
      </c>
      <c r="H4295" t="e" cm="1" vm="1">
        <f t="array" aca="1" ref="H4295" ca="1">VLOOKUP(Cpi_[[#This Row],[Year]:[Month]],crudeoil[],3,FALSE)</f>
        <v>#VALUE!</v>
      </c>
    </row>
    <row r="4296" spans="1:8" hidden="1" x14ac:dyDescent="0.3">
      <c r="A4296" t="s">
        <v>30</v>
      </c>
      <c r="B4296">
        <v>2017</v>
      </c>
      <c r="C4296" t="s">
        <v>39</v>
      </c>
      <c r="D4296" t="s">
        <v>4</v>
      </c>
      <c r="E4296" t="e">
        <f>VLOOKUP(Cpi_[[#This Row],[Attribute]],#REF!,2,FALSE)</f>
        <v>#REF!</v>
      </c>
      <c r="F4296">
        <v>143.69999999999999</v>
      </c>
      <c r="G4296">
        <f>(Cpi_[[#This Row],[Value]]-F4295)/F4295</f>
        <v>7.6404494382022389E-2</v>
      </c>
      <c r="H4296" t="e" cm="1" vm="1">
        <f t="array" aca="1" ref="H4296" ca="1">VLOOKUP(Cpi_[[#This Row],[Year]:[Month]],crudeoil[],3,FALSE)</f>
        <v>#VALUE!</v>
      </c>
    </row>
    <row r="4297" spans="1:8" hidden="1" x14ac:dyDescent="0.3">
      <c r="A4297" t="s">
        <v>30</v>
      </c>
      <c r="B4297">
        <v>2017</v>
      </c>
      <c r="C4297" t="s">
        <v>39</v>
      </c>
      <c r="D4297" t="s">
        <v>5</v>
      </c>
      <c r="E4297" t="e">
        <f>VLOOKUP(Cpi_[[#This Row],[Attribute]],#REF!,2,FALSE)</f>
        <v>#REF!</v>
      </c>
      <c r="F4297">
        <v>128</v>
      </c>
      <c r="G4297">
        <f>(Cpi_[[#This Row],[Value]]-F4296)/F4296</f>
        <v>-0.10925539318023654</v>
      </c>
      <c r="H4297" t="e" cm="1" vm="1">
        <f t="array" aca="1" ref="H4297" ca="1">VLOOKUP(Cpi_[[#This Row],[Year]:[Month]],crudeoil[],3,FALSE)</f>
        <v>#VALUE!</v>
      </c>
    </row>
    <row r="4298" spans="1:8" hidden="1" x14ac:dyDescent="0.3">
      <c r="A4298" t="s">
        <v>30</v>
      </c>
      <c r="B4298">
        <v>2017</v>
      </c>
      <c r="C4298" t="s">
        <v>39</v>
      </c>
      <c r="D4298" t="s">
        <v>6</v>
      </c>
      <c r="E4298" t="e">
        <f>VLOOKUP(Cpi_[[#This Row],[Attribute]],#REF!,2,FALSE)</f>
        <v>#REF!</v>
      </c>
      <c r="F4298">
        <v>138.6</v>
      </c>
      <c r="G4298">
        <f>(Cpi_[[#This Row],[Value]]-F4297)/F4297</f>
        <v>8.2812499999999956E-2</v>
      </c>
      <c r="H4298" t="e" cm="1" vm="1">
        <f t="array" aca="1" ref="H4298" ca="1">VLOOKUP(Cpi_[[#This Row],[Year]:[Month]],crudeoil[],3,FALSE)</f>
        <v>#VALUE!</v>
      </c>
    </row>
    <row r="4299" spans="1:8" hidden="1" x14ac:dyDescent="0.3">
      <c r="A4299" t="s">
        <v>30</v>
      </c>
      <c r="B4299">
        <v>2017</v>
      </c>
      <c r="C4299" t="s">
        <v>39</v>
      </c>
      <c r="D4299" t="s">
        <v>7</v>
      </c>
      <c r="E4299" t="e">
        <f>VLOOKUP(Cpi_[[#This Row],[Attribute]],#REF!,2,FALSE)</f>
        <v>#REF!</v>
      </c>
      <c r="F4299">
        <v>120.9</v>
      </c>
      <c r="G4299">
        <f>(Cpi_[[#This Row],[Value]]-F4298)/F4298</f>
        <v>-0.12770562770562763</v>
      </c>
      <c r="H4299" t="e" cm="1" vm="1">
        <f t="array" aca="1" ref="H4299" ca="1">VLOOKUP(Cpi_[[#This Row],[Year]:[Month]],crudeoil[],3,FALSE)</f>
        <v>#VALUE!</v>
      </c>
    </row>
    <row r="4300" spans="1:8" hidden="1" x14ac:dyDescent="0.3">
      <c r="A4300" t="s">
        <v>30</v>
      </c>
      <c r="B4300">
        <v>2017</v>
      </c>
      <c r="C4300" t="s">
        <v>39</v>
      </c>
      <c r="D4300" t="s">
        <v>8</v>
      </c>
      <c r="E4300" t="e">
        <f>VLOOKUP(Cpi_[[#This Row],[Attribute]],#REF!,2,FALSE)</f>
        <v>#REF!</v>
      </c>
      <c r="F4300">
        <v>140.9</v>
      </c>
      <c r="G4300">
        <f>(Cpi_[[#This Row],[Value]]-F4299)/F4299</f>
        <v>0.16542597187758476</v>
      </c>
      <c r="H4300" t="e" cm="1" vm="1">
        <f t="array" aca="1" ref="H4300" ca="1">VLOOKUP(Cpi_[[#This Row],[Year]:[Month]],crudeoil[],3,FALSE)</f>
        <v>#VALUE!</v>
      </c>
    </row>
    <row r="4301" spans="1:8" hidden="1" x14ac:dyDescent="0.3">
      <c r="A4301" t="s">
        <v>30</v>
      </c>
      <c r="B4301">
        <v>2017</v>
      </c>
      <c r="C4301" t="s">
        <v>39</v>
      </c>
      <c r="D4301" t="s">
        <v>9</v>
      </c>
      <c r="E4301" t="e">
        <f>VLOOKUP(Cpi_[[#This Row],[Attribute]],#REF!,2,FALSE)</f>
        <v>#REF!</v>
      </c>
      <c r="F4301">
        <v>128.80000000000001</v>
      </c>
      <c r="G4301">
        <f>(Cpi_[[#This Row],[Value]]-F4300)/F4300</f>
        <v>-8.5876508161816842E-2</v>
      </c>
      <c r="H4301" t="e" cm="1" vm="1">
        <f t="array" aca="1" ref="H4301" ca="1">VLOOKUP(Cpi_[[#This Row],[Year]:[Month]],crudeoil[],3,FALSE)</f>
        <v>#VALUE!</v>
      </c>
    </row>
    <row r="4302" spans="1:8" hidden="1" x14ac:dyDescent="0.3">
      <c r="A4302" t="s">
        <v>30</v>
      </c>
      <c r="B4302">
        <v>2017</v>
      </c>
      <c r="C4302" t="s">
        <v>39</v>
      </c>
      <c r="D4302" t="s">
        <v>10</v>
      </c>
      <c r="E4302" t="e">
        <f>VLOOKUP(Cpi_[[#This Row],[Attribute]],#REF!,2,FALSE)</f>
        <v>#REF!</v>
      </c>
      <c r="F4302">
        <v>140.19999999999999</v>
      </c>
      <c r="G4302">
        <f>(Cpi_[[#This Row],[Value]]-F4301)/F4301</f>
        <v>8.8509316770186156E-2</v>
      </c>
      <c r="H4302" t="e" cm="1" vm="1">
        <f t="array" aca="1" ref="H4302" ca="1">VLOOKUP(Cpi_[[#This Row],[Year]:[Month]],crudeoil[],3,FALSE)</f>
        <v>#VALUE!</v>
      </c>
    </row>
    <row r="4303" spans="1:8" hidden="1" x14ac:dyDescent="0.3">
      <c r="A4303" t="s">
        <v>30</v>
      </c>
      <c r="B4303">
        <v>2017</v>
      </c>
      <c r="C4303" t="s">
        <v>39</v>
      </c>
      <c r="D4303" t="s">
        <v>11</v>
      </c>
      <c r="E4303" t="e">
        <f>VLOOKUP(Cpi_[[#This Row],[Attribute]],#REF!,2,FALSE)</f>
        <v>#REF!</v>
      </c>
      <c r="F4303">
        <v>118.9</v>
      </c>
      <c r="G4303">
        <f>(Cpi_[[#This Row],[Value]]-F4302)/F4302</f>
        <v>-0.15192582025677592</v>
      </c>
      <c r="H4303" t="e" cm="1" vm="1">
        <f t="array" aca="1" ref="H4303" ca="1">VLOOKUP(Cpi_[[#This Row],[Year]:[Month]],crudeoil[],3,FALSE)</f>
        <v>#VALUE!</v>
      </c>
    </row>
    <row r="4304" spans="1:8" hidden="1" x14ac:dyDescent="0.3">
      <c r="A4304" t="s">
        <v>30</v>
      </c>
      <c r="B4304">
        <v>2017</v>
      </c>
      <c r="C4304" t="s">
        <v>39</v>
      </c>
      <c r="D4304" t="s">
        <v>12</v>
      </c>
      <c r="E4304" t="e">
        <f>VLOOKUP(Cpi_[[#This Row],[Attribute]],#REF!,2,FALSE)</f>
        <v>#REF!</v>
      </c>
      <c r="F4304">
        <v>133.5</v>
      </c>
      <c r="G4304">
        <f>(Cpi_[[#This Row],[Value]]-F4303)/F4303</f>
        <v>0.12279226240538262</v>
      </c>
      <c r="H4304" t="e" cm="1" vm="1">
        <f t="array" aca="1" ref="H4304" ca="1">VLOOKUP(Cpi_[[#This Row],[Year]:[Month]],crudeoil[],3,FALSE)</f>
        <v>#VALUE!</v>
      </c>
    </row>
    <row r="4305" spans="1:8" hidden="1" x14ac:dyDescent="0.3">
      <c r="A4305" t="s">
        <v>30</v>
      </c>
      <c r="B4305">
        <v>2017</v>
      </c>
      <c r="C4305" t="s">
        <v>39</v>
      </c>
      <c r="D4305" t="s">
        <v>13</v>
      </c>
      <c r="E4305" t="e">
        <f>VLOOKUP(Cpi_[[#This Row],[Attribute]],#REF!,2,FALSE)</f>
        <v>#REF!</v>
      </c>
      <c r="F4305">
        <v>130.4</v>
      </c>
      <c r="G4305">
        <f>(Cpi_[[#This Row],[Value]]-F4304)/F4304</f>
        <v>-2.3220973782771492E-2</v>
      </c>
      <c r="H4305" t="e" cm="1" vm="1">
        <f t="array" aca="1" ref="H4305" ca="1">VLOOKUP(Cpi_[[#This Row],[Year]:[Month]],crudeoil[],3,FALSE)</f>
        <v>#VALUE!</v>
      </c>
    </row>
    <row r="4306" spans="1:8" hidden="1" x14ac:dyDescent="0.3">
      <c r="A4306" t="s">
        <v>30</v>
      </c>
      <c r="B4306">
        <v>2017</v>
      </c>
      <c r="C4306" t="s">
        <v>39</v>
      </c>
      <c r="D4306" t="s">
        <v>14</v>
      </c>
      <c r="E4306" t="e">
        <f>VLOOKUP(Cpi_[[#This Row],[Attribute]],#REF!,2,FALSE)</f>
        <v>#REF!</v>
      </c>
      <c r="F4306">
        <v>146.5</v>
      </c>
      <c r="G4306">
        <f>(Cpi_[[#This Row],[Value]]-F4305)/F4305</f>
        <v>0.12346625766871161</v>
      </c>
      <c r="H4306" t="e" cm="1" vm="1">
        <f t="array" aca="1" ref="H4306" ca="1">VLOOKUP(Cpi_[[#This Row],[Year]:[Month]],crudeoil[],3,FALSE)</f>
        <v>#VALUE!</v>
      </c>
    </row>
    <row r="4307" spans="1:8" hidden="1" x14ac:dyDescent="0.3">
      <c r="A4307" t="s">
        <v>30</v>
      </c>
      <c r="B4307">
        <v>2017</v>
      </c>
      <c r="C4307" t="s">
        <v>39</v>
      </c>
      <c r="D4307" t="s">
        <v>15</v>
      </c>
      <c r="E4307" t="e">
        <f>VLOOKUP(Cpi_[[#This Row],[Attribute]],#REF!,2,FALSE)</f>
        <v>#REF!</v>
      </c>
      <c r="F4307">
        <v>134.9</v>
      </c>
      <c r="G4307">
        <f>(Cpi_[[#This Row],[Value]]-F4306)/F4306</f>
        <v>-7.918088737201362E-2</v>
      </c>
      <c r="H4307" t="e" cm="1" vm="1">
        <f t="array" aca="1" ref="H4307" ca="1">VLOOKUP(Cpi_[[#This Row],[Year]:[Month]],crudeoil[],3,FALSE)</f>
        <v>#VALUE!</v>
      </c>
    </row>
    <row r="4308" spans="1:8" hidden="1" x14ac:dyDescent="0.3">
      <c r="A4308" t="s">
        <v>30</v>
      </c>
      <c r="B4308">
        <v>2017</v>
      </c>
      <c r="C4308" t="s">
        <v>39</v>
      </c>
      <c r="D4308" t="s">
        <v>16</v>
      </c>
      <c r="E4308" t="e">
        <f>VLOOKUP(Cpi_[[#This Row],[Attribute]],#REF!,2,FALSE)</f>
        <v>#REF!</v>
      </c>
      <c r="F4308">
        <v>145.80000000000001</v>
      </c>
      <c r="G4308">
        <f>(Cpi_[[#This Row],[Value]]-F4307)/F4307</f>
        <v>8.0800593031875506E-2</v>
      </c>
      <c r="H4308" t="e" cm="1" vm="1">
        <f t="array" aca="1" ref="H4308" ca="1">VLOOKUP(Cpi_[[#This Row],[Year]:[Month]],crudeoil[],3,FALSE)</f>
        <v>#VALUE!</v>
      </c>
    </row>
    <row r="4309" spans="1:8" hidden="1" x14ac:dyDescent="0.3">
      <c r="A4309" t="s">
        <v>30</v>
      </c>
      <c r="B4309">
        <v>2017</v>
      </c>
      <c r="C4309" t="s">
        <v>39</v>
      </c>
      <c r="D4309" t="s">
        <v>17</v>
      </c>
      <c r="E4309" t="e">
        <f>VLOOKUP(Cpi_[[#This Row],[Attribute]],#REF!,2,FALSE)</f>
        <v>#REF!</v>
      </c>
      <c r="F4309">
        <v>143.1</v>
      </c>
      <c r="G4309">
        <f>(Cpi_[[#This Row],[Value]]-F4308)/F4308</f>
        <v>-1.8518518518518635E-2</v>
      </c>
      <c r="H4309" t="e" cm="1" vm="1">
        <f t="array" aca="1" ref="H4309" ca="1">VLOOKUP(Cpi_[[#This Row],[Year]:[Month]],crudeoil[],3,FALSE)</f>
        <v>#VALUE!</v>
      </c>
    </row>
    <row r="4310" spans="1:8" hidden="1" x14ac:dyDescent="0.3">
      <c r="A4310" t="s">
        <v>30</v>
      </c>
      <c r="B4310">
        <v>2017</v>
      </c>
      <c r="C4310" t="s">
        <v>39</v>
      </c>
      <c r="D4310" t="s">
        <v>18</v>
      </c>
      <c r="E4310" t="e">
        <f>VLOOKUP(Cpi_[[#This Row],[Attribute]],#REF!,2,FALSE)</f>
        <v>#REF!</v>
      </c>
      <c r="F4310">
        <v>137.69999999999999</v>
      </c>
      <c r="G4310">
        <f>(Cpi_[[#This Row],[Value]]-F4309)/F4309</f>
        <v>-3.7735849056603814E-2</v>
      </c>
      <c r="H4310" t="e" cm="1" vm="1">
        <f t="array" aca="1" ref="H4310" ca="1">VLOOKUP(Cpi_[[#This Row],[Year]:[Month]],crudeoil[],3,FALSE)</f>
        <v>#VALUE!</v>
      </c>
    </row>
    <row r="4311" spans="1:8" hidden="1" x14ac:dyDescent="0.3">
      <c r="A4311" t="s">
        <v>30</v>
      </c>
      <c r="B4311">
        <v>2017</v>
      </c>
      <c r="C4311" t="s">
        <v>39</v>
      </c>
      <c r="D4311" t="s">
        <v>19</v>
      </c>
      <c r="E4311" t="e">
        <f>VLOOKUP(Cpi_[[#This Row],[Attribute]],#REF!,2,FALSE)</f>
        <v>#REF!</v>
      </c>
      <c r="F4311">
        <v>142.30000000000001</v>
      </c>
      <c r="G4311">
        <f>(Cpi_[[#This Row],[Value]]-F4310)/F4310</f>
        <v>3.3405954974582597E-2</v>
      </c>
      <c r="H4311" t="e" cm="1" vm="1">
        <f t="array" aca="1" ref="H4311" ca="1">VLOOKUP(Cpi_[[#This Row],[Year]:[Month]],crudeoil[],3,FALSE)</f>
        <v>#VALUE!</v>
      </c>
    </row>
    <row r="4312" spans="1:8" hidden="1" x14ac:dyDescent="0.3">
      <c r="A4312" t="s">
        <v>30</v>
      </c>
      <c r="B4312">
        <v>2017</v>
      </c>
      <c r="C4312" t="s">
        <v>39</v>
      </c>
      <c r="D4312" t="s">
        <v>20</v>
      </c>
      <c r="E4312" t="e">
        <f>VLOOKUP(Cpi_[[#This Row],[Attribute]],#REF!,2,FALSE)</f>
        <v>#REF!</v>
      </c>
      <c r="F4312" t="s">
        <v>32</v>
      </c>
      <c r="G4312" t="e">
        <f>(Cpi_[[#This Row],[Value]]-F4311)/F4311</f>
        <v>#VALUE!</v>
      </c>
      <c r="H4312" t="e" cm="1" vm="1">
        <f t="array" aca="1" ref="H4312" ca="1">VLOOKUP(Cpi_[[#This Row],[Year]:[Month]],crudeoil[],3,FALSE)</f>
        <v>#VALUE!</v>
      </c>
    </row>
    <row r="4313" spans="1:8" hidden="1" x14ac:dyDescent="0.3">
      <c r="A4313" t="s">
        <v>30</v>
      </c>
      <c r="B4313">
        <v>2017</v>
      </c>
      <c r="C4313" t="s">
        <v>39</v>
      </c>
      <c r="D4313" t="s">
        <v>21</v>
      </c>
      <c r="E4313" t="e">
        <f>VLOOKUP(Cpi_[[#This Row],[Attribute]],#REF!,2,FALSE)</f>
        <v>#REF!</v>
      </c>
      <c r="F4313">
        <v>134.80000000000001</v>
      </c>
      <c r="G4313" t="e">
        <f>(Cpi_[[#This Row],[Value]]-F4312)/F4312</f>
        <v>#VALUE!</v>
      </c>
      <c r="H4313" t="e" cm="1" vm="1">
        <f t="array" aca="1" ref="H4313" ca="1">VLOOKUP(Cpi_[[#This Row],[Year]:[Month]],crudeoil[],3,FALSE)</f>
        <v>#VALUE!</v>
      </c>
    </row>
    <row r="4314" spans="1:8" hidden="1" x14ac:dyDescent="0.3">
      <c r="A4314" t="s">
        <v>30</v>
      </c>
      <c r="B4314">
        <v>2017</v>
      </c>
      <c r="C4314" t="s">
        <v>39</v>
      </c>
      <c r="D4314" t="s">
        <v>22</v>
      </c>
      <c r="E4314" t="e">
        <f>VLOOKUP(Cpi_[[#This Row],[Attribute]],#REF!,2,FALSE)</f>
        <v>#REF!</v>
      </c>
      <c r="F4314">
        <v>135.19999999999999</v>
      </c>
      <c r="G4314">
        <f>(Cpi_[[#This Row],[Value]]-F4313)/F4313</f>
        <v>2.9673590504449348E-3</v>
      </c>
      <c r="H4314" t="e" cm="1" vm="1">
        <f t="array" aca="1" ref="H4314" ca="1">VLOOKUP(Cpi_[[#This Row],[Year]:[Month]],crudeoil[],3,FALSE)</f>
        <v>#VALUE!</v>
      </c>
    </row>
    <row r="4315" spans="1:8" hidden="1" x14ac:dyDescent="0.3">
      <c r="A4315" t="s">
        <v>30</v>
      </c>
      <c r="B4315">
        <v>2017</v>
      </c>
      <c r="C4315" t="s">
        <v>39</v>
      </c>
      <c r="D4315" t="s">
        <v>23</v>
      </c>
      <c r="E4315" t="e">
        <f>VLOOKUP(Cpi_[[#This Row],[Attribute]],#REF!,2,FALSE)</f>
        <v>#REF!</v>
      </c>
      <c r="F4315">
        <v>131.30000000000001</v>
      </c>
      <c r="G4315">
        <f>(Cpi_[[#This Row],[Value]]-F4314)/F4314</f>
        <v>-2.8846153846153681E-2</v>
      </c>
      <c r="H4315" t="e" cm="1" vm="1">
        <f t="array" aca="1" ref="H4315" ca="1">VLOOKUP(Cpi_[[#This Row],[Year]:[Month]],crudeoil[],3,FALSE)</f>
        <v>#VALUE!</v>
      </c>
    </row>
    <row r="4316" spans="1:8" hidden="1" x14ac:dyDescent="0.3">
      <c r="A4316" t="s">
        <v>30</v>
      </c>
      <c r="B4316">
        <v>2017</v>
      </c>
      <c r="C4316" t="s">
        <v>39</v>
      </c>
      <c r="D4316" t="s">
        <v>24</v>
      </c>
      <c r="E4316" t="e">
        <f>VLOOKUP(Cpi_[[#This Row],[Attribute]],#REF!,2,FALSE)</f>
        <v>#REF!</v>
      </c>
      <c r="F4316">
        <v>119.4</v>
      </c>
      <c r="G4316">
        <f>(Cpi_[[#This Row],[Value]]-F4315)/F4315</f>
        <v>-9.0632140137090672E-2</v>
      </c>
      <c r="H4316" t="e" cm="1" vm="1">
        <f t="array" aca="1" ref="H4316" ca="1">VLOOKUP(Cpi_[[#This Row],[Year]:[Month]],crudeoil[],3,FALSE)</f>
        <v>#VALUE!</v>
      </c>
    </row>
    <row r="4317" spans="1:8" hidden="1" x14ac:dyDescent="0.3">
      <c r="A4317" t="s">
        <v>30</v>
      </c>
      <c r="B4317">
        <v>2017</v>
      </c>
      <c r="C4317" t="s">
        <v>39</v>
      </c>
      <c r="D4317" t="s">
        <v>25</v>
      </c>
      <c r="E4317" t="e">
        <f>VLOOKUP(Cpi_[[#This Row],[Attribute]],#REF!,2,FALSE)</f>
        <v>#REF!</v>
      </c>
      <c r="F4317">
        <v>129.80000000000001</v>
      </c>
      <c r="G4317">
        <f>(Cpi_[[#This Row],[Value]]-F4316)/F4316</f>
        <v>8.71021775544389E-2</v>
      </c>
      <c r="H4317" t="e" cm="1" vm="1">
        <f t="array" aca="1" ref="H4317" ca="1">VLOOKUP(Cpi_[[#This Row],[Year]:[Month]],crudeoil[],3,FALSE)</f>
        <v>#VALUE!</v>
      </c>
    </row>
    <row r="4318" spans="1:8" hidden="1" x14ac:dyDescent="0.3">
      <c r="A4318" t="s">
        <v>30</v>
      </c>
      <c r="B4318">
        <v>2017</v>
      </c>
      <c r="C4318" t="s">
        <v>39</v>
      </c>
      <c r="D4318" t="s">
        <v>26</v>
      </c>
      <c r="E4318" t="e">
        <f>VLOOKUP(Cpi_[[#This Row],[Attribute]],#REF!,2,FALSE)</f>
        <v>#REF!</v>
      </c>
      <c r="F4318">
        <v>136.9</v>
      </c>
      <c r="G4318">
        <f>(Cpi_[[#This Row],[Value]]-F4317)/F4317</f>
        <v>5.4699537750385156E-2</v>
      </c>
      <c r="H4318" t="e" cm="1" vm="1">
        <f t="array" aca="1" ref="H4318" ca="1">VLOOKUP(Cpi_[[#This Row],[Year]:[Month]],crudeoil[],3,FALSE)</f>
        <v>#VALUE!</v>
      </c>
    </row>
    <row r="4319" spans="1:8" hidden="1" x14ac:dyDescent="0.3">
      <c r="A4319" t="s">
        <v>30</v>
      </c>
      <c r="B4319">
        <v>2017</v>
      </c>
      <c r="C4319" t="s">
        <v>39</v>
      </c>
      <c r="D4319" t="s">
        <v>27</v>
      </c>
      <c r="E4319" t="e">
        <f>VLOOKUP(Cpi_[[#This Row],[Attribute]],#REF!,2,FALSE)</f>
        <v>#REF!</v>
      </c>
      <c r="F4319">
        <v>124.1</v>
      </c>
      <c r="G4319">
        <f>(Cpi_[[#This Row],[Value]]-F4318)/F4318</f>
        <v>-9.3498904309715206E-2</v>
      </c>
      <c r="H4319" t="e" cm="1" vm="1">
        <f t="array" aca="1" ref="H4319" ca="1">VLOOKUP(Cpi_[[#This Row],[Year]:[Month]],crudeoil[],3,FALSE)</f>
        <v>#VALUE!</v>
      </c>
    </row>
    <row r="4320" spans="1:8" hidden="1" x14ac:dyDescent="0.3">
      <c r="A4320" t="s">
        <v>30</v>
      </c>
      <c r="B4320">
        <v>2017</v>
      </c>
      <c r="C4320" t="s">
        <v>39</v>
      </c>
      <c r="D4320" t="s">
        <v>28</v>
      </c>
      <c r="E4320" t="e">
        <f>VLOOKUP(Cpi_[[#This Row],[Attribute]],#REF!,2,FALSE)</f>
        <v>#REF!</v>
      </c>
      <c r="F4320">
        <v>128.1</v>
      </c>
      <c r="G4320">
        <f>(Cpi_[[#This Row],[Value]]-F4319)/F4319</f>
        <v>3.2232070910556007E-2</v>
      </c>
      <c r="H4320" t="e" cm="1" vm="1">
        <f t="array" aca="1" ref="H4320" ca="1">VLOOKUP(Cpi_[[#This Row],[Year]:[Month]],crudeoil[],3,FALSE)</f>
        <v>#VALUE!</v>
      </c>
    </row>
    <row r="4321" spans="1:8" hidden="1" x14ac:dyDescent="0.3">
      <c r="A4321" t="s">
        <v>30</v>
      </c>
      <c r="B4321">
        <v>2017</v>
      </c>
      <c r="C4321" t="s">
        <v>39</v>
      </c>
      <c r="D4321" t="s">
        <v>29</v>
      </c>
      <c r="E4321" t="e" cm="1">
        <f t="array" aca="1" ref="E4321" ca="1">VLGeneral indexGeneral indexKUP(Cpi_[[#This Row],[Attribute]],#REF!,2,FALSE)</f>
        <v>#NAME?</v>
      </c>
      <c r="F4321">
        <v>133.9</v>
      </c>
      <c r="G4321">
        <f>(Cpi_[[#This Row],[Value]]-F4320)/F4320</f>
        <v>4.5277127244340451E-2</v>
      </c>
      <c r="H4321" t="e" cm="1" vm="1">
        <f t="array" aca="1" ref="H4321" ca="1">VLOOKUP(Cpi_[[#This Row],[Year]:[Month]],crudeoil[],3,FALSE)</f>
        <v>#VALUE!</v>
      </c>
    </row>
    <row r="4322" spans="1:8" hidden="1" x14ac:dyDescent="0.3">
      <c r="A4322" t="s">
        <v>33</v>
      </c>
      <c r="B4322">
        <v>2017</v>
      </c>
      <c r="C4322" t="s">
        <v>39</v>
      </c>
      <c r="D4322" t="s">
        <v>3</v>
      </c>
      <c r="E4322" t="e">
        <f>VLOOKUP(Cpi_[[#This Row],[Attribute]],#REF!,2,FALSE)</f>
        <v>#REF!</v>
      </c>
      <c r="F4322">
        <v>132.9</v>
      </c>
      <c r="G4322">
        <f>(Cpi_[[#This Row],[Value]]-F4321)/F4321</f>
        <v>-7.4682598954443615E-3</v>
      </c>
      <c r="H4322" t="e" cm="1" vm="1">
        <f t="array" aca="1" ref="H4322" ca="1">VLOOKUP(Cpi_[[#This Row],[Year]:[Month]],crudeoil[],3,FALSE)</f>
        <v>#VALUE!</v>
      </c>
    </row>
    <row r="4323" spans="1:8" hidden="1" x14ac:dyDescent="0.3">
      <c r="A4323" t="s">
        <v>33</v>
      </c>
      <c r="B4323">
        <v>2017</v>
      </c>
      <c r="C4323" t="s">
        <v>39</v>
      </c>
      <c r="D4323" t="s">
        <v>4</v>
      </c>
      <c r="E4323" t="e">
        <f>VLOOKUP(Cpi_[[#This Row],[Attribute]],#REF!,2,FALSE)</f>
        <v>#REF!</v>
      </c>
      <c r="F4323">
        <v>148.69999999999999</v>
      </c>
      <c r="G4323">
        <f>(Cpi_[[#This Row],[Value]]-F4322)/F4322</f>
        <v>0.11888638073739641</v>
      </c>
      <c r="H4323" t="e" cm="1" vm="1">
        <f t="array" aca="1" ref="H4323" ca="1">VLOOKUP(Cpi_[[#This Row],[Year]:[Month]],crudeoil[],3,FALSE)</f>
        <v>#VALUE!</v>
      </c>
    </row>
    <row r="4324" spans="1:8" hidden="1" x14ac:dyDescent="0.3">
      <c r="A4324" t="s">
        <v>33</v>
      </c>
      <c r="B4324">
        <v>2017</v>
      </c>
      <c r="C4324" t="s">
        <v>39</v>
      </c>
      <c r="D4324" t="s">
        <v>5</v>
      </c>
      <c r="E4324" t="e">
        <f>VLOOKUP(Cpi_[[#This Row],[Attribute]],#REF!,2,FALSE)</f>
        <v>#REF!</v>
      </c>
      <c r="F4324">
        <v>128.30000000000001</v>
      </c>
      <c r="G4324">
        <f>(Cpi_[[#This Row],[Value]]-F4323)/F4323</f>
        <v>-0.13718897108271674</v>
      </c>
      <c r="H4324" t="e" cm="1" vm="1">
        <f t="array" aca="1" ref="H4324" ca="1">VLOOKUP(Cpi_[[#This Row],[Year]:[Month]],crudeoil[],3,FALSE)</f>
        <v>#VALUE!</v>
      </c>
    </row>
    <row r="4325" spans="1:8" hidden="1" x14ac:dyDescent="0.3">
      <c r="A4325" t="s">
        <v>33</v>
      </c>
      <c r="B4325">
        <v>2017</v>
      </c>
      <c r="C4325" t="s">
        <v>39</v>
      </c>
      <c r="D4325" t="s">
        <v>6</v>
      </c>
      <c r="E4325" t="e">
        <f>VLOOKUP(Cpi_[[#This Row],[Attribute]],#REF!,2,FALSE)</f>
        <v>#REF!</v>
      </c>
      <c r="F4325">
        <v>137.30000000000001</v>
      </c>
      <c r="G4325">
        <f>(Cpi_[[#This Row],[Value]]-F4324)/F4324</f>
        <v>7.0148090413094305E-2</v>
      </c>
      <c r="H4325" t="e" cm="1" vm="1">
        <f t="array" aca="1" ref="H4325" ca="1">VLOOKUP(Cpi_[[#This Row],[Year]:[Month]],crudeoil[],3,FALSE)</f>
        <v>#VALUE!</v>
      </c>
    </row>
    <row r="4326" spans="1:8" hidden="1" x14ac:dyDescent="0.3">
      <c r="A4326" t="s">
        <v>33</v>
      </c>
      <c r="B4326">
        <v>2017</v>
      </c>
      <c r="C4326" t="s">
        <v>39</v>
      </c>
      <c r="D4326" t="s">
        <v>7</v>
      </c>
      <c r="E4326" t="e">
        <f>VLOOKUP(Cpi_[[#This Row],[Attribute]],#REF!,2,FALSE)</f>
        <v>#REF!</v>
      </c>
      <c r="F4326">
        <v>113.5</v>
      </c>
      <c r="G4326">
        <f>(Cpi_[[#This Row],[Value]]-F4325)/F4325</f>
        <v>-0.17334304442825935</v>
      </c>
      <c r="H4326" t="e" cm="1" vm="1">
        <f t="array" aca="1" ref="H4326" ca="1">VLOOKUP(Cpi_[[#This Row],[Year]:[Month]],crudeoil[],3,FALSE)</f>
        <v>#VALUE!</v>
      </c>
    </row>
    <row r="4327" spans="1:8" hidden="1" x14ac:dyDescent="0.3">
      <c r="A4327" t="s">
        <v>33</v>
      </c>
      <c r="B4327">
        <v>2017</v>
      </c>
      <c r="C4327" t="s">
        <v>39</v>
      </c>
      <c r="D4327" t="s">
        <v>8</v>
      </c>
      <c r="E4327" t="e">
        <f>VLOOKUP(Cpi_[[#This Row],[Attribute]],#REF!,2,FALSE)</f>
        <v>#REF!</v>
      </c>
      <c r="F4327">
        <v>137.19999999999999</v>
      </c>
      <c r="G4327">
        <f>(Cpi_[[#This Row],[Value]]-F4326)/F4326</f>
        <v>0.20881057268722458</v>
      </c>
      <c r="H4327" t="e" cm="1" vm="1">
        <f t="array" aca="1" ref="H4327" ca="1">VLOOKUP(Cpi_[[#This Row],[Year]:[Month]],crudeoil[],3,FALSE)</f>
        <v>#VALUE!</v>
      </c>
    </row>
    <row r="4328" spans="1:8" hidden="1" x14ac:dyDescent="0.3">
      <c r="A4328" t="s">
        <v>33</v>
      </c>
      <c r="B4328">
        <v>2017</v>
      </c>
      <c r="C4328" t="s">
        <v>39</v>
      </c>
      <c r="D4328" t="s">
        <v>9</v>
      </c>
      <c r="E4328" t="e">
        <f>VLOOKUP(Cpi_[[#This Row],[Attribute]],#REF!,2,FALSE)</f>
        <v>#REF!</v>
      </c>
      <c r="F4328">
        <v>142.19999999999999</v>
      </c>
      <c r="G4328">
        <f>(Cpi_[[#This Row],[Value]]-F4327)/F4327</f>
        <v>3.6443148688046649E-2</v>
      </c>
      <c r="H4328" t="e" cm="1" vm="1">
        <f t="array" aca="1" ref="H4328" ca="1">VLOOKUP(Cpi_[[#This Row],[Year]:[Month]],crudeoil[],3,FALSE)</f>
        <v>#VALUE!</v>
      </c>
    </row>
    <row r="4329" spans="1:8" hidden="1" x14ac:dyDescent="0.3">
      <c r="A4329" t="s">
        <v>33</v>
      </c>
      <c r="B4329">
        <v>2017</v>
      </c>
      <c r="C4329" t="s">
        <v>39</v>
      </c>
      <c r="D4329" t="s">
        <v>10</v>
      </c>
      <c r="E4329" t="e">
        <f>VLOOKUP(Cpi_[[#This Row],[Attribute]],#REF!,2,FALSE)</f>
        <v>#REF!</v>
      </c>
      <c r="F4329">
        <v>128.19999999999999</v>
      </c>
      <c r="G4329">
        <f>(Cpi_[[#This Row],[Value]]-F4328)/F4328</f>
        <v>-9.8452883263009855E-2</v>
      </c>
      <c r="H4329" t="e" cm="1" vm="1">
        <f t="array" aca="1" ref="H4329" ca="1">VLOOKUP(Cpi_[[#This Row],[Year]:[Month]],crudeoil[],3,FALSE)</f>
        <v>#VALUE!</v>
      </c>
    </row>
    <row r="4330" spans="1:8" hidden="1" x14ac:dyDescent="0.3">
      <c r="A4330" t="s">
        <v>33</v>
      </c>
      <c r="B4330">
        <v>2017</v>
      </c>
      <c r="C4330" t="s">
        <v>39</v>
      </c>
      <c r="D4330" t="s">
        <v>11</v>
      </c>
      <c r="E4330" t="e">
        <f>VLOOKUP(Cpi_[[#This Row],[Attribute]],#REF!,2,FALSE)</f>
        <v>#REF!</v>
      </c>
      <c r="F4330">
        <v>120.9</v>
      </c>
      <c r="G4330">
        <f>(Cpi_[[#This Row],[Value]]-F4329)/F4329</f>
        <v>-5.6942277691107518E-2</v>
      </c>
      <c r="H4330" t="e" cm="1" vm="1">
        <f t="array" aca="1" ref="H4330" ca="1">VLOOKUP(Cpi_[[#This Row],[Year]:[Month]],crudeoil[],3,FALSE)</f>
        <v>#VALUE!</v>
      </c>
    </row>
    <row r="4331" spans="1:8" hidden="1" x14ac:dyDescent="0.3">
      <c r="A4331" t="s">
        <v>33</v>
      </c>
      <c r="B4331">
        <v>2017</v>
      </c>
      <c r="C4331" t="s">
        <v>39</v>
      </c>
      <c r="D4331" t="s">
        <v>12</v>
      </c>
      <c r="E4331" t="e">
        <f>VLOOKUP(Cpi_[[#This Row],[Attribute]],#REF!,2,FALSE)</f>
        <v>#REF!</v>
      </c>
      <c r="F4331">
        <v>138.80000000000001</v>
      </c>
      <c r="G4331">
        <f>(Cpi_[[#This Row],[Value]]-F4330)/F4330</f>
        <v>0.14805624483043842</v>
      </c>
      <c r="H4331" t="e" cm="1" vm="1">
        <f t="array" aca="1" ref="H4331" ca="1">VLOOKUP(Cpi_[[#This Row],[Year]:[Month]],crudeoil[],3,FALSE)</f>
        <v>#VALUE!</v>
      </c>
    </row>
    <row r="4332" spans="1:8" hidden="1" x14ac:dyDescent="0.3">
      <c r="A4332" t="s">
        <v>33</v>
      </c>
      <c r="B4332">
        <v>2017</v>
      </c>
      <c r="C4332" t="s">
        <v>39</v>
      </c>
      <c r="D4332" t="s">
        <v>13</v>
      </c>
      <c r="E4332" t="e">
        <f>VLOOKUP(Cpi_[[#This Row],[Attribute]],#REF!,2,FALSE)</f>
        <v>#REF!</v>
      </c>
      <c r="F4332">
        <v>124.2</v>
      </c>
      <c r="G4332">
        <f>(Cpi_[[#This Row],[Value]]-F4331)/F4331</f>
        <v>-0.10518731988472628</v>
      </c>
      <c r="H4332" t="e" cm="1" vm="1">
        <f t="array" aca="1" ref="H4332" ca="1">VLOOKUP(Cpi_[[#This Row],[Year]:[Month]],crudeoil[],3,FALSE)</f>
        <v>#VALUE!</v>
      </c>
    </row>
    <row r="4333" spans="1:8" hidden="1" x14ac:dyDescent="0.3">
      <c r="A4333" t="s">
        <v>33</v>
      </c>
      <c r="B4333">
        <v>2017</v>
      </c>
      <c r="C4333" t="s">
        <v>39</v>
      </c>
      <c r="D4333" t="s">
        <v>14</v>
      </c>
      <c r="E4333" t="e">
        <f>VLOOKUP(Cpi_[[#This Row],[Attribute]],#REF!,2,FALSE)</f>
        <v>#REF!</v>
      </c>
      <c r="F4333">
        <v>143.1</v>
      </c>
      <c r="G4333">
        <f>(Cpi_[[#This Row],[Value]]-F4332)/F4332</f>
        <v>0.15217391304347819</v>
      </c>
      <c r="H4333" t="e" cm="1" vm="1">
        <f t="array" aca="1" ref="H4333" ca="1">VLOOKUP(Cpi_[[#This Row],[Year]:[Month]],crudeoil[],3,FALSE)</f>
        <v>#VALUE!</v>
      </c>
    </row>
    <row r="4334" spans="1:8" hidden="1" x14ac:dyDescent="0.3">
      <c r="A4334" t="s">
        <v>33</v>
      </c>
      <c r="B4334">
        <v>2017</v>
      </c>
      <c r="C4334" t="s">
        <v>39</v>
      </c>
      <c r="D4334" t="s">
        <v>15</v>
      </c>
      <c r="E4334" t="e">
        <f>VLOOKUP(Cpi_[[#This Row],[Attribute]],#REF!,2,FALSE)</f>
        <v>#REF!</v>
      </c>
      <c r="F4334">
        <v>135.69999999999999</v>
      </c>
      <c r="G4334">
        <f>(Cpi_[[#This Row],[Value]]-F4333)/F4333</f>
        <v>-5.1712089447938543E-2</v>
      </c>
      <c r="H4334" t="e" cm="1" vm="1">
        <f t="array" aca="1" ref="H4334" ca="1">VLOOKUP(Cpi_[[#This Row],[Year]:[Month]],crudeoil[],3,FALSE)</f>
        <v>#VALUE!</v>
      </c>
    </row>
    <row r="4335" spans="1:8" hidden="1" x14ac:dyDescent="0.3">
      <c r="A4335" t="s">
        <v>33</v>
      </c>
      <c r="B4335">
        <v>2017</v>
      </c>
      <c r="C4335" t="s">
        <v>39</v>
      </c>
      <c r="D4335" t="s">
        <v>16</v>
      </c>
      <c r="E4335" t="e">
        <f>VLOOKUP(Cpi_[[#This Row],[Attribute]],#REF!,2,FALSE)</f>
        <v>#REF!</v>
      </c>
      <c r="F4335">
        <v>148.6</v>
      </c>
      <c r="G4335">
        <f>(Cpi_[[#This Row],[Value]]-F4334)/F4334</f>
        <v>9.5062638172439248E-2</v>
      </c>
      <c r="H4335" t="e" cm="1" vm="1">
        <f t="array" aca="1" ref="H4335" ca="1">VLOOKUP(Cpi_[[#This Row],[Year]:[Month]],crudeoil[],3,FALSE)</f>
        <v>#VALUE!</v>
      </c>
    </row>
    <row r="4336" spans="1:8" hidden="1" x14ac:dyDescent="0.3">
      <c r="A4336" t="s">
        <v>33</v>
      </c>
      <c r="B4336">
        <v>2017</v>
      </c>
      <c r="C4336" t="s">
        <v>39</v>
      </c>
      <c r="D4336" t="s">
        <v>17</v>
      </c>
      <c r="E4336" t="e">
        <f>VLOOKUP(Cpi_[[#This Row],[Attribute]],#REF!,2,FALSE)</f>
        <v>#REF!</v>
      </c>
      <c r="F4336">
        <v>131.5</v>
      </c>
      <c r="G4336">
        <f>(Cpi_[[#This Row],[Value]]-F4335)/F4335</f>
        <v>-0.11507402422611034</v>
      </c>
      <c r="H4336" t="e" cm="1" vm="1">
        <f t="array" aca="1" ref="H4336" ca="1">VLOOKUP(Cpi_[[#This Row],[Year]:[Month]],crudeoil[],3,FALSE)</f>
        <v>#VALUE!</v>
      </c>
    </row>
    <row r="4337" spans="1:8" hidden="1" x14ac:dyDescent="0.3">
      <c r="A4337" t="s">
        <v>33</v>
      </c>
      <c r="B4337">
        <v>2017</v>
      </c>
      <c r="C4337" t="s">
        <v>39</v>
      </c>
      <c r="D4337" t="s">
        <v>18</v>
      </c>
      <c r="E4337" t="e">
        <f>VLOOKUP(Cpi_[[#This Row],[Attribute]],#REF!,2,FALSE)</f>
        <v>#REF!</v>
      </c>
      <c r="F4337">
        <v>123.2</v>
      </c>
      <c r="G4337">
        <f>(Cpi_[[#This Row],[Value]]-F4336)/F4336</f>
        <v>-6.3117870722433439E-2</v>
      </c>
      <c r="H4337" t="e" cm="1" vm="1">
        <f t="array" aca="1" ref="H4337" ca="1">VLOOKUP(Cpi_[[#This Row],[Year]:[Month]],crudeoil[],3,FALSE)</f>
        <v>#VALUE!</v>
      </c>
    </row>
    <row r="4338" spans="1:8" hidden="1" x14ac:dyDescent="0.3">
      <c r="A4338" t="s">
        <v>33</v>
      </c>
      <c r="B4338">
        <v>2017</v>
      </c>
      <c r="C4338" t="s">
        <v>39</v>
      </c>
      <c r="D4338" t="s">
        <v>19</v>
      </c>
      <c r="E4338" t="e">
        <f>VLOOKUP(Cpi_[[#This Row],[Attribute]],#REF!,2,FALSE)</f>
        <v>#REF!</v>
      </c>
      <c r="F4338">
        <v>130.19999999999999</v>
      </c>
      <c r="G4338">
        <f>(Cpi_[[#This Row],[Value]]-F4337)/F4337</f>
        <v>5.6818181818181698E-2</v>
      </c>
      <c r="H4338" t="e" cm="1" vm="1">
        <f t="array" aca="1" ref="H4338" ca="1">VLOOKUP(Cpi_[[#This Row],[Year]:[Month]],crudeoil[],3,FALSE)</f>
        <v>#VALUE!</v>
      </c>
    </row>
    <row r="4339" spans="1:8" hidden="1" x14ac:dyDescent="0.3">
      <c r="A4339" t="s">
        <v>33</v>
      </c>
      <c r="B4339">
        <v>2017</v>
      </c>
      <c r="C4339" t="s">
        <v>39</v>
      </c>
      <c r="D4339" t="s">
        <v>20</v>
      </c>
      <c r="E4339" t="e">
        <f>VLOOKUP(Cpi_[[#This Row],[Attribute]],#REF!,2,FALSE)</f>
        <v>#REF!</v>
      </c>
      <c r="F4339">
        <v>131.4</v>
      </c>
      <c r="G4339">
        <f>(Cpi_[[#This Row],[Value]]-F4338)/F4338</f>
        <v>9.2165898617512839E-3</v>
      </c>
      <c r="H4339" t="e" cm="1" vm="1">
        <f t="array" aca="1" ref="H4339" ca="1">VLOOKUP(Cpi_[[#This Row],[Year]:[Month]],crudeoil[],3,FALSE)</f>
        <v>#VALUE!</v>
      </c>
    </row>
    <row r="4340" spans="1:8" hidden="1" x14ac:dyDescent="0.3">
      <c r="A4340" t="s">
        <v>33</v>
      </c>
      <c r="B4340">
        <v>2017</v>
      </c>
      <c r="C4340" t="s">
        <v>39</v>
      </c>
      <c r="D4340" t="s">
        <v>21</v>
      </c>
      <c r="E4340" t="e">
        <f>VLOOKUP(Cpi_[[#This Row],[Attribute]],#REF!,2,FALSE)</f>
        <v>#REF!</v>
      </c>
      <c r="F4340">
        <v>119</v>
      </c>
      <c r="G4340">
        <f>(Cpi_[[#This Row],[Value]]-F4339)/F4339</f>
        <v>-9.4368340943683446E-2</v>
      </c>
      <c r="H4340" t="e" cm="1" vm="1">
        <f t="array" aca="1" ref="H4340" ca="1">VLOOKUP(Cpi_[[#This Row],[Year]:[Month]],crudeoil[],3,FALSE)</f>
        <v>#VALUE!</v>
      </c>
    </row>
    <row r="4341" spans="1:8" hidden="1" x14ac:dyDescent="0.3">
      <c r="A4341" t="s">
        <v>33</v>
      </c>
      <c r="B4341">
        <v>2017</v>
      </c>
      <c r="C4341" t="s">
        <v>39</v>
      </c>
      <c r="D4341" t="s">
        <v>22</v>
      </c>
      <c r="E4341" t="e">
        <f>VLOOKUP(Cpi_[[#This Row],[Attribute]],#REF!,2,FALSE)</f>
        <v>#REF!</v>
      </c>
      <c r="F4341">
        <v>126.8</v>
      </c>
      <c r="G4341">
        <f>(Cpi_[[#This Row],[Value]]-F4340)/F4340</f>
        <v>6.5546218487394933E-2</v>
      </c>
      <c r="H4341" t="e" cm="1" vm="1">
        <f t="array" aca="1" ref="H4341" ca="1">VLOOKUP(Cpi_[[#This Row],[Year]:[Month]],crudeoil[],3,FALSE)</f>
        <v>#VALUE!</v>
      </c>
    </row>
    <row r="4342" spans="1:8" hidden="1" x14ac:dyDescent="0.3">
      <c r="A4342" t="s">
        <v>33</v>
      </c>
      <c r="B4342">
        <v>2017</v>
      </c>
      <c r="C4342" t="s">
        <v>39</v>
      </c>
      <c r="D4342" t="s">
        <v>23</v>
      </c>
      <c r="E4342" t="e">
        <f>VLOOKUP(Cpi_[[#This Row],[Attribute]],#REF!,2,FALSE)</f>
        <v>#REF!</v>
      </c>
      <c r="F4342">
        <v>123.8</v>
      </c>
      <c r="G4342">
        <f>(Cpi_[[#This Row],[Value]]-F4341)/F4341</f>
        <v>-2.3659305993690854E-2</v>
      </c>
      <c r="H4342" t="e" cm="1" vm="1">
        <f t="array" aca="1" ref="H4342" ca="1">VLOOKUP(Cpi_[[#This Row],[Year]:[Month]],crudeoil[],3,FALSE)</f>
        <v>#VALUE!</v>
      </c>
    </row>
    <row r="4343" spans="1:8" hidden="1" x14ac:dyDescent="0.3">
      <c r="A4343" t="s">
        <v>33</v>
      </c>
      <c r="B4343">
        <v>2017</v>
      </c>
      <c r="C4343" t="s">
        <v>39</v>
      </c>
      <c r="D4343" t="s">
        <v>24</v>
      </c>
      <c r="E4343" t="e">
        <f>VLOOKUP(Cpi_[[#This Row],[Attribute]],#REF!,2,FALSE)</f>
        <v>#REF!</v>
      </c>
      <c r="F4343">
        <v>113.9</v>
      </c>
      <c r="G4343">
        <f>(Cpi_[[#This Row],[Value]]-F4342)/F4342</f>
        <v>-7.996768982229395E-2</v>
      </c>
      <c r="H4343" t="e" cm="1" vm="1">
        <f t="array" aca="1" ref="H4343" ca="1">VLOOKUP(Cpi_[[#This Row],[Year]:[Month]],crudeoil[],3,FALSE)</f>
        <v>#VALUE!</v>
      </c>
    </row>
    <row r="4344" spans="1:8" hidden="1" x14ac:dyDescent="0.3">
      <c r="A4344" t="s">
        <v>33</v>
      </c>
      <c r="B4344">
        <v>2017</v>
      </c>
      <c r="C4344" t="s">
        <v>39</v>
      </c>
      <c r="D4344" t="s">
        <v>25</v>
      </c>
      <c r="E4344" t="e">
        <f>VLOOKUP(Cpi_[[#This Row],[Attribute]],#REF!,2,FALSE)</f>
        <v>#REF!</v>
      </c>
      <c r="F4344">
        <v>122.9</v>
      </c>
      <c r="G4344">
        <f>(Cpi_[[#This Row],[Value]]-F4343)/F4343</f>
        <v>7.9016681299385425E-2</v>
      </c>
      <c r="H4344" t="e" cm="1" vm="1">
        <f t="array" aca="1" ref="H4344" ca="1">VLOOKUP(Cpi_[[#This Row],[Year]:[Month]],crudeoil[],3,FALSE)</f>
        <v>#VALUE!</v>
      </c>
    </row>
    <row r="4345" spans="1:8" hidden="1" x14ac:dyDescent="0.3">
      <c r="A4345" t="s">
        <v>33</v>
      </c>
      <c r="B4345">
        <v>2017</v>
      </c>
      <c r="C4345" t="s">
        <v>39</v>
      </c>
      <c r="D4345" t="s">
        <v>26</v>
      </c>
      <c r="E4345" t="e">
        <f>VLOOKUP(Cpi_[[#This Row],[Attribute]],#REF!,2,FALSE)</f>
        <v>#REF!</v>
      </c>
      <c r="F4345">
        <v>134.30000000000001</v>
      </c>
      <c r="G4345">
        <f>(Cpi_[[#This Row],[Value]]-F4344)/F4344</f>
        <v>9.275834011391379E-2</v>
      </c>
      <c r="H4345" t="e" cm="1" vm="1">
        <f t="array" aca="1" ref="H4345" ca="1">VLOOKUP(Cpi_[[#This Row],[Year]:[Month]],crudeoil[],3,FALSE)</f>
        <v>#VALUE!</v>
      </c>
    </row>
    <row r="4346" spans="1:8" hidden="1" x14ac:dyDescent="0.3">
      <c r="A4346" t="s">
        <v>33</v>
      </c>
      <c r="B4346">
        <v>2017</v>
      </c>
      <c r="C4346" t="s">
        <v>39</v>
      </c>
      <c r="D4346" t="s">
        <v>27</v>
      </c>
      <c r="E4346" t="e">
        <f>VLOOKUP(Cpi_[[#This Row],[Attribute]],#REF!,2,FALSE)</f>
        <v>#REF!</v>
      </c>
      <c r="F4346">
        <v>122.5</v>
      </c>
      <c r="G4346">
        <f>(Cpi_[[#This Row],[Value]]-F4345)/F4345</f>
        <v>-8.7862993298585337E-2</v>
      </c>
      <c r="H4346" t="e" cm="1" vm="1">
        <f t="array" aca="1" ref="H4346" ca="1">VLOOKUP(Cpi_[[#This Row],[Year]:[Month]],crudeoil[],3,FALSE)</f>
        <v>#VALUE!</v>
      </c>
    </row>
    <row r="4347" spans="1:8" hidden="1" x14ac:dyDescent="0.3">
      <c r="A4347" t="s">
        <v>33</v>
      </c>
      <c r="B4347">
        <v>2017</v>
      </c>
      <c r="C4347" t="s">
        <v>39</v>
      </c>
      <c r="D4347" t="s">
        <v>28</v>
      </c>
      <c r="E4347" t="e">
        <f>VLOOKUP(Cpi_[[#This Row],[Attribute]],#REF!,2,FALSE)</f>
        <v>#REF!</v>
      </c>
      <c r="F4347">
        <v>122.7</v>
      </c>
      <c r="G4347">
        <f>(Cpi_[[#This Row],[Value]]-F4346)/F4346</f>
        <v>1.6326530612245131E-3</v>
      </c>
      <c r="H4347" t="e" cm="1" vm="1">
        <f t="array" aca="1" ref="H4347" ca="1">VLOOKUP(Cpi_[[#This Row],[Year]:[Month]],crudeoil[],3,FALSE)</f>
        <v>#VALUE!</v>
      </c>
    </row>
    <row r="4348" spans="1:8" hidden="1" x14ac:dyDescent="0.3">
      <c r="A4348" t="s">
        <v>33</v>
      </c>
      <c r="B4348">
        <v>2017</v>
      </c>
      <c r="C4348" t="s">
        <v>39</v>
      </c>
      <c r="D4348" t="s">
        <v>29</v>
      </c>
      <c r="E4348" t="e" cm="1">
        <f t="array" aca="1" ref="E4348" ca="1">VLGeneral indexGeneral indexKUP(Cpi_[[#This Row],[Attribute]],#REF!,2,FALSE)</f>
        <v>#NAME?</v>
      </c>
      <c r="F4348">
        <v>129.9</v>
      </c>
      <c r="G4348">
        <f>(Cpi_[[#This Row],[Value]]-F4347)/F4347</f>
        <v>5.8679706601467013E-2</v>
      </c>
      <c r="H4348" t="e" cm="1" vm="1">
        <f t="array" aca="1" ref="H4348" ca="1">VLOOKUP(Cpi_[[#This Row],[Year]:[Month]],crudeoil[],3,FALSE)</f>
        <v>#VALUE!</v>
      </c>
    </row>
    <row r="4349" spans="1:8" hidden="1" x14ac:dyDescent="0.3">
      <c r="A4349" t="s">
        <v>34</v>
      </c>
      <c r="B4349">
        <v>2017</v>
      </c>
      <c r="C4349" t="s">
        <v>39</v>
      </c>
      <c r="D4349" t="s">
        <v>3</v>
      </c>
      <c r="E4349" t="e">
        <f>VLOOKUP(Cpi_[[#This Row],[Attribute]],#REF!,2,FALSE)</f>
        <v>#REF!</v>
      </c>
      <c r="F4349">
        <v>133.30000000000001</v>
      </c>
      <c r="G4349">
        <f>(Cpi_[[#This Row],[Value]]-F4348)/F4348</f>
        <v>2.6173979984603583E-2</v>
      </c>
      <c r="H4349" t="e" cm="1" vm="1">
        <f t="array" aca="1" ref="H4349" ca="1">VLOOKUP(Cpi_[[#This Row],[Year]:[Month]],crudeoil[],3,FALSE)</f>
        <v>#VALUE!</v>
      </c>
    </row>
    <row r="4350" spans="1:8" hidden="1" x14ac:dyDescent="0.3">
      <c r="A4350" t="s">
        <v>34</v>
      </c>
      <c r="B4350">
        <v>2017</v>
      </c>
      <c r="C4350" t="s">
        <v>39</v>
      </c>
      <c r="D4350" t="s">
        <v>4</v>
      </c>
      <c r="E4350" t="e">
        <f>VLOOKUP(Cpi_[[#This Row],[Attribute]],#REF!,2,FALSE)</f>
        <v>#REF!</v>
      </c>
      <c r="F4350">
        <v>145.5</v>
      </c>
      <c r="G4350">
        <f>(Cpi_[[#This Row],[Value]]-F4349)/F4349</f>
        <v>9.1522880720179958E-2</v>
      </c>
      <c r="H4350" t="e" cm="1" vm="1">
        <f t="array" aca="1" ref="H4350" ca="1">VLOOKUP(Cpi_[[#This Row],[Year]:[Month]],crudeoil[],3,FALSE)</f>
        <v>#VALUE!</v>
      </c>
    </row>
    <row r="4351" spans="1:8" hidden="1" x14ac:dyDescent="0.3">
      <c r="A4351" t="s">
        <v>34</v>
      </c>
      <c r="B4351">
        <v>2017</v>
      </c>
      <c r="C4351" t="s">
        <v>39</v>
      </c>
      <c r="D4351" t="s">
        <v>5</v>
      </c>
      <c r="E4351" t="e">
        <f>VLOOKUP(Cpi_[[#This Row],[Attribute]],#REF!,2,FALSE)</f>
        <v>#REF!</v>
      </c>
      <c r="F4351">
        <v>128.1</v>
      </c>
      <c r="G4351">
        <f>(Cpi_[[#This Row],[Value]]-F4350)/F4350</f>
        <v>-0.11958762886597941</v>
      </c>
      <c r="H4351" t="e" cm="1" vm="1">
        <f t="array" aca="1" ref="H4351" ca="1">VLOOKUP(Cpi_[[#This Row],[Year]:[Month]],crudeoil[],3,FALSE)</f>
        <v>#VALUE!</v>
      </c>
    </row>
    <row r="4352" spans="1:8" hidden="1" x14ac:dyDescent="0.3">
      <c r="A4352" t="s">
        <v>34</v>
      </c>
      <c r="B4352">
        <v>2017</v>
      </c>
      <c r="C4352" t="s">
        <v>39</v>
      </c>
      <c r="D4352" t="s">
        <v>6</v>
      </c>
      <c r="E4352" t="e">
        <f>VLOOKUP(Cpi_[[#This Row],[Attribute]],#REF!,2,FALSE)</f>
        <v>#REF!</v>
      </c>
      <c r="F4352">
        <v>138.1</v>
      </c>
      <c r="G4352">
        <f>(Cpi_[[#This Row],[Value]]-F4351)/F4351</f>
        <v>7.8064012490242002E-2</v>
      </c>
      <c r="H4352" t="e" cm="1" vm="1">
        <f t="array" aca="1" ref="H4352" ca="1">VLOOKUP(Cpi_[[#This Row],[Year]:[Month]],crudeoil[],3,FALSE)</f>
        <v>#VALUE!</v>
      </c>
    </row>
    <row r="4353" spans="1:8" hidden="1" x14ac:dyDescent="0.3">
      <c r="A4353" t="s">
        <v>34</v>
      </c>
      <c r="B4353">
        <v>2017</v>
      </c>
      <c r="C4353" t="s">
        <v>39</v>
      </c>
      <c r="D4353" t="s">
        <v>7</v>
      </c>
      <c r="E4353" t="e">
        <f>VLOOKUP(Cpi_[[#This Row],[Attribute]],#REF!,2,FALSE)</f>
        <v>#REF!</v>
      </c>
      <c r="F4353">
        <v>118.2</v>
      </c>
      <c r="G4353">
        <f>(Cpi_[[#This Row],[Value]]-F4352)/F4352</f>
        <v>-0.14409847936278053</v>
      </c>
      <c r="H4353" t="e" cm="1" vm="1">
        <f t="array" aca="1" ref="H4353" ca="1">VLOOKUP(Cpi_[[#This Row],[Year]:[Month]],crudeoil[],3,FALSE)</f>
        <v>#VALUE!</v>
      </c>
    </row>
    <row r="4354" spans="1:8" hidden="1" x14ac:dyDescent="0.3">
      <c r="A4354" t="s">
        <v>34</v>
      </c>
      <c r="B4354">
        <v>2017</v>
      </c>
      <c r="C4354" t="s">
        <v>39</v>
      </c>
      <c r="D4354" t="s">
        <v>8</v>
      </c>
      <c r="E4354" t="e">
        <f>VLOOKUP(Cpi_[[#This Row],[Attribute]],#REF!,2,FALSE)</f>
        <v>#REF!</v>
      </c>
      <c r="F4354">
        <v>139.19999999999999</v>
      </c>
      <c r="G4354">
        <f>(Cpi_[[#This Row],[Value]]-F4353)/F4353</f>
        <v>0.17766497461928921</v>
      </c>
      <c r="H4354" t="e" cm="1" vm="1">
        <f t="array" aca="1" ref="H4354" ca="1">VLOOKUP(Cpi_[[#This Row],[Year]:[Month]],crudeoil[],3,FALSE)</f>
        <v>#VALUE!</v>
      </c>
    </row>
    <row r="4355" spans="1:8" hidden="1" x14ac:dyDescent="0.3">
      <c r="A4355" t="s">
        <v>34</v>
      </c>
      <c r="B4355">
        <v>2017</v>
      </c>
      <c r="C4355" t="s">
        <v>39</v>
      </c>
      <c r="D4355" t="s">
        <v>9</v>
      </c>
      <c r="E4355" t="e">
        <f>VLOOKUP(Cpi_[[#This Row],[Attribute]],#REF!,2,FALSE)</f>
        <v>#REF!</v>
      </c>
      <c r="F4355">
        <v>133.30000000000001</v>
      </c>
      <c r="G4355">
        <f>(Cpi_[[#This Row],[Value]]-F4354)/F4354</f>
        <v>-4.2385057471264205E-2</v>
      </c>
      <c r="H4355" t="e" cm="1" vm="1">
        <f t="array" aca="1" ref="H4355" ca="1">VLOOKUP(Cpi_[[#This Row],[Year]:[Month]],crudeoil[],3,FALSE)</f>
        <v>#VALUE!</v>
      </c>
    </row>
    <row r="4356" spans="1:8" hidden="1" x14ac:dyDescent="0.3">
      <c r="A4356" t="s">
        <v>34</v>
      </c>
      <c r="B4356">
        <v>2017</v>
      </c>
      <c r="C4356" t="s">
        <v>39</v>
      </c>
      <c r="D4356" t="s">
        <v>10</v>
      </c>
      <c r="E4356" t="e">
        <f>VLOOKUP(Cpi_[[#This Row],[Attribute]],#REF!,2,FALSE)</f>
        <v>#REF!</v>
      </c>
      <c r="F4356">
        <v>136.19999999999999</v>
      </c>
      <c r="G4356">
        <f>(Cpi_[[#This Row],[Value]]-F4355)/F4355</f>
        <v>2.1755438859714756E-2</v>
      </c>
      <c r="H4356" t="e" cm="1" vm="1">
        <f t="array" aca="1" ref="H4356" ca="1">VLOOKUP(Cpi_[[#This Row],[Year]:[Month]],crudeoil[],3,FALSE)</f>
        <v>#VALUE!</v>
      </c>
    </row>
    <row r="4357" spans="1:8" hidden="1" x14ac:dyDescent="0.3">
      <c r="A4357" t="s">
        <v>34</v>
      </c>
      <c r="B4357">
        <v>2017</v>
      </c>
      <c r="C4357" t="s">
        <v>39</v>
      </c>
      <c r="D4357" t="s">
        <v>11</v>
      </c>
      <c r="E4357" t="e">
        <f>VLOOKUP(Cpi_[[#This Row],[Attribute]],#REF!,2,FALSE)</f>
        <v>#REF!</v>
      </c>
      <c r="F4357">
        <v>119.6</v>
      </c>
      <c r="G4357">
        <f>(Cpi_[[#This Row],[Value]]-F4356)/F4356</f>
        <v>-0.12187958883994122</v>
      </c>
      <c r="H4357" t="e" cm="1" vm="1">
        <f t="array" aca="1" ref="H4357" ca="1">VLOOKUP(Cpi_[[#This Row],[Year]:[Month]],crudeoil[],3,FALSE)</f>
        <v>#VALUE!</v>
      </c>
    </row>
    <row r="4358" spans="1:8" hidden="1" x14ac:dyDescent="0.3">
      <c r="A4358" t="s">
        <v>34</v>
      </c>
      <c r="B4358">
        <v>2017</v>
      </c>
      <c r="C4358" t="s">
        <v>39</v>
      </c>
      <c r="D4358" t="s">
        <v>12</v>
      </c>
      <c r="E4358" t="e">
        <f>VLOOKUP(Cpi_[[#This Row],[Attribute]],#REF!,2,FALSE)</f>
        <v>#REF!</v>
      </c>
      <c r="F4358">
        <v>135.30000000000001</v>
      </c>
      <c r="G4358">
        <f>(Cpi_[[#This Row],[Value]]-F4357)/F4357</f>
        <v>0.13127090301003361</v>
      </c>
      <c r="H4358" t="e" cm="1" vm="1">
        <f t="array" aca="1" ref="H4358" ca="1">VLOOKUP(Cpi_[[#This Row],[Year]:[Month]],crudeoil[],3,FALSE)</f>
        <v>#VALUE!</v>
      </c>
    </row>
    <row r="4359" spans="1:8" hidden="1" x14ac:dyDescent="0.3">
      <c r="A4359" t="s">
        <v>34</v>
      </c>
      <c r="B4359">
        <v>2017</v>
      </c>
      <c r="C4359" t="s">
        <v>39</v>
      </c>
      <c r="D4359" t="s">
        <v>13</v>
      </c>
      <c r="E4359" t="e">
        <f>VLOOKUP(Cpi_[[#This Row],[Attribute]],#REF!,2,FALSE)</f>
        <v>#REF!</v>
      </c>
      <c r="F4359">
        <v>127.8</v>
      </c>
      <c r="G4359">
        <f>(Cpi_[[#This Row],[Value]]-F4358)/F4358</f>
        <v>-5.5432372505543337E-2</v>
      </c>
      <c r="H4359" t="e" cm="1" vm="1">
        <f t="array" aca="1" ref="H4359" ca="1">VLOOKUP(Cpi_[[#This Row],[Year]:[Month]],crudeoil[],3,FALSE)</f>
        <v>#VALUE!</v>
      </c>
    </row>
    <row r="4360" spans="1:8" hidden="1" x14ac:dyDescent="0.3">
      <c r="A4360" t="s">
        <v>34</v>
      </c>
      <c r="B4360">
        <v>2017</v>
      </c>
      <c r="C4360" t="s">
        <v>39</v>
      </c>
      <c r="D4360" t="s">
        <v>14</v>
      </c>
      <c r="E4360" t="e">
        <f>VLOOKUP(Cpi_[[#This Row],[Attribute]],#REF!,2,FALSE)</f>
        <v>#REF!</v>
      </c>
      <c r="F4360">
        <v>144.9</v>
      </c>
      <c r="G4360">
        <f>(Cpi_[[#This Row],[Value]]-F4359)/F4359</f>
        <v>0.13380281690140852</v>
      </c>
      <c r="H4360" t="e" cm="1" vm="1">
        <f t="array" aca="1" ref="H4360" ca="1">VLOOKUP(Cpi_[[#This Row],[Year]:[Month]],crudeoil[],3,FALSE)</f>
        <v>#VALUE!</v>
      </c>
    </row>
    <row r="4361" spans="1:8" hidden="1" x14ac:dyDescent="0.3">
      <c r="A4361" t="s">
        <v>34</v>
      </c>
      <c r="B4361">
        <v>2017</v>
      </c>
      <c r="C4361" t="s">
        <v>39</v>
      </c>
      <c r="D4361" t="s">
        <v>15</v>
      </c>
      <c r="E4361" t="e">
        <f>VLOOKUP(Cpi_[[#This Row],[Attribute]],#REF!,2,FALSE)</f>
        <v>#REF!</v>
      </c>
      <c r="F4361">
        <v>135.19999999999999</v>
      </c>
      <c r="G4361">
        <f>(Cpi_[[#This Row],[Value]]-F4360)/F4360</f>
        <v>-6.6942719116632271E-2</v>
      </c>
      <c r="H4361" t="e" cm="1" vm="1">
        <f t="array" aca="1" ref="H4361" ca="1">VLOOKUP(Cpi_[[#This Row],[Year]:[Month]],crudeoil[],3,FALSE)</f>
        <v>#VALUE!</v>
      </c>
    </row>
    <row r="4362" spans="1:8" hidden="1" x14ac:dyDescent="0.3">
      <c r="A4362" t="s">
        <v>34</v>
      </c>
      <c r="B4362">
        <v>2017</v>
      </c>
      <c r="C4362" t="s">
        <v>39</v>
      </c>
      <c r="D4362" t="s">
        <v>16</v>
      </c>
      <c r="E4362" t="e">
        <f>VLOOKUP(Cpi_[[#This Row],[Attribute]],#REF!,2,FALSE)</f>
        <v>#REF!</v>
      </c>
      <c r="F4362">
        <v>146.5</v>
      </c>
      <c r="G4362">
        <f>(Cpi_[[#This Row],[Value]]-F4361)/F4361</f>
        <v>8.3579881656804828E-2</v>
      </c>
      <c r="H4362" t="e" cm="1" vm="1">
        <f t="array" aca="1" ref="H4362" ca="1">VLOOKUP(Cpi_[[#This Row],[Year]:[Month]],crudeoil[],3,FALSE)</f>
        <v>#VALUE!</v>
      </c>
    </row>
    <row r="4363" spans="1:8" hidden="1" x14ac:dyDescent="0.3">
      <c r="A4363" t="s">
        <v>34</v>
      </c>
      <c r="B4363">
        <v>2017</v>
      </c>
      <c r="C4363" t="s">
        <v>39</v>
      </c>
      <c r="D4363" t="s">
        <v>17</v>
      </c>
      <c r="E4363" t="e">
        <f>VLOOKUP(Cpi_[[#This Row],[Attribute]],#REF!,2,FALSE)</f>
        <v>#REF!</v>
      </c>
      <c r="F4363">
        <v>138.5</v>
      </c>
      <c r="G4363">
        <f>(Cpi_[[#This Row],[Value]]-F4362)/F4362</f>
        <v>-5.4607508532423209E-2</v>
      </c>
      <c r="H4363" t="e" cm="1" vm="1">
        <f t="array" aca="1" ref="H4363" ca="1">VLOOKUP(Cpi_[[#This Row],[Year]:[Month]],crudeoil[],3,FALSE)</f>
        <v>#VALUE!</v>
      </c>
    </row>
    <row r="4364" spans="1:8" hidden="1" x14ac:dyDescent="0.3">
      <c r="A4364" t="s">
        <v>34</v>
      </c>
      <c r="B4364">
        <v>2017</v>
      </c>
      <c r="C4364" t="s">
        <v>39</v>
      </c>
      <c r="D4364" t="s">
        <v>18</v>
      </c>
      <c r="E4364" t="e">
        <f>VLOOKUP(Cpi_[[#This Row],[Attribute]],#REF!,2,FALSE)</f>
        <v>#REF!</v>
      </c>
      <c r="F4364">
        <v>131.69999999999999</v>
      </c>
      <c r="G4364">
        <f>(Cpi_[[#This Row],[Value]]-F4363)/F4363</f>
        <v>-4.9097472924187806E-2</v>
      </c>
      <c r="H4364" t="e" cm="1" vm="1">
        <f t="array" aca="1" ref="H4364" ca="1">VLOOKUP(Cpi_[[#This Row],[Year]:[Month]],crudeoil[],3,FALSE)</f>
        <v>#VALUE!</v>
      </c>
    </row>
    <row r="4365" spans="1:8" hidden="1" x14ac:dyDescent="0.3">
      <c r="A4365" t="s">
        <v>34</v>
      </c>
      <c r="B4365">
        <v>2017</v>
      </c>
      <c r="C4365" t="s">
        <v>39</v>
      </c>
      <c r="D4365" t="s">
        <v>19</v>
      </c>
      <c r="E4365" t="e">
        <f>VLOOKUP(Cpi_[[#This Row],[Attribute]],#REF!,2,FALSE)</f>
        <v>#REF!</v>
      </c>
      <c r="F4365">
        <v>137.5</v>
      </c>
      <c r="G4365">
        <f>(Cpi_[[#This Row],[Value]]-F4364)/F4364</f>
        <v>4.4039483675019073E-2</v>
      </c>
      <c r="H4365" t="e" cm="1" vm="1">
        <f t="array" aca="1" ref="H4365" ca="1">VLOOKUP(Cpi_[[#This Row],[Year]:[Month]],crudeoil[],3,FALSE)</f>
        <v>#VALUE!</v>
      </c>
    </row>
    <row r="4366" spans="1:8" hidden="1" x14ac:dyDescent="0.3">
      <c r="A4366" t="s">
        <v>34</v>
      </c>
      <c r="B4366">
        <v>2017</v>
      </c>
      <c r="C4366" t="s">
        <v>39</v>
      </c>
      <c r="D4366" t="s">
        <v>20</v>
      </c>
      <c r="E4366" t="e">
        <f>VLOOKUP(Cpi_[[#This Row],[Attribute]],#REF!,2,FALSE)</f>
        <v>#REF!</v>
      </c>
      <c r="F4366">
        <v>131.4</v>
      </c>
      <c r="G4366">
        <f>(Cpi_[[#This Row],[Value]]-F4365)/F4365</f>
        <v>-4.436363636363632E-2</v>
      </c>
      <c r="H4366" t="e" cm="1" vm="1">
        <f t="array" aca="1" ref="H4366" ca="1">VLOOKUP(Cpi_[[#This Row],[Year]:[Month]],crudeoil[],3,FALSE)</f>
        <v>#VALUE!</v>
      </c>
    </row>
    <row r="4367" spans="1:8" hidden="1" x14ac:dyDescent="0.3">
      <c r="A4367" t="s">
        <v>34</v>
      </c>
      <c r="B4367">
        <v>2017</v>
      </c>
      <c r="C4367" t="s">
        <v>39</v>
      </c>
      <c r="D4367" t="s">
        <v>21</v>
      </c>
      <c r="E4367" t="e">
        <f>VLOOKUP(Cpi_[[#This Row],[Attribute]],#REF!,2,FALSE)</f>
        <v>#REF!</v>
      </c>
      <c r="F4367">
        <v>128.80000000000001</v>
      </c>
      <c r="G4367">
        <f>(Cpi_[[#This Row],[Value]]-F4366)/F4366</f>
        <v>-1.9786910197869059E-2</v>
      </c>
      <c r="H4367" t="e" cm="1" vm="1">
        <f t="array" aca="1" ref="H4367" ca="1">VLOOKUP(Cpi_[[#This Row],[Year]:[Month]],crudeoil[],3,FALSE)</f>
        <v>#VALUE!</v>
      </c>
    </row>
    <row r="4368" spans="1:8" hidden="1" x14ac:dyDescent="0.3">
      <c r="A4368" t="s">
        <v>34</v>
      </c>
      <c r="B4368">
        <v>2017</v>
      </c>
      <c r="C4368" t="s">
        <v>39</v>
      </c>
      <c r="D4368" t="s">
        <v>22</v>
      </c>
      <c r="E4368" t="e">
        <f>VLOOKUP(Cpi_[[#This Row],[Attribute]],#REF!,2,FALSE)</f>
        <v>#REF!</v>
      </c>
      <c r="F4368">
        <v>131.19999999999999</v>
      </c>
      <c r="G4368">
        <f>(Cpi_[[#This Row],[Value]]-F4367)/F4367</f>
        <v>1.8633540372670631E-2</v>
      </c>
      <c r="H4368" t="e" cm="1" vm="1">
        <f t="array" aca="1" ref="H4368" ca="1">VLOOKUP(Cpi_[[#This Row],[Year]:[Month]],crudeoil[],3,FALSE)</f>
        <v>#VALUE!</v>
      </c>
    </row>
    <row r="4369" spans="1:8" hidden="1" x14ac:dyDescent="0.3">
      <c r="A4369" t="s">
        <v>34</v>
      </c>
      <c r="B4369">
        <v>2017</v>
      </c>
      <c r="C4369" t="s">
        <v>39</v>
      </c>
      <c r="D4369" t="s">
        <v>23</v>
      </c>
      <c r="E4369" t="e">
        <f>VLOOKUP(Cpi_[[#This Row],[Attribute]],#REF!,2,FALSE)</f>
        <v>#REF!</v>
      </c>
      <c r="F4369">
        <v>128.5</v>
      </c>
      <c r="G4369">
        <f>(Cpi_[[#This Row],[Value]]-F4368)/F4368</f>
        <v>-2.0579268292682841E-2</v>
      </c>
      <c r="H4369" t="e" cm="1" vm="1">
        <f t="array" aca="1" ref="H4369" ca="1">VLOOKUP(Cpi_[[#This Row],[Year]:[Month]],crudeoil[],3,FALSE)</f>
        <v>#VALUE!</v>
      </c>
    </row>
    <row r="4370" spans="1:8" hidden="1" x14ac:dyDescent="0.3">
      <c r="A4370" t="s">
        <v>34</v>
      </c>
      <c r="B4370">
        <v>2017</v>
      </c>
      <c r="C4370" t="s">
        <v>39</v>
      </c>
      <c r="D4370" t="s">
        <v>24</v>
      </c>
      <c r="E4370" t="e">
        <f>VLOOKUP(Cpi_[[#This Row],[Attribute]],#REF!,2,FALSE)</f>
        <v>#REF!</v>
      </c>
      <c r="F4370">
        <v>116.5</v>
      </c>
      <c r="G4370">
        <f>(Cpi_[[#This Row],[Value]]-F4369)/F4369</f>
        <v>-9.3385214007782102E-2</v>
      </c>
      <c r="H4370" t="e" cm="1" vm="1">
        <f t="array" aca="1" ref="H4370" ca="1">VLOOKUP(Cpi_[[#This Row],[Year]:[Month]],crudeoil[],3,FALSE)</f>
        <v>#VALUE!</v>
      </c>
    </row>
    <row r="4371" spans="1:8" hidden="1" x14ac:dyDescent="0.3">
      <c r="A4371" t="s">
        <v>34</v>
      </c>
      <c r="B4371">
        <v>2017</v>
      </c>
      <c r="C4371" t="s">
        <v>39</v>
      </c>
      <c r="D4371" t="s">
        <v>25</v>
      </c>
      <c r="E4371" t="e">
        <f>VLOOKUP(Cpi_[[#This Row],[Attribute]],#REF!,2,FALSE)</f>
        <v>#REF!</v>
      </c>
      <c r="F4371">
        <v>125.9</v>
      </c>
      <c r="G4371">
        <f>(Cpi_[[#This Row],[Value]]-F4370)/F4370</f>
        <v>8.0686695278970003E-2</v>
      </c>
      <c r="H4371" t="e" cm="1" vm="1">
        <f t="array" aca="1" ref="H4371" ca="1">VLOOKUP(Cpi_[[#This Row],[Year]:[Month]],crudeoil[],3,FALSE)</f>
        <v>#VALUE!</v>
      </c>
    </row>
    <row r="4372" spans="1:8" hidden="1" x14ac:dyDescent="0.3">
      <c r="A4372" t="s">
        <v>34</v>
      </c>
      <c r="B4372">
        <v>2017</v>
      </c>
      <c r="C4372" t="s">
        <v>39</v>
      </c>
      <c r="D4372" t="s">
        <v>26</v>
      </c>
      <c r="E4372" t="e">
        <f>VLOOKUP(Cpi_[[#This Row],[Attribute]],#REF!,2,FALSE)</f>
        <v>#REF!</v>
      </c>
      <c r="F4372">
        <v>135.4</v>
      </c>
      <c r="G4372">
        <f>(Cpi_[[#This Row],[Value]]-F4371)/F4371</f>
        <v>7.5456711675933277E-2</v>
      </c>
      <c r="H4372" t="e" cm="1" vm="1">
        <f t="array" aca="1" ref="H4372" ca="1">VLOOKUP(Cpi_[[#This Row],[Year]:[Month]],crudeoil[],3,FALSE)</f>
        <v>#VALUE!</v>
      </c>
    </row>
    <row r="4373" spans="1:8" hidden="1" x14ac:dyDescent="0.3">
      <c r="A4373" t="s">
        <v>34</v>
      </c>
      <c r="B4373">
        <v>2017</v>
      </c>
      <c r="C4373" t="s">
        <v>39</v>
      </c>
      <c r="D4373" t="s">
        <v>27</v>
      </c>
      <c r="E4373" t="e">
        <f>VLOOKUP(Cpi_[[#This Row],[Attribute]],#REF!,2,FALSE)</f>
        <v>#REF!</v>
      </c>
      <c r="F4373">
        <v>123.4</v>
      </c>
      <c r="G4373">
        <f>(Cpi_[[#This Row],[Value]]-F4372)/F4372</f>
        <v>-8.8626292466765136E-2</v>
      </c>
      <c r="H4373" t="e" cm="1" vm="1">
        <f t="array" aca="1" ref="H4373" ca="1">VLOOKUP(Cpi_[[#This Row],[Year]:[Month]],crudeoil[],3,FALSE)</f>
        <v>#VALUE!</v>
      </c>
    </row>
    <row r="4374" spans="1:8" hidden="1" x14ac:dyDescent="0.3">
      <c r="A4374" t="s">
        <v>34</v>
      </c>
      <c r="B4374">
        <v>2017</v>
      </c>
      <c r="C4374" t="s">
        <v>39</v>
      </c>
      <c r="D4374" t="s">
        <v>28</v>
      </c>
      <c r="E4374" t="e">
        <f>VLOOKUP(Cpi_[[#This Row],[Attribute]],#REF!,2,FALSE)</f>
        <v>#REF!</v>
      </c>
      <c r="F4374">
        <v>125.5</v>
      </c>
      <c r="G4374">
        <f>(Cpi_[[#This Row],[Value]]-F4373)/F4373</f>
        <v>1.7017828200972401E-2</v>
      </c>
      <c r="H4374" t="e" cm="1" vm="1">
        <f t="array" aca="1" ref="H4374" ca="1">VLOOKUP(Cpi_[[#This Row],[Year]:[Month]],crudeoil[],3,FALSE)</f>
        <v>#VALUE!</v>
      </c>
    </row>
    <row r="4375" spans="1:8" hidden="1" x14ac:dyDescent="0.3">
      <c r="A4375" t="s">
        <v>34</v>
      </c>
      <c r="B4375">
        <v>2017</v>
      </c>
      <c r="C4375" t="s">
        <v>39</v>
      </c>
      <c r="D4375" t="s">
        <v>29</v>
      </c>
      <c r="E4375" t="e" cm="1">
        <f t="array" aca="1" ref="E4375" ca="1">VLGeneral indexGeneral indexKUP(Cpi_[[#This Row],[Attribute]],#REF!,2,FALSE)</f>
        <v>#NAME?</v>
      </c>
      <c r="F4375">
        <v>132</v>
      </c>
      <c r="G4375">
        <f>(Cpi_[[#This Row],[Value]]-F4374)/F4374</f>
        <v>5.1792828685258967E-2</v>
      </c>
      <c r="H4375" t="e" cm="1" vm="1">
        <f t="array" aca="1" ref="H4375" ca="1">VLOOKUP(Cpi_[[#This Row],[Year]:[Month]],crudeoil[],3,FALSE)</f>
        <v>#VALUE!</v>
      </c>
    </row>
    <row r="4376" spans="1:8" hidden="1" x14ac:dyDescent="0.3">
      <c r="A4376" t="s">
        <v>30</v>
      </c>
      <c r="B4376">
        <v>2017</v>
      </c>
      <c r="C4376" t="s">
        <v>40</v>
      </c>
      <c r="D4376" t="s">
        <v>3</v>
      </c>
      <c r="E4376" t="e">
        <f>VLOOKUP(Cpi_[[#This Row],[Attribute]],#REF!,2,FALSE)</f>
        <v>#REF!</v>
      </c>
      <c r="F4376">
        <v>134</v>
      </c>
      <c r="G4376">
        <f>(Cpi_[[#This Row],[Value]]-F4375)/F4375</f>
        <v>1.5151515151515152E-2</v>
      </c>
      <c r="H4376" t="e" cm="1" vm="1">
        <f t="array" aca="1" ref="H4376" ca="1">VLOOKUP(Cpi_[[#This Row],[Year]:[Month]],crudeoil[],3,FALSE)</f>
        <v>#VALUE!</v>
      </c>
    </row>
    <row r="4377" spans="1:8" hidden="1" x14ac:dyDescent="0.3">
      <c r="A4377" t="s">
        <v>30</v>
      </c>
      <c r="B4377">
        <v>2017</v>
      </c>
      <c r="C4377" t="s">
        <v>40</v>
      </c>
      <c r="D4377" t="s">
        <v>4</v>
      </c>
      <c r="E4377" t="e">
        <f>VLOOKUP(Cpi_[[#This Row],[Attribute]],#REF!,2,FALSE)</f>
        <v>#REF!</v>
      </c>
      <c r="F4377">
        <v>144.19999999999999</v>
      </c>
      <c r="G4377">
        <f>(Cpi_[[#This Row],[Value]]-F4376)/F4376</f>
        <v>7.6119402985074539E-2</v>
      </c>
      <c r="H4377" t="e" cm="1" vm="1">
        <f t="array" aca="1" ref="H4377" ca="1">VLOOKUP(Cpi_[[#This Row],[Year]:[Month]],crudeoil[],3,FALSE)</f>
        <v>#VALUE!</v>
      </c>
    </row>
    <row r="4378" spans="1:8" hidden="1" x14ac:dyDescent="0.3">
      <c r="A4378" t="s">
        <v>30</v>
      </c>
      <c r="B4378">
        <v>2017</v>
      </c>
      <c r="C4378" t="s">
        <v>40</v>
      </c>
      <c r="D4378" t="s">
        <v>5</v>
      </c>
      <c r="E4378" t="e">
        <f>VLOOKUP(Cpi_[[#This Row],[Attribute]],#REF!,2,FALSE)</f>
        <v>#REF!</v>
      </c>
      <c r="F4378">
        <v>129.80000000000001</v>
      </c>
      <c r="G4378">
        <f>(Cpi_[[#This Row],[Value]]-F4377)/F4377</f>
        <v>-9.9861303744798735E-2</v>
      </c>
      <c r="H4378" t="e" cm="1" vm="1">
        <f t="array" aca="1" ref="H4378" ca="1">VLOOKUP(Cpi_[[#This Row],[Year]:[Month]],crudeoil[],3,FALSE)</f>
        <v>#VALUE!</v>
      </c>
    </row>
    <row r="4379" spans="1:8" hidden="1" x14ac:dyDescent="0.3">
      <c r="A4379" t="s">
        <v>30</v>
      </c>
      <c r="B4379">
        <v>2017</v>
      </c>
      <c r="C4379" t="s">
        <v>40</v>
      </c>
      <c r="D4379" t="s">
        <v>6</v>
      </c>
      <c r="E4379" t="e">
        <f>VLOOKUP(Cpi_[[#This Row],[Attribute]],#REF!,2,FALSE)</f>
        <v>#REF!</v>
      </c>
      <c r="F4379">
        <v>139</v>
      </c>
      <c r="G4379">
        <f>(Cpi_[[#This Row],[Value]]-F4378)/F4378</f>
        <v>7.0878274268104682E-2</v>
      </c>
      <c r="H4379" t="e" cm="1" vm="1">
        <f t="array" aca="1" ref="H4379" ca="1">VLOOKUP(Cpi_[[#This Row],[Year]:[Month]],crudeoil[],3,FALSE)</f>
        <v>#VALUE!</v>
      </c>
    </row>
    <row r="4380" spans="1:8" hidden="1" x14ac:dyDescent="0.3">
      <c r="A4380" t="s">
        <v>30</v>
      </c>
      <c r="B4380">
        <v>2017</v>
      </c>
      <c r="C4380" t="s">
        <v>40</v>
      </c>
      <c r="D4380" t="s">
        <v>7</v>
      </c>
      <c r="E4380" t="e">
        <f>VLOOKUP(Cpi_[[#This Row],[Attribute]],#REF!,2,FALSE)</f>
        <v>#REF!</v>
      </c>
      <c r="F4380">
        <v>120.9</v>
      </c>
      <c r="G4380">
        <f>(Cpi_[[#This Row],[Value]]-F4379)/F4379</f>
        <v>-0.13021582733812945</v>
      </c>
      <c r="H4380" t="e" cm="1" vm="1">
        <f t="array" aca="1" ref="H4380" ca="1">VLOOKUP(Cpi_[[#This Row],[Year]:[Month]],crudeoil[],3,FALSE)</f>
        <v>#VALUE!</v>
      </c>
    </row>
    <row r="4381" spans="1:8" hidden="1" x14ac:dyDescent="0.3">
      <c r="A4381" t="s">
        <v>30</v>
      </c>
      <c r="B4381">
        <v>2017</v>
      </c>
      <c r="C4381" t="s">
        <v>40</v>
      </c>
      <c r="D4381" t="s">
        <v>8</v>
      </c>
      <c r="E4381" t="e">
        <f>VLOOKUP(Cpi_[[#This Row],[Attribute]],#REF!,2,FALSE)</f>
        <v>#REF!</v>
      </c>
      <c r="F4381">
        <v>143.9</v>
      </c>
      <c r="G4381">
        <f>(Cpi_[[#This Row],[Value]]-F4380)/F4380</f>
        <v>0.19023986765922249</v>
      </c>
      <c r="H4381" t="e" cm="1" vm="1">
        <f t="array" aca="1" ref="H4381" ca="1">VLOOKUP(Cpi_[[#This Row],[Year]:[Month]],crudeoil[],3,FALSE)</f>
        <v>#VALUE!</v>
      </c>
    </row>
    <row r="4382" spans="1:8" hidden="1" x14ac:dyDescent="0.3">
      <c r="A4382" t="s">
        <v>30</v>
      </c>
      <c r="B4382">
        <v>2017</v>
      </c>
      <c r="C4382" t="s">
        <v>40</v>
      </c>
      <c r="D4382" t="s">
        <v>9</v>
      </c>
      <c r="E4382" t="e">
        <f>VLOOKUP(Cpi_[[#This Row],[Attribute]],#REF!,2,FALSE)</f>
        <v>#REF!</v>
      </c>
      <c r="F4382">
        <v>151.5</v>
      </c>
      <c r="G4382">
        <f>(Cpi_[[#This Row],[Value]]-F4381)/F4381</f>
        <v>5.2814454482279317E-2</v>
      </c>
      <c r="H4382" t="e" cm="1" vm="1">
        <f t="array" aca="1" ref="H4382" ca="1">VLOOKUP(Cpi_[[#This Row],[Year]:[Month]],crudeoil[],3,FALSE)</f>
        <v>#VALUE!</v>
      </c>
    </row>
    <row r="4383" spans="1:8" hidden="1" x14ac:dyDescent="0.3">
      <c r="A4383" t="s">
        <v>30</v>
      </c>
      <c r="B4383">
        <v>2017</v>
      </c>
      <c r="C4383" t="s">
        <v>40</v>
      </c>
      <c r="D4383" t="s">
        <v>10</v>
      </c>
      <c r="E4383" t="e">
        <f>VLOOKUP(Cpi_[[#This Row],[Attribute]],#REF!,2,FALSE)</f>
        <v>#REF!</v>
      </c>
      <c r="F4383">
        <v>138.1</v>
      </c>
      <c r="G4383">
        <f>(Cpi_[[#This Row],[Value]]-F4382)/F4382</f>
        <v>-8.8448844884488481E-2</v>
      </c>
      <c r="H4383" t="e" cm="1" vm="1">
        <f t="array" aca="1" ref="H4383" ca="1">VLOOKUP(Cpi_[[#This Row],[Year]:[Month]],crudeoil[],3,FALSE)</f>
        <v>#VALUE!</v>
      </c>
    </row>
    <row r="4384" spans="1:8" hidden="1" x14ac:dyDescent="0.3">
      <c r="A4384" t="s">
        <v>30</v>
      </c>
      <c r="B4384">
        <v>2017</v>
      </c>
      <c r="C4384" t="s">
        <v>40</v>
      </c>
      <c r="D4384" t="s">
        <v>11</v>
      </c>
      <c r="E4384" t="e">
        <f>VLOOKUP(Cpi_[[#This Row],[Attribute]],#REF!,2,FALSE)</f>
        <v>#REF!</v>
      </c>
      <c r="F4384">
        <v>120</v>
      </c>
      <c r="G4384">
        <f>(Cpi_[[#This Row],[Value]]-F4383)/F4383</f>
        <v>-0.13106444605358433</v>
      </c>
      <c r="H4384" t="e" cm="1" vm="1">
        <f t="array" aca="1" ref="H4384" ca="1">VLOOKUP(Cpi_[[#This Row],[Year]:[Month]],crudeoil[],3,FALSE)</f>
        <v>#VALUE!</v>
      </c>
    </row>
    <row r="4385" spans="1:8" hidden="1" x14ac:dyDescent="0.3">
      <c r="A4385" t="s">
        <v>30</v>
      </c>
      <c r="B4385">
        <v>2017</v>
      </c>
      <c r="C4385" t="s">
        <v>40</v>
      </c>
      <c r="D4385" t="s">
        <v>12</v>
      </c>
      <c r="E4385" t="e">
        <f>VLOOKUP(Cpi_[[#This Row],[Attribute]],#REF!,2,FALSE)</f>
        <v>#REF!</v>
      </c>
      <c r="F4385">
        <v>133.9</v>
      </c>
      <c r="G4385">
        <f>(Cpi_[[#This Row],[Value]]-F4384)/F4384</f>
        <v>0.11583333333333339</v>
      </c>
      <c r="H4385" t="e" cm="1" vm="1">
        <f t="array" aca="1" ref="H4385" ca="1">VLOOKUP(Cpi_[[#This Row],[Year]:[Month]],crudeoil[],3,FALSE)</f>
        <v>#VALUE!</v>
      </c>
    </row>
    <row r="4386" spans="1:8" hidden="1" x14ac:dyDescent="0.3">
      <c r="A4386" t="s">
        <v>30</v>
      </c>
      <c r="B4386">
        <v>2017</v>
      </c>
      <c r="C4386" t="s">
        <v>40</v>
      </c>
      <c r="D4386" t="s">
        <v>13</v>
      </c>
      <c r="E4386" t="e">
        <f>VLOOKUP(Cpi_[[#This Row],[Attribute]],#REF!,2,FALSE)</f>
        <v>#REF!</v>
      </c>
      <c r="F4386">
        <v>131.4</v>
      </c>
      <c r="G4386">
        <f>(Cpi_[[#This Row],[Value]]-F4385)/F4385</f>
        <v>-1.8670649738610903E-2</v>
      </c>
      <c r="H4386" t="e" cm="1" vm="1">
        <f t="array" aca="1" ref="H4386" ca="1">VLOOKUP(Cpi_[[#This Row],[Year]:[Month]],crudeoil[],3,FALSE)</f>
        <v>#VALUE!</v>
      </c>
    </row>
    <row r="4387" spans="1:8" hidden="1" x14ac:dyDescent="0.3">
      <c r="A4387" t="s">
        <v>30</v>
      </c>
      <c r="B4387">
        <v>2017</v>
      </c>
      <c r="C4387" t="s">
        <v>40</v>
      </c>
      <c r="D4387" t="s">
        <v>14</v>
      </c>
      <c r="E4387" t="e">
        <f>VLOOKUP(Cpi_[[#This Row],[Attribute]],#REF!,2,FALSE)</f>
        <v>#REF!</v>
      </c>
      <c r="F4387">
        <v>147.69999999999999</v>
      </c>
      <c r="G4387">
        <f>(Cpi_[[#This Row],[Value]]-F4386)/F4386</f>
        <v>0.12404870624048693</v>
      </c>
      <c r="H4387" t="e" cm="1" vm="1">
        <f t="array" aca="1" ref="H4387" ca="1">VLOOKUP(Cpi_[[#This Row],[Year]:[Month]],crudeoil[],3,FALSE)</f>
        <v>#VALUE!</v>
      </c>
    </row>
    <row r="4388" spans="1:8" hidden="1" x14ac:dyDescent="0.3">
      <c r="A4388" t="s">
        <v>30</v>
      </c>
      <c r="B4388">
        <v>2017</v>
      </c>
      <c r="C4388" t="s">
        <v>40</v>
      </c>
      <c r="D4388" t="s">
        <v>15</v>
      </c>
      <c r="E4388" t="e">
        <f>VLOOKUP(Cpi_[[#This Row],[Attribute]],#REF!,2,FALSE)</f>
        <v>#REF!</v>
      </c>
      <c r="F4388">
        <v>138.5</v>
      </c>
      <c r="G4388">
        <f>(Cpi_[[#This Row],[Value]]-F4387)/F4387</f>
        <v>-6.2288422477995868E-2</v>
      </c>
      <c r="H4388" t="e" cm="1" vm="1">
        <f t="array" aca="1" ref="H4388" ca="1">VLOOKUP(Cpi_[[#This Row],[Year]:[Month]],crudeoil[],3,FALSE)</f>
        <v>#VALUE!</v>
      </c>
    </row>
    <row r="4389" spans="1:8" hidden="1" x14ac:dyDescent="0.3">
      <c r="A4389" t="s">
        <v>30</v>
      </c>
      <c r="B4389">
        <v>2017</v>
      </c>
      <c r="C4389" t="s">
        <v>40</v>
      </c>
      <c r="D4389" t="s">
        <v>16</v>
      </c>
      <c r="E4389" t="e">
        <f>VLOOKUP(Cpi_[[#This Row],[Attribute]],#REF!,2,FALSE)</f>
        <v>#REF!</v>
      </c>
      <c r="F4389">
        <v>147.4</v>
      </c>
      <c r="G4389">
        <f>(Cpi_[[#This Row],[Value]]-F4388)/F4388</f>
        <v>6.4259927797833974E-2</v>
      </c>
      <c r="H4389" t="e" cm="1" vm="1">
        <f t="array" aca="1" ref="H4389" ca="1">VLOOKUP(Cpi_[[#This Row],[Year]:[Month]],crudeoil[],3,FALSE)</f>
        <v>#VALUE!</v>
      </c>
    </row>
    <row r="4390" spans="1:8" hidden="1" x14ac:dyDescent="0.3">
      <c r="A4390" t="s">
        <v>30</v>
      </c>
      <c r="B4390">
        <v>2017</v>
      </c>
      <c r="C4390" t="s">
        <v>40</v>
      </c>
      <c r="D4390" t="s">
        <v>17</v>
      </c>
      <c r="E4390" t="e">
        <f>VLOOKUP(Cpi_[[#This Row],[Attribute]],#REF!,2,FALSE)</f>
        <v>#REF!</v>
      </c>
      <c r="F4390">
        <v>144.30000000000001</v>
      </c>
      <c r="G4390">
        <f>(Cpi_[[#This Row],[Value]]-F4389)/F4389</f>
        <v>-2.1031207598371737E-2</v>
      </c>
      <c r="H4390" t="e" cm="1" vm="1">
        <f t="array" aca="1" ref="H4390" ca="1">VLOOKUP(Cpi_[[#This Row],[Year]:[Month]],crudeoil[],3,FALSE)</f>
        <v>#VALUE!</v>
      </c>
    </row>
    <row r="4391" spans="1:8" hidden="1" x14ac:dyDescent="0.3">
      <c r="A4391" t="s">
        <v>30</v>
      </c>
      <c r="B4391">
        <v>2017</v>
      </c>
      <c r="C4391" t="s">
        <v>40</v>
      </c>
      <c r="D4391" t="s">
        <v>18</v>
      </c>
      <c r="E4391" t="e">
        <f>VLOOKUP(Cpi_[[#This Row],[Attribute]],#REF!,2,FALSE)</f>
        <v>#REF!</v>
      </c>
      <c r="F4391">
        <v>138.1</v>
      </c>
      <c r="G4391">
        <f>(Cpi_[[#This Row],[Value]]-F4390)/F4390</f>
        <v>-4.2966042966043082E-2</v>
      </c>
      <c r="H4391" t="e" cm="1" vm="1">
        <f t="array" aca="1" ref="H4391" ca="1">VLOOKUP(Cpi_[[#This Row],[Year]:[Month]],crudeoil[],3,FALSE)</f>
        <v>#VALUE!</v>
      </c>
    </row>
    <row r="4392" spans="1:8" hidden="1" x14ac:dyDescent="0.3">
      <c r="A4392" t="s">
        <v>30</v>
      </c>
      <c r="B4392">
        <v>2017</v>
      </c>
      <c r="C4392" t="s">
        <v>40</v>
      </c>
      <c r="D4392" t="s">
        <v>19</v>
      </c>
      <c r="E4392" t="e">
        <f>VLOOKUP(Cpi_[[#This Row],[Attribute]],#REF!,2,FALSE)</f>
        <v>#REF!</v>
      </c>
      <c r="F4392">
        <v>143.5</v>
      </c>
      <c r="G4392">
        <f>(Cpi_[[#This Row],[Value]]-F4391)/F4391</f>
        <v>3.9102099927588743E-2</v>
      </c>
      <c r="H4392" t="e" cm="1" vm="1">
        <f t="array" aca="1" ref="H4392" ca="1">VLOOKUP(Cpi_[[#This Row],[Year]:[Month]],crudeoil[],3,FALSE)</f>
        <v>#VALUE!</v>
      </c>
    </row>
    <row r="4393" spans="1:8" hidden="1" x14ac:dyDescent="0.3">
      <c r="A4393" t="s">
        <v>30</v>
      </c>
      <c r="B4393">
        <v>2017</v>
      </c>
      <c r="C4393" t="s">
        <v>40</v>
      </c>
      <c r="D4393" t="s">
        <v>20</v>
      </c>
      <c r="E4393" t="e">
        <f>VLOOKUP(Cpi_[[#This Row],[Attribute]],#REF!,2,FALSE)</f>
        <v>#REF!</v>
      </c>
      <c r="F4393" t="s">
        <v>32</v>
      </c>
      <c r="G4393" t="e">
        <f>(Cpi_[[#This Row],[Value]]-F4392)/F4392</f>
        <v>#VALUE!</v>
      </c>
      <c r="H4393" t="e" cm="1" vm="1">
        <f t="array" aca="1" ref="H4393" ca="1">VLOOKUP(Cpi_[[#This Row],[Year]:[Month]],crudeoil[],3,FALSE)</f>
        <v>#VALUE!</v>
      </c>
    </row>
    <row r="4394" spans="1:8" hidden="1" x14ac:dyDescent="0.3">
      <c r="A4394" t="s">
        <v>30</v>
      </c>
      <c r="B4394">
        <v>2017</v>
      </c>
      <c r="C4394" t="s">
        <v>40</v>
      </c>
      <c r="D4394" t="s">
        <v>21</v>
      </c>
      <c r="E4394" t="e">
        <f>VLOOKUP(Cpi_[[#This Row],[Attribute]],#REF!,2,FALSE)</f>
        <v>#REF!</v>
      </c>
      <c r="F4394">
        <v>135.30000000000001</v>
      </c>
      <c r="G4394" t="e">
        <f>(Cpi_[[#This Row],[Value]]-F4393)/F4393</f>
        <v>#VALUE!</v>
      </c>
      <c r="H4394" t="e" cm="1" vm="1">
        <f t="array" aca="1" ref="H4394" ca="1">VLOOKUP(Cpi_[[#This Row],[Year]:[Month]],crudeoil[],3,FALSE)</f>
        <v>#VALUE!</v>
      </c>
    </row>
    <row r="4395" spans="1:8" hidden="1" x14ac:dyDescent="0.3">
      <c r="A4395" t="s">
        <v>30</v>
      </c>
      <c r="B4395">
        <v>2017</v>
      </c>
      <c r="C4395" t="s">
        <v>40</v>
      </c>
      <c r="D4395" t="s">
        <v>22</v>
      </c>
      <c r="E4395" t="e">
        <f>VLOOKUP(Cpi_[[#This Row],[Attribute]],#REF!,2,FALSE)</f>
        <v>#REF!</v>
      </c>
      <c r="F4395">
        <v>136.1</v>
      </c>
      <c r="G4395">
        <f>(Cpi_[[#This Row],[Value]]-F4394)/F4394</f>
        <v>5.912786400591152E-3</v>
      </c>
      <c r="H4395" t="e" cm="1" vm="1">
        <f t="array" aca="1" ref="H4395" ca="1">VLOOKUP(Cpi_[[#This Row],[Year]:[Month]],crudeoil[],3,FALSE)</f>
        <v>#VALUE!</v>
      </c>
    </row>
    <row r="4396" spans="1:8" hidden="1" x14ac:dyDescent="0.3">
      <c r="A4396" t="s">
        <v>30</v>
      </c>
      <c r="B4396">
        <v>2017</v>
      </c>
      <c r="C4396" t="s">
        <v>40</v>
      </c>
      <c r="D4396" t="s">
        <v>23</v>
      </c>
      <c r="E4396" t="e">
        <f>VLOOKUP(Cpi_[[#This Row],[Attribute]],#REF!,2,FALSE)</f>
        <v>#REF!</v>
      </c>
      <c r="F4396">
        <v>132.1</v>
      </c>
      <c r="G4396">
        <f>(Cpi_[[#This Row],[Value]]-F4395)/F4395</f>
        <v>-2.9390154298310066E-2</v>
      </c>
      <c r="H4396" t="e" cm="1" vm="1">
        <f t="array" aca="1" ref="H4396" ca="1">VLOOKUP(Cpi_[[#This Row],[Year]:[Month]],crudeoil[],3,FALSE)</f>
        <v>#VALUE!</v>
      </c>
    </row>
    <row r="4397" spans="1:8" hidden="1" x14ac:dyDescent="0.3">
      <c r="A4397" t="s">
        <v>30</v>
      </c>
      <c r="B4397">
        <v>2017</v>
      </c>
      <c r="C4397" t="s">
        <v>40</v>
      </c>
      <c r="D4397" t="s">
        <v>24</v>
      </c>
      <c r="E4397" t="e">
        <f>VLOOKUP(Cpi_[[#This Row],[Attribute]],#REF!,2,FALSE)</f>
        <v>#REF!</v>
      </c>
      <c r="F4397">
        <v>119.1</v>
      </c>
      <c r="G4397">
        <f>(Cpi_[[#This Row],[Value]]-F4396)/F4396</f>
        <v>-9.8410295230885694E-2</v>
      </c>
      <c r="H4397" t="e" cm="1" vm="1">
        <f t="array" aca="1" ref="H4397" ca="1">VLOOKUP(Cpi_[[#This Row],[Year]:[Month]],crudeoil[],3,FALSE)</f>
        <v>#VALUE!</v>
      </c>
    </row>
    <row r="4398" spans="1:8" hidden="1" x14ac:dyDescent="0.3">
      <c r="A4398" t="s">
        <v>30</v>
      </c>
      <c r="B4398">
        <v>2017</v>
      </c>
      <c r="C4398" t="s">
        <v>40</v>
      </c>
      <c r="D4398" t="s">
        <v>25</v>
      </c>
      <c r="E4398" t="e">
        <f>VLOOKUP(Cpi_[[#This Row],[Attribute]],#REF!,2,FALSE)</f>
        <v>#REF!</v>
      </c>
      <c r="F4398">
        <v>130.6</v>
      </c>
      <c r="G4398">
        <f>(Cpi_[[#This Row],[Value]]-F4397)/F4397</f>
        <v>9.6557514693534852E-2</v>
      </c>
      <c r="H4398" t="e" cm="1" vm="1">
        <f t="array" aca="1" ref="H4398" ca="1">VLOOKUP(Cpi_[[#This Row],[Year]:[Month]],crudeoil[],3,FALSE)</f>
        <v>#VALUE!</v>
      </c>
    </row>
    <row r="4399" spans="1:8" hidden="1" x14ac:dyDescent="0.3">
      <c r="A4399" t="s">
        <v>30</v>
      </c>
      <c r="B4399">
        <v>2017</v>
      </c>
      <c r="C4399" t="s">
        <v>40</v>
      </c>
      <c r="D4399" t="s">
        <v>26</v>
      </c>
      <c r="E4399" t="e">
        <f>VLOOKUP(Cpi_[[#This Row],[Attribute]],#REF!,2,FALSE)</f>
        <v>#REF!</v>
      </c>
      <c r="F4399">
        <v>138.6</v>
      </c>
      <c r="G4399">
        <f>(Cpi_[[#This Row],[Value]]-F4398)/F4398</f>
        <v>6.1255742725880552E-2</v>
      </c>
      <c r="H4399" t="e" cm="1" vm="1">
        <f t="array" aca="1" ref="H4399" ca="1">VLOOKUP(Cpi_[[#This Row],[Year]:[Month]],crudeoil[],3,FALSE)</f>
        <v>#VALUE!</v>
      </c>
    </row>
    <row r="4400" spans="1:8" hidden="1" x14ac:dyDescent="0.3">
      <c r="A4400" t="s">
        <v>30</v>
      </c>
      <c r="B4400">
        <v>2017</v>
      </c>
      <c r="C4400" t="s">
        <v>40</v>
      </c>
      <c r="D4400" t="s">
        <v>27</v>
      </c>
      <c r="E4400" t="e">
        <f>VLOOKUP(Cpi_[[#This Row],[Attribute]],#REF!,2,FALSE)</f>
        <v>#REF!</v>
      </c>
      <c r="F4400">
        <v>124.4</v>
      </c>
      <c r="G4400">
        <f>(Cpi_[[#This Row],[Value]]-F4399)/F4399</f>
        <v>-0.10245310245310238</v>
      </c>
      <c r="H4400" t="e" cm="1" vm="1">
        <f t="array" aca="1" ref="H4400" ca="1">VLOOKUP(Cpi_[[#This Row],[Year]:[Month]],crudeoil[],3,FALSE)</f>
        <v>#VALUE!</v>
      </c>
    </row>
    <row r="4401" spans="1:8" hidden="1" x14ac:dyDescent="0.3">
      <c r="A4401" t="s">
        <v>30</v>
      </c>
      <c r="B4401">
        <v>2017</v>
      </c>
      <c r="C4401" t="s">
        <v>40</v>
      </c>
      <c r="D4401" t="s">
        <v>28</v>
      </c>
      <c r="E4401" t="e">
        <f>VLOOKUP(Cpi_[[#This Row],[Attribute]],#REF!,2,FALSE)</f>
        <v>#REF!</v>
      </c>
      <c r="F4401">
        <v>128.6</v>
      </c>
      <c r="G4401">
        <f>(Cpi_[[#This Row],[Value]]-F4400)/F4400</f>
        <v>3.376205787781341E-2</v>
      </c>
      <c r="H4401" t="e" cm="1" vm="1">
        <f t="array" aca="1" ref="H4401" ca="1">VLOOKUP(Cpi_[[#This Row],[Year]:[Month]],crudeoil[],3,FALSE)</f>
        <v>#VALUE!</v>
      </c>
    </row>
    <row r="4402" spans="1:8" hidden="1" x14ac:dyDescent="0.3">
      <c r="A4402" t="s">
        <v>30</v>
      </c>
      <c r="B4402">
        <v>2017</v>
      </c>
      <c r="C4402" t="s">
        <v>40</v>
      </c>
      <c r="D4402" t="s">
        <v>29</v>
      </c>
      <c r="E4402" t="e" cm="1">
        <f t="array" aca="1" ref="E4402" ca="1">VLGeneral indexGeneral indexKUP(Cpi_[[#This Row],[Attribute]],#REF!,2,FALSE)</f>
        <v>#NAME?</v>
      </c>
      <c r="F4402">
        <v>136.19999999999999</v>
      </c>
      <c r="G4402">
        <f>(Cpi_[[#This Row],[Value]]-F4401)/F4401</f>
        <v>5.9097978227060609E-2</v>
      </c>
      <c r="H4402" t="e" cm="1" vm="1">
        <f t="array" aca="1" ref="H4402" ca="1">VLOOKUP(Cpi_[[#This Row],[Year]:[Month]],crudeoil[],3,FALSE)</f>
        <v>#VALUE!</v>
      </c>
    </row>
    <row r="4403" spans="1:8" hidden="1" x14ac:dyDescent="0.3">
      <c r="A4403" t="s">
        <v>33</v>
      </c>
      <c r="B4403">
        <v>2017</v>
      </c>
      <c r="C4403" t="s">
        <v>40</v>
      </c>
      <c r="D4403" t="s">
        <v>3</v>
      </c>
      <c r="E4403" t="e">
        <f>VLOOKUP(Cpi_[[#This Row],[Attribute]],#REF!,2,FALSE)</f>
        <v>#REF!</v>
      </c>
      <c r="F4403">
        <v>132.80000000000001</v>
      </c>
      <c r="G4403">
        <f>(Cpi_[[#This Row],[Value]]-F4402)/F4402</f>
        <v>-2.4963289280469734E-2</v>
      </c>
      <c r="H4403" t="e" cm="1" vm="1">
        <f t="array" aca="1" ref="H4403" ca="1">VLOOKUP(Cpi_[[#This Row],[Year]:[Month]],crudeoil[],3,FALSE)</f>
        <v>#VALUE!</v>
      </c>
    </row>
    <row r="4404" spans="1:8" hidden="1" x14ac:dyDescent="0.3">
      <c r="A4404" t="s">
        <v>33</v>
      </c>
      <c r="B4404">
        <v>2017</v>
      </c>
      <c r="C4404" t="s">
        <v>40</v>
      </c>
      <c r="D4404" t="s">
        <v>4</v>
      </c>
      <c r="E4404" t="e">
        <f>VLOOKUP(Cpi_[[#This Row],[Attribute]],#REF!,2,FALSE)</f>
        <v>#REF!</v>
      </c>
      <c r="F4404">
        <v>148.4</v>
      </c>
      <c r="G4404">
        <f>(Cpi_[[#This Row],[Value]]-F4403)/F4403</f>
        <v>0.11746987951807224</v>
      </c>
      <c r="H4404" t="e" cm="1" vm="1">
        <f t="array" aca="1" ref="H4404" ca="1">VLOOKUP(Cpi_[[#This Row],[Year]:[Month]],crudeoil[],3,FALSE)</f>
        <v>#VALUE!</v>
      </c>
    </row>
    <row r="4405" spans="1:8" hidden="1" x14ac:dyDescent="0.3">
      <c r="A4405" t="s">
        <v>33</v>
      </c>
      <c r="B4405">
        <v>2017</v>
      </c>
      <c r="C4405" t="s">
        <v>40</v>
      </c>
      <c r="D4405" t="s">
        <v>5</v>
      </c>
      <c r="E4405" t="e">
        <f>VLOOKUP(Cpi_[[#This Row],[Attribute]],#REF!,2,FALSE)</f>
        <v>#REF!</v>
      </c>
      <c r="F4405">
        <v>129.4</v>
      </c>
      <c r="G4405">
        <f>(Cpi_[[#This Row],[Value]]-F4404)/F4404</f>
        <v>-0.12803234501347707</v>
      </c>
      <c r="H4405" t="e" cm="1" vm="1">
        <f t="array" aca="1" ref="H4405" ca="1">VLOOKUP(Cpi_[[#This Row],[Year]:[Month]],crudeoil[],3,FALSE)</f>
        <v>#VALUE!</v>
      </c>
    </row>
    <row r="4406" spans="1:8" hidden="1" x14ac:dyDescent="0.3">
      <c r="A4406" t="s">
        <v>33</v>
      </c>
      <c r="B4406">
        <v>2017</v>
      </c>
      <c r="C4406" t="s">
        <v>40</v>
      </c>
      <c r="D4406" t="s">
        <v>6</v>
      </c>
      <c r="E4406" t="e">
        <f>VLOOKUP(Cpi_[[#This Row],[Attribute]],#REF!,2,FALSE)</f>
        <v>#REF!</v>
      </c>
      <c r="F4406">
        <v>137.69999999999999</v>
      </c>
      <c r="G4406">
        <f>(Cpi_[[#This Row],[Value]]-F4405)/F4405</f>
        <v>6.4142194744976677E-2</v>
      </c>
      <c r="H4406" t="e" cm="1" vm="1">
        <f t="array" aca="1" ref="H4406" ca="1">VLOOKUP(Cpi_[[#This Row],[Year]:[Month]],crudeoil[],3,FALSE)</f>
        <v>#VALUE!</v>
      </c>
    </row>
    <row r="4407" spans="1:8" hidden="1" x14ac:dyDescent="0.3">
      <c r="A4407" t="s">
        <v>33</v>
      </c>
      <c r="B4407">
        <v>2017</v>
      </c>
      <c r="C4407" t="s">
        <v>40</v>
      </c>
      <c r="D4407" t="s">
        <v>7</v>
      </c>
      <c r="E4407" t="e">
        <f>VLOOKUP(Cpi_[[#This Row],[Attribute]],#REF!,2,FALSE)</f>
        <v>#REF!</v>
      </c>
      <c r="F4407">
        <v>113.4</v>
      </c>
      <c r="G4407">
        <f>(Cpi_[[#This Row],[Value]]-F4406)/F4406</f>
        <v>-0.17647058823529402</v>
      </c>
      <c r="H4407" t="e" cm="1" vm="1">
        <f t="array" aca="1" ref="H4407" ca="1">VLOOKUP(Cpi_[[#This Row],[Year]:[Month]],crudeoil[],3,FALSE)</f>
        <v>#VALUE!</v>
      </c>
    </row>
    <row r="4408" spans="1:8" hidden="1" x14ac:dyDescent="0.3">
      <c r="A4408" t="s">
        <v>33</v>
      </c>
      <c r="B4408">
        <v>2017</v>
      </c>
      <c r="C4408" t="s">
        <v>40</v>
      </c>
      <c r="D4408" t="s">
        <v>8</v>
      </c>
      <c r="E4408" t="e">
        <f>VLOOKUP(Cpi_[[#This Row],[Attribute]],#REF!,2,FALSE)</f>
        <v>#REF!</v>
      </c>
      <c r="F4408">
        <v>139.4</v>
      </c>
      <c r="G4408">
        <f>(Cpi_[[#This Row],[Value]]-F4407)/F4407</f>
        <v>0.2292768959435626</v>
      </c>
      <c r="H4408" t="e" cm="1" vm="1">
        <f t="array" aca="1" ref="H4408" ca="1">VLOOKUP(Cpi_[[#This Row],[Year]:[Month]],crudeoil[],3,FALSE)</f>
        <v>#VALUE!</v>
      </c>
    </row>
    <row r="4409" spans="1:8" hidden="1" x14ac:dyDescent="0.3">
      <c r="A4409" t="s">
        <v>33</v>
      </c>
      <c r="B4409">
        <v>2017</v>
      </c>
      <c r="C4409" t="s">
        <v>40</v>
      </c>
      <c r="D4409" t="s">
        <v>9</v>
      </c>
      <c r="E4409" t="e">
        <f>VLOOKUP(Cpi_[[#This Row],[Attribute]],#REF!,2,FALSE)</f>
        <v>#REF!</v>
      </c>
      <c r="F4409">
        <v>175.1</v>
      </c>
      <c r="G4409">
        <f>(Cpi_[[#This Row],[Value]]-F4408)/F4408</f>
        <v>0.25609756097560965</v>
      </c>
      <c r="H4409" t="e" cm="1" vm="1">
        <f t="array" aca="1" ref="H4409" ca="1">VLOOKUP(Cpi_[[#This Row],[Year]:[Month]],crudeoil[],3,FALSE)</f>
        <v>#VALUE!</v>
      </c>
    </row>
    <row r="4410" spans="1:8" hidden="1" x14ac:dyDescent="0.3">
      <c r="A4410" t="s">
        <v>33</v>
      </c>
      <c r="B4410">
        <v>2017</v>
      </c>
      <c r="C4410" t="s">
        <v>40</v>
      </c>
      <c r="D4410" t="s">
        <v>10</v>
      </c>
      <c r="E4410" t="e">
        <f>VLOOKUP(Cpi_[[#This Row],[Attribute]],#REF!,2,FALSE)</f>
        <v>#REF!</v>
      </c>
      <c r="F4410">
        <v>124.7</v>
      </c>
      <c r="G4410">
        <f>(Cpi_[[#This Row],[Value]]-F4409)/F4409</f>
        <v>-0.28783552255853795</v>
      </c>
      <c r="H4410" t="e" cm="1" vm="1">
        <f t="array" aca="1" ref="H4410" ca="1">VLOOKUP(Cpi_[[#This Row],[Year]:[Month]],crudeoil[],3,FALSE)</f>
        <v>#VALUE!</v>
      </c>
    </row>
    <row r="4411" spans="1:8" hidden="1" x14ac:dyDescent="0.3">
      <c r="A4411" t="s">
        <v>33</v>
      </c>
      <c r="B4411">
        <v>2017</v>
      </c>
      <c r="C4411" t="s">
        <v>40</v>
      </c>
      <c r="D4411" t="s">
        <v>11</v>
      </c>
      <c r="E4411" t="e">
        <f>VLOOKUP(Cpi_[[#This Row],[Attribute]],#REF!,2,FALSE)</f>
        <v>#REF!</v>
      </c>
      <c r="F4411">
        <v>121.5</v>
      </c>
      <c r="G4411">
        <f>(Cpi_[[#This Row],[Value]]-F4410)/F4410</f>
        <v>-2.5661587810745814E-2</v>
      </c>
      <c r="H4411" t="e" cm="1" vm="1">
        <f t="array" aca="1" ref="H4411" ca="1">VLOOKUP(Cpi_[[#This Row],[Year]:[Month]],crudeoil[],3,FALSE)</f>
        <v>#VALUE!</v>
      </c>
    </row>
    <row r="4412" spans="1:8" hidden="1" x14ac:dyDescent="0.3">
      <c r="A4412" t="s">
        <v>33</v>
      </c>
      <c r="B4412">
        <v>2017</v>
      </c>
      <c r="C4412" t="s">
        <v>40</v>
      </c>
      <c r="D4412" t="s">
        <v>12</v>
      </c>
      <c r="E4412" t="e">
        <f>VLOOKUP(Cpi_[[#This Row],[Attribute]],#REF!,2,FALSE)</f>
        <v>#REF!</v>
      </c>
      <c r="F4412">
        <v>137.80000000000001</v>
      </c>
      <c r="G4412">
        <f>(Cpi_[[#This Row],[Value]]-F4411)/F4411</f>
        <v>0.13415637860082313</v>
      </c>
      <c r="H4412" t="e" cm="1" vm="1">
        <f t="array" aca="1" ref="H4412" ca="1">VLOOKUP(Cpi_[[#This Row],[Year]:[Month]],crudeoil[],3,FALSE)</f>
        <v>#VALUE!</v>
      </c>
    </row>
    <row r="4413" spans="1:8" hidden="1" x14ac:dyDescent="0.3">
      <c r="A4413" t="s">
        <v>33</v>
      </c>
      <c r="B4413">
        <v>2017</v>
      </c>
      <c r="C4413" t="s">
        <v>40</v>
      </c>
      <c r="D4413" t="s">
        <v>13</v>
      </c>
      <c r="E4413" t="e">
        <f>VLOOKUP(Cpi_[[#This Row],[Attribute]],#REF!,2,FALSE)</f>
        <v>#REF!</v>
      </c>
      <c r="F4413">
        <v>124.4</v>
      </c>
      <c r="G4413">
        <f>(Cpi_[[#This Row],[Value]]-F4412)/F4412</f>
        <v>-9.7242380261248221E-2</v>
      </c>
      <c r="H4413" t="e" cm="1" vm="1">
        <f t="array" aca="1" ref="H4413" ca="1">VLOOKUP(Cpi_[[#This Row],[Year]:[Month]],crudeoil[],3,FALSE)</f>
        <v>#VALUE!</v>
      </c>
    </row>
    <row r="4414" spans="1:8" hidden="1" x14ac:dyDescent="0.3">
      <c r="A4414" t="s">
        <v>33</v>
      </c>
      <c r="B4414">
        <v>2017</v>
      </c>
      <c r="C4414" t="s">
        <v>40</v>
      </c>
      <c r="D4414" t="s">
        <v>14</v>
      </c>
      <c r="E4414" t="e">
        <f>VLOOKUP(Cpi_[[#This Row],[Attribute]],#REF!,2,FALSE)</f>
        <v>#REF!</v>
      </c>
      <c r="F4414">
        <v>143.69999999999999</v>
      </c>
      <c r="G4414">
        <f>(Cpi_[[#This Row],[Value]]-F4413)/F4413</f>
        <v>0.15514469453376192</v>
      </c>
      <c r="H4414" t="e" cm="1" vm="1">
        <f t="array" aca="1" ref="H4414" ca="1">VLOOKUP(Cpi_[[#This Row],[Year]:[Month]],crudeoil[],3,FALSE)</f>
        <v>#VALUE!</v>
      </c>
    </row>
    <row r="4415" spans="1:8" hidden="1" x14ac:dyDescent="0.3">
      <c r="A4415" t="s">
        <v>33</v>
      </c>
      <c r="B4415">
        <v>2017</v>
      </c>
      <c r="C4415" t="s">
        <v>40</v>
      </c>
      <c r="D4415" t="s">
        <v>15</v>
      </c>
      <c r="E4415" t="e">
        <f>VLOOKUP(Cpi_[[#This Row],[Attribute]],#REF!,2,FALSE)</f>
        <v>#REF!</v>
      </c>
      <c r="F4415">
        <v>139.80000000000001</v>
      </c>
      <c r="G4415">
        <f>(Cpi_[[#This Row],[Value]]-F4414)/F4414</f>
        <v>-2.7139874739039511E-2</v>
      </c>
      <c r="H4415" t="e" cm="1" vm="1">
        <f t="array" aca="1" ref="H4415" ca="1">VLOOKUP(Cpi_[[#This Row],[Year]:[Month]],crudeoil[],3,FALSE)</f>
        <v>#VALUE!</v>
      </c>
    </row>
    <row r="4416" spans="1:8" hidden="1" x14ac:dyDescent="0.3">
      <c r="A4416" t="s">
        <v>33</v>
      </c>
      <c r="B4416">
        <v>2017</v>
      </c>
      <c r="C4416" t="s">
        <v>40</v>
      </c>
      <c r="D4416" t="s">
        <v>16</v>
      </c>
      <c r="E4416" t="e">
        <f>VLOOKUP(Cpi_[[#This Row],[Attribute]],#REF!,2,FALSE)</f>
        <v>#REF!</v>
      </c>
      <c r="F4416">
        <v>150.5</v>
      </c>
      <c r="G4416">
        <f>(Cpi_[[#This Row],[Value]]-F4415)/F4415</f>
        <v>7.6537911301859718E-2</v>
      </c>
      <c r="H4416" t="e" cm="1" vm="1">
        <f t="array" aca="1" ref="H4416" ca="1">VLOOKUP(Cpi_[[#This Row],[Year]:[Month]],crudeoil[],3,FALSE)</f>
        <v>#VALUE!</v>
      </c>
    </row>
    <row r="4417" spans="1:8" hidden="1" x14ac:dyDescent="0.3">
      <c r="A4417" t="s">
        <v>33</v>
      </c>
      <c r="B4417">
        <v>2017</v>
      </c>
      <c r="C4417" t="s">
        <v>40</v>
      </c>
      <c r="D4417" t="s">
        <v>17</v>
      </c>
      <c r="E4417" t="e">
        <f>VLOOKUP(Cpi_[[#This Row],[Attribute]],#REF!,2,FALSE)</f>
        <v>#REF!</v>
      </c>
      <c r="F4417">
        <v>131.6</v>
      </c>
      <c r="G4417">
        <f>(Cpi_[[#This Row],[Value]]-F4416)/F4416</f>
        <v>-0.12558139534883725</v>
      </c>
      <c r="H4417" t="e" cm="1" vm="1">
        <f t="array" aca="1" ref="H4417" ca="1">VLOOKUP(Cpi_[[#This Row],[Year]:[Month]],crudeoil[],3,FALSE)</f>
        <v>#VALUE!</v>
      </c>
    </row>
    <row r="4418" spans="1:8" hidden="1" x14ac:dyDescent="0.3">
      <c r="A4418" t="s">
        <v>33</v>
      </c>
      <c r="B4418">
        <v>2017</v>
      </c>
      <c r="C4418" t="s">
        <v>40</v>
      </c>
      <c r="D4418" t="s">
        <v>18</v>
      </c>
      <c r="E4418" t="e">
        <f>VLOOKUP(Cpi_[[#This Row],[Attribute]],#REF!,2,FALSE)</f>
        <v>#REF!</v>
      </c>
      <c r="F4418">
        <v>123.7</v>
      </c>
      <c r="G4418">
        <f>(Cpi_[[#This Row],[Value]]-F4417)/F4417</f>
        <v>-6.0030395136778054E-2</v>
      </c>
      <c r="H4418" t="e" cm="1" vm="1">
        <f t="array" aca="1" ref="H4418" ca="1">VLOOKUP(Cpi_[[#This Row],[Year]:[Month]],crudeoil[],3,FALSE)</f>
        <v>#VALUE!</v>
      </c>
    </row>
    <row r="4419" spans="1:8" hidden="1" x14ac:dyDescent="0.3">
      <c r="A4419" t="s">
        <v>33</v>
      </c>
      <c r="B4419">
        <v>2017</v>
      </c>
      <c r="C4419" t="s">
        <v>40</v>
      </c>
      <c r="D4419" t="s">
        <v>19</v>
      </c>
      <c r="E4419" t="e">
        <f>VLOOKUP(Cpi_[[#This Row],[Attribute]],#REF!,2,FALSE)</f>
        <v>#REF!</v>
      </c>
      <c r="F4419">
        <v>130.4</v>
      </c>
      <c r="G4419">
        <f>(Cpi_[[#This Row],[Value]]-F4418)/F4418</f>
        <v>5.4163298302344405E-2</v>
      </c>
      <c r="H4419" t="e" cm="1" vm="1">
        <f t="array" aca="1" ref="H4419" ca="1">VLOOKUP(Cpi_[[#This Row],[Year]:[Month]],crudeoil[],3,FALSE)</f>
        <v>#VALUE!</v>
      </c>
    </row>
    <row r="4420" spans="1:8" hidden="1" x14ac:dyDescent="0.3">
      <c r="A4420" t="s">
        <v>33</v>
      </c>
      <c r="B4420">
        <v>2017</v>
      </c>
      <c r="C4420" t="s">
        <v>40</v>
      </c>
      <c r="D4420" t="s">
        <v>20</v>
      </c>
      <c r="E4420" t="e">
        <f>VLOOKUP(Cpi_[[#This Row],[Attribute]],#REF!,2,FALSE)</f>
        <v>#REF!</v>
      </c>
      <c r="F4420">
        <v>132.6</v>
      </c>
      <c r="G4420">
        <f>(Cpi_[[#This Row],[Value]]-F4419)/F4419</f>
        <v>1.6871165644171692E-2</v>
      </c>
      <c r="H4420" t="e" cm="1" vm="1">
        <f t="array" aca="1" ref="H4420" ca="1">VLOOKUP(Cpi_[[#This Row],[Year]:[Month]],crudeoil[],3,FALSE)</f>
        <v>#VALUE!</v>
      </c>
    </row>
    <row r="4421" spans="1:8" hidden="1" x14ac:dyDescent="0.3">
      <c r="A4421" t="s">
        <v>33</v>
      </c>
      <c r="B4421">
        <v>2017</v>
      </c>
      <c r="C4421" t="s">
        <v>40</v>
      </c>
      <c r="D4421" t="s">
        <v>21</v>
      </c>
      <c r="E4421" t="e">
        <f>VLOOKUP(Cpi_[[#This Row],[Attribute]],#REF!,2,FALSE)</f>
        <v>#REF!</v>
      </c>
      <c r="F4421">
        <v>119.7</v>
      </c>
      <c r="G4421">
        <f>(Cpi_[[#This Row],[Value]]-F4420)/F4420</f>
        <v>-9.7285067873303113E-2</v>
      </c>
      <c r="H4421" t="e" cm="1" vm="1">
        <f t="array" aca="1" ref="H4421" ca="1">VLOOKUP(Cpi_[[#This Row],[Year]:[Month]],crudeoil[],3,FALSE)</f>
        <v>#VALUE!</v>
      </c>
    </row>
    <row r="4422" spans="1:8" hidden="1" x14ac:dyDescent="0.3">
      <c r="A4422" t="s">
        <v>33</v>
      </c>
      <c r="B4422">
        <v>2017</v>
      </c>
      <c r="C4422" t="s">
        <v>40</v>
      </c>
      <c r="D4422" t="s">
        <v>22</v>
      </c>
      <c r="E4422" t="e">
        <f>VLOOKUP(Cpi_[[#This Row],[Attribute]],#REF!,2,FALSE)</f>
        <v>#REF!</v>
      </c>
      <c r="F4422">
        <v>127.2</v>
      </c>
      <c r="G4422">
        <f>(Cpi_[[#This Row],[Value]]-F4421)/F4421</f>
        <v>6.2656641604010022E-2</v>
      </c>
      <c r="H4422" t="e" cm="1" vm="1">
        <f t="array" aca="1" ref="H4422" ca="1">VLOOKUP(Cpi_[[#This Row],[Year]:[Month]],crudeoil[],3,FALSE)</f>
        <v>#VALUE!</v>
      </c>
    </row>
    <row r="4423" spans="1:8" hidden="1" x14ac:dyDescent="0.3">
      <c r="A4423" t="s">
        <v>33</v>
      </c>
      <c r="B4423">
        <v>2017</v>
      </c>
      <c r="C4423" t="s">
        <v>40</v>
      </c>
      <c r="D4423" t="s">
        <v>23</v>
      </c>
      <c r="E4423" t="e">
        <f>VLOOKUP(Cpi_[[#This Row],[Attribute]],#REF!,2,FALSE)</f>
        <v>#REF!</v>
      </c>
      <c r="F4423">
        <v>125</v>
      </c>
      <c r="G4423">
        <f>(Cpi_[[#This Row],[Value]]-F4422)/F4422</f>
        <v>-1.729559748427675E-2</v>
      </c>
      <c r="H4423" t="e" cm="1" vm="1">
        <f t="array" aca="1" ref="H4423" ca="1">VLOOKUP(Cpi_[[#This Row],[Year]:[Month]],crudeoil[],3,FALSE)</f>
        <v>#VALUE!</v>
      </c>
    </row>
    <row r="4424" spans="1:8" hidden="1" x14ac:dyDescent="0.3">
      <c r="A4424" t="s">
        <v>33</v>
      </c>
      <c r="B4424">
        <v>2017</v>
      </c>
      <c r="C4424" t="s">
        <v>40</v>
      </c>
      <c r="D4424" t="s">
        <v>24</v>
      </c>
      <c r="E4424" t="e">
        <f>VLOOKUP(Cpi_[[#This Row],[Attribute]],#REF!,2,FALSE)</f>
        <v>#REF!</v>
      </c>
      <c r="F4424">
        <v>113.2</v>
      </c>
      <c r="G4424">
        <f>(Cpi_[[#This Row],[Value]]-F4423)/F4423</f>
        <v>-9.4399999999999984E-2</v>
      </c>
      <c r="H4424" t="e" cm="1" vm="1">
        <f t="array" aca="1" ref="H4424" ca="1">VLOOKUP(Cpi_[[#This Row],[Year]:[Month]],crudeoil[],3,FALSE)</f>
        <v>#VALUE!</v>
      </c>
    </row>
    <row r="4425" spans="1:8" hidden="1" x14ac:dyDescent="0.3">
      <c r="A4425" t="s">
        <v>33</v>
      </c>
      <c r="B4425">
        <v>2017</v>
      </c>
      <c r="C4425" t="s">
        <v>40</v>
      </c>
      <c r="D4425" t="s">
        <v>25</v>
      </c>
      <c r="E4425" t="e">
        <f>VLOOKUP(Cpi_[[#This Row],[Attribute]],#REF!,2,FALSE)</f>
        <v>#REF!</v>
      </c>
      <c r="F4425">
        <v>123.5</v>
      </c>
      <c r="G4425">
        <f>(Cpi_[[#This Row],[Value]]-F4424)/F4424</f>
        <v>9.0989399293286186E-2</v>
      </c>
      <c r="H4425" t="e" cm="1" vm="1">
        <f t="array" aca="1" ref="H4425" ca="1">VLOOKUP(Cpi_[[#This Row],[Year]:[Month]],crudeoil[],3,FALSE)</f>
        <v>#VALUE!</v>
      </c>
    </row>
    <row r="4426" spans="1:8" hidden="1" x14ac:dyDescent="0.3">
      <c r="A4426" t="s">
        <v>33</v>
      </c>
      <c r="B4426">
        <v>2017</v>
      </c>
      <c r="C4426" t="s">
        <v>40</v>
      </c>
      <c r="D4426" t="s">
        <v>26</v>
      </c>
      <c r="E4426" t="e">
        <f>VLOOKUP(Cpi_[[#This Row],[Attribute]],#REF!,2,FALSE)</f>
        <v>#REF!</v>
      </c>
      <c r="F4426">
        <v>135.5</v>
      </c>
      <c r="G4426">
        <f>(Cpi_[[#This Row],[Value]]-F4425)/F4425</f>
        <v>9.7165991902834009E-2</v>
      </c>
      <c r="H4426" t="e" cm="1" vm="1">
        <f t="array" aca="1" ref="H4426" ca="1">VLOOKUP(Cpi_[[#This Row],[Year]:[Month]],crudeoil[],3,FALSE)</f>
        <v>#VALUE!</v>
      </c>
    </row>
    <row r="4427" spans="1:8" hidden="1" x14ac:dyDescent="0.3">
      <c r="A4427" t="s">
        <v>33</v>
      </c>
      <c r="B4427">
        <v>2017</v>
      </c>
      <c r="C4427" t="s">
        <v>40</v>
      </c>
      <c r="D4427" t="s">
        <v>27</v>
      </c>
      <c r="E4427" t="e">
        <f>VLOOKUP(Cpi_[[#This Row],[Attribute]],#REF!,2,FALSE)</f>
        <v>#REF!</v>
      </c>
      <c r="F4427">
        <v>122.4</v>
      </c>
      <c r="G4427">
        <f>(Cpi_[[#This Row],[Value]]-F4426)/F4426</f>
        <v>-9.667896678966785E-2</v>
      </c>
      <c r="H4427" t="e" cm="1" vm="1">
        <f t="array" aca="1" ref="H4427" ca="1">VLOOKUP(Cpi_[[#This Row],[Year]:[Month]],crudeoil[],3,FALSE)</f>
        <v>#VALUE!</v>
      </c>
    </row>
    <row r="4428" spans="1:8" hidden="1" x14ac:dyDescent="0.3">
      <c r="A4428" t="s">
        <v>33</v>
      </c>
      <c r="B4428">
        <v>2017</v>
      </c>
      <c r="C4428" t="s">
        <v>40</v>
      </c>
      <c r="D4428" t="s">
        <v>28</v>
      </c>
      <c r="E4428" t="e">
        <f>VLOOKUP(Cpi_[[#This Row],[Attribute]],#REF!,2,FALSE)</f>
        <v>#REF!</v>
      </c>
      <c r="F4428">
        <v>123</v>
      </c>
      <c r="G4428">
        <f>(Cpi_[[#This Row],[Value]]-F4427)/F4427</f>
        <v>4.9019607843136786E-3</v>
      </c>
      <c r="H4428" t="e" cm="1" vm="1">
        <f t="array" aca="1" ref="H4428" ca="1">VLOOKUP(Cpi_[[#This Row],[Year]:[Month]],crudeoil[],3,FALSE)</f>
        <v>#VALUE!</v>
      </c>
    </row>
    <row r="4429" spans="1:8" hidden="1" x14ac:dyDescent="0.3">
      <c r="A4429" t="s">
        <v>33</v>
      </c>
      <c r="B4429">
        <v>2017</v>
      </c>
      <c r="C4429" t="s">
        <v>40</v>
      </c>
      <c r="D4429" t="s">
        <v>29</v>
      </c>
      <c r="E4429" t="e" cm="1">
        <f t="array" aca="1" ref="E4429" ca="1">VLGeneral indexGeneral indexKUP(Cpi_[[#This Row],[Attribute]],#REF!,2,FALSE)</f>
        <v>#NAME?</v>
      </c>
      <c r="F4429">
        <v>131.80000000000001</v>
      </c>
      <c r="G4429">
        <f>(Cpi_[[#This Row],[Value]]-F4428)/F4428</f>
        <v>7.1544715447154558E-2</v>
      </c>
      <c r="H4429" t="e" cm="1" vm="1">
        <f t="array" aca="1" ref="H4429" ca="1">VLOOKUP(Cpi_[[#This Row],[Year]:[Month]],crudeoil[],3,FALSE)</f>
        <v>#VALUE!</v>
      </c>
    </row>
    <row r="4430" spans="1:8" hidden="1" x14ac:dyDescent="0.3">
      <c r="A4430" t="s">
        <v>34</v>
      </c>
      <c r="B4430">
        <v>2017</v>
      </c>
      <c r="C4430" t="s">
        <v>40</v>
      </c>
      <c r="D4430" t="s">
        <v>3</v>
      </c>
      <c r="E4430" t="e">
        <f>VLOOKUP(Cpi_[[#This Row],[Attribute]],#REF!,2,FALSE)</f>
        <v>#REF!</v>
      </c>
      <c r="F4430">
        <v>133.6</v>
      </c>
      <c r="G4430">
        <f>(Cpi_[[#This Row],[Value]]-F4429)/F4429</f>
        <v>1.3657056145675134E-2</v>
      </c>
      <c r="H4430" t="e" cm="1" vm="1">
        <f t="array" aca="1" ref="H4430" ca="1">VLOOKUP(Cpi_[[#This Row],[Year]:[Month]],crudeoil[],3,FALSE)</f>
        <v>#VALUE!</v>
      </c>
    </row>
    <row r="4431" spans="1:8" hidden="1" x14ac:dyDescent="0.3">
      <c r="A4431" t="s">
        <v>34</v>
      </c>
      <c r="B4431">
        <v>2017</v>
      </c>
      <c r="C4431" t="s">
        <v>40</v>
      </c>
      <c r="D4431" t="s">
        <v>4</v>
      </c>
      <c r="E4431" t="e">
        <f>VLOOKUP(Cpi_[[#This Row],[Attribute]],#REF!,2,FALSE)</f>
        <v>#REF!</v>
      </c>
      <c r="F4431">
        <v>145.69999999999999</v>
      </c>
      <c r="G4431">
        <f>(Cpi_[[#This Row],[Value]]-F4430)/F4430</f>
        <v>9.0568862275449066E-2</v>
      </c>
      <c r="H4431" t="e" cm="1" vm="1">
        <f t="array" aca="1" ref="H4431" ca="1">VLOOKUP(Cpi_[[#This Row],[Year]:[Month]],crudeoil[],3,FALSE)</f>
        <v>#VALUE!</v>
      </c>
    </row>
    <row r="4432" spans="1:8" hidden="1" x14ac:dyDescent="0.3">
      <c r="A4432" t="s">
        <v>34</v>
      </c>
      <c r="B4432">
        <v>2017</v>
      </c>
      <c r="C4432" t="s">
        <v>40</v>
      </c>
      <c r="D4432" t="s">
        <v>5</v>
      </c>
      <c r="E4432" t="e">
        <f>VLOOKUP(Cpi_[[#This Row],[Attribute]],#REF!,2,FALSE)</f>
        <v>#REF!</v>
      </c>
      <c r="F4432">
        <v>129.6</v>
      </c>
      <c r="G4432">
        <f>(Cpi_[[#This Row],[Value]]-F4431)/F4431</f>
        <v>-0.11050102951269729</v>
      </c>
      <c r="H4432" t="e" cm="1" vm="1">
        <f t="array" aca="1" ref="H4432" ca="1">VLOOKUP(Cpi_[[#This Row],[Year]:[Month]],crudeoil[],3,FALSE)</f>
        <v>#VALUE!</v>
      </c>
    </row>
    <row r="4433" spans="1:8" hidden="1" x14ac:dyDescent="0.3">
      <c r="A4433" t="s">
        <v>34</v>
      </c>
      <c r="B4433">
        <v>2017</v>
      </c>
      <c r="C4433" t="s">
        <v>40</v>
      </c>
      <c r="D4433" t="s">
        <v>6</v>
      </c>
      <c r="E4433" t="e">
        <f>VLOOKUP(Cpi_[[#This Row],[Attribute]],#REF!,2,FALSE)</f>
        <v>#REF!</v>
      </c>
      <c r="F4433">
        <v>138.5</v>
      </c>
      <c r="G4433">
        <f>(Cpi_[[#This Row],[Value]]-F4432)/F4432</f>
        <v>6.8672839506172881E-2</v>
      </c>
      <c r="H4433" t="e" cm="1" vm="1">
        <f t="array" aca="1" ref="H4433" ca="1">VLOOKUP(Cpi_[[#This Row],[Year]:[Month]],crudeoil[],3,FALSE)</f>
        <v>#VALUE!</v>
      </c>
    </row>
    <row r="4434" spans="1:8" hidden="1" x14ac:dyDescent="0.3">
      <c r="A4434" t="s">
        <v>34</v>
      </c>
      <c r="B4434">
        <v>2017</v>
      </c>
      <c r="C4434" t="s">
        <v>40</v>
      </c>
      <c r="D4434" t="s">
        <v>7</v>
      </c>
      <c r="E4434" t="e">
        <f>VLOOKUP(Cpi_[[#This Row],[Attribute]],#REF!,2,FALSE)</f>
        <v>#REF!</v>
      </c>
      <c r="F4434">
        <v>118.1</v>
      </c>
      <c r="G4434">
        <f>(Cpi_[[#This Row],[Value]]-F4433)/F4433</f>
        <v>-0.14729241877256322</v>
      </c>
      <c r="H4434" t="e" cm="1" vm="1">
        <f t="array" aca="1" ref="H4434" ca="1">VLOOKUP(Cpi_[[#This Row],[Year]:[Month]],crudeoil[],3,FALSE)</f>
        <v>#VALUE!</v>
      </c>
    </row>
    <row r="4435" spans="1:8" hidden="1" x14ac:dyDescent="0.3">
      <c r="A4435" t="s">
        <v>34</v>
      </c>
      <c r="B4435">
        <v>2017</v>
      </c>
      <c r="C4435" t="s">
        <v>40</v>
      </c>
      <c r="D4435" t="s">
        <v>8</v>
      </c>
      <c r="E4435" t="e">
        <f>VLOOKUP(Cpi_[[#This Row],[Attribute]],#REF!,2,FALSE)</f>
        <v>#REF!</v>
      </c>
      <c r="F4435">
        <v>141.80000000000001</v>
      </c>
      <c r="G4435">
        <f>(Cpi_[[#This Row],[Value]]-F4434)/F4434</f>
        <v>0.20067739204064367</v>
      </c>
      <c r="H4435" t="e" cm="1" vm="1">
        <f t="array" aca="1" ref="H4435" ca="1">VLOOKUP(Cpi_[[#This Row],[Year]:[Month]],crudeoil[],3,FALSE)</f>
        <v>#VALUE!</v>
      </c>
    </row>
    <row r="4436" spans="1:8" hidden="1" x14ac:dyDescent="0.3">
      <c r="A4436" t="s">
        <v>34</v>
      </c>
      <c r="B4436">
        <v>2017</v>
      </c>
      <c r="C4436" t="s">
        <v>40</v>
      </c>
      <c r="D4436" t="s">
        <v>9</v>
      </c>
      <c r="E4436" t="e">
        <f>VLOOKUP(Cpi_[[#This Row],[Attribute]],#REF!,2,FALSE)</f>
        <v>#REF!</v>
      </c>
      <c r="F4436">
        <v>159.5</v>
      </c>
      <c r="G4436">
        <f>(Cpi_[[#This Row],[Value]]-F4435)/F4435</f>
        <v>0.12482369534555703</v>
      </c>
      <c r="H4436" t="e" cm="1" vm="1">
        <f t="array" aca="1" ref="H4436" ca="1">VLOOKUP(Cpi_[[#This Row],[Year]:[Month]],crudeoil[],3,FALSE)</f>
        <v>#VALUE!</v>
      </c>
    </row>
    <row r="4437" spans="1:8" hidden="1" x14ac:dyDescent="0.3">
      <c r="A4437" t="s">
        <v>34</v>
      </c>
      <c r="B4437">
        <v>2017</v>
      </c>
      <c r="C4437" t="s">
        <v>40</v>
      </c>
      <c r="D4437" t="s">
        <v>10</v>
      </c>
      <c r="E4437" t="e">
        <f>VLOOKUP(Cpi_[[#This Row],[Attribute]],#REF!,2,FALSE)</f>
        <v>#REF!</v>
      </c>
      <c r="F4437">
        <v>133.6</v>
      </c>
      <c r="G4437">
        <f>(Cpi_[[#This Row],[Value]]-F4436)/F4436</f>
        <v>-0.16238244514106587</v>
      </c>
      <c r="H4437" t="e" cm="1" vm="1">
        <f t="array" aca="1" ref="H4437" ca="1">VLOOKUP(Cpi_[[#This Row],[Year]:[Month]],crudeoil[],3,FALSE)</f>
        <v>#VALUE!</v>
      </c>
    </row>
    <row r="4438" spans="1:8" hidden="1" x14ac:dyDescent="0.3">
      <c r="A4438" t="s">
        <v>34</v>
      </c>
      <c r="B4438">
        <v>2017</v>
      </c>
      <c r="C4438" t="s">
        <v>40</v>
      </c>
      <c r="D4438" t="s">
        <v>11</v>
      </c>
      <c r="E4438" t="e">
        <f>VLOOKUP(Cpi_[[#This Row],[Attribute]],#REF!,2,FALSE)</f>
        <v>#REF!</v>
      </c>
      <c r="F4438">
        <v>120.5</v>
      </c>
      <c r="G4438">
        <f>(Cpi_[[#This Row],[Value]]-F4437)/F4437</f>
        <v>-9.805389221556883E-2</v>
      </c>
      <c r="H4438" t="e" cm="1" vm="1">
        <f t="array" aca="1" ref="H4438" ca="1">VLOOKUP(Cpi_[[#This Row],[Year]:[Month]],crudeoil[],3,FALSE)</f>
        <v>#VALUE!</v>
      </c>
    </row>
    <row r="4439" spans="1:8" hidden="1" x14ac:dyDescent="0.3">
      <c r="A4439" t="s">
        <v>34</v>
      </c>
      <c r="B4439">
        <v>2017</v>
      </c>
      <c r="C4439" t="s">
        <v>40</v>
      </c>
      <c r="D4439" t="s">
        <v>12</v>
      </c>
      <c r="E4439" t="e">
        <f>VLOOKUP(Cpi_[[#This Row],[Attribute]],#REF!,2,FALSE)</f>
        <v>#REF!</v>
      </c>
      <c r="F4439">
        <v>135.19999999999999</v>
      </c>
      <c r="G4439">
        <f>(Cpi_[[#This Row],[Value]]-F4438)/F4438</f>
        <v>0.12199170124481318</v>
      </c>
      <c r="H4439" t="e" cm="1" vm="1">
        <f t="array" aca="1" ref="H4439" ca="1">VLOOKUP(Cpi_[[#This Row],[Year]:[Month]],crudeoil[],3,FALSE)</f>
        <v>#VALUE!</v>
      </c>
    </row>
    <row r="4440" spans="1:8" hidden="1" x14ac:dyDescent="0.3">
      <c r="A4440" t="s">
        <v>34</v>
      </c>
      <c r="B4440">
        <v>2017</v>
      </c>
      <c r="C4440" t="s">
        <v>40</v>
      </c>
      <c r="D4440" t="s">
        <v>13</v>
      </c>
      <c r="E4440" t="e">
        <f>VLOOKUP(Cpi_[[#This Row],[Attribute]],#REF!,2,FALSE)</f>
        <v>#REF!</v>
      </c>
      <c r="F4440">
        <v>128.5</v>
      </c>
      <c r="G4440">
        <f>(Cpi_[[#This Row],[Value]]-F4439)/F4439</f>
        <v>-4.9556213017751399E-2</v>
      </c>
      <c r="H4440" t="e" cm="1" vm="1">
        <f t="array" aca="1" ref="H4440" ca="1">VLOOKUP(Cpi_[[#This Row],[Year]:[Month]],crudeoil[],3,FALSE)</f>
        <v>#VALUE!</v>
      </c>
    </row>
    <row r="4441" spans="1:8" hidden="1" x14ac:dyDescent="0.3">
      <c r="A4441" t="s">
        <v>34</v>
      </c>
      <c r="B4441">
        <v>2017</v>
      </c>
      <c r="C4441" t="s">
        <v>40</v>
      </c>
      <c r="D4441" t="s">
        <v>14</v>
      </c>
      <c r="E4441" t="e">
        <f>VLOOKUP(Cpi_[[#This Row],[Attribute]],#REF!,2,FALSE)</f>
        <v>#REF!</v>
      </c>
      <c r="F4441">
        <v>145.80000000000001</v>
      </c>
      <c r="G4441">
        <f>(Cpi_[[#This Row],[Value]]-F4440)/F4440</f>
        <v>0.13463035019455261</v>
      </c>
      <c r="H4441" t="e" cm="1" vm="1">
        <f t="array" aca="1" ref="H4441" ca="1">VLOOKUP(Cpi_[[#This Row],[Year]:[Month]],crudeoil[],3,FALSE)</f>
        <v>#VALUE!</v>
      </c>
    </row>
    <row r="4442" spans="1:8" hidden="1" x14ac:dyDescent="0.3">
      <c r="A4442" t="s">
        <v>34</v>
      </c>
      <c r="B4442">
        <v>2017</v>
      </c>
      <c r="C4442" t="s">
        <v>40</v>
      </c>
      <c r="D4442" t="s">
        <v>15</v>
      </c>
      <c r="E4442" t="e">
        <f>VLOOKUP(Cpi_[[#This Row],[Attribute]],#REF!,2,FALSE)</f>
        <v>#REF!</v>
      </c>
      <c r="F4442">
        <v>139</v>
      </c>
      <c r="G4442">
        <f>(Cpi_[[#This Row],[Value]]-F4441)/F4441</f>
        <v>-4.6639231824417086E-2</v>
      </c>
      <c r="H4442" t="e" cm="1" vm="1">
        <f t="array" aca="1" ref="H4442" ca="1">VLOOKUP(Cpi_[[#This Row],[Year]:[Month]],crudeoil[],3,FALSE)</f>
        <v>#VALUE!</v>
      </c>
    </row>
    <row r="4443" spans="1:8" hidden="1" x14ac:dyDescent="0.3">
      <c r="A4443" t="s">
        <v>34</v>
      </c>
      <c r="B4443">
        <v>2017</v>
      </c>
      <c r="C4443" t="s">
        <v>40</v>
      </c>
      <c r="D4443" t="s">
        <v>16</v>
      </c>
      <c r="E4443" t="e">
        <f>VLOOKUP(Cpi_[[#This Row],[Attribute]],#REF!,2,FALSE)</f>
        <v>#REF!</v>
      </c>
      <c r="F4443">
        <v>148.19999999999999</v>
      </c>
      <c r="G4443">
        <f>(Cpi_[[#This Row],[Value]]-F4442)/F4442</f>
        <v>6.6187050359712146E-2</v>
      </c>
      <c r="H4443" t="e" cm="1" vm="1">
        <f t="array" aca="1" ref="H4443" ca="1">VLOOKUP(Cpi_[[#This Row],[Year]:[Month]],crudeoil[],3,FALSE)</f>
        <v>#VALUE!</v>
      </c>
    </row>
    <row r="4444" spans="1:8" hidden="1" x14ac:dyDescent="0.3">
      <c r="A4444" t="s">
        <v>34</v>
      </c>
      <c r="B4444">
        <v>2017</v>
      </c>
      <c r="C4444" t="s">
        <v>40</v>
      </c>
      <c r="D4444" t="s">
        <v>17</v>
      </c>
      <c r="E4444" t="e">
        <f>VLOOKUP(Cpi_[[#This Row],[Attribute]],#REF!,2,FALSE)</f>
        <v>#REF!</v>
      </c>
      <c r="F4444">
        <v>139.30000000000001</v>
      </c>
      <c r="G4444">
        <f>(Cpi_[[#This Row],[Value]]-F4443)/F4443</f>
        <v>-6.0053981106612538E-2</v>
      </c>
      <c r="H4444" t="e" cm="1" vm="1">
        <f t="array" aca="1" ref="H4444" ca="1">VLOOKUP(Cpi_[[#This Row],[Year]:[Month]],crudeoil[],3,FALSE)</f>
        <v>#VALUE!</v>
      </c>
    </row>
    <row r="4445" spans="1:8" hidden="1" x14ac:dyDescent="0.3">
      <c r="A4445" t="s">
        <v>34</v>
      </c>
      <c r="B4445">
        <v>2017</v>
      </c>
      <c r="C4445" t="s">
        <v>40</v>
      </c>
      <c r="D4445" t="s">
        <v>18</v>
      </c>
      <c r="E4445" t="e">
        <f>VLOOKUP(Cpi_[[#This Row],[Attribute]],#REF!,2,FALSE)</f>
        <v>#REF!</v>
      </c>
      <c r="F4445">
        <v>132.1</v>
      </c>
      <c r="G4445">
        <f>(Cpi_[[#This Row],[Value]]-F4444)/F4444</f>
        <v>-5.1687006460875928E-2</v>
      </c>
      <c r="H4445" t="e" cm="1" vm="1">
        <f t="array" aca="1" ref="H4445" ca="1">VLOOKUP(Cpi_[[#This Row],[Year]:[Month]],crudeoil[],3,FALSE)</f>
        <v>#VALUE!</v>
      </c>
    </row>
    <row r="4446" spans="1:8" hidden="1" x14ac:dyDescent="0.3">
      <c r="A4446" t="s">
        <v>34</v>
      </c>
      <c r="B4446">
        <v>2017</v>
      </c>
      <c r="C4446" t="s">
        <v>40</v>
      </c>
      <c r="D4446" t="s">
        <v>19</v>
      </c>
      <c r="E4446" t="e">
        <f>VLOOKUP(Cpi_[[#This Row],[Attribute]],#REF!,2,FALSE)</f>
        <v>#REF!</v>
      </c>
      <c r="F4446">
        <v>138.30000000000001</v>
      </c>
      <c r="G4446">
        <f>(Cpi_[[#This Row],[Value]]-F4445)/F4445</f>
        <v>4.6934140802422537E-2</v>
      </c>
      <c r="H4446" t="e" cm="1" vm="1">
        <f t="array" aca="1" ref="H4446" ca="1">VLOOKUP(Cpi_[[#This Row],[Year]:[Month]],crudeoil[],3,FALSE)</f>
        <v>#VALUE!</v>
      </c>
    </row>
    <row r="4447" spans="1:8" hidden="1" x14ac:dyDescent="0.3">
      <c r="A4447" t="s">
        <v>34</v>
      </c>
      <c r="B4447">
        <v>2017</v>
      </c>
      <c r="C4447" t="s">
        <v>40</v>
      </c>
      <c r="D4447" t="s">
        <v>20</v>
      </c>
      <c r="E4447" t="e">
        <f>VLOOKUP(Cpi_[[#This Row],[Attribute]],#REF!,2,FALSE)</f>
        <v>#REF!</v>
      </c>
      <c r="F4447">
        <v>132.6</v>
      </c>
      <c r="G4447">
        <f>(Cpi_[[#This Row],[Value]]-F4446)/F4446</f>
        <v>-4.1214750542299471E-2</v>
      </c>
      <c r="H4447" t="e" cm="1" vm="1">
        <f t="array" aca="1" ref="H4447" ca="1">VLOOKUP(Cpi_[[#This Row],[Year]:[Month]],crudeoil[],3,FALSE)</f>
        <v>#VALUE!</v>
      </c>
    </row>
    <row r="4448" spans="1:8" hidden="1" x14ac:dyDescent="0.3">
      <c r="A4448" t="s">
        <v>34</v>
      </c>
      <c r="B4448">
        <v>2017</v>
      </c>
      <c r="C4448" t="s">
        <v>40</v>
      </c>
      <c r="D4448" t="s">
        <v>21</v>
      </c>
      <c r="E4448" t="e">
        <f>VLOOKUP(Cpi_[[#This Row],[Attribute]],#REF!,2,FALSE)</f>
        <v>#REF!</v>
      </c>
      <c r="F4448">
        <v>129.4</v>
      </c>
      <c r="G4448">
        <f>(Cpi_[[#This Row],[Value]]-F4447)/F4447</f>
        <v>-2.4132730015082871E-2</v>
      </c>
      <c r="H4448" t="e" cm="1" vm="1">
        <f t="array" aca="1" ref="H4448" ca="1">VLOOKUP(Cpi_[[#This Row],[Year]:[Month]],crudeoil[],3,FALSE)</f>
        <v>#VALUE!</v>
      </c>
    </row>
    <row r="4449" spans="1:8" hidden="1" x14ac:dyDescent="0.3">
      <c r="A4449" t="s">
        <v>34</v>
      </c>
      <c r="B4449">
        <v>2017</v>
      </c>
      <c r="C4449" t="s">
        <v>40</v>
      </c>
      <c r="D4449" t="s">
        <v>22</v>
      </c>
      <c r="E4449" t="e">
        <f>VLOOKUP(Cpi_[[#This Row],[Attribute]],#REF!,2,FALSE)</f>
        <v>#REF!</v>
      </c>
      <c r="F4449">
        <v>131.9</v>
      </c>
      <c r="G4449">
        <f>(Cpi_[[#This Row],[Value]]-F4448)/F4448</f>
        <v>1.9319938176197836E-2</v>
      </c>
      <c r="H4449" t="e" cm="1" vm="1">
        <f t="array" aca="1" ref="H4449" ca="1">VLOOKUP(Cpi_[[#This Row],[Year]:[Month]],crudeoil[],3,FALSE)</f>
        <v>#VALUE!</v>
      </c>
    </row>
    <row r="4450" spans="1:8" hidden="1" x14ac:dyDescent="0.3">
      <c r="A4450" t="s">
        <v>34</v>
      </c>
      <c r="B4450">
        <v>2017</v>
      </c>
      <c r="C4450" t="s">
        <v>40</v>
      </c>
      <c r="D4450" t="s">
        <v>23</v>
      </c>
      <c r="E4450" t="e">
        <f>VLOOKUP(Cpi_[[#This Row],[Attribute]],#REF!,2,FALSE)</f>
        <v>#REF!</v>
      </c>
      <c r="F4450">
        <v>129.4</v>
      </c>
      <c r="G4450">
        <f>(Cpi_[[#This Row],[Value]]-F4449)/F4449</f>
        <v>-1.8953752843062926E-2</v>
      </c>
      <c r="H4450" t="e" cm="1" vm="1">
        <f t="array" aca="1" ref="H4450" ca="1">VLOOKUP(Cpi_[[#This Row],[Year]:[Month]],crudeoil[],3,FALSE)</f>
        <v>#VALUE!</v>
      </c>
    </row>
    <row r="4451" spans="1:8" hidden="1" x14ac:dyDescent="0.3">
      <c r="A4451" t="s">
        <v>34</v>
      </c>
      <c r="B4451">
        <v>2017</v>
      </c>
      <c r="C4451" t="s">
        <v>40</v>
      </c>
      <c r="D4451" t="s">
        <v>24</v>
      </c>
      <c r="E4451" t="e">
        <f>VLOOKUP(Cpi_[[#This Row],[Attribute]],#REF!,2,FALSE)</f>
        <v>#REF!</v>
      </c>
      <c r="F4451">
        <v>116</v>
      </c>
      <c r="G4451">
        <f>(Cpi_[[#This Row],[Value]]-F4450)/F4450</f>
        <v>-0.10355486862442044</v>
      </c>
      <c r="H4451" t="e" cm="1" vm="1">
        <f t="array" aca="1" ref="H4451" ca="1">VLOOKUP(Cpi_[[#This Row],[Year]:[Month]],crudeoil[],3,FALSE)</f>
        <v>#VALUE!</v>
      </c>
    </row>
    <row r="4452" spans="1:8" hidden="1" x14ac:dyDescent="0.3">
      <c r="A4452" t="s">
        <v>34</v>
      </c>
      <c r="B4452">
        <v>2017</v>
      </c>
      <c r="C4452" t="s">
        <v>40</v>
      </c>
      <c r="D4452" t="s">
        <v>25</v>
      </c>
      <c r="E4452" t="e">
        <f>VLOOKUP(Cpi_[[#This Row],[Attribute]],#REF!,2,FALSE)</f>
        <v>#REF!</v>
      </c>
      <c r="F4452">
        <v>126.6</v>
      </c>
      <c r="G4452">
        <f>(Cpi_[[#This Row],[Value]]-F4451)/F4451</f>
        <v>9.1379310344827533E-2</v>
      </c>
      <c r="H4452" t="e" cm="1" vm="1">
        <f t="array" aca="1" ref="H4452" ca="1">VLOOKUP(Cpi_[[#This Row],[Year]:[Month]],crudeoil[],3,FALSE)</f>
        <v>#VALUE!</v>
      </c>
    </row>
    <row r="4453" spans="1:8" hidden="1" x14ac:dyDescent="0.3">
      <c r="A4453" t="s">
        <v>34</v>
      </c>
      <c r="B4453">
        <v>2017</v>
      </c>
      <c r="C4453" t="s">
        <v>40</v>
      </c>
      <c r="D4453" t="s">
        <v>26</v>
      </c>
      <c r="E4453" t="e">
        <f>VLOOKUP(Cpi_[[#This Row],[Attribute]],#REF!,2,FALSE)</f>
        <v>#REF!</v>
      </c>
      <c r="F4453">
        <v>136.80000000000001</v>
      </c>
      <c r="G4453">
        <f>(Cpi_[[#This Row],[Value]]-F4452)/F4452</f>
        <v>8.0568720379147057E-2</v>
      </c>
      <c r="H4453" t="e" cm="1" vm="1">
        <f t="array" aca="1" ref="H4453" ca="1">VLOOKUP(Cpi_[[#This Row],[Year]:[Month]],crudeoil[],3,FALSE)</f>
        <v>#VALUE!</v>
      </c>
    </row>
    <row r="4454" spans="1:8" hidden="1" x14ac:dyDescent="0.3">
      <c r="A4454" t="s">
        <v>34</v>
      </c>
      <c r="B4454">
        <v>2017</v>
      </c>
      <c r="C4454" t="s">
        <v>40</v>
      </c>
      <c r="D4454" t="s">
        <v>27</v>
      </c>
      <c r="E4454" t="e">
        <f>VLOOKUP(Cpi_[[#This Row],[Attribute]],#REF!,2,FALSE)</f>
        <v>#REF!</v>
      </c>
      <c r="F4454">
        <v>123.6</v>
      </c>
      <c r="G4454">
        <f>(Cpi_[[#This Row],[Value]]-F4453)/F4453</f>
        <v>-9.6491228070175558E-2</v>
      </c>
      <c r="H4454" t="e" cm="1" vm="1">
        <f t="array" aca="1" ref="H4454" ca="1">VLOOKUP(Cpi_[[#This Row],[Year]:[Month]],crudeoil[],3,FALSE)</f>
        <v>#VALUE!</v>
      </c>
    </row>
    <row r="4455" spans="1:8" hidden="1" x14ac:dyDescent="0.3">
      <c r="A4455" t="s">
        <v>34</v>
      </c>
      <c r="B4455">
        <v>2017</v>
      </c>
      <c r="C4455" t="s">
        <v>40</v>
      </c>
      <c r="D4455" t="s">
        <v>28</v>
      </c>
      <c r="E4455" t="e">
        <f>VLOOKUP(Cpi_[[#This Row],[Attribute]],#REF!,2,FALSE)</f>
        <v>#REF!</v>
      </c>
      <c r="F4455">
        <v>125.9</v>
      </c>
      <c r="G4455">
        <f>(Cpi_[[#This Row],[Value]]-F4454)/F4454</f>
        <v>1.8608414239482292E-2</v>
      </c>
      <c r="H4455" t="e" cm="1" vm="1">
        <f t="array" aca="1" ref="H4455" ca="1">VLOOKUP(Cpi_[[#This Row],[Year]:[Month]],crudeoil[],3,FALSE)</f>
        <v>#VALUE!</v>
      </c>
    </row>
    <row r="4456" spans="1:8" hidden="1" x14ac:dyDescent="0.3">
      <c r="A4456" t="s">
        <v>34</v>
      </c>
      <c r="B4456">
        <v>2017</v>
      </c>
      <c r="C4456" t="s">
        <v>40</v>
      </c>
      <c r="D4456" t="s">
        <v>29</v>
      </c>
      <c r="E4456" t="e" cm="1">
        <f t="array" aca="1" ref="E4456" ca="1">VLGeneral indexGeneral indexKUP(Cpi_[[#This Row],[Attribute]],#REF!,2,FALSE)</f>
        <v>#NAME?</v>
      </c>
      <c r="F4456">
        <v>134.19999999999999</v>
      </c>
      <c r="G4456">
        <f>(Cpi_[[#This Row],[Value]]-F4455)/F4455</f>
        <v>6.5925337569499462E-2</v>
      </c>
      <c r="H4456" t="e" cm="1" vm="1">
        <f t="array" aca="1" ref="H4456" ca="1">VLOOKUP(Cpi_[[#This Row],[Year]:[Month]],crudeoil[],3,FALSE)</f>
        <v>#VALUE!</v>
      </c>
    </row>
    <row r="4457" spans="1:8" hidden="1" x14ac:dyDescent="0.3">
      <c r="A4457" t="s">
        <v>30</v>
      </c>
      <c r="B4457">
        <v>2017</v>
      </c>
      <c r="C4457" t="s">
        <v>41</v>
      </c>
      <c r="D4457" t="s">
        <v>3</v>
      </c>
      <c r="E4457" t="e">
        <f>VLOOKUP(Cpi_[[#This Row],[Attribute]],#REF!,2,FALSE)</f>
        <v>#REF!</v>
      </c>
      <c r="F4457">
        <v>134.80000000000001</v>
      </c>
      <c r="G4457">
        <f>(Cpi_[[#This Row],[Value]]-F4456)/F4456</f>
        <v>4.4709388971685754E-3</v>
      </c>
      <c r="H4457" t="e" cm="1" vm="1">
        <f t="array" aca="1" ref="H4457" ca="1">VLOOKUP(Cpi_[[#This Row],[Year]:[Month]],crudeoil[],3,FALSE)</f>
        <v>#VALUE!</v>
      </c>
    </row>
    <row r="4458" spans="1:8" hidden="1" x14ac:dyDescent="0.3">
      <c r="A4458" t="s">
        <v>30</v>
      </c>
      <c r="B4458">
        <v>2017</v>
      </c>
      <c r="C4458" t="s">
        <v>41</v>
      </c>
      <c r="D4458" t="s">
        <v>4</v>
      </c>
      <c r="E4458" t="e">
        <f>VLOOKUP(Cpi_[[#This Row],[Attribute]],#REF!,2,FALSE)</f>
        <v>#REF!</v>
      </c>
      <c r="F4458">
        <v>143.1</v>
      </c>
      <c r="G4458">
        <f>(Cpi_[[#This Row],[Value]]-F4457)/F4457</f>
        <v>6.1572700296735776E-2</v>
      </c>
      <c r="H4458" t="e" cm="1" vm="1">
        <f t="array" aca="1" ref="H4458" ca="1">VLOOKUP(Cpi_[[#This Row],[Year]:[Month]],crudeoil[],3,FALSE)</f>
        <v>#VALUE!</v>
      </c>
    </row>
    <row r="4459" spans="1:8" hidden="1" x14ac:dyDescent="0.3">
      <c r="A4459" t="s">
        <v>30</v>
      </c>
      <c r="B4459">
        <v>2017</v>
      </c>
      <c r="C4459" t="s">
        <v>41</v>
      </c>
      <c r="D4459" t="s">
        <v>5</v>
      </c>
      <c r="E4459" t="e">
        <f>VLOOKUP(Cpi_[[#This Row],[Attribute]],#REF!,2,FALSE)</f>
        <v>#REF!</v>
      </c>
      <c r="F4459">
        <v>130</v>
      </c>
      <c r="G4459">
        <f>(Cpi_[[#This Row],[Value]]-F4458)/F4458</f>
        <v>-9.154437456324245E-2</v>
      </c>
      <c r="H4459" t="e" cm="1" vm="1">
        <f t="array" aca="1" ref="H4459" ca="1">VLOOKUP(Cpi_[[#This Row],[Year]:[Month]],crudeoil[],3,FALSE)</f>
        <v>#VALUE!</v>
      </c>
    </row>
    <row r="4460" spans="1:8" hidden="1" x14ac:dyDescent="0.3">
      <c r="A4460" t="s">
        <v>30</v>
      </c>
      <c r="B4460">
        <v>2017</v>
      </c>
      <c r="C4460" t="s">
        <v>41</v>
      </c>
      <c r="D4460" t="s">
        <v>6</v>
      </c>
      <c r="E4460" t="e">
        <f>VLOOKUP(Cpi_[[#This Row],[Attribute]],#REF!,2,FALSE)</f>
        <v>#REF!</v>
      </c>
      <c r="F4460">
        <v>139.4</v>
      </c>
      <c r="G4460">
        <f>(Cpi_[[#This Row],[Value]]-F4459)/F4459</f>
        <v>7.2307692307692351E-2</v>
      </c>
      <c r="H4460" t="e" cm="1" vm="1">
        <f t="array" aca="1" ref="H4460" ca="1">VLOOKUP(Cpi_[[#This Row],[Year]:[Month]],crudeoil[],3,FALSE)</f>
        <v>#VALUE!</v>
      </c>
    </row>
    <row r="4461" spans="1:8" hidden="1" x14ac:dyDescent="0.3">
      <c r="A4461" t="s">
        <v>30</v>
      </c>
      <c r="B4461">
        <v>2017</v>
      </c>
      <c r="C4461" t="s">
        <v>41</v>
      </c>
      <c r="D4461" t="s">
        <v>7</v>
      </c>
      <c r="E4461" t="e">
        <f>VLOOKUP(Cpi_[[#This Row],[Attribute]],#REF!,2,FALSE)</f>
        <v>#REF!</v>
      </c>
      <c r="F4461">
        <v>120.5</v>
      </c>
      <c r="G4461">
        <f>(Cpi_[[#This Row],[Value]]-F4460)/F4460</f>
        <v>-0.13558106169296991</v>
      </c>
      <c r="H4461" t="e" cm="1" vm="1">
        <f t="array" aca="1" ref="H4461" ca="1">VLOOKUP(Cpi_[[#This Row],[Year]:[Month]],crudeoil[],3,FALSE)</f>
        <v>#VALUE!</v>
      </c>
    </row>
    <row r="4462" spans="1:8" hidden="1" x14ac:dyDescent="0.3">
      <c r="A4462" t="s">
        <v>30</v>
      </c>
      <c r="B4462">
        <v>2017</v>
      </c>
      <c r="C4462" t="s">
        <v>41</v>
      </c>
      <c r="D4462" t="s">
        <v>8</v>
      </c>
      <c r="E4462" t="e">
        <f>VLOOKUP(Cpi_[[#This Row],[Attribute]],#REF!,2,FALSE)</f>
        <v>#REF!</v>
      </c>
      <c r="F4462">
        <v>148</v>
      </c>
      <c r="G4462">
        <f>(Cpi_[[#This Row],[Value]]-F4461)/F4461</f>
        <v>0.22821576763485477</v>
      </c>
      <c r="H4462" t="e" cm="1" vm="1">
        <f t="array" aca="1" ref="H4462" ca="1">VLOOKUP(Cpi_[[#This Row],[Year]:[Month]],crudeoil[],3,FALSE)</f>
        <v>#VALUE!</v>
      </c>
    </row>
    <row r="4463" spans="1:8" hidden="1" x14ac:dyDescent="0.3">
      <c r="A4463" t="s">
        <v>30</v>
      </c>
      <c r="B4463">
        <v>2017</v>
      </c>
      <c r="C4463" t="s">
        <v>41</v>
      </c>
      <c r="D4463" t="s">
        <v>9</v>
      </c>
      <c r="E4463" t="e">
        <f>VLOOKUP(Cpi_[[#This Row],[Attribute]],#REF!,2,FALSE)</f>
        <v>#REF!</v>
      </c>
      <c r="F4463">
        <v>162.9</v>
      </c>
      <c r="G4463">
        <f>(Cpi_[[#This Row],[Value]]-F4462)/F4462</f>
        <v>0.10067567567567572</v>
      </c>
      <c r="H4463" t="e" cm="1" vm="1">
        <f t="array" aca="1" ref="H4463" ca="1">VLOOKUP(Cpi_[[#This Row],[Year]:[Month]],crudeoil[],3,FALSE)</f>
        <v>#VALUE!</v>
      </c>
    </row>
    <row r="4464" spans="1:8" hidden="1" x14ac:dyDescent="0.3">
      <c r="A4464" t="s">
        <v>30</v>
      </c>
      <c r="B4464">
        <v>2017</v>
      </c>
      <c r="C4464" t="s">
        <v>41</v>
      </c>
      <c r="D4464" t="s">
        <v>10</v>
      </c>
      <c r="E4464" t="e">
        <f>VLOOKUP(Cpi_[[#This Row],[Attribute]],#REF!,2,FALSE)</f>
        <v>#REF!</v>
      </c>
      <c r="F4464">
        <v>137.4</v>
      </c>
      <c r="G4464">
        <f>(Cpi_[[#This Row],[Value]]-F4463)/F4463</f>
        <v>-0.15653775322283608</v>
      </c>
      <c r="H4464" t="e" cm="1" vm="1">
        <f t="array" aca="1" ref="H4464" ca="1">VLOOKUP(Cpi_[[#This Row],[Year]:[Month]],crudeoil[],3,FALSE)</f>
        <v>#VALUE!</v>
      </c>
    </row>
    <row r="4465" spans="1:8" hidden="1" x14ac:dyDescent="0.3">
      <c r="A4465" t="s">
        <v>30</v>
      </c>
      <c r="B4465">
        <v>2017</v>
      </c>
      <c r="C4465" t="s">
        <v>41</v>
      </c>
      <c r="D4465" t="s">
        <v>11</v>
      </c>
      <c r="E4465" t="e">
        <f>VLOOKUP(Cpi_[[#This Row],[Attribute]],#REF!,2,FALSE)</f>
        <v>#REF!</v>
      </c>
      <c r="F4465">
        <v>120.8</v>
      </c>
      <c r="G4465">
        <f>(Cpi_[[#This Row],[Value]]-F4464)/F4464</f>
        <v>-0.12081513828238724</v>
      </c>
      <c r="H4465" t="e" cm="1" vm="1">
        <f t="array" aca="1" ref="H4465" ca="1">VLOOKUP(Cpi_[[#This Row],[Year]:[Month]],crudeoil[],3,FALSE)</f>
        <v>#VALUE!</v>
      </c>
    </row>
    <row r="4466" spans="1:8" hidden="1" x14ac:dyDescent="0.3">
      <c r="A4466" t="s">
        <v>30</v>
      </c>
      <c r="B4466">
        <v>2017</v>
      </c>
      <c r="C4466" t="s">
        <v>41</v>
      </c>
      <c r="D4466" t="s">
        <v>12</v>
      </c>
      <c r="E4466" t="e">
        <f>VLOOKUP(Cpi_[[#This Row],[Attribute]],#REF!,2,FALSE)</f>
        <v>#REF!</v>
      </c>
      <c r="F4466">
        <v>134.69999999999999</v>
      </c>
      <c r="G4466">
        <f>(Cpi_[[#This Row],[Value]]-F4465)/F4465</f>
        <v>0.11506622516556285</v>
      </c>
      <c r="H4466" t="e" cm="1" vm="1">
        <f t="array" aca="1" ref="H4466" ca="1">VLOOKUP(Cpi_[[#This Row],[Year]:[Month]],crudeoil[],3,FALSE)</f>
        <v>#VALUE!</v>
      </c>
    </row>
    <row r="4467" spans="1:8" hidden="1" x14ac:dyDescent="0.3">
      <c r="A4467" t="s">
        <v>30</v>
      </c>
      <c r="B4467">
        <v>2017</v>
      </c>
      <c r="C4467" t="s">
        <v>41</v>
      </c>
      <c r="D4467" t="s">
        <v>13</v>
      </c>
      <c r="E4467" t="e">
        <f>VLOOKUP(Cpi_[[#This Row],[Attribute]],#REF!,2,FALSE)</f>
        <v>#REF!</v>
      </c>
      <c r="F4467">
        <v>131.6</v>
      </c>
      <c r="G4467">
        <f>(Cpi_[[#This Row],[Value]]-F4466)/F4466</f>
        <v>-2.3014105419450592E-2</v>
      </c>
      <c r="H4467" t="e" cm="1" vm="1">
        <f t="array" aca="1" ref="H4467" ca="1">VLOOKUP(Cpi_[[#This Row],[Year]:[Month]],crudeoil[],3,FALSE)</f>
        <v>#VALUE!</v>
      </c>
    </row>
    <row r="4468" spans="1:8" hidden="1" x14ac:dyDescent="0.3">
      <c r="A4468" t="s">
        <v>30</v>
      </c>
      <c r="B4468">
        <v>2017</v>
      </c>
      <c r="C4468" t="s">
        <v>41</v>
      </c>
      <c r="D4468" t="s">
        <v>14</v>
      </c>
      <c r="E4468" t="e">
        <f>VLOOKUP(Cpi_[[#This Row],[Attribute]],#REF!,2,FALSE)</f>
        <v>#REF!</v>
      </c>
      <c r="F4468">
        <v>148.69999999999999</v>
      </c>
      <c r="G4468">
        <f>(Cpi_[[#This Row],[Value]]-F4467)/F4467</f>
        <v>0.12993920972644374</v>
      </c>
      <c r="H4468" t="e" cm="1" vm="1">
        <f t="array" aca="1" ref="H4468" ca="1">VLOOKUP(Cpi_[[#This Row],[Year]:[Month]],crudeoil[],3,FALSE)</f>
        <v>#VALUE!</v>
      </c>
    </row>
    <row r="4469" spans="1:8" hidden="1" x14ac:dyDescent="0.3">
      <c r="A4469" t="s">
        <v>30</v>
      </c>
      <c r="B4469">
        <v>2017</v>
      </c>
      <c r="C4469" t="s">
        <v>41</v>
      </c>
      <c r="D4469" t="s">
        <v>15</v>
      </c>
      <c r="E4469" t="e">
        <f>VLOOKUP(Cpi_[[#This Row],[Attribute]],#REF!,2,FALSE)</f>
        <v>#REF!</v>
      </c>
      <c r="F4469">
        <v>140.6</v>
      </c>
      <c r="G4469">
        <f>(Cpi_[[#This Row],[Value]]-F4468)/F4468</f>
        <v>-5.4472091459314018E-2</v>
      </c>
      <c r="H4469" t="e" cm="1" vm="1">
        <f t="array" aca="1" ref="H4469" ca="1">VLOOKUP(Cpi_[[#This Row],[Year]:[Month]],crudeoil[],3,FALSE)</f>
        <v>#VALUE!</v>
      </c>
    </row>
    <row r="4470" spans="1:8" hidden="1" x14ac:dyDescent="0.3">
      <c r="A4470" t="s">
        <v>30</v>
      </c>
      <c r="B4470">
        <v>2017</v>
      </c>
      <c r="C4470" t="s">
        <v>41</v>
      </c>
      <c r="D4470" t="s">
        <v>16</v>
      </c>
      <c r="E4470" t="e">
        <f>VLOOKUP(Cpi_[[#This Row],[Attribute]],#REF!,2,FALSE)</f>
        <v>#REF!</v>
      </c>
      <c r="F4470">
        <v>149</v>
      </c>
      <c r="G4470">
        <f>(Cpi_[[#This Row],[Value]]-F4469)/F4469</f>
        <v>5.9743954480796627E-2</v>
      </c>
      <c r="H4470" t="e" cm="1" vm="1">
        <f t="array" aca="1" ref="H4470" ca="1">VLOOKUP(Cpi_[[#This Row],[Year]:[Month]],crudeoil[],3,FALSE)</f>
        <v>#VALUE!</v>
      </c>
    </row>
    <row r="4471" spans="1:8" hidden="1" x14ac:dyDescent="0.3">
      <c r="A4471" t="s">
        <v>30</v>
      </c>
      <c r="B4471">
        <v>2017</v>
      </c>
      <c r="C4471" t="s">
        <v>41</v>
      </c>
      <c r="D4471" t="s">
        <v>17</v>
      </c>
      <c r="E4471" t="e">
        <f>VLOOKUP(Cpi_[[#This Row],[Attribute]],#REF!,2,FALSE)</f>
        <v>#REF!</v>
      </c>
      <c r="F4471">
        <v>145.30000000000001</v>
      </c>
      <c r="G4471">
        <f>(Cpi_[[#This Row],[Value]]-F4470)/F4470</f>
        <v>-2.4832214765100596E-2</v>
      </c>
      <c r="H4471" t="e" cm="1" vm="1">
        <f t="array" aca="1" ref="H4471" ca="1">VLOOKUP(Cpi_[[#This Row],[Year]:[Month]],crudeoil[],3,FALSE)</f>
        <v>#VALUE!</v>
      </c>
    </row>
    <row r="4472" spans="1:8" hidden="1" x14ac:dyDescent="0.3">
      <c r="A4472" t="s">
        <v>30</v>
      </c>
      <c r="B4472">
        <v>2017</v>
      </c>
      <c r="C4472" t="s">
        <v>41</v>
      </c>
      <c r="D4472" t="s">
        <v>18</v>
      </c>
      <c r="E4472" t="e">
        <f>VLOOKUP(Cpi_[[#This Row],[Attribute]],#REF!,2,FALSE)</f>
        <v>#REF!</v>
      </c>
      <c r="F4472">
        <v>139.19999999999999</v>
      </c>
      <c r="G4472">
        <f>(Cpi_[[#This Row],[Value]]-F4471)/F4471</f>
        <v>-4.1982105987611991E-2</v>
      </c>
      <c r="H4472" t="e" cm="1" vm="1">
        <f t="array" aca="1" ref="H4472" ca="1">VLOOKUP(Cpi_[[#This Row],[Year]:[Month]],crudeoil[],3,FALSE)</f>
        <v>#VALUE!</v>
      </c>
    </row>
    <row r="4473" spans="1:8" hidden="1" x14ac:dyDescent="0.3">
      <c r="A4473" t="s">
        <v>30</v>
      </c>
      <c r="B4473">
        <v>2017</v>
      </c>
      <c r="C4473" t="s">
        <v>41</v>
      </c>
      <c r="D4473" t="s">
        <v>19</v>
      </c>
      <c r="E4473" t="e">
        <f>VLOOKUP(Cpi_[[#This Row],[Attribute]],#REF!,2,FALSE)</f>
        <v>#REF!</v>
      </c>
      <c r="F4473">
        <v>144.5</v>
      </c>
      <c r="G4473">
        <f>(Cpi_[[#This Row],[Value]]-F4472)/F4472</f>
        <v>3.8074712643678246E-2</v>
      </c>
      <c r="H4473" t="e" cm="1" vm="1">
        <f t="array" aca="1" ref="H4473" ca="1">VLOOKUP(Cpi_[[#This Row],[Year]:[Month]],crudeoil[],3,FALSE)</f>
        <v>#VALUE!</v>
      </c>
    </row>
    <row r="4474" spans="1:8" hidden="1" x14ac:dyDescent="0.3">
      <c r="A4474" t="s">
        <v>30</v>
      </c>
      <c r="B4474">
        <v>2017</v>
      </c>
      <c r="C4474" t="s">
        <v>41</v>
      </c>
      <c r="D4474" t="s">
        <v>20</v>
      </c>
      <c r="E4474" t="e">
        <f>VLOOKUP(Cpi_[[#This Row],[Attribute]],#REF!,2,FALSE)</f>
        <v>#REF!</v>
      </c>
      <c r="F4474" t="s">
        <v>32</v>
      </c>
      <c r="G4474" t="e">
        <f>(Cpi_[[#This Row],[Value]]-F4473)/F4473</f>
        <v>#VALUE!</v>
      </c>
      <c r="H4474" t="e" cm="1" vm="1">
        <f t="array" aca="1" ref="H4474" ca="1">VLOOKUP(Cpi_[[#This Row],[Year]:[Month]],crudeoil[],3,FALSE)</f>
        <v>#VALUE!</v>
      </c>
    </row>
    <row r="4475" spans="1:8" hidden="1" x14ac:dyDescent="0.3">
      <c r="A4475" t="s">
        <v>30</v>
      </c>
      <c r="B4475">
        <v>2017</v>
      </c>
      <c r="C4475" t="s">
        <v>41</v>
      </c>
      <c r="D4475" t="s">
        <v>21</v>
      </c>
      <c r="E4475" t="e">
        <f>VLOOKUP(Cpi_[[#This Row],[Attribute]],#REF!,2,FALSE)</f>
        <v>#REF!</v>
      </c>
      <c r="F4475">
        <v>136.4</v>
      </c>
      <c r="G4475" t="e">
        <f>(Cpi_[[#This Row],[Value]]-F4474)/F4474</f>
        <v>#VALUE!</v>
      </c>
      <c r="H4475" t="e" cm="1" vm="1">
        <f t="array" aca="1" ref="H4475" ca="1">VLOOKUP(Cpi_[[#This Row],[Year]:[Month]],crudeoil[],3,FALSE)</f>
        <v>#VALUE!</v>
      </c>
    </row>
    <row r="4476" spans="1:8" hidden="1" x14ac:dyDescent="0.3">
      <c r="A4476" t="s">
        <v>30</v>
      </c>
      <c r="B4476">
        <v>2017</v>
      </c>
      <c r="C4476" t="s">
        <v>41</v>
      </c>
      <c r="D4476" t="s">
        <v>22</v>
      </c>
      <c r="E4476" t="e">
        <f>VLOOKUP(Cpi_[[#This Row],[Attribute]],#REF!,2,FALSE)</f>
        <v>#REF!</v>
      </c>
      <c r="F4476">
        <v>137.30000000000001</v>
      </c>
      <c r="G4476">
        <f>(Cpi_[[#This Row],[Value]]-F4475)/F4475</f>
        <v>6.5982404692082521E-3</v>
      </c>
      <c r="H4476" t="e" cm="1" vm="1">
        <f t="array" aca="1" ref="H4476" ca="1">VLOOKUP(Cpi_[[#This Row],[Year]:[Month]],crudeoil[],3,FALSE)</f>
        <v>#VALUE!</v>
      </c>
    </row>
    <row r="4477" spans="1:8" hidden="1" x14ac:dyDescent="0.3">
      <c r="A4477" t="s">
        <v>30</v>
      </c>
      <c r="B4477">
        <v>2017</v>
      </c>
      <c r="C4477" t="s">
        <v>41</v>
      </c>
      <c r="D4477" t="s">
        <v>23</v>
      </c>
      <c r="E4477" t="e">
        <f>VLOOKUP(Cpi_[[#This Row],[Attribute]],#REF!,2,FALSE)</f>
        <v>#REF!</v>
      </c>
      <c r="F4477">
        <v>133</v>
      </c>
      <c r="G4477">
        <f>(Cpi_[[#This Row],[Value]]-F4476)/F4476</f>
        <v>-3.1318281136198188E-2</v>
      </c>
      <c r="H4477" t="e" cm="1" vm="1">
        <f t="array" aca="1" ref="H4477" ca="1">VLOOKUP(Cpi_[[#This Row],[Year]:[Month]],crudeoil[],3,FALSE)</f>
        <v>#VALUE!</v>
      </c>
    </row>
    <row r="4478" spans="1:8" hidden="1" x14ac:dyDescent="0.3">
      <c r="A4478" t="s">
        <v>30</v>
      </c>
      <c r="B4478">
        <v>2017</v>
      </c>
      <c r="C4478" t="s">
        <v>41</v>
      </c>
      <c r="D4478" t="s">
        <v>24</v>
      </c>
      <c r="E4478" t="e">
        <f>VLOOKUP(Cpi_[[#This Row],[Attribute]],#REF!,2,FALSE)</f>
        <v>#REF!</v>
      </c>
      <c r="F4478">
        <v>120.3</v>
      </c>
      <c r="G4478">
        <f>(Cpi_[[#This Row],[Value]]-F4477)/F4477</f>
        <v>-9.5488721804511303E-2</v>
      </c>
      <c r="H4478" t="e" cm="1" vm="1">
        <f t="array" aca="1" ref="H4478" ca="1">VLOOKUP(Cpi_[[#This Row],[Year]:[Month]],crudeoil[],3,FALSE)</f>
        <v>#VALUE!</v>
      </c>
    </row>
    <row r="4479" spans="1:8" hidden="1" x14ac:dyDescent="0.3">
      <c r="A4479" t="s">
        <v>30</v>
      </c>
      <c r="B4479">
        <v>2017</v>
      </c>
      <c r="C4479" t="s">
        <v>41</v>
      </c>
      <c r="D4479" t="s">
        <v>25</v>
      </c>
      <c r="E4479" t="e">
        <f>VLOOKUP(Cpi_[[#This Row],[Attribute]],#REF!,2,FALSE)</f>
        <v>#REF!</v>
      </c>
      <c r="F4479">
        <v>131.5</v>
      </c>
      <c r="G4479">
        <f>(Cpi_[[#This Row],[Value]]-F4478)/F4478</f>
        <v>9.3100581878636762E-2</v>
      </c>
      <c r="H4479" t="e" cm="1" vm="1">
        <f t="array" aca="1" ref="H4479" ca="1">VLOOKUP(Cpi_[[#This Row],[Year]:[Month]],crudeoil[],3,FALSE)</f>
        <v>#VALUE!</v>
      </c>
    </row>
    <row r="4480" spans="1:8" hidden="1" x14ac:dyDescent="0.3">
      <c r="A4480" t="s">
        <v>30</v>
      </c>
      <c r="B4480">
        <v>2017</v>
      </c>
      <c r="C4480" t="s">
        <v>41</v>
      </c>
      <c r="D4480" t="s">
        <v>26</v>
      </c>
      <c r="E4480" t="e">
        <f>VLOOKUP(Cpi_[[#This Row],[Attribute]],#REF!,2,FALSE)</f>
        <v>#REF!</v>
      </c>
      <c r="F4480">
        <v>140.19999999999999</v>
      </c>
      <c r="G4480">
        <f>(Cpi_[[#This Row],[Value]]-F4479)/F4479</f>
        <v>6.6159695817490413E-2</v>
      </c>
      <c r="H4480" t="e" cm="1" vm="1">
        <f t="array" aca="1" ref="H4480" ca="1">VLOOKUP(Cpi_[[#This Row],[Year]:[Month]],crudeoil[],3,FALSE)</f>
        <v>#VALUE!</v>
      </c>
    </row>
    <row r="4481" spans="1:8" hidden="1" x14ac:dyDescent="0.3">
      <c r="A4481" t="s">
        <v>30</v>
      </c>
      <c r="B4481">
        <v>2017</v>
      </c>
      <c r="C4481" t="s">
        <v>41</v>
      </c>
      <c r="D4481" t="s">
        <v>27</v>
      </c>
      <c r="E4481" t="e">
        <f>VLOOKUP(Cpi_[[#This Row],[Attribute]],#REF!,2,FALSE)</f>
        <v>#REF!</v>
      </c>
      <c r="F4481">
        <v>125.4</v>
      </c>
      <c r="G4481">
        <f>(Cpi_[[#This Row],[Value]]-F4480)/F4480</f>
        <v>-0.10556348074179732</v>
      </c>
      <c r="H4481" t="e" cm="1" vm="1">
        <f t="array" aca="1" ref="H4481" ca="1">VLOOKUP(Cpi_[[#This Row],[Year]:[Month]],crudeoil[],3,FALSE)</f>
        <v>#VALUE!</v>
      </c>
    </row>
    <row r="4482" spans="1:8" hidden="1" x14ac:dyDescent="0.3">
      <c r="A4482" t="s">
        <v>30</v>
      </c>
      <c r="B4482">
        <v>2017</v>
      </c>
      <c r="C4482" t="s">
        <v>41</v>
      </c>
      <c r="D4482" t="s">
        <v>28</v>
      </c>
      <c r="E4482" t="e">
        <f>VLOOKUP(Cpi_[[#This Row],[Attribute]],#REF!,2,FALSE)</f>
        <v>#REF!</v>
      </c>
      <c r="F4482">
        <v>129.69999999999999</v>
      </c>
      <c r="G4482">
        <f>(Cpi_[[#This Row],[Value]]-F4481)/F4481</f>
        <v>3.429027113237626E-2</v>
      </c>
      <c r="H4482" t="e" cm="1" vm="1">
        <f t="array" aca="1" ref="H4482" ca="1">VLOOKUP(Cpi_[[#This Row],[Year]:[Month]],crudeoil[],3,FALSE)</f>
        <v>#VALUE!</v>
      </c>
    </row>
    <row r="4483" spans="1:8" hidden="1" x14ac:dyDescent="0.3">
      <c r="A4483" t="s">
        <v>30</v>
      </c>
      <c r="B4483">
        <v>2017</v>
      </c>
      <c r="C4483" t="s">
        <v>41</v>
      </c>
      <c r="D4483" t="s">
        <v>29</v>
      </c>
      <c r="E4483" t="e" cm="1">
        <f t="array" aca="1" ref="E4483" ca="1">VLGeneral indexGeneral indexKUP(Cpi_[[#This Row],[Attribute]],#REF!,2,FALSE)</f>
        <v>#NAME?</v>
      </c>
      <c r="F4483">
        <v>137.80000000000001</v>
      </c>
      <c r="G4483">
        <f>(Cpi_[[#This Row],[Value]]-F4482)/F4482</f>
        <v>6.2451811873554537E-2</v>
      </c>
      <c r="H4483" t="e" cm="1" vm="1">
        <f t="array" aca="1" ref="H4483" ca="1">VLOOKUP(Cpi_[[#This Row],[Year]:[Month]],crudeoil[],3,FALSE)</f>
        <v>#VALUE!</v>
      </c>
    </row>
    <row r="4484" spans="1:8" hidden="1" x14ac:dyDescent="0.3">
      <c r="A4484" t="s">
        <v>33</v>
      </c>
      <c r="B4484">
        <v>2017</v>
      </c>
      <c r="C4484" t="s">
        <v>41</v>
      </c>
      <c r="D4484" t="s">
        <v>3</v>
      </c>
      <c r="E4484" t="e">
        <f>VLOOKUP(Cpi_[[#This Row],[Attribute]],#REF!,2,FALSE)</f>
        <v>#REF!</v>
      </c>
      <c r="F4484">
        <v>133.19999999999999</v>
      </c>
      <c r="G4484">
        <f>(Cpi_[[#This Row],[Value]]-F4483)/F4483</f>
        <v>-3.338171262699581E-2</v>
      </c>
      <c r="H4484" t="e" cm="1" vm="1">
        <f t="array" aca="1" ref="H4484" ca="1">VLOOKUP(Cpi_[[#This Row],[Year]:[Month]],crudeoil[],3,FALSE)</f>
        <v>#VALUE!</v>
      </c>
    </row>
    <row r="4485" spans="1:8" hidden="1" x14ac:dyDescent="0.3">
      <c r="A4485" t="s">
        <v>33</v>
      </c>
      <c r="B4485">
        <v>2017</v>
      </c>
      <c r="C4485" t="s">
        <v>41</v>
      </c>
      <c r="D4485" t="s">
        <v>4</v>
      </c>
      <c r="E4485" t="e">
        <f>VLOOKUP(Cpi_[[#This Row],[Attribute]],#REF!,2,FALSE)</f>
        <v>#REF!</v>
      </c>
      <c r="F4485">
        <v>143.9</v>
      </c>
      <c r="G4485">
        <f>(Cpi_[[#This Row],[Value]]-F4484)/F4484</f>
        <v>8.0330330330330463E-2</v>
      </c>
      <c r="H4485" t="e" cm="1" vm="1">
        <f t="array" aca="1" ref="H4485" ca="1">VLOOKUP(Cpi_[[#This Row],[Year]:[Month]],crudeoil[],3,FALSE)</f>
        <v>#VALUE!</v>
      </c>
    </row>
    <row r="4486" spans="1:8" hidden="1" x14ac:dyDescent="0.3">
      <c r="A4486" t="s">
        <v>33</v>
      </c>
      <c r="B4486">
        <v>2017</v>
      </c>
      <c r="C4486" t="s">
        <v>41</v>
      </c>
      <c r="D4486" t="s">
        <v>5</v>
      </c>
      <c r="E4486" t="e">
        <f>VLOOKUP(Cpi_[[#This Row],[Attribute]],#REF!,2,FALSE)</f>
        <v>#REF!</v>
      </c>
      <c r="F4486">
        <v>128.30000000000001</v>
      </c>
      <c r="G4486">
        <f>(Cpi_[[#This Row],[Value]]-F4485)/F4485</f>
        <v>-0.10840861709520495</v>
      </c>
      <c r="H4486" t="e" cm="1" vm="1">
        <f t="array" aca="1" ref="H4486" ca="1">VLOOKUP(Cpi_[[#This Row],[Year]:[Month]],crudeoil[],3,FALSE)</f>
        <v>#VALUE!</v>
      </c>
    </row>
    <row r="4487" spans="1:8" hidden="1" x14ac:dyDescent="0.3">
      <c r="A4487" t="s">
        <v>33</v>
      </c>
      <c r="B4487">
        <v>2017</v>
      </c>
      <c r="C4487" t="s">
        <v>41</v>
      </c>
      <c r="D4487" t="s">
        <v>6</v>
      </c>
      <c r="E4487" t="e">
        <f>VLOOKUP(Cpi_[[#This Row],[Attribute]],#REF!,2,FALSE)</f>
        <v>#REF!</v>
      </c>
      <c r="F4487">
        <v>138.30000000000001</v>
      </c>
      <c r="G4487">
        <f>(Cpi_[[#This Row],[Value]]-F4486)/F4486</f>
        <v>7.7942322681215898E-2</v>
      </c>
      <c r="H4487" t="e" cm="1" vm="1">
        <f t="array" aca="1" ref="H4487" ca="1">VLOOKUP(Cpi_[[#This Row],[Year]:[Month]],crudeoil[],3,FALSE)</f>
        <v>#VALUE!</v>
      </c>
    </row>
    <row r="4488" spans="1:8" hidden="1" x14ac:dyDescent="0.3">
      <c r="A4488" t="s">
        <v>33</v>
      </c>
      <c r="B4488">
        <v>2017</v>
      </c>
      <c r="C4488" t="s">
        <v>41</v>
      </c>
      <c r="D4488" t="s">
        <v>7</v>
      </c>
      <c r="E4488" t="e">
        <f>VLOOKUP(Cpi_[[#This Row],[Attribute]],#REF!,2,FALSE)</f>
        <v>#REF!</v>
      </c>
      <c r="F4488">
        <v>114.1</v>
      </c>
      <c r="G4488">
        <f>(Cpi_[[#This Row],[Value]]-F4487)/F4487</f>
        <v>-0.17498192335502541</v>
      </c>
      <c r="H4488" t="e" cm="1" vm="1">
        <f t="array" aca="1" ref="H4488" ca="1">VLOOKUP(Cpi_[[#This Row],[Year]:[Month]],crudeoil[],3,FALSE)</f>
        <v>#VALUE!</v>
      </c>
    </row>
    <row r="4489" spans="1:8" hidden="1" x14ac:dyDescent="0.3">
      <c r="A4489" t="s">
        <v>33</v>
      </c>
      <c r="B4489">
        <v>2017</v>
      </c>
      <c r="C4489" t="s">
        <v>41</v>
      </c>
      <c r="D4489" t="s">
        <v>8</v>
      </c>
      <c r="E4489" t="e">
        <f>VLOOKUP(Cpi_[[#This Row],[Attribute]],#REF!,2,FALSE)</f>
        <v>#REF!</v>
      </c>
      <c r="F4489">
        <v>142.69999999999999</v>
      </c>
      <c r="G4489">
        <f>(Cpi_[[#This Row],[Value]]-F4488)/F4488</f>
        <v>0.25065731814198067</v>
      </c>
      <c r="H4489" t="e" cm="1" vm="1">
        <f t="array" aca="1" ref="H4489" ca="1">VLOOKUP(Cpi_[[#This Row],[Year]:[Month]],crudeoil[],3,FALSE)</f>
        <v>#VALUE!</v>
      </c>
    </row>
    <row r="4490" spans="1:8" hidden="1" x14ac:dyDescent="0.3">
      <c r="A4490" t="s">
        <v>33</v>
      </c>
      <c r="B4490">
        <v>2017</v>
      </c>
      <c r="C4490" t="s">
        <v>41</v>
      </c>
      <c r="D4490" t="s">
        <v>9</v>
      </c>
      <c r="E4490" t="e">
        <f>VLOOKUP(Cpi_[[#This Row],[Attribute]],#REF!,2,FALSE)</f>
        <v>#REF!</v>
      </c>
      <c r="F4490">
        <v>179.8</v>
      </c>
      <c r="G4490">
        <f>(Cpi_[[#This Row],[Value]]-F4489)/F4489</f>
        <v>0.25998598458304151</v>
      </c>
      <c r="H4490" t="e" cm="1" vm="1">
        <f t="array" aca="1" ref="H4490" ca="1">VLOOKUP(Cpi_[[#This Row],[Year]:[Month]],crudeoil[],3,FALSE)</f>
        <v>#VALUE!</v>
      </c>
    </row>
    <row r="4491" spans="1:8" hidden="1" x14ac:dyDescent="0.3">
      <c r="A4491" t="s">
        <v>33</v>
      </c>
      <c r="B4491">
        <v>2017</v>
      </c>
      <c r="C4491" t="s">
        <v>41</v>
      </c>
      <c r="D4491" t="s">
        <v>10</v>
      </c>
      <c r="E4491" t="e">
        <f>VLOOKUP(Cpi_[[#This Row],[Attribute]],#REF!,2,FALSE)</f>
        <v>#REF!</v>
      </c>
      <c r="F4491">
        <v>123.5</v>
      </c>
      <c r="G4491">
        <f>(Cpi_[[#This Row],[Value]]-F4490)/F4490</f>
        <v>-0.3131256952169077</v>
      </c>
      <c r="H4491" t="e" cm="1" vm="1">
        <f t="array" aca="1" ref="H4491" ca="1">VLOOKUP(Cpi_[[#This Row],[Year]:[Month]],crudeoil[],3,FALSE)</f>
        <v>#VALUE!</v>
      </c>
    </row>
    <row r="4492" spans="1:8" hidden="1" x14ac:dyDescent="0.3">
      <c r="A4492" t="s">
        <v>33</v>
      </c>
      <c r="B4492">
        <v>2017</v>
      </c>
      <c r="C4492" t="s">
        <v>41</v>
      </c>
      <c r="D4492" t="s">
        <v>11</v>
      </c>
      <c r="E4492" t="e">
        <f>VLOOKUP(Cpi_[[#This Row],[Attribute]],#REF!,2,FALSE)</f>
        <v>#REF!</v>
      </c>
      <c r="F4492">
        <v>122.1</v>
      </c>
      <c r="G4492">
        <f>(Cpi_[[#This Row],[Value]]-F4491)/F4491</f>
        <v>-1.1336032388664014E-2</v>
      </c>
      <c r="H4492" t="e" cm="1" vm="1">
        <f t="array" aca="1" ref="H4492" ca="1">VLOOKUP(Cpi_[[#This Row],[Year]:[Month]],crudeoil[],3,FALSE)</f>
        <v>#VALUE!</v>
      </c>
    </row>
    <row r="4493" spans="1:8" hidden="1" x14ac:dyDescent="0.3">
      <c r="A4493" t="s">
        <v>33</v>
      </c>
      <c r="B4493">
        <v>2017</v>
      </c>
      <c r="C4493" t="s">
        <v>41</v>
      </c>
      <c r="D4493" t="s">
        <v>12</v>
      </c>
      <c r="E4493" t="e">
        <f>VLOOKUP(Cpi_[[#This Row],[Attribute]],#REF!,2,FALSE)</f>
        <v>#REF!</v>
      </c>
      <c r="F4493">
        <v>137.5</v>
      </c>
      <c r="G4493">
        <f>(Cpi_[[#This Row],[Value]]-F4492)/F4492</f>
        <v>0.12612612612612617</v>
      </c>
      <c r="H4493" t="e" cm="1" vm="1">
        <f t="array" aca="1" ref="H4493" ca="1">VLOOKUP(Cpi_[[#This Row],[Year]:[Month]],crudeoil[],3,FALSE)</f>
        <v>#VALUE!</v>
      </c>
    </row>
    <row r="4494" spans="1:8" hidden="1" x14ac:dyDescent="0.3">
      <c r="A4494" t="s">
        <v>33</v>
      </c>
      <c r="B4494">
        <v>2017</v>
      </c>
      <c r="C4494" t="s">
        <v>41</v>
      </c>
      <c r="D4494" t="s">
        <v>13</v>
      </c>
      <c r="E4494" t="e">
        <f>VLOOKUP(Cpi_[[#This Row],[Attribute]],#REF!,2,FALSE)</f>
        <v>#REF!</v>
      </c>
      <c r="F4494">
        <v>124.6</v>
      </c>
      <c r="G4494">
        <f>(Cpi_[[#This Row],[Value]]-F4493)/F4493</f>
        <v>-9.3818181818181856E-2</v>
      </c>
      <c r="H4494" t="e" cm="1" vm="1">
        <f t="array" aca="1" ref="H4494" ca="1">VLOOKUP(Cpi_[[#This Row],[Year]:[Month]],crudeoil[],3,FALSE)</f>
        <v>#VALUE!</v>
      </c>
    </row>
    <row r="4495" spans="1:8" hidden="1" x14ac:dyDescent="0.3">
      <c r="A4495" t="s">
        <v>33</v>
      </c>
      <c r="B4495">
        <v>2017</v>
      </c>
      <c r="C4495" t="s">
        <v>41</v>
      </c>
      <c r="D4495" t="s">
        <v>14</v>
      </c>
      <c r="E4495" t="e">
        <f>VLOOKUP(Cpi_[[#This Row],[Attribute]],#REF!,2,FALSE)</f>
        <v>#REF!</v>
      </c>
      <c r="F4495">
        <v>144.5</v>
      </c>
      <c r="G4495">
        <f>(Cpi_[[#This Row],[Value]]-F4494)/F4494</f>
        <v>0.15971107544141258</v>
      </c>
      <c r="H4495" t="e" cm="1" vm="1">
        <f t="array" aca="1" ref="H4495" ca="1">VLOOKUP(Cpi_[[#This Row],[Year]:[Month]],crudeoil[],3,FALSE)</f>
        <v>#VALUE!</v>
      </c>
    </row>
    <row r="4496" spans="1:8" hidden="1" x14ac:dyDescent="0.3">
      <c r="A4496" t="s">
        <v>33</v>
      </c>
      <c r="B4496">
        <v>2017</v>
      </c>
      <c r="C4496" t="s">
        <v>41</v>
      </c>
      <c r="D4496" t="s">
        <v>15</v>
      </c>
      <c r="E4496" t="e">
        <f>VLOOKUP(Cpi_[[#This Row],[Attribute]],#REF!,2,FALSE)</f>
        <v>#REF!</v>
      </c>
      <c r="F4496">
        <v>140.5</v>
      </c>
      <c r="G4496">
        <f>(Cpi_[[#This Row],[Value]]-F4495)/F4495</f>
        <v>-2.768166089965398E-2</v>
      </c>
      <c r="H4496" t="e" cm="1" vm="1">
        <f t="array" aca="1" ref="H4496" ca="1">VLOOKUP(Cpi_[[#This Row],[Year]:[Month]],crudeoil[],3,FALSE)</f>
        <v>#VALUE!</v>
      </c>
    </row>
    <row r="4497" spans="1:8" hidden="1" x14ac:dyDescent="0.3">
      <c r="A4497" t="s">
        <v>33</v>
      </c>
      <c r="B4497">
        <v>2017</v>
      </c>
      <c r="C4497" t="s">
        <v>41</v>
      </c>
      <c r="D4497" t="s">
        <v>16</v>
      </c>
      <c r="E4497" t="e">
        <f>VLOOKUP(Cpi_[[#This Row],[Attribute]],#REF!,2,FALSE)</f>
        <v>#REF!</v>
      </c>
      <c r="F4497">
        <v>152.1</v>
      </c>
      <c r="G4497">
        <f>(Cpi_[[#This Row],[Value]]-F4496)/F4496</f>
        <v>8.2562277580071133E-2</v>
      </c>
      <c r="H4497" t="e" cm="1" vm="1">
        <f t="array" aca="1" ref="H4497" ca="1">VLOOKUP(Cpi_[[#This Row],[Year]:[Month]],crudeoil[],3,FALSE)</f>
        <v>#VALUE!</v>
      </c>
    </row>
    <row r="4498" spans="1:8" hidden="1" x14ac:dyDescent="0.3">
      <c r="A4498" t="s">
        <v>33</v>
      </c>
      <c r="B4498">
        <v>2017</v>
      </c>
      <c r="C4498" t="s">
        <v>41</v>
      </c>
      <c r="D4498" t="s">
        <v>17</v>
      </c>
      <c r="E4498" t="e">
        <f>VLOOKUP(Cpi_[[#This Row],[Attribute]],#REF!,2,FALSE)</f>
        <v>#REF!</v>
      </c>
      <c r="F4498">
        <v>132.69999999999999</v>
      </c>
      <c r="G4498">
        <f>(Cpi_[[#This Row],[Value]]-F4497)/F4497</f>
        <v>-0.1275476660092045</v>
      </c>
      <c r="H4498" t="e" cm="1" vm="1">
        <f t="array" aca="1" ref="H4498" ca="1">VLOOKUP(Cpi_[[#This Row],[Year]:[Month]],crudeoil[],3,FALSE)</f>
        <v>#VALUE!</v>
      </c>
    </row>
    <row r="4499" spans="1:8" hidden="1" x14ac:dyDescent="0.3">
      <c r="A4499" t="s">
        <v>33</v>
      </c>
      <c r="B4499">
        <v>2017</v>
      </c>
      <c r="C4499" t="s">
        <v>41</v>
      </c>
      <c r="D4499" t="s">
        <v>18</v>
      </c>
      <c r="E4499" t="e">
        <f>VLOOKUP(Cpi_[[#This Row],[Attribute]],#REF!,2,FALSE)</f>
        <v>#REF!</v>
      </c>
      <c r="F4499">
        <v>124.3</v>
      </c>
      <c r="G4499">
        <f>(Cpi_[[#This Row],[Value]]-F4498)/F4498</f>
        <v>-6.3300678221552317E-2</v>
      </c>
      <c r="H4499" t="e" cm="1" vm="1">
        <f t="array" aca="1" ref="H4499" ca="1">VLOOKUP(Cpi_[[#This Row],[Year]:[Month]],crudeoil[],3,FALSE)</f>
        <v>#VALUE!</v>
      </c>
    </row>
    <row r="4500" spans="1:8" hidden="1" x14ac:dyDescent="0.3">
      <c r="A4500" t="s">
        <v>33</v>
      </c>
      <c r="B4500">
        <v>2017</v>
      </c>
      <c r="C4500" t="s">
        <v>41</v>
      </c>
      <c r="D4500" t="s">
        <v>19</v>
      </c>
      <c r="E4500" t="e">
        <f>VLOOKUP(Cpi_[[#This Row],[Attribute]],#REF!,2,FALSE)</f>
        <v>#REF!</v>
      </c>
      <c r="F4500">
        <v>131.4</v>
      </c>
      <c r="G4500">
        <f>(Cpi_[[#This Row],[Value]]-F4499)/F4499</f>
        <v>5.7119871279163383E-2</v>
      </c>
      <c r="H4500" t="e" cm="1" vm="1">
        <f t="array" aca="1" ref="H4500" ca="1">VLOOKUP(Cpi_[[#This Row],[Year]:[Month]],crudeoil[],3,FALSE)</f>
        <v>#VALUE!</v>
      </c>
    </row>
    <row r="4501" spans="1:8" hidden="1" x14ac:dyDescent="0.3">
      <c r="A4501" t="s">
        <v>33</v>
      </c>
      <c r="B4501">
        <v>2017</v>
      </c>
      <c r="C4501" t="s">
        <v>41</v>
      </c>
      <c r="D4501" t="s">
        <v>20</v>
      </c>
      <c r="E4501" t="e">
        <f>VLOOKUP(Cpi_[[#This Row],[Attribute]],#REF!,2,FALSE)</f>
        <v>#REF!</v>
      </c>
      <c r="F4501">
        <v>134.4</v>
      </c>
      <c r="G4501">
        <f>(Cpi_[[#This Row],[Value]]-F4500)/F4500</f>
        <v>2.2831050228310501E-2</v>
      </c>
      <c r="H4501" t="e" cm="1" vm="1">
        <f t="array" aca="1" ref="H4501" ca="1">VLOOKUP(Cpi_[[#This Row],[Year]:[Month]],crudeoil[],3,FALSE)</f>
        <v>#VALUE!</v>
      </c>
    </row>
    <row r="4502" spans="1:8" hidden="1" x14ac:dyDescent="0.3">
      <c r="A4502" t="s">
        <v>33</v>
      </c>
      <c r="B4502">
        <v>2017</v>
      </c>
      <c r="C4502" t="s">
        <v>41</v>
      </c>
      <c r="D4502" t="s">
        <v>21</v>
      </c>
      <c r="E4502" t="e">
        <f>VLOOKUP(Cpi_[[#This Row],[Attribute]],#REF!,2,FALSE)</f>
        <v>#REF!</v>
      </c>
      <c r="F4502">
        <v>118.9</v>
      </c>
      <c r="G4502">
        <f>(Cpi_[[#This Row],[Value]]-F4501)/F4501</f>
        <v>-0.11532738095238095</v>
      </c>
      <c r="H4502" t="e" cm="1" vm="1">
        <f t="array" aca="1" ref="H4502" ca="1">VLOOKUP(Cpi_[[#This Row],[Year]:[Month]],crudeoil[],3,FALSE)</f>
        <v>#VALUE!</v>
      </c>
    </row>
    <row r="4503" spans="1:8" hidden="1" x14ac:dyDescent="0.3">
      <c r="A4503" t="s">
        <v>33</v>
      </c>
      <c r="B4503">
        <v>2017</v>
      </c>
      <c r="C4503" t="s">
        <v>41</v>
      </c>
      <c r="D4503" t="s">
        <v>22</v>
      </c>
      <c r="E4503" t="e">
        <f>VLOOKUP(Cpi_[[#This Row],[Attribute]],#REF!,2,FALSE)</f>
        <v>#REF!</v>
      </c>
      <c r="F4503">
        <v>127.7</v>
      </c>
      <c r="G4503">
        <f>(Cpi_[[#This Row],[Value]]-F4502)/F4502</f>
        <v>7.4011774600504593E-2</v>
      </c>
      <c r="H4503" t="e" cm="1" vm="1">
        <f t="array" aca="1" ref="H4503" ca="1">VLOOKUP(Cpi_[[#This Row],[Year]:[Month]],crudeoil[],3,FALSE)</f>
        <v>#VALUE!</v>
      </c>
    </row>
    <row r="4504" spans="1:8" hidden="1" x14ac:dyDescent="0.3">
      <c r="A4504" t="s">
        <v>33</v>
      </c>
      <c r="B4504">
        <v>2017</v>
      </c>
      <c r="C4504" t="s">
        <v>41</v>
      </c>
      <c r="D4504" t="s">
        <v>23</v>
      </c>
      <c r="E4504" t="e">
        <f>VLOOKUP(Cpi_[[#This Row],[Attribute]],#REF!,2,FALSE)</f>
        <v>#REF!</v>
      </c>
      <c r="F4504">
        <v>125.7</v>
      </c>
      <c r="G4504">
        <f>(Cpi_[[#This Row],[Value]]-F4503)/F4503</f>
        <v>-1.5661707126076743E-2</v>
      </c>
      <c r="H4504" t="e" cm="1" vm="1">
        <f t="array" aca="1" ref="H4504" ca="1">VLOOKUP(Cpi_[[#This Row],[Year]:[Month]],crudeoil[],3,FALSE)</f>
        <v>#VALUE!</v>
      </c>
    </row>
    <row r="4505" spans="1:8" hidden="1" x14ac:dyDescent="0.3">
      <c r="A4505" t="s">
        <v>33</v>
      </c>
      <c r="B4505">
        <v>2017</v>
      </c>
      <c r="C4505" t="s">
        <v>41</v>
      </c>
      <c r="D4505" t="s">
        <v>24</v>
      </c>
      <c r="E4505" t="e">
        <f>VLOOKUP(Cpi_[[#This Row],[Attribute]],#REF!,2,FALSE)</f>
        <v>#REF!</v>
      </c>
      <c r="F4505">
        <v>114.6</v>
      </c>
      <c r="G4505">
        <f>(Cpi_[[#This Row],[Value]]-F4504)/F4504</f>
        <v>-8.8305489260143269E-2</v>
      </c>
      <c r="H4505" t="e" cm="1" vm="1">
        <f t="array" aca="1" ref="H4505" ca="1">VLOOKUP(Cpi_[[#This Row],[Year]:[Month]],crudeoil[],3,FALSE)</f>
        <v>#VALUE!</v>
      </c>
    </row>
    <row r="4506" spans="1:8" hidden="1" x14ac:dyDescent="0.3">
      <c r="A4506" t="s">
        <v>33</v>
      </c>
      <c r="B4506">
        <v>2017</v>
      </c>
      <c r="C4506" t="s">
        <v>41</v>
      </c>
      <c r="D4506" t="s">
        <v>25</v>
      </c>
      <c r="E4506" t="e">
        <f>VLOOKUP(Cpi_[[#This Row],[Attribute]],#REF!,2,FALSE)</f>
        <v>#REF!</v>
      </c>
      <c r="F4506">
        <v>124.1</v>
      </c>
      <c r="G4506">
        <f>(Cpi_[[#This Row],[Value]]-F4505)/F4505</f>
        <v>8.2897033158813263E-2</v>
      </c>
      <c r="H4506" t="e" cm="1" vm="1">
        <f t="array" aca="1" ref="H4506" ca="1">VLOOKUP(Cpi_[[#This Row],[Year]:[Month]],crudeoil[],3,FALSE)</f>
        <v>#VALUE!</v>
      </c>
    </row>
    <row r="4507" spans="1:8" hidden="1" x14ac:dyDescent="0.3">
      <c r="A4507" t="s">
        <v>33</v>
      </c>
      <c r="B4507">
        <v>2017</v>
      </c>
      <c r="C4507" t="s">
        <v>41</v>
      </c>
      <c r="D4507" t="s">
        <v>26</v>
      </c>
      <c r="E4507" t="e">
        <f>VLOOKUP(Cpi_[[#This Row],[Attribute]],#REF!,2,FALSE)</f>
        <v>#REF!</v>
      </c>
      <c r="F4507">
        <v>135.69999999999999</v>
      </c>
      <c r="G4507">
        <f>(Cpi_[[#This Row],[Value]]-F4506)/F4506</f>
        <v>9.3473005640612367E-2</v>
      </c>
      <c r="H4507" t="e" cm="1" vm="1">
        <f t="array" aca="1" ref="H4507" ca="1">VLOOKUP(Cpi_[[#This Row],[Year]:[Month]],crudeoil[],3,FALSE)</f>
        <v>#VALUE!</v>
      </c>
    </row>
    <row r="4508" spans="1:8" hidden="1" x14ac:dyDescent="0.3">
      <c r="A4508" t="s">
        <v>33</v>
      </c>
      <c r="B4508">
        <v>2017</v>
      </c>
      <c r="C4508" t="s">
        <v>41</v>
      </c>
      <c r="D4508" t="s">
        <v>27</v>
      </c>
      <c r="E4508" t="e">
        <f>VLOOKUP(Cpi_[[#This Row],[Attribute]],#REF!,2,FALSE)</f>
        <v>#REF!</v>
      </c>
      <c r="F4508">
        <v>123.3</v>
      </c>
      <c r="G4508">
        <f>(Cpi_[[#This Row],[Value]]-F4507)/F4507</f>
        <v>-9.1378039793662436E-2</v>
      </c>
      <c r="H4508" t="e" cm="1" vm="1">
        <f t="array" aca="1" ref="H4508" ca="1">VLOOKUP(Cpi_[[#This Row],[Year]:[Month]],crudeoil[],3,FALSE)</f>
        <v>#VALUE!</v>
      </c>
    </row>
    <row r="4509" spans="1:8" hidden="1" x14ac:dyDescent="0.3">
      <c r="A4509" t="s">
        <v>33</v>
      </c>
      <c r="B4509">
        <v>2017</v>
      </c>
      <c r="C4509" t="s">
        <v>41</v>
      </c>
      <c r="D4509" t="s">
        <v>28</v>
      </c>
      <c r="E4509" t="e">
        <f>VLOOKUP(Cpi_[[#This Row],[Attribute]],#REF!,2,FALSE)</f>
        <v>#REF!</v>
      </c>
      <c r="F4509">
        <v>123.8</v>
      </c>
      <c r="G4509">
        <f>(Cpi_[[#This Row],[Value]]-F4508)/F4508</f>
        <v>4.0551500405515001E-3</v>
      </c>
      <c r="H4509" t="e" cm="1" vm="1">
        <f t="array" aca="1" ref="H4509" ca="1">VLOOKUP(Cpi_[[#This Row],[Year]:[Month]],crudeoil[],3,FALSE)</f>
        <v>#VALUE!</v>
      </c>
    </row>
    <row r="4510" spans="1:8" hidden="1" x14ac:dyDescent="0.3">
      <c r="A4510" t="s">
        <v>33</v>
      </c>
      <c r="B4510">
        <v>2017</v>
      </c>
      <c r="C4510" t="s">
        <v>41</v>
      </c>
      <c r="D4510" t="s">
        <v>29</v>
      </c>
      <c r="E4510" t="e" cm="1">
        <f t="array" aca="1" ref="E4510" ca="1">VLGeneral indexGeneral indexKUP(Cpi_[[#This Row],[Attribute]],#REF!,2,FALSE)</f>
        <v>#NAME?</v>
      </c>
      <c r="F4510">
        <v>132.69999999999999</v>
      </c>
      <c r="G4510">
        <f>(Cpi_[[#This Row],[Value]]-F4509)/F4509</f>
        <v>7.1890145395799604E-2</v>
      </c>
      <c r="H4510" t="e" cm="1" vm="1">
        <f t="array" aca="1" ref="H4510" ca="1">VLOOKUP(Cpi_[[#This Row],[Year]:[Month]],crudeoil[],3,FALSE)</f>
        <v>#VALUE!</v>
      </c>
    </row>
    <row r="4511" spans="1:8" hidden="1" x14ac:dyDescent="0.3">
      <c r="A4511" t="s">
        <v>34</v>
      </c>
      <c r="B4511">
        <v>2017</v>
      </c>
      <c r="C4511" t="s">
        <v>41</v>
      </c>
      <c r="D4511" t="s">
        <v>3</v>
      </c>
      <c r="E4511" t="e">
        <f>VLOOKUP(Cpi_[[#This Row],[Attribute]],#REF!,2,FALSE)</f>
        <v>#REF!</v>
      </c>
      <c r="F4511">
        <v>134.30000000000001</v>
      </c>
      <c r="G4511">
        <f>(Cpi_[[#This Row],[Value]]-F4510)/F4510</f>
        <v>1.2057272042200624E-2</v>
      </c>
      <c r="H4511" t="e" cm="1" vm="1">
        <f t="array" aca="1" ref="H4511" ca="1">VLOOKUP(Cpi_[[#This Row],[Year]:[Month]],crudeoil[],3,FALSE)</f>
        <v>#VALUE!</v>
      </c>
    </row>
    <row r="4512" spans="1:8" hidden="1" x14ac:dyDescent="0.3">
      <c r="A4512" t="s">
        <v>34</v>
      </c>
      <c r="B4512">
        <v>2017</v>
      </c>
      <c r="C4512" t="s">
        <v>41</v>
      </c>
      <c r="D4512" t="s">
        <v>4</v>
      </c>
      <c r="E4512" t="e">
        <f>VLOOKUP(Cpi_[[#This Row],[Attribute]],#REF!,2,FALSE)</f>
        <v>#REF!</v>
      </c>
      <c r="F4512">
        <v>143.4</v>
      </c>
      <c r="G4512">
        <f>(Cpi_[[#This Row],[Value]]-F4511)/F4511</f>
        <v>6.7758749069247906E-2</v>
      </c>
      <c r="H4512" t="e" cm="1" vm="1">
        <f t="array" aca="1" ref="H4512" ca="1">VLOOKUP(Cpi_[[#This Row],[Year]:[Month]],crudeoil[],3,FALSE)</f>
        <v>#VALUE!</v>
      </c>
    </row>
    <row r="4513" spans="1:8" hidden="1" x14ac:dyDescent="0.3">
      <c r="A4513" t="s">
        <v>34</v>
      </c>
      <c r="B4513">
        <v>2017</v>
      </c>
      <c r="C4513" t="s">
        <v>41</v>
      </c>
      <c r="D4513" t="s">
        <v>5</v>
      </c>
      <c r="E4513" t="e">
        <f>VLOOKUP(Cpi_[[#This Row],[Attribute]],#REF!,2,FALSE)</f>
        <v>#REF!</v>
      </c>
      <c r="F4513">
        <v>129.30000000000001</v>
      </c>
      <c r="G4513">
        <f>(Cpi_[[#This Row],[Value]]-F4512)/F4512</f>
        <v>-9.8326359832635934E-2</v>
      </c>
      <c r="H4513" t="e" cm="1" vm="1">
        <f t="array" aca="1" ref="H4513" ca="1">VLOOKUP(Cpi_[[#This Row],[Year]:[Month]],crudeoil[],3,FALSE)</f>
        <v>#VALUE!</v>
      </c>
    </row>
    <row r="4514" spans="1:8" hidden="1" x14ac:dyDescent="0.3">
      <c r="A4514" t="s">
        <v>34</v>
      </c>
      <c r="B4514">
        <v>2017</v>
      </c>
      <c r="C4514" t="s">
        <v>41</v>
      </c>
      <c r="D4514" t="s">
        <v>6</v>
      </c>
      <c r="E4514" t="e">
        <f>VLOOKUP(Cpi_[[#This Row],[Attribute]],#REF!,2,FALSE)</f>
        <v>#REF!</v>
      </c>
      <c r="F4514">
        <v>139</v>
      </c>
      <c r="G4514">
        <f>(Cpi_[[#This Row],[Value]]-F4513)/F4513</f>
        <v>7.5019334880123648E-2</v>
      </c>
      <c r="H4514" t="e" cm="1" vm="1">
        <f t="array" aca="1" ref="H4514" ca="1">VLOOKUP(Cpi_[[#This Row],[Year]:[Month]],crudeoil[],3,FALSE)</f>
        <v>#VALUE!</v>
      </c>
    </row>
    <row r="4515" spans="1:8" hidden="1" x14ac:dyDescent="0.3">
      <c r="A4515" t="s">
        <v>34</v>
      </c>
      <c r="B4515">
        <v>2017</v>
      </c>
      <c r="C4515" t="s">
        <v>41</v>
      </c>
      <c r="D4515" t="s">
        <v>7</v>
      </c>
      <c r="E4515" t="e">
        <f>VLOOKUP(Cpi_[[#This Row],[Attribute]],#REF!,2,FALSE)</f>
        <v>#REF!</v>
      </c>
      <c r="F4515">
        <v>118.1</v>
      </c>
      <c r="G4515">
        <f>(Cpi_[[#This Row],[Value]]-F4514)/F4514</f>
        <v>-0.15035971223021588</v>
      </c>
      <c r="H4515" t="e" cm="1" vm="1">
        <f t="array" aca="1" ref="H4515" ca="1">VLOOKUP(Cpi_[[#This Row],[Year]:[Month]],crudeoil[],3,FALSE)</f>
        <v>#VALUE!</v>
      </c>
    </row>
    <row r="4516" spans="1:8" hidden="1" x14ac:dyDescent="0.3">
      <c r="A4516" t="s">
        <v>34</v>
      </c>
      <c r="B4516">
        <v>2017</v>
      </c>
      <c r="C4516" t="s">
        <v>41</v>
      </c>
      <c r="D4516" t="s">
        <v>8</v>
      </c>
      <c r="E4516" t="e">
        <f>VLOOKUP(Cpi_[[#This Row],[Attribute]],#REF!,2,FALSE)</f>
        <v>#REF!</v>
      </c>
      <c r="F4516">
        <v>145.5</v>
      </c>
      <c r="G4516">
        <f>(Cpi_[[#This Row],[Value]]-F4515)/F4515</f>
        <v>0.2320067739204065</v>
      </c>
      <c r="H4516" t="e" cm="1" vm="1">
        <f t="array" aca="1" ref="H4516" ca="1">VLOOKUP(Cpi_[[#This Row],[Year]:[Month]],crudeoil[],3,FALSE)</f>
        <v>#VALUE!</v>
      </c>
    </row>
    <row r="4517" spans="1:8" hidden="1" x14ac:dyDescent="0.3">
      <c r="A4517" t="s">
        <v>34</v>
      </c>
      <c r="B4517">
        <v>2017</v>
      </c>
      <c r="C4517" t="s">
        <v>41</v>
      </c>
      <c r="D4517" t="s">
        <v>9</v>
      </c>
      <c r="E4517" t="e">
        <f>VLOOKUP(Cpi_[[#This Row],[Attribute]],#REF!,2,FALSE)</f>
        <v>#REF!</v>
      </c>
      <c r="F4517">
        <v>168.6</v>
      </c>
      <c r="G4517">
        <f>(Cpi_[[#This Row],[Value]]-F4516)/F4516</f>
        <v>0.15876288659793811</v>
      </c>
      <c r="H4517" t="e" cm="1" vm="1">
        <f t="array" aca="1" ref="H4517" ca="1">VLOOKUP(Cpi_[[#This Row],[Year]:[Month]],crudeoil[],3,FALSE)</f>
        <v>#VALUE!</v>
      </c>
    </row>
    <row r="4518" spans="1:8" hidden="1" x14ac:dyDescent="0.3">
      <c r="A4518" t="s">
        <v>34</v>
      </c>
      <c r="B4518">
        <v>2017</v>
      </c>
      <c r="C4518" t="s">
        <v>41</v>
      </c>
      <c r="D4518" t="s">
        <v>10</v>
      </c>
      <c r="E4518" t="e">
        <f>VLOOKUP(Cpi_[[#This Row],[Attribute]],#REF!,2,FALSE)</f>
        <v>#REF!</v>
      </c>
      <c r="F4518">
        <v>132.69999999999999</v>
      </c>
      <c r="G4518">
        <f>(Cpi_[[#This Row],[Value]]-F4517)/F4517</f>
        <v>-0.21293001186239624</v>
      </c>
      <c r="H4518" t="e" cm="1" vm="1">
        <f t="array" aca="1" ref="H4518" ca="1">VLOOKUP(Cpi_[[#This Row],[Year]:[Month]],crudeoil[],3,FALSE)</f>
        <v>#VALUE!</v>
      </c>
    </row>
    <row r="4519" spans="1:8" hidden="1" x14ac:dyDescent="0.3">
      <c r="A4519" t="s">
        <v>34</v>
      </c>
      <c r="B4519">
        <v>2017</v>
      </c>
      <c r="C4519" t="s">
        <v>41</v>
      </c>
      <c r="D4519" t="s">
        <v>11</v>
      </c>
      <c r="E4519" t="e">
        <f>VLOOKUP(Cpi_[[#This Row],[Attribute]],#REF!,2,FALSE)</f>
        <v>#REF!</v>
      </c>
      <c r="F4519">
        <v>121.2</v>
      </c>
      <c r="G4519">
        <f>(Cpi_[[#This Row],[Value]]-F4518)/F4518</f>
        <v>-8.6661642803315647E-2</v>
      </c>
      <c r="H4519" t="e" cm="1" vm="1">
        <f t="array" aca="1" ref="H4519" ca="1">VLOOKUP(Cpi_[[#This Row],[Year]:[Month]],crudeoil[],3,FALSE)</f>
        <v>#VALUE!</v>
      </c>
    </row>
    <row r="4520" spans="1:8" hidden="1" x14ac:dyDescent="0.3">
      <c r="A4520" t="s">
        <v>34</v>
      </c>
      <c r="B4520">
        <v>2017</v>
      </c>
      <c r="C4520" t="s">
        <v>41</v>
      </c>
      <c r="D4520" t="s">
        <v>12</v>
      </c>
      <c r="E4520" t="e">
        <f>VLOOKUP(Cpi_[[#This Row],[Attribute]],#REF!,2,FALSE)</f>
        <v>#REF!</v>
      </c>
      <c r="F4520">
        <v>135.6</v>
      </c>
      <c r="G4520">
        <f>(Cpi_[[#This Row],[Value]]-F4519)/F4519</f>
        <v>0.11881188118811874</v>
      </c>
      <c r="H4520" t="e" cm="1" vm="1">
        <f t="array" aca="1" ref="H4520" ca="1">VLOOKUP(Cpi_[[#This Row],[Year]:[Month]],crudeoil[],3,FALSE)</f>
        <v>#VALUE!</v>
      </c>
    </row>
    <row r="4521" spans="1:8" hidden="1" x14ac:dyDescent="0.3">
      <c r="A4521" t="s">
        <v>34</v>
      </c>
      <c r="B4521">
        <v>2017</v>
      </c>
      <c r="C4521" t="s">
        <v>41</v>
      </c>
      <c r="D4521" t="s">
        <v>13</v>
      </c>
      <c r="E4521" t="e">
        <f>VLOOKUP(Cpi_[[#This Row],[Attribute]],#REF!,2,FALSE)</f>
        <v>#REF!</v>
      </c>
      <c r="F4521">
        <v>128.69999999999999</v>
      </c>
      <c r="G4521">
        <f>(Cpi_[[#This Row],[Value]]-F4520)/F4520</f>
        <v>-5.0884955752212434E-2</v>
      </c>
      <c r="H4521" t="e" cm="1" vm="1">
        <f t="array" aca="1" ref="H4521" ca="1">VLOOKUP(Cpi_[[#This Row],[Year]:[Month]],crudeoil[],3,FALSE)</f>
        <v>#VALUE!</v>
      </c>
    </row>
    <row r="4522" spans="1:8" hidden="1" x14ac:dyDescent="0.3">
      <c r="A4522" t="s">
        <v>34</v>
      </c>
      <c r="B4522">
        <v>2017</v>
      </c>
      <c r="C4522" t="s">
        <v>41</v>
      </c>
      <c r="D4522" t="s">
        <v>14</v>
      </c>
      <c r="E4522" t="e">
        <f>VLOOKUP(Cpi_[[#This Row],[Attribute]],#REF!,2,FALSE)</f>
        <v>#REF!</v>
      </c>
      <c r="F4522">
        <v>146.80000000000001</v>
      </c>
      <c r="G4522">
        <f>(Cpi_[[#This Row],[Value]]-F4521)/F4521</f>
        <v>0.14063714063714083</v>
      </c>
      <c r="H4522" t="e" cm="1" vm="1">
        <f t="array" aca="1" ref="H4522" ca="1">VLOOKUP(Cpi_[[#This Row],[Year]:[Month]],crudeoil[],3,FALSE)</f>
        <v>#VALUE!</v>
      </c>
    </row>
    <row r="4523" spans="1:8" hidden="1" x14ac:dyDescent="0.3">
      <c r="A4523" t="s">
        <v>34</v>
      </c>
      <c r="B4523">
        <v>2017</v>
      </c>
      <c r="C4523" t="s">
        <v>41</v>
      </c>
      <c r="D4523" t="s">
        <v>15</v>
      </c>
      <c r="E4523" t="e">
        <f>VLOOKUP(Cpi_[[#This Row],[Attribute]],#REF!,2,FALSE)</f>
        <v>#REF!</v>
      </c>
      <c r="F4523">
        <v>140.6</v>
      </c>
      <c r="G4523">
        <f>(Cpi_[[#This Row],[Value]]-F4522)/F4522</f>
        <v>-4.223433242506823E-2</v>
      </c>
      <c r="H4523" t="e" cm="1" vm="1">
        <f t="array" aca="1" ref="H4523" ca="1">VLOOKUP(Cpi_[[#This Row],[Year]:[Month]],crudeoil[],3,FALSE)</f>
        <v>#VALUE!</v>
      </c>
    </row>
    <row r="4524" spans="1:8" hidden="1" x14ac:dyDescent="0.3">
      <c r="A4524" t="s">
        <v>34</v>
      </c>
      <c r="B4524">
        <v>2017</v>
      </c>
      <c r="C4524" t="s">
        <v>41</v>
      </c>
      <c r="D4524" t="s">
        <v>16</v>
      </c>
      <c r="E4524" t="e">
        <f>VLOOKUP(Cpi_[[#This Row],[Attribute]],#REF!,2,FALSE)</f>
        <v>#REF!</v>
      </c>
      <c r="F4524">
        <v>149.80000000000001</v>
      </c>
      <c r="G4524">
        <f>(Cpi_[[#This Row],[Value]]-F4523)/F4523</f>
        <v>6.5433854907539238E-2</v>
      </c>
      <c r="H4524" t="e" cm="1" vm="1">
        <f t="array" aca="1" ref="H4524" ca="1">VLOOKUP(Cpi_[[#This Row],[Year]:[Month]],crudeoil[],3,FALSE)</f>
        <v>#VALUE!</v>
      </c>
    </row>
    <row r="4525" spans="1:8" hidden="1" x14ac:dyDescent="0.3">
      <c r="A4525" t="s">
        <v>34</v>
      </c>
      <c r="B4525">
        <v>2017</v>
      </c>
      <c r="C4525" t="s">
        <v>41</v>
      </c>
      <c r="D4525" t="s">
        <v>17</v>
      </c>
      <c r="E4525" t="e">
        <f>VLOOKUP(Cpi_[[#This Row],[Attribute]],#REF!,2,FALSE)</f>
        <v>#REF!</v>
      </c>
      <c r="F4525">
        <v>140.30000000000001</v>
      </c>
      <c r="G4525">
        <f>(Cpi_[[#This Row],[Value]]-F4524)/F4524</f>
        <v>-6.3417890520694256E-2</v>
      </c>
      <c r="H4525" t="e" cm="1" vm="1">
        <f t="array" aca="1" ref="H4525" ca="1">VLOOKUP(Cpi_[[#This Row],[Year]:[Month]],crudeoil[],3,FALSE)</f>
        <v>#VALUE!</v>
      </c>
    </row>
    <row r="4526" spans="1:8" hidden="1" x14ac:dyDescent="0.3">
      <c r="A4526" t="s">
        <v>34</v>
      </c>
      <c r="B4526">
        <v>2017</v>
      </c>
      <c r="C4526" t="s">
        <v>41</v>
      </c>
      <c r="D4526" t="s">
        <v>18</v>
      </c>
      <c r="E4526" t="e">
        <f>VLOOKUP(Cpi_[[#This Row],[Attribute]],#REF!,2,FALSE)</f>
        <v>#REF!</v>
      </c>
      <c r="F4526">
        <v>133</v>
      </c>
      <c r="G4526">
        <f>(Cpi_[[#This Row],[Value]]-F4525)/F4525</f>
        <v>-5.2031361368496155E-2</v>
      </c>
      <c r="H4526" t="e" cm="1" vm="1">
        <f t="array" aca="1" ref="H4526" ca="1">VLOOKUP(Cpi_[[#This Row],[Year]:[Month]],crudeoil[],3,FALSE)</f>
        <v>#VALUE!</v>
      </c>
    </row>
    <row r="4527" spans="1:8" hidden="1" x14ac:dyDescent="0.3">
      <c r="A4527" t="s">
        <v>34</v>
      </c>
      <c r="B4527">
        <v>2017</v>
      </c>
      <c r="C4527" t="s">
        <v>41</v>
      </c>
      <c r="D4527" t="s">
        <v>19</v>
      </c>
      <c r="E4527" t="e">
        <f>VLOOKUP(Cpi_[[#This Row],[Attribute]],#REF!,2,FALSE)</f>
        <v>#REF!</v>
      </c>
      <c r="F4527">
        <v>139.30000000000001</v>
      </c>
      <c r="G4527">
        <f>(Cpi_[[#This Row],[Value]]-F4526)/F4526</f>
        <v>4.7368421052631664E-2</v>
      </c>
      <c r="H4527" t="e" cm="1" vm="1">
        <f t="array" aca="1" ref="H4527" ca="1">VLOOKUP(Cpi_[[#This Row],[Year]:[Month]],crudeoil[],3,FALSE)</f>
        <v>#VALUE!</v>
      </c>
    </row>
    <row r="4528" spans="1:8" hidden="1" x14ac:dyDescent="0.3">
      <c r="A4528" t="s">
        <v>34</v>
      </c>
      <c r="B4528">
        <v>2017</v>
      </c>
      <c r="C4528" t="s">
        <v>41</v>
      </c>
      <c r="D4528" t="s">
        <v>20</v>
      </c>
      <c r="E4528" t="e">
        <f>VLOOKUP(Cpi_[[#This Row],[Attribute]],#REF!,2,FALSE)</f>
        <v>#REF!</v>
      </c>
      <c r="F4528">
        <v>134.4</v>
      </c>
      <c r="G4528">
        <f>(Cpi_[[#This Row],[Value]]-F4527)/F4527</f>
        <v>-3.5175879396984966E-2</v>
      </c>
      <c r="H4528" t="e" cm="1" vm="1">
        <f t="array" aca="1" ref="H4528" ca="1">VLOOKUP(Cpi_[[#This Row],[Year]:[Month]],crudeoil[],3,FALSE)</f>
        <v>#VALUE!</v>
      </c>
    </row>
    <row r="4529" spans="1:8" hidden="1" x14ac:dyDescent="0.3">
      <c r="A4529" t="s">
        <v>34</v>
      </c>
      <c r="B4529">
        <v>2017</v>
      </c>
      <c r="C4529" t="s">
        <v>41</v>
      </c>
      <c r="D4529" t="s">
        <v>21</v>
      </c>
      <c r="E4529" t="e">
        <f>VLOOKUP(Cpi_[[#This Row],[Attribute]],#REF!,2,FALSE)</f>
        <v>#REF!</v>
      </c>
      <c r="F4529">
        <v>129.80000000000001</v>
      </c>
      <c r="G4529">
        <f>(Cpi_[[#This Row],[Value]]-F4528)/F4528</f>
        <v>-3.4226190476190431E-2</v>
      </c>
      <c r="H4529" t="e" cm="1" vm="1">
        <f t="array" aca="1" ref="H4529" ca="1">VLOOKUP(Cpi_[[#This Row],[Year]:[Month]],crudeoil[],3,FALSE)</f>
        <v>#VALUE!</v>
      </c>
    </row>
    <row r="4530" spans="1:8" hidden="1" x14ac:dyDescent="0.3">
      <c r="A4530" t="s">
        <v>34</v>
      </c>
      <c r="B4530">
        <v>2017</v>
      </c>
      <c r="C4530" t="s">
        <v>41</v>
      </c>
      <c r="D4530" t="s">
        <v>22</v>
      </c>
      <c r="E4530" t="e">
        <f>VLOOKUP(Cpi_[[#This Row],[Attribute]],#REF!,2,FALSE)</f>
        <v>#REF!</v>
      </c>
      <c r="F4530">
        <v>132.80000000000001</v>
      </c>
      <c r="G4530">
        <f>(Cpi_[[#This Row],[Value]]-F4529)/F4529</f>
        <v>2.3112480739599383E-2</v>
      </c>
      <c r="H4530" t="e" cm="1" vm="1">
        <f t="array" aca="1" ref="H4530" ca="1">VLOOKUP(Cpi_[[#This Row],[Year]:[Month]],crudeoil[],3,FALSE)</f>
        <v>#VALUE!</v>
      </c>
    </row>
    <row r="4531" spans="1:8" hidden="1" x14ac:dyDescent="0.3">
      <c r="A4531" t="s">
        <v>34</v>
      </c>
      <c r="B4531">
        <v>2017</v>
      </c>
      <c r="C4531" t="s">
        <v>41</v>
      </c>
      <c r="D4531" t="s">
        <v>23</v>
      </c>
      <c r="E4531" t="e">
        <f>VLOOKUP(Cpi_[[#This Row],[Attribute]],#REF!,2,FALSE)</f>
        <v>#REF!</v>
      </c>
      <c r="F4531">
        <v>130.19999999999999</v>
      </c>
      <c r="G4531">
        <f>(Cpi_[[#This Row],[Value]]-F4530)/F4530</f>
        <v>-1.9578313253012219E-2</v>
      </c>
      <c r="H4531" t="e" cm="1" vm="1">
        <f t="array" aca="1" ref="H4531" ca="1">VLOOKUP(Cpi_[[#This Row],[Year]:[Month]],crudeoil[],3,FALSE)</f>
        <v>#VALUE!</v>
      </c>
    </row>
    <row r="4532" spans="1:8" hidden="1" x14ac:dyDescent="0.3">
      <c r="A4532" t="s">
        <v>34</v>
      </c>
      <c r="B4532">
        <v>2017</v>
      </c>
      <c r="C4532" t="s">
        <v>41</v>
      </c>
      <c r="D4532" t="s">
        <v>24</v>
      </c>
      <c r="E4532" t="e">
        <f>VLOOKUP(Cpi_[[#This Row],[Attribute]],#REF!,2,FALSE)</f>
        <v>#REF!</v>
      </c>
      <c r="F4532">
        <v>117.3</v>
      </c>
      <c r="G4532">
        <f>(Cpi_[[#This Row],[Value]]-F4531)/F4531</f>
        <v>-9.907834101382483E-2</v>
      </c>
      <c r="H4532" t="e" cm="1" vm="1">
        <f t="array" aca="1" ref="H4532" ca="1">VLOOKUP(Cpi_[[#This Row],[Year]:[Month]],crudeoil[],3,FALSE)</f>
        <v>#VALUE!</v>
      </c>
    </row>
    <row r="4533" spans="1:8" hidden="1" x14ac:dyDescent="0.3">
      <c r="A4533" t="s">
        <v>34</v>
      </c>
      <c r="B4533">
        <v>2017</v>
      </c>
      <c r="C4533" t="s">
        <v>41</v>
      </c>
      <c r="D4533" t="s">
        <v>25</v>
      </c>
      <c r="E4533" t="e">
        <f>VLOOKUP(Cpi_[[#This Row],[Attribute]],#REF!,2,FALSE)</f>
        <v>#REF!</v>
      </c>
      <c r="F4533">
        <v>127.3</v>
      </c>
      <c r="G4533">
        <f>(Cpi_[[#This Row],[Value]]-F4532)/F4532</f>
        <v>8.525149190110827E-2</v>
      </c>
      <c r="H4533" t="e" cm="1" vm="1">
        <f t="array" aca="1" ref="H4533" ca="1">VLOOKUP(Cpi_[[#This Row],[Year]:[Month]],crudeoil[],3,FALSE)</f>
        <v>#VALUE!</v>
      </c>
    </row>
    <row r="4534" spans="1:8" hidden="1" x14ac:dyDescent="0.3">
      <c r="A4534" t="s">
        <v>34</v>
      </c>
      <c r="B4534">
        <v>2017</v>
      </c>
      <c r="C4534" t="s">
        <v>41</v>
      </c>
      <c r="D4534" t="s">
        <v>26</v>
      </c>
      <c r="E4534" t="e">
        <f>VLOOKUP(Cpi_[[#This Row],[Attribute]],#REF!,2,FALSE)</f>
        <v>#REF!</v>
      </c>
      <c r="F4534">
        <v>137.6</v>
      </c>
      <c r="G4534">
        <f>(Cpi_[[#This Row],[Value]]-F4533)/F4533</f>
        <v>8.0911233307148445E-2</v>
      </c>
      <c r="H4534" t="e" cm="1" vm="1">
        <f t="array" aca="1" ref="H4534" ca="1">VLOOKUP(Cpi_[[#This Row],[Year]:[Month]],crudeoil[],3,FALSE)</f>
        <v>#VALUE!</v>
      </c>
    </row>
    <row r="4535" spans="1:8" hidden="1" x14ac:dyDescent="0.3">
      <c r="A4535" t="s">
        <v>34</v>
      </c>
      <c r="B4535">
        <v>2017</v>
      </c>
      <c r="C4535" t="s">
        <v>41</v>
      </c>
      <c r="D4535" t="s">
        <v>27</v>
      </c>
      <c r="E4535" t="e">
        <f>VLOOKUP(Cpi_[[#This Row],[Attribute]],#REF!,2,FALSE)</f>
        <v>#REF!</v>
      </c>
      <c r="F4535">
        <v>124.5</v>
      </c>
      <c r="G4535">
        <f>(Cpi_[[#This Row],[Value]]-F4534)/F4534</f>
        <v>-9.5203488372092984E-2</v>
      </c>
      <c r="H4535" t="e" cm="1" vm="1">
        <f t="array" aca="1" ref="H4535" ca="1">VLOOKUP(Cpi_[[#This Row],[Year]:[Month]],crudeoil[],3,FALSE)</f>
        <v>#VALUE!</v>
      </c>
    </row>
    <row r="4536" spans="1:8" hidden="1" x14ac:dyDescent="0.3">
      <c r="A4536" t="s">
        <v>34</v>
      </c>
      <c r="B4536">
        <v>2017</v>
      </c>
      <c r="C4536" t="s">
        <v>41</v>
      </c>
      <c r="D4536" t="s">
        <v>28</v>
      </c>
      <c r="E4536" t="e">
        <f>VLOOKUP(Cpi_[[#This Row],[Attribute]],#REF!,2,FALSE)</f>
        <v>#REF!</v>
      </c>
      <c r="F4536">
        <v>126.8</v>
      </c>
      <c r="G4536">
        <f>(Cpi_[[#This Row],[Value]]-F4535)/F4535</f>
        <v>1.8473895582329293E-2</v>
      </c>
      <c r="H4536" t="e" cm="1" vm="1">
        <f t="array" aca="1" ref="H4536" ca="1">VLOOKUP(Cpi_[[#This Row],[Year]:[Month]],crudeoil[],3,FALSE)</f>
        <v>#VALUE!</v>
      </c>
    </row>
    <row r="4537" spans="1:8" hidden="1" x14ac:dyDescent="0.3">
      <c r="A4537" t="s">
        <v>34</v>
      </c>
      <c r="B4537">
        <v>2017</v>
      </c>
      <c r="C4537" t="s">
        <v>41</v>
      </c>
      <c r="D4537" t="s">
        <v>29</v>
      </c>
      <c r="E4537" t="e" cm="1">
        <f t="array" aca="1" ref="E4537" ca="1">VLGeneral indexGeneral indexKUP(Cpi_[[#This Row],[Attribute]],#REF!,2,FALSE)</f>
        <v>#NAME?</v>
      </c>
      <c r="F4537">
        <v>135.4</v>
      </c>
      <c r="G4537">
        <f>(Cpi_[[#This Row],[Value]]-F4536)/F4536</f>
        <v>6.7823343848580506E-2</v>
      </c>
      <c r="H4537" t="e" cm="1" vm="1">
        <f t="array" aca="1" ref="H4537" ca="1">VLOOKUP(Cpi_[[#This Row],[Year]:[Month]],crudeoil[],3,FALSE)</f>
        <v>#VALUE!</v>
      </c>
    </row>
    <row r="4538" spans="1:8" hidden="1" x14ac:dyDescent="0.3">
      <c r="A4538" t="s">
        <v>30</v>
      </c>
      <c r="B4538">
        <v>2017</v>
      </c>
      <c r="C4538" t="s">
        <v>42</v>
      </c>
      <c r="D4538" t="s">
        <v>3</v>
      </c>
      <c r="E4538" t="e">
        <f>VLOOKUP(Cpi_[[#This Row],[Attribute]],#REF!,2,FALSE)</f>
        <v>#REF!</v>
      </c>
      <c r="F4538">
        <v>135.19999999999999</v>
      </c>
      <c r="G4538">
        <f>(Cpi_[[#This Row],[Value]]-F4537)/F4537</f>
        <v>-1.4771048744462115E-3</v>
      </c>
      <c r="H4538" t="e" cm="1" vm="1">
        <f t="array" aca="1" ref="H4538" ca="1">VLOOKUP(Cpi_[[#This Row],[Year]:[Month]],crudeoil[],3,FALSE)</f>
        <v>#VALUE!</v>
      </c>
    </row>
    <row r="4539" spans="1:8" hidden="1" x14ac:dyDescent="0.3">
      <c r="A4539" t="s">
        <v>30</v>
      </c>
      <c r="B4539">
        <v>2017</v>
      </c>
      <c r="C4539" t="s">
        <v>42</v>
      </c>
      <c r="D4539" t="s">
        <v>4</v>
      </c>
      <c r="E4539" t="e">
        <f>VLOOKUP(Cpi_[[#This Row],[Attribute]],#REF!,2,FALSE)</f>
        <v>#REF!</v>
      </c>
      <c r="F4539">
        <v>142</v>
      </c>
      <c r="G4539">
        <f>(Cpi_[[#This Row],[Value]]-F4538)/F4538</f>
        <v>5.0295857988165771E-2</v>
      </c>
      <c r="H4539" t="e" cm="1" vm="1">
        <f t="array" aca="1" ref="H4539" ca="1">VLOOKUP(Cpi_[[#This Row],[Year]:[Month]],crudeoil[],3,FALSE)</f>
        <v>#VALUE!</v>
      </c>
    </row>
    <row r="4540" spans="1:8" hidden="1" x14ac:dyDescent="0.3">
      <c r="A4540" t="s">
        <v>30</v>
      </c>
      <c r="B4540">
        <v>2017</v>
      </c>
      <c r="C4540" t="s">
        <v>42</v>
      </c>
      <c r="D4540" t="s">
        <v>5</v>
      </c>
      <c r="E4540" t="e">
        <f>VLOOKUP(Cpi_[[#This Row],[Attribute]],#REF!,2,FALSE)</f>
        <v>#REF!</v>
      </c>
      <c r="F4540">
        <v>130.5</v>
      </c>
      <c r="G4540">
        <f>(Cpi_[[#This Row],[Value]]-F4539)/F4539</f>
        <v>-8.098591549295775E-2</v>
      </c>
      <c r="H4540" t="e" cm="1" vm="1">
        <f t="array" aca="1" ref="H4540" ca="1">VLOOKUP(Cpi_[[#This Row],[Year]:[Month]],crudeoil[],3,FALSE)</f>
        <v>#VALUE!</v>
      </c>
    </row>
    <row r="4541" spans="1:8" hidden="1" x14ac:dyDescent="0.3">
      <c r="A4541" t="s">
        <v>30</v>
      </c>
      <c r="B4541">
        <v>2017</v>
      </c>
      <c r="C4541" t="s">
        <v>42</v>
      </c>
      <c r="D4541" t="s">
        <v>6</v>
      </c>
      <c r="E4541" t="e">
        <f>VLOOKUP(Cpi_[[#This Row],[Attribute]],#REF!,2,FALSE)</f>
        <v>#REF!</v>
      </c>
      <c r="F4541">
        <v>140.19999999999999</v>
      </c>
      <c r="G4541">
        <f>(Cpi_[[#This Row],[Value]]-F4540)/F4540</f>
        <v>7.4329501915708723E-2</v>
      </c>
      <c r="H4541" t="e" cm="1" vm="1">
        <f t="array" aca="1" ref="H4541" ca="1">VLOOKUP(Cpi_[[#This Row],[Year]:[Month]],crudeoil[],3,FALSE)</f>
        <v>#VALUE!</v>
      </c>
    </row>
    <row r="4542" spans="1:8" hidden="1" x14ac:dyDescent="0.3">
      <c r="A4542" t="s">
        <v>30</v>
      </c>
      <c r="B4542">
        <v>2017</v>
      </c>
      <c r="C4542" t="s">
        <v>42</v>
      </c>
      <c r="D4542" t="s">
        <v>7</v>
      </c>
      <c r="E4542" t="e">
        <f>VLOOKUP(Cpi_[[#This Row],[Attribute]],#REF!,2,FALSE)</f>
        <v>#REF!</v>
      </c>
      <c r="F4542">
        <v>120.7</v>
      </c>
      <c r="G4542">
        <f>(Cpi_[[#This Row],[Value]]-F4541)/F4541</f>
        <v>-0.13908701854493571</v>
      </c>
      <c r="H4542" t="e" cm="1" vm="1">
        <f t="array" aca="1" ref="H4542" ca="1">VLOOKUP(Cpi_[[#This Row],[Year]:[Month]],crudeoil[],3,FALSE)</f>
        <v>#VALUE!</v>
      </c>
    </row>
    <row r="4543" spans="1:8" hidden="1" x14ac:dyDescent="0.3">
      <c r="A4543" t="s">
        <v>30</v>
      </c>
      <c r="B4543">
        <v>2017</v>
      </c>
      <c r="C4543" t="s">
        <v>42</v>
      </c>
      <c r="D4543" t="s">
        <v>8</v>
      </c>
      <c r="E4543" t="e">
        <f>VLOOKUP(Cpi_[[#This Row],[Attribute]],#REF!,2,FALSE)</f>
        <v>#REF!</v>
      </c>
      <c r="F4543">
        <v>147.80000000000001</v>
      </c>
      <c r="G4543">
        <f>(Cpi_[[#This Row],[Value]]-F4542)/F4542</f>
        <v>0.2245236122618062</v>
      </c>
      <c r="H4543" t="e" cm="1" vm="1">
        <f t="array" aca="1" ref="H4543" ca="1">VLOOKUP(Cpi_[[#This Row],[Year]:[Month]],crudeoil[],3,FALSE)</f>
        <v>#VALUE!</v>
      </c>
    </row>
    <row r="4544" spans="1:8" hidden="1" x14ac:dyDescent="0.3">
      <c r="A4544" t="s">
        <v>30</v>
      </c>
      <c r="B4544">
        <v>2017</v>
      </c>
      <c r="C4544" t="s">
        <v>42</v>
      </c>
      <c r="D4544" t="s">
        <v>9</v>
      </c>
      <c r="E4544" t="e">
        <f>VLOOKUP(Cpi_[[#This Row],[Attribute]],#REF!,2,FALSE)</f>
        <v>#REF!</v>
      </c>
      <c r="F4544">
        <v>154.5</v>
      </c>
      <c r="G4544">
        <f>(Cpi_[[#This Row],[Value]]-F4543)/F4543</f>
        <v>4.5331529093369335E-2</v>
      </c>
      <c r="H4544" t="e" cm="1" vm="1">
        <f t="array" aca="1" ref="H4544" ca="1">VLOOKUP(Cpi_[[#This Row],[Year]:[Month]],crudeoil[],3,FALSE)</f>
        <v>#VALUE!</v>
      </c>
    </row>
    <row r="4545" spans="1:8" hidden="1" x14ac:dyDescent="0.3">
      <c r="A4545" t="s">
        <v>30</v>
      </c>
      <c r="B4545">
        <v>2017</v>
      </c>
      <c r="C4545" t="s">
        <v>42</v>
      </c>
      <c r="D4545" t="s">
        <v>10</v>
      </c>
      <c r="E4545" t="e">
        <f>VLOOKUP(Cpi_[[#This Row],[Attribute]],#REF!,2,FALSE)</f>
        <v>#REF!</v>
      </c>
      <c r="F4545">
        <v>137.1</v>
      </c>
      <c r="G4545">
        <f>(Cpi_[[#This Row],[Value]]-F4544)/F4544</f>
        <v>-0.11262135922330101</v>
      </c>
      <c r="H4545" t="e" cm="1" vm="1">
        <f t="array" aca="1" ref="H4545" ca="1">VLOOKUP(Cpi_[[#This Row],[Year]:[Month]],crudeoil[],3,FALSE)</f>
        <v>#VALUE!</v>
      </c>
    </row>
    <row r="4546" spans="1:8" hidden="1" x14ac:dyDescent="0.3">
      <c r="A4546" t="s">
        <v>30</v>
      </c>
      <c r="B4546">
        <v>2017</v>
      </c>
      <c r="C4546" t="s">
        <v>42</v>
      </c>
      <c r="D4546" t="s">
        <v>11</v>
      </c>
      <c r="E4546" t="e">
        <f>VLOOKUP(Cpi_[[#This Row],[Attribute]],#REF!,2,FALSE)</f>
        <v>#REF!</v>
      </c>
      <c r="F4546">
        <v>121</v>
      </c>
      <c r="G4546">
        <f>(Cpi_[[#This Row],[Value]]-F4545)/F4545</f>
        <v>-0.11743253099927056</v>
      </c>
      <c r="H4546" t="e" cm="1" vm="1">
        <f t="array" aca="1" ref="H4546" ca="1">VLOOKUP(Cpi_[[#This Row],[Year]:[Month]],crudeoil[],3,FALSE)</f>
        <v>#VALUE!</v>
      </c>
    </row>
    <row r="4547" spans="1:8" hidden="1" x14ac:dyDescent="0.3">
      <c r="A4547" t="s">
        <v>30</v>
      </c>
      <c r="B4547">
        <v>2017</v>
      </c>
      <c r="C4547" t="s">
        <v>42</v>
      </c>
      <c r="D4547" t="s">
        <v>12</v>
      </c>
      <c r="E4547" t="e">
        <f>VLOOKUP(Cpi_[[#This Row],[Attribute]],#REF!,2,FALSE)</f>
        <v>#REF!</v>
      </c>
      <c r="F4547">
        <v>134.69999999999999</v>
      </c>
      <c r="G4547">
        <f>(Cpi_[[#This Row],[Value]]-F4546)/F4546</f>
        <v>0.11322314049586768</v>
      </c>
      <c r="H4547" t="e" cm="1" vm="1">
        <f t="array" aca="1" ref="H4547" ca="1">VLOOKUP(Cpi_[[#This Row],[Year]:[Month]],crudeoil[],3,FALSE)</f>
        <v>#VALUE!</v>
      </c>
    </row>
    <row r="4548" spans="1:8" hidden="1" x14ac:dyDescent="0.3">
      <c r="A4548" t="s">
        <v>30</v>
      </c>
      <c r="B4548">
        <v>2017</v>
      </c>
      <c r="C4548" t="s">
        <v>42</v>
      </c>
      <c r="D4548" t="s">
        <v>13</v>
      </c>
      <c r="E4548" t="e">
        <f>VLOOKUP(Cpi_[[#This Row],[Attribute]],#REF!,2,FALSE)</f>
        <v>#REF!</v>
      </c>
      <c r="F4548">
        <v>131.69999999999999</v>
      </c>
      <c r="G4548">
        <f>(Cpi_[[#This Row],[Value]]-F4547)/F4547</f>
        <v>-2.2271714922049001E-2</v>
      </c>
      <c r="H4548" t="e" cm="1" vm="1">
        <f t="array" aca="1" ref="H4548" ca="1">VLOOKUP(Cpi_[[#This Row],[Year]:[Month]],crudeoil[],3,FALSE)</f>
        <v>#VALUE!</v>
      </c>
    </row>
    <row r="4549" spans="1:8" hidden="1" x14ac:dyDescent="0.3">
      <c r="A4549" t="s">
        <v>30</v>
      </c>
      <c r="B4549">
        <v>2017</v>
      </c>
      <c r="C4549" t="s">
        <v>42</v>
      </c>
      <c r="D4549" t="s">
        <v>14</v>
      </c>
      <c r="E4549" t="e">
        <f>VLOOKUP(Cpi_[[#This Row],[Attribute]],#REF!,2,FALSE)</f>
        <v>#REF!</v>
      </c>
      <c r="F4549">
        <v>149.30000000000001</v>
      </c>
      <c r="G4549">
        <f>(Cpi_[[#This Row],[Value]]-F4548)/F4548</f>
        <v>0.13363705391040262</v>
      </c>
      <c r="H4549" t="e" cm="1" vm="1">
        <f t="array" aca="1" ref="H4549" ca="1">VLOOKUP(Cpi_[[#This Row],[Year]:[Month]],crudeoil[],3,FALSE)</f>
        <v>#VALUE!</v>
      </c>
    </row>
    <row r="4550" spans="1:8" hidden="1" x14ac:dyDescent="0.3">
      <c r="A4550" t="s">
        <v>30</v>
      </c>
      <c r="B4550">
        <v>2017</v>
      </c>
      <c r="C4550" t="s">
        <v>42</v>
      </c>
      <c r="D4550" t="s">
        <v>15</v>
      </c>
      <c r="E4550" t="e">
        <f>VLOOKUP(Cpi_[[#This Row],[Attribute]],#REF!,2,FALSE)</f>
        <v>#REF!</v>
      </c>
      <c r="F4550">
        <v>139.6</v>
      </c>
      <c r="G4550">
        <f>(Cpi_[[#This Row],[Value]]-F4549)/F4549</f>
        <v>-6.4969859343603595E-2</v>
      </c>
      <c r="H4550" t="e" cm="1" vm="1">
        <f t="array" aca="1" ref="H4550" ca="1">VLOOKUP(Cpi_[[#This Row],[Year]:[Month]],crudeoil[],3,FALSE)</f>
        <v>#VALUE!</v>
      </c>
    </row>
    <row r="4551" spans="1:8" hidden="1" x14ac:dyDescent="0.3">
      <c r="A4551" t="s">
        <v>30</v>
      </c>
      <c r="B4551">
        <v>2017</v>
      </c>
      <c r="C4551" t="s">
        <v>42</v>
      </c>
      <c r="D4551" t="s">
        <v>16</v>
      </c>
      <c r="E4551" t="e">
        <f>VLOOKUP(Cpi_[[#This Row],[Attribute]],#REF!,2,FALSE)</f>
        <v>#REF!</v>
      </c>
      <c r="F4551">
        <v>149.80000000000001</v>
      </c>
      <c r="G4551">
        <f>(Cpi_[[#This Row],[Value]]-F4550)/F4550</f>
        <v>7.3065902578796693E-2</v>
      </c>
      <c r="H4551" t="e" cm="1" vm="1">
        <f t="array" aca="1" ref="H4551" ca="1">VLOOKUP(Cpi_[[#This Row],[Year]:[Month]],crudeoil[],3,FALSE)</f>
        <v>#VALUE!</v>
      </c>
    </row>
    <row r="4552" spans="1:8" hidden="1" x14ac:dyDescent="0.3">
      <c r="A4552" t="s">
        <v>30</v>
      </c>
      <c r="B4552">
        <v>2017</v>
      </c>
      <c r="C4552" t="s">
        <v>42</v>
      </c>
      <c r="D4552" t="s">
        <v>17</v>
      </c>
      <c r="E4552" t="e">
        <f>VLOOKUP(Cpi_[[#This Row],[Attribute]],#REF!,2,FALSE)</f>
        <v>#REF!</v>
      </c>
      <c r="F4552">
        <v>146.1</v>
      </c>
      <c r="G4552">
        <f>(Cpi_[[#This Row],[Value]]-F4551)/F4551</f>
        <v>-2.4699599465954718E-2</v>
      </c>
      <c r="H4552" t="e" cm="1" vm="1">
        <f t="array" aca="1" ref="H4552" ca="1">VLOOKUP(Cpi_[[#This Row],[Year]:[Month]],crudeoil[],3,FALSE)</f>
        <v>#VALUE!</v>
      </c>
    </row>
    <row r="4553" spans="1:8" hidden="1" x14ac:dyDescent="0.3">
      <c r="A4553" t="s">
        <v>30</v>
      </c>
      <c r="B4553">
        <v>2017</v>
      </c>
      <c r="C4553" t="s">
        <v>42</v>
      </c>
      <c r="D4553" t="s">
        <v>18</v>
      </c>
      <c r="E4553" t="e">
        <f>VLOOKUP(Cpi_[[#This Row],[Attribute]],#REF!,2,FALSE)</f>
        <v>#REF!</v>
      </c>
      <c r="F4553">
        <v>139.69999999999999</v>
      </c>
      <c r="G4553">
        <f>(Cpi_[[#This Row],[Value]]-F4552)/F4552</f>
        <v>-4.3805612594113662E-2</v>
      </c>
      <c r="H4553" t="e" cm="1" vm="1">
        <f t="array" aca="1" ref="H4553" ca="1">VLOOKUP(Cpi_[[#This Row],[Year]:[Month]],crudeoil[],3,FALSE)</f>
        <v>#VALUE!</v>
      </c>
    </row>
    <row r="4554" spans="1:8" hidden="1" x14ac:dyDescent="0.3">
      <c r="A4554" t="s">
        <v>30</v>
      </c>
      <c r="B4554">
        <v>2017</v>
      </c>
      <c r="C4554" t="s">
        <v>42</v>
      </c>
      <c r="D4554" t="s">
        <v>19</v>
      </c>
      <c r="E4554" t="e">
        <f>VLOOKUP(Cpi_[[#This Row],[Attribute]],#REF!,2,FALSE)</f>
        <v>#REF!</v>
      </c>
      <c r="F4554">
        <v>145.19999999999999</v>
      </c>
      <c r="G4554">
        <f>(Cpi_[[#This Row],[Value]]-F4553)/F4553</f>
        <v>3.9370078740157487E-2</v>
      </c>
      <c r="H4554" t="e" cm="1" vm="1">
        <f t="array" aca="1" ref="H4554" ca="1">VLOOKUP(Cpi_[[#This Row],[Year]:[Month]],crudeoil[],3,FALSE)</f>
        <v>#VALUE!</v>
      </c>
    </row>
    <row r="4555" spans="1:8" hidden="1" x14ac:dyDescent="0.3">
      <c r="A4555" t="s">
        <v>30</v>
      </c>
      <c r="B4555">
        <v>2017</v>
      </c>
      <c r="C4555" t="s">
        <v>42</v>
      </c>
      <c r="D4555" t="s">
        <v>20</v>
      </c>
      <c r="E4555" t="e">
        <f>VLOOKUP(Cpi_[[#This Row],[Attribute]],#REF!,2,FALSE)</f>
        <v>#REF!</v>
      </c>
      <c r="F4555" t="s">
        <v>32</v>
      </c>
      <c r="G4555" t="e">
        <f>(Cpi_[[#This Row],[Value]]-F4554)/F4554</f>
        <v>#VALUE!</v>
      </c>
      <c r="H4555" t="e" cm="1" vm="1">
        <f t="array" aca="1" ref="H4555" ca="1">VLOOKUP(Cpi_[[#This Row],[Year]:[Month]],crudeoil[],3,FALSE)</f>
        <v>#VALUE!</v>
      </c>
    </row>
    <row r="4556" spans="1:8" hidden="1" x14ac:dyDescent="0.3">
      <c r="A4556" t="s">
        <v>30</v>
      </c>
      <c r="B4556">
        <v>2017</v>
      </c>
      <c r="C4556" t="s">
        <v>42</v>
      </c>
      <c r="D4556" t="s">
        <v>21</v>
      </c>
      <c r="E4556" t="e">
        <f>VLOOKUP(Cpi_[[#This Row],[Attribute]],#REF!,2,FALSE)</f>
        <v>#REF!</v>
      </c>
      <c r="F4556">
        <v>137.4</v>
      </c>
      <c r="G4556" t="e">
        <f>(Cpi_[[#This Row],[Value]]-F4555)/F4555</f>
        <v>#VALUE!</v>
      </c>
      <c r="H4556" t="e" cm="1" vm="1">
        <f t="array" aca="1" ref="H4556" ca="1">VLOOKUP(Cpi_[[#This Row],[Year]:[Month]],crudeoil[],3,FALSE)</f>
        <v>#VALUE!</v>
      </c>
    </row>
    <row r="4557" spans="1:8" hidden="1" x14ac:dyDescent="0.3">
      <c r="A4557" t="s">
        <v>30</v>
      </c>
      <c r="B4557">
        <v>2017</v>
      </c>
      <c r="C4557" t="s">
        <v>42</v>
      </c>
      <c r="D4557" t="s">
        <v>22</v>
      </c>
      <c r="E4557" t="e">
        <f>VLOOKUP(Cpi_[[#This Row],[Attribute]],#REF!,2,FALSE)</f>
        <v>#REF!</v>
      </c>
      <c r="F4557">
        <v>137.9</v>
      </c>
      <c r="G4557">
        <f>(Cpi_[[#This Row],[Value]]-F4556)/F4556</f>
        <v>3.6390101892285298E-3</v>
      </c>
      <c r="H4557" t="e" cm="1" vm="1">
        <f t="array" aca="1" ref="H4557" ca="1">VLOOKUP(Cpi_[[#This Row],[Year]:[Month]],crudeoil[],3,FALSE)</f>
        <v>#VALUE!</v>
      </c>
    </row>
    <row r="4558" spans="1:8" hidden="1" x14ac:dyDescent="0.3">
      <c r="A4558" t="s">
        <v>30</v>
      </c>
      <c r="B4558">
        <v>2017</v>
      </c>
      <c r="C4558" t="s">
        <v>42</v>
      </c>
      <c r="D4558" t="s">
        <v>23</v>
      </c>
      <c r="E4558" t="e">
        <f>VLOOKUP(Cpi_[[#This Row],[Attribute]],#REF!,2,FALSE)</f>
        <v>#REF!</v>
      </c>
      <c r="F4558">
        <v>133.4</v>
      </c>
      <c r="G4558">
        <f>(Cpi_[[#This Row],[Value]]-F4557)/F4557</f>
        <v>-3.2632342277012324E-2</v>
      </c>
      <c r="H4558" t="e" cm="1" vm="1">
        <f t="array" aca="1" ref="H4558" ca="1">VLOOKUP(Cpi_[[#This Row],[Year]:[Month]],crudeoil[],3,FALSE)</f>
        <v>#VALUE!</v>
      </c>
    </row>
    <row r="4559" spans="1:8" hidden="1" x14ac:dyDescent="0.3">
      <c r="A4559" t="s">
        <v>30</v>
      </c>
      <c r="B4559">
        <v>2017</v>
      </c>
      <c r="C4559" t="s">
        <v>42</v>
      </c>
      <c r="D4559" t="s">
        <v>24</v>
      </c>
      <c r="E4559" t="e">
        <f>VLOOKUP(Cpi_[[#This Row],[Attribute]],#REF!,2,FALSE)</f>
        <v>#REF!</v>
      </c>
      <c r="F4559">
        <v>121.2</v>
      </c>
      <c r="G4559">
        <f>(Cpi_[[#This Row],[Value]]-F4558)/F4558</f>
        <v>-9.1454272863568234E-2</v>
      </c>
      <c r="H4559" t="e" cm="1" vm="1">
        <f t="array" aca="1" ref="H4559" ca="1">VLOOKUP(Cpi_[[#This Row],[Year]:[Month]],crudeoil[],3,FALSE)</f>
        <v>#VALUE!</v>
      </c>
    </row>
    <row r="4560" spans="1:8" hidden="1" x14ac:dyDescent="0.3">
      <c r="A4560" t="s">
        <v>30</v>
      </c>
      <c r="B4560">
        <v>2017</v>
      </c>
      <c r="C4560" t="s">
        <v>42</v>
      </c>
      <c r="D4560" t="s">
        <v>25</v>
      </c>
      <c r="E4560" t="e">
        <f>VLOOKUP(Cpi_[[#This Row],[Attribute]],#REF!,2,FALSE)</f>
        <v>#REF!</v>
      </c>
      <c r="F4560">
        <v>132.30000000000001</v>
      </c>
      <c r="G4560">
        <f>(Cpi_[[#This Row],[Value]]-F4559)/F4559</f>
        <v>9.1584158415841652E-2</v>
      </c>
      <c r="H4560" t="e" cm="1" vm="1">
        <f t="array" aca="1" ref="H4560" ca="1">VLOOKUP(Cpi_[[#This Row],[Year]:[Month]],crudeoil[],3,FALSE)</f>
        <v>#VALUE!</v>
      </c>
    </row>
    <row r="4561" spans="1:8" hidden="1" x14ac:dyDescent="0.3">
      <c r="A4561" t="s">
        <v>30</v>
      </c>
      <c r="B4561">
        <v>2017</v>
      </c>
      <c r="C4561" t="s">
        <v>42</v>
      </c>
      <c r="D4561" t="s">
        <v>26</v>
      </c>
      <c r="E4561" t="e">
        <f>VLOOKUP(Cpi_[[#This Row],[Attribute]],#REF!,2,FALSE)</f>
        <v>#REF!</v>
      </c>
      <c r="F4561">
        <v>139.6</v>
      </c>
      <c r="G4561">
        <f>(Cpi_[[#This Row],[Value]]-F4560)/F4560</f>
        <v>5.5177626606197898E-2</v>
      </c>
      <c r="H4561" t="e" cm="1" vm="1">
        <f t="array" aca="1" ref="H4561" ca="1">VLOOKUP(Cpi_[[#This Row],[Year]:[Month]],crudeoil[],3,FALSE)</f>
        <v>#VALUE!</v>
      </c>
    </row>
    <row r="4562" spans="1:8" hidden="1" x14ac:dyDescent="0.3">
      <c r="A4562" t="s">
        <v>30</v>
      </c>
      <c r="B4562">
        <v>2017</v>
      </c>
      <c r="C4562" t="s">
        <v>42</v>
      </c>
      <c r="D4562" t="s">
        <v>27</v>
      </c>
      <c r="E4562" t="e">
        <f>VLOOKUP(Cpi_[[#This Row],[Attribute]],#REF!,2,FALSE)</f>
        <v>#REF!</v>
      </c>
      <c r="F4562">
        <v>126.7</v>
      </c>
      <c r="G4562">
        <f>(Cpi_[[#This Row],[Value]]-F4561)/F4561</f>
        <v>-9.2406876790830886E-2</v>
      </c>
      <c r="H4562" t="e" cm="1" vm="1">
        <f t="array" aca="1" ref="H4562" ca="1">VLOOKUP(Cpi_[[#This Row],[Year]:[Month]],crudeoil[],3,FALSE)</f>
        <v>#VALUE!</v>
      </c>
    </row>
    <row r="4563" spans="1:8" hidden="1" x14ac:dyDescent="0.3">
      <c r="A4563" t="s">
        <v>30</v>
      </c>
      <c r="B4563">
        <v>2017</v>
      </c>
      <c r="C4563" t="s">
        <v>42</v>
      </c>
      <c r="D4563" t="s">
        <v>28</v>
      </c>
      <c r="E4563" t="e">
        <f>VLOOKUP(Cpi_[[#This Row],[Attribute]],#REF!,2,FALSE)</f>
        <v>#REF!</v>
      </c>
      <c r="F4563">
        <v>130.30000000000001</v>
      </c>
      <c r="G4563">
        <f>(Cpi_[[#This Row],[Value]]-F4562)/F4562</f>
        <v>2.8413575374901408E-2</v>
      </c>
      <c r="H4563" t="e" cm="1" vm="1">
        <f t="array" aca="1" ref="H4563" ca="1">VLOOKUP(Cpi_[[#This Row],[Year]:[Month]],crudeoil[],3,FALSE)</f>
        <v>#VALUE!</v>
      </c>
    </row>
    <row r="4564" spans="1:8" hidden="1" x14ac:dyDescent="0.3">
      <c r="A4564" t="s">
        <v>30</v>
      </c>
      <c r="B4564">
        <v>2017</v>
      </c>
      <c r="C4564" t="s">
        <v>42</v>
      </c>
      <c r="D4564" t="s">
        <v>29</v>
      </c>
      <c r="E4564" t="e" cm="1">
        <f t="array" aca="1" ref="E4564" ca="1">VLGeneral indexGeneral indexKUP(Cpi_[[#This Row],[Attribute]],#REF!,2,FALSE)</f>
        <v>#NAME?</v>
      </c>
      <c r="F4564">
        <v>137.6</v>
      </c>
      <c r="G4564">
        <f>(Cpi_[[#This Row],[Value]]-F4563)/F4563</f>
        <v>5.6024558710667555E-2</v>
      </c>
      <c r="H4564" t="e" cm="1" vm="1">
        <f t="array" aca="1" ref="H4564" ca="1">VLOOKUP(Cpi_[[#This Row],[Year]:[Month]],crudeoil[],3,FALSE)</f>
        <v>#VALUE!</v>
      </c>
    </row>
    <row r="4565" spans="1:8" hidden="1" x14ac:dyDescent="0.3">
      <c r="A4565" t="s">
        <v>33</v>
      </c>
      <c r="B4565">
        <v>2017</v>
      </c>
      <c r="C4565" t="s">
        <v>42</v>
      </c>
      <c r="D4565" t="s">
        <v>3</v>
      </c>
      <c r="E4565" t="e">
        <f>VLOOKUP(Cpi_[[#This Row],[Attribute]],#REF!,2,FALSE)</f>
        <v>#REF!</v>
      </c>
      <c r="F4565">
        <v>133.6</v>
      </c>
      <c r="G4565">
        <f>(Cpi_[[#This Row],[Value]]-F4564)/F4564</f>
        <v>-2.9069767441860465E-2</v>
      </c>
      <c r="H4565" t="e" cm="1" vm="1">
        <f t="array" aca="1" ref="H4565" ca="1">VLOOKUP(Cpi_[[#This Row],[Year]:[Month]],crudeoil[],3,FALSE)</f>
        <v>#VALUE!</v>
      </c>
    </row>
    <row r="4566" spans="1:8" hidden="1" x14ac:dyDescent="0.3">
      <c r="A4566" t="s">
        <v>33</v>
      </c>
      <c r="B4566">
        <v>2017</v>
      </c>
      <c r="C4566" t="s">
        <v>42</v>
      </c>
      <c r="D4566" t="s">
        <v>4</v>
      </c>
      <c r="E4566" t="e">
        <f>VLOOKUP(Cpi_[[#This Row],[Attribute]],#REF!,2,FALSE)</f>
        <v>#REF!</v>
      </c>
      <c r="F4566">
        <v>143</v>
      </c>
      <c r="G4566">
        <f>(Cpi_[[#This Row],[Value]]-F4565)/F4565</f>
        <v>7.035928143712579E-2</v>
      </c>
      <c r="H4566" t="e" cm="1" vm="1">
        <f t="array" aca="1" ref="H4566" ca="1">VLOOKUP(Cpi_[[#This Row],[Year]:[Month]],crudeoil[],3,FALSE)</f>
        <v>#VALUE!</v>
      </c>
    </row>
    <row r="4567" spans="1:8" hidden="1" x14ac:dyDescent="0.3">
      <c r="A4567" t="s">
        <v>33</v>
      </c>
      <c r="B4567">
        <v>2017</v>
      </c>
      <c r="C4567" t="s">
        <v>42</v>
      </c>
      <c r="D4567" t="s">
        <v>5</v>
      </c>
      <c r="E4567" t="e">
        <f>VLOOKUP(Cpi_[[#This Row],[Attribute]],#REF!,2,FALSE)</f>
        <v>#REF!</v>
      </c>
      <c r="F4567">
        <v>129.69999999999999</v>
      </c>
      <c r="G4567">
        <f>(Cpi_[[#This Row],[Value]]-F4566)/F4566</f>
        <v>-9.3006993006993083E-2</v>
      </c>
      <c r="H4567" t="e" cm="1" vm="1">
        <f t="array" aca="1" ref="H4567" ca="1">VLOOKUP(Cpi_[[#This Row],[Year]:[Month]],crudeoil[],3,FALSE)</f>
        <v>#VALUE!</v>
      </c>
    </row>
    <row r="4568" spans="1:8" hidden="1" x14ac:dyDescent="0.3">
      <c r="A4568" t="s">
        <v>33</v>
      </c>
      <c r="B4568">
        <v>2017</v>
      </c>
      <c r="C4568" t="s">
        <v>42</v>
      </c>
      <c r="D4568" t="s">
        <v>6</v>
      </c>
      <c r="E4568" t="e">
        <f>VLOOKUP(Cpi_[[#This Row],[Attribute]],#REF!,2,FALSE)</f>
        <v>#REF!</v>
      </c>
      <c r="F4568">
        <v>138.69999999999999</v>
      </c>
      <c r="G4568">
        <f>(Cpi_[[#This Row],[Value]]-F4567)/F4567</f>
        <v>6.9390902081727074E-2</v>
      </c>
      <c r="H4568" t="e" cm="1" vm="1">
        <f t="array" aca="1" ref="H4568" ca="1">VLOOKUP(Cpi_[[#This Row],[Year]:[Month]],crudeoil[],3,FALSE)</f>
        <v>#VALUE!</v>
      </c>
    </row>
    <row r="4569" spans="1:8" hidden="1" x14ac:dyDescent="0.3">
      <c r="A4569" t="s">
        <v>33</v>
      </c>
      <c r="B4569">
        <v>2017</v>
      </c>
      <c r="C4569" t="s">
        <v>42</v>
      </c>
      <c r="D4569" t="s">
        <v>7</v>
      </c>
      <c r="E4569" t="e">
        <f>VLOOKUP(Cpi_[[#This Row],[Attribute]],#REF!,2,FALSE)</f>
        <v>#REF!</v>
      </c>
      <c r="F4569">
        <v>114.5</v>
      </c>
      <c r="G4569">
        <f>(Cpi_[[#This Row],[Value]]-F4568)/F4568</f>
        <v>-0.17447728911319388</v>
      </c>
      <c r="H4569" t="e" cm="1" vm="1">
        <f t="array" aca="1" ref="H4569" ca="1">VLOOKUP(Cpi_[[#This Row],[Year]:[Month]],crudeoil[],3,FALSE)</f>
        <v>#VALUE!</v>
      </c>
    </row>
    <row r="4570" spans="1:8" hidden="1" x14ac:dyDescent="0.3">
      <c r="A4570" t="s">
        <v>33</v>
      </c>
      <c r="B4570">
        <v>2017</v>
      </c>
      <c r="C4570" t="s">
        <v>42</v>
      </c>
      <c r="D4570" t="s">
        <v>8</v>
      </c>
      <c r="E4570" t="e">
        <f>VLOOKUP(Cpi_[[#This Row],[Attribute]],#REF!,2,FALSE)</f>
        <v>#REF!</v>
      </c>
      <c r="F4570">
        <v>137.5</v>
      </c>
      <c r="G4570">
        <f>(Cpi_[[#This Row],[Value]]-F4569)/F4569</f>
        <v>0.20087336244541484</v>
      </c>
      <c r="H4570" t="e" cm="1" vm="1">
        <f t="array" aca="1" ref="H4570" ca="1">VLOOKUP(Cpi_[[#This Row],[Year]:[Month]],crudeoil[],3,FALSE)</f>
        <v>#VALUE!</v>
      </c>
    </row>
    <row r="4571" spans="1:8" hidden="1" x14ac:dyDescent="0.3">
      <c r="A4571" t="s">
        <v>33</v>
      </c>
      <c r="B4571">
        <v>2017</v>
      </c>
      <c r="C4571" t="s">
        <v>42</v>
      </c>
      <c r="D4571" t="s">
        <v>9</v>
      </c>
      <c r="E4571" t="e">
        <f>VLOOKUP(Cpi_[[#This Row],[Attribute]],#REF!,2,FALSE)</f>
        <v>#REF!</v>
      </c>
      <c r="F4571">
        <v>160.69999999999999</v>
      </c>
      <c r="G4571">
        <f>(Cpi_[[#This Row],[Value]]-F4570)/F4570</f>
        <v>0.16872727272727264</v>
      </c>
      <c r="H4571" t="e" cm="1" vm="1">
        <f t="array" aca="1" ref="H4571" ca="1">VLOOKUP(Cpi_[[#This Row],[Year]:[Month]],crudeoil[],3,FALSE)</f>
        <v>#VALUE!</v>
      </c>
    </row>
    <row r="4572" spans="1:8" hidden="1" x14ac:dyDescent="0.3">
      <c r="A4572" t="s">
        <v>33</v>
      </c>
      <c r="B4572">
        <v>2017</v>
      </c>
      <c r="C4572" t="s">
        <v>42</v>
      </c>
      <c r="D4572" t="s">
        <v>10</v>
      </c>
      <c r="E4572" t="e">
        <f>VLOOKUP(Cpi_[[#This Row],[Attribute]],#REF!,2,FALSE)</f>
        <v>#REF!</v>
      </c>
      <c r="F4572">
        <v>124.5</v>
      </c>
      <c r="G4572">
        <f>(Cpi_[[#This Row],[Value]]-F4571)/F4571</f>
        <v>-0.22526446795270685</v>
      </c>
      <c r="H4572" t="e" cm="1" vm="1">
        <f t="array" aca="1" ref="H4572" ca="1">VLOOKUP(Cpi_[[#This Row],[Year]:[Month]],crudeoil[],3,FALSE)</f>
        <v>#VALUE!</v>
      </c>
    </row>
    <row r="4573" spans="1:8" hidden="1" x14ac:dyDescent="0.3">
      <c r="A4573" t="s">
        <v>33</v>
      </c>
      <c r="B4573">
        <v>2017</v>
      </c>
      <c r="C4573" t="s">
        <v>42</v>
      </c>
      <c r="D4573" t="s">
        <v>11</v>
      </c>
      <c r="E4573" t="e">
        <f>VLOOKUP(Cpi_[[#This Row],[Attribute]],#REF!,2,FALSE)</f>
        <v>#REF!</v>
      </c>
      <c r="F4573">
        <v>122.4</v>
      </c>
      <c r="G4573">
        <f>(Cpi_[[#This Row],[Value]]-F4572)/F4572</f>
        <v>-1.6867469879518027E-2</v>
      </c>
      <c r="H4573" t="e" cm="1" vm="1">
        <f t="array" aca="1" ref="H4573" ca="1">VLOOKUP(Cpi_[[#This Row],[Year]:[Month]],crudeoil[],3,FALSE)</f>
        <v>#VALUE!</v>
      </c>
    </row>
    <row r="4574" spans="1:8" hidden="1" x14ac:dyDescent="0.3">
      <c r="A4574" t="s">
        <v>33</v>
      </c>
      <c r="B4574">
        <v>2017</v>
      </c>
      <c r="C4574" t="s">
        <v>42</v>
      </c>
      <c r="D4574" t="s">
        <v>12</v>
      </c>
      <c r="E4574" t="e">
        <f>VLOOKUP(Cpi_[[#This Row],[Attribute]],#REF!,2,FALSE)</f>
        <v>#REF!</v>
      </c>
      <c r="F4574">
        <v>137.30000000000001</v>
      </c>
      <c r="G4574">
        <f>(Cpi_[[#This Row],[Value]]-F4573)/F4573</f>
        <v>0.12173202614379089</v>
      </c>
      <c r="H4574" t="e" cm="1" vm="1">
        <f t="array" aca="1" ref="H4574" ca="1">VLOOKUP(Cpi_[[#This Row],[Year]:[Month]],crudeoil[],3,FALSE)</f>
        <v>#VALUE!</v>
      </c>
    </row>
    <row r="4575" spans="1:8" hidden="1" x14ac:dyDescent="0.3">
      <c r="A4575" t="s">
        <v>33</v>
      </c>
      <c r="B4575">
        <v>2017</v>
      </c>
      <c r="C4575" t="s">
        <v>42</v>
      </c>
      <c r="D4575" t="s">
        <v>13</v>
      </c>
      <c r="E4575" t="e">
        <f>VLOOKUP(Cpi_[[#This Row],[Attribute]],#REF!,2,FALSE)</f>
        <v>#REF!</v>
      </c>
      <c r="F4575">
        <v>124.8</v>
      </c>
      <c r="G4575">
        <f>(Cpi_[[#This Row],[Value]]-F4574)/F4574</f>
        <v>-9.1041514930808545E-2</v>
      </c>
      <c r="H4575" t="e" cm="1" vm="1">
        <f t="array" aca="1" ref="H4575" ca="1">VLOOKUP(Cpi_[[#This Row],[Year]:[Month]],crudeoil[],3,FALSE)</f>
        <v>#VALUE!</v>
      </c>
    </row>
    <row r="4576" spans="1:8" hidden="1" x14ac:dyDescent="0.3">
      <c r="A4576" t="s">
        <v>33</v>
      </c>
      <c r="B4576">
        <v>2017</v>
      </c>
      <c r="C4576" t="s">
        <v>42</v>
      </c>
      <c r="D4576" t="s">
        <v>14</v>
      </c>
      <c r="E4576" t="e">
        <f>VLOOKUP(Cpi_[[#This Row],[Attribute]],#REF!,2,FALSE)</f>
        <v>#REF!</v>
      </c>
      <c r="F4576">
        <v>145</v>
      </c>
      <c r="G4576">
        <f>(Cpi_[[#This Row],[Value]]-F4575)/F4575</f>
        <v>0.16185897435897439</v>
      </c>
      <c r="H4576" t="e" cm="1" vm="1">
        <f t="array" aca="1" ref="H4576" ca="1">VLOOKUP(Cpi_[[#This Row],[Year]:[Month]],crudeoil[],3,FALSE)</f>
        <v>#VALUE!</v>
      </c>
    </row>
    <row r="4577" spans="1:8" hidden="1" x14ac:dyDescent="0.3">
      <c r="A4577" t="s">
        <v>33</v>
      </c>
      <c r="B4577">
        <v>2017</v>
      </c>
      <c r="C4577" t="s">
        <v>42</v>
      </c>
      <c r="D4577" t="s">
        <v>15</v>
      </c>
      <c r="E4577" t="e">
        <f>VLOOKUP(Cpi_[[#This Row],[Attribute]],#REF!,2,FALSE)</f>
        <v>#REF!</v>
      </c>
      <c r="F4577">
        <v>138</v>
      </c>
      <c r="G4577">
        <f>(Cpi_[[#This Row],[Value]]-F4576)/F4576</f>
        <v>-4.8275862068965517E-2</v>
      </c>
      <c r="H4577" t="e" cm="1" vm="1">
        <f t="array" aca="1" ref="H4577" ca="1">VLOOKUP(Cpi_[[#This Row],[Year]:[Month]],crudeoil[],3,FALSE)</f>
        <v>#VALUE!</v>
      </c>
    </row>
    <row r="4578" spans="1:8" hidden="1" x14ac:dyDescent="0.3">
      <c r="A4578" t="s">
        <v>33</v>
      </c>
      <c r="B4578">
        <v>2017</v>
      </c>
      <c r="C4578" t="s">
        <v>42</v>
      </c>
      <c r="D4578" t="s">
        <v>16</v>
      </c>
      <c r="E4578" t="e">
        <f>VLOOKUP(Cpi_[[#This Row],[Attribute]],#REF!,2,FALSE)</f>
        <v>#REF!</v>
      </c>
      <c r="F4578">
        <v>153.6</v>
      </c>
      <c r="G4578">
        <f>(Cpi_[[#This Row],[Value]]-F4577)/F4577</f>
        <v>0.11304347826086952</v>
      </c>
      <c r="H4578" t="e" cm="1" vm="1">
        <f t="array" aca="1" ref="H4578" ca="1">VLOOKUP(Cpi_[[#This Row],[Year]:[Month]],crudeoil[],3,FALSE)</f>
        <v>#VALUE!</v>
      </c>
    </row>
    <row r="4579" spans="1:8" hidden="1" x14ac:dyDescent="0.3">
      <c r="A4579" t="s">
        <v>33</v>
      </c>
      <c r="B4579">
        <v>2017</v>
      </c>
      <c r="C4579" t="s">
        <v>42</v>
      </c>
      <c r="D4579" t="s">
        <v>17</v>
      </c>
      <c r="E4579" t="e">
        <f>VLOOKUP(Cpi_[[#This Row],[Attribute]],#REF!,2,FALSE)</f>
        <v>#REF!</v>
      </c>
      <c r="F4579">
        <v>133.30000000000001</v>
      </c>
      <c r="G4579">
        <f>(Cpi_[[#This Row],[Value]]-F4578)/F4578</f>
        <v>-0.13216145833333323</v>
      </c>
      <c r="H4579" t="e" cm="1" vm="1">
        <f t="array" aca="1" ref="H4579" ca="1">VLOOKUP(Cpi_[[#This Row],[Year]:[Month]],crudeoil[],3,FALSE)</f>
        <v>#VALUE!</v>
      </c>
    </row>
    <row r="4580" spans="1:8" hidden="1" x14ac:dyDescent="0.3">
      <c r="A4580" t="s">
        <v>33</v>
      </c>
      <c r="B4580">
        <v>2017</v>
      </c>
      <c r="C4580" t="s">
        <v>42</v>
      </c>
      <c r="D4580" t="s">
        <v>18</v>
      </c>
      <c r="E4580" t="e">
        <f>VLOOKUP(Cpi_[[#This Row],[Attribute]],#REF!,2,FALSE)</f>
        <v>#REF!</v>
      </c>
      <c r="F4580">
        <v>124.6</v>
      </c>
      <c r="G4580">
        <f>(Cpi_[[#This Row],[Value]]-F4579)/F4579</f>
        <v>-6.5266316579144903E-2</v>
      </c>
      <c r="H4580" t="e" cm="1" vm="1">
        <f t="array" aca="1" ref="H4580" ca="1">VLOOKUP(Cpi_[[#This Row],[Year]:[Month]],crudeoil[],3,FALSE)</f>
        <v>#VALUE!</v>
      </c>
    </row>
    <row r="4581" spans="1:8" hidden="1" x14ac:dyDescent="0.3">
      <c r="A4581" t="s">
        <v>33</v>
      </c>
      <c r="B4581">
        <v>2017</v>
      </c>
      <c r="C4581" t="s">
        <v>42</v>
      </c>
      <c r="D4581" t="s">
        <v>19</v>
      </c>
      <c r="E4581" t="e">
        <f>VLOOKUP(Cpi_[[#This Row],[Attribute]],#REF!,2,FALSE)</f>
        <v>#REF!</v>
      </c>
      <c r="F4581">
        <v>132</v>
      </c>
      <c r="G4581">
        <f>(Cpi_[[#This Row],[Value]]-F4580)/F4580</f>
        <v>5.9390048154093149E-2</v>
      </c>
      <c r="H4581" t="e" cm="1" vm="1">
        <f t="array" aca="1" ref="H4581" ca="1">VLOOKUP(Cpi_[[#This Row],[Year]:[Month]],crudeoil[],3,FALSE)</f>
        <v>#VALUE!</v>
      </c>
    </row>
    <row r="4582" spans="1:8" hidden="1" x14ac:dyDescent="0.3">
      <c r="A4582" t="s">
        <v>33</v>
      </c>
      <c r="B4582">
        <v>2017</v>
      </c>
      <c r="C4582" t="s">
        <v>42</v>
      </c>
      <c r="D4582" t="s">
        <v>20</v>
      </c>
      <c r="E4582" t="e">
        <f>VLOOKUP(Cpi_[[#This Row],[Attribute]],#REF!,2,FALSE)</f>
        <v>#REF!</v>
      </c>
      <c r="F4582">
        <v>135.69999999999999</v>
      </c>
      <c r="G4582">
        <f>(Cpi_[[#This Row],[Value]]-F4581)/F4581</f>
        <v>2.8030303030302944E-2</v>
      </c>
      <c r="H4582" t="e" cm="1" vm="1">
        <f t="array" aca="1" ref="H4582" ca="1">VLOOKUP(Cpi_[[#This Row],[Year]:[Month]],crudeoil[],3,FALSE)</f>
        <v>#VALUE!</v>
      </c>
    </row>
    <row r="4583" spans="1:8" hidden="1" x14ac:dyDescent="0.3">
      <c r="A4583" t="s">
        <v>33</v>
      </c>
      <c r="B4583">
        <v>2017</v>
      </c>
      <c r="C4583" t="s">
        <v>42</v>
      </c>
      <c r="D4583" t="s">
        <v>21</v>
      </c>
      <c r="E4583" t="e">
        <f>VLOOKUP(Cpi_[[#This Row],[Attribute]],#REF!,2,FALSE)</f>
        <v>#REF!</v>
      </c>
      <c r="F4583">
        <v>120.6</v>
      </c>
      <c r="G4583">
        <f>(Cpi_[[#This Row],[Value]]-F4582)/F4582</f>
        <v>-0.11127487103905671</v>
      </c>
      <c r="H4583" t="e" cm="1" vm="1">
        <f t="array" aca="1" ref="H4583" ca="1">VLOOKUP(Cpi_[[#This Row],[Year]:[Month]],crudeoil[],3,FALSE)</f>
        <v>#VALUE!</v>
      </c>
    </row>
    <row r="4584" spans="1:8" hidden="1" x14ac:dyDescent="0.3">
      <c r="A4584" t="s">
        <v>33</v>
      </c>
      <c r="B4584">
        <v>2017</v>
      </c>
      <c r="C4584" t="s">
        <v>42</v>
      </c>
      <c r="D4584" t="s">
        <v>22</v>
      </c>
      <c r="E4584" t="e">
        <f>VLOOKUP(Cpi_[[#This Row],[Attribute]],#REF!,2,FALSE)</f>
        <v>#REF!</v>
      </c>
      <c r="F4584">
        <v>128.1</v>
      </c>
      <c r="G4584">
        <f>(Cpi_[[#This Row],[Value]]-F4583)/F4583</f>
        <v>6.2189054726368161E-2</v>
      </c>
      <c r="H4584" t="e" cm="1" vm="1">
        <f t="array" aca="1" ref="H4584" ca="1">VLOOKUP(Cpi_[[#This Row],[Year]:[Month]],crudeoil[],3,FALSE)</f>
        <v>#VALUE!</v>
      </c>
    </row>
    <row r="4585" spans="1:8" hidden="1" x14ac:dyDescent="0.3">
      <c r="A4585" t="s">
        <v>33</v>
      </c>
      <c r="B4585">
        <v>2017</v>
      </c>
      <c r="C4585" t="s">
        <v>42</v>
      </c>
      <c r="D4585" t="s">
        <v>23</v>
      </c>
      <c r="E4585" t="e">
        <f>VLOOKUP(Cpi_[[#This Row],[Attribute]],#REF!,2,FALSE)</f>
        <v>#REF!</v>
      </c>
      <c r="F4585">
        <v>126.1</v>
      </c>
      <c r="G4585">
        <f>(Cpi_[[#This Row],[Value]]-F4584)/F4584</f>
        <v>-1.56128024980484E-2</v>
      </c>
      <c r="H4585" t="e" cm="1" vm="1">
        <f t="array" aca="1" ref="H4585" ca="1">VLOOKUP(Cpi_[[#This Row],[Year]:[Month]],crudeoil[],3,FALSE)</f>
        <v>#VALUE!</v>
      </c>
    </row>
    <row r="4586" spans="1:8" hidden="1" x14ac:dyDescent="0.3">
      <c r="A4586" t="s">
        <v>33</v>
      </c>
      <c r="B4586">
        <v>2017</v>
      </c>
      <c r="C4586" t="s">
        <v>42</v>
      </c>
      <c r="D4586" t="s">
        <v>24</v>
      </c>
      <c r="E4586" t="e">
        <f>VLOOKUP(Cpi_[[#This Row],[Attribute]],#REF!,2,FALSE)</f>
        <v>#REF!</v>
      </c>
      <c r="F4586">
        <v>115.7</v>
      </c>
      <c r="G4586">
        <f>(Cpi_[[#This Row],[Value]]-F4585)/F4585</f>
        <v>-8.2474226804123654E-2</v>
      </c>
      <c r="H4586" t="e" cm="1" vm="1">
        <f t="array" aca="1" ref="H4586" ca="1">VLOOKUP(Cpi_[[#This Row],[Year]:[Month]],crudeoil[],3,FALSE)</f>
        <v>#VALUE!</v>
      </c>
    </row>
    <row r="4587" spans="1:8" hidden="1" x14ac:dyDescent="0.3">
      <c r="A4587" t="s">
        <v>33</v>
      </c>
      <c r="B4587">
        <v>2017</v>
      </c>
      <c r="C4587" t="s">
        <v>42</v>
      </c>
      <c r="D4587" t="s">
        <v>25</v>
      </c>
      <c r="E4587" t="e">
        <f>VLOOKUP(Cpi_[[#This Row],[Attribute]],#REF!,2,FALSE)</f>
        <v>#REF!</v>
      </c>
      <c r="F4587">
        <v>124.5</v>
      </c>
      <c r="G4587">
        <f>(Cpi_[[#This Row],[Value]]-F4586)/F4586</f>
        <v>7.6058772687986151E-2</v>
      </c>
      <c r="H4587" t="e" cm="1" vm="1">
        <f t="array" aca="1" ref="H4587" ca="1">VLOOKUP(Cpi_[[#This Row],[Year]:[Month]],crudeoil[],3,FALSE)</f>
        <v>#VALUE!</v>
      </c>
    </row>
    <row r="4588" spans="1:8" hidden="1" x14ac:dyDescent="0.3">
      <c r="A4588" t="s">
        <v>33</v>
      </c>
      <c r="B4588">
        <v>2017</v>
      </c>
      <c r="C4588" t="s">
        <v>42</v>
      </c>
      <c r="D4588" t="s">
        <v>26</v>
      </c>
      <c r="E4588" t="e">
        <f>VLOOKUP(Cpi_[[#This Row],[Attribute]],#REF!,2,FALSE)</f>
        <v>#REF!</v>
      </c>
      <c r="F4588">
        <v>135.9</v>
      </c>
      <c r="G4588">
        <f>(Cpi_[[#This Row],[Value]]-F4587)/F4587</f>
        <v>9.1566265060241014E-2</v>
      </c>
      <c r="H4588" t="e" cm="1" vm="1">
        <f t="array" aca="1" ref="H4588" ca="1">VLOOKUP(Cpi_[[#This Row],[Year]:[Month]],crudeoil[],3,FALSE)</f>
        <v>#VALUE!</v>
      </c>
    </row>
    <row r="4589" spans="1:8" hidden="1" x14ac:dyDescent="0.3">
      <c r="A4589" t="s">
        <v>33</v>
      </c>
      <c r="B4589">
        <v>2017</v>
      </c>
      <c r="C4589" t="s">
        <v>42</v>
      </c>
      <c r="D4589" t="s">
        <v>27</v>
      </c>
      <c r="E4589" t="e">
        <f>VLOOKUP(Cpi_[[#This Row],[Attribute]],#REF!,2,FALSE)</f>
        <v>#REF!</v>
      </c>
      <c r="F4589">
        <v>124.4</v>
      </c>
      <c r="G4589">
        <f>(Cpi_[[#This Row],[Value]]-F4588)/F4588</f>
        <v>-8.4621044885945546E-2</v>
      </c>
      <c r="H4589" t="e" cm="1" vm="1">
        <f t="array" aca="1" ref="H4589" ca="1">VLOOKUP(Cpi_[[#This Row],[Year]:[Month]],crudeoil[],3,FALSE)</f>
        <v>#VALUE!</v>
      </c>
    </row>
    <row r="4590" spans="1:8" hidden="1" x14ac:dyDescent="0.3">
      <c r="A4590" t="s">
        <v>33</v>
      </c>
      <c r="B4590">
        <v>2017</v>
      </c>
      <c r="C4590" t="s">
        <v>42</v>
      </c>
      <c r="D4590" t="s">
        <v>28</v>
      </c>
      <c r="E4590" t="e">
        <f>VLOOKUP(Cpi_[[#This Row],[Attribute]],#REF!,2,FALSE)</f>
        <v>#REF!</v>
      </c>
      <c r="F4590">
        <v>124.5</v>
      </c>
      <c r="G4590">
        <f>(Cpi_[[#This Row],[Value]]-F4589)/F4589</f>
        <v>8.0385852090027578E-4</v>
      </c>
      <c r="H4590" t="e" cm="1" vm="1">
        <f t="array" aca="1" ref="H4590" ca="1">VLOOKUP(Cpi_[[#This Row],[Year]:[Month]],crudeoil[],3,FALSE)</f>
        <v>#VALUE!</v>
      </c>
    </row>
    <row r="4591" spans="1:8" hidden="1" x14ac:dyDescent="0.3">
      <c r="A4591" t="s">
        <v>33</v>
      </c>
      <c r="B4591">
        <v>2017</v>
      </c>
      <c r="C4591" t="s">
        <v>42</v>
      </c>
      <c r="D4591" t="s">
        <v>29</v>
      </c>
      <c r="E4591" t="e" cm="1">
        <f t="array" aca="1" ref="E4591" ca="1">VLGeneral indexGeneral indexKUP(Cpi_[[#This Row],[Attribute]],#REF!,2,FALSE)</f>
        <v>#NAME?</v>
      </c>
      <c r="F4591">
        <v>132.4</v>
      </c>
      <c r="G4591">
        <f>(Cpi_[[#This Row],[Value]]-F4590)/F4590</f>
        <v>6.3453815261044225E-2</v>
      </c>
      <c r="H4591" t="e" cm="1" vm="1">
        <f t="array" aca="1" ref="H4591" ca="1">VLOOKUP(Cpi_[[#This Row],[Year]:[Month]],crudeoil[],3,FALSE)</f>
        <v>#VALUE!</v>
      </c>
    </row>
    <row r="4592" spans="1:8" hidden="1" x14ac:dyDescent="0.3">
      <c r="A4592" t="s">
        <v>34</v>
      </c>
      <c r="B4592">
        <v>2017</v>
      </c>
      <c r="C4592" t="s">
        <v>42</v>
      </c>
      <c r="D4592" t="s">
        <v>3</v>
      </c>
      <c r="E4592" t="e">
        <f>VLOOKUP(Cpi_[[#This Row],[Attribute]],#REF!,2,FALSE)</f>
        <v>#REF!</v>
      </c>
      <c r="F4592">
        <v>134.69999999999999</v>
      </c>
      <c r="G4592">
        <f>(Cpi_[[#This Row],[Value]]-F4591)/F4591</f>
        <v>1.7371601208459084E-2</v>
      </c>
      <c r="H4592" t="e" cm="1" vm="1">
        <f t="array" aca="1" ref="H4592" ca="1">VLOOKUP(Cpi_[[#This Row],[Year]:[Month]],crudeoil[],3,FALSE)</f>
        <v>#VALUE!</v>
      </c>
    </row>
    <row r="4593" spans="1:8" hidden="1" x14ac:dyDescent="0.3">
      <c r="A4593" t="s">
        <v>34</v>
      </c>
      <c r="B4593">
        <v>2017</v>
      </c>
      <c r="C4593" t="s">
        <v>42</v>
      </c>
      <c r="D4593" t="s">
        <v>4</v>
      </c>
      <c r="E4593" t="e">
        <f>VLOOKUP(Cpi_[[#This Row],[Attribute]],#REF!,2,FALSE)</f>
        <v>#REF!</v>
      </c>
      <c r="F4593">
        <v>142.4</v>
      </c>
      <c r="G4593">
        <f>(Cpi_[[#This Row],[Value]]-F4592)/F4592</f>
        <v>5.7164068299925895E-2</v>
      </c>
      <c r="H4593" t="e" cm="1" vm="1">
        <f t="array" aca="1" ref="H4593" ca="1">VLOOKUP(Cpi_[[#This Row],[Year]:[Month]],crudeoil[],3,FALSE)</f>
        <v>#VALUE!</v>
      </c>
    </row>
    <row r="4594" spans="1:8" hidden="1" x14ac:dyDescent="0.3">
      <c r="A4594" t="s">
        <v>34</v>
      </c>
      <c r="B4594">
        <v>2017</v>
      </c>
      <c r="C4594" t="s">
        <v>42</v>
      </c>
      <c r="D4594" t="s">
        <v>5</v>
      </c>
      <c r="E4594" t="e">
        <f>VLOOKUP(Cpi_[[#This Row],[Attribute]],#REF!,2,FALSE)</f>
        <v>#REF!</v>
      </c>
      <c r="F4594">
        <v>130.19999999999999</v>
      </c>
      <c r="G4594">
        <f>(Cpi_[[#This Row],[Value]]-F4593)/F4593</f>
        <v>-8.5674157303370899E-2</v>
      </c>
      <c r="H4594" t="e" cm="1" vm="1">
        <f t="array" aca="1" ref="H4594" ca="1">VLOOKUP(Cpi_[[#This Row],[Year]:[Month]],crudeoil[],3,FALSE)</f>
        <v>#VALUE!</v>
      </c>
    </row>
    <row r="4595" spans="1:8" hidden="1" x14ac:dyDescent="0.3">
      <c r="A4595" t="s">
        <v>34</v>
      </c>
      <c r="B4595">
        <v>2017</v>
      </c>
      <c r="C4595" t="s">
        <v>42</v>
      </c>
      <c r="D4595" t="s">
        <v>6</v>
      </c>
      <c r="E4595" t="e">
        <f>VLOOKUP(Cpi_[[#This Row],[Attribute]],#REF!,2,FALSE)</f>
        <v>#REF!</v>
      </c>
      <c r="F4595">
        <v>139.6</v>
      </c>
      <c r="G4595">
        <f>(Cpi_[[#This Row],[Value]]-F4594)/F4594</f>
        <v>7.2196620583717411E-2</v>
      </c>
      <c r="H4595" t="e" cm="1" vm="1">
        <f t="array" aca="1" ref="H4595" ca="1">VLOOKUP(Cpi_[[#This Row],[Year]:[Month]],crudeoil[],3,FALSE)</f>
        <v>#VALUE!</v>
      </c>
    </row>
    <row r="4596" spans="1:8" hidden="1" x14ac:dyDescent="0.3">
      <c r="A4596" t="s">
        <v>34</v>
      </c>
      <c r="B4596">
        <v>2017</v>
      </c>
      <c r="C4596" t="s">
        <v>42</v>
      </c>
      <c r="D4596" t="s">
        <v>7</v>
      </c>
      <c r="E4596" t="e">
        <f>VLOOKUP(Cpi_[[#This Row],[Attribute]],#REF!,2,FALSE)</f>
        <v>#REF!</v>
      </c>
      <c r="F4596">
        <v>118.4</v>
      </c>
      <c r="G4596">
        <f>(Cpi_[[#This Row],[Value]]-F4595)/F4595</f>
        <v>-0.15186246418338101</v>
      </c>
      <c r="H4596" t="e" cm="1" vm="1">
        <f t="array" aca="1" ref="H4596" ca="1">VLOOKUP(Cpi_[[#This Row],[Year]:[Month]],crudeoil[],3,FALSE)</f>
        <v>#VALUE!</v>
      </c>
    </row>
    <row r="4597" spans="1:8" hidden="1" x14ac:dyDescent="0.3">
      <c r="A4597" t="s">
        <v>34</v>
      </c>
      <c r="B4597">
        <v>2017</v>
      </c>
      <c r="C4597" t="s">
        <v>42</v>
      </c>
      <c r="D4597" t="s">
        <v>8</v>
      </c>
      <c r="E4597" t="e">
        <f>VLOOKUP(Cpi_[[#This Row],[Attribute]],#REF!,2,FALSE)</f>
        <v>#REF!</v>
      </c>
      <c r="F4597">
        <v>143</v>
      </c>
      <c r="G4597">
        <f>(Cpi_[[#This Row],[Value]]-F4596)/F4596</f>
        <v>0.2077702702702702</v>
      </c>
      <c r="H4597" t="e" cm="1" vm="1">
        <f t="array" aca="1" ref="H4597" ca="1">VLOOKUP(Cpi_[[#This Row],[Year]:[Month]],crudeoil[],3,FALSE)</f>
        <v>#VALUE!</v>
      </c>
    </row>
    <row r="4598" spans="1:8" hidden="1" x14ac:dyDescent="0.3">
      <c r="A4598" t="s">
        <v>34</v>
      </c>
      <c r="B4598">
        <v>2017</v>
      </c>
      <c r="C4598" t="s">
        <v>42</v>
      </c>
      <c r="D4598" t="s">
        <v>9</v>
      </c>
      <c r="E4598" t="e">
        <f>VLOOKUP(Cpi_[[#This Row],[Attribute]],#REF!,2,FALSE)</f>
        <v>#REF!</v>
      </c>
      <c r="F4598">
        <v>156.6</v>
      </c>
      <c r="G4598">
        <f>(Cpi_[[#This Row],[Value]]-F4597)/F4597</f>
        <v>9.510489510489506E-2</v>
      </c>
      <c r="H4598" t="e" cm="1" vm="1">
        <f t="array" aca="1" ref="H4598" ca="1">VLOOKUP(Cpi_[[#This Row],[Year]:[Month]],crudeoil[],3,FALSE)</f>
        <v>#VALUE!</v>
      </c>
    </row>
    <row r="4599" spans="1:8" hidden="1" x14ac:dyDescent="0.3">
      <c r="A4599" t="s">
        <v>34</v>
      </c>
      <c r="B4599">
        <v>2017</v>
      </c>
      <c r="C4599" t="s">
        <v>42</v>
      </c>
      <c r="D4599" t="s">
        <v>10</v>
      </c>
      <c r="E4599" t="e">
        <f>VLOOKUP(Cpi_[[#This Row],[Attribute]],#REF!,2,FALSE)</f>
        <v>#REF!</v>
      </c>
      <c r="F4599">
        <v>132.9</v>
      </c>
      <c r="G4599">
        <f>(Cpi_[[#This Row],[Value]]-F4598)/F4598</f>
        <v>-0.15134099616858232</v>
      </c>
      <c r="H4599" t="e" cm="1" vm="1">
        <f t="array" aca="1" ref="H4599" ca="1">VLOOKUP(Cpi_[[#This Row],[Year]:[Month]],crudeoil[],3,FALSE)</f>
        <v>#VALUE!</v>
      </c>
    </row>
    <row r="4600" spans="1:8" hidden="1" x14ac:dyDescent="0.3">
      <c r="A4600" t="s">
        <v>34</v>
      </c>
      <c r="B4600">
        <v>2017</v>
      </c>
      <c r="C4600" t="s">
        <v>42</v>
      </c>
      <c r="D4600" t="s">
        <v>11</v>
      </c>
      <c r="E4600" t="e">
        <f>VLOOKUP(Cpi_[[#This Row],[Attribute]],#REF!,2,FALSE)</f>
        <v>#REF!</v>
      </c>
      <c r="F4600">
        <v>121.5</v>
      </c>
      <c r="G4600">
        <f>(Cpi_[[#This Row],[Value]]-F4599)/F4599</f>
        <v>-8.577878103837476E-2</v>
      </c>
      <c r="H4600" t="e" cm="1" vm="1">
        <f t="array" aca="1" ref="H4600" ca="1">VLOOKUP(Cpi_[[#This Row],[Year]:[Month]],crudeoil[],3,FALSE)</f>
        <v>#VALUE!</v>
      </c>
    </row>
    <row r="4601" spans="1:8" hidden="1" x14ac:dyDescent="0.3">
      <c r="A4601" t="s">
        <v>34</v>
      </c>
      <c r="B4601">
        <v>2017</v>
      </c>
      <c r="C4601" t="s">
        <v>42</v>
      </c>
      <c r="D4601" t="s">
        <v>12</v>
      </c>
      <c r="E4601" t="e">
        <f>VLOOKUP(Cpi_[[#This Row],[Attribute]],#REF!,2,FALSE)</f>
        <v>#REF!</v>
      </c>
      <c r="F4601">
        <v>135.6</v>
      </c>
      <c r="G4601">
        <f>(Cpi_[[#This Row],[Value]]-F4600)/F4600</f>
        <v>0.11604938271604934</v>
      </c>
      <c r="H4601" t="e" cm="1" vm="1">
        <f t="array" aca="1" ref="H4601" ca="1">VLOOKUP(Cpi_[[#This Row],[Year]:[Month]],crudeoil[],3,FALSE)</f>
        <v>#VALUE!</v>
      </c>
    </row>
    <row r="4602" spans="1:8" hidden="1" x14ac:dyDescent="0.3">
      <c r="A4602" t="s">
        <v>34</v>
      </c>
      <c r="B4602">
        <v>2017</v>
      </c>
      <c r="C4602" t="s">
        <v>42</v>
      </c>
      <c r="D4602" t="s">
        <v>13</v>
      </c>
      <c r="E4602" t="e">
        <f>VLOOKUP(Cpi_[[#This Row],[Attribute]],#REF!,2,FALSE)</f>
        <v>#REF!</v>
      </c>
      <c r="F4602">
        <v>128.80000000000001</v>
      </c>
      <c r="G4602">
        <f>(Cpi_[[#This Row],[Value]]-F4601)/F4601</f>
        <v>-5.0147492625368606E-2</v>
      </c>
      <c r="H4602" t="e" cm="1" vm="1">
        <f t="array" aca="1" ref="H4602" ca="1">VLOOKUP(Cpi_[[#This Row],[Year]:[Month]],crudeoil[],3,FALSE)</f>
        <v>#VALUE!</v>
      </c>
    </row>
    <row r="4603" spans="1:8" hidden="1" x14ac:dyDescent="0.3">
      <c r="A4603" t="s">
        <v>34</v>
      </c>
      <c r="B4603">
        <v>2017</v>
      </c>
      <c r="C4603" t="s">
        <v>42</v>
      </c>
      <c r="D4603" t="s">
        <v>14</v>
      </c>
      <c r="E4603" t="e">
        <f>VLOOKUP(Cpi_[[#This Row],[Attribute]],#REF!,2,FALSE)</f>
        <v>#REF!</v>
      </c>
      <c r="F4603">
        <v>147.30000000000001</v>
      </c>
      <c r="G4603">
        <f>(Cpi_[[#This Row],[Value]]-F4602)/F4602</f>
        <v>0.14363354037267079</v>
      </c>
      <c r="H4603" t="e" cm="1" vm="1">
        <f t="array" aca="1" ref="H4603" ca="1">VLOOKUP(Cpi_[[#This Row],[Year]:[Month]],crudeoil[],3,FALSE)</f>
        <v>#VALUE!</v>
      </c>
    </row>
    <row r="4604" spans="1:8" hidden="1" x14ac:dyDescent="0.3">
      <c r="A4604" t="s">
        <v>34</v>
      </c>
      <c r="B4604">
        <v>2017</v>
      </c>
      <c r="C4604" t="s">
        <v>42</v>
      </c>
      <c r="D4604" t="s">
        <v>15</v>
      </c>
      <c r="E4604" t="e">
        <f>VLOOKUP(Cpi_[[#This Row],[Attribute]],#REF!,2,FALSE)</f>
        <v>#REF!</v>
      </c>
      <c r="F4604">
        <v>139</v>
      </c>
      <c r="G4604">
        <f>(Cpi_[[#This Row],[Value]]-F4603)/F4603</f>
        <v>-5.634758995247801E-2</v>
      </c>
      <c r="H4604" t="e" cm="1" vm="1">
        <f t="array" aca="1" ref="H4604" ca="1">VLOOKUP(Cpi_[[#This Row],[Year]:[Month]],crudeoil[],3,FALSE)</f>
        <v>#VALUE!</v>
      </c>
    </row>
    <row r="4605" spans="1:8" hidden="1" x14ac:dyDescent="0.3">
      <c r="A4605" t="s">
        <v>34</v>
      </c>
      <c r="B4605">
        <v>2017</v>
      </c>
      <c r="C4605" t="s">
        <v>42</v>
      </c>
      <c r="D4605" t="s">
        <v>16</v>
      </c>
      <c r="E4605" t="e">
        <f>VLOOKUP(Cpi_[[#This Row],[Attribute]],#REF!,2,FALSE)</f>
        <v>#REF!</v>
      </c>
      <c r="F4605">
        <v>150.80000000000001</v>
      </c>
      <c r="G4605">
        <f>(Cpi_[[#This Row],[Value]]-F4604)/F4604</f>
        <v>8.489208633093534E-2</v>
      </c>
      <c r="H4605" t="e" cm="1" vm="1">
        <f t="array" aca="1" ref="H4605" ca="1">VLOOKUP(Cpi_[[#This Row],[Year]:[Month]],crudeoil[],3,FALSE)</f>
        <v>#VALUE!</v>
      </c>
    </row>
    <row r="4606" spans="1:8" hidden="1" x14ac:dyDescent="0.3">
      <c r="A4606" t="s">
        <v>34</v>
      </c>
      <c r="B4606">
        <v>2017</v>
      </c>
      <c r="C4606" t="s">
        <v>42</v>
      </c>
      <c r="D4606" t="s">
        <v>17</v>
      </c>
      <c r="E4606" t="e">
        <f>VLOOKUP(Cpi_[[#This Row],[Attribute]],#REF!,2,FALSE)</f>
        <v>#REF!</v>
      </c>
      <c r="F4606">
        <v>141.1</v>
      </c>
      <c r="G4606">
        <f>(Cpi_[[#This Row],[Value]]-F4605)/F4605</f>
        <v>-6.4323607427055812E-2</v>
      </c>
      <c r="H4606" t="e" cm="1" vm="1">
        <f t="array" aca="1" ref="H4606" ca="1">VLOOKUP(Cpi_[[#This Row],[Year]:[Month]],crudeoil[],3,FALSE)</f>
        <v>#VALUE!</v>
      </c>
    </row>
    <row r="4607" spans="1:8" hidden="1" x14ac:dyDescent="0.3">
      <c r="A4607" t="s">
        <v>34</v>
      </c>
      <c r="B4607">
        <v>2017</v>
      </c>
      <c r="C4607" t="s">
        <v>42</v>
      </c>
      <c r="D4607" t="s">
        <v>18</v>
      </c>
      <c r="E4607" t="e">
        <f>VLOOKUP(Cpi_[[#This Row],[Attribute]],#REF!,2,FALSE)</f>
        <v>#REF!</v>
      </c>
      <c r="F4607">
        <v>133.4</v>
      </c>
      <c r="G4607">
        <f>(Cpi_[[#This Row],[Value]]-F4606)/F4606</f>
        <v>-5.4571226080793685E-2</v>
      </c>
      <c r="H4607" t="e" cm="1" vm="1">
        <f t="array" aca="1" ref="H4607" ca="1">VLOOKUP(Cpi_[[#This Row],[Year]:[Month]],crudeoil[],3,FALSE)</f>
        <v>#VALUE!</v>
      </c>
    </row>
    <row r="4608" spans="1:8" hidden="1" x14ac:dyDescent="0.3">
      <c r="A4608" t="s">
        <v>34</v>
      </c>
      <c r="B4608">
        <v>2017</v>
      </c>
      <c r="C4608" t="s">
        <v>42</v>
      </c>
      <c r="D4608" t="s">
        <v>19</v>
      </c>
      <c r="E4608" t="e">
        <f>VLOOKUP(Cpi_[[#This Row],[Attribute]],#REF!,2,FALSE)</f>
        <v>#REF!</v>
      </c>
      <c r="F4608">
        <v>140</v>
      </c>
      <c r="G4608">
        <f>(Cpi_[[#This Row],[Value]]-F4607)/F4607</f>
        <v>4.9475262368815547E-2</v>
      </c>
      <c r="H4608" t="e" cm="1" vm="1">
        <f t="array" aca="1" ref="H4608" ca="1">VLOOKUP(Cpi_[[#This Row],[Year]:[Month]],crudeoil[],3,FALSE)</f>
        <v>#VALUE!</v>
      </c>
    </row>
    <row r="4609" spans="1:8" hidden="1" x14ac:dyDescent="0.3">
      <c r="A4609" t="s">
        <v>34</v>
      </c>
      <c r="B4609">
        <v>2017</v>
      </c>
      <c r="C4609" t="s">
        <v>42</v>
      </c>
      <c r="D4609" t="s">
        <v>20</v>
      </c>
      <c r="E4609" t="e">
        <f>VLOOKUP(Cpi_[[#This Row],[Attribute]],#REF!,2,FALSE)</f>
        <v>#REF!</v>
      </c>
      <c r="F4609">
        <v>135.69999999999999</v>
      </c>
      <c r="G4609">
        <f>(Cpi_[[#This Row],[Value]]-F4608)/F4608</f>
        <v>-3.0714285714285795E-2</v>
      </c>
      <c r="H4609" t="e" cm="1" vm="1">
        <f t="array" aca="1" ref="H4609" ca="1">VLOOKUP(Cpi_[[#This Row],[Year]:[Month]],crudeoil[],3,FALSE)</f>
        <v>#VALUE!</v>
      </c>
    </row>
    <row r="4610" spans="1:8" hidden="1" x14ac:dyDescent="0.3">
      <c r="A4610" t="s">
        <v>34</v>
      </c>
      <c r="B4610">
        <v>2017</v>
      </c>
      <c r="C4610" t="s">
        <v>42</v>
      </c>
      <c r="D4610" t="s">
        <v>21</v>
      </c>
      <c r="E4610" t="e">
        <f>VLOOKUP(Cpi_[[#This Row],[Attribute]],#REF!,2,FALSE)</f>
        <v>#REF!</v>
      </c>
      <c r="F4610">
        <v>131</v>
      </c>
      <c r="G4610">
        <f>(Cpi_[[#This Row],[Value]]-F4609)/F4609</f>
        <v>-3.4635224760501022E-2</v>
      </c>
      <c r="H4610" t="e" cm="1" vm="1">
        <f t="array" aca="1" ref="H4610" ca="1">VLOOKUP(Cpi_[[#This Row],[Year]:[Month]],crudeoil[],3,FALSE)</f>
        <v>#VALUE!</v>
      </c>
    </row>
    <row r="4611" spans="1:8" hidden="1" x14ac:dyDescent="0.3">
      <c r="A4611" t="s">
        <v>34</v>
      </c>
      <c r="B4611">
        <v>2017</v>
      </c>
      <c r="C4611" t="s">
        <v>42</v>
      </c>
      <c r="D4611" t="s">
        <v>22</v>
      </c>
      <c r="E4611" t="e">
        <f>VLOOKUP(Cpi_[[#This Row],[Attribute]],#REF!,2,FALSE)</f>
        <v>#REF!</v>
      </c>
      <c r="F4611">
        <v>133.30000000000001</v>
      </c>
      <c r="G4611">
        <f>(Cpi_[[#This Row],[Value]]-F4610)/F4610</f>
        <v>1.7557251908397034E-2</v>
      </c>
      <c r="H4611" t="e" cm="1" vm="1">
        <f t="array" aca="1" ref="H4611" ca="1">VLOOKUP(Cpi_[[#This Row],[Year]:[Month]],crudeoil[],3,FALSE)</f>
        <v>#VALUE!</v>
      </c>
    </row>
    <row r="4612" spans="1:8" hidden="1" x14ac:dyDescent="0.3">
      <c r="A4612" t="s">
        <v>34</v>
      </c>
      <c r="B4612">
        <v>2017</v>
      </c>
      <c r="C4612" t="s">
        <v>42</v>
      </c>
      <c r="D4612" t="s">
        <v>23</v>
      </c>
      <c r="E4612" t="e">
        <f>VLOOKUP(Cpi_[[#This Row],[Attribute]],#REF!,2,FALSE)</f>
        <v>#REF!</v>
      </c>
      <c r="F4612">
        <v>130.6</v>
      </c>
      <c r="G4612">
        <f>(Cpi_[[#This Row],[Value]]-F4611)/F4611</f>
        <v>-2.0255063765941612E-2</v>
      </c>
      <c r="H4612" t="e" cm="1" vm="1">
        <f t="array" aca="1" ref="H4612" ca="1">VLOOKUP(Cpi_[[#This Row],[Year]:[Month]],crudeoil[],3,FALSE)</f>
        <v>#VALUE!</v>
      </c>
    </row>
    <row r="4613" spans="1:8" hidden="1" x14ac:dyDescent="0.3">
      <c r="A4613" t="s">
        <v>34</v>
      </c>
      <c r="B4613">
        <v>2017</v>
      </c>
      <c r="C4613" t="s">
        <v>42</v>
      </c>
      <c r="D4613" t="s">
        <v>24</v>
      </c>
      <c r="E4613" t="e">
        <f>VLOOKUP(Cpi_[[#This Row],[Attribute]],#REF!,2,FALSE)</f>
        <v>#REF!</v>
      </c>
      <c r="F4613">
        <v>118.3</v>
      </c>
      <c r="G4613">
        <f>(Cpi_[[#This Row],[Value]]-F4612)/F4612</f>
        <v>-9.4180704441041332E-2</v>
      </c>
      <c r="H4613" t="e" cm="1" vm="1">
        <f t="array" aca="1" ref="H4613" ca="1">VLOOKUP(Cpi_[[#This Row],[Year]:[Month]],crudeoil[],3,FALSE)</f>
        <v>#VALUE!</v>
      </c>
    </row>
    <row r="4614" spans="1:8" hidden="1" x14ac:dyDescent="0.3">
      <c r="A4614" t="s">
        <v>34</v>
      </c>
      <c r="B4614">
        <v>2017</v>
      </c>
      <c r="C4614" t="s">
        <v>42</v>
      </c>
      <c r="D4614" t="s">
        <v>25</v>
      </c>
      <c r="E4614" t="e">
        <f>VLOOKUP(Cpi_[[#This Row],[Attribute]],#REF!,2,FALSE)</f>
        <v>#REF!</v>
      </c>
      <c r="F4614">
        <v>127.9</v>
      </c>
      <c r="G4614">
        <f>(Cpi_[[#This Row],[Value]]-F4613)/F4613</f>
        <v>8.1149619611158144E-2</v>
      </c>
      <c r="H4614" t="e" cm="1" vm="1">
        <f t="array" aca="1" ref="H4614" ca="1">VLOOKUP(Cpi_[[#This Row],[Year]:[Month]],crudeoil[],3,FALSE)</f>
        <v>#VALUE!</v>
      </c>
    </row>
    <row r="4615" spans="1:8" hidden="1" x14ac:dyDescent="0.3">
      <c r="A4615" t="s">
        <v>34</v>
      </c>
      <c r="B4615">
        <v>2017</v>
      </c>
      <c r="C4615" t="s">
        <v>42</v>
      </c>
      <c r="D4615" t="s">
        <v>26</v>
      </c>
      <c r="E4615" t="e">
        <f>VLOOKUP(Cpi_[[#This Row],[Attribute]],#REF!,2,FALSE)</f>
        <v>#REF!</v>
      </c>
      <c r="F4615">
        <v>137.4</v>
      </c>
      <c r="G4615">
        <f>(Cpi_[[#This Row],[Value]]-F4614)/F4614</f>
        <v>7.4276778733385451E-2</v>
      </c>
      <c r="H4615" t="e" cm="1" vm="1">
        <f t="array" aca="1" ref="H4615" ca="1">VLOOKUP(Cpi_[[#This Row],[Year]:[Month]],crudeoil[],3,FALSE)</f>
        <v>#VALUE!</v>
      </c>
    </row>
    <row r="4616" spans="1:8" hidden="1" x14ac:dyDescent="0.3">
      <c r="A4616" t="s">
        <v>34</v>
      </c>
      <c r="B4616">
        <v>2017</v>
      </c>
      <c r="C4616" t="s">
        <v>42</v>
      </c>
      <c r="D4616" t="s">
        <v>27</v>
      </c>
      <c r="E4616" t="e">
        <f>VLOOKUP(Cpi_[[#This Row],[Attribute]],#REF!,2,FALSE)</f>
        <v>#REF!</v>
      </c>
      <c r="F4616">
        <v>125.7</v>
      </c>
      <c r="G4616">
        <f>(Cpi_[[#This Row],[Value]]-F4615)/F4615</f>
        <v>-8.5152838427947616E-2</v>
      </c>
      <c r="H4616" t="e" cm="1" vm="1">
        <f t="array" aca="1" ref="H4616" ca="1">VLOOKUP(Cpi_[[#This Row],[Year]:[Month]],crudeoil[],3,FALSE)</f>
        <v>#VALUE!</v>
      </c>
    </row>
    <row r="4617" spans="1:8" hidden="1" x14ac:dyDescent="0.3">
      <c r="A4617" t="s">
        <v>34</v>
      </c>
      <c r="B4617">
        <v>2017</v>
      </c>
      <c r="C4617" t="s">
        <v>42</v>
      </c>
      <c r="D4617" t="s">
        <v>28</v>
      </c>
      <c r="E4617" t="e">
        <f>VLOOKUP(Cpi_[[#This Row],[Attribute]],#REF!,2,FALSE)</f>
        <v>#REF!</v>
      </c>
      <c r="F4617">
        <v>127.5</v>
      </c>
      <c r="G4617">
        <f>(Cpi_[[#This Row],[Value]]-F4616)/F4616</f>
        <v>1.4319809069212387E-2</v>
      </c>
      <c r="H4617" t="e" cm="1" vm="1">
        <f t="array" aca="1" ref="H4617" ca="1">VLOOKUP(Cpi_[[#This Row],[Year]:[Month]],crudeoil[],3,FALSE)</f>
        <v>#VALUE!</v>
      </c>
    </row>
    <row r="4618" spans="1:8" hidden="1" x14ac:dyDescent="0.3">
      <c r="A4618" t="s">
        <v>34</v>
      </c>
      <c r="B4618">
        <v>2017</v>
      </c>
      <c r="C4618" t="s">
        <v>42</v>
      </c>
      <c r="D4618" t="s">
        <v>29</v>
      </c>
      <c r="E4618" t="e" cm="1">
        <f t="array" aca="1" ref="E4618" ca="1">VLGeneral indexGeneral indexKUP(Cpi_[[#This Row],[Attribute]],#REF!,2,FALSE)</f>
        <v>#NAME?</v>
      </c>
      <c r="F4618">
        <v>135.19999999999999</v>
      </c>
      <c r="G4618">
        <f>(Cpi_[[#This Row],[Value]]-F4617)/F4617</f>
        <v>6.039215686274501E-2</v>
      </c>
      <c r="H4618" t="e" cm="1" vm="1">
        <f t="array" aca="1" ref="H4618" ca="1">VLOOKUP(Cpi_[[#This Row],[Year]:[Month]],crudeoil[],3,FALSE)</f>
        <v>#VALUE!</v>
      </c>
    </row>
    <row r="4619" spans="1:8" hidden="1" x14ac:dyDescent="0.3">
      <c r="A4619" t="s">
        <v>30</v>
      </c>
      <c r="B4619">
        <v>2017</v>
      </c>
      <c r="C4619" t="s">
        <v>43</v>
      </c>
      <c r="D4619" t="s">
        <v>3</v>
      </c>
      <c r="E4619" t="e">
        <f>VLOOKUP(Cpi_[[#This Row],[Attribute]],#REF!,2,FALSE)</f>
        <v>#REF!</v>
      </c>
      <c r="F4619">
        <v>135.9</v>
      </c>
      <c r="G4619">
        <f>(Cpi_[[#This Row],[Value]]-F4618)/F4618</f>
        <v>5.1775147928995345E-3</v>
      </c>
      <c r="H4619" t="e" cm="1" vm="1">
        <f t="array" aca="1" ref="H4619" ca="1">VLOOKUP(Cpi_[[#This Row],[Year]:[Month]],crudeoil[],3,FALSE)</f>
        <v>#VALUE!</v>
      </c>
    </row>
    <row r="4620" spans="1:8" hidden="1" x14ac:dyDescent="0.3">
      <c r="A4620" t="s">
        <v>30</v>
      </c>
      <c r="B4620">
        <v>2017</v>
      </c>
      <c r="C4620" t="s">
        <v>43</v>
      </c>
      <c r="D4620" t="s">
        <v>4</v>
      </c>
      <c r="E4620" t="e">
        <f>VLOOKUP(Cpi_[[#This Row],[Attribute]],#REF!,2,FALSE)</f>
        <v>#REF!</v>
      </c>
      <c r="F4620">
        <v>141.9</v>
      </c>
      <c r="G4620">
        <f>(Cpi_[[#This Row],[Value]]-F4619)/F4619</f>
        <v>4.4150110375275935E-2</v>
      </c>
      <c r="H4620" t="e" cm="1" vm="1">
        <f t="array" aca="1" ref="H4620" ca="1">VLOOKUP(Cpi_[[#This Row],[Year]:[Month]],crudeoil[],3,FALSE)</f>
        <v>#VALUE!</v>
      </c>
    </row>
    <row r="4621" spans="1:8" hidden="1" x14ac:dyDescent="0.3">
      <c r="A4621" t="s">
        <v>30</v>
      </c>
      <c r="B4621">
        <v>2017</v>
      </c>
      <c r="C4621" t="s">
        <v>43</v>
      </c>
      <c r="D4621" t="s">
        <v>5</v>
      </c>
      <c r="E4621" t="e">
        <f>VLOOKUP(Cpi_[[#This Row],[Attribute]],#REF!,2,FALSE)</f>
        <v>#REF!</v>
      </c>
      <c r="F4621">
        <v>131</v>
      </c>
      <c r="G4621">
        <f>(Cpi_[[#This Row],[Value]]-F4620)/F4620</f>
        <v>-7.6814658210007089E-2</v>
      </c>
      <c r="H4621" t="e" cm="1" vm="1">
        <f t="array" aca="1" ref="H4621" ca="1">VLOOKUP(Cpi_[[#This Row],[Year]:[Month]],crudeoil[],3,FALSE)</f>
        <v>#VALUE!</v>
      </c>
    </row>
    <row r="4622" spans="1:8" hidden="1" x14ac:dyDescent="0.3">
      <c r="A4622" t="s">
        <v>30</v>
      </c>
      <c r="B4622">
        <v>2017</v>
      </c>
      <c r="C4622" t="s">
        <v>43</v>
      </c>
      <c r="D4622" t="s">
        <v>6</v>
      </c>
      <c r="E4622" t="e">
        <f>VLOOKUP(Cpi_[[#This Row],[Attribute]],#REF!,2,FALSE)</f>
        <v>#REF!</v>
      </c>
      <c r="F4622">
        <v>141.5</v>
      </c>
      <c r="G4622">
        <f>(Cpi_[[#This Row],[Value]]-F4621)/F4621</f>
        <v>8.0152671755725186E-2</v>
      </c>
      <c r="H4622" t="e" cm="1" vm="1">
        <f t="array" aca="1" ref="H4622" ca="1">VLOOKUP(Cpi_[[#This Row],[Year]:[Month]],crudeoil[],3,FALSE)</f>
        <v>#VALUE!</v>
      </c>
    </row>
    <row r="4623" spans="1:8" hidden="1" x14ac:dyDescent="0.3">
      <c r="A4623" t="s">
        <v>30</v>
      </c>
      <c r="B4623">
        <v>2017</v>
      </c>
      <c r="C4623" t="s">
        <v>43</v>
      </c>
      <c r="D4623" t="s">
        <v>7</v>
      </c>
      <c r="E4623" t="e">
        <f>VLOOKUP(Cpi_[[#This Row],[Attribute]],#REF!,2,FALSE)</f>
        <v>#REF!</v>
      </c>
      <c r="F4623">
        <v>121.4</v>
      </c>
      <c r="G4623">
        <f>(Cpi_[[#This Row],[Value]]-F4622)/F4622</f>
        <v>-0.14204946996466428</v>
      </c>
      <c r="H4623" t="e" cm="1" vm="1">
        <f t="array" aca="1" ref="H4623" ca="1">VLOOKUP(Cpi_[[#This Row],[Year]:[Month]],crudeoil[],3,FALSE)</f>
        <v>#VALUE!</v>
      </c>
    </row>
    <row r="4624" spans="1:8" hidden="1" x14ac:dyDescent="0.3">
      <c r="A4624" t="s">
        <v>30</v>
      </c>
      <c r="B4624">
        <v>2017</v>
      </c>
      <c r="C4624" t="s">
        <v>43</v>
      </c>
      <c r="D4624" t="s">
        <v>8</v>
      </c>
      <c r="E4624" t="e">
        <f>VLOOKUP(Cpi_[[#This Row],[Attribute]],#REF!,2,FALSE)</f>
        <v>#REF!</v>
      </c>
      <c r="F4624">
        <v>146.69999999999999</v>
      </c>
      <c r="G4624">
        <f>(Cpi_[[#This Row],[Value]]-F4623)/F4623</f>
        <v>0.20840197693574944</v>
      </c>
      <c r="H4624" t="e" cm="1" vm="1">
        <f t="array" aca="1" ref="H4624" ca="1">VLOOKUP(Cpi_[[#This Row],[Year]:[Month]],crudeoil[],3,FALSE)</f>
        <v>#VALUE!</v>
      </c>
    </row>
    <row r="4625" spans="1:8" hidden="1" x14ac:dyDescent="0.3">
      <c r="A4625" t="s">
        <v>30</v>
      </c>
      <c r="B4625">
        <v>2017</v>
      </c>
      <c r="C4625" t="s">
        <v>43</v>
      </c>
      <c r="D4625" t="s">
        <v>9</v>
      </c>
      <c r="E4625" t="e">
        <f>VLOOKUP(Cpi_[[#This Row],[Attribute]],#REF!,2,FALSE)</f>
        <v>#REF!</v>
      </c>
      <c r="F4625">
        <v>157.1</v>
      </c>
      <c r="G4625">
        <f>(Cpi_[[#This Row],[Value]]-F4624)/F4624</f>
        <v>7.0892978868439038E-2</v>
      </c>
      <c r="H4625" t="e" cm="1" vm="1">
        <f t="array" aca="1" ref="H4625" ca="1">VLOOKUP(Cpi_[[#This Row],[Year]:[Month]],crudeoil[],3,FALSE)</f>
        <v>#VALUE!</v>
      </c>
    </row>
    <row r="4626" spans="1:8" hidden="1" x14ac:dyDescent="0.3">
      <c r="A4626" t="s">
        <v>30</v>
      </c>
      <c r="B4626">
        <v>2017</v>
      </c>
      <c r="C4626" t="s">
        <v>43</v>
      </c>
      <c r="D4626" t="s">
        <v>10</v>
      </c>
      <c r="E4626" t="e">
        <f>VLOOKUP(Cpi_[[#This Row],[Attribute]],#REF!,2,FALSE)</f>
        <v>#REF!</v>
      </c>
      <c r="F4626">
        <v>136.4</v>
      </c>
      <c r="G4626">
        <f>(Cpi_[[#This Row],[Value]]-F4625)/F4625</f>
        <v>-0.13176320814767656</v>
      </c>
      <c r="H4626" t="e" cm="1" vm="1">
        <f t="array" aca="1" ref="H4626" ca="1">VLOOKUP(Cpi_[[#This Row],[Year]:[Month]],crudeoil[],3,FALSE)</f>
        <v>#VALUE!</v>
      </c>
    </row>
    <row r="4627" spans="1:8" hidden="1" x14ac:dyDescent="0.3">
      <c r="A4627" t="s">
        <v>30</v>
      </c>
      <c r="B4627">
        <v>2017</v>
      </c>
      <c r="C4627" t="s">
        <v>43</v>
      </c>
      <c r="D4627" t="s">
        <v>11</v>
      </c>
      <c r="E4627" t="e">
        <f>VLOOKUP(Cpi_[[#This Row],[Attribute]],#REF!,2,FALSE)</f>
        <v>#REF!</v>
      </c>
      <c r="F4627">
        <v>121.4</v>
      </c>
      <c r="G4627">
        <f>(Cpi_[[#This Row],[Value]]-F4626)/F4626</f>
        <v>-0.10997067448680352</v>
      </c>
      <c r="H4627" t="e" cm="1" vm="1">
        <f t="array" aca="1" ref="H4627" ca="1">VLOOKUP(Cpi_[[#This Row],[Year]:[Month]],crudeoil[],3,FALSE)</f>
        <v>#VALUE!</v>
      </c>
    </row>
    <row r="4628" spans="1:8" hidden="1" x14ac:dyDescent="0.3">
      <c r="A4628" t="s">
        <v>30</v>
      </c>
      <c r="B4628">
        <v>2017</v>
      </c>
      <c r="C4628" t="s">
        <v>43</v>
      </c>
      <c r="D4628" t="s">
        <v>12</v>
      </c>
      <c r="E4628" t="e">
        <f>VLOOKUP(Cpi_[[#This Row],[Attribute]],#REF!,2,FALSE)</f>
        <v>#REF!</v>
      </c>
      <c r="F4628">
        <v>135.6</v>
      </c>
      <c r="G4628">
        <f>(Cpi_[[#This Row],[Value]]-F4627)/F4627</f>
        <v>0.11696869851729809</v>
      </c>
      <c r="H4628" t="e" cm="1" vm="1">
        <f t="array" aca="1" ref="H4628" ca="1">VLOOKUP(Cpi_[[#This Row],[Year]:[Month]],crudeoil[],3,FALSE)</f>
        <v>#VALUE!</v>
      </c>
    </row>
    <row r="4629" spans="1:8" hidden="1" x14ac:dyDescent="0.3">
      <c r="A4629" t="s">
        <v>30</v>
      </c>
      <c r="B4629">
        <v>2017</v>
      </c>
      <c r="C4629" t="s">
        <v>43</v>
      </c>
      <c r="D4629" t="s">
        <v>13</v>
      </c>
      <c r="E4629" t="e">
        <f>VLOOKUP(Cpi_[[#This Row],[Attribute]],#REF!,2,FALSE)</f>
        <v>#REF!</v>
      </c>
      <c r="F4629">
        <v>131.30000000000001</v>
      </c>
      <c r="G4629">
        <f>(Cpi_[[#This Row],[Value]]-F4628)/F4628</f>
        <v>-3.1710914454277164E-2</v>
      </c>
      <c r="H4629" t="e" cm="1" vm="1">
        <f t="array" aca="1" ref="H4629" ca="1">VLOOKUP(Cpi_[[#This Row],[Year]:[Month]],crudeoil[],3,FALSE)</f>
        <v>#VALUE!</v>
      </c>
    </row>
    <row r="4630" spans="1:8" hidden="1" x14ac:dyDescent="0.3">
      <c r="A4630" t="s">
        <v>30</v>
      </c>
      <c r="B4630">
        <v>2017</v>
      </c>
      <c r="C4630" t="s">
        <v>43</v>
      </c>
      <c r="D4630" t="s">
        <v>14</v>
      </c>
      <c r="E4630" t="e">
        <f>VLOOKUP(Cpi_[[#This Row],[Attribute]],#REF!,2,FALSE)</f>
        <v>#REF!</v>
      </c>
      <c r="F4630">
        <v>150.30000000000001</v>
      </c>
      <c r="G4630">
        <f>(Cpi_[[#This Row],[Value]]-F4629)/F4629</f>
        <v>0.1447067783701447</v>
      </c>
      <c r="H4630" t="e" cm="1" vm="1">
        <f t="array" aca="1" ref="H4630" ca="1">VLOOKUP(Cpi_[[#This Row],[Year]:[Month]],crudeoil[],3,FALSE)</f>
        <v>#VALUE!</v>
      </c>
    </row>
    <row r="4631" spans="1:8" hidden="1" x14ac:dyDescent="0.3">
      <c r="A4631" t="s">
        <v>30</v>
      </c>
      <c r="B4631">
        <v>2017</v>
      </c>
      <c r="C4631" t="s">
        <v>43</v>
      </c>
      <c r="D4631" t="s">
        <v>15</v>
      </c>
      <c r="E4631" t="e">
        <f>VLOOKUP(Cpi_[[#This Row],[Attribute]],#REF!,2,FALSE)</f>
        <v>#REF!</v>
      </c>
      <c r="F4631">
        <v>140.4</v>
      </c>
      <c r="G4631">
        <f>(Cpi_[[#This Row],[Value]]-F4630)/F4630</f>
        <v>-6.5868263473053926E-2</v>
      </c>
      <c r="H4631" t="e" cm="1" vm="1">
        <f t="array" aca="1" ref="H4631" ca="1">VLOOKUP(Cpi_[[#This Row],[Year]:[Month]],crudeoil[],3,FALSE)</f>
        <v>#VALUE!</v>
      </c>
    </row>
    <row r="4632" spans="1:8" hidden="1" x14ac:dyDescent="0.3">
      <c r="A4632" t="s">
        <v>30</v>
      </c>
      <c r="B4632">
        <v>2017</v>
      </c>
      <c r="C4632" t="s">
        <v>43</v>
      </c>
      <c r="D4632" t="s">
        <v>16</v>
      </c>
      <c r="E4632" t="e">
        <f>VLOOKUP(Cpi_[[#This Row],[Attribute]],#REF!,2,FALSE)</f>
        <v>#REF!</v>
      </c>
      <c r="F4632">
        <v>150.5</v>
      </c>
      <c r="G4632">
        <f>(Cpi_[[#This Row],[Value]]-F4631)/F4631</f>
        <v>7.1937321937321899E-2</v>
      </c>
      <c r="H4632" t="e" cm="1" vm="1">
        <f t="array" aca="1" ref="H4632" ca="1">VLOOKUP(Cpi_[[#This Row],[Year]:[Month]],crudeoil[],3,FALSE)</f>
        <v>#VALUE!</v>
      </c>
    </row>
    <row r="4633" spans="1:8" hidden="1" x14ac:dyDescent="0.3">
      <c r="A4633" t="s">
        <v>30</v>
      </c>
      <c r="B4633">
        <v>2017</v>
      </c>
      <c r="C4633" t="s">
        <v>43</v>
      </c>
      <c r="D4633" t="s">
        <v>17</v>
      </c>
      <c r="E4633" t="e">
        <f>VLOOKUP(Cpi_[[#This Row],[Attribute]],#REF!,2,FALSE)</f>
        <v>#REF!</v>
      </c>
      <c r="F4633">
        <v>147.19999999999999</v>
      </c>
      <c r="G4633">
        <f>(Cpi_[[#This Row],[Value]]-F4632)/F4632</f>
        <v>-2.1926910299003399E-2</v>
      </c>
      <c r="H4633" t="e" cm="1" vm="1">
        <f t="array" aca="1" ref="H4633" ca="1">VLOOKUP(Cpi_[[#This Row],[Year]:[Month]],crudeoil[],3,FALSE)</f>
        <v>#VALUE!</v>
      </c>
    </row>
    <row r="4634" spans="1:8" hidden="1" x14ac:dyDescent="0.3">
      <c r="A4634" t="s">
        <v>30</v>
      </c>
      <c r="B4634">
        <v>2017</v>
      </c>
      <c r="C4634" t="s">
        <v>43</v>
      </c>
      <c r="D4634" t="s">
        <v>18</v>
      </c>
      <c r="E4634" t="e">
        <f>VLOOKUP(Cpi_[[#This Row],[Attribute]],#REF!,2,FALSE)</f>
        <v>#REF!</v>
      </c>
      <c r="F4634">
        <v>140.6</v>
      </c>
      <c r="G4634">
        <f>(Cpi_[[#This Row],[Value]]-F4633)/F4633</f>
        <v>-4.4836956521739094E-2</v>
      </c>
      <c r="H4634" t="e" cm="1" vm="1">
        <f t="array" aca="1" ref="H4634" ca="1">VLOOKUP(Cpi_[[#This Row],[Year]:[Month]],crudeoil[],3,FALSE)</f>
        <v>#VALUE!</v>
      </c>
    </row>
    <row r="4635" spans="1:8" hidden="1" x14ac:dyDescent="0.3">
      <c r="A4635" t="s">
        <v>30</v>
      </c>
      <c r="B4635">
        <v>2017</v>
      </c>
      <c r="C4635" t="s">
        <v>43</v>
      </c>
      <c r="D4635" t="s">
        <v>19</v>
      </c>
      <c r="E4635" t="e">
        <f>VLOOKUP(Cpi_[[#This Row],[Attribute]],#REF!,2,FALSE)</f>
        <v>#REF!</v>
      </c>
      <c r="F4635">
        <v>146.19999999999999</v>
      </c>
      <c r="G4635">
        <f>(Cpi_[[#This Row],[Value]]-F4634)/F4634</f>
        <v>3.9829302987197689E-2</v>
      </c>
      <c r="H4635" t="e" cm="1" vm="1">
        <f t="array" aca="1" ref="H4635" ca="1">VLOOKUP(Cpi_[[#This Row],[Year]:[Month]],crudeoil[],3,FALSE)</f>
        <v>#VALUE!</v>
      </c>
    </row>
    <row r="4636" spans="1:8" hidden="1" x14ac:dyDescent="0.3">
      <c r="A4636" t="s">
        <v>30</v>
      </c>
      <c r="B4636">
        <v>2017</v>
      </c>
      <c r="C4636" t="s">
        <v>43</v>
      </c>
      <c r="D4636" t="s">
        <v>20</v>
      </c>
      <c r="E4636" t="e">
        <f>VLOOKUP(Cpi_[[#This Row],[Attribute]],#REF!,2,FALSE)</f>
        <v>#REF!</v>
      </c>
      <c r="F4636" t="s">
        <v>32</v>
      </c>
      <c r="G4636" t="e">
        <f>(Cpi_[[#This Row],[Value]]-F4635)/F4635</f>
        <v>#VALUE!</v>
      </c>
      <c r="H4636" t="e" cm="1" vm="1">
        <f t="array" aca="1" ref="H4636" ca="1">VLOOKUP(Cpi_[[#This Row],[Year]:[Month]],crudeoil[],3,FALSE)</f>
        <v>#VALUE!</v>
      </c>
    </row>
    <row r="4637" spans="1:8" hidden="1" x14ac:dyDescent="0.3">
      <c r="A4637" t="s">
        <v>30</v>
      </c>
      <c r="B4637">
        <v>2017</v>
      </c>
      <c r="C4637" t="s">
        <v>43</v>
      </c>
      <c r="D4637" t="s">
        <v>21</v>
      </c>
      <c r="E4637" t="e">
        <f>VLOOKUP(Cpi_[[#This Row],[Attribute]],#REF!,2,FALSE)</f>
        <v>#REF!</v>
      </c>
      <c r="F4637">
        <v>138.1</v>
      </c>
      <c r="G4637" t="e">
        <f>(Cpi_[[#This Row],[Value]]-F4636)/F4636</f>
        <v>#VALUE!</v>
      </c>
      <c r="H4637" t="e" cm="1" vm="1">
        <f t="array" aca="1" ref="H4637" ca="1">VLOOKUP(Cpi_[[#This Row],[Year]:[Month]],crudeoil[],3,FALSE)</f>
        <v>#VALUE!</v>
      </c>
    </row>
    <row r="4638" spans="1:8" hidden="1" x14ac:dyDescent="0.3">
      <c r="A4638" t="s">
        <v>30</v>
      </c>
      <c r="B4638">
        <v>2017</v>
      </c>
      <c r="C4638" t="s">
        <v>43</v>
      </c>
      <c r="D4638" t="s">
        <v>22</v>
      </c>
      <c r="E4638" t="e">
        <f>VLOOKUP(Cpi_[[#This Row],[Attribute]],#REF!,2,FALSE)</f>
        <v>#REF!</v>
      </c>
      <c r="F4638">
        <v>138.4</v>
      </c>
      <c r="G4638">
        <f>(Cpi_[[#This Row],[Value]]-F4637)/F4637</f>
        <v>2.1723388848661216E-3</v>
      </c>
      <c r="H4638" t="e" cm="1" vm="1">
        <f t="array" aca="1" ref="H4638" ca="1">VLOOKUP(Cpi_[[#This Row],[Year]:[Month]],crudeoil[],3,FALSE)</f>
        <v>#VALUE!</v>
      </c>
    </row>
    <row r="4639" spans="1:8" hidden="1" x14ac:dyDescent="0.3">
      <c r="A4639" t="s">
        <v>30</v>
      </c>
      <c r="B4639">
        <v>2017</v>
      </c>
      <c r="C4639" t="s">
        <v>43</v>
      </c>
      <c r="D4639" t="s">
        <v>23</v>
      </c>
      <c r="E4639" t="e">
        <f>VLOOKUP(Cpi_[[#This Row],[Attribute]],#REF!,2,FALSE)</f>
        <v>#REF!</v>
      </c>
      <c r="F4639">
        <v>134.19999999999999</v>
      </c>
      <c r="G4639">
        <f>(Cpi_[[#This Row],[Value]]-F4638)/F4638</f>
        <v>-3.0346820809248679E-2</v>
      </c>
      <c r="H4639" t="e" cm="1" vm="1">
        <f t="array" aca="1" ref="H4639" ca="1">VLOOKUP(Cpi_[[#This Row],[Year]:[Month]],crudeoil[],3,FALSE)</f>
        <v>#VALUE!</v>
      </c>
    </row>
    <row r="4640" spans="1:8" hidden="1" x14ac:dyDescent="0.3">
      <c r="A4640" t="s">
        <v>30</v>
      </c>
      <c r="B4640">
        <v>2017</v>
      </c>
      <c r="C4640" t="s">
        <v>43</v>
      </c>
      <c r="D4640" t="s">
        <v>24</v>
      </c>
      <c r="E4640" t="e">
        <f>VLOOKUP(Cpi_[[#This Row],[Attribute]],#REF!,2,FALSE)</f>
        <v>#REF!</v>
      </c>
      <c r="F4640">
        <v>121</v>
      </c>
      <c r="G4640">
        <f>(Cpi_[[#This Row],[Value]]-F4639)/F4639</f>
        <v>-9.8360655737704847E-2</v>
      </c>
      <c r="H4640" t="e" cm="1" vm="1">
        <f t="array" aca="1" ref="H4640" ca="1">VLOOKUP(Cpi_[[#This Row],[Year]:[Month]],crudeoil[],3,FALSE)</f>
        <v>#VALUE!</v>
      </c>
    </row>
    <row r="4641" spans="1:8" hidden="1" x14ac:dyDescent="0.3">
      <c r="A4641" t="s">
        <v>30</v>
      </c>
      <c r="B4641">
        <v>2017</v>
      </c>
      <c r="C4641" t="s">
        <v>43</v>
      </c>
      <c r="D4641" t="s">
        <v>25</v>
      </c>
      <c r="E4641" t="e">
        <f>VLOOKUP(Cpi_[[#This Row],[Attribute]],#REF!,2,FALSE)</f>
        <v>#REF!</v>
      </c>
      <c r="F4641">
        <v>133</v>
      </c>
      <c r="G4641">
        <f>(Cpi_[[#This Row],[Value]]-F4640)/F4640</f>
        <v>9.9173553719008267E-2</v>
      </c>
      <c r="H4641" t="e" cm="1" vm="1">
        <f t="array" aca="1" ref="H4641" ca="1">VLOOKUP(Cpi_[[#This Row],[Year]:[Month]],crudeoil[],3,FALSE)</f>
        <v>#VALUE!</v>
      </c>
    </row>
    <row r="4642" spans="1:8" hidden="1" x14ac:dyDescent="0.3">
      <c r="A4642" t="s">
        <v>30</v>
      </c>
      <c r="B4642">
        <v>2017</v>
      </c>
      <c r="C4642" t="s">
        <v>43</v>
      </c>
      <c r="D4642" t="s">
        <v>26</v>
      </c>
      <c r="E4642" t="e">
        <f>VLOOKUP(Cpi_[[#This Row],[Attribute]],#REF!,2,FALSE)</f>
        <v>#REF!</v>
      </c>
      <c r="F4642">
        <v>140.1</v>
      </c>
      <c r="G4642">
        <f>(Cpi_[[#This Row],[Value]]-F4641)/F4641</f>
        <v>5.3383458646616498E-2</v>
      </c>
      <c r="H4642" t="e" cm="1" vm="1">
        <f t="array" aca="1" ref="H4642" ca="1">VLOOKUP(Cpi_[[#This Row],[Year]:[Month]],crudeoil[],3,FALSE)</f>
        <v>#VALUE!</v>
      </c>
    </row>
    <row r="4643" spans="1:8" hidden="1" x14ac:dyDescent="0.3">
      <c r="A4643" t="s">
        <v>30</v>
      </c>
      <c r="B4643">
        <v>2017</v>
      </c>
      <c r="C4643" t="s">
        <v>43</v>
      </c>
      <c r="D4643" t="s">
        <v>27</v>
      </c>
      <c r="E4643" t="e">
        <f>VLOOKUP(Cpi_[[#This Row],[Attribute]],#REF!,2,FALSE)</f>
        <v>#REF!</v>
      </c>
      <c r="F4643">
        <v>127.4</v>
      </c>
      <c r="G4643">
        <f>(Cpi_[[#This Row],[Value]]-F4642)/F4642</f>
        <v>-9.0649536045681572E-2</v>
      </c>
      <c r="H4643" t="e" cm="1" vm="1">
        <f t="array" aca="1" ref="H4643" ca="1">VLOOKUP(Cpi_[[#This Row],[Year]:[Month]],crudeoil[],3,FALSE)</f>
        <v>#VALUE!</v>
      </c>
    </row>
    <row r="4644" spans="1:8" hidden="1" x14ac:dyDescent="0.3">
      <c r="A4644" t="s">
        <v>30</v>
      </c>
      <c r="B4644">
        <v>2017</v>
      </c>
      <c r="C4644" t="s">
        <v>43</v>
      </c>
      <c r="D4644" t="s">
        <v>28</v>
      </c>
      <c r="E4644" t="e">
        <f>VLOOKUP(Cpi_[[#This Row],[Attribute]],#REF!,2,FALSE)</f>
        <v>#REF!</v>
      </c>
      <c r="F4644">
        <v>130.69999999999999</v>
      </c>
      <c r="G4644">
        <f>(Cpi_[[#This Row],[Value]]-F4643)/F4643</f>
        <v>2.5902668759811481E-2</v>
      </c>
      <c r="H4644" t="e" cm="1" vm="1">
        <f t="array" aca="1" ref="H4644" ca="1">VLOOKUP(Cpi_[[#This Row],[Year]:[Month]],crudeoil[],3,FALSE)</f>
        <v>#VALUE!</v>
      </c>
    </row>
    <row r="4645" spans="1:8" hidden="1" x14ac:dyDescent="0.3">
      <c r="A4645" t="s">
        <v>30</v>
      </c>
      <c r="B4645">
        <v>2017</v>
      </c>
      <c r="C4645" t="s">
        <v>43</v>
      </c>
      <c r="D4645" t="s">
        <v>29</v>
      </c>
      <c r="E4645" t="e" cm="1">
        <f t="array" aca="1" ref="E4645" ca="1">VLGeneral indexGeneral indexKUP(Cpi_[[#This Row],[Attribute]],#REF!,2,FALSE)</f>
        <v>#NAME?</v>
      </c>
      <c r="F4645">
        <v>138.30000000000001</v>
      </c>
      <c r="G4645">
        <f>(Cpi_[[#This Row],[Value]]-F4644)/F4644</f>
        <v>5.8148431522570952E-2</v>
      </c>
      <c r="H4645" t="e" cm="1" vm="1">
        <f t="array" aca="1" ref="H4645" ca="1">VLOOKUP(Cpi_[[#This Row],[Year]:[Month]],crudeoil[],3,FALSE)</f>
        <v>#VALUE!</v>
      </c>
    </row>
    <row r="4646" spans="1:8" hidden="1" x14ac:dyDescent="0.3">
      <c r="A4646" t="s">
        <v>33</v>
      </c>
      <c r="B4646">
        <v>2017</v>
      </c>
      <c r="C4646" t="s">
        <v>43</v>
      </c>
      <c r="D4646" t="s">
        <v>3</v>
      </c>
      <c r="E4646" t="e">
        <f>VLOOKUP(Cpi_[[#This Row],[Attribute]],#REF!,2,FALSE)</f>
        <v>#REF!</v>
      </c>
      <c r="F4646">
        <v>133.9</v>
      </c>
      <c r="G4646">
        <f>(Cpi_[[#This Row],[Value]]-F4645)/F4645</f>
        <v>-3.1814895155459183E-2</v>
      </c>
      <c r="H4646" t="e" cm="1" vm="1">
        <f t="array" aca="1" ref="H4646" ca="1">VLOOKUP(Cpi_[[#This Row],[Year]:[Month]],crudeoil[],3,FALSE)</f>
        <v>#VALUE!</v>
      </c>
    </row>
    <row r="4647" spans="1:8" hidden="1" x14ac:dyDescent="0.3">
      <c r="A4647" t="s">
        <v>33</v>
      </c>
      <c r="B4647">
        <v>2017</v>
      </c>
      <c r="C4647" t="s">
        <v>43</v>
      </c>
      <c r="D4647" t="s">
        <v>4</v>
      </c>
      <c r="E4647" t="e">
        <f>VLOOKUP(Cpi_[[#This Row],[Attribute]],#REF!,2,FALSE)</f>
        <v>#REF!</v>
      </c>
      <c r="F4647">
        <v>142.80000000000001</v>
      </c>
      <c r="G4647">
        <f>(Cpi_[[#This Row],[Value]]-F4646)/F4646</f>
        <v>6.646751306945485E-2</v>
      </c>
      <c r="H4647" t="e" cm="1" vm="1">
        <f t="array" aca="1" ref="H4647" ca="1">VLOOKUP(Cpi_[[#This Row],[Year]:[Month]],crudeoil[],3,FALSE)</f>
        <v>#VALUE!</v>
      </c>
    </row>
    <row r="4648" spans="1:8" hidden="1" x14ac:dyDescent="0.3">
      <c r="A4648" t="s">
        <v>33</v>
      </c>
      <c r="B4648">
        <v>2017</v>
      </c>
      <c r="C4648" t="s">
        <v>43</v>
      </c>
      <c r="D4648" t="s">
        <v>5</v>
      </c>
      <c r="E4648" t="e">
        <f>VLOOKUP(Cpi_[[#This Row],[Attribute]],#REF!,2,FALSE)</f>
        <v>#REF!</v>
      </c>
      <c r="F4648">
        <v>131.4</v>
      </c>
      <c r="G4648">
        <f>(Cpi_[[#This Row],[Value]]-F4647)/F4647</f>
        <v>-7.9831932773109279E-2</v>
      </c>
      <c r="H4648" t="e" cm="1" vm="1">
        <f t="array" aca="1" ref="H4648" ca="1">VLOOKUP(Cpi_[[#This Row],[Year]:[Month]],crudeoil[],3,FALSE)</f>
        <v>#VALUE!</v>
      </c>
    </row>
    <row r="4649" spans="1:8" hidden="1" x14ac:dyDescent="0.3">
      <c r="A4649" t="s">
        <v>33</v>
      </c>
      <c r="B4649">
        <v>2017</v>
      </c>
      <c r="C4649" t="s">
        <v>43</v>
      </c>
      <c r="D4649" t="s">
        <v>6</v>
      </c>
      <c r="E4649" t="e">
        <f>VLOOKUP(Cpi_[[#This Row],[Attribute]],#REF!,2,FALSE)</f>
        <v>#REF!</v>
      </c>
      <c r="F4649">
        <v>139.1</v>
      </c>
      <c r="G4649">
        <f>(Cpi_[[#This Row],[Value]]-F4648)/F4648</f>
        <v>5.8599695585996869E-2</v>
      </c>
      <c r="H4649" t="e" cm="1" vm="1">
        <f t="array" aca="1" ref="H4649" ca="1">VLOOKUP(Cpi_[[#This Row],[Year]:[Month]],crudeoil[],3,FALSE)</f>
        <v>#VALUE!</v>
      </c>
    </row>
    <row r="4650" spans="1:8" hidden="1" x14ac:dyDescent="0.3">
      <c r="A4650" t="s">
        <v>33</v>
      </c>
      <c r="B4650">
        <v>2017</v>
      </c>
      <c r="C4650" t="s">
        <v>43</v>
      </c>
      <c r="D4650" t="s">
        <v>7</v>
      </c>
      <c r="E4650" t="e">
        <f>VLOOKUP(Cpi_[[#This Row],[Attribute]],#REF!,2,FALSE)</f>
        <v>#REF!</v>
      </c>
      <c r="F4650">
        <v>114.9</v>
      </c>
      <c r="G4650">
        <f>(Cpi_[[#This Row],[Value]]-F4649)/F4649</f>
        <v>-0.17397555715312718</v>
      </c>
      <c r="H4650" t="e" cm="1" vm="1">
        <f t="array" aca="1" ref="H4650" ca="1">VLOOKUP(Cpi_[[#This Row],[Year]:[Month]],crudeoil[],3,FALSE)</f>
        <v>#VALUE!</v>
      </c>
    </row>
    <row r="4651" spans="1:8" hidden="1" x14ac:dyDescent="0.3">
      <c r="A4651" t="s">
        <v>33</v>
      </c>
      <c r="B4651">
        <v>2017</v>
      </c>
      <c r="C4651" t="s">
        <v>43</v>
      </c>
      <c r="D4651" t="s">
        <v>8</v>
      </c>
      <c r="E4651" t="e">
        <f>VLOOKUP(Cpi_[[#This Row],[Attribute]],#REF!,2,FALSE)</f>
        <v>#REF!</v>
      </c>
      <c r="F4651">
        <v>135.6</v>
      </c>
      <c r="G4651">
        <f>(Cpi_[[#This Row],[Value]]-F4650)/F4650</f>
        <v>0.18015665796344638</v>
      </c>
      <c r="H4651" t="e" cm="1" vm="1">
        <f t="array" aca="1" ref="H4651" ca="1">VLOOKUP(Cpi_[[#This Row],[Year]:[Month]],crudeoil[],3,FALSE)</f>
        <v>#VALUE!</v>
      </c>
    </row>
    <row r="4652" spans="1:8" hidden="1" x14ac:dyDescent="0.3">
      <c r="A4652" t="s">
        <v>33</v>
      </c>
      <c r="B4652">
        <v>2017</v>
      </c>
      <c r="C4652" t="s">
        <v>43</v>
      </c>
      <c r="D4652" t="s">
        <v>9</v>
      </c>
      <c r="E4652" t="e">
        <f>VLOOKUP(Cpi_[[#This Row],[Attribute]],#REF!,2,FALSE)</f>
        <v>#REF!</v>
      </c>
      <c r="F4652">
        <v>173.2</v>
      </c>
      <c r="G4652">
        <f>(Cpi_[[#This Row],[Value]]-F4651)/F4651</f>
        <v>0.27728613569321531</v>
      </c>
      <c r="H4652" t="e" cm="1" vm="1">
        <f t="array" aca="1" ref="H4652" ca="1">VLOOKUP(Cpi_[[#This Row],[Year]:[Month]],crudeoil[],3,FALSE)</f>
        <v>#VALUE!</v>
      </c>
    </row>
    <row r="4653" spans="1:8" hidden="1" x14ac:dyDescent="0.3">
      <c r="A4653" t="s">
        <v>33</v>
      </c>
      <c r="B4653">
        <v>2017</v>
      </c>
      <c r="C4653" t="s">
        <v>43</v>
      </c>
      <c r="D4653" t="s">
        <v>10</v>
      </c>
      <c r="E4653" t="e">
        <f>VLOOKUP(Cpi_[[#This Row],[Attribute]],#REF!,2,FALSE)</f>
        <v>#REF!</v>
      </c>
      <c r="F4653">
        <v>124.1</v>
      </c>
      <c r="G4653">
        <f>(Cpi_[[#This Row],[Value]]-F4652)/F4652</f>
        <v>-0.28348729792147803</v>
      </c>
      <c r="H4653" t="e" cm="1" vm="1">
        <f t="array" aca="1" ref="H4653" ca="1">VLOOKUP(Cpi_[[#This Row],[Year]:[Month]],crudeoil[],3,FALSE)</f>
        <v>#VALUE!</v>
      </c>
    </row>
    <row r="4654" spans="1:8" hidden="1" x14ac:dyDescent="0.3">
      <c r="A4654" t="s">
        <v>33</v>
      </c>
      <c r="B4654">
        <v>2017</v>
      </c>
      <c r="C4654" t="s">
        <v>43</v>
      </c>
      <c r="D4654" t="s">
        <v>11</v>
      </c>
      <c r="E4654" t="e">
        <f>VLOOKUP(Cpi_[[#This Row],[Attribute]],#REF!,2,FALSE)</f>
        <v>#REF!</v>
      </c>
      <c r="F4654">
        <v>122.6</v>
      </c>
      <c r="G4654">
        <f>(Cpi_[[#This Row],[Value]]-F4653)/F4653</f>
        <v>-1.2087026591458501E-2</v>
      </c>
      <c r="H4654" t="e" cm="1" vm="1">
        <f t="array" aca="1" ref="H4654" ca="1">VLOOKUP(Cpi_[[#This Row],[Year]:[Month]],crudeoil[],3,FALSE)</f>
        <v>#VALUE!</v>
      </c>
    </row>
    <row r="4655" spans="1:8" hidden="1" x14ac:dyDescent="0.3">
      <c r="A4655" t="s">
        <v>33</v>
      </c>
      <c r="B4655">
        <v>2017</v>
      </c>
      <c r="C4655" t="s">
        <v>43</v>
      </c>
      <c r="D4655" t="s">
        <v>12</v>
      </c>
      <c r="E4655" t="e">
        <f>VLOOKUP(Cpi_[[#This Row],[Attribute]],#REF!,2,FALSE)</f>
        <v>#REF!</v>
      </c>
      <c r="F4655">
        <v>137.80000000000001</v>
      </c>
      <c r="G4655">
        <f>(Cpi_[[#This Row],[Value]]-F4654)/F4654</f>
        <v>0.12398042414355642</v>
      </c>
      <c r="H4655" t="e" cm="1" vm="1">
        <f t="array" aca="1" ref="H4655" ca="1">VLOOKUP(Cpi_[[#This Row],[Year]:[Month]],crudeoil[],3,FALSE)</f>
        <v>#VALUE!</v>
      </c>
    </row>
    <row r="4656" spans="1:8" hidden="1" x14ac:dyDescent="0.3">
      <c r="A4656" t="s">
        <v>33</v>
      </c>
      <c r="B4656">
        <v>2017</v>
      </c>
      <c r="C4656" t="s">
        <v>43</v>
      </c>
      <c r="D4656" t="s">
        <v>13</v>
      </c>
      <c r="E4656" t="e">
        <f>VLOOKUP(Cpi_[[#This Row],[Attribute]],#REF!,2,FALSE)</f>
        <v>#REF!</v>
      </c>
      <c r="F4656">
        <v>125.1</v>
      </c>
      <c r="G4656">
        <f>(Cpi_[[#This Row],[Value]]-F4655)/F4655</f>
        <v>-9.2162554426705484E-2</v>
      </c>
      <c r="H4656" t="e" cm="1" vm="1">
        <f t="array" aca="1" ref="H4656" ca="1">VLOOKUP(Cpi_[[#This Row],[Year]:[Month]],crudeoil[],3,FALSE)</f>
        <v>#VALUE!</v>
      </c>
    </row>
    <row r="4657" spans="1:8" hidden="1" x14ac:dyDescent="0.3">
      <c r="A4657" t="s">
        <v>33</v>
      </c>
      <c r="B4657">
        <v>2017</v>
      </c>
      <c r="C4657" t="s">
        <v>43</v>
      </c>
      <c r="D4657" t="s">
        <v>14</v>
      </c>
      <c r="E4657" t="e">
        <f>VLOOKUP(Cpi_[[#This Row],[Attribute]],#REF!,2,FALSE)</f>
        <v>#REF!</v>
      </c>
      <c r="F4657">
        <v>145.5</v>
      </c>
      <c r="G4657">
        <f>(Cpi_[[#This Row],[Value]]-F4656)/F4656</f>
        <v>0.16306954436450843</v>
      </c>
      <c r="H4657" t="e" cm="1" vm="1">
        <f t="array" aca="1" ref="H4657" ca="1">VLOOKUP(Cpi_[[#This Row],[Year]:[Month]],crudeoil[],3,FALSE)</f>
        <v>#VALUE!</v>
      </c>
    </row>
    <row r="4658" spans="1:8" hidden="1" x14ac:dyDescent="0.3">
      <c r="A4658" t="s">
        <v>33</v>
      </c>
      <c r="B4658">
        <v>2017</v>
      </c>
      <c r="C4658" t="s">
        <v>43</v>
      </c>
      <c r="D4658" t="s">
        <v>15</v>
      </c>
      <c r="E4658" t="e">
        <f>VLOOKUP(Cpi_[[#This Row],[Attribute]],#REF!,2,FALSE)</f>
        <v>#REF!</v>
      </c>
      <c r="F4658">
        <v>139.69999999999999</v>
      </c>
      <c r="G4658">
        <f>(Cpi_[[#This Row],[Value]]-F4657)/F4657</f>
        <v>-3.9862542955326541E-2</v>
      </c>
      <c r="H4658" t="e" cm="1" vm="1">
        <f t="array" aca="1" ref="H4658" ca="1">VLOOKUP(Cpi_[[#This Row],[Year]:[Month]],crudeoil[],3,FALSE)</f>
        <v>#VALUE!</v>
      </c>
    </row>
    <row r="4659" spans="1:8" hidden="1" x14ac:dyDescent="0.3">
      <c r="A4659" t="s">
        <v>33</v>
      </c>
      <c r="B4659">
        <v>2017</v>
      </c>
      <c r="C4659" t="s">
        <v>43</v>
      </c>
      <c r="D4659" t="s">
        <v>16</v>
      </c>
      <c r="E4659" t="e">
        <f>VLOOKUP(Cpi_[[#This Row],[Attribute]],#REF!,2,FALSE)</f>
        <v>#REF!</v>
      </c>
      <c r="F4659">
        <v>154.6</v>
      </c>
      <c r="G4659">
        <f>(Cpi_[[#This Row],[Value]]-F4658)/F4658</f>
        <v>0.10665712240515395</v>
      </c>
      <c r="H4659" t="e" cm="1" vm="1">
        <f t="array" aca="1" ref="H4659" ca="1">VLOOKUP(Cpi_[[#This Row],[Year]:[Month]],crudeoil[],3,FALSE)</f>
        <v>#VALUE!</v>
      </c>
    </row>
    <row r="4660" spans="1:8" hidden="1" x14ac:dyDescent="0.3">
      <c r="A4660" t="s">
        <v>33</v>
      </c>
      <c r="B4660">
        <v>2017</v>
      </c>
      <c r="C4660" t="s">
        <v>43</v>
      </c>
      <c r="D4660" t="s">
        <v>17</v>
      </c>
      <c r="E4660" t="e">
        <f>VLOOKUP(Cpi_[[#This Row],[Attribute]],#REF!,2,FALSE)</f>
        <v>#REF!</v>
      </c>
      <c r="F4660">
        <v>134</v>
      </c>
      <c r="G4660">
        <f>(Cpi_[[#This Row],[Value]]-F4659)/F4659</f>
        <v>-0.13324708926261317</v>
      </c>
      <c r="H4660" t="e" cm="1" vm="1">
        <f t="array" aca="1" ref="H4660" ca="1">VLOOKUP(Cpi_[[#This Row],[Year]:[Month]],crudeoil[],3,FALSE)</f>
        <v>#VALUE!</v>
      </c>
    </row>
    <row r="4661" spans="1:8" hidden="1" x14ac:dyDescent="0.3">
      <c r="A4661" t="s">
        <v>33</v>
      </c>
      <c r="B4661">
        <v>2017</v>
      </c>
      <c r="C4661" t="s">
        <v>43</v>
      </c>
      <c r="D4661" t="s">
        <v>18</v>
      </c>
      <c r="E4661" t="e">
        <f>VLOOKUP(Cpi_[[#This Row],[Attribute]],#REF!,2,FALSE)</f>
        <v>#REF!</v>
      </c>
      <c r="F4661">
        <v>124.9</v>
      </c>
      <c r="G4661">
        <f>(Cpi_[[#This Row],[Value]]-F4660)/F4660</f>
        <v>-6.7910447761193982E-2</v>
      </c>
      <c r="H4661" t="e" cm="1" vm="1">
        <f t="array" aca="1" ref="H4661" ca="1">VLOOKUP(Cpi_[[#This Row],[Year]:[Month]],crudeoil[],3,FALSE)</f>
        <v>#VALUE!</v>
      </c>
    </row>
    <row r="4662" spans="1:8" hidden="1" x14ac:dyDescent="0.3">
      <c r="A4662" t="s">
        <v>33</v>
      </c>
      <c r="B4662">
        <v>2017</v>
      </c>
      <c r="C4662" t="s">
        <v>43</v>
      </c>
      <c r="D4662" t="s">
        <v>19</v>
      </c>
      <c r="E4662" t="e">
        <f>VLOOKUP(Cpi_[[#This Row],[Attribute]],#REF!,2,FALSE)</f>
        <v>#REF!</v>
      </c>
      <c r="F4662">
        <v>132.6</v>
      </c>
      <c r="G4662">
        <f>(Cpi_[[#This Row],[Value]]-F4661)/F4661</f>
        <v>6.1649319455564358E-2</v>
      </c>
      <c r="H4662" t="e" cm="1" vm="1">
        <f t="array" aca="1" ref="H4662" ca="1">VLOOKUP(Cpi_[[#This Row],[Year]:[Month]],crudeoil[],3,FALSE)</f>
        <v>#VALUE!</v>
      </c>
    </row>
    <row r="4663" spans="1:8" hidden="1" x14ac:dyDescent="0.3">
      <c r="A4663" t="s">
        <v>33</v>
      </c>
      <c r="B4663">
        <v>2017</v>
      </c>
      <c r="C4663" t="s">
        <v>43</v>
      </c>
      <c r="D4663" t="s">
        <v>20</v>
      </c>
      <c r="E4663" t="e">
        <f>VLOOKUP(Cpi_[[#This Row],[Attribute]],#REF!,2,FALSE)</f>
        <v>#REF!</v>
      </c>
      <c r="F4663">
        <v>137.30000000000001</v>
      </c>
      <c r="G4663">
        <f>(Cpi_[[#This Row],[Value]]-F4662)/F4662</f>
        <v>3.5444947209653223E-2</v>
      </c>
      <c r="H4663" t="e" cm="1" vm="1">
        <f t="array" aca="1" ref="H4663" ca="1">VLOOKUP(Cpi_[[#This Row],[Year]:[Month]],crudeoil[],3,FALSE)</f>
        <v>#VALUE!</v>
      </c>
    </row>
    <row r="4664" spans="1:8" hidden="1" x14ac:dyDescent="0.3">
      <c r="A4664" t="s">
        <v>33</v>
      </c>
      <c r="B4664">
        <v>2017</v>
      </c>
      <c r="C4664" t="s">
        <v>43</v>
      </c>
      <c r="D4664" t="s">
        <v>21</v>
      </c>
      <c r="E4664" t="e">
        <f>VLOOKUP(Cpi_[[#This Row],[Attribute]],#REF!,2,FALSE)</f>
        <v>#REF!</v>
      </c>
      <c r="F4664">
        <v>122.6</v>
      </c>
      <c r="G4664">
        <f>(Cpi_[[#This Row],[Value]]-F4663)/F4663</f>
        <v>-0.10706482155863085</v>
      </c>
      <c r="H4664" t="e" cm="1" vm="1">
        <f t="array" aca="1" ref="H4664" ca="1">VLOOKUP(Cpi_[[#This Row],[Year]:[Month]],crudeoil[],3,FALSE)</f>
        <v>#VALUE!</v>
      </c>
    </row>
    <row r="4665" spans="1:8" hidden="1" x14ac:dyDescent="0.3">
      <c r="A4665" t="s">
        <v>33</v>
      </c>
      <c r="B4665">
        <v>2017</v>
      </c>
      <c r="C4665" t="s">
        <v>43</v>
      </c>
      <c r="D4665" t="s">
        <v>22</v>
      </c>
      <c r="E4665" t="e">
        <f>VLOOKUP(Cpi_[[#This Row],[Attribute]],#REF!,2,FALSE)</f>
        <v>#REF!</v>
      </c>
      <c r="F4665">
        <v>128.30000000000001</v>
      </c>
      <c r="G4665">
        <f>(Cpi_[[#This Row],[Value]]-F4664)/F4664</f>
        <v>4.6492659053833749E-2</v>
      </c>
      <c r="H4665" t="e" cm="1" vm="1">
        <f t="array" aca="1" ref="H4665" ca="1">VLOOKUP(Cpi_[[#This Row],[Year]:[Month]],crudeoil[],3,FALSE)</f>
        <v>#VALUE!</v>
      </c>
    </row>
    <row r="4666" spans="1:8" hidden="1" x14ac:dyDescent="0.3">
      <c r="A4666" t="s">
        <v>33</v>
      </c>
      <c r="B4666">
        <v>2017</v>
      </c>
      <c r="C4666" t="s">
        <v>43</v>
      </c>
      <c r="D4666" t="s">
        <v>23</v>
      </c>
      <c r="E4666" t="e">
        <f>VLOOKUP(Cpi_[[#This Row],[Attribute]],#REF!,2,FALSE)</f>
        <v>#REF!</v>
      </c>
      <c r="F4666">
        <v>126.6</v>
      </c>
      <c r="G4666">
        <f>(Cpi_[[#This Row],[Value]]-F4665)/F4665</f>
        <v>-1.3250194855806835E-2</v>
      </c>
      <c r="H4666" t="e" cm="1" vm="1">
        <f t="array" aca="1" ref="H4666" ca="1">VLOOKUP(Cpi_[[#This Row],[Year]:[Month]],crudeoil[],3,FALSE)</f>
        <v>#VALUE!</v>
      </c>
    </row>
    <row r="4667" spans="1:8" hidden="1" x14ac:dyDescent="0.3">
      <c r="A4667" t="s">
        <v>33</v>
      </c>
      <c r="B4667">
        <v>2017</v>
      </c>
      <c r="C4667" t="s">
        <v>43</v>
      </c>
      <c r="D4667" t="s">
        <v>24</v>
      </c>
      <c r="E4667" t="e">
        <f>VLOOKUP(Cpi_[[#This Row],[Attribute]],#REF!,2,FALSE)</f>
        <v>#REF!</v>
      </c>
      <c r="F4667">
        <v>115</v>
      </c>
      <c r="G4667">
        <f>(Cpi_[[#This Row],[Value]]-F4666)/F4666</f>
        <v>-9.1627172195892531E-2</v>
      </c>
      <c r="H4667" t="e" cm="1" vm="1">
        <f t="array" aca="1" ref="H4667" ca="1">VLOOKUP(Cpi_[[#This Row],[Year]:[Month]],crudeoil[],3,FALSE)</f>
        <v>#VALUE!</v>
      </c>
    </row>
    <row r="4668" spans="1:8" hidden="1" x14ac:dyDescent="0.3">
      <c r="A4668" t="s">
        <v>33</v>
      </c>
      <c r="B4668">
        <v>2017</v>
      </c>
      <c r="C4668" t="s">
        <v>43</v>
      </c>
      <c r="D4668" t="s">
        <v>25</v>
      </c>
      <c r="E4668" t="e">
        <f>VLOOKUP(Cpi_[[#This Row],[Attribute]],#REF!,2,FALSE)</f>
        <v>#REF!</v>
      </c>
      <c r="F4668">
        <v>124.8</v>
      </c>
      <c r="G4668">
        <f>(Cpi_[[#This Row],[Value]]-F4667)/F4667</f>
        <v>8.52173913043478E-2</v>
      </c>
      <c r="H4668" t="e" cm="1" vm="1">
        <f t="array" aca="1" ref="H4668" ca="1">VLOOKUP(Cpi_[[#This Row],[Year]:[Month]],crudeoil[],3,FALSE)</f>
        <v>#VALUE!</v>
      </c>
    </row>
    <row r="4669" spans="1:8" hidden="1" x14ac:dyDescent="0.3">
      <c r="A4669" t="s">
        <v>33</v>
      </c>
      <c r="B4669">
        <v>2017</v>
      </c>
      <c r="C4669" t="s">
        <v>43</v>
      </c>
      <c r="D4669" t="s">
        <v>26</v>
      </c>
      <c r="E4669" t="e">
        <f>VLOOKUP(Cpi_[[#This Row],[Attribute]],#REF!,2,FALSE)</f>
        <v>#REF!</v>
      </c>
      <c r="F4669">
        <v>136.30000000000001</v>
      </c>
      <c r="G4669">
        <f>(Cpi_[[#This Row],[Value]]-F4668)/F4668</f>
        <v>9.2147435897436014E-2</v>
      </c>
      <c r="H4669" t="e" cm="1" vm="1">
        <f t="array" aca="1" ref="H4669" ca="1">VLOOKUP(Cpi_[[#This Row],[Year]:[Month]],crudeoil[],3,FALSE)</f>
        <v>#VALUE!</v>
      </c>
    </row>
    <row r="4670" spans="1:8" hidden="1" x14ac:dyDescent="0.3">
      <c r="A4670" t="s">
        <v>33</v>
      </c>
      <c r="B4670">
        <v>2017</v>
      </c>
      <c r="C4670" t="s">
        <v>43</v>
      </c>
      <c r="D4670" t="s">
        <v>27</v>
      </c>
      <c r="E4670" t="e">
        <f>VLOOKUP(Cpi_[[#This Row],[Attribute]],#REF!,2,FALSE)</f>
        <v>#REF!</v>
      </c>
      <c r="F4670">
        <v>124.6</v>
      </c>
      <c r="G4670">
        <f>(Cpi_[[#This Row],[Value]]-F4669)/F4669</f>
        <v>-8.584005869405735E-2</v>
      </c>
      <c r="H4670" t="e" cm="1" vm="1">
        <f t="array" aca="1" ref="H4670" ca="1">VLOOKUP(Cpi_[[#This Row],[Year]:[Month]],crudeoil[],3,FALSE)</f>
        <v>#VALUE!</v>
      </c>
    </row>
    <row r="4671" spans="1:8" hidden="1" x14ac:dyDescent="0.3">
      <c r="A4671" t="s">
        <v>33</v>
      </c>
      <c r="B4671">
        <v>2017</v>
      </c>
      <c r="C4671" t="s">
        <v>43</v>
      </c>
      <c r="D4671" t="s">
        <v>28</v>
      </c>
      <c r="E4671" t="e">
        <f>VLOOKUP(Cpi_[[#This Row],[Attribute]],#REF!,2,FALSE)</f>
        <v>#REF!</v>
      </c>
      <c r="F4671">
        <v>124.5</v>
      </c>
      <c r="G4671">
        <f>(Cpi_[[#This Row],[Value]]-F4670)/F4670</f>
        <v>-8.0256821829850983E-4</v>
      </c>
      <c r="H4671" t="e" cm="1" vm="1">
        <f t="array" aca="1" ref="H4671" ca="1">VLOOKUP(Cpi_[[#This Row],[Year]:[Month]],crudeoil[],3,FALSE)</f>
        <v>#VALUE!</v>
      </c>
    </row>
    <row r="4672" spans="1:8" hidden="1" x14ac:dyDescent="0.3">
      <c r="A4672" t="s">
        <v>33</v>
      </c>
      <c r="B4672">
        <v>2017</v>
      </c>
      <c r="C4672" t="s">
        <v>43</v>
      </c>
      <c r="D4672" t="s">
        <v>29</v>
      </c>
      <c r="E4672" t="e" cm="1">
        <f t="array" aca="1" ref="E4672" ca="1">VLGeneral indexGeneral indexKUP(Cpi_[[#This Row],[Attribute]],#REF!,2,FALSE)</f>
        <v>#NAME?</v>
      </c>
      <c r="F4672">
        <v>133.5</v>
      </c>
      <c r="G4672">
        <f>(Cpi_[[#This Row],[Value]]-F4671)/F4671</f>
        <v>7.2289156626506021E-2</v>
      </c>
      <c r="H4672" t="e" cm="1" vm="1">
        <f t="array" aca="1" ref="H4672" ca="1">VLOOKUP(Cpi_[[#This Row],[Year]:[Month]],crudeoil[],3,FALSE)</f>
        <v>#VALUE!</v>
      </c>
    </row>
    <row r="4673" spans="1:8" hidden="1" x14ac:dyDescent="0.3">
      <c r="A4673" t="s">
        <v>34</v>
      </c>
      <c r="B4673">
        <v>2017</v>
      </c>
      <c r="C4673" t="s">
        <v>43</v>
      </c>
      <c r="D4673" t="s">
        <v>3</v>
      </c>
      <c r="E4673" t="e">
        <f>VLOOKUP(Cpi_[[#This Row],[Attribute]],#REF!,2,FALSE)</f>
        <v>#REF!</v>
      </c>
      <c r="F4673">
        <v>135.30000000000001</v>
      </c>
      <c r="G4673">
        <f>(Cpi_[[#This Row],[Value]]-F4672)/F4672</f>
        <v>1.3483146067415816E-2</v>
      </c>
      <c r="H4673" t="e" cm="1" vm="1">
        <f t="array" aca="1" ref="H4673" ca="1">VLOOKUP(Cpi_[[#This Row],[Year]:[Month]],crudeoil[],3,FALSE)</f>
        <v>#VALUE!</v>
      </c>
    </row>
    <row r="4674" spans="1:8" hidden="1" x14ac:dyDescent="0.3">
      <c r="A4674" t="s">
        <v>34</v>
      </c>
      <c r="B4674">
        <v>2017</v>
      </c>
      <c r="C4674" t="s">
        <v>43</v>
      </c>
      <c r="D4674" t="s">
        <v>4</v>
      </c>
      <c r="E4674" t="e">
        <f>VLOOKUP(Cpi_[[#This Row],[Attribute]],#REF!,2,FALSE)</f>
        <v>#REF!</v>
      </c>
      <c r="F4674">
        <v>142.19999999999999</v>
      </c>
      <c r="G4674">
        <f>(Cpi_[[#This Row],[Value]]-F4673)/F4673</f>
        <v>5.0997782705099609E-2</v>
      </c>
      <c r="H4674" t="e" cm="1" vm="1">
        <f t="array" aca="1" ref="H4674" ca="1">VLOOKUP(Cpi_[[#This Row],[Year]:[Month]],crudeoil[],3,FALSE)</f>
        <v>#VALUE!</v>
      </c>
    </row>
    <row r="4675" spans="1:8" hidden="1" x14ac:dyDescent="0.3">
      <c r="A4675" t="s">
        <v>34</v>
      </c>
      <c r="B4675">
        <v>2017</v>
      </c>
      <c r="C4675" t="s">
        <v>43</v>
      </c>
      <c r="D4675" t="s">
        <v>5</v>
      </c>
      <c r="E4675" t="e">
        <f>VLOOKUP(Cpi_[[#This Row],[Attribute]],#REF!,2,FALSE)</f>
        <v>#REF!</v>
      </c>
      <c r="F4675">
        <v>131.19999999999999</v>
      </c>
      <c r="G4675">
        <f>(Cpi_[[#This Row],[Value]]-F4674)/F4674</f>
        <v>-7.7355836849507739E-2</v>
      </c>
      <c r="H4675" t="e" cm="1" vm="1">
        <f t="array" aca="1" ref="H4675" ca="1">VLOOKUP(Cpi_[[#This Row],[Year]:[Month]],crudeoil[],3,FALSE)</f>
        <v>#VALUE!</v>
      </c>
    </row>
    <row r="4676" spans="1:8" hidden="1" x14ac:dyDescent="0.3">
      <c r="A4676" t="s">
        <v>34</v>
      </c>
      <c r="B4676">
        <v>2017</v>
      </c>
      <c r="C4676" t="s">
        <v>43</v>
      </c>
      <c r="D4676" t="s">
        <v>6</v>
      </c>
      <c r="E4676" t="e">
        <f>VLOOKUP(Cpi_[[#This Row],[Attribute]],#REF!,2,FALSE)</f>
        <v>#REF!</v>
      </c>
      <c r="F4676">
        <v>140.6</v>
      </c>
      <c r="G4676">
        <f>(Cpi_[[#This Row],[Value]]-F4675)/F4675</f>
        <v>7.1646341463414684E-2</v>
      </c>
      <c r="H4676" t="e" cm="1" vm="1">
        <f t="array" aca="1" ref="H4676" ca="1">VLOOKUP(Cpi_[[#This Row],[Year]:[Month]],crudeoil[],3,FALSE)</f>
        <v>#VALUE!</v>
      </c>
    </row>
    <row r="4677" spans="1:8" hidden="1" x14ac:dyDescent="0.3">
      <c r="A4677" t="s">
        <v>34</v>
      </c>
      <c r="B4677">
        <v>2017</v>
      </c>
      <c r="C4677" t="s">
        <v>43</v>
      </c>
      <c r="D4677" t="s">
        <v>7</v>
      </c>
      <c r="E4677" t="e">
        <f>VLOOKUP(Cpi_[[#This Row],[Attribute]],#REF!,2,FALSE)</f>
        <v>#REF!</v>
      </c>
      <c r="F4677">
        <v>119</v>
      </c>
      <c r="G4677">
        <f>(Cpi_[[#This Row],[Value]]-F4676)/F4676</f>
        <v>-0.15362731152204834</v>
      </c>
      <c r="H4677" t="e" cm="1" vm="1">
        <f t="array" aca="1" ref="H4677" ca="1">VLOOKUP(Cpi_[[#This Row],[Year]:[Month]],crudeoil[],3,FALSE)</f>
        <v>#VALUE!</v>
      </c>
    </row>
    <row r="4678" spans="1:8" hidden="1" x14ac:dyDescent="0.3">
      <c r="A4678" t="s">
        <v>34</v>
      </c>
      <c r="B4678">
        <v>2017</v>
      </c>
      <c r="C4678" t="s">
        <v>43</v>
      </c>
      <c r="D4678" t="s">
        <v>8</v>
      </c>
      <c r="E4678" t="e">
        <f>VLOOKUP(Cpi_[[#This Row],[Attribute]],#REF!,2,FALSE)</f>
        <v>#REF!</v>
      </c>
      <c r="F4678">
        <v>141.5</v>
      </c>
      <c r="G4678">
        <f>(Cpi_[[#This Row],[Value]]-F4677)/F4677</f>
        <v>0.18907563025210083</v>
      </c>
      <c r="H4678" t="e" cm="1" vm="1">
        <f t="array" aca="1" ref="H4678" ca="1">VLOOKUP(Cpi_[[#This Row],[Year]:[Month]],crudeoil[],3,FALSE)</f>
        <v>#VALUE!</v>
      </c>
    </row>
    <row r="4679" spans="1:8" hidden="1" x14ac:dyDescent="0.3">
      <c r="A4679" t="s">
        <v>34</v>
      </c>
      <c r="B4679">
        <v>2017</v>
      </c>
      <c r="C4679" t="s">
        <v>43</v>
      </c>
      <c r="D4679" t="s">
        <v>9</v>
      </c>
      <c r="E4679" t="e">
        <f>VLOOKUP(Cpi_[[#This Row],[Attribute]],#REF!,2,FALSE)</f>
        <v>#REF!</v>
      </c>
      <c r="F4679">
        <v>162.6</v>
      </c>
      <c r="G4679">
        <f>(Cpi_[[#This Row],[Value]]-F4678)/F4678</f>
        <v>0.14911660777385155</v>
      </c>
      <c r="H4679" t="e" cm="1" vm="1">
        <f t="array" aca="1" ref="H4679" ca="1">VLOOKUP(Cpi_[[#This Row],[Year]:[Month]],crudeoil[],3,FALSE)</f>
        <v>#VALUE!</v>
      </c>
    </row>
    <row r="4680" spans="1:8" hidden="1" x14ac:dyDescent="0.3">
      <c r="A4680" t="s">
        <v>34</v>
      </c>
      <c r="B4680">
        <v>2017</v>
      </c>
      <c r="C4680" t="s">
        <v>43</v>
      </c>
      <c r="D4680" t="s">
        <v>10</v>
      </c>
      <c r="E4680" t="e">
        <f>VLOOKUP(Cpi_[[#This Row],[Attribute]],#REF!,2,FALSE)</f>
        <v>#REF!</v>
      </c>
      <c r="F4680">
        <v>132.30000000000001</v>
      </c>
      <c r="G4680">
        <f>(Cpi_[[#This Row],[Value]]-F4679)/F4679</f>
        <v>-0.18634686346863458</v>
      </c>
      <c r="H4680" t="e" cm="1" vm="1">
        <f t="array" aca="1" ref="H4680" ca="1">VLOOKUP(Cpi_[[#This Row],[Year]:[Month]],crudeoil[],3,FALSE)</f>
        <v>#VALUE!</v>
      </c>
    </row>
    <row r="4681" spans="1:8" hidden="1" x14ac:dyDescent="0.3">
      <c r="A4681" t="s">
        <v>34</v>
      </c>
      <c r="B4681">
        <v>2017</v>
      </c>
      <c r="C4681" t="s">
        <v>43</v>
      </c>
      <c r="D4681" t="s">
        <v>11</v>
      </c>
      <c r="E4681" t="e">
        <f>VLOOKUP(Cpi_[[#This Row],[Attribute]],#REF!,2,FALSE)</f>
        <v>#REF!</v>
      </c>
      <c r="F4681">
        <v>121.8</v>
      </c>
      <c r="G4681">
        <f>(Cpi_[[#This Row],[Value]]-F4680)/F4680</f>
        <v>-7.9365079365079472E-2</v>
      </c>
      <c r="H4681" t="e" cm="1" vm="1">
        <f t="array" aca="1" ref="H4681" ca="1">VLOOKUP(Cpi_[[#This Row],[Year]:[Month]],crudeoil[],3,FALSE)</f>
        <v>#VALUE!</v>
      </c>
    </row>
    <row r="4682" spans="1:8" hidden="1" x14ac:dyDescent="0.3">
      <c r="A4682" t="s">
        <v>34</v>
      </c>
      <c r="B4682">
        <v>2017</v>
      </c>
      <c r="C4682" t="s">
        <v>43</v>
      </c>
      <c r="D4682" t="s">
        <v>12</v>
      </c>
      <c r="E4682" t="e">
        <f>VLOOKUP(Cpi_[[#This Row],[Attribute]],#REF!,2,FALSE)</f>
        <v>#REF!</v>
      </c>
      <c r="F4682">
        <v>136.30000000000001</v>
      </c>
      <c r="G4682">
        <f>(Cpi_[[#This Row],[Value]]-F4681)/F4681</f>
        <v>0.11904761904761917</v>
      </c>
      <c r="H4682" t="e" cm="1" vm="1">
        <f t="array" aca="1" ref="H4682" ca="1">VLOOKUP(Cpi_[[#This Row],[Year]:[Month]],crudeoil[],3,FALSE)</f>
        <v>#VALUE!</v>
      </c>
    </row>
    <row r="4683" spans="1:8" hidden="1" x14ac:dyDescent="0.3">
      <c r="A4683" t="s">
        <v>34</v>
      </c>
      <c r="B4683">
        <v>2017</v>
      </c>
      <c r="C4683" t="s">
        <v>43</v>
      </c>
      <c r="D4683" t="s">
        <v>13</v>
      </c>
      <c r="E4683" t="e">
        <f>VLOOKUP(Cpi_[[#This Row],[Attribute]],#REF!,2,FALSE)</f>
        <v>#REF!</v>
      </c>
      <c r="F4683">
        <v>128.69999999999999</v>
      </c>
      <c r="G4683">
        <f>(Cpi_[[#This Row],[Value]]-F4682)/F4682</f>
        <v>-5.5759354365370668E-2</v>
      </c>
      <c r="H4683" t="e" cm="1" vm="1">
        <f t="array" aca="1" ref="H4683" ca="1">VLOOKUP(Cpi_[[#This Row],[Year]:[Month]],crudeoil[],3,FALSE)</f>
        <v>#VALUE!</v>
      </c>
    </row>
    <row r="4684" spans="1:8" hidden="1" x14ac:dyDescent="0.3">
      <c r="A4684" t="s">
        <v>34</v>
      </c>
      <c r="B4684">
        <v>2017</v>
      </c>
      <c r="C4684" t="s">
        <v>43</v>
      </c>
      <c r="D4684" t="s">
        <v>14</v>
      </c>
      <c r="E4684" t="e">
        <f>VLOOKUP(Cpi_[[#This Row],[Attribute]],#REF!,2,FALSE)</f>
        <v>#REF!</v>
      </c>
      <c r="F4684">
        <v>148.1</v>
      </c>
      <c r="G4684">
        <f>(Cpi_[[#This Row],[Value]]-F4683)/F4683</f>
        <v>0.15073815073815081</v>
      </c>
      <c r="H4684" t="e" cm="1" vm="1">
        <f t="array" aca="1" ref="H4684" ca="1">VLOOKUP(Cpi_[[#This Row],[Year]:[Month]],crudeoil[],3,FALSE)</f>
        <v>#VALUE!</v>
      </c>
    </row>
    <row r="4685" spans="1:8" hidden="1" x14ac:dyDescent="0.3">
      <c r="A4685" t="s">
        <v>34</v>
      </c>
      <c r="B4685">
        <v>2017</v>
      </c>
      <c r="C4685" t="s">
        <v>43</v>
      </c>
      <c r="D4685" t="s">
        <v>15</v>
      </c>
      <c r="E4685" t="e">
        <f>VLOOKUP(Cpi_[[#This Row],[Attribute]],#REF!,2,FALSE)</f>
        <v>#REF!</v>
      </c>
      <c r="F4685">
        <v>140.1</v>
      </c>
      <c r="G4685">
        <f>(Cpi_[[#This Row],[Value]]-F4684)/F4684</f>
        <v>-5.4017555705604327E-2</v>
      </c>
      <c r="H4685" t="e" cm="1" vm="1">
        <f t="array" aca="1" ref="H4685" ca="1">VLOOKUP(Cpi_[[#This Row],[Year]:[Month]],crudeoil[],3,FALSE)</f>
        <v>#VALUE!</v>
      </c>
    </row>
    <row r="4686" spans="1:8" hidden="1" x14ac:dyDescent="0.3">
      <c r="A4686" t="s">
        <v>34</v>
      </c>
      <c r="B4686">
        <v>2017</v>
      </c>
      <c r="C4686" t="s">
        <v>43</v>
      </c>
      <c r="D4686" t="s">
        <v>16</v>
      </c>
      <c r="E4686" t="e">
        <f>VLOOKUP(Cpi_[[#This Row],[Attribute]],#REF!,2,FALSE)</f>
        <v>#REF!</v>
      </c>
      <c r="F4686">
        <v>151.6</v>
      </c>
      <c r="G4686">
        <f>(Cpi_[[#This Row],[Value]]-F4685)/F4685</f>
        <v>8.2084225553176307E-2</v>
      </c>
      <c r="H4686" t="e" cm="1" vm="1">
        <f t="array" aca="1" ref="H4686" ca="1">VLOOKUP(Cpi_[[#This Row],[Year]:[Month]],crudeoil[],3,FALSE)</f>
        <v>#VALUE!</v>
      </c>
    </row>
    <row r="4687" spans="1:8" hidden="1" x14ac:dyDescent="0.3">
      <c r="A4687" t="s">
        <v>34</v>
      </c>
      <c r="B4687">
        <v>2017</v>
      </c>
      <c r="C4687" t="s">
        <v>43</v>
      </c>
      <c r="D4687" t="s">
        <v>17</v>
      </c>
      <c r="E4687" t="e">
        <f>VLOOKUP(Cpi_[[#This Row],[Attribute]],#REF!,2,FALSE)</f>
        <v>#REF!</v>
      </c>
      <c r="F4687">
        <v>142</v>
      </c>
      <c r="G4687">
        <f>(Cpi_[[#This Row],[Value]]-F4686)/F4686</f>
        <v>-6.3324538258575161E-2</v>
      </c>
      <c r="H4687" t="e" cm="1" vm="1">
        <f t="array" aca="1" ref="H4687" ca="1">VLOOKUP(Cpi_[[#This Row],[Year]:[Month]],crudeoil[],3,FALSE)</f>
        <v>#VALUE!</v>
      </c>
    </row>
    <row r="4688" spans="1:8" hidden="1" x14ac:dyDescent="0.3">
      <c r="A4688" t="s">
        <v>34</v>
      </c>
      <c r="B4688">
        <v>2017</v>
      </c>
      <c r="C4688" t="s">
        <v>43</v>
      </c>
      <c r="D4688" t="s">
        <v>18</v>
      </c>
      <c r="E4688" t="e">
        <f>VLOOKUP(Cpi_[[#This Row],[Attribute]],#REF!,2,FALSE)</f>
        <v>#REF!</v>
      </c>
      <c r="F4688">
        <v>134.1</v>
      </c>
      <c r="G4688">
        <f>(Cpi_[[#This Row],[Value]]-F4687)/F4687</f>
        <v>-5.5633802816901445E-2</v>
      </c>
      <c r="H4688" t="e" cm="1" vm="1">
        <f t="array" aca="1" ref="H4688" ca="1">VLOOKUP(Cpi_[[#This Row],[Year]:[Month]],crudeoil[],3,FALSE)</f>
        <v>#VALUE!</v>
      </c>
    </row>
    <row r="4689" spans="1:8" hidden="1" x14ac:dyDescent="0.3">
      <c r="A4689" t="s">
        <v>34</v>
      </c>
      <c r="B4689">
        <v>2017</v>
      </c>
      <c r="C4689" t="s">
        <v>43</v>
      </c>
      <c r="D4689" t="s">
        <v>19</v>
      </c>
      <c r="E4689" t="e">
        <f>VLOOKUP(Cpi_[[#This Row],[Attribute]],#REF!,2,FALSE)</f>
        <v>#REF!</v>
      </c>
      <c r="F4689">
        <v>140.80000000000001</v>
      </c>
      <c r="G4689">
        <f>(Cpi_[[#This Row],[Value]]-F4688)/F4688</f>
        <v>4.9962714392244721E-2</v>
      </c>
      <c r="H4689" t="e" cm="1" vm="1">
        <f t="array" aca="1" ref="H4689" ca="1">VLOOKUP(Cpi_[[#This Row],[Year]:[Month]],crudeoil[],3,FALSE)</f>
        <v>#VALUE!</v>
      </c>
    </row>
    <row r="4690" spans="1:8" hidden="1" x14ac:dyDescent="0.3">
      <c r="A4690" t="s">
        <v>34</v>
      </c>
      <c r="B4690">
        <v>2017</v>
      </c>
      <c r="C4690" t="s">
        <v>43</v>
      </c>
      <c r="D4690" t="s">
        <v>20</v>
      </c>
      <c r="E4690" t="e">
        <f>VLOOKUP(Cpi_[[#This Row],[Attribute]],#REF!,2,FALSE)</f>
        <v>#REF!</v>
      </c>
      <c r="F4690">
        <v>137.30000000000001</v>
      </c>
      <c r="G4690">
        <f>(Cpi_[[#This Row],[Value]]-F4689)/F4689</f>
        <v>-2.4857954545454544E-2</v>
      </c>
      <c r="H4690" t="e" cm="1" vm="1">
        <f t="array" aca="1" ref="H4690" ca="1">VLOOKUP(Cpi_[[#This Row],[Year]:[Month]],crudeoil[],3,FALSE)</f>
        <v>#VALUE!</v>
      </c>
    </row>
    <row r="4691" spans="1:8" hidden="1" x14ac:dyDescent="0.3">
      <c r="A4691" t="s">
        <v>34</v>
      </c>
      <c r="B4691">
        <v>2017</v>
      </c>
      <c r="C4691" t="s">
        <v>43</v>
      </c>
      <c r="D4691" t="s">
        <v>21</v>
      </c>
      <c r="E4691" t="e">
        <f>VLOOKUP(Cpi_[[#This Row],[Attribute]],#REF!,2,FALSE)</f>
        <v>#REF!</v>
      </c>
      <c r="F4691">
        <v>132.19999999999999</v>
      </c>
      <c r="G4691">
        <f>(Cpi_[[#This Row],[Value]]-F4690)/F4690</f>
        <v>-3.7144938091770011E-2</v>
      </c>
      <c r="H4691" t="e" cm="1" vm="1">
        <f t="array" aca="1" ref="H4691" ca="1">VLOOKUP(Cpi_[[#This Row],[Year]:[Month]],crudeoil[],3,FALSE)</f>
        <v>#VALUE!</v>
      </c>
    </row>
    <row r="4692" spans="1:8" hidden="1" x14ac:dyDescent="0.3">
      <c r="A4692" t="s">
        <v>34</v>
      </c>
      <c r="B4692">
        <v>2017</v>
      </c>
      <c r="C4692" t="s">
        <v>43</v>
      </c>
      <c r="D4692" t="s">
        <v>22</v>
      </c>
      <c r="E4692" t="e">
        <f>VLOOKUP(Cpi_[[#This Row],[Attribute]],#REF!,2,FALSE)</f>
        <v>#REF!</v>
      </c>
      <c r="F4692">
        <v>133.6</v>
      </c>
      <c r="G4692">
        <f>(Cpi_[[#This Row],[Value]]-F4691)/F4691</f>
        <v>1.0590015128593085E-2</v>
      </c>
      <c r="H4692" t="e" cm="1" vm="1">
        <f t="array" aca="1" ref="H4692" ca="1">VLOOKUP(Cpi_[[#This Row],[Year]:[Month]],crudeoil[],3,FALSE)</f>
        <v>#VALUE!</v>
      </c>
    </row>
    <row r="4693" spans="1:8" hidden="1" x14ac:dyDescent="0.3">
      <c r="A4693" t="s">
        <v>34</v>
      </c>
      <c r="B4693">
        <v>2017</v>
      </c>
      <c r="C4693" t="s">
        <v>43</v>
      </c>
      <c r="D4693" t="s">
        <v>23</v>
      </c>
      <c r="E4693" t="e">
        <f>VLOOKUP(Cpi_[[#This Row],[Attribute]],#REF!,2,FALSE)</f>
        <v>#REF!</v>
      </c>
      <c r="F4693">
        <v>131.30000000000001</v>
      </c>
      <c r="G4693">
        <f>(Cpi_[[#This Row],[Value]]-F4692)/F4692</f>
        <v>-1.7215568862275321E-2</v>
      </c>
      <c r="H4693" t="e" cm="1" vm="1">
        <f t="array" aca="1" ref="H4693" ca="1">VLOOKUP(Cpi_[[#This Row],[Year]:[Month]],crudeoil[],3,FALSE)</f>
        <v>#VALUE!</v>
      </c>
    </row>
    <row r="4694" spans="1:8" hidden="1" x14ac:dyDescent="0.3">
      <c r="A4694" t="s">
        <v>34</v>
      </c>
      <c r="B4694">
        <v>2017</v>
      </c>
      <c r="C4694" t="s">
        <v>43</v>
      </c>
      <c r="D4694" t="s">
        <v>24</v>
      </c>
      <c r="E4694" t="e">
        <f>VLOOKUP(Cpi_[[#This Row],[Attribute]],#REF!,2,FALSE)</f>
        <v>#REF!</v>
      </c>
      <c r="F4694">
        <v>117.8</v>
      </c>
      <c r="G4694">
        <f>(Cpi_[[#This Row],[Value]]-F4693)/F4693</f>
        <v>-0.10281797410510292</v>
      </c>
      <c r="H4694" t="e" cm="1" vm="1">
        <f t="array" aca="1" ref="H4694" ca="1">VLOOKUP(Cpi_[[#This Row],[Year]:[Month]],crudeoil[],3,FALSE)</f>
        <v>#VALUE!</v>
      </c>
    </row>
    <row r="4695" spans="1:8" hidden="1" x14ac:dyDescent="0.3">
      <c r="A4695" t="s">
        <v>34</v>
      </c>
      <c r="B4695">
        <v>2017</v>
      </c>
      <c r="C4695" t="s">
        <v>43</v>
      </c>
      <c r="D4695" t="s">
        <v>25</v>
      </c>
      <c r="E4695" t="e">
        <f>VLOOKUP(Cpi_[[#This Row],[Attribute]],#REF!,2,FALSE)</f>
        <v>#REF!</v>
      </c>
      <c r="F4695">
        <v>128.4</v>
      </c>
      <c r="G4695">
        <f>(Cpi_[[#This Row],[Value]]-F4694)/F4694</f>
        <v>8.9983022071307373E-2</v>
      </c>
      <c r="H4695" t="e" cm="1" vm="1">
        <f t="array" aca="1" ref="H4695" ca="1">VLOOKUP(Cpi_[[#This Row],[Year]:[Month]],crudeoil[],3,FALSE)</f>
        <v>#VALUE!</v>
      </c>
    </row>
    <row r="4696" spans="1:8" hidden="1" x14ac:dyDescent="0.3">
      <c r="A4696" t="s">
        <v>34</v>
      </c>
      <c r="B4696">
        <v>2017</v>
      </c>
      <c r="C4696" t="s">
        <v>43</v>
      </c>
      <c r="D4696" t="s">
        <v>26</v>
      </c>
      <c r="E4696" t="e">
        <f>VLOOKUP(Cpi_[[#This Row],[Attribute]],#REF!,2,FALSE)</f>
        <v>#REF!</v>
      </c>
      <c r="F4696">
        <v>137.9</v>
      </c>
      <c r="G4696">
        <f>(Cpi_[[#This Row],[Value]]-F4695)/F4695</f>
        <v>7.3987538940809963E-2</v>
      </c>
      <c r="H4696" t="e" cm="1" vm="1">
        <f t="array" aca="1" ref="H4696" ca="1">VLOOKUP(Cpi_[[#This Row],[Year]:[Month]],crudeoil[],3,FALSE)</f>
        <v>#VALUE!</v>
      </c>
    </row>
    <row r="4697" spans="1:8" hidden="1" x14ac:dyDescent="0.3">
      <c r="A4697" t="s">
        <v>34</v>
      </c>
      <c r="B4697">
        <v>2017</v>
      </c>
      <c r="C4697" t="s">
        <v>43</v>
      </c>
      <c r="D4697" t="s">
        <v>27</v>
      </c>
      <c r="E4697" t="e">
        <f>VLOOKUP(Cpi_[[#This Row],[Attribute]],#REF!,2,FALSE)</f>
        <v>#REF!</v>
      </c>
      <c r="F4697">
        <v>126.2</v>
      </c>
      <c r="G4697">
        <f>(Cpi_[[#This Row],[Value]]-F4696)/F4696</f>
        <v>-8.4844089920232069E-2</v>
      </c>
      <c r="H4697" t="e" cm="1" vm="1">
        <f t="array" aca="1" ref="H4697" ca="1">VLOOKUP(Cpi_[[#This Row],[Year]:[Month]],crudeoil[],3,FALSE)</f>
        <v>#VALUE!</v>
      </c>
    </row>
    <row r="4698" spans="1:8" hidden="1" x14ac:dyDescent="0.3">
      <c r="A4698" t="s">
        <v>34</v>
      </c>
      <c r="B4698">
        <v>2017</v>
      </c>
      <c r="C4698" t="s">
        <v>43</v>
      </c>
      <c r="D4698" t="s">
        <v>28</v>
      </c>
      <c r="E4698" t="e">
        <f>VLOOKUP(Cpi_[[#This Row],[Attribute]],#REF!,2,FALSE)</f>
        <v>#REF!</v>
      </c>
      <c r="F4698">
        <v>127.7</v>
      </c>
      <c r="G4698">
        <f>(Cpi_[[#This Row],[Value]]-F4697)/F4697</f>
        <v>1.1885895404120444E-2</v>
      </c>
      <c r="H4698" t="e" cm="1" vm="1">
        <f t="array" aca="1" ref="H4698" ca="1">VLOOKUP(Cpi_[[#This Row],[Year]:[Month]],crudeoil[],3,FALSE)</f>
        <v>#VALUE!</v>
      </c>
    </row>
    <row r="4699" spans="1:8" hidden="1" x14ac:dyDescent="0.3">
      <c r="A4699" t="s">
        <v>34</v>
      </c>
      <c r="B4699">
        <v>2017</v>
      </c>
      <c r="C4699" t="s">
        <v>43</v>
      </c>
      <c r="D4699" t="s">
        <v>29</v>
      </c>
      <c r="E4699" t="e" cm="1">
        <f t="array" aca="1" ref="E4699" ca="1">VLGeneral indexGeneral indexKUP(Cpi_[[#This Row],[Attribute]],#REF!,2,FALSE)</f>
        <v>#NAME?</v>
      </c>
      <c r="F4699">
        <v>136.1</v>
      </c>
      <c r="G4699">
        <f>(Cpi_[[#This Row],[Value]]-F4698)/F4698</f>
        <v>6.5779169929522249E-2</v>
      </c>
      <c r="H4699" t="e" cm="1" vm="1">
        <f t="array" aca="1" ref="H4699" ca="1">VLOOKUP(Cpi_[[#This Row],[Year]:[Month]],crudeoil[],3,FALSE)</f>
        <v>#VALUE!</v>
      </c>
    </row>
    <row r="4700" spans="1:8" hidden="1" x14ac:dyDescent="0.3">
      <c r="A4700" t="s">
        <v>30</v>
      </c>
      <c r="B4700">
        <v>2017</v>
      </c>
      <c r="C4700" t="s">
        <v>45</v>
      </c>
      <c r="D4700" t="s">
        <v>3</v>
      </c>
      <c r="E4700" t="e">
        <f>VLOOKUP(Cpi_[[#This Row],[Attribute]],#REF!,2,FALSE)</f>
        <v>#REF!</v>
      </c>
      <c r="F4700">
        <v>136.30000000000001</v>
      </c>
      <c r="G4700">
        <f>(Cpi_[[#This Row],[Value]]-F4699)/F4699</f>
        <v>1.4695077149156288E-3</v>
      </c>
      <c r="H4700" t="e" cm="1" vm="1">
        <f t="array" aca="1" ref="H4700" ca="1">VLOOKUP(Cpi_[[#This Row],[Year]:[Month]],crudeoil[],3,FALSE)</f>
        <v>#VALUE!</v>
      </c>
    </row>
    <row r="4701" spans="1:8" hidden="1" x14ac:dyDescent="0.3">
      <c r="A4701" t="s">
        <v>30</v>
      </c>
      <c r="B4701">
        <v>2017</v>
      </c>
      <c r="C4701" t="s">
        <v>45</v>
      </c>
      <c r="D4701" t="s">
        <v>4</v>
      </c>
      <c r="E4701" t="e">
        <f>VLOOKUP(Cpi_[[#This Row],[Attribute]],#REF!,2,FALSE)</f>
        <v>#REF!</v>
      </c>
      <c r="F4701">
        <v>142.5</v>
      </c>
      <c r="G4701">
        <f>(Cpi_[[#This Row],[Value]]-F4700)/F4700</f>
        <v>4.5487894350696903E-2</v>
      </c>
      <c r="H4701" t="e" cm="1" vm="1">
        <f t="array" aca="1" ref="H4701" ca="1">VLOOKUP(Cpi_[[#This Row],[Year]:[Month]],crudeoil[],3,FALSE)</f>
        <v>#VALUE!</v>
      </c>
    </row>
    <row r="4702" spans="1:8" hidden="1" x14ac:dyDescent="0.3">
      <c r="A4702" t="s">
        <v>30</v>
      </c>
      <c r="B4702">
        <v>2017</v>
      </c>
      <c r="C4702" t="s">
        <v>45</v>
      </c>
      <c r="D4702" t="s">
        <v>5</v>
      </c>
      <c r="E4702" t="e">
        <f>VLOOKUP(Cpi_[[#This Row],[Attribute]],#REF!,2,FALSE)</f>
        <v>#REF!</v>
      </c>
      <c r="F4702">
        <v>140.5</v>
      </c>
      <c r="G4702">
        <f>(Cpi_[[#This Row],[Value]]-F4701)/F4701</f>
        <v>-1.4035087719298246E-2</v>
      </c>
      <c r="H4702" t="e" cm="1" vm="1">
        <f t="array" aca="1" ref="H4702" ca="1">VLOOKUP(Cpi_[[#This Row],[Year]:[Month]],crudeoil[],3,FALSE)</f>
        <v>#VALUE!</v>
      </c>
    </row>
    <row r="4703" spans="1:8" hidden="1" x14ac:dyDescent="0.3">
      <c r="A4703" t="s">
        <v>30</v>
      </c>
      <c r="B4703">
        <v>2017</v>
      </c>
      <c r="C4703" t="s">
        <v>45</v>
      </c>
      <c r="D4703" t="s">
        <v>6</v>
      </c>
      <c r="E4703" t="e">
        <f>VLOOKUP(Cpi_[[#This Row],[Attribute]],#REF!,2,FALSE)</f>
        <v>#REF!</v>
      </c>
      <c r="F4703">
        <v>141.5</v>
      </c>
      <c r="G4703">
        <f>(Cpi_[[#This Row],[Value]]-F4702)/F4702</f>
        <v>7.1174377224199285E-3</v>
      </c>
      <c r="H4703" t="e" cm="1" vm="1">
        <f t="array" aca="1" ref="H4703" ca="1">VLOOKUP(Cpi_[[#This Row],[Year]:[Month]],crudeoil[],3,FALSE)</f>
        <v>#VALUE!</v>
      </c>
    </row>
    <row r="4704" spans="1:8" hidden="1" x14ac:dyDescent="0.3">
      <c r="A4704" t="s">
        <v>30</v>
      </c>
      <c r="B4704">
        <v>2017</v>
      </c>
      <c r="C4704" t="s">
        <v>45</v>
      </c>
      <c r="D4704" t="s">
        <v>7</v>
      </c>
      <c r="E4704" t="e">
        <f>VLOOKUP(Cpi_[[#This Row],[Attribute]],#REF!,2,FALSE)</f>
        <v>#REF!</v>
      </c>
      <c r="F4704">
        <v>121.6</v>
      </c>
      <c r="G4704">
        <f>(Cpi_[[#This Row],[Value]]-F4703)/F4703</f>
        <v>-0.1406360424028269</v>
      </c>
      <c r="H4704" t="e" cm="1" vm="1">
        <f t="array" aca="1" ref="H4704" ca="1">VLOOKUP(Cpi_[[#This Row],[Year]:[Month]],crudeoil[],3,FALSE)</f>
        <v>#VALUE!</v>
      </c>
    </row>
    <row r="4705" spans="1:8" hidden="1" x14ac:dyDescent="0.3">
      <c r="A4705" t="s">
        <v>30</v>
      </c>
      <c r="B4705">
        <v>2017</v>
      </c>
      <c r="C4705" t="s">
        <v>45</v>
      </c>
      <c r="D4705" t="s">
        <v>8</v>
      </c>
      <c r="E4705" t="e">
        <f>VLOOKUP(Cpi_[[#This Row],[Attribute]],#REF!,2,FALSE)</f>
        <v>#REF!</v>
      </c>
      <c r="F4705">
        <v>147.30000000000001</v>
      </c>
      <c r="G4705">
        <f>(Cpi_[[#This Row],[Value]]-F4704)/F4704</f>
        <v>0.21134868421052647</v>
      </c>
      <c r="H4705" t="e" cm="1" vm="1">
        <f t="array" aca="1" ref="H4705" ca="1">VLOOKUP(Cpi_[[#This Row],[Year]:[Month]],crudeoil[],3,FALSE)</f>
        <v>#VALUE!</v>
      </c>
    </row>
    <row r="4706" spans="1:8" hidden="1" x14ac:dyDescent="0.3">
      <c r="A4706" t="s">
        <v>30</v>
      </c>
      <c r="B4706">
        <v>2017</v>
      </c>
      <c r="C4706" t="s">
        <v>45</v>
      </c>
      <c r="D4706" t="s">
        <v>9</v>
      </c>
      <c r="E4706" t="e">
        <f>VLOOKUP(Cpi_[[#This Row],[Attribute]],#REF!,2,FALSE)</f>
        <v>#REF!</v>
      </c>
      <c r="F4706">
        <v>168</v>
      </c>
      <c r="G4706">
        <f>(Cpi_[[#This Row],[Value]]-F4705)/F4705</f>
        <v>0.14052953156822801</v>
      </c>
      <c r="H4706" t="e" cm="1" vm="1">
        <f t="array" aca="1" ref="H4706" ca="1">VLOOKUP(Cpi_[[#This Row],[Year]:[Month]],crudeoil[],3,FALSE)</f>
        <v>#VALUE!</v>
      </c>
    </row>
    <row r="4707" spans="1:8" hidden="1" x14ac:dyDescent="0.3">
      <c r="A4707" t="s">
        <v>30</v>
      </c>
      <c r="B4707">
        <v>2017</v>
      </c>
      <c r="C4707" t="s">
        <v>45</v>
      </c>
      <c r="D4707" t="s">
        <v>10</v>
      </c>
      <c r="E4707" t="e">
        <f>VLOOKUP(Cpi_[[#This Row],[Attribute]],#REF!,2,FALSE)</f>
        <v>#REF!</v>
      </c>
      <c r="F4707">
        <v>135.80000000000001</v>
      </c>
      <c r="G4707">
        <f>(Cpi_[[#This Row],[Value]]-F4706)/F4706</f>
        <v>-0.1916666666666666</v>
      </c>
      <c r="H4707" t="e" cm="1" vm="1">
        <f t="array" aca="1" ref="H4707" ca="1">VLOOKUP(Cpi_[[#This Row],[Year]:[Month]],crudeoil[],3,FALSE)</f>
        <v>#VALUE!</v>
      </c>
    </row>
    <row r="4708" spans="1:8" hidden="1" x14ac:dyDescent="0.3">
      <c r="A4708" t="s">
        <v>30</v>
      </c>
      <c r="B4708">
        <v>2017</v>
      </c>
      <c r="C4708" t="s">
        <v>45</v>
      </c>
      <c r="D4708" t="s">
        <v>11</v>
      </c>
      <c r="E4708" t="e">
        <f>VLOOKUP(Cpi_[[#This Row],[Attribute]],#REF!,2,FALSE)</f>
        <v>#REF!</v>
      </c>
      <c r="F4708">
        <v>122.5</v>
      </c>
      <c r="G4708">
        <f>(Cpi_[[#This Row],[Value]]-F4707)/F4707</f>
        <v>-9.7938144329896989E-2</v>
      </c>
      <c r="H4708" t="e" cm="1" vm="1">
        <f t="array" aca="1" ref="H4708" ca="1">VLOOKUP(Cpi_[[#This Row],[Year]:[Month]],crudeoil[],3,FALSE)</f>
        <v>#VALUE!</v>
      </c>
    </row>
    <row r="4709" spans="1:8" hidden="1" x14ac:dyDescent="0.3">
      <c r="A4709" t="s">
        <v>30</v>
      </c>
      <c r="B4709">
        <v>2017</v>
      </c>
      <c r="C4709" t="s">
        <v>45</v>
      </c>
      <c r="D4709" t="s">
        <v>12</v>
      </c>
      <c r="E4709" t="e">
        <f>VLOOKUP(Cpi_[[#This Row],[Attribute]],#REF!,2,FALSE)</f>
        <v>#REF!</v>
      </c>
      <c r="F4709">
        <v>136</v>
      </c>
      <c r="G4709">
        <f>(Cpi_[[#This Row],[Value]]-F4708)/F4708</f>
        <v>0.11020408163265306</v>
      </c>
      <c r="H4709" t="e" cm="1" vm="1">
        <f t="array" aca="1" ref="H4709" ca="1">VLOOKUP(Cpi_[[#This Row],[Year]:[Month]],crudeoil[],3,FALSE)</f>
        <v>#VALUE!</v>
      </c>
    </row>
    <row r="4710" spans="1:8" hidden="1" x14ac:dyDescent="0.3">
      <c r="A4710" t="s">
        <v>30</v>
      </c>
      <c r="B4710">
        <v>2017</v>
      </c>
      <c r="C4710" t="s">
        <v>45</v>
      </c>
      <c r="D4710" t="s">
        <v>13</v>
      </c>
      <c r="E4710" t="e">
        <f>VLOOKUP(Cpi_[[#This Row],[Attribute]],#REF!,2,FALSE)</f>
        <v>#REF!</v>
      </c>
      <c r="F4710">
        <v>131.9</v>
      </c>
      <c r="G4710">
        <f>(Cpi_[[#This Row],[Value]]-F4709)/F4709</f>
        <v>-3.0147058823529371E-2</v>
      </c>
      <c r="H4710" t="e" cm="1" vm="1">
        <f t="array" aca="1" ref="H4710" ca="1">VLOOKUP(Cpi_[[#This Row],[Year]:[Month]],crudeoil[],3,FALSE)</f>
        <v>#VALUE!</v>
      </c>
    </row>
    <row r="4711" spans="1:8" hidden="1" x14ac:dyDescent="0.3">
      <c r="A4711" t="s">
        <v>30</v>
      </c>
      <c r="B4711">
        <v>2017</v>
      </c>
      <c r="C4711" t="s">
        <v>45</v>
      </c>
      <c r="D4711" t="s">
        <v>14</v>
      </c>
      <c r="E4711" t="e">
        <f>VLOOKUP(Cpi_[[#This Row],[Attribute]],#REF!,2,FALSE)</f>
        <v>#REF!</v>
      </c>
      <c r="F4711">
        <v>151.4</v>
      </c>
      <c r="G4711">
        <f>(Cpi_[[#This Row],[Value]]-F4710)/F4710</f>
        <v>0.14783927217589082</v>
      </c>
      <c r="H4711" t="e" cm="1" vm="1">
        <f t="array" aca="1" ref="H4711" ca="1">VLOOKUP(Cpi_[[#This Row],[Year]:[Month]],crudeoil[],3,FALSE)</f>
        <v>#VALUE!</v>
      </c>
    </row>
    <row r="4712" spans="1:8" hidden="1" x14ac:dyDescent="0.3">
      <c r="A4712" t="s">
        <v>30</v>
      </c>
      <c r="B4712">
        <v>2017</v>
      </c>
      <c r="C4712" t="s">
        <v>45</v>
      </c>
      <c r="D4712" t="s">
        <v>15</v>
      </c>
      <c r="E4712" t="e">
        <f>VLOOKUP(Cpi_[[#This Row],[Attribute]],#REF!,2,FALSE)</f>
        <v>#REF!</v>
      </c>
      <c r="F4712">
        <v>142.4</v>
      </c>
      <c r="G4712">
        <f>(Cpi_[[#This Row],[Value]]-F4711)/F4711</f>
        <v>-5.9445178335535004E-2</v>
      </c>
      <c r="H4712" t="e" cm="1" vm="1">
        <f t="array" aca="1" ref="H4712" ca="1">VLOOKUP(Cpi_[[#This Row],[Year]:[Month]],crudeoil[],3,FALSE)</f>
        <v>#VALUE!</v>
      </c>
    </row>
    <row r="4713" spans="1:8" hidden="1" x14ac:dyDescent="0.3">
      <c r="A4713" t="s">
        <v>30</v>
      </c>
      <c r="B4713">
        <v>2017</v>
      </c>
      <c r="C4713" t="s">
        <v>45</v>
      </c>
      <c r="D4713" t="s">
        <v>16</v>
      </c>
      <c r="E4713" t="e">
        <f>VLOOKUP(Cpi_[[#This Row],[Attribute]],#REF!,2,FALSE)</f>
        <v>#REF!</v>
      </c>
      <c r="F4713">
        <v>152.1</v>
      </c>
      <c r="G4713">
        <f>(Cpi_[[#This Row],[Value]]-F4712)/F4712</f>
        <v>6.8117977528089804E-2</v>
      </c>
      <c r="H4713" t="e" cm="1" vm="1">
        <f t="array" aca="1" ref="H4713" ca="1">VLOOKUP(Cpi_[[#This Row],[Year]:[Month]],crudeoil[],3,FALSE)</f>
        <v>#VALUE!</v>
      </c>
    </row>
    <row r="4714" spans="1:8" hidden="1" x14ac:dyDescent="0.3">
      <c r="A4714" t="s">
        <v>30</v>
      </c>
      <c r="B4714">
        <v>2017</v>
      </c>
      <c r="C4714" t="s">
        <v>45</v>
      </c>
      <c r="D4714" t="s">
        <v>17</v>
      </c>
      <c r="E4714" t="e">
        <f>VLOOKUP(Cpi_[[#This Row],[Attribute]],#REF!,2,FALSE)</f>
        <v>#REF!</v>
      </c>
      <c r="F4714">
        <v>148.19999999999999</v>
      </c>
      <c r="G4714">
        <f>(Cpi_[[#This Row],[Value]]-F4713)/F4713</f>
        <v>-2.5641025641025678E-2</v>
      </c>
      <c r="H4714" t="e" cm="1" vm="1">
        <f t="array" aca="1" ref="H4714" ca="1">VLOOKUP(Cpi_[[#This Row],[Year]:[Month]],crudeoil[],3,FALSE)</f>
        <v>#VALUE!</v>
      </c>
    </row>
    <row r="4715" spans="1:8" hidden="1" x14ac:dyDescent="0.3">
      <c r="A4715" t="s">
        <v>30</v>
      </c>
      <c r="B4715">
        <v>2017</v>
      </c>
      <c r="C4715" t="s">
        <v>45</v>
      </c>
      <c r="D4715" t="s">
        <v>18</v>
      </c>
      <c r="E4715" t="e">
        <f>VLOOKUP(Cpi_[[#This Row],[Attribute]],#REF!,2,FALSE)</f>
        <v>#REF!</v>
      </c>
      <c r="F4715">
        <v>141.5</v>
      </c>
      <c r="G4715">
        <f>(Cpi_[[#This Row],[Value]]-F4714)/F4714</f>
        <v>-4.5209176788124084E-2</v>
      </c>
      <c r="H4715" t="e" cm="1" vm="1">
        <f t="array" aca="1" ref="H4715" ca="1">VLOOKUP(Cpi_[[#This Row],[Year]:[Month]],crudeoil[],3,FALSE)</f>
        <v>#VALUE!</v>
      </c>
    </row>
    <row r="4716" spans="1:8" hidden="1" x14ac:dyDescent="0.3">
      <c r="A4716" t="s">
        <v>30</v>
      </c>
      <c r="B4716">
        <v>2017</v>
      </c>
      <c r="C4716" t="s">
        <v>45</v>
      </c>
      <c r="D4716" t="s">
        <v>19</v>
      </c>
      <c r="E4716" t="e">
        <f>VLOOKUP(Cpi_[[#This Row],[Attribute]],#REF!,2,FALSE)</f>
        <v>#REF!</v>
      </c>
      <c r="F4716">
        <v>147.30000000000001</v>
      </c>
      <c r="G4716">
        <f>(Cpi_[[#This Row],[Value]]-F4715)/F4715</f>
        <v>4.0989399293286301E-2</v>
      </c>
      <c r="H4716" t="e" cm="1" vm="1">
        <f t="array" aca="1" ref="H4716" ca="1">VLOOKUP(Cpi_[[#This Row],[Year]:[Month]],crudeoil[],3,FALSE)</f>
        <v>#VALUE!</v>
      </c>
    </row>
    <row r="4717" spans="1:8" hidden="1" x14ac:dyDescent="0.3">
      <c r="A4717" t="s">
        <v>30</v>
      </c>
      <c r="B4717">
        <v>2017</v>
      </c>
      <c r="C4717" t="s">
        <v>45</v>
      </c>
      <c r="D4717" t="s">
        <v>20</v>
      </c>
      <c r="E4717" t="e">
        <f>VLOOKUP(Cpi_[[#This Row],[Attribute]],#REF!,2,FALSE)</f>
        <v>#REF!</v>
      </c>
      <c r="F4717" t="s">
        <v>32</v>
      </c>
      <c r="G4717" t="e">
        <f>(Cpi_[[#This Row],[Value]]-F4716)/F4716</f>
        <v>#VALUE!</v>
      </c>
      <c r="H4717" t="e" cm="1" vm="1">
        <f t="array" aca="1" ref="H4717" ca="1">VLOOKUP(Cpi_[[#This Row],[Year]:[Month]],crudeoil[],3,FALSE)</f>
        <v>#VALUE!</v>
      </c>
    </row>
    <row r="4718" spans="1:8" hidden="1" x14ac:dyDescent="0.3">
      <c r="A4718" t="s">
        <v>30</v>
      </c>
      <c r="B4718">
        <v>2017</v>
      </c>
      <c r="C4718" t="s">
        <v>45</v>
      </c>
      <c r="D4718" t="s">
        <v>21</v>
      </c>
      <c r="E4718" t="e">
        <f>VLOOKUP(Cpi_[[#This Row],[Attribute]],#REF!,2,FALSE)</f>
        <v>#REF!</v>
      </c>
      <c r="F4718">
        <v>141.1</v>
      </c>
      <c r="G4718" t="e">
        <f>(Cpi_[[#This Row],[Value]]-F4717)/F4717</f>
        <v>#VALUE!</v>
      </c>
      <c r="H4718" t="e" cm="1" vm="1">
        <f t="array" aca="1" ref="H4718" ca="1">VLOOKUP(Cpi_[[#This Row],[Year]:[Month]],crudeoil[],3,FALSE)</f>
        <v>#VALUE!</v>
      </c>
    </row>
    <row r="4719" spans="1:8" hidden="1" x14ac:dyDescent="0.3">
      <c r="A4719" t="s">
        <v>30</v>
      </c>
      <c r="B4719">
        <v>2017</v>
      </c>
      <c r="C4719" t="s">
        <v>45</v>
      </c>
      <c r="D4719" t="s">
        <v>22</v>
      </c>
      <c r="E4719" t="e">
        <f>VLOOKUP(Cpi_[[#This Row],[Attribute]],#REF!,2,FALSE)</f>
        <v>#REF!</v>
      </c>
      <c r="F4719">
        <v>139.4</v>
      </c>
      <c r="G4719">
        <f>(Cpi_[[#This Row],[Value]]-F4718)/F4718</f>
        <v>-1.2048192771084256E-2</v>
      </c>
      <c r="H4719" t="e" cm="1" vm="1">
        <f t="array" aca="1" ref="H4719" ca="1">VLOOKUP(Cpi_[[#This Row],[Year]:[Month]],crudeoil[],3,FALSE)</f>
        <v>#VALUE!</v>
      </c>
    </row>
    <row r="4720" spans="1:8" hidden="1" x14ac:dyDescent="0.3">
      <c r="A4720" t="s">
        <v>30</v>
      </c>
      <c r="B4720">
        <v>2017</v>
      </c>
      <c r="C4720" t="s">
        <v>45</v>
      </c>
      <c r="D4720" t="s">
        <v>23</v>
      </c>
      <c r="E4720" t="e">
        <f>VLOOKUP(Cpi_[[#This Row],[Attribute]],#REF!,2,FALSE)</f>
        <v>#REF!</v>
      </c>
      <c r="F4720">
        <v>135.80000000000001</v>
      </c>
      <c r="G4720">
        <f>(Cpi_[[#This Row],[Value]]-F4719)/F4719</f>
        <v>-2.582496413199422E-2</v>
      </c>
      <c r="H4720" t="e" cm="1" vm="1">
        <f t="array" aca="1" ref="H4720" ca="1">VLOOKUP(Cpi_[[#This Row],[Year]:[Month]],crudeoil[],3,FALSE)</f>
        <v>#VALUE!</v>
      </c>
    </row>
    <row r="4721" spans="1:8" hidden="1" x14ac:dyDescent="0.3">
      <c r="A4721" t="s">
        <v>30</v>
      </c>
      <c r="B4721">
        <v>2017</v>
      </c>
      <c r="C4721" t="s">
        <v>45</v>
      </c>
      <c r="D4721" t="s">
        <v>24</v>
      </c>
      <c r="E4721" t="e">
        <f>VLOOKUP(Cpi_[[#This Row],[Attribute]],#REF!,2,FALSE)</f>
        <v>#REF!</v>
      </c>
      <c r="F4721">
        <v>121.6</v>
      </c>
      <c r="G4721">
        <f>(Cpi_[[#This Row],[Value]]-F4720)/F4720</f>
        <v>-0.10456553755522839</v>
      </c>
      <c r="H4721" t="e" cm="1" vm="1">
        <f t="array" aca="1" ref="H4721" ca="1">VLOOKUP(Cpi_[[#This Row],[Year]:[Month]],crudeoil[],3,FALSE)</f>
        <v>#VALUE!</v>
      </c>
    </row>
    <row r="4722" spans="1:8" hidden="1" x14ac:dyDescent="0.3">
      <c r="A4722" t="s">
        <v>30</v>
      </c>
      <c r="B4722">
        <v>2017</v>
      </c>
      <c r="C4722" t="s">
        <v>45</v>
      </c>
      <c r="D4722" t="s">
        <v>25</v>
      </c>
      <c r="E4722" t="e">
        <f>VLOOKUP(Cpi_[[#This Row],[Attribute]],#REF!,2,FALSE)</f>
        <v>#REF!</v>
      </c>
      <c r="F4722">
        <v>133.69999999999999</v>
      </c>
      <c r="G4722">
        <f>(Cpi_[[#This Row],[Value]]-F4721)/F4721</f>
        <v>9.9506578947368376E-2</v>
      </c>
      <c r="H4722" t="e" cm="1" vm="1">
        <f t="array" aca="1" ref="H4722" ca="1">VLOOKUP(Cpi_[[#This Row],[Year]:[Month]],crudeoil[],3,FALSE)</f>
        <v>#VALUE!</v>
      </c>
    </row>
    <row r="4723" spans="1:8" hidden="1" x14ac:dyDescent="0.3">
      <c r="A4723" t="s">
        <v>30</v>
      </c>
      <c r="B4723">
        <v>2017</v>
      </c>
      <c r="C4723" t="s">
        <v>45</v>
      </c>
      <c r="D4723" t="s">
        <v>26</v>
      </c>
      <c r="E4723" t="e">
        <f>VLOOKUP(Cpi_[[#This Row],[Attribute]],#REF!,2,FALSE)</f>
        <v>#REF!</v>
      </c>
      <c r="F4723">
        <v>141.5</v>
      </c>
      <c r="G4723">
        <f>(Cpi_[[#This Row],[Value]]-F4722)/F4722</f>
        <v>5.8339566192969428E-2</v>
      </c>
      <c r="H4723" t="e" cm="1" vm="1">
        <f t="array" aca="1" ref="H4723" ca="1">VLOOKUP(Cpi_[[#This Row],[Year]:[Month]],crudeoil[],3,FALSE)</f>
        <v>#VALUE!</v>
      </c>
    </row>
    <row r="4724" spans="1:8" hidden="1" x14ac:dyDescent="0.3">
      <c r="A4724" t="s">
        <v>30</v>
      </c>
      <c r="B4724">
        <v>2017</v>
      </c>
      <c r="C4724" t="s">
        <v>45</v>
      </c>
      <c r="D4724" t="s">
        <v>27</v>
      </c>
      <c r="E4724" t="e">
        <f>VLOOKUP(Cpi_[[#This Row],[Attribute]],#REF!,2,FALSE)</f>
        <v>#REF!</v>
      </c>
      <c r="F4724">
        <v>128.1</v>
      </c>
      <c r="G4724">
        <f>(Cpi_[[#This Row],[Value]]-F4723)/F4723</f>
        <v>-9.4699646643109578E-2</v>
      </c>
      <c r="H4724" t="e" cm="1" vm="1">
        <f t="array" aca="1" ref="H4724" ca="1">VLOOKUP(Cpi_[[#This Row],[Year]:[Month]],crudeoil[],3,FALSE)</f>
        <v>#VALUE!</v>
      </c>
    </row>
    <row r="4725" spans="1:8" hidden="1" x14ac:dyDescent="0.3">
      <c r="A4725" t="s">
        <v>30</v>
      </c>
      <c r="B4725">
        <v>2017</v>
      </c>
      <c r="C4725" t="s">
        <v>45</v>
      </c>
      <c r="D4725" t="s">
        <v>28</v>
      </c>
      <c r="E4725" t="e">
        <f>VLOOKUP(Cpi_[[#This Row],[Attribute]],#REF!,2,FALSE)</f>
        <v>#REF!</v>
      </c>
      <c r="F4725">
        <v>131.69999999999999</v>
      </c>
      <c r="G4725">
        <f>(Cpi_[[#This Row],[Value]]-F4724)/F4724</f>
        <v>2.8103044496487078E-2</v>
      </c>
      <c r="H4725" t="e" cm="1" vm="1">
        <f t="array" aca="1" ref="H4725" ca="1">VLOOKUP(Cpi_[[#This Row],[Year]:[Month]],crudeoil[],3,FALSE)</f>
        <v>#VALUE!</v>
      </c>
    </row>
    <row r="4726" spans="1:8" hidden="1" x14ac:dyDescent="0.3">
      <c r="A4726" t="s">
        <v>30</v>
      </c>
      <c r="B4726">
        <v>2017</v>
      </c>
      <c r="C4726" t="s">
        <v>45</v>
      </c>
      <c r="D4726" t="s">
        <v>29</v>
      </c>
      <c r="E4726" t="e" cm="1">
        <f t="array" aca="1" ref="E4726" ca="1">VLGeneral indexGeneral indexKUP(Cpi_[[#This Row],[Attribute]],#REF!,2,FALSE)</f>
        <v>#NAME?</v>
      </c>
      <c r="F4726">
        <v>140</v>
      </c>
      <c r="G4726">
        <f>(Cpi_[[#This Row],[Value]]-F4725)/F4725</f>
        <v>6.3022019741837604E-2</v>
      </c>
      <c r="H4726" t="e" cm="1" vm="1">
        <f t="array" aca="1" ref="H4726" ca="1">VLOOKUP(Cpi_[[#This Row],[Year]:[Month]],crudeoil[],3,FALSE)</f>
        <v>#VALUE!</v>
      </c>
    </row>
    <row r="4727" spans="1:8" hidden="1" x14ac:dyDescent="0.3">
      <c r="A4727" t="s">
        <v>33</v>
      </c>
      <c r="B4727">
        <v>2017</v>
      </c>
      <c r="C4727" t="s">
        <v>45</v>
      </c>
      <c r="D4727" t="s">
        <v>3</v>
      </c>
      <c r="E4727" t="e">
        <f>VLOOKUP(Cpi_[[#This Row],[Attribute]],#REF!,2,FALSE)</f>
        <v>#REF!</v>
      </c>
      <c r="F4727">
        <v>134.30000000000001</v>
      </c>
      <c r="G4727">
        <f>(Cpi_[[#This Row],[Value]]-F4726)/F4726</f>
        <v>-4.0714285714285633E-2</v>
      </c>
      <c r="H4727" t="e" cm="1" vm="1">
        <f t="array" aca="1" ref="H4727" ca="1">VLOOKUP(Cpi_[[#This Row],[Year]:[Month]],crudeoil[],3,FALSE)</f>
        <v>#VALUE!</v>
      </c>
    </row>
    <row r="4728" spans="1:8" hidden="1" x14ac:dyDescent="0.3">
      <c r="A4728" t="s">
        <v>33</v>
      </c>
      <c r="B4728">
        <v>2017</v>
      </c>
      <c r="C4728" t="s">
        <v>45</v>
      </c>
      <c r="D4728" t="s">
        <v>4</v>
      </c>
      <c r="E4728" t="e">
        <f>VLOOKUP(Cpi_[[#This Row],[Attribute]],#REF!,2,FALSE)</f>
        <v>#REF!</v>
      </c>
      <c r="F4728">
        <v>142.1</v>
      </c>
      <c r="G4728">
        <f>(Cpi_[[#This Row],[Value]]-F4727)/F4727</f>
        <v>5.8078927773640973E-2</v>
      </c>
      <c r="H4728" t="e" cm="1" vm="1">
        <f t="array" aca="1" ref="H4728" ca="1">VLOOKUP(Cpi_[[#This Row],[Year]:[Month]],crudeoil[],3,FALSE)</f>
        <v>#VALUE!</v>
      </c>
    </row>
    <row r="4729" spans="1:8" hidden="1" x14ac:dyDescent="0.3">
      <c r="A4729" t="s">
        <v>33</v>
      </c>
      <c r="B4729">
        <v>2017</v>
      </c>
      <c r="C4729" t="s">
        <v>45</v>
      </c>
      <c r="D4729" t="s">
        <v>5</v>
      </c>
      <c r="E4729" t="e">
        <f>VLOOKUP(Cpi_[[#This Row],[Attribute]],#REF!,2,FALSE)</f>
        <v>#REF!</v>
      </c>
      <c r="F4729">
        <v>146.69999999999999</v>
      </c>
      <c r="G4729">
        <f>(Cpi_[[#This Row],[Value]]-F4728)/F4728</f>
        <v>3.2371569317382089E-2</v>
      </c>
      <c r="H4729" t="e" cm="1" vm="1">
        <f t="array" aca="1" ref="H4729" ca="1">VLOOKUP(Cpi_[[#This Row],[Year]:[Month]],crudeoil[],3,FALSE)</f>
        <v>#VALUE!</v>
      </c>
    </row>
    <row r="4730" spans="1:8" hidden="1" x14ac:dyDescent="0.3">
      <c r="A4730" t="s">
        <v>33</v>
      </c>
      <c r="B4730">
        <v>2017</v>
      </c>
      <c r="C4730" t="s">
        <v>45</v>
      </c>
      <c r="D4730" t="s">
        <v>6</v>
      </c>
      <c r="E4730" t="e">
        <f>VLOOKUP(Cpi_[[#This Row],[Attribute]],#REF!,2,FALSE)</f>
        <v>#REF!</v>
      </c>
      <c r="F4730">
        <v>139.5</v>
      </c>
      <c r="G4730">
        <f>(Cpi_[[#This Row],[Value]]-F4729)/F4729</f>
        <v>-4.9079754601226919E-2</v>
      </c>
      <c r="H4730" t="e" cm="1" vm="1">
        <f t="array" aca="1" ref="H4730" ca="1">VLOOKUP(Cpi_[[#This Row],[Year]:[Month]],crudeoil[],3,FALSE)</f>
        <v>#VALUE!</v>
      </c>
    </row>
    <row r="4731" spans="1:8" hidden="1" x14ac:dyDescent="0.3">
      <c r="A4731" t="s">
        <v>33</v>
      </c>
      <c r="B4731">
        <v>2017</v>
      </c>
      <c r="C4731" t="s">
        <v>45</v>
      </c>
      <c r="D4731" t="s">
        <v>7</v>
      </c>
      <c r="E4731" t="e">
        <f>VLOOKUP(Cpi_[[#This Row],[Attribute]],#REF!,2,FALSE)</f>
        <v>#REF!</v>
      </c>
      <c r="F4731">
        <v>115.2</v>
      </c>
      <c r="G4731">
        <f>(Cpi_[[#This Row],[Value]]-F4730)/F4730</f>
        <v>-0.17419354838709675</v>
      </c>
      <c r="H4731" t="e" cm="1" vm="1">
        <f t="array" aca="1" ref="H4731" ca="1">VLOOKUP(Cpi_[[#This Row],[Year]:[Month]],crudeoil[],3,FALSE)</f>
        <v>#VALUE!</v>
      </c>
    </row>
    <row r="4732" spans="1:8" hidden="1" x14ac:dyDescent="0.3">
      <c r="A4732" t="s">
        <v>33</v>
      </c>
      <c r="B4732">
        <v>2017</v>
      </c>
      <c r="C4732" t="s">
        <v>45</v>
      </c>
      <c r="D4732" t="s">
        <v>8</v>
      </c>
      <c r="E4732" t="e">
        <f>VLOOKUP(Cpi_[[#This Row],[Attribute]],#REF!,2,FALSE)</f>
        <v>#REF!</v>
      </c>
      <c r="F4732">
        <v>136.4</v>
      </c>
      <c r="G4732">
        <f>(Cpi_[[#This Row],[Value]]-F4731)/F4731</f>
        <v>0.18402777777777779</v>
      </c>
      <c r="H4732" t="e" cm="1" vm="1">
        <f t="array" aca="1" ref="H4732" ca="1">VLOOKUP(Cpi_[[#This Row],[Year]:[Month]],crudeoil[],3,FALSE)</f>
        <v>#VALUE!</v>
      </c>
    </row>
    <row r="4733" spans="1:8" hidden="1" x14ac:dyDescent="0.3">
      <c r="A4733" t="s">
        <v>33</v>
      </c>
      <c r="B4733">
        <v>2017</v>
      </c>
      <c r="C4733" t="s">
        <v>45</v>
      </c>
      <c r="D4733" t="s">
        <v>9</v>
      </c>
      <c r="E4733" t="e">
        <f>VLOOKUP(Cpi_[[#This Row],[Attribute]],#REF!,2,FALSE)</f>
        <v>#REF!</v>
      </c>
      <c r="F4733">
        <v>185.2</v>
      </c>
      <c r="G4733">
        <f>(Cpi_[[#This Row],[Value]]-F4732)/F4732</f>
        <v>0.3577712609970673</v>
      </c>
      <c r="H4733" t="e" cm="1" vm="1">
        <f t="array" aca="1" ref="H4733" ca="1">VLOOKUP(Cpi_[[#This Row],[Year]:[Month]],crudeoil[],3,FALSE)</f>
        <v>#VALUE!</v>
      </c>
    </row>
    <row r="4734" spans="1:8" hidden="1" x14ac:dyDescent="0.3">
      <c r="A4734" t="s">
        <v>33</v>
      </c>
      <c r="B4734">
        <v>2017</v>
      </c>
      <c r="C4734" t="s">
        <v>45</v>
      </c>
      <c r="D4734" t="s">
        <v>10</v>
      </c>
      <c r="E4734" t="e">
        <f>VLOOKUP(Cpi_[[#This Row],[Attribute]],#REF!,2,FALSE)</f>
        <v>#REF!</v>
      </c>
      <c r="F4734">
        <v>122.2</v>
      </c>
      <c r="G4734">
        <f>(Cpi_[[#This Row],[Value]]-F4733)/F4733</f>
        <v>-0.34017278617710578</v>
      </c>
      <c r="H4734" t="e" cm="1" vm="1">
        <f t="array" aca="1" ref="H4734" ca="1">VLOOKUP(Cpi_[[#This Row],[Year]:[Month]],crudeoil[],3,FALSE)</f>
        <v>#VALUE!</v>
      </c>
    </row>
    <row r="4735" spans="1:8" hidden="1" x14ac:dyDescent="0.3">
      <c r="A4735" t="s">
        <v>33</v>
      </c>
      <c r="B4735">
        <v>2017</v>
      </c>
      <c r="C4735" t="s">
        <v>45</v>
      </c>
      <c r="D4735" t="s">
        <v>11</v>
      </c>
      <c r="E4735" t="e">
        <f>VLOOKUP(Cpi_[[#This Row],[Attribute]],#REF!,2,FALSE)</f>
        <v>#REF!</v>
      </c>
      <c r="F4735">
        <v>123.9</v>
      </c>
      <c r="G4735">
        <f>(Cpi_[[#This Row],[Value]]-F4734)/F4734</f>
        <v>1.3911620294599041E-2</v>
      </c>
      <c r="H4735" t="e" cm="1" vm="1">
        <f t="array" aca="1" ref="H4735" ca="1">VLOOKUP(Cpi_[[#This Row],[Year]:[Month]],crudeoil[],3,FALSE)</f>
        <v>#VALUE!</v>
      </c>
    </row>
    <row r="4736" spans="1:8" hidden="1" x14ac:dyDescent="0.3">
      <c r="A4736" t="s">
        <v>33</v>
      </c>
      <c r="B4736">
        <v>2017</v>
      </c>
      <c r="C4736" t="s">
        <v>45</v>
      </c>
      <c r="D4736" t="s">
        <v>12</v>
      </c>
      <c r="E4736" t="e">
        <f>VLOOKUP(Cpi_[[#This Row],[Attribute]],#REF!,2,FALSE)</f>
        <v>#REF!</v>
      </c>
      <c r="F4736">
        <v>138.30000000000001</v>
      </c>
      <c r="G4736">
        <f>(Cpi_[[#This Row],[Value]]-F4735)/F4735</f>
        <v>0.11622276029055695</v>
      </c>
      <c r="H4736" t="e" cm="1" vm="1">
        <f t="array" aca="1" ref="H4736" ca="1">VLOOKUP(Cpi_[[#This Row],[Year]:[Month]],crudeoil[],3,FALSE)</f>
        <v>#VALUE!</v>
      </c>
    </row>
    <row r="4737" spans="1:8" hidden="1" x14ac:dyDescent="0.3">
      <c r="A4737" t="s">
        <v>33</v>
      </c>
      <c r="B4737">
        <v>2017</v>
      </c>
      <c r="C4737" t="s">
        <v>45</v>
      </c>
      <c r="D4737" t="s">
        <v>13</v>
      </c>
      <c r="E4737" t="e">
        <f>VLOOKUP(Cpi_[[#This Row],[Attribute]],#REF!,2,FALSE)</f>
        <v>#REF!</v>
      </c>
      <c r="F4737">
        <v>125.4</v>
      </c>
      <c r="G4737">
        <f>(Cpi_[[#This Row],[Value]]-F4736)/F4736</f>
        <v>-9.3275488069414353E-2</v>
      </c>
      <c r="H4737" t="e" cm="1" vm="1">
        <f t="array" aca="1" ref="H4737" ca="1">VLOOKUP(Cpi_[[#This Row],[Year]:[Month]],crudeoil[],3,FALSE)</f>
        <v>#VALUE!</v>
      </c>
    </row>
    <row r="4738" spans="1:8" hidden="1" x14ac:dyDescent="0.3">
      <c r="A4738" t="s">
        <v>33</v>
      </c>
      <c r="B4738">
        <v>2017</v>
      </c>
      <c r="C4738" t="s">
        <v>45</v>
      </c>
      <c r="D4738" t="s">
        <v>14</v>
      </c>
      <c r="E4738" t="e">
        <f>VLOOKUP(Cpi_[[#This Row],[Attribute]],#REF!,2,FALSE)</f>
        <v>#REF!</v>
      </c>
      <c r="F4738">
        <v>146</v>
      </c>
      <c r="G4738">
        <f>(Cpi_[[#This Row],[Value]]-F4737)/F4737</f>
        <v>0.16427432216905896</v>
      </c>
      <c r="H4738" t="e" cm="1" vm="1">
        <f t="array" aca="1" ref="H4738" ca="1">VLOOKUP(Cpi_[[#This Row],[Year]:[Month]],crudeoil[],3,FALSE)</f>
        <v>#VALUE!</v>
      </c>
    </row>
    <row r="4739" spans="1:8" hidden="1" x14ac:dyDescent="0.3">
      <c r="A4739" t="s">
        <v>33</v>
      </c>
      <c r="B4739">
        <v>2017</v>
      </c>
      <c r="C4739" t="s">
        <v>45</v>
      </c>
      <c r="D4739" t="s">
        <v>15</v>
      </c>
      <c r="E4739" t="e">
        <f>VLOOKUP(Cpi_[[#This Row],[Attribute]],#REF!,2,FALSE)</f>
        <v>#REF!</v>
      </c>
      <c r="F4739">
        <v>141.5</v>
      </c>
      <c r="G4739">
        <f>(Cpi_[[#This Row],[Value]]-F4738)/F4738</f>
        <v>-3.0821917808219176E-2</v>
      </c>
      <c r="H4739" t="e" cm="1" vm="1">
        <f t="array" aca="1" ref="H4739" ca="1">VLOOKUP(Cpi_[[#This Row],[Year]:[Month]],crudeoil[],3,FALSE)</f>
        <v>#VALUE!</v>
      </c>
    </row>
    <row r="4740" spans="1:8" hidden="1" x14ac:dyDescent="0.3">
      <c r="A4740" t="s">
        <v>33</v>
      </c>
      <c r="B4740">
        <v>2017</v>
      </c>
      <c r="C4740" t="s">
        <v>45</v>
      </c>
      <c r="D4740" t="s">
        <v>16</v>
      </c>
      <c r="E4740" t="e">
        <f>VLOOKUP(Cpi_[[#This Row],[Attribute]],#REF!,2,FALSE)</f>
        <v>#REF!</v>
      </c>
      <c r="F4740">
        <v>156.19999999999999</v>
      </c>
      <c r="G4740">
        <f>(Cpi_[[#This Row],[Value]]-F4739)/F4739</f>
        <v>0.10388692579505292</v>
      </c>
      <c r="H4740" t="e" cm="1" vm="1">
        <f t="array" aca="1" ref="H4740" ca="1">VLOOKUP(Cpi_[[#This Row],[Year]:[Month]],crudeoil[],3,FALSE)</f>
        <v>#VALUE!</v>
      </c>
    </row>
    <row r="4741" spans="1:8" hidden="1" x14ac:dyDescent="0.3">
      <c r="A4741" t="s">
        <v>33</v>
      </c>
      <c r="B4741">
        <v>2017</v>
      </c>
      <c r="C4741" t="s">
        <v>45</v>
      </c>
      <c r="D4741" t="s">
        <v>17</v>
      </c>
      <c r="E4741" t="e">
        <f>VLOOKUP(Cpi_[[#This Row],[Attribute]],#REF!,2,FALSE)</f>
        <v>#REF!</v>
      </c>
      <c r="F4741">
        <v>135</v>
      </c>
      <c r="G4741">
        <f>(Cpi_[[#This Row],[Value]]-F4740)/F4740</f>
        <v>-0.13572343149807933</v>
      </c>
      <c r="H4741" t="e" cm="1" vm="1">
        <f t="array" aca="1" ref="H4741" ca="1">VLOOKUP(Cpi_[[#This Row],[Year]:[Month]],crudeoil[],3,FALSE)</f>
        <v>#VALUE!</v>
      </c>
    </row>
    <row r="4742" spans="1:8" hidden="1" x14ac:dyDescent="0.3">
      <c r="A4742" t="s">
        <v>33</v>
      </c>
      <c r="B4742">
        <v>2017</v>
      </c>
      <c r="C4742" t="s">
        <v>45</v>
      </c>
      <c r="D4742" t="s">
        <v>18</v>
      </c>
      <c r="E4742" t="e">
        <f>VLOOKUP(Cpi_[[#This Row],[Attribute]],#REF!,2,FALSE)</f>
        <v>#REF!</v>
      </c>
      <c r="F4742">
        <v>125.4</v>
      </c>
      <c r="G4742">
        <f>(Cpi_[[#This Row],[Value]]-F4741)/F4741</f>
        <v>-7.1111111111111069E-2</v>
      </c>
      <c r="H4742" t="e" cm="1" vm="1">
        <f t="array" aca="1" ref="H4742" ca="1">VLOOKUP(Cpi_[[#This Row],[Year]:[Month]],crudeoil[],3,FALSE)</f>
        <v>#VALUE!</v>
      </c>
    </row>
    <row r="4743" spans="1:8" hidden="1" x14ac:dyDescent="0.3">
      <c r="A4743" t="s">
        <v>33</v>
      </c>
      <c r="B4743">
        <v>2017</v>
      </c>
      <c r="C4743" t="s">
        <v>45</v>
      </c>
      <c r="D4743" t="s">
        <v>19</v>
      </c>
      <c r="E4743" t="e">
        <f>VLOOKUP(Cpi_[[#This Row],[Attribute]],#REF!,2,FALSE)</f>
        <v>#REF!</v>
      </c>
      <c r="F4743">
        <v>133.5</v>
      </c>
      <c r="G4743">
        <f>(Cpi_[[#This Row],[Value]]-F4742)/F4742</f>
        <v>6.4593301435406647E-2</v>
      </c>
      <c r="H4743" t="e" cm="1" vm="1">
        <f t="array" aca="1" ref="H4743" ca="1">VLOOKUP(Cpi_[[#This Row],[Year]:[Month]],crudeoil[],3,FALSE)</f>
        <v>#VALUE!</v>
      </c>
    </row>
    <row r="4744" spans="1:8" hidden="1" x14ac:dyDescent="0.3">
      <c r="A4744" t="s">
        <v>33</v>
      </c>
      <c r="B4744">
        <v>2017</v>
      </c>
      <c r="C4744" t="s">
        <v>45</v>
      </c>
      <c r="D4744" t="s">
        <v>20</v>
      </c>
      <c r="E4744" t="e">
        <f>VLOOKUP(Cpi_[[#This Row],[Attribute]],#REF!,2,FALSE)</f>
        <v>#REF!</v>
      </c>
      <c r="F4744">
        <v>138.6</v>
      </c>
      <c r="G4744">
        <f>(Cpi_[[#This Row],[Value]]-F4743)/F4743</f>
        <v>3.8202247191011195E-2</v>
      </c>
      <c r="H4744" t="e" cm="1" vm="1">
        <f t="array" aca="1" ref="H4744" ca="1">VLOOKUP(Cpi_[[#This Row],[Year]:[Month]],crudeoil[],3,FALSE)</f>
        <v>#VALUE!</v>
      </c>
    </row>
    <row r="4745" spans="1:8" hidden="1" x14ac:dyDescent="0.3">
      <c r="A4745" t="s">
        <v>33</v>
      </c>
      <c r="B4745">
        <v>2017</v>
      </c>
      <c r="C4745" t="s">
        <v>45</v>
      </c>
      <c r="D4745" t="s">
        <v>21</v>
      </c>
      <c r="E4745" t="e">
        <f>VLOOKUP(Cpi_[[#This Row],[Attribute]],#REF!,2,FALSE)</f>
        <v>#REF!</v>
      </c>
      <c r="F4745">
        <v>125.7</v>
      </c>
      <c r="G4745">
        <f>(Cpi_[[#This Row],[Value]]-F4744)/F4744</f>
        <v>-9.3073593073593017E-2</v>
      </c>
      <c r="H4745" t="e" cm="1" vm="1">
        <f t="array" aca="1" ref="H4745" ca="1">VLOOKUP(Cpi_[[#This Row],[Year]:[Month]],crudeoil[],3,FALSE)</f>
        <v>#VALUE!</v>
      </c>
    </row>
    <row r="4746" spans="1:8" hidden="1" x14ac:dyDescent="0.3">
      <c r="A4746" t="s">
        <v>33</v>
      </c>
      <c r="B4746">
        <v>2017</v>
      </c>
      <c r="C4746" t="s">
        <v>45</v>
      </c>
      <c r="D4746" t="s">
        <v>22</v>
      </c>
      <c r="E4746" t="e">
        <f>VLOOKUP(Cpi_[[#This Row],[Attribute]],#REF!,2,FALSE)</f>
        <v>#REF!</v>
      </c>
      <c r="F4746">
        <v>128.80000000000001</v>
      </c>
      <c r="G4746">
        <f>(Cpi_[[#This Row],[Value]]-F4745)/F4745</f>
        <v>2.4661893396976997E-2</v>
      </c>
      <c r="H4746" t="e" cm="1" vm="1">
        <f t="array" aca="1" ref="H4746" ca="1">VLOOKUP(Cpi_[[#This Row],[Year]:[Month]],crudeoil[],3,FALSE)</f>
        <v>#VALUE!</v>
      </c>
    </row>
    <row r="4747" spans="1:8" hidden="1" x14ac:dyDescent="0.3">
      <c r="A4747" t="s">
        <v>33</v>
      </c>
      <c r="B4747">
        <v>2017</v>
      </c>
      <c r="C4747" t="s">
        <v>45</v>
      </c>
      <c r="D4747" t="s">
        <v>23</v>
      </c>
      <c r="E4747" t="e">
        <f>VLOOKUP(Cpi_[[#This Row],[Attribute]],#REF!,2,FALSE)</f>
        <v>#REF!</v>
      </c>
      <c r="F4747">
        <v>127.4</v>
      </c>
      <c r="G4747">
        <f>(Cpi_[[#This Row],[Value]]-F4746)/F4746</f>
        <v>-1.0869565217391347E-2</v>
      </c>
      <c r="H4747" t="e" cm="1" vm="1">
        <f t="array" aca="1" ref="H4747" ca="1">VLOOKUP(Cpi_[[#This Row],[Year]:[Month]],crudeoil[],3,FALSE)</f>
        <v>#VALUE!</v>
      </c>
    </row>
    <row r="4748" spans="1:8" hidden="1" x14ac:dyDescent="0.3">
      <c r="A4748" t="s">
        <v>33</v>
      </c>
      <c r="B4748">
        <v>2017</v>
      </c>
      <c r="C4748" t="s">
        <v>45</v>
      </c>
      <c r="D4748" t="s">
        <v>24</v>
      </c>
      <c r="E4748" t="e">
        <f>VLOOKUP(Cpi_[[#This Row],[Attribute]],#REF!,2,FALSE)</f>
        <v>#REF!</v>
      </c>
      <c r="F4748">
        <v>115.3</v>
      </c>
      <c r="G4748">
        <f>(Cpi_[[#This Row],[Value]]-F4747)/F4747</f>
        <v>-9.4976452119309329E-2</v>
      </c>
      <c r="H4748" t="e" cm="1" vm="1">
        <f t="array" aca="1" ref="H4748" ca="1">VLOOKUP(Cpi_[[#This Row],[Year]:[Month]],crudeoil[],3,FALSE)</f>
        <v>#VALUE!</v>
      </c>
    </row>
    <row r="4749" spans="1:8" hidden="1" x14ac:dyDescent="0.3">
      <c r="A4749" t="s">
        <v>33</v>
      </c>
      <c r="B4749">
        <v>2017</v>
      </c>
      <c r="C4749" t="s">
        <v>45</v>
      </c>
      <c r="D4749" t="s">
        <v>25</v>
      </c>
      <c r="E4749" t="e">
        <f>VLOOKUP(Cpi_[[#This Row],[Attribute]],#REF!,2,FALSE)</f>
        <v>#REF!</v>
      </c>
      <c r="F4749">
        <v>125.1</v>
      </c>
      <c r="G4749">
        <f>(Cpi_[[#This Row],[Value]]-F4748)/F4748</f>
        <v>8.499566348655678E-2</v>
      </c>
      <c r="H4749" t="e" cm="1" vm="1">
        <f t="array" aca="1" ref="H4749" ca="1">VLOOKUP(Cpi_[[#This Row],[Year]:[Month]],crudeoil[],3,FALSE)</f>
        <v>#VALUE!</v>
      </c>
    </row>
    <row r="4750" spans="1:8" hidden="1" x14ac:dyDescent="0.3">
      <c r="A4750" t="s">
        <v>33</v>
      </c>
      <c r="B4750">
        <v>2017</v>
      </c>
      <c r="C4750" t="s">
        <v>45</v>
      </c>
      <c r="D4750" t="s">
        <v>26</v>
      </c>
      <c r="E4750" t="e">
        <f>VLOOKUP(Cpi_[[#This Row],[Attribute]],#REF!,2,FALSE)</f>
        <v>#REF!</v>
      </c>
      <c r="F4750">
        <v>136.6</v>
      </c>
      <c r="G4750">
        <f>(Cpi_[[#This Row],[Value]]-F4749)/F4749</f>
        <v>9.1926458832933655E-2</v>
      </c>
      <c r="H4750" t="e" cm="1" vm="1">
        <f t="array" aca="1" ref="H4750" ca="1">VLOOKUP(Cpi_[[#This Row],[Year]:[Month]],crudeoil[],3,FALSE)</f>
        <v>#VALUE!</v>
      </c>
    </row>
    <row r="4751" spans="1:8" hidden="1" x14ac:dyDescent="0.3">
      <c r="A4751" t="s">
        <v>33</v>
      </c>
      <c r="B4751">
        <v>2017</v>
      </c>
      <c r="C4751" t="s">
        <v>45</v>
      </c>
      <c r="D4751" t="s">
        <v>27</v>
      </c>
      <c r="E4751" t="e">
        <f>VLOOKUP(Cpi_[[#This Row],[Attribute]],#REF!,2,FALSE)</f>
        <v>#REF!</v>
      </c>
      <c r="F4751">
        <v>124.9</v>
      </c>
      <c r="G4751">
        <f>(Cpi_[[#This Row],[Value]]-F4750)/F4750</f>
        <v>-8.5651537335285424E-2</v>
      </c>
      <c r="H4751" t="e" cm="1" vm="1">
        <f t="array" aca="1" ref="H4751" ca="1">VLOOKUP(Cpi_[[#This Row],[Year]:[Month]],crudeoil[],3,FALSE)</f>
        <v>#VALUE!</v>
      </c>
    </row>
    <row r="4752" spans="1:8" hidden="1" x14ac:dyDescent="0.3">
      <c r="A4752" t="s">
        <v>33</v>
      </c>
      <c r="B4752">
        <v>2017</v>
      </c>
      <c r="C4752" t="s">
        <v>45</v>
      </c>
      <c r="D4752" t="s">
        <v>28</v>
      </c>
      <c r="E4752" t="e">
        <f>VLOOKUP(Cpi_[[#This Row],[Attribute]],#REF!,2,FALSE)</f>
        <v>#REF!</v>
      </c>
      <c r="F4752">
        <v>124.9</v>
      </c>
      <c r="G4752">
        <f>(Cpi_[[#This Row],[Value]]-F4751)/F4751</f>
        <v>0</v>
      </c>
      <c r="H4752" t="e" cm="1" vm="1">
        <f t="array" aca="1" ref="H4752" ca="1">VLOOKUP(Cpi_[[#This Row],[Year]:[Month]],crudeoil[],3,FALSE)</f>
        <v>#VALUE!</v>
      </c>
    </row>
    <row r="4753" spans="1:8" hidden="1" x14ac:dyDescent="0.3">
      <c r="A4753" t="s">
        <v>33</v>
      </c>
      <c r="B4753">
        <v>2017</v>
      </c>
      <c r="C4753" t="s">
        <v>45</v>
      </c>
      <c r="D4753" t="s">
        <v>29</v>
      </c>
      <c r="E4753" t="e" cm="1">
        <f t="array" aca="1" ref="E4753" ca="1">VLGeneral indexGeneral indexKUP(Cpi_[[#This Row],[Attribute]],#REF!,2,FALSE)</f>
        <v>#NAME?</v>
      </c>
      <c r="F4753">
        <v>134.80000000000001</v>
      </c>
      <c r="G4753">
        <f>(Cpi_[[#This Row],[Value]]-F4752)/F4752</f>
        <v>7.9263410728582909E-2</v>
      </c>
      <c r="H4753" t="e" cm="1" vm="1">
        <f t="array" aca="1" ref="H4753" ca="1">VLOOKUP(Cpi_[[#This Row],[Year]:[Month]],crudeoil[],3,FALSE)</f>
        <v>#VALUE!</v>
      </c>
    </row>
    <row r="4754" spans="1:8" hidden="1" x14ac:dyDescent="0.3">
      <c r="A4754" t="s">
        <v>34</v>
      </c>
      <c r="B4754">
        <v>2017</v>
      </c>
      <c r="C4754" t="s">
        <v>45</v>
      </c>
      <c r="D4754" t="s">
        <v>3</v>
      </c>
      <c r="E4754" t="e">
        <f>VLOOKUP(Cpi_[[#This Row],[Attribute]],#REF!,2,FALSE)</f>
        <v>#REF!</v>
      </c>
      <c r="F4754">
        <v>135.69999999999999</v>
      </c>
      <c r="G4754">
        <f>(Cpi_[[#This Row],[Value]]-F4753)/F4753</f>
        <v>6.6765578635013144E-3</v>
      </c>
      <c r="H4754" t="e" cm="1" vm="1">
        <f t="array" aca="1" ref="H4754" ca="1">VLOOKUP(Cpi_[[#This Row],[Year]:[Month]],crudeoil[],3,FALSE)</f>
        <v>#VALUE!</v>
      </c>
    </row>
    <row r="4755" spans="1:8" hidden="1" x14ac:dyDescent="0.3">
      <c r="A4755" t="s">
        <v>34</v>
      </c>
      <c r="B4755">
        <v>2017</v>
      </c>
      <c r="C4755" t="s">
        <v>45</v>
      </c>
      <c r="D4755" t="s">
        <v>4</v>
      </c>
      <c r="E4755" t="e">
        <f>VLOOKUP(Cpi_[[#This Row],[Attribute]],#REF!,2,FALSE)</f>
        <v>#REF!</v>
      </c>
      <c r="F4755">
        <v>142.4</v>
      </c>
      <c r="G4755">
        <f>(Cpi_[[#This Row],[Value]]-F4754)/F4754</f>
        <v>4.9373618275608086E-2</v>
      </c>
      <c r="H4755" t="e" cm="1" vm="1">
        <f t="array" aca="1" ref="H4755" ca="1">VLOOKUP(Cpi_[[#This Row],[Year]:[Month]],crudeoil[],3,FALSE)</f>
        <v>#VALUE!</v>
      </c>
    </row>
    <row r="4756" spans="1:8" hidden="1" x14ac:dyDescent="0.3">
      <c r="A4756" t="s">
        <v>34</v>
      </c>
      <c r="B4756">
        <v>2017</v>
      </c>
      <c r="C4756" t="s">
        <v>45</v>
      </c>
      <c r="D4756" t="s">
        <v>5</v>
      </c>
      <c r="E4756" t="e">
        <f>VLOOKUP(Cpi_[[#This Row],[Attribute]],#REF!,2,FALSE)</f>
        <v>#REF!</v>
      </c>
      <c r="F4756">
        <v>142.9</v>
      </c>
      <c r="G4756">
        <f>(Cpi_[[#This Row],[Value]]-F4755)/F4755</f>
        <v>3.5112359550561797E-3</v>
      </c>
      <c r="H4756" t="e" cm="1" vm="1">
        <f t="array" aca="1" ref="H4756" ca="1">VLOOKUP(Cpi_[[#This Row],[Year]:[Month]],crudeoil[],3,FALSE)</f>
        <v>#VALUE!</v>
      </c>
    </row>
    <row r="4757" spans="1:8" hidden="1" x14ac:dyDescent="0.3">
      <c r="A4757" t="s">
        <v>34</v>
      </c>
      <c r="B4757">
        <v>2017</v>
      </c>
      <c r="C4757" t="s">
        <v>45</v>
      </c>
      <c r="D4757" t="s">
        <v>6</v>
      </c>
      <c r="E4757" t="e">
        <f>VLOOKUP(Cpi_[[#This Row],[Attribute]],#REF!,2,FALSE)</f>
        <v>#REF!</v>
      </c>
      <c r="F4757">
        <v>140.80000000000001</v>
      </c>
      <c r="G4757">
        <f>(Cpi_[[#This Row],[Value]]-F4756)/F4756</f>
        <v>-1.4695591322603179E-2</v>
      </c>
      <c r="H4757" t="e" cm="1" vm="1">
        <f t="array" aca="1" ref="H4757" ca="1">VLOOKUP(Cpi_[[#This Row],[Year]:[Month]],crudeoil[],3,FALSE)</f>
        <v>#VALUE!</v>
      </c>
    </row>
    <row r="4758" spans="1:8" hidden="1" x14ac:dyDescent="0.3">
      <c r="A4758" t="s">
        <v>34</v>
      </c>
      <c r="B4758">
        <v>2017</v>
      </c>
      <c r="C4758" t="s">
        <v>45</v>
      </c>
      <c r="D4758" t="s">
        <v>7</v>
      </c>
      <c r="E4758" t="e">
        <f>VLOOKUP(Cpi_[[#This Row],[Attribute]],#REF!,2,FALSE)</f>
        <v>#REF!</v>
      </c>
      <c r="F4758">
        <v>119.2</v>
      </c>
      <c r="G4758">
        <f>(Cpi_[[#This Row],[Value]]-F4757)/F4757</f>
        <v>-0.15340909090909097</v>
      </c>
      <c r="H4758" t="e" cm="1" vm="1">
        <f t="array" aca="1" ref="H4758" ca="1">VLOOKUP(Cpi_[[#This Row],[Year]:[Month]],crudeoil[],3,FALSE)</f>
        <v>#VALUE!</v>
      </c>
    </row>
    <row r="4759" spans="1:8" hidden="1" x14ac:dyDescent="0.3">
      <c r="A4759" t="s">
        <v>34</v>
      </c>
      <c r="B4759">
        <v>2017</v>
      </c>
      <c r="C4759" t="s">
        <v>45</v>
      </c>
      <c r="D4759" t="s">
        <v>8</v>
      </c>
      <c r="E4759" t="e">
        <f>VLOOKUP(Cpi_[[#This Row],[Attribute]],#REF!,2,FALSE)</f>
        <v>#REF!</v>
      </c>
      <c r="F4759">
        <v>142.19999999999999</v>
      </c>
      <c r="G4759">
        <f>(Cpi_[[#This Row],[Value]]-F4758)/F4758</f>
        <v>0.19295302013422808</v>
      </c>
      <c r="H4759" t="e" cm="1" vm="1">
        <f t="array" aca="1" ref="H4759" ca="1">VLOOKUP(Cpi_[[#This Row],[Year]:[Month]],crudeoil[],3,FALSE)</f>
        <v>#VALUE!</v>
      </c>
    </row>
    <row r="4760" spans="1:8" hidden="1" x14ac:dyDescent="0.3">
      <c r="A4760" t="s">
        <v>34</v>
      </c>
      <c r="B4760">
        <v>2017</v>
      </c>
      <c r="C4760" t="s">
        <v>45</v>
      </c>
      <c r="D4760" t="s">
        <v>9</v>
      </c>
      <c r="E4760" t="e">
        <f>VLOOKUP(Cpi_[[#This Row],[Attribute]],#REF!,2,FALSE)</f>
        <v>#REF!</v>
      </c>
      <c r="F4760">
        <v>173.8</v>
      </c>
      <c r="G4760">
        <f>(Cpi_[[#This Row],[Value]]-F4759)/F4759</f>
        <v>0.2222222222222224</v>
      </c>
      <c r="H4760" t="e" cm="1" vm="1">
        <f t="array" aca="1" ref="H4760" ca="1">VLOOKUP(Cpi_[[#This Row],[Year]:[Month]],crudeoil[],3,FALSE)</f>
        <v>#VALUE!</v>
      </c>
    </row>
    <row r="4761" spans="1:8" hidden="1" x14ac:dyDescent="0.3">
      <c r="A4761" t="s">
        <v>34</v>
      </c>
      <c r="B4761">
        <v>2017</v>
      </c>
      <c r="C4761" t="s">
        <v>45</v>
      </c>
      <c r="D4761" t="s">
        <v>10</v>
      </c>
      <c r="E4761" t="e">
        <f>VLOOKUP(Cpi_[[#This Row],[Attribute]],#REF!,2,FALSE)</f>
        <v>#REF!</v>
      </c>
      <c r="F4761">
        <v>131.19999999999999</v>
      </c>
      <c r="G4761">
        <f>(Cpi_[[#This Row],[Value]]-F4760)/F4760</f>
        <v>-0.24510932105868827</v>
      </c>
      <c r="H4761" t="e" cm="1" vm="1">
        <f t="array" aca="1" ref="H4761" ca="1">VLOOKUP(Cpi_[[#This Row],[Year]:[Month]],crudeoil[],3,FALSE)</f>
        <v>#VALUE!</v>
      </c>
    </row>
    <row r="4762" spans="1:8" hidden="1" x14ac:dyDescent="0.3">
      <c r="A4762" t="s">
        <v>34</v>
      </c>
      <c r="B4762">
        <v>2017</v>
      </c>
      <c r="C4762" t="s">
        <v>45</v>
      </c>
      <c r="D4762" t="s">
        <v>11</v>
      </c>
      <c r="E4762" t="e">
        <f>VLOOKUP(Cpi_[[#This Row],[Attribute]],#REF!,2,FALSE)</f>
        <v>#REF!</v>
      </c>
      <c r="F4762">
        <v>123</v>
      </c>
      <c r="G4762">
        <f>(Cpi_[[#This Row],[Value]]-F4761)/F4761</f>
        <v>-6.2499999999999917E-2</v>
      </c>
      <c r="H4762" t="e" cm="1" vm="1">
        <f t="array" aca="1" ref="H4762" ca="1">VLOOKUP(Cpi_[[#This Row],[Year]:[Month]],crudeoil[],3,FALSE)</f>
        <v>#VALUE!</v>
      </c>
    </row>
    <row r="4763" spans="1:8" hidden="1" x14ac:dyDescent="0.3">
      <c r="A4763" t="s">
        <v>34</v>
      </c>
      <c r="B4763">
        <v>2017</v>
      </c>
      <c r="C4763" t="s">
        <v>45</v>
      </c>
      <c r="D4763" t="s">
        <v>12</v>
      </c>
      <c r="E4763" t="e">
        <f>VLOOKUP(Cpi_[[#This Row],[Attribute]],#REF!,2,FALSE)</f>
        <v>#REF!</v>
      </c>
      <c r="F4763">
        <v>136.80000000000001</v>
      </c>
      <c r="G4763">
        <f>(Cpi_[[#This Row],[Value]]-F4762)/F4762</f>
        <v>0.1121951219512196</v>
      </c>
      <c r="H4763" t="e" cm="1" vm="1">
        <f t="array" aca="1" ref="H4763" ca="1">VLOOKUP(Cpi_[[#This Row],[Year]:[Month]],crudeoil[],3,FALSE)</f>
        <v>#VALUE!</v>
      </c>
    </row>
    <row r="4764" spans="1:8" hidden="1" x14ac:dyDescent="0.3">
      <c r="A4764" t="s">
        <v>34</v>
      </c>
      <c r="B4764">
        <v>2017</v>
      </c>
      <c r="C4764" t="s">
        <v>45</v>
      </c>
      <c r="D4764" t="s">
        <v>13</v>
      </c>
      <c r="E4764" t="e">
        <f>VLOOKUP(Cpi_[[#This Row],[Attribute]],#REF!,2,FALSE)</f>
        <v>#REF!</v>
      </c>
      <c r="F4764">
        <v>129.19999999999999</v>
      </c>
      <c r="G4764">
        <f>(Cpi_[[#This Row],[Value]]-F4763)/F4763</f>
        <v>-5.5555555555555719E-2</v>
      </c>
      <c r="H4764" t="e" cm="1" vm="1">
        <f t="array" aca="1" ref="H4764" ca="1">VLOOKUP(Cpi_[[#This Row],[Year]:[Month]],crudeoil[],3,FALSE)</f>
        <v>#VALUE!</v>
      </c>
    </row>
    <row r="4765" spans="1:8" hidden="1" x14ac:dyDescent="0.3">
      <c r="A4765" t="s">
        <v>34</v>
      </c>
      <c r="B4765">
        <v>2017</v>
      </c>
      <c r="C4765" t="s">
        <v>45</v>
      </c>
      <c r="D4765" t="s">
        <v>14</v>
      </c>
      <c r="E4765" t="e">
        <f>VLOOKUP(Cpi_[[#This Row],[Attribute]],#REF!,2,FALSE)</f>
        <v>#REF!</v>
      </c>
      <c r="F4765">
        <v>148.9</v>
      </c>
      <c r="G4765">
        <f>(Cpi_[[#This Row],[Value]]-F4764)/F4764</f>
        <v>0.15247678018575866</v>
      </c>
      <c r="H4765" t="e" cm="1" vm="1">
        <f t="array" aca="1" ref="H4765" ca="1">VLOOKUP(Cpi_[[#This Row],[Year]:[Month]],crudeoil[],3,FALSE)</f>
        <v>#VALUE!</v>
      </c>
    </row>
    <row r="4766" spans="1:8" hidden="1" x14ac:dyDescent="0.3">
      <c r="A4766" t="s">
        <v>34</v>
      </c>
      <c r="B4766">
        <v>2017</v>
      </c>
      <c r="C4766" t="s">
        <v>45</v>
      </c>
      <c r="D4766" t="s">
        <v>15</v>
      </c>
      <c r="E4766" t="e">
        <f>VLOOKUP(Cpi_[[#This Row],[Attribute]],#REF!,2,FALSE)</f>
        <v>#REF!</v>
      </c>
      <c r="F4766">
        <v>142.1</v>
      </c>
      <c r="G4766">
        <f>(Cpi_[[#This Row],[Value]]-F4765)/F4765</f>
        <v>-4.5668233713902023E-2</v>
      </c>
      <c r="H4766" t="e" cm="1" vm="1">
        <f t="array" aca="1" ref="H4766" ca="1">VLOOKUP(Cpi_[[#This Row],[Year]:[Month]],crudeoil[],3,FALSE)</f>
        <v>#VALUE!</v>
      </c>
    </row>
    <row r="4767" spans="1:8" hidden="1" x14ac:dyDescent="0.3">
      <c r="A4767" t="s">
        <v>34</v>
      </c>
      <c r="B4767">
        <v>2017</v>
      </c>
      <c r="C4767" t="s">
        <v>45</v>
      </c>
      <c r="D4767" t="s">
        <v>16</v>
      </c>
      <c r="E4767" t="e">
        <f>VLOOKUP(Cpi_[[#This Row],[Attribute]],#REF!,2,FALSE)</f>
        <v>#REF!</v>
      </c>
      <c r="F4767">
        <v>153.19999999999999</v>
      </c>
      <c r="G4767">
        <f>(Cpi_[[#This Row],[Value]]-F4766)/F4766</f>
        <v>7.8114004222378575E-2</v>
      </c>
      <c r="H4767" t="e" cm="1" vm="1">
        <f t="array" aca="1" ref="H4767" ca="1">VLOOKUP(Cpi_[[#This Row],[Year]:[Month]],crudeoil[],3,FALSE)</f>
        <v>#VALUE!</v>
      </c>
    </row>
    <row r="4768" spans="1:8" hidden="1" x14ac:dyDescent="0.3">
      <c r="A4768" t="s">
        <v>34</v>
      </c>
      <c r="B4768">
        <v>2017</v>
      </c>
      <c r="C4768" t="s">
        <v>45</v>
      </c>
      <c r="D4768" t="s">
        <v>17</v>
      </c>
      <c r="E4768" t="e">
        <f>VLOOKUP(Cpi_[[#This Row],[Attribute]],#REF!,2,FALSE)</f>
        <v>#REF!</v>
      </c>
      <c r="F4768">
        <v>143</v>
      </c>
      <c r="G4768">
        <f>(Cpi_[[#This Row],[Value]]-F4767)/F4767</f>
        <v>-6.6579634464751888E-2</v>
      </c>
      <c r="H4768" t="e" cm="1" vm="1">
        <f t="array" aca="1" ref="H4768" ca="1">VLOOKUP(Cpi_[[#This Row],[Year]:[Month]],crudeoil[],3,FALSE)</f>
        <v>#VALUE!</v>
      </c>
    </row>
    <row r="4769" spans="1:8" hidden="1" x14ac:dyDescent="0.3">
      <c r="A4769" t="s">
        <v>34</v>
      </c>
      <c r="B4769">
        <v>2017</v>
      </c>
      <c r="C4769" t="s">
        <v>45</v>
      </c>
      <c r="D4769" t="s">
        <v>18</v>
      </c>
      <c r="E4769" t="e">
        <f>VLOOKUP(Cpi_[[#This Row],[Attribute]],#REF!,2,FALSE)</f>
        <v>#REF!</v>
      </c>
      <c r="F4769">
        <v>134.80000000000001</v>
      </c>
      <c r="G4769">
        <f>(Cpi_[[#This Row],[Value]]-F4768)/F4768</f>
        <v>-5.7342657342657262E-2</v>
      </c>
      <c r="H4769" t="e" cm="1" vm="1">
        <f t="array" aca="1" ref="H4769" ca="1">VLOOKUP(Cpi_[[#This Row],[Year]:[Month]],crudeoil[],3,FALSE)</f>
        <v>#VALUE!</v>
      </c>
    </row>
    <row r="4770" spans="1:8" hidden="1" x14ac:dyDescent="0.3">
      <c r="A4770" t="s">
        <v>34</v>
      </c>
      <c r="B4770">
        <v>2017</v>
      </c>
      <c r="C4770" t="s">
        <v>45</v>
      </c>
      <c r="D4770" t="s">
        <v>19</v>
      </c>
      <c r="E4770" t="e">
        <f>VLOOKUP(Cpi_[[#This Row],[Attribute]],#REF!,2,FALSE)</f>
        <v>#REF!</v>
      </c>
      <c r="F4770">
        <v>141.80000000000001</v>
      </c>
      <c r="G4770">
        <f>(Cpi_[[#This Row],[Value]]-F4769)/F4769</f>
        <v>5.1928783382789313E-2</v>
      </c>
      <c r="H4770" t="e" cm="1" vm="1">
        <f t="array" aca="1" ref="H4770" ca="1">VLOOKUP(Cpi_[[#This Row],[Year]:[Month]],crudeoil[],3,FALSE)</f>
        <v>#VALUE!</v>
      </c>
    </row>
    <row r="4771" spans="1:8" hidden="1" x14ac:dyDescent="0.3">
      <c r="A4771" t="s">
        <v>34</v>
      </c>
      <c r="B4771">
        <v>2017</v>
      </c>
      <c r="C4771" t="s">
        <v>45</v>
      </c>
      <c r="D4771" t="s">
        <v>20</v>
      </c>
      <c r="E4771" t="e">
        <f>VLOOKUP(Cpi_[[#This Row],[Attribute]],#REF!,2,FALSE)</f>
        <v>#REF!</v>
      </c>
      <c r="F4771">
        <v>138.6</v>
      </c>
      <c r="G4771">
        <f>(Cpi_[[#This Row],[Value]]-F4770)/F4770</f>
        <v>-2.2566995768688411E-2</v>
      </c>
      <c r="H4771" t="e" cm="1" vm="1">
        <f t="array" aca="1" ref="H4771" ca="1">VLOOKUP(Cpi_[[#This Row],[Year]:[Month]],crudeoil[],3,FALSE)</f>
        <v>#VALUE!</v>
      </c>
    </row>
    <row r="4772" spans="1:8" hidden="1" x14ac:dyDescent="0.3">
      <c r="A4772" t="s">
        <v>34</v>
      </c>
      <c r="B4772">
        <v>2017</v>
      </c>
      <c r="C4772" t="s">
        <v>45</v>
      </c>
      <c r="D4772" t="s">
        <v>21</v>
      </c>
      <c r="E4772" t="e">
        <f>VLOOKUP(Cpi_[[#This Row],[Attribute]],#REF!,2,FALSE)</f>
        <v>#REF!</v>
      </c>
      <c r="F4772">
        <v>135.30000000000001</v>
      </c>
      <c r="G4772">
        <f>(Cpi_[[#This Row],[Value]]-F4771)/F4771</f>
        <v>-2.3809523809523687E-2</v>
      </c>
      <c r="H4772" t="e" cm="1" vm="1">
        <f t="array" aca="1" ref="H4772" ca="1">VLOOKUP(Cpi_[[#This Row],[Year]:[Month]],crudeoil[],3,FALSE)</f>
        <v>#VALUE!</v>
      </c>
    </row>
    <row r="4773" spans="1:8" hidden="1" x14ac:dyDescent="0.3">
      <c r="A4773" t="s">
        <v>34</v>
      </c>
      <c r="B4773">
        <v>2017</v>
      </c>
      <c r="C4773" t="s">
        <v>45</v>
      </c>
      <c r="D4773" t="s">
        <v>22</v>
      </c>
      <c r="E4773" t="e">
        <f>VLOOKUP(Cpi_[[#This Row],[Attribute]],#REF!,2,FALSE)</f>
        <v>#REF!</v>
      </c>
      <c r="F4773">
        <v>134.4</v>
      </c>
      <c r="G4773">
        <f>(Cpi_[[#This Row],[Value]]-F4772)/F4772</f>
        <v>-6.6518847006652301E-3</v>
      </c>
      <c r="H4773" t="e" cm="1" vm="1">
        <f t="array" aca="1" ref="H4773" ca="1">VLOOKUP(Cpi_[[#This Row],[Year]:[Month]],crudeoil[],3,FALSE)</f>
        <v>#VALUE!</v>
      </c>
    </row>
    <row r="4774" spans="1:8" hidden="1" x14ac:dyDescent="0.3">
      <c r="A4774" t="s">
        <v>34</v>
      </c>
      <c r="B4774">
        <v>2017</v>
      </c>
      <c r="C4774" t="s">
        <v>45</v>
      </c>
      <c r="D4774" t="s">
        <v>23</v>
      </c>
      <c r="E4774" t="e">
        <f>VLOOKUP(Cpi_[[#This Row],[Attribute]],#REF!,2,FALSE)</f>
        <v>#REF!</v>
      </c>
      <c r="F4774">
        <v>132.6</v>
      </c>
      <c r="G4774">
        <f>(Cpi_[[#This Row],[Value]]-F4773)/F4773</f>
        <v>-1.3392857142857227E-2</v>
      </c>
      <c r="H4774" t="e" cm="1" vm="1">
        <f t="array" aca="1" ref="H4774" ca="1">VLOOKUP(Cpi_[[#This Row],[Year]:[Month]],crudeoil[],3,FALSE)</f>
        <v>#VALUE!</v>
      </c>
    </row>
    <row r="4775" spans="1:8" hidden="1" x14ac:dyDescent="0.3">
      <c r="A4775" t="s">
        <v>34</v>
      </c>
      <c r="B4775">
        <v>2017</v>
      </c>
      <c r="C4775" t="s">
        <v>45</v>
      </c>
      <c r="D4775" t="s">
        <v>24</v>
      </c>
      <c r="E4775" t="e">
        <f>VLOOKUP(Cpi_[[#This Row],[Attribute]],#REF!,2,FALSE)</f>
        <v>#REF!</v>
      </c>
      <c r="F4775">
        <v>118.3</v>
      </c>
      <c r="G4775">
        <f>(Cpi_[[#This Row],[Value]]-F4774)/F4774</f>
        <v>-0.10784313725490194</v>
      </c>
      <c r="H4775" t="e" cm="1" vm="1">
        <f t="array" aca="1" ref="H4775" ca="1">VLOOKUP(Cpi_[[#This Row],[Year]:[Month]],crudeoil[],3,FALSE)</f>
        <v>#VALUE!</v>
      </c>
    </row>
    <row r="4776" spans="1:8" hidden="1" x14ac:dyDescent="0.3">
      <c r="A4776" t="s">
        <v>34</v>
      </c>
      <c r="B4776">
        <v>2017</v>
      </c>
      <c r="C4776" t="s">
        <v>45</v>
      </c>
      <c r="D4776" t="s">
        <v>25</v>
      </c>
      <c r="E4776" t="e">
        <f>VLOOKUP(Cpi_[[#This Row],[Attribute]],#REF!,2,FALSE)</f>
        <v>#REF!</v>
      </c>
      <c r="F4776">
        <v>128.9</v>
      </c>
      <c r="G4776">
        <f>(Cpi_[[#This Row],[Value]]-F4775)/F4775</f>
        <v>8.9602704987320453E-2</v>
      </c>
      <c r="H4776" t="e" cm="1" vm="1">
        <f t="array" aca="1" ref="H4776" ca="1">VLOOKUP(Cpi_[[#This Row],[Year]:[Month]],crudeoil[],3,FALSE)</f>
        <v>#VALUE!</v>
      </c>
    </row>
    <row r="4777" spans="1:8" hidden="1" x14ac:dyDescent="0.3">
      <c r="A4777" t="s">
        <v>34</v>
      </c>
      <c r="B4777">
        <v>2017</v>
      </c>
      <c r="C4777" t="s">
        <v>45</v>
      </c>
      <c r="D4777" t="s">
        <v>26</v>
      </c>
      <c r="E4777" t="e">
        <f>VLOOKUP(Cpi_[[#This Row],[Attribute]],#REF!,2,FALSE)</f>
        <v>#REF!</v>
      </c>
      <c r="F4777">
        <v>138.6</v>
      </c>
      <c r="G4777">
        <f>(Cpi_[[#This Row],[Value]]-F4776)/F4776</f>
        <v>7.5252133436772603E-2</v>
      </c>
      <c r="H4777" t="e" cm="1" vm="1">
        <f t="array" aca="1" ref="H4777" ca="1">VLOOKUP(Cpi_[[#This Row],[Year]:[Month]],crudeoil[],3,FALSE)</f>
        <v>#VALUE!</v>
      </c>
    </row>
    <row r="4778" spans="1:8" hidden="1" x14ac:dyDescent="0.3">
      <c r="A4778" t="s">
        <v>34</v>
      </c>
      <c r="B4778">
        <v>2017</v>
      </c>
      <c r="C4778" t="s">
        <v>45</v>
      </c>
      <c r="D4778" t="s">
        <v>27</v>
      </c>
      <c r="E4778" t="e">
        <f>VLOOKUP(Cpi_[[#This Row],[Attribute]],#REF!,2,FALSE)</f>
        <v>#REF!</v>
      </c>
      <c r="F4778">
        <v>126.8</v>
      </c>
      <c r="G4778">
        <f>(Cpi_[[#This Row],[Value]]-F4777)/F4777</f>
        <v>-8.5137085137085122E-2</v>
      </c>
      <c r="H4778" t="e" cm="1" vm="1">
        <f t="array" aca="1" ref="H4778" ca="1">VLOOKUP(Cpi_[[#This Row],[Year]:[Month]],crudeoil[],3,FALSE)</f>
        <v>#VALUE!</v>
      </c>
    </row>
    <row r="4779" spans="1:8" hidden="1" x14ac:dyDescent="0.3">
      <c r="A4779" t="s">
        <v>34</v>
      </c>
      <c r="B4779">
        <v>2017</v>
      </c>
      <c r="C4779" t="s">
        <v>45</v>
      </c>
      <c r="D4779" t="s">
        <v>28</v>
      </c>
      <c r="E4779" t="e">
        <f>VLOOKUP(Cpi_[[#This Row],[Attribute]],#REF!,2,FALSE)</f>
        <v>#REF!</v>
      </c>
      <c r="F4779">
        <v>128.4</v>
      </c>
      <c r="G4779">
        <f>(Cpi_[[#This Row],[Value]]-F4778)/F4778</f>
        <v>1.2618296529968522E-2</v>
      </c>
      <c r="H4779" t="e" cm="1" vm="1">
        <f t="array" aca="1" ref="H4779" ca="1">VLOOKUP(Cpi_[[#This Row],[Year]:[Month]],crudeoil[],3,FALSE)</f>
        <v>#VALUE!</v>
      </c>
    </row>
    <row r="4780" spans="1:8" hidden="1" x14ac:dyDescent="0.3">
      <c r="A4780" t="s">
        <v>34</v>
      </c>
      <c r="B4780">
        <v>2017</v>
      </c>
      <c r="C4780" t="s">
        <v>45</v>
      </c>
      <c r="D4780" t="s">
        <v>29</v>
      </c>
      <c r="E4780" t="e" cm="1">
        <f t="array" aca="1" ref="E4780" ca="1">VLGeneral indexGeneral indexKUP(Cpi_[[#This Row],[Attribute]],#REF!,2,FALSE)</f>
        <v>#NAME?</v>
      </c>
      <c r="F4780">
        <v>137.6</v>
      </c>
      <c r="G4780">
        <f>(Cpi_[[#This Row],[Value]]-F4779)/F4779</f>
        <v>7.1651090342679039E-2</v>
      </c>
      <c r="H4780" t="e" cm="1" vm="1">
        <f t="array" aca="1" ref="H4780" ca="1">VLOOKUP(Cpi_[[#This Row],[Year]:[Month]],crudeoil[],3,FALSE)</f>
        <v>#VALUE!</v>
      </c>
    </row>
    <row r="4781" spans="1:8" hidden="1" x14ac:dyDescent="0.3">
      <c r="A4781" t="s">
        <v>30</v>
      </c>
      <c r="B4781">
        <v>2017</v>
      </c>
      <c r="C4781" t="s">
        <v>46</v>
      </c>
      <c r="D4781" t="s">
        <v>3</v>
      </c>
      <c r="E4781" t="e">
        <f>VLOOKUP(Cpi_[[#This Row],[Attribute]],#REF!,2,FALSE)</f>
        <v>#REF!</v>
      </c>
      <c r="F4781">
        <v>136.4</v>
      </c>
      <c r="G4781">
        <f>(Cpi_[[#This Row],[Value]]-F4780)/F4780</f>
        <v>-8.7209302325580579E-3</v>
      </c>
      <c r="H4781" t="e" cm="1" vm="1">
        <f t="array" aca="1" ref="H4781" ca="1">VLOOKUP(Cpi_[[#This Row],[Year]:[Month]],crudeoil[],3,FALSE)</f>
        <v>#VALUE!</v>
      </c>
    </row>
    <row r="4782" spans="1:8" hidden="1" x14ac:dyDescent="0.3">
      <c r="A4782" t="s">
        <v>30</v>
      </c>
      <c r="B4782">
        <v>2017</v>
      </c>
      <c r="C4782" t="s">
        <v>46</v>
      </c>
      <c r="D4782" t="s">
        <v>4</v>
      </c>
      <c r="E4782" t="e">
        <f>VLOOKUP(Cpi_[[#This Row],[Attribute]],#REF!,2,FALSE)</f>
        <v>#REF!</v>
      </c>
      <c r="F4782">
        <v>143.69999999999999</v>
      </c>
      <c r="G4782">
        <f>(Cpi_[[#This Row],[Value]]-F4781)/F4781</f>
        <v>5.3519061583577589E-2</v>
      </c>
      <c r="H4782" t="e" cm="1" vm="1">
        <f t="array" aca="1" ref="H4782" ca="1">VLOOKUP(Cpi_[[#This Row],[Year]:[Month]],crudeoil[],3,FALSE)</f>
        <v>#VALUE!</v>
      </c>
    </row>
    <row r="4783" spans="1:8" hidden="1" x14ac:dyDescent="0.3">
      <c r="A4783" t="s">
        <v>30</v>
      </c>
      <c r="B4783">
        <v>2017</v>
      </c>
      <c r="C4783" t="s">
        <v>46</v>
      </c>
      <c r="D4783" t="s">
        <v>5</v>
      </c>
      <c r="E4783" t="e">
        <f>VLOOKUP(Cpi_[[#This Row],[Attribute]],#REF!,2,FALSE)</f>
        <v>#REF!</v>
      </c>
      <c r="F4783">
        <v>144.80000000000001</v>
      </c>
      <c r="G4783">
        <f>(Cpi_[[#This Row],[Value]]-F4782)/F4782</f>
        <v>7.6548364648575005E-3</v>
      </c>
      <c r="H4783" t="e" cm="1" vm="1">
        <f t="array" aca="1" ref="H4783" ca="1">VLOOKUP(Cpi_[[#This Row],[Year]:[Month]],crudeoil[],3,FALSE)</f>
        <v>#VALUE!</v>
      </c>
    </row>
    <row r="4784" spans="1:8" hidden="1" x14ac:dyDescent="0.3">
      <c r="A4784" t="s">
        <v>30</v>
      </c>
      <c r="B4784">
        <v>2017</v>
      </c>
      <c r="C4784" t="s">
        <v>46</v>
      </c>
      <c r="D4784" t="s">
        <v>6</v>
      </c>
      <c r="E4784" t="e">
        <f>VLOOKUP(Cpi_[[#This Row],[Attribute]],#REF!,2,FALSE)</f>
        <v>#REF!</v>
      </c>
      <c r="F4784">
        <v>141.9</v>
      </c>
      <c r="G4784">
        <f>(Cpi_[[#This Row],[Value]]-F4783)/F4783</f>
        <v>-2.0027624309392304E-2</v>
      </c>
      <c r="H4784" t="e" cm="1" vm="1">
        <f t="array" aca="1" ref="H4784" ca="1">VLOOKUP(Cpi_[[#This Row],[Year]:[Month]],crudeoil[],3,FALSE)</f>
        <v>#VALUE!</v>
      </c>
    </row>
    <row r="4785" spans="1:8" hidden="1" x14ac:dyDescent="0.3">
      <c r="A4785" t="s">
        <v>30</v>
      </c>
      <c r="B4785">
        <v>2017</v>
      </c>
      <c r="C4785" t="s">
        <v>46</v>
      </c>
      <c r="D4785" t="s">
        <v>7</v>
      </c>
      <c r="E4785" t="e">
        <f>VLOOKUP(Cpi_[[#This Row],[Attribute]],#REF!,2,FALSE)</f>
        <v>#REF!</v>
      </c>
      <c r="F4785">
        <v>123.1</v>
      </c>
      <c r="G4785">
        <f>(Cpi_[[#This Row],[Value]]-F4784)/F4784</f>
        <v>-0.13248766737138837</v>
      </c>
      <c r="H4785" t="e" cm="1" vm="1">
        <f t="array" aca="1" ref="H4785" ca="1">VLOOKUP(Cpi_[[#This Row],[Year]:[Month]],crudeoil[],3,FALSE)</f>
        <v>#VALUE!</v>
      </c>
    </row>
    <row r="4786" spans="1:8" hidden="1" x14ac:dyDescent="0.3">
      <c r="A4786" t="s">
        <v>30</v>
      </c>
      <c r="B4786">
        <v>2017</v>
      </c>
      <c r="C4786" t="s">
        <v>46</v>
      </c>
      <c r="D4786" t="s">
        <v>8</v>
      </c>
      <c r="E4786" t="e">
        <f>VLOOKUP(Cpi_[[#This Row],[Attribute]],#REF!,2,FALSE)</f>
        <v>#REF!</v>
      </c>
      <c r="F4786">
        <v>147.19999999999999</v>
      </c>
      <c r="G4786">
        <f>(Cpi_[[#This Row],[Value]]-F4785)/F4785</f>
        <v>0.19577579203899265</v>
      </c>
      <c r="H4786" t="e" cm="1" vm="1">
        <f t="array" aca="1" ref="H4786" ca="1">VLOOKUP(Cpi_[[#This Row],[Year]:[Month]],crudeoil[],3,FALSE)</f>
        <v>#VALUE!</v>
      </c>
    </row>
    <row r="4787" spans="1:8" hidden="1" x14ac:dyDescent="0.3">
      <c r="A4787" t="s">
        <v>30</v>
      </c>
      <c r="B4787">
        <v>2017</v>
      </c>
      <c r="C4787" t="s">
        <v>46</v>
      </c>
      <c r="D4787" t="s">
        <v>9</v>
      </c>
      <c r="E4787" t="e">
        <f>VLOOKUP(Cpi_[[#This Row],[Attribute]],#REF!,2,FALSE)</f>
        <v>#REF!</v>
      </c>
      <c r="F4787">
        <v>161</v>
      </c>
      <c r="G4787">
        <f>(Cpi_[[#This Row],[Value]]-F4786)/F4786</f>
        <v>9.3750000000000083E-2</v>
      </c>
      <c r="H4787" t="e" cm="1" vm="1">
        <f t="array" aca="1" ref="H4787" ca="1">VLOOKUP(Cpi_[[#This Row],[Year]:[Month]],crudeoil[],3,FALSE)</f>
        <v>#VALUE!</v>
      </c>
    </row>
    <row r="4788" spans="1:8" hidden="1" x14ac:dyDescent="0.3">
      <c r="A4788" t="s">
        <v>30</v>
      </c>
      <c r="B4788">
        <v>2017</v>
      </c>
      <c r="C4788" t="s">
        <v>46</v>
      </c>
      <c r="D4788" t="s">
        <v>10</v>
      </c>
      <c r="E4788" t="e">
        <f>VLOOKUP(Cpi_[[#This Row],[Attribute]],#REF!,2,FALSE)</f>
        <v>#REF!</v>
      </c>
      <c r="F4788">
        <v>133.80000000000001</v>
      </c>
      <c r="G4788">
        <f>(Cpi_[[#This Row],[Value]]-F4787)/F4787</f>
        <v>-0.16894409937888191</v>
      </c>
      <c r="H4788" t="e" cm="1" vm="1">
        <f t="array" aca="1" ref="H4788" ca="1">VLOOKUP(Cpi_[[#This Row],[Year]:[Month]],crudeoil[],3,FALSE)</f>
        <v>#VALUE!</v>
      </c>
    </row>
    <row r="4789" spans="1:8" hidden="1" x14ac:dyDescent="0.3">
      <c r="A4789" t="s">
        <v>30</v>
      </c>
      <c r="B4789">
        <v>2017</v>
      </c>
      <c r="C4789" t="s">
        <v>46</v>
      </c>
      <c r="D4789" t="s">
        <v>11</v>
      </c>
      <c r="E4789" t="e">
        <f>VLOOKUP(Cpi_[[#This Row],[Attribute]],#REF!,2,FALSE)</f>
        <v>#REF!</v>
      </c>
      <c r="F4789">
        <v>121.9</v>
      </c>
      <c r="G4789">
        <f>(Cpi_[[#This Row],[Value]]-F4788)/F4788</f>
        <v>-8.8938714499252655E-2</v>
      </c>
      <c r="H4789" t="e" cm="1" vm="1">
        <f t="array" aca="1" ref="H4789" ca="1">VLOOKUP(Cpi_[[#This Row],[Year]:[Month]],crudeoil[],3,FALSE)</f>
        <v>#VALUE!</v>
      </c>
    </row>
    <row r="4790" spans="1:8" hidden="1" x14ac:dyDescent="0.3">
      <c r="A4790" t="s">
        <v>30</v>
      </c>
      <c r="B4790">
        <v>2017</v>
      </c>
      <c r="C4790" t="s">
        <v>46</v>
      </c>
      <c r="D4790" t="s">
        <v>12</v>
      </c>
      <c r="E4790" t="e">
        <f>VLOOKUP(Cpi_[[#This Row],[Attribute]],#REF!,2,FALSE)</f>
        <v>#REF!</v>
      </c>
      <c r="F4790">
        <v>135.80000000000001</v>
      </c>
      <c r="G4790">
        <f>(Cpi_[[#This Row],[Value]]-F4789)/F4789</f>
        <v>0.11402789171452014</v>
      </c>
      <c r="H4790" t="e" cm="1" vm="1">
        <f t="array" aca="1" ref="H4790" ca="1">VLOOKUP(Cpi_[[#This Row],[Year]:[Month]],crudeoil[],3,FALSE)</f>
        <v>#VALUE!</v>
      </c>
    </row>
    <row r="4791" spans="1:8" hidden="1" x14ac:dyDescent="0.3">
      <c r="A4791" t="s">
        <v>30</v>
      </c>
      <c r="B4791">
        <v>2017</v>
      </c>
      <c r="C4791" t="s">
        <v>46</v>
      </c>
      <c r="D4791" t="s">
        <v>13</v>
      </c>
      <c r="E4791" t="e">
        <f>VLOOKUP(Cpi_[[#This Row],[Attribute]],#REF!,2,FALSE)</f>
        <v>#REF!</v>
      </c>
      <c r="F4791">
        <v>131.1</v>
      </c>
      <c r="G4791">
        <f>(Cpi_[[#This Row],[Value]]-F4790)/F4790</f>
        <v>-3.4609720176730606E-2</v>
      </c>
      <c r="H4791" t="e" cm="1" vm="1">
        <f t="array" aca="1" ref="H4791" ca="1">VLOOKUP(Cpi_[[#This Row],[Year]:[Month]],crudeoil[],3,FALSE)</f>
        <v>#VALUE!</v>
      </c>
    </row>
    <row r="4792" spans="1:8" hidden="1" x14ac:dyDescent="0.3">
      <c r="A4792" t="s">
        <v>30</v>
      </c>
      <c r="B4792">
        <v>2017</v>
      </c>
      <c r="C4792" t="s">
        <v>46</v>
      </c>
      <c r="D4792" t="s">
        <v>14</v>
      </c>
      <c r="E4792" t="e">
        <f>VLOOKUP(Cpi_[[#This Row],[Attribute]],#REF!,2,FALSE)</f>
        <v>#REF!</v>
      </c>
      <c r="F4792">
        <v>151.4</v>
      </c>
      <c r="G4792">
        <f>(Cpi_[[#This Row],[Value]]-F4791)/F4791</f>
        <v>0.15484363081617095</v>
      </c>
      <c r="H4792" t="e" cm="1" vm="1">
        <f t="array" aca="1" ref="H4792" ca="1">VLOOKUP(Cpi_[[#This Row],[Year]:[Month]],crudeoil[],3,FALSE)</f>
        <v>#VALUE!</v>
      </c>
    </row>
    <row r="4793" spans="1:8" hidden="1" x14ac:dyDescent="0.3">
      <c r="A4793" t="s">
        <v>30</v>
      </c>
      <c r="B4793">
        <v>2017</v>
      </c>
      <c r="C4793" t="s">
        <v>46</v>
      </c>
      <c r="D4793" t="s">
        <v>15</v>
      </c>
      <c r="E4793" t="e">
        <f>VLOOKUP(Cpi_[[#This Row],[Attribute]],#REF!,2,FALSE)</f>
        <v>#REF!</v>
      </c>
      <c r="F4793">
        <v>141.5</v>
      </c>
      <c r="G4793">
        <f>(Cpi_[[#This Row],[Value]]-F4792)/F4792</f>
        <v>-6.5389696169088546E-2</v>
      </c>
      <c r="H4793" t="e" cm="1" vm="1">
        <f t="array" aca="1" ref="H4793" ca="1">VLOOKUP(Cpi_[[#This Row],[Year]:[Month]],crudeoil[],3,FALSE)</f>
        <v>#VALUE!</v>
      </c>
    </row>
    <row r="4794" spans="1:8" hidden="1" x14ac:dyDescent="0.3">
      <c r="A4794" t="s">
        <v>30</v>
      </c>
      <c r="B4794">
        <v>2017</v>
      </c>
      <c r="C4794" t="s">
        <v>46</v>
      </c>
      <c r="D4794" t="s">
        <v>16</v>
      </c>
      <c r="E4794" t="e">
        <f>VLOOKUP(Cpi_[[#This Row],[Attribute]],#REF!,2,FALSE)</f>
        <v>#REF!</v>
      </c>
      <c r="F4794">
        <v>153.19999999999999</v>
      </c>
      <c r="G4794">
        <f>(Cpi_[[#This Row],[Value]]-F4793)/F4793</f>
        <v>8.2685512367491082E-2</v>
      </c>
      <c r="H4794" t="e" cm="1" vm="1">
        <f t="array" aca="1" ref="H4794" ca="1">VLOOKUP(Cpi_[[#This Row],[Year]:[Month]],crudeoil[],3,FALSE)</f>
        <v>#VALUE!</v>
      </c>
    </row>
    <row r="4795" spans="1:8" hidden="1" x14ac:dyDescent="0.3">
      <c r="A4795" t="s">
        <v>30</v>
      </c>
      <c r="B4795">
        <v>2017</v>
      </c>
      <c r="C4795" t="s">
        <v>46</v>
      </c>
      <c r="D4795" t="s">
        <v>17</v>
      </c>
      <c r="E4795" t="e">
        <f>VLOOKUP(Cpi_[[#This Row],[Attribute]],#REF!,2,FALSE)</f>
        <v>#REF!</v>
      </c>
      <c r="F4795">
        <v>148</v>
      </c>
      <c r="G4795">
        <f>(Cpi_[[#This Row],[Value]]-F4794)/F4794</f>
        <v>-3.3942558746736219E-2</v>
      </c>
      <c r="H4795" t="e" cm="1" vm="1">
        <f t="array" aca="1" ref="H4795" ca="1">VLOOKUP(Cpi_[[#This Row],[Year]:[Month]],crudeoil[],3,FALSE)</f>
        <v>#VALUE!</v>
      </c>
    </row>
    <row r="4796" spans="1:8" hidden="1" x14ac:dyDescent="0.3">
      <c r="A4796" t="s">
        <v>30</v>
      </c>
      <c r="B4796">
        <v>2017</v>
      </c>
      <c r="C4796" t="s">
        <v>46</v>
      </c>
      <c r="D4796" t="s">
        <v>18</v>
      </c>
      <c r="E4796" t="e">
        <f>VLOOKUP(Cpi_[[#This Row],[Attribute]],#REF!,2,FALSE)</f>
        <v>#REF!</v>
      </c>
      <c r="F4796">
        <v>141.9</v>
      </c>
      <c r="G4796">
        <f>(Cpi_[[#This Row],[Value]]-F4795)/F4795</f>
        <v>-4.1216216216216177E-2</v>
      </c>
      <c r="H4796" t="e" cm="1" vm="1">
        <f t="array" aca="1" ref="H4796" ca="1">VLOOKUP(Cpi_[[#This Row],[Year]:[Month]],crudeoil[],3,FALSE)</f>
        <v>#VALUE!</v>
      </c>
    </row>
    <row r="4797" spans="1:8" hidden="1" x14ac:dyDescent="0.3">
      <c r="A4797" t="s">
        <v>30</v>
      </c>
      <c r="B4797">
        <v>2017</v>
      </c>
      <c r="C4797" t="s">
        <v>46</v>
      </c>
      <c r="D4797" t="s">
        <v>19</v>
      </c>
      <c r="E4797" t="e">
        <f>VLOOKUP(Cpi_[[#This Row],[Attribute]],#REF!,2,FALSE)</f>
        <v>#REF!</v>
      </c>
      <c r="F4797">
        <v>147.19999999999999</v>
      </c>
      <c r="G4797">
        <f>(Cpi_[[#This Row],[Value]]-F4796)/F4796</f>
        <v>3.7350246652572111E-2</v>
      </c>
      <c r="H4797" t="e" cm="1" vm="1">
        <f t="array" aca="1" ref="H4797" ca="1">VLOOKUP(Cpi_[[#This Row],[Year]:[Month]],crudeoil[],3,FALSE)</f>
        <v>#VALUE!</v>
      </c>
    </row>
    <row r="4798" spans="1:8" hidden="1" x14ac:dyDescent="0.3">
      <c r="A4798" t="s">
        <v>30</v>
      </c>
      <c r="B4798">
        <v>2017</v>
      </c>
      <c r="C4798" t="s">
        <v>46</v>
      </c>
      <c r="D4798" t="s">
        <v>20</v>
      </c>
      <c r="E4798" t="e">
        <f>VLOOKUP(Cpi_[[#This Row],[Attribute]],#REF!,2,FALSE)</f>
        <v>#REF!</v>
      </c>
      <c r="F4798" t="s">
        <v>32</v>
      </c>
      <c r="G4798" t="e">
        <f>(Cpi_[[#This Row],[Value]]-F4797)/F4797</f>
        <v>#VALUE!</v>
      </c>
      <c r="H4798" t="e" cm="1" vm="1">
        <f t="array" aca="1" ref="H4798" ca="1">VLOOKUP(Cpi_[[#This Row],[Year]:[Month]],crudeoil[],3,FALSE)</f>
        <v>#VALUE!</v>
      </c>
    </row>
    <row r="4799" spans="1:8" hidden="1" x14ac:dyDescent="0.3">
      <c r="A4799" t="s">
        <v>30</v>
      </c>
      <c r="B4799">
        <v>2017</v>
      </c>
      <c r="C4799" t="s">
        <v>46</v>
      </c>
      <c r="D4799" t="s">
        <v>21</v>
      </c>
      <c r="E4799" t="e">
        <f>VLOOKUP(Cpi_[[#This Row],[Attribute]],#REF!,2,FALSE)</f>
        <v>#REF!</v>
      </c>
      <c r="F4799">
        <v>142.6</v>
      </c>
      <c r="G4799" t="e">
        <f>(Cpi_[[#This Row],[Value]]-F4798)/F4798</f>
        <v>#VALUE!</v>
      </c>
      <c r="H4799" t="e" cm="1" vm="1">
        <f t="array" aca="1" ref="H4799" ca="1">VLOOKUP(Cpi_[[#This Row],[Year]:[Month]],crudeoil[],3,FALSE)</f>
        <v>#VALUE!</v>
      </c>
    </row>
    <row r="4800" spans="1:8" hidden="1" x14ac:dyDescent="0.3">
      <c r="A4800" t="s">
        <v>30</v>
      </c>
      <c r="B4800">
        <v>2017</v>
      </c>
      <c r="C4800" t="s">
        <v>46</v>
      </c>
      <c r="D4800" t="s">
        <v>22</v>
      </c>
      <c r="E4800" t="e">
        <f>VLOOKUP(Cpi_[[#This Row],[Attribute]],#REF!,2,FALSE)</f>
        <v>#REF!</v>
      </c>
      <c r="F4800">
        <v>139.5</v>
      </c>
      <c r="G4800">
        <f>(Cpi_[[#This Row],[Value]]-F4799)/F4799</f>
        <v>-2.173913043478257E-2</v>
      </c>
      <c r="H4800" t="e" cm="1" vm="1">
        <f t="array" aca="1" ref="H4800" ca="1">VLOOKUP(Cpi_[[#This Row],[Year]:[Month]],crudeoil[],3,FALSE)</f>
        <v>#VALUE!</v>
      </c>
    </row>
    <row r="4801" spans="1:8" hidden="1" x14ac:dyDescent="0.3">
      <c r="A4801" t="s">
        <v>30</v>
      </c>
      <c r="B4801">
        <v>2017</v>
      </c>
      <c r="C4801" t="s">
        <v>46</v>
      </c>
      <c r="D4801" t="s">
        <v>23</v>
      </c>
      <c r="E4801" t="e">
        <f>VLOOKUP(Cpi_[[#This Row],[Attribute]],#REF!,2,FALSE)</f>
        <v>#REF!</v>
      </c>
      <c r="F4801">
        <v>136.1</v>
      </c>
      <c r="G4801">
        <f>(Cpi_[[#This Row],[Value]]-F4800)/F4800</f>
        <v>-2.4372759856630864E-2</v>
      </c>
      <c r="H4801" t="e" cm="1" vm="1">
        <f t="array" aca="1" ref="H4801" ca="1">VLOOKUP(Cpi_[[#This Row],[Year]:[Month]],crudeoil[],3,FALSE)</f>
        <v>#VALUE!</v>
      </c>
    </row>
    <row r="4802" spans="1:8" hidden="1" x14ac:dyDescent="0.3">
      <c r="A4802" t="s">
        <v>30</v>
      </c>
      <c r="B4802">
        <v>2017</v>
      </c>
      <c r="C4802" t="s">
        <v>46</v>
      </c>
      <c r="D4802" t="s">
        <v>24</v>
      </c>
      <c r="E4802" t="e">
        <f>VLOOKUP(Cpi_[[#This Row],[Attribute]],#REF!,2,FALSE)</f>
        <v>#REF!</v>
      </c>
      <c r="F4802">
        <v>122</v>
      </c>
      <c r="G4802">
        <f>(Cpi_[[#This Row],[Value]]-F4801)/F4801</f>
        <v>-0.10360029390154295</v>
      </c>
      <c r="H4802" t="e" cm="1" vm="1">
        <f t="array" aca="1" ref="H4802" ca="1">VLOOKUP(Cpi_[[#This Row],[Year]:[Month]],crudeoil[],3,FALSE)</f>
        <v>#VALUE!</v>
      </c>
    </row>
    <row r="4803" spans="1:8" hidden="1" x14ac:dyDescent="0.3">
      <c r="A4803" t="s">
        <v>30</v>
      </c>
      <c r="B4803">
        <v>2017</v>
      </c>
      <c r="C4803" t="s">
        <v>46</v>
      </c>
      <c r="D4803" t="s">
        <v>25</v>
      </c>
      <c r="E4803" t="e">
        <f>VLOOKUP(Cpi_[[#This Row],[Attribute]],#REF!,2,FALSE)</f>
        <v>#REF!</v>
      </c>
      <c r="F4803">
        <v>133.4</v>
      </c>
      <c r="G4803">
        <f>(Cpi_[[#This Row],[Value]]-F4802)/F4802</f>
        <v>9.3442622950819718E-2</v>
      </c>
      <c r="H4803" t="e" cm="1" vm="1">
        <f t="array" aca="1" ref="H4803" ca="1">VLOOKUP(Cpi_[[#This Row],[Year]:[Month]],crudeoil[],3,FALSE)</f>
        <v>#VALUE!</v>
      </c>
    </row>
    <row r="4804" spans="1:8" hidden="1" x14ac:dyDescent="0.3">
      <c r="A4804" t="s">
        <v>30</v>
      </c>
      <c r="B4804">
        <v>2017</v>
      </c>
      <c r="C4804" t="s">
        <v>46</v>
      </c>
      <c r="D4804" t="s">
        <v>26</v>
      </c>
      <c r="E4804" t="e">
        <f>VLOOKUP(Cpi_[[#This Row],[Attribute]],#REF!,2,FALSE)</f>
        <v>#REF!</v>
      </c>
      <c r="F4804">
        <v>141.1</v>
      </c>
      <c r="G4804">
        <f>(Cpi_[[#This Row],[Value]]-F4803)/F4803</f>
        <v>5.7721139430284771E-2</v>
      </c>
      <c r="H4804" t="e" cm="1" vm="1">
        <f t="array" aca="1" ref="H4804" ca="1">VLOOKUP(Cpi_[[#This Row],[Year]:[Month]],crudeoil[],3,FALSE)</f>
        <v>#VALUE!</v>
      </c>
    </row>
    <row r="4805" spans="1:8" hidden="1" x14ac:dyDescent="0.3">
      <c r="A4805" t="s">
        <v>30</v>
      </c>
      <c r="B4805">
        <v>2017</v>
      </c>
      <c r="C4805" t="s">
        <v>46</v>
      </c>
      <c r="D4805" t="s">
        <v>27</v>
      </c>
      <c r="E4805" t="e">
        <f>VLOOKUP(Cpi_[[#This Row],[Attribute]],#REF!,2,FALSE)</f>
        <v>#REF!</v>
      </c>
      <c r="F4805">
        <v>127.8</v>
      </c>
      <c r="G4805">
        <f>(Cpi_[[#This Row],[Value]]-F4804)/F4804</f>
        <v>-9.4259390503189211E-2</v>
      </c>
      <c r="H4805" t="e" cm="1" vm="1">
        <f t="array" aca="1" ref="H4805" ca="1">VLOOKUP(Cpi_[[#This Row],[Year]:[Month]],crudeoil[],3,FALSE)</f>
        <v>#VALUE!</v>
      </c>
    </row>
    <row r="4806" spans="1:8" hidden="1" x14ac:dyDescent="0.3">
      <c r="A4806" t="s">
        <v>30</v>
      </c>
      <c r="B4806">
        <v>2017</v>
      </c>
      <c r="C4806" t="s">
        <v>46</v>
      </c>
      <c r="D4806" t="s">
        <v>28</v>
      </c>
      <c r="E4806" t="e">
        <f>VLOOKUP(Cpi_[[#This Row],[Attribute]],#REF!,2,FALSE)</f>
        <v>#REF!</v>
      </c>
      <c r="F4806">
        <v>131.9</v>
      </c>
      <c r="G4806">
        <f>(Cpi_[[#This Row],[Value]]-F4805)/F4805</f>
        <v>3.2081377151799755E-2</v>
      </c>
      <c r="H4806" t="e" cm="1" vm="1">
        <f t="array" aca="1" ref="H4806" ca="1">VLOOKUP(Cpi_[[#This Row],[Year]:[Month]],crudeoil[],3,FALSE)</f>
        <v>#VALUE!</v>
      </c>
    </row>
    <row r="4807" spans="1:8" hidden="1" x14ac:dyDescent="0.3">
      <c r="A4807" t="s">
        <v>30</v>
      </c>
      <c r="B4807">
        <v>2017</v>
      </c>
      <c r="C4807" t="s">
        <v>46</v>
      </c>
      <c r="D4807" t="s">
        <v>29</v>
      </c>
      <c r="E4807" t="e" cm="1">
        <f t="array" aca="1" ref="E4807" ca="1">VLGeneral indexGeneral indexKUP(Cpi_[[#This Row],[Attribute]],#REF!,2,FALSE)</f>
        <v>#NAME?</v>
      </c>
      <c r="F4807">
        <v>139.80000000000001</v>
      </c>
      <c r="G4807">
        <f>(Cpi_[[#This Row],[Value]]-F4806)/F4806</f>
        <v>5.9893858984078889E-2</v>
      </c>
      <c r="H4807" t="e" cm="1" vm="1">
        <f t="array" aca="1" ref="H4807" ca="1">VLOOKUP(Cpi_[[#This Row],[Year]:[Month]],crudeoil[],3,FALSE)</f>
        <v>#VALUE!</v>
      </c>
    </row>
    <row r="4808" spans="1:8" hidden="1" x14ac:dyDescent="0.3">
      <c r="A4808" t="s">
        <v>33</v>
      </c>
      <c r="B4808">
        <v>2017</v>
      </c>
      <c r="C4808" t="s">
        <v>46</v>
      </c>
      <c r="D4808" t="s">
        <v>3</v>
      </c>
      <c r="E4808" t="e">
        <f>VLOOKUP(Cpi_[[#This Row],[Attribute]],#REF!,2,FALSE)</f>
        <v>#REF!</v>
      </c>
      <c r="F4808">
        <v>134.4</v>
      </c>
      <c r="G4808">
        <f>(Cpi_[[#This Row],[Value]]-F4807)/F4807</f>
        <v>-3.8626609442060124E-2</v>
      </c>
      <c r="H4808" t="e" cm="1" vm="1">
        <f t="array" aca="1" ref="H4808" ca="1">VLOOKUP(Cpi_[[#This Row],[Year]:[Month]],crudeoil[],3,FALSE)</f>
        <v>#VALUE!</v>
      </c>
    </row>
    <row r="4809" spans="1:8" hidden="1" x14ac:dyDescent="0.3">
      <c r="A4809" t="s">
        <v>33</v>
      </c>
      <c r="B4809">
        <v>2017</v>
      </c>
      <c r="C4809" t="s">
        <v>46</v>
      </c>
      <c r="D4809" t="s">
        <v>4</v>
      </c>
      <c r="E4809" t="e">
        <f>VLOOKUP(Cpi_[[#This Row],[Attribute]],#REF!,2,FALSE)</f>
        <v>#REF!</v>
      </c>
      <c r="F4809">
        <v>142.6</v>
      </c>
      <c r="G4809">
        <f>(Cpi_[[#This Row],[Value]]-F4808)/F4808</f>
        <v>6.1011904761904677E-2</v>
      </c>
      <c r="H4809" t="e" cm="1" vm="1">
        <f t="array" aca="1" ref="H4809" ca="1">VLOOKUP(Cpi_[[#This Row],[Year]:[Month]],crudeoil[],3,FALSE)</f>
        <v>#VALUE!</v>
      </c>
    </row>
    <row r="4810" spans="1:8" hidden="1" x14ac:dyDescent="0.3">
      <c r="A4810" t="s">
        <v>33</v>
      </c>
      <c r="B4810">
        <v>2017</v>
      </c>
      <c r="C4810" t="s">
        <v>46</v>
      </c>
      <c r="D4810" t="s">
        <v>5</v>
      </c>
      <c r="E4810" t="e">
        <f>VLOOKUP(Cpi_[[#This Row],[Attribute]],#REF!,2,FALSE)</f>
        <v>#REF!</v>
      </c>
      <c r="F4810">
        <v>145.9</v>
      </c>
      <c r="G4810">
        <f>(Cpi_[[#This Row],[Value]]-F4809)/F4809</f>
        <v>2.3141654978962211E-2</v>
      </c>
      <c r="H4810" t="e" cm="1" vm="1">
        <f t="array" aca="1" ref="H4810" ca="1">VLOOKUP(Cpi_[[#This Row],[Year]:[Month]],crudeoil[],3,FALSE)</f>
        <v>#VALUE!</v>
      </c>
    </row>
    <row r="4811" spans="1:8" hidden="1" x14ac:dyDescent="0.3">
      <c r="A4811" t="s">
        <v>33</v>
      </c>
      <c r="B4811">
        <v>2017</v>
      </c>
      <c r="C4811" t="s">
        <v>46</v>
      </c>
      <c r="D4811" t="s">
        <v>6</v>
      </c>
      <c r="E4811" t="e">
        <f>VLOOKUP(Cpi_[[#This Row],[Attribute]],#REF!,2,FALSE)</f>
        <v>#REF!</v>
      </c>
      <c r="F4811">
        <v>139.5</v>
      </c>
      <c r="G4811">
        <f>(Cpi_[[#This Row],[Value]]-F4810)/F4810</f>
        <v>-4.3865661411926014E-2</v>
      </c>
      <c r="H4811" t="e" cm="1" vm="1">
        <f t="array" aca="1" ref="H4811" ca="1">VLOOKUP(Cpi_[[#This Row],[Year]:[Month]],crudeoil[],3,FALSE)</f>
        <v>#VALUE!</v>
      </c>
    </row>
    <row r="4812" spans="1:8" hidden="1" x14ac:dyDescent="0.3">
      <c r="A4812" t="s">
        <v>33</v>
      </c>
      <c r="B4812">
        <v>2017</v>
      </c>
      <c r="C4812" t="s">
        <v>46</v>
      </c>
      <c r="D4812" t="s">
        <v>7</v>
      </c>
      <c r="E4812" t="e">
        <f>VLOOKUP(Cpi_[[#This Row],[Attribute]],#REF!,2,FALSE)</f>
        <v>#REF!</v>
      </c>
      <c r="F4812">
        <v>115.9</v>
      </c>
      <c r="G4812">
        <f>(Cpi_[[#This Row],[Value]]-F4811)/F4811</f>
        <v>-0.16917562724014332</v>
      </c>
      <c r="H4812" t="e" cm="1" vm="1">
        <f t="array" aca="1" ref="H4812" ca="1">VLOOKUP(Cpi_[[#This Row],[Year]:[Month]],crudeoil[],3,FALSE)</f>
        <v>#VALUE!</v>
      </c>
    </row>
    <row r="4813" spans="1:8" hidden="1" x14ac:dyDescent="0.3">
      <c r="A4813" t="s">
        <v>33</v>
      </c>
      <c r="B4813">
        <v>2017</v>
      </c>
      <c r="C4813" t="s">
        <v>46</v>
      </c>
      <c r="D4813" t="s">
        <v>8</v>
      </c>
      <c r="E4813" t="e">
        <f>VLOOKUP(Cpi_[[#This Row],[Attribute]],#REF!,2,FALSE)</f>
        <v>#REF!</v>
      </c>
      <c r="F4813">
        <v>135</v>
      </c>
      <c r="G4813">
        <f>(Cpi_[[#This Row],[Value]]-F4812)/F4812</f>
        <v>0.16479723899913712</v>
      </c>
      <c r="H4813" t="e" cm="1" vm="1">
        <f t="array" aca="1" ref="H4813" ca="1">VLOOKUP(Cpi_[[#This Row],[Year]:[Month]],crudeoil[],3,FALSE)</f>
        <v>#VALUE!</v>
      </c>
    </row>
    <row r="4814" spans="1:8" hidden="1" x14ac:dyDescent="0.3">
      <c r="A4814" t="s">
        <v>33</v>
      </c>
      <c r="B4814">
        <v>2017</v>
      </c>
      <c r="C4814" t="s">
        <v>46</v>
      </c>
      <c r="D4814" t="s">
        <v>9</v>
      </c>
      <c r="E4814" t="e">
        <f>VLOOKUP(Cpi_[[#This Row],[Attribute]],#REF!,2,FALSE)</f>
        <v>#REF!</v>
      </c>
      <c r="F4814">
        <v>163.19999999999999</v>
      </c>
      <c r="G4814">
        <f>(Cpi_[[#This Row],[Value]]-F4813)/F4813</f>
        <v>0.20888888888888882</v>
      </c>
      <c r="H4814" t="e" cm="1" vm="1">
        <f t="array" aca="1" ref="H4814" ca="1">VLOOKUP(Cpi_[[#This Row],[Year]:[Month]],crudeoil[],3,FALSE)</f>
        <v>#VALUE!</v>
      </c>
    </row>
    <row r="4815" spans="1:8" hidden="1" x14ac:dyDescent="0.3">
      <c r="A4815" t="s">
        <v>33</v>
      </c>
      <c r="B4815">
        <v>2017</v>
      </c>
      <c r="C4815" t="s">
        <v>46</v>
      </c>
      <c r="D4815" t="s">
        <v>10</v>
      </c>
      <c r="E4815" t="e">
        <f>VLOOKUP(Cpi_[[#This Row],[Attribute]],#REF!,2,FALSE)</f>
        <v>#REF!</v>
      </c>
      <c r="F4815">
        <v>119.8</v>
      </c>
      <c r="G4815">
        <f>(Cpi_[[#This Row],[Value]]-F4814)/F4814</f>
        <v>-0.26593137254901955</v>
      </c>
      <c r="H4815" t="e" cm="1" vm="1">
        <f t="array" aca="1" ref="H4815" ca="1">VLOOKUP(Cpi_[[#This Row],[Year]:[Month]],crudeoil[],3,FALSE)</f>
        <v>#VALUE!</v>
      </c>
    </row>
    <row r="4816" spans="1:8" hidden="1" x14ac:dyDescent="0.3">
      <c r="A4816" t="s">
        <v>33</v>
      </c>
      <c r="B4816">
        <v>2017</v>
      </c>
      <c r="C4816" t="s">
        <v>46</v>
      </c>
      <c r="D4816" t="s">
        <v>11</v>
      </c>
      <c r="E4816" t="e">
        <f>VLOOKUP(Cpi_[[#This Row],[Attribute]],#REF!,2,FALSE)</f>
        <v>#REF!</v>
      </c>
      <c r="F4816">
        <v>120.7</v>
      </c>
      <c r="G4816">
        <f>(Cpi_[[#This Row],[Value]]-F4815)/F4815</f>
        <v>7.5125208681135706E-3</v>
      </c>
      <c r="H4816" t="e" cm="1" vm="1">
        <f t="array" aca="1" ref="H4816" ca="1">VLOOKUP(Cpi_[[#This Row],[Year]:[Month]],crudeoil[],3,FALSE)</f>
        <v>#VALUE!</v>
      </c>
    </row>
    <row r="4817" spans="1:8" hidden="1" x14ac:dyDescent="0.3">
      <c r="A4817" t="s">
        <v>33</v>
      </c>
      <c r="B4817">
        <v>2017</v>
      </c>
      <c r="C4817" t="s">
        <v>46</v>
      </c>
      <c r="D4817" t="s">
        <v>12</v>
      </c>
      <c r="E4817" t="e">
        <f>VLOOKUP(Cpi_[[#This Row],[Attribute]],#REF!,2,FALSE)</f>
        <v>#REF!</v>
      </c>
      <c r="F4817">
        <v>139.69999999999999</v>
      </c>
      <c r="G4817">
        <f>(Cpi_[[#This Row],[Value]]-F4816)/F4816</f>
        <v>0.15741507870753924</v>
      </c>
      <c r="H4817" t="e" cm="1" vm="1">
        <f t="array" aca="1" ref="H4817" ca="1">VLOOKUP(Cpi_[[#This Row],[Year]:[Month]],crudeoil[],3,FALSE)</f>
        <v>#VALUE!</v>
      </c>
    </row>
    <row r="4818" spans="1:8" hidden="1" x14ac:dyDescent="0.3">
      <c r="A4818" t="s">
        <v>33</v>
      </c>
      <c r="B4818">
        <v>2017</v>
      </c>
      <c r="C4818" t="s">
        <v>46</v>
      </c>
      <c r="D4818" t="s">
        <v>13</v>
      </c>
      <c r="E4818" t="e">
        <f>VLOOKUP(Cpi_[[#This Row],[Attribute]],#REF!,2,FALSE)</f>
        <v>#REF!</v>
      </c>
      <c r="F4818">
        <v>125.7</v>
      </c>
      <c r="G4818">
        <f>(Cpi_[[#This Row],[Value]]-F4817)/F4817</f>
        <v>-0.10021474588403713</v>
      </c>
      <c r="H4818" t="e" cm="1" vm="1">
        <f t="array" aca="1" ref="H4818" ca="1">VLOOKUP(Cpi_[[#This Row],[Year]:[Month]],crudeoil[],3,FALSE)</f>
        <v>#VALUE!</v>
      </c>
    </row>
    <row r="4819" spans="1:8" hidden="1" x14ac:dyDescent="0.3">
      <c r="A4819" t="s">
        <v>33</v>
      </c>
      <c r="B4819">
        <v>2017</v>
      </c>
      <c r="C4819" t="s">
        <v>46</v>
      </c>
      <c r="D4819" t="s">
        <v>14</v>
      </c>
      <c r="E4819" t="e">
        <f>VLOOKUP(Cpi_[[#This Row],[Attribute]],#REF!,2,FALSE)</f>
        <v>#REF!</v>
      </c>
      <c r="F4819">
        <v>146.30000000000001</v>
      </c>
      <c r="G4819">
        <f>(Cpi_[[#This Row],[Value]]-F4818)/F4818</f>
        <v>0.16388225934765321</v>
      </c>
      <c r="H4819" t="e" cm="1" vm="1">
        <f t="array" aca="1" ref="H4819" ca="1">VLOOKUP(Cpi_[[#This Row],[Year]:[Month]],crudeoil[],3,FALSE)</f>
        <v>#VALUE!</v>
      </c>
    </row>
    <row r="4820" spans="1:8" hidden="1" x14ac:dyDescent="0.3">
      <c r="A4820" t="s">
        <v>33</v>
      </c>
      <c r="B4820">
        <v>2017</v>
      </c>
      <c r="C4820" t="s">
        <v>46</v>
      </c>
      <c r="D4820" t="s">
        <v>15</v>
      </c>
      <c r="E4820" t="e">
        <f>VLOOKUP(Cpi_[[#This Row],[Attribute]],#REF!,2,FALSE)</f>
        <v>#REF!</v>
      </c>
      <c r="F4820">
        <v>138.80000000000001</v>
      </c>
      <c r="G4820">
        <f>(Cpi_[[#This Row],[Value]]-F4819)/F4819</f>
        <v>-5.1264524948735471E-2</v>
      </c>
      <c r="H4820" t="e" cm="1" vm="1">
        <f t="array" aca="1" ref="H4820" ca="1">VLOOKUP(Cpi_[[#This Row],[Year]:[Month]],crudeoil[],3,FALSE)</f>
        <v>#VALUE!</v>
      </c>
    </row>
    <row r="4821" spans="1:8" hidden="1" x14ac:dyDescent="0.3">
      <c r="A4821" t="s">
        <v>33</v>
      </c>
      <c r="B4821">
        <v>2017</v>
      </c>
      <c r="C4821" t="s">
        <v>46</v>
      </c>
      <c r="D4821" t="s">
        <v>16</v>
      </c>
      <c r="E4821" t="e">
        <f>VLOOKUP(Cpi_[[#This Row],[Attribute]],#REF!,2,FALSE)</f>
        <v>#REF!</v>
      </c>
      <c r="F4821">
        <v>157</v>
      </c>
      <c r="G4821">
        <f>(Cpi_[[#This Row],[Value]]-F4820)/F4820</f>
        <v>0.13112391930835726</v>
      </c>
      <c r="H4821" t="e" cm="1" vm="1">
        <f t="array" aca="1" ref="H4821" ca="1">VLOOKUP(Cpi_[[#This Row],[Year]:[Month]],crudeoil[],3,FALSE)</f>
        <v>#VALUE!</v>
      </c>
    </row>
    <row r="4822" spans="1:8" hidden="1" x14ac:dyDescent="0.3">
      <c r="A4822" t="s">
        <v>33</v>
      </c>
      <c r="B4822">
        <v>2017</v>
      </c>
      <c r="C4822" t="s">
        <v>46</v>
      </c>
      <c r="D4822" t="s">
        <v>17</v>
      </c>
      <c r="E4822" t="e">
        <f>VLOOKUP(Cpi_[[#This Row],[Attribute]],#REF!,2,FALSE)</f>
        <v>#REF!</v>
      </c>
      <c r="F4822">
        <v>135.6</v>
      </c>
      <c r="G4822">
        <f>(Cpi_[[#This Row],[Value]]-F4821)/F4821</f>
        <v>-0.13630573248407646</v>
      </c>
      <c r="H4822" t="e" cm="1" vm="1">
        <f t="array" aca="1" ref="H4822" ca="1">VLOOKUP(Cpi_[[#This Row],[Year]:[Month]],crudeoil[],3,FALSE)</f>
        <v>#VALUE!</v>
      </c>
    </row>
    <row r="4823" spans="1:8" hidden="1" x14ac:dyDescent="0.3">
      <c r="A4823" t="s">
        <v>33</v>
      </c>
      <c r="B4823">
        <v>2017</v>
      </c>
      <c r="C4823" t="s">
        <v>46</v>
      </c>
      <c r="D4823" t="s">
        <v>18</v>
      </c>
      <c r="E4823" t="e">
        <f>VLOOKUP(Cpi_[[#This Row],[Attribute]],#REF!,2,FALSE)</f>
        <v>#REF!</v>
      </c>
      <c r="F4823">
        <v>125.6</v>
      </c>
      <c r="G4823">
        <f>(Cpi_[[#This Row],[Value]]-F4822)/F4822</f>
        <v>-7.3746312684365781E-2</v>
      </c>
      <c r="H4823" t="e" cm="1" vm="1">
        <f t="array" aca="1" ref="H4823" ca="1">VLOOKUP(Cpi_[[#This Row],[Year]:[Month]],crudeoil[],3,FALSE)</f>
        <v>#VALUE!</v>
      </c>
    </row>
    <row r="4824" spans="1:8" hidden="1" x14ac:dyDescent="0.3">
      <c r="A4824" t="s">
        <v>33</v>
      </c>
      <c r="B4824">
        <v>2017</v>
      </c>
      <c r="C4824" t="s">
        <v>46</v>
      </c>
      <c r="D4824" t="s">
        <v>19</v>
      </c>
      <c r="E4824" t="e">
        <f>VLOOKUP(Cpi_[[#This Row],[Attribute]],#REF!,2,FALSE)</f>
        <v>#REF!</v>
      </c>
      <c r="F4824">
        <v>134</v>
      </c>
      <c r="G4824">
        <f>(Cpi_[[#This Row],[Value]]-F4823)/F4823</f>
        <v>6.68789808917198E-2</v>
      </c>
      <c r="H4824" t="e" cm="1" vm="1">
        <f t="array" aca="1" ref="H4824" ca="1">VLOOKUP(Cpi_[[#This Row],[Year]:[Month]],crudeoil[],3,FALSE)</f>
        <v>#VALUE!</v>
      </c>
    </row>
    <row r="4825" spans="1:8" hidden="1" x14ac:dyDescent="0.3">
      <c r="A4825" t="s">
        <v>33</v>
      </c>
      <c r="B4825">
        <v>2017</v>
      </c>
      <c r="C4825" t="s">
        <v>46</v>
      </c>
      <c r="D4825" t="s">
        <v>20</v>
      </c>
      <c r="E4825" t="e">
        <f>VLOOKUP(Cpi_[[#This Row],[Attribute]],#REF!,2,FALSE)</f>
        <v>#REF!</v>
      </c>
      <c r="F4825">
        <v>139.1</v>
      </c>
      <c r="G4825">
        <f>(Cpi_[[#This Row],[Value]]-F4824)/F4824</f>
        <v>3.8059701492537269E-2</v>
      </c>
      <c r="H4825" t="e" cm="1" vm="1">
        <f t="array" aca="1" ref="H4825" ca="1">VLOOKUP(Cpi_[[#This Row],[Year]:[Month]],crudeoil[],3,FALSE)</f>
        <v>#VALUE!</v>
      </c>
    </row>
    <row r="4826" spans="1:8" hidden="1" x14ac:dyDescent="0.3">
      <c r="A4826" t="s">
        <v>33</v>
      </c>
      <c r="B4826">
        <v>2017</v>
      </c>
      <c r="C4826" t="s">
        <v>46</v>
      </c>
      <c r="D4826" t="s">
        <v>21</v>
      </c>
      <c r="E4826" t="e">
        <f>VLOOKUP(Cpi_[[#This Row],[Attribute]],#REF!,2,FALSE)</f>
        <v>#REF!</v>
      </c>
      <c r="F4826">
        <v>126.8</v>
      </c>
      <c r="G4826">
        <f>(Cpi_[[#This Row],[Value]]-F4825)/F4825</f>
        <v>-8.8425593098490282E-2</v>
      </c>
      <c r="H4826" t="e" cm="1" vm="1">
        <f t="array" aca="1" ref="H4826" ca="1">VLOOKUP(Cpi_[[#This Row],[Year]:[Month]],crudeoil[],3,FALSE)</f>
        <v>#VALUE!</v>
      </c>
    </row>
    <row r="4827" spans="1:8" hidden="1" x14ac:dyDescent="0.3">
      <c r="A4827" t="s">
        <v>33</v>
      </c>
      <c r="B4827">
        <v>2017</v>
      </c>
      <c r="C4827" t="s">
        <v>46</v>
      </c>
      <c r="D4827" t="s">
        <v>22</v>
      </c>
      <c r="E4827" t="e">
        <f>VLOOKUP(Cpi_[[#This Row],[Attribute]],#REF!,2,FALSE)</f>
        <v>#REF!</v>
      </c>
      <c r="F4827">
        <v>129.30000000000001</v>
      </c>
      <c r="G4827">
        <f>(Cpi_[[#This Row],[Value]]-F4826)/F4826</f>
        <v>1.9716088328075823E-2</v>
      </c>
      <c r="H4827" t="e" cm="1" vm="1">
        <f t="array" aca="1" ref="H4827" ca="1">VLOOKUP(Cpi_[[#This Row],[Year]:[Month]],crudeoil[],3,FALSE)</f>
        <v>#VALUE!</v>
      </c>
    </row>
    <row r="4828" spans="1:8" hidden="1" x14ac:dyDescent="0.3">
      <c r="A4828" t="s">
        <v>33</v>
      </c>
      <c r="B4828">
        <v>2017</v>
      </c>
      <c r="C4828" t="s">
        <v>46</v>
      </c>
      <c r="D4828" t="s">
        <v>23</v>
      </c>
      <c r="E4828" t="e">
        <f>VLOOKUP(Cpi_[[#This Row],[Attribute]],#REF!,2,FALSE)</f>
        <v>#REF!</v>
      </c>
      <c r="F4828">
        <v>128.19999999999999</v>
      </c>
      <c r="G4828">
        <f>(Cpi_[[#This Row],[Value]]-F4827)/F4827</f>
        <v>-8.5073472544471979E-3</v>
      </c>
      <c r="H4828" t="e" cm="1" vm="1">
        <f t="array" aca="1" ref="H4828" ca="1">VLOOKUP(Cpi_[[#This Row],[Year]:[Month]],crudeoil[],3,FALSE)</f>
        <v>#VALUE!</v>
      </c>
    </row>
    <row r="4829" spans="1:8" hidden="1" x14ac:dyDescent="0.3">
      <c r="A4829" t="s">
        <v>33</v>
      </c>
      <c r="B4829">
        <v>2017</v>
      </c>
      <c r="C4829" t="s">
        <v>46</v>
      </c>
      <c r="D4829" t="s">
        <v>24</v>
      </c>
      <c r="E4829" t="e">
        <f>VLOOKUP(Cpi_[[#This Row],[Attribute]],#REF!,2,FALSE)</f>
        <v>#REF!</v>
      </c>
      <c r="F4829">
        <v>115.3</v>
      </c>
      <c r="G4829">
        <f>(Cpi_[[#This Row],[Value]]-F4828)/F4828</f>
        <v>-0.10062402496099838</v>
      </c>
      <c r="H4829" t="e" cm="1" vm="1">
        <f t="array" aca="1" ref="H4829" ca="1">VLOOKUP(Cpi_[[#This Row],[Year]:[Month]],crudeoil[],3,FALSE)</f>
        <v>#VALUE!</v>
      </c>
    </row>
    <row r="4830" spans="1:8" hidden="1" x14ac:dyDescent="0.3">
      <c r="A4830" t="s">
        <v>33</v>
      </c>
      <c r="B4830">
        <v>2017</v>
      </c>
      <c r="C4830" t="s">
        <v>46</v>
      </c>
      <c r="D4830" t="s">
        <v>25</v>
      </c>
      <c r="E4830" t="e">
        <f>VLOOKUP(Cpi_[[#This Row],[Attribute]],#REF!,2,FALSE)</f>
        <v>#REF!</v>
      </c>
      <c r="F4830">
        <v>125.6</v>
      </c>
      <c r="G4830">
        <f>(Cpi_[[#This Row],[Value]]-F4829)/F4829</f>
        <v>8.9332176929748458E-2</v>
      </c>
      <c r="H4830" t="e" cm="1" vm="1">
        <f t="array" aca="1" ref="H4830" ca="1">VLOOKUP(Cpi_[[#This Row],[Year]:[Month]],crudeoil[],3,FALSE)</f>
        <v>#VALUE!</v>
      </c>
    </row>
    <row r="4831" spans="1:8" hidden="1" x14ac:dyDescent="0.3">
      <c r="A4831" t="s">
        <v>33</v>
      </c>
      <c r="B4831">
        <v>2017</v>
      </c>
      <c r="C4831" t="s">
        <v>46</v>
      </c>
      <c r="D4831" t="s">
        <v>26</v>
      </c>
      <c r="E4831" t="e">
        <f>VLOOKUP(Cpi_[[#This Row],[Attribute]],#REF!,2,FALSE)</f>
        <v>#REF!</v>
      </c>
      <c r="F4831">
        <v>136.69999999999999</v>
      </c>
      <c r="G4831">
        <f>(Cpi_[[#This Row],[Value]]-F4830)/F4830</f>
        <v>8.8375796178343902E-2</v>
      </c>
      <c r="H4831" t="e" cm="1" vm="1">
        <f t="array" aca="1" ref="H4831" ca="1">VLOOKUP(Cpi_[[#This Row],[Year]:[Month]],crudeoil[],3,FALSE)</f>
        <v>#VALUE!</v>
      </c>
    </row>
    <row r="4832" spans="1:8" hidden="1" x14ac:dyDescent="0.3">
      <c r="A4832" t="s">
        <v>33</v>
      </c>
      <c r="B4832">
        <v>2017</v>
      </c>
      <c r="C4832" t="s">
        <v>46</v>
      </c>
      <c r="D4832" t="s">
        <v>27</v>
      </c>
      <c r="E4832" t="e">
        <f>VLOOKUP(Cpi_[[#This Row],[Attribute]],#REF!,2,FALSE)</f>
        <v>#REF!</v>
      </c>
      <c r="F4832">
        <v>124.6</v>
      </c>
      <c r="G4832">
        <f>(Cpi_[[#This Row],[Value]]-F4831)/F4831</f>
        <v>-8.851499634235549E-2</v>
      </c>
      <c r="H4832" t="e" cm="1" vm="1">
        <f t="array" aca="1" ref="H4832" ca="1">VLOOKUP(Cpi_[[#This Row],[Year]:[Month]],crudeoil[],3,FALSE)</f>
        <v>#VALUE!</v>
      </c>
    </row>
    <row r="4833" spans="1:8" hidden="1" x14ac:dyDescent="0.3">
      <c r="A4833" t="s">
        <v>33</v>
      </c>
      <c r="B4833">
        <v>2017</v>
      </c>
      <c r="C4833" t="s">
        <v>46</v>
      </c>
      <c r="D4833" t="s">
        <v>28</v>
      </c>
      <c r="E4833" t="e">
        <f>VLOOKUP(Cpi_[[#This Row],[Attribute]],#REF!,2,FALSE)</f>
        <v>#REF!</v>
      </c>
      <c r="F4833">
        <v>125.1</v>
      </c>
      <c r="G4833">
        <f>(Cpi_[[#This Row],[Value]]-F4832)/F4832</f>
        <v>4.0128410914927774E-3</v>
      </c>
      <c r="H4833" t="e" cm="1" vm="1">
        <f t="array" aca="1" ref="H4833" ca="1">VLOOKUP(Cpi_[[#This Row],[Year]:[Month]],crudeoil[],3,FALSE)</f>
        <v>#VALUE!</v>
      </c>
    </row>
    <row r="4834" spans="1:8" hidden="1" x14ac:dyDescent="0.3">
      <c r="A4834" t="s">
        <v>33</v>
      </c>
      <c r="B4834">
        <v>2017</v>
      </c>
      <c r="C4834" t="s">
        <v>46</v>
      </c>
      <c r="D4834" t="s">
        <v>29</v>
      </c>
      <c r="E4834" t="e" cm="1">
        <f t="array" aca="1" ref="E4834" ca="1">VLGeneral indexGeneral indexKUP(Cpi_[[#This Row],[Attribute]],#REF!,2,FALSE)</f>
        <v>#NAME?</v>
      </c>
      <c r="F4834">
        <v>134.1</v>
      </c>
      <c r="G4834">
        <f>(Cpi_[[#This Row],[Value]]-F4833)/F4833</f>
        <v>7.1942446043165464E-2</v>
      </c>
      <c r="H4834" t="e" cm="1" vm="1">
        <f t="array" aca="1" ref="H4834" ca="1">VLOOKUP(Cpi_[[#This Row],[Year]:[Month]],crudeoil[],3,FALSE)</f>
        <v>#VALUE!</v>
      </c>
    </row>
    <row r="4835" spans="1:8" hidden="1" x14ac:dyDescent="0.3">
      <c r="A4835" t="s">
        <v>34</v>
      </c>
      <c r="B4835">
        <v>2017</v>
      </c>
      <c r="C4835" t="s">
        <v>46</v>
      </c>
      <c r="D4835" t="s">
        <v>3</v>
      </c>
      <c r="E4835" t="e">
        <f>VLOOKUP(Cpi_[[#This Row],[Attribute]],#REF!,2,FALSE)</f>
        <v>#REF!</v>
      </c>
      <c r="F4835">
        <v>135.80000000000001</v>
      </c>
      <c r="G4835">
        <f>(Cpi_[[#This Row],[Value]]-F4834)/F4834</f>
        <v>1.2677106636838308E-2</v>
      </c>
      <c r="H4835" t="e" cm="1" vm="1">
        <f t="array" aca="1" ref="H4835" ca="1">VLOOKUP(Cpi_[[#This Row],[Year]:[Month]],crudeoil[],3,FALSE)</f>
        <v>#VALUE!</v>
      </c>
    </row>
    <row r="4836" spans="1:8" hidden="1" x14ac:dyDescent="0.3">
      <c r="A4836" t="s">
        <v>34</v>
      </c>
      <c r="B4836">
        <v>2017</v>
      </c>
      <c r="C4836" t="s">
        <v>46</v>
      </c>
      <c r="D4836" t="s">
        <v>4</v>
      </c>
      <c r="E4836" t="e">
        <f>VLOOKUP(Cpi_[[#This Row],[Attribute]],#REF!,2,FALSE)</f>
        <v>#REF!</v>
      </c>
      <c r="F4836">
        <v>143.30000000000001</v>
      </c>
      <c r="G4836">
        <f>(Cpi_[[#This Row],[Value]]-F4835)/F4835</f>
        <v>5.5228276877761412E-2</v>
      </c>
      <c r="H4836" t="e" cm="1" vm="1">
        <f t="array" aca="1" ref="H4836" ca="1">VLOOKUP(Cpi_[[#This Row],[Year]:[Month]],crudeoil[],3,FALSE)</f>
        <v>#VALUE!</v>
      </c>
    </row>
    <row r="4837" spans="1:8" hidden="1" x14ac:dyDescent="0.3">
      <c r="A4837" t="s">
        <v>34</v>
      </c>
      <c r="B4837">
        <v>2017</v>
      </c>
      <c r="C4837" t="s">
        <v>46</v>
      </c>
      <c r="D4837" t="s">
        <v>5</v>
      </c>
      <c r="E4837" t="e">
        <f>VLOOKUP(Cpi_[[#This Row],[Attribute]],#REF!,2,FALSE)</f>
        <v>#REF!</v>
      </c>
      <c r="F4837">
        <v>145.19999999999999</v>
      </c>
      <c r="G4837">
        <f>(Cpi_[[#This Row],[Value]]-F4836)/F4836</f>
        <v>1.3258897418004028E-2</v>
      </c>
      <c r="H4837" t="e" cm="1" vm="1">
        <f t="array" aca="1" ref="H4837" ca="1">VLOOKUP(Cpi_[[#This Row],[Year]:[Month]],crudeoil[],3,FALSE)</f>
        <v>#VALUE!</v>
      </c>
    </row>
    <row r="4838" spans="1:8" hidden="1" x14ac:dyDescent="0.3">
      <c r="A4838" t="s">
        <v>34</v>
      </c>
      <c r="B4838">
        <v>2017</v>
      </c>
      <c r="C4838" t="s">
        <v>46</v>
      </c>
      <c r="D4838" t="s">
        <v>6</v>
      </c>
      <c r="E4838" t="e">
        <f>VLOOKUP(Cpi_[[#This Row],[Attribute]],#REF!,2,FALSE)</f>
        <v>#REF!</v>
      </c>
      <c r="F4838">
        <v>141</v>
      </c>
      <c r="G4838">
        <f>(Cpi_[[#This Row],[Value]]-F4837)/F4837</f>
        <v>-2.8925619834710668E-2</v>
      </c>
      <c r="H4838" t="e" cm="1" vm="1">
        <f t="array" aca="1" ref="H4838" ca="1">VLOOKUP(Cpi_[[#This Row],[Year]:[Month]],crudeoil[],3,FALSE)</f>
        <v>#VALUE!</v>
      </c>
    </row>
    <row r="4839" spans="1:8" hidden="1" x14ac:dyDescent="0.3">
      <c r="A4839" t="s">
        <v>34</v>
      </c>
      <c r="B4839">
        <v>2017</v>
      </c>
      <c r="C4839" t="s">
        <v>46</v>
      </c>
      <c r="D4839" t="s">
        <v>7</v>
      </c>
      <c r="E4839" t="e">
        <f>VLOOKUP(Cpi_[[#This Row],[Attribute]],#REF!,2,FALSE)</f>
        <v>#REF!</v>
      </c>
      <c r="F4839">
        <v>120.5</v>
      </c>
      <c r="G4839">
        <f>(Cpi_[[#This Row],[Value]]-F4838)/F4838</f>
        <v>-0.1453900709219858</v>
      </c>
      <c r="H4839" t="e" cm="1" vm="1">
        <f t="array" aca="1" ref="H4839" ca="1">VLOOKUP(Cpi_[[#This Row],[Year]:[Month]],crudeoil[],3,FALSE)</f>
        <v>#VALUE!</v>
      </c>
    </row>
    <row r="4840" spans="1:8" hidden="1" x14ac:dyDescent="0.3">
      <c r="A4840" t="s">
        <v>34</v>
      </c>
      <c r="B4840">
        <v>2017</v>
      </c>
      <c r="C4840" t="s">
        <v>46</v>
      </c>
      <c r="D4840" t="s">
        <v>8</v>
      </c>
      <c r="E4840" t="e">
        <f>VLOOKUP(Cpi_[[#This Row],[Attribute]],#REF!,2,FALSE)</f>
        <v>#REF!</v>
      </c>
      <c r="F4840">
        <v>141.5</v>
      </c>
      <c r="G4840">
        <f>(Cpi_[[#This Row],[Value]]-F4839)/F4839</f>
        <v>0.17427385892116182</v>
      </c>
      <c r="H4840" t="e" cm="1" vm="1">
        <f t="array" aca="1" ref="H4840" ca="1">VLOOKUP(Cpi_[[#This Row],[Year]:[Month]],crudeoil[],3,FALSE)</f>
        <v>#VALUE!</v>
      </c>
    </row>
    <row r="4841" spans="1:8" hidden="1" x14ac:dyDescent="0.3">
      <c r="A4841" t="s">
        <v>34</v>
      </c>
      <c r="B4841">
        <v>2017</v>
      </c>
      <c r="C4841" t="s">
        <v>46</v>
      </c>
      <c r="D4841" t="s">
        <v>9</v>
      </c>
      <c r="E4841" t="e">
        <f>VLOOKUP(Cpi_[[#This Row],[Attribute]],#REF!,2,FALSE)</f>
        <v>#REF!</v>
      </c>
      <c r="F4841">
        <v>161.69999999999999</v>
      </c>
      <c r="G4841">
        <f>(Cpi_[[#This Row],[Value]]-F4840)/F4840</f>
        <v>0.14275618374558297</v>
      </c>
      <c r="H4841" t="e" cm="1" vm="1">
        <f t="array" aca="1" ref="H4841" ca="1">VLOOKUP(Cpi_[[#This Row],[Year]:[Month]],crudeoil[],3,FALSE)</f>
        <v>#VALUE!</v>
      </c>
    </row>
    <row r="4842" spans="1:8" hidden="1" x14ac:dyDescent="0.3">
      <c r="A4842" t="s">
        <v>34</v>
      </c>
      <c r="B4842">
        <v>2017</v>
      </c>
      <c r="C4842" t="s">
        <v>46</v>
      </c>
      <c r="D4842" t="s">
        <v>10</v>
      </c>
      <c r="E4842" t="e">
        <f>VLOOKUP(Cpi_[[#This Row],[Attribute]],#REF!,2,FALSE)</f>
        <v>#REF!</v>
      </c>
      <c r="F4842">
        <v>129.1</v>
      </c>
      <c r="G4842">
        <f>(Cpi_[[#This Row],[Value]]-F4841)/F4841</f>
        <v>-0.20160791589363017</v>
      </c>
      <c r="H4842" t="e" cm="1" vm="1">
        <f t="array" aca="1" ref="H4842" ca="1">VLOOKUP(Cpi_[[#This Row],[Year]:[Month]],crudeoil[],3,FALSE)</f>
        <v>#VALUE!</v>
      </c>
    </row>
    <row r="4843" spans="1:8" hidden="1" x14ac:dyDescent="0.3">
      <c r="A4843" t="s">
        <v>34</v>
      </c>
      <c r="B4843">
        <v>2017</v>
      </c>
      <c r="C4843" t="s">
        <v>46</v>
      </c>
      <c r="D4843" t="s">
        <v>11</v>
      </c>
      <c r="E4843" t="e">
        <f>VLOOKUP(Cpi_[[#This Row],[Attribute]],#REF!,2,FALSE)</f>
        <v>#REF!</v>
      </c>
      <c r="F4843">
        <v>121.5</v>
      </c>
      <c r="G4843">
        <f>(Cpi_[[#This Row],[Value]]-F4842)/F4842</f>
        <v>-5.8869093725793915E-2</v>
      </c>
      <c r="H4843" t="e" cm="1" vm="1">
        <f t="array" aca="1" ref="H4843" ca="1">VLOOKUP(Cpi_[[#This Row],[Year]:[Month]],crudeoil[],3,FALSE)</f>
        <v>#VALUE!</v>
      </c>
    </row>
    <row r="4844" spans="1:8" hidden="1" x14ac:dyDescent="0.3">
      <c r="A4844" t="s">
        <v>34</v>
      </c>
      <c r="B4844">
        <v>2017</v>
      </c>
      <c r="C4844" t="s">
        <v>46</v>
      </c>
      <c r="D4844" t="s">
        <v>12</v>
      </c>
      <c r="E4844" t="e">
        <f>VLOOKUP(Cpi_[[#This Row],[Attribute]],#REF!,2,FALSE)</f>
        <v>#REF!</v>
      </c>
      <c r="F4844">
        <v>137.1</v>
      </c>
      <c r="G4844">
        <f>(Cpi_[[#This Row],[Value]]-F4843)/F4843</f>
        <v>0.12839506172839502</v>
      </c>
      <c r="H4844" t="e" cm="1" vm="1">
        <f t="array" aca="1" ref="H4844" ca="1">VLOOKUP(Cpi_[[#This Row],[Year]:[Month]],crudeoil[],3,FALSE)</f>
        <v>#VALUE!</v>
      </c>
    </row>
    <row r="4845" spans="1:8" hidden="1" x14ac:dyDescent="0.3">
      <c r="A4845" t="s">
        <v>34</v>
      </c>
      <c r="B4845">
        <v>2017</v>
      </c>
      <c r="C4845" t="s">
        <v>46</v>
      </c>
      <c r="D4845" t="s">
        <v>13</v>
      </c>
      <c r="E4845" t="e">
        <f>VLOOKUP(Cpi_[[#This Row],[Attribute]],#REF!,2,FALSE)</f>
        <v>#REF!</v>
      </c>
      <c r="F4845">
        <v>128.80000000000001</v>
      </c>
      <c r="G4845">
        <f>(Cpi_[[#This Row],[Value]]-F4844)/F4844</f>
        <v>-6.0539752005835036E-2</v>
      </c>
      <c r="H4845" t="e" cm="1" vm="1">
        <f t="array" aca="1" ref="H4845" ca="1">VLOOKUP(Cpi_[[#This Row],[Year]:[Month]],crudeoil[],3,FALSE)</f>
        <v>#VALUE!</v>
      </c>
    </row>
    <row r="4846" spans="1:8" hidden="1" x14ac:dyDescent="0.3">
      <c r="A4846" t="s">
        <v>34</v>
      </c>
      <c r="B4846">
        <v>2017</v>
      </c>
      <c r="C4846" t="s">
        <v>46</v>
      </c>
      <c r="D4846" t="s">
        <v>14</v>
      </c>
      <c r="E4846" t="e">
        <f>VLOOKUP(Cpi_[[#This Row],[Attribute]],#REF!,2,FALSE)</f>
        <v>#REF!</v>
      </c>
      <c r="F4846">
        <v>149</v>
      </c>
      <c r="G4846">
        <f>(Cpi_[[#This Row],[Value]]-F4845)/F4845</f>
        <v>0.15683229813664587</v>
      </c>
      <c r="H4846" t="e" cm="1" vm="1">
        <f t="array" aca="1" ref="H4846" ca="1">VLOOKUP(Cpi_[[#This Row],[Year]:[Month]],crudeoil[],3,FALSE)</f>
        <v>#VALUE!</v>
      </c>
    </row>
    <row r="4847" spans="1:8" hidden="1" x14ac:dyDescent="0.3">
      <c r="A4847" t="s">
        <v>34</v>
      </c>
      <c r="B4847">
        <v>2017</v>
      </c>
      <c r="C4847" t="s">
        <v>46</v>
      </c>
      <c r="D4847" t="s">
        <v>15</v>
      </c>
      <c r="E4847" t="e">
        <f>VLOOKUP(Cpi_[[#This Row],[Attribute]],#REF!,2,FALSE)</f>
        <v>#REF!</v>
      </c>
      <c r="F4847">
        <v>140.5</v>
      </c>
      <c r="G4847">
        <f>(Cpi_[[#This Row],[Value]]-F4846)/F4846</f>
        <v>-5.7046979865771813E-2</v>
      </c>
      <c r="H4847" t="e" cm="1" vm="1">
        <f t="array" aca="1" ref="H4847" ca="1">VLOOKUP(Cpi_[[#This Row],[Year]:[Month]],crudeoil[],3,FALSE)</f>
        <v>#VALUE!</v>
      </c>
    </row>
    <row r="4848" spans="1:8" hidden="1" x14ac:dyDescent="0.3">
      <c r="A4848" t="s">
        <v>34</v>
      </c>
      <c r="B4848">
        <v>2017</v>
      </c>
      <c r="C4848" t="s">
        <v>46</v>
      </c>
      <c r="D4848" t="s">
        <v>16</v>
      </c>
      <c r="E4848" t="e">
        <f>VLOOKUP(Cpi_[[#This Row],[Attribute]],#REF!,2,FALSE)</f>
        <v>#REF!</v>
      </c>
      <c r="F4848">
        <v>154.19999999999999</v>
      </c>
      <c r="G4848">
        <f>(Cpi_[[#This Row],[Value]]-F4847)/F4847</f>
        <v>9.7508896797152939E-2</v>
      </c>
      <c r="H4848" t="e" cm="1" vm="1">
        <f t="array" aca="1" ref="H4848" ca="1">VLOOKUP(Cpi_[[#This Row],[Year]:[Month]],crudeoil[],3,FALSE)</f>
        <v>#VALUE!</v>
      </c>
    </row>
    <row r="4849" spans="1:8" hidden="1" x14ac:dyDescent="0.3">
      <c r="A4849" t="s">
        <v>34</v>
      </c>
      <c r="B4849">
        <v>2017</v>
      </c>
      <c r="C4849" t="s">
        <v>46</v>
      </c>
      <c r="D4849" t="s">
        <v>17</v>
      </c>
      <c r="E4849" t="e">
        <f>VLOOKUP(Cpi_[[#This Row],[Attribute]],#REF!,2,FALSE)</f>
        <v>#REF!</v>
      </c>
      <c r="F4849">
        <v>143.1</v>
      </c>
      <c r="G4849">
        <f>(Cpi_[[#This Row],[Value]]-F4848)/F4848</f>
        <v>-7.1984435797665336E-2</v>
      </c>
      <c r="H4849" t="e" cm="1" vm="1">
        <f t="array" aca="1" ref="H4849" ca="1">VLOOKUP(Cpi_[[#This Row],[Year]:[Month]],crudeoil[],3,FALSE)</f>
        <v>#VALUE!</v>
      </c>
    </row>
    <row r="4850" spans="1:8" hidden="1" x14ac:dyDescent="0.3">
      <c r="A4850" t="s">
        <v>34</v>
      </c>
      <c r="B4850">
        <v>2017</v>
      </c>
      <c r="C4850" t="s">
        <v>46</v>
      </c>
      <c r="D4850" t="s">
        <v>18</v>
      </c>
      <c r="E4850" t="e">
        <f>VLOOKUP(Cpi_[[#This Row],[Attribute]],#REF!,2,FALSE)</f>
        <v>#REF!</v>
      </c>
      <c r="F4850">
        <v>135.1</v>
      </c>
      <c r="G4850">
        <f>(Cpi_[[#This Row],[Value]]-F4849)/F4849</f>
        <v>-5.5904961565338925E-2</v>
      </c>
      <c r="H4850" t="e" cm="1" vm="1">
        <f t="array" aca="1" ref="H4850" ca="1">VLOOKUP(Cpi_[[#This Row],[Year]:[Month]],crudeoil[],3,FALSE)</f>
        <v>#VALUE!</v>
      </c>
    </row>
    <row r="4851" spans="1:8" hidden="1" x14ac:dyDescent="0.3">
      <c r="A4851" t="s">
        <v>34</v>
      </c>
      <c r="B4851">
        <v>2017</v>
      </c>
      <c r="C4851" t="s">
        <v>46</v>
      </c>
      <c r="D4851" t="s">
        <v>19</v>
      </c>
      <c r="E4851" t="e">
        <f>VLOOKUP(Cpi_[[#This Row],[Attribute]],#REF!,2,FALSE)</f>
        <v>#REF!</v>
      </c>
      <c r="F4851">
        <v>142</v>
      </c>
      <c r="G4851">
        <f>(Cpi_[[#This Row],[Value]]-F4850)/F4850</f>
        <v>5.1073279052553711E-2</v>
      </c>
      <c r="H4851" t="e" cm="1" vm="1">
        <f t="array" aca="1" ref="H4851" ca="1">VLOOKUP(Cpi_[[#This Row],[Year]:[Month]],crudeoil[],3,FALSE)</f>
        <v>#VALUE!</v>
      </c>
    </row>
    <row r="4852" spans="1:8" hidden="1" x14ac:dyDescent="0.3">
      <c r="A4852" t="s">
        <v>34</v>
      </c>
      <c r="B4852">
        <v>2017</v>
      </c>
      <c r="C4852" t="s">
        <v>46</v>
      </c>
      <c r="D4852" t="s">
        <v>20</v>
      </c>
      <c r="E4852" t="e">
        <f>VLOOKUP(Cpi_[[#This Row],[Attribute]],#REF!,2,FALSE)</f>
        <v>#REF!</v>
      </c>
      <c r="F4852">
        <v>139.1</v>
      </c>
      <c r="G4852">
        <f>(Cpi_[[#This Row],[Value]]-F4851)/F4851</f>
        <v>-2.0422535211267644E-2</v>
      </c>
      <c r="H4852" t="e" cm="1" vm="1">
        <f t="array" aca="1" ref="H4852" ca="1">VLOOKUP(Cpi_[[#This Row],[Year]:[Month]],crudeoil[],3,FALSE)</f>
        <v>#VALUE!</v>
      </c>
    </row>
    <row r="4853" spans="1:8" hidden="1" x14ac:dyDescent="0.3">
      <c r="A4853" t="s">
        <v>34</v>
      </c>
      <c r="B4853">
        <v>2017</v>
      </c>
      <c r="C4853" t="s">
        <v>46</v>
      </c>
      <c r="D4853" t="s">
        <v>21</v>
      </c>
      <c r="E4853" t="e">
        <f>VLOOKUP(Cpi_[[#This Row],[Attribute]],#REF!,2,FALSE)</f>
        <v>#REF!</v>
      </c>
      <c r="F4853">
        <v>136.6</v>
      </c>
      <c r="G4853">
        <f>(Cpi_[[#This Row],[Value]]-F4852)/F4852</f>
        <v>-1.7972681524083396E-2</v>
      </c>
      <c r="H4853" t="e" cm="1" vm="1">
        <f t="array" aca="1" ref="H4853" ca="1">VLOOKUP(Cpi_[[#This Row],[Year]:[Month]],crudeoil[],3,FALSE)</f>
        <v>#VALUE!</v>
      </c>
    </row>
    <row r="4854" spans="1:8" hidden="1" x14ac:dyDescent="0.3">
      <c r="A4854" t="s">
        <v>34</v>
      </c>
      <c r="B4854">
        <v>2017</v>
      </c>
      <c r="C4854" t="s">
        <v>46</v>
      </c>
      <c r="D4854" t="s">
        <v>22</v>
      </c>
      <c r="E4854" t="e">
        <f>VLOOKUP(Cpi_[[#This Row],[Attribute]],#REF!,2,FALSE)</f>
        <v>#REF!</v>
      </c>
      <c r="F4854">
        <v>134.69999999999999</v>
      </c>
      <c r="G4854">
        <f>(Cpi_[[#This Row],[Value]]-F4853)/F4853</f>
        <v>-1.3909224011713073E-2</v>
      </c>
      <c r="H4854" t="e" cm="1" vm="1">
        <f t="array" aca="1" ref="H4854" ca="1">VLOOKUP(Cpi_[[#This Row],[Year]:[Month]],crudeoil[],3,FALSE)</f>
        <v>#VALUE!</v>
      </c>
    </row>
    <row r="4855" spans="1:8" hidden="1" x14ac:dyDescent="0.3">
      <c r="A4855" t="s">
        <v>34</v>
      </c>
      <c r="B4855">
        <v>2017</v>
      </c>
      <c r="C4855" t="s">
        <v>46</v>
      </c>
      <c r="D4855" t="s">
        <v>23</v>
      </c>
      <c r="E4855" t="e">
        <f>VLOOKUP(Cpi_[[#This Row],[Attribute]],#REF!,2,FALSE)</f>
        <v>#REF!</v>
      </c>
      <c r="F4855">
        <v>133.1</v>
      </c>
      <c r="G4855">
        <f>(Cpi_[[#This Row],[Value]]-F4854)/F4854</f>
        <v>-1.1878247958426092E-2</v>
      </c>
      <c r="H4855" t="e" cm="1" vm="1">
        <f t="array" aca="1" ref="H4855" ca="1">VLOOKUP(Cpi_[[#This Row],[Year]:[Month]],crudeoil[],3,FALSE)</f>
        <v>#VALUE!</v>
      </c>
    </row>
    <row r="4856" spans="1:8" hidden="1" x14ac:dyDescent="0.3">
      <c r="A4856" t="s">
        <v>34</v>
      </c>
      <c r="B4856">
        <v>2017</v>
      </c>
      <c r="C4856" t="s">
        <v>46</v>
      </c>
      <c r="D4856" t="s">
        <v>24</v>
      </c>
      <c r="E4856" t="e">
        <f>VLOOKUP(Cpi_[[#This Row],[Attribute]],#REF!,2,FALSE)</f>
        <v>#REF!</v>
      </c>
      <c r="F4856">
        <v>118.5</v>
      </c>
      <c r="G4856">
        <f>(Cpi_[[#This Row],[Value]]-F4855)/F4855</f>
        <v>-0.10969196093163032</v>
      </c>
      <c r="H4856" t="e" cm="1" vm="1">
        <f t="array" aca="1" ref="H4856" ca="1">VLOOKUP(Cpi_[[#This Row],[Year]:[Month]],crudeoil[],3,FALSE)</f>
        <v>#VALUE!</v>
      </c>
    </row>
    <row r="4857" spans="1:8" hidden="1" x14ac:dyDescent="0.3">
      <c r="A4857" t="s">
        <v>34</v>
      </c>
      <c r="B4857">
        <v>2017</v>
      </c>
      <c r="C4857" t="s">
        <v>46</v>
      </c>
      <c r="D4857" t="s">
        <v>25</v>
      </c>
      <c r="E4857" t="e">
        <f>VLOOKUP(Cpi_[[#This Row],[Attribute]],#REF!,2,FALSE)</f>
        <v>#REF!</v>
      </c>
      <c r="F4857">
        <v>129</v>
      </c>
      <c r="G4857">
        <f>(Cpi_[[#This Row],[Value]]-F4856)/F4856</f>
        <v>8.8607594936708861E-2</v>
      </c>
      <c r="H4857" t="e" cm="1" vm="1">
        <f t="array" aca="1" ref="H4857" ca="1">VLOOKUP(Cpi_[[#This Row],[Year]:[Month]],crudeoil[],3,FALSE)</f>
        <v>#VALUE!</v>
      </c>
    </row>
    <row r="4858" spans="1:8" hidden="1" x14ac:dyDescent="0.3">
      <c r="A4858" t="s">
        <v>34</v>
      </c>
      <c r="B4858">
        <v>2017</v>
      </c>
      <c r="C4858" t="s">
        <v>46</v>
      </c>
      <c r="D4858" t="s">
        <v>26</v>
      </c>
      <c r="E4858" t="e">
        <f>VLOOKUP(Cpi_[[#This Row],[Attribute]],#REF!,2,FALSE)</f>
        <v>#REF!</v>
      </c>
      <c r="F4858">
        <v>138.5</v>
      </c>
      <c r="G4858">
        <f>(Cpi_[[#This Row],[Value]]-F4857)/F4857</f>
        <v>7.3643410852713184E-2</v>
      </c>
      <c r="H4858" t="e" cm="1" vm="1">
        <f t="array" aca="1" ref="H4858" ca="1">VLOOKUP(Cpi_[[#This Row],[Year]:[Month]],crudeoil[],3,FALSE)</f>
        <v>#VALUE!</v>
      </c>
    </row>
    <row r="4859" spans="1:8" hidden="1" x14ac:dyDescent="0.3">
      <c r="A4859" t="s">
        <v>34</v>
      </c>
      <c r="B4859">
        <v>2017</v>
      </c>
      <c r="C4859" t="s">
        <v>46</v>
      </c>
      <c r="D4859" t="s">
        <v>27</v>
      </c>
      <c r="E4859" t="e">
        <f>VLOOKUP(Cpi_[[#This Row],[Attribute]],#REF!,2,FALSE)</f>
        <v>#REF!</v>
      </c>
      <c r="F4859">
        <v>126.5</v>
      </c>
      <c r="G4859">
        <f>(Cpi_[[#This Row],[Value]]-F4858)/F4858</f>
        <v>-8.6642599277978335E-2</v>
      </c>
      <c r="H4859" t="e" cm="1" vm="1">
        <f t="array" aca="1" ref="H4859" ca="1">VLOOKUP(Cpi_[[#This Row],[Year]:[Month]],crudeoil[],3,FALSE)</f>
        <v>#VALUE!</v>
      </c>
    </row>
    <row r="4860" spans="1:8" hidden="1" x14ac:dyDescent="0.3">
      <c r="A4860" t="s">
        <v>34</v>
      </c>
      <c r="B4860">
        <v>2017</v>
      </c>
      <c r="C4860" t="s">
        <v>46</v>
      </c>
      <c r="D4860" t="s">
        <v>28</v>
      </c>
      <c r="E4860" t="e">
        <f>VLOOKUP(Cpi_[[#This Row],[Attribute]],#REF!,2,FALSE)</f>
        <v>#REF!</v>
      </c>
      <c r="F4860">
        <v>128.6</v>
      </c>
      <c r="G4860">
        <f>(Cpi_[[#This Row],[Value]]-F4859)/F4859</f>
        <v>1.6600790513833948E-2</v>
      </c>
      <c r="H4860" t="e" cm="1" vm="1">
        <f t="array" aca="1" ref="H4860" ca="1">VLOOKUP(Cpi_[[#This Row],[Year]:[Month]],crudeoil[],3,FALSE)</f>
        <v>#VALUE!</v>
      </c>
    </row>
    <row r="4861" spans="1:8" hidden="1" x14ac:dyDescent="0.3">
      <c r="A4861" t="s">
        <v>34</v>
      </c>
      <c r="B4861">
        <v>2017</v>
      </c>
      <c r="C4861" t="s">
        <v>46</v>
      </c>
      <c r="D4861" t="s">
        <v>29</v>
      </c>
      <c r="E4861" t="e" cm="1">
        <f t="array" aca="1" ref="E4861" ca="1">VLGeneral indexGeneral indexKUP(Cpi_[[#This Row],[Attribute]],#REF!,2,FALSE)</f>
        <v>#NAME?</v>
      </c>
      <c r="F4861">
        <v>137.19999999999999</v>
      </c>
      <c r="G4861">
        <f>(Cpi_[[#This Row],[Value]]-F4860)/F4860</f>
        <v>6.6874027993779117E-2</v>
      </c>
      <c r="H4861" t="e" cm="1" vm="1">
        <f t="array" aca="1" ref="H4861" ca="1">VLOOKUP(Cpi_[[#This Row],[Year]:[Month]],crudeoil[],3,FALSE)</f>
        <v>#VALUE!</v>
      </c>
    </row>
    <row r="4862" spans="1:8" hidden="1" x14ac:dyDescent="0.3">
      <c r="A4862" t="s">
        <v>30</v>
      </c>
      <c r="B4862">
        <v>2018</v>
      </c>
      <c r="C4862" t="s">
        <v>31</v>
      </c>
      <c r="D4862" t="s">
        <v>3</v>
      </c>
      <c r="E4862" t="e">
        <f>VLOOKUP(Cpi_[[#This Row],[Attribute]],#REF!,2,FALSE)</f>
        <v>#REF!</v>
      </c>
      <c r="F4862">
        <v>136.6</v>
      </c>
      <c r="G4862">
        <f>(Cpi_[[#This Row],[Value]]-F4861)/F4861</f>
        <v>-4.3731778425655562E-3</v>
      </c>
      <c r="H4862" t="e" cm="1" vm="1">
        <f t="array" aca="1" ref="H4862" ca="1">VLOOKUP(Cpi_[[#This Row],[Year]:[Month]],crudeoil[],3,FALSE)</f>
        <v>#VALUE!</v>
      </c>
    </row>
    <row r="4863" spans="1:8" hidden="1" x14ac:dyDescent="0.3">
      <c r="A4863" t="s">
        <v>30</v>
      </c>
      <c r="B4863">
        <v>2018</v>
      </c>
      <c r="C4863" t="s">
        <v>31</v>
      </c>
      <c r="D4863" t="s">
        <v>4</v>
      </c>
      <c r="E4863" t="e">
        <f>VLOOKUP(Cpi_[[#This Row],[Attribute]],#REF!,2,FALSE)</f>
        <v>#REF!</v>
      </c>
      <c r="F4863">
        <v>144.4</v>
      </c>
      <c r="G4863">
        <f>(Cpi_[[#This Row],[Value]]-F4862)/F4862</f>
        <v>5.7101024890190422E-2</v>
      </c>
      <c r="H4863" t="e" cm="1" vm="1">
        <f t="array" aca="1" ref="H4863" ca="1">VLOOKUP(Cpi_[[#This Row],[Year]:[Month]],crudeoil[],3,FALSE)</f>
        <v>#VALUE!</v>
      </c>
    </row>
    <row r="4864" spans="1:8" hidden="1" x14ac:dyDescent="0.3">
      <c r="A4864" t="s">
        <v>30</v>
      </c>
      <c r="B4864">
        <v>2018</v>
      </c>
      <c r="C4864" t="s">
        <v>31</v>
      </c>
      <c r="D4864" t="s">
        <v>5</v>
      </c>
      <c r="E4864" t="e">
        <f>VLOOKUP(Cpi_[[#This Row],[Attribute]],#REF!,2,FALSE)</f>
        <v>#REF!</v>
      </c>
      <c r="F4864">
        <v>143.80000000000001</v>
      </c>
      <c r="G4864">
        <f>(Cpi_[[#This Row],[Value]]-F4863)/F4863</f>
        <v>-4.1551246537395725E-3</v>
      </c>
      <c r="H4864" t="e" cm="1" vm="1">
        <f t="array" aca="1" ref="H4864" ca="1">VLOOKUP(Cpi_[[#This Row],[Year]:[Month]],crudeoil[],3,FALSE)</f>
        <v>#VALUE!</v>
      </c>
    </row>
    <row r="4865" spans="1:8" hidden="1" x14ac:dyDescent="0.3">
      <c r="A4865" t="s">
        <v>30</v>
      </c>
      <c r="B4865">
        <v>2018</v>
      </c>
      <c r="C4865" t="s">
        <v>31</v>
      </c>
      <c r="D4865" t="s">
        <v>6</v>
      </c>
      <c r="E4865" t="e">
        <f>VLOOKUP(Cpi_[[#This Row],[Attribute]],#REF!,2,FALSE)</f>
        <v>#REF!</v>
      </c>
      <c r="F4865">
        <v>142</v>
      </c>
      <c r="G4865">
        <f>(Cpi_[[#This Row],[Value]]-F4864)/F4864</f>
        <v>-1.2517385257301885E-2</v>
      </c>
      <c r="H4865" t="e" cm="1" vm="1">
        <f t="array" aca="1" ref="H4865" ca="1">VLOOKUP(Cpi_[[#This Row],[Year]:[Month]],crudeoil[],3,FALSE)</f>
        <v>#VALUE!</v>
      </c>
    </row>
    <row r="4866" spans="1:8" hidden="1" x14ac:dyDescent="0.3">
      <c r="A4866" t="s">
        <v>30</v>
      </c>
      <c r="B4866">
        <v>2018</v>
      </c>
      <c r="C4866" t="s">
        <v>31</v>
      </c>
      <c r="D4866" t="s">
        <v>7</v>
      </c>
      <c r="E4866" t="e">
        <f>VLOOKUP(Cpi_[[#This Row],[Attribute]],#REF!,2,FALSE)</f>
        <v>#REF!</v>
      </c>
      <c r="F4866">
        <v>123.2</v>
      </c>
      <c r="G4866">
        <f>(Cpi_[[#This Row],[Value]]-F4865)/F4865</f>
        <v>-0.13239436619718309</v>
      </c>
      <c r="H4866" t="e" cm="1" vm="1">
        <f t="array" aca="1" ref="H4866" ca="1">VLOOKUP(Cpi_[[#This Row],[Year]:[Month]],crudeoil[],3,FALSE)</f>
        <v>#VALUE!</v>
      </c>
    </row>
    <row r="4867" spans="1:8" hidden="1" x14ac:dyDescent="0.3">
      <c r="A4867" t="s">
        <v>30</v>
      </c>
      <c r="B4867">
        <v>2018</v>
      </c>
      <c r="C4867" t="s">
        <v>31</v>
      </c>
      <c r="D4867" t="s">
        <v>8</v>
      </c>
      <c r="E4867" t="e">
        <f>VLOOKUP(Cpi_[[#This Row],[Attribute]],#REF!,2,FALSE)</f>
        <v>#REF!</v>
      </c>
      <c r="F4867">
        <v>147.9</v>
      </c>
      <c r="G4867">
        <f>(Cpi_[[#This Row],[Value]]-F4866)/F4866</f>
        <v>0.20048701298701302</v>
      </c>
      <c r="H4867" t="e" cm="1" vm="1">
        <f t="array" aca="1" ref="H4867" ca="1">VLOOKUP(Cpi_[[#This Row],[Year]:[Month]],crudeoil[],3,FALSE)</f>
        <v>#VALUE!</v>
      </c>
    </row>
    <row r="4868" spans="1:8" hidden="1" x14ac:dyDescent="0.3">
      <c r="A4868" t="s">
        <v>30</v>
      </c>
      <c r="B4868">
        <v>2018</v>
      </c>
      <c r="C4868" t="s">
        <v>31</v>
      </c>
      <c r="D4868" t="s">
        <v>9</v>
      </c>
      <c r="E4868" t="e">
        <f>VLOOKUP(Cpi_[[#This Row],[Attribute]],#REF!,2,FALSE)</f>
        <v>#REF!</v>
      </c>
      <c r="F4868">
        <v>152.1</v>
      </c>
      <c r="G4868">
        <f>(Cpi_[[#This Row],[Value]]-F4867)/F4867</f>
        <v>2.8397565922920816E-2</v>
      </c>
      <c r="H4868" t="e" cm="1" vm="1">
        <f t="array" aca="1" ref="H4868" ca="1">VLOOKUP(Cpi_[[#This Row],[Year]:[Month]],crudeoil[],3,FALSE)</f>
        <v>#VALUE!</v>
      </c>
    </row>
    <row r="4869" spans="1:8" hidden="1" x14ac:dyDescent="0.3">
      <c r="A4869" t="s">
        <v>30</v>
      </c>
      <c r="B4869">
        <v>2018</v>
      </c>
      <c r="C4869" t="s">
        <v>31</v>
      </c>
      <c r="D4869" t="s">
        <v>10</v>
      </c>
      <c r="E4869" t="e">
        <f>VLOOKUP(Cpi_[[#This Row],[Attribute]],#REF!,2,FALSE)</f>
        <v>#REF!</v>
      </c>
      <c r="F4869">
        <v>131.80000000000001</v>
      </c>
      <c r="G4869">
        <f>(Cpi_[[#This Row],[Value]]-F4868)/F4868</f>
        <v>-0.13346482577251798</v>
      </c>
      <c r="H4869" t="e" cm="1" vm="1">
        <f t="array" aca="1" ref="H4869" ca="1">VLOOKUP(Cpi_[[#This Row],[Year]:[Month]],crudeoil[],3,FALSE)</f>
        <v>#VALUE!</v>
      </c>
    </row>
    <row r="4870" spans="1:8" hidden="1" x14ac:dyDescent="0.3">
      <c r="A4870" t="s">
        <v>30</v>
      </c>
      <c r="B4870">
        <v>2018</v>
      </c>
      <c r="C4870" t="s">
        <v>31</v>
      </c>
      <c r="D4870" t="s">
        <v>11</v>
      </c>
      <c r="E4870" t="e">
        <f>VLOOKUP(Cpi_[[#This Row],[Attribute]],#REF!,2,FALSE)</f>
        <v>#REF!</v>
      </c>
      <c r="F4870">
        <v>119.5</v>
      </c>
      <c r="G4870">
        <f>(Cpi_[[#This Row],[Value]]-F4869)/F4869</f>
        <v>-9.3323216995447725E-2</v>
      </c>
      <c r="H4870" t="e" cm="1" vm="1">
        <f t="array" aca="1" ref="H4870" ca="1">VLOOKUP(Cpi_[[#This Row],[Year]:[Month]],crudeoil[],3,FALSE)</f>
        <v>#VALUE!</v>
      </c>
    </row>
    <row r="4871" spans="1:8" hidden="1" x14ac:dyDescent="0.3">
      <c r="A4871" t="s">
        <v>30</v>
      </c>
      <c r="B4871">
        <v>2018</v>
      </c>
      <c r="C4871" t="s">
        <v>31</v>
      </c>
      <c r="D4871" t="s">
        <v>12</v>
      </c>
      <c r="E4871" t="e">
        <f>VLOOKUP(Cpi_[[#This Row],[Attribute]],#REF!,2,FALSE)</f>
        <v>#REF!</v>
      </c>
      <c r="F4871">
        <v>136</v>
      </c>
      <c r="G4871">
        <f>(Cpi_[[#This Row],[Value]]-F4870)/F4870</f>
        <v>0.13807531380753138</v>
      </c>
      <c r="H4871" t="e" cm="1" vm="1">
        <f t="array" aca="1" ref="H4871" ca="1">VLOOKUP(Cpi_[[#This Row],[Year]:[Month]],crudeoil[],3,FALSE)</f>
        <v>#VALUE!</v>
      </c>
    </row>
    <row r="4872" spans="1:8" hidden="1" x14ac:dyDescent="0.3">
      <c r="A4872" t="s">
        <v>30</v>
      </c>
      <c r="B4872">
        <v>2018</v>
      </c>
      <c r="C4872" t="s">
        <v>31</v>
      </c>
      <c r="D4872" t="s">
        <v>13</v>
      </c>
      <c r="E4872" t="e">
        <f>VLOOKUP(Cpi_[[#This Row],[Attribute]],#REF!,2,FALSE)</f>
        <v>#REF!</v>
      </c>
      <c r="F4872">
        <v>131.19999999999999</v>
      </c>
      <c r="G4872">
        <f>(Cpi_[[#This Row],[Value]]-F4871)/F4871</f>
        <v>-3.5294117647058906E-2</v>
      </c>
      <c r="H4872" t="e" cm="1" vm="1">
        <f t="array" aca="1" ref="H4872" ca="1">VLOOKUP(Cpi_[[#This Row],[Year]:[Month]],crudeoil[],3,FALSE)</f>
        <v>#VALUE!</v>
      </c>
    </row>
    <row r="4873" spans="1:8" hidden="1" x14ac:dyDescent="0.3">
      <c r="A4873" t="s">
        <v>30</v>
      </c>
      <c r="B4873">
        <v>2018</v>
      </c>
      <c r="C4873" t="s">
        <v>31</v>
      </c>
      <c r="D4873" t="s">
        <v>14</v>
      </c>
      <c r="E4873" t="e">
        <f>VLOOKUP(Cpi_[[#This Row],[Attribute]],#REF!,2,FALSE)</f>
        <v>#REF!</v>
      </c>
      <c r="F4873">
        <v>151.80000000000001</v>
      </c>
      <c r="G4873">
        <f>(Cpi_[[#This Row],[Value]]-F4872)/F4872</f>
        <v>0.15701219512195141</v>
      </c>
      <c r="H4873" t="e" cm="1" vm="1">
        <f t="array" aca="1" ref="H4873" ca="1">VLOOKUP(Cpi_[[#This Row],[Year]:[Month]],crudeoil[],3,FALSE)</f>
        <v>#VALUE!</v>
      </c>
    </row>
    <row r="4874" spans="1:8" hidden="1" x14ac:dyDescent="0.3">
      <c r="A4874" t="s">
        <v>30</v>
      </c>
      <c r="B4874">
        <v>2018</v>
      </c>
      <c r="C4874" t="s">
        <v>31</v>
      </c>
      <c r="D4874" t="s">
        <v>15</v>
      </c>
      <c r="E4874" t="e">
        <f>VLOOKUP(Cpi_[[#This Row],[Attribute]],#REF!,2,FALSE)</f>
        <v>#REF!</v>
      </c>
      <c r="F4874">
        <v>140.4</v>
      </c>
      <c r="G4874">
        <f>(Cpi_[[#This Row],[Value]]-F4873)/F4873</f>
        <v>-7.509881422924905E-2</v>
      </c>
      <c r="H4874" t="e" cm="1" vm="1">
        <f t="array" aca="1" ref="H4874" ca="1">VLOOKUP(Cpi_[[#This Row],[Year]:[Month]],crudeoil[],3,FALSE)</f>
        <v>#VALUE!</v>
      </c>
    </row>
    <row r="4875" spans="1:8" hidden="1" x14ac:dyDescent="0.3">
      <c r="A4875" t="s">
        <v>30</v>
      </c>
      <c r="B4875">
        <v>2018</v>
      </c>
      <c r="C4875" t="s">
        <v>31</v>
      </c>
      <c r="D4875" t="s">
        <v>16</v>
      </c>
      <c r="E4875" t="e">
        <f>VLOOKUP(Cpi_[[#This Row],[Attribute]],#REF!,2,FALSE)</f>
        <v>#REF!</v>
      </c>
      <c r="F4875">
        <v>153.6</v>
      </c>
      <c r="G4875">
        <f>(Cpi_[[#This Row],[Value]]-F4874)/F4874</f>
        <v>9.4017094017093933E-2</v>
      </c>
      <c r="H4875" t="e" cm="1" vm="1">
        <f t="array" aca="1" ref="H4875" ca="1">VLOOKUP(Cpi_[[#This Row],[Year]:[Month]],crudeoil[],3,FALSE)</f>
        <v>#VALUE!</v>
      </c>
    </row>
    <row r="4876" spans="1:8" hidden="1" x14ac:dyDescent="0.3">
      <c r="A4876" t="s">
        <v>30</v>
      </c>
      <c r="B4876">
        <v>2018</v>
      </c>
      <c r="C4876" t="s">
        <v>31</v>
      </c>
      <c r="D4876" t="s">
        <v>17</v>
      </c>
      <c r="E4876" t="e">
        <f>VLOOKUP(Cpi_[[#This Row],[Attribute]],#REF!,2,FALSE)</f>
        <v>#REF!</v>
      </c>
      <c r="F4876">
        <v>148.30000000000001</v>
      </c>
      <c r="G4876">
        <f>(Cpi_[[#This Row],[Value]]-F4875)/F4875</f>
        <v>-3.4505208333333225E-2</v>
      </c>
      <c r="H4876" t="e" cm="1" vm="1">
        <f t="array" aca="1" ref="H4876" ca="1">VLOOKUP(Cpi_[[#This Row],[Year]:[Month]],crudeoil[],3,FALSE)</f>
        <v>#VALUE!</v>
      </c>
    </row>
    <row r="4877" spans="1:8" hidden="1" x14ac:dyDescent="0.3">
      <c r="A4877" t="s">
        <v>30</v>
      </c>
      <c r="B4877">
        <v>2018</v>
      </c>
      <c r="C4877" t="s">
        <v>31</v>
      </c>
      <c r="D4877" t="s">
        <v>18</v>
      </c>
      <c r="E4877" t="e">
        <f>VLOOKUP(Cpi_[[#This Row],[Attribute]],#REF!,2,FALSE)</f>
        <v>#REF!</v>
      </c>
      <c r="F4877">
        <v>142.30000000000001</v>
      </c>
      <c r="G4877">
        <f>(Cpi_[[#This Row],[Value]]-F4876)/F4876</f>
        <v>-4.0458530006743085E-2</v>
      </c>
      <c r="H4877" t="e" cm="1" vm="1">
        <f t="array" aca="1" ref="H4877" ca="1">VLOOKUP(Cpi_[[#This Row],[Year]:[Month]],crudeoil[],3,FALSE)</f>
        <v>#VALUE!</v>
      </c>
    </row>
    <row r="4878" spans="1:8" hidden="1" x14ac:dyDescent="0.3">
      <c r="A4878" t="s">
        <v>30</v>
      </c>
      <c r="B4878">
        <v>2018</v>
      </c>
      <c r="C4878" t="s">
        <v>31</v>
      </c>
      <c r="D4878" t="s">
        <v>19</v>
      </c>
      <c r="E4878" t="e">
        <f>VLOOKUP(Cpi_[[#This Row],[Attribute]],#REF!,2,FALSE)</f>
        <v>#REF!</v>
      </c>
      <c r="F4878">
        <v>147.5</v>
      </c>
      <c r="G4878">
        <f>(Cpi_[[#This Row],[Value]]-F4877)/F4877</f>
        <v>3.6542515811665413E-2</v>
      </c>
      <c r="H4878" t="e" cm="1" vm="1">
        <f t="array" aca="1" ref="H4878" ca="1">VLOOKUP(Cpi_[[#This Row],[Year]:[Month]],crudeoil[],3,FALSE)</f>
        <v>#VALUE!</v>
      </c>
    </row>
    <row r="4879" spans="1:8" hidden="1" x14ac:dyDescent="0.3">
      <c r="A4879" t="s">
        <v>30</v>
      </c>
      <c r="B4879">
        <v>2018</v>
      </c>
      <c r="C4879" t="s">
        <v>31</v>
      </c>
      <c r="D4879" t="s">
        <v>20</v>
      </c>
      <c r="E4879" t="e">
        <f>VLOOKUP(Cpi_[[#This Row],[Attribute]],#REF!,2,FALSE)</f>
        <v>#REF!</v>
      </c>
      <c r="F4879" t="s">
        <v>32</v>
      </c>
      <c r="G4879" t="e">
        <f>(Cpi_[[#This Row],[Value]]-F4878)/F4878</f>
        <v>#VALUE!</v>
      </c>
      <c r="H4879" t="e" cm="1" vm="1">
        <f t="array" aca="1" ref="H4879" ca="1">VLOOKUP(Cpi_[[#This Row],[Year]:[Month]],crudeoil[],3,FALSE)</f>
        <v>#VALUE!</v>
      </c>
    </row>
    <row r="4880" spans="1:8" hidden="1" x14ac:dyDescent="0.3">
      <c r="A4880" t="s">
        <v>30</v>
      </c>
      <c r="B4880">
        <v>2018</v>
      </c>
      <c r="C4880" t="s">
        <v>31</v>
      </c>
      <c r="D4880" t="s">
        <v>21</v>
      </c>
      <c r="E4880" t="e">
        <f>VLOOKUP(Cpi_[[#This Row],[Attribute]],#REF!,2,FALSE)</f>
        <v>#REF!</v>
      </c>
      <c r="F4880">
        <v>142.30000000000001</v>
      </c>
      <c r="G4880" t="e">
        <f>(Cpi_[[#This Row],[Value]]-F4879)/F4879</f>
        <v>#VALUE!</v>
      </c>
      <c r="H4880" t="e" cm="1" vm="1">
        <f t="array" aca="1" ref="H4880" ca="1">VLOOKUP(Cpi_[[#This Row],[Year]:[Month]],crudeoil[],3,FALSE)</f>
        <v>#VALUE!</v>
      </c>
    </row>
    <row r="4881" spans="1:8" hidden="1" x14ac:dyDescent="0.3">
      <c r="A4881" t="s">
        <v>30</v>
      </c>
      <c r="B4881">
        <v>2018</v>
      </c>
      <c r="C4881" t="s">
        <v>31</v>
      </c>
      <c r="D4881" t="s">
        <v>22</v>
      </c>
      <c r="E4881" t="e">
        <f>VLOOKUP(Cpi_[[#This Row],[Attribute]],#REF!,2,FALSE)</f>
        <v>#REF!</v>
      </c>
      <c r="F4881">
        <v>139.80000000000001</v>
      </c>
      <c r="G4881">
        <f>(Cpi_[[#This Row],[Value]]-F4880)/F4880</f>
        <v>-1.7568517217146872E-2</v>
      </c>
      <c r="H4881" t="e" cm="1" vm="1">
        <f t="array" aca="1" ref="H4881" ca="1">VLOOKUP(Cpi_[[#This Row],[Year]:[Month]],crudeoil[],3,FALSE)</f>
        <v>#VALUE!</v>
      </c>
    </row>
    <row r="4882" spans="1:8" hidden="1" x14ac:dyDescent="0.3">
      <c r="A4882" t="s">
        <v>30</v>
      </c>
      <c r="B4882">
        <v>2018</v>
      </c>
      <c r="C4882" t="s">
        <v>31</v>
      </c>
      <c r="D4882" t="s">
        <v>23</v>
      </c>
      <c r="E4882" t="e">
        <f>VLOOKUP(Cpi_[[#This Row],[Attribute]],#REF!,2,FALSE)</f>
        <v>#REF!</v>
      </c>
      <c r="F4882">
        <v>136</v>
      </c>
      <c r="G4882">
        <f>(Cpi_[[#This Row],[Value]]-F4881)/F4881</f>
        <v>-2.7181688125894214E-2</v>
      </c>
      <c r="H4882" t="e" cm="1" vm="1">
        <f t="array" aca="1" ref="H4882" ca="1">VLOOKUP(Cpi_[[#This Row],[Year]:[Month]],crudeoil[],3,FALSE)</f>
        <v>#VALUE!</v>
      </c>
    </row>
    <row r="4883" spans="1:8" hidden="1" x14ac:dyDescent="0.3">
      <c r="A4883" t="s">
        <v>30</v>
      </c>
      <c r="B4883">
        <v>2018</v>
      </c>
      <c r="C4883" t="s">
        <v>31</v>
      </c>
      <c r="D4883" t="s">
        <v>24</v>
      </c>
      <c r="E4883" t="e">
        <f>VLOOKUP(Cpi_[[#This Row],[Attribute]],#REF!,2,FALSE)</f>
        <v>#REF!</v>
      </c>
      <c r="F4883">
        <v>122.7</v>
      </c>
      <c r="G4883">
        <f>(Cpi_[[#This Row],[Value]]-F4882)/F4882</f>
        <v>-9.7794117647058809E-2</v>
      </c>
      <c r="H4883" t="e" cm="1" vm="1">
        <f t="array" aca="1" ref="H4883" ca="1">VLOOKUP(Cpi_[[#This Row],[Year]:[Month]],crudeoil[],3,FALSE)</f>
        <v>#VALUE!</v>
      </c>
    </row>
    <row r="4884" spans="1:8" hidden="1" x14ac:dyDescent="0.3">
      <c r="A4884" t="s">
        <v>30</v>
      </c>
      <c r="B4884">
        <v>2018</v>
      </c>
      <c r="C4884" t="s">
        <v>31</v>
      </c>
      <c r="D4884" t="s">
        <v>25</v>
      </c>
      <c r="E4884" t="e">
        <f>VLOOKUP(Cpi_[[#This Row],[Attribute]],#REF!,2,FALSE)</f>
        <v>#REF!</v>
      </c>
      <c r="F4884">
        <v>134.30000000000001</v>
      </c>
      <c r="G4884">
        <f>(Cpi_[[#This Row],[Value]]-F4883)/F4883</f>
        <v>9.4539527302363549E-2</v>
      </c>
      <c r="H4884" t="e" cm="1" vm="1">
        <f t="array" aca="1" ref="H4884" ca="1">VLOOKUP(Cpi_[[#This Row],[Year]:[Month]],crudeoil[],3,FALSE)</f>
        <v>#VALUE!</v>
      </c>
    </row>
    <row r="4885" spans="1:8" hidden="1" x14ac:dyDescent="0.3">
      <c r="A4885" t="s">
        <v>30</v>
      </c>
      <c r="B4885">
        <v>2018</v>
      </c>
      <c r="C4885" t="s">
        <v>31</v>
      </c>
      <c r="D4885" t="s">
        <v>26</v>
      </c>
      <c r="E4885" t="e">
        <f>VLOOKUP(Cpi_[[#This Row],[Attribute]],#REF!,2,FALSE)</f>
        <v>#REF!</v>
      </c>
      <c r="F4885">
        <v>141.6</v>
      </c>
      <c r="G4885">
        <f>(Cpi_[[#This Row],[Value]]-F4884)/F4884</f>
        <v>5.4355919583022952E-2</v>
      </c>
      <c r="H4885" t="e" cm="1" vm="1">
        <f t="array" aca="1" ref="H4885" ca="1">VLOOKUP(Cpi_[[#This Row],[Year]:[Month]],crudeoil[],3,FALSE)</f>
        <v>#VALUE!</v>
      </c>
    </row>
    <row r="4886" spans="1:8" hidden="1" x14ac:dyDescent="0.3">
      <c r="A4886" t="s">
        <v>30</v>
      </c>
      <c r="B4886">
        <v>2018</v>
      </c>
      <c r="C4886" t="s">
        <v>31</v>
      </c>
      <c r="D4886" t="s">
        <v>27</v>
      </c>
      <c r="E4886" t="e">
        <f>VLOOKUP(Cpi_[[#This Row],[Attribute]],#REF!,2,FALSE)</f>
        <v>#REF!</v>
      </c>
      <c r="F4886">
        <v>128.6</v>
      </c>
      <c r="G4886">
        <f>(Cpi_[[#This Row],[Value]]-F4885)/F4885</f>
        <v>-9.1807909604519775E-2</v>
      </c>
      <c r="H4886" t="e" cm="1" vm="1">
        <f t="array" aca="1" ref="H4886" ca="1">VLOOKUP(Cpi_[[#This Row],[Year]:[Month]],crudeoil[],3,FALSE)</f>
        <v>#VALUE!</v>
      </c>
    </row>
    <row r="4887" spans="1:8" hidden="1" x14ac:dyDescent="0.3">
      <c r="A4887" t="s">
        <v>30</v>
      </c>
      <c r="B4887">
        <v>2018</v>
      </c>
      <c r="C4887" t="s">
        <v>31</v>
      </c>
      <c r="D4887" t="s">
        <v>28</v>
      </c>
      <c r="E4887" t="e">
        <f>VLOOKUP(Cpi_[[#This Row],[Attribute]],#REF!,2,FALSE)</f>
        <v>#REF!</v>
      </c>
      <c r="F4887">
        <v>132.30000000000001</v>
      </c>
      <c r="G4887">
        <f>(Cpi_[[#This Row],[Value]]-F4886)/F4886</f>
        <v>2.8771384136858608E-2</v>
      </c>
      <c r="H4887" t="e" cm="1" vm="1">
        <f t="array" aca="1" ref="H4887" ca="1">VLOOKUP(Cpi_[[#This Row],[Year]:[Month]],crudeoil[],3,FALSE)</f>
        <v>#VALUE!</v>
      </c>
    </row>
    <row r="4888" spans="1:8" hidden="1" x14ac:dyDescent="0.3">
      <c r="A4888" t="s">
        <v>30</v>
      </c>
      <c r="B4888">
        <v>2018</v>
      </c>
      <c r="C4888" t="s">
        <v>31</v>
      </c>
      <c r="D4888" t="s">
        <v>29</v>
      </c>
      <c r="E4888" t="e" cm="1">
        <f t="array" aca="1" ref="E4888" ca="1">VLGeneral indexGeneral indexKUP(Cpi_[[#This Row],[Attribute]],#REF!,2,FALSE)</f>
        <v>#NAME?</v>
      </c>
      <c r="F4888">
        <v>139.30000000000001</v>
      </c>
      <c r="G4888">
        <f>(Cpi_[[#This Row],[Value]]-F4887)/F4887</f>
        <v>5.2910052910052907E-2</v>
      </c>
      <c r="H4888" t="e" cm="1" vm="1">
        <f t="array" aca="1" ref="H4888" ca="1">VLOOKUP(Cpi_[[#This Row],[Year]:[Month]],crudeoil[],3,FALSE)</f>
        <v>#VALUE!</v>
      </c>
    </row>
    <row r="4889" spans="1:8" hidden="1" x14ac:dyDescent="0.3">
      <c r="A4889" t="s">
        <v>33</v>
      </c>
      <c r="B4889">
        <v>2018</v>
      </c>
      <c r="C4889" t="s">
        <v>31</v>
      </c>
      <c r="D4889" t="s">
        <v>3</v>
      </c>
      <c r="E4889" t="e">
        <f>VLOOKUP(Cpi_[[#This Row],[Attribute]],#REF!,2,FALSE)</f>
        <v>#REF!</v>
      </c>
      <c r="F4889">
        <v>134.6</v>
      </c>
      <c r="G4889">
        <f>(Cpi_[[#This Row],[Value]]-F4888)/F4888</f>
        <v>-3.374012921751627E-2</v>
      </c>
      <c r="H4889" t="e" cm="1" vm="1">
        <f t="array" aca="1" ref="H4889" ca="1">VLOOKUP(Cpi_[[#This Row],[Year]:[Month]],crudeoil[],3,FALSE)</f>
        <v>#VALUE!</v>
      </c>
    </row>
    <row r="4890" spans="1:8" hidden="1" x14ac:dyDescent="0.3">
      <c r="A4890" t="s">
        <v>33</v>
      </c>
      <c r="B4890">
        <v>2018</v>
      </c>
      <c r="C4890" t="s">
        <v>31</v>
      </c>
      <c r="D4890" t="s">
        <v>4</v>
      </c>
      <c r="E4890" t="e">
        <f>VLOOKUP(Cpi_[[#This Row],[Attribute]],#REF!,2,FALSE)</f>
        <v>#REF!</v>
      </c>
      <c r="F4890">
        <v>143.69999999999999</v>
      </c>
      <c r="G4890">
        <f>(Cpi_[[#This Row],[Value]]-F4889)/F4889</f>
        <v>6.7607726597325363E-2</v>
      </c>
      <c r="H4890" t="e" cm="1" vm="1">
        <f t="array" aca="1" ref="H4890" ca="1">VLOOKUP(Cpi_[[#This Row],[Year]:[Month]],crudeoil[],3,FALSE)</f>
        <v>#VALUE!</v>
      </c>
    </row>
    <row r="4891" spans="1:8" hidden="1" x14ac:dyDescent="0.3">
      <c r="A4891" t="s">
        <v>33</v>
      </c>
      <c r="B4891">
        <v>2018</v>
      </c>
      <c r="C4891" t="s">
        <v>31</v>
      </c>
      <c r="D4891" t="s">
        <v>5</v>
      </c>
      <c r="E4891" t="e">
        <f>VLOOKUP(Cpi_[[#This Row],[Attribute]],#REF!,2,FALSE)</f>
        <v>#REF!</v>
      </c>
      <c r="F4891">
        <v>143.6</v>
      </c>
      <c r="G4891">
        <f>(Cpi_[[#This Row],[Value]]-F4890)/F4890</f>
        <v>-6.9589422407790062E-4</v>
      </c>
      <c r="H4891" t="e" cm="1" vm="1">
        <f t="array" aca="1" ref="H4891" ca="1">VLOOKUP(Cpi_[[#This Row],[Year]:[Month]],crudeoil[],3,FALSE)</f>
        <v>#VALUE!</v>
      </c>
    </row>
    <row r="4892" spans="1:8" hidden="1" x14ac:dyDescent="0.3">
      <c r="A4892" t="s">
        <v>33</v>
      </c>
      <c r="B4892">
        <v>2018</v>
      </c>
      <c r="C4892" t="s">
        <v>31</v>
      </c>
      <c r="D4892" t="s">
        <v>6</v>
      </c>
      <c r="E4892" t="e">
        <f>VLOOKUP(Cpi_[[#This Row],[Attribute]],#REF!,2,FALSE)</f>
        <v>#REF!</v>
      </c>
      <c r="F4892">
        <v>139.6</v>
      </c>
      <c r="G4892">
        <f>(Cpi_[[#This Row],[Value]]-F4891)/F4891</f>
        <v>-2.7855153203342621E-2</v>
      </c>
      <c r="H4892" t="e" cm="1" vm="1">
        <f t="array" aca="1" ref="H4892" ca="1">VLOOKUP(Cpi_[[#This Row],[Year]:[Month]],crudeoil[],3,FALSE)</f>
        <v>#VALUE!</v>
      </c>
    </row>
    <row r="4893" spans="1:8" hidden="1" x14ac:dyDescent="0.3">
      <c r="A4893" t="s">
        <v>33</v>
      </c>
      <c r="B4893">
        <v>2018</v>
      </c>
      <c r="C4893" t="s">
        <v>31</v>
      </c>
      <c r="D4893" t="s">
        <v>7</v>
      </c>
      <c r="E4893" t="e">
        <f>VLOOKUP(Cpi_[[#This Row],[Attribute]],#REF!,2,FALSE)</f>
        <v>#REF!</v>
      </c>
      <c r="F4893">
        <v>116.4</v>
      </c>
      <c r="G4893">
        <f>(Cpi_[[#This Row],[Value]]-F4892)/F4892</f>
        <v>-0.16618911174785092</v>
      </c>
      <c r="H4893" t="e" cm="1" vm="1">
        <f t="array" aca="1" ref="H4893" ca="1">VLOOKUP(Cpi_[[#This Row],[Year]:[Month]],crudeoil[],3,FALSE)</f>
        <v>#VALUE!</v>
      </c>
    </row>
    <row r="4894" spans="1:8" hidden="1" x14ac:dyDescent="0.3">
      <c r="A4894" t="s">
        <v>33</v>
      </c>
      <c r="B4894">
        <v>2018</v>
      </c>
      <c r="C4894" t="s">
        <v>31</v>
      </c>
      <c r="D4894" t="s">
        <v>8</v>
      </c>
      <c r="E4894" t="e">
        <f>VLOOKUP(Cpi_[[#This Row],[Attribute]],#REF!,2,FALSE)</f>
        <v>#REF!</v>
      </c>
      <c r="F4894">
        <v>133.80000000000001</v>
      </c>
      <c r="G4894">
        <f>(Cpi_[[#This Row],[Value]]-F4893)/F4893</f>
        <v>0.14948453608247428</v>
      </c>
      <c r="H4894" t="e" cm="1" vm="1">
        <f t="array" aca="1" ref="H4894" ca="1">VLOOKUP(Cpi_[[#This Row],[Year]:[Month]],crudeoil[],3,FALSE)</f>
        <v>#VALUE!</v>
      </c>
    </row>
    <row r="4895" spans="1:8" hidden="1" x14ac:dyDescent="0.3">
      <c r="A4895" t="s">
        <v>33</v>
      </c>
      <c r="B4895">
        <v>2018</v>
      </c>
      <c r="C4895" t="s">
        <v>31</v>
      </c>
      <c r="D4895" t="s">
        <v>9</v>
      </c>
      <c r="E4895" t="e">
        <f>VLOOKUP(Cpi_[[#This Row],[Attribute]],#REF!,2,FALSE)</f>
        <v>#REF!</v>
      </c>
      <c r="F4895">
        <v>150.5</v>
      </c>
      <c r="G4895">
        <f>(Cpi_[[#This Row],[Value]]-F4894)/F4894</f>
        <v>0.12481315396113593</v>
      </c>
      <c r="H4895" t="e" cm="1" vm="1">
        <f t="array" aca="1" ref="H4895" ca="1">VLOOKUP(Cpi_[[#This Row],[Year]:[Month]],crudeoil[],3,FALSE)</f>
        <v>#VALUE!</v>
      </c>
    </row>
    <row r="4896" spans="1:8" hidden="1" x14ac:dyDescent="0.3">
      <c r="A4896" t="s">
        <v>33</v>
      </c>
      <c r="B4896">
        <v>2018</v>
      </c>
      <c r="C4896" t="s">
        <v>31</v>
      </c>
      <c r="D4896" t="s">
        <v>10</v>
      </c>
      <c r="E4896" t="e">
        <f>VLOOKUP(Cpi_[[#This Row],[Attribute]],#REF!,2,FALSE)</f>
        <v>#REF!</v>
      </c>
      <c r="F4896">
        <v>118.4</v>
      </c>
      <c r="G4896">
        <f>(Cpi_[[#This Row],[Value]]-F4895)/F4895</f>
        <v>-0.21328903654485046</v>
      </c>
      <c r="H4896" t="e" cm="1" vm="1">
        <f t="array" aca="1" ref="H4896" ca="1">VLOOKUP(Cpi_[[#This Row],[Year]:[Month]],crudeoil[],3,FALSE)</f>
        <v>#VALUE!</v>
      </c>
    </row>
    <row r="4897" spans="1:8" hidden="1" x14ac:dyDescent="0.3">
      <c r="A4897" t="s">
        <v>33</v>
      </c>
      <c r="B4897">
        <v>2018</v>
      </c>
      <c r="C4897" t="s">
        <v>31</v>
      </c>
      <c r="D4897" t="s">
        <v>11</v>
      </c>
      <c r="E4897" t="e">
        <f>VLOOKUP(Cpi_[[#This Row],[Attribute]],#REF!,2,FALSE)</f>
        <v>#REF!</v>
      </c>
      <c r="F4897">
        <v>117.3</v>
      </c>
      <c r="G4897">
        <f>(Cpi_[[#This Row],[Value]]-F4896)/F4896</f>
        <v>-9.2905405405406122E-3</v>
      </c>
      <c r="H4897" t="e" cm="1" vm="1">
        <f t="array" aca="1" ref="H4897" ca="1">VLOOKUP(Cpi_[[#This Row],[Year]:[Month]],crudeoil[],3,FALSE)</f>
        <v>#VALUE!</v>
      </c>
    </row>
    <row r="4898" spans="1:8" hidden="1" x14ac:dyDescent="0.3">
      <c r="A4898" t="s">
        <v>33</v>
      </c>
      <c r="B4898">
        <v>2018</v>
      </c>
      <c r="C4898" t="s">
        <v>31</v>
      </c>
      <c r="D4898" t="s">
        <v>12</v>
      </c>
      <c r="E4898" t="e">
        <f>VLOOKUP(Cpi_[[#This Row],[Attribute]],#REF!,2,FALSE)</f>
        <v>#REF!</v>
      </c>
      <c r="F4898">
        <v>140.5</v>
      </c>
      <c r="G4898">
        <f>(Cpi_[[#This Row],[Value]]-F4897)/F4897</f>
        <v>0.19778346121057122</v>
      </c>
      <c r="H4898" t="e" cm="1" vm="1">
        <f t="array" aca="1" ref="H4898" ca="1">VLOOKUP(Cpi_[[#This Row],[Year]:[Month]],crudeoil[],3,FALSE)</f>
        <v>#VALUE!</v>
      </c>
    </row>
    <row r="4899" spans="1:8" hidden="1" x14ac:dyDescent="0.3">
      <c r="A4899" t="s">
        <v>33</v>
      </c>
      <c r="B4899">
        <v>2018</v>
      </c>
      <c r="C4899" t="s">
        <v>31</v>
      </c>
      <c r="D4899" t="s">
        <v>13</v>
      </c>
      <c r="E4899" t="e">
        <f>VLOOKUP(Cpi_[[#This Row],[Attribute]],#REF!,2,FALSE)</f>
        <v>#REF!</v>
      </c>
      <c r="F4899">
        <v>125.9</v>
      </c>
      <c r="G4899">
        <f>(Cpi_[[#This Row],[Value]]-F4898)/F4898</f>
        <v>-0.10391459074733092</v>
      </c>
      <c r="H4899" t="e" cm="1" vm="1">
        <f t="array" aca="1" ref="H4899" ca="1">VLOOKUP(Cpi_[[#This Row],[Year]:[Month]],crudeoil[],3,FALSE)</f>
        <v>#VALUE!</v>
      </c>
    </row>
    <row r="4900" spans="1:8" hidden="1" x14ac:dyDescent="0.3">
      <c r="A4900" t="s">
        <v>33</v>
      </c>
      <c r="B4900">
        <v>2018</v>
      </c>
      <c r="C4900" t="s">
        <v>31</v>
      </c>
      <c r="D4900" t="s">
        <v>14</v>
      </c>
      <c r="E4900" t="e">
        <f>VLOOKUP(Cpi_[[#This Row],[Attribute]],#REF!,2,FALSE)</f>
        <v>#REF!</v>
      </c>
      <c r="F4900">
        <v>146.80000000000001</v>
      </c>
      <c r="G4900">
        <f>(Cpi_[[#This Row],[Value]]-F4899)/F4899</f>
        <v>0.16600476568705325</v>
      </c>
      <c r="H4900" t="e" cm="1" vm="1">
        <f t="array" aca="1" ref="H4900" ca="1">VLOOKUP(Cpi_[[#This Row],[Year]:[Month]],crudeoil[],3,FALSE)</f>
        <v>#VALUE!</v>
      </c>
    </row>
    <row r="4901" spans="1:8" hidden="1" x14ac:dyDescent="0.3">
      <c r="A4901" t="s">
        <v>33</v>
      </c>
      <c r="B4901">
        <v>2018</v>
      </c>
      <c r="C4901" t="s">
        <v>31</v>
      </c>
      <c r="D4901" t="s">
        <v>15</v>
      </c>
      <c r="E4901" t="e">
        <f>VLOOKUP(Cpi_[[#This Row],[Attribute]],#REF!,2,FALSE)</f>
        <v>#REF!</v>
      </c>
      <c r="F4901">
        <v>137.19999999999999</v>
      </c>
      <c r="G4901">
        <f>(Cpi_[[#This Row],[Value]]-F4900)/F4900</f>
        <v>-6.5395095367847558E-2</v>
      </c>
      <c r="H4901" t="e" cm="1" vm="1">
        <f t="array" aca="1" ref="H4901" ca="1">VLOOKUP(Cpi_[[#This Row],[Year]:[Month]],crudeoil[],3,FALSE)</f>
        <v>#VALUE!</v>
      </c>
    </row>
    <row r="4902" spans="1:8" hidden="1" x14ac:dyDescent="0.3">
      <c r="A4902" t="s">
        <v>33</v>
      </c>
      <c r="B4902">
        <v>2018</v>
      </c>
      <c r="C4902" t="s">
        <v>31</v>
      </c>
      <c r="D4902" t="s">
        <v>16</v>
      </c>
      <c r="E4902" t="e">
        <f>VLOOKUP(Cpi_[[#This Row],[Attribute]],#REF!,2,FALSE)</f>
        <v>#REF!</v>
      </c>
      <c r="F4902">
        <v>157.69999999999999</v>
      </c>
      <c r="G4902">
        <f>(Cpi_[[#This Row],[Value]]-F4901)/F4901</f>
        <v>0.14941690962099127</v>
      </c>
      <c r="H4902" t="e" cm="1" vm="1">
        <f t="array" aca="1" ref="H4902" ca="1">VLOOKUP(Cpi_[[#This Row],[Year]:[Month]],crudeoil[],3,FALSE)</f>
        <v>#VALUE!</v>
      </c>
    </row>
    <row r="4903" spans="1:8" hidden="1" x14ac:dyDescent="0.3">
      <c r="A4903" t="s">
        <v>33</v>
      </c>
      <c r="B4903">
        <v>2018</v>
      </c>
      <c r="C4903" t="s">
        <v>31</v>
      </c>
      <c r="D4903" t="s">
        <v>17</v>
      </c>
      <c r="E4903" t="e">
        <f>VLOOKUP(Cpi_[[#This Row],[Attribute]],#REF!,2,FALSE)</f>
        <v>#REF!</v>
      </c>
      <c r="F4903">
        <v>136</v>
      </c>
      <c r="G4903">
        <f>(Cpi_[[#This Row],[Value]]-F4902)/F4902</f>
        <v>-0.13760304375396315</v>
      </c>
      <c r="H4903" t="e" cm="1" vm="1">
        <f t="array" aca="1" ref="H4903" ca="1">VLOOKUP(Cpi_[[#This Row],[Year]:[Month]],crudeoil[],3,FALSE)</f>
        <v>#VALUE!</v>
      </c>
    </row>
    <row r="4904" spans="1:8" hidden="1" x14ac:dyDescent="0.3">
      <c r="A4904" t="s">
        <v>33</v>
      </c>
      <c r="B4904">
        <v>2018</v>
      </c>
      <c r="C4904" t="s">
        <v>31</v>
      </c>
      <c r="D4904" t="s">
        <v>18</v>
      </c>
      <c r="E4904" t="e">
        <f>VLOOKUP(Cpi_[[#This Row],[Attribute]],#REF!,2,FALSE)</f>
        <v>#REF!</v>
      </c>
      <c r="F4904">
        <v>125.9</v>
      </c>
      <c r="G4904">
        <f>(Cpi_[[#This Row],[Value]]-F4903)/F4903</f>
        <v>-7.4264705882352899E-2</v>
      </c>
      <c r="H4904" t="e" cm="1" vm="1">
        <f t="array" aca="1" ref="H4904" ca="1">VLOOKUP(Cpi_[[#This Row],[Year]:[Month]],crudeoil[],3,FALSE)</f>
        <v>#VALUE!</v>
      </c>
    </row>
    <row r="4905" spans="1:8" hidden="1" x14ac:dyDescent="0.3">
      <c r="A4905" t="s">
        <v>33</v>
      </c>
      <c r="B4905">
        <v>2018</v>
      </c>
      <c r="C4905" t="s">
        <v>31</v>
      </c>
      <c r="D4905" t="s">
        <v>19</v>
      </c>
      <c r="E4905" t="e">
        <f>VLOOKUP(Cpi_[[#This Row],[Attribute]],#REF!,2,FALSE)</f>
        <v>#REF!</v>
      </c>
      <c r="F4905">
        <v>134.4</v>
      </c>
      <c r="G4905">
        <f>(Cpi_[[#This Row],[Value]]-F4904)/F4904</f>
        <v>6.7513899920571885E-2</v>
      </c>
      <c r="H4905" t="e" cm="1" vm="1">
        <f t="array" aca="1" ref="H4905" ca="1">VLOOKUP(Cpi_[[#This Row],[Year]:[Month]],crudeoil[],3,FALSE)</f>
        <v>#VALUE!</v>
      </c>
    </row>
    <row r="4906" spans="1:8" hidden="1" x14ac:dyDescent="0.3">
      <c r="A4906" t="s">
        <v>33</v>
      </c>
      <c r="B4906">
        <v>2018</v>
      </c>
      <c r="C4906" t="s">
        <v>31</v>
      </c>
      <c r="D4906" t="s">
        <v>20</v>
      </c>
      <c r="E4906" t="e">
        <f>VLOOKUP(Cpi_[[#This Row],[Attribute]],#REF!,2,FALSE)</f>
        <v>#REF!</v>
      </c>
      <c r="F4906">
        <v>140.4</v>
      </c>
      <c r="G4906">
        <f>(Cpi_[[#This Row],[Value]]-F4905)/F4905</f>
        <v>4.4642857142857144E-2</v>
      </c>
      <c r="H4906" t="e" cm="1" vm="1">
        <f t="array" aca="1" ref="H4906" ca="1">VLOOKUP(Cpi_[[#This Row],[Year]:[Month]],crudeoil[],3,FALSE)</f>
        <v>#VALUE!</v>
      </c>
    </row>
    <row r="4907" spans="1:8" hidden="1" x14ac:dyDescent="0.3">
      <c r="A4907" t="s">
        <v>33</v>
      </c>
      <c r="B4907">
        <v>2018</v>
      </c>
      <c r="C4907" t="s">
        <v>31</v>
      </c>
      <c r="D4907" t="s">
        <v>21</v>
      </c>
      <c r="E4907" t="e">
        <f>VLOOKUP(Cpi_[[#This Row],[Attribute]],#REF!,2,FALSE)</f>
        <v>#REF!</v>
      </c>
      <c r="F4907">
        <v>127.3</v>
      </c>
      <c r="G4907">
        <f>(Cpi_[[#This Row],[Value]]-F4906)/F4906</f>
        <v>-9.3304843304843357E-2</v>
      </c>
      <c r="H4907" t="e" cm="1" vm="1">
        <f t="array" aca="1" ref="H4907" ca="1">VLOOKUP(Cpi_[[#This Row],[Year]:[Month]],crudeoil[],3,FALSE)</f>
        <v>#VALUE!</v>
      </c>
    </row>
    <row r="4908" spans="1:8" hidden="1" x14ac:dyDescent="0.3">
      <c r="A4908" t="s">
        <v>33</v>
      </c>
      <c r="B4908">
        <v>2018</v>
      </c>
      <c r="C4908" t="s">
        <v>31</v>
      </c>
      <c r="D4908" t="s">
        <v>22</v>
      </c>
      <c r="E4908" t="e">
        <f>VLOOKUP(Cpi_[[#This Row],[Attribute]],#REF!,2,FALSE)</f>
        <v>#REF!</v>
      </c>
      <c r="F4908">
        <v>129.5</v>
      </c>
      <c r="G4908">
        <f>(Cpi_[[#This Row],[Value]]-F4907)/F4907</f>
        <v>1.7282010997643385E-2</v>
      </c>
      <c r="H4908" t="e" cm="1" vm="1">
        <f t="array" aca="1" ref="H4908" ca="1">VLOOKUP(Cpi_[[#This Row],[Year]:[Month]],crudeoil[],3,FALSE)</f>
        <v>#VALUE!</v>
      </c>
    </row>
    <row r="4909" spans="1:8" hidden="1" x14ac:dyDescent="0.3">
      <c r="A4909" t="s">
        <v>33</v>
      </c>
      <c r="B4909">
        <v>2018</v>
      </c>
      <c r="C4909" t="s">
        <v>31</v>
      </c>
      <c r="D4909" t="s">
        <v>23</v>
      </c>
      <c r="E4909" t="e">
        <f>VLOOKUP(Cpi_[[#This Row],[Attribute]],#REF!,2,FALSE)</f>
        <v>#REF!</v>
      </c>
      <c r="F4909">
        <v>129</v>
      </c>
      <c r="G4909">
        <f>(Cpi_[[#This Row],[Value]]-F4908)/F4908</f>
        <v>-3.8610038610038611E-3</v>
      </c>
      <c r="H4909" t="e" cm="1" vm="1">
        <f t="array" aca="1" ref="H4909" ca="1">VLOOKUP(Cpi_[[#This Row],[Year]:[Month]],crudeoil[],3,FALSE)</f>
        <v>#VALUE!</v>
      </c>
    </row>
    <row r="4910" spans="1:8" hidden="1" x14ac:dyDescent="0.3">
      <c r="A4910" t="s">
        <v>33</v>
      </c>
      <c r="B4910">
        <v>2018</v>
      </c>
      <c r="C4910" t="s">
        <v>31</v>
      </c>
      <c r="D4910" t="s">
        <v>24</v>
      </c>
      <c r="E4910" t="e">
        <f>VLOOKUP(Cpi_[[#This Row],[Attribute]],#REF!,2,FALSE)</f>
        <v>#REF!</v>
      </c>
      <c r="F4910">
        <v>116.3</v>
      </c>
      <c r="G4910">
        <f>(Cpi_[[#This Row],[Value]]-F4909)/F4909</f>
        <v>-9.8449612403100795E-2</v>
      </c>
      <c r="H4910" t="e" cm="1" vm="1">
        <f t="array" aca="1" ref="H4910" ca="1">VLOOKUP(Cpi_[[#This Row],[Year]:[Month]],crudeoil[],3,FALSE)</f>
        <v>#VALUE!</v>
      </c>
    </row>
    <row r="4911" spans="1:8" hidden="1" x14ac:dyDescent="0.3">
      <c r="A4911" t="s">
        <v>33</v>
      </c>
      <c r="B4911">
        <v>2018</v>
      </c>
      <c r="C4911" t="s">
        <v>31</v>
      </c>
      <c r="D4911" t="s">
        <v>25</v>
      </c>
      <c r="E4911" t="e">
        <f>VLOOKUP(Cpi_[[#This Row],[Attribute]],#REF!,2,FALSE)</f>
        <v>#REF!</v>
      </c>
      <c r="F4911">
        <v>126.2</v>
      </c>
      <c r="G4911">
        <f>(Cpi_[[#This Row],[Value]]-F4910)/F4910</f>
        <v>8.512467755803961E-2</v>
      </c>
      <c r="H4911" t="e" cm="1" vm="1">
        <f t="array" aca="1" ref="H4911" ca="1">VLOOKUP(Cpi_[[#This Row],[Year]:[Month]],crudeoil[],3,FALSE)</f>
        <v>#VALUE!</v>
      </c>
    </row>
    <row r="4912" spans="1:8" hidden="1" x14ac:dyDescent="0.3">
      <c r="A4912" t="s">
        <v>33</v>
      </c>
      <c r="B4912">
        <v>2018</v>
      </c>
      <c r="C4912" t="s">
        <v>31</v>
      </c>
      <c r="D4912" t="s">
        <v>26</v>
      </c>
      <c r="E4912" t="e">
        <f>VLOOKUP(Cpi_[[#This Row],[Attribute]],#REF!,2,FALSE)</f>
        <v>#REF!</v>
      </c>
      <c r="F4912">
        <v>137.1</v>
      </c>
      <c r="G4912">
        <f>(Cpi_[[#This Row],[Value]]-F4911)/F4911</f>
        <v>8.637083993660849E-2</v>
      </c>
      <c r="H4912" t="e" cm="1" vm="1">
        <f t="array" aca="1" ref="H4912" ca="1">VLOOKUP(Cpi_[[#This Row],[Year]:[Month]],crudeoil[],3,FALSE)</f>
        <v>#VALUE!</v>
      </c>
    </row>
    <row r="4913" spans="1:8" hidden="1" x14ac:dyDescent="0.3">
      <c r="A4913" t="s">
        <v>33</v>
      </c>
      <c r="B4913">
        <v>2018</v>
      </c>
      <c r="C4913" t="s">
        <v>31</v>
      </c>
      <c r="D4913" t="s">
        <v>27</v>
      </c>
      <c r="E4913" t="e">
        <f>VLOOKUP(Cpi_[[#This Row],[Attribute]],#REF!,2,FALSE)</f>
        <v>#REF!</v>
      </c>
      <c r="F4913">
        <v>125.5</v>
      </c>
      <c r="G4913">
        <f>(Cpi_[[#This Row],[Value]]-F4912)/F4912</f>
        <v>-8.4609773887673198E-2</v>
      </c>
      <c r="H4913" t="e" cm="1" vm="1">
        <f t="array" aca="1" ref="H4913" ca="1">VLOOKUP(Cpi_[[#This Row],[Year]:[Month]],crudeoil[],3,FALSE)</f>
        <v>#VALUE!</v>
      </c>
    </row>
    <row r="4914" spans="1:8" hidden="1" x14ac:dyDescent="0.3">
      <c r="A4914" t="s">
        <v>33</v>
      </c>
      <c r="B4914">
        <v>2018</v>
      </c>
      <c r="C4914" t="s">
        <v>31</v>
      </c>
      <c r="D4914" t="s">
        <v>28</v>
      </c>
      <c r="E4914" t="e">
        <f>VLOOKUP(Cpi_[[#This Row],[Attribute]],#REF!,2,FALSE)</f>
        <v>#REF!</v>
      </c>
      <c r="F4914">
        <v>125.8</v>
      </c>
      <c r="G4914">
        <f>(Cpi_[[#This Row],[Value]]-F4913)/F4913</f>
        <v>2.3904382470119295E-3</v>
      </c>
      <c r="H4914" t="e" cm="1" vm="1">
        <f t="array" aca="1" ref="H4914" ca="1">VLOOKUP(Cpi_[[#This Row],[Year]:[Month]],crudeoil[],3,FALSE)</f>
        <v>#VALUE!</v>
      </c>
    </row>
    <row r="4915" spans="1:8" hidden="1" x14ac:dyDescent="0.3">
      <c r="A4915" t="s">
        <v>33</v>
      </c>
      <c r="B4915">
        <v>2018</v>
      </c>
      <c r="C4915" t="s">
        <v>31</v>
      </c>
      <c r="D4915" t="s">
        <v>29</v>
      </c>
      <c r="E4915" t="e" cm="1">
        <f t="array" aca="1" ref="E4915" ca="1">VLGeneral indexGeneral indexKUP(Cpi_[[#This Row],[Attribute]],#REF!,2,FALSE)</f>
        <v>#NAME?</v>
      </c>
      <c r="F4915">
        <v>134.1</v>
      </c>
      <c r="G4915">
        <f>(Cpi_[[#This Row],[Value]]-F4914)/F4914</f>
        <v>6.5977742448330656E-2</v>
      </c>
      <c r="H4915" t="e" cm="1" vm="1">
        <f t="array" aca="1" ref="H4915" ca="1">VLOOKUP(Cpi_[[#This Row],[Year]:[Month]],crudeoil[],3,FALSE)</f>
        <v>#VALUE!</v>
      </c>
    </row>
    <row r="4916" spans="1:8" hidden="1" x14ac:dyDescent="0.3">
      <c r="A4916" t="s">
        <v>34</v>
      </c>
      <c r="B4916">
        <v>2018</v>
      </c>
      <c r="C4916" t="s">
        <v>31</v>
      </c>
      <c r="D4916" t="s">
        <v>3</v>
      </c>
      <c r="E4916" t="e">
        <f>VLOOKUP(Cpi_[[#This Row],[Attribute]],#REF!,2,FALSE)</f>
        <v>#REF!</v>
      </c>
      <c r="F4916">
        <v>136</v>
      </c>
      <c r="G4916">
        <f>(Cpi_[[#This Row],[Value]]-F4915)/F4915</f>
        <v>1.416853094705448E-2</v>
      </c>
      <c r="H4916" t="e" cm="1" vm="1">
        <f t="array" aca="1" ref="H4916" ca="1">VLOOKUP(Cpi_[[#This Row],[Year]:[Month]],crudeoil[],3,FALSE)</f>
        <v>#VALUE!</v>
      </c>
    </row>
    <row r="4917" spans="1:8" hidden="1" x14ac:dyDescent="0.3">
      <c r="A4917" t="s">
        <v>34</v>
      </c>
      <c r="B4917">
        <v>2018</v>
      </c>
      <c r="C4917" t="s">
        <v>31</v>
      </c>
      <c r="D4917" t="s">
        <v>4</v>
      </c>
      <c r="E4917" t="e">
        <f>VLOOKUP(Cpi_[[#This Row],[Attribute]],#REF!,2,FALSE)</f>
        <v>#REF!</v>
      </c>
      <c r="F4917">
        <v>144.19999999999999</v>
      </c>
      <c r="G4917">
        <f>(Cpi_[[#This Row],[Value]]-F4916)/F4916</f>
        <v>6.0294117647058741E-2</v>
      </c>
      <c r="H4917" t="e" cm="1" vm="1">
        <f t="array" aca="1" ref="H4917" ca="1">VLOOKUP(Cpi_[[#This Row],[Year]:[Month]],crudeoil[],3,FALSE)</f>
        <v>#VALUE!</v>
      </c>
    </row>
    <row r="4918" spans="1:8" hidden="1" x14ac:dyDescent="0.3">
      <c r="A4918" t="s">
        <v>34</v>
      </c>
      <c r="B4918">
        <v>2018</v>
      </c>
      <c r="C4918" t="s">
        <v>31</v>
      </c>
      <c r="D4918" t="s">
        <v>5</v>
      </c>
      <c r="E4918" t="e">
        <f>VLOOKUP(Cpi_[[#This Row],[Attribute]],#REF!,2,FALSE)</f>
        <v>#REF!</v>
      </c>
      <c r="F4918">
        <v>143.69999999999999</v>
      </c>
      <c r="G4918">
        <f>(Cpi_[[#This Row],[Value]]-F4917)/F4917</f>
        <v>-3.4674063800277394E-3</v>
      </c>
      <c r="H4918" t="e" cm="1" vm="1">
        <f t="array" aca="1" ref="H4918" ca="1">VLOOKUP(Cpi_[[#This Row],[Year]:[Month]],crudeoil[],3,FALSE)</f>
        <v>#VALUE!</v>
      </c>
    </row>
    <row r="4919" spans="1:8" hidden="1" x14ac:dyDescent="0.3">
      <c r="A4919" t="s">
        <v>34</v>
      </c>
      <c r="B4919">
        <v>2018</v>
      </c>
      <c r="C4919" t="s">
        <v>31</v>
      </c>
      <c r="D4919" t="s">
        <v>6</v>
      </c>
      <c r="E4919" t="e">
        <f>VLOOKUP(Cpi_[[#This Row],[Attribute]],#REF!,2,FALSE)</f>
        <v>#REF!</v>
      </c>
      <c r="F4919">
        <v>141.1</v>
      </c>
      <c r="G4919">
        <f>(Cpi_[[#This Row],[Value]]-F4918)/F4918</f>
        <v>-1.8093249826026406E-2</v>
      </c>
      <c r="H4919" t="e" cm="1" vm="1">
        <f t="array" aca="1" ref="H4919" ca="1">VLOOKUP(Cpi_[[#This Row],[Year]:[Month]],crudeoil[],3,FALSE)</f>
        <v>#VALUE!</v>
      </c>
    </row>
    <row r="4920" spans="1:8" hidden="1" x14ac:dyDescent="0.3">
      <c r="A4920" t="s">
        <v>34</v>
      </c>
      <c r="B4920">
        <v>2018</v>
      </c>
      <c r="C4920" t="s">
        <v>31</v>
      </c>
      <c r="D4920" t="s">
        <v>7</v>
      </c>
      <c r="E4920" t="e">
        <f>VLOOKUP(Cpi_[[#This Row],[Attribute]],#REF!,2,FALSE)</f>
        <v>#REF!</v>
      </c>
      <c r="F4920">
        <v>120.7</v>
      </c>
      <c r="G4920">
        <f>(Cpi_[[#This Row],[Value]]-F4919)/F4919</f>
        <v>-0.14457831325301199</v>
      </c>
      <c r="H4920" t="e" cm="1" vm="1">
        <f t="array" aca="1" ref="H4920" ca="1">VLOOKUP(Cpi_[[#This Row],[Year]:[Month]],crudeoil[],3,FALSE)</f>
        <v>#VALUE!</v>
      </c>
    </row>
    <row r="4921" spans="1:8" hidden="1" x14ac:dyDescent="0.3">
      <c r="A4921" t="s">
        <v>34</v>
      </c>
      <c r="B4921">
        <v>2018</v>
      </c>
      <c r="C4921" t="s">
        <v>31</v>
      </c>
      <c r="D4921" t="s">
        <v>8</v>
      </c>
      <c r="E4921" t="e">
        <f>VLOOKUP(Cpi_[[#This Row],[Attribute]],#REF!,2,FALSE)</f>
        <v>#REF!</v>
      </c>
      <c r="F4921">
        <v>141.30000000000001</v>
      </c>
      <c r="G4921">
        <f>(Cpi_[[#This Row],[Value]]-F4920)/F4920</f>
        <v>0.17067108533554273</v>
      </c>
      <c r="H4921" t="e" cm="1" vm="1">
        <f t="array" aca="1" ref="H4921" ca="1">VLOOKUP(Cpi_[[#This Row],[Year]:[Month]],crudeoil[],3,FALSE)</f>
        <v>#VALUE!</v>
      </c>
    </row>
    <row r="4922" spans="1:8" hidden="1" x14ac:dyDescent="0.3">
      <c r="A4922" t="s">
        <v>34</v>
      </c>
      <c r="B4922">
        <v>2018</v>
      </c>
      <c r="C4922" t="s">
        <v>31</v>
      </c>
      <c r="D4922" t="s">
        <v>9</v>
      </c>
      <c r="E4922" t="e">
        <f>VLOOKUP(Cpi_[[#This Row],[Attribute]],#REF!,2,FALSE)</f>
        <v>#REF!</v>
      </c>
      <c r="F4922">
        <v>151.6</v>
      </c>
      <c r="G4922">
        <f>(Cpi_[[#This Row],[Value]]-F4921)/F4921</f>
        <v>7.2894550601556848E-2</v>
      </c>
      <c r="H4922" t="e" cm="1" vm="1">
        <f t="array" aca="1" ref="H4922" ca="1">VLOOKUP(Cpi_[[#This Row],[Year]:[Month]],crudeoil[],3,FALSE)</f>
        <v>#VALUE!</v>
      </c>
    </row>
    <row r="4923" spans="1:8" hidden="1" x14ac:dyDescent="0.3">
      <c r="A4923" t="s">
        <v>34</v>
      </c>
      <c r="B4923">
        <v>2018</v>
      </c>
      <c r="C4923" t="s">
        <v>31</v>
      </c>
      <c r="D4923" t="s">
        <v>10</v>
      </c>
      <c r="E4923" t="e">
        <f>VLOOKUP(Cpi_[[#This Row],[Attribute]],#REF!,2,FALSE)</f>
        <v>#REF!</v>
      </c>
      <c r="F4923">
        <v>127.3</v>
      </c>
      <c r="G4923">
        <f>(Cpi_[[#This Row],[Value]]-F4922)/F4922</f>
        <v>-0.16029023746701845</v>
      </c>
      <c r="H4923" t="e" cm="1" vm="1">
        <f t="array" aca="1" ref="H4923" ca="1">VLOOKUP(Cpi_[[#This Row],[Year]:[Month]],crudeoil[],3,FALSE)</f>
        <v>#VALUE!</v>
      </c>
    </row>
    <row r="4924" spans="1:8" hidden="1" x14ac:dyDescent="0.3">
      <c r="A4924" t="s">
        <v>34</v>
      </c>
      <c r="B4924">
        <v>2018</v>
      </c>
      <c r="C4924" t="s">
        <v>31</v>
      </c>
      <c r="D4924" t="s">
        <v>11</v>
      </c>
      <c r="E4924" t="e">
        <f>VLOOKUP(Cpi_[[#This Row],[Attribute]],#REF!,2,FALSE)</f>
        <v>#REF!</v>
      </c>
      <c r="F4924">
        <v>118.8</v>
      </c>
      <c r="G4924">
        <f>(Cpi_[[#This Row],[Value]]-F4923)/F4923</f>
        <v>-6.6771406127258445E-2</v>
      </c>
      <c r="H4924" t="e" cm="1" vm="1">
        <f t="array" aca="1" ref="H4924" ca="1">VLOOKUP(Cpi_[[#This Row],[Year]:[Month]],crudeoil[],3,FALSE)</f>
        <v>#VALUE!</v>
      </c>
    </row>
    <row r="4925" spans="1:8" hidden="1" x14ac:dyDescent="0.3">
      <c r="A4925" t="s">
        <v>34</v>
      </c>
      <c r="B4925">
        <v>2018</v>
      </c>
      <c r="C4925" t="s">
        <v>31</v>
      </c>
      <c r="D4925" t="s">
        <v>12</v>
      </c>
      <c r="E4925" t="e">
        <f>VLOOKUP(Cpi_[[#This Row],[Attribute]],#REF!,2,FALSE)</f>
        <v>#REF!</v>
      </c>
      <c r="F4925">
        <v>137.5</v>
      </c>
      <c r="G4925">
        <f>(Cpi_[[#This Row],[Value]]-F4924)/F4924</f>
        <v>0.15740740740740744</v>
      </c>
      <c r="H4925" t="e" cm="1" vm="1">
        <f t="array" aca="1" ref="H4925" ca="1">VLOOKUP(Cpi_[[#This Row],[Year]:[Month]],crudeoil[],3,FALSE)</f>
        <v>#VALUE!</v>
      </c>
    </row>
    <row r="4926" spans="1:8" hidden="1" x14ac:dyDescent="0.3">
      <c r="A4926" t="s">
        <v>34</v>
      </c>
      <c r="B4926">
        <v>2018</v>
      </c>
      <c r="C4926" t="s">
        <v>31</v>
      </c>
      <c r="D4926" t="s">
        <v>13</v>
      </c>
      <c r="E4926" t="e">
        <f>VLOOKUP(Cpi_[[#This Row],[Attribute]],#REF!,2,FALSE)</f>
        <v>#REF!</v>
      </c>
      <c r="F4926">
        <v>129</v>
      </c>
      <c r="G4926">
        <f>(Cpi_[[#This Row],[Value]]-F4925)/F4925</f>
        <v>-6.1818181818181821E-2</v>
      </c>
      <c r="H4926" t="e" cm="1" vm="1">
        <f t="array" aca="1" ref="H4926" ca="1">VLOOKUP(Cpi_[[#This Row],[Year]:[Month]],crudeoil[],3,FALSE)</f>
        <v>#VALUE!</v>
      </c>
    </row>
    <row r="4927" spans="1:8" hidden="1" x14ac:dyDescent="0.3">
      <c r="A4927" t="s">
        <v>34</v>
      </c>
      <c r="B4927">
        <v>2018</v>
      </c>
      <c r="C4927" t="s">
        <v>31</v>
      </c>
      <c r="D4927" t="s">
        <v>14</v>
      </c>
      <c r="E4927" t="e">
        <f>VLOOKUP(Cpi_[[#This Row],[Attribute]],#REF!,2,FALSE)</f>
        <v>#REF!</v>
      </c>
      <c r="F4927">
        <v>149.5</v>
      </c>
      <c r="G4927">
        <f>(Cpi_[[#This Row],[Value]]-F4926)/F4926</f>
        <v>0.15891472868217055</v>
      </c>
      <c r="H4927" t="e" cm="1" vm="1">
        <f t="array" aca="1" ref="H4927" ca="1">VLOOKUP(Cpi_[[#This Row],[Year]:[Month]],crudeoil[],3,FALSE)</f>
        <v>#VALUE!</v>
      </c>
    </row>
    <row r="4928" spans="1:8" hidden="1" x14ac:dyDescent="0.3">
      <c r="A4928" t="s">
        <v>34</v>
      </c>
      <c r="B4928">
        <v>2018</v>
      </c>
      <c r="C4928" t="s">
        <v>31</v>
      </c>
      <c r="D4928" t="s">
        <v>15</v>
      </c>
      <c r="E4928" t="e">
        <f>VLOOKUP(Cpi_[[#This Row],[Attribute]],#REF!,2,FALSE)</f>
        <v>#REF!</v>
      </c>
      <c r="F4928">
        <v>139.19999999999999</v>
      </c>
      <c r="G4928">
        <f>(Cpi_[[#This Row],[Value]]-F4927)/F4927</f>
        <v>-6.889632107023419E-2</v>
      </c>
      <c r="H4928" t="e" cm="1" vm="1">
        <f t="array" aca="1" ref="H4928" ca="1">VLOOKUP(Cpi_[[#This Row],[Year]:[Month]],crudeoil[],3,FALSE)</f>
        <v>#VALUE!</v>
      </c>
    </row>
    <row r="4929" spans="1:8" hidden="1" x14ac:dyDescent="0.3">
      <c r="A4929" t="s">
        <v>34</v>
      </c>
      <c r="B4929">
        <v>2018</v>
      </c>
      <c r="C4929" t="s">
        <v>31</v>
      </c>
      <c r="D4929" t="s">
        <v>16</v>
      </c>
      <c r="E4929" t="e">
        <f>VLOOKUP(Cpi_[[#This Row],[Attribute]],#REF!,2,FALSE)</f>
        <v>#REF!</v>
      </c>
      <c r="F4929">
        <v>154.69999999999999</v>
      </c>
      <c r="G4929">
        <f>(Cpi_[[#This Row],[Value]]-F4928)/F4928</f>
        <v>0.11135057471264369</v>
      </c>
      <c r="H4929" t="e" cm="1" vm="1">
        <f t="array" aca="1" ref="H4929" ca="1">VLOOKUP(Cpi_[[#This Row],[Year]:[Month]],crudeoil[],3,FALSE)</f>
        <v>#VALUE!</v>
      </c>
    </row>
    <row r="4930" spans="1:8" hidden="1" x14ac:dyDescent="0.3">
      <c r="A4930" t="s">
        <v>34</v>
      </c>
      <c r="B4930">
        <v>2018</v>
      </c>
      <c r="C4930" t="s">
        <v>31</v>
      </c>
      <c r="D4930" t="s">
        <v>17</v>
      </c>
      <c r="E4930" t="e">
        <f>VLOOKUP(Cpi_[[#This Row],[Attribute]],#REF!,2,FALSE)</f>
        <v>#REF!</v>
      </c>
      <c r="F4930">
        <v>143.5</v>
      </c>
      <c r="G4930">
        <f>(Cpi_[[#This Row],[Value]]-F4929)/F4929</f>
        <v>-7.2398190045248806E-2</v>
      </c>
      <c r="H4930" t="e" cm="1" vm="1">
        <f t="array" aca="1" ref="H4930" ca="1">VLOOKUP(Cpi_[[#This Row],[Year]:[Month]],crudeoil[],3,FALSE)</f>
        <v>#VALUE!</v>
      </c>
    </row>
    <row r="4931" spans="1:8" hidden="1" x14ac:dyDescent="0.3">
      <c r="A4931" t="s">
        <v>34</v>
      </c>
      <c r="B4931">
        <v>2018</v>
      </c>
      <c r="C4931" t="s">
        <v>31</v>
      </c>
      <c r="D4931" t="s">
        <v>18</v>
      </c>
      <c r="E4931" t="e">
        <f>VLOOKUP(Cpi_[[#This Row],[Attribute]],#REF!,2,FALSE)</f>
        <v>#REF!</v>
      </c>
      <c r="F4931">
        <v>135.5</v>
      </c>
      <c r="G4931">
        <f>(Cpi_[[#This Row],[Value]]-F4930)/F4930</f>
        <v>-5.5749128919860627E-2</v>
      </c>
      <c r="H4931" t="e" cm="1" vm="1">
        <f t="array" aca="1" ref="H4931" ca="1">VLOOKUP(Cpi_[[#This Row],[Year]:[Month]],crudeoil[],3,FALSE)</f>
        <v>#VALUE!</v>
      </c>
    </row>
    <row r="4932" spans="1:8" hidden="1" x14ac:dyDescent="0.3">
      <c r="A4932" t="s">
        <v>34</v>
      </c>
      <c r="B4932">
        <v>2018</v>
      </c>
      <c r="C4932" t="s">
        <v>31</v>
      </c>
      <c r="D4932" t="s">
        <v>19</v>
      </c>
      <c r="E4932" t="e">
        <f>VLOOKUP(Cpi_[[#This Row],[Attribute]],#REF!,2,FALSE)</f>
        <v>#REF!</v>
      </c>
      <c r="F4932">
        <v>142.30000000000001</v>
      </c>
      <c r="G4932">
        <f>(Cpi_[[#This Row],[Value]]-F4931)/F4931</f>
        <v>5.0184501845018534E-2</v>
      </c>
      <c r="H4932" t="e" cm="1" vm="1">
        <f t="array" aca="1" ref="H4932" ca="1">VLOOKUP(Cpi_[[#This Row],[Year]:[Month]],crudeoil[],3,FALSE)</f>
        <v>#VALUE!</v>
      </c>
    </row>
    <row r="4933" spans="1:8" hidden="1" x14ac:dyDescent="0.3">
      <c r="A4933" t="s">
        <v>34</v>
      </c>
      <c r="B4933">
        <v>2018</v>
      </c>
      <c r="C4933" t="s">
        <v>31</v>
      </c>
      <c r="D4933" t="s">
        <v>20</v>
      </c>
      <c r="E4933" t="e">
        <f>VLOOKUP(Cpi_[[#This Row],[Attribute]],#REF!,2,FALSE)</f>
        <v>#REF!</v>
      </c>
      <c r="F4933">
        <v>140.4</v>
      </c>
      <c r="G4933">
        <f>(Cpi_[[#This Row],[Value]]-F4932)/F4932</f>
        <v>-1.3352073085031663E-2</v>
      </c>
      <c r="H4933" t="e" cm="1" vm="1">
        <f t="array" aca="1" ref="H4933" ca="1">VLOOKUP(Cpi_[[#This Row],[Year]:[Month]],crudeoil[],3,FALSE)</f>
        <v>#VALUE!</v>
      </c>
    </row>
    <row r="4934" spans="1:8" hidden="1" x14ac:dyDescent="0.3">
      <c r="A4934" t="s">
        <v>34</v>
      </c>
      <c r="B4934">
        <v>2018</v>
      </c>
      <c r="C4934" t="s">
        <v>31</v>
      </c>
      <c r="D4934" t="s">
        <v>21</v>
      </c>
      <c r="E4934" t="e">
        <f>VLOOKUP(Cpi_[[#This Row],[Attribute]],#REF!,2,FALSE)</f>
        <v>#REF!</v>
      </c>
      <c r="F4934">
        <v>136.6</v>
      </c>
      <c r="G4934">
        <f>(Cpi_[[#This Row],[Value]]-F4933)/F4933</f>
        <v>-2.7065527065527145E-2</v>
      </c>
      <c r="H4934" t="e" cm="1" vm="1">
        <f t="array" aca="1" ref="H4934" ca="1">VLOOKUP(Cpi_[[#This Row],[Year]:[Month]],crudeoil[],3,FALSE)</f>
        <v>#VALUE!</v>
      </c>
    </row>
    <row r="4935" spans="1:8" hidden="1" x14ac:dyDescent="0.3">
      <c r="A4935" t="s">
        <v>34</v>
      </c>
      <c r="B4935">
        <v>2018</v>
      </c>
      <c r="C4935" t="s">
        <v>31</v>
      </c>
      <c r="D4935" t="s">
        <v>22</v>
      </c>
      <c r="E4935" t="e">
        <f>VLOOKUP(Cpi_[[#This Row],[Attribute]],#REF!,2,FALSE)</f>
        <v>#REF!</v>
      </c>
      <c r="F4935">
        <v>134.9</v>
      </c>
      <c r="G4935">
        <f>(Cpi_[[#This Row],[Value]]-F4934)/F4934</f>
        <v>-1.2445095168374734E-2</v>
      </c>
      <c r="H4935" t="e" cm="1" vm="1">
        <f t="array" aca="1" ref="H4935" ca="1">VLOOKUP(Cpi_[[#This Row],[Year]:[Month]],crudeoil[],3,FALSE)</f>
        <v>#VALUE!</v>
      </c>
    </row>
    <row r="4936" spans="1:8" hidden="1" x14ac:dyDescent="0.3">
      <c r="A4936" t="s">
        <v>34</v>
      </c>
      <c r="B4936">
        <v>2018</v>
      </c>
      <c r="C4936" t="s">
        <v>31</v>
      </c>
      <c r="D4936" t="s">
        <v>23</v>
      </c>
      <c r="E4936" t="e">
        <f>VLOOKUP(Cpi_[[#This Row],[Attribute]],#REF!,2,FALSE)</f>
        <v>#REF!</v>
      </c>
      <c r="F4936">
        <v>133.30000000000001</v>
      </c>
      <c r="G4936">
        <f>(Cpi_[[#This Row],[Value]]-F4935)/F4935</f>
        <v>-1.1860637509266081E-2</v>
      </c>
      <c r="H4936" t="e" cm="1" vm="1">
        <f t="array" aca="1" ref="H4936" ca="1">VLOOKUP(Cpi_[[#This Row],[Year]:[Month]],crudeoil[],3,FALSE)</f>
        <v>#VALUE!</v>
      </c>
    </row>
    <row r="4937" spans="1:8" hidden="1" x14ac:dyDescent="0.3">
      <c r="A4937" t="s">
        <v>34</v>
      </c>
      <c r="B4937">
        <v>2018</v>
      </c>
      <c r="C4937" t="s">
        <v>31</v>
      </c>
      <c r="D4937" t="s">
        <v>24</v>
      </c>
      <c r="E4937" t="e">
        <f>VLOOKUP(Cpi_[[#This Row],[Attribute]],#REF!,2,FALSE)</f>
        <v>#REF!</v>
      </c>
      <c r="F4937">
        <v>119.3</v>
      </c>
      <c r="G4937">
        <f>(Cpi_[[#This Row],[Value]]-F4936)/F4936</f>
        <v>-0.10502625656414113</v>
      </c>
      <c r="H4937" t="e" cm="1" vm="1">
        <f t="array" aca="1" ref="H4937" ca="1">VLOOKUP(Cpi_[[#This Row],[Year]:[Month]],crudeoil[],3,FALSE)</f>
        <v>#VALUE!</v>
      </c>
    </row>
    <row r="4938" spans="1:8" hidden="1" x14ac:dyDescent="0.3">
      <c r="A4938" t="s">
        <v>34</v>
      </c>
      <c r="B4938">
        <v>2018</v>
      </c>
      <c r="C4938" t="s">
        <v>31</v>
      </c>
      <c r="D4938" t="s">
        <v>25</v>
      </c>
      <c r="E4938" t="e">
        <f>VLOOKUP(Cpi_[[#This Row],[Attribute]],#REF!,2,FALSE)</f>
        <v>#REF!</v>
      </c>
      <c r="F4938">
        <v>129.69999999999999</v>
      </c>
      <c r="G4938">
        <f>(Cpi_[[#This Row],[Value]]-F4937)/F4937</f>
        <v>8.7175188600167569E-2</v>
      </c>
      <c r="H4938" t="e" cm="1" vm="1">
        <f t="array" aca="1" ref="H4938" ca="1">VLOOKUP(Cpi_[[#This Row],[Year]:[Month]],crudeoil[],3,FALSE)</f>
        <v>#VALUE!</v>
      </c>
    </row>
    <row r="4939" spans="1:8" hidden="1" x14ac:dyDescent="0.3">
      <c r="A4939" t="s">
        <v>34</v>
      </c>
      <c r="B4939">
        <v>2018</v>
      </c>
      <c r="C4939" t="s">
        <v>31</v>
      </c>
      <c r="D4939" t="s">
        <v>26</v>
      </c>
      <c r="E4939" t="e">
        <f>VLOOKUP(Cpi_[[#This Row],[Attribute]],#REF!,2,FALSE)</f>
        <v>#REF!</v>
      </c>
      <c r="F4939">
        <v>139</v>
      </c>
      <c r="G4939">
        <f>(Cpi_[[#This Row],[Value]]-F4938)/F4938</f>
        <v>7.1703932151118061E-2</v>
      </c>
      <c r="H4939" t="e" cm="1" vm="1">
        <f t="array" aca="1" ref="H4939" ca="1">VLOOKUP(Cpi_[[#This Row],[Year]:[Month]],crudeoil[],3,FALSE)</f>
        <v>#VALUE!</v>
      </c>
    </row>
    <row r="4940" spans="1:8" hidden="1" x14ac:dyDescent="0.3">
      <c r="A4940" t="s">
        <v>34</v>
      </c>
      <c r="B4940">
        <v>2018</v>
      </c>
      <c r="C4940" t="s">
        <v>31</v>
      </c>
      <c r="D4940" t="s">
        <v>27</v>
      </c>
      <c r="E4940" t="e">
        <f>VLOOKUP(Cpi_[[#This Row],[Attribute]],#REF!,2,FALSE)</f>
        <v>#REF!</v>
      </c>
      <c r="F4940">
        <v>127.3</v>
      </c>
      <c r="G4940">
        <f>(Cpi_[[#This Row],[Value]]-F4939)/F4939</f>
        <v>-8.4172661870503623E-2</v>
      </c>
      <c r="H4940" t="e" cm="1" vm="1">
        <f t="array" aca="1" ref="H4940" ca="1">VLOOKUP(Cpi_[[#This Row],[Year]:[Month]],crudeoil[],3,FALSE)</f>
        <v>#VALUE!</v>
      </c>
    </row>
    <row r="4941" spans="1:8" hidden="1" x14ac:dyDescent="0.3">
      <c r="A4941" t="s">
        <v>34</v>
      </c>
      <c r="B4941">
        <v>2018</v>
      </c>
      <c r="C4941" t="s">
        <v>31</v>
      </c>
      <c r="D4941" t="s">
        <v>28</v>
      </c>
      <c r="E4941" t="e">
        <f>VLOOKUP(Cpi_[[#This Row],[Attribute]],#REF!,2,FALSE)</f>
        <v>#REF!</v>
      </c>
      <c r="F4941">
        <v>129.1</v>
      </c>
      <c r="G4941">
        <f>(Cpi_[[#This Row],[Value]]-F4940)/F4940</f>
        <v>1.4139827179890001E-2</v>
      </c>
      <c r="H4941" t="e" cm="1" vm="1">
        <f t="array" aca="1" ref="H4941" ca="1">VLOOKUP(Cpi_[[#This Row],[Year]:[Month]],crudeoil[],3,FALSE)</f>
        <v>#VALUE!</v>
      </c>
    </row>
    <row r="4942" spans="1:8" hidden="1" x14ac:dyDescent="0.3">
      <c r="A4942" t="s">
        <v>34</v>
      </c>
      <c r="B4942">
        <v>2018</v>
      </c>
      <c r="C4942" t="s">
        <v>31</v>
      </c>
      <c r="D4942" t="s">
        <v>29</v>
      </c>
      <c r="E4942" t="e" cm="1">
        <f t="array" aca="1" ref="E4942" ca="1">VLGeneral indexGeneral indexKUP(Cpi_[[#This Row],[Attribute]],#REF!,2,FALSE)</f>
        <v>#NAME?</v>
      </c>
      <c r="F4942">
        <v>136.9</v>
      </c>
      <c r="G4942">
        <f>(Cpi_[[#This Row],[Value]]-F4941)/F4941</f>
        <v>6.0418280402788627E-2</v>
      </c>
      <c r="H4942" t="e" cm="1" vm="1">
        <f t="array" aca="1" ref="H4942" ca="1">VLOOKUP(Cpi_[[#This Row],[Year]:[Month]],crudeoil[],3,FALSE)</f>
        <v>#VALUE!</v>
      </c>
    </row>
    <row r="4943" spans="1:8" hidden="1" x14ac:dyDescent="0.3">
      <c r="A4943" t="s">
        <v>30</v>
      </c>
      <c r="B4943">
        <v>2018</v>
      </c>
      <c r="C4943" t="s">
        <v>35</v>
      </c>
      <c r="D4943" t="s">
        <v>3</v>
      </c>
      <c r="E4943" t="e">
        <f>VLOOKUP(Cpi_[[#This Row],[Attribute]],#REF!,2,FALSE)</f>
        <v>#REF!</v>
      </c>
      <c r="F4943">
        <v>136.4</v>
      </c>
      <c r="G4943">
        <f>(Cpi_[[#This Row],[Value]]-F4942)/F4942</f>
        <v>-3.6523009495982466E-3</v>
      </c>
      <c r="H4943" t="e" cm="1" vm="1">
        <f t="array" aca="1" ref="H4943" ca="1">VLOOKUP(Cpi_[[#This Row],[Year]:[Month]],crudeoil[],3,FALSE)</f>
        <v>#VALUE!</v>
      </c>
    </row>
    <row r="4944" spans="1:8" hidden="1" x14ac:dyDescent="0.3">
      <c r="A4944" t="s">
        <v>30</v>
      </c>
      <c r="B4944">
        <v>2018</v>
      </c>
      <c r="C4944" t="s">
        <v>35</v>
      </c>
      <c r="D4944" t="s">
        <v>4</v>
      </c>
      <c r="E4944" t="e">
        <f>VLOOKUP(Cpi_[[#This Row],[Attribute]],#REF!,2,FALSE)</f>
        <v>#REF!</v>
      </c>
      <c r="F4944">
        <v>143.69999999999999</v>
      </c>
      <c r="G4944">
        <f>(Cpi_[[#This Row],[Value]]-F4943)/F4943</f>
        <v>5.3519061583577589E-2</v>
      </c>
      <c r="H4944" t="e" cm="1" vm="1">
        <f t="array" aca="1" ref="H4944" ca="1">VLOOKUP(Cpi_[[#This Row],[Year]:[Month]],crudeoil[],3,FALSE)</f>
        <v>#VALUE!</v>
      </c>
    </row>
    <row r="4945" spans="1:8" hidden="1" x14ac:dyDescent="0.3">
      <c r="A4945" t="s">
        <v>30</v>
      </c>
      <c r="B4945">
        <v>2018</v>
      </c>
      <c r="C4945" t="s">
        <v>35</v>
      </c>
      <c r="D4945" t="s">
        <v>5</v>
      </c>
      <c r="E4945" t="e">
        <f>VLOOKUP(Cpi_[[#This Row],[Attribute]],#REF!,2,FALSE)</f>
        <v>#REF!</v>
      </c>
      <c r="F4945">
        <v>140.6</v>
      </c>
      <c r="G4945">
        <f>(Cpi_[[#This Row],[Value]]-F4944)/F4944</f>
        <v>-2.1572720946416105E-2</v>
      </c>
      <c r="H4945" t="e" cm="1" vm="1">
        <f t="array" aca="1" ref="H4945" ca="1">VLOOKUP(Cpi_[[#This Row],[Year]:[Month]],crudeoil[],3,FALSE)</f>
        <v>#VALUE!</v>
      </c>
    </row>
    <row r="4946" spans="1:8" hidden="1" x14ac:dyDescent="0.3">
      <c r="A4946" t="s">
        <v>30</v>
      </c>
      <c r="B4946">
        <v>2018</v>
      </c>
      <c r="C4946" t="s">
        <v>35</v>
      </c>
      <c r="D4946" t="s">
        <v>6</v>
      </c>
      <c r="E4946" t="e">
        <f>VLOOKUP(Cpi_[[#This Row],[Attribute]],#REF!,2,FALSE)</f>
        <v>#REF!</v>
      </c>
      <c r="F4946">
        <v>141.5</v>
      </c>
      <c r="G4946">
        <f>(Cpi_[[#This Row],[Value]]-F4945)/F4945</f>
        <v>6.401137980085389E-3</v>
      </c>
      <c r="H4946" t="e" cm="1" vm="1">
        <f t="array" aca="1" ref="H4946" ca="1">VLOOKUP(Cpi_[[#This Row],[Year]:[Month]],crudeoil[],3,FALSE)</f>
        <v>#VALUE!</v>
      </c>
    </row>
    <row r="4947" spans="1:8" hidden="1" x14ac:dyDescent="0.3">
      <c r="A4947" t="s">
        <v>30</v>
      </c>
      <c r="B4947">
        <v>2018</v>
      </c>
      <c r="C4947" t="s">
        <v>35</v>
      </c>
      <c r="D4947" t="s">
        <v>7</v>
      </c>
      <c r="E4947" t="e">
        <f>VLOOKUP(Cpi_[[#This Row],[Attribute]],#REF!,2,FALSE)</f>
        <v>#REF!</v>
      </c>
      <c r="F4947">
        <v>122.9</v>
      </c>
      <c r="G4947">
        <f>(Cpi_[[#This Row],[Value]]-F4946)/F4946</f>
        <v>-0.13144876325088337</v>
      </c>
      <c r="H4947" t="e" cm="1" vm="1">
        <f t="array" aca="1" ref="H4947" ca="1">VLOOKUP(Cpi_[[#This Row],[Year]:[Month]],crudeoil[],3,FALSE)</f>
        <v>#VALUE!</v>
      </c>
    </row>
    <row r="4948" spans="1:8" hidden="1" x14ac:dyDescent="0.3">
      <c r="A4948" t="s">
        <v>30</v>
      </c>
      <c r="B4948">
        <v>2018</v>
      </c>
      <c r="C4948" t="s">
        <v>35</v>
      </c>
      <c r="D4948" t="s">
        <v>8</v>
      </c>
      <c r="E4948" t="e">
        <f>VLOOKUP(Cpi_[[#This Row],[Attribute]],#REF!,2,FALSE)</f>
        <v>#REF!</v>
      </c>
      <c r="F4948">
        <v>149.4</v>
      </c>
      <c r="G4948">
        <f>(Cpi_[[#This Row],[Value]]-F4947)/F4947</f>
        <v>0.21562245728234336</v>
      </c>
      <c r="H4948" t="e" cm="1" vm="1">
        <f t="array" aca="1" ref="H4948" ca="1">VLOOKUP(Cpi_[[#This Row],[Year]:[Month]],crudeoil[],3,FALSE)</f>
        <v>#VALUE!</v>
      </c>
    </row>
    <row r="4949" spans="1:8" hidden="1" x14ac:dyDescent="0.3">
      <c r="A4949" t="s">
        <v>30</v>
      </c>
      <c r="B4949">
        <v>2018</v>
      </c>
      <c r="C4949" t="s">
        <v>35</v>
      </c>
      <c r="D4949" t="s">
        <v>9</v>
      </c>
      <c r="E4949" t="e">
        <f>VLOOKUP(Cpi_[[#This Row],[Attribute]],#REF!,2,FALSE)</f>
        <v>#REF!</v>
      </c>
      <c r="F4949">
        <v>142.4</v>
      </c>
      <c r="G4949">
        <f>(Cpi_[[#This Row],[Value]]-F4948)/F4948</f>
        <v>-4.6854082998661312E-2</v>
      </c>
      <c r="H4949" t="e" cm="1" vm="1">
        <f t="array" aca="1" ref="H4949" ca="1">VLOOKUP(Cpi_[[#This Row],[Year]:[Month]],crudeoil[],3,FALSE)</f>
        <v>#VALUE!</v>
      </c>
    </row>
    <row r="4950" spans="1:8" hidden="1" x14ac:dyDescent="0.3">
      <c r="A4950" t="s">
        <v>30</v>
      </c>
      <c r="B4950">
        <v>2018</v>
      </c>
      <c r="C4950" t="s">
        <v>35</v>
      </c>
      <c r="D4950" t="s">
        <v>10</v>
      </c>
      <c r="E4950" t="e">
        <f>VLOOKUP(Cpi_[[#This Row],[Attribute]],#REF!,2,FALSE)</f>
        <v>#REF!</v>
      </c>
      <c r="F4950">
        <v>130.19999999999999</v>
      </c>
      <c r="G4950">
        <f>(Cpi_[[#This Row],[Value]]-F4949)/F4949</f>
        <v>-8.5674157303370899E-2</v>
      </c>
      <c r="H4950" t="e" cm="1" vm="1">
        <f t="array" aca="1" ref="H4950" ca="1">VLOOKUP(Cpi_[[#This Row],[Year]:[Month]],crudeoil[],3,FALSE)</f>
        <v>#VALUE!</v>
      </c>
    </row>
    <row r="4951" spans="1:8" hidden="1" x14ac:dyDescent="0.3">
      <c r="A4951" t="s">
        <v>30</v>
      </c>
      <c r="B4951">
        <v>2018</v>
      </c>
      <c r="C4951" t="s">
        <v>35</v>
      </c>
      <c r="D4951" t="s">
        <v>11</v>
      </c>
      <c r="E4951" t="e">
        <f>VLOOKUP(Cpi_[[#This Row],[Attribute]],#REF!,2,FALSE)</f>
        <v>#REF!</v>
      </c>
      <c r="F4951">
        <v>117.9</v>
      </c>
      <c r="G4951">
        <f>(Cpi_[[#This Row],[Value]]-F4950)/F4950</f>
        <v>-9.4470046082949191E-2</v>
      </c>
      <c r="H4951" t="e" cm="1" vm="1">
        <f t="array" aca="1" ref="H4951" ca="1">VLOOKUP(Cpi_[[#This Row],[Year]:[Month]],crudeoil[],3,FALSE)</f>
        <v>#VALUE!</v>
      </c>
    </row>
    <row r="4952" spans="1:8" hidden="1" x14ac:dyDescent="0.3">
      <c r="A4952" t="s">
        <v>30</v>
      </c>
      <c r="B4952">
        <v>2018</v>
      </c>
      <c r="C4952" t="s">
        <v>35</v>
      </c>
      <c r="D4952" t="s">
        <v>12</v>
      </c>
      <c r="E4952" t="e">
        <f>VLOOKUP(Cpi_[[#This Row],[Attribute]],#REF!,2,FALSE)</f>
        <v>#REF!</v>
      </c>
      <c r="F4952">
        <v>135.6</v>
      </c>
      <c r="G4952">
        <f>(Cpi_[[#This Row],[Value]]-F4951)/F4951</f>
        <v>0.15012722646310422</v>
      </c>
      <c r="H4952" t="e" cm="1" vm="1">
        <f t="array" aca="1" ref="H4952" ca="1">VLOOKUP(Cpi_[[#This Row],[Year]:[Month]],crudeoil[],3,FALSE)</f>
        <v>#VALUE!</v>
      </c>
    </row>
    <row r="4953" spans="1:8" hidden="1" x14ac:dyDescent="0.3">
      <c r="A4953" t="s">
        <v>30</v>
      </c>
      <c r="B4953">
        <v>2018</v>
      </c>
      <c r="C4953" t="s">
        <v>35</v>
      </c>
      <c r="D4953" t="s">
        <v>13</v>
      </c>
      <c r="E4953" t="e">
        <f>VLOOKUP(Cpi_[[#This Row],[Attribute]],#REF!,2,FALSE)</f>
        <v>#REF!</v>
      </c>
      <c r="F4953">
        <v>130.5</v>
      </c>
      <c r="G4953">
        <f>(Cpi_[[#This Row],[Value]]-F4952)/F4952</f>
        <v>-3.761061946902651E-2</v>
      </c>
      <c r="H4953" t="e" cm="1" vm="1">
        <f t="array" aca="1" ref="H4953" ca="1">VLOOKUP(Cpi_[[#This Row],[Year]:[Month]],crudeoil[],3,FALSE)</f>
        <v>#VALUE!</v>
      </c>
    </row>
    <row r="4954" spans="1:8" hidden="1" x14ac:dyDescent="0.3">
      <c r="A4954" t="s">
        <v>30</v>
      </c>
      <c r="B4954">
        <v>2018</v>
      </c>
      <c r="C4954" t="s">
        <v>35</v>
      </c>
      <c r="D4954" t="s">
        <v>14</v>
      </c>
      <c r="E4954" t="e">
        <f>VLOOKUP(Cpi_[[#This Row],[Attribute]],#REF!,2,FALSE)</f>
        <v>#REF!</v>
      </c>
      <c r="F4954">
        <v>151.69999999999999</v>
      </c>
      <c r="G4954">
        <f>(Cpi_[[#This Row],[Value]]-F4953)/F4953</f>
        <v>0.16245210727969339</v>
      </c>
      <c r="H4954" t="e" cm="1" vm="1">
        <f t="array" aca="1" ref="H4954" ca="1">VLOOKUP(Cpi_[[#This Row],[Year]:[Month]],crudeoil[],3,FALSE)</f>
        <v>#VALUE!</v>
      </c>
    </row>
    <row r="4955" spans="1:8" hidden="1" x14ac:dyDescent="0.3">
      <c r="A4955" t="s">
        <v>30</v>
      </c>
      <c r="B4955">
        <v>2018</v>
      </c>
      <c r="C4955" t="s">
        <v>35</v>
      </c>
      <c r="D4955" t="s">
        <v>15</v>
      </c>
      <c r="E4955" t="e">
        <f>VLOOKUP(Cpi_[[#This Row],[Attribute]],#REF!,2,FALSE)</f>
        <v>#REF!</v>
      </c>
      <c r="F4955">
        <v>138.69999999999999</v>
      </c>
      <c r="G4955">
        <f>(Cpi_[[#This Row],[Value]]-F4954)/F4954</f>
        <v>-8.5695451549110097E-2</v>
      </c>
      <c r="H4955" t="e" cm="1" vm="1">
        <f t="array" aca="1" ref="H4955" ca="1">VLOOKUP(Cpi_[[#This Row],[Year]:[Month]],crudeoil[],3,FALSE)</f>
        <v>#VALUE!</v>
      </c>
    </row>
    <row r="4956" spans="1:8" hidden="1" x14ac:dyDescent="0.3">
      <c r="A4956" t="s">
        <v>30</v>
      </c>
      <c r="B4956">
        <v>2018</v>
      </c>
      <c r="C4956" t="s">
        <v>35</v>
      </c>
      <c r="D4956" t="s">
        <v>16</v>
      </c>
      <c r="E4956" t="e">
        <f>VLOOKUP(Cpi_[[#This Row],[Attribute]],#REF!,2,FALSE)</f>
        <v>#REF!</v>
      </c>
      <c r="F4956">
        <v>153.30000000000001</v>
      </c>
      <c r="G4956">
        <f>(Cpi_[[#This Row],[Value]]-F4955)/F4955</f>
        <v>0.10526315789473702</v>
      </c>
      <c r="H4956" t="e" cm="1" vm="1">
        <f t="array" aca="1" ref="H4956" ca="1">VLOOKUP(Cpi_[[#This Row],[Year]:[Month]],crudeoil[],3,FALSE)</f>
        <v>#VALUE!</v>
      </c>
    </row>
    <row r="4957" spans="1:8" hidden="1" x14ac:dyDescent="0.3">
      <c r="A4957" t="s">
        <v>30</v>
      </c>
      <c r="B4957">
        <v>2018</v>
      </c>
      <c r="C4957" t="s">
        <v>35</v>
      </c>
      <c r="D4957" t="s">
        <v>17</v>
      </c>
      <c r="E4957" t="e">
        <f>VLOOKUP(Cpi_[[#This Row],[Attribute]],#REF!,2,FALSE)</f>
        <v>#REF!</v>
      </c>
      <c r="F4957">
        <v>148.69999999999999</v>
      </c>
      <c r="G4957">
        <f>(Cpi_[[#This Row],[Value]]-F4956)/F4956</f>
        <v>-3.0006523157208236E-2</v>
      </c>
      <c r="H4957" t="e" cm="1" vm="1">
        <f t="array" aca="1" ref="H4957" ca="1">VLOOKUP(Cpi_[[#This Row],[Year]:[Month]],crudeoil[],3,FALSE)</f>
        <v>#VALUE!</v>
      </c>
    </row>
    <row r="4958" spans="1:8" hidden="1" x14ac:dyDescent="0.3">
      <c r="A4958" t="s">
        <v>30</v>
      </c>
      <c r="B4958">
        <v>2018</v>
      </c>
      <c r="C4958" t="s">
        <v>35</v>
      </c>
      <c r="D4958" t="s">
        <v>18</v>
      </c>
      <c r="E4958" t="e">
        <f>VLOOKUP(Cpi_[[#This Row],[Attribute]],#REF!,2,FALSE)</f>
        <v>#REF!</v>
      </c>
      <c r="F4958">
        <v>142.4</v>
      </c>
      <c r="G4958">
        <f>(Cpi_[[#This Row],[Value]]-F4957)/F4957</f>
        <v>-4.2367182246133041E-2</v>
      </c>
      <c r="H4958" t="e" cm="1" vm="1">
        <f t="array" aca="1" ref="H4958" ca="1">VLOOKUP(Cpi_[[#This Row],[Year]:[Month]],crudeoil[],3,FALSE)</f>
        <v>#VALUE!</v>
      </c>
    </row>
    <row r="4959" spans="1:8" hidden="1" x14ac:dyDescent="0.3">
      <c r="A4959" t="s">
        <v>30</v>
      </c>
      <c r="B4959">
        <v>2018</v>
      </c>
      <c r="C4959" t="s">
        <v>35</v>
      </c>
      <c r="D4959" t="s">
        <v>19</v>
      </c>
      <c r="E4959" t="e">
        <f>VLOOKUP(Cpi_[[#This Row],[Attribute]],#REF!,2,FALSE)</f>
        <v>#REF!</v>
      </c>
      <c r="F4959">
        <v>147.80000000000001</v>
      </c>
      <c r="G4959">
        <f>(Cpi_[[#This Row],[Value]]-F4958)/F4958</f>
        <v>3.7921348314606779E-2</v>
      </c>
      <c r="H4959" t="e" cm="1" vm="1">
        <f t="array" aca="1" ref="H4959" ca="1">VLOOKUP(Cpi_[[#This Row],[Year]:[Month]],crudeoil[],3,FALSE)</f>
        <v>#VALUE!</v>
      </c>
    </row>
    <row r="4960" spans="1:8" hidden="1" x14ac:dyDescent="0.3">
      <c r="A4960" t="s">
        <v>30</v>
      </c>
      <c r="B4960">
        <v>2018</v>
      </c>
      <c r="C4960" t="s">
        <v>35</v>
      </c>
      <c r="D4960" t="s">
        <v>20</v>
      </c>
      <c r="E4960" t="e">
        <f>VLOOKUP(Cpi_[[#This Row],[Attribute]],#REF!,2,FALSE)</f>
        <v>#REF!</v>
      </c>
      <c r="F4960" t="s">
        <v>32</v>
      </c>
      <c r="G4960" t="e">
        <f>(Cpi_[[#This Row],[Value]]-F4959)/F4959</f>
        <v>#VALUE!</v>
      </c>
      <c r="H4960" t="e" cm="1" vm="1">
        <f t="array" aca="1" ref="H4960" ca="1">VLOOKUP(Cpi_[[#This Row],[Year]:[Month]],crudeoil[],3,FALSE)</f>
        <v>#VALUE!</v>
      </c>
    </row>
    <row r="4961" spans="1:8" hidden="1" x14ac:dyDescent="0.3">
      <c r="A4961" t="s">
        <v>30</v>
      </c>
      <c r="B4961">
        <v>2018</v>
      </c>
      <c r="C4961" t="s">
        <v>35</v>
      </c>
      <c r="D4961" t="s">
        <v>21</v>
      </c>
      <c r="E4961" t="e">
        <f>VLOOKUP(Cpi_[[#This Row],[Attribute]],#REF!,2,FALSE)</f>
        <v>#REF!</v>
      </c>
      <c r="F4961">
        <v>142.4</v>
      </c>
      <c r="G4961" t="e">
        <f>(Cpi_[[#This Row],[Value]]-F4960)/F4960</f>
        <v>#VALUE!</v>
      </c>
      <c r="H4961" t="e" cm="1" vm="1">
        <f t="array" aca="1" ref="H4961" ca="1">VLOOKUP(Cpi_[[#This Row],[Year]:[Month]],crudeoil[],3,FALSE)</f>
        <v>#VALUE!</v>
      </c>
    </row>
    <row r="4962" spans="1:8" hidden="1" x14ac:dyDescent="0.3">
      <c r="A4962" t="s">
        <v>30</v>
      </c>
      <c r="B4962">
        <v>2018</v>
      </c>
      <c r="C4962" t="s">
        <v>35</v>
      </c>
      <c r="D4962" t="s">
        <v>22</v>
      </c>
      <c r="E4962" t="e">
        <f>VLOOKUP(Cpi_[[#This Row],[Attribute]],#REF!,2,FALSE)</f>
        <v>#REF!</v>
      </c>
      <c r="F4962">
        <v>139.9</v>
      </c>
      <c r="G4962">
        <f>(Cpi_[[#This Row],[Value]]-F4961)/F4961</f>
        <v>-1.7556179775280897E-2</v>
      </c>
      <c r="H4962" t="e" cm="1" vm="1">
        <f t="array" aca="1" ref="H4962" ca="1">VLOOKUP(Cpi_[[#This Row],[Year]:[Month]],crudeoil[],3,FALSE)</f>
        <v>#VALUE!</v>
      </c>
    </row>
    <row r="4963" spans="1:8" hidden="1" x14ac:dyDescent="0.3">
      <c r="A4963" t="s">
        <v>30</v>
      </c>
      <c r="B4963">
        <v>2018</v>
      </c>
      <c r="C4963" t="s">
        <v>35</v>
      </c>
      <c r="D4963" t="s">
        <v>23</v>
      </c>
      <c r="E4963" t="e">
        <f>VLOOKUP(Cpi_[[#This Row],[Attribute]],#REF!,2,FALSE)</f>
        <v>#REF!</v>
      </c>
      <c r="F4963">
        <v>136.19999999999999</v>
      </c>
      <c r="G4963">
        <f>(Cpi_[[#This Row],[Value]]-F4962)/F4962</f>
        <v>-2.6447462473195259E-2</v>
      </c>
      <c r="H4963" t="e" cm="1" vm="1">
        <f t="array" aca="1" ref="H4963" ca="1">VLOOKUP(Cpi_[[#This Row],[Year]:[Month]],crudeoil[],3,FALSE)</f>
        <v>#VALUE!</v>
      </c>
    </row>
    <row r="4964" spans="1:8" hidden="1" x14ac:dyDescent="0.3">
      <c r="A4964" t="s">
        <v>30</v>
      </c>
      <c r="B4964">
        <v>2018</v>
      </c>
      <c r="C4964" t="s">
        <v>35</v>
      </c>
      <c r="D4964" t="s">
        <v>24</v>
      </c>
      <c r="E4964" t="e">
        <f>VLOOKUP(Cpi_[[#This Row],[Attribute]],#REF!,2,FALSE)</f>
        <v>#REF!</v>
      </c>
      <c r="F4964">
        <v>123.3</v>
      </c>
      <c r="G4964">
        <f>(Cpi_[[#This Row],[Value]]-F4963)/F4963</f>
        <v>-9.4713656387665143E-2</v>
      </c>
      <c r="H4964" t="e" cm="1" vm="1">
        <f t="array" aca="1" ref="H4964" ca="1">VLOOKUP(Cpi_[[#This Row],[Year]:[Month]],crudeoil[],3,FALSE)</f>
        <v>#VALUE!</v>
      </c>
    </row>
    <row r="4965" spans="1:8" hidden="1" x14ac:dyDescent="0.3">
      <c r="A4965" t="s">
        <v>30</v>
      </c>
      <c r="B4965">
        <v>2018</v>
      </c>
      <c r="C4965" t="s">
        <v>35</v>
      </c>
      <c r="D4965" t="s">
        <v>25</v>
      </c>
      <c r="E4965" t="e">
        <f>VLOOKUP(Cpi_[[#This Row],[Attribute]],#REF!,2,FALSE)</f>
        <v>#REF!</v>
      </c>
      <c r="F4965">
        <v>134.30000000000001</v>
      </c>
      <c r="G4965">
        <f>(Cpi_[[#This Row],[Value]]-F4964)/F4964</f>
        <v>8.9213300892133127E-2</v>
      </c>
      <c r="H4965" t="e" cm="1" vm="1">
        <f t="array" aca="1" ref="H4965" ca="1">VLOOKUP(Cpi_[[#This Row],[Year]:[Month]],crudeoil[],3,FALSE)</f>
        <v>#VALUE!</v>
      </c>
    </row>
    <row r="4966" spans="1:8" hidden="1" x14ac:dyDescent="0.3">
      <c r="A4966" t="s">
        <v>30</v>
      </c>
      <c r="B4966">
        <v>2018</v>
      </c>
      <c r="C4966" t="s">
        <v>35</v>
      </c>
      <c r="D4966" t="s">
        <v>26</v>
      </c>
      <c r="E4966" t="e">
        <f>VLOOKUP(Cpi_[[#This Row],[Attribute]],#REF!,2,FALSE)</f>
        <v>#REF!</v>
      </c>
      <c r="F4966">
        <v>141.5</v>
      </c>
      <c r="G4966">
        <f>(Cpi_[[#This Row],[Value]]-F4965)/F4965</f>
        <v>5.3611317944899387E-2</v>
      </c>
      <c r="H4966" t="e" cm="1" vm="1">
        <f t="array" aca="1" ref="H4966" ca="1">VLOOKUP(Cpi_[[#This Row],[Year]:[Month]],crudeoil[],3,FALSE)</f>
        <v>#VALUE!</v>
      </c>
    </row>
    <row r="4967" spans="1:8" hidden="1" x14ac:dyDescent="0.3">
      <c r="A4967" t="s">
        <v>30</v>
      </c>
      <c r="B4967">
        <v>2018</v>
      </c>
      <c r="C4967" t="s">
        <v>35</v>
      </c>
      <c r="D4967" t="s">
        <v>27</v>
      </c>
      <c r="E4967" t="e">
        <f>VLOOKUP(Cpi_[[#This Row],[Attribute]],#REF!,2,FALSE)</f>
        <v>#REF!</v>
      </c>
      <c r="F4967">
        <v>128.80000000000001</v>
      </c>
      <c r="G4967">
        <f>(Cpi_[[#This Row],[Value]]-F4966)/F4966</f>
        <v>-8.975265017667837E-2</v>
      </c>
      <c r="H4967" t="e" cm="1" vm="1">
        <f t="array" aca="1" ref="H4967" ca="1">VLOOKUP(Cpi_[[#This Row],[Year]:[Month]],crudeoil[],3,FALSE)</f>
        <v>#VALUE!</v>
      </c>
    </row>
    <row r="4968" spans="1:8" hidden="1" x14ac:dyDescent="0.3">
      <c r="A4968" t="s">
        <v>30</v>
      </c>
      <c r="B4968">
        <v>2018</v>
      </c>
      <c r="C4968" t="s">
        <v>35</v>
      </c>
      <c r="D4968" t="s">
        <v>28</v>
      </c>
      <c r="E4968" t="e">
        <f>VLOOKUP(Cpi_[[#This Row],[Attribute]],#REF!,2,FALSE)</f>
        <v>#REF!</v>
      </c>
      <c r="F4968">
        <v>132.5</v>
      </c>
      <c r="G4968">
        <f>(Cpi_[[#This Row],[Value]]-F4967)/F4967</f>
        <v>2.872670807453407E-2</v>
      </c>
      <c r="H4968" t="e" cm="1" vm="1">
        <f t="array" aca="1" ref="H4968" ca="1">VLOOKUP(Cpi_[[#This Row],[Year]:[Month]],crudeoil[],3,FALSE)</f>
        <v>#VALUE!</v>
      </c>
    </row>
    <row r="4969" spans="1:8" hidden="1" x14ac:dyDescent="0.3">
      <c r="A4969" t="s">
        <v>30</v>
      </c>
      <c r="B4969">
        <v>2018</v>
      </c>
      <c r="C4969" t="s">
        <v>35</v>
      </c>
      <c r="D4969" t="s">
        <v>29</v>
      </c>
      <c r="E4969" t="e" cm="1">
        <f t="array" aca="1" ref="E4969" ca="1">VLGeneral indexGeneral indexKUP(Cpi_[[#This Row],[Attribute]],#REF!,2,FALSE)</f>
        <v>#NAME?</v>
      </c>
      <c r="F4969">
        <v>138.5</v>
      </c>
      <c r="G4969">
        <f>(Cpi_[[#This Row],[Value]]-F4968)/F4968</f>
        <v>4.5283018867924525E-2</v>
      </c>
      <c r="H4969" t="e" cm="1" vm="1">
        <f t="array" aca="1" ref="H4969" ca="1">VLOOKUP(Cpi_[[#This Row],[Year]:[Month]],crudeoil[],3,FALSE)</f>
        <v>#VALUE!</v>
      </c>
    </row>
    <row r="4970" spans="1:8" hidden="1" x14ac:dyDescent="0.3">
      <c r="A4970" t="s">
        <v>33</v>
      </c>
      <c r="B4970">
        <v>2018</v>
      </c>
      <c r="C4970" t="s">
        <v>35</v>
      </c>
      <c r="D4970" t="s">
        <v>3</v>
      </c>
      <c r="E4970" t="e">
        <f>VLOOKUP(Cpi_[[#This Row],[Attribute]],#REF!,2,FALSE)</f>
        <v>#REF!</v>
      </c>
      <c r="F4970">
        <v>134.80000000000001</v>
      </c>
      <c r="G4970">
        <f>(Cpi_[[#This Row],[Value]]-F4969)/F4969</f>
        <v>-2.671480144404324E-2</v>
      </c>
      <c r="H4970" t="e" cm="1" vm="1">
        <f t="array" aca="1" ref="H4970" ca="1">VLOOKUP(Cpi_[[#This Row],[Year]:[Month]],crudeoil[],3,FALSE)</f>
        <v>#VALUE!</v>
      </c>
    </row>
    <row r="4971" spans="1:8" hidden="1" x14ac:dyDescent="0.3">
      <c r="A4971" t="s">
        <v>33</v>
      </c>
      <c r="B4971">
        <v>2018</v>
      </c>
      <c r="C4971" t="s">
        <v>35</v>
      </c>
      <c r="D4971" t="s">
        <v>4</v>
      </c>
      <c r="E4971" t="e">
        <f>VLOOKUP(Cpi_[[#This Row],[Attribute]],#REF!,2,FALSE)</f>
        <v>#REF!</v>
      </c>
      <c r="F4971">
        <v>143</v>
      </c>
      <c r="G4971">
        <f>(Cpi_[[#This Row],[Value]]-F4970)/F4970</f>
        <v>6.0830860534124537E-2</v>
      </c>
      <c r="H4971" t="e" cm="1" vm="1">
        <f t="array" aca="1" ref="H4971" ca="1">VLOOKUP(Cpi_[[#This Row],[Year]:[Month]],crudeoil[],3,FALSE)</f>
        <v>#VALUE!</v>
      </c>
    </row>
    <row r="4972" spans="1:8" hidden="1" x14ac:dyDescent="0.3">
      <c r="A4972" t="s">
        <v>33</v>
      </c>
      <c r="B4972">
        <v>2018</v>
      </c>
      <c r="C4972" t="s">
        <v>35</v>
      </c>
      <c r="D4972" t="s">
        <v>5</v>
      </c>
      <c r="E4972" t="e">
        <f>VLOOKUP(Cpi_[[#This Row],[Attribute]],#REF!,2,FALSE)</f>
        <v>#REF!</v>
      </c>
      <c r="F4972">
        <v>139.9</v>
      </c>
      <c r="G4972">
        <f>(Cpi_[[#This Row],[Value]]-F4971)/F4971</f>
        <v>-2.1678321678321639E-2</v>
      </c>
      <c r="H4972" t="e" cm="1" vm="1">
        <f t="array" aca="1" ref="H4972" ca="1">VLOOKUP(Cpi_[[#This Row],[Year]:[Month]],crudeoil[],3,FALSE)</f>
        <v>#VALUE!</v>
      </c>
    </row>
    <row r="4973" spans="1:8" hidden="1" x14ac:dyDescent="0.3">
      <c r="A4973" t="s">
        <v>33</v>
      </c>
      <c r="B4973">
        <v>2018</v>
      </c>
      <c r="C4973" t="s">
        <v>35</v>
      </c>
      <c r="D4973" t="s">
        <v>6</v>
      </c>
      <c r="E4973" t="e">
        <f>VLOOKUP(Cpi_[[#This Row],[Attribute]],#REF!,2,FALSE)</f>
        <v>#REF!</v>
      </c>
      <c r="F4973">
        <v>139.9</v>
      </c>
      <c r="G4973">
        <f>(Cpi_[[#This Row],[Value]]-F4972)/F4972</f>
        <v>0</v>
      </c>
      <c r="H4973" t="e" cm="1" vm="1">
        <f t="array" aca="1" ref="H4973" ca="1">VLOOKUP(Cpi_[[#This Row],[Year]:[Month]],crudeoil[],3,FALSE)</f>
        <v>#VALUE!</v>
      </c>
    </row>
    <row r="4974" spans="1:8" hidden="1" x14ac:dyDescent="0.3">
      <c r="A4974" t="s">
        <v>33</v>
      </c>
      <c r="B4974">
        <v>2018</v>
      </c>
      <c r="C4974" t="s">
        <v>35</v>
      </c>
      <c r="D4974" t="s">
        <v>7</v>
      </c>
      <c r="E4974" t="e">
        <f>VLOOKUP(Cpi_[[#This Row],[Attribute]],#REF!,2,FALSE)</f>
        <v>#REF!</v>
      </c>
      <c r="F4974">
        <v>116.2</v>
      </c>
      <c r="G4974">
        <f>(Cpi_[[#This Row],[Value]]-F4973)/F4973</f>
        <v>-0.16940671908506078</v>
      </c>
      <c r="H4974" t="e" cm="1" vm="1">
        <f t="array" aca="1" ref="H4974" ca="1">VLOOKUP(Cpi_[[#This Row],[Year]:[Month]],crudeoil[],3,FALSE)</f>
        <v>#VALUE!</v>
      </c>
    </row>
    <row r="4975" spans="1:8" hidden="1" x14ac:dyDescent="0.3">
      <c r="A4975" t="s">
        <v>33</v>
      </c>
      <c r="B4975">
        <v>2018</v>
      </c>
      <c r="C4975" t="s">
        <v>35</v>
      </c>
      <c r="D4975" t="s">
        <v>8</v>
      </c>
      <c r="E4975" t="e">
        <f>VLOOKUP(Cpi_[[#This Row],[Attribute]],#REF!,2,FALSE)</f>
        <v>#REF!</v>
      </c>
      <c r="F4975">
        <v>135.5</v>
      </c>
      <c r="G4975">
        <f>(Cpi_[[#This Row],[Value]]-F4974)/F4974</f>
        <v>0.16609294320137691</v>
      </c>
      <c r="H4975" t="e" cm="1" vm="1">
        <f t="array" aca="1" ref="H4975" ca="1">VLOOKUP(Cpi_[[#This Row],[Year]:[Month]],crudeoil[],3,FALSE)</f>
        <v>#VALUE!</v>
      </c>
    </row>
    <row r="4976" spans="1:8" hidden="1" x14ac:dyDescent="0.3">
      <c r="A4976" t="s">
        <v>33</v>
      </c>
      <c r="B4976">
        <v>2018</v>
      </c>
      <c r="C4976" t="s">
        <v>35</v>
      </c>
      <c r="D4976" t="s">
        <v>9</v>
      </c>
      <c r="E4976" t="e">
        <f>VLOOKUP(Cpi_[[#This Row],[Attribute]],#REF!,2,FALSE)</f>
        <v>#REF!</v>
      </c>
      <c r="F4976">
        <v>136.9</v>
      </c>
      <c r="G4976">
        <f>(Cpi_[[#This Row],[Value]]-F4975)/F4975</f>
        <v>1.0332103321033253E-2</v>
      </c>
      <c r="H4976" t="e" cm="1" vm="1">
        <f t="array" aca="1" ref="H4976" ca="1">VLOOKUP(Cpi_[[#This Row],[Year]:[Month]],crudeoil[],3,FALSE)</f>
        <v>#VALUE!</v>
      </c>
    </row>
    <row r="4977" spans="1:8" hidden="1" x14ac:dyDescent="0.3">
      <c r="A4977" t="s">
        <v>33</v>
      </c>
      <c r="B4977">
        <v>2018</v>
      </c>
      <c r="C4977" t="s">
        <v>35</v>
      </c>
      <c r="D4977" t="s">
        <v>10</v>
      </c>
      <c r="E4977" t="e">
        <f>VLOOKUP(Cpi_[[#This Row],[Attribute]],#REF!,2,FALSE)</f>
        <v>#REF!</v>
      </c>
      <c r="F4977">
        <v>117</v>
      </c>
      <c r="G4977">
        <f>(Cpi_[[#This Row],[Value]]-F4976)/F4976</f>
        <v>-0.14536157779401027</v>
      </c>
      <c r="H4977" t="e" cm="1" vm="1">
        <f t="array" aca="1" ref="H4977" ca="1">VLOOKUP(Cpi_[[#This Row],[Year]:[Month]],crudeoil[],3,FALSE)</f>
        <v>#VALUE!</v>
      </c>
    </row>
    <row r="4978" spans="1:8" hidden="1" x14ac:dyDescent="0.3">
      <c r="A4978" t="s">
        <v>33</v>
      </c>
      <c r="B4978">
        <v>2018</v>
      </c>
      <c r="C4978" t="s">
        <v>35</v>
      </c>
      <c r="D4978" t="s">
        <v>11</v>
      </c>
      <c r="E4978" t="e">
        <f>VLOOKUP(Cpi_[[#This Row],[Attribute]],#REF!,2,FALSE)</f>
        <v>#REF!</v>
      </c>
      <c r="F4978">
        <v>115.4</v>
      </c>
      <c r="G4978">
        <f>(Cpi_[[#This Row],[Value]]-F4977)/F4977</f>
        <v>-1.3675213675213627E-2</v>
      </c>
      <c r="H4978" t="e" cm="1" vm="1">
        <f t="array" aca="1" ref="H4978" ca="1">VLOOKUP(Cpi_[[#This Row],[Year]:[Month]],crudeoil[],3,FALSE)</f>
        <v>#VALUE!</v>
      </c>
    </row>
    <row r="4979" spans="1:8" hidden="1" x14ac:dyDescent="0.3">
      <c r="A4979" t="s">
        <v>33</v>
      </c>
      <c r="B4979">
        <v>2018</v>
      </c>
      <c r="C4979" t="s">
        <v>35</v>
      </c>
      <c r="D4979" t="s">
        <v>12</v>
      </c>
      <c r="E4979" t="e">
        <f>VLOOKUP(Cpi_[[#This Row],[Attribute]],#REF!,2,FALSE)</f>
        <v>#REF!</v>
      </c>
      <c r="F4979">
        <v>140.69999999999999</v>
      </c>
      <c r="G4979">
        <f>(Cpi_[[#This Row],[Value]]-F4978)/F4978</f>
        <v>0.21923743500866535</v>
      </c>
      <c r="H4979" t="e" cm="1" vm="1">
        <f t="array" aca="1" ref="H4979" ca="1">VLOOKUP(Cpi_[[#This Row],[Year]:[Month]],crudeoil[],3,FALSE)</f>
        <v>#VALUE!</v>
      </c>
    </row>
    <row r="4980" spans="1:8" hidden="1" x14ac:dyDescent="0.3">
      <c r="A4980" t="s">
        <v>33</v>
      </c>
      <c r="B4980">
        <v>2018</v>
      </c>
      <c r="C4980" t="s">
        <v>35</v>
      </c>
      <c r="D4980" t="s">
        <v>13</v>
      </c>
      <c r="E4980" t="e">
        <f>VLOOKUP(Cpi_[[#This Row],[Attribute]],#REF!,2,FALSE)</f>
        <v>#REF!</v>
      </c>
      <c r="F4980">
        <v>125.9</v>
      </c>
      <c r="G4980">
        <f>(Cpi_[[#This Row],[Value]]-F4979)/F4979</f>
        <v>-0.10518834399431404</v>
      </c>
      <c r="H4980" t="e" cm="1" vm="1">
        <f t="array" aca="1" ref="H4980" ca="1">VLOOKUP(Cpi_[[#This Row],[Year]:[Month]],crudeoil[],3,FALSE)</f>
        <v>#VALUE!</v>
      </c>
    </row>
    <row r="4981" spans="1:8" hidden="1" x14ac:dyDescent="0.3">
      <c r="A4981" t="s">
        <v>33</v>
      </c>
      <c r="B4981">
        <v>2018</v>
      </c>
      <c r="C4981" t="s">
        <v>35</v>
      </c>
      <c r="D4981" t="s">
        <v>14</v>
      </c>
      <c r="E4981" t="e">
        <f>VLOOKUP(Cpi_[[#This Row],[Attribute]],#REF!,2,FALSE)</f>
        <v>#REF!</v>
      </c>
      <c r="F4981">
        <v>147.1</v>
      </c>
      <c r="G4981">
        <f>(Cpi_[[#This Row],[Value]]-F4980)/F4980</f>
        <v>0.16838760921366153</v>
      </c>
      <c r="H4981" t="e" cm="1" vm="1">
        <f t="array" aca="1" ref="H4981" ca="1">VLOOKUP(Cpi_[[#This Row],[Year]:[Month]],crudeoil[],3,FALSE)</f>
        <v>#VALUE!</v>
      </c>
    </row>
    <row r="4982" spans="1:8" hidden="1" x14ac:dyDescent="0.3">
      <c r="A4982" t="s">
        <v>33</v>
      </c>
      <c r="B4982">
        <v>2018</v>
      </c>
      <c r="C4982" t="s">
        <v>35</v>
      </c>
      <c r="D4982" t="s">
        <v>15</v>
      </c>
      <c r="E4982" t="e">
        <f>VLOOKUP(Cpi_[[#This Row],[Attribute]],#REF!,2,FALSE)</f>
        <v>#REF!</v>
      </c>
      <c r="F4982">
        <v>135.6</v>
      </c>
      <c r="G4982">
        <f>(Cpi_[[#This Row],[Value]]-F4981)/F4981</f>
        <v>-7.8178110129163841E-2</v>
      </c>
      <c r="H4982" t="e" cm="1" vm="1">
        <f t="array" aca="1" ref="H4982" ca="1">VLOOKUP(Cpi_[[#This Row],[Year]:[Month]],crudeoil[],3,FALSE)</f>
        <v>#VALUE!</v>
      </c>
    </row>
    <row r="4983" spans="1:8" hidden="1" x14ac:dyDescent="0.3">
      <c r="A4983" t="s">
        <v>33</v>
      </c>
      <c r="B4983">
        <v>2018</v>
      </c>
      <c r="C4983" t="s">
        <v>35</v>
      </c>
      <c r="D4983" t="s">
        <v>16</v>
      </c>
      <c r="E4983" t="e">
        <f>VLOOKUP(Cpi_[[#This Row],[Attribute]],#REF!,2,FALSE)</f>
        <v>#REF!</v>
      </c>
      <c r="F4983">
        <v>159.30000000000001</v>
      </c>
      <c r="G4983">
        <f>(Cpi_[[#This Row],[Value]]-F4982)/F4982</f>
        <v>0.17477876106194704</v>
      </c>
      <c r="H4983" t="e" cm="1" vm="1">
        <f t="array" aca="1" ref="H4983" ca="1">VLOOKUP(Cpi_[[#This Row],[Year]:[Month]],crudeoil[],3,FALSE)</f>
        <v>#VALUE!</v>
      </c>
    </row>
    <row r="4984" spans="1:8" hidden="1" x14ac:dyDescent="0.3">
      <c r="A4984" t="s">
        <v>33</v>
      </c>
      <c r="B4984">
        <v>2018</v>
      </c>
      <c r="C4984" t="s">
        <v>35</v>
      </c>
      <c r="D4984" t="s">
        <v>17</v>
      </c>
      <c r="E4984" t="e">
        <f>VLOOKUP(Cpi_[[#This Row],[Attribute]],#REF!,2,FALSE)</f>
        <v>#REF!</v>
      </c>
      <c r="F4984">
        <v>136.30000000000001</v>
      </c>
      <c r="G4984">
        <f>(Cpi_[[#This Row],[Value]]-F4983)/F4983</f>
        <v>-0.1443816698053986</v>
      </c>
      <c r="H4984" t="e" cm="1" vm="1">
        <f t="array" aca="1" ref="H4984" ca="1">VLOOKUP(Cpi_[[#This Row],[Year]:[Month]],crudeoil[],3,FALSE)</f>
        <v>#VALUE!</v>
      </c>
    </row>
    <row r="4985" spans="1:8" hidden="1" x14ac:dyDescent="0.3">
      <c r="A4985" t="s">
        <v>33</v>
      </c>
      <c r="B4985">
        <v>2018</v>
      </c>
      <c r="C4985" t="s">
        <v>35</v>
      </c>
      <c r="D4985" t="s">
        <v>18</v>
      </c>
      <c r="E4985" t="e">
        <f>VLOOKUP(Cpi_[[#This Row],[Attribute]],#REF!,2,FALSE)</f>
        <v>#REF!</v>
      </c>
      <c r="F4985">
        <v>126.1</v>
      </c>
      <c r="G4985">
        <f>(Cpi_[[#This Row],[Value]]-F4984)/F4984</f>
        <v>-7.4834922964050005E-2</v>
      </c>
      <c r="H4985" t="e" cm="1" vm="1">
        <f t="array" aca="1" ref="H4985" ca="1">VLOOKUP(Cpi_[[#This Row],[Year]:[Month]],crudeoil[],3,FALSE)</f>
        <v>#VALUE!</v>
      </c>
    </row>
    <row r="4986" spans="1:8" hidden="1" x14ac:dyDescent="0.3">
      <c r="A4986" t="s">
        <v>33</v>
      </c>
      <c r="B4986">
        <v>2018</v>
      </c>
      <c r="C4986" t="s">
        <v>35</v>
      </c>
      <c r="D4986" t="s">
        <v>19</v>
      </c>
      <c r="E4986" t="e">
        <f>VLOOKUP(Cpi_[[#This Row],[Attribute]],#REF!,2,FALSE)</f>
        <v>#REF!</v>
      </c>
      <c r="F4986">
        <v>134.69999999999999</v>
      </c>
      <c r="G4986">
        <f>(Cpi_[[#This Row],[Value]]-F4985)/F4985</f>
        <v>6.8199841395717636E-2</v>
      </c>
      <c r="H4986" t="e" cm="1" vm="1">
        <f t="array" aca="1" ref="H4986" ca="1">VLOOKUP(Cpi_[[#This Row],[Year]:[Month]],crudeoil[],3,FALSE)</f>
        <v>#VALUE!</v>
      </c>
    </row>
    <row r="4987" spans="1:8" hidden="1" x14ac:dyDescent="0.3">
      <c r="A4987" t="s">
        <v>33</v>
      </c>
      <c r="B4987">
        <v>2018</v>
      </c>
      <c r="C4987" t="s">
        <v>35</v>
      </c>
      <c r="D4987" t="s">
        <v>20</v>
      </c>
      <c r="E4987" t="e">
        <f>VLOOKUP(Cpi_[[#This Row],[Attribute]],#REF!,2,FALSE)</f>
        <v>#REF!</v>
      </c>
      <c r="F4987">
        <v>141.30000000000001</v>
      </c>
      <c r="G4987">
        <f>(Cpi_[[#This Row],[Value]]-F4986)/F4986</f>
        <v>4.8997772828507966E-2</v>
      </c>
      <c r="H4987" t="e" cm="1" vm="1">
        <f t="array" aca="1" ref="H4987" ca="1">VLOOKUP(Cpi_[[#This Row],[Year]:[Month]],crudeoil[],3,FALSE)</f>
        <v>#VALUE!</v>
      </c>
    </row>
    <row r="4988" spans="1:8" hidden="1" x14ac:dyDescent="0.3">
      <c r="A4988" t="s">
        <v>33</v>
      </c>
      <c r="B4988">
        <v>2018</v>
      </c>
      <c r="C4988" t="s">
        <v>35</v>
      </c>
      <c r="D4988" t="s">
        <v>21</v>
      </c>
      <c r="E4988" t="e">
        <f>VLOOKUP(Cpi_[[#This Row],[Attribute]],#REF!,2,FALSE)</f>
        <v>#REF!</v>
      </c>
      <c r="F4988">
        <v>127.3</v>
      </c>
      <c r="G4988">
        <f>(Cpi_[[#This Row],[Value]]-F4987)/F4987</f>
        <v>-9.9079971691436758E-2</v>
      </c>
      <c r="H4988" t="e" cm="1" vm="1">
        <f t="array" aca="1" ref="H4988" ca="1">VLOOKUP(Cpi_[[#This Row],[Year]:[Month]],crudeoil[],3,FALSE)</f>
        <v>#VALUE!</v>
      </c>
    </row>
    <row r="4989" spans="1:8" hidden="1" x14ac:dyDescent="0.3">
      <c r="A4989" t="s">
        <v>33</v>
      </c>
      <c r="B4989">
        <v>2018</v>
      </c>
      <c r="C4989" t="s">
        <v>35</v>
      </c>
      <c r="D4989" t="s">
        <v>22</v>
      </c>
      <c r="E4989" t="e">
        <f>VLOOKUP(Cpi_[[#This Row],[Attribute]],#REF!,2,FALSE)</f>
        <v>#REF!</v>
      </c>
      <c r="F4989">
        <v>129.9</v>
      </c>
      <c r="G4989">
        <f>(Cpi_[[#This Row],[Value]]-F4988)/F4988</f>
        <v>2.0424194815396767E-2</v>
      </c>
      <c r="H4989" t="e" cm="1" vm="1">
        <f t="array" aca="1" ref="H4989" ca="1">VLOOKUP(Cpi_[[#This Row],[Year]:[Month]],crudeoil[],3,FALSE)</f>
        <v>#VALUE!</v>
      </c>
    </row>
    <row r="4990" spans="1:8" hidden="1" x14ac:dyDescent="0.3">
      <c r="A4990" t="s">
        <v>33</v>
      </c>
      <c r="B4990">
        <v>2018</v>
      </c>
      <c r="C4990" t="s">
        <v>35</v>
      </c>
      <c r="D4990" t="s">
        <v>23</v>
      </c>
      <c r="E4990" t="e">
        <f>VLOOKUP(Cpi_[[#This Row],[Attribute]],#REF!,2,FALSE)</f>
        <v>#REF!</v>
      </c>
      <c r="F4990">
        <v>129.80000000000001</v>
      </c>
      <c r="G4990">
        <f>(Cpi_[[#This Row],[Value]]-F4989)/F4989</f>
        <v>-7.6982294072358982E-4</v>
      </c>
      <c r="H4990" t="e" cm="1" vm="1">
        <f t="array" aca="1" ref="H4990" ca="1">VLOOKUP(Cpi_[[#This Row],[Year]:[Month]],crudeoil[],3,FALSE)</f>
        <v>#VALUE!</v>
      </c>
    </row>
    <row r="4991" spans="1:8" hidden="1" x14ac:dyDescent="0.3">
      <c r="A4991" t="s">
        <v>33</v>
      </c>
      <c r="B4991">
        <v>2018</v>
      </c>
      <c r="C4991" t="s">
        <v>35</v>
      </c>
      <c r="D4991" t="s">
        <v>24</v>
      </c>
      <c r="E4991" t="e">
        <f>VLOOKUP(Cpi_[[#This Row],[Attribute]],#REF!,2,FALSE)</f>
        <v>#REF!</v>
      </c>
      <c r="F4991">
        <v>117.4</v>
      </c>
      <c r="G4991">
        <f>(Cpi_[[#This Row],[Value]]-F4990)/F4990</f>
        <v>-9.5531587057010828E-2</v>
      </c>
      <c r="H4991" t="e" cm="1" vm="1">
        <f t="array" aca="1" ref="H4991" ca="1">VLOOKUP(Cpi_[[#This Row],[Year]:[Month]],crudeoil[],3,FALSE)</f>
        <v>#VALUE!</v>
      </c>
    </row>
    <row r="4992" spans="1:8" hidden="1" x14ac:dyDescent="0.3">
      <c r="A4992" t="s">
        <v>33</v>
      </c>
      <c r="B4992">
        <v>2018</v>
      </c>
      <c r="C4992" t="s">
        <v>35</v>
      </c>
      <c r="D4992" t="s">
        <v>25</v>
      </c>
      <c r="E4992" t="e">
        <f>VLOOKUP(Cpi_[[#This Row],[Attribute]],#REF!,2,FALSE)</f>
        <v>#REF!</v>
      </c>
      <c r="F4992">
        <v>126.5</v>
      </c>
      <c r="G4992">
        <f>(Cpi_[[#This Row],[Value]]-F4991)/F4991</f>
        <v>7.7512776831345775E-2</v>
      </c>
      <c r="H4992" t="e" cm="1" vm="1">
        <f t="array" aca="1" ref="H4992" ca="1">VLOOKUP(Cpi_[[#This Row],[Year]:[Month]],crudeoil[],3,FALSE)</f>
        <v>#VALUE!</v>
      </c>
    </row>
    <row r="4993" spans="1:8" hidden="1" x14ac:dyDescent="0.3">
      <c r="A4993" t="s">
        <v>33</v>
      </c>
      <c r="B4993">
        <v>2018</v>
      </c>
      <c r="C4993" t="s">
        <v>35</v>
      </c>
      <c r="D4993" t="s">
        <v>26</v>
      </c>
      <c r="E4993" t="e">
        <f>VLOOKUP(Cpi_[[#This Row],[Attribute]],#REF!,2,FALSE)</f>
        <v>#REF!</v>
      </c>
      <c r="F4993">
        <v>137.19999999999999</v>
      </c>
      <c r="G4993">
        <f>(Cpi_[[#This Row],[Value]]-F4992)/F4992</f>
        <v>8.4584980237154064E-2</v>
      </c>
      <c r="H4993" t="e" cm="1" vm="1">
        <f t="array" aca="1" ref="H4993" ca="1">VLOOKUP(Cpi_[[#This Row],[Year]:[Month]],crudeoil[],3,FALSE)</f>
        <v>#VALUE!</v>
      </c>
    </row>
    <row r="4994" spans="1:8" hidden="1" x14ac:dyDescent="0.3">
      <c r="A4994" t="s">
        <v>33</v>
      </c>
      <c r="B4994">
        <v>2018</v>
      </c>
      <c r="C4994" t="s">
        <v>35</v>
      </c>
      <c r="D4994" t="s">
        <v>27</v>
      </c>
      <c r="E4994" t="e">
        <f>VLOOKUP(Cpi_[[#This Row],[Attribute]],#REF!,2,FALSE)</f>
        <v>#REF!</v>
      </c>
      <c r="F4994">
        <v>126.2</v>
      </c>
      <c r="G4994">
        <f>(Cpi_[[#This Row],[Value]]-F4993)/F4993</f>
        <v>-8.0174927113702527E-2</v>
      </c>
      <c r="H4994" t="e" cm="1" vm="1">
        <f t="array" aca="1" ref="H4994" ca="1">VLOOKUP(Cpi_[[#This Row],[Year]:[Month]],crudeoil[],3,FALSE)</f>
        <v>#VALUE!</v>
      </c>
    </row>
    <row r="4995" spans="1:8" hidden="1" x14ac:dyDescent="0.3">
      <c r="A4995" t="s">
        <v>33</v>
      </c>
      <c r="B4995">
        <v>2018</v>
      </c>
      <c r="C4995" t="s">
        <v>35</v>
      </c>
      <c r="D4995" t="s">
        <v>28</v>
      </c>
      <c r="E4995" t="e">
        <f>VLOOKUP(Cpi_[[#This Row],[Attribute]],#REF!,2,FALSE)</f>
        <v>#REF!</v>
      </c>
      <c r="F4995">
        <v>126.5</v>
      </c>
      <c r="G4995">
        <f>(Cpi_[[#This Row],[Value]]-F4994)/F4994</f>
        <v>2.3771790808240663E-3</v>
      </c>
      <c r="H4995" t="e" cm="1" vm="1">
        <f t="array" aca="1" ref="H4995" ca="1">VLOOKUP(Cpi_[[#This Row],[Year]:[Month]],crudeoil[],3,FALSE)</f>
        <v>#VALUE!</v>
      </c>
    </row>
    <row r="4996" spans="1:8" hidden="1" x14ac:dyDescent="0.3">
      <c r="A4996" t="s">
        <v>33</v>
      </c>
      <c r="B4996">
        <v>2018</v>
      </c>
      <c r="C4996" t="s">
        <v>35</v>
      </c>
      <c r="D4996" t="s">
        <v>29</v>
      </c>
      <c r="E4996" t="e" cm="1">
        <f t="array" aca="1" ref="E4996" ca="1">VLGeneral indexGeneral indexKUP(Cpi_[[#This Row],[Attribute]],#REF!,2,FALSE)</f>
        <v>#NAME?</v>
      </c>
      <c r="F4996">
        <v>134</v>
      </c>
      <c r="G4996">
        <f>(Cpi_[[#This Row],[Value]]-F4995)/F4995</f>
        <v>5.9288537549407112E-2</v>
      </c>
      <c r="H4996" t="e" cm="1" vm="1">
        <f t="array" aca="1" ref="H4996" ca="1">VLOOKUP(Cpi_[[#This Row],[Year]:[Month]],crudeoil[],3,FALSE)</f>
        <v>#VALUE!</v>
      </c>
    </row>
    <row r="4997" spans="1:8" hidden="1" x14ac:dyDescent="0.3">
      <c r="A4997" t="s">
        <v>34</v>
      </c>
      <c r="B4997">
        <v>2018</v>
      </c>
      <c r="C4997" t="s">
        <v>35</v>
      </c>
      <c r="D4997" t="s">
        <v>3</v>
      </c>
      <c r="E4997" t="e">
        <f>VLOOKUP(Cpi_[[#This Row],[Attribute]],#REF!,2,FALSE)</f>
        <v>#REF!</v>
      </c>
      <c r="F4997">
        <v>135.9</v>
      </c>
      <c r="G4997">
        <f>(Cpi_[[#This Row],[Value]]-F4996)/F4996</f>
        <v>1.4179104477611983E-2</v>
      </c>
      <c r="H4997" t="e" cm="1" vm="1">
        <f t="array" aca="1" ref="H4997" ca="1">VLOOKUP(Cpi_[[#This Row],[Year]:[Month]],crudeoil[],3,FALSE)</f>
        <v>#VALUE!</v>
      </c>
    </row>
    <row r="4998" spans="1:8" hidden="1" x14ac:dyDescent="0.3">
      <c r="A4998" t="s">
        <v>34</v>
      </c>
      <c r="B4998">
        <v>2018</v>
      </c>
      <c r="C4998" t="s">
        <v>35</v>
      </c>
      <c r="D4998" t="s">
        <v>4</v>
      </c>
      <c r="E4998" t="e">
        <f>VLOOKUP(Cpi_[[#This Row],[Attribute]],#REF!,2,FALSE)</f>
        <v>#REF!</v>
      </c>
      <c r="F4998">
        <v>143.5</v>
      </c>
      <c r="G4998">
        <f>(Cpi_[[#This Row],[Value]]-F4997)/F4997</f>
        <v>5.5923473142016143E-2</v>
      </c>
      <c r="H4998" t="e" cm="1" vm="1">
        <f t="array" aca="1" ref="H4998" ca="1">VLOOKUP(Cpi_[[#This Row],[Year]:[Month]],crudeoil[],3,FALSE)</f>
        <v>#VALUE!</v>
      </c>
    </row>
    <row r="4999" spans="1:8" hidden="1" x14ac:dyDescent="0.3">
      <c r="A4999" t="s">
        <v>34</v>
      </c>
      <c r="B4999">
        <v>2018</v>
      </c>
      <c r="C4999" t="s">
        <v>35</v>
      </c>
      <c r="D4999" t="s">
        <v>5</v>
      </c>
      <c r="E4999" t="e">
        <f>VLOOKUP(Cpi_[[#This Row],[Attribute]],#REF!,2,FALSE)</f>
        <v>#REF!</v>
      </c>
      <c r="F4999">
        <v>140.30000000000001</v>
      </c>
      <c r="G4999">
        <f>(Cpi_[[#This Row],[Value]]-F4998)/F4998</f>
        <v>-2.2299651567944171E-2</v>
      </c>
      <c r="H4999" t="e" cm="1" vm="1">
        <f t="array" aca="1" ref="H4999" ca="1">VLOOKUP(Cpi_[[#This Row],[Year]:[Month]],crudeoil[],3,FALSE)</f>
        <v>#VALUE!</v>
      </c>
    </row>
    <row r="5000" spans="1:8" hidden="1" x14ac:dyDescent="0.3">
      <c r="A5000" t="s">
        <v>34</v>
      </c>
      <c r="B5000">
        <v>2018</v>
      </c>
      <c r="C5000" t="s">
        <v>35</v>
      </c>
      <c r="D5000" t="s">
        <v>6</v>
      </c>
      <c r="E5000" t="e">
        <f>VLOOKUP(Cpi_[[#This Row],[Attribute]],#REF!,2,FALSE)</f>
        <v>#REF!</v>
      </c>
      <c r="F5000">
        <v>140.9</v>
      </c>
      <c r="G5000">
        <f>(Cpi_[[#This Row],[Value]]-F4999)/F4999</f>
        <v>4.2765502494653907E-3</v>
      </c>
      <c r="H5000" t="e" cm="1" vm="1">
        <f t="array" aca="1" ref="H5000" ca="1">VLOOKUP(Cpi_[[#This Row],[Year]:[Month]],crudeoil[],3,FALSE)</f>
        <v>#VALUE!</v>
      </c>
    </row>
    <row r="5001" spans="1:8" hidden="1" x14ac:dyDescent="0.3">
      <c r="A5001" t="s">
        <v>34</v>
      </c>
      <c r="B5001">
        <v>2018</v>
      </c>
      <c r="C5001" t="s">
        <v>35</v>
      </c>
      <c r="D5001" t="s">
        <v>7</v>
      </c>
      <c r="E5001" t="e">
        <f>VLOOKUP(Cpi_[[#This Row],[Attribute]],#REF!,2,FALSE)</f>
        <v>#REF!</v>
      </c>
      <c r="F5001">
        <v>120.4</v>
      </c>
      <c r="G5001">
        <f>(Cpi_[[#This Row],[Value]]-F5000)/F5000</f>
        <v>-0.14549325762952448</v>
      </c>
      <c r="H5001" t="e" cm="1" vm="1">
        <f t="array" aca="1" ref="H5001" ca="1">VLOOKUP(Cpi_[[#This Row],[Year]:[Month]],crudeoil[],3,FALSE)</f>
        <v>#VALUE!</v>
      </c>
    </row>
    <row r="5002" spans="1:8" hidden="1" x14ac:dyDescent="0.3">
      <c r="A5002" t="s">
        <v>34</v>
      </c>
      <c r="B5002">
        <v>2018</v>
      </c>
      <c r="C5002" t="s">
        <v>35</v>
      </c>
      <c r="D5002" t="s">
        <v>8</v>
      </c>
      <c r="E5002" t="e">
        <f>VLOOKUP(Cpi_[[#This Row],[Attribute]],#REF!,2,FALSE)</f>
        <v>#REF!</v>
      </c>
      <c r="F5002">
        <v>142.9</v>
      </c>
      <c r="G5002">
        <f>(Cpi_[[#This Row],[Value]]-F5001)/F5001</f>
        <v>0.18687707641196014</v>
      </c>
      <c r="H5002" t="e" cm="1" vm="1">
        <f t="array" aca="1" ref="H5002" ca="1">VLOOKUP(Cpi_[[#This Row],[Year]:[Month]],crudeoil[],3,FALSE)</f>
        <v>#VALUE!</v>
      </c>
    </row>
    <row r="5003" spans="1:8" hidden="1" x14ac:dyDescent="0.3">
      <c r="A5003" t="s">
        <v>34</v>
      </c>
      <c r="B5003">
        <v>2018</v>
      </c>
      <c r="C5003" t="s">
        <v>35</v>
      </c>
      <c r="D5003" t="s">
        <v>9</v>
      </c>
      <c r="E5003" t="e">
        <f>VLOOKUP(Cpi_[[#This Row],[Attribute]],#REF!,2,FALSE)</f>
        <v>#REF!</v>
      </c>
      <c r="F5003">
        <v>140.5</v>
      </c>
      <c r="G5003">
        <f>(Cpi_[[#This Row],[Value]]-F5002)/F5002</f>
        <v>-1.6794961511546577E-2</v>
      </c>
      <c r="H5003" t="e" cm="1" vm="1">
        <f t="array" aca="1" ref="H5003" ca="1">VLOOKUP(Cpi_[[#This Row],[Year]:[Month]],crudeoil[],3,FALSE)</f>
        <v>#VALUE!</v>
      </c>
    </row>
    <row r="5004" spans="1:8" hidden="1" x14ac:dyDescent="0.3">
      <c r="A5004" t="s">
        <v>34</v>
      </c>
      <c r="B5004">
        <v>2018</v>
      </c>
      <c r="C5004" t="s">
        <v>35</v>
      </c>
      <c r="D5004" t="s">
        <v>10</v>
      </c>
      <c r="E5004" t="e">
        <f>VLOOKUP(Cpi_[[#This Row],[Attribute]],#REF!,2,FALSE)</f>
        <v>#REF!</v>
      </c>
      <c r="F5004">
        <v>125.8</v>
      </c>
      <c r="G5004">
        <f>(Cpi_[[#This Row],[Value]]-F5003)/F5003</f>
        <v>-0.10462633451957297</v>
      </c>
      <c r="H5004" t="e" cm="1" vm="1">
        <f t="array" aca="1" ref="H5004" ca="1">VLOOKUP(Cpi_[[#This Row],[Year]:[Month]],crudeoil[],3,FALSE)</f>
        <v>#VALUE!</v>
      </c>
    </row>
    <row r="5005" spans="1:8" hidden="1" x14ac:dyDescent="0.3">
      <c r="A5005" t="s">
        <v>34</v>
      </c>
      <c r="B5005">
        <v>2018</v>
      </c>
      <c r="C5005" t="s">
        <v>35</v>
      </c>
      <c r="D5005" t="s">
        <v>11</v>
      </c>
      <c r="E5005" t="e">
        <f>VLOOKUP(Cpi_[[#This Row],[Attribute]],#REF!,2,FALSE)</f>
        <v>#REF!</v>
      </c>
      <c r="F5005">
        <v>117.1</v>
      </c>
      <c r="G5005">
        <f>(Cpi_[[#This Row],[Value]]-F5004)/F5004</f>
        <v>-6.9157392686804472E-2</v>
      </c>
      <c r="H5005" t="e" cm="1" vm="1">
        <f t="array" aca="1" ref="H5005" ca="1">VLOOKUP(Cpi_[[#This Row],[Year]:[Month]],crudeoil[],3,FALSE)</f>
        <v>#VALUE!</v>
      </c>
    </row>
    <row r="5006" spans="1:8" hidden="1" x14ac:dyDescent="0.3">
      <c r="A5006" t="s">
        <v>34</v>
      </c>
      <c r="B5006">
        <v>2018</v>
      </c>
      <c r="C5006" t="s">
        <v>35</v>
      </c>
      <c r="D5006" t="s">
        <v>12</v>
      </c>
      <c r="E5006" t="e">
        <f>VLOOKUP(Cpi_[[#This Row],[Attribute]],#REF!,2,FALSE)</f>
        <v>#REF!</v>
      </c>
      <c r="F5006">
        <v>137.30000000000001</v>
      </c>
      <c r="G5006">
        <f>(Cpi_[[#This Row],[Value]]-F5005)/F5005</f>
        <v>0.17250213492741262</v>
      </c>
      <c r="H5006" t="e" cm="1" vm="1">
        <f t="array" aca="1" ref="H5006" ca="1">VLOOKUP(Cpi_[[#This Row],[Year]:[Month]],crudeoil[],3,FALSE)</f>
        <v>#VALUE!</v>
      </c>
    </row>
    <row r="5007" spans="1:8" hidden="1" x14ac:dyDescent="0.3">
      <c r="A5007" t="s">
        <v>34</v>
      </c>
      <c r="B5007">
        <v>2018</v>
      </c>
      <c r="C5007" t="s">
        <v>35</v>
      </c>
      <c r="D5007" t="s">
        <v>13</v>
      </c>
      <c r="E5007" t="e">
        <f>VLOOKUP(Cpi_[[#This Row],[Attribute]],#REF!,2,FALSE)</f>
        <v>#REF!</v>
      </c>
      <c r="F5007">
        <v>128.6</v>
      </c>
      <c r="G5007">
        <f>(Cpi_[[#This Row],[Value]]-F5006)/F5006</f>
        <v>-6.3364894391842799E-2</v>
      </c>
      <c r="H5007" t="e" cm="1" vm="1">
        <f t="array" aca="1" ref="H5007" ca="1">VLOOKUP(Cpi_[[#This Row],[Year]:[Month]],crudeoil[],3,FALSE)</f>
        <v>#VALUE!</v>
      </c>
    </row>
    <row r="5008" spans="1:8" hidden="1" x14ac:dyDescent="0.3">
      <c r="A5008" t="s">
        <v>34</v>
      </c>
      <c r="B5008">
        <v>2018</v>
      </c>
      <c r="C5008" t="s">
        <v>35</v>
      </c>
      <c r="D5008" t="s">
        <v>14</v>
      </c>
      <c r="E5008" t="e">
        <f>VLOOKUP(Cpi_[[#This Row],[Attribute]],#REF!,2,FALSE)</f>
        <v>#REF!</v>
      </c>
      <c r="F5008">
        <v>149.6</v>
      </c>
      <c r="G5008">
        <f>(Cpi_[[#This Row],[Value]]-F5007)/F5007</f>
        <v>0.16329704510108867</v>
      </c>
      <c r="H5008" t="e" cm="1" vm="1">
        <f t="array" aca="1" ref="H5008" ca="1">VLOOKUP(Cpi_[[#This Row],[Year]:[Month]],crudeoil[],3,FALSE)</f>
        <v>#VALUE!</v>
      </c>
    </row>
    <row r="5009" spans="1:8" hidden="1" x14ac:dyDescent="0.3">
      <c r="A5009" t="s">
        <v>34</v>
      </c>
      <c r="B5009">
        <v>2018</v>
      </c>
      <c r="C5009" t="s">
        <v>35</v>
      </c>
      <c r="D5009" t="s">
        <v>15</v>
      </c>
      <c r="E5009" t="e">
        <f>VLOOKUP(Cpi_[[#This Row],[Attribute]],#REF!,2,FALSE)</f>
        <v>#REF!</v>
      </c>
      <c r="F5009">
        <v>137.6</v>
      </c>
      <c r="G5009">
        <f>(Cpi_[[#This Row],[Value]]-F5008)/F5008</f>
        <v>-8.0213903743315509E-2</v>
      </c>
      <c r="H5009" t="e" cm="1" vm="1">
        <f t="array" aca="1" ref="H5009" ca="1">VLOOKUP(Cpi_[[#This Row],[Year]:[Month]],crudeoil[],3,FALSE)</f>
        <v>#VALUE!</v>
      </c>
    </row>
    <row r="5010" spans="1:8" hidden="1" x14ac:dyDescent="0.3">
      <c r="A5010" t="s">
        <v>34</v>
      </c>
      <c r="B5010">
        <v>2018</v>
      </c>
      <c r="C5010" t="s">
        <v>35</v>
      </c>
      <c r="D5010" t="s">
        <v>16</v>
      </c>
      <c r="E5010" t="e">
        <f>VLOOKUP(Cpi_[[#This Row],[Attribute]],#REF!,2,FALSE)</f>
        <v>#REF!</v>
      </c>
      <c r="F5010">
        <v>154.9</v>
      </c>
      <c r="G5010">
        <f>(Cpi_[[#This Row],[Value]]-F5009)/F5009</f>
        <v>0.1257267441860466</v>
      </c>
      <c r="H5010" t="e" cm="1" vm="1">
        <f t="array" aca="1" ref="H5010" ca="1">VLOOKUP(Cpi_[[#This Row],[Year]:[Month]],crudeoil[],3,FALSE)</f>
        <v>#VALUE!</v>
      </c>
    </row>
    <row r="5011" spans="1:8" hidden="1" x14ac:dyDescent="0.3">
      <c r="A5011" t="s">
        <v>34</v>
      </c>
      <c r="B5011">
        <v>2018</v>
      </c>
      <c r="C5011" t="s">
        <v>35</v>
      </c>
      <c r="D5011" t="s">
        <v>17</v>
      </c>
      <c r="E5011" t="e">
        <f>VLOOKUP(Cpi_[[#This Row],[Attribute]],#REF!,2,FALSE)</f>
        <v>#REF!</v>
      </c>
      <c r="F5011">
        <v>143.80000000000001</v>
      </c>
      <c r="G5011">
        <f>(Cpi_[[#This Row],[Value]]-F5010)/F5010</f>
        <v>-7.1659134925758511E-2</v>
      </c>
      <c r="H5011" t="e" cm="1" vm="1">
        <f t="array" aca="1" ref="H5011" ca="1">VLOOKUP(Cpi_[[#This Row],[Year]:[Month]],crudeoil[],3,FALSE)</f>
        <v>#VALUE!</v>
      </c>
    </row>
    <row r="5012" spans="1:8" hidden="1" x14ac:dyDescent="0.3">
      <c r="A5012" t="s">
        <v>34</v>
      </c>
      <c r="B5012">
        <v>2018</v>
      </c>
      <c r="C5012" t="s">
        <v>35</v>
      </c>
      <c r="D5012" t="s">
        <v>18</v>
      </c>
      <c r="E5012" t="e">
        <f>VLOOKUP(Cpi_[[#This Row],[Attribute]],#REF!,2,FALSE)</f>
        <v>#REF!</v>
      </c>
      <c r="F5012">
        <v>135.6</v>
      </c>
      <c r="G5012">
        <f>(Cpi_[[#This Row],[Value]]-F5011)/F5011</f>
        <v>-5.7023643949930571E-2</v>
      </c>
      <c r="H5012" t="e" cm="1" vm="1">
        <f t="array" aca="1" ref="H5012" ca="1">VLOOKUP(Cpi_[[#This Row],[Year]:[Month]],crudeoil[],3,FALSE)</f>
        <v>#VALUE!</v>
      </c>
    </row>
    <row r="5013" spans="1:8" hidden="1" x14ac:dyDescent="0.3">
      <c r="A5013" t="s">
        <v>34</v>
      </c>
      <c r="B5013">
        <v>2018</v>
      </c>
      <c r="C5013" t="s">
        <v>35</v>
      </c>
      <c r="D5013" t="s">
        <v>19</v>
      </c>
      <c r="E5013" t="e">
        <f>VLOOKUP(Cpi_[[#This Row],[Attribute]],#REF!,2,FALSE)</f>
        <v>#REF!</v>
      </c>
      <c r="F5013">
        <v>142.6</v>
      </c>
      <c r="G5013">
        <f>(Cpi_[[#This Row],[Value]]-F5012)/F5012</f>
        <v>5.1622418879056046E-2</v>
      </c>
      <c r="H5013" t="e" cm="1" vm="1">
        <f t="array" aca="1" ref="H5013" ca="1">VLOOKUP(Cpi_[[#This Row],[Year]:[Month]],crudeoil[],3,FALSE)</f>
        <v>#VALUE!</v>
      </c>
    </row>
    <row r="5014" spans="1:8" hidden="1" x14ac:dyDescent="0.3">
      <c r="A5014" t="s">
        <v>34</v>
      </c>
      <c r="B5014">
        <v>2018</v>
      </c>
      <c r="C5014" t="s">
        <v>35</v>
      </c>
      <c r="D5014" t="s">
        <v>20</v>
      </c>
      <c r="E5014" t="e">
        <f>VLOOKUP(Cpi_[[#This Row],[Attribute]],#REF!,2,FALSE)</f>
        <v>#REF!</v>
      </c>
      <c r="F5014">
        <v>141.30000000000001</v>
      </c>
      <c r="G5014">
        <f>(Cpi_[[#This Row],[Value]]-F5013)/F5013</f>
        <v>-9.1164095371667805E-3</v>
      </c>
      <c r="H5014" t="e" cm="1" vm="1">
        <f t="array" aca="1" ref="H5014" ca="1">VLOOKUP(Cpi_[[#This Row],[Year]:[Month]],crudeoil[],3,FALSE)</f>
        <v>#VALUE!</v>
      </c>
    </row>
    <row r="5015" spans="1:8" hidden="1" x14ac:dyDescent="0.3">
      <c r="A5015" t="s">
        <v>34</v>
      </c>
      <c r="B5015">
        <v>2018</v>
      </c>
      <c r="C5015" t="s">
        <v>35</v>
      </c>
      <c r="D5015" t="s">
        <v>21</v>
      </c>
      <c r="E5015" t="e">
        <f>VLOOKUP(Cpi_[[#This Row],[Attribute]],#REF!,2,FALSE)</f>
        <v>#REF!</v>
      </c>
      <c r="F5015">
        <v>136.69999999999999</v>
      </c>
      <c r="G5015">
        <f>(Cpi_[[#This Row],[Value]]-F5014)/F5014</f>
        <v>-3.2554847841472202E-2</v>
      </c>
      <c r="H5015" t="e" cm="1" vm="1">
        <f t="array" aca="1" ref="H5015" ca="1">VLOOKUP(Cpi_[[#This Row],[Year]:[Month]],crudeoil[],3,FALSE)</f>
        <v>#VALUE!</v>
      </c>
    </row>
    <row r="5016" spans="1:8" hidden="1" x14ac:dyDescent="0.3">
      <c r="A5016" t="s">
        <v>34</v>
      </c>
      <c r="B5016">
        <v>2018</v>
      </c>
      <c r="C5016" t="s">
        <v>35</v>
      </c>
      <c r="D5016" t="s">
        <v>22</v>
      </c>
      <c r="E5016" t="e">
        <f>VLOOKUP(Cpi_[[#This Row],[Attribute]],#REF!,2,FALSE)</f>
        <v>#REF!</v>
      </c>
      <c r="F5016">
        <v>135.19999999999999</v>
      </c>
      <c r="G5016">
        <f>(Cpi_[[#This Row],[Value]]-F5015)/F5015</f>
        <v>-1.0972933430870521E-2</v>
      </c>
      <c r="H5016" t="e" cm="1" vm="1">
        <f t="array" aca="1" ref="H5016" ca="1">VLOOKUP(Cpi_[[#This Row],[Year]:[Month]],crudeoil[],3,FALSE)</f>
        <v>#VALUE!</v>
      </c>
    </row>
    <row r="5017" spans="1:8" hidden="1" x14ac:dyDescent="0.3">
      <c r="A5017" t="s">
        <v>34</v>
      </c>
      <c r="B5017">
        <v>2018</v>
      </c>
      <c r="C5017" t="s">
        <v>35</v>
      </c>
      <c r="D5017" t="s">
        <v>23</v>
      </c>
      <c r="E5017" t="e">
        <f>VLOOKUP(Cpi_[[#This Row],[Attribute]],#REF!,2,FALSE)</f>
        <v>#REF!</v>
      </c>
      <c r="F5017">
        <v>133.80000000000001</v>
      </c>
      <c r="G5017">
        <f>(Cpi_[[#This Row],[Value]]-F5016)/F5016</f>
        <v>-1.0355029585798649E-2</v>
      </c>
      <c r="H5017" t="e" cm="1" vm="1">
        <f t="array" aca="1" ref="H5017" ca="1">VLOOKUP(Cpi_[[#This Row],[Year]:[Month]],crudeoil[],3,FALSE)</f>
        <v>#VALUE!</v>
      </c>
    </row>
    <row r="5018" spans="1:8" hidden="1" x14ac:dyDescent="0.3">
      <c r="A5018" t="s">
        <v>34</v>
      </c>
      <c r="B5018">
        <v>2018</v>
      </c>
      <c r="C5018" t="s">
        <v>35</v>
      </c>
      <c r="D5018" t="s">
        <v>24</v>
      </c>
      <c r="E5018" t="e">
        <f>VLOOKUP(Cpi_[[#This Row],[Attribute]],#REF!,2,FALSE)</f>
        <v>#REF!</v>
      </c>
      <c r="F5018">
        <v>120.2</v>
      </c>
      <c r="G5018">
        <f>(Cpi_[[#This Row],[Value]]-F5017)/F5017</f>
        <v>-0.10164424514200304</v>
      </c>
      <c r="H5018" t="e" cm="1" vm="1">
        <f t="array" aca="1" ref="H5018" ca="1">VLOOKUP(Cpi_[[#This Row],[Year]:[Month]],crudeoil[],3,FALSE)</f>
        <v>#VALUE!</v>
      </c>
    </row>
    <row r="5019" spans="1:8" hidden="1" x14ac:dyDescent="0.3">
      <c r="A5019" t="s">
        <v>34</v>
      </c>
      <c r="B5019">
        <v>2018</v>
      </c>
      <c r="C5019" t="s">
        <v>35</v>
      </c>
      <c r="D5019" t="s">
        <v>25</v>
      </c>
      <c r="E5019" t="e">
        <f>VLOOKUP(Cpi_[[#This Row],[Attribute]],#REF!,2,FALSE)</f>
        <v>#REF!</v>
      </c>
      <c r="F5019">
        <v>129.9</v>
      </c>
      <c r="G5019">
        <f>(Cpi_[[#This Row],[Value]]-F5018)/F5018</f>
        <v>8.0698835274542455E-2</v>
      </c>
      <c r="H5019" t="e" cm="1" vm="1">
        <f t="array" aca="1" ref="H5019" ca="1">VLOOKUP(Cpi_[[#This Row],[Year]:[Month]],crudeoil[],3,FALSE)</f>
        <v>#VALUE!</v>
      </c>
    </row>
    <row r="5020" spans="1:8" hidden="1" x14ac:dyDescent="0.3">
      <c r="A5020" t="s">
        <v>34</v>
      </c>
      <c r="B5020">
        <v>2018</v>
      </c>
      <c r="C5020" t="s">
        <v>35</v>
      </c>
      <c r="D5020" t="s">
        <v>26</v>
      </c>
      <c r="E5020" t="e">
        <f>VLOOKUP(Cpi_[[#This Row],[Attribute]],#REF!,2,FALSE)</f>
        <v>#REF!</v>
      </c>
      <c r="F5020">
        <v>139</v>
      </c>
      <c r="G5020">
        <f>(Cpi_[[#This Row],[Value]]-F5019)/F5019</f>
        <v>7.0053887605850601E-2</v>
      </c>
      <c r="H5020" t="e" cm="1" vm="1">
        <f t="array" aca="1" ref="H5020" ca="1">VLOOKUP(Cpi_[[#This Row],[Year]:[Month]],crudeoil[],3,FALSE)</f>
        <v>#VALUE!</v>
      </c>
    </row>
    <row r="5021" spans="1:8" hidden="1" x14ac:dyDescent="0.3">
      <c r="A5021" t="s">
        <v>34</v>
      </c>
      <c r="B5021">
        <v>2018</v>
      </c>
      <c r="C5021" t="s">
        <v>35</v>
      </c>
      <c r="D5021" t="s">
        <v>27</v>
      </c>
      <c r="E5021" t="e">
        <f>VLOOKUP(Cpi_[[#This Row],[Attribute]],#REF!,2,FALSE)</f>
        <v>#REF!</v>
      </c>
      <c r="F5021">
        <v>127.7</v>
      </c>
      <c r="G5021">
        <f>(Cpi_[[#This Row],[Value]]-F5020)/F5020</f>
        <v>-8.1294964028776964E-2</v>
      </c>
      <c r="H5021" t="e" cm="1" vm="1">
        <f t="array" aca="1" ref="H5021" ca="1">VLOOKUP(Cpi_[[#This Row],[Year]:[Month]],crudeoil[],3,FALSE)</f>
        <v>#VALUE!</v>
      </c>
    </row>
    <row r="5022" spans="1:8" hidden="1" x14ac:dyDescent="0.3">
      <c r="A5022" t="s">
        <v>34</v>
      </c>
      <c r="B5022">
        <v>2018</v>
      </c>
      <c r="C5022" t="s">
        <v>35</v>
      </c>
      <c r="D5022" t="s">
        <v>28</v>
      </c>
      <c r="E5022" t="e">
        <f>VLOOKUP(Cpi_[[#This Row],[Attribute]],#REF!,2,FALSE)</f>
        <v>#REF!</v>
      </c>
      <c r="F5022">
        <v>129.6</v>
      </c>
      <c r="G5022">
        <f>(Cpi_[[#This Row],[Value]]-F5021)/F5021</f>
        <v>1.4878621769772837E-2</v>
      </c>
      <c r="H5022" t="e" cm="1" vm="1">
        <f t="array" aca="1" ref="H5022" ca="1">VLOOKUP(Cpi_[[#This Row],[Year]:[Month]],crudeoil[],3,FALSE)</f>
        <v>#VALUE!</v>
      </c>
    </row>
    <row r="5023" spans="1:8" hidden="1" x14ac:dyDescent="0.3">
      <c r="A5023" t="s">
        <v>34</v>
      </c>
      <c r="B5023">
        <v>2018</v>
      </c>
      <c r="C5023" t="s">
        <v>35</v>
      </c>
      <c r="D5023" t="s">
        <v>29</v>
      </c>
      <c r="E5023" t="e" cm="1">
        <f t="array" aca="1" ref="E5023" ca="1">VLGeneral indexGeneral indexKUP(Cpi_[[#This Row],[Attribute]],#REF!,2,FALSE)</f>
        <v>#NAME?</v>
      </c>
      <c r="F5023">
        <v>136.4</v>
      </c>
      <c r="G5023">
        <f>(Cpi_[[#This Row],[Value]]-F5022)/F5022</f>
        <v>5.2469135802469223E-2</v>
      </c>
      <c r="H5023" t="e" cm="1" vm="1">
        <f t="array" aca="1" ref="H5023" ca="1">VLOOKUP(Cpi_[[#This Row],[Year]:[Month]],crudeoil[],3,FALSE)</f>
        <v>#VALUE!</v>
      </c>
    </row>
    <row r="5024" spans="1:8" hidden="1" x14ac:dyDescent="0.3">
      <c r="A5024" t="s">
        <v>30</v>
      </c>
      <c r="B5024">
        <v>2018</v>
      </c>
      <c r="C5024" t="s">
        <v>36</v>
      </c>
      <c r="D5024" t="s">
        <v>3</v>
      </c>
      <c r="E5024" t="e">
        <f>VLOOKUP(Cpi_[[#This Row],[Attribute]],#REF!,2,FALSE)</f>
        <v>#REF!</v>
      </c>
      <c r="F5024">
        <v>136.80000000000001</v>
      </c>
      <c r="G5024">
        <f>(Cpi_[[#This Row],[Value]]-F5023)/F5023</f>
        <v>2.9325513196481355E-3</v>
      </c>
      <c r="H5024" t="e" cm="1" vm="1">
        <f t="array" aca="1" ref="H5024" ca="1">VLOOKUP(Cpi_[[#This Row],[Year]:[Month]],crudeoil[],3,FALSE)</f>
        <v>#VALUE!</v>
      </c>
    </row>
    <row r="5025" spans="1:8" hidden="1" x14ac:dyDescent="0.3">
      <c r="A5025" t="s">
        <v>30</v>
      </c>
      <c r="B5025">
        <v>2018</v>
      </c>
      <c r="C5025" t="s">
        <v>36</v>
      </c>
      <c r="D5025" t="s">
        <v>4</v>
      </c>
      <c r="E5025" t="e">
        <f>VLOOKUP(Cpi_[[#This Row],[Attribute]],#REF!,2,FALSE)</f>
        <v>#REF!</v>
      </c>
      <c r="F5025">
        <v>143.80000000000001</v>
      </c>
      <c r="G5025">
        <f>(Cpi_[[#This Row],[Value]]-F5024)/F5024</f>
        <v>5.1169590643274851E-2</v>
      </c>
      <c r="H5025" t="e" cm="1" vm="1">
        <f t="array" aca="1" ref="H5025" ca="1">VLOOKUP(Cpi_[[#This Row],[Year]:[Month]],crudeoil[],3,FALSE)</f>
        <v>#VALUE!</v>
      </c>
    </row>
    <row r="5026" spans="1:8" hidden="1" x14ac:dyDescent="0.3">
      <c r="A5026" t="s">
        <v>30</v>
      </c>
      <c r="B5026">
        <v>2018</v>
      </c>
      <c r="C5026" t="s">
        <v>36</v>
      </c>
      <c r="D5026" t="s">
        <v>5</v>
      </c>
      <c r="E5026" t="e">
        <f>VLOOKUP(Cpi_[[#This Row],[Attribute]],#REF!,2,FALSE)</f>
        <v>#REF!</v>
      </c>
      <c r="F5026">
        <v>140</v>
      </c>
      <c r="G5026">
        <f>(Cpi_[[#This Row],[Value]]-F5025)/F5025</f>
        <v>-2.6425591098748338E-2</v>
      </c>
      <c r="H5026" t="e" cm="1" vm="1">
        <f t="array" aca="1" ref="H5026" ca="1">VLOOKUP(Cpi_[[#This Row],[Year]:[Month]],crudeoil[],3,FALSE)</f>
        <v>#VALUE!</v>
      </c>
    </row>
    <row r="5027" spans="1:8" hidden="1" x14ac:dyDescent="0.3">
      <c r="A5027" t="s">
        <v>30</v>
      </c>
      <c r="B5027">
        <v>2018</v>
      </c>
      <c r="C5027" t="s">
        <v>36</v>
      </c>
      <c r="D5027" t="s">
        <v>6</v>
      </c>
      <c r="E5027" t="e">
        <f>VLOOKUP(Cpi_[[#This Row],[Attribute]],#REF!,2,FALSE)</f>
        <v>#REF!</v>
      </c>
      <c r="F5027">
        <v>142</v>
      </c>
      <c r="G5027">
        <f>(Cpi_[[#This Row],[Value]]-F5026)/F5026</f>
        <v>1.4285714285714285E-2</v>
      </c>
      <c r="H5027" t="e" cm="1" vm="1">
        <f t="array" aca="1" ref="H5027" ca="1">VLOOKUP(Cpi_[[#This Row],[Year]:[Month]],crudeoil[],3,FALSE)</f>
        <v>#VALUE!</v>
      </c>
    </row>
    <row r="5028" spans="1:8" hidden="1" x14ac:dyDescent="0.3">
      <c r="A5028" t="s">
        <v>30</v>
      </c>
      <c r="B5028">
        <v>2018</v>
      </c>
      <c r="C5028" t="s">
        <v>36</v>
      </c>
      <c r="D5028" t="s">
        <v>7</v>
      </c>
      <c r="E5028" t="e">
        <f>VLOOKUP(Cpi_[[#This Row],[Attribute]],#REF!,2,FALSE)</f>
        <v>#REF!</v>
      </c>
      <c r="F5028">
        <v>123.2</v>
      </c>
      <c r="G5028">
        <f>(Cpi_[[#This Row],[Value]]-F5027)/F5027</f>
        <v>-0.13239436619718309</v>
      </c>
      <c r="H5028" t="e" cm="1" vm="1">
        <f t="array" aca="1" ref="H5028" ca="1">VLOOKUP(Cpi_[[#This Row],[Year]:[Month]],crudeoil[],3,FALSE)</f>
        <v>#VALUE!</v>
      </c>
    </row>
    <row r="5029" spans="1:8" hidden="1" x14ac:dyDescent="0.3">
      <c r="A5029" t="s">
        <v>30</v>
      </c>
      <c r="B5029">
        <v>2018</v>
      </c>
      <c r="C5029" t="s">
        <v>36</v>
      </c>
      <c r="D5029" t="s">
        <v>8</v>
      </c>
      <c r="E5029" t="e">
        <f>VLOOKUP(Cpi_[[#This Row],[Attribute]],#REF!,2,FALSE)</f>
        <v>#REF!</v>
      </c>
      <c r="F5029">
        <v>152.9</v>
      </c>
      <c r="G5029">
        <f>(Cpi_[[#This Row],[Value]]-F5028)/F5028</f>
        <v>0.24107142857142858</v>
      </c>
      <c r="H5029" t="e" cm="1" vm="1">
        <f t="array" aca="1" ref="H5029" ca="1">VLOOKUP(Cpi_[[#This Row],[Year]:[Month]],crudeoil[],3,FALSE)</f>
        <v>#VALUE!</v>
      </c>
    </row>
    <row r="5030" spans="1:8" hidden="1" x14ac:dyDescent="0.3">
      <c r="A5030" t="s">
        <v>30</v>
      </c>
      <c r="B5030">
        <v>2018</v>
      </c>
      <c r="C5030" t="s">
        <v>36</v>
      </c>
      <c r="D5030" t="s">
        <v>9</v>
      </c>
      <c r="E5030" t="e">
        <f>VLOOKUP(Cpi_[[#This Row],[Attribute]],#REF!,2,FALSE)</f>
        <v>#REF!</v>
      </c>
      <c r="F5030">
        <v>138</v>
      </c>
      <c r="G5030">
        <f>(Cpi_[[#This Row],[Value]]-F5029)/F5029</f>
        <v>-9.7449313276651434E-2</v>
      </c>
      <c r="H5030" t="e" cm="1" vm="1">
        <f t="array" aca="1" ref="H5030" ca="1">VLOOKUP(Cpi_[[#This Row],[Year]:[Month]],crudeoil[],3,FALSE)</f>
        <v>#VALUE!</v>
      </c>
    </row>
    <row r="5031" spans="1:8" hidden="1" x14ac:dyDescent="0.3">
      <c r="A5031" t="s">
        <v>30</v>
      </c>
      <c r="B5031">
        <v>2018</v>
      </c>
      <c r="C5031" t="s">
        <v>36</v>
      </c>
      <c r="D5031" t="s">
        <v>10</v>
      </c>
      <c r="E5031" t="e">
        <f>VLOOKUP(Cpi_[[#This Row],[Attribute]],#REF!,2,FALSE)</f>
        <v>#REF!</v>
      </c>
      <c r="F5031">
        <v>129.30000000000001</v>
      </c>
      <c r="G5031">
        <f>(Cpi_[[#This Row],[Value]]-F5030)/F5030</f>
        <v>-6.3043478260869479E-2</v>
      </c>
      <c r="H5031" t="e" cm="1" vm="1">
        <f t="array" aca="1" ref="H5031" ca="1">VLOOKUP(Cpi_[[#This Row],[Year]:[Month]],crudeoil[],3,FALSE)</f>
        <v>#VALUE!</v>
      </c>
    </row>
    <row r="5032" spans="1:8" hidden="1" x14ac:dyDescent="0.3">
      <c r="A5032" t="s">
        <v>30</v>
      </c>
      <c r="B5032">
        <v>2018</v>
      </c>
      <c r="C5032" t="s">
        <v>36</v>
      </c>
      <c r="D5032" t="s">
        <v>11</v>
      </c>
      <c r="E5032" t="e">
        <f>VLOOKUP(Cpi_[[#This Row],[Attribute]],#REF!,2,FALSE)</f>
        <v>#REF!</v>
      </c>
      <c r="F5032">
        <v>117.1</v>
      </c>
      <c r="G5032">
        <f>(Cpi_[[#This Row],[Value]]-F5031)/F5031</f>
        <v>-9.4354215003867106E-2</v>
      </c>
      <c r="H5032" t="e" cm="1" vm="1">
        <f t="array" aca="1" ref="H5032" ca="1">VLOOKUP(Cpi_[[#This Row],[Year]:[Month]],crudeoil[],3,FALSE)</f>
        <v>#VALUE!</v>
      </c>
    </row>
    <row r="5033" spans="1:8" hidden="1" x14ac:dyDescent="0.3">
      <c r="A5033" t="s">
        <v>30</v>
      </c>
      <c r="B5033">
        <v>2018</v>
      </c>
      <c r="C5033" t="s">
        <v>36</v>
      </c>
      <c r="D5033" t="s">
        <v>12</v>
      </c>
      <c r="E5033" t="e">
        <f>VLOOKUP(Cpi_[[#This Row],[Attribute]],#REF!,2,FALSE)</f>
        <v>#REF!</v>
      </c>
      <c r="F5033">
        <v>136.30000000000001</v>
      </c>
      <c r="G5033">
        <f>(Cpi_[[#This Row],[Value]]-F5032)/F5032</f>
        <v>0.16396242527754071</v>
      </c>
      <c r="H5033" t="e" cm="1" vm="1">
        <f t="array" aca="1" ref="H5033" ca="1">VLOOKUP(Cpi_[[#This Row],[Year]:[Month]],crudeoil[],3,FALSE)</f>
        <v>#VALUE!</v>
      </c>
    </row>
    <row r="5034" spans="1:8" hidden="1" x14ac:dyDescent="0.3">
      <c r="A5034" t="s">
        <v>30</v>
      </c>
      <c r="B5034">
        <v>2018</v>
      </c>
      <c r="C5034" t="s">
        <v>36</v>
      </c>
      <c r="D5034" t="s">
        <v>13</v>
      </c>
      <c r="E5034" t="e">
        <f>VLOOKUP(Cpi_[[#This Row],[Attribute]],#REF!,2,FALSE)</f>
        <v>#REF!</v>
      </c>
      <c r="F5034">
        <v>131.19999999999999</v>
      </c>
      <c r="G5034">
        <f>(Cpi_[[#This Row],[Value]]-F5033)/F5033</f>
        <v>-3.7417461482025106E-2</v>
      </c>
      <c r="H5034" t="e" cm="1" vm="1">
        <f t="array" aca="1" ref="H5034" ca="1">VLOOKUP(Cpi_[[#This Row],[Year]:[Month]],crudeoil[],3,FALSE)</f>
        <v>#VALUE!</v>
      </c>
    </row>
    <row r="5035" spans="1:8" hidden="1" x14ac:dyDescent="0.3">
      <c r="A5035" t="s">
        <v>30</v>
      </c>
      <c r="B5035">
        <v>2018</v>
      </c>
      <c r="C5035" t="s">
        <v>36</v>
      </c>
      <c r="D5035" t="s">
        <v>14</v>
      </c>
      <c r="E5035" t="e">
        <f>VLOOKUP(Cpi_[[#This Row],[Attribute]],#REF!,2,FALSE)</f>
        <v>#REF!</v>
      </c>
      <c r="F5035">
        <v>152.80000000000001</v>
      </c>
      <c r="G5035">
        <f>(Cpi_[[#This Row],[Value]]-F5034)/F5034</f>
        <v>0.16463414634146359</v>
      </c>
      <c r="H5035" t="e" cm="1" vm="1">
        <f t="array" aca="1" ref="H5035" ca="1">VLOOKUP(Cpi_[[#This Row],[Year]:[Month]],crudeoil[],3,FALSE)</f>
        <v>#VALUE!</v>
      </c>
    </row>
    <row r="5036" spans="1:8" hidden="1" x14ac:dyDescent="0.3">
      <c r="A5036" t="s">
        <v>30</v>
      </c>
      <c r="B5036">
        <v>2018</v>
      </c>
      <c r="C5036" t="s">
        <v>36</v>
      </c>
      <c r="D5036" t="s">
        <v>15</v>
      </c>
      <c r="E5036" t="e">
        <f>VLOOKUP(Cpi_[[#This Row],[Attribute]],#REF!,2,FALSE)</f>
        <v>#REF!</v>
      </c>
      <c r="F5036">
        <v>138.6</v>
      </c>
      <c r="G5036">
        <f>(Cpi_[[#This Row],[Value]]-F5035)/F5035</f>
        <v>-9.2931937172774967E-2</v>
      </c>
      <c r="H5036" t="e" cm="1" vm="1">
        <f t="array" aca="1" ref="H5036" ca="1">VLOOKUP(Cpi_[[#This Row],[Year]:[Month]],crudeoil[],3,FALSE)</f>
        <v>#VALUE!</v>
      </c>
    </row>
    <row r="5037" spans="1:8" hidden="1" x14ac:dyDescent="0.3">
      <c r="A5037" t="s">
        <v>30</v>
      </c>
      <c r="B5037">
        <v>2018</v>
      </c>
      <c r="C5037" t="s">
        <v>36</v>
      </c>
      <c r="D5037" t="s">
        <v>16</v>
      </c>
      <c r="E5037" t="e">
        <f>VLOOKUP(Cpi_[[#This Row],[Attribute]],#REF!,2,FALSE)</f>
        <v>#REF!</v>
      </c>
      <c r="F5037">
        <v>155.1</v>
      </c>
      <c r="G5037">
        <f>(Cpi_[[#This Row],[Value]]-F5036)/F5036</f>
        <v>0.11904761904761905</v>
      </c>
      <c r="H5037" t="e" cm="1" vm="1">
        <f t="array" aca="1" ref="H5037" ca="1">VLOOKUP(Cpi_[[#This Row],[Year]:[Month]],crudeoil[],3,FALSE)</f>
        <v>#VALUE!</v>
      </c>
    </row>
    <row r="5038" spans="1:8" hidden="1" x14ac:dyDescent="0.3">
      <c r="A5038" t="s">
        <v>30</v>
      </c>
      <c r="B5038">
        <v>2018</v>
      </c>
      <c r="C5038" t="s">
        <v>36</v>
      </c>
      <c r="D5038" t="s">
        <v>17</v>
      </c>
      <c r="E5038" t="e">
        <f>VLOOKUP(Cpi_[[#This Row],[Attribute]],#REF!,2,FALSE)</f>
        <v>#REF!</v>
      </c>
      <c r="F5038">
        <v>149.19999999999999</v>
      </c>
      <c r="G5038">
        <f>(Cpi_[[#This Row],[Value]]-F5037)/F5037</f>
        <v>-3.8039974210187011E-2</v>
      </c>
      <c r="H5038" t="e" cm="1" vm="1">
        <f t="array" aca="1" ref="H5038" ca="1">VLOOKUP(Cpi_[[#This Row],[Year]:[Month]],crudeoil[],3,FALSE)</f>
        <v>#VALUE!</v>
      </c>
    </row>
    <row r="5039" spans="1:8" hidden="1" x14ac:dyDescent="0.3">
      <c r="A5039" t="s">
        <v>30</v>
      </c>
      <c r="B5039">
        <v>2018</v>
      </c>
      <c r="C5039" t="s">
        <v>36</v>
      </c>
      <c r="D5039" t="s">
        <v>18</v>
      </c>
      <c r="E5039" t="e">
        <f>VLOOKUP(Cpi_[[#This Row],[Attribute]],#REF!,2,FALSE)</f>
        <v>#REF!</v>
      </c>
      <c r="F5039">
        <v>143</v>
      </c>
      <c r="G5039">
        <f>(Cpi_[[#This Row],[Value]]-F5038)/F5038</f>
        <v>-4.1554959785522712E-2</v>
      </c>
      <c r="H5039" t="e" cm="1" vm="1">
        <f t="array" aca="1" ref="H5039" ca="1">VLOOKUP(Cpi_[[#This Row],[Year]:[Month]],crudeoil[],3,FALSE)</f>
        <v>#VALUE!</v>
      </c>
    </row>
    <row r="5040" spans="1:8" hidden="1" x14ac:dyDescent="0.3">
      <c r="A5040" t="s">
        <v>30</v>
      </c>
      <c r="B5040">
        <v>2018</v>
      </c>
      <c r="C5040" t="s">
        <v>36</v>
      </c>
      <c r="D5040" t="s">
        <v>19</v>
      </c>
      <c r="E5040" t="e">
        <f>VLOOKUP(Cpi_[[#This Row],[Attribute]],#REF!,2,FALSE)</f>
        <v>#REF!</v>
      </c>
      <c r="F5040">
        <v>148.30000000000001</v>
      </c>
      <c r="G5040">
        <f>(Cpi_[[#This Row],[Value]]-F5039)/F5039</f>
        <v>3.7062937062937146E-2</v>
      </c>
      <c r="H5040" t="e" cm="1" vm="1">
        <f t="array" aca="1" ref="H5040" ca="1">VLOOKUP(Cpi_[[#This Row],[Year]:[Month]],crudeoil[],3,FALSE)</f>
        <v>#VALUE!</v>
      </c>
    </row>
    <row r="5041" spans="1:8" hidden="1" x14ac:dyDescent="0.3">
      <c r="A5041" t="s">
        <v>30</v>
      </c>
      <c r="B5041">
        <v>2018</v>
      </c>
      <c r="C5041" t="s">
        <v>36</v>
      </c>
      <c r="D5041" t="s">
        <v>20</v>
      </c>
      <c r="E5041" t="e">
        <f>VLOOKUP(Cpi_[[#This Row],[Attribute]],#REF!,2,FALSE)</f>
        <v>#REF!</v>
      </c>
      <c r="F5041" t="s">
        <v>32</v>
      </c>
      <c r="G5041" t="e">
        <f>(Cpi_[[#This Row],[Value]]-F5040)/F5040</f>
        <v>#VALUE!</v>
      </c>
      <c r="H5041" t="e" cm="1" vm="1">
        <f t="array" aca="1" ref="H5041" ca="1">VLOOKUP(Cpi_[[#This Row],[Year]:[Month]],crudeoil[],3,FALSE)</f>
        <v>#VALUE!</v>
      </c>
    </row>
    <row r="5042" spans="1:8" hidden="1" x14ac:dyDescent="0.3">
      <c r="A5042" t="s">
        <v>30</v>
      </c>
      <c r="B5042">
        <v>2018</v>
      </c>
      <c r="C5042" t="s">
        <v>36</v>
      </c>
      <c r="D5042" t="s">
        <v>21</v>
      </c>
      <c r="E5042" t="e">
        <f>VLOOKUP(Cpi_[[#This Row],[Attribute]],#REF!,2,FALSE)</f>
        <v>#REF!</v>
      </c>
      <c r="F5042">
        <v>142.6</v>
      </c>
      <c r="G5042" t="e">
        <f>(Cpi_[[#This Row],[Value]]-F5041)/F5041</f>
        <v>#VALUE!</v>
      </c>
      <c r="H5042" t="e" cm="1" vm="1">
        <f t="array" aca="1" ref="H5042" ca="1">VLOOKUP(Cpi_[[#This Row],[Year]:[Month]],crudeoil[],3,FALSE)</f>
        <v>#VALUE!</v>
      </c>
    </row>
    <row r="5043" spans="1:8" hidden="1" x14ac:dyDescent="0.3">
      <c r="A5043" t="s">
        <v>30</v>
      </c>
      <c r="B5043">
        <v>2018</v>
      </c>
      <c r="C5043" t="s">
        <v>36</v>
      </c>
      <c r="D5043" t="s">
        <v>22</v>
      </c>
      <c r="E5043" t="e">
        <f>VLOOKUP(Cpi_[[#This Row],[Attribute]],#REF!,2,FALSE)</f>
        <v>#REF!</v>
      </c>
      <c r="F5043">
        <v>139.9</v>
      </c>
      <c r="G5043">
        <f>(Cpi_[[#This Row],[Value]]-F5042)/F5042</f>
        <v>-1.8934081346423482E-2</v>
      </c>
      <c r="H5043" t="e" cm="1" vm="1">
        <f t="array" aca="1" ref="H5043" ca="1">VLOOKUP(Cpi_[[#This Row],[Year]:[Month]],crudeoil[],3,FALSE)</f>
        <v>#VALUE!</v>
      </c>
    </row>
    <row r="5044" spans="1:8" hidden="1" x14ac:dyDescent="0.3">
      <c r="A5044" t="s">
        <v>30</v>
      </c>
      <c r="B5044">
        <v>2018</v>
      </c>
      <c r="C5044" t="s">
        <v>36</v>
      </c>
      <c r="D5044" t="s">
        <v>23</v>
      </c>
      <c r="E5044" t="e">
        <f>VLOOKUP(Cpi_[[#This Row],[Attribute]],#REF!,2,FALSE)</f>
        <v>#REF!</v>
      </c>
      <c r="F5044">
        <v>136.69999999999999</v>
      </c>
      <c r="G5044">
        <f>(Cpi_[[#This Row],[Value]]-F5043)/F5043</f>
        <v>-2.2873481057898621E-2</v>
      </c>
      <c r="H5044" t="e" cm="1" vm="1">
        <f t="array" aca="1" ref="H5044" ca="1">VLOOKUP(Cpi_[[#This Row],[Year]:[Month]],crudeoil[],3,FALSE)</f>
        <v>#VALUE!</v>
      </c>
    </row>
    <row r="5045" spans="1:8" hidden="1" x14ac:dyDescent="0.3">
      <c r="A5045" t="s">
        <v>30</v>
      </c>
      <c r="B5045">
        <v>2018</v>
      </c>
      <c r="C5045" t="s">
        <v>36</v>
      </c>
      <c r="D5045" t="s">
        <v>24</v>
      </c>
      <c r="E5045" t="e">
        <f>VLOOKUP(Cpi_[[#This Row],[Attribute]],#REF!,2,FALSE)</f>
        <v>#REF!</v>
      </c>
      <c r="F5045">
        <v>124.6</v>
      </c>
      <c r="G5045">
        <f>(Cpi_[[#This Row],[Value]]-F5044)/F5044</f>
        <v>-8.851499634235549E-2</v>
      </c>
      <c r="H5045" t="e" cm="1" vm="1">
        <f t="array" aca="1" ref="H5045" ca="1">VLOOKUP(Cpi_[[#This Row],[Year]:[Month]],crudeoil[],3,FALSE)</f>
        <v>#VALUE!</v>
      </c>
    </row>
    <row r="5046" spans="1:8" hidden="1" x14ac:dyDescent="0.3">
      <c r="A5046" t="s">
        <v>30</v>
      </c>
      <c r="B5046">
        <v>2018</v>
      </c>
      <c r="C5046" t="s">
        <v>36</v>
      </c>
      <c r="D5046" t="s">
        <v>25</v>
      </c>
      <c r="E5046" t="e">
        <f>VLOOKUP(Cpi_[[#This Row],[Attribute]],#REF!,2,FALSE)</f>
        <v>#REF!</v>
      </c>
      <c r="F5046">
        <v>135.1</v>
      </c>
      <c r="G5046">
        <f>(Cpi_[[#This Row],[Value]]-F5045)/F5045</f>
        <v>8.4269662921348312E-2</v>
      </c>
      <c r="H5046" t="e" cm="1" vm="1">
        <f t="array" aca="1" ref="H5046" ca="1">VLOOKUP(Cpi_[[#This Row],[Year]:[Month]],crudeoil[],3,FALSE)</f>
        <v>#VALUE!</v>
      </c>
    </row>
    <row r="5047" spans="1:8" hidden="1" x14ac:dyDescent="0.3">
      <c r="A5047" t="s">
        <v>30</v>
      </c>
      <c r="B5047">
        <v>2018</v>
      </c>
      <c r="C5047" t="s">
        <v>36</v>
      </c>
      <c r="D5047" t="s">
        <v>26</v>
      </c>
      <c r="E5047" t="e">
        <f>VLOOKUP(Cpi_[[#This Row],[Attribute]],#REF!,2,FALSE)</f>
        <v>#REF!</v>
      </c>
      <c r="F5047">
        <v>142.69999999999999</v>
      </c>
      <c r="G5047">
        <f>(Cpi_[[#This Row],[Value]]-F5046)/F5046</f>
        <v>5.6254626202812692E-2</v>
      </c>
      <c r="H5047" t="e" cm="1" vm="1">
        <f t="array" aca="1" ref="H5047" ca="1">VLOOKUP(Cpi_[[#This Row],[Year]:[Month]],crudeoil[],3,FALSE)</f>
        <v>#VALUE!</v>
      </c>
    </row>
    <row r="5048" spans="1:8" hidden="1" x14ac:dyDescent="0.3">
      <c r="A5048" t="s">
        <v>30</v>
      </c>
      <c r="B5048">
        <v>2018</v>
      </c>
      <c r="C5048" t="s">
        <v>36</v>
      </c>
      <c r="D5048" t="s">
        <v>27</v>
      </c>
      <c r="E5048" t="e">
        <f>VLOOKUP(Cpi_[[#This Row],[Attribute]],#REF!,2,FALSE)</f>
        <v>#REF!</v>
      </c>
      <c r="F5048">
        <v>129.30000000000001</v>
      </c>
      <c r="G5048">
        <f>(Cpi_[[#This Row],[Value]]-F5047)/F5047</f>
        <v>-9.3903293622985134E-2</v>
      </c>
      <c r="H5048" t="e" cm="1" vm="1">
        <f t="array" aca="1" ref="H5048" ca="1">VLOOKUP(Cpi_[[#This Row],[Year]:[Month]],crudeoil[],3,FALSE)</f>
        <v>#VALUE!</v>
      </c>
    </row>
    <row r="5049" spans="1:8" hidden="1" x14ac:dyDescent="0.3">
      <c r="A5049" t="s">
        <v>30</v>
      </c>
      <c r="B5049">
        <v>2018</v>
      </c>
      <c r="C5049" t="s">
        <v>36</v>
      </c>
      <c r="D5049" t="s">
        <v>28</v>
      </c>
      <c r="E5049" t="e">
        <f>VLOOKUP(Cpi_[[#This Row],[Attribute]],#REF!,2,FALSE)</f>
        <v>#REF!</v>
      </c>
      <c r="F5049">
        <v>133.30000000000001</v>
      </c>
      <c r="G5049">
        <f>(Cpi_[[#This Row],[Value]]-F5048)/F5048</f>
        <v>3.0935808197989169E-2</v>
      </c>
      <c r="H5049" t="e" cm="1" vm="1">
        <f t="array" aca="1" ref="H5049" ca="1">VLOOKUP(Cpi_[[#This Row],[Year]:[Month]],crudeoil[],3,FALSE)</f>
        <v>#VALUE!</v>
      </c>
    </row>
    <row r="5050" spans="1:8" hidden="1" x14ac:dyDescent="0.3">
      <c r="A5050" t="s">
        <v>30</v>
      </c>
      <c r="B5050">
        <v>2018</v>
      </c>
      <c r="C5050" t="s">
        <v>36</v>
      </c>
      <c r="D5050" t="s">
        <v>29</v>
      </c>
      <c r="E5050" t="e" cm="1">
        <f t="array" aca="1" ref="E5050" ca="1">VLGeneral indexGeneral indexKUP(Cpi_[[#This Row],[Attribute]],#REF!,2,FALSE)</f>
        <v>#NAME?</v>
      </c>
      <c r="F5050">
        <v>138.69999999999999</v>
      </c>
      <c r="G5050">
        <f>(Cpi_[[#This Row],[Value]]-F5049)/F5049</f>
        <v>4.0510127531882795E-2</v>
      </c>
      <c r="H5050" t="e" cm="1" vm="1">
        <f t="array" aca="1" ref="H5050" ca="1">VLOOKUP(Cpi_[[#This Row],[Year]:[Month]],crudeoil[],3,FALSE)</f>
        <v>#VALUE!</v>
      </c>
    </row>
    <row r="5051" spans="1:8" hidden="1" x14ac:dyDescent="0.3">
      <c r="A5051" t="s">
        <v>33</v>
      </c>
      <c r="B5051">
        <v>2018</v>
      </c>
      <c r="C5051" t="s">
        <v>36</v>
      </c>
      <c r="D5051" t="s">
        <v>3</v>
      </c>
      <c r="E5051" t="e">
        <f>VLOOKUP(Cpi_[[#This Row],[Attribute]],#REF!,2,FALSE)</f>
        <v>#REF!</v>
      </c>
      <c r="F5051">
        <v>135</v>
      </c>
      <c r="G5051">
        <f>(Cpi_[[#This Row],[Value]]-F5050)/F5050</f>
        <v>-2.6676279740446927E-2</v>
      </c>
      <c r="H5051" t="e" cm="1" vm="1">
        <f t="array" aca="1" ref="H5051" ca="1">VLOOKUP(Cpi_[[#This Row],[Year]:[Month]],crudeoil[],3,FALSE)</f>
        <v>#VALUE!</v>
      </c>
    </row>
    <row r="5052" spans="1:8" hidden="1" x14ac:dyDescent="0.3">
      <c r="A5052" t="s">
        <v>33</v>
      </c>
      <c r="B5052">
        <v>2018</v>
      </c>
      <c r="C5052" t="s">
        <v>36</v>
      </c>
      <c r="D5052" t="s">
        <v>4</v>
      </c>
      <c r="E5052" t="e">
        <f>VLOOKUP(Cpi_[[#This Row],[Attribute]],#REF!,2,FALSE)</f>
        <v>#REF!</v>
      </c>
      <c r="F5052">
        <v>143.1</v>
      </c>
      <c r="G5052">
        <f>(Cpi_[[#This Row],[Value]]-F5051)/F5051</f>
        <v>5.9999999999999956E-2</v>
      </c>
      <c r="H5052" t="e" cm="1" vm="1">
        <f t="array" aca="1" ref="H5052" ca="1">VLOOKUP(Cpi_[[#This Row],[Year]:[Month]],crudeoil[],3,FALSE)</f>
        <v>#VALUE!</v>
      </c>
    </row>
    <row r="5053" spans="1:8" hidden="1" x14ac:dyDescent="0.3">
      <c r="A5053" t="s">
        <v>33</v>
      </c>
      <c r="B5053">
        <v>2018</v>
      </c>
      <c r="C5053" t="s">
        <v>36</v>
      </c>
      <c r="D5053" t="s">
        <v>5</v>
      </c>
      <c r="E5053" t="e">
        <f>VLOOKUP(Cpi_[[#This Row],[Attribute]],#REF!,2,FALSE)</f>
        <v>#REF!</v>
      </c>
      <c r="F5053">
        <v>135.5</v>
      </c>
      <c r="G5053">
        <f>(Cpi_[[#This Row],[Value]]-F5052)/F5052</f>
        <v>-5.3109713487071941E-2</v>
      </c>
      <c r="H5053" t="e" cm="1" vm="1">
        <f t="array" aca="1" ref="H5053" ca="1">VLOOKUP(Cpi_[[#This Row],[Year]:[Month]],crudeoil[],3,FALSE)</f>
        <v>#VALUE!</v>
      </c>
    </row>
    <row r="5054" spans="1:8" hidden="1" x14ac:dyDescent="0.3">
      <c r="A5054" t="s">
        <v>33</v>
      </c>
      <c r="B5054">
        <v>2018</v>
      </c>
      <c r="C5054" t="s">
        <v>36</v>
      </c>
      <c r="D5054" t="s">
        <v>6</v>
      </c>
      <c r="E5054" t="e">
        <f>VLOOKUP(Cpi_[[#This Row],[Attribute]],#REF!,2,FALSE)</f>
        <v>#REF!</v>
      </c>
      <c r="F5054">
        <v>139.9</v>
      </c>
      <c r="G5054">
        <f>(Cpi_[[#This Row],[Value]]-F5053)/F5053</f>
        <v>3.2472324723247271E-2</v>
      </c>
      <c r="H5054" t="e" cm="1" vm="1">
        <f t="array" aca="1" ref="H5054" ca="1">VLOOKUP(Cpi_[[#This Row],[Year]:[Month]],crudeoil[],3,FALSE)</f>
        <v>#VALUE!</v>
      </c>
    </row>
    <row r="5055" spans="1:8" hidden="1" x14ac:dyDescent="0.3">
      <c r="A5055" t="s">
        <v>33</v>
      </c>
      <c r="B5055">
        <v>2018</v>
      </c>
      <c r="C5055" t="s">
        <v>36</v>
      </c>
      <c r="D5055" t="s">
        <v>7</v>
      </c>
      <c r="E5055" t="e">
        <f>VLOOKUP(Cpi_[[#This Row],[Attribute]],#REF!,2,FALSE)</f>
        <v>#REF!</v>
      </c>
      <c r="F5055">
        <v>116.5</v>
      </c>
      <c r="G5055">
        <f>(Cpi_[[#This Row],[Value]]-F5054)/F5054</f>
        <v>-0.1672623302358828</v>
      </c>
      <c r="H5055" t="e" cm="1" vm="1">
        <f t="array" aca="1" ref="H5055" ca="1">VLOOKUP(Cpi_[[#This Row],[Year]:[Month]],crudeoil[],3,FALSE)</f>
        <v>#VALUE!</v>
      </c>
    </row>
    <row r="5056" spans="1:8" hidden="1" x14ac:dyDescent="0.3">
      <c r="A5056" t="s">
        <v>33</v>
      </c>
      <c r="B5056">
        <v>2018</v>
      </c>
      <c r="C5056" t="s">
        <v>36</v>
      </c>
      <c r="D5056" t="s">
        <v>8</v>
      </c>
      <c r="E5056" t="e">
        <f>VLOOKUP(Cpi_[[#This Row],[Attribute]],#REF!,2,FALSE)</f>
        <v>#REF!</v>
      </c>
      <c r="F5056">
        <v>138.5</v>
      </c>
      <c r="G5056">
        <f>(Cpi_[[#This Row],[Value]]-F5055)/F5055</f>
        <v>0.18884120171673821</v>
      </c>
      <c r="H5056" t="e" cm="1" vm="1">
        <f t="array" aca="1" ref="H5056" ca="1">VLOOKUP(Cpi_[[#This Row],[Year]:[Month]],crudeoil[],3,FALSE)</f>
        <v>#VALUE!</v>
      </c>
    </row>
    <row r="5057" spans="1:8" hidden="1" x14ac:dyDescent="0.3">
      <c r="A5057" t="s">
        <v>33</v>
      </c>
      <c r="B5057">
        <v>2018</v>
      </c>
      <c r="C5057" t="s">
        <v>36</v>
      </c>
      <c r="D5057" t="s">
        <v>9</v>
      </c>
      <c r="E5057" t="e">
        <f>VLOOKUP(Cpi_[[#This Row],[Attribute]],#REF!,2,FALSE)</f>
        <v>#REF!</v>
      </c>
      <c r="F5057">
        <v>128</v>
      </c>
      <c r="G5057">
        <f>(Cpi_[[#This Row],[Value]]-F5056)/F5056</f>
        <v>-7.5812274368231042E-2</v>
      </c>
      <c r="H5057" t="e" cm="1" vm="1">
        <f t="array" aca="1" ref="H5057" ca="1">VLOOKUP(Cpi_[[#This Row],[Year]:[Month]],crudeoil[],3,FALSE)</f>
        <v>#VALUE!</v>
      </c>
    </row>
    <row r="5058" spans="1:8" hidden="1" x14ac:dyDescent="0.3">
      <c r="A5058" t="s">
        <v>33</v>
      </c>
      <c r="B5058">
        <v>2018</v>
      </c>
      <c r="C5058" t="s">
        <v>36</v>
      </c>
      <c r="D5058" t="s">
        <v>10</v>
      </c>
      <c r="E5058" t="e">
        <f>VLOOKUP(Cpi_[[#This Row],[Attribute]],#REF!,2,FALSE)</f>
        <v>#REF!</v>
      </c>
      <c r="F5058">
        <v>115.5</v>
      </c>
      <c r="G5058">
        <f>(Cpi_[[#This Row],[Value]]-F5057)/F5057</f>
        <v>-9.765625E-2</v>
      </c>
      <c r="H5058" t="e" cm="1" vm="1">
        <f t="array" aca="1" ref="H5058" ca="1">VLOOKUP(Cpi_[[#This Row],[Year]:[Month]],crudeoil[],3,FALSE)</f>
        <v>#VALUE!</v>
      </c>
    </row>
    <row r="5059" spans="1:8" hidden="1" x14ac:dyDescent="0.3">
      <c r="A5059" t="s">
        <v>33</v>
      </c>
      <c r="B5059">
        <v>2018</v>
      </c>
      <c r="C5059" t="s">
        <v>36</v>
      </c>
      <c r="D5059" t="s">
        <v>11</v>
      </c>
      <c r="E5059" t="e">
        <f>VLOOKUP(Cpi_[[#This Row],[Attribute]],#REF!,2,FALSE)</f>
        <v>#REF!</v>
      </c>
      <c r="F5059">
        <v>114.2</v>
      </c>
      <c r="G5059">
        <f>(Cpi_[[#This Row],[Value]]-F5058)/F5058</f>
        <v>-1.125541125541123E-2</v>
      </c>
      <c r="H5059" t="e" cm="1" vm="1">
        <f t="array" aca="1" ref="H5059" ca="1">VLOOKUP(Cpi_[[#This Row],[Year]:[Month]],crudeoil[],3,FALSE)</f>
        <v>#VALUE!</v>
      </c>
    </row>
    <row r="5060" spans="1:8" hidden="1" x14ac:dyDescent="0.3">
      <c r="A5060" t="s">
        <v>33</v>
      </c>
      <c r="B5060">
        <v>2018</v>
      </c>
      <c r="C5060" t="s">
        <v>36</v>
      </c>
      <c r="D5060" t="s">
        <v>12</v>
      </c>
      <c r="E5060" t="e">
        <f>VLOOKUP(Cpi_[[#This Row],[Attribute]],#REF!,2,FALSE)</f>
        <v>#REF!</v>
      </c>
      <c r="F5060">
        <v>140.69999999999999</v>
      </c>
      <c r="G5060">
        <f>(Cpi_[[#This Row],[Value]]-F5059)/F5059</f>
        <v>0.23204903677758307</v>
      </c>
      <c r="H5060" t="e" cm="1" vm="1">
        <f t="array" aca="1" ref="H5060" ca="1">VLOOKUP(Cpi_[[#This Row],[Year]:[Month]],crudeoil[],3,FALSE)</f>
        <v>#VALUE!</v>
      </c>
    </row>
    <row r="5061" spans="1:8" hidden="1" x14ac:dyDescent="0.3">
      <c r="A5061" t="s">
        <v>33</v>
      </c>
      <c r="B5061">
        <v>2018</v>
      </c>
      <c r="C5061" t="s">
        <v>36</v>
      </c>
      <c r="D5061" t="s">
        <v>13</v>
      </c>
      <c r="E5061" t="e">
        <f>VLOOKUP(Cpi_[[#This Row],[Attribute]],#REF!,2,FALSE)</f>
        <v>#REF!</v>
      </c>
      <c r="F5061">
        <v>126.2</v>
      </c>
      <c r="G5061">
        <f>(Cpi_[[#This Row],[Value]]-F5060)/F5060</f>
        <v>-0.10305614783226714</v>
      </c>
      <c r="H5061" t="e" cm="1" vm="1">
        <f t="array" aca="1" ref="H5061" ca="1">VLOOKUP(Cpi_[[#This Row],[Year]:[Month]],crudeoil[],3,FALSE)</f>
        <v>#VALUE!</v>
      </c>
    </row>
    <row r="5062" spans="1:8" hidden="1" x14ac:dyDescent="0.3">
      <c r="A5062" t="s">
        <v>33</v>
      </c>
      <c r="B5062">
        <v>2018</v>
      </c>
      <c r="C5062" t="s">
        <v>36</v>
      </c>
      <c r="D5062" t="s">
        <v>14</v>
      </c>
      <c r="E5062" t="e">
        <f>VLOOKUP(Cpi_[[#This Row],[Attribute]],#REF!,2,FALSE)</f>
        <v>#REF!</v>
      </c>
      <c r="F5062">
        <v>147.6</v>
      </c>
      <c r="G5062">
        <f>(Cpi_[[#This Row],[Value]]-F5061)/F5061</f>
        <v>0.16957210776545159</v>
      </c>
      <c r="H5062" t="e" cm="1" vm="1">
        <f t="array" aca="1" ref="H5062" ca="1">VLOOKUP(Cpi_[[#This Row],[Year]:[Month]],crudeoil[],3,FALSE)</f>
        <v>#VALUE!</v>
      </c>
    </row>
    <row r="5063" spans="1:8" hidden="1" x14ac:dyDescent="0.3">
      <c r="A5063" t="s">
        <v>33</v>
      </c>
      <c r="B5063">
        <v>2018</v>
      </c>
      <c r="C5063" t="s">
        <v>36</v>
      </c>
      <c r="D5063" t="s">
        <v>15</v>
      </c>
      <c r="E5063" t="e">
        <f>VLOOKUP(Cpi_[[#This Row],[Attribute]],#REF!,2,FALSE)</f>
        <v>#REF!</v>
      </c>
      <c r="F5063">
        <v>134.80000000000001</v>
      </c>
      <c r="G5063">
        <f>(Cpi_[[#This Row],[Value]]-F5062)/F5062</f>
        <v>-8.6720867208671976E-2</v>
      </c>
      <c r="H5063" t="e" cm="1" vm="1">
        <f t="array" aca="1" ref="H5063" ca="1">VLOOKUP(Cpi_[[#This Row],[Year]:[Month]],crudeoil[],3,FALSE)</f>
        <v>#VALUE!</v>
      </c>
    </row>
    <row r="5064" spans="1:8" hidden="1" x14ac:dyDescent="0.3">
      <c r="A5064" t="s">
        <v>33</v>
      </c>
      <c r="B5064">
        <v>2018</v>
      </c>
      <c r="C5064" t="s">
        <v>36</v>
      </c>
      <c r="D5064" t="s">
        <v>16</v>
      </c>
      <c r="E5064" t="e">
        <f>VLOOKUP(Cpi_[[#This Row],[Attribute]],#REF!,2,FALSE)</f>
        <v>#REF!</v>
      </c>
      <c r="F5064">
        <v>159.69999999999999</v>
      </c>
      <c r="G5064">
        <f>(Cpi_[[#This Row],[Value]]-F5063)/F5063</f>
        <v>0.18471810089020754</v>
      </c>
      <c r="H5064" t="e" cm="1" vm="1">
        <f t="array" aca="1" ref="H5064" ca="1">VLOOKUP(Cpi_[[#This Row],[Year]:[Month]],crudeoil[],3,FALSE)</f>
        <v>#VALUE!</v>
      </c>
    </row>
    <row r="5065" spans="1:8" hidden="1" x14ac:dyDescent="0.3">
      <c r="A5065" t="s">
        <v>33</v>
      </c>
      <c r="B5065">
        <v>2018</v>
      </c>
      <c r="C5065" t="s">
        <v>36</v>
      </c>
      <c r="D5065" t="s">
        <v>17</v>
      </c>
      <c r="E5065" t="e">
        <f>VLOOKUP(Cpi_[[#This Row],[Attribute]],#REF!,2,FALSE)</f>
        <v>#REF!</v>
      </c>
      <c r="F5065">
        <v>136.69999999999999</v>
      </c>
      <c r="G5065">
        <f>(Cpi_[[#This Row],[Value]]-F5064)/F5064</f>
        <v>-0.1440200375704446</v>
      </c>
      <c r="H5065" t="e" cm="1" vm="1">
        <f t="array" aca="1" ref="H5065" ca="1">VLOOKUP(Cpi_[[#This Row],[Year]:[Month]],crudeoil[],3,FALSE)</f>
        <v>#VALUE!</v>
      </c>
    </row>
    <row r="5066" spans="1:8" hidden="1" x14ac:dyDescent="0.3">
      <c r="A5066" t="s">
        <v>33</v>
      </c>
      <c r="B5066">
        <v>2018</v>
      </c>
      <c r="C5066" t="s">
        <v>36</v>
      </c>
      <c r="D5066" t="s">
        <v>18</v>
      </c>
      <c r="E5066" t="e">
        <f>VLOOKUP(Cpi_[[#This Row],[Attribute]],#REF!,2,FALSE)</f>
        <v>#REF!</v>
      </c>
      <c r="F5066">
        <v>126.7</v>
      </c>
      <c r="G5066">
        <f>(Cpi_[[#This Row],[Value]]-F5065)/F5065</f>
        <v>-7.3152889539136692E-2</v>
      </c>
      <c r="H5066" t="e" cm="1" vm="1">
        <f t="array" aca="1" ref="H5066" ca="1">VLOOKUP(Cpi_[[#This Row],[Year]:[Month]],crudeoil[],3,FALSE)</f>
        <v>#VALUE!</v>
      </c>
    </row>
    <row r="5067" spans="1:8" hidden="1" x14ac:dyDescent="0.3">
      <c r="A5067" t="s">
        <v>33</v>
      </c>
      <c r="B5067">
        <v>2018</v>
      </c>
      <c r="C5067" t="s">
        <v>36</v>
      </c>
      <c r="D5067" t="s">
        <v>19</v>
      </c>
      <c r="E5067" t="e">
        <f>VLOOKUP(Cpi_[[#This Row],[Attribute]],#REF!,2,FALSE)</f>
        <v>#REF!</v>
      </c>
      <c r="F5067">
        <v>135.19999999999999</v>
      </c>
      <c r="G5067">
        <f>(Cpi_[[#This Row],[Value]]-F5066)/F5066</f>
        <v>6.7087608524072501E-2</v>
      </c>
      <c r="H5067" t="e" cm="1" vm="1">
        <f t="array" aca="1" ref="H5067" ca="1">VLOOKUP(Cpi_[[#This Row],[Year]:[Month]],crudeoil[],3,FALSE)</f>
        <v>#VALUE!</v>
      </c>
    </row>
    <row r="5068" spans="1:8" hidden="1" x14ac:dyDescent="0.3">
      <c r="A5068" t="s">
        <v>33</v>
      </c>
      <c r="B5068">
        <v>2018</v>
      </c>
      <c r="C5068" t="s">
        <v>36</v>
      </c>
      <c r="D5068" t="s">
        <v>20</v>
      </c>
      <c r="E5068" t="e">
        <f>VLOOKUP(Cpi_[[#This Row],[Attribute]],#REF!,2,FALSE)</f>
        <v>#REF!</v>
      </c>
      <c r="F5068">
        <v>142</v>
      </c>
      <c r="G5068">
        <f>(Cpi_[[#This Row],[Value]]-F5067)/F5067</f>
        <v>5.0295857988165771E-2</v>
      </c>
      <c r="H5068" t="e" cm="1" vm="1">
        <f t="array" aca="1" ref="H5068" ca="1">VLOOKUP(Cpi_[[#This Row],[Year]:[Month]],crudeoil[],3,FALSE)</f>
        <v>#VALUE!</v>
      </c>
    </row>
    <row r="5069" spans="1:8" hidden="1" x14ac:dyDescent="0.3">
      <c r="A5069" t="s">
        <v>33</v>
      </c>
      <c r="B5069">
        <v>2018</v>
      </c>
      <c r="C5069" t="s">
        <v>36</v>
      </c>
      <c r="D5069" t="s">
        <v>21</v>
      </c>
      <c r="E5069" t="e">
        <f>VLOOKUP(Cpi_[[#This Row],[Attribute]],#REF!,2,FALSE)</f>
        <v>#REF!</v>
      </c>
      <c r="F5069">
        <v>126.4</v>
      </c>
      <c r="G5069">
        <f>(Cpi_[[#This Row],[Value]]-F5068)/F5068</f>
        <v>-0.10985915492957743</v>
      </c>
      <c r="H5069" t="e" cm="1" vm="1">
        <f t="array" aca="1" ref="H5069" ca="1">VLOOKUP(Cpi_[[#This Row],[Year]:[Month]],crudeoil[],3,FALSE)</f>
        <v>#VALUE!</v>
      </c>
    </row>
    <row r="5070" spans="1:8" hidden="1" x14ac:dyDescent="0.3">
      <c r="A5070" t="s">
        <v>33</v>
      </c>
      <c r="B5070">
        <v>2018</v>
      </c>
      <c r="C5070" t="s">
        <v>36</v>
      </c>
      <c r="D5070" t="s">
        <v>22</v>
      </c>
      <c r="E5070" t="e">
        <f>VLOOKUP(Cpi_[[#This Row],[Attribute]],#REF!,2,FALSE)</f>
        <v>#REF!</v>
      </c>
      <c r="F5070">
        <v>130.80000000000001</v>
      </c>
      <c r="G5070">
        <f>(Cpi_[[#This Row],[Value]]-F5069)/F5069</f>
        <v>3.4810126582278528E-2</v>
      </c>
      <c r="H5070" t="e" cm="1" vm="1">
        <f t="array" aca="1" ref="H5070" ca="1">VLOOKUP(Cpi_[[#This Row],[Year]:[Month]],crudeoil[],3,FALSE)</f>
        <v>#VALUE!</v>
      </c>
    </row>
    <row r="5071" spans="1:8" hidden="1" x14ac:dyDescent="0.3">
      <c r="A5071" t="s">
        <v>33</v>
      </c>
      <c r="B5071">
        <v>2018</v>
      </c>
      <c r="C5071" t="s">
        <v>36</v>
      </c>
      <c r="D5071" t="s">
        <v>23</v>
      </c>
      <c r="E5071" t="e">
        <f>VLOOKUP(Cpi_[[#This Row],[Attribute]],#REF!,2,FALSE)</f>
        <v>#REF!</v>
      </c>
      <c r="F5071">
        <v>130.5</v>
      </c>
      <c r="G5071">
        <f>(Cpi_[[#This Row],[Value]]-F5070)/F5070</f>
        <v>-2.293577981651463E-3</v>
      </c>
      <c r="H5071" t="e" cm="1" vm="1">
        <f t="array" aca="1" ref="H5071" ca="1">VLOOKUP(Cpi_[[#This Row],[Year]:[Month]],crudeoil[],3,FALSE)</f>
        <v>#VALUE!</v>
      </c>
    </row>
    <row r="5072" spans="1:8" hidden="1" x14ac:dyDescent="0.3">
      <c r="A5072" t="s">
        <v>33</v>
      </c>
      <c r="B5072">
        <v>2018</v>
      </c>
      <c r="C5072" t="s">
        <v>36</v>
      </c>
      <c r="D5072" t="s">
        <v>24</v>
      </c>
      <c r="E5072" t="e">
        <f>VLOOKUP(Cpi_[[#This Row],[Attribute]],#REF!,2,FALSE)</f>
        <v>#REF!</v>
      </c>
      <c r="F5072">
        <v>117.8</v>
      </c>
      <c r="G5072">
        <f>(Cpi_[[#This Row],[Value]]-F5071)/F5071</f>
        <v>-9.7318007662835271E-2</v>
      </c>
      <c r="H5072" t="e" cm="1" vm="1">
        <f t="array" aca="1" ref="H5072" ca="1">VLOOKUP(Cpi_[[#This Row],[Year]:[Month]],crudeoil[],3,FALSE)</f>
        <v>#VALUE!</v>
      </c>
    </row>
    <row r="5073" spans="1:8" hidden="1" x14ac:dyDescent="0.3">
      <c r="A5073" t="s">
        <v>33</v>
      </c>
      <c r="B5073">
        <v>2018</v>
      </c>
      <c r="C5073" t="s">
        <v>36</v>
      </c>
      <c r="D5073" t="s">
        <v>25</v>
      </c>
      <c r="E5073" t="e">
        <f>VLOOKUP(Cpi_[[#This Row],[Attribute]],#REF!,2,FALSE)</f>
        <v>#REF!</v>
      </c>
      <c r="F5073">
        <v>126.8</v>
      </c>
      <c r="G5073">
        <f>(Cpi_[[#This Row],[Value]]-F5072)/F5072</f>
        <v>7.6400679117147707E-2</v>
      </c>
      <c r="H5073" t="e" cm="1" vm="1">
        <f t="array" aca="1" ref="H5073" ca="1">VLOOKUP(Cpi_[[#This Row],[Year]:[Month]],crudeoil[],3,FALSE)</f>
        <v>#VALUE!</v>
      </c>
    </row>
    <row r="5074" spans="1:8" hidden="1" x14ac:dyDescent="0.3">
      <c r="A5074" t="s">
        <v>33</v>
      </c>
      <c r="B5074">
        <v>2018</v>
      </c>
      <c r="C5074" t="s">
        <v>36</v>
      </c>
      <c r="D5074" t="s">
        <v>26</v>
      </c>
      <c r="E5074" t="e">
        <f>VLOOKUP(Cpi_[[#This Row],[Attribute]],#REF!,2,FALSE)</f>
        <v>#REF!</v>
      </c>
      <c r="F5074">
        <v>137.80000000000001</v>
      </c>
      <c r="G5074">
        <f>(Cpi_[[#This Row],[Value]]-F5073)/F5073</f>
        <v>8.6750788643533236E-2</v>
      </c>
      <c r="H5074" t="e" cm="1" vm="1">
        <f t="array" aca="1" ref="H5074" ca="1">VLOOKUP(Cpi_[[#This Row],[Year]:[Month]],crudeoil[],3,FALSE)</f>
        <v>#VALUE!</v>
      </c>
    </row>
    <row r="5075" spans="1:8" hidden="1" x14ac:dyDescent="0.3">
      <c r="A5075" t="s">
        <v>33</v>
      </c>
      <c r="B5075">
        <v>2018</v>
      </c>
      <c r="C5075" t="s">
        <v>36</v>
      </c>
      <c r="D5075" t="s">
        <v>27</v>
      </c>
      <c r="E5075" t="e">
        <f>VLOOKUP(Cpi_[[#This Row],[Attribute]],#REF!,2,FALSE)</f>
        <v>#REF!</v>
      </c>
      <c r="F5075">
        <v>126.7</v>
      </c>
      <c r="G5075">
        <f>(Cpi_[[#This Row],[Value]]-F5074)/F5074</f>
        <v>-8.055152394775042E-2</v>
      </c>
      <c r="H5075" t="e" cm="1" vm="1">
        <f t="array" aca="1" ref="H5075" ca="1">VLOOKUP(Cpi_[[#This Row],[Year]:[Month]],crudeoil[],3,FALSE)</f>
        <v>#VALUE!</v>
      </c>
    </row>
    <row r="5076" spans="1:8" hidden="1" x14ac:dyDescent="0.3">
      <c r="A5076" t="s">
        <v>33</v>
      </c>
      <c r="B5076">
        <v>2018</v>
      </c>
      <c r="C5076" t="s">
        <v>36</v>
      </c>
      <c r="D5076" t="s">
        <v>28</v>
      </c>
      <c r="E5076" t="e">
        <f>VLOOKUP(Cpi_[[#This Row],[Attribute]],#REF!,2,FALSE)</f>
        <v>#REF!</v>
      </c>
      <c r="F5076">
        <v>127.1</v>
      </c>
      <c r="G5076">
        <f>(Cpi_[[#This Row],[Value]]-F5075)/F5075</f>
        <v>3.1570639305445263E-3</v>
      </c>
      <c r="H5076" t="e" cm="1" vm="1">
        <f t="array" aca="1" ref="H5076" ca="1">VLOOKUP(Cpi_[[#This Row],[Year]:[Month]],crudeoil[],3,FALSE)</f>
        <v>#VALUE!</v>
      </c>
    </row>
    <row r="5077" spans="1:8" hidden="1" x14ac:dyDescent="0.3">
      <c r="A5077" t="s">
        <v>33</v>
      </c>
      <c r="B5077">
        <v>2018</v>
      </c>
      <c r="C5077" t="s">
        <v>36</v>
      </c>
      <c r="D5077" t="s">
        <v>29</v>
      </c>
      <c r="E5077" t="e" cm="1">
        <f t="array" aca="1" ref="E5077" ca="1">VLGeneral indexGeneral indexKUP(Cpi_[[#This Row],[Attribute]],#REF!,2,FALSE)</f>
        <v>#NAME?</v>
      </c>
      <c r="F5077">
        <v>134</v>
      </c>
      <c r="G5077">
        <f>(Cpi_[[#This Row],[Value]]-F5076)/F5076</f>
        <v>5.4287962234461098E-2</v>
      </c>
      <c r="H5077" t="e" cm="1" vm="1">
        <f t="array" aca="1" ref="H5077" ca="1">VLOOKUP(Cpi_[[#This Row],[Year]:[Month]],crudeoil[],3,FALSE)</f>
        <v>#VALUE!</v>
      </c>
    </row>
    <row r="5078" spans="1:8" hidden="1" x14ac:dyDescent="0.3">
      <c r="A5078" t="s">
        <v>34</v>
      </c>
      <c r="B5078">
        <v>2018</v>
      </c>
      <c r="C5078" t="s">
        <v>36</v>
      </c>
      <c r="D5078" t="s">
        <v>3</v>
      </c>
      <c r="E5078" t="e">
        <f>VLOOKUP(Cpi_[[#This Row],[Attribute]],#REF!,2,FALSE)</f>
        <v>#REF!</v>
      </c>
      <c r="F5078">
        <v>136.19999999999999</v>
      </c>
      <c r="G5078">
        <f>(Cpi_[[#This Row],[Value]]-F5077)/F5077</f>
        <v>1.641791044776111E-2</v>
      </c>
      <c r="H5078" t="e" cm="1" vm="1">
        <f t="array" aca="1" ref="H5078" ca="1">VLOOKUP(Cpi_[[#This Row],[Year]:[Month]],crudeoil[],3,FALSE)</f>
        <v>#VALUE!</v>
      </c>
    </row>
    <row r="5079" spans="1:8" hidden="1" x14ac:dyDescent="0.3">
      <c r="A5079" t="s">
        <v>34</v>
      </c>
      <c r="B5079">
        <v>2018</v>
      </c>
      <c r="C5079" t="s">
        <v>36</v>
      </c>
      <c r="D5079" t="s">
        <v>4</v>
      </c>
      <c r="E5079" t="e">
        <f>VLOOKUP(Cpi_[[#This Row],[Attribute]],#REF!,2,FALSE)</f>
        <v>#REF!</v>
      </c>
      <c r="F5079">
        <v>143.6</v>
      </c>
      <c r="G5079">
        <f>(Cpi_[[#This Row],[Value]]-F5078)/F5078</f>
        <v>5.4331864904552177E-2</v>
      </c>
      <c r="H5079" t="e" cm="1" vm="1">
        <f t="array" aca="1" ref="H5079" ca="1">VLOOKUP(Cpi_[[#This Row],[Year]:[Month]],crudeoil[],3,FALSE)</f>
        <v>#VALUE!</v>
      </c>
    </row>
    <row r="5080" spans="1:8" hidden="1" x14ac:dyDescent="0.3">
      <c r="A5080" t="s">
        <v>34</v>
      </c>
      <c r="B5080">
        <v>2018</v>
      </c>
      <c r="C5080" t="s">
        <v>36</v>
      </c>
      <c r="D5080" t="s">
        <v>5</v>
      </c>
      <c r="E5080" t="e">
        <f>VLOOKUP(Cpi_[[#This Row],[Attribute]],#REF!,2,FALSE)</f>
        <v>#REF!</v>
      </c>
      <c r="F5080">
        <v>138.30000000000001</v>
      </c>
      <c r="G5080">
        <f>(Cpi_[[#This Row],[Value]]-F5079)/F5079</f>
        <v>-3.6908077994428849E-2</v>
      </c>
      <c r="H5080" t="e" cm="1" vm="1">
        <f t="array" aca="1" ref="H5080" ca="1">VLOOKUP(Cpi_[[#This Row],[Year]:[Month]],crudeoil[],3,FALSE)</f>
        <v>#VALUE!</v>
      </c>
    </row>
    <row r="5081" spans="1:8" hidden="1" x14ac:dyDescent="0.3">
      <c r="A5081" t="s">
        <v>34</v>
      </c>
      <c r="B5081">
        <v>2018</v>
      </c>
      <c r="C5081" t="s">
        <v>36</v>
      </c>
      <c r="D5081" t="s">
        <v>6</v>
      </c>
      <c r="E5081" t="e">
        <f>VLOOKUP(Cpi_[[#This Row],[Attribute]],#REF!,2,FALSE)</f>
        <v>#REF!</v>
      </c>
      <c r="F5081">
        <v>141.19999999999999</v>
      </c>
      <c r="G5081">
        <f>(Cpi_[[#This Row],[Value]]-F5080)/F5080</f>
        <v>2.0968908170643362E-2</v>
      </c>
      <c r="H5081" t="e" cm="1" vm="1">
        <f t="array" aca="1" ref="H5081" ca="1">VLOOKUP(Cpi_[[#This Row],[Year]:[Month]],crudeoil[],3,FALSE)</f>
        <v>#VALUE!</v>
      </c>
    </row>
    <row r="5082" spans="1:8" hidden="1" x14ac:dyDescent="0.3">
      <c r="A5082" t="s">
        <v>34</v>
      </c>
      <c r="B5082">
        <v>2018</v>
      </c>
      <c r="C5082" t="s">
        <v>36</v>
      </c>
      <c r="D5082" t="s">
        <v>7</v>
      </c>
      <c r="E5082" t="e">
        <f>VLOOKUP(Cpi_[[#This Row],[Attribute]],#REF!,2,FALSE)</f>
        <v>#REF!</v>
      </c>
      <c r="F5082">
        <v>120.7</v>
      </c>
      <c r="G5082">
        <f>(Cpi_[[#This Row],[Value]]-F5081)/F5081</f>
        <v>-0.14518413597733701</v>
      </c>
      <c r="H5082" t="e" cm="1" vm="1">
        <f t="array" aca="1" ref="H5082" ca="1">VLOOKUP(Cpi_[[#This Row],[Year]:[Month]],crudeoil[],3,FALSE)</f>
        <v>#VALUE!</v>
      </c>
    </row>
    <row r="5083" spans="1:8" hidden="1" x14ac:dyDescent="0.3">
      <c r="A5083" t="s">
        <v>34</v>
      </c>
      <c r="B5083">
        <v>2018</v>
      </c>
      <c r="C5083" t="s">
        <v>36</v>
      </c>
      <c r="D5083" t="s">
        <v>8</v>
      </c>
      <c r="E5083" t="e">
        <f>VLOOKUP(Cpi_[[#This Row],[Attribute]],#REF!,2,FALSE)</f>
        <v>#REF!</v>
      </c>
      <c r="F5083">
        <v>146.19999999999999</v>
      </c>
      <c r="G5083">
        <f>(Cpi_[[#This Row],[Value]]-F5082)/F5082</f>
        <v>0.2112676056338027</v>
      </c>
      <c r="H5083" t="e" cm="1" vm="1">
        <f t="array" aca="1" ref="H5083" ca="1">VLOOKUP(Cpi_[[#This Row],[Year]:[Month]],crudeoil[],3,FALSE)</f>
        <v>#VALUE!</v>
      </c>
    </row>
    <row r="5084" spans="1:8" hidden="1" x14ac:dyDescent="0.3">
      <c r="A5084" t="s">
        <v>34</v>
      </c>
      <c r="B5084">
        <v>2018</v>
      </c>
      <c r="C5084" t="s">
        <v>36</v>
      </c>
      <c r="D5084" t="s">
        <v>9</v>
      </c>
      <c r="E5084" t="e">
        <f>VLOOKUP(Cpi_[[#This Row],[Attribute]],#REF!,2,FALSE)</f>
        <v>#REF!</v>
      </c>
      <c r="F5084">
        <v>134.6</v>
      </c>
      <c r="G5084">
        <f>(Cpi_[[#This Row],[Value]]-F5083)/F5083</f>
        <v>-7.9343365253077947E-2</v>
      </c>
      <c r="H5084" t="e" cm="1" vm="1">
        <f t="array" aca="1" ref="H5084" ca="1">VLOOKUP(Cpi_[[#This Row],[Year]:[Month]],crudeoil[],3,FALSE)</f>
        <v>#VALUE!</v>
      </c>
    </row>
    <row r="5085" spans="1:8" hidden="1" x14ac:dyDescent="0.3">
      <c r="A5085" t="s">
        <v>34</v>
      </c>
      <c r="B5085">
        <v>2018</v>
      </c>
      <c r="C5085" t="s">
        <v>36</v>
      </c>
      <c r="D5085" t="s">
        <v>10</v>
      </c>
      <c r="E5085" t="e">
        <f>VLOOKUP(Cpi_[[#This Row],[Attribute]],#REF!,2,FALSE)</f>
        <v>#REF!</v>
      </c>
      <c r="F5085">
        <v>124.6</v>
      </c>
      <c r="G5085">
        <f>(Cpi_[[#This Row],[Value]]-F5084)/F5084</f>
        <v>-7.4294205052005943E-2</v>
      </c>
      <c r="H5085" t="e" cm="1" vm="1">
        <f t="array" aca="1" ref="H5085" ca="1">VLOOKUP(Cpi_[[#This Row],[Year]:[Month]],crudeoil[],3,FALSE)</f>
        <v>#VALUE!</v>
      </c>
    </row>
    <row r="5086" spans="1:8" hidden="1" x14ac:dyDescent="0.3">
      <c r="A5086" t="s">
        <v>34</v>
      </c>
      <c r="B5086">
        <v>2018</v>
      </c>
      <c r="C5086" t="s">
        <v>36</v>
      </c>
      <c r="D5086" t="s">
        <v>11</v>
      </c>
      <c r="E5086" t="e">
        <f>VLOOKUP(Cpi_[[#This Row],[Attribute]],#REF!,2,FALSE)</f>
        <v>#REF!</v>
      </c>
      <c r="F5086">
        <v>116.1</v>
      </c>
      <c r="G5086">
        <f>(Cpi_[[#This Row],[Value]]-F5085)/F5085</f>
        <v>-6.8218298555377213E-2</v>
      </c>
      <c r="H5086" t="e" cm="1" vm="1">
        <f t="array" aca="1" ref="H5086" ca="1">VLOOKUP(Cpi_[[#This Row],[Year]:[Month]],crudeoil[],3,FALSE)</f>
        <v>#VALUE!</v>
      </c>
    </row>
    <row r="5087" spans="1:8" hidden="1" x14ac:dyDescent="0.3">
      <c r="A5087" t="s">
        <v>34</v>
      </c>
      <c r="B5087">
        <v>2018</v>
      </c>
      <c r="C5087" t="s">
        <v>36</v>
      </c>
      <c r="D5087" t="s">
        <v>12</v>
      </c>
      <c r="E5087" t="e">
        <f>VLOOKUP(Cpi_[[#This Row],[Attribute]],#REF!,2,FALSE)</f>
        <v>#REF!</v>
      </c>
      <c r="F5087">
        <v>137.80000000000001</v>
      </c>
      <c r="G5087">
        <f>(Cpi_[[#This Row],[Value]]-F5086)/F5086</f>
        <v>0.18690783807062891</v>
      </c>
      <c r="H5087" t="e" cm="1" vm="1">
        <f t="array" aca="1" ref="H5087" ca="1">VLOOKUP(Cpi_[[#This Row],[Year]:[Month]],crudeoil[],3,FALSE)</f>
        <v>#VALUE!</v>
      </c>
    </row>
    <row r="5088" spans="1:8" hidden="1" x14ac:dyDescent="0.3">
      <c r="A5088" t="s">
        <v>34</v>
      </c>
      <c r="B5088">
        <v>2018</v>
      </c>
      <c r="C5088" t="s">
        <v>36</v>
      </c>
      <c r="D5088" t="s">
        <v>13</v>
      </c>
      <c r="E5088" t="e">
        <f>VLOOKUP(Cpi_[[#This Row],[Attribute]],#REF!,2,FALSE)</f>
        <v>#REF!</v>
      </c>
      <c r="F5088">
        <v>129.1</v>
      </c>
      <c r="G5088">
        <f>(Cpi_[[#This Row],[Value]]-F5087)/F5087</f>
        <v>-6.3134978229317976E-2</v>
      </c>
      <c r="H5088" t="e" cm="1" vm="1">
        <f t="array" aca="1" ref="H5088" ca="1">VLOOKUP(Cpi_[[#This Row],[Year]:[Month]],crudeoil[],3,FALSE)</f>
        <v>#VALUE!</v>
      </c>
    </row>
    <row r="5089" spans="1:8" hidden="1" x14ac:dyDescent="0.3">
      <c r="A5089" t="s">
        <v>34</v>
      </c>
      <c r="B5089">
        <v>2018</v>
      </c>
      <c r="C5089" t="s">
        <v>36</v>
      </c>
      <c r="D5089" t="s">
        <v>14</v>
      </c>
      <c r="E5089" t="e">
        <f>VLOOKUP(Cpi_[[#This Row],[Attribute]],#REF!,2,FALSE)</f>
        <v>#REF!</v>
      </c>
      <c r="F5089">
        <v>150.4</v>
      </c>
      <c r="G5089">
        <f>(Cpi_[[#This Row],[Value]]-F5088)/F5088</f>
        <v>0.16498838109992264</v>
      </c>
      <c r="H5089" t="e" cm="1" vm="1">
        <f t="array" aca="1" ref="H5089" ca="1">VLOOKUP(Cpi_[[#This Row],[Year]:[Month]],crudeoil[],3,FALSE)</f>
        <v>#VALUE!</v>
      </c>
    </row>
    <row r="5090" spans="1:8" hidden="1" x14ac:dyDescent="0.3">
      <c r="A5090" t="s">
        <v>34</v>
      </c>
      <c r="B5090">
        <v>2018</v>
      </c>
      <c r="C5090" t="s">
        <v>36</v>
      </c>
      <c r="D5090" t="s">
        <v>15</v>
      </c>
      <c r="E5090" t="e">
        <f>VLOOKUP(Cpi_[[#This Row],[Attribute]],#REF!,2,FALSE)</f>
        <v>#REF!</v>
      </c>
      <c r="F5090">
        <v>137.19999999999999</v>
      </c>
      <c r="G5090">
        <f>(Cpi_[[#This Row],[Value]]-F5089)/F5089</f>
        <v>-8.7765957446808623E-2</v>
      </c>
      <c r="H5090" t="e" cm="1" vm="1">
        <f t="array" aca="1" ref="H5090" ca="1">VLOOKUP(Cpi_[[#This Row],[Year]:[Month]],crudeoil[],3,FALSE)</f>
        <v>#VALUE!</v>
      </c>
    </row>
    <row r="5091" spans="1:8" hidden="1" x14ac:dyDescent="0.3">
      <c r="A5091" t="s">
        <v>34</v>
      </c>
      <c r="B5091">
        <v>2018</v>
      </c>
      <c r="C5091" t="s">
        <v>36</v>
      </c>
      <c r="D5091" t="s">
        <v>16</v>
      </c>
      <c r="E5091" t="e">
        <f>VLOOKUP(Cpi_[[#This Row],[Attribute]],#REF!,2,FALSE)</f>
        <v>#REF!</v>
      </c>
      <c r="F5091">
        <v>156.30000000000001</v>
      </c>
      <c r="G5091">
        <f>(Cpi_[[#This Row],[Value]]-F5090)/F5090</f>
        <v>0.13921282798833837</v>
      </c>
      <c r="H5091" t="e" cm="1" vm="1">
        <f t="array" aca="1" ref="H5091" ca="1">VLOOKUP(Cpi_[[#This Row],[Year]:[Month]],crudeoil[],3,FALSE)</f>
        <v>#VALUE!</v>
      </c>
    </row>
    <row r="5092" spans="1:8" hidden="1" x14ac:dyDescent="0.3">
      <c r="A5092" t="s">
        <v>34</v>
      </c>
      <c r="B5092">
        <v>2018</v>
      </c>
      <c r="C5092" t="s">
        <v>36</v>
      </c>
      <c r="D5092" t="s">
        <v>17</v>
      </c>
      <c r="E5092" t="e">
        <f>VLOOKUP(Cpi_[[#This Row],[Attribute]],#REF!,2,FALSE)</f>
        <v>#REF!</v>
      </c>
      <c r="F5092">
        <v>144.30000000000001</v>
      </c>
      <c r="G5092">
        <f>(Cpi_[[#This Row],[Value]]-F5091)/F5091</f>
        <v>-7.6775431861804216E-2</v>
      </c>
      <c r="H5092" t="e" cm="1" vm="1">
        <f t="array" aca="1" ref="H5092" ca="1">VLOOKUP(Cpi_[[#This Row],[Year]:[Month]],crudeoil[],3,FALSE)</f>
        <v>#VALUE!</v>
      </c>
    </row>
    <row r="5093" spans="1:8" hidden="1" x14ac:dyDescent="0.3">
      <c r="A5093" t="s">
        <v>34</v>
      </c>
      <c r="B5093">
        <v>2018</v>
      </c>
      <c r="C5093" t="s">
        <v>36</v>
      </c>
      <c r="D5093" t="s">
        <v>18</v>
      </c>
      <c r="E5093" t="e">
        <f>VLOOKUP(Cpi_[[#This Row],[Attribute]],#REF!,2,FALSE)</f>
        <v>#REF!</v>
      </c>
      <c r="F5093">
        <v>136.19999999999999</v>
      </c>
      <c r="G5093">
        <f>(Cpi_[[#This Row],[Value]]-F5092)/F5092</f>
        <v>-5.6133056133056289E-2</v>
      </c>
      <c r="H5093" t="e" cm="1" vm="1">
        <f t="array" aca="1" ref="H5093" ca="1">VLOOKUP(Cpi_[[#This Row],[Year]:[Month]],crudeoil[],3,FALSE)</f>
        <v>#VALUE!</v>
      </c>
    </row>
    <row r="5094" spans="1:8" hidden="1" x14ac:dyDescent="0.3">
      <c r="A5094" t="s">
        <v>34</v>
      </c>
      <c r="B5094">
        <v>2018</v>
      </c>
      <c r="C5094" t="s">
        <v>36</v>
      </c>
      <c r="D5094" t="s">
        <v>19</v>
      </c>
      <c r="E5094" t="e">
        <f>VLOOKUP(Cpi_[[#This Row],[Attribute]],#REF!,2,FALSE)</f>
        <v>#REF!</v>
      </c>
      <c r="F5094">
        <v>143.1</v>
      </c>
      <c r="G5094">
        <f>(Cpi_[[#This Row],[Value]]-F5093)/F5093</f>
        <v>5.0660792951541897E-2</v>
      </c>
      <c r="H5094" t="e" cm="1" vm="1">
        <f t="array" aca="1" ref="H5094" ca="1">VLOOKUP(Cpi_[[#This Row],[Year]:[Month]],crudeoil[],3,FALSE)</f>
        <v>#VALUE!</v>
      </c>
    </row>
    <row r="5095" spans="1:8" hidden="1" x14ac:dyDescent="0.3">
      <c r="A5095" t="s">
        <v>34</v>
      </c>
      <c r="B5095">
        <v>2018</v>
      </c>
      <c r="C5095" t="s">
        <v>36</v>
      </c>
      <c r="D5095" t="s">
        <v>20</v>
      </c>
      <c r="E5095" t="e">
        <f>VLOOKUP(Cpi_[[#This Row],[Attribute]],#REF!,2,FALSE)</f>
        <v>#REF!</v>
      </c>
      <c r="F5095">
        <v>142</v>
      </c>
      <c r="G5095">
        <f>(Cpi_[[#This Row],[Value]]-F5094)/F5094</f>
        <v>-7.6869322152340628E-3</v>
      </c>
      <c r="H5095" t="e" cm="1" vm="1">
        <f t="array" aca="1" ref="H5095" ca="1">VLOOKUP(Cpi_[[#This Row],[Year]:[Month]],crudeoil[],3,FALSE)</f>
        <v>#VALUE!</v>
      </c>
    </row>
    <row r="5096" spans="1:8" hidden="1" x14ac:dyDescent="0.3">
      <c r="A5096" t="s">
        <v>34</v>
      </c>
      <c r="B5096">
        <v>2018</v>
      </c>
      <c r="C5096" t="s">
        <v>36</v>
      </c>
      <c r="D5096" t="s">
        <v>21</v>
      </c>
      <c r="E5096" t="e">
        <f>VLOOKUP(Cpi_[[#This Row],[Attribute]],#REF!,2,FALSE)</f>
        <v>#REF!</v>
      </c>
      <c r="F5096">
        <v>136.5</v>
      </c>
      <c r="G5096">
        <f>(Cpi_[[#This Row],[Value]]-F5095)/F5095</f>
        <v>-3.873239436619718E-2</v>
      </c>
      <c r="H5096" t="e" cm="1" vm="1">
        <f t="array" aca="1" ref="H5096" ca="1">VLOOKUP(Cpi_[[#This Row],[Year]:[Month]],crudeoil[],3,FALSE)</f>
        <v>#VALUE!</v>
      </c>
    </row>
    <row r="5097" spans="1:8" hidden="1" x14ac:dyDescent="0.3">
      <c r="A5097" t="s">
        <v>34</v>
      </c>
      <c r="B5097">
        <v>2018</v>
      </c>
      <c r="C5097" t="s">
        <v>36</v>
      </c>
      <c r="D5097" t="s">
        <v>22</v>
      </c>
      <c r="E5097" t="e">
        <f>VLOOKUP(Cpi_[[#This Row],[Attribute]],#REF!,2,FALSE)</f>
        <v>#REF!</v>
      </c>
      <c r="F5097">
        <v>135.6</v>
      </c>
      <c r="G5097">
        <f>(Cpi_[[#This Row],[Value]]-F5096)/F5096</f>
        <v>-6.593406593406635E-3</v>
      </c>
      <c r="H5097" t="e" cm="1" vm="1">
        <f t="array" aca="1" ref="H5097" ca="1">VLOOKUP(Cpi_[[#This Row],[Year]:[Month]],crudeoil[],3,FALSE)</f>
        <v>#VALUE!</v>
      </c>
    </row>
    <row r="5098" spans="1:8" hidden="1" x14ac:dyDescent="0.3">
      <c r="A5098" t="s">
        <v>34</v>
      </c>
      <c r="B5098">
        <v>2018</v>
      </c>
      <c r="C5098" t="s">
        <v>36</v>
      </c>
      <c r="D5098" t="s">
        <v>23</v>
      </c>
      <c r="E5098" t="e">
        <f>VLOOKUP(Cpi_[[#This Row],[Attribute]],#REF!,2,FALSE)</f>
        <v>#REF!</v>
      </c>
      <c r="F5098">
        <v>134.30000000000001</v>
      </c>
      <c r="G5098">
        <f>(Cpi_[[#This Row],[Value]]-F5097)/F5097</f>
        <v>-9.5870206489674266E-3</v>
      </c>
      <c r="H5098" t="e" cm="1" vm="1">
        <f t="array" aca="1" ref="H5098" ca="1">VLOOKUP(Cpi_[[#This Row],[Year]:[Month]],crudeoil[],3,FALSE)</f>
        <v>#VALUE!</v>
      </c>
    </row>
    <row r="5099" spans="1:8" hidden="1" x14ac:dyDescent="0.3">
      <c r="A5099" t="s">
        <v>34</v>
      </c>
      <c r="B5099">
        <v>2018</v>
      </c>
      <c r="C5099" t="s">
        <v>36</v>
      </c>
      <c r="D5099" t="s">
        <v>24</v>
      </c>
      <c r="E5099" t="e">
        <f>VLOOKUP(Cpi_[[#This Row],[Attribute]],#REF!,2,FALSE)</f>
        <v>#REF!</v>
      </c>
      <c r="F5099">
        <v>121</v>
      </c>
      <c r="G5099">
        <f>(Cpi_[[#This Row],[Value]]-F5098)/F5098</f>
        <v>-9.9032017870439387E-2</v>
      </c>
      <c r="H5099" t="e" cm="1" vm="1">
        <f t="array" aca="1" ref="H5099" ca="1">VLOOKUP(Cpi_[[#This Row],[Year]:[Month]],crudeoil[],3,FALSE)</f>
        <v>#VALUE!</v>
      </c>
    </row>
    <row r="5100" spans="1:8" hidden="1" x14ac:dyDescent="0.3">
      <c r="A5100" t="s">
        <v>34</v>
      </c>
      <c r="B5100">
        <v>2018</v>
      </c>
      <c r="C5100" t="s">
        <v>36</v>
      </c>
      <c r="D5100" t="s">
        <v>25</v>
      </c>
      <c r="E5100" t="e">
        <f>VLOOKUP(Cpi_[[#This Row],[Attribute]],#REF!,2,FALSE)</f>
        <v>#REF!</v>
      </c>
      <c r="F5100">
        <v>130.4</v>
      </c>
      <c r="G5100">
        <f>(Cpi_[[#This Row],[Value]]-F5099)/F5099</f>
        <v>7.7685950413223182E-2</v>
      </c>
      <c r="H5100" t="e" cm="1" vm="1">
        <f t="array" aca="1" ref="H5100" ca="1">VLOOKUP(Cpi_[[#This Row],[Year]:[Month]],crudeoil[],3,FALSE)</f>
        <v>#VALUE!</v>
      </c>
    </row>
    <row r="5101" spans="1:8" hidden="1" x14ac:dyDescent="0.3">
      <c r="A5101" t="s">
        <v>34</v>
      </c>
      <c r="B5101">
        <v>2018</v>
      </c>
      <c r="C5101" t="s">
        <v>36</v>
      </c>
      <c r="D5101" t="s">
        <v>26</v>
      </c>
      <c r="E5101" t="e">
        <f>VLOOKUP(Cpi_[[#This Row],[Attribute]],#REF!,2,FALSE)</f>
        <v>#REF!</v>
      </c>
      <c r="F5101">
        <v>139.80000000000001</v>
      </c>
      <c r="G5101">
        <f>(Cpi_[[#This Row],[Value]]-F5100)/F5100</f>
        <v>7.2085889570552189E-2</v>
      </c>
      <c r="H5101" t="e" cm="1" vm="1">
        <f t="array" aca="1" ref="H5101" ca="1">VLOOKUP(Cpi_[[#This Row],[Year]:[Month]],crudeoil[],3,FALSE)</f>
        <v>#VALUE!</v>
      </c>
    </row>
    <row r="5102" spans="1:8" hidden="1" x14ac:dyDescent="0.3">
      <c r="A5102" t="s">
        <v>34</v>
      </c>
      <c r="B5102">
        <v>2018</v>
      </c>
      <c r="C5102" t="s">
        <v>36</v>
      </c>
      <c r="D5102" t="s">
        <v>27</v>
      </c>
      <c r="E5102" t="e">
        <f>VLOOKUP(Cpi_[[#This Row],[Attribute]],#REF!,2,FALSE)</f>
        <v>#REF!</v>
      </c>
      <c r="F5102">
        <v>128.19999999999999</v>
      </c>
      <c r="G5102">
        <f>(Cpi_[[#This Row],[Value]]-F5101)/F5101</f>
        <v>-8.2975679542203307E-2</v>
      </c>
      <c r="H5102" t="e" cm="1" vm="1">
        <f t="array" aca="1" ref="H5102" ca="1">VLOOKUP(Cpi_[[#This Row],[Year]:[Month]],crudeoil[],3,FALSE)</f>
        <v>#VALUE!</v>
      </c>
    </row>
    <row r="5103" spans="1:8" hidden="1" x14ac:dyDescent="0.3">
      <c r="A5103" t="s">
        <v>34</v>
      </c>
      <c r="B5103">
        <v>2018</v>
      </c>
      <c r="C5103" t="s">
        <v>36</v>
      </c>
      <c r="D5103" t="s">
        <v>28</v>
      </c>
      <c r="E5103" t="e">
        <f>VLOOKUP(Cpi_[[#This Row],[Attribute]],#REF!,2,FALSE)</f>
        <v>#REF!</v>
      </c>
      <c r="F5103">
        <v>130.30000000000001</v>
      </c>
      <c r="G5103">
        <f>(Cpi_[[#This Row],[Value]]-F5102)/F5102</f>
        <v>1.6380655226209226E-2</v>
      </c>
      <c r="H5103" t="e" cm="1" vm="1">
        <f t="array" aca="1" ref="H5103" ca="1">VLOOKUP(Cpi_[[#This Row],[Year]:[Month]],crudeoil[],3,FALSE)</f>
        <v>#VALUE!</v>
      </c>
    </row>
    <row r="5104" spans="1:8" hidden="1" x14ac:dyDescent="0.3">
      <c r="A5104" t="s">
        <v>34</v>
      </c>
      <c r="B5104">
        <v>2018</v>
      </c>
      <c r="C5104" t="s">
        <v>36</v>
      </c>
      <c r="D5104" t="s">
        <v>29</v>
      </c>
      <c r="E5104" t="e" cm="1">
        <f t="array" aca="1" ref="E5104" ca="1">VLGeneral indexGeneral indexKUP(Cpi_[[#This Row],[Attribute]],#REF!,2,FALSE)</f>
        <v>#NAME?</v>
      </c>
      <c r="F5104">
        <v>136.5</v>
      </c>
      <c r="G5104">
        <f>(Cpi_[[#This Row],[Value]]-F5103)/F5103</f>
        <v>4.7582501918649177E-2</v>
      </c>
      <c r="H5104" t="e" cm="1" vm="1">
        <f t="array" aca="1" ref="H5104" ca="1">VLOOKUP(Cpi_[[#This Row],[Year]:[Month]],crudeoil[],3,FALSE)</f>
        <v>#VALUE!</v>
      </c>
    </row>
    <row r="5105" spans="1:8" hidden="1" x14ac:dyDescent="0.3">
      <c r="A5105" t="s">
        <v>30</v>
      </c>
      <c r="B5105">
        <v>2018</v>
      </c>
      <c r="C5105" t="s">
        <v>37</v>
      </c>
      <c r="D5105" t="s">
        <v>3</v>
      </c>
      <c r="E5105" t="e">
        <f>VLOOKUP(Cpi_[[#This Row],[Attribute]],#REF!,2,FALSE)</f>
        <v>#REF!</v>
      </c>
      <c r="F5105">
        <v>137.1</v>
      </c>
      <c r="G5105">
        <f>(Cpi_[[#This Row],[Value]]-F5104)/F5104</f>
        <v>4.395604395604354E-3</v>
      </c>
      <c r="H5105" t="e" cm="1" vm="1">
        <f t="array" aca="1" ref="H5105" ca="1">VLOOKUP(Cpi_[[#This Row],[Year]:[Month]],crudeoil[],3,FALSE)</f>
        <v>#VALUE!</v>
      </c>
    </row>
    <row r="5106" spans="1:8" hidden="1" x14ac:dyDescent="0.3">
      <c r="A5106" t="s">
        <v>30</v>
      </c>
      <c r="B5106">
        <v>2018</v>
      </c>
      <c r="C5106" t="s">
        <v>37</v>
      </c>
      <c r="D5106" t="s">
        <v>4</v>
      </c>
      <c r="E5106" t="e">
        <f>VLOOKUP(Cpi_[[#This Row],[Attribute]],#REF!,2,FALSE)</f>
        <v>#REF!</v>
      </c>
      <c r="F5106">
        <v>144.5</v>
      </c>
      <c r="G5106">
        <f>(Cpi_[[#This Row],[Value]]-F5105)/F5105</f>
        <v>5.3975200583515723E-2</v>
      </c>
      <c r="H5106" t="e" cm="1" vm="1">
        <f t="array" aca="1" ref="H5106" ca="1">VLOOKUP(Cpi_[[#This Row],[Year]:[Month]],crudeoil[],3,FALSE)</f>
        <v>#VALUE!</v>
      </c>
    </row>
    <row r="5107" spans="1:8" hidden="1" x14ac:dyDescent="0.3">
      <c r="A5107" t="s">
        <v>30</v>
      </c>
      <c r="B5107">
        <v>2018</v>
      </c>
      <c r="C5107" t="s">
        <v>37</v>
      </c>
      <c r="D5107" t="s">
        <v>5</v>
      </c>
      <c r="E5107" t="e">
        <f>VLOOKUP(Cpi_[[#This Row],[Attribute]],#REF!,2,FALSE)</f>
        <v>#REF!</v>
      </c>
      <c r="F5107">
        <v>135.9</v>
      </c>
      <c r="G5107">
        <f>(Cpi_[[#This Row],[Value]]-F5106)/F5106</f>
        <v>-5.9515570934256017E-2</v>
      </c>
      <c r="H5107" t="e" cm="1" vm="1">
        <f t="array" aca="1" ref="H5107" ca="1">VLOOKUP(Cpi_[[#This Row],[Year]:[Month]],crudeoil[],3,FALSE)</f>
        <v>#VALUE!</v>
      </c>
    </row>
    <row r="5108" spans="1:8" hidden="1" x14ac:dyDescent="0.3">
      <c r="A5108" t="s">
        <v>30</v>
      </c>
      <c r="B5108">
        <v>2018</v>
      </c>
      <c r="C5108" t="s">
        <v>37</v>
      </c>
      <c r="D5108" t="s">
        <v>6</v>
      </c>
      <c r="E5108" t="e">
        <f>VLOOKUP(Cpi_[[#This Row],[Attribute]],#REF!,2,FALSE)</f>
        <v>#REF!</v>
      </c>
      <c r="F5108">
        <v>142.4</v>
      </c>
      <c r="G5108">
        <f>(Cpi_[[#This Row],[Value]]-F5107)/F5107</f>
        <v>4.7829286239882265E-2</v>
      </c>
      <c r="H5108" t="e" cm="1" vm="1">
        <f t="array" aca="1" ref="H5108" ca="1">VLOOKUP(Cpi_[[#This Row],[Year]:[Month]],crudeoil[],3,FALSE)</f>
        <v>#VALUE!</v>
      </c>
    </row>
    <row r="5109" spans="1:8" hidden="1" x14ac:dyDescent="0.3">
      <c r="A5109" t="s">
        <v>30</v>
      </c>
      <c r="B5109">
        <v>2018</v>
      </c>
      <c r="C5109" t="s">
        <v>37</v>
      </c>
      <c r="D5109" t="s">
        <v>7</v>
      </c>
      <c r="E5109" t="e">
        <f>VLOOKUP(Cpi_[[#This Row],[Attribute]],#REF!,2,FALSE)</f>
        <v>#REF!</v>
      </c>
      <c r="F5109">
        <v>123.5</v>
      </c>
      <c r="G5109">
        <f>(Cpi_[[#This Row],[Value]]-F5108)/F5108</f>
        <v>-0.13272471910112363</v>
      </c>
      <c r="H5109" t="e" cm="1" vm="1">
        <f t="array" aca="1" ref="H5109" ca="1">VLOOKUP(Cpi_[[#This Row],[Year]:[Month]],crudeoil[],3,FALSE)</f>
        <v>#VALUE!</v>
      </c>
    </row>
    <row r="5110" spans="1:8" hidden="1" x14ac:dyDescent="0.3">
      <c r="A5110" t="s">
        <v>30</v>
      </c>
      <c r="B5110">
        <v>2018</v>
      </c>
      <c r="C5110" t="s">
        <v>37</v>
      </c>
      <c r="D5110" t="s">
        <v>8</v>
      </c>
      <c r="E5110" t="e">
        <f>VLOOKUP(Cpi_[[#This Row],[Attribute]],#REF!,2,FALSE)</f>
        <v>#REF!</v>
      </c>
      <c r="F5110">
        <v>156.4</v>
      </c>
      <c r="G5110">
        <f>(Cpi_[[#This Row],[Value]]-F5109)/F5109</f>
        <v>0.26639676113360328</v>
      </c>
      <c r="H5110" t="e" cm="1" vm="1">
        <f t="array" aca="1" ref="H5110" ca="1">VLOOKUP(Cpi_[[#This Row],[Year]:[Month]],crudeoil[],3,FALSE)</f>
        <v>#VALUE!</v>
      </c>
    </row>
    <row r="5111" spans="1:8" hidden="1" x14ac:dyDescent="0.3">
      <c r="A5111" t="s">
        <v>30</v>
      </c>
      <c r="B5111">
        <v>2018</v>
      </c>
      <c r="C5111" t="s">
        <v>37</v>
      </c>
      <c r="D5111" t="s">
        <v>9</v>
      </c>
      <c r="E5111" t="e">
        <f>VLOOKUP(Cpi_[[#This Row],[Attribute]],#REF!,2,FALSE)</f>
        <v>#REF!</v>
      </c>
      <c r="F5111">
        <v>135.1</v>
      </c>
      <c r="G5111">
        <f>(Cpi_[[#This Row],[Value]]-F5110)/F5110</f>
        <v>-0.13618925831202053</v>
      </c>
      <c r="H5111" t="e" cm="1" vm="1">
        <f t="array" aca="1" ref="H5111" ca="1">VLOOKUP(Cpi_[[#This Row],[Year]:[Month]],crudeoil[],3,FALSE)</f>
        <v>#VALUE!</v>
      </c>
    </row>
    <row r="5112" spans="1:8" hidden="1" x14ac:dyDescent="0.3">
      <c r="A5112" t="s">
        <v>30</v>
      </c>
      <c r="B5112">
        <v>2018</v>
      </c>
      <c r="C5112" t="s">
        <v>37</v>
      </c>
      <c r="D5112" t="s">
        <v>10</v>
      </c>
      <c r="E5112" t="e">
        <f>VLOOKUP(Cpi_[[#This Row],[Attribute]],#REF!,2,FALSE)</f>
        <v>#REF!</v>
      </c>
      <c r="F5112">
        <v>128.4</v>
      </c>
      <c r="G5112">
        <f>(Cpi_[[#This Row],[Value]]-F5111)/F5111</f>
        <v>-4.9592894152479562E-2</v>
      </c>
      <c r="H5112" t="e" cm="1" vm="1">
        <f t="array" aca="1" ref="H5112" ca="1">VLOOKUP(Cpi_[[#This Row],[Year]:[Month]],crudeoil[],3,FALSE)</f>
        <v>#VALUE!</v>
      </c>
    </row>
    <row r="5113" spans="1:8" hidden="1" x14ac:dyDescent="0.3">
      <c r="A5113" t="s">
        <v>30</v>
      </c>
      <c r="B5113">
        <v>2018</v>
      </c>
      <c r="C5113" t="s">
        <v>37</v>
      </c>
      <c r="D5113" t="s">
        <v>11</v>
      </c>
      <c r="E5113" t="e">
        <f>VLOOKUP(Cpi_[[#This Row],[Attribute]],#REF!,2,FALSE)</f>
        <v>#REF!</v>
      </c>
      <c r="F5113">
        <v>115.2</v>
      </c>
      <c r="G5113">
        <f>(Cpi_[[#This Row],[Value]]-F5112)/F5112</f>
        <v>-0.10280373831775702</v>
      </c>
      <c r="H5113" t="e" cm="1" vm="1">
        <f t="array" aca="1" ref="H5113" ca="1">VLOOKUP(Cpi_[[#This Row],[Year]:[Month]],crudeoil[],3,FALSE)</f>
        <v>#VALUE!</v>
      </c>
    </row>
    <row r="5114" spans="1:8" hidden="1" x14ac:dyDescent="0.3">
      <c r="A5114" t="s">
        <v>30</v>
      </c>
      <c r="B5114">
        <v>2018</v>
      </c>
      <c r="C5114" t="s">
        <v>37</v>
      </c>
      <c r="D5114" t="s">
        <v>12</v>
      </c>
      <c r="E5114" t="e">
        <f>VLOOKUP(Cpi_[[#This Row],[Attribute]],#REF!,2,FALSE)</f>
        <v>#REF!</v>
      </c>
      <c r="F5114">
        <v>137.19999999999999</v>
      </c>
      <c r="G5114">
        <f>(Cpi_[[#This Row],[Value]]-F5113)/F5113</f>
        <v>0.1909722222222221</v>
      </c>
      <c r="H5114" t="e" cm="1" vm="1">
        <f t="array" aca="1" ref="H5114" ca="1">VLOOKUP(Cpi_[[#This Row],[Year]:[Month]],crudeoil[],3,FALSE)</f>
        <v>#VALUE!</v>
      </c>
    </row>
    <row r="5115" spans="1:8" hidden="1" x14ac:dyDescent="0.3">
      <c r="A5115" t="s">
        <v>30</v>
      </c>
      <c r="B5115">
        <v>2018</v>
      </c>
      <c r="C5115" t="s">
        <v>37</v>
      </c>
      <c r="D5115" t="s">
        <v>13</v>
      </c>
      <c r="E5115" t="e">
        <f>VLOOKUP(Cpi_[[#This Row],[Attribute]],#REF!,2,FALSE)</f>
        <v>#REF!</v>
      </c>
      <c r="F5115">
        <v>131.9</v>
      </c>
      <c r="G5115">
        <f>(Cpi_[[#This Row],[Value]]-F5114)/F5114</f>
        <v>-3.8629737609329327E-2</v>
      </c>
      <c r="H5115" t="e" cm="1" vm="1">
        <f t="array" aca="1" ref="H5115" ca="1">VLOOKUP(Cpi_[[#This Row],[Year]:[Month]],crudeoil[],3,FALSE)</f>
        <v>#VALUE!</v>
      </c>
    </row>
    <row r="5116" spans="1:8" hidden="1" x14ac:dyDescent="0.3">
      <c r="A5116" t="s">
        <v>30</v>
      </c>
      <c r="B5116">
        <v>2018</v>
      </c>
      <c r="C5116" t="s">
        <v>37</v>
      </c>
      <c r="D5116" t="s">
        <v>14</v>
      </c>
      <c r="E5116" t="e">
        <f>VLOOKUP(Cpi_[[#This Row],[Attribute]],#REF!,2,FALSE)</f>
        <v>#REF!</v>
      </c>
      <c r="F5116">
        <v>153.80000000000001</v>
      </c>
      <c r="G5116">
        <f>(Cpi_[[#This Row],[Value]]-F5115)/F5115</f>
        <v>0.16603487490523128</v>
      </c>
      <c r="H5116" t="e" cm="1" vm="1">
        <f t="array" aca="1" ref="H5116" ca="1">VLOOKUP(Cpi_[[#This Row],[Year]:[Month]],crudeoil[],3,FALSE)</f>
        <v>#VALUE!</v>
      </c>
    </row>
    <row r="5117" spans="1:8" hidden="1" x14ac:dyDescent="0.3">
      <c r="A5117" t="s">
        <v>30</v>
      </c>
      <c r="B5117">
        <v>2018</v>
      </c>
      <c r="C5117" t="s">
        <v>37</v>
      </c>
      <c r="D5117" t="s">
        <v>15</v>
      </c>
      <c r="E5117" t="e">
        <f>VLOOKUP(Cpi_[[#This Row],[Attribute]],#REF!,2,FALSE)</f>
        <v>#REF!</v>
      </c>
      <c r="F5117">
        <v>138.6</v>
      </c>
      <c r="G5117">
        <f>(Cpi_[[#This Row],[Value]]-F5116)/F5116</f>
        <v>-9.8829648894668498E-2</v>
      </c>
      <c r="H5117" t="e" cm="1" vm="1">
        <f t="array" aca="1" ref="H5117" ca="1">VLOOKUP(Cpi_[[#This Row],[Year]:[Month]],crudeoil[],3,FALSE)</f>
        <v>#VALUE!</v>
      </c>
    </row>
    <row r="5118" spans="1:8" hidden="1" x14ac:dyDescent="0.3">
      <c r="A5118" t="s">
        <v>30</v>
      </c>
      <c r="B5118">
        <v>2018</v>
      </c>
      <c r="C5118" t="s">
        <v>37</v>
      </c>
      <c r="D5118" t="s">
        <v>16</v>
      </c>
      <c r="E5118" t="e">
        <f>VLOOKUP(Cpi_[[#This Row],[Attribute]],#REF!,2,FALSE)</f>
        <v>#REF!</v>
      </c>
      <c r="F5118">
        <v>156.1</v>
      </c>
      <c r="G5118">
        <f>(Cpi_[[#This Row],[Value]]-F5117)/F5117</f>
        <v>0.12626262626262627</v>
      </c>
      <c r="H5118" t="e" cm="1" vm="1">
        <f t="array" aca="1" ref="H5118" ca="1">VLOOKUP(Cpi_[[#This Row],[Year]:[Month]],crudeoil[],3,FALSE)</f>
        <v>#VALUE!</v>
      </c>
    </row>
    <row r="5119" spans="1:8" hidden="1" x14ac:dyDescent="0.3">
      <c r="A5119" t="s">
        <v>30</v>
      </c>
      <c r="B5119">
        <v>2018</v>
      </c>
      <c r="C5119" t="s">
        <v>37</v>
      </c>
      <c r="D5119" t="s">
        <v>17</v>
      </c>
      <c r="E5119" t="e">
        <f>VLOOKUP(Cpi_[[#This Row],[Attribute]],#REF!,2,FALSE)</f>
        <v>#REF!</v>
      </c>
      <c r="F5119">
        <v>150.1</v>
      </c>
      <c r="G5119">
        <f>(Cpi_[[#This Row],[Value]]-F5118)/F5118</f>
        <v>-3.8436899423446511E-2</v>
      </c>
      <c r="H5119" t="e" cm="1" vm="1">
        <f t="array" aca="1" ref="H5119" ca="1">VLOOKUP(Cpi_[[#This Row],[Year]:[Month]],crudeoil[],3,FALSE)</f>
        <v>#VALUE!</v>
      </c>
    </row>
    <row r="5120" spans="1:8" hidden="1" x14ac:dyDescent="0.3">
      <c r="A5120" t="s">
        <v>30</v>
      </c>
      <c r="B5120">
        <v>2018</v>
      </c>
      <c r="C5120" t="s">
        <v>37</v>
      </c>
      <c r="D5120" t="s">
        <v>18</v>
      </c>
      <c r="E5120" t="e">
        <f>VLOOKUP(Cpi_[[#This Row],[Attribute]],#REF!,2,FALSE)</f>
        <v>#REF!</v>
      </c>
      <c r="F5120">
        <v>143.30000000000001</v>
      </c>
      <c r="G5120">
        <f>(Cpi_[[#This Row],[Value]]-F5119)/F5119</f>
        <v>-4.5303131245836001E-2</v>
      </c>
      <c r="H5120" t="e" cm="1" vm="1">
        <f t="array" aca="1" ref="H5120" ca="1">VLOOKUP(Cpi_[[#This Row],[Year]:[Month]],crudeoil[],3,FALSE)</f>
        <v>#VALUE!</v>
      </c>
    </row>
    <row r="5121" spans="1:8" hidden="1" x14ac:dyDescent="0.3">
      <c r="A5121" t="s">
        <v>30</v>
      </c>
      <c r="B5121">
        <v>2018</v>
      </c>
      <c r="C5121" t="s">
        <v>37</v>
      </c>
      <c r="D5121" t="s">
        <v>19</v>
      </c>
      <c r="E5121" t="e">
        <f>VLOOKUP(Cpi_[[#This Row],[Attribute]],#REF!,2,FALSE)</f>
        <v>#REF!</v>
      </c>
      <c r="F5121">
        <v>149.1</v>
      </c>
      <c r="G5121">
        <f>(Cpi_[[#This Row],[Value]]-F5120)/F5120</f>
        <v>4.0474528960223188E-2</v>
      </c>
      <c r="H5121" t="e" cm="1" vm="1">
        <f t="array" aca="1" ref="H5121" ca="1">VLOOKUP(Cpi_[[#This Row],[Year]:[Month]],crudeoil[],3,FALSE)</f>
        <v>#VALUE!</v>
      </c>
    </row>
    <row r="5122" spans="1:8" hidden="1" x14ac:dyDescent="0.3">
      <c r="A5122" t="s">
        <v>30</v>
      </c>
      <c r="B5122">
        <v>2018</v>
      </c>
      <c r="C5122" t="s">
        <v>37</v>
      </c>
      <c r="D5122" t="s">
        <v>20</v>
      </c>
      <c r="E5122" t="e">
        <f>VLOOKUP(Cpi_[[#This Row],[Attribute]],#REF!,2,FALSE)</f>
        <v>#REF!</v>
      </c>
      <c r="F5122" t="s">
        <v>32</v>
      </c>
      <c r="G5122" t="e">
        <f>(Cpi_[[#This Row],[Value]]-F5121)/F5121</f>
        <v>#VALUE!</v>
      </c>
      <c r="H5122" t="e" cm="1" vm="1">
        <f t="array" aca="1" ref="H5122" ca="1">VLOOKUP(Cpi_[[#This Row],[Year]:[Month]],crudeoil[],3,FALSE)</f>
        <v>#VALUE!</v>
      </c>
    </row>
    <row r="5123" spans="1:8" hidden="1" x14ac:dyDescent="0.3">
      <c r="A5123" t="s">
        <v>30</v>
      </c>
      <c r="B5123">
        <v>2018</v>
      </c>
      <c r="C5123" t="s">
        <v>37</v>
      </c>
      <c r="D5123" t="s">
        <v>21</v>
      </c>
      <c r="E5123" t="e">
        <f>VLOOKUP(Cpi_[[#This Row],[Attribute]],#REF!,2,FALSE)</f>
        <v>#REF!</v>
      </c>
      <c r="F5123">
        <v>143.80000000000001</v>
      </c>
      <c r="G5123" t="e">
        <f>(Cpi_[[#This Row],[Value]]-F5122)/F5122</f>
        <v>#VALUE!</v>
      </c>
      <c r="H5123" t="e" cm="1" vm="1">
        <f t="array" aca="1" ref="H5123" ca="1">VLOOKUP(Cpi_[[#This Row],[Year]:[Month]],crudeoil[],3,FALSE)</f>
        <v>#VALUE!</v>
      </c>
    </row>
    <row r="5124" spans="1:8" hidden="1" x14ac:dyDescent="0.3">
      <c r="A5124" t="s">
        <v>30</v>
      </c>
      <c r="B5124">
        <v>2018</v>
      </c>
      <c r="C5124" t="s">
        <v>37</v>
      </c>
      <c r="D5124" t="s">
        <v>22</v>
      </c>
      <c r="E5124" t="e">
        <f>VLOOKUP(Cpi_[[#This Row],[Attribute]],#REF!,2,FALSE)</f>
        <v>#REF!</v>
      </c>
      <c r="F5124">
        <v>140.9</v>
      </c>
      <c r="G5124">
        <f>(Cpi_[[#This Row],[Value]]-F5123)/F5123</f>
        <v>-2.0166898470097394E-2</v>
      </c>
      <c r="H5124" t="e" cm="1" vm="1">
        <f t="array" aca="1" ref="H5124" ca="1">VLOOKUP(Cpi_[[#This Row],[Year]:[Month]],crudeoil[],3,FALSE)</f>
        <v>#VALUE!</v>
      </c>
    </row>
    <row r="5125" spans="1:8" hidden="1" x14ac:dyDescent="0.3">
      <c r="A5125" t="s">
        <v>30</v>
      </c>
      <c r="B5125">
        <v>2018</v>
      </c>
      <c r="C5125" t="s">
        <v>37</v>
      </c>
      <c r="D5125" t="s">
        <v>23</v>
      </c>
      <c r="E5125" t="e">
        <f>VLOOKUP(Cpi_[[#This Row],[Attribute]],#REF!,2,FALSE)</f>
        <v>#REF!</v>
      </c>
      <c r="F5125">
        <v>137.6</v>
      </c>
      <c r="G5125">
        <f>(Cpi_[[#This Row],[Value]]-F5124)/F5124</f>
        <v>-2.3420865862313778E-2</v>
      </c>
      <c r="H5125" t="e" cm="1" vm="1">
        <f t="array" aca="1" ref="H5125" ca="1">VLOOKUP(Cpi_[[#This Row],[Year]:[Month]],crudeoil[],3,FALSE)</f>
        <v>#VALUE!</v>
      </c>
    </row>
    <row r="5126" spans="1:8" hidden="1" x14ac:dyDescent="0.3">
      <c r="A5126" t="s">
        <v>30</v>
      </c>
      <c r="B5126">
        <v>2018</v>
      </c>
      <c r="C5126" t="s">
        <v>37</v>
      </c>
      <c r="D5126" t="s">
        <v>24</v>
      </c>
      <c r="E5126" t="e">
        <f>VLOOKUP(Cpi_[[#This Row],[Attribute]],#REF!,2,FALSE)</f>
        <v>#REF!</v>
      </c>
      <c r="F5126">
        <v>125.3</v>
      </c>
      <c r="G5126">
        <f>(Cpi_[[#This Row],[Value]]-F5125)/F5125</f>
        <v>-8.9389534883720909E-2</v>
      </c>
      <c r="H5126" t="e" cm="1" vm="1">
        <f t="array" aca="1" ref="H5126" ca="1">VLOOKUP(Cpi_[[#This Row],[Year]:[Month]],crudeoil[],3,FALSE)</f>
        <v>#VALUE!</v>
      </c>
    </row>
    <row r="5127" spans="1:8" hidden="1" x14ac:dyDescent="0.3">
      <c r="A5127" t="s">
        <v>30</v>
      </c>
      <c r="B5127">
        <v>2018</v>
      </c>
      <c r="C5127" t="s">
        <v>37</v>
      </c>
      <c r="D5127" t="s">
        <v>25</v>
      </c>
      <c r="E5127" t="e">
        <f>VLOOKUP(Cpi_[[#This Row],[Attribute]],#REF!,2,FALSE)</f>
        <v>#REF!</v>
      </c>
      <c r="F5127">
        <v>136</v>
      </c>
      <c r="G5127">
        <f>(Cpi_[[#This Row],[Value]]-F5126)/F5126</f>
        <v>8.5395051875498826E-2</v>
      </c>
      <c r="H5127" t="e" cm="1" vm="1">
        <f t="array" aca="1" ref="H5127" ca="1">VLOOKUP(Cpi_[[#This Row],[Year]:[Month]],crudeoil[],3,FALSE)</f>
        <v>#VALUE!</v>
      </c>
    </row>
    <row r="5128" spans="1:8" hidden="1" x14ac:dyDescent="0.3">
      <c r="A5128" t="s">
        <v>30</v>
      </c>
      <c r="B5128">
        <v>2018</v>
      </c>
      <c r="C5128" t="s">
        <v>37</v>
      </c>
      <c r="D5128" t="s">
        <v>26</v>
      </c>
      <c r="E5128" t="e">
        <f>VLOOKUP(Cpi_[[#This Row],[Attribute]],#REF!,2,FALSE)</f>
        <v>#REF!</v>
      </c>
      <c r="F5128">
        <v>143.69999999999999</v>
      </c>
      <c r="G5128">
        <f>(Cpi_[[#This Row],[Value]]-F5127)/F5127</f>
        <v>5.6617647058823446E-2</v>
      </c>
      <c r="H5128" t="e" cm="1" vm="1">
        <f t="array" aca="1" ref="H5128" ca="1">VLOOKUP(Cpi_[[#This Row],[Year]:[Month]],crudeoil[],3,FALSE)</f>
        <v>#VALUE!</v>
      </c>
    </row>
    <row r="5129" spans="1:8" hidden="1" x14ac:dyDescent="0.3">
      <c r="A5129" t="s">
        <v>30</v>
      </c>
      <c r="B5129">
        <v>2018</v>
      </c>
      <c r="C5129" t="s">
        <v>37</v>
      </c>
      <c r="D5129" t="s">
        <v>27</v>
      </c>
      <c r="E5129" t="e">
        <f>VLOOKUP(Cpi_[[#This Row],[Attribute]],#REF!,2,FALSE)</f>
        <v>#REF!</v>
      </c>
      <c r="F5129">
        <v>130.4</v>
      </c>
      <c r="G5129">
        <f>(Cpi_[[#This Row],[Value]]-F5128)/F5128</f>
        <v>-9.255393180236593E-2</v>
      </c>
      <c r="H5129" t="e" cm="1" vm="1">
        <f t="array" aca="1" ref="H5129" ca="1">VLOOKUP(Cpi_[[#This Row],[Year]:[Month]],crudeoil[],3,FALSE)</f>
        <v>#VALUE!</v>
      </c>
    </row>
    <row r="5130" spans="1:8" hidden="1" x14ac:dyDescent="0.3">
      <c r="A5130" t="s">
        <v>30</v>
      </c>
      <c r="B5130">
        <v>2018</v>
      </c>
      <c r="C5130" t="s">
        <v>37</v>
      </c>
      <c r="D5130" t="s">
        <v>28</v>
      </c>
      <c r="E5130" t="e">
        <f>VLOOKUP(Cpi_[[#This Row],[Attribute]],#REF!,2,FALSE)</f>
        <v>#REF!</v>
      </c>
      <c r="F5130">
        <v>134.19999999999999</v>
      </c>
      <c r="G5130">
        <f>(Cpi_[[#This Row],[Value]]-F5129)/F5129</f>
        <v>2.9141104294478394E-2</v>
      </c>
      <c r="H5130" t="e" cm="1" vm="1">
        <f t="array" aca="1" ref="H5130" ca="1">VLOOKUP(Cpi_[[#This Row],[Year]:[Month]],crudeoil[],3,FALSE)</f>
        <v>#VALUE!</v>
      </c>
    </row>
    <row r="5131" spans="1:8" hidden="1" x14ac:dyDescent="0.3">
      <c r="A5131" t="s">
        <v>30</v>
      </c>
      <c r="B5131">
        <v>2018</v>
      </c>
      <c r="C5131" t="s">
        <v>37</v>
      </c>
      <c r="D5131" t="s">
        <v>29</v>
      </c>
      <c r="E5131" t="e" cm="1">
        <f t="array" aca="1" ref="E5131" ca="1">VLGeneral indexGeneral indexKUP(Cpi_[[#This Row],[Attribute]],#REF!,2,FALSE)</f>
        <v>#NAME?</v>
      </c>
      <c r="F5131">
        <v>139.1</v>
      </c>
      <c r="G5131">
        <f>(Cpi_[[#This Row],[Value]]-F5130)/F5130</f>
        <v>3.6512667660208692E-2</v>
      </c>
      <c r="H5131" t="e" cm="1" vm="1">
        <f t="array" aca="1" ref="H5131" ca="1">VLOOKUP(Cpi_[[#This Row],[Year]:[Month]],crudeoil[],3,FALSE)</f>
        <v>#VALUE!</v>
      </c>
    </row>
    <row r="5132" spans="1:8" hidden="1" x14ac:dyDescent="0.3">
      <c r="A5132" t="s">
        <v>33</v>
      </c>
      <c r="B5132">
        <v>2018</v>
      </c>
      <c r="C5132" t="s">
        <v>37</v>
      </c>
      <c r="D5132" t="s">
        <v>3</v>
      </c>
      <c r="E5132" t="e">
        <f>VLOOKUP(Cpi_[[#This Row],[Attribute]],#REF!,2,FALSE)</f>
        <v>#REF!</v>
      </c>
      <c r="F5132">
        <v>135</v>
      </c>
      <c r="G5132">
        <f>(Cpi_[[#This Row],[Value]]-F5131)/F5131</f>
        <v>-2.9475197699496726E-2</v>
      </c>
      <c r="H5132" t="e" cm="1" vm="1">
        <f t="array" aca="1" ref="H5132" ca="1">VLOOKUP(Cpi_[[#This Row],[Year]:[Month]],crudeoil[],3,FALSE)</f>
        <v>#VALUE!</v>
      </c>
    </row>
    <row r="5133" spans="1:8" hidden="1" x14ac:dyDescent="0.3">
      <c r="A5133" t="s">
        <v>33</v>
      </c>
      <c r="B5133">
        <v>2018</v>
      </c>
      <c r="C5133" t="s">
        <v>37</v>
      </c>
      <c r="D5133" t="s">
        <v>4</v>
      </c>
      <c r="E5133" t="e">
        <f>VLOOKUP(Cpi_[[#This Row],[Attribute]],#REF!,2,FALSE)</f>
        <v>#REF!</v>
      </c>
      <c r="F5133">
        <v>144.30000000000001</v>
      </c>
      <c r="G5133">
        <f>(Cpi_[[#This Row],[Value]]-F5132)/F5132</f>
        <v>6.8888888888888972E-2</v>
      </c>
      <c r="H5133" t="e" cm="1" vm="1">
        <f t="array" aca="1" ref="H5133" ca="1">VLOOKUP(Cpi_[[#This Row],[Year]:[Month]],crudeoil[],3,FALSE)</f>
        <v>#VALUE!</v>
      </c>
    </row>
    <row r="5134" spans="1:8" hidden="1" x14ac:dyDescent="0.3">
      <c r="A5134" t="s">
        <v>33</v>
      </c>
      <c r="B5134">
        <v>2018</v>
      </c>
      <c r="C5134" t="s">
        <v>37</v>
      </c>
      <c r="D5134" t="s">
        <v>5</v>
      </c>
      <c r="E5134" t="e">
        <f>VLOOKUP(Cpi_[[#This Row],[Attribute]],#REF!,2,FALSE)</f>
        <v>#REF!</v>
      </c>
      <c r="F5134">
        <v>130.80000000000001</v>
      </c>
      <c r="G5134">
        <f>(Cpi_[[#This Row],[Value]]-F5133)/F5133</f>
        <v>-9.3555093555093546E-2</v>
      </c>
      <c r="H5134" t="e" cm="1" vm="1">
        <f t="array" aca="1" ref="H5134" ca="1">VLOOKUP(Cpi_[[#This Row],[Year]:[Month]],crudeoil[],3,FALSE)</f>
        <v>#VALUE!</v>
      </c>
    </row>
    <row r="5135" spans="1:8" hidden="1" x14ac:dyDescent="0.3">
      <c r="A5135" t="s">
        <v>33</v>
      </c>
      <c r="B5135">
        <v>2018</v>
      </c>
      <c r="C5135" t="s">
        <v>37</v>
      </c>
      <c r="D5135" t="s">
        <v>6</v>
      </c>
      <c r="E5135" t="e">
        <f>VLOOKUP(Cpi_[[#This Row],[Attribute]],#REF!,2,FALSE)</f>
        <v>#REF!</v>
      </c>
      <c r="F5135">
        <v>140.30000000000001</v>
      </c>
      <c r="G5135">
        <f>(Cpi_[[#This Row],[Value]]-F5134)/F5134</f>
        <v>7.2629969418960244E-2</v>
      </c>
      <c r="H5135" t="e" cm="1" vm="1">
        <f t="array" aca="1" ref="H5135" ca="1">VLOOKUP(Cpi_[[#This Row],[Year]:[Month]],crudeoil[],3,FALSE)</f>
        <v>#VALUE!</v>
      </c>
    </row>
    <row r="5136" spans="1:8" hidden="1" x14ac:dyDescent="0.3">
      <c r="A5136" t="s">
        <v>33</v>
      </c>
      <c r="B5136">
        <v>2018</v>
      </c>
      <c r="C5136" t="s">
        <v>37</v>
      </c>
      <c r="D5136" t="s">
        <v>7</v>
      </c>
      <c r="E5136" t="e">
        <f>VLOOKUP(Cpi_[[#This Row],[Attribute]],#REF!,2,FALSE)</f>
        <v>#REF!</v>
      </c>
      <c r="F5136">
        <v>116.6</v>
      </c>
      <c r="G5136">
        <f>(Cpi_[[#This Row],[Value]]-F5135)/F5135</f>
        <v>-0.16892373485388465</v>
      </c>
      <c r="H5136" t="e" cm="1" vm="1">
        <f t="array" aca="1" ref="H5136" ca="1">VLOOKUP(Cpi_[[#This Row],[Year]:[Month]],crudeoil[],3,FALSE)</f>
        <v>#VALUE!</v>
      </c>
    </row>
    <row r="5137" spans="1:8" hidden="1" x14ac:dyDescent="0.3">
      <c r="A5137" t="s">
        <v>33</v>
      </c>
      <c r="B5137">
        <v>2018</v>
      </c>
      <c r="C5137" t="s">
        <v>37</v>
      </c>
      <c r="D5137" t="s">
        <v>8</v>
      </c>
      <c r="E5137" t="e">
        <f>VLOOKUP(Cpi_[[#This Row],[Attribute]],#REF!,2,FALSE)</f>
        <v>#REF!</v>
      </c>
      <c r="F5137">
        <v>150.1</v>
      </c>
      <c r="G5137">
        <f>(Cpi_[[#This Row],[Value]]-F5136)/F5136</f>
        <v>0.28730703259005147</v>
      </c>
      <c r="H5137" t="e" cm="1" vm="1">
        <f t="array" aca="1" ref="H5137" ca="1">VLOOKUP(Cpi_[[#This Row],[Year]:[Month]],crudeoil[],3,FALSE)</f>
        <v>#VALUE!</v>
      </c>
    </row>
    <row r="5138" spans="1:8" hidden="1" x14ac:dyDescent="0.3">
      <c r="A5138" t="s">
        <v>33</v>
      </c>
      <c r="B5138">
        <v>2018</v>
      </c>
      <c r="C5138" t="s">
        <v>37</v>
      </c>
      <c r="D5138" t="s">
        <v>9</v>
      </c>
      <c r="E5138" t="e">
        <f>VLOOKUP(Cpi_[[#This Row],[Attribute]],#REF!,2,FALSE)</f>
        <v>#REF!</v>
      </c>
      <c r="F5138">
        <v>127.6</v>
      </c>
      <c r="G5138">
        <f>(Cpi_[[#This Row],[Value]]-F5137)/F5137</f>
        <v>-0.14990006662225183</v>
      </c>
      <c r="H5138" t="e" cm="1" vm="1">
        <f t="array" aca="1" ref="H5138" ca="1">VLOOKUP(Cpi_[[#This Row],[Year]:[Month]],crudeoil[],3,FALSE)</f>
        <v>#VALUE!</v>
      </c>
    </row>
    <row r="5139" spans="1:8" hidden="1" x14ac:dyDescent="0.3">
      <c r="A5139" t="s">
        <v>33</v>
      </c>
      <c r="B5139">
        <v>2018</v>
      </c>
      <c r="C5139" t="s">
        <v>37</v>
      </c>
      <c r="D5139" t="s">
        <v>10</v>
      </c>
      <c r="E5139" t="e">
        <f>VLOOKUP(Cpi_[[#This Row],[Attribute]],#REF!,2,FALSE)</f>
        <v>#REF!</v>
      </c>
      <c r="F5139">
        <v>114</v>
      </c>
      <c r="G5139">
        <f>(Cpi_[[#This Row],[Value]]-F5138)/F5138</f>
        <v>-0.10658307210031344</v>
      </c>
      <c r="H5139" t="e" cm="1" vm="1">
        <f t="array" aca="1" ref="H5139" ca="1">VLOOKUP(Cpi_[[#This Row],[Year]:[Month]],crudeoil[],3,FALSE)</f>
        <v>#VALUE!</v>
      </c>
    </row>
    <row r="5140" spans="1:8" hidden="1" x14ac:dyDescent="0.3">
      <c r="A5140" t="s">
        <v>33</v>
      </c>
      <c r="B5140">
        <v>2018</v>
      </c>
      <c r="C5140" t="s">
        <v>37</v>
      </c>
      <c r="D5140" t="s">
        <v>11</v>
      </c>
      <c r="E5140" t="e">
        <f>VLOOKUP(Cpi_[[#This Row],[Attribute]],#REF!,2,FALSE)</f>
        <v>#REF!</v>
      </c>
      <c r="F5140">
        <v>110.6</v>
      </c>
      <c r="G5140">
        <f>(Cpi_[[#This Row],[Value]]-F5139)/F5139</f>
        <v>-2.9824561403508823E-2</v>
      </c>
      <c r="H5140" t="e" cm="1" vm="1">
        <f t="array" aca="1" ref="H5140" ca="1">VLOOKUP(Cpi_[[#This Row],[Year]:[Month]],crudeoil[],3,FALSE)</f>
        <v>#VALUE!</v>
      </c>
    </row>
    <row r="5141" spans="1:8" hidden="1" x14ac:dyDescent="0.3">
      <c r="A5141" t="s">
        <v>33</v>
      </c>
      <c r="B5141">
        <v>2018</v>
      </c>
      <c r="C5141" t="s">
        <v>37</v>
      </c>
      <c r="D5141" t="s">
        <v>12</v>
      </c>
      <c r="E5141" t="e">
        <f>VLOOKUP(Cpi_[[#This Row],[Attribute]],#REF!,2,FALSE)</f>
        <v>#REF!</v>
      </c>
      <c r="F5141">
        <v>140.19999999999999</v>
      </c>
      <c r="G5141">
        <f>(Cpi_[[#This Row],[Value]]-F5140)/F5140</f>
        <v>0.26763110307414101</v>
      </c>
      <c r="H5141" t="e" cm="1" vm="1">
        <f t="array" aca="1" ref="H5141" ca="1">VLOOKUP(Cpi_[[#This Row],[Year]:[Month]],crudeoil[],3,FALSE)</f>
        <v>#VALUE!</v>
      </c>
    </row>
    <row r="5142" spans="1:8" hidden="1" x14ac:dyDescent="0.3">
      <c r="A5142" t="s">
        <v>33</v>
      </c>
      <c r="B5142">
        <v>2018</v>
      </c>
      <c r="C5142" t="s">
        <v>37</v>
      </c>
      <c r="D5142" t="s">
        <v>13</v>
      </c>
      <c r="E5142" t="e">
        <f>VLOOKUP(Cpi_[[#This Row],[Attribute]],#REF!,2,FALSE)</f>
        <v>#REF!</v>
      </c>
      <c r="F5142">
        <v>126.5</v>
      </c>
      <c r="G5142">
        <f>(Cpi_[[#This Row],[Value]]-F5141)/F5141</f>
        <v>-9.7717546362339439E-2</v>
      </c>
      <c r="H5142" t="e" cm="1" vm="1">
        <f t="array" aca="1" ref="H5142" ca="1">VLOOKUP(Cpi_[[#This Row],[Year]:[Month]],crudeoil[],3,FALSE)</f>
        <v>#VALUE!</v>
      </c>
    </row>
    <row r="5143" spans="1:8" hidden="1" x14ac:dyDescent="0.3">
      <c r="A5143" t="s">
        <v>33</v>
      </c>
      <c r="B5143">
        <v>2018</v>
      </c>
      <c r="C5143" t="s">
        <v>37</v>
      </c>
      <c r="D5143" t="s">
        <v>14</v>
      </c>
      <c r="E5143" t="e">
        <f>VLOOKUP(Cpi_[[#This Row],[Attribute]],#REF!,2,FALSE)</f>
        <v>#REF!</v>
      </c>
      <c r="F5143">
        <v>148.30000000000001</v>
      </c>
      <c r="G5143">
        <f>(Cpi_[[#This Row],[Value]]-F5142)/F5142</f>
        <v>0.17233201581027677</v>
      </c>
      <c r="H5143" t="e" cm="1" vm="1">
        <f t="array" aca="1" ref="H5143" ca="1">VLOOKUP(Cpi_[[#This Row],[Year]:[Month]],crudeoil[],3,FALSE)</f>
        <v>#VALUE!</v>
      </c>
    </row>
    <row r="5144" spans="1:8" hidden="1" x14ac:dyDescent="0.3">
      <c r="A5144" t="s">
        <v>33</v>
      </c>
      <c r="B5144">
        <v>2018</v>
      </c>
      <c r="C5144" t="s">
        <v>37</v>
      </c>
      <c r="D5144" t="s">
        <v>15</v>
      </c>
      <c r="E5144" t="e">
        <f>VLOOKUP(Cpi_[[#This Row],[Attribute]],#REF!,2,FALSE)</f>
        <v>#REF!</v>
      </c>
      <c r="F5144">
        <v>135.69999999999999</v>
      </c>
      <c r="G5144">
        <f>(Cpi_[[#This Row],[Value]]-F5143)/F5143</f>
        <v>-8.4962913014160632E-2</v>
      </c>
      <c r="H5144" t="e" cm="1" vm="1">
        <f t="array" aca="1" ref="H5144" ca="1">VLOOKUP(Cpi_[[#This Row],[Year]:[Month]],crudeoil[],3,FALSE)</f>
        <v>#VALUE!</v>
      </c>
    </row>
    <row r="5145" spans="1:8" hidden="1" x14ac:dyDescent="0.3">
      <c r="A5145" t="s">
        <v>33</v>
      </c>
      <c r="B5145">
        <v>2018</v>
      </c>
      <c r="C5145" t="s">
        <v>37</v>
      </c>
      <c r="D5145" t="s">
        <v>16</v>
      </c>
      <c r="E5145" t="e">
        <f>VLOOKUP(Cpi_[[#This Row],[Attribute]],#REF!,2,FALSE)</f>
        <v>#REF!</v>
      </c>
      <c r="F5145">
        <v>159.19999999999999</v>
      </c>
      <c r="G5145">
        <f>(Cpi_[[#This Row],[Value]]-F5144)/F5144</f>
        <v>0.17317612380250555</v>
      </c>
      <c r="H5145" t="e" cm="1" vm="1">
        <f t="array" aca="1" ref="H5145" ca="1">VLOOKUP(Cpi_[[#This Row],[Year]:[Month]],crudeoil[],3,FALSE)</f>
        <v>#VALUE!</v>
      </c>
    </row>
    <row r="5146" spans="1:8" hidden="1" x14ac:dyDescent="0.3">
      <c r="A5146" t="s">
        <v>33</v>
      </c>
      <c r="B5146">
        <v>2018</v>
      </c>
      <c r="C5146" t="s">
        <v>37</v>
      </c>
      <c r="D5146" t="s">
        <v>17</v>
      </c>
      <c r="E5146" t="e">
        <f>VLOOKUP(Cpi_[[#This Row],[Attribute]],#REF!,2,FALSE)</f>
        <v>#REF!</v>
      </c>
      <c r="F5146">
        <v>137.80000000000001</v>
      </c>
      <c r="G5146">
        <f>(Cpi_[[#This Row],[Value]]-F5145)/F5145</f>
        <v>-0.13442211055276368</v>
      </c>
      <c r="H5146" t="e" cm="1" vm="1">
        <f t="array" aca="1" ref="H5146" ca="1">VLOOKUP(Cpi_[[#This Row],[Year]:[Month]],crudeoil[],3,FALSE)</f>
        <v>#VALUE!</v>
      </c>
    </row>
    <row r="5147" spans="1:8" hidden="1" x14ac:dyDescent="0.3">
      <c r="A5147" t="s">
        <v>33</v>
      </c>
      <c r="B5147">
        <v>2018</v>
      </c>
      <c r="C5147" t="s">
        <v>37</v>
      </c>
      <c r="D5147" t="s">
        <v>18</v>
      </c>
      <c r="E5147" t="e">
        <f>VLOOKUP(Cpi_[[#This Row],[Attribute]],#REF!,2,FALSE)</f>
        <v>#REF!</v>
      </c>
      <c r="F5147">
        <v>127.4</v>
      </c>
      <c r="G5147">
        <f>(Cpi_[[#This Row],[Value]]-F5146)/F5146</f>
        <v>-7.5471698113207586E-2</v>
      </c>
      <c r="H5147" t="e" cm="1" vm="1">
        <f t="array" aca="1" ref="H5147" ca="1">VLOOKUP(Cpi_[[#This Row],[Year]:[Month]],crudeoil[],3,FALSE)</f>
        <v>#VALUE!</v>
      </c>
    </row>
    <row r="5148" spans="1:8" hidden="1" x14ac:dyDescent="0.3">
      <c r="A5148" t="s">
        <v>33</v>
      </c>
      <c r="B5148">
        <v>2018</v>
      </c>
      <c r="C5148" t="s">
        <v>37</v>
      </c>
      <c r="D5148" t="s">
        <v>19</v>
      </c>
      <c r="E5148" t="e">
        <f>VLOOKUP(Cpi_[[#This Row],[Attribute]],#REF!,2,FALSE)</f>
        <v>#REF!</v>
      </c>
      <c r="F5148">
        <v>136.19999999999999</v>
      </c>
      <c r="G5148">
        <f>(Cpi_[[#This Row],[Value]]-F5147)/F5147</f>
        <v>6.9073783359497515E-2</v>
      </c>
      <c r="H5148" t="e" cm="1" vm="1">
        <f t="array" aca="1" ref="H5148" ca="1">VLOOKUP(Cpi_[[#This Row],[Year]:[Month]],crudeoil[],3,FALSE)</f>
        <v>#VALUE!</v>
      </c>
    </row>
    <row r="5149" spans="1:8" hidden="1" x14ac:dyDescent="0.3">
      <c r="A5149" t="s">
        <v>33</v>
      </c>
      <c r="B5149">
        <v>2018</v>
      </c>
      <c r="C5149" t="s">
        <v>37</v>
      </c>
      <c r="D5149" t="s">
        <v>20</v>
      </c>
      <c r="E5149" t="e">
        <f>VLOOKUP(Cpi_[[#This Row],[Attribute]],#REF!,2,FALSE)</f>
        <v>#REF!</v>
      </c>
      <c r="F5149">
        <v>142.9</v>
      </c>
      <c r="G5149">
        <f>(Cpi_[[#This Row],[Value]]-F5148)/F5148</f>
        <v>4.9192364170337871E-2</v>
      </c>
      <c r="H5149" t="e" cm="1" vm="1">
        <f t="array" aca="1" ref="H5149" ca="1">VLOOKUP(Cpi_[[#This Row],[Year]:[Month]],crudeoil[],3,FALSE)</f>
        <v>#VALUE!</v>
      </c>
    </row>
    <row r="5150" spans="1:8" hidden="1" x14ac:dyDescent="0.3">
      <c r="A5150" t="s">
        <v>33</v>
      </c>
      <c r="B5150">
        <v>2018</v>
      </c>
      <c r="C5150" t="s">
        <v>37</v>
      </c>
      <c r="D5150" t="s">
        <v>21</v>
      </c>
      <c r="E5150" t="e">
        <f>VLOOKUP(Cpi_[[#This Row],[Attribute]],#REF!,2,FALSE)</f>
        <v>#REF!</v>
      </c>
      <c r="F5150">
        <v>124.6</v>
      </c>
      <c r="G5150">
        <f>(Cpi_[[#This Row],[Value]]-F5149)/F5149</f>
        <v>-0.12806158152554242</v>
      </c>
      <c r="H5150" t="e" cm="1" vm="1">
        <f t="array" aca="1" ref="H5150" ca="1">VLOOKUP(Cpi_[[#This Row],[Year]:[Month]],crudeoil[],3,FALSE)</f>
        <v>#VALUE!</v>
      </c>
    </row>
    <row r="5151" spans="1:8" hidden="1" x14ac:dyDescent="0.3">
      <c r="A5151" t="s">
        <v>33</v>
      </c>
      <c r="B5151">
        <v>2018</v>
      </c>
      <c r="C5151" t="s">
        <v>37</v>
      </c>
      <c r="D5151" t="s">
        <v>22</v>
      </c>
      <c r="E5151" t="e">
        <f>VLOOKUP(Cpi_[[#This Row],[Attribute]],#REF!,2,FALSE)</f>
        <v>#REF!</v>
      </c>
      <c r="F5151">
        <v>131.80000000000001</v>
      </c>
      <c r="G5151">
        <f>(Cpi_[[#This Row],[Value]]-F5150)/F5150</f>
        <v>5.7784911717496126E-2</v>
      </c>
      <c r="H5151" t="e" cm="1" vm="1">
        <f t="array" aca="1" ref="H5151" ca="1">VLOOKUP(Cpi_[[#This Row],[Year]:[Month]],crudeoil[],3,FALSE)</f>
        <v>#VALUE!</v>
      </c>
    </row>
    <row r="5152" spans="1:8" hidden="1" x14ac:dyDescent="0.3">
      <c r="A5152" t="s">
        <v>33</v>
      </c>
      <c r="B5152">
        <v>2018</v>
      </c>
      <c r="C5152" t="s">
        <v>37</v>
      </c>
      <c r="D5152" t="s">
        <v>23</v>
      </c>
      <c r="E5152" t="e">
        <f>VLOOKUP(Cpi_[[#This Row],[Attribute]],#REF!,2,FALSE)</f>
        <v>#REF!</v>
      </c>
      <c r="F5152">
        <v>131.30000000000001</v>
      </c>
      <c r="G5152">
        <f>(Cpi_[[#This Row],[Value]]-F5151)/F5151</f>
        <v>-3.7936267071320179E-3</v>
      </c>
      <c r="H5152" t="e" cm="1" vm="1">
        <f t="array" aca="1" ref="H5152" ca="1">VLOOKUP(Cpi_[[#This Row],[Year]:[Month]],crudeoil[],3,FALSE)</f>
        <v>#VALUE!</v>
      </c>
    </row>
    <row r="5153" spans="1:8" hidden="1" x14ac:dyDescent="0.3">
      <c r="A5153" t="s">
        <v>33</v>
      </c>
      <c r="B5153">
        <v>2018</v>
      </c>
      <c r="C5153" t="s">
        <v>37</v>
      </c>
      <c r="D5153" t="s">
        <v>24</v>
      </c>
      <c r="E5153" t="e">
        <f>VLOOKUP(Cpi_[[#This Row],[Attribute]],#REF!,2,FALSE)</f>
        <v>#REF!</v>
      </c>
      <c r="F5153">
        <v>118.9</v>
      </c>
      <c r="G5153">
        <f>(Cpi_[[#This Row],[Value]]-F5152)/F5152</f>
        <v>-9.4440213252094479E-2</v>
      </c>
      <c r="H5153" t="e" cm="1" vm="1">
        <f t="array" aca="1" ref="H5153" ca="1">VLOOKUP(Cpi_[[#This Row],[Year]:[Month]],crudeoil[],3,FALSE)</f>
        <v>#VALUE!</v>
      </c>
    </row>
    <row r="5154" spans="1:8" hidden="1" x14ac:dyDescent="0.3">
      <c r="A5154" t="s">
        <v>33</v>
      </c>
      <c r="B5154">
        <v>2018</v>
      </c>
      <c r="C5154" t="s">
        <v>37</v>
      </c>
      <c r="D5154" t="s">
        <v>25</v>
      </c>
      <c r="E5154" t="e">
        <f>VLOOKUP(Cpi_[[#This Row],[Attribute]],#REF!,2,FALSE)</f>
        <v>#REF!</v>
      </c>
      <c r="F5154">
        <v>127.6</v>
      </c>
      <c r="G5154">
        <f>(Cpi_[[#This Row],[Value]]-F5153)/F5153</f>
        <v>7.3170731707316972E-2</v>
      </c>
      <c r="H5154" t="e" cm="1" vm="1">
        <f t="array" aca="1" ref="H5154" ca="1">VLOOKUP(Cpi_[[#This Row],[Year]:[Month]],crudeoil[],3,FALSE)</f>
        <v>#VALUE!</v>
      </c>
    </row>
    <row r="5155" spans="1:8" hidden="1" x14ac:dyDescent="0.3">
      <c r="A5155" t="s">
        <v>33</v>
      </c>
      <c r="B5155">
        <v>2018</v>
      </c>
      <c r="C5155" t="s">
        <v>37</v>
      </c>
      <c r="D5155" t="s">
        <v>26</v>
      </c>
      <c r="E5155" t="e">
        <f>VLOOKUP(Cpi_[[#This Row],[Attribute]],#REF!,2,FALSE)</f>
        <v>#REF!</v>
      </c>
      <c r="F5155">
        <v>139.69999999999999</v>
      </c>
      <c r="G5155">
        <f>(Cpi_[[#This Row],[Value]]-F5154)/F5154</f>
        <v>9.4827586206896505E-2</v>
      </c>
      <c r="H5155" t="e" cm="1" vm="1">
        <f t="array" aca="1" ref="H5155" ca="1">VLOOKUP(Cpi_[[#This Row],[Year]:[Month]],crudeoil[],3,FALSE)</f>
        <v>#VALUE!</v>
      </c>
    </row>
    <row r="5156" spans="1:8" hidden="1" x14ac:dyDescent="0.3">
      <c r="A5156" t="s">
        <v>33</v>
      </c>
      <c r="B5156">
        <v>2018</v>
      </c>
      <c r="C5156" t="s">
        <v>37</v>
      </c>
      <c r="D5156" t="s">
        <v>27</v>
      </c>
      <c r="E5156" t="e">
        <f>VLOOKUP(Cpi_[[#This Row],[Attribute]],#REF!,2,FALSE)</f>
        <v>#REF!</v>
      </c>
      <c r="F5156">
        <v>127.6</v>
      </c>
      <c r="G5156">
        <f>(Cpi_[[#This Row],[Value]]-F5155)/F5155</f>
        <v>-8.6614173228346428E-2</v>
      </c>
      <c r="H5156" t="e" cm="1" vm="1">
        <f t="array" aca="1" ref="H5156" ca="1">VLOOKUP(Cpi_[[#This Row],[Year]:[Month]],crudeoil[],3,FALSE)</f>
        <v>#VALUE!</v>
      </c>
    </row>
    <row r="5157" spans="1:8" hidden="1" x14ac:dyDescent="0.3">
      <c r="A5157" t="s">
        <v>33</v>
      </c>
      <c r="B5157">
        <v>2018</v>
      </c>
      <c r="C5157" t="s">
        <v>37</v>
      </c>
      <c r="D5157" t="s">
        <v>28</v>
      </c>
      <c r="E5157" t="e">
        <f>VLOOKUP(Cpi_[[#This Row],[Attribute]],#REF!,2,FALSE)</f>
        <v>#REF!</v>
      </c>
      <c r="F5157">
        <v>128.19999999999999</v>
      </c>
      <c r="G5157">
        <f>(Cpi_[[#This Row],[Value]]-F5156)/F5156</f>
        <v>4.7021943573667272E-3</v>
      </c>
      <c r="H5157" t="e" cm="1" vm="1">
        <f t="array" aca="1" ref="H5157" ca="1">VLOOKUP(Cpi_[[#This Row],[Year]:[Month]],crudeoil[],3,FALSE)</f>
        <v>#VALUE!</v>
      </c>
    </row>
    <row r="5158" spans="1:8" hidden="1" x14ac:dyDescent="0.3">
      <c r="A5158" t="s">
        <v>33</v>
      </c>
      <c r="B5158">
        <v>2018</v>
      </c>
      <c r="C5158" t="s">
        <v>37</v>
      </c>
      <c r="D5158" t="s">
        <v>29</v>
      </c>
      <c r="E5158" t="e" cm="1">
        <f t="array" aca="1" ref="E5158" ca="1">VLGeneral indexGeneral indexKUP(Cpi_[[#This Row],[Attribute]],#REF!,2,FALSE)</f>
        <v>#NAME?</v>
      </c>
      <c r="F5158">
        <v>134.80000000000001</v>
      </c>
      <c r="G5158">
        <f>(Cpi_[[#This Row],[Value]]-F5157)/F5157</f>
        <v>5.1482059282371477E-2</v>
      </c>
      <c r="H5158" t="e" cm="1" vm="1">
        <f t="array" aca="1" ref="H5158" ca="1">VLOOKUP(Cpi_[[#This Row],[Year]:[Month]],crudeoil[],3,FALSE)</f>
        <v>#VALUE!</v>
      </c>
    </row>
    <row r="5159" spans="1:8" hidden="1" x14ac:dyDescent="0.3">
      <c r="A5159" t="s">
        <v>34</v>
      </c>
      <c r="B5159">
        <v>2018</v>
      </c>
      <c r="C5159" t="s">
        <v>37</v>
      </c>
      <c r="D5159" t="s">
        <v>3</v>
      </c>
      <c r="E5159" t="e">
        <f>VLOOKUP(Cpi_[[#This Row],[Attribute]],#REF!,2,FALSE)</f>
        <v>#REF!</v>
      </c>
      <c r="F5159">
        <v>136.4</v>
      </c>
      <c r="G5159">
        <f>(Cpi_[[#This Row],[Value]]-F5158)/F5158</f>
        <v>1.1869436201780372E-2</v>
      </c>
      <c r="H5159" t="e" cm="1" vm="1">
        <f t="array" aca="1" ref="H5159" ca="1">VLOOKUP(Cpi_[[#This Row],[Year]:[Month]],crudeoil[],3,FALSE)</f>
        <v>#VALUE!</v>
      </c>
    </row>
    <row r="5160" spans="1:8" hidden="1" x14ac:dyDescent="0.3">
      <c r="A5160" t="s">
        <v>34</v>
      </c>
      <c r="B5160">
        <v>2018</v>
      </c>
      <c r="C5160" t="s">
        <v>37</v>
      </c>
      <c r="D5160" t="s">
        <v>4</v>
      </c>
      <c r="E5160" t="e">
        <f>VLOOKUP(Cpi_[[#This Row],[Attribute]],#REF!,2,FALSE)</f>
        <v>#REF!</v>
      </c>
      <c r="F5160">
        <v>144.4</v>
      </c>
      <c r="G5160">
        <f>(Cpi_[[#This Row],[Value]]-F5159)/F5159</f>
        <v>5.8651026392961873E-2</v>
      </c>
      <c r="H5160" t="e" cm="1" vm="1">
        <f t="array" aca="1" ref="H5160" ca="1">VLOOKUP(Cpi_[[#This Row],[Year]:[Month]],crudeoil[],3,FALSE)</f>
        <v>#VALUE!</v>
      </c>
    </row>
    <row r="5161" spans="1:8" hidden="1" x14ac:dyDescent="0.3">
      <c r="A5161" t="s">
        <v>34</v>
      </c>
      <c r="B5161">
        <v>2018</v>
      </c>
      <c r="C5161" t="s">
        <v>37</v>
      </c>
      <c r="D5161" t="s">
        <v>5</v>
      </c>
      <c r="E5161" t="e">
        <f>VLOOKUP(Cpi_[[#This Row],[Attribute]],#REF!,2,FALSE)</f>
        <v>#REF!</v>
      </c>
      <c r="F5161">
        <v>133.9</v>
      </c>
      <c r="G5161">
        <f>(Cpi_[[#This Row],[Value]]-F5160)/F5160</f>
        <v>-7.2714681440443213E-2</v>
      </c>
      <c r="H5161" t="e" cm="1" vm="1">
        <f t="array" aca="1" ref="H5161" ca="1">VLOOKUP(Cpi_[[#This Row],[Year]:[Month]],crudeoil[],3,FALSE)</f>
        <v>#VALUE!</v>
      </c>
    </row>
    <row r="5162" spans="1:8" hidden="1" x14ac:dyDescent="0.3">
      <c r="A5162" t="s">
        <v>34</v>
      </c>
      <c r="B5162">
        <v>2018</v>
      </c>
      <c r="C5162" t="s">
        <v>37</v>
      </c>
      <c r="D5162" t="s">
        <v>6</v>
      </c>
      <c r="E5162" t="e">
        <f>VLOOKUP(Cpi_[[#This Row],[Attribute]],#REF!,2,FALSE)</f>
        <v>#REF!</v>
      </c>
      <c r="F5162">
        <v>141.6</v>
      </c>
      <c r="G5162">
        <f>(Cpi_[[#This Row],[Value]]-F5161)/F5161</f>
        <v>5.7505601194921499E-2</v>
      </c>
      <c r="H5162" t="e" cm="1" vm="1">
        <f t="array" aca="1" ref="H5162" ca="1">VLOOKUP(Cpi_[[#This Row],[Year]:[Month]],crudeoil[],3,FALSE)</f>
        <v>#VALUE!</v>
      </c>
    </row>
    <row r="5163" spans="1:8" hidden="1" x14ac:dyDescent="0.3">
      <c r="A5163" t="s">
        <v>34</v>
      </c>
      <c r="B5163">
        <v>2018</v>
      </c>
      <c r="C5163" t="s">
        <v>37</v>
      </c>
      <c r="D5163" t="s">
        <v>7</v>
      </c>
      <c r="E5163" t="e">
        <f>VLOOKUP(Cpi_[[#This Row],[Attribute]],#REF!,2,FALSE)</f>
        <v>#REF!</v>
      </c>
      <c r="F5163">
        <v>121</v>
      </c>
      <c r="G5163">
        <f>(Cpi_[[#This Row],[Value]]-F5162)/F5162</f>
        <v>-0.14548022598870053</v>
      </c>
      <c r="H5163" t="e" cm="1" vm="1">
        <f t="array" aca="1" ref="H5163" ca="1">VLOOKUP(Cpi_[[#This Row],[Year]:[Month]],crudeoil[],3,FALSE)</f>
        <v>#VALUE!</v>
      </c>
    </row>
    <row r="5164" spans="1:8" hidden="1" x14ac:dyDescent="0.3">
      <c r="A5164" t="s">
        <v>34</v>
      </c>
      <c r="B5164">
        <v>2018</v>
      </c>
      <c r="C5164" t="s">
        <v>37</v>
      </c>
      <c r="D5164" t="s">
        <v>8</v>
      </c>
      <c r="E5164" t="e">
        <f>VLOOKUP(Cpi_[[#This Row],[Attribute]],#REF!,2,FALSE)</f>
        <v>#REF!</v>
      </c>
      <c r="F5164">
        <v>153.5</v>
      </c>
      <c r="G5164">
        <f>(Cpi_[[#This Row],[Value]]-F5163)/F5163</f>
        <v>0.26859504132231404</v>
      </c>
      <c r="H5164" t="e" cm="1" vm="1">
        <f t="array" aca="1" ref="H5164" ca="1">VLOOKUP(Cpi_[[#This Row],[Year]:[Month]],crudeoil[],3,FALSE)</f>
        <v>#VALUE!</v>
      </c>
    </row>
    <row r="5165" spans="1:8" hidden="1" x14ac:dyDescent="0.3">
      <c r="A5165" t="s">
        <v>34</v>
      </c>
      <c r="B5165">
        <v>2018</v>
      </c>
      <c r="C5165" t="s">
        <v>37</v>
      </c>
      <c r="D5165" t="s">
        <v>9</v>
      </c>
      <c r="E5165" t="e">
        <f>VLOOKUP(Cpi_[[#This Row],[Attribute]],#REF!,2,FALSE)</f>
        <v>#REF!</v>
      </c>
      <c r="F5165">
        <v>132.6</v>
      </c>
      <c r="G5165">
        <f>(Cpi_[[#This Row],[Value]]-F5164)/F5164</f>
        <v>-0.13615635179153099</v>
      </c>
      <c r="H5165" t="e" cm="1" vm="1">
        <f t="array" aca="1" ref="H5165" ca="1">VLOOKUP(Cpi_[[#This Row],[Year]:[Month]],crudeoil[],3,FALSE)</f>
        <v>#VALUE!</v>
      </c>
    </row>
    <row r="5166" spans="1:8" hidden="1" x14ac:dyDescent="0.3">
      <c r="A5166" t="s">
        <v>34</v>
      </c>
      <c r="B5166">
        <v>2018</v>
      </c>
      <c r="C5166" t="s">
        <v>37</v>
      </c>
      <c r="D5166" t="s">
        <v>10</v>
      </c>
      <c r="E5166" t="e">
        <f>VLOOKUP(Cpi_[[#This Row],[Attribute]],#REF!,2,FALSE)</f>
        <v>#REF!</v>
      </c>
      <c r="F5166">
        <v>123.5</v>
      </c>
      <c r="G5166">
        <f>(Cpi_[[#This Row],[Value]]-F5165)/F5165</f>
        <v>-6.8627450980392121E-2</v>
      </c>
      <c r="H5166" t="e" cm="1" vm="1">
        <f t="array" aca="1" ref="H5166" ca="1">VLOOKUP(Cpi_[[#This Row],[Year]:[Month]],crudeoil[],3,FALSE)</f>
        <v>#VALUE!</v>
      </c>
    </row>
    <row r="5167" spans="1:8" hidden="1" x14ac:dyDescent="0.3">
      <c r="A5167" t="s">
        <v>34</v>
      </c>
      <c r="B5167">
        <v>2018</v>
      </c>
      <c r="C5167" t="s">
        <v>37</v>
      </c>
      <c r="D5167" t="s">
        <v>11</v>
      </c>
      <c r="E5167" t="e">
        <f>VLOOKUP(Cpi_[[#This Row],[Attribute]],#REF!,2,FALSE)</f>
        <v>#REF!</v>
      </c>
      <c r="F5167">
        <v>113.7</v>
      </c>
      <c r="G5167">
        <f>(Cpi_[[#This Row],[Value]]-F5166)/F5166</f>
        <v>-7.9352226720647748E-2</v>
      </c>
      <c r="H5167" t="e" cm="1" vm="1">
        <f t="array" aca="1" ref="H5167" ca="1">VLOOKUP(Cpi_[[#This Row],[Year]:[Month]],crudeoil[],3,FALSE)</f>
        <v>#VALUE!</v>
      </c>
    </row>
    <row r="5168" spans="1:8" hidden="1" x14ac:dyDescent="0.3">
      <c r="A5168" t="s">
        <v>34</v>
      </c>
      <c r="B5168">
        <v>2018</v>
      </c>
      <c r="C5168" t="s">
        <v>37</v>
      </c>
      <c r="D5168" t="s">
        <v>12</v>
      </c>
      <c r="E5168" t="e">
        <f>VLOOKUP(Cpi_[[#This Row],[Attribute]],#REF!,2,FALSE)</f>
        <v>#REF!</v>
      </c>
      <c r="F5168">
        <v>138.19999999999999</v>
      </c>
      <c r="G5168">
        <f>(Cpi_[[#This Row],[Value]]-F5167)/F5167</f>
        <v>0.21547933157431826</v>
      </c>
      <c r="H5168" t="e" cm="1" vm="1">
        <f t="array" aca="1" ref="H5168" ca="1">VLOOKUP(Cpi_[[#This Row],[Year]:[Month]],crudeoil[],3,FALSE)</f>
        <v>#VALUE!</v>
      </c>
    </row>
    <row r="5169" spans="1:8" hidden="1" x14ac:dyDescent="0.3">
      <c r="A5169" t="s">
        <v>34</v>
      </c>
      <c r="B5169">
        <v>2018</v>
      </c>
      <c r="C5169" t="s">
        <v>37</v>
      </c>
      <c r="D5169" t="s">
        <v>13</v>
      </c>
      <c r="E5169" t="e">
        <f>VLOOKUP(Cpi_[[#This Row],[Attribute]],#REF!,2,FALSE)</f>
        <v>#REF!</v>
      </c>
      <c r="F5169">
        <v>129.6</v>
      </c>
      <c r="G5169">
        <f>(Cpi_[[#This Row],[Value]]-F5168)/F5168</f>
        <v>-6.2228654124457272E-2</v>
      </c>
      <c r="H5169" t="e" cm="1" vm="1">
        <f t="array" aca="1" ref="H5169" ca="1">VLOOKUP(Cpi_[[#This Row],[Year]:[Month]],crudeoil[],3,FALSE)</f>
        <v>#VALUE!</v>
      </c>
    </row>
    <row r="5170" spans="1:8" hidden="1" x14ac:dyDescent="0.3">
      <c r="A5170" t="s">
        <v>34</v>
      </c>
      <c r="B5170">
        <v>2018</v>
      </c>
      <c r="C5170" t="s">
        <v>37</v>
      </c>
      <c r="D5170" t="s">
        <v>14</v>
      </c>
      <c r="E5170" t="e">
        <f>VLOOKUP(Cpi_[[#This Row],[Attribute]],#REF!,2,FALSE)</f>
        <v>#REF!</v>
      </c>
      <c r="F5170">
        <v>151.19999999999999</v>
      </c>
      <c r="G5170">
        <f>(Cpi_[[#This Row],[Value]]-F5169)/F5169</f>
        <v>0.16666666666666663</v>
      </c>
      <c r="H5170" t="e" cm="1" vm="1">
        <f t="array" aca="1" ref="H5170" ca="1">VLOOKUP(Cpi_[[#This Row],[Year]:[Month]],crudeoil[],3,FALSE)</f>
        <v>#VALUE!</v>
      </c>
    </row>
    <row r="5171" spans="1:8" hidden="1" x14ac:dyDescent="0.3">
      <c r="A5171" t="s">
        <v>34</v>
      </c>
      <c r="B5171">
        <v>2018</v>
      </c>
      <c r="C5171" t="s">
        <v>37</v>
      </c>
      <c r="D5171" t="s">
        <v>15</v>
      </c>
      <c r="E5171" t="e">
        <f>VLOOKUP(Cpi_[[#This Row],[Attribute]],#REF!,2,FALSE)</f>
        <v>#REF!</v>
      </c>
      <c r="F5171">
        <v>137.5</v>
      </c>
      <c r="G5171">
        <f>(Cpi_[[#This Row],[Value]]-F5170)/F5170</f>
        <v>-9.0608465608465541E-2</v>
      </c>
      <c r="H5171" t="e" cm="1" vm="1">
        <f t="array" aca="1" ref="H5171" ca="1">VLOOKUP(Cpi_[[#This Row],[Year]:[Month]],crudeoil[],3,FALSE)</f>
        <v>#VALUE!</v>
      </c>
    </row>
    <row r="5172" spans="1:8" hidden="1" x14ac:dyDescent="0.3">
      <c r="A5172" t="s">
        <v>34</v>
      </c>
      <c r="B5172">
        <v>2018</v>
      </c>
      <c r="C5172" t="s">
        <v>37</v>
      </c>
      <c r="D5172" t="s">
        <v>16</v>
      </c>
      <c r="E5172" t="e">
        <f>VLOOKUP(Cpi_[[#This Row],[Attribute]],#REF!,2,FALSE)</f>
        <v>#REF!</v>
      </c>
      <c r="F5172">
        <v>156.9</v>
      </c>
      <c r="G5172">
        <f>(Cpi_[[#This Row],[Value]]-F5171)/F5171</f>
        <v>0.14109090909090913</v>
      </c>
      <c r="H5172" t="e" cm="1" vm="1">
        <f t="array" aca="1" ref="H5172" ca="1">VLOOKUP(Cpi_[[#This Row],[Year]:[Month]],crudeoil[],3,FALSE)</f>
        <v>#VALUE!</v>
      </c>
    </row>
    <row r="5173" spans="1:8" hidden="1" x14ac:dyDescent="0.3">
      <c r="A5173" t="s">
        <v>34</v>
      </c>
      <c r="B5173">
        <v>2018</v>
      </c>
      <c r="C5173" t="s">
        <v>37</v>
      </c>
      <c r="D5173" t="s">
        <v>17</v>
      </c>
      <c r="E5173" t="e">
        <f>VLOOKUP(Cpi_[[#This Row],[Attribute]],#REF!,2,FALSE)</f>
        <v>#REF!</v>
      </c>
      <c r="F5173">
        <v>145.30000000000001</v>
      </c>
      <c r="G5173">
        <f>(Cpi_[[#This Row],[Value]]-F5172)/F5172</f>
        <v>-7.3932441045251721E-2</v>
      </c>
      <c r="H5173" t="e" cm="1" vm="1">
        <f t="array" aca="1" ref="H5173" ca="1">VLOOKUP(Cpi_[[#This Row],[Year]:[Month]],crudeoil[],3,FALSE)</f>
        <v>#VALUE!</v>
      </c>
    </row>
    <row r="5174" spans="1:8" hidden="1" x14ac:dyDescent="0.3">
      <c r="A5174" t="s">
        <v>34</v>
      </c>
      <c r="B5174">
        <v>2018</v>
      </c>
      <c r="C5174" t="s">
        <v>37</v>
      </c>
      <c r="D5174" t="s">
        <v>18</v>
      </c>
      <c r="E5174" t="e">
        <f>VLOOKUP(Cpi_[[#This Row],[Attribute]],#REF!,2,FALSE)</f>
        <v>#REF!</v>
      </c>
      <c r="F5174">
        <v>136.69999999999999</v>
      </c>
      <c r="G5174">
        <f>(Cpi_[[#This Row],[Value]]-F5173)/F5173</f>
        <v>-5.9187887130075854E-2</v>
      </c>
      <c r="H5174" t="e" cm="1" vm="1">
        <f t="array" aca="1" ref="H5174" ca="1">VLOOKUP(Cpi_[[#This Row],[Year]:[Month]],crudeoil[],3,FALSE)</f>
        <v>#VALUE!</v>
      </c>
    </row>
    <row r="5175" spans="1:8" hidden="1" x14ac:dyDescent="0.3">
      <c r="A5175" t="s">
        <v>34</v>
      </c>
      <c r="B5175">
        <v>2018</v>
      </c>
      <c r="C5175" t="s">
        <v>37</v>
      </c>
      <c r="D5175" t="s">
        <v>19</v>
      </c>
      <c r="E5175" t="e">
        <f>VLOOKUP(Cpi_[[#This Row],[Attribute]],#REF!,2,FALSE)</f>
        <v>#REF!</v>
      </c>
      <c r="F5175">
        <v>144</v>
      </c>
      <c r="G5175">
        <f>(Cpi_[[#This Row],[Value]]-F5174)/F5174</f>
        <v>5.3401609363569948E-2</v>
      </c>
      <c r="H5175" t="e" cm="1" vm="1">
        <f t="array" aca="1" ref="H5175" ca="1">VLOOKUP(Cpi_[[#This Row],[Year]:[Month]],crudeoil[],3,FALSE)</f>
        <v>#VALUE!</v>
      </c>
    </row>
    <row r="5176" spans="1:8" hidden="1" x14ac:dyDescent="0.3">
      <c r="A5176" t="s">
        <v>34</v>
      </c>
      <c r="B5176">
        <v>2018</v>
      </c>
      <c r="C5176" t="s">
        <v>37</v>
      </c>
      <c r="D5176" t="s">
        <v>20</v>
      </c>
      <c r="E5176" t="e">
        <f>VLOOKUP(Cpi_[[#This Row],[Attribute]],#REF!,2,FALSE)</f>
        <v>#REF!</v>
      </c>
      <c r="F5176">
        <v>142.9</v>
      </c>
      <c r="G5176">
        <f>(Cpi_[[#This Row],[Value]]-F5175)/F5175</f>
        <v>-7.6388888888888496E-3</v>
      </c>
      <c r="H5176" t="e" cm="1" vm="1">
        <f t="array" aca="1" ref="H5176" ca="1">VLOOKUP(Cpi_[[#This Row],[Year]:[Month]],crudeoil[],3,FALSE)</f>
        <v>#VALUE!</v>
      </c>
    </row>
    <row r="5177" spans="1:8" hidden="1" x14ac:dyDescent="0.3">
      <c r="A5177" t="s">
        <v>34</v>
      </c>
      <c r="B5177">
        <v>2018</v>
      </c>
      <c r="C5177" t="s">
        <v>37</v>
      </c>
      <c r="D5177" t="s">
        <v>21</v>
      </c>
      <c r="E5177" t="e">
        <f>VLOOKUP(Cpi_[[#This Row],[Attribute]],#REF!,2,FALSE)</f>
        <v>#REF!</v>
      </c>
      <c r="F5177">
        <v>136.5</v>
      </c>
      <c r="G5177">
        <f>(Cpi_[[#This Row],[Value]]-F5176)/F5176</f>
        <v>-4.4786564030790801E-2</v>
      </c>
      <c r="H5177" t="e" cm="1" vm="1">
        <f t="array" aca="1" ref="H5177" ca="1">VLOOKUP(Cpi_[[#This Row],[Year]:[Month]],crudeoil[],3,FALSE)</f>
        <v>#VALUE!</v>
      </c>
    </row>
    <row r="5178" spans="1:8" hidden="1" x14ac:dyDescent="0.3">
      <c r="A5178" t="s">
        <v>34</v>
      </c>
      <c r="B5178">
        <v>2018</v>
      </c>
      <c r="C5178" t="s">
        <v>37</v>
      </c>
      <c r="D5178" t="s">
        <v>22</v>
      </c>
      <c r="E5178" t="e">
        <f>VLOOKUP(Cpi_[[#This Row],[Attribute]],#REF!,2,FALSE)</f>
        <v>#REF!</v>
      </c>
      <c r="F5178">
        <v>136.6</v>
      </c>
      <c r="G5178">
        <f>(Cpi_[[#This Row],[Value]]-F5177)/F5177</f>
        <v>7.3260073260069097E-4</v>
      </c>
      <c r="H5178" t="e" cm="1" vm="1">
        <f t="array" aca="1" ref="H5178" ca="1">VLOOKUP(Cpi_[[#This Row],[Year]:[Month]],crudeoil[],3,FALSE)</f>
        <v>#VALUE!</v>
      </c>
    </row>
    <row r="5179" spans="1:8" hidden="1" x14ac:dyDescent="0.3">
      <c r="A5179" t="s">
        <v>34</v>
      </c>
      <c r="B5179">
        <v>2018</v>
      </c>
      <c r="C5179" t="s">
        <v>37</v>
      </c>
      <c r="D5179" t="s">
        <v>23</v>
      </c>
      <c r="E5179" t="e">
        <f>VLOOKUP(Cpi_[[#This Row],[Attribute]],#REF!,2,FALSE)</f>
        <v>#REF!</v>
      </c>
      <c r="F5179">
        <v>135.19999999999999</v>
      </c>
      <c r="G5179">
        <f>(Cpi_[[#This Row],[Value]]-F5178)/F5178</f>
        <v>-1.0248901903367538E-2</v>
      </c>
      <c r="H5179" t="e" cm="1" vm="1">
        <f t="array" aca="1" ref="H5179" ca="1">VLOOKUP(Cpi_[[#This Row],[Year]:[Month]],crudeoil[],3,FALSE)</f>
        <v>#VALUE!</v>
      </c>
    </row>
    <row r="5180" spans="1:8" hidden="1" x14ac:dyDescent="0.3">
      <c r="A5180" t="s">
        <v>34</v>
      </c>
      <c r="B5180">
        <v>2018</v>
      </c>
      <c r="C5180" t="s">
        <v>37</v>
      </c>
      <c r="D5180" t="s">
        <v>24</v>
      </c>
      <c r="E5180" t="e">
        <f>VLOOKUP(Cpi_[[#This Row],[Attribute]],#REF!,2,FALSE)</f>
        <v>#REF!</v>
      </c>
      <c r="F5180">
        <v>121.9</v>
      </c>
      <c r="G5180">
        <f>(Cpi_[[#This Row],[Value]]-F5179)/F5179</f>
        <v>-9.8372781065088635E-2</v>
      </c>
      <c r="H5180" t="e" cm="1" vm="1">
        <f t="array" aca="1" ref="H5180" ca="1">VLOOKUP(Cpi_[[#This Row],[Year]:[Month]],crudeoil[],3,FALSE)</f>
        <v>#VALUE!</v>
      </c>
    </row>
    <row r="5181" spans="1:8" hidden="1" x14ac:dyDescent="0.3">
      <c r="A5181" t="s">
        <v>34</v>
      </c>
      <c r="B5181">
        <v>2018</v>
      </c>
      <c r="C5181" t="s">
        <v>37</v>
      </c>
      <c r="D5181" t="s">
        <v>25</v>
      </c>
      <c r="E5181" t="e">
        <f>VLOOKUP(Cpi_[[#This Row],[Attribute]],#REF!,2,FALSE)</f>
        <v>#REF!</v>
      </c>
      <c r="F5181">
        <v>131.30000000000001</v>
      </c>
      <c r="G5181">
        <f>(Cpi_[[#This Row],[Value]]-F5180)/F5180</f>
        <v>7.7112387202625143E-2</v>
      </c>
      <c r="H5181" t="e" cm="1" vm="1">
        <f t="array" aca="1" ref="H5181" ca="1">VLOOKUP(Cpi_[[#This Row],[Year]:[Month]],crudeoil[],3,FALSE)</f>
        <v>#VALUE!</v>
      </c>
    </row>
    <row r="5182" spans="1:8" hidden="1" x14ac:dyDescent="0.3">
      <c r="A5182" t="s">
        <v>34</v>
      </c>
      <c r="B5182">
        <v>2018</v>
      </c>
      <c r="C5182" t="s">
        <v>37</v>
      </c>
      <c r="D5182" t="s">
        <v>26</v>
      </c>
      <c r="E5182" t="e">
        <f>VLOOKUP(Cpi_[[#This Row],[Attribute]],#REF!,2,FALSE)</f>
        <v>#REF!</v>
      </c>
      <c r="F5182">
        <v>141.4</v>
      </c>
      <c r="G5182">
        <f>(Cpi_[[#This Row],[Value]]-F5181)/F5181</f>
        <v>7.6923076923076872E-2</v>
      </c>
      <c r="H5182" t="e" cm="1" vm="1">
        <f t="array" aca="1" ref="H5182" ca="1">VLOOKUP(Cpi_[[#This Row],[Year]:[Month]],crudeoil[],3,FALSE)</f>
        <v>#VALUE!</v>
      </c>
    </row>
    <row r="5183" spans="1:8" hidden="1" x14ac:dyDescent="0.3">
      <c r="A5183" t="s">
        <v>34</v>
      </c>
      <c r="B5183">
        <v>2018</v>
      </c>
      <c r="C5183" t="s">
        <v>37</v>
      </c>
      <c r="D5183" t="s">
        <v>27</v>
      </c>
      <c r="E5183" t="e">
        <f>VLOOKUP(Cpi_[[#This Row],[Attribute]],#REF!,2,FALSE)</f>
        <v>#REF!</v>
      </c>
      <c r="F5183">
        <v>129.19999999999999</v>
      </c>
      <c r="G5183">
        <f>(Cpi_[[#This Row],[Value]]-F5182)/F5182</f>
        <v>-8.62800565770864E-2</v>
      </c>
      <c r="H5183" t="e" cm="1" vm="1">
        <f t="array" aca="1" ref="H5183" ca="1">VLOOKUP(Cpi_[[#This Row],[Year]:[Month]],crudeoil[],3,FALSE)</f>
        <v>#VALUE!</v>
      </c>
    </row>
    <row r="5184" spans="1:8" hidden="1" x14ac:dyDescent="0.3">
      <c r="A5184" t="s">
        <v>34</v>
      </c>
      <c r="B5184">
        <v>2018</v>
      </c>
      <c r="C5184" t="s">
        <v>37</v>
      </c>
      <c r="D5184" t="s">
        <v>28</v>
      </c>
      <c r="E5184" t="e">
        <f>VLOOKUP(Cpi_[[#This Row],[Attribute]],#REF!,2,FALSE)</f>
        <v>#REF!</v>
      </c>
      <c r="F5184">
        <v>131.30000000000001</v>
      </c>
      <c r="G5184">
        <f>(Cpi_[[#This Row],[Value]]-F5183)/F5183</f>
        <v>1.6253869969040425E-2</v>
      </c>
      <c r="H5184" t="e" cm="1" vm="1">
        <f t="array" aca="1" ref="H5184" ca="1">VLOOKUP(Cpi_[[#This Row],[Year]:[Month]],crudeoil[],3,FALSE)</f>
        <v>#VALUE!</v>
      </c>
    </row>
    <row r="5185" spans="1:8" hidden="1" x14ac:dyDescent="0.3">
      <c r="A5185" t="s">
        <v>34</v>
      </c>
      <c r="B5185">
        <v>2018</v>
      </c>
      <c r="C5185" t="s">
        <v>37</v>
      </c>
      <c r="D5185" t="s">
        <v>29</v>
      </c>
      <c r="E5185" t="e" cm="1">
        <f t="array" aca="1" ref="E5185" ca="1">VLGeneral indexGeneral indexKUP(Cpi_[[#This Row],[Attribute]],#REF!,2,FALSE)</f>
        <v>#NAME?</v>
      </c>
      <c r="F5185">
        <v>137.1</v>
      </c>
      <c r="G5185">
        <f>(Cpi_[[#This Row],[Value]]-F5184)/F5184</f>
        <v>4.4173648134044043E-2</v>
      </c>
      <c r="H5185" t="e" cm="1" vm="1">
        <f t="array" aca="1" ref="H5185" ca="1">VLOOKUP(Cpi_[[#This Row],[Year]:[Month]],crudeoil[],3,FALSE)</f>
        <v>#VALUE!</v>
      </c>
    </row>
    <row r="5186" spans="1:8" hidden="1" x14ac:dyDescent="0.3">
      <c r="A5186" t="s">
        <v>30</v>
      </c>
      <c r="B5186">
        <v>2018</v>
      </c>
      <c r="C5186" t="s">
        <v>38</v>
      </c>
      <c r="D5186" t="s">
        <v>3</v>
      </c>
      <c r="E5186" t="e">
        <f>VLOOKUP(Cpi_[[#This Row],[Attribute]],#REF!,2,FALSE)</f>
        <v>#REF!</v>
      </c>
      <c r="F5186">
        <v>137.4</v>
      </c>
      <c r="G5186">
        <f>(Cpi_[[#This Row],[Value]]-F5185)/F5185</f>
        <v>2.1881838074399081E-3</v>
      </c>
      <c r="H5186" t="e" cm="1" vm="1">
        <f t="array" aca="1" ref="H5186" ca="1">VLOOKUP(Cpi_[[#This Row],[Year]:[Month]],crudeoil[],3,FALSE)</f>
        <v>#VALUE!</v>
      </c>
    </row>
    <row r="5187" spans="1:8" hidden="1" x14ac:dyDescent="0.3">
      <c r="A5187" t="s">
        <v>30</v>
      </c>
      <c r="B5187">
        <v>2018</v>
      </c>
      <c r="C5187" t="s">
        <v>38</v>
      </c>
      <c r="D5187" t="s">
        <v>4</v>
      </c>
      <c r="E5187" t="e">
        <f>VLOOKUP(Cpi_[[#This Row],[Attribute]],#REF!,2,FALSE)</f>
        <v>#REF!</v>
      </c>
      <c r="F5187">
        <v>145.69999999999999</v>
      </c>
      <c r="G5187">
        <f>(Cpi_[[#This Row],[Value]]-F5186)/F5186</f>
        <v>6.0407569141193468E-2</v>
      </c>
      <c r="H5187" t="e" cm="1" vm="1">
        <f t="array" aca="1" ref="H5187" ca="1">VLOOKUP(Cpi_[[#This Row],[Year]:[Month]],crudeoil[],3,FALSE)</f>
        <v>#VALUE!</v>
      </c>
    </row>
    <row r="5188" spans="1:8" hidden="1" x14ac:dyDescent="0.3">
      <c r="A5188" t="s">
        <v>30</v>
      </c>
      <c r="B5188">
        <v>2018</v>
      </c>
      <c r="C5188" t="s">
        <v>38</v>
      </c>
      <c r="D5188" t="s">
        <v>5</v>
      </c>
      <c r="E5188" t="e">
        <f>VLOOKUP(Cpi_[[#This Row],[Attribute]],#REF!,2,FALSE)</f>
        <v>#REF!</v>
      </c>
      <c r="F5188">
        <v>135.5</v>
      </c>
      <c r="G5188">
        <f>(Cpi_[[#This Row],[Value]]-F5187)/F5187</f>
        <v>-7.0006863417982082E-2</v>
      </c>
      <c r="H5188" t="e" cm="1" vm="1">
        <f t="array" aca="1" ref="H5188" ca="1">VLOOKUP(Cpi_[[#This Row],[Year]:[Month]],crudeoil[],3,FALSE)</f>
        <v>#VALUE!</v>
      </c>
    </row>
    <row r="5189" spans="1:8" hidden="1" x14ac:dyDescent="0.3">
      <c r="A5189" t="s">
        <v>30</v>
      </c>
      <c r="B5189">
        <v>2018</v>
      </c>
      <c r="C5189" t="s">
        <v>38</v>
      </c>
      <c r="D5189" t="s">
        <v>6</v>
      </c>
      <c r="E5189" t="e">
        <f>VLOOKUP(Cpi_[[#This Row],[Attribute]],#REF!,2,FALSE)</f>
        <v>#REF!</v>
      </c>
      <c r="F5189">
        <v>142.9</v>
      </c>
      <c r="G5189">
        <f>(Cpi_[[#This Row],[Value]]-F5188)/F5188</f>
        <v>5.4612546125461299E-2</v>
      </c>
      <c r="H5189" t="e" cm="1" vm="1">
        <f t="array" aca="1" ref="H5189" ca="1">VLOOKUP(Cpi_[[#This Row],[Year]:[Month]],crudeoil[],3,FALSE)</f>
        <v>#VALUE!</v>
      </c>
    </row>
    <row r="5190" spans="1:8" hidden="1" x14ac:dyDescent="0.3">
      <c r="A5190" t="s">
        <v>30</v>
      </c>
      <c r="B5190">
        <v>2018</v>
      </c>
      <c r="C5190" t="s">
        <v>38</v>
      </c>
      <c r="D5190" t="s">
        <v>7</v>
      </c>
      <c r="E5190" t="e">
        <f>VLOOKUP(Cpi_[[#This Row],[Attribute]],#REF!,2,FALSE)</f>
        <v>#REF!</v>
      </c>
      <c r="F5190">
        <v>123.6</v>
      </c>
      <c r="G5190">
        <f>(Cpi_[[#This Row],[Value]]-F5189)/F5189</f>
        <v>-0.13505948215535346</v>
      </c>
      <c r="H5190" t="e" cm="1" vm="1">
        <f t="array" aca="1" ref="H5190" ca="1">VLOOKUP(Cpi_[[#This Row],[Year]:[Month]],crudeoil[],3,FALSE)</f>
        <v>#VALUE!</v>
      </c>
    </row>
    <row r="5191" spans="1:8" hidden="1" x14ac:dyDescent="0.3">
      <c r="A5191" t="s">
        <v>30</v>
      </c>
      <c r="B5191">
        <v>2018</v>
      </c>
      <c r="C5191" t="s">
        <v>38</v>
      </c>
      <c r="D5191" t="s">
        <v>8</v>
      </c>
      <c r="E5191" t="e">
        <f>VLOOKUP(Cpi_[[#This Row],[Attribute]],#REF!,2,FALSE)</f>
        <v>#REF!</v>
      </c>
      <c r="F5191">
        <v>157.5</v>
      </c>
      <c r="G5191">
        <f>(Cpi_[[#This Row],[Value]]-F5190)/F5190</f>
        <v>0.27427184466019422</v>
      </c>
      <c r="H5191" t="e" cm="1" vm="1">
        <f t="array" aca="1" ref="H5191" ca="1">VLOOKUP(Cpi_[[#This Row],[Year]:[Month]],crudeoil[],3,FALSE)</f>
        <v>#VALUE!</v>
      </c>
    </row>
    <row r="5192" spans="1:8" hidden="1" x14ac:dyDescent="0.3">
      <c r="A5192" t="s">
        <v>30</v>
      </c>
      <c r="B5192">
        <v>2018</v>
      </c>
      <c r="C5192" t="s">
        <v>38</v>
      </c>
      <c r="D5192" t="s">
        <v>9</v>
      </c>
      <c r="E5192" t="e">
        <f>VLOOKUP(Cpi_[[#This Row],[Attribute]],#REF!,2,FALSE)</f>
        <v>#REF!</v>
      </c>
      <c r="F5192">
        <v>137.80000000000001</v>
      </c>
      <c r="G5192">
        <f>(Cpi_[[#This Row],[Value]]-F5191)/F5191</f>
        <v>-0.12507936507936501</v>
      </c>
      <c r="H5192" t="e" cm="1" vm="1">
        <f t="array" aca="1" ref="H5192" ca="1">VLOOKUP(Cpi_[[#This Row],[Year]:[Month]],crudeoil[],3,FALSE)</f>
        <v>#VALUE!</v>
      </c>
    </row>
    <row r="5193" spans="1:8" hidden="1" x14ac:dyDescent="0.3">
      <c r="A5193" t="s">
        <v>30</v>
      </c>
      <c r="B5193">
        <v>2018</v>
      </c>
      <c r="C5193" t="s">
        <v>38</v>
      </c>
      <c r="D5193" t="s">
        <v>10</v>
      </c>
      <c r="E5193" t="e">
        <f>VLOOKUP(Cpi_[[#This Row],[Attribute]],#REF!,2,FALSE)</f>
        <v>#REF!</v>
      </c>
      <c r="F5193">
        <v>127.2</v>
      </c>
      <c r="G5193">
        <f>(Cpi_[[#This Row],[Value]]-F5192)/F5192</f>
        <v>-7.6923076923076983E-2</v>
      </c>
      <c r="H5193" t="e" cm="1" vm="1">
        <f t="array" aca="1" ref="H5193" ca="1">VLOOKUP(Cpi_[[#This Row],[Year]:[Month]],crudeoil[],3,FALSE)</f>
        <v>#VALUE!</v>
      </c>
    </row>
    <row r="5194" spans="1:8" hidden="1" x14ac:dyDescent="0.3">
      <c r="A5194" t="s">
        <v>30</v>
      </c>
      <c r="B5194">
        <v>2018</v>
      </c>
      <c r="C5194" t="s">
        <v>38</v>
      </c>
      <c r="D5194" t="s">
        <v>11</v>
      </c>
      <c r="E5194" t="e">
        <f>VLOOKUP(Cpi_[[#This Row],[Attribute]],#REF!,2,FALSE)</f>
        <v>#REF!</v>
      </c>
      <c r="F5194">
        <v>111.8</v>
      </c>
      <c r="G5194">
        <f>(Cpi_[[#This Row],[Value]]-F5193)/F5193</f>
        <v>-0.12106918238993715</v>
      </c>
      <c r="H5194" t="e" cm="1" vm="1">
        <f t="array" aca="1" ref="H5194" ca="1">VLOOKUP(Cpi_[[#This Row],[Year]:[Month]],crudeoil[],3,FALSE)</f>
        <v>#VALUE!</v>
      </c>
    </row>
    <row r="5195" spans="1:8" hidden="1" x14ac:dyDescent="0.3">
      <c r="A5195" t="s">
        <v>30</v>
      </c>
      <c r="B5195">
        <v>2018</v>
      </c>
      <c r="C5195" t="s">
        <v>38</v>
      </c>
      <c r="D5195" t="s">
        <v>12</v>
      </c>
      <c r="E5195" t="e">
        <f>VLOOKUP(Cpi_[[#This Row],[Attribute]],#REF!,2,FALSE)</f>
        <v>#REF!</v>
      </c>
      <c r="F5195">
        <v>137.4</v>
      </c>
      <c r="G5195">
        <f>(Cpi_[[#This Row],[Value]]-F5194)/F5194</f>
        <v>0.2289803220035779</v>
      </c>
      <c r="H5195" t="e" cm="1" vm="1">
        <f t="array" aca="1" ref="H5195" ca="1">VLOOKUP(Cpi_[[#This Row],[Year]:[Month]],crudeoil[],3,FALSE)</f>
        <v>#VALUE!</v>
      </c>
    </row>
    <row r="5196" spans="1:8" hidden="1" x14ac:dyDescent="0.3">
      <c r="A5196" t="s">
        <v>30</v>
      </c>
      <c r="B5196">
        <v>2018</v>
      </c>
      <c r="C5196" t="s">
        <v>38</v>
      </c>
      <c r="D5196" t="s">
        <v>13</v>
      </c>
      <c r="E5196" t="e">
        <f>VLOOKUP(Cpi_[[#This Row],[Attribute]],#REF!,2,FALSE)</f>
        <v>#REF!</v>
      </c>
      <c r="F5196">
        <v>132.19999999999999</v>
      </c>
      <c r="G5196">
        <f>(Cpi_[[#This Row],[Value]]-F5195)/F5195</f>
        <v>-3.7845705967976831E-2</v>
      </c>
      <c r="H5196" t="e" cm="1" vm="1">
        <f t="array" aca="1" ref="H5196" ca="1">VLOOKUP(Cpi_[[#This Row],[Year]:[Month]],crudeoil[],3,FALSE)</f>
        <v>#VALUE!</v>
      </c>
    </row>
    <row r="5197" spans="1:8" hidden="1" x14ac:dyDescent="0.3">
      <c r="A5197" t="s">
        <v>30</v>
      </c>
      <c r="B5197">
        <v>2018</v>
      </c>
      <c r="C5197" t="s">
        <v>38</v>
      </c>
      <c r="D5197" t="s">
        <v>14</v>
      </c>
      <c r="E5197" t="e">
        <f>VLOOKUP(Cpi_[[#This Row],[Attribute]],#REF!,2,FALSE)</f>
        <v>#REF!</v>
      </c>
      <c r="F5197">
        <v>154.30000000000001</v>
      </c>
      <c r="G5197">
        <f>(Cpi_[[#This Row],[Value]]-F5196)/F5196</f>
        <v>0.16717095310136176</v>
      </c>
      <c r="H5197" t="e" cm="1" vm="1">
        <f t="array" aca="1" ref="H5197" ca="1">VLOOKUP(Cpi_[[#This Row],[Year]:[Month]],crudeoil[],3,FALSE)</f>
        <v>#VALUE!</v>
      </c>
    </row>
    <row r="5198" spans="1:8" hidden="1" x14ac:dyDescent="0.3">
      <c r="A5198" t="s">
        <v>30</v>
      </c>
      <c r="B5198">
        <v>2018</v>
      </c>
      <c r="C5198" t="s">
        <v>38</v>
      </c>
      <c r="D5198" t="s">
        <v>15</v>
      </c>
      <c r="E5198" t="e">
        <f>VLOOKUP(Cpi_[[#This Row],[Attribute]],#REF!,2,FALSE)</f>
        <v>#REF!</v>
      </c>
      <c r="F5198">
        <v>139.1</v>
      </c>
      <c r="G5198">
        <f>(Cpi_[[#This Row],[Value]]-F5197)/F5197</f>
        <v>-9.8509397278029917E-2</v>
      </c>
      <c r="H5198" t="e" cm="1" vm="1">
        <f t="array" aca="1" ref="H5198" ca="1">VLOOKUP(Cpi_[[#This Row],[Year]:[Month]],crudeoil[],3,FALSE)</f>
        <v>#VALUE!</v>
      </c>
    </row>
    <row r="5199" spans="1:8" hidden="1" x14ac:dyDescent="0.3">
      <c r="A5199" t="s">
        <v>30</v>
      </c>
      <c r="B5199">
        <v>2018</v>
      </c>
      <c r="C5199" t="s">
        <v>38</v>
      </c>
      <c r="D5199" t="s">
        <v>16</v>
      </c>
      <c r="E5199" t="e">
        <f>VLOOKUP(Cpi_[[#This Row],[Attribute]],#REF!,2,FALSE)</f>
        <v>#REF!</v>
      </c>
      <c r="F5199">
        <v>157</v>
      </c>
      <c r="G5199">
        <f>(Cpi_[[#This Row],[Value]]-F5198)/F5198</f>
        <v>0.12868439971243714</v>
      </c>
      <c r="H5199" t="e" cm="1" vm="1">
        <f t="array" aca="1" ref="H5199" ca="1">VLOOKUP(Cpi_[[#This Row],[Year]:[Month]],crudeoil[],3,FALSE)</f>
        <v>#VALUE!</v>
      </c>
    </row>
    <row r="5200" spans="1:8" hidden="1" x14ac:dyDescent="0.3">
      <c r="A5200" t="s">
        <v>30</v>
      </c>
      <c r="B5200">
        <v>2018</v>
      </c>
      <c r="C5200" t="s">
        <v>38</v>
      </c>
      <c r="D5200" t="s">
        <v>17</v>
      </c>
      <c r="E5200" t="e">
        <f>VLOOKUP(Cpi_[[#This Row],[Attribute]],#REF!,2,FALSE)</f>
        <v>#REF!</v>
      </c>
      <c r="F5200">
        <v>150.80000000000001</v>
      </c>
      <c r="G5200">
        <f>(Cpi_[[#This Row],[Value]]-F5199)/F5199</f>
        <v>-3.949044585987254E-2</v>
      </c>
      <c r="H5200" t="e" cm="1" vm="1">
        <f t="array" aca="1" ref="H5200" ca="1">VLOOKUP(Cpi_[[#This Row],[Year]:[Month]],crudeoil[],3,FALSE)</f>
        <v>#VALUE!</v>
      </c>
    </row>
    <row r="5201" spans="1:8" hidden="1" x14ac:dyDescent="0.3">
      <c r="A5201" t="s">
        <v>30</v>
      </c>
      <c r="B5201">
        <v>2018</v>
      </c>
      <c r="C5201" t="s">
        <v>38</v>
      </c>
      <c r="D5201" t="s">
        <v>18</v>
      </c>
      <c r="E5201" t="e">
        <f>VLOOKUP(Cpi_[[#This Row],[Attribute]],#REF!,2,FALSE)</f>
        <v>#REF!</v>
      </c>
      <c r="F5201">
        <v>144.1</v>
      </c>
      <c r="G5201">
        <f>(Cpi_[[#This Row],[Value]]-F5200)/F5200</f>
        <v>-4.4429708222811781E-2</v>
      </c>
      <c r="H5201" t="e" cm="1" vm="1">
        <f t="array" aca="1" ref="H5201" ca="1">VLOOKUP(Cpi_[[#This Row],[Year]:[Month]],crudeoil[],3,FALSE)</f>
        <v>#VALUE!</v>
      </c>
    </row>
    <row r="5202" spans="1:8" hidden="1" x14ac:dyDescent="0.3">
      <c r="A5202" t="s">
        <v>30</v>
      </c>
      <c r="B5202">
        <v>2018</v>
      </c>
      <c r="C5202" t="s">
        <v>38</v>
      </c>
      <c r="D5202" t="s">
        <v>19</v>
      </c>
      <c r="E5202" t="e">
        <f>VLOOKUP(Cpi_[[#This Row],[Attribute]],#REF!,2,FALSE)</f>
        <v>#REF!</v>
      </c>
      <c r="F5202">
        <v>149.80000000000001</v>
      </c>
      <c r="G5202">
        <f>(Cpi_[[#This Row],[Value]]-F5201)/F5201</f>
        <v>3.955586398334502E-2</v>
      </c>
      <c r="H5202" t="e" cm="1" vm="1">
        <f t="array" aca="1" ref="H5202" ca="1">VLOOKUP(Cpi_[[#This Row],[Year]:[Month]],crudeoil[],3,FALSE)</f>
        <v>#VALUE!</v>
      </c>
    </row>
    <row r="5203" spans="1:8" hidden="1" x14ac:dyDescent="0.3">
      <c r="A5203" t="s">
        <v>30</v>
      </c>
      <c r="B5203">
        <v>2018</v>
      </c>
      <c r="C5203" t="s">
        <v>38</v>
      </c>
      <c r="D5203" t="s">
        <v>20</v>
      </c>
      <c r="E5203" t="e">
        <f>VLOOKUP(Cpi_[[#This Row],[Attribute]],#REF!,2,FALSE)</f>
        <v>#REF!</v>
      </c>
      <c r="F5203" t="s">
        <v>32</v>
      </c>
      <c r="G5203" t="e">
        <f>(Cpi_[[#This Row],[Value]]-F5202)/F5202</f>
        <v>#VALUE!</v>
      </c>
      <c r="H5203" t="e" cm="1" vm="1">
        <f t="array" aca="1" ref="H5203" ca="1">VLOOKUP(Cpi_[[#This Row],[Year]:[Month]],crudeoil[],3,FALSE)</f>
        <v>#VALUE!</v>
      </c>
    </row>
    <row r="5204" spans="1:8" hidden="1" x14ac:dyDescent="0.3">
      <c r="A5204" t="s">
        <v>30</v>
      </c>
      <c r="B5204">
        <v>2018</v>
      </c>
      <c r="C5204" t="s">
        <v>38</v>
      </c>
      <c r="D5204" t="s">
        <v>21</v>
      </c>
      <c r="E5204" t="e">
        <f>VLOOKUP(Cpi_[[#This Row],[Attribute]],#REF!,2,FALSE)</f>
        <v>#REF!</v>
      </c>
      <c r="F5204">
        <v>144.30000000000001</v>
      </c>
      <c r="G5204" t="e">
        <f>(Cpi_[[#This Row],[Value]]-F5203)/F5203</f>
        <v>#VALUE!</v>
      </c>
      <c r="H5204" t="e" cm="1" vm="1">
        <f t="array" aca="1" ref="H5204" ca="1">VLOOKUP(Cpi_[[#This Row],[Year]:[Month]],crudeoil[],3,FALSE)</f>
        <v>#VALUE!</v>
      </c>
    </row>
    <row r="5205" spans="1:8" hidden="1" x14ac:dyDescent="0.3">
      <c r="A5205" t="s">
        <v>30</v>
      </c>
      <c r="B5205">
        <v>2018</v>
      </c>
      <c r="C5205" t="s">
        <v>38</v>
      </c>
      <c r="D5205" t="s">
        <v>22</v>
      </c>
      <c r="E5205" t="e">
        <f>VLOOKUP(Cpi_[[#This Row],[Attribute]],#REF!,2,FALSE)</f>
        <v>#REF!</v>
      </c>
      <c r="F5205">
        <v>141.80000000000001</v>
      </c>
      <c r="G5205">
        <f>(Cpi_[[#This Row],[Value]]-F5204)/F5204</f>
        <v>-1.7325017325017324E-2</v>
      </c>
      <c r="H5205" t="e" cm="1" vm="1">
        <f t="array" aca="1" ref="H5205" ca="1">VLOOKUP(Cpi_[[#This Row],[Year]:[Month]],crudeoil[],3,FALSE)</f>
        <v>#VALUE!</v>
      </c>
    </row>
    <row r="5206" spans="1:8" hidden="1" x14ac:dyDescent="0.3">
      <c r="A5206" t="s">
        <v>30</v>
      </c>
      <c r="B5206">
        <v>2018</v>
      </c>
      <c r="C5206" t="s">
        <v>38</v>
      </c>
      <c r="D5206" t="s">
        <v>23</v>
      </c>
      <c r="E5206" t="e">
        <f>VLOOKUP(Cpi_[[#This Row],[Attribute]],#REF!,2,FALSE)</f>
        <v>#REF!</v>
      </c>
      <c r="F5206">
        <v>138.4</v>
      </c>
      <c r="G5206">
        <f>(Cpi_[[#This Row],[Value]]-F5205)/F5205</f>
        <v>-2.3977433004231351E-2</v>
      </c>
      <c r="H5206" t="e" cm="1" vm="1">
        <f t="array" aca="1" ref="H5206" ca="1">VLOOKUP(Cpi_[[#This Row],[Year]:[Month]],crudeoil[],3,FALSE)</f>
        <v>#VALUE!</v>
      </c>
    </row>
    <row r="5207" spans="1:8" hidden="1" x14ac:dyDescent="0.3">
      <c r="A5207" t="s">
        <v>30</v>
      </c>
      <c r="B5207">
        <v>2018</v>
      </c>
      <c r="C5207" t="s">
        <v>38</v>
      </c>
      <c r="D5207" t="s">
        <v>24</v>
      </c>
      <c r="E5207" t="e">
        <f>VLOOKUP(Cpi_[[#This Row],[Attribute]],#REF!,2,FALSE)</f>
        <v>#REF!</v>
      </c>
      <c r="F5207">
        <v>126.4</v>
      </c>
      <c r="G5207">
        <f>(Cpi_[[#This Row],[Value]]-F5206)/F5206</f>
        <v>-8.6705202312138727E-2</v>
      </c>
      <c r="H5207" t="e" cm="1" vm="1">
        <f t="array" aca="1" ref="H5207" ca="1">VLOOKUP(Cpi_[[#This Row],[Year]:[Month]],crudeoil[],3,FALSE)</f>
        <v>#VALUE!</v>
      </c>
    </row>
    <row r="5208" spans="1:8" hidden="1" x14ac:dyDescent="0.3">
      <c r="A5208" t="s">
        <v>30</v>
      </c>
      <c r="B5208">
        <v>2018</v>
      </c>
      <c r="C5208" t="s">
        <v>38</v>
      </c>
      <c r="D5208" t="s">
        <v>25</v>
      </c>
      <c r="E5208" t="e">
        <f>VLOOKUP(Cpi_[[#This Row],[Attribute]],#REF!,2,FALSE)</f>
        <v>#REF!</v>
      </c>
      <c r="F5208">
        <v>136.80000000000001</v>
      </c>
      <c r="G5208">
        <f>(Cpi_[[#This Row],[Value]]-F5207)/F5207</f>
        <v>8.2278481012658264E-2</v>
      </c>
      <c r="H5208" t="e" cm="1" vm="1">
        <f t="array" aca="1" ref="H5208" ca="1">VLOOKUP(Cpi_[[#This Row],[Year]:[Month]],crudeoil[],3,FALSE)</f>
        <v>#VALUE!</v>
      </c>
    </row>
    <row r="5209" spans="1:8" hidden="1" x14ac:dyDescent="0.3">
      <c r="A5209" t="s">
        <v>30</v>
      </c>
      <c r="B5209">
        <v>2018</v>
      </c>
      <c r="C5209" t="s">
        <v>38</v>
      </c>
      <c r="D5209" t="s">
        <v>26</v>
      </c>
      <c r="E5209" t="e">
        <f>VLOOKUP(Cpi_[[#This Row],[Attribute]],#REF!,2,FALSE)</f>
        <v>#REF!</v>
      </c>
      <c r="F5209">
        <v>144.4</v>
      </c>
      <c r="G5209">
        <f>(Cpi_[[#This Row],[Value]]-F5208)/F5208</f>
        <v>5.5555555555555511E-2</v>
      </c>
      <c r="H5209" t="e" cm="1" vm="1">
        <f t="array" aca="1" ref="H5209" ca="1">VLOOKUP(Cpi_[[#This Row],[Year]:[Month]],crudeoil[],3,FALSE)</f>
        <v>#VALUE!</v>
      </c>
    </row>
    <row r="5210" spans="1:8" hidden="1" x14ac:dyDescent="0.3">
      <c r="A5210" t="s">
        <v>30</v>
      </c>
      <c r="B5210">
        <v>2018</v>
      </c>
      <c r="C5210" t="s">
        <v>38</v>
      </c>
      <c r="D5210" t="s">
        <v>27</v>
      </c>
      <c r="E5210" t="e">
        <f>VLOOKUP(Cpi_[[#This Row],[Attribute]],#REF!,2,FALSE)</f>
        <v>#REF!</v>
      </c>
      <c r="F5210">
        <v>131.19999999999999</v>
      </c>
      <c r="G5210">
        <f>(Cpi_[[#This Row],[Value]]-F5209)/F5209</f>
        <v>-9.1412742382271581E-2</v>
      </c>
      <c r="H5210" t="e" cm="1" vm="1">
        <f t="array" aca="1" ref="H5210" ca="1">VLOOKUP(Cpi_[[#This Row],[Year]:[Month]],crudeoil[],3,FALSE)</f>
        <v>#VALUE!</v>
      </c>
    </row>
    <row r="5211" spans="1:8" hidden="1" x14ac:dyDescent="0.3">
      <c r="A5211" t="s">
        <v>30</v>
      </c>
      <c r="B5211">
        <v>2018</v>
      </c>
      <c r="C5211" t="s">
        <v>38</v>
      </c>
      <c r="D5211" t="s">
        <v>28</v>
      </c>
      <c r="E5211" t="e">
        <f>VLOOKUP(Cpi_[[#This Row],[Attribute]],#REF!,2,FALSE)</f>
        <v>#REF!</v>
      </c>
      <c r="F5211">
        <v>135.1</v>
      </c>
      <c r="G5211">
        <f>(Cpi_[[#This Row],[Value]]-F5210)/F5210</f>
        <v>2.9725609756097608E-2</v>
      </c>
      <c r="H5211" t="e" cm="1" vm="1">
        <f t="array" aca="1" ref="H5211" ca="1">VLOOKUP(Cpi_[[#This Row],[Year]:[Month]],crudeoil[],3,FALSE)</f>
        <v>#VALUE!</v>
      </c>
    </row>
    <row r="5212" spans="1:8" hidden="1" x14ac:dyDescent="0.3">
      <c r="A5212" t="s">
        <v>30</v>
      </c>
      <c r="B5212">
        <v>2018</v>
      </c>
      <c r="C5212" t="s">
        <v>38</v>
      </c>
      <c r="D5212" t="s">
        <v>29</v>
      </c>
      <c r="E5212" t="e" cm="1">
        <f t="array" aca="1" ref="E5212" ca="1">VLGeneral indexGeneral indexKUP(Cpi_[[#This Row],[Attribute]],#REF!,2,FALSE)</f>
        <v>#NAME?</v>
      </c>
      <c r="F5212">
        <v>139.80000000000001</v>
      </c>
      <c r="G5212">
        <f>(Cpi_[[#This Row],[Value]]-F5211)/F5211</f>
        <v>3.4789045151739577E-2</v>
      </c>
      <c r="H5212" t="e" cm="1" vm="1">
        <f t="array" aca="1" ref="H5212" ca="1">VLOOKUP(Cpi_[[#This Row],[Year]:[Month]],crudeoil[],3,FALSE)</f>
        <v>#VALUE!</v>
      </c>
    </row>
    <row r="5213" spans="1:8" hidden="1" x14ac:dyDescent="0.3">
      <c r="A5213" t="s">
        <v>33</v>
      </c>
      <c r="B5213">
        <v>2018</v>
      </c>
      <c r="C5213" t="s">
        <v>38</v>
      </c>
      <c r="D5213" t="s">
        <v>3</v>
      </c>
      <c r="E5213" t="e">
        <f>VLOOKUP(Cpi_[[#This Row],[Attribute]],#REF!,2,FALSE)</f>
        <v>#REF!</v>
      </c>
      <c r="F5213">
        <v>135</v>
      </c>
      <c r="G5213">
        <f>(Cpi_[[#This Row],[Value]]-F5212)/F5212</f>
        <v>-3.433476394849793E-2</v>
      </c>
      <c r="H5213" t="e" cm="1" vm="1">
        <f t="array" aca="1" ref="H5213" ca="1">VLOOKUP(Cpi_[[#This Row],[Year]:[Month]],crudeoil[],3,FALSE)</f>
        <v>#VALUE!</v>
      </c>
    </row>
    <row r="5214" spans="1:8" hidden="1" x14ac:dyDescent="0.3">
      <c r="A5214" t="s">
        <v>33</v>
      </c>
      <c r="B5214">
        <v>2018</v>
      </c>
      <c r="C5214" t="s">
        <v>38</v>
      </c>
      <c r="D5214" t="s">
        <v>4</v>
      </c>
      <c r="E5214" t="e">
        <f>VLOOKUP(Cpi_[[#This Row],[Attribute]],#REF!,2,FALSE)</f>
        <v>#REF!</v>
      </c>
      <c r="F5214">
        <v>148.19999999999999</v>
      </c>
      <c r="G5214">
        <f>(Cpi_[[#This Row],[Value]]-F5213)/F5213</f>
        <v>9.77777777777777E-2</v>
      </c>
      <c r="H5214" t="e" cm="1" vm="1">
        <f t="array" aca="1" ref="H5214" ca="1">VLOOKUP(Cpi_[[#This Row],[Year]:[Month]],crudeoil[],3,FALSE)</f>
        <v>#VALUE!</v>
      </c>
    </row>
    <row r="5215" spans="1:8" hidden="1" x14ac:dyDescent="0.3">
      <c r="A5215" t="s">
        <v>33</v>
      </c>
      <c r="B5215">
        <v>2018</v>
      </c>
      <c r="C5215" t="s">
        <v>38</v>
      </c>
      <c r="D5215" t="s">
        <v>5</v>
      </c>
      <c r="E5215" t="e">
        <f>VLOOKUP(Cpi_[[#This Row],[Attribute]],#REF!,2,FALSE)</f>
        <v>#REF!</v>
      </c>
      <c r="F5215">
        <v>130.5</v>
      </c>
      <c r="G5215">
        <f>(Cpi_[[#This Row],[Value]]-F5214)/F5214</f>
        <v>-0.11943319838056674</v>
      </c>
      <c r="H5215" t="e" cm="1" vm="1">
        <f t="array" aca="1" ref="H5215" ca="1">VLOOKUP(Cpi_[[#This Row],[Year]:[Month]],crudeoil[],3,FALSE)</f>
        <v>#VALUE!</v>
      </c>
    </row>
    <row r="5216" spans="1:8" hidden="1" x14ac:dyDescent="0.3">
      <c r="A5216" t="s">
        <v>33</v>
      </c>
      <c r="B5216">
        <v>2018</v>
      </c>
      <c r="C5216" t="s">
        <v>38</v>
      </c>
      <c r="D5216" t="s">
        <v>6</v>
      </c>
      <c r="E5216" t="e">
        <f>VLOOKUP(Cpi_[[#This Row],[Attribute]],#REF!,2,FALSE)</f>
        <v>#REF!</v>
      </c>
      <c r="F5216">
        <v>140.69999999999999</v>
      </c>
      <c r="G5216">
        <f>(Cpi_[[#This Row],[Value]]-F5215)/F5215</f>
        <v>7.8160919540229801E-2</v>
      </c>
      <c r="H5216" t="e" cm="1" vm="1">
        <f t="array" aca="1" ref="H5216" ca="1">VLOOKUP(Cpi_[[#This Row],[Year]:[Month]],crudeoil[],3,FALSE)</f>
        <v>#VALUE!</v>
      </c>
    </row>
    <row r="5217" spans="1:8" hidden="1" x14ac:dyDescent="0.3">
      <c r="A5217" t="s">
        <v>33</v>
      </c>
      <c r="B5217">
        <v>2018</v>
      </c>
      <c r="C5217" t="s">
        <v>38</v>
      </c>
      <c r="D5217" t="s">
        <v>7</v>
      </c>
      <c r="E5217" t="e">
        <f>VLOOKUP(Cpi_[[#This Row],[Attribute]],#REF!,2,FALSE)</f>
        <v>#REF!</v>
      </c>
      <c r="F5217">
        <v>116.4</v>
      </c>
      <c r="G5217">
        <f>(Cpi_[[#This Row],[Value]]-F5216)/F5216</f>
        <v>-0.17270788912579946</v>
      </c>
      <c r="H5217" t="e" cm="1" vm="1">
        <f t="array" aca="1" ref="H5217" ca="1">VLOOKUP(Cpi_[[#This Row],[Year]:[Month]],crudeoil[],3,FALSE)</f>
        <v>#VALUE!</v>
      </c>
    </row>
    <row r="5218" spans="1:8" hidden="1" x14ac:dyDescent="0.3">
      <c r="A5218" t="s">
        <v>33</v>
      </c>
      <c r="B5218">
        <v>2018</v>
      </c>
      <c r="C5218" t="s">
        <v>38</v>
      </c>
      <c r="D5218" t="s">
        <v>8</v>
      </c>
      <c r="E5218" t="e">
        <f>VLOOKUP(Cpi_[[#This Row],[Attribute]],#REF!,2,FALSE)</f>
        <v>#REF!</v>
      </c>
      <c r="F5218">
        <v>151.30000000000001</v>
      </c>
      <c r="G5218">
        <f>(Cpi_[[#This Row],[Value]]-F5217)/F5217</f>
        <v>0.29982817869415812</v>
      </c>
      <c r="H5218" t="e" cm="1" vm="1">
        <f t="array" aca="1" ref="H5218" ca="1">VLOOKUP(Cpi_[[#This Row],[Year]:[Month]],crudeoil[],3,FALSE)</f>
        <v>#VALUE!</v>
      </c>
    </row>
    <row r="5219" spans="1:8" hidden="1" x14ac:dyDescent="0.3">
      <c r="A5219" t="s">
        <v>33</v>
      </c>
      <c r="B5219">
        <v>2018</v>
      </c>
      <c r="C5219" t="s">
        <v>38</v>
      </c>
      <c r="D5219" t="s">
        <v>9</v>
      </c>
      <c r="E5219" t="e">
        <f>VLOOKUP(Cpi_[[#This Row],[Attribute]],#REF!,2,FALSE)</f>
        <v>#REF!</v>
      </c>
      <c r="F5219">
        <v>131.4</v>
      </c>
      <c r="G5219">
        <f>(Cpi_[[#This Row],[Value]]-F5218)/F5218</f>
        <v>-0.13152676801057506</v>
      </c>
      <c r="H5219" t="e" cm="1" vm="1">
        <f t="array" aca="1" ref="H5219" ca="1">VLOOKUP(Cpi_[[#This Row],[Year]:[Month]],crudeoil[],3,FALSE)</f>
        <v>#VALUE!</v>
      </c>
    </row>
    <row r="5220" spans="1:8" hidden="1" x14ac:dyDescent="0.3">
      <c r="A5220" t="s">
        <v>33</v>
      </c>
      <c r="B5220">
        <v>2018</v>
      </c>
      <c r="C5220" t="s">
        <v>38</v>
      </c>
      <c r="D5220" t="s">
        <v>10</v>
      </c>
      <c r="E5220" t="e">
        <f>VLOOKUP(Cpi_[[#This Row],[Attribute]],#REF!,2,FALSE)</f>
        <v>#REF!</v>
      </c>
      <c r="F5220">
        <v>112.8</v>
      </c>
      <c r="G5220">
        <f>(Cpi_[[#This Row],[Value]]-F5219)/F5219</f>
        <v>-0.14155251141552516</v>
      </c>
      <c r="H5220" t="e" cm="1" vm="1">
        <f t="array" aca="1" ref="H5220" ca="1">VLOOKUP(Cpi_[[#This Row],[Year]:[Month]],crudeoil[],3,FALSE)</f>
        <v>#VALUE!</v>
      </c>
    </row>
    <row r="5221" spans="1:8" hidden="1" x14ac:dyDescent="0.3">
      <c r="A5221" t="s">
        <v>33</v>
      </c>
      <c r="B5221">
        <v>2018</v>
      </c>
      <c r="C5221" t="s">
        <v>38</v>
      </c>
      <c r="D5221" t="s">
        <v>11</v>
      </c>
      <c r="E5221" t="e">
        <f>VLOOKUP(Cpi_[[#This Row],[Attribute]],#REF!,2,FALSE)</f>
        <v>#REF!</v>
      </c>
      <c r="F5221">
        <v>105.3</v>
      </c>
      <c r="G5221">
        <f>(Cpi_[[#This Row],[Value]]-F5220)/F5220</f>
        <v>-6.6489361702127658E-2</v>
      </c>
      <c r="H5221" t="e" cm="1" vm="1">
        <f t="array" aca="1" ref="H5221" ca="1">VLOOKUP(Cpi_[[#This Row],[Year]:[Month]],crudeoil[],3,FALSE)</f>
        <v>#VALUE!</v>
      </c>
    </row>
    <row r="5222" spans="1:8" hidden="1" x14ac:dyDescent="0.3">
      <c r="A5222" t="s">
        <v>33</v>
      </c>
      <c r="B5222">
        <v>2018</v>
      </c>
      <c r="C5222" t="s">
        <v>38</v>
      </c>
      <c r="D5222" t="s">
        <v>12</v>
      </c>
      <c r="E5222" t="e">
        <f>VLOOKUP(Cpi_[[#This Row],[Attribute]],#REF!,2,FALSE)</f>
        <v>#REF!</v>
      </c>
      <c r="F5222">
        <v>139.6</v>
      </c>
      <c r="G5222">
        <f>(Cpi_[[#This Row],[Value]]-F5221)/F5221</f>
        <v>0.32573599240265905</v>
      </c>
      <c r="H5222" t="e" cm="1" vm="1">
        <f t="array" aca="1" ref="H5222" ca="1">VLOOKUP(Cpi_[[#This Row],[Year]:[Month]],crudeoil[],3,FALSE)</f>
        <v>#VALUE!</v>
      </c>
    </row>
    <row r="5223" spans="1:8" hidden="1" x14ac:dyDescent="0.3">
      <c r="A5223" t="s">
        <v>33</v>
      </c>
      <c r="B5223">
        <v>2018</v>
      </c>
      <c r="C5223" t="s">
        <v>38</v>
      </c>
      <c r="D5223" t="s">
        <v>13</v>
      </c>
      <c r="E5223" t="e">
        <f>VLOOKUP(Cpi_[[#This Row],[Attribute]],#REF!,2,FALSE)</f>
        <v>#REF!</v>
      </c>
      <c r="F5223">
        <v>126.6</v>
      </c>
      <c r="G5223">
        <f>(Cpi_[[#This Row],[Value]]-F5222)/F5222</f>
        <v>-9.3123209169054449E-2</v>
      </c>
      <c r="H5223" t="e" cm="1" vm="1">
        <f t="array" aca="1" ref="H5223" ca="1">VLOOKUP(Cpi_[[#This Row],[Year]:[Month]],crudeoil[],3,FALSE)</f>
        <v>#VALUE!</v>
      </c>
    </row>
    <row r="5224" spans="1:8" hidden="1" x14ac:dyDescent="0.3">
      <c r="A5224" t="s">
        <v>33</v>
      </c>
      <c r="B5224">
        <v>2018</v>
      </c>
      <c r="C5224" t="s">
        <v>38</v>
      </c>
      <c r="D5224" t="s">
        <v>14</v>
      </c>
      <c r="E5224" t="e">
        <f>VLOOKUP(Cpi_[[#This Row],[Attribute]],#REF!,2,FALSE)</f>
        <v>#REF!</v>
      </c>
      <c r="F5224">
        <v>148.69999999999999</v>
      </c>
      <c r="G5224">
        <f>(Cpi_[[#This Row],[Value]]-F5223)/F5223</f>
        <v>0.17456556082148494</v>
      </c>
      <c r="H5224" t="e" cm="1" vm="1">
        <f t="array" aca="1" ref="H5224" ca="1">VLOOKUP(Cpi_[[#This Row],[Year]:[Month]],crudeoil[],3,FALSE)</f>
        <v>#VALUE!</v>
      </c>
    </row>
    <row r="5225" spans="1:8" hidden="1" x14ac:dyDescent="0.3">
      <c r="A5225" t="s">
        <v>33</v>
      </c>
      <c r="B5225">
        <v>2018</v>
      </c>
      <c r="C5225" t="s">
        <v>38</v>
      </c>
      <c r="D5225" t="s">
        <v>15</v>
      </c>
      <c r="E5225" t="e">
        <f>VLOOKUP(Cpi_[[#This Row],[Attribute]],#REF!,2,FALSE)</f>
        <v>#REF!</v>
      </c>
      <c r="F5225">
        <v>136.4</v>
      </c>
      <c r="G5225">
        <f>(Cpi_[[#This Row],[Value]]-F5224)/F5224</f>
        <v>-8.2716879623402711E-2</v>
      </c>
      <c r="H5225" t="e" cm="1" vm="1">
        <f t="array" aca="1" ref="H5225" ca="1">VLOOKUP(Cpi_[[#This Row],[Year]:[Month]],crudeoil[],3,FALSE)</f>
        <v>#VALUE!</v>
      </c>
    </row>
    <row r="5226" spans="1:8" hidden="1" x14ac:dyDescent="0.3">
      <c r="A5226" t="s">
        <v>33</v>
      </c>
      <c r="B5226">
        <v>2018</v>
      </c>
      <c r="C5226" t="s">
        <v>38</v>
      </c>
      <c r="D5226" t="s">
        <v>16</v>
      </c>
      <c r="E5226" t="e">
        <f>VLOOKUP(Cpi_[[#This Row],[Attribute]],#REF!,2,FALSE)</f>
        <v>#REF!</v>
      </c>
      <c r="F5226">
        <v>160.30000000000001</v>
      </c>
      <c r="G5226">
        <f>(Cpi_[[#This Row],[Value]]-F5225)/F5225</f>
        <v>0.17521994134897365</v>
      </c>
      <c r="H5226" t="e" cm="1" vm="1">
        <f t="array" aca="1" ref="H5226" ca="1">VLOOKUP(Cpi_[[#This Row],[Year]:[Month]],crudeoil[],3,FALSE)</f>
        <v>#VALUE!</v>
      </c>
    </row>
    <row r="5227" spans="1:8" hidden="1" x14ac:dyDescent="0.3">
      <c r="A5227" t="s">
        <v>33</v>
      </c>
      <c r="B5227">
        <v>2018</v>
      </c>
      <c r="C5227" t="s">
        <v>38</v>
      </c>
      <c r="D5227" t="s">
        <v>17</v>
      </c>
      <c r="E5227" t="e">
        <f>VLOOKUP(Cpi_[[#This Row],[Attribute]],#REF!,2,FALSE)</f>
        <v>#REF!</v>
      </c>
      <c r="F5227">
        <v>138.6</v>
      </c>
      <c r="G5227">
        <f>(Cpi_[[#This Row],[Value]]-F5226)/F5226</f>
        <v>-0.1353711790393014</v>
      </c>
      <c r="H5227" t="e" cm="1" vm="1">
        <f t="array" aca="1" ref="H5227" ca="1">VLOOKUP(Cpi_[[#This Row],[Year]:[Month]],crudeoil[],3,FALSE)</f>
        <v>#VALUE!</v>
      </c>
    </row>
    <row r="5228" spans="1:8" hidden="1" x14ac:dyDescent="0.3">
      <c r="A5228" t="s">
        <v>33</v>
      </c>
      <c r="B5228">
        <v>2018</v>
      </c>
      <c r="C5228" t="s">
        <v>38</v>
      </c>
      <c r="D5228" t="s">
        <v>18</v>
      </c>
      <c r="E5228" t="e">
        <f>VLOOKUP(Cpi_[[#This Row],[Attribute]],#REF!,2,FALSE)</f>
        <v>#REF!</v>
      </c>
      <c r="F5228">
        <v>127.9</v>
      </c>
      <c r="G5228">
        <f>(Cpi_[[#This Row],[Value]]-F5227)/F5227</f>
        <v>-7.7200577200577117E-2</v>
      </c>
      <c r="H5228" t="e" cm="1" vm="1">
        <f t="array" aca="1" ref="H5228" ca="1">VLOOKUP(Cpi_[[#This Row],[Year]:[Month]],crudeoil[],3,FALSE)</f>
        <v>#VALUE!</v>
      </c>
    </row>
    <row r="5229" spans="1:8" hidden="1" x14ac:dyDescent="0.3">
      <c r="A5229" t="s">
        <v>33</v>
      </c>
      <c r="B5229">
        <v>2018</v>
      </c>
      <c r="C5229" t="s">
        <v>38</v>
      </c>
      <c r="D5229" t="s">
        <v>19</v>
      </c>
      <c r="E5229" t="e">
        <f>VLOOKUP(Cpi_[[#This Row],[Attribute]],#REF!,2,FALSE)</f>
        <v>#REF!</v>
      </c>
      <c r="F5229">
        <v>137</v>
      </c>
      <c r="G5229">
        <f>(Cpi_[[#This Row],[Value]]-F5228)/F5228</f>
        <v>7.114933541829549E-2</v>
      </c>
      <c r="H5229" t="e" cm="1" vm="1">
        <f t="array" aca="1" ref="H5229" ca="1">VLOOKUP(Cpi_[[#This Row],[Year]:[Month]],crudeoil[],3,FALSE)</f>
        <v>#VALUE!</v>
      </c>
    </row>
    <row r="5230" spans="1:8" hidden="1" x14ac:dyDescent="0.3">
      <c r="A5230" t="s">
        <v>33</v>
      </c>
      <c r="B5230">
        <v>2018</v>
      </c>
      <c r="C5230" t="s">
        <v>38</v>
      </c>
      <c r="D5230" t="s">
        <v>20</v>
      </c>
      <c r="E5230" t="e">
        <f>VLOOKUP(Cpi_[[#This Row],[Attribute]],#REF!,2,FALSE)</f>
        <v>#REF!</v>
      </c>
      <c r="F5230">
        <v>143.19999999999999</v>
      </c>
      <c r="G5230">
        <f>(Cpi_[[#This Row],[Value]]-F5229)/F5229</f>
        <v>4.5255474452554664E-2</v>
      </c>
      <c r="H5230" t="e" cm="1" vm="1">
        <f t="array" aca="1" ref="H5230" ca="1">VLOOKUP(Cpi_[[#This Row],[Year]:[Month]],crudeoil[],3,FALSE)</f>
        <v>#VALUE!</v>
      </c>
    </row>
    <row r="5231" spans="1:8" hidden="1" x14ac:dyDescent="0.3">
      <c r="A5231" t="s">
        <v>33</v>
      </c>
      <c r="B5231">
        <v>2018</v>
      </c>
      <c r="C5231" t="s">
        <v>38</v>
      </c>
      <c r="D5231" t="s">
        <v>21</v>
      </c>
      <c r="E5231" t="e">
        <f>VLOOKUP(Cpi_[[#This Row],[Attribute]],#REF!,2,FALSE)</f>
        <v>#REF!</v>
      </c>
      <c r="F5231">
        <v>124.7</v>
      </c>
      <c r="G5231">
        <f>(Cpi_[[#This Row],[Value]]-F5230)/F5230</f>
        <v>-0.12918994413407811</v>
      </c>
      <c r="H5231" t="e" cm="1" vm="1">
        <f t="array" aca="1" ref="H5231" ca="1">VLOOKUP(Cpi_[[#This Row],[Year]:[Month]],crudeoil[],3,FALSE)</f>
        <v>#VALUE!</v>
      </c>
    </row>
    <row r="5232" spans="1:8" hidden="1" x14ac:dyDescent="0.3">
      <c r="A5232" t="s">
        <v>33</v>
      </c>
      <c r="B5232">
        <v>2018</v>
      </c>
      <c r="C5232" t="s">
        <v>38</v>
      </c>
      <c r="D5232" t="s">
        <v>22</v>
      </c>
      <c r="E5232" t="e">
        <f>VLOOKUP(Cpi_[[#This Row],[Attribute]],#REF!,2,FALSE)</f>
        <v>#REF!</v>
      </c>
      <c r="F5232">
        <v>132.5</v>
      </c>
      <c r="G5232">
        <f>(Cpi_[[#This Row],[Value]]-F5231)/F5231</f>
        <v>6.2550120288692834E-2</v>
      </c>
      <c r="H5232" t="e" cm="1" vm="1">
        <f t="array" aca="1" ref="H5232" ca="1">VLOOKUP(Cpi_[[#This Row],[Year]:[Month]],crudeoil[],3,FALSE)</f>
        <v>#VALUE!</v>
      </c>
    </row>
    <row r="5233" spans="1:8" hidden="1" x14ac:dyDescent="0.3">
      <c r="A5233" t="s">
        <v>33</v>
      </c>
      <c r="B5233">
        <v>2018</v>
      </c>
      <c r="C5233" t="s">
        <v>38</v>
      </c>
      <c r="D5233" t="s">
        <v>23</v>
      </c>
      <c r="E5233" t="e">
        <f>VLOOKUP(Cpi_[[#This Row],[Attribute]],#REF!,2,FALSE)</f>
        <v>#REF!</v>
      </c>
      <c r="F5233">
        <v>132</v>
      </c>
      <c r="G5233">
        <f>(Cpi_[[#This Row],[Value]]-F5232)/F5232</f>
        <v>-3.7735849056603774E-3</v>
      </c>
      <c r="H5233" t="e" cm="1" vm="1">
        <f t="array" aca="1" ref="H5233" ca="1">VLOOKUP(Cpi_[[#This Row],[Year]:[Month]],crudeoil[],3,FALSE)</f>
        <v>#VALUE!</v>
      </c>
    </row>
    <row r="5234" spans="1:8" hidden="1" x14ac:dyDescent="0.3">
      <c r="A5234" t="s">
        <v>33</v>
      </c>
      <c r="B5234">
        <v>2018</v>
      </c>
      <c r="C5234" t="s">
        <v>38</v>
      </c>
      <c r="D5234" t="s">
        <v>24</v>
      </c>
      <c r="E5234" t="e">
        <f>VLOOKUP(Cpi_[[#This Row],[Attribute]],#REF!,2,FALSE)</f>
        <v>#REF!</v>
      </c>
      <c r="F5234">
        <v>119.8</v>
      </c>
      <c r="G5234">
        <f>(Cpi_[[#This Row],[Value]]-F5233)/F5233</f>
        <v>-9.242424242424245E-2</v>
      </c>
      <c r="H5234" t="e" cm="1" vm="1">
        <f t="array" aca="1" ref="H5234" ca="1">VLOOKUP(Cpi_[[#This Row],[Year]:[Month]],crudeoil[],3,FALSE)</f>
        <v>#VALUE!</v>
      </c>
    </row>
    <row r="5235" spans="1:8" hidden="1" x14ac:dyDescent="0.3">
      <c r="A5235" t="s">
        <v>33</v>
      </c>
      <c r="B5235">
        <v>2018</v>
      </c>
      <c r="C5235" t="s">
        <v>38</v>
      </c>
      <c r="D5235" t="s">
        <v>25</v>
      </c>
      <c r="E5235" t="e">
        <f>VLOOKUP(Cpi_[[#This Row],[Attribute]],#REF!,2,FALSE)</f>
        <v>#REF!</v>
      </c>
      <c r="F5235">
        <v>128</v>
      </c>
      <c r="G5235">
        <f>(Cpi_[[#This Row],[Value]]-F5234)/F5234</f>
        <v>6.8447412353923237E-2</v>
      </c>
      <c r="H5235" t="e" cm="1" vm="1">
        <f t="array" aca="1" ref="H5235" ca="1">VLOOKUP(Cpi_[[#This Row],[Year]:[Month]],crudeoil[],3,FALSE)</f>
        <v>#VALUE!</v>
      </c>
    </row>
    <row r="5236" spans="1:8" hidden="1" x14ac:dyDescent="0.3">
      <c r="A5236" t="s">
        <v>33</v>
      </c>
      <c r="B5236">
        <v>2018</v>
      </c>
      <c r="C5236" t="s">
        <v>38</v>
      </c>
      <c r="D5236" t="s">
        <v>26</v>
      </c>
      <c r="E5236" t="e">
        <f>VLOOKUP(Cpi_[[#This Row],[Attribute]],#REF!,2,FALSE)</f>
        <v>#REF!</v>
      </c>
      <c r="F5236">
        <v>140.4</v>
      </c>
      <c r="G5236">
        <f>(Cpi_[[#This Row],[Value]]-F5235)/F5235</f>
        <v>9.6875000000000044E-2</v>
      </c>
      <c r="H5236" t="e" cm="1" vm="1">
        <f t="array" aca="1" ref="H5236" ca="1">VLOOKUP(Cpi_[[#This Row],[Year]:[Month]],crudeoil[],3,FALSE)</f>
        <v>#VALUE!</v>
      </c>
    </row>
    <row r="5237" spans="1:8" hidden="1" x14ac:dyDescent="0.3">
      <c r="A5237" t="s">
        <v>33</v>
      </c>
      <c r="B5237">
        <v>2018</v>
      </c>
      <c r="C5237" t="s">
        <v>38</v>
      </c>
      <c r="D5237" t="s">
        <v>27</v>
      </c>
      <c r="E5237" t="e">
        <f>VLOOKUP(Cpi_[[#This Row],[Attribute]],#REF!,2,FALSE)</f>
        <v>#REF!</v>
      </c>
      <c r="F5237">
        <v>128.1</v>
      </c>
      <c r="G5237">
        <f>(Cpi_[[#This Row],[Value]]-F5236)/F5236</f>
        <v>-8.7606837606837684E-2</v>
      </c>
      <c r="H5237" t="e" cm="1" vm="1">
        <f t="array" aca="1" ref="H5237" ca="1">VLOOKUP(Cpi_[[#This Row],[Year]:[Month]],crudeoil[],3,FALSE)</f>
        <v>#VALUE!</v>
      </c>
    </row>
    <row r="5238" spans="1:8" hidden="1" x14ac:dyDescent="0.3">
      <c r="A5238" t="s">
        <v>33</v>
      </c>
      <c r="B5238">
        <v>2018</v>
      </c>
      <c r="C5238" t="s">
        <v>38</v>
      </c>
      <c r="D5238" t="s">
        <v>28</v>
      </c>
      <c r="E5238" t="e">
        <f>VLOOKUP(Cpi_[[#This Row],[Attribute]],#REF!,2,FALSE)</f>
        <v>#REF!</v>
      </c>
      <c r="F5238">
        <v>128.9</v>
      </c>
      <c r="G5238">
        <f>(Cpi_[[#This Row],[Value]]-F5237)/F5237</f>
        <v>6.2451209992194492E-3</v>
      </c>
      <c r="H5238" t="e" cm="1" vm="1">
        <f t="array" aca="1" ref="H5238" ca="1">VLOOKUP(Cpi_[[#This Row],[Year]:[Month]],crudeoil[],3,FALSE)</f>
        <v>#VALUE!</v>
      </c>
    </row>
    <row r="5239" spans="1:8" hidden="1" x14ac:dyDescent="0.3">
      <c r="A5239" t="s">
        <v>33</v>
      </c>
      <c r="B5239">
        <v>2018</v>
      </c>
      <c r="C5239" t="s">
        <v>38</v>
      </c>
      <c r="D5239" t="s">
        <v>29</v>
      </c>
      <c r="E5239" t="e" cm="1">
        <f t="array" aca="1" ref="E5239" ca="1">VLGeneral indexGeneral indexKUP(Cpi_[[#This Row],[Attribute]],#REF!,2,FALSE)</f>
        <v>#NAME?</v>
      </c>
      <c r="F5239">
        <v>135.4</v>
      </c>
      <c r="G5239">
        <f>(Cpi_[[#This Row],[Value]]-F5238)/F5238</f>
        <v>5.0426687354538396E-2</v>
      </c>
      <c r="H5239" t="e" cm="1" vm="1">
        <f t="array" aca="1" ref="H5239" ca="1">VLOOKUP(Cpi_[[#This Row],[Year]:[Month]],crudeoil[],3,FALSE)</f>
        <v>#VALUE!</v>
      </c>
    </row>
    <row r="5240" spans="1:8" hidden="1" x14ac:dyDescent="0.3">
      <c r="A5240" t="s">
        <v>34</v>
      </c>
      <c r="B5240">
        <v>2018</v>
      </c>
      <c r="C5240" t="s">
        <v>38</v>
      </c>
      <c r="D5240" t="s">
        <v>3</v>
      </c>
      <c r="E5240" t="e">
        <f>VLOOKUP(Cpi_[[#This Row],[Attribute]],#REF!,2,FALSE)</f>
        <v>#REF!</v>
      </c>
      <c r="F5240">
        <v>136.6</v>
      </c>
      <c r="G5240">
        <f>(Cpi_[[#This Row],[Value]]-F5239)/F5239</f>
        <v>8.8626292466764296E-3</v>
      </c>
      <c r="H5240" t="e" cm="1" vm="1">
        <f t="array" aca="1" ref="H5240" ca="1">VLOOKUP(Cpi_[[#This Row],[Year]:[Month]],crudeoil[],3,FALSE)</f>
        <v>#VALUE!</v>
      </c>
    </row>
    <row r="5241" spans="1:8" hidden="1" x14ac:dyDescent="0.3">
      <c r="A5241" t="s">
        <v>34</v>
      </c>
      <c r="B5241">
        <v>2018</v>
      </c>
      <c r="C5241" t="s">
        <v>38</v>
      </c>
      <c r="D5241" t="s">
        <v>4</v>
      </c>
      <c r="E5241" t="e">
        <f>VLOOKUP(Cpi_[[#This Row],[Attribute]],#REF!,2,FALSE)</f>
        <v>#REF!</v>
      </c>
      <c r="F5241">
        <v>146.6</v>
      </c>
      <c r="G5241">
        <f>(Cpi_[[#This Row],[Value]]-F5240)/F5240</f>
        <v>7.320644216691069E-2</v>
      </c>
      <c r="H5241" t="e" cm="1" vm="1">
        <f t="array" aca="1" ref="H5241" ca="1">VLOOKUP(Cpi_[[#This Row],[Year]:[Month]],crudeoil[],3,FALSE)</f>
        <v>#VALUE!</v>
      </c>
    </row>
    <row r="5242" spans="1:8" hidden="1" x14ac:dyDescent="0.3">
      <c r="A5242" t="s">
        <v>34</v>
      </c>
      <c r="B5242">
        <v>2018</v>
      </c>
      <c r="C5242" t="s">
        <v>38</v>
      </c>
      <c r="D5242" t="s">
        <v>5</v>
      </c>
      <c r="E5242" t="e">
        <f>VLOOKUP(Cpi_[[#This Row],[Attribute]],#REF!,2,FALSE)</f>
        <v>#REF!</v>
      </c>
      <c r="F5242">
        <v>133.6</v>
      </c>
      <c r="G5242">
        <f>(Cpi_[[#This Row],[Value]]-F5241)/F5241</f>
        <v>-8.8676671214188277E-2</v>
      </c>
      <c r="H5242" t="e" cm="1" vm="1">
        <f t="array" aca="1" ref="H5242" ca="1">VLOOKUP(Cpi_[[#This Row],[Year]:[Month]],crudeoil[],3,FALSE)</f>
        <v>#VALUE!</v>
      </c>
    </row>
    <row r="5243" spans="1:8" hidden="1" x14ac:dyDescent="0.3">
      <c r="A5243" t="s">
        <v>34</v>
      </c>
      <c r="B5243">
        <v>2018</v>
      </c>
      <c r="C5243" t="s">
        <v>38</v>
      </c>
      <c r="D5243" t="s">
        <v>6</v>
      </c>
      <c r="E5243" t="e">
        <f>VLOOKUP(Cpi_[[#This Row],[Attribute]],#REF!,2,FALSE)</f>
        <v>#REF!</v>
      </c>
      <c r="F5243">
        <v>142.1</v>
      </c>
      <c r="G5243">
        <f>(Cpi_[[#This Row],[Value]]-F5242)/F5242</f>
        <v>6.3622754491017966E-2</v>
      </c>
      <c r="H5243" t="e" cm="1" vm="1">
        <f t="array" aca="1" ref="H5243" ca="1">VLOOKUP(Cpi_[[#This Row],[Year]:[Month]],crudeoil[],3,FALSE)</f>
        <v>#VALUE!</v>
      </c>
    </row>
    <row r="5244" spans="1:8" hidden="1" x14ac:dyDescent="0.3">
      <c r="A5244" t="s">
        <v>34</v>
      </c>
      <c r="B5244">
        <v>2018</v>
      </c>
      <c r="C5244" t="s">
        <v>38</v>
      </c>
      <c r="D5244" t="s">
        <v>7</v>
      </c>
      <c r="E5244" t="e">
        <f>VLOOKUP(Cpi_[[#This Row],[Attribute]],#REF!,2,FALSE)</f>
        <v>#REF!</v>
      </c>
      <c r="F5244">
        <v>121</v>
      </c>
      <c r="G5244">
        <f>(Cpi_[[#This Row],[Value]]-F5243)/F5243</f>
        <v>-0.14848698099929625</v>
      </c>
      <c r="H5244" t="e" cm="1" vm="1">
        <f t="array" aca="1" ref="H5244" ca="1">VLOOKUP(Cpi_[[#This Row],[Year]:[Month]],crudeoil[],3,FALSE)</f>
        <v>#VALUE!</v>
      </c>
    </row>
    <row r="5245" spans="1:8" hidden="1" x14ac:dyDescent="0.3">
      <c r="A5245" t="s">
        <v>34</v>
      </c>
      <c r="B5245">
        <v>2018</v>
      </c>
      <c r="C5245" t="s">
        <v>38</v>
      </c>
      <c r="D5245" t="s">
        <v>8</v>
      </c>
      <c r="E5245" t="e">
        <f>VLOOKUP(Cpi_[[#This Row],[Attribute]],#REF!,2,FALSE)</f>
        <v>#REF!</v>
      </c>
      <c r="F5245">
        <v>154.6</v>
      </c>
      <c r="G5245">
        <f>(Cpi_[[#This Row],[Value]]-F5244)/F5244</f>
        <v>0.27768595041322308</v>
      </c>
      <c r="H5245" t="e" cm="1" vm="1">
        <f t="array" aca="1" ref="H5245" ca="1">VLOOKUP(Cpi_[[#This Row],[Year]:[Month]],crudeoil[],3,FALSE)</f>
        <v>#VALUE!</v>
      </c>
    </row>
    <row r="5246" spans="1:8" hidden="1" x14ac:dyDescent="0.3">
      <c r="A5246" t="s">
        <v>34</v>
      </c>
      <c r="B5246">
        <v>2018</v>
      </c>
      <c r="C5246" t="s">
        <v>38</v>
      </c>
      <c r="D5246" t="s">
        <v>9</v>
      </c>
      <c r="E5246" t="e">
        <f>VLOOKUP(Cpi_[[#This Row],[Attribute]],#REF!,2,FALSE)</f>
        <v>#REF!</v>
      </c>
      <c r="F5246">
        <v>135.6</v>
      </c>
      <c r="G5246">
        <f>(Cpi_[[#This Row],[Value]]-F5245)/F5245</f>
        <v>-0.12289780077619664</v>
      </c>
      <c r="H5246" t="e" cm="1" vm="1">
        <f t="array" aca="1" ref="H5246" ca="1">VLOOKUP(Cpi_[[#This Row],[Year]:[Month]],crudeoil[],3,FALSE)</f>
        <v>#VALUE!</v>
      </c>
    </row>
    <row r="5247" spans="1:8" hidden="1" x14ac:dyDescent="0.3">
      <c r="A5247" t="s">
        <v>34</v>
      </c>
      <c r="B5247">
        <v>2018</v>
      </c>
      <c r="C5247" t="s">
        <v>38</v>
      </c>
      <c r="D5247" t="s">
        <v>10</v>
      </c>
      <c r="E5247" t="e">
        <f>VLOOKUP(Cpi_[[#This Row],[Attribute]],#REF!,2,FALSE)</f>
        <v>#REF!</v>
      </c>
      <c r="F5247">
        <v>122.3</v>
      </c>
      <c r="G5247">
        <f>(Cpi_[[#This Row],[Value]]-F5246)/F5246</f>
        <v>-9.8082595870206471E-2</v>
      </c>
      <c r="H5247" t="e" cm="1" vm="1">
        <f t="array" aca="1" ref="H5247" ca="1">VLOOKUP(Cpi_[[#This Row],[Year]:[Month]],crudeoil[],3,FALSE)</f>
        <v>#VALUE!</v>
      </c>
    </row>
    <row r="5248" spans="1:8" hidden="1" x14ac:dyDescent="0.3">
      <c r="A5248" t="s">
        <v>34</v>
      </c>
      <c r="B5248">
        <v>2018</v>
      </c>
      <c r="C5248" t="s">
        <v>38</v>
      </c>
      <c r="D5248" t="s">
        <v>11</v>
      </c>
      <c r="E5248" t="e">
        <f>VLOOKUP(Cpi_[[#This Row],[Attribute]],#REF!,2,FALSE)</f>
        <v>#REF!</v>
      </c>
      <c r="F5248">
        <v>109.6</v>
      </c>
      <c r="G5248">
        <f>(Cpi_[[#This Row],[Value]]-F5247)/F5247</f>
        <v>-0.1038430089942764</v>
      </c>
      <c r="H5248" t="e" cm="1" vm="1">
        <f t="array" aca="1" ref="H5248" ca="1">VLOOKUP(Cpi_[[#This Row],[Year]:[Month]],crudeoil[],3,FALSE)</f>
        <v>#VALUE!</v>
      </c>
    </row>
    <row r="5249" spans="1:8" hidden="1" x14ac:dyDescent="0.3">
      <c r="A5249" t="s">
        <v>34</v>
      </c>
      <c r="B5249">
        <v>2018</v>
      </c>
      <c r="C5249" t="s">
        <v>38</v>
      </c>
      <c r="D5249" t="s">
        <v>12</v>
      </c>
      <c r="E5249" t="e">
        <f>VLOOKUP(Cpi_[[#This Row],[Attribute]],#REF!,2,FALSE)</f>
        <v>#REF!</v>
      </c>
      <c r="F5249">
        <v>138.1</v>
      </c>
      <c r="G5249">
        <f>(Cpi_[[#This Row],[Value]]-F5248)/F5248</f>
        <v>0.26003649635036497</v>
      </c>
      <c r="H5249" t="e" cm="1" vm="1">
        <f t="array" aca="1" ref="H5249" ca="1">VLOOKUP(Cpi_[[#This Row],[Year]:[Month]],crudeoil[],3,FALSE)</f>
        <v>#VALUE!</v>
      </c>
    </row>
    <row r="5250" spans="1:8" hidden="1" x14ac:dyDescent="0.3">
      <c r="A5250" t="s">
        <v>34</v>
      </c>
      <c r="B5250">
        <v>2018</v>
      </c>
      <c r="C5250" t="s">
        <v>38</v>
      </c>
      <c r="D5250" t="s">
        <v>13</v>
      </c>
      <c r="E5250" t="e">
        <f>VLOOKUP(Cpi_[[#This Row],[Attribute]],#REF!,2,FALSE)</f>
        <v>#REF!</v>
      </c>
      <c r="F5250">
        <v>129.9</v>
      </c>
      <c r="G5250">
        <f>(Cpi_[[#This Row],[Value]]-F5249)/F5249</f>
        <v>-5.9377262853004986E-2</v>
      </c>
      <c r="H5250" t="e" cm="1" vm="1">
        <f t="array" aca="1" ref="H5250" ca="1">VLOOKUP(Cpi_[[#This Row],[Year]:[Month]],crudeoil[],3,FALSE)</f>
        <v>#VALUE!</v>
      </c>
    </row>
    <row r="5251" spans="1:8" hidden="1" x14ac:dyDescent="0.3">
      <c r="A5251" t="s">
        <v>34</v>
      </c>
      <c r="B5251">
        <v>2018</v>
      </c>
      <c r="C5251" t="s">
        <v>38</v>
      </c>
      <c r="D5251" t="s">
        <v>14</v>
      </c>
      <c r="E5251" t="e">
        <f>VLOOKUP(Cpi_[[#This Row],[Attribute]],#REF!,2,FALSE)</f>
        <v>#REF!</v>
      </c>
      <c r="F5251">
        <v>151.69999999999999</v>
      </c>
      <c r="G5251">
        <f>(Cpi_[[#This Row],[Value]]-F5250)/F5250</f>
        <v>0.16782140107775198</v>
      </c>
      <c r="H5251" t="e" cm="1" vm="1">
        <f t="array" aca="1" ref="H5251" ca="1">VLOOKUP(Cpi_[[#This Row],[Year]:[Month]],crudeoil[],3,FALSE)</f>
        <v>#VALUE!</v>
      </c>
    </row>
    <row r="5252" spans="1:8" hidden="1" x14ac:dyDescent="0.3">
      <c r="A5252" t="s">
        <v>34</v>
      </c>
      <c r="B5252">
        <v>2018</v>
      </c>
      <c r="C5252" t="s">
        <v>38</v>
      </c>
      <c r="D5252" t="s">
        <v>15</v>
      </c>
      <c r="E5252" t="e">
        <f>VLOOKUP(Cpi_[[#This Row],[Attribute]],#REF!,2,FALSE)</f>
        <v>#REF!</v>
      </c>
      <c r="F5252">
        <v>138.1</v>
      </c>
      <c r="G5252">
        <f>(Cpi_[[#This Row],[Value]]-F5251)/F5251</f>
        <v>-8.9650626235992056E-2</v>
      </c>
      <c r="H5252" t="e" cm="1" vm="1">
        <f t="array" aca="1" ref="H5252" ca="1">VLOOKUP(Cpi_[[#This Row],[Year]:[Month]],crudeoil[],3,FALSE)</f>
        <v>#VALUE!</v>
      </c>
    </row>
    <row r="5253" spans="1:8" hidden="1" x14ac:dyDescent="0.3">
      <c r="A5253" t="s">
        <v>34</v>
      </c>
      <c r="B5253">
        <v>2018</v>
      </c>
      <c r="C5253" t="s">
        <v>38</v>
      </c>
      <c r="D5253" t="s">
        <v>16</v>
      </c>
      <c r="E5253" t="e">
        <f>VLOOKUP(Cpi_[[#This Row],[Attribute]],#REF!,2,FALSE)</f>
        <v>#REF!</v>
      </c>
      <c r="F5253">
        <v>157.9</v>
      </c>
      <c r="G5253">
        <f>(Cpi_[[#This Row],[Value]]-F5252)/F5252</f>
        <v>0.14337436640115866</v>
      </c>
      <c r="H5253" t="e" cm="1" vm="1">
        <f t="array" aca="1" ref="H5253" ca="1">VLOOKUP(Cpi_[[#This Row],[Year]:[Month]],crudeoil[],3,FALSE)</f>
        <v>#VALUE!</v>
      </c>
    </row>
    <row r="5254" spans="1:8" hidden="1" x14ac:dyDescent="0.3">
      <c r="A5254" t="s">
        <v>34</v>
      </c>
      <c r="B5254">
        <v>2018</v>
      </c>
      <c r="C5254" t="s">
        <v>38</v>
      </c>
      <c r="D5254" t="s">
        <v>17</v>
      </c>
      <c r="E5254" t="e">
        <f>VLOOKUP(Cpi_[[#This Row],[Attribute]],#REF!,2,FALSE)</f>
        <v>#REF!</v>
      </c>
      <c r="F5254">
        <v>146</v>
      </c>
      <c r="G5254">
        <f>(Cpi_[[#This Row],[Value]]-F5253)/F5253</f>
        <v>-7.5364154528182431E-2</v>
      </c>
      <c r="H5254" t="e" cm="1" vm="1">
        <f t="array" aca="1" ref="H5254" ca="1">VLOOKUP(Cpi_[[#This Row],[Year]:[Month]],crudeoil[],3,FALSE)</f>
        <v>#VALUE!</v>
      </c>
    </row>
    <row r="5255" spans="1:8" hidden="1" x14ac:dyDescent="0.3">
      <c r="A5255" t="s">
        <v>34</v>
      </c>
      <c r="B5255">
        <v>2018</v>
      </c>
      <c r="C5255" t="s">
        <v>38</v>
      </c>
      <c r="D5255" t="s">
        <v>18</v>
      </c>
      <c r="E5255" t="e">
        <f>VLOOKUP(Cpi_[[#This Row],[Attribute]],#REF!,2,FALSE)</f>
        <v>#REF!</v>
      </c>
      <c r="F5255">
        <v>137.4</v>
      </c>
      <c r="G5255">
        <f>(Cpi_[[#This Row],[Value]]-F5254)/F5254</f>
        <v>-5.8904109589041055E-2</v>
      </c>
      <c r="H5255" t="e" cm="1" vm="1">
        <f t="array" aca="1" ref="H5255" ca="1">VLOOKUP(Cpi_[[#This Row],[Year]:[Month]],crudeoil[],3,FALSE)</f>
        <v>#VALUE!</v>
      </c>
    </row>
    <row r="5256" spans="1:8" hidden="1" x14ac:dyDescent="0.3">
      <c r="A5256" t="s">
        <v>34</v>
      </c>
      <c r="B5256">
        <v>2018</v>
      </c>
      <c r="C5256" t="s">
        <v>38</v>
      </c>
      <c r="D5256" t="s">
        <v>19</v>
      </c>
      <c r="E5256" t="e">
        <f>VLOOKUP(Cpi_[[#This Row],[Attribute]],#REF!,2,FALSE)</f>
        <v>#REF!</v>
      </c>
      <c r="F5256">
        <v>144.69999999999999</v>
      </c>
      <c r="G5256">
        <f>(Cpi_[[#This Row],[Value]]-F5255)/F5255</f>
        <v>5.3129548762736407E-2</v>
      </c>
      <c r="H5256" t="e" cm="1" vm="1">
        <f t="array" aca="1" ref="H5256" ca="1">VLOOKUP(Cpi_[[#This Row],[Year]:[Month]],crudeoil[],3,FALSE)</f>
        <v>#VALUE!</v>
      </c>
    </row>
    <row r="5257" spans="1:8" hidden="1" x14ac:dyDescent="0.3">
      <c r="A5257" t="s">
        <v>34</v>
      </c>
      <c r="B5257">
        <v>2018</v>
      </c>
      <c r="C5257" t="s">
        <v>38</v>
      </c>
      <c r="D5257" t="s">
        <v>20</v>
      </c>
      <c r="E5257" t="e">
        <f>VLOOKUP(Cpi_[[#This Row],[Attribute]],#REF!,2,FALSE)</f>
        <v>#REF!</v>
      </c>
      <c r="F5257">
        <v>143.19999999999999</v>
      </c>
      <c r="G5257">
        <f>(Cpi_[[#This Row],[Value]]-F5256)/F5256</f>
        <v>-1.0366275051831375E-2</v>
      </c>
      <c r="H5257" t="e" cm="1" vm="1">
        <f t="array" aca="1" ref="H5257" ca="1">VLOOKUP(Cpi_[[#This Row],[Year]:[Month]],crudeoil[],3,FALSE)</f>
        <v>#VALUE!</v>
      </c>
    </row>
    <row r="5258" spans="1:8" hidden="1" x14ac:dyDescent="0.3">
      <c r="A5258" t="s">
        <v>34</v>
      </c>
      <c r="B5258">
        <v>2018</v>
      </c>
      <c r="C5258" t="s">
        <v>38</v>
      </c>
      <c r="D5258" t="s">
        <v>21</v>
      </c>
      <c r="E5258" t="e">
        <f>VLOOKUP(Cpi_[[#This Row],[Attribute]],#REF!,2,FALSE)</f>
        <v>#REF!</v>
      </c>
      <c r="F5258">
        <v>136.9</v>
      </c>
      <c r="G5258">
        <f>(Cpi_[[#This Row],[Value]]-F5257)/F5257</f>
        <v>-4.3994413407821113E-2</v>
      </c>
      <c r="H5258" t="e" cm="1" vm="1">
        <f t="array" aca="1" ref="H5258" ca="1">VLOOKUP(Cpi_[[#This Row],[Year]:[Month]],crudeoil[],3,FALSE)</f>
        <v>#VALUE!</v>
      </c>
    </row>
    <row r="5259" spans="1:8" hidden="1" x14ac:dyDescent="0.3">
      <c r="A5259" t="s">
        <v>34</v>
      </c>
      <c r="B5259">
        <v>2018</v>
      </c>
      <c r="C5259" t="s">
        <v>38</v>
      </c>
      <c r="D5259" t="s">
        <v>22</v>
      </c>
      <c r="E5259" t="e">
        <f>VLOOKUP(Cpi_[[#This Row],[Attribute]],#REF!,2,FALSE)</f>
        <v>#REF!</v>
      </c>
      <c r="F5259">
        <v>137.4</v>
      </c>
      <c r="G5259">
        <f>(Cpi_[[#This Row],[Value]]-F5258)/F5258</f>
        <v>3.6523009495982466E-3</v>
      </c>
      <c r="H5259" t="e" cm="1" vm="1">
        <f t="array" aca="1" ref="H5259" ca="1">VLOOKUP(Cpi_[[#This Row],[Year]:[Month]],crudeoil[],3,FALSE)</f>
        <v>#VALUE!</v>
      </c>
    </row>
    <row r="5260" spans="1:8" hidden="1" x14ac:dyDescent="0.3">
      <c r="A5260" t="s">
        <v>34</v>
      </c>
      <c r="B5260">
        <v>2018</v>
      </c>
      <c r="C5260" t="s">
        <v>38</v>
      </c>
      <c r="D5260" t="s">
        <v>23</v>
      </c>
      <c r="E5260" t="e">
        <f>VLOOKUP(Cpi_[[#This Row],[Attribute]],#REF!,2,FALSE)</f>
        <v>#REF!</v>
      </c>
      <c r="F5260">
        <v>136</v>
      </c>
      <c r="G5260">
        <f>(Cpi_[[#This Row],[Value]]-F5259)/F5259</f>
        <v>-1.0189228529839925E-2</v>
      </c>
      <c r="H5260" t="e" cm="1" vm="1">
        <f t="array" aca="1" ref="H5260" ca="1">VLOOKUP(Cpi_[[#This Row],[Year]:[Month]],crudeoil[],3,FALSE)</f>
        <v>#VALUE!</v>
      </c>
    </row>
    <row r="5261" spans="1:8" hidden="1" x14ac:dyDescent="0.3">
      <c r="A5261" t="s">
        <v>34</v>
      </c>
      <c r="B5261">
        <v>2018</v>
      </c>
      <c r="C5261" t="s">
        <v>38</v>
      </c>
      <c r="D5261" t="s">
        <v>24</v>
      </c>
      <c r="E5261" t="e">
        <f>VLOOKUP(Cpi_[[#This Row],[Attribute]],#REF!,2,FALSE)</f>
        <v>#REF!</v>
      </c>
      <c r="F5261">
        <v>122.9</v>
      </c>
      <c r="G5261">
        <f>(Cpi_[[#This Row],[Value]]-F5260)/F5260</f>
        <v>-9.6323529411764669E-2</v>
      </c>
      <c r="H5261" t="e" cm="1" vm="1">
        <f t="array" aca="1" ref="H5261" ca="1">VLOOKUP(Cpi_[[#This Row],[Year]:[Month]],crudeoil[],3,FALSE)</f>
        <v>#VALUE!</v>
      </c>
    </row>
    <row r="5262" spans="1:8" hidden="1" x14ac:dyDescent="0.3">
      <c r="A5262" t="s">
        <v>34</v>
      </c>
      <c r="B5262">
        <v>2018</v>
      </c>
      <c r="C5262" t="s">
        <v>38</v>
      </c>
      <c r="D5262" t="s">
        <v>25</v>
      </c>
      <c r="E5262" t="e">
        <f>VLOOKUP(Cpi_[[#This Row],[Attribute]],#REF!,2,FALSE)</f>
        <v>#REF!</v>
      </c>
      <c r="F5262">
        <v>131.80000000000001</v>
      </c>
      <c r="G5262">
        <f>(Cpi_[[#This Row],[Value]]-F5261)/F5261</f>
        <v>7.2416598860862533E-2</v>
      </c>
      <c r="H5262" t="e" cm="1" vm="1">
        <f t="array" aca="1" ref="H5262" ca="1">VLOOKUP(Cpi_[[#This Row],[Year]:[Month]],crudeoil[],3,FALSE)</f>
        <v>#VALUE!</v>
      </c>
    </row>
    <row r="5263" spans="1:8" hidden="1" x14ac:dyDescent="0.3">
      <c r="A5263" t="s">
        <v>34</v>
      </c>
      <c r="B5263">
        <v>2018</v>
      </c>
      <c r="C5263" t="s">
        <v>38</v>
      </c>
      <c r="D5263" t="s">
        <v>26</v>
      </c>
      <c r="E5263" t="e">
        <f>VLOOKUP(Cpi_[[#This Row],[Attribute]],#REF!,2,FALSE)</f>
        <v>#REF!</v>
      </c>
      <c r="F5263">
        <v>142.1</v>
      </c>
      <c r="G5263">
        <f>(Cpi_[[#This Row],[Value]]-F5262)/F5262</f>
        <v>7.8148710166919433E-2</v>
      </c>
      <c r="H5263" t="e" cm="1" vm="1">
        <f t="array" aca="1" ref="H5263" ca="1">VLOOKUP(Cpi_[[#This Row],[Year]:[Month]],crudeoil[],3,FALSE)</f>
        <v>#VALUE!</v>
      </c>
    </row>
    <row r="5264" spans="1:8" hidden="1" x14ac:dyDescent="0.3">
      <c r="A5264" t="s">
        <v>34</v>
      </c>
      <c r="B5264">
        <v>2018</v>
      </c>
      <c r="C5264" t="s">
        <v>38</v>
      </c>
      <c r="D5264" t="s">
        <v>27</v>
      </c>
      <c r="E5264" t="e">
        <f>VLOOKUP(Cpi_[[#This Row],[Attribute]],#REF!,2,FALSE)</f>
        <v>#REF!</v>
      </c>
      <c r="F5264">
        <v>129.9</v>
      </c>
      <c r="G5264">
        <f>(Cpi_[[#This Row],[Value]]-F5263)/F5263</f>
        <v>-8.5855031667839476E-2</v>
      </c>
      <c r="H5264" t="e" cm="1" vm="1">
        <f t="array" aca="1" ref="H5264" ca="1">VLOOKUP(Cpi_[[#This Row],[Year]:[Month]],crudeoil[],3,FALSE)</f>
        <v>#VALUE!</v>
      </c>
    </row>
    <row r="5265" spans="1:8" hidden="1" x14ac:dyDescent="0.3">
      <c r="A5265" t="s">
        <v>34</v>
      </c>
      <c r="B5265">
        <v>2018</v>
      </c>
      <c r="C5265" t="s">
        <v>38</v>
      </c>
      <c r="D5265" t="s">
        <v>28</v>
      </c>
      <c r="E5265" t="e">
        <f>VLOOKUP(Cpi_[[#This Row],[Attribute]],#REF!,2,FALSE)</f>
        <v>#REF!</v>
      </c>
      <c r="F5265">
        <v>132.1</v>
      </c>
      <c r="G5265">
        <f>(Cpi_[[#This Row],[Value]]-F5264)/F5264</f>
        <v>1.693610469591985E-2</v>
      </c>
      <c r="H5265" t="e" cm="1" vm="1">
        <f t="array" aca="1" ref="H5265" ca="1">VLOOKUP(Cpi_[[#This Row],[Year]:[Month]],crudeoil[],3,FALSE)</f>
        <v>#VALUE!</v>
      </c>
    </row>
    <row r="5266" spans="1:8" hidden="1" x14ac:dyDescent="0.3">
      <c r="A5266" t="s">
        <v>34</v>
      </c>
      <c r="B5266">
        <v>2018</v>
      </c>
      <c r="C5266" t="s">
        <v>38</v>
      </c>
      <c r="D5266" t="s">
        <v>29</v>
      </c>
      <c r="E5266" t="e" cm="1">
        <f t="array" aca="1" ref="E5266" ca="1">VLGeneral indexGeneral indexKUP(Cpi_[[#This Row],[Attribute]],#REF!,2,FALSE)</f>
        <v>#NAME?</v>
      </c>
      <c r="F5266">
        <v>137.80000000000001</v>
      </c>
      <c r="G5266">
        <f>(Cpi_[[#This Row],[Value]]-F5265)/F5265</f>
        <v>4.3149129447388475E-2</v>
      </c>
      <c r="H5266" t="e" cm="1" vm="1">
        <f t="array" aca="1" ref="H5266" ca="1">VLOOKUP(Cpi_[[#This Row],[Year]:[Month]],crudeoil[],3,FALSE)</f>
        <v>#VALUE!</v>
      </c>
    </row>
    <row r="5267" spans="1:8" hidden="1" x14ac:dyDescent="0.3">
      <c r="A5267" t="s">
        <v>30</v>
      </c>
      <c r="B5267">
        <v>2018</v>
      </c>
      <c r="C5267" t="s">
        <v>39</v>
      </c>
      <c r="D5267" t="s">
        <v>3</v>
      </c>
      <c r="E5267" t="e">
        <f>VLOOKUP(Cpi_[[#This Row],[Attribute]],#REF!,2,FALSE)</f>
        <v>#REF!</v>
      </c>
      <c r="F5267">
        <v>137.6</v>
      </c>
      <c r="G5267">
        <f>(Cpi_[[#This Row],[Value]]-F5266)/F5266</f>
        <v>-1.4513788098694995E-3</v>
      </c>
      <c r="H5267" t="e" cm="1" vm="1">
        <f t="array" aca="1" ref="H5267" ca="1">VLOOKUP(Cpi_[[#This Row],[Year]:[Month]],crudeoil[],3,FALSE)</f>
        <v>#VALUE!</v>
      </c>
    </row>
    <row r="5268" spans="1:8" hidden="1" x14ac:dyDescent="0.3">
      <c r="A5268" t="s">
        <v>30</v>
      </c>
      <c r="B5268">
        <v>2018</v>
      </c>
      <c r="C5268" t="s">
        <v>39</v>
      </c>
      <c r="D5268" t="s">
        <v>4</v>
      </c>
      <c r="E5268" t="e">
        <f>VLOOKUP(Cpi_[[#This Row],[Attribute]],#REF!,2,FALSE)</f>
        <v>#REF!</v>
      </c>
      <c r="F5268">
        <v>148.1</v>
      </c>
      <c r="G5268">
        <f>(Cpi_[[#This Row],[Value]]-F5267)/F5267</f>
        <v>7.6308139534883718E-2</v>
      </c>
      <c r="H5268" t="e" cm="1" vm="1">
        <f t="array" aca="1" ref="H5268" ca="1">VLOOKUP(Cpi_[[#This Row],[Year]:[Month]],crudeoil[],3,FALSE)</f>
        <v>#VALUE!</v>
      </c>
    </row>
    <row r="5269" spans="1:8" hidden="1" x14ac:dyDescent="0.3">
      <c r="A5269" t="s">
        <v>30</v>
      </c>
      <c r="B5269">
        <v>2018</v>
      </c>
      <c r="C5269" t="s">
        <v>39</v>
      </c>
      <c r="D5269" t="s">
        <v>5</v>
      </c>
      <c r="E5269" t="e">
        <f>VLOOKUP(Cpi_[[#This Row],[Attribute]],#REF!,2,FALSE)</f>
        <v>#REF!</v>
      </c>
      <c r="F5269">
        <v>136.69999999999999</v>
      </c>
      <c r="G5269">
        <f>(Cpi_[[#This Row],[Value]]-F5268)/F5268</f>
        <v>-7.6975016880486205E-2</v>
      </c>
      <c r="H5269" t="e" cm="1" vm="1">
        <f t="array" aca="1" ref="H5269" ca="1">VLOOKUP(Cpi_[[#This Row],[Year]:[Month]],crudeoil[],3,FALSE)</f>
        <v>#VALUE!</v>
      </c>
    </row>
    <row r="5270" spans="1:8" hidden="1" x14ac:dyDescent="0.3">
      <c r="A5270" t="s">
        <v>30</v>
      </c>
      <c r="B5270">
        <v>2018</v>
      </c>
      <c r="C5270" t="s">
        <v>39</v>
      </c>
      <c r="D5270" t="s">
        <v>6</v>
      </c>
      <c r="E5270" t="e">
        <f>VLOOKUP(Cpi_[[#This Row],[Attribute]],#REF!,2,FALSE)</f>
        <v>#REF!</v>
      </c>
      <c r="F5270">
        <v>143.19999999999999</v>
      </c>
      <c r="G5270">
        <f>(Cpi_[[#This Row],[Value]]-F5269)/F5269</f>
        <v>4.7549378200438919E-2</v>
      </c>
      <c r="H5270" t="e" cm="1" vm="1">
        <f t="array" aca="1" ref="H5270" ca="1">VLOOKUP(Cpi_[[#This Row],[Year]:[Month]],crudeoil[],3,FALSE)</f>
        <v>#VALUE!</v>
      </c>
    </row>
    <row r="5271" spans="1:8" hidden="1" x14ac:dyDescent="0.3">
      <c r="A5271" t="s">
        <v>30</v>
      </c>
      <c r="B5271">
        <v>2018</v>
      </c>
      <c r="C5271" t="s">
        <v>39</v>
      </c>
      <c r="D5271" t="s">
        <v>7</v>
      </c>
      <c r="E5271" t="e">
        <f>VLOOKUP(Cpi_[[#This Row],[Attribute]],#REF!,2,FALSE)</f>
        <v>#REF!</v>
      </c>
      <c r="F5271">
        <v>124</v>
      </c>
      <c r="G5271">
        <f>(Cpi_[[#This Row],[Value]]-F5270)/F5270</f>
        <v>-0.13407821229050274</v>
      </c>
      <c r="H5271" t="e" cm="1" vm="1">
        <f t="array" aca="1" ref="H5271" ca="1">VLOOKUP(Cpi_[[#This Row],[Year]:[Month]],crudeoil[],3,FALSE)</f>
        <v>#VALUE!</v>
      </c>
    </row>
    <row r="5272" spans="1:8" hidden="1" x14ac:dyDescent="0.3">
      <c r="A5272" t="s">
        <v>30</v>
      </c>
      <c r="B5272">
        <v>2018</v>
      </c>
      <c r="C5272" t="s">
        <v>39</v>
      </c>
      <c r="D5272" t="s">
        <v>8</v>
      </c>
      <c r="E5272" t="e">
        <f>VLOOKUP(Cpi_[[#This Row],[Attribute]],#REF!,2,FALSE)</f>
        <v>#REF!</v>
      </c>
      <c r="F5272">
        <v>154.1</v>
      </c>
      <c r="G5272">
        <f>(Cpi_[[#This Row],[Value]]-F5271)/F5271</f>
        <v>0.24274193548387094</v>
      </c>
      <c r="H5272" t="e" cm="1" vm="1">
        <f t="array" aca="1" ref="H5272" ca="1">VLOOKUP(Cpi_[[#This Row],[Year]:[Month]],crudeoil[],3,FALSE)</f>
        <v>#VALUE!</v>
      </c>
    </row>
    <row r="5273" spans="1:8" hidden="1" x14ac:dyDescent="0.3">
      <c r="A5273" t="s">
        <v>30</v>
      </c>
      <c r="B5273">
        <v>2018</v>
      </c>
      <c r="C5273" t="s">
        <v>39</v>
      </c>
      <c r="D5273" t="s">
        <v>9</v>
      </c>
      <c r="E5273" t="e">
        <f>VLOOKUP(Cpi_[[#This Row],[Attribute]],#REF!,2,FALSE)</f>
        <v>#REF!</v>
      </c>
      <c r="F5273">
        <v>143.5</v>
      </c>
      <c r="G5273">
        <f>(Cpi_[[#This Row],[Value]]-F5272)/F5272</f>
        <v>-6.8786502271252395E-2</v>
      </c>
      <c r="H5273" t="e" cm="1" vm="1">
        <f t="array" aca="1" ref="H5273" ca="1">VLOOKUP(Cpi_[[#This Row],[Year]:[Month]],crudeoil[],3,FALSE)</f>
        <v>#VALUE!</v>
      </c>
    </row>
    <row r="5274" spans="1:8" hidden="1" x14ac:dyDescent="0.3">
      <c r="A5274" t="s">
        <v>30</v>
      </c>
      <c r="B5274">
        <v>2018</v>
      </c>
      <c r="C5274" t="s">
        <v>39</v>
      </c>
      <c r="D5274" t="s">
        <v>10</v>
      </c>
      <c r="E5274" t="e">
        <f>VLOOKUP(Cpi_[[#This Row],[Attribute]],#REF!,2,FALSE)</f>
        <v>#REF!</v>
      </c>
      <c r="F5274">
        <v>126</v>
      </c>
      <c r="G5274">
        <f>(Cpi_[[#This Row],[Value]]-F5273)/F5273</f>
        <v>-0.12195121951219512</v>
      </c>
      <c r="H5274" t="e" cm="1" vm="1">
        <f t="array" aca="1" ref="H5274" ca="1">VLOOKUP(Cpi_[[#This Row],[Year]:[Month]],crudeoil[],3,FALSE)</f>
        <v>#VALUE!</v>
      </c>
    </row>
    <row r="5275" spans="1:8" hidden="1" x14ac:dyDescent="0.3">
      <c r="A5275" t="s">
        <v>30</v>
      </c>
      <c r="B5275">
        <v>2018</v>
      </c>
      <c r="C5275" t="s">
        <v>39</v>
      </c>
      <c r="D5275" t="s">
        <v>11</v>
      </c>
      <c r="E5275" t="e">
        <f>VLOOKUP(Cpi_[[#This Row],[Attribute]],#REF!,2,FALSE)</f>
        <v>#REF!</v>
      </c>
      <c r="F5275">
        <v>112.4</v>
      </c>
      <c r="G5275">
        <f>(Cpi_[[#This Row],[Value]]-F5274)/F5274</f>
        <v>-0.10793650793650789</v>
      </c>
      <c r="H5275" t="e" cm="1" vm="1">
        <f t="array" aca="1" ref="H5275" ca="1">VLOOKUP(Cpi_[[#This Row],[Year]:[Month]],crudeoil[],3,FALSE)</f>
        <v>#VALUE!</v>
      </c>
    </row>
    <row r="5276" spans="1:8" hidden="1" x14ac:dyDescent="0.3">
      <c r="A5276" t="s">
        <v>30</v>
      </c>
      <c r="B5276">
        <v>2018</v>
      </c>
      <c r="C5276" t="s">
        <v>39</v>
      </c>
      <c r="D5276" t="s">
        <v>12</v>
      </c>
      <c r="E5276" t="e">
        <f>VLOOKUP(Cpi_[[#This Row],[Attribute]],#REF!,2,FALSE)</f>
        <v>#REF!</v>
      </c>
      <c r="F5276">
        <v>137.6</v>
      </c>
      <c r="G5276">
        <f>(Cpi_[[#This Row],[Value]]-F5275)/F5275</f>
        <v>0.22419928825622765</v>
      </c>
      <c r="H5276" t="e" cm="1" vm="1">
        <f t="array" aca="1" ref="H5276" ca="1">VLOOKUP(Cpi_[[#This Row],[Year]:[Month]],crudeoil[],3,FALSE)</f>
        <v>#VALUE!</v>
      </c>
    </row>
    <row r="5277" spans="1:8" hidden="1" x14ac:dyDescent="0.3">
      <c r="A5277" t="s">
        <v>30</v>
      </c>
      <c r="B5277">
        <v>2018</v>
      </c>
      <c r="C5277" t="s">
        <v>39</v>
      </c>
      <c r="D5277" t="s">
        <v>13</v>
      </c>
      <c r="E5277" t="e">
        <f>VLOOKUP(Cpi_[[#This Row],[Attribute]],#REF!,2,FALSE)</f>
        <v>#REF!</v>
      </c>
      <c r="F5277">
        <v>132.80000000000001</v>
      </c>
      <c r="G5277">
        <f>(Cpi_[[#This Row],[Value]]-F5276)/F5276</f>
        <v>-3.4883720930232433E-2</v>
      </c>
      <c r="H5277" t="e" cm="1" vm="1">
        <f t="array" aca="1" ref="H5277" ca="1">VLOOKUP(Cpi_[[#This Row],[Year]:[Month]],crudeoil[],3,FALSE)</f>
        <v>#VALUE!</v>
      </c>
    </row>
    <row r="5278" spans="1:8" hidden="1" x14ac:dyDescent="0.3">
      <c r="A5278" t="s">
        <v>30</v>
      </c>
      <c r="B5278">
        <v>2018</v>
      </c>
      <c r="C5278" t="s">
        <v>39</v>
      </c>
      <c r="D5278" t="s">
        <v>14</v>
      </c>
      <c r="E5278" t="e">
        <f>VLOOKUP(Cpi_[[#This Row],[Attribute]],#REF!,2,FALSE)</f>
        <v>#REF!</v>
      </c>
      <c r="F5278">
        <v>154.30000000000001</v>
      </c>
      <c r="G5278">
        <f>(Cpi_[[#This Row],[Value]]-F5277)/F5277</f>
        <v>0.16189759036144577</v>
      </c>
      <c r="H5278" t="e" cm="1" vm="1">
        <f t="array" aca="1" ref="H5278" ca="1">VLOOKUP(Cpi_[[#This Row],[Year]:[Month]],crudeoil[],3,FALSE)</f>
        <v>#VALUE!</v>
      </c>
    </row>
    <row r="5279" spans="1:8" hidden="1" x14ac:dyDescent="0.3">
      <c r="A5279" t="s">
        <v>30</v>
      </c>
      <c r="B5279">
        <v>2018</v>
      </c>
      <c r="C5279" t="s">
        <v>39</v>
      </c>
      <c r="D5279" t="s">
        <v>15</v>
      </c>
      <c r="E5279" t="e">
        <f>VLOOKUP(Cpi_[[#This Row],[Attribute]],#REF!,2,FALSE)</f>
        <v>#REF!</v>
      </c>
      <c r="F5279">
        <v>140</v>
      </c>
      <c r="G5279">
        <f>(Cpi_[[#This Row],[Value]]-F5278)/F5278</f>
        <v>-9.2676604018146536E-2</v>
      </c>
      <c r="H5279" t="e" cm="1" vm="1">
        <f t="array" aca="1" ref="H5279" ca="1">VLOOKUP(Cpi_[[#This Row],[Year]:[Month]],crudeoil[],3,FALSE)</f>
        <v>#VALUE!</v>
      </c>
    </row>
    <row r="5280" spans="1:8" hidden="1" x14ac:dyDescent="0.3">
      <c r="A5280" t="s">
        <v>30</v>
      </c>
      <c r="B5280">
        <v>2018</v>
      </c>
      <c r="C5280" t="s">
        <v>39</v>
      </c>
      <c r="D5280" t="s">
        <v>16</v>
      </c>
      <c r="E5280" t="e">
        <f>VLOOKUP(Cpi_[[#This Row],[Attribute]],#REF!,2,FALSE)</f>
        <v>#REF!</v>
      </c>
      <c r="F5280">
        <v>157.30000000000001</v>
      </c>
      <c r="G5280">
        <f>(Cpi_[[#This Row],[Value]]-F5279)/F5279</f>
        <v>0.12357142857142865</v>
      </c>
      <c r="H5280" t="e" cm="1" vm="1">
        <f t="array" aca="1" ref="H5280" ca="1">VLOOKUP(Cpi_[[#This Row],[Year]:[Month]],crudeoil[],3,FALSE)</f>
        <v>#VALUE!</v>
      </c>
    </row>
    <row r="5281" spans="1:8" hidden="1" x14ac:dyDescent="0.3">
      <c r="A5281" t="s">
        <v>30</v>
      </c>
      <c r="B5281">
        <v>2018</v>
      </c>
      <c r="C5281" t="s">
        <v>39</v>
      </c>
      <c r="D5281" t="s">
        <v>17</v>
      </c>
      <c r="E5281" t="e">
        <f>VLOOKUP(Cpi_[[#This Row],[Attribute]],#REF!,2,FALSE)</f>
        <v>#REF!</v>
      </c>
      <c r="F5281">
        <v>151.30000000000001</v>
      </c>
      <c r="G5281">
        <f>(Cpi_[[#This Row],[Value]]-F5280)/F5280</f>
        <v>-3.8143674507310869E-2</v>
      </c>
      <c r="H5281" t="e" cm="1" vm="1">
        <f t="array" aca="1" ref="H5281" ca="1">VLOOKUP(Cpi_[[#This Row],[Year]:[Month]],crudeoil[],3,FALSE)</f>
        <v>#VALUE!</v>
      </c>
    </row>
    <row r="5282" spans="1:8" hidden="1" x14ac:dyDescent="0.3">
      <c r="A5282" t="s">
        <v>30</v>
      </c>
      <c r="B5282">
        <v>2018</v>
      </c>
      <c r="C5282" t="s">
        <v>39</v>
      </c>
      <c r="D5282" t="s">
        <v>18</v>
      </c>
      <c r="E5282" t="e">
        <f>VLOOKUP(Cpi_[[#This Row],[Attribute]],#REF!,2,FALSE)</f>
        <v>#REF!</v>
      </c>
      <c r="F5282">
        <v>144.69999999999999</v>
      </c>
      <c r="G5282">
        <f>(Cpi_[[#This Row],[Value]]-F5281)/F5281</f>
        <v>-4.362194315928633E-2</v>
      </c>
      <c r="H5282" t="e" cm="1" vm="1">
        <f t="array" aca="1" ref="H5282" ca="1">VLOOKUP(Cpi_[[#This Row],[Year]:[Month]],crudeoil[],3,FALSE)</f>
        <v>#VALUE!</v>
      </c>
    </row>
    <row r="5283" spans="1:8" hidden="1" x14ac:dyDescent="0.3">
      <c r="A5283" t="s">
        <v>30</v>
      </c>
      <c r="B5283">
        <v>2018</v>
      </c>
      <c r="C5283" t="s">
        <v>39</v>
      </c>
      <c r="D5283" t="s">
        <v>19</v>
      </c>
      <c r="E5283" t="e">
        <f>VLOOKUP(Cpi_[[#This Row],[Attribute]],#REF!,2,FALSE)</f>
        <v>#REF!</v>
      </c>
      <c r="F5283">
        <v>150.30000000000001</v>
      </c>
      <c r="G5283">
        <f>(Cpi_[[#This Row],[Value]]-F5282)/F5282</f>
        <v>3.8700760193503964E-2</v>
      </c>
      <c r="H5283" t="e" cm="1" vm="1">
        <f t="array" aca="1" ref="H5283" ca="1">VLOOKUP(Cpi_[[#This Row],[Year]:[Month]],crudeoil[],3,FALSE)</f>
        <v>#VALUE!</v>
      </c>
    </row>
    <row r="5284" spans="1:8" hidden="1" x14ac:dyDescent="0.3">
      <c r="A5284" t="s">
        <v>30</v>
      </c>
      <c r="B5284">
        <v>2018</v>
      </c>
      <c r="C5284" t="s">
        <v>39</v>
      </c>
      <c r="D5284" t="s">
        <v>20</v>
      </c>
      <c r="E5284" t="e">
        <f>VLOOKUP(Cpi_[[#This Row],[Attribute]],#REF!,2,FALSE)</f>
        <v>#REF!</v>
      </c>
      <c r="F5284" t="s">
        <v>32</v>
      </c>
      <c r="G5284" t="e">
        <f>(Cpi_[[#This Row],[Value]]-F5283)/F5283</f>
        <v>#VALUE!</v>
      </c>
      <c r="H5284" t="e" cm="1" vm="1">
        <f t="array" aca="1" ref="H5284" ca="1">VLOOKUP(Cpi_[[#This Row],[Year]:[Month]],crudeoil[],3,FALSE)</f>
        <v>#VALUE!</v>
      </c>
    </row>
    <row r="5285" spans="1:8" hidden="1" x14ac:dyDescent="0.3">
      <c r="A5285" t="s">
        <v>30</v>
      </c>
      <c r="B5285">
        <v>2018</v>
      </c>
      <c r="C5285" t="s">
        <v>39</v>
      </c>
      <c r="D5285" t="s">
        <v>21</v>
      </c>
      <c r="E5285" t="e">
        <f>VLOOKUP(Cpi_[[#This Row],[Attribute]],#REF!,2,FALSE)</f>
        <v>#REF!</v>
      </c>
      <c r="F5285">
        <v>145.1</v>
      </c>
      <c r="G5285" t="e">
        <f>(Cpi_[[#This Row],[Value]]-F5284)/F5284</f>
        <v>#VALUE!</v>
      </c>
      <c r="H5285" t="e" cm="1" vm="1">
        <f t="array" aca="1" ref="H5285" ca="1">VLOOKUP(Cpi_[[#This Row],[Year]:[Month]],crudeoil[],3,FALSE)</f>
        <v>#VALUE!</v>
      </c>
    </row>
    <row r="5286" spans="1:8" hidden="1" x14ac:dyDescent="0.3">
      <c r="A5286" t="s">
        <v>30</v>
      </c>
      <c r="B5286">
        <v>2018</v>
      </c>
      <c r="C5286" t="s">
        <v>39</v>
      </c>
      <c r="D5286" t="s">
        <v>22</v>
      </c>
      <c r="E5286" t="e">
        <f>VLOOKUP(Cpi_[[#This Row],[Attribute]],#REF!,2,FALSE)</f>
        <v>#REF!</v>
      </c>
      <c r="F5286">
        <v>142.19999999999999</v>
      </c>
      <c r="G5286">
        <f>(Cpi_[[#This Row],[Value]]-F5285)/F5285</f>
        <v>-1.9986216402481088E-2</v>
      </c>
      <c r="H5286" t="e" cm="1" vm="1">
        <f t="array" aca="1" ref="H5286" ca="1">VLOOKUP(Cpi_[[#This Row],[Year]:[Month]],crudeoil[],3,FALSE)</f>
        <v>#VALUE!</v>
      </c>
    </row>
    <row r="5287" spans="1:8" hidden="1" x14ac:dyDescent="0.3">
      <c r="A5287" t="s">
        <v>30</v>
      </c>
      <c r="B5287">
        <v>2018</v>
      </c>
      <c r="C5287" t="s">
        <v>39</v>
      </c>
      <c r="D5287" t="s">
        <v>23</v>
      </c>
      <c r="E5287" t="e">
        <f>VLOOKUP(Cpi_[[#This Row],[Attribute]],#REF!,2,FALSE)</f>
        <v>#REF!</v>
      </c>
      <c r="F5287">
        <v>138.4</v>
      </c>
      <c r="G5287">
        <f>(Cpi_[[#This Row],[Value]]-F5286)/F5286</f>
        <v>-2.6722925457102555E-2</v>
      </c>
      <c r="H5287" t="e" cm="1" vm="1">
        <f t="array" aca="1" ref="H5287" ca="1">VLOOKUP(Cpi_[[#This Row],[Year]:[Month]],crudeoil[],3,FALSE)</f>
        <v>#VALUE!</v>
      </c>
    </row>
    <row r="5288" spans="1:8" hidden="1" x14ac:dyDescent="0.3">
      <c r="A5288" t="s">
        <v>30</v>
      </c>
      <c r="B5288">
        <v>2018</v>
      </c>
      <c r="C5288" t="s">
        <v>39</v>
      </c>
      <c r="D5288" t="s">
        <v>24</v>
      </c>
      <c r="E5288" t="e">
        <f>VLOOKUP(Cpi_[[#This Row],[Attribute]],#REF!,2,FALSE)</f>
        <v>#REF!</v>
      </c>
      <c r="F5288">
        <v>127.4</v>
      </c>
      <c r="G5288">
        <f>(Cpi_[[#This Row],[Value]]-F5287)/F5287</f>
        <v>-7.947976878612717E-2</v>
      </c>
      <c r="H5288" t="e" cm="1" vm="1">
        <f t="array" aca="1" ref="H5288" ca="1">VLOOKUP(Cpi_[[#This Row],[Year]:[Month]],crudeoil[],3,FALSE)</f>
        <v>#VALUE!</v>
      </c>
    </row>
    <row r="5289" spans="1:8" hidden="1" x14ac:dyDescent="0.3">
      <c r="A5289" t="s">
        <v>30</v>
      </c>
      <c r="B5289">
        <v>2018</v>
      </c>
      <c r="C5289" t="s">
        <v>39</v>
      </c>
      <c r="D5289" t="s">
        <v>25</v>
      </c>
      <c r="E5289" t="e">
        <f>VLOOKUP(Cpi_[[#This Row],[Attribute]],#REF!,2,FALSE)</f>
        <v>#REF!</v>
      </c>
      <c r="F5289">
        <v>137.80000000000001</v>
      </c>
      <c r="G5289">
        <f>(Cpi_[[#This Row],[Value]]-F5288)/F5288</f>
        <v>8.1632653061224525E-2</v>
      </c>
      <c r="H5289" t="e" cm="1" vm="1">
        <f t="array" aca="1" ref="H5289" ca="1">VLOOKUP(Cpi_[[#This Row],[Year]:[Month]],crudeoil[],3,FALSE)</f>
        <v>#VALUE!</v>
      </c>
    </row>
    <row r="5290" spans="1:8" hidden="1" x14ac:dyDescent="0.3">
      <c r="A5290" t="s">
        <v>30</v>
      </c>
      <c r="B5290">
        <v>2018</v>
      </c>
      <c r="C5290" t="s">
        <v>39</v>
      </c>
      <c r="D5290" t="s">
        <v>26</v>
      </c>
      <c r="E5290" t="e">
        <f>VLOOKUP(Cpi_[[#This Row],[Attribute]],#REF!,2,FALSE)</f>
        <v>#REF!</v>
      </c>
      <c r="F5290">
        <v>145.1</v>
      </c>
      <c r="G5290">
        <f>(Cpi_[[#This Row],[Value]]-F5289)/F5289</f>
        <v>5.2975326560232093E-2</v>
      </c>
      <c r="H5290" t="e" cm="1" vm="1">
        <f t="array" aca="1" ref="H5290" ca="1">VLOOKUP(Cpi_[[#This Row],[Year]:[Month]],crudeoil[],3,FALSE)</f>
        <v>#VALUE!</v>
      </c>
    </row>
    <row r="5291" spans="1:8" hidden="1" x14ac:dyDescent="0.3">
      <c r="A5291" t="s">
        <v>30</v>
      </c>
      <c r="B5291">
        <v>2018</v>
      </c>
      <c r="C5291" t="s">
        <v>39</v>
      </c>
      <c r="D5291" t="s">
        <v>27</v>
      </c>
      <c r="E5291" t="e">
        <f>VLOOKUP(Cpi_[[#This Row],[Attribute]],#REF!,2,FALSE)</f>
        <v>#REF!</v>
      </c>
      <c r="F5291">
        <v>131.4</v>
      </c>
      <c r="G5291">
        <f>(Cpi_[[#This Row],[Value]]-F5290)/F5290</f>
        <v>-9.4417643004824178E-2</v>
      </c>
      <c r="H5291" t="e" cm="1" vm="1">
        <f t="array" aca="1" ref="H5291" ca="1">VLOOKUP(Cpi_[[#This Row],[Year]:[Month]],crudeoil[],3,FALSE)</f>
        <v>#VALUE!</v>
      </c>
    </row>
    <row r="5292" spans="1:8" hidden="1" x14ac:dyDescent="0.3">
      <c r="A5292" t="s">
        <v>30</v>
      </c>
      <c r="B5292">
        <v>2018</v>
      </c>
      <c r="C5292" t="s">
        <v>39</v>
      </c>
      <c r="D5292" t="s">
        <v>28</v>
      </c>
      <c r="E5292" t="e">
        <f>VLOOKUP(Cpi_[[#This Row],[Attribute]],#REF!,2,FALSE)</f>
        <v>#REF!</v>
      </c>
      <c r="F5292">
        <v>135.6</v>
      </c>
      <c r="G5292">
        <f>(Cpi_[[#This Row],[Value]]-F5291)/F5291</f>
        <v>3.1963470319634618E-2</v>
      </c>
      <c r="H5292" t="e" cm="1" vm="1">
        <f t="array" aca="1" ref="H5292" ca="1">VLOOKUP(Cpi_[[#This Row],[Year]:[Month]],crudeoil[],3,FALSE)</f>
        <v>#VALUE!</v>
      </c>
    </row>
    <row r="5293" spans="1:8" hidden="1" x14ac:dyDescent="0.3">
      <c r="A5293" t="s">
        <v>30</v>
      </c>
      <c r="B5293">
        <v>2018</v>
      </c>
      <c r="C5293" t="s">
        <v>39</v>
      </c>
      <c r="D5293" t="s">
        <v>29</v>
      </c>
      <c r="E5293" t="e" cm="1">
        <f t="array" aca="1" ref="E5293" ca="1">VLGeneral indexGeneral indexKUP(Cpi_[[#This Row],[Attribute]],#REF!,2,FALSE)</f>
        <v>#NAME?</v>
      </c>
      <c r="F5293">
        <v>140.5</v>
      </c>
      <c r="G5293">
        <f>(Cpi_[[#This Row],[Value]]-F5292)/F5292</f>
        <v>3.6135693215339278E-2</v>
      </c>
      <c r="H5293" t="e" cm="1" vm="1">
        <f t="array" aca="1" ref="H5293" ca="1">VLOOKUP(Cpi_[[#This Row],[Year]:[Month]],crudeoil[],3,FALSE)</f>
        <v>#VALUE!</v>
      </c>
    </row>
    <row r="5294" spans="1:8" hidden="1" x14ac:dyDescent="0.3">
      <c r="A5294" t="s">
        <v>33</v>
      </c>
      <c r="B5294">
        <v>2018</v>
      </c>
      <c r="C5294" t="s">
        <v>39</v>
      </c>
      <c r="D5294" t="s">
        <v>3</v>
      </c>
      <c r="E5294" t="e">
        <f>VLOOKUP(Cpi_[[#This Row],[Attribute]],#REF!,2,FALSE)</f>
        <v>#REF!</v>
      </c>
      <c r="F5294">
        <v>135.30000000000001</v>
      </c>
      <c r="G5294">
        <f>(Cpi_[[#This Row],[Value]]-F5293)/F5293</f>
        <v>-3.7010676156583551E-2</v>
      </c>
      <c r="H5294" t="e" cm="1" vm="1">
        <f t="array" aca="1" ref="H5294" ca="1">VLOOKUP(Cpi_[[#This Row],[Year]:[Month]],crudeoil[],3,FALSE)</f>
        <v>#VALUE!</v>
      </c>
    </row>
    <row r="5295" spans="1:8" hidden="1" x14ac:dyDescent="0.3">
      <c r="A5295" t="s">
        <v>33</v>
      </c>
      <c r="B5295">
        <v>2018</v>
      </c>
      <c r="C5295" t="s">
        <v>39</v>
      </c>
      <c r="D5295" t="s">
        <v>4</v>
      </c>
      <c r="E5295" t="e">
        <f>VLOOKUP(Cpi_[[#This Row],[Attribute]],#REF!,2,FALSE)</f>
        <v>#REF!</v>
      </c>
      <c r="F5295">
        <v>149.69999999999999</v>
      </c>
      <c r="G5295">
        <f>(Cpi_[[#This Row],[Value]]-F5294)/F5294</f>
        <v>0.10643015521064284</v>
      </c>
      <c r="H5295" t="e" cm="1" vm="1">
        <f t="array" aca="1" ref="H5295" ca="1">VLOOKUP(Cpi_[[#This Row],[Year]:[Month]],crudeoil[],3,FALSE)</f>
        <v>#VALUE!</v>
      </c>
    </row>
    <row r="5296" spans="1:8" hidden="1" x14ac:dyDescent="0.3">
      <c r="A5296" t="s">
        <v>33</v>
      </c>
      <c r="B5296">
        <v>2018</v>
      </c>
      <c r="C5296" t="s">
        <v>39</v>
      </c>
      <c r="D5296" t="s">
        <v>5</v>
      </c>
      <c r="E5296" t="e">
        <f>VLOOKUP(Cpi_[[#This Row],[Attribute]],#REF!,2,FALSE)</f>
        <v>#REF!</v>
      </c>
      <c r="F5296">
        <v>133.9</v>
      </c>
      <c r="G5296">
        <f>(Cpi_[[#This Row],[Value]]-F5295)/F5295</f>
        <v>-0.1055444221776886</v>
      </c>
      <c r="H5296" t="e" cm="1" vm="1">
        <f t="array" aca="1" ref="H5296" ca="1">VLOOKUP(Cpi_[[#This Row],[Year]:[Month]],crudeoil[],3,FALSE)</f>
        <v>#VALUE!</v>
      </c>
    </row>
    <row r="5297" spans="1:8" hidden="1" x14ac:dyDescent="0.3">
      <c r="A5297" t="s">
        <v>33</v>
      </c>
      <c r="B5297">
        <v>2018</v>
      </c>
      <c r="C5297" t="s">
        <v>39</v>
      </c>
      <c r="D5297" t="s">
        <v>6</v>
      </c>
      <c r="E5297" t="e">
        <f>VLOOKUP(Cpi_[[#This Row],[Attribute]],#REF!,2,FALSE)</f>
        <v>#REF!</v>
      </c>
      <c r="F5297">
        <v>140.80000000000001</v>
      </c>
      <c r="G5297">
        <f>(Cpi_[[#This Row],[Value]]-F5296)/F5296</f>
        <v>5.1530993278566133E-2</v>
      </c>
      <c r="H5297" t="e" cm="1" vm="1">
        <f t="array" aca="1" ref="H5297" ca="1">VLOOKUP(Cpi_[[#This Row],[Year]:[Month]],crudeoil[],3,FALSE)</f>
        <v>#VALUE!</v>
      </c>
    </row>
    <row r="5298" spans="1:8" hidden="1" x14ac:dyDescent="0.3">
      <c r="A5298" t="s">
        <v>33</v>
      </c>
      <c r="B5298">
        <v>2018</v>
      </c>
      <c r="C5298" t="s">
        <v>39</v>
      </c>
      <c r="D5298" t="s">
        <v>7</v>
      </c>
      <c r="E5298" t="e">
        <f>VLOOKUP(Cpi_[[#This Row],[Attribute]],#REF!,2,FALSE)</f>
        <v>#REF!</v>
      </c>
      <c r="F5298">
        <v>116.6</v>
      </c>
      <c r="G5298">
        <f>(Cpi_[[#This Row],[Value]]-F5297)/F5297</f>
        <v>-0.17187500000000011</v>
      </c>
      <c r="H5298" t="e" cm="1" vm="1">
        <f t="array" aca="1" ref="H5298" ca="1">VLOOKUP(Cpi_[[#This Row],[Year]:[Month]],crudeoil[],3,FALSE)</f>
        <v>#VALUE!</v>
      </c>
    </row>
    <row r="5299" spans="1:8" hidden="1" x14ac:dyDescent="0.3">
      <c r="A5299" t="s">
        <v>33</v>
      </c>
      <c r="B5299">
        <v>2018</v>
      </c>
      <c r="C5299" t="s">
        <v>39</v>
      </c>
      <c r="D5299" t="s">
        <v>8</v>
      </c>
      <c r="E5299" t="e">
        <f>VLOOKUP(Cpi_[[#This Row],[Attribute]],#REF!,2,FALSE)</f>
        <v>#REF!</v>
      </c>
      <c r="F5299">
        <v>152.19999999999999</v>
      </c>
      <c r="G5299">
        <f>(Cpi_[[#This Row],[Value]]-F5298)/F5298</f>
        <v>0.30531732418524871</v>
      </c>
      <c r="H5299" t="e" cm="1" vm="1">
        <f t="array" aca="1" ref="H5299" ca="1">VLOOKUP(Cpi_[[#This Row],[Year]:[Month]],crudeoil[],3,FALSE)</f>
        <v>#VALUE!</v>
      </c>
    </row>
    <row r="5300" spans="1:8" hidden="1" x14ac:dyDescent="0.3">
      <c r="A5300" t="s">
        <v>33</v>
      </c>
      <c r="B5300">
        <v>2018</v>
      </c>
      <c r="C5300" t="s">
        <v>39</v>
      </c>
      <c r="D5300" t="s">
        <v>9</v>
      </c>
      <c r="E5300" t="e">
        <f>VLOOKUP(Cpi_[[#This Row],[Attribute]],#REF!,2,FALSE)</f>
        <v>#REF!</v>
      </c>
      <c r="F5300">
        <v>144</v>
      </c>
      <c r="G5300">
        <f>(Cpi_[[#This Row],[Value]]-F5299)/F5299</f>
        <v>-5.387647831800256E-2</v>
      </c>
      <c r="H5300" t="e" cm="1" vm="1">
        <f t="array" aca="1" ref="H5300" ca="1">VLOOKUP(Cpi_[[#This Row],[Year]:[Month]],crudeoil[],3,FALSE)</f>
        <v>#VALUE!</v>
      </c>
    </row>
    <row r="5301" spans="1:8" hidden="1" x14ac:dyDescent="0.3">
      <c r="A5301" t="s">
        <v>33</v>
      </c>
      <c r="B5301">
        <v>2018</v>
      </c>
      <c r="C5301" t="s">
        <v>39</v>
      </c>
      <c r="D5301" t="s">
        <v>10</v>
      </c>
      <c r="E5301" t="e">
        <f>VLOOKUP(Cpi_[[#This Row],[Attribute]],#REF!,2,FALSE)</f>
        <v>#REF!</v>
      </c>
      <c r="F5301">
        <v>112.3</v>
      </c>
      <c r="G5301">
        <f>(Cpi_[[#This Row],[Value]]-F5300)/F5300</f>
        <v>-0.22013888888888891</v>
      </c>
      <c r="H5301" t="e" cm="1" vm="1">
        <f t="array" aca="1" ref="H5301" ca="1">VLOOKUP(Cpi_[[#This Row],[Year]:[Month]],crudeoil[],3,FALSE)</f>
        <v>#VALUE!</v>
      </c>
    </row>
    <row r="5302" spans="1:8" hidden="1" x14ac:dyDescent="0.3">
      <c r="A5302" t="s">
        <v>33</v>
      </c>
      <c r="B5302">
        <v>2018</v>
      </c>
      <c r="C5302" t="s">
        <v>39</v>
      </c>
      <c r="D5302" t="s">
        <v>11</v>
      </c>
      <c r="E5302" t="e">
        <f>VLOOKUP(Cpi_[[#This Row],[Attribute]],#REF!,2,FALSE)</f>
        <v>#REF!</v>
      </c>
      <c r="F5302">
        <v>108.4</v>
      </c>
      <c r="G5302">
        <f>(Cpi_[[#This Row],[Value]]-F5301)/F5301</f>
        <v>-3.4728406055209188E-2</v>
      </c>
      <c r="H5302" t="e" cm="1" vm="1">
        <f t="array" aca="1" ref="H5302" ca="1">VLOOKUP(Cpi_[[#This Row],[Year]:[Month]],crudeoil[],3,FALSE)</f>
        <v>#VALUE!</v>
      </c>
    </row>
    <row r="5303" spans="1:8" hidden="1" x14ac:dyDescent="0.3">
      <c r="A5303" t="s">
        <v>33</v>
      </c>
      <c r="B5303">
        <v>2018</v>
      </c>
      <c r="C5303" t="s">
        <v>39</v>
      </c>
      <c r="D5303" t="s">
        <v>12</v>
      </c>
      <c r="E5303" t="e">
        <f>VLOOKUP(Cpi_[[#This Row],[Attribute]],#REF!,2,FALSE)</f>
        <v>#REF!</v>
      </c>
      <c r="F5303">
        <v>140</v>
      </c>
      <c r="G5303">
        <f>(Cpi_[[#This Row],[Value]]-F5302)/F5302</f>
        <v>0.29151291512915123</v>
      </c>
      <c r="H5303" t="e" cm="1" vm="1">
        <f t="array" aca="1" ref="H5303" ca="1">VLOOKUP(Cpi_[[#This Row],[Year]:[Month]],crudeoil[],3,FALSE)</f>
        <v>#VALUE!</v>
      </c>
    </row>
    <row r="5304" spans="1:8" hidden="1" x14ac:dyDescent="0.3">
      <c r="A5304" t="s">
        <v>33</v>
      </c>
      <c r="B5304">
        <v>2018</v>
      </c>
      <c r="C5304" t="s">
        <v>39</v>
      </c>
      <c r="D5304" t="s">
        <v>13</v>
      </c>
      <c r="E5304" t="e">
        <f>VLOOKUP(Cpi_[[#This Row],[Attribute]],#REF!,2,FALSE)</f>
        <v>#REF!</v>
      </c>
      <c r="F5304">
        <v>126.7</v>
      </c>
      <c r="G5304">
        <f>(Cpi_[[#This Row],[Value]]-F5303)/F5303</f>
        <v>-9.4999999999999973E-2</v>
      </c>
      <c r="H5304" t="e" cm="1" vm="1">
        <f t="array" aca="1" ref="H5304" ca="1">VLOOKUP(Cpi_[[#This Row],[Year]:[Month]],crudeoil[],3,FALSE)</f>
        <v>#VALUE!</v>
      </c>
    </row>
    <row r="5305" spans="1:8" hidden="1" x14ac:dyDescent="0.3">
      <c r="A5305" t="s">
        <v>33</v>
      </c>
      <c r="B5305">
        <v>2018</v>
      </c>
      <c r="C5305" t="s">
        <v>39</v>
      </c>
      <c r="D5305" t="s">
        <v>14</v>
      </c>
      <c r="E5305" t="e">
        <f>VLOOKUP(Cpi_[[#This Row],[Attribute]],#REF!,2,FALSE)</f>
        <v>#REF!</v>
      </c>
      <c r="F5305">
        <v>149</v>
      </c>
      <c r="G5305">
        <f>(Cpi_[[#This Row],[Value]]-F5304)/F5304</f>
        <v>0.17600631412786105</v>
      </c>
      <c r="H5305" t="e" cm="1" vm="1">
        <f t="array" aca="1" ref="H5305" ca="1">VLOOKUP(Cpi_[[#This Row],[Year]:[Month]],crudeoil[],3,FALSE)</f>
        <v>#VALUE!</v>
      </c>
    </row>
    <row r="5306" spans="1:8" hidden="1" x14ac:dyDescent="0.3">
      <c r="A5306" t="s">
        <v>33</v>
      </c>
      <c r="B5306">
        <v>2018</v>
      </c>
      <c r="C5306" t="s">
        <v>39</v>
      </c>
      <c r="D5306" t="s">
        <v>15</v>
      </c>
      <c r="E5306" t="e">
        <f>VLOOKUP(Cpi_[[#This Row],[Attribute]],#REF!,2,FALSE)</f>
        <v>#REF!</v>
      </c>
      <c r="F5306">
        <v>138.4</v>
      </c>
      <c r="G5306">
        <f>(Cpi_[[#This Row],[Value]]-F5305)/F5305</f>
        <v>-7.1140939597315392E-2</v>
      </c>
      <c r="H5306" t="e" cm="1" vm="1">
        <f t="array" aca="1" ref="H5306" ca="1">VLOOKUP(Cpi_[[#This Row],[Year]:[Month]],crudeoil[],3,FALSE)</f>
        <v>#VALUE!</v>
      </c>
    </row>
    <row r="5307" spans="1:8" hidden="1" x14ac:dyDescent="0.3">
      <c r="A5307" t="s">
        <v>33</v>
      </c>
      <c r="B5307">
        <v>2018</v>
      </c>
      <c r="C5307" t="s">
        <v>39</v>
      </c>
      <c r="D5307" t="s">
        <v>16</v>
      </c>
      <c r="E5307" t="e">
        <f>VLOOKUP(Cpi_[[#This Row],[Attribute]],#REF!,2,FALSE)</f>
        <v>#REF!</v>
      </c>
      <c r="F5307">
        <v>161</v>
      </c>
      <c r="G5307">
        <f>(Cpi_[[#This Row],[Value]]-F5306)/F5306</f>
        <v>0.16329479768786123</v>
      </c>
      <c r="H5307" t="e" cm="1" vm="1">
        <f t="array" aca="1" ref="H5307" ca="1">VLOOKUP(Cpi_[[#This Row],[Year]:[Month]],crudeoil[],3,FALSE)</f>
        <v>#VALUE!</v>
      </c>
    </row>
    <row r="5308" spans="1:8" hidden="1" x14ac:dyDescent="0.3">
      <c r="A5308" t="s">
        <v>33</v>
      </c>
      <c r="B5308">
        <v>2018</v>
      </c>
      <c r="C5308" t="s">
        <v>39</v>
      </c>
      <c r="D5308" t="s">
        <v>17</v>
      </c>
      <c r="E5308" t="e">
        <f>VLOOKUP(Cpi_[[#This Row],[Attribute]],#REF!,2,FALSE)</f>
        <v>#REF!</v>
      </c>
      <c r="F5308">
        <v>138.9</v>
      </c>
      <c r="G5308">
        <f>(Cpi_[[#This Row],[Value]]-F5307)/F5307</f>
        <v>-0.13726708074534158</v>
      </c>
      <c r="H5308" t="e" cm="1" vm="1">
        <f t="array" aca="1" ref="H5308" ca="1">VLOOKUP(Cpi_[[#This Row],[Year]:[Month]],crudeoil[],3,FALSE)</f>
        <v>#VALUE!</v>
      </c>
    </row>
    <row r="5309" spans="1:8" hidden="1" x14ac:dyDescent="0.3">
      <c r="A5309" t="s">
        <v>33</v>
      </c>
      <c r="B5309">
        <v>2018</v>
      </c>
      <c r="C5309" t="s">
        <v>39</v>
      </c>
      <c r="D5309" t="s">
        <v>18</v>
      </c>
      <c r="E5309" t="e">
        <f>VLOOKUP(Cpi_[[#This Row],[Attribute]],#REF!,2,FALSE)</f>
        <v>#REF!</v>
      </c>
      <c r="F5309">
        <v>128.69999999999999</v>
      </c>
      <c r="G5309">
        <f>(Cpi_[[#This Row],[Value]]-F5308)/F5308</f>
        <v>-7.3434125269978515E-2</v>
      </c>
      <c r="H5309" t="e" cm="1" vm="1">
        <f t="array" aca="1" ref="H5309" ca="1">VLOOKUP(Cpi_[[#This Row],[Year]:[Month]],crudeoil[],3,FALSE)</f>
        <v>#VALUE!</v>
      </c>
    </row>
    <row r="5310" spans="1:8" hidden="1" x14ac:dyDescent="0.3">
      <c r="A5310" t="s">
        <v>33</v>
      </c>
      <c r="B5310">
        <v>2018</v>
      </c>
      <c r="C5310" t="s">
        <v>39</v>
      </c>
      <c r="D5310" t="s">
        <v>19</v>
      </c>
      <c r="E5310" t="e">
        <f>VLOOKUP(Cpi_[[#This Row],[Attribute]],#REF!,2,FALSE)</f>
        <v>#REF!</v>
      </c>
      <c r="F5310">
        <v>137.4</v>
      </c>
      <c r="G5310">
        <f>(Cpi_[[#This Row],[Value]]-F5309)/F5309</f>
        <v>6.7599067599067739E-2</v>
      </c>
      <c r="H5310" t="e" cm="1" vm="1">
        <f t="array" aca="1" ref="H5310" ca="1">VLOOKUP(Cpi_[[#This Row],[Year]:[Month]],crudeoil[],3,FALSE)</f>
        <v>#VALUE!</v>
      </c>
    </row>
    <row r="5311" spans="1:8" hidden="1" x14ac:dyDescent="0.3">
      <c r="A5311" t="s">
        <v>33</v>
      </c>
      <c r="B5311">
        <v>2018</v>
      </c>
      <c r="C5311" t="s">
        <v>39</v>
      </c>
      <c r="D5311" t="s">
        <v>20</v>
      </c>
      <c r="E5311" t="e">
        <f>VLOOKUP(Cpi_[[#This Row],[Attribute]],#REF!,2,FALSE)</f>
        <v>#REF!</v>
      </c>
      <c r="F5311">
        <v>142.5</v>
      </c>
      <c r="G5311">
        <f>(Cpi_[[#This Row],[Value]]-F5310)/F5310</f>
        <v>3.7117903930130959E-2</v>
      </c>
      <c r="H5311" t="e" cm="1" vm="1">
        <f t="array" aca="1" ref="H5311" ca="1">VLOOKUP(Cpi_[[#This Row],[Year]:[Month]],crudeoil[],3,FALSE)</f>
        <v>#VALUE!</v>
      </c>
    </row>
    <row r="5312" spans="1:8" hidden="1" x14ac:dyDescent="0.3">
      <c r="A5312" t="s">
        <v>33</v>
      </c>
      <c r="B5312">
        <v>2018</v>
      </c>
      <c r="C5312" t="s">
        <v>39</v>
      </c>
      <c r="D5312" t="s">
        <v>21</v>
      </c>
      <c r="E5312" t="e">
        <f>VLOOKUP(Cpi_[[#This Row],[Attribute]],#REF!,2,FALSE)</f>
        <v>#REF!</v>
      </c>
      <c r="F5312">
        <v>126.5</v>
      </c>
      <c r="G5312">
        <f>(Cpi_[[#This Row],[Value]]-F5311)/F5311</f>
        <v>-0.11228070175438597</v>
      </c>
      <c r="H5312" t="e" cm="1" vm="1">
        <f t="array" aca="1" ref="H5312" ca="1">VLOOKUP(Cpi_[[#This Row],[Year]:[Month]],crudeoil[],3,FALSE)</f>
        <v>#VALUE!</v>
      </c>
    </row>
    <row r="5313" spans="1:8" hidden="1" x14ac:dyDescent="0.3">
      <c r="A5313" t="s">
        <v>33</v>
      </c>
      <c r="B5313">
        <v>2018</v>
      </c>
      <c r="C5313" t="s">
        <v>39</v>
      </c>
      <c r="D5313" t="s">
        <v>22</v>
      </c>
      <c r="E5313" t="e">
        <f>VLOOKUP(Cpi_[[#This Row],[Attribute]],#REF!,2,FALSE)</f>
        <v>#REF!</v>
      </c>
      <c r="F5313">
        <v>133.1</v>
      </c>
      <c r="G5313">
        <f>(Cpi_[[#This Row],[Value]]-F5312)/F5312</f>
        <v>5.2173913043478216E-2</v>
      </c>
      <c r="H5313" t="e" cm="1" vm="1">
        <f t="array" aca="1" ref="H5313" ca="1">VLOOKUP(Cpi_[[#This Row],[Year]:[Month]],crudeoil[],3,FALSE)</f>
        <v>#VALUE!</v>
      </c>
    </row>
    <row r="5314" spans="1:8" hidden="1" x14ac:dyDescent="0.3">
      <c r="A5314" t="s">
        <v>33</v>
      </c>
      <c r="B5314">
        <v>2018</v>
      </c>
      <c r="C5314" t="s">
        <v>39</v>
      </c>
      <c r="D5314" t="s">
        <v>23</v>
      </c>
      <c r="E5314" t="e">
        <f>VLOOKUP(Cpi_[[#This Row],[Attribute]],#REF!,2,FALSE)</f>
        <v>#REF!</v>
      </c>
      <c r="F5314">
        <v>132.6</v>
      </c>
      <c r="G5314">
        <f>(Cpi_[[#This Row],[Value]]-F5313)/F5313</f>
        <v>-3.7565740045078888E-3</v>
      </c>
      <c r="H5314" t="e" cm="1" vm="1">
        <f t="array" aca="1" ref="H5314" ca="1">VLOOKUP(Cpi_[[#This Row],[Year]:[Month]],crudeoil[],3,FALSE)</f>
        <v>#VALUE!</v>
      </c>
    </row>
    <row r="5315" spans="1:8" hidden="1" x14ac:dyDescent="0.3">
      <c r="A5315" t="s">
        <v>33</v>
      </c>
      <c r="B5315">
        <v>2018</v>
      </c>
      <c r="C5315" t="s">
        <v>39</v>
      </c>
      <c r="D5315" t="s">
        <v>24</v>
      </c>
      <c r="E5315" t="e">
        <f>VLOOKUP(Cpi_[[#This Row],[Attribute]],#REF!,2,FALSE)</f>
        <v>#REF!</v>
      </c>
      <c r="F5315">
        <v>120.4</v>
      </c>
      <c r="G5315">
        <f>(Cpi_[[#This Row],[Value]]-F5314)/F5314</f>
        <v>-9.2006033182503694E-2</v>
      </c>
      <c r="H5315" t="e" cm="1" vm="1">
        <f t="array" aca="1" ref="H5315" ca="1">VLOOKUP(Cpi_[[#This Row],[Year]:[Month]],crudeoil[],3,FALSE)</f>
        <v>#VALUE!</v>
      </c>
    </row>
    <row r="5316" spans="1:8" hidden="1" x14ac:dyDescent="0.3">
      <c r="A5316" t="s">
        <v>33</v>
      </c>
      <c r="B5316">
        <v>2018</v>
      </c>
      <c r="C5316" t="s">
        <v>39</v>
      </c>
      <c r="D5316" t="s">
        <v>25</v>
      </c>
      <c r="E5316" t="e">
        <f>VLOOKUP(Cpi_[[#This Row],[Attribute]],#REF!,2,FALSE)</f>
        <v>#REF!</v>
      </c>
      <c r="F5316">
        <v>128.5</v>
      </c>
      <c r="G5316">
        <f>(Cpi_[[#This Row],[Value]]-F5315)/F5315</f>
        <v>6.7275747508305603E-2</v>
      </c>
      <c r="H5316" t="e" cm="1" vm="1">
        <f t="array" aca="1" ref="H5316" ca="1">VLOOKUP(Cpi_[[#This Row],[Year]:[Month]],crudeoil[],3,FALSE)</f>
        <v>#VALUE!</v>
      </c>
    </row>
    <row r="5317" spans="1:8" hidden="1" x14ac:dyDescent="0.3">
      <c r="A5317" t="s">
        <v>33</v>
      </c>
      <c r="B5317">
        <v>2018</v>
      </c>
      <c r="C5317" t="s">
        <v>39</v>
      </c>
      <c r="D5317" t="s">
        <v>26</v>
      </c>
      <c r="E5317" t="e">
        <f>VLOOKUP(Cpi_[[#This Row],[Attribute]],#REF!,2,FALSE)</f>
        <v>#REF!</v>
      </c>
      <c r="F5317">
        <v>141.19999999999999</v>
      </c>
      <c r="G5317">
        <f>(Cpi_[[#This Row],[Value]]-F5316)/F5316</f>
        <v>9.8832684824902636E-2</v>
      </c>
      <c r="H5317" t="e" cm="1" vm="1">
        <f t="array" aca="1" ref="H5317" ca="1">VLOOKUP(Cpi_[[#This Row],[Year]:[Month]],crudeoil[],3,FALSE)</f>
        <v>#VALUE!</v>
      </c>
    </row>
    <row r="5318" spans="1:8" hidden="1" x14ac:dyDescent="0.3">
      <c r="A5318" t="s">
        <v>33</v>
      </c>
      <c r="B5318">
        <v>2018</v>
      </c>
      <c r="C5318" t="s">
        <v>39</v>
      </c>
      <c r="D5318" t="s">
        <v>27</v>
      </c>
      <c r="E5318" t="e">
        <f>VLOOKUP(Cpi_[[#This Row],[Attribute]],#REF!,2,FALSE)</f>
        <v>#REF!</v>
      </c>
      <c r="F5318">
        <v>128.19999999999999</v>
      </c>
      <c r="G5318">
        <f>(Cpi_[[#This Row],[Value]]-F5317)/F5317</f>
        <v>-9.2067988668555242E-2</v>
      </c>
      <c r="H5318" t="e" cm="1" vm="1">
        <f t="array" aca="1" ref="H5318" ca="1">VLOOKUP(Cpi_[[#This Row],[Year]:[Month]],crudeoil[],3,FALSE)</f>
        <v>#VALUE!</v>
      </c>
    </row>
    <row r="5319" spans="1:8" hidden="1" x14ac:dyDescent="0.3">
      <c r="A5319" t="s">
        <v>33</v>
      </c>
      <c r="B5319">
        <v>2018</v>
      </c>
      <c r="C5319" t="s">
        <v>39</v>
      </c>
      <c r="D5319" t="s">
        <v>28</v>
      </c>
      <c r="E5319" t="e">
        <f>VLOOKUP(Cpi_[[#This Row],[Attribute]],#REF!,2,FALSE)</f>
        <v>#REF!</v>
      </c>
      <c r="F5319">
        <v>129.5</v>
      </c>
      <c r="G5319">
        <f>(Cpi_[[#This Row],[Value]]-F5318)/F5318</f>
        <v>1.0140405616224738E-2</v>
      </c>
      <c r="H5319" t="e" cm="1" vm="1">
        <f t="array" aca="1" ref="H5319" ca="1">VLOOKUP(Cpi_[[#This Row],[Year]:[Month]],crudeoil[],3,FALSE)</f>
        <v>#VALUE!</v>
      </c>
    </row>
    <row r="5320" spans="1:8" hidden="1" x14ac:dyDescent="0.3">
      <c r="A5320" t="s">
        <v>33</v>
      </c>
      <c r="B5320">
        <v>2018</v>
      </c>
      <c r="C5320" t="s">
        <v>39</v>
      </c>
      <c r="D5320" t="s">
        <v>29</v>
      </c>
      <c r="E5320" t="e" cm="1">
        <f t="array" aca="1" ref="E5320" ca="1">VLGeneral indexGeneral indexKUP(Cpi_[[#This Row],[Attribute]],#REF!,2,FALSE)</f>
        <v>#NAME?</v>
      </c>
      <c r="F5320">
        <v>136.19999999999999</v>
      </c>
      <c r="G5320">
        <f>(Cpi_[[#This Row],[Value]]-F5319)/F5319</f>
        <v>5.1737451737451652E-2</v>
      </c>
      <c r="H5320" t="e" cm="1" vm="1">
        <f t="array" aca="1" ref="H5320" ca="1">VLOOKUP(Cpi_[[#This Row],[Year]:[Month]],crudeoil[],3,FALSE)</f>
        <v>#VALUE!</v>
      </c>
    </row>
    <row r="5321" spans="1:8" hidden="1" x14ac:dyDescent="0.3">
      <c r="A5321" t="s">
        <v>34</v>
      </c>
      <c r="B5321">
        <v>2018</v>
      </c>
      <c r="C5321" t="s">
        <v>39</v>
      </c>
      <c r="D5321" t="s">
        <v>3</v>
      </c>
      <c r="E5321" t="e">
        <f>VLOOKUP(Cpi_[[#This Row],[Attribute]],#REF!,2,FALSE)</f>
        <v>#REF!</v>
      </c>
      <c r="F5321">
        <v>136.9</v>
      </c>
      <c r="G5321">
        <f>(Cpi_[[#This Row],[Value]]-F5320)/F5320</f>
        <v>5.1395007342145164E-3</v>
      </c>
      <c r="H5321" t="e" cm="1" vm="1">
        <f t="array" aca="1" ref="H5321" ca="1">VLOOKUP(Cpi_[[#This Row],[Year]:[Month]],crudeoil[],3,FALSE)</f>
        <v>#VALUE!</v>
      </c>
    </row>
    <row r="5322" spans="1:8" hidden="1" x14ac:dyDescent="0.3">
      <c r="A5322" t="s">
        <v>34</v>
      </c>
      <c r="B5322">
        <v>2018</v>
      </c>
      <c r="C5322" t="s">
        <v>39</v>
      </c>
      <c r="D5322" t="s">
        <v>4</v>
      </c>
      <c r="E5322" t="e">
        <f>VLOOKUP(Cpi_[[#This Row],[Attribute]],#REF!,2,FALSE)</f>
        <v>#REF!</v>
      </c>
      <c r="F5322">
        <v>148.69999999999999</v>
      </c>
      <c r="G5322">
        <f>(Cpi_[[#This Row],[Value]]-F5321)/F5321</f>
        <v>8.6194302410518495E-2</v>
      </c>
      <c r="H5322" t="e" cm="1" vm="1">
        <f t="array" aca="1" ref="H5322" ca="1">VLOOKUP(Cpi_[[#This Row],[Year]:[Month]],crudeoil[],3,FALSE)</f>
        <v>#VALUE!</v>
      </c>
    </row>
    <row r="5323" spans="1:8" hidden="1" x14ac:dyDescent="0.3">
      <c r="A5323" t="s">
        <v>34</v>
      </c>
      <c r="B5323">
        <v>2018</v>
      </c>
      <c r="C5323" t="s">
        <v>39</v>
      </c>
      <c r="D5323" t="s">
        <v>5</v>
      </c>
      <c r="E5323" t="e">
        <f>VLOOKUP(Cpi_[[#This Row],[Attribute]],#REF!,2,FALSE)</f>
        <v>#REF!</v>
      </c>
      <c r="F5323">
        <v>135.6</v>
      </c>
      <c r="G5323">
        <f>(Cpi_[[#This Row],[Value]]-F5322)/F5322</f>
        <v>-8.8096839273705416E-2</v>
      </c>
      <c r="H5323" t="e" cm="1" vm="1">
        <f t="array" aca="1" ref="H5323" ca="1">VLOOKUP(Cpi_[[#This Row],[Year]:[Month]],crudeoil[],3,FALSE)</f>
        <v>#VALUE!</v>
      </c>
    </row>
    <row r="5324" spans="1:8" hidden="1" x14ac:dyDescent="0.3">
      <c r="A5324" t="s">
        <v>34</v>
      </c>
      <c r="B5324">
        <v>2018</v>
      </c>
      <c r="C5324" t="s">
        <v>39</v>
      </c>
      <c r="D5324" t="s">
        <v>6</v>
      </c>
      <c r="E5324" t="e">
        <f>VLOOKUP(Cpi_[[#This Row],[Attribute]],#REF!,2,FALSE)</f>
        <v>#REF!</v>
      </c>
      <c r="F5324">
        <v>142.30000000000001</v>
      </c>
      <c r="G5324">
        <f>(Cpi_[[#This Row],[Value]]-F5323)/F5323</f>
        <v>4.9410029498525201E-2</v>
      </c>
      <c r="H5324" t="e" cm="1" vm="1">
        <f t="array" aca="1" ref="H5324" ca="1">VLOOKUP(Cpi_[[#This Row],[Year]:[Month]],crudeoil[],3,FALSE)</f>
        <v>#VALUE!</v>
      </c>
    </row>
    <row r="5325" spans="1:8" hidden="1" x14ac:dyDescent="0.3">
      <c r="A5325" t="s">
        <v>34</v>
      </c>
      <c r="B5325">
        <v>2018</v>
      </c>
      <c r="C5325" t="s">
        <v>39</v>
      </c>
      <c r="D5325" t="s">
        <v>7</v>
      </c>
      <c r="E5325" t="e">
        <f>VLOOKUP(Cpi_[[#This Row],[Attribute]],#REF!,2,FALSE)</f>
        <v>#REF!</v>
      </c>
      <c r="F5325">
        <v>121.3</v>
      </c>
      <c r="G5325">
        <f>(Cpi_[[#This Row],[Value]]-F5324)/F5324</f>
        <v>-0.14757554462403383</v>
      </c>
      <c r="H5325" t="e" cm="1" vm="1">
        <f t="array" aca="1" ref="H5325" ca="1">VLOOKUP(Cpi_[[#This Row],[Year]:[Month]],crudeoil[],3,FALSE)</f>
        <v>#VALUE!</v>
      </c>
    </row>
    <row r="5326" spans="1:8" hidden="1" x14ac:dyDescent="0.3">
      <c r="A5326" t="s">
        <v>34</v>
      </c>
      <c r="B5326">
        <v>2018</v>
      </c>
      <c r="C5326" t="s">
        <v>39</v>
      </c>
      <c r="D5326" t="s">
        <v>8</v>
      </c>
      <c r="E5326" t="e">
        <f>VLOOKUP(Cpi_[[#This Row],[Attribute]],#REF!,2,FALSE)</f>
        <v>#REF!</v>
      </c>
      <c r="F5326">
        <v>153.19999999999999</v>
      </c>
      <c r="G5326">
        <f>(Cpi_[[#This Row],[Value]]-F5325)/F5325</f>
        <v>0.26298433635614171</v>
      </c>
      <c r="H5326" t="e" cm="1" vm="1">
        <f t="array" aca="1" ref="H5326" ca="1">VLOOKUP(Cpi_[[#This Row],[Year]:[Month]],crudeoil[],3,FALSE)</f>
        <v>#VALUE!</v>
      </c>
    </row>
    <row r="5327" spans="1:8" hidden="1" x14ac:dyDescent="0.3">
      <c r="A5327" t="s">
        <v>34</v>
      </c>
      <c r="B5327">
        <v>2018</v>
      </c>
      <c r="C5327" t="s">
        <v>39</v>
      </c>
      <c r="D5327" t="s">
        <v>9</v>
      </c>
      <c r="E5327" t="e">
        <f>VLOOKUP(Cpi_[[#This Row],[Attribute]],#REF!,2,FALSE)</f>
        <v>#REF!</v>
      </c>
      <c r="F5327">
        <v>143.69999999999999</v>
      </c>
      <c r="G5327">
        <f>(Cpi_[[#This Row],[Value]]-F5326)/F5326</f>
        <v>-6.201044386422977E-2</v>
      </c>
      <c r="H5327" t="e" cm="1" vm="1">
        <f t="array" aca="1" ref="H5327" ca="1">VLOOKUP(Cpi_[[#This Row],[Year]:[Month]],crudeoil[],3,FALSE)</f>
        <v>#VALUE!</v>
      </c>
    </row>
    <row r="5328" spans="1:8" hidden="1" x14ac:dyDescent="0.3">
      <c r="A5328" t="s">
        <v>34</v>
      </c>
      <c r="B5328">
        <v>2018</v>
      </c>
      <c r="C5328" t="s">
        <v>39</v>
      </c>
      <c r="D5328" t="s">
        <v>10</v>
      </c>
      <c r="E5328" t="e">
        <f>VLOOKUP(Cpi_[[#This Row],[Attribute]],#REF!,2,FALSE)</f>
        <v>#REF!</v>
      </c>
      <c r="F5328">
        <v>121.4</v>
      </c>
      <c r="G5328">
        <f>(Cpi_[[#This Row],[Value]]-F5327)/F5327</f>
        <v>-0.15518441196938054</v>
      </c>
      <c r="H5328" t="e" cm="1" vm="1">
        <f t="array" aca="1" ref="H5328" ca="1">VLOOKUP(Cpi_[[#This Row],[Year]:[Month]],crudeoil[],3,FALSE)</f>
        <v>#VALUE!</v>
      </c>
    </row>
    <row r="5329" spans="1:8" hidden="1" x14ac:dyDescent="0.3">
      <c r="A5329" t="s">
        <v>34</v>
      </c>
      <c r="B5329">
        <v>2018</v>
      </c>
      <c r="C5329" t="s">
        <v>39</v>
      </c>
      <c r="D5329" t="s">
        <v>11</v>
      </c>
      <c r="E5329" t="e">
        <f>VLOOKUP(Cpi_[[#This Row],[Attribute]],#REF!,2,FALSE)</f>
        <v>#REF!</v>
      </c>
      <c r="F5329">
        <v>111.1</v>
      </c>
      <c r="G5329">
        <f>(Cpi_[[#This Row],[Value]]-F5328)/F5328</f>
        <v>-8.4843492586491029E-2</v>
      </c>
      <c r="H5329" t="e" cm="1" vm="1">
        <f t="array" aca="1" ref="H5329" ca="1">VLOOKUP(Cpi_[[#This Row],[Year]:[Month]],crudeoil[],3,FALSE)</f>
        <v>#VALUE!</v>
      </c>
    </row>
    <row r="5330" spans="1:8" hidden="1" x14ac:dyDescent="0.3">
      <c r="A5330" t="s">
        <v>34</v>
      </c>
      <c r="B5330">
        <v>2018</v>
      </c>
      <c r="C5330" t="s">
        <v>39</v>
      </c>
      <c r="D5330" t="s">
        <v>12</v>
      </c>
      <c r="E5330" t="e">
        <f>VLOOKUP(Cpi_[[#This Row],[Attribute]],#REF!,2,FALSE)</f>
        <v>#REF!</v>
      </c>
      <c r="F5330">
        <v>138.4</v>
      </c>
      <c r="G5330">
        <f>(Cpi_[[#This Row],[Value]]-F5329)/F5329</f>
        <v>0.24572457245724583</v>
      </c>
      <c r="H5330" t="e" cm="1" vm="1">
        <f t="array" aca="1" ref="H5330" ca="1">VLOOKUP(Cpi_[[#This Row],[Year]:[Month]],crudeoil[],3,FALSE)</f>
        <v>#VALUE!</v>
      </c>
    </row>
    <row r="5331" spans="1:8" hidden="1" x14ac:dyDescent="0.3">
      <c r="A5331" t="s">
        <v>34</v>
      </c>
      <c r="B5331">
        <v>2018</v>
      </c>
      <c r="C5331" t="s">
        <v>39</v>
      </c>
      <c r="D5331" t="s">
        <v>13</v>
      </c>
      <c r="E5331" t="e">
        <f>VLOOKUP(Cpi_[[#This Row],[Attribute]],#REF!,2,FALSE)</f>
        <v>#REF!</v>
      </c>
      <c r="F5331">
        <v>130.30000000000001</v>
      </c>
      <c r="G5331">
        <f>(Cpi_[[#This Row],[Value]]-F5330)/F5330</f>
        <v>-5.8526011560693599E-2</v>
      </c>
      <c r="H5331" t="e" cm="1" vm="1">
        <f t="array" aca="1" ref="H5331" ca="1">VLOOKUP(Cpi_[[#This Row],[Year]:[Month]],crudeoil[],3,FALSE)</f>
        <v>#VALUE!</v>
      </c>
    </row>
    <row r="5332" spans="1:8" hidden="1" x14ac:dyDescent="0.3">
      <c r="A5332" t="s">
        <v>34</v>
      </c>
      <c r="B5332">
        <v>2018</v>
      </c>
      <c r="C5332" t="s">
        <v>39</v>
      </c>
      <c r="D5332" t="s">
        <v>14</v>
      </c>
      <c r="E5332" t="e">
        <f>VLOOKUP(Cpi_[[#This Row],[Attribute]],#REF!,2,FALSE)</f>
        <v>#REF!</v>
      </c>
      <c r="F5332">
        <v>151.80000000000001</v>
      </c>
      <c r="G5332">
        <f>(Cpi_[[#This Row],[Value]]-F5331)/F5331</f>
        <v>0.16500383729854182</v>
      </c>
      <c r="H5332" t="e" cm="1" vm="1">
        <f t="array" aca="1" ref="H5332" ca="1">VLOOKUP(Cpi_[[#This Row],[Year]:[Month]],crudeoil[],3,FALSE)</f>
        <v>#VALUE!</v>
      </c>
    </row>
    <row r="5333" spans="1:8" hidden="1" x14ac:dyDescent="0.3">
      <c r="A5333" t="s">
        <v>34</v>
      </c>
      <c r="B5333">
        <v>2018</v>
      </c>
      <c r="C5333" t="s">
        <v>39</v>
      </c>
      <c r="D5333" t="s">
        <v>15</v>
      </c>
      <c r="E5333" t="e">
        <f>VLOOKUP(Cpi_[[#This Row],[Attribute]],#REF!,2,FALSE)</f>
        <v>#REF!</v>
      </c>
      <c r="F5333">
        <v>139.4</v>
      </c>
      <c r="G5333">
        <f>(Cpi_[[#This Row],[Value]]-F5332)/F5332</f>
        <v>-8.1686429512516506E-2</v>
      </c>
      <c r="H5333" t="e" cm="1" vm="1">
        <f t="array" aca="1" ref="H5333" ca="1">VLOOKUP(Cpi_[[#This Row],[Year]:[Month]],crudeoil[],3,FALSE)</f>
        <v>#VALUE!</v>
      </c>
    </row>
    <row r="5334" spans="1:8" hidden="1" x14ac:dyDescent="0.3">
      <c r="A5334" t="s">
        <v>34</v>
      </c>
      <c r="B5334">
        <v>2018</v>
      </c>
      <c r="C5334" t="s">
        <v>39</v>
      </c>
      <c r="D5334" t="s">
        <v>16</v>
      </c>
      <c r="E5334" t="e">
        <f>VLOOKUP(Cpi_[[#This Row],[Attribute]],#REF!,2,FALSE)</f>
        <v>#REF!</v>
      </c>
      <c r="F5334">
        <v>158.30000000000001</v>
      </c>
      <c r="G5334">
        <f>(Cpi_[[#This Row],[Value]]-F5333)/F5333</f>
        <v>0.13558106169296991</v>
      </c>
      <c r="H5334" t="e" cm="1" vm="1">
        <f t="array" aca="1" ref="H5334" ca="1">VLOOKUP(Cpi_[[#This Row],[Year]:[Month]],crudeoil[],3,FALSE)</f>
        <v>#VALUE!</v>
      </c>
    </row>
    <row r="5335" spans="1:8" hidden="1" x14ac:dyDescent="0.3">
      <c r="A5335" t="s">
        <v>34</v>
      </c>
      <c r="B5335">
        <v>2018</v>
      </c>
      <c r="C5335" t="s">
        <v>39</v>
      </c>
      <c r="D5335" t="s">
        <v>17</v>
      </c>
      <c r="E5335" t="e">
        <f>VLOOKUP(Cpi_[[#This Row],[Attribute]],#REF!,2,FALSE)</f>
        <v>#REF!</v>
      </c>
      <c r="F5335">
        <v>146.4</v>
      </c>
      <c r="G5335">
        <f>(Cpi_[[#This Row],[Value]]-F5334)/F5334</f>
        <v>-7.5173720783322837E-2</v>
      </c>
      <c r="H5335" t="e" cm="1" vm="1">
        <f t="array" aca="1" ref="H5335" ca="1">VLOOKUP(Cpi_[[#This Row],[Year]:[Month]],crudeoil[],3,FALSE)</f>
        <v>#VALUE!</v>
      </c>
    </row>
    <row r="5336" spans="1:8" hidden="1" x14ac:dyDescent="0.3">
      <c r="A5336" t="s">
        <v>34</v>
      </c>
      <c r="B5336">
        <v>2018</v>
      </c>
      <c r="C5336" t="s">
        <v>39</v>
      </c>
      <c r="D5336" t="s">
        <v>18</v>
      </c>
      <c r="E5336" t="e">
        <f>VLOOKUP(Cpi_[[#This Row],[Attribute]],#REF!,2,FALSE)</f>
        <v>#REF!</v>
      </c>
      <c r="F5336">
        <v>138.1</v>
      </c>
      <c r="G5336">
        <f>(Cpi_[[#This Row],[Value]]-F5335)/F5335</f>
        <v>-5.6693989071038328E-2</v>
      </c>
      <c r="H5336" t="e" cm="1" vm="1">
        <f t="array" aca="1" ref="H5336" ca="1">VLOOKUP(Cpi_[[#This Row],[Year]:[Month]],crudeoil[],3,FALSE)</f>
        <v>#VALUE!</v>
      </c>
    </row>
    <row r="5337" spans="1:8" hidden="1" x14ac:dyDescent="0.3">
      <c r="A5337" t="s">
        <v>34</v>
      </c>
      <c r="B5337">
        <v>2018</v>
      </c>
      <c r="C5337" t="s">
        <v>39</v>
      </c>
      <c r="D5337" t="s">
        <v>19</v>
      </c>
      <c r="E5337" t="e">
        <f>VLOOKUP(Cpi_[[#This Row],[Attribute]],#REF!,2,FALSE)</f>
        <v>#REF!</v>
      </c>
      <c r="F5337">
        <v>145.19999999999999</v>
      </c>
      <c r="G5337">
        <f>(Cpi_[[#This Row],[Value]]-F5336)/F5336</f>
        <v>5.1412020275162888E-2</v>
      </c>
      <c r="H5337" t="e" cm="1" vm="1">
        <f t="array" aca="1" ref="H5337" ca="1">VLOOKUP(Cpi_[[#This Row],[Year]:[Month]],crudeoil[],3,FALSE)</f>
        <v>#VALUE!</v>
      </c>
    </row>
    <row r="5338" spans="1:8" hidden="1" x14ac:dyDescent="0.3">
      <c r="A5338" t="s">
        <v>34</v>
      </c>
      <c r="B5338">
        <v>2018</v>
      </c>
      <c r="C5338" t="s">
        <v>39</v>
      </c>
      <c r="D5338" t="s">
        <v>20</v>
      </c>
      <c r="E5338" t="e">
        <f>VLOOKUP(Cpi_[[#This Row],[Attribute]],#REF!,2,FALSE)</f>
        <v>#REF!</v>
      </c>
      <c r="F5338">
        <v>142.5</v>
      </c>
      <c r="G5338">
        <f>(Cpi_[[#This Row],[Value]]-F5337)/F5337</f>
        <v>-1.8595041322313974E-2</v>
      </c>
      <c r="H5338" t="e" cm="1" vm="1">
        <f t="array" aca="1" ref="H5338" ca="1">VLOOKUP(Cpi_[[#This Row],[Year]:[Month]],crudeoil[],3,FALSE)</f>
        <v>#VALUE!</v>
      </c>
    </row>
    <row r="5339" spans="1:8" hidden="1" x14ac:dyDescent="0.3">
      <c r="A5339" t="s">
        <v>34</v>
      </c>
      <c r="B5339">
        <v>2018</v>
      </c>
      <c r="C5339" t="s">
        <v>39</v>
      </c>
      <c r="D5339" t="s">
        <v>21</v>
      </c>
      <c r="E5339" t="e">
        <f>VLOOKUP(Cpi_[[#This Row],[Attribute]],#REF!,2,FALSE)</f>
        <v>#REF!</v>
      </c>
      <c r="F5339">
        <v>138.1</v>
      </c>
      <c r="G5339">
        <f>(Cpi_[[#This Row],[Value]]-F5338)/F5338</f>
        <v>-3.087719298245618E-2</v>
      </c>
      <c r="H5339" t="e" cm="1" vm="1">
        <f t="array" aca="1" ref="H5339" ca="1">VLOOKUP(Cpi_[[#This Row],[Year]:[Month]],crudeoil[],3,FALSE)</f>
        <v>#VALUE!</v>
      </c>
    </row>
    <row r="5340" spans="1:8" hidden="1" x14ac:dyDescent="0.3">
      <c r="A5340" t="s">
        <v>34</v>
      </c>
      <c r="B5340">
        <v>2018</v>
      </c>
      <c r="C5340" t="s">
        <v>39</v>
      </c>
      <c r="D5340" t="s">
        <v>22</v>
      </c>
      <c r="E5340" t="e">
        <f>VLOOKUP(Cpi_[[#This Row],[Attribute]],#REF!,2,FALSE)</f>
        <v>#REF!</v>
      </c>
      <c r="F5340">
        <v>137.9</v>
      </c>
      <c r="G5340">
        <f>(Cpi_[[#This Row],[Value]]-F5339)/F5339</f>
        <v>-1.4482259232439438E-3</v>
      </c>
      <c r="H5340" t="e" cm="1" vm="1">
        <f t="array" aca="1" ref="H5340" ca="1">VLOOKUP(Cpi_[[#This Row],[Year]:[Month]],crudeoil[],3,FALSE)</f>
        <v>#VALUE!</v>
      </c>
    </row>
    <row r="5341" spans="1:8" hidden="1" x14ac:dyDescent="0.3">
      <c r="A5341" t="s">
        <v>34</v>
      </c>
      <c r="B5341">
        <v>2018</v>
      </c>
      <c r="C5341" t="s">
        <v>39</v>
      </c>
      <c r="D5341" t="s">
        <v>23</v>
      </c>
      <c r="E5341" t="e">
        <f>VLOOKUP(Cpi_[[#This Row],[Attribute]],#REF!,2,FALSE)</f>
        <v>#REF!</v>
      </c>
      <c r="F5341">
        <v>136.19999999999999</v>
      </c>
      <c r="G5341">
        <f>(Cpi_[[#This Row],[Value]]-F5340)/F5340</f>
        <v>-1.2327773749093669E-2</v>
      </c>
      <c r="H5341" t="e" cm="1" vm="1">
        <f t="array" aca="1" ref="H5341" ca="1">VLOOKUP(Cpi_[[#This Row],[Year]:[Month]],crudeoil[],3,FALSE)</f>
        <v>#VALUE!</v>
      </c>
    </row>
    <row r="5342" spans="1:8" hidden="1" x14ac:dyDescent="0.3">
      <c r="A5342" t="s">
        <v>34</v>
      </c>
      <c r="B5342">
        <v>2018</v>
      </c>
      <c r="C5342" t="s">
        <v>39</v>
      </c>
      <c r="D5342" t="s">
        <v>24</v>
      </c>
      <c r="E5342" t="e">
        <f>VLOOKUP(Cpi_[[#This Row],[Attribute]],#REF!,2,FALSE)</f>
        <v>#REF!</v>
      </c>
      <c r="F5342">
        <v>123.7</v>
      </c>
      <c r="G5342">
        <f>(Cpi_[[#This Row],[Value]]-F5341)/F5341</f>
        <v>-9.1776798825256883E-2</v>
      </c>
      <c r="H5342" t="e" cm="1" vm="1">
        <f t="array" aca="1" ref="H5342" ca="1">VLOOKUP(Cpi_[[#This Row],[Year]:[Month]],crudeoil[],3,FALSE)</f>
        <v>#VALUE!</v>
      </c>
    </row>
    <row r="5343" spans="1:8" hidden="1" x14ac:dyDescent="0.3">
      <c r="A5343" t="s">
        <v>34</v>
      </c>
      <c r="B5343">
        <v>2018</v>
      </c>
      <c r="C5343" t="s">
        <v>39</v>
      </c>
      <c r="D5343" t="s">
        <v>25</v>
      </c>
      <c r="E5343" t="e">
        <f>VLOOKUP(Cpi_[[#This Row],[Attribute]],#REF!,2,FALSE)</f>
        <v>#REF!</v>
      </c>
      <c r="F5343">
        <v>132.6</v>
      </c>
      <c r="G5343">
        <f>(Cpi_[[#This Row],[Value]]-F5342)/F5342</f>
        <v>7.1948261924009632E-2</v>
      </c>
      <c r="H5343" t="e" cm="1" vm="1">
        <f t="array" aca="1" ref="H5343" ca="1">VLOOKUP(Cpi_[[#This Row],[Year]:[Month]],crudeoil[],3,FALSE)</f>
        <v>#VALUE!</v>
      </c>
    </row>
    <row r="5344" spans="1:8" hidden="1" x14ac:dyDescent="0.3">
      <c r="A5344" t="s">
        <v>34</v>
      </c>
      <c r="B5344">
        <v>2018</v>
      </c>
      <c r="C5344" t="s">
        <v>39</v>
      </c>
      <c r="D5344" t="s">
        <v>26</v>
      </c>
      <c r="E5344" t="e">
        <f>VLOOKUP(Cpi_[[#This Row],[Attribute]],#REF!,2,FALSE)</f>
        <v>#REF!</v>
      </c>
      <c r="F5344">
        <v>142.80000000000001</v>
      </c>
      <c r="G5344">
        <f>(Cpi_[[#This Row],[Value]]-F5343)/F5343</f>
        <v>7.6923076923077052E-2</v>
      </c>
      <c r="H5344" t="e" cm="1" vm="1">
        <f t="array" aca="1" ref="H5344" ca="1">VLOOKUP(Cpi_[[#This Row],[Year]:[Month]],crudeoil[],3,FALSE)</f>
        <v>#VALUE!</v>
      </c>
    </row>
    <row r="5345" spans="1:8" hidden="1" x14ac:dyDescent="0.3">
      <c r="A5345" t="s">
        <v>34</v>
      </c>
      <c r="B5345">
        <v>2018</v>
      </c>
      <c r="C5345" t="s">
        <v>39</v>
      </c>
      <c r="D5345" t="s">
        <v>27</v>
      </c>
      <c r="E5345" t="e">
        <f>VLOOKUP(Cpi_[[#This Row],[Attribute]],#REF!,2,FALSE)</f>
        <v>#REF!</v>
      </c>
      <c r="F5345">
        <v>130.1</v>
      </c>
      <c r="G5345">
        <f>(Cpi_[[#This Row],[Value]]-F5344)/F5344</f>
        <v>-8.8935574229691991E-2</v>
      </c>
      <c r="H5345" t="e" cm="1" vm="1">
        <f t="array" aca="1" ref="H5345" ca="1">VLOOKUP(Cpi_[[#This Row],[Year]:[Month]],crudeoil[],3,FALSE)</f>
        <v>#VALUE!</v>
      </c>
    </row>
    <row r="5346" spans="1:8" hidden="1" x14ac:dyDescent="0.3">
      <c r="A5346" t="s">
        <v>34</v>
      </c>
      <c r="B5346">
        <v>2018</v>
      </c>
      <c r="C5346" t="s">
        <v>39</v>
      </c>
      <c r="D5346" t="s">
        <v>28</v>
      </c>
      <c r="E5346" t="e">
        <f>VLOOKUP(Cpi_[[#This Row],[Attribute]],#REF!,2,FALSE)</f>
        <v>#REF!</v>
      </c>
      <c r="F5346">
        <v>132.6</v>
      </c>
      <c r="G5346">
        <f>(Cpi_[[#This Row],[Value]]-F5345)/F5345</f>
        <v>1.9215987701767873E-2</v>
      </c>
      <c r="H5346" t="e" cm="1" vm="1">
        <f t="array" aca="1" ref="H5346" ca="1">VLOOKUP(Cpi_[[#This Row],[Year]:[Month]],crudeoil[],3,FALSE)</f>
        <v>#VALUE!</v>
      </c>
    </row>
    <row r="5347" spans="1:8" hidden="1" x14ac:dyDescent="0.3">
      <c r="A5347" t="s">
        <v>34</v>
      </c>
      <c r="B5347">
        <v>2018</v>
      </c>
      <c r="C5347" t="s">
        <v>39</v>
      </c>
      <c r="D5347" t="s">
        <v>29</v>
      </c>
      <c r="E5347" t="e" cm="1">
        <f t="array" aca="1" ref="E5347" ca="1">VLGeneral indexGeneral indexKUP(Cpi_[[#This Row],[Attribute]],#REF!,2,FALSE)</f>
        <v>#NAME?</v>
      </c>
      <c r="F5347">
        <v>138.5</v>
      </c>
      <c r="G5347">
        <f>(Cpi_[[#This Row],[Value]]-F5346)/F5346</f>
        <v>4.4494720965309244E-2</v>
      </c>
      <c r="H5347" t="e" cm="1" vm="1">
        <f t="array" aca="1" ref="H5347" ca="1">VLOOKUP(Cpi_[[#This Row],[Year]:[Month]],crudeoil[],3,FALSE)</f>
        <v>#VALUE!</v>
      </c>
    </row>
    <row r="5348" spans="1:8" hidden="1" x14ac:dyDescent="0.3">
      <c r="A5348" t="s">
        <v>30</v>
      </c>
      <c r="B5348">
        <v>2018</v>
      </c>
      <c r="C5348" t="s">
        <v>40</v>
      </c>
      <c r="D5348" t="s">
        <v>3</v>
      </c>
      <c r="E5348" t="e">
        <f>VLOOKUP(Cpi_[[#This Row],[Attribute]],#REF!,2,FALSE)</f>
        <v>#REF!</v>
      </c>
      <c r="F5348">
        <v>138.4</v>
      </c>
      <c r="G5348">
        <f>(Cpi_[[#This Row],[Value]]-F5347)/F5347</f>
        <v>-7.2202166064977847E-4</v>
      </c>
      <c r="H5348" t="e" cm="1" vm="1">
        <f t="array" aca="1" ref="H5348" ca="1">VLOOKUP(Cpi_[[#This Row],[Year]:[Month]],crudeoil[],3,FALSE)</f>
        <v>#VALUE!</v>
      </c>
    </row>
    <row r="5349" spans="1:8" hidden="1" x14ac:dyDescent="0.3">
      <c r="A5349" t="s">
        <v>30</v>
      </c>
      <c r="B5349">
        <v>2018</v>
      </c>
      <c r="C5349" t="s">
        <v>40</v>
      </c>
      <c r="D5349" t="s">
        <v>4</v>
      </c>
      <c r="E5349" t="e">
        <f>VLOOKUP(Cpi_[[#This Row],[Attribute]],#REF!,2,FALSE)</f>
        <v>#REF!</v>
      </c>
      <c r="F5349">
        <v>149.30000000000001</v>
      </c>
      <c r="G5349">
        <f>(Cpi_[[#This Row],[Value]]-F5348)/F5348</f>
        <v>7.8757225433526049E-2</v>
      </c>
      <c r="H5349" t="e" cm="1" vm="1">
        <f t="array" aca="1" ref="H5349" ca="1">VLOOKUP(Cpi_[[#This Row],[Year]:[Month]],crudeoil[],3,FALSE)</f>
        <v>#VALUE!</v>
      </c>
    </row>
    <row r="5350" spans="1:8" hidden="1" x14ac:dyDescent="0.3">
      <c r="A5350" t="s">
        <v>30</v>
      </c>
      <c r="B5350">
        <v>2018</v>
      </c>
      <c r="C5350" t="s">
        <v>40</v>
      </c>
      <c r="D5350" t="s">
        <v>5</v>
      </c>
      <c r="E5350" t="e">
        <f>VLOOKUP(Cpi_[[#This Row],[Attribute]],#REF!,2,FALSE)</f>
        <v>#REF!</v>
      </c>
      <c r="F5350">
        <v>139.30000000000001</v>
      </c>
      <c r="G5350">
        <f>(Cpi_[[#This Row],[Value]]-F5349)/F5349</f>
        <v>-6.6979236436704614E-2</v>
      </c>
      <c r="H5350" t="e" cm="1" vm="1">
        <f t="array" aca="1" ref="H5350" ca="1">VLOOKUP(Cpi_[[#This Row],[Year]:[Month]],crudeoil[],3,FALSE)</f>
        <v>#VALUE!</v>
      </c>
    </row>
    <row r="5351" spans="1:8" hidden="1" x14ac:dyDescent="0.3">
      <c r="A5351" t="s">
        <v>30</v>
      </c>
      <c r="B5351">
        <v>2018</v>
      </c>
      <c r="C5351" t="s">
        <v>40</v>
      </c>
      <c r="D5351" t="s">
        <v>6</v>
      </c>
      <c r="E5351" t="e">
        <f>VLOOKUP(Cpi_[[#This Row],[Attribute]],#REF!,2,FALSE)</f>
        <v>#REF!</v>
      </c>
      <c r="F5351">
        <v>143.4</v>
      </c>
      <c r="G5351">
        <f>(Cpi_[[#This Row],[Value]]-F5350)/F5350</f>
        <v>2.9432878679109792E-2</v>
      </c>
      <c r="H5351" t="e" cm="1" vm="1">
        <f t="array" aca="1" ref="H5351" ca="1">VLOOKUP(Cpi_[[#This Row],[Year]:[Month]],crudeoil[],3,FALSE)</f>
        <v>#VALUE!</v>
      </c>
    </row>
    <row r="5352" spans="1:8" hidden="1" x14ac:dyDescent="0.3">
      <c r="A5352" t="s">
        <v>30</v>
      </c>
      <c r="B5352">
        <v>2018</v>
      </c>
      <c r="C5352" t="s">
        <v>40</v>
      </c>
      <c r="D5352" t="s">
        <v>7</v>
      </c>
      <c r="E5352" t="e">
        <f>VLOOKUP(Cpi_[[#This Row],[Attribute]],#REF!,2,FALSE)</f>
        <v>#REF!</v>
      </c>
      <c r="F5352">
        <v>124.1</v>
      </c>
      <c r="G5352">
        <f>(Cpi_[[#This Row],[Value]]-F5351)/F5351</f>
        <v>-0.13458856345885642</v>
      </c>
      <c r="H5352" t="e" cm="1" vm="1">
        <f t="array" aca="1" ref="H5352" ca="1">VLOOKUP(Cpi_[[#This Row],[Year]:[Month]],crudeoil[],3,FALSE)</f>
        <v>#VALUE!</v>
      </c>
    </row>
    <row r="5353" spans="1:8" hidden="1" x14ac:dyDescent="0.3">
      <c r="A5353" t="s">
        <v>30</v>
      </c>
      <c r="B5353">
        <v>2018</v>
      </c>
      <c r="C5353" t="s">
        <v>40</v>
      </c>
      <c r="D5353" t="s">
        <v>8</v>
      </c>
      <c r="E5353" t="e">
        <f>VLOOKUP(Cpi_[[#This Row],[Attribute]],#REF!,2,FALSE)</f>
        <v>#REF!</v>
      </c>
      <c r="F5353">
        <v>153.30000000000001</v>
      </c>
      <c r="G5353">
        <f>(Cpi_[[#This Row],[Value]]-F5352)/F5352</f>
        <v>0.23529411764705896</v>
      </c>
      <c r="H5353" t="e" cm="1" vm="1">
        <f t="array" aca="1" ref="H5353" ca="1">VLOOKUP(Cpi_[[#This Row],[Year]:[Month]],crudeoil[],3,FALSE)</f>
        <v>#VALUE!</v>
      </c>
    </row>
    <row r="5354" spans="1:8" hidden="1" x14ac:dyDescent="0.3">
      <c r="A5354" t="s">
        <v>30</v>
      </c>
      <c r="B5354">
        <v>2018</v>
      </c>
      <c r="C5354" t="s">
        <v>40</v>
      </c>
      <c r="D5354" t="s">
        <v>9</v>
      </c>
      <c r="E5354" t="e">
        <f>VLOOKUP(Cpi_[[#This Row],[Attribute]],#REF!,2,FALSE)</f>
        <v>#REF!</v>
      </c>
      <c r="F5354">
        <v>154.19999999999999</v>
      </c>
      <c r="G5354">
        <f>(Cpi_[[#This Row],[Value]]-F5353)/F5353</f>
        <v>5.8708414872796948E-3</v>
      </c>
      <c r="H5354" t="e" cm="1" vm="1">
        <f t="array" aca="1" ref="H5354" ca="1">VLOOKUP(Cpi_[[#This Row],[Year]:[Month]],crudeoil[],3,FALSE)</f>
        <v>#VALUE!</v>
      </c>
    </row>
    <row r="5355" spans="1:8" hidden="1" x14ac:dyDescent="0.3">
      <c r="A5355" t="s">
        <v>30</v>
      </c>
      <c r="B5355">
        <v>2018</v>
      </c>
      <c r="C5355" t="s">
        <v>40</v>
      </c>
      <c r="D5355" t="s">
        <v>10</v>
      </c>
      <c r="E5355" t="e">
        <f>VLOOKUP(Cpi_[[#This Row],[Attribute]],#REF!,2,FALSE)</f>
        <v>#REF!</v>
      </c>
      <c r="F5355">
        <v>126.4</v>
      </c>
      <c r="G5355">
        <f>(Cpi_[[#This Row],[Value]]-F5354)/F5354</f>
        <v>-0.18028534370946814</v>
      </c>
      <c r="H5355" t="e" cm="1" vm="1">
        <f t="array" aca="1" ref="H5355" ca="1">VLOOKUP(Cpi_[[#This Row],[Year]:[Month]],crudeoil[],3,FALSE)</f>
        <v>#VALUE!</v>
      </c>
    </row>
    <row r="5356" spans="1:8" hidden="1" x14ac:dyDescent="0.3">
      <c r="A5356" t="s">
        <v>30</v>
      </c>
      <c r="B5356">
        <v>2018</v>
      </c>
      <c r="C5356" t="s">
        <v>40</v>
      </c>
      <c r="D5356" t="s">
        <v>11</v>
      </c>
      <c r="E5356" t="e">
        <f>VLOOKUP(Cpi_[[#This Row],[Attribute]],#REF!,2,FALSE)</f>
        <v>#REF!</v>
      </c>
      <c r="F5356">
        <v>114.3</v>
      </c>
      <c r="G5356">
        <f>(Cpi_[[#This Row],[Value]]-F5355)/F5355</f>
        <v>-9.5727848101265889E-2</v>
      </c>
      <c r="H5356" t="e" cm="1" vm="1">
        <f t="array" aca="1" ref="H5356" ca="1">VLOOKUP(Cpi_[[#This Row],[Year]:[Month]],crudeoil[],3,FALSE)</f>
        <v>#VALUE!</v>
      </c>
    </row>
    <row r="5357" spans="1:8" hidden="1" x14ac:dyDescent="0.3">
      <c r="A5357" t="s">
        <v>30</v>
      </c>
      <c r="B5357">
        <v>2018</v>
      </c>
      <c r="C5357" t="s">
        <v>40</v>
      </c>
      <c r="D5357" t="s">
        <v>12</v>
      </c>
      <c r="E5357" t="e">
        <f>VLOOKUP(Cpi_[[#This Row],[Attribute]],#REF!,2,FALSE)</f>
        <v>#REF!</v>
      </c>
      <c r="F5357">
        <v>138.19999999999999</v>
      </c>
      <c r="G5357">
        <f>(Cpi_[[#This Row],[Value]]-F5356)/F5356</f>
        <v>0.20909886264216965</v>
      </c>
      <c r="H5357" t="e" cm="1" vm="1">
        <f t="array" aca="1" ref="H5357" ca="1">VLOOKUP(Cpi_[[#This Row],[Year]:[Month]],crudeoil[],3,FALSE)</f>
        <v>#VALUE!</v>
      </c>
    </row>
    <row r="5358" spans="1:8" hidden="1" x14ac:dyDescent="0.3">
      <c r="A5358" t="s">
        <v>30</v>
      </c>
      <c r="B5358">
        <v>2018</v>
      </c>
      <c r="C5358" t="s">
        <v>40</v>
      </c>
      <c r="D5358" t="s">
        <v>13</v>
      </c>
      <c r="E5358" t="e">
        <f>VLOOKUP(Cpi_[[#This Row],[Attribute]],#REF!,2,FALSE)</f>
        <v>#REF!</v>
      </c>
      <c r="F5358">
        <v>132.80000000000001</v>
      </c>
      <c r="G5358">
        <f>(Cpi_[[#This Row],[Value]]-F5357)/F5357</f>
        <v>-3.9073806078147449E-2</v>
      </c>
      <c r="H5358" t="e" cm="1" vm="1">
        <f t="array" aca="1" ref="H5358" ca="1">VLOOKUP(Cpi_[[#This Row],[Year]:[Month]],crudeoil[],3,FALSE)</f>
        <v>#VALUE!</v>
      </c>
    </row>
    <row r="5359" spans="1:8" hidden="1" x14ac:dyDescent="0.3">
      <c r="A5359" t="s">
        <v>30</v>
      </c>
      <c r="B5359">
        <v>2018</v>
      </c>
      <c r="C5359" t="s">
        <v>40</v>
      </c>
      <c r="D5359" t="s">
        <v>14</v>
      </c>
      <c r="E5359" t="e">
        <f>VLOOKUP(Cpi_[[#This Row],[Attribute]],#REF!,2,FALSE)</f>
        <v>#REF!</v>
      </c>
      <c r="F5359">
        <v>154.80000000000001</v>
      </c>
      <c r="G5359">
        <f>(Cpi_[[#This Row],[Value]]-F5358)/F5358</f>
        <v>0.16566265060240962</v>
      </c>
      <c r="H5359" t="e" cm="1" vm="1">
        <f t="array" aca="1" ref="H5359" ca="1">VLOOKUP(Cpi_[[#This Row],[Year]:[Month]],crudeoil[],3,FALSE)</f>
        <v>#VALUE!</v>
      </c>
    </row>
    <row r="5360" spans="1:8" hidden="1" x14ac:dyDescent="0.3">
      <c r="A5360" t="s">
        <v>30</v>
      </c>
      <c r="B5360">
        <v>2018</v>
      </c>
      <c r="C5360" t="s">
        <v>40</v>
      </c>
      <c r="D5360" t="s">
        <v>15</v>
      </c>
      <c r="E5360" t="e">
        <f>VLOOKUP(Cpi_[[#This Row],[Attribute]],#REF!,2,FALSE)</f>
        <v>#REF!</v>
      </c>
      <c r="F5360">
        <v>142</v>
      </c>
      <c r="G5360">
        <f>(Cpi_[[#This Row],[Value]]-F5359)/F5359</f>
        <v>-8.2687338501292063E-2</v>
      </c>
      <c r="H5360" t="e" cm="1" vm="1">
        <f t="array" aca="1" ref="H5360" ca="1">VLOOKUP(Cpi_[[#This Row],[Year]:[Month]],crudeoil[],3,FALSE)</f>
        <v>#VALUE!</v>
      </c>
    </row>
    <row r="5361" spans="1:8" hidden="1" x14ac:dyDescent="0.3">
      <c r="A5361" t="s">
        <v>30</v>
      </c>
      <c r="B5361">
        <v>2018</v>
      </c>
      <c r="C5361" t="s">
        <v>40</v>
      </c>
      <c r="D5361" t="s">
        <v>16</v>
      </c>
      <c r="E5361" t="e">
        <f>VLOOKUP(Cpi_[[#This Row],[Attribute]],#REF!,2,FALSE)</f>
        <v>#REF!</v>
      </c>
      <c r="F5361">
        <v>156.1</v>
      </c>
      <c r="G5361">
        <f>(Cpi_[[#This Row],[Value]]-F5360)/F5360</f>
        <v>9.9295774647887289E-2</v>
      </c>
      <c r="H5361" t="e" cm="1" vm="1">
        <f t="array" aca="1" ref="H5361" ca="1">VLOOKUP(Cpi_[[#This Row],[Year]:[Month]],crudeoil[],3,FALSE)</f>
        <v>#VALUE!</v>
      </c>
    </row>
    <row r="5362" spans="1:8" hidden="1" x14ac:dyDescent="0.3">
      <c r="A5362" t="s">
        <v>30</v>
      </c>
      <c r="B5362">
        <v>2018</v>
      </c>
      <c r="C5362" t="s">
        <v>40</v>
      </c>
      <c r="D5362" t="s">
        <v>17</v>
      </c>
      <c r="E5362" t="e">
        <f>VLOOKUP(Cpi_[[#This Row],[Attribute]],#REF!,2,FALSE)</f>
        <v>#REF!</v>
      </c>
      <c r="F5362">
        <v>151.5</v>
      </c>
      <c r="G5362">
        <f>(Cpi_[[#This Row],[Value]]-F5361)/F5361</f>
        <v>-2.9468289557975622E-2</v>
      </c>
      <c r="H5362" t="e" cm="1" vm="1">
        <f t="array" aca="1" ref="H5362" ca="1">VLOOKUP(Cpi_[[#This Row],[Year]:[Month]],crudeoil[],3,FALSE)</f>
        <v>#VALUE!</v>
      </c>
    </row>
    <row r="5363" spans="1:8" hidden="1" x14ac:dyDescent="0.3">
      <c r="A5363" t="s">
        <v>30</v>
      </c>
      <c r="B5363">
        <v>2018</v>
      </c>
      <c r="C5363" t="s">
        <v>40</v>
      </c>
      <c r="D5363" t="s">
        <v>18</v>
      </c>
      <c r="E5363" t="e">
        <f>VLOOKUP(Cpi_[[#This Row],[Attribute]],#REF!,2,FALSE)</f>
        <v>#REF!</v>
      </c>
      <c r="F5363">
        <v>145.1</v>
      </c>
      <c r="G5363">
        <f>(Cpi_[[#This Row],[Value]]-F5362)/F5362</f>
        <v>-4.2244224422442279E-2</v>
      </c>
      <c r="H5363" t="e" cm="1" vm="1">
        <f t="array" aca="1" ref="H5363" ca="1">VLOOKUP(Cpi_[[#This Row],[Year]:[Month]],crudeoil[],3,FALSE)</f>
        <v>#VALUE!</v>
      </c>
    </row>
    <row r="5364" spans="1:8" hidden="1" x14ac:dyDescent="0.3">
      <c r="A5364" t="s">
        <v>30</v>
      </c>
      <c r="B5364">
        <v>2018</v>
      </c>
      <c r="C5364" t="s">
        <v>40</v>
      </c>
      <c r="D5364" t="s">
        <v>19</v>
      </c>
      <c r="E5364" t="e">
        <f>VLOOKUP(Cpi_[[#This Row],[Attribute]],#REF!,2,FALSE)</f>
        <v>#REF!</v>
      </c>
      <c r="F5364">
        <v>150.6</v>
      </c>
      <c r="G5364">
        <f>(Cpi_[[#This Row],[Value]]-F5363)/F5363</f>
        <v>3.7904893177119231E-2</v>
      </c>
      <c r="H5364" t="e" cm="1" vm="1">
        <f t="array" aca="1" ref="H5364" ca="1">VLOOKUP(Cpi_[[#This Row],[Year]:[Month]],crudeoil[],3,FALSE)</f>
        <v>#VALUE!</v>
      </c>
    </row>
    <row r="5365" spans="1:8" hidden="1" x14ac:dyDescent="0.3">
      <c r="A5365" t="s">
        <v>30</v>
      </c>
      <c r="B5365">
        <v>2018</v>
      </c>
      <c r="C5365" t="s">
        <v>40</v>
      </c>
      <c r="D5365" t="s">
        <v>20</v>
      </c>
      <c r="E5365" t="e">
        <f>VLOOKUP(Cpi_[[#This Row],[Attribute]],#REF!,2,FALSE)</f>
        <v>#REF!</v>
      </c>
      <c r="F5365" t="s">
        <v>32</v>
      </c>
      <c r="G5365" t="e">
        <f>(Cpi_[[#This Row],[Value]]-F5364)/F5364</f>
        <v>#VALUE!</v>
      </c>
      <c r="H5365" t="e" cm="1" vm="1">
        <f t="array" aca="1" ref="H5365" ca="1">VLOOKUP(Cpi_[[#This Row],[Year]:[Month]],crudeoil[],3,FALSE)</f>
        <v>#VALUE!</v>
      </c>
    </row>
    <row r="5366" spans="1:8" hidden="1" x14ac:dyDescent="0.3">
      <c r="A5366" t="s">
        <v>30</v>
      </c>
      <c r="B5366">
        <v>2018</v>
      </c>
      <c r="C5366" t="s">
        <v>40</v>
      </c>
      <c r="D5366" t="s">
        <v>21</v>
      </c>
      <c r="E5366" t="e">
        <f>VLOOKUP(Cpi_[[#This Row],[Attribute]],#REF!,2,FALSE)</f>
        <v>#REF!</v>
      </c>
      <c r="F5366">
        <v>146.80000000000001</v>
      </c>
      <c r="G5366" t="e">
        <f>(Cpi_[[#This Row],[Value]]-F5365)/F5365</f>
        <v>#VALUE!</v>
      </c>
      <c r="H5366" t="e" cm="1" vm="1">
        <f t="array" aca="1" ref="H5366" ca="1">VLOOKUP(Cpi_[[#This Row],[Year]:[Month]],crudeoil[],3,FALSE)</f>
        <v>#VALUE!</v>
      </c>
    </row>
    <row r="5367" spans="1:8" hidden="1" x14ac:dyDescent="0.3">
      <c r="A5367" t="s">
        <v>30</v>
      </c>
      <c r="B5367">
        <v>2018</v>
      </c>
      <c r="C5367" t="s">
        <v>40</v>
      </c>
      <c r="D5367" t="s">
        <v>22</v>
      </c>
      <c r="E5367" t="e">
        <f>VLOOKUP(Cpi_[[#This Row],[Attribute]],#REF!,2,FALSE)</f>
        <v>#REF!</v>
      </c>
      <c r="F5367">
        <v>143.1</v>
      </c>
      <c r="G5367">
        <f>(Cpi_[[#This Row],[Value]]-F5366)/F5366</f>
        <v>-2.5204359673024639E-2</v>
      </c>
      <c r="H5367" t="e" cm="1" vm="1">
        <f t="array" aca="1" ref="H5367" ca="1">VLOOKUP(Cpi_[[#This Row],[Year]:[Month]],crudeoil[],3,FALSE)</f>
        <v>#VALUE!</v>
      </c>
    </row>
    <row r="5368" spans="1:8" hidden="1" x14ac:dyDescent="0.3">
      <c r="A5368" t="s">
        <v>30</v>
      </c>
      <c r="B5368">
        <v>2018</v>
      </c>
      <c r="C5368" t="s">
        <v>40</v>
      </c>
      <c r="D5368" t="s">
        <v>23</v>
      </c>
      <c r="E5368" t="e">
        <f>VLOOKUP(Cpi_[[#This Row],[Attribute]],#REF!,2,FALSE)</f>
        <v>#REF!</v>
      </c>
      <c r="F5368">
        <v>139</v>
      </c>
      <c r="G5368">
        <f>(Cpi_[[#This Row],[Value]]-F5367)/F5367</f>
        <v>-2.8651292802236161E-2</v>
      </c>
      <c r="H5368" t="e" cm="1" vm="1">
        <f t="array" aca="1" ref="H5368" ca="1">VLOOKUP(Cpi_[[#This Row],[Year]:[Month]],crudeoil[],3,FALSE)</f>
        <v>#VALUE!</v>
      </c>
    </row>
    <row r="5369" spans="1:8" hidden="1" x14ac:dyDescent="0.3">
      <c r="A5369" t="s">
        <v>30</v>
      </c>
      <c r="B5369">
        <v>2018</v>
      </c>
      <c r="C5369" t="s">
        <v>40</v>
      </c>
      <c r="D5369" t="s">
        <v>24</v>
      </c>
      <c r="E5369" t="e">
        <f>VLOOKUP(Cpi_[[#This Row],[Attribute]],#REF!,2,FALSE)</f>
        <v>#REF!</v>
      </c>
      <c r="F5369">
        <v>127.5</v>
      </c>
      <c r="G5369">
        <f>(Cpi_[[#This Row],[Value]]-F5368)/F5368</f>
        <v>-8.2733812949640287E-2</v>
      </c>
      <c r="H5369" t="e" cm="1" vm="1">
        <f t="array" aca="1" ref="H5369" ca="1">VLOOKUP(Cpi_[[#This Row],[Year]:[Month]],crudeoil[],3,FALSE)</f>
        <v>#VALUE!</v>
      </c>
    </row>
    <row r="5370" spans="1:8" hidden="1" x14ac:dyDescent="0.3">
      <c r="A5370" t="s">
        <v>30</v>
      </c>
      <c r="B5370">
        <v>2018</v>
      </c>
      <c r="C5370" t="s">
        <v>40</v>
      </c>
      <c r="D5370" t="s">
        <v>25</v>
      </c>
      <c r="E5370" t="e">
        <f>VLOOKUP(Cpi_[[#This Row],[Attribute]],#REF!,2,FALSE)</f>
        <v>#REF!</v>
      </c>
      <c r="F5370">
        <v>138.4</v>
      </c>
      <c r="G5370">
        <f>(Cpi_[[#This Row],[Value]]-F5369)/F5369</f>
        <v>8.5490196078431419E-2</v>
      </c>
      <c r="H5370" t="e" cm="1" vm="1">
        <f t="array" aca="1" ref="H5370" ca="1">VLOOKUP(Cpi_[[#This Row],[Year]:[Month]],crudeoil[],3,FALSE)</f>
        <v>#VALUE!</v>
      </c>
    </row>
    <row r="5371" spans="1:8" hidden="1" x14ac:dyDescent="0.3">
      <c r="A5371" t="s">
        <v>30</v>
      </c>
      <c r="B5371">
        <v>2018</v>
      </c>
      <c r="C5371" t="s">
        <v>40</v>
      </c>
      <c r="D5371" t="s">
        <v>26</v>
      </c>
      <c r="E5371" t="e">
        <f>VLOOKUP(Cpi_[[#This Row],[Attribute]],#REF!,2,FALSE)</f>
        <v>#REF!</v>
      </c>
      <c r="F5371">
        <v>145.80000000000001</v>
      </c>
      <c r="G5371">
        <f>(Cpi_[[#This Row],[Value]]-F5370)/F5370</f>
        <v>5.3468208092485585E-2</v>
      </c>
      <c r="H5371" t="e" cm="1" vm="1">
        <f t="array" aca="1" ref="H5371" ca="1">VLOOKUP(Cpi_[[#This Row],[Year]:[Month]],crudeoil[],3,FALSE)</f>
        <v>#VALUE!</v>
      </c>
    </row>
    <row r="5372" spans="1:8" hidden="1" x14ac:dyDescent="0.3">
      <c r="A5372" t="s">
        <v>30</v>
      </c>
      <c r="B5372">
        <v>2018</v>
      </c>
      <c r="C5372" t="s">
        <v>40</v>
      </c>
      <c r="D5372" t="s">
        <v>27</v>
      </c>
      <c r="E5372" t="e">
        <f>VLOOKUP(Cpi_[[#This Row],[Attribute]],#REF!,2,FALSE)</f>
        <v>#REF!</v>
      </c>
      <c r="F5372">
        <v>131.4</v>
      </c>
      <c r="G5372">
        <f>(Cpi_[[#This Row],[Value]]-F5371)/F5371</f>
        <v>-9.8765432098765468E-2</v>
      </c>
      <c r="H5372" t="e" cm="1" vm="1">
        <f t="array" aca="1" ref="H5372" ca="1">VLOOKUP(Cpi_[[#This Row],[Year]:[Month]],crudeoil[],3,FALSE)</f>
        <v>#VALUE!</v>
      </c>
    </row>
    <row r="5373" spans="1:8" hidden="1" x14ac:dyDescent="0.3">
      <c r="A5373" t="s">
        <v>30</v>
      </c>
      <c r="B5373">
        <v>2018</v>
      </c>
      <c r="C5373" t="s">
        <v>40</v>
      </c>
      <c r="D5373" t="s">
        <v>28</v>
      </c>
      <c r="E5373" t="e">
        <f>VLOOKUP(Cpi_[[#This Row],[Attribute]],#REF!,2,FALSE)</f>
        <v>#REF!</v>
      </c>
      <c r="F5373">
        <v>136</v>
      </c>
      <c r="G5373">
        <f>(Cpi_[[#This Row],[Value]]-F5372)/F5372</f>
        <v>3.500761035007606E-2</v>
      </c>
      <c r="H5373" t="e" cm="1" vm="1">
        <f t="array" aca="1" ref="H5373" ca="1">VLOOKUP(Cpi_[[#This Row],[Year]:[Month]],crudeoil[],3,FALSE)</f>
        <v>#VALUE!</v>
      </c>
    </row>
    <row r="5374" spans="1:8" hidden="1" x14ac:dyDescent="0.3">
      <c r="A5374" t="s">
        <v>30</v>
      </c>
      <c r="B5374">
        <v>2018</v>
      </c>
      <c r="C5374" t="s">
        <v>40</v>
      </c>
      <c r="D5374" t="s">
        <v>29</v>
      </c>
      <c r="E5374" t="e" cm="1">
        <f t="array" aca="1" ref="E5374" ca="1">VLGeneral indexGeneral indexKUP(Cpi_[[#This Row],[Attribute]],#REF!,2,FALSE)</f>
        <v>#NAME?</v>
      </c>
      <c r="F5374">
        <v>141.80000000000001</v>
      </c>
      <c r="G5374">
        <f>(Cpi_[[#This Row],[Value]]-F5373)/F5373</f>
        <v>4.2647058823529496E-2</v>
      </c>
      <c r="H5374" t="e" cm="1" vm="1">
        <f t="array" aca="1" ref="H5374" ca="1">VLOOKUP(Cpi_[[#This Row],[Year]:[Month]],crudeoil[],3,FALSE)</f>
        <v>#VALUE!</v>
      </c>
    </row>
    <row r="5375" spans="1:8" hidden="1" x14ac:dyDescent="0.3">
      <c r="A5375" t="s">
        <v>33</v>
      </c>
      <c r="B5375">
        <v>2018</v>
      </c>
      <c r="C5375" t="s">
        <v>40</v>
      </c>
      <c r="D5375" t="s">
        <v>3</v>
      </c>
      <c r="E5375" t="e">
        <f>VLOOKUP(Cpi_[[#This Row],[Attribute]],#REF!,2,FALSE)</f>
        <v>#REF!</v>
      </c>
      <c r="F5375">
        <v>135.6</v>
      </c>
      <c r="G5375">
        <f>(Cpi_[[#This Row],[Value]]-F5374)/F5374</f>
        <v>-4.3723554301833688E-2</v>
      </c>
      <c r="H5375" t="e" cm="1" vm="1">
        <f t="array" aca="1" ref="H5375" ca="1">VLOOKUP(Cpi_[[#This Row],[Year]:[Month]],crudeoil[],3,FALSE)</f>
        <v>#VALUE!</v>
      </c>
    </row>
    <row r="5376" spans="1:8" hidden="1" x14ac:dyDescent="0.3">
      <c r="A5376" t="s">
        <v>33</v>
      </c>
      <c r="B5376">
        <v>2018</v>
      </c>
      <c r="C5376" t="s">
        <v>40</v>
      </c>
      <c r="D5376" t="s">
        <v>4</v>
      </c>
      <c r="E5376" t="e">
        <f>VLOOKUP(Cpi_[[#This Row],[Attribute]],#REF!,2,FALSE)</f>
        <v>#REF!</v>
      </c>
      <c r="F5376">
        <v>148.6</v>
      </c>
      <c r="G5376">
        <f>(Cpi_[[#This Row],[Value]]-F5375)/F5375</f>
        <v>9.5870206489675522E-2</v>
      </c>
      <c r="H5376" t="e" cm="1" vm="1">
        <f t="array" aca="1" ref="H5376" ca="1">VLOOKUP(Cpi_[[#This Row],[Year]:[Month]],crudeoil[],3,FALSE)</f>
        <v>#VALUE!</v>
      </c>
    </row>
    <row r="5377" spans="1:8" hidden="1" x14ac:dyDescent="0.3">
      <c r="A5377" t="s">
        <v>33</v>
      </c>
      <c r="B5377">
        <v>2018</v>
      </c>
      <c r="C5377" t="s">
        <v>40</v>
      </c>
      <c r="D5377" t="s">
        <v>5</v>
      </c>
      <c r="E5377" t="e">
        <f>VLOOKUP(Cpi_[[#This Row],[Attribute]],#REF!,2,FALSE)</f>
        <v>#REF!</v>
      </c>
      <c r="F5377">
        <v>139.1</v>
      </c>
      <c r="G5377">
        <f>(Cpi_[[#This Row],[Value]]-F5376)/F5376</f>
        <v>-6.3930013458950205E-2</v>
      </c>
      <c r="H5377" t="e" cm="1" vm="1">
        <f t="array" aca="1" ref="H5377" ca="1">VLOOKUP(Cpi_[[#This Row],[Year]:[Month]],crudeoil[],3,FALSE)</f>
        <v>#VALUE!</v>
      </c>
    </row>
    <row r="5378" spans="1:8" hidden="1" x14ac:dyDescent="0.3">
      <c r="A5378" t="s">
        <v>33</v>
      </c>
      <c r="B5378">
        <v>2018</v>
      </c>
      <c r="C5378" t="s">
        <v>40</v>
      </c>
      <c r="D5378" t="s">
        <v>6</v>
      </c>
      <c r="E5378" t="e">
        <f>VLOOKUP(Cpi_[[#This Row],[Attribute]],#REF!,2,FALSE)</f>
        <v>#REF!</v>
      </c>
      <c r="F5378">
        <v>141</v>
      </c>
      <c r="G5378">
        <f>(Cpi_[[#This Row],[Value]]-F5377)/F5377</f>
        <v>1.365923795830342E-2</v>
      </c>
      <c r="H5378" t="e" cm="1" vm="1">
        <f t="array" aca="1" ref="H5378" ca="1">VLOOKUP(Cpi_[[#This Row],[Year]:[Month]],crudeoil[],3,FALSE)</f>
        <v>#VALUE!</v>
      </c>
    </row>
    <row r="5379" spans="1:8" hidden="1" x14ac:dyDescent="0.3">
      <c r="A5379" t="s">
        <v>33</v>
      </c>
      <c r="B5379">
        <v>2018</v>
      </c>
      <c r="C5379" t="s">
        <v>40</v>
      </c>
      <c r="D5379" t="s">
        <v>7</v>
      </c>
      <c r="E5379" t="e">
        <f>VLOOKUP(Cpi_[[#This Row],[Attribute]],#REF!,2,FALSE)</f>
        <v>#REF!</v>
      </c>
      <c r="F5379">
        <v>116.7</v>
      </c>
      <c r="G5379">
        <f>(Cpi_[[#This Row],[Value]]-F5378)/F5378</f>
        <v>-0.17234042553191486</v>
      </c>
      <c r="H5379" t="e" cm="1" vm="1">
        <f t="array" aca="1" ref="H5379" ca="1">VLOOKUP(Cpi_[[#This Row],[Year]:[Month]],crudeoil[],3,FALSE)</f>
        <v>#VALUE!</v>
      </c>
    </row>
    <row r="5380" spans="1:8" hidden="1" x14ac:dyDescent="0.3">
      <c r="A5380" t="s">
        <v>33</v>
      </c>
      <c r="B5380">
        <v>2018</v>
      </c>
      <c r="C5380" t="s">
        <v>40</v>
      </c>
      <c r="D5380" t="s">
        <v>8</v>
      </c>
      <c r="E5380" t="e">
        <f>VLOOKUP(Cpi_[[#This Row],[Attribute]],#REF!,2,FALSE)</f>
        <v>#REF!</v>
      </c>
      <c r="F5380">
        <v>149.69999999999999</v>
      </c>
      <c r="G5380">
        <f>(Cpi_[[#This Row],[Value]]-F5379)/F5379</f>
        <v>0.28277634961439574</v>
      </c>
      <c r="H5380" t="e" cm="1" vm="1">
        <f t="array" aca="1" ref="H5380" ca="1">VLOOKUP(Cpi_[[#This Row],[Year]:[Month]],crudeoil[],3,FALSE)</f>
        <v>#VALUE!</v>
      </c>
    </row>
    <row r="5381" spans="1:8" hidden="1" x14ac:dyDescent="0.3">
      <c r="A5381" t="s">
        <v>33</v>
      </c>
      <c r="B5381">
        <v>2018</v>
      </c>
      <c r="C5381" t="s">
        <v>40</v>
      </c>
      <c r="D5381" t="s">
        <v>9</v>
      </c>
      <c r="E5381" t="e">
        <f>VLOOKUP(Cpi_[[#This Row],[Attribute]],#REF!,2,FALSE)</f>
        <v>#REF!</v>
      </c>
      <c r="F5381">
        <v>159.19999999999999</v>
      </c>
      <c r="G5381">
        <f>(Cpi_[[#This Row],[Value]]-F5380)/F5380</f>
        <v>6.3460253841015363E-2</v>
      </c>
      <c r="H5381" t="e" cm="1" vm="1">
        <f t="array" aca="1" ref="H5381" ca="1">VLOOKUP(Cpi_[[#This Row],[Year]:[Month]],crudeoil[],3,FALSE)</f>
        <v>#VALUE!</v>
      </c>
    </row>
    <row r="5382" spans="1:8" hidden="1" x14ac:dyDescent="0.3">
      <c r="A5382" t="s">
        <v>33</v>
      </c>
      <c r="B5382">
        <v>2018</v>
      </c>
      <c r="C5382" t="s">
        <v>40</v>
      </c>
      <c r="D5382" t="s">
        <v>10</v>
      </c>
      <c r="E5382" t="e">
        <f>VLOOKUP(Cpi_[[#This Row],[Attribute]],#REF!,2,FALSE)</f>
        <v>#REF!</v>
      </c>
      <c r="F5382">
        <v>112.6</v>
      </c>
      <c r="G5382">
        <f>(Cpi_[[#This Row],[Value]]-F5381)/F5381</f>
        <v>-0.29271356783919594</v>
      </c>
      <c r="H5382" t="e" cm="1" vm="1">
        <f t="array" aca="1" ref="H5382" ca="1">VLOOKUP(Cpi_[[#This Row],[Year]:[Month]],crudeoil[],3,FALSE)</f>
        <v>#VALUE!</v>
      </c>
    </row>
    <row r="5383" spans="1:8" hidden="1" x14ac:dyDescent="0.3">
      <c r="A5383" t="s">
        <v>33</v>
      </c>
      <c r="B5383">
        <v>2018</v>
      </c>
      <c r="C5383" t="s">
        <v>40</v>
      </c>
      <c r="D5383" t="s">
        <v>11</v>
      </c>
      <c r="E5383" t="e">
        <f>VLOOKUP(Cpi_[[#This Row],[Attribute]],#REF!,2,FALSE)</f>
        <v>#REF!</v>
      </c>
      <c r="F5383">
        <v>111.8</v>
      </c>
      <c r="G5383">
        <f>(Cpi_[[#This Row],[Value]]-F5382)/F5382</f>
        <v>-7.1047957371225328E-3</v>
      </c>
      <c r="H5383" t="e" cm="1" vm="1">
        <f t="array" aca="1" ref="H5383" ca="1">VLOOKUP(Cpi_[[#This Row],[Year]:[Month]],crudeoil[],3,FALSE)</f>
        <v>#VALUE!</v>
      </c>
    </row>
    <row r="5384" spans="1:8" hidden="1" x14ac:dyDescent="0.3">
      <c r="A5384" t="s">
        <v>33</v>
      </c>
      <c r="B5384">
        <v>2018</v>
      </c>
      <c r="C5384" t="s">
        <v>40</v>
      </c>
      <c r="D5384" t="s">
        <v>12</v>
      </c>
      <c r="E5384" t="e">
        <f>VLOOKUP(Cpi_[[#This Row],[Attribute]],#REF!,2,FALSE)</f>
        <v>#REF!</v>
      </c>
      <c r="F5384">
        <v>140.30000000000001</v>
      </c>
      <c r="G5384">
        <f>(Cpi_[[#This Row],[Value]]-F5383)/F5383</f>
        <v>0.25491949910554573</v>
      </c>
      <c r="H5384" t="e" cm="1" vm="1">
        <f t="array" aca="1" ref="H5384" ca="1">VLOOKUP(Cpi_[[#This Row],[Year]:[Month]],crudeoil[],3,FALSE)</f>
        <v>#VALUE!</v>
      </c>
    </row>
    <row r="5385" spans="1:8" hidden="1" x14ac:dyDescent="0.3">
      <c r="A5385" t="s">
        <v>33</v>
      </c>
      <c r="B5385">
        <v>2018</v>
      </c>
      <c r="C5385" t="s">
        <v>40</v>
      </c>
      <c r="D5385" t="s">
        <v>13</v>
      </c>
      <c r="E5385" t="e">
        <f>VLOOKUP(Cpi_[[#This Row],[Attribute]],#REF!,2,FALSE)</f>
        <v>#REF!</v>
      </c>
      <c r="F5385">
        <v>126.8</v>
      </c>
      <c r="G5385">
        <f>(Cpi_[[#This Row],[Value]]-F5384)/F5384</f>
        <v>-9.6222380612972294E-2</v>
      </c>
      <c r="H5385" t="e" cm="1" vm="1">
        <f t="array" aca="1" ref="H5385" ca="1">VLOOKUP(Cpi_[[#This Row],[Year]:[Month]],crudeoil[],3,FALSE)</f>
        <v>#VALUE!</v>
      </c>
    </row>
    <row r="5386" spans="1:8" hidden="1" x14ac:dyDescent="0.3">
      <c r="A5386" t="s">
        <v>33</v>
      </c>
      <c r="B5386">
        <v>2018</v>
      </c>
      <c r="C5386" t="s">
        <v>40</v>
      </c>
      <c r="D5386" t="s">
        <v>14</v>
      </c>
      <c r="E5386" t="e">
        <f>VLOOKUP(Cpi_[[#This Row],[Attribute]],#REF!,2,FALSE)</f>
        <v>#REF!</v>
      </c>
      <c r="F5386">
        <v>149.4</v>
      </c>
      <c r="G5386">
        <f>(Cpi_[[#This Row],[Value]]-F5385)/F5385</f>
        <v>0.17823343848580447</v>
      </c>
      <c r="H5386" t="e" cm="1" vm="1">
        <f t="array" aca="1" ref="H5386" ca="1">VLOOKUP(Cpi_[[#This Row],[Year]:[Month]],crudeoil[],3,FALSE)</f>
        <v>#VALUE!</v>
      </c>
    </row>
    <row r="5387" spans="1:8" hidden="1" x14ac:dyDescent="0.3">
      <c r="A5387" t="s">
        <v>33</v>
      </c>
      <c r="B5387">
        <v>2018</v>
      </c>
      <c r="C5387" t="s">
        <v>40</v>
      </c>
      <c r="D5387" t="s">
        <v>15</v>
      </c>
      <c r="E5387" t="e">
        <f>VLOOKUP(Cpi_[[#This Row],[Attribute]],#REF!,2,FALSE)</f>
        <v>#REF!</v>
      </c>
      <c r="F5387">
        <v>140.30000000000001</v>
      </c>
      <c r="G5387">
        <f>(Cpi_[[#This Row],[Value]]-F5386)/F5386</f>
        <v>-6.0910307898259665E-2</v>
      </c>
      <c r="H5387" t="e" cm="1" vm="1">
        <f t="array" aca="1" ref="H5387" ca="1">VLOOKUP(Cpi_[[#This Row],[Year]:[Month]],crudeoil[],3,FALSE)</f>
        <v>#VALUE!</v>
      </c>
    </row>
    <row r="5388" spans="1:8" hidden="1" x14ac:dyDescent="0.3">
      <c r="A5388" t="s">
        <v>33</v>
      </c>
      <c r="B5388">
        <v>2018</v>
      </c>
      <c r="C5388" t="s">
        <v>40</v>
      </c>
      <c r="D5388" t="s">
        <v>16</v>
      </c>
      <c r="E5388" t="e">
        <f>VLOOKUP(Cpi_[[#This Row],[Attribute]],#REF!,2,FALSE)</f>
        <v>#REF!</v>
      </c>
      <c r="F5388">
        <v>161.4</v>
      </c>
      <c r="G5388">
        <f>(Cpi_[[#This Row],[Value]]-F5387)/F5387</f>
        <v>0.15039201710620095</v>
      </c>
      <c r="H5388" t="e" cm="1" vm="1">
        <f t="array" aca="1" ref="H5388" ca="1">VLOOKUP(Cpi_[[#This Row],[Year]:[Month]],crudeoil[],3,FALSE)</f>
        <v>#VALUE!</v>
      </c>
    </row>
    <row r="5389" spans="1:8" hidden="1" x14ac:dyDescent="0.3">
      <c r="A5389" t="s">
        <v>33</v>
      </c>
      <c r="B5389">
        <v>2018</v>
      </c>
      <c r="C5389" t="s">
        <v>40</v>
      </c>
      <c r="D5389" t="s">
        <v>17</v>
      </c>
      <c r="E5389" t="e">
        <f>VLOOKUP(Cpi_[[#This Row],[Attribute]],#REF!,2,FALSE)</f>
        <v>#REF!</v>
      </c>
      <c r="F5389">
        <v>139.6</v>
      </c>
      <c r="G5389">
        <f>(Cpi_[[#This Row],[Value]]-F5388)/F5388</f>
        <v>-0.13506815365551431</v>
      </c>
      <c r="H5389" t="e" cm="1" vm="1">
        <f t="array" aca="1" ref="H5389" ca="1">VLOOKUP(Cpi_[[#This Row],[Year]:[Month]],crudeoil[],3,FALSE)</f>
        <v>#VALUE!</v>
      </c>
    </row>
    <row r="5390" spans="1:8" hidden="1" x14ac:dyDescent="0.3">
      <c r="A5390" t="s">
        <v>33</v>
      </c>
      <c r="B5390">
        <v>2018</v>
      </c>
      <c r="C5390" t="s">
        <v>40</v>
      </c>
      <c r="D5390" t="s">
        <v>18</v>
      </c>
      <c r="E5390" t="e">
        <f>VLOOKUP(Cpi_[[#This Row],[Attribute]],#REF!,2,FALSE)</f>
        <v>#REF!</v>
      </c>
      <c r="F5390">
        <v>128.9</v>
      </c>
      <c r="G5390">
        <f>(Cpi_[[#This Row],[Value]]-F5389)/F5389</f>
        <v>-7.6647564469913956E-2</v>
      </c>
      <c r="H5390" t="e" cm="1" vm="1">
        <f t="array" aca="1" ref="H5390" ca="1">VLOOKUP(Cpi_[[#This Row],[Year]:[Month]],crudeoil[],3,FALSE)</f>
        <v>#VALUE!</v>
      </c>
    </row>
    <row r="5391" spans="1:8" hidden="1" x14ac:dyDescent="0.3">
      <c r="A5391" t="s">
        <v>33</v>
      </c>
      <c r="B5391">
        <v>2018</v>
      </c>
      <c r="C5391" t="s">
        <v>40</v>
      </c>
      <c r="D5391" t="s">
        <v>19</v>
      </c>
      <c r="E5391" t="e">
        <f>VLOOKUP(Cpi_[[#This Row],[Attribute]],#REF!,2,FALSE)</f>
        <v>#REF!</v>
      </c>
      <c r="F5391">
        <v>137.9</v>
      </c>
      <c r="G5391">
        <f>(Cpi_[[#This Row],[Value]]-F5390)/F5390</f>
        <v>6.9821567106283941E-2</v>
      </c>
      <c r="H5391" t="e" cm="1" vm="1">
        <f t="array" aca="1" ref="H5391" ca="1">VLOOKUP(Cpi_[[#This Row],[Year]:[Month]],crudeoil[],3,FALSE)</f>
        <v>#VALUE!</v>
      </c>
    </row>
    <row r="5392" spans="1:8" hidden="1" x14ac:dyDescent="0.3">
      <c r="A5392" t="s">
        <v>33</v>
      </c>
      <c r="B5392">
        <v>2018</v>
      </c>
      <c r="C5392" t="s">
        <v>40</v>
      </c>
      <c r="D5392" t="s">
        <v>20</v>
      </c>
      <c r="E5392" t="e">
        <f>VLOOKUP(Cpi_[[#This Row],[Attribute]],#REF!,2,FALSE)</f>
        <v>#REF!</v>
      </c>
      <c r="F5392">
        <v>143.6</v>
      </c>
      <c r="G5392">
        <f>(Cpi_[[#This Row],[Value]]-F5391)/F5391</f>
        <v>4.1334300217548865E-2</v>
      </c>
      <c r="H5392" t="e" cm="1" vm="1">
        <f t="array" aca="1" ref="H5392" ca="1">VLOOKUP(Cpi_[[#This Row],[Year]:[Month]],crudeoil[],3,FALSE)</f>
        <v>#VALUE!</v>
      </c>
    </row>
    <row r="5393" spans="1:8" hidden="1" x14ac:dyDescent="0.3">
      <c r="A5393" t="s">
        <v>33</v>
      </c>
      <c r="B5393">
        <v>2018</v>
      </c>
      <c r="C5393" t="s">
        <v>40</v>
      </c>
      <c r="D5393" t="s">
        <v>21</v>
      </c>
      <c r="E5393" t="e">
        <f>VLOOKUP(Cpi_[[#This Row],[Attribute]],#REF!,2,FALSE)</f>
        <v>#REF!</v>
      </c>
      <c r="F5393">
        <v>128.1</v>
      </c>
      <c r="G5393">
        <f>(Cpi_[[#This Row],[Value]]-F5392)/F5392</f>
        <v>-0.10793871866295265</v>
      </c>
      <c r="H5393" t="e" cm="1" vm="1">
        <f t="array" aca="1" ref="H5393" ca="1">VLOOKUP(Cpi_[[#This Row],[Year]:[Month]],crudeoil[],3,FALSE)</f>
        <v>#VALUE!</v>
      </c>
    </row>
    <row r="5394" spans="1:8" hidden="1" x14ac:dyDescent="0.3">
      <c r="A5394" t="s">
        <v>33</v>
      </c>
      <c r="B5394">
        <v>2018</v>
      </c>
      <c r="C5394" t="s">
        <v>40</v>
      </c>
      <c r="D5394" t="s">
        <v>22</v>
      </c>
      <c r="E5394" t="e">
        <f>VLOOKUP(Cpi_[[#This Row],[Attribute]],#REF!,2,FALSE)</f>
        <v>#REF!</v>
      </c>
      <c r="F5394">
        <v>133.6</v>
      </c>
      <c r="G5394">
        <f>(Cpi_[[#This Row],[Value]]-F5393)/F5393</f>
        <v>4.2935206869633098E-2</v>
      </c>
      <c r="H5394" t="e" cm="1" vm="1">
        <f t="array" aca="1" ref="H5394" ca="1">VLOOKUP(Cpi_[[#This Row],[Year]:[Month]],crudeoil[],3,FALSE)</f>
        <v>#VALUE!</v>
      </c>
    </row>
    <row r="5395" spans="1:8" hidden="1" x14ac:dyDescent="0.3">
      <c r="A5395" t="s">
        <v>33</v>
      </c>
      <c r="B5395">
        <v>2018</v>
      </c>
      <c r="C5395" t="s">
        <v>40</v>
      </c>
      <c r="D5395" t="s">
        <v>23</v>
      </c>
      <c r="E5395" t="e">
        <f>VLOOKUP(Cpi_[[#This Row],[Attribute]],#REF!,2,FALSE)</f>
        <v>#REF!</v>
      </c>
      <c r="F5395">
        <v>133.6</v>
      </c>
      <c r="G5395">
        <f>(Cpi_[[#This Row],[Value]]-F5394)/F5394</f>
        <v>0</v>
      </c>
      <c r="H5395" t="e" cm="1" vm="1">
        <f t="array" aca="1" ref="H5395" ca="1">VLOOKUP(Cpi_[[#This Row],[Year]:[Month]],crudeoil[],3,FALSE)</f>
        <v>#VALUE!</v>
      </c>
    </row>
    <row r="5396" spans="1:8" hidden="1" x14ac:dyDescent="0.3">
      <c r="A5396" t="s">
        <v>33</v>
      </c>
      <c r="B5396">
        <v>2018</v>
      </c>
      <c r="C5396" t="s">
        <v>40</v>
      </c>
      <c r="D5396" t="s">
        <v>24</v>
      </c>
      <c r="E5396" t="e">
        <f>VLOOKUP(Cpi_[[#This Row],[Attribute]],#REF!,2,FALSE)</f>
        <v>#REF!</v>
      </c>
      <c r="F5396">
        <v>120.1</v>
      </c>
      <c r="G5396">
        <f>(Cpi_[[#This Row],[Value]]-F5395)/F5395</f>
        <v>-0.10104790419161677</v>
      </c>
      <c r="H5396" t="e" cm="1" vm="1">
        <f t="array" aca="1" ref="H5396" ca="1">VLOOKUP(Cpi_[[#This Row],[Year]:[Month]],crudeoil[],3,FALSE)</f>
        <v>#VALUE!</v>
      </c>
    </row>
    <row r="5397" spans="1:8" hidden="1" x14ac:dyDescent="0.3">
      <c r="A5397" t="s">
        <v>33</v>
      </c>
      <c r="B5397">
        <v>2018</v>
      </c>
      <c r="C5397" t="s">
        <v>40</v>
      </c>
      <c r="D5397" t="s">
        <v>25</v>
      </c>
      <c r="E5397" t="e">
        <f>VLOOKUP(Cpi_[[#This Row],[Attribute]],#REF!,2,FALSE)</f>
        <v>#REF!</v>
      </c>
      <c r="F5397">
        <v>129</v>
      </c>
      <c r="G5397">
        <f>(Cpi_[[#This Row],[Value]]-F5396)/F5396</f>
        <v>7.4104912572856008E-2</v>
      </c>
      <c r="H5397" t="e" cm="1" vm="1">
        <f t="array" aca="1" ref="H5397" ca="1">VLOOKUP(Cpi_[[#This Row],[Year]:[Month]],crudeoil[],3,FALSE)</f>
        <v>#VALUE!</v>
      </c>
    </row>
    <row r="5398" spans="1:8" hidden="1" x14ac:dyDescent="0.3">
      <c r="A5398" t="s">
        <v>33</v>
      </c>
      <c r="B5398">
        <v>2018</v>
      </c>
      <c r="C5398" t="s">
        <v>40</v>
      </c>
      <c r="D5398" t="s">
        <v>26</v>
      </c>
      <c r="E5398" t="e">
        <f>VLOOKUP(Cpi_[[#This Row],[Attribute]],#REF!,2,FALSE)</f>
        <v>#REF!</v>
      </c>
      <c r="F5398">
        <v>144</v>
      </c>
      <c r="G5398">
        <f>(Cpi_[[#This Row],[Value]]-F5397)/F5397</f>
        <v>0.11627906976744186</v>
      </c>
      <c r="H5398" t="e" cm="1" vm="1">
        <f t="array" aca="1" ref="H5398" ca="1">VLOOKUP(Cpi_[[#This Row],[Year]:[Month]],crudeoil[],3,FALSE)</f>
        <v>#VALUE!</v>
      </c>
    </row>
    <row r="5399" spans="1:8" hidden="1" x14ac:dyDescent="0.3">
      <c r="A5399" t="s">
        <v>33</v>
      </c>
      <c r="B5399">
        <v>2018</v>
      </c>
      <c r="C5399" t="s">
        <v>40</v>
      </c>
      <c r="D5399" t="s">
        <v>27</v>
      </c>
      <c r="E5399" t="e">
        <f>VLOOKUP(Cpi_[[#This Row],[Attribute]],#REF!,2,FALSE)</f>
        <v>#REF!</v>
      </c>
      <c r="F5399">
        <v>128.19999999999999</v>
      </c>
      <c r="G5399">
        <f>(Cpi_[[#This Row],[Value]]-F5398)/F5398</f>
        <v>-0.1097222222222223</v>
      </c>
      <c r="H5399" t="e" cm="1" vm="1">
        <f t="array" aca="1" ref="H5399" ca="1">VLOOKUP(Cpi_[[#This Row],[Year]:[Month]],crudeoil[],3,FALSE)</f>
        <v>#VALUE!</v>
      </c>
    </row>
    <row r="5400" spans="1:8" hidden="1" x14ac:dyDescent="0.3">
      <c r="A5400" t="s">
        <v>33</v>
      </c>
      <c r="B5400">
        <v>2018</v>
      </c>
      <c r="C5400" t="s">
        <v>40</v>
      </c>
      <c r="D5400" t="s">
        <v>28</v>
      </c>
      <c r="E5400" t="e">
        <f>VLOOKUP(Cpi_[[#This Row],[Attribute]],#REF!,2,FALSE)</f>
        <v>#REF!</v>
      </c>
      <c r="F5400">
        <v>130.19999999999999</v>
      </c>
      <c r="G5400">
        <f>(Cpi_[[#This Row],[Value]]-F5399)/F5399</f>
        <v>1.5600624024960999E-2</v>
      </c>
      <c r="H5400" t="e" cm="1" vm="1">
        <f t="array" aca="1" ref="H5400" ca="1">VLOOKUP(Cpi_[[#This Row],[Year]:[Month]],crudeoil[],3,FALSE)</f>
        <v>#VALUE!</v>
      </c>
    </row>
    <row r="5401" spans="1:8" hidden="1" x14ac:dyDescent="0.3">
      <c r="A5401" t="s">
        <v>33</v>
      </c>
      <c r="B5401">
        <v>2018</v>
      </c>
      <c r="C5401" t="s">
        <v>40</v>
      </c>
      <c r="D5401" t="s">
        <v>29</v>
      </c>
      <c r="E5401" t="e" cm="1">
        <f t="array" aca="1" ref="E5401" ca="1">VLGeneral indexGeneral indexKUP(Cpi_[[#This Row],[Attribute]],#REF!,2,FALSE)</f>
        <v>#NAME?</v>
      </c>
      <c r="F5401">
        <v>137.5</v>
      </c>
      <c r="G5401">
        <f>(Cpi_[[#This Row],[Value]]-F5400)/F5400</f>
        <v>5.6067588325652937E-2</v>
      </c>
      <c r="H5401" t="e" cm="1" vm="1">
        <f t="array" aca="1" ref="H5401" ca="1">VLOOKUP(Cpi_[[#This Row],[Year]:[Month]],crudeoil[],3,FALSE)</f>
        <v>#VALUE!</v>
      </c>
    </row>
    <row r="5402" spans="1:8" hidden="1" x14ac:dyDescent="0.3">
      <c r="A5402" t="s">
        <v>34</v>
      </c>
      <c r="B5402">
        <v>2018</v>
      </c>
      <c r="C5402" t="s">
        <v>40</v>
      </c>
      <c r="D5402" t="s">
        <v>3</v>
      </c>
      <c r="E5402" t="e">
        <f>VLOOKUP(Cpi_[[#This Row],[Attribute]],#REF!,2,FALSE)</f>
        <v>#REF!</v>
      </c>
      <c r="F5402">
        <v>137.5</v>
      </c>
      <c r="G5402">
        <f>(Cpi_[[#This Row],[Value]]-F5401)/F5401</f>
        <v>0</v>
      </c>
      <c r="H5402" t="e" cm="1" vm="1">
        <f t="array" aca="1" ref="H5402" ca="1">VLOOKUP(Cpi_[[#This Row],[Year]:[Month]],crudeoil[],3,FALSE)</f>
        <v>#VALUE!</v>
      </c>
    </row>
    <row r="5403" spans="1:8" hidden="1" x14ac:dyDescent="0.3">
      <c r="A5403" t="s">
        <v>34</v>
      </c>
      <c r="B5403">
        <v>2018</v>
      </c>
      <c r="C5403" t="s">
        <v>40</v>
      </c>
      <c r="D5403" t="s">
        <v>4</v>
      </c>
      <c r="E5403" t="e">
        <f>VLOOKUP(Cpi_[[#This Row],[Attribute]],#REF!,2,FALSE)</f>
        <v>#REF!</v>
      </c>
      <c r="F5403">
        <v>149.1</v>
      </c>
      <c r="G5403">
        <f>(Cpi_[[#This Row],[Value]]-F5402)/F5402</f>
        <v>8.4363636363636321E-2</v>
      </c>
      <c r="H5403" t="e" cm="1" vm="1">
        <f t="array" aca="1" ref="H5403" ca="1">VLOOKUP(Cpi_[[#This Row],[Year]:[Month]],crudeoil[],3,FALSE)</f>
        <v>#VALUE!</v>
      </c>
    </row>
    <row r="5404" spans="1:8" hidden="1" x14ac:dyDescent="0.3">
      <c r="A5404" t="s">
        <v>34</v>
      </c>
      <c r="B5404">
        <v>2018</v>
      </c>
      <c r="C5404" t="s">
        <v>40</v>
      </c>
      <c r="D5404" t="s">
        <v>5</v>
      </c>
      <c r="E5404" t="e">
        <f>VLOOKUP(Cpi_[[#This Row],[Attribute]],#REF!,2,FALSE)</f>
        <v>#REF!</v>
      </c>
      <c r="F5404">
        <v>139.19999999999999</v>
      </c>
      <c r="G5404">
        <f>(Cpi_[[#This Row],[Value]]-F5403)/F5403</f>
        <v>-6.639839034205236E-2</v>
      </c>
      <c r="H5404" t="e" cm="1" vm="1">
        <f t="array" aca="1" ref="H5404" ca="1">VLOOKUP(Cpi_[[#This Row],[Year]:[Month]],crudeoil[],3,FALSE)</f>
        <v>#VALUE!</v>
      </c>
    </row>
    <row r="5405" spans="1:8" hidden="1" x14ac:dyDescent="0.3">
      <c r="A5405" t="s">
        <v>34</v>
      </c>
      <c r="B5405">
        <v>2018</v>
      </c>
      <c r="C5405" t="s">
        <v>40</v>
      </c>
      <c r="D5405" t="s">
        <v>6</v>
      </c>
      <c r="E5405" t="e">
        <f>VLOOKUP(Cpi_[[#This Row],[Attribute]],#REF!,2,FALSE)</f>
        <v>#REF!</v>
      </c>
      <c r="F5405">
        <v>142.5</v>
      </c>
      <c r="G5405">
        <f>(Cpi_[[#This Row],[Value]]-F5404)/F5404</f>
        <v>2.370689655172422E-2</v>
      </c>
      <c r="H5405" t="e" cm="1" vm="1">
        <f t="array" aca="1" ref="H5405" ca="1">VLOOKUP(Cpi_[[#This Row],[Year]:[Month]],crudeoil[],3,FALSE)</f>
        <v>#VALUE!</v>
      </c>
    </row>
    <row r="5406" spans="1:8" hidden="1" x14ac:dyDescent="0.3">
      <c r="A5406" t="s">
        <v>34</v>
      </c>
      <c r="B5406">
        <v>2018</v>
      </c>
      <c r="C5406" t="s">
        <v>40</v>
      </c>
      <c r="D5406" t="s">
        <v>7</v>
      </c>
      <c r="E5406" t="e">
        <f>VLOOKUP(Cpi_[[#This Row],[Attribute]],#REF!,2,FALSE)</f>
        <v>#REF!</v>
      </c>
      <c r="F5406">
        <v>121.4</v>
      </c>
      <c r="G5406">
        <f>(Cpi_[[#This Row],[Value]]-F5405)/F5405</f>
        <v>-0.14807017543859646</v>
      </c>
      <c r="H5406" t="e" cm="1" vm="1">
        <f t="array" aca="1" ref="H5406" ca="1">VLOOKUP(Cpi_[[#This Row],[Year]:[Month]],crudeoil[],3,FALSE)</f>
        <v>#VALUE!</v>
      </c>
    </row>
    <row r="5407" spans="1:8" hidden="1" x14ac:dyDescent="0.3">
      <c r="A5407" t="s">
        <v>34</v>
      </c>
      <c r="B5407">
        <v>2018</v>
      </c>
      <c r="C5407" t="s">
        <v>40</v>
      </c>
      <c r="D5407" t="s">
        <v>8</v>
      </c>
      <c r="E5407" t="e">
        <f>VLOOKUP(Cpi_[[#This Row],[Attribute]],#REF!,2,FALSE)</f>
        <v>#REF!</v>
      </c>
      <c r="F5407">
        <v>151.6</v>
      </c>
      <c r="G5407">
        <f>(Cpi_[[#This Row],[Value]]-F5406)/F5406</f>
        <v>0.2487644151565073</v>
      </c>
      <c r="H5407" t="e" cm="1" vm="1">
        <f t="array" aca="1" ref="H5407" ca="1">VLOOKUP(Cpi_[[#This Row],[Year]:[Month]],crudeoil[],3,FALSE)</f>
        <v>#VALUE!</v>
      </c>
    </row>
    <row r="5408" spans="1:8" hidden="1" x14ac:dyDescent="0.3">
      <c r="A5408" t="s">
        <v>34</v>
      </c>
      <c r="B5408">
        <v>2018</v>
      </c>
      <c r="C5408" t="s">
        <v>40</v>
      </c>
      <c r="D5408" t="s">
        <v>9</v>
      </c>
      <c r="E5408" t="e">
        <f>VLOOKUP(Cpi_[[#This Row],[Attribute]],#REF!,2,FALSE)</f>
        <v>#REF!</v>
      </c>
      <c r="F5408">
        <v>155.9</v>
      </c>
      <c r="G5408">
        <f>(Cpi_[[#This Row],[Value]]-F5407)/F5407</f>
        <v>2.8364116094986885E-2</v>
      </c>
      <c r="H5408" t="e" cm="1" vm="1">
        <f t="array" aca="1" ref="H5408" ca="1">VLOOKUP(Cpi_[[#This Row],[Year]:[Month]],crudeoil[],3,FALSE)</f>
        <v>#VALUE!</v>
      </c>
    </row>
    <row r="5409" spans="1:8" hidden="1" x14ac:dyDescent="0.3">
      <c r="A5409" t="s">
        <v>34</v>
      </c>
      <c r="B5409">
        <v>2018</v>
      </c>
      <c r="C5409" t="s">
        <v>40</v>
      </c>
      <c r="D5409" t="s">
        <v>10</v>
      </c>
      <c r="E5409" t="e">
        <f>VLOOKUP(Cpi_[[#This Row],[Attribute]],#REF!,2,FALSE)</f>
        <v>#REF!</v>
      </c>
      <c r="F5409">
        <v>121.7</v>
      </c>
      <c r="G5409">
        <f>(Cpi_[[#This Row],[Value]]-F5408)/F5408</f>
        <v>-0.21937139191789609</v>
      </c>
      <c r="H5409" t="e" cm="1" vm="1">
        <f t="array" aca="1" ref="H5409" ca="1">VLOOKUP(Cpi_[[#This Row],[Year]:[Month]],crudeoil[],3,FALSE)</f>
        <v>#VALUE!</v>
      </c>
    </row>
    <row r="5410" spans="1:8" hidden="1" x14ac:dyDescent="0.3">
      <c r="A5410" t="s">
        <v>34</v>
      </c>
      <c r="B5410">
        <v>2018</v>
      </c>
      <c r="C5410" t="s">
        <v>40</v>
      </c>
      <c r="D5410" t="s">
        <v>11</v>
      </c>
      <c r="E5410" t="e">
        <f>VLOOKUP(Cpi_[[#This Row],[Attribute]],#REF!,2,FALSE)</f>
        <v>#REF!</v>
      </c>
      <c r="F5410">
        <v>113.5</v>
      </c>
      <c r="G5410">
        <f>(Cpi_[[#This Row],[Value]]-F5409)/F5409</f>
        <v>-6.7378800328677102E-2</v>
      </c>
      <c r="H5410" t="e" cm="1" vm="1">
        <f t="array" aca="1" ref="H5410" ca="1">VLOOKUP(Cpi_[[#This Row],[Year]:[Month]],crudeoil[],3,FALSE)</f>
        <v>#VALUE!</v>
      </c>
    </row>
    <row r="5411" spans="1:8" hidden="1" x14ac:dyDescent="0.3">
      <c r="A5411" t="s">
        <v>34</v>
      </c>
      <c r="B5411">
        <v>2018</v>
      </c>
      <c r="C5411" t="s">
        <v>40</v>
      </c>
      <c r="D5411" t="s">
        <v>12</v>
      </c>
      <c r="E5411" t="e">
        <f>VLOOKUP(Cpi_[[#This Row],[Attribute]],#REF!,2,FALSE)</f>
        <v>#REF!</v>
      </c>
      <c r="F5411">
        <v>138.9</v>
      </c>
      <c r="G5411">
        <f>(Cpi_[[#This Row],[Value]]-F5410)/F5410</f>
        <v>0.22378854625550665</v>
      </c>
      <c r="H5411" t="e" cm="1" vm="1">
        <f t="array" aca="1" ref="H5411" ca="1">VLOOKUP(Cpi_[[#This Row],[Year]:[Month]],crudeoil[],3,FALSE)</f>
        <v>#VALUE!</v>
      </c>
    </row>
    <row r="5412" spans="1:8" hidden="1" x14ac:dyDescent="0.3">
      <c r="A5412" t="s">
        <v>34</v>
      </c>
      <c r="B5412">
        <v>2018</v>
      </c>
      <c r="C5412" t="s">
        <v>40</v>
      </c>
      <c r="D5412" t="s">
        <v>13</v>
      </c>
      <c r="E5412" t="e">
        <f>VLOOKUP(Cpi_[[#This Row],[Attribute]],#REF!,2,FALSE)</f>
        <v>#REF!</v>
      </c>
      <c r="F5412">
        <v>130.30000000000001</v>
      </c>
      <c r="G5412">
        <f>(Cpi_[[#This Row],[Value]]-F5411)/F5411</f>
        <v>-6.1915046796256257E-2</v>
      </c>
      <c r="H5412" t="e" cm="1" vm="1">
        <f t="array" aca="1" ref="H5412" ca="1">VLOOKUP(Cpi_[[#This Row],[Year]:[Month]],crudeoil[],3,FALSE)</f>
        <v>#VALUE!</v>
      </c>
    </row>
    <row r="5413" spans="1:8" hidden="1" x14ac:dyDescent="0.3">
      <c r="A5413" t="s">
        <v>34</v>
      </c>
      <c r="B5413">
        <v>2018</v>
      </c>
      <c r="C5413" t="s">
        <v>40</v>
      </c>
      <c r="D5413" t="s">
        <v>14</v>
      </c>
      <c r="E5413" t="e">
        <f>VLOOKUP(Cpi_[[#This Row],[Attribute]],#REF!,2,FALSE)</f>
        <v>#REF!</v>
      </c>
      <c r="F5413">
        <v>152.30000000000001</v>
      </c>
      <c r="G5413">
        <f>(Cpi_[[#This Row],[Value]]-F5412)/F5412</f>
        <v>0.16884113584036836</v>
      </c>
      <c r="H5413" t="e" cm="1" vm="1">
        <f t="array" aca="1" ref="H5413" ca="1">VLOOKUP(Cpi_[[#This Row],[Year]:[Month]],crudeoil[],3,FALSE)</f>
        <v>#VALUE!</v>
      </c>
    </row>
    <row r="5414" spans="1:8" hidden="1" x14ac:dyDescent="0.3">
      <c r="A5414" t="s">
        <v>34</v>
      </c>
      <c r="B5414">
        <v>2018</v>
      </c>
      <c r="C5414" t="s">
        <v>40</v>
      </c>
      <c r="D5414" t="s">
        <v>15</v>
      </c>
      <c r="E5414" t="e">
        <f>VLOOKUP(Cpi_[[#This Row],[Attribute]],#REF!,2,FALSE)</f>
        <v>#REF!</v>
      </c>
      <c r="F5414">
        <v>141.4</v>
      </c>
      <c r="G5414">
        <f>(Cpi_[[#This Row],[Value]]-F5413)/F5413</f>
        <v>-7.1569271175311922E-2</v>
      </c>
      <c r="H5414" t="e" cm="1" vm="1">
        <f t="array" aca="1" ref="H5414" ca="1">VLOOKUP(Cpi_[[#This Row],[Year]:[Month]],crudeoil[],3,FALSE)</f>
        <v>#VALUE!</v>
      </c>
    </row>
    <row r="5415" spans="1:8" hidden="1" x14ac:dyDescent="0.3">
      <c r="A5415" t="s">
        <v>34</v>
      </c>
      <c r="B5415">
        <v>2018</v>
      </c>
      <c r="C5415" t="s">
        <v>40</v>
      </c>
      <c r="D5415" t="s">
        <v>16</v>
      </c>
      <c r="E5415" t="e">
        <f>VLOOKUP(Cpi_[[#This Row],[Attribute]],#REF!,2,FALSE)</f>
        <v>#REF!</v>
      </c>
      <c r="F5415">
        <v>157.5</v>
      </c>
      <c r="G5415">
        <f>(Cpi_[[#This Row],[Value]]-F5414)/F5414</f>
        <v>0.11386138613861381</v>
      </c>
      <c r="H5415" t="e" cm="1" vm="1">
        <f t="array" aca="1" ref="H5415" ca="1">VLOOKUP(Cpi_[[#This Row],[Year]:[Month]],crudeoil[],3,FALSE)</f>
        <v>#VALUE!</v>
      </c>
    </row>
    <row r="5416" spans="1:8" hidden="1" x14ac:dyDescent="0.3">
      <c r="A5416" t="s">
        <v>34</v>
      </c>
      <c r="B5416">
        <v>2018</v>
      </c>
      <c r="C5416" t="s">
        <v>40</v>
      </c>
      <c r="D5416" t="s">
        <v>17</v>
      </c>
      <c r="E5416" t="e">
        <f>VLOOKUP(Cpi_[[#This Row],[Attribute]],#REF!,2,FALSE)</f>
        <v>#REF!</v>
      </c>
      <c r="F5416">
        <v>146.80000000000001</v>
      </c>
      <c r="G5416">
        <f>(Cpi_[[#This Row],[Value]]-F5415)/F5415</f>
        <v>-6.7936507936507864E-2</v>
      </c>
      <c r="H5416" t="e" cm="1" vm="1">
        <f t="array" aca="1" ref="H5416" ca="1">VLOOKUP(Cpi_[[#This Row],[Year]:[Month]],crudeoil[],3,FALSE)</f>
        <v>#VALUE!</v>
      </c>
    </row>
    <row r="5417" spans="1:8" hidden="1" x14ac:dyDescent="0.3">
      <c r="A5417" t="s">
        <v>34</v>
      </c>
      <c r="B5417">
        <v>2018</v>
      </c>
      <c r="C5417" t="s">
        <v>40</v>
      </c>
      <c r="D5417" t="s">
        <v>18</v>
      </c>
      <c r="E5417" t="e">
        <f>VLOOKUP(Cpi_[[#This Row],[Attribute]],#REF!,2,FALSE)</f>
        <v>#REF!</v>
      </c>
      <c r="F5417">
        <v>138.4</v>
      </c>
      <c r="G5417">
        <f>(Cpi_[[#This Row],[Value]]-F5416)/F5416</f>
        <v>-5.7220708446866518E-2</v>
      </c>
      <c r="H5417" t="e" cm="1" vm="1">
        <f t="array" aca="1" ref="H5417" ca="1">VLOOKUP(Cpi_[[#This Row],[Year]:[Month]],crudeoil[],3,FALSE)</f>
        <v>#VALUE!</v>
      </c>
    </row>
    <row r="5418" spans="1:8" hidden="1" x14ac:dyDescent="0.3">
      <c r="A5418" t="s">
        <v>34</v>
      </c>
      <c r="B5418">
        <v>2018</v>
      </c>
      <c r="C5418" t="s">
        <v>40</v>
      </c>
      <c r="D5418" t="s">
        <v>19</v>
      </c>
      <c r="E5418" t="e">
        <f>VLOOKUP(Cpi_[[#This Row],[Attribute]],#REF!,2,FALSE)</f>
        <v>#REF!</v>
      </c>
      <c r="F5418">
        <v>145.6</v>
      </c>
      <c r="G5418">
        <f>(Cpi_[[#This Row],[Value]]-F5417)/F5417</f>
        <v>5.2023121387283155E-2</v>
      </c>
      <c r="H5418" t="e" cm="1" vm="1">
        <f t="array" aca="1" ref="H5418" ca="1">VLOOKUP(Cpi_[[#This Row],[Year]:[Month]],crudeoil[],3,FALSE)</f>
        <v>#VALUE!</v>
      </c>
    </row>
    <row r="5419" spans="1:8" hidden="1" x14ac:dyDescent="0.3">
      <c r="A5419" t="s">
        <v>34</v>
      </c>
      <c r="B5419">
        <v>2018</v>
      </c>
      <c r="C5419" t="s">
        <v>40</v>
      </c>
      <c r="D5419" t="s">
        <v>20</v>
      </c>
      <c r="E5419" t="e">
        <f>VLOOKUP(Cpi_[[#This Row],[Attribute]],#REF!,2,FALSE)</f>
        <v>#REF!</v>
      </c>
      <c r="F5419">
        <v>143.6</v>
      </c>
      <c r="G5419">
        <f>(Cpi_[[#This Row],[Value]]-F5418)/F5418</f>
        <v>-1.3736263736263736E-2</v>
      </c>
      <c r="H5419" t="e" cm="1" vm="1">
        <f t="array" aca="1" ref="H5419" ca="1">VLOOKUP(Cpi_[[#This Row],[Year]:[Month]],crudeoil[],3,FALSE)</f>
        <v>#VALUE!</v>
      </c>
    </row>
    <row r="5420" spans="1:8" hidden="1" x14ac:dyDescent="0.3">
      <c r="A5420" t="s">
        <v>34</v>
      </c>
      <c r="B5420">
        <v>2018</v>
      </c>
      <c r="C5420" t="s">
        <v>40</v>
      </c>
      <c r="D5420" t="s">
        <v>21</v>
      </c>
      <c r="E5420" t="e">
        <f>VLOOKUP(Cpi_[[#This Row],[Attribute]],#REF!,2,FALSE)</f>
        <v>#REF!</v>
      </c>
      <c r="F5420">
        <v>139.69999999999999</v>
      </c>
      <c r="G5420">
        <f>(Cpi_[[#This Row],[Value]]-F5419)/F5419</f>
        <v>-2.7158774373259094E-2</v>
      </c>
      <c r="H5420" t="e" cm="1" vm="1">
        <f t="array" aca="1" ref="H5420" ca="1">VLOOKUP(Cpi_[[#This Row],[Year]:[Month]],crudeoil[],3,FALSE)</f>
        <v>#VALUE!</v>
      </c>
    </row>
    <row r="5421" spans="1:8" hidden="1" x14ac:dyDescent="0.3">
      <c r="A5421" t="s">
        <v>34</v>
      </c>
      <c r="B5421">
        <v>2018</v>
      </c>
      <c r="C5421" t="s">
        <v>40</v>
      </c>
      <c r="D5421" t="s">
        <v>22</v>
      </c>
      <c r="E5421" t="e">
        <f>VLOOKUP(Cpi_[[#This Row],[Attribute]],#REF!,2,FALSE)</f>
        <v>#REF!</v>
      </c>
      <c r="F5421">
        <v>138.6</v>
      </c>
      <c r="G5421">
        <f>(Cpi_[[#This Row],[Value]]-F5420)/F5420</f>
        <v>-7.8740157480314561E-3</v>
      </c>
      <c r="H5421" t="e" cm="1" vm="1">
        <f t="array" aca="1" ref="H5421" ca="1">VLOOKUP(Cpi_[[#This Row],[Year]:[Month]],crudeoil[],3,FALSE)</f>
        <v>#VALUE!</v>
      </c>
    </row>
    <row r="5422" spans="1:8" hidden="1" x14ac:dyDescent="0.3">
      <c r="A5422" t="s">
        <v>34</v>
      </c>
      <c r="B5422">
        <v>2018</v>
      </c>
      <c r="C5422" t="s">
        <v>40</v>
      </c>
      <c r="D5422" t="s">
        <v>23</v>
      </c>
      <c r="E5422" t="e">
        <f>VLOOKUP(Cpi_[[#This Row],[Attribute]],#REF!,2,FALSE)</f>
        <v>#REF!</v>
      </c>
      <c r="F5422">
        <v>137</v>
      </c>
      <c r="G5422">
        <f>(Cpi_[[#This Row],[Value]]-F5421)/F5421</f>
        <v>-1.1544011544011504E-2</v>
      </c>
      <c r="H5422" t="e" cm="1" vm="1">
        <f t="array" aca="1" ref="H5422" ca="1">VLOOKUP(Cpi_[[#This Row],[Year]:[Month]],crudeoil[],3,FALSE)</f>
        <v>#VALUE!</v>
      </c>
    </row>
    <row r="5423" spans="1:8" hidden="1" x14ac:dyDescent="0.3">
      <c r="A5423" t="s">
        <v>34</v>
      </c>
      <c r="B5423">
        <v>2018</v>
      </c>
      <c r="C5423" t="s">
        <v>40</v>
      </c>
      <c r="D5423" t="s">
        <v>24</v>
      </c>
      <c r="E5423" t="e">
        <f>VLOOKUP(Cpi_[[#This Row],[Attribute]],#REF!,2,FALSE)</f>
        <v>#REF!</v>
      </c>
      <c r="F5423">
        <v>123.6</v>
      </c>
      <c r="G5423">
        <f>(Cpi_[[#This Row],[Value]]-F5422)/F5422</f>
        <v>-9.7810218978102229E-2</v>
      </c>
      <c r="H5423" t="e" cm="1" vm="1">
        <f t="array" aca="1" ref="H5423" ca="1">VLOOKUP(Cpi_[[#This Row],[Year]:[Month]],crudeoil[],3,FALSE)</f>
        <v>#VALUE!</v>
      </c>
    </row>
    <row r="5424" spans="1:8" hidden="1" x14ac:dyDescent="0.3">
      <c r="A5424" t="s">
        <v>34</v>
      </c>
      <c r="B5424">
        <v>2018</v>
      </c>
      <c r="C5424" t="s">
        <v>40</v>
      </c>
      <c r="D5424" t="s">
        <v>25</v>
      </c>
      <c r="E5424" t="e">
        <f>VLOOKUP(Cpi_[[#This Row],[Attribute]],#REF!,2,FALSE)</f>
        <v>#REF!</v>
      </c>
      <c r="F5424">
        <v>133.1</v>
      </c>
      <c r="G5424">
        <f>(Cpi_[[#This Row],[Value]]-F5423)/F5423</f>
        <v>7.6860841423948223E-2</v>
      </c>
      <c r="H5424" t="e" cm="1" vm="1">
        <f t="array" aca="1" ref="H5424" ca="1">VLOOKUP(Cpi_[[#This Row],[Year]:[Month]],crudeoil[],3,FALSE)</f>
        <v>#VALUE!</v>
      </c>
    </row>
    <row r="5425" spans="1:8" hidden="1" x14ac:dyDescent="0.3">
      <c r="A5425" t="s">
        <v>34</v>
      </c>
      <c r="B5425">
        <v>2018</v>
      </c>
      <c r="C5425" t="s">
        <v>40</v>
      </c>
      <c r="D5425" t="s">
        <v>26</v>
      </c>
      <c r="E5425" t="e">
        <f>VLOOKUP(Cpi_[[#This Row],[Attribute]],#REF!,2,FALSE)</f>
        <v>#REF!</v>
      </c>
      <c r="F5425">
        <v>144.69999999999999</v>
      </c>
      <c r="G5425">
        <f>(Cpi_[[#This Row],[Value]]-F5424)/F5424</f>
        <v>8.7152516904582977E-2</v>
      </c>
      <c r="H5425" t="e" cm="1" vm="1">
        <f t="array" aca="1" ref="H5425" ca="1">VLOOKUP(Cpi_[[#This Row],[Year]:[Month]],crudeoil[],3,FALSE)</f>
        <v>#VALUE!</v>
      </c>
    </row>
    <row r="5426" spans="1:8" hidden="1" x14ac:dyDescent="0.3">
      <c r="A5426" t="s">
        <v>34</v>
      </c>
      <c r="B5426">
        <v>2018</v>
      </c>
      <c r="C5426" t="s">
        <v>40</v>
      </c>
      <c r="D5426" t="s">
        <v>27</v>
      </c>
      <c r="E5426" t="e">
        <f>VLOOKUP(Cpi_[[#This Row],[Attribute]],#REF!,2,FALSE)</f>
        <v>#REF!</v>
      </c>
      <c r="F5426">
        <v>130.1</v>
      </c>
      <c r="G5426">
        <f>(Cpi_[[#This Row],[Value]]-F5425)/F5425</f>
        <v>-0.10089841050449203</v>
      </c>
      <c r="H5426" t="e" cm="1" vm="1">
        <f t="array" aca="1" ref="H5426" ca="1">VLOOKUP(Cpi_[[#This Row],[Year]:[Month]],crudeoil[],3,FALSE)</f>
        <v>#VALUE!</v>
      </c>
    </row>
    <row r="5427" spans="1:8" hidden="1" x14ac:dyDescent="0.3">
      <c r="A5427" t="s">
        <v>34</v>
      </c>
      <c r="B5427">
        <v>2018</v>
      </c>
      <c r="C5427" t="s">
        <v>40</v>
      </c>
      <c r="D5427" t="s">
        <v>28</v>
      </c>
      <c r="E5427" t="e">
        <f>VLOOKUP(Cpi_[[#This Row],[Attribute]],#REF!,2,FALSE)</f>
        <v>#REF!</v>
      </c>
      <c r="F5427">
        <v>133.19999999999999</v>
      </c>
      <c r="G5427">
        <f>(Cpi_[[#This Row],[Value]]-F5426)/F5426</f>
        <v>2.3827824750192118E-2</v>
      </c>
      <c r="H5427" t="e" cm="1" vm="1">
        <f t="array" aca="1" ref="H5427" ca="1">VLOOKUP(Cpi_[[#This Row],[Year]:[Month]],crudeoil[],3,FALSE)</f>
        <v>#VALUE!</v>
      </c>
    </row>
    <row r="5428" spans="1:8" hidden="1" x14ac:dyDescent="0.3">
      <c r="A5428" t="s">
        <v>34</v>
      </c>
      <c r="B5428">
        <v>2018</v>
      </c>
      <c r="C5428" t="s">
        <v>40</v>
      </c>
      <c r="D5428" t="s">
        <v>29</v>
      </c>
      <c r="E5428" t="e" cm="1">
        <f t="array" aca="1" ref="E5428" ca="1">VLGeneral indexGeneral indexKUP(Cpi_[[#This Row],[Attribute]],#REF!,2,FALSE)</f>
        <v>#NAME?</v>
      </c>
      <c r="F5428">
        <v>139.80000000000001</v>
      </c>
      <c r="G5428">
        <f>(Cpi_[[#This Row],[Value]]-F5427)/F5427</f>
        <v>4.9549549549549723E-2</v>
      </c>
      <c r="H5428" t="e" cm="1" vm="1">
        <f t="array" aca="1" ref="H5428" ca="1">VLOOKUP(Cpi_[[#This Row],[Year]:[Month]],crudeoil[],3,FALSE)</f>
        <v>#VALUE!</v>
      </c>
    </row>
    <row r="5429" spans="1:8" hidden="1" x14ac:dyDescent="0.3">
      <c r="A5429" t="s">
        <v>30</v>
      </c>
      <c r="B5429">
        <v>2018</v>
      </c>
      <c r="C5429" t="s">
        <v>41</v>
      </c>
      <c r="D5429" t="s">
        <v>3</v>
      </c>
      <c r="E5429" t="e">
        <f>VLOOKUP(Cpi_[[#This Row],[Attribute]],#REF!,2,FALSE)</f>
        <v>#REF!</v>
      </c>
      <c r="F5429">
        <v>139.19999999999999</v>
      </c>
      <c r="G5429">
        <f>(Cpi_[[#This Row],[Value]]-F5428)/F5428</f>
        <v>-4.2918454935623939E-3</v>
      </c>
      <c r="H5429" t="e" cm="1" vm="1">
        <f t="array" aca="1" ref="H5429" ca="1">VLOOKUP(Cpi_[[#This Row],[Year]:[Month]],crudeoil[],3,FALSE)</f>
        <v>#VALUE!</v>
      </c>
    </row>
    <row r="5430" spans="1:8" hidden="1" x14ac:dyDescent="0.3">
      <c r="A5430" t="s">
        <v>30</v>
      </c>
      <c r="B5430">
        <v>2018</v>
      </c>
      <c r="C5430" t="s">
        <v>41</v>
      </c>
      <c r="D5430" t="s">
        <v>4</v>
      </c>
      <c r="E5430" t="e">
        <f>VLOOKUP(Cpi_[[#This Row],[Attribute]],#REF!,2,FALSE)</f>
        <v>#REF!</v>
      </c>
      <c r="F5430">
        <v>148.80000000000001</v>
      </c>
      <c r="G5430">
        <f>(Cpi_[[#This Row],[Value]]-F5429)/F5429</f>
        <v>6.8965517241379476E-2</v>
      </c>
      <c r="H5430" t="e" cm="1" vm="1">
        <f t="array" aca="1" ref="H5430" ca="1">VLOOKUP(Cpi_[[#This Row],[Year]:[Month]],crudeoil[],3,FALSE)</f>
        <v>#VALUE!</v>
      </c>
    </row>
    <row r="5431" spans="1:8" hidden="1" x14ac:dyDescent="0.3">
      <c r="A5431" t="s">
        <v>30</v>
      </c>
      <c r="B5431">
        <v>2018</v>
      </c>
      <c r="C5431" t="s">
        <v>41</v>
      </c>
      <c r="D5431" t="s">
        <v>5</v>
      </c>
      <c r="E5431" t="e">
        <f>VLOOKUP(Cpi_[[#This Row],[Attribute]],#REF!,2,FALSE)</f>
        <v>#REF!</v>
      </c>
      <c r="F5431">
        <v>139.1</v>
      </c>
      <c r="G5431">
        <f>(Cpi_[[#This Row],[Value]]-F5430)/F5430</f>
        <v>-6.5188172043010861E-2</v>
      </c>
      <c r="H5431" t="e" cm="1" vm="1">
        <f t="array" aca="1" ref="H5431" ca="1">VLOOKUP(Cpi_[[#This Row],[Year]:[Month]],crudeoil[],3,FALSE)</f>
        <v>#VALUE!</v>
      </c>
    </row>
    <row r="5432" spans="1:8" hidden="1" x14ac:dyDescent="0.3">
      <c r="A5432" t="s">
        <v>30</v>
      </c>
      <c r="B5432">
        <v>2018</v>
      </c>
      <c r="C5432" t="s">
        <v>41</v>
      </c>
      <c r="D5432" t="s">
        <v>6</v>
      </c>
      <c r="E5432" t="e">
        <f>VLOOKUP(Cpi_[[#This Row],[Attribute]],#REF!,2,FALSE)</f>
        <v>#REF!</v>
      </c>
      <c r="F5432">
        <v>143.5</v>
      </c>
      <c r="G5432">
        <f>(Cpi_[[#This Row],[Value]]-F5431)/F5431</f>
        <v>3.1631919482386812E-2</v>
      </c>
      <c r="H5432" t="e" cm="1" vm="1">
        <f t="array" aca="1" ref="H5432" ca="1">VLOOKUP(Cpi_[[#This Row],[Year]:[Month]],crudeoil[],3,FALSE)</f>
        <v>#VALUE!</v>
      </c>
    </row>
    <row r="5433" spans="1:8" hidden="1" x14ac:dyDescent="0.3">
      <c r="A5433" t="s">
        <v>30</v>
      </c>
      <c r="B5433">
        <v>2018</v>
      </c>
      <c r="C5433" t="s">
        <v>41</v>
      </c>
      <c r="D5433" t="s">
        <v>7</v>
      </c>
      <c r="E5433" t="e">
        <f>VLOOKUP(Cpi_[[#This Row],[Attribute]],#REF!,2,FALSE)</f>
        <v>#REF!</v>
      </c>
      <c r="F5433">
        <v>125</v>
      </c>
      <c r="G5433">
        <f>(Cpi_[[#This Row],[Value]]-F5432)/F5432</f>
        <v>-0.1289198606271777</v>
      </c>
      <c r="H5433" t="e" cm="1" vm="1">
        <f t="array" aca="1" ref="H5433" ca="1">VLOOKUP(Cpi_[[#This Row],[Year]:[Month]],crudeoil[],3,FALSE)</f>
        <v>#VALUE!</v>
      </c>
    </row>
    <row r="5434" spans="1:8" hidden="1" x14ac:dyDescent="0.3">
      <c r="A5434" t="s">
        <v>30</v>
      </c>
      <c r="B5434">
        <v>2018</v>
      </c>
      <c r="C5434" t="s">
        <v>41</v>
      </c>
      <c r="D5434" t="s">
        <v>8</v>
      </c>
      <c r="E5434" t="e">
        <f>VLOOKUP(Cpi_[[#This Row],[Attribute]],#REF!,2,FALSE)</f>
        <v>#REF!</v>
      </c>
      <c r="F5434">
        <v>154.4</v>
      </c>
      <c r="G5434">
        <f>(Cpi_[[#This Row],[Value]]-F5433)/F5433</f>
        <v>0.23520000000000005</v>
      </c>
      <c r="H5434" t="e" cm="1" vm="1">
        <f t="array" aca="1" ref="H5434" ca="1">VLOOKUP(Cpi_[[#This Row],[Year]:[Month]],crudeoil[],3,FALSE)</f>
        <v>#VALUE!</v>
      </c>
    </row>
    <row r="5435" spans="1:8" hidden="1" x14ac:dyDescent="0.3">
      <c r="A5435" t="s">
        <v>30</v>
      </c>
      <c r="B5435">
        <v>2018</v>
      </c>
      <c r="C5435" t="s">
        <v>41</v>
      </c>
      <c r="D5435" t="s">
        <v>9</v>
      </c>
      <c r="E5435" t="e">
        <f>VLOOKUP(Cpi_[[#This Row],[Attribute]],#REF!,2,FALSE)</f>
        <v>#REF!</v>
      </c>
      <c r="F5435">
        <v>156.30000000000001</v>
      </c>
      <c r="G5435">
        <f>(Cpi_[[#This Row],[Value]]-F5434)/F5434</f>
        <v>1.2305699481865322E-2</v>
      </c>
      <c r="H5435" t="e" cm="1" vm="1">
        <f t="array" aca="1" ref="H5435" ca="1">VLOOKUP(Cpi_[[#This Row],[Year]:[Month]],crudeoil[],3,FALSE)</f>
        <v>#VALUE!</v>
      </c>
    </row>
    <row r="5436" spans="1:8" hidden="1" x14ac:dyDescent="0.3">
      <c r="A5436" t="s">
        <v>30</v>
      </c>
      <c r="B5436">
        <v>2018</v>
      </c>
      <c r="C5436" t="s">
        <v>41</v>
      </c>
      <c r="D5436" t="s">
        <v>10</v>
      </c>
      <c r="E5436" t="e">
        <f>VLOOKUP(Cpi_[[#This Row],[Attribute]],#REF!,2,FALSE)</f>
        <v>#REF!</v>
      </c>
      <c r="F5436">
        <v>126.8</v>
      </c>
      <c r="G5436">
        <f>(Cpi_[[#This Row],[Value]]-F5435)/F5435</f>
        <v>-0.18873960332693546</v>
      </c>
      <c r="H5436" t="e" cm="1" vm="1">
        <f t="array" aca="1" ref="H5436" ca="1">VLOOKUP(Cpi_[[#This Row],[Year]:[Month]],crudeoil[],3,FALSE)</f>
        <v>#VALUE!</v>
      </c>
    </row>
    <row r="5437" spans="1:8" hidden="1" x14ac:dyDescent="0.3">
      <c r="A5437" t="s">
        <v>30</v>
      </c>
      <c r="B5437">
        <v>2018</v>
      </c>
      <c r="C5437" t="s">
        <v>41</v>
      </c>
      <c r="D5437" t="s">
        <v>11</v>
      </c>
      <c r="E5437" t="e">
        <f>VLOOKUP(Cpi_[[#This Row],[Attribute]],#REF!,2,FALSE)</f>
        <v>#REF!</v>
      </c>
      <c r="F5437">
        <v>115.4</v>
      </c>
      <c r="G5437">
        <f>(Cpi_[[#This Row],[Value]]-F5436)/F5436</f>
        <v>-8.9905362776025177E-2</v>
      </c>
      <c r="H5437" t="e" cm="1" vm="1">
        <f t="array" aca="1" ref="H5437" ca="1">VLOOKUP(Cpi_[[#This Row],[Year]:[Month]],crudeoil[],3,FALSE)</f>
        <v>#VALUE!</v>
      </c>
    </row>
    <row r="5438" spans="1:8" hidden="1" x14ac:dyDescent="0.3">
      <c r="A5438" t="s">
        <v>30</v>
      </c>
      <c r="B5438">
        <v>2018</v>
      </c>
      <c r="C5438" t="s">
        <v>41</v>
      </c>
      <c r="D5438" t="s">
        <v>12</v>
      </c>
      <c r="E5438" t="e">
        <f>VLOOKUP(Cpi_[[#This Row],[Attribute]],#REF!,2,FALSE)</f>
        <v>#REF!</v>
      </c>
      <c r="F5438">
        <v>138.6</v>
      </c>
      <c r="G5438">
        <f>(Cpi_[[#This Row],[Value]]-F5437)/F5437</f>
        <v>0.20103986135181964</v>
      </c>
      <c r="H5438" t="e" cm="1" vm="1">
        <f t="array" aca="1" ref="H5438" ca="1">VLOOKUP(Cpi_[[#This Row],[Year]:[Month]],crudeoil[],3,FALSE)</f>
        <v>#VALUE!</v>
      </c>
    </row>
    <row r="5439" spans="1:8" hidden="1" x14ac:dyDescent="0.3">
      <c r="A5439" t="s">
        <v>30</v>
      </c>
      <c r="B5439">
        <v>2018</v>
      </c>
      <c r="C5439" t="s">
        <v>41</v>
      </c>
      <c r="D5439" t="s">
        <v>13</v>
      </c>
      <c r="E5439" t="e">
        <f>VLOOKUP(Cpi_[[#This Row],[Attribute]],#REF!,2,FALSE)</f>
        <v>#REF!</v>
      </c>
      <c r="F5439">
        <v>133.80000000000001</v>
      </c>
      <c r="G5439">
        <f>(Cpi_[[#This Row],[Value]]-F5438)/F5438</f>
        <v>-3.4632034632034507E-2</v>
      </c>
      <c r="H5439" t="e" cm="1" vm="1">
        <f t="array" aca="1" ref="H5439" ca="1">VLOOKUP(Cpi_[[#This Row],[Year]:[Month]],crudeoil[],3,FALSE)</f>
        <v>#VALUE!</v>
      </c>
    </row>
    <row r="5440" spans="1:8" hidden="1" x14ac:dyDescent="0.3">
      <c r="A5440" t="s">
        <v>30</v>
      </c>
      <c r="B5440">
        <v>2018</v>
      </c>
      <c r="C5440" t="s">
        <v>41</v>
      </c>
      <c r="D5440" t="s">
        <v>14</v>
      </c>
      <c r="E5440" t="e">
        <f>VLOOKUP(Cpi_[[#This Row],[Attribute]],#REF!,2,FALSE)</f>
        <v>#REF!</v>
      </c>
      <c r="F5440">
        <v>155.19999999999999</v>
      </c>
      <c r="G5440">
        <f>(Cpi_[[#This Row],[Value]]-F5439)/F5439</f>
        <v>0.15994020926756333</v>
      </c>
      <c r="H5440" t="e" cm="1" vm="1">
        <f t="array" aca="1" ref="H5440" ca="1">VLOOKUP(Cpi_[[#This Row],[Year]:[Month]],crudeoil[],3,FALSE)</f>
        <v>#VALUE!</v>
      </c>
    </row>
    <row r="5441" spans="1:8" hidden="1" x14ac:dyDescent="0.3">
      <c r="A5441" t="s">
        <v>30</v>
      </c>
      <c r="B5441">
        <v>2018</v>
      </c>
      <c r="C5441" t="s">
        <v>41</v>
      </c>
      <c r="D5441" t="s">
        <v>15</v>
      </c>
      <c r="E5441" t="e">
        <f>VLOOKUP(Cpi_[[#This Row],[Attribute]],#REF!,2,FALSE)</f>
        <v>#REF!</v>
      </c>
      <c r="F5441">
        <v>142.69999999999999</v>
      </c>
      <c r="G5441">
        <f>(Cpi_[[#This Row],[Value]]-F5440)/F5440</f>
        <v>-8.0541237113402067E-2</v>
      </c>
      <c r="H5441" t="e" cm="1" vm="1">
        <f t="array" aca="1" ref="H5441" ca="1">VLOOKUP(Cpi_[[#This Row],[Year]:[Month]],crudeoil[],3,FALSE)</f>
        <v>#VALUE!</v>
      </c>
    </row>
    <row r="5442" spans="1:8" hidden="1" x14ac:dyDescent="0.3">
      <c r="A5442" t="s">
        <v>30</v>
      </c>
      <c r="B5442">
        <v>2018</v>
      </c>
      <c r="C5442" t="s">
        <v>41</v>
      </c>
      <c r="D5442" t="s">
        <v>16</v>
      </c>
      <c r="E5442" t="e">
        <f>VLOOKUP(Cpi_[[#This Row],[Attribute]],#REF!,2,FALSE)</f>
        <v>#REF!</v>
      </c>
      <c r="F5442">
        <v>156.4</v>
      </c>
      <c r="G5442">
        <f>(Cpi_[[#This Row],[Value]]-F5441)/F5441</f>
        <v>9.6005606166783594E-2</v>
      </c>
      <c r="H5442" t="e" cm="1" vm="1">
        <f t="array" aca="1" ref="H5442" ca="1">VLOOKUP(Cpi_[[#This Row],[Year]:[Month]],crudeoil[],3,FALSE)</f>
        <v>#VALUE!</v>
      </c>
    </row>
    <row r="5443" spans="1:8" hidden="1" x14ac:dyDescent="0.3">
      <c r="A5443" t="s">
        <v>30</v>
      </c>
      <c r="B5443">
        <v>2018</v>
      </c>
      <c r="C5443" t="s">
        <v>41</v>
      </c>
      <c r="D5443" t="s">
        <v>17</v>
      </c>
      <c r="E5443" t="e">
        <f>VLOOKUP(Cpi_[[#This Row],[Attribute]],#REF!,2,FALSE)</f>
        <v>#REF!</v>
      </c>
      <c r="F5443">
        <v>152.1</v>
      </c>
      <c r="G5443">
        <f>(Cpi_[[#This Row],[Value]]-F5442)/F5442</f>
        <v>-2.7493606138107488E-2</v>
      </c>
      <c r="H5443" t="e" cm="1" vm="1">
        <f t="array" aca="1" ref="H5443" ca="1">VLOOKUP(Cpi_[[#This Row],[Year]:[Month]],crudeoil[],3,FALSE)</f>
        <v>#VALUE!</v>
      </c>
    </row>
    <row r="5444" spans="1:8" hidden="1" x14ac:dyDescent="0.3">
      <c r="A5444" t="s">
        <v>30</v>
      </c>
      <c r="B5444">
        <v>2018</v>
      </c>
      <c r="C5444" t="s">
        <v>41</v>
      </c>
      <c r="D5444" t="s">
        <v>18</v>
      </c>
      <c r="E5444" t="e">
        <f>VLOOKUP(Cpi_[[#This Row],[Attribute]],#REF!,2,FALSE)</f>
        <v>#REF!</v>
      </c>
      <c r="F5444">
        <v>145.80000000000001</v>
      </c>
      <c r="G5444">
        <f>(Cpi_[[#This Row],[Value]]-F5443)/F5443</f>
        <v>-4.1420118343195159E-2</v>
      </c>
      <c r="H5444" t="e" cm="1" vm="1">
        <f t="array" aca="1" ref="H5444" ca="1">VLOOKUP(Cpi_[[#This Row],[Year]:[Month]],crudeoil[],3,FALSE)</f>
        <v>#VALUE!</v>
      </c>
    </row>
    <row r="5445" spans="1:8" hidden="1" x14ac:dyDescent="0.3">
      <c r="A5445" t="s">
        <v>30</v>
      </c>
      <c r="B5445">
        <v>2018</v>
      </c>
      <c r="C5445" t="s">
        <v>41</v>
      </c>
      <c r="D5445" t="s">
        <v>19</v>
      </c>
      <c r="E5445" t="e">
        <f>VLOOKUP(Cpi_[[#This Row],[Attribute]],#REF!,2,FALSE)</f>
        <v>#REF!</v>
      </c>
      <c r="F5445">
        <v>151.30000000000001</v>
      </c>
      <c r="G5445">
        <f>(Cpi_[[#This Row],[Value]]-F5444)/F5444</f>
        <v>3.7722908093278461E-2</v>
      </c>
      <c r="H5445" t="e" cm="1" vm="1">
        <f t="array" aca="1" ref="H5445" ca="1">VLOOKUP(Cpi_[[#This Row],[Year]:[Month]],crudeoil[],3,FALSE)</f>
        <v>#VALUE!</v>
      </c>
    </row>
    <row r="5446" spans="1:8" hidden="1" x14ac:dyDescent="0.3">
      <c r="A5446" t="s">
        <v>30</v>
      </c>
      <c r="B5446">
        <v>2018</v>
      </c>
      <c r="C5446" t="s">
        <v>41</v>
      </c>
      <c r="D5446" t="s">
        <v>20</v>
      </c>
      <c r="E5446" t="e">
        <f>VLOOKUP(Cpi_[[#This Row],[Attribute]],#REF!,2,FALSE)</f>
        <v>#REF!</v>
      </c>
      <c r="F5446" t="s">
        <v>32</v>
      </c>
      <c r="G5446" t="e">
        <f>(Cpi_[[#This Row],[Value]]-F5445)/F5445</f>
        <v>#VALUE!</v>
      </c>
      <c r="H5446" t="e" cm="1" vm="1">
        <f t="array" aca="1" ref="H5446" ca="1">VLOOKUP(Cpi_[[#This Row],[Year]:[Month]],crudeoil[],3,FALSE)</f>
        <v>#VALUE!</v>
      </c>
    </row>
    <row r="5447" spans="1:8" hidden="1" x14ac:dyDescent="0.3">
      <c r="A5447" t="s">
        <v>30</v>
      </c>
      <c r="B5447">
        <v>2018</v>
      </c>
      <c r="C5447" t="s">
        <v>41</v>
      </c>
      <c r="D5447" t="s">
        <v>21</v>
      </c>
      <c r="E5447" t="e">
        <f>VLOOKUP(Cpi_[[#This Row],[Attribute]],#REF!,2,FALSE)</f>
        <v>#REF!</v>
      </c>
      <c r="F5447">
        <v>147.69999999999999</v>
      </c>
      <c r="G5447" t="e">
        <f>(Cpi_[[#This Row],[Value]]-F5446)/F5446</f>
        <v>#VALUE!</v>
      </c>
      <c r="H5447" t="e" cm="1" vm="1">
        <f t="array" aca="1" ref="H5447" ca="1">VLOOKUP(Cpi_[[#This Row],[Year]:[Month]],crudeoil[],3,FALSE)</f>
        <v>#VALUE!</v>
      </c>
    </row>
    <row r="5448" spans="1:8" hidden="1" x14ac:dyDescent="0.3">
      <c r="A5448" t="s">
        <v>30</v>
      </c>
      <c r="B5448">
        <v>2018</v>
      </c>
      <c r="C5448" t="s">
        <v>41</v>
      </c>
      <c r="D5448" t="s">
        <v>22</v>
      </c>
      <c r="E5448" t="e">
        <f>VLOOKUP(Cpi_[[#This Row],[Attribute]],#REF!,2,FALSE)</f>
        <v>#REF!</v>
      </c>
      <c r="F5448">
        <v>143.80000000000001</v>
      </c>
      <c r="G5448">
        <f>(Cpi_[[#This Row],[Value]]-F5447)/F5447</f>
        <v>-2.640487474610682E-2</v>
      </c>
      <c r="H5448" t="e" cm="1" vm="1">
        <f t="array" aca="1" ref="H5448" ca="1">VLOOKUP(Cpi_[[#This Row],[Year]:[Month]],crudeoil[],3,FALSE)</f>
        <v>#VALUE!</v>
      </c>
    </row>
    <row r="5449" spans="1:8" hidden="1" x14ac:dyDescent="0.3">
      <c r="A5449" t="s">
        <v>30</v>
      </c>
      <c r="B5449">
        <v>2018</v>
      </c>
      <c r="C5449" t="s">
        <v>41</v>
      </c>
      <c r="D5449" t="s">
        <v>23</v>
      </c>
      <c r="E5449" t="e">
        <f>VLOOKUP(Cpi_[[#This Row],[Attribute]],#REF!,2,FALSE)</f>
        <v>#REF!</v>
      </c>
      <c r="F5449">
        <v>139.4</v>
      </c>
      <c r="G5449">
        <f>(Cpi_[[#This Row],[Value]]-F5448)/F5448</f>
        <v>-3.0598052851182233E-2</v>
      </c>
      <c r="H5449" t="e" cm="1" vm="1">
        <f t="array" aca="1" ref="H5449" ca="1">VLOOKUP(Cpi_[[#This Row],[Year]:[Month]],crudeoil[],3,FALSE)</f>
        <v>#VALUE!</v>
      </c>
    </row>
    <row r="5450" spans="1:8" hidden="1" x14ac:dyDescent="0.3">
      <c r="A5450" t="s">
        <v>30</v>
      </c>
      <c r="B5450">
        <v>2018</v>
      </c>
      <c r="C5450" t="s">
        <v>41</v>
      </c>
      <c r="D5450" t="s">
        <v>24</v>
      </c>
      <c r="E5450" t="e">
        <f>VLOOKUP(Cpi_[[#This Row],[Attribute]],#REF!,2,FALSE)</f>
        <v>#REF!</v>
      </c>
      <c r="F5450">
        <v>128.30000000000001</v>
      </c>
      <c r="G5450">
        <f>(Cpi_[[#This Row],[Value]]-F5449)/F5449</f>
        <v>-7.9626972740315591E-2</v>
      </c>
      <c r="H5450" t="e" cm="1" vm="1">
        <f t="array" aca="1" ref="H5450" ca="1">VLOOKUP(Cpi_[[#This Row],[Year]:[Month]],crudeoil[],3,FALSE)</f>
        <v>#VALUE!</v>
      </c>
    </row>
    <row r="5451" spans="1:8" hidden="1" x14ac:dyDescent="0.3">
      <c r="A5451" t="s">
        <v>30</v>
      </c>
      <c r="B5451">
        <v>2018</v>
      </c>
      <c r="C5451" t="s">
        <v>41</v>
      </c>
      <c r="D5451" t="s">
        <v>25</v>
      </c>
      <c r="E5451" t="e">
        <f>VLOOKUP(Cpi_[[#This Row],[Attribute]],#REF!,2,FALSE)</f>
        <v>#REF!</v>
      </c>
      <c r="F5451">
        <v>138.6</v>
      </c>
      <c r="G5451">
        <f>(Cpi_[[#This Row],[Value]]-F5450)/F5450</f>
        <v>8.0280592361652234E-2</v>
      </c>
      <c r="H5451" t="e" cm="1" vm="1">
        <f t="array" aca="1" ref="H5451" ca="1">VLOOKUP(Cpi_[[#This Row],[Year]:[Month]],crudeoil[],3,FALSE)</f>
        <v>#VALUE!</v>
      </c>
    </row>
    <row r="5452" spans="1:8" hidden="1" x14ac:dyDescent="0.3">
      <c r="A5452" t="s">
        <v>30</v>
      </c>
      <c r="B5452">
        <v>2018</v>
      </c>
      <c r="C5452" t="s">
        <v>41</v>
      </c>
      <c r="D5452" t="s">
        <v>26</v>
      </c>
      <c r="E5452" t="e">
        <f>VLOOKUP(Cpi_[[#This Row],[Attribute]],#REF!,2,FALSE)</f>
        <v>#REF!</v>
      </c>
      <c r="F5452">
        <v>146.9</v>
      </c>
      <c r="G5452">
        <f>(Cpi_[[#This Row],[Value]]-F5451)/F5451</f>
        <v>5.9884559884559971E-2</v>
      </c>
      <c r="H5452" t="e" cm="1" vm="1">
        <f t="array" aca="1" ref="H5452" ca="1">VLOOKUP(Cpi_[[#This Row],[Year]:[Month]],crudeoil[],3,FALSE)</f>
        <v>#VALUE!</v>
      </c>
    </row>
    <row r="5453" spans="1:8" hidden="1" x14ac:dyDescent="0.3">
      <c r="A5453" t="s">
        <v>30</v>
      </c>
      <c r="B5453">
        <v>2018</v>
      </c>
      <c r="C5453" t="s">
        <v>41</v>
      </c>
      <c r="D5453" t="s">
        <v>27</v>
      </c>
      <c r="E5453" t="e">
        <f>VLOOKUP(Cpi_[[#This Row],[Attribute]],#REF!,2,FALSE)</f>
        <v>#REF!</v>
      </c>
      <c r="F5453">
        <v>131.30000000000001</v>
      </c>
      <c r="G5453">
        <f>(Cpi_[[#This Row],[Value]]-F5452)/F5452</f>
        <v>-0.10619469026548668</v>
      </c>
      <c r="H5453" t="e" cm="1" vm="1">
        <f t="array" aca="1" ref="H5453" ca="1">VLOOKUP(Cpi_[[#This Row],[Year]:[Month]],crudeoil[],3,FALSE)</f>
        <v>#VALUE!</v>
      </c>
    </row>
    <row r="5454" spans="1:8" hidden="1" x14ac:dyDescent="0.3">
      <c r="A5454" t="s">
        <v>30</v>
      </c>
      <c r="B5454">
        <v>2018</v>
      </c>
      <c r="C5454" t="s">
        <v>41</v>
      </c>
      <c r="D5454" t="s">
        <v>28</v>
      </c>
      <c r="E5454" t="e">
        <f>VLOOKUP(Cpi_[[#This Row],[Attribute]],#REF!,2,FALSE)</f>
        <v>#REF!</v>
      </c>
      <c r="F5454">
        <v>136.6</v>
      </c>
      <c r="G5454">
        <f>(Cpi_[[#This Row],[Value]]-F5453)/F5453</f>
        <v>4.0365575019040235E-2</v>
      </c>
      <c r="H5454" t="e" cm="1" vm="1">
        <f t="array" aca="1" ref="H5454" ca="1">VLOOKUP(Cpi_[[#This Row],[Year]:[Month]],crudeoil[],3,FALSE)</f>
        <v>#VALUE!</v>
      </c>
    </row>
    <row r="5455" spans="1:8" hidden="1" x14ac:dyDescent="0.3">
      <c r="A5455" t="s">
        <v>30</v>
      </c>
      <c r="B5455">
        <v>2018</v>
      </c>
      <c r="C5455" t="s">
        <v>41</v>
      </c>
      <c r="D5455" t="s">
        <v>29</v>
      </c>
      <c r="E5455" t="e" cm="1">
        <f t="array" aca="1" ref="E5455" ca="1">VLGeneral indexGeneral indexKUP(Cpi_[[#This Row],[Attribute]],#REF!,2,FALSE)</f>
        <v>#NAME?</v>
      </c>
      <c r="F5455">
        <v>142.5</v>
      </c>
      <c r="G5455">
        <f>(Cpi_[[#This Row],[Value]]-F5454)/F5454</f>
        <v>4.3191800878477349E-2</v>
      </c>
      <c r="H5455" t="e" cm="1" vm="1">
        <f t="array" aca="1" ref="H5455" ca="1">VLOOKUP(Cpi_[[#This Row],[Year]:[Month]],crudeoil[],3,FALSE)</f>
        <v>#VALUE!</v>
      </c>
    </row>
    <row r="5456" spans="1:8" hidden="1" x14ac:dyDescent="0.3">
      <c r="A5456" t="s">
        <v>33</v>
      </c>
      <c r="B5456">
        <v>2018</v>
      </c>
      <c r="C5456" t="s">
        <v>41</v>
      </c>
      <c r="D5456" t="s">
        <v>3</v>
      </c>
      <c r="E5456" t="e">
        <f>VLOOKUP(Cpi_[[#This Row],[Attribute]],#REF!,2,FALSE)</f>
        <v>#REF!</v>
      </c>
      <c r="F5456">
        <v>136.5</v>
      </c>
      <c r="G5456">
        <f>(Cpi_[[#This Row],[Value]]-F5455)/F5455</f>
        <v>-4.2105263157894736E-2</v>
      </c>
      <c r="H5456" t="e" cm="1" vm="1">
        <f t="array" aca="1" ref="H5456" ca="1">VLOOKUP(Cpi_[[#This Row],[Year]:[Month]],crudeoil[],3,FALSE)</f>
        <v>#VALUE!</v>
      </c>
    </row>
    <row r="5457" spans="1:8" hidden="1" x14ac:dyDescent="0.3">
      <c r="A5457" t="s">
        <v>33</v>
      </c>
      <c r="B5457">
        <v>2018</v>
      </c>
      <c r="C5457" t="s">
        <v>41</v>
      </c>
      <c r="D5457" t="s">
        <v>4</v>
      </c>
      <c r="E5457" t="e">
        <f>VLOOKUP(Cpi_[[#This Row],[Attribute]],#REF!,2,FALSE)</f>
        <v>#REF!</v>
      </c>
      <c r="F5457">
        <v>146.4</v>
      </c>
      <c r="G5457">
        <f>(Cpi_[[#This Row],[Value]]-F5456)/F5456</f>
        <v>7.2527472527472575E-2</v>
      </c>
      <c r="H5457" t="e" cm="1" vm="1">
        <f t="array" aca="1" ref="H5457" ca="1">VLOOKUP(Cpi_[[#This Row],[Year]:[Month]],crudeoil[],3,FALSE)</f>
        <v>#VALUE!</v>
      </c>
    </row>
    <row r="5458" spans="1:8" hidden="1" x14ac:dyDescent="0.3">
      <c r="A5458" t="s">
        <v>33</v>
      </c>
      <c r="B5458">
        <v>2018</v>
      </c>
      <c r="C5458" t="s">
        <v>41</v>
      </c>
      <c r="D5458" t="s">
        <v>5</v>
      </c>
      <c r="E5458" t="e">
        <f>VLOOKUP(Cpi_[[#This Row],[Attribute]],#REF!,2,FALSE)</f>
        <v>#REF!</v>
      </c>
      <c r="F5458">
        <v>136.6</v>
      </c>
      <c r="G5458">
        <f>(Cpi_[[#This Row],[Value]]-F5457)/F5457</f>
        <v>-6.6939890710382588E-2</v>
      </c>
      <c r="H5458" t="e" cm="1" vm="1">
        <f t="array" aca="1" ref="H5458" ca="1">VLOOKUP(Cpi_[[#This Row],[Year]:[Month]],crudeoil[],3,FALSE)</f>
        <v>#VALUE!</v>
      </c>
    </row>
    <row r="5459" spans="1:8" hidden="1" x14ac:dyDescent="0.3">
      <c r="A5459" t="s">
        <v>33</v>
      </c>
      <c r="B5459">
        <v>2018</v>
      </c>
      <c r="C5459" t="s">
        <v>41</v>
      </c>
      <c r="D5459" t="s">
        <v>6</v>
      </c>
      <c r="E5459" t="e">
        <f>VLOOKUP(Cpi_[[#This Row],[Attribute]],#REF!,2,FALSE)</f>
        <v>#REF!</v>
      </c>
      <c r="F5459">
        <v>141.19999999999999</v>
      </c>
      <c r="G5459">
        <f>(Cpi_[[#This Row],[Value]]-F5458)/F5458</f>
        <v>3.3674963396778876E-2</v>
      </c>
      <c r="H5459" t="e" cm="1" vm="1">
        <f t="array" aca="1" ref="H5459" ca="1">VLOOKUP(Cpi_[[#This Row],[Year]:[Month]],crudeoil[],3,FALSE)</f>
        <v>#VALUE!</v>
      </c>
    </row>
    <row r="5460" spans="1:8" hidden="1" x14ac:dyDescent="0.3">
      <c r="A5460" t="s">
        <v>33</v>
      </c>
      <c r="B5460">
        <v>2018</v>
      </c>
      <c r="C5460" t="s">
        <v>41</v>
      </c>
      <c r="D5460" t="s">
        <v>7</v>
      </c>
      <c r="E5460" t="e">
        <f>VLOOKUP(Cpi_[[#This Row],[Attribute]],#REF!,2,FALSE)</f>
        <v>#REF!</v>
      </c>
      <c r="F5460">
        <v>117.4</v>
      </c>
      <c r="G5460">
        <f>(Cpi_[[#This Row],[Value]]-F5459)/F5459</f>
        <v>-0.16855524079320103</v>
      </c>
      <c r="H5460" t="e" cm="1" vm="1">
        <f t="array" aca="1" ref="H5460" ca="1">VLOOKUP(Cpi_[[#This Row],[Year]:[Month]],crudeoil[],3,FALSE)</f>
        <v>#VALUE!</v>
      </c>
    </row>
    <row r="5461" spans="1:8" hidden="1" x14ac:dyDescent="0.3">
      <c r="A5461" t="s">
        <v>33</v>
      </c>
      <c r="B5461">
        <v>2018</v>
      </c>
      <c r="C5461" t="s">
        <v>41</v>
      </c>
      <c r="D5461" t="s">
        <v>8</v>
      </c>
      <c r="E5461" t="e">
        <f>VLOOKUP(Cpi_[[#This Row],[Attribute]],#REF!,2,FALSE)</f>
        <v>#REF!</v>
      </c>
      <c r="F5461">
        <v>146.30000000000001</v>
      </c>
      <c r="G5461">
        <f>(Cpi_[[#This Row],[Value]]-F5460)/F5460</f>
        <v>0.24616695059625215</v>
      </c>
      <c r="H5461" t="e" cm="1" vm="1">
        <f t="array" aca="1" ref="H5461" ca="1">VLOOKUP(Cpi_[[#This Row],[Year]:[Month]],crudeoil[],3,FALSE)</f>
        <v>#VALUE!</v>
      </c>
    </row>
    <row r="5462" spans="1:8" hidden="1" x14ac:dyDescent="0.3">
      <c r="A5462" t="s">
        <v>33</v>
      </c>
      <c r="B5462">
        <v>2018</v>
      </c>
      <c r="C5462" t="s">
        <v>41</v>
      </c>
      <c r="D5462" t="s">
        <v>9</v>
      </c>
      <c r="E5462" t="e">
        <f>VLOOKUP(Cpi_[[#This Row],[Attribute]],#REF!,2,FALSE)</f>
        <v>#REF!</v>
      </c>
      <c r="F5462">
        <v>157.30000000000001</v>
      </c>
      <c r="G5462">
        <f>(Cpi_[[#This Row],[Value]]-F5461)/F5461</f>
        <v>7.5187969924812026E-2</v>
      </c>
      <c r="H5462" t="e" cm="1" vm="1">
        <f t="array" aca="1" ref="H5462" ca="1">VLOOKUP(Cpi_[[#This Row],[Year]:[Month]],crudeoil[],3,FALSE)</f>
        <v>#VALUE!</v>
      </c>
    </row>
    <row r="5463" spans="1:8" hidden="1" x14ac:dyDescent="0.3">
      <c r="A5463" t="s">
        <v>33</v>
      </c>
      <c r="B5463">
        <v>2018</v>
      </c>
      <c r="C5463" t="s">
        <v>41</v>
      </c>
      <c r="D5463" t="s">
        <v>10</v>
      </c>
      <c r="E5463" t="e">
        <f>VLOOKUP(Cpi_[[#This Row],[Attribute]],#REF!,2,FALSE)</f>
        <v>#REF!</v>
      </c>
      <c r="F5463">
        <v>113.6</v>
      </c>
      <c r="G5463">
        <f>(Cpi_[[#This Row],[Value]]-F5462)/F5462</f>
        <v>-0.27781309599491427</v>
      </c>
      <c r="H5463" t="e" cm="1" vm="1">
        <f t="array" aca="1" ref="H5463" ca="1">VLOOKUP(Cpi_[[#This Row],[Year]:[Month]],crudeoil[],3,FALSE)</f>
        <v>#VALUE!</v>
      </c>
    </row>
    <row r="5464" spans="1:8" hidden="1" x14ac:dyDescent="0.3">
      <c r="A5464" t="s">
        <v>33</v>
      </c>
      <c r="B5464">
        <v>2018</v>
      </c>
      <c r="C5464" t="s">
        <v>41</v>
      </c>
      <c r="D5464" t="s">
        <v>11</v>
      </c>
      <c r="E5464" t="e">
        <f>VLOOKUP(Cpi_[[#This Row],[Attribute]],#REF!,2,FALSE)</f>
        <v>#REF!</v>
      </c>
      <c r="F5464">
        <v>113.3</v>
      </c>
      <c r="G5464">
        <f>(Cpi_[[#This Row],[Value]]-F5463)/F5463</f>
        <v>-2.6408450704225104E-3</v>
      </c>
      <c r="H5464" t="e" cm="1" vm="1">
        <f t="array" aca="1" ref="H5464" ca="1">VLOOKUP(Cpi_[[#This Row],[Year]:[Month]],crudeoil[],3,FALSE)</f>
        <v>#VALUE!</v>
      </c>
    </row>
    <row r="5465" spans="1:8" hidden="1" x14ac:dyDescent="0.3">
      <c r="A5465" t="s">
        <v>33</v>
      </c>
      <c r="B5465">
        <v>2018</v>
      </c>
      <c r="C5465" t="s">
        <v>41</v>
      </c>
      <c r="D5465" t="s">
        <v>12</v>
      </c>
      <c r="E5465" t="e">
        <f>VLOOKUP(Cpi_[[#This Row],[Attribute]],#REF!,2,FALSE)</f>
        <v>#REF!</v>
      </c>
      <c r="F5465">
        <v>141.1</v>
      </c>
      <c r="G5465">
        <f>(Cpi_[[#This Row],[Value]]-F5464)/F5464</f>
        <v>0.24536628420123563</v>
      </c>
      <c r="H5465" t="e" cm="1" vm="1">
        <f t="array" aca="1" ref="H5465" ca="1">VLOOKUP(Cpi_[[#This Row],[Year]:[Month]],crudeoil[],3,FALSE)</f>
        <v>#VALUE!</v>
      </c>
    </row>
    <row r="5466" spans="1:8" hidden="1" x14ac:dyDescent="0.3">
      <c r="A5466" t="s">
        <v>33</v>
      </c>
      <c r="B5466">
        <v>2018</v>
      </c>
      <c r="C5466" t="s">
        <v>41</v>
      </c>
      <c r="D5466" t="s">
        <v>13</v>
      </c>
      <c r="E5466" t="e">
        <f>VLOOKUP(Cpi_[[#This Row],[Attribute]],#REF!,2,FALSE)</f>
        <v>#REF!</v>
      </c>
      <c r="F5466">
        <v>127.4</v>
      </c>
      <c r="G5466">
        <f>(Cpi_[[#This Row],[Value]]-F5465)/F5465</f>
        <v>-9.7094259390503118E-2</v>
      </c>
      <c r="H5466" t="e" cm="1" vm="1">
        <f t="array" aca="1" ref="H5466" ca="1">VLOOKUP(Cpi_[[#This Row],[Year]:[Month]],crudeoil[],3,FALSE)</f>
        <v>#VALUE!</v>
      </c>
    </row>
    <row r="5467" spans="1:8" hidden="1" x14ac:dyDescent="0.3">
      <c r="A5467" t="s">
        <v>33</v>
      </c>
      <c r="B5467">
        <v>2018</v>
      </c>
      <c r="C5467" t="s">
        <v>41</v>
      </c>
      <c r="D5467" t="s">
        <v>14</v>
      </c>
      <c r="E5467" t="e">
        <f>VLOOKUP(Cpi_[[#This Row],[Attribute]],#REF!,2,FALSE)</f>
        <v>#REF!</v>
      </c>
      <c r="F5467">
        <v>150.4</v>
      </c>
      <c r="G5467">
        <f>(Cpi_[[#This Row],[Value]]-F5466)/F5466</f>
        <v>0.18053375196232338</v>
      </c>
      <c r="H5467" t="e" cm="1" vm="1">
        <f t="array" aca="1" ref="H5467" ca="1">VLOOKUP(Cpi_[[#This Row],[Year]:[Month]],crudeoil[],3,FALSE)</f>
        <v>#VALUE!</v>
      </c>
    </row>
    <row r="5468" spans="1:8" hidden="1" x14ac:dyDescent="0.3">
      <c r="A5468" t="s">
        <v>33</v>
      </c>
      <c r="B5468">
        <v>2018</v>
      </c>
      <c r="C5468" t="s">
        <v>41</v>
      </c>
      <c r="D5468" t="s">
        <v>15</v>
      </c>
      <c r="E5468" t="e">
        <f>VLOOKUP(Cpi_[[#This Row],[Attribute]],#REF!,2,FALSE)</f>
        <v>#REF!</v>
      </c>
      <c r="F5468">
        <v>140.1</v>
      </c>
      <c r="G5468">
        <f>(Cpi_[[#This Row],[Value]]-F5467)/F5467</f>
        <v>-6.8484042553191557E-2</v>
      </c>
      <c r="H5468" t="e" cm="1" vm="1">
        <f t="array" aca="1" ref="H5468" ca="1">VLOOKUP(Cpi_[[#This Row],[Year]:[Month]],crudeoil[],3,FALSE)</f>
        <v>#VALUE!</v>
      </c>
    </row>
    <row r="5469" spans="1:8" hidden="1" x14ac:dyDescent="0.3">
      <c r="A5469" t="s">
        <v>33</v>
      </c>
      <c r="B5469">
        <v>2018</v>
      </c>
      <c r="C5469" t="s">
        <v>41</v>
      </c>
      <c r="D5469" t="s">
        <v>16</v>
      </c>
      <c r="E5469" t="e">
        <f>VLOOKUP(Cpi_[[#This Row],[Attribute]],#REF!,2,FALSE)</f>
        <v>#REF!</v>
      </c>
      <c r="F5469">
        <v>162.1</v>
      </c>
      <c r="G5469">
        <f>(Cpi_[[#This Row],[Value]]-F5468)/F5468</f>
        <v>0.15703069236259815</v>
      </c>
      <c r="H5469" t="e" cm="1" vm="1">
        <f t="array" aca="1" ref="H5469" ca="1">VLOOKUP(Cpi_[[#This Row],[Year]:[Month]],crudeoil[],3,FALSE)</f>
        <v>#VALUE!</v>
      </c>
    </row>
    <row r="5470" spans="1:8" hidden="1" x14ac:dyDescent="0.3">
      <c r="A5470" t="s">
        <v>33</v>
      </c>
      <c r="B5470">
        <v>2018</v>
      </c>
      <c r="C5470" t="s">
        <v>41</v>
      </c>
      <c r="D5470" t="s">
        <v>17</v>
      </c>
      <c r="E5470" t="e">
        <f>VLOOKUP(Cpi_[[#This Row],[Attribute]],#REF!,2,FALSE)</f>
        <v>#REF!</v>
      </c>
      <c r="F5470">
        <v>140</v>
      </c>
      <c r="G5470">
        <f>(Cpi_[[#This Row],[Value]]-F5469)/F5469</f>
        <v>-0.13633559531153605</v>
      </c>
      <c r="H5470" t="e" cm="1" vm="1">
        <f t="array" aca="1" ref="H5470" ca="1">VLOOKUP(Cpi_[[#This Row],[Year]:[Month]],crudeoil[],3,FALSE)</f>
        <v>#VALUE!</v>
      </c>
    </row>
    <row r="5471" spans="1:8" hidden="1" x14ac:dyDescent="0.3">
      <c r="A5471" t="s">
        <v>33</v>
      </c>
      <c r="B5471">
        <v>2018</v>
      </c>
      <c r="C5471" t="s">
        <v>41</v>
      </c>
      <c r="D5471" t="s">
        <v>18</v>
      </c>
      <c r="E5471" t="e">
        <f>VLOOKUP(Cpi_[[#This Row],[Attribute]],#REF!,2,FALSE)</f>
        <v>#REF!</v>
      </c>
      <c r="F5471">
        <v>129</v>
      </c>
      <c r="G5471">
        <f>(Cpi_[[#This Row],[Value]]-F5470)/F5470</f>
        <v>-7.857142857142857E-2</v>
      </c>
      <c r="H5471" t="e" cm="1" vm="1">
        <f t="array" aca="1" ref="H5471" ca="1">VLOOKUP(Cpi_[[#This Row],[Year]:[Month]],crudeoil[],3,FALSE)</f>
        <v>#VALUE!</v>
      </c>
    </row>
    <row r="5472" spans="1:8" hidden="1" x14ac:dyDescent="0.3">
      <c r="A5472" t="s">
        <v>33</v>
      </c>
      <c r="B5472">
        <v>2018</v>
      </c>
      <c r="C5472" t="s">
        <v>41</v>
      </c>
      <c r="D5472" t="s">
        <v>19</v>
      </c>
      <c r="E5472" t="e">
        <f>VLOOKUP(Cpi_[[#This Row],[Attribute]],#REF!,2,FALSE)</f>
        <v>#REF!</v>
      </c>
      <c r="F5472">
        <v>138.30000000000001</v>
      </c>
      <c r="G5472">
        <f>(Cpi_[[#This Row],[Value]]-F5471)/F5471</f>
        <v>7.2093023255814043E-2</v>
      </c>
      <c r="H5472" t="e" cm="1" vm="1">
        <f t="array" aca="1" ref="H5472" ca="1">VLOOKUP(Cpi_[[#This Row],[Year]:[Month]],crudeoil[],3,FALSE)</f>
        <v>#VALUE!</v>
      </c>
    </row>
    <row r="5473" spans="1:8" hidden="1" x14ac:dyDescent="0.3">
      <c r="A5473" t="s">
        <v>33</v>
      </c>
      <c r="B5473">
        <v>2018</v>
      </c>
      <c r="C5473" t="s">
        <v>41</v>
      </c>
      <c r="D5473" t="s">
        <v>20</v>
      </c>
      <c r="E5473" t="e">
        <f>VLOOKUP(Cpi_[[#This Row],[Attribute]],#REF!,2,FALSE)</f>
        <v>#REF!</v>
      </c>
      <c r="F5473">
        <v>144.6</v>
      </c>
      <c r="G5473">
        <f>(Cpi_[[#This Row],[Value]]-F5472)/F5472</f>
        <v>4.5553145336225467E-2</v>
      </c>
      <c r="H5473" t="e" cm="1" vm="1">
        <f t="array" aca="1" ref="H5473" ca="1">VLOOKUP(Cpi_[[#This Row],[Year]:[Month]],crudeoil[],3,FALSE)</f>
        <v>#VALUE!</v>
      </c>
    </row>
    <row r="5474" spans="1:8" hidden="1" x14ac:dyDescent="0.3">
      <c r="A5474" t="s">
        <v>33</v>
      </c>
      <c r="B5474">
        <v>2018</v>
      </c>
      <c r="C5474" t="s">
        <v>41</v>
      </c>
      <c r="D5474" t="s">
        <v>21</v>
      </c>
      <c r="E5474" t="e">
        <f>VLOOKUP(Cpi_[[#This Row],[Attribute]],#REF!,2,FALSE)</f>
        <v>#REF!</v>
      </c>
      <c r="F5474">
        <v>129.80000000000001</v>
      </c>
      <c r="G5474">
        <f>(Cpi_[[#This Row],[Value]]-F5473)/F5473</f>
        <v>-0.10235131396957112</v>
      </c>
      <c r="H5474" t="e" cm="1" vm="1">
        <f t="array" aca="1" ref="H5474" ca="1">VLOOKUP(Cpi_[[#This Row],[Year]:[Month]],crudeoil[],3,FALSE)</f>
        <v>#VALUE!</v>
      </c>
    </row>
    <row r="5475" spans="1:8" hidden="1" x14ac:dyDescent="0.3">
      <c r="A5475" t="s">
        <v>33</v>
      </c>
      <c r="B5475">
        <v>2018</v>
      </c>
      <c r="C5475" t="s">
        <v>41</v>
      </c>
      <c r="D5475" t="s">
        <v>22</v>
      </c>
      <c r="E5475" t="e">
        <f>VLOOKUP(Cpi_[[#This Row],[Attribute]],#REF!,2,FALSE)</f>
        <v>#REF!</v>
      </c>
      <c r="F5475">
        <v>134.4</v>
      </c>
      <c r="G5475">
        <f>(Cpi_[[#This Row],[Value]]-F5474)/F5474</f>
        <v>3.5439137134052341E-2</v>
      </c>
      <c r="H5475" t="e" cm="1" vm="1">
        <f t="array" aca="1" ref="H5475" ca="1">VLOOKUP(Cpi_[[#This Row],[Year]:[Month]],crudeoil[],3,FALSE)</f>
        <v>#VALUE!</v>
      </c>
    </row>
    <row r="5476" spans="1:8" hidden="1" x14ac:dyDescent="0.3">
      <c r="A5476" t="s">
        <v>33</v>
      </c>
      <c r="B5476">
        <v>2018</v>
      </c>
      <c r="C5476" t="s">
        <v>41</v>
      </c>
      <c r="D5476" t="s">
        <v>23</v>
      </c>
      <c r="E5476" t="e">
        <f>VLOOKUP(Cpi_[[#This Row],[Attribute]],#REF!,2,FALSE)</f>
        <v>#REF!</v>
      </c>
      <c r="F5476">
        <v>134.9</v>
      </c>
      <c r="G5476">
        <f>(Cpi_[[#This Row],[Value]]-F5475)/F5475</f>
        <v>3.720238095238095E-3</v>
      </c>
      <c r="H5476" t="e" cm="1" vm="1">
        <f t="array" aca="1" ref="H5476" ca="1">VLOOKUP(Cpi_[[#This Row],[Year]:[Month]],crudeoil[],3,FALSE)</f>
        <v>#VALUE!</v>
      </c>
    </row>
    <row r="5477" spans="1:8" hidden="1" x14ac:dyDescent="0.3">
      <c r="A5477" t="s">
        <v>33</v>
      </c>
      <c r="B5477">
        <v>2018</v>
      </c>
      <c r="C5477" t="s">
        <v>41</v>
      </c>
      <c r="D5477" t="s">
        <v>24</v>
      </c>
      <c r="E5477" t="e">
        <f>VLOOKUP(Cpi_[[#This Row],[Attribute]],#REF!,2,FALSE)</f>
        <v>#REF!</v>
      </c>
      <c r="F5477">
        <v>120.7</v>
      </c>
      <c r="G5477">
        <f>(Cpi_[[#This Row],[Value]]-F5476)/F5476</f>
        <v>-0.10526315789473686</v>
      </c>
      <c r="H5477" t="e" cm="1" vm="1">
        <f t="array" aca="1" ref="H5477" ca="1">VLOOKUP(Cpi_[[#This Row],[Year]:[Month]],crudeoil[],3,FALSE)</f>
        <v>#VALUE!</v>
      </c>
    </row>
    <row r="5478" spans="1:8" hidden="1" x14ac:dyDescent="0.3">
      <c r="A5478" t="s">
        <v>33</v>
      </c>
      <c r="B5478">
        <v>2018</v>
      </c>
      <c r="C5478" t="s">
        <v>41</v>
      </c>
      <c r="D5478" t="s">
        <v>25</v>
      </c>
      <c r="E5478" t="e">
        <f>VLOOKUP(Cpi_[[#This Row],[Attribute]],#REF!,2,FALSE)</f>
        <v>#REF!</v>
      </c>
      <c r="F5478">
        <v>129.80000000000001</v>
      </c>
      <c r="G5478">
        <f>(Cpi_[[#This Row],[Value]]-F5477)/F5477</f>
        <v>7.5393537696768917E-2</v>
      </c>
      <c r="H5478" t="e" cm="1" vm="1">
        <f t="array" aca="1" ref="H5478" ca="1">VLOOKUP(Cpi_[[#This Row],[Year]:[Month]],crudeoil[],3,FALSE)</f>
        <v>#VALUE!</v>
      </c>
    </row>
    <row r="5479" spans="1:8" hidden="1" x14ac:dyDescent="0.3">
      <c r="A5479" t="s">
        <v>33</v>
      </c>
      <c r="B5479">
        <v>2018</v>
      </c>
      <c r="C5479" t="s">
        <v>41</v>
      </c>
      <c r="D5479" t="s">
        <v>26</v>
      </c>
      <c r="E5479" t="e">
        <f>VLOOKUP(Cpi_[[#This Row],[Attribute]],#REF!,2,FALSE)</f>
        <v>#REF!</v>
      </c>
      <c r="F5479">
        <v>145.30000000000001</v>
      </c>
      <c r="G5479">
        <f>(Cpi_[[#This Row],[Value]]-F5478)/F5478</f>
        <v>0.11941448382126348</v>
      </c>
      <c r="H5479" t="e" cm="1" vm="1">
        <f t="array" aca="1" ref="H5479" ca="1">VLOOKUP(Cpi_[[#This Row],[Year]:[Month]],crudeoil[],3,FALSE)</f>
        <v>#VALUE!</v>
      </c>
    </row>
    <row r="5480" spans="1:8" hidden="1" x14ac:dyDescent="0.3">
      <c r="A5480" t="s">
        <v>33</v>
      </c>
      <c r="B5480">
        <v>2018</v>
      </c>
      <c r="C5480" t="s">
        <v>41</v>
      </c>
      <c r="D5480" t="s">
        <v>27</v>
      </c>
      <c r="E5480" t="e">
        <f>VLOOKUP(Cpi_[[#This Row],[Attribute]],#REF!,2,FALSE)</f>
        <v>#REF!</v>
      </c>
      <c r="F5480">
        <v>128.30000000000001</v>
      </c>
      <c r="G5480">
        <f>(Cpi_[[#This Row],[Value]]-F5479)/F5479</f>
        <v>-0.11699931176875429</v>
      </c>
      <c r="H5480" t="e" cm="1" vm="1">
        <f t="array" aca="1" ref="H5480" ca="1">VLOOKUP(Cpi_[[#This Row],[Year]:[Month]],crudeoil[],3,FALSE)</f>
        <v>#VALUE!</v>
      </c>
    </row>
    <row r="5481" spans="1:8" hidden="1" x14ac:dyDescent="0.3">
      <c r="A5481" t="s">
        <v>33</v>
      </c>
      <c r="B5481">
        <v>2018</v>
      </c>
      <c r="C5481" t="s">
        <v>41</v>
      </c>
      <c r="D5481" t="s">
        <v>28</v>
      </c>
      <c r="E5481" t="e">
        <f>VLOOKUP(Cpi_[[#This Row],[Attribute]],#REF!,2,FALSE)</f>
        <v>#REF!</v>
      </c>
      <c r="F5481">
        <v>131</v>
      </c>
      <c r="G5481">
        <f>(Cpi_[[#This Row],[Value]]-F5480)/F5480</f>
        <v>2.1044427123928202E-2</v>
      </c>
      <c r="H5481" t="e" cm="1" vm="1">
        <f t="array" aca="1" ref="H5481" ca="1">VLOOKUP(Cpi_[[#This Row],[Year]:[Month]],crudeoil[],3,FALSE)</f>
        <v>#VALUE!</v>
      </c>
    </row>
    <row r="5482" spans="1:8" hidden="1" x14ac:dyDescent="0.3">
      <c r="A5482" t="s">
        <v>33</v>
      </c>
      <c r="B5482">
        <v>2018</v>
      </c>
      <c r="C5482" t="s">
        <v>41</v>
      </c>
      <c r="D5482" t="s">
        <v>29</v>
      </c>
      <c r="E5482" t="e" cm="1">
        <f t="array" aca="1" ref="E5482" ca="1">VLGeneral indexGeneral indexKUP(Cpi_[[#This Row],[Attribute]],#REF!,2,FALSE)</f>
        <v>#NAME?</v>
      </c>
      <c r="F5482">
        <v>138</v>
      </c>
      <c r="G5482">
        <f>(Cpi_[[#This Row],[Value]]-F5481)/F5481</f>
        <v>5.3435114503816793E-2</v>
      </c>
      <c r="H5482" t="e" cm="1" vm="1">
        <f t="array" aca="1" ref="H5482" ca="1">VLOOKUP(Cpi_[[#This Row],[Year]:[Month]],crudeoil[],3,FALSE)</f>
        <v>#VALUE!</v>
      </c>
    </row>
    <row r="5483" spans="1:8" hidden="1" x14ac:dyDescent="0.3">
      <c r="A5483" t="s">
        <v>34</v>
      </c>
      <c r="B5483">
        <v>2018</v>
      </c>
      <c r="C5483" t="s">
        <v>41</v>
      </c>
      <c r="D5483" t="s">
        <v>3</v>
      </c>
      <c r="E5483" t="e">
        <f>VLOOKUP(Cpi_[[#This Row],[Attribute]],#REF!,2,FALSE)</f>
        <v>#REF!</v>
      </c>
      <c r="F5483">
        <v>138.30000000000001</v>
      </c>
      <c r="G5483">
        <f>(Cpi_[[#This Row],[Value]]-F5482)/F5482</f>
        <v>2.1739130434783433E-3</v>
      </c>
      <c r="H5483" t="e" cm="1" vm="1">
        <f t="array" aca="1" ref="H5483" ca="1">VLOOKUP(Cpi_[[#This Row],[Year]:[Month]],crudeoil[],3,FALSE)</f>
        <v>#VALUE!</v>
      </c>
    </row>
    <row r="5484" spans="1:8" hidden="1" x14ac:dyDescent="0.3">
      <c r="A5484" t="s">
        <v>34</v>
      </c>
      <c r="B5484">
        <v>2018</v>
      </c>
      <c r="C5484" t="s">
        <v>41</v>
      </c>
      <c r="D5484" t="s">
        <v>4</v>
      </c>
      <c r="E5484" t="e">
        <f>VLOOKUP(Cpi_[[#This Row],[Attribute]],#REF!,2,FALSE)</f>
        <v>#REF!</v>
      </c>
      <c r="F5484">
        <v>148</v>
      </c>
      <c r="G5484">
        <f>(Cpi_[[#This Row],[Value]]-F5483)/F5483</f>
        <v>7.013738250180758E-2</v>
      </c>
      <c r="H5484" t="e" cm="1" vm="1">
        <f t="array" aca="1" ref="H5484" ca="1">VLOOKUP(Cpi_[[#This Row],[Year]:[Month]],crudeoil[],3,FALSE)</f>
        <v>#VALUE!</v>
      </c>
    </row>
    <row r="5485" spans="1:8" hidden="1" x14ac:dyDescent="0.3">
      <c r="A5485" t="s">
        <v>34</v>
      </c>
      <c r="B5485">
        <v>2018</v>
      </c>
      <c r="C5485" t="s">
        <v>41</v>
      </c>
      <c r="D5485" t="s">
        <v>5</v>
      </c>
      <c r="E5485" t="e">
        <f>VLOOKUP(Cpi_[[#This Row],[Attribute]],#REF!,2,FALSE)</f>
        <v>#REF!</v>
      </c>
      <c r="F5485">
        <v>138.1</v>
      </c>
      <c r="G5485">
        <f>(Cpi_[[#This Row],[Value]]-F5484)/F5484</f>
        <v>-6.689189189189193E-2</v>
      </c>
      <c r="H5485" t="e" cm="1" vm="1">
        <f t="array" aca="1" ref="H5485" ca="1">VLOOKUP(Cpi_[[#This Row],[Year]:[Month]],crudeoil[],3,FALSE)</f>
        <v>#VALUE!</v>
      </c>
    </row>
    <row r="5486" spans="1:8" hidden="1" x14ac:dyDescent="0.3">
      <c r="A5486" t="s">
        <v>34</v>
      </c>
      <c r="B5486">
        <v>2018</v>
      </c>
      <c r="C5486" t="s">
        <v>41</v>
      </c>
      <c r="D5486" t="s">
        <v>6</v>
      </c>
      <c r="E5486" t="e">
        <f>VLOOKUP(Cpi_[[#This Row],[Attribute]],#REF!,2,FALSE)</f>
        <v>#REF!</v>
      </c>
      <c r="F5486">
        <v>142.6</v>
      </c>
      <c r="G5486">
        <f>(Cpi_[[#This Row],[Value]]-F5485)/F5485</f>
        <v>3.2585083272990589E-2</v>
      </c>
      <c r="H5486" t="e" cm="1" vm="1">
        <f t="array" aca="1" ref="H5486" ca="1">VLOOKUP(Cpi_[[#This Row],[Year]:[Month]],crudeoil[],3,FALSE)</f>
        <v>#VALUE!</v>
      </c>
    </row>
    <row r="5487" spans="1:8" hidden="1" x14ac:dyDescent="0.3">
      <c r="A5487" t="s">
        <v>34</v>
      </c>
      <c r="B5487">
        <v>2018</v>
      </c>
      <c r="C5487" t="s">
        <v>41</v>
      </c>
      <c r="D5487" t="s">
        <v>7</v>
      </c>
      <c r="E5487" t="e">
        <f>VLOOKUP(Cpi_[[#This Row],[Attribute]],#REF!,2,FALSE)</f>
        <v>#REF!</v>
      </c>
      <c r="F5487">
        <v>122.2</v>
      </c>
      <c r="G5487">
        <f>(Cpi_[[#This Row],[Value]]-F5486)/F5486</f>
        <v>-0.1430575035063113</v>
      </c>
      <c r="H5487" t="e" cm="1" vm="1">
        <f t="array" aca="1" ref="H5487" ca="1">VLOOKUP(Cpi_[[#This Row],[Year]:[Month]],crudeoil[],3,FALSE)</f>
        <v>#VALUE!</v>
      </c>
    </row>
    <row r="5488" spans="1:8" hidden="1" x14ac:dyDescent="0.3">
      <c r="A5488" t="s">
        <v>34</v>
      </c>
      <c r="B5488">
        <v>2018</v>
      </c>
      <c r="C5488" t="s">
        <v>41</v>
      </c>
      <c r="D5488" t="s">
        <v>8</v>
      </c>
      <c r="E5488" t="e">
        <f>VLOOKUP(Cpi_[[#This Row],[Attribute]],#REF!,2,FALSE)</f>
        <v>#REF!</v>
      </c>
      <c r="F5488">
        <v>150.6</v>
      </c>
      <c r="G5488">
        <f>(Cpi_[[#This Row],[Value]]-F5487)/F5487</f>
        <v>0.23240589198035999</v>
      </c>
      <c r="H5488" t="e" cm="1" vm="1">
        <f t="array" aca="1" ref="H5488" ca="1">VLOOKUP(Cpi_[[#This Row],[Year]:[Month]],crudeoil[],3,FALSE)</f>
        <v>#VALUE!</v>
      </c>
    </row>
    <row r="5489" spans="1:8" hidden="1" x14ac:dyDescent="0.3">
      <c r="A5489" t="s">
        <v>34</v>
      </c>
      <c r="B5489">
        <v>2018</v>
      </c>
      <c r="C5489" t="s">
        <v>41</v>
      </c>
      <c r="D5489" t="s">
        <v>9</v>
      </c>
      <c r="E5489" t="e">
        <f>VLOOKUP(Cpi_[[#This Row],[Attribute]],#REF!,2,FALSE)</f>
        <v>#REF!</v>
      </c>
      <c r="F5489">
        <v>156.6</v>
      </c>
      <c r="G5489">
        <f>(Cpi_[[#This Row],[Value]]-F5488)/F5488</f>
        <v>3.9840637450199202E-2</v>
      </c>
      <c r="H5489" t="e" cm="1" vm="1">
        <f t="array" aca="1" ref="H5489" ca="1">VLOOKUP(Cpi_[[#This Row],[Year]:[Month]],crudeoil[],3,FALSE)</f>
        <v>#VALUE!</v>
      </c>
    </row>
    <row r="5490" spans="1:8" hidden="1" x14ac:dyDescent="0.3">
      <c r="A5490" t="s">
        <v>34</v>
      </c>
      <c r="B5490">
        <v>2018</v>
      </c>
      <c r="C5490" t="s">
        <v>41</v>
      </c>
      <c r="D5490" t="s">
        <v>10</v>
      </c>
      <c r="E5490" t="e">
        <f>VLOOKUP(Cpi_[[#This Row],[Attribute]],#REF!,2,FALSE)</f>
        <v>#REF!</v>
      </c>
      <c r="F5490">
        <v>122.4</v>
      </c>
      <c r="G5490">
        <f>(Cpi_[[#This Row],[Value]]-F5489)/F5489</f>
        <v>-0.21839080459770108</v>
      </c>
      <c r="H5490" t="e" cm="1" vm="1">
        <f t="array" aca="1" ref="H5490" ca="1">VLOOKUP(Cpi_[[#This Row],[Year]:[Month]],crudeoil[],3,FALSE)</f>
        <v>#VALUE!</v>
      </c>
    </row>
    <row r="5491" spans="1:8" hidden="1" x14ac:dyDescent="0.3">
      <c r="A5491" t="s">
        <v>34</v>
      </c>
      <c r="B5491">
        <v>2018</v>
      </c>
      <c r="C5491" t="s">
        <v>41</v>
      </c>
      <c r="D5491" t="s">
        <v>11</v>
      </c>
      <c r="E5491" t="e">
        <f>VLOOKUP(Cpi_[[#This Row],[Attribute]],#REF!,2,FALSE)</f>
        <v>#REF!</v>
      </c>
      <c r="F5491">
        <v>114.7</v>
      </c>
      <c r="G5491">
        <f>(Cpi_[[#This Row],[Value]]-F5490)/F5490</f>
        <v>-6.290849673202617E-2</v>
      </c>
      <c r="H5491" t="e" cm="1" vm="1">
        <f t="array" aca="1" ref="H5491" ca="1">VLOOKUP(Cpi_[[#This Row],[Year]:[Month]],crudeoil[],3,FALSE)</f>
        <v>#VALUE!</v>
      </c>
    </row>
    <row r="5492" spans="1:8" hidden="1" x14ac:dyDescent="0.3">
      <c r="A5492" t="s">
        <v>34</v>
      </c>
      <c r="B5492">
        <v>2018</v>
      </c>
      <c r="C5492" t="s">
        <v>41</v>
      </c>
      <c r="D5492" t="s">
        <v>12</v>
      </c>
      <c r="E5492" t="e">
        <f>VLOOKUP(Cpi_[[#This Row],[Attribute]],#REF!,2,FALSE)</f>
        <v>#REF!</v>
      </c>
      <c r="F5492">
        <v>139.4</v>
      </c>
      <c r="G5492">
        <f>(Cpi_[[#This Row],[Value]]-F5491)/F5491</f>
        <v>0.21534437663469924</v>
      </c>
      <c r="H5492" t="e" cm="1" vm="1">
        <f t="array" aca="1" ref="H5492" ca="1">VLOOKUP(Cpi_[[#This Row],[Year]:[Month]],crudeoil[],3,FALSE)</f>
        <v>#VALUE!</v>
      </c>
    </row>
    <row r="5493" spans="1:8" hidden="1" x14ac:dyDescent="0.3">
      <c r="A5493" t="s">
        <v>34</v>
      </c>
      <c r="B5493">
        <v>2018</v>
      </c>
      <c r="C5493" t="s">
        <v>41</v>
      </c>
      <c r="D5493" t="s">
        <v>13</v>
      </c>
      <c r="E5493" t="e">
        <f>VLOOKUP(Cpi_[[#This Row],[Attribute]],#REF!,2,FALSE)</f>
        <v>#REF!</v>
      </c>
      <c r="F5493">
        <v>131.1</v>
      </c>
      <c r="G5493">
        <f>(Cpi_[[#This Row],[Value]]-F5492)/F5492</f>
        <v>-5.9540889526542407E-2</v>
      </c>
      <c r="H5493" t="e" cm="1" vm="1">
        <f t="array" aca="1" ref="H5493" ca="1">VLOOKUP(Cpi_[[#This Row],[Year]:[Month]],crudeoil[],3,FALSE)</f>
        <v>#VALUE!</v>
      </c>
    </row>
    <row r="5494" spans="1:8" hidden="1" x14ac:dyDescent="0.3">
      <c r="A5494" t="s">
        <v>34</v>
      </c>
      <c r="B5494">
        <v>2018</v>
      </c>
      <c r="C5494" t="s">
        <v>41</v>
      </c>
      <c r="D5494" t="s">
        <v>14</v>
      </c>
      <c r="E5494" t="e">
        <f>VLOOKUP(Cpi_[[#This Row],[Attribute]],#REF!,2,FALSE)</f>
        <v>#REF!</v>
      </c>
      <c r="F5494">
        <v>153</v>
      </c>
      <c r="G5494">
        <f>(Cpi_[[#This Row],[Value]]-F5493)/F5493</f>
        <v>0.16704805491990851</v>
      </c>
      <c r="H5494" t="e" cm="1" vm="1">
        <f t="array" aca="1" ref="H5494" ca="1">VLOOKUP(Cpi_[[#This Row],[Year]:[Month]],crudeoil[],3,FALSE)</f>
        <v>#VALUE!</v>
      </c>
    </row>
    <row r="5495" spans="1:8" hidden="1" x14ac:dyDescent="0.3">
      <c r="A5495" t="s">
        <v>34</v>
      </c>
      <c r="B5495">
        <v>2018</v>
      </c>
      <c r="C5495" t="s">
        <v>41</v>
      </c>
      <c r="D5495" t="s">
        <v>15</v>
      </c>
      <c r="E5495" t="e">
        <f>VLOOKUP(Cpi_[[#This Row],[Attribute]],#REF!,2,FALSE)</f>
        <v>#REF!</v>
      </c>
      <c r="F5495">
        <v>141.69999999999999</v>
      </c>
      <c r="G5495">
        <f>(Cpi_[[#This Row],[Value]]-F5494)/F5494</f>
        <v>-7.3856209150326868E-2</v>
      </c>
      <c r="H5495" t="e" cm="1" vm="1">
        <f t="array" aca="1" ref="H5495" ca="1">VLOOKUP(Cpi_[[#This Row],[Year]:[Month]],crudeoil[],3,FALSE)</f>
        <v>#VALUE!</v>
      </c>
    </row>
    <row r="5496" spans="1:8" hidden="1" x14ac:dyDescent="0.3">
      <c r="A5496" t="s">
        <v>34</v>
      </c>
      <c r="B5496">
        <v>2018</v>
      </c>
      <c r="C5496" t="s">
        <v>41</v>
      </c>
      <c r="D5496" t="s">
        <v>16</v>
      </c>
      <c r="E5496" t="e">
        <f>VLOOKUP(Cpi_[[#This Row],[Attribute]],#REF!,2,FALSE)</f>
        <v>#REF!</v>
      </c>
      <c r="F5496">
        <v>157.9</v>
      </c>
      <c r="G5496">
        <f>(Cpi_[[#This Row],[Value]]-F5495)/F5495</f>
        <v>0.11432604093154565</v>
      </c>
      <c r="H5496" t="e" cm="1" vm="1">
        <f t="array" aca="1" ref="H5496" ca="1">VLOOKUP(Cpi_[[#This Row],[Year]:[Month]],crudeoil[],3,FALSE)</f>
        <v>#VALUE!</v>
      </c>
    </row>
    <row r="5497" spans="1:8" hidden="1" x14ac:dyDescent="0.3">
      <c r="A5497" t="s">
        <v>34</v>
      </c>
      <c r="B5497">
        <v>2018</v>
      </c>
      <c r="C5497" t="s">
        <v>41</v>
      </c>
      <c r="D5497" t="s">
        <v>17</v>
      </c>
      <c r="E5497" t="e">
        <f>VLOOKUP(Cpi_[[#This Row],[Attribute]],#REF!,2,FALSE)</f>
        <v>#REF!</v>
      </c>
      <c r="F5497">
        <v>147.30000000000001</v>
      </c>
      <c r="G5497">
        <f>(Cpi_[[#This Row],[Value]]-F5496)/F5496</f>
        <v>-6.7131095630145618E-2</v>
      </c>
      <c r="H5497" t="e" cm="1" vm="1">
        <f t="array" aca="1" ref="H5497" ca="1">VLOOKUP(Cpi_[[#This Row],[Year]:[Month]],crudeoil[],3,FALSE)</f>
        <v>#VALUE!</v>
      </c>
    </row>
    <row r="5498" spans="1:8" hidden="1" x14ac:dyDescent="0.3">
      <c r="A5498" t="s">
        <v>34</v>
      </c>
      <c r="B5498">
        <v>2018</v>
      </c>
      <c r="C5498" t="s">
        <v>41</v>
      </c>
      <c r="D5498" t="s">
        <v>18</v>
      </c>
      <c r="E5498" t="e">
        <f>VLOOKUP(Cpi_[[#This Row],[Attribute]],#REF!,2,FALSE)</f>
        <v>#REF!</v>
      </c>
      <c r="F5498">
        <v>138.80000000000001</v>
      </c>
      <c r="G5498">
        <f>(Cpi_[[#This Row],[Value]]-F5497)/F5497</f>
        <v>-5.770536320434487E-2</v>
      </c>
      <c r="H5498" t="e" cm="1" vm="1">
        <f t="array" aca="1" ref="H5498" ca="1">VLOOKUP(Cpi_[[#This Row],[Year]:[Month]],crudeoil[],3,FALSE)</f>
        <v>#VALUE!</v>
      </c>
    </row>
    <row r="5499" spans="1:8" hidden="1" x14ac:dyDescent="0.3">
      <c r="A5499" t="s">
        <v>34</v>
      </c>
      <c r="B5499">
        <v>2018</v>
      </c>
      <c r="C5499" t="s">
        <v>41</v>
      </c>
      <c r="D5499" t="s">
        <v>19</v>
      </c>
      <c r="E5499" t="e">
        <f>VLOOKUP(Cpi_[[#This Row],[Attribute]],#REF!,2,FALSE)</f>
        <v>#REF!</v>
      </c>
      <c r="F5499">
        <v>146.1</v>
      </c>
      <c r="G5499">
        <f>(Cpi_[[#This Row],[Value]]-F5498)/F5498</f>
        <v>5.2593659942362987E-2</v>
      </c>
      <c r="H5499" t="e" cm="1" vm="1">
        <f t="array" aca="1" ref="H5499" ca="1">VLOOKUP(Cpi_[[#This Row],[Year]:[Month]],crudeoil[],3,FALSE)</f>
        <v>#VALUE!</v>
      </c>
    </row>
    <row r="5500" spans="1:8" hidden="1" x14ac:dyDescent="0.3">
      <c r="A5500" t="s">
        <v>34</v>
      </c>
      <c r="B5500">
        <v>2018</v>
      </c>
      <c r="C5500" t="s">
        <v>41</v>
      </c>
      <c r="D5500" t="s">
        <v>20</v>
      </c>
      <c r="E5500" t="e">
        <f>VLOOKUP(Cpi_[[#This Row],[Attribute]],#REF!,2,FALSE)</f>
        <v>#REF!</v>
      </c>
      <c r="F5500">
        <v>144.6</v>
      </c>
      <c r="G5500">
        <f>(Cpi_[[#This Row],[Value]]-F5499)/F5499</f>
        <v>-1.0266940451745381E-2</v>
      </c>
      <c r="H5500" t="e" cm="1" vm="1">
        <f t="array" aca="1" ref="H5500" ca="1">VLOOKUP(Cpi_[[#This Row],[Year]:[Month]],crudeoil[],3,FALSE)</f>
        <v>#VALUE!</v>
      </c>
    </row>
    <row r="5501" spans="1:8" hidden="1" x14ac:dyDescent="0.3">
      <c r="A5501" t="s">
        <v>34</v>
      </c>
      <c r="B5501">
        <v>2018</v>
      </c>
      <c r="C5501" t="s">
        <v>41</v>
      </c>
      <c r="D5501" t="s">
        <v>21</v>
      </c>
      <c r="E5501" t="e">
        <f>VLOOKUP(Cpi_[[#This Row],[Attribute]],#REF!,2,FALSE)</f>
        <v>#REF!</v>
      </c>
      <c r="F5501">
        <v>140.9</v>
      </c>
      <c r="G5501">
        <f>(Cpi_[[#This Row],[Value]]-F5500)/F5500</f>
        <v>-2.5587828492392731E-2</v>
      </c>
      <c r="H5501" t="e" cm="1" vm="1">
        <f t="array" aca="1" ref="H5501" ca="1">VLOOKUP(Cpi_[[#This Row],[Year]:[Month]],crudeoil[],3,FALSE)</f>
        <v>#VALUE!</v>
      </c>
    </row>
    <row r="5502" spans="1:8" hidden="1" x14ac:dyDescent="0.3">
      <c r="A5502" t="s">
        <v>34</v>
      </c>
      <c r="B5502">
        <v>2018</v>
      </c>
      <c r="C5502" t="s">
        <v>41</v>
      </c>
      <c r="D5502" t="s">
        <v>22</v>
      </c>
      <c r="E5502" t="e">
        <f>VLOOKUP(Cpi_[[#This Row],[Attribute]],#REF!,2,FALSE)</f>
        <v>#REF!</v>
      </c>
      <c r="F5502">
        <v>139.4</v>
      </c>
      <c r="G5502">
        <f>(Cpi_[[#This Row],[Value]]-F5501)/F5501</f>
        <v>-1.0645848119233499E-2</v>
      </c>
      <c r="H5502" t="e" cm="1" vm="1">
        <f t="array" aca="1" ref="H5502" ca="1">VLOOKUP(Cpi_[[#This Row],[Year]:[Month]],crudeoil[],3,FALSE)</f>
        <v>#VALUE!</v>
      </c>
    </row>
    <row r="5503" spans="1:8" hidden="1" x14ac:dyDescent="0.3">
      <c r="A5503" t="s">
        <v>34</v>
      </c>
      <c r="B5503">
        <v>2018</v>
      </c>
      <c r="C5503" t="s">
        <v>41</v>
      </c>
      <c r="D5503" t="s">
        <v>23</v>
      </c>
      <c r="E5503" t="e">
        <f>VLOOKUP(Cpi_[[#This Row],[Attribute]],#REF!,2,FALSE)</f>
        <v>#REF!</v>
      </c>
      <c r="F5503">
        <v>137.69999999999999</v>
      </c>
      <c r="G5503">
        <f>(Cpi_[[#This Row],[Value]]-F5502)/F5502</f>
        <v>-1.2195121951219634E-2</v>
      </c>
      <c r="H5503" t="e" cm="1" vm="1">
        <f t="array" aca="1" ref="H5503" ca="1">VLOOKUP(Cpi_[[#This Row],[Year]:[Month]],crudeoil[],3,FALSE)</f>
        <v>#VALUE!</v>
      </c>
    </row>
    <row r="5504" spans="1:8" hidden="1" x14ac:dyDescent="0.3">
      <c r="A5504" t="s">
        <v>34</v>
      </c>
      <c r="B5504">
        <v>2018</v>
      </c>
      <c r="C5504" t="s">
        <v>41</v>
      </c>
      <c r="D5504" t="s">
        <v>24</v>
      </c>
      <c r="E5504" t="e">
        <f>VLOOKUP(Cpi_[[#This Row],[Attribute]],#REF!,2,FALSE)</f>
        <v>#REF!</v>
      </c>
      <c r="F5504">
        <v>124.3</v>
      </c>
      <c r="G5504">
        <f>(Cpi_[[#This Row],[Value]]-F5503)/F5503</f>
        <v>-9.7312999273783535E-2</v>
      </c>
      <c r="H5504" t="e" cm="1" vm="1">
        <f t="array" aca="1" ref="H5504" ca="1">VLOOKUP(Cpi_[[#This Row],[Year]:[Month]],crudeoil[],3,FALSE)</f>
        <v>#VALUE!</v>
      </c>
    </row>
    <row r="5505" spans="1:8" hidden="1" x14ac:dyDescent="0.3">
      <c r="A5505" t="s">
        <v>34</v>
      </c>
      <c r="B5505">
        <v>2018</v>
      </c>
      <c r="C5505" t="s">
        <v>41</v>
      </c>
      <c r="D5505" t="s">
        <v>25</v>
      </c>
      <c r="E5505" t="e">
        <f>VLOOKUP(Cpi_[[#This Row],[Attribute]],#REF!,2,FALSE)</f>
        <v>#REF!</v>
      </c>
      <c r="F5505">
        <v>133.6</v>
      </c>
      <c r="G5505">
        <f>(Cpi_[[#This Row],[Value]]-F5504)/F5504</f>
        <v>7.481898632341108E-2</v>
      </c>
      <c r="H5505" t="e" cm="1" vm="1">
        <f t="array" aca="1" ref="H5505" ca="1">VLOOKUP(Cpi_[[#This Row],[Year]:[Month]],crudeoil[],3,FALSE)</f>
        <v>#VALUE!</v>
      </c>
    </row>
    <row r="5506" spans="1:8" hidden="1" x14ac:dyDescent="0.3">
      <c r="A5506" t="s">
        <v>34</v>
      </c>
      <c r="B5506">
        <v>2018</v>
      </c>
      <c r="C5506" t="s">
        <v>41</v>
      </c>
      <c r="D5506" t="s">
        <v>26</v>
      </c>
      <c r="E5506" t="e">
        <f>VLOOKUP(Cpi_[[#This Row],[Attribute]],#REF!,2,FALSE)</f>
        <v>#REF!</v>
      </c>
      <c r="F5506">
        <v>146</v>
      </c>
      <c r="G5506">
        <f>(Cpi_[[#This Row],[Value]]-F5505)/F5505</f>
        <v>9.2814371257485082E-2</v>
      </c>
      <c r="H5506" t="e" cm="1" vm="1">
        <f t="array" aca="1" ref="H5506" ca="1">VLOOKUP(Cpi_[[#This Row],[Year]:[Month]],crudeoil[],3,FALSE)</f>
        <v>#VALUE!</v>
      </c>
    </row>
    <row r="5507" spans="1:8" hidden="1" x14ac:dyDescent="0.3">
      <c r="A5507" t="s">
        <v>34</v>
      </c>
      <c r="B5507">
        <v>2018</v>
      </c>
      <c r="C5507" t="s">
        <v>41</v>
      </c>
      <c r="D5507" t="s">
        <v>27</v>
      </c>
      <c r="E5507" t="e">
        <f>VLOOKUP(Cpi_[[#This Row],[Attribute]],#REF!,2,FALSE)</f>
        <v>#REF!</v>
      </c>
      <c r="F5507">
        <v>130.1</v>
      </c>
      <c r="G5507">
        <f>(Cpi_[[#This Row],[Value]]-F5506)/F5506</f>
        <v>-0.10890410958904113</v>
      </c>
      <c r="H5507" t="e" cm="1" vm="1">
        <f t="array" aca="1" ref="H5507" ca="1">VLOOKUP(Cpi_[[#This Row],[Year]:[Month]],crudeoil[],3,FALSE)</f>
        <v>#VALUE!</v>
      </c>
    </row>
    <row r="5508" spans="1:8" hidden="1" x14ac:dyDescent="0.3">
      <c r="A5508" t="s">
        <v>34</v>
      </c>
      <c r="B5508">
        <v>2018</v>
      </c>
      <c r="C5508" t="s">
        <v>41</v>
      </c>
      <c r="D5508" t="s">
        <v>28</v>
      </c>
      <c r="E5508" t="e">
        <f>VLOOKUP(Cpi_[[#This Row],[Attribute]],#REF!,2,FALSE)</f>
        <v>#REF!</v>
      </c>
      <c r="F5508">
        <v>133.9</v>
      </c>
      <c r="G5508">
        <f>(Cpi_[[#This Row],[Value]]-F5507)/F5507</f>
        <v>2.9208301306687251E-2</v>
      </c>
      <c r="H5508" t="e" cm="1" vm="1">
        <f t="array" aca="1" ref="H5508" ca="1">VLOOKUP(Cpi_[[#This Row],[Year]:[Month]],crudeoil[],3,FALSE)</f>
        <v>#VALUE!</v>
      </c>
    </row>
    <row r="5509" spans="1:8" hidden="1" x14ac:dyDescent="0.3">
      <c r="A5509" t="s">
        <v>34</v>
      </c>
      <c r="B5509">
        <v>2018</v>
      </c>
      <c r="C5509" t="s">
        <v>41</v>
      </c>
      <c r="D5509" t="s">
        <v>29</v>
      </c>
      <c r="E5509" t="e" cm="1">
        <f t="array" aca="1" ref="E5509" ca="1">VLGeneral indexGeneral indexKUP(Cpi_[[#This Row],[Attribute]],#REF!,2,FALSE)</f>
        <v>#NAME?</v>
      </c>
      <c r="F5509">
        <v>140.4</v>
      </c>
      <c r="G5509">
        <f>(Cpi_[[#This Row],[Value]]-F5508)/F5508</f>
        <v>4.8543689320388349E-2</v>
      </c>
      <c r="H5509" t="e" cm="1" vm="1">
        <f t="array" aca="1" ref="H5509" ca="1">VLOOKUP(Cpi_[[#This Row],[Year]:[Month]],crudeoil[],3,FALSE)</f>
        <v>#VALUE!</v>
      </c>
    </row>
    <row r="5510" spans="1:8" hidden="1" x14ac:dyDescent="0.3">
      <c r="A5510" t="s">
        <v>30</v>
      </c>
      <c r="B5510">
        <v>2018</v>
      </c>
      <c r="C5510" t="s">
        <v>42</v>
      </c>
      <c r="D5510" t="s">
        <v>3</v>
      </c>
      <c r="E5510" t="e">
        <f>VLOOKUP(Cpi_[[#This Row],[Attribute]],#REF!,2,FALSE)</f>
        <v>#REF!</v>
      </c>
      <c r="F5510">
        <v>139.4</v>
      </c>
      <c r="G5510">
        <f>(Cpi_[[#This Row],[Value]]-F5509)/F5509</f>
        <v>-7.1225071225071226E-3</v>
      </c>
      <c r="H5510" t="e" cm="1" vm="1">
        <f t="array" aca="1" ref="H5510" ca="1">VLOOKUP(Cpi_[[#This Row],[Year]:[Month]],crudeoil[],3,FALSE)</f>
        <v>#VALUE!</v>
      </c>
    </row>
    <row r="5511" spans="1:8" hidden="1" x14ac:dyDescent="0.3">
      <c r="A5511" t="s">
        <v>30</v>
      </c>
      <c r="B5511">
        <v>2018</v>
      </c>
      <c r="C5511" t="s">
        <v>42</v>
      </c>
      <c r="D5511" t="s">
        <v>4</v>
      </c>
      <c r="E5511" t="e">
        <f>VLOOKUP(Cpi_[[#This Row],[Attribute]],#REF!,2,FALSE)</f>
        <v>#REF!</v>
      </c>
      <c r="F5511">
        <v>147.19999999999999</v>
      </c>
      <c r="G5511">
        <f>(Cpi_[[#This Row],[Value]]-F5510)/F5510</f>
        <v>5.5954088952654107E-2</v>
      </c>
      <c r="H5511" t="e" cm="1" vm="1">
        <f t="array" aca="1" ref="H5511" ca="1">VLOOKUP(Cpi_[[#This Row],[Year]:[Month]],crudeoil[],3,FALSE)</f>
        <v>#VALUE!</v>
      </c>
    </row>
    <row r="5512" spans="1:8" hidden="1" x14ac:dyDescent="0.3">
      <c r="A5512" t="s">
        <v>30</v>
      </c>
      <c r="B5512">
        <v>2018</v>
      </c>
      <c r="C5512" t="s">
        <v>42</v>
      </c>
      <c r="D5512" t="s">
        <v>5</v>
      </c>
      <c r="E5512" t="e">
        <f>VLOOKUP(Cpi_[[#This Row],[Attribute]],#REF!,2,FALSE)</f>
        <v>#REF!</v>
      </c>
      <c r="F5512">
        <v>136.6</v>
      </c>
      <c r="G5512">
        <f>(Cpi_[[#This Row],[Value]]-F5511)/F5511</f>
        <v>-7.2010869565217364E-2</v>
      </c>
      <c r="H5512" t="e" cm="1" vm="1">
        <f t="array" aca="1" ref="H5512" ca="1">VLOOKUP(Cpi_[[#This Row],[Year]:[Month]],crudeoil[],3,FALSE)</f>
        <v>#VALUE!</v>
      </c>
    </row>
    <row r="5513" spans="1:8" hidden="1" x14ac:dyDescent="0.3">
      <c r="A5513" t="s">
        <v>30</v>
      </c>
      <c r="B5513">
        <v>2018</v>
      </c>
      <c r="C5513" t="s">
        <v>42</v>
      </c>
      <c r="D5513" t="s">
        <v>6</v>
      </c>
      <c r="E5513" t="e">
        <f>VLOOKUP(Cpi_[[#This Row],[Attribute]],#REF!,2,FALSE)</f>
        <v>#REF!</v>
      </c>
      <c r="F5513">
        <v>143.69999999999999</v>
      </c>
      <c r="G5513">
        <f>(Cpi_[[#This Row],[Value]]-F5512)/F5512</f>
        <v>5.1976573938506548E-2</v>
      </c>
      <c r="H5513" t="e" cm="1" vm="1">
        <f t="array" aca="1" ref="H5513" ca="1">VLOOKUP(Cpi_[[#This Row],[Year]:[Month]],crudeoil[],3,FALSE)</f>
        <v>#VALUE!</v>
      </c>
    </row>
    <row r="5514" spans="1:8" hidden="1" x14ac:dyDescent="0.3">
      <c r="A5514" t="s">
        <v>30</v>
      </c>
      <c r="B5514">
        <v>2018</v>
      </c>
      <c r="C5514" t="s">
        <v>42</v>
      </c>
      <c r="D5514" t="s">
        <v>7</v>
      </c>
      <c r="E5514" t="e">
        <f>VLOOKUP(Cpi_[[#This Row],[Attribute]],#REF!,2,FALSE)</f>
        <v>#REF!</v>
      </c>
      <c r="F5514">
        <v>124.6</v>
      </c>
      <c r="G5514">
        <f>(Cpi_[[#This Row],[Value]]-F5513)/F5513</f>
        <v>-0.13291579679888654</v>
      </c>
      <c r="H5514" t="e" cm="1" vm="1">
        <f t="array" aca="1" ref="H5514" ca="1">VLOOKUP(Cpi_[[#This Row],[Year]:[Month]],crudeoil[],3,FALSE)</f>
        <v>#VALUE!</v>
      </c>
    </row>
    <row r="5515" spans="1:8" hidden="1" x14ac:dyDescent="0.3">
      <c r="A5515" t="s">
        <v>30</v>
      </c>
      <c r="B5515">
        <v>2018</v>
      </c>
      <c r="C5515" t="s">
        <v>42</v>
      </c>
      <c r="D5515" t="s">
        <v>8</v>
      </c>
      <c r="E5515" t="e">
        <f>VLOOKUP(Cpi_[[#This Row],[Attribute]],#REF!,2,FALSE)</f>
        <v>#REF!</v>
      </c>
      <c r="F5515">
        <v>150.1</v>
      </c>
      <c r="G5515">
        <f>(Cpi_[[#This Row],[Value]]-F5514)/F5514</f>
        <v>0.20465489566613163</v>
      </c>
      <c r="H5515" t="e" cm="1" vm="1">
        <f t="array" aca="1" ref="H5515" ca="1">VLOOKUP(Cpi_[[#This Row],[Year]:[Month]],crudeoil[],3,FALSE)</f>
        <v>#VALUE!</v>
      </c>
    </row>
    <row r="5516" spans="1:8" hidden="1" x14ac:dyDescent="0.3">
      <c r="A5516" t="s">
        <v>30</v>
      </c>
      <c r="B5516">
        <v>2018</v>
      </c>
      <c r="C5516" t="s">
        <v>42</v>
      </c>
      <c r="D5516" t="s">
        <v>9</v>
      </c>
      <c r="E5516" t="e">
        <f>VLOOKUP(Cpi_[[#This Row],[Attribute]],#REF!,2,FALSE)</f>
        <v>#REF!</v>
      </c>
      <c r="F5516">
        <v>149.4</v>
      </c>
      <c r="G5516">
        <f>(Cpi_[[#This Row],[Value]]-F5515)/F5515</f>
        <v>-4.663557628247759E-3</v>
      </c>
      <c r="H5516" t="e" cm="1" vm="1">
        <f t="array" aca="1" ref="H5516" ca="1">VLOOKUP(Cpi_[[#This Row],[Year]:[Month]],crudeoil[],3,FALSE)</f>
        <v>#VALUE!</v>
      </c>
    </row>
    <row r="5517" spans="1:8" hidden="1" x14ac:dyDescent="0.3">
      <c r="A5517" t="s">
        <v>30</v>
      </c>
      <c r="B5517">
        <v>2018</v>
      </c>
      <c r="C5517" t="s">
        <v>42</v>
      </c>
      <c r="D5517" t="s">
        <v>10</v>
      </c>
      <c r="E5517" t="e">
        <f>VLOOKUP(Cpi_[[#This Row],[Attribute]],#REF!,2,FALSE)</f>
        <v>#REF!</v>
      </c>
      <c r="F5517">
        <v>125.4</v>
      </c>
      <c r="G5517">
        <f>(Cpi_[[#This Row],[Value]]-F5516)/F5516</f>
        <v>-0.1606425702811245</v>
      </c>
      <c r="H5517" t="e" cm="1" vm="1">
        <f t="array" aca="1" ref="H5517" ca="1">VLOOKUP(Cpi_[[#This Row],[Year]:[Month]],crudeoil[],3,FALSE)</f>
        <v>#VALUE!</v>
      </c>
    </row>
    <row r="5518" spans="1:8" hidden="1" x14ac:dyDescent="0.3">
      <c r="A5518" t="s">
        <v>30</v>
      </c>
      <c r="B5518">
        <v>2018</v>
      </c>
      <c r="C5518" t="s">
        <v>42</v>
      </c>
      <c r="D5518" t="s">
        <v>11</v>
      </c>
      <c r="E5518" t="e">
        <f>VLOOKUP(Cpi_[[#This Row],[Attribute]],#REF!,2,FALSE)</f>
        <v>#REF!</v>
      </c>
      <c r="F5518">
        <v>114.4</v>
      </c>
      <c r="G5518">
        <f>(Cpi_[[#This Row],[Value]]-F5517)/F5517</f>
        <v>-8.771929824561403E-2</v>
      </c>
      <c r="H5518" t="e" cm="1" vm="1">
        <f t="array" aca="1" ref="H5518" ca="1">VLOOKUP(Cpi_[[#This Row],[Year]:[Month]],crudeoil[],3,FALSE)</f>
        <v>#VALUE!</v>
      </c>
    </row>
    <row r="5519" spans="1:8" hidden="1" x14ac:dyDescent="0.3">
      <c r="A5519" t="s">
        <v>30</v>
      </c>
      <c r="B5519">
        <v>2018</v>
      </c>
      <c r="C5519" t="s">
        <v>42</v>
      </c>
      <c r="D5519" t="s">
        <v>12</v>
      </c>
      <c r="E5519" t="e">
        <f>VLOOKUP(Cpi_[[#This Row],[Attribute]],#REF!,2,FALSE)</f>
        <v>#REF!</v>
      </c>
      <c r="F5519">
        <v>138.69999999999999</v>
      </c>
      <c r="G5519">
        <f>(Cpi_[[#This Row],[Value]]-F5518)/F5518</f>
        <v>0.21241258741258726</v>
      </c>
      <c r="H5519" t="e" cm="1" vm="1">
        <f t="array" aca="1" ref="H5519" ca="1">VLOOKUP(Cpi_[[#This Row],[Year]:[Month]],crudeoil[],3,FALSE)</f>
        <v>#VALUE!</v>
      </c>
    </row>
    <row r="5520" spans="1:8" hidden="1" x14ac:dyDescent="0.3">
      <c r="A5520" t="s">
        <v>30</v>
      </c>
      <c r="B5520">
        <v>2018</v>
      </c>
      <c r="C5520" t="s">
        <v>42</v>
      </c>
      <c r="D5520" t="s">
        <v>13</v>
      </c>
      <c r="E5520" t="e">
        <f>VLOOKUP(Cpi_[[#This Row],[Attribute]],#REF!,2,FALSE)</f>
        <v>#REF!</v>
      </c>
      <c r="F5520">
        <v>133.1</v>
      </c>
      <c r="G5520">
        <f>(Cpi_[[#This Row],[Value]]-F5519)/F5519</f>
        <v>-4.0374909877433272E-2</v>
      </c>
      <c r="H5520" t="e" cm="1" vm="1">
        <f t="array" aca="1" ref="H5520" ca="1">VLOOKUP(Cpi_[[#This Row],[Year]:[Month]],crudeoil[],3,FALSE)</f>
        <v>#VALUE!</v>
      </c>
    </row>
    <row r="5521" spans="1:8" hidden="1" x14ac:dyDescent="0.3">
      <c r="A5521" t="s">
        <v>30</v>
      </c>
      <c r="B5521">
        <v>2018</v>
      </c>
      <c r="C5521" t="s">
        <v>42</v>
      </c>
      <c r="D5521" t="s">
        <v>14</v>
      </c>
      <c r="E5521" t="e">
        <f>VLOOKUP(Cpi_[[#This Row],[Attribute]],#REF!,2,FALSE)</f>
        <v>#REF!</v>
      </c>
      <c r="F5521">
        <v>155.9</v>
      </c>
      <c r="G5521">
        <f>(Cpi_[[#This Row],[Value]]-F5520)/F5520</f>
        <v>0.17129977460555981</v>
      </c>
      <c r="H5521" t="e" cm="1" vm="1">
        <f t="array" aca="1" ref="H5521" ca="1">VLOOKUP(Cpi_[[#This Row],[Year]:[Month]],crudeoil[],3,FALSE)</f>
        <v>#VALUE!</v>
      </c>
    </row>
    <row r="5522" spans="1:8" hidden="1" x14ac:dyDescent="0.3">
      <c r="A5522" t="s">
        <v>30</v>
      </c>
      <c r="B5522">
        <v>2018</v>
      </c>
      <c r="C5522" t="s">
        <v>42</v>
      </c>
      <c r="D5522" t="s">
        <v>15</v>
      </c>
      <c r="E5522" t="e">
        <f>VLOOKUP(Cpi_[[#This Row],[Attribute]],#REF!,2,FALSE)</f>
        <v>#REF!</v>
      </c>
      <c r="F5522">
        <v>141.30000000000001</v>
      </c>
      <c r="G5522">
        <f>(Cpi_[[#This Row],[Value]]-F5521)/F5521</f>
        <v>-9.3649775497113494E-2</v>
      </c>
      <c r="H5522" t="e" cm="1" vm="1">
        <f t="array" aca="1" ref="H5522" ca="1">VLOOKUP(Cpi_[[#This Row],[Year]:[Month]],crudeoil[],3,FALSE)</f>
        <v>#VALUE!</v>
      </c>
    </row>
    <row r="5523" spans="1:8" hidden="1" x14ac:dyDescent="0.3">
      <c r="A5523" t="s">
        <v>30</v>
      </c>
      <c r="B5523">
        <v>2018</v>
      </c>
      <c r="C5523" t="s">
        <v>42</v>
      </c>
      <c r="D5523" t="s">
        <v>16</v>
      </c>
      <c r="E5523" t="e">
        <f>VLOOKUP(Cpi_[[#This Row],[Attribute]],#REF!,2,FALSE)</f>
        <v>#REF!</v>
      </c>
      <c r="F5523">
        <v>157.69999999999999</v>
      </c>
      <c r="G5523">
        <f>(Cpi_[[#This Row],[Value]]-F5522)/F5522</f>
        <v>0.11606510969568277</v>
      </c>
      <c r="H5523" t="e" cm="1" vm="1">
        <f t="array" aca="1" ref="H5523" ca="1">VLOOKUP(Cpi_[[#This Row],[Year]:[Month]],crudeoil[],3,FALSE)</f>
        <v>#VALUE!</v>
      </c>
    </row>
    <row r="5524" spans="1:8" hidden="1" x14ac:dyDescent="0.3">
      <c r="A5524" t="s">
        <v>30</v>
      </c>
      <c r="B5524">
        <v>2018</v>
      </c>
      <c r="C5524" t="s">
        <v>42</v>
      </c>
      <c r="D5524" t="s">
        <v>17</v>
      </c>
      <c r="E5524" t="e">
        <f>VLOOKUP(Cpi_[[#This Row],[Attribute]],#REF!,2,FALSE)</f>
        <v>#REF!</v>
      </c>
      <c r="F5524">
        <v>152.1</v>
      </c>
      <c r="G5524">
        <f>(Cpi_[[#This Row],[Value]]-F5523)/F5523</f>
        <v>-3.5510462904248537E-2</v>
      </c>
      <c r="H5524" t="e" cm="1" vm="1">
        <f t="array" aca="1" ref="H5524" ca="1">VLOOKUP(Cpi_[[#This Row],[Year]:[Month]],crudeoil[],3,FALSE)</f>
        <v>#VALUE!</v>
      </c>
    </row>
    <row r="5525" spans="1:8" hidden="1" x14ac:dyDescent="0.3">
      <c r="A5525" t="s">
        <v>30</v>
      </c>
      <c r="B5525">
        <v>2018</v>
      </c>
      <c r="C5525" t="s">
        <v>42</v>
      </c>
      <c r="D5525" t="s">
        <v>18</v>
      </c>
      <c r="E5525" t="e">
        <f>VLOOKUP(Cpi_[[#This Row],[Attribute]],#REF!,2,FALSE)</f>
        <v>#REF!</v>
      </c>
      <c r="F5525">
        <v>146.1</v>
      </c>
      <c r="G5525">
        <f>(Cpi_[[#This Row],[Value]]-F5524)/F5524</f>
        <v>-3.9447731755424063E-2</v>
      </c>
      <c r="H5525" t="e" cm="1" vm="1">
        <f t="array" aca="1" ref="H5525" ca="1">VLOOKUP(Cpi_[[#This Row],[Year]:[Month]],crudeoil[],3,FALSE)</f>
        <v>#VALUE!</v>
      </c>
    </row>
    <row r="5526" spans="1:8" hidden="1" x14ac:dyDescent="0.3">
      <c r="A5526" t="s">
        <v>30</v>
      </c>
      <c r="B5526">
        <v>2018</v>
      </c>
      <c r="C5526" t="s">
        <v>42</v>
      </c>
      <c r="D5526" t="s">
        <v>19</v>
      </c>
      <c r="E5526" t="e">
        <f>VLOOKUP(Cpi_[[#This Row],[Attribute]],#REF!,2,FALSE)</f>
        <v>#REF!</v>
      </c>
      <c r="F5526">
        <v>151.30000000000001</v>
      </c>
      <c r="G5526">
        <f>(Cpi_[[#This Row],[Value]]-F5525)/F5525</f>
        <v>3.5592060232717437E-2</v>
      </c>
      <c r="H5526" t="e" cm="1" vm="1">
        <f t="array" aca="1" ref="H5526" ca="1">VLOOKUP(Cpi_[[#This Row],[Year]:[Month]],crudeoil[],3,FALSE)</f>
        <v>#VALUE!</v>
      </c>
    </row>
    <row r="5527" spans="1:8" hidden="1" x14ac:dyDescent="0.3">
      <c r="A5527" t="s">
        <v>30</v>
      </c>
      <c r="B5527">
        <v>2018</v>
      </c>
      <c r="C5527" t="s">
        <v>42</v>
      </c>
      <c r="D5527" t="s">
        <v>20</v>
      </c>
      <c r="E5527" t="e">
        <f>VLOOKUP(Cpi_[[#This Row],[Attribute]],#REF!,2,FALSE)</f>
        <v>#REF!</v>
      </c>
      <c r="F5527" t="s">
        <v>32</v>
      </c>
      <c r="G5527" t="e">
        <f>(Cpi_[[#This Row],[Value]]-F5526)/F5526</f>
        <v>#VALUE!</v>
      </c>
      <c r="H5527" t="e" cm="1" vm="1">
        <f t="array" aca="1" ref="H5527" ca="1">VLOOKUP(Cpi_[[#This Row],[Year]:[Month]],crudeoil[],3,FALSE)</f>
        <v>#VALUE!</v>
      </c>
    </row>
    <row r="5528" spans="1:8" hidden="1" x14ac:dyDescent="0.3">
      <c r="A5528" t="s">
        <v>30</v>
      </c>
      <c r="B5528">
        <v>2018</v>
      </c>
      <c r="C5528" t="s">
        <v>42</v>
      </c>
      <c r="D5528" t="s">
        <v>21</v>
      </c>
      <c r="E5528" t="e">
        <f>VLOOKUP(Cpi_[[#This Row],[Attribute]],#REF!,2,FALSE)</f>
        <v>#REF!</v>
      </c>
      <c r="F5528">
        <v>149</v>
      </c>
      <c r="G5528" t="e">
        <f>(Cpi_[[#This Row],[Value]]-F5527)/F5527</f>
        <v>#VALUE!</v>
      </c>
      <c r="H5528" t="e" cm="1" vm="1">
        <f t="array" aca="1" ref="H5528" ca="1">VLOOKUP(Cpi_[[#This Row],[Year]:[Month]],crudeoil[],3,FALSE)</f>
        <v>#VALUE!</v>
      </c>
    </row>
    <row r="5529" spans="1:8" hidden="1" x14ac:dyDescent="0.3">
      <c r="A5529" t="s">
        <v>30</v>
      </c>
      <c r="B5529">
        <v>2018</v>
      </c>
      <c r="C5529" t="s">
        <v>42</v>
      </c>
      <c r="D5529" t="s">
        <v>22</v>
      </c>
      <c r="E5529" t="e">
        <f>VLOOKUP(Cpi_[[#This Row],[Attribute]],#REF!,2,FALSE)</f>
        <v>#REF!</v>
      </c>
      <c r="F5529">
        <v>144</v>
      </c>
      <c r="G5529">
        <f>(Cpi_[[#This Row],[Value]]-F5528)/F5528</f>
        <v>-3.3557046979865772E-2</v>
      </c>
      <c r="H5529" t="e" cm="1" vm="1">
        <f t="array" aca="1" ref="H5529" ca="1">VLOOKUP(Cpi_[[#This Row],[Year]:[Month]],crudeoil[],3,FALSE)</f>
        <v>#VALUE!</v>
      </c>
    </row>
    <row r="5530" spans="1:8" hidden="1" x14ac:dyDescent="0.3">
      <c r="A5530" t="s">
        <v>30</v>
      </c>
      <c r="B5530">
        <v>2018</v>
      </c>
      <c r="C5530" t="s">
        <v>42</v>
      </c>
      <c r="D5530" t="s">
        <v>23</v>
      </c>
      <c r="E5530" t="e">
        <f>VLOOKUP(Cpi_[[#This Row],[Attribute]],#REF!,2,FALSE)</f>
        <v>#REF!</v>
      </c>
      <c r="F5530">
        <v>140</v>
      </c>
      <c r="G5530">
        <f>(Cpi_[[#This Row],[Value]]-F5529)/F5529</f>
        <v>-2.7777777777777776E-2</v>
      </c>
      <c r="H5530" t="e" cm="1" vm="1">
        <f t="array" aca="1" ref="H5530" ca="1">VLOOKUP(Cpi_[[#This Row],[Year]:[Month]],crudeoil[],3,FALSE)</f>
        <v>#VALUE!</v>
      </c>
    </row>
    <row r="5531" spans="1:8" hidden="1" x14ac:dyDescent="0.3">
      <c r="A5531" t="s">
        <v>30</v>
      </c>
      <c r="B5531">
        <v>2018</v>
      </c>
      <c r="C5531" t="s">
        <v>42</v>
      </c>
      <c r="D5531" t="s">
        <v>24</v>
      </c>
      <c r="E5531" t="e">
        <f>VLOOKUP(Cpi_[[#This Row],[Attribute]],#REF!,2,FALSE)</f>
        <v>#REF!</v>
      </c>
      <c r="F5531">
        <v>129.9</v>
      </c>
      <c r="G5531">
        <f>(Cpi_[[#This Row],[Value]]-F5530)/F5530</f>
        <v>-7.2142857142857106E-2</v>
      </c>
      <c r="H5531" t="e" cm="1" vm="1">
        <f t="array" aca="1" ref="H5531" ca="1">VLOOKUP(Cpi_[[#This Row],[Year]:[Month]],crudeoil[],3,FALSE)</f>
        <v>#VALUE!</v>
      </c>
    </row>
    <row r="5532" spans="1:8" hidden="1" x14ac:dyDescent="0.3">
      <c r="A5532" t="s">
        <v>30</v>
      </c>
      <c r="B5532">
        <v>2018</v>
      </c>
      <c r="C5532" t="s">
        <v>42</v>
      </c>
      <c r="D5532" t="s">
        <v>25</v>
      </c>
      <c r="E5532" t="e">
        <f>VLOOKUP(Cpi_[[#This Row],[Attribute]],#REF!,2,FALSE)</f>
        <v>#REF!</v>
      </c>
      <c r="F5532">
        <v>140</v>
      </c>
      <c r="G5532">
        <f>(Cpi_[[#This Row],[Value]]-F5531)/F5531</f>
        <v>7.7752117013086944E-2</v>
      </c>
      <c r="H5532" t="e" cm="1" vm="1">
        <f t="array" aca="1" ref="H5532" ca="1">VLOOKUP(Cpi_[[#This Row],[Year]:[Month]],crudeoil[],3,FALSE)</f>
        <v>#VALUE!</v>
      </c>
    </row>
    <row r="5533" spans="1:8" hidden="1" x14ac:dyDescent="0.3">
      <c r="A5533" t="s">
        <v>30</v>
      </c>
      <c r="B5533">
        <v>2018</v>
      </c>
      <c r="C5533" t="s">
        <v>42</v>
      </c>
      <c r="D5533" t="s">
        <v>26</v>
      </c>
      <c r="E5533" t="e">
        <f>VLOOKUP(Cpi_[[#This Row],[Attribute]],#REF!,2,FALSE)</f>
        <v>#REF!</v>
      </c>
      <c r="F5533">
        <v>147.6</v>
      </c>
      <c r="G5533">
        <f>(Cpi_[[#This Row],[Value]]-F5532)/F5532</f>
        <v>5.4285714285714243E-2</v>
      </c>
      <c r="H5533" t="e" cm="1" vm="1">
        <f t="array" aca="1" ref="H5533" ca="1">VLOOKUP(Cpi_[[#This Row],[Year]:[Month]],crudeoil[],3,FALSE)</f>
        <v>#VALUE!</v>
      </c>
    </row>
    <row r="5534" spans="1:8" hidden="1" x14ac:dyDescent="0.3">
      <c r="A5534" t="s">
        <v>30</v>
      </c>
      <c r="B5534">
        <v>2018</v>
      </c>
      <c r="C5534" t="s">
        <v>42</v>
      </c>
      <c r="D5534" t="s">
        <v>27</v>
      </c>
      <c r="E5534" t="e">
        <f>VLOOKUP(Cpi_[[#This Row],[Attribute]],#REF!,2,FALSE)</f>
        <v>#REF!</v>
      </c>
      <c r="F5534">
        <v>132</v>
      </c>
      <c r="G5534">
        <f>(Cpi_[[#This Row],[Value]]-F5533)/F5533</f>
        <v>-0.10569105691056907</v>
      </c>
      <c r="H5534" t="e" cm="1" vm="1">
        <f t="array" aca="1" ref="H5534" ca="1">VLOOKUP(Cpi_[[#This Row],[Year]:[Month]],crudeoil[],3,FALSE)</f>
        <v>#VALUE!</v>
      </c>
    </row>
    <row r="5535" spans="1:8" hidden="1" x14ac:dyDescent="0.3">
      <c r="A5535" t="s">
        <v>30</v>
      </c>
      <c r="B5535">
        <v>2018</v>
      </c>
      <c r="C5535" t="s">
        <v>42</v>
      </c>
      <c r="D5535" t="s">
        <v>28</v>
      </c>
      <c r="E5535" t="e">
        <f>VLOOKUP(Cpi_[[#This Row],[Attribute]],#REF!,2,FALSE)</f>
        <v>#REF!</v>
      </c>
      <c r="F5535">
        <v>137.4</v>
      </c>
      <c r="G5535">
        <f>(Cpi_[[#This Row],[Value]]-F5534)/F5534</f>
        <v>4.090909090909095E-2</v>
      </c>
      <c r="H5535" t="e" cm="1" vm="1">
        <f t="array" aca="1" ref="H5535" ca="1">VLOOKUP(Cpi_[[#This Row],[Year]:[Month]],crudeoil[],3,FALSE)</f>
        <v>#VALUE!</v>
      </c>
    </row>
    <row r="5536" spans="1:8" hidden="1" x14ac:dyDescent="0.3">
      <c r="A5536" t="s">
        <v>30</v>
      </c>
      <c r="B5536">
        <v>2018</v>
      </c>
      <c r="C5536" t="s">
        <v>42</v>
      </c>
      <c r="D5536" t="s">
        <v>29</v>
      </c>
      <c r="E5536" t="e" cm="1">
        <f t="array" aca="1" ref="E5536" ca="1">VLGeneral indexGeneral indexKUP(Cpi_[[#This Row],[Attribute]],#REF!,2,FALSE)</f>
        <v>#NAME?</v>
      </c>
      <c r="F5536">
        <v>142.1</v>
      </c>
      <c r="G5536">
        <f>(Cpi_[[#This Row],[Value]]-F5535)/F5535</f>
        <v>3.4206695778748096E-2</v>
      </c>
      <c r="H5536" t="e" cm="1" vm="1">
        <f t="array" aca="1" ref="H5536" ca="1">VLOOKUP(Cpi_[[#This Row],[Year]:[Month]],crudeoil[],3,FALSE)</f>
        <v>#VALUE!</v>
      </c>
    </row>
    <row r="5537" spans="1:8" hidden="1" x14ac:dyDescent="0.3">
      <c r="A5537" t="s">
        <v>33</v>
      </c>
      <c r="B5537">
        <v>2018</v>
      </c>
      <c r="C5537" t="s">
        <v>42</v>
      </c>
      <c r="D5537" t="s">
        <v>3</v>
      </c>
      <c r="E5537" t="e">
        <f>VLOOKUP(Cpi_[[#This Row],[Attribute]],#REF!,2,FALSE)</f>
        <v>#REF!</v>
      </c>
      <c r="F5537">
        <v>137</v>
      </c>
      <c r="G5537">
        <f>(Cpi_[[#This Row],[Value]]-F5536)/F5536</f>
        <v>-3.589021815622797E-2</v>
      </c>
      <c r="H5537" t="e" cm="1" vm="1">
        <f t="array" aca="1" ref="H5537" ca="1">VLOOKUP(Cpi_[[#This Row],[Year]:[Month]],crudeoil[],3,FALSE)</f>
        <v>#VALUE!</v>
      </c>
    </row>
    <row r="5538" spans="1:8" hidden="1" x14ac:dyDescent="0.3">
      <c r="A5538" t="s">
        <v>33</v>
      </c>
      <c r="B5538">
        <v>2018</v>
      </c>
      <c r="C5538" t="s">
        <v>42</v>
      </c>
      <c r="D5538" t="s">
        <v>4</v>
      </c>
      <c r="E5538" t="e">
        <f>VLOOKUP(Cpi_[[#This Row],[Attribute]],#REF!,2,FALSE)</f>
        <v>#REF!</v>
      </c>
      <c r="F5538">
        <v>143.1</v>
      </c>
      <c r="G5538">
        <f>(Cpi_[[#This Row],[Value]]-F5537)/F5537</f>
        <v>4.4525547445255435E-2</v>
      </c>
      <c r="H5538" t="e" cm="1" vm="1">
        <f t="array" aca="1" ref="H5538" ca="1">VLOOKUP(Cpi_[[#This Row],[Year]:[Month]],crudeoil[],3,FALSE)</f>
        <v>#VALUE!</v>
      </c>
    </row>
    <row r="5539" spans="1:8" hidden="1" x14ac:dyDescent="0.3">
      <c r="A5539" t="s">
        <v>33</v>
      </c>
      <c r="B5539">
        <v>2018</v>
      </c>
      <c r="C5539" t="s">
        <v>42</v>
      </c>
      <c r="D5539" t="s">
        <v>5</v>
      </c>
      <c r="E5539" t="e">
        <f>VLOOKUP(Cpi_[[#This Row],[Attribute]],#REF!,2,FALSE)</f>
        <v>#REF!</v>
      </c>
      <c r="F5539">
        <v>132.80000000000001</v>
      </c>
      <c r="G5539">
        <f>(Cpi_[[#This Row],[Value]]-F5538)/F5538</f>
        <v>-7.1977638015373754E-2</v>
      </c>
      <c r="H5539" t="e" cm="1" vm="1">
        <f t="array" aca="1" ref="H5539" ca="1">VLOOKUP(Cpi_[[#This Row],[Year]:[Month]],crudeoil[],3,FALSE)</f>
        <v>#VALUE!</v>
      </c>
    </row>
    <row r="5540" spans="1:8" hidden="1" x14ac:dyDescent="0.3">
      <c r="A5540" t="s">
        <v>33</v>
      </c>
      <c r="B5540">
        <v>2018</v>
      </c>
      <c r="C5540" t="s">
        <v>42</v>
      </c>
      <c r="D5540" t="s">
        <v>6</v>
      </c>
      <c r="E5540" t="e">
        <f>VLOOKUP(Cpi_[[#This Row],[Attribute]],#REF!,2,FALSE)</f>
        <v>#REF!</v>
      </c>
      <c r="F5540">
        <v>141.5</v>
      </c>
      <c r="G5540">
        <f>(Cpi_[[#This Row],[Value]]-F5539)/F5539</f>
        <v>6.5512048192770997E-2</v>
      </c>
      <c r="H5540" t="e" cm="1" vm="1">
        <f t="array" aca="1" ref="H5540" ca="1">VLOOKUP(Cpi_[[#This Row],[Year]:[Month]],crudeoil[],3,FALSE)</f>
        <v>#VALUE!</v>
      </c>
    </row>
    <row r="5541" spans="1:8" hidden="1" x14ac:dyDescent="0.3">
      <c r="A5541" t="s">
        <v>33</v>
      </c>
      <c r="B5541">
        <v>2018</v>
      </c>
      <c r="C5541" t="s">
        <v>42</v>
      </c>
      <c r="D5541" t="s">
        <v>7</v>
      </c>
      <c r="E5541" t="e">
        <f>VLOOKUP(Cpi_[[#This Row],[Attribute]],#REF!,2,FALSE)</f>
        <v>#REF!</v>
      </c>
      <c r="F5541">
        <v>117.8</v>
      </c>
      <c r="G5541">
        <f>(Cpi_[[#This Row],[Value]]-F5540)/F5540</f>
        <v>-0.16749116607773853</v>
      </c>
      <c r="H5541" t="e" cm="1" vm="1">
        <f t="array" aca="1" ref="H5541" ca="1">VLOOKUP(Cpi_[[#This Row],[Year]:[Month]],crudeoil[],3,FALSE)</f>
        <v>#VALUE!</v>
      </c>
    </row>
    <row r="5542" spans="1:8" hidden="1" x14ac:dyDescent="0.3">
      <c r="A5542" t="s">
        <v>33</v>
      </c>
      <c r="B5542">
        <v>2018</v>
      </c>
      <c r="C5542" t="s">
        <v>42</v>
      </c>
      <c r="D5542" t="s">
        <v>8</v>
      </c>
      <c r="E5542" t="e">
        <f>VLOOKUP(Cpi_[[#This Row],[Attribute]],#REF!,2,FALSE)</f>
        <v>#REF!</v>
      </c>
      <c r="F5542">
        <v>140</v>
      </c>
      <c r="G5542">
        <f>(Cpi_[[#This Row],[Value]]-F5541)/F5541</f>
        <v>0.18845500848896438</v>
      </c>
      <c r="H5542" t="e" cm="1" vm="1">
        <f t="array" aca="1" ref="H5542" ca="1">VLOOKUP(Cpi_[[#This Row],[Year]:[Month]],crudeoil[],3,FALSE)</f>
        <v>#VALUE!</v>
      </c>
    </row>
    <row r="5543" spans="1:8" hidden="1" x14ac:dyDescent="0.3">
      <c r="A5543" t="s">
        <v>33</v>
      </c>
      <c r="B5543">
        <v>2018</v>
      </c>
      <c r="C5543" t="s">
        <v>42</v>
      </c>
      <c r="D5543" t="s">
        <v>9</v>
      </c>
      <c r="E5543" t="e">
        <f>VLOOKUP(Cpi_[[#This Row],[Attribute]],#REF!,2,FALSE)</f>
        <v>#REF!</v>
      </c>
      <c r="F5543">
        <v>151.30000000000001</v>
      </c>
      <c r="G5543">
        <f>(Cpi_[[#This Row],[Value]]-F5542)/F5542</f>
        <v>8.0714285714285794E-2</v>
      </c>
      <c r="H5543" t="e" cm="1" vm="1">
        <f t="array" aca="1" ref="H5543" ca="1">VLOOKUP(Cpi_[[#This Row],[Year]:[Month]],crudeoil[],3,FALSE)</f>
        <v>#VALUE!</v>
      </c>
    </row>
    <row r="5544" spans="1:8" hidden="1" x14ac:dyDescent="0.3">
      <c r="A5544" t="s">
        <v>33</v>
      </c>
      <c r="B5544">
        <v>2018</v>
      </c>
      <c r="C5544" t="s">
        <v>42</v>
      </c>
      <c r="D5544" t="s">
        <v>10</v>
      </c>
      <c r="E5544" t="e">
        <f>VLOOKUP(Cpi_[[#This Row],[Attribute]],#REF!,2,FALSE)</f>
        <v>#REF!</v>
      </c>
      <c r="F5544">
        <v>113.5</v>
      </c>
      <c r="G5544">
        <f>(Cpi_[[#This Row],[Value]]-F5543)/F5543</f>
        <v>-0.24983476536682095</v>
      </c>
      <c r="H5544" t="e" cm="1" vm="1">
        <f t="array" aca="1" ref="H5544" ca="1">VLOOKUP(Cpi_[[#This Row],[Year]:[Month]],crudeoil[],3,FALSE)</f>
        <v>#VALUE!</v>
      </c>
    </row>
    <row r="5545" spans="1:8" hidden="1" x14ac:dyDescent="0.3">
      <c r="A5545" t="s">
        <v>33</v>
      </c>
      <c r="B5545">
        <v>2018</v>
      </c>
      <c r="C5545" t="s">
        <v>42</v>
      </c>
      <c r="D5545" t="s">
        <v>11</v>
      </c>
      <c r="E5545" t="e">
        <f>VLOOKUP(Cpi_[[#This Row],[Attribute]],#REF!,2,FALSE)</f>
        <v>#REF!</v>
      </c>
      <c r="F5545">
        <v>112.3</v>
      </c>
      <c r="G5545">
        <f>(Cpi_[[#This Row],[Value]]-F5544)/F5544</f>
        <v>-1.0572687224669629E-2</v>
      </c>
      <c r="H5545" t="e" cm="1" vm="1">
        <f t="array" aca="1" ref="H5545" ca="1">VLOOKUP(Cpi_[[#This Row],[Year]:[Month]],crudeoil[],3,FALSE)</f>
        <v>#VALUE!</v>
      </c>
    </row>
    <row r="5546" spans="1:8" hidden="1" x14ac:dyDescent="0.3">
      <c r="A5546" t="s">
        <v>33</v>
      </c>
      <c r="B5546">
        <v>2018</v>
      </c>
      <c r="C5546" t="s">
        <v>42</v>
      </c>
      <c r="D5546" t="s">
        <v>12</v>
      </c>
      <c r="E5546" t="e">
        <f>VLOOKUP(Cpi_[[#This Row],[Attribute]],#REF!,2,FALSE)</f>
        <v>#REF!</v>
      </c>
      <c r="F5546">
        <v>141.19999999999999</v>
      </c>
      <c r="G5546">
        <f>(Cpi_[[#This Row],[Value]]-F5545)/F5545</f>
        <v>0.2573463935886019</v>
      </c>
      <c r="H5546" t="e" cm="1" vm="1">
        <f t="array" aca="1" ref="H5546" ca="1">VLOOKUP(Cpi_[[#This Row],[Year]:[Month]],crudeoil[],3,FALSE)</f>
        <v>#VALUE!</v>
      </c>
    </row>
    <row r="5547" spans="1:8" hidden="1" x14ac:dyDescent="0.3">
      <c r="A5547" t="s">
        <v>33</v>
      </c>
      <c r="B5547">
        <v>2018</v>
      </c>
      <c r="C5547" t="s">
        <v>42</v>
      </c>
      <c r="D5547" t="s">
        <v>13</v>
      </c>
      <c r="E5547" t="e">
        <f>VLOOKUP(Cpi_[[#This Row],[Attribute]],#REF!,2,FALSE)</f>
        <v>#REF!</v>
      </c>
      <c r="F5547">
        <v>127.7</v>
      </c>
      <c r="G5547">
        <f>(Cpi_[[#This Row],[Value]]-F5546)/F5546</f>
        <v>-9.5609065155807277E-2</v>
      </c>
      <c r="H5547" t="e" cm="1" vm="1">
        <f t="array" aca="1" ref="H5547" ca="1">VLOOKUP(Cpi_[[#This Row],[Year]:[Month]],crudeoil[],3,FALSE)</f>
        <v>#VALUE!</v>
      </c>
    </row>
    <row r="5548" spans="1:8" hidden="1" x14ac:dyDescent="0.3">
      <c r="A5548" t="s">
        <v>33</v>
      </c>
      <c r="B5548">
        <v>2018</v>
      </c>
      <c r="C5548" t="s">
        <v>42</v>
      </c>
      <c r="D5548" t="s">
        <v>14</v>
      </c>
      <c r="E5548" t="e">
        <f>VLOOKUP(Cpi_[[#This Row],[Attribute]],#REF!,2,FALSE)</f>
        <v>#REF!</v>
      </c>
      <c r="F5548">
        <v>151.30000000000001</v>
      </c>
      <c r="G5548">
        <f>(Cpi_[[#This Row],[Value]]-F5547)/F5547</f>
        <v>0.18480814408770563</v>
      </c>
      <c r="H5548" t="e" cm="1" vm="1">
        <f t="array" aca="1" ref="H5548" ca="1">VLOOKUP(Cpi_[[#This Row],[Year]:[Month]],crudeoil[],3,FALSE)</f>
        <v>#VALUE!</v>
      </c>
    </row>
    <row r="5549" spans="1:8" hidden="1" x14ac:dyDescent="0.3">
      <c r="A5549" t="s">
        <v>33</v>
      </c>
      <c r="B5549">
        <v>2018</v>
      </c>
      <c r="C5549" t="s">
        <v>42</v>
      </c>
      <c r="D5549" t="s">
        <v>15</v>
      </c>
      <c r="E5549" t="e">
        <f>VLOOKUP(Cpi_[[#This Row],[Attribute]],#REF!,2,FALSE)</f>
        <v>#REF!</v>
      </c>
      <c r="F5549">
        <v>138.9</v>
      </c>
      <c r="G5549">
        <f>(Cpi_[[#This Row],[Value]]-F5548)/F5548</f>
        <v>-8.1956378056840751E-2</v>
      </c>
      <c r="H5549" t="e" cm="1" vm="1">
        <f t="array" aca="1" ref="H5549" ca="1">VLOOKUP(Cpi_[[#This Row],[Year]:[Month]],crudeoil[],3,FALSE)</f>
        <v>#VALUE!</v>
      </c>
    </row>
    <row r="5550" spans="1:8" hidden="1" x14ac:dyDescent="0.3">
      <c r="A5550" t="s">
        <v>33</v>
      </c>
      <c r="B5550">
        <v>2018</v>
      </c>
      <c r="C5550" t="s">
        <v>42</v>
      </c>
      <c r="D5550" t="s">
        <v>16</v>
      </c>
      <c r="E5550" t="e">
        <f>VLOOKUP(Cpi_[[#This Row],[Attribute]],#REF!,2,FALSE)</f>
        <v>#REF!</v>
      </c>
      <c r="F5550">
        <v>163.30000000000001</v>
      </c>
      <c r="G5550">
        <f>(Cpi_[[#This Row],[Value]]-F5549)/F5549</f>
        <v>0.17566594672426208</v>
      </c>
      <c r="H5550" t="e" cm="1" vm="1">
        <f t="array" aca="1" ref="H5550" ca="1">VLOOKUP(Cpi_[[#This Row],[Year]:[Month]],crudeoil[],3,FALSE)</f>
        <v>#VALUE!</v>
      </c>
    </row>
    <row r="5551" spans="1:8" hidden="1" x14ac:dyDescent="0.3">
      <c r="A5551" t="s">
        <v>33</v>
      </c>
      <c r="B5551">
        <v>2018</v>
      </c>
      <c r="C5551" t="s">
        <v>42</v>
      </c>
      <c r="D5551" t="s">
        <v>17</v>
      </c>
      <c r="E5551" t="e">
        <f>VLOOKUP(Cpi_[[#This Row],[Attribute]],#REF!,2,FALSE)</f>
        <v>#REF!</v>
      </c>
      <c r="F5551">
        <v>140.80000000000001</v>
      </c>
      <c r="G5551">
        <f>(Cpi_[[#This Row],[Value]]-F5550)/F5550</f>
        <v>-0.13778322106552357</v>
      </c>
      <c r="H5551" t="e" cm="1" vm="1">
        <f t="array" aca="1" ref="H5551" ca="1">VLOOKUP(Cpi_[[#This Row],[Year]:[Month]],crudeoil[],3,FALSE)</f>
        <v>#VALUE!</v>
      </c>
    </row>
    <row r="5552" spans="1:8" hidden="1" x14ac:dyDescent="0.3">
      <c r="A5552" t="s">
        <v>33</v>
      </c>
      <c r="B5552">
        <v>2018</v>
      </c>
      <c r="C5552" t="s">
        <v>42</v>
      </c>
      <c r="D5552" t="s">
        <v>18</v>
      </c>
      <c r="E5552" t="e">
        <f>VLOOKUP(Cpi_[[#This Row],[Attribute]],#REF!,2,FALSE)</f>
        <v>#REF!</v>
      </c>
      <c r="F5552">
        <v>129.30000000000001</v>
      </c>
      <c r="G5552">
        <f>(Cpi_[[#This Row],[Value]]-F5551)/F5551</f>
        <v>-8.1676136363636354E-2</v>
      </c>
      <c r="H5552" t="e" cm="1" vm="1">
        <f t="array" aca="1" ref="H5552" ca="1">VLOOKUP(Cpi_[[#This Row],[Year]:[Month]],crudeoil[],3,FALSE)</f>
        <v>#VALUE!</v>
      </c>
    </row>
    <row r="5553" spans="1:8" hidden="1" x14ac:dyDescent="0.3">
      <c r="A5553" t="s">
        <v>33</v>
      </c>
      <c r="B5553">
        <v>2018</v>
      </c>
      <c r="C5553" t="s">
        <v>42</v>
      </c>
      <c r="D5553" t="s">
        <v>19</v>
      </c>
      <c r="E5553" t="e">
        <f>VLOOKUP(Cpi_[[#This Row],[Attribute]],#REF!,2,FALSE)</f>
        <v>#REF!</v>
      </c>
      <c r="F5553">
        <v>139.1</v>
      </c>
      <c r="G5553">
        <f>(Cpi_[[#This Row],[Value]]-F5552)/F5552</f>
        <v>7.579273008507334E-2</v>
      </c>
      <c r="H5553" t="e" cm="1" vm="1">
        <f t="array" aca="1" ref="H5553" ca="1">VLOOKUP(Cpi_[[#This Row],[Year]:[Month]],crudeoil[],3,FALSE)</f>
        <v>#VALUE!</v>
      </c>
    </row>
    <row r="5554" spans="1:8" hidden="1" x14ac:dyDescent="0.3">
      <c r="A5554" t="s">
        <v>33</v>
      </c>
      <c r="B5554">
        <v>2018</v>
      </c>
      <c r="C5554" t="s">
        <v>42</v>
      </c>
      <c r="D5554" t="s">
        <v>20</v>
      </c>
      <c r="E5554" t="e">
        <f>VLOOKUP(Cpi_[[#This Row],[Attribute]],#REF!,2,FALSE)</f>
        <v>#REF!</v>
      </c>
      <c r="F5554">
        <v>145.30000000000001</v>
      </c>
      <c r="G5554">
        <f>(Cpi_[[#This Row],[Value]]-F5553)/F5553</f>
        <v>4.4572250179726942E-2</v>
      </c>
      <c r="H5554" t="e" cm="1" vm="1">
        <f t="array" aca="1" ref="H5554" ca="1">VLOOKUP(Cpi_[[#This Row],[Year]:[Month]],crudeoil[],3,FALSE)</f>
        <v>#VALUE!</v>
      </c>
    </row>
    <row r="5555" spans="1:8" hidden="1" x14ac:dyDescent="0.3">
      <c r="A5555" t="s">
        <v>33</v>
      </c>
      <c r="B5555">
        <v>2018</v>
      </c>
      <c r="C5555" t="s">
        <v>42</v>
      </c>
      <c r="D5555" t="s">
        <v>21</v>
      </c>
      <c r="E5555" t="e">
        <f>VLOOKUP(Cpi_[[#This Row],[Attribute]],#REF!,2,FALSE)</f>
        <v>#REF!</v>
      </c>
      <c r="F5555">
        <v>131.19999999999999</v>
      </c>
      <c r="G5555">
        <f>(Cpi_[[#This Row],[Value]]-F5554)/F5554</f>
        <v>-9.7040605643496369E-2</v>
      </c>
      <c r="H5555" t="e" cm="1" vm="1">
        <f t="array" aca="1" ref="H5555" ca="1">VLOOKUP(Cpi_[[#This Row],[Year]:[Month]],crudeoil[],3,FALSE)</f>
        <v>#VALUE!</v>
      </c>
    </row>
    <row r="5556" spans="1:8" hidden="1" x14ac:dyDescent="0.3">
      <c r="A5556" t="s">
        <v>33</v>
      </c>
      <c r="B5556">
        <v>2018</v>
      </c>
      <c r="C5556" t="s">
        <v>42</v>
      </c>
      <c r="D5556" t="s">
        <v>22</v>
      </c>
      <c r="E5556" t="e">
        <f>VLOOKUP(Cpi_[[#This Row],[Attribute]],#REF!,2,FALSE)</f>
        <v>#REF!</v>
      </c>
      <c r="F5556">
        <v>134.9</v>
      </c>
      <c r="G5556">
        <f>(Cpi_[[#This Row],[Value]]-F5555)/F5555</f>
        <v>2.8201219512195255E-2</v>
      </c>
      <c r="H5556" t="e" cm="1" vm="1">
        <f t="array" aca="1" ref="H5556" ca="1">VLOOKUP(Cpi_[[#This Row],[Year]:[Month]],crudeoil[],3,FALSE)</f>
        <v>#VALUE!</v>
      </c>
    </row>
    <row r="5557" spans="1:8" hidden="1" x14ac:dyDescent="0.3">
      <c r="A5557" t="s">
        <v>33</v>
      </c>
      <c r="B5557">
        <v>2018</v>
      </c>
      <c r="C5557" t="s">
        <v>42</v>
      </c>
      <c r="D5557" t="s">
        <v>23</v>
      </c>
      <c r="E5557" t="e">
        <f>VLOOKUP(Cpi_[[#This Row],[Attribute]],#REF!,2,FALSE)</f>
        <v>#REF!</v>
      </c>
      <c r="F5557">
        <v>135.69999999999999</v>
      </c>
      <c r="G5557">
        <f>(Cpi_[[#This Row],[Value]]-F5556)/F5556</f>
        <v>5.9303187546329347E-3</v>
      </c>
      <c r="H5557" t="e" cm="1" vm="1">
        <f t="array" aca="1" ref="H5557" ca="1">VLOOKUP(Cpi_[[#This Row],[Year]:[Month]],crudeoil[],3,FALSE)</f>
        <v>#VALUE!</v>
      </c>
    </row>
    <row r="5558" spans="1:8" hidden="1" x14ac:dyDescent="0.3">
      <c r="A5558" t="s">
        <v>33</v>
      </c>
      <c r="B5558">
        <v>2018</v>
      </c>
      <c r="C5558" t="s">
        <v>42</v>
      </c>
      <c r="D5558" t="s">
        <v>24</v>
      </c>
      <c r="E5558" t="e">
        <f>VLOOKUP(Cpi_[[#This Row],[Attribute]],#REF!,2,FALSE)</f>
        <v>#REF!</v>
      </c>
      <c r="F5558">
        <v>122.5</v>
      </c>
      <c r="G5558">
        <f>(Cpi_[[#This Row],[Value]]-F5557)/F5557</f>
        <v>-9.7273397199705153E-2</v>
      </c>
      <c r="H5558" t="e" cm="1" vm="1">
        <f t="array" aca="1" ref="H5558" ca="1">VLOOKUP(Cpi_[[#This Row],[Year]:[Month]],crudeoil[],3,FALSE)</f>
        <v>#VALUE!</v>
      </c>
    </row>
    <row r="5559" spans="1:8" hidden="1" x14ac:dyDescent="0.3">
      <c r="A5559" t="s">
        <v>33</v>
      </c>
      <c r="B5559">
        <v>2018</v>
      </c>
      <c r="C5559" t="s">
        <v>42</v>
      </c>
      <c r="D5559" t="s">
        <v>25</v>
      </c>
      <c r="E5559" t="e">
        <f>VLOOKUP(Cpi_[[#This Row],[Attribute]],#REF!,2,FALSE)</f>
        <v>#REF!</v>
      </c>
      <c r="F5559">
        <v>130.19999999999999</v>
      </c>
      <c r="G5559">
        <f>(Cpi_[[#This Row],[Value]]-F5558)/F5558</f>
        <v>6.2857142857142764E-2</v>
      </c>
      <c r="H5559" t="e" cm="1" vm="1">
        <f t="array" aca="1" ref="H5559" ca="1">VLOOKUP(Cpi_[[#This Row],[Year]:[Month]],crudeoil[],3,FALSE)</f>
        <v>#VALUE!</v>
      </c>
    </row>
    <row r="5560" spans="1:8" hidden="1" x14ac:dyDescent="0.3">
      <c r="A5560" t="s">
        <v>33</v>
      </c>
      <c r="B5560">
        <v>2018</v>
      </c>
      <c r="C5560" t="s">
        <v>42</v>
      </c>
      <c r="D5560" t="s">
        <v>26</v>
      </c>
      <c r="E5560" t="e">
        <f>VLOOKUP(Cpi_[[#This Row],[Attribute]],#REF!,2,FALSE)</f>
        <v>#REF!</v>
      </c>
      <c r="F5560">
        <v>145.19999999999999</v>
      </c>
      <c r="G5560">
        <f>(Cpi_[[#This Row],[Value]]-F5559)/F5559</f>
        <v>0.11520737327188942</v>
      </c>
      <c r="H5560" t="e" cm="1" vm="1">
        <f t="array" aca="1" ref="H5560" ca="1">VLOOKUP(Cpi_[[#This Row],[Year]:[Month]],crudeoil[],3,FALSE)</f>
        <v>#VALUE!</v>
      </c>
    </row>
    <row r="5561" spans="1:8" hidden="1" x14ac:dyDescent="0.3">
      <c r="A5561" t="s">
        <v>33</v>
      </c>
      <c r="B5561">
        <v>2018</v>
      </c>
      <c r="C5561" t="s">
        <v>42</v>
      </c>
      <c r="D5561" t="s">
        <v>27</v>
      </c>
      <c r="E5561" t="e">
        <f>VLOOKUP(Cpi_[[#This Row],[Attribute]],#REF!,2,FALSE)</f>
        <v>#REF!</v>
      </c>
      <c r="F5561">
        <v>129.30000000000001</v>
      </c>
      <c r="G5561">
        <f>(Cpi_[[#This Row],[Value]]-F5560)/F5560</f>
        <v>-0.10950413223140482</v>
      </c>
      <c r="H5561" t="e" cm="1" vm="1">
        <f t="array" aca="1" ref="H5561" ca="1">VLOOKUP(Cpi_[[#This Row],[Year]:[Month]],crudeoil[],3,FALSE)</f>
        <v>#VALUE!</v>
      </c>
    </row>
    <row r="5562" spans="1:8" hidden="1" x14ac:dyDescent="0.3">
      <c r="A5562" t="s">
        <v>33</v>
      </c>
      <c r="B5562">
        <v>2018</v>
      </c>
      <c r="C5562" t="s">
        <v>42</v>
      </c>
      <c r="D5562" t="s">
        <v>28</v>
      </c>
      <c r="E5562" t="e">
        <f>VLOOKUP(Cpi_[[#This Row],[Attribute]],#REF!,2,FALSE)</f>
        <v>#REF!</v>
      </c>
      <c r="F5562">
        <v>131.9</v>
      </c>
      <c r="G5562">
        <f>(Cpi_[[#This Row],[Value]]-F5561)/F5561</f>
        <v>2.0108275328692915E-2</v>
      </c>
      <c r="H5562" t="e" cm="1" vm="1">
        <f t="array" aca="1" ref="H5562" ca="1">VLOOKUP(Cpi_[[#This Row],[Year]:[Month]],crudeoil[],3,FALSE)</f>
        <v>#VALUE!</v>
      </c>
    </row>
    <row r="5563" spans="1:8" hidden="1" x14ac:dyDescent="0.3">
      <c r="A5563" t="s">
        <v>33</v>
      </c>
      <c r="B5563">
        <v>2018</v>
      </c>
      <c r="C5563" t="s">
        <v>42</v>
      </c>
      <c r="D5563" t="s">
        <v>29</v>
      </c>
      <c r="E5563" t="e" cm="1">
        <f t="array" aca="1" ref="E5563" ca="1">VLGeneral indexGeneral indexKUP(Cpi_[[#This Row],[Attribute]],#REF!,2,FALSE)</f>
        <v>#NAME?</v>
      </c>
      <c r="F5563">
        <v>138.1</v>
      </c>
      <c r="G5563">
        <f>(Cpi_[[#This Row],[Value]]-F5562)/F5562</f>
        <v>4.7005307050795968E-2</v>
      </c>
      <c r="H5563" t="e" cm="1" vm="1">
        <f t="array" aca="1" ref="H5563" ca="1">VLOOKUP(Cpi_[[#This Row],[Year]:[Month]],crudeoil[],3,FALSE)</f>
        <v>#VALUE!</v>
      </c>
    </row>
    <row r="5564" spans="1:8" hidden="1" x14ac:dyDescent="0.3">
      <c r="A5564" t="s">
        <v>34</v>
      </c>
      <c r="B5564">
        <v>2018</v>
      </c>
      <c r="C5564" t="s">
        <v>42</v>
      </c>
      <c r="D5564" t="s">
        <v>3</v>
      </c>
      <c r="E5564" t="e">
        <f>VLOOKUP(Cpi_[[#This Row],[Attribute]],#REF!,2,FALSE)</f>
        <v>#REF!</v>
      </c>
      <c r="F5564">
        <v>138.6</v>
      </c>
      <c r="G5564">
        <f>(Cpi_[[#This Row],[Value]]-F5563)/F5563</f>
        <v>3.6205648081100651E-3</v>
      </c>
      <c r="H5564" t="e" cm="1" vm="1">
        <f t="array" aca="1" ref="H5564" ca="1">VLOOKUP(Cpi_[[#This Row],[Year]:[Month]],crudeoil[],3,FALSE)</f>
        <v>#VALUE!</v>
      </c>
    </row>
    <row r="5565" spans="1:8" hidden="1" x14ac:dyDescent="0.3">
      <c r="A5565" t="s">
        <v>34</v>
      </c>
      <c r="B5565">
        <v>2018</v>
      </c>
      <c r="C5565" t="s">
        <v>42</v>
      </c>
      <c r="D5565" t="s">
        <v>4</v>
      </c>
      <c r="E5565" t="e">
        <f>VLOOKUP(Cpi_[[#This Row],[Attribute]],#REF!,2,FALSE)</f>
        <v>#REF!</v>
      </c>
      <c r="F5565">
        <v>145.80000000000001</v>
      </c>
      <c r="G5565">
        <f>(Cpi_[[#This Row],[Value]]-F5564)/F5564</f>
        <v>5.1948051948052076E-2</v>
      </c>
      <c r="H5565" t="e" cm="1" vm="1">
        <f t="array" aca="1" ref="H5565" ca="1">VLOOKUP(Cpi_[[#This Row],[Year]:[Month]],crudeoil[],3,FALSE)</f>
        <v>#VALUE!</v>
      </c>
    </row>
    <row r="5566" spans="1:8" hidden="1" x14ac:dyDescent="0.3">
      <c r="A5566" t="s">
        <v>34</v>
      </c>
      <c r="B5566">
        <v>2018</v>
      </c>
      <c r="C5566" t="s">
        <v>42</v>
      </c>
      <c r="D5566" t="s">
        <v>5</v>
      </c>
      <c r="E5566" t="e">
        <f>VLOOKUP(Cpi_[[#This Row],[Attribute]],#REF!,2,FALSE)</f>
        <v>#REF!</v>
      </c>
      <c r="F5566">
        <v>135.1</v>
      </c>
      <c r="G5566">
        <f>(Cpi_[[#This Row],[Value]]-F5565)/F5565</f>
        <v>-7.3388203017832762E-2</v>
      </c>
      <c r="H5566" t="e" cm="1" vm="1">
        <f t="array" aca="1" ref="H5566" ca="1">VLOOKUP(Cpi_[[#This Row],[Year]:[Month]],crudeoil[],3,FALSE)</f>
        <v>#VALUE!</v>
      </c>
    </row>
    <row r="5567" spans="1:8" hidden="1" x14ac:dyDescent="0.3">
      <c r="A5567" t="s">
        <v>34</v>
      </c>
      <c r="B5567">
        <v>2018</v>
      </c>
      <c r="C5567" t="s">
        <v>42</v>
      </c>
      <c r="D5567" t="s">
        <v>6</v>
      </c>
      <c r="E5567" t="e">
        <f>VLOOKUP(Cpi_[[#This Row],[Attribute]],#REF!,2,FALSE)</f>
        <v>#REF!</v>
      </c>
      <c r="F5567">
        <v>142.9</v>
      </c>
      <c r="G5567">
        <f>(Cpi_[[#This Row],[Value]]-F5566)/F5566</f>
        <v>5.7735011102886834E-2</v>
      </c>
      <c r="H5567" t="e" cm="1" vm="1">
        <f t="array" aca="1" ref="H5567" ca="1">VLOOKUP(Cpi_[[#This Row],[Year]:[Month]],crudeoil[],3,FALSE)</f>
        <v>#VALUE!</v>
      </c>
    </row>
    <row r="5568" spans="1:8" hidden="1" x14ac:dyDescent="0.3">
      <c r="A5568" t="s">
        <v>34</v>
      </c>
      <c r="B5568">
        <v>2018</v>
      </c>
      <c r="C5568" t="s">
        <v>42</v>
      </c>
      <c r="D5568" t="s">
        <v>7</v>
      </c>
      <c r="E5568" t="e">
        <f>VLOOKUP(Cpi_[[#This Row],[Attribute]],#REF!,2,FALSE)</f>
        <v>#REF!</v>
      </c>
      <c r="F5568">
        <v>122.1</v>
      </c>
      <c r="G5568">
        <f>(Cpi_[[#This Row],[Value]]-F5567)/F5567</f>
        <v>-0.14555633310007005</v>
      </c>
      <c r="H5568" t="e" cm="1" vm="1">
        <f t="array" aca="1" ref="H5568" ca="1">VLOOKUP(Cpi_[[#This Row],[Year]:[Month]],crudeoil[],3,FALSE)</f>
        <v>#VALUE!</v>
      </c>
    </row>
    <row r="5569" spans="1:8" hidden="1" x14ac:dyDescent="0.3">
      <c r="A5569" t="s">
        <v>34</v>
      </c>
      <c r="B5569">
        <v>2018</v>
      </c>
      <c r="C5569" t="s">
        <v>42</v>
      </c>
      <c r="D5569" t="s">
        <v>8</v>
      </c>
      <c r="E5569" t="e">
        <f>VLOOKUP(Cpi_[[#This Row],[Attribute]],#REF!,2,FALSE)</f>
        <v>#REF!</v>
      </c>
      <c r="F5569">
        <v>145.4</v>
      </c>
      <c r="G5569">
        <f>(Cpi_[[#This Row],[Value]]-F5568)/F5568</f>
        <v>0.19082719082719093</v>
      </c>
      <c r="H5569" t="e" cm="1" vm="1">
        <f t="array" aca="1" ref="H5569" ca="1">VLOOKUP(Cpi_[[#This Row],[Year]:[Month]],crudeoil[],3,FALSE)</f>
        <v>#VALUE!</v>
      </c>
    </row>
    <row r="5570" spans="1:8" hidden="1" x14ac:dyDescent="0.3">
      <c r="A5570" t="s">
        <v>34</v>
      </c>
      <c r="B5570">
        <v>2018</v>
      </c>
      <c r="C5570" t="s">
        <v>42</v>
      </c>
      <c r="D5570" t="s">
        <v>9</v>
      </c>
      <c r="E5570" t="e">
        <f>VLOOKUP(Cpi_[[#This Row],[Attribute]],#REF!,2,FALSE)</f>
        <v>#REF!</v>
      </c>
      <c r="F5570">
        <v>150</v>
      </c>
      <c r="G5570">
        <f>(Cpi_[[#This Row],[Value]]-F5569)/F5569</f>
        <v>3.1636863823933936E-2</v>
      </c>
      <c r="H5570" t="e" cm="1" vm="1">
        <f t="array" aca="1" ref="H5570" ca="1">VLOOKUP(Cpi_[[#This Row],[Year]:[Month]],crudeoil[],3,FALSE)</f>
        <v>#VALUE!</v>
      </c>
    </row>
    <row r="5571" spans="1:8" hidden="1" x14ac:dyDescent="0.3">
      <c r="A5571" t="s">
        <v>34</v>
      </c>
      <c r="B5571">
        <v>2018</v>
      </c>
      <c r="C5571" t="s">
        <v>42</v>
      </c>
      <c r="D5571" t="s">
        <v>10</v>
      </c>
      <c r="E5571" t="e">
        <f>VLOOKUP(Cpi_[[#This Row],[Attribute]],#REF!,2,FALSE)</f>
        <v>#REF!</v>
      </c>
      <c r="F5571">
        <v>121.4</v>
      </c>
      <c r="G5571">
        <f>(Cpi_[[#This Row],[Value]]-F5570)/F5570</f>
        <v>-0.19066666666666662</v>
      </c>
      <c r="H5571" t="e" cm="1" vm="1">
        <f t="array" aca="1" ref="H5571" ca="1">VLOOKUP(Cpi_[[#This Row],[Year]:[Month]],crudeoil[],3,FALSE)</f>
        <v>#VALUE!</v>
      </c>
    </row>
    <row r="5572" spans="1:8" hidden="1" x14ac:dyDescent="0.3">
      <c r="A5572" t="s">
        <v>34</v>
      </c>
      <c r="B5572">
        <v>2018</v>
      </c>
      <c r="C5572" t="s">
        <v>42</v>
      </c>
      <c r="D5572" t="s">
        <v>11</v>
      </c>
      <c r="E5572" t="e">
        <f>VLOOKUP(Cpi_[[#This Row],[Attribute]],#REF!,2,FALSE)</f>
        <v>#REF!</v>
      </c>
      <c r="F5572">
        <v>113.7</v>
      </c>
      <c r="G5572">
        <f>(Cpi_[[#This Row],[Value]]-F5571)/F5571</f>
        <v>-6.3426688632619466E-2</v>
      </c>
      <c r="H5572" t="e" cm="1" vm="1">
        <f t="array" aca="1" ref="H5572" ca="1">VLOOKUP(Cpi_[[#This Row],[Year]:[Month]],crudeoil[],3,FALSE)</f>
        <v>#VALUE!</v>
      </c>
    </row>
    <row r="5573" spans="1:8" hidden="1" x14ac:dyDescent="0.3">
      <c r="A5573" t="s">
        <v>34</v>
      </c>
      <c r="B5573">
        <v>2018</v>
      </c>
      <c r="C5573" t="s">
        <v>42</v>
      </c>
      <c r="D5573" t="s">
        <v>12</v>
      </c>
      <c r="E5573" t="e">
        <f>VLOOKUP(Cpi_[[#This Row],[Attribute]],#REF!,2,FALSE)</f>
        <v>#REF!</v>
      </c>
      <c r="F5573">
        <v>139.5</v>
      </c>
      <c r="G5573">
        <f>(Cpi_[[#This Row],[Value]]-F5572)/F5572</f>
        <v>0.22691292875989444</v>
      </c>
      <c r="H5573" t="e" cm="1" vm="1">
        <f t="array" aca="1" ref="H5573" ca="1">VLOOKUP(Cpi_[[#This Row],[Year]:[Month]],crudeoil[],3,FALSE)</f>
        <v>#VALUE!</v>
      </c>
    </row>
    <row r="5574" spans="1:8" hidden="1" x14ac:dyDescent="0.3">
      <c r="A5574" t="s">
        <v>34</v>
      </c>
      <c r="B5574">
        <v>2018</v>
      </c>
      <c r="C5574" t="s">
        <v>42</v>
      </c>
      <c r="D5574" t="s">
        <v>13</v>
      </c>
      <c r="E5574" t="e">
        <f>VLOOKUP(Cpi_[[#This Row],[Attribute]],#REF!,2,FALSE)</f>
        <v>#REF!</v>
      </c>
      <c r="F5574">
        <v>130.80000000000001</v>
      </c>
      <c r="G5574">
        <f>(Cpi_[[#This Row],[Value]]-F5573)/F5573</f>
        <v>-6.2365591397849383E-2</v>
      </c>
      <c r="H5574" t="e" cm="1" vm="1">
        <f t="array" aca="1" ref="H5574" ca="1">VLOOKUP(Cpi_[[#This Row],[Year]:[Month]],crudeoil[],3,FALSE)</f>
        <v>#VALUE!</v>
      </c>
    </row>
    <row r="5575" spans="1:8" hidden="1" x14ac:dyDescent="0.3">
      <c r="A5575" t="s">
        <v>34</v>
      </c>
      <c r="B5575">
        <v>2018</v>
      </c>
      <c r="C5575" t="s">
        <v>42</v>
      </c>
      <c r="D5575" t="s">
        <v>14</v>
      </c>
      <c r="E5575" t="e">
        <f>VLOOKUP(Cpi_[[#This Row],[Attribute]],#REF!,2,FALSE)</f>
        <v>#REF!</v>
      </c>
      <c r="F5575">
        <v>153.80000000000001</v>
      </c>
      <c r="G5575">
        <f>(Cpi_[[#This Row],[Value]]-F5574)/F5574</f>
        <v>0.17584097859327216</v>
      </c>
      <c r="H5575" t="e" cm="1" vm="1">
        <f t="array" aca="1" ref="H5575" ca="1">VLOOKUP(Cpi_[[#This Row],[Year]:[Month]],crudeoil[],3,FALSE)</f>
        <v>#VALUE!</v>
      </c>
    </row>
    <row r="5576" spans="1:8" hidden="1" x14ac:dyDescent="0.3">
      <c r="A5576" t="s">
        <v>34</v>
      </c>
      <c r="B5576">
        <v>2018</v>
      </c>
      <c r="C5576" t="s">
        <v>42</v>
      </c>
      <c r="D5576" t="s">
        <v>15</v>
      </c>
      <c r="E5576" t="e">
        <f>VLOOKUP(Cpi_[[#This Row],[Attribute]],#REF!,2,FALSE)</f>
        <v>#REF!</v>
      </c>
      <c r="F5576">
        <v>140.4</v>
      </c>
      <c r="G5576">
        <f>(Cpi_[[#This Row],[Value]]-F5575)/F5575</f>
        <v>-8.7126137841352438E-2</v>
      </c>
      <c r="H5576" t="e" cm="1" vm="1">
        <f t="array" aca="1" ref="H5576" ca="1">VLOOKUP(Cpi_[[#This Row],[Year]:[Month]],crudeoil[],3,FALSE)</f>
        <v>#VALUE!</v>
      </c>
    </row>
    <row r="5577" spans="1:8" hidden="1" x14ac:dyDescent="0.3">
      <c r="A5577" t="s">
        <v>34</v>
      </c>
      <c r="B5577">
        <v>2018</v>
      </c>
      <c r="C5577" t="s">
        <v>42</v>
      </c>
      <c r="D5577" t="s">
        <v>16</v>
      </c>
      <c r="E5577" t="e">
        <f>VLOOKUP(Cpi_[[#This Row],[Attribute]],#REF!,2,FALSE)</f>
        <v>#REF!</v>
      </c>
      <c r="F5577">
        <v>159.19999999999999</v>
      </c>
      <c r="G5577">
        <f>(Cpi_[[#This Row],[Value]]-F5576)/F5576</f>
        <v>0.13390313390313377</v>
      </c>
      <c r="H5577" t="e" cm="1" vm="1">
        <f t="array" aca="1" ref="H5577" ca="1">VLOOKUP(Cpi_[[#This Row],[Year]:[Month]],crudeoil[],3,FALSE)</f>
        <v>#VALUE!</v>
      </c>
    </row>
    <row r="5578" spans="1:8" hidden="1" x14ac:dyDescent="0.3">
      <c r="A5578" t="s">
        <v>34</v>
      </c>
      <c r="B5578">
        <v>2018</v>
      </c>
      <c r="C5578" t="s">
        <v>42</v>
      </c>
      <c r="D5578" t="s">
        <v>17</v>
      </c>
      <c r="E5578" t="e">
        <f>VLOOKUP(Cpi_[[#This Row],[Attribute]],#REF!,2,FALSE)</f>
        <v>#REF!</v>
      </c>
      <c r="F5578">
        <v>147.69999999999999</v>
      </c>
      <c r="G5578">
        <f>(Cpi_[[#This Row],[Value]]-F5577)/F5577</f>
        <v>-7.2236180904522621E-2</v>
      </c>
      <c r="H5578" t="e" cm="1" vm="1">
        <f t="array" aca="1" ref="H5578" ca="1">VLOOKUP(Cpi_[[#This Row],[Year]:[Month]],crudeoil[],3,FALSE)</f>
        <v>#VALUE!</v>
      </c>
    </row>
    <row r="5579" spans="1:8" hidden="1" x14ac:dyDescent="0.3">
      <c r="A5579" t="s">
        <v>34</v>
      </c>
      <c r="B5579">
        <v>2018</v>
      </c>
      <c r="C5579" t="s">
        <v>42</v>
      </c>
      <c r="D5579" t="s">
        <v>18</v>
      </c>
      <c r="E5579" t="e">
        <f>VLOOKUP(Cpi_[[#This Row],[Attribute]],#REF!,2,FALSE)</f>
        <v>#REF!</v>
      </c>
      <c r="F5579">
        <v>139.1</v>
      </c>
      <c r="G5579">
        <f>(Cpi_[[#This Row],[Value]]-F5578)/F5578</f>
        <v>-5.8226134055517909E-2</v>
      </c>
      <c r="H5579" t="e" cm="1" vm="1">
        <f t="array" aca="1" ref="H5579" ca="1">VLOOKUP(Cpi_[[#This Row],[Year]:[Month]],crudeoil[],3,FALSE)</f>
        <v>#VALUE!</v>
      </c>
    </row>
    <row r="5580" spans="1:8" hidden="1" x14ac:dyDescent="0.3">
      <c r="A5580" t="s">
        <v>34</v>
      </c>
      <c r="B5580">
        <v>2018</v>
      </c>
      <c r="C5580" t="s">
        <v>42</v>
      </c>
      <c r="D5580" t="s">
        <v>19</v>
      </c>
      <c r="E5580" t="e">
        <f>VLOOKUP(Cpi_[[#This Row],[Attribute]],#REF!,2,FALSE)</f>
        <v>#REF!</v>
      </c>
      <c r="F5580">
        <v>146.5</v>
      </c>
      <c r="G5580">
        <f>(Cpi_[[#This Row],[Value]]-F5579)/F5579</f>
        <v>5.3199137311286886E-2</v>
      </c>
      <c r="H5580" t="e" cm="1" vm="1">
        <f t="array" aca="1" ref="H5580" ca="1">VLOOKUP(Cpi_[[#This Row],[Year]:[Month]],crudeoil[],3,FALSE)</f>
        <v>#VALUE!</v>
      </c>
    </row>
    <row r="5581" spans="1:8" hidden="1" x14ac:dyDescent="0.3">
      <c r="A5581" t="s">
        <v>34</v>
      </c>
      <c r="B5581">
        <v>2018</v>
      </c>
      <c r="C5581" t="s">
        <v>42</v>
      </c>
      <c r="D5581" t="s">
        <v>20</v>
      </c>
      <c r="E5581" t="e">
        <f>VLOOKUP(Cpi_[[#This Row],[Attribute]],#REF!,2,FALSE)</f>
        <v>#REF!</v>
      </c>
      <c r="F5581">
        <v>145.30000000000001</v>
      </c>
      <c r="G5581">
        <f>(Cpi_[[#This Row],[Value]]-F5580)/F5580</f>
        <v>-8.1911262798634032E-3</v>
      </c>
      <c r="H5581" t="e" cm="1" vm="1">
        <f t="array" aca="1" ref="H5581" ca="1">VLOOKUP(Cpi_[[#This Row],[Year]:[Month]],crudeoil[],3,FALSE)</f>
        <v>#VALUE!</v>
      </c>
    </row>
    <row r="5582" spans="1:8" hidden="1" x14ac:dyDescent="0.3">
      <c r="A5582" t="s">
        <v>34</v>
      </c>
      <c r="B5582">
        <v>2018</v>
      </c>
      <c r="C5582" t="s">
        <v>42</v>
      </c>
      <c r="D5582" t="s">
        <v>21</v>
      </c>
      <c r="E5582" t="e">
        <f>VLOOKUP(Cpi_[[#This Row],[Attribute]],#REF!,2,FALSE)</f>
        <v>#REF!</v>
      </c>
      <c r="F5582">
        <v>142.30000000000001</v>
      </c>
      <c r="G5582">
        <f>(Cpi_[[#This Row],[Value]]-F5581)/F5581</f>
        <v>-2.0646937370956641E-2</v>
      </c>
      <c r="H5582" t="e" cm="1" vm="1">
        <f t="array" aca="1" ref="H5582" ca="1">VLOOKUP(Cpi_[[#This Row],[Year]:[Month]],crudeoil[],3,FALSE)</f>
        <v>#VALUE!</v>
      </c>
    </row>
    <row r="5583" spans="1:8" hidden="1" x14ac:dyDescent="0.3">
      <c r="A5583" t="s">
        <v>34</v>
      </c>
      <c r="B5583">
        <v>2018</v>
      </c>
      <c r="C5583" t="s">
        <v>42</v>
      </c>
      <c r="D5583" t="s">
        <v>22</v>
      </c>
      <c r="E5583" t="e">
        <f>VLOOKUP(Cpi_[[#This Row],[Attribute]],#REF!,2,FALSE)</f>
        <v>#REF!</v>
      </c>
      <c r="F5583">
        <v>139.69999999999999</v>
      </c>
      <c r="G5583">
        <f>(Cpi_[[#This Row],[Value]]-F5582)/F5582</f>
        <v>-1.8271257905832908E-2</v>
      </c>
      <c r="H5583" t="e" cm="1" vm="1">
        <f t="array" aca="1" ref="H5583" ca="1">VLOOKUP(Cpi_[[#This Row],[Year]:[Month]],crudeoil[],3,FALSE)</f>
        <v>#VALUE!</v>
      </c>
    </row>
    <row r="5584" spans="1:8" hidden="1" x14ac:dyDescent="0.3">
      <c r="A5584" t="s">
        <v>34</v>
      </c>
      <c r="B5584">
        <v>2018</v>
      </c>
      <c r="C5584" t="s">
        <v>42</v>
      </c>
      <c r="D5584" t="s">
        <v>23</v>
      </c>
      <c r="E5584" t="e">
        <f>VLOOKUP(Cpi_[[#This Row],[Attribute]],#REF!,2,FALSE)</f>
        <v>#REF!</v>
      </c>
      <c r="F5584">
        <v>138.4</v>
      </c>
      <c r="G5584">
        <f>(Cpi_[[#This Row],[Value]]-F5583)/F5583</f>
        <v>-9.3056549749461915E-3</v>
      </c>
      <c r="H5584" t="e" cm="1" vm="1">
        <f t="array" aca="1" ref="H5584" ca="1">VLOOKUP(Cpi_[[#This Row],[Year]:[Month]],crudeoil[],3,FALSE)</f>
        <v>#VALUE!</v>
      </c>
    </row>
    <row r="5585" spans="1:8" hidden="1" x14ac:dyDescent="0.3">
      <c r="A5585" t="s">
        <v>34</v>
      </c>
      <c r="B5585">
        <v>2018</v>
      </c>
      <c r="C5585" t="s">
        <v>42</v>
      </c>
      <c r="D5585" t="s">
        <v>24</v>
      </c>
      <c r="E5585" t="e">
        <f>VLOOKUP(Cpi_[[#This Row],[Attribute]],#REF!,2,FALSE)</f>
        <v>#REF!</v>
      </c>
      <c r="F5585">
        <v>126</v>
      </c>
      <c r="G5585">
        <f>(Cpi_[[#This Row],[Value]]-F5584)/F5584</f>
        <v>-8.9595375722543391E-2</v>
      </c>
      <c r="H5585" t="e" cm="1" vm="1">
        <f t="array" aca="1" ref="H5585" ca="1">VLOOKUP(Cpi_[[#This Row],[Year]:[Month]],crudeoil[],3,FALSE)</f>
        <v>#VALUE!</v>
      </c>
    </row>
    <row r="5586" spans="1:8" hidden="1" x14ac:dyDescent="0.3">
      <c r="A5586" t="s">
        <v>34</v>
      </c>
      <c r="B5586">
        <v>2018</v>
      </c>
      <c r="C5586" t="s">
        <v>42</v>
      </c>
      <c r="D5586" t="s">
        <v>25</v>
      </c>
      <c r="E5586" t="e">
        <f>VLOOKUP(Cpi_[[#This Row],[Attribute]],#REF!,2,FALSE)</f>
        <v>#REF!</v>
      </c>
      <c r="F5586">
        <v>134.5</v>
      </c>
      <c r="G5586">
        <f>(Cpi_[[#This Row],[Value]]-F5585)/F5585</f>
        <v>6.7460317460317457E-2</v>
      </c>
      <c r="H5586" t="e" cm="1" vm="1">
        <f t="array" aca="1" ref="H5586" ca="1">VLOOKUP(Cpi_[[#This Row],[Year]:[Month]],crudeoil[],3,FALSE)</f>
        <v>#VALUE!</v>
      </c>
    </row>
    <row r="5587" spans="1:8" hidden="1" x14ac:dyDescent="0.3">
      <c r="A5587" t="s">
        <v>34</v>
      </c>
      <c r="B5587">
        <v>2018</v>
      </c>
      <c r="C5587" t="s">
        <v>42</v>
      </c>
      <c r="D5587" t="s">
        <v>26</v>
      </c>
      <c r="E5587" t="e">
        <f>VLOOKUP(Cpi_[[#This Row],[Attribute]],#REF!,2,FALSE)</f>
        <v>#REF!</v>
      </c>
      <c r="F5587">
        <v>146.19999999999999</v>
      </c>
      <c r="G5587">
        <f>(Cpi_[[#This Row],[Value]]-F5586)/F5586</f>
        <v>8.6988847583643045E-2</v>
      </c>
      <c r="H5587" t="e" cm="1" vm="1">
        <f t="array" aca="1" ref="H5587" ca="1">VLOOKUP(Cpi_[[#This Row],[Year]:[Month]],crudeoil[],3,FALSE)</f>
        <v>#VALUE!</v>
      </c>
    </row>
    <row r="5588" spans="1:8" hidden="1" x14ac:dyDescent="0.3">
      <c r="A5588" t="s">
        <v>34</v>
      </c>
      <c r="B5588">
        <v>2018</v>
      </c>
      <c r="C5588" t="s">
        <v>42</v>
      </c>
      <c r="D5588" t="s">
        <v>27</v>
      </c>
      <c r="E5588" t="e">
        <f>VLOOKUP(Cpi_[[#This Row],[Attribute]],#REF!,2,FALSE)</f>
        <v>#REF!</v>
      </c>
      <c r="F5588">
        <v>130.9</v>
      </c>
      <c r="G5588">
        <f>(Cpi_[[#This Row],[Value]]-F5587)/F5587</f>
        <v>-0.10465116279069757</v>
      </c>
      <c r="H5588" t="e" cm="1" vm="1">
        <f t="array" aca="1" ref="H5588" ca="1">VLOOKUP(Cpi_[[#This Row],[Year]:[Month]],crudeoil[],3,FALSE)</f>
        <v>#VALUE!</v>
      </c>
    </row>
    <row r="5589" spans="1:8" hidden="1" x14ac:dyDescent="0.3">
      <c r="A5589" t="s">
        <v>34</v>
      </c>
      <c r="B5589">
        <v>2018</v>
      </c>
      <c r="C5589" t="s">
        <v>42</v>
      </c>
      <c r="D5589" t="s">
        <v>28</v>
      </c>
      <c r="E5589" t="e">
        <f>VLOOKUP(Cpi_[[#This Row],[Attribute]],#REF!,2,FALSE)</f>
        <v>#REF!</v>
      </c>
      <c r="F5589">
        <v>134.69999999999999</v>
      </c>
      <c r="G5589">
        <f>(Cpi_[[#This Row],[Value]]-F5588)/F5588</f>
        <v>2.9029793735675956E-2</v>
      </c>
      <c r="H5589" t="e" cm="1" vm="1">
        <f t="array" aca="1" ref="H5589" ca="1">VLOOKUP(Cpi_[[#This Row],[Year]:[Month]],crudeoil[],3,FALSE)</f>
        <v>#VALUE!</v>
      </c>
    </row>
    <row r="5590" spans="1:8" hidden="1" x14ac:dyDescent="0.3">
      <c r="A5590" t="s">
        <v>34</v>
      </c>
      <c r="B5590">
        <v>2018</v>
      </c>
      <c r="C5590" t="s">
        <v>42</v>
      </c>
      <c r="D5590" t="s">
        <v>29</v>
      </c>
      <c r="E5590" t="e" cm="1">
        <f t="array" aca="1" ref="E5590" ca="1">VLGeneral indexGeneral indexKUP(Cpi_[[#This Row],[Attribute]],#REF!,2,FALSE)</f>
        <v>#NAME?</v>
      </c>
      <c r="F5590">
        <v>140.19999999999999</v>
      </c>
      <c r="G5590">
        <f>(Cpi_[[#This Row],[Value]]-F5589)/F5589</f>
        <v>4.0831477357089835E-2</v>
      </c>
      <c r="H5590" t="e" cm="1" vm="1">
        <f t="array" aca="1" ref="H5590" ca="1">VLOOKUP(Cpi_[[#This Row],[Year]:[Month]],crudeoil[],3,FALSE)</f>
        <v>#VALUE!</v>
      </c>
    </row>
    <row r="5591" spans="1:8" hidden="1" x14ac:dyDescent="0.3">
      <c r="A5591" t="s">
        <v>30</v>
      </c>
      <c r="B5591">
        <v>2018</v>
      </c>
      <c r="C5591" t="s">
        <v>43</v>
      </c>
      <c r="D5591" t="s">
        <v>3</v>
      </c>
      <c r="E5591" t="e">
        <f>VLOOKUP(Cpi_[[#This Row],[Attribute]],#REF!,2,FALSE)</f>
        <v>#REF!</v>
      </c>
      <c r="F5591">
        <v>139.30000000000001</v>
      </c>
      <c r="G5591">
        <f>(Cpi_[[#This Row],[Value]]-F5590)/F5590</f>
        <v>-6.4194008559199526E-3</v>
      </c>
      <c r="H5591" t="e" cm="1" vm="1">
        <f t="array" aca="1" ref="H5591" ca="1">VLOOKUP(Cpi_[[#This Row],[Year]:[Month]],crudeoil[],3,FALSE)</f>
        <v>#VALUE!</v>
      </c>
    </row>
    <row r="5592" spans="1:8" hidden="1" x14ac:dyDescent="0.3">
      <c r="A5592" t="s">
        <v>30</v>
      </c>
      <c r="B5592">
        <v>2018</v>
      </c>
      <c r="C5592" t="s">
        <v>43</v>
      </c>
      <c r="D5592" t="s">
        <v>4</v>
      </c>
      <c r="E5592" t="e">
        <f>VLOOKUP(Cpi_[[#This Row],[Attribute]],#REF!,2,FALSE)</f>
        <v>#REF!</v>
      </c>
      <c r="F5592">
        <v>147.6</v>
      </c>
      <c r="G5592">
        <f>(Cpi_[[#This Row],[Value]]-F5591)/F5591</f>
        <v>5.9583632447953928E-2</v>
      </c>
      <c r="H5592" t="e" cm="1" vm="1">
        <f t="array" aca="1" ref="H5592" ca="1">VLOOKUP(Cpi_[[#This Row],[Year]:[Month]],crudeoil[],3,FALSE)</f>
        <v>#VALUE!</v>
      </c>
    </row>
    <row r="5593" spans="1:8" hidden="1" x14ac:dyDescent="0.3">
      <c r="A5593" t="s">
        <v>30</v>
      </c>
      <c r="B5593">
        <v>2018</v>
      </c>
      <c r="C5593" t="s">
        <v>43</v>
      </c>
      <c r="D5593" t="s">
        <v>5</v>
      </c>
      <c r="E5593" t="e">
        <f>VLOOKUP(Cpi_[[#This Row],[Attribute]],#REF!,2,FALSE)</f>
        <v>#REF!</v>
      </c>
      <c r="F5593">
        <v>134.6</v>
      </c>
      <c r="G5593">
        <f>(Cpi_[[#This Row],[Value]]-F5592)/F5592</f>
        <v>-8.8075880758807595E-2</v>
      </c>
      <c r="H5593" t="e" cm="1" vm="1">
        <f t="array" aca="1" ref="H5593" ca="1">VLOOKUP(Cpi_[[#This Row],[Year]:[Month]],crudeoil[],3,FALSE)</f>
        <v>#VALUE!</v>
      </c>
    </row>
    <row r="5594" spans="1:8" hidden="1" x14ac:dyDescent="0.3">
      <c r="A5594" t="s">
        <v>30</v>
      </c>
      <c r="B5594">
        <v>2018</v>
      </c>
      <c r="C5594" t="s">
        <v>43</v>
      </c>
      <c r="D5594" t="s">
        <v>6</v>
      </c>
      <c r="E5594" t="e">
        <f>VLOOKUP(Cpi_[[#This Row],[Attribute]],#REF!,2,FALSE)</f>
        <v>#REF!</v>
      </c>
      <c r="F5594">
        <v>141.9</v>
      </c>
      <c r="G5594">
        <f>(Cpi_[[#This Row],[Value]]-F5593)/F5593</f>
        <v>5.4234769687964424E-2</v>
      </c>
      <c r="H5594" t="e" cm="1" vm="1">
        <f t="array" aca="1" ref="H5594" ca="1">VLOOKUP(Cpi_[[#This Row],[Year]:[Month]],crudeoil[],3,FALSE)</f>
        <v>#VALUE!</v>
      </c>
    </row>
    <row r="5595" spans="1:8" hidden="1" x14ac:dyDescent="0.3">
      <c r="A5595" t="s">
        <v>30</v>
      </c>
      <c r="B5595">
        <v>2018</v>
      </c>
      <c r="C5595" t="s">
        <v>43</v>
      </c>
      <c r="D5595" t="s">
        <v>7</v>
      </c>
      <c r="E5595" t="e">
        <f>VLOOKUP(Cpi_[[#This Row],[Attribute]],#REF!,2,FALSE)</f>
        <v>#REF!</v>
      </c>
      <c r="F5595">
        <v>123.5</v>
      </c>
      <c r="G5595">
        <f>(Cpi_[[#This Row],[Value]]-F5594)/F5594</f>
        <v>-0.12966878083157157</v>
      </c>
      <c r="H5595" t="e" cm="1" vm="1">
        <f t="array" aca="1" ref="H5595" ca="1">VLOOKUP(Cpi_[[#This Row],[Year]:[Month]],crudeoil[],3,FALSE)</f>
        <v>#VALUE!</v>
      </c>
    </row>
    <row r="5596" spans="1:8" hidden="1" x14ac:dyDescent="0.3">
      <c r="A5596" t="s">
        <v>30</v>
      </c>
      <c r="B5596">
        <v>2018</v>
      </c>
      <c r="C5596" t="s">
        <v>43</v>
      </c>
      <c r="D5596" t="s">
        <v>8</v>
      </c>
      <c r="E5596" t="e">
        <f>VLOOKUP(Cpi_[[#This Row],[Attribute]],#REF!,2,FALSE)</f>
        <v>#REF!</v>
      </c>
      <c r="F5596">
        <v>144.5</v>
      </c>
      <c r="G5596">
        <f>(Cpi_[[#This Row],[Value]]-F5595)/F5595</f>
        <v>0.17004048582995951</v>
      </c>
      <c r="H5596" t="e" cm="1" vm="1">
        <f t="array" aca="1" ref="H5596" ca="1">VLOOKUP(Cpi_[[#This Row],[Year]:[Month]],crudeoil[],3,FALSE)</f>
        <v>#VALUE!</v>
      </c>
    </row>
    <row r="5597" spans="1:8" hidden="1" x14ac:dyDescent="0.3">
      <c r="A5597" t="s">
        <v>30</v>
      </c>
      <c r="B5597">
        <v>2018</v>
      </c>
      <c r="C5597" t="s">
        <v>43</v>
      </c>
      <c r="D5597" t="s">
        <v>9</v>
      </c>
      <c r="E5597" t="e">
        <f>VLOOKUP(Cpi_[[#This Row],[Attribute]],#REF!,2,FALSE)</f>
        <v>#REF!</v>
      </c>
      <c r="F5597">
        <v>147.6</v>
      </c>
      <c r="G5597">
        <f>(Cpi_[[#This Row],[Value]]-F5596)/F5596</f>
        <v>2.1453287197231795E-2</v>
      </c>
      <c r="H5597" t="e" cm="1" vm="1">
        <f t="array" aca="1" ref="H5597" ca="1">VLOOKUP(Cpi_[[#This Row],[Year]:[Month]],crudeoil[],3,FALSE)</f>
        <v>#VALUE!</v>
      </c>
    </row>
    <row r="5598" spans="1:8" hidden="1" x14ac:dyDescent="0.3">
      <c r="A5598" t="s">
        <v>30</v>
      </c>
      <c r="B5598">
        <v>2018</v>
      </c>
      <c r="C5598" t="s">
        <v>43</v>
      </c>
      <c r="D5598" t="s">
        <v>10</v>
      </c>
      <c r="E5598" t="e">
        <f>VLOOKUP(Cpi_[[#This Row],[Attribute]],#REF!,2,FALSE)</f>
        <v>#REF!</v>
      </c>
      <c r="F5598">
        <v>121.4</v>
      </c>
      <c r="G5598">
        <f>(Cpi_[[#This Row],[Value]]-F5597)/F5597</f>
        <v>-0.17750677506775062</v>
      </c>
      <c r="H5598" t="e" cm="1" vm="1">
        <f t="array" aca="1" ref="H5598" ca="1">VLOOKUP(Cpi_[[#This Row],[Year]:[Month]],crudeoil[],3,FALSE)</f>
        <v>#VALUE!</v>
      </c>
    </row>
    <row r="5599" spans="1:8" hidden="1" x14ac:dyDescent="0.3">
      <c r="A5599" t="s">
        <v>30</v>
      </c>
      <c r="B5599">
        <v>2018</v>
      </c>
      <c r="C5599" t="s">
        <v>43</v>
      </c>
      <c r="D5599" t="s">
        <v>11</v>
      </c>
      <c r="E5599" t="e">
        <f>VLOOKUP(Cpi_[[#This Row],[Attribute]],#REF!,2,FALSE)</f>
        <v>#REF!</v>
      </c>
      <c r="F5599">
        <v>112.3</v>
      </c>
      <c r="G5599">
        <f>(Cpi_[[#This Row],[Value]]-F5598)/F5598</f>
        <v>-7.4958813838550312E-2</v>
      </c>
      <c r="H5599" t="e" cm="1" vm="1">
        <f t="array" aca="1" ref="H5599" ca="1">VLOOKUP(Cpi_[[#This Row],[Year]:[Month]],crudeoil[],3,FALSE)</f>
        <v>#VALUE!</v>
      </c>
    </row>
    <row r="5600" spans="1:8" hidden="1" x14ac:dyDescent="0.3">
      <c r="A5600" t="s">
        <v>30</v>
      </c>
      <c r="B5600">
        <v>2018</v>
      </c>
      <c r="C5600" t="s">
        <v>43</v>
      </c>
      <c r="D5600" t="s">
        <v>12</v>
      </c>
      <c r="E5600" t="e">
        <f>VLOOKUP(Cpi_[[#This Row],[Attribute]],#REF!,2,FALSE)</f>
        <v>#REF!</v>
      </c>
      <c r="F5600">
        <v>139.5</v>
      </c>
      <c r="G5600">
        <f>(Cpi_[[#This Row],[Value]]-F5599)/F5599</f>
        <v>0.24220837043633128</v>
      </c>
      <c r="H5600" t="e" cm="1" vm="1">
        <f t="array" aca="1" ref="H5600" ca="1">VLOOKUP(Cpi_[[#This Row],[Year]:[Month]],crudeoil[],3,FALSE)</f>
        <v>#VALUE!</v>
      </c>
    </row>
    <row r="5601" spans="1:8" hidden="1" x14ac:dyDescent="0.3">
      <c r="A5601" t="s">
        <v>30</v>
      </c>
      <c r="B5601">
        <v>2018</v>
      </c>
      <c r="C5601" t="s">
        <v>43</v>
      </c>
      <c r="D5601" t="s">
        <v>13</v>
      </c>
      <c r="E5601" t="e">
        <f>VLOOKUP(Cpi_[[#This Row],[Attribute]],#REF!,2,FALSE)</f>
        <v>#REF!</v>
      </c>
      <c r="F5601">
        <v>134.6</v>
      </c>
      <c r="G5601">
        <f>(Cpi_[[#This Row],[Value]]-F5600)/F5600</f>
        <v>-3.5125448028673879E-2</v>
      </c>
      <c r="H5601" t="e" cm="1" vm="1">
        <f t="array" aca="1" ref="H5601" ca="1">VLOOKUP(Cpi_[[#This Row],[Year]:[Month]],crudeoil[],3,FALSE)</f>
        <v>#VALUE!</v>
      </c>
    </row>
    <row r="5602" spans="1:8" hidden="1" x14ac:dyDescent="0.3">
      <c r="A5602" t="s">
        <v>30</v>
      </c>
      <c r="B5602">
        <v>2018</v>
      </c>
      <c r="C5602" t="s">
        <v>43</v>
      </c>
      <c r="D5602" t="s">
        <v>14</v>
      </c>
      <c r="E5602" t="e">
        <f>VLOOKUP(Cpi_[[#This Row],[Attribute]],#REF!,2,FALSE)</f>
        <v>#REF!</v>
      </c>
      <c r="F5602">
        <v>155.19999999999999</v>
      </c>
      <c r="G5602">
        <f>(Cpi_[[#This Row],[Value]]-F5601)/F5601</f>
        <v>0.1530460624071322</v>
      </c>
      <c r="H5602" t="e" cm="1" vm="1">
        <f t="array" aca="1" ref="H5602" ca="1">VLOOKUP(Cpi_[[#This Row],[Year]:[Month]],crudeoil[],3,FALSE)</f>
        <v>#VALUE!</v>
      </c>
    </row>
    <row r="5603" spans="1:8" hidden="1" x14ac:dyDescent="0.3">
      <c r="A5603" t="s">
        <v>30</v>
      </c>
      <c r="B5603">
        <v>2018</v>
      </c>
      <c r="C5603" t="s">
        <v>43</v>
      </c>
      <c r="D5603" t="s">
        <v>15</v>
      </c>
      <c r="E5603" t="e">
        <f>VLOOKUP(Cpi_[[#This Row],[Attribute]],#REF!,2,FALSE)</f>
        <v>#REF!</v>
      </c>
      <c r="F5603">
        <v>140.19999999999999</v>
      </c>
      <c r="G5603">
        <f>(Cpi_[[#This Row],[Value]]-F5602)/F5602</f>
        <v>-9.6649484536082478E-2</v>
      </c>
      <c r="H5603" t="e" cm="1" vm="1">
        <f t="array" aca="1" ref="H5603" ca="1">VLOOKUP(Cpi_[[#This Row],[Year]:[Month]],crudeoil[],3,FALSE)</f>
        <v>#VALUE!</v>
      </c>
    </row>
    <row r="5604" spans="1:8" hidden="1" x14ac:dyDescent="0.3">
      <c r="A5604" t="s">
        <v>30</v>
      </c>
      <c r="B5604">
        <v>2018</v>
      </c>
      <c r="C5604" t="s">
        <v>43</v>
      </c>
      <c r="D5604" t="s">
        <v>16</v>
      </c>
      <c r="E5604" t="e">
        <f>VLOOKUP(Cpi_[[#This Row],[Attribute]],#REF!,2,FALSE)</f>
        <v>#REF!</v>
      </c>
      <c r="F5604">
        <v>159.6</v>
      </c>
      <c r="G5604">
        <f>(Cpi_[[#This Row],[Value]]-F5603)/F5603</f>
        <v>0.13837375178316697</v>
      </c>
      <c r="H5604" t="e" cm="1" vm="1">
        <f t="array" aca="1" ref="H5604" ca="1">VLOOKUP(Cpi_[[#This Row],[Year]:[Month]],crudeoil[],3,FALSE)</f>
        <v>#VALUE!</v>
      </c>
    </row>
    <row r="5605" spans="1:8" hidden="1" x14ac:dyDescent="0.3">
      <c r="A5605" t="s">
        <v>30</v>
      </c>
      <c r="B5605">
        <v>2018</v>
      </c>
      <c r="C5605" t="s">
        <v>43</v>
      </c>
      <c r="D5605" t="s">
        <v>17</v>
      </c>
      <c r="E5605" t="e">
        <f>VLOOKUP(Cpi_[[#This Row],[Attribute]],#REF!,2,FALSE)</f>
        <v>#REF!</v>
      </c>
      <c r="F5605">
        <v>150.69999999999999</v>
      </c>
      <c r="G5605">
        <f>(Cpi_[[#This Row],[Value]]-F5604)/F5604</f>
        <v>-5.5764411027568961E-2</v>
      </c>
      <c r="H5605" t="e" cm="1" vm="1">
        <f t="array" aca="1" ref="H5605" ca="1">VLOOKUP(Cpi_[[#This Row],[Year]:[Month]],crudeoil[],3,FALSE)</f>
        <v>#VALUE!</v>
      </c>
    </row>
    <row r="5606" spans="1:8" hidden="1" x14ac:dyDescent="0.3">
      <c r="A5606" t="s">
        <v>30</v>
      </c>
      <c r="B5606">
        <v>2018</v>
      </c>
      <c r="C5606" t="s">
        <v>43</v>
      </c>
      <c r="D5606" t="s">
        <v>18</v>
      </c>
      <c r="E5606" t="e">
        <f>VLOOKUP(Cpi_[[#This Row],[Attribute]],#REF!,2,FALSE)</f>
        <v>#REF!</v>
      </c>
      <c r="F5606">
        <v>144.5</v>
      </c>
      <c r="G5606">
        <f>(Cpi_[[#This Row],[Value]]-F5605)/F5605</f>
        <v>-4.1141340411413332E-2</v>
      </c>
      <c r="H5606" t="e" cm="1" vm="1">
        <f t="array" aca="1" ref="H5606" ca="1">VLOOKUP(Cpi_[[#This Row],[Year]:[Month]],crudeoil[],3,FALSE)</f>
        <v>#VALUE!</v>
      </c>
    </row>
    <row r="5607" spans="1:8" hidden="1" x14ac:dyDescent="0.3">
      <c r="A5607" t="s">
        <v>30</v>
      </c>
      <c r="B5607">
        <v>2018</v>
      </c>
      <c r="C5607" t="s">
        <v>43</v>
      </c>
      <c r="D5607" t="s">
        <v>19</v>
      </c>
      <c r="E5607" t="e">
        <f>VLOOKUP(Cpi_[[#This Row],[Attribute]],#REF!,2,FALSE)</f>
        <v>#REF!</v>
      </c>
      <c r="F5607">
        <v>149.80000000000001</v>
      </c>
      <c r="G5607">
        <f>(Cpi_[[#This Row],[Value]]-F5606)/F5606</f>
        <v>3.6678200692041599E-2</v>
      </c>
      <c r="H5607" t="e" cm="1" vm="1">
        <f t="array" aca="1" ref="H5607" ca="1">VLOOKUP(Cpi_[[#This Row],[Year]:[Month]],crudeoil[],3,FALSE)</f>
        <v>#VALUE!</v>
      </c>
    </row>
    <row r="5608" spans="1:8" hidden="1" x14ac:dyDescent="0.3">
      <c r="A5608" t="s">
        <v>30</v>
      </c>
      <c r="B5608">
        <v>2018</v>
      </c>
      <c r="C5608" t="s">
        <v>43</v>
      </c>
      <c r="D5608" t="s">
        <v>20</v>
      </c>
      <c r="E5608" t="e">
        <f>VLOOKUP(Cpi_[[#This Row],[Attribute]],#REF!,2,FALSE)</f>
        <v>#REF!</v>
      </c>
      <c r="F5608" t="s">
        <v>32</v>
      </c>
      <c r="G5608" t="e">
        <f>(Cpi_[[#This Row],[Value]]-F5607)/F5607</f>
        <v>#VALUE!</v>
      </c>
      <c r="H5608" t="e" cm="1" vm="1">
        <f t="array" aca="1" ref="H5608" ca="1">VLOOKUP(Cpi_[[#This Row],[Year]:[Month]],crudeoil[],3,FALSE)</f>
        <v>#VALUE!</v>
      </c>
    </row>
    <row r="5609" spans="1:8" hidden="1" x14ac:dyDescent="0.3">
      <c r="A5609" t="s">
        <v>30</v>
      </c>
      <c r="B5609">
        <v>2018</v>
      </c>
      <c r="C5609" t="s">
        <v>43</v>
      </c>
      <c r="D5609" t="s">
        <v>21</v>
      </c>
      <c r="E5609" t="e">
        <f>VLOOKUP(Cpi_[[#This Row],[Attribute]],#REF!,2,FALSE)</f>
        <v>#REF!</v>
      </c>
      <c r="F5609">
        <v>149.69999999999999</v>
      </c>
      <c r="G5609" t="e">
        <f>(Cpi_[[#This Row],[Value]]-F5608)/F5608</f>
        <v>#VALUE!</v>
      </c>
      <c r="H5609" t="e" cm="1" vm="1">
        <f t="array" aca="1" ref="H5609" ca="1">VLOOKUP(Cpi_[[#This Row],[Year]:[Month]],crudeoil[],3,FALSE)</f>
        <v>#VALUE!</v>
      </c>
    </row>
    <row r="5610" spans="1:8" hidden="1" x14ac:dyDescent="0.3">
      <c r="A5610" t="s">
        <v>30</v>
      </c>
      <c r="B5610">
        <v>2018</v>
      </c>
      <c r="C5610" t="s">
        <v>43</v>
      </c>
      <c r="D5610" t="s">
        <v>22</v>
      </c>
      <c r="E5610" t="e">
        <f>VLOOKUP(Cpi_[[#This Row],[Attribute]],#REF!,2,FALSE)</f>
        <v>#REF!</v>
      </c>
      <c r="F5610">
        <v>147.5</v>
      </c>
      <c r="G5610">
        <f>(Cpi_[[#This Row],[Value]]-F5609)/F5609</f>
        <v>-1.4696058784235062E-2</v>
      </c>
      <c r="H5610" t="e" cm="1" vm="1">
        <f t="array" aca="1" ref="H5610" ca="1">VLOOKUP(Cpi_[[#This Row],[Year]:[Month]],crudeoil[],3,FALSE)</f>
        <v>#VALUE!</v>
      </c>
    </row>
    <row r="5611" spans="1:8" hidden="1" x14ac:dyDescent="0.3">
      <c r="A5611" t="s">
        <v>30</v>
      </c>
      <c r="B5611">
        <v>2018</v>
      </c>
      <c r="C5611" t="s">
        <v>43</v>
      </c>
      <c r="D5611" t="s">
        <v>23</v>
      </c>
      <c r="E5611" t="e">
        <f>VLOOKUP(Cpi_[[#This Row],[Attribute]],#REF!,2,FALSE)</f>
        <v>#REF!</v>
      </c>
      <c r="F5611">
        <v>144.80000000000001</v>
      </c>
      <c r="G5611">
        <f>(Cpi_[[#This Row],[Value]]-F5610)/F5610</f>
        <v>-1.8305084745762635E-2</v>
      </c>
      <c r="H5611" t="e" cm="1" vm="1">
        <f t="array" aca="1" ref="H5611" ca="1">VLOOKUP(Cpi_[[#This Row],[Year]:[Month]],crudeoil[],3,FALSE)</f>
        <v>#VALUE!</v>
      </c>
    </row>
    <row r="5612" spans="1:8" hidden="1" x14ac:dyDescent="0.3">
      <c r="A5612" t="s">
        <v>30</v>
      </c>
      <c r="B5612">
        <v>2018</v>
      </c>
      <c r="C5612" t="s">
        <v>43</v>
      </c>
      <c r="D5612" t="s">
        <v>24</v>
      </c>
      <c r="E5612" t="e">
        <f>VLOOKUP(Cpi_[[#This Row],[Attribute]],#REF!,2,FALSE)</f>
        <v>#REF!</v>
      </c>
      <c r="F5612">
        <v>130.80000000000001</v>
      </c>
      <c r="G5612">
        <f>(Cpi_[[#This Row],[Value]]-F5611)/F5611</f>
        <v>-9.6685082872928166E-2</v>
      </c>
      <c r="H5612" t="e" cm="1" vm="1">
        <f t="array" aca="1" ref="H5612" ca="1">VLOOKUP(Cpi_[[#This Row],[Year]:[Month]],crudeoil[],3,FALSE)</f>
        <v>#VALUE!</v>
      </c>
    </row>
    <row r="5613" spans="1:8" hidden="1" x14ac:dyDescent="0.3">
      <c r="A5613" t="s">
        <v>30</v>
      </c>
      <c r="B5613">
        <v>2018</v>
      </c>
      <c r="C5613" t="s">
        <v>43</v>
      </c>
      <c r="D5613" t="s">
        <v>25</v>
      </c>
      <c r="E5613" t="e">
        <f>VLOOKUP(Cpi_[[#This Row],[Attribute]],#REF!,2,FALSE)</f>
        <v>#REF!</v>
      </c>
      <c r="F5613">
        <v>140.1</v>
      </c>
      <c r="G5613">
        <f>(Cpi_[[#This Row],[Value]]-F5612)/F5612</f>
        <v>7.1100917431192526E-2</v>
      </c>
      <c r="H5613" t="e" cm="1" vm="1">
        <f t="array" aca="1" ref="H5613" ca="1">VLOOKUP(Cpi_[[#This Row],[Year]:[Month]],crudeoil[],3,FALSE)</f>
        <v>#VALUE!</v>
      </c>
    </row>
    <row r="5614" spans="1:8" hidden="1" x14ac:dyDescent="0.3">
      <c r="A5614" t="s">
        <v>30</v>
      </c>
      <c r="B5614">
        <v>2018</v>
      </c>
      <c r="C5614" t="s">
        <v>43</v>
      </c>
      <c r="D5614" t="s">
        <v>26</v>
      </c>
      <c r="E5614" t="e">
        <f>VLOOKUP(Cpi_[[#This Row],[Attribute]],#REF!,2,FALSE)</f>
        <v>#REF!</v>
      </c>
      <c r="F5614">
        <v>148</v>
      </c>
      <c r="G5614">
        <f>(Cpi_[[#This Row],[Value]]-F5613)/F5613</f>
        <v>5.6388294075660282E-2</v>
      </c>
      <c r="H5614" t="e" cm="1" vm="1">
        <f t="array" aca="1" ref="H5614" ca="1">VLOOKUP(Cpi_[[#This Row],[Year]:[Month]],crudeoil[],3,FALSE)</f>
        <v>#VALUE!</v>
      </c>
    </row>
    <row r="5615" spans="1:8" hidden="1" x14ac:dyDescent="0.3">
      <c r="A5615" t="s">
        <v>30</v>
      </c>
      <c r="B5615">
        <v>2018</v>
      </c>
      <c r="C5615" t="s">
        <v>43</v>
      </c>
      <c r="D5615" t="s">
        <v>27</v>
      </c>
      <c r="E5615" t="e">
        <f>VLOOKUP(Cpi_[[#This Row],[Attribute]],#REF!,2,FALSE)</f>
        <v>#REF!</v>
      </c>
      <c r="F5615">
        <v>134.4</v>
      </c>
      <c r="G5615">
        <f>(Cpi_[[#This Row],[Value]]-F5614)/F5614</f>
        <v>-9.1891891891891855E-2</v>
      </c>
      <c r="H5615" t="e" cm="1" vm="1">
        <f t="array" aca="1" ref="H5615" ca="1">VLOOKUP(Cpi_[[#This Row],[Year]:[Month]],crudeoil[],3,FALSE)</f>
        <v>#VALUE!</v>
      </c>
    </row>
    <row r="5616" spans="1:8" hidden="1" x14ac:dyDescent="0.3">
      <c r="A5616" t="s">
        <v>30</v>
      </c>
      <c r="B5616">
        <v>2018</v>
      </c>
      <c r="C5616" t="s">
        <v>43</v>
      </c>
      <c r="D5616" t="s">
        <v>28</v>
      </c>
      <c r="E5616" t="e">
        <f>VLOOKUP(Cpi_[[#This Row],[Attribute]],#REF!,2,FALSE)</f>
        <v>#REF!</v>
      </c>
      <c r="F5616">
        <v>139.80000000000001</v>
      </c>
      <c r="G5616">
        <f>(Cpi_[[#This Row],[Value]]-F5615)/F5615</f>
        <v>4.0178571428571466E-2</v>
      </c>
      <c r="H5616" t="e" cm="1" vm="1">
        <f t="array" aca="1" ref="H5616" ca="1">VLOOKUP(Cpi_[[#This Row],[Year]:[Month]],crudeoil[],3,FALSE)</f>
        <v>#VALUE!</v>
      </c>
    </row>
    <row r="5617" spans="1:8" hidden="1" x14ac:dyDescent="0.3">
      <c r="A5617" t="s">
        <v>30</v>
      </c>
      <c r="B5617">
        <v>2018</v>
      </c>
      <c r="C5617" t="s">
        <v>43</v>
      </c>
      <c r="D5617" t="s">
        <v>29</v>
      </c>
      <c r="E5617" t="e" cm="1">
        <f t="array" aca="1" ref="E5617" ca="1">VLGeneral indexGeneral indexKUP(Cpi_[[#This Row],[Attribute]],#REF!,2,FALSE)</f>
        <v>#NAME?</v>
      </c>
      <c r="F5617">
        <v>142.19999999999999</v>
      </c>
      <c r="G5617">
        <f>(Cpi_[[#This Row],[Value]]-F5616)/F5616</f>
        <v>1.7167381974248764E-2</v>
      </c>
      <c r="H5617" t="e" cm="1" vm="1">
        <f t="array" aca="1" ref="H5617" ca="1">VLOOKUP(Cpi_[[#This Row],[Year]:[Month]],crudeoil[],3,FALSE)</f>
        <v>#VALUE!</v>
      </c>
    </row>
    <row r="5618" spans="1:8" hidden="1" x14ac:dyDescent="0.3">
      <c r="A5618" t="s">
        <v>33</v>
      </c>
      <c r="B5618">
        <v>2018</v>
      </c>
      <c r="C5618" t="s">
        <v>43</v>
      </c>
      <c r="D5618" t="s">
        <v>3</v>
      </c>
      <c r="E5618" t="e">
        <f>VLOOKUP(Cpi_[[#This Row],[Attribute]],#REF!,2,FALSE)</f>
        <v>#REF!</v>
      </c>
      <c r="F5618">
        <v>137.6</v>
      </c>
      <c r="G5618">
        <f>(Cpi_[[#This Row],[Value]]-F5617)/F5617</f>
        <v>-3.2348804500703196E-2</v>
      </c>
      <c r="H5618" t="e" cm="1" vm="1">
        <f t="array" aca="1" ref="H5618" ca="1">VLOOKUP(Cpi_[[#This Row],[Year]:[Month]],crudeoil[],3,FALSE)</f>
        <v>#VALUE!</v>
      </c>
    </row>
    <row r="5619" spans="1:8" hidden="1" x14ac:dyDescent="0.3">
      <c r="A5619" t="s">
        <v>33</v>
      </c>
      <c r="B5619">
        <v>2018</v>
      </c>
      <c r="C5619" t="s">
        <v>43</v>
      </c>
      <c r="D5619" t="s">
        <v>4</v>
      </c>
      <c r="E5619" t="e">
        <f>VLOOKUP(Cpi_[[#This Row],[Attribute]],#REF!,2,FALSE)</f>
        <v>#REF!</v>
      </c>
      <c r="F5619">
        <v>144.9</v>
      </c>
      <c r="G5619">
        <f>(Cpi_[[#This Row],[Value]]-F5618)/F5618</f>
        <v>5.3052325581395436E-2</v>
      </c>
      <c r="H5619" t="e" cm="1" vm="1">
        <f t="array" aca="1" ref="H5619" ca="1">VLOOKUP(Cpi_[[#This Row],[Year]:[Month]],crudeoil[],3,FALSE)</f>
        <v>#VALUE!</v>
      </c>
    </row>
    <row r="5620" spans="1:8" hidden="1" x14ac:dyDescent="0.3">
      <c r="A5620" t="s">
        <v>33</v>
      </c>
      <c r="B5620">
        <v>2018</v>
      </c>
      <c r="C5620" t="s">
        <v>43</v>
      </c>
      <c r="D5620" t="s">
        <v>5</v>
      </c>
      <c r="E5620" t="e">
        <f>VLOOKUP(Cpi_[[#This Row],[Attribute]],#REF!,2,FALSE)</f>
        <v>#REF!</v>
      </c>
      <c r="F5620">
        <v>133.5</v>
      </c>
      <c r="G5620">
        <f>(Cpi_[[#This Row],[Value]]-F5619)/F5619</f>
        <v>-7.8674948240165674E-2</v>
      </c>
      <c r="H5620" t="e" cm="1" vm="1">
        <f t="array" aca="1" ref="H5620" ca="1">VLOOKUP(Cpi_[[#This Row],[Year]:[Month]],crudeoil[],3,FALSE)</f>
        <v>#VALUE!</v>
      </c>
    </row>
    <row r="5621" spans="1:8" hidden="1" x14ac:dyDescent="0.3">
      <c r="A5621" t="s">
        <v>33</v>
      </c>
      <c r="B5621">
        <v>2018</v>
      </c>
      <c r="C5621" t="s">
        <v>43</v>
      </c>
      <c r="D5621" t="s">
        <v>6</v>
      </c>
      <c r="E5621" t="e">
        <f>VLOOKUP(Cpi_[[#This Row],[Attribute]],#REF!,2,FALSE)</f>
        <v>#REF!</v>
      </c>
      <c r="F5621">
        <v>141.5</v>
      </c>
      <c r="G5621">
        <f>(Cpi_[[#This Row],[Value]]-F5620)/F5620</f>
        <v>5.9925093632958802E-2</v>
      </c>
      <c r="H5621" t="e" cm="1" vm="1">
        <f t="array" aca="1" ref="H5621" ca="1">VLOOKUP(Cpi_[[#This Row],[Year]:[Month]],crudeoil[],3,FALSE)</f>
        <v>#VALUE!</v>
      </c>
    </row>
    <row r="5622" spans="1:8" hidden="1" x14ac:dyDescent="0.3">
      <c r="A5622" t="s">
        <v>33</v>
      </c>
      <c r="B5622">
        <v>2018</v>
      </c>
      <c r="C5622" t="s">
        <v>43</v>
      </c>
      <c r="D5622" t="s">
        <v>7</v>
      </c>
      <c r="E5622" t="e">
        <f>VLOOKUP(Cpi_[[#This Row],[Attribute]],#REF!,2,FALSE)</f>
        <v>#REF!</v>
      </c>
      <c r="F5622">
        <v>118</v>
      </c>
      <c r="G5622">
        <f>(Cpi_[[#This Row],[Value]]-F5621)/F5621</f>
        <v>-0.16607773851590105</v>
      </c>
      <c r="H5622" t="e" cm="1" vm="1">
        <f t="array" aca="1" ref="H5622" ca="1">VLOOKUP(Cpi_[[#This Row],[Year]:[Month]],crudeoil[],3,FALSE)</f>
        <v>#VALUE!</v>
      </c>
    </row>
    <row r="5623" spans="1:8" hidden="1" x14ac:dyDescent="0.3">
      <c r="A5623" t="s">
        <v>33</v>
      </c>
      <c r="B5623">
        <v>2018</v>
      </c>
      <c r="C5623" t="s">
        <v>43</v>
      </c>
      <c r="D5623" t="s">
        <v>8</v>
      </c>
      <c r="E5623" t="e">
        <f>VLOOKUP(Cpi_[[#This Row],[Attribute]],#REF!,2,FALSE)</f>
        <v>#REF!</v>
      </c>
      <c r="F5623">
        <v>139.5</v>
      </c>
      <c r="G5623">
        <f>(Cpi_[[#This Row],[Value]]-F5622)/F5622</f>
        <v>0.18220338983050846</v>
      </c>
      <c r="H5623" t="e" cm="1" vm="1">
        <f t="array" aca="1" ref="H5623" ca="1">VLOOKUP(Cpi_[[#This Row],[Year]:[Month]],crudeoil[],3,FALSE)</f>
        <v>#VALUE!</v>
      </c>
    </row>
    <row r="5624" spans="1:8" hidden="1" x14ac:dyDescent="0.3">
      <c r="A5624" t="s">
        <v>33</v>
      </c>
      <c r="B5624">
        <v>2018</v>
      </c>
      <c r="C5624" t="s">
        <v>43</v>
      </c>
      <c r="D5624" t="s">
        <v>9</v>
      </c>
      <c r="E5624" t="e">
        <f>VLOOKUP(Cpi_[[#This Row],[Attribute]],#REF!,2,FALSE)</f>
        <v>#REF!</v>
      </c>
      <c r="F5624">
        <v>153</v>
      </c>
      <c r="G5624">
        <f>(Cpi_[[#This Row],[Value]]-F5623)/F5623</f>
        <v>9.6774193548387094E-2</v>
      </c>
      <c r="H5624" t="e" cm="1" vm="1">
        <f t="array" aca="1" ref="H5624" ca="1">VLOOKUP(Cpi_[[#This Row],[Year]:[Month]],crudeoil[],3,FALSE)</f>
        <v>#VALUE!</v>
      </c>
    </row>
    <row r="5625" spans="1:8" hidden="1" x14ac:dyDescent="0.3">
      <c r="A5625" t="s">
        <v>33</v>
      </c>
      <c r="B5625">
        <v>2018</v>
      </c>
      <c r="C5625" t="s">
        <v>43</v>
      </c>
      <c r="D5625" t="s">
        <v>10</v>
      </c>
      <c r="E5625" t="e">
        <f>VLOOKUP(Cpi_[[#This Row],[Attribute]],#REF!,2,FALSE)</f>
        <v>#REF!</v>
      </c>
      <c r="F5625">
        <v>113.2</v>
      </c>
      <c r="G5625">
        <f>(Cpi_[[#This Row],[Value]]-F5624)/F5624</f>
        <v>-0.26013071895424833</v>
      </c>
      <c r="H5625" t="e" cm="1" vm="1">
        <f t="array" aca="1" ref="H5625" ca="1">VLOOKUP(Cpi_[[#This Row],[Year]:[Month]],crudeoil[],3,FALSE)</f>
        <v>#VALUE!</v>
      </c>
    </row>
    <row r="5626" spans="1:8" hidden="1" x14ac:dyDescent="0.3">
      <c r="A5626" t="s">
        <v>33</v>
      </c>
      <c r="B5626">
        <v>2018</v>
      </c>
      <c r="C5626" t="s">
        <v>43</v>
      </c>
      <c r="D5626" t="s">
        <v>11</v>
      </c>
      <c r="E5626" t="e">
        <f>VLOOKUP(Cpi_[[#This Row],[Attribute]],#REF!,2,FALSE)</f>
        <v>#REF!</v>
      </c>
      <c r="F5626">
        <v>112.8</v>
      </c>
      <c r="G5626">
        <f>(Cpi_[[#This Row],[Value]]-F5625)/F5625</f>
        <v>-3.5335689045936898E-3</v>
      </c>
      <c r="H5626" t="e" cm="1" vm="1">
        <f t="array" aca="1" ref="H5626" ca="1">VLOOKUP(Cpi_[[#This Row],[Year]:[Month]],crudeoil[],3,FALSE)</f>
        <v>#VALUE!</v>
      </c>
    </row>
    <row r="5627" spans="1:8" hidden="1" x14ac:dyDescent="0.3">
      <c r="A5627" t="s">
        <v>33</v>
      </c>
      <c r="B5627">
        <v>2018</v>
      </c>
      <c r="C5627" t="s">
        <v>43</v>
      </c>
      <c r="D5627" t="s">
        <v>12</v>
      </c>
      <c r="E5627" t="e">
        <f>VLOOKUP(Cpi_[[#This Row],[Attribute]],#REF!,2,FALSE)</f>
        <v>#REF!</v>
      </c>
      <c r="F5627">
        <v>141.1</v>
      </c>
      <c r="G5627">
        <f>(Cpi_[[#This Row],[Value]]-F5626)/F5626</f>
        <v>0.25088652482269502</v>
      </c>
      <c r="H5627" t="e" cm="1" vm="1">
        <f t="array" aca="1" ref="H5627" ca="1">VLOOKUP(Cpi_[[#This Row],[Year]:[Month]],crudeoil[],3,FALSE)</f>
        <v>#VALUE!</v>
      </c>
    </row>
    <row r="5628" spans="1:8" hidden="1" x14ac:dyDescent="0.3">
      <c r="A5628" t="s">
        <v>33</v>
      </c>
      <c r="B5628">
        <v>2018</v>
      </c>
      <c r="C5628" t="s">
        <v>43</v>
      </c>
      <c r="D5628" t="s">
        <v>13</v>
      </c>
      <c r="E5628" t="e">
        <f>VLOOKUP(Cpi_[[#This Row],[Attribute]],#REF!,2,FALSE)</f>
        <v>#REF!</v>
      </c>
      <c r="F5628">
        <v>127.6</v>
      </c>
      <c r="G5628">
        <f>(Cpi_[[#This Row],[Value]]-F5627)/F5627</f>
        <v>-9.5676824946846206E-2</v>
      </c>
      <c r="H5628" t="e" cm="1" vm="1">
        <f t="array" aca="1" ref="H5628" ca="1">VLOOKUP(Cpi_[[#This Row],[Year]:[Month]],crudeoil[],3,FALSE)</f>
        <v>#VALUE!</v>
      </c>
    </row>
    <row r="5629" spans="1:8" hidden="1" x14ac:dyDescent="0.3">
      <c r="A5629" t="s">
        <v>33</v>
      </c>
      <c r="B5629">
        <v>2018</v>
      </c>
      <c r="C5629" t="s">
        <v>43</v>
      </c>
      <c r="D5629" t="s">
        <v>14</v>
      </c>
      <c r="E5629" t="e">
        <f>VLOOKUP(Cpi_[[#This Row],[Attribute]],#REF!,2,FALSE)</f>
        <v>#REF!</v>
      </c>
      <c r="F5629">
        <v>152</v>
      </c>
      <c r="G5629">
        <f>(Cpi_[[#This Row],[Value]]-F5628)/F5628</f>
        <v>0.19122257053291541</v>
      </c>
      <c r="H5629" t="e" cm="1" vm="1">
        <f t="array" aca="1" ref="H5629" ca="1">VLOOKUP(Cpi_[[#This Row],[Year]:[Month]],crudeoil[],3,FALSE)</f>
        <v>#VALUE!</v>
      </c>
    </row>
    <row r="5630" spans="1:8" hidden="1" x14ac:dyDescent="0.3">
      <c r="A5630" t="s">
        <v>33</v>
      </c>
      <c r="B5630">
        <v>2018</v>
      </c>
      <c r="C5630" t="s">
        <v>43</v>
      </c>
      <c r="D5630" t="s">
        <v>15</v>
      </c>
      <c r="E5630" t="e">
        <f>VLOOKUP(Cpi_[[#This Row],[Attribute]],#REF!,2,FALSE)</f>
        <v>#REF!</v>
      </c>
      <c r="F5630">
        <v>139.4</v>
      </c>
      <c r="G5630">
        <f>(Cpi_[[#This Row],[Value]]-F5629)/F5629</f>
        <v>-8.2894736842105229E-2</v>
      </c>
      <c r="H5630" t="e" cm="1" vm="1">
        <f t="array" aca="1" ref="H5630" ca="1">VLOOKUP(Cpi_[[#This Row],[Year]:[Month]],crudeoil[],3,FALSE)</f>
        <v>#VALUE!</v>
      </c>
    </row>
    <row r="5631" spans="1:8" hidden="1" x14ac:dyDescent="0.3">
      <c r="A5631" t="s">
        <v>33</v>
      </c>
      <c r="B5631">
        <v>2018</v>
      </c>
      <c r="C5631" t="s">
        <v>43</v>
      </c>
      <c r="D5631" t="s">
        <v>16</v>
      </c>
      <c r="E5631" t="e">
        <f>VLOOKUP(Cpi_[[#This Row],[Attribute]],#REF!,2,FALSE)</f>
        <v>#REF!</v>
      </c>
      <c r="F5631">
        <v>164</v>
      </c>
      <c r="G5631">
        <f>(Cpi_[[#This Row],[Value]]-F5630)/F5630</f>
        <v>0.17647058823529407</v>
      </c>
      <c r="H5631" t="e" cm="1" vm="1">
        <f t="array" aca="1" ref="H5631" ca="1">VLOOKUP(Cpi_[[#This Row],[Year]:[Month]],crudeoil[],3,FALSE)</f>
        <v>#VALUE!</v>
      </c>
    </row>
    <row r="5632" spans="1:8" hidden="1" x14ac:dyDescent="0.3">
      <c r="A5632" t="s">
        <v>33</v>
      </c>
      <c r="B5632">
        <v>2018</v>
      </c>
      <c r="C5632" t="s">
        <v>43</v>
      </c>
      <c r="D5632" t="s">
        <v>17</v>
      </c>
      <c r="E5632" t="e">
        <f>VLOOKUP(Cpi_[[#This Row],[Attribute]],#REF!,2,FALSE)</f>
        <v>#REF!</v>
      </c>
      <c r="F5632">
        <v>141.5</v>
      </c>
      <c r="G5632">
        <f>(Cpi_[[#This Row],[Value]]-F5631)/F5631</f>
        <v>-0.13719512195121952</v>
      </c>
      <c r="H5632" t="e" cm="1" vm="1">
        <f t="array" aca="1" ref="H5632" ca="1">VLOOKUP(Cpi_[[#This Row],[Year]:[Month]],crudeoil[],3,FALSE)</f>
        <v>#VALUE!</v>
      </c>
    </row>
    <row r="5633" spans="1:8" hidden="1" x14ac:dyDescent="0.3">
      <c r="A5633" t="s">
        <v>33</v>
      </c>
      <c r="B5633">
        <v>2018</v>
      </c>
      <c r="C5633" t="s">
        <v>43</v>
      </c>
      <c r="D5633" t="s">
        <v>18</v>
      </c>
      <c r="E5633" t="e">
        <f>VLOOKUP(Cpi_[[#This Row],[Attribute]],#REF!,2,FALSE)</f>
        <v>#REF!</v>
      </c>
      <c r="F5633">
        <v>129.80000000000001</v>
      </c>
      <c r="G5633">
        <f>(Cpi_[[#This Row],[Value]]-F5632)/F5632</f>
        <v>-8.2685512367491082E-2</v>
      </c>
      <c r="H5633" t="e" cm="1" vm="1">
        <f t="array" aca="1" ref="H5633" ca="1">VLOOKUP(Cpi_[[#This Row],[Year]:[Month]],crudeoil[],3,FALSE)</f>
        <v>#VALUE!</v>
      </c>
    </row>
    <row r="5634" spans="1:8" hidden="1" x14ac:dyDescent="0.3">
      <c r="A5634" t="s">
        <v>33</v>
      </c>
      <c r="B5634">
        <v>2018</v>
      </c>
      <c r="C5634" t="s">
        <v>43</v>
      </c>
      <c r="D5634" t="s">
        <v>19</v>
      </c>
      <c r="E5634" t="e">
        <f>VLOOKUP(Cpi_[[#This Row],[Attribute]],#REF!,2,FALSE)</f>
        <v>#REF!</v>
      </c>
      <c r="F5634">
        <v>139.69999999999999</v>
      </c>
      <c r="G5634">
        <f>(Cpi_[[#This Row],[Value]]-F5633)/F5633</f>
        <v>7.6271186440677791E-2</v>
      </c>
      <c r="H5634" t="e" cm="1" vm="1">
        <f t="array" aca="1" ref="H5634" ca="1">VLOOKUP(Cpi_[[#This Row],[Year]:[Month]],crudeoil[],3,FALSE)</f>
        <v>#VALUE!</v>
      </c>
    </row>
    <row r="5635" spans="1:8" hidden="1" x14ac:dyDescent="0.3">
      <c r="A5635" t="s">
        <v>33</v>
      </c>
      <c r="B5635">
        <v>2018</v>
      </c>
      <c r="C5635" t="s">
        <v>43</v>
      </c>
      <c r="D5635" t="s">
        <v>20</v>
      </c>
      <c r="E5635" t="e">
        <f>VLOOKUP(Cpi_[[#This Row],[Attribute]],#REF!,2,FALSE)</f>
        <v>#REF!</v>
      </c>
      <c r="F5635">
        <v>146.30000000000001</v>
      </c>
      <c r="G5635">
        <f>(Cpi_[[#This Row],[Value]]-F5634)/F5634</f>
        <v>4.7244094488189142E-2</v>
      </c>
      <c r="H5635" t="e" cm="1" vm="1">
        <f t="array" aca="1" ref="H5635" ca="1">VLOOKUP(Cpi_[[#This Row],[Year]:[Month]],crudeoil[],3,FALSE)</f>
        <v>#VALUE!</v>
      </c>
    </row>
    <row r="5636" spans="1:8" hidden="1" x14ac:dyDescent="0.3">
      <c r="A5636" t="s">
        <v>33</v>
      </c>
      <c r="B5636">
        <v>2018</v>
      </c>
      <c r="C5636" t="s">
        <v>43</v>
      </c>
      <c r="D5636" t="s">
        <v>21</v>
      </c>
      <c r="E5636" t="e">
        <f>VLOOKUP(Cpi_[[#This Row],[Attribute]],#REF!,2,FALSE)</f>
        <v>#REF!</v>
      </c>
      <c r="F5636">
        <v>133.4</v>
      </c>
      <c r="G5636">
        <f>(Cpi_[[#This Row],[Value]]-F5635)/F5635</f>
        <v>-8.8174982911825045E-2</v>
      </c>
      <c r="H5636" t="e" cm="1" vm="1">
        <f t="array" aca="1" ref="H5636" ca="1">VLOOKUP(Cpi_[[#This Row],[Year]:[Month]],crudeoil[],3,FALSE)</f>
        <v>#VALUE!</v>
      </c>
    </row>
    <row r="5637" spans="1:8" hidden="1" x14ac:dyDescent="0.3">
      <c r="A5637" t="s">
        <v>33</v>
      </c>
      <c r="B5637">
        <v>2018</v>
      </c>
      <c r="C5637" t="s">
        <v>43</v>
      </c>
      <c r="D5637" t="s">
        <v>22</v>
      </c>
      <c r="E5637" t="e">
        <f>VLOOKUP(Cpi_[[#This Row],[Attribute]],#REF!,2,FALSE)</f>
        <v>#REF!</v>
      </c>
      <c r="F5637">
        <v>135.1</v>
      </c>
      <c r="G5637">
        <f>(Cpi_[[#This Row],[Value]]-F5636)/F5636</f>
        <v>1.274362818590696E-2</v>
      </c>
      <c r="H5637" t="e" cm="1" vm="1">
        <f t="array" aca="1" ref="H5637" ca="1">VLOOKUP(Cpi_[[#This Row],[Year]:[Month]],crudeoil[],3,FALSE)</f>
        <v>#VALUE!</v>
      </c>
    </row>
    <row r="5638" spans="1:8" hidden="1" x14ac:dyDescent="0.3">
      <c r="A5638" t="s">
        <v>33</v>
      </c>
      <c r="B5638">
        <v>2018</v>
      </c>
      <c r="C5638" t="s">
        <v>43</v>
      </c>
      <c r="D5638" t="s">
        <v>23</v>
      </c>
      <c r="E5638" t="e">
        <f>VLOOKUP(Cpi_[[#This Row],[Attribute]],#REF!,2,FALSE)</f>
        <v>#REF!</v>
      </c>
      <c r="F5638">
        <v>136.19999999999999</v>
      </c>
      <c r="G5638">
        <f>(Cpi_[[#This Row],[Value]]-F5637)/F5637</f>
        <v>8.1421169504070634E-3</v>
      </c>
      <c r="H5638" t="e" cm="1" vm="1">
        <f t="array" aca="1" ref="H5638" ca="1">VLOOKUP(Cpi_[[#This Row],[Year]:[Month]],crudeoil[],3,FALSE)</f>
        <v>#VALUE!</v>
      </c>
    </row>
    <row r="5639" spans="1:8" hidden="1" x14ac:dyDescent="0.3">
      <c r="A5639" t="s">
        <v>33</v>
      </c>
      <c r="B5639">
        <v>2018</v>
      </c>
      <c r="C5639" t="s">
        <v>43</v>
      </c>
      <c r="D5639" t="s">
        <v>24</v>
      </c>
      <c r="E5639" t="e">
        <f>VLOOKUP(Cpi_[[#This Row],[Attribute]],#REF!,2,FALSE)</f>
        <v>#REF!</v>
      </c>
      <c r="F5639">
        <v>123.3</v>
      </c>
      <c r="G5639">
        <f>(Cpi_[[#This Row],[Value]]-F5638)/F5638</f>
        <v>-9.4713656387665143E-2</v>
      </c>
      <c r="H5639" t="e" cm="1" vm="1">
        <f t="array" aca="1" ref="H5639" ca="1">VLOOKUP(Cpi_[[#This Row],[Year]:[Month]],crudeoil[],3,FALSE)</f>
        <v>#VALUE!</v>
      </c>
    </row>
    <row r="5640" spans="1:8" hidden="1" x14ac:dyDescent="0.3">
      <c r="A5640" t="s">
        <v>33</v>
      </c>
      <c r="B5640">
        <v>2018</v>
      </c>
      <c r="C5640" t="s">
        <v>43</v>
      </c>
      <c r="D5640" t="s">
        <v>25</v>
      </c>
      <c r="E5640" t="e">
        <f>VLOOKUP(Cpi_[[#This Row],[Attribute]],#REF!,2,FALSE)</f>
        <v>#REF!</v>
      </c>
      <c r="F5640">
        <v>130.69999999999999</v>
      </c>
      <c r="G5640">
        <f>(Cpi_[[#This Row],[Value]]-F5639)/F5639</f>
        <v>6.0016220600162137E-2</v>
      </c>
      <c r="H5640" t="e" cm="1" vm="1">
        <f t="array" aca="1" ref="H5640" ca="1">VLOOKUP(Cpi_[[#This Row],[Year]:[Month]],crudeoil[],3,FALSE)</f>
        <v>#VALUE!</v>
      </c>
    </row>
    <row r="5641" spans="1:8" hidden="1" x14ac:dyDescent="0.3">
      <c r="A5641" t="s">
        <v>33</v>
      </c>
      <c r="B5641">
        <v>2018</v>
      </c>
      <c r="C5641" t="s">
        <v>43</v>
      </c>
      <c r="D5641" t="s">
        <v>26</v>
      </c>
      <c r="E5641" t="e">
        <f>VLOOKUP(Cpi_[[#This Row],[Attribute]],#REF!,2,FALSE)</f>
        <v>#REF!</v>
      </c>
      <c r="F5641">
        <v>145.5</v>
      </c>
      <c r="G5641">
        <f>(Cpi_[[#This Row],[Value]]-F5640)/F5640</f>
        <v>0.11323641928079581</v>
      </c>
      <c r="H5641" t="e" cm="1" vm="1">
        <f t="array" aca="1" ref="H5641" ca="1">VLOOKUP(Cpi_[[#This Row],[Year]:[Month]],crudeoil[],3,FALSE)</f>
        <v>#VALUE!</v>
      </c>
    </row>
    <row r="5642" spans="1:8" hidden="1" x14ac:dyDescent="0.3">
      <c r="A5642" t="s">
        <v>33</v>
      </c>
      <c r="B5642">
        <v>2018</v>
      </c>
      <c r="C5642" t="s">
        <v>43</v>
      </c>
      <c r="D5642" t="s">
        <v>27</v>
      </c>
      <c r="E5642" t="e">
        <f>VLOOKUP(Cpi_[[#This Row],[Attribute]],#REF!,2,FALSE)</f>
        <v>#REF!</v>
      </c>
      <c r="F5642">
        <v>130.4</v>
      </c>
      <c r="G5642">
        <f>(Cpi_[[#This Row],[Value]]-F5641)/F5641</f>
        <v>-0.1037800687285223</v>
      </c>
      <c r="H5642" t="e" cm="1" vm="1">
        <f t="array" aca="1" ref="H5642" ca="1">VLOOKUP(Cpi_[[#This Row],[Year]:[Month]],crudeoil[],3,FALSE)</f>
        <v>#VALUE!</v>
      </c>
    </row>
    <row r="5643" spans="1:8" hidden="1" x14ac:dyDescent="0.3">
      <c r="A5643" t="s">
        <v>33</v>
      </c>
      <c r="B5643">
        <v>2018</v>
      </c>
      <c r="C5643" t="s">
        <v>43</v>
      </c>
      <c r="D5643" t="s">
        <v>28</v>
      </c>
      <c r="E5643" t="e">
        <f>VLOOKUP(Cpi_[[#This Row],[Attribute]],#REF!,2,FALSE)</f>
        <v>#REF!</v>
      </c>
      <c r="F5643">
        <v>132.5</v>
      </c>
      <c r="G5643">
        <f>(Cpi_[[#This Row],[Value]]-F5642)/F5642</f>
        <v>1.6104294478527563E-2</v>
      </c>
      <c r="H5643" t="e" cm="1" vm="1">
        <f t="array" aca="1" ref="H5643" ca="1">VLOOKUP(Cpi_[[#This Row],[Year]:[Month]],crudeoil[],3,FALSE)</f>
        <v>#VALUE!</v>
      </c>
    </row>
    <row r="5644" spans="1:8" hidden="1" x14ac:dyDescent="0.3">
      <c r="A5644" t="s">
        <v>33</v>
      </c>
      <c r="B5644">
        <v>2018</v>
      </c>
      <c r="C5644" t="s">
        <v>43</v>
      </c>
      <c r="D5644" t="s">
        <v>29</v>
      </c>
      <c r="E5644" t="e" cm="1">
        <f t="array" aca="1" ref="E5644" ca="1">VLGeneral indexGeneral indexKUP(Cpi_[[#This Row],[Attribute]],#REF!,2,FALSE)</f>
        <v>#NAME?</v>
      </c>
      <c r="F5644">
        <v>138.9</v>
      </c>
      <c r="G5644">
        <f>(Cpi_[[#This Row],[Value]]-F5643)/F5643</f>
        <v>4.8301886792452876E-2</v>
      </c>
      <c r="H5644" t="e" cm="1" vm="1">
        <f t="array" aca="1" ref="H5644" ca="1">VLOOKUP(Cpi_[[#This Row],[Year]:[Month]],crudeoil[],3,FALSE)</f>
        <v>#VALUE!</v>
      </c>
    </row>
    <row r="5645" spans="1:8" hidden="1" x14ac:dyDescent="0.3">
      <c r="A5645" t="s">
        <v>34</v>
      </c>
      <c r="B5645">
        <v>2018</v>
      </c>
      <c r="C5645" t="s">
        <v>43</v>
      </c>
      <c r="D5645" t="s">
        <v>3</v>
      </c>
      <c r="E5645" t="e">
        <f>VLOOKUP(Cpi_[[#This Row],[Attribute]],#REF!,2,FALSE)</f>
        <v>#REF!</v>
      </c>
      <c r="F5645">
        <v>137.4</v>
      </c>
      <c r="G5645">
        <f>(Cpi_[[#This Row],[Value]]-F5644)/F5644</f>
        <v>-1.079913606911447E-2</v>
      </c>
      <c r="H5645" t="e" cm="1" vm="1">
        <f t="array" aca="1" ref="H5645" ca="1">VLOOKUP(Cpi_[[#This Row],[Year]:[Month]],crudeoil[],3,FALSE)</f>
        <v>#VALUE!</v>
      </c>
    </row>
    <row r="5646" spans="1:8" hidden="1" x14ac:dyDescent="0.3">
      <c r="A5646" t="s">
        <v>34</v>
      </c>
      <c r="B5646">
        <v>2018</v>
      </c>
      <c r="C5646" t="s">
        <v>43</v>
      </c>
      <c r="D5646" t="s">
        <v>4</v>
      </c>
      <c r="E5646" t="e">
        <f>VLOOKUP(Cpi_[[#This Row],[Attribute]],#REF!,2,FALSE)</f>
        <v>#REF!</v>
      </c>
      <c r="F5646">
        <v>149.5</v>
      </c>
      <c r="G5646">
        <f>(Cpi_[[#This Row],[Value]]-F5645)/F5645</f>
        <v>8.8064046579330382E-2</v>
      </c>
      <c r="H5646" t="e" cm="1" vm="1">
        <f t="array" aca="1" ref="H5646" ca="1">VLOOKUP(Cpi_[[#This Row],[Year]:[Month]],crudeoil[],3,FALSE)</f>
        <v>#VALUE!</v>
      </c>
    </row>
    <row r="5647" spans="1:8" hidden="1" x14ac:dyDescent="0.3">
      <c r="A5647" t="s">
        <v>34</v>
      </c>
      <c r="B5647">
        <v>2018</v>
      </c>
      <c r="C5647" t="s">
        <v>43</v>
      </c>
      <c r="D5647" t="s">
        <v>5</v>
      </c>
      <c r="E5647" t="e">
        <f>VLOOKUP(Cpi_[[#This Row],[Attribute]],#REF!,2,FALSE)</f>
        <v>#REF!</v>
      </c>
      <c r="F5647">
        <v>137.30000000000001</v>
      </c>
      <c r="G5647">
        <f>(Cpi_[[#This Row],[Value]]-F5646)/F5646</f>
        <v>-8.1605351170568483E-2</v>
      </c>
      <c r="H5647" t="e" cm="1" vm="1">
        <f t="array" aca="1" ref="H5647" ca="1">VLOOKUP(Cpi_[[#This Row],[Year]:[Month]],crudeoil[],3,FALSE)</f>
        <v>#VALUE!</v>
      </c>
    </row>
    <row r="5648" spans="1:8" hidden="1" x14ac:dyDescent="0.3">
      <c r="A5648" t="s">
        <v>34</v>
      </c>
      <c r="B5648">
        <v>2018</v>
      </c>
      <c r="C5648" t="s">
        <v>43</v>
      </c>
      <c r="D5648" t="s">
        <v>6</v>
      </c>
      <c r="E5648" t="e">
        <f>VLOOKUP(Cpi_[[#This Row],[Attribute]],#REF!,2,FALSE)</f>
        <v>#REF!</v>
      </c>
      <c r="F5648">
        <v>141.9</v>
      </c>
      <c r="G5648">
        <f>(Cpi_[[#This Row],[Value]]-F5647)/F5647</f>
        <v>3.3503277494537465E-2</v>
      </c>
      <c r="H5648" t="e" cm="1" vm="1">
        <f t="array" aca="1" ref="H5648" ca="1">VLOOKUP(Cpi_[[#This Row],[Year]:[Month]],crudeoil[],3,FALSE)</f>
        <v>#VALUE!</v>
      </c>
    </row>
    <row r="5649" spans="1:8" hidden="1" x14ac:dyDescent="0.3">
      <c r="A5649" t="s">
        <v>34</v>
      </c>
      <c r="B5649">
        <v>2018</v>
      </c>
      <c r="C5649" t="s">
        <v>43</v>
      </c>
      <c r="D5649" t="s">
        <v>7</v>
      </c>
      <c r="E5649" t="e">
        <f>VLOOKUP(Cpi_[[#This Row],[Attribute]],#REF!,2,FALSE)</f>
        <v>#REF!</v>
      </c>
      <c r="F5649">
        <v>121.1</v>
      </c>
      <c r="G5649">
        <f>(Cpi_[[#This Row],[Value]]-F5648)/F5648</f>
        <v>-0.14658210007047223</v>
      </c>
      <c r="H5649" t="e" cm="1" vm="1">
        <f t="array" aca="1" ref="H5649" ca="1">VLOOKUP(Cpi_[[#This Row],[Year]:[Month]],crudeoil[],3,FALSE)</f>
        <v>#VALUE!</v>
      </c>
    </row>
    <row r="5650" spans="1:8" hidden="1" x14ac:dyDescent="0.3">
      <c r="A5650" t="s">
        <v>34</v>
      </c>
      <c r="B5650">
        <v>2018</v>
      </c>
      <c r="C5650" t="s">
        <v>43</v>
      </c>
      <c r="D5650" t="s">
        <v>8</v>
      </c>
      <c r="E5650" t="e">
        <f>VLOOKUP(Cpi_[[#This Row],[Attribute]],#REF!,2,FALSE)</f>
        <v>#REF!</v>
      </c>
      <c r="F5650">
        <v>142.5</v>
      </c>
      <c r="G5650">
        <f>(Cpi_[[#This Row],[Value]]-F5649)/F5649</f>
        <v>0.17671345995045423</v>
      </c>
      <c r="H5650" t="e" cm="1" vm="1">
        <f t="array" aca="1" ref="H5650" ca="1">VLOOKUP(Cpi_[[#This Row],[Year]:[Month]],crudeoil[],3,FALSE)</f>
        <v>#VALUE!</v>
      </c>
    </row>
    <row r="5651" spans="1:8" hidden="1" x14ac:dyDescent="0.3">
      <c r="A5651" t="s">
        <v>34</v>
      </c>
      <c r="B5651">
        <v>2018</v>
      </c>
      <c r="C5651" t="s">
        <v>43</v>
      </c>
      <c r="D5651" t="s">
        <v>9</v>
      </c>
      <c r="E5651" t="e">
        <f>VLOOKUP(Cpi_[[#This Row],[Attribute]],#REF!,2,FALSE)</f>
        <v>#REF!</v>
      </c>
      <c r="F5651">
        <v>146.69999999999999</v>
      </c>
      <c r="G5651">
        <f>(Cpi_[[#This Row],[Value]]-F5650)/F5650</f>
        <v>2.9473684210526235E-2</v>
      </c>
      <c r="H5651" t="e" cm="1" vm="1">
        <f t="array" aca="1" ref="H5651" ca="1">VLOOKUP(Cpi_[[#This Row],[Year]:[Month]],crudeoil[],3,FALSE)</f>
        <v>#VALUE!</v>
      </c>
    </row>
    <row r="5652" spans="1:8" hidden="1" x14ac:dyDescent="0.3">
      <c r="A5652" t="s">
        <v>34</v>
      </c>
      <c r="B5652">
        <v>2018</v>
      </c>
      <c r="C5652" t="s">
        <v>43</v>
      </c>
      <c r="D5652" t="s">
        <v>10</v>
      </c>
      <c r="E5652" t="e">
        <f>VLOOKUP(Cpi_[[#This Row],[Attribute]],#REF!,2,FALSE)</f>
        <v>#REF!</v>
      </c>
      <c r="F5652">
        <v>119.1</v>
      </c>
      <c r="G5652">
        <f>(Cpi_[[#This Row],[Value]]-F5651)/F5651</f>
        <v>-0.18813905930470345</v>
      </c>
      <c r="H5652" t="e" cm="1" vm="1">
        <f t="array" aca="1" ref="H5652" ca="1">VLOOKUP(Cpi_[[#This Row],[Year]:[Month]],crudeoil[],3,FALSE)</f>
        <v>#VALUE!</v>
      </c>
    </row>
    <row r="5653" spans="1:8" hidden="1" x14ac:dyDescent="0.3">
      <c r="A5653" t="s">
        <v>34</v>
      </c>
      <c r="B5653">
        <v>2018</v>
      </c>
      <c r="C5653" t="s">
        <v>43</v>
      </c>
      <c r="D5653" t="s">
        <v>11</v>
      </c>
      <c r="E5653" t="e">
        <f>VLOOKUP(Cpi_[[#This Row],[Attribute]],#REF!,2,FALSE)</f>
        <v>#REF!</v>
      </c>
      <c r="F5653">
        <v>111.9</v>
      </c>
      <c r="G5653">
        <f>(Cpi_[[#This Row],[Value]]-F5652)/F5652</f>
        <v>-6.0453400503778246E-2</v>
      </c>
      <c r="H5653" t="e" cm="1" vm="1">
        <f t="array" aca="1" ref="H5653" ca="1">VLOOKUP(Cpi_[[#This Row],[Year]:[Month]],crudeoil[],3,FALSE)</f>
        <v>#VALUE!</v>
      </c>
    </row>
    <row r="5654" spans="1:8" hidden="1" x14ac:dyDescent="0.3">
      <c r="A5654" t="s">
        <v>34</v>
      </c>
      <c r="B5654">
        <v>2018</v>
      </c>
      <c r="C5654" t="s">
        <v>43</v>
      </c>
      <c r="D5654" t="s">
        <v>12</v>
      </c>
      <c r="E5654" t="e">
        <f>VLOOKUP(Cpi_[[#This Row],[Attribute]],#REF!,2,FALSE)</f>
        <v>#REF!</v>
      </c>
      <c r="F5654">
        <v>141</v>
      </c>
      <c r="G5654">
        <f>(Cpi_[[#This Row],[Value]]-F5653)/F5653</f>
        <v>0.26005361930294901</v>
      </c>
      <c r="H5654" t="e" cm="1" vm="1">
        <f t="array" aca="1" ref="H5654" ca="1">VLOOKUP(Cpi_[[#This Row],[Year]:[Month]],crudeoil[],3,FALSE)</f>
        <v>#VALUE!</v>
      </c>
    </row>
    <row r="5655" spans="1:8" hidden="1" x14ac:dyDescent="0.3">
      <c r="A5655" t="s">
        <v>34</v>
      </c>
      <c r="B5655">
        <v>2018</v>
      </c>
      <c r="C5655" t="s">
        <v>43</v>
      </c>
      <c r="D5655" t="s">
        <v>13</v>
      </c>
      <c r="E5655" t="e">
        <f>VLOOKUP(Cpi_[[#This Row],[Attribute]],#REF!,2,FALSE)</f>
        <v>#REF!</v>
      </c>
      <c r="F5655">
        <v>133.6</v>
      </c>
      <c r="G5655">
        <f>(Cpi_[[#This Row],[Value]]-F5654)/F5654</f>
        <v>-5.248226950354614E-2</v>
      </c>
      <c r="H5655" t="e" cm="1" vm="1">
        <f t="array" aca="1" ref="H5655" ca="1">VLOOKUP(Cpi_[[#This Row],[Year]:[Month]],crudeoil[],3,FALSE)</f>
        <v>#VALUE!</v>
      </c>
    </row>
    <row r="5656" spans="1:8" hidden="1" x14ac:dyDescent="0.3">
      <c r="A5656" t="s">
        <v>34</v>
      </c>
      <c r="B5656">
        <v>2018</v>
      </c>
      <c r="C5656" t="s">
        <v>43</v>
      </c>
      <c r="D5656" t="s">
        <v>14</v>
      </c>
      <c r="E5656" t="e">
        <f>VLOOKUP(Cpi_[[#This Row],[Attribute]],#REF!,2,FALSE)</f>
        <v>#REF!</v>
      </c>
      <c r="F5656">
        <v>154.5</v>
      </c>
      <c r="G5656">
        <f>(Cpi_[[#This Row],[Value]]-F5655)/F5655</f>
        <v>0.15643712574850305</v>
      </c>
      <c r="H5656" t="e" cm="1" vm="1">
        <f t="array" aca="1" ref="H5656" ca="1">VLOOKUP(Cpi_[[#This Row],[Year]:[Month]],crudeoil[],3,FALSE)</f>
        <v>#VALUE!</v>
      </c>
    </row>
    <row r="5657" spans="1:8" hidden="1" x14ac:dyDescent="0.3">
      <c r="A5657" t="s">
        <v>34</v>
      </c>
      <c r="B5657">
        <v>2018</v>
      </c>
      <c r="C5657" t="s">
        <v>43</v>
      </c>
      <c r="D5657" t="s">
        <v>15</v>
      </c>
      <c r="E5657" t="e">
        <f>VLOOKUP(Cpi_[[#This Row],[Attribute]],#REF!,2,FALSE)</f>
        <v>#REF!</v>
      </c>
      <c r="F5657">
        <v>139.69999999999999</v>
      </c>
      <c r="G5657">
        <f>(Cpi_[[#This Row],[Value]]-F5656)/F5656</f>
        <v>-9.5792880258899746E-2</v>
      </c>
      <c r="H5657" t="e" cm="1" vm="1">
        <f t="array" aca="1" ref="H5657" ca="1">VLOOKUP(Cpi_[[#This Row],[Year]:[Month]],crudeoil[],3,FALSE)</f>
        <v>#VALUE!</v>
      </c>
    </row>
    <row r="5658" spans="1:8" hidden="1" x14ac:dyDescent="0.3">
      <c r="A5658" t="s">
        <v>34</v>
      </c>
      <c r="B5658">
        <v>2018</v>
      </c>
      <c r="C5658" t="s">
        <v>43</v>
      </c>
      <c r="D5658" t="s">
        <v>16</v>
      </c>
      <c r="E5658" t="e">
        <f>VLOOKUP(Cpi_[[#This Row],[Attribute]],#REF!,2,FALSE)</f>
        <v>#REF!</v>
      </c>
      <c r="F5658">
        <v>162.6</v>
      </c>
      <c r="G5658">
        <f>(Cpi_[[#This Row],[Value]]-F5657)/F5657</f>
        <v>0.16392269148174665</v>
      </c>
      <c r="H5658" t="e" cm="1" vm="1">
        <f t="array" aca="1" ref="H5658" ca="1">VLOOKUP(Cpi_[[#This Row],[Year]:[Month]],crudeoil[],3,FALSE)</f>
        <v>#VALUE!</v>
      </c>
    </row>
    <row r="5659" spans="1:8" hidden="1" x14ac:dyDescent="0.3">
      <c r="A5659" t="s">
        <v>34</v>
      </c>
      <c r="B5659">
        <v>2018</v>
      </c>
      <c r="C5659" t="s">
        <v>43</v>
      </c>
      <c r="D5659" t="s">
        <v>17</v>
      </c>
      <c r="E5659" t="e">
        <f>VLOOKUP(Cpi_[[#This Row],[Attribute]],#REF!,2,FALSE)</f>
        <v>#REF!</v>
      </c>
      <c r="F5659">
        <v>148</v>
      </c>
      <c r="G5659">
        <f>(Cpi_[[#This Row],[Value]]-F5658)/F5658</f>
        <v>-8.9790897908979053E-2</v>
      </c>
      <c r="H5659" t="e" cm="1" vm="1">
        <f t="array" aca="1" ref="H5659" ca="1">VLOOKUP(Cpi_[[#This Row],[Year]:[Month]],crudeoil[],3,FALSE)</f>
        <v>#VALUE!</v>
      </c>
    </row>
    <row r="5660" spans="1:8" hidden="1" x14ac:dyDescent="0.3">
      <c r="A5660" t="s">
        <v>34</v>
      </c>
      <c r="B5660">
        <v>2018</v>
      </c>
      <c r="C5660" t="s">
        <v>43</v>
      </c>
      <c r="D5660" t="s">
        <v>18</v>
      </c>
      <c r="E5660" t="e">
        <f>VLOOKUP(Cpi_[[#This Row],[Attribute]],#REF!,2,FALSE)</f>
        <v>#REF!</v>
      </c>
      <c r="F5660">
        <v>139.19999999999999</v>
      </c>
      <c r="G5660">
        <f>(Cpi_[[#This Row],[Value]]-F5659)/F5659</f>
        <v>-5.9459459459459539E-2</v>
      </c>
      <c r="H5660" t="e" cm="1" vm="1">
        <f t="array" aca="1" ref="H5660" ca="1">VLOOKUP(Cpi_[[#This Row],[Year]:[Month]],crudeoil[],3,FALSE)</f>
        <v>#VALUE!</v>
      </c>
    </row>
    <row r="5661" spans="1:8" hidden="1" x14ac:dyDescent="0.3">
      <c r="A5661" t="s">
        <v>34</v>
      </c>
      <c r="B5661">
        <v>2018</v>
      </c>
      <c r="C5661" t="s">
        <v>43</v>
      </c>
      <c r="D5661" t="s">
        <v>19</v>
      </c>
      <c r="E5661" t="e">
        <f>VLOOKUP(Cpi_[[#This Row],[Attribute]],#REF!,2,FALSE)</f>
        <v>#REF!</v>
      </c>
      <c r="F5661">
        <v>146.80000000000001</v>
      </c>
      <c r="G5661">
        <f>(Cpi_[[#This Row],[Value]]-F5660)/F5660</f>
        <v>5.4597701149425457E-2</v>
      </c>
      <c r="H5661" t="e" cm="1" vm="1">
        <f t="array" aca="1" ref="H5661" ca="1">VLOOKUP(Cpi_[[#This Row],[Year]:[Month]],crudeoil[],3,FALSE)</f>
        <v>#VALUE!</v>
      </c>
    </row>
    <row r="5662" spans="1:8" hidden="1" x14ac:dyDescent="0.3">
      <c r="A5662" t="s">
        <v>34</v>
      </c>
      <c r="B5662">
        <v>2018</v>
      </c>
      <c r="C5662" t="s">
        <v>43</v>
      </c>
      <c r="D5662" t="s">
        <v>20</v>
      </c>
      <c r="E5662" t="e">
        <f>VLOOKUP(Cpi_[[#This Row],[Attribute]],#REF!,2,FALSE)</f>
        <v>#REF!</v>
      </c>
      <c r="F5662">
        <v>146.9</v>
      </c>
      <c r="G5662">
        <f>(Cpi_[[#This Row],[Value]]-F5661)/F5661</f>
        <v>6.8119891008170514E-4</v>
      </c>
      <c r="H5662" t="e" cm="1" vm="1">
        <f t="array" aca="1" ref="H5662" ca="1">VLOOKUP(Cpi_[[#This Row],[Year]:[Month]],crudeoil[],3,FALSE)</f>
        <v>#VALUE!</v>
      </c>
    </row>
    <row r="5663" spans="1:8" hidden="1" x14ac:dyDescent="0.3">
      <c r="A5663" t="s">
        <v>34</v>
      </c>
      <c r="B5663">
        <v>2018</v>
      </c>
      <c r="C5663" t="s">
        <v>43</v>
      </c>
      <c r="D5663" t="s">
        <v>21</v>
      </c>
      <c r="E5663" t="e">
        <f>VLOOKUP(Cpi_[[#This Row],[Attribute]],#REF!,2,FALSE)</f>
        <v>#REF!</v>
      </c>
      <c r="F5663">
        <v>145.30000000000001</v>
      </c>
      <c r="G5663">
        <f>(Cpi_[[#This Row],[Value]]-F5662)/F5662</f>
        <v>-1.0891763104152446E-2</v>
      </c>
      <c r="H5663" t="e" cm="1" vm="1">
        <f t="array" aca="1" ref="H5663" ca="1">VLOOKUP(Cpi_[[#This Row],[Year]:[Month]],crudeoil[],3,FALSE)</f>
        <v>#VALUE!</v>
      </c>
    </row>
    <row r="5664" spans="1:8" hidden="1" x14ac:dyDescent="0.3">
      <c r="A5664" t="s">
        <v>34</v>
      </c>
      <c r="B5664">
        <v>2018</v>
      </c>
      <c r="C5664" t="s">
        <v>43</v>
      </c>
      <c r="D5664" t="s">
        <v>22</v>
      </c>
      <c r="E5664" t="e">
        <f>VLOOKUP(Cpi_[[#This Row],[Attribute]],#REF!,2,FALSE)</f>
        <v>#REF!</v>
      </c>
      <c r="F5664">
        <v>142.19999999999999</v>
      </c>
      <c r="G5664">
        <f>(Cpi_[[#This Row],[Value]]-F5663)/F5663</f>
        <v>-2.133516861665535E-2</v>
      </c>
      <c r="H5664" t="e" cm="1" vm="1">
        <f t="array" aca="1" ref="H5664" ca="1">VLOOKUP(Cpi_[[#This Row],[Year]:[Month]],crudeoil[],3,FALSE)</f>
        <v>#VALUE!</v>
      </c>
    </row>
    <row r="5665" spans="1:8" hidden="1" x14ac:dyDescent="0.3">
      <c r="A5665" t="s">
        <v>34</v>
      </c>
      <c r="B5665">
        <v>2018</v>
      </c>
      <c r="C5665" t="s">
        <v>43</v>
      </c>
      <c r="D5665" t="s">
        <v>23</v>
      </c>
      <c r="E5665" t="e">
        <f>VLOOKUP(Cpi_[[#This Row],[Attribute]],#REF!,2,FALSE)</f>
        <v>#REF!</v>
      </c>
      <c r="F5665">
        <v>142.1</v>
      </c>
      <c r="G5665">
        <f>(Cpi_[[#This Row],[Value]]-F5664)/F5664</f>
        <v>-7.0323488045003044E-4</v>
      </c>
      <c r="H5665" t="e" cm="1" vm="1">
        <f t="array" aca="1" ref="H5665" ca="1">VLOOKUP(Cpi_[[#This Row],[Year]:[Month]],crudeoil[],3,FALSE)</f>
        <v>#VALUE!</v>
      </c>
    </row>
    <row r="5666" spans="1:8" hidden="1" x14ac:dyDescent="0.3">
      <c r="A5666" t="s">
        <v>34</v>
      </c>
      <c r="B5666">
        <v>2018</v>
      </c>
      <c r="C5666" t="s">
        <v>43</v>
      </c>
      <c r="D5666" t="s">
        <v>24</v>
      </c>
      <c r="E5666" t="e">
        <f>VLOOKUP(Cpi_[[#This Row],[Attribute]],#REF!,2,FALSE)</f>
        <v>#REF!</v>
      </c>
      <c r="F5666">
        <v>125.5</v>
      </c>
      <c r="G5666">
        <f>(Cpi_[[#This Row],[Value]]-F5665)/F5665</f>
        <v>-0.11681914144968329</v>
      </c>
      <c r="H5666" t="e" cm="1" vm="1">
        <f t="array" aca="1" ref="H5666" ca="1">VLOOKUP(Cpi_[[#This Row],[Year]:[Month]],crudeoil[],3,FALSE)</f>
        <v>#VALUE!</v>
      </c>
    </row>
    <row r="5667" spans="1:8" hidden="1" x14ac:dyDescent="0.3">
      <c r="A5667" t="s">
        <v>34</v>
      </c>
      <c r="B5667">
        <v>2018</v>
      </c>
      <c r="C5667" t="s">
        <v>43</v>
      </c>
      <c r="D5667" t="s">
        <v>25</v>
      </c>
      <c r="E5667" t="e">
        <f>VLOOKUP(Cpi_[[#This Row],[Attribute]],#REF!,2,FALSE)</f>
        <v>#REF!</v>
      </c>
      <c r="F5667">
        <v>136.5</v>
      </c>
      <c r="G5667">
        <f>(Cpi_[[#This Row],[Value]]-F5666)/F5666</f>
        <v>8.7649402390438252E-2</v>
      </c>
      <c r="H5667" t="e" cm="1" vm="1">
        <f t="array" aca="1" ref="H5667" ca="1">VLOOKUP(Cpi_[[#This Row],[Year]:[Month]],crudeoil[],3,FALSE)</f>
        <v>#VALUE!</v>
      </c>
    </row>
    <row r="5668" spans="1:8" hidden="1" x14ac:dyDescent="0.3">
      <c r="A5668" t="s">
        <v>34</v>
      </c>
      <c r="B5668">
        <v>2018</v>
      </c>
      <c r="C5668" t="s">
        <v>43</v>
      </c>
      <c r="D5668" t="s">
        <v>26</v>
      </c>
      <c r="E5668" t="e">
        <f>VLOOKUP(Cpi_[[#This Row],[Attribute]],#REF!,2,FALSE)</f>
        <v>#REF!</v>
      </c>
      <c r="F5668">
        <v>147.80000000000001</v>
      </c>
      <c r="G5668">
        <f>(Cpi_[[#This Row],[Value]]-F5667)/F5667</f>
        <v>8.2783882783882864E-2</v>
      </c>
      <c r="H5668" t="e" cm="1" vm="1">
        <f t="array" aca="1" ref="H5668" ca="1">VLOOKUP(Cpi_[[#This Row],[Year]:[Month]],crudeoil[],3,FALSE)</f>
        <v>#VALUE!</v>
      </c>
    </row>
    <row r="5669" spans="1:8" hidden="1" x14ac:dyDescent="0.3">
      <c r="A5669" t="s">
        <v>34</v>
      </c>
      <c r="B5669">
        <v>2018</v>
      </c>
      <c r="C5669" t="s">
        <v>43</v>
      </c>
      <c r="D5669" t="s">
        <v>27</v>
      </c>
      <c r="E5669" t="e">
        <f>VLOOKUP(Cpi_[[#This Row],[Attribute]],#REF!,2,FALSE)</f>
        <v>#REF!</v>
      </c>
      <c r="F5669">
        <v>132</v>
      </c>
      <c r="G5669">
        <f>(Cpi_[[#This Row],[Value]]-F5668)/F5668</f>
        <v>-0.10690121786197571</v>
      </c>
      <c r="H5669" t="e" cm="1" vm="1">
        <f t="array" aca="1" ref="H5669" ca="1">VLOOKUP(Cpi_[[#This Row],[Year]:[Month]],crudeoil[],3,FALSE)</f>
        <v>#VALUE!</v>
      </c>
    </row>
    <row r="5670" spans="1:8" hidden="1" x14ac:dyDescent="0.3">
      <c r="A5670" t="s">
        <v>34</v>
      </c>
      <c r="B5670">
        <v>2018</v>
      </c>
      <c r="C5670" t="s">
        <v>43</v>
      </c>
      <c r="D5670" t="s">
        <v>28</v>
      </c>
      <c r="E5670" t="e">
        <f>VLOOKUP(Cpi_[[#This Row],[Attribute]],#REF!,2,FALSE)</f>
        <v>#REF!</v>
      </c>
      <c r="F5670">
        <v>136.30000000000001</v>
      </c>
      <c r="G5670">
        <f>(Cpi_[[#This Row],[Value]]-F5669)/F5669</f>
        <v>3.2575757575757661E-2</v>
      </c>
      <c r="H5670" t="e" cm="1" vm="1">
        <f t="array" aca="1" ref="H5670" ca="1">VLOOKUP(Cpi_[[#This Row],[Year]:[Month]],crudeoil[],3,FALSE)</f>
        <v>#VALUE!</v>
      </c>
    </row>
    <row r="5671" spans="1:8" hidden="1" x14ac:dyDescent="0.3">
      <c r="A5671" t="s">
        <v>34</v>
      </c>
      <c r="B5671">
        <v>2018</v>
      </c>
      <c r="C5671" t="s">
        <v>43</v>
      </c>
      <c r="D5671" t="s">
        <v>29</v>
      </c>
      <c r="E5671" t="e" cm="1">
        <f t="array" aca="1" ref="E5671" ca="1">VLGeneral indexGeneral indexKUP(Cpi_[[#This Row],[Attribute]],#REF!,2,FALSE)</f>
        <v>#NAME?</v>
      </c>
      <c r="F5671">
        <v>140.80000000000001</v>
      </c>
      <c r="G5671">
        <f>(Cpi_[[#This Row],[Value]]-F5670)/F5670</f>
        <v>3.3015407190022009E-2</v>
      </c>
      <c r="H5671" t="e" cm="1" vm="1">
        <f t="array" aca="1" ref="H5671" ca="1">VLOOKUP(Cpi_[[#This Row],[Year]:[Month]],crudeoil[],3,FALSE)</f>
        <v>#VALUE!</v>
      </c>
    </row>
    <row r="5672" spans="1:8" hidden="1" x14ac:dyDescent="0.3">
      <c r="A5672" t="s">
        <v>30</v>
      </c>
      <c r="B5672">
        <v>2018</v>
      </c>
      <c r="C5672" t="s">
        <v>45</v>
      </c>
      <c r="D5672" t="s">
        <v>3</v>
      </c>
      <c r="E5672" t="e">
        <f>VLOOKUP(Cpi_[[#This Row],[Attribute]],#REF!,2,FALSE)</f>
        <v>#REF!</v>
      </c>
      <c r="F5672">
        <v>137.1</v>
      </c>
      <c r="G5672">
        <f>(Cpi_[[#This Row],[Value]]-F5671)/F5671</f>
        <v>-2.627840909090921E-2</v>
      </c>
      <c r="H5672" t="e" cm="1" vm="1">
        <f t="array" aca="1" ref="H5672" ca="1">VLOOKUP(Cpi_[[#This Row],[Year]:[Month]],crudeoil[],3,FALSE)</f>
        <v>#VALUE!</v>
      </c>
    </row>
    <row r="5673" spans="1:8" hidden="1" x14ac:dyDescent="0.3">
      <c r="A5673" t="s">
        <v>30</v>
      </c>
      <c r="B5673">
        <v>2018</v>
      </c>
      <c r="C5673" t="s">
        <v>45</v>
      </c>
      <c r="D5673" t="s">
        <v>4</v>
      </c>
      <c r="E5673" t="e">
        <f>VLOOKUP(Cpi_[[#This Row],[Attribute]],#REF!,2,FALSE)</f>
        <v>#REF!</v>
      </c>
      <c r="F5673">
        <v>150.80000000000001</v>
      </c>
      <c r="G5673">
        <f>(Cpi_[[#This Row],[Value]]-F5672)/F5672</f>
        <v>9.992706053975213E-2</v>
      </c>
      <c r="H5673" t="e" cm="1" vm="1">
        <f t="array" aca="1" ref="H5673" ca="1">VLOOKUP(Cpi_[[#This Row],[Year]:[Month]],crudeoil[],3,FALSE)</f>
        <v>#VALUE!</v>
      </c>
    </row>
    <row r="5674" spans="1:8" hidden="1" x14ac:dyDescent="0.3">
      <c r="A5674" t="s">
        <v>30</v>
      </c>
      <c r="B5674">
        <v>2018</v>
      </c>
      <c r="C5674" t="s">
        <v>45</v>
      </c>
      <c r="D5674" t="s">
        <v>5</v>
      </c>
      <c r="E5674" t="e">
        <f>VLOOKUP(Cpi_[[#This Row],[Attribute]],#REF!,2,FALSE)</f>
        <v>#REF!</v>
      </c>
      <c r="F5674">
        <v>136.69999999999999</v>
      </c>
      <c r="G5674">
        <f>(Cpi_[[#This Row],[Value]]-F5673)/F5673</f>
        <v>-9.3501326259947087E-2</v>
      </c>
      <c r="H5674" t="e" cm="1" vm="1">
        <f t="array" aca="1" ref="H5674" ca="1">VLOOKUP(Cpi_[[#This Row],[Year]:[Month]],crudeoil[],3,FALSE)</f>
        <v>#VALUE!</v>
      </c>
    </row>
    <row r="5675" spans="1:8" hidden="1" x14ac:dyDescent="0.3">
      <c r="A5675" t="s">
        <v>30</v>
      </c>
      <c r="B5675">
        <v>2018</v>
      </c>
      <c r="C5675" t="s">
        <v>45</v>
      </c>
      <c r="D5675" t="s">
        <v>6</v>
      </c>
      <c r="E5675" t="e">
        <f>VLOOKUP(Cpi_[[#This Row],[Attribute]],#REF!,2,FALSE)</f>
        <v>#REF!</v>
      </c>
      <c r="F5675">
        <v>141.9</v>
      </c>
      <c r="G5675">
        <f>(Cpi_[[#This Row],[Value]]-F5674)/F5674</f>
        <v>3.8039502560351261E-2</v>
      </c>
      <c r="H5675" t="e" cm="1" vm="1">
        <f t="array" aca="1" ref="H5675" ca="1">VLOOKUP(Cpi_[[#This Row],[Year]:[Month]],crudeoil[],3,FALSE)</f>
        <v>#VALUE!</v>
      </c>
    </row>
    <row r="5676" spans="1:8" hidden="1" x14ac:dyDescent="0.3">
      <c r="A5676" t="s">
        <v>30</v>
      </c>
      <c r="B5676">
        <v>2018</v>
      </c>
      <c r="C5676" t="s">
        <v>45</v>
      </c>
      <c r="D5676" t="s">
        <v>7</v>
      </c>
      <c r="E5676" t="e">
        <f>VLOOKUP(Cpi_[[#This Row],[Attribute]],#REF!,2,FALSE)</f>
        <v>#REF!</v>
      </c>
      <c r="F5676">
        <v>122.8</v>
      </c>
      <c r="G5676">
        <f>(Cpi_[[#This Row],[Value]]-F5675)/F5675</f>
        <v>-0.13460183227625094</v>
      </c>
      <c r="H5676" t="e" cm="1" vm="1">
        <f t="array" aca="1" ref="H5676" ca="1">VLOOKUP(Cpi_[[#This Row],[Year]:[Month]],crudeoil[],3,FALSE)</f>
        <v>#VALUE!</v>
      </c>
    </row>
    <row r="5677" spans="1:8" hidden="1" x14ac:dyDescent="0.3">
      <c r="A5677" t="s">
        <v>30</v>
      </c>
      <c r="B5677">
        <v>2018</v>
      </c>
      <c r="C5677" t="s">
        <v>45</v>
      </c>
      <c r="D5677" t="s">
        <v>8</v>
      </c>
      <c r="E5677" t="e">
        <f>VLOOKUP(Cpi_[[#This Row],[Attribute]],#REF!,2,FALSE)</f>
        <v>#REF!</v>
      </c>
      <c r="F5677">
        <v>143.9</v>
      </c>
      <c r="G5677">
        <f>(Cpi_[[#This Row],[Value]]-F5676)/F5676</f>
        <v>0.17182410423452776</v>
      </c>
      <c r="H5677" t="e" cm="1" vm="1">
        <f t="array" aca="1" ref="H5677" ca="1">VLOOKUP(Cpi_[[#This Row],[Year]:[Month]],crudeoil[],3,FALSE)</f>
        <v>#VALUE!</v>
      </c>
    </row>
    <row r="5678" spans="1:8" hidden="1" x14ac:dyDescent="0.3">
      <c r="A5678" t="s">
        <v>30</v>
      </c>
      <c r="B5678">
        <v>2018</v>
      </c>
      <c r="C5678" t="s">
        <v>45</v>
      </c>
      <c r="D5678" t="s">
        <v>9</v>
      </c>
      <c r="E5678" t="e">
        <f>VLOOKUP(Cpi_[[#This Row],[Attribute]],#REF!,2,FALSE)</f>
        <v>#REF!</v>
      </c>
      <c r="F5678">
        <v>147.5</v>
      </c>
      <c r="G5678">
        <f>(Cpi_[[#This Row],[Value]]-F5677)/F5677</f>
        <v>2.5017373175816499E-2</v>
      </c>
      <c r="H5678" t="e" cm="1" vm="1">
        <f t="array" aca="1" ref="H5678" ca="1">VLOOKUP(Cpi_[[#This Row],[Year]:[Month]],crudeoil[],3,FALSE)</f>
        <v>#VALUE!</v>
      </c>
    </row>
    <row r="5679" spans="1:8" hidden="1" x14ac:dyDescent="0.3">
      <c r="A5679" t="s">
        <v>30</v>
      </c>
      <c r="B5679">
        <v>2018</v>
      </c>
      <c r="C5679" t="s">
        <v>45</v>
      </c>
      <c r="D5679" t="s">
        <v>10</v>
      </c>
      <c r="E5679" t="e">
        <f>VLOOKUP(Cpi_[[#This Row],[Attribute]],#REF!,2,FALSE)</f>
        <v>#REF!</v>
      </c>
      <c r="F5679">
        <v>121</v>
      </c>
      <c r="G5679">
        <f>(Cpi_[[#This Row],[Value]]-F5678)/F5678</f>
        <v>-0.17966101694915254</v>
      </c>
      <c r="H5679" t="e" cm="1" vm="1">
        <f t="array" aca="1" ref="H5679" ca="1">VLOOKUP(Cpi_[[#This Row],[Year]:[Month]],crudeoil[],3,FALSE)</f>
        <v>#VALUE!</v>
      </c>
    </row>
    <row r="5680" spans="1:8" hidden="1" x14ac:dyDescent="0.3">
      <c r="A5680" t="s">
        <v>30</v>
      </c>
      <c r="B5680">
        <v>2018</v>
      </c>
      <c r="C5680" t="s">
        <v>45</v>
      </c>
      <c r="D5680" t="s">
        <v>11</v>
      </c>
      <c r="E5680" t="e">
        <f>VLOOKUP(Cpi_[[#This Row],[Attribute]],#REF!,2,FALSE)</f>
        <v>#REF!</v>
      </c>
      <c r="F5680">
        <v>111.6</v>
      </c>
      <c r="G5680">
        <f>(Cpi_[[#This Row],[Value]]-F5679)/F5679</f>
        <v>-7.7685950413223182E-2</v>
      </c>
      <c r="H5680" t="e" cm="1" vm="1">
        <f t="array" aca="1" ref="H5680" ca="1">VLOOKUP(Cpi_[[#This Row],[Year]:[Month]],crudeoil[],3,FALSE)</f>
        <v>#VALUE!</v>
      </c>
    </row>
    <row r="5681" spans="1:8" hidden="1" x14ac:dyDescent="0.3">
      <c r="A5681" t="s">
        <v>30</v>
      </c>
      <c r="B5681">
        <v>2018</v>
      </c>
      <c r="C5681" t="s">
        <v>45</v>
      </c>
      <c r="D5681" t="s">
        <v>12</v>
      </c>
      <c r="E5681" t="e">
        <f>VLOOKUP(Cpi_[[#This Row],[Attribute]],#REF!,2,FALSE)</f>
        <v>#REF!</v>
      </c>
      <c r="F5681">
        <v>140.6</v>
      </c>
      <c r="G5681">
        <f>(Cpi_[[#This Row],[Value]]-F5680)/F5680</f>
        <v>0.25985663082437277</v>
      </c>
      <c r="H5681" t="e" cm="1" vm="1">
        <f t="array" aca="1" ref="H5681" ca="1">VLOOKUP(Cpi_[[#This Row],[Year]:[Month]],crudeoil[],3,FALSE)</f>
        <v>#VALUE!</v>
      </c>
    </row>
    <row r="5682" spans="1:8" hidden="1" x14ac:dyDescent="0.3">
      <c r="A5682" t="s">
        <v>30</v>
      </c>
      <c r="B5682">
        <v>2018</v>
      </c>
      <c r="C5682" t="s">
        <v>45</v>
      </c>
      <c r="D5682" t="s">
        <v>13</v>
      </c>
      <c r="E5682" t="e">
        <f>VLOOKUP(Cpi_[[#This Row],[Attribute]],#REF!,2,FALSE)</f>
        <v>#REF!</v>
      </c>
      <c r="F5682">
        <v>137.5</v>
      </c>
      <c r="G5682">
        <f>(Cpi_[[#This Row],[Value]]-F5681)/F5681</f>
        <v>-2.2048364153627271E-2</v>
      </c>
      <c r="H5682" t="e" cm="1" vm="1">
        <f t="array" aca="1" ref="H5682" ca="1">VLOOKUP(Cpi_[[#This Row],[Year]:[Month]],crudeoil[],3,FALSE)</f>
        <v>#VALUE!</v>
      </c>
    </row>
    <row r="5683" spans="1:8" hidden="1" x14ac:dyDescent="0.3">
      <c r="A5683" t="s">
        <v>30</v>
      </c>
      <c r="B5683">
        <v>2018</v>
      </c>
      <c r="C5683" t="s">
        <v>45</v>
      </c>
      <c r="D5683" t="s">
        <v>14</v>
      </c>
      <c r="E5683" t="e">
        <f>VLOOKUP(Cpi_[[#This Row],[Attribute]],#REF!,2,FALSE)</f>
        <v>#REF!</v>
      </c>
      <c r="F5683">
        <v>156.1</v>
      </c>
      <c r="G5683">
        <f>(Cpi_[[#This Row],[Value]]-F5682)/F5682</f>
        <v>0.13527272727272724</v>
      </c>
      <c r="H5683" t="e" cm="1" vm="1">
        <f t="array" aca="1" ref="H5683" ca="1">VLOOKUP(Cpi_[[#This Row],[Year]:[Month]],crudeoil[],3,FALSE)</f>
        <v>#VALUE!</v>
      </c>
    </row>
    <row r="5684" spans="1:8" hidden="1" x14ac:dyDescent="0.3">
      <c r="A5684" t="s">
        <v>30</v>
      </c>
      <c r="B5684">
        <v>2018</v>
      </c>
      <c r="C5684" t="s">
        <v>45</v>
      </c>
      <c r="D5684" t="s">
        <v>15</v>
      </c>
      <c r="E5684" t="e">
        <f>VLOOKUP(Cpi_[[#This Row],[Attribute]],#REF!,2,FALSE)</f>
        <v>#REF!</v>
      </c>
      <c r="F5684">
        <v>140</v>
      </c>
      <c r="G5684">
        <f>(Cpi_[[#This Row],[Value]]-F5683)/F5683</f>
        <v>-0.10313901345291476</v>
      </c>
      <c r="H5684" t="e" cm="1" vm="1">
        <f t="array" aca="1" ref="H5684" ca="1">VLOOKUP(Cpi_[[#This Row],[Year]:[Month]],crudeoil[],3,FALSE)</f>
        <v>#VALUE!</v>
      </c>
    </row>
    <row r="5685" spans="1:8" hidden="1" x14ac:dyDescent="0.3">
      <c r="A5685" t="s">
        <v>30</v>
      </c>
      <c r="B5685">
        <v>2018</v>
      </c>
      <c r="C5685" t="s">
        <v>45</v>
      </c>
      <c r="D5685" t="s">
        <v>16</v>
      </c>
      <c r="E5685" t="e">
        <f>VLOOKUP(Cpi_[[#This Row],[Attribute]],#REF!,2,FALSE)</f>
        <v>#REF!</v>
      </c>
      <c r="F5685">
        <v>161.9</v>
      </c>
      <c r="G5685">
        <f>(Cpi_[[#This Row],[Value]]-F5684)/F5684</f>
        <v>0.15642857142857147</v>
      </c>
      <c r="H5685" t="e" cm="1" vm="1">
        <f t="array" aca="1" ref="H5685" ca="1">VLOOKUP(Cpi_[[#This Row],[Year]:[Month]],crudeoil[],3,FALSE)</f>
        <v>#VALUE!</v>
      </c>
    </row>
    <row r="5686" spans="1:8" hidden="1" x14ac:dyDescent="0.3">
      <c r="A5686" t="s">
        <v>30</v>
      </c>
      <c r="B5686">
        <v>2018</v>
      </c>
      <c r="C5686" t="s">
        <v>45</v>
      </c>
      <c r="D5686" t="s">
        <v>17</v>
      </c>
      <c r="E5686" t="e">
        <f>VLOOKUP(Cpi_[[#This Row],[Attribute]],#REF!,2,FALSE)</f>
        <v>#REF!</v>
      </c>
      <c r="F5686">
        <v>151.69999999999999</v>
      </c>
      <c r="G5686">
        <f>(Cpi_[[#This Row],[Value]]-F5685)/F5685</f>
        <v>-6.3001852995676441E-2</v>
      </c>
      <c r="H5686" t="e" cm="1" vm="1">
        <f t="array" aca="1" ref="H5686" ca="1">VLOOKUP(Cpi_[[#This Row],[Year]:[Month]],crudeoil[],3,FALSE)</f>
        <v>#VALUE!</v>
      </c>
    </row>
    <row r="5687" spans="1:8" hidden="1" x14ac:dyDescent="0.3">
      <c r="A5687" t="s">
        <v>30</v>
      </c>
      <c r="B5687">
        <v>2018</v>
      </c>
      <c r="C5687" t="s">
        <v>45</v>
      </c>
      <c r="D5687" t="s">
        <v>18</v>
      </c>
      <c r="E5687" t="e">
        <f>VLOOKUP(Cpi_[[#This Row],[Attribute]],#REF!,2,FALSE)</f>
        <v>#REF!</v>
      </c>
      <c r="F5687">
        <v>145.5</v>
      </c>
      <c r="G5687">
        <f>(Cpi_[[#This Row],[Value]]-F5686)/F5686</f>
        <v>-4.0870138431113971E-2</v>
      </c>
      <c r="H5687" t="e" cm="1" vm="1">
        <f t="array" aca="1" ref="H5687" ca="1">VLOOKUP(Cpi_[[#This Row],[Year]:[Month]],crudeoil[],3,FALSE)</f>
        <v>#VALUE!</v>
      </c>
    </row>
    <row r="5688" spans="1:8" hidden="1" x14ac:dyDescent="0.3">
      <c r="A5688" t="s">
        <v>30</v>
      </c>
      <c r="B5688">
        <v>2018</v>
      </c>
      <c r="C5688" t="s">
        <v>45</v>
      </c>
      <c r="D5688" t="s">
        <v>19</v>
      </c>
      <c r="E5688" t="e">
        <f>VLOOKUP(Cpi_[[#This Row],[Attribute]],#REF!,2,FALSE)</f>
        <v>#REF!</v>
      </c>
      <c r="F5688">
        <v>150.80000000000001</v>
      </c>
      <c r="G5688">
        <f>(Cpi_[[#This Row],[Value]]-F5687)/F5687</f>
        <v>3.6426116838488051E-2</v>
      </c>
      <c r="H5688" t="e" cm="1" vm="1">
        <f t="array" aca="1" ref="H5688" ca="1">VLOOKUP(Cpi_[[#This Row],[Year]:[Month]],crudeoil[],3,FALSE)</f>
        <v>#VALUE!</v>
      </c>
    </row>
    <row r="5689" spans="1:8" hidden="1" x14ac:dyDescent="0.3">
      <c r="A5689" t="s">
        <v>30</v>
      </c>
      <c r="B5689">
        <v>2018</v>
      </c>
      <c r="C5689" t="s">
        <v>45</v>
      </c>
      <c r="D5689" t="s">
        <v>20</v>
      </c>
      <c r="E5689" t="e">
        <f>VLOOKUP(Cpi_[[#This Row],[Attribute]],#REF!,2,FALSE)</f>
        <v>#REF!</v>
      </c>
      <c r="F5689" t="s">
        <v>32</v>
      </c>
      <c r="G5689" t="e">
        <f>(Cpi_[[#This Row],[Value]]-F5688)/F5688</f>
        <v>#VALUE!</v>
      </c>
      <c r="H5689" t="e" cm="1" vm="1">
        <f t="array" aca="1" ref="H5689" ca="1">VLOOKUP(Cpi_[[#This Row],[Year]:[Month]],crudeoil[],3,FALSE)</f>
        <v>#VALUE!</v>
      </c>
    </row>
    <row r="5690" spans="1:8" hidden="1" x14ac:dyDescent="0.3">
      <c r="A5690" t="s">
        <v>30</v>
      </c>
      <c r="B5690">
        <v>2018</v>
      </c>
      <c r="C5690" t="s">
        <v>45</v>
      </c>
      <c r="D5690" t="s">
        <v>21</v>
      </c>
      <c r="E5690" t="e">
        <f>VLOOKUP(Cpi_[[#This Row],[Attribute]],#REF!,2,FALSE)</f>
        <v>#REF!</v>
      </c>
      <c r="F5690">
        <v>150.30000000000001</v>
      </c>
      <c r="G5690" t="e">
        <f>(Cpi_[[#This Row],[Value]]-F5689)/F5689</f>
        <v>#VALUE!</v>
      </c>
      <c r="H5690" t="e" cm="1" vm="1">
        <f t="array" aca="1" ref="H5690" ca="1">VLOOKUP(Cpi_[[#This Row],[Year]:[Month]],crudeoil[],3,FALSE)</f>
        <v>#VALUE!</v>
      </c>
    </row>
    <row r="5691" spans="1:8" hidden="1" x14ac:dyDescent="0.3">
      <c r="A5691" t="s">
        <v>30</v>
      </c>
      <c r="B5691">
        <v>2018</v>
      </c>
      <c r="C5691" t="s">
        <v>45</v>
      </c>
      <c r="D5691" t="s">
        <v>22</v>
      </c>
      <c r="E5691" t="e">
        <f>VLOOKUP(Cpi_[[#This Row],[Attribute]],#REF!,2,FALSE)</f>
        <v>#REF!</v>
      </c>
      <c r="F5691">
        <v>148</v>
      </c>
      <c r="G5691">
        <f>(Cpi_[[#This Row],[Value]]-F5690)/F5690</f>
        <v>-1.5302727877578252E-2</v>
      </c>
      <c r="H5691" t="e" cm="1" vm="1">
        <f t="array" aca="1" ref="H5691" ca="1">VLOOKUP(Cpi_[[#This Row],[Year]:[Month]],crudeoil[],3,FALSE)</f>
        <v>#VALUE!</v>
      </c>
    </row>
    <row r="5692" spans="1:8" hidden="1" x14ac:dyDescent="0.3">
      <c r="A5692" t="s">
        <v>30</v>
      </c>
      <c r="B5692">
        <v>2018</v>
      </c>
      <c r="C5692" t="s">
        <v>45</v>
      </c>
      <c r="D5692" t="s">
        <v>23</v>
      </c>
      <c r="E5692" t="e">
        <f>VLOOKUP(Cpi_[[#This Row],[Attribute]],#REF!,2,FALSE)</f>
        <v>#REF!</v>
      </c>
      <c r="F5692">
        <v>145.4</v>
      </c>
      <c r="G5692">
        <f>(Cpi_[[#This Row],[Value]]-F5691)/F5691</f>
        <v>-1.756756756756753E-2</v>
      </c>
      <c r="H5692" t="e" cm="1" vm="1">
        <f t="array" aca="1" ref="H5692" ca="1">VLOOKUP(Cpi_[[#This Row],[Year]:[Month]],crudeoil[],3,FALSE)</f>
        <v>#VALUE!</v>
      </c>
    </row>
    <row r="5693" spans="1:8" hidden="1" x14ac:dyDescent="0.3">
      <c r="A5693" t="s">
        <v>30</v>
      </c>
      <c r="B5693">
        <v>2018</v>
      </c>
      <c r="C5693" t="s">
        <v>45</v>
      </c>
      <c r="D5693" t="s">
        <v>24</v>
      </c>
      <c r="E5693" t="e">
        <f>VLOOKUP(Cpi_[[#This Row],[Attribute]],#REF!,2,FALSE)</f>
        <v>#REF!</v>
      </c>
      <c r="F5693">
        <v>130.30000000000001</v>
      </c>
      <c r="G5693">
        <f>(Cpi_[[#This Row],[Value]]-F5692)/F5692</f>
        <v>-0.10385144429160931</v>
      </c>
      <c r="H5693" t="e" cm="1" vm="1">
        <f t="array" aca="1" ref="H5693" ca="1">VLOOKUP(Cpi_[[#This Row],[Year]:[Month]],crudeoil[],3,FALSE)</f>
        <v>#VALUE!</v>
      </c>
    </row>
    <row r="5694" spans="1:8" hidden="1" x14ac:dyDescent="0.3">
      <c r="A5694" t="s">
        <v>30</v>
      </c>
      <c r="B5694">
        <v>2018</v>
      </c>
      <c r="C5694" t="s">
        <v>45</v>
      </c>
      <c r="D5694" t="s">
        <v>25</v>
      </c>
      <c r="E5694" t="e">
        <f>VLOOKUP(Cpi_[[#This Row],[Attribute]],#REF!,2,FALSE)</f>
        <v>#REF!</v>
      </c>
      <c r="F5694">
        <v>143.1</v>
      </c>
      <c r="G5694">
        <f>(Cpi_[[#This Row],[Value]]-F5693)/F5693</f>
        <v>9.8234842670759645E-2</v>
      </c>
      <c r="H5694" t="e" cm="1" vm="1">
        <f t="array" aca="1" ref="H5694" ca="1">VLOOKUP(Cpi_[[#This Row],[Year]:[Month]],crudeoil[],3,FALSE)</f>
        <v>#VALUE!</v>
      </c>
    </row>
    <row r="5695" spans="1:8" hidden="1" x14ac:dyDescent="0.3">
      <c r="A5695" t="s">
        <v>30</v>
      </c>
      <c r="B5695">
        <v>2018</v>
      </c>
      <c r="C5695" t="s">
        <v>45</v>
      </c>
      <c r="D5695" t="s">
        <v>26</v>
      </c>
      <c r="E5695" t="e">
        <f>VLOOKUP(Cpi_[[#This Row],[Attribute]],#REF!,2,FALSE)</f>
        <v>#REF!</v>
      </c>
      <c r="F5695">
        <v>150.19999999999999</v>
      </c>
      <c r="G5695">
        <f>(Cpi_[[#This Row],[Value]]-F5694)/F5694</f>
        <v>4.9615653389238255E-2</v>
      </c>
      <c r="H5695" t="e" cm="1" vm="1">
        <f t="array" aca="1" ref="H5695" ca="1">VLOOKUP(Cpi_[[#This Row],[Year]:[Month]],crudeoil[],3,FALSE)</f>
        <v>#VALUE!</v>
      </c>
    </row>
    <row r="5696" spans="1:8" hidden="1" x14ac:dyDescent="0.3">
      <c r="A5696" t="s">
        <v>30</v>
      </c>
      <c r="B5696">
        <v>2018</v>
      </c>
      <c r="C5696" t="s">
        <v>45</v>
      </c>
      <c r="D5696" t="s">
        <v>27</v>
      </c>
      <c r="E5696" t="e">
        <f>VLOOKUP(Cpi_[[#This Row],[Attribute]],#REF!,2,FALSE)</f>
        <v>#REF!</v>
      </c>
      <c r="F5696">
        <v>133.1</v>
      </c>
      <c r="G5696">
        <f>(Cpi_[[#This Row],[Value]]-F5695)/F5695</f>
        <v>-0.11384820239680424</v>
      </c>
      <c r="H5696" t="e" cm="1" vm="1">
        <f t="array" aca="1" ref="H5696" ca="1">VLOOKUP(Cpi_[[#This Row],[Year]:[Month]],crudeoil[],3,FALSE)</f>
        <v>#VALUE!</v>
      </c>
    </row>
    <row r="5697" spans="1:8" hidden="1" x14ac:dyDescent="0.3">
      <c r="A5697" t="s">
        <v>30</v>
      </c>
      <c r="B5697">
        <v>2018</v>
      </c>
      <c r="C5697" t="s">
        <v>45</v>
      </c>
      <c r="D5697" t="s">
        <v>28</v>
      </c>
      <c r="E5697" t="e">
        <f>VLOOKUP(Cpi_[[#This Row],[Attribute]],#REF!,2,FALSE)</f>
        <v>#REF!</v>
      </c>
      <c r="F5697">
        <v>140.1</v>
      </c>
      <c r="G5697">
        <f>(Cpi_[[#This Row],[Value]]-F5696)/F5696</f>
        <v>5.2592036063110442E-2</v>
      </c>
      <c r="H5697" t="e" cm="1" vm="1">
        <f t="array" aca="1" ref="H5697" ca="1">VLOOKUP(Cpi_[[#This Row],[Year]:[Month]],crudeoil[],3,FALSE)</f>
        <v>#VALUE!</v>
      </c>
    </row>
    <row r="5698" spans="1:8" hidden="1" x14ac:dyDescent="0.3">
      <c r="A5698" t="s">
        <v>30</v>
      </c>
      <c r="B5698">
        <v>2018</v>
      </c>
      <c r="C5698" t="s">
        <v>45</v>
      </c>
      <c r="D5698" t="s">
        <v>29</v>
      </c>
      <c r="E5698" t="e" cm="1">
        <f t="array" aca="1" ref="E5698" ca="1">VLGeneral indexGeneral indexKUP(Cpi_[[#This Row],[Attribute]],#REF!,2,FALSE)</f>
        <v>#NAME?</v>
      </c>
      <c r="F5698">
        <v>142.4</v>
      </c>
      <c r="G5698">
        <f>(Cpi_[[#This Row],[Value]]-F5697)/F5697</f>
        <v>1.6416845110635344E-2</v>
      </c>
      <c r="H5698" t="e" cm="1" vm="1">
        <f t="array" aca="1" ref="H5698" ca="1">VLOOKUP(Cpi_[[#This Row],[Year]:[Month]],crudeoil[],3,FALSE)</f>
        <v>#VALUE!</v>
      </c>
    </row>
    <row r="5699" spans="1:8" hidden="1" x14ac:dyDescent="0.3">
      <c r="A5699" t="s">
        <v>33</v>
      </c>
      <c r="B5699">
        <v>2018</v>
      </c>
      <c r="C5699" t="s">
        <v>45</v>
      </c>
      <c r="D5699" t="s">
        <v>3</v>
      </c>
      <c r="E5699" t="e">
        <f>VLOOKUP(Cpi_[[#This Row],[Attribute]],#REF!,2,FALSE)</f>
        <v>#REF!</v>
      </c>
      <c r="F5699">
        <v>138.1</v>
      </c>
      <c r="G5699">
        <f>(Cpi_[[#This Row],[Value]]-F5698)/F5698</f>
        <v>-3.0196629213483223E-2</v>
      </c>
      <c r="H5699" t="e" cm="1" vm="1">
        <f t="array" aca="1" ref="H5699" ca="1">VLOOKUP(Cpi_[[#This Row],[Year]:[Month]],crudeoil[],3,FALSE)</f>
        <v>#VALUE!</v>
      </c>
    </row>
    <row r="5700" spans="1:8" hidden="1" x14ac:dyDescent="0.3">
      <c r="A5700" t="s">
        <v>33</v>
      </c>
      <c r="B5700">
        <v>2018</v>
      </c>
      <c r="C5700" t="s">
        <v>45</v>
      </c>
      <c r="D5700" t="s">
        <v>4</v>
      </c>
      <c r="E5700" t="e">
        <f>VLOOKUP(Cpi_[[#This Row],[Attribute]],#REF!,2,FALSE)</f>
        <v>#REF!</v>
      </c>
      <c r="F5700">
        <v>146.30000000000001</v>
      </c>
      <c r="G5700">
        <f>(Cpi_[[#This Row],[Value]]-F5699)/F5699</f>
        <v>5.9377262853005194E-2</v>
      </c>
      <c r="H5700" t="e" cm="1" vm="1">
        <f t="array" aca="1" ref="H5700" ca="1">VLOOKUP(Cpi_[[#This Row],[Year]:[Month]],crudeoil[],3,FALSE)</f>
        <v>#VALUE!</v>
      </c>
    </row>
    <row r="5701" spans="1:8" hidden="1" x14ac:dyDescent="0.3">
      <c r="A5701" t="s">
        <v>33</v>
      </c>
      <c r="B5701">
        <v>2018</v>
      </c>
      <c r="C5701" t="s">
        <v>45</v>
      </c>
      <c r="D5701" t="s">
        <v>5</v>
      </c>
      <c r="E5701" t="e">
        <f>VLOOKUP(Cpi_[[#This Row],[Attribute]],#REF!,2,FALSE)</f>
        <v>#REF!</v>
      </c>
      <c r="F5701">
        <v>137.80000000000001</v>
      </c>
      <c r="G5701">
        <f>(Cpi_[[#This Row],[Value]]-F5700)/F5700</f>
        <v>-5.80997949419002E-2</v>
      </c>
      <c r="H5701" t="e" cm="1" vm="1">
        <f t="array" aca="1" ref="H5701" ca="1">VLOOKUP(Cpi_[[#This Row],[Year]:[Month]],crudeoil[],3,FALSE)</f>
        <v>#VALUE!</v>
      </c>
    </row>
    <row r="5702" spans="1:8" hidden="1" x14ac:dyDescent="0.3">
      <c r="A5702" t="s">
        <v>33</v>
      </c>
      <c r="B5702">
        <v>2018</v>
      </c>
      <c r="C5702" t="s">
        <v>45</v>
      </c>
      <c r="D5702" t="s">
        <v>6</v>
      </c>
      <c r="E5702" t="e">
        <f>VLOOKUP(Cpi_[[#This Row],[Attribute]],#REF!,2,FALSE)</f>
        <v>#REF!</v>
      </c>
      <c r="F5702">
        <v>141.6</v>
      </c>
      <c r="G5702">
        <f>(Cpi_[[#This Row],[Value]]-F5701)/F5701</f>
        <v>2.7576197387518018E-2</v>
      </c>
      <c r="H5702" t="e" cm="1" vm="1">
        <f t="array" aca="1" ref="H5702" ca="1">VLOOKUP(Cpi_[[#This Row],[Year]:[Month]],crudeoil[],3,FALSE)</f>
        <v>#VALUE!</v>
      </c>
    </row>
    <row r="5703" spans="1:8" hidden="1" x14ac:dyDescent="0.3">
      <c r="A5703" t="s">
        <v>33</v>
      </c>
      <c r="B5703">
        <v>2018</v>
      </c>
      <c r="C5703" t="s">
        <v>45</v>
      </c>
      <c r="D5703" t="s">
        <v>7</v>
      </c>
      <c r="E5703" t="e">
        <f>VLOOKUP(Cpi_[[#This Row],[Attribute]],#REF!,2,FALSE)</f>
        <v>#REF!</v>
      </c>
      <c r="F5703">
        <v>118.1</v>
      </c>
      <c r="G5703">
        <f>(Cpi_[[#This Row],[Value]]-F5702)/F5702</f>
        <v>-0.16596045197740114</v>
      </c>
      <c r="H5703" t="e" cm="1" vm="1">
        <f t="array" aca="1" ref="H5703" ca="1">VLOOKUP(Cpi_[[#This Row],[Year]:[Month]],crudeoil[],3,FALSE)</f>
        <v>#VALUE!</v>
      </c>
    </row>
    <row r="5704" spans="1:8" hidden="1" x14ac:dyDescent="0.3">
      <c r="A5704" t="s">
        <v>33</v>
      </c>
      <c r="B5704">
        <v>2018</v>
      </c>
      <c r="C5704" t="s">
        <v>45</v>
      </c>
      <c r="D5704" t="s">
        <v>8</v>
      </c>
      <c r="E5704" t="e">
        <f>VLOOKUP(Cpi_[[#This Row],[Attribute]],#REF!,2,FALSE)</f>
        <v>#REF!</v>
      </c>
      <c r="F5704">
        <v>141.5</v>
      </c>
      <c r="G5704">
        <f>(Cpi_[[#This Row],[Value]]-F5703)/F5703</f>
        <v>0.19813717188823038</v>
      </c>
      <c r="H5704" t="e" cm="1" vm="1">
        <f t="array" aca="1" ref="H5704" ca="1">VLOOKUP(Cpi_[[#This Row],[Year]:[Month]],crudeoil[],3,FALSE)</f>
        <v>#VALUE!</v>
      </c>
    </row>
    <row r="5705" spans="1:8" hidden="1" x14ac:dyDescent="0.3">
      <c r="A5705" t="s">
        <v>33</v>
      </c>
      <c r="B5705">
        <v>2018</v>
      </c>
      <c r="C5705" t="s">
        <v>45</v>
      </c>
      <c r="D5705" t="s">
        <v>9</v>
      </c>
      <c r="E5705" t="e">
        <f>VLOOKUP(Cpi_[[#This Row],[Attribute]],#REF!,2,FALSE)</f>
        <v>#REF!</v>
      </c>
      <c r="F5705">
        <v>145.19999999999999</v>
      </c>
      <c r="G5705">
        <f>(Cpi_[[#This Row],[Value]]-F5704)/F5704</f>
        <v>2.6148409893992853E-2</v>
      </c>
      <c r="H5705" t="e" cm="1" vm="1">
        <f t="array" aca="1" ref="H5705" ca="1">VLOOKUP(Cpi_[[#This Row],[Year]:[Month]],crudeoil[],3,FALSE)</f>
        <v>#VALUE!</v>
      </c>
    </row>
    <row r="5706" spans="1:8" hidden="1" x14ac:dyDescent="0.3">
      <c r="A5706" t="s">
        <v>33</v>
      </c>
      <c r="B5706">
        <v>2018</v>
      </c>
      <c r="C5706" t="s">
        <v>45</v>
      </c>
      <c r="D5706" t="s">
        <v>10</v>
      </c>
      <c r="E5706" t="e">
        <f>VLOOKUP(Cpi_[[#This Row],[Attribute]],#REF!,2,FALSE)</f>
        <v>#REF!</v>
      </c>
      <c r="F5706">
        <v>115.3</v>
      </c>
      <c r="G5706">
        <f>(Cpi_[[#This Row],[Value]]-F5705)/F5705</f>
        <v>-0.20592286501377408</v>
      </c>
      <c r="H5706" t="e" cm="1" vm="1">
        <f t="array" aca="1" ref="H5706" ca="1">VLOOKUP(Cpi_[[#This Row],[Year]:[Month]],crudeoil[],3,FALSE)</f>
        <v>#VALUE!</v>
      </c>
    </row>
    <row r="5707" spans="1:8" hidden="1" x14ac:dyDescent="0.3">
      <c r="A5707" t="s">
        <v>33</v>
      </c>
      <c r="B5707">
        <v>2018</v>
      </c>
      <c r="C5707" t="s">
        <v>45</v>
      </c>
      <c r="D5707" t="s">
        <v>11</v>
      </c>
      <c r="E5707" t="e">
        <f>VLOOKUP(Cpi_[[#This Row],[Attribute]],#REF!,2,FALSE)</f>
        <v>#REF!</v>
      </c>
      <c r="F5707">
        <v>112.5</v>
      </c>
      <c r="G5707">
        <f>(Cpi_[[#This Row],[Value]]-F5706)/F5706</f>
        <v>-2.4284475281873351E-2</v>
      </c>
      <c r="H5707" t="e" cm="1" vm="1">
        <f t="array" aca="1" ref="H5707" ca="1">VLOOKUP(Cpi_[[#This Row],[Year]:[Month]],crudeoil[],3,FALSE)</f>
        <v>#VALUE!</v>
      </c>
    </row>
    <row r="5708" spans="1:8" hidden="1" x14ac:dyDescent="0.3">
      <c r="A5708" t="s">
        <v>33</v>
      </c>
      <c r="B5708">
        <v>2018</v>
      </c>
      <c r="C5708" t="s">
        <v>45</v>
      </c>
      <c r="D5708" t="s">
        <v>12</v>
      </c>
      <c r="E5708" t="e">
        <f>VLOOKUP(Cpi_[[#This Row],[Attribute]],#REF!,2,FALSE)</f>
        <v>#REF!</v>
      </c>
      <c r="F5708">
        <v>141.4</v>
      </c>
      <c r="G5708">
        <f>(Cpi_[[#This Row],[Value]]-F5707)/F5707</f>
        <v>0.25688888888888894</v>
      </c>
      <c r="H5708" t="e" cm="1" vm="1">
        <f t="array" aca="1" ref="H5708" ca="1">VLOOKUP(Cpi_[[#This Row],[Year]:[Month]],crudeoil[],3,FALSE)</f>
        <v>#VALUE!</v>
      </c>
    </row>
    <row r="5709" spans="1:8" hidden="1" x14ac:dyDescent="0.3">
      <c r="A5709" t="s">
        <v>33</v>
      </c>
      <c r="B5709">
        <v>2018</v>
      </c>
      <c r="C5709" t="s">
        <v>45</v>
      </c>
      <c r="D5709" t="s">
        <v>13</v>
      </c>
      <c r="E5709" t="e">
        <f>VLOOKUP(Cpi_[[#This Row],[Attribute]],#REF!,2,FALSE)</f>
        <v>#REF!</v>
      </c>
      <c r="F5709">
        <v>128</v>
      </c>
      <c r="G5709">
        <f>(Cpi_[[#This Row],[Value]]-F5708)/F5708</f>
        <v>-9.4766619519094805E-2</v>
      </c>
      <c r="H5709" t="e" cm="1" vm="1">
        <f t="array" aca="1" ref="H5709" ca="1">VLOOKUP(Cpi_[[#This Row],[Year]:[Month]],crudeoil[],3,FALSE)</f>
        <v>#VALUE!</v>
      </c>
    </row>
    <row r="5710" spans="1:8" hidden="1" x14ac:dyDescent="0.3">
      <c r="A5710" t="s">
        <v>33</v>
      </c>
      <c r="B5710">
        <v>2018</v>
      </c>
      <c r="C5710" t="s">
        <v>45</v>
      </c>
      <c r="D5710" t="s">
        <v>14</v>
      </c>
      <c r="E5710" t="e">
        <f>VLOOKUP(Cpi_[[#This Row],[Attribute]],#REF!,2,FALSE)</f>
        <v>#REF!</v>
      </c>
      <c r="F5710">
        <v>152.6</v>
      </c>
      <c r="G5710">
        <f>(Cpi_[[#This Row],[Value]]-F5709)/F5709</f>
        <v>0.19218749999999996</v>
      </c>
      <c r="H5710" t="e" cm="1" vm="1">
        <f t="array" aca="1" ref="H5710" ca="1">VLOOKUP(Cpi_[[#This Row],[Year]:[Month]],crudeoil[],3,FALSE)</f>
        <v>#VALUE!</v>
      </c>
    </row>
    <row r="5711" spans="1:8" hidden="1" x14ac:dyDescent="0.3">
      <c r="A5711" t="s">
        <v>33</v>
      </c>
      <c r="B5711">
        <v>2018</v>
      </c>
      <c r="C5711" t="s">
        <v>45</v>
      </c>
      <c r="D5711" t="s">
        <v>15</v>
      </c>
      <c r="E5711" t="e">
        <f>VLOOKUP(Cpi_[[#This Row],[Attribute]],#REF!,2,FALSE)</f>
        <v>#REF!</v>
      </c>
      <c r="F5711">
        <v>139.1</v>
      </c>
      <c r="G5711">
        <f>(Cpi_[[#This Row],[Value]]-F5710)/F5710</f>
        <v>-8.8466579292267367E-2</v>
      </c>
      <c r="H5711" t="e" cm="1" vm="1">
        <f t="array" aca="1" ref="H5711" ca="1">VLOOKUP(Cpi_[[#This Row],[Year]:[Month]],crudeoil[],3,FALSE)</f>
        <v>#VALUE!</v>
      </c>
    </row>
    <row r="5712" spans="1:8" hidden="1" x14ac:dyDescent="0.3">
      <c r="A5712" t="s">
        <v>33</v>
      </c>
      <c r="B5712">
        <v>2018</v>
      </c>
      <c r="C5712" t="s">
        <v>45</v>
      </c>
      <c r="D5712" t="s">
        <v>16</v>
      </c>
      <c r="E5712" t="e">
        <f>VLOOKUP(Cpi_[[#This Row],[Attribute]],#REF!,2,FALSE)</f>
        <v>#REF!</v>
      </c>
      <c r="F5712">
        <v>164.4</v>
      </c>
      <c r="G5712">
        <f>(Cpi_[[#This Row],[Value]]-F5711)/F5711</f>
        <v>0.18188353702372403</v>
      </c>
      <c r="H5712" t="e" cm="1" vm="1">
        <f t="array" aca="1" ref="H5712" ca="1">VLOOKUP(Cpi_[[#This Row],[Year]:[Month]],crudeoil[],3,FALSE)</f>
        <v>#VALUE!</v>
      </c>
    </row>
    <row r="5713" spans="1:8" hidden="1" x14ac:dyDescent="0.3">
      <c r="A5713" t="s">
        <v>33</v>
      </c>
      <c r="B5713">
        <v>2018</v>
      </c>
      <c r="C5713" t="s">
        <v>45</v>
      </c>
      <c r="D5713" t="s">
        <v>17</v>
      </c>
      <c r="E5713" t="e">
        <f>VLOOKUP(Cpi_[[#This Row],[Attribute]],#REF!,2,FALSE)</f>
        <v>#REF!</v>
      </c>
      <c r="F5713">
        <v>142.4</v>
      </c>
      <c r="G5713">
        <f>(Cpi_[[#This Row],[Value]]-F5712)/F5712</f>
        <v>-0.13381995133819952</v>
      </c>
      <c r="H5713" t="e" cm="1" vm="1">
        <f t="array" aca="1" ref="H5713" ca="1">VLOOKUP(Cpi_[[#This Row],[Year]:[Month]],crudeoil[],3,FALSE)</f>
        <v>#VALUE!</v>
      </c>
    </row>
    <row r="5714" spans="1:8" hidden="1" x14ac:dyDescent="0.3">
      <c r="A5714" t="s">
        <v>33</v>
      </c>
      <c r="B5714">
        <v>2018</v>
      </c>
      <c r="C5714" t="s">
        <v>45</v>
      </c>
      <c r="D5714" t="s">
        <v>18</v>
      </c>
      <c r="E5714" t="e">
        <f>VLOOKUP(Cpi_[[#This Row],[Attribute]],#REF!,2,FALSE)</f>
        <v>#REF!</v>
      </c>
      <c r="F5714">
        <v>130.19999999999999</v>
      </c>
      <c r="G5714">
        <f>(Cpi_[[#This Row],[Value]]-F5713)/F5713</f>
        <v>-8.5674157303370899E-2</v>
      </c>
      <c r="H5714" t="e" cm="1" vm="1">
        <f t="array" aca="1" ref="H5714" ca="1">VLOOKUP(Cpi_[[#This Row],[Year]:[Month]],crudeoil[],3,FALSE)</f>
        <v>#VALUE!</v>
      </c>
    </row>
    <row r="5715" spans="1:8" hidden="1" x14ac:dyDescent="0.3">
      <c r="A5715" t="s">
        <v>33</v>
      </c>
      <c r="B5715">
        <v>2018</v>
      </c>
      <c r="C5715" t="s">
        <v>45</v>
      </c>
      <c r="D5715" t="s">
        <v>19</v>
      </c>
      <c r="E5715" t="e">
        <f>VLOOKUP(Cpi_[[#This Row],[Attribute]],#REF!,2,FALSE)</f>
        <v>#REF!</v>
      </c>
      <c r="F5715">
        <v>140.5</v>
      </c>
      <c r="G5715">
        <f>(Cpi_[[#This Row],[Value]]-F5714)/F5714</f>
        <v>7.9109062980030814E-2</v>
      </c>
      <c r="H5715" t="e" cm="1" vm="1">
        <f t="array" aca="1" ref="H5715" ca="1">VLOOKUP(Cpi_[[#This Row],[Year]:[Month]],crudeoil[],3,FALSE)</f>
        <v>#VALUE!</v>
      </c>
    </row>
    <row r="5716" spans="1:8" hidden="1" x14ac:dyDescent="0.3">
      <c r="A5716" t="s">
        <v>33</v>
      </c>
      <c r="B5716">
        <v>2018</v>
      </c>
      <c r="C5716" t="s">
        <v>45</v>
      </c>
      <c r="D5716" t="s">
        <v>20</v>
      </c>
      <c r="E5716" t="e">
        <f>VLOOKUP(Cpi_[[#This Row],[Attribute]],#REF!,2,FALSE)</f>
        <v>#REF!</v>
      </c>
      <c r="F5716">
        <v>146.9</v>
      </c>
      <c r="G5716">
        <f>(Cpi_[[#This Row],[Value]]-F5715)/F5715</f>
        <v>4.5551601423487582E-2</v>
      </c>
      <c r="H5716" t="e" cm="1" vm="1">
        <f t="array" aca="1" ref="H5716" ca="1">VLOOKUP(Cpi_[[#This Row],[Year]:[Month]],crudeoil[],3,FALSE)</f>
        <v>#VALUE!</v>
      </c>
    </row>
    <row r="5717" spans="1:8" hidden="1" x14ac:dyDescent="0.3">
      <c r="A5717" t="s">
        <v>33</v>
      </c>
      <c r="B5717">
        <v>2018</v>
      </c>
      <c r="C5717" t="s">
        <v>45</v>
      </c>
      <c r="D5717" t="s">
        <v>21</v>
      </c>
      <c r="E5717" t="e">
        <f>VLOOKUP(Cpi_[[#This Row],[Attribute]],#REF!,2,FALSE)</f>
        <v>#REF!</v>
      </c>
      <c r="F5717">
        <v>136.69999999999999</v>
      </c>
      <c r="G5717">
        <f>(Cpi_[[#This Row],[Value]]-F5716)/F5716</f>
        <v>-6.943498978897221E-2</v>
      </c>
      <c r="H5717" t="e" cm="1" vm="1">
        <f t="array" aca="1" ref="H5717" ca="1">VLOOKUP(Cpi_[[#This Row],[Year]:[Month]],crudeoil[],3,FALSE)</f>
        <v>#VALUE!</v>
      </c>
    </row>
    <row r="5718" spans="1:8" hidden="1" x14ac:dyDescent="0.3">
      <c r="A5718" t="s">
        <v>33</v>
      </c>
      <c r="B5718">
        <v>2018</v>
      </c>
      <c r="C5718" t="s">
        <v>45</v>
      </c>
      <c r="D5718" t="s">
        <v>22</v>
      </c>
      <c r="E5718" t="e">
        <f>VLOOKUP(Cpi_[[#This Row],[Attribute]],#REF!,2,FALSE)</f>
        <v>#REF!</v>
      </c>
      <c r="F5718">
        <v>135.80000000000001</v>
      </c>
      <c r="G5718">
        <f>(Cpi_[[#This Row],[Value]]-F5717)/F5717</f>
        <v>-6.5837600585221456E-3</v>
      </c>
      <c r="H5718" t="e" cm="1" vm="1">
        <f t="array" aca="1" ref="H5718" ca="1">VLOOKUP(Cpi_[[#This Row],[Year]:[Month]],crudeoil[],3,FALSE)</f>
        <v>#VALUE!</v>
      </c>
    </row>
    <row r="5719" spans="1:8" hidden="1" x14ac:dyDescent="0.3">
      <c r="A5719" t="s">
        <v>33</v>
      </c>
      <c r="B5719">
        <v>2018</v>
      </c>
      <c r="C5719" t="s">
        <v>45</v>
      </c>
      <c r="D5719" t="s">
        <v>23</v>
      </c>
      <c r="E5719" t="e">
        <f>VLOOKUP(Cpi_[[#This Row],[Attribute]],#REF!,2,FALSE)</f>
        <v>#REF!</v>
      </c>
      <c r="F5719">
        <v>136.80000000000001</v>
      </c>
      <c r="G5719">
        <f>(Cpi_[[#This Row],[Value]]-F5718)/F5718</f>
        <v>7.3637702503681875E-3</v>
      </c>
      <c r="H5719" t="e" cm="1" vm="1">
        <f t="array" aca="1" ref="H5719" ca="1">VLOOKUP(Cpi_[[#This Row],[Year]:[Month]],crudeoil[],3,FALSE)</f>
        <v>#VALUE!</v>
      </c>
    </row>
    <row r="5720" spans="1:8" hidden="1" x14ac:dyDescent="0.3">
      <c r="A5720" t="s">
        <v>33</v>
      </c>
      <c r="B5720">
        <v>2018</v>
      </c>
      <c r="C5720" t="s">
        <v>45</v>
      </c>
      <c r="D5720" t="s">
        <v>24</v>
      </c>
      <c r="E5720" t="e">
        <f>VLOOKUP(Cpi_[[#This Row],[Attribute]],#REF!,2,FALSE)</f>
        <v>#REF!</v>
      </c>
      <c r="F5720">
        <v>121.2</v>
      </c>
      <c r="G5720">
        <f>(Cpi_[[#This Row],[Value]]-F5719)/F5719</f>
        <v>-0.11403508771929829</v>
      </c>
      <c r="H5720" t="e" cm="1" vm="1">
        <f t="array" aca="1" ref="H5720" ca="1">VLOOKUP(Cpi_[[#This Row],[Year]:[Month]],crudeoil[],3,FALSE)</f>
        <v>#VALUE!</v>
      </c>
    </row>
    <row r="5721" spans="1:8" hidden="1" x14ac:dyDescent="0.3">
      <c r="A5721" t="s">
        <v>33</v>
      </c>
      <c r="B5721">
        <v>2018</v>
      </c>
      <c r="C5721" t="s">
        <v>45</v>
      </c>
      <c r="D5721" t="s">
        <v>25</v>
      </c>
      <c r="E5721" t="e">
        <f>VLOOKUP(Cpi_[[#This Row],[Attribute]],#REF!,2,FALSE)</f>
        <v>#REF!</v>
      </c>
      <c r="F5721">
        <v>131.30000000000001</v>
      </c>
      <c r="G5721">
        <f>(Cpi_[[#This Row],[Value]]-F5720)/F5720</f>
        <v>8.3333333333333398E-2</v>
      </c>
      <c r="H5721" t="e" cm="1" vm="1">
        <f t="array" aca="1" ref="H5721" ca="1">VLOOKUP(Cpi_[[#This Row],[Year]:[Month]],crudeoil[],3,FALSE)</f>
        <v>#VALUE!</v>
      </c>
    </row>
    <row r="5722" spans="1:8" hidden="1" x14ac:dyDescent="0.3">
      <c r="A5722" t="s">
        <v>33</v>
      </c>
      <c r="B5722">
        <v>2018</v>
      </c>
      <c r="C5722" t="s">
        <v>45</v>
      </c>
      <c r="D5722" t="s">
        <v>26</v>
      </c>
      <c r="E5722" t="e">
        <f>VLOOKUP(Cpi_[[#This Row],[Attribute]],#REF!,2,FALSE)</f>
        <v>#REF!</v>
      </c>
      <c r="F5722">
        <v>146.1</v>
      </c>
      <c r="G5722">
        <f>(Cpi_[[#This Row],[Value]]-F5721)/F5721</f>
        <v>0.11271896420411258</v>
      </c>
      <c r="H5722" t="e" cm="1" vm="1">
        <f t="array" aca="1" ref="H5722" ca="1">VLOOKUP(Cpi_[[#This Row],[Year]:[Month]],crudeoil[],3,FALSE)</f>
        <v>#VALUE!</v>
      </c>
    </row>
    <row r="5723" spans="1:8" hidden="1" x14ac:dyDescent="0.3">
      <c r="A5723" t="s">
        <v>33</v>
      </c>
      <c r="B5723">
        <v>2018</v>
      </c>
      <c r="C5723" t="s">
        <v>45</v>
      </c>
      <c r="D5723" t="s">
        <v>27</v>
      </c>
      <c r="E5723" t="e">
        <f>VLOOKUP(Cpi_[[#This Row],[Attribute]],#REF!,2,FALSE)</f>
        <v>#REF!</v>
      </c>
      <c r="F5723">
        <v>130.5</v>
      </c>
      <c r="G5723">
        <f>(Cpi_[[#This Row],[Value]]-F5722)/F5722</f>
        <v>-0.10677618069815191</v>
      </c>
      <c r="H5723" t="e" cm="1" vm="1">
        <f t="array" aca="1" ref="H5723" ca="1">VLOOKUP(Cpi_[[#This Row],[Year]:[Month]],crudeoil[],3,FALSE)</f>
        <v>#VALUE!</v>
      </c>
    </row>
    <row r="5724" spans="1:8" hidden="1" x14ac:dyDescent="0.3">
      <c r="A5724" t="s">
        <v>33</v>
      </c>
      <c r="B5724">
        <v>2018</v>
      </c>
      <c r="C5724" t="s">
        <v>45</v>
      </c>
      <c r="D5724" t="s">
        <v>28</v>
      </c>
      <c r="E5724" t="e">
        <f>VLOOKUP(Cpi_[[#This Row],[Attribute]],#REF!,2,FALSE)</f>
        <v>#REF!</v>
      </c>
      <c r="F5724">
        <v>132.19999999999999</v>
      </c>
      <c r="G5724">
        <f>(Cpi_[[#This Row],[Value]]-F5723)/F5723</f>
        <v>1.302681992337156E-2</v>
      </c>
      <c r="H5724" t="e" cm="1" vm="1">
        <f t="array" aca="1" ref="H5724" ca="1">VLOOKUP(Cpi_[[#This Row],[Year]:[Month]],crudeoil[],3,FALSE)</f>
        <v>#VALUE!</v>
      </c>
    </row>
    <row r="5725" spans="1:8" hidden="1" x14ac:dyDescent="0.3">
      <c r="A5725" t="s">
        <v>33</v>
      </c>
      <c r="B5725">
        <v>2018</v>
      </c>
      <c r="C5725" t="s">
        <v>45</v>
      </c>
      <c r="D5725" t="s">
        <v>29</v>
      </c>
      <c r="E5725" t="e" cm="1">
        <f t="array" aca="1" ref="E5725" ca="1">VLGeneral indexGeneral indexKUP(Cpi_[[#This Row],[Attribute]],#REF!,2,FALSE)</f>
        <v>#NAME?</v>
      </c>
      <c r="F5725">
        <v>139</v>
      </c>
      <c r="G5725">
        <f>(Cpi_[[#This Row],[Value]]-F5724)/F5724</f>
        <v>5.1437216338880577E-2</v>
      </c>
      <c r="H5725" t="e" cm="1" vm="1">
        <f t="array" aca="1" ref="H5725" ca="1">VLOOKUP(Cpi_[[#This Row],[Year]:[Month]],crudeoil[],3,FALSE)</f>
        <v>#VALUE!</v>
      </c>
    </row>
    <row r="5726" spans="1:8" hidden="1" x14ac:dyDescent="0.3">
      <c r="A5726" t="s">
        <v>34</v>
      </c>
      <c r="B5726">
        <v>2018</v>
      </c>
      <c r="C5726" t="s">
        <v>45</v>
      </c>
      <c r="D5726" t="s">
        <v>3</v>
      </c>
      <c r="E5726" t="e">
        <f>VLOOKUP(Cpi_[[#This Row],[Attribute]],#REF!,2,FALSE)</f>
        <v>#REF!</v>
      </c>
      <c r="F5726">
        <v>137.4</v>
      </c>
      <c r="G5726">
        <f>(Cpi_[[#This Row],[Value]]-F5725)/F5725</f>
        <v>-1.1510791366906433E-2</v>
      </c>
      <c r="H5726" t="e" cm="1" vm="1">
        <f t="array" aca="1" ref="H5726" ca="1">VLOOKUP(Cpi_[[#This Row],[Year]:[Month]],crudeoil[],3,FALSE)</f>
        <v>#VALUE!</v>
      </c>
    </row>
    <row r="5727" spans="1:8" hidden="1" x14ac:dyDescent="0.3">
      <c r="A5727" t="s">
        <v>34</v>
      </c>
      <c r="B5727">
        <v>2018</v>
      </c>
      <c r="C5727" t="s">
        <v>45</v>
      </c>
      <c r="D5727" t="s">
        <v>4</v>
      </c>
      <c r="E5727" t="e">
        <f>VLOOKUP(Cpi_[[#This Row],[Attribute]],#REF!,2,FALSE)</f>
        <v>#REF!</v>
      </c>
      <c r="F5727">
        <v>149.19999999999999</v>
      </c>
      <c r="G5727">
        <f>(Cpi_[[#This Row],[Value]]-F5726)/F5726</f>
        <v>8.5880640465793176E-2</v>
      </c>
      <c r="H5727" t="e" cm="1" vm="1">
        <f t="array" aca="1" ref="H5727" ca="1">VLOOKUP(Cpi_[[#This Row],[Year]:[Month]],crudeoil[],3,FALSE)</f>
        <v>#VALUE!</v>
      </c>
    </row>
    <row r="5728" spans="1:8" hidden="1" x14ac:dyDescent="0.3">
      <c r="A5728" t="s">
        <v>34</v>
      </c>
      <c r="B5728">
        <v>2018</v>
      </c>
      <c r="C5728" t="s">
        <v>45</v>
      </c>
      <c r="D5728" t="s">
        <v>5</v>
      </c>
      <c r="E5728" t="e">
        <f>VLOOKUP(Cpi_[[#This Row],[Attribute]],#REF!,2,FALSE)</f>
        <v>#REF!</v>
      </c>
      <c r="F5728">
        <v>137.1</v>
      </c>
      <c r="G5728">
        <f>(Cpi_[[#This Row],[Value]]-F5727)/F5727</f>
        <v>-8.1099195710455735E-2</v>
      </c>
      <c r="H5728" t="e" cm="1" vm="1">
        <f t="array" aca="1" ref="H5728" ca="1">VLOOKUP(Cpi_[[#This Row],[Year]:[Month]],crudeoil[],3,FALSE)</f>
        <v>#VALUE!</v>
      </c>
    </row>
    <row r="5729" spans="1:8" hidden="1" x14ac:dyDescent="0.3">
      <c r="A5729" t="s">
        <v>34</v>
      </c>
      <c r="B5729">
        <v>2018</v>
      </c>
      <c r="C5729" t="s">
        <v>45</v>
      </c>
      <c r="D5729" t="s">
        <v>6</v>
      </c>
      <c r="E5729" t="e">
        <f>VLOOKUP(Cpi_[[#This Row],[Attribute]],#REF!,2,FALSE)</f>
        <v>#REF!</v>
      </c>
      <c r="F5729">
        <v>141.80000000000001</v>
      </c>
      <c r="G5729">
        <f>(Cpi_[[#This Row],[Value]]-F5728)/F5728</f>
        <v>3.4281546316557381E-2</v>
      </c>
      <c r="H5729" t="e" cm="1" vm="1">
        <f t="array" aca="1" ref="H5729" ca="1">VLOOKUP(Cpi_[[#This Row],[Year]:[Month]],crudeoil[],3,FALSE)</f>
        <v>#VALUE!</v>
      </c>
    </row>
    <row r="5730" spans="1:8" hidden="1" x14ac:dyDescent="0.3">
      <c r="A5730" t="s">
        <v>34</v>
      </c>
      <c r="B5730">
        <v>2018</v>
      </c>
      <c r="C5730" t="s">
        <v>45</v>
      </c>
      <c r="D5730" t="s">
        <v>7</v>
      </c>
      <c r="E5730" t="e">
        <f>VLOOKUP(Cpi_[[#This Row],[Attribute]],#REF!,2,FALSE)</f>
        <v>#REF!</v>
      </c>
      <c r="F5730">
        <v>121.1</v>
      </c>
      <c r="G5730">
        <f>(Cpi_[[#This Row],[Value]]-F5729)/F5729</f>
        <v>-0.1459802538787025</v>
      </c>
      <c r="H5730" t="e" cm="1" vm="1">
        <f t="array" aca="1" ref="H5730" ca="1">VLOOKUP(Cpi_[[#This Row],[Year]:[Month]],crudeoil[],3,FALSE)</f>
        <v>#VALUE!</v>
      </c>
    </row>
    <row r="5731" spans="1:8" hidden="1" x14ac:dyDescent="0.3">
      <c r="A5731" t="s">
        <v>34</v>
      </c>
      <c r="B5731">
        <v>2018</v>
      </c>
      <c r="C5731" t="s">
        <v>45</v>
      </c>
      <c r="D5731" t="s">
        <v>8</v>
      </c>
      <c r="E5731" t="e">
        <f>VLOOKUP(Cpi_[[#This Row],[Attribute]],#REF!,2,FALSE)</f>
        <v>#REF!</v>
      </c>
      <c r="F5731">
        <v>142.80000000000001</v>
      </c>
      <c r="G5731">
        <f>(Cpi_[[#This Row],[Value]]-F5730)/F5730</f>
        <v>0.17919075144508687</v>
      </c>
      <c r="H5731" t="e" cm="1" vm="1">
        <f t="array" aca="1" ref="H5731" ca="1">VLOOKUP(Cpi_[[#This Row],[Year]:[Month]],crudeoil[],3,FALSE)</f>
        <v>#VALUE!</v>
      </c>
    </row>
    <row r="5732" spans="1:8" hidden="1" x14ac:dyDescent="0.3">
      <c r="A5732" t="s">
        <v>34</v>
      </c>
      <c r="B5732">
        <v>2018</v>
      </c>
      <c r="C5732" t="s">
        <v>45</v>
      </c>
      <c r="D5732" t="s">
        <v>9</v>
      </c>
      <c r="E5732" t="e">
        <f>VLOOKUP(Cpi_[[#This Row],[Attribute]],#REF!,2,FALSE)</f>
        <v>#REF!</v>
      </c>
      <c r="F5732">
        <v>146.69999999999999</v>
      </c>
      <c r="G5732">
        <f>(Cpi_[[#This Row],[Value]]-F5731)/F5731</f>
        <v>2.7310924369747736E-2</v>
      </c>
      <c r="H5732" t="e" cm="1" vm="1">
        <f t="array" aca="1" ref="H5732" ca="1">VLOOKUP(Cpi_[[#This Row],[Year]:[Month]],crudeoil[],3,FALSE)</f>
        <v>#VALUE!</v>
      </c>
    </row>
    <row r="5733" spans="1:8" hidden="1" x14ac:dyDescent="0.3">
      <c r="A5733" t="s">
        <v>34</v>
      </c>
      <c r="B5733">
        <v>2018</v>
      </c>
      <c r="C5733" t="s">
        <v>45</v>
      </c>
      <c r="D5733" t="s">
        <v>10</v>
      </c>
      <c r="E5733" t="e">
        <f>VLOOKUP(Cpi_[[#This Row],[Attribute]],#REF!,2,FALSE)</f>
        <v>#REF!</v>
      </c>
      <c r="F5733">
        <v>119.1</v>
      </c>
      <c r="G5733">
        <f>(Cpi_[[#This Row],[Value]]-F5732)/F5732</f>
        <v>-0.18813905930470345</v>
      </c>
      <c r="H5733" t="e" cm="1" vm="1">
        <f t="array" aca="1" ref="H5733" ca="1">VLOOKUP(Cpi_[[#This Row],[Year]:[Month]],crudeoil[],3,FALSE)</f>
        <v>#VALUE!</v>
      </c>
    </row>
    <row r="5734" spans="1:8" hidden="1" x14ac:dyDescent="0.3">
      <c r="A5734" t="s">
        <v>34</v>
      </c>
      <c r="B5734">
        <v>2018</v>
      </c>
      <c r="C5734" t="s">
        <v>45</v>
      </c>
      <c r="D5734" t="s">
        <v>11</v>
      </c>
      <c r="E5734" t="e">
        <f>VLOOKUP(Cpi_[[#This Row],[Attribute]],#REF!,2,FALSE)</f>
        <v>#REF!</v>
      </c>
      <c r="F5734">
        <v>111.9</v>
      </c>
      <c r="G5734">
        <f>(Cpi_[[#This Row],[Value]]-F5733)/F5733</f>
        <v>-6.0453400503778246E-2</v>
      </c>
      <c r="H5734" t="e" cm="1" vm="1">
        <f t="array" aca="1" ref="H5734" ca="1">VLOOKUP(Cpi_[[#This Row],[Year]:[Month]],crudeoil[],3,FALSE)</f>
        <v>#VALUE!</v>
      </c>
    </row>
    <row r="5735" spans="1:8" hidden="1" x14ac:dyDescent="0.3">
      <c r="A5735" t="s">
        <v>34</v>
      </c>
      <c r="B5735">
        <v>2018</v>
      </c>
      <c r="C5735" t="s">
        <v>45</v>
      </c>
      <c r="D5735" t="s">
        <v>12</v>
      </c>
      <c r="E5735" t="e">
        <f>VLOOKUP(Cpi_[[#This Row],[Attribute]],#REF!,2,FALSE)</f>
        <v>#REF!</v>
      </c>
      <c r="F5735">
        <v>140.9</v>
      </c>
      <c r="G5735">
        <f>(Cpi_[[#This Row],[Value]]-F5734)/F5734</f>
        <v>0.259159964253798</v>
      </c>
      <c r="H5735" t="e" cm="1" vm="1">
        <f t="array" aca="1" ref="H5735" ca="1">VLOOKUP(Cpi_[[#This Row],[Year]:[Month]],crudeoil[],3,FALSE)</f>
        <v>#VALUE!</v>
      </c>
    </row>
    <row r="5736" spans="1:8" hidden="1" x14ac:dyDescent="0.3">
      <c r="A5736" t="s">
        <v>34</v>
      </c>
      <c r="B5736">
        <v>2018</v>
      </c>
      <c r="C5736" t="s">
        <v>45</v>
      </c>
      <c r="D5736" t="s">
        <v>13</v>
      </c>
      <c r="E5736" t="e">
        <f>VLOOKUP(Cpi_[[#This Row],[Attribute]],#REF!,2,FALSE)</f>
        <v>#REF!</v>
      </c>
      <c r="F5736">
        <v>133.5</v>
      </c>
      <c r="G5736">
        <f>(Cpi_[[#This Row],[Value]]-F5735)/F5735</f>
        <v>-5.2519517388218633E-2</v>
      </c>
      <c r="H5736" t="e" cm="1" vm="1">
        <f t="array" aca="1" ref="H5736" ca="1">VLOOKUP(Cpi_[[#This Row],[Year]:[Month]],crudeoil[],3,FALSE)</f>
        <v>#VALUE!</v>
      </c>
    </row>
    <row r="5737" spans="1:8" hidden="1" x14ac:dyDescent="0.3">
      <c r="A5737" t="s">
        <v>34</v>
      </c>
      <c r="B5737">
        <v>2018</v>
      </c>
      <c r="C5737" t="s">
        <v>45</v>
      </c>
      <c r="D5737" t="s">
        <v>14</v>
      </c>
      <c r="E5737" t="e">
        <f>VLOOKUP(Cpi_[[#This Row],[Attribute]],#REF!,2,FALSE)</f>
        <v>#REF!</v>
      </c>
      <c r="F5737">
        <v>154.5</v>
      </c>
      <c r="G5737">
        <f>(Cpi_[[#This Row],[Value]]-F5736)/F5736</f>
        <v>0.15730337078651685</v>
      </c>
      <c r="H5737" t="e" cm="1" vm="1">
        <f t="array" aca="1" ref="H5737" ca="1">VLOOKUP(Cpi_[[#This Row],[Year]:[Month]],crudeoil[],3,FALSE)</f>
        <v>#VALUE!</v>
      </c>
    </row>
    <row r="5738" spans="1:8" hidden="1" x14ac:dyDescent="0.3">
      <c r="A5738" t="s">
        <v>34</v>
      </c>
      <c r="B5738">
        <v>2018</v>
      </c>
      <c r="C5738" t="s">
        <v>45</v>
      </c>
      <c r="D5738" t="s">
        <v>15</v>
      </c>
      <c r="E5738" t="e">
        <f>VLOOKUP(Cpi_[[#This Row],[Attribute]],#REF!,2,FALSE)</f>
        <v>#REF!</v>
      </c>
      <c r="F5738">
        <v>139.69999999999999</v>
      </c>
      <c r="G5738">
        <f>(Cpi_[[#This Row],[Value]]-F5737)/F5737</f>
        <v>-9.5792880258899746E-2</v>
      </c>
      <c r="H5738" t="e" cm="1" vm="1">
        <f t="array" aca="1" ref="H5738" ca="1">VLOOKUP(Cpi_[[#This Row],[Year]:[Month]],crudeoil[],3,FALSE)</f>
        <v>#VALUE!</v>
      </c>
    </row>
    <row r="5739" spans="1:8" hidden="1" x14ac:dyDescent="0.3">
      <c r="A5739" t="s">
        <v>34</v>
      </c>
      <c r="B5739">
        <v>2018</v>
      </c>
      <c r="C5739" t="s">
        <v>45</v>
      </c>
      <c r="D5739" t="s">
        <v>16</v>
      </c>
      <c r="E5739" t="e">
        <f>VLOOKUP(Cpi_[[#This Row],[Attribute]],#REF!,2,FALSE)</f>
        <v>#REF!</v>
      </c>
      <c r="F5739">
        <v>162.6</v>
      </c>
      <c r="G5739">
        <f>(Cpi_[[#This Row],[Value]]-F5738)/F5738</f>
        <v>0.16392269148174665</v>
      </c>
      <c r="H5739" t="e" cm="1" vm="1">
        <f t="array" aca="1" ref="H5739" ca="1">VLOOKUP(Cpi_[[#This Row],[Year]:[Month]],crudeoil[],3,FALSE)</f>
        <v>#VALUE!</v>
      </c>
    </row>
    <row r="5740" spans="1:8" hidden="1" x14ac:dyDescent="0.3">
      <c r="A5740" t="s">
        <v>34</v>
      </c>
      <c r="B5740">
        <v>2018</v>
      </c>
      <c r="C5740" t="s">
        <v>45</v>
      </c>
      <c r="D5740" t="s">
        <v>17</v>
      </c>
      <c r="E5740" t="e">
        <f>VLOOKUP(Cpi_[[#This Row],[Attribute]],#REF!,2,FALSE)</f>
        <v>#REF!</v>
      </c>
      <c r="F5740">
        <v>148</v>
      </c>
      <c r="G5740">
        <f>(Cpi_[[#This Row],[Value]]-F5739)/F5739</f>
        <v>-8.9790897908979053E-2</v>
      </c>
      <c r="H5740" t="e" cm="1" vm="1">
        <f t="array" aca="1" ref="H5740" ca="1">VLOOKUP(Cpi_[[#This Row],[Year]:[Month]],crudeoil[],3,FALSE)</f>
        <v>#VALUE!</v>
      </c>
    </row>
    <row r="5741" spans="1:8" hidden="1" x14ac:dyDescent="0.3">
      <c r="A5741" t="s">
        <v>34</v>
      </c>
      <c r="B5741">
        <v>2018</v>
      </c>
      <c r="C5741" t="s">
        <v>45</v>
      </c>
      <c r="D5741" t="s">
        <v>18</v>
      </c>
      <c r="E5741" t="e">
        <f>VLOOKUP(Cpi_[[#This Row],[Attribute]],#REF!,2,FALSE)</f>
        <v>#REF!</v>
      </c>
      <c r="F5741">
        <v>139.1</v>
      </c>
      <c r="G5741">
        <f>(Cpi_[[#This Row],[Value]]-F5740)/F5740</f>
        <v>-6.0135135135135173E-2</v>
      </c>
      <c r="H5741" t="e" cm="1" vm="1">
        <f t="array" aca="1" ref="H5741" ca="1">VLOOKUP(Cpi_[[#This Row],[Year]:[Month]],crudeoil[],3,FALSE)</f>
        <v>#VALUE!</v>
      </c>
    </row>
    <row r="5742" spans="1:8" hidden="1" x14ac:dyDescent="0.3">
      <c r="A5742" t="s">
        <v>34</v>
      </c>
      <c r="B5742">
        <v>2018</v>
      </c>
      <c r="C5742" t="s">
        <v>45</v>
      </c>
      <c r="D5742" t="s">
        <v>19</v>
      </c>
      <c r="E5742" t="e">
        <f>VLOOKUP(Cpi_[[#This Row],[Attribute]],#REF!,2,FALSE)</f>
        <v>#REF!</v>
      </c>
      <c r="F5742">
        <v>146.69999999999999</v>
      </c>
      <c r="G5742">
        <f>(Cpi_[[#This Row],[Value]]-F5741)/F5741</f>
        <v>5.4636951833213473E-2</v>
      </c>
      <c r="H5742" t="e" cm="1" vm="1">
        <f t="array" aca="1" ref="H5742" ca="1">VLOOKUP(Cpi_[[#This Row],[Year]:[Month]],crudeoil[],3,FALSE)</f>
        <v>#VALUE!</v>
      </c>
    </row>
    <row r="5743" spans="1:8" hidden="1" x14ac:dyDescent="0.3">
      <c r="A5743" t="s">
        <v>34</v>
      </c>
      <c r="B5743">
        <v>2018</v>
      </c>
      <c r="C5743" t="s">
        <v>45</v>
      </c>
      <c r="D5743" t="s">
        <v>20</v>
      </c>
      <c r="E5743" t="e">
        <f>VLOOKUP(Cpi_[[#This Row],[Attribute]],#REF!,2,FALSE)</f>
        <v>#REF!</v>
      </c>
      <c r="F5743">
        <v>146.9</v>
      </c>
      <c r="G5743">
        <f>(Cpi_[[#This Row],[Value]]-F5742)/F5742</f>
        <v>1.3633265167008661E-3</v>
      </c>
      <c r="H5743" t="e" cm="1" vm="1">
        <f t="array" aca="1" ref="H5743" ca="1">VLOOKUP(Cpi_[[#This Row],[Year]:[Month]],crudeoil[],3,FALSE)</f>
        <v>#VALUE!</v>
      </c>
    </row>
    <row r="5744" spans="1:8" hidden="1" x14ac:dyDescent="0.3">
      <c r="A5744" t="s">
        <v>34</v>
      </c>
      <c r="B5744">
        <v>2018</v>
      </c>
      <c r="C5744" t="s">
        <v>45</v>
      </c>
      <c r="D5744" t="s">
        <v>21</v>
      </c>
      <c r="E5744" t="e">
        <f>VLOOKUP(Cpi_[[#This Row],[Attribute]],#REF!,2,FALSE)</f>
        <v>#REF!</v>
      </c>
      <c r="F5744">
        <v>145.1</v>
      </c>
      <c r="G5744">
        <f>(Cpi_[[#This Row],[Value]]-F5743)/F5743</f>
        <v>-1.2253233492171622E-2</v>
      </c>
      <c r="H5744" t="e" cm="1" vm="1">
        <f t="array" aca="1" ref="H5744" ca="1">VLOOKUP(Cpi_[[#This Row],[Year]:[Month]],crudeoil[],3,FALSE)</f>
        <v>#VALUE!</v>
      </c>
    </row>
    <row r="5745" spans="1:8" hidden="1" x14ac:dyDescent="0.3">
      <c r="A5745" t="s">
        <v>34</v>
      </c>
      <c r="B5745">
        <v>2018</v>
      </c>
      <c r="C5745" t="s">
        <v>45</v>
      </c>
      <c r="D5745" t="s">
        <v>22</v>
      </c>
      <c r="E5745" t="e">
        <f>VLOOKUP(Cpi_[[#This Row],[Attribute]],#REF!,2,FALSE)</f>
        <v>#REF!</v>
      </c>
      <c r="F5745">
        <v>142.19999999999999</v>
      </c>
      <c r="G5745">
        <f>(Cpi_[[#This Row],[Value]]-F5744)/F5744</f>
        <v>-1.9986216402481088E-2</v>
      </c>
      <c r="H5745" t="e" cm="1" vm="1">
        <f t="array" aca="1" ref="H5745" ca="1">VLOOKUP(Cpi_[[#This Row],[Year]:[Month]],crudeoil[],3,FALSE)</f>
        <v>#VALUE!</v>
      </c>
    </row>
    <row r="5746" spans="1:8" hidden="1" x14ac:dyDescent="0.3">
      <c r="A5746" t="s">
        <v>34</v>
      </c>
      <c r="B5746">
        <v>2018</v>
      </c>
      <c r="C5746" t="s">
        <v>45</v>
      </c>
      <c r="D5746" t="s">
        <v>23</v>
      </c>
      <c r="E5746" t="e">
        <f>VLOOKUP(Cpi_[[#This Row],[Attribute]],#REF!,2,FALSE)</f>
        <v>#REF!</v>
      </c>
      <c r="F5746">
        <v>142.1</v>
      </c>
      <c r="G5746">
        <f>(Cpi_[[#This Row],[Value]]-F5745)/F5745</f>
        <v>-7.0323488045003044E-4</v>
      </c>
      <c r="H5746" t="e" cm="1" vm="1">
        <f t="array" aca="1" ref="H5746" ca="1">VLOOKUP(Cpi_[[#This Row],[Year]:[Month]],crudeoil[],3,FALSE)</f>
        <v>#VALUE!</v>
      </c>
    </row>
    <row r="5747" spans="1:8" hidden="1" x14ac:dyDescent="0.3">
      <c r="A5747" t="s">
        <v>34</v>
      </c>
      <c r="B5747">
        <v>2018</v>
      </c>
      <c r="C5747" t="s">
        <v>45</v>
      </c>
      <c r="D5747" t="s">
        <v>24</v>
      </c>
      <c r="E5747" t="e">
        <f>VLOOKUP(Cpi_[[#This Row],[Attribute]],#REF!,2,FALSE)</f>
        <v>#REF!</v>
      </c>
      <c r="F5747">
        <v>125.5</v>
      </c>
      <c r="G5747">
        <f>(Cpi_[[#This Row],[Value]]-F5746)/F5746</f>
        <v>-0.11681914144968329</v>
      </c>
      <c r="H5747" t="e" cm="1" vm="1">
        <f t="array" aca="1" ref="H5747" ca="1">VLOOKUP(Cpi_[[#This Row],[Year]:[Month]],crudeoil[],3,FALSE)</f>
        <v>#VALUE!</v>
      </c>
    </row>
    <row r="5748" spans="1:8" hidden="1" x14ac:dyDescent="0.3">
      <c r="A5748" t="s">
        <v>34</v>
      </c>
      <c r="B5748">
        <v>2018</v>
      </c>
      <c r="C5748" t="s">
        <v>45</v>
      </c>
      <c r="D5748" t="s">
        <v>25</v>
      </c>
      <c r="E5748" t="e">
        <f>VLOOKUP(Cpi_[[#This Row],[Attribute]],#REF!,2,FALSE)</f>
        <v>#REF!</v>
      </c>
      <c r="F5748">
        <v>136.5</v>
      </c>
      <c r="G5748">
        <f>(Cpi_[[#This Row],[Value]]-F5747)/F5747</f>
        <v>8.7649402390438252E-2</v>
      </c>
      <c r="H5748" t="e" cm="1" vm="1">
        <f t="array" aca="1" ref="H5748" ca="1">VLOOKUP(Cpi_[[#This Row],[Year]:[Month]],crudeoil[],3,FALSE)</f>
        <v>#VALUE!</v>
      </c>
    </row>
    <row r="5749" spans="1:8" hidden="1" x14ac:dyDescent="0.3">
      <c r="A5749" t="s">
        <v>34</v>
      </c>
      <c r="B5749">
        <v>2018</v>
      </c>
      <c r="C5749" t="s">
        <v>45</v>
      </c>
      <c r="D5749" t="s">
        <v>26</v>
      </c>
      <c r="E5749" t="e">
        <f>VLOOKUP(Cpi_[[#This Row],[Attribute]],#REF!,2,FALSE)</f>
        <v>#REF!</v>
      </c>
      <c r="F5749">
        <v>147.80000000000001</v>
      </c>
      <c r="G5749">
        <f>(Cpi_[[#This Row],[Value]]-F5748)/F5748</f>
        <v>8.2783882783882864E-2</v>
      </c>
      <c r="H5749" t="e" cm="1" vm="1">
        <f t="array" aca="1" ref="H5749" ca="1">VLOOKUP(Cpi_[[#This Row],[Year]:[Month]],crudeoil[],3,FALSE)</f>
        <v>#VALUE!</v>
      </c>
    </row>
    <row r="5750" spans="1:8" hidden="1" x14ac:dyDescent="0.3">
      <c r="A5750" t="s">
        <v>34</v>
      </c>
      <c r="B5750">
        <v>2018</v>
      </c>
      <c r="C5750" t="s">
        <v>45</v>
      </c>
      <c r="D5750" t="s">
        <v>27</v>
      </c>
      <c r="E5750" t="e">
        <f>VLOOKUP(Cpi_[[#This Row],[Attribute]],#REF!,2,FALSE)</f>
        <v>#REF!</v>
      </c>
      <c r="F5750">
        <v>132</v>
      </c>
      <c r="G5750">
        <f>(Cpi_[[#This Row],[Value]]-F5749)/F5749</f>
        <v>-0.10690121786197571</v>
      </c>
      <c r="H5750" t="e" cm="1" vm="1">
        <f t="array" aca="1" ref="H5750" ca="1">VLOOKUP(Cpi_[[#This Row],[Year]:[Month]],crudeoil[],3,FALSE)</f>
        <v>#VALUE!</v>
      </c>
    </row>
    <row r="5751" spans="1:8" hidden="1" x14ac:dyDescent="0.3">
      <c r="A5751" t="s">
        <v>34</v>
      </c>
      <c r="B5751">
        <v>2018</v>
      </c>
      <c r="C5751" t="s">
        <v>45</v>
      </c>
      <c r="D5751" t="s">
        <v>28</v>
      </c>
      <c r="E5751" t="e">
        <f>VLOOKUP(Cpi_[[#This Row],[Attribute]],#REF!,2,FALSE)</f>
        <v>#REF!</v>
      </c>
      <c r="F5751">
        <v>136.30000000000001</v>
      </c>
      <c r="G5751">
        <f>(Cpi_[[#This Row],[Value]]-F5750)/F5750</f>
        <v>3.2575757575757661E-2</v>
      </c>
      <c r="H5751" t="e" cm="1" vm="1">
        <f t="array" aca="1" ref="H5751" ca="1">VLOOKUP(Cpi_[[#This Row],[Year]:[Month]],crudeoil[],3,FALSE)</f>
        <v>#VALUE!</v>
      </c>
    </row>
    <row r="5752" spans="1:8" hidden="1" x14ac:dyDescent="0.3">
      <c r="A5752" t="s">
        <v>34</v>
      </c>
      <c r="B5752">
        <v>2018</v>
      </c>
      <c r="C5752" t="s">
        <v>45</v>
      </c>
      <c r="D5752" t="s">
        <v>29</v>
      </c>
      <c r="E5752" t="e" cm="1">
        <f t="array" aca="1" ref="E5752" ca="1">VLGeneral indexGeneral indexKUP(Cpi_[[#This Row],[Attribute]],#REF!,2,FALSE)</f>
        <v>#NAME?</v>
      </c>
      <c r="F5752">
        <v>140.80000000000001</v>
      </c>
      <c r="G5752">
        <f>(Cpi_[[#This Row],[Value]]-F5751)/F5751</f>
        <v>3.3015407190022009E-2</v>
      </c>
      <c r="H5752" t="e" cm="1" vm="1">
        <f t="array" aca="1" ref="H5752" ca="1">VLOOKUP(Cpi_[[#This Row],[Year]:[Month]],crudeoil[],3,FALSE)</f>
        <v>#VALUE!</v>
      </c>
    </row>
    <row r="5753" spans="1:8" hidden="1" x14ac:dyDescent="0.3">
      <c r="A5753" t="s">
        <v>30</v>
      </c>
      <c r="B5753">
        <v>2018</v>
      </c>
      <c r="C5753" t="s">
        <v>46</v>
      </c>
      <c r="D5753" t="s">
        <v>3</v>
      </c>
      <c r="E5753" t="e">
        <f>VLOOKUP(Cpi_[[#This Row],[Attribute]],#REF!,2,FALSE)</f>
        <v>#REF!</v>
      </c>
      <c r="F5753">
        <v>137.1</v>
      </c>
      <c r="G5753">
        <f>(Cpi_[[#This Row],[Value]]-F5752)/F5752</f>
        <v>-2.627840909090921E-2</v>
      </c>
      <c r="H5753" t="e" cm="1" vm="1">
        <f t="array" aca="1" ref="H5753" ca="1">VLOOKUP(Cpi_[[#This Row],[Year]:[Month]],crudeoil[],3,FALSE)</f>
        <v>#VALUE!</v>
      </c>
    </row>
    <row r="5754" spans="1:8" hidden="1" x14ac:dyDescent="0.3">
      <c r="A5754" t="s">
        <v>30</v>
      </c>
      <c r="B5754">
        <v>2018</v>
      </c>
      <c r="C5754" t="s">
        <v>46</v>
      </c>
      <c r="D5754" t="s">
        <v>4</v>
      </c>
      <c r="E5754" t="e">
        <f>VLOOKUP(Cpi_[[#This Row],[Attribute]],#REF!,2,FALSE)</f>
        <v>#REF!</v>
      </c>
      <c r="F5754">
        <v>151.9</v>
      </c>
      <c r="G5754">
        <f>(Cpi_[[#This Row],[Value]]-F5753)/F5753</f>
        <v>0.10795040116703145</v>
      </c>
      <c r="H5754" t="e" cm="1" vm="1">
        <f t="array" aca="1" ref="H5754" ca="1">VLOOKUP(Cpi_[[#This Row],[Year]:[Month]],crudeoil[],3,FALSE)</f>
        <v>#VALUE!</v>
      </c>
    </row>
    <row r="5755" spans="1:8" hidden="1" x14ac:dyDescent="0.3">
      <c r="A5755" t="s">
        <v>30</v>
      </c>
      <c r="B5755">
        <v>2018</v>
      </c>
      <c r="C5755" t="s">
        <v>46</v>
      </c>
      <c r="D5755" t="s">
        <v>5</v>
      </c>
      <c r="E5755" t="e">
        <f>VLOOKUP(Cpi_[[#This Row],[Attribute]],#REF!,2,FALSE)</f>
        <v>#REF!</v>
      </c>
      <c r="F5755">
        <v>137.4</v>
      </c>
      <c r="G5755">
        <f>(Cpi_[[#This Row],[Value]]-F5754)/F5754</f>
        <v>-9.5457537853851221E-2</v>
      </c>
      <c r="H5755" t="e" cm="1" vm="1">
        <f t="array" aca="1" ref="H5755" ca="1">VLOOKUP(Cpi_[[#This Row],[Year]:[Month]],crudeoil[],3,FALSE)</f>
        <v>#VALUE!</v>
      </c>
    </row>
    <row r="5756" spans="1:8" hidden="1" x14ac:dyDescent="0.3">
      <c r="A5756" t="s">
        <v>30</v>
      </c>
      <c r="B5756">
        <v>2018</v>
      </c>
      <c r="C5756" t="s">
        <v>46</v>
      </c>
      <c r="D5756" t="s">
        <v>6</v>
      </c>
      <c r="E5756" t="e">
        <f>VLOOKUP(Cpi_[[#This Row],[Attribute]],#REF!,2,FALSE)</f>
        <v>#REF!</v>
      </c>
      <c r="F5756">
        <v>142.4</v>
      </c>
      <c r="G5756">
        <f>(Cpi_[[#This Row],[Value]]-F5755)/F5755</f>
        <v>3.6390101892285295E-2</v>
      </c>
      <c r="H5756" t="e" cm="1" vm="1">
        <f t="array" aca="1" ref="H5756" ca="1">VLOOKUP(Cpi_[[#This Row],[Year]:[Month]],crudeoil[],3,FALSE)</f>
        <v>#VALUE!</v>
      </c>
    </row>
    <row r="5757" spans="1:8" hidden="1" x14ac:dyDescent="0.3">
      <c r="A5757" t="s">
        <v>30</v>
      </c>
      <c r="B5757">
        <v>2018</v>
      </c>
      <c r="C5757" t="s">
        <v>46</v>
      </c>
      <c r="D5757" t="s">
        <v>7</v>
      </c>
      <c r="E5757" t="e">
        <f>VLOOKUP(Cpi_[[#This Row],[Attribute]],#REF!,2,FALSE)</f>
        <v>#REF!</v>
      </c>
      <c r="F5757">
        <v>124.2</v>
      </c>
      <c r="G5757">
        <f>(Cpi_[[#This Row],[Value]]-F5756)/F5756</f>
        <v>-0.12780898876404495</v>
      </c>
      <c r="H5757" t="e" cm="1" vm="1">
        <f t="array" aca="1" ref="H5757" ca="1">VLOOKUP(Cpi_[[#This Row],[Year]:[Month]],crudeoil[],3,FALSE)</f>
        <v>#VALUE!</v>
      </c>
    </row>
    <row r="5758" spans="1:8" hidden="1" x14ac:dyDescent="0.3">
      <c r="A5758" t="s">
        <v>30</v>
      </c>
      <c r="B5758">
        <v>2018</v>
      </c>
      <c r="C5758" t="s">
        <v>46</v>
      </c>
      <c r="D5758" t="s">
        <v>8</v>
      </c>
      <c r="E5758" t="e">
        <f>VLOOKUP(Cpi_[[#This Row],[Attribute]],#REF!,2,FALSE)</f>
        <v>#REF!</v>
      </c>
      <c r="F5758">
        <v>140.19999999999999</v>
      </c>
      <c r="G5758">
        <f>(Cpi_[[#This Row],[Value]]-F5757)/F5757</f>
        <v>0.12882447665056349</v>
      </c>
      <c r="H5758" t="e" cm="1" vm="1">
        <f t="array" aca="1" ref="H5758" ca="1">VLOOKUP(Cpi_[[#This Row],[Year]:[Month]],crudeoil[],3,FALSE)</f>
        <v>#VALUE!</v>
      </c>
    </row>
    <row r="5759" spans="1:8" hidden="1" x14ac:dyDescent="0.3">
      <c r="A5759" t="s">
        <v>30</v>
      </c>
      <c r="B5759">
        <v>2018</v>
      </c>
      <c r="C5759" t="s">
        <v>46</v>
      </c>
      <c r="D5759" t="s">
        <v>9</v>
      </c>
      <c r="E5759" t="e">
        <f>VLOOKUP(Cpi_[[#This Row],[Attribute]],#REF!,2,FALSE)</f>
        <v>#REF!</v>
      </c>
      <c r="F5759">
        <v>136.6</v>
      </c>
      <c r="G5759">
        <f>(Cpi_[[#This Row],[Value]]-F5758)/F5758</f>
        <v>-2.5677603423680417E-2</v>
      </c>
      <c r="H5759" t="e" cm="1" vm="1">
        <f t="array" aca="1" ref="H5759" ca="1">VLOOKUP(Cpi_[[#This Row],[Year]:[Month]],crudeoil[],3,FALSE)</f>
        <v>#VALUE!</v>
      </c>
    </row>
    <row r="5760" spans="1:8" hidden="1" x14ac:dyDescent="0.3">
      <c r="A5760" t="s">
        <v>30</v>
      </c>
      <c r="B5760">
        <v>2018</v>
      </c>
      <c r="C5760" t="s">
        <v>46</v>
      </c>
      <c r="D5760" t="s">
        <v>10</v>
      </c>
      <c r="E5760" t="e">
        <f>VLOOKUP(Cpi_[[#This Row],[Attribute]],#REF!,2,FALSE)</f>
        <v>#REF!</v>
      </c>
      <c r="F5760">
        <v>120.9</v>
      </c>
      <c r="G5760">
        <f>(Cpi_[[#This Row],[Value]]-F5759)/F5759</f>
        <v>-0.1149341142020497</v>
      </c>
      <c r="H5760" t="e" cm="1" vm="1">
        <f t="array" aca="1" ref="H5760" ca="1">VLOOKUP(Cpi_[[#This Row],[Year]:[Month]],crudeoil[],3,FALSE)</f>
        <v>#VALUE!</v>
      </c>
    </row>
    <row r="5761" spans="1:8" hidden="1" x14ac:dyDescent="0.3">
      <c r="A5761" t="s">
        <v>30</v>
      </c>
      <c r="B5761">
        <v>2018</v>
      </c>
      <c r="C5761" t="s">
        <v>46</v>
      </c>
      <c r="D5761" t="s">
        <v>11</v>
      </c>
      <c r="E5761" t="e">
        <f>VLOOKUP(Cpi_[[#This Row],[Attribute]],#REF!,2,FALSE)</f>
        <v>#REF!</v>
      </c>
      <c r="F5761">
        <v>109.9</v>
      </c>
      <c r="G5761">
        <f>(Cpi_[[#This Row],[Value]]-F5760)/F5760</f>
        <v>-9.0984284532671628E-2</v>
      </c>
      <c r="H5761" t="e" cm="1" vm="1">
        <f t="array" aca="1" ref="H5761" ca="1">VLOOKUP(Cpi_[[#This Row],[Year]:[Month]],crudeoil[],3,FALSE)</f>
        <v>#VALUE!</v>
      </c>
    </row>
    <row r="5762" spans="1:8" hidden="1" x14ac:dyDescent="0.3">
      <c r="A5762" t="s">
        <v>30</v>
      </c>
      <c r="B5762">
        <v>2018</v>
      </c>
      <c r="C5762" t="s">
        <v>46</v>
      </c>
      <c r="D5762" t="s">
        <v>12</v>
      </c>
      <c r="E5762" t="e">
        <f>VLOOKUP(Cpi_[[#This Row],[Attribute]],#REF!,2,FALSE)</f>
        <v>#REF!</v>
      </c>
      <c r="F5762">
        <v>140.19999999999999</v>
      </c>
      <c r="G5762">
        <f>(Cpi_[[#This Row],[Value]]-F5761)/F5761</f>
        <v>0.27570518653321185</v>
      </c>
      <c r="H5762" t="e" cm="1" vm="1">
        <f t="array" aca="1" ref="H5762" ca="1">VLOOKUP(Cpi_[[#This Row],[Year]:[Month]],crudeoil[],3,FALSE)</f>
        <v>#VALUE!</v>
      </c>
    </row>
    <row r="5763" spans="1:8" hidden="1" x14ac:dyDescent="0.3">
      <c r="A5763" t="s">
        <v>30</v>
      </c>
      <c r="B5763">
        <v>2018</v>
      </c>
      <c r="C5763" t="s">
        <v>46</v>
      </c>
      <c r="D5763" t="s">
        <v>13</v>
      </c>
      <c r="E5763" t="e">
        <f>VLOOKUP(Cpi_[[#This Row],[Attribute]],#REF!,2,FALSE)</f>
        <v>#REF!</v>
      </c>
      <c r="F5763">
        <v>137.80000000000001</v>
      </c>
      <c r="G5763">
        <f>(Cpi_[[#This Row],[Value]]-F5762)/F5762</f>
        <v>-1.7118402282453479E-2</v>
      </c>
      <c r="H5763" t="e" cm="1" vm="1">
        <f t="array" aca="1" ref="H5763" ca="1">VLOOKUP(Cpi_[[#This Row],[Year]:[Month]],crudeoil[],3,FALSE)</f>
        <v>#VALUE!</v>
      </c>
    </row>
    <row r="5764" spans="1:8" hidden="1" x14ac:dyDescent="0.3">
      <c r="A5764" t="s">
        <v>30</v>
      </c>
      <c r="B5764">
        <v>2018</v>
      </c>
      <c r="C5764" t="s">
        <v>46</v>
      </c>
      <c r="D5764" t="s">
        <v>14</v>
      </c>
      <c r="E5764" t="e">
        <f>VLOOKUP(Cpi_[[#This Row],[Attribute]],#REF!,2,FALSE)</f>
        <v>#REF!</v>
      </c>
      <c r="F5764">
        <v>156</v>
      </c>
      <c r="G5764">
        <f>(Cpi_[[#This Row],[Value]]-F5763)/F5763</f>
        <v>0.13207547169811312</v>
      </c>
      <c r="H5764" t="e" cm="1" vm="1">
        <f t="array" aca="1" ref="H5764" ca="1">VLOOKUP(Cpi_[[#This Row],[Year]:[Month]],crudeoil[],3,FALSE)</f>
        <v>#VALUE!</v>
      </c>
    </row>
    <row r="5765" spans="1:8" hidden="1" x14ac:dyDescent="0.3">
      <c r="A5765" t="s">
        <v>30</v>
      </c>
      <c r="B5765">
        <v>2018</v>
      </c>
      <c r="C5765" t="s">
        <v>46</v>
      </c>
      <c r="D5765" t="s">
        <v>15</v>
      </c>
      <c r="E5765" t="e">
        <f>VLOOKUP(Cpi_[[#This Row],[Attribute]],#REF!,2,FALSE)</f>
        <v>#REF!</v>
      </c>
      <c r="F5765">
        <v>138.5</v>
      </c>
      <c r="G5765">
        <f>(Cpi_[[#This Row],[Value]]-F5764)/F5764</f>
        <v>-0.11217948717948718</v>
      </c>
      <c r="H5765" t="e" cm="1" vm="1">
        <f t="array" aca="1" ref="H5765" ca="1">VLOOKUP(Cpi_[[#This Row],[Year]:[Month]],crudeoil[],3,FALSE)</f>
        <v>#VALUE!</v>
      </c>
    </row>
    <row r="5766" spans="1:8" hidden="1" x14ac:dyDescent="0.3">
      <c r="A5766" t="s">
        <v>30</v>
      </c>
      <c r="B5766">
        <v>2018</v>
      </c>
      <c r="C5766" t="s">
        <v>46</v>
      </c>
      <c r="D5766" t="s">
        <v>16</v>
      </c>
      <c r="E5766" t="e">
        <f>VLOOKUP(Cpi_[[#This Row],[Attribute]],#REF!,2,FALSE)</f>
        <v>#REF!</v>
      </c>
      <c r="F5766">
        <v>162.4</v>
      </c>
      <c r="G5766">
        <f>(Cpi_[[#This Row],[Value]]-F5765)/F5765</f>
        <v>0.1725631768953069</v>
      </c>
      <c r="H5766" t="e" cm="1" vm="1">
        <f t="array" aca="1" ref="H5766" ca="1">VLOOKUP(Cpi_[[#This Row],[Year]:[Month]],crudeoil[],3,FALSE)</f>
        <v>#VALUE!</v>
      </c>
    </row>
    <row r="5767" spans="1:8" hidden="1" x14ac:dyDescent="0.3">
      <c r="A5767" t="s">
        <v>30</v>
      </c>
      <c r="B5767">
        <v>2018</v>
      </c>
      <c r="C5767" t="s">
        <v>46</v>
      </c>
      <c r="D5767" t="s">
        <v>17</v>
      </c>
      <c r="E5767" t="e">
        <f>VLOOKUP(Cpi_[[#This Row],[Attribute]],#REF!,2,FALSE)</f>
        <v>#REF!</v>
      </c>
      <c r="F5767">
        <v>151.6</v>
      </c>
      <c r="G5767">
        <f>(Cpi_[[#This Row],[Value]]-F5766)/F5766</f>
        <v>-6.6502463054187264E-2</v>
      </c>
      <c r="H5767" t="e" cm="1" vm="1">
        <f t="array" aca="1" ref="H5767" ca="1">VLOOKUP(Cpi_[[#This Row],[Year]:[Month]],crudeoil[],3,FALSE)</f>
        <v>#VALUE!</v>
      </c>
    </row>
    <row r="5768" spans="1:8" hidden="1" x14ac:dyDescent="0.3">
      <c r="A5768" t="s">
        <v>30</v>
      </c>
      <c r="B5768">
        <v>2018</v>
      </c>
      <c r="C5768" t="s">
        <v>46</v>
      </c>
      <c r="D5768" t="s">
        <v>18</v>
      </c>
      <c r="E5768" t="e">
        <f>VLOOKUP(Cpi_[[#This Row],[Attribute]],#REF!,2,FALSE)</f>
        <v>#REF!</v>
      </c>
      <c r="F5768">
        <v>145.9</v>
      </c>
      <c r="G5768">
        <f>(Cpi_[[#This Row],[Value]]-F5767)/F5767</f>
        <v>-3.759894459102895E-2</v>
      </c>
      <c r="H5768" t="e" cm="1" vm="1">
        <f t="array" aca="1" ref="H5768" ca="1">VLOOKUP(Cpi_[[#This Row],[Year]:[Month]],crudeoil[],3,FALSE)</f>
        <v>#VALUE!</v>
      </c>
    </row>
    <row r="5769" spans="1:8" hidden="1" x14ac:dyDescent="0.3">
      <c r="A5769" t="s">
        <v>30</v>
      </c>
      <c r="B5769">
        <v>2018</v>
      </c>
      <c r="C5769" t="s">
        <v>46</v>
      </c>
      <c r="D5769" t="s">
        <v>19</v>
      </c>
      <c r="E5769" t="e">
        <f>VLOOKUP(Cpi_[[#This Row],[Attribute]],#REF!,2,FALSE)</f>
        <v>#REF!</v>
      </c>
      <c r="F5769">
        <v>150.80000000000001</v>
      </c>
      <c r="G5769">
        <f>(Cpi_[[#This Row],[Value]]-F5768)/F5768</f>
        <v>3.3584647018505866E-2</v>
      </c>
      <c r="H5769" t="e" cm="1" vm="1">
        <f t="array" aca="1" ref="H5769" ca="1">VLOOKUP(Cpi_[[#This Row],[Year]:[Month]],crudeoil[],3,FALSE)</f>
        <v>#VALUE!</v>
      </c>
    </row>
    <row r="5770" spans="1:8" hidden="1" x14ac:dyDescent="0.3">
      <c r="A5770" t="s">
        <v>30</v>
      </c>
      <c r="B5770">
        <v>2018</v>
      </c>
      <c r="C5770" t="s">
        <v>46</v>
      </c>
      <c r="D5770" t="s">
        <v>20</v>
      </c>
      <c r="E5770" t="e">
        <f>VLOOKUP(Cpi_[[#This Row],[Attribute]],#REF!,2,FALSE)</f>
        <v>#REF!</v>
      </c>
      <c r="F5770" t="s">
        <v>32</v>
      </c>
      <c r="G5770" t="e">
        <f>(Cpi_[[#This Row],[Value]]-F5769)/F5769</f>
        <v>#VALUE!</v>
      </c>
      <c r="H5770" t="e" cm="1" vm="1">
        <f t="array" aca="1" ref="H5770" ca="1">VLOOKUP(Cpi_[[#This Row],[Year]:[Month]],crudeoil[],3,FALSE)</f>
        <v>#VALUE!</v>
      </c>
    </row>
    <row r="5771" spans="1:8" hidden="1" x14ac:dyDescent="0.3">
      <c r="A5771" t="s">
        <v>30</v>
      </c>
      <c r="B5771">
        <v>2018</v>
      </c>
      <c r="C5771" t="s">
        <v>46</v>
      </c>
      <c r="D5771" t="s">
        <v>21</v>
      </c>
      <c r="E5771" t="e">
        <f>VLOOKUP(Cpi_[[#This Row],[Attribute]],#REF!,2,FALSE)</f>
        <v>#REF!</v>
      </c>
      <c r="F5771">
        <v>149</v>
      </c>
      <c r="G5771" t="e">
        <f>(Cpi_[[#This Row],[Value]]-F5770)/F5770</f>
        <v>#VALUE!</v>
      </c>
      <c r="H5771" t="e" cm="1" vm="1">
        <f t="array" aca="1" ref="H5771" ca="1">VLOOKUP(Cpi_[[#This Row],[Year]:[Month]],crudeoil[],3,FALSE)</f>
        <v>#VALUE!</v>
      </c>
    </row>
    <row r="5772" spans="1:8" hidden="1" x14ac:dyDescent="0.3">
      <c r="A5772" t="s">
        <v>30</v>
      </c>
      <c r="B5772">
        <v>2018</v>
      </c>
      <c r="C5772" t="s">
        <v>46</v>
      </c>
      <c r="D5772" t="s">
        <v>22</v>
      </c>
      <c r="E5772" t="e">
        <f>VLOOKUP(Cpi_[[#This Row],[Attribute]],#REF!,2,FALSE)</f>
        <v>#REF!</v>
      </c>
      <c r="F5772">
        <v>149.5</v>
      </c>
      <c r="G5772">
        <f>(Cpi_[[#This Row],[Value]]-F5771)/F5771</f>
        <v>3.3557046979865771E-3</v>
      </c>
      <c r="H5772" t="e" cm="1" vm="1">
        <f t="array" aca="1" ref="H5772" ca="1">VLOOKUP(Cpi_[[#This Row],[Year]:[Month]],crudeoil[],3,FALSE)</f>
        <v>#VALUE!</v>
      </c>
    </row>
    <row r="5773" spans="1:8" hidden="1" x14ac:dyDescent="0.3">
      <c r="A5773" t="s">
        <v>30</v>
      </c>
      <c r="B5773">
        <v>2018</v>
      </c>
      <c r="C5773" t="s">
        <v>46</v>
      </c>
      <c r="D5773" t="s">
        <v>23</v>
      </c>
      <c r="E5773" t="e">
        <f>VLOOKUP(Cpi_[[#This Row],[Attribute]],#REF!,2,FALSE)</f>
        <v>#REF!</v>
      </c>
      <c r="F5773">
        <v>149.6</v>
      </c>
      <c r="G5773">
        <f>(Cpi_[[#This Row],[Value]]-F5772)/F5772</f>
        <v>6.6889632107019613E-4</v>
      </c>
      <c r="H5773" t="e" cm="1" vm="1">
        <f t="array" aca="1" ref="H5773" ca="1">VLOOKUP(Cpi_[[#This Row],[Year]:[Month]],crudeoil[],3,FALSE)</f>
        <v>#VALUE!</v>
      </c>
    </row>
    <row r="5774" spans="1:8" hidden="1" x14ac:dyDescent="0.3">
      <c r="A5774" t="s">
        <v>30</v>
      </c>
      <c r="B5774">
        <v>2018</v>
      </c>
      <c r="C5774" t="s">
        <v>46</v>
      </c>
      <c r="D5774" t="s">
        <v>24</v>
      </c>
      <c r="E5774" t="e">
        <f>VLOOKUP(Cpi_[[#This Row],[Attribute]],#REF!,2,FALSE)</f>
        <v>#REF!</v>
      </c>
      <c r="F5774">
        <v>128.9</v>
      </c>
      <c r="G5774">
        <f>(Cpi_[[#This Row],[Value]]-F5773)/F5773</f>
        <v>-0.13836898395721919</v>
      </c>
      <c r="H5774" t="e" cm="1" vm="1">
        <f t="array" aca="1" ref="H5774" ca="1">VLOOKUP(Cpi_[[#This Row],[Year]:[Month]],crudeoil[],3,FALSE)</f>
        <v>#VALUE!</v>
      </c>
    </row>
    <row r="5775" spans="1:8" hidden="1" x14ac:dyDescent="0.3">
      <c r="A5775" t="s">
        <v>30</v>
      </c>
      <c r="B5775">
        <v>2018</v>
      </c>
      <c r="C5775" t="s">
        <v>46</v>
      </c>
      <c r="D5775" t="s">
        <v>25</v>
      </c>
      <c r="E5775" t="e">
        <f>VLOOKUP(Cpi_[[#This Row],[Attribute]],#REF!,2,FALSE)</f>
        <v>#REF!</v>
      </c>
      <c r="F5775">
        <v>143.30000000000001</v>
      </c>
      <c r="G5775">
        <f>(Cpi_[[#This Row],[Value]]-F5774)/F5774</f>
        <v>0.11171450737005434</v>
      </c>
      <c r="H5775" t="e" cm="1" vm="1">
        <f t="array" aca="1" ref="H5775" ca="1">VLOOKUP(Cpi_[[#This Row],[Year]:[Month]],crudeoil[],3,FALSE)</f>
        <v>#VALUE!</v>
      </c>
    </row>
    <row r="5776" spans="1:8" hidden="1" x14ac:dyDescent="0.3">
      <c r="A5776" t="s">
        <v>30</v>
      </c>
      <c r="B5776">
        <v>2018</v>
      </c>
      <c r="C5776" t="s">
        <v>46</v>
      </c>
      <c r="D5776" t="s">
        <v>26</v>
      </c>
      <c r="E5776" t="e">
        <f>VLOOKUP(Cpi_[[#This Row],[Attribute]],#REF!,2,FALSE)</f>
        <v>#REF!</v>
      </c>
      <c r="F5776">
        <v>155.1</v>
      </c>
      <c r="G5776">
        <f>(Cpi_[[#This Row],[Value]]-F5775)/F5775</f>
        <v>8.2344731332867988E-2</v>
      </c>
      <c r="H5776" t="e" cm="1" vm="1">
        <f t="array" aca="1" ref="H5776" ca="1">VLOOKUP(Cpi_[[#This Row],[Year]:[Month]],crudeoil[],3,FALSE)</f>
        <v>#VALUE!</v>
      </c>
    </row>
    <row r="5777" spans="1:8" hidden="1" x14ac:dyDescent="0.3">
      <c r="A5777" t="s">
        <v>30</v>
      </c>
      <c r="B5777">
        <v>2018</v>
      </c>
      <c r="C5777" t="s">
        <v>46</v>
      </c>
      <c r="D5777" t="s">
        <v>27</v>
      </c>
      <c r="E5777" t="e">
        <f>VLOOKUP(Cpi_[[#This Row],[Attribute]],#REF!,2,FALSE)</f>
        <v>#REF!</v>
      </c>
      <c r="F5777">
        <v>133.19999999999999</v>
      </c>
      <c r="G5777">
        <f>(Cpi_[[#This Row],[Value]]-F5776)/F5776</f>
        <v>-0.14119922630560933</v>
      </c>
      <c r="H5777" t="e" cm="1" vm="1">
        <f t="array" aca="1" ref="H5777" ca="1">VLOOKUP(Cpi_[[#This Row],[Year]:[Month]],crudeoil[],3,FALSE)</f>
        <v>#VALUE!</v>
      </c>
    </row>
    <row r="5778" spans="1:8" hidden="1" x14ac:dyDescent="0.3">
      <c r="A5778" t="s">
        <v>30</v>
      </c>
      <c r="B5778">
        <v>2018</v>
      </c>
      <c r="C5778" t="s">
        <v>46</v>
      </c>
      <c r="D5778" t="s">
        <v>28</v>
      </c>
      <c r="E5778" t="e">
        <f>VLOOKUP(Cpi_[[#This Row],[Attribute]],#REF!,2,FALSE)</f>
        <v>#REF!</v>
      </c>
      <c r="F5778">
        <v>141.6</v>
      </c>
      <c r="G5778">
        <f>(Cpi_[[#This Row],[Value]]-F5777)/F5777</f>
        <v>6.3063063063063113E-2</v>
      </c>
      <c r="H5778" t="e" cm="1" vm="1">
        <f t="array" aca="1" ref="H5778" ca="1">VLOOKUP(Cpi_[[#This Row],[Year]:[Month]],crudeoil[],3,FALSE)</f>
        <v>#VALUE!</v>
      </c>
    </row>
    <row r="5779" spans="1:8" hidden="1" x14ac:dyDescent="0.3">
      <c r="A5779" t="s">
        <v>30</v>
      </c>
      <c r="B5779">
        <v>2018</v>
      </c>
      <c r="C5779" t="s">
        <v>46</v>
      </c>
      <c r="D5779" t="s">
        <v>29</v>
      </c>
      <c r="E5779" t="e" cm="1">
        <f t="array" aca="1" ref="E5779" ca="1">VLGeneral indexGeneral indexKUP(Cpi_[[#This Row],[Attribute]],#REF!,2,FALSE)</f>
        <v>#NAME?</v>
      </c>
      <c r="F5779">
        <v>141.9</v>
      </c>
      <c r="G5779">
        <f>(Cpi_[[#This Row],[Value]]-F5778)/F5778</f>
        <v>2.1186440677966904E-3</v>
      </c>
      <c r="H5779" t="e" cm="1" vm="1">
        <f t="array" aca="1" ref="H5779" ca="1">VLOOKUP(Cpi_[[#This Row],[Year]:[Month]],crudeoil[],3,FALSE)</f>
        <v>#VALUE!</v>
      </c>
    </row>
    <row r="5780" spans="1:8" hidden="1" x14ac:dyDescent="0.3">
      <c r="A5780" t="s">
        <v>33</v>
      </c>
      <c r="B5780">
        <v>2018</v>
      </c>
      <c r="C5780" t="s">
        <v>46</v>
      </c>
      <c r="D5780" t="s">
        <v>3</v>
      </c>
      <c r="E5780" t="e">
        <f>VLOOKUP(Cpi_[[#This Row],[Attribute]],#REF!,2,FALSE)</f>
        <v>#REF!</v>
      </c>
      <c r="F5780">
        <v>138.5</v>
      </c>
      <c r="G5780">
        <f>(Cpi_[[#This Row],[Value]]-F5779)/F5779</f>
        <v>-2.3960535588442605E-2</v>
      </c>
      <c r="H5780" t="e" cm="1" vm="1">
        <f t="array" aca="1" ref="H5780" ca="1">VLOOKUP(Cpi_[[#This Row],[Year]:[Month]],crudeoil[],3,FALSE)</f>
        <v>#VALUE!</v>
      </c>
    </row>
    <row r="5781" spans="1:8" hidden="1" x14ac:dyDescent="0.3">
      <c r="A5781" t="s">
        <v>33</v>
      </c>
      <c r="B5781">
        <v>2018</v>
      </c>
      <c r="C5781" t="s">
        <v>46</v>
      </c>
      <c r="D5781" t="s">
        <v>4</v>
      </c>
      <c r="E5781" t="e">
        <f>VLOOKUP(Cpi_[[#This Row],[Attribute]],#REF!,2,FALSE)</f>
        <v>#REF!</v>
      </c>
      <c r="F5781">
        <v>147.80000000000001</v>
      </c>
      <c r="G5781">
        <f>(Cpi_[[#This Row],[Value]]-F5780)/F5780</f>
        <v>6.7148014440433293E-2</v>
      </c>
      <c r="H5781" t="e" cm="1" vm="1">
        <f t="array" aca="1" ref="H5781" ca="1">VLOOKUP(Cpi_[[#This Row],[Year]:[Month]],crudeoil[],3,FALSE)</f>
        <v>#VALUE!</v>
      </c>
    </row>
    <row r="5782" spans="1:8" hidden="1" x14ac:dyDescent="0.3">
      <c r="A5782" t="s">
        <v>33</v>
      </c>
      <c r="B5782">
        <v>2018</v>
      </c>
      <c r="C5782" t="s">
        <v>46</v>
      </c>
      <c r="D5782" t="s">
        <v>5</v>
      </c>
      <c r="E5782" t="e">
        <f>VLOOKUP(Cpi_[[#This Row],[Attribute]],#REF!,2,FALSE)</f>
        <v>#REF!</v>
      </c>
      <c r="F5782">
        <v>141.1</v>
      </c>
      <c r="G5782">
        <f>(Cpi_[[#This Row],[Value]]-F5781)/F5781</f>
        <v>-4.533152909336953E-2</v>
      </c>
      <c r="H5782" t="e" cm="1" vm="1">
        <f t="array" aca="1" ref="H5782" ca="1">VLOOKUP(Cpi_[[#This Row],[Year]:[Month]],crudeoil[],3,FALSE)</f>
        <v>#VALUE!</v>
      </c>
    </row>
    <row r="5783" spans="1:8" hidden="1" x14ac:dyDescent="0.3">
      <c r="A5783" t="s">
        <v>33</v>
      </c>
      <c r="B5783">
        <v>2018</v>
      </c>
      <c r="C5783" t="s">
        <v>46</v>
      </c>
      <c r="D5783" t="s">
        <v>6</v>
      </c>
      <c r="E5783" t="e">
        <f>VLOOKUP(Cpi_[[#This Row],[Attribute]],#REF!,2,FALSE)</f>
        <v>#REF!</v>
      </c>
      <c r="F5783">
        <v>141.6</v>
      </c>
      <c r="G5783">
        <f>(Cpi_[[#This Row],[Value]]-F5782)/F5782</f>
        <v>3.5435861091424525E-3</v>
      </c>
      <c r="H5783" t="e" cm="1" vm="1">
        <f t="array" aca="1" ref="H5783" ca="1">VLOOKUP(Cpi_[[#This Row],[Year]:[Month]],crudeoil[],3,FALSE)</f>
        <v>#VALUE!</v>
      </c>
    </row>
    <row r="5784" spans="1:8" hidden="1" x14ac:dyDescent="0.3">
      <c r="A5784" t="s">
        <v>33</v>
      </c>
      <c r="B5784">
        <v>2018</v>
      </c>
      <c r="C5784" t="s">
        <v>46</v>
      </c>
      <c r="D5784" t="s">
        <v>7</v>
      </c>
      <c r="E5784" t="e">
        <f>VLOOKUP(Cpi_[[#This Row],[Attribute]],#REF!,2,FALSE)</f>
        <v>#REF!</v>
      </c>
      <c r="F5784">
        <v>118.1</v>
      </c>
      <c r="G5784">
        <f>(Cpi_[[#This Row],[Value]]-F5783)/F5783</f>
        <v>-0.16596045197740114</v>
      </c>
      <c r="H5784" t="e" cm="1" vm="1">
        <f t="array" aca="1" ref="H5784" ca="1">VLOOKUP(Cpi_[[#This Row],[Year]:[Month]],crudeoil[],3,FALSE)</f>
        <v>#VALUE!</v>
      </c>
    </row>
    <row r="5785" spans="1:8" hidden="1" x14ac:dyDescent="0.3">
      <c r="A5785" t="s">
        <v>33</v>
      </c>
      <c r="B5785">
        <v>2018</v>
      </c>
      <c r="C5785" t="s">
        <v>46</v>
      </c>
      <c r="D5785" t="s">
        <v>8</v>
      </c>
      <c r="E5785" t="e">
        <f>VLOOKUP(Cpi_[[#This Row],[Attribute]],#REF!,2,FALSE)</f>
        <v>#REF!</v>
      </c>
      <c r="F5785">
        <v>138.5</v>
      </c>
      <c r="G5785">
        <f>(Cpi_[[#This Row],[Value]]-F5784)/F5784</f>
        <v>0.17273497036409827</v>
      </c>
      <c r="H5785" t="e" cm="1" vm="1">
        <f t="array" aca="1" ref="H5785" ca="1">VLOOKUP(Cpi_[[#This Row],[Year]:[Month]],crudeoil[],3,FALSE)</f>
        <v>#VALUE!</v>
      </c>
    </row>
    <row r="5786" spans="1:8" hidden="1" x14ac:dyDescent="0.3">
      <c r="A5786" t="s">
        <v>33</v>
      </c>
      <c r="B5786">
        <v>2018</v>
      </c>
      <c r="C5786" t="s">
        <v>46</v>
      </c>
      <c r="D5786" t="s">
        <v>9</v>
      </c>
      <c r="E5786" t="e">
        <f>VLOOKUP(Cpi_[[#This Row],[Attribute]],#REF!,2,FALSE)</f>
        <v>#REF!</v>
      </c>
      <c r="F5786">
        <v>132.4</v>
      </c>
      <c r="G5786">
        <f>(Cpi_[[#This Row],[Value]]-F5785)/F5785</f>
        <v>-4.4043321299638949E-2</v>
      </c>
      <c r="H5786" t="e" cm="1" vm="1">
        <f t="array" aca="1" ref="H5786" ca="1">VLOOKUP(Cpi_[[#This Row],[Year]:[Month]],crudeoil[],3,FALSE)</f>
        <v>#VALUE!</v>
      </c>
    </row>
    <row r="5787" spans="1:8" hidden="1" x14ac:dyDescent="0.3">
      <c r="A5787" t="s">
        <v>33</v>
      </c>
      <c r="B5787">
        <v>2018</v>
      </c>
      <c r="C5787" t="s">
        <v>46</v>
      </c>
      <c r="D5787" t="s">
        <v>10</v>
      </c>
      <c r="E5787" t="e">
        <f>VLOOKUP(Cpi_[[#This Row],[Attribute]],#REF!,2,FALSE)</f>
        <v>#REF!</v>
      </c>
      <c r="F5787">
        <v>117.5</v>
      </c>
      <c r="G5787">
        <f>(Cpi_[[#This Row],[Value]]-F5786)/F5786</f>
        <v>-0.11253776435045321</v>
      </c>
      <c r="H5787" t="e" cm="1" vm="1">
        <f t="array" aca="1" ref="H5787" ca="1">VLOOKUP(Cpi_[[#This Row],[Year]:[Month]],crudeoil[],3,FALSE)</f>
        <v>#VALUE!</v>
      </c>
    </row>
    <row r="5788" spans="1:8" hidden="1" x14ac:dyDescent="0.3">
      <c r="A5788" t="s">
        <v>33</v>
      </c>
      <c r="B5788">
        <v>2018</v>
      </c>
      <c r="C5788" t="s">
        <v>46</v>
      </c>
      <c r="D5788" t="s">
        <v>11</v>
      </c>
      <c r="E5788" t="e">
        <f>VLOOKUP(Cpi_[[#This Row],[Attribute]],#REF!,2,FALSE)</f>
        <v>#REF!</v>
      </c>
      <c r="F5788">
        <v>111</v>
      </c>
      <c r="G5788">
        <f>(Cpi_[[#This Row],[Value]]-F5787)/F5787</f>
        <v>-5.5319148936170209E-2</v>
      </c>
      <c r="H5788" t="e" cm="1" vm="1">
        <f t="array" aca="1" ref="H5788" ca="1">VLOOKUP(Cpi_[[#This Row],[Year]:[Month]],crudeoil[],3,FALSE)</f>
        <v>#VALUE!</v>
      </c>
    </row>
    <row r="5789" spans="1:8" hidden="1" x14ac:dyDescent="0.3">
      <c r="A5789" t="s">
        <v>33</v>
      </c>
      <c r="B5789">
        <v>2018</v>
      </c>
      <c r="C5789" t="s">
        <v>46</v>
      </c>
      <c r="D5789" t="s">
        <v>12</v>
      </c>
      <c r="E5789" t="e">
        <f>VLOOKUP(Cpi_[[#This Row],[Attribute]],#REF!,2,FALSE)</f>
        <v>#REF!</v>
      </c>
      <c r="F5789">
        <v>141.5</v>
      </c>
      <c r="G5789">
        <f>(Cpi_[[#This Row],[Value]]-F5788)/F5788</f>
        <v>0.2747747747747748</v>
      </c>
      <c r="H5789" t="e" cm="1" vm="1">
        <f t="array" aca="1" ref="H5789" ca="1">VLOOKUP(Cpi_[[#This Row],[Year]:[Month]],crudeoil[],3,FALSE)</f>
        <v>#VALUE!</v>
      </c>
    </row>
    <row r="5790" spans="1:8" hidden="1" x14ac:dyDescent="0.3">
      <c r="A5790" t="s">
        <v>33</v>
      </c>
      <c r="B5790">
        <v>2018</v>
      </c>
      <c r="C5790" t="s">
        <v>46</v>
      </c>
      <c r="D5790" t="s">
        <v>13</v>
      </c>
      <c r="E5790" t="e">
        <f>VLOOKUP(Cpi_[[#This Row],[Attribute]],#REF!,2,FALSE)</f>
        <v>#REF!</v>
      </c>
      <c r="F5790">
        <v>128.1</v>
      </c>
      <c r="G5790">
        <f>(Cpi_[[#This Row],[Value]]-F5789)/F5789</f>
        <v>-9.4699646643109578E-2</v>
      </c>
      <c r="H5790" t="e" cm="1" vm="1">
        <f t="array" aca="1" ref="H5790" ca="1">VLOOKUP(Cpi_[[#This Row],[Year]:[Month]],crudeoil[],3,FALSE)</f>
        <v>#VALUE!</v>
      </c>
    </row>
    <row r="5791" spans="1:8" hidden="1" x14ac:dyDescent="0.3">
      <c r="A5791" t="s">
        <v>33</v>
      </c>
      <c r="B5791">
        <v>2018</v>
      </c>
      <c r="C5791" t="s">
        <v>46</v>
      </c>
      <c r="D5791" t="s">
        <v>14</v>
      </c>
      <c r="E5791" t="e">
        <f>VLOOKUP(Cpi_[[#This Row],[Attribute]],#REF!,2,FALSE)</f>
        <v>#REF!</v>
      </c>
      <c r="F5791">
        <v>152.9</v>
      </c>
      <c r="G5791">
        <f>(Cpi_[[#This Row],[Value]]-F5790)/F5790</f>
        <v>0.19359875097580026</v>
      </c>
      <c r="H5791" t="e" cm="1" vm="1">
        <f t="array" aca="1" ref="H5791" ca="1">VLOOKUP(Cpi_[[#This Row],[Year]:[Month]],crudeoil[],3,FALSE)</f>
        <v>#VALUE!</v>
      </c>
    </row>
    <row r="5792" spans="1:8" hidden="1" x14ac:dyDescent="0.3">
      <c r="A5792" t="s">
        <v>33</v>
      </c>
      <c r="B5792">
        <v>2018</v>
      </c>
      <c r="C5792" t="s">
        <v>46</v>
      </c>
      <c r="D5792" t="s">
        <v>15</v>
      </c>
      <c r="E5792" t="e">
        <f>VLOOKUP(Cpi_[[#This Row],[Attribute]],#REF!,2,FALSE)</f>
        <v>#REF!</v>
      </c>
      <c r="F5792">
        <v>137.6</v>
      </c>
      <c r="G5792">
        <f>(Cpi_[[#This Row],[Value]]-F5791)/F5791</f>
        <v>-0.10006540222367567</v>
      </c>
      <c r="H5792" t="e" cm="1" vm="1">
        <f t="array" aca="1" ref="H5792" ca="1">VLOOKUP(Cpi_[[#This Row],[Year]:[Month]],crudeoil[],3,FALSE)</f>
        <v>#VALUE!</v>
      </c>
    </row>
    <row r="5793" spans="1:8" hidden="1" x14ac:dyDescent="0.3">
      <c r="A5793" t="s">
        <v>33</v>
      </c>
      <c r="B5793">
        <v>2018</v>
      </c>
      <c r="C5793" t="s">
        <v>46</v>
      </c>
      <c r="D5793" t="s">
        <v>16</v>
      </c>
      <c r="E5793" t="e">
        <f>VLOOKUP(Cpi_[[#This Row],[Attribute]],#REF!,2,FALSE)</f>
        <v>#REF!</v>
      </c>
      <c r="F5793">
        <v>164.6</v>
      </c>
      <c r="G5793">
        <f>(Cpi_[[#This Row],[Value]]-F5792)/F5792</f>
        <v>0.19622093023255816</v>
      </c>
      <c r="H5793" t="e" cm="1" vm="1">
        <f t="array" aca="1" ref="H5793" ca="1">VLOOKUP(Cpi_[[#This Row],[Year]:[Month]],crudeoil[],3,FALSE)</f>
        <v>#VALUE!</v>
      </c>
    </row>
    <row r="5794" spans="1:8" hidden="1" x14ac:dyDescent="0.3">
      <c r="A5794" t="s">
        <v>33</v>
      </c>
      <c r="B5794">
        <v>2018</v>
      </c>
      <c r="C5794" t="s">
        <v>46</v>
      </c>
      <c r="D5794" t="s">
        <v>17</v>
      </c>
      <c r="E5794" t="e">
        <f>VLOOKUP(Cpi_[[#This Row],[Attribute]],#REF!,2,FALSE)</f>
        <v>#REF!</v>
      </c>
      <c r="F5794">
        <v>142.69999999999999</v>
      </c>
      <c r="G5794">
        <f>(Cpi_[[#This Row],[Value]]-F5793)/F5793</f>
        <v>-0.13304981773997573</v>
      </c>
      <c r="H5794" t="e" cm="1" vm="1">
        <f t="array" aca="1" ref="H5794" ca="1">VLOOKUP(Cpi_[[#This Row],[Year]:[Month]],crudeoil[],3,FALSE)</f>
        <v>#VALUE!</v>
      </c>
    </row>
    <row r="5795" spans="1:8" hidden="1" x14ac:dyDescent="0.3">
      <c r="A5795" t="s">
        <v>33</v>
      </c>
      <c r="B5795">
        <v>2018</v>
      </c>
      <c r="C5795" t="s">
        <v>46</v>
      </c>
      <c r="D5795" t="s">
        <v>18</v>
      </c>
      <c r="E5795" t="e">
        <f>VLOOKUP(Cpi_[[#This Row],[Attribute]],#REF!,2,FALSE)</f>
        <v>#REF!</v>
      </c>
      <c r="F5795">
        <v>130.30000000000001</v>
      </c>
      <c r="G5795">
        <f>(Cpi_[[#This Row],[Value]]-F5794)/F5794</f>
        <v>-8.6895585143657875E-2</v>
      </c>
      <c r="H5795" t="e" cm="1" vm="1">
        <f t="array" aca="1" ref="H5795" ca="1">VLOOKUP(Cpi_[[#This Row],[Year]:[Month]],crudeoil[],3,FALSE)</f>
        <v>#VALUE!</v>
      </c>
    </row>
    <row r="5796" spans="1:8" hidden="1" x14ac:dyDescent="0.3">
      <c r="A5796" t="s">
        <v>33</v>
      </c>
      <c r="B5796">
        <v>2018</v>
      </c>
      <c r="C5796" t="s">
        <v>46</v>
      </c>
      <c r="D5796" t="s">
        <v>19</v>
      </c>
      <c r="E5796" t="e">
        <f>VLOOKUP(Cpi_[[#This Row],[Attribute]],#REF!,2,FALSE)</f>
        <v>#REF!</v>
      </c>
      <c r="F5796">
        <v>140.80000000000001</v>
      </c>
      <c r="G5796">
        <f>(Cpi_[[#This Row],[Value]]-F5795)/F5795</f>
        <v>8.0583269378357636E-2</v>
      </c>
      <c r="H5796" t="e" cm="1" vm="1">
        <f t="array" aca="1" ref="H5796" ca="1">VLOOKUP(Cpi_[[#This Row],[Year]:[Month]],crudeoil[],3,FALSE)</f>
        <v>#VALUE!</v>
      </c>
    </row>
    <row r="5797" spans="1:8" hidden="1" x14ac:dyDescent="0.3">
      <c r="A5797" t="s">
        <v>33</v>
      </c>
      <c r="B5797">
        <v>2018</v>
      </c>
      <c r="C5797" t="s">
        <v>46</v>
      </c>
      <c r="D5797" t="s">
        <v>20</v>
      </c>
      <c r="E5797" t="e">
        <f>VLOOKUP(Cpi_[[#This Row],[Attribute]],#REF!,2,FALSE)</f>
        <v>#REF!</v>
      </c>
      <c r="F5797">
        <v>146.5</v>
      </c>
      <c r="G5797">
        <f>(Cpi_[[#This Row],[Value]]-F5796)/F5796</f>
        <v>4.0482954545454461E-2</v>
      </c>
      <c r="H5797" t="e" cm="1" vm="1">
        <f t="array" aca="1" ref="H5797" ca="1">VLOOKUP(Cpi_[[#This Row],[Year]:[Month]],crudeoil[],3,FALSE)</f>
        <v>#VALUE!</v>
      </c>
    </row>
    <row r="5798" spans="1:8" hidden="1" x14ac:dyDescent="0.3">
      <c r="A5798" t="s">
        <v>33</v>
      </c>
      <c r="B5798">
        <v>2018</v>
      </c>
      <c r="C5798" t="s">
        <v>46</v>
      </c>
      <c r="D5798" t="s">
        <v>21</v>
      </c>
      <c r="E5798" t="e">
        <f>VLOOKUP(Cpi_[[#This Row],[Attribute]],#REF!,2,FALSE)</f>
        <v>#REF!</v>
      </c>
      <c r="F5798">
        <v>132.4</v>
      </c>
      <c r="G5798">
        <f>(Cpi_[[#This Row],[Value]]-F5797)/F5797</f>
        <v>-9.6245733788395862E-2</v>
      </c>
      <c r="H5798" t="e" cm="1" vm="1">
        <f t="array" aca="1" ref="H5798" ca="1">VLOOKUP(Cpi_[[#This Row],[Year]:[Month]],crudeoil[],3,FALSE)</f>
        <v>#VALUE!</v>
      </c>
    </row>
    <row r="5799" spans="1:8" hidden="1" x14ac:dyDescent="0.3">
      <c r="A5799" t="s">
        <v>33</v>
      </c>
      <c r="B5799">
        <v>2018</v>
      </c>
      <c r="C5799" t="s">
        <v>46</v>
      </c>
      <c r="D5799" t="s">
        <v>22</v>
      </c>
      <c r="E5799" t="e">
        <f>VLOOKUP(Cpi_[[#This Row],[Attribute]],#REF!,2,FALSE)</f>
        <v>#REF!</v>
      </c>
      <c r="F5799">
        <v>136.19999999999999</v>
      </c>
      <c r="G5799">
        <f>(Cpi_[[#This Row],[Value]]-F5798)/F5798</f>
        <v>2.8700906344410745E-2</v>
      </c>
      <c r="H5799" t="e" cm="1" vm="1">
        <f t="array" aca="1" ref="H5799" ca="1">VLOOKUP(Cpi_[[#This Row],[Year]:[Month]],crudeoil[],3,FALSE)</f>
        <v>#VALUE!</v>
      </c>
    </row>
    <row r="5800" spans="1:8" hidden="1" x14ac:dyDescent="0.3">
      <c r="A5800" t="s">
        <v>33</v>
      </c>
      <c r="B5800">
        <v>2018</v>
      </c>
      <c r="C5800" t="s">
        <v>46</v>
      </c>
      <c r="D5800" t="s">
        <v>23</v>
      </c>
      <c r="E5800" t="e">
        <f>VLOOKUP(Cpi_[[#This Row],[Attribute]],#REF!,2,FALSE)</f>
        <v>#REF!</v>
      </c>
      <c r="F5800">
        <v>137.30000000000001</v>
      </c>
      <c r="G5800">
        <f>(Cpi_[[#This Row],[Value]]-F5799)/F5799</f>
        <v>8.0763582966227807E-3</v>
      </c>
      <c r="H5800" t="e" cm="1" vm="1">
        <f t="array" aca="1" ref="H5800" ca="1">VLOOKUP(Cpi_[[#This Row],[Year]:[Month]],crudeoil[],3,FALSE)</f>
        <v>#VALUE!</v>
      </c>
    </row>
    <row r="5801" spans="1:8" hidden="1" x14ac:dyDescent="0.3">
      <c r="A5801" t="s">
        <v>33</v>
      </c>
      <c r="B5801">
        <v>2018</v>
      </c>
      <c r="C5801" t="s">
        <v>46</v>
      </c>
      <c r="D5801" t="s">
        <v>24</v>
      </c>
      <c r="E5801" t="e">
        <f>VLOOKUP(Cpi_[[#This Row],[Attribute]],#REF!,2,FALSE)</f>
        <v>#REF!</v>
      </c>
      <c r="F5801">
        <v>118.8</v>
      </c>
      <c r="G5801">
        <f>(Cpi_[[#This Row],[Value]]-F5800)/F5800</f>
        <v>-0.13474144209759659</v>
      </c>
      <c r="H5801" t="e" cm="1" vm="1">
        <f t="array" aca="1" ref="H5801" ca="1">VLOOKUP(Cpi_[[#This Row],[Year]:[Month]],crudeoil[],3,FALSE)</f>
        <v>#VALUE!</v>
      </c>
    </row>
    <row r="5802" spans="1:8" hidden="1" x14ac:dyDescent="0.3">
      <c r="A5802" t="s">
        <v>33</v>
      </c>
      <c r="B5802">
        <v>2018</v>
      </c>
      <c r="C5802" t="s">
        <v>46</v>
      </c>
      <c r="D5802" t="s">
        <v>25</v>
      </c>
      <c r="E5802" t="e">
        <f>VLOOKUP(Cpi_[[#This Row],[Attribute]],#REF!,2,FALSE)</f>
        <v>#REF!</v>
      </c>
      <c r="F5802">
        <v>131.69999999999999</v>
      </c>
      <c r="G5802">
        <f>(Cpi_[[#This Row],[Value]]-F5801)/F5801</f>
        <v>0.10858585858585852</v>
      </c>
      <c r="H5802" t="e" cm="1" vm="1">
        <f t="array" aca="1" ref="H5802" ca="1">VLOOKUP(Cpi_[[#This Row],[Year]:[Month]],crudeoil[],3,FALSE)</f>
        <v>#VALUE!</v>
      </c>
    </row>
    <row r="5803" spans="1:8" hidden="1" x14ac:dyDescent="0.3">
      <c r="A5803" t="s">
        <v>33</v>
      </c>
      <c r="B5803">
        <v>2018</v>
      </c>
      <c r="C5803" t="s">
        <v>46</v>
      </c>
      <c r="D5803" t="s">
        <v>26</v>
      </c>
      <c r="E5803" t="e">
        <f>VLOOKUP(Cpi_[[#This Row],[Attribute]],#REF!,2,FALSE)</f>
        <v>#REF!</v>
      </c>
      <c r="F5803">
        <v>146.5</v>
      </c>
      <c r="G5803">
        <f>(Cpi_[[#This Row],[Value]]-F5802)/F5802</f>
        <v>0.11237661351556577</v>
      </c>
      <c r="H5803" t="e" cm="1" vm="1">
        <f t="array" aca="1" ref="H5803" ca="1">VLOOKUP(Cpi_[[#This Row],[Year]:[Month]],crudeoil[],3,FALSE)</f>
        <v>#VALUE!</v>
      </c>
    </row>
    <row r="5804" spans="1:8" hidden="1" x14ac:dyDescent="0.3">
      <c r="A5804" t="s">
        <v>33</v>
      </c>
      <c r="B5804">
        <v>2018</v>
      </c>
      <c r="C5804" t="s">
        <v>46</v>
      </c>
      <c r="D5804" t="s">
        <v>27</v>
      </c>
      <c r="E5804" t="e">
        <f>VLOOKUP(Cpi_[[#This Row],[Attribute]],#REF!,2,FALSE)</f>
        <v>#REF!</v>
      </c>
      <c r="F5804">
        <v>130.80000000000001</v>
      </c>
      <c r="G5804">
        <f>(Cpi_[[#This Row],[Value]]-F5803)/F5803</f>
        <v>-0.10716723549488047</v>
      </c>
      <c r="H5804" t="e" cm="1" vm="1">
        <f t="array" aca="1" ref="H5804" ca="1">VLOOKUP(Cpi_[[#This Row],[Year]:[Month]],crudeoil[],3,FALSE)</f>
        <v>#VALUE!</v>
      </c>
    </row>
    <row r="5805" spans="1:8" hidden="1" x14ac:dyDescent="0.3">
      <c r="A5805" t="s">
        <v>33</v>
      </c>
      <c r="B5805">
        <v>2018</v>
      </c>
      <c r="C5805" t="s">
        <v>46</v>
      </c>
      <c r="D5805" t="s">
        <v>28</v>
      </c>
      <c r="E5805" t="e">
        <f>VLOOKUP(Cpi_[[#This Row],[Attribute]],#REF!,2,FALSE)</f>
        <v>#REF!</v>
      </c>
      <c r="F5805">
        <v>131.69999999999999</v>
      </c>
      <c r="G5805">
        <f>(Cpi_[[#This Row],[Value]]-F5804)/F5804</f>
        <v>6.8807339449539536E-3</v>
      </c>
      <c r="H5805" t="e" cm="1" vm="1">
        <f t="array" aca="1" ref="H5805" ca="1">VLOOKUP(Cpi_[[#This Row],[Year]:[Month]],crudeoil[],3,FALSE)</f>
        <v>#VALUE!</v>
      </c>
    </row>
    <row r="5806" spans="1:8" hidden="1" x14ac:dyDescent="0.3">
      <c r="A5806" t="s">
        <v>33</v>
      </c>
      <c r="B5806">
        <v>2018</v>
      </c>
      <c r="C5806" t="s">
        <v>46</v>
      </c>
      <c r="D5806" t="s">
        <v>29</v>
      </c>
      <c r="E5806" t="e" cm="1">
        <f t="array" aca="1" ref="E5806" ca="1">VLGeneral indexGeneral indexKUP(Cpi_[[#This Row],[Attribute]],#REF!,2,FALSE)</f>
        <v>#NAME?</v>
      </c>
      <c r="F5806">
        <v>138</v>
      </c>
      <c r="G5806">
        <f>(Cpi_[[#This Row],[Value]]-F5805)/F5805</f>
        <v>4.7835990888382779E-2</v>
      </c>
      <c r="H5806" t="e" cm="1" vm="1">
        <f t="array" aca="1" ref="H5806" ca="1">VLOOKUP(Cpi_[[#This Row],[Year]:[Month]],crudeoil[],3,FALSE)</f>
        <v>#VALUE!</v>
      </c>
    </row>
    <row r="5807" spans="1:8" hidden="1" x14ac:dyDescent="0.3">
      <c r="A5807" t="s">
        <v>34</v>
      </c>
      <c r="B5807">
        <v>2018</v>
      </c>
      <c r="C5807" t="s">
        <v>46</v>
      </c>
      <c r="D5807" t="s">
        <v>3</v>
      </c>
      <c r="E5807" t="e">
        <f>VLOOKUP(Cpi_[[#This Row],[Attribute]],#REF!,2,FALSE)</f>
        <v>#REF!</v>
      </c>
      <c r="F5807">
        <v>137.5</v>
      </c>
      <c r="G5807">
        <f>(Cpi_[[#This Row],[Value]]-F5806)/F5806</f>
        <v>-3.6231884057971015E-3</v>
      </c>
      <c r="H5807" t="e" cm="1" vm="1">
        <f t="array" aca="1" ref="H5807" ca="1">VLOOKUP(Cpi_[[#This Row],[Year]:[Month]],crudeoil[],3,FALSE)</f>
        <v>#VALUE!</v>
      </c>
    </row>
    <row r="5808" spans="1:8" hidden="1" x14ac:dyDescent="0.3">
      <c r="A5808" t="s">
        <v>34</v>
      </c>
      <c r="B5808">
        <v>2018</v>
      </c>
      <c r="C5808" t="s">
        <v>46</v>
      </c>
      <c r="D5808" t="s">
        <v>4</v>
      </c>
      <c r="E5808" t="e">
        <f>VLOOKUP(Cpi_[[#This Row],[Attribute]],#REF!,2,FALSE)</f>
        <v>#REF!</v>
      </c>
      <c r="F5808">
        <v>150.5</v>
      </c>
      <c r="G5808">
        <f>(Cpi_[[#This Row],[Value]]-F5807)/F5807</f>
        <v>9.4545454545454544E-2</v>
      </c>
      <c r="H5808" t="e" cm="1" vm="1">
        <f t="array" aca="1" ref="H5808" ca="1">VLOOKUP(Cpi_[[#This Row],[Year]:[Month]],crudeoil[],3,FALSE)</f>
        <v>#VALUE!</v>
      </c>
    </row>
    <row r="5809" spans="1:8" hidden="1" x14ac:dyDescent="0.3">
      <c r="A5809" t="s">
        <v>34</v>
      </c>
      <c r="B5809">
        <v>2018</v>
      </c>
      <c r="C5809" t="s">
        <v>46</v>
      </c>
      <c r="D5809" t="s">
        <v>5</v>
      </c>
      <c r="E5809" t="e">
        <f>VLOOKUP(Cpi_[[#This Row],[Attribute]],#REF!,2,FALSE)</f>
        <v>#REF!</v>
      </c>
      <c r="F5809">
        <v>138.80000000000001</v>
      </c>
      <c r="G5809">
        <f>(Cpi_[[#This Row],[Value]]-F5808)/F5808</f>
        <v>-7.7740863787375339E-2</v>
      </c>
      <c r="H5809" t="e" cm="1" vm="1">
        <f t="array" aca="1" ref="H5809" ca="1">VLOOKUP(Cpi_[[#This Row],[Year]:[Month]],crudeoil[],3,FALSE)</f>
        <v>#VALUE!</v>
      </c>
    </row>
    <row r="5810" spans="1:8" hidden="1" x14ac:dyDescent="0.3">
      <c r="A5810" t="s">
        <v>34</v>
      </c>
      <c r="B5810">
        <v>2018</v>
      </c>
      <c r="C5810" t="s">
        <v>46</v>
      </c>
      <c r="D5810" t="s">
        <v>6</v>
      </c>
      <c r="E5810" t="e">
        <f>VLOOKUP(Cpi_[[#This Row],[Attribute]],#REF!,2,FALSE)</f>
        <v>#REF!</v>
      </c>
      <c r="F5810">
        <v>142.1</v>
      </c>
      <c r="G5810">
        <f>(Cpi_[[#This Row],[Value]]-F5809)/F5809</f>
        <v>2.3775216138328406E-2</v>
      </c>
      <c r="H5810" t="e" cm="1" vm="1">
        <f t="array" aca="1" ref="H5810" ca="1">VLOOKUP(Cpi_[[#This Row],[Year]:[Month]],crudeoil[],3,FALSE)</f>
        <v>#VALUE!</v>
      </c>
    </row>
    <row r="5811" spans="1:8" hidden="1" x14ac:dyDescent="0.3">
      <c r="A5811" t="s">
        <v>34</v>
      </c>
      <c r="B5811">
        <v>2018</v>
      </c>
      <c r="C5811" t="s">
        <v>46</v>
      </c>
      <c r="D5811" t="s">
        <v>7</v>
      </c>
      <c r="E5811" t="e">
        <f>VLOOKUP(Cpi_[[#This Row],[Attribute]],#REF!,2,FALSE)</f>
        <v>#REF!</v>
      </c>
      <c r="F5811">
        <v>122</v>
      </c>
      <c r="G5811">
        <f>(Cpi_[[#This Row],[Value]]-F5810)/F5810</f>
        <v>-0.14144968332160446</v>
      </c>
      <c r="H5811" t="e" cm="1" vm="1">
        <f t="array" aca="1" ref="H5811" ca="1">VLOOKUP(Cpi_[[#This Row],[Year]:[Month]],crudeoil[],3,FALSE)</f>
        <v>#VALUE!</v>
      </c>
    </row>
    <row r="5812" spans="1:8" hidden="1" x14ac:dyDescent="0.3">
      <c r="A5812" t="s">
        <v>34</v>
      </c>
      <c r="B5812">
        <v>2018</v>
      </c>
      <c r="C5812" t="s">
        <v>46</v>
      </c>
      <c r="D5812" t="s">
        <v>8</v>
      </c>
      <c r="E5812" t="e">
        <f>VLOOKUP(Cpi_[[#This Row],[Attribute]],#REF!,2,FALSE)</f>
        <v>#REF!</v>
      </c>
      <c r="F5812">
        <v>139.4</v>
      </c>
      <c r="G5812">
        <f>(Cpi_[[#This Row],[Value]]-F5811)/F5811</f>
        <v>0.14262295081967219</v>
      </c>
      <c r="H5812" t="e" cm="1" vm="1">
        <f t="array" aca="1" ref="H5812" ca="1">VLOOKUP(Cpi_[[#This Row],[Year]:[Month]],crudeoil[],3,FALSE)</f>
        <v>#VALUE!</v>
      </c>
    </row>
    <row r="5813" spans="1:8" hidden="1" x14ac:dyDescent="0.3">
      <c r="A5813" t="s">
        <v>34</v>
      </c>
      <c r="B5813">
        <v>2018</v>
      </c>
      <c r="C5813" t="s">
        <v>46</v>
      </c>
      <c r="D5813" t="s">
        <v>9</v>
      </c>
      <c r="E5813" t="e">
        <f>VLOOKUP(Cpi_[[#This Row],[Attribute]],#REF!,2,FALSE)</f>
        <v>#REF!</v>
      </c>
      <c r="F5813">
        <v>135.19999999999999</v>
      </c>
      <c r="G5813">
        <f>(Cpi_[[#This Row],[Value]]-F5812)/F5812</f>
        <v>-3.0129124820660092E-2</v>
      </c>
      <c r="H5813" t="e" cm="1" vm="1">
        <f t="array" aca="1" ref="H5813" ca="1">VLOOKUP(Cpi_[[#This Row],[Year]:[Month]],crudeoil[],3,FALSE)</f>
        <v>#VALUE!</v>
      </c>
    </row>
    <row r="5814" spans="1:8" hidden="1" x14ac:dyDescent="0.3">
      <c r="A5814" t="s">
        <v>34</v>
      </c>
      <c r="B5814">
        <v>2018</v>
      </c>
      <c r="C5814" t="s">
        <v>46</v>
      </c>
      <c r="D5814" t="s">
        <v>10</v>
      </c>
      <c r="E5814" t="e">
        <f>VLOOKUP(Cpi_[[#This Row],[Attribute]],#REF!,2,FALSE)</f>
        <v>#REF!</v>
      </c>
      <c r="F5814">
        <v>119.8</v>
      </c>
      <c r="G5814">
        <f>(Cpi_[[#This Row],[Value]]-F5813)/F5813</f>
        <v>-0.11390532544378693</v>
      </c>
      <c r="H5814" t="e" cm="1" vm="1">
        <f t="array" aca="1" ref="H5814" ca="1">VLOOKUP(Cpi_[[#This Row],[Year]:[Month]],crudeoil[],3,FALSE)</f>
        <v>#VALUE!</v>
      </c>
    </row>
    <row r="5815" spans="1:8" hidden="1" x14ac:dyDescent="0.3">
      <c r="A5815" t="s">
        <v>34</v>
      </c>
      <c r="B5815">
        <v>2018</v>
      </c>
      <c r="C5815" t="s">
        <v>46</v>
      </c>
      <c r="D5815" t="s">
        <v>11</v>
      </c>
      <c r="E5815" t="e">
        <f>VLOOKUP(Cpi_[[#This Row],[Attribute]],#REF!,2,FALSE)</f>
        <v>#REF!</v>
      </c>
      <c r="F5815">
        <v>110.3</v>
      </c>
      <c r="G5815">
        <f>(Cpi_[[#This Row],[Value]]-F5814)/F5814</f>
        <v>-7.929883138564274E-2</v>
      </c>
      <c r="H5815" t="e" cm="1" vm="1">
        <f t="array" aca="1" ref="H5815" ca="1">VLOOKUP(Cpi_[[#This Row],[Year]:[Month]],crudeoil[],3,FALSE)</f>
        <v>#VALUE!</v>
      </c>
    </row>
    <row r="5816" spans="1:8" hidden="1" x14ac:dyDescent="0.3">
      <c r="A5816" t="s">
        <v>34</v>
      </c>
      <c r="B5816">
        <v>2018</v>
      </c>
      <c r="C5816" t="s">
        <v>46</v>
      </c>
      <c r="D5816" t="s">
        <v>12</v>
      </c>
      <c r="E5816" t="e">
        <f>VLOOKUP(Cpi_[[#This Row],[Attribute]],#REF!,2,FALSE)</f>
        <v>#REF!</v>
      </c>
      <c r="F5816">
        <v>140.6</v>
      </c>
      <c r="G5816">
        <f>(Cpi_[[#This Row],[Value]]-F5815)/F5815</f>
        <v>0.27470534904805077</v>
      </c>
      <c r="H5816" t="e" cm="1" vm="1">
        <f t="array" aca="1" ref="H5816" ca="1">VLOOKUP(Cpi_[[#This Row],[Year]:[Month]],crudeoil[],3,FALSE)</f>
        <v>#VALUE!</v>
      </c>
    </row>
    <row r="5817" spans="1:8" hidden="1" x14ac:dyDescent="0.3">
      <c r="A5817" t="s">
        <v>34</v>
      </c>
      <c r="B5817">
        <v>2018</v>
      </c>
      <c r="C5817" t="s">
        <v>46</v>
      </c>
      <c r="D5817" t="s">
        <v>13</v>
      </c>
      <c r="E5817" t="e">
        <f>VLOOKUP(Cpi_[[#This Row],[Attribute]],#REF!,2,FALSE)</f>
        <v>#REF!</v>
      </c>
      <c r="F5817">
        <v>133.80000000000001</v>
      </c>
      <c r="G5817">
        <f>(Cpi_[[#This Row],[Value]]-F5816)/F5816</f>
        <v>-4.8364153627311404E-2</v>
      </c>
      <c r="H5817" t="e" cm="1" vm="1">
        <f t="array" aca="1" ref="H5817" ca="1">VLOOKUP(Cpi_[[#This Row],[Year]:[Month]],crudeoil[],3,FALSE)</f>
        <v>#VALUE!</v>
      </c>
    </row>
    <row r="5818" spans="1:8" hidden="1" x14ac:dyDescent="0.3">
      <c r="A5818" t="s">
        <v>34</v>
      </c>
      <c r="B5818">
        <v>2018</v>
      </c>
      <c r="C5818" t="s">
        <v>46</v>
      </c>
      <c r="D5818" t="s">
        <v>14</v>
      </c>
      <c r="E5818" t="e">
        <f>VLOOKUP(Cpi_[[#This Row],[Attribute]],#REF!,2,FALSE)</f>
        <v>#REF!</v>
      </c>
      <c r="F5818">
        <v>154.6</v>
      </c>
      <c r="G5818">
        <f>(Cpi_[[#This Row],[Value]]-F5817)/F5817</f>
        <v>0.15545590433482795</v>
      </c>
      <c r="H5818" t="e" cm="1" vm="1">
        <f t="array" aca="1" ref="H5818" ca="1">VLOOKUP(Cpi_[[#This Row],[Year]:[Month]],crudeoil[],3,FALSE)</f>
        <v>#VALUE!</v>
      </c>
    </row>
    <row r="5819" spans="1:8" hidden="1" x14ac:dyDescent="0.3">
      <c r="A5819" t="s">
        <v>34</v>
      </c>
      <c r="B5819">
        <v>2018</v>
      </c>
      <c r="C5819" t="s">
        <v>46</v>
      </c>
      <c r="D5819" t="s">
        <v>15</v>
      </c>
      <c r="E5819" t="e">
        <f>VLOOKUP(Cpi_[[#This Row],[Attribute]],#REF!,2,FALSE)</f>
        <v>#REF!</v>
      </c>
      <c r="F5819">
        <v>138.19999999999999</v>
      </c>
      <c r="G5819">
        <f>(Cpi_[[#This Row],[Value]]-F5818)/F5818</f>
        <v>-0.10608020698576977</v>
      </c>
      <c r="H5819" t="e" cm="1" vm="1">
        <f t="array" aca="1" ref="H5819" ca="1">VLOOKUP(Cpi_[[#This Row],[Year]:[Month]],crudeoil[],3,FALSE)</f>
        <v>#VALUE!</v>
      </c>
    </row>
    <row r="5820" spans="1:8" hidden="1" x14ac:dyDescent="0.3">
      <c r="A5820" t="s">
        <v>34</v>
      </c>
      <c r="B5820">
        <v>2018</v>
      </c>
      <c r="C5820" t="s">
        <v>46</v>
      </c>
      <c r="D5820" t="s">
        <v>16</v>
      </c>
      <c r="E5820" t="e">
        <f>VLOOKUP(Cpi_[[#This Row],[Attribute]],#REF!,2,FALSE)</f>
        <v>#REF!</v>
      </c>
      <c r="F5820">
        <v>163</v>
      </c>
      <c r="G5820">
        <f>(Cpi_[[#This Row],[Value]]-F5819)/F5819</f>
        <v>0.17945007235890023</v>
      </c>
      <c r="H5820" t="e" cm="1" vm="1">
        <f t="array" aca="1" ref="H5820" ca="1">VLOOKUP(Cpi_[[#This Row],[Year]:[Month]],crudeoil[],3,FALSE)</f>
        <v>#VALUE!</v>
      </c>
    </row>
    <row r="5821" spans="1:8" hidden="1" x14ac:dyDescent="0.3">
      <c r="A5821" t="s">
        <v>34</v>
      </c>
      <c r="B5821">
        <v>2018</v>
      </c>
      <c r="C5821" t="s">
        <v>46</v>
      </c>
      <c r="D5821" t="s">
        <v>17</v>
      </c>
      <c r="E5821" t="e">
        <f>VLOOKUP(Cpi_[[#This Row],[Attribute]],#REF!,2,FALSE)</f>
        <v>#REF!</v>
      </c>
      <c r="F5821">
        <v>148.1</v>
      </c>
      <c r="G5821">
        <f>(Cpi_[[#This Row],[Value]]-F5820)/F5820</f>
        <v>-9.1411042944785317E-2</v>
      </c>
      <c r="H5821" t="e" cm="1" vm="1">
        <f t="array" aca="1" ref="H5821" ca="1">VLOOKUP(Cpi_[[#This Row],[Year]:[Month]],crudeoil[],3,FALSE)</f>
        <v>#VALUE!</v>
      </c>
    </row>
    <row r="5822" spans="1:8" hidden="1" x14ac:dyDescent="0.3">
      <c r="A5822" t="s">
        <v>34</v>
      </c>
      <c r="B5822">
        <v>2018</v>
      </c>
      <c r="C5822" t="s">
        <v>46</v>
      </c>
      <c r="D5822" t="s">
        <v>18</v>
      </c>
      <c r="E5822" t="e">
        <f>VLOOKUP(Cpi_[[#This Row],[Attribute]],#REF!,2,FALSE)</f>
        <v>#REF!</v>
      </c>
      <c r="F5822">
        <v>139.4</v>
      </c>
      <c r="G5822">
        <f>(Cpi_[[#This Row],[Value]]-F5821)/F5821</f>
        <v>-5.8744091829844622E-2</v>
      </c>
      <c r="H5822" t="e" cm="1" vm="1">
        <f t="array" aca="1" ref="H5822" ca="1">VLOOKUP(Cpi_[[#This Row],[Year]:[Month]],crudeoil[],3,FALSE)</f>
        <v>#VALUE!</v>
      </c>
    </row>
    <row r="5823" spans="1:8" hidden="1" x14ac:dyDescent="0.3">
      <c r="A5823" t="s">
        <v>34</v>
      </c>
      <c r="B5823">
        <v>2018</v>
      </c>
      <c r="C5823" t="s">
        <v>46</v>
      </c>
      <c r="D5823" t="s">
        <v>19</v>
      </c>
      <c r="E5823" t="e">
        <f>VLOOKUP(Cpi_[[#This Row],[Attribute]],#REF!,2,FALSE)</f>
        <v>#REF!</v>
      </c>
      <c r="F5823">
        <v>146.80000000000001</v>
      </c>
      <c r="G5823">
        <f>(Cpi_[[#This Row],[Value]]-F5822)/F5822</f>
        <v>5.3084648493543794E-2</v>
      </c>
      <c r="H5823" t="e" cm="1" vm="1">
        <f t="array" aca="1" ref="H5823" ca="1">VLOOKUP(Cpi_[[#This Row],[Year]:[Month]],crudeoil[],3,FALSE)</f>
        <v>#VALUE!</v>
      </c>
    </row>
    <row r="5824" spans="1:8" hidden="1" x14ac:dyDescent="0.3">
      <c r="A5824" t="s">
        <v>34</v>
      </c>
      <c r="B5824">
        <v>2018</v>
      </c>
      <c r="C5824" t="s">
        <v>46</v>
      </c>
      <c r="D5824" t="s">
        <v>20</v>
      </c>
      <c r="E5824" t="e">
        <f>VLOOKUP(Cpi_[[#This Row],[Attribute]],#REF!,2,FALSE)</f>
        <v>#REF!</v>
      </c>
      <c r="F5824">
        <v>146.5</v>
      </c>
      <c r="G5824">
        <f>(Cpi_[[#This Row],[Value]]-F5823)/F5823</f>
        <v>-2.0435967302453091E-3</v>
      </c>
      <c r="H5824" t="e" cm="1" vm="1">
        <f t="array" aca="1" ref="H5824" ca="1">VLOOKUP(Cpi_[[#This Row],[Year]:[Month]],crudeoil[],3,FALSE)</f>
        <v>#VALUE!</v>
      </c>
    </row>
    <row r="5825" spans="1:8" hidden="1" x14ac:dyDescent="0.3">
      <c r="A5825" t="s">
        <v>34</v>
      </c>
      <c r="B5825">
        <v>2018</v>
      </c>
      <c r="C5825" t="s">
        <v>46</v>
      </c>
      <c r="D5825" t="s">
        <v>21</v>
      </c>
      <c r="E5825" t="e">
        <f>VLOOKUP(Cpi_[[#This Row],[Attribute]],#REF!,2,FALSE)</f>
        <v>#REF!</v>
      </c>
      <c r="F5825">
        <v>142.69999999999999</v>
      </c>
      <c r="G5825">
        <f>(Cpi_[[#This Row],[Value]]-F5824)/F5824</f>
        <v>-2.5938566552901103E-2</v>
      </c>
      <c r="H5825" t="e" cm="1" vm="1">
        <f t="array" aca="1" ref="H5825" ca="1">VLOOKUP(Cpi_[[#This Row],[Year]:[Month]],crudeoil[],3,FALSE)</f>
        <v>#VALUE!</v>
      </c>
    </row>
    <row r="5826" spans="1:8" hidden="1" x14ac:dyDescent="0.3">
      <c r="A5826" t="s">
        <v>34</v>
      </c>
      <c r="B5826">
        <v>2018</v>
      </c>
      <c r="C5826" t="s">
        <v>46</v>
      </c>
      <c r="D5826" t="s">
        <v>22</v>
      </c>
      <c r="E5826" t="e">
        <f>VLOOKUP(Cpi_[[#This Row],[Attribute]],#REF!,2,FALSE)</f>
        <v>#REF!</v>
      </c>
      <c r="F5826">
        <v>143.19999999999999</v>
      </c>
      <c r="G5826">
        <f>(Cpi_[[#This Row],[Value]]-F5825)/F5825</f>
        <v>3.5038542396636303E-3</v>
      </c>
      <c r="H5826" t="e" cm="1" vm="1">
        <f t="array" aca="1" ref="H5826" ca="1">VLOOKUP(Cpi_[[#This Row],[Year]:[Month]],crudeoil[],3,FALSE)</f>
        <v>#VALUE!</v>
      </c>
    </row>
    <row r="5827" spans="1:8" hidden="1" x14ac:dyDescent="0.3">
      <c r="A5827" t="s">
        <v>34</v>
      </c>
      <c r="B5827">
        <v>2018</v>
      </c>
      <c r="C5827" t="s">
        <v>46</v>
      </c>
      <c r="D5827" t="s">
        <v>23</v>
      </c>
      <c r="E5827" t="e">
        <f>VLOOKUP(Cpi_[[#This Row],[Attribute]],#REF!,2,FALSE)</f>
        <v>#REF!</v>
      </c>
      <c r="F5827">
        <v>144.9</v>
      </c>
      <c r="G5827">
        <f>(Cpi_[[#This Row],[Value]]-F5826)/F5826</f>
        <v>1.1871508379888387E-2</v>
      </c>
      <c r="H5827" t="e" cm="1" vm="1">
        <f t="array" aca="1" ref="H5827" ca="1">VLOOKUP(Cpi_[[#This Row],[Year]:[Month]],crudeoil[],3,FALSE)</f>
        <v>#VALUE!</v>
      </c>
    </row>
    <row r="5828" spans="1:8" hidden="1" x14ac:dyDescent="0.3">
      <c r="A5828" t="s">
        <v>34</v>
      </c>
      <c r="B5828">
        <v>2018</v>
      </c>
      <c r="C5828" t="s">
        <v>46</v>
      </c>
      <c r="D5828" t="s">
        <v>24</v>
      </c>
      <c r="E5828" t="e">
        <f>VLOOKUP(Cpi_[[#This Row],[Attribute]],#REF!,2,FALSE)</f>
        <v>#REF!</v>
      </c>
      <c r="F5828">
        <v>123.6</v>
      </c>
      <c r="G5828">
        <f>(Cpi_[[#This Row],[Value]]-F5827)/F5827</f>
        <v>-0.14699792960662533</v>
      </c>
      <c r="H5828" t="e" cm="1" vm="1">
        <f t="array" aca="1" ref="H5828" ca="1">VLOOKUP(Cpi_[[#This Row],[Year]:[Month]],crudeoil[],3,FALSE)</f>
        <v>#VALUE!</v>
      </c>
    </row>
    <row r="5829" spans="1:8" hidden="1" x14ac:dyDescent="0.3">
      <c r="A5829" t="s">
        <v>34</v>
      </c>
      <c r="B5829">
        <v>2018</v>
      </c>
      <c r="C5829" t="s">
        <v>46</v>
      </c>
      <c r="D5829" t="s">
        <v>25</v>
      </c>
      <c r="E5829" t="e">
        <f>VLOOKUP(Cpi_[[#This Row],[Attribute]],#REF!,2,FALSE)</f>
        <v>#REF!</v>
      </c>
      <c r="F5829">
        <v>136.80000000000001</v>
      </c>
      <c r="G5829">
        <f>(Cpi_[[#This Row],[Value]]-F5828)/F5828</f>
        <v>0.10679611650485452</v>
      </c>
      <c r="H5829" t="e" cm="1" vm="1">
        <f t="array" aca="1" ref="H5829" ca="1">VLOOKUP(Cpi_[[#This Row],[Year]:[Month]],crudeoil[],3,FALSE)</f>
        <v>#VALUE!</v>
      </c>
    </row>
    <row r="5830" spans="1:8" hidden="1" x14ac:dyDescent="0.3">
      <c r="A5830" t="s">
        <v>34</v>
      </c>
      <c r="B5830">
        <v>2018</v>
      </c>
      <c r="C5830" t="s">
        <v>46</v>
      </c>
      <c r="D5830" t="s">
        <v>26</v>
      </c>
      <c r="E5830" t="e">
        <f>VLOOKUP(Cpi_[[#This Row],[Attribute]],#REF!,2,FALSE)</f>
        <v>#REF!</v>
      </c>
      <c r="F5830">
        <v>150.1</v>
      </c>
      <c r="G5830">
        <f>(Cpi_[[#This Row],[Value]]-F5829)/F5829</f>
        <v>9.7222222222222085E-2</v>
      </c>
      <c r="H5830" t="e" cm="1" vm="1">
        <f t="array" aca="1" ref="H5830" ca="1">VLOOKUP(Cpi_[[#This Row],[Year]:[Month]],crudeoil[],3,FALSE)</f>
        <v>#VALUE!</v>
      </c>
    </row>
    <row r="5831" spans="1:8" hidden="1" x14ac:dyDescent="0.3">
      <c r="A5831" t="s">
        <v>34</v>
      </c>
      <c r="B5831">
        <v>2018</v>
      </c>
      <c r="C5831" t="s">
        <v>46</v>
      </c>
      <c r="D5831" t="s">
        <v>27</v>
      </c>
      <c r="E5831" t="e">
        <f>VLOOKUP(Cpi_[[#This Row],[Attribute]],#REF!,2,FALSE)</f>
        <v>#REF!</v>
      </c>
      <c r="F5831">
        <v>132.19999999999999</v>
      </c>
      <c r="G5831">
        <f>(Cpi_[[#This Row],[Value]]-F5830)/F5830</f>
        <v>-0.11925383077948039</v>
      </c>
      <c r="H5831" t="e" cm="1" vm="1">
        <f t="array" aca="1" ref="H5831" ca="1">VLOOKUP(Cpi_[[#This Row],[Year]:[Month]],crudeoil[],3,FALSE)</f>
        <v>#VALUE!</v>
      </c>
    </row>
    <row r="5832" spans="1:8" hidden="1" x14ac:dyDescent="0.3">
      <c r="A5832" t="s">
        <v>34</v>
      </c>
      <c r="B5832">
        <v>2018</v>
      </c>
      <c r="C5832" t="s">
        <v>46</v>
      </c>
      <c r="D5832" t="s">
        <v>28</v>
      </c>
      <c r="E5832" t="e">
        <f>VLOOKUP(Cpi_[[#This Row],[Attribute]],#REF!,2,FALSE)</f>
        <v>#REF!</v>
      </c>
      <c r="F5832">
        <v>136.80000000000001</v>
      </c>
      <c r="G5832">
        <f>(Cpi_[[#This Row],[Value]]-F5831)/F5831</f>
        <v>3.4795763993948736E-2</v>
      </c>
      <c r="H5832" t="e" cm="1" vm="1">
        <f t="array" aca="1" ref="H5832" ca="1">VLOOKUP(Cpi_[[#This Row],[Year]:[Month]],crudeoil[],3,FALSE)</f>
        <v>#VALUE!</v>
      </c>
    </row>
    <row r="5833" spans="1:8" hidden="1" x14ac:dyDescent="0.3">
      <c r="A5833" t="s">
        <v>34</v>
      </c>
      <c r="B5833">
        <v>2018</v>
      </c>
      <c r="C5833" t="s">
        <v>46</v>
      </c>
      <c r="D5833" t="s">
        <v>29</v>
      </c>
      <c r="E5833" t="e" cm="1">
        <f t="array" aca="1" ref="E5833" ca="1">VLGeneral indexGeneral indexKUP(Cpi_[[#This Row],[Attribute]],#REF!,2,FALSE)</f>
        <v>#NAME?</v>
      </c>
      <c r="F5833">
        <v>140.1</v>
      </c>
      <c r="G5833">
        <f>(Cpi_[[#This Row],[Value]]-F5832)/F5832</f>
        <v>2.4122807017543733E-2</v>
      </c>
      <c r="H5833" t="e" cm="1" vm="1">
        <f t="array" aca="1" ref="H5833" ca="1">VLOOKUP(Cpi_[[#This Row],[Year]:[Month]],crudeoil[],3,FALSE)</f>
        <v>#VALUE!</v>
      </c>
    </row>
    <row r="5834" spans="1:8" hidden="1" x14ac:dyDescent="0.3">
      <c r="A5834" t="s">
        <v>30</v>
      </c>
      <c r="B5834">
        <v>2019</v>
      </c>
      <c r="C5834" t="s">
        <v>31</v>
      </c>
      <c r="D5834" t="s">
        <v>3</v>
      </c>
      <c r="E5834" t="e">
        <f>VLOOKUP(Cpi_[[#This Row],[Attribute]],#REF!,2,FALSE)</f>
        <v>#REF!</v>
      </c>
      <c r="F5834">
        <v>136.6</v>
      </c>
      <c r="G5834">
        <f>(Cpi_[[#This Row],[Value]]-F5833)/F5833</f>
        <v>-2.4982155603140616E-2</v>
      </c>
      <c r="H5834" t="e" cm="1" vm="1">
        <f t="array" aca="1" ref="H5834" ca="1">VLOOKUP(Cpi_[[#This Row],[Year]:[Month]],crudeoil[],3,FALSE)</f>
        <v>#VALUE!</v>
      </c>
    </row>
    <row r="5835" spans="1:8" hidden="1" x14ac:dyDescent="0.3">
      <c r="A5835" t="s">
        <v>30</v>
      </c>
      <c r="B5835">
        <v>2019</v>
      </c>
      <c r="C5835" t="s">
        <v>31</v>
      </c>
      <c r="D5835" t="s">
        <v>4</v>
      </c>
      <c r="E5835" t="e">
        <f>VLOOKUP(Cpi_[[#This Row],[Attribute]],#REF!,2,FALSE)</f>
        <v>#REF!</v>
      </c>
      <c r="F5835">
        <v>152.5</v>
      </c>
      <c r="G5835">
        <f>(Cpi_[[#This Row],[Value]]-F5834)/F5834</f>
        <v>0.11639824304538804</v>
      </c>
      <c r="H5835" t="e" cm="1" vm="1">
        <f t="array" aca="1" ref="H5835" ca="1">VLOOKUP(Cpi_[[#This Row],[Year]:[Month]],crudeoil[],3,FALSE)</f>
        <v>#VALUE!</v>
      </c>
    </row>
    <row r="5836" spans="1:8" hidden="1" x14ac:dyDescent="0.3">
      <c r="A5836" t="s">
        <v>30</v>
      </c>
      <c r="B5836">
        <v>2019</v>
      </c>
      <c r="C5836" t="s">
        <v>31</v>
      </c>
      <c r="D5836" t="s">
        <v>5</v>
      </c>
      <c r="E5836" t="e">
        <f>VLOOKUP(Cpi_[[#This Row],[Attribute]],#REF!,2,FALSE)</f>
        <v>#REF!</v>
      </c>
      <c r="F5836">
        <v>138.19999999999999</v>
      </c>
      <c r="G5836">
        <f>(Cpi_[[#This Row],[Value]]-F5835)/F5835</f>
        <v>-9.377049180327876E-2</v>
      </c>
      <c r="H5836" t="e" cm="1" vm="1">
        <f t="array" aca="1" ref="H5836" ca="1">VLOOKUP(Cpi_[[#This Row],[Year]:[Month]],crudeoil[],3,FALSE)</f>
        <v>#VALUE!</v>
      </c>
    </row>
    <row r="5837" spans="1:8" hidden="1" x14ac:dyDescent="0.3">
      <c r="A5837" t="s">
        <v>30</v>
      </c>
      <c r="B5837">
        <v>2019</v>
      </c>
      <c r="C5837" t="s">
        <v>31</v>
      </c>
      <c r="D5837" t="s">
        <v>6</v>
      </c>
      <c r="E5837" t="e">
        <f>VLOOKUP(Cpi_[[#This Row],[Attribute]],#REF!,2,FALSE)</f>
        <v>#REF!</v>
      </c>
      <c r="F5837">
        <v>142.4</v>
      </c>
      <c r="G5837">
        <f>(Cpi_[[#This Row],[Value]]-F5836)/F5836</f>
        <v>3.0390738060781602E-2</v>
      </c>
      <c r="H5837" t="e" cm="1" vm="1">
        <f t="array" aca="1" ref="H5837" ca="1">VLOOKUP(Cpi_[[#This Row],[Year]:[Month]],crudeoil[],3,FALSE)</f>
        <v>#VALUE!</v>
      </c>
    </row>
    <row r="5838" spans="1:8" hidden="1" x14ac:dyDescent="0.3">
      <c r="A5838" t="s">
        <v>30</v>
      </c>
      <c r="B5838">
        <v>2019</v>
      </c>
      <c r="C5838" t="s">
        <v>31</v>
      </c>
      <c r="D5838" t="s">
        <v>7</v>
      </c>
      <c r="E5838" t="e">
        <f>VLOOKUP(Cpi_[[#This Row],[Attribute]],#REF!,2,FALSE)</f>
        <v>#REF!</v>
      </c>
      <c r="F5838">
        <v>123.9</v>
      </c>
      <c r="G5838">
        <f>(Cpi_[[#This Row],[Value]]-F5837)/F5837</f>
        <v>-0.12991573033707865</v>
      </c>
      <c r="H5838" t="e" cm="1" vm="1">
        <f t="array" aca="1" ref="H5838" ca="1">VLOOKUP(Cpi_[[#This Row],[Year]:[Month]],crudeoil[],3,FALSE)</f>
        <v>#VALUE!</v>
      </c>
    </row>
    <row r="5839" spans="1:8" hidden="1" x14ac:dyDescent="0.3">
      <c r="A5839" t="s">
        <v>30</v>
      </c>
      <c r="B5839">
        <v>2019</v>
      </c>
      <c r="C5839" t="s">
        <v>31</v>
      </c>
      <c r="D5839" t="s">
        <v>8</v>
      </c>
      <c r="E5839" t="e">
        <f>VLOOKUP(Cpi_[[#This Row],[Attribute]],#REF!,2,FALSE)</f>
        <v>#REF!</v>
      </c>
      <c r="F5839">
        <v>135.5</v>
      </c>
      <c r="G5839">
        <f>(Cpi_[[#This Row],[Value]]-F5838)/F5838</f>
        <v>9.3623890234059676E-2</v>
      </c>
      <c r="H5839" t="e" cm="1" vm="1">
        <f t="array" aca="1" ref="H5839" ca="1">VLOOKUP(Cpi_[[#This Row],[Year]:[Month]],crudeoil[],3,FALSE)</f>
        <v>#VALUE!</v>
      </c>
    </row>
    <row r="5840" spans="1:8" hidden="1" x14ac:dyDescent="0.3">
      <c r="A5840" t="s">
        <v>30</v>
      </c>
      <c r="B5840">
        <v>2019</v>
      </c>
      <c r="C5840" t="s">
        <v>31</v>
      </c>
      <c r="D5840" t="s">
        <v>9</v>
      </c>
      <c r="E5840" t="e">
        <f>VLOOKUP(Cpi_[[#This Row],[Attribute]],#REF!,2,FALSE)</f>
        <v>#REF!</v>
      </c>
      <c r="F5840">
        <v>131.69999999999999</v>
      </c>
      <c r="G5840">
        <f>(Cpi_[[#This Row],[Value]]-F5839)/F5839</f>
        <v>-2.8044280442804513E-2</v>
      </c>
      <c r="H5840" t="e" cm="1" vm="1">
        <f t="array" aca="1" ref="H5840" ca="1">VLOOKUP(Cpi_[[#This Row],[Year]:[Month]],crudeoil[],3,FALSE)</f>
        <v>#VALUE!</v>
      </c>
    </row>
    <row r="5841" spans="1:8" hidden="1" x14ac:dyDescent="0.3">
      <c r="A5841" t="s">
        <v>30</v>
      </c>
      <c r="B5841">
        <v>2019</v>
      </c>
      <c r="C5841" t="s">
        <v>31</v>
      </c>
      <c r="D5841" t="s">
        <v>10</v>
      </c>
      <c r="E5841" t="e">
        <f>VLOOKUP(Cpi_[[#This Row],[Attribute]],#REF!,2,FALSE)</f>
        <v>#REF!</v>
      </c>
      <c r="F5841">
        <v>121.3</v>
      </c>
      <c r="G5841">
        <f>(Cpi_[[#This Row],[Value]]-F5840)/F5840</f>
        <v>-7.8967350037965012E-2</v>
      </c>
      <c r="H5841" t="e" cm="1" vm="1">
        <f t="array" aca="1" ref="H5841" ca="1">VLOOKUP(Cpi_[[#This Row],[Year]:[Month]],crudeoil[],3,FALSE)</f>
        <v>#VALUE!</v>
      </c>
    </row>
    <row r="5842" spans="1:8" hidden="1" x14ac:dyDescent="0.3">
      <c r="A5842" t="s">
        <v>30</v>
      </c>
      <c r="B5842">
        <v>2019</v>
      </c>
      <c r="C5842" t="s">
        <v>31</v>
      </c>
      <c r="D5842" t="s">
        <v>11</v>
      </c>
      <c r="E5842" t="e">
        <f>VLOOKUP(Cpi_[[#This Row],[Attribute]],#REF!,2,FALSE)</f>
        <v>#REF!</v>
      </c>
      <c r="F5842">
        <v>108.4</v>
      </c>
      <c r="G5842">
        <f>(Cpi_[[#This Row],[Value]]-F5841)/F5841</f>
        <v>-0.1063478977741137</v>
      </c>
      <c r="H5842" t="e" cm="1" vm="1">
        <f t="array" aca="1" ref="H5842" ca="1">VLOOKUP(Cpi_[[#This Row],[Year]:[Month]],crudeoil[],3,FALSE)</f>
        <v>#VALUE!</v>
      </c>
    </row>
    <row r="5843" spans="1:8" hidden="1" x14ac:dyDescent="0.3">
      <c r="A5843" t="s">
        <v>30</v>
      </c>
      <c r="B5843">
        <v>2019</v>
      </c>
      <c r="C5843" t="s">
        <v>31</v>
      </c>
      <c r="D5843" t="s">
        <v>12</v>
      </c>
      <c r="E5843" t="e">
        <f>VLOOKUP(Cpi_[[#This Row],[Attribute]],#REF!,2,FALSE)</f>
        <v>#REF!</v>
      </c>
      <c r="F5843">
        <v>138.9</v>
      </c>
      <c r="G5843">
        <f>(Cpi_[[#This Row],[Value]]-F5842)/F5842</f>
        <v>0.2813653136531365</v>
      </c>
      <c r="H5843" t="e" cm="1" vm="1">
        <f t="array" aca="1" ref="H5843" ca="1">VLOOKUP(Cpi_[[#This Row],[Year]:[Month]],crudeoil[],3,FALSE)</f>
        <v>#VALUE!</v>
      </c>
    </row>
    <row r="5844" spans="1:8" hidden="1" x14ac:dyDescent="0.3">
      <c r="A5844" t="s">
        <v>30</v>
      </c>
      <c r="B5844">
        <v>2019</v>
      </c>
      <c r="C5844" t="s">
        <v>31</v>
      </c>
      <c r="D5844" t="s">
        <v>13</v>
      </c>
      <c r="E5844" t="e">
        <f>VLOOKUP(Cpi_[[#This Row],[Attribute]],#REF!,2,FALSE)</f>
        <v>#REF!</v>
      </c>
      <c r="F5844">
        <v>137</v>
      </c>
      <c r="G5844">
        <f>(Cpi_[[#This Row],[Value]]-F5843)/F5843</f>
        <v>-1.3678905687545036E-2</v>
      </c>
      <c r="H5844" t="e" cm="1" vm="1">
        <f t="array" aca="1" ref="H5844" ca="1">VLOOKUP(Cpi_[[#This Row],[Year]:[Month]],crudeoil[],3,FALSE)</f>
        <v>#VALUE!</v>
      </c>
    </row>
    <row r="5845" spans="1:8" hidden="1" x14ac:dyDescent="0.3">
      <c r="A5845" t="s">
        <v>30</v>
      </c>
      <c r="B5845">
        <v>2019</v>
      </c>
      <c r="C5845" t="s">
        <v>31</v>
      </c>
      <c r="D5845" t="s">
        <v>14</v>
      </c>
      <c r="E5845" t="e">
        <f>VLOOKUP(Cpi_[[#This Row],[Attribute]],#REF!,2,FALSE)</f>
        <v>#REF!</v>
      </c>
      <c r="F5845">
        <v>155.80000000000001</v>
      </c>
      <c r="G5845">
        <f>(Cpi_[[#This Row],[Value]]-F5844)/F5844</f>
        <v>0.13722627737226287</v>
      </c>
      <c r="H5845" t="e" cm="1" vm="1">
        <f t="array" aca="1" ref="H5845" ca="1">VLOOKUP(Cpi_[[#This Row],[Year]:[Month]],crudeoil[],3,FALSE)</f>
        <v>#VALUE!</v>
      </c>
    </row>
    <row r="5846" spans="1:8" hidden="1" x14ac:dyDescent="0.3">
      <c r="A5846" t="s">
        <v>30</v>
      </c>
      <c r="B5846">
        <v>2019</v>
      </c>
      <c r="C5846" t="s">
        <v>31</v>
      </c>
      <c r="D5846" t="s">
        <v>15</v>
      </c>
      <c r="E5846" t="e">
        <f>VLOOKUP(Cpi_[[#This Row],[Attribute]],#REF!,2,FALSE)</f>
        <v>#REF!</v>
      </c>
      <c r="F5846">
        <v>137.4</v>
      </c>
      <c r="G5846">
        <f>(Cpi_[[#This Row],[Value]]-F5845)/F5845</f>
        <v>-0.11810012836970478</v>
      </c>
      <c r="H5846" t="e" cm="1" vm="1">
        <f t="array" aca="1" ref="H5846" ca="1">VLOOKUP(Cpi_[[#This Row],[Year]:[Month]],crudeoil[],3,FALSE)</f>
        <v>#VALUE!</v>
      </c>
    </row>
    <row r="5847" spans="1:8" hidden="1" x14ac:dyDescent="0.3">
      <c r="A5847" t="s">
        <v>30</v>
      </c>
      <c r="B5847">
        <v>2019</v>
      </c>
      <c r="C5847" t="s">
        <v>31</v>
      </c>
      <c r="D5847" t="s">
        <v>16</v>
      </c>
      <c r="E5847" t="e">
        <f>VLOOKUP(Cpi_[[#This Row],[Attribute]],#REF!,2,FALSE)</f>
        <v>#REF!</v>
      </c>
      <c r="F5847">
        <v>162.69999999999999</v>
      </c>
      <c r="G5847">
        <f>(Cpi_[[#This Row],[Value]]-F5846)/F5846</f>
        <v>0.18413391557496347</v>
      </c>
      <c r="H5847" t="e" cm="1" vm="1">
        <f t="array" aca="1" ref="H5847" ca="1">VLOOKUP(Cpi_[[#This Row],[Year]:[Month]],crudeoil[],3,FALSE)</f>
        <v>#VALUE!</v>
      </c>
    </row>
    <row r="5848" spans="1:8" hidden="1" x14ac:dyDescent="0.3">
      <c r="A5848" t="s">
        <v>30</v>
      </c>
      <c r="B5848">
        <v>2019</v>
      </c>
      <c r="C5848" t="s">
        <v>31</v>
      </c>
      <c r="D5848" t="s">
        <v>17</v>
      </c>
      <c r="E5848" t="e">
        <f>VLOOKUP(Cpi_[[#This Row],[Attribute]],#REF!,2,FALSE)</f>
        <v>#REF!</v>
      </c>
      <c r="F5848">
        <v>150.6</v>
      </c>
      <c r="G5848">
        <f>(Cpi_[[#This Row],[Value]]-F5847)/F5847</f>
        <v>-7.4370006146281475E-2</v>
      </c>
      <c r="H5848" t="e" cm="1" vm="1">
        <f t="array" aca="1" ref="H5848" ca="1">VLOOKUP(Cpi_[[#This Row],[Year]:[Month]],crudeoil[],3,FALSE)</f>
        <v>#VALUE!</v>
      </c>
    </row>
    <row r="5849" spans="1:8" hidden="1" x14ac:dyDescent="0.3">
      <c r="A5849" t="s">
        <v>30</v>
      </c>
      <c r="B5849">
        <v>2019</v>
      </c>
      <c r="C5849" t="s">
        <v>31</v>
      </c>
      <c r="D5849" t="s">
        <v>18</v>
      </c>
      <c r="E5849" t="e">
        <f>VLOOKUP(Cpi_[[#This Row],[Attribute]],#REF!,2,FALSE)</f>
        <v>#REF!</v>
      </c>
      <c r="F5849">
        <v>145.1</v>
      </c>
      <c r="G5849">
        <f>(Cpi_[[#This Row],[Value]]-F5848)/F5848</f>
        <v>-3.6520584329349272E-2</v>
      </c>
      <c r="H5849" t="e" cm="1" vm="1">
        <f t="array" aca="1" ref="H5849" ca="1">VLOOKUP(Cpi_[[#This Row],[Year]:[Month]],crudeoil[],3,FALSE)</f>
        <v>#VALUE!</v>
      </c>
    </row>
    <row r="5850" spans="1:8" hidden="1" x14ac:dyDescent="0.3">
      <c r="A5850" t="s">
        <v>30</v>
      </c>
      <c r="B5850">
        <v>2019</v>
      </c>
      <c r="C5850" t="s">
        <v>31</v>
      </c>
      <c r="D5850" t="s">
        <v>19</v>
      </c>
      <c r="E5850" t="e">
        <f>VLOOKUP(Cpi_[[#This Row],[Attribute]],#REF!,2,FALSE)</f>
        <v>#REF!</v>
      </c>
      <c r="F5850">
        <v>149.9</v>
      </c>
      <c r="G5850">
        <f>(Cpi_[[#This Row],[Value]]-F5849)/F5849</f>
        <v>3.3080634045485953E-2</v>
      </c>
      <c r="H5850" t="e" cm="1" vm="1">
        <f t="array" aca="1" ref="H5850" ca="1">VLOOKUP(Cpi_[[#This Row],[Year]:[Month]],crudeoil[],3,FALSE)</f>
        <v>#VALUE!</v>
      </c>
    </row>
    <row r="5851" spans="1:8" hidden="1" x14ac:dyDescent="0.3">
      <c r="A5851" t="s">
        <v>30</v>
      </c>
      <c r="B5851">
        <v>2019</v>
      </c>
      <c r="C5851" t="s">
        <v>31</v>
      </c>
      <c r="D5851" t="s">
        <v>20</v>
      </c>
      <c r="E5851" t="e">
        <f>VLOOKUP(Cpi_[[#This Row],[Attribute]],#REF!,2,FALSE)</f>
        <v>#REF!</v>
      </c>
      <c r="F5851" t="s">
        <v>32</v>
      </c>
      <c r="G5851" t="e">
        <f>(Cpi_[[#This Row],[Value]]-F5850)/F5850</f>
        <v>#VALUE!</v>
      </c>
      <c r="H5851" t="e" cm="1" vm="1">
        <f t="array" aca="1" ref="H5851" ca="1">VLOOKUP(Cpi_[[#This Row],[Year]:[Month]],crudeoil[],3,FALSE)</f>
        <v>#VALUE!</v>
      </c>
    </row>
    <row r="5852" spans="1:8" hidden="1" x14ac:dyDescent="0.3">
      <c r="A5852" t="s">
        <v>30</v>
      </c>
      <c r="B5852">
        <v>2019</v>
      </c>
      <c r="C5852" t="s">
        <v>31</v>
      </c>
      <c r="D5852" t="s">
        <v>21</v>
      </c>
      <c r="E5852" t="e">
        <f>VLOOKUP(Cpi_[[#This Row],[Attribute]],#REF!,2,FALSE)</f>
        <v>#REF!</v>
      </c>
      <c r="F5852">
        <v>146.19999999999999</v>
      </c>
      <c r="G5852" t="e">
        <f>(Cpi_[[#This Row],[Value]]-F5851)/F5851</f>
        <v>#VALUE!</v>
      </c>
      <c r="H5852" t="e" cm="1" vm="1">
        <f t="array" aca="1" ref="H5852" ca="1">VLOOKUP(Cpi_[[#This Row],[Year]:[Month]],crudeoil[],3,FALSE)</f>
        <v>#VALUE!</v>
      </c>
    </row>
    <row r="5853" spans="1:8" hidden="1" x14ac:dyDescent="0.3">
      <c r="A5853" t="s">
        <v>30</v>
      </c>
      <c r="B5853">
        <v>2019</v>
      </c>
      <c r="C5853" t="s">
        <v>31</v>
      </c>
      <c r="D5853" t="s">
        <v>22</v>
      </c>
      <c r="E5853" t="e">
        <f>VLOOKUP(Cpi_[[#This Row],[Attribute]],#REF!,2,FALSE)</f>
        <v>#REF!</v>
      </c>
      <c r="F5853">
        <v>150.1</v>
      </c>
      <c r="G5853">
        <f>(Cpi_[[#This Row],[Value]]-F5852)/F5852</f>
        <v>2.6675786593707292E-2</v>
      </c>
      <c r="H5853" t="e" cm="1" vm="1">
        <f t="array" aca="1" ref="H5853" ca="1">VLOOKUP(Cpi_[[#This Row],[Year]:[Month]],crudeoil[],3,FALSE)</f>
        <v>#VALUE!</v>
      </c>
    </row>
    <row r="5854" spans="1:8" hidden="1" x14ac:dyDescent="0.3">
      <c r="A5854" t="s">
        <v>30</v>
      </c>
      <c r="B5854">
        <v>2019</v>
      </c>
      <c r="C5854" t="s">
        <v>31</v>
      </c>
      <c r="D5854" t="s">
        <v>23</v>
      </c>
      <c r="E5854" t="e">
        <f>VLOOKUP(Cpi_[[#This Row],[Attribute]],#REF!,2,FALSE)</f>
        <v>#REF!</v>
      </c>
      <c r="F5854">
        <v>149.6</v>
      </c>
      <c r="G5854">
        <f>(Cpi_[[#This Row],[Value]]-F5853)/F5853</f>
        <v>-3.3311125916055963E-3</v>
      </c>
      <c r="H5854" t="e" cm="1" vm="1">
        <f t="array" aca="1" ref="H5854" ca="1">VLOOKUP(Cpi_[[#This Row],[Year]:[Month]],crudeoil[],3,FALSE)</f>
        <v>#VALUE!</v>
      </c>
    </row>
    <row r="5855" spans="1:8" hidden="1" x14ac:dyDescent="0.3">
      <c r="A5855" t="s">
        <v>30</v>
      </c>
      <c r="B5855">
        <v>2019</v>
      </c>
      <c r="C5855" t="s">
        <v>31</v>
      </c>
      <c r="D5855" t="s">
        <v>24</v>
      </c>
      <c r="E5855" t="e">
        <f>VLOOKUP(Cpi_[[#This Row],[Attribute]],#REF!,2,FALSE)</f>
        <v>#REF!</v>
      </c>
      <c r="F5855">
        <v>128.6</v>
      </c>
      <c r="G5855">
        <f>(Cpi_[[#This Row],[Value]]-F5854)/F5854</f>
        <v>-0.14037433155080214</v>
      </c>
      <c r="H5855" t="e" cm="1" vm="1">
        <f t="array" aca="1" ref="H5855" ca="1">VLOOKUP(Cpi_[[#This Row],[Year]:[Month]],crudeoil[],3,FALSE)</f>
        <v>#VALUE!</v>
      </c>
    </row>
    <row r="5856" spans="1:8" hidden="1" x14ac:dyDescent="0.3">
      <c r="A5856" t="s">
        <v>30</v>
      </c>
      <c r="B5856">
        <v>2019</v>
      </c>
      <c r="C5856" t="s">
        <v>31</v>
      </c>
      <c r="D5856" t="s">
        <v>25</v>
      </c>
      <c r="E5856" t="e">
        <f>VLOOKUP(Cpi_[[#This Row],[Attribute]],#REF!,2,FALSE)</f>
        <v>#REF!</v>
      </c>
      <c r="F5856">
        <v>142.9</v>
      </c>
      <c r="G5856">
        <f>(Cpi_[[#This Row],[Value]]-F5855)/F5855</f>
        <v>0.11119751166407474</v>
      </c>
      <c r="H5856" t="e" cm="1" vm="1">
        <f t="array" aca="1" ref="H5856" ca="1">VLOOKUP(Cpi_[[#This Row],[Year]:[Month]],crudeoil[],3,FALSE)</f>
        <v>#VALUE!</v>
      </c>
    </row>
    <row r="5857" spans="1:8" hidden="1" x14ac:dyDescent="0.3">
      <c r="A5857" t="s">
        <v>30</v>
      </c>
      <c r="B5857">
        <v>2019</v>
      </c>
      <c r="C5857" t="s">
        <v>31</v>
      </c>
      <c r="D5857" t="s">
        <v>26</v>
      </c>
      <c r="E5857" t="e">
        <f>VLOOKUP(Cpi_[[#This Row],[Attribute]],#REF!,2,FALSE)</f>
        <v>#REF!</v>
      </c>
      <c r="F5857">
        <v>155.19999999999999</v>
      </c>
      <c r="G5857">
        <f>(Cpi_[[#This Row],[Value]]-F5856)/F5856</f>
        <v>8.6074177746675876E-2</v>
      </c>
      <c r="H5857" t="e" cm="1" vm="1">
        <f t="array" aca="1" ref="H5857" ca="1">VLOOKUP(Cpi_[[#This Row],[Year]:[Month]],crudeoil[],3,FALSE)</f>
        <v>#VALUE!</v>
      </c>
    </row>
    <row r="5858" spans="1:8" hidden="1" x14ac:dyDescent="0.3">
      <c r="A5858" t="s">
        <v>30</v>
      </c>
      <c r="B5858">
        <v>2019</v>
      </c>
      <c r="C5858" t="s">
        <v>31</v>
      </c>
      <c r="D5858" t="s">
        <v>27</v>
      </c>
      <c r="E5858" t="e">
        <f>VLOOKUP(Cpi_[[#This Row],[Attribute]],#REF!,2,FALSE)</f>
        <v>#REF!</v>
      </c>
      <c r="F5858">
        <v>133.5</v>
      </c>
      <c r="G5858">
        <f>(Cpi_[[#This Row],[Value]]-F5857)/F5857</f>
        <v>-0.13981958762886593</v>
      </c>
      <c r="H5858" t="e" cm="1" vm="1">
        <f t="array" aca="1" ref="H5858" ca="1">VLOOKUP(Cpi_[[#This Row],[Year]:[Month]],crudeoil[],3,FALSE)</f>
        <v>#VALUE!</v>
      </c>
    </row>
    <row r="5859" spans="1:8" hidden="1" x14ac:dyDescent="0.3">
      <c r="A5859" t="s">
        <v>30</v>
      </c>
      <c r="B5859">
        <v>2019</v>
      </c>
      <c r="C5859" t="s">
        <v>31</v>
      </c>
      <c r="D5859" t="s">
        <v>28</v>
      </c>
      <c r="E5859" t="e">
        <f>VLOOKUP(Cpi_[[#This Row],[Attribute]],#REF!,2,FALSE)</f>
        <v>#REF!</v>
      </c>
      <c r="F5859">
        <v>141.69999999999999</v>
      </c>
      <c r="G5859">
        <f>(Cpi_[[#This Row],[Value]]-F5858)/F5858</f>
        <v>6.1423220973782687E-2</v>
      </c>
      <c r="H5859" t="e" cm="1" vm="1">
        <f t="array" aca="1" ref="H5859" ca="1">VLOOKUP(Cpi_[[#This Row],[Year]:[Month]],crudeoil[],3,FALSE)</f>
        <v>#VALUE!</v>
      </c>
    </row>
    <row r="5860" spans="1:8" hidden="1" x14ac:dyDescent="0.3">
      <c r="A5860" t="s">
        <v>30</v>
      </c>
      <c r="B5860">
        <v>2019</v>
      </c>
      <c r="C5860" t="s">
        <v>31</v>
      </c>
      <c r="D5860" t="s">
        <v>29</v>
      </c>
      <c r="E5860" t="e" cm="1">
        <f t="array" aca="1" ref="E5860" ca="1">VLGeneral indexGeneral indexKUP(Cpi_[[#This Row],[Attribute]],#REF!,2,FALSE)</f>
        <v>#NAME?</v>
      </c>
      <c r="F5860">
        <v>141</v>
      </c>
      <c r="G5860">
        <f>(Cpi_[[#This Row],[Value]]-F5859)/F5859</f>
        <v>-4.9400141143259614E-3</v>
      </c>
      <c r="H5860" t="e" cm="1" vm="1">
        <f t="array" aca="1" ref="H5860" ca="1">VLOOKUP(Cpi_[[#This Row],[Year]:[Month]],crudeoil[],3,FALSE)</f>
        <v>#VALUE!</v>
      </c>
    </row>
    <row r="5861" spans="1:8" hidden="1" x14ac:dyDescent="0.3">
      <c r="A5861" t="s">
        <v>33</v>
      </c>
      <c r="B5861">
        <v>2019</v>
      </c>
      <c r="C5861" t="s">
        <v>31</v>
      </c>
      <c r="D5861" t="s">
        <v>3</v>
      </c>
      <c r="E5861" t="e">
        <f>VLOOKUP(Cpi_[[#This Row],[Attribute]],#REF!,2,FALSE)</f>
        <v>#REF!</v>
      </c>
      <c r="F5861">
        <v>138.30000000000001</v>
      </c>
      <c r="G5861">
        <f>(Cpi_[[#This Row],[Value]]-F5860)/F5860</f>
        <v>-1.9148936170212686E-2</v>
      </c>
      <c r="H5861" t="e" cm="1" vm="1">
        <f t="array" aca="1" ref="H5861" ca="1">VLOOKUP(Cpi_[[#This Row],[Year]:[Month]],crudeoil[],3,FALSE)</f>
        <v>#VALUE!</v>
      </c>
    </row>
    <row r="5862" spans="1:8" hidden="1" x14ac:dyDescent="0.3">
      <c r="A5862" t="s">
        <v>33</v>
      </c>
      <c r="B5862">
        <v>2019</v>
      </c>
      <c r="C5862" t="s">
        <v>31</v>
      </c>
      <c r="D5862" t="s">
        <v>4</v>
      </c>
      <c r="E5862" t="e">
        <f>VLOOKUP(Cpi_[[#This Row],[Attribute]],#REF!,2,FALSE)</f>
        <v>#REF!</v>
      </c>
      <c r="F5862">
        <v>149.4</v>
      </c>
      <c r="G5862">
        <f>(Cpi_[[#This Row],[Value]]-F5861)/F5861</f>
        <v>8.0260303687635523E-2</v>
      </c>
      <c r="H5862" t="e" cm="1" vm="1">
        <f t="array" aca="1" ref="H5862" ca="1">VLOOKUP(Cpi_[[#This Row],[Year]:[Month]],crudeoil[],3,FALSE)</f>
        <v>#VALUE!</v>
      </c>
    </row>
    <row r="5863" spans="1:8" hidden="1" x14ac:dyDescent="0.3">
      <c r="A5863" t="s">
        <v>33</v>
      </c>
      <c r="B5863">
        <v>2019</v>
      </c>
      <c r="C5863" t="s">
        <v>31</v>
      </c>
      <c r="D5863" t="s">
        <v>5</v>
      </c>
      <c r="E5863" t="e">
        <f>VLOOKUP(Cpi_[[#This Row],[Attribute]],#REF!,2,FALSE)</f>
        <v>#REF!</v>
      </c>
      <c r="F5863">
        <v>143.5</v>
      </c>
      <c r="G5863">
        <f>(Cpi_[[#This Row],[Value]]-F5862)/F5862</f>
        <v>-3.9491298527443139E-2</v>
      </c>
      <c r="H5863" t="e" cm="1" vm="1">
        <f t="array" aca="1" ref="H5863" ca="1">VLOOKUP(Cpi_[[#This Row],[Year]:[Month]],crudeoil[],3,FALSE)</f>
        <v>#VALUE!</v>
      </c>
    </row>
    <row r="5864" spans="1:8" hidden="1" x14ac:dyDescent="0.3">
      <c r="A5864" t="s">
        <v>33</v>
      </c>
      <c r="B5864">
        <v>2019</v>
      </c>
      <c r="C5864" t="s">
        <v>31</v>
      </c>
      <c r="D5864" t="s">
        <v>6</v>
      </c>
      <c r="E5864" t="e">
        <f>VLOOKUP(Cpi_[[#This Row],[Attribute]],#REF!,2,FALSE)</f>
        <v>#REF!</v>
      </c>
      <c r="F5864">
        <v>141.69999999999999</v>
      </c>
      <c r="G5864">
        <f>(Cpi_[[#This Row],[Value]]-F5863)/F5863</f>
        <v>-1.2543554006968721E-2</v>
      </c>
      <c r="H5864" t="e" cm="1" vm="1">
        <f t="array" aca="1" ref="H5864" ca="1">VLOOKUP(Cpi_[[#This Row],[Year]:[Month]],crudeoil[],3,FALSE)</f>
        <v>#VALUE!</v>
      </c>
    </row>
    <row r="5865" spans="1:8" hidden="1" x14ac:dyDescent="0.3">
      <c r="A5865" t="s">
        <v>33</v>
      </c>
      <c r="B5865">
        <v>2019</v>
      </c>
      <c r="C5865" t="s">
        <v>31</v>
      </c>
      <c r="D5865" t="s">
        <v>7</v>
      </c>
      <c r="E5865" t="e">
        <f>VLOOKUP(Cpi_[[#This Row],[Attribute]],#REF!,2,FALSE)</f>
        <v>#REF!</v>
      </c>
      <c r="F5865">
        <v>118.1</v>
      </c>
      <c r="G5865">
        <f>(Cpi_[[#This Row],[Value]]-F5864)/F5864</f>
        <v>-0.16654904728299222</v>
      </c>
      <c r="H5865" t="e" cm="1" vm="1">
        <f t="array" aca="1" ref="H5865" ca="1">VLOOKUP(Cpi_[[#This Row],[Year]:[Month]],crudeoil[],3,FALSE)</f>
        <v>#VALUE!</v>
      </c>
    </row>
    <row r="5866" spans="1:8" hidden="1" x14ac:dyDescent="0.3">
      <c r="A5866" t="s">
        <v>33</v>
      </c>
      <c r="B5866">
        <v>2019</v>
      </c>
      <c r="C5866" t="s">
        <v>31</v>
      </c>
      <c r="D5866" t="s">
        <v>8</v>
      </c>
      <c r="E5866" t="e">
        <f>VLOOKUP(Cpi_[[#This Row],[Attribute]],#REF!,2,FALSE)</f>
        <v>#REF!</v>
      </c>
      <c r="F5866">
        <v>135.19999999999999</v>
      </c>
      <c r="G5866">
        <f>(Cpi_[[#This Row],[Value]]-F5865)/F5865</f>
        <v>0.14479254868755287</v>
      </c>
      <c r="H5866" t="e" cm="1" vm="1">
        <f t="array" aca="1" ref="H5866" ca="1">VLOOKUP(Cpi_[[#This Row],[Year]:[Month]],crudeoil[],3,FALSE)</f>
        <v>#VALUE!</v>
      </c>
    </row>
    <row r="5867" spans="1:8" hidden="1" x14ac:dyDescent="0.3">
      <c r="A5867" t="s">
        <v>33</v>
      </c>
      <c r="B5867">
        <v>2019</v>
      </c>
      <c r="C5867" t="s">
        <v>31</v>
      </c>
      <c r="D5867" t="s">
        <v>9</v>
      </c>
      <c r="E5867" t="e">
        <f>VLOOKUP(Cpi_[[#This Row],[Attribute]],#REF!,2,FALSE)</f>
        <v>#REF!</v>
      </c>
      <c r="F5867">
        <v>130.5</v>
      </c>
      <c r="G5867">
        <f>(Cpi_[[#This Row],[Value]]-F5866)/F5866</f>
        <v>-3.4763313609467376E-2</v>
      </c>
      <c r="H5867" t="e" cm="1" vm="1">
        <f t="array" aca="1" ref="H5867" ca="1">VLOOKUP(Cpi_[[#This Row],[Year]:[Month]],crudeoil[],3,FALSE)</f>
        <v>#VALUE!</v>
      </c>
    </row>
    <row r="5868" spans="1:8" hidden="1" x14ac:dyDescent="0.3">
      <c r="A5868" t="s">
        <v>33</v>
      </c>
      <c r="B5868">
        <v>2019</v>
      </c>
      <c r="C5868" t="s">
        <v>31</v>
      </c>
      <c r="D5868" t="s">
        <v>10</v>
      </c>
      <c r="E5868" t="e">
        <f>VLOOKUP(Cpi_[[#This Row],[Attribute]],#REF!,2,FALSE)</f>
        <v>#REF!</v>
      </c>
      <c r="F5868">
        <v>118.2</v>
      </c>
      <c r="G5868">
        <f>(Cpi_[[#This Row],[Value]]-F5867)/F5867</f>
        <v>-9.4252873563218376E-2</v>
      </c>
      <c r="H5868" t="e" cm="1" vm="1">
        <f t="array" aca="1" ref="H5868" ca="1">VLOOKUP(Cpi_[[#This Row],[Year]:[Month]],crudeoil[],3,FALSE)</f>
        <v>#VALUE!</v>
      </c>
    </row>
    <row r="5869" spans="1:8" hidden="1" x14ac:dyDescent="0.3">
      <c r="A5869" t="s">
        <v>33</v>
      </c>
      <c r="B5869">
        <v>2019</v>
      </c>
      <c r="C5869" t="s">
        <v>31</v>
      </c>
      <c r="D5869" t="s">
        <v>11</v>
      </c>
      <c r="E5869" t="e">
        <f>VLOOKUP(Cpi_[[#This Row],[Attribute]],#REF!,2,FALSE)</f>
        <v>#REF!</v>
      </c>
      <c r="F5869">
        <v>110.4</v>
      </c>
      <c r="G5869">
        <f>(Cpi_[[#This Row],[Value]]-F5868)/F5868</f>
        <v>-6.5989847715736016E-2</v>
      </c>
      <c r="H5869" t="e" cm="1" vm="1">
        <f t="array" aca="1" ref="H5869" ca="1">VLOOKUP(Cpi_[[#This Row],[Year]:[Month]],crudeoil[],3,FALSE)</f>
        <v>#VALUE!</v>
      </c>
    </row>
    <row r="5870" spans="1:8" hidden="1" x14ac:dyDescent="0.3">
      <c r="A5870" t="s">
        <v>33</v>
      </c>
      <c r="B5870">
        <v>2019</v>
      </c>
      <c r="C5870" t="s">
        <v>31</v>
      </c>
      <c r="D5870" t="s">
        <v>12</v>
      </c>
      <c r="E5870" t="e">
        <f>VLOOKUP(Cpi_[[#This Row],[Attribute]],#REF!,2,FALSE)</f>
        <v>#REF!</v>
      </c>
      <c r="F5870">
        <v>140.4</v>
      </c>
      <c r="G5870">
        <f>(Cpi_[[#This Row],[Value]]-F5869)/F5869</f>
        <v>0.27173913043478259</v>
      </c>
      <c r="H5870" t="e" cm="1" vm="1">
        <f t="array" aca="1" ref="H5870" ca="1">VLOOKUP(Cpi_[[#This Row],[Year]:[Month]],crudeoil[],3,FALSE)</f>
        <v>#VALUE!</v>
      </c>
    </row>
    <row r="5871" spans="1:8" hidden="1" x14ac:dyDescent="0.3">
      <c r="A5871" t="s">
        <v>33</v>
      </c>
      <c r="B5871">
        <v>2019</v>
      </c>
      <c r="C5871" t="s">
        <v>31</v>
      </c>
      <c r="D5871" t="s">
        <v>13</v>
      </c>
      <c r="E5871" t="e">
        <f>VLOOKUP(Cpi_[[#This Row],[Attribute]],#REF!,2,FALSE)</f>
        <v>#REF!</v>
      </c>
      <c r="F5871">
        <v>128.1</v>
      </c>
      <c r="G5871">
        <f>(Cpi_[[#This Row],[Value]]-F5870)/F5870</f>
        <v>-8.7606837606837684E-2</v>
      </c>
      <c r="H5871" t="e" cm="1" vm="1">
        <f t="array" aca="1" ref="H5871" ca="1">VLOOKUP(Cpi_[[#This Row],[Year]:[Month]],crudeoil[],3,FALSE)</f>
        <v>#VALUE!</v>
      </c>
    </row>
    <row r="5872" spans="1:8" hidden="1" x14ac:dyDescent="0.3">
      <c r="A5872" t="s">
        <v>33</v>
      </c>
      <c r="B5872">
        <v>2019</v>
      </c>
      <c r="C5872" t="s">
        <v>31</v>
      </c>
      <c r="D5872" t="s">
        <v>14</v>
      </c>
      <c r="E5872" t="e">
        <f>VLOOKUP(Cpi_[[#This Row],[Attribute]],#REF!,2,FALSE)</f>
        <v>#REF!</v>
      </c>
      <c r="F5872">
        <v>153.19999999999999</v>
      </c>
      <c r="G5872">
        <f>(Cpi_[[#This Row],[Value]]-F5871)/F5871</f>
        <v>0.19594067135050738</v>
      </c>
      <c r="H5872" t="e" cm="1" vm="1">
        <f t="array" aca="1" ref="H5872" ca="1">VLOOKUP(Cpi_[[#This Row],[Year]:[Month]],crudeoil[],3,FALSE)</f>
        <v>#VALUE!</v>
      </c>
    </row>
    <row r="5873" spans="1:8" hidden="1" x14ac:dyDescent="0.3">
      <c r="A5873" t="s">
        <v>33</v>
      </c>
      <c r="B5873">
        <v>2019</v>
      </c>
      <c r="C5873" t="s">
        <v>31</v>
      </c>
      <c r="D5873" t="s">
        <v>15</v>
      </c>
      <c r="E5873" t="e">
        <f>VLOOKUP(Cpi_[[#This Row],[Attribute]],#REF!,2,FALSE)</f>
        <v>#REF!</v>
      </c>
      <c r="F5873">
        <v>137.30000000000001</v>
      </c>
      <c r="G5873">
        <f>(Cpi_[[#This Row],[Value]]-F5872)/F5872</f>
        <v>-0.10378590078328967</v>
      </c>
      <c r="H5873" t="e" cm="1" vm="1">
        <f t="array" aca="1" ref="H5873" ca="1">VLOOKUP(Cpi_[[#This Row],[Year]:[Month]],crudeoil[],3,FALSE)</f>
        <v>#VALUE!</v>
      </c>
    </row>
    <row r="5874" spans="1:8" hidden="1" x14ac:dyDescent="0.3">
      <c r="A5874" t="s">
        <v>33</v>
      </c>
      <c r="B5874">
        <v>2019</v>
      </c>
      <c r="C5874" t="s">
        <v>31</v>
      </c>
      <c r="D5874" t="s">
        <v>16</v>
      </c>
      <c r="E5874" t="e">
        <f>VLOOKUP(Cpi_[[#This Row],[Attribute]],#REF!,2,FALSE)</f>
        <v>#REF!</v>
      </c>
      <c r="F5874">
        <v>164.7</v>
      </c>
      <c r="G5874">
        <f>(Cpi_[[#This Row],[Value]]-F5873)/F5873</f>
        <v>0.19956300072833194</v>
      </c>
      <c r="H5874" t="e" cm="1" vm="1">
        <f t="array" aca="1" ref="H5874" ca="1">VLOOKUP(Cpi_[[#This Row],[Year]:[Month]],crudeoil[],3,FALSE)</f>
        <v>#VALUE!</v>
      </c>
    </row>
    <row r="5875" spans="1:8" hidden="1" x14ac:dyDescent="0.3">
      <c r="A5875" t="s">
        <v>33</v>
      </c>
      <c r="B5875">
        <v>2019</v>
      </c>
      <c r="C5875" t="s">
        <v>31</v>
      </c>
      <c r="D5875" t="s">
        <v>17</v>
      </c>
      <c r="E5875" t="e">
        <f>VLOOKUP(Cpi_[[#This Row],[Attribute]],#REF!,2,FALSE)</f>
        <v>#REF!</v>
      </c>
      <c r="F5875">
        <v>143</v>
      </c>
      <c r="G5875">
        <f>(Cpi_[[#This Row],[Value]]-F5874)/F5874</f>
        <v>-0.13175470552519727</v>
      </c>
      <c r="H5875" t="e" cm="1" vm="1">
        <f t="array" aca="1" ref="H5875" ca="1">VLOOKUP(Cpi_[[#This Row],[Year]:[Month]],crudeoil[],3,FALSE)</f>
        <v>#VALUE!</v>
      </c>
    </row>
    <row r="5876" spans="1:8" hidden="1" x14ac:dyDescent="0.3">
      <c r="A5876" t="s">
        <v>33</v>
      </c>
      <c r="B5876">
        <v>2019</v>
      </c>
      <c r="C5876" t="s">
        <v>31</v>
      </c>
      <c r="D5876" t="s">
        <v>18</v>
      </c>
      <c r="E5876" t="e">
        <f>VLOOKUP(Cpi_[[#This Row],[Attribute]],#REF!,2,FALSE)</f>
        <v>#REF!</v>
      </c>
      <c r="F5876">
        <v>130.4</v>
      </c>
      <c r="G5876">
        <f>(Cpi_[[#This Row],[Value]]-F5875)/F5875</f>
        <v>-8.8111888111888068E-2</v>
      </c>
      <c r="H5876" t="e" cm="1" vm="1">
        <f t="array" aca="1" ref="H5876" ca="1">VLOOKUP(Cpi_[[#This Row],[Year]:[Month]],crudeoil[],3,FALSE)</f>
        <v>#VALUE!</v>
      </c>
    </row>
    <row r="5877" spans="1:8" hidden="1" x14ac:dyDescent="0.3">
      <c r="A5877" t="s">
        <v>33</v>
      </c>
      <c r="B5877">
        <v>2019</v>
      </c>
      <c r="C5877" t="s">
        <v>31</v>
      </c>
      <c r="D5877" t="s">
        <v>19</v>
      </c>
      <c r="E5877" t="e">
        <f>VLOOKUP(Cpi_[[#This Row],[Attribute]],#REF!,2,FALSE)</f>
        <v>#REF!</v>
      </c>
      <c r="F5877">
        <v>141.1</v>
      </c>
      <c r="G5877">
        <f>(Cpi_[[#This Row],[Value]]-F5876)/F5876</f>
        <v>8.2055214723926295E-2</v>
      </c>
      <c r="H5877" t="e" cm="1" vm="1">
        <f t="array" aca="1" ref="H5877" ca="1">VLOOKUP(Cpi_[[#This Row],[Year]:[Month]],crudeoil[],3,FALSE)</f>
        <v>#VALUE!</v>
      </c>
    </row>
    <row r="5878" spans="1:8" hidden="1" x14ac:dyDescent="0.3">
      <c r="A5878" t="s">
        <v>33</v>
      </c>
      <c r="B5878">
        <v>2019</v>
      </c>
      <c r="C5878" t="s">
        <v>31</v>
      </c>
      <c r="D5878" t="s">
        <v>20</v>
      </c>
      <c r="E5878" t="e">
        <f>VLOOKUP(Cpi_[[#This Row],[Attribute]],#REF!,2,FALSE)</f>
        <v>#REF!</v>
      </c>
      <c r="F5878">
        <v>147.69999999999999</v>
      </c>
      <c r="G5878">
        <f>(Cpi_[[#This Row],[Value]]-F5877)/F5877</f>
        <v>4.6775336640680329E-2</v>
      </c>
      <c r="H5878" t="e" cm="1" vm="1">
        <f t="array" aca="1" ref="H5878" ca="1">VLOOKUP(Cpi_[[#This Row],[Year]:[Month]],crudeoil[],3,FALSE)</f>
        <v>#VALUE!</v>
      </c>
    </row>
    <row r="5879" spans="1:8" hidden="1" x14ac:dyDescent="0.3">
      <c r="A5879" t="s">
        <v>33</v>
      </c>
      <c r="B5879">
        <v>2019</v>
      </c>
      <c r="C5879" t="s">
        <v>31</v>
      </c>
      <c r="D5879" t="s">
        <v>21</v>
      </c>
      <c r="E5879" t="e">
        <f>VLOOKUP(Cpi_[[#This Row],[Attribute]],#REF!,2,FALSE)</f>
        <v>#REF!</v>
      </c>
      <c r="F5879">
        <v>128.6</v>
      </c>
      <c r="G5879">
        <f>(Cpi_[[#This Row],[Value]]-F5878)/F5878</f>
        <v>-0.12931618144888285</v>
      </c>
      <c r="H5879" t="e" cm="1" vm="1">
        <f t="array" aca="1" ref="H5879" ca="1">VLOOKUP(Cpi_[[#This Row],[Year]:[Month]],crudeoil[],3,FALSE)</f>
        <v>#VALUE!</v>
      </c>
    </row>
    <row r="5880" spans="1:8" hidden="1" x14ac:dyDescent="0.3">
      <c r="A5880" t="s">
        <v>33</v>
      </c>
      <c r="B5880">
        <v>2019</v>
      </c>
      <c r="C5880" t="s">
        <v>31</v>
      </c>
      <c r="D5880" t="s">
        <v>22</v>
      </c>
      <c r="E5880" t="e">
        <f>VLOOKUP(Cpi_[[#This Row],[Attribute]],#REF!,2,FALSE)</f>
        <v>#REF!</v>
      </c>
      <c r="F5880">
        <v>136.30000000000001</v>
      </c>
      <c r="G5880">
        <f>(Cpi_[[#This Row],[Value]]-F5879)/F5879</f>
        <v>5.9875583203732638E-2</v>
      </c>
      <c r="H5880" t="e" cm="1" vm="1">
        <f t="array" aca="1" ref="H5880" ca="1">VLOOKUP(Cpi_[[#This Row],[Year]:[Month]],crudeoil[],3,FALSE)</f>
        <v>#VALUE!</v>
      </c>
    </row>
    <row r="5881" spans="1:8" hidden="1" x14ac:dyDescent="0.3">
      <c r="A5881" t="s">
        <v>33</v>
      </c>
      <c r="B5881">
        <v>2019</v>
      </c>
      <c r="C5881" t="s">
        <v>31</v>
      </c>
      <c r="D5881" t="s">
        <v>23</v>
      </c>
      <c r="E5881" t="e">
        <f>VLOOKUP(Cpi_[[#This Row],[Attribute]],#REF!,2,FALSE)</f>
        <v>#REF!</v>
      </c>
      <c r="F5881">
        <v>137.80000000000001</v>
      </c>
      <c r="G5881">
        <f>(Cpi_[[#This Row],[Value]]-F5880)/F5880</f>
        <v>1.1005135730007335E-2</v>
      </c>
      <c r="H5881" t="e" cm="1" vm="1">
        <f t="array" aca="1" ref="H5881" ca="1">VLOOKUP(Cpi_[[#This Row],[Year]:[Month]],crudeoil[],3,FALSE)</f>
        <v>#VALUE!</v>
      </c>
    </row>
    <row r="5882" spans="1:8" hidden="1" x14ac:dyDescent="0.3">
      <c r="A5882" t="s">
        <v>33</v>
      </c>
      <c r="B5882">
        <v>2019</v>
      </c>
      <c r="C5882" t="s">
        <v>31</v>
      </c>
      <c r="D5882" t="s">
        <v>24</v>
      </c>
      <c r="E5882" t="e">
        <f>VLOOKUP(Cpi_[[#This Row],[Attribute]],#REF!,2,FALSE)</f>
        <v>#REF!</v>
      </c>
      <c r="F5882">
        <v>118.6</v>
      </c>
      <c r="G5882">
        <f>(Cpi_[[#This Row],[Value]]-F5881)/F5881</f>
        <v>-0.13933236574746019</v>
      </c>
      <c r="H5882" t="e" cm="1" vm="1">
        <f t="array" aca="1" ref="H5882" ca="1">VLOOKUP(Cpi_[[#This Row],[Year]:[Month]],crudeoil[],3,FALSE)</f>
        <v>#VALUE!</v>
      </c>
    </row>
    <row r="5883" spans="1:8" hidden="1" x14ac:dyDescent="0.3">
      <c r="A5883" t="s">
        <v>33</v>
      </c>
      <c r="B5883">
        <v>2019</v>
      </c>
      <c r="C5883" t="s">
        <v>31</v>
      </c>
      <c r="D5883" t="s">
        <v>25</v>
      </c>
      <c r="E5883" t="e">
        <f>VLOOKUP(Cpi_[[#This Row],[Attribute]],#REF!,2,FALSE)</f>
        <v>#REF!</v>
      </c>
      <c r="F5883">
        <v>131.9</v>
      </c>
      <c r="G5883">
        <f>(Cpi_[[#This Row],[Value]]-F5882)/F5882</f>
        <v>0.11214165261382809</v>
      </c>
      <c r="H5883" t="e" cm="1" vm="1">
        <f t="array" aca="1" ref="H5883" ca="1">VLOOKUP(Cpi_[[#This Row],[Year]:[Month]],crudeoil[],3,FALSE)</f>
        <v>#VALUE!</v>
      </c>
    </row>
    <row r="5884" spans="1:8" hidden="1" x14ac:dyDescent="0.3">
      <c r="A5884" t="s">
        <v>33</v>
      </c>
      <c r="B5884">
        <v>2019</v>
      </c>
      <c r="C5884" t="s">
        <v>31</v>
      </c>
      <c r="D5884" t="s">
        <v>26</v>
      </c>
      <c r="E5884" t="e">
        <f>VLOOKUP(Cpi_[[#This Row],[Attribute]],#REF!,2,FALSE)</f>
        <v>#REF!</v>
      </c>
      <c r="F5884">
        <v>146.6</v>
      </c>
      <c r="G5884">
        <f>(Cpi_[[#This Row],[Value]]-F5883)/F5883</f>
        <v>0.11144806671720991</v>
      </c>
      <c r="H5884" t="e" cm="1" vm="1">
        <f t="array" aca="1" ref="H5884" ca="1">VLOOKUP(Cpi_[[#This Row],[Year]:[Month]],crudeoil[],3,FALSE)</f>
        <v>#VALUE!</v>
      </c>
    </row>
    <row r="5885" spans="1:8" hidden="1" x14ac:dyDescent="0.3">
      <c r="A5885" t="s">
        <v>33</v>
      </c>
      <c r="B5885">
        <v>2019</v>
      </c>
      <c r="C5885" t="s">
        <v>31</v>
      </c>
      <c r="D5885" t="s">
        <v>27</v>
      </c>
      <c r="E5885" t="e">
        <f>VLOOKUP(Cpi_[[#This Row],[Attribute]],#REF!,2,FALSE)</f>
        <v>#REF!</v>
      </c>
      <c r="F5885">
        <v>131.69999999999999</v>
      </c>
      <c r="G5885">
        <f>(Cpi_[[#This Row],[Value]]-F5884)/F5884</f>
        <v>-0.10163710777626198</v>
      </c>
      <c r="H5885" t="e" cm="1" vm="1">
        <f t="array" aca="1" ref="H5885" ca="1">VLOOKUP(Cpi_[[#This Row],[Year]:[Month]],crudeoil[],3,FALSE)</f>
        <v>#VALUE!</v>
      </c>
    </row>
    <row r="5886" spans="1:8" hidden="1" x14ac:dyDescent="0.3">
      <c r="A5886" t="s">
        <v>33</v>
      </c>
      <c r="B5886">
        <v>2019</v>
      </c>
      <c r="C5886" t="s">
        <v>31</v>
      </c>
      <c r="D5886" t="s">
        <v>28</v>
      </c>
      <c r="E5886" t="e">
        <f>VLOOKUP(Cpi_[[#This Row],[Attribute]],#REF!,2,FALSE)</f>
        <v>#REF!</v>
      </c>
      <c r="F5886">
        <v>131.80000000000001</v>
      </c>
      <c r="G5886">
        <f>(Cpi_[[#This Row],[Value]]-F5885)/F5885</f>
        <v>7.5930144267291383E-4</v>
      </c>
      <c r="H5886" t="e" cm="1" vm="1">
        <f t="array" aca="1" ref="H5886" ca="1">VLOOKUP(Cpi_[[#This Row],[Year]:[Month]],crudeoil[],3,FALSE)</f>
        <v>#VALUE!</v>
      </c>
    </row>
    <row r="5887" spans="1:8" hidden="1" x14ac:dyDescent="0.3">
      <c r="A5887" t="s">
        <v>33</v>
      </c>
      <c r="B5887">
        <v>2019</v>
      </c>
      <c r="C5887" t="s">
        <v>31</v>
      </c>
      <c r="D5887" t="s">
        <v>29</v>
      </c>
      <c r="E5887" t="e" cm="1">
        <f t="array" aca="1" ref="E5887" ca="1">VLGeneral indexGeneral indexKUP(Cpi_[[#This Row],[Attribute]],#REF!,2,FALSE)</f>
        <v>#NAME?</v>
      </c>
      <c r="F5887">
        <v>138</v>
      </c>
      <c r="G5887">
        <f>(Cpi_[[#This Row],[Value]]-F5886)/F5886</f>
        <v>4.7040971168436939E-2</v>
      </c>
      <c r="H5887" t="e" cm="1" vm="1">
        <f t="array" aca="1" ref="H5887" ca="1">VLOOKUP(Cpi_[[#This Row],[Year]:[Month]],crudeoil[],3,FALSE)</f>
        <v>#VALUE!</v>
      </c>
    </row>
    <row r="5888" spans="1:8" hidden="1" x14ac:dyDescent="0.3">
      <c r="A5888" t="s">
        <v>34</v>
      </c>
      <c r="B5888">
        <v>2019</v>
      </c>
      <c r="C5888" t="s">
        <v>31</v>
      </c>
      <c r="D5888" t="s">
        <v>3</v>
      </c>
      <c r="E5888" t="e">
        <f>VLOOKUP(Cpi_[[#This Row],[Attribute]],#REF!,2,FALSE)</f>
        <v>#REF!</v>
      </c>
      <c r="F5888">
        <v>137.1</v>
      </c>
      <c r="G5888">
        <f>(Cpi_[[#This Row],[Value]]-F5887)/F5887</f>
        <v>-6.5217391304348239E-3</v>
      </c>
      <c r="H5888" t="e" cm="1" vm="1">
        <f t="array" aca="1" ref="H5888" ca="1">VLOOKUP(Cpi_[[#This Row],[Year]:[Month]],crudeoil[],3,FALSE)</f>
        <v>#VALUE!</v>
      </c>
    </row>
    <row r="5889" spans="1:8" hidden="1" x14ac:dyDescent="0.3">
      <c r="A5889" t="s">
        <v>34</v>
      </c>
      <c r="B5889">
        <v>2019</v>
      </c>
      <c r="C5889" t="s">
        <v>31</v>
      </c>
      <c r="D5889" t="s">
        <v>4</v>
      </c>
      <c r="E5889" t="e">
        <f>VLOOKUP(Cpi_[[#This Row],[Attribute]],#REF!,2,FALSE)</f>
        <v>#REF!</v>
      </c>
      <c r="F5889">
        <v>151.4</v>
      </c>
      <c r="G5889">
        <f>(Cpi_[[#This Row],[Value]]-F5888)/F5888</f>
        <v>0.10430342815463174</v>
      </c>
      <c r="H5889" t="e" cm="1" vm="1">
        <f t="array" aca="1" ref="H5889" ca="1">VLOOKUP(Cpi_[[#This Row],[Year]:[Month]],crudeoil[],3,FALSE)</f>
        <v>#VALUE!</v>
      </c>
    </row>
    <row r="5890" spans="1:8" hidden="1" x14ac:dyDescent="0.3">
      <c r="A5890" t="s">
        <v>34</v>
      </c>
      <c r="B5890">
        <v>2019</v>
      </c>
      <c r="C5890" t="s">
        <v>31</v>
      </c>
      <c r="D5890" t="s">
        <v>5</v>
      </c>
      <c r="E5890" t="e">
        <f>VLOOKUP(Cpi_[[#This Row],[Attribute]],#REF!,2,FALSE)</f>
        <v>#REF!</v>
      </c>
      <c r="F5890">
        <v>140.19999999999999</v>
      </c>
      <c r="G5890">
        <f>(Cpi_[[#This Row],[Value]]-F5889)/F5889</f>
        <v>-7.3976221928665889E-2</v>
      </c>
      <c r="H5890" t="e" cm="1" vm="1">
        <f t="array" aca="1" ref="H5890" ca="1">VLOOKUP(Cpi_[[#This Row],[Year]:[Month]],crudeoil[],3,FALSE)</f>
        <v>#VALUE!</v>
      </c>
    </row>
    <row r="5891" spans="1:8" hidden="1" x14ac:dyDescent="0.3">
      <c r="A5891" t="s">
        <v>34</v>
      </c>
      <c r="B5891">
        <v>2019</v>
      </c>
      <c r="C5891" t="s">
        <v>31</v>
      </c>
      <c r="D5891" t="s">
        <v>6</v>
      </c>
      <c r="E5891" t="e">
        <f>VLOOKUP(Cpi_[[#This Row],[Attribute]],#REF!,2,FALSE)</f>
        <v>#REF!</v>
      </c>
      <c r="F5891">
        <v>142.1</v>
      </c>
      <c r="G5891">
        <f>(Cpi_[[#This Row],[Value]]-F5890)/F5890</f>
        <v>1.3552068473609171E-2</v>
      </c>
      <c r="H5891" t="e" cm="1" vm="1">
        <f t="array" aca="1" ref="H5891" ca="1">VLOOKUP(Cpi_[[#This Row],[Year]:[Month]],crudeoil[],3,FALSE)</f>
        <v>#VALUE!</v>
      </c>
    </row>
    <row r="5892" spans="1:8" hidden="1" x14ac:dyDescent="0.3">
      <c r="A5892" t="s">
        <v>34</v>
      </c>
      <c r="B5892">
        <v>2019</v>
      </c>
      <c r="C5892" t="s">
        <v>31</v>
      </c>
      <c r="D5892" t="s">
        <v>7</v>
      </c>
      <c r="E5892" t="e">
        <f>VLOOKUP(Cpi_[[#This Row],[Attribute]],#REF!,2,FALSE)</f>
        <v>#REF!</v>
      </c>
      <c r="F5892">
        <v>121.8</v>
      </c>
      <c r="G5892">
        <f>(Cpi_[[#This Row],[Value]]-F5891)/F5891</f>
        <v>-0.14285714285714285</v>
      </c>
      <c r="H5892" t="e" cm="1" vm="1">
        <f t="array" aca="1" ref="H5892" ca="1">VLOOKUP(Cpi_[[#This Row],[Year]:[Month]],crudeoil[],3,FALSE)</f>
        <v>#VALUE!</v>
      </c>
    </row>
    <row r="5893" spans="1:8" hidden="1" x14ac:dyDescent="0.3">
      <c r="A5893" t="s">
        <v>34</v>
      </c>
      <c r="B5893">
        <v>2019</v>
      </c>
      <c r="C5893" t="s">
        <v>31</v>
      </c>
      <c r="D5893" t="s">
        <v>8</v>
      </c>
      <c r="E5893" t="e">
        <f>VLOOKUP(Cpi_[[#This Row],[Attribute]],#REF!,2,FALSE)</f>
        <v>#REF!</v>
      </c>
      <c r="F5893">
        <v>135.4</v>
      </c>
      <c r="G5893">
        <f>(Cpi_[[#This Row],[Value]]-F5892)/F5892</f>
        <v>0.11165845648604276</v>
      </c>
      <c r="H5893" t="e" cm="1" vm="1">
        <f t="array" aca="1" ref="H5893" ca="1">VLOOKUP(Cpi_[[#This Row],[Year]:[Month]],crudeoil[],3,FALSE)</f>
        <v>#VALUE!</v>
      </c>
    </row>
    <row r="5894" spans="1:8" hidden="1" x14ac:dyDescent="0.3">
      <c r="A5894" t="s">
        <v>34</v>
      </c>
      <c r="B5894">
        <v>2019</v>
      </c>
      <c r="C5894" t="s">
        <v>31</v>
      </c>
      <c r="D5894" t="s">
        <v>9</v>
      </c>
      <c r="E5894" t="e">
        <f>VLOOKUP(Cpi_[[#This Row],[Attribute]],#REF!,2,FALSE)</f>
        <v>#REF!</v>
      </c>
      <c r="F5894">
        <v>131.30000000000001</v>
      </c>
      <c r="G5894">
        <f>(Cpi_[[#This Row],[Value]]-F5893)/F5893</f>
        <v>-3.0280649926144713E-2</v>
      </c>
      <c r="H5894" t="e" cm="1" vm="1">
        <f t="array" aca="1" ref="H5894" ca="1">VLOOKUP(Cpi_[[#This Row],[Year]:[Month]],crudeoil[],3,FALSE)</f>
        <v>#VALUE!</v>
      </c>
    </row>
    <row r="5895" spans="1:8" hidden="1" x14ac:dyDescent="0.3">
      <c r="A5895" t="s">
        <v>34</v>
      </c>
      <c r="B5895">
        <v>2019</v>
      </c>
      <c r="C5895" t="s">
        <v>31</v>
      </c>
      <c r="D5895" t="s">
        <v>10</v>
      </c>
      <c r="E5895" t="e">
        <f>VLOOKUP(Cpi_[[#This Row],[Attribute]],#REF!,2,FALSE)</f>
        <v>#REF!</v>
      </c>
      <c r="F5895">
        <v>120.3</v>
      </c>
      <c r="G5895">
        <f>(Cpi_[[#This Row],[Value]]-F5894)/F5894</f>
        <v>-8.3777608530083883E-2</v>
      </c>
      <c r="H5895" t="e" cm="1" vm="1">
        <f t="array" aca="1" ref="H5895" ca="1">VLOOKUP(Cpi_[[#This Row],[Year]:[Month]],crudeoil[],3,FALSE)</f>
        <v>#VALUE!</v>
      </c>
    </row>
    <row r="5896" spans="1:8" hidden="1" x14ac:dyDescent="0.3">
      <c r="A5896" t="s">
        <v>34</v>
      </c>
      <c r="B5896">
        <v>2019</v>
      </c>
      <c r="C5896" t="s">
        <v>31</v>
      </c>
      <c r="D5896" t="s">
        <v>11</v>
      </c>
      <c r="E5896" t="e">
        <f>VLOOKUP(Cpi_[[#This Row],[Attribute]],#REF!,2,FALSE)</f>
        <v>#REF!</v>
      </c>
      <c r="F5896">
        <v>109.1</v>
      </c>
      <c r="G5896">
        <f>(Cpi_[[#This Row],[Value]]-F5895)/F5895</f>
        <v>-9.3100581878636762E-2</v>
      </c>
      <c r="H5896" t="e" cm="1" vm="1">
        <f t="array" aca="1" ref="H5896" ca="1">VLOOKUP(Cpi_[[#This Row],[Year]:[Month]],crudeoil[],3,FALSE)</f>
        <v>#VALUE!</v>
      </c>
    </row>
    <row r="5897" spans="1:8" hidden="1" x14ac:dyDescent="0.3">
      <c r="A5897" t="s">
        <v>34</v>
      </c>
      <c r="B5897">
        <v>2019</v>
      </c>
      <c r="C5897" t="s">
        <v>31</v>
      </c>
      <c r="D5897" t="s">
        <v>12</v>
      </c>
      <c r="E5897" t="e">
        <f>VLOOKUP(Cpi_[[#This Row],[Attribute]],#REF!,2,FALSE)</f>
        <v>#REF!</v>
      </c>
      <c r="F5897">
        <v>139.4</v>
      </c>
      <c r="G5897">
        <f>(Cpi_[[#This Row],[Value]]-F5896)/F5896</f>
        <v>0.27772685609532549</v>
      </c>
      <c r="H5897" t="e" cm="1" vm="1">
        <f t="array" aca="1" ref="H5897" ca="1">VLOOKUP(Cpi_[[#This Row],[Year]:[Month]],crudeoil[],3,FALSE)</f>
        <v>#VALUE!</v>
      </c>
    </row>
    <row r="5898" spans="1:8" hidden="1" x14ac:dyDescent="0.3">
      <c r="A5898" t="s">
        <v>34</v>
      </c>
      <c r="B5898">
        <v>2019</v>
      </c>
      <c r="C5898" t="s">
        <v>31</v>
      </c>
      <c r="D5898" t="s">
        <v>13</v>
      </c>
      <c r="E5898" t="e">
        <f>VLOOKUP(Cpi_[[#This Row],[Attribute]],#REF!,2,FALSE)</f>
        <v>#REF!</v>
      </c>
      <c r="F5898">
        <v>133.30000000000001</v>
      </c>
      <c r="G5898">
        <f>(Cpi_[[#This Row],[Value]]-F5897)/F5897</f>
        <v>-4.3758967001434675E-2</v>
      </c>
      <c r="H5898" t="e" cm="1" vm="1">
        <f t="array" aca="1" ref="H5898" ca="1">VLOOKUP(Cpi_[[#This Row],[Year]:[Month]],crudeoil[],3,FALSE)</f>
        <v>#VALUE!</v>
      </c>
    </row>
    <row r="5899" spans="1:8" hidden="1" x14ac:dyDescent="0.3">
      <c r="A5899" t="s">
        <v>34</v>
      </c>
      <c r="B5899">
        <v>2019</v>
      </c>
      <c r="C5899" t="s">
        <v>31</v>
      </c>
      <c r="D5899" t="s">
        <v>14</v>
      </c>
      <c r="E5899" t="e">
        <f>VLOOKUP(Cpi_[[#This Row],[Attribute]],#REF!,2,FALSE)</f>
        <v>#REF!</v>
      </c>
      <c r="F5899">
        <v>154.6</v>
      </c>
      <c r="G5899">
        <f>(Cpi_[[#This Row],[Value]]-F5898)/F5898</f>
        <v>0.15978994748687159</v>
      </c>
      <c r="H5899" t="e" cm="1" vm="1">
        <f t="array" aca="1" ref="H5899" ca="1">VLOOKUP(Cpi_[[#This Row],[Year]:[Month]],crudeoil[],3,FALSE)</f>
        <v>#VALUE!</v>
      </c>
    </row>
    <row r="5900" spans="1:8" hidden="1" x14ac:dyDescent="0.3">
      <c r="A5900" t="s">
        <v>34</v>
      </c>
      <c r="B5900">
        <v>2019</v>
      </c>
      <c r="C5900" t="s">
        <v>31</v>
      </c>
      <c r="D5900" t="s">
        <v>15</v>
      </c>
      <c r="E5900" t="e">
        <f>VLOOKUP(Cpi_[[#This Row],[Attribute]],#REF!,2,FALSE)</f>
        <v>#REF!</v>
      </c>
      <c r="F5900">
        <v>137.4</v>
      </c>
      <c r="G5900">
        <f>(Cpi_[[#This Row],[Value]]-F5899)/F5899</f>
        <v>-0.11125485122897794</v>
      </c>
      <c r="H5900" t="e" cm="1" vm="1">
        <f t="array" aca="1" ref="H5900" ca="1">VLOOKUP(Cpi_[[#This Row],[Year]:[Month]],crudeoil[],3,FALSE)</f>
        <v>#VALUE!</v>
      </c>
    </row>
    <row r="5901" spans="1:8" hidden="1" x14ac:dyDescent="0.3">
      <c r="A5901" t="s">
        <v>34</v>
      </c>
      <c r="B5901">
        <v>2019</v>
      </c>
      <c r="C5901" t="s">
        <v>31</v>
      </c>
      <c r="D5901" t="s">
        <v>16</v>
      </c>
      <c r="E5901" t="e">
        <f>VLOOKUP(Cpi_[[#This Row],[Attribute]],#REF!,2,FALSE)</f>
        <v>#REF!</v>
      </c>
      <c r="F5901">
        <v>163.19999999999999</v>
      </c>
      <c r="G5901">
        <f>(Cpi_[[#This Row],[Value]]-F5900)/F5900</f>
        <v>0.18777292576419199</v>
      </c>
      <c r="H5901" t="e" cm="1" vm="1">
        <f t="array" aca="1" ref="H5901" ca="1">VLOOKUP(Cpi_[[#This Row],[Year]:[Month]],crudeoil[],3,FALSE)</f>
        <v>#VALUE!</v>
      </c>
    </row>
    <row r="5902" spans="1:8" hidden="1" x14ac:dyDescent="0.3">
      <c r="A5902" t="s">
        <v>34</v>
      </c>
      <c r="B5902">
        <v>2019</v>
      </c>
      <c r="C5902" t="s">
        <v>31</v>
      </c>
      <c r="D5902" t="s">
        <v>17</v>
      </c>
      <c r="E5902" t="e">
        <f>VLOOKUP(Cpi_[[#This Row],[Attribute]],#REF!,2,FALSE)</f>
        <v>#REF!</v>
      </c>
      <c r="F5902">
        <v>147.6</v>
      </c>
      <c r="G5902">
        <f>(Cpi_[[#This Row],[Value]]-F5901)/F5901</f>
        <v>-9.5588235294117613E-2</v>
      </c>
      <c r="H5902" t="e" cm="1" vm="1">
        <f t="array" aca="1" ref="H5902" ca="1">VLOOKUP(Cpi_[[#This Row],[Year]:[Month]],crudeoil[],3,FALSE)</f>
        <v>#VALUE!</v>
      </c>
    </row>
    <row r="5903" spans="1:8" hidden="1" x14ac:dyDescent="0.3">
      <c r="A5903" t="s">
        <v>34</v>
      </c>
      <c r="B5903">
        <v>2019</v>
      </c>
      <c r="C5903" t="s">
        <v>31</v>
      </c>
      <c r="D5903" t="s">
        <v>18</v>
      </c>
      <c r="E5903" t="e">
        <f>VLOOKUP(Cpi_[[#This Row],[Attribute]],#REF!,2,FALSE)</f>
        <v>#REF!</v>
      </c>
      <c r="F5903">
        <v>139</v>
      </c>
      <c r="G5903">
        <f>(Cpi_[[#This Row],[Value]]-F5902)/F5902</f>
        <v>-5.8265582655826521E-2</v>
      </c>
      <c r="H5903" t="e" cm="1" vm="1">
        <f t="array" aca="1" ref="H5903" ca="1">VLOOKUP(Cpi_[[#This Row],[Year]:[Month]],crudeoil[],3,FALSE)</f>
        <v>#VALUE!</v>
      </c>
    </row>
    <row r="5904" spans="1:8" hidden="1" x14ac:dyDescent="0.3">
      <c r="A5904" t="s">
        <v>34</v>
      </c>
      <c r="B5904">
        <v>2019</v>
      </c>
      <c r="C5904" t="s">
        <v>31</v>
      </c>
      <c r="D5904" t="s">
        <v>19</v>
      </c>
      <c r="E5904" t="e">
        <f>VLOOKUP(Cpi_[[#This Row],[Attribute]],#REF!,2,FALSE)</f>
        <v>#REF!</v>
      </c>
      <c r="F5904">
        <v>146.4</v>
      </c>
      <c r="G5904">
        <f>(Cpi_[[#This Row],[Value]]-F5903)/F5903</f>
        <v>5.3237410071942486E-2</v>
      </c>
      <c r="H5904" t="e" cm="1" vm="1">
        <f t="array" aca="1" ref="H5904" ca="1">VLOOKUP(Cpi_[[#This Row],[Year]:[Month]],crudeoil[],3,FALSE)</f>
        <v>#VALUE!</v>
      </c>
    </row>
    <row r="5905" spans="1:8" hidden="1" x14ac:dyDescent="0.3">
      <c r="A5905" t="s">
        <v>34</v>
      </c>
      <c r="B5905">
        <v>2019</v>
      </c>
      <c r="C5905" t="s">
        <v>31</v>
      </c>
      <c r="D5905" t="s">
        <v>20</v>
      </c>
      <c r="E5905" t="e">
        <f>VLOOKUP(Cpi_[[#This Row],[Attribute]],#REF!,2,FALSE)</f>
        <v>#REF!</v>
      </c>
      <c r="F5905">
        <v>147.69999999999999</v>
      </c>
      <c r="G5905">
        <f>(Cpi_[[#This Row],[Value]]-F5904)/F5904</f>
        <v>8.8797814207649105E-3</v>
      </c>
      <c r="H5905" t="e" cm="1" vm="1">
        <f t="array" aca="1" ref="H5905" ca="1">VLOOKUP(Cpi_[[#This Row],[Year]:[Month]],crudeoil[],3,FALSE)</f>
        <v>#VALUE!</v>
      </c>
    </row>
    <row r="5906" spans="1:8" hidden="1" x14ac:dyDescent="0.3">
      <c r="A5906" t="s">
        <v>34</v>
      </c>
      <c r="B5906">
        <v>2019</v>
      </c>
      <c r="C5906" t="s">
        <v>31</v>
      </c>
      <c r="D5906" t="s">
        <v>21</v>
      </c>
      <c r="E5906" t="e">
        <f>VLOOKUP(Cpi_[[#This Row],[Attribute]],#REF!,2,FALSE)</f>
        <v>#REF!</v>
      </c>
      <c r="F5906">
        <v>139.5</v>
      </c>
      <c r="G5906">
        <f>(Cpi_[[#This Row],[Value]]-F5905)/F5905</f>
        <v>-5.5517941773865868E-2</v>
      </c>
      <c r="H5906" t="e" cm="1" vm="1">
        <f t="array" aca="1" ref="H5906" ca="1">VLOOKUP(Cpi_[[#This Row],[Year]:[Month]],crudeoil[],3,FALSE)</f>
        <v>#VALUE!</v>
      </c>
    </row>
    <row r="5907" spans="1:8" hidden="1" x14ac:dyDescent="0.3">
      <c r="A5907" t="s">
        <v>34</v>
      </c>
      <c r="B5907">
        <v>2019</v>
      </c>
      <c r="C5907" t="s">
        <v>31</v>
      </c>
      <c r="D5907" t="s">
        <v>22</v>
      </c>
      <c r="E5907" t="e">
        <f>VLOOKUP(Cpi_[[#This Row],[Attribute]],#REF!,2,FALSE)</f>
        <v>#REF!</v>
      </c>
      <c r="F5907">
        <v>143.6</v>
      </c>
      <c r="G5907">
        <f>(Cpi_[[#This Row],[Value]]-F5906)/F5906</f>
        <v>2.939068100358419E-2</v>
      </c>
      <c r="H5907" t="e" cm="1" vm="1">
        <f t="array" aca="1" ref="H5907" ca="1">VLOOKUP(Cpi_[[#This Row],[Year]:[Month]],crudeoil[],3,FALSE)</f>
        <v>#VALUE!</v>
      </c>
    </row>
    <row r="5908" spans="1:8" hidden="1" x14ac:dyDescent="0.3">
      <c r="A5908" t="s">
        <v>34</v>
      </c>
      <c r="B5908">
        <v>2019</v>
      </c>
      <c r="C5908" t="s">
        <v>31</v>
      </c>
      <c r="D5908" t="s">
        <v>23</v>
      </c>
      <c r="E5908" t="e">
        <f>VLOOKUP(Cpi_[[#This Row],[Attribute]],#REF!,2,FALSE)</f>
        <v>#REF!</v>
      </c>
      <c r="F5908">
        <v>145.1</v>
      </c>
      <c r="G5908">
        <f>(Cpi_[[#This Row],[Value]]-F5907)/F5907</f>
        <v>1.0445682451253482E-2</v>
      </c>
      <c r="H5908" t="e" cm="1" vm="1">
        <f t="array" aca="1" ref="H5908" ca="1">VLOOKUP(Cpi_[[#This Row],[Year]:[Month]],crudeoil[],3,FALSE)</f>
        <v>#VALUE!</v>
      </c>
    </row>
    <row r="5909" spans="1:8" hidden="1" x14ac:dyDescent="0.3">
      <c r="A5909" t="s">
        <v>34</v>
      </c>
      <c r="B5909">
        <v>2019</v>
      </c>
      <c r="C5909" t="s">
        <v>31</v>
      </c>
      <c r="D5909" t="s">
        <v>24</v>
      </c>
      <c r="E5909" t="e">
        <f>VLOOKUP(Cpi_[[#This Row],[Attribute]],#REF!,2,FALSE)</f>
        <v>#REF!</v>
      </c>
      <c r="F5909">
        <v>123.3</v>
      </c>
      <c r="G5909">
        <f>(Cpi_[[#This Row],[Value]]-F5908)/F5908</f>
        <v>-0.15024121295658166</v>
      </c>
      <c r="H5909" t="e" cm="1" vm="1">
        <f t="array" aca="1" ref="H5909" ca="1">VLOOKUP(Cpi_[[#This Row],[Year]:[Month]],crudeoil[],3,FALSE)</f>
        <v>#VALUE!</v>
      </c>
    </row>
    <row r="5910" spans="1:8" hidden="1" x14ac:dyDescent="0.3">
      <c r="A5910" t="s">
        <v>34</v>
      </c>
      <c r="B5910">
        <v>2019</v>
      </c>
      <c r="C5910" t="s">
        <v>31</v>
      </c>
      <c r="D5910" t="s">
        <v>25</v>
      </c>
      <c r="E5910" t="e">
        <f>VLOOKUP(Cpi_[[#This Row],[Attribute]],#REF!,2,FALSE)</f>
        <v>#REF!</v>
      </c>
      <c r="F5910">
        <v>136.69999999999999</v>
      </c>
      <c r="G5910">
        <f>(Cpi_[[#This Row],[Value]]-F5909)/F5909</f>
        <v>0.10867802108678014</v>
      </c>
      <c r="H5910" t="e" cm="1" vm="1">
        <f t="array" aca="1" ref="H5910" ca="1">VLOOKUP(Cpi_[[#This Row],[Year]:[Month]],crudeoil[],3,FALSE)</f>
        <v>#VALUE!</v>
      </c>
    </row>
    <row r="5911" spans="1:8" hidden="1" x14ac:dyDescent="0.3">
      <c r="A5911" t="s">
        <v>34</v>
      </c>
      <c r="B5911">
        <v>2019</v>
      </c>
      <c r="C5911" t="s">
        <v>31</v>
      </c>
      <c r="D5911" t="s">
        <v>26</v>
      </c>
      <c r="E5911" t="e">
        <f>VLOOKUP(Cpi_[[#This Row],[Attribute]],#REF!,2,FALSE)</f>
        <v>#REF!</v>
      </c>
      <c r="F5911">
        <v>150.19999999999999</v>
      </c>
      <c r="G5911">
        <f>(Cpi_[[#This Row],[Value]]-F5910)/F5910</f>
        <v>9.8756400877834688E-2</v>
      </c>
      <c r="H5911" t="e" cm="1" vm="1">
        <f t="array" aca="1" ref="H5911" ca="1">VLOOKUP(Cpi_[[#This Row],[Year]:[Month]],crudeoil[],3,FALSE)</f>
        <v>#VALUE!</v>
      </c>
    </row>
    <row r="5912" spans="1:8" hidden="1" x14ac:dyDescent="0.3">
      <c r="A5912" t="s">
        <v>34</v>
      </c>
      <c r="B5912">
        <v>2019</v>
      </c>
      <c r="C5912" t="s">
        <v>31</v>
      </c>
      <c r="D5912" t="s">
        <v>27</v>
      </c>
      <c r="E5912" t="e">
        <f>VLOOKUP(Cpi_[[#This Row],[Attribute]],#REF!,2,FALSE)</f>
        <v>#REF!</v>
      </c>
      <c r="F5912">
        <v>132.80000000000001</v>
      </c>
      <c r="G5912">
        <f>(Cpi_[[#This Row],[Value]]-F5911)/F5911</f>
        <v>-0.11584553928095857</v>
      </c>
      <c r="H5912" t="e" cm="1" vm="1">
        <f t="array" aca="1" ref="H5912" ca="1">VLOOKUP(Cpi_[[#This Row],[Year]:[Month]],crudeoil[],3,FALSE)</f>
        <v>#VALUE!</v>
      </c>
    </row>
    <row r="5913" spans="1:8" hidden="1" x14ac:dyDescent="0.3">
      <c r="A5913" t="s">
        <v>34</v>
      </c>
      <c r="B5913">
        <v>2019</v>
      </c>
      <c r="C5913" t="s">
        <v>31</v>
      </c>
      <c r="D5913" t="s">
        <v>28</v>
      </c>
      <c r="E5913" t="e">
        <f>VLOOKUP(Cpi_[[#This Row],[Attribute]],#REF!,2,FALSE)</f>
        <v>#REF!</v>
      </c>
      <c r="F5913">
        <v>136.9</v>
      </c>
      <c r="G5913">
        <f>(Cpi_[[#This Row],[Value]]-F5912)/F5912</f>
        <v>3.0873493975903568E-2</v>
      </c>
      <c r="H5913" t="e" cm="1" vm="1">
        <f t="array" aca="1" ref="H5913" ca="1">VLOOKUP(Cpi_[[#This Row],[Year]:[Month]],crudeoil[],3,FALSE)</f>
        <v>#VALUE!</v>
      </c>
    </row>
    <row r="5914" spans="1:8" hidden="1" x14ac:dyDescent="0.3">
      <c r="A5914" t="s">
        <v>34</v>
      </c>
      <c r="B5914">
        <v>2019</v>
      </c>
      <c r="C5914" t="s">
        <v>31</v>
      </c>
      <c r="D5914" t="s">
        <v>29</v>
      </c>
      <c r="E5914" t="e" cm="1">
        <f t="array" aca="1" ref="E5914" ca="1">VLGeneral indexGeneral indexKUP(Cpi_[[#This Row],[Attribute]],#REF!,2,FALSE)</f>
        <v>#NAME?</v>
      </c>
      <c r="F5914">
        <v>139.6</v>
      </c>
      <c r="G5914">
        <f>(Cpi_[[#This Row],[Value]]-F5913)/F5913</f>
        <v>1.9722425127830449E-2</v>
      </c>
      <c r="H5914" t="e" cm="1" vm="1">
        <f t="array" aca="1" ref="H5914" ca="1">VLOOKUP(Cpi_[[#This Row],[Year]:[Month]],crudeoil[],3,FALSE)</f>
        <v>#VALUE!</v>
      </c>
    </row>
    <row r="5915" spans="1:8" hidden="1" x14ac:dyDescent="0.3">
      <c r="A5915" t="s">
        <v>30</v>
      </c>
      <c r="B5915">
        <v>2019</v>
      </c>
      <c r="C5915" t="s">
        <v>35</v>
      </c>
      <c r="D5915" t="s">
        <v>3</v>
      </c>
      <c r="E5915" t="e">
        <f>VLOOKUP(Cpi_[[#This Row],[Attribute]],#REF!,2,FALSE)</f>
        <v>#REF!</v>
      </c>
      <c r="F5915">
        <v>136.80000000000001</v>
      </c>
      <c r="G5915">
        <f>(Cpi_[[#This Row],[Value]]-F5914)/F5914</f>
        <v>-2.005730659025776E-2</v>
      </c>
      <c r="H5915" t="e" cm="1" vm="1">
        <f t="array" aca="1" ref="H5915" ca="1">VLOOKUP(Cpi_[[#This Row],[Year]:[Month]],crudeoil[],3,FALSE)</f>
        <v>#VALUE!</v>
      </c>
    </row>
    <row r="5916" spans="1:8" hidden="1" x14ac:dyDescent="0.3">
      <c r="A5916" t="s">
        <v>30</v>
      </c>
      <c r="B5916">
        <v>2019</v>
      </c>
      <c r="C5916" t="s">
        <v>35</v>
      </c>
      <c r="D5916" t="s">
        <v>4</v>
      </c>
      <c r="E5916" t="e">
        <f>VLOOKUP(Cpi_[[#This Row],[Attribute]],#REF!,2,FALSE)</f>
        <v>#REF!</v>
      </c>
      <c r="F5916">
        <v>153</v>
      </c>
      <c r="G5916">
        <f>(Cpi_[[#This Row],[Value]]-F5915)/F5915</f>
        <v>0.11842105263157886</v>
      </c>
      <c r="H5916" t="e" cm="1" vm="1">
        <f t="array" aca="1" ref="H5916" ca="1">VLOOKUP(Cpi_[[#This Row],[Year]:[Month]],crudeoil[],3,FALSE)</f>
        <v>#VALUE!</v>
      </c>
    </row>
    <row r="5917" spans="1:8" hidden="1" x14ac:dyDescent="0.3">
      <c r="A5917" t="s">
        <v>30</v>
      </c>
      <c r="B5917">
        <v>2019</v>
      </c>
      <c r="C5917" t="s">
        <v>35</v>
      </c>
      <c r="D5917" t="s">
        <v>5</v>
      </c>
      <c r="E5917" t="e">
        <f>VLOOKUP(Cpi_[[#This Row],[Attribute]],#REF!,2,FALSE)</f>
        <v>#REF!</v>
      </c>
      <c r="F5917">
        <v>139.1</v>
      </c>
      <c r="G5917">
        <f>(Cpi_[[#This Row],[Value]]-F5916)/F5916</f>
        <v>-9.0849673202614417E-2</v>
      </c>
      <c r="H5917" t="e" cm="1" vm="1">
        <f t="array" aca="1" ref="H5917" ca="1">VLOOKUP(Cpi_[[#This Row],[Year]:[Month]],crudeoil[],3,FALSE)</f>
        <v>#VALUE!</v>
      </c>
    </row>
    <row r="5918" spans="1:8" hidden="1" x14ac:dyDescent="0.3">
      <c r="A5918" t="s">
        <v>30</v>
      </c>
      <c r="B5918">
        <v>2019</v>
      </c>
      <c r="C5918" t="s">
        <v>35</v>
      </c>
      <c r="D5918" t="s">
        <v>6</v>
      </c>
      <c r="E5918" t="e">
        <f>VLOOKUP(Cpi_[[#This Row],[Attribute]],#REF!,2,FALSE)</f>
        <v>#REF!</v>
      </c>
      <c r="F5918">
        <v>142.5</v>
      </c>
      <c r="G5918">
        <f>(Cpi_[[#This Row],[Value]]-F5917)/F5917</f>
        <v>2.4442846872753457E-2</v>
      </c>
      <c r="H5918" t="e" cm="1" vm="1">
        <f t="array" aca="1" ref="H5918" ca="1">VLOOKUP(Cpi_[[#This Row],[Year]:[Month]],crudeoil[],3,FALSE)</f>
        <v>#VALUE!</v>
      </c>
    </row>
    <row r="5919" spans="1:8" hidden="1" x14ac:dyDescent="0.3">
      <c r="A5919" t="s">
        <v>30</v>
      </c>
      <c r="B5919">
        <v>2019</v>
      </c>
      <c r="C5919" t="s">
        <v>35</v>
      </c>
      <c r="D5919" t="s">
        <v>7</v>
      </c>
      <c r="E5919" t="e">
        <f>VLOOKUP(Cpi_[[#This Row],[Attribute]],#REF!,2,FALSE)</f>
        <v>#REF!</v>
      </c>
      <c r="F5919">
        <v>124.1</v>
      </c>
      <c r="G5919">
        <f>(Cpi_[[#This Row],[Value]]-F5918)/F5918</f>
        <v>-0.12912280701754389</v>
      </c>
      <c r="H5919" t="e" cm="1" vm="1">
        <f t="array" aca="1" ref="H5919" ca="1">VLOOKUP(Cpi_[[#This Row],[Year]:[Month]],crudeoil[],3,FALSE)</f>
        <v>#VALUE!</v>
      </c>
    </row>
    <row r="5920" spans="1:8" hidden="1" x14ac:dyDescent="0.3">
      <c r="A5920" t="s">
        <v>30</v>
      </c>
      <c r="B5920">
        <v>2019</v>
      </c>
      <c r="C5920" t="s">
        <v>35</v>
      </c>
      <c r="D5920" t="s">
        <v>8</v>
      </c>
      <c r="E5920" t="e">
        <f>VLOOKUP(Cpi_[[#This Row],[Attribute]],#REF!,2,FALSE)</f>
        <v>#REF!</v>
      </c>
      <c r="F5920">
        <v>135.80000000000001</v>
      </c>
      <c r="G5920">
        <f>(Cpi_[[#This Row],[Value]]-F5919)/F5919</f>
        <v>9.427880741337645E-2</v>
      </c>
      <c r="H5920" t="e" cm="1" vm="1">
        <f t="array" aca="1" ref="H5920" ca="1">VLOOKUP(Cpi_[[#This Row],[Year]:[Month]],crudeoil[],3,FALSE)</f>
        <v>#VALUE!</v>
      </c>
    </row>
    <row r="5921" spans="1:8" hidden="1" x14ac:dyDescent="0.3">
      <c r="A5921" t="s">
        <v>30</v>
      </c>
      <c r="B5921">
        <v>2019</v>
      </c>
      <c r="C5921" t="s">
        <v>35</v>
      </c>
      <c r="D5921" t="s">
        <v>9</v>
      </c>
      <c r="E5921" t="e">
        <f>VLOOKUP(Cpi_[[#This Row],[Attribute]],#REF!,2,FALSE)</f>
        <v>#REF!</v>
      </c>
      <c r="F5921">
        <v>128.69999999999999</v>
      </c>
      <c r="G5921">
        <f>(Cpi_[[#This Row],[Value]]-F5920)/F5920</f>
        <v>-5.22827687776143E-2</v>
      </c>
      <c r="H5921" t="e" cm="1" vm="1">
        <f t="array" aca="1" ref="H5921" ca="1">VLOOKUP(Cpi_[[#This Row],[Year]:[Month]],crudeoil[],3,FALSE)</f>
        <v>#VALUE!</v>
      </c>
    </row>
    <row r="5922" spans="1:8" hidden="1" x14ac:dyDescent="0.3">
      <c r="A5922" t="s">
        <v>30</v>
      </c>
      <c r="B5922">
        <v>2019</v>
      </c>
      <c r="C5922" t="s">
        <v>35</v>
      </c>
      <c r="D5922" t="s">
        <v>10</v>
      </c>
      <c r="E5922" t="e">
        <f>VLOOKUP(Cpi_[[#This Row],[Attribute]],#REF!,2,FALSE)</f>
        <v>#REF!</v>
      </c>
      <c r="F5922">
        <v>121.5</v>
      </c>
      <c r="G5922">
        <f>(Cpi_[[#This Row],[Value]]-F5921)/F5921</f>
        <v>-5.5944055944055861E-2</v>
      </c>
      <c r="H5922" t="e" cm="1" vm="1">
        <f t="array" aca="1" ref="H5922" ca="1">VLOOKUP(Cpi_[[#This Row],[Year]:[Month]],crudeoil[],3,FALSE)</f>
        <v>#VALUE!</v>
      </c>
    </row>
    <row r="5923" spans="1:8" hidden="1" x14ac:dyDescent="0.3">
      <c r="A5923" t="s">
        <v>30</v>
      </c>
      <c r="B5923">
        <v>2019</v>
      </c>
      <c r="C5923" t="s">
        <v>35</v>
      </c>
      <c r="D5923" t="s">
        <v>11</v>
      </c>
      <c r="E5923" t="e">
        <f>VLOOKUP(Cpi_[[#This Row],[Attribute]],#REF!,2,FALSE)</f>
        <v>#REF!</v>
      </c>
      <c r="F5923">
        <v>108.3</v>
      </c>
      <c r="G5923">
        <f>(Cpi_[[#This Row],[Value]]-F5922)/F5922</f>
        <v>-0.108641975308642</v>
      </c>
      <c r="H5923" t="e" cm="1" vm="1">
        <f t="array" aca="1" ref="H5923" ca="1">VLOOKUP(Cpi_[[#This Row],[Year]:[Month]],crudeoil[],3,FALSE)</f>
        <v>#VALUE!</v>
      </c>
    </row>
    <row r="5924" spans="1:8" hidden="1" x14ac:dyDescent="0.3">
      <c r="A5924" t="s">
        <v>30</v>
      </c>
      <c r="B5924">
        <v>2019</v>
      </c>
      <c r="C5924" t="s">
        <v>35</v>
      </c>
      <c r="D5924" t="s">
        <v>12</v>
      </c>
      <c r="E5924" t="e">
        <f>VLOOKUP(Cpi_[[#This Row],[Attribute]],#REF!,2,FALSE)</f>
        <v>#REF!</v>
      </c>
      <c r="F5924">
        <v>139.19999999999999</v>
      </c>
      <c r="G5924">
        <f>(Cpi_[[#This Row],[Value]]-F5923)/F5923</f>
        <v>0.28531855955678664</v>
      </c>
      <c r="H5924" t="e" cm="1" vm="1">
        <f t="array" aca="1" ref="H5924" ca="1">VLOOKUP(Cpi_[[#This Row],[Year]:[Month]],crudeoil[],3,FALSE)</f>
        <v>#VALUE!</v>
      </c>
    </row>
    <row r="5925" spans="1:8" hidden="1" x14ac:dyDescent="0.3">
      <c r="A5925" t="s">
        <v>30</v>
      </c>
      <c r="B5925">
        <v>2019</v>
      </c>
      <c r="C5925" t="s">
        <v>35</v>
      </c>
      <c r="D5925" t="s">
        <v>13</v>
      </c>
      <c r="E5925" t="e">
        <f>VLOOKUP(Cpi_[[#This Row],[Attribute]],#REF!,2,FALSE)</f>
        <v>#REF!</v>
      </c>
      <c r="F5925">
        <v>137.4</v>
      </c>
      <c r="G5925">
        <f>(Cpi_[[#This Row],[Value]]-F5924)/F5924</f>
        <v>-1.2931034482758499E-2</v>
      </c>
      <c r="H5925" t="e" cm="1" vm="1">
        <f t="array" aca="1" ref="H5925" ca="1">VLOOKUP(Cpi_[[#This Row],[Year]:[Month]],crudeoil[],3,FALSE)</f>
        <v>#VALUE!</v>
      </c>
    </row>
    <row r="5926" spans="1:8" hidden="1" x14ac:dyDescent="0.3">
      <c r="A5926" t="s">
        <v>30</v>
      </c>
      <c r="B5926">
        <v>2019</v>
      </c>
      <c r="C5926" t="s">
        <v>35</v>
      </c>
      <c r="D5926" t="s">
        <v>14</v>
      </c>
      <c r="E5926" t="e">
        <f>VLOOKUP(Cpi_[[#This Row],[Attribute]],#REF!,2,FALSE)</f>
        <v>#REF!</v>
      </c>
      <c r="F5926">
        <v>156.19999999999999</v>
      </c>
      <c r="G5926">
        <f>(Cpi_[[#This Row],[Value]]-F5925)/F5925</f>
        <v>0.13682678311499258</v>
      </c>
      <c r="H5926" t="e" cm="1" vm="1">
        <f t="array" aca="1" ref="H5926" ca="1">VLOOKUP(Cpi_[[#This Row],[Year]:[Month]],crudeoil[],3,FALSE)</f>
        <v>#VALUE!</v>
      </c>
    </row>
    <row r="5927" spans="1:8" hidden="1" x14ac:dyDescent="0.3">
      <c r="A5927" t="s">
        <v>30</v>
      </c>
      <c r="B5927">
        <v>2019</v>
      </c>
      <c r="C5927" t="s">
        <v>35</v>
      </c>
      <c r="D5927" t="s">
        <v>15</v>
      </c>
      <c r="E5927" t="e">
        <f>VLOOKUP(Cpi_[[#This Row],[Attribute]],#REF!,2,FALSE)</f>
        <v>#REF!</v>
      </c>
      <c r="F5927">
        <v>137.19999999999999</v>
      </c>
      <c r="G5927">
        <f>(Cpi_[[#This Row],[Value]]-F5926)/F5926</f>
        <v>-0.12163892445582587</v>
      </c>
      <c r="H5927" t="e" cm="1" vm="1">
        <f t="array" aca="1" ref="H5927" ca="1">VLOOKUP(Cpi_[[#This Row],[Year]:[Month]],crudeoil[],3,FALSE)</f>
        <v>#VALUE!</v>
      </c>
    </row>
    <row r="5928" spans="1:8" hidden="1" x14ac:dyDescent="0.3">
      <c r="A5928" t="s">
        <v>30</v>
      </c>
      <c r="B5928">
        <v>2019</v>
      </c>
      <c r="C5928" t="s">
        <v>35</v>
      </c>
      <c r="D5928" t="s">
        <v>16</v>
      </c>
      <c r="E5928" t="e">
        <f>VLOOKUP(Cpi_[[#This Row],[Attribute]],#REF!,2,FALSE)</f>
        <v>#REF!</v>
      </c>
      <c r="F5928">
        <v>162.80000000000001</v>
      </c>
      <c r="G5928">
        <f>(Cpi_[[#This Row],[Value]]-F5927)/F5927</f>
        <v>0.18658892128279903</v>
      </c>
      <c r="H5928" t="e" cm="1" vm="1">
        <f t="array" aca="1" ref="H5928" ca="1">VLOOKUP(Cpi_[[#This Row],[Year]:[Month]],crudeoil[],3,FALSE)</f>
        <v>#VALUE!</v>
      </c>
    </row>
    <row r="5929" spans="1:8" hidden="1" x14ac:dyDescent="0.3">
      <c r="A5929" t="s">
        <v>30</v>
      </c>
      <c r="B5929">
        <v>2019</v>
      </c>
      <c r="C5929" t="s">
        <v>35</v>
      </c>
      <c r="D5929" t="s">
        <v>17</v>
      </c>
      <c r="E5929" t="e">
        <f>VLOOKUP(Cpi_[[#This Row],[Attribute]],#REF!,2,FALSE)</f>
        <v>#REF!</v>
      </c>
      <c r="F5929">
        <v>150.5</v>
      </c>
      <c r="G5929">
        <f>(Cpi_[[#This Row],[Value]]-F5928)/F5928</f>
        <v>-7.5552825552825623E-2</v>
      </c>
      <c r="H5929" t="e" cm="1" vm="1">
        <f t="array" aca="1" ref="H5929" ca="1">VLOOKUP(Cpi_[[#This Row],[Year]:[Month]],crudeoil[],3,FALSE)</f>
        <v>#VALUE!</v>
      </c>
    </row>
    <row r="5930" spans="1:8" hidden="1" x14ac:dyDescent="0.3">
      <c r="A5930" t="s">
        <v>30</v>
      </c>
      <c r="B5930">
        <v>2019</v>
      </c>
      <c r="C5930" t="s">
        <v>35</v>
      </c>
      <c r="D5930" t="s">
        <v>18</v>
      </c>
      <c r="E5930" t="e">
        <f>VLOOKUP(Cpi_[[#This Row],[Attribute]],#REF!,2,FALSE)</f>
        <v>#REF!</v>
      </c>
      <c r="F5930">
        <v>146.1</v>
      </c>
      <c r="G5930">
        <f>(Cpi_[[#This Row],[Value]]-F5929)/F5929</f>
        <v>-2.9235880398671133E-2</v>
      </c>
      <c r="H5930" t="e" cm="1" vm="1">
        <f t="array" aca="1" ref="H5930" ca="1">VLOOKUP(Cpi_[[#This Row],[Year]:[Month]],crudeoil[],3,FALSE)</f>
        <v>#VALUE!</v>
      </c>
    </row>
    <row r="5931" spans="1:8" hidden="1" x14ac:dyDescent="0.3">
      <c r="A5931" t="s">
        <v>30</v>
      </c>
      <c r="B5931">
        <v>2019</v>
      </c>
      <c r="C5931" t="s">
        <v>35</v>
      </c>
      <c r="D5931" t="s">
        <v>19</v>
      </c>
      <c r="E5931" t="e">
        <f>VLOOKUP(Cpi_[[#This Row],[Attribute]],#REF!,2,FALSE)</f>
        <v>#REF!</v>
      </c>
      <c r="F5931">
        <v>149.9</v>
      </c>
      <c r="G5931">
        <f>(Cpi_[[#This Row],[Value]]-F5930)/F5930</f>
        <v>2.600958247775504E-2</v>
      </c>
      <c r="H5931" t="e" cm="1" vm="1">
        <f t="array" aca="1" ref="H5931" ca="1">VLOOKUP(Cpi_[[#This Row],[Year]:[Month]],crudeoil[],3,FALSE)</f>
        <v>#VALUE!</v>
      </c>
    </row>
    <row r="5932" spans="1:8" hidden="1" x14ac:dyDescent="0.3">
      <c r="A5932" t="s">
        <v>30</v>
      </c>
      <c r="B5932">
        <v>2019</v>
      </c>
      <c r="C5932" t="s">
        <v>35</v>
      </c>
      <c r="D5932" t="s">
        <v>20</v>
      </c>
      <c r="E5932" t="e">
        <f>VLOOKUP(Cpi_[[#This Row],[Attribute]],#REF!,2,FALSE)</f>
        <v>#REF!</v>
      </c>
      <c r="F5932" t="s">
        <v>32</v>
      </c>
      <c r="G5932" t="e">
        <f>(Cpi_[[#This Row],[Value]]-F5931)/F5931</f>
        <v>#VALUE!</v>
      </c>
      <c r="H5932" t="e" cm="1" vm="1">
        <f t="array" aca="1" ref="H5932" ca="1">VLOOKUP(Cpi_[[#This Row],[Year]:[Month]],crudeoil[],3,FALSE)</f>
        <v>#VALUE!</v>
      </c>
    </row>
    <row r="5933" spans="1:8" hidden="1" x14ac:dyDescent="0.3">
      <c r="A5933" t="s">
        <v>30</v>
      </c>
      <c r="B5933">
        <v>2019</v>
      </c>
      <c r="C5933" t="s">
        <v>35</v>
      </c>
      <c r="D5933" t="s">
        <v>21</v>
      </c>
      <c r="E5933" t="e">
        <f>VLOOKUP(Cpi_[[#This Row],[Attribute]],#REF!,2,FALSE)</f>
        <v>#REF!</v>
      </c>
      <c r="F5933">
        <v>145.30000000000001</v>
      </c>
      <c r="G5933" t="e">
        <f>(Cpi_[[#This Row],[Value]]-F5932)/F5932</f>
        <v>#VALUE!</v>
      </c>
      <c r="H5933" t="e" cm="1" vm="1">
        <f t="array" aca="1" ref="H5933" ca="1">VLOOKUP(Cpi_[[#This Row],[Year]:[Month]],crudeoil[],3,FALSE)</f>
        <v>#VALUE!</v>
      </c>
    </row>
    <row r="5934" spans="1:8" hidden="1" x14ac:dyDescent="0.3">
      <c r="A5934" t="s">
        <v>30</v>
      </c>
      <c r="B5934">
        <v>2019</v>
      </c>
      <c r="C5934" t="s">
        <v>35</v>
      </c>
      <c r="D5934" t="s">
        <v>22</v>
      </c>
      <c r="E5934" t="e">
        <f>VLOOKUP(Cpi_[[#This Row],[Attribute]],#REF!,2,FALSE)</f>
        <v>#REF!</v>
      </c>
      <c r="F5934">
        <v>150.1</v>
      </c>
      <c r="G5934">
        <f>(Cpi_[[#This Row],[Value]]-F5933)/F5933</f>
        <v>3.3035099793530504E-2</v>
      </c>
      <c r="H5934" t="e" cm="1" vm="1">
        <f t="array" aca="1" ref="H5934" ca="1">VLOOKUP(Cpi_[[#This Row],[Year]:[Month]],crudeoil[],3,FALSE)</f>
        <v>#VALUE!</v>
      </c>
    </row>
    <row r="5935" spans="1:8" hidden="1" x14ac:dyDescent="0.3">
      <c r="A5935" t="s">
        <v>30</v>
      </c>
      <c r="B5935">
        <v>2019</v>
      </c>
      <c r="C5935" t="s">
        <v>35</v>
      </c>
      <c r="D5935" t="s">
        <v>23</v>
      </c>
      <c r="E5935" t="e">
        <f>VLOOKUP(Cpi_[[#This Row],[Attribute]],#REF!,2,FALSE)</f>
        <v>#REF!</v>
      </c>
      <c r="F5935">
        <v>149.9</v>
      </c>
      <c r="G5935">
        <f>(Cpi_[[#This Row],[Value]]-F5934)/F5934</f>
        <v>-1.3324450366421629E-3</v>
      </c>
      <c r="H5935" t="e" cm="1" vm="1">
        <f t="array" aca="1" ref="H5935" ca="1">VLOOKUP(Cpi_[[#This Row],[Year]:[Month]],crudeoil[],3,FALSE)</f>
        <v>#VALUE!</v>
      </c>
    </row>
    <row r="5936" spans="1:8" hidden="1" x14ac:dyDescent="0.3">
      <c r="A5936" t="s">
        <v>30</v>
      </c>
      <c r="B5936">
        <v>2019</v>
      </c>
      <c r="C5936" t="s">
        <v>35</v>
      </c>
      <c r="D5936" t="s">
        <v>24</v>
      </c>
      <c r="E5936" t="e">
        <f>VLOOKUP(Cpi_[[#This Row],[Attribute]],#REF!,2,FALSE)</f>
        <v>#REF!</v>
      </c>
      <c r="F5936">
        <v>129.19999999999999</v>
      </c>
      <c r="G5936">
        <f>(Cpi_[[#This Row],[Value]]-F5935)/F5935</f>
        <v>-0.13809206137424962</v>
      </c>
      <c r="H5936" t="e" cm="1" vm="1">
        <f t="array" aca="1" ref="H5936" ca="1">VLOOKUP(Cpi_[[#This Row],[Year]:[Month]],crudeoil[],3,FALSE)</f>
        <v>#VALUE!</v>
      </c>
    </row>
    <row r="5937" spans="1:8" hidden="1" x14ac:dyDescent="0.3">
      <c r="A5937" t="s">
        <v>30</v>
      </c>
      <c r="B5937">
        <v>2019</v>
      </c>
      <c r="C5937" t="s">
        <v>35</v>
      </c>
      <c r="D5937" t="s">
        <v>25</v>
      </c>
      <c r="E5937" t="e">
        <f>VLOOKUP(Cpi_[[#This Row],[Attribute]],#REF!,2,FALSE)</f>
        <v>#REF!</v>
      </c>
      <c r="F5937">
        <v>143.4</v>
      </c>
      <c r="G5937">
        <f>(Cpi_[[#This Row],[Value]]-F5936)/F5936</f>
        <v>0.1099071207430342</v>
      </c>
      <c r="H5937" t="e" cm="1" vm="1">
        <f t="array" aca="1" ref="H5937" ca="1">VLOOKUP(Cpi_[[#This Row],[Year]:[Month]],crudeoil[],3,FALSE)</f>
        <v>#VALUE!</v>
      </c>
    </row>
    <row r="5938" spans="1:8" hidden="1" x14ac:dyDescent="0.3">
      <c r="A5938" t="s">
        <v>30</v>
      </c>
      <c r="B5938">
        <v>2019</v>
      </c>
      <c r="C5938" t="s">
        <v>35</v>
      </c>
      <c r="D5938" t="s">
        <v>26</v>
      </c>
      <c r="E5938" t="e">
        <f>VLOOKUP(Cpi_[[#This Row],[Attribute]],#REF!,2,FALSE)</f>
        <v>#REF!</v>
      </c>
      <c r="F5938">
        <v>155.5</v>
      </c>
      <c r="G5938">
        <f>(Cpi_[[#This Row],[Value]]-F5937)/F5937</f>
        <v>8.43793584379358E-2</v>
      </c>
      <c r="H5938" t="e" cm="1" vm="1">
        <f t="array" aca="1" ref="H5938" ca="1">VLOOKUP(Cpi_[[#This Row],[Year]:[Month]],crudeoil[],3,FALSE)</f>
        <v>#VALUE!</v>
      </c>
    </row>
    <row r="5939" spans="1:8" hidden="1" x14ac:dyDescent="0.3">
      <c r="A5939" t="s">
        <v>30</v>
      </c>
      <c r="B5939">
        <v>2019</v>
      </c>
      <c r="C5939" t="s">
        <v>35</v>
      </c>
      <c r="D5939" t="s">
        <v>27</v>
      </c>
      <c r="E5939" t="e">
        <f>VLOOKUP(Cpi_[[#This Row],[Attribute]],#REF!,2,FALSE)</f>
        <v>#REF!</v>
      </c>
      <c r="F5939">
        <v>134.9</v>
      </c>
      <c r="G5939">
        <f>(Cpi_[[#This Row],[Value]]-F5938)/F5938</f>
        <v>-0.13247588424437295</v>
      </c>
      <c r="H5939" t="e" cm="1" vm="1">
        <f t="array" aca="1" ref="H5939" ca="1">VLOOKUP(Cpi_[[#This Row],[Year]:[Month]],crudeoil[],3,FALSE)</f>
        <v>#VALUE!</v>
      </c>
    </row>
    <row r="5940" spans="1:8" hidden="1" x14ac:dyDescent="0.3">
      <c r="A5940" t="s">
        <v>30</v>
      </c>
      <c r="B5940">
        <v>2019</v>
      </c>
      <c r="C5940" t="s">
        <v>35</v>
      </c>
      <c r="D5940" t="s">
        <v>28</v>
      </c>
      <c r="E5940" t="e">
        <f>VLOOKUP(Cpi_[[#This Row],[Attribute]],#REF!,2,FALSE)</f>
        <v>#REF!</v>
      </c>
      <c r="F5940">
        <v>142.19999999999999</v>
      </c>
      <c r="G5940">
        <f>(Cpi_[[#This Row],[Value]]-F5939)/F5939</f>
        <v>5.411415863602656E-2</v>
      </c>
      <c r="H5940" t="e" cm="1" vm="1">
        <f t="array" aca="1" ref="H5940" ca="1">VLOOKUP(Cpi_[[#This Row],[Year]:[Month]],crudeoil[],3,FALSE)</f>
        <v>#VALUE!</v>
      </c>
    </row>
    <row r="5941" spans="1:8" hidden="1" x14ac:dyDescent="0.3">
      <c r="A5941" t="s">
        <v>30</v>
      </c>
      <c r="B5941">
        <v>2019</v>
      </c>
      <c r="C5941" t="s">
        <v>35</v>
      </c>
      <c r="D5941" t="s">
        <v>29</v>
      </c>
      <c r="E5941" t="e" cm="1">
        <f t="array" aca="1" ref="E5941" ca="1">VLGeneral indexGeneral indexKUP(Cpi_[[#This Row],[Attribute]],#REF!,2,FALSE)</f>
        <v>#NAME?</v>
      </c>
      <c r="F5941">
        <v>141</v>
      </c>
      <c r="G5941">
        <f>(Cpi_[[#This Row],[Value]]-F5940)/F5940</f>
        <v>-8.4388185654007651E-3</v>
      </c>
      <c r="H5941" t="e" cm="1" vm="1">
        <f t="array" aca="1" ref="H5941" ca="1">VLOOKUP(Cpi_[[#This Row],[Year]:[Month]],crudeoil[],3,FALSE)</f>
        <v>#VALUE!</v>
      </c>
    </row>
    <row r="5942" spans="1:8" hidden="1" x14ac:dyDescent="0.3">
      <c r="A5942" t="s">
        <v>33</v>
      </c>
      <c r="B5942">
        <v>2019</v>
      </c>
      <c r="C5942" t="s">
        <v>35</v>
      </c>
      <c r="D5942" t="s">
        <v>3</v>
      </c>
      <c r="E5942" t="e">
        <f>VLOOKUP(Cpi_[[#This Row],[Attribute]],#REF!,2,FALSE)</f>
        <v>#REF!</v>
      </c>
      <c r="F5942">
        <v>139.4</v>
      </c>
      <c r="G5942">
        <f>(Cpi_[[#This Row],[Value]]-F5941)/F5941</f>
        <v>-1.1347517730496413E-2</v>
      </c>
      <c r="H5942" t="e" cm="1" vm="1">
        <f t="array" aca="1" ref="H5942" ca="1">VLOOKUP(Cpi_[[#This Row],[Year]:[Month]],crudeoil[],3,FALSE)</f>
        <v>#VALUE!</v>
      </c>
    </row>
    <row r="5943" spans="1:8" hidden="1" x14ac:dyDescent="0.3">
      <c r="A5943" t="s">
        <v>33</v>
      </c>
      <c r="B5943">
        <v>2019</v>
      </c>
      <c r="C5943" t="s">
        <v>35</v>
      </c>
      <c r="D5943" t="s">
        <v>4</v>
      </c>
      <c r="E5943" t="e">
        <f>VLOOKUP(Cpi_[[#This Row],[Attribute]],#REF!,2,FALSE)</f>
        <v>#REF!</v>
      </c>
      <c r="F5943">
        <v>150.1</v>
      </c>
      <c r="G5943">
        <f>(Cpi_[[#This Row],[Value]]-F5942)/F5942</f>
        <v>7.6757532281205076E-2</v>
      </c>
      <c r="H5943" t="e" cm="1" vm="1">
        <f t="array" aca="1" ref="H5943" ca="1">VLOOKUP(Cpi_[[#This Row],[Year]:[Month]],crudeoil[],3,FALSE)</f>
        <v>#VALUE!</v>
      </c>
    </row>
    <row r="5944" spans="1:8" hidden="1" x14ac:dyDescent="0.3">
      <c r="A5944" t="s">
        <v>33</v>
      </c>
      <c r="B5944">
        <v>2019</v>
      </c>
      <c r="C5944" t="s">
        <v>35</v>
      </c>
      <c r="D5944" t="s">
        <v>5</v>
      </c>
      <c r="E5944" t="e">
        <f>VLOOKUP(Cpi_[[#This Row],[Attribute]],#REF!,2,FALSE)</f>
        <v>#REF!</v>
      </c>
      <c r="F5944">
        <v>145.30000000000001</v>
      </c>
      <c r="G5944">
        <f>(Cpi_[[#This Row],[Value]]-F5943)/F5943</f>
        <v>-3.1978680879413614E-2</v>
      </c>
      <c r="H5944" t="e" cm="1" vm="1">
        <f t="array" aca="1" ref="H5944" ca="1">VLOOKUP(Cpi_[[#This Row],[Year]:[Month]],crudeoil[],3,FALSE)</f>
        <v>#VALUE!</v>
      </c>
    </row>
    <row r="5945" spans="1:8" hidden="1" x14ac:dyDescent="0.3">
      <c r="A5945" t="s">
        <v>33</v>
      </c>
      <c r="B5945">
        <v>2019</v>
      </c>
      <c r="C5945" t="s">
        <v>35</v>
      </c>
      <c r="D5945" t="s">
        <v>6</v>
      </c>
      <c r="E5945" t="e">
        <f>VLOOKUP(Cpi_[[#This Row],[Attribute]],#REF!,2,FALSE)</f>
        <v>#REF!</v>
      </c>
      <c r="F5945">
        <v>141.69999999999999</v>
      </c>
      <c r="G5945">
        <f>(Cpi_[[#This Row],[Value]]-F5944)/F5944</f>
        <v>-2.4776324845148124E-2</v>
      </c>
      <c r="H5945" t="e" cm="1" vm="1">
        <f t="array" aca="1" ref="H5945" ca="1">VLOOKUP(Cpi_[[#This Row],[Year]:[Month]],crudeoil[],3,FALSE)</f>
        <v>#VALUE!</v>
      </c>
    </row>
    <row r="5946" spans="1:8" hidden="1" x14ac:dyDescent="0.3">
      <c r="A5946" t="s">
        <v>33</v>
      </c>
      <c r="B5946">
        <v>2019</v>
      </c>
      <c r="C5946" t="s">
        <v>35</v>
      </c>
      <c r="D5946" t="s">
        <v>7</v>
      </c>
      <c r="E5946" t="e">
        <f>VLOOKUP(Cpi_[[#This Row],[Attribute]],#REF!,2,FALSE)</f>
        <v>#REF!</v>
      </c>
      <c r="F5946">
        <v>118.4</v>
      </c>
      <c r="G5946">
        <f>(Cpi_[[#This Row],[Value]]-F5945)/F5945</f>
        <v>-0.1644318983768524</v>
      </c>
      <c r="H5946" t="e" cm="1" vm="1">
        <f t="array" aca="1" ref="H5946" ca="1">VLOOKUP(Cpi_[[#This Row],[Year]:[Month]],crudeoil[],3,FALSE)</f>
        <v>#VALUE!</v>
      </c>
    </row>
    <row r="5947" spans="1:8" hidden="1" x14ac:dyDescent="0.3">
      <c r="A5947" t="s">
        <v>33</v>
      </c>
      <c r="B5947">
        <v>2019</v>
      </c>
      <c r="C5947" t="s">
        <v>35</v>
      </c>
      <c r="D5947" t="s">
        <v>8</v>
      </c>
      <c r="E5947" t="e">
        <f>VLOOKUP(Cpi_[[#This Row],[Attribute]],#REF!,2,FALSE)</f>
        <v>#REF!</v>
      </c>
      <c r="F5947">
        <v>137</v>
      </c>
      <c r="G5947">
        <f>(Cpi_[[#This Row],[Value]]-F5946)/F5946</f>
        <v>0.15709459459459454</v>
      </c>
      <c r="H5947" t="e" cm="1" vm="1">
        <f t="array" aca="1" ref="H5947" ca="1">VLOOKUP(Cpi_[[#This Row],[Year]:[Month]],crudeoil[],3,FALSE)</f>
        <v>#VALUE!</v>
      </c>
    </row>
    <row r="5948" spans="1:8" hidden="1" x14ac:dyDescent="0.3">
      <c r="A5948" t="s">
        <v>33</v>
      </c>
      <c r="B5948">
        <v>2019</v>
      </c>
      <c r="C5948" t="s">
        <v>35</v>
      </c>
      <c r="D5948" t="s">
        <v>9</v>
      </c>
      <c r="E5948" t="e">
        <f>VLOOKUP(Cpi_[[#This Row],[Attribute]],#REF!,2,FALSE)</f>
        <v>#REF!</v>
      </c>
      <c r="F5948">
        <v>131.6</v>
      </c>
      <c r="G5948">
        <f>(Cpi_[[#This Row],[Value]]-F5947)/F5947</f>
        <v>-3.9416058394160625E-2</v>
      </c>
      <c r="H5948" t="e" cm="1" vm="1">
        <f t="array" aca="1" ref="H5948" ca="1">VLOOKUP(Cpi_[[#This Row],[Year]:[Month]],crudeoil[],3,FALSE)</f>
        <v>#VALUE!</v>
      </c>
    </row>
    <row r="5949" spans="1:8" hidden="1" x14ac:dyDescent="0.3">
      <c r="A5949" t="s">
        <v>33</v>
      </c>
      <c r="B5949">
        <v>2019</v>
      </c>
      <c r="C5949" t="s">
        <v>35</v>
      </c>
      <c r="D5949" t="s">
        <v>10</v>
      </c>
      <c r="E5949" t="e">
        <f>VLOOKUP(Cpi_[[#This Row],[Attribute]],#REF!,2,FALSE)</f>
        <v>#REF!</v>
      </c>
      <c r="F5949">
        <v>119.9</v>
      </c>
      <c r="G5949">
        <f>(Cpi_[[#This Row],[Value]]-F5948)/F5948</f>
        <v>-8.8905775075987764E-2</v>
      </c>
      <c r="H5949" t="e" cm="1" vm="1">
        <f t="array" aca="1" ref="H5949" ca="1">VLOOKUP(Cpi_[[#This Row],[Year]:[Month]],crudeoil[],3,FALSE)</f>
        <v>#VALUE!</v>
      </c>
    </row>
    <row r="5950" spans="1:8" hidden="1" x14ac:dyDescent="0.3">
      <c r="A5950" t="s">
        <v>33</v>
      </c>
      <c r="B5950">
        <v>2019</v>
      </c>
      <c r="C5950" t="s">
        <v>35</v>
      </c>
      <c r="D5950" t="s">
        <v>11</v>
      </c>
      <c r="E5950" t="e">
        <f>VLOOKUP(Cpi_[[#This Row],[Attribute]],#REF!,2,FALSE)</f>
        <v>#REF!</v>
      </c>
      <c r="F5950">
        <v>110.4</v>
      </c>
      <c r="G5950">
        <f>(Cpi_[[#This Row],[Value]]-F5949)/F5949</f>
        <v>-7.9232693911592988E-2</v>
      </c>
      <c r="H5950" t="e" cm="1" vm="1">
        <f t="array" aca="1" ref="H5950" ca="1">VLOOKUP(Cpi_[[#This Row],[Year]:[Month]],crudeoil[],3,FALSE)</f>
        <v>#VALUE!</v>
      </c>
    </row>
    <row r="5951" spans="1:8" hidden="1" x14ac:dyDescent="0.3">
      <c r="A5951" t="s">
        <v>33</v>
      </c>
      <c r="B5951">
        <v>2019</v>
      </c>
      <c r="C5951" t="s">
        <v>35</v>
      </c>
      <c r="D5951" t="s">
        <v>12</v>
      </c>
      <c r="E5951" t="e">
        <f>VLOOKUP(Cpi_[[#This Row],[Attribute]],#REF!,2,FALSE)</f>
        <v>#REF!</v>
      </c>
      <c r="F5951">
        <v>140.80000000000001</v>
      </c>
      <c r="G5951">
        <f>(Cpi_[[#This Row],[Value]]-F5950)/F5950</f>
        <v>0.27536231884057977</v>
      </c>
      <c r="H5951" t="e" cm="1" vm="1">
        <f t="array" aca="1" ref="H5951" ca="1">VLOOKUP(Cpi_[[#This Row],[Year]:[Month]],crudeoil[],3,FALSE)</f>
        <v>#VALUE!</v>
      </c>
    </row>
    <row r="5952" spans="1:8" hidden="1" x14ac:dyDescent="0.3">
      <c r="A5952" t="s">
        <v>33</v>
      </c>
      <c r="B5952">
        <v>2019</v>
      </c>
      <c r="C5952" t="s">
        <v>35</v>
      </c>
      <c r="D5952" t="s">
        <v>13</v>
      </c>
      <c r="E5952" t="e">
        <f>VLOOKUP(Cpi_[[#This Row],[Attribute]],#REF!,2,FALSE)</f>
        <v>#REF!</v>
      </c>
      <c r="F5952">
        <v>128.30000000000001</v>
      </c>
      <c r="G5952">
        <f>(Cpi_[[#This Row],[Value]]-F5951)/F5951</f>
        <v>-8.8778409090909088E-2</v>
      </c>
      <c r="H5952" t="e" cm="1" vm="1">
        <f t="array" aca="1" ref="H5952" ca="1">VLOOKUP(Cpi_[[#This Row],[Year]:[Month]],crudeoil[],3,FALSE)</f>
        <v>#VALUE!</v>
      </c>
    </row>
    <row r="5953" spans="1:8" hidden="1" x14ac:dyDescent="0.3">
      <c r="A5953" t="s">
        <v>33</v>
      </c>
      <c r="B5953">
        <v>2019</v>
      </c>
      <c r="C5953" t="s">
        <v>35</v>
      </c>
      <c r="D5953" t="s">
        <v>14</v>
      </c>
      <c r="E5953" t="e">
        <f>VLOOKUP(Cpi_[[#This Row],[Attribute]],#REF!,2,FALSE)</f>
        <v>#REF!</v>
      </c>
      <c r="F5953">
        <v>153.5</v>
      </c>
      <c r="G5953">
        <f>(Cpi_[[#This Row],[Value]]-F5952)/F5952</f>
        <v>0.19641465315666395</v>
      </c>
      <c r="H5953" t="e" cm="1" vm="1">
        <f t="array" aca="1" ref="H5953" ca="1">VLOOKUP(Cpi_[[#This Row],[Year]:[Month]],crudeoil[],3,FALSE)</f>
        <v>#VALUE!</v>
      </c>
    </row>
    <row r="5954" spans="1:8" hidden="1" x14ac:dyDescent="0.3">
      <c r="A5954" t="s">
        <v>33</v>
      </c>
      <c r="B5954">
        <v>2019</v>
      </c>
      <c r="C5954" t="s">
        <v>35</v>
      </c>
      <c r="D5954" t="s">
        <v>15</v>
      </c>
      <c r="E5954" t="e">
        <f>VLOOKUP(Cpi_[[#This Row],[Attribute]],#REF!,2,FALSE)</f>
        <v>#REF!</v>
      </c>
      <c r="F5954">
        <v>138</v>
      </c>
      <c r="G5954">
        <f>(Cpi_[[#This Row],[Value]]-F5953)/F5953</f>
        <v>-0.10097719869706841</v>
      </c>
      <c r="H5954" t="e" cm="1" vm="1">
        <f t="array" aca="1" ref="H5954" ca="1">VLOOKUP(Cpi_[[#This Row],[Year]:[Month]],crudeoil[],3,FALSE)</f>
        <v>#VALUE!</v>
      </c>
    </row>
    <row r="5955" spans="1:8" hidden="1" x14ac:dyDescent="0.3">
      <c r="A5955" t="s">
        <v>33</v>
      </c>
      <c r="B5955">
        <v>2019</v>
      </c>
      <c r="C5955" t="s">
        <v>35</v>
      </c>
      <c r="D5955" t="s">
        <v>16</v>
      </c>
      <c r="E5955" t="e">
        <f>VLOOKUP(Cpi_[[#This Row],[Attribute]],#REF!,2,FALSE)</f>
        <v>#REF!</v>
      </c>
      <c r="F5955">
        <v>164.9</v>
      </c>
      <c r="G5955">
        <f>(Cpi_[[#This Row],[Value]]-F5954)/F5954</f>
        <v>0.19492753623188411</v>
      </c>
      <c r="H5955" t="e" cm="1" vm="1">
        <f t="array" aca="1" ref="H5955" ca="1">VLOOKUP(Cpi_[[#This Row],[Year]:[Month]],crudeoil[],3,FALSE)</f>
        <v>#VALUE!</v>
      </c>
    </row>
    <row r="5956" spans="1:8" hidden="1" x14ac:dyDescent="0.3">
      <c r="A5956" t="s">
        <v>33</v>
      </c>
      <c r="B5956">
        <v>2019</v>
      </c>
      <c r="C5956" t="s">
        <v>35</v>
      </c>
      <c r="D5956" t="s">
        <v>17</v>
      </c>
      <c r="E5956" t="e">
        <f>VLOOKUP(Cpi_[[#This Row],[Attribute]],#REF!,2,FALSE)</f>
        <v>#REF!</v>
      </c>
      <c r="F5956">
        <v>143.30000000000001</v>
      </c>
      <c r="G5956">
        <f>(Cpi_[[#This Row],[Value]]-F5955)/F5955</f>
        <v>-0.1309884778653729</v>
      </c>
      <c r="H5956" t="e" cm="1" vm="1">
        <f t="array" aca="1" ref="H5956" ca="1">VLOOKUP(Cpi_[[#This Row],[Year]:[Month]],crudeoil[],3,FALSE)</f>
        <v>#VALUE!</v>
      </c>
    </row>
    <row r="5957" spans="1:8" hidden="1" x14ac:dyDescent="0.3">
      <c r="A5957" t="s">
        <v>33</v>
      </c>
      <c r="B5957">
        <v>2019</v>
      </c>
      <c r="C5957" t="s">
        <v>35</v>
      </c>
      <c r="D5957" t="s">
        <v>18</v>
      </c>
      <c r="E5957" t="e">
        <f>VLOOKUP(Cpi_[[#This Row],[Attribute]],#REF!,2,FALSE)</f>
        <v>#REF!</v>
      </c>
      <c r="F5957">
        <v>130.80000000000001</v>
      </c>
      <c r="G5957">
        <f>(Cpi_[[#This Row],[Value]]-F5956)/F5956</f>
        <v>-8.7229588276343334E-2</v>
      </c>
      <c r="H5957" t="e" cm="1" vm="1">
        <f t="array" aca="1" ref="H5957" ca="1">VLOOKUP(Cpi_[[#This Row],[Year]:[Month]],crudeoil[],3,FALSE)</f>
        <v>#VALUE!</v>
      </c>
    </row>
    <row r="5958" spans="1:8" hidden="1" x14ac:dyDescent="0.3">
      <c r="A5958" t="s">
        <v>33</v>
      </c>
      <c r="B5958">
        <v>2019</v>
      </c>
      <c r="C5958" t="s">
        <v>35</v>
      </c>
      <c r="D5958" t="s">
        <v>19</v>
      </c>
      <c r="E5958" t="e">
        <f>VLOOKUP(Cpi_[[#This Row],[Attribute]],#REF!,2,FALSE)</f>
        <v>#REF!</v>
      </c>
      <c r="F5958">
        <v>141.4</v>
      </c>
      <c r="G5958">
        <f>(Cpi_[[#This Row],[Value]]-F5957)/F5957</f>
        <v>8.1039755351681911E-2</v>
      </c>
      <c r="H5958" t="e" cm="1" vm="1">
        <f t="array" aca="1" ref="H5958" ca="1">VLOOKUP(Cpi_[[#This Row],[Year]:[Month]],crudeoil[],3,FALSE)</f>
        <v>#VALUE!</v>
      </c>
    </row>
    <row r="5959" spans="1:8" hidden="1" x14ac:dyDescent="0.3">
      <c r="A5959" t="s">
        <v>33</v>
      </c>
      <c r="B5959">
        <v>2019</v>
      </c>
      <c r="C5959" t="s">
        <v>35</v>
      </c>
      <c r="D5959" t="s">
        <v>20</v>
      </c>
      <c r="E5959" t="e">
        <f>VLOOKUP(Cpi_[[#This Row],[Attribute]],#REF!,2,FALSE)</f>
        <v>#REF!</v>
      </c>
      <c r="F5959">
        <v>148.5</v>
      </c>
      <c r="G5959">
        <f>(Cpi_[[#This Row],[Value]]-F5958)/F5958</f>
        <v>5.021216407355017E-2</v>
      </c>
      <c r="H5959" t="e" cm="1" vm="1">
        <f t="array" aca="1" ref="H5959" ca="1">VLOOKUP(Cpi_[[#This Row],[Year]:[Month]],crudeoil[],3,FALSE)</f>
        <v>#VALUE!</v>
      </c>
    </row>
    <row r="5960" spans="1:8" hidden="1" x14ac:dyDescent="0.3">
      <c r="A5960" t="s">
        <v>33</v>
      </c>
      <c r="B5960">
        <v>2019</v>
      </c>
      <c r="C5960" t="s">
        <v>35</v>
      </c>
      <c r="D5960" t="s">
        <v>21</v>
      </c>
      <c r="E5960" t="e">
        <f>VLOOKUP(Cpi_[[#This Row],[Attribute]],#REF!,2,FALSE)</f>
        <v>#REF!</v>
      </c>
      <c r="F5960">
        <v>127.1</v>
      </c>
      <c r="G5960">
        <f>(Cpi_[[#This Row],[Value]]-F5959)/F5959</f>
        <v>-0.14410774410774416</v>
      </c>
      <c r="H5960" t="e" cm="1" vm="1">
        <f t="array" aca="1" ref="H5960" ca="1">VLOOKUP(Cpi_[[#This Row],[Year]:[Month]],crudeoil[],3,FALSE)</f>
        <v>#VALUE!</v>
      </c>
    </row>
    <row r="5961" spans="1:8" hidden="1" x14ac:dyDescent="0.3">
      <c r="A5961" t="s">
        <v>33</v>
      </c>
      <c r="B5961">
        <v>2019</v>
      </c>
      <c r="C5961" t="s">
        <v>35</v>
      </c>
      <c r="D5961" t="s">
        <v>22</v>
      </c>
      <c r="E5961" t="e">
        <f>VLOOKUP(Cpi_[[#This Row],[Attribute]],#REF!,2,FALSE)</f>
        <v>#REF!</v>
      </c>
      <c r="F5961">
        <v>136.6</v>
      </c>
      <c r="G5961">
        <f>(Cpi_[[#This Row],[Value]]-F5960)/F5960</f>
        <v>7.4744295830055082E-2</v>
      </c>
      <c r="H5961" t="e" cm="1" vm="1">
        <f t="array" aca="1" ref="H5961" ca="1">VLOOKUP(Cpi_[[#This Row],[Year]:[Month]],crudeoil[],3,FALSE)</f>
        <v>#VALUE!</v>
      </c>
    </row>
    <row r="5962" spans="1:8" hidden="1" x14ac:dyDescent="0.3">
      <c r="A5962" t="s">
        <v>33</v>
      </c>
      <c r="B5962">
        <v>2019</v>
      </c>
      <c r="C5962" t="s">
        <v>35</v>
      </c>
      <c r="D5962" t="s">
        <v>23</v>
      </c>
      <c r="E5962" t="e">
        <f>VLOOKUP(Cpi_[[#This Row],[Attribute]],#REF!,2,FALSE)</f>
        <v>#REF!</v>
      </c>
      <c r="F5962">
        <v>138.5</v>
      </c>
      <c r="G5962">
        <f>(Cpi_[[#This Row],[Value]]-F5961)/F5961</f>
        <v>1.3909224011713073E-2</v>
      </c>
      <c r="H5962" t="e" cm="1" vm="1">
        <f t="array" aca="1" ref="H5962" ca="1">VLOOKUP(Cpi_[[#This Row],[Year]:[Month]],crudeoil[],3,FALSE)</f>
        <v>#VALUE!</v>
      </c>
    </row>
    <row r="5963" spans="1:8" hidden="1" x14ac:dyDescent="0.3">
      <c r="A5963" t="s">
        <v>33</v>
      </c>
      <c r="B5963">
        <v>2019</v>
      </c>
      <c r="C5963" t="s">
        <v>35</v>
      </c>
      <c r="D5963" t="s">
        <v>24</v>
      </c>
      <c r="E5963" t="e">
        <f>VLOOKUP(Cpi_[[#This Row],[Attribute]],#REF!,2,FALSE)</f>
        <v>#REF!</v>
      </c>
      <c r="F5963">
        <v>119.2</v>
      </c>
      <c r="G5963">
        <f>(Cpi_[[#This Row],[Value]]-F5962)/F5962</f>
        <v>-0.13935018050541514</v>
      </c>
      <c r="H5963" t="e" cm="1" vm="1">
        <f t="array" aca="1" ref="H5963" ca="1">VLOOKUP(Cpi_[[#This Row],[Year]:[Month]],crudeoil[],3,FALSE)</f>
        <v>#VALUE!</v>
      </c>
    </row>
    <row r="5964" spans="1:8" hidden="1" x14ac:dyDescent="0.3">
      <c r="A5964" t="s">
        <v>33</v>
      </c>
      <c r="B5964">
        <v>2019</v>
      </c>
      <c r="C5964" t="s">
        <v>35</v>
      </c>
      <c r="D5964" t="s">
        <v>25</v>
      </c>
      <c r="E5964" t="e">
        <f>VLOOKUP(Cpi_[[#This Row],[Attribute]],#REF!,2,FALSE)</f>
        <v>#REF!</v>
      </c>
      <c r="F5964">
        <v>132.19999999999999</v>
      </c>
      <c r="G5964">
        <f>(Cpi_[[#This Row],[Value]]-F5963)/F5963</f>
        <v>0.10906040268456364</v>
      </c>
      <c r="H5964" t="e" cm="1" vm="1">
        <f t="array" aca="1" ref="H5964" ca="1">VLOOKUP(Cpi_[[#This Row],[Year]:[Month]],crudeoil[],3,FALSE)</f>
        <v>#VALUE!</v>
      </c>
    </row>
    <row r="5965" spans="1:8" hidden="1" x14ac:dyDescent="0.3">
      <c r="A5965" t="s">
        <v>33</v>
      </c>
      <c r="B5965">
        <v>2019</v>
      </c>
      <c r="C5965" t="s">
        <v>35</v>
      </c>
      <c r="D5965" t="s">
        <v>26</v>
      </c>
      <c r="E5965" t="e">
        <f>VLOOKUP(Cpi_[[#This Row],[Attribute]],#REF!,2,FALSE)</f>
        <v>#REF!</v>
      </c>
      <c r="F5965">
        <v>146.6</v>
      </c>
      <c r="G5965">
        <f>(Cpi_[[#This Row],[Value]]-F5964)/F5964</f>
        <v>0.1089258698940999</v>
      </c>
      <c r="H5965" t="e" cm="1" vm="1">
        <f t="array" aca="1" ref="H5965" ca="1">VLOOKUP(Cpi_[[#This Row],[Year]:[Month]],crudeoil[],3,FALSE)</f>
        <v>#VALUE!</v>
      </c>
    </row>
    <row r="5966" spans="1:8" hidden="1" x14ac:dyDescent="0.3">
      <c r="A5966" t="s">
        <v>33</v>
      </c>
      <c r="B5966">
        <v>2019</v>
      </c>
      <c r="C5966" t="s">
        <v>35</v>
      </c>
      <c r="D5966" t="s">
        <v>27</v>
      </c>
      <c r="E5966" t="e">
        <f>VLOOKUP(Cpi_[[#This Row],[Attribute]],#REF!,2,FALSE)</f>
        <v>#REF!</v>
      </c>
      <c r="F5966">
        <v>133</v>
      </c>
      <c r="G5966">
        <f>(Cpi_[[#This Row],[Value]]-F5965)/F5965</f>
        <v>-9.2769440654843077E-2</v>
      </c>
      <c r="H5966" t="e" cm="1" vm="1">
        <f t="array" aca="1" ref="H5966" ca="1">VLOOKUP(Cpi_[[#This Row],[Year]:[Month]],crudeoil[],3,FALSE)</f>
        <v>#VALUE!</v>
      </c>
    </row>
    <row r="5967" spans="1:8" hidden="1" x14ac:dyDescent="0.3">
      <c r="A5967" t="s">
        <v>33</v>
      </c>
      <c r="B5967">
        <v>2019</v>
      </c>
      <c r="C5967" t="s">
        <v>35</v>
      </c>
      <c r="D5967" t="s">
        <v>28</v>
      </c>
      <c r="E5967" t="e">
        <f>VLOOKUP(Cpi_[[#This Row],[Attribute]],#REF!,2,FALSE)</f>
        <v>#REF!</v>
      </c>
      <c r="F5967">
        <v>132.4</v>
      </c>
      <c r="G5967">
        <f>(Cpi_[[#This Row],[Value]]-F5966)/F5966</f>
        <v>-4.5112781954886787E-3</v>
      </c>
      <c r="H5967" t="e" cm="1" vm="1">
        <f t="array" aca="1" ref="H5967" ca="1">VLOOKUP(Cpi_[[#This Row],[Year]:[Month]],crudeoil[],3,FALSE)</f>
        <v>#VALUE!</v>
      </c>
    </row>
    <row r="5968" spans="1:8" hidden="1" x14ac:dyDescent="0.3">
      <c r="A5968" t="s">
        <v>33</v>
      </c>
      <c r="B5968">
        <v>2019</v>
      </c>
      <c r="C5968" t="s">
        <v>35</v>
      </c>
      <c r="D5968" t="s">
        <v>29</v>
      </c>
      <c r="E5968" t="e" cm="1">
        <f t="array" aca="1" ref="E5968" ca="1">VLGeneral indexGeneral indexKUP(Cpi_[[#This Row],[Attribute]],#REF!,2,FALSE)</f>
        <v>#NAME?</v>
      </c>
      <c r="F5968">
        <v>138.6</v>
      </c>
      <c r="G5968">
        <f>(Cpi_[[#This Row],[Value]]-F5967)/F5967</f>
        <v>4.682779456193345E-2</v>
      </c>
      <c r="H5968" t="e" cm="1" vm="1">
        <f t="array" aca="1" ref="H5968" ca="1">VLOOKUP(Cpi_[[#This Row],[Year]:[Month]],crudeoil[],3,FALSE)</f>
        <v>#VALUE!</v>
      </c>
    </row>
    <row r="5969" spans="1:8" hidden="1" x14ac:dyDescent="0.3">
      <c r="A5969" t="s">
        <v>34</v>
      </c>
      <c r="B5969">
        <v>2019</v>
      </c>
      <c r="C5969" t="s">
        <v>35</v>
      </c>
      <c r="D5969" t="s">
        <v>3</v>
      </c>
      <c r="E5969" t="e">
        <f>VLOOKUP(Cpi_[[#This Row],[Attribute]],#REF!,2,FALSE)</f>
        <v>#REF!</v>
      </c>
      <c r="F5969">
        <v>137.6</v>
      </c>
      <c r="G5969">
        <f>(Cpi_[[#This Row],[Value]]-F5968)/F5968</f>
        <v>-7.215007215007215E-3</v>
      </c>
      <c r="H5969" t="e" cm="1" vm="1">
        <f t="array" aca="1" ref="H5969" ca="1">VLOOKUP(Cpi_[[#This Row],[Year]:[Month]],crudeoil[],3,FALSE)</f>
        <v>#VALUE!</v>
      </c>
    </row>
    <row r="5970" spans="1:8" hidden="1" x14ac:dyDescent="0.3">
      <c r="A5970" t="s">
        <v>34</v>
      </c>
      <c r="B5970">
        <v>2019</v>
      </c>
      <c r="C5970" t="s">
        <v>35</v>
      </c>
      <c r="D5970" t="s">
        <v>4</v>
      </c>
      <c r="E5970" t="e">
        <f>VLOOKUP(Cpi_[[#This Row],[Attribute]],#REF!,2,FALSE)</f>
        <v>#REF!</v>
      </c>
      <c r="F5970">
        <v>152</v>
      </c>
      <c r="G5970">
        <f>(Cpi_[[#This Row],[Value]]-F5969)/F5969</f>
        <v>0.10465116279069772</v>
      </c>
      <c r="H5970" t="e" cm="1" vm="1">
        <f t="array" aca="1" ref="H5970" ca="1">VLOOKUP(Cpi_[[#This Row],[Year]:[Month]],crudeoil[],3,FALSE)</f>
        <v>#VALUE!</v>
      </c>
    </row>
    <row r="5971" spans="1:8" hidden="1" x14ac:dyDescent="0.3">
      <c r="A5971" t="s">
        <v>34</v>
      </c>
      <c r="B5971">
        <v>2019</v>
      </c>
      <c r="C5971" t="s">
        <v>35</v>
      </c>
      <c r="D5971" t="s">
        <v>5</v>
      </c>
      <c r="E5971" t="e">
        <f>VLOOKUP(Cpi_[[#This Row],[Attribute]],#REF!,2,FALSE)</f>
        <v>#REF!</v>
      </c>
      <c r="F5971">
        <v>141.5</v>
      </c>
      <c r="G5971">
        <f>(Cpi_[[#This Row],[Value]]-F5970)/F5970</f>
        <v>-6.9078947368421059E-2</v>
      </c>
      <c r="H5971" t="e" cm="1" vm="1">
        <f t="array" aca="1" ref="H5971" ca="1">VLOOKUP(Cpi_[[#This Row],[Year]:[Month]],crudeoil[],3,FALSE)</f>
        <v>#VALUE!</v>
      </c>
    </row>
    <row r="5972" spans="1:8" hidden="1" x14ac:dyDescent="0.3">
      <c r="A5972" t="s">
        <v>34</v>
      </c>
      <c r="B5972">
        <v>2019</v>
      </c>
      <c r="C5972" t="s">
        <v>35</v>
      </c>
      <c r="D5972" t="s">
        <v>6</v>
      </c>
      <c r="E5972" t="e">
        <f>VLOOKUP(Cpi_[[#This Row],[Attribute]],#REF!,2,FALSE)</f>
        <v>#REF!</v>
      </c>
      <c r="F5972">
        <v>142.19999999999999</v>
      </c>
      <c r="G5972">
        <f>(Cpi_[[#This Row],[Value]]-F5971)/F5971</f>
        <v>4.9469964664310149E-3</v>
      </c>
      <c r="H5972" t="e" cm="1" vm="1">
        <f t="array" aca="1" ref="H5972" ca="1">VLOOKUP(Cpi_[[#This Row],[Year]:[Month]],crudeoil[],3,FALSE)</f>
        <v>#VALUE!</v>
      </c>
    </row>
    <row r="5973" spans="1:8" hidden="1" x14ac:dyDescent="0.3">
      <c r="A5973" t="s">
        <v>34</v>
      </c>
      <c r="B5973">
        <v>2019</v>
      </c>
      <c r="C5973" t="s">
        <v>35</v>
      </c>
      <c r="D5973" t="s">
        <v>7</v>
      </c>
      <c r="E5973" t="e">
        <f>VLOOKUP(Cpi_[[#This Row],[Attribute]],#REF!,2,FALSE)</f>
        <v>#REF!</v>
      </c>
      <c r="F5973">
        <v>122</v>
      </c>
      <c r="G5973">
        <f>(Cpi_[[#This Row],[Value]]-F5972)/F5972</f>
        <v>-0.14205344585091415</v>
      </c>
      <c r="H5973" t="e" cm="1" vm="1">
        <f t="array" aca="1" ref="H5973" ca="1">VLOOKUP(Cpi_[[#This Row],[Year]:[Month]],crudeoil[],3,FALSE)</f>
        <v>#VALUE!</v>
      </c>
    </row>
    <row r="5974" spans="1:8" hidden="1" x14ac:dyDescent="0.3">
      <c r="A5974" t="s">
        <v>34</v>
      </c>
      <c r="B5974">
        <v>2019</v>
      </c>
      <c r="C5974" t="s">
        <v>35</v>
      </c>
      <c r="D5974" t="s">
        <v>8</v>
      </c>
      <c r="E5974" t="e">
        <f>VLOOKUP(Cpi_[[#This Row],[Attribute]],#REF!,2,FALSE)</f>
        <v>#REF!</v>
      </c>
      <c r="F5974">
        <v>136.4</v>
      </c>
      <c r="G5974">
        <f>(Cpi_[[#This Row],[Value]]-F5973)/F5973</f>
        <v>0.11803278688524595</v>
      </c>
      <c r="H5974" t="e" cm="1" vm="1">
        <f t="array" aca="1" ref="H5974" ca="1">VLOOKUP(Cpi_[[#This Row],[Year]:[Month]],crudeoil[],3,FALSE)</f>
        <v>#VALUE!</v>
      </c>
    </row>
    <row r="5975" spans="1:8" hidden="1" x14ac:dyDescent="0.3">
      <c r="A5975" t="s">
        <v>34</v>
      </c>
      <c r="B5975">
        <v>2019</v>
      </c>
      <c r="C5975" t="s">
        <v>35</v>
      </c>
      <c r="D5975" t="s">
        <v>9</v>
      </c>
      <c r="E5975" t="e">
        <f>VLOOKUP(Cpi_[[#This Row],[Attribute]],#REF!,2,FALSE)</f>
        <v>#REF!</v>
      </c>
      <c r="F5975">
        <v>129.69999999999999</v>
      </c>
      <c r="G5975">
        <f>(Cpi_[[#This Row],[Value]]-F5974)/F5974</f>
        <v>-4.9120234604105695E-2</v>
      </c>
      <c r="H5975" t="e" cm="1" vm="1">
        <f t="array" aca="1" ref="H5975" ca="1">VLOOKUP(Cpi_[[#This Row],[Year]:[Month]],crudeoil[],3,FALSE)</f>
        <v>#VALUE!</v>
      </c>
    </row>
    <row r="5976" spans="1:8" hidden="1" x14ac:dyDescent="0.3">
      <c r="A5976" t="s">
        <v>34</v>
      </c>
      <c r="B5976">
        <v>2019</v>
      </c>
      <c r="C5976" t="s">
        <v>35</v>
      </c>
      <c r="D5976" t="s">
        <v>10</v>
      </c>
      <c r="E5976" t="e">
        <f>VLOOKUP(Cpi_[[#This Row],[Attribute]],#REF!,2,FALSE)</f>
        <v>#REF!</v>
      </c>
      <c r="F5976">
        <v>121</v>
      </c>
      <c r="G5976">
        <f>(Cpi_[[#This Row],[Value]]-F5975)/F5975</f>
        <v>-6.7077872012336073E-2</v>
      </c>
      <c r="H5976" t="e" cm="1" vm="1">
        <f t="array" aca="1" ref="H5976" ca="1">VLOOKUP(Cpi_[[#This Row],[Year]:[Month]],crudeoil[],3,FALSE)</f>
        <v>#VALUE!</v>
      </c>
    </row>
    <row r="5977" spans="1:8" hidden="1" x14ac:dyDescent="0.3">
      <c r="A5977" t="s">
        <v>34</v>
      </c>
      <c r="B5977">
        <v>2019</v>
      </c>
      <c r="C5977" t="s">
        <v>35</v>
      </c>
      <c r="D5977" t="s">
        <v>11</v>
      </c>
      <c r="E5977" t="e">
        <f>VLOOKUP(Cpi_[[#This Row],[Attribute]],#REF!,2,FALSE)</f>
        <v>#REF!</v>
      </c>
      <c r="F5977">
        <v>109</v>
      </c>
      <c r="G5977">
        <f>(Cpi_[[#This Row],[Value]]-F5976)/F5976</f>
        <v>-9.9173553719008267E-2</v>
      </c>
      <c r="H5977" t="e" cm="1" vm="1">
        <f t="array" aca="1" ref="H5977" ca="1">VLOOKUP(Cpi_[[#This Row],[Year]:[Month]],crudeoil[],3,FALSE)</f>
        <v>#VALUE!</v>
      </c>
    </row>
    <row r="5978" spans="1:8" hidden="1" x14ac:dyDescent="0.3">
      <c r="A5978" t="s">
        <v>34</v>
      </c>
      <c r="B5978">
        <v>2019</v>
      </c>
      <c r="C5978" t="s">
        <v>35</v>
      </c>
      <c r="D5978" t="s">
        <v>12</v>
      </c>
      <c r="E5978" t="e">
        <f>VLOOKUP(Cpi_[[#This Row],[Attribute]],#REF!,2,FALSE)</f>
        <v>#REF!</v>
      </c>
      <c r="F5978">
        <v>139.69999999999999</v>
      </c>
      <c r="G5978">
        <f>(Cpi_[[#This Row],[Value]]-F5977)/F5977</f>
        <v>0.28165137614678887</v>
      </c>
      <c r="H5978" t="e" cm="1" vm="1">
        <f t="array" aca="1" ref="H5978" ca="1">VLOOKUP(Cpi_[[#This Row],[Year]:[Month]],crudeoil[],3,FALSE)</f>
        <v>#VALUE!</v>
      </c>
    </row>
    <row r="5979" spans="1:8" hidden="1" x14ac:dyDescent="0.3">
      <c r="A5979" t="s">
        <v>34</v>
      </c>
      <c r="B5979">
        <v>2019</v>
      </c>
      <c r="C5979" t="s">
        <v>35</v>
      </c>
      <c r="D5979" t="s">
        <v>13</v>
      </c>
      <c r="E5979" t="e">
        <f>VLOOKUP(Cpi_[[#This Row],[Attribute]],#REF!,2,FALSE)</f>
        <v>#REF!</v>
      </c>
      <c r="F5979">
        <v>133.6</v>
      </c>
      <c r="G5979">
        <f>(Cpi_[[#This Row],[Value]]-F5978)/F5978</f>
        <v>-4.3664996420901894E-2</v>
      </c>
      <c r="H5979" t="e" cm="1" vm="1">
        <f t="array" aca="1" ref="H5979" ca="1">VLOOKUP(Cpi_[[#This Row],[Year]:[Month]],crudeoil[],3,FALSE)</f>
        <v>#VALUE!</v>
      </c>
    </row>
    <row r="5980" spans="1:8" hidden="1" x14ac:dyDescent="0.3">
      <c r="A5980" t="s">
        <v>34</v>
      </c>
      <c r="B5980">
        <v>2019</v>
      </c>
      <c r="C5980" t="s">
        <v>35</v>
      </c>
      <c r="D5980" t="s">
        <v>14</v>
      </c>
      <c r="E5980" t="e">
        <f>VLOOKUP(Cpi_[[#This Row],[Attribute]],#REF!,2,FALSE)</f>
        <v>#REF!</v>
      </c>
      <c r="F5980">
        <v>154.9</v>
      </c>
      <c r="G5980">
        <f>(Cpi_[[#This Row],[Value]]-F5979)/F5979</f>
        <v>0.159431137724551</v>
      </c>
      <c r="H5980" t="e" cm="1" vm="1">
        <f t="array" aca="1" ref="H5980" ca="1">VLOOKUP(Cpi_[[#This Row],[Year]:[Month]],crudeoil[],3,FALSE)</f>
        <v>#VALUE!</v>
      </c>
    </row>
    <row r="5981" spans="1:8" hidden="1" x14ac:dyDescent="0.3">
      <c r="A5981" t="s">
        <v>34</v>
      </c>
      <c r="B5981">
        <v>2019</v>
      </c>
      <c r="C5981" t="s">
        <v>35</v>
      </c>
      <c r="D5981" t="s">
        <v>15</v>
      </c>
      <c r="E5981" t="e">
        <f>VLOOKUP(Cpi_[[#This Row],[Attribute]],#REF!,2,FALSE)</f>
        <v>#REF!</v>
      </c>
      <c r="F5981">
        <v>137.5</v>
      </c>
      <c r="G5981">
        <f>(Cpi_[[#This Row],[Value]]-F5980)/F5980</f>
        <v>-0.11233053582956749</v>
      </c>
      <c r="H5981" t="e" cm="1" vm="1">
        <f t="array" aca="1" ref="H5981" ca="1">VLOOKUP(Cpi_[[#This Row],[Year]:[Month]],crudeoil[],3,FALSE)</f>
        <v>#VALUE!</v>
      </c>
    </row>
    <row r="5982" spans="1:8" hidden="1" x14ac:dyDescent="0.3">
      <c r="A5982" t="s">
        <v>34</v>
      </c>
      <c r="B5982">
        <v>2019</v>
      </c>
      <c r="C5982" t="s">
        <v>35</v>
      </c>
      <c r="D5982" t="s">
        <v>16</v>
      </c>
      <c r="E5982" t="e">
        <f>VLOOKUP(Cpi_[[#This Row],[Attribute]],#REF!,2,FALSE)</f>
        <v>#REF!</v>
      </c>
      <c r="F5982">
        <v>163.4</v>
      </c>
      <c r="G5982">
        <f>(Cpi_[[#This Row],[Value]]-F5981)/F5981</f>
        <v>0.1883636363636364</v>
      </c>
      <c r="H5982" t="e" cm="1" vm="1">
        <f t="array" aca="1" ref="H5982" ca="1">VLOOKUP(Cpi_[[#This Row],[Year]:[Month]],crudeoil[],3,FALSE)</f>
        <v>#VALUE!</v>
      </c>
    </row>
    <row r="5983" spans="1:8" hidden="1" x14ac:dyDescent="0.3">
      <c r="A5983" t="s">
        <v>34</v>
      </c>
      <c r="B5983">
        <v>2019</v>
      </c>
      <c r="C5983" t="s">
        <v>35</v>
      </c>
      <c r="D5983" t="s">
        <v>17</v>
      </c>
      <c r="E5983" t="e">
        <f>VLOOKUP(Cpi_[[#This Row],[Attribute]],#REF!,2,FALSE)</f>
        <v>#REF!</v>
      </c>
      <c r="F5983">
        <v>147.69999999999999</v>
      </c>
      <c r="G5983">
        <f>(Cpi_[[#This Row],[Value]]-F5982)/F5982</f>
        <v>-9.6083231334149422E-2</v>
      </c>
      <c r="H5983" t="e" cm="1" vm="1">
        <f t="array" aca="1" ref="H5983" ca="1">VLOOKUP(Cpi_[[#This Row],[Year]:[Month]],crudeoil[],3,FALSE)</f>
        <v>#VALUE!</v>
      </c>
    </row>
    <row r="5984" spans="1:8" hidden="1" x14ac:dyDescent="0.3">
      <c r="A5984" t="s">
        <v>34</v>
      </c>
      <c r="B5984">
        <v>2019</v>
      </c>
      <c r="C5984" t="s">
        <v>35</v>
      </c>
      <c r="D5984" t="s">
        <v>18</v>
      </c>
      <c r="E5984" t="e">
        <f>VLOOKUP(Cpi_[[#This Row],[Attribute]],#REF!,2,FALSE)</f>
        <v>#REF!</v>
      </c>
      <c r="F5984">
        <v>139.69999999999999</v>
      </c>
      <c r="G5984">
        <f>(Cpi_[[#This Row],[Value]]-F5983)/F5983</f>
        <v>-5.4163845633039949E-2</v>
      </c>
      <c r="H5984" t="e" cm="1" vm="1">
        <f t="array" aca="1" ref="H5984" ca="1">VLOOKUP(Cpi_[[#This Row],[Year]:[Month]],crudeoil[],3,FALSE)</f>
        <v>#VALUE!</v>
      </c>
    </row>
    <row r="5985" spans="1:8" hidden="1" x14ac:dyDescent="0.3">
      <c r="A5985" t="s">
        <v>34</v>
      </c>
      <c r="B5985">
        <v>2019</v>
      </c>
      <c r="C5985" t="s">
        <v>35</v>
      </c>
      <c r="D5985" t="s">
        <v>19</v>
      </c>
      <c r="E5985" t="e">
        <f>VLOOKUP(Cpi_[[#This Row],[Attribute]],#REF!,2,FALSE)</f>
        <v>#REF!</v>
      </c>
      <c r="F5985">
        <v>146.5</v>
      </c>
      <c r="G5985">
        <f>(Cpi_[[#This Row],[Value]]-F5984)/F5984</f>
        <v>4.8675733715103878E-2</v>
      </c>
      <c r="H5985" t="e" cm="1" vm="1">
        <f t="array" aca="1" ref="H5985" ca="1">VLOOKUP(Cpi_[[#This Row],[Year]:[Month]],crudeoil[],3,FALSE)</f>
        <v>#VALUE!</v>
      </c>
    </row>
    <row r="5986" spans="1:8" hidden="1" x14ac:dyDescent="0.3">
      <c r="A5986" t="s">
        <v>34</v>
      </c>
      <c r="B5986">
        <v>2019</v>
      </c>
      <c r="C5986" t="s">
        <v>35</v>
      </c>
      <c r="D5986" t="s">
        <v>20</v>
      </c>
      <c r="E5986" t="e">
        <f>VLOOKUP(Cpi_[[#This Row],[Attribute]],#REF!,2,FALSE)</f>
        <v>#REF!</v>
      </c>
      <c r="F5986">
        <v>148.5</v>
      </c>
      <c r="G5986">
        <f>(Cpi_[[#This Row],[Value]]-F5985)/F5985</f>
        <v>1.3651877133105802E-2</v>
      </c>
      <c r="H5986" t="e" cm="1" vm="1">
        <f t="array" aca="1" ref="H5986" ca="1">VLOOKUP(Cpi_[[#This Row],[Year]:[Month]],crudeoil[],3,FALSE)</f>
        <v>#VALUE!</v>
      </c>
    </row>
    <row r="5987" spans="1:8" hidden="1" x14ac:dyDescent="0.3">
      <c r="A5987" t="s">
        <v>34</v>
      </c>
      <c r="B5987">
        <v>2019</v>
      </c>
      <c r="C5987" t="s">
        <v>35</v>
      </c>
      <c r="D5987" t="s">
        <v>21</v>
      </c>
      <c r="E5987" t="e">
        <f>VLOOKUP(Cpi_[[#This Row],[Attribute]],#REF!,2,FALSE)</f>
        <v>#REF!</v>
      </c>
      <c r="F5987">
        <v>138.4</v>
      </c>
      <c r="G5987">
        <f>(Cpi_[[#This Row],[Value]]-F5986)/F5986</f>
        <v>-6.801346801346797E-2</v>
      </c>
      <c r="H5987" t="e" cm="1" vm="1">
        <f t="array" aca="1" ref="H5987" ca="1">VLOOKUP(Cpi_[[#This Row],[Year]:[Month]],crudeoil[],3,FALSE)</f>
        <v>#VALUE!</v>
      </c>
    </row>
    <row r="5988" spans="1:8" hidden="1" x14ac:dyDescent="0.3">
      <c r="A5988" t="s">
        <v>34</v>
      </c>
      <c r="B5988">
        <v>2019</v>
      </c>
      <c r="C5988" t="s">
        <v>35</v>
      </c>
      <c r="D5988" t="s">
        <v>22</v>
      </c>
      <c r="E5988" t="e">
        <f>VLOOKUP(Cpi_[[#This Row],[Attribute]],#REF!,2,FALSE)</f>
        <v>#REF!</v>
      </c>
      <c r="F5988">
        <v>143.69999999999999</v>
      </c>
      <c r="G5988">
        <f>(Cpi_[[#This Row],[Value]]-F5987)/F5987</f>
        <v>3.8294797687861148E-2</v>
      </c>
      <c r="H5988" t="e" cm="1" vm="1">
        <f t="array" aca="1" ref="H5988" ca="1">VLOOKUP(Cpi_[[#This Row],[Year]:[Month]],crudeoil[],3,FALSE)</f>
        <v>#VALUE!</v>
      </c>
    </row>
    <row r="5989" spans="1:8" hidden="1" x14ac:dyDescent="0.3">
      <c r="A5989" t="s">
        <v>34</v>
      </c>
      <c r="B5989">
        <v>2019</v>
      </c>
      <c r="C5989" t="s">
        <v>35</v>
      </c>
      <c r="D5989" t="s">
        <v>23</v>
      </c>
      <c r="E5989" t="e">
        <f>VLOOKUP(Cpi_[[#This Row],[Attribute]],#REF!,2,FALSE)</f>
        <v>#REF!</v>
      </c>
      <c r="F5989">
        <v>145.6</v>
      </c>
      <c r="G5989">
        <f>(Cpi_[[#This Row],[Value]]-F5988)/F5988</f>
        <v>1.3221990257480904E-2</v>
      </c>
      <c r="H5989" t="e" cm="1" vm="1">
        <f t="array" aca="1" ref="H5989" ca="1">VLOOKUP(Cpi_[[#This Row],[Year]:[Month]],crudeoil[],3,FALSE)</f>
        <v>#VALUE!</v>
      </c>
    </row>
    <row r="5990" spans="1:8" hidden="1" x14ac:dyDescent="0.3">
      <c r="A5990" t="s">
        <v>34</v>
      </c>
      <c r="B5990">
        <v>2019</v>
      </c>
      <c r="C5990" t="s">
        <v>35</v>
      </c>
      <c r="D5990" t="s">
        <v>24</v>
      </c>
      <c r="E5990" t="e">
        <f>VLOOKUP(Cpi_[[#This Row],[Attribute]],#REF!,2,FALSE)</f>
        <v>#REF!</v>
      </c>
      <c r="F5990">
        <v>123.9</v>
      </c>
      <c r="G5990">
        <f>(Cpi_[[#This Row],[Value]]-F5989)/F5989</f>
        <v>-0.14903846153846145</v>
      </c>
      <c r="H5990" t="e" cm="1" vm="1">
        <f t="array" aca="1" ref="H5990" ca="1">VLOOKUP(Cpi_[[#This Row],[Year]:[Month]],crudeoil[],3,FALSE)</f>
        <v>#VALUE!</v>
      </c>
    </row>
    <row r="5991" spans="1:8" hidden="1" x14ac:dyDescent="0.3">
      <c r="A5991" t="s">
        <v>34</v>
      </c>
      <c r="B5991">
        <v>2019</v>
      </c>
      <c r="C5991" t="s">
        <v>35</v>
      </c>
      <c r="D5991" t="s">
        <v>25</v>
      </c>
      <c r="E5991" t="e">
        <f>VLOOKUP(Cpi_[[#This Row],[Attribute]],#REF!,2,FALSE)</f>
        <v>#REF!</v>
      </c>
      <c r="F5991">
        <v>137.1</v>
      </c>
      <c r="G5991">
        <f>(Cpi_[[#This Row],[Value]]-F5990)/F5990</f>
        <v>0.10653753026634373</v>
      </c>
      <c r="H5991" t="e" cm="1" vm="1">
        <f t="array" aca="1" ref="H5991" ca="1">VLOOKUP(Cpi_[[#This Row],[Year]:[Month]],crudeoil[],3,FALSE)</f>
        <v>#VALUE!</v>
      </c>
    </row>
    <row r="5992" spans="1:8" hidden="1" x14ac:dyDescent="0.3">
      <c r="A5992" t="s">
        <v>34</v>
      </c>
      <c r="B5992">
        <v>2019</v>
      </c>
      <c r="C5992" t="s">
        <v>35</v>
      </c>
      <c r="D5992" t="s">
        <v>26</v>
      </c>
      <c r="E5992" t="e">
        <f>VLOOKUP(Cpi_[[#This Row],[Attribute]],#REF!,2,FALSE)</f>
        <v>#REF!</v>
      </c>
      <c r="F5992">
        <v>150.30000000000001</v>
      </c>
      <c r="G5992">
        <f>(Cpi_[[#This Row],[Value]]-F5991)/F5991</f>
        <v>9.6280087527352426E-2</v>
      </c>
      <c r="H5992" t="e" cm="1" vm="1">
        <f t="array" aca="1" ref="H5992" ca="1">VLOOKUP(Cpi_[[#This Row],[Year]:[Month]],crudeoil[],3,FALSE)</f>
        <v>#VALUE!</v>
      </c>
    </row>
    <row r="5993" spans="1:8" hidden="1" x14ac:dyDescent="0.3">
      <c r="A5993" t="s">
        <v>34</v>
      </c>
      <c r="B5993">
        <v>2019</v>
      </c>
      <c r="C5993" t="s">
        <v>35</v>
      </c>
      <c r="D5993" t="s">
        <v>27</v>
      </c>
      <c r="E5993" t="e">
        <f>VLOOKUP(Cpi_[[#This Row],[Attribute]],#REF!,2,FALSE)</f>
        <v>#REF!</v>
      </c>
      <c r="F5993">
        <v>134.1</v>
      </c>
      <c r="G5993">
        <f>(Cpi_[[#This Row],[Value]]-F5992)/F5992</f>
        <v>-0.10778443113772465</v>
      </c>
      <c r="H5993" t="e" cm="1" vm="1">
        <f t="array" aca="1" ref="H5993" ca="1">VLOOKUP(Cpi_[[#This Row],[Year]:[Month]],crudeoil[],3,FALSE)</f>
        <v>#VALUE!</v>
      </c>
    </row>
    <row r="5994" spans="1:8" hidden="1" x14ac:dyDescent="0.3">
      <c r="A5994" t="s">
        <v>34</v>
      </c>
      <c r="B5994">
        <v>2019</v>
      </c>
      <c r="C5994" t="s">
        <v>35</v>
      </c>
      <c r="D5994" t="s">
        <v>28</v>
      </c>
      <c r="E5994" t="e">
        <f>VLOOKUP(Cpi_[[#This Row],[Attribute]],#REF!,2,FALSE)</f>
        <v>#REF!</v>
      </c>
      <c r="F5994">
        <v>137.4</v>
      </c>
      <c r="G5994">
        <f>(Cpi_[[#This Row],[Value]]-F5993)/F5993</f>
        <v>2.460850111856832E-2</v>
      </c>
      <c r="H5994" t="e" cm="1" vm="1">
        <f t="array" aca="1" ref="H5994" ca="1">VLOOKUP(Cpi_[[#This Row],[Year]:[Month]],crudeoil[],3,FALSE)</f>
        <v>#VALUE!</v>
      </c>
    </row>
    <row r="5995" spans="1:8" hidden="1" x14ac:dyDescent="0.3">
      <c r="A5995" t="s">
        <v>34</v>
      </c>
      <c r="B5995">
        <v>2019</v>
      </c>
      <c r="C5995" t="s">
        <v>35</v>
      </c>
      <c r="D5995" t="s">
        <v>29</v>
      </c>
      <c r="E5995" t="e" cm="1">
        <f t="array" aca="1" ref="E5995" ca="1">VLGeneral indexGeneral indexKUP(Cpi_[[#This Row],[Attribute]],#REF!,2,FALSE)</f>
        <v>#NAME?</v>
      </c>
      <c r="F5995">
        <v>139.9</v>
      </c>
      <c r="G5995">
        <f>(Cpi_[[#This Row],[Value]]-F5994)/F5994</f>
        <v>1.8195050946142648E-2</v>
      </c>
      <c r="H5995" t="e" cm="1" vm="1">
        <f t="array" aca="1" ref="H5995" ca="1">VLOOKUP(Cpi_[[#This Row],[Year]:[Month]],crudeoil[],3,FALSE)</f>
        <v>#VALUE!</v>
      </c>
    </row>
    <row r="5996" spans="1:8" hidden="1" x14ac:dyDescent="0.3">
      <c r="A5996" t="s">
        <v>30</v>
      </c>
      <c r="B5996">
        <v>2019</v>
      </c>
      <c r="C5996" t="s">
        <v>36</v>
      </c>
      <c r="D5996" t="s">
        <v>3</v>
      </c>
      <c r="E5996" t="e">
        <f>VLOOKUP(Cpi_[[#This Row],[Attribute]],#REF!,2,FALSE)</f>
        <v>#REF!</v>
      </c>
      <c r="F5996">
        <v>136.9</v>
      </c>
      <c r="G5996">
        <f>(Cpi_[[#This Row],[Value]]-F5995)/F5995</f>
        <v>-2.144388849177984E-2</v>
      </c>
      <c r="H5996" t="e" cm="1" vm="1">
        <f t="array" aca="1" ref="H5996" ca="1">VLOOKUP(Cpi_[[#This Row],[Year]:[Month]],crudeoil[],3,FALSE)</f>
        <v>#VALUE!</v>
      </c>
    </row>
    <row r="5997" spans="1:8" hidden="1" x14ac:dyDescent="0.3">
      <c r="A5997" t="s">
        <v>30</v>
      </c>
      <c r="B5997">
        <v>2019</v>
      </c>
      <c r="C5997" t="s">
        <v>36</v>
      </c>
      <c r="D5997" t="s">
        <v>4</v>
      </c>
      <c r="E5997" t="e">
        <f>VLOOKUP(Cpi_[[#This Row],[Attribute]],#REF!,2,FALSE)</f>
        <v>#REF!</v>
      </c>
      <c r="F5997">
        <v>154.1</v>
      </c>
      <c r="G5997">
        <f>(Cpi_[[#This Row],[Value]]-F5996)/F5996</f>
        <v>0.12563915266617962</v>
      </c>
      <c r="H5997" t="e" cm="1" vm="1">
        <f t="array" aca="1" ref="H5997" ca="1">VLOOKUP(Cpi_[[#This Row],[Year]:[Month]],crudeoil[],3,FALSE)</f>
        <v>#VALUE!</v>
      </c>
    </row>
    <row r="5998" spans="1:8" hidden="1" x14ac:dyDescent="0.3">
      <c r="A5998" t="s">
        <v>30</v>
      </c>
      <c r="B5998">
        <v>2019</v>
      </c>
      <c r="C5998" t="s">
        <v>36</v>
      </c>
      <c r="D5998" t="s">
        <v>5</v>
      </c>
      <c r="E5998" t="e">
        <f>VLOOKUP(Cpi_[[#This Row],[Attribute]],#REF!,2,FALSE)</f>
        <v>#REF!</v>
      </c>
      <c r="F5998">
        <v>138.69999999999999</v>
      </c>
      <c r="G5998">
        <f>(Cpi_[[#This Row],[Value]]-F5997)/F5997</f>
        <v>-9.9935107073329046E-2</v>
      </c>
      <c r="H5998" t="e" cm="1" vm="1">
        <f t="array" aca="1" ref="H5998" ca="1">VLOOKUP(Cpi_[[#This Row],[Year]:[Month]],crudeoil[],3,FALSE)</f>
        <v>#VALUE!</v>
      </c>
    </row>
    <row r="5999" spans="1:8" hidden="1" x14ac:dyDescent="0.3">
      <c r="A5999" t="s">
        <v>30</v>
      </c>
      <c r="B5999">
        <v>2019</v>
      </c>
      <c r="C5999" t="s">
        <v>36</v>
      </c>
      <c r="D5999" t="s">
        <v>6</v>
      </c>
      <c r="E5999" t="e">
        <f>VLOOKUP(Cpi_[[#This Row],[Attribute]],#REF!,2,FALSE)</f>
        <v>#REF!</v>
      </c>
      <c r="F5999">
        <v>142.5</v>
      </c>
      <c r="G5999">
        <f>(Cpi_[[#This Row],[Value]]-F5998)/F5998</f>
        <v>2.7397260273972688E-2</v>
      </c>
      <c r="H5999" t="e" cm="1" vm="1">
        <f t="array" aca="1" ref="H5999" ca="1">VLOOKUP(Cpi_[[#This Row],[Year]:[Month]],crudeoil[],3,FALSE)</f>
        <v>#VALUE!</v>
      </c>
    </row>
    <row r="6000" spans="1:8" hidden="1" x14ac:dyDescent="0.3">
      <c r="A6000" t="s">
        <v>30</v>
      </c>
      <c r="B6000">
        <v>2019</v>
      </c>
      <c r="C6000" t="s">
        <v>36</v>
      </c>
      <c r="D6000" t="s">
        <v>7</v>
      </c>
      <c r="E6000" t="e">
        <f>VLOOKUP(Cpi_[[#This Row],[Attribute]],#REF!,2,FALSE)</f>
        <v>#REF!</v>
      </c>
      <c r="F6000">
        <v>124.1</v>
      </c>
      <c r="G6000">
        <f>(Cpi_[[#This Row],[Value]]-F5999)/F5999</f>
        <v>-0.12912280701754389</v>
      </c>
      <c r="H6000" t="e" cm="1" vm="1">
        <f t="array" aca="1" ref="H6000" ca="1">VLOOKUP(Cpi_[[#This Row],[Year]:[Month]],crudeoil[],3,FALSE)</f>
        <v>#VALUE!</v>
      </c>
    </row>
    <row r="6001" spans="1:8" hidden="1" x14ac:dyDescent="0.3">
      <c r="A6001" t="s">
        <v>30</v>
      </c>
      <c r="B6001">
        <v>2019</v>
      </c>
      <c r="C6001" t="s">
        <v>36</v>
      </c>
      <c r="D6001" t="s">
        <v>8</v>
      </c>
      <c r="E6001" t="e">
        <f>VLOOKUP(Cpi_[[#This Row],[Attribute]],#REF!,2,FALSE)</f>
        <v>#REF!</v>
      </c>
      <c r="F6001">
        <v>136.1</v>
      </c>
      <c r="G6001">
        <f>(Cpi_[[#This Row],[Value]]-F6000)/F6000</f>
        <v>9.6696212731668008E-2</v>
      </c>
      <c r="H6001" t="e" cm="1" vm="1">
        <f t="array" aca="1" ref="H6001" ca="1">VLOOKUP(Cpi_[[#This Row],[Year]:[Month]],crudeoil[],3,FALSE)</f>
        <v>#VALUE!</v>
      </c>
    </row>
    <row r="6002" spans="1:8" hidden="1" x14ac:dyDescent="0.3">
      <c r="A6002" t="s">
        <v>30</v>
      </c>
      <c r="B6002">
        <v>2019</v>
      </c>
      <c r="C6002" t="s">
        <v>36</v>
      </c>
      <c r="D6002" t="s">
        <v>9</v>
      </c>
      <c r="E6002" t="e">
        <f>VLOOKUP(Cpi_[[#This Row],[Attribute]],#REF!,2,FALSE)</f>
        <v>#REF!</v>
      </c>
      <c r="F6002">
        <v>128.19999999999999</v>
      </c>
      <c r="G6002">
        <f>(Cpi_[[#This Row],[Value]]-F6001)/F6001</f>
        <v>-5.8045554739162425E-2</v>
      </c>
      <c r="H6002" t="e" cm="1" vm="1">
        <f t="array" aca="1" ref="H6002" ca="1">VLOOKUP(Cpi_[[#This Row],[Year]:[Month]],crudeoil[],3,FALSE)</f>
        <v>#VALUE!</v>
      </c>
    </row>
    <row r="6003" spans="1:8" hidden="1" x14ac:dyDescent="0.3">
      <c r="A6003" t="s">
        <v>30</v>
      </c>
      <c r="B6003">
        <v>2019</v>
      </c>
      <c r="C6003" t="s">
        <v>36</v>
      </c>
      <c r="D6003" t="s">
        <v>10</v>
      </c>
      <c r="E6003" t="e">
        <f>VLOOKUP(Cpi_[[#This Row],[Attribute]],#REF!,2,FALSE)</f>
        <v>#REF!</v>
      </c>
      <c r="F6003">
        <v>122.3</v>
      </c>
      <c r="G6003">
        <f>(Cpi_[[#This Row],[Value]]-F6002)/F6002</f>
        <v>-4.6021840873634881E-2</v>
      </c>
      <c r="H6003" t="e" cm="1" vm="1">
        <f t="array" aca="1" ref="H6003" ca="1">VLOOKUP(Cpi_[[#This Row],[Year]:[Month]],crudeoil[],3,FALSE)</f>
        <v>#VALUE!</v>
      </c>
    </row>
    <row r="6004" spans="1:8" hidden="1" x14ac:dyDescent="0.3">
      <c r="A6004" t="s">
        <v>30</v>
      </c>
      <c r="B6004">
        <v>2019</v>
      </c>
      <c r="C6004" t="s">
        <v>36</v>
      </c>
      <c r="D6004" t="s">
        <v>11</v>
      </c>
      <c r="E6004" t="e">
        <f>VLOOKUP(Cpi_[[#This Row],[Attribute]],#REF!,2,FALSE)</f>
        <v>#REF!</v>
      </c>
      <c r="F6004">
        <v>108.3</v>
      </c>
      <c r="G6004">
        <f>(Cpi_[[#This Row],[Value]]-F6003)/F6003</f>
        <v>-0.11447260834014718</v>
      </c>
      <c r="H6004" t="e" cm="1" vm="1">
        <f t="array" aca="1" ref="H6004" ca="1">VLOOKUP(Cpi_[[#This Row],[Year]:[Month]],crudeoil[],3,FALSE)</f>
        <v>#VALUE!</v>
      </c>
    </row>
    <row r="6005" spans="1:8" hidden="1" x14ac:dyDescent="0.3">
      <c r="A6005" t="s">
        <v>30</v>
      </c>
      <c r="B6005">
        <v>2019</v>
      </c>
      <c r="C6005" t="s">
        <v>36</v>
      </c>
      <c r="D6005" t="s">
        <v>12</v>
      </c>
      <c r="E6005" t="e">
        <f>VLOOKUP(Cpi_[[#This Row],[Attribute]],#REF!,2,FALSE)</f>
        <v>#REF!</v>
      </c>
      <c r="F6005">
        <v>138.9</v>
      </c>
      <c r="G6005">
        <f>(Cpi_[[#This Row],[Value]]-F6004)/F6004</f>
        <v>0.28254847645429371</v>
      </c>
      <c r="H6005" t="e" cm="1" vm="1">
        <f t="array" aca="1" ref="H6005" ca="1">VLOOKUP(Cpi_[[#This Row],[Year]:[Month]],crudeoil[],3,FALSE)</f>
        <v>#VALUE!</v>
      </c>
    </row>
    <row r="6006" spans="1:8" hidden="1" x14ac:dyDescent="0.3">
      <c r="A6006" t="s">
        <v>30</v>
      </c>
      <c r="B6006">
        <v>2019</v>
      </c>
      <c r="C6006" t="s">
        <v>36</v>
      </c>
      <c r="D6006" t="s">
        <v>13</v>
      </c>
      <c r="E6006" t="e">
        <f>VLOOKUP(Cpi_[[#This Row],[Attribute]],#REF!,2,FALSE)</f>
        <v>#REF!</v>
      </c>
      <c r="F6006">
        <v>137.4</v>
      </c>
      <c r="G6006">
        <f>(Cpi_[[#This Row],[Value]]-F6005)/F6005</f>
        <v>-1.079913606911447E-2</v>
      </c>
      <c r="H6006" t="e" cm="1" vm="1">
        <f t="array" aca="1" ref="H6006" ca="1">VLOOKUP(Cpi_[[#This Row],[Year]:[Month]],crudeoil[],3,FALSE)</f>
        <v>#VALUE!</v>
      </c>
    </row>
    <row r="6007" spans="1:8" hidden="1" x14ac:dyDescent="0.3">
      <c r="A6007" t="s">
        <v>30</v>
      </c>
      <c r="B6007">
        <v>2019</v>
      </c>
      <c r="C6007" t="s">
        <v>36</v>
      </c>
      <c r="D6007" t="s">
        <v>14</v>
      </c>
      <c r="E6007" t="e">
        <f>VLOOKUP(Cpi_[[#This Row],[Attribute]],#REF!,2,FALSE)</f>
        <v>#REF!</v>
      </c>
      <c r="F6007">
        <v>156.4</v>
      </c>
      <c r="G6007">
        <f>(Cpi_[[#This Row],[Value]]-F6006)/F6006</f>
        <v>0.13828238719068414</v>
      </c>
      <c r="H6007" t="e" cm="1" vm="1">
        <f t="array" aca="1" ref="H6007" ca="1">VLOOKUP(Cpi_[[#This Row],[Year]:[Month]],crudeoil[],3,FALSE)</f>
        <v>#VALUE!</v>
      </c>
    </row>
    <row r="6008" spans="1:8" hidden="1" x14ac:dyDescent="0.3">
      <c r="A6008" t="s">
        <v>30</v>
      </c>
      <c r="B6008">
        <v>2019</v>
      </c>
      <c r="C6008" t="s">
        <v>36</v>
      </c>
      <c r="D6008" t="s">
        <v>15</v>
      </c>
      <c r="E6008" t="e">
        <f>VLOOKUP(Cpi_[[#This Row],[Attribute]],#REF!,2,FALSE)</f>
        <v>#REF!</v>
      </c>
      <c r="F6008">
        <v>137.30000000000001</v>
      </c>
      <c r="G6008">
        <f>(Cpi_[[#This Row],[Value]]-F6007)/F6007</f>
        <v>-0.12212276214833756</v>
      </c>
      <c r="H6008" t="e" cm="1" vm="1">
        <f t="array" aca="1" ref="H6008" ca="1">VLOOKUP(Cpi_[[#This Row],[Year]:[Month]],crudeoil[],3,FALSE)</f>
        <v>#VALUE!</v>
      </c>
    </row>
    <row r="6009" spans="1:8" hidden="1" x14ac:dyDescent="0.3">
      <c r="A6009" t="s">
        <v>30</v>
      </c>
      <c r="B6009">
        <v>2019</v>
      </c>
      <c r="C6009" t="s">
        <v>36</v>
      </c>
      <c r="D6009" t="s">
        <v>16</v>
      </c>
      <c r="E6009" t="e">
        <f>VLOOKUP(Cpi_[[#This Row],[Attribute]],#REF!,2,FALSE)</f>
        <v>#REF!</v>
      </c>
      <c r="F6009">
        <v>162.9</v>
      </c>
      <c r="G6009">
        <f>(Cpi_[[#This Row],[Value]]-F6008)/F6008</f>
        <v>0.18645302257829566</v>
      </c>
      <c r="H6009" t="e" cm="1" vm="1">
        <f t="array" aca="1" ref="H6009" ca="1">VLOOKUP(Cpi_[[#This Row],[Year]:[Month]],crudeoil[],3,FALSE)</f>
        <v>#VALUE!</v>
      </c>
    </row>
    <row r="6010" spans="1:8" hidden="1" x14ac:dyDescent="0.3">
      <c r="A6010" t="s">
        <v>30</v>
      </c>
      <c r="B6010">
        <v>2019</v>
      </c>
      <c r="C6010" t="s">
        <v>36</v>
      </c>
      <c r="D6010" t="s">
        <v>17</v>
      </c>
      <c r="E6010" t="e">
        <f>VLOOKUP(Cpi_[[#This Row],[Attribute]],#REF!,2,FALSE)</f>
        <v>#REF!</v>
      </c>
      <c r="F6010">
        <v>150.80000000000001</v>
      </c>
      <c r="G6010">
        <f>(Cpi_[[#This Row],[Value]]-F6009)/F6009</f>
        <v>-7.4278698588090816E-2</v>
      </c>
      <c r="H6010" t="e" cm="1" vm="1">
        <f t="array" aca="1" ref="H6010" ca="1">VLOOKUP(Cpi_[[#This Row],[Year]:[Month]],crudeoil[],3,FALSE)</f>
        <v>#VALUE!</v>
      </c>
    </row>
    <row r="6011" spans="1:8" hidden="1" x14ac:dyDescent="0.3">
      <c r="A6011" t="s">
        <v>30</v>
      </c>
      <c r="B6011">
        <v>2019</v>
      </c>
      <c r="C6011" t="s">
        <v>36</v>
      </c>
      <c r="D6011" t="s">
        <v>18</v>
      </c>
      <c r="E6011" t="e">
        <f>VLOOKUP(Cpi_[[#This Row],[Attribute]],#REF!,2,FALSE)</f>
        <v>#REF!</v>
      </c>
      <c r="F6011">
        <v>146.1</v>
      </c>
      <c r="G6011">
        <f>(Cpi_[[#This Row],[Value]]-F6010)/F6010</f>
        <v>-3.1167108753315759E-2</v>
      </c>
      <c r="H6011" t="e" cm="1" vm="1">
        <f t="array" aca="1" ref="H6011" ca="1">VLOOKUP(Cpi_[[#This Row],[Year]:[Month]],crudeoil[],3,FALSE)</f>
        <v>#VALUE!</v>
      </c>
    </row>
    <row r="6012" spans="1:8" hidden="1" x14ac:dyDescent="0.3">
      <c r="A6012" t="s">
        <v>30</v>
      </c>
      <c r="B6012">
        <v>2019</v>
      </c>
      <c r="C6012" t="s">
        <v>36</v>
      </c>
      <c r="D6012" t="s">
        <v>19</v>
      </c>
      <c r="E6012" t="e">
        <f>VLOOKUP(Cpi_[[#This Row],[Attribute]],#REF!,2,FALSE)</f>
        <v>#REF!</v>
      </c>
      <c r="F6012">
        <v>150.1</v>
      </c>
      <c r="G6012">
        <f>(Cpi_[[#This Row],[Value]]-F6011)/F6011</f>
        <v>2.7378507871321015E-2</v>
      </c>
      <c r="H6012" t="e" cm="1" vm="1">
        <f t="array" aca="1" ref="H6012" ca="1">VLOOKUP(Cpi_[[#This Row],[Year]:[Month]],crudeoil[],3,FALSE)</f>
        <v>#VALUE!</v>
      </c>
    </row>
    <row r="6013" spans="1:8" hidden="1" x14ac:dyDescent="0.3">
      <c r="A6013" t="s">
        <v>30</v>
      </c>
      <c r="B6013">
        <v>2019</v>
      </c>
      <c r="C6013" t="s">
        <v>36</v>
      </c>
      <c r="D6013" t="s">
        <v>20</v>
      </c>
      <c r="E6013" t="e">
        <f>VLOOKUP(Cpi_[[#This Row],[Attribute]],#REF!,2,FALSE)</f>
        <v>#REF!</v>
      </c>
      <c r="F6013" t="s">
        <v>32</v>
      </c>
      <c r="G6013" t="e">
        <f>(Cpi_[[#This Row],[Value]]-F6012)/F6012</f>
        <v>#VALUE!</v>
      </c>
      <c r="H6013" t="e" cm="1" vm="1">
        <f t="array" aca="1" ref="H6013" ca="1">VLOOKUP(Cpi_[[#This Row],[Year]:[Month]],crudeoil[],3,FALSE)</f>
        <v>#VALUE!</v>
      </c>
    </row>
    <row r="6014" spans="1:8" hidden="1" x14ac:dyDescent="0.3">
      <c r="A6014" t="s">
        <v>30</v>
      </c>
      <c r="B6014">
        <v>2019</v>
      </c>
      <c r="C6014" t="s">
        <v>36</v>
      </c>
      <c r="D6014" t="s">
        <v>21</v>
      </c>
      <c r="E6014" t="e">
        <f>VLOOKUP(Cpi_[[#This Row],[Attribute]],#REF!,2,FALSE)</f>
        <v>#REF!</v>
      </c>
      <c r="F6014">
        <v>146.4</v>
      </c>
      <c r="G6014" t="e">
        <f>(Cpi_[[#This Row],[Value]]-F6013)/F6013</f>
        <v>#VALUE!</v>
      </c>
      <c r="H6014" t="e" cm="1" vm="1">
        <f t="array" aca="1" ref="H6014" ca="1">VLOOKUP(Cpi_[[#This Row],[Year]:[Month]],crudeoil[],3,FALSE)</f>
        <v>#VALUE!</v>
      </c>
    </row>
    <row r="6015" spans="1:8" hidden="1" x14ac:dyDescent="0.3">
      <c r="A6015" t="s">
        <v>30</v>
      </c>
      <c r="B6015">
        <v>2019</v>
      </c>
      <c r="C6015" t="s">
        <v>36</v>
      </c>
      <c r="D6015" t="s">
        <v>22</v>
      </c>
      <c r="E6015" t="e">
        <f>VLOOKUP(Cpi_[[#This Row],[Attribute]],#REF!,2,FALSE)</f>
        <v>#REF!</v>
      </c>
      <c r="F6015">
        <v>150</v>
      </c>
      <c r="G6015">
        <f>(Cpi_[[#This Row],[Value]]-F6014)/F6014</f>
        <v>2.4590163934426191E-2</v>
      </c>
      <c r="H6015" t="e" cm="1" vm="1">
        <f t="array" aca="1" ref="H6015" ca="1">VLOOKUP(Cpi_[[#This Row],[Year]:[Month]],crudeoil[],3,FALSE)</f>
        <v>#VALUE!</v>
      </c>
    </row>
    <row r="6016" spans="1:8" hidden="1" x14ac:dyDescent="0.3">
      <c r="A6016" t="s">
        <v>30</v>
      </c>
      <c r="B6016">
        <v>2019</v>
      </c>
      <c r="C6016" t="s">
        <v>36</v>
      </c>
      <c r="D6016" t="s">
        <v>23</v>
      </c>
      <c r="E6016" t="e">
        <f>VLOOKUP(Cpi_[[#This Row],[Attribute]],#REF!,2,FALSE)</f>
        <v>#REF!</v>
      </c>
      <c r="F6016">
        <v>150.4</v>
      </c>
      <c r="G6016">
        <f>(Cpi_[[#This Row],[Value]]-F6015)/F6015</f>
        <v>2.6666666666667047E-3</v>
      </c>
      <c r="H6016" t="e" cm="1" vm="1">
        <f t="array" aca="1" ref="H6016" ca="1">VLOOKUP(Cpi_[[#This Row],[Year]:[Month]],crudeoil[],3,FALSE)</f>
        <v>#VALUE!</v>
      </c>
    </row>
    <row r="6017" spans="1:8" hidden="1" x14ac:dyDescent="0.3">
      <c r="A6017" t="s">
        <v>30</v>
      </c>
      <c r="B6017">
        <v>2019</v>
      </c>
      <c r="C6017" t="s">
        <v>36</v>
      </c>
      <c r="D6017" t="s">
        <v>24</v>
      </c>
      <c r="E6017" t="e">
        <f>VLOOKUP(Cpi_[[#This Row],[Attribute]],#REF!,2,FALSE)</f>
        <v>#REF!</v>
      </c>
      <c r="F6017">
        <v>129.9</v>
      </c>
      <c r="G6017">
        <f>(Cpi_[[#This Row],[Value]]-F6016)/F6016</f>
        <v>-0.13630319148936171</v>
      </c>
      <c r="H6017" t="e" cm="1" vm="1">
        <f t="array" aca="1" ref="H6017" ca="1">VLOOKUP(Cpi_[[#This Row],[Year]:[Month]],crudeoil[],3,FALSE)</f>
        <v>#VALUE!</v>
      </c>
    </row>
    <row r="6018" spans="1:8" hidden="1" x14ac:dyDescent="0.3">
      <c r="A6018" t="s">
        <v>30</v>
      </c>
      <c r="B6018">
        <v>2019</v>
      </c>
      <c r="C6018" t="s">
        <v>36</v>
      </c>
      <c r="D6018" t="s">
        <v>25</v>
      </c>
      <c r="E6018" t="e">
        <f>VLOOKUP(Cpi_[[#This Row],[Attribute]],#REF!,2,FALSE)</f>
        <v>#REF!</v>
      </c>
      <c r="F6018">
        <v>143.80000000000001</v>
      </c>
      <c r="G6018">
        <f>(Cpi_[[#This Row],[Value]]-F6017)/F6017</f>
        <v>0.1070053887605851</v>
      </c>
      <c r="H6018" t="e" cm="1" vm="1">
        <f t="array" aca="1" ref="H6018" ca="1">VLOOKUP(Cpi_[[#This Row],[Year]:[Month]],crudeoil[],3,FALSE)</f>
        <v>#VALUE!</v>
      </c>
    </row>
    <row r="6019" spans="1:8" hidden="1" x14ac:dyDescent="0.3">
      <c r="A6019" t="s">
        <v>30</v>
      </c>
      <c r="B6019">
        <v>2019</v>
      </c>
      <c r="C6019" t="s">
        <v>36</v>
      </c>
      <c r="D6019" t="s">
        <v>26</v>
      </c>
      <c r="E6019" t="e">
        <f>VLOOKUP(Cpi_[[#This Row],[Attribute]],#REF!,2,FALSE)</f>
        <v>#REF!</v>
      </c>
      <c r="F6019">
        <v>155.5</v>
      </c>
      <c r="G6019">
        <f>(Cpi_[[#This Row],[Value]]-F6018)/F6018</f>
        <v>8.1363004172461673E-2</v>
      </c>
      <c r="H6019" t="e" cm="1" vm="1">
        <f t="array" aca="1" ref="H6019" ca="1">VLOOKUP(Cpi_[[#This Row],[Year]:[Month]],crudeoil[],3,FALSE)</f>
        <v>#VALUE!</v>
      </c>
    </row>
    <row r="6020" spans="1:8" hidden="1" x14ac:dyDescent="0.3">
      <c r="A6020" t="s">
        <v>30</v>
      </c>
      <c r="B6020">
        <v>2019</v>
      </c>
      <c r="C6020" t="s">
        <v>36</v>
      </c>
      <c r="D6020" t="s">
        <v>27</v>
      </c>
      <c r="E6020" t="e">
        <f>VLOOKUP(Cpi_[[#This Row],[Attribute]],#REF!,2,FALSE)</f>
        <v>#REF!</v>
      </c>
      <c r="F6020">
        <v>134</v>
      </c>
      <c r="G6020">
        <f>(Cpi_[[#This Row],[Value]]-F6019)/F6019</f>
        <v>-0.13826366559485531</v>
      </c>
      <c r="H6020" t="e" cm="1" vm="1">
        <f t="array" aca="1" ref="H6020" ca="1">VLOOKUP(Cpi_[[#This Row],[Year]:[Month]],crudeoil[],3,FALSE)</f>
        <v>#VALUE!</v>
      </c>
    </row>
    <row r="6021" spans="1:8" hidden="1" x14ac:dyDescent="0.3">
      <c r="A6021" t="s">
        <v>30</v>
      </c>
      <c r="B6021">
        <v>2019</v>
      </c>
      <c r="C6021" t="s">
        <v>36</v>
      </c>
      <c r="D6021" t="s">
        <v>28</v>
      </c>
      <c r="E6021" t="e">
        <f>VLOOKUP(Cpi_[[#This Row],[Attribute]],#REF!,2,FALSE)</f>
        <v>#REF!</v>
      </c>
      <c r="F6021">
        <v>142.4</v>
      </c>
      <c r="G6021">
        <f>(Cpi_[[#This Row],[Value]]-F6020)/F6020</f>
        <v>6.2686567164179141E-2</v>
      </c>
      <c r="H6021" t="e" cm="1" vm="1">
        <f t="array" aca="1" ref="H6021" ca="1">VLOOKUP(Cpi_[[#This Row],[Year]:[Month]],crudeoil[],3,FALSE)</f>
        <v>#VALUE!</v>
      </c>
    </row>
    <row r="6022" spans="1:8" hidden="1" x14ac:dyDescent="0.3">
      <c r="A6022" t="s">
        <v>30</v>
      </c>
      <c r="B6022">
        <v>2019</v>
      </c>
      <c r="C6022" t="s">
        <v>36</v>
      </c>
      <c r="D6022" t="s">
        <v>29</v>
      </c>
      <c r="E6022" t="e" cm="1">
        <f t="array" aca="1" ref="E6022" ca="1">VLGeneral indexGeneral indexKUP(Cpi_[[#This Row],[Attribute]],#REF!,2,FALSE)</f>
        <v>#NAME?</v>
      </c>
      <c r="F6022">
        <v>141.19999999999999</v>
      </c>
      <c r="G6022">
        <f>(Cpi_[[#This Row],[Value]]-F6021)/F6021</f>
        <v>-8.4269662921349509E-3</v>
      </c>
      <c r="H6022" t="e" cm="1" vm="1">
        <f t="array" aca="1" ref="H6022" ca="1">VLOOKUP(Cpi_[[#This Row],[Year]:[Month]],crudeoil[],3,FALSE)</f>
        <v>#VALUE!</v>
      </c>
    </row>
    <row r="6023" spans="1:8" hidden="1" x14ac:dyDescent="0.3">
      <c r="A6023" t="s">
        <v>33</v>
      </c>
      <c r="B6023">
        <v>2019</v>
      </c>
      <c r="C6023" t="s">
        <v>36</v>
      </c>
      <c r="D6023" t="s">
        <v>3</v>
      </c>
      <c r="E6023" t="e">
        <f>VLOOKUP(Cpi_[[#This Row],[Attribute]],#REF!,2,FALSE)</f>
        <v>#REF!</v>
      </c>
      <c r="F6023">
        <v>139.69999999999999</v>
      </c>
      <c r="G6023">
        <f>(Cpi_[[#This Row],[Value]]-F6022)/F6022</f>
        <v>-1.0623229461756374E-2</v>
      </c>
      <c r="H6023" t="e" cm="1" vm="1">
        <f t="array" aca="1" ref="H6023" ca="1">VLOOKUP(Cpi_[[#This Row],[Year]:[Month]],crudeoil[],3,FALSE)</f>
        <v>#VALUE!</v>
      </c>
    </row>
    <row r="6024" spans="1:8" hidden="1" x14ac:dyDescent="0.3">
      <c r="A6024" t="s">
        <v>33</v>
      </c>
      <c r="B6024">
        <v>2019</v>
      </c>
      <c r="C6024" t="s">
        <v>36</v>
      </c>
      <c r="D6024" t="s">
        <v>4</v>
      </c>
      <c r="E6024" t="e">
        <f>VLOOKUP(Cpi_[[#This Row],[Attribute]],#REF!,2,FALSE)</f>
        <v>#REF!</v>
      </c>
      <c r="F6024">
        <v>151.1</v>
      </c>
      <c r="G6024">
        <f>(Cpi_[[#This Row],[Value]]-F6023)/F6023</f>
        <v>8.1603435934144639E-2</v>
      </c>
      <c r="H6024" t="e" cm="1" vm="1">
        <f t="array" aca="1" ref="H6024" ca="1">VLOOKUP(Cpi_[[#This Row],[Year]:[Month]],crudeoil[],3,FALSE)</f>
        <v>#VALUE!</v>
      </c>
    </row>
    <row r="6025" spans="1:8" hidden="1" x14ac:dyDescent="0.3">
      <c r="A6025" t="s">
        <v>33</v>
      </c>
      <c r="B6025">
        <v>2019</v>
      </c>
      <c r="C6025" t="s">
        <v>36</v>
      </c>
      <c r="D6025" t="s">
        <v>5</v>
      </c>
      <c r="E6025" t="e">
        <f>VLOOKUP(Cpi_[[#This Row],[Attribute]],#REF!,2,FALSE)</f>
        <v>#REF!</v>
      </c>
      <c r="F6025">
        <v>142.9</v>
      </c>
      <c r="G6025">
        <f>(Cpi_[[#This Row],[Value]]-F6024)/F6024</f>
        <v>-5.4268696227663726E-2</v>
      </c>
      <c r="H6025" t="e" cm="1" vm="1">
        <f t="array" aca="1" ref="H6025" ca="1">VLOOKUP(Cpi_[[#This Row],[Year]:[Month]],crudeoil[],3,FALSE)</f>
        <v>#VALUE!</v>
      </c>
    </row>
    <row r="6026" spans="1:8" hidden="1" x14ac:dyDescent="0.3">
      <c r="A6026" t="s">
        <v>33</v>
      </c>
      <c r="B6026">
        <v>2019</v>
      </c>
      <c r="C6026" t="s">
        <v>36</v>
      </c>
      <c r="D6026" t="s">
        <v>6</v>
      </c>
      <c r="E6026" t="e">
        <f>VLOOKUP(Cpi_[[#This Row],[Attribute]],#REF!,2,FALSE)</f>
        <v>#REF!</v>
      </c>
      <c r="F6026">
        <v>141.9</v>
      </c>
      <c r="G6026">
        <f>(Cpi_[[#This Row],[Value]]-F6025)/F6025</f>
        <v>-6.9979006298110562E-3</v>
      </c>
      <c r="H6026" t="e" cm="1" vm="1">
        <f t="array" aca="1" ref="H6026" ca="1">VLOOKUP(Cpi_[[#This Row],[Year]:[Month]],crudeoil[],3,FALSE)</f>
        <v>#VALUE!</v>
      </c>
    </row>
    <row r="6027" spans="1:8" hidden="1" x14ac:dyDescent="0.3">
      <c r="A6027" t="s">
        <v>33</v>
      </c>
      <c r="B6027">
        <v>2019</v>
      </c>
      <c r="C6027" t="s">
        <v>36</v>
      </c>
      <c r="D6027" t="s">
        <v>7</v>
      </c>
      <c r="E6027" t="e">
        <f>VLOOKUP(Cpi_[[#This Row],[Attribute]],#REF!,2,FALSE)</f>
        <v>#REF!</v>
      </c>
      <c r="F6027">
        <v>118.4</v>
      </c>
      <c r="G6027">
        <f>(Cpi_[[#This Row],[Value]]-F6026)/F6026</f>
        <v>-0.16560958421423538</v>
      </c>
      <c r="H6027" t="e" cm="1" vm="1">
        <f t="array" aca="1" ref="H6027" ca="1">VLOOKUP(Cpi_[[#This Row],[Year]:[Month]],crudeoil[],3,FALSE)</f>
        <v>#VALUE!</v>
      </c>
    </row>
    <row r="6028" spans="1:8" hidden="1" x14ac:dyDescent="0.3">
      <c r="A6028" t="s">
        <v>33</v>
      </c>
      <c r="B6028">
        <v>2019</v>
      </c>
      <c r="C6028" t="s">
        <v>36</v>
      </c>
      <c r="D6028" t="s">
        <v>8</v>
      </c>
      <c r="E6028" t="e">
        <f>VLOOKUP(Cpi_[[#This Row],[Attribute]],#REF!,2,FALSE)</f>
        <v>#REF!</v>
      </c>
      <c r="F6028">
        <v>139.4</v>
      </c>
      <c r="G6028">
        <f>(Cpi_[[#This Row],[Value]]-F6027)/F6027</f>
        <v>0.17736486486486486</v>
      </c>
      <c r="H6028" t="e" cm="1" vm="1">
        <f t="array" aca="1" ref="H6028" ca="1">VLOOKUP(Cpi_[[#This Row],[Year]:[Month]],crudeoil[],3,FALSE)</f>
        <v>#VALUE!</v>
      </c>
    </row>
    <row r="6029" spans="1:8" hidden="1" x14ac:dyDescent="0.3">
      <c r="A6029" t="s">
        <v>33</v>
      </c>
      <c r="B6029">
        <v>2019</v>
      </c>
      <c r="C6029" t="s">
        <v>36</v>
      </c>
      <c r="D6029" t="s">
        <v>9</v>
      </c>
      <c r="E6029" t="e">
        <f>VLOOKUP(Cpi_[[#This Row],[Attribute]],#REF!,2,FALSE)</f>
        <v>#REF!</v>
      </c>
      <c r="F6029">
        <v>141.19999999999999</v>
      </c>
      <c r="G6029">
        <f>(Cpi_[[#This Row],[Value]]-F6028)/F6028</f>
        <v>1.2912482065997008E-2</v>
      </c>
      <c r="H6029" t="e" cm="1" vm="1">
        <f t="array" aca="1" ref="H6029" ca="1">VLOOKUP(Cpi_[[#This Row],[Year]:[Month]],crudeoil[],3,FALSE)</f>
        <v>#VALUE!</v>
      </c>
    </row>
    <row r="6030" spans="1:8" hidden="1" x14ac:dyDescent="0.3">
      <c r="A6030" t="s">
        <v>33</v>
      </c>
      <c r="B6030">
        <v>2019</v>
      </c>
      <c r="C6030" t="s">
        <v>36</v>
      </c>
      <c r="D6030" t="s">
        <v>10</v>
      </c>
      <c r="E6030" t="e">
        <f>VLOOKUP(Cpi_[[#This Row],[Attribute]],#REF!,2,FALSE)</f>
        <v>#REF!</v>
      </c>
      <c r="F6030">
        <v>120.7</v>
      </c>
      <c r="G6030">
        <f>(Cpi_[[#This Row],[Value]]-F6029)/F6029</f>
        <v>-0.14518413597733701</v>
      </c>
      <c r="H6030" t="e" cm="1" vm="1">
        <f t="array" aca="1" ref="H6030" ca="1">VLOOKUP(Cpi_[[#This Row],[Year]:[Month]],crudeoil[],3,FALSE)</f>
        <v>#VALUE!</v>
      </c>
    </row>
    <row r="6031" spans="1:8" hidden="1" x14ac:dyDescent="0.3">
      <c r="A6031" t="s">
        <v>33</v>
      </c>
      <c r="B6031">
        <v>2019</v>
      </c>
      <c r="C6031" t="s">
        <v>36</v>
      </c>
      <c r="D6031" t="s">
        <v>11</v>
      </c>
      <c r="E6031" t="e">
        <f>VLOOKUP(Cpi_[[#This Row],[Attribute]],#REF!,2,FALSE)</f>
        <v>#REF!</v>
      </c>
      <c r="F6031">
        <v>110.4</v>
      </c>
      <c r="G6031">
        <f>(Cpi_[[#This Row],[Value]]-F6030)/F6030</f>
        <v>-8.5335542667771311E-2</v>
      </c>
      <c r="H6031" t="e" cm="1" vm="1">
        <f t="array" aca="1" ref="H6031" ca="1">VLOOKUP(Cpi_[[#This Row],[Year]:[Month]],crudeoil[],3,FALSE)</f>
        <v>#VALUE!</v>
      </c>
    </row>
    <row r="6032" spans="1:8" hidden="1" x14ac:dyDescent="0.3">
      <c r="A6032" t="s">
        <v>33</v>
      </c>
      <c r="B6032">
        <v>2019</v>
      </c>
      <c r="C6032" t="s">
        <v>36</v>
      </c>
      <c r="D6032" t="s">
        <v>12</v>
      </c>
      <c r="E6032" t="e">
        <f>VLOOKUP(Cpi_[[#This Row],[Attribute]],#REF!,2,FALSE)</f>
        <v>#REF!</v>
      </c>
      <c r="F6032">
        <v>140.69999999999999</v>
      </c>
      <c r="G6032">
        <f>(Cpi_[[#This Row],[Value]]-F6031)/F6031</f>
        <v>0.27445652173913027</v>
      </c>
      <c r="H6032" t="e" cm="1" vm="1">
        <f t="array" aca="1" ref="H6032" ca="1">VLOOKUP(Cpi_[[#This Row],[Year]:[Month]],crudeoil[],3,FALSE)</f>
        <v>#VALUE!</v>
      </c>
    </row>
    <row r="6033" spans="1:8" hidden="1" x14ac:dyDescent="0.3">
      <c r="A6033" t="s">
        <v>33</v>
      </c>
      <c r="B6033">
        <v>2019</v>
      </c>
      <c r="C6033" t="s">
        <v>36</v>
      </c>
      <c r="D6033" t="s">
        <v>13</v>
      </c>
      <c r="E6033" t="e">
        <f>VLOOKUP(Cpi_[[#This Row],[Attribute]],#REF!,2,FALSE)</f>
        <v>#REF!</v>
      </c>
      <c r="F6033">
        <v>128.5</v>
      </c>
      <c r="G6033">
        <f>(Cpi_[[#This Row],[Value]]-F6032)/F6032</f>
        <v>-8.6709310589907537E-2</v>
      </c>
      <c r="H6033" t="e" cm="1" vm="1">
        <f t="array" aca="1" ref="H6033" ca="1">VLOOKUP(Cpi_[[#This Row],[Year]:[Month]],crudeoil[],3,FALSE)</f>
        <v>#VALUE!</v>
      </c>
    </row>
    <row r="6034" spans="1:8" hidden="1" x14ac:dyDescent="0.3">
      <c r="A6034" t="s">
        <v>33</v>
      </c>
      <c r="B6034">
        <v>2019</v>
      </c>
      <c r="C6034" t="s">
        <v>36</v>
      </c>
      <c r="D6034" t="s">
        <v>14</v>
      </c>
      <c r="E6034" t="e">
        <f>VLOOKUP(Cpi_[[#This Row],[Attribute]],#REF!,2,FALSE)</f>
        <v>#REF!</v>
      </c>
      <c r="F6034">
        <v>153.9</v>
      </c>
      <c r="G6034">
        <f>(Cpi_[[#This Row],[Value]]-F6033)/F6033</f>
        <v>0.19766536964980549</v>
      </c>
      <c r="H6034" t="e" cm="1" vm="1">
        <f t="array" aca="1" ref="H6034" ca="1">VLOOKUP(Cpi_[[#This Row],[Year]:[Month]],crudeoil[],3,FALSE)</f>
        <v>#VALUE!</v>
      </c>
    </row>
    <row r="6035" spans="1:8" hidden="1" x14ac:dyDescent="0.3">
      <c r="A6035" t="s">
        <v>33</v>
      </c>
      <c r="B6035">
        <v>2019</v>
      </c>
      <c r="C6035" t="s">
        <v>36</v>
      </c>
      <c r="D6035" t="s">
        <v>15</v>
      </c>
      <c r="E6035" t="e">
        <f>VLOOKUP(Cpi_[[#This Row],[Attribute]],#REF!,2,FALSE)</f>
        <v>#REF!</v>
      </c>
      <c r="F6035">
        <v>139.6</v>
      </c>
      <c r="G6035">
        <f>(Cpi_[[#This Row],[Value]]-F6034)/F6034</f>
        <v>-9.2917478882391227E-2</v>
      </c>
      <c r="H6035" t="e" cm="1" vm="1">
        <f t="array" aca="1" ref="H6035" ca="1">VLOOKUP(Cpi_[[#This Row],[Year]:[Month]],crudeoil[],3,FALSE)</f>
        <v>#VALUE!</v>
      </c>
    </row>
    <row r="6036" spans="1:8" hidden="1" x14ac:dyDescent="0.3">
      <c r="A6036" t="s">
        <v>33</v>
      </c>
      <c r="B6036">
        <v>2019</v>
      </c>
      <c r="C6036" t="s">
        <v>36</v>
      </c>
      <c r="D6036" t="s">
        <v>16</v>
      </c>
      <c r="E6036" t="e">
        <f>VLOOKUP(Cpi_[[#This Row],[Attribute]],#REF!,2,FALSE)</f>
        <v>#REF!</v>
      </c>
      <c r="F6036">
        <v>165.3</v>
      </c>
      <c r="G6036">
        <f>(Cpi_[[#This Row],[Value]]-F6035)/F6035</f>
        <v>0.18409742120343853</v>
      </c>
      <c r="H6036" t="e" cm="1" vm="1">
        <f t="array" aca="1" ref="H6036" ca="1">VLOOKUP(Cpi_[[#This Row],[Year]:[Month]],crudeoil[],3,FALSE)</f>
        <v>#VALUE!</v>
      </c>
    </row>
    <row r="6037" spans="1:8" hidden="1" x14ac:dyDescent="0.3">
      <c r="A6037" t="s">
        <v>33</v>
      </c>
      <c r="B6037">
        <v>2019</v>
      </c>
      <c r="C6037" t="s">
        <v>36</v>
      </c>
      <c r="D6037" t="s">
        <v>17</v>
      </c>
      <c r="E6037" t="e">
        <f>VLOOKUP(Cpi_[[#This Row],[Attribute]],#REF!,2,FALSE)</f>
        <v>#REF!</v>
      </c>
      <c r="F6037">
        <v>143.5</v>
      </c>
      <c r="G6037">
        <f>(Cpi_[[#This Row],[Value]]-F6036)/F6036</f>
        <v>-0.1318814277071991</v>
      </c>
      <c r="H6037" t="e" cm="1" vm="1">
        <f t="array" aca="1" ref="H6037" ca="1">VLOOKUP(Cpi_[[#This Row],[Year]:[Month]],crudeoil[],3,FALSE)</f>
        <v>#VALUE!</v>
      </c>
    </row>
    <row r="6038" spans="1:8" hidden="1" x14ac:dyDescent="0.3">
      <c r="A6038" t="s">
        <v>33</v>
      </c>
      <c r="B6038">
        <v>2019</v>
      </c>
      <c r="C6038" t="s">
        <v>36</v>
      </c>
      <c r="D6038" t="s">
        <v>18</v>
      </c>
      <c r="E6038" t="e">
        <f>VLOOKUP(Cpi_[[#This Row],[Attribute]],#REF!,2,FALSE)</f>
        <v>#REF!</v>
      </c>
      <c r="F6038">
        <v>131.19999999999999</v>
      </c>
      <c r="G6038">
        <f>(Cpi_[[#This Row],[Value]]-F6037)/F6037</f>
        <v>-8.5714285714285798E-2</v>
      </c>
      <c r="H6038" t="e" cm="1" vm="1">
        <f t="array" aca="1" ref="H6038" ca="1">VLOOKUP(Cpi_[[#This Row],[Year]:[Month]],crudeoil[],3,FALSE)</f>
        <v>#VALUE!</v>
      </c>
    </row>
    <row r="6039" spans="1:8" hidden="1" x14ac:dyDescent="0.3">
      <c r="A6039" t="s">
        <v>33</v>
      </c>
      <c r="B6039">
        <v>2019</v>
      </c>
      <c r="C6039" t="s">
        <v>36</v>
      </c>
      <c r="D6039" t="s">
        <v>19</v>
      </c>
      <c r="E6039" t="e">
        <f>VLOOKUP(Cpi_[[#This Row],[Attribute]],#REF!,2,FALSE)</f>
        <v>#REF!</v>
      </c>
      <c r="F6039">
        <v>141.6</v>
      </c>
      <c r="G6039">
        <f>(Cpi_[[#This Row],[Value]]-F6038)/F6038</f>
        <v>7.9268292682926886E-2</v>
      </c>
      <c r="H6039" t="e" cm="1" vm="1">
        <f t="array" aca="1" ref="H6039" ca="1">VLOOKUP(Cpi_[[#This Row],[Year]:[Month]],crudeoil[],3,FALSE)</f>
        <v>#VALUE!</v>
      </c>
    </row>
    <row r="6040" spans="1:8" hidden="1" x14ac:dyDescent="0.3">
      <c r="A6040" t="s">
        <v>33</v>
      </c>
      <c r="B6040">
        <v>2019</v>
      </c>
      <c r="C6040" t="s">
        <v>36</v>
      </c>
      <c r="D6040" t="s">
        <v>20</v>
      </c>
      <c r="E6040" t="e">
        <f>VLOOKUP(Cpi_[[#This Row],[Attribute]],#REF!,2,FALSE)</f>
        <v>#REF!</v>
      </c>
      <c r="F6040">
        <v>149</v>
      </c>
      <c r="G6040">
        <f>(Cpi_[[#This Row],[Value]]-F6039)/F6039</f>
        <v>5.2259887005649756E-2</v>
      </c>
      <c r="H6040" t="e" cm="1" vm="1">
        <f t="array" aca="1" ref="H6040" ca="1">VLOOKUP(Cpi_[[#This Row],[Year]:[Month]],crudeoil[],3,FALSE)</f>
        <v>#VALUE!</v>
      </c>
    </row>
    <row r="6041" spans="1:8" hidden="1" x14ac:dyDescent="0.3">
      <c r="A6041" t="s">
        <v>33</v>
      </c>
      <c r="B6041">
        <v>2019</v>
      </c>
      <c r="C6041" t="s">
        <v>36</v>
      </c>
      <c r="D6041" t="s">
        <v>21</v>
      </c>
      <c r="E6041" t="e">
        <f>VLOOKUP(Cpi_[[#This Row],[Attribute]],#REF!,2,FALSE)</f>
        <v>#REF!</v>
      </c>
      <c r="F6041">
        <v>128.80000000000001</v>
      </c>
      <c r="G6041">
        <f>(Cpi_[[#This Row],[Value]]-F6040)/F6040</f>
        <v>-0.13557046979865764</v>
      </c>
      <c r="H6041" t="e" cm="1" vm="1">
        <f t="array" aca="1" ref="H6041" ca="1">VLOOKUP(Cpi_[[#This Row],[Year]:[Month]],crudeoil[],3,FALSE)</f>
        <v>#VALUE!</v>
      </c>
    </row>
    <row r="6042" spans="1:8" hidden="1" x14ac:dyDescent="0.3">
      <c r="A6042" t="s">
        <v>33</v>
      </c>
      <c r="B6042">
        <v>2019</v>
      </c>
      <c r="C6042" t="s">
        <v>36</v>
      </c>
      <c r="D6042" t="s">
        <v>22</v>
      </c>
      <c r="E6042" t="e">
        <f>VLOOKUP(Cpi_[[#This Row],[Attribute]],#REF!,2,FALSE)</f>
        <v>#REF!</v>
      </c>
      <c r="F6042">
        <v>136.80000000000001</v>
      </c>
      <c r="G6042">
        <f>(Cpi_[[#This Row],[Value]]-F6041)/F6041</f>
        <v>6.2111801242236017E-2</v>
      </c>
      <c r="H6042" t="e" cm="1" vm="1">
        <f t="array" aca="1" ref="H6042" ca="1">VLOOKUP(Cpi_[[#This Row],[Year]:[Month]],crudeoil[],3,FALSE)</f>
        <v>#VALUE!</v>
      </c>
    </row>
    <row r="6043" spans="1:8" hidden="1" x14ac:dyDescent="0.3">
      <c r="A6043" t="s">
        <v>33</v>
      </c>
      <c r="B6043">
        <v>2019</v>
      </c>
      <c r="C6043" t="s">
        <v>36</v>
      </c>
      <c r="D6043" t="s">
        <v>23</v>
      </c>
      <c r="E6043" t="e">
        <f>VLOOKUP(Cpi_[[#This Row],[Attribute]],#REF!,2,FALSE)</f>
        <v>#REF!</v>
      </c>
      <c r="F6043">
        <v>139.19999999999999</v>
      </c>
      <c r="G6043">
        <f>(Cpi_[[#This Row],[Value]]-F6042)/F6042</f>
        <v>1.754385964912264E-2</v>
      </c>
      <c r="H6043" t="e" cm="1" vm="1">
        <f t="array" aca="1" ref="H6043" ca="1">VLOOKUP(Cpi_[[#This Row],[Year]:[Month]],crudeoil[],3,FALSE)</f>
        <v>#VALUE!</v>
      </c>
    </row>
    <row r="6044" spans="1:8" hidden="1" x14ac:dyDescent="0.3">
      <c r="A6044" t="s">
        <v>33</v>
      </c>
      <c r="B6044">
        <v>2019</v>
      </c>
      <c r="C6044" t="s">
        <v>36</v>
      </c>
      <c r="D6044" t="s">
        <v>24</v>
      </c>
      <c r="E6044" t="e">
        <f>VLOOKUP(Cpi_[[#This Row],[Attribute]],#REF!,2,FALSE)</f>
        <v>#REF!</v>
      </c>
      <c r="F6044">
        <v>119.9</v>
      </c>
      <c r="G6044">
        <f>(Cpi_[[#This Row],[Value]]-F6043)/F6043</f>
        <v>-0.13864942528735621</v>
      </c>
      <c r="H6044" t="e" cm="1" vm="1">
        <f t="array" aca="1" ref="H6044" ca="1">VLOOKUP(Cpi_[[#This Row],[Year]:[Month]],crudeoil[],3,FALSE)</f>
        <v>#VALUE!</v>
      </c>
    </row>
    <row r="6045" spans="1:8" hidden="1" x14ac:dyDescent="0.3">
      <c r="A6045" t="s">
        <v>33</v>
      </c>
      <c r="B6045">
        <v>2019</v>
      </c>
      <c r="C6045" t="s">
        <v>36</v>
      </c>
      <c r="D6045" t="s">
        <v>25</v>
      </c>
      <c r="E6045" t="e">
        <f>VLOOKUP(Cpi_[[#This Row],[Attribute]],#REF!,2,FALSE)</f>
        <v>#REF!</v>
      </c>
      <c r="F6045">
        <v>133</v>
      </c>
      <c r="G6045">
        <f>(Cpi_[[#This Row],[Value]]-F6044)/F6044</f>
        <v>0.10925771476230187</v>
      </c>
      <c r="H6045" t="e" cm="1" vm="1">
        <f t="array" aca="1" ref="H6045" ca="1">VLOOKUP(Cpi_[[#This Row],[Year]:[Month]],crudeoil[],3,FALSE)</f>
        <v>#VALUE!</v>
      </c>
    </row>
    <row r="6046" spans="1:8" hidden="1" x14ac:dyDescent="0.3">
      <c r="A6046" t="s">
        <v>33</v>
      </c>
      <c r="B6046">
        <v>2019</v>
      </c>
      <c r="C6046" t="s">
        <v>36</v>
      </c>
      <c r="D6046" t="s">
        <v>26</v>
      </c>
      <c r="E6046" t="e">
        <f>VLOOKUP(Cpi_[[#This Row],[Attribute]],#REF!,2,FALSE)</f>
        <v>#REF!</v>
      </c>
      <c r="F6046">
        <v>146.69999999999999</v>
      </c>
      <c r="G6046">
        <f>(Cpi_[[#This Row],[Value]]-F6045)/F6045</f>
        <v>0.10300751879699239</v>
      </c>
      <c r="H6046" t="e" cm="1" vm="1">
        <f t="array" aca="1" ref="H6046" ca="1">VLOOKUP(Cpi_[[#This Row],[Year]:[Month]],crudeoil[],3,FALSE)</f>
        <v>#VALUE!</v>
      </c>
    </row>
    <row r="6047" spans="1:8" hidden="1" x14ac:dyDescent="0.3">
      <c r="A6047" t="s">
        <v>33</v>
      </c>
      <c r="B6047">
        <v>2019</v>
      </c>
      <c r="C6047" t="s">
        <v>36</v>
      </c>
      <c r="D6047" t="s">
        <v>27</v>
      </c>
      <c r="E6047" t="e">
        <f>VLOOKUP(Cpi_[[#This Row],[Attribute]],#REF!,2,FALSE)</f>
        <v>#REF!</v>
      </c>
      <c r="F6047">
        <v>132.5</v>
      </c>
      <c r="G6047">
        <f>(Cpi_[[#This Row],[Value]]-F6046)/F6046</f>
        <v>-9.6796182685753171E-2</v>
      </c>
      <c r="H6047" t="e" cm="1" vm="1">
        <f t="array" aca="1" ref="H6047" ca="1">VLOOKUP(Cpi_[[#This Row],[Year]:[Month]],crudeoil[],3,FALSE)</f>
        <v>#VALUE!</v>
      </c>
    </row>
    <row r="6048" spans="1:8" hidden="1" x14ac:dyDescent="0.3">
      <c r="A6048" t="s">
        <v>33</v>
      </c>
      <c r="B6048">
        <v>2019</v>
      </c>
      <c r="C6048" t="s">
        <v>36</v>
      </c>
      <c r="D6048" t="s">
        <v>28</v>
      </c>
      <c r="E6048" t="e">
        <f>VLOOKUP(Cpi_[[#This Row],[Attribute]],#REF!,2,FALSE)</f>
        <v>#REF!</v>
      </c>
      <c r="F6048">
        <v>132.80000000000001</v>
      </c>
      <c r="G6048">
        <f>(Cpi_[[#This Row],[Value]]-F6047)/F6047</f>
        <v>2.2641509433963124E-3</v>
      </c>
      <c r="H6048" t="e" cm="1" vm="1">
        <f t="array" aca="1" ref="H6048" ca="1">VLOOKUP(Cpi_[[#This Row],[Year]:[Month]],crudeoil[],3,FALSE)</f>
        <v>#VALUE!</v>
      </c>
    </row>
    <row r="6049" spans="1:8" hidden="1" x14ac:dyDescent="0.3">
      <c r="A6049" t="s">
        <v>33</v>
      </c>
      <c r="B6049">
        <v>2019</v>
      </c>
      <c r="C6049" t="s">
        <v>36</v>
      </c>
      <c r="D6049" t="s">
        <v>29</v>
      </c>
      <c r="E6049" t="e" cm="1">
        <f t="array" aca="1" ref="E6049" ca="1">VLGeneral indexGeneral indexKUP(Cpi_[[#This Row],[Attribute]],#REF!,2,FALSE)</f>
        <v>#NAME?</v>
      </c>
      <c r="F6049">
        <v>139.5</v>
      </c>
      <c r="G6049">
        <f>(Cpi_[[#This Row],[Value]]-F6048)/F6048</f>
        <v>5.0451807228915575E-2</v>
      </c>
      <c r="H6049" t="e" cm="1" vm="1">
        <f t="array" aca="1" ref="H6049" ca="1">VLOOKUP(Cpi_[[#This Row],[Year]:[Month]],crudeoil[],3,FALSE)</f>
        <v>#VALUE!</v>
      </c>
    </row>
    <row r="6050" spans="1:8" hidden="1" x14ac:dyDescent="0.3">
      <c r="A6050" t="s">
        <v>34</v>
      </c>
      <c r="B6050">
        <v>2019</v>
      </c>
      <c r="C6050" t="s">
        <v>36</v>
      </c>
      <c r="D6050" t="s">
        <v>3</v>
      </c>
      <c r="E6050" t="e">
        <f>VLOOKUP(Cpi_[[#This Row],[Attribute]],#REF!,2,FALSE)</f>
        <v>#REF!</v>
      </c>
      <c r="F6050">
        <v>137.80000000000001</v>
      </c>
      <c r="G6050">
        <f>(Cpi_[[#This Row],[Value]]-F6049)/F6049</f>
        <v>-1.2186379928315332E-2</v>
      </c>
      <c r="H6050" t="e" cm="1" vm="1">
        <f t="array" aca="1" ref="H6050" ca="1">VLOOKUP(Cpi_[[#This Row],[Year]:[Month]],crudeoil[],3,FALSE)</f>
        <v>#VALUE!</v>
      </c>
    </row>
    <row r="6051" spans="1:8" hidden="1" x14ac:dyDescent="0.3">
      <c r="A6051" t="s">
        <v>34</v>
      </c>
      <c r="B6051">
        <v>2019</v>
      </c>
      <c r="C6051" t="s">
        <v>36</v>
      </c>
      <c r="D6051" t="s">
        <v>4</v>
      </c>
      <c r="E6051" t="e">
        <f>VLOOKUP(Cpi_[[#This Row],[Attribute]],#REF!,2,FALSE)</f>
        <v>#REF!</v>
      </c>
      <c r="F6051">
        <v>153</v>
      </c>
      <c r="G6051">
        <f>(Cpi_[[#This Row],[Value]]-F6050)/F6050</f>
        <v>0.11030478955007247</v>
      </c>
      <c r="H6051" t="e" cm="1" vm="1">
        <f t="array" aca="1" ref="H6051" ca="1">VLOOKUP(Cpi_[[#This Row],[Year]:[Month]],crudeoil[],3,FALSE)</f>
        <v>#VALUE!</v>
      </c>
    </row>
    <row r="6052" spans="1:8" hidden="1" x14ac:dyDescent="0.3">
      <c r="A6052" t="s">
        <v>34</v>
      </c>
      <c r="B6052">
        <v>2019</v>
      </c>
      <c r="C6052" t="s">
        <v>36</v>
      </c>
      <c r="D6052" t="s">
        <v>5</v>
      </c>
      <c r="E6052" t="e">
        <f>VLOOKUP(Cpi_[[#This Row],[Attribute]],#REF!,2,FALSE)</f>
        <v>#REF!</v>
      </c>
      <c r="F6052">
        <v>140.30000000000001</v>
      </c>
      <c r="G6052">
        <f>(Cpi_[[#This Row],[Value]]-F6051)/F6051</f>
        <v>-8.3006535947712345E-2</v>
      </c>
      <c r="H6052" t="e" cm="1" vm="1">
        <f t="array" aca="1" ref="H6052" ca="1">VLOOKUP(Cpi_[[#This Row],[Year]:[Month]],crudeoil[],3,FALSE)</f>
        <v>#VALUE!</v>
      </c>
    </row>
    <row r="6053" spans="1:8" hidden="1" x14ac:dyDescent="0.3">
      <c r="A6053" t="s">
        <v>34</v>
      </c>
      <c r="B6053">
        <v>2019</v>
      </c>
      <c r="C6053" t="s">
        <v>36</v>
      </c>
      <c r="D6053" t="s">
        <v>6</v>
      </c>
      <c r="E6053" t="e">
        <f>VLOOKUP(Cpi_[[#This Row],[Attribute]],#REF!,2,FALSE)</f>
        <v>#REF!</v>
      </c>
      <c r="F6053">
        <v>142.30000000000001</v>
      </c>
      <c r="G6053">
        <f>(Cpi_[[#This Row],[Value]]-F6052)/F6052</f>
        <v>1.4255167498218103E-2</v>
      </c>
      <c r="H6053" t="e" cm="1" vm="1">
        <f t="array" aca="1" ref="H6053" ca="1">VLOOKUP(Cpi_[[#This Row],[Year]:[Month]],crudeoil[],3,FALSE)</f>
        <v>#VALUE!</v>
      </c>
    </row>
    <row r="6054" spans="1:8" hidden="1" x14ac:dyDescent="0.3">
      <c r="A6054" t="s">
        <v>34</v>
      </c>
      <c r="B6054">
        <v>2019</v>
      </c>
      <c r="C6054" t="s">
        <v>36</v>
      </c>
      <c r="D6054" t="s">
        <v>7</v>
      </c>
      <c r="E6054" t="e">
        <f>VLOOKUP(Cpi_[[#This Row],[Attribute]],#REF!,2,FALSE)</f>
        <v>#REF!</v>
      </c>
      <c r="F6054">
        <v>122</v>
      </c>
      <c r="G6054">
        <f>(Cpi_[[#This Row],[Value]]-F6053)/F6053</f>
        <v>-0.14265635980323269</v>
      </c>
      <c r="H6054" t="e" cm="1" vm="1">
        <f t="array" aca="1" ref="H6054" ca="1">VLOOKUP(Cpi_[[#This Row],[Year]:[Month]],crudeoil[],3,FALSE)</f>
        <v>#VALUE!</v>
      </c>
    </row>
    <row r="6055" spans="1:8" hidden="1" x14ac:dyDescent="0.3">
      <c r="A6055" t="s">
        <v>34</v>
      </c>
      <c r="B6055">
        <v>2019</v>
      </c>
      <c r="C6055" t="s">
        <v>36</v>
      </c>
      <c r="D6055" t="s">
        <v>8</v>
      </c>
      <c r="E6055" t="e">
        <f>VLOOKUP(Cpi_[[#This Row],[Attribute]],#REF!,2,FALSE)</f>
        <v>#REF!</v>
      </c>
      <c r="F6055">
        <v>137.6</v>
      </c>
      <c r="G6055">
        <f>(Cpi_[[#This Row],[Value]]-F6054)/F6054</f>
        <v>0.12786885245901636</v>
      </c>
      <c r="H6055" t="e" cm="1" vm="1">
        <f t="array" aca="1" ref="H6055" ca="1">VLOOKUP(Cpi_[[#This Row],[Year]:[Month]],crudeoil[],3,FALSE)</f>
        <v>#VALUE!</v>
      </c>
    </row>
    <row r="6056" spans="1:8" hidden="1" x14ac:dyDescent="0.3">
      <c r="A6056" t="s">
        <v>34</v>
      </c>
      <c r="B6056">
        <v>2019</v>
      </c>
      <c r="C6056" t="s">
        <v>36</v>
      </c>
      <c r="D6056" t="s">
        <v>9</v>
      </c>
      <c r="E6056" t="e">
        <f>VLOOKUP(Cpi_[[#This Row],[Attribute]],#REF!,2,FALSE)</f>
        <v>#REF!</v>
      </c>
      <c r="F6056">
        <v>132.6</v>
      </c>
      <c r="G6056">
        <f>(Cpi_[[#This Row],[Value]]-F6055)/F6055</f>
        <v>-3.6337209302325583E-2</v>
      </c>
      <c r="H6056" t="e" cm="1" vm="1">
        <f t="array" aca="1" ref="H6056" ca="1">VLOOKUP(Cpi_[[#This Row],[Year]:[Month]],crudeoil[],3,FALSE)</f>
        <v>#VALUE!</v>
      </c>
    </row>
    <row r="6057" spans="1:8" hidden="1" x14ac:dyDescent="0.3">
      <c r="A6057" t="s">
        <v>34</v>
      </c>
      <c r="B6057">
        <v>2019</v>
      </c>
      <c r="C6057" t="s">
        <v>36</v>
      </c>
      <c r="D6057" t="s">
        <v>10</v>
      </c>
      <c r="E6057" t="e">
        <f>VLOOKUP(Cpi_[[#This Row],[Attribute]],#REF!,2,FALSE)</f>
        <v>#REF!</v>
      </c>
      <c r="F6057">
        <v>121.8</v>
      </c>
      <c r="G6057">
        <f>(Cpi_[[#This Row],[Value]]-F6056)/F6056</f>
        <v>-8.1447963800904966E-2</v>
      </c>
      <c r="H6057" t="e" cm="1" vm="1">
        <f t="array" aca="1" ref="H6057" ca="1">VLOOKUP(Cpi_[[#This Row],[Year]:[Month]],crudeoil[],3,FALSE)</f>
        <v>#VALUE!</v>
      </c>
    </row>
    <row r="6058" spans="1:8" hidden="1" x14ac:dyDescent="0.3">
      <c r="A6058" t="s">
        <v>34</v>
      </c>
      <c r="B6058">
        <v>2019</v>
      </c>
      <c r="C6058" t="s">
        <v>36</v>
      </c>
      <c r="D6058" t="s">
        <v>11</v>
      </c>
      <c r="E6058" t="e">
        <f>VLOOKUP(Cpi_[[#This Row],[Attribute]],#REF!,2,FALSE)</f>
        <v>#REF!</v>
      </c>
      <c r="F6058">
        <v>109</v>
      </c>
      <c r="G6058">
        <f>(Cpi_[[#This Row],[Value]]-F6057)/F6057</f>
        <v>-0.10509031198686369</v>
      </c>
      <c r="H6058" t="e" cm="1" vm="1">
        <f t="array" aca="1" ref="H6058" ca="1">VLOOKUP(Cpi_[[#This Row],[Year]:[Month]],crudeoil[],3,FALSE)</f>
        <v>#VALUE!</v>
      </c>
    </row>
    <row r="6059" spans="1:8" hidden="1" x14ac:dyDescent="0.3">
      <c r="A6059" t="s">
        <v>34</v>
      </c>
      <c r="B6059">
        <v>2019</v>
      </c>
      <c r="C6059" t="s">
        <v>36</v>
      </c>
      <c r="D6059" t="s">
        <v>12</v>
      </c>
      <c r="E6059" t="e">
        <f>VLOOKUP(Cpi_[[#This Row],[Attribute]],#REF!,2,FALSE)</f>
        <v>#REF!</v>
      </c>
      <c r="F6059">
        <v>139.5</v>
      </c>
      <c r="G6059">
        <f>(Cpi_[[#This Row],[Value]]-F6058)/F6058</f>
        <v>0.27981651376146788</v>
      </c>
      <c r="H6059" t="e" cm="1" vm="1">
        <f t="array" aca="1" ref="H6059" ca="1">VLOOKUP(Cpi_[[#This Row],[Year]:[Month]],crudeoil[],3,FALSE)</f>
        <v>#VALUE!</v>
      </c>
    </row>
    <row r="6060" spans="1:8" hidden="1" x14ac:dyDescent="0.3">
      <c r="A6060" t="s">
        <v>34</v>
      </c>
      <c r="B6060">
        <v>2019</v>
      </c>
      <c r="C6060" t="s">
        <v>36</v>
      </c>
      <c r="D6060" t="s">
        <v>13</v>
      </c>
      <c r="E6060" t="e">
        <f>VLOOKUP(Cpi_[[#This Row],[Attribute]],#REF!,2,FALSE)</f>
        <v>#REF!</v>
      </c>
      <c r="F6060">
        <v>133.69999999999999</v>
      </c>
      <c r="G6060">
        <f>(Cpi_[[#This Row],[Value]]-F6059)/F6059</f>
        <v>-4.1577060931899723E-2</v>
      </c>
      <c r="H6060" t="e" cm="1" vm="1">
        <f t="array" aca="1" ref="H6060" ca="1">VLOOKUP(Cpi_[[#This Row],[Year]:[Month]],crudeoil[],3,FALSE)</f>
        <v>#VALUE!</v>
      </c>
    </row>
    <row r="6061" spans="1:8" hidden="1" x14ac:dyDescent="0.3">
      <c r="A6061" t="s">
        <v>34</v>
      </c>
      <c r="B6061">
        <v>2019</v>
      </c>
      <c r="C6061" t="s">
        <v>36</v>
      </c>
      <c r="D6061" t="s">
        <v>14</v>
      </c>
      <c r="E6061" t="e">
        <f>VLOOKUP(Cpi_[[#This Row],[Attribute]],#REF!,2,FALSE)</f>
        <v>#REF!</v>
      </c>
      <c r="F6061">
        <v>155.19999999999999</v>
      </c>
      <c r="G6061">
        <f>(Cpi_[[#This Row],[Value]]-F6060)/F6060</f>
        <v>0.16080777860882575</v>
      </c>
      <c r="H6061" t="e" cm="1" vm="1">
        <f t="array" aca="1" ref="H6061" ca="1">VLOOKUP(Cpi_[[#This Row],[Year]:[Month]],crudeoil[],3,FALSE)</f>
        <v>#VALUE!</v>
      </c>
    </row>
    <row r="6062" spans="1:8" hidden="1" x14ac:dyDescent="0.3">
      <c r="A6062" t="s">
        <v>34</v>
      </c>
      <c r="B6062">
        <v>2019</v>
      </c>
      <c r="C6062" t="s">
        <v>36</v>
      </c>
      <c r="D6062" t="s">
        <v>15</v>
      </c>
      <c r="E6062" t="e">
        <f>VLOOKUP(Cpi_[[#This Row],[Attribute]],#REF!,2,FALSE)</f>
        <v>#REF!</v>
      </c>
      <c r="F6062">
        <v>138.1</v>
      </c>
      <c r="G6062">
        <f>(Cpi_[[#This Row],[Value]]-F6061)/F6061</f>
        <v>-0.11018041237113399</v>
      </c>
      <c r="H6062" t="e" cm="1" vm="1">
        <f t="array" aca="1" ref="H6062" ca="1">VLOOKUP(Cpi_[[#This Row],[Year]:[Month]],crudeoil[],3,FALSE)</f>
        <v>#VALUE!</v>
      </c>
    </row>
    <row r="6063" spans="1:8" hidden="1" x14ac:dyDescent="0.3">
      <c r="A6063" t="s">
        <v>34</v>
      </c>
      <c r="B6063">
        <v>2019</v>
      </c>
      <c r="C6063" t="s">
        <v>36</v>
      </c>
      <c r="D6063" t="s">
        <v>16</v>
      </c>
      <c r="E6063" t="e">
        <f>VLOOKUP(Cpi_[[#This Row],[Attribute]],#REF!,2,FALSE)</f>
        <v>#REF!</v>
      </c>
      <c r="F6063">
        <v>163.5</v>
      </c>
      <c r="G6063">
        <f>(Cpi_[[#This Row],[Value]]-F6062)/F6062</f>
        <v>0.18392469225199137</v>
      </c>
      <c r="H6063" t="e" cm="1" vm="1">
        <f t="array" aca="1" ref="H6063" ca="1">VLOOKUP(Cpi_[[#This Row],[Year]:[Month]],crudeoil[],3,FALSE)</f>
        <v>#VALUE!</v>
      </c>
    </row>
    <row r="6064" spans="1:8" hidden="1" x14ac:dyDescent="0.3">
      <c r="A6064" t="s">
        <v>34</v>
      </c>
      <c r="B6064">
        <v>2019</v>
      </c>
      <c r="C6064" t="s">
        <v>36</v>
      </c>
      <c r="D6064" t="s">
        <v>17</v>
      </c>
      <c r="E6064" t="e">
        <f>VLOOKUP(Cpi_[[#This Row],[Attribute]],#REF!,2,FALSE)</f>
        <v>#REF!</v>
      </c>
      <c r="F6064">
        <v>147.9</v>
      </c>
      <c r="G6064">
        <f>(Cpi_[[#This Row],[Value]]-F6063)/F6063</f>
        <v>-9.5412844036697211E-2</v>
      </c>
      <c r="H6064" t="e" cm="1" vm="1">
        <f t="array" aca="1" ref="H6064" ca="1">VLOOKUP(Cpi_[[#This Row],[Year]:[Month]],crudeoil[],3,FALSE)</f>
        <v>#VALUE!</v>
      </c>
    </row>
    <row r="6065" spans="1:8" hidden="1" x14ac:dyDescent="0.3">
      <c r="A6065" t="s">
        <v>34</v>
      </c>
      <c r="B6065">
        <v>2019</v>
      </c>
      <c r="C6065" t="s">
        <v>36</v>
      </c>
      <c r="D6065" t="s">
        <v>18</v>
      </c>
      <c r="E6065" t="e">
        <f>VLOOKUP(Cpi_[[#This Row],[Attribute]],#REF!,2,FALSE)</f>
        <v>#REF!</v>
      </c>
      <c r="F6065">
        <v>139.9</v>
      </c>
      <c r="G6065">
        <f>(Cpi_[[#This Row],[Value]]-F6064)/F6064</f>
        <v>-5.4090601757944556E-2</v>
      </c>
      <c r="H6065" t="e" cm="1" vm="1">
        <f t="array" aca="1" ref="H6065" ca="1">VLOOKUP(Cpi_[[#This Row],[Year]:[Month]],crudeoil[],3,FALSE)</f>
        <v>#VALUE!</v>
      </c>
    </row>
    <row r="6066" spans="1:8" hidden="1" x14ac:dyDescent="0.3">
      <c r="A6066" t="s">
        <v>34</v>
      </c>
      <c r="B6066">
        <v>2019</v>
      </c>
      <c r="C6066" t="s">
        <v>36</v>
      </c>
      <c r="D6066" t="s">
        <v>19</v>
      </c>
      <c r="E6066" t="e">
        <f>VLOOKUP(Cpi_[[#This Row],[Attribute]],#REF!,2,FALSE)</f>
        <v>#REF!</v>
      </c>
      <c r="F6066">
        <v>146.69999999999999</v>
      </c>
      <c r="G6066">
        <f>(Cpi_[[#This Row],[Value]]-F6065)/F6065</f>
        <v>4.8606147248034186E-2</v>
      </c>
      <c r="H6066" t="e" cm="1" vm="1">
        <f t="array" aca="1" ref="H6066" ca="1">VLOOKUP(Cpi_[[#This Row],[Year]:[Month]],crudeoil[],3,FALSE)</f>
        <v>#VALUE!</v>
      </c>
    </row>
    <row r="6067" spans="1:8" hidden="1" x14ac:dyDescent="0.3">
      <c r="A6067" t="s">
        <v>34</v>
      </c>
      <c r="B6067">
        <v>2019</v>
      </c>
      <c r="C6067" t="s">
        <v>36</v>
      </c>
      <c r="D6067" t="s">
        <v>20</v>
      </c>
      <c r="E6067" t="e">
        <f>VLOOKUP(Cpi_[[#This Row],[Attribute]],#REF!,2,FALSE)</f>
        <v>#REF!</v>
      </c>
      <c r="F6067">
        <v>149</v>
      </c>
      <c r="G6067">
        <f>(Cpi_[[#This Row],[Value]]-F6066)/F6066</f>
        <v>1.5678254942058701E-2</v>
      </c>
      <c r="H6067" t="e" cm="1" vm="1">
        <f t="array" aca="1" ref="H6067" ca="1">VLOOKUP(Cpi_[[#This Row],[Year]:[Month]],crudeoil[],3,FALSE)</f>
        <v>#VALUE!</v>
      </c>
    </row>
    <row r="6068" spans="1:8" hidden="1" x14ac:dyDescent="0.3">
      <c r="A6068" t="s">
        <v>34</v>
      </c>
      <c r="B6068">
        <v>2019</v>
      </c>
      <c r="C6068" t="s">
        <v>36</v>
      </c>
      <c r="D6068" t="s">
        <v>21</v>
      </c>
      <c r="E6068" t="e">
        <f>VLOOKUP(Cpi_[[#This Row],[Attribute]],#REF!,2,FALSE)</f>
        <v>#REF!</v>
      </c>
      <c r="F6068">
        <v>139.69999999999999</v>
      </c>
      <c r="G6068">
        <f>(Cpi_[[#This Row],[Value]]-F6067)/F6067</f>
        <v>-6.2416107382550413E-2</v>
      </c>
      <c r="H6068" t="e" cm="1" vm="1">
        <f t="array" aca="1" ref="H6068" ca="1">VLOOKUP(Cpi_[[#This Row],[Year]:[Month]],crudeoil[],3,FALSE)</f>
        <v>#VALUE!</v>
      </c>
    </row>
    <row r="6069" spans="1:8" hidden="1" x14ac:dyDescent="0.3">
      <c r="A6069" t="s">
        <v>34</v>
      </c>
      <c r="B6069">
        <v>2019</v>
      </c>
      <c r="C6069" t="s">
        <v>36</v>
      </c>
      <c r="D6069" t="s">
        <v>22</v>
      </c>
      <c r="E6069" t="e">
        <f>VLOOKUP(Cpi_[[#This Row],[Attribute]],#REF!,2,FALSE)</f>
        <v>#REF!</v>
      </c>
      <c r="F6069">
        <v>143.80000000000001</v>
      </c>
      <c r="G6069">
        <f>(Cpi_[[#This Row],[Value]]-F6068)/F6068</f>
        <v>2.9348604151753922E-2</v>
      </c>
      <c r="H6069" t="e" cm="1" vm="1">
        <f t="array" aca="1" ref="H6069" ca="1">VLOOKUP(Cpi_[[#This Row],[Year]:[Month]],crudeoil[],3,FALSE)</f>
        <v>#VALUE!</v>
      </c>
    </row>
    <row r="6070" spans="1:8" hidden="1" x14ac:dyDescent="0.3">
      <c r="A6070" t="s">
        <v>34</v>
      </c>
      <c r="B6070">
        <v>2019</v>
      </c>
      <c r="C6070" t="s">
        <v>36</v>
      </c>
      <c r="D6070" t="s">
        <v>23</v>
      </c>
      <c r="E6070" t="e">
        <f>VLOOKUP(Cpi_[[#This Row],[Attribute]],#REF!,2,FALSE)</f>
        <v>#REF!</v>
      </c>
      <c r="F6070">
        <v>146.19999999999999</v>
      </c>
      <c r="G6070">
        <f>(Cpi_[[#This Row],[Value]]-F6069)/F6069</f>
        <v>1.6689847009735585E-2</v>
      </c>
      <c r="H6070" t="e" cm="1" vm="1">
        <f t="array" aca="1" ref="H6070" ca="1">VLOOKUP(Cpi_[[#This Row],[Year]:[Month]],crudeoil[],3,FALSE)</f>
        <v>#VALUE!</v>
      </c>
    </row>
    <row r="6071" spans="1:8" hidden="1" x14ac:dyDescent="0.3">
      <c r="A6071" t="s">
        <v>34</v>
      </c>
      <c r="B6071">
        <v>2019</v>
      </c>
      <c r="C6071" t="s">
        <v>36</v>
      </c>
      <c r="D6071" t="s">
        <v>24</v>
      </c>
      <c r="E6071" t="e">
        <f>VLOOKUP(Cpi_[[#This Row],[Attribute]],#REF!,2,FALSE)</f>
        <v>#REF!</v>
      </c>
      <c r="F6071">
        <v>124.6</v>
      </c>
      <c r="G6071">
        <f>(Cpi_[[#This Row],[Value]]-F6070)/F6070</f>
        <v>-0.14774281805745551</v>
      </c>
      <c r="H6071" t="e" cm="1" vm="1">
        <f t="array" aca="1" ref="H6071" ca="1">VLOOKUP(Cpi_[[#This Row],[Year]:[Month]],crudeoil[],3,FALSE)</f>
        <v>#VALUE!</v>
      </c>
    </row>
    <row r="6072" spans="1:8" hidden="1" x14ac:dyDescent="0.3">
      <c r="A6072" t="s">
        <v>34</v>
      </c>
      <c r="B6072">
        <v>2019</v>
      </c>
      <c r="C6072" t="s">
        <v>36</v>
      </c>
      <c r="D6072" t="s">
        <v>25</v>
      </c>
      <c r="E6072" t="e">
        <f>VLOOKUP(Cpi_[[#This Row],[Attribute]],#REF!,2,FALSE)</f>
        <v>#REF!</v>
      </c>
      <c r="F6072">
        <v>137.69999999999999</v>
      </c>
      <c r="G6072">
        <f>(Cpi_[[#This Row],[Value]]-F6071)/F6071</f>
        <v>0.10513643659711071</v>
      </c>
      <c r="H6072" t="e" cm="1" vm="1">
        <f t="array" aca="1" ref="H6072" ca="1">VLOOKUP(Cpi_[[#This Row],[Year]:[Month]],crudeoil[],3,FALSE)</f>
        <v>#VALUE!</v>
      </c>
    </row>
    <row r="6073" spans="1:8" hidden="1" x14ac:dyDescent="0.3">
      <c r="A6073" t="s">
        <v>34</v>
      </c>
      <c r="B6073">
        <v>2019</v>
      </c>
      <c r="C6073" t="s">
        <v>36</v>
      </c>
      <c r="D6073" t="s">
        <v>26</v>
      </c>
      <c r="E6073" t="e">
        <f>VLOOKUP(Cpi_[[#This Row],[Attribute]],#REF!,2,FALSE)</f>
        <v>#REF!</v>
      </c>
      <c r="F6073">
        <v>150.30000000000001</v>
      </c>
      <c r="G6073">
        <f>(Cpi_[[#This Row],[Value]]-F6072)/F6072</f>
        <v>9.1503267973856384E-2</v>
      </c>
      <c r="H6073" t="e" cm="1" vm="1">
        <f t="array" aca="1" ref="H6073" ca="1">VLOOKUP(Cpi_[[#This Row],[Year]:[Month]],crudeoil[],3,FALSE)</f>
        <v>#VALUE!</v>
      </c>
    </row>
    <row r="6074" spans="1:8" hidden="1" x14ac:dyDescent="0.3">
      <c r="A6074" t="s">
        <v>34</v>
      </c>
      <c r="B6074">
        <v>2019</v>
      </c>
      <c r="C6074" t="s">
        <v>36</v>
      </c>
      <c r="D6074" t="s">
        <v>27</v>
      </c>
      <c r="E6074" t="e">
        <f>VLOOKUP(Cpi_[[#This Row],[Attribute]],#REF!,2,FALSE)</f>
        <v>#REF!</v>
      </c>
      <c r="F6074">
        <v>133.4</v>
      </c>
      <c r="G6074">
        <f>(Cpi_[[#This Row],[Value]]-F6073)/F6073</f>
        <v>-0.11244178310046576</v>
      </c>
      <c r="H6074" t="e" cm="1" vm="1">
        <f t="array" aca="1" ref="H6074" ca="1">VLOOKUP(Cpi_[[#This Row],[Year]:[Month]],crudeoil[],3,FALSE)</f>
        <v>#VALUE!</v>
      </c>
    </row>
    <row r="6075" spans="1:8" hidden="1" x14ac:dyDescent="0.3">
      <c r="A6075" t="s">
        <v>34</v>
      </c>
      <c r="B6075">
        <v>2019</v>
      </c>
      <c r="C6075" t="s">
        <v>36</v>
      </c>
      <c r="D6075" t="s">
        <v>28</v>
      </c>
      <c r="E6075" t="e">
        <f>VLOOKUP(Cpi_[[#This Row],[Attribute]],#REF!,2,FALSE)</f>
        <v>#REF!</v>
      </c>
      <c r="F6075">
        <v>137.69999999999999</v>
      </c>
      <c r="G6075">
        <f>(Cpi_[[#This Row],[Value]]-F6074)/F6074</f>
        <v>3.2233883058470636E-2</v>
      </c>
      <c r="H6075" t="e" cm="1" vm="1">
        <f t="array" aca="1" ref="H6075" ca="1">VLOOKUP(Cpi_[[#This Row],[Year]:[Month]],crudeoil[],3,FALSE)</f>
        <v>#VALUE!</v>
      </c>
    </row>
    <row r="6076" spans="1:8" hidden="1" x14ac:dyDescent="0.3">
      <c r="A6076" t="s">
        <v>34</v>
      </c>
      <c r="B6076">
        <v>2019</v>
      </c>
      <c r="C6076" t="s">
        <v>36</v>
      </c>
      <c r="D6076" t="s">
        <v>29</v>
      </c>
      <c r="E6076" t="e" cm="1">
        <f t="array" aca="1" ref="E6076" ca="1">VLGeneral indexGeneral indexKUP(Cpi_[[#This Row],[Attribute]],#REF!,2,FALSE)</f>
        <v>#NAME?</v>
      </c>
      <c r="F6076">
        <v>140.4</v>
      </c>
      <c r="G6076">
        <f>(Cpi_[[#This Row],[Value]]-F6075)/F6075</f>
        <v>1.9607843137255027E-2</v>
      </c>
      <c r="H6076" t="e" cm="1" vm="1">
        <f t="array" aca="1" ref="H6076" ca="1">VLOOKUP(Cpi_[[#This Row],[Year]:[Month]],crudeoil[],3,FALSE)</f>
        <v>#VALUE!</v>
      </c>
    </row>
    <row r="6077" spans="1:8" hidden="1" x14ac:dyDescent="0.3">
      <c r="A6077" t="s">
        <v>30</v>
      </c>
      <c r="B6077">
        <v>2019</v>
      </c>
      <c r="C6077" t="s">
        <v>38</v>
      </c>
      <c r="D6077" t="s">
        <v>3</v>
      </c>
      <c r="E6077" t="e">
        <f>VLOOKUP(Cpi_[[#This Row],[Attribute]],#REF!,2,FALSE)</f>
        <v>#REF!</v>
      </c>
      <c r="F6077">
        <v>137.4</v>
      </c>
      <c r="G6077">
        <f>(Cpi_[[#This Row],[Value]]-F6076)/F6076</f>
        <v>-2.1367521367521368E-2</v>
      </c>
      <c r="H6077" t="e" cm="1" vm="1">
        <f t="array" aca="1" ref="H6077" ca="1">VLOOKUP(Cpi_[[#This Row],[Year]:[Month]],crudeoil[],3,FALSE)</f>
        <v>#VALUE!</v>
      </c>
    </row>
    <row r="6078" spans="1:8" hidden="1" x14ac:dyDescent="0.3">
      <c r="A6078" t="s">
        <v>30</v>
      </c>
      <c r="B6078">
        <v>2019</v>
      </c>
      <c r="C6078" t="s">
        <v>38</v>
      </c>
      <c r="D6078" t="s">
        <v>4</v>
      </c>
      <c r="E6078" t="e">
        <f>VLOOKUP(Cpi_[[#This Row],[Attribute]],#REF!,2,FALSE)</f>
        <v>#REF!</v>
      </c>
      <c r="F6078">
        <v>159.5</v>
      </c>
      <c r="G6078">
        <f>(Cpi_[[#This Row],[Value]]-F6077)/F6077</f>
        <v>0.16084425036390096</v>
      </c>
      <c r="H6078" t="e" cm="1" vm="1">
        <f t="array" aca="1" ref="H6078" ca="1">VLOOKUP(Cpi_[[#This Row],[Year]:[Month]],crudeoil[],3,FALSE)</f>
        <v>#VALUE!</v>
      </c>
    </row>
    <row r="6079" spans="1:8" hidden="1" x14ac:dyDescent="0.3">
      <c r="A6079" t="s">
        <v>30</v>
      </c>
      <c r="B6079">
        <v>2019</v>
      </c>
      <c r="C6079" t="s">
        <v>38</v>
      </c>
      <c r="D6079" t="s">
        <v>5</v>
      </c>
      <c r="E6079" t="e">
        <f>VLOOKUP(Cpi_[[#This Row],[Attribute]],#REF!,2,FALSE)</f>
        <v>#REF!</v>
      </c>
      <c r="F6079">
        <v>134.5</v>
      </c>
      <c r="G6079">
        <f>(Cpi_[[#This Row],[Value]]-F6078)/F6078</f>
        <v>-0.15673981191222572</v>
      </c>
      <c r="H6079" t="e" cm="1" vm="1">
        <f t="array" aca="1" ref="H6079" ca="1">VLOOKUP(Cpi_[[#This Row],[Year]:[Month]],crudeoil[],3,FALSE)</f>
        <v>#VALUE!</v>
      </c>
    </row>
    <row r="6080" spans="1:8" hidden="1" x14ac:dyDescent="0.3">
      <c r="A6080" t="s">
        <v>30</v>
      </c>
      <c r="B6080">
        <v>2019</v>
      </c>
      <c r="C6080" t="s">
        <v>38</v>
      </c>
      <c r="D6080" t="s">
        <v>6</v>
      </c>
      <c r="E6080" t="e">
        <f>VLOOKUP(Cpi_[[#This Row],[Attribute]],#REF!,2,FALSE)</f>
        <v>#REF!</v>
      </c>
      <c r="F6080">
        <v>142.6</v>
      </c>
      <c r="G6080">
        <f>(Cpi_[[#This Row],[Value]]-F6079)/F6079</f>
        <v>6.0223048327137506E-2</v>
      </c>
      <c r="H6080" t="e" cm="1" vm="1">
        <f t="array" aca="1" ref="H6080" ca="1">VLOOKUP(Cpi_[[#This Row],[Year]:[Month]],crudeoil[],3,FALSE)</f>
        <v>#VALUE!</v>
      </c>
    </row>
    <row r="6081" spans="1:8" hidden="1" x14ac:dyDescent="0.3">
      <c r="A6081" t="s">
        <v>30</v>
      </c>
      <c r="B6081">
        <v>2019</v>
      </c>
      <c r="C6081" t="s">
        <v>38</v>
      </c>
      <c r="D6081" t="s">
        <v>7</v>
      </c>
      <c r="E6081" t="e">
        <f>VLOOKUP(Cpi_[[#This Row],[Attribute]],#REF!,2,FALSE)</f>
        <v>#REF!</v>
      </c>
      <c r="F6081">
        <v>124</v>
      </c>
      <c r="G6081">
        <f>(Cpi_[[#This Row],[Value]]-F6080)/F6080</f>
        <v>-0.13043478260869562</v>
      </c>
      <c r="H6081" t="e" cm="1" vm="1">
        <f t="array" aca="1" ref="H6081" ca="1">VLOOKUP(Cpi_[[#This Row],[Year]:[Month]],crudeoil[],3,FALSE)</f>
        <v>#VALUE!</v>
      </c>
    </row>
    <row r="6082" spans="1:8" hidden="1" x14ac:dyDescent="0.3">
      <c r="A6082" t="s">
        <v>30</v>
      </c>
      <c r="B6082">
        <v>2019</v>
      </c>
      <c r="C6082" t="s">
        <v>38</v>
      </c>
      <c r="D6082" t="s">
        <v>8</v>
      </c>
      <c r="E6082" t="e">
        <f>VLOOKUP(Cpi_[[#This Row],[Attribute]],#REF!,2,FALSE)</f>
        <v>#REF!</v>
      </c>
      <c r="F6082">
        <v>143.69999999999999</v>
      </c>
      <c r="G6082">
        <f>(Cpi_[[#This Row],[Value]]-F6081)/F6081</f>
        <v>0.1588709677419354</v>
      </c>
      <c r="H6082" t="e" cm="1" vm="1">
        <f t="array" aca="1" ref="H6082" ca="1">VLOOKUP(Cpi_[[#This Row],[Year]:[Month]],crudeoil[],3,FALSE)</f>
        <v>#VALUE!</v>
      </c>
    </row>
    <row r="6083" spans="1:8" hidden="1" x14ac:dyDescent="0.3">
      <c r="A6083" t="s">
        <v>30</v>
      </c>
      <c r="B6083">
        <v>2019</v>
      </c>
      <c r="C6083" t="s">
        <v>38</v>
      </c>
      <c r="D6083" t="s">
        <v>9</v>
      </c>
      <c r="E6083" t="e">
        <f>VLOOKUP(Cpi_[[#This Row],[Attribute]],#REF!,2,FALSE)</f>
        <v>#REF!</v>
      </c>
      <c r="F6083">
        <v>133.4</v>
      </c>
      <c r="G6083">
        <f>(Cpi_[[#This Row],[Value]]-F6082)/F6082</f>
        <v>-7.1677105080027725E-2</v>
      </c>
      <c r="H6083" t="e" cm="1" vm="1">
        <f t="array" aca="1" ref="H6083" ca="1">VLOOKUP(Cpi_[[#This Row],[Year]:[Month]],crudeoil[],3,FALSE)</f>
        <v>#VALUE!</v>
      </c>
    </row>
    <row r="6084" spans="1:8" hidden="1" x14ac:dyDescent="0.3">
      <c r="A6084" t="s">
        <v>30</v>
      </c>
      <c r="B6084">
        <v>2019</v>
      </c>
      <c r="C6084" t="s">
        <v>38</v>
      </c>
      <c r="D6084" t="s">
        <v>10</v>
      </c>
      <c r="E6084" t="e">
        <f>VLOOKUP(Cpi_[[#This Row],[Attribute]],#REF!,2,FALSE)</f>
        <v>#REF!</v>
      </c>
      <c r="F6084">
        <v>125.1</v>
      </c>
      <c r="G6084">
        <f>(Cpi_[[#This Row],[Value]]-F6083)/F6083</f>
        <v>-6.2218890554722718E-2</v>
      </c>
      <c r="H6084" t="e" cm="1" vm="1">
        <f t="array" aca="1" ref="H6084" ca="1">VLOOKUP(Cpi_[[#This Row],[Year]:[Month]],crudeoil[],3,FALSE)</f>
        <v>#VALUE!</v>
      </c>
    </row>
    <row r="6085" spans="1:8" hidden="1" x14ac:dyDescent="0.3">
      <c r="A6085" t="s">
        <v>30</v>
      </c>
      <c r="B6085">
        <v>2019</v>
      </c>
      <c r="C6085" t="s">
        <v>38</v>
      </c>
      <c r="D6085" t="s">
        <v>11</v>
      </c>
      <c r="E6085" t="e">
        <f>VLOOKUP(Cpi_[[#This Row],[Attribute]],#REF!,2,FALSE)</f>
        <v>#REF!</v>
      </c>
      <c r="F6085">
        <v>109.3</v>
      </c>
      <c r="G6085">
        <f>(Cpi_[[#This Row],[Value]]-F6084)/F6084</f>
        <v>-0.12629896083133491</v>
      </c>
      <c r="H6085" t="e" cm="1" vm="1">
        <f t="array" aca="1" ref="H6085" ca="1">VLOOKUP(Cpi_[[#This Row],[Year]:[Month]],crudeoil[],3,FALSE)</f>
        <v>#VALUE!</v>
      </c>
    </row>
    <row r="6086" spans="1:8" hidden="1" x14ac:dyDescent="0.3">
      <c r="A6086" t="s">
        <v>30</v>
      </c>
      <c r="B6086">
        <v>2019</v>
      </c>
      <c r="C6086" t="s">
        <v>38</v>
      </c>
      <c r="D6086" t="s">
        <v>12</v>
      </c>
      <c r="E6086" t="e">
        <f>VLOOKUP(Cpi_[[#This Row],[Attribute]],#REF!,2,FALSE)</f>
        <v>#REF!</v>
      </c>
      <c r="F6086">
        <v>139.30000000000001</v>
      </c>
      <c r="G6086">
        <f>(Cpi_[[#This Row],[Value]]-F6085)/F6085</f>
        <v>0.2744739249771273</v>
      </c>
      <c r="H6086" t="e" cm="1" vm="1">
        <f t="array" aca="1" ref="H6086" ca="1">VLOOKUP(Cpi_[[#This Row],[Year]:[Month]],crudeoil[],3,FALSE)</f>
        <v>#VALUE!</v>
      </c>
    </row>
    <row r="6087" spans="1:8" hidden="1" x14ac:dyDescent="0.3">
      <c r="A6087" t="s">
        <v>30</v>
      </c>
      <c r="B6087">
        <v>2019</v>
      </c>
      <c r="C6087" t="s">
        <v>38</v>
      </c>
      <c r="D6087" t="s">
        <v>13</v>
      </c>
      <c r="E6087" t="e">
        <f>VLOOKUP(Cpi_[[#This Row],[Attribute]],#REF!,2,FALSE)</f>
        <v>#REF!</v>
      </c>
      <c r="F6087">
        <v>137.69999999999999</v>
      </c>
      <c r="G6087">
        <f>(Cpi_[[#This Row],[Value]]-F6086)/F6086</f>
        <v>-1.1486001435750341E-2</v>
      </c>
      <c r="H6087" t="e" cm="1" vm="1">
        <f t="array" aca="1" ref="H6087" ca="1">VLOOKUP(Cpi_[[#This Row],[Year]:[Month]],crudeoil[],3,FALSE)</f>
        <v>#VALUE!</v>
      </c>
    </row>
    <row r="6088" spans="1:8" hidden="1" x14ac:dyDescent="0.3">
      <c r="A6088" t="s">
        <v>30</v>
      </c>
      <c r="B6088">
        <v>2019</v>
      </c>
      <c r="C6088" t="s">
        <v>38</v>
      </c>
      <c r="D6088" t="s">
        <v>14</v>
      </c>
      <c r="E6088" t="e">
        <f>VLOOKUP(Cpi_[[#This Row],[Attribute]],#REF!,2,FALSE)</f>
        <v>#REF!</v>
      </c>
      <c r="F6088">
        <v>156.4</v>
      </c>
      <c r="G6088">
        <f>(Cpi_[[#This Row],[Value]]-F6087)/F6087</f>
        <v>0.1358024691358026</v>
      </c>
      <c r="H6088" t="e" cm="1" vm="1">
        <f t="array" aca="1" ref="H6088" ca="1">VLOOKUP(Cpi_[[#This Row],[Year]:[Month]],crudeoil[],3,FALSE)</f>
        <v>#VALUE!</v>
      </c>
    </row>
    <row r="6089" spans="1:8" hidden="1" x14ac:dyDescent="0.3">
      <c r="A6089" t="s">
        <v>30</v>
      </c>
      <c r="B6089">
        <v>2019</v>
      </c>
      <c r="C6089" t="s">
        <v>38</v>
      </c>
      <c r="D6089" t="s">
        <v>15</v>
      </c>
      <c r="E6089" t="e">
        <f>VLOOKUP(Cpi_[[#This Row],[Attribute]],#REF!,2,FALSE)</f>
        <v>#REF!</v>
      </c>
      <c r="F6089">
        <v>139.19999999999999</v>
      </c>
      <c r="G6089">
        <f>(Cpi_[[#This Row],[Value]]-F6088)/F6088</f>
        <v>-0.10997442455242977</v>
      </c>
      <c r="H6089" t="e" cm="1" vm="1">
        <f t="array" aca="1" ref="H6089" ca="1">VLOOKUP(Cpi_[[#This Row],[Year]:[Month]],crudeoil[],3,FALSE)</f>
        <v>#VALUE!</v>
      </c>
    </row>
    <row r="6090" spans="1:8" hidden="1" x14ac:dyDescent="0.3">
      <c r="A6090" t="s">
        <v>30</v>
      </c>
      <c r="B6090">
        <v>2019</v>
      </c>
      <c r="C6090" t="s">
        <v>38</v>
      </c>
      <c r="D6090" t="s">
        <v>16</v>
      </c>
      <c r="E6090" t="e">
        <f>VLOOKUP(Cpi_[[#This Row],[Attribute]],#REF!,2,FALSE)</f>
        <v>#REF!</v>
      </c>
      <c r="F6090">
        <v>163.30000000000001</v>
      </c>
      <c r="G6090">
        <f>(Cpi_[[#This Row],[Value]]-F6089)/F6089</f>
        <v>0.17313218390804616</v>
      </c>
      <c r="H6090" t="e" cm="1" vm="1">
        <f t="array" aca="1" ref="H6090" ca="1">VLOOKUP(Cpi_[[#This Row],[Year]:[Month]],crudeoil[],3,FALSE)</f>
        <v>#VALUE!</v>
      </c>
    </row>
    <row r="6091" spans="1:8" hidden="1" x14ac:dyDescent="0.3">
      <c r="A6091" t="s">
        <v>30</v>
      </c>
      <c r="B6091">
        <v>2019</v>
      </c>
      <c r="C6091" t="s">
        <v>38</v>
      </c>
      <c r="D6091" t="s">
        <v>17</v>
      </c>
      <c r="E6091" t="e">
        <f>VLOOKUP(Cpi_[[#This Row],[Attribute]],#REF!,2,FALSE)</f>
        <v>#REF!</v>
      </c>
      <c r="F6091">
        <v>151.30000000000001</v>
      </c>
      <c r="G6091">
        <f>(Cpi_[[#This Row],[Value]]-F6090)/F6090</f>
        <v>-7.3484384568279229E-2</v>
      </c>
      <c r="H6091" t="e" cm="1" vm="1">
        <f t="array" aca="1" ref="H6091" ca="1">VLOOKUP(Cpi_[[#This Row],[Year]:[Month]],crudeoil[],3,FALSE)</f>
        <v>#VALUE!</v>
      </c>
    </row>
    <row r="6092" spans="1:8" hidden="1" x14ac:dyDescent="0.3">
      <c r="A6092" t="s">
        <v>30</v>
      </c>
      <c r="B6092">
        <v>2019</v>
      </c>
      <c r="C6092" t="s">
        <v>38</v>
      </c>
      <c r="D6092" t="s">
        <v>18</v>
      </c>
      <c r="E6092" t="e">
        <f>VLOOKUP(Cpi_[[#This Row],[Attribute]],#REF!,2,FALSE)</f>
        <v>#REF!</v>
      </c>
      <c r="F6092">
        <v>146.6</v>
      </c>
      <c r="G6092">
        <f>(Cpi_[[#This Row],[Value]]-F6091)/F6091</f>
        <v>-3.1064111037673606E-2</v>
      </c>
      <c r="H6092" t="e" cm="1" vm="1">
        <f t="array" aca="1" ref="H6092" ca="1">VLOOKUP(Cpi_[[#This Row],[Year]:[Month]],crudeoil[],3,FALSE)</f>
        <v>#VALUE!</v>
      </c>
    </row>
    <row r="6093" spans="1:8" hidden="1" x14ac:dyDescent="0.3">
      <c r="A6093" t="s">
        <v>30</v>
      </c>
      <c r="B6093">
        <v>2019</v>
      </c>
      <c r="C6093" t="s">
        <v>38</v>
      </c>
      <c r="D6093" t="s">
        <v>19</v>
      </c>
      <c r="E6093" t="e">
        <f>VLOOKUP(Cpi_[[#This Row],[Attribute]],#REF!,2,FALSE)</f>
        <v>#REF!</v>
      </c>
      <c r="F6093">
        <v>150.69999999999999</v>
      </c>
      <c r="G6093">
        <f>(Cpi_[[#This Row],[Value]]-F6092)/F6092</f>
        <v>2.7967257844474725E-2</v>
      </c>
      <c r="H6093" t="e" cm="1" vm="1">
        <f t="array" aca="1" ref="H6093" ca="1">VLOOKUP(Cpi_[[#This Row],[Year]:[Month]],crudeoil[],3,FALSE)</f>
        <v>#VALUE!</v>
      </c>
    </row>
    <row r="6094" spans="1:8" hidden="1" x14ac:dyDescent="0.3">
      <c r="A6094" t="s">
        <v>30</v>
      </c>
      <c r="B6094">
        <v>2019</v>
      </c>
      <c r="C6094" t="s">
        <v>38</v>
      </c>
      <c r="D6094" t="s">
        <v>20</v>
      </c>
      <c r="E6094" t="e">
        <f>VLOOKUP(Cpi_[[#This Row],[Attribute]],#REF!,2,FALSE)</f>
        <v>#REF!</v>
      </c>
      <c r="F6094" t="s">
        <v>32</v>
      </c>
      <c r="G6094" t="e">
        <f>(Cpi_[[#This Row],[Value]]-F6093)/F6093</f>
        <v>#VALUE!</v>
      </c>
      <c r="H6094" t="e" cm="1" vm="1">
        <f t="array" aca="1" ref="H6094" ca="1">VLOOKUP(Cpi_[[#This Row],[Year]:[Month]],crudeoil[],3,FALSE)</f>
        <v>#VALUE!</v>
      </c>
    </row>
    <row r="6095" spans="1:8" hidden="1" x14ac:dyDescent="0.3">
      <c r="A6095" t="s">
        <v>30</v>
      </c>
      <c r="B6095">
        <v>2019</v>
      </c>
      <c r="C6095" t="s">
        <v>38</v>
      </c>
      <c r="D6095" t="s">
        <v>21</v>
      </c>
      <c r="E6095" t="e">
        <f>VLOOKUP(Cpi_[[#This Row],[Attribute]],#REF!,2,FALSE)</f>
        <v>#REF!</v>
      </c>
      <c r="F6095">
        <v>146.9</v>
      </c>
      <c r="G6095" t="e">
        <f>(Cpi_[[#This Row],[Value]]-F6094)/F6094</f>
        <v>#VALUE!</v>
      </c>
      <c r="H6095" t="e" cm="1" vm="1">
        <f t="array" aca="1" ref="H6095" ca="1">VLOOKUP(Cpi_[[#This Row],[Year]:[Month]],crudeoil[],3,FALSE)</f>
        <v>#VALUE!</v>
      </c>
    </row>
    <row r="6096" spans="1:8" hidden="1" x14ac:dyDescent="0.3">
      <c r="A6096" t="s">
        <v>30</v>
      </c>
      <c r="B6096">
        <v>2019</v>
      </c>
      <c r="C6096" t="s">
        <v>38</v>
      </c>
      <c r="D6096" t="s">
        <v>22</v>
      </c>
      <c r="E6096" t="e">
        <f>VLOOKUP(Cpi_[[#This Row],[Attribute]],#REF!,2,FALSE)</f>
        <v>#REF!</v>
      </c>
      <c r="F6096">
        <v>149.5</v>
      </c>
      <c r="G6096">
        <f>(Cpi_[[#This Row],[Value]]-F6095)/F6095</f>
        <v>1.7699115044247749E-2</v>
      </c>
      <c r="H6096" t="e" cm="1" vm="1">
        <f t="array" aca="1" ref="H6096" ca="1">VLOOKUP(Cpi_[[#This Row],[Year]:[Month]],crudeoil[],3,FALSE)</f>
        <v>#VALUE!</v>
      </c>
    </row>
    <row r="6097" spans="1:8" hidden="1" x14ac:dyDescent="0.3">
      <c r="A6097" t="s">
        <v>30</v>
      </c>
      <c r="B6097">
        <v>2019</v>
      </c>
      <c r="C6097" t="s">
        <v>38</v>
      </c>
      <c r="D6097" t="s">
        <v>23</v>
      </c>
      <c r="E6097" t="e">
        <f>VLOOKUP(Cpi_[[#This Row],[Attribute]],#REF!,2,FALSE)</f>
        <v>#REF!</v>
      </c>
      <c r="F6097">
        <v>151.30000000000001</v>
      </c>
      <c r="G6097">
        <f>(Cpi_[[#This Row],[Value]]-F6096)/F6096</f>
        <v>1.204013377926429E-2</v>
      </c>
      <c r="H6097" t="e" cm="1" vm="1">
        <f t="array" aca="1" ref="H6097" ca="1">VLOOKUP(Cpi_[[#This Row],[Year]:[Month]],crudeoil[],3,FALSE)</f>
        <v>#VALUE!</v>
      </c>
    </row>
    <row r="6098" spans="1:8" hidden="1" x14ac:dyDescent="0.3">
      <c r="A6098" t="s">
        <v>30</v>
      </c>
      <c r="B6098">
        <v>2019</v>
      </c>
      <c r="C6098" t="s">
        <v>38</v>
      </c>
      <c r="D6098" t="s">
        <v>24</v>
      </c>
      <c r="E6098" t="e">
        <f>VLOOKUP(Cpi_[[#This Row],[Attribute]],#REF!,2,FALSE)</f>
        <v>#REF!</v>
      </c>
      <c r="F6098">
        <v>130.19999999999999</v>
      </c>
      <c r="G6098">
        <f>(Cpi_[[#This Row],[Value]]-F6097)/F6097</f>
        <v>-0.13945803040317264</v>
      </c>
      <c r="H6098" t="e" cm="1" vm="1">
        <f t="array" aca="1" ref="H6098" ca="1">VLOOKUP(Cpi_[[#This Row],[Year]:[Month]],crudeoil[],3,FALSE)</f>
        <v>#VALUE!</v>
      </c>
    </row>
    <row r="6099" spans="1:8" hidden="1" x14ac:dyDescent="0.3">
      <c r="A6099" t="s">
        <v>30</v>
      </c>
      <c r="B6099">
        <v>2019</v>
      </c>
      <c r="C6099" t="s">
        <v>38</v>
      </c>
      <c r="D6099" t="s">
        <v>25</v>
      </c>
      <c r="E6099" t="e">
        <f>VLOOKUP(Cpi_[[#This Row],[Attribute]],#REF!,2,FALSE)</f>
        <v>#REF!</v>
      </c>
      <c r="F6099">
        <v>145.9</v>
      </c>
      <c r="G6099">
        <f>(Cpi_[[#This Row],[Value]]-F6098)/F6098</f>
        <v>0.12058371735791104</v>
      </c>
      <c r="H6099" t="e" cm="1" vm="1">
        <f t="array" aca="1" ref="H6099" ca="1">VLOOKUP(Cpi_[[#This Row],[Year]:[Month]],crudeoil[],3,FALSE)</f>
        <v>#VALUE!</v>
      </c>
    </row>
    <row r="6100" spans="1:8" hidden="1" x14ac:dyDescent="0.3">
      <c r="A6100" t="s">
        <v>30</v>
      </c>
      <c r="B6100">
        <v>2019</v>
      </c>
      <c r="C6100" t="s">
        <v>38</v>
      </c>
      <c r="D6100" t="s">
        <v>26</v>
      </c>
      <c r="E6100" t="e">
        <f>VLOOKUP(Cpi_[[#This Row],[Attribute]],#REF!,2,FALSE)</f>
        <v>#REF!</v>
      </c>
      <c r="F6100">
        <v>156.69999999999999</v>
      </c>
      <c r="G6100">
        <f>(Cpi_[[#This Row],[Value]]-F6099)/F6099</f>
        <v>7.4023303632624965E-2</v>
      </c>
      <c r="H6100" t="e" cm="1" vm="1">
        <f t="array" aca="1" ref="H6100" ca="1">VLOOKUP(Cpi_[[#This Row],[Year]:[Month]],crudeoil[],3,FALSE)</f>
        <v>#VALUE!</v>
      </c>
    </row>
    <row r="6101" spans="1:8" hidden="1" x14ac:dyDescent="0.3">
      <c r="A6101" t="s">
        <v>30</v>
      </c>
      <c r="B6101">
        <v>2019</v>
      </c>
      <c r="C6101" t="s">
        <v>38</v>
      </c>
      <c r="D6101" t="s">
        <v>27</v>
      </c>
      <c r="E6101" t="e">
        <f>VLOOKUP(Cpi_[[#This Row],[Attribute]],#REF!,2,FALSE)</f>
        <v>#REF!</v>
      </c>
      <c r="F6101">
        <v>133.9</v>
      </c>
      <c r="G6101">
        <f>(Cpi_[[#This Row],[Value]]-F6100)/F6100</f>
        <v>-0.14550095724313966</v>
      </c>
      <c r="H6101" t="e" cm="1" vm="1">
        <f t="array" aca="1" ref="H6101" ca="1">VLOOKUP(Cpi_[[#This Row],[Year]:[Month]],crudeoil[],3,FALSE)</f>
        <v>#VALUE!</v>
      </c>
    </row>
    <row r="6102" spans="1:8" hidden="1" x14ac:dyDescent="0.3">
      <c r="A6102" t="s">
        <v>30</v>
      </c>
      <c r="B6102">
        <v>2019</v>
      </c>
      <c r="C6102" t="s">
        <v>38</v>
      </c>
      <c r="D6102" t="s">
        <v>28</v>
      </c>
      <c r="E6102" t="e">
        <f>VLOOKUP(Cpi_[[#This Row],[Attribute]],#REF!,2,FALSE)</f>
        <v>#REF!</v>
      </c>
      <c r="F6102">
        <v>142.9</v>
      </c>
      <c r="G6102">
        <f>(Cpi_[[#This Row],[Value]]-F6101)/F6101</f>
        <v>6.7214339058999248E-2</v>
      </c>
      <c r="H6102" t="e" cm="1" vm="1">
        <f t="array" aca="1" ref="H6102" ca="1">VLOOKUP(Cpi_[[#This Row],[Year]:[Month]],crudeoil[],3,FALSE)</f>
        <v>#VALUE!</v>
      </c>
    </row>
    <row r="6103" spans="1:8" hidden="1" x14ac:dyDescent="0.3">
      <c r="A6103" t="s">
        <v>30</v>
      </c>
      <c r="B6103">
        <v>2019</v>
      </c>
      <c r="C6103" t="s">
        <v>38</v>
      </c>
      <c r="D6103" t="s">
        <v>29</v>
      </c>
      <c r="E6103" t="e" cm="1">
        <f t="array" aca="1" ref="E6103" ca="1">VLGeneral indexGeneral indexKUP(Cpi_[[#This Row],[Attribute]],#REF!,2,FALSE)</f>
        <v>#NAME?</v>
      </c>
      <c r="F6103">
        <v>142.4</v>
      </c>
      <c r="G6103">
        <f>(Cpi_[[#This Row],[Value]]-F6102)/F6102</f>
        <v>-3.4989503149055281E-3</v>
      </c>
      <c r="H6103" t="e" cm="1" vm="1">
        <f t="array" aca="1" ref="H6103" ca="1">VLOOKUP(Cpi_[[#This Row],[Year]:[Month]],crudeoil[],3,FALSE)</f>
        <v>#VALUE!</v>
      </c>
    </row>
    <row r="6104" spans="1:8" hidden="1" x14ac:dyDescent="0.3">
      <c r="A6104" t="s">
        <v>33</v>
      </c>
      <c r="B6104">
        <v>2019</v>
      </c>
      <c r="C6104" t="s">
        <v>38</v>
      </c>
      <c r="D6104" t="s">
        <v>3</v>
      </c>
      <c r="E6104" t="e">
        <f>VLOOKUP(Cpi_[[#This Row],[Attribute]],#REF!,2,FALSE)</f>
        <v>#REF!</v>
      </c>
      <c r="F6104">
        <v>140.4</v>
      </c>
      <c r="G6104">
        <f>(Cpi_[[#This Row],[Value]]-F6103)/F6103</f>
        <v>-1.4044943820224719E-2</v>
      </c>
      <c r="H6104" t="e" cm="1" vm="1">
        <f t="array" aca="1" ref="H6104" ca="1">VLOOKUP(Cpi_[[#This Row],[Year]:[Month]],crudeoil[],3,FALSE)</f>
        <v>#VALUE!</v>
      </c>
    </row>
    <row r="6105" spans="1:8" hidden="1" x14ac:dyDescent="0.3">
      <c r="A6105" t="s">
        <v>33</v>
      </c>
      <c r="B6105">
        <v>2019</v>
      </c>
      <c r="C6105" t="s">
        <v>38</v>
      </c>
      <c r="D6105" t="s">
        <v>4</v>
      </c>
      <c r="E6105" t="e">
        <f>VLOOKUP(Cpi_[[#This Row],[Attribute]],#REF!,2,FALSE)</f>
        <v>#REF!</v>
      </c>
      <c r="F6105">
        <v>156.69999999999999</v>
      </c>
      <c r="G6105">
        <f>(Cpi_[[#This Row],[Value]]-F6104)/F6104</f>
        <v>0.11609686609686597</v>
      </c>
      <c r="H6105" t="e" cm="1" vm="1">
        <f t="array" aca="1" ref="H6105" ca="1">VLOOKUP(Cpi_[[#This Row],[Year]:[Month]],crudeoil[],3,FALSE)</f>
        <v>#VALUE!</v>
      </c>
    </row>
    <row r="6106" spans="1:8" hidden="1" x14ac:dyDescent="0.3">
      <c r="A6106" t="s">
        <v>33</v>
      </c>
      <c r="B6106">
        <v>2019</v>
      </c>
      <c r="C6106" t="s">
        <v>38</v>
      </c>
      <c r="D6106" t="s">
        <v>5</v>
      </c>
      <c r="E6106" t="e">
        <f>VLOOKUP(Cpi_[[#This Row],[Attribute]],#REF!,2,FALSE)</f>
        <v>#REF!</v>
      </c>
      <c r="F6106">
        <v>138.30000000000001</v>
      </c>
      <c r="G6106">
        <f>(Cpi_[[#This Row],[Value]]-F6105)/F6105</f>
        <v>-0.11742182514358633</v>
      </c>
      <c r="H6106" t="e" cm="1" vm="1">
        <f t="array" aca="1" ref="H6106" ca="1">VLOOKUP(Cpi_[[#This Row],[Year]:[Month]],crudeoil[],3,FALSE)</f>
        <v>#VALUE!</v>
      </c>
    </row>
    <row r="6107" spans="1:8" hidden="1" x14ac:dyDescent="0.3">
      <c r="A6107" t="s">
        <v>33</v>
      </c>
      <c r="B6107">
        <v>2019</v>
      </c>
      <c r="C6107" t="s">
        <v>38</v>
      </c>
      <c r="D6107" t="s">
        <v>6</v>
      </c>
      <c r="E6107" t="e">
        <f>VLOOKUP(Cpi_[[#This Row],[Attribute]],#REF!,2,FALSE)</f>
        <v>#REF!</v>
      </c>
      <c r="F6107">
        <v>142.4</v>
      </c>
      <c r="G6107">
        <f>(Cpi_[[#This Row],[Value]]-F6106)/F6106</f>
        <v>2.964569775849598E-2</v>
      </c>
      <c r="H6107" t="e" cm="1" vm="1">
        <f t="array" aca="1" ref="H6107" ca="1">VLOOKUP(Cpi_[[#This Row],[Year]:[Month]],crudeoil[],3,FALSE)</f>
        <v>#VALUE!</v>
      </c>
    </row>
    <row r="6108" spans="1:8" hidden="1" x14ac:dyDescent="0.3">
      <c r="A6108" t="s">
        <v>33</v>
      </c>
      <c r="B6108">
        <v>2019</v>
      </c>
      <c r="C6108" t="s">
        <v>38</v>
      </c>
      <c r="D6108" t="s">
        <v>7</v>
      </c>
      <c r="E6108" t="e">
        <f>VLOOKUP(Cpi_[[#This Row],[Attribute]],#REF!,2,FALSE)</f>
        <v>#REF!</v>
      </c>
      <c r="F6108">
        <v>118.6</v>
      </c>
      <c r="G6108">
        <f>(Cpi_[[#This Row],[Value]]-F6107)/F6107</f>
        <v>-0.16713483146067423</v>
      </c>
      <c r="H6108" t="e" cm="1" vm="1">
        <f t="array" aca="1" ref="H6108" ca="1">VLOOKUP(Cpi_[[#This Row],[Year]:[Month]],crudeoil[],3,FALSE)</f>
        <v>#VALUE!</v>
      </c>
    </row>
    <row r="6109" spans="1:8" hidden="1" x14ac:dyDescent="0.3">
      <c r="A6109" t="s">
        <v>33</v>
      </c>
      <c r="B6109">
        <v>2019</v>
      </c>
      <c r="C6109" t="s">
        <v>38</v>
      </c>
      <c r="D6109" t="s">
        <v>8</v>
      </c>
      <c r="E6109" t="e">
        <f>VLOOKUP(Cpi_[[#This Row],[Attribute]],#REF!,2,FALSE)</f>
        <v>#REF!</v>
      </c>
      <c r="F6109">
        <v>149.69999999999999</v>
      </c>
      <c r="G6109">
        <f>(Cpi_[[#This Row],[Value]]-F6108)/F6108</f>
        <v>0.26222596964586842</v>
      </c>
      <c r="H6109" t="e" cm="1" vm="1">
        <f t="array" aca="1" ref="H6109" ca="1">VLOOKUP(Cpi_[[#This Row],[Year]:[Month]],crudeoil[],3,FALSE)</f>
        <v>#VALUE!</v>
      </c>
    </row>
    <row r="6110" spans="1:8" hidden="1" x14ac:dyDescent="0.3">
      <c r="A6110" t="s">
        <v>33</v>
      </c>
      <c r="B6110">
        <v>2019</v>
      </c>
      <c r="C6110" t="s">
        <v>38</v>
      </c>
      <c r="D6110" t="s">
        <v>9</v>
      </c>
      <c r="E6110" t="e">
        <f>VLOOKUP(Cpi_[[#This Row],[Attribute]],#REF!,2,FALSE)</f>
        <v>#REF!</v>
      </c>
      <c r="F6110">
        <v>161.6</v>
      </c>
      <c r="G6110">
        <f>(Cpi_[[#This Row],[Value]]-F6109)/F6109</f>
        <v>7.949231796927192E-2</v>
      </c>
      <c r="H6110" t="e" cm="1" vm="1">
        <f t="array" aca="1" ref="H6110" ca="1">VLOOKUP(Cpi_[[#This Row],[Year]:[Month]],crudeoil[],3,FALSE)</f>
        <v>#VALUE!</v>
      </c>
    </row>
    <row r="6111" spans="1:8" hidden="1" x14ac:dyDescent="0.3">
      <c r="A6111" t="s">
        <v>33</v>
      </c>
      <c r="B6111">
        <v>2019</v>
      </c>
      <c r="C6111" t="s">
        <v>38</v>
      </c>
      <c r="D6111" t="s">
        <v>10</v>
      </c>
      <c r="E6111" t="e">
        <f>VLOOKUP(Cpi_[[#This Row],[Attribute]],#REF!,2,FALSE)</f>
        <v>#REF!</v>
      </c>
      <c r="F6111">
        <v>124.4</v>
      </c>
      <c r="G6111">
        <f>(Cpi_[[#This Row],[Value]]-F6110)/F6110</f>
        <v>-0.23019801980198012</v>
      </c>
      <c r="H6111" t="e" cm="1" vm="1">
        <f t="array" aca="1" ref="H6111" ca="1">VLOOKUP(Cpi_[[#This Row],[Year]:[Month]],crudeoil[],3,FALSE)</f>
        <v>#VALUE!</v>
      </c>
    </row>
    <row r="6112" spans="1:8" hidden="1" x14ac:dyDescent="0.3">
      <c r="A6112" t="s">
        <v>33</v>
      </c>
      <c r="B6112">
        <v>2019</v>
      </c>
      <c r="C6112" t="s">
        <v>38</v>
      </c>
      <c r="D6112" t="s">
        <v>11</v>
      </c>
      <c r="E6112" t="e">
        <f>VLOOKUP(Cpi_[[#This Row],[Attribute]],#REF!,2,FALSE)</f>
        <v>#REF!</v>
      </c>
      <c r="F6112">
        <v>111.2</v>
      </c>
      <c r="G6112">
        <f>(Cpi_[[#This Row],[Value]]-F6111)/F6111</f>
        <v>-0.10610932475884247</v>
      </c>
      <c r="H6112" t="e" cm="1" vm="1">
        <f t="array" aca="1" ref="H6112" ca="1">VLOOKUP(Cpi_[[#This Row],[Year]:[Month]],crudeoil[],3,FALSE)</f>
        <v>#VALUE!</v>
      </c>
    </row>
    <row r="6113" spans="1:8" hidden="1" x14ac:dyDescent="0.3">
      <c r="A6113" t="s">
        <v>33</v>
      </c>
      <c r="B6113">
        <v>2019</v>
      </c>
      <c r="C6113" t="s">
        <v>38</v>
      </c>
      <c r="D6113" t="s">
        <v>12</v>
      </c>
      <c r="E6113" t="e">
        <f>VLOOKUP(Cpi_[[#This Row],[Attribute]],#REF!,2,FALSE)</f>
        <v>#REF!</v>
      </c>
      <c r="F6113">
        <v>141</v>
      </c>
      <c r="G6113">
        <f>(Cpi_[[#This Row],[Value]]-F6112)/F6112</f>
        <v>0.26798561151079131</v>
      </c>
      <c r="H6113" t="e" cm="1" vm="1">
        <f t="array" aca="1" ref="H6113" ca="1">VLOOKUP(Cpi_[[#This Row],[Year]:[Month]],crudeoil[],3,FALSE)</f>
        <v>#VALUE!</v>
      </c>
    </row>
    <row r="6114" spans="1:8" hidden="1" x14ac:dyDescent="0.3">
      <c r="A6114" t="s">
        <v>33</v>
      </c>
      <c r="B6114">
        <v>2019</v>
      </c>
      <c r="C6114" t="s">
        <v>38</v>
      </c>
      <c r="D6114" t="s">
        <v>13</v>
      </c>
      <c r="E6114" t="e">
        <f>VLOOKUP(Cpi_[[#This Row],[Attribute]],#REF!,2,FALSE)</f>
        <v>#REF!</v>
      </c>
      <c r="F6114">
        <v>128.9</v>
      </c>
      <c r="G6114">
        <f>(Cpi_[[#This Row],[Value]]-F6113)/F6113</f>
        <v>-8.581560283687939E-2</v>
      </c>
      <c r="H6114" t="e" cm="1" vm="1">
        <f t="array" aca="1" ref="H6114" ca="1">VLOOKUP(Cpi_[[#This Row],[Year]:[Month]],crudeoil[],3,FALSE)</f>
        <v>#VALUE!</v>
      </c>
    </row>
    <row r="6115" spans="1:8" hidden="1" x14ac:dyDescent="0.3">
      <c r="A6115" t="s">
        <v>33</v>
      </c>
      <c r="B6115">
        <v>2019</v>
      </c>
      <c r="C6115" t="s">
        <v>38</v>
      </c>
      <c r="D6115" t="s">
        <v>14</v>
      </c>
      <c r="E6115" t="e">
        <f>VLOOKUP(Cpi_[[#This Row],[Attribute]],#REF!,2,FALSE)</f>
        <v>#REF!</v>
      </c>
      <c r="F6115">
        <v>154.5</v>
      </c>
      <c r="G6115">
        <f>(Cpi_[[#This Row],[Value]]-F6114)/F6114</f>
        <v>0.19860356865787426</v>
      </c>
      <c r="H6115" t="e" cm="1" vm="1">
        <f t="array" aca="1" ref="H6115" ca="1">VLOOKUP(Cpi_[[#This Row],[Year]:[Month]],crudeoil[],3,FALSE)</f>
        <v>#VALUE!</v>
      </c>
    </row>
    <row r="6116" spans="1:8" hidden="1" x14ac:dyDescent="0.3">
      <c r="A6116" t="s">
        <v>33</v>
      </c>
      <c r="B6116">
        <v>2019</v>
      </c>
      <c r="C6116" t="s">
        <v>38</v>
      </c>
      <c r="D6116" t="s">
        <v>15</v>
      </c>
      <c r="E6116" t="e">
        <f>VLOOKUP(Cpi_[[#This Row],[Attribute]],#REF!,2,FALSE)</f>
        <v>#REF!</v>
      </c>
      <c r="F6116">
        <v>143.80000000000001</v>
      </c>
      <c r="G6116">
        <f>(Cpi_[[#This Row],[Value]]-F6115)/F6115</f>
        <v>-6.9255663430420639E-2</v>
      </c>
      <c r="H6116" t="e" cm="1" vm="1">
        <f t="array" aca="1" ref="H6116" ca="1">VLOOKUP(Cpi_[[#This Row],[Year]:[Month]],crudeoil[],3,FALSE)</f>
        <v>#VALUE!</v>
      </c>
    </row>
    <row r="6117" spans="1:8" hidden="1" x14ac:dyDescent="0.3">
      <c r="A6117" t="s">
        <v>33</v>
      </c>
      <c r="B6117">
        <v>2019</v>
      </c>
      <c r="C6117" t="s">
        <v>38</v>
      </c>
      <c r="D6117" t="s">
        <v>16</v>
      </c>
      <c r="E6117" t="e">
        <f>VLOOKUP(Cpi_[[#This Row],[Attribute]],#REF!,2,FALSE)</f>
        <v>#REF!</v>
      </c>
      <c r="F6117">
        <v>166.2</v>
      </c>
      <c r="G6117">
        <f>(Cpi_[[#This Row],[Value]]-F6116)/F6116</f>
        <v>0.15577190542420011</v>
      </c>
      <c r="H6117" t="e" cm="1" vm="1">
        <f t="array" aca="1" ref="H6117" ca="1">VLOOKUP(Cpi_[[#This Row],[Year]:[Month]],crudeoil[],3,FALSE)</f>
        <v>#VALUE!</v>
      </c>
    </row>
    <row r="6118" spans="1:8" hidden="1" x14ac:dyDescent="0.3">
      <c r="A6118" t="s">
        <v>33</v>
      </c>
      <c r="B6118">
        <v>2019</v>
      </c>
      <c r="C6118" t="s">
        <v>38</v>
      </c>
      <c r="D6118" t="s">
        <v>17</v>
      </c>
      <c r="E6118" t="e">
        <f>VLOOKUP(Cpi_[[#This Row],[Attribute]],#REF!,2,FALSE)</f>
        <v>#REF!</v>
      </c>
      <c r="F6118">
        <v>144</v>
      </c>
      <c r="G6118">
        <f>(Cpi_[[#This Row],[Value]]-F6117)/F6117</f>
        <v>-0.13357400722021653</v>
      </c>
      <c r="H6118" t="e" cm="1" vm="1">
        <f t="array" aca="1" ref="H6118" ca="1">VLOOKUP(Cpi_[[#This Row],[Year]:[Month]],crudeoil[],3,FALSE)</f>
        <v>#VALUE!</v>
      </c>
    </row>
    <row r="6119" spans="1:8" hidden="1" x14ac:dyDescent="0.3">
      <c r="A6119" t="s">
        <v>33</v>
      </c>
      <c r="B6119">
        <v>2019</v>
      </c>
      <c r="C6119" t="s">
        <v>38</v>
      </c>
      <c r="D6119" t="s">
        <v>18</v>
      </c>
      <c r="E6119" t="e">
        <f>VLOOKUP(Cpi_[[#This Row],[Attribute]],#REF!,2,FALSE)</f>
        <v>#REF!</v>
      </c>
      <c r="F6119">
        <v>131.69999999999999</v>
      </c>
      <c r="G6119">
        <f>(Cpi_[[#This Row],[Value]]-F6118)/F6118</f>
        <v>-8.5416666666666752E-2</v>
      </c>
      <c r="H6119" t="e" cm="1" vm="1">
        <f t="array" aca="1" ref="H6119" ca="1">VLOOKUP(Cpi_[[#This Row],[Year]:[Month]],crudeoil[],3,FALSE)</f>
        <v>#VALUE!</v>
      </c>
    </row>
    <row r="6120" spans="1:8" hidden="1" x14ac:dyDescent="0.3">
      <c r="A6120" t="s">
        <v>33</v>
      </c>
      <c r="B6120">
        <v>2019</v>
      </c>
      <c r="C6120" t="s">
        <v>38</v>
      </c>
      <c r="D6120" t="s">
        <v>19</v>
      </c>
      <c r="E6120" t="e">
        <f>VLOOKUP(Cpi_[[#This Row],[Attribute]],#REF!,2,FALSE)</f>
        <v>#REF!</v>
      </c>
      <c r="F6120">
        <v>142.19999999999999</v>
      </c>
      <c r="G6120">
        <f>(Cpi_[[#This Row],[Value]]-F6119)/F6119</f>
        <v>7.9726651480637817E-2</v>
      </c>
      <c r="H6120" t="e" cm="1" vm="1">
        <f t="array" aca="1" ref="H6120" ca="1">VLOOKUP(Cpi_[[#This Row],[Year]:[Month]],crudeoil[],3,FALSE)</f>
        <v>#VALUE!</v>
      </c>
    </row>
    <row r="6121" spans="1:8" hidden="1" x14ac:dyDescent="0.3">
      <c r="A6121" t="s">
        <v>33</v>
      </c>
      <c r="B6121">
        <v>2019</v>
      </c>
      <c r="C6121" t="s">
        <v>38</v>
      </c>
      <c r="D6121" t="s">
        <v>20</v>
      </c>
      <c r="E6121" t="e">
        <f>VLOOKUP(Cpi_[[#This Row],[Attribute]],#REF!,2,FALSE)</f>
        <v>#REF!</v>
      </c>
      <c r="F6121">
        <v>150.1</v>
      </c>
      <c r="G6121">
        <f>(Cpi_[[#This Row],[Value]]-F6120)/F6120</f>
        <v>5.5555555555555601E-2</v>
      </c>
      <c r="H6121" t="e" cm="1" vm="1">
        <f t="array" aca="1" ref="H6121" ca="1">VLOOKUP(Cpi_[[#This Row],[Year]:[Month]],crudeoil[],3,FALSE)</f>
        <v>#VALUE!</v>
      </c>
    </row>
    <row r="6122" spans="1:8" hidden="1" x14ac:dyDescent="0.3">
      <c r="A6122" t="s">
        <v>33</v>
      </c>
      <c r="B6122">
        <v>2019</v>
      </c>
      <c r="C6122" t="s">
        <v>38</v>
      </c>
      <c r="D6122" t="s">
        <v>21</v>
      </c>
      <c r="E6122" t="e">
        <f>VLOOKUP(Cpi_[[#This Row],[Attribute]],#REF!,2,FALSE)</f>
        <v>#REF!</v>
      </c>
      <c r="F6122">
        <v>129.4</v>
      </c>
      <c r="G6122">
        <f>(Cpi_[[#This Row],[Value]]-F6121)/F6121</f>
        <v>-0.13790806129247163</v>
      </c>
      <c r="H6122" t="e" cm="1" vm="1">
        <f t="array" aca="1" ref="H6122" ca="1">VLOOKUP(Cpi_[[#This Row],[Year]:[Month]],crudeoil[],3,FALSE)</f>
        <v>#VALUE!</v>
      </c>
    </row>
    <row r="6123" spans="1:8" hidden="1" x14ac:dyDescent="0.3">
      <c r="A6123" t="s">
        <v>33</v>
      </c>
      <c r="B6123">
        <v>2019</v>
      </c>
      <c r="C6123" t="s">
        <v>38</v>
      </c>
      <c r="D6123" t="s">
        <v>22</v>
      </c>
      <c r="E6123" t="e">
        <f>VLOOKUP(Cpi_[[#This Row],[Attribute]],#REF!,2,FALSE)</f>
        <v>#REF!</v>
      </c>
      <c r="F6123">
        <v>137.19999999999999</v>
      </c>
      <c r="G6123">
        <f>(Cpi_[[#This Row],[Value]]-F6122)/F6122</f>
        <v>6.0278207109737116E-2</v>
      </c>
      <c r="H6123" t="e" cm="1" vm="1">
        <f t="array" aca="1" ref="H6123" ca="1">VLOOKUP(Cpi_[[#This Row],[Year]:[Month]],crudeoil[],3,FALSE)</f>
        <v>#VALUE!</v>
      </c>
    </row>
    <row r="6124" spans="1:8" hidden="1" x14ac:dyDescent="0.3">
      <c r="A6124" t="s">
        <v>33</v>
      </c>
      <c r="B6124">
        <v>2019</v>
      </c>
      <c r="C6124" t="s">
        <v>38</v>
      </c>
      <c r="D6124" t="s">
        <v>23</v>
      </c>
      <c r="E6124" t="e">
        <f>VLOOKUP(Cpi_[[#This Row],[Attribute]],#REF!,2,FALSE)</f>
        <v>#REF!</v>
      </c>
      <c r="F6124">
        <v>139.80000000000001</v>
      </c>
      <c r="G6124">
        <f>(Cpi_[[#This Row],[Value]]-F6123)/F6123</f>
        <v>1.8950437317784424E-2</v>
      </c>
      <c r="H6124" t="e" cm="1" vm="1">
        <f t="array" aca="1" ref="H6124" ca="1">VLOOKUP(Cpi_[[#This Row],[Year]:[Month]],crudeoil[],3,FALSE)</f>
        <v>#VALUE!</v>
      </c>
    </row>
    <row r="6125" spans="1:8" hidden="1" x14ac:dyDescent="0.3">
      <c r="A6125" t="s">
        <v>33</v>
      </c>
      <c r="B6125">
        <v>2019</v>
      </c>
      <c r="C6125" t="s">
        <v>38</v>
      </c>
      <c r="D6125" t="s">
        <v>24</v>
      </c>
      <c r="E6125" t="e">
        <f>VLOOKUP(Cpi_[[#This Row],[Attribute]],#REF!,2,FALSE)</f>
        <v>#REF!</v>
      </c>
      <c r="F6125">
        <v>120.1</v>
      </c>
      <c r="G6125">
        <f>(Cpi_[[#This Row],[Value]]-F6124)/F6124</f>
        <v>-0.14091559370529338</v>
      </c>
      <c r="H6125" t="e" cm="1" vm="1">
        <f t="array" aca="1" ref="H6125" ca="1">VLOOKUP(Cpi_[[#This Row],[Year]:[Month]],crudeoil[],3,FALSE)</f>
        <v>#VALUE!</v>
      </c>
    </row>
    <row r="6126" spans="1:8" hidden="1" x14ac:dyDescent="0.3">
      <c r="A6126" t="s">
        <v>33</v>
      </c>
      <c r="B6126">
        <v>2019</v>
      </c>
      <c r="C6126" t="s">
        <v>38</v>
      </c>
      <c r="D6126" t="s">
        <v>25</v>
      </c>
      <c r="E6126" t="e">
        <f>VLOOKUP(Cpi_[[#This Row],[Attribute]],#REF!,2,FALSE)</f>
        <v>#REF!</v>
      </c>
      <c r="F6126">
        <v>134</v>
      </c>
      <c r="G6126">
        <f>(Cpi_[[#This Row],[Value]]-F6125)/F6125</f>
        <v>0.11573688592839305</v>
      </c>
      <c r="H6126" t="e" cm="1" vm="1">
        <f t="array" aca="1" ref="H6126" ca="1">VLOOKUP(Cpi_[[#This Row],[Year]:[Month]],crudeoil[],3,FALSE)</f>
        <v>#VALUE!</v>
      </c>
    </row>
    <row r="6127" spans="1:8" hidden="1" x14ac:dyDescent="0.3">
      <c r="A6127" t="s">
        <v>33</v>
      </c>
      <c r="B6127">
        <v>2019</v>
      </c>
      <c r="C6127" t="s">
        <v>38</v>
      </c>
      <c r="D6127" t="s">
        <v>26</v>
      </c>
      <c r="E6127" t="e">
        <f>VLOOKUP(Cpi_[[#This Row],[Attribute]],#REF!,2,FALSE)</f>
        <v>#REF!</v>
      </c>
      <c r="F6127">
        <v>148</v>
      </c>
      <c r="G6127">
        <f>(Cpi_[[#This Row],[Value]]-F6126)/F6126</f>
        <v>0.1044776119402985</v>
      </c>
      <c r="H6127" t="e" cm="1" vm="1">
        <f t="array" aca="1" ref="H6127" ca="1">VLOOKUP(Cpi_[[#This Row],[Year]:[Month]],crudeoil[],3,FALSE)</f>
        <v>#VALUE!</v>
      </c>
    </row>
    <row r="6128" spans="1:8" hidden="1" x14ac:dyDescent="0.3">
      <c r="A6128" t="s">
        <v>33</v>
      </c>
      <c r="B6128">
        <v>2019</v>
      </c>
      <c r="C6128" t="s">
        <v>38</v>
      </c>
      <c r="D6128" t="s">
        <v>27</v>
      </c>
      <c r="E6128" t="e">
        <f>VLOOKUP(Cpi_[[#This Row],[Attribute]],#REF!,2,FALSE)</f>
        <v>#REF!</v>
      </c>
      <c r="F6128">
        <v>132.6</v>
      </c>
      <c r="G6128">
        <f>(Cpi_[[#This Row],[Value]]-F6127)/F6127</f>
        <v>-0.10405405405405409</v>
      </c>
      <c r="H6128" t="e" cm="1" vm="1">
        <f t="array" aca="1" ref="H6128" ca="1">VLOOKUP(Cpi_[[#This Row],[Year]:[Month]],crudeoil[],3,FALSE)</f>
        <v>#VALUE!</v>
      </c>
    </row>
    <row r="6129" spans="1:8" hidden="1" x14ac:dyDescent="0.3">
      <c r="A6129" t="s">
        <v>33</v>
      </c>
      <c r="B6129">
        <v>2019</v>
      </c>
      <c r="C6129" t="s">
        <v>38</v>
      </c>
      <c r="D6129" t="s">
        <v>28</v>
      </c>
      <c r="E6129" t="e">
        <f>VLOOKUP(Cpi_[[#This Row],[Attribute]],#REF!,2,FALSE)</f>
        <v>#REF!</v>
      </c>
      <c r="F6129">
        <v>133.30000000000001</v>
      </c>
      <c r="G6129">
        <f>(Cpi_[[#This Row],[Value]]-F6128)/F6128</f>
        <v>5.2790346907995254E-3</v>
      </c>
      <c r="H6129" t="e" cm="1" vm="1">
        <f t="array" aca="1" ref="H6129" ca="1">VLOOKUP(Cpi_[[#This Row],[Year]:[Month]],crudeoil[],3,FALSE)</f>
        <v>#VALUE!</v>
      </c>
    </row>
    <row r="6130" spans="1:8" hidden="1" x14ac:dyDescent="0.3">
      <c r="A6130" t="s">
        <v>33</v>
      </c>
      <c r="B6130">
        <v>2019</v>
      </c>
      <c r="C6130" t="s">
        <v>38</v>
      </c>
      <c r="D6130" t="s">
        <v>29</v>
      </c>
      <c r="E6130" t="e" cm="1">
        <f t="array" aca="1" ref="E6130" ca="1">VLGeneral indexGeneral indexKUP(Cpi_[[#This Row],[Attribute]],#REF!,2,FALSE)</f>
        <v>#NAME?</v>
      </c>
      <c r="F6130">
        <v>141.5</v>
      </c>
      <c r="G6130">
        <f>(Cpi_[[#This Row],[Value]]-F6129)/F6129</f>
        <v>6.1515378844711088E-2</v>
      </c>
      <c r="H6130" t="e" cm="1" vm="1">
        <f t="array" aca="1" ref="H6130" ca="1">VLOOKUP(Cpi_[[#This Row],[Year]:[Month]],crudeoil[],3,FALSE)</f>
        <v>#VALUE!</v>
      </c>
    </row>
    <row r="6131" spans="1:8" hidden="1" x14ac:dyDescent="0.3">
      <c r="A6131" t="s">
        <v>34</v>
      </c>
      <c r="B6131">
        <v>2019</v>
      </c>
      <c r="C6131" t="s">
        <v>38</v>
      </c>
      <c r="D6131" t="s">
        <v>3</v>
      </c>
      <c r="E6131" t="e">
        <f>VLOOKUP(Cpi_[[#This Row],[Attribute]],#REF!,2,FALSE)</f>
        <v>#REF!</v>
      </c>
      <c r="F6131">
        <v>138.30000000000001</v>
      </c>
      <c r="G6131">
        <f>(Cpi_[[#This Row],[Value]]-F6130)/F6130</f>
        <v>-2.2614840989399213E-2</v>
      </c>
      <c r="H6131" t="e" cm="1" vm="1">
        <f t="array" aca="1" ref="H6131" ca="1">VLOOKUP(Cpi_[[#This Row],[Year]:[Month]],crudeoil[],3,FALSE)</f>
        <v>#VALUE!</v>
      </c>
    </row>
    <row r="6132" spans="1:8" hidden="1" x14ac:dyDescent="0.3">
      <c r="A6132" t="s">
        <v>34</v>
      </c>
      <c r="B6132">
        <v>2019</v>
      </c>
      <c r="C6132" t="s">
        <v>38</v>
      </c>
      <c r="D6132" t="s">
        <v>4</v>
      </c>
      <c r="E6132" t="e">
        <f>VLOOKUP(Cpi_[[#This Row],[Attribute]],#REF!,2,FALSE)</f>
        <v>#REF!</v>
      </c>
      <c r="F6132">
        <v>158.5</v>
      </c>
      <c r="G6132">
        <f>(Cpi_[[#This Row],[Value]]-F6131)/F6131</f>
        <v>0.1460592913955169</v>
      </c>
      <c r="H6132" t="e" cm="1" vm="1">
        <f t="array" aca="1" ref="H6132" ca="1">VLOOKUP(Cpi_[[#This Row],[Year]:[Month]],crudeoil[],3,FALSE)</f>
        <v>#VALUE!</v>
      </c>
    </row>
    <row r="6133" spans="1:8" hidden="1" x14ac:dyDescent="0.3">
      <c r="A6133" t="s">
        <v>34</v>
      </c>
      <c r="B6133">
        <v>2019</v>
      </c>
      <c r="C6133" t="s">
        <v>38</v>
      </c>
      <c r="D6133" t="s">
        <v>5</v>
      </c>
      <c r="E6133" t="e">
        <f>VLOOKUP(Cpi_[[#This Row],[Attribute]],#REF!,2,FALSE)</f>
        <v>#REF!</v>
      </c>
      <c r="F6133">
        <v>136</v>
      </c>
      <c r="G6133">
        <f>(Cpi_[[#This Row],[Value]]-F6132)/F6132</f>
        <v>-0.14195583596214512</v>
      </c>
      <c r="H6133" t="e" cm="1" vm="1">
        <f t="array" aca="1" ref="H6133" ca="1">VLOOKUP(Cpi_[[#This Row],[Year]:[Month]],crudeoil[],3,FALSE)</f>
        <v>#VALUE!</v>
      </c>
    </row>
    <row r="6134" spans="1:8" hidden="1" x14ac:dyDescent="0.3">
      <c r="A6134" t="s">
        <v>34</v>
      </c>
      <c r="B6134">
        <v>2019</v>
      </c>
      <c r="C6134" t="s">
        <v>38</v>
      </c>
      <c r="D6134" t="s">
        <v>6</v>
      </c>
      <c r="E6134" t="e">
        <f>VLOOKUP(Cpi_[[#This Row],[Attribute]],#REF!,2,FALSE)</f>
        <v>#REF!</v>
      </c>
      <c r="F6134">
        <v>142.5</v>
      </c>
      <c r="G6134">
        <f>(Cpi_[[#This Row],[Value]]-F6133)/F6133</f>
        <v>4.779411764705882E-2</v>
      </c>
      <c r="H6134" t="e" cm="1" vm="1">
        <f t="array" aca="1" ref="H6134" ca="1">VLOOKUP(Cpi_[[#This Row],[Year]:[Month]],crudeoil[],3,FALSE)</f>
        <v>#VALUE!</v>
      </c>
    </row>
    <row r="6135" spans="1:8" hidden="1" x14ac:dyDescent="0.3">
      <c r="A6135" t="s">
        <v>34</v>
      </c>
      <c r="B6135">
        <v>2019</v>
      </c>
      <c r="C6135" t="s">
        <v>38</v>
      </c>
      <c r="D6135" t="s">
        <v>7</v>
      </c>
      <c r="E6135" t="e">
        <f>VLOOKUP(Cpi_[[#This Row],[Attribute]],#REF!,2,FALSE)</f>
        <v>#REF!</v>
      </c>
      <c r="F6135">
        <v>122</v>
      </c>
      <c r="G6135">
        <f>(Cpi_[[#This Row],[Value]]-F6134)/F6134</f>
        <v>-0.14385964912280702</v>
      </c>
      <c r="H6135" t="e" cm="1" vm="1">
        <f t="array" aca="1" ref="H6135" ca="1">VLOOKUP(Cpi_[[#This Row],[Year]:[Month]],crudeoil[],3,FALSE)</f>
        <v>#VALUE!</v>
      </c>
    </row>
    <row r="6136" spans="1:8" hidden="1" x14ac:dyDescent="0.3">
      <c r="A6136" t="s">
        <v>34</v>
      </c>
      <c r="B6136">
        <v>2019</v>
      </c>
      <c r="C6136" t="s">
        <v>38</v>
      </c>
      <c r="D6136" t="s">
        <v>8</v>
      </c>
      <c r="E6136" t="e">
        <f>VLOOKUP(Cpi_[[#This Row],[Attribute]],#REF!,2,FALSE)</f>
        <v>#REF!</v>
      </c>
      <c r="F6136">
        <v>146.5</v>
      </c>
      <c r="G6136">
        <f>(Cpi_[[#This Row],[Value]]-F6135)/F6135</f>
        <v>0.20081967213114754</v>
      </c>
      <c r="H6136" t="e" cm="1" vm="1">
        <f t="array" aca="1" ref="H6136" ca="1">VLOOKUP(Cpi_[[#This Row],[Year]:[Month]],crudeoil[],3,FALSE)</f>
        <v>#VALUE!</v>
      </c>
    </row>
    <row r="6137" spans="1:8" hidden="1" x14ac:dyDescent="0.3">
      <c r="A6137" t="s">
        <v>34</v>
      </c>
      <c r="B6137">
        <v>2019</v>
      </c>
      <c r="C6137" t="s">
        <v>38</v>
      </c>
      <c r="D6137" t="s">
        <v>9</v>
      </c>
      <c r="E6137" t="e">
        <f>VLOOKUP(Cpi_[[#This Row],[Attribute]],#REF!,2,FALSE)</f>
        <v>#REF!</v>
      </c>
      <c r="F6137">
        <v>143</v>
      </c>
      <c r="G6137">
        <f>(Cpi_[[#This Row],[Value]]-F6136)/F6136</f>
        <v>-2.3890784982935155E-2</v>
      </c>
      <c r="H6137" t="e" cm="1" vm="1">
        <f t="array" aca="1" ref="H6137" ca="1">VLOOKUP(Cpi_[[#This Row],[Year]:[Month]],crudeoil[],3,FALSE)</f>
        <v>#VALUE!</v>
      </c>
    </row>
    <row r="6138" spans="1:8" hidden="1" x14ac:dyDescent="0.3">
      <c r="A6138" t="s">
        <v>34</v>
      </c>
      <c r="B6138">
        <v>2019</v>
      </c>
      <c r="C6138" t="s">
        <v>38</v>
      </c>
      <c r="D6138" t="s">
        <v>10</v>
      </c>
      <c r="E6138" t="e">
        <f>VLOOKUP(Cpi_[[#This Row],[Attribute]],#REF!,2,FALSE)</f>
        <v>#REF!</v>
      </c>
      <c r="F6138">
        <v>124.9</v>
      </c>
      <c r="G6138">
        <f>(Cpi_[[#This Row],[Value]]-F6137)/F6137</f>
        <v>-0.12657342657342655</v>
      </c>
      <c r="H6138" t="e" cm="1" vm="1">
        <f t="array" aca="1" ref="H6138" ca="1">VLOOKUP(Cpi_[[#This Row],[Year]:[Month]],crudeoil[],3,FALSE)</f>
        <v>#VALUE!</v>
      </c>
    </row>
    <row r="6139" spans="1:8" hidden="1" x14ac:dyDescent="0.3">
      <c r="A6139" t="s">
        <v>34</v>
      </c>
      <c r="B6139">
        <v>2019</v>
      </c>
      <c r="C6139" t="s">
        <v>38</v>
      </c>
      <c r="D6139" t="s">
        <v>11</v>
      </c>
      <c r="E6139" t="e">
        <f>VLOOKUP(Cpi_[[#This Row],[Attribute]],#REF!,2,FALSE)</f>
        <v>#REF!</v>
      </c>
      <c r="F6139">
        <v>109.9</v>
      </c>
      <c r="G6139">
        <f>(Cpi_[[#This Row],[Value]]-F6138)/F6138</f>
        <v>-0.12009607686148918</v>
      </c>
      <c r="H6139" t="e" cm="1" vm="1">
        <f t="array" aca="1" ref="H6139" ca="1">VLOOKUP(Cpi_[[#This Row],[Year]:[Month]],crudeoil[],3,FALSE)</f>
        <v>#VALUE!</v>
      </c>
    </row>
    <row r="6140" spans="1:8" hidden="1" x14ac:dyDescent="0.3">
      <c r="A6140" t="s">
        <v>34</v>
      </c>
      <c r="B6140">
        <v>2019</v>
      </c>
      <c r="C6140" t="s">
        <v>38</v>
      </c>
      <c r="D6140" t="s">
        <v>12</v>
      </c>
      <c r="E6140" t="e">
        <f>VLOOKUP(Cpi_[[#This Row],[Attribute]],#REF!,2,FALSE)</f>
        <v>#REF!</v>
      </c>
      <c r="F6140">
        <v>139.9</v>
      </c>
      <c r="G6140">
        <f>(Cpi_[[#This Row],[Value]]-F6139)/F6139</f>
        <v>0.27297543221110099</v>
      </c>
      <c r="H6140" t="e" cm="1" vm="1">
        <f t="array" aca="1" ref="H6140" ca="1">VLOOKUP(Cpi_[[#This Row],[Year]:[Month]],crudeoil[],3,FALSE)</f>
        <v>#VALUE!</v>
      </c>
    </row>
    <row r="6141" spans="1:8" hidden="1" x14ac:dyDescent="0.3">
      <c r="A6141" t="s">
        <v>34</v>
      </c>
      <c r="B6141">
        <v>2019</v>
      </c>
      <c r="C6141" t="s">
        <v>38</v>
      </c>
      <c r="D6141" t="s">
        <v>13</v>
      </c>
      <c r="E6141" t="e">
        <f>VLOOKUP(Cpi_[[#This Row],[Attribute]],#REF!,2,FALSE)</f>
        <v>#REF!</v>
      </c>
      <c r="F6141">
        <v>134</v>
      </c>
      <c r="G6141">
        <f>(Cpi_[[#This Row],[Value]]-F6140)/F6140</f>
        <v>-4.21729807005004E-2</v>
      </c>
      <c r="H6141" t="e" cm="1" vm="1">
        <f t="array" aca="1" ref="H6141" ca="1">VLOOKUP(Cpi_[[#This Row],[Year]:[Month]],crudeoil[],3,FALSE)</f>
        <v>#VALUE!</v>
      </c>
    </row>
    <row r="6142" spans="1:8" hidden="1" x14ac:dyDescent="0.3">
      <c r="A6142" t="s">
        <v>34</v>
      </c>
      <c r="B6142">
        <v>2019</v>
      </c>
      <c r="C6142" t="s">
        <v>38</v>
      </c>
      <c r="D6142" t="s">
        <v>14</v>
      </c>
      <c r="E6142" t="e">
        <f>VLOOKUP(Cpi_[[#This Row],[Attribute]],#REF!,2,FALSE)</f>
        <v>#REF!</v>
      </c>
      <c r="F6142">
        <v>155.5</v>
      </c>
      <c r="G6142">
        <f>(Cpi_[[#This Row],[Value]]-F6141)/F6141</f>
        <v>0.16044776119402984</v>
      </c>
      <c r="H6142" t="e" cm="1" vm="1">
        <f t="array" aca="1" ref="H6142" ca="1">VLOOKUP(Cpi_[[#This Row],[Year]:[Month]],crudeoil[],3,FALSE)</f>
        <v>#VALUE!</v>
      </c>
    </row>
    <row r="6143" spans="1:8" hidden="1" x14ac:dyDescent="0.3">
      <c r="A6143" t="s">
        <v>34</v>
      </c>
      <c r="B6143">
        <v>2019</v>
      </c>
      <c r="C6143" t="s">
        <v>38</v>
      </c>
      <c r="D6143" t="s">
        <v>15</v>
      </c>
      <c r="E6143" t="e">
        <f>VLOOKUP(Cpi_[[#This Row],[Attribute]],#REF!,2,FALSE)</f>
        <v>#REF!</v>
      </c>
      <c r="F6143">
        <v>140.9</v>
      </c>
      <c r="G6143">
        <f>(Cpi_[[#This Row],[Value]]-F6142)/F6142</f>
        <v>-9.3890675241157517E-2</v>
      </c>
      <c r="H6143" t="e" cm="1" vm="1">
        <f t="array" aca="1" ref="H6143" ca="1">VLOOKUP(Cpi_[[#This Row],[Year]:[Month]],crudeoil[],3,FALSE)</f>
        <v>#VALUE!</v>
      </c>
    </row>
    <row r="6144" spans="1:8" hidden="1" x14ac:dyDescent="0.3">
      <c r="A6144" t="s">
        <v>34</v>
      </c>
      <c r="B6144">
        <v>2019</v>
      </c>
      <c r="C6144" t="s">
        <v>38</v>
      </c>
      <c r="D6144" t="s">
        <v>16</v>
      </c>
      <c r="E6144" t="e">
        <f>VLOOKUP(Cpi_[[#This Row],[Attribute]],#REF!,2,FALSE)</f>
        <v>#REF!</v>
      </c>
      <c r="F6144">
        <v>164.1</v>
      </c>
      <c r="G6144">
        <f>(Cpi_[[#This Row],[Value]]-F6143)/F6143</f>
        <v>0.1646557842441447</v>
      </c>
      <c r="H6144" t="e" cm="1" vm="1">
        <f t="array" aca="1" ref="H6144" ca="1">VLOOKUP(Cpi_[[#This Row],[Year]:[Month]],crudeoil[],3,FALSE)</f>
        <v>#VALUE!</v>
      </c>
    </row>
    <row r="6145" spans="1:8" hidden="1" x14ac:dyDescent="0.3">
      <c r="A6145" t="s">
        <v>34</v>
      </c>
      <c r="B6145">
        <v>2019</v>
      </c>
      <c r="C6145" t="s">
        <v>38</v>
      </c>
      <c r="D6145" t="s">
        <v>17</v>
      </c>
      <c r="E6145" t="e">
        <f>VLOOKUP(Cpi_[[#This Row],[Attribute]],#REF!,2,FALSE)</f>
        <v>#REF!</v>
      </c>
      <c r="F6145">
        <v>148.4</v>
      </c>
      <c r="G6145">
        <f>(Cpi_[[#This Row],[Value]]-F6144)/F6144</f>
        <v>-9.567336989640457E-2</v>
      </c>
      <c r="H6145" t="e" cm="1" vm="1">
        <f t="array" aca="1" ref="H6145" ca="1">VLOOKUP(Cpi_[[#This Row],[Year]:[Month]],crudeoil[],3,FALSE)</f>
        <v>#VALUE!</v>
      </c>
    </row>
    <row r="6146" spans="1:8" hidden="1" x14ac:dyDescent="0.3">
      <c r="A6146" t="s">
        <v>34</v>
      </c>
      <c r="B6146">
        <v>2019</v>
      </c>
      <c r="C6146" t="s">
        <v>38</v>
      </c>
      <c r="D6146" t="s">
        <v>18</v>
      </c>
      <c r="E6146" t="e">
        <f>VLOOKUP(Cpi_[[#This Row],[Attribute]],#REF!,2,FALSE)</f>
        <v>#REF!</v>
      </c>
      <c r="F6146">
        <v>140.4</v>
      </c>
      <c r="G6146">
        <f>(Cpi_[[#This Row],[Value]]-F6145)/F6145</f>
        <v>-5.3908355795148244E-2</v>
      </c>
      <c r="H6146" t="e" cm="1" vm="1">
        <f t="array" aca="1" ref="H6146" ca="1">VLOOKUP(Cpi_[[#This Row],[Year]:[Month]],crudeoil[],3,FALSE)</f>
        <v>#VALUE!</v>
      </c>
    </row>
    <row r="6147" spans="1:8" hidden="1" x14ac:dyDescent="0.3">
      <c r="A6147" t="s">
        <v>34</v>
      </c>
      <c r="B6147">
        <v>2019</v>
      </c>
      <c r="C6147" t="s">
        <v>38</v>
      </c>
      <c r="D6147" t="s">
        <v>19</v>
      </c>
      <c r="E6147" t="e">
        <f>VLOOKUP(Cpi_[[#This Row],[Attribute]],#REF!,2,FALSE)</f>
        <v>#REF!</v>
      </c>
      <c r="F6147">
        <v>147.30000000000001</v>
      </c>
      <c r="G6147">
        <f>(Cpi_[[#This Row],[Value]]-F6146)/F6146</f>
        <v>4.9145299145299186E-2</v>
      </c>
      <c r="H6147" t="e" cm="1" vm="1">
        <f t="array" aca="1" ref="H6147" ca="1">VLOOKUP(Cpi_[[#This Row],[Year]:[Month]],crudeoil[],3,FALSE)</f>
        <v>#VALUE!</v>
      </c>
    </row>
    <row r="6148" spans="1:8" hidden="1" x14ac:dyDescent="0.3">
      <c r="A6148" t="s">
        <v>34</v>
      </c>
      <c r="B6148">
        <v>2019</v>
      </c>
      <c r="C6148" t="s">
        <v>38</v>
      </c>
      <c r="D6148" t="s">
        <v>20</v>
      </c>
      <c r="E6148" t="e">
        <f>VLOOKUP(Cpi_[[#This Row],[Attribute]],#REF!,2,FALSE)</f>
        <v>#REF!</v>
      </c>
      <c r="F6148">
        <v>150.1</v>
      </c>
      <c r="G6148">
        <f>(Cpi_[[#This Row],[Value]]-F6147)/F6147</f>
        <v>1.9008825526137019E-2</v>
      </c>
      <c r="H6148" t="e" cm="1" vm="1">
        <f t="array" aca="1" ref="H6148" ca="1">VLOOKUP(Cpi_[[#This Row],[Year]:[Month]],crudeoil[],3,FALSE)</f>
        <v>#VALUE!</v>
      </c>
    </row>
    <row r="6149" spans="1:8" hidden="1" x14ac:dyDescent="0.3">
      <c r="A6149" t="s">
        <v>34</v>
      </c>
      <c r="B6149">
        <v>2019</v>
      </c>
      <c r="C6149" t="s">
        <v>38</v>
      </c>
      <c r="D6149" t="s">
        <v>21</v>
      </c>
      <c r="E6149" t="e">
        <f>VLOOKUP(Cpi_[[#This Row],[Attribute]],#REF!,2,FALSE)</f>
        <v>#REF!</v>
      </c>
      <c r="F6149">
        <v>140.30000000000001</v>
      </c>
      <c r="G6149">
        <f>(Cpi_[[#This Row],[Value]]-F6148)/F6148</f>
        <v>-6.5289806795469571E-2</v>
      </c>
      <c r="H6149" t="e" cm="1" vm="1">
        <f t="array" aca="1" ref="H6149" ca="1">VLOOKUP(Cpi_[[#This Row],[Year]:[Month]],crudeoil[],3,FALSE)</f>
        <v>#VALUE!</v>
      </c>
    </row>
    <row r="6150" spans="1:8" hidden="1" x14ac:dyDescent="0.3">
      <c r="A6150" t="s">
        <v>34</v>
      </c>
      <c r="B6150">
        <v>2019</v>
      </c>
      <c r="C6150" t="s">
        <v>38</v>
      </c>
      <c r="D6150" t="s">
        <v>22</v>
      </c>
      <c r="E6150" t="e">
        <f>VLOOKUP(Cpi_[[#This Row],[Attribute]],#REF!,2,FALSE)</f>
        <v>#REF!</v>
      </c>
      <c r="F6150">
        <v>143.69999999999999</v>
      </c>
      <c r="G6150">
        <f>(Cpi_[[#This Row],[Value]]-F6149)/F6149</f>
        <v>2.4233784746970612E-2</v>
      </c>
      <c r="H6150" t="e" cm="1" vm="1">
        <f t="array" aca="1" ref="H6150" ca="1">VLOOKUP(Cpi_[[#This Row],[Year]:[Month]],crudeoil[],3,FALSE)</f>
        <v>#VALUE!</v>
      </c>
    </row>
    <row r="6151" spans="1:8" hidden="1" x14ac:dyDescent="0.3">
      <c r="A6151" t="s">
        <v>34</v>
      </c>
      <c r="B6151">
        <v>2019</v>
      </c>
      <c r="C6151" t="s">
        <v>38</v>
      </c>
      <c r="D6151" t="s">
        <v>23</v>
      </c>
      <c r="E6151" t="e">
        <f>VLOOKUP(Cpi_[[#This Row],[Attribute]],#REF!,2,FALSE)</f>
        <v>#REF!</v>
      </c>
      <c r="F6151">
        <v>146.9</v>
      </c>
      <c r="G6151">
        <f>(Cpi_[[#This Row],[Value]]-F6150)/F6150</f>
        <v>2.2268615170494204E-2</v>
      </c>
      <c r="H6151" t="e" cm="1" vm="1">
        <f t="array" aca="1" ref="H6151" ca="1">VLOOKUP(Cpi_[[#This Row],[Year]:[Month]],crudeoil[],3,FALSE)</f>
        <v>#VALUE!</v>
      </c>
    </row>
    <row r="6152" spans="1:8" hidden="1" x14ac:dyDescent="0.3">
      <c r="A6152" t="s">
        <v>34</v>
      </c>
      <c r="B6152">
        <v>2019</v>
      </c>
      <c r="C6152" t="s">
        <v>38</v>
      </c>
      <c r="D6152" t="s">
        <v>24</v>
      </c>
      <c r="E6152" t="e">
        <f>VLOOKUP(Cpi_[[#This Row],[Attribute]],#REF!,2,FALSE)</f>
        <v>#REF!</v>
      </c>
      <c r="F6152">
        <v>124.9</v>
      </c>
      <c r="G6152">
        <f>(Cpi_[[#This Row],[Value]]-F6151)/F6151</f>
        <v>-0.14976174268209666</v>
      </c>
      <c r="H6152" t="e" cm="1" vm="1">
        <f t="array" aca="1" ref="H6152" ca="1">VLOOKUP(Cpi_[[#This Row],[Year]:[Month]],crudeoil[],3,FALSE)</f>
        <v>#VALUE!</v>
      </c>
    </row>
    <row r="6153" spans="1:8" hidden="1" x14ac:dyDescent="0.3">
      <c r="A6153" t="s">
        <v>34</v>
      </c>
      <c r="B6153">
        <v>2019</v>
      </c>
      <c r="C6153" t="s">
        <v>38</v>
      </c>
      <c r="D6153" t="s">
        <v>25</v>
      </c>
      <c r="E6153" t="e">
        <f>VLOOKUP(Cpi_[[#This Row],[Attribute]],#REF!,2,FALSE)</f>
        <v>#REF!</v>
      </c>
      <c r="F6153">
        <v>139.19999999999999</v>
      </c>
      <c r="G6153">
        <f>(Cpi_[[#This Row],[Value]]-F6152)/F6152</f>
        <v>0.11449159327461955</v>
      </c>
      <c r="H6153" t="e" cm="1" vm="1">
        <f t="array" aca="1" ref="H6153" ca="1">VLOOKUP(Cpi_[[#This Row],[Year]:[Month]],crudeoil[],3,FALSE)</f>
        <v>#VALUE!</v>
      </c>
    </row>
    <row r="6154" spans="1:8" hidden="1" x14ac:dyDescent="0.3">
      <c r="A6154" t="s">
        <v>34</v>
      </c>
      <c r="B6154">
        <v>2019</v>
      </c>
      <c r="C6154" t="s">
        <v>38</v>
      </c>
      <c r="D6154" t="s">
        <v>26</v>
      </c>
      <c r="E6154" t="e">
        <f>VLOOKUP(Cpi_[[#This Row],[Attribute]],#REF!,2,FALSE)</f>
        <v>#REF!</v>
      </c>
      <c r="F6154">
        <v>151.6</v>
      </c>
      <c r="G6154">
        <f>(Cpi_[[#This Row],[Value]]-F6153)/F6153</f>
        <v>8.9080459770114986E-2</v>
      </c>
      <c r="H6154" t="e" cm="1" vm="1">
        <f t="array" aca="1" ref="H6154" ca="1">VLOOKUP(Cpi_[[#This Row],[Year]:[Month]],crudeoil[],3,FALSE)</f>
        <v>#VALUE!</v>
      </c>
    </row>
    <row r="6155" spans="1:8" hidden="1" x14ac:dyDescent="0.3">
      <c r="A6155" t="s">
        <v>34</v>
      </c>
      <c r="B6155">
        <v>2019</v>
      </c>
      <c r="C6155" t="s">
        <v>38</v>
      </c>
      <c r="D6155" t="s">
        <v>27</v>
      </c>
      <c r="E6155" t="e">
        <f>VLOOKUP(Cpi_[[#This Row],[Attribute]],#REF!,2,FALSE)</f>
        <v>#REF!</v>
      </c>
      <c r="F6155">
        <v>133.4</v>
      </c>
      <c r="G6155">
        <f>(Cpi_[[#This Row],[Value]]-F6154)/F6154</f>
        <v>-0.12005277044854874</v>
      </c>
      <c r="H6155" t="e" cm="1" vm="1">
        <f t="array" aca="1" ref="H6155" ca="1">VLOOKUP(Cpi_[[#This Row],[Year]:[Month]],crudeoil[],3,FALSE)</f>
        <v>#VALUE!</v>
      </c>
    </row>
    <row r="6156" spans="1:8" hidden="1" x14ac:dyDescent="0.3">
      <c r="A6156" t="s">
        <v>34</v>
      </c>
      <c r="B6156">
        <v>2019</v>
      </c>
      <c r="C6156" t="s">
        <v>38</v>
      </c>
      <c r="D6156" t="s">
        <v>28</v>
      </c>
      <c r="E6156" t="e">
        <f>VLOOKUP(Cpi_[[#This Row],[Attribute]],#REF!,2,FALSE)</f>
        <v>#REF!</v>
      </c>
      <c r="F6156">
        <v>138.19999999999999</v>
      </c>
      <c r="G6156">
        <f>(Cpi_[[#This Row],[Value]]-F6155)/F6155</f>
        <v>3.5982008995502121E-2</v>
      </c>
      <c r="H6156" t="e" cm="1" vm="1">
        <f t="array" aca="1" ref="H6156" ca="1">VLOOKUP(Cpi_[[#This Row],[Year]:[Month]],crudeoil[],3,FALSE)</f>
        <v>#VALUE!</v>
      </c>
    </row>
    <row r="6157" spans="1:8" hidden="1" x14ac:dyDescent="0.3">
      <c r="A6157" t="s">
        <v>34</v>
      </c>
      <c r="B6157">
        <v>2019</v>
      </c>
      <c r="C6157" t="s">
        <v>38</v>
      </c>
      <c r="D6157" t="s">
        <v>29</v>
      </c>
      <c r="E6157" t="e" cm="1">
        <f t="array" aca="1" ref="E6157" ca="1">VLGeneral indexGeneral indexKUP(Cpi_[[#This Row],[Attribute]],#REF!,2,FALSE)</f>
        <v>#NAME?</v>
      </c>
      <c r="F6157">
        <v>142</v>
      </c>
      <c r="G6157">
        <f>(Cpi_[[#This Row],[Value]]-F6156)/F6156</f>
        <v>2.749638205499285E-2</v>
      </c>
      <c r="H6157" t="e" cm="1" vm="1">
        <f t="array" aca="1" ref="H6157" ca="1">VLOOKUP(Cpi_[[#This Row],[Year]:[Month]],crudeoil[],3,FALSE)</f>
        <v>#VALUE!</v>
      </c>
    </row>
    <row r="6158" spans="1:8" hidden="1" x14ac:dyDescent="0.3">
      <c r="A6158" t="s">
        <v>30</v>
      </c>
      <c r="B6158">
        <v>2019</v>
      </c>
      <c r="C6158" t="s">
        <v>39</v>
      </c>
      <c r="D6158" t="s">
        <v>3</v>
      </c>
      <c r="E6158" t="e">
        <f>VLOOKUP(Cpi_[[#This Row],[Attribute]],#REF!,2,FALSE)</f>
        <v>#REF!</v>
      </c>
      <c r="F6158">
        <v>137.80000000000001</v>
      </c>
      <c r="G6158">
        <f>(Cpi_[[#This Row],[Value]]-F6157)/F6157</f>
        <v>-2.9577464788732313E-2</v>
      </c>
      <c r="H6158" t="e" cm="1" vm="1">
        <f t="array" aca="1" ref="H6158" ca="1">VLOOKUP(Cpi_[[#This Row],[Year]:[Month]],crudeoil[],3,FALSE)</f>
        <v>#VALUE!</v>
      </c>
    </row>
    <row r="6159" spans="1:8" hidden="1" x14ac:dyDescent="0.3">
      <c r="A6159" t="s">
        <v>30</v>
      </c>
      <c r="B6159">
        <v>2019</v>
      </c>
      <c r="C6159" t="s">
        <v>39</v>
      </c>
      <c r="D6159" t="s">
        <v>4</v>
      </c>
      <c r="E6159" t="e">
        <f>VLOOKUP(Cpi_[[#This Row],[Attribute]],#REF!,2,FALSE)</f>
        <v>#REF!</v>
      </c>
      <c r="F6159">
        <v>163.5</v>
      </c>
      <c r="G6159">
        <f>(Cpi_[[#This Row],[Value]]-F6158)/F6158</f>
        <v>0.1865021770682147</v>
      </c>
      <c r="H6159" t="e" cm="1" vm="1">
        <f t="array" aca="1" ref="H6159" ca="1">VLOOKUP(Cpi_[[#This Row],[Year]:[Month]],crudeoil[],3,FALSE)</f>
        <v>#VALUE!</v>
      </c>
    </row>
    <row r="6160" spans="1:8" hidden="1" x14ac:dyDescent="0.3">
      <c r="A6160" t="s">
        <v>30</v>
      </c>
      <c r="B6160">
        <v>2019</v>
      </c>
      <c r="C6160" t="s">
        <v>39</v>
      </c>
      <c r="D6160" t="s">
        <v>5</v>
      </c>
      <c r="E6160" t="e">
        <f>VLOOKUP(Cpi_[[#This Row],[Attribute]],#REF!,2,FALSE)</f>
        <v>#REF!</v>
      </c>
      <c r="F6160">
        <v>136.19999999999999</v>
      </c>
      <c r="G6160">
        <f>(Cpi_[[#This Row],[Value]]-F6159)/F6159</f>
        <v>-0.16697247706422025</v>
      </c>
      <c r="H6160" t="e" cm="1" vm="1">
        <f t="array" aca="1" ref="H6160" ca="1">VLOOKUP(Cpi_[[#This Row],[Year]:[Month]],crudeoil[],3,FALSE)</f>
        <v>#VALUE!</v>
      </c>
    </row>
    <row r="6161" spans="1:8" hidden="1" x14ac:dyDescent="0.3">
      <c r="A6161" t="s">
        <v>30</v>
      </c>
      <c r="B6161">
        <v>2019</v>
      </c>
      <c r="C6161" t="s">
        <v>39</v>
      </c>
      <c r="D6161" t="s">
        <v>6</v>
      </c>
      <c r="E6161" t="e">
        <f>VLOOKUP(Cpi_[[#This Row],[Attribute]],#REF!,2,FALSE)</f>
        <v>#REF!</v>
      </c>
      <c r="F6161">
        <v>143.19999999999999</v>
      </c>
      <c r="G6161">
        <f>(Cpi_[[#This Row],[Value]]-F6160)/F6160</f>
        <v>5.139500734214391E-2</v>
      </c>
      <c r="H6161" t="e" cm="1" vm="1">
        <f t="array" aca="1" ref="H6161" ca="1">VLOOKUP(Cpi_[[#This Row],[Year]:[Month]],crudeoil[],3,FALSE)</f>
        <v>#VALUE!</v>
      </c>
    </row>
    <row r="6162" spans="1:8" hidden="1" x14ac:dyDescent="0.3">
      <c r="A6162" t="s">
        <v>30</v>
      </c>
      <c r="B6162">
        <v>2019</v>
      </c>
      <c r="C6162" t="s">
        <v>39</v>
      </c>
      <c r="D6162" t="s">
        <v>7</v>
      </c>
      <c r="E6162" t="e">
        <f>VLOOKUP(Cpi_[[#This Row],[Attribute]],#REF!,2,FALSE)</f>
        <v>#REF!</v>
      </c>
      <c r="F6162">
        <v>124.3</v>
      </c>
      <c r="G6162">
        <f>(Cpi_[[#This Row],[Value]]-F6161)/F6161</f>
        <v>-0.13198324022346364</v>
      </c>
      <c r="H6162" t="e" cm="1" vm="1">
        <f t="array" aca="1" ref="H6162" ca="1">VLOOKUP(Cpi_[[#This Row],[Year]:[Month]],crudeoil[],3,FALSE)</f>
        <v>#VALUE!</v>
      </c>
    </row>
    <row r="6163" spans="1:8" hidden="1" x14ac:dyDescent="0.3">
      <c r="A6163" t="s">
        <v>30</v>
      </c>
      <c r="B6163">
        <v>2019</v>
      </c>
      <c r="C6163" t="s">
        <v>39</v>
      </c>
      <c r="D6163" t="s">
        <v>8</v>
      </c>
      <c r="E6163" t="e">
        <f>VLOOKUP(Cpi_[[#This Row],[Attribute]],#REF!,2,FALSE)</f>
        <v>#REF!</v>
      </c>
      <c r="F6163">
        <v>143.30000000000001</v>
      </c>
      <c r="G6163">
        <f>(Cpi_[[#This Row],[Value]]-F6162)/F6162</f>
        <v>0.15285599356395829</v>
      </c>
      <c r="H6163" t="e" cm="1" vm="1">
        <f t="array" aca="1" ref="H6163" ca="1">VLOOKUP(Cpi_[[#This Row],[Year]:[Month]],crudeoil[],3,FALSE)</f>
        <v>#VALUE!</v>
      </c>
    </row>
    <row r="6164" spans="1:8" hidden="1" x14ac:dyDescent="0.3">
      <c r="A6164" t="s">
        <v>30</v>
      </c>
      <c r="B6164">
        <v>2019</v>
      </c>
      <c r="C6164" t="s">
        <v>39</v>
      </c>
      <c r="D6164" t="s">
        <v>9</v>
      </c>
      <c r="E6164" t="e">
        <f>VLOOKUP(Cpi_[[#This Row],[Attribute]],#REF!,2,FALSE)</f>
        <v>#REF!</v>
      </c>
      <c r="F6164">
        <v>140.6</v>
      </c>
      <c r="G6164">
        <f>(Cpi_[[#This Row],[Value]]-F6163)/F6163</f>
        <v>-1.8841591067690278E-2</v>
      </c>
      <c r="H6164" t="e" cm="1" vm="1">
        <f t="array" aca="1" ref="H6164" ca="1">VLOOKUP(Cpi_[[#This Row],[Year]:[Month]],crudeoil[],3,FALSE)</f>
        <v>#VALUE!</v>
      </c>
    </row>
    <row r="6165" spans="1:8" hidden="1" x14ac:dyDescent="0.3">
      <c r="A6165" t="s">
        <v>30</v>
      </c>
      <c r="B6165">
        <v>2019</v>
      </c>
      <c r="C6165" t="s">
        <v>39</v>
      </c>
      <c r="D6165" t="s">
        <v>10</v>
      </c>
      <c r="E6165" t="e">
        <f>VLOOKUP(Cpi_[[#This Row],[Attribute]],#REF!,2,FALSE)</f>
        <v>#REF!</v>
      </c>
      <c r="F6165">
        <v>128.69999999999999</v>
      </c>
      <c r="G6165">
        <f>(Cpi_[[#This Row],[Value]]-F6164)/F6164</f>
        <v>-8.4637268847795211E-2</v>
      </c>
      <c r="H6165" t="e" cm="1" vm="1">
        <f t="array" aca="1" ref="H6165" ca="1">VLOOKUP(Cpi_[[#This Row],[Year]:[Month]],crudeoil[],3,FALSE)</f>
        <v>#VALUE!</v>
      </c>
    </row>
    <row r="6166" spans="1:8" hidden="1" x14ac:dyDescent="0.3">
      <c r="A6166" t="s">
        <v>30</v>
      </c>
      <c r="B6166">
        <v>2019</v>
      </c>
      <c r="C6166" t="s">
        <v>39</v>
      </c>
      <c r="D6166" t="s">
        <v>11</v>
      </c>
      <c r="E6166" t="e">
        <f>VLOOKUP(Cpi_[[#This Row],[Attribute]],#REF!,2,FALSE)</f>
        <v>#REF!</v>
      </c>
      <c r="F6166">
        <v>110.6</v>
      </c>
      <c r="G6166">
        <f>(Cpi_[[#This Row],[Value]]-F6165)/F6165</f>
        <v>-0.14063714063714061</v>
      </c>
      <c r="H6166" t="e" cm="1" vm="1">
        <f t="array" aca="1" ref="H6166" ca="1">VLOOKUP(Cpi_[[#This Row],[Year]:[Month]],crudeoil[],3,FALSE)</f>
        <v>#VALUE!</v>
      </c>
    </row>
    <row r="6167" spans="1:8" hidden="1" x14ac:dyDescent="0.3">
      <c r="A6167" t="s">
        <v>30</v>
      </c>
      <c r="B6167">
        <v>2019</v>
      </c>
      <c r="C6167" t="s">
        <v>39</v>
      </c>
      <c r="D6167" t="s">
        <v>12</v>
      </c>
      <c r="E6167" t="e">
        <f>VLOOKUP(Cpi_[[#This Row],[Attribute]],#REF!,2,FALSE)</f>
        <v>#REF!</v>
      </c>
      <c r="F6167">
        <v>140.4</v>
      </c>
      <c r="G6167">
        <f>(Cpi_[[#This Row],[Value]]-F6166)/F6166</f>
        <v>0.26943942133815563</v>
      </c>
      <c r="H6167" t="e" cm="1" vm="1">
        <f t="array" aca="1" ref="H6167" ca="1">VLOOKUP(Cpi_[[#This Row],[Year]:[Month]],crudeoil[],3,FALSE)</f>
        <v>#VALUE!</v>
      </c>
    </row>
    <row r="6168" spans="1:8" hidden="1" x14ac:dyDescent="0.3">
      <c r="A6168" t="s">
        <v>30</v>
      </c>
      <c r="B6168">
        <v>2019</v>
      </c>
      <c r="C6168" t="s">
        <v>39</v>
      </c>
      <c r="D6168" t="s">
        <v>13</v>
      </c>
      <c r="E6168" t="e">
        <f>VLOOKUP(Cpi_[[#This Row],[Attribute]],#REF!,2,FALSE)</f>
        <v>#REF!</v>
      </c>
      <c r="F6168">
        <v>138</v>
      </c>
      <c r="G6168">
        <f>(Cpi_[[#This Row],[Value]]-F6167)/F6167</f>
        <v>-1.7094017094017134E-2</v>
      </c>
      <c r="H6168" t="e" cm="1" vm="1">
        <f t="array" aca="1" ref="H6168" ca="1">VLOOKUP(Cpi_[[#This Row],[Year]:[Month]],crudeoil[],3,FALSE)</f>
        <v>#VALUE!</v>
      </c>
    </row>
    <row r="6169" spans="1:8" hidden="1" x14ac:dyDescent="0.3">
      <c r="A6169" t="s">
        <v>30</v>
      </c>
      <c r="B6169">
        <v>2019</v>
      </c>
      <c r="C6169" t="s">
        <v>39</v>
      </c>
      <c r="D6169" t="s">
        <v>14</v>
      </c>
      <c r="E6169" t="e">
        <f>VLOOKUP(Cpi_[[#This Row],[Attribute]],#REF!,2,FALSE)</f>
        <v>#REF!</v>
      </c>
      <c r="F6169">
        <v>156.6</v>
      </c>
      <c r="G6169">
        <f>(Cpi_[[#This Row],[Value]]-F6168)/F6168</f>
        <v>0.13478260869565215</v>
      </c>
      <c r="H6169" t="e" cm="1" vm="1">
        <f t="array" aca="1" ref="H6169" ca="1">VLOOKUP(Cpi_[[#This Row],[Year]:[Month]],crudeoil[],3,FALSE)</f>
        <v>#VALUE!</v>
      </c>
    </row>
    <row r="6170" spans="1:8" hidden="1" x14ac:dyDescent="0.3">
      <c r="A6170" t="s">
        <v>30</v>
      </c>
      <c r="B6170">
        <v>2019</v>
      </c>
      <c r="C6170" t="s">
        <v>39</v>
      </c>
      <c r="D6170" t="s">
        <v>15</v>
      </c>
      <c r="E6170" t="e">
        <f>VLOOKUP(Cpi_[[#This Row],[Attribute]],#REF!,2,FALSE)</f>
        <v>#REF!</v>
      </c>
      <c r="F6170">
        <v>141</v>
      </c>
      <c r="G6170">
        <f>(Cpi_[[#This Row],[Value]]-F6169)/F6169</f>
        <v>-9.9616858237547859E-2</v>
      </c>
      <c r="H6170" t="e" cm="1" vm="1">
        <f t="array" aca="1" ref="H6170" ca="1">VLOOKUP(Cpi_[[#This Row],[Year]:[Month]],crudeoil[],3,FALSE)</f>
        <v>#VALUE!</v>
      </c>
    </row>
    <row r="6171" spans="1:8" hidden="1" x14ac:dyDescent="0.3">
      <c r="A6171" t="s">
        <v>30</v>
      </c>
      <c r="B6171">
        <v>2019</v>
      </c>
      <c r="C6171" t="s">
        <v>39</v>
      </c>
      <c r="D6171" t="s">
        <v>16</v>
      </c>
      <c r="E6171" t="e">
        <f>VLOOKUP(Cpi_[[#This Row],[Attribute]],#REF!,2,FALSE)</f>
        <v>#REF!</v>
      </c>
      <c r="F6171">
        <v>164.2</v>
      </c>
      <c r="G6171">
        <f>(Cpi_[[#This Row],[Value]]-F6170)/F6170</f>
        <v>0.16453900709219851</v>
      </c>
      <c r="H6171" t="e" cm="1" vm="1">
        <f t="array" aca="1" ref="H6171" ca="1">VLOOKUP(Cpi_[[#This Row],[Year]:[Month]],crudeoil[],3,FALSE)</f>
        <v>#VALUE!</v>
      </c>
    </row>
    <row r="6172" spans="1:8" hidden="1" x14ac:dyDescent="0.3">
      <c r="A6172" t="s">
        <v>30</v>
      </c>
      <c r="B6172">
        <v>2019</v>
      </c>
      <c r="C6172" t="s">
        <v>39</v>
      </c>
      <c r="D6172" t="s">
        <v>17</v>
      </c>
      <c r="E6172" t="e">
        <f>VLOOKUP(Cpi_[[#This Row],[Attribute]],#REF!,2,FALSE)</f>
        <v>#REF!</v>
      </c>
      <c r="F6172">
        <v>151.4</v>
      </c>
      <c r="G6172">
        <f>(Cpi_[[#This Row],[Value]]-F6171)/F6171</f>
        <v>-7.7953714981729497E-2</v>
      </c>
      <c r="H6172" t="e" cm="1" vm="1">
        <f t="array" aca="1" ref="H6172" ca="1">VLOOKUP(Cpi_[[#This Row],[Year]:[Month]],crudeoil[],3,FALSE)</f>
        <v>#VALUE!</v>
      </c>
    </row>
    <row r="6173" spans="1:8" hidden="1" x14ac:dyDescent="0.3">
      <c r="A6173" t="s">
        <v>30</v>
      </c>
      <c r="B6173">
        <v>2019</v>
      </c>
      <c r="C6173" t="s">
        <v>39</v>
      </c>
      <c r="D6173" t="s">
        <v>18</v>
      </c>
      <c r="E6173" t="e">
        <f>VLOOKUP(Cpi_[[#This Row],[Attribute]],#REF!,2,FALSE)</f>
        <v>#REF!</v>
      </c>
      <c r="F6173">
        <v>146.5</v>
      </c>
      <c r="G6173">
        <f>(Cpi_[[#This Row],[Value]]-F6172)/F6172</f>
        <v>-3.2364597093791317E-2</v>
      </c>
      <c r="H6173" t="e" cm="1" vm="1">
        <f t="array" aca="1" ref="H6173" ca="1">VLOOKUP(Cpi_[[#This Row],[Year]:[Month]],crudeoil[],3,FALSE)</f>
        <v>#VALUE!</v>
      </c>
    </row>
    <row r="6174" spans="1:8" hidden="1" x14ac:dyDescent="0.3">
      <c r="A6174" t="s">
        <v>30</v>
      </c>
      <c r="B6174">
        <v>2019</v>
      </c>
      <c r="C6174" t="s">
        <v>39</v>
      </c>
      <c r="D6174" t="s">
        <v>19</v>
      </c>
      <c r="E6174" t="e">
        <f>VLOOKUP(Cpi_[[#This Row],[Attribute]],#REF!,2,FALSE)</f>
        <v>#REF!</v>
      </c>
      <c r="F6174">
        <v>150.69999999999999</v>
      </c>
      <c r="G6174">
        <f>(Cpi_[[#This Row],[Value]]-F6173)/F6173</f>
        <v>2.8668941979522106E-2</v>
      </c>
      <c r="H6174" t="e" cm="1" vm="1">
        <f t="array" aca="1" ref="H6174" ca="1">VLOOKUP(Cpi_[[#This Row],[Year]:[Month]],crudeoil[],3,FALSE)</f>
        <v>#VALUE!</v>
      </c>
    </row>
    <row r="6175" spans="1:8" hidden="1" x14ac:dyDescent="0.3">
      <c r="A6175" t="s">
        <v>30</v>
      </c>
      <c r="B6175">
        <v>2019</v>
      </c>
      <c r="C6175" t="s">
        <v>39</v>
      </c>
      <c r="D6175" t="s">
        <v>20</v>
      </c>
      <c r="E6175" t="e">
        <f>VLOOKUP(Cpi_[[#This Row],[Attribute]],#REF!,2,FALSE)</f>
        <v>#REF!</v>
      </c>
      <c r="F6175" t="s">
        <v>32</v>
      </c>
      <c r="G6175" t="e">
        <f>(Cpi_[[#This Row],[Value]]-F6174)/F6174</f>
        <v>#VALUE!</v>
      </c>
      <c r="H6175" t="e" cm="1" vm="1">
        <f t="array" aca="1" ref="H6175" ca="1">VLOOKUP(Cpi_[[#This Row],[Year]:[Month]],crudeoil[],3,FALSE)</f>
        <v>#VALUE!</v>
      </c>
    </row>
    <row r="6176" spans="1:8" hidden="1" x14ac:dyDescent="0.3">
      <c r="A6176" t="s">
        <v>30</v>
      </c>
      <c r="B6176">
        <v>2019</v>
      </c>
      <c r="C6176" t="s">
        <v>39</v>
      </c>
      <c r="D6176" t="s">
        <v>21</v>
      </c>
      <c r="E6176" t="e">
        <f>VLOOKUP(Cpi_[[#This Row],[Attribute]],#REF!,2,FALSE)</f>
        <v>#REF!</v>
      </c>
      <c r="F6176">
        <v>147.80000000000001</v>
      </c>
      <c r="G6176" t="e">
        <f>(Cpi_[[#This Row],[Value]]-F6175)/F6175</f>
        <v>#VALUE!</v>
      </c>
      <c r="H6176" t="e" cm="1" vm="1">
        <f t="array" aca="1" ref="H6176" ca="1">VLOOKUP(Cpi_[[#This Row],[Year]:[Month]],crudeoil[],3,FALSE)</f>
        <v>#VALUE!</v>
      </c>
    </row>
    <row r="6177" spans="1:8" hidden="1" x14ac:dyDescent="0.3">
      <c r="A6177" t="s">
        <v>30</v>
      </c>
      <c r="B6177">
        <v>2019</v>
      </c>
      <c r="C6177" t="s">
        <v>39</v>
      </c>
      <c r="D6177" t="s">
        <v>22</v>
      </c>
      <c r="E6177" t="e">
        <f>VLOOKUP(Cpi_[[#This Row],[Attribute]],#REF!,2,FALSE)</f>
        <v>#REF!</v>
      </c>
      <c r="F6177">
        <v>149.6</v>
      </c>
      <c r="G6177">
        <f>(Cpi_[[#This Row],[Value]]-F6176)/F6176</f>
        <v>1.2178619756427488E-2</v>
      </c>
      <c r="H6177" t="e" cm="1" vm="1">
        <f t="array" aca="1" ref="H6177" ca="1">VLOOKUP(Cpi_[[#This Row],[Year]:[Month]],crudeoil[],3,FALSE)</f>
        <v>#VALUE!</v>
      </c>
    </row>
    <row r="6178" spans="1:8" hidden="1" x14ac:dyDescent="0.3">
      <c r="A6178" t="s">
        <v>30</v>
      </c>
      <c r="B6178">
        <v>2019</v>
      </c>
      <c r="C6178" t="s">
        <v>39</v>
      </c>
      <c r="D6178" t="s">
        <v>23</v>
      </c>
      <c r="E6178" t="e">
        <f>VLOOKUP(Cpi_[[#This Row],[Attribute]],#REF!,2,FALSE)</f>
        <v>#REF!</v>
      </c>
      <c r="F6178">
        <v>151.69999999999999</v>
      </c>
      <c r="G6178">
        <f>(Cpi_[[#This Row],[Value]]-F6177)/F6177</f>
        <v>1.4037433155080176E-2</v>
      </c>
      <c r="H6178" t="e" cm="1" vm="1">
        <f t="array" aca="1" ref="H6178" ca="1">VLOOKUP(Cpi_[[#This Row],[Year]:[Month]],crudeoil[],3,FALSE)</f>
        <v>#VALUE!</v>
      </c>
    </row>
    <row r="6179" spans="1:8" hidden="1" x14ac:dyDescent="0.3">
      <c r="A6179" t="s">
        <v>30</v>
      </c>
      <c r="B6179">
        <v>2019</v>
      </c>
      <c r="C6179" t="s">
        <v>39</v>
      </c>
      <c r="D6179" t="s">
        <v>24</v>
      </c>
      <c r="E6179" t="e">
        <f>VLOOKUP(Cpi_[[#This Row],[Attribute]],#REF!,2,FALSE)</f>
        <v>#REF!</v>
      </c>
      <c r="F6179">
        <v>130.19999999999999</v>
      </c>
      <c r="G6179">
        <f>(Cpi_[[#This Row],[Value]]-F6178)/F6178</f>
        <v>-0.14172709294660515</v>
      </c>
      <c r="H6179" t="e" cm="1" vm="1">
        <f t="array" aca="1" ref="H6179" ca="1">VLOOKUP(Cpi_[[#This Row],[Year]:[Month]],crudeoil[],3,FALSE)</f>
        <v>#VALUE!</v>
      </c>
    </row>
    <row r="6180" spans="1:8" hidden="1" x14ac:dyDescent="0.3">
      <c r="A6180" t="s">
        <v>30</v>
      </c>
      <c r="B6180">
        <v>2019</v>
      </c>
      <c r="C6180" t="s">
        <v>39</v>
      </c>
      <c r="D6180" t="s">
        <v>25</v>
      </c>
      <c r="E6180" t="e">
        <f>VLOOKUP(Cpi_[[#This Row],[Attribute]],#REF!,2,FALSE)</f>
        <v>#REF!</v>
      </c>
      <c r="F6180">
        <v>146.4</v>
      </c>
      <c r="G6180">
        <f>(Cpi_[[#This Row],[Value]]-F6179)/F6179</f>
        <v>0.12442396313364069</v>
      </c>
      <c r="H6180" t="e" cm="1" vm="1">
        <f t="array" aca="1" ref="H6180" ca="1">VLOOKUP(Cpi_[[#This Row],[Year]:[Month]],crudeoil[],3,FALSE)</f>
        <v>#VALUE!</v>
      </c>
    </row>
    <row r="6181" spans="1:8" hidden="1" x14ac:dyDescent="0.3">
      <c r="A6181" t="s">
        <v>30</v>
      </c>
      <c r="B6181">
        <v>2019</v>
      </c>
      <c r="C6181" t="s">
        <v>39</v>
      </c>
      <c r="D6181" t="s">
        <v>26</v>
      </c>
      <c r="E6181" t="e">
        <f>VLOOKUP(Cpi_[[#This Row],[Attribute]],#REF!,2,FALSE)</f>
        <v>#REF!</v>
      </c>
      <c r="F6181">
        <v>157.69999999999999</v>
      </c>
      <c r="G6181">
        <f>(Cpi_[[#This Row],[Value]]-F6180)/F6180</f>
        <v>7.7185792349726653E-2</v>
      </c>
      <c r="H6181" t="e" cm="1" vm="1">
        <f t="array" aca="1" ref="H6181" ca="1">VLOOKUP(Cpi_[[#This Row],[Year]:[Month]],crudeoil[],3,FALSE)</f>
        <v>#VALUE!</v>
      </c>
    </row>
    <row r="6182" spans="1:8" hidden="1" x14ac:dyDescent="0.3">
      <c r="A6182" t="s">
        <v>30</v>
      </c>
      <c r="B6182">
        <v>2019</v>
      </c>
      <c r="C6182" t="s">
        <v>39</v>
      </c>
      <c r="D6182" t="s">
        <v>27</v>
      </c>
      <c r="E6182" t="e">
        <f>VLOOKUP(Cpi_[[#This Row],[Attribute]],#REF!,2,FALSE)</f>
        <v>#REF!</v>
      </c>
      <c r="F6182">
        <v>134.80000000000001</v>
      </c>
      <c r="G6182">
        <f>(Cpi_[[#This Row],[Value]]-F6181)/F6181</f>
        <v>-0.14521242866201636</v>
      </c>
      <c r="H6182" t="e" cm="1" vm="1">
        <f t="array" aca="1" ref="H6182" ca="1">VLOOKUP(Cpi_[[#This Row],[Year]:[Month]],crudeoil[],3,FALSE)</f>
        <v>#VALUE!</v>
      </c>
    </row>
    <row r="6183" spans="1:8" hidden="1" x14ac:dyDescent="0.3">
      <c r="A6183" t="s">
        <v>30</v>
      </c>
      <c r="B6183">
        <v>2019</v>
      </c>
      <c r="C6183" t="s">
        <v>39</v>
      </c>
      <c r="D6183" t="s">
        <v>28</v>
      </c>
      <c r="E6183" t="e">
        <f>VLOOKUP(Cpi_[[#This Row],[Attribute]],#REF!,2,FALSE)</f>
        <v>#REF!</v>
      </c>
      <c r="F6183">
        <v>143.30000000000001</v>
      </c>
      <c r="G6183">
        <f>(Cpi_[[#This Row],[Value]]-F6182)/F6182</f>
        <v>6.3056379821958455E-2</v>
      </c>
      <c r="H6183" t="e" cm="1" vm="1">
        <f t="array" aca="1" ref="H6183" ca="1">VLOOKUP(Cpi_[[#This Row],[Year]:[Month]],crudeoil[],3,FALSE)</f>
        <v>#VALUE!</v>
      </c>
    </row>
    <row r="6184" spans="1:8" hidden="1" x14ac:dyDescent="0.3">
      <c r="A6184" t="s">
        <v>30</v>
      </c>
      <c r="B6184">
        <v>2019</v>
      </c>
      <c r="C6184" t="s">
        <v>39</v>
      </c>
      <c r="D6184" t="s">
        <v>29</v>
      </c>
      <c r="E6184" t="e" cm="1">
        <f t="array" aca="1" ref="E6184" ca="1">VLGeneral indexGeneral indexKUP(Cpi_[[#This Row],[Attribute]],#REF!,2,FALSE)</f>
        <v>#NAME?</v>
      </c>
      <c r="F6184">
        <v>143.6</v>
      </c>
      <c r="G6184">
        <f>(Cpi_[[#This Row],[Value]]-F6183)/F6183</f>
        <v>2.0935101186321209E-3</v>
      </c>
      <c r="H6184" t="e" cm="1" vm="1">
        <f t="array" aca="1" ref="H6184" ca="1">VLOOKUP(Cpi_[[#This Row],[Year]:[Month]],crudeoil[],3,FALSE)</f>
        <v>#VALUE!</v>
      </c>
    </row>
    <row r="6185" spans="1:8" hidden="1" x14ac:dyDescent="0.3">
      <c r="A6185" t="s">
        <v>33</v>
      </c>
      <c r="B6185">
        <v>2019</v>
      </c>
      <c r="C6185" t="s">
        <v>39</v>
      </c>
      <c r="D6185" t="s">
        <v>3</v>
      </c>
      <c r="E6185" t="e">
        <f>VLOOKUP(Cpi_[[#This Row],[Attribute]],#REF!,2,FALSE)</f>
        <v>#REF!</v>
      </c>
      <c r="F6185">
        <v>140.69999999999999</v>
      </c>
      <c r="G6185">
        <f>(Cpi_[[#This Row],[Value]]-F6184)/F6184</f>
        <v>-2.019498607242344E-2</v>
      </c>
      <c r="H6185" t="e" cm="1" vm="1">
        <f t="array" aca="1" ref="H6185" ca="1">VLOOKUP(Cpi_[[#This Row],[Year]:[Month]],crudeoil[],3,FALSE)</f>
        <v>#VALUE!</v>
      </c>
    </row>
    <row r="6186" spans="1:8" hidden="1" x14ac:dyDescent="0.3">
      <c r="A6186" t="s">
        <v>33</v>
      </c>
      <c r="B6186">
        <v>2019</v>
      </c>
      <c r="C6186" t="s">
        <v>39</v>
      </c>
      <c r="D6186" t="s">
        <v>4</v>
      </c>
      <c r="E6186" t="e">
        <f>VLOOKUP(Cpi_[[#This Row],[Attribute]],#REF!,2,FALSE)</f>
        <v>#REF!</v>
      </c>
      <c r="F6186">
        <v>159.6</v>
      </c>
      <c r="G6186">
        <f>(Cpi_[[#This Row],[Value]]-F6185)/F6185</f>
        <v>0.13432835820895528</v>
      </c>
      <c r="H6186" t="e" cm="1" vm="1">
        <f t="array" aca="1" ref="H6186" ca="1">VLOOKUP(Cpi_[[#This Row],[Year]:[Month]],crudeoil[],3,FALSE)</f>
        <v>#VALUE!</v>
      </c>
    </row>
    <row r="6187" spans="1:8" hidden="1" x14ac:dyDescent="0.3">
      <c r="A6187" t="s">
        <v>33</v>
      </c>
      <c r="B6187">
        <v>2019</v>
      </c>
      <c r="C6187" t="s">
        <v>39</v>
      </c>
      <c r="D6187" t="s">
        <v>5</v>
      </c>
      <c r="E6187" t="e">
        <f>VLOOKUP(Cpi_[[#This Row],[Attribute]],#REF!,2,FALSE)</f>
        <v>#REF!</v>
      </c>
      <c r="F6187">
        <v>140.4</v>
      </c>
      <c r="G6187">
        <f>(Cpi_[[#This Row],[Value]]-F6186)/F6186</f>
        <v>-0.12030075187969919</v>
      </c>
      <c r="H6187" t="e" cm="1" vm="1">
        <f t="array" aca="1" ref="H6187" ca="1">VLOOKUP(Cpi_[[#This Row],[Year]:[Month]],crudeoil[],3,FALSE)</f>
        <v>#VALUE!</v>
      </c>
    </row>
    <row r="6188" spans="1:8" hidden="1" x14ac:dyDescent="0.3">
      <c r="A6188" t="s">
        <v>33</v>
      </c>
      <c r="B6188">
        <v>2019</v>
      </c>
      <c r="C6188" t="s">
        <v>39</v>
      </c>
      <c r="D6188" t="s">
        <v>6</v>
      </c>
      <c r="E6188" t="e">
        <f>VLOOKUP(Cpi_[[#This Row],[Attribute]],#REF!,2,FALSE)</f>
        <v>#REF!</v>
      </c>
      <c r="F6188">
        <v>143.4</v>
      </c>
      <c r="G6188">
        <f>(Cpi_[[#This Row],[Value]]-F6187)/F6187</f>
        <v>2.1367521367521368E-2</v>
      </c>
      <c r="H6188" t="e" cm="1" vm="1">
        <f t="array" aca="1" ref="H6188" ca="1">VLOOKUP(Cpi_[[#This Row],[Year]:[Month]],crudeoil[],3,FALSE)</f>
        <v>#VALUE!</v>
      </c>
    </row>
    <row r="6189" spans="1:8" hidden="1" x14ac:dyDescent="0.3">
      <c r="A6189" t="s">
        <v>33</v>
      </c>
      <c r="B6189">
        <v>2019</v>
      </c>
      <c r="C6189" t="s">
        <v>39</v>
      </c>
      <c r="D6189" t="s">
        <v>7</v>
      </c>
      <c r="E6189" t="e">
        <f>VLOOKUP(Cpi_[[#This Row],[Attribute]],#REF!,2,FALSE)</f>
        <v>#REF!</v>
      </c>
      <c r="F6189">
        <v>118.6</v>
      </c>
      <c r="G6189">
        <f>(Cpi_[[#This Row],[Value]]-F6188)/F6188</f>
        <v>-0.17294281729428179</v>
      </c>
      <c r="H6189" t="e" cm="1" vm="1">
        <f t="array" aca="1" ref="H6189" ca="1">VLOOKUP(Cpi_[[#This Row],[Year]:[Month]],crudeoil[],3,FALSE)</f>
        <v>#VALUE!</v>
      </c>
    </row>
    <row r="6190" spans="1:8" hidden="1" x14ac:dyDescent="0.3">
      <c r="A6190" t="s">
        <v>33</v>
      </c>
      <c r="B6190">
        <v>2019</v>
      </c>
      <c r="C6190" t="s">
        <v>39</v>
      </c>
      <c r="D6190" t="s">
        <v>8</v>
      </c>
      <c r="E6190" t="e">
        <f>VLOOKUP(Cpi_[[#This Row],[Attribute]],#REF!,2,FALSE)</f>
        <v>#REF!</v>
      </c>
      <c r="F6190">
        <v>150.9</v>
      </c>
      <c r="G6190">
        <f>(Cpi_[[#This Row],[Value]]-F6189)/F6189</f>
        <v>0.27234401349072523</v>
      </c>
      <c r="H6190" t="e" cm="1" vm="1">
        <f t="array" aca="1" ref="H6190" ca="1">VLOOKUP(Cpi_[[#This Row],[Year]:[Month]],crudeoil[],3,FALSE)</f>
        <v>#VALUE!</v>
      </c>
    </row>
    <row r="6191" spans="1:8" hidden="1" x14ac:dyDescent="0.3">
      <c r="A6191" t="s">
        <v>33</v>
      </c>
      <c r="B6191">
        <v>2019</v>
      </c>
      <c r="C6191" t="s">
        <v>39</v>
      </c>
      <c r="D6191" t="s">
        <v>9</v>
      </c>
      <c r="E6191" t="e">
        <f>VLOOKUP(Cpi_[[#This Row],[Attribute]],#REF!,2,FALSE)</f>
        <v>#REF!</v>
      </c>
      <c r="F6191">
        <v>169.8</v>
      </c>
      <c r="G6191">
        <f>(Cpi_[[#This Row],[Value]]-F6190)/F6190</f>
        <v>0.12524850894632211</v>
      </c>
      <c r="H6191" t="e" cm="1" vm="1">
        <f t="array" aca="1" ref="H6191" ca="1">VLOOKUP(Cpi_[[#This Row],[Year]:[Month]],crudeoil[],3,FALSE)</f>
        <v>#VALUE!</v>
      </c>
    </row>
    <row r="6192" spans="1:8" hidden="1" x14ac:dyDescent="0.3">
      <c r="A6192" t="s">
        <v>33</v>
      </c>
      <c r="B6192">
        <v>2019</v>
      </c>
      <c r="C6192" t="s">
        <v>39</v>
      </c>
      <c r="D6192" t="s">
        <v>10</v>
      </c>
      <c r="E6192" t="e">
        <f>VLOOKUP(Cpi_[[#This Row],[Attribute]],#REF!,2,FALSE)</f>
        <v>#REF!</v>
      </c>
      <c r="F6192">
        <v>127.4</v>
      </c>
      <c r="G6192">
        <f>(Cpi_[[#This Row],[Value]]-F6191)/F6191</f>
        <v>-0.24970553592461722</v>
      </c>
      <c r="H6192" t="e" cm="1" vm="1">
        <f t="array" aca="1" ref="H6192" ca="1">VLOOKUP(Cpi_[[#This Row],[Year]:[Month]],crudeoil[],3,FALSE)</f>
        <v>#VALUE!</v>
      </c>
    </row>
    <row r="6193" spans="1:8" hidden="1" x14ac:dyDescent="0.3">
      <c r="A6193" t="s">
        <v>33</v>
      </c>
      <c r="B6193">
        <v>2019</v>
      </c>
      <c r="C6193" t="s">
        <v>39</v>
      </c>
      <c r="D6193" t="s">
        <v>11</v>
      </c>
      <c r="E6193" t="e">
        <f>VLOOKUP(Cpi_[[#This Row],[Attribute]],#REF!,2,FALSE)</f>
        <v>#REF!</v>
      </c>
      <c r="F6193">
        <v>111.8</v>
      </c>
      <c r="G6193">
        <f>(Cpi_[[#This Row],[Value]]-F6192)/F6192</f>
        <v>-0.1224489795918368</v>
      </c>
      <c r="H6193" t="e" cm="1" vm="1">
        <f t="array" aca="1" ref="H6193" ca="1">VLOOKUP(Cpi_[[#This Row],[Year]:[Month]],crudeoil[],3,FALSE)</f>
        <v>#VALUE!</v>
      </c>
    </row>
    <row r="6194" spans="1:8" hidden="1" x14ac:dyDescent="0.3">
      <c r="A6194" t="s">
        <v>33</v>
      </c>
      <c r="B6194">
        <v>2019</v>
      </c>
      <c r="C6194" t="s">
        <v>39</v>
      </c>
      <c r="D6194" t="s">
        <v>12</v>
      </c>
      <c r="E6194" t="e">
        <f>VLOOKUP(Cpi_[[#This Row],[Attribute]],#REF!,2,FALSE)</f>
        <v>#REF!</v>
      </c>
      <c r="F6194">
        <v>141</v>
      </c>
      <c r="G6194">
        <f>(Cpi_[[#This Row],[Value]]-F6193)/F6193</f>
        <v>0.26118067978533099</v>
      </c>
      <c r="H6194" t="e" cm="1" vm="1">
        <f t="array" aca="1" ref="H6194" ca="1">VLOOKUP(Cpi_[[#This Row],[Year]:[Month]],crudeoil[],3,FALSE)</f>
        <v>#VALUE!</v>
      </c>
    </row>
    <row r="6195" spans="1:8" hidden="1" x14ac:dyDescent="0.3">
      <c r="A6195" t="s">
        <v>33</v>
      </c>
      <c r="B6195">
        <v>2019</v>
      </c>
      <c r="C6195" t="s">
        <v>39</v>
      </c>
      <c r="D6195" t="s">
        <v>13</v>
      </c>
      <c r="E6195" t="e">
        <f>VLOOKUP(Cpi_[[#This Row],[Attribute]],#REF!,2,FALSE)</f>
        <v>#REF!</v>
      </c>
      <c r="F6195">
        <v>129</v>
      </c>
      <c r="G6195">
        <f>(Cpi_[[#This Row],[Value]]-F6194)/F6194</f>
        <v>-8.5106382978723402E-2</v>
      </c>
      <c r="H6195" t="e" cm="1" vm="1">
        <f t="array" aca="1" ref="H6195" ca="1">VLOOKUP(Cpi_[[#This Row],[Year]:[Month]],crudeoil[],3,FALSE)</f>
        <v>#VALUE!</v>
      </c>
    </row>
    <row r="6196" spans="1:8" hidden="1" x14ac:dyDescent="0.3">
      <c r="A6196" t="s">
        <v>33</v>
      </c>
      <c r="B6196">
        <v>2019</v>
      </c>
      <c r="C6196" t="s">
        <v>39</v>
      </c>
      <c r="D6196" t="s">
        <v>14</v>
      </c>
      <c r="E6196" t="e">
        <f>VLOOKUP(Cpi_[[#This Row],[Attribute]],#REF!,2,FALSE)</f>
        <v>#REF!</v>
      </c>
      <c r="F6196">
        <v>155.1</v>
      </c>
      <c r="G6196">
        <f>(Cpi_[[#This Row],[Value]]-F6195)/F6195</f>
        <v>0.20232558139534879</v>
      </c>
      <c r="H6196" t="e" cm="1" vm="1">
        <f t="array" aca="1" ref="H6196" ca="1">VLOOKUP(Cpi_[[#This Row],[Year]:[Month]],crudeoil[],3,FALSE)</f>
        <v>#VALUE!</v>
      </c>
    </row>
    <row r="6197" spans="1:8" hidden="1" x14ac:dyDescent="0.3">
      <c r="A6197" t="s">
        <v>33</v>
      </c>
      <c r="B6197">
        <v>2019</v>
      </c>
      <c r="C6197" t="s">
        <v>39</v>
      </c>
      <c r="D6197" t="s">
        <v>15</v>
      </c>
      <c r="E6197" t="e">
        <f>VLOOKUP(Cpi_[[#This Row],[Attribute]],#REF!,2,FALSE)</f>
        <v>#REF!</v>
      </c>
      <c r="F6197">
        <v>145.6</v>
      </c>
      <c r="G6197">
        <f>(Cpi_[[#This Row],[Value]]-F6196)/F6196</f>
        <v>-6.1250805931657E-2</v>
      </c>
      <c r="H6197" t="e" cm="1" vm="1">
        <f t="array" aca="1" ref="H6197" ca="1">VLOOKUP(Cpi_[[#This Row],[Year]:[Month]],crudeoil[],3,FALSE)</f>
        <v>#VALUE!</v>
      </c>
    </row>
    <row r="6198" spans="1:8" hidden="1" x14ac:dyDescent="0.3">
      <c r="A6198" t="s">
        <v>33</v>
      </c>
      <c r="B6198">
        <v>2019</v>
      </c>
      <c r="C6198" t="s">
        <v>39</v>
      </c>
      <c r="D6198" t="s">
        <v>16</v>
      </c>
      <c r="E6198" t="e">
        <f>VLOOKUP(Cpi_[[#This Row],[Attribute]],#REF!,2,FALSE)</f>
        <v>#REF!</v>
      </c>
      <c r="F6198">
        <v>166.7</v>
      </c>
      <c r="G6198">
        <f>(Cpi_[[#This Row],[Value]]-F6197)/F6197</f>
        <v>0.14491758241758237</v>
      </c>
      <c r="H6198" t="e" cm="1" vm="1">
        <f t="array" aca="1" ref="H6198" ca="1">VLOOKUP(Cpi_[[#This Row],[Year]:[Month]],crudeoil[],3,FALSE)</f>
        <v>#VALUE!</v>
      </c>
    </row>
    <row r="6199" spans="1:8" hidden="1" x14ac:dyDescent="0.3">
      <c r="A6199" t="s">
        <v>33</v>
      </c>
      <c r="B6199">
        <v>2019</v>
      </c>
      <c r="C6199" t="s">
        <v>39</v>
      </c>
      <c r="D6199" t="s">
        <v>17</v>
      </c>
      <c r="E6199" t="e">
        <f>VLOOKUP(Cpi_[[#This Row],[Attribute]],#REF!,2,FALSE)</f>
        <v>#REF!</v>
      </c>
      <c r="F6199">
        <v>144.30000000000001</v>
      </c>
      <c r="G6199">
        <f>(Cpi_[[#This Row],[Value]]-F6198)/F6198</f>
        <v>-0.13437312537492488</v>
      </c>
      <c r="H6199" t="e" cm="1" vm="1">
        <f t="array" aca="1" ref="H6199" ca="1">VLOOKUP(Cpi_[[#This Row],[Year]:[Month]],crudeoil[],3,FALSE)</f>
        <v>#VALUE!</v>
      </c>
    </row>
    <row r="6200" spans="1:8" hidden="1" x14ac:dyDescent="0.3">
      <c r="A6200" t="s">
        <v>33</v>
      </c>
      <c r="B6200">
        <v>2019</v>
      </c>
      <c r="C6200" t="s">
        <v>39</v>
      </c>
      <c r="D6200" t="s">
        <v>18</v>
      </c>
      <c r="E6200" t="e">
        <f>VLOOKUP(Cpi_[[#This Row],[Attribute]],#REF!,2,FALSE)</f>
        <v>#REF!</v>
      </c>
      <c r="F6200">
        <v>131.69999999999999</v>
      </c>
      <c r="G6200">
        <f>(Cpi_[[#This Row],[Value]]-F6199)/F6199</f>
        <v>-8.7318087318087476E-2</v>
      </c>
      <c r="H6200" t="e" cm="1" vm="1">
        <f t="array" aca="1" ref="H6200" ca="1">VLOOKUP(Cpi_[[#This Row],[Year]:[Month]],crudeoil[],3,FALSE)</f>
        <v>#VALUE!</v>
      </c>
    </row>
    <row r="6201" spans="1:8" hidden="1" x14ac:dyDescent="0.3">
      <c r="A6201" t="s">
        <v>33</v>
      </c>
      <c r="B6201">
        <v>2019</v>
      </c>
      <c r="C6201" t="s">
        <v>39</v>
      </c>
      <c r="D6201" t="s">
        <v>19</v>
      </c>
      <c r="E6201" t="e">
        <f>VLOOKUP(Cpi_[[#This Row],[Attribute]],#REF!,2,FALSE)</f>
        <v>#REF!</v>
      </c>
      <c r="F6201">
        <v>142.4</v>
      </c>
      <c r="G6201">
        <f>(Cpi_[[#This Row],[Value]]-F6200)/F6200</f>
        <v>8.1245254365983427E-2</v>
      </c>
      <c r="H6201" t="e" cm="1" vm="1">
        <f t="array" aca="1" ref="H6201" ca="1">VLOOKUP(Cpi_[[#This Row],[Year]:[Month]],crudeoil[],3,FALSE)</f>
        <v>#VALUE!</v>
      </c>
    </row>
    <row r="6202" spans="1:8" hidden="1" x14ac:dyDescent="0.3">
      <c r="A6202" t="s">
        <v>33</v>
      </c>
      <c r="B6202">
        <v>2019</v>
      </c>
      <c r="C6202" t="s">
        <v>39</v>
      </c>
      <c r="D6202" t="s">
        <v>20</v>
      </c>
      <c r="E6202" t="e">
        <f>VLOOKUP(Cpi_[[#This Row],[Attribute]],#REF!,2,FALSE)</f>
        <v>#REF!</v>
      </c>
      <c r="F6202">
        <v>149.4</v>
      </c>
      <c r="G6202">
        <f>(Cpi_[[#This Row],[Value]]-F6201)/F6201</f>
        <v>4.9157303370786512E-2</v>
      </c>
      <c r="H6202" t="e" cm="1" vm="1">
        <f t="array" aca="1" ref="H6202" ca="1">VLOOKUP(Cpi_[[#This Row],[Year]:[Month]],crudeoil[],3,FALSE)</f>
        <v>#VALUE!</v>
      </c>
    </row>
    <row r="6203" spans="1:8" hidden="1" x14ac:dyDescent="0.3">
      <c r="A6203" t="s">
        <v>33</v>
      </c>
      <c r="B6203">
        <v>2019</v>
      </c>
      <c r="C6203" t="s">
        <v>39</v>
      </c>
      <c r="D6203" t="s">
        <v>21</v>
      </c>
      <c r="E6203" t="e">
        <f>VLOOKUP(Cpi_[[#This Row],[Attribute]],#REF!,2,FALSE)</f>
        <v>#REF!</v>
      </c>
      <c r="F6203">
        <v>130.5</v>
      </c>
      <c r="G6203">
        <f>(Cpi_[[#This Row],[Value]]-F6202)/F6202</f>
        <v>-0.12650602409638559</v>
      </c>
      <c r="H6203" t="e" cm="1" vm="1">
        <f t="array" aca="1" ref="H6203" ca="1">VLOOKUP(Cpi_[[#This Row],[Year]:[Month]],crudeoil[],3,FALSE)</f>
        <v>#VALUE!</v>
      </c>
    </row>
    <row r="6204" spans="1:8" hidden="1" x14ac:dyDescent="0.3">
      <c r="A6204" t="s">
        <v>33</v>
      </c>
      <c r="B6204">
        <v>2019</v>
      </c>
      <c r="C6204" t="s">
        <v>39</v>
      </c>
      <c r="D6204" t="s">
        <v>22</v>
      </c>
      <c r="E6204" t="e">
        <f>VLOOKUP(Cpi_[[#This Row],[Attribute]],#REF!,2,FALSE)</f>
        <v>#REF!</v>
      </c>
      <c r="F6204">
        <v>137.4</v>
      </c>
      <c r="G6204">
        <f>(Cpi_[[#This Row],[Value]]-F6203)/F6203</f>
        <v>5.2873563218390845E-2</v>
      </c>
      <c r="H6204" t="e" cm="1" vm="1">
        <f t="array" aca="1" ref="H6204" ca="1">VLOOKUP(Cpi_[[#This Row],[Year]:[Month]],crudeoil[],3,FALSE)</f>
        <v>#VALUE!</v>
      </c>
    </row>
    <row r="6205" spans="1:8" hidden="1" x14ac:dyDescent="0.3">
      <c r="A6205" t="s">
        <v>33</v>
      </c>
      <c r="B6205">
        <v>2019</v>
      </c>
      <c r="C6205" t="s">
        <v>39</v>
      </c>
      <c r="D6205" t="s">
        <v>23</v>
      </c>
      <c r="E6205" t="e">
        <f>VLOOKUP(Cpi_[[#This Row],[Attribute]],#REF!,2,FALSE)</f>
        <v>#REF!</v>
      </c>
      <c r="F6205">
        <v>140.30000000000001</v>
      </c>
      <c r="G6205">
        <f>(Cpi_[[#This Row],[Value]]-F6204)/F6204</f>
        <v>2.1106259097525514E-2</v>
      </c>
      <c r="H6205" t="e" cm="1" vm="1">
        <f t="array" aca="1" ref="H6205" ca="1">VLOOKUP(Cpi_[[#This Row],[Year]:[Month]],crudeoil[],3,FALSE)</f>
        <v>#VALUE!</v>
      </c>
    </row>
    <row r="6206" spans="1:8" hidden="1" x14ac:dyDescent="0.3">
      <c r="A6206" t="s">
        <v>33</v>
      </c>
      <c r="B6206">
        <v>2019</v>
      </c>
      <c r="C6206" t="s">
        <v>39</v>
      </c>
      <c r="D6206" t="s">
        <v>24</v>
      </c>
      <c r="E6206" t="e">
        <f>VLOOKUP(Cpi_[[#This Row],[Attribute]],#REF!,2,FALSE)</f>
        <v>#REF!</v>
      </c>
      <c r="F6206">
        <v>119.6</v>
      </c>
      <c r="G6206">
        <f>(Cpi_[[#This Row],[Value]]-F6205)/F6205</f>
        <v>-0.14754098360655749</v>
      </c>
      <c r="H6206" t="e" cm="1" vm="1">
        <f t="array" aca="1" ref="H6206" ca="1">VLOOKUP(Cpi_[[#This Row],[Year]:[Month]],crudeoil[],3,FALSE)</f>
        <v>#VALUE!</v>
      </c>
    </row>
    <row r="6207" spans="1:8" hidden="1" x14ac:dyDescent="0.3">
      <c r="A6207" t="s">
        <v>33</v>
      </c>
      <c r="B6207">
        <v>2019</v>
      </c>
      <c r="C6207" t="s">
        <v>39</v>
      </c>
      <c r="D6207" t="s">
        <v>25</v>
      </c>
      <c r="E6207" t="e">
        <f>VLOOKUP(Cpi_[[#This Row],[Attribute]],#REF!,2,FALSE)</f>
        <v>#REF!</v>
      </c>
      <c r="F6207">
        <v>134.30000000000001</v>
      </c>
      <c r="G6207">
        <f>(Cpi_[[#This Row],[Value]]-F6206)/F6206</f>
        <v>0.12290969899665567</v>
      </c>
      <c r="H6207" t="e" cm="1" vm="1">
        <f t="array" aca="1" ref="H6207" ca="1">VLOOKUP(Cpi_[[#This Row],[Year]:[Month]],crudeoil[],3,FALSE)</f>
        <v>#VALUE!</v>
      </c>
    </row>
    <row r="6208" spans="1:8" hidden="1" x14ac:dyDescent="0.3">
      <c r="A6208" t="s">
        <v>33</v>
      </c>
      <c r="B6208">
        <v>2019</v>
      </c>
      <c r="C6208" t="s">
        <v>39</v>
      </c>
      <c r="D6208" t="s">
        <v>26</v>
      </c>
      <c r="E6208" t="e">
        <f>VLOOKUP(Cpi_[[#This Row],[Attribute]],#REF!,2,FALSE)</f>
        <v>#REF!</v>
      </c>
      <c r="F6208">
        <v>148.9</v>
      </c>
      <c r="G6208">
        <f>(Cpi_[[#This Row],[Value]]-F6207)/F6207</f>
        <v>0.10871183916604611</v>
      </c>
      <c r="H6208" t="e" cm="1" vm="1">
        <f t="array" aca="1" ref="H6208" ca="1">VLOOKUP(Cpi_[[#This Row],[Year]:[Month]],crudeoil[],3,FALSE)</f>
        <v>#VALUE!</v>
      </c>
    </row>
    <row r="6209" spans="1:8" hidden="1" x14ac:dyDescent="0.3">
      <c r="A6209" t="s">
        <v>33</v>
      </c>
      <c r="B6209">
        <v>2019</v>
      </c>
      <c r="C6209" t="s">
        <v>39</v>
      </c>
      <c r="D6209" t="s">
        <v>27</v>
      </c>
      <c r="E6209" t="e">
        <f>VLOOKUP(Cpi_[[#This Row],[Attribute]],#REF!,2,FALSE)</f>
        <v>#REF!</v>
      </c>
      <c r="F6209">
        <v>133.69999999999999</v>
      </c>
      <c r="G6209">
        <f>(Cpi_[[#This Row],[Value]]-F6208)/F6208</f>
        <v>-0.10208193418401623</v>
      </c>
      <c r="H6209" t="e" cm="1" vm="1">
        <f t="array" aca="1" ref="H6209" ca="1">VLOOKUP(Cpi_[[#This Row],[Year]:[Month]],crudeoil[],3,FALSE)</f>
        <v>#VALUE!</v>
      </c>
    </row>
    <row r="6210" spans="1:8" hidden="1" x14ac:dyDescent="0.3">
      <c r="A6210" t="s">
        <v>33</v>
      </c>
      <c r="B6210">
        <v>2019</v>
      </c>
      <c r="C6210" t="s">
        <v>39</v>
      </c>
      <c r="D6210" t="s">
        <v>28</v>
      </c>
      <c r="E6210" t="e">
        <f>VLOOKUP(Cpi_[[#This Row],[Attribute]],#REF!,2,FALSE)</f>
        <v>#REF!</v>
      </c>
      <c r="F6210">
        <v>133.6</v>
      </c>
      <c r="G6210">
        <f>(Cpi_[[#This Row],[Value]]-F6209)/F6209</f>
        <v>-7.4794315632007726E-4</v>
      </c>
      <c r="H6210" t="e" cm="1" vm="1">
        <f t="array" aca="1" ref="H6210" ca="1">VLOOKUP(Cpi_[[#This Row],[Year]:[Month]],crudeoil[],3,FALSE)</f>
        <v>#VALUE!</v>
      </c>
    </row>
    <row r="6211" spans="1:8" hidden="1" x14ac:dyDescent="0.3">
      <c r="A6211" t="s">
        <v>33</v>
      </c>
      <c r="B6211">
        <v>2019</v>
      </c>
      <c r="C6211" t="s">
        <v>39</v>
      </c>
      <c r="D6211" t="s">
        <v>29</v>
      </c>
      <c r="E6211" t="e" cm="1">
        <f t="array" aca="1" ref="E6211" ca="1">VLGeneral indexGeneral indexKUP(Cpi_[[#This Row],[Attribute]],#REF!,2,FALSE)</f>
        <v>#NAME?</v>
      </c>
      <c r="F6211">
        <v>142.1</v>
      </c>
      <c r="G6211">
        <f>(Cpi_[[#This Row],[Value]]-F6210)/F6210</f>
        <v>6.3622754491017966E-2</v>
      </c>
      <c r="H6211" t="e" cm="1" vm="1">
        <f t="array" aca="1" ref="H6211" ca="1">VLOOKUP(Cpi_[[#This Row],[Year]:[Month]],crudeoil[],3,FALSE)</f>
        <v>#VALUE!</v>
      </c>
    </row>
    <row r="6212" spans="1:8" hidden="1" x14ac:dyDescent="0.3">
      <c r="A6212" t="s">
        <v>34</v>
      </c>
      <c r="B6212">
        <v>2019</v>
      </c>
      <c r="C6212" t="s">
        <v>39</v>
      </c>
      <c r="D6212" t="s">
        <v>3</v>
      </c>
      <c r="E6212" t="e">
        <f>VLOOKUP(Cpi_[[#This Row],[Attribute]],#REF!,2,FALSE)</f>
        <v>#REF!</v>
      </c>
      <c r="F6212">
        <v>138.69999999999999</v>
      </c>
      <c r="G6212">
        <f>(Cpi_[[#This Row],[Value]]-F6211)/F6211</f>
        <v>-2.3926812104152047E-2</v>
      </c>
      <c r="H6212" t="e" cm="1" vm="1">
        <f t="array" aca="1" ref="H6212" ca="1">VLOOKUP(Cpi_[[#This Row],[Year]:[Month]],crudeoil[],3,FALSE)</f>
        <v>#VALUE!</v>
      </c>
    </row>
    <row r="6213" spans="1:8" hidden="1" x14ac:dyDescent="0.3">
      <c r="A6213" t="s">
        <v>34</v>
      </c>
      <c r="B6213">
        <v>2019</v>
      </c>
      <c r="C6213" t="s">
        <v>39</v>
      </c>
      <c r="D6213" t="s">
        <v>4</v>
      </c>
      <c r="E6213" t="e">
        <f>VLOOKUP(Cpi_[[#This Row],[Attribute]],#REF!,2,FALSE)</f>
        <v>#REF!</v>
      </c>
      <c r="F6213">
        <v>162.1</v>
      </c>
      <c r="G6213">
        <f>(Cpi_[[#This Row],[Value]]-F6212)/F6212</f>
        <v>0.16870944484498923</v>
      </c>
      <c r="H6213" t="e" cm="1" vm="1">
        <f t="array" aca="1" ref="H6213" ca="1">VLOOKUP(Cpi_[[#This Row],[Year]:[Month]],crudeoil[],3,FALSE)</f>
        <v>#VALUE!</v>
      </c>
    </row>
    <row r="6214" spans="1:8" hidden="1" x14ac:dyDescent="0.3">
      <c r="A6214" t="s">
        <v>34</v>
      </c>
      <c r="B6214">
        <v>2019</v>
      </c>
      <c r="C6214" t="s">
        <v>39</v>
      </c>
      <c r="D6214" t="s">
        <v>5</v>
      </c>
      <c r="E6214" t="e">
        <f>VLOOKUP(Cpi_[[#This Row],[Attribute]],#REF!,2,FALSE)</f>
        <v>#REF!</v>
      </c>
      <c r="F6214">
        <v>137.80000000000001</v>
      </c>
      <c r="G6214">
        <f>(Cpi_[[#This Row],[Value]]-F6213)/F6213</f>
        <v>-0.149907464528069</v>
      </c>
      <c r="H6214" t="e" cm="1" vm="1">
        <f t="array" aca="1" ref="H6214" ca="1">VLOOKUP(Cpi_[[#This Row],[Year]:[Month]],crudeoil[],3,FALSE)</f>
        <v>#VALUE!</v>
      </c>
    </row>
    <row r="6215" spans="1:8" hidden="1" x14ac:dyDescent="0.3">
      <c r="A6215" t="s">
        <v>34</v>
      </c>
      <c r="B6215">
        <v>2019</v>
      </c>
      <c r="C6215" t="s">
        <v>39</v>
      </c>
      <c r="D6215" t="s">
        <v>6</v>
      </c>
      <c r="E6215" t="e">
        <f>VLOOKUP(Cpi_[[#This Row],[Attribute]],#REF!,2,FALSE)</f>
        <v>#REF!</v>
      </c>
      <c r="F6215">
        <v>143.30000000000001</v>
      </c>
      <c r="G6215">
        <f>(Cpi_[[#This Row],[Value]]-F6214)/F6214</f>
        <v>3.9912917271407833E-2</v>
      </c>
      <c r="H6215" t="e" cm="1" vm="1">
        <f t="array" aca="1" ref="H6215" ca="1">VLOOKUP(Cpi_[[#This Row],[Year]:[Month]],crudeoil[],3,FALSE)</f>
        <v>#VALUE!</v>
      </c>
    </row>
    <row r="6216" spans="1:8" hidden="1" x14ac:dyDescent="0.3">
      <c r="A6216" t="s">
        <v>34</v>
      </c>
      <c r="B6216">
        <v>2019</v>
      </c>
      <c r="C6216" t="s">
        <v>39</v>
      </c>
      <c r="D6216" t="s">
        <v>7</v>
      </c>
      <c r="E6216" t="e">
        <f>VLOOKUP(Cpi_[[#This Row],[Attribute]],#REF!,2,FALSE)</f>
        <v>#REF!</v>
      </c>
      <c r="F6216">
        <v>122.2</v>
      </c>
      <c r="G6216">
        <f>(Cpi_[[#This Row],[Value]]-F6215)/F6215</f>
        <v>-0.1472435450104676</v>
      </c>
      <c r="H6216" t="e" cm="1" vm="1">
        <f t="array" aca="1" ref="H6216" ca="1">VLOOKUP(Cpi_[[#This Row],[Year]:[Month]],crudeoil[],3,FALSE)</f>
        <v>#VALUE!</v>
      </c>
    </row>
    <row r="6217" spans="1:8" hidden="1" x14ac:dyDescent="0.3">
      <c r="A6217" t="s">
        <v>34</v>
      </c>
      <c r="B6217">
        <v>2019</v>
      </c>
      <c r="C6217" t="s">
        <v>39</v>
      </c>
      <c r="D6217" t="s">
        <v>8</v>
      </c>
      <c r="E6217" t="e">
        <f>VLOOKUP(Cpi_[[#This Row],[Attribute]],#REF!,2,FALSE)</f>
        <v>#REF!</v>
      </c>
      <c r="F6217">
        <v>146.80000000000001</v>
      </c>
      <c r="G6217">
        <f>(Cpi_[[#This Row],[Value]]-F6216)/F6216</f>
        <v>0.20130932896890349</v>
      </c>
      <c r="H6217" t="e" cm="1" vm="1">
        <f t="array" aca="1" ref="H6217" ca="1">VLOOKUP(Cpi_[[#This Row],[Year]:[Month]],crudeoil[],3,FALSE)</f>
        <v>#VALUE!</v>
      </c>
    </row>
    <row r="6218" spans="1:8" hidden="1" x14ac:dyDescent="0.3">
      <c r="A6218" t="s">
        <v>34</v>
      </c>
      <c r="B6218">
        <v>2019</v>
      </c>
      <c r="C6218" t="s">
        <v>39</v>
      </c>
      <c r="D6218" t="s">
        <v>9</v>
      </c>
      <c r="E6218" t="e">
        <f>VLOOKUP(Cpi_[[#This Row],[Attribute]],#REF!,2,FALSE)</f>
        <v>#REF!</v>
      </c>
      <c r="F6218">
        <v>150.5</v>
      </c>
      <c r="G6218">
        <f>(Cpi_[[#This Row],[Value]]-F6217)/F6217</f>
        <v>2.5204359673024444E-2</v>
      </c>
      <c r="H6218" t="e" cm="1" vm="1">
        <f t="array" aca="1" ref="H6218" ca="1">VLOOKUP(Cpi_[[#This Row],[Year]:[Month]],crudeoil[],3,FALSE)</f>
        <v>#VALUE!</v>
      </c>
    </row>
    <row r="6219" spans="1:8" hidden="1" x14ac:dyDescent="0.3">
      <c r="A6219" t="s">
        <v>34</v>
      </c>
      <c r="B6219">
        <v>2019</v>
      </c>
      <c r="C6219" t="s">
        <v>39</v>
      </c>
      <c r="D6219" t="s">
        <v>10</v>
      </c>
      <c r="E6219" t="e">
        <f>VLOOKUP(Cpi_[[#This Row],[Attribute]],#REF!,2,FALSE)</f>
        <v>#REF!</v>
      </c>
      <c r="F6219">
        <v>128.30000000000001</v>
      </c>
      <c r="G6219">
        <f>(Cpi_[[#This Row],[Value]]-F6218)/F6218</f>
        <v>-0.14750830564784045</v>
      </c>
      <c r="H6219" t="e" cm="1" vm="1">
        <f t="array" aca="1" ref="H6219" ca="1">VLOOKUP(Cpi_[[#This Row],[Year]:[Month]],crudeoil[],3,FALSE)</f>
        <v>#VALUE!</v>
      </c>
    </row>
    <row r="6220" spans="1:8" hidden="1" x14ac:dyDescent="0.3">
      <c r="A6220" t="s">
        <v>34</v>
      </c>
      <c r="B6220">
        <v>2019</v>
      </c>
      <c r="C6220" t="s">
        <v>39</v>
      </c>
      <c r="D6220" t="s">
        <v>11</v>
      </c>
      <c r="E6220" t="e">
        <f>VLOOKUP(Cpi_[[#This Row],[Attribute]],#REF!,2,FALSE)</f>
        <v>#REF!</v>
      </c>
      <c r="F6220">
        <v>111</v>
      </c>
      <c r="G6220">
        <f>(Cpi_[[#This Row],[Value]]-F6219)/F6219</f>
        <v>-0.13484021823850359</v>
      </c>
      <c r="H6220" t="e" cm="1" vm="1">
        <f t="array" aca="1" ref="H6220" ca="1">VLOOKUP(Cpi_[[#This Row],[Year]:[Month]],crudeoil[],3,FALSE)</f>
        <v>#VALUE!</v>
      </c>
    </row>
    <row r="6221" spans="1:8" hidden="1" x14ac:dyDescent="0.3">
      <c r="A6221" t="s">
        <v>34</v>
      </c>
      <c r="B6221">
        <v>2019</v>
      </c>
      <c r="C6221" t="s">
        <v>39</v>
      </c>
      <c r="D6221" t="s">
        <v>12</v>
      </c>
      <c r="E6221" t="e">
        <f>VLOOKUP(Cpi_[[#This Row],[Attribute]],#REF!,2,FALSE)</f>
        <v>#REF!</v>
      </c>
      <c r="F6221">
        <v>140.6</v>
      </c>
      <c r="G6221">
        <f>(Cpi_[[#This Row],[Value]]-F6220)/F6220</f>
        <v>0.26666666666666661</v>
      </c>
      <c r="H6221" t="e" cm="1" vm="1">
        <f t="array" aca="1" ref="H6221" ca="1">VLOOKUP(Cpi_[[#This Row],[Year]:[Month]],crudeoil[],3,FALSE)</f>
        <v>#VALUE!</v>
      </c>
    </row>
    <row r="6222" spans="1:8" hidden="1" x14ac:dyDescent="0.3">
      <c r="A6222" t="s">
        <v>34</v>
      </c>
      <c r="B6222">
        <v>2019</v>
      </c>
      <c r="C6222" t="s">
        <v>39</v>
      </c>
      <c r="D6222" t="s">
        <v>13</v>
      </c>
      <c r="E6222" t="e">
        <f>VLOOKUP(Cpi_[[#This Row],[Attribute]],#REF!,2,FALSE)</f>
        <v>#REF!</v>
      </c>
      <c r="F6222">
        <v>134.19999999999999</v>
      </c>
      <c r="G6222">
        <f>(Cpi_[[#This Row],[Value]]-F6221)/F6221</f>
        <v>-4.55192034139403E-2</v>
      </c>
      <c r="H6222" t="e" cm="1" vm="1">
        <f t="array" aca="1" ref="H6222" ca="1">VLOOKUP(Cpi_[[#This Row],[Year]:[Month]],crudeoil[],3,FALSE)</f>
        <v>#VALUE!</v>
      </c>
    </row>
    <row r="6223" spans="1:8" hidden="1" x14ac:dyDescent="0.3">
      <c r="A6223" t="s">
        <v>34</v>
      </c>
      <c r="B6223">
        <v>2019</v>
      </c>
      <c r="C6223" t="s">
        <v>39</v>
      </c>
      <c r="D6223" t="s">
        <v>14</v>
      </c>
      <c r="E6223" t="e">
        <f>VLOOKUP(Cpi_[[#This Row],[Attribute]],#REF!,2,FALSE)</f>
        <v>#REF!</v>
      </c>
      <c r="F6223">
        <v>155.9</v>
      </c>
      <c r="G6223">
        <f>(Cpi_[[#This Row],[Value]]-F6222)/F6222</f>
        <v>0.16169895678092414</v>
      </c>
      <c r="H6223" t="e" cm="1" vm="1">
        <f t="array" aca="1" ref="H6223" ca="1">VLOOKUP(Cpi_[[#This Row],[Year]:[Month]],crudeoil[],3,FALSE)</f>
        <v>#VALUE!</v>
      </c>
    </row>
    <row r="6224" spans="1:8" hidden="1" x14ac:dyDescent="0.3">
      <c r="A6224" t="s">
        <v>34</v>
      </c>
      <c r="B6224">
        <v>2019</v>
      </c>
      <c r="C6224" t="s">
        <v>39</v>
      </c>
      <c r="D6224" t="s">
        <v>15</v>
      </c>
      <c r="E6224" t="e">
        <f>VLOOKUP(Cpi_[[#This Row],[Attribute]],#REF!,2,FALSE)</f>
        <v>#REF!</v>
      </c>
      <c r="F6224">
        <v>142.69999999999999</v>
      </c>
      <c r="G6224">
        <f>(Cpi_[[#This Row],[Value]]-F6223)/F6223</f>
        <v>-8.4669660038486319E-2</v>
      </c>
      <c r="H6224" t="e" cm="1" vm="1">
        <f t="array" aca="1" ref="H6224" ca="1">VLOOKUP(Cpi_[[#This Row],[Year]:[Month]],crudeoil[],3,FALSE)</f>
        <v>#VALUE!</v>
      </c>
    </row>
    <row r="6225" spans="1:8" hidden="1" x14ac:dyDescent="0.3">
      <c r="A6225" t="s">
        <v>34</v>
      </c>
      <c r="B6225">
        <v>2019</v>
      </c>
      <c r="C6225" t="s">
        <v>39</v>
      </c>
      <c r="D6225" t="s">
        <v>16</v>
      </c>
      <c r="E6225" t="e">
        <f>VLOOKUP(Cpi_[[#This Row],[Attribute]],#REF!,2,FALSE)</f>
        <v>#REF!</v>
      </c>
      <c r="F6225">
        <v>164.9</v>
      </c>
      <c r="G6225">
        <f>(Cpi_[[#This Row],[Value]]-F6224)/F6224</f>
        <v>0.15557112824106531</v>
      </c>
      <c r="H6225" t="e" cm="1" vm="1">
        <f t="array" aca="1" ref="H6225" ca="1">VLOOKUP(Cpi_[[#This Row],[Year]:[Month]],crudeoil[],3,FALSE)</f>
        <v>#VALUE!</v>
      </c>
    </row>
    <row r="6226" spans="1:8" hidden="1" x14ac:dyDescent="0.3">
      <c r="A6226" t="s">
        <v>34</v>
      </c>
      <c r="B6226">
        <v>2019</v>
      </c>
      <c r="C6226" t="s">
        <v>39</v>
      </c>
      <c r="D6226" t="s">
        <v>17</v>
      </c>
      <c r="E6226" t="e">
        <f>VLOOKUP(Cpi_[[#This Row],[Attribute]],#REF!,2,FALSE)</f>
        <v>#REF!</v>
      </c>
      <c r="F6226">
        <v>148.6</v>
      </c>
      <c r="G6226">
        <f>(Cpi_[[#This Row],[Value]]-F6225)/F6225</f>
        <v>-9.8847786537295396E-2</v>
      </c>
      <c r="H6226" t="e" cm="1" vm="1">
        <f t="array" aca="1" ref="H6226" ca="1">VLOOKUP(Cpi_[[#This Row],[Year]:[Month]],crudeoil[],3,FALSE)</f>
        <v>#VALUE!</v>
      </c>
    </row>
    <row r="6227" spans="1:8" hidden="1" x14ac:dyDescent="0.3">
      <c r="A6227" t="s">
        <v>34</v>
      </c>
      <c r="B6227">
        <v>2019</v>
      </c>
      <c r="C6227" t="s">
        <v>39</v>
      </c>
      <c r="D6227" t="s">
        <v>18</v>
      </c>
      <c r="E6227" t="e">
        <f>VLOOKUP(Cpi_[[#This Row],[Attribute]],#REF!,2,FALSE)</f>
        <v>#REF!</v>
      </c>
      <c r="F6227">
        <v>140.4</v>
      </c>
      <c r="G6227">
        <f>(Cpi_[[#This Row],[Value]]-F6226)/F6226</f>
        <v>-5.5181695827725363E-2</v>
      </c>
      <c r="H6227" t="e" cm="1" vm="1">
        <f t="array" aca="1" ref="H6227" ca="1">VLOOKUP(Cpi_[[#This Row],[Year]:[Month]],crudeoil[],3,FALSE)</f>
        <v>#VALUE!</v>
      </c>
    </row>
    <row r="6228" spans="1:8" hidden="1" x14ac:dyDescent="0.3">
      <c r="A6228" t="s">
        <v>34</v>
      </c>
      <c r="B6228">
        <v>2019</v>
      </c>
      <c r="C6228" t="s">
        <v>39</v>
      </c>
      <c r="D6228" t="s">
        <v>19</v>
      </c>
      <c r="E6228" t="e">
        <f>VLOOKUP(Cpi_[[#This Row],[Attribute]],#REF!,2,FALSE)</f>
        <v>#REF!</v>
      </c>
      <c r="F6228">
        <v>147.4</v>
      </c>
      <c r="G6228">
        <f>(Cpi_[[#This Row],[Value]]-F6227)/F6227</f>
        <v>4.9857549857549859E-2</v>
      </c>
      <c r="H6228" t="e" cm="1" vm="1">
        <f t="array" aca="1" ref="H6228" ca="1">VLOOKUP(Cpi_[[#This Row],[Year]:[Month]],crudeoil[],3,FALSE)</f>
        <v>#VALUE!</v>
      </c>
    </row>
    <row r="6229" spans="1:8" hidden="1" x14ac:dyDescent="0.3">
      <c r="A6229" t="s">
        <v>34</v>
      </c>
      <c r="B6229">
        <v>2019</v>
      </c>
      <c r="C6229" t="s">
        <v>39</v>
      </c>
      <c r="D6229" t="s">
        <v>20</v>
      </c>
      <c r="E6229" t="e">
        <f>VLOOKUP(Cpi_[[#This Row],[Attribute]],#REF!,2,FALSE)</f>
        <v>#REF!</v>
      </c>
      <c r="F6229">
        <v>149.4</v>
      </c>
      <c r="G6229">
        <f>(Cpi_[[#This Row],[Value]]-F6228)/F6228</f>
        <v>1.3568521031207597E-2</v>
      </c>
      <c r="H6229" t="e" cm="1" vm="1">
        <f t="array" aca="1" ref="H6229" ca="1">VLOOKUP(Cpi_[[#This Row],[Year]:[Month]],crudeoil[],3,FALSE)</f>
        <v>#VALUE!</v>
      </c>
    </row>
    <row r="6230" spans="1:8" hidden="1" x14ac:dyDescent="0.3">
      <c r="A6230" t="s">
        <v>34</v>
      </c>
      <c r="B6230">
        <v>2019</v>
      </c>
      <c r="C6230" t="s">
        <v>39</v>
      </c>
      <c r="D6230" t="s">
        <v>21</v>
      </c>
      <c r="E6230" t="e">
        <f>VLOOKUP(Cpi_[[#This Row],[Attribute]],#REF!,2,FALSE)</f>
        <v>#REF!</v>
      </c>
      <c r="F6230">
        <v>141.19999999999999</v>
      </c>
      <c r="G6230">
        <f>(Cpi_[[#This Row],[Value]]-F6229)/F6229</f>
        <v>-5.488621151271765E-2</v>
      </c>
      <c r="H6230" t="e" cm="1" vm="1">
        <f t="array" aca="1" ref="H6230" ca="1">VLOOKUP(Cpi_[[#This Row],[Year]:[Month]],crudeoil[],3,FALSE)</f>
        <v>#VALUE!</v>
      </c>
    </row>
    <row r="6231" spans="1:8" hidden="1" x14ac:dyDescent="0.3">
      <c r="A6231" t="s">
        <v>34</v>
      </c>
      <c r="B6231">
        <v>2019</v>
      </c>
      <c r="C6231" t="s">
        <v>39</v>
      </c>
      <c r="D6231" t="s">
        <v>22</v>
      </c>
      <c r="E6231" t="e">
        <f>VLOOKUP(Cpi_[[#This Row],[Attribute]],#REF!,2,FALSE)</f>
        <v>#REF!</v>
      </c>
      <c r="F6231">
        <v>143.80000000000001</v>
      </c>
      <c r="G6231">
        <f>(Cpi_[[#This Row],[Value]]-F6230)/F6230</f>
        <v>1.841359773371121E-2</v>
      </c>
      <c r="H6231" t="e" cm="1" vm="1">
        <f t="array" aca="1" ref="H6231" ca="1">VLOOKUP(Cpi_[[#This Row],[Year]:[Month]],crudeoil[],3,FALSE)</f>
        <v>#VALUE!</v>
      </c>
    </row>
    <row r="6232" spans="1:8" hidden="1" x14ac:dyDescent="0.3">
      <c r="A6232" t="s">
        <v>34</v>
      </c>
      <c r="B6232">
        <v>2019</v>
      </c>
      <c r="C6232" t="s">
        <v>39</v>
      </c>
      <c r="D6232" t="s">
        <v>23</v>
      </c>
      <c r="E6232" t="e">
        <f>VLOOKUP(Cpi_[[#This Row],[Attribute]],#REF!,2,FALSE)</f>
        <v>#REF!</v>
      </c>
      <c r="F6232">
        <v>147.4</v>
      </c>
      <c r="G6232">
        <f>(Cpi_[[#This Row],[Value]]-F6231)/F6231</f>
        <v>2.5034770514603576E-2</v>
      </c>
      <c r="H6232" t="e" cm="1" vm="1">
        <f t="array" aca="1" ref="H6232" ca="1">VLOOKUP(Cpi_[[#This Row],[Year]:[Month]],crudeoil[],3,FALSE)</f>
        <v>#VALUE!</v>
      </c>
    </row>
    <row r="6233" spans="1:8" hidden="1" x14ac:dyDescent="0.3">
      <c r="A6233" t="s">
        <v>34</v>
      </c>
      <c r="B6233">
        <v>2019</v>
      </c>
      <c r="C6233" t="s">
        <v>39</v>
      </c>
      <c r="D6233" t="s">
        <v>24</v>
      </c>
      <c r="E6233" t="e">
        <f>VLOOKUP(Cpi_[[#This Row],[Attribute]],#REF!,2,FALSE)</f>
        <v>#REF!</v>
      </c>
      <c r="F6233">
        <v>124.6</v>
      </c>
      <c r="G6233">
        <f>(Cpi_[[#This Row],[Value]]-F6232)/F6232</f>
        <v>-0.15468113975576669</v>
      </c>
      <c r="H6233" t="e" cm="1" vm="1">
        <f t="array" aca="1" ref="H6233" ca="1">VLOOKUP(Cpi_[[#This Row],[Year]:[Month]],crudeoil[],3,FALSE)</f>
        <v>#VALUE!</v>
      </c>
    </row>
    <row r="6234" spans="1:8" hidden="1" x14ac:dyDescent="0.3">
      <c r="A6234" t="s">
        <v>34</v>
      </c>
      <c r="B6234">
        <v>2019</v>
      </c>
      <c r="C6234" t="s">
        <v>39</v>
      </c>
      <c r="D6234" t="s">
        <v>25</v>
      </c>
      <c r="E6234" t="e">
        <f>VLOOKUP(Cpi_[[#This Row],[Attribute]],#REF!,2,FALSE)</f>
        <v>#REF!</v>
      </c>
      <c r="F6234">
        <v>139.6</v>
      </c>
      <c r="G6234">
        <f>(Cpi_[[#This Row],[Value]]-F6233)/F6233</f>
        <v>0.12038523274478331</v>
      </c>
      <c r="H6234" t="e" cm="1" vm="1">
        <f t="array" aca="1" ref="H6234" ca="1">VLOOKUP(Cpi_[[#This Row],[Year]:[Month]],crudeoil[],3,FALSE)</f>
        <v>#VALUE!</v>
      </c>
    </row>
    <row r="6235" spans="1:8" hidden="1" x14ac:dyDescent="0.3">
      <c r="A6235" t="s">
        <v>34</v>
      </c>
      <c r="B6235">
        <v>2019</v>
      </c>
      <c r="C6235" t="s">
        <v>39</v>
      </c>
      <c r="D6235" t="s">
        <v>26</v>
      </c>
      <c r="E6235" t="e">
        <f>VLOOKUP(Cpi_[[#This Row],[Attribute]],#REF!,2,FALSE)</f>
        <v>#REF!</v>
      </c>
      <c r="F6235">
        <v>152.5</v>
      </c>
      <c r="G6235">
        <f>(Cpi_[[#This Row],[Value]]-F6234)/F6234</f>
        <v>9.2406876790830997E-2</v>
      </c>
      <c r="H6235" t="e" cm="1" vm="1">
        <f t="array" aca="1" ref="H6235" ca="1">VLOOKUP(Cpi_[[#This Row],[Year]:[Month]],crudeoil[],3,FALSE)</f>
        <v>#VALUE!</v>
      </c>
    </row>
    <row r="6236" spans="1:8" hidden="1" x14ac:dyDescent="0.3">
      <c r="A6236" t="s">
        <v>34</v>
      </c>
      <c r="B6236">
        <v>2019</v>
      </c>
      <c r="C6236" t="s">
        <v>39</v>
      </c>
      <c r="D6236" t="s">
        <v>27</v>
      </c>
      <c r="E6236" t="e">
        <f>VLOOKUP(Cpi_[[#This Row],[Attribute]],#REF!,2,FALSE)</f>
        <v>#REF!</v>
      </c>
      <c r="F6236">
        <v>134.30000000000001</v>
      </c>
      <c r="G6236">
        <f>(Cpi_[[#This Row],[Value]]-F6235)/F6235</f>
        <v>-0.1193442622950819</v>
      </c>
      <c r="H6236" t="e" cm="1" vm="1">
        <f t="array" aca="1" ref="H6236" ca="1">VLOOKUP(Cpi_[[#This Row],[Year]:[Month]],crudeoil[],3,FALSE)</f>
        <v>#VALUE!</v>
      </c>
    </row>
    <row r="6237" spans="1:8" hidden="1" x14ac:dyDescent="0.3">
      <c r="A6237" t="s">
        <v>34</v>
      </c>
      <c r="B6237">
        <v>2019</v>
      </c>
      <c r="C6237" t="s">
        <v>39</v>
      </c>
      <c r="D6237" t="s">
        <v>28</v>
      </c>
      <c r="E6237" t="e">
        <f>VLOOKUP(Cpi_[[#This Row],[Attribute]],#REF!,2,FALSE)</f>
        <v>#REF!</v>
      </c>
      <c r="F6237">
        <v>138.6</v>
      </c>
      <c r="G6237">
        <f>(Cpi_[[#This Row],[Value]]-F6236)/F6236</f>
        <v>3.2017870439314838E-2</v>
      </c>
      <c r="H6237" t="e" cm="1" vm="1">
        <f t="array" aca="1" ref="H6237" ca="1">VLOOKUP(Cpi_[[#This Row],[Year]:[Month]],crudeoil[],3,FALSE)</f>
        <v>#VALUE!</v>
      </c>
    </row>
    <row r="6238" spans="1:8" hidden="1" x14ac:dyDescent="0.3">
      <c r="A6238" t="s">
        <v>34</v>
      </c>
      <c r="B6238">
        <v>2019</v>
      </c>
      <c r="C6238" t="s">
        <v>39</v>
      </c>
      <c r="D6238" t="s">
        <v>29</v>
      </c>
      <c r="E6238" t="e" cm="1">
        <f t="array" aca="1" ref="E6238" ca="1">VLGeneral indexGeneral indexKUP(Cpi_[[#This Row],[Attribute]],#REF!,2,FALSE)</f>
        <v>#NAME?</v>
      </c>
      <c r="F6238">
        <v>142.9</v>
      </c>
      <c r="G6238">
        <f>(Cpi_[[#This Row],[Value]]-F6237)/F6237</f>
        <v>3.1024531024531107E-2</v>
      </c>
      <c r="H6238" t="e" cm="1" vm="1">
        <f t="array" aca="1" ref="H6238" ca="1">VLOOKUP(Cpi_[[#This Row],[Year]:[Month]],crudeoil[],3,FALSE)</f>
        <v>#VALUE!</v>
      </c>
    </row>
    <row r="6239" spans="1:8" hidden="1" x14ac:dyDescent="0.3">
      <c r="A6239" t="s">
        <v>30</v>
      </c>
      <c r="B6239">
        <v>2019</v>
      </c>
      <c r="C6239" t="s">
        <v>40</v>
      </c>
      <c r="D6239" t="s">
        <v>3</v>
      </c>
      <c r="E6239" t="e">
        <f>VLOOKUP(Cpi_[[#This Row],[Attribute]],#REF!,2,FALSE)</f>
        <v>#REF!</v>
      </c>
      <c r="F6239">
        <v>138.4</v>
      </c>
      <c r="G6239">
        <f>(Cpi_[[#This Row],[Value]]-F6238)/F6238</f>
        <v>-3.1490552834149754E-2</v>
      </c>
      <c r="H6239" t="e" cm="1" vm="1">
        <f t="array" aca="1" ref="H6239" ca="1">VLOOKUP(Cpi_[[#This Row],[Year]:[Month]],crudeoil[],3,FALSE)</f>
        <v>#VALUE!</v>
      </c>
    </row>
    <row r="6240" spans="1:8" hidden="1" x14ac:dyDescent="0.3">
      <c r="A6240" t="s">
        <v>30</v>
      </c>
      <c r="B6240">
        <v>2019</v>
      </c>
      <c r="C6240" t="s">
        <v>40</v>
      </c>
      <c r="D6240" t="s">
        <v>4</v>
      </c>
      <c r="E6240" t="e">
        <f>VLOOKUP(Cpi_[[#This Row],[Attribute]],#REF!,2,FALSE)</f>
        <v>#REF!</v>
      </c>
      <c r="F6240">
        <v>164</v>
      </c>
      <c r="G6240">
        <f>(Cpi_[[#This Row],[Value]]-F6239)/F6239</f>
        <v>0.18497109826589592</v>
      </c>
      <c r="H6240" t="e" cm="1" vm="1">
        <f t="array" aca="1" ref="H6240" ca="1">VLOOKUP(Cpi_[[#This Row],[Year]:[Month]],crudeoil[],3,FALSE)</f>
        <v>#VALUE!</v>
      </c>
    </row>
    <row r="6241" spans="1:8" hidden="1" x14ac:dyDescent="0.3">
      <c r="A6241" t="s">
        <v>30</v>
      </c>
      <c r="B6241">
        <v>2019</v>
      </c>
      <c r="C6241" t="s">
        <v>40</v>
      </c>
      <c r="D6241" t="s">
        <v>5</v>
      </c>
      <c r="E6241" t="e">
        <f>VLOOKUP(Cpi_[[#This Row],[Attribute]],#REF!,2,FALSE)</f>
        <v>#REF!</v>
      </c>
      <c r="F6241">
        <v>138.4</v>
      </c>
      <c r="G6241">
        <f>(Cpi_[[#This Row],[Value]]-F6240)/F6240</f>
        <v>-0.15609756097560973</v>
      </c>
      <c r="H6241" t="e" cm="1" vm="1">
        <f t="array" aca="1" ref="H6241" ca="1">VLOOKUP(Cpi_[[#This Row],[Year]:[Month]],crudeoil[],3,FALSE)</f>
        <v>#VALUE!</v>
      </c>
    </row>
    <row r="6242" spans="1:8" hidden="1" x14ac:dyDescent="0.3">
      <c r="A6242" t="s">
        <v>30</v>
      </c>
      <c r="B6242">
        <v>2019</v>
      </c>
      <c r="C6242" t="s">
        <v>40</v>
      </c>
      <c r="D6242" t="s">
        <v>6</v>
      </c>
      <c r="E6242" t="e">
        <f>VLOOKUP(Cpi_[[#This Row],[Attribute]],#REF!,2,FALSE)</f>
        <v>#REF!</v>
      </c>
      <c r="F6242">
        <v>143.9</v>
      </c>
      <c r="G6242">
        <f>(Cpi_[[#This Row],[Value]]-F6241)/F6241</f>
        <v>3.9739884393063585E-2</v>
      </c>
      <c r="H6242" t="e" cm="1" vm="1">
        <f t="array" aca="1" ref="H6242" ca="1">VLOOKUP(Cpi_[[#This Row],[Year]:[Month]],crudeoil[],3,FALSE)</f>
        <v>#VALUE!</v>
      </c>
    </row>
    <row r="6243" spans="1:8" hidden="1" x14ac:dyDescent="0.3">
      <c r="A6243" t="s">
        <v>30</v>
      </c>
      <c r="B6243">
        <v>2019</v>
      </c>
      <c r="C6243" t="s">
        <v>40</v>
      </c>
      <c r="D6243" t="s">
        <v>7</v>
      </c>
      <c r="E6243" t="e">
        <f>VLOOKUP(Cpi_[[#This Row],[Attribute]],#REF!,2,FALSE)</f>
        <v>#REF!</v>
      </c>
      <c r="F6243">
        <v>124.4</v>
      </c>
      <c r="G6243">
        <f>(Cpi_[[#This Row],[Value]]-F6242)/F6242</f>
        <v>-0.13551077136900624</v>
      </c>
      <c r="H6243" t="e" cm="1" vm="1">
        <f t="array" aca="1" ref="H6243" ca="1">VLOOKUP(Cpi_[[#This Row],[Year]:[Month]],crudeoil[],3,FALSE)</f>
        <v>#VALUE!</v>
      </c>
    </row>
    <row r="6244" spans="1:8" hidden="1" x14ac:dyDescent="0.3">
      <c r="A6244" t="s">
        <v>30</v>
      </c>
      <c r="B6244">
        <v>2019</v>
      </c>
      <c r="C6244" t="s">
        <v>40</v>
      </c>
      <c r="D6244" t="s">
        <v>8</v>
      </c>
      <c r="E6244" t="e">
        <f>VLOOKUP(Cpi_[[#This Row],[Attribute]],#REF!,2,FALSE)</f>
        <v>#REF!</v>
      </c>
      <c r="F6244">
        <v>146.4</v>
      </c>
      <c r="G6244">
        <f>(Cpi_[[#This Row],[Value]]-F6243)/F6243</f>
        <v>0.17684887459807072</v>
      </c>
      <c r="H6244" t="e" cm="1" vm="1">
        <f t="array" aca="1" ref="H6244" ca="1">VLOOKUP(Cpi_[[#This Row],[Year]:[Month]],crudeoil[],3,FALSE)</f>
        <v>#VALUE!</v>
      </c>
    </row>
    <row r="6245" spans="1:8" hidden="1" x14ac:dyDescent="0.3">
      <c r="A6245" t="s">
        <v>30</v>
      </c>
      <c r="B6245">
        <v>2019</v>
      </c>
      <c r="C6245" t="s">
        <v>40</v>
      </c>
      <c r="D6245" t="s">
        <v>9</v>
      </c>
      <c r="E6245" t="e">
        <f>VLOOKUP(Cpi_[[#This Row],[Attribute]],#REF!,2,FALSE)</f>
        <v>#REF!</v>
      </c>
      <c r="F6245">
        <v>150.1</v>
      </c>
      <c r="G6245">
        <f>(Cpi_[[#This Row],[Value]]-F6244)/F6244</f>
        <v>2.5273224043715768E-2</v>
      </c>
      <c r="H6245" t="e" cm="1" vm="1">
        <f t="array" aca="1" ref="H6245" ca="1">VLOOKUP(Cpi_[[#This Row],[Year]:[Month]],crudeoil[],3,FALSE)</f>
        <v>#VALUE!</v>
      </c>
    </row>
    <row r="6246" spans="1:8" hidden="1" x14ac:dyDescent="0.3">
      <c r="A6246" t="s">
        <v>30</v>
      </c>
      <c r="B6246">
        <v>2019</v>
      </c>
      <c r="C6246" t="s">
        <v>40</v>
      </c>
      <c r="D6246" t="s">
        <v>10</v>
      </c>
      <c r="E6246" t="e">
        <f>VLOOKUP(Cpi_[[#This Row],[Attribute]],#REF!,2,FALSE)</f>
        <v>#REF!</v>
      </c>
      <c r="F6246">
        <v>130.6</v>
      </c>
      <c r="G6246">
        <f>(Cpi_[[#This Row],[Value]]-F6245)/F6245</f>
        <v>-0.12991339107261826</v>
      </c>
      <c r="H6246" t="e" cm="1" vm="1">
        <f t="array" aca="1" ref="H6246" ca="1">VLOOKUP(Cpi_[[#This Row],[Year]:[Month]],crudeoil[],3,FALSE)</f>
        <v>#VALUE!</v>
      </c>
    </row>
    <row r="6247" spans="1:8" hidden="1" x14ac:dyDescent="0.3">
      <c r="A6247" t="s">
        <v>30</v>
      </c>
      <c r="B6247">
        <v>2019</v>
      </c>
      <c r="C6247" t="s">
        <v>40</v>
      </c>
      <c r="D6247" t="s">
        <v>11</v>
      </c>
      <c r="E6247" t="e">
        <f>VLOOKUP(Cpi_[[#This Row],[Attribute]],#REF!,2,FALSE)</f>
        <v>#REF!</v>
      </c>
      <c r="F6247">
        <v>110.8</v>
      </c>
      <c r="G6247">
        <f>(Cpi_[[#This Row],[Value]]-F6246)/F6246</f>
        <v>-0.15160796324655434</v>
      </c>
      <c r="H6247" t="e" cm="1" vm="1">
        <f t="array" aca="1" ref="H6247" ca="1">VLOOKUP(Cpi_[[#This Row],[Year]:[Month]],crudeoil[],3,FALSE)</f>
        <v>#VALUE!</v>
      </c>
    </row>
    <row r="6248" spans="1:8" hidden="1" x14ac:dyDescent="0.3">
      <c r="A6248" t="s">
        <v>30</v>
      </c>
      <c r="B6248">
        <v>2019</v>
      </c>
      <c r="C6248" t="s">
        <v>40</v>
      </c>
      <c r="D6248" t="s">
        <v>12</v>
      </c>
      <c r="E6248" t="e">
        <f>VLOOKUP(Cpi_[[#This Row],[Attribute]],#REF!,2,FALSE)</f>
        <v>#REF!</v>
      </c>
      <c r="F6248">
        <v>141.69999999999999</v>
      </c>
      <c r="G6248">
        <f>(Cpi_[[#This Row],[Value]]-F6247)/F6247</f>
        <v>0.27888086642599269</v>
      </c>
      <c r="H6248" t="e" cm="1" vm="1">
        <f t="array" aca="1" ref="H6248" ca="1">VLOOKUP(Cpi_[[#This Row],[Year]:[Month]],crudeoil[],3,FALSE)</f>
        <v>#VALUE!</v>
      </c>
    </row>
    <row r="6249" spans="1:8" hidden="1" x14ac:dyDescent="0.3">
      <c r="A6249" t="s">
        <v>30</v>
      </c>
      <c r="B6249">
        <v>2019</v>
      </c>
      <c r="C6249" t="s">
        <v>40</v>
      </c>
      <c r="D6249" t="s">
        <v>13</v>
      </c>
      <c r="E6249" t="e">
        <f>VLOOKUP(Cpi_[[#This Row],[Attribute]],#REF!,2,FALSE)</f>
        <v>#REF!</v>
      </c>
      <c r="F6249">
        <v>138.5</v>
      </c>
      <c r="G6249">
        <f>(Cpi_[[#This Row],[Value]]-F6248)/F6248</f>
        <v>-2.2582921665490394E-2</v>
      </c>
      <c r="H6249" t="e" cm="1" vm="1">
        <f t="array" aca="1" ref="H6249" ca="1">VLOOKUP(Cpi_[[#This Row],[Year]:[Month]],crudeoil[],3,FALSE)</f>
        <v>#VALUE!</v>
      </c>
    </row>
    <row r="6250" spans="1:8" hidden="1" x14ac:dyDescent="0.3">
      <c r="A6250" t="s">
        <v>30</v>
      </c>
      <c r="B6250">
        <v>2019</v>
      </c>
      <c r="C6250" t="s">
        <v>40</v>
      </c>
      <c r="D6250" t="s">
        <v>14</v>
      </c>
      <c r="E6250" t="e">
        <f>VLOOKUP(Cpi_[[#This Row],[Attribute]],#REF!,2,FALSE)</f>
        <v>#REF!</v>
      </c>
      <c r="F6250">
        <v>156.69999999999999</v>
      </c>
      <c r="G6250">
        <f>(Cpi_[[#This Row],[Value]]-F6249)/F6249</f>
        <v>0.13140794223826707</v>
      </c>
      <c r="H6250" t="e" cm="1" vm="1">
        <f t="array" aca="1" ref="H6250" ca="1">VLOOKUP(Cpi_[[#This Row],[Year]:[Month]],crudeoil[],3,FALSE)</f>
        <v>#VALUE!</v>
      </c>
    </row>
    <row r="6251" spans="1:8" hidden="1" x14ac:dyDescent="0.3">
      <c r="A6251" t="s">
        <v>30</v>
      </c>
      <c r="B6251">
        <v>2019</v>
      </c>
      <c r="C6251" t="s">
        <v>40</v>
      </c>
      <c r="D6251" t="s">
        <v>15</v>
      </c>
      <c r="E6251" t="e">
        <f>VLOOKUP(Cpi_[[#This Row],[Attribute]],#REF!,2,FALSE)</f>
        <v>#REF!</v>
      </c>
      <c r="F6251">
        <v>143</v>
      </c>
      <c r="G6251">
        <f>(Cpi_[[#This Row],[Value]]-F6250)/F6250</f>
        <v>-8.7428206764518124E-2</v>
      </c>
      <c r="H6251" t="e" cm="1" vm="1">
        <f t="array" aca="1" ref="H6251" ca="1">VLOOKUP(Cpi_[[#This Row],[Year]:[Month]],crudeoil[],3,FALSE)</f>
        <v>#VALUE!</v>
      </c>
    </row>
    <row r="6252" spans="1:8" hidden="1" x14ac:dyDescent="0.3">
      <c r="A6252" t="s">
        <v>30</v>
      </c>
      <c r="B6252">
        <v>2019</v>
      </c>
      <c r="C6252" t="s">
        <v>40</v>
      </c>
      <c r="D6252" t="s">
        <v>16</v>
      </c>
      <c r="E6252" t="e">
        <f>VLOOKUP(Cpi_[[#This Row],[Attribute]],#REF!,2,FALSE)</f>
        <v>#REF!</v>
      </c>
      <c r="F6252">
        <v>164.5</v>
      </c>
      <c r="G6252">
        <f>(Cpi_[[#This Row],[Value]]-F6251)/F6251</f>
        <v>0.15034965034965034</v>
      </c>
      <c r="H6252" t="e" cm="1" vm="1">
        <f t="array" aca="1" ref="H6252" ca="1">VLOOKUP(Cpi_[[#This Row],[Year]:[Month]],crudeoil[],3,FALSE)</f>
        <v>#VALUE!</v>
      </c>
    </row>
    <row r="6253" spans="1:8" hidden="1" x14ac:dyDescent="0.3">
      <c r="A6253" t="s">
        <v>30</v>
      </c>
      <c r="B6253">
        <v>2019</v>
      </c>
      <c r="C6253" t="s">
        <v>40</v>
      </c>
      <c r="D6253" t="s">
        <v>17</v>
      </c>
      <c r="E6253" t="e">
        <f>VLOOKUP(Cpi_[[#This Row],[Attribute]],#REF!,2,FALSE)</f>
        <v>#REF!</v>
      </c>
      <c r="F6253">
        <v>151.6</v>
      </c>
      <c r="G6253">
        <f>(Cpi_[[#This Row],[Value]]-F6252)/F6252</f>
        <v>-7.841945288753803E-2</v>
      </c>
      <c r="H6253" t="e" cm="1" vm="1">
        <f t="array" aca="1" ref="H6253" ca="1">VLOOKUP(Cpi_[[#This Row],[Year]:[Month]],crudeoil[],3,FALSE)</f>
        <v>#VALUE!</v>
      </c>
    </row>
    <row r="6254" spans="1:8" hidden="1" x14ac:dyDescent="0.3">
      <c r="A6254" t="s">
        <v>30</v>
      </c>
      <c r="B6254">
        <v>2019</v>
      </c>
      <c r="C6254" t="s">
        <v>40</v>
      </c>
      <c r="D6254" t="s">
        <v>18</v>
      </c>
      <c r="E6254" t="e">
        <f>VLOOKUP(Cpi_[[#This Row],[Attribute]],#REF!,2,FALSE)</f>
        <v>#REF!</v>
      </c>
      <c r="F6254">
        <v>146.6</v>
      </c>
      <c r="G6254">
        <f>(Cpi_[[#This Row],[Value]]-F6253)/F6253</f>
        <v>-3.2981530343007916E-2</v>
      </c>
      <c r="H6254" t="e" cm="1" vm="1">
        <f t="array" aca="1" ref="H6254" ca="1">VLOOKUP(Cpi_[[#This Row],[Year]:[Month]],crudeoil[],3,FALSE)</f>
        <v>#VALUE!</v>
      </c>
    </row>
    <row r="6255" spans="1:8" hidden="1" x14ac:dyDescent="0.3">
      <c r="A6255" t="s">
        <v>30</v>
      </c>
      <c r="B6255">
        <v>2019</v>
      </c>
      <c r="C6255" t="s">
        <v>40</v>
      </c>
      <c r="D6255" t="s">
        <v>19</v>
      </c>
      <c r="E6255" t="e">
        <f>VLOOKUP(Cpi_[[#This Row],[Attribute]],#REF!,2,FALSE)</f>
        <v>#REF!</v>
      </c>
      <c r="F6255">
        <v>150.9</v>
      </c>
      <c r="G6255">
        <f>(Cpi_[[#This Row],[Value]]-F6254)/F6254</f>
        <v>2.9331514324693123E-2</v>
      </c>
      <c r="H6255" t="e" cm="1" vm="1">
        <f t="array" aca="1" ref="H6255" ca="1">VLOOKUP(Cpi_[[#This Row],[Year]:[Month]],crudeoil[],3,FALSE)</f>
        <v>#VALUE!</v>
      </c>
    </row>
    <row r="6256" spans="1:8" hidden="1" x14ac:dyDescent="0.3">
      <c r="A6256" t="s">
        <v>30</v>
      </c>
      <c r="B6256">
        <v>2019</v>
      </c>
      <c r="C6256" t="s">
        <v>40</v>
      </c>
      <c r="D6256" t="s">
        <v>20</v>
      </c>
      <c r="E6256" t="e">
        <f>VLOOKUP(Cpi_[[#This Row],[Attribute]],#REF!,2,FALSE)</f>
        <v>#REF!</v>
      </c>
      <c r="F6256" t="s">
        <v>32</v>
      </c>
      <c r="G6256" t="e">
        <f>(Cpi_[[#This Row],[Value]]-F6255)/F6255</f>
        <v>#VALUE!</v>
      </c>
      <c r="H6256" t="e" cm="1" vm="1">
        <f t="array" aca="1" ref="H6256" ca="1">VLOOKUP(Cpi_[[#This Row],[Year]:[Month]],crudeoil[],3,FALSE)</f>
        <v>#VALUE!</v>
      </c>
    </row>
    <row r="6257" spans="1:8" hidden="1" x14ac:dyDescent="0.3">
      <c r="A6257" t="s">
        <v>30</v>
      </c>
      <c r="B6257">
        <v>2019</v>
      </c>
      <c r="C6257" t="s">
        <v>40</v>
      </c>
      <c r="D6257" t="s">
        <v>21</v>
      </c>
      <c r="E6257" t="e">
        <f>VLOOKUP(Cpi_[[#This Row],[Attribute]],#REF!,2,FALSE)</f>
        <v>#REF!</v>
      </c>
      <c r="F6257">
        <v>146.80000000000001</v>
      </c>
      <c r="G6257" t="e">
        <f>(Cpi_[[#This Row],[Value]]-F6256)/F6256</f>
        <v>#VALUE!</v>
      </c>
      <c r="H6257" t="e" cm="1" vm="1">
        <f t="array" aca="1" ref="H6257" ca="1">VLOOKUP(Cpi_[[#This Row],[Year]:[Month]],crudeoil[],3,FALSE)</f>
        <v>#VALUE!</v>
      </c>
    </row>
    <row r="6258" spans="1:8" hidden="1" x14ac:dyDescent="0.3">
      <c r="A6258" t="s">
        <v>30</v>
      </c>
      <c r="B6258">
        <v>2019</v>
      </c>
      <c r="C6258" t="s">
        <v>40</v>
      </c>
      <c r="D6258" t="s">
        <v>22</v>
      </c>
      <c r="E6258" t="e">
        <f>VLOOKUP(Cpi_[[#This Row],[Attribute]],#REF!,2,FALSE)</f>
        <v>#REF!</v>
      </c>
      <c r="F6258">
        <v>150</v>
      </c>
      <c r="G6258">
        <f>(Cpi_[[#This Row],[Value]]-F6257)/F6257</f>
        <v>2.1798365122615723E-2</v>
      </c>
      <c r="H6258" t="e" cm="1" vm="1">
        <f t="array" aca="1" ref="H6258" ca="1">VLOOKUP(Cpi_[[#This Row],[Year]:[Month]],crudeoil[],3,FALSE)</f>
        <v>#VALUE!</v>
      </c>
    </row>
    <row r="6259" spans="1:8" hidden="1" x14ac:dyDescent="0.3">
      <c r="A6259" t="s">
        <v>30</v>
      </c>
      <c r="B6259">
        <v>2019</v>
      </c>
      <c r="C6259" t="s">
        <v>40</v>
      </c>
      <c r="D6259" t="s">
        <v>23</v>
      </c>
      <c r="E6259" t="e">
        <f>VLOOKUP(Cpi_[[#This Row],[Attribute]],#REF!,2,FALSE)</f>
        <v>#REF!</v>
      </c>
      <c r="F6259">
        <v>152.19999999999999</v>
      </c>
      <c r="G6259">
        <f>(Cpi_[[#This Row],[Value]]-F6258)/F6258</f>
        <v>1.466666666666659E-2</v>
      </c>
      <c r="H6259" t="e" cm="1" vm="1">
        <f t="array" aca="1" ref="H6259" ca="1">VLOOKUP(Cpi_[[#This Row],[Year]:[Month]],crudeoil[],3,FALSE)</f>
        <v>#VALUE!</v>
      </c>
    </row>
    <row r="6260" spans="1:8" hidden="1" x14ac:dyDescent="0.3">
      <c r="A6260" t="s">
        <v>30</v>
      </c>
      <c r="B6260">
        <v>2019</v>
      </c>
      <c r="C6260" t="s">
        <v>40</v>
      </c>
      <c r="D6260" t="s">
        <v>24</v>
      </c>
      <c r="E6260" t="e">
        <f>VLOOKUP(Cpi_[[#This Row],[Attribute]],#REF!,2,FALSE)</f>
        <v>#REF!</v>
      </c>
      <c r="F6260">
        <v>131.19999999999999</v>
      </c>
      <c r="G6260">
        <f>(Cpi_[[#This Row],[Value]]-F6259)/F6259</f>
        <v>-0.13797634691195795</v>
      </c>
      <c r="H6260" t="e" cm="1" vm="1">
        <f t="array" aca="1" ref="H6260" ca="1">VLOOKUP(Cpi_[[#This Row],[Year]:[Month]],crudeoil[],3,FALSE)</f>
        <v>#VALUE!</v>
      </c>
    </row>
    <row r="6261" spans="1:8" hidden="1" x14ac:dyDescent="0.3">
      <c r="A6261" t="s">
        <v>30</v>
      </c>
      <c r="B6261">
        <v>2019</v>
      </c>
      <c r="C6261" t="s">
        <v>40</v>
      </c>
      <c r="D6261" t="s">
        <v>25</v>
      </c>
      <c r="E6261" t="e">
        <f>VLOOKUP(Cpi_[[#This Row],[Attribute]],#REF!,2,FALSE)</f>
        <v>#REF!</v>
      </c>
      <c r="F6261">
        <v>147.5</v>
      </c>
      <c r="G6261">
        <f>(Cpi_[[#This Row],[Value]]-F6260)/F6260</f>
        <v>0.12423780487804888</v>
      </c>
      <c r="H6261" t="e" cm="1" vm="1">
        <f t="array" aca="1" ref="H6261" ca="1">VLOOKUP(Cpi_[[#This Row],[Year]:[Month]],crudeoil[],3,FALSE)</f>
        <v>#VALUE!</v>
      </c>
    </row>
    <row r="6262" spans="1:8" hidden="1" x14ac:dyDescent="0.3">
      <c r="A6262" t="s">
        <v>30</v>
      </c>
      <c r="B6262">
        <v>2019</v>
      </c>
      <c r="C6262" t="s">
        <v>40</v>
      </c>
      <c r="D6262" t="s">
        <v>26</v>
      </c>
      <c r="E6262" t="e">
        <f>VLOOKUP(Cpi_[[#This Row],[Attribute]],#REF!,2,FALSE)</f>
        <v>#REF!</v>
      </c>
      <c r="F6262">
        <v>159.1</v>
      </c>
      <c r="G6262">
        <f>(Cpi_[[#This Row],[Value]]-F6261)/F6261</f>
        <v>7.8644067796610137E-2</v>
      </c>
      <c r="H6262" t="e" cm="1" vm="1">
        <f t="array" aca="1" ref="H6262" ca="1">VLOOKUP(Cpi_[[#This Row],[Year]:[Month]],crudeoil[],3,FALSE)</f>
        <v>#VALUE!</v>
      </c>
    </row>
    <row r="6263" spans="1:8" hidden="1" x14ac:dyDescent="0.3">
      <c r="A6263" t="s">
        <v>30</v>
      </c>
      <c r="B6263">
        <v>2019</v>
      </c>
      <c r="C6263" t="s">
        <v>40</v>
      </c>
      <c r="D6263" t="s">
        <v>27</v>
      </c>
      <c r="E6263" t="e">
        <f>VLOOKUP(Cpi_[[#This Row],[Attribute]],#REF!,2,FALSE)</f>
        <v>#REF!</v>
      </c>
      <c r="F6263">
        <v>136.1</v>
      </c>
      <c r="G6263">
        <f>(Cpi_[[#This Row],[Value]]-F6262)/F6262</f>
        <v>-0.14456316781898179</v>
      </c>
      <c r="H6263" t="e" cm="1" vm="1">
        <f t="array" aca="1" ref="H6263" ca="1">VLOOKUP(Cpi_[[#This Row],[Year]:[Month]],crudeoil[],3,FALSE)</f>
        <v>#VALUE!</v>
      </c>
    </row>
    <row r="6264" spans="1:8" hidden="1" x14ac:dyDescent="0.3">
      <c r="A6264" t="s">
        <v>30</v>
      </c>
      <c r="B6264">
        <v>2019</v>
      </c>
      <c r="C6264" t="s">
        <v>40</v>
      </c>
      <c r="D6264" t="s">
        <v>28</v>
      </c>
      <c r="E6264" t="e">
        <f>VLOOKUP(Cpi_[[#This Row],[Attribute]],#REF!,2,FALSE)</f>
        <v>#REF!</v>
      </c>
      <c r="F6264">
        <v>144.19999999999999</v>
      </c>
      <c r="G6264">
        <f>(Cpi_[[#This Row],[Value]]-F6263)/F6263</f>
        <v>5.9515062454077845E-2</v>
      </c>
      <c r="H6264" t="e" cm="1" vm="1">
        <f t="array" aca="1" ref="H6264" ca="1">VLOOKUP(Cpi_[[#This Row],[Year]:[Month]],crudeoil[],3,FALSE)</f>
        <v>#VALUE!</v>
      </c>
    </row>
    <row r="6265" spans="1:8" hidden="1" x14ac:dyDescent="0.3">
      <c r="A6265" t="s">
        <v>30</v>
      </c>
      <c r="B6265">
        <v>2019</v>
      </c>
      <c r="C6265" t="s">
        <v>40</v>
      </c>
      <c r="D6265" t="s">
        <v>29</v>
      </c>
      <c r="E6265" t="e" cm="1">
        <f t="array" aca="1" ref="E6265" ca="1">VLGeneral indexGeneral indexKUP(Cpi_[[#This Row],[Attribute]],#REF!,2,FALSE)</f>
        <v>#NAME?</v>
      </c>
      <c r="F6265">
        <v>144.9</v>
      </c>
      <c r="G6265">
        <f>(Cpi_[[#This Row],[Value]]-F6264)/F6264</f>
        <v>4.8543689320389534E-3</v>
      </c>
      <c r="H6265" t="e" cm="1" vm="1">
        <f t="array" aca="1" ref="H6265" ca="1">VLOOKUP(Cpi_[[#This Row],[Year]:[Month]],crudeoil[],3,FALSE)</f>
        <v>#VALUE!</v>
      </c>
    </row>
    <row r="6266" spans="1:8" hidden="1" x14ac:dyDescent="0.3">
      <c r="A6266" t="s">
        <v>33</v>
      </c>
      <c r="B6266">
        <v>2019</v>
      </c>
      <c r="C6266" t="s">
        <v>40</v>
      </c>
      <c r="D6266" t="s">
        <v>3</v>
      </c>
      <c r="E6266" t="e">
        <f>VLOOKUP(Cpi_[[#This Row],[Attribute]],#REF!,2,FALSE)</f>
        <v>#REF!</v>
      </c>
      <c r="F6266">
        <v>141.4</v>
      </c>
      <c r="G6266">
        <f>(Cpi_[[#This Row],[Value]]-F6265)/F6265</f>
        <v>-2.4154589371980676E-2</v>
      </c>
      <c r="H6266" t="e" cm="1" vm="1">
        <f t="array" aca="1" ref="H6266" ca="1">VLOOKUP(Cpi_[[#This Row],[Year]:[Month]],crudeoil[],3,FALSE)</f>
        <v>#VALUE!</v>
      </c>
    </row>
    <row r="6267" spans="1:8" hidden="1" x14ac:dyDescent="0.3">
      <c r="A6267" t="s">
        <v>33</v>
      </c>
      <c r="B6267">
        <v>2019</v>
      </c>
      <c r="C6267" t="s">
        <v>40</v>
      </c>
      <c r="D6267" t="s">
        <v>4</v>
      </c>
      <c r="E6267" t="e">
        <f>VLOOKUP(Cpi_[[#This Row],[Attribute]],#REF!,2,FALSE)</f>
        <v>#REF!</v>
      </c>
      <c r="F6267">
        <v>160.19999999999999</v>
      </c>
      <c r="G6267">
        <f>(Cpi_[[#This Row],[Value]]-F6266)/F6266</f>
        <v>0.13295615275813283</v>
      </c>
      <c r="H6267" t="e" cm="1" vm="1">
        <f t="array" aca="1" ref="H6267" ca="1">VLOOKUP(Cpi_[[#This Row],[Year]:[Month]],crudeoil[],3,FALSE)</f>
        <v>#VALUE!</v>
      </c>
    </row>
    <row r="6268" spans="1:8" hidden="1" x14ac:dyDescent="0.3">
      <c r="A6268" t="s">
        <v>33</v>
      </c>
      <c r="B6268">
        <v>2019</v>
      </c>
      <c r="C6268" t="s">
        <v>40</v>
      </c>
      <c r="D6268" t="s">
        <v>5</v>
      </c>
      <c r="E6268" t="e">
        <f>VLOOKUP(Cpi_[[#This Row],[Attribute]],#REF!,2,FALSE)</f>
        <v>#REF!</v>
      </c>
      <c r="F6268">
        <v>142.5</v>
      </c>
      <c r="G6268">
        <f>(Cpi_[[#This Row],[Value]]-F6267)/F6267</f>
        <v>-0.11048689138576773</v>
      </c>
      <c r="H6268" t="e" cm="1" vm="1">
        <f t="array" aca="1" ref="H6268" ca="1">VLOOKUP(Cpi_[[#This Row],[Year]:[Month]],crudeoil[],3,FALSE)</f>
        <v>#VALUE!</v>
      </c>
    </row>
    <row r="6269" spans="1:8" hidden="1" x14ac:dyDescent="0.3">
      <c r="A6269" t="s">
        <v>33</v>
      </c>
      <c r="B6269">
        <v>2019</v>
      </c>
      <c r="C6269" t="s">
        <v>40</v>
      </c>
      <c r="D6269" t="s">
        <v>6</v>
      </c>
      <c r="E6269" t="e">
        <f>VLOOKUP(Cpi_[[#This Row],[Attribute]],#REF!,2,FALSE)</f>
        <v>#REF!</v>
      </c>
      <c r="F6269">
        <v>144.1</v>
      </c>
      <c r="G6269">
        <f>(Cpi_[[#This Row],[Value]]-F6268)/F6268</f>
        <v>1.1228070175438556E-2</v>
      </c>
      <c r="H6269" t="e" cm="1" vm="1">
        <f t="array" aca="1" ref="H6269" ca="1">VLOOKUP(Cpi_[[#This Row],[Year]:[Month]],crudeoil[],3,FALSE)</f>
        <v>#VALUE!</v>
      </c>
    </row>
    <row r="6270" spans="1:8" hidden="1" x14ac:dyDescent="0.3">
      <c r="A6270" t="s">
        <v>33</v>
      </c>
      <c r="B6270">
        <v>2019</v>
      </c>
      <c r="C6270" t="s">
        <v>40</v>
      </c>
      <c r="D6270" t="s">
        <v>7</v>
      </c>
      <c r="E6270" t="e">
        <f>VLOOKUP(Cpi_[[#This Row],[Attribute]],#REF!,2,FALSE)</f>
        <v>#REF!</v>
      </c>
      <c r="F6270">
        <v>119.3</v>
      </c>
      <c r="G6270">
        <f>(Cpi_[[#This Row],[Value]]-F6269)/F6269</f>
        <v>-0.17210270645385148</v>
      </c>
      <c r="H6270" t="e" cm="1" vm="1">
        <f t="array" aca="1" ref="H6270" ca="1">VLOOKUP(Cpi_[[#This Row],[Year]:[Month]],crudeoil[],3,FALSE)</f>
        <v>#VALUE!</v>
      </c>
    </row>
    <row r="6271" spans="1:8" hidden="1" x14ac:dyDescent="0.3">
      <c r="A6271" t="s">
        <v>33</v>
      </c>
      <c r="B6271">
        <v>2019</v>
      </c>
      <c r="C6271" t="s">
        <v>40</v>
      </c>
      <c r="D6271" t="s">
        <v>8</v>
      </c>
      <c r="E6271" t="e">
        <f>VLOOKUP(Cpi_[[#This Row],[Attribute]],#REF!,2,FALSE)</f>
        <v>#REF!</v>
      </c>
      <c r="F6271">
        <v>154.69999999999999</v>
      </c>
      <c r="G6271">
        <f>(Cpi_[[#This Row],[Value]]-F6270)/F6270</f>
        <v>0.29673093042749366</v>
      </c>
      <c r="H6271" t="e" cm="1" vm="1">
        <f t="array" aca="1" ref="H6271" ca="1">VLOOKUP(Cpi_[[#This Row],[Year]:[Month]],crudeoil[],3,FALSE)</f>
        <v>#VALUE!</v>
      </c>
    </row>
    <row r="6272" spans="1:8" hidden="1" x14ac:dyDescent="0.3">
      <c r="A6272" t="s">
        <v>33</v>
      </c>
      <c r="B6272">
        <v>2019</v>
      </c>
      <c r="C6272" t="s">
        <v>40</v>
      </c>
      <c r="D6272" t="s">
        <v>9</v>
      </c>
      <c r="E6272" t="e">
        <f>VLOOKUP(Cpi_[[#This Row],[Attribute]],#REF!,2,FALSE)</f>
        <v>#REF!</v>
      </c>
      <c r="F6272">
        <v>180.1</v>
      </c>
      <c r="G6272">
        <f>(Cpi_[[#This Row],[Value]]-F6271)/F6271</f>
        <v>0.1641887524240466</v>
      </c>
      <c r="H6272" t="e" cm="1" vm="1">
        <f t="array" aca="1" ref="H6272" ca="1">VLOOKUP(Cpi_[[#This Row],[Year]:[Month]],crudeoil[],3,FALSE)</f>
        <v>#VALUE!</v>
      </c>
    </row>
    <row r="6273" spans="1:8" hidden="1" x14ac:dyDescent="0.3">
      <c r="A6273" t="s">
        <v>33</v>
      </c>
      <c r="B6273">
        <v>2019</v>
      </c>
      <c r="C6273" t="s">
        <v>40</v>
      </c>
      <c r="D6273" t="s">
        <v>10</v>
      </c>
      <c r="E6273" t="e">
        <f>VLOOKUP(Cpi_[[#This Row],[Attribute]],#REF!,2,FALSE)</f>
        <v>#REF!</v>
      </c>
      <c r="F6273">
        <v>128.9</v>
      </c>
      <c r="G6273">
        <f>(Cpi_[[#This Row],[Value]]-F6272)/F6272</f>
        <v>-0.28428650749583562</v>
      </c>
      <c r="H6273" t="e" cm="1" vm="1">
        <f t="array" aca="1" ref="H6273" ca="1">VLOOKUP(Cpi_[[#This Row],[Year]:[Month]],crudeoil[],3,FALSE)</f>
        <v>#VALUE!</v>
      </c>
    </row>
    <row r="6274" spans="1:8" hidden="1" x14ac:dyDescent="0.3">
      <c r="A6274" t="s">
        <v>33</v>
      </c>
      <c r="B6274">
        <v>2019</v>
      </c>
      <c r="C6274" t="s">
        <v>40</v>
      </c>
      <c r="D6274" t="s">
        <v>11</v>
      </c>
      <c r="E6274" t="e">
        <f>VLOOKUP(Cpi_[[#This Row],[Attribute]],#REF!,2,FALSE)</f>
        <v>#REF!</v>
      </c>
      <c r="F6274">
        <v>111.8</v>
      </c>
      <c r="G6274">
        <f>(Cpi_[[#This Row],[Value]]-F6273)/F6273</f>
        <v>-0.13266097750193956</v>
      </c>
      <c r="H6274" t="e" cm="1" vm="1">
        <f t="array" aca="1" ref="H6274" ca="1">VLOOKUP(Cpi_[[#This Row],[Year]:[Month]],crudeoil[],3,FALSE)</f>
        <v>#VALUE!</v>
      </c>
    </row>
    <row r="6275" spans="1:8" hidden="1" x14ac:dyDescent="0.3">
      <c r="A6275" t="s">
        <v>33</v>
      </c>
      <c r="B6275">
        <v>2019</v>
      </c>
      <c r="C6275" t="s">
        <v>40</v>
      </c>
      <c r="D6275" t="s">
        <v>12</v>
      </c>
      <c r="E6275" t="e">
        <f>VLOOKUP(Cpi_[[#This Row],[Attribute]],#REF!,2,FALSE)</f>
        <v>#REF!</v>
      </c>
      <c r="F6275">
        <v>141.6</v>
      </c>
      <c r="G6275">
        <f>(Cpi_[[#This Row],[Value]]-F6274)/F6274</f>
        <v>0.26654740608228977</v>
      </c>
      <c r="H6275" t="e" cm="1" vm="1">
        <f t="array" aca="1" ref="H6275" ca="1">VLOOKUP(Cpi_[[#This Row],[Year]:[Month]],crudeoil[],3,FALSE)</f>
        <v>#VALUE!</v>
      </c>
    </row>
    <row r="6276" spans="1:8" hidden="1" x14ac:dyDescent="0.3">
      <c r="A6276" t="s">
        <v>33</v>
      </c>
      <c r="B6276">
        <v>2019</v>
      </c>
      <c r="C6276" t="s">
        <v>40</v>
      </c>
      <c r="D6276" t="s">
        <v>13</v>
      </c>
      <c r="E6276" t="e">
        <f>VLOOKUP(Cpi_[[#This Row],[Attribute]],#REF!,2,FALSE)</f>
        <v>#REF!</v>
      </c>
      <c r="F6276">
        <v>129.5</v>
      </c>
      <c r="G6276">
        <f>(Cpi_[[#This Row],[Value]]-F6275)/F6275</f>
        <v>-8.5451977401129905E-2</v>
      </c>
      <c r="H6276" t="e" cm="1" vm="1">
        <f t="array" aca="1" ref="H6276" ca="1">VLOOKUP(Cpi_[[#This Row],[Year]:[Month]],crudeoil[],3,FALSE)</f>
        <v>#VALUE!</v>
      </c>
    </row>
    <row r="6277" spans="1:8" hidden="1" x14ac:dyDescent="0.3">
      <c r="A6277" t="s">
        <v>33</v>
      </c>
      <c r="B6277">
        <v>2019</v>
      </c>
      <c r="C6277" t="s">
        <v>40</v>
      </c>
      <c r="D6277" t="s">
        <v>14</v>
      </c>
      <c r="E6277" t="e">
        <f>VLOOKUP(Cpi_[[#This Row],[Attribute]],#REF!,2,FALSE)</f>
        <v>#REF!</v>
      </c>
      <c r="F6277">
        <v>155.6</v>
      </c>
      <c r="G6277">
        <f>(Cpi_[[#This Row],[Value]]-F6276)/F6276</f>
        <v>0.20154440154440151</v>
      </c>
      <c r="H6277" t="e" cm="1" vm="1">
        <f t="array" aca="1" ref="H6277" ca="1">VLOOKUP(Cpi_[[#This Row],[Year]:[Month]],crudeoil[],3,FALSE)</f>
        <v>#VALUE!</v>
      </c>
    </row>
    <row r="6278" spans="1:8" hidden="1" x14ac:dyDescent="0.3">
      <c r="A6278" t="s">
        <v>33</v>
      </c>
      <c r="B6278">
        <v>2019</v>
      </c>
      <c r="C6278" t="s">
        <v>40</v>
      </c>
      <c r="D6278" t="s">
        <v>15</v>
      </c>
      <c r="E6278" t="e">
        <f>VLOOKUP(Cpi_[[#This Row],[Attribute]],#REF!,2,FALSE)</f>
        <v>#REF!</v>
      </c>
      <c r="F6278">
        <v>147.69999999999999</v>
      </c>
      <c r="G6278">
        <f>(Cpi_[[#This Row],[Value]]-F6277)/F6277</f>
        <v>-5.0771208226221116E-2</v>
      </c>
      <c r="H6278" t="e" cm="1" vm="1">
        <f t="array" aca="1" ref="H6278" ca="1">VLOOKUP(Cpi_[[#This Row],[Year]:[Month]],crudeoil[],3,FALSE)</f>
        <v>#VALUE!</v>
      </c>
    </row>
    <row r="6279" spans="1:8" hidden="1" x14ac:dyDescent="0.3">
      <c r="A6279" t="s">
        <v>33</v>
      </c>
      <c r="B6279">
        <v>2019</v>
      </c>
      <c r="C6279" t="s">
        <v>40</v>
      </c>
      <c r="D6279" t="s">
        <v>16</v>
      </c>
      <c r="E6279" t="e">
        <f>VLOOKUP(Cpi_[[#This Row],[Attribute]],#REF!,2,FALSE)</f>
        <v>#REF!</v>
      </c>
      <c r="F6279">
        <v>167.2</v>
      </c>
      <c r="G6279">
        <f>(Cpi_[[#This Row],[Value]]-F6278)/F6278</f>
        <v>0.13202437373053488</v>
      </c>
      <c r="H6279" t="e" cm="1" vm="1">
        <f t="array" aca="1" ref="H6279" ca="1">VLOOKUP(Cpi_[[#This Row],[Year]:[Month]],crudeoil[],3,FALSE)</f>
        <v>#VALUE!</v>
      </c>
    </row>
    <row r="6280" spans="1:8" hidden="1" x14ac:dyDescent="0.3">
      <c r="A6280" t="s">
        <v>33</v>
      </c>
      <c r="B6280">
        <v>2019</v>
      </c>
      <c r="C6280" t="s">
        <v>40</v>
      </c>
      <c r="D6280" t="s">
        <v>17</v>
      </c>
      <c r="E6280" t="e">
        <f>VLOOKUP(Cpi_[[#This Row],[Attribute]],#REF!,2,FALSE)</f>
        <v>#REF!</v>
      </c>
      <c r="F6280">
        <v>144.69999999999999</v>
      </c>
      <c r="G6280">
        <f>(Cpi_[[#This Row],[Value]]-F6279)/F6279</f>
        <v>-0.13456937799043064</v>
      </c>
      <c r="H6280" t="e" cm="1" vm="1">
        <f t="array" aca="1" ref="H6280" ca="1">VLOOKUP(Cpi_[[#This Row],[Year]:[Month]],crudeoil[],3,FALSE)</f>
        <v>#VALUE!</v>
      </c>
    </row>
    <row r="6281" spans="1:8" hidden="1" x14ac:dyDescent="0.3">
      <c r="A6281" t="s">
        <v>33</v>
      </c>
      <c r="B6281">
        <v>2019</v>
      </c>
      <c r="C6281" t="s">
        <v>40</v>
      </c>
      <c r="D6281" t="s">
        <v>18</v>
      </c>
      <c r="E6281" t="e">
        <f>VLOOKUP(Cpi_[[#This Row],[Attribute]],#REF!,2,FALSE)</f>
        <v>#REF!</v>
      </c>
      <c r="F6281">
        <v>131.9</v>
      </c>
      <c r="G6281">
        <f>(Cpi_[[#This Row],[Value]]-F6280)/F6280</f>
        <v>-8.8458880442294288E-2</v>
      </c>
      <c r="H6281" t="e" cm="1" vm="1">
        <f t="array" aca="1" ref="H6281" ca="1">VLOOKUP(Cpi_[[#This Row],[Year]:[Month]],crudeoil[],3,FALSE)</f>
        <v>#VALUE!</v>
      </c>
    </row>
    <row r="6282" spans="1:8" hidden="1" x14ac:dyDescent="0.3">
      <c r="A6282" t="s">
        <v>33</v>
      </c>
      <c r="B6282">
        <v>2019</v>
      </c>
      <c r="C6282" t="s">
        <v>40</v>
      </c>
      <c r="D6282" t="s">
        <v>19</v>
      </c>
      <c r="E6282" t="e">
        <f>VLOOKUP(Cpi_[[#This Row],[Attribute]],#REF!,2,FALSE)</f>
        <v>#REF!</v>
      </c>
      <c r="F6282">
        <v>142.69999999999999</v>
      </c>
      <c r="G6282">
        <f>(Cpi_[[#This Row],[Value]]-F6281)/F6281</f>
        <v>8.1880212282031711E-2</v>
      </c>
      <c r="H6282" t="e" cm="1" vm="1">
        <f t="array" aca="1" ref="H6282" ca="1">VLOOKUP(Cpi_[[#This Row],[Year]:[Month]],crudeoil[],3,FALSE)</f>
        <v>#VALUE!</v>
      </c>
    </row>
    <row r="6283" spans="1:8" hidden="1" x14ac:dyDescent="0.3">
      <c r="A6283" t="s">
        <v>33</v>
      </c>
      <c r="B6283">
        <v>2019</v>
      </c>
      <c r="C6283" t="s">
        <v>40</v>
      </c>
      <c r="D6283" t="s">
        <v>20</v>
      </c>
      <c r="E6283" t="e">
        <f>VLOOKUP(Cpi_[[#This Row],[Attribute]],#REF!,2,FALSE)</f>
        <v>#REF!</v>
      </c>
      <c r="F6283">
        <v>150.6</v>
      </c>
      <c r="G6283">
        <f>(Cpi_[[#This Row],[Value]]-F6282)/F6282</f>
        <v>5.53608969866854E-2</v>
      </c>
      <c r="H6283" t="e" cm="1" vm="1">
        <f t="array" aca="1" ref="H6283" ca="1">VLOOKUP(Cpi_[[#This Row],[Year]:[Month]],crudeoil[],3,FALSE)</f>
        <v>#VALUE!</v>
      </c>
    </row>
    <row r="6284" spans="1:8" hidden="1" x14ac:dyDescent="0.3">
      <c r="A6284" t="s">
        <v>33</v>
      </c>
      <c r="B6284">
        <v>2019</v>
      </c>
      <c r="C6284" t="s">
        <v>40</v>
      </c>
      <c r="D6284" t="s">
        <v>21</v>
      </c>
      <c r="E6284" t="e">
        <f>VLOOKUP(Cpi_[[#This Row],[Attribute]],#REF!,2,FALSE)</f>
        <v>#REF!</v>
      </c>
      <c r="F6284">
        <v>127</v>
      </c>
      <c r="G6284">
        <f>(Cpi_[[#This Row],[Value]]-F6283)/F6283</f>
        <v>-0.15670650730411684</v>
      </c>
      <c r="H6284" t="e" cm="1" vm="1">
        <f t="array" aca="1" ref="H6284" ca="1">VLOOKUP(Cpi_[[#This Row],[Year]:[Month]],crudeoil[],3,FALSE)</f>
        <v>#VALUE!</v>
      </c>
    </row>
    <row r="6285" spans="1:8" hidden="1" x14ac:dyDescent="0.3">
      <c r="A6285" t="s">
        <v>33</v>
      </c>
      <c r="B6285">
        <v>2019</v>
      </c>
      <c r="C6285" t="s">
        <v>40</v>
      </c>
      <c r="D6285" t="s">
        <v>22</v>
      </c>
      <c r="E6285" t="e">
        <f>VLOOKUP(Cpi_[[#This Row],[Attribute]],#REF!,2,FALSE)</f>
        <v>#REF!</v>
      </c>
      <c r="F6285">
        <v>137.69999999999999</v>
      </c>
      <c r="G6285">
        <f>(Cpi_[[#This Row],[Value]]-F6284)/F6284</f>
        <v>8.4251968503936916E-2</v>
      </c>
      <c r="H6285" t="e" cm="1" vm="1">
        <f t="array" aca="1" ref="H6285" ca="1">VLOOKUP(Cpi_[[#This Row],[Year]:[Month]],crudeoil[],3,FALSE)</f>
        <v>#VALUE!</v>
      </c>
    </row>
    <row r="6286" spans="1:8" hidden="1" x14ac:dyDescent="0.3">
      <c r="A6286" t="s">
        <v>33</v>
      </c>
      <c r="B6286">
        <v>2019</v>
      </c>
      <c r="C6286" t="s">
        <v>40</v>
      </c>
      <c r="D6286" t="s">
        <v>23</v>
      </c>
      <c r="E6286" t="e">
        <f>VLOOKUP(Cpi_[[#This Row],[Attribute]],#REF!,2,FALSE)</f>
        <v>#REF!</v>
      </c>
      <c r="F6286">
        <v>140.80000000000001</v>
      </c>
      <c r="G6286">
        <f>(Cpi_[[#This Row],[Value]]-F6285)/F6285</f>
        <v>2.2512708787218758E-2</v>
      </c>
      <c r="H6286" t="e" cm="1" vm="1">
        <f t="array" aca="1" ref="H6286" ca="1">VLOOKUP(Cpi_[[#This Row],[Year]:[Month]],crudeoil[],3,FALSE)</f>
        <v>#VALUE!</v>
      </c>
    </row>
    <row r="6287" spans="1:8" hidden="1" x14ac:dyDescent="0.3">
      <c r="A6287" t="s">
        <v>33</v>
      </c>
      <c r="B6287">
        <v>2019</v>
      </c>
      <c r="C6287" t="s">
        <v>40</v>
      </c>
      <c r="D6287" t="s">
        <v>24</v>
      </c>
      <c r="E6287" t="e">
        <f>VLOOKUP(Cpi_[[#This Row],[Attribute]],#REF!,2,FALSE)</f>
        <v>#REF!</v>
      </c>
      <c r="F6287">
        <v>120.6</v>
      </c>
      <c r="G6287">
        <f>(Cpi_[[#This Row],[Value]]-F6286)/F6286</f>
        <v>-0.1434659090909092</v>
      </c>
      <c r="H6287" t="e" cm="1" vm="1">
        <f t="array" aca="1" ref="H6287" ca="1">VLOOKUP(Cpi_[[#This Row],[Year]:[Month]],crudeoil[],3,FALSE)</f>
        <v>#VALUE!</v>
      </c>
    </row>
    <row r="6288" spans="1:8" hidden="1" x14ac:dyDescent="0.3">
      <c r="A6288" t="s">
        <v>33</v>
      </c>
      <c r="B6288">
        <v>2019</v>
      </c>
      <c r="C6288" t="s">
        <v>40</v>
      </c>
      <c r="D6288" t="s">
        <v>25</v>
      </c>
      <c r="E6288" t="e">
        <f>VLOOKUP(Cpi_[[#This Row],[Attribute]],#REF!,2,FALSE)</f>
        <v>#REF!</v>
      </c>
      <c r="F6288">
        <v>135</v>
      </c>
      <c r="G6288">
        <f>(Cpi_[[#This Row],[Value]]-F6287)/F6287</f>
        <v>0.11940298507462692</v>
      </c>
      <c r="H6288" t="e" cm="1" vm="1">
        <f t="array" aca="1" ref="H6288" ca="1">VLOOKUP(Cpi_[[#This Row],[Year]:[Month]],crudeoil[],3,FALSE)</f>
        <v>#VALUE!</v>
      </c>
    </row>
    <row r="6289" spans="1:8" hidden="1" x14ac:dyDescent="0.3">
      <c r="A6289" t="s">
        <v>33</v>
      </c>
      <c r="B6289">
        <v>2019</v>
      </c>
      <c r="C6289" t="s">
        <v>40</v>
      </c>
      <c r="D6289" t="s">
        <v>26</v>
      </c>
      <c r="E6289" t="e">
        <f>VLOOKUP(Cpi_[[#This Row],[Attribute]],#REF!,2,FALSE)</f>
        <v>#REF!</v>
      </c>
      <c r="F6289">
        <v>150.4</v>
      </c>
      <c r="G6289">
        <f>(Cpi_[[#This Row],[Value]]-F6288)/F6288</f>
        <v>0.11407407407407412</v>
      </c>
      <c r="H6289" t="e" cm="1" vm="1">
        <f t="array" aca="1" ref="H6289" ca="1">VLOOKUP(Cpi_[[#This Row],[Year]:[Month]],crudeoil[],3,FALSE)</f>
        <v>#VALUE!</v>
      </c>
    </row>
    <row r="6290" spans="1:8" hidden="1" x14ac:dyDescent="0.3">
      <c r="A6290" t="s">
        <v>33</v>
      </c>
      <c r="B6290">
        <v>2019</v>
      </c>
      <c r="C6290" t="s">
        <v>40</v>
      </c>
      <c r="D6290" t="s">
        <v>27</v>
      </c>
      <c r="E6290" t="e">
        <f>VLOOKUP(Cpi_[[#This Row],[Attribute]],#REF!,2,FALSE)</f>
        <v>#REF!</v>
      </c>
      <c r="F6290">
        <v>135.1</v>
      </c>
      <c r="G6290">
        <f>(Cpi_[[#This Row],[Value]]-F6289)/F6289</f>
        <v>-0.10172872340425539</v>
      </c>
      <c r="H6290" t="e" cm="1" vm="1">
        <f t="array" aca="1" ref="H6290" ca="1">VLOOKUP(Cpi_[[#This Row],[Year]:[Month]],crudeoil[],3,FALSE)</f>
        <v>#VALUE!</v>
      </c>
    </row>
    <row r="6291" spans="1:8" hidden="1" x14ac:dyDescent="0.3">
      <c r="A6291" t="s">
        <v>33</v>
      </c>
      <c r="B6291">
        <v>2019</v>
      </c>
      <c r="C6291" t="s">
        <v>40</v>
      </c>
      <c r="D6291" t="s">
        <v>28</v>
      </c>
      <c r="E6291" t="e">
        <f>VLOOKUP(Cpi_[[#This Row],[Attribute]],#REF!,2,FALSE)</f>
        <v>#REF!</v>
      </c>
      <c r="F6291">
        <v>134.5</v>
      </c>
      <c r="G6291">
        <f>(Cpi_[[#This Row],[Value]]-F6290)/F6290</f>
        <v>-4.4411547002220159E-3</v>
      </c>
      <c r="H6291" t="e" cm="1" vm="1">
        <f t="array" aca="1" ref="H6291" ca="1">VLOOKUP(Cpi_[[#This Row],[Year]:[Month]],crudeoil[],3,FALSE)</f>
        <v>#VALUE!</v>
      </c>
    </row>
    <row r="6292" spans="1:8" hidden="1" x14ac:dyDescent="0.3">
      <c r="A6292" t="s">
        <v>33</v>
      </c>
      <c r="B6292">
        <v>2019</v>
      </c>
      <c r="C6292" t="s">
        <v>40</v>
      </c>
      <c r="D6292" t="s">
        <v>29</v>
      </c>
      <c r="E6292" t="e" cm="1">
        <f t="array" aca="1" ref="E6292" ca="1">VLGeneral indexGeneral indexKUP(Cpi_[[#This Row],[Attribute]],#REF!,2,FALSE)</f>
        <v>#NAME?</v>
      </c>
      <c r="F6292">
        <v>143.30000000000001</v>
      </c>
      <c r="G6292">
        <f>(Cpi_[[#This Row],[Value]]-F6291)/F6291</f>
        <v>6.542750929368038E-2</v>
      </c>
      <c r="H6292" t="e" cm="1" vm="1">
        <f t="array" aca="1" ref="H6292" ca="1">VLOOKUP(Cpi_[[#This Row],[Year]:[Month]],crudeoil[],3,FALSE)</f>
        <v>#VALUE!</v>
      </c>
    </row>
    <row r="6293" spans="1:8" hidden="1" x14ac:dyDescent="0.3">
      <c r="A6293" t="s">
        <v>34</v>
      </c>
      <c r="B6293">
        <v>2019</v>
      </c>
      <c r="C6293" t="s">
        <v>40</v>
      </c>
      <c r="D6293" t="s">
        <v>3</v>
      </c>
      <c r="E6293" t="e">
        <f>VLOOKUP(Cpi_[[#This Row],[Attribute]],#REF!,2,FALSE)</f>
        <v>#REF!</v>
      </c>
      <c r="F6293">
        <v>139.30000000000001</v>
      </c>
      <c r="G6293">
        <f>(Cpi_[[#This Row],[Value]]-F6292)/F6292</f>
        <v>-2.7913468248429864E-2</v>
      </c>
      <c r="H6293" t="e" cm="1" vm="1">
        <f t="array" aca="1" ref="H6293" ca="1">VLOOKUP(Cpi_[[#This Row],[Year]:[Month]],crudeoil[],3,FALSE)</f>
        <v>#VALUE!</v>
      </c>
    </row>
    <row r="6294" spans="1:8" hidden="1" x14ac:dyDescent="0.3">
      <c r="A6294" t="s">
        <v>34</v>
      </c>
      <c r="B6294">
        <v>2019</v>
      </c>
      <c r="C6294" t="s">
        <v>40</v>
      </c>
      <c r="D6294" t="s">
        <v>4</v>
      </c>
      <c r="E6294" t="e">
        <f>VLOOKUP(Cpi_[[#This Row],[Attribute]],#REF!,2,FALSE)</f>
        <v>#REF!</v>
      </c>
      <c r="F6294">
        <v>162.69999999999999</v>
      </c>
      <c r="G6294">
        <f>(Cpi_[[#This Row],[Value]]-F6293)/F6293</f>
        <v>0.1679827709978462</v>
      </c>
      <c r="H6294" t="e" cm="1" vm="1">
        <f t="array" aca="1" ref="H6294" ca="1">VLOOKUP(Cpi_[[#This Row],[Year]:[Month]],crudeoil[],3,FALSE)</f>
        <v>#VALUE!</v>
      </c>
    </row>
    <row r="6295" spans="1:8" hidden="1" x14ac:dyDescent="0.3">
      <c r="A6295" t="s">
        <v>34</v>
      </c>
      <c r="B6295">
        <v>2019</v>
      </c>
      <c r="C6295" t="s">
        <v>40</v>
      </c>
      <c r="D6295" t="s">
        <v>5</v>
      </c>
      <c r="E6295" t="e">
        <f>VLOOKUP(Cpi_[[#This Row],[Attribute]],#REF!,2,FALSE)</f>
        <v>#REF!</v>
      </c>
      <c r="F6295">
        <v>140</v>
      </c>
      <c r="G6295">
        <f>(Cpi_[[#This Row],[Value]]-F6294)/F6294</f>
        <v>-0.13952059004302392</v>
      </c>
      <c r="H6295" t="e" cm="1" vm="1">
        <f t="array" aca="1" ref="H6295" ca="1">VLOOKUP(Cpi_[[#This Row],[Year]:[Month]],crudeoil[],3,FALSE)</f>
        <v>#VALUE!</v>
      </c>
    </row>
    <row r="6296" spans="1:8" hidden="1" x14ac:dyDescent="0.3">
      <c r="A6296" t="s">
        <v>34</v>
      </c>
      <c r="B6296">
        <v>2019</v>
      </c>
      <c r="C6296" t="s">
        <v>40</v>
      </c>
      <c r="D6296" t="s">
        <v>6</v>
      </c>
      <c r="E6296" t="e">
        <f>VLOOKUP(Cpi_[[#This Row],[Attribute]],#REF!,2,FALSE)</f>
        <v>#REF!</v>
      </c>
      <c r="F6296">
        <v>144</v>
      </c>
      <c r="G6296">
        <f>(Cpi_[[#This Row],[Value]]-F6295)/F6295</f>
        <v>2.8571428571428571E-2</v>
      </c>
      <c r="H6296" t="e" cm="1" vm="1">
        <f t="array" aca="1" ref="H6296" ca="1">VLOOKUP(Cpi_[[#This Row],[Year]:[Month]],crudeoil[],3,FALSE)</f>
        <v>#VALUE!</v>
      </c>
    </row>
    <row r="6297" spans="1:8" hidden="1" x14ac:dyDescent="0.3">
      <c r="A6297" t="s">
        <v>34</v>
      </c>
      <c r="B6297">
        <v>2019</v>
      </c>
      <c r="C6297" t="s">
        <v>40</v>
      </c>
      <c r="D6297" t="s">
        <v>7</v>
      </c>
      <c r="E6297" t="e">
        <f>VLOOKUP(Cpi_[[#This Row],[Attribute]],#REF!,2,FALSE)</f>
        <v>#REF!</v>
      </c>
      <c r="F6297">
        <v>122.5</v>
      </c>
      <c r="G6297">
        <f>(Cpi_[[#This Row],[Value]]-F6296)/F6296</f>
        <v>-0.14930555555555555</v>
      </c>
      <c r="H6297" t="e" cm="1" vm="1">
        <f t="array" aca="1" ref="H6297" ca="1">VLOOKUP(Cpi_[[#This Row],[Year]:[Month]],crudeoil[],3,FALSE)</f>
        <v>#VALUE!</v>
      </c>
    </row>
    <row r="6298" spans="1:8" hidden="1" x14ac:dyDescent="0.3">
      <c r="A6298" t="s">
        <v>34</v>
      </c>
      <c r="B6298">
        <v>2019</v>
      </c>
      <c r="C6298" t="s">
        <v>40</v>
      </c>
      <c r="D6298" t="s">
        <v>8</v>
      </c>
      <c r="E6298" t="e">
        <f>VLOOKUP(Cpi_[[#This Row],[Attribute]],#REF!,2,FALSE)</f>
        <v>#REF!</v>
      </c>
      <c r="F6298">
        <v>150.30000000000001</v>
      </c>
      <c r="G6298">
        <f>(Cpi_[[#This Row],[Value]]-F6297)/F6297</f>
        <v>0.22693877551020417</v>
      </c>
      <c r="H6298" t="e" cm="1" vm="1">
        <f t="array" aca="1" ref="H6298" ca="1">VLOOKUP(Cpi_[[#This Row],[Year]:[Month]],crudeoil[],3,FALSE)</f>
        <v>#VALUE!</v>
      </c>
    </row>
    <row r="6299" spans="1:8" hidden="1" x14ac:dyDescent="0.3">
      <c r="A6299" t="s">
        <v>34</v>
      </c>
      <c r="B6299">
        <v>2019</v>
      </c>
      <c r="C6299" t="s">
        <v>40</v>
      </c>
      <c r="D6299" t="s">
        <v>9</v>
      </c>
      <c r="E6299" t="e">
        <f>VLOOKUP(Cpi_[[#This Row],[Attribute]],#REF!,2,FALSE)</f>
        <v>#REF!</v>
      </c>
      <c r="F6299">
        <v>160.30000000000001</v>
      </c>
      <c r="G6299">
        <f>(Cpi_[[#This Row],[Value]]-F6298)/F6298</f>
        <v>6.65335994677312E-2</v>
      </c>
      <c r="H6299" t="e" cm="1" vm="1">
        <f t="array" aca="1" ref="H6299" ca="1">VLOOKUP(Cpi_[[#This Row],[Year]:[Month]],crudeoil[],3,FALSE)</f>
        <v>#VALUE!</v>
      </c>
    </row>
    <row r="6300" spans="1:8" hidden="1" x14ac:dyDescent="0.3">
      <c r="A6300" t="s">
        <v>34</v>
      </c>
      <c r="B6300">
        <v>2019</v>
      </c>
      <c r="C6300" t="s">
        <v>40</v>
      </c>
      <c r="D6300" t="s">
        <v>10</v>
      </c>
      <c r="E6300" t="e">
        <f>VLOOKUP(Cpi_[[#This Row],[Attribute]],#REF!,2,FALSE)</f>
        <v>#REF!</v>
      </c>
      <c r="F6300">
        <v>130</v>
      </c>
      <c r="G6300">
        <f>(Cpi_[[#This Row],[Value]]-F6299)/F6299</f>
        <v>-0.18902058640049912</v>
      </c>
      <c r="H6300" t="e" cm="1" vm="1">
        <f t="array" aca="1" ref="H6300" ca="1">VLOOKUP(Cpi_[[#This Row],[Year]:[Month]],crudeoil[],3,FALSE)</f>
        <v>#VALUE!</v>
      </c>
    </row>
    <row r="6301" spans="1:8" hidden="1" x14ac:dyDescent="0.3">
      <c r="A6301" t="s">
        <v>34</v>
      </c>
      <c r="B6301">
        <v>2019</v>
      </c>
      <c r="C6301" t="s">
        <v>40</v>
      </c>
      <c r="D6301" t="s">
        <v>11</v>
      </c>
      <c r="E6301" t="e">
        <f>VLOOKUP(Cpi_[[#This Row],[Attribute]],#REF!,2,FALSE)</f>
        <v>#REF!</v>
      </c>
      <c r="F6301">
        <v>111.1</v>
      </c>
      <c r="G6301">
        <f>(Cpi_[[#This Row],[Value]]-F6300)/F6300</f>
        <v>-0.14538461538461542</v>
      </c>
      <c r="H6301" t="e" cm="1" vm="1">
        <f t="array" aca="1" ref="H6301" ca="1">VLOOKUP(Cpi_[[#This Row],[Year]:[Month]],crudeoil[],3,FALSE)</f>
        <v>#VALUE!</v>
      </c>
    </row>
    <row r="6302" spans="1:8" hidden="1" x14ac:dyDescent="0.3">
      <c r="A6302" t="s">
        <v>34</v>
      </c>
      <c r="B6302">
        <v>2019</v>
      </c>
      <c r="C6302" t="s">
        <v>40</v>
      </c>
      <c r="D6302" t="s">
        <v>12</v>
      </c>
      <c r="E6302" t="e">
        <f>VLOOKUP(Cpi_[[#This Row],[Attribute]],#REF!,2,FALSE)</f>
        <v>#REF!</v>
      </c>
      <c r="F6302">
        <v>141.69999999999999</v>
      </c>
      <c r="G6302">
        <f>(Cpi_[[#This Row],[Value]]-F6301)/F6301</f>
        <v>0.27542754275427539</v>
      </c>
      <c r="H6302" t="e" cm="1" vm="1">
        <f t="array" aca="1" ref="H6302" ca="1">VLOOKUP(Cpi_[[#This Row],[Year]:[Month]],crudeoil[],3,FALSE)</f>
        <v>#VALUE!</v>
      </c>
    </row>
    <row r="6303" spans="1:8" hidden="1" x14ac:dyDescent="0.3">
      <c r="A6303" t="s">
        <v>34</v>
      </c>
      <c r="B6303">
        <v>2019</v>
      </c>
      <c r="C6303" t="s">
        <v>40</v>
      </c>
      <c r="D6303" t="s">
        <v>13</v>
      </c>
      <c r="E6303" t="e">
        <f>VLOOKUP(Cpi_[[#This Row],[Attribute]],#REF!,2,FALSE)</f>
        <v>#REF!</v>
      </c>
      <c r="F6303">
        <v>134.69999999999999</v>
      </c>
      <c r="G6303">
        <f>(Cpi_[[#This Row],[Value]]-F6302)/F6302</f>
        <v>-4.9400141143260412E-2</v>
      </c>
      <c r="H6303" t="e" cm="1" vm="1">
        <f t="array" aca="1" ref="H6303" ca="1">VLOOKUP(Cpi_[[#This Row],[Year]:[Month]],crudeoil[],3,FALSE)</f>
        <v>#VALUE!</v>
      </c>
    </row>
    <row r="6304" spans="1:8" hidden="1" x14ac:dyDescent="0.3">
      <c r="A6304" t="s">
        <v>34</v>
      </c>
      <c r="B6304">
        <v>2019</v>
      </c>
      <c r="C6304" t="s">
        <v>40</v>
      </c>
      <c r="D6304" t="s">
        <v>14</v>
      </c>
      <c r="E6304" t="e">
        <f>VLOOKUP(Cpi_[[#This Row],[Attribute]],#REF!,2,FALSE)</f>
        <v>#REF!</v>
      </c>
      <c r="F6304">
        <v>156.19999999999999</v>
      </c>
      <c r="G6304">
        <f>(Cpi_[[#This Row],[Value]]-F6303)/F6303</f>
        <v>0.15961395694135116</v>
      </c>
      <c r="H6304" t="e" cm="1" vm="1">
        <f t="array" aca="1" ref="H6304" ca="1">VLOOKUP(Cpi_[[#This Row],[Year]:[Month]],crudeoil[],3,FALSE)</f>
        <v>#VALUE!</v>
      </c>
    </row>
    <row r="6305" spans="1:8" hidden="1" x14ac:dyDescent="0.3">
      <c r="A6305" t="s">
        <v>34</v>
      </c>
      <c r="B6305">
        <v>2019</v>
      </c>
      <c r="C6305" t="s">
        <v>40</v>
      </c>
      <c r="D6305" t="s">
        <v>15</v>
      </c>
      <c r="E6305" t="e">
        <f>VLOOKUP(Cpi_[[#This Row],[Attribute]],#REF!,2,FALSE)</f>
        <v>#REF!</v>
      </c>
      <c r="F6305">
        <v>144.69999999999999</v>
      </c>
      <c r="G6305">
        <f>(Cpi_[[#This Row],[Value]]-F6304)/F6304</f>
        <v>-7.3623559539052502E-2</v>
      </c>
      <c r="H6305" t="e" cm="1" vm="1">
        <f t="array" aca="1" ref="H6305" ca="1">VLOOKUP(Cpi_[[#This Row],[Year]:[Month]],crudeoil[],3,FALSE)</f>
        <v>#VALUE!</v>
      </c>
    </row>
    <row r="6306" spans="1:8" hidden="1" x14ac:dyDescent="0.3">
      <c r="A6306" t="s">
        <v>34</v>
      </c>
      <c r="B6306">
        <v>2019</v>
      </c>
      <c r="C6306" t="s">
        <v>40</v>
      </c>
      <c r="D6306" t="s">
        <v>16</v>
      </c>
      <c r="E6306" t="e">
        <f>VLOOKUP(Cpi_[[#This Row],[Attribute]],#REF!,2,FALSE)</f>
        <v>#REF!</v>
      </c>
      <c r="F6306">
        <v>165.2</v>
      </c>
      <c r="G6306">
        <f>(Cpi_[[#This Row],[Value]]-F6305)/F6305</f>
        <v>0.14167242570836214</v>
      </c>
      <c r="H6306" t="e" cm="1" vm="1">
        <f t="array" aca="1" ref="H6306" ca="1">VLOOKUP(Cpi_[[#This Row],[Year]:[Month]],crudeoil[],3,FALSE)</f>
        <v>#VALUE!</v>
      </c>
    </row>
    <row r="6307" spans="1:8" hidden="1" x14ac:dyDescent="0.3">
      <c r="A6307" t="s">
        <v>34</v>
      </c>
      <c r="B6307">
        <v>2019</v>
      </c>
      <c r="C6307" t="s">
        <v>40</v>
      </c>
      <c r="D6307" t="s">
        <v>17</v>
      </c>
      <c r="E6307" t="e">
        <f>VLOOKUP(Cpi_[[#This Row],[Attribute]],#REF!,2,FALSE)</f>
        <v>#REF!</v>
      </c>
      <c r="F6307">
        <v>148.9</v>
      </c>
      <c r="G6307">
        <f>(Cpi_[[#This Row],[Value]]-F6306)/F6306</f>
        <v>-9.8668280871670608E-2</v>
      </c>
      <c r="H6307" t="e" cm="1" vm="1">
        <f t="array" aca="1" ref="H6307" ca="1">VLOOKUP(Cpi_[[#This Row],[Year]:[Month]],crudeoil[],3,FALSE)</f>
        <v>#VALUE!</v>
      </c>
    </row>
    <row r="6308" spans="1:8" hidden="1" x14ac:dyDescent="0.3">
      <c r="A6308" t="s">
        <v>34</v>
      </c>
      <c r="B6308">
        <v>2019</v>
      </c>
      <c r="C6308" t="s">
        <v>40</v>
      </c>
      <c r="D6308" t="s">
        <v>18</v>
      </c>
      <c r="E6308" t="e">
        <f>VLOOKUP(Cpi_[[#This Row],[Attribute]],#REF!,2,FALSE)</f>
        <v>#REF!</v>
      </c>
      <c r="F6308">
        <v>140.5</v>
      </c>
      <c r="G6308">
        <f>(Cpi_[[#This Row],[Value]]-F6307)/F6307</f>
        <v>-5.6413700470114209E-2</v>
      </c>
      <c r="H6308" t="e" cm="1" vm="1">
        <f t="array" aca="1" ref="H6308" ca="1">VLOOKUP(Cpi_[[#This Row],[Year]:[Month]],crudeoil[],3,FALSE)</f>
        <v>#VALUE!</v>
      </c>
    </row>
    <row r="6309" spans="1:8" hidden="1" x14ac:dyDescent="0.3">
      <c r="A6309" t="s">
        <v>34</v>
      </c>
      <c r="B6309">
        <v>2019</v>
      </c>
      <c r="C6309" t="s">
        <v>40</v>
      </c>
      <c r="D6309" t="s">
        <v>19</v>
      </c>
      <c r="E6309" t="e">
        <f>VLOOKUP(Cpi_[[#This Row],[Attribute]],#REF!,2,FALSE)</f>
        <v>#REF!</v>
      </c>
      <c r="F6309">
        <v>147.6</v>
      </c>
      <c r="G6309">
        <f>(Cpi_[[#This Row],[Value]]-F6308)/F6308</f>
        <v>5.0533807829181453E-2</v>
      </c>
      <c r="H6309" t="e" cm="1" vm="1">
        <f t="array" aca="1" ref="H6309" ca="1">VLOOKUP(Cpi_[[#This Row],[Year]:[Month]],crudeoil[],3,FALSE)</f>
        <v>#VALUE!</v>
      </c>
    </row>
    <row r="6310" spans="1:8" hidden="1" x14ac:dyDescent="0.3">
      <c r="A6310" t="s">
        <v>34</v>
      </c>
      <c r="B6310">
        <v>2019</v>
      </c>
      <c r="C6310" t="s">
        <v>40</v>
      </c>
      <c r="D6310" t="s">
        <v>20</v>
      </c>
      <c r="E6310" t="e">
        <f>VLOOKUP(Cpi_[[#This Row],[Attribute]],#REF!,2,FALSE)</f>
        <v>#REF!</v>
      </c>
      <c r="F6310">
        <v>150.6</v>
      </c>
      <c r="G6310">
        <f>(Cpi_[[#This Row],[Value]]-F6309)/F6309</f>
        <v>2.032520325203252E-2</v>
      </c>
      <c r="H6310" t="e" cm="1" vm="1">
        <f t="array" aca="1" ref="H6310" ca="1">VLOOKUP(Cpi_[[#This Row],[Year]:[Month]],crudeoil[],3,FALSE)</f>
        <v>#VALUE!</v>
      </c>
    </row>
    <row r="6311" spans="1:8" hidden="1" x14ac:dyDescent="0.3">
      <c r="A6311" t="s">
        <v>34</v>
      </c>
      <c r="B6311">
        <v>2019</v>
      </c>
      <c r="C6311" t="s">
        <v>40</v>
      </c>
      <c r="D6311" t="s">
        <v>21</v>
      </c>
      <c r="E6311" t="e">
        <f>VLOOKUP(Cpi_[[#This Row],[Attribute]],#REF!,2,FALSE)</f>
        <v>#REF!</v>
      </c>
      <c r="F6311">
        <v>139.30000000000001</v>
      </c>
      <c r="G6311">
        <f>(Cpi_[[#This Row],[Value]]-F6310)/F6310</f>
        <v>-7.5033200531208391E-2</v>
      </c>
      <c r="H6311" t="e" cm="1" vm="1">
        <f t="array" aca="1" ref="H6311" ca="1">VLOOKUP(Cpi_[[#This Row],[Year]:[Month]],crudeoil[],3,FALSE)</f>
        <v>#VALUE!</v>
      </c>
    </row>
    <row r="6312" spans="1:8" hidden="1" x14ac:dyDescent="0.3">
      <c r="A6312" t="s">
        <v>34</v>
      </c>
      <c r="B6312">
        <v>2019</v>
      </c>
      <c r="C6312" t="s">
        <v>40</v>
      </c>
      <c r="D6312" t="s">
        <v>22</v>
      </c>
      <c r="E6312" t="e">
        <f>VLOOKUP(Cpi_[[#This Row],[Attribute]],#REF!,2,FALSE)</f>
        <v>#REF!</v>
      </c>
      <c r="F6312">
        <v>144.19999999999999</v>
      </c>
      <c r="G6312">
        <f>(Cpi_[[#This Row],[Value]]-F6311)/F6311</f>
        <v>3.5175879396984758E-2</v>
      </c>
      <c r="H6312" t="e" cm="1" vm="1">
        <f t="array" aca="1" ref="H6312" ca="1">VLOOKUP(Cpi_[[#This Row],[Year]:[Month]],crudeoil[],3,FALSE)</f>
        <v>#VALUE!</v>
      </c>
    </row>
    <row r="6313" spans="1:8" hidden="1" x14ac:dyDescent="0.3">
      <c r="A6313" t="s">
        <v>34</v>
      </c>
      <c r="B6313">
        <v>2019</v>
      </c>
      <c r="C6313" t="s">
        <v>40</v>
      </c>
      <c r="D6313" t="s">
        <v>23</v>
      </c>
      <c r="E6313" t="e">
        <f>VLOOKUP(Cpi_[[#This Row],[Attribute]],#REF!,2,FALSE)</f>
        <v>#REF!</v>
      </c>
      <c r="F6313">
        <v>147.9</v>
      </c>
      <c r="G6313">
        <f>(Cpi_[[#This Row],[Value]]-F6312)/F6312</f>
        <v>2.5658807212205391E-2</v>
      </c>
      <c r="H6313" t="e" cm="1" vm="1">
        <f t="array" aca="1" ref="H6313" ca="1">VLOOKUP(Cpi_[[#This Row],[Year]:[Month]],crudeoil[],3,FALSE)</f>
        <v>#VALUE!</v>
      </c>
    </row>
    <row r="6314" spans="1:8" hidden="1" x14ac:dyDescent="0.3">
      <c r="A6314" t="s">
        <v>34</v>
      </c>
      <c r="B6314">
        <v>2019</v>
      </c>
      <c r="C6314" t="s">
        <v>40</v>
      </c>
      <c r="D6314" t="s">
        <v>24</v>
      </c>
      <c r="E6314" t="e">
        <f>VLOOKUP(Cpi_[[#This Row],[Attribute]],#REF!,2,FALSE)</f>
        <v>#REF!</v>
      </c>
      <c r="F6314">
        <v>125.6</v>
      </c>
      <c r="G6314">
        <f>(Cpi_[[#This Row],[Value]]-F6313)/F6313</f>
        <v>-0.15077755240027052</v>
      </c>
      <c r="H6314" t="e" cm="1" vm="1">
        <f t="array" aca="1" ref="H6314" ca="1">VLOOKUP(Cpi_[[#This Row],[Year]:[Month]],crudeoil[],3,FALSE)</f>
        <v>#VALUE!</v>
      </c>
    </row>
    <row r="6315" spans="1:8" hidden="1" x14ac:dyDescent="0.3">
      <c r="A6315" t="s">
        <v>34</v>
      </c>
      <c r="B6315">
        <v>2019</v>
      </c>
      <c r="C6315" t="s">
        <v>40</v>
      </c>
      <c r="D6315" t="s">
        <v>25</v>
      </c>
      <c r="E6315" t="e">
        <f>VLOOKUP(Cpi_[[#This Row],[Attribute]],#REF!,2,FALSE)</f>
        <v>#REF!</v>
      </c>
      <c r="F6315">
        <v>140.5</v>
      </c>
      <c r="G6315">
        <f>(Cpi_[[#This Row],[Value]]-F6314)/F6314</f>
        <v>0.1186305732484077</v>
      </c>
      <c r="H6315" t="e" cm="1" vm="1">
        <f t="array" aca="1" ref="H6315" ca="1">VLOOKUP(Cpi_[[#This Row],[Year]:[Month]],crudeoil[],3,FALSE)</f>
        <v>#VALUE!</v>
      </c>
    </row>
    <row r="6316" spans="1:8" hidden="1" x14ac:dyDescent="0.3">
      <c r="A6316" t="s">
        <v>34</v>
      </c>
      <c r="B6316">
        <v>2019</v>
      </c>
      <c r="C6316" t="s">
        <v>40</v>
      </c>
      <c r="D6316" t="s">
        <v>26</v>
      </c>
      <c r="E6316" t="e">
        <f>VLOOKUP(Cpi_[[#This Row],[Attribute]],#REF!,2,FALSE)</f>
        <v>#REF!</v>
      </c>
      <c r="F6316">
        <v>154</v>
      </c>
      <c r="G6316">
        <f>(Cpi_[[#This Row],[Value]]-F6315)/F6315</f>
        <v>9.6085409252669035E-2</v>
      </c>
      <c r="H6316" t="e" cm="1" vm="1">
        <f t="array" aca="1" ref="H6316" ca="1">VLOOKUP(Cpi_[[#This Row],[Year]:[Month]],crudeoil[],3,FALSE)</f>
        <v>#VALUE!</v>
      </c>
    </row>
    <row r="6317" spans="1:8" hidden="1" x14ac:dyDescent="0.3">
      <c r="A6317" t="s">
        <v>34</v>
      </c>
      <c r="B6317">
        <v>2019</v>
      </c>
      <c r="C6317" t="s">
        <v>40</v>
      </c>
      <c r="D6317" t="s">
        <v>27</v>
      </c>
      <c r="E6317" t="e">
        <f>VLOOKUP(Cpi_[[#This Row],[Attribute]],#REF!,2,FALSE)</f>
        <v>#REF!</v>
      </c>
      <c r="F6317">
        <v>135.69999999999999</v>
      </c>
      <c r="G6317">
        <f>(Cpi_[[#This Row],[Value]]-F6316)/F6316</f>
        <v>-0.1188311688311689</v>
      </c>
      <c r="H6317" t="e" cm="1" vm="1">
        <f t="array" aca="1" ref="H6317" ca="1">VLOOKUP(Cpi_[[#This Row],[Year]:[Month]],crudeoil[],3,FALSE)</f>
        <v>#VALUE!</v>
      </c>
    </row>
    <row r="6318" spans="1:8" hidden="1" x14ac:dyDescent="0.3">
      <c r="A6318" t="s">
        <v>34</v>
      </c>
      <c r="B6318">
        <v>2019</v>
      </c>
      <c r="C6318" t="s">
        <v>40</v>
      </c>
      <c r="D6318" t="s">
        <v>28</v>
      </c>
      <c r="E6318" t="e">
        <f>VLOOKUP(Cpi_[[#This Row],[Attribute]],#REF!,2,FALSE)</f>
        <v>#REF!</v>
      </c>
      <c r="F6318">
        <v>139.5</v>
      </c>
      <c r="G6318">
        <f>(Cpi_[[#This Row],[Value]]-F6317)/F6317</f>
        <v>2.8002947678703108E-2</v>
      </c>
      <c r="H6318" t="e" cm="1" vm="1">
        <f t="array" aca="1" ref="H6318" ca="1">VLOOKUP(Cpi_[[#This Row],[Year]:[Month]],crudeoil[],3,FALSE)</f>
        <v>#VALUE!</v>
      </c>
    </row>
    <row r="6319" spans="1:8" hidden="1" x14ac:dyDescent="0.3">
      <c r="A6319" t="s">
        <v>34</v>
      </c>
      <c r="B6319">
        <v>2019</v>
      </c>
      <c r="C6319" t="s">
        <v>40</v>
      </c>
      <c r="D6319" t="s">
        <v>29</v>
      </c>
      <c r="E6319" t="e" cm="1">
        <f t="array" aca="1" ref="E6319" ca="1">VLGeneral indexGeneral indexKUP(Cpi_[[#This Row],[Attribute]],#REF!,2,FALSE)</f>
        <v>#NAME?</v>
      </c>
      <c r="F6319">
        <v>144.19999999999999</v>
      </c>
      <c r="G6319">
        <f>(Cpi_[[#This Row],[Value]]-F6318)/F6318</f>
        <v>3.3691756272401355E-2</v>
      </c>
      <c r="H6319" t="e" cm="1" vm="1">
        <f t="array" aca="1" ref="H6319" ca="1">VLOOKUP(Cpi_[[#This Row],[Year]:[Month]],crudeoil[],3,FALSE)</f>
        <v>#VALUE!</v>
      </c>
    </row>
    <row r="6320" spans="1:8" hidden="1" x14ac:dyDescent="0.3">
      <c r="A6320" t="s">
        <v>30</v>
      </c>
      <c r="B6320">
        <v>2019</v>
      </c>
      <c r="C6320" t="s">
        <v>41</v>
      </c>
      <c r="D6320" t="s">
        <v>3</v>
      </c>
      <c r="E6320" t="e">
        <f>VLOOKUP(Cpi_[[#This Row],[Attribute]],#REF!,2,FALSE)</f>
        <v>#REF!</v>
      </c>
      <c r="F6320">
        <v>139.19999999999999</v>
      </c>
      <c r="G6320">
        <f>(Cpi_[[#This Row],[Value]]-F6319)/F6319</f>
        <v>-3.4674063800277398E-2</v>
      </c>
      <c r="H6320" t="e" cm="1" vm="1">
        <f t="array" aca="1" ref="H6320" ca="1">VLOOKUP(Cpi_[[#This Row],[Year]:[Month]],crudeoil[],3,FALSE)</f>
        <v>#VALUE!</v>
      </c>
    </row>
    <row r="6321" spans="1:8" hidden="1" x14ac:dyDescent="0.3">
      <c r="A6321" t="s">
        <v>30</v>
      </c>
      <c r="B6321">
        <v>2019</v>
      </c>
      <c r="C6321" t="s">
        <v>41</v>
      </c>
      <c r="D6321" t="s">
        <v>4</v>
      </c>
      <c r="E6321" t="e">
        <f>VLOOKUP(Cpi_[[#This Row],[Attribute]],#REF!,2,FALSE)</f>
        <v>#REF!</v>
      </c>
      <c r="F6321">
        <v>161.9</v>
      </c>
      <c r="G6321">
        <f>(Cpi_[[#This Row],[Value]]-F6320)/F6320</f>
        <v>0.16307471264367829</v>
      </c>
      <c r="H6321" t="e" cm="1" vm="1">
        <f t="array" aca="1" ref="H6321" ca="1">VLOOKUP(Cpi_[[#This Row],[Year]:[Month]],crudeoil[],3,FALSE)</f>
        <v>#VALUE!</v>
      </c>
    </row>
    <row r="6322" spans="1:8" hidden="1" x14ac:dyDescent="0.3">
      <c r="A6322" t="s">
        <v>30</v>
      </c>
      <c r="B6322">
        <v>2019</v>
      </c>
      <c r="C6322" t="s">
        <v>41</v>
      </c>
      <c r="D6322" t="s">
        <v>5</v>
      </c>
      <c r="E6322" t="e">
        <f>VLOOKUP(Cpi_[[#This Row],[Attribute]],#REF!,2,FALSE)</f>
        <v>#REF!</v>
      </c>
      <c r="F6322">
        <v>137.1</v>
      </c>
      <c r="G6322">
        <f>(Cpi_[[#This Row],[Value]]-F6321)/F6321</f>
        <v>-0.15318097591105628</v>
      </c>
      <c r="H6322" t="e" cm="1" vm="1">
        <f t="array" aca="1" ref="H6322" ca="1">VLOOKUP(Cpi_[[#This Row],[Year]:[Month]],crudeoil[],3,FALSE)</f>
        <v>#VALUE!</v>
      </c>
    </row>
    <row r="6323" spans="1:8" hidden="1" x14ac:dyDescent="0.3">
      <c r="A6323" t="s">
        <v>30</v>
      </c>
      <c r="B6323">
        <v>2019</v>
      </c>
      <c r="C6323" t="s">
        <v>41</v>
      </c>
      <c r="D6323" t="s">
        <v>6</v>
      </c>
      <c r="E6323" t="e">
        <f>VLOOKUP(Cpi_[[#This Row],[Attribute]],#REF!,2,FALSE)</f>
        <v>#REF!</v>
      </c>
      <c r="F6323">
        <v>144.6</v>
      </c>
      <c r="G6323">
        <f>(Cpi_[[#This Row],[Value]]-F6322)/F6322</f>
        <v>5.4704595185995623E-2</v>
      </c>
      <c r="H6323" t="e" cm="1" vm="1">
        <f t="array" aca="1" ref="H6323" ca="1">VLOOKUP(Cpi_[[#This Row],[Year]:[Month]],crudeoil[],3,FALSE)</f>
        <v>#VALUE!</v>
      </c>
    </row>
    <row r="6324" spans="1:8" hidden="1" x14ac:dyDescent="0.3">
      <c r="A6324" t="s">
        <v>30</v>
      </c>
      <c r="B6324">
        <v>2019</v>
      </c>
      <c r="C6324" t="s">
        <v>41</v>
      </c>
      <c r="D6324" t="s">
        <v>7</v>
      </c>
      <c r="E6324" t="e">
        <f>VLOOKUP(Cpi_[[#This Row],[Attribute]],#REF!,2,FALSE)</f>
        <v>#REF!</v>
      </c>
      <c r="F6324">
        <v>124.7</v>
      </c>
      <c r="G6324">
        <f>(Cpi_[[#This Row],[Value]]-F6323)/F6323</f>
        <v>-0.13762102351313965</v>
      </c>
      <c r="H6324" t="e" cm="1" vm="1">
        <f t="array" aca="1" ref="H6324" ca="1">VLOOKUP(Cpi_[[#This Row],[Year]:[Month]],crudeoil[],3,FALSE)</f>
        <v>#VALUE!</v>
      </c>
    </row>
    <row r="6325" spans="1:8" hidden="1" x14ac:dyDescent="0.3">
      <c r="A6325" t="s">
        <v>30</v>
      </c>
      <c r="B6325">
        <v>2019</v>
      </c>
      <c r="C6325" t="s">
        <v>41</v>
      </c>
      <c r="D6325" t="s">
        <v>8</v>
      </c>
      <c r="E6325" t="e">
        <f>VLOOKUP(Cpi_[[#This Row],[Attribute]],#REF!,2,FALSE)</f>
        <v>#REF!</v>
      </c>
      <c r="F6325">
        <v>145.5</v>
      </c>
      <c r="G6325">
        <f>(Cpi_[[#This Row],[Value]]-F6324)/F6324</f>
        <v>0.1668003207698476</v>
      </c>
      <c r="H6325" t="e" cm="1" vm="1">
        <f t="array" aca="1" ref="H6325" ca="1">VLOOKUP(Cpi_[[#This Row],[Year]:[Month]],crudeoil[],3,FALSE)</f>
        <v>#VALUE!</v>
      </c>
    </row>
    <row r="6326" spans="1:8" hidden="1" x14ac:dyDescent="0.3">
      <c r="A6326" t="s">
        <v>30</v>
      </c>
      <c r="B6326">
        <v>2019</v>
      </c>
      <c r="C6326" t="s">
        <v>41</v>
      </c>
      <c r="D6326" t="s">
        <v>9</v>
      </c>
      <c r="E6326" t="e">
        <f>VLOOKUP(Cpi_[[#This Row],[Attribute]],#REF!,2,FALSE)</f>
        <v>#REF!</v>
      </c>
      <c r="F6326">
        <v>156.19999999999999</v>
      </c>
      <c r="G6326">
        <f>(Cpi_[[#This Row],[Value]]-F6325)/F6325</f>
        <v>7.3539518900343562E-2</v>
      </c>
      <c r="H6326" t="e" cm="1" vm="1">
        <f t="array" aca="1" ref="H6326" ca="1">VLOOKUP(Cpi_[[#This Row],[Year]:[Month]],crudeoil[],3,FALSE)</f>
        <v>#VALUE!</v>
      </c>
    </row>
    <row r="6327" spans="1:8" hidden="1" x14ac:dyDescent="0.3">
      <c r="A6327" t="s">
        <v>30</v>
      </c>
      <c r="B6327">
        <v>2019</v>
      </c>
      <c r="C6327" t="s">
        <v>41</v>
      </c>
      <c r="D6327" t="s">
        <v>10</v>
      </c>
      <c r="E6327" t="e">
        <f>VLOOKUP(Cpi_[[#This Row],[Attribute]],#REF!,2,FALSE)</f>
        <v>#REF!</v>
      </c>
      <c r="F6327">
        <v>131.5</v>
      </c>
      <c r="G6327">
        <f>(Cpi_[[#This Row],[Value]]-F6326)/F6326</f>
        <v>-0.15813060179257357</v>
      </c>
      <c r="H6327" t="e" cm="1" vm="1">
        <f t="array" aca="1" ref="H6327" ca="1">VLOOKUP(Cpi_[[#This Row],[Year]:[Month]],crudeoil[],3,FALSE)</f>
        <v>#VALUE!</v>
      </c>
    </row>
    <row r="6328" spans="1:8" hidden="1" x14ac:dyDescent="0.3">
      <c r="A6328" t="s">
        <v>30</v>
      </c>
      <c r="B6328">
        <v>2019</v>
      </c>
      <c r="C6328" t="s">
        <v>41</v>
      </c>
      <c r="D6328" t="s">
        <v>11</v>
      </c>
      <c r="E6328" t="e">
        <f>VLOOKUP(Cpi_[[#This Row],[Attribute]],#REF!,2,FALSE)</f>
        <v>#REF!</v>
      </c>
      <c r="F6328">
        <v>111.7</v>
      </c>
      <c r="G6328">
        <f>(Cpi_[[#This Row],[Value]]-F6327)/F6327</f>
        <v>-0.15057034220532317</v>
      </c>
      <c r="H6328" t="e" cm="1" vm="1">
        <f t="array" aca="1" ref="H6328" ca="1">VLOOKUP(Cpi_[[#This Row],[Year]:[Month]],crudeoil[],3,FALSE)</f>
        <v>#VALUE!</v>
      </c>
    </row>
    <row r="6329" spans="1:8" hidden="1" x14ac:dyDescent="0.3">
      <c r="A6329" t="s">
        <v>30</v>
      </c>
      <c r="B6329">
        <v>2019</v>
      </c>
      <c r="C6329" t="s">
        <v>41</v>
      </c>
      <c r="D6329" t="s">
        <v>12</v>
      </c>
      <c r="E6329" t="e">
        <f>VLOOKUP(Cpi_[[#This Row],[Attribute]],#REF!,2,FALSE)</f>
        <v>#REF!</v>
      </c>
      <c r="F6329">
        <v>142.69999999999999</v>
      </c>
      <c r="G6329">
        <f>(Cpi_[[#This Row],[Value]]-F6328)/F6328</f>
        <v>0.27752909579230067</v>
      </c>
      <c r="H6329" t="e" cm="1" vm="1">
        <f t="array" aca="1" ref="H6329" ca="1">VLOOKUP(Cpi_[[#This Row],[Year]:[Month]],crudeoil[],3,FALSE)</f>
        <v>#VALUE!</v>
      </c>
    </row>
    <row r="6330" spans="1:8" hidden="1" x14ac:dyDescent="0.3">
      <c r="A6330" t="s">
        <v>30</v>
      </c>
      <c r="B6330">
        <v>2019</v>
      </c>
      <c r="C6330" t="s">
        <v>41</v>
      </c>
      <c r="D6330" t="s">
        <v>13</v>
      </c>
      <c r="E6330" t="e">
        <f>VLOOKUP(Cpi_[[#This Row],[Attribute]],#REF!,2,FALSE)</f>
        <v>#REF!</v>
      </c>
      <c r="F6330">
        <v>138.5</v>
      </c>
      <c r="G6330">
        <f>(Cpi_[[#This Row],[Value]]-F6329)/F6329</f>
        <v>-2.9432375613174414E-2</v>
      </c>
      <c r="H6330" t="e" cm="1" vm="1">
        <f t="array" aca="1" ref="H6330" ca="1">VLOOKUP(Cpi_[[#This Row],[Year]:[Month]],crudeoil[],3,FALSE)</f>
        <v>#VALUE!</v>
      </c>
    </row>
    <row r="6331" spans="1:8" hidden="1" x14ac:dyDescent="0.3">
      <c r="A6331" t="s">
        <v>30</v>
      </c>
      <c r="B6331">
        <v>2019</v>
      </c>
      <c r="C6331" t="s">
        <v>41</v>
      </c>
      <c r="D6331" t="s">
        <v>14</v>
      </c>
      <c r="E6331" t="e">
        <f>VLOOKUP(Cpi_[[#This Row],[Attribute]],#REF!,2,FALSE)</f>
        <v>#REF!</v>
      </c>
      <c r="F6331">
        <v>156.9</v>
      </c>
      <c r="G6331">
        <f>(Cpi_[[#This Row],[Value]]-F6330)/F6330</f>
        <v>0.13285198555956682</v>
      </c>
      <c r="H6331" t="e" cm="1" vm="1">
        <f t="array" aca="1" ref="H6331" ca="1">VLOOKUP(Cpi_[[#This Row],[Year]:[Month]],crudeoil[],3,FALSE)</f>
        <v>#VALUE!</v>
      </c>
    </row>
    <row r="6332" spans="1:8" hidden="1" x14ac:dyDescent="0.3">
      <c r="A6332" t="s">
        <v>30</v>
      </c>
      <c r="B6332">
        <v>2019</v>
      </c>
      <c r="C6332" t="s">
        <v>41</v>
      </c>
      <c r="D6332" t="s">
        <v>15</v>
      </c>
      <c r="E6332" t="e">
        <f>VLOOKUP(Cpi_[[#This Row],[Attribute]],#REF!,2,FALSE)</f>
        <v>#REF!</v>
      </c>
      <c r="F6332">
        <v>144</v>
      </c>
      <c r="G6332">
        <f>(Cpi_[[#This Row],[Value]]-F6331)/F6331</f>
        <v>-8.2217973231357586E-2</v>
      </c>
      <c r="H6332" t="e" cm="1" vm="1">
        <f t="array" aca="1" ref="H6332" ca="1">VLOOKUP(Cpi_[[#This Row],[Year]:[Month]],crudeoil[],3,FALSE)</f>
        <v>#VALUE!</v>
      </c>
    </row>
    <row r="6333" spans="1:8" hidden="1" x14ac:dyDescent="0.3">
      <c r="A6333" t="s">
        <v>30</v>
      </c>
      <c r="B6333">
        <v>2019</v>
      </c>
      <c r="C6333" t="s">
        <v>41</v>
      </c>
      <c r="D6333" t="s">
        <v>16</v>
      </c>
      <c r="E6333" t="e">
        <f>VLOOKUP(Cpi_[[#This Row],[Attribute]],#REF!,2,FALSE)</f>
        <v>#REF!</v>
      </c>
      <c r="F6333">
        <v>165.1</v>
      </c>
      <c r="G6333">
        <f>(Cpi_[[#This Row],[Value]]-F6332)/F6332</f>
        <v>0.14652777777777773</v>
      </c>
      <c r="H6333" t="e" cm="1" vm="1">
        <f t="array" aca="1" ref="H6333" ca="1">VLOOKUP(Cpi_[[#This Row],[Year]:[Month]],crudeoil[],3,FALSE)</f>
        <v>#VALUE!</v>
      </c>
    </row>
    <row r="6334" spans="1:8" hidden="1" x14ac:dyDescent="0.3">
      <c r="A6334" t="s">
        <v>30</v>
      </c>
      <c r="B6334">
        <v>2019</v>
      </c>
      <c r="C6334" t="s">
        <v>41</v>
      </c>
      <c r="D6334" t="s">
        <v>17</v>
      </c>
      <c r="E6334" t="e">
        <f>VLOOKUP(Cpi_[[#This Row],[Attribute]],#REF!,2,FALSE)</f>
        <v>#REF!</v>
      </c>
      <c r="F6334">
        <v>151.80000000000001</v>
      </c>
      <c r="G6334">
        <f>(Cpi_[[#This Row],[Value]]-F6333)/F6333</f>
        <v>-8.0557238037552895E-2</v>
      </c>
      <c r="H6334" t="e" cm="1" vm="1">
        <f t="array" aca="1" ref="H6334" ca="1">VLOOKUP(Cpi_[[#This Row],[Year]:[Month]],crudeoil[],3,FALSE)</f>
        <v>#VALUE!</v>
      </c>
    </row>
    <row r="6335" spans="1:8" hidden="1" x14ac:dyDescent="0.3">
      <c r="A6335" t="s">
        <v>30</v>
      </c>
      <c r="B6335">
        <v>2019</v>
      </c>
      <c r="C6335" t="s">
        <v>41</v>
      </c>
      <c r="D6335" t="s">
        <v>18</v>
      </c>
      <c r="E6335" t="e">
        <f>VLOOKUP(Cpi_[[#This Row],[Attribute]],#REF!,2,FALSE)</f>
        <v>#REF!</v>
      </c>
      <c r="F6335">
        <v>146.6</v>
      </c>
      <c r="G6335">
        <f>(Cpi_[[#This Row],[Value]]-F6334)/F6334</f>
        <v>-3.4255599472990887E-2</v>
      </c>
      <c r="H6335" t="e" cm="1" vm="1">
        <f t="array" aca="1" ref="H6335" ca="1">VLOOKUP(Cpi_[[#This Row],[Year]:[Month]],crudeoil[],3,FALSE)</f>
        <v>#VALUE!</v>
      </c>
    </row>
    <row r="6336" spans="1:8" hidden="1" x14ac:dyDescent="0.3">
      <c r="A6336" t="s">
        <v>30</v>
      </c>
      <c r="B6336">
        <v>2019</v>
      </c>
      <c r="C6336" t="s">
        <v>41</v>
      </c>
      <c r="D6336" t="s">
        <v>19</v>
      </c>
      <c r="E6336" t="e">
        <f>VLOOKUP(Cpi_[[#This Row],[Attribute]],#REF!,2,FALSE)</f>
        <v>#REF!</v>
      </c>
      <c r="F6336">
        <v>151.1</v>
      </c>
      <c r="G6336">
        <f>(Cpi_[[#This Row],[Value]]-F6335)/F6335</f>
        <v>3.0695770804911326E-2</v>
      </c>
      <c r="H6336" t="e" cm="1" vm="1">
        <f t="array" aca="1" ref="H6336" ca="1">VLOOKUP(Cpi_[[#This Row],[Year]:[Month]],crudeoil[],3,FALSE)</f>
        <v>#VALUE!</v>
      </c>
    </row>
    <row r="6337" spans="1:8" hidden="1" x14ac:dyDescent="0.3">
      <c r="A6337" t="s">
        <v>30</v>
      </c>
      <c r="B6337">
        <v>2019</v>
      </c>
      <c r="C6337" t="s">
        <v>41</v>
      </c>
      <c r="D6337" t="s">
        <v>20</v>
      </c>
      <c r="E6337" t="e">
        <f>VLOOKUP(Cpi_[[#This Row],[Attribute]],#REF!,2,FALSE)</f>
        <v>#REF!</v>
      </c>
      <c r="F6337" t="s">
        <v>32</v>
      </c>
      <c r="G6337" t="e">
        <f>(Cpi_[[#This Row],[Value]]-F6336)/F6336</f>
        <v>#VALUE!</v>
      </c>
      <c r="H6337" t="e" cm="1" vm="1">
        <f t="array" aca="1" ref="H6337" ca="1">VLOOKUP(Cpi_[[#This Row],[Year]:[Month]],crudeoil[],3,FALSE)</f>
        <v>#VALUE!</v>
      </c>
    </row>
    <row r="6338" spans="1:8" hidden="1" x14ac:dyDescent="0.3">
      <c r="A6338" t="s">
        <v>30</v>
      </c>
      <c r="B6338">
        <v>2019</v>
      </c>
      <c r="C6338" t="s">
        <v>41</v>
      </c>
      <c r="D6338" t="s">
        <v>21</v>
      </c>
      <c r="E6338" t="e">
        <f>VLOOKUP(Cpi_[[#This Row],[Attribute]],#REF!,2,FALSE)</f>
        <v>#REF!</v>
      </c>
      <c r="F6338">
        <v>146.4</v>
      </c>
      <c r="G6338" t="e">
        <f>(Cpi_[[#This Row],[Value]]-F6337)/F6337</f>
        <v>#VALUE!</v>
      </c>
      <c r="H6338" t="e" cm="1" vm="1">
        <f t="array" aca="1" ref="H6338" ca="1">VLOOKUP(Cpi_[[#This Row],[Year]:[Month]],crudeoil[],3,FALSE)</f>
        <v>#VALUE!</v>
      </c>
    </row>
    <row r="6339" spans="1:8" hidden="1" x14ac:dyDescent="0.3">
      <c r="A6339" t="s">
        <v>30</v>
      </c>
      <c r="B6339">
        <v>2019</v>
      </c>
      <c r="C6339" t="s">
        <v>41</v>
      </c>
      <c r="D6339" t="s">
        <v>22</v>
      </c>
      <c r="E6339" t="e">
        <f>VLOOKUP(Cpi_[[#This Row],[Attribute]],#REF!,2,FALSE)</f>
        <v>#REF!</v>
      </c>
      <c r="F6339">
        <v>150.19999999999999</v>
      </c>
      <c r="G6339">
        <f>(Cpi_[[#This Row],[Value]]-F6338)/F6338</f>
        <v>2.5956284153005348E-2</v>
      </c>
      <c r="H6339" t="e" cm="1" vm="1">
        <f t="array" aca="1" ref="H6339" ca="1">VLOOKUP(Cpi_[[#This Row],[Year]:[Month]],crudeoil[],3,FALSE)</f>
        <v>#VALUE!</v>
      </c>
    </row>
    <row r="6340" spans="1:8" hidden="1" x14ac:dyDescent="0.3">
      <c r="A6340" t="s">
        <v>30</v>
      </c>
      <c r="B6340">
        <v>2019</v>
      </c>
      <c r="C6340" t="s">
        <v>41</v>
      </c>
      <c r="D6340" t="s">
        <v>23</v>
      </c>
      <c r="E6340" t="e">
        <f>VLOOKUP(Cpi_[[#This Row],[Attribute]],#REF!,2,FALSE)</f>
        <v>#REF!</v>
      </c>
      <c r="F6340">
        <v>152.69999999999999</v>
      </c>
      <c r="G6340">
        <f>(Cpi_[[#This Row],[Value]]-F6339)/F6339</f>
        <v>1.6644474034620507E-2</v>
      </c>
      <c r="H6340" t="e" cm="1" vm="1">
        <f t="array" aca="1" ref="H6340" ca="1">VLOOKUP(Cpi_[[#This Row],[Year]:[Month]],crudeoil[],3,FALSE)</f>
        <v>#VALUE!</v>
      </c>
    </row>
    <row r="6341" spans="1:8" hidden="1" x14ac:dyDescent="0.3">
      <c r="A6341" t="s">
        <v>30</v>
      </c>
      <c r="B6341">
        <v>2019</v>
      </c>
      <c r="C6341" t="s">
        <v>41</v>
      </c>
      <c r="D6341" t="s">
        <v>24</v>
      </c>
      <c r="E6341" t="e">
        <f>VLOOKUP(Cpi_[[#This Row],[Attribute]],#REF!,2,FALSE)</f>
        <v>#REF!</v>
      </c>
      <c r="F6341">
        <v>131.4</v>
      </c>
      <c r="G6341">
        <f>(Cpi_[[#This Row],[Value]]-F6340)/F6340</f>
        <v>-0.13948919449901759</v>
      </c>
      <c r="H6341" t="e" cm="1" vm="1">
        <f t="array" aca="1" ref="H6341" ca="1">VLOOKUP(Cpi_[[#This Row],[Year]:[Month]],crudeoil[],3,FALSE)</f>
        <v>#VALUE!</v>
      </c>
    </row>
    <row r="6342" spans="1:8" hidden="1" x14ac:dyDescent="0.3">
      <c r="A6342" t="s">
        <v>30</v>
      </c>
      <c r="B6342">
        <v>2019</v>
      </c>
      <c r="C6342" t="s">
        <v>41</v>
      </c>
      <c r="D6342" t="s">
        <v>25</v>
      </c>
      <c r="E6342" t="e">
        <f>VLOOKUP(Cpi_[[#This Row],[Attribute]],#REF!,2,FALSE)</f>
        <v>#REF!</v>
      </c>
      <c r="F6342">
        <v>148</v>
      </c>
      <c r="G6342">
        <f>(Cpi_[[#This Row],[Value]]-F6341)/F6341</f>
        <v>0.12633181126331805</v>
      </c>
      <c r="H6342" t="e" cm="1" vm="1">
        <f t="array" aca="1" ref="H6342" ca="1">VLOOKUP(Cpi_[[#This Row],[Year]:[Month]],crudeoil[],3,FALSE)</f>
        <v>#VALUE!</v>
      </c>
    </row>
    <row r="6343" spans="1:8" hidden="1" x14ac:dyDescent="0.3">
      <c r="A6343" t="s">
        <v>30</v>
      </c>
      <c r="B6343">
        <v>2019</v>
      </c>
      <c r="C6343" t="s">
        <v>41</v>
      </c>
      <c r="D6343" t="s">
        <v>26</v>
      </c>
      <c r="E6343" t="e">
        <f>VLOOKUP(Cpi_[[#This Row],[Attribute]],#REF!,2,FALSE)</f>
        <v>#REF!</v>
      </c>
      <c r="F6343">
        <v>159.69999999999999</v>
      </c>
      <c r="G6343">
        <f>(Cpi_[[#This Row],[Value]]-F6342)/F6342</f>
        <v>7.9054054054053982E-2</v>
      </c>
      <c r="H6343" t="e" cm="1" vm="1">
        <f t="array" aca="1" ref="H6343" ca="1">VLOOKUP(Cpi_[[#This Row],[Year]:[Month]],crudeoil[],3,FALSE)</f>
        <v>#VALUE!</v>
      </c>
    </row>
    <row r="6344" spans="1:8" hidden="1" x14ac:dyDescent="0.3">
      <c r="A6344" t="s">
        <v>30</v>
      </c>
      <c r="B6344">
        <v>2019</v>
      </c>
      <c r="C6344" t="s">
        <v>41</v>
      </c>
      <c r="D6344" t="s">
        <v>27</v>
      </c>
      <c r="E6344" t="e">
        <f>VLOOKUP(Cpi_[[#This Row],[Attribute]],#REF!,2,FALSE)</f>
        <v>#REF!</v>
      </c>
      <c r="F6344">
        <v>138.80000000000001</v>
      </c>
      <c r="G6344">
        <f>(Cpi_[[#This Row],[Value]]-F6343)/F6343</f>
        <v>-0.13087038196618647</v>
      </c>
      <c r="H6344" t="e" cm="1" vm="1">
        <f t="array" aca="1" ref="H6344" ca="1">VLOOKUP(Cpi_[[#This Row],[Year]:[Month]],crudeoil[],3,FALSE)</f>
        <v>#VALUE!</v>
      </c>
    </row>
    <row r="6345" spans="1:8" hidden="1" x14ac:dyDescent="0.3">
      <c r="A6345" t="s">
        <v>30</v>
      </c>
      <c r="B6345">
        <v>2019</v>
      </c>
      <c r="C6345" t="s">
        <v>41</v>
      </c>
      <c r="D6345" t="s">
        <v>28</v>
      </c>
      <c r="E6345" t="e">
        <f>VLOOKUP(Cpi_[[#This Row],[Attribute]],#REF!,2,FALSE)</f>
        <v>#REF!</v>
      </c>
      <c r="F6345">
        <v>144.9</v>
      </c>
      <c r="G6345">
        <f>(Cpi_[[#This Row],[Value]]-F6344)/F6344</f>
        <v>4.394812680115269E-2</v>
      </c>
      <c r="H6345" t="e" cm="1" vm="1">
        <f t="array" aca="1" ref="H6345" ca="1">VLOOKUP(Cpi_[[#This Row],[Year]:[Month]],crudeoil[],3,FALSE)</f>
        <v>#VALUE!</v>
      </c>
    </row>
    <row r="6346" spans="1:8" hidden="1" x14ac:dyDescent="0.3">
      <c r="A6346" t="s">
        <v>30</v>
      </c>
      <c r="B6346">
        <v>2019</v>
      </c>
      <c r="C6346" t="s">
        <v>41</v>
      </c>
      <c r="D6346" t="s">
        <v>29</v>
      </c>
      <c r="E6346" t="e" cm="1">
        <f t="array" aca="1" ref="E6346" ca="1">VLGeneral indexGeneral indexKUP(Cpi_[[#This Row],[Attribute]],#REF!,2,FALSE)</f>
        <v>#NAME?</v>
      </c>
      <c r="F6346">
        <v>145.69999999999999</v>
      </c>
      <c r="G6346">
        <f>(Cpi_[[#This Row],[Value]]-F6345)/F6345</f>
        <v>5.521048999309751E-3</v>
      </c>
      <c r="H6346" t="e" cm="1" vm="1">
        <f t="array" aca="1" ref="H6346" ca="1">VLOOKUP(Cpi_[[#This Row],[Year]:[Month]],crudeoil[],3,FALSE)</f>
        <v>#VALUE!</v>
      </c>
    </row>
    <row r="6347" spans="1:8" hidden="1" x14ac:dyDescent="0.3">
      <c r="A6347" t="s">
        <v>33</v>
      </c>
      <c r="B6347">
        <v>2019</v>
      </c>
      <c r="C6347" t="s">
        <v>41</v>
      </c>
      <c r="D6347" t="s">
        <v>3</v>
      </c>
      <c r="E6347" t="e">
        <f>VLOOKUP(Cpi_[[#This Row],[Attribute]],#REF!,2,FALSE)</f>
        <v>#REF!</v>
      </c>
      <c r="F6347">
        <v>142.1</v>
      </c>
      <c r="G6347">
        <f>(Cpi_[[#This Row],[Value]]-F6346)/F6346</f>
        <v>-2.4708304735758371E-2</v>
      </c>
      <c r="H6347" t="e" cm="1" vm="1">
        <f t="array" aca="1" ref="H6347" ca="1">VLOOKUP(Cpi_[[#This Row],[Year]:[Month]],crudeoil[],3,FALSE)</f>
        <v>#VALUE!</v>
      </c>
    </row>
    <row r="6348" spans="1:8" hidden="1" x14ac:dyDescent="0.3">
      <c r="A6348" t="s">
        <v>33</v>
      </c>
      <c r="B6348">
        <v>2019</v>
      </c>
      <c r="C6348" t="s">
        <v>41</v>
      </c>
      <c r="D6348" t="s">
        <v>4</v>
      </c>
      <c r="E6348" t="e">
        <f>VLOOKUP(Cpi_[[#This Row],[Attribute]],#REF!,2,FALSE)</f>
        <v>#REF!</v>
      </c>
      <c r="F6348">
        <v>158.30000000000001</v>
      </c>
      <c r="G6348">
        <f>(Cpi_[[#This Row],[Value]]-F6347)/F6347</f>
        <v>0.11400422237860675</v>
      </c>
      <c r="H6348" t="e" cm="1" vm="1">
        <f t="array" aca="1" ref="H6348" ca="1">VLOOKUP(Cpi_[[#This Row],[Year]:[Month]],crudeoil[],3,FALSE)</f>
        <v>#VALUE!</v>
      </c>
    </row>
    <row r="6349" spans="1:8" hidden="1" x14ac:dyDescent="0.3">
      <c r="A6349" t="s">
        <v>33</v>
      </c>
      <c r="B6349">
        <v>2019</v>
      </c>
      <c r="C6349" t="s">
        <v>41</v>
      </c>
      <c r="D6349" t="s">
        <v>5</v>
      </c>
      <c r="E6349" t="e">
        <f>VLOOKUP(Cpi_[[#This Row],[Attribute]],#REF!,2,FALSE)</f>
        <v>#REF!</v>
      </c>
      <c r="F6349">
        <v>140.80000000000001</v>
      </c>
      <c r="G6349">
        <f>(Cpi_[[#This Row],[Value]]-F6348)/F6348</f>
        <v>-0.11054958938723941</v>
      </c>
      <c r="H6349" t="e" cm="1" vm="1">
        <f t="array" aca="1" ref="H6349" ca="1">VLOOKUP(Cpi_[[#This Row],[Year]:[Month]],crudeoil[],3,FALSE)</f>
        <v>#VALUE!</v>
      </c>
    </row>
    <row r="6350" spans="1:8" hidden="1" x14ac:dyDescent="0.3">
      <c r="A6350" t="s">
        <v>33</v>
      </c>
      <c r="B6350">
        <v>2019</v>
      </c>
      <c r="C6350" t="s">
        <v>41</v>
      </c>
      <c r="D6350" t="s">
        <v>6</v>
      </c>
      <c r="E6350" t="e">
        <f>VLOOKUP(Cpi_[[#This Row],[Attribute]],#REF!,2,FALSE)</f>
        <v>#REF!</v>
      </c>
      <c r="F6350">
        <v>144.9</v>
      </c>
      <c r="G6350">
        <f>(Cpi_[[#This Row],[Value]]-F6349)/F6349</f>
        <v>2.9119318181818139E-2</v>
      </c>
      <c r="H6350" t="e" cm="1" vm="1">
        <f t="array" aca="1" ref="H6350" ca="1">VLOOKUP(Cpi_[[#This Row],[Year]:[Month]],crudeoil[],3,FALSE)</f>
        <v>#VALUE!</v>
      </c>
    </row>
    <row r="6351" spans="1:8" hidden="1" x14ac:dyDescent="0.3">
      <c r="A6351" t="s">
        <v>33</v>
      </c>
      <c r="B6351">
        <v>2019</v>
      </c>
      <c r="C6351" t="s">
        <v>41</v>
      </c>
      <c r="D6351" t="s">
        <v>7</v>
      </c>
      <c r="E6351" t="e">
        <f>VLOOKUP(Cpi_[[#This Row],[Attribute]],#REF!,2,FALSE)</f>
        <v>#REF!</v>
      </c>
      <c r="F6351">
        <v>119.9</v>
      </c>
      <c r="G6351">
        <f>(Cpi_[[#This Row],[Value]]-F6350)/F6350</f>
        <v>-0.17253278122843341</v>
      </c>
      <c r="H6351" t="e" cm="1" vm="1">
        <f t="array" aca="1" ref="H6351" ca="1">VLOOKUP(Cpi_[[#This Row],[Year]:[Month]],crudeoil[],3,FALSE)</f>
        <v>#VALUE!</v>
      </c>
    </row>
    <row r="6352" spans="1:8" hidden="1" x14ac:dyDescent="0.3">
      <c r="A6352" t="s">
        <v>33</v>
      </c>
      <c r="B6352">
        <v>2019</v>
      </c>
      <c r="C6352" t="s">
        <v>41</v>
      </c>
      <c r="D6352" t="s">
        <v>8</v>
      </c>
      <c r="E6352" t="e">
        <f>VLOOKUP(Cpi_[[#This Row],[Attribute]],#REF!,2,FALSE)</f>
        <v>#REF!</v>
      </c>
      <c r="F6352">
        <v>153.9</v>
      </c>
      <c r="G6352">
        <f>(Cpi_[[#This Row],[Value]]-F6351)/F6351</f>
        <v>0.28356964136780649</v>
      </c>
      <c r="H6352" t="e" cm="1" vm="1">
        <f t="array" aca="1" ref="H6352" ca="1">VLOOKUP(Cpi_[[#This Row],[Year]:[Month]],crudeoil[],3,FALSE)</f>
        <v>#VALUE!</v>
      </c>
    </row>
    <row r="6353" spans="1:8" hidden="1" x14ac:dyDescent="0.3">
      <c r="A6353" t="s">
        <v>33</v>
      </c>
      <c r="B6353">
        <v>2019</v>
      </c>
      <c r="C6353" t="s">
        <v>41</v>
      </c>
      <c r="D6353" t="s">
        <v>9</v>
      </c>
      <c r="E6353" t="e">
        <f>VLOOKUP(Cpi_[[#This Row],[Attribute]],#REF!,2,FALSE)</f>
        <v>#REF!</v>
      </c>
      <c r="F6353">
        <v>189.1</v>
      </c>
      <c r="G6353">
        <f>(Cpi_[[#This Row],[Value]]-F6352)/F6352</f>
        <v>0.22871994801819354</v>
      </c>
      <c r="H6353" t="e" cm="1" vm="1">
        <f t="array" aca="1" ref="H6353" ca="1">VLOOKUP(Cpi_[[#This Row],[Year]:[Month]],crudeoil[],3,FALSE)</f>
        <v>#VALUE!</v>
      </c>
    </row>
    <row r="6354" spans="1:8" hidden="1" x14ac:dyDescent="0.3">
      <c r="A6354" t="s">
        <v>33</v>
      </c>
      <c r="B6354">
        <v>2019</v>
      </c>
      <c r="C6354" t="s">
        <v>41</v>
      </c>
      <c r="D6354" t="s">
        <v>10</v>
      </c>
      <c r="E6354" t="e">
        <f>VLOOKUP(Cpi_[[#This Row],[Attribute]],#REF!,2,FALSE)</f>
        <v>#REF!</v>
      </c>
      <c r="F6354">
        <v>129.80000000000001</v>
      </c>
      <c r="G6354">
        <f>(Cpi_[[#This Row],[Value]]-F6353)/F6353</f>
        <v>-0.31359069275515594</v>
      </c>
      <c r="H6354" t="e" cm="1" vm="1">
        <f t="array" aca="1" ref="H6354" ca="1">VLOOKUP(Cpi_[[#This Row],[Year]:[Month]],crudeoil[],3,FALSE)</f>
        <v>#VALUE!</v>
      </c>
    </row>
    <row r="6355" spans="1:8" hidden="1" x14ac:dyDescent="0.3">
      <c r="A6355" t="s">
        <v>33</v>
      </c>
      <c r="B6355">
        <v>2019</v>
      </c>
      <c r="C6355" t="s">
        <v>41</v>
      </c>
      <c r="D6355" t="s">
        <v>11</v>
      </c>
      <c r="E6355" t="e">
        <f>VLOOKUP(Cpi_[[#This Row],[Attribute]],#REF!,2,FALSE)</f>
        <v>#REF!</v>
      </c>
      <c r="F6355">
        <v>112.7</v>
      </c>
      <c r="G6355">
        <f>(Cpi_[[#This Row],[Value]]-F6354)/F6354</f>
        <v>-0.13174114021571653</v>
      </c>
      <c r="H6355" t="e" cm="1" vm="1">
        <f t="array" aca="1" ref="H6355" ca="1">VLOOKUP(Cpi_[[#This Row],[Year]:[Month]],crudeoil[],3,FALSE)</f>
        <v>#VALUE!</v>
      </c>
    </row>
    <row r="6356" spans="1:8" hidden="1" x14ac:dyDescent="0.3">
      <c r="A6356" t="s">
        <v>33</v>
      </c>
      <c r="B6356">
        <v>2019</v>
      </c>
      <c r="C6356" t="s">
        <v>41</v>
      </c>
      <c r="D6356" t="s">
        <v>12</v>
      </c>
      <c r="E6356" t="e">
        <f>VLOOKUP(Cpi_[[#This Row],[Attribute]],#REF!,2,FALSE)</f>
        <v>#REF!</v>
      </c>
      <c r="F6356">
        <v>142.5</v>
      </c>
      <c r="G6356">
        <f>(Cpi_[[#This Row],[Value]]-F6355)/F6355</f>
        <v>0.2644188110026619</v>
      </c>
      <c r="H6356" t="e" cm="1" vm="1">
        <f t="array" aca="1" ref="H6356" ca="1">VLOOKUP(Cpi_[[#This Row],[Year]:[Month]],crudeoil[],3,FALSE)</f>
        <v>#VALUE!</v>
      </c>
    </row>
    <row r="6357" spans="1:8" hidden="1" x14ac:dyDescent="0.3">
      <c r="A6357" t="s">
        <v>33</v>
      </c>
      <c r="B6357">
        <v>2019</v>
      </c>
      <c r="C6357" t="s">
        <v>41</v>
      </c>
      <c r="D6357" t="s">
        <v>13</v>
      </c>
      <c r="E6357" t="e">
        <f>VLOOKUP(Cpi_[[#This Row],[Attribute]],#REF!,2,FALSE)</f>
        <v>#REF!</v>
      </c>
      <c r="F6357">
        <v>129.80000000000001</v>
      </c>
      <c r="G6357">
        <f>(Cpi_[[#This Row],[Value]]-F6356)/F6356</f>
        <v>-8.9122807017543784E-2</v>
      </c>
      <c r="H6357" t="e" cm="1" vm="1">
        <f t="array" aca="1" ref="H6357" ca="1">VLOOKUP(Cpi_[[#This Row],[Year]:[Month]],crudeoil[],3,FALSE)</f>
        <v>#VALUE!</v>
      </c>
    </row>
    <row r="6358" spans="1:8" hidden="1" x14ac:dyDescent="0.3">
      <c r="A6358" t="s">
        <v>33</v>
      </c>
      <c r="B6358">
        <v>2019</v>
      </c>
      <c r="C6358" t="s">
        <v>41</v>
      </c>
      <c r="D6358" t="s">
        <v>14</v>
      </c>
      <c r="E6358" t="e">
        <f>VLOOKUP(Cpi_[[#This Row],[Attribute]],#REF!,2,FALSE)</f>
        <v>#REF!</v>
      </c>
      <c r="F6358">
        <v>156.19999999999999</v>
      </c>
      <c r="G6358">
        <f>(Cpi_[[#This Row],[Value]]-F6357)/F6357</f>
        <v>0.2033898305084744</v>
      </c>
      <c r="H6358" t="e" cm="1" vm="1">
        <f t="array" aca="1" ref="H6358" ca="1">VLOOKUP(Cpi_[[#This Row],[Year]:[Month]],crudeoil[],3,FALSE)</f>
        <v>#VALUE!</v>
      </c>
    </row>
    <row r="6359" spans="1:8" hidden="1" x14ac:dyDescent="0.3">
      <c r="A6359" t="s">
        <v>33</v>
      </c>
      <c r="B6359">
        <v>2019</v>
      </c>
      <c r="C6359" t="s">
        <v>41</v>
      </c>
      <c r="D6359" t="s">
        <v>15</v>
      </c>
      <c r="E6359" t="e">
        <f>VLOOKUP(Cpi_[[#This Row],[Attribute]],#REF!,2,FALSE)</f>
        <v>#REF!</v>
      </c>
      <c r="F6359">
        <v>149.1</v>
      </c>
      <c r="G6359">
        <f>(Cpi_[[#This Row],[Value]]-F6358)/F6358</f>
        <v>-4.5454545454545421E-2</v>
      </c>
      <c r="H6359" t="e" cm="1" vm="1">
        <f t="array" aca="1" ref="H6359" ca="1">VLOOKUP(Cpi_[[#This Row],[Year]:[Month]],crudeoil[],3,FALSE)</f>
        <v>#VALUE!</v>
      </c>
    </row>
    <row r="6360" spans="1:8" hidden="1" x14ac:dyDescent="0.3">
      <c r="A6360" t="s">
        <v>33</v>
      </c>
      <c r="B6360">
        <v>2019</v>
      </c>
      <c r="C6360" t="s">
        <v>41</v>
      </c>
      <c r="D6360" t="s">
        <v>16</v>
      </c>
      <c r="E6360" t="e">
        <f>VLOOKUP(Cpi_[[#This Row],[Attribute]],#REF!,2,FALSE)</f>
        <v>#REF!</v>
      </c>
      <c r="F6360">
        <v>167.9</v>
      </c>
      <c r="G6360">
        <f>(Cpi_[[#This Row],[Value]]-F6359)/F6359</f>
        <v>0.12608987256874588</v>
      </c>
      <c r="H6360" t="e" cm="1" vm="1">
        <f t="array" aca="1" ref="H6360" ca="1">VLOOKUP(Cpi_[[#This Row],[Year]:[Month]],crudeoil[],3,FALSE)</f>
        <v>#VALUE!</v>
      </c>
    </row>
    <row r="6361" spans="1:8" hidden="1" x14ac:dyDescent="0.3">
      <c r="A6361" t="s">
        <v>33</v>
      </c>
      <c r="B6361">
        <v>2019</v>
      </c>
      <c r="C6361" t="s">
        <v>41</v>
      </c>
      <c r="D6361" t="s">
        <v>17</v>
      </c>
      <c r="E6361" t="e">
        <f>VLOOKUP(Cpi_[[#This Row],[Attribute]],#REF!,2,FALSE)</f>
        <v>#REF!</v>
      </c>
      <c r="F6361">
        <v>145</v>
      </c>
      <c r="G6361">
        <f>(Cpi_[[#This Row],[Value]]-F6360)/F6360</f>
        <v>-0.13639070875521148</v>
      </c>
      <c r="H6361" t="e" cm="1" vm="1">
        <f t="array" aca="1" ref="H6361" ca="1">VLOOKUP(Cpi_[[#This Row],[Year]:[Month]],crudeoil[],3,FALSE)</f>
        <v>#VALUE!</v>
      </c>
    </row>
    <row r="6362" spans="1:8" hidden="1" x14ac:dyDescent="0.3">
      <c r="A6362" t="s">
        <v>33</v>
      </c>
      <c r="B6362">
        <v>2019</v>
      </c>
      <c r="C6362" t="s">
        <v>41</v>
      </c>
      <c r="D6362" t="s">
        <v>18</v>
      </c>
      <c r="E6362" t="e">
        <f>VLOOKUP(Cpi_[[#This Row],[Attribute]],#REF!,2,FALSE)</f>
        <v>#REF!</v>
      </c>
      <c r="F6362">
        <v>132.19999999999999</v>
      </c>
      <c r="G6362">
        <f>(Cpi_[[#This Row],[Value]]-F6361)/F6361</f>
        <v>-8.8275862068965594E-2</v>
      </c>
      <c r="H6362" t="e" cm="1" vm="1">
        <f t="array" aca="1" ref="H6362" ca="1">VLOOKUP(Cpi_[[#This Row],[Year]:[Month]],crudeoil[],3,FALSE)</f>
        <v>#VALUE!</v>
      </c>
    </row>
    <row r="6363" spans="1:8" hidden="1" x14ac:dyDescent="0.3">
      <c r="A6363" t="s">
        <v>33</v>
      </c>
      <c r="B6363">
        <v>2019</v>
      </c>
      <c r="C6363" t="s">
        <v>41</v>
      </c>
      <c r="D6363" t="s">
        <v>19</v>
      </c>
      <c r="E6363" t="e">
        <f>VLOOKUP(Cpi_[[#This Row],[Attribute]],#REF!,2,FALSE)</f>
        <v>#REF!</v>
      </c>
      <c r="F6363">
        <v>143</v>
      </c>
      <c r="G6363">
        <f>(Cpi_[[#This Row],[Value]]-F6362)/F6362</f>
        <v>8.1694402420574977E-2</v>
      </c>
      <c r="H6363" t="e" cm="1" vm="1">
        <f t="array" aca="1" ref="H6363" ca="1">VLOOKUP(Cpi_[[#This Row],[Year]:[Month]],crudeoil[],3,FALSE)</f>
        <v>#VALUE!</v>
      </c>
    </row>
    <row r="6364" spans="1:8" hidden="1" x14ac:dyDescent="0.3">
      <c r="A6364" t="s">
        <v>33</v>
      </c>
      <c r="B6364">
        <v>2019</v>
      </c>
      <c r="C6364" t="s">
        <v>41</v>
      </c>
      <c r="D6364" t="s">
        <v>20</v>
      </c>
      <c r="E6364" t="e">
        <f>VLOOKUP(Cpi_[[#This Row],[Attribute]],#REF!,2,FALSE)</f>
        <v>#REF!</v>
      </c>
      <c r="F6364">
        <v>151.6</v>
      </c>
      <c r="G6364">
        <f>(Cpi_[[#This Row],[Value]]-F6363)/F6363</f>
        <v>6.0139860139860099E-2</v>
      </c>
      <c r="H6364" t="e" cm="1" vm="1">
        <f t="array" aca="1" ref="H6364" ca="1">VLOOKUP(Cpi_[[#This Row],[Year]:[Month]],crudeoil[],3,FALSE)</f>
        <v>#VALUE!</v>
      </c>
    </row>
    <row r="6365" spans="1:8" hidden="1" x14ac:dyDescent="0.3">
      <c r="A6365" t="s">
        <v>33</v>
      </c>
      <c r="B6365">
        <v>2019</v>
      </c>
      <c r="C6365" t="s">
        <v>41</v>
      </c>
      <c r="D6365" t="s">
        <v>21</v>
      </c>
      <c r="E6365" t="e">
        <f>VLOOKUP(Cpi_[[#This Row],[Attribute]],#REF!,2,FALSE)</f>
        <v>#REF!</v>
      </c>
      <c r="F6365">
        <v>125.5</v>
      </c>
      <c r="G6365">
        <f>(Cpi_[[#This Row],[Value]]-F6364)/F6364</f>
        <v>-0.17216358839050128</v>
      </c>
      <c r="H6365" t="e" cm="1" vm="1">
        <f t="array" aca="1" ref="H6365" ca="1">VLOOKUP(Cpi_[[#This Row],[Year]:[Month]],crudeoil[],3,FALSE)</f>
        <v>#VALUE!</v>
      </c>
    </row>
    <row r="6366" spans="1:8" hidden="1" x14ac:dyDescent="0.3">
      <c r="A6366" t="s">
        <v>33</v>
      </c>
      <c r="B6366">
        <v>2019</v>
      </c>
      <c r="C6366" t="s">
        <v>41</v>
      </c>
      <c r="D6366" t="s">
        <v>22</v>
      </c>
      <c r="E6366" t="e">
        <f>VLOOKUP(Cpi_[[#This Row],[Attribute]],#REF!,2,FALSE)</f>
        <v>#REF!</v>
      </c>
      <c r="F6366">
        <v>138.1</v>
      </c>
      <c r="G6366">
        <f>(Cpi_[[#This Row],[Value]]-F6365)/F6365</f>
        <v>0.10039840637450195</v>
      </c>
      <c r="H6366" t="e" cm="1" vm="1">
        <f t="array" aca="1" ref="H6366" ca="1">VLOOKUP(Cpi_[[#This Row],[Year]:[Month]],crudeoil[],3,FALSE)</f>
        <v>#VALUE!</v>
      </c>
    </row>
    <row r="6367" spans="1:8" hidden="1" x14ac:dyDescent="0.3">
      <c r="A6367" t="s">
        <v>33</v>
      </c>
      <c r="B6367">
        <v>2019</v>
      </c>
      <c r="C6367" t="s">
        <v>41</v>
      </c>
      <c r="D6367" t="s">
        <v>23</v>
      </c>
      <c r="E6367" t="e">
        <f>VLOOKUP(Cpi_[[#This Row],[Attribute]],#REF!,2,FALSE)</f>
        <v>#REF!</v>
      </c>
      <c r="F6367">
        <v>141.5</v>
      </c>
      <c r="G6367">
        <f>(Cpi_[[#This Row],[Value]]-F6366)/F6366</f>
        <v>2.4619840695148484E-2</v>
      </c>
      <c r="H6367" t="e" cm="1" vm="1">
        <f t="array" aca="1" ref="H6367" ca="1">VLOOKUP(Cpi_[[#This Row],[Year]:[Month]],crudeoil[],3,FALSE)</f>
        <v>#VALUE!</v>
      </c>
    </row>
    <row r="6368" spans="1:8" hidden="1" x14ac:dyDescent="0.3">
      <c r="A6368" t="s">
        <v>33</v>
      </c>
      <c r="B6368">
        <v>2019</v>
      </c>
      <c r="C6368" t="s">
        <v>41</v>
      </c>
      <c r="D6368" t="s">
        <v>24</v>
      </c>
      <c r="E6368" t="e">
        <f>VLOOKUP(Cpi_[[#This Row],[Attribute]],#REF!,2,FALSE)</f>
        <v>#REF!</v>
      </c>
      <c r="F6368">
        <v>120.8</v>
      </c>
      <c r="G6368">
        <f>(Cpi_[[#This Row],[Value]]-F6367)/F6367</f>
        <v>-0.14628975265017669</v>
      </c>
      <c r="H6368" t="e" cm="1" vm="1">
        <f t="array" aca="1" ref="H6368" ca="1">VLOOKUP(Cpi_[[#This Row],[Year]:[Month]],crudeoil[],3,FALSE)</f>
        <v>#VALUE!</v>
      </c>
    </row>
    <row r="6369" spans="1:8" hidden="1" x14ac:dyDescent="0.3">
      <c r="A6369" t="s">
        <v>33</v>
      </c>
      <c r="B6369">
        <v>2019</v>
      </c>
      <c r="C6369" t="s">
        <v>41</v>
      </c>
      <c r="D6369" t="s">
        <v>25</v>
      </c>
      <c r="E6369" t="e">
        <f>VLOOKUP(Cpi_[[#This Row],[Attribute]],#REF!,2,FALSE)</f>
        <v>#REF!</v>
      </c>
      <c r="F6369">
        <v>135.4</v>
      </c>
      <c r="G6369">
        <f>(Cpi_[[#This Row],[Value]]-F6368)/F6368</f>
        <v>0.12086092715231796</v>
      </c>
      <c r="H6369" t="e" cm="1" vm="1">
        <f t="array" aca="1" ref="H6369" ca="1">VLOOKUP(Cpi_[[#This Row],[Year]:[Month]],crudeoil[],3,FALSE)</f>
        <v>#VALUE!</v>
      </c>
    </row>
    <row r="6370" spans="1:8" hidden="1" x14ac:dyDescent="0.3">
      <c r="A6370" t="s">
        <v>33</v>
      </c>
      <c r="B6370">
        <v>2019</v>
      </c>
      <c r="C6370" t="s">
        <v>41</v>
      </c>
      <c r="D6370" t="s">
        <v>26</v>
      </c>
      <c r="E6370" t="e">
        <f>VLOOKUP(Cpi_[[#This Row],[Attribute]],#REF!,2,FALSE)</f>
        <v>#REF!</v>
      </c>
      <c r="F6370">
        <v>151.5</v>
      </c>
      <c r="G6370">
        <f>(Cpi_[[#This Row],[Value]]-F6369)/F6369</f>
        <v>0.11890694239290985</v>
      </c>
      <c r="H6370" t="e" cm="1" vm="1">
        <f t="array" aca="1" ref="H6370" ca="1">VLOOKUP(Cpi_[[#This Row],[Year]:[Month]],crudeoil[],3,FALSE)</f>
        <v>#VALUE!</v>
      </c>
    </row>
    <row r="6371" spans="1:8" hidden="1" x14ac:dyDescent="0.3">
      <c r="A6371" t="s">
        <v>33</v>
      </c>
      <c r="B6371">
        <v>2019</v>
      </c>
      <c r="C6371" t="s">
        <v>41</v>
      </c>
      <c r="D6371" t="s">
        <v>27</v>
      </c>
      <c r="E6371" t="e">
        <f>VLOOKUP(Cpi_[[#This Row],[Attribute]],#REF!,2,FALSE)</f>
        <v>#REF!</v>
      </c>
      <c r="F6371">
        <v>137.80000000000001</v>
      </c>
      <c r="G6371">
        <f>(Cpi_[[#This Row],[Value]]-F6370)/F6370</f>
        <v>-9.0429042904290352E-2</v>
      </c>
      <c r="H6371" t="e" cm="1" vm="1">
        <f t="array" aca="1" ref="H6371" ca="1">VLOOKUP(Cpi_[[#This Row],[Year]:[Month]],crudeoil[],3,FALSE)</f>
        <v>#VALUE!</v>
      </c>
    </row>
    <row r="6372" spans="1:8" hidden="1" x14ac:dyDescent="0.3">
      <c r="A6372" t="s">
        <v>33</v>
      </c>
      <c r="B6372">
        <v>2019</v>
      </c>
      <c r="C6372" t="s">
        <v>41</v>
      </c>
      <c r="D6372" t="s">
        <v>28</v>
      </c>
      <c r="E6372" t="e">
        <f>VLOOKUP(Cpi_[[#This Row],[Attribute]],#REF!,2,FALSE)</f>
        <v>#REF!</v>
      </c>
      <c r="F6372">
        <v>135.30000000000001</v>
      </c>
      <c r="G6372">
        <f>(Cpi_[[#This Row],[Value]]-F6371)/F6371</f>
        <v>-1.8142235123367198E-2</v>
      </c>
      <c r="H6372" t="e" cm="1" vm="1">
        <f t="array" aca="1" ref="H6372" ca="1">VLOOKUP(Cpi_[[#This Row],[Year]:[Month]],crudeoil[],3,FALSE)</f>
        <v>#VALUE!</v>
      </c>
    </row>
    <row r="6373" spans="1:8" hidden="1" x14ac:dyDescent="0.3">
      <c r="A6373" t="s">
        <v>33</v>
      </c>
      <c r="B6373">
        <v>2019</v>
      </c>
      <c r="C6373" t="s">
        <v>41</v>
      </c>
      <c r="D6373" t="s">
        <v>29</v>
      </c>
      <c r="E6373" t="e" cm="1">
        <f t="array" aca="1" ref="E6373" ca="1">VLGeneral indexGeneral indexKUP(Cpi_[[#This Row],[Attribute]],#REF!,2,FALSE)</f>
        <v>#NAME?</v>
      </c>
      <c r="F6373">
        <v>144.19999999999999</v>
      </c>
      <c r="G6373">
        <f>(Cpi_[[#This Row],[Value]]-F6372)/F6372</f>
        <v>6.5779748706577795E-2</v>
      </c>
      <c r="H6373" t="e" cm="1" vm="1">
        <f t="array" aca="1" ref="H6373" ca="1">VLOOKUP(Cpi_[[#This Row],[Year]:[Month]],crudeoil[],3,FALSE)</f>
        <v>#VALUE!</v>
      </c>
    </row>
    <row r="6374" spans="1:8" hidden="1" x14ac:dyDescent="0.3">
      <c r="A6374" t="s">
        <v>34</v>
      </c>
      <c r="B6374">
        <v>2019</v>
      </c>
      <c r="C6374" t="s">
        <v>41</v>
      </c>
      <c r="D6374" t="s">
        <v>3</v>
      </c>
      <c r="E6374" t="e">
        <f>VLOOKUP(Cpi_[[#This Row],[Attribute]],#REF!,2,FALSE)</f>
        <v>#REF!</v>
      </c>
      <c r="F6374">
        <v>140.1</v>
      </c>
      <c r="G6374">
        <f>(Cpi_[[#This Row],[Value]]-F6373)/F6373</f>
        <v>-2.8432732316227425E-2</v>
      </c>
      <c r="H6374" t="e" cm="1" vm="1">
        <f t="array" aca="1" ref="H6374" ca="1">VLOOKUP(Cpi_[[#This Row],[Year]:[Month]],crudeoil[],3,FALSE)</f>
        <v>#VALUE!</v>
      </c>
    </row>
    <row r="6375" spans="1:8" hidden="1" x14ac:dyDescent="0.3">
      <c r="A6375" t="s">
        <v>34</v>
      </c>
      <c r="B6375">
        <v>2019</v>
      </c>
      <c r="C6375" t="s">
        <v>41</v>
      </c>
      <c r="D6375" t="s">
        <v>4</v>
      </c>
      <c r="E6375" t="e">
        <f>VLOOKUP(Cpi_[[#This Row],[Attribute]],#REF!,2,FALSE)</f>
        <v>#REF!</v>
      </c>
      <c r="F6375">
        <v>160.6</v>
      </c>
      <c r="G6375">
        <f>(Cpi_[[#This Row],[Value]]-F6374)/F6374</f>
        <v>0.14632405424696646</v>
      </c>
      <c r="H6375" t="e" cm="1" vm="1">
        <f t="array" aca="1" ref="H6375" ca="1">VLOOKUP(Cpi_[[#This Row],[Year]:[Month]],crudeoil[],3,FALSE)</f>
        <v>#VALUE!</v>
      </c>
    </row>
    <row r="6376" spans="1:8" hidden="1" x14ac:dyDescent="0.3">
      <c r="A6376" t="s">
        <v>34</v>
      </c>
      <c r="B6376">
        <v>2019</v>
      </c>
      <c r="C6376" t="s">
        <v>41</v>
      </c>
      <c r="D6376" t="s">
        <v>5</v>
      </c>
      <c r="E6376" t="e">
        <f>VLOOKUP(Cpi_[[#This Row],[Attribute]],#REF!,2,FALSE)</f>
        <v>#REF!</v>
      </c>
      <c r="F6376">
        <v>138.5</v>
      </c>
      <c r="G6376">
        <f>(Cpi_[[#This Row],[Value]]-F6375)/F6375</f>
        <v>-0.13760896637608963</v>
      </c>
      <c r="H6376" t="e" cm="1" vm="1">
        <f t="array" aca="1" ref="H6376" ca="1">VLOOKUP(Cpi_[[#This Row],[Year]:[Month]],crudeoil[],3,FALSE)</f>
        <v>#VALUE!</v>
      </c>
    </row>
    <row r="6377" spans="1:8" hidden="1" x14ac:dyDescent="0.3">
      <c r="A6377" t="s">
        <v>34</v>
      </c>
      <c r="B6377">
        <v>2019</v>
      </c>
      <c r="C6377" t="s">
        <v>41</v>
      </c>
      <c r="D6377" t="s">
        <v>6</v>
      </c>
      <c r="E6377" t="e">
        <f>VLOOKUP(Cpi_[[#This Row],[Attribute]],#REF!,2,FALSE)</f>
        <v>#REF!</v>
      </c>
      <c r="F6377">
        <v>144.69999999999999</v>
      </c>
      <c r="G6377">
        <f>(Cpi_[[#This Row],[Value]]-F6376)/F6376</f>
        <v>4.4765342960288723E-2</v>
      </c>
      <c r="H6377" t="e" cm="1" vm="1">
        <f t="array" aca="1" ref="H6377" ca="1">VLOOKUP(Cpi_[[#This Row],[Year]:[Month]],crudeoil[],3,FALSE)</f>
        <v>#VALUE!</v>
      </c>
    </row>
    <row r="6378" spans="1:8" hidden="1" x14ac:dyDescent="0.3">
      <c r="A6378" t="s">
        <v>34</v>
      </c>
      <c r="B6378">
        <v>2019</v>
      </c>
      <c r="C6378" t="s">
        <v>41</v>
      </c>
      <c r="D6378" t="s">
        <v>7</v>
      </c>
      <c r="E6378" t="e">
        <f>VLOOKUP(Cpi_[[#This Row],[Attribute]],#REF!,2,FALSE)</f>
        <v>#REF!</v>
      </c>
      <c r="F6378">
        <v>122.9</v>
      </c>
      <c r="G6378">
        <f>(Cpi_[[#This Row],[Value]]-F6377)/F6377</f>
        <v>-0.15065653075328256</v>
      </c>
      <c r="H6378" t="e" cm="1" vm="1">
        <f t="array" aca="1" ref="H6378" ca="1">VLOOKUP(Cpi_[[#This Row],[Year]:[Month]],crudeoil[],3,FALSE)</f>
        <v>#VALUE!</v>
      </c>
    </row>
    <row r="6379" spans="1:8" hidden="1" x14ac:dyDescent="0.3">
      <c r="A6379" t="s">
        <v>34</v>
      </c>
      <c r="B6379">
        <v>2019</v>
      </c>
      <c r="C6379" t="s">
        <v>41</v>
      </c>
      <c r="D6379" t="s">
        <v>8</v>
      </c>
      <c r="E6379" t="e">
        <f>VLOOKUP(Cpi_[[#This Row],[Attribute]],#REF!,2,FALSE)</f>
        <v>#REF!</v>
      </c>
      <c r="F6379">
        <v>149.4</v>
      </c>
      <c r="G6379">
        <f>(Cpi_[[#This Row],[Value]]-F6378)/F6378</f>
        <v>0.21562245728234336</v>
      </c>
      <c r="H6379" t="e" cm="1" vm="1">
        <f t="array" aca="1" ref="H6379" ca="1">VLOOKUP(Cpi_[[#This Row],[Year]:[Month]],crudeoil[],3,FALSE)</f>
        <v>#VALUE!</v>
      </c>
    </row>
    <row r="6380" spans="1:8" hidden="1" x14ac:dyDescent="0.3">
      <c r="A6380" t="s">
        <v>34</v>
      </c>
      <c r="B6380">
        <v>2019</v>
      </c>
      <c r="C6380" t="s">
        <v>41</v>
      </c>
      <c r="D6380" t="s">
        <v>9</v>
      </c>
      <c r="E6380" t="e">
        <f>VLOOKUP(Cpi_[[#This Row],[Attribute]],#REF!,2,FALSE)</f>
        <v>#REF!</v>
      </c>
      <c r="F6380">
        <v>167.4</v>
      </c>
      <c r="G6380">
        <f>(Cpi_[[#This Row],[Value]]-F6379)/F6379</f>
        <v>0.12048192771084337</v>
      </c>
      <c r="H6380" t="e" cm="1" vm="1">
        <f t="array" aca="1" ref="H6380" ca="1">VLOOKUP(Cpi_[[#This Row],[Year]:[Month]],crudeoil[],3,FALSE)</f>
        <v>#VALUE!</v>
      </c>
    </row>
    <row r="6381" spans="1:8" hidden="1" x14ac:dyDescent="0.3">
      <c r="A6381" t="s">
        <v>34</v>
      </c>
      <c r="B6381">
        <v>2019</v>
      </c>
      <c r="C6381" t="s">
        <v>41</v>
      </c>
      <c r="D6381" t="s">
        <v>10</v>
      </c>
      <c r="E6381" t="e">
        <f>VLOOKUP(Cpi_[[#This Row],[Attribute]],#REF!,2,FALSE)</f>
        <v>#REF!</v>
      </c>
      <c r="F6381">
        <v>130.9</v>
      </c>
      <c r="G6381">
        <f>(Cpi_[[#This Row],[Value]]-F6380)/F6380</f>
        <v>-0.2180406212664277</v>
      </c>
      <c r="H6381" t="e" cm="1" vm="1">
        <f t="array" aca="1" ref="H6381" ca="1">VLOOKUP(Cpi_[[#This Row],[Year]:[Month]],crudeoil[],3,FALSE)</f>
        <v>#VALUE!</v>
      </c>
    </row>
    <row r="6382" spans="1:8" hidden="1" x14ac:dyDescent="0.3">
      <c r="A6382" t="s">
        <v>34</v>
      </c>
      <c r="B6382">
        <v>2019</v>
      </c>
      <c r="C6382" t="s">
        <v>41</v>
      </c>
      <c r="D6382" t="s">
        <v>11</v>
      </c>
      <c r="E6382" t="e">
        <f>VLOOKUP(Cpi_[[#This Row],[Attribute]],#REF!,2,FALSE)</f>
        <v>#REF!</v>
      </c>
      <c r="F6382">
        <v>112</v>
      </c>
      <c r="G6382">
        <f>(Cpi_[[#This Row],[Value]]-F6381)/F6381</f>
        <v>-0.14438502673796796</v>
      </c>
      <c r="H6382" t="e" cm="1" vm="1">
        <f t="array" aca="1" ref="H6382" ca="1">VLOOKUP(Cpi_[[#This Row],[Year]:[Month]],crudeoil[],3,FALSE)</f>
        <v>#VALUE!</v>
      </c>
    </row>
    <row r="6383" spans="1:8" hidden="1" x14ac:dyDescent="0.3">
      <c r="A6383" t="s">
        <v>34</v>
      </c>
      <c r="B6383">
        <v>2019</v>
      </c>
      <c r="C6383" t="s">
        <v>41</v>
      </c>
      <c r="D6383" t="s">
        <v>12</v>
      </c>
      <c r="E6383" t="e">
        <f>VLOOKUP(Cpi_[[#This Row],[Attribute]],#REF!,2,FALSE)</f>
        <v>#REF!</v>
      </c>
      <c r="F6383">
        <v>142.6</v>
      </c>
      <c r="G6383">
        <f>(Cpi_[[#This Row],[Value]]-F6382)/F6382</f>
        <v>0.27321428571428569</v>
      </c>
      <c r="H6383" t="e" cm="1" vm="1">
        <f t="array" aca="1" ref="H6383" ca="1">VLOOKUP(Cpi_[[#This Row],[Year]:[Month]],crudeoil[],3,FALSE)</f>
        <v>#VALUE!</v>
      </c>
    </row>
    <row r="6384" spans="1:8" hidden="1" x14ac:dyDescent="0.3">
      <c r="A6384" t="s">
        <v>34</v>
      </c>
      <c r="B6384">
        <v>2019</v>
      </c>
      <c r="C6384" t="s">
        <v>41</v>
      </c>
      <c r="D6384" t="s">
        <v>13</v>
      </c>
      <c r="E6384" t="e">
        <f>VLOOKUP(Cpi_[[#This Row],[Attribute]],#REF!,2,FALSE)</f>
        <v>#REF!</v>
      </c>
      <c r="F6384">
        <v>134.9</v>
      </c>
      <c r="G6384">
        <f>(Cpi_[[#This Row],[Value]]-F6383)/F6383</f>
        <v>-5.3997194950911563E-2</v>
      </c>
      <c r="H6384" t="e" cm="1" vm="1">
        <f t="array" aca="1" ref="H6384" ca="1">VLOOKUP(Cpi_[[#This Row],[Year]:[Month]],crudeoil[],3,FALSE)</f>
        <v>#VALUE!</v>
      </c>
    </row>
    <row r="6385" spans="1:8" hidden="1" x14ac:dyDescent="0.3">
      <c r="A6385" t="s">
        <v>34</v>
      </c>
      <c r="B6385">
        <v>2019</v>
      </c>
      <c r="C6385" t="s">
        <v>41</v>
      </c>
      <c r="D6385" t="s">
        <v>14</v>
      </c>
      <c r="E6385" t="e">
        <f>VLOOKUP(Cpi_[[#This Row],[Attribute]],#REF!,2,FALSE)</f>
        <v>#REF!</v>
      </c>
      <c r="F6385">
        <v>156.6</v>
      </c>
      <c r="G6385">
        <f>(Cpi_[[#This Row],[Value]]-F6384)/F6384</f>
        <v>0.16085989621942171</v>
      </c>
      <c r="H6385" t="e" cm="1" vm="1">
        <f t="array" aca="1" ref="H6385" ca="1">VLOOKUP(Cpi_[[#This Row],[Year]:[Month]],crudeoil[],3,FALSE)</f>
        <v>#VALUE!</v>
      </c>
    </row>
    <row r="6386" spans="1:8" hidden="1" x14ac:dyDescent="0.3">
      <c r="A6386" t="s">
        <v>34</v>
      </c>
      <c r="B6386">
        <v>2019</v>
      </c>
      <c r="C6386" t="s">
        <v>41</v>
      </c>
      <c r="D6386" t="s">
        <v>15</v>
      </c>
      <c r="E6386" t="e">
        <f>VLOOKUP(Cpi_[[#This Row],[Attribute]],#REF!,2,FALSE)</f>
        <v>#REF!</v>
      </c>
      <c r="F6386">
        <v>145.9</v>
      </c>
      <c r="G6386">
        <f>(Cpi_[[#This Row],[Value]]-F6385)/F6385</f>
        <v>-6.8326947637292398E-2</v>
      </c>
      <c r="H6386" t="e" cm="1" vm="1">
        <f t="array" aca="1" ref="H6386" ca="1">VLOOKUP(Cpi_[[#This Row],[Year]:[Month]],crudeoil[],3,FALSE)</f>
        <v>#VALUE!</v>
      </c>
    </row>
    <row r="6387" spans="1:8" hidden="1" x14ac:dyDescent="0.3">
      <c r="A6387" t="s">
        <v>34</v>
      </c>
      <c r="B6387">
        <v>2019</v>
      </c>
      <c r="C6387" t="s">
        <v>41</v>
      </c>
      <c r="D6387" t="s">
        <v>16</v>
      </c>
      <c r="E6387" t="e">
        <f>VLOOKUP(Cpi_[[#This Row],[Attribute]],#REF!,2,FALSE)</f>
        <v>#REF!</v>
      </c>
      <c r="F6387">
        <v>165.8</v>
      </c>
      <c r="G6387">
        <f>(Cpi_[[#This Row],[Value]]-F6386)/F6386</f>
        <v>0.13639479095270737</v>
      </c>
      <c r="H6387" t="e" cm="1" vm="1">
        <f t="array" aca="1" ref="H6387" ca="1">VLOOKUP(Cpi_[[#This Row],[Year]:[Month]],crudeoil[],3,FALSE)</f>
        <v>#VALUE!</v>
      </c>
    </row>
    <row r="6388" spans="1:8" hidden="1" x14ac:dyDescent="0.3">
      <c r="A6388" t="s">
        <v>34</v>
      </c>
      <c r="B6388">
        <v>2019</v>
      </c>
      <c r="C6388" t="s">
        <v>41</v>
      </c>
      <c r="D6388" t="s">
        <v>17</v>
      </c>
      <c r="E6388" t="e">
        <f>VLOOKUP(Cpi_[[#This Row],[Attribute]],#REF!,2,FALSE)</f>
        <v>#REF!</v>
      </c>
      <c r="F6388">
        <v>149.1</v>
      </c>
      <c r="G6388">
        <f>(Cpi_[[#This Row],[Value]]-F6387)/F6387</f>
        <v>-0.10072376357056705</v>
      </c>
      <c r="H6388" t="e" cm="1" vm="1">
        <f t="array" aca="1" ref="H6388" ca="1">VLOOKUP(Cpi_[[#This Row],[Year]:[Month]],crudeoil[],3,FALSE)</f>
        <v>#VALUE!</v>
      </c>
    </row>
    <row r="6389" spans="1:8" hidden="1" x14ac:dyDescent="0.3">
      <c r="A6389" t="s">
        <v>34</v>
      </c>
      <c r="B6389">
        <v>2019</v>
      </c>
      <c r="C6389" t="s">
        <v>41</v>
      </c>
      <c r="D6389" t="s">
        <v>18</v>
      </c>
      <c r="E6389" t="e">
        <f>VLOOKUP(Cpi_[[#This Row],[Attribute]],#REF!,2,FALSE)</f>
        <v>#REF!</v>
      </c>
      <c r="F6389">
        <v>140.6</v>
      </c>
      <c r="G6389">
        <f>(Cpi_[[#This Row],[Value]]-F6388)/F6388</f>
        <v>-5.7008718980549968E-2</v>
      </c>
      <c r="H6389" t="e" cm="1" vm="1">
        <f t="array" aca="1" ref="H6389" ca="1">VLOOKUP(Cpi_[[#This Row],[Year]:[Month]],crudeoil[],3,FALSE)</f>
        <v>#VALUE!</v>
      </c>
    </row>
    <row r="6390" spans="1:8" hidden="1" x14ac:dyDescent="0.3">
      <c r="A6390" t="s">
        <v>34</v>
      </c>
      <c r="B6390">
        <v>2019</v>
      </c>
      <c r="C6390" t="s">
        <v>41</v>
      </c>
      <c r="D6390" t="s">
        <v>19</v>
      </c>
      <c r="E6390" t="e">
        <f>VLOOKUP(Cpi_[[#This Row],[Attribute]],#REF!,2,FALSE)</f>
        <v>#REF!</v>
      </c>
      <c r="F6390">
        <v>147.9</v>
      </c>
      <c r="G6390">
        <f>(Cpi_[[#This Row],[Value]]-F6389)/F6389</f>
        <v>5.1920341394025689E-2</v>
      </c>
      <c r="H6390" t="e" cm="1" vm="1">
        <f t="array" aca="1" ref="H6390" ca="1">VLOOKUP(Cpi_[[#This Row],[Year]:[Month]],crudeoil[],3,FALSE)</f>
        <v>#VALUE!</v>
      </c>
    </row>
    <row r="6391" spans="1:8" hidden="1" x14ac:dyDescent="0.3">
      <c r="A6391" t="s">
        <v>34</v>
      </c>
      <c r="B6391">
        <v>2019</v>
      </c>
      <c r="C6391" t="s">
        <v>41</v>
      </c>
      <c r="D6391" t="s">
        <v>20</v>
      </c>
      <c r="E6391" t="e">
        <f>VLOOKUP(Cpi_[[#This Row],[Attribute]],#REF!,2,FALSE)</f>
        <v>#REF!</v>
      </c>
      <c r="F6391">
        <v>151.6</v>
      </c>
      <c r="G6391">
        <f>(Cpi_[[#This Row],[Value]]-F6390)/F6390</f>
        <v>2.5016903313049281E-2</v>
      </c>
      <c r="H6391" t="e" cm="1" vm="1">
        <f t="array" aca="1" ref="H6391" ca="1">VLOOKUP(Cpi_[[#This Row],[Year]:[Month]],crudeoil[],3,FALSE)</f>
        <v>#VALUE!</v>
      </c>
    </row>
    <row r="6392" spans="1:8" hidden="1" x14ac:dyDescent="0.3">
      <c r="A6392" t="s">
        <v>34</v>
      </c>
      <c r="B6392">
        <v>2019</v>
      </c>
      <c r="C6392" t="s">
        <v>41</v>
      </c>
      <c r="D6392" t="s">
        <v>21</v>
      </c>
      <c r="E6392" t="e">
        <f>VLOOKUP(Cpi_[[#This Row],[Attribute]],#REF!,2,FALSE)</f>
        <v>#REF!</v>
      </c>
      <c r="F6392">
        <v>138.5</v>
      </c>
      <c r="G6392">
        <f>(Cpi_[[#This Row],[Value]]-F6391)/F6391</f>
        <v>-8.6411609498680708E-2</v>
      </c>
      <c r="H6392" t="e" cm="1" vm="1">
        <f t="array" aca="1" ref="H6392" ca="1">VLOOKUP(Cpi_[[#This Row],[Year]:[Month]],crudeoil[],3,FALSE)</f>
        <v>#VALUE!</v>
      </c>
    </row>
    <row r="6393" spans="1:8" hidden="1" x14ac:dyDescent="0.3">
      <c r="A6393" t="s">
        <v>34</v>
      </c>
      <c r="B6393">
        <v>2019</v>
      </c>
      <c r="C6393" t="s">
        <v>41</v>
      </c>
      <c r="D6393" t="s">
        <v>22</v>
      </c>
      <c r="E6393" t="e">
        <f>VLOOKUP(Cpi_[[#This Row],[Attribute]],#REF!,2,FALSE)</f>
        <v>#REF!</v>
      </c>
      <c r="F6393">
        <v>144.5</v>
      </c>
      <c r="G6393">
        <f>(Cpi_[[#This Row],[Value]]-F6392)/F6392</f>
        <v>4.3321299638989168E-2</v>
      </c>
      <c r="H6393" t="e" cm="1" vm="1">
        <f t="array" aca="1" ref="H6393" ca="1">VLOOKUP(Cpi_[[#This Row],[Year]:[Month]],crudeoil[],3,FALSE)</f>
        <v>#VALUE!</v>
      </c>
    </row>
    <row r="6394" spans="1:8" hidden="1" x14ac:dyDescent="0.3">
      <c r="A6394" t="s">
        <v>34</v>
      </c>
      <c r="B6394">
        <v>2019</v>
      </c>
      <c r="C6394" t="s">
        <v>41</v>
      </c>
      <c r="D6394" t="s">
        <v>23</v>
      </c>
      <c r="E6394" t="e">
        <f>VLOOKUP(Cpi_[[#This Row],[Attribute]],#REF!,2,FALSE)</f>
        <v>#REF!</v>
      </c>
      <c r="F6394">
        <v>148.5</v>
      </c>
      <c r="G6394">
        <f>(Cpi_[[#This Row],[Value]]-F6393)/F6393</f>
        <v>2.768166089965398E-2</v>
      </c>
      <c r="H6394" t="e" cm="1" vm="1">
        <f t="array" aca="1" ref="H6394" ca="1">VLOOKUP(Cpi_[[#This Row],[Year]:[Month]],crudeoil[],3,FALSE)</f>
        <v>#VALUE!</v>
      </c>
    </row>
    <row r="6395" spans="1:8" hidden="1" x14ac:dyDescent="0.3">
      <c r="A6395" t="s">
        <v>34</v>
      </c>
      <c r="B6395">
        <v>2019</v>
      </c>
      <c r="C6395" t="s">
        <v>41</v>
      </c>
      <c r="D6395" t="s">
        <v>24</v>
      </c>
      <c r="E6395" t="e">
        <f>VLOOKUP(Cpi_[[#This Row],[Attribute]],#REF!,2,FALSE)</f>
        <v>#REF!</v>
      </c>
      <c r="F6395">
        <v>125.8</v>
      </c>
      <c r="G6395">
        <f>(Cpi_[[#This Row],[Value]]-F6394)/F6394</f>
        <v>-0.15286195286195289</v>
      </c>
      <c r="H6395" t="e" cm="1" vm="1">
        <f t="array" aca="1" ref="H6395" ca="1">VLOOKUP(Cpi_[[#This Row],[Year]:[Month]],crudeoil[],3,FALSE)</f>
        <v>#VALUE!</v>
      </c>
    </row>
    <row r="6396" spans="1:8" hidden="1" x14ac:dyDescent="0.3">
      <c r="A6396" t="s">
        <v>34</v>
      </c>
      <c r="B6396">
        <v>2019</v>
      </c>
      <c r="C6396" t="s">
        <v>41</v>
      </c>
      <c r="D6396" t="s">
        <v>25</v>
      </c>
      <c r="E6396" t="e">
        <f>VLOOKUP(Cpi_[[#This Row],[Attribute]],#REF!,2,FALSE)</f>
        <v>#REF!</v>
      </c>
      <c r="F6396">
        <v>140.9</v>
      </c>
      <c r="G6396">
        <f>(Cpi_[[#This Row],[Value]]-F6395)/F6395</f>
        <v>0.12003179650238481</v>
      </c>
      <c r="H6396" t="e" cm="1" vm="1">
        <f t="array" aca="1" ref="H6396" ca="1">VLOOKUP(Cpi_[[#This Row],[Year]:[Month]],crudeoil[],3,FALSE)</f>
        <v>#VALUE!</v>
      </c>
    </row>
    <row r="6397" spans="1:8" hidden="1" x14ac:dyDescent="0.3">
      <c r="A6397" t="s">
        <v>34</v>
      </c>
      <c r="B6397">
        <v>2019</v>
      </c>
      <c r="C6397" t="s">
        <v>41</v>
      </c>
      <c r="D6397" t="s">
        <v>26</v>
      </c>
      <c r="E6397" t="e">
        <f>VLOOKUP(Cpi_[[#This Row],[Attribute]],#REF!,2,FALSE)</f>
        <v>#REF!</v>
      </c>
      <c r="F6397">
        <v>154.9</v>
      </c>
      <c r="G6397">
        <f>(Cpi_[[#This Row],[Value]]-F6396)/F6396</f>
        <v>9.9361249112845981E-2</v>
      </c>
      <c r="H6397" t="e" cm="1" vm="1">
        <f t="array" aca="1" ref="H6397" ca="1">VLOOKUP(Cpi_[[#This Row],[Year]:[Month]],crudeoil[],3,FALSE)</f>
        <v>#VALUE!</v>
      </c>
    </row>
    <row r="6398" spans="1:8" hidden="1" x14ac:dyDescent="0.3">
      <c r="A6398" t="s">
        <v>34</v>
      </c>
      <c r="B6398">
        <v>2019</v>
      </c>
      <c r="C6398" t="s">
        <v>41</v>
      </c>
      <c r="D6398" t="s">
        <v>27</v>
      </c>
      <c r="E6398" t="e">
        <f>VLOOKUP(Cpi_[[#This Row],[Attribute]],#REF!,2,FALSE)</f>
        <v>#REF!</v>
      </c>
      <c r="F6398">
        <v>138.4</v>
      </c>
      <c r="G6398">
        <f>(Cpi_[[#This Row],[Value]]-F6397)/F6397</f>
        <v>-0.1065203357004519</v>
      </c>
      <c r="H6398" t="e" cm="1" vm="1">
        <f t="array" aca="1" ref="H6398" ca="1">VLOOKUP(Cpi_[[#This Row],[Year]:[Month]],crudeoil[],3,FALSE)</f>
        <v>#VALUE!</v>
      </c>
    </row>
    <row r="6399" spans="1:8" hidden="1" x14ac:dyDescent="0.3">
      <c r="A6399" t="s">
        <v>34</v>
      </c>
      <c r="B6399">
        <v>2019</v>
      </c>
      <c r="C6399" t="s">
        <v>41</v>
      </c>
      <c r="D6399" t="s">
        <v>28</v>
      </c>
      <c r="E6399" t="e">
        <f>VLOOKUP(Cpi_[[#This Row],[Attribute]],#REF!,2,FALSE)</f>
        <v>#REF!</v>
      </c>
      <c r="F6399">
        <v>140.19999999999999</v>
      </c>
      <c r="G6399">
        <f>(Cpi_[[#This Row],[Value]]-F6398)/F6398</f>
        <v>1.3005780346820685E-2</v>
      </c>
      <c r="H6399" t="e" cm="1" vm="1">
        <f t="array" aca="1" ref="H6399" ca="1">VLOOKUP(Cpi_[[#This Row],[Year]:[Month]],crudeoil[],3,FALSE)</f>
        <v>#VALUE!</v>
      </c>
    </row>
    <row r="6400" spans="1:8" hidden="1" x14ac:dyDescent="0.3">
      <c r="A6400" t="s">
        <v>34</v>
      </c>
      <c r="B6400">
        <v>2019</v>
      </c>
      <c r="C6400" t="s">
        <v>41</v>
      </c>
      <c r="D6400" t="s">
        <v>29</v>
      </c>
      <c r="E6400" t="e" cm="1">
        <f t="array" aca="1" ref="E6400" ca="1">VLGeneral indexGeneral indexKUP(Cpi_[[#This Row],[Attribute]],#REF!,2,FALSE)</f>
        <v>#NAME?</v>
      </c>
      <c r="F6400">
        <v>145</v>
      </c>
      <c r="G6400">
        <f>(Cpi_[[#This Row],[Value]]-F6399)/F6399</f>
        <v>3.423680456490736E-2</v>
      </c>
      <c r="H6400" t="e" cm="1" vm="1">
        <f t="array" aca="1" ref="H6400" ca="1">VLOOKUP(Cpi_[[#This Row],[Year]:[Month]],crudeoil[],3,FALSE)</f>
        <v>#VALUE!</v>
      </c>
    </row>
    <row r="6401" spans="1:8" hidden="1" x14ac:dyDescent="0.3">
      <c r="A6401" t="s">
        <v>30</v>
      </c>
      <c r="B6401">
        <v>2019</v>
      </c>
      <c r="C6401" t="s">
        <v>42</v>
      </c>
      <c r="D6401" t="s">
        <v>3</v>
      </c>
      <c r="E6401" t="e">
        <f>VLOOKUP(Cpi_[[#This Row],[Attribute]],#REF!,2,FALSE)</f>
        <v>#REF!</v>
      </c>
      <c r="F6401">
        <v>140.1</v>
      </c>
      <c r="G6401">
        <f>(Cpi_[[#This Row],[Value]]-F6400)/F6400</f>
        <v>-3.37931034482759E-2</v>
      </c>
      <c r="H6401" t="e" cm="1" vm="1">
        <f t="array" aca="1" ref="H6401" ca="1">VLOOKUP(Cpi_[[#This Row],[Year]:[Month]],crudeoil[],3,FALSE)</f>
        <v>#VALUE!</v>
      </c>
    </row>
    <row r="6402" spans="1:8" hidden="1" x14ac:dyDescent="0.3">
      <c r="A6402" t="s">
        <v>30</v>
      </c>
      <c r="B6402">
        <v>2019</v>
      </c>
      <c r="C6402" t="s">
        <v>42</v>
      </c>
      <c r="D6402" t="s">
        <v>4</v>
      </c>
      <c r="E6402" t="e">
        <f>VLOOKUP(Cpi_[[#This Row],[Attribute]],#REF!,2,FALSE)</f>
        <v>#REF!</v>
      </c>
      <c r="F6402">
        <v>161.9</v>
      </c>
      <c r="G6402">
        <f>(Cpi_[[#This Row],[Value]]-F6401)/F6401</f>
        <v>0.15560314061384733</v>
      </c>
      <c r="H6402" t="e" cm="1" vm="1">
        <f t="array" aca="1" ref="H6402" ca="1">VLOOKUP(Cpi_[[#This Row],[Year]:[Month]],crudeoil[],3,FALSE)</f>
        <v>#VALUE!</v>
      </c>
    </row>
    <row r="6403" spans="1:8" hidden="1" x14ac:dyDescent="0.3">
      <c r="A6403" t="s">
        <v>30</v>
      </c>
      <c r="B6403">
        <v>2019</v>
      </c>
      <c r="C6403" t="s">
        <v>42</v>
      </c>
      <c r="D6403" t="s">
        <v>5</v>
      </c>
      <c r="E6403" t="e">
        <f>VLOOKUP(Cpi_[[#This Row],[Attribute]],#REF!,2,FALSE)</f>
        <v>#REF!</v>
      </c>
      <c r="F6403">
        <v>138.30000000000001</v>
      </c>
      <c r="G6403">
        <f>(Cpi_[[#This Row],[Value]]-F6402)/F6402</f>
        <v>-0.14576899320568248</v>
      </c>
      <c r="H6403" t="e" cm="1" vm="1">
        <f t="array" aca="1" ref="H6403" ca="1">VLOOKUP(Cpi_[[#This Row],[Year]:[Month]],crudeoil[],3,FALSE)</f>
        <v>#VALUE!</v>
      </c>
    </row>
    <row r="6404" spans="1:8" hidden="1" x14ac:dyDescent="0.3">
      <c r="A6404" t="s">
        <v>30</v>
      </c>
      <c r="B6404">
        <v>2019</v>
      </c>
      <c r="C6404" t="s">
        <v>42</v>
      </c>
      <c r="D6404" t="s">
        <v>6</v>
      </c>
      <c r="E6404" t="e">
        <f>VLOOKUP(Cpi_[[#This Row],[Attribute]],#REF!,2,FALSE)</f>
        <v>#REF!</v>
      </c>
      <c r="F6404">
        <v>145.69999999999999</v>
      </c>
      <c r="G6404">
        <f>(Cpi_[[#This Row],[Value]]-F6403)/F6403</f>
        <v>5.3506869125090215E-2</v>
      </c>
      <c r="H6404" t="e" cm="1" vm="1">
        <f t="array" aca="1" ref="H6404" ca="1">VLOOKUP(Cpi_[[#This Row],[Year]:[Month]],crudeoil[],3,FALSE)</f>
        <v>#VALUE!</v>
      </c>
    </row>
    <row r="6405" spans="1:8" hidden="1" x14ac:dyDescent="0.3">
      <c r="A6405" t="s">
        <v>30</v>
      </c>
      <c r="B6405">
        <v>2019</v>
      </c>
      <c r="C6405" t="s">
        <v>42</v>
      </c>
      <c r="D6405" t="s">
        <v>7</v>
      </c>
      <c r="E6405" t="e">
        <f>VLOOKUP(Cpi_[[#This Row],[Attribute]],#REF!,2,FALSE)</f>
        <v>#REF!</v>
      </c>
      <c r="F6405">
        <v>125.1</v>
      </c>
      <c r="G6405">
        <f>(Cpi_[[#This Row],[Value]]-F6404)/F6404</f>
        <v>-0.1413864104323953</v>
      </c>
      <c r="H6405" t="e" cm="1" vm="1">
        <f t="array" aca="1" ref="H6405" ca="1">VLOOKUP(Cpi_[[#This Row],[Year]:[Month]],crudeoil[],3,FALSE)</f>
        <v>#VALUE!</v>
      </c>
    </row>
    <row r="6406" spans="1:8" hidden="1" x14ac:dyDescent="0.3">
      <c r="A6406" t="s">
        <v>30</v>
      </c>
      <c r="B6406">
        <v>2019</v>
      </c>
      <c r="C6406" t="s">
        <v>42</v>
      </c>
      <c r="D6406" t="s">
        <v>8</v>
      </c>
      <c r="E6406" t="e">
        <f>VLOOKUP(Cpi_[[#This Row],[Attribute]],#REF!,2,FALSE)</f>
        <v>#REF!</v>
      </c>
      <c r="F6406">
        <v>143.80000000000001</v>
      </c>
      <c r="G6406">
        <f>(Cpi_[[#This Row],[Value]]-F6405)/F6405</f>
        <v>0.14948041566746617</v>
      </c>
      <c r="H6406" t="e" cm="1" vm="1">
        <f t="array" aca="1" ref="H6406" ca="1">VLOOKUP(Cpi_[[#This Row],[Year]:[Month]],crudeoil[],3,FALSE)</f>
        <v>#VALUE!</v>
      </c>
    </row>
    <row r="6407" spans="1:8" hidden="1" x14ac:dyDescent="0.3">
      <c r="A6407" t="s">
        <v>30</v>
      </c>
      <c r="B6407">
        <v>2019</v>
      </c>
      <c r="C6407" t="s">
        <v>42</v>
      </c>
      <c r="D6407" t="s">
        <v>9</v>
      </c>
      <c r="E6407" t="e">
        <f>VLOOKUP(Cpi_[[#This Row],[Attribute]],#REF!,2,FALSE)</f>
        <v>#REF!</v>
      </c>
      <c r="F6407">
        <v>163.4</v>
      </c>
      <c r="G6407">
        <f>(Cpi_[[#This Row],[Value]]-F6406)/F6406</f>
        <v>0.1363004172461752</v>
      </c>
      <c r="H6407" t="e" cm="1" vm="1">
        <f t="array" aca="1" ref="H6407" ca="1">VLOOKUP(Cpi_[[#This Row],[Year]:[Month]],crudeoil[],3,FALSE)</f>
        <v>#VALUE!</v>
      </c>
    </row>
    <row r="6408" spans="1:8" hidden="1" x14ac:dyDescent="0.3">
      <c r="A6408" t="s">
        <v>30</v>
      </c>
      <c r="B6408">
        <v>2019</v>
      </c>
      <c r="C6408" t="s">
        <v>42</v>
      </c>
      <c r="D6408" t="s">
        <v>10</v>
      </c>
      <c r="E6408" t="e">
        <f>VLOOKUP(Cpi_[[#This Row],[Attribute]],#REF!,2,FALSE)</f>
        <v>#REF!</v>
      </c>
      <c r="F6408">
        <v>132.19999999999999</v>
      </c>
      <c r="G6408">
        <f>(Cpi_[[#This Row],[Value]]-F6407)/F6407</f>
        <v>-0.19094247246022042</v>
      </c>
      <c r="H6408" t="e" cm="1" vm="1">
        <f t="array" aca="1" ref="H6408" ca="1">VLOOKUP(Cpi_[[#This Row],[Year]:[Month]],crudeoil[],3,FALSE)</f>
        <v>#VALUE!</v>
      </c>
    </row>
    <row r="6409" spans="1:8" hidden="1" x14ac:dyDescent="0.3">
      <c r="A6409" t="s">
        <v>30</v>
      </c>
      <c r="B6409">
        <v>2019</v>
      </c>
      <c r="C6409" t="s">
        <v>42</v>
      </c>
      <c r="D6409" t="s">
        <v>11</v>
      </c>
      <c r="E6409" t="e">
        <f>VLOOKUP(Cpi_[[#This Row],[Attribute]],#REF!,2,FALSE)</f>
        <v>#REF!</v>
      </c>
      <c r="F6409">
        <v>112.8</v>
      </c>
      <c r="G6409">
        <f>(Cpi_[[#This Row],[Value]]-F6408)/F6408</f>
        <v>-0.14674735249621779</v>
      </c>
      <c r="H6409" t="e" cm="1" vm="1">
        <f t="array" aca="1" ref="H6409" ca="1">VLOOKUP(Cpi_[[#This Row],[Year]:[Month]],crudeoil[],3,FALSE)</f>
        <v>#VALUE!</v>
      </c>
    </row>
    <row r="6410" spans="1:8" hidden="1" x14ac:dyDescent="0.3">
      <c r="A6410" t="s">
        <v>30</v>
      </c>
      <c r="B6410">
        <v>2019</v>
      </c>
      <c r="C6410" t="s">
        <v>42</v>
      </c>
      <c r="D6410" t="s">
        <v>12</v>
      </c>
      <c r="E6410" t="e">
        <f>VLOOKUP(Cpi_[[#This Row],[Attribute]],#REF!,2,FALSE)</f>
        <v>#REF!</v>
      </c>
      <c r="F6410">
        <v>144.19999999999999</v>
      </c>
      <c r="G6410">
        <f>(Cpi_[[#This Row],[Value]]-F6409)/F6409</f>
        <v>0.27836879432624106</v>
      </c>
      <c r="H6410" t="e" cm="1" vm="1">
        <f t="array" aca="1" ref="H6410" ca="1">VLOOKUP(Cpi_[[#This Row],[Year]:[Month]],crudeoil[],3,FALSE)</f>
        <v>#VALUE!</v>
      </c>
    </row>
    <row r="6411" spans="1:8" hidden="1" x14ac:dyDescent="0.3">
      <c r="A6411" t="s">
        <v>30</v>
      </c>
      <c r="B6411">
        <v>2019</v>
      </c>
      <c r="C6411" t="s">
        <v>42</v>
      </c>
      <c r="D6411" t="s">
        <v>13</v>
      </c>
      <c r="E6411" t="e">
        <f>VLOOKUP(Cpi_[[#This Row],[Attribute]],#REF!,2,FALSE)</f>
        <v>#REF!</v>
      </c>
      <c r="F6411">
        <v>138.5</v>
      </c>
      <c r="G6411">
        <f>(Cpi_[[#This Row],[Value]]-F6410)/F6410</f>
        <v>-3.9528432732316154E-2</v>
      </c>
      <c r="H6411" t="e" cm="1" vm="1">
        <f t="array" aca="1" ref="H6411" ca="1">VLOOKUP(Cpi_[[#This Row],[Year]:[Month]],crudeoil[],3,FALSE)</f>
        <v>#VALUE!</v>
      </c>
    </row>
    <row r="6412" spans="1:8" hidden="1" x14ac:dyDescent="0.3">
      <c r="A6412" t="s">
        <v>30</v>
      </c>
      <c r="B6412">
        <v>2019</v>
      </c>
      <c r="C6412" t="s">
        <v>42</v>
      </c>
      <c r="D6412" t="s">
        <v>14</v>
      </c>
      <c r="E6412" t="e">
        <f>VLOOKUP(Cpi_[[#This Row],[Attribute]],#REF!,2,FALSE)</f>
        <v>#REF!</v>
      </c>
      <c r="F6412">
        <v>157.19999999999999</v>
      </c>
      <c r="G6412">
        <f>(Cpi_[[#This Row],[Value]]-F6411)/F6411</f>
        <v>0.13501805054151617</v>
      </c>
      <c r="H6412" t="e" cm="1" vm="1">
        <f t="array" aca="1" ref="H6412" ca="1">VLOOKUP(Cpi_[[#This Row],[Year]:[Month]],crudeoil[],3,FALSE)</f>
        <v>#VALUE!</v>
      </c>
    </row>
    <row r="6413" spans="1:8" hidden="1" x14ac:dyDescent="0.3">
      <c r="A6413" t="s">
        <v>30</v>
      </c>
      <c r="B6413">
        <v>2019</v>
      </c>
      <c r="C6413" t="s">
        <v>42</v>
      </c>
      <c r="D6413" t="s">
        <v>15</v>
      </c>
      <c r="E6413" t="e">
        <f>VLOOKUP(Cpi_[[#This Row],[Attribute]],#REF!,2,FALSE)</f>
        <v>#REF!</v>
      </c>
      <c r="F6413">
        <v>145.5</v>
      </c>
      <c r="G6413">
        <f>(Cpi_[[#This Row],[Value]]-F6412)/F6412</f>
        <v>-7.4427480916030464E-2</v>
      </c>
      <c r="H6413" t="e" cm="1" vm="1">
        <f t="array" aca="1" ref="H6413" ca="1">VLOOKUP(Cpi_[[#This Row],[Year]:[Month]],crudeoil[],3,FALSE)</f>
        <v>#VALUE!</v>
      </c>
    </row>
    <row r="6414" spans="1:8" hidden="1" x14ac:dyDescent="0.3">
      <c r="A6414" t="s">
        <v>30</v>
      </c>
      <c r="B6414">
        <v>2019</v>
      </c>
      <c r="C6414" t="s">
        <v>42</v>
      </c>
      <c r="D6414" t="s">
        <v>16</v>
      </c>
      <c r="E6414" t="e">
        <f>VLOOKUP(Cpi_[[#This Row],[Attribute]],#REF!,2,FALSE)</f>
        <v>#REF!</v>
      </c>
      <c r="F6414">
        <v>165.7</v>
      </c>
      <c r="G6414">
        <f>(Cpi_[[#This Row],[Value]]-F6413)/F6413</f>
        <v>0.13883161512027484</v>
      </c>
      <c r="H6414" t="e" cm="1" vm="1">
        <f t="array" aca="1" ref="H6414" ca="1">VLOOKUP(Cpi_[[#This Row],[Year]:[Month]],crudeoil[],3,FALSE)</f>
        <v>#VALUE!</v>
      </c>
    </row>
    <row r="6415" spans="1:8" hidden="1" x14ac:dyDescent="0.3">
      <c r="A6415" t="s">
        <v>30</v>
      </c>
      <c r="B6415">
        <v>2019</v>
      </c>
      <c r="C6415" t="s">
        <v>42</v>
      </c>
      <c r="D6415" t="s">
        <v>17</v>
      </c>
      <c r="E6415" t="e">
        <f>VLOOKUP(Cpi_[[#This Row],[Attribute]],#REF!,2,FALSE)</f>
        <v>#REF!</v>
      </c>
      <c r="F6415">
        <v>151.69999999999999</v>
      </c>
      <c r="G6415">
        <f>(Cpi_[[#This Row],[Value]]-F6414)/F6414</f>
        <v>-8.449004224502113E-2</v>
      </c>
      <c r="H6415" t="e" cm="1" vm="1">
        <f t="array" aca="1" ref="H6415" ca="1">VLOOKUP(Cpi_[[#This Row],[Year]:[Month]],crudeoil[],3,FALSE)</f>
        <v>#VALUE!</v>
      </c>
    </row>
    <row r="6416" spans="1:8" hidden="1" x14ac:dyDescent="0.3">
      <c r="A6416" t="s">
        <v>30</v>
      </c>
      <c r="B6416">
        <v>2019</v>
      </c>
      <c r="C6416" t="s">
        <v>42</v>
      </c>
      <c r="D6416" t="s">
        <v>18</v>
      </c>
      <c r="E6416" t="e">
        <f>VLOOKUP(Cpi_[[#This Row],[Attribute]],#REF!,2,FALSE)</f>
        <v>#REF!</v>
      </c>
      <c r="F6416">
        <v>146.6</v>
      </c>
      <c r="G6416">
        <f>(Cpi_[[#This Row],[Value]]-F6415)/F6415</f>
        <v>-3.3618984838496999E-2</v>
      </c>
      <c r="H6416" t="e" cm="1" vm="1">
        <f t="array" aca="1" ref="H6416" ca="1">VLOOKUP(Cpi_[[#This Row],[Year]:[Month]],crudeoil[],3,FALSE)</f>
        <v>#VALUE!</v>
      </c>
    </row>
    <row r="6417" spans="1:8" hidden="1" x14ac:dyDescent="0.3">
      <c r="A6417" t="s">
        <v>30</v>
      </c>
      <c r="B6417">
        <v>2019</v>
      </c>
      <c r="C6417" t="s">
        <v>42</v>
      </c>
      <c r="D6417" t="s">
        <v>19</v>
      </c>
      <c r="E6417" t="e">
        <f>VLOOKUP(Cpi_[[#This Row],[Attribute]],#REF!,2,FALSE)</f>
        <v>#REF!</v>
      </c>
      <c r="F6417">
        <v>151</v>
      </c>
      <c r="G6417">
        <f>(Cpi_[[#This Row],[Value]]-F6416)/F6416</f>
        <v>3.0013642564802222E-2</v>
      </c>
      <c r="H6417" t="e" cm="1" vm="1">
        <f t="array" aca="1" ref="H6417" ca="1">VLOOKUP(Cpi_[[#This Row],[Year]:[Month]],crudeoil[],3,FALSE)</f>
        <v>#VALUE!</v>
      </c>
    </row>
    <row r="6418" spans="1:8" hidden="1" x14ac:dyDescent="0.3">
      <c r="A6418" t="s">
        <v>30</v>
      </c>
      <c r="B6418">
        <v>2019</v>
      </c>
      <c r="C6418" t="s">
        <v>42</v>
      </c>
      <c r="D6418" t="s">
        <v>20</v>
      </c>
      <c r="E6418" t="e">
        <f>VLOOKUP(Cpi_[[#This Row],[Attribute]],#REF!,2,FALSE)</f>
        <v>#REF!</v>
      </c>
      <c r="F6418" t="s">
        <v>32</v>
      </c>
      <c r="G6418" t="e">
        <f>(Cpi_[[#This Row],[Value]]-F6417)/F6417</f>
        <v>#VALUE!</v>
      </c>
      <c r="H6418" t="e" cm="1" vm="1">
        <f t="array" aca="1" ref="H6418" ca="1">VLOOKUP(Cpi_[[#This Row],[Year]:[Month]],crudeoil[],3,FALSE)</f>
        <v>#VALUE!</v>
      </c>
    </row>
    <row r="6419" spans="1:8" hidden="1" x14ac:dyDescent="0.3">
      <c r="A6419" t="s">
        <v>30</v>
      </c>
      <c r="B6419">
        <v>2019</v>
      </c>
      <c r="C6419" t="s">
        <v>42</v>
      </c>
      <c r="D6419" t="s">
        <v>21</v>
      </c>
      <c r="E6419" t="e">
        <f>VLOOKUP(Cpi_[[#This Row],[Attribute]],#REF!,2,FALSE)</f>
        <v>#REF!</v>
      </c>
      <c r="F6419">
        <v>146.9</v>
      </c>
      <c r="G6419" t="e">
        <f>(Cpi_[[#This Row],[Value]]-F6418)/F6418</f>
        <v>#VALUE!</v>
      </c>
      <c r="H6419" t="e" cm="1" vm="1">
        <f t="array" aca="1" ref="H6419" ca="1">VLOOKUP(Cpi_[[#This Row],[Year]:[Month]],crudeoil[],3,FALSE)</f>
        <v>#VALUE!</v>
      </c>
    </row>
    <row r="6420" spans="1:8" hidden="1" x14ac:dyDescent="0.3">
      <c r="A6420" t="s">
        <v>30</v>
      </c>
      <c r="B6420">
        <v>2019</v>
      </c>
      <c r="C6420" t="s">
        <v>42</v>
      </c>
      <c r="D6420" t="s">
        <v>22</v>
      </c>
      <c r="E6420" t="e">
        <f>VLOOKUP(Cpi_[[#This Row],[Attribute]],#REF!,2,FALSE)</f>
        <v>#REF!</v>
      </c>
      <c r="F6420">
        <v>150.30000000000001</v>
      </c>
      <c r="G6420">
        <f>(Cpi_[[#This Row],[Value]]-F6419)/F6419</f>
        <v>2.3144996596324068E-2</v>
      </c>
      <c r="H6420" t="e" cm="1" vm="1">
        <f t="array" aca="1" ref="H6420" ca="1">VLOOKUP(Cpi_[[#This Row],[Year]:[Month]],crudeoil[],3,FALSE)</f>
        <v>#VALUE!</v>
      </c>
    </row>
    <row r="6421" spans="1:8" hidden="1" x14ac:dyDescent="0.3">
      <c r="A6421" t="s">
        <v>30</v>
      </c>
      <c r="B6421">
        <v>2019</v>
      </c>
      <c r="C6421" t="s">
        <v>42</v>
      </c>
      <c r="D6421" t="s">
        <v>23</v>
      </c>
      <c r="E6421" t="e">
        <f>VLOOKUP(Cpi_[[#This Row],[Attribute]],#REF!,2,FALSE)</f>
        <v>#REF!</v>
      </c>
      <c r="F6421">
        <v>153.4</v>
      </c>
      <c r="G6421">
        <f>(Cpi_[[#This Row],[Value]]-F6420)/F6420</f>
        <v>2.0625415834996635E-2</v>
      </c>
      <c r="H6421" t="e" cm="1" vm="1">
        <f t="array" aca="1" ref="H6421" ca="1">VLOOKUP(Cpi_[[#This Row],[Year]:[Month]],crudeoil[],3,FALSE)</f>
        <v>#VALUE!</v>
      </c>
    </row>
    <row r="6422" spans="1:8" hidden="1" x14ac:dyDescent="0.3">
      <c r="A6422" t="s">
        <v>30</v>
      </c>
      <c r="B6422">
        <v>2019</v>
      </c>
      <c r="C6422" t="s">
        <v>42</v>
      </c>
      <c r="D6422" t="s">
        <v>24</v>
      </c>
      <c r="E6422" t="e">
        <f>VLOOKUP(Cpi_[[#This Row],[Attribute]],#REF!,2,FALSE)</f>
        <v>#REF!</v>
      </c>
      <c r="F6422">
        <v>131.6</v>
      </c>
      <c r="G6422">
        <f>(Cpi_[[#This Row],[Value]]-F6421)/F6421</f>
        <v>-0.1421121251629727</v>
      </c>
      <c r="H6422" t="e" cm="1" vm="1">
        <f t="array" aca="1" ref="H6422" ca="1">VLOOKUP(Cpi_[[#This Row],[Year]:[Month]],crudeoil[],3,FALSE)</f>
        <v>#VALUE!</v>
      </c>
    </row>
    <row r="6423" spans="1:8" hidden="1" x14ac:dyDescent="0.3">
      <c r="A6423" t="s">
        <v>30</v>
      </c>
      <c r="B6423">
        <v>2019</v>
      </c>
      <c r="C6423" t="s">
        <v>42</v>
      </c>
      <c r="D6423" t="s">
        <v>25</v>
      </c>
      <c r="E6423" t="e">
        <f>VLOOKUP(Cpi_[[#This Row],[Attribute]],#REF!,2,FALSE)</f>
        <v>#REF!</v>
      </c>
      <c r="F6423">
        <v>148.30000000000001</v>
      </c>
      <c r="G6423">
        <f>(Cpi_[[#This Row],[Value]]-F6422)/F6422</f>
        <v>0.12689969604863235</v>
      </c>
      <c r="H6423" t="e" cm="1" vm="1">
        <f t="array" aca="1" ref="H6423" ca="1">VLOOKUP(Cpi_[[#This Row],[Year]:[Month]],crudeoil[],3,FALSE)</f>
        <v>#VALUE!</v>
      </c>
    </row>
    <row r="6424" spans="1:8" hidden="1" x14ac:dyDescent="0.3">
      <c r="A6424" t="s">
        <v>30</v>
      </c>
      <c r="B6424">
        <v>2019</v>
      </c>
      <c r="C6424" t="s">
        <v>42</v>
      </c>
      <c r="D6424" t="s">
        <v>26</v>
      </c>
      <c r="E6424" t="e">
        <f>VLOOKUP(Cpi_[[#This Row],[Attribute]],#REF!,2,FALSE)</f>
        <v>#REF!</v>
      </c>
      <c r="F6424">
        <v>160.19999999999999</v>
      </c>
      <c r="G6424">
        <f>(Cpi_[[#This Row],[Value]]-F6423)/F6423</f>
        <v>8.0242751180040303E-2</v>
      </c>
      <c r="H6424" t="e" cm="1" vm="1">
        <f t="array" aca="1" ref="H6424" ca="1">VLOOKUP(Cpi_[[#This Row],[Year]:[Month]],crudeoil[],3,FALSE)</f>
        <v>#VALUE!</v>
      </c>
    </row>
    <row r="6425" spans="1:8" hidden="1" x14ac:dyDescent="0.3">
      <c r="A6425" t="s">
        <v>30</v>
      </c>
      <c r="B6425">
        <v>2019</v>
      </c>
      <c r="C6425" t="s">
        <v>42</v>
      </c>
      <c r="D6425" t="s">
        <v>27</v>
      </c>
      <c r="E6425" t="e">
        <f>VLOOKUP(Cpi_[[#This Row],[Attribute]],#REF!,2,FALSE)</f>
        <v>#REF!</v>
      </c>
      <c r="F6425">
        <v>140.19999999999999</v>
      </c>
      <c r="G6425">
        <f>(Cpi_[[#This Row],[Value]]-F6424)/F6424</f>
        <v>-0.12484394506866418</v>
      </c>
      <c r="H6425" t="e" cm="1" vm="1">
        <f t="array" aca="1" ref="H6425" ca="1">VLOOKUP(Cpi_[[#This Row],[Year]:[Month]],crudeoil[],3,FALSE)</f>
        <v>#VALUE!</v>
      </c>
    </row>
    <row r="6426" spans="1:8" hidden="1" x14ac:dyDescent="0.3">
      <c r="A6426" t="s">
        <v>30</v>
      </c>
      <c r="B6426">
        <v>2019</v>
      </c>
      <c r="C6426" t="s">
        <v>42</v>
      </c>
      <c r="D6426" t="s">
        <v>28</v>
      </c>
      <c r="E6426" t="e">
        <f>VLOOKUP(Cpi_[[#This Row],[Attribute]],#REF!,2,FALSE)</f>
        <v>#REF!</v>
      </c>
      <c r="F6426">
        <v>145.4</v>
      </c>
      <c r="G6426">
        <f>(Cpi_[[#This Row],[Value]]-F6425)/F6425</f>
        <v>3.7089871611983009E-2</v>
      </c>
      <c r="H6426" t="e" cm="1" vm="1">
        <f t="array" aca="1" ref="H6426" ca="1">VLOOKUP(Cpi_[[#This Row],[Year]:[Month]],crudeoil[],3,FALSE)</f>
        <v>#VALUE!</v>
      </c>
    </row>
    <row r="6427" spans="1:8" hidden="1" x14ac:dyDescent="0.3">
      <c r="A6427" t="s">
        <v>30</v>
      </c>
      <c r="B6427">
        <v>2019</v>
      </c>
      <c r="C6427" t="s">
        <v>42</v>
      </c>
      <c r="D6427" t="s">
        <v>29</v>
      </c>
      <c r="E6427" t="e" cm="1">
        <f t="array" aca="1" ref="E6427" ca="1">VLGeneral indexGeneral indexKUP(Cpi_[[#This Row],[Attribute]],#REF!,2,FALSE)</f>
        <v>#NAME?</v>
      </c>
      <c r="F6427">
        <v>146.69999999999999</v>
      </c>
      <c r="G6427">
        <f>(Cpi_[[#This Row],[Value]]-F6426)/F6426</f>
        <v>8.9408528198073097E-3</v>
      </c>
      <c r="H6427" t="e" cm="1" vm="1">
        <f t="array" aca="1" ref="H6427" ca="1">VLOOKUP(Cpi_[[#This Row],[Year]:[Month]],crudeoil[],3,FALSE)</f>
        <v>#VALUE!</v>
      </c>
    </row>
    <row r="6428" spans="1:8" hidden="1" x14ac:dyDescent="0.3">
      <c r="A6428" t="s">
        <v>33</v>
      </c>
      <c r="B6428">
        <v>2019</v>
      </c>
      <c r="C6428" t="s">
        <v>42</v>
      </c>
      <c r="D6428" t="s">
        <v>3</v>
      </c>
      <c r="E6428" t="e">
        <f>VLOOKUP(Cpi_[[#This Row],[Attribute]],#REF!,2,FALSE)</f>
        <v>#REF!</v>
      </c>
      <c r="F6428">
        <v>142.69999999999999</v>
      </c>
      <c r="G6428">
        <f>(Cpi_[[#This Row],[Value]]-F6427)/F6427</f>
        <v>-2.7266530334015E-2</v>
      </c>
      <c r="H6428" t="e" cm="1" vm="1">
        <f t="array" aca="1" ref="H6428" ca="1">VLOOKUP(Cpi_[[#This Row],[Year]:[Month]],crudeoil[],3,FALSE)</f>
        <v>#VALUE!</v>
      </c>
    </row>
    <row r="6429" spans="1:8" hidden="1" x14ac:dyDescent="0.3">
      <c r="A6429" t="s">
        <v>33</v>
      </c>
      <c r="B6429">
        <v>2019</v>
      </c>
      <c r="C6429" t="s">
        <v>42</v>
      </c>
      <c r="D6429" t="s">
        <v>4</v>
      </c>
      <c r="E6429" t="e">
        <f>VLOOKUP(Cpi_[[#This Row],[Attribute]],#REF!,2,FALSE)</f>
        <v>#REF!</v>
      </c>
      <c r="F6429">
        <v>158.69999999999999</v>
      </c>
      <c r="G6429">
        <f>(Cpi_[[#This Row],[Value]]-F6428)/F6428</f>
        <v>0.11212333566923617</v>
      </c>
      <c r="H6429" t="e" cm="1" vm="1">
        <f t="array" aca="1" ref="H6429" ca="1">VLOOKUP(Cpi_[[#This Row],[Year]:[Month]],crudeoil[],3,FALSE)</f>
        <v>#VALUE!</v>
      </c>
    </row>
    <row r="6430" spans="1:8" hidden="1" x14ac:dyDescent="0.3">
      <c r="A6430" t="s">
        <v>33</v>
      </c>
      <c r="B6430">
        <v>2019</v>
      </c>
      <c r="C6430" t="s">
        <v>42</v>
      </c>
      <c r="D6430" t="s">
        <v>5</v>
      </c>
      <c r="E6430" t="e">
        <f>VLOOKUP(Cpi_[[#This Row],[Attribute]],#REF!,2,FALSE)</f>
        <v>#REF!</v>
      </c>
      <c r="F6430">
        <v>141.6</v>
      </c>
      <c r="G6430">
        <f>(Cpi_[[#This Row],[Value]]-F6429)/F6429</f>
        <v>-0.10775047258979203</v>
      </c>
      <c r="H6430" t="e" cm="1" vm="1">
        <f t="array" aca="1" ref="H6430" ca="1">VLOOKUP(Cpi_[[#This Row],[Year]:[Month]],crudeoil[],3,FALSE)</f>
        <v>#VALUE!</v>
      </c>
    </row>
    <row r="6431" spans="1:8" hidden="1" x14ac:dyDescent="0.3">
      <c r="A6431" t="s">
        <v>33</v>
      </c>
      <c r="B6431">
        <v>2019</v>
      </c>
      <c r="C6431" t="s">
        <v>42</v>
      </c>
      <c r="D6431" t="s">
        <v>6</v>
      </c>
      <c r="E6431" t="e">
        <f>VLOOKUP(Cpi_[[#This Row],[Attribute]],#REF!,2,FALSE)</f>
        <v>#REF!</v>
      </c>
      <c r="F6431">
        <v>144.9</v>
      </c>
      <c r="G6431">
        <f>(Cpi_[[#This Row],[Value]]-F6430)/F6430</f>
        <v>2.3305084745762792E-2</v>
      </c>
      <c r="H6431" t="e" cm="1" vm="1">
        <f t="array" aca="1" ref="H6431" ca="1">VLOOKUP(Cpi_[[#This Row],[Year]:[Month]],crudeoil[],3,FALSE)</f>
        <v>#VALUE!</v>
      </c>
    </row>
    <row r="6432" spans="1:8" hidden="1" x14ac:dyDescent="0.3">
      <c r="A6432" t="s">
        <v>33</v>
      </c>
      <c r="B6432">
        <v>2019</v>
      </c>
      <c r="C6432" t="s">
        <v>42</v>
      </c>
      <c r="D6432" t="s">
        <v>7</v>
      </c>
      <c r="E6432" t="e">
        <f>VLOOKUP(Cpi_[[#This Row],[Attribute]],#REF!,2,FALSE)</f>
        <v>#REF!</v>
      </c>
      <c r="F6432">
        <v>120.8</v>
      </c>
      <c r="G6432">
        <f>(Cpi_[[#This Row],[Value]]-F6431)/F6431</f>
        <v>-0.16632160110420985</v>
      </c>
      <c r="H6432" t="e" cm="1" vm="1">
        <f t="array" aca="1" ref="H6432" ca="1">VLOOKUP(Cpi_[[#This Row],[Year]:[Month]],crudeoil[],3,FALSE)</f>
        <v>#VALUE!</v>
      </c>
    </row>
    <row r="6433" spans="1:8" hidden="1" x14ac:dyDescent="0.3">
      <c r="A6433" t="s">
        <v>33</v>
      </c>
      <c r="B6433">
        <v>2019</v>
      </c>
      <c r="C6433" t="s">
        <v>42</v>
      </c>
      <c r="D6433" t="s">
        <v>8</v>
      </c>
      <c r="E6433" t="e">
        <f>VLOOKUP(Cpi_[[#This Row],[Attribute]],#REF!,2,FALSE)</f>
        <v>#REF!</v>
      </c>
      <c r="F6433">
        <v>149.80000000000001</v>
      </c>
      <c r="G6433">
        <f>(Cpi_[[#This Row],[Value]]-F6432)/F6432</f>
        <v>0.24006622516556303</v>
      </c>
      <c r="H6433" t="e" cm="1" vm="1">
        <f t="array" aca="1" ref="H6433" ca="1">VLOOKUP(Cpi_[[#This Row],[Year]:[Month]],crudeoil[],3,FALSE)</f>
        <v>#VALUE!</v>
      </c>
    </row>
    <row r="6434" spans="1:8" hidden="1" x14ac:dyDescent="0.3">
      <c r="A6434" t="s">
        <v>33</v>
      </c>
      <c r="B6434">
        <v>2019</v>
      </c>
      <c r="C6434" t="s">
        <v>42</v>
      </c>
      <c r="D6434" t="s">
        <v>9</v>
      </c>
      <c r="E6434" t="e">
        <f>VLOOKUP(Cpi_[[#This Row],[Attribute]],#REF!,2,FALSE)</f>
        <v>#REF!</v>
      </c>
      <c r="F6434">
        <v>192.4</v>
      </c>
      <c r="G6434">
        <f>(Cpi_[[#This Row],[Value]]-F6433)/F6433</f>
        <v>0.28437917222963949</v>
      </c>
      <c r="H6434" t="e" cm="1" vm="1">
        <f t="array" aca="1" ref="H6434" ca="1">VLOOKUP(Cpi_[[#This Row],[Year]:[Month]],crudeoil[],3,FALSE)</f>
        <v>#VALUE!</v>
      </c>
    </row>
    <row r="6435" spans="1:8" hidden="1" x14ac:dyDescent="0.3">
      <c r="A6435" t="s">
        <v>33</v>
      </c>
      <c r="B6435">
        <v>2019</v>
      </c>
      <c r="C6435" t="s">
        <v>42</v>
      </c>
      <c r="D6435" t="s">
        <v>10</v>
      </c>
      <c r="E6435" t="e">
        <f>VLOOKUP(Cpi_[[#This Row],[Attribute]],#REF!,2,FALSE)</f>
        <v>#REF!</v>
      </c>
      <c r="F6435">
        <v>130.30000000000001</v>
      </c>
      <c r="G6435">
        <f>(Cpi_[[#This Row],[Value]]-F6434)/F6434</f>
        <v>-0.32276507276507271</v>
      </c>
      <c r="H6435" t="e" cm="1" vm="1">
        <f t="array" aca="1" ref="H6435" ca="1">VLOOKUP(Cpi_[[#This Row],[Year]:[Month]],crudeoil[],3,FALSE)</f>
        <v>#VALUE!</v>
      </c>
    </row>
    <row r="6436" spans="1:8" hidden="1" x14ac:dyDescent="0.3">
      <c r="A6436" t="s">
        <v>33</v>
      </c>
      <c r="B6436">
        <v>2019</v>
      </c>
      <c r="C6436" t="s">
        <v>42</v>
      </c>
      <c r="D6436" t="s">
        <v>11</v>
      </c>
      <c r="E6436" t="e">
        <f>VLOOKUP(Cpi_[[#This Row],[Attribute]],#REF!,2,FALSE)</f>
        <v>#REF!</v>
      </c>
      <c r="F6436">
        <v>114</v>
      </c>
      <c r="G6436">
        <f>(Cpi_[[#This Row],[Value]]-F6435)/F6435</f>
        <v>-0.12509593246354575</v>
      </c>
      <c r="H6436" t="e" cm="1" vm="1">
        <f t="array" aca="1" ref="H6436" ca="1">VLOOKUP(Cpi_[[#This Row],[Year]:[Month]],crudeoil[],3,FALSE)</f>
        <v>#VALUE!</v>
      </c>
    </row>
    <row r="6437" spans="1:8" hidden="1" x14ac:dyDescent="0.3">
      <c r="A6437" t="s">
        <v>33</v>
      </c>
      <c r="B6437">
        <v>2019</v>
      </c>
      <c r="C6437" t="s">
        <v>42</v>
      </c>
      <c r="D6437" t="s">
        <v>12</v>
      </c>
      <c r="E6437" t="e">
        <f>VLOOKUP(Cpi_[[#This Row],[Attribute]],#REF!,2,FALSE)</f>
        <v>#REF!</v>
      </c>
      <c r="F6437">
        <v>143.80000000000001</v>
      </c>
      <c r="G6437">
        <f>(Cpi_[[#This Row],[Value]]-F6436)/F6436</f>
        <v>0.26140350877192992</v>
      </c>
      <c r="H6437" t="e" cm="1" vm="1">
        <f t="array" aca="1" ref="H6437" ca="1">VLOOKUP(Cpi_[[#This Row],[Year]:[Month]],crudeoil[],3,FALSE)</f>
        <v>#VALUE!</v>
      </c>
    </row>
    <row r="6438" spans="1:8" hidden="1" x14ac:dyDescent="0.3">
      <c r="A6438" t="s">
        <v>33</v>
      </c>
      <c r="B6438">
        <v>2019</v>
      </c>
      <c r="C6438" t="s">
        <v>42</v>
      </c>
      <c r="D6438" t="s">
        <v>13</v>
      </c>
      <c r="E6438" t="e">
        <f>VLOOKUP(Cpi_[[#This Row],[Attribute]],#REF!,2,FALSE)</f>
        <v>#REF!</v>
      </c>
      <c r="F6438">
        <v>130</v>
      </c>
      <c r="G6438">
        <f>(Cpi_[[#This Row],[Value]]-F6437)/F6437</f>
        <v>-9.5966620305980604E-2</v>
      </c>
      <c r="H6438" t="e" cm="1" vm="1">
        <f t="array" aca="1" ref="H6438" ca="1">VLOOKUP(Cpi_[[#This Row],[Year]:[Month]],crudeoil[],3,FALSE)</f>
        <v>#VALUE!</v>
      </c>
    </row>
    <row r="6439" spans="1:8" hidden="1" x14ac:dyDescent="0.3">
      <c r="A6439" t="s">
        <v>33</v>
      </c>
      <c r="B6439">
        <v>2019</v>
      </c>
      <c r="C6439" t="s">
        <v>42</v>
      </c>
      <c r="D6439" t="s">
        <v>14</v>
      </c>
      <c r="E6439" t="e">
        <f>VLOOKUP(Cpi_[[#This Row],[Attribute]],#REF!,2,FALSE)</f>
        <v>#REF!</v>
      </c>
      <c r="F6439">
        <v>156.4</v>
      </c>
      <c r="G6439">
        <f>(Cpi_[[#This Row],[Value]]-F6438)/F6438</f>
        <v>0.20307692307692313</v>
      </c>
      <c r="H6439" t="e" cm="1" vm="1">
        <f t="array" aca="1" ref="H6439" ca="1">VLOOKUP(Cpi_[[#This Row],[Year]:[Month]],crudeoil[],3,FALSE)</f>
        <v>#VALUE!</v>
      </c>
    </row>
    <row r="6440" spans="1:8" hidden="1" x14ac:dyDescent="0.3">
      <c r="A6440" t="s">
        <v>33</v>
      </c>
      <c r="B6440">
        <v>2019</v>
      </c>
      <c r="C6440" t="s">
        <v>42</v>
      </c>
      <c r="D6440" t="s">
        <v>15</v>
      </c>
      <c r="E6440" t="e">
        <f>VLOOKUP(Cpi_[[#This Row],[Attribute]],#REF!,2,FALSE)</f>
        <v>#REF!</v>
      </c>
      <c r="F6440">
        <v>149.5</v>
      </c>
      <c r="G6440">
        <f>(Cpi_[[#This Row],[Value]]-F6439)/F6439</f>
        <v>-4.4117647058823567E-2</v>
      </c>
      <c r="H6440" t="e" cm="1" vm="1">
        <f t="array" aca="1" ref="H6440" ca="1">VLOOKUP(Cpi_[[#This Row],[Year]:[Month]],crudeoil[],3,FALSE)</f>
        <v>#VALUE!</v>
      </c>
    </row>
    <row r="6441" spans="1:8" hidden="1" x14ac:dyDescent="0.3">
      <c r="A6441" t="s">
        <v>33</v>
      </c>
      <c r="B6441">
        <v>2019</v>
      </c>
      <c r="C6441" t="s">
        <v>42</v>
      </c>
      <c r="D6441" t="s">
        <v>16</v>
      </c>
      <c r="E6441" t="e">
        <f>VLOOKUP(Cpi_[[#This Row],[Attribute]],#REF!,2,FALSE)</f>
        <v>#REF!</v>
      </c>
      <c r="F6441">
        <v>168.6</v>
      </c>
      <c r="G6441">
        <f>(Cpi_[[#This Row],[Value]]-F6440)/F6440</f>
        <v>0.12775919732441468</v>
      </c>
      <c r="H6441" t="e" cm="1" vm="1">
        <f t="array" aca="1" ref="H6441" ca="1">VLOOKUP(Cpi_[[#This Row],[Year]:[Month]],crudeoil[],3,FALSE)</f>
        <v>#VALUE!</v>
      </c>
    </row>
    <row r="6442" spans="1:8" hidden="1" x14ac:dyDescent="0.3">
      <c r="A6442" t="s">
        <v>33</v>
      </c>
      <c r="B6442">
        <v>2019</v>
      </c>
      <c r="C6442" t="s">
        <v>42</v>
      </c>
      <c r="D6442" t="s">
        <v>17</v>
      </c>
      <c r="E6442" t="e">
        <f>VLOOKUP(Cpi_[[#This Row],[Attribute]],#REF!,2,FALSE)</f>
        <v>#REF!</v>
      </c>
      <c r="F6442">
        <v>145.30000000000001</v>
      </c>
      <c r="G6442">
        <f>(Cpi_[[#This Row],[Value]]-F6441)/F6441</f>
        <v>-0.13819691577698687</v>
      </c>
      <c r="H6442" t="e" cm="1" vm="1">
        <f t="array" aca="1" ref="H6442" ca="1">VLOOKUP(Cpi_[[#This Row],[Year]:[Month]],crudeoil[],3,FALSE)</f>
        <v>#VALUE!</v>
      </c>
    </row>
    <row r="6443" spans="1:8" hidden="1" x14ac:dyDescent="0.3">
      <c r="A6443" t="s">
        <v>33</v>
      </c>
      <c r="B6443">
        <v>2019</v>
      </c>
      <c r="C6443" t="s">
        <v>42</v>
      </c>
      <c r="D6443" t="s">
        <v>18</v>
      </c>
      <c r="E6443" t="e">
        <f>VLOOKUP(Cpi_[[#This Row],[Attribute]],#REF!,2,FALSE)</f>
        <v>#REF!</v>
      </c>
      <c r="F6443">
        <v>132.19999999999999</v>
      </c>
      <c r="G6443">
        <f>(Cpi_[[#This Row],[Value]]-F6442)/F6442</f>
        <v>-9.0158293186510821E-2</v>
      </c>
      <c r="H6443" t="e" cm="1" vm="1">
        <f t="array" aca="1" ref="H6443" ca="1">VLOOKUP(Cpi_[[#This Row],[Year]:[Month]],crudeoil[],3,FALSE)</f>
        <v>#VALUE!</v>
      </c>
    </row>
    <row r="6444" spans="1:8" hidden="1" x14ac:dyDescent="0.3">
      <c r="A6444" t="s">
        <v>33</v>
      </c>
      <c r="B6444">
        <v>2019</v>
      </c>
      <c r="C6444" t="s">
        <v>42</v>
      </c>
      <c r="D6444" t="s">
        <v>19</v>
      </c>
      <c r="E6444" t="e">
        <f>VLOOKUP(Cpi_[[#This Row],[Attribute]],#REF!,2,FALSE)</f>
        <v>#REF!</v>
      </c>
      <c r="F6444">
        <v>143.30000000000001</v>
      </c>
      <c r="G6444">
        <f>(Cpi_[[#This Row],[Value]]-F6443)/F6443</f>
        <v>8.3963691376702149E-2</v>
      </c>
      <c r="H6444" t="e" cm="1" vm="1">
        <f t="array" aca="1" ref="H6444" ca="1">VLOOKUP(Cpi_[[#This Row],[Year]:[Month]],crudeoil[],3,FALSE)</f>
        <v>#VALUE!</v>
      </c>
    </row>
    <row r="6445" spans="1:8" hidden="1" x14ac:dyDescent="0.3">
      <c r="A6445" t="s">
        <v>33</v>
      </c>
      <c r="B6445">
        <v>2019</v>
      </c>
      <c r="C6445" t="s">
        <v>42</v>
      </c>
      <c r="D6445" t="s">
        <v>20</v>
      </c>
      <c r="E6445" t="e">
        <f>VLOOKUP(Cpi_[[#This Row],[Attribute]],#REF!,2,FALSE)</f>
        <v>#REF!</v>
      </c>
      <c r="F6445">
        <v>152.19999999999999</v>
      </c>
      <c r="G6445">
        <f>(Cpi_[[#This Row],[Value]]-F6444)/F6444</f>
        <v>6.2107466852756289E-2</v>
      </c>
      <c r="H6445" t="e" cm="1" vm="1">
        <f t="array" aca="1" ref="H6445" ca="1">VLOOKUP(Cpi_[[#This Row],[Year]:[Month]],crudeoil[],3,FALSE)</f>
        <v>#VALUE!</v>
      </c>
    </row>
    <row r="6446" spans="1:8" hidden="1" x14ac:dyDescent="0.3">
      <c r="A6446" t="s">
        <v>33</v>
      </c>
      <c r="B6446">
        <v>2019</v>
      </c>
      <c r="C6446" t="s">
        <v>42</v>
      </c>
      <c r="D6446" t="s">
        <v>21</v>
      </c>
      <c r="E6446" t="e">
        <f>VLOOKUP(Cpi_[[#This Row],[Attribute]],#REF!,2,FALSE)</f>
        <v>#REF!</v>
      </c>
      <c r="F6446">
        <v>126.6</v>
      </c>
      <c r="G6446">
        <f>(Cpi_[[#This Row],[Value]]-F6445)/F6445</f>
        <v>-0.16819973718791062</v>
      </c>
      <c r="H6446" t="e" cm="1" vm="1">
        <f t="array" aca="1" ref="H6446" ca="1">VLOOKUP(Cpi_[[#This Row],[Year]:[Month]],crudeoil[],3,FALSE)</f>
        <v>#VALUE!</v>
      </c>
    </row>
    <row r="6447" spans="1:8" hidden="1" x14ac:dyDescent="0.3">
      <c r="A6447" t="s">
        <v>33</v>
      </c>
      <c r="B6447">
        <v>2019</v>
      </c>
      <c r="C6447" t="s">
        <v>42</v>
      </c>
      <c r="D6447" t="s">
        <v>22</v>
      </c>
      <c r="E6447" t="e">
        <f>VLOOKUP(Cpi_[[#This Row],[Attribute]],#REF!,2,FALSE)</f>
        <v>#REF!</v>
      </c>
      <c r="F6447">
        <v>138.30000000000001</v>
      </c>
      <c r="G6447">
        <f>(Cpi_[[#This Row],[Value]]-F6446)/F6446</f>
        <v>9.2417061611374543E-2</v>
      </c>
      <c r="H6447" t="e" cm="1" vm="1">
        <f t="array" aca="1" ref="H6447" ca="1">VLOOKUP(Cpi_[[#This Row],[Year]:[Month]],crudeoil[],3,FALSE)</f>
        <v>#VALUE!</v>
      </c>
    </row>
    <row r="6448" spans="1:8" hidden="1" x14ac:dyDescent="0.3">
      <c r="A6448" t="s">
        <v>33</v>
      </c>
      <c r="B6448">
        <v>2019</v>
      </c>
      <c r="C6448" t="s">
        <v>42</v>
      </c>
      <c r="D6448" t="s">
        <v>23</v>
      </c>
      <c r="E6448" t="e">
        <f>VLOOKUP(Cpi_[[#This Row],[Attribute]],#REF!,2,FALSE)</f>
        <v>#REF!</v>
      </c>
      <c r="F6448">
        <v>141.9</v>
      </c>
      <c r="G6448">
        <f>(Cpi_[[#This Row],[Value]]-F6447)/F6447</f>
        <v>2.6030368763557441E-2</v>
      </c>
      <c r="H6448" t="e" cm="1" vm="1">
        <f t="array" aca="1" ref="H6448" ca="1">VLOOKUP(Cpi_[[#This Row],[Year]:[Month]],crudeoil[],3,FALSE)</f>
        <v>#VALUE!</v>
      </c>
    </row>
    <row r="6449" spans="1:8" hidden="1" x14ac:dyDescent="0.3">
      <c r="A6449" t="s">
        <v>33</v>
      </c>
      <c r="B6449">
        <v>2019</v>
      </c>
      <c r="C6449" t="s">
        <v>42</v>
      </c>
      <c r="D6449" t="s">
        <v>24</v>
      </c>
      <c r="E6449" t="e">
        <f>VLOOKUP(Cpi_[[#This Row],[Attribute]],#REF!,2,FALSE)</f>
        <v>#REF!</v>
      </c>
      <c r="F6449">
        <v>121.2</v>
      </c>
      <c r="G6449">
        <f>(Cpi_[[#This Row],[Value]]-F6448)/F6448</f>
        <v>-0.14587737843551798</v>
      </c>
      <c r="H6449" t="e" cm="1" vm="1">
        <f t="array" aca="1" ref="H6449" ca="1">VLOOKUP(Cpi_[[#This Row],[Year]:[Month]],crudeoil[],3,FALSE)</f>
        <v>#VALUE!</v>
      </c>
    </row>
    <row r="6450" spans="1:8" hidden="1" x14ac:dyDescent="0.3">
      <c r="A6450" t="s">
        <v>33</v>
      </c>
      <c r="B6450">
        <v>2019</v>
      </c>
      <c r="C6450" t="s">
        <v>42</v>
      </c>
      <c r="D6450" t="s">
        <v>25</v>
      </c>
      <c r="E6450" t="e">
        <f>VLOOKUP(Cpi_[[#This Row],[Attribute]],#REF!,2,FALSE)</f>
        <v>#REF!</v>
      </c>
      <c r="F6450">
        <v>135.9</v>
      </c>
      <c r="G6450">
        <f>(Cpi_[[#This Row],[Value]]-F6449)/F6449</f>
        <v>0.12128712871287131</v>
      </c>
      <c r="H6450" t="e" cm="1" vm="1">
        <f t="array" aca="1" ref="H6450" ca="1">VLOOKUP(Cpi_[[#This Row],[Year]:[Month]],crudeoil[],3,FALSE)</f>
        <v>#VALUE!</v>
      </c>
    </row>
    <row r="6451" spans="1:8" hidden="1" x14ac:dyDescent="0.3">
      <c r="A6451" t="s">
        <v>33</v>
      </c>
      <c r="B6451">
        <v>2019</v>
      </c>
      <c r="C6451" t="s">
        <v>42</v>
      </c>
      <c r="D6451" t="s">
        <v>26</v>
      </c>
      <c r="E6451" t="e">
        <f>VLOOKUP(Cpi_[[#This Row],[Attribute]],#REF!,2,FALSE)</f>
        <v>#REF!</v>
      </c>
      <c r="F6451">
        <v>151.6</v>
      </c>
      <c r="G6451">
        <f>(Cpi_[[#This Row],[Value]]-F6450)/F6450</f>
        <v>0.11552612214863861</v>
      </c>
      <c r="H6451" t="e" cm="1" vm="1">
        <f t="array" aca="1" ref="H6451" ca="1">VLOOKUP(Cpi_[[#This Row],[Year]:[Month]],crudeoil[],3,FALSE)</f>
        <v>#VALUE!</v>
      </c>
    </row>
    <row r="6452" spans="1:8" hidden="1" x14ac:dyDescent="0.3">
      <c r="A6452" t="s">
        <v>33</v>
      </c>
      <c r="B6452">
        <v>2019</v>
      </c>
      <c r="C6452" t="s">
        <v>42</v>
      </c>
      <c r="D6452" t="s">
        <v>27</v>
      </c>
      <c r="E6452" t="e">
        <f>VLOOKUP(Cpi_[[#This Row],[Attribute]],#REF!,2,FALSE)</f>
        <v>#REF!</v>
      </c>
      <c r="F6452">
        <v>139</v>
      </c>
      <c r="G6452">
        <f>(Cpi_[[#This Row],[Value]]-F6451)/F6451</f>
        <v>-8.3113456464379912E-2</v>
      </c>
      <c r="H6452" t="e" cm="1" vm="1">
        <f t="array" aca="1" ref="H6452" ca="1">VLOOKUP(Cpi_[[#This Row],[Year]:[Month]],crudeoil[],3,FALSE)</f>
        <v>#VALUE!</v>
      </c>
    </row>
    <row r="6453" spans="1:8" hidden="1" x14ac:dyDescent="0.3">
      <c r="A6453" t="s">
        <v>33</v>
      </c>
      <c r="B6453">
        <v>2019</v>
      </c>
      <c r="C6453" t="s">
        <v>42</v>
      </c>
      <c r="D6453" t="s">
        <v>28</v>
      </c>
      <c r="E6453" t="e">
        <f>VLOOKUP(Cpi_[[#This Row],[Attribute]],#REF!,2,FALSE)</f>
        <v>#REF!</v>
      </c>
      <c r="F6453">
        <v>135.69999999999999</v>
      </c>
      <c r="G6453">
        <f>(Cpi_[[#This Row],[Value]]-F6452)/F6452</f>
        <v>-2.3741007194244688E-2</v>
      </c>
      <c r="H6453" t="e" cm="1" vm="1">
        <f t="array" aca="1" ref="H6453" ca="1">VLOOKUP(Cpi_[[#This Row],[Year]:[Month]],crudeoil[],3,FALSE)</f>
        <v>#VALUE!</v>
      </c>
    </row>
    <row r="6454" spans="1:8" hidden="1" x14ac:dyDescent="0.3">
      <c r="A6454" t="s">
        <v>33</v>
      </c>
      <c r="B6454">
        <v>2019</v>
      </c>
      <c r="C6454" t="s">
        <v>42</v>
      </c>
      <c r="D6454" t="s">
        <v>29</v>
      </c>
      <c r="E6454" t="e" cm="1">
        <f t="array" aca="1" ref="E6454" ca="1">VLGeneral indexGeneral indexKUP(Cpi_[[#This Row],[Attribute]],#REF!,2,FALSE)</f>
        <v>#NAME?</v>
      </c>
      <c r="F6454">
        <v>144.69999999999999</v>
      </c>
      <c r="G6454">
        <f>(Cpi_[[#This Row],[Value]]-F6453)/F6453</f>
        <v>6.6322770817980839E-2</v>
      </c>
      <c r="H6454" t="e" cm="1" vm="1">
        <f t="array" aca="1" ref="H6454" ca="1">VLOOKUP(Cpi_[[#This Row],[Year]:[Month]],crudeoil[],3,FALSE)</f>
        <v>#VALUE!</v>
      </c>
    </row>
    <row r="6455" spans="1:8" hidden="1" x14ac:dyDescent="0.3">
      <c r="A6455" t="s">
        <v>34</v>
      </c>
      <c r="B6455">
        <v>2019</v>
      </c>
      <c r="C6455" t="s">
        <v>42</v>
      </c>
      <c r="D6455" t="s">
        <v>3</v>
      </c>
      <c r="E6455" t="e">
        <f>VLOOKUP(Cpi_[[#This Row],[Attribute]],#REF!,2,FALSE)</f>
        <v>#REF!</v>
      </c>
      <c r="F6455">
        <v>140.9</v>
      </c>
      <c r="G6455">
        <f>(Cpi_[[#This Row],[Value]]-F6454)/F6454</f>
        <v>-2.6261230131306035E-2</v>
      </c>
      <c r="H6455" t="e" cm="1" vm="1">
        <f t="array" aca="1" ref="H6455" ca="1">VLOOKUP(Cpi_[[#This Row],[Year]:[Month]],crudeoil[],3,FALSE)</f>
        <v>#VALUE!</v>
      </c>
    </row>
    <row r="6456" spans="1:8" hidden="1" x14ac:dyDescent="0.3">
      <c r="A6456" t="s">
        <v>34</v>
      </c>
      <c r="B6456">
        <v>2019</v>
      </c>
      <c r="C6456" t="s">
        <v>42</v>
      </c>
      <c r="D6456" t="s">
        <v>4</v>
      </c>
      <c r="E6456" t="e">
        <f>VLOOKUP(Cpi_[[#This Row],[Attribute]],#REF!,2,FALSE)</f>
        <v>#REF!</v>
      </c>
      <c r="F6456">
        <v>160.80000000000001</v>
      </c>
      <c r="G6456">
        <f>(Cpi_[[#This Row],[Value]]-F6455)/F6455</f>
        <v>0.14123491838183111</v>
      </c>
      <c r="H6456" t="e" cm="1" vm="1">
        <f t="array" aca="1" ref="H6456" ca="1">VLOOKUP(Cpi_[[#This Row],[Year]:[Month]],crudeoil[],3,FALSE)</f>
        <v>#VALUE!</v>
      </c>
    </row>
    <row r="6457" spans="1:8" hidden="1" x14ac:dyDescent="0.3">
      <c r="A6457" t="s">
        <v>34</v>
      </c>
      <c r="B6457">
        <v>2019</v>
      </c>
      <c r="C6457" t="s">
        <v>42</v>
      </c>
      <c r="D6457" t="s">
        <v>5</v>
      </c>
      <c r="E6457" t="e">
        <f>VLOOKUP(Cpi_[[#This Row],[Attribute]],#REF!,2,FALSE)</f>
        <v>#REF!</v>
      </c>
      <c r="F6457">
        <v>139.6</v>
      </c>
      <c r="G6457">
        <f>(Cpi_[[#This Row],[Value]]-F6456)/F6456</f>
        <v>-0.13184079601990059</v>
      </c>
      <c r="H6457" t="e" cm="1" vm="1">
        <f t="array" aca="1" ref="H6457" ca="1">VLOOKUP(Cpi_[[#This Row],[Year]:[Month]],crudeoil[],3,FALSE)</f>
        <v>#VALUE!</v>
      </c>
    </row>
    <row r="6458" spans="1:8" hidden="1" x14ac:dyDescent="0.3">
      <c r="A6458" t="s">
        <v>34</v>
      </c>
      <c r="B6458">
        <v>2019</v>
      </c>
      <c r="C6458" t="s">
        <v>42</v>
      </c>
      <c r="D6458" t="s">
        <v>6</v>
      </c>
      <c r="E6458" t="e">
        <f>VLOOKUP(Cpi_[[#This Row],[Attribute]],#REF!,2,FALSE)</f>
        <v>#REF!</v>
      </c>
      <c r="F6458">
        <v>145.4</v>
      </c>
      <c r="G6458">
        <f>(Cpi_[[#This Row],[Value]]-F6457)/F6457</f>
        <v>4.1547277936962834E-2</v>
      </c>
      <c r="H6458" t="e" cm="1" vm="1">
        <f t="array" aca="1" ref="H6458" ca="1">VLOOKUP(Cpi_[[#This Row],[Year]:[Month]],crudeoil[],3,FALSE)</f>
        <v>#VALUE!</v>
      </c>
    </row>
    <row r="6459" spans="1:8" hidden="1" x14ac:dyDescent="0.3">
      <c r="A6459" t="s">
        <v>34</v>
      </c>
      <c r="B6459">
        <v>2019</v>
      </c>
      <c r="C6459" t="s">
        <v>42</v>
      </c>
      <c r="D6459" t="s">
        <v>7</v>
      </c>
      <c r="E6459" t="e">
        <f>VLOOKUP(Cpi_[[#This Row],[Attribute]],#REF!,2,FALSE)</f>
        <v>#REF!</v>
      </c>
      <c r="F6459">
        <v>123.5</v>
      </c>
      <c r="G6459">
        <f>(Cpi_[[#This Row],[Value]]-F6458)/F6458</f>
        <v>-0.15061898211829439</v>
      </c>
      <c r="H6459" t="e" cm="1" vm="1">
        <f t="array" aca="1" ref="H6459" ca="1">VLOOKUP(Cpi_[[#This Row],[Year]:[Month]],crudeoil[],3,FALSE)</f>
        <v>#VALUE!</v>
      </c>
    </row>
    <row r="6460" spans="1:8" hidden="1" x14ac:dyDescent="0.3">
      <c r="A6460" t="s">
        <v>34</v>
      </c>
      <c r="B6460">
        <v>2019</v>
      </c>
      <c r="C6460" t="s">
        <v>42</v>
      </c>
      <c r="D6460" t="s">
        <v>8</v>
      </c>
      <c r="E6460" t="e">
        <f>VLOOKUP(Cpi_[[#This Row],[Attribute]],#REF!,2,FALSE)</f>
        <v>#REF!</v>
      </c>
      <c r="F6460">
        <v>146.6</v>
      </c>
      <c r="G6460">
        <f>(Cpi_[[#This Row],[Value]]-F6459)/F6459</f>
        <v>0.18704453441295543</v>
      </c>
      <c r="H6460" t="e" cm="1" vm="1">
        <f t="array" aca="1" ref="H6460" ca="1">VLOOKUP(Cpi_[[#This Row],[Year]:[Month]],crudeoil[],3,FALSE)</f>
        <v>#VALUE!</v>
      </c>
    </row>
    <row r="6461" spans="1:8" hidden="1" x14ac:dyDescent="0.3">
      <c r="A6461" t="s">
        <v>34</v>
      </c>
      <c r="B6461">
        <v>2019</v>
      </c>
      <c r="C6461" t="s">
        <v>42</v>
      </c>
      <c r="D6461" t="s">
        <v>9</v>
      </c>
      <c r="E6461" t="e">
        <f>VLOOKUP(Cpi_[[#This Row],[Attribute]],#REF!,2,FALSE)</f>
        <v>#REF!</v>
      </c>
      <c r="F6461">
        <v>173.2</v>
      </c>
      <c r="G6461">
        <f>(Cpi_[[#This Row],[Value]]-F6460)/F6460</f>
        <v>0.18144611186903134</v>
      </c>
      <c r="H6461" t="e" cm="1" vm="1">
        <f t="array" aca="1" ref="H6461" ca="1">VLOOKUP(Cpi_[[#This Row],[Year]:[Month]],crudeoil[],3,FALSE)</f>
        <v>#VALUE!</v>
      </c>
    </row>
    <row r="6462" spans="1:8" hidden="1" x14ac:dyDescent="0.3">
      <c r="A6462" t="s">
        <v>34</v>
      </c>
      <c r="B6462">
        <v>2019</v>
      </c>
      <c r="C6462" t="s">
        <v>42</v>
      </c>
      <c r="D6462" t="s">
        <v>10</v>
      </c>
      <c r="E6462" t="e">
        <f>VLOOKUP(Cpi_[[#This Row],[Attribute]],#REF!,2,FALSE)</f>
        <v>#REF!</v>
      </c>
      <c r="F6462">
        <v>131.6</v>
      </c>
      <c r="G6462">
        <f>(Cpi_[[#This Row],[Value]]-F6461)/F6461</f>
        <v>-0.24018475750577364</v>
      </c>
      <c r="H6462" t="e" cm="1" vm="1">
        <f t="array" aca="1" ref="H6462" ca="1">VLOOKUP(Cpi_[[#This Row],[Year]:[Month]],crudeoil[],3,FALSE)</f>
        <v>#VALUE!</v>
      </c>
    </row>
    <row r="6463" spans="1:8" hidden="1" x14ac:dyDescent="0.3">
      <c r="A6463" t="s">
        <v>34</v>
      </c>
      <c r="B6463">
        <v>2019</v>
      </c>
      <c r="C6463" t="s">
        <v>42</v>
      </c>
      <c r="D6463" t="s">
        <v>11</v>
      </c>
      <c r="E6463" t="e">
        <f>VLOOKUP(Cpi_[[#This Row],[Attribute]],#REF!,2,FALSE)</f>
        <v>#REF!</v>
      </c>
      <c r="F6463">
        <v>113.2</v>
      </c>
      <c r="G6463">
        <f>(Cpi_[[#This Row],[Value]]-F6462)/F6462</f>
        <v>-0.13981762917933124</v>
      </c>
      <c r="H6463" t="e" cm="1" vm="1">
        <f t="array" aca="1" ref="H6463" ca="1">VLOOKUP(Cpi_[[#This Row],[Year]:[Month]],crudeoil[],3,FALSE)</f>
        <v>#VALUE!</v>
      </c>
    </row>
    <row r="6464" spans="1:8" hidden="1" x14ac:dyDescent="0.3">
      <c r="A6464" t="s">
        <v>34</v>
      </c>
      <c r="B6464">
        <v>2019</v>
      </c>
      <c r="C6464" t="s">
        <v>42</v>
      </c>
      <c r="D6464" t="s">
        <v>12</v>
      </c>
      <c r="E6464" t="e">
        <f>VLOOKUP(Cpi_[[#This Row],[Attribute]],#REF!,2,FALSE)</f>
        <v>#REF!</v>
      </c>
      <c r="F6464">
        <v>144.1</v>
      </c>
      <c r="G6464">
        <f>(Cpi_[[#This Row],[Value]]-F6463)/F6463</f>
        <v>0.2729681978798586</v>
      </c>
      <c r="H6464" t="e" cm="1" vm="1">
        <f t="array" aca="1" ref="H6464" ca="1">VLOOKUP(Cpi_[[#This Row],[Year]:[Month]],crudeoil[],3,FALSE)</f>
        <v>#VALUE!</v>
      </c>
    </row>
    <row r="6465" spans="1:8" hidden="1" x14ac:dyDescent="0.3">
      <c r="A6465" t="s">
        <v>34</v>
      </c>
      <c r="B6465">
        <v>2019</v>
      </c>
      <c r="C6465" t="s">
        <v>42</v>
      </c>
      <c r="D6465" t="s">
        <v>13</v>
      </c>
      <c r="E6465" t="e">
        <f>VLOOKUP(Cpi_[[#This Row],[Attribute]],#REF!,2,FALSE)</f>
        <v>#REF!</v>
      </c>
      <c r="F6465">
        <v>135</v>
      </c>
      <c r="G6465">
        <f>(Cpi_[[#This Row],[Value]]-F6464)/F6464</f>
        <v>-6.3150589868147089E-2</v>
      </c>
      <c r="H6465" t="e" cm="1" vm="1">
        <f t="array" aca="1" ref="H6465" ca="1">VLOOKUP(Cpi_[[#This Row],[Year]:[Month]],crudeoil[],3,FALSE)</f>
        <v>#VALUE!</v>
      </c>
    </row>
    <row r="6466" spans="1:8" hidden="1" x14ac:dyDescent="0.3">
      <c r="A6466" t="s">
        <v>34</v>
      </c>
      <c r="B6466">
        <v>2019</v>
      </c>
      <c r="C6466" t="s">
        <v>42</v>
      </c>
      <c r="D6466" t="s">
        <v>14</v>
      </c>
      <c r="E6466" t="e">
        <f>VLOOKUP(Cpi_[[#This Row],[Attribute]],#REF!,2,FALSE)</f>
        <v>#REF!</v>
      </c>
      <c r="F6466">
        <v>156.80000000000001</v>
      </c>
      <c r="G6466">
        <f>(Cpi_[[#This Row],[Value]]-F6465)/F6465</f>
        <v>0.16148148148148156</v>
      </c>
      <c r="H6466" t="e" cm="1" vm="1">
        <f t="array" aca="1" ref="H6466" ca="1">VLOOKUP(Cpi_[[#This Row],[Year]:[Month]],crudeoil[],3,FALSE)</f>
        <v>#VALUE!</v>
      </c>
    </row>
    <row r="6467" spans="1:8" hidden="1" x14ac:dyDescent="0.3">
      <c r="A6467" t="s">
        <v>34</v>
      </c>
      <c r="B6467">
        <v>2019</v>
      </c>
      <c r="C6467" t="s">
        <v>42</v>
      </c>
      <c r="D6467" t="s">
        <v>15</v>
      </c>
      <c r="E6467" t="e">
        <f>VLOOKUP(Cpi_[[#This Row],[Attribute]],#REF!,2,FALSE)</f>
        <v>#REF!</v>
      </c>
      <c r="F6467">
        <v>147</v>
      </c>
      <c r="G6467">
        <f>(Cpi_[[#This Row],[Value]]-F6466)/F6466</f>
        <v>-6.2500000000000069E-2</v>
      </c>
      <c r="H6467" t="e" cm="1" vm="1">
        <f t="array" aca="1" ref="H6467" ca="1">VLOOKUP(Cpi_[[#This Row],[Year]:[Month]],crudeoil[],3,FALSE)</f>
        <v>#VALUE!</v>
      </c>
    </row>
    <row r="6468" spans="1:8" hidden="1" x14ac:dyDescent="0.3">
      <c r="A6468" t="s">
        <v>34</v>
      </c>
      <c r="B6468">
        <v>2019</v>
      </c>
      <c r="C6468" t="s">
        <v>42</v>
      </c>
      <c r="D6468" t="s">
        <v>16</v>
      </c>
      <c r="E6468" t="e">
        <f>VLOOKUP(Cpi_[[#This Row],[Attribute]],#REF!,2,FALSE)</f>
        <v>#REF!</v>
      </c>
      <c r="F6468">
        <v>166.5</v>
      </c>
      <c r="G6468">
        <f>(Cpi_[[#This Row],[Value]]-F6467)/F6467</f>
        <v>0.1326530612244898</v>
      </c>
      <c r="H6468" t="e" cm="1" vm="1">
        <f t="array" aca="1" ref="H6468" ca="1">VLOOKUP(Cpi_[[#This Row],[Year]:[Month]],crudeoil[],3,FALSE)</f>
        <v>#VALUE!</v>
      </c>
    </row>
    <row r="6469" spans="1:8" hidden="1" x14ac:dyDescent="0.3">
      <c r="A6469" t="s">
        <v>34</v>
      </c>
      <c r="B6469">
        <v>2019</v>
      </c>
      <c r="C6469" t="s">
        <v>42</v>
      </c>
      <c r="D6469" t="s">
        <v>17</v>
      </c>
      <c r="E6469" t="e">
        <f>VLOOKUP(Cpi_[[#This Row],[Attribute]],#REF!,2,FALSE)</f>
        <v>#REF!</v>
      </c>
      <c r="F6469">
        <v>149.19999999999999</v>
      </c>
      <c r="G6469">
        <f>(Cpi_[[#This Row],[Value]]-F6468)/F6468</f>
        <v>-0.10390390390390397</v>
      </c>
      <c r="H6469" t="e" cm="1" vm="1">
        <f t="array" aca="1" ref="H6469" ca="1">VLOOKUP(Cpi_[[#This Row],[Year]:[Month]],crudeoil[],3,FALSE)</f>
        <v>#VALUE!</v>
      </c>
    </row>
    <row r="6470" spans="1:8" hidden="1" x14ac:dyDescent="0.3">
      <c r="A6470" t="s">
        <v>34</v>
      </c>
      <c r="B6470">
        <v>2019</v>
      </c>
      <c r="C6470" t="s">
        <v>42</v>
      </c>
      <c r="D6470" t="s">
        <v>18</v>
      </c>
      <c r="E6470" t="e">
        <f>VLOOKUP(Cpi_[[#This Row],[Attribute]],#REF!,2,FALSE)</f>
        <v>#REF!</v>
      </c>
      <c r="F6470">
        <v>140.6</v>
      </c>
      <c r="G6470">
        <f>(Cpi_[[#This Row],[Value]]-F6469)/F6469</f>
        <v>-5.7640750670241256E-2</v>
      </c>
      <c r="H6470" t="e" cm="1" vm="1">
        <f t="array" aca="1" ref="H6470" ca="1">VLOOKUP(Cpi_[[#This Row],[Year]:[Month]],crudeoil[],3,FALSE)</f>
        <v>#VALUE!</v>
      </c>
    </row>
    <row r="6471" spans="1:8" hidden="1" x14ac:dyDescent="0.3">
      <c r="A6471" t="s">
        <v>34</v>
      </c>
      <c r="B6471">
        <v>2019</v>
      </c>
      <c r="C6471" t="s">
        <v>42</v>
      </c>
      <c r="D6471" t="s">
        <v>19</v>
      </c>
      <c r="E6471" t="e">
        <f>VLOOKUP(Cpi_[[#This Row],[Attribute]],#REF!,2,FALSE)</f>
        <v>#REF!</v>
      </c>
      <c r="F6471">
        <v>147.9</v>
      </c>
      <c r="G6471">
        <f>(Cpi_[[#This Row],[Value]]-F6470)/F6470</f>
        <v>5.1920341394025689E-2</v>
      </c>
      <c r="H6471" t="e" cm="1" vm="1">
        <f t="array" aca="1" ref="H6471" ca="1">VLOOKUP(Cpi_[[#This Row],[Year]:[Month]],crudeoil[],3,FALSE)</f>
        <v>#VALUE!</v>
      </c>
    </row>
    <row r="6472" spans="1:8" hidden="1" x14ac:dyDescent="0.3">
      <c r="A6472" t="s">
        <v>34</v>
      </c>
      <c r="B6472">
        <v>2019</v>
      </c>
      <c r="C6472" t="s">
        <v>42</v>
      </c>
      <c r="D6472" t="s">
        <v>20</v>
      </c>
      <c r="E6472" t="e">
        <f>VLOOKUP(Cpi_[[#This Row],[Attribute]],#REF!,2,FALSE)</f>
        <v>#REF!</v>
      </c>
      <c r="F6472">
        <v>152.19999999999999</v>
      </c>
      <c r="G6472">
        <f>(Cpi_[[#This Row],[Value]]-F6471)/F6471</f>
        <v>2.9073698444895085E-2</v>
      </c>
      <c r="H6472" t="e" cm="1" vm="1">
        <f t="array" aca="1" ref="H6472" ca="1">VLOOKUP(Cpi_[[#This Row],[Year]:[Month]],crudeoil[],3,FALSE)</f>
        <v>#VALUE!</v>
      </c>
    </row>
    <row r="6473" spans="1:8" hidden="1" x14ac:dyDescent="0.3">
      <c r="A6473" t="s">
        <v>34</v>
      </c>
      <c r="B6473">
        <v>2019</v>
      </c>
      <c r="C6473" t="s">
        <v>42</v>
      </c>
      <c r="D6473" t="s">
        <v>21</v>
      </c>
      <c r="E6473" t="e">
        <f>VLOOKUP(Cpi_[[#This Row],[Attribute]],#REF!,2,FALSE)</f>
        <v>#REF!</v>
      </c>
      <c r="F6473">
        <v>139.19999999999999</v>
      </c>
      <c r="G6473">
        <f>(Cpi_[[#This Row],[Value]]-F6472)/F6472</f>
        <v>-8.5413929040735886E-2</v>
      </c>
      <c r="H6473" t="e" cm="1" vm="1">
        <f t="array" aca="1" ref="H6473" ca="1">VLOOKUP(Cpi_[[#This Row],[Year]:[Month]],crudeoil[],3,FALSE)</f>
        <v>#VALUE!</v>
      </c>
    </row>
    <row r="6474" spans="1:8" hidden="1" x14ac:dyDescent="0.3">
      <c r="A6474" t="s">
        <v>34</v>
      </c>
      <c r="B6474">
        <v>2019</v>
      </c>
      <c r="C6474" t="s">
        <v>42</v>
      </c>
      <c r="D6474" t="s">
        <v>22</v>
      </c>
      <c r="E6474" t="e">
        <f>VLOOKUP(Cpi_[[#This Row],[Attribute]],#REF!,2,FALSE)</f>
        <v>#REF!</v>
      </c>
      <c r="F6474">
        <v>144.6</v>
      </c>
      <c r="G6474">
        <f>(Cpi_[[#This Row],[Value]]-F6473)/F6473</f>
        <v>3.8793103448275905E-2</v>
      </c>
      <c r="H6474" t="e" cm="1" vm="1">
        <f t="array" aca="1" ref="H6474" ca="1">VLOOKUP(Cpi_[[#This Row],[Year]:[Month]],crudeoil[],3,FALSE)</f>
        <v>#VALUE!</v>
      </c>
    </row>
    <row r="6475" spans="1:8" hidden="1" x14ac:dyDescent="0.3">
      <c r="A6475" t="s">
        <v>34</v>
      </c>
      <c r="B6475">
        <v>2019</v>
      </c>
      <c r="C6475" t="s">
        <v>42</v>
      </c>
      <c r="D6475" t="s">
        <v>23</v>
      </c>
      <c r="E6475" t="e">
        <f>VLOOKUP(Cpi_[[#This Row],[Attribute]],#REF!,2,FALSE)</f>
        <v>#REF!</v>
      </c>
      <c r="F6475">
        <v>149</v>
      </c>
      <c r="G6475">
        <f>(Cpi_[[#This Row],[Value]]-F6474)/F6474</f>
        <v>3.0428769017980677E-2</v>
      </c>
      <c r="H6475" t="e" cm="1" vm="1">
        <f t="array" aca="1" ref="H6475" ca="1">VLOOKUP(Cpi_[[#This Row],[Year]:[Month]],crudeoil[],3,FALSE)</f>
        <v>#VALUE!</v>
      </c>
    </row>
    <row r="6476" spans="1:8" hidden="1" x14ac:dyDescent="0.3">
      <c r="A6476" t="s">
        <v>34</v>
      </c>
      <c r="B6476">
        <v>2019</v>
      </c>
      <c r="C6476" t="s">
        <v>42</v>
      </c>
      <c r="D6476" t="s">
        <v>24</v>
      </c>
      <c r="E6476" t="e">
        <f>VLOOKUP(Cpi_[[#This Row],[Attribute]],#REF!,2,FALSE)</f>
        <v>#REF!</v>
      </c>
      <c r="F6476">
        <v>126.1</v>
      </c>
      <c r="G6476">
        <f>(Cpi_[[#This Row],[Value]]-F6475)/F6475</f>
        <v>-0.15369127516778527</v>
      </c>
      <c r="H6476" t="e" cm="1" vm="1">
        <f t="array" aca="1" ref="H6476" ca="1">VLOOKUP(Cpi_[[#This Row],[Year]:[Month]],crudeoil[],3,FALSE)</f>
        <v>#VALUE!</v>
      </c>
    </row>
    <row r="6477" spans="1:8" hidden="1" x14ac:dyDescent="0.3">
      <c r="A6477" t="s">
        <v>34</v>
      </c>
      <c r="B6477">
        <v>2019</v>
      </c>
      <c r="C6477" t="s">
        <v>42</v>
      </c>
      <c r="D6477" t="s">
        <v>25</v>
      </c>
      <c r="E6477" t="e">
        <f>VLOOKUP(Cpi_[[#This Row],[Attribute]],#REF!,2,FALSE)</f>
        <v>#REF!</v>
      </c>
      <c r="F6477">
        <v>141.30000000000001</v>
      </c>
      <c r="G6477">
        <f>(Cpi_[[#This Row],[Value]]-F6476)/F6476</f>
        <v>0.12053925455987326</v>
      </c>
      <c r="H6477" t="e" cm="1" vm="1">
        <f t="array" aca="1" ref="H6477" ca="1">VLOOKUP(Cpi_[[#This Row],[Year]:[Month]],crudeoil[],3,FALSE)</f>
        <v>#VALUE!</v>
      </c>
    </row>
    <row r="6478" spans="1:8" hidden="1" x14ac:dyDescent="0.3">
      <c r="A6478" t="s">
        <v>34</v>
      </c>
      <c r="B6478">
        <v>2019</v>
      </c>
      <c r="C6478" t="s">
        <v>42</v>
      </c>
      <c r="D6478" t="s">
        <v>26</v>
      </c>
      <c r="E6478" t="e">
        <f>VLOOKUP(Cpi_[[#This Row],[Attribute]],#REF!,2,FALSE)</f>
        <v>#REF!</v>
      </c>
      <c r="F6478">
        <v>155.19999999999999</v>
      </c>
      <c r="G6478">
        <f>(Cpi_[[#This Row],[Value]]-F6477)/F6477</f>
        <v>9.8372257607926228E-2</v>
      </c>
      <c r="H6478" t="e" cm="1" vm="1">
        <f t="array" aca="1" ref="H6478" ca="1">VLOOKUP(Cpi_[[#This Row],[Year]:[Month]],crudeoil[],3,FALSE)</f>
        <v>#VALUE!</v>
      </c>
    </row>
    <row r="6479" spans="1:8" hidden="1" x14ac:dyDescent="0.3">
      <c r="A6479" t="s">
        <v>34</v>
      </c>
      <c r="B6479">
        <v>2019</v>
      </c>
      <c r="C6479" t="s">
        <v>42</v>
      </c>
      <c r="D6479" t="s">
        <v>27</v>
      </c>
      <c r="E6479" t="e">
        <f>VLOOKUP(Cpi_[[#This Row],[Attribute]],#REF!,2,FALSE)</f>
        <v>#REF!</v>
      </c>
      <c r="F6479">
        <v>139.69999999999999</v>
      </c>
      <c r="G6479">
        <f>(Cpi_[[#This Row],[Value]]-F6478)/F6478</f>
        <v>-9.9871134020618563E-2</v>
      </c>
      <c r="H6479" t="e" cm="1" vm="1">
        <f t="array" aca="1" ref="H6479" ca="1">VLOOKUP(Cpi_[[#This Row],[Year]:[Month]],crudeoil[],3,FALSE)</f>
        <v>#VALUE!</v>
      </c>
    </row>
    <row r="6480" spans="1:8" hidden="1" x14ac:dyDescent="0.3">
      <c r="A6480" t="s">
        <v>34</v>
      </c>
      <c r="B6480">
        <v>2019</v>
      </c>
      <c r="C6480" t="s">
        <v>42</v>
      </c>
      <c r="D6480" t="s">
        <v>28</v>
      </c>
      <c r="E6480" t="e">
        <f>VLOOKUP(Cpi_[[#This Row],[Attribute]],#REF!,2,FALSE)</f>
        <v>#REF!</v>
      </c>
      <c r="F6480">
        <v>140.69999999999999</v>
      </c>
      <c r="G6480">
        <f>(Cpi_[[#This Row],[Value]]-F6479)/F6479</f>
        <v>7.1581961345740883E-3</v>
      </c>
      <c r="H6480" t="e" cm="1" vm="1">
        <f t="array" aca="1" ref="H6480" ca="1">VLOOKUP(Cpi_[[#This Row],[Year]:[Month]],crudeoil[],3,FALSE)</f>
        <v>#VALUE!</v>
      </c>
    </row>
    <row r="6481" spans="1:8" hidden="1" x14ac:dyDescent="0.3">
      <c r="A6481" t="s">
        <v>34</v>
      </c>
      <c r="B6481">
        <v>2019</v>
      </c>
      <c r="C6481" t="s">
        <v>42</v>
      </c>
      <c r="D6481" t="s">
        <v>29</v>
      </c>
      <c r="E6481" t="e" cm="1">
        <f t="array" aca="1" ref="E6481" ca="1">VLGeneral indexGeneral indexKUP(Cpi_[[#This Row],[Attribute]],#REF!,2,FALSE)</f>
        <v>#NAME?</v>
      </c>
      <c r="F6481">
        <v>145.80000000000001</v>
      </c>
      <c r="G6481">
        <f>(Cpi_[[#This Row],[Value]]-F6480)/F6480</f>
        <v>3.6247334754797605E-2</v>
      </c>
      <c r="H6481" t="e" cm="1" vm="1">
        <f t="array" aca="1" ref="H6481" ca="1">VLOOKUP(Cpi_[[#This Row],[Year]:[Month]],crudeoil[],3,FALSE)</f>
        <v>#VALUE!</v>
      </c>
    </row>
    <row r="6482" spans="1:8" hidden="1" x14ac:dyDescent="0.3">
      <c r="A6482" t="s">
        <v>30</v>
      </c>
      <c r="B6482">
        <v>2019</v>
      </c>
      <c r="C6482" t="s">
        <v>43</v>
      </c>
      <c r="D6482" t="s">
        <v>3</v>
      </c>
      <c r="E6482" t="e">
        <f>VLOOKUP(Cpi_[[#This Row],[Attribute]],#REF!,2,FALSE)</f>
        <v>#REF!</v>
      </c>
      <c r="F6482">
        <v>141</v>
      </c>
      <c r="G6482">
        <f>(Cpi_[[#This Row],[Value]]-F6481)/F6481</f>
        <v>-3.292181069958855E-2</v>
      </c>
      <c r="H6482" t="e" cm="1" vm="1">
        <f t="array" aca="1" ref="H6482" ca="1">VLOOKUP(Cpi_[[#This Row],[Year]:[Month]],crudeoil[],3,FALSE)</f>
        <v>#VALUE!</v>
      </c>
    </row>
    <row r="6483" spans="1:8" hidden="1" x14ac:dyDescent="0.3">
      <c r="A6483" t="s">
        <v>30</v>
      </c>
      <c r="B6483">
        <v>2019</v>
      </c>
      <c r="C6483" t="s">
        <v>43</v>
      </c>
      <c r="D6483" t="s">
        <v>4</v>
      </c>
      <c r="E6483" t="e">
        <f>VLOOKUP(Cpi_[[#This Row],[Attribute]],#REF!,2,FALSE)</f>
        <v>#REF!</v>
      </c>
      <c r="F6483">
        <v>161.6</v>
      </c>
      <c r="G6483">
        <f>(Cpi_[[#This Row],[Value]]-F6482)/F6482</f>
        <v>0.14609929078014181</v>
      </c>
      <c r="H6483" t="e" cm="1" vm="1">
        <f t="array" aca="1" ref="H6483" ca="1">VLOOKUP(Cpi_[[#This Row],[Year]:[Month]],crudeoil[],3,FALSE)</f>
        <v>#VALUE!</v>
      </c>
    </row>
    <row r="6484" spans="1:8" hidden="1" x14ac:dyDescent="0.3">
      <c r="A6484" t="s">
        <v>30</v>
      </c>
      <c r="B6484">
        <v>2019</v>
      </c>
      <c r="C6484" t="s">
        <v>43</v>
      </c>
      <c r="D6484" t="s">
        <v>5</v>
      </c>
      <c r="E6484" t="e">
        <f>VLOOKUP(Cpi_[[#This Row],[Attribute]],#REF!,2,FALSE)</f>
        <v>#REF!</v>
      </c>
      <c r="F6484">
        <v>141.19999999999999</v>
      </c>
      <c r="G6484">
        <f>(Cpi_[[#This Row],[Value]]-F6483)/F6483</f>
        <v>-0.12623762376237627</v>
      </c>
      <c r="H6484" t="e" cm="1" vm="1">
        <f t="array" aca="1" ref="H6484" ca="1">VLOOKUP(Cpi_[[#This Row],[Year]:[Month]],crudeoil[],3,FALSE)</f>
        <v>#VALUE!</v>
      </c>
    </row>
    <row r="6485" spans="1:8" hidden="1" x14ac:dyDescent="0.3">
      <c r="A6485" t="s">
        <v>30</v>
      </c>
      <c r="B6485">
        <v>2019</v>
      </c>
      <c r="C6485" t="s">
        <v>43</v>
      </c>
      <c r="D6485" t="s">
        <v>6</v>
      </c>
      <c r="E6485" t="e">
        <f>VLOOKUP(Cpi_[[#This Row],[Attribute]],#REF!,2,FALSE)</f>
        <v>#REF!</v>
      </c>
      <c r="F6485">
        <v>146.5</v>
      </c>
      <c r="G6485">
        <f>(Cpi_[[#This Row],[Value]]-F6484)/F6484</f>
        <v>3.7535410764872608E-2</v>
      </c>
      <c r="H6485" t="e" cm="1" vm="1">
        <f t="array" aca="1" ref="H6485" ca="1">VLOOKUP(Cpi_[[#This Row],[Year]:[Month]],crudeoil[],3,FALSE)</f>
        <v>#VALUE!</v>
      </c>
    </row>
    <row r="6486" spans="1:8" hidden="1" x14ac:dyDescent="0.3">
      <c r="A6486" t="s">
        <v>30</v>
      </c>
      <c r="B6486">
        <v>2019</v>
      </c>
      <c r="C6486" t="s">
        <v>43</v>
      </c>
      <c r="D6486" t="s">
        <v>7</v>
      </c>
      <c r="E6486" t="e">
        <f>VLOOKUP(Cpi_[[#This Row],[Attribute]],#REF!,2,FALSE)</f>
        <v>#REF!</v>
      </c>
      <c r="F6486">
        <v>125.6</v>
      </c>
      <c r="G6486">
        <f>(Cpi_[[#This Row],[Value]]-F6485)/F6485</f>
        <v>-0.14266211604095566</v>
      </c>
      <c r="H6486" t="e" cm="1" vm="1">
        <f t="array" aca="1" ref="H6486" ca="1">VLOOKUP(Cpi_[[#This Row],[Year]:[Month]],crudeoil[],3,FALSE)</f>
        <v>#VALUE!</v>
      </c>
    </row>
    <row r="6487" spans="1:8" hidden="1" x14ac:dyDescent="0.3">
      <c r="A6487" t="s">
        <v>30</v>
      </c>
      <c r="B6487">
        <v>2019</v>
      </c>
      <c r="C6487" t="s">
        <v>43</v>
      </c>
      <c r="D6487" t="s">
        <v>8</v>
      </c>
      <c r="E6487" t="e">
        <f>VLOOKUP(Cpi_[[#This Row],[Attribute]],#REF!,2,FALSE)</f>
        <v>#REF!</v>
      </c>
      <c r="F6487">
        <v>145.69999999999999</v>
      </c>
      <c r="G6487">
        <f>(Cpi_[[#This Row],[Value]]-F6486)/F6486</f>
        <v>0.16003184713375793</v>
      </c>
      <c r="H6487" t="e" cm="1" vm="1">
        <f t="array" aca="1" ref="H6487" ca="1">VLOOKUP(Cpi_[[#This Row],[Year]:[Month]],crudeoil[],3,FALSE)</f>
        <v>#VALUE!</v>
      </c>
    </row>
    <row r="6488" spans="1:8" hidden="1" x14ac:dyDescent="0.3">
      <c r="A6488" t="s">
        <v>30</v>
      </c>
      <c r="B6488">
        <v>2019</v>
      </c>
      <c r="C6488" t="s">
        <v>43</v>
      </c>
      <c r="D6488" t="s">
        <v>9</v>
      </c>
      <c r="E6488" t="e">
        <f>VLOOKUP(Cpi_[[#This Row],[Attribute]],#REF!,2,FALSE)</f>
        <v>#REF!</v>
      </c>
      <c r="F6488">
        <v>178.8</v>
      </c>
      <c r="G6488">
        <f>(Cpi_[[#This Row],[Value]]-F6487)/F6487</f>
        <v>0.22717913520933442</v>
      </c>
      <c r="H6488" t="e" cm="1" vm="1">
        <f t="array" aca="1" ref="H6488" ca="1">VLOOKUP(Cpi_[[#This Row],[Year]:[Month]],crudeoil[],3,FALSE)</f>
        <v>#VALUE!</v>
      </c>
    </row>
    <row r="6489" spans="1:8" hidden="1" x14ac:dyDescent="0.3">
      <c r="A6489" t="s">
        <v>30</v>
      </c>
      <c r="B6489">
        <v>2019</v>
      </c>
      <c r="C6489" t="s">
        <v>43</v>
      </c>
      <c r="D6489" t="s">
        <v>10</v>
      </c>
      <c r="E6489" t="e">
        <f>VLOOKUP(Cpi_[[#This Row],[Attribute]],#REF!,2,FALSE)</f>
        <v>#REF!</v>
      </c>
      <c r="F6489">
        <v>133.1</v>
      </c>
      <c r="G6489">
        <f>(Cpi_[[#This Row],[Value]]-F6488)/F6488</f>
        <v>-0.25559284116331105</v>
      </c>
      <c r="H6489" t="e" cm="1" vm="1">
        <f t="array" aca="1" ref="H6489" ca="1">VLOOKUP(Cpi_[[#This Row],[Year]:[Month]],crudeoil[],3,FALSE)</f>
        <v>#VALUE!</v>
      </c>
    </row>
    <row r="6490" spans="1:8" hidden="1" x14ac:dyDescent="0.3">
      <c r="A6490" t="s">
        <v>30</v>
      </c>
      <c r="B6490">
        <v>2019</v>
      </c>
      <c r="C6490" t="s">
        <v>43</v>
      </c>
      <c r="D6490" t="s">
        <v>11</v>
      </c>
      <c r="E6490" t="e">
        <f>VLOOKUP(Cpi_[[#This Row],[Attribute]],#REF!,2,FALSE)</f>
        <v>#REF!</v>
      </c>
      <c r="F6490">
        <v>113.6</v>
      </c>
      <c r="G6490">
        <f>(Cpi_[[#This Row],[Value]]-F6489)/F6489</f>
        <v>-0.14650638617580766</v>
      </c>
      <c r="H6490" t="e" cm="1" vm="1">
        <f t="array" aca="1" ref="H6490" ca="1">VLOOKUP(Cpi_[[#This Row],[Year]:[Month]],crudeoil[],3,FALSE)</f>
        <v>#VALUE!</v>
      </c>
    </row>
    <row r="6491" spans="1:8" hidden="1" x14ac:dyDescent="0.3">
      <c r="A6491" t="s">
        <v>30</v>
      </c>
      <c r="B6491">
        <v>2019</v>
      </c>
      <c r="C6491" t="s">
        <v>43</v>
      </c>
      <c r="D6491" t="s">
        <v>12</v>
      </c>
      <c r="E6491" t="e">
        <f>VLOOKUP(Cpi_[[#This Row],[Attribute]],#REF!,2,FALSE)</f>
        <v>#REF!</v>
      </c>
      <c r="F6491">
        <v>145.5</v>
      </c>
      <c r="G6491">
        <f>(Cpi_[[#This Row],[Value]]-F6490)/F6490</f>
        <v>0.28080985915492962</v>
      </c>
      <c r="H6491" t="e" cm="1" vm="1">
        <f t="array" aca="1" ref="H6491" ca="1">VLOOKUP(Cpi_[[#This Row],[Year]:[Month]],crudeoil[],3,FALSE)</f>
        <v>#VALUE!</v>
      </c>
    </row>
    <row r="6492" spans="1:8" hidden="1" x14ac:dyDescent="0.3">
      <c r="A6492" t="s">
        <v>30</v>
      </c>
      <c r="B6492">
        <v>2019</v>
      </c>
      <c r="C6492" t="s">
        <v>43</v>
      </c>
      <c r="D6492" t="s">
        <v>13</v>
      </c>
      <c r="E6492" t="e">
        <f>VLOOKUP(Cpi_[[#This Row],[Attribute]],#REF!,2,FALSE)</f>
        <v>#REF!</v>
      </c>
      <c r="F6492">
        <v>138.6</v>
      </c>
      <c r="G6492">
        <f>(Cpi_[[#This Row],[Value]]-F6491)/F6491</f>
        <v>-4.7422680412371174E-2</v>
      </c>
      <c r="H6492" t="e" cm="1" vm="1">
        <f t="array" aca="1" ref="H6492" ca="1">VLOOKUP(Cpi_[[#This Row],[Year]:[Month]],crudeoil[],3,FALSE)</f>
        <v>#VALUE!</v>
      </c>
    </row>
    <row r="6493" spans="1:8" hidden="1" x14ac:dyDescent="0.3">
      <c r="A6493" t="s">
        <v>30</v>
      </c>
      <c r="B6493">
        <v>2019</v>
      </c>
      <c r="C6493" t="s">
        <v>43</v>
      </c>
      <c r="D6493" t="s">
        <v>14</v>
      </c>
      <c r="E6493" t="e">
        <f>VLOOKUP(Cpi_[[#This Row],[Attribute]],#REF!,2,FALSE)</f>
        <v>#REF!</v>
      </c>
      <c r="F6493">
        <v>157.4</v>
      </c>
      <c r="G6493">
        <f>(Cpi_[[#This Row],[Value]]-F6492)/F6492</f>
        <v>0.13564213564213573</v>
      </c>
      <c r="H6493" t="e" cm="1" vm="1">
        <f t="array" aca="1" ref="H6493" ca="1">VLOOKUP(Cpi_[[#This Row],[Year]:[Month]],crudeoil[],3,FALSE)</f>
        <v>#VALUE!</v>
      </c>
    </row>
    <row r="6494" spans="1:8" hidden="1" x14ac:dyDescent="0.3">
      <c r="A6494" t="s">
        <v>30</v>
      </c>
      <c r="B6494">
        <v>2019</v>
      </c>
      <c r="C6494" t="s">
        <v>43</v>
      </c>
      <c r="D6494" t="s">
        <v>15</v>
      </c>
      <c r="E6494" t="e">
        <f>VLOOKUP(Cpi_[[#This Row],[Attribute]],#REF!,2,FALSE)</f>
        <v>#REF!</v>
      </c>
      <c r="F6494">
        <v>148.30000000000001</v>
      </c>
      <c r="G6494">
        <f>(Cpi_[[#This Row],[Value]]-F6493)/F6493</f>
        <v>-5.7814485387547611E-2</v>
      </c>
      <c r="H6494" t="e" cm="1" vm="1">
        <f t="array" aca="1" ref="H6494" ca="1">VLOOKUP(Cpi_[[#This Row],[Year]:[Month]],crudeoil[],3,FALSE)</f>
        <v>#VALUE!</v>
      </c>
    </row>
    <row r="6495" spans="1:8" hidden="1" x14ac:dyDescent="0.3">
      <c r="A6495" t="s">
        <v>30</v>
      </c>
      <c r="B6495">
        <v>2019</v>
      </c>
      <c r="C6495" t="s">
        <v>43</v>
      </c>
      <c r="D6495" t="s">
        <v>16</v>
      </c>
      <c r="E6495" t="e">
        <f>VLOOKUP(Cpi_[[#This Row],[Attribute]],#REF!,2,FALSE)</f>
        <v>#REF!</v>
      </c>
      <c r="F6495">
        <v>166.3</v>
      </c>
      <c r="G6495">
        <f>(Cpi_[[#This Row],[Value]]-F6494)/F6494</f>
        <v>0.12137559002022925</v>
      </c>
      <c r="H6495" t="e" cm="1" vm="1">
        <f t="array" aca="1" ref="H6495" ca="1">VLOOKUP(Cpi_[[#This Row],[Year]:[Month]],crudeoil[],3,FALSE)</f>
        <v>#VALUE!</v>
      </c>
    </row>
    <row r="6496" spans="1:8" hidden="1" x14ac:dyDescent="0.3">
      <c r="A6496" t="s">
        <v>30</v>
      </c>
      <c r="B6496">
        <v>2019</v>
      </c>
      <c r="C6496" t="s">
        <v>43</v>
      </c>
      <c r="D6496" t="s">
        <v>17</v>
      </c>
      <c r="E6496" t="e">
        <f>VLOOKUP(Cpi_[[#This Row],[Attribute]],#REF!,2,FALSE)</f>
        <v>#REF!</v>
      </c>
      <c r="F6496">
        <v>151.69999999999999</v>
      </c>
      <c r="G6496">
        <f>(Cpi_[[#This Row],[Value]]-F6495)/F6495</f>
        <v>-8.7793144918821536E-2</v>
      </c>
      <c r="H6496" t="e" cm="1" vm="1">
        <f t="array" aca="1" ref="H6496" ca="1">VLOOKUP(Cpi_[[#This Row],[Year]:[Month]],crudeoil[],3,FALSE)</f>
        <v>#VALUE!</v>
      </c>
    </row>
    <row r="6497" spans="1:8" hidden="1" x14ac:dyDescent="0.3">
      <c r="A6497" t="s">
        <v>30</v>
      </c>
      <c r="B6497">
        <v>2019</v>
      </c>
      <c r="C6497" t="s">
        <v>43</v>
      </c>
      <c r="D6497" t="s">
        <v>18</v>
      </c>
      <c r="E6497" t="e">
        <f>VLOOKUP(Cpi_[[#This Row],[Attribute]],#REF!,2,FALSE)</f>
        <v>#REF!</v>
      </c>
      <c r="F6497">
        <v>146.69999999999999</v>
      </c>
      <c r="G6497">
        <f>(Cpi_[[#This Row],[Value]]-F6496)/F6496</f>
        <v>-3.2959789057350038E-2</v>
      </c>
      <c r="H6497" t="e" cm="1" vm="1">
        <f t="array" aca="1" ref="H6497" ca="1">VLOOKUP(Cpi_[[#This Row],[Year]:[Month]],crudeoil[],3,FALSE)</f>
        <v>#VALUE!</v>
      </c>
    </row>
    <row r="6498" spans="1:8" hidden="1" x14ac:dyDescent="0.3">
      <c r="A6498" t="s">
        <v>30</v>
      </c>
      <c r="B6498">
        <v>2019</v>
      </c>
      <c r="C6498" t="s">
        <v>43</v>
      </c>
      <c r="D6498" t="s">
        <v>19</v>
      </c>
      <c r="E6498" t="e">
        <f>VLOOKUP(Cpi_[[#This Row],[Attribute]],#REF!,2,FALSE)</f>
        <v>#REF!</v>
      </c>
      <c r="F6498">
        <v>151</v>
      </c>
      <c r="G6498">
        <f>(Cpi_[[#This Row],[Value]]-F6497)/F6497</f>
        <v>2.9311520109066201E-2</v>
      </c>
      <c r="H6498" t="e" cm="1" vm="1">
        <f t="array" aca="1" ref="H6498" ca="1">VLOOKUP(Cpi_[[#This Row],[Year]:[Month]],crudeoil[],3,FALSE)</f>
        <v>#VALUE!</v>
      </c>
    </row>
    <row r="6499" spans="1:8" hidden="1" x14ac:dyDescent="0.3">
      <c r="A6499" t="s">
        <v>30</v>
      </c>
      <c r="B6499">
        <v>2019</v>
      </c>
      <c r="C6499" t="s">
        <v>43</v>
      </c>
      <c r="D6499" t="s">
        <v>20</v>
      </c>
      <c r="E6499" t="e">
        <f>VLOOKUP(Cpi_[[#This Row],[Attribute]],#REF!,2,FALSE)</f>
        <v>#REF!</v>
      </c>
      <c r="F6499" t="s">
        <v>32</v>
      </c>
      <c r="G6499" t="e">
        <f>(Cpi_[[#This Row],[Value]]-F6498)/F6498</f>
        <v>#VALUE!</v>
      </c>
      <c r="H6499" t="e" cm="1" vm="1">
        <f t="array" aca="1" ref="H6499" ca="1">VLOOKUP(Cpi_[[#This Row],[Year]:[Month]],crudeoil[],3,FALSE)</f>
        <v>#VALUE!</v>
      </c>
    </row>
    <row r="6500" spans="1:8" hidden="1" x14ac:dyDescent="0.3">
      <c r="A6500" t="s">
        <v>30</v>
      </c>
      <c r="B6500">
        <v>2019</v>
      </c>
      <c r="C6500" t="s">
        <v>43</v>
      </c>
      <c r="D6500" t="s">
        <v>21</v>
      </c>
      <c r="E6500" t="e">
        <f>VLOOKUP(Cpi_[[#This Row],[Attribute]],#REF!,2,FALSE)</f>
        <v>#REF!</v>
      </c>
      <c r="F6500">
        <v>147.69999999999999</v>
      </c>
      <c r="G6500" t="e">
        <f>(Cpi_[[#This Row],[Value]]-F6499)/F6499</f>
        <v>#VALUE!</v>
      </c>
      <c r="H6500" t="e" cm="1" vm="1">
        <f t="array" aca="1" ref="H6500" ca="1">VLOOKUP(Cpi_[[#This Row],[Year]:[Month]],crudeoil[],3,FALSE)</f>
        <v>#VALUE!</v>
      </c>
    </row>
    <row r="6501" spans="1:8" hidden="1" x14ac:dyDescent="0.3">
      <c r="A6501" t="s">
        <v>30</v>
      </c>
      <c r="B6501">
        <v>2019</v>
      </c>
      <c r="C6501" t="s">
        <v>43</v>
      </c>
      <c r="D6501" t="s">
        <v>22</v>
      </c>
      <c r="E6501" t="e">
        <f>VLOOKUP(Cpi_[[#This Row],[Attribute]],#REF!,2,FALSE)</f>
        <v>#REF!</v>
      </c>
      <c r="F6501">
        <v>150.6</v>
      </c>
      <c r="G6501">
        <f>(Cpi_[[#This Row],[Value]]-F6500)/F6500</f>
        <v>1.9634394041977022E-2</v>
      </c>
      <c r="H6501" t="e" cm="1" vm="1">
        <f t="array" aca="1" ref="H6501" ca="1">VLOOKUP(Cpi_[[#This Row],[Year]:[Month]],crudeoil[],3,FALSE)</f>
        <v>#VALUE!</v>
      </c>
    </row>
    <row r="6502" spans="1:8" hidden="1" x14ac:dyDescent="0.3">
      <c r="A6502" t="s">
        <v>30</v>
      </c>
      <c r="B6502">
        <v>2019</v>
      </c>
      <c r="C6502" t="s">
        <v>43</v>
      </c>
      <c r="D6502" t="s">
        <v>23</v>
      </c>
      <c r="E6502" t="e">
        <f>VLOOKUP(Cpi_[[#This Row],[Attribute]],#REF!,2,FALSE)</f>
        <v>#REF!</v>
      </c>
      <c r="F6502">
        <v>153.69999999999999</v>
      </c>
      <c r="G6502">
        <f>(Cpi_[[#This Row],[Value]]-F6501)/F6501</f>
        <v>2.0584329349269553E-2</v>
      </c>
      <c r="H6502" t="e" cm="1" vm="1">
        <f t="array" aca="1" ref="H6502" ca="1">VLOOKUP(Cpi_[[#This Row],[Year]:[Month]],crudeoil[],3,FALSE)</f>
        <v>#VALUE!</v>
      </c>
    </row>
    <row r="6503" spans="1:8" hidden="1" x14ac:dyDescent="0.3">
      <c r="A6503" t="s">
        <v>30</v>
      </c>
      <c r="B6503">
        <v>2019</v>
      </c>
      <c r="C6503" t="s">
        <v>43</v>
      </c>
      <c r="D6503" t="s">
        <v>24</v>
      </c>
      <c r="E6503" t="e">
        <f>VLOOKUP(Cpi_[[#This Row],[Attribute]],#REF!,2,FALSE)</f>
        <v>#REF!</v>
      </c>
      <c r="F6503">
        <v>131.69999999999999</v>
      </c>
      <c r="G6503">
        <f>(Cpi_[[#This Row],[Value]]-F6502)/F6502</f>
        <v>-0.14313597918022122</v>
      </c>
      <c r="H6503" t="e" cm="1" vm="1">
        <f t="array" aca="1" ref="H6503" ca="1">VLOOKUP(Cpi_[[#This Row],[Year]:[Month]],crudeoil[],3,FALSE)</f>
        <v>#VALUE!</v>
      </c>
    </row>
    <row r="6504" spans="1:8" hidden="1" x14ac:dyDescent="0.3">
      <c r="A6504" t="s">
        <v>30</v>
      </c>
      <c r="B6504">
        <v>2019</v>
      </c>
      <c r="C6504" t="s">
        <v>43</v>
      </c>
      <c r="D6504" t="s">
        <v>25</v>
      </c>
      <c r="E6504" t="e">
        <f>VLOOKUP(Cpi_[[#This Row],[Attribute]],#REF!,2,FALSE)</f>
        <v>#REF!</v>
      </c>
      <c r="F6504">
        <v>148.69999999999999</v>
      </c>
      <c r="G6504">
        <f>(Cpi_[[#This Row],[Value]]-F6503)/F6503</f>
        <v>0.12908124525436598</v>
      </c>
      <c r="H6504" t="e" cm="1" vm="1">
        <f t="array" aca="1" ref="H6504" ca="1">VLOOKUP(Cpi_[[#This Row],[Year]:[Month]],crudeoil[],3,FALSE)</f>
        <v>#VALUE!</v>
      </c>
    </row>
    <row r="6505" spans="1:8" hidden="1" x14ac:dyDescent="0.3">
      <c r="A6505" t="s">
        <v>30</v>
      </c>
      <c r="B6505">
        <v>2019</v>
      </c>
      <c r="C6505" t="s">
        <v>43</v>
      </c>
      <c r="D6505" t="s">
        <v>26</v>
      </c>
      <c r="E6505" t="e">
        <f>VLOOKUP(Cpi_[[#This Row],[Attribute]],#REF!,2,FALSE)</f>
        <v>#REF!</v>
      </c>
      <c r="F6505">
        <v>160.69999999999999</v>
      </c>
      <c r="G6505">
        <f>(Cpi_[[#This Row],[Value]]-F6504)/F6504</f>
        <v>8.0699394754539341E-2</v>
      </c>
      <c r="H6505" t="e" cm="1" vm="1">
        <f t="array" aca="1" ref="H6505" ca="1">VLOOKUP(Cpi_[[#This Row],[Year]:[Month]],crudeoil[],3,FALSE)</f>
        <v>#VALUE!</v>
      </c>
    </row>
    <row r="6506" spans="1:8" hidden="1" x14ac:dyDescent="0.3">
      <c r="A6506" t="s">
        <v>30</v>
      </c>
      <c r="B6506">
        <v>2019</v>
      </c>
      <c r="C6506" t="s">
        <v>43</v>
      </c>
      <c r="D6506" t="s">
        <v>27</v>
      </c>
      <c r="E6506" t="e">
        <f>VLOOKUP(Cpi_[[#This Row],[Attribute]],#REF!,2,FALSE)</f>
        <v>#REF!</v>
      </c>
      <c r="F6506">
        <v>140.30000000000001</v>
      </c>
      <c r="G6506">
        <f>(Cpi_[[#This Row],[Value]]-F6505)/F6505</f>
        <v>-0.12694461729931536</v>
      </c>
      <c r="H6506" t="e" cm="1" vm="1">
        <f t="array" aca="1" ref="H6506" ca="1">VLOOKUP(Cpi_[[#This Row],[Year]:[Month]],crudeoil[],3,FALSE)</f>
        <v>#VALUE!</v>
      </c>
    </row>
    <row r="6507" spans="1:8" hidden="1" x14ac:dyDescent="0.3">
      <c r="A6507" t="s">
        <v>30</v>
      </c>
      <c r="B6507">
        <v>2019</v>
      </c>
      <c r="C6507" t="s">
        <v>43</v>
      </c>
      <c r="D6507" t="s">
        <v>28</v>
      </c>
      <c r="E6507" t="e">
        <f>VLOOKUP(Cpi_[[#This Row],[Attribute]],#REF!,2,FALSE)</f>
        <v>#REF!</v>
      </c>
      <c r="F6507">
        <v>145.69999999999999</v>
      </c>
      <c r="G6507">
        <f>(Cpi_[[#This Row],[Value]]-F6506)/F6506</f>
        <v>3.8488952245188716E-2</v>
      </c>
      <c r="H6507" t="e" cm="1" vm="1">
        <f t="array" aca="1" ref="H6507" ca="1">VLOOKUP(Cpi_[[#This Row],[Year]:[Month]],crudeoil[],3,FALSE)</f>
        <v>#VALUE!</v>
      </c>
    </row>
    <row r="6508" spans="1:8" hidden="1" x14ac:dyDescent="0.3">
      <c r="A6508" t="s">
        <v>30</v>
      </c>
      <c r="B6508">
        <v>2019</v>
      </c>
      <c r="C6508" t="s">
        <v>43</v>
      </c>
      <c r="D6508" t="s">
        <v>29</v>
      </c>
      <c r="E6508" t="e" cm="1">
        <f t="array" aca="1" ref="E6508" ca="1">VLGeneral indexGeneral indexKUP(Cpi_[[#This Row],[Attribute]],#REF!,2,FALSE)</f>
        <v>#NAME?</v>
      </c>
      <c r="F6508">
        <v>148.30000000000001</v>
      </c>
      <c r="G6508">
        <f>(Cpi_[[#This Row],[Value]]-F6507)/F6507</f>
        <v>1.7844886753603451E-2</v>
      </c>
      <c r="H6508" t="e" cm="1" vm="1">
        <f t="array" aca="1" ref="H6508" ca="1">VLOOKUP(Cpi_[[#This Row],[Year]:[Month]],crudeoil[],3,FALSE)</f>
        <v>#VALUE!</v>
      </c>
    </row>
    <row r="6509" spans="1:8" hidden="1" x14ac:dyDescent="0.3">
      <c r="A6509" t="s">
        <v>33</v>
      </c>
      <c r="B6509">
        <v>2019</v>
      </c>
      <c r="C6509" t="s">
        <v>43</v>
      </c>
      <c r="D6509" t="s">
        <v>3</v>
      </c>
      <c r="E6509" t="e">
        <f>VLOOKUP(Cpi_[[#This Row],[Attribute]],#REF!,2,FALSE)</f>
        <v>#REF!</v>
      </c>
      <c r="F6509">
        <v>143.5</v>
      </c>
      <c r="G6509">
        <f>(Cpi_[[#This Row],[Value]]-F6508)/F6508</f>
        <v>-3.2366824005394548E-2</v>
      </c>
      <c r="H6509" t="e" cm="1" vm="1">
        <f t="array" aca="1" ref="H6509" ca="1">VLOOKUP(Cpi_[[#This Row],[Year]:[Month]],crudeoil[],3,FALSE)</f>
        <v>#VALUE!</v>
      </c>
    </row>
    <row r="6510" spans="1:8" hidden="1" x14ac:dyDescent="0.3">
      <c r="A6510" t="s">
        <v>33</v>
      </c>
      <c r="B6510">
        <v>2019</v>
      </c>
      <c r="C6510" t="s">
        <v>43</v>
      </c>
      <c r="D6510" t="s">
        <v>4</v>
      </c>
      <c r="E6510" t="e">
        <f>VLOOKUP(Cpi_[[#This Row],[Attribute]],#REF!,2,FALSE)</f>
        <v>#REF!</v>
      </c>
      <c r="F6510">
        <v>159.80000000000001</v>
      </c>
      <c r="G6510">
        <f>(Cpi_[[#This Row],[Value]]-F6509)/F6509</f>
        <v>0.1135888501742161</v>
      </c>
      <c r="H6510" t="e" cm="1" vm="1">
        <f t="array" aca="1" ref="H6510" ca="1">VLOOKUP(Cpi_[[#This Row],[Year]:[Month]],crudeoil[],3,FALSE)</f>
        <v>#VALUE!</v>
      </c>
    </row>
    <row r="6511" spans="1:8" hidden="1" x14ac:dyDescent="0.3">
      <c r="A6511" t="s">
        <v>33</v>
      </c>
      <c r="B6511">
        <v>2019</v>
      </c>
      <c r="C6511" t="s">
        <v>43</v>
      </c>
      <c r="D6511" t="s">
        <v>5</v>
      </c>
      <c r="E6511" t="e">
        <f>VLOOKUP(Cpi_[[#This Row],[Attribute]],#REF!,2,FALSE)</f>
        <v>#REF!</v>
      </c>
      <c r="F6511">
        <v>144.69999999999999</v>
      </c>
      <c r="G6511">
        <f>(Cpi_[[#This Row],[Value]]-F6510)/F6510</f>
        <v>-9.44931163954945E-2</v>
      </c>
      <c r="H6511" t="e" cm="1" vm="1">
        <f t="array" aca="1" ref="H6511" ca="1">VLOOKUP(Cpi_[[#This Row],[Year]:[Month]],crudeoil[],3,FALSE)</f>
        <v>#VALUE!</v>
      </c>
    </row>
    <row r="6512" spans="1:8" hidden="1" x14ac:dyDescent="0.3">
      <c r="A6512" t="s">
        <v>33</v>
      </c>
      <c r="B6512">
        <v>2019</v>
      </c>
      <c r="C6512" t="s">
        <v>43</v>
      </c>
      <c r="D6512" t="s">
        <v>6</v>
      </c>
      <c r="E6512" t="e">
        <f>VLOOKUP(Cpi_[[#This Row],[Attribute]],#REF!,2,FALSE)</f>
        <v>#REF!</v>
      </c>
      <c r="F6512">
        <v>145.6</v>
      </c>
      <c r="G6512">
        <f>(Cpi_[[#This Row],[Value]]-F6511)/F6511</f>
        <v>6.2197650310988652E-3</v>
      </c>
      <c r="H6512" t="e" cm="1" vm="1">
        <f t="array" aca="1" ref="H6512" ca="1">VLOOKUP(Cpi_[[#This Row],[Year]:[Month]],crudeoil[],3,FALSE)</f>
        <v>#VALUE!</v>
      </c>
    </row>
    <row r="6513" spans="1:8" hidden="1" x14ac:dyDescent="0.3">
      <c r="A6513" t="s">
        <v>33</v>
      </c>
      <c r="B6513">
        <v>2019</v>
      </c>
      <c r="C6513" t="s">
        <v>43</v>
      </c>
      <c r="D6513" t="s">
        <v>7</v>
      </c>
      <c r="E6513" t="e">
        <f>VLOOKUP(Cpi_[[#This Row],[Attribute]],#REF!,2,FALSE)</f>
        <v>#REF!</v>
      </c>
      <c r="F6513">
        <v>121.1</v>
      </c>
      <c r="G6513">
        <f>(Cpi_[[#This Row],[Value]]-F6512)/F6512</f>
        <v>-0.16826923076923078</v>
      </c>
      <c r="H6513" t="e" cm="1" vm="1">
        <f t="array" aca="1" ref="H6513" ca="1">VLOOKUP(Cpi_[[#This Row],[Year]:[Month]],crudeoil[],3,FALSE)</f>
        <v>#VALUE!</v>
      </c>
    </row>
    <row r="6514" spans="1:8" hidden="1" x14ac:dyDescent="0.3">
      <c r="A6514" t="s">
        <v>33</v>
      </c>
      <c r="B6514">
        <v>2019</v>
      </c>
      <c r="C6514" t="s">
        <v>43</v>
      </c>
      <c r="D6514" t="s">
        <v>8</v>
      </c>
      <c r="E6514" t="e">
        <f>VLOOKUP(Cpi_[[#This Row],[Attribute]],#REF!,2,FALSE)</f>
        <v>#REF!</v>
      </c>
      <c r="F6514">
        <v>150.6</v>
      </c>
      <c r="G6514">
        <f>(Cpi_[[#This Row],[Value]]-F6513)/F6513</f>
        <v>0.24360033030553263</v>
      </c>
      <c r="H6514" t="e" cm="1" vm="1">
        <f t="array" aca="1" ref="H6514" ca="1">VLOOKUP(Cpi_[[#This Row],[Year]:[Month]],crudeoil[],3,FALSE)</f>
        <v>#VALUE!</v>
      </c>
    </row>
    <row r="6515" spans="1:8" hidden="1" x14ac:dyDescent="0.3">
      <c r="A6515" t="s">
        <v>33</v>
      </c>
      <c r="B6515">
        <v>2019</v>
      </c>
      <c r="C6515" t="s">
        <v>43</v>
      </c>
      <c r="D6515" t="s">
        <v>9</v>
      </c>
      <c r="E6515" t="e">
        <f>VLOOKUP(Cpi_[[#This Row],[Attribute]],#REF!,2,FALSE)</f>
        <v>#REF!</v>
      </c>
      <c r="F6515">
        <v>207.2</v>
      </c>
      <c r="G6515">
        <f>(Cpi_[[#This Row],[Value]]-F6514)/F6514</f>
        <v>0.37583001328021248</v>
      </c>
      <c r="H6515" t="e" cm="1" vm="1">
        <f t="array" aca="1" ref="H6515" ca="1">VLOOKUP(Cpi_[[#This Row],[Year]:[Month]],crudeoil[],3,FALSE)</f>
        <v>#VALUE!</v>
      </c>
    </row>
    <row r="6516" spans="1:8" hidden="1" x14ac:dyDescent="0.3">
      <c r="A6516" t="s">
        <v>33</v>
      </c>
      <c r="B6516">
        <v>2019</v>
      </c>
      <c r="C6516" t="s">
        <v>43</v>
      </c>
      <c r="D6516" t="s">
        <v>10</v>
      </c>
      <c r="E6516" t="e">
        <f>VLOOKUP(Cpi_[[#This Row],[Attribute]],#REF!,2,FALSE)</f>
        <v>#REF!</v>
      </c>
      <c r="F6516">
        <v>131.19999999999999</v>
      </c>
      <c r="G6516">
        <f>(Cpi_[[#This Row],[Value]]-F6515)/F6515</f>
        <v>-0.36679536679536684</v>
      </c>
      <c r="H6516" t="e" cm="1" vm="1">
        <f t="array" aca="1" ref="H6516" ca="1">VLOOKUP(Cpi_[[#This Row],[Year]:[Month]],crudeoil[],3,FALSE)</f>
        <v>#VALUE!</v>
      </c>
    </row>
    <row r="6517" spans="1:8" hidden="1" x14ac:dyDescent="0.3">
      <c r="A6517" t="s">
        <v>33</v>
      </c>
      <c r="B6517">
        <v>2019</v>
      </c>
      <c r="C6517" t="s">
        <v>43</v>
      </c>
      <c r="D6517" t="s">
        <v>11</v>
      </c>
      <c r="E6517" t="e">
        <f>VLOOKUP(Cpi_[[#This Row],[Attribute]],#REF!,2,FALSE)</f>
        <v>#REF!</v>
      </c>
      <c r="F6517">
        <v>114.8</v>
      </c>
      <c r="G6517">
        <f>(Cpi_[[#This Row],[Value]]-F6516)/F6516</f>
        <v>-0.12499999999999994</v>
      </c>
      <c r="H6517" t="e" cm="1" vm="1">
        <f t="array" aca="1" ref="H6517" ca="1">VLOOKUP(Cpi_[[#This Row],[Year]:[Month]],crudeoil[],3,FALSE)</f>
        <v>#VALUE!</v>
      </c>
    </row>
    <row r="6518" spans="1:8" hidden="1" x14ac:dyDescent="0.3">
      <c r="A6518" t="s">
        <v>33</v>
      </c>
      <c r="B6518">
        <v>2019</v>
      </c>
      <c r="C6518" t="s">
        <v>43</v>
      </c>
      <c r="D6518" t="s">
        <v>12</v>
      </c>
      <c r="E6518" t="e">
        <f>VLOOKUP(Cpi_[[#This Row],[Attribute]],#REF!,2,FALSE)</f>
        <v>#REF!</v>
      </c>
      <c r="F6518">
        <v>145.19999999999999</v>
      </c>
      <c r="G6518">
        <f>(Cpi_[[#This Row],[Value]]-F6517)/F6517</f>
        <v>0.26480836236933791</v>
      </c>
      <c r="H6518" t="e" cm="1" vm="1">
        <f t="array" aca="1" ref="H6518" ca="1">VLOOKUP(Cpi_[[#This Row],[Year]:[Month]],crudeoil[],3,FALSE)</f>
        <v>#VALUE!</v>
      </c>
    </row>
    <row r="6519" spans="1:8" hidden="1" x14ac:dyDescent="0.3">
      <c r="A6519" t="s">
        <v>33</v>
      </c>
      <c r="B6519">
        <v>2019</v>
      </c>
      <c r="C6519" t="s">
        <v>43</v>
      </c>
      <c r="D6519" t="s">
        <v>13</v>
      </c>
      <c r="E6519" t="e">
        <f>VLOOKUP(Cpi_[[#This Row],[Attribute]],#REF!,2,FALSE)</f>
        <v>#REF!</v>
      </c>
      <c r="F6519">
        <v>130.19999999999999</v>
      </c>
      <c r="G6519">
        <f>(Cpi_[[#This Row],[Value]]-F6518)/F6518</f>
        <v>-0.10330578512396695</v>
      </c>
      <c r="H6519" t="e" cm="1" vm="1">
        <f t="array" aca="1" ref="H6519" ca="1">VLOOKUP(Cpi_[[#This Row],[Year]:[Month]],crudeoil[],3,FALSE)</f>
        <v>#VALUE!</v>
      </c>
    </row>
    <row r="6520" spans="1:8" hidden="1" x14ac:dyDescent="0.3">
      <c r="A6520" t="s">
        <v>33</v>
      </c>
      <c r="B6520">
        <v>2019</v>
      </c>
      <c r="C6520" t="s">
        <v>43</v>
      </c>
      <c r="D6520" t="s">
        <v>14</v>
      </c>
      <c r="E6520" t="e">
        <f>VLOOKUP(Cpi_[[#This Row],[Attribute]],#REF!,2,FALSE)</f>
        <v>#REF!</v>
      </c>
      <c r="F6520">
        <v>156.80000000000001</v>
      </c>
      <c r="G6520">
        <f>(Cpi_[[#This Row],[Value]]-F6519)/F6519</f>
        <v>0.20430107526881738</v>
      </c>
      <c r="H6520" t="e" cm="1" vm="1">
        <f t="array" aca="1" ref="H6520" ca="1">VLOOKUP(Cpi_[[#This Row],[Year]:[Month]],crudeoil[],3,FALSE)</f>
        <v>#VALUE!</v>
      </c>
    </row>
    <row r="6521" spans="1:8" hidden="1" x14ac:dyDescent="0.3">
      <c r="A6521" t="s">
        <v>33</v>
      </c>
      <c r="B6521">
        <v>2019</v>
      </c>
      <c r="C6521" t="s">
        <v>43</v>
      </c>
      <c r="D6521" t="s">
        <v>15</v>
      </c>
      <c r="E6521" t="e">
        <f>VLOOKUP(Cpi_[[#This Row],[Attribute]],#REF!,2,FALSE)</f>
        <v>#REF!</v>
      </c>
      <c r="F6521">
        <v>151.9</v>
      </c>
      <c r="G6521">
        <f>(Cpi_[[#This Row],[Value]]-F6520)/F6520</f>
        <v>-3.1250000000000035E-2</v>
      </c>
      <c r="H6521" t="e" cm="1" vm="1">
        <f t="array" aca="1" ref="H6521" ca="1">VLOOKUP(Cpi_[[#This Row],[Year]:[Month]],crudeoil[],3,FALSE)</f>
        <v>#VALUE!</v>
      </c>
    </row>
    <row r="6522" spans="1:8" hidden="1" x14ac:dyDescent="0.3">
      <c r="A6522" t="s">
        <v>33</v>
      </c>
      <c r="B6522">
        <v>2019</v>
      </c>
      <c r="C6522" t="s">
        <v>43</v>
      </c>
      <c r="D6522" t="s">
        <v>16</v>
      </c>
      <c r="E6522" t="e">
        <f>VLOOKUP(Cpi_[[#This Row],[Attribute]],#REF!,2,FALSE)</f>
        <v>#REF!</v>
      </c>
      <c r="F6522">
        <v>169.3</v>
      </c>
      <c r="G6522">
        <f>(Cpi_[[#This Row],[Value]]-F6521)/F6521</f>
        <v>0.11454904542462149</v>
      </c>
      <c r="H6522" t="e" cm="1" vm="1">
        <f t="array" aca="1" ref="H6522" ca="1">VLOOKUP(Cpi_[[#This Row],[Year]:[Month]],crudeoil[],3,FALSE)</f>
        <v>#VALUE!</v>
      </c>
    </row>
    <row r="6523" spans="1:8" hidden="1" x14ac:dyDescent="0.3">
      <c r="A6523" t="s">
        <v>33</v>
      </c>
      <c r="B6523">
        <v>2019</v>
      </c>
      <c r="C6523" t="s">
        <v>43</v>
      </c>
      <c r="D6523" t="s">
        <v>17</v>
      </c>
      <c r="E6523" t="e">
        <f>VLOOKUP(Cpi_[[#This Row],[Attribute]],#REF!,2,FALSE)</f>
        <v>#REF!</v>
      </c>
      <c r="F6523">
        <v>145.9</v>
      </c>
      <c r="G6523">
        <f>(Cpi_[[#This Row],[Value]]-F6522)/F6522</f>
        <v>-0.13821618428824575</v>
      </c>
      <c r="H6523" t="e" cm="1" vm="1">
        <f t="array" aca="1" ref="H6523" ca="1">VLOOKUP(Cpi_[[#This Row],[Year]:[Month]],crudeoil[],3,FALSE)</f>
        <v>#VALUE!</v>
      </c>
    </row>
    <row r="6524" spans="1:8" hidden="1" x14ac:dyDescent="0.3">
      <c r="A6524" t="s">
        <v>33</v>
      </c>
      <c r="B6524">
        <v>2019</v>
      </c>
      <c r="C6524" t="s">
        <v>43</v>
      </c>
      <c r="D6524" t="s">
        <v>18</v>
      </c>
      <c r="E6524" t="e">
        <f>VLOOKUP(Cpi_[[#This Row],[Attribute]],#REF!,2,FALSE)</f>
        <v>#REF!</v>
      </c>
      <c r="F6524">
        <v>132.4</v>
      </c>
      <c r="G6524">
        <f>(Cpi_[[#This Row],[Value]]-F6523)/F6523</f>
        <v>-9.2529129540781352E-2</v>
      </c>
      <c r="H6524" t="e" cm="1" vm="1">
        <f t="array" aca="1" ref="H6524" ca="1">VLOOKUP(Cpi_[[#This Row],[Year]:[Month]],crudeoil[],3,FALSE)</f>
        <v>#VALUE!</v>
      </c>
    </row>
    <row r="6525" spans="1:8" hidden="1" x14ac:dyDescent="0.3">
      <c r="A6525" t="s">
        <v>33</v>
      </c>
      <c r="B6525">
        <v>2019</v>
      </c>
      <c r="C6525" t="s">
        <v>43</v>
      </c>
      <c r="D6525" t="s">
        <v>19</v>
      </c>
      <c r="E6525" t="e">
        <f>VLOOKUP(Cpi_[[#This Row],[Attribute]],#REF!,2,FALSE)</f>
        <v>#REF!</v>
      </c>
      <c r="F6525">
        <v>143.9</v>
      </c>
      <c r="G6525">
        <f>(Cpi_[[#This Row],[Value]]-F6524)/F6524</f>
        <v>8.6858006042296071E-2</v>
      </c>
      <c r="H6525" t="e" cm="1" vm="1">
        <f t="array" aca="1" ref="H6525" ca="1">VLOOKUP(Cpi_[[#This Row],[Year]:[Month]],crudeoil[],3,FALSE)</f>
        <v>#VALUE!</v>
      </c>
    </row>
    <row r="6526" spans="1:8" hidden="1" x14ac:dyDescent="0.3">
      <c r="A6526" t="s">
        <v>33</v>
      </c>
      <c r="B6526">
        <v>2019</v>
      </c>
      <c r="C6526" t="s">
        <v>43</v>
      </c>
      <c r="D6526" t="s">
        <v>20</v>
      </c>
      <c r="E6526" t="e">
        <f>VLOOKUP(Cpi_[[#This Row],[Attribute]],#REF!,2,FALSE)</f>
        <v>#REF!</v>
      </c>
      <c r="F6526">
        <v>153</v>
      </c>
      <c r="G6526">
        <f>(Cpi_[[#This Row],[Value]]-F6525)/F6525</f>
        <v>6.3238359972202882E-2</v>
      </c>
      <c r="H6526" t="e" cm="1" vm="1">
        <f t="array" aca="1" ref="H6526" ca="1">VLOOKUP(Cpi_[[#This Row],[Year]:[Month]],crudeoil[],3,FALSE)</f>
        <v>#VALUE!</v>
      </c>
    </row>
    <row r="6527" spans="1:8" hidden="1" x14ac:dyDescent="0.3">
      <c r="A6527" t="s">
        <v>33</v>
      </c>
      <c r="B6527">
        <v>2019</v>
      </c>
      <c r="C6527" t="s">
        <v>43</v>
      </c>
      <c r="D6527" t="s">
        <v>21</v>
      </c>
      <c r="E6527" t="e">
        <f>VLOOKUP(Cpi_[[#This Row],[Attribute]],#REF!,2,FALSE)</f>
        <v>#REF!</v>
      </c>
      <c r="F6527">
        <v>128.9</v>
      </c>
      <c r="G6527">
        <f>(Cpi_[[#This Row],[Value]]-F6526)/F6526</f>
        <v>-0.15751633986928101</v>
      </c>
      <c r="H6527" t="e" cm="1" vm="1">
        <f t="array" aca="1" ref="H6527" ca="1">VLOOKUP(Cpi_[[#This Row],[Year]:[Month]],crudeoil[],3,FALSE)</f>
        <v>#VALUE!</v>
      </c>
    </row>
    <row r="6528" spans="1:8" hidden="1" x14ac:dyDescent="0.3">
      <c r="A6528" t="s">
        <v>33</v>
      </c>
      <c r="B6528">
        <v>2019</v>
      </c>
      <c r="C6528" t="s">
        <v>43</v>
      </c>
      <c r="D6528" t="s">
        <v>22</v>
      </c>
      <c r="E6528" t="e">
        <f>VLOOKUP(Cpi_[[#This Row],[Attribute]],#REF!,2,FALSE)</f>
        <v>#REF!</v>
      </c>
      <c r="F6528">
        <v>138.69999999999999</v>
      </c>
      <c r="G6528">
        <f>(Cpi_[[#This Row],[Value]]-F6527)/F6527</f>
        <v>7.6027928626842378E-2</v>
      </c>
      <c r="H6528" t="e" cm="1" vm="1">
        <f t="array" aca="1" ref="H6528" ca="1">VLOOKUP(Cpi_[[#This Row],[Year]:[Month]],crudeoil[],3,FALSE)</f>
        <v>#VALUE!</v>
      </c>
    </row>
    <row r="6529" spans="1:8" hidden="1" x14ac:dyDescent="0.3">
      <c r="A6529" t="s">
        <v>33</v>
      </c>
      <c r="B6529">
        <v>2019</v>
      </c>
      <c r="C6529" t="s">
        <v>43</v>
      </c>
      <c r="D6529" t="s">
        <v>23</v>
      </c>
      <c r="E6529" t="e">
        <f>VLOOKUP(Cpi_[[#This Row],[Attribute]],#REF!,2,FALSE)</f>
        <v>#REF!</v>
      </c>
      <c r="F6529">
        <v>142.4</v>
      </c>
      <c r="G6529">
        <f>(Cpi_[[#This Row],[Value]]-F6528)/F6528</f>
        <v>2.6676279740447131E-2</v>
      </c>
      <c r="H6529" t="e" cm="1" vm="1">
        <f t="array" aca="1" ref="H6529" ca="1">VLOOKUP(Cpi_[[#This Row],[Year]:[Month]],crudeoil[],3,FALSE)</f>
        <v>#VALUE!</v>
      </c>
    </row>
    <row r="6530" spans="1:8" hidden="1" x14ac:dyDescent="0.3">
      <c r="A6530" t="s">
        <v>33</v>
      </c>
      <c r="B6530">
        <v>2019</v>
      </c>
      <c r="C6530" t="s">
        <v>43</v>
      </c>
      <c r="D6530" t="s">
        <v>24</v>
      </c>
      <c r="E6530" t="e">
        <f>VLOOKUP(Cpi_[[#This Row],[Attribute]],#REF!,2,FALSE)</f>
        <v>#REF!</v>
      </c>
      <c r="F6530">
        <v>121.5</v>
      </c>
      <c r="G6530">
        <f>(Cpi_[[#This Row],[Value]]-F6529)/F6529</f>
        <v>-0.14676966292134835</v>
      </c>
      <c r="H6530" t="e" cm="1" vm="1">
        <f t="array" aca="1" ref="H6530" ca="1">VLOOKUP(Cpi_[[#This Row],[Year]:[Month]],crudeoil[],3,FALSE)</f>
        <v>#VALUE!</v>
      </c>
    </row>
    <row r="6531" spans="1:8" hidden="1" x14ac:dyDescent="0.3">
      <c r="A6531" t="s">
        <v>33</v>
      </c>
      <c r="B6531">
        <v>2019</v>
      </c>
      <c r="C6531" t="s">
        <v>43</v>
      </c>
      <c r="D6531" t="s">
        <v>25</v>
      </c>
      <c r="E6531" t="e">
        <f>VLOOKUP(Cpi_[[#This Row],[Attribute]],#REF!,2,FALSE)</f>
        <v>#REF!</v>
      </c>
      <c r="F6531">
        <v>136.19999999999999</v>
      </c>
      <c r="G6531">
        <f>(Cpi_[[#This Row],[Value]]-F6530)/F6530</f>
        <v>0.12098765432098756</v>
      </c>
      <c r="H6531" t="e" cm="1" vm="1">
        <f t="array" aca="1" ref="H6531" ca="1">VLOOKUP(Cpi_[[#This Row],[Year]:[Month]],crudeoil[],3,FALSE)</f>
        <v>#VALUE!</v>
      </c>
    </row>
    <row r="6532" spans="1:8" hidden="1" x14ac:dyDescent="0.3">
      <c r="A6532" t="s">
        <v>33</v>
      </c>
      <c r="B6532">
        <v>2019</v>
      </c>
      <c r="C6532" t="s">
        <v>43</v>
      </c>
      <c r="D6532" t="s">
        <v>26</v>
      </c>
      <c r="E6532" t="e">
        <f>VLOOKUP(Cpi_[[#This Row],[Attribute]],#REF!,2,FALSE)</f>
        <v>#REF!</v>
      </c>
      <c r="F6532">
        <v>151.69999999999999</v>
      </c>
      <c r="G6532">
        <f>(Cpi_[[#This Row],[Value]]-F6531)/F6531</f>
        <v>0.11380323054331866</v>
      </c>
      <c r="H6532" t="e" cm="1" vm="1">
        <f t="array" aca="1" ref="H6532" ca="1">VLOOKUP(Cpi_[[#This Row],[Year]:[Month]],crudeoil[],3,FALSE)</f>
        <v>#VALUE!</v>
      </c>
    </row>
    <row r="6533" spans="1:8" hidden="1" x14ac:dyDescent="0.3">
      <c r="A6533" t="s">
        <v>33</v>
      </c>
      <c r="B6533">
        <v>2019</v>
      </c>
      <c r="C6533" t="s">
        <v>43</v>
      </c>
      <c r="D6533" t="s">
        <v>27</v>
      </c>
      <c r="E6533" t="e">
        <f>VLOOKUP(Cpi_[[#This Row],[Attribute]],#REF!,2,FALSE)</f>
        <v>#REF!</v>
      </c>
      <c r="F6533">
        <v>139.5</v>
      </c>
      <c r="G6533">
        <f>(Cpi_[[#This Row],[Value]]-F6532)/F6532</f>
        <v>-8.0421885299934007E-2</v>
      </c>
      <c r="H6533" t="e" cm="1" vm="1">
        <f t="array" aca="1" ref="H6533" ca="1">VLOOKUP(Cpi_[[#This Row],[Year]:[Month]],crudeoil[],3,FALSE)</f>
        <v>#VALUE!</v>
      </c>
    </row>
    <row r="6534" spans="1:8" hidden="1" x14ac:dyDescent="0.3">
      <c r="A6534" t="s">
        <v>33</v>
      </c>
      <c r="B6534">
        <v>2019</v>
      </c>
      <c r="C6534" t="s">
        <v>43</v>
      </c>
      <c r="D6534" t="s">
        <v>28</v>
      </c>
      <c r="E6534" t="e">
        <f>VLOOKUP(Cpi_[[#This Row],[Attribute]],#REF!,2,FALSE)</f>
        <v>#REF!</v>
      </c>
      <c r="F6534">
        <v>136</v>
      </c>
      <c r="G6534">
        <f>(Cpi_[[#This Row],[Value]]-F6533)/F6533</f>
        <v>-2.5089605734767026E-2</v>
      </c>
      <c r="H6534" t="e" cm="1" vm="1">
        <f t="array" aca="1" ref="H6534" ca="1">VLOOKUP(Cpi_[[#This Row],[Year]:[Month]],crudeoil[],3,FALSE)</f>
        <v>#VALUE!</v>
      </c>
    </row>
    <row r="6535" spans="1:8" hidden="1" x14ac:dyDescent="0.3">
      <c r="A6535" t="s">
        <v>33</v>
      </c>
      <c r="B6535">
        <v>2019</v>
      </c>
      <c r="C6535" t="s">
        <v>43</v>
      </c>
      <c r="D6535" t="s">
        <v>29</v>
      </c>
      <c r="E6535" t="e" cm="1">
        <f t="array" aca="1" ref="E6535" ca="1">VLGeneral indexGeneral indexKUP(Cpi_[[#This Row],[Attribute]],#REF!,2,FALSE)</f>
        <v>#NAME?</v>
      </c>
      <c r="F6535">
        <v>146</v>
      </c>
      <c r="G6535">
        <f>(Cpi_[[#This Row],[Value]]-F6534)/F6534</f>
        <v>7.3529411764705885E-2</v>
      </c>
      <c r="H6535" t="e" cm="1" vm="1">
        <f t="array" aca="1" ref="H6535" ca="1">VLOOKUP(Cpi_[[#This Row],[Year]:[Month]],crudeoil[],3,FALSE)</f>
        <v>#VALUE!</v>
      </c>
    </row>
    <row r="6536" spans="1:8" hidden="1" x14ac:dyDescent="0.3">
      <c r="A6536" t="s">
        <v>34</v>
      </c>
      <c r="B6536">
        <v>2019</v>
      </c>
      <c r="C6536" t="s">
        <v>43</v>
      </c>
      <c r="D6536" t="s">
        <v>3</v>
      </c>
      <c r="E6536" t="e">
        <f>VLOOKUP(Cpi_[[#This Row],[Attribute]],#REF!,2,FALSE)</f>
        <v>#REF!</v>
      </c>
      <c r="F6536">
        <v>141.80000000000001</v>
      </c>
      <c r="G6536">
        <f>(Cpi_[[#This Row],[Value]]-F6535)/F6535</f>
        <v>-2.8767123287671156E-2</v>
      </c>
      <c r="H6536" t="e" cm="1" vm="1">
        <f t="array" aca="1" ref="H6536" ca="1">VLOOKUP(Cpi_[[#This Row],[Year]:[Month]],crudeoil[],3,FALSE)</f>
        <v>#VALUE!</v>
      </c>
    </row>
    <row r="6537" spans="1:8" hidden="1" x14ac:dyDescent="0.3">
      <c r="A6537" t="s">
        <v>34</v>
      </c>
      <c r="B6537">
        <v>2019</v>
      </c>
      <c r="C6537" t="s">
        <v>43</v>
      </c>
      <c r="D6537" t="s">
        <v>4</v>
      </c>
      <c r="E6537" t="e">
        <f>VLOOKUP(Cpi_[[#This Row],[Attribute]],#REF!,2,FALSE)</f>
        <v>#REF!</v>
      </c>
      <c r="F6537">
        <v>161</v>
      </c>
      <c r="G6537">
        <f>(Cpi_[[#This Row],[Value]]-F6536)/F6536</f>
        <v>0.13540197461212966</v>
      </c>
      <c r="H6537" t="e" cm="1" vm="1">
        <f t="array" aca="1" ref="H6537" ca="1">VLOOKUP(Cpi_[[#This Row],[Year]:[Month]],crudeoil[],3,FALSE)</f>
        <v>#VALUE!</v>
      </c>
    </row>
    <row r="6538" spans="1:8" hidden="1" x14ac:dyDescent="0.3">
      <c r="A6538" t="s">
        <v>34</v>
      </c>
      <c r="B6538">
        <v>2019</v>
      </c>
      <c r="C6538" t="s">
        <v>43</v>
      </c>
      <c r="D6538" t="s">
        <v>5</v>
      </c>
      <c r="E6538" t="e">
        <f>VLOOKUP(Cpi_[[#This Row],[Attribute]],#REF!,2,FALSE)</f>
        <v>#REF!</v>
      </c>
      <c r="F6538">
        <v>142.6</v>
      </c>
      <c r="G6538">
        <f>(Cpi_[[#This Row],[Value]]-F6537)/F6537</f>
        <v>-0.11428571428571432</v>
      </c>
      <c r="H6538" t="e" cm="1" vm="1">
        <f t="array" aca="1" ref="H6538" ca="1">VLOOKUP(Cpi_[[#This Row],[Year]:[Month]],crudeoil[],3,FALSE)</f>
        <v>#VALUE!</v>
      </c>
    </row>
    <row r="6539" spans="1:8" hidden="1" x14ac:dyDescent="0.3">
      <c r="A6539" t="s">
        <v>34</v>
      </c>
      <c r="B6539">
        <v>2019</v>
      </c>
      <c r="C6539" t="s">
        <v>43</v>
      </c>
      <c r="D6539" t="s">
        <v>6</v>
      </c>
      <c r="E6539" t="e">
        <f>VLOOKUP(Cpi_[[#This Row],[Attribute]],#REF!,2,FALSE)</f>
        <v>#REF!</v>
      </c>
      <c r="F6539">
        <v>146.19999999999999</v>
      </c>
      <c r="G6539">
        <f>(Cpi_[[#This Row],[Value]]-F6538)/F6538</f>
        <v>2.5245441795231378E-2</v>
      </c>
      <c r="H6539" t="e" cm="1" vm="1">
        <f t="array" aca="1" ref="H6539" ca="1">VLOOKUP(Cpi_[[#This Row],[Year]:[Month]],crudeoil[],3,FALSE)</f>
        <v>#VALUE!</v>
      </c>
    </row>
    <row r="6540" spans="1:8" hidden="1" x14ac:dyDescent="0.3">
      <c r="A6540" t="s">
        <v>34</v>
      </c>
      <c r="B6540">
        <v>2019</v>
      </c>
      <c r="C6540" t="s">
        <v>43</v>
      </c>
      <c r="D6540" t="s">
        <v>7</v>
      </c>
      <c r="E6540" t="e">
        <f>VLOOKUP(Cpi_[[#This Row],[Attribute]],#REF!,2,FALSE)</f>
        <v>#REF!</v>
      </c>
      <c r="F6540">
        <v>123.9</v>
      </c>
      <c r="G6540">
        <f>(Cpi_[[#This Row],[Value]]-F6539)/F6539</f>
        <v>-0.15253077975376186</v>
      </c>
      <c r="H6540" t="e" cm="1" vm="1">
        <f t="array" aca="1" ref="H6540" ca="1">VLOOKUP(Cpi_[[#This Row],[Year]:[Month]],crudeoil[],3,FALSE)</f>
        <v>#VALUE!</v>
      </c>
    </row>
    <row r="6541" spans="1:8" hidden="1" x14ac:dyDescent="0.3">
      <c r="A6541" t="s">
        <v>34</v>
      </c>
      <c r="B6541">
        <v>2019</v>
      </c>
      <c r="C6541" t="s">
        <v>43</v>
      </c>
      <c r="D6541" t="s">
        <v>8</v>
      </c>
      <c r="E6541" t="e">
        <f>VLOOKUP(Cpi_[[#This Row],[Attribute]],#REF!,2,FALSE)</f>
        <v>#REF!</v>
      </c>
      <c r="F6541">
        <v>148</v>
      </c>
      <c r="G6541">
        <f>(Cpi_[[#This Row],[Value]]-F6540)/F6540</f>
        <v>0.19451170298627921</v>
      </c>
      <c r="H6541" t="e" cm="1" vm="1">
        <f t="array" aca="1" ref="H6541" ca="1">VLOOKUP(Cpi_[[#This Row],[Year]:[Month]],crudeoil[],3,FALSE)</f>
        <v>#VALUE!</v>
      </c>
    </row>
    <row r="6542" spans="1:8" hidden="1" x14ac:dyDescent="0.3">
      <c r="A6542" t="s">
        <v>34</v>
      </c>
      <c r="B6542">
        <v>2019</v>
      </c>
      <c r="C6542" t="s">
        <v>43</v>
      </c>
      <c r="D6542" t="s">
        <v>9</v>
      </c>
      <c r="E6542" t="e">
        <f>VLOOKUP(Cpi_[[#This Row],[Attribute]],#REF!,2,FALSE)</f>
        <v>#REF!</v>
      </c>
      <c r="F6542">
        <v>188.4</v>
      </c>
      <c r="G6542">
        <f>(Cpi_[[#This Row],[Value]]-F6541)/F6541</f>
        <v>0.27297297297297302</v>
      </c>
      <c r="H6542" t="e" cm="1" vm="1">
        <f t="array" aca="1" ref="H6542" ca="1">VLOOKUP(Cpi_[[#This Row],[Year]:[Month]],crudeoil[],3,FALSE)</f>
        <v>#VALUE!</v>
      </c>
    </row>
    <row r="6543" spans="1:8" hidden="1" x14ac:dyDescent="0.3">
      <c r="A6543" t="s">
        <v>34</v>
      </c>
      <c r="B6543">
        <v>2019</v>
      </c>
      <c r="C6543" t="s">
        <v>43</v>
      </c>
      <c r="D6543" t="s">
        <v>10</v>
      </c>
      <c r="E6543" t="e">
        <f>VLOOKUP(Cpi_[[#This Row],[Attribute]],#REF!,2,FALSE)</f>
        <v>#REF!</v>
      </c>
      <c r="F6543">
        <v>132.5</v>
      </c>
      <c r="G6543">
        <f>(Cpi_[[#This Row],[Value]]-F6542)/F6542</f>
        <v>-0.29670912951167733</v>
      </c>
      <c r="H6543" t="e" cm="1" vm="1">
        <f t="array" aca="1" ref="H6543" ca="1">VLOOKUP(Cpi_[[#This Row],[Year]:[Month]],crudeoil[],3,FALSE)</f>
        <v>#VALUE!</v>
      </c>
    </row>
    <row r="6544" spans="1:8" hidden="1" x14ac:dyDescent="0.3">
      <c r="A6544" t="s">
        <v>34</v>
      </c>
      <c r="B6544">
        <v>2019</v>
      </c>
      <c r="C6544" t="s">
        <v>43</v>
      </c>
      <c r="D6544" t="s">
        <v>11</v>
      </c>
      <c r="E6544" t="e">
        <f>VLOOKUP(Cpi_[[#This Row],[Attribute]],#REF!,2,FALSE)</f>
        <v>#REF!</v>
      </c>
      <c r="F6544">
        <v>114</v>
      </c>
      <c r="G6544">
        <f>(Cpi_[[#This Row],[Value]]-F6543)/F6543</f>
        <v>-0.13962264150943396</v>
      </c>
      <c r="H6544" t="e" cm="1" vm="1">
        <f t="array" aca="1" ref="H6544" ca="1">VLOOKUP(Cpi_[[#This Row],[Year]:[Month]],crudeoil[],3,FALSE)</f>
        <v>#VALUE!</v>
      </c>
    </row>
    <row r="6545" spans="1:8" hidden="1" x14ac:dyDescent="0.3">
      <c r="A6545" t="s">
        <v>34</v>
      </c>
      <c r="B6545">
        <v>2019</v>
      </c>
      <c r="C6545" t="s">
        <v>43</v>
      </c>
      <c r="D6545" t="s">
        <v>12</v>
      </c>
      <c r="E6545" t="e">
        <f>VLOOKUP(Cpi_[[#This Row],[Attribute]],#REF!,2,FALSE)</f>
        <v>#REF!</v>
      </c>
      <c r="F6545">
        <v>145.4</v>
      </c>
      <c r="G6545">
        <f>(Cpi_[[#This Row],[Value]]-F6544)/F6544</f>
        <v>0.27543859649122809</v>
      </c>
      <c r="H6545" t="e" cm="1" vm="1">
        <f t="array" aca="1" ref="H6545" ca="1">VLOOKUP(Cpi_[[#This Row],[Year]:[Month]],crudeoil[],3,FALSE)</f>
        <v>#VALUE!</v>
      </c>
    </row>
    <row r="6546" spans="1:8" hidden="1" x14ac:dyDescent="0.3">
      <c r="A6546" t="s">
        <v>34</v>
      </c>
      <c r="B6546">
        <v>2019</v>
      </c>
      <c r="C6546" t="s">
        <v>43</v>
      </c>
      <c r="D6546" t="s">
        <v>13</v>
      </c>
      <c r="E6546" t="e">
        <f>VLOOKUP(Cpi_[[#This Row],[Attribute]],#REF!,2,FALSE)</f>
        <v>#REF!</v>
      </c>
      <c r="F6546">
        <v>135.1</v>
      </c>
      <c r="G6546">
        <f>(Cpi_[[#This Row],[Value]]-F6545)/F6545</f>
        <v>-7.0839064649243541E-2</v>
      </c>
      <c r="H6546" t="e" cm="1" vm="1">
        <f t="array" aca="1" ref="H6546" ca="1">VLOOKUP(Cpi_[[#This Row],[Year]:[Month]],crudeoil[],3,FALSE)</f>
        <v>#VALUE!</v>
      </c>
    </row>
    <row r="6547" spans="1:8" hidden="1" x14ac:dyDescent="0.3">
      <c r="A6547" t="s">
        <v>34</v>
      </c>
      <c r="B6547">
        <v>2019</v>
      </c>
      <c r="C6547" t="s">
        <v>43</v>
      </c>
      <c r="D6547" t="s">
        <v>14</v>
      </c>
      <c r="E6547" t="e">
        <f>VLOOKUP(Cpi_[[#This Row],[Attribute]],#REF!,2,FALSE)</f>
        <v>#REF!</v>
      </c>
      <c r="F6547">
        <v>157.1</v>
      </c>
      <c r="G6547">
        <f>(Cpi_[[#This Row],[Value]]-F6546)/F6546</f>
        <v>0.16284233900814213</v>
      </c>
      <c r="H6547" t="e" cm="1" vm="1">
        <f t="array" aca="1" ref="H6547" ca="1">VLOOKUP(Cpi_[[#This Row],[Year]:[Month]],crudeoil[],3,FALSE)</f>
        <v>#VALUE!</v>
      </c>
    </row>
    <row r="6548" spans="1:8" hidden="1" x14ac:dyDescent="0.3">
      <c r="A6548" t="s">
        <v>34</v>
      </c>
      <c r="B6548">
        <v>2019</v>
      </c>
      <c r="C6548" t="s">
        <v>43</v>
      </c>
      <c r="D6548" t="s">
        <v>15</v>
      </c>
      <c r="E6548" t="e">
        <f>VLOOKUP(Cpi_[[#This Row],[Attribute]],#REF!,2,FALSE)</f>
        <v>#REF!</v>
      </c>
      <c r="F6548">
        <v>149.6</v>
      </c>
      <c r="G6548">
        <f>(Cpi_[[#This Row],[Value]]-F6547)/F6547</f>
        <v>-4.7740292807129221E-2</v>
      </c>
      <c r="H6548" t="e" cm="1" vm="1">
        <f t="array" aca="1" ref="H6548" ca="1">VLOOKUP(Cpi_[[#This Row],[Year]:[Month]],crudeoil[],3,FALSE)</f>
        <v>#VALUE!</v>
      </c>
    </row>
    <row r="6549" spans="1:8" hidden="1" x14ac:dyDescent="0.3">
      <c r="A6549" t="s">
        <v>34</v>
      </c>
      <c r="B6549">
        <v>2019</v>
      </c>
      <c r="C6549" t="s">
        <v>43</v>
      </c>
      <c r="D6549" t="s">
        <v>16</v>
      </c>
      <c r="E6549" t="e">
        <f>VLOOKUP(Cpi_[[#This Row],[Attribute]],#REF!,2,FALSE)</f>
        <v>#REF!</v>
      </c>
      <c r="F6549">
        <v>167.1</v>
      </c>
      <c r="G6549">
        <f>(Cpi_[[#This Row],[Value]]-F6548)/F6548</f>
        <v>0.11697860962566846</v>
      </c>
      <c r="H6549" t="e" cm="1" vm="1">
        <f t="array" aca="1" ref="H6549" ca="1">VLOOKUP(Cpi_[[#This Row],[Year]:[Month]],crudeoil[],3,FALSE)</f>
        <v>#VALUE!</v>
      </c>
    </row>
    <row r="6550" spans="1:8" hidden="1" x14ac:dyDescent="0.3">
      <c r="A6550" t="s">
        <v>34</v>
      </c>
      <c r="B6550">
        <v>2019</v>
      </c>
      <c r="C6550" t="s">
        <v>43</v>
      </c>
      <c r="D6550" t="s">
        <v>17</v>
      </c>
      <c r="E6550" t="e">
        <f>VLOOKUP(Cpi_[[#This Row],[Attribute]],#REF!,2,FALSE)</f>
        <v>#REF!</v>
      </c>
      <c r="F6550">
        <v>149.4</v>
      </c>
      <c r="G6550">
        <f>(Cpi_[[#This Row],[Value]]-F6549)/F6549</f>
        <v>-0.10592459605026923</v>
      </c>
      <c r="H6550" t="e" cm="1" vm="1">
        <f t="array" aca="1" ref="H6550" ca="1">VLOOKUP(Cpi_[[#This Row],[Year]:[Month]],crudeoil[],3,FALSE)</f>
        <v>#VALUE!</v>
      </c>
    </row>
    <row r="6551" spans="1:8" hidden="1" x14ac:dyDescent="0.3">
      <c r="A6551" t="s">
        <v>34</v>
      </c>
      <c r="B6551">
        <v>2019</v>
      </c>
      <c r="C6551" t="s">
        <v>43</v>
      </c>
      <c r="D6551" t="s">
        <v>18</v>
      </c>
      <c r="E6551" t="e">
        <f>VLOOKUP(Cpi_[[#This Row],[Attribute]],#REF!,2,FALSE)</f>
        <v>#REF!</v>
      </c>
      <c r="F6551">
        <v>140.80000000000001</v>
      </c>
      <c r="G6551">
        <f>(Cpi_[[#This Row],[Value]]-F6550)/F6550</f>
        <v>-5.7563587684069571E-2</v>
      </c>
      <c r="H6551" t="e" cm="1" vm="1">
        <f t="array" aca="1" ref="H6551" ca="1">VLOOKUP(Cpi_[[#This Row],[Year]:[Month]],crudeoil[],3,FALSE)</f>
        <v>#VALUE!</v>
      </c>
    </row>
    <row r="6552" spans="1:8" hidden="1" x14ac:dyDescent="0.3">
      <c r="A6552" t="s">
        <v>34</v>
      </c>
      <c r="B6552">
        <v>2019</v>
      </c>
      <c r="C6552" t="s">
        <v>43</v>
      </c>
      <c r="D6552" t="s">
        <v>19</v>
      </c>
      <c r="E6552" t="e">
        <f>VLOOKUP(Cpi_[[#This Row],[Attribute]],#REF!,2,FALSE)</f>
        <v>#REF!</v>
      </c>
      <c r="F6552">
        <v>148.19999999999999</v>
      </c>
      <c r="G6552">
        <f>(Cpi_[[#This Row],[Value]]-F6551)/F6551</f>
        <v>5.2556818181818017E-2</v>
      </c>
      <c r="H6552" t="e" cm="1" vm="1">
        <f t="array" aca="1" ref="H6552" ca="1">VLOOKUP(Cpi_[[#This Row],[Year]:[Month]],crudeoil[],3,FALSE)</f>
        <v>#VALUE!</v>
      </c>
    </row>
    <row r="6553" spans="1:8" hidden="1" x14ac:dyDescent="0.3">
      <c r="A6553" t="s">
        <v>34</v>
      </c>
      <c r="B6553">
        <v>2019</v>
      </c>
      <c r="C6553" t="s">
        <v>43</v>
      </c>
      <c r="D6553" t="s">
        <v>20</v>
      </c>
      <c r="E6553" t="e">
        <f>VLOOKUP(Cpi_[[#This Row],[Attribute]],#REF!,2,FALSE)</f>
        <v>#REF!</v>
      </c>
      <c r="F6553">
        <v>153</v>
      </c>
      <c r="G6553">
        <f>(Cpi_[[#This Row],[Value]]-F6552)/F6552</f>
        <v>3.2388663967611413E-2</v>
      </c>
      <c r="H6553" t="e" cm="1" vm="1">
        <f t="array" aca="1" ref="H6553" ca="1">VLOOKUP(Cpi_[[#This Row],[Year]:[Month]],crudeoil[],3,FALSE)</f>
        <v>#VALUE!</v>
      </c>
    </row>
    <row r="6554" spans="1:8" hidden="1" x14ac:dyDescent="0.3">
      <c r="A6554" t="s">
        <v>34</v>
      </c>
      <c r="B6554">
        <v>2019</v>
      </c>
      <c r="C6554" t="s">
        <v>43</v>
      </c>
      <c r="D6554" t="s">
        <v>21</v>
      </c>
      <c r="E6554" t="e">
        <f>VLOOKUP(Cpi_[[#This Row],[Attribute]],#REF!,2,FALSE)</f>
        <v>#REF!</v>
      </c>
      <c r="F6554">
        <v>140.6</v>
      </c>
      <c r="G6554">
        <f>(Cpi_[[#This Row],[Value]]-F6553)/F6553</f>
        <v>-8.1045751633986959E-2</v>
      </c>
      <c r="H6554" t="e" cm="1" vm="1">
        <f t="array" aca="1" ref="H6554" ca="1">VLOOKUP(Cpi_[[#This Row],[Year]:[Month]],crudeoil[],3,FALSE)</f>
        <v>#VALUE!</v>
      </c>
    </row>
    <row r="6555" spans="1:8" hidden="1" x14ac:dyDescent="0.3">
      <c r="A6555" t="s">
        <v>34</v>
      </c>
      <c r="B6555">
        <v>2019</v>
      </c>
      <c r="C6555" t="s">
        <v>43</v>
      </c>
      <c r="D6555" t="s">
        <v>22</v>
      </c>
      <c r="E6555" t="e">
        <f>VLOOKUP(Cpi_[[#This Row],[Attribute]],#REF!,2,FALSE)</f>
        <v>#REF!</v>
      </c>
      <c r="F6555">
        <v>145</v>
      </c>
      <c r="G6555">
        <f>(Cpi_[[#This Row],[Value]]-F6554)/F6554</f>
        <v>3.1294452347083966E-2</v>
      </c>
      <c r="H6555" t="e" cm="1" vm="1">
        <f t="array" aca="1" ref="H6555" ca="1">VLOOKUP(Cpi_[[#This Row],[Year]:[Month]],crudeoil[],3,FALSE)</f>
        <v>#VALUE!</v>
      </c>
    </row>
    <row r="6556" spans="1:8" hidden="1" x14ac:dyDescent="0.3">
      <c r="A6556" t="s">
        <v>34</v>
      </c>
      <c r="B6556">
        <v>2019</v>
      </c>
      <c r="C6556" t="s">
        <v>43</v>
      </c>
      <c r="D6556" t="s">
        <v>23</v>
      </c>
      <c r="E6556" t="e">
        <f>VLOOKUP(Cpi_[[#This Row],[Attribute]],#REF!,2,FALSE)</f>
        <v>#REF!</v>
      </c>
      <c r="F6556">
        <v>149.4</v>
      </c>
      <c r="G6556">
        <f>(Cpi_[[#This Row],[Value]]-F6555)/F6555</f>
        <v>3.0344827586206935E-2</v>
      </c>
      <c r="H6556" t="e" cm="1" vm="1">
        <f t="array" aca="1" ref="H6556" ca="1">VLOOKUP(Cpi_[[#This Row],[Year]:[Month]],crudeoil[],3,FALSE)</f>
        <v>#VALUE!</v>
      </c>
    </row>
    <row r="6557" spans="1:8" hidden="1" x14ac:dyDescent="0.3">
      <c r="A6557" t="s">
        <v>34</v>
      </c>
      <c r="B6557">
        <v>2019</v>
      </c>
      <c r="C6557" t="s">
        <v>43</v>
      </c>
      <c r="D6557" t="s">
        <v>24</v>
      </c>
      <c r="E6557" t="e">
        <f>VLOOKUP(Cpi_[[#This Row],[Attribute]],#REF!,2,FALSE)</f>
        <v>#REF!</v>
      </c>
      <c r="F6557">
        <v>126.3</v>
      </c>
      <c r="G6557">
        <f>(Cpi_[[#This Row],[Value]]-F6556)/F6556</f>
        <v>-0.15461847389558239</v>
      </c>
      <c r="H6557" t="e" cm="1" vm="1">
        <f t="array" aca="1" ref="H6557" ca="1">VLOOKUP(Cpi_[[#This Row],[Year]:[Month]],crudeoil[],3,FALSE)</f>
        <v>#VALUE!</v>
      </c>
    </row>
    <row r="6558" spans="1:8" hidden="1" x14ac:dyDescent="0.3">
      <c r="A6558" t="s">
        <v>34</v>
      </c>
      <c r="B6558">
        <v>2019</v>
      </c>
      <c r="C6558" t="s">
        <v>43</v>
      </c>
      <c r="D6558" t="s">
        <v>25</v>
      </c>
      <c r="E6558" t="e">
        <f>VLOOKUP(Cpi_[[#This Row],[Attribute]],#REF!,2,FALSE)</f>
        <v>#REF!</v>
      </c>
      <c r="F6558">
        <v>141.69999999999999</v>
      </c>
      <c r="G6558">
        <f>(Cpi_[[#This Row],[Value]]-F6557)/F6557</f>
        <v>0.12193190815518599</v>
      </c>
      <c r="H6558" t="e" cm="1" vm="1">
        <f t="array" aca="1" ref="H6558" ca="1">VLOOKUP(Cpi_[[#This Row],[Year]:[Month]],crudeoil[],3,FALSE)</f>
        <v>#VALUE!</v>
      </c>
    </row>
    <row r="6559" spans="1:8" hidden="1" x14ac:dyDescent="0.3">
      <c r="A6559" t="s">
        <v>34</v>
      </c>
      <c r="B6559">
        <v>2019</v>
      </c>
      <c r="C6559" t="s">
        <v>43</v>
      </c>
      <c r="D6559" t="s">
        <v>26</v>
      </c>
      <c r="E6559" t="e">
        <f>VLOOKUP(Cpi_[[#This Row],[Attribute]],#REF!,2,FALSE)</f>
        <v>#REF!</v>
      </c>
      <c r="F6559">
        <v>155.4</v>
      </c>
      <c r="G6559">
        <f>(Cpi_[[#This Row],[Value]]-F6558)/F6558</f>
        <v>9.6683133380381217E-2</v>
      </c>
      <c r="H6559" t="e" cm="1" vm="1">
        <f t="array" aca="1" ref="H6559" ca="1">VLOOKUP(Cpi_[[#This Row],[Year]:[Month]],crudeoil[],3,FALSE)</f>
        <v>#VALUE!</v>
      </c>
    </row>
    <row r="6560" spans="1:8" hidden="1" x14ac:dyDescent="0.3">
      <c r="A6560" t="s">
        <v>34</v>
      </c>
      <c r="B6560">
        <v>2019</v>
      </c>
      <c r="C6560" t="s">
        <v>43</v>
      </c>
      <c r="D6560" t="s">
        <v>27</v>
      </c>
      <c r="E6560" t="e">
        <f>VLOOKUP(Cpi_[[#This Row],[Attribute]],#REF!,2,FALSE)</f>
        <v>#REF!</v>
      </c>
      <c r="F6560">
        <v>140</v>
      </c>
      <c r="G6560">
        <f>(Cpi_[[#This Row],[Value]]-F6559)/F6559</f>
        <v>-9.9099099099099128E-2</v>
      </c>
      <c r="H6560" t="e" cm="1" vm="1">
        <f t="array" aca="1" ref="H6560" ca="1">VLOOKUP(Cpi_[[#This Row],[Year]:[Month]],crudeoil[],3,FALSE)</f>
        <v>#VALUE!</v>
      </c>
    </row>
    <row r="6561" spans="1:8" hidden="1" x14ac:dyDescent="0.3">
      <c r="A6561" t="s">
        <v>34</v>
      </c>
      <c r="B6561">
        <v>2019</v>
      </c>
      <c r="C6561" t="s">
        <v>43</v>
      </c>
      <c r="D6561" t="s">
        <v>28</v>
      </c>
      <c r="E6561" t="e">
        <f>VLOOKUP(Cpi_[[#This Row],[Attribute]],#REF!,2,FALSE)</f>
        <v>#REF!</v>
      </c>
      <c r="F6561">
        <v>141</v>
      </c>
      <c r="G6561">
        <f>(Cpi_[[#This Row],[Value]]-F6560)/F6560</f>
        <v>7.1428571428571426E-3</v>
      </c>
      <c r="H6561" t="e" cm="1" vm="1">
        <f t="array" aca="1" ref="H6561" ca="1">VLOOKUP(Cpi_[[#This Row],[Year]:[Month]],crudeoil[],3,FALSE)</f>
        <v>#VALUE!</v>
      </c>
    </row>
    <row r="6562" spans="1:8" hidden="1" x14ac:dyDescent="0.3">
      <c r="A6562" t="s">
        <v>34</v>
      </c>
      <c r="B6562">
        <v>2019</v>
      </c>
      <c r="C6562" t="s">
        <v>43</v>
      </c>
      <c r="D6562" t="s">
        <v>29</v>
      </c>
      <c r="E6562" t="e" cm="1">
        <f t="array" aca="1" ref="E6562" ca="1">VLGeneral indexGeneral indexKUP(Cpi_[[#This Row],[Attribute]],#REF!,2,FALSE)</f>
        <v>#NAME?</v>
      </c>
      <c r="F6562">
        <v>147.19999999999999</v>
      </c>
      <c r="G6562">
        <f>(Cpi_[[#This Row],[Value]]-F6561)/F6561</f>
        <v>4.3971631205673677E-2</v>
      </c>
      <c r="H6562" t="e" cm="1" vm="1">
        <f t="array" aca="1" ref="H6562" ca="1">VLOOKUP(Cpi_[[#This Row],[Year]:[Month]],crudeoil[],3,FALSE)</f>
        <v>#VALUE!</v>
      </c>
    </row>
    <row r="6563" spans="1:8" hidden="1" x14ac:dyDescent="0.3">
      <c r="A6563" t="s">
        <v>30</v>
      </c>
      <c r="B6563">
        <v>2019</v>
      </c>
      <c r="C6563" t="s">
        <v>45</v>
      </c>
      <c r="D6563" t="s">
        <v>3</v>
      </c>
      <c r="E6563" t="e">
        <f>VLOOKUP(Cpi_[[#This Row],[Attribute]],#REF!,2,FALSE)</f>
        <v>#REF!</v>
      </c>
      <c r="F6563">
        <v>141.80000000000001</v>
      </c>
      <c r="G6563">
        <f>(Cpi_[[#This Row],[Value]]-F6562)/F6562</f>
        <v>-3.6684782608695503E-2</v>
      </c>
      <c r="H6563" t="e" cm="1" vm="1">
        <f t="array" aca="1" ref="H6563" ca="1">VLOOKUP(Cpi_[[#This Row],[Year]:[Month]],crudeoil[],3,FALSE)</f>
        <v>#VALUE!</v>
      </c>
    </row>
    <row r="6564" spans="1:8" hidden="1" x14ac:dyDescent="0.3">
      <c r="A6564" t="s">
        <v>30</v>
      </c>
      <c r="B6564">
        <v>2019</v>
      </c>
      <c r="C6564" t="s">
        <v>45</v>
      </c>
      <c r="D6564" t="s">
        <v>4</v>
      </c>
      <c r="E6564" t="e">
        <f>VLOOKUP(Cpi_[[#This Row],[Attribute]],#REF!,2,FALSE)</f>
        <v>#REF!</v>
      </c>
      <c r="F6564">
        <v>163.69999999999999</v>
      </c>
      <c r="G6564">
        <f>(Cpi_[[#This Row],[Value]]-F6563)/F6563</f>
        <v>0.15444287729196032</v>
      </c>
      <c r="H6564" t="e" cm="1" vm="1">
        <f t="array" aca="1" ref="H6564" ca="1">VLOOKUP(Cpi_[[#This Row],[Year]:[Month]],crudeoil[],3,FALSE)</f>
        <v>#VALUE!</v>
      </c>
    </row>
    <row r="6565" spans="1:8" hidden="1" x14ac:dyDescent="0.3">
      <c r="A6565" t="s">
        <v>30</v>
      </c>
      <c r="B6565">
        <v>2019</v>
      </c>
      <c r="C6565" t="s">
        <v>45</v>
      </c>
      <c r="D6565" t="s">
        <v>5</v>
      </c>
      <c r="E6565" t="e">
        <f>VLOOKUP(Cpi_[[#This Row],[Attribute]],#REF!,2,FALSE)</f>
        <v>#REF!</v>
      </c>
      <c r="F6565">
        <v>143.80000000000001</v>
      </c>
      <c r="G6565">
        <f>(Cpi_[[#This Row],[Value]]-F6564)/F6564</f>
        <v>-0.1215638362858887</v>
      </c>
      <c r="H6565" t="e" cm="1" vm="1">
        <f t="array" aca="1" ref="H6565" ca="1">VLOOKUP(Cpi_[[#This Row],[Year]:[Month]],crudeoil[],3,FALSE)</f>
        <v>#VALUE!</v>
      </c>
    </row>
    <row r="6566" spans="1:8" hidden="1" x14ac:dyDescent="0.3">
      <c r="A6566" t="s">
        <v>30</v>
      </c>
      <c r="B6566">
        <v>2019</v>
      </c>
      <c r="C6566" t="s">
        <v>45</v>
      </c>
      <c r="D6566" t="s">
        <v>6</v>
      </c>
      <c r="E6566" t="e">
        <f>VLOOKUP(Cpi_[[#This Row],[Attribute]],#REF!,2,FALSE)</f>
        <v>#REF!</v>
      </c>
      <c r="F6566">
        <v>147.1</v>
      </c>
      <c r="G6566">
        <f>(Cpi_[[#This Row],[Value]]-F6565)/F6565</f>
        <v>2.2948539638386528E-2</v>
      </c>
      <c r="H6566" t="e" cm="1" vm="1">
        <f t="array" aca="1" ref="H6566" ca="1">VLOOKUP(Cpi_[[#This Row],[Year]:[Month]],crudeoil[],3,FALSE)</f>
        <v>#VALUE!</v>
      </c>
    </row>
    <row r="6567" spans="1:8" hidden="1" x14ac:dyDescent="0.3">
      <c r="A6567" t="s">
        <v>30</v>
      </c>
      <c r="B6567">
        <v>2019</v>
      </c>
      <c r="C6567" t="s">
        <v>45</v>
      </c>
      <c r="D6567" t="s">
        <v>7</v>
      </c>
      <c r="E6567" t="e">
        <f>VLOOKUP(Cpi_[[#This Row],[Attribute]],#REF!,2,FALSE)</f>
        <v>#REF!</v>
      </c>
      <c r="F6567">
        <v>126</v>
      </c>
      <c r="G6567">
        <f>(Cpi_[[#This Row],[Value]]-F6566)/F6566</f>
        <v>-0.14343983684568318</v>
      </c>
      <c r="H6567" t="e" cm="1" vm="1">
        <f t="array" aca="1" ref="H6567" ca="1">VLOOKUP(Cpi_[[#This Row],[Year]:[Month]],crudeoil[],3,FALSE)</f>
        <v>#VALUE!</v>
      </c>
    </row>
    <row r="6568" spans="1:8" hidden="1" x14ac:dyDescent="0.3">
      <c r="A6568" t="s">
        <v>30</v>
      </c>
      <c r="B6568">
        <v>2019</v>
      </c>
      <c r="C6568" t="s">
        <v>45</v>
      </c>
      <c r="D6568" t="s">
        <v>8</v>
      </c>
      <c r="E6568" t="e">
        <f>VLOOKUP(Cpi_[[#This Row],[Attribute]],#REF!,2,FALSE)</f>
        <v>#REF!</v>
      </c>
      <c r="F6568">
        <v>146.19999999999999</v>
      </c>
      <c r="G6568">
        <f>(Cpi_[[#This Row],[Value]]-F6567)/F6567</f>
        <v>0.16031746031746022</v>
      </c>
      <c r="H6568" t="e" cm="1" vm="1">
        <f t="array" aca="1" ref="H6568" ca="1">VLOOKUP(Cpi_[[#This Row],[Year]:[Month]],crudeoil[],3,FALSE)</f>
        <v>#VALUE!</v>
      </c>
    </row>
    <row r="6569" spans="1:8" hidden="1" x14ac:dyDescent="0.3">
      <c r="A6569" t="s">
        <v>30</v>
      </c>
      <c r="B6569">
        <v>2019</v>
      </c>
      <c r="C6569" t="s">
        <v>45</v>
      </c>
      <c r="D6569" t="s">
        <v>9</v>
      </c>
      <c r="E6569" t="e">
        <f>VLOOKUP(Cpi_[[#This Row],[Attribute]],#REF!,2,FALSE)</f>
        <v>#REF!</v>
      </c>
      <c r="F6569">
        <v>191.4</v>
      </c>
      <c r="G6569">
        <f>(Cpi_[[#This Row],[Value]]-F6568)/F6568</f>
        <v>0.30916552667578673</v>
      </c>
      <c r="H6569" t="e" cm="1" vm="1">
        <f t="array" aca="1" ref="H6569" ca="1">VLOOKUP(Cpi_[[#This Row],[Year]:[Month]],crudeoil[],3,FALSE)</f>
        <v>#VALUE!</v>
      </c>
    </row>
    <row r="6570" spans="1:8" hidden="1" x14ac:dyDescent="0.3">
      <c r="A6570" t="s">
        <v>30</v>
      </c>
      <c r="B6570">
        <v>2019</v>
      </c>
      <c r="C6570" t="s">
        <v>45</v>
      </c>
      <c r="D6570" t="s">
        <v>10</v>
      </c>
      <c r="E6570" t="e">
        <f>VLOOKUP(Cpi_[[#This Row],[Attribute]],#REF!,2,FALSE)</f>
        <v>#REF!</v>
      </c>
      <c r="F6570">
        <v>136.19999999999999</v>
      </c>
      <c r="G6570">
        <f>(Cpi_[[#This Row],[Value]]-F6569)/F6569</f>
        <v>-0.28840125391849536</v>
      </c>
      <c r="H6570" t="e" cm="1" vm="1">
        <f t="array" aca="1" ref="H6570" ca="1">VLOOKUP(Cpi_[[#This Row],[Year]:[Month]],crudeoil[],3,FALSE)</f>
        <v>#VALUE!</v>
      </c>
    </row>
    <row r="6571" spans="1:8" hidden="1" x14ac:dyDescent="0.3">
      <c r="A6571" t="s">
        <v>30</v>
      </c>
      <c r="B6571">
        <v>2019</v>
      </c>
      <c r="C6571" t="s">
        <v>45</v>
      </c>
      <c r="D6571" t="s">
        <v>11</v>
      </c>
      <c r="E6571" t="e">
        <f>VLOOKUP(Cpi_[[#This Row],[Attribute]],#REF!,2,FALSE)</f>
        <v>#REF!</v>
      </c>
      <c r="F6571">
        <v>113.8</v>
      </c>
      <c r="G6571">
        <f>(Cpi_[[#This Row],[Value]]-F6570)/F6570</f>
        <v>-0.16446402349486045</v>
      </c>
      <c r="H6571" t="e" cm="1" vm="1">
        <f t="array" aca="1" ref="H6571" ca="1">VLOOKUP(Cpi_[[#This Row],[Year]:[Month]],crudeoil[],3,FALSE)</f>
        <v>#VALUE!</v>
      </c>
    </row>
    <row r="6572" spans="1:8" hidden="1" x14ac:dyDescent="0.3">
      <c r="A6572" t="s">
        <v>30</v>
      </c>
      <c r="B6572">
        <v>2019</v>
      </c>
      <c r="C6572" t="s">
        <v>45</v>
      </c>
      <c r="D6572" t="s">
        <v>12</v>
      </c>
      <c r="E6572" t="e">
        <f>VLOOKUP(Cpi_[[#This Row],[Attribute]],#REF!,2,FALSE)</f>
        <v>#REF!</v>
      </c>
      <c r="F6572">
        <v>147.30000000000001</v>
      </c>
      <c r="G6572">
        <f>(Cpi_[[#This Row],[Value]]-F6571)/F6571</f>
        <v>0.29437609841827783</v>
      </c>
      <c r="H6572" t="e" cm="1" vm="1">
        <f t="array" aca="1" ref="H6572" ca="1">VLOOKUP(Cpi_[[#This Row],[Year]:[Month]],crudeoil[],3,FALSE)</f>
        <v>#VALUE!</v>
      </c>
    </row>
    <row r="6573" spans="1:8" hidden="1" x14ac:dyDescent="0.3">
      <c r="A6573" t="s">
        <v>30</v>
      </c>
      <c r="B6573">
        <v>2019</v>
      </c>
      <c r="C6573" t="s">
        <v>45</v>
      </c>
      <c r="D6573" t="s">
        <v>13</v>
      </c>
      <c r="E6573" t="e">
        <f>VLOOKUP(Cpi_[[#This Row],[Attribute]],#REF!,2,FALSE)</f>
        <v>#REF!</v>
      </c>
      <c r="F6573">
        <v>138.69999999999999</v>
      </c>
      <c r="G6573">
        <f>(Cpi_[[#This Row],[Value]]-F6572)/F6572</f>
        <v>-5.8384249830278491E-2</v>
      </c>
      <c r="H6573" t="e" cm="1" vm="1">
        <f t="array" aca="1" ref="H6573" ca="1">VLOOKUP(Cpi_[[#This Row],[Year]:[Month]],crudeoil[],3,FALSE)</f>
        <v>#VALUE!</v>
      </c>
    </row>
    <row r="6574" spans="1:8" hidden="1" x14ac:dyDescent="0.3">
      <c r="A6574" t="s">
        <v>30</v>
      </c>
      <c r="B6574">
        <v>2019</v>
      </c>
      <c r="C6574" t="s">
        <v>45</v>
      </c>
      <c r="D6574" t="s">
        <v>14</v>
      </c>
      <c r="E6574" t="e">
        <f>VLOOKUP(Cpi_[[#This Row],[Attribute]],#REF!,2,FALSE)</f>
        <v>#REF!</v>
      </c>
      <c r="F6574">
        <v>157.69999999999999</v>
      </c>
      <c r="G6574">
        <f>(Cpi_[[#This Row],[Value]]-F6573)/F6573</f>
        <v>0.13698630136986303</v>
      </c>
      <c r="H6574" t="e" cm="1" vm="1">
        <f t="array" aca="1" ref="H6574" ca="1">VLOOKUP(Cpi_[[#This Row],[Year]:[Month]],crudeoil[],3,FALSE)</f>
        <v>#VALUE!</v>
      </c>
    </row>
    <row r="6575" spans="1:8" hidden="1" x14ac:dyDescent="0.3">
      <c r="A6575" t="s">
        <v>30</v>
      </c>
      <c r="B6575">
        <v>2019</v>
      </c>
      <c r="C6575" t="s">
        <v>45</v>
      </c>
      <c r="D6575" t="s">
        <v>15</v>
      </c>
      <c r="E6575" t="e">
        <f>VLOOKUP(Cpi_[[#This Row],[Attribute]],#REF!,2,FALSE)</f>
        <v>#REF!</v>
      </c>
      <c r="F6575">
        <v>150.9</v>
      </c>
      <c r="G6575">
        <f>(Cpi_[[#This Row],[Value]]-F6574)/F6574</f>
        <v>-4.3119847812301736E-2</v>
      </c>
      <c r="H6575" t="e" cm="1" vm="1">
        <f t="array" aca="1" ref="H6575" ca="1">VLOOKUP(Cpi_[[#This Row],[Year]:[Month]],crudeoil[],3,FALSE)</f>
        <v>#VALUE!</v>
      </c>
    </row>
    <row r="6576" spans="1:8" hidden="1" x14ac:dyDescent="0.3">
      <c r="A6576" t="s">
        <v>30</v>
      </c>
      <c r="B6576">
        <v>2019</v>
      </c>
      <c r="C6576" t="s">
        <v>45</v>
      </c>
      <c r="D6576" t="s">
        <v>16</v>
      </c>
      <c r="E6576" t="e">
        <f>VLOOKUP(Cpi_[[#This Row],[Attribute]],#REF!,2,FALSE)</f>
        <v>#REF!</v>
      </c>
      <c r="F6576">
        <v>167.2</v>
      </c>
      <c r="G6576">
        <f>(Cpi_[[#This Row],[Value]]-F6575)/F6575</f>
        <v>0.10801855533465859</v>
      </c>
      <c r="H6576" t="e" cm="1" vm="1">
        <f t="array" aca="1" ref="H6576" ca="1">VLOOKUP(Cpi_[[#This Row],[Year]:[Month]],crudeoil[],3,FALSE)</f>
        <v>#VALUE!</v>
      </c>
    </row>
    <row r="6577" spans="1:8" hidden="1" x14ac:dyDescent="0.3">
      <c r="A6577" t="s">
        <v>30</v>
      </c>
      <c r="B6577">
        <v>2019</v>
      </c>
      <c r="C6577" t="s">
        <v>45</v>
      </c>
      <c r="D6577" t="s">
        <v>17</v>
      </c>
      <c r="E6577" t="e">
        <f>VLOOKUP(Cpi_[[#This Row],[Attribute]],#REF!,2,FALSE)</f>
        <v>#REF!</v>
      </c>
      <c r="F6577">
        <v>152.30000000000001</v>
      </c>
      <c r="G6577">
        <f>(Cpi_[[#This Row],[Value]]-F6576)/F6576</f>
        <v>-8.9114832535885036E-2</v>
      </c>
      <c r="H6577" t="e" cm="1" vm="1">
        <f t="array" aca="1" ref="H6577" ca="1">VLOOKUP(Cpi_[[#This Row],[Year]:[Month]],crudeoil[],3,FALSE)</f>
        <v>#VALUE!</v>
      </c>
    </row>
    <row r="6578" spans="1:8" hidden="1" x14ac:dyDescent="0.3">
      <c r="A6578" t="s">
        <v>30</v>
      </c>
      <c r="B6578">
        <v>2019</v>
      </c>
      <c r="C6578" t="s">
        <v>45</v>
      </c>
      <c r="D6578" t="s">
        <v>18</v>
      </c>
      <c r="E6578" t="e">
        <f>VLOOKUP(Cpi_[[#This Row],[Attribute]],#REF!,2,FALSE)</f>
        <v>#REF!</v>
      </c>
      <c r="F6578">
        <v>147</v>
      </c>
      <c r="G6578">
        <f>(Cpi_[[#This Row],[Value]]-F6577)/F6577</f>
        <v>-3.4799737360472822E-2</v>
      </c>
      <c r="H6578" t="e" cm="1" vm="1">
        <f t="array" aca="1" ref="H6578" ca="1">VLOOKUP(Cpi_[[#This Row],[Year]:[Month]],crudeoil[],3,FALSE)</f>
        <v>#VALUE!</v>
      </c>
    </row>
    <row r="6579" spans="1:8" hidden="1" x14ac:dyDescent="0.3">
      <c r="A6579" t="s">
        <v>30</v>
      </c>
      <c r="B6579">
        <v>2019</v>
      </c>
      <c r="C6579" t="s">
        <v>45</v>
      </c>
      <c r="D6579" t="s">
        <v>19</v>
      </c>
      <c r="E6579" t="e">
        <f>VLOOKUP(Cpi_[[#This Row],[Attribute]],#REF!,2,FALSE)</f>
        <v>#REF!</v>
      </c>
      <c r="F6579">
        <v>151.5</v>
      </c>
      <c r="G6579">
        <f>(Cpi_[[#This Row],[Value]]-F6578)/F6578</f>
        <v>3.0612244897959183E-2</v>
      </c>
      <c r="H6579" t="e" cm="1" vm="1">
        <f t="array" aca="1" ref="H6579" ca="1">VLOOKUP(Cpi_[[#This Row],[Year]:[Month]],crudeoil[],3,FALSE)</f>
        <v>#VALUE!</v>
      </c>
    </row>
    <row r="6580" spans="1:8" hidden="1" x14ac:dyDescent="0.3">
      <c r="A6580" t="s">
        <v>30</v>
      </c>
      <c r="B6580">
        <v>2019</v>
      </c>
      <c r="C6580" t="s">
        <v>45</v>
      </c>
      <c r="D6580" t="s">
        <v>20</v>
      </c>
      <c r="E6580" t="e">
        <f>VLOOKUP(Cpi_[[#This Row],[Attribute]],#REF!,2,FALSE)</f>
        <v>#REF!</v>
      </c>
      <c r="F6580" t="s">
        <v>32</v>
      </c>
      <c r="G6580" t="e">
        <f>(Cpi_[[#This Row],[Value]]-F6579)/F6579</f>
        <v>#VALUE!</v>
      </c>
      <c r="H6580" t="e" cm="1" vm="1">
        <f t="array" aca="1" ref="H6580" ca="1">VLOOKUP(Cpi_[[#This Row],[Year]:[Month]],crudeoil[],3,FALSE)</f>
        <v>#VALUE!</v>
      </c>
    </row>
    <row r="6581" spans="1:8" hidden="1" x14ac:dyDescent="0.3">
      <c r="A6581" t="s">
        <v>30</v>
      </c>
      <c r="B6581">
        <v>2019</v>
      </c>
      <c r="C6581" t="s">
        <v>45</v>
      </c>
      <c r="D6581" t="s">
        <v>21</v>
      </c>
      <c r="E6581" t="e">
        <f>VLOOKUP(Cpi_[[#This Row],[Attribute]],#REF!,2,FALSE)</f>
        <v>#REF!</v>
      </c>
      <c r="F6581">
        <v>148.4</v>
      </c>
      <c r="G6581" t="e">
        <f>(Cpi_[[#This Row],[Value]]-F6580)/F6580</f>
        <v>#VALUE!</v>
      </c>
      <c r="H6581" t="e" cm="1" vm="1">
        <f t="array" aca="1" ref="H6581" ca="1">VLOOKUP(Cpi_[[#This Row],[Year]:[Month]],crudeoil[],3,FALSE)</f>
        <v>#VALUE!</v>
      </c>
    </row>
    <row r="6582" spans="1:8" hidden="1" x14ac:dyDescent="0.3">
      <c r="A6582" t="s">
        <v>30</v>
      </c>
      <c r="B6582">
        <v>2019</v>
      </c>
      <c r="C6582" t="s">
        <v>45</v>
      </c>
      <c r="D6582" t="s">
        <v>22</v>
      </c>
      <c r="E6582" t="e">
        <f>VLOOKUP(Cpi_[[#This Row],[Attribute]],#REF!,2,FALSE)</f>
        <v>#REF!</v>
      </c>
      <c r="F6582">
        <v>150.9</v>
      </c>
      <c r="G6582">
        <f>(Cpi_[[#This Row],[Value]]-F6581)/F6581</f>
        <v>1.6846361185983826E-2</v>
      </c>
      <c r="H6582" t="e" cm="1" vm="1">
        <f t="array" aca="1" ref="H6582" ca="1">VLOOKUP(Cpi_[[#This Row],[Year]:[Month]],crudeoil[],3,FALSE)</f>
        <v>#VALUE!</v>
      </c>
    </row>
    <row r="6583" spans="1:8" hidden="1" x14ac:dyDescent="0.3">
      <c r="A6583" t="s">
        <v>30</v>
      </c>
      <c r="B6583">
        <v>2019</v>
      </c>
      <c r="C6583" t="s">
        <v>45</v>
      </c>
      <c r="D6583" t="s">
        <v>23</v>
      </c>
      <c r="E6583" t="e">
        <f>VLOOKUP(Cpi_[[#This Row],[Attribute]],#REF!,2,FALSE)</f>
        <v>#REF!</v>
      </c>
      <c r="F6583">
        <v>154.30000000000001</v>
      </c>
      <c r="G6583">
        <f>(Cpi_[[#This Row],[Value]]-F6582)/F6582</f>
        <v>2.25314777998675E-2</v>
      </c>
      <c r="H6583" t="e" cm="1" vm="1">
        <f t="array" aca="1" ref="H6583" ca="1">VLOOKUP(Cpi_[[#This Row],[Year]:[Month]],crudeoil[],3,FALSE)</f>
        <v>#VALUE!</v>
      </c>
    </row>
    <row r="6584" spans="1:8" hidden="1" x14ac:dyDescent="0.3">
      <c r="A6584" t="s">
        <v>30</v>
      </c>
      <c r="B6584">
        <v>2019</v>
      </c>
      <c r="C6584" t="s">
        <v>45</v>
      </c>
      <c r="D6584" t="s">
        <v>24</v>
      </c>
      <c r="E6584" t="e">
        <f>VLOOKUP(Cpi_[[#This Row],[Attribute]],#REF!,2,FALSE)</f>
        <v>#REF!</v>
      </c>
      <c r="F6584">
        <v>132.1</v>
      </c>
      <c r="G6584">
        <f>(Cpi_[[#This Row],[Value]]-F6583)/F6583</f>
        <v>-0.1438755670771226</v>
      </c>
      <c r="H6584" t="e" cm="1" vm="1">
        <f t="array" aca="1" ref="H6584" ca="1">VLOOKUP(Cpi_[[#This Row],[Year]:[Month]],crudeoil[],3,FALSE)</f>
        <v>#VALUE!</v>
      </c>
    </row>
    <row r="6585" spans="1:8" hidden="1" x14ac:dyDescent="0.3">
      <c r="A6585" t="s">
        <v>30</v>
      </c>
      <c r="B6585">
        <v>2019</v>
      </c>
      <c r="C6585" t="s">
        <v>45</v>
      </c>
      <c r="D6585" t="s">
        <v>25</v>
      </c>
      <c r="E6585" t="e">
        <f>VLOOKUP(Cpi_[[#This Row],[Attribute]],#REF!,2,FALSE)</f>
        <v>#REF!</v>
      </c>
      <c r="F6585">
        <v>149.1</v>
      </c>
      <c r="G6585">
        <f>(Cpi_[[#This Row],[Value]]-F6584)/F6584</f>
        <v>0.12869038607115821</v>
      </c>
      <c r="H6585" t="e" cm="1" vm="1">
        <f t="array" aca="1" ref="H6585" ca="1">VLOOKUP(Cpi_[[#This Row],[Year]:[Month]],crudeoil[],3,FALSE)</f>
        <v>#VALUE!</v>
      </c>
    </row>
    <row r="6586" spans="1:8" hidden="1" x14ac:dyDescent="0.3">
      <c r="A6586" t="s">
        <v>30</v>
      </c>
      <c r="B6586">
        <v>2019</v>
      </c>
      <c r="C6586" t="s">
        <v>45</v>
      </c>
      <c r="D6586" t="s">
        <v>26</v>
      </c>
      <c r="E6586" t="e">
        <f>VLOOKUP(Cpi_[[#This Row],[Attribute]],#REF!,2,FALSE)</f>
        <v>#REF!</v>
      </c>
      <c r="F6586">
        <v>160.80000000000001</v>
      </c>
      <c r="G6586">
        <f>(Cpi_[[#This Row],[Value]]-F6585)/F6585</f>
        <v>7.8470824949698301E-2</v>
      </c>
      <c r="H6586" t="e" cm="1" vm="1">
        <f t="array" aca="1" ref="H6586" ca="1">VLOOKUP(Cpi_[[#This Row],[Year]:[Month]],crudeoil[],3,FALSE)</f>
        <v>#VALUE!</v>
      </c>
    </row>
    <row r="6587" spans="1:8" hidden="1" x14ac:dyDescent="0.3">
      <c r="A6587" t="s">
        <v>30</v>
      </c>
      <c r="B6587">
        <v>2019</v>
      </c>
      <c r="C6587" t="s">
        <v>45</v>
      </c>
      <c r="D6587" t="s">
        <v>27</v>
      </c>
      <c r="E6587" t="e">
        <f>VLOOKUP(Cpi_[[#This Row],[Attribute]],#REF!,2,FALSE)</f>
        <v>#REF!</v>
      </c>
      <c r="F6587">
        <v>140.6</v>
      </c>
      <c r="G6587">
        <f>(Cpi_[[#This Row],[Value]]-F6586)/F6586</f>
        <v>-0.12562189054726378</v>
      </c>
      <c r="H6587" t="e" cm="1" vm="1">
        <f t="array" aca="1" ref="H6587" ca="1">VLOOKUP(Cpi_[[#This Row],[Year]:[Month]],crudeoil[],3,FALSE)</f>
        <v>#VALUE!</v>
      </c>
    </row>
    <row r="6588" spans="1:8" hidden="1" x14ac:dyDescent="0.3">
      <c r="A6588" t="s">
        <v>30</v>
      </c>
      <c r="B6588">
        <v>2019</v>
      </c>
      <c r="C6588" t="s">
        <v>45</v>
      </c>
      <c r="D6588" t="s">
        <v>28</v>
      </c>
      <c r="E6588" t="e">
        <f>VLOOKUP(Cpi_[[#This Row],[Attribute]],#REF!,2,FALSE)</f>
        <v>#REF!</v>
      </c>
      <c r="F6588">
        <v>146.1</v>
      </c>
      <c r="G6588">
        <f>(Cpi_[[#This Row],[Value]]-F6587)/F6587</f>
        <v>3.9118065433854911E-2</v>
      </c>
      <c r="H6588" t="e" cm="1" vm="1">
        <f t="array" aca="1" ref="H6588" ca="1">VLOOKUP(Cpi_[[#This Row],[Year]:[Month]],crudeoil[],3,FALSE)</f>
        <v>#VALUE!</v>
      </c>
    </row>
    <row r="6589" spans="1:8" hidden="1" x14ac:dyDescent="0.3">
      <c r="A6589" t="s">
        <v>30</v>
      </c>
      <c r="B6589">
        <v>2019</v>
      </c>
      <c r="C6589" t="s">
        <v>45</v>
      </c>
      <c r="D6589" t="s">
        <v>29</v>
      </c>
      <c r="E6589" t="e" cm="1">
        <f t="array" aca="1" ref="E6589" ca="1">VLGeneral indexGeneral indexKUP(Cpi_[[#This Row],[Attribute]],#REF!,2,FALSE)</f>
        <v>#NAME?</v>
      </c>
      <c r="F6589">
        <v>149.9</v>
      </c>
      <c r="G6589">
        <f>(Cpi_[[#This Row],[Value]]-F6588)/F6588</f>
        <v>2.600958247775504E-2</v>
      </c>
      <c r="H6589" t="e" cm="1" vm="1">
        <f t="array" aca="1" ref="H6589" ca="1">VLOOKUP(Cpi_[[#This Row],[Year]:[Month]],crudeoil[],3,FALSE)</f>
        <v>#VALUE!</v>
      </c>
    </row>
    <row r="6590" spans="1:8" hidden="1" x14ac:dyDescent="0.3">
      <c r="A6590" t="s">
        <v>33</v>
      </c>
      <c r="B6590">
        <v>2019</v>
      </c>
      <c r="C6590" t="s">
        <v>45</v>
      </c>
      <c r="D6590" t="s">
        <v>3</v>
      </c>
      <c r="E6590" t="e">
        <f>VLOOKUP(Cpi_[[#This Row],[Attribute]],#REF!,2,FALSE)</f>
        <v>#REF!</v>
      </c>
      <c r="F6590">
        <v>144.1</v>
      </c>
      <c r="G6590">
        <f>(Cpi_[[#This Row],[Value]]-F6589)/F6589</f>
        <v>-3.869246164109414E-2</v>
      </c>
      <c r="H6590" t="e" cm="1" vm="1">
        <f t="array" aca="1" ref="H6590" ca="1">VLOOKUP(Cpi_[[#This Row],[Year]:[Month]],crudeoil[],3,FALSE)</f>
        <v>#VALUE!</v>
      </c>
    </row>
    <row r="6591" spans="1:8" hidden="1" x14ac:dyDescent="0.3">
      <c r="A6591" t="s">
        <v>33</v>
      </c>
      <c r="B6591">
        <v>2019</v>
      </c>
      <c r="C6591" t="s">
        <v>45</v>
      </c>
      <c r="D6591" t="s">
        <v>4</v>
      </c>
      <c r="E6591" t="e">
        <f>VLOOKUP(Cpi_[[#This Row],[Attribute]],#REF!,2,FALSE)</f>
        <v>#REF!</v>
      </c>
      <c r="F6591">
        <v>162.4</v>
      </c>
      <c r="G6591">
        <f>(Cpi_[[#This Row],[Value]]-F6590)/F6590</f>
        <v>0.12699514226231792</v>
      </c>
      <c r="H6591" t="e" cm="1" vm="1">
        <f t="array" aca="1" ref="H6591" ca="1">VLOOKUP(Cpi_[[#This Row],[Year]:[Month]],crudeoil[],3,FALSE)</f>
        <v>#VALUE!</v>
      </c>
    </row>
    <row r="6592" spans="1:8" hidden="1" x14ac:dyDescent="0.3">
      <c r="A6592" t="s">
        <v>33</v>
      </c>
      <c r="B6592">
        <v>2019</v>
      </c>
      <c r="C6592" t="s">
        <v>45</v>
      </c>
      <c r="D6592" t="s">
        <v>5</v>
      </c>
      <c r="E6592" t="e">
        <f>VLOOKUP(Cpi_[[#This Row],[Attribute]],#REF!,2,FALSE)</f>
        <v>#REF!</v>
      </c>
      <c r="F6592">
        <v>148.4</v>
      </c>
      <c r="G6592">
        <f>(Cpi_[[#This Row],[Value]]-F6591)/F6591</f>
        <v>-8.620689655172413E-2</v>
      </c>
      <c r="H6592" t="e" cm="1" vm="1">
        <f t="array" aca="1" ref="H6592" ca="1">VLOOKUP(Cpi_[[#This Row],[Year]:[Month]],crudeoil[],3,FALSE)</f>
        <v>#VALUE!</v>
      </c>
    </row>
    <row r="6593" spans="1:8" hidden="1" x14ac:dyDescent="0.3">
      <c r="A6593" t="s">
        <v>33</v>
      </c>
      <c r="B6593">
        <v>2019</v>
      </c>
      <c r="C6593" t="s">
        <v>45</v>
      </c>
      <c r="D6593" t="s">
        <v>6</v>
      </c>
      <c r="E6593" t="e">
        <f>VLOOKUP(Cpi_[[#This Row],[Attribute]],#REF!,2,FALSE)</f>
        <v>#REF!</v>
      </c>
      <c r="F6593">
        <v>145.9</v>
      </c>
      <c r="G6593">
        <f>(Cpi_[[#This Row],[Value]]-F6592)/F6592</f>
        <v>-1.6846361185983826E-2</v>
      </c>
      <c r="H6593" t="e" cm="1" vm="1">
        <f t="array" aca="1" ref="H6593" ca="1">VLOOKUP(Cpi_[[#This Row],[Year]:[Month]],crudeoil[],3,FALSE)</f>
        <v>#VALUE!</v>
      </c>
    </row>
    <row r="6594" spans="1:8" hidden="1" x14ac:dyDescent="0.3">
      <c r="A6594" t="s">
        <v>33</v>
      </c>
      <c r="B6594">
        <v>2019</v>
      </c>
      <c r="C6594" t="s">
        <v>45</v>
      </c>
      <c r="D6594" t="s">
        <v>7</v>
      </c>
      <c r="E6594" t="e">
        <f>VLOOKUP(Cpi_[[#This Row],[Attribute]],#REF!,2,FALSE)</f>
        <v>#REF!</v>
      </c>
      <c r="F6594">
        <v>121.5</v>
      </c>
      <c r="G6594">
        <f>(Cpi_[[#This Row],[Value]]-F6593)/F6593</f>
        <v>-0.16723783413296781</v>
      </c>
      <c r="H6594" t="e" cm="1" vm="1">
        <f t="array" aca="1" ref="H6594" ca="1">VLOOKUP(Cpi_[[#This Row],[Year]:[Month]],crudeoil[],3,FALSE)</f>
        <v>#VALUE!</v>
      </c>
    </row>
    <row r="6595" spans="1:8" hidden="1" x14ac:dyDescent="0.3">
      <c r="A6595" t="s">
        <v>33</v>
      </c>
      <c r="B6595">
        <v>2019</v>
      </c>
      <c r="C6595" t="s">
        <v>45</v>
      </c>
      <c r="D6595" t="s">
        <v>8</v>
      </c>
      <c r="E6595" t="e">
        <f>VLOOKUP(Cpi_[[#This Row],[Attribute]],#REF!,2,FALSE)</f>
        <v>#REF!</v>
      </c>
      <c r="F6595">
        <v>148.80000000000001</v>
      </c>
      <c r="G6595">
        <f>(Cpi_[[#This Row],[Value]]-F6594)/F6594</f>
        <v>0.22469135802469145</v>
      </c>
      <c r="H6595" t="e" cm="1" vm="1">
        <f t="array" aca="1" ref="H6595" ca="1">VLOOKUP(Cpi_[[#This Row],[Year]:[Month]],crudeoil[],3,FALSE)</f>
        <v>#VALUE!</v>
      </c>
    </row>
    <row r="6596" spans="1:8" hidden="1" x14ac:dyDescent="0.3">
      <c r="A6596" t="s">
        <v>33</v>
      </c>
      <c r="B6596">
        <v>2019</v>
      </c>
      <c r="C6596" t="s">
        <v>45</v>
      </c>
      <c r="D6596" t="s">
        <v>9</v>
      </c>
      <c r="E6596" t="e">
        <f>VLOOKUP(Cpi_[[#This Row],[Attribute]],#REF!,2,FALSE)</f>
        <v>#REF!</v>
      </c>
      <c r="F6596">
        <v>215.7</v>
      </c>
      <c r="G6596">
        <f>(Cpi_[[#This Row],[Value]]-F6595)/F6595</f>
        <v>0.44959677419354821</v>
      </c>
      <c r="H6596" t="e" cm="1" vm="1">
        <f t="array" aca="1" ref="H6596" ca="1">VLOOKUP(Cpi_[[#This Row],[Year]:[Month]],crudeoil[],3,FALSE)</f>
        <v>#VALUE!</v>
      </c>
    </row>
    <row r="6597" spans="1:8" hidden="1" x14ac:dyDescent="0.3">
      <c r="A6597" t="s">
        <v>33</v>
      </c>
      <c r="B6597">
        <v>2019</v>
      </c>
      <c r="C6597" t="s">
        <v>45</v>
      </c>
      <c r="D6597" t="s">
        <v>10</v>
      </c>
      <c r="E6597" t="e">
        <f>VLOOKUP(Cpi_[[#This Row],[Attribute]],#REF!,2,FALSE)</f>
        <v>#REF!</v>
      </c>
      <c r="F6597">
        <v>134.6</v>
      </c>
      <c r="G6597">
        <f>(Cpi_[[#This Row],[Value]]-F6596)/F6596</f>
        <v>-0.37598516458043579</v>
      </c>
      <c r="H6597" t="e" cm="1" vm="1">
        <f t="array" aca="1" ref="H6597" ca="1">VLOOKUP(Cpi_[[#This Row],[Year]:[Month]],crudeoil[],3,FALSE)</f>
        <v>#VALUE!</v>
      </c>
    </row>
    <row r="6598" spans="1:8" hidden="1" x14ac:dyDescent="0.3">
      <c r="A6598" t="s">
        <v>33</v>
      </c>
      <c r="B6598">
        <v>2019</v>
      </c>
      <c r="C6598" t="s">
        <v>45</v>
      </c>
      <c r="D6598" t="s">
        <v>11</v>
      </c>
      <c r="E6598" t="e">
        <f>VLOOKUP(Cpi_[[#This Row],[Attribute]],#REF!,2,FALSE)</f>
        <v>#REF!</v>
      </c>
      <c r="F6598">
        <v>115</v>
      </c>
      <c r="G6598">
        <f>(Cpi_[[#This Row],[Value]]-F6597)/F6597</f>
        <v>-0.1456166419019316</v>
      </c>
      <c r="H6598" t="e" cm="1" vm="1">
        <f t="array" aca="1" ref="H6598" ca="1">VLOOKUP(Cpi_[[#This Row],[Year]:[Month]],crudeoil[],3,FALSE)</f>
        <v>#VALUE!</v>
      </c>
    </row>
    <row r="6599" spans="1:8" hidden="1" x14ac:dyDescent="0.3">
      <c r="A6599" t="s">
        <v>33</v>
      </c>
      <c r="B6599">
        <v>2019</v>
      </c>
      <c r="C6599" t="s">
        <v>45</v>
      </c>
      <c r="D6599" t="s">
        <v>12</v>
      </c>
      <c r="E6599" t="e">
        <f>VLOOKUP(Cpi_[[#This Row],[Attribute]],#REF!,2,FALSE)</f>
        <v>#REF!</v>
      </c>
      <c r="F6599">
        <v>146.30000000000001</v>
      </c>
      <c r="G6599">
        <f>(Cpi_[[#This Row],[Value]]-F6598)/F6598</f>
        <v>0.27217391304347838</v>
      </c>
      <c r="H6599" t="e" cm="1" vm="1">
        <f t="array" aca="1" ref="H6599" ca="1">VLOOKUP(Cpi_[[#This Row],[Year]:[Month]],crudeoil[],3,FALSE)</f>
        <v>#VALUE!</v>
      </c>
    </row>
    <row r="6600" spans="1:8" hidden="1" x14ac:dyDescent="0.3">
      <c r="A6600" t="s">
        <v>33</v>
      </c>
      <c r="B6600">
        <v>2019</v>
      </c>
      <c r="C6600" t="s">
        <v>45</v>
      </c>
      <c r="D6600" t="s">
        <v>13</v>
      </c>
      <c r="E6600" t="e">
        <f>VLOOKUP(Cpi_[[#This Row],[Attribute]],#REF!,2,FALSE)</f>
        <v>#REF!</v>
      </c>
      <c r="F6600">
        <v>130.5</v>
      </c>
      <c r="G6600">
        <f>(Cpi_[[#This Row],[Value]]-F6599)/F6599</f>
        <v>-0.1079972658920028</v>
      </c>
      <c r="H6600" t="e" cm="1" vm="1">
        <f t="array" aca="1" ref="H6600" ca="1">VLOOKUP(Cpi_[[#This Row],[Year]:[Month]],crudeoil[],3,FALSE)</f>
        <v>#VALUE!</v>
      </c>
    </row>
    <row r="6601" spans="1:8" hidden="1" x14ac:dyDescent="0.3">
      <c r="A6601" t="s">
        <v>33</v>
      </c>
      <c r="B6601">
        <v>2019</v>
      </c>
      <c r="C6601" t="s">
        <v>45</v>
      </c>
      <c r="D6601" t="s">
        <v>14</v>
      </c>
      <c r="E6601" t="e">
        <f>VLOOKUP(Cpi_[[#This Row],[Attribute]],#REF!,2,FALSE)</f>
        <v>#REF!</v>
      </c>
      <c r="F6601">
        <v>157.19999999999999</v>
      </c>
      <c r="G6601">
        <f>(Cpi_[[#This Row],[Value]]-F6600)/F6600</f>
        <v>0.20459770114942519</v>
      </c>
      <c r="H6601" t="e" cm="1" vm="1">
        <f t="array" aca="1" ref="H6601" ca="1">VLOOKUP(Cpi_[[#This Row],[Year]:[Month]],crudeoil[],3,FALSE)</f>
        <v>#VALUE!</v>
      </c>
    </row>
    <row r="6602" spans="1:8" hidden="1" x14ac:dyDescent="0.3">
      <c r="A6602" t="s">
        <v>33</v>
      </c>
      <c r="B6602">
        <v>2019</v>
      </c>
      <c r="C6602" t="s">
        <v>45</v>
      </c>
      <c r="D6602" t="s">
        <v>15</v>
      </c>
      <c r="E6602" t="e">
        <f>VLOOKUP(Cpi_[[#This Row],[Attribute]],#REF!,2,FALSE)</f>
        <v>#REF!</v>
      </c>
      <c r="F6602">
        <v>153.6</v>
      </c>
      <c r="G6602">
        <f>(Cpi_[[#This Row],[Value]]-F6601)/F6601</f>
        <v>-2.2900763358778591E-2</v>
      </c>
      <c r="H6602" t="e" cm="1" vm="1">
        <f t="array" aca="1" ref="H6602" ca="1">VLOOKUP(Cpi_[[#This Row],[Year]:[Month]],crudeoil[],3,FALSE)</f>
        <v>#VALUE!</v>
      </c>
    </row>
    <row r="6603" spans="1:8" hidden="1" x14ac:dyDescent="0.3">
      <c r="A6603" t="s">
        <v>33</v>
      </c>
      <c r="B6603">
        <v>2019</v>
      </c>
      <c r="C6603" t="s">
        <v>45</v>
      </c>
      <c r="D6603" t="s">
        <v>16</v>
      </c>
      <c r="E6603" t="e">
        <f>VLOOKUP(Cpi_[[#This Row],[Attribute]],#REF!,2,FALSE)</f>
        <v>#REF!</v>
      </c>
      <c r="F6603">
        <v>169.9</v>
      </c>
      <c r="G6603">
        <f>(Cpi_[[#This Row],[Value]]-F6602)/F6602</f>
        <v>0.10611979166666674</v>
      </c>
      <c r="H6603" t="e" cm="1" vm="1">
        <f t="array" aca="1" ref="H6603" ca="1">VLOOKUP(Cpi_[[#This Row],[Year]:[Month]],crudeoil[],3,FALSE)</f>
        <v>#VALUE!</v>
      </c>
    </row>
    <row r="6604" spans="1:8" hidden="1" x14ac:dyDescent="0.3">
      <c r="A6604" t="s">
        <v>33</v>
      </c>
      <c r="B6604">
        <v>2019</v>
      </c>
      <c r="C6604" t="s">
        <v>45</v>
      </c>
      <c r="D6604" t="s">
        <v>17</v>
      </c>
      <c r="E6604" t="e">
        <f>VLOOKUP(Cpi_[[#This Row],[Attribute]],#REF!,2,FALSE)</f>
        <v>#REF!</v>
      </c>
      <c r="F6604">
        <v>146.30000000000001</v>
      </c>
      <c r="G6604">
        <f>(Cpi_[[#This Row],[Value]]-F6603)/F6603</f>
        <v>-0.13890523837551497</v>
      </c>
      <c r="H6604" t="e" cm="1" vm="1">
        <f t="array" aca="1" ref="H6604" ca="1">VLOOKUP(Cpi_[[#This Row],[Year]:[Month]],crudeoil[],3,FALSE)</f>
        <v>#VALUE!</v>
      </c>
    </row>
    <row r="6605" spans="1:8" hidden="1" x14ac:dyDescent="0.3">
      <c r="A6605" t="s">
        <v>33</v>
      </c>
      <c r="B6605">
        <v>2019</v>
      </c>
      <c r="C6605" t="s">
        <v>45</v>
      </c>
      <c r="D6605" t="s">
        <v>18</v>
      </c>
      <c r="E6605" t="e">
        <f>VLOOKUP(Cpi_[[#This Row],[Attribute]],#REF!,2,FALSE)</f>
        <v>#REF!</v>
      </c>
      <c r="F6605">
        <v>132.6</v>
      </c>
      <c r="G6605">
        <f>(Cpi_[[#This Row],[Value]]-F6604)/F6604</f>
        <v>-9.3643198906356917E-2</v>
      </c>
      <c r="H6605" t="e" cm="1" vm="1">
        <f t="array" aca="1" ref="H6605" ca="1">VLOOKUP(Cpi_[[#This Row],[Year]:[Month]],crudeoil[],3,FALSE)</f>
        <v>#VALUE!</v>
      </c>
    </row>
    <row r="6606" spans="1:8" hidden="1" x14ac:dyDescent="0.3">
      <c r="A6606" t="s">
        <v>33</v>
      </c>
      <c r="B6606">
        <v>2019</v>
      </c>
      <c r="C6606" t="s">
        <v>45</v>
      </c>
      <c r="D6606" t="s">
        <v>19</v>
      </c>
      <c r="E6606" t="e">
        <f>VLOOKUP(Cpi_[[#This Row],[Attribute]],#REF!,2,FALSE)</f>
        <v>#REF!</v>
      </c>
      <c r="F6606">
        <v>144.19999999999999</v>
      </c>
      <c r="G6606">
        <f>(Cpi_[[#This Row],[Value]]-F6605)/F6605</f>
        <v>8.7481146304675683E-2</v>
      </c>
      <c r="H6606" t="e" cm="1" vm="1">
        <f t="array" aca="1" ref="H6606" ca="1">VLOOKUP(Cpi_[[#This Row],[Year]:[Month]],crudeoil[],3,FALSE)</f>
        <v>#VALUE!</v>
      </c>
    </row>
    <row r="6607" spans="1:8" hidden="1" x14ac:dyDescent="0.3">
      <c r="A6607" t="s">
        <v>33</v>
      </c>
      <c r="B6607">
        <v>2019</v>
      </c>
      <c r="C6607" t="s">
        <v>45</v>
      </c>
      <c r="D6607" t="s">
        <v>20</v>
      </c>
      <c r="E6607" t="e">
        <f>VLOOKUP(Cpi_[[#This Row],[Attribute]],#REF!,2,FALSE)</f>
        <v>#REF!</v>
      </c>
      <c r="F6607">
        <v>153.5</v>
      </c>
      <c r="G6607">
        <f>(Cpi_[[#This Row],[Value]]-F6606)/F6606</f>
        <v>6.4493758668516032E-2</v>
      </c>
      <c r="H6607" t="e" cm="1" vm="1">
        <f t="array" aca="1" ref="H6607" ca="1">VLOOKUP(Cpi_[[#This Row],[Year]:[Month]],crudeoil[],3,FALSE)</f>
        <v>#VALUE!</v>
      </c>
    </row>
    <row r="6608" spans="1:8" hidden="1" x14ac:dyDescent="0.3">
      <c r="A6608" t="s">
        <v>33</v>
      </c>
      <c r="B6608">
        <v>2019</v>
      </c>
      <c r="C6608" t="s">
        <v>45</v>
      </c>
      <c r="D6608" t="s">
        <v>21</v>
      </c>
      <c r="E6608" t="e">
        <f>VLOOKUP(Cpi_[[#This Row],[Attribute]],#REF!,2,FALSE)</f>
        <v>#REF!</v>
      </c>
      <c r="F6608">
        <v>132.19999999999999</v>
      </c>
      <c r="G6608">
        <f>(Cpi_[[#This Row],[Value]]-F6607)/F6607</f>
        <v>-0.13876221498371344</v>
      </c>
      <c r="H6608" t="e" cm="1" vm="1">
        <f t="array" aca="1" ref="H6608" ca="1">VLOOKUP(Cpi_[[#This Row],[Year]:[Month]],crudeoil[],3,FALSE)</f>
        <v>#VALUE!</v>
      </c>
    </row>
    <row r="6609" spans="1:8" hidden="1" x14ac:dyDescent="0.3">
      <c r="A6609" t="s">
        <v>33</v>
      </c>
      <c r="B6609">
        <v>2019</v>
      </c>
      <c r="C6609" t="s">
        <v>45</v>
      </c>
      <c r="D6609" t="s">
        <v>22</v>
      </c>
      <c r="E6609" t="e">
        <f>VLOOKUP(Cpi_[[#This Row],[Attribute]],#REF!,2,FALSE)</f>
        <v>#REF!</v>
      </c>
      <c r="F6609">
        <v>139.1</v>
      </c>
      <c r="G6609">
        <f>(Cpi_[[#This Row],[Value]]-F6608)/F6608</f>
        <v>5.2193645990922889E-2</v>
      </c>
      <c r="H6609" t="e" cm="1" vm="1">
        <f t="array" aca="1" ref="H6609" ca="1">VLOOKUP(Cpi_[[#This Row],[Year]:[Month]],crudeoil[],3,FALSE)</f>
        <v>#VALUE!</v>
      </c>
    </row>
    <row r="6610" spans="1:8" hidden="1" x14ac:dyDescent="0.3">
      <c r="A6610" t="s">
        <v>33</v>
      </c>
      <c r="B6610">
        <v>2019</v>
      </c>
      <c r="C6610" t="s">
        <v>45</v>
      </c>
      <c r="D6610" t="s">
        <v>23</v>
      </c>
      <c r="E6610" t="e">
        <f>VLOOKUP(Cpi_[[#This Row],[Attribute]],#REF!,2,FALSE)</f>
        <v>#REF!</v>
      </c>
      <c r="F6610">
        <v>142.80000000000001</v>
      </c>
      <c r="G6610">
        <f>(Cpi_[[#This Row],[Value]]-F6609)/F6609</f>
        <v>2.6599568655643547E-2</v>
      </c>
      <c r="H6610" t="e" cm="1" vm="1">
        <f t="array" aca="1" ref="H6610" ca="1">VLOOKUP(Cpi_[[#This Row],[Year]:[Month]],crudeoil[],3,FALSE)</f>
        <v>#VALUE!</v>
      </c>
    </row>
    <row r="6611" spans="1:8" hidden="1" x14ac:dyDescent="0.3">
      <c r="A6611" t="s">
        <v>33</v>
      </c>
      <c r="B6611">
        <v>2019</v>
      </c>
      <c r="C6611" t="s">
        <v>45</v>
      </c>
      <c r="D6611" t="s">
        <v>24</v>
      </c>
      <c r="E6611" t="e">
        <f>VLOOKUP(Cpi_[[#This Row],[Attribute]],#REF!,2,FALSE)</f>
        <v>#REF!</v>
      </c>
      <c r="F6611">
        <v>121.7</v>
      </c>
      <c r="G6611">
        <f>(Cpi_[[#This Row],[Value]]-F6610)/F6610</f>
        <v>-0.14775910364145664</v>
      </c>
      <c r="H6611" t="e" cm="1" vm="1">
        <f t="array" aca="1" ref="H6611" ca="1">VLOOKUP(Cpi_[[#This Row],[Year]:[Month]],crudeoil[],3,FALSE)</f>
        <v>#VALUE!</v>
      </c>
    </row>
    <row r="6612" spans="1:8" hidden="1" x14ac:dyDescent="0.3">
      <c r="A6612" t="s">
        <v>33</v>
      </c>
      <c r="B6612">
        <v>2019</v>
      </c>
      <c r="C6612" t="s">
        <v>45</v>
      </c>
      <c r="D6612" t="s">
        <v>25</v>
      </c>
      <c r="E6612" t="e">
        <f>VLOOKUP(Cpi_[[#This Row],[Attribute]],#REF!,2,FALSE)</f>
        <v>#REF!</v>
      </c>
      <c r="F6612">
        <v>136.69999999999999</v>
      </c>
      <c r="G6612">
        <f>(Cpi_[[#This Row],[Value]]-F6611)/F6611</f>
        <v>0.12325390304026282</v>
      </c>
      <c r="H6612" t="e" cm="1" vm="1">
        <f t="array" aca="1" ref="H6612" ca="1">VLOOKUP(Cpi_[[#This Row],[Year]:[Month]],crudeoil[],3,FALSE)</f>
        <v>#VALUE!</v>
      </c>
    </row>
    <row r="6613" spans="1:8" hidden="1" x14ac:dyDescent="0.3">
      <c r="A6613" t="s">
        <v>33</v>
      </c>
      <c r="B6613">
        <v>2019</v>
      </c>
      <c r="C6613" t="s">
        <v>45</v>
      </c>
      <c r="D6613" t="s">
        <v>26</v>
      </c>
      <c r="E6613" t="e">
        <f>VLOOKUP(Cpi_[[#This Row],[Attribute]],#REF!,2,FALSE)</f>
        <v>#REF!</v>
      </c>
      <c r="F6613">
        <v>151.80000000000001</v>
      </c>
      <c r="G6613">
        <f>(Cpi_[[#This Row],[Value]]-F6612)/F6612</f>
        <v>0.11046086320409673</v>
      </c>
      <c r="H6613" t="e" cm="1" vm="1">
        <f t="array" aca="1" ref="H6613" ca="1">VLOOKUP(Cpi_[[#This Row],[Year]:[Month]],crudeoil[],3,FALSE)</f>
        <v>#VALUE!</v>
      </c>
    </row>
    <row r="6614" spans="1:8" hidden="1" x14ac:dyDescent="0.3">
      <c r="A6614" t="s">
        <v>33</v>
      </c>
      <c r="B6614">
        <v>2019</v>
      </c>
      <c r="C6614" t="s">
        <v>45</v>
      </c>
      <c r="D6614" t="s">
        <v>27</v>
      </c>
      <c r="E6614" t="e">
        <f>VLOOKUP(Cpi_[[#This Row],[Attribute]],#REF!,2,FALSE)</f>
        <v>#REF!</v>
      </c>
      <c r="F6614">
        <v>139.80000000000001</v>
      </c>
      <c r="G6614">
        <f>(Cpi_[[#This Row],[Value]]-F6613)/F6613</f>
        <v>-7.9051383399209474E-2</v>
      </c>
      <c r="H6614" t="e" cm="1" vm="1">
        <f t="array" aca="1" ref="H6614" ca="1">VLOOKUP(Cpi_[[#This Row],[Year]:[Month]],crudeoil[],3,FALSE)</f>
        <v>#VALUE!</v>
      </c>
    </row>
    <row r="6615" spans="1:8" hidden="1" x14ac:dyDescent="0.3">
      <c r="A6615" t="s">
        <v>33</v>
      </c>
      <c r="B6615">
        <v>2019</v>
      </c>
      <c r="C6615" t="s">
        <v>45</v>
      </c>
      <c r="D6615" t="s">
        <v>28</v>
      </c>
      <c r="E6615" t="e">
        <f>VLOOKUP(Cpi_[[#This Row],[Attribute]],#REF!,2,FALSE)</f>
        <v>#REF!</v>
      </c>
      <c r="F6615">
        <v>136.30000000000001</v>
      </c>
      <c r="G6615">
        <f>(Cpi_[[#This Row],[Value]]-F6614)/F6614</f>
        <v>-2.5035765379113017E-2</v>
      </c>
      <c r="H6615" t="e" cm="1" vm="1">
        <f t="array" aca="1" ref="H6615" ca="1">VLOOKUP(Cpi_[[#This Row],[Year]:[Month]],crudeoil[],3,FALSE)</f>
        <v>#VALUE!</v>
      </c>
    </row>
    <row r="6616" spans="1:8" hidden="1" x14ac:dyDescent="0.3">
      <c r="A6616" t="s">
        <v>33</v>
      </c>
      <c r="B6616">
        <v>2019</v>
      </c>
      <c r="C6616" t="s">
        <v>45</v>
      </c>
      <c r="D6616" t="s">
        <v>29</v>
      </c>
      <c r="E6616" t="e" cm="1">
        <f t="array" aca="1" ref="E6616" ca="1">VLGeneral indexGeneral indexKUP(Cpi_[[#This Row],[Attribute]],#REF!,2,FALSE)</f>
        <v>#NAME?</v>
      </c>
      <c r="F6616">
        <v>147</v>
      </c>
      <c r="G6616">
        <f>(Cpi_[[#This Row],[Value]]-F6615)/F6615</f>
        <v>7.8503301540718912E-2</v>
      </c>
      <c r="H6616" t="e" cm="1" vm="1">
        <f t="array" aca="1" ref="H6616" ca="1">VLOOKUP(Cpi_[[#This Row],[Year]:[Month]],crudeoil[],3,FALSE)</f>
        <v>#VALUE!</v>
      </c>
    </row>
    <row r="6617" spans="1:8" hidden="1" x14ac:dyDescent="0.3">
      <c r="A6617" t="s">
        <v>34</v>
      </c>
      <c r="B6617">
        <v>2019</v>
      </c>
      <c r="C6617" t="s">
        <v>45</v>
      </c>
      <c r="D6617" t="s">
        <v>3</v>
      </c>
      <c r="E6617" t="e">
        <f>VLOOKUP(Cpi_[[#This Row],[Attribute]],#REF!,2,FALSE)</f>
        <v>#REF!</v>
      </c>
      <c r="F6617">
        <v>142.5</v>
      </c>
      <c r="G6617">
        <f>(Cpi_[[#This Row],[Value]]-F6616)/F6616</f>
        <v>-3.0612244897959183E-2</v>
      </c>
      <c r="H6617" t="e" cm="1" vm="1">
        <f t="array" aca="1" ref="H6617" ca="1">VLOOKUP(Cpi_[[#This Row],[Year]:[Month]],crudeoil[],3,FALSE)</f>
        <v>#VALUE!</v>
      </c>
    </row>
    <row r="6618" spans="1:8" hidden="1" x14ac:dyDescent="0.3">
      <c r="A6618" t="s">
        <v>34</v>
      </c>
      <c r="B6618">
        <v>2019</v>
      </c>
      <c r="C6618" t="s">
        <v>45</v>
      </c>
      <c r="D6618" t="s">
        <v>4</v>
      </c>
      <c r="E6618" t="e">
        <f>VLOOKUP(Cpi_[[#This Row],[Attribute]],#REF!,2,FALSE)</f>
        <v>#REF!</v>
      </c>
      <c r="F6618">
        <v>163.19999999999999</v>
      </c>
      <c r="G6618">
        <f>(Cpi_[[#This Row],[Value]]-F6617)/F6617</f>
        <v>0.14526315789473676</v>
      </c>
      <c r="H6618" t="e" cm="1" vm="1">
        <f t="array" aca="1" ref="H6618" ca="1">VLOOKUP(Cpi_[[#This Row],[Year]:[Month]],crudeoil[],3,FALSE)</f>
        <v>#VALUE!</v>
      </c>
    </row>
    <row r="6619" spans="1:8" hidden="1" x14ac:dyDescent="0.3">
      <c r="A6619" t="s">
        <v>34</v>
      </c>
      <c r="B6619">
        <v>2019</v>
      </c>
      <c r="C6619" t="s">
        <v>45</v>
      </c>
      <c r="D6619" t="s">
        <v>5</v>
      </c>
      <c r="E6619" t="e">
        <f>VLOOKUP(Cpi_[[#This Row],[Attribute]],#REF!,2,FALSE)</f>
        <v>#REF!</v>
      </c>
      <c r="F6619">
        <v>145.6</v>
      </c>
      <c r="G6619">
        <f>(Cpi_[[#This Row],[Value]]-F6618)/F6618</f>
        <v>-0.10784313725490194</v>
      </c>
      <c r="H6619" t="e" cm="1" vm="1">
        <f t="array" aca="1" ref="H6619" ca="1">VLOOKUP(Cpi_[[#This Row],[Year]:[Month]],crudeoil[],3,FALSE)</f>
        <v>#VALUE!</v>
      </c>
    </row>
    <row r="6620" spans="1:8" hidden="1" x14ac:dyDescent="0.3">
      <c r="A6620" t="s">
        <v>34</v>
      </c>
      <c r="B6620">
        <v>2019</v>
      </c>
      <c r="C6620" t="s">
        <v>45</v>
      </c>
      <c r="D6620" t="s">
        <v>6</v>
      </c>
      <c r="E6620" t="e">
        <f>VLOOKUP(Cpi_[[#This Row],[Attribute]],#REF!,2,FALSE)</f>
        <v>#REF!</v>
      </c>
      <c r="F6620">
        <v>146.69999999999999</v>
      </c>
      <c r="G6620">
        <f>(Cpi_[[#This Row],[Value]]-F6619)/F6619</f>
        <v>7.554945054945016E-3</v>
      </c>
      <c r="H6620" t="e" cm="1" vm="1">
        <f t="array" aca="1" ref="H6620" ca="1">VLOOKUP(Cpi_[[#This Row],[Year]:[Month]],crudeoil[],3,FALSE)</f>
        <v>#VALUE!</v>
      </c>
    </row>
    <row r="6621" spans="1:8" hidden="1" x14ac:dyDescent="0.3">
      <c r="A6621" t="s">
        <v>34</v>
      </c>
      <c r="B6621">
        <v>2019</v>
      </c>
      <c r="C6621" t="s">
        <v>45</v>
      </c>
      <c r="D6621" t="s">
        <v>7</v>
      </c>
      <c r="E6621" t="e">
        <f>VLOOKUP(Cpi_[[#This Row],[Attribute]],#REF!,2,FALSE)</f>
        <v>#REF!</v>
      </c>
      <c r="F6621">
        <v>124.3</v>
      </c>
      <c r="G6621">
        <f>(Cpi_[[#This Row],[Value]]-F6620)/F6620</f>
        <v>-0.15269256987048394</v>
      </c>
      <c r="H6621" t="e" cm="1" vm="1">
        <f t="array" aca="1" ref="H6621" ca="1">VLOOKUP(Cpi_[[#This Row],[Year]:[Month]],crudeoil[],3,FALSE)</f>
        <v>#VALUE!</v>
      </c>
    </row>
    <row r="6622" spans="1:8" hidden="1" x14ac:dyDescent="0.3">
      <c r="A6622" t="s">
        <v>34</v>
      </c>
      <c r="B6622">
        <v>2019</v>
      </c>
      <c r="C6622" t="s">
        <v>45</v>
      </c>
      <c r="D6622" t="s">
        <v>8</v>
      </c>
      <c r="E6622" t="e">
        <f>VLOOKUP(Cpi_[[#This Row],[Attribute]],#REF!,2,FALSE)</f>
        <v>#REF!</v>
      </c>
      <c r="F6622">
        <v>147.4</v>
      </c>
      <c r="G6622">
        <f>(Cpi_[[#This Row],[Value]]-F6621)/F6621</f>
        <v>0.18584070796460184</v>
      </c>
      <c r="H6622" t="e" cm="1" vm="1">
        <f t="array" aca="1" ref="H6622" ca="1">VLOOKUP(Cpi_[[#This Row],[Year]:[Month]],crudeoil[],3,FALSE)</f>
        <v>#VALUE!</v>
      </c>
    </row>
    <row r="6623" spans="1:8" hidden="1" x14ac:dyDescent="0.3">
      <c r="A6623" t="s">
        <v>34</v>
      </c>
      <c r="B6623">
        <v>2019</v>
      </c>
      <c r="C6623" t="s">
        <v>45</v>
      </c>
      <c r="D6623" t="s">
        <v>9</v>
      </c>
      <c r="E6623" t="e">
        <f>VLOOKUP(Cpi_[[#This Row],[Attribute]],#REF!,2,FALSE)</f>
        <v>#REF!</v>
      </c>
      <c r="F6623">
        <v>199.6</v>
      </c>
      <c r="G6623">
        <f>(Cpi_[[#This Row],[Value]]-F6622)/F6622</f>
        <v>0.3541383989145182</v>
      </c>
      <c r="H6623" t="e" cm="1" vm="1">
        <f t="array" aca="1" ref="H6623" ca="1">VLOOKUP(Cpi_[[#This Row],[Year]:[Month]],crudeoil[],3,FALSE)</f>
        <v>#VALUE!</v>
      </c>
    </row>
    <row r="6624" spans="1:8" hidden="1" x14ac:dyDescent="0.3">
      <c r="A6624" t="s">
        <v>34</v>
      </c>
      <c r="B6624">
        <v>2019</v>
      </c>
      <c r="C6624" t="s">
        <v>45</v>
      </c>
      <c r="D6624" t="s">
        <v>10</v>
      </c>
      <c r="E6624" t="e">
        <f>VLOOKUP(Cpi_[[#This Row],[Attribute]],#REF!,2,FALSE)</f>
        <v>#REF!</v>
      </c>
      <c r="F6624">
        <v>135.69999999999999</v>
      </c>
      <c r="G6624">
        <f>(Cpi_[[#This Row],[Value]]-F6623)/F6623</f>
        <v>-0.32014028056112226</v>
      </c>
      <c r="H6624" t="e" cm="1" vm="1">
        <f t="array" aca="1" ref="H6624" ca="1">VLOOKUP(Cpi_[[#This Row],[Year]:[Month]],crudeoil[],3,FALSE)</f>
        <v>#VALUE!</v>
      </c>
    </row>
    <row r="6625" spans="1:8" hidden="1" x14ac:dyDescent="0.3">
      <c r="A6625" t="s">
        <v>34</v>
      </c>
      <c r="B6625">
        <v>2019</v>
      </c>
      <c r="C6625" t="s">
        <v>45</v>
      </c>
      <c r="D6625" t="s">
        <v>11</v>
      </c>
      <c r="E6625" t="e">
        <f>VLOOKUP(Cpi_[[#This Row],[Attribute]],#REF!,2,FALSE)</f>
        <v>#REF!</v>
      </c>
      <c r="F6625">
        <v>114.2</v>
      </c>
      <c r="G6625">
        <f>(Cpi_[[#This Row],[Value]]-F6624)/F6624</f>
        <v>-0.15843773028739858</v>
      </c>
      <c r="H6625" t="e" cm="1" vm="1">
        <f t="array" aca="1" ref="H6625" ca="1">VLOOKUP(Cpi_[[#This Row],[Year]:[Month]],crudeoil[],3,FALSE)</f>
        <v>#VALUE!</v>
      </c>
    </row>
    <row r="6626" spans="1:8" hidden="1" x14ac:dyDescent="0.3">
      <c r="A6626" t="s">
        <v>34</v>
      </c>
      <c r="B6626">
        <v>2019</v>
      </c>
      <c r="C6626" t="s">
        <v>45</v>
      </c>
      <c r="D6626" t="s">
        <v>12</v>
      </c>
      <c r="E6626" t="e">
        <f>VLOOKUP(Cpi_[[#This Row],[Attribute]],#REF!,2,FALSE)</f>
        <v>#REF!</v>
      </c>
      <c r="F6626">
        <v>147</v>
      </c>
      <c r="G6626">
        <f>(Cpi_[[#This Row],[Value]]-F6625)/F6625</f>
        <v>0.28721541155866898</v>
      </c>
      <c r="H6626" t="e" cm="1" vm="1">
        <f t="array" aca="1" ref="H6626" ca="1">VLOOKUP(Cpi_[[#This Row],[Year]:[Month]],crudeoil[],3,FALSE)</f>
        <v>#VALUE!</v>
      </c>
    </row>
    <row r="6627" spans="1:8" hidden="1" x14ac:dyDescent="0.3">
      <c r="A6627" t="s">
        <v>34</v>
      </c>
      <c r="B6627">
        <v>2019</v>
      </c>
      <c r="C6627" t="s">
        <v>45</v>
      </c>
      <c r="D6627" t="s">
        <v>13</v>
      </c>
      <c r="E6627" t="e">
        <f>VLOOKUP(Cpi_[[#This Row],[Attribute]],#REF!,2,FALSE)</f>
        <v>#REF!</v>
      </c>
      <c r="F6627">
        <v>135.30000000000001</v>
      </c>
      <c r="G6627">
        <f>(Cpi_[[#This Row],[Value]]-F6626)/F6626</f>
        <v>-7.9591836734693805E-2</v>
      </c>
      <c r="H6627" t="e" cm="1" vm="1">
        <f t="array" aca="1" ref="H6627" ca="1">VLOOKUP(Cpi_[[#This Row],[Year]:[Month]],crudeoil[],3,FALSE)</f>
        <v>#VALUE!</v>
      </c>
    </row>
    <row r="6628" spans="1:8" hidden="1" x14ac:dyDescent="0.3">
      <c r="A6628" t="s">
        <v>34</v>
      </c>
      <c r="B6628">
        <v>2019</v>
      </c>
      <c r="C6628" t="s">
        <v>45</v>
      </c>
      <c r="D6628" t="s">
        <v>14</v>
      </c>
      <c r="E6628" t="e">
        <f>VLOOKUP(Cpi_[[#This Row],[Attribute]],#REF!,2,FALSE)</f>
        <v>#REF!</v>
      </c>
      <c r="F6628">
        <v>157.5</v>
      </c>
      <c r="G6628">
        <f>(Cpi_[[#This Row],[Value]]-F6627)/F6627</f>
        <v>0.16407982261640788</v>
      </c>
      <c r="H6628" t="e" cm="1" vm="1">
        <f t="array" aca="1" ref="H6628" ca="1">VLOOKUP(Cpi_[[#This Row],[Year]:[Month]],crudeoil[],3,FALSE)</f>
        <v>#VALUE!</v>
      </c>
    </row>
    <row r="6629" spans="1:8" hidden="1" x14ac:dyDescent="0.3">
      <c r="A6629" t="s">
        <v>34</v>
      </c>
      <c r="B6629">
        <v>2019</v>
      </c>
      <c r="C6629" t="s">
        <v>45</v>
      </c>
      <c r="D6629" t="s">
        <v>15</v>
      </c>
      <c r="E6629" t="e">
        <f>VLOOKUP(Cpi_[[#This Row],[Attribute]],#REF!,2,FALSE)</f>
        <v>#REF!</v>
      </c>
      <c r="F6629">
        <v>151.9</v>
      </c>
      <c r="G6629">
        <f>(Cpi_[[#This Row],[Value]]-F6628)/F6628</f>
        <v>-3.5555555555555521E-2</v>
      </c>
      <c r="H6629" t="e" cm="1" vm="1">
        <f t="array" aca="1" ref="H6629" ca="1">VLOOKUP(Cpi_[[#This Row],[Year]:[Month]],crudeoil[],3,FALSE)</f>
        <v>#VALUE!</v>
      </c>
    </row>
    <row r="6630" spans="1:8" hidden="1" x14ac:dyDescent="0.3">
      <c r="A6630" t="s">
        <v>34</v>
      </c>
      <c r="B6630">
        <v>2019</v>
      </c>
      <c r="C6630" t="s">
        <v>45</v>
      </c>
      <c r="D6630" t="s">
        <v>16</v>
      </c>
      <c r="E6630" t="e">
        <f>VLOOKUP(Cpi_[[#This Row],[Attribute]],#REF!,2,FALSE)</f>
        <v>#REF!</v>
      </c>
      <c r="F6630">
        <v>167.9</v>
      </c>
      <c r="G6630">
        <f>(Cpi_[[#This Row],[Value]]-F6629)/F6629</f>
        <v>0.10533245556287031</v>
      </c>
      <c r="H6630" t="e" cm="1" vm="1">
        <f t="array" aca="1" ref="H6630" ca="1">VLOOKUP(Cpi_[[#This Row],[Year]:[Month]],crudeoil[],3,FALSE)</f>
        <v>#VALUE!</v>
      </c>
    </row>
    <row r="6631" spans="1:8" hidden="1" x14ac:dyDescent="0.3">
      <c r="A6631" t="s">
        <v>34</v>
      </c>
      <c r="B6631">
        <v>2019</v>
      </c>
      <c r="C6631" t="s">
        <v>45</v>
      </c>
      <c r="D6631" t="s">
        <v>17</v>
      </c>
      <c r="E6631" t="e">
        <f>VLOOKUP(Cpi_[[#This Row],[Attribute]],#REF!,2,FALSE)</f>
        <v>#REF!</v>
      </c>
      <c r="F6631">
        <v>149.9</v>
      </c>
      <c r="G6631">
        <f>(Cpi_[[#This Row],[Value]]-F6630)/F6630</f>
        <v>-0.10720667063728409</v>
      </c>
      <c r="H6631" t="e" cm="1" vm="1">
        <f t="array" aca="1" ref="H6631" ca="1">VLOOKUP(Cpi_[[#This Row],[Year]:[Month]],crudeoil[],3,FALSE)</f>
        <v>#VALUE!</v>
      </c>
    </row>
    <row r="6632" spans="1:8" hidden="1" x14ac:dyDescent="0.3">
      <c r="A6632" t="s">
        <v>34</v>
      </c>
      <c r="B6632">
        <v>2019</v>
      </c>
      <c r="C6632" t="s">
        <v>45</v>
      </c>
      <c r="D6632" t="s">
        <v>18</v>
      </c>
      <c r="E6632" t="e">
        <f>VLOOKUP(Cpi_[[#This Row],[Attribute]],#REF!,2,FALSE)</f>
        <v>#REF!</v>
      </c>
      <c r="F6632">
        <v>141</v>
      </c>
      <c r="G6632">
        <f>(Cpi_[[#This Row],[Value]]-F6631)/F6631</f>
        <v>-5.9372915276851269E-2</v>
      </c>
      <c r="H6632" t="e" cm="1" vm="1">
        <f t="array" aca="1" ref="H6632" ca="1">VLOOKUP(Cpi_[[#This Row],[Year]:[Month]],crudeoil[],3,FALSE)</f>
        <v>#VALUE!</v>
      </c>
    </row>
    <row r="6633" spans="1:8" hidden="1" x14ac:dyDescent="0.3">
      <c r="A6633" t="s">
        <v>34</v>
      </c>
      <c r="B6633">
        <v>2019</v>
      </c>
      <c r="C6633" t="s">
        <v>45</v>
      </c>
      <c r="D6633" t="s">
        <v>19</v>
      </c>
      <c r="E6633" t="e">
        <f>VLOOKUP(Cpi_[[#This Row],[Attribute]],#REF!,2,FALSE)</f>
        <v>#REF!</v>
      </c>
      <c r="F6633">
        <v>148.6</v>
      </c>
      <c r="G6633">
        <f>(Cpi_[[#This Row],[Value]]-F6632)/F6632</f>
        <v>5.3900709219858116E-2</v>
      </c>
      <c r="H6633" t="e" cm="1" vm="1">
        <f t="array" aca="1" ref="H6633" ca="1">VLOOKUP(Cpi_[[#This Row],[Year]:[Month]],crudeoil[],3,FALSE)</f>
        <v>#VALUE!</v>
      </c>
    </row>
    <row r="6634" spans="1:8" hidden="1" x14ac:dyDescent="0.3">
      <c r="A6634" t="s">
        <v>34</v>
      </c>
      <c r="B6634">
        <v>2019</v>
      </c>
      <c r="C6634" t="s">
        <v>45</v>
      </c>
      <c r="D6634" t="s">
        <v>20</v>
      </c>
      <c r="E6634" t="e">
        <f>VLOOKUP(Cpi_[[#This Row],[Attribute]],#REF!,2,FALSE)</f>
        <v>#REF!</v>
      </c>
      <c r="F6634">
        <v>153.5</v>
      </c>
      <c r="G6634">
        <f>(Cpi_[[#This Row],[Value]]-F6633)/F6633</f>
        <v>3.2974427994616459E-2</v>
      </c>
      <c r="H6634" t="e" cm="1" vm="1">
        <f t="array" aca="1" ref="H6634" ca="1">VLOOKUP(Cpi_[[#This Row],[Year]:[Month]],crudeoil[],3,FALSE)</f>
        <v>#VALUE!</v>
      </c>
    </row>
    <row r="6635" spans="1:8" hidden="1" x14ac:dyDescent="0.3">
      <c r="A6635" t="s">
        <v>34</v>
      </c>
      <c r="B6635">
        <v>2019</v>
      </c>
      <c r="C6635" t="s">
        <v>45</v>
      </c>
      <c r="D6635" t="s">
        <v>21</v>
      </c>
      <c r="E6635" t="e">
        <f>VLOOKUP(Cpi_[[#This Row],[Attribute]],#REF!,2,FALSE)</f>
        <v>#REF!</v>
      </c>
      <c r="F6635">
        <v>142.30000000000001</v>
      </c>
      <c r="G6635">
        <f>(Cpi_[[#This Row],[Value]]-F6634)/F6634</f>
        <v>-7.2964169381107419E-2</v>
      </c>
      <c r="H6635" t="e" cm="1" vm="1">
        <f t="array" aca="1" ref="H6635" ca="1">VLOOKUP(Cpi_[[#This Row],[Year]:[Month]],crudeoil[],3,FALSE)</f>
        <v>#VALUE!</v>
      </c>
    </row>
    <row r="6636" spans="1:8" hidden="1" x14ac:dyDescent="0.3">
      <c r="A6636" t="s">
        <v>34</v>
      </c>
      <c r="B6636">
        <v>2019</v>
      </c>
      <c r="C6636" t="s">
        <v>45</v>
      </c>
      <c r="D6636" t="s">
        <v>22</v>
      </c>
      <c r="E6636" t="e">
        <f>VLOOKUP(Cpi_[[#This Row],[Attribute]],#REF!,2,FALSE)</f>
        <v>#REF!</v>
      </c>
      <c r="F6636">
        <v>145.30000000000001</v>
      </c>
      <c r="G6636">
        <f>(Cpi_[[#This Row],[Value]]-F6635)/F6635</f>
        <v>2.1082220660576245E-2</v>
      </c>
      <c r="H6636" t="e" cm="1" vm="1">
        <f t="array" aca="1" ref="H6636" ca="1">VLOOKUP(Cpi_[[#This Row],[Year]:[Month]],crudeoil[],3,FALSE)</f>
        <v>#VALUE!</v>
      </c>
    </row>
    <row r="6637" spans="1:8" hidden="1" x14ac:dyDescent="0.3">
      <c r="A6637" t="s">
        <v>34</v>
      </c>
      <c r="B6637">
        <v>2019</v>
      </c>
      <c r="C6637" t="s">
        <v>45</v>
      </c>
      <c r="D6637" t="s">
        <v>23</v>
      </c>
      <c r="E6637" t="e">
        <f>VLOOKUP(Cpi_[[#This Row],[Attribute]],#REF!,2,FALSE)</f>
        <v>#REF!</v>
      </c>
      <c r="F6637">
        <v>149.9</v>
      </c>
      <c r="G6637">
        <f>(Cpi_[[#This Row],[Value]]-F6636)/F6636</f>
        <v>3.1658637302133474E-2</v>
      </c>
      <c r="H6637" t="e" cm="1" vm="1">
        <f t="array" aca="1" ref="H6637" ca="1">VLOOKUP(Cpi_[[#This Row],[Year]:[Month]],crudeoil[],3,FALSE)</f>
        <v>#VALUE!</v>
      </c>
    </row>
    <row r="6638" spans="1:8" hidden="1" x14ac:dyDescent="0.3">
      <c r="A6638" t="s">
        <v>34</v>
      </c>
      <c r="B6638">
        <v>2019</v>
      </c>
      <c r="C6638" t="s">
        <v>45</v>
      </c>
      <c r="D6638" t="s">
        <v>24</v>
      </c>
      <c r="E6638" t="e">
        <f>VLOOKUP(Cpi_[[#This Row],[Attribute]],#REF!,2,FALSE)</f>
        <v>#REF!</v>
      </c>
      <c r="F6638">
        <v>126.6</v>
      </c>
      <c r="G6638">
        <f>(Cpi_[[#This Row],[Value]]-F6637)/F6637</f>
        <v>-0.1554369579719814</v>
      </c>
      <c r="H6638" t="e" cm="1" vm="1">
        <f t="array" aca="1" ref="H6638" ca="1">VLOOKUP(Cpi_[[#This Row],[Year]:[Month]],crudeoil[],3,FALSE)</f>
        <v>#VALUE!</v>
      </c>
    </row>
    <row r="6639" spans="1:8" hidden="1" x14ac:dyDescent="0.3">
      <c r="A6639" t="s">
        <v>34</v>
      </c>
      <c r="B6639">
        <v>2019</v>
      </c>
      <c r="C6639" t="s">
        <v>45</v>
      </c>
      <c r="D6639" t="s">
        <v>25</v>
      </c>
      <c r="E6639" t="e">
        <f>VLOOKUP(Cpi_[[#This Row],[Attribute]],#REF!,2,FALSE)</f>
        <v>#REF!</v>
      </c>
      <c r="F6639">
        <v>142.1</v>
      </c>
      <c r="G6639">
        <f>(Cpi_[[#This Row],[Value]]-F6638)/F6638</f>
        <v>0.12243285939968405</v>
      </c>
      <c r="H6639" t="e" cm="1" vm="1">
        <f t="array" aca="1" ref="H6639" ca="1">VLOOKUP(Cpi_[[#This Row],[Year]:[Month]],crudeoil[],3,FALSE)</f>
        <v>#VALUE!</v>
      </c>
    </row>
    <row r="6640" spans="1:8" hidden="1" x14ac:dyDescent="0.3">
      <c r="A6640" t="s">
        <v>34</v>
      </c>
      <c r="B6640">
        <v>2019</v>
      </c>
      <c r="C6640" t="s">
        <v>45</v>
      </c>
      <c r="D6640" t="s">
        <v>26</v>
      </c>
      <c r="E6640" t="e">
        <f>VLOOKUP(Cpi_[[#This Row],[Attribute]],#REF!,2,FALSE)</f>
        <v>#REF!</v>
      </c>
      <c r="F6640">
        <v>155.5</v>
      </c>
      <c r="G6640">
        <f>(Cpi_[[#This Row],[Value]]-F6639)/F6639</f>
        <v>9.4299788881069713E-2</v>
      </c>
      <c r="H6640" t="e" cm="1" vm="1">
        <f t="array" aca="1" ref="H6640" ca="1">VLOOKUP(Cpi_[[#This Row],[Year]:[Month]],crudeoil[],3,FALSE)</f>
        <v>#VALUE!</v>
      </c>
    </row>
    <row r="6641" spans="1:8" hidden="1" x14ac:dyDescent="0.3">
      <c r="A6641" t="s">
        <v>34</v>
      </c>
      <c r="B6641">
        <v>2019</v>
      </c>
      <c r="C6641" t="s">
        <v>45</v>
      </c>
      <c r="D6641" t="s">
        <v>27</v>
      </c>
      <c r="E6641" t="e">
        <f>VLOOKUP(Cpi_[[#This Row],[Attribute]],#REF!,2,FALSE)</f>
        <v>#REF!</v>
      </c>
      <c r="F6641">
        <v>140.30000000000001</v>
      </c>
      <c r="G6641">
        <f>(Cpi_[[#This Row],[Value]]-F6640)/F6640</f>
        <v>-9.7749196141479033E-2</v>
      </c>
      <c r="H6641" t="e" cm="1" vm="1">
        <f t="array" aca="1" ref="H6641" ca="1">VLOOKUP(Cpi_[[#This Row],[Year]:[Month]],crudeoil[],3,FALSE)</f>
        <v>#VALUE!</v>
      </c>
    </row>
    <row r="6642" spans="1:8" hidden="1" x14ac:dyDescent="0.3">
      <c r="A6642" t="s">
        <v>34</v>
      </c>
      <c r="B6642">
        <v>2019</v>
      </c>
      <c r="C6642" t="s">
        <v>45</v>
      </c>
      <c r="D6642" t="s">
        <v>28</v>
      </c>
      <c r="E6642" t="e">
        <f>VLOOKUP(Cpi_[[#This Row],[Attribute]],#REF!,2,FALSE)</f>
        <v>#REF!</v>
      </c>
      <c r="F6642">
        <v>141.30000000000001</v>
      </c>
      <c r="G6642">
        <f>(Cpi_[[#This Row],[Value]]-F6641)/F6641</f>
        <v>7.1275837491090515E-3</v>
      </c>
      <c r="H6642" t="e" cm="1" vm="1">
        <f t="array" aca="1" ref="H6642" ca="1">VLOOKUP(Cpi_[[#This Row],[Year]:[Month]],crudeoil[],3,FALSE)</f>
        <v>#VALUE!</v>
      </c>
    </row>
    <row r="6643" spans="1:8" hidden="1" x14ac:dyDescent="0.3">
      <c r="A6643" t="s">
        <v>34</v>
      </c>
      <c r="B6643">
        <v>2019</v>
      </c>
      <c r="C6643" t="s">
        <v>45</v>
      </c>
      <c r="D6643" t="s">
        <v>29</v>
      </c>
      <c r="E6643" t="e" cm="1">
        <f t="array" aca="1" ref="E6643" ca="1">VLGeneral indexGeneral indexKUP(Cpi_[[#This Row],[Attribute]],#REF!,2,FALSE)</f>
        <v>#NAME?</v>
      </c>
      <c r="F6643">
        <v>148.6</v>
      </c>
      <c r="G6643">
        <f>(Cpi_[[#This Row],[Value]]-F6642)/F6642</f>
        <v>5.1663128096248991E-2</v>
      </c>
      <c r="H6643" t="e" cm="1" vm="1">
        <f t="array" aca="1" ref="H6643" ca="1">VLOOKUP(Cpi_[[#This Row],[Year]:[Month]],crudeoil[],3,FALSE)</f>
        <v>#VALUE!</v>
      </c>
    </row>
    <row r="6644" spans="1:8" hidden="1" x14ac:dyDescent="0.3">
      <c r="A6644" t="s">
        <v>30</v>
      </c>
      <c r="B6644">
        <v>2019</v>
      </c>
      <c r="C6644" t="s">
        <v>46</v>
      </c>
      <c r="D6644" t="s">
        <v>3</v>
      </c>
      <c r="E6644" t="e">
        <f>VLOOKUP(Cpi_[[#This Row],[Attribute]],#REF!,2,FALSE)</f>
        <v>#REF!</v>
      </c>
      <c r="F6644">
        <v>142.80000000000001</v>
      </c>
      <c r="G6644">
        <f>(Cpi_[[#This Row],[Value]]-F6643)/F6643</f>
        <v>-3.9030955585464218E-2</v>
      </c>
      <c r="H6644" t="e" cm="1" vm="1">
        <f t="array" aca="1" ref="H6644" ca="1">VLOOKUP(Cpi_[[#This Row],[Year]:[Month]],crudeoil[],3,FALSE)</f>
        <v>#VALUE!</v>
      </c>
    </row>
    <row r="6645" spans="1:8" hidden="1" x14ac:dyDescent="0.3">
      <c r="A6645" t="s">
        <v>30</v>
      </c>
      <c r="B6645">
        <v>2019</v>
      </c>
      <c r="C6645" t="s">
        <v>46</v>
      </c>
      <c r="D6645" t="s">
        <v>4</v>
      </c>
      <c r="E6645" t="e">
        <f>VLOOKUP(Cpi_[[#This Row],[Attribute]],#REF!,2,FALSE)</f>
        <v>#REF!</v>
      </c>
      <c r="F6645">
        <v>165.3</v>
      </c>
      <c r="G6645">
        <f>(Cpi_[[#This Row],[Value]]-F6644)/F6644</f>
        <v>0.15756302521008403</v>
      </c>
      <c r="H6645" t="e" cm="1" vm="1">
        <f t="array" aca="1" ref="H6645" ca="1">VLOOKUP(Cpi_[[#This Row],[Year]:[Month]],crudeoil[],3,FALSE)</f>
        <v>#VALUE!</v>
      </c>
    </row>
    <row r="6646" spans="1:8" hidden="1" x14ac:dyDescent="0.3">
      <c r="A6646" t="s">
        <v>30</v>
      </c>
      <c r="B6646">
        <v>2019</v>
      </c>
      <c r="C6646" t="s">
        <v>46</v>
      </c>
      <c r="D6646" t="s">
        <v>5</v>
      </c>
      <c r="E6646" t="e">
        <f>VLOOKUP(Cpi_[[#This Row],[Attribute]],#REF!,2,FALSE)</f>
        <v>#REF!</v>
      </c>
      <c r="F6646">
        <v>149.5</v>
      </c>
      <c r="G6646">
        <f>(Cpi_[[#This Row],[Value]]-F6645)/F6645</f>
        <v>-9.558378705384156E-2</v>
      </c>
      <c r="H6646" t="e" cm="1" vm="1">
        <f t="array" aca="1" ref="H6646" ca="1">VLOOKUP(Cpi_[[#This Row],[Year]:[Month]],crudeoil[],3,FALSE)</f>
        <v>#VALUE!</v>
      </c>
    </row>
    <row r="6647" spans="1:8" hidden="1" x14ac:dyDescent="0.3">
      <c r="A6647" t="s">
        <v>30</v>
      </c>
      <c r="B6647">
        <v>2019</v>
      </c>
      <c r="C6647" t="s">
        <v>46</v>
      </c>
      <c r="D6647" t="s">
        <v>6</v>
      </c>
      <c r="E6647" t="e">
        <f>VLOOKUP(Cpi_[[#This Row],[Attribute]],#REF!,2,FALSE)</f>
        <v>#REF!</v>
      </c>
      <c r="F6647">
        <v>148.69999999999999</v>
      </c>
      <c r="G6647">
        <f>(Cpi_[[#This Row],[Value]]-F6646)/F6646</f>
        <v>-5.351170568561949E-3</v>
      </c>
      <c r="H6647" t="e" cm="1" vm="1">
        <f t="array" aca="1" ref="H6647" ca="1">VLOOKUP(Cpi_[[#This Row],[Year]:[Month]],crudeoil[],3,FALSE)</f>
        <v>#VALUE!</v>
      </c>
    </row>
    <row r="6648" spans="1:8" hidden="1" x14ac:dyDescent="0.3">
      <c r="A6648" t="s">
        <v>30</v>
      </c>
      <c r="B6648">
        <v>2019</v>
      </c>
      <c r="C6648" t="s">
        <v>46</v>
      </c>
      <c r="D6648" t="s">
        <v>7</v>
      </c>
      <c r="E6648" t="e">
        <f>VLOOKUP(Cpi_[[#This Row],[Attribute]],#REF!,2,FALSE)</f>
        <v>#REF!</v>
      </c>
      <c r="F6648">
        <v>127.5</v>
      </c>
      <c r="G6648">
        <f>(Cpi_[[#This Row],[Value]]-F6647)/F6647</f>
        <v>-0.14256893073301943</v>
      </c>
      <c r="H6648" t="e" cm="1" vm="1">
        <f t="array" aca="1" ref="H6648" ca="1">VLOOKUP(Cpi_[[#This Row],[Year]:[Month]],crudeoil[],3,FALSE)</f>
        <v>#VALUE!</v>
      </c>
    </row>
    <row r="6649" spans="1:8" hidden="1" x14ac:dyDescent="0.3">
      <c r="A6649" t="s">
        <v>30</v>
      </c>
      <c r="B6649">
        <v>2019</v>
      </c>
      <c r="C6649" t="s">
        <v>46</v>
      </c>
      <c r="D6649" t="s">
        <v>8</v>
      </c>
      <c r="E6649" t="e">
        <f>VLOOKUP(Cpi_[[#This Row],[Attribute]],#REF!,2,FALSE)</f>
        <v>#REF!</v>
      </c>
      <c r="F6649">
        <v>144.30000000000001</v>
      </c>
      <c r="G6649">
        <f>(Cpi_[[#This Row],[Value]]-F6648)/F6648</f>
        <v>0.13176470588235303</v>
      </c>
      <c r="H6649" t="e" cm="1" vm="1">
        <f t="array" aca="1" ref="H6649" ca="1">VLOOKUP(Cpi_[[#This Row],[Year]:[Month]],crudeoil[],3,FALSE)</f>
        <v>#VALUE!</v>
      </c>
    </row>
    <row r="6650" spans="1:8" hidden="1" x14ac:dyDescent="0.3">
      <c r="A6650" t="s">
        <v>30</v>
      </c>
      <c r="B6650">
        <v>2019</v>
      </c>
      <c r="C6650" t="s">
        <v>46</v>
      </c>
      <c r="D6650" t="s">
        <v>9</v>
      </c>
      <c r="E6650" t="e">
        <f>VLOOKUP(Cpi_[[#This Row],[Attribute]],#REF!,2,FALSE)</f>
        <v>#REF!</v>
      </c>
      <c r="F6650">
        <v>209.5</v>
      </c>
      <c r="G6650">
        <f>(Cpi_[[#This Row],[Value]]-F6649)/F6649</f>
        <v>0.45183645183645171</v>
      </c>
      <c r="H6650" t="e" cm="1" vm="1">
        <f t="array" aca="1" ref="H6650" ca="1">VLOOKUP(Cpi_[[#This Row],[Year]:[Month]],crudeoil[],3,FALSE)</f>
        <v>#VALUE!</v>
      </c>
    </row>
    <row r="6651" spans="1:8" hidden="1" x14ac:dyDescent="0.3">
      <c r="A6651" t="s">
        <v>30</v>
      </c>
      <c r="B6651">
        <v>2019</v>
      </c>
      <c r="C6651" t="s">
        <v>46</v>
      </c>
      <c r="D6651" t="s">
        <v>10</v>
      </c>
      <c r="E6651" t="e">
        <f>VLOOKUP(Cpi_[[#This Row],[Attribute]],#REF!,2,FALSE)</f>
        <v>#REF!</v>
      </c>
      <c r="F6651">
        <v>138.80000000000001</v>
      </c>
      <c r="G6651">
        <f>(Cpi_[[#This Row],[Value]]-F6650)/F6650</f>
        <v>-0.33747016706443911</v>
      </c>
      <c r="H6651" t="e" cm="1" vm="1">
        <f t="array" aca="1" ref="H6651" ca="1">VLOOKUP(Cpi_[[#This Row],[Year]:[Month]],crudeoil[],3,FALSE)</f>
        <v>#VALUE!</v>
      </c>
    </row>
    <row r="6652" spans="1:8" hidden="1" x14ac:dyDescent="0.3">
      <c r="A6652" t="s">
        <v>30</v>
      </c>
      <c r="B6652">
        <v>2019</v>
      </c>
      <c r="C6652" t="s">
        <v>46</v>
      </c>
      <c r="D6652" t="s">
        <v>11</v>
      </c>
      <c r="E6652" t="e">
        <f>VLOOKUP(Cpi_[[#This Row],[Attribute]],#REF!,2,FALSE)</f>
        <v>#REF!</v>
      </c>
      <c r="F6652">
        <v>113.6</v>
      </c>
      <c r="G6652">
        <f>(Cpi_[[#This Row],[Value]]-F6651)/F6651</f>
        <v>-0.18155619596541797</v>
      </c>
      <c r="H6652" t="e" cm="1" vm="1">
        <f t="array" aca="1" ref="H6652" ca="1">VLOOKUP(Cpi_[[#This Row],[Year]:[Month]],crudeoil[],3,FALSE)</f>
        <v>#VALUE!</v>
      </c>
    </row>
    <row r="6653" spans="1:8" hidden="1" x14ac:dyDescent="0.3">
      <c r="A6653" t="s">
        <v>30</v>
      </c>
      <c r="B6653">
        <v>2019</v>
      </c>
      <c r="C6653" t="s">
        <v>46</v>
      </c>
      <c r="D6653" t="s">
        <v>12</v>
      </c>
      <c r="E6653" t="e">
        <f>VLOOKUP(Cpi_[[#This Row],[Attribute]],#REF!,2,FALSE)</f>
        <v>#REF!</v>
      </c>
      <c r="F6653">
        <v>149.1</v>
      </c>
      <c r="G6653">
        <f>(Cpi_[[#This Row],[Value]]-F6652)/F6652</f>
        <v>0.3125</v>
      </c>
      <c r="H6653" t="e" cm="1" vm="1">
        <f t="array" aca="1" ref="H6653" ca="1">VLOOKUP(Cpi_[[#This Row],[Year]:[Month]],crudeoil[],3,FALSE)</f>
        <v>#VALUE!</v>
      </c>
    </row>
    <row r="6654" spans="1:8" hidden="1" x14ac:dyDescent="0.3">
      <c r="A6654" t="s">
        <v>30</v>
      </c>
      <c r="B6654">
        <v>2019</v>
      </c>
      <c r="C6654" t="s">
        <v>46</v>
      </c>
      <c r="D6654" t="s">
        <v>13</v>
      </c>
      <c r="E6654" t="e">
        <f>VLOOKUP(Cpi_[[#This Row],[Attribute]],#REF!,2,FALSE)</f>
        <v>#REF!</v>
      </c>
      <c r="F6654">
        <v>139.30000000000001</v>
      </c>
      <c r="G6654">
        <f>(Cpi_[[#This Row],[Value]]-F6653)/F6653</f>
        <v>-6.5727699530516326E-2</v>
      </c>
      <c r="H6654" t="e" cm="1" vm="1">
        <f t="array" aca="1" ref="H6654" ca="1">VLOOKUP(Cpi_[[#This Row],[Year]:[Month]],crudeoil[],3,FALSE)</f>
        <v>#VALUE!</v>
      </c>
    </row>
    <row r="6655" spans="1:8" hidden="1" x14ac:dyDescent="0.3">
      <c r="A6655" t="s">
        <v>30</v>
      </c>
      <c r="B6655">
        <v>2019</v>
      </c>
      <c r="C6655" t="s">
        <v>46</v>
      </c>
      <c r="D6655" t="s">
        <v>14</v>
      </c>
      <c r="E6655" t="e">
        <f>VLOOKUP(Cpi_[[#This Row],[Attribute]],#REF!,2,FALSE)</f>
        <v>#REF!</v>
      </c>
      <c r="F6655">
        <v>158.30000000000001</v>
      </c>
      <c r="G6655">
        <f>(Cpi_[[#This Row],[Value]]-F6654)/F6654</f>
        <v>0.13639626704953337</v>
      </c>
      <c r="H6655" t="e" cm="1" vm="1">
        <f t="array" aca="1" ref="H6655" ca="1">VLOOKUP(Cpi_[[#This Row],[Year]:[Month]],crudeoil[],3,FALSE)</f>
        <v>#VALUE!</v>
      </c>
    </row>
    <row r="6656" spans="1:8" hidden="1" x14ac:dyDescent="0.3">
      <c r="A6656" t="s">
        <v>30</v>
      </c>
      <c r="B6656">
        <v>2019</v>
      </c>
      <c r="C6656" t="s">
        <v>46</v>
      </c>
      <c r="D6656" t="s">
        <v>15</v>
      </c>
      <c r="E6656" t="e">
        <f>VLOOKUP(Cpi_[[#This Row],[Attribute]],#REF!,2,FALSE)</f>
        <v>#REF!</v>
      </c>
      <c r="F6656">
        <v>154.30000000000001</v>
      </c>
      <c r="G6656">
        <f>(Cpi_[[#This Row],[Value]]-F6655)/F6655</f>
        <v>-2.526847757422615E-2</v>
      </c>
      <c r="H6656" t="e" cm="1" vm="1">
        <f t="array" aca="1" ref="H6656" ca="1">VLOOKUP(Cpi_[[#This Row],[Year]:[Month]],crudeoil[],3,FALSE)</f>
        <v>#VALUE!</v>
      </c>
    </row>
    <row r="6657" spans="1:8" hidden="1" x14ac:dyDescent="0.3">
      <c r="A6657" t="s">
        <v>30</v>
      </c>
      <c r="B6657">
        <v>2019</v>
      </c>
      <c r="C6657" t="s">
        <v>46</v>
      </c>
      <c r="D6657" t="s">
        <v>16</v>
      </c>
      <c r="E6657" t="e">
        <f>VLOOKUP(Cpi_[[#This Row],[Attribute]],#REF!,2,FALSE)</f>
        <v>#REF!</v>
      </c>
      <c r="F6657">
        <v>167.8</v>
      </c>
      <c r="G6657">
        <f>(Cpi_[[#This Row],[Value]]-F6656)/F6656</f>
        <v>8.7491898898250153E-2</v>
      </c>
      <c r="H6657" t="e" cm="1" vm="1">
        <f t="array" aca="1" ref="H6657" ca="1">VLOOKUP(Cpi_[[#This Row],[Year]:[Month]],crudeoil[],3,FALSE)</f>
        <v>#VALUE!</v>
      </c>
    </row>
    <row r="6658" spans="1:8" hidden="1" x14ac:dyDescent="0.3">
      <c r="A6658" t="s">
        <v>30</v>
      </c>
      <c r="B6658">
        <v>2019</v>
      </c>
      <c r="C6658" t="s">
        <v>46</v>
      </c>
      <c r="D6658" t="s">
        <v>17</v>
      </c>
      <c r="E6658" t="e">
        <f>VLOOKUP(Cpi_[[#This Row],[Attribute]],#REF!,2,FALSE)</f>
        <v>#REF!</v>
      </c>
      <c r="F6658">
        <v>152.6</v>
      </c>
      <c r="G6658">
        <f>(Cpi_[[#This Row],[Value]]-F6657)/F6657</f>
        <v>-9.0584028605482814E-2</v>
      </c>
      <c r="H6658" t="e" cm="1" vm="1">
        <f t="array" aca="1" ref="H6658" ca="1">VLOOKUP(Cpi_[[#This Row],[Year]:[Month]],crudeoil[],3,FALSE)</f>
        <v>#VALUE!</v>
      </c>
    </row>
    <row r="6659" spans="1:8" hidden="1" x14ac:dyDescent="0.3">
      <c r="A6659" t="s">
        <v>30</v>
      </c>
      <c r="B6659">
        <v>2019</v>
      </c>
      <c r="C6659" t="s">
        <v>46</v>
      </c>
      <c r="D6659" t="s">
        <v>18</v>
      </c>
      <c r="E6659" t="e">
        <f>VLOOKUP(Cpi_[[#This Row],[Attribute]],#REF!,2,FALSE)</f>
        <v>#REF!</v>
      </c>
      <c r="F6659">
        <v>147.30000000000001</v>
      </c>
      <c r="G6659">
        <f>(Cpi_[[#This Row],[Value]]-F6658)/F6658</f>
        <v>-3.47313237221493E-2</v>
      </c>
      <c r="H6659" t="e" cm="1" vm="1">
        <f t="array" aca="1" ref="H6659" ca="1">VLOOKUP(Cpi_[[#This Row],[Year]:[Month]],crudeoil[],3,FALSE)</f>
        <v>#VALUE!</v>
      </c>
    </row>
    <row r="6660" spans="1:8" hidden="1" x14ac:dyDescent="0.3">
      <c r="A6660" t="s">
        <v>30</v>
      </c>
      <c r="B6660">
        <v>2019</v>
      </c>
      <c r="C6660" t="s">
        <v>46</v>
      </c>
      <c r="D6660" t="s">
        <v>19</v>
      </c>
      <c r="E6660" t="e">
        <f>VLOOKUP(Cpi_[[#This Row],[Attribute]],#REF!,2,FALSE)</f>
        <v>#REF!</v>
      </c>
      <c r="F6660">
        <v>151.9</v>
      </c>
      <c r="G6660">
        <f>(Cpi_[[#This Row],[Value]]-F6659)/F6659</f>
        <v>3.1228784792939539E-2</v>
      </c>
      <c r="H6660" t="e" cm="1" vm="1">
        <f t="array" aca="1" ref="H6660" ca="1">VLOOKUP(Cpi_[[#This Row],[Year]:[Month]],crudeoil[],3,FALSE)</f>
        <v>#VALUE!</v>
      </c>
    </row>
    <row r="6661" spans="1:8" hidden="1" x14ac:dyDescent="0.3">
      <c r="A6661" t="s">
        <v>30</v>
      </c>
      <c r="B6661">
        <v>2019</v>
      </c>
      <c r="C6661" t="s">
        <v>46</v>
      </c>
      <c r="D6661" t="s">
        <v>20</v>
      </c>
      <c r="E6661" t="e">
        <f>VLOOKUP(Cpi_[[#This Row],[Attribute]],#REF!,2,FALSE)</f>
        <v>#REF!</v>
      </c>
      <c r="F6661" t="s">
        <v>32</v>
      </c>
      <c r="G6661" t="e">
        <f>(Cpi_[[#This Row],[Value]]-F6660)/F6660</f>
        <v>#VALUE!</v>
      </c>
      <c r="H6661" t="e" cm="1" vm="1">
        <f t="array" aca="1" ref="H6661" ca="1">VLOOKUP(Cpi_[[#This Row],[Year]:[Month]],crudeoil[],3,FALSE)</f>
        <v>#VALUE!</v>
      </c>
    </row>
    <row r="6662" spans="1:8" hidden="1" x14ac:dyDescent="0.3">
      <c r="A6662" t="s">
        <v>30</v>
      </c>
      <c r="B6662">
        <v>2019</v>
      </c>
      <c r="C6662" t="s">
        <v>46</v>
      </c>
      <c r="D6662" t="s">
        <v>21</v>
      </c>
      <c r="E6662" t="e">
        <f>VLOOKUP(Cpi_[[#This Row],[Attribute]],#REF!,2,FALSE)</f>
        <v>#REF!</v>
      </c>
      <c r="F6662">
        <v>149.9</v>
      </c>
      <c r="G6662" t="e">
        <f>(Cpi_[[#This Row],[Value]]-F6661)/F6661</f>
        <v>#VALUE!</v>
      </c>
      <c r="H6662" t="e" cm="1" vm="1">
        <f t="array" aca="1" ref="H6662" ca="1">VLOOKUP(Cpi_[[#This Row],[Year]:[Month]],crudeoil[],3,FALSE)</f>
        <v>#VALUE!</v>
      </c>
    </row>
    <row r="6663" spans="1:8" hidden="1" x14ac:dyDescent="0.3">
      <c r="A6663" t="s">
        <v>30</v>
      </c>
      <c r="B6663">
        <v>2019</v>
      </c>
      <c r="C6663" t="s">
        <v>46</v>
      </c>
      <c r="D6663" t="s">
        <v>22</v>
      </c>
      <c r="E6663" t="e">
        <f>VLOOKUP(Cpi_[[#This Row],[Attribute]],#REF!,2,FALSE)</f>
        <v>#REF!</v>
      </c>
      <c r="F6663">
        <v>151.19999999999999</v>
      </c>
      <c r="G6663">
        <f>(Cpi_[[#This Row],[Value]]-F6662)/F6662</f>
        <v>8.672448298865796E-3</v>
      </c>
      <c r="H6663" t="e" cm="1" vm="1">
        <f t="array" aca="1" ref="H6663" ca="1">VLOOKUP(Cpi_[[#This Row],[Year]:[Month]],crudeoil[],3,FALSE)</f>
        <v>#VALUE!</v>
      </c>
    </row>
    <row r="6664" spans="1:8" hidden="1" x14ac:dyDescent="0.3">
      <c r="A6664" t="s">
        <v>30</v>
      </c>
      <c r="B6664">
        <v>2019</v>
      </c>
      <c r="C6664" t="s">
        <v>46</v>
      </c>
      <c r="D6664" t="s">
        <v>23</v>
      </c>
      <c r="E6664" t="e">
        <f>VLOOKUP(Cpi_[[#This Row],[Attribute]],#REF!,2,FALSE)</f>
        <v>#REF!</v>
      </c>
      <c r="F6664">
        <v>154.80000000000001</v>
      </c>
      <c r="G6664">
        <f>(Cpi_[[#This Row],[Value]]-F6663)/F6663</f>
        <v>2.3809523809523961E-2</v>
      </c>
      <c r="H6664" t="e" cm="1" vm="1">
        <f t="array" aca="1" ref="H6664" ca="1">VLOOKUP(Cpi_[[#This Row],[Year]:[Month]],crudeoil[],3,FALSE)</f>
        <v>#VALUE!</v>
      </c>
    </row>
    <row r="6665" spans="1:8" hidden="1" x14ac:dyDescent="0.3">
      <c r="A6665" t="s">
        <v>30</v>
      </c>
      <c r="B6665">
        <v>2019</v>
      </c>
      <c r="C6665" t="s">
        <v>46</v>
      </c>
      <c r="D6665" t="s">
        <v>24</v>
      </c>
      <c r="E6665" t="e">
        <f>VLOOKUP(Cpi_[[#This Row],[Attribute]],#REF!,2,FALSE)</f>
        <v>#REF!</v>
      </c>
      <c r="F6665">
        <v>135</v>
      </c>
      <c r="G6665">
        <f>(Cpi_[[#This Row],[Value]]-F6664)/F6664</f>
        <v>-0.12790697674418611</v>
      </c>
      <c r="H6665" t="e" cm="1" vm="1">
        <f t="array" aca="1" ref="H6665" ca="1">VLOOKUP(Cpi_[[#This Row],[Year]:[Month]],crudeoil[],3,FALSE)</f>
        <v>#VALUE!</v>
      </c>
    </row>
    <row r="6666" spans="1:8" hidden="1" x14ac:dyDescent="0.3">
      <c r="A6666" t="s">
        <v>30</v>
      </c>
      <c r="B6666">
        <v>2019</v>
      </c>
      <c r="C6666" t="s">
        <v>46</v>
      </c>
      <c r="D6666" t="s">
        <v>25</v>
      </c>
      <c r="E6666" t="e">
        <f>VLOOKUP(Cpi_[[#This Row],[Attribute]],#REF!,2,FALSE)</f>
        <v>#REF!</v>
      </c>
      <c r="F6666">
        <v>149.5</v>
      </c>
      <c r="G6666">
        <f>(Cpi_[[#This Row],[Value]]-F6665)/F6665</f>
        <v>0.10740740740740741</v>
      </c>
      <c r="H6666" t="e" cm="1" vm="1">
        <f t="array" aca="1" ref="H6666" ca="1">VLOOKUP(Cpi_[[#This Row],[Year]:[Month]],crudeoil[],3,FALSE)</f>
        <v>#VALUE!</v>
      </c>
    </row>
    <row r="6667" spans="1:8" hidden="1" x14ac:dyDescent="0.3">
      <c r="A6667" t="s">
        <v>30</v>
      </c>
      <c r="B6667">
        <v>2019</v>
      </c>
      <c r="C6667" t="s">
        <v>46</v>
      </c>
      <c r="D6667" t="s">
        <v>26</v>
      </c>
      <c r="E6667" t="e">
        <f>VLOOKUP(Cpi_[[#This Row],[Attribute]],#REF!,2,FALSE)</f>
        <v>#REF!</v>
      </c>
      <c r="F6667">
        <v>161.1</v>
      </c>
      <c r="G6667">
        <f>(Cpi_[[#This Row],[Value]]-F6666)/F6666</f>
        <v>7.7591973244147114E-2</v>
      </c>
      <c r="H6667" t="e" cm="1" vm="1">
        <f t="array" aca="1" ref="H6667" ca="1">VLOOKUP(Cpi_[[#This Row],[Year]:[Month]],crudeoil[],3,FALSE)</f>
        <v>#VALUE!</v>
      </c>
    </row>
    <row r="6668" spans="1:8" hidden="1" x14ac:dyDescent="0.3">
      <c r="A6668" t="s">
        <v>30</v>
      </c>
      <c r="B6668">
        <v>2019</v>
      </c>
      <c r="C6668" t="s">
        <v>46</v>
      </c>
      <c r="D6668" t="s">
        <v>27</v>
      </c>
      <c r="E6668" t="e">
        <f>VLOOKUP(Cpi_[[#This Row],[Attribute]],#REF!,2,FALSE)</f>
        <v>#REF!</v>
      </c>
      <c r="F6668">
        <v>140.6</v>
      </c>
      <c r="G6668">
        <f>(Cpi_[[#This Row],[Value]]-F6667)/F6667</f>
        <v>-0.12725015518311608</v>
      </c>
      <c r="H6668" t="e" cm="1" vm="1">
        <f t="array" aca="1" ref="H6668" ca="1">VLOOKUP(Cpi_[[#This Row],[Year]:[Month]],crudeoil[],3,FALSE)</f>
        <v>#VALUE!</v>
      </c>
    </row>
    <row r="6669" spans="1:8" hidden="1" x14ac:dyDescent="0.3">
      <c r="A6669" t="s">
        <v>30</v>
      </c>
      <c r="B6669">
        <v>2019</v>
      </c>
      <c r="C6669" t="s">
        <v>46</v>
      </c>
      <c r="D6669" t="s">
        <v>28</v>
      </c>
      <c r="E6669" t="e">
        <f>VLOOKUP(Cpi_[[#This Row],[Attribute]],#REF!,2,FALSE)</f>
        <v>#REF!</v>
      </c>
      <c r="F6669">
        <v>147.1</v>
      </c>
      <c r="G6669">
        <f>(Cpi_[[#This Row],[Value]]-F6668)/F6668</f>
        <v>4.6230440967283078E-2</v>
      </c>
      <c r="H6669" t="e" cm="1" vm="1">
        <f t="array" aca="1" ref="H6669" ca="1">VLOOKUP(Cpi_[[#This Row],[Year]:[Month]],crudeoil[],3,FALSE)</f>
        <v>#VALUE!</v>
      </c>
    </row>
    <row r="6670" spans="1:8" hidden="1" x14ac:dyDescent="0.3">
      <c r="A6670" t="s">
        <v>30</v>
      </c>
      <c r="B6670">
        <v>2019</v>
      </c>
      <c r="C6670" t="s">
        <v>46</v>
      </c>
      <c r="D6670" t="s">
        <v>29</v>
      </c>
      <c r="E6670" t="e" cm="1">
        <f t="array" aca="1" ref="E6670" ca="1">VLGeneral indexGeneral indexKUP(Cpi_[[#This Row],[Attribute]],#REF!,2,FALSE)</f>
        <v>#NAME?</v>
      </c>
      <c r="F6670">
        <v>152.30000000000001</v>
      </c>
      <c r="G6670">
        <f>(Cpi_[[#This Row],[Value]]-F6669)/F6669</f>
        <v>3.5350101971448111E-2</v>
      </c>
      <c r="H6670" t="e" cm="1" vm="1">
        <f t="array" aca="1" ref="H6670" ca="1">VLOOKUP(Cpi_[[#This Row],[Year]:[Month]],crudeoil[],3,FALSE)</f>
        <v>#VALUE!</v>
      </c>
    </row>
    <row r="6671" spans="1:8" hidden="1" x14ac:dyDescent="0.3">
      <c r="A6671" t="s">
        <v>33</v>
      </c>
      <c r="B6671">
        <v>2019</v>
      </c>
      <c r="C6671" t="s">
        <v>46</v>
      </c>
      <c r="D6671" t="s">
        <v>3</v>
      </c>
      <c r="E6671" t="e">
        <f>VLOOKUP(Cpi_[[#This Row],[Attribute]],#REF!,2,FALSE)</f>
        <v>#REF!</v>
      </c>
      <c r="F6671">
        <v>144.9</v>
      </c>
      <c r="G6671">
        <f>(Cpi_[[#This Row],[Value]]-F6670)/F6670</f>
        <v>-4.8588312541037459E-2</v>
      </c>
      <c r="H6671" t="e" cm="1" vm="1">
        <f t="array" aca="1" ref="H6671" ca="1">VLOOKUP(Cpi_[[#This Row],[Year]:[Month]],crudeoil[],3,FALSE)</f>
        <v>#VALUE!</v>
      </c>
    </row>
    <row r="6672" spans="1:8" hidden="1" x14ac:dyDescent="0.3">
      <c r="A6672" t="s">
        <v>33</v>
      </c>
      <c r="B6672">
        <v>2019</v>
      </c>
      <c r="C6672" t="s">
        <v>46</v>
      </c>
      <c r="D6672" t="s">
        <v>4</v>
      </c>
      <c r="E6672" t="e">
        <f>VLOOKUP(Cpi_[[#This Row],[Attribute]],#REF!,2,FALSE)</f>
        <v>#REF!</v>
      </c>
      <c r="F6672">
        <v>164.5</v>
      </c>
      <c r="G6672">
        <f>(Cpi_[[#This Row],[Value]]-F6671)/F6671</f>
        <v>0.13526570048309175</v>
      </c>
      <c r="H6672" t="e" cm="1" vm="1">
        <f t="array" aca="1" ref="H6672" ca="1">VLOOKUP(Cpi_[[#This Row],[Year]:[Month]],crudeoil[],3,FALSE)</f>
        <v>#VALUE!</v>
      </c>
    </row>
    <row r="6673" spans="1:8" hidden="1" x14ac:dyDescent="0.3">
      <c r="A6673" t="s">
        <v>33</v>
      </c>
      <c r="B6673">
        <v>2019</v>
      </c>
      <c r="C6673" t="s">
        <v>46</v>
      </c>
      <c r="D6673" t="s">
        <v>5</v>
      </c>
      <c r="E6673" t="e">
        <f>VLOOKUP(Cpi_[[#This Row],[Attribute]],#REF!,2,FALSE)</f>
        <v>#REF!</v>
      </c>
      <c r="F6673">
        <v>153.69999999999999</v>
      </c>
      <c r="G6673">
        <f>(Cpi_[[#This Row],[Value]]-F6672)/F6672</f>
        <v>-6.5653495440729556E-2</v>
      </c>
      <c r="H6673" t="e" cm="1" vm="1">
        <f t="array" aca="1" ref="H6673" ca="1">VLOOKUP(Cpi_[[#This Row],[Year]:[Month]],crudeoil[],3,FALSE)</f>
        <v>#VALUE!</v>
      </c>
    </row>
    <row r="6674" spans="1:8" hidden="1" x14ac:dyDescent="0.3">
      <c r="A6674" t="s">
        <v>33</v>
      </c>
      <c r="B6674">
        <v>2019</v>
      </c>
      <c r="C6674" t="s">
        <v>46</v>
      </c>
      <c r="D6674" t="s">
        <v>6</v>
      </c>
      <c r="E6674" t="e">
        <f>VLOOKUP(Cpi_[[#This Row],[Attribute]],#REF!,2,FALSE)</f>
        <v>#REF!</v>
      </c>
      <c r="F6674">
        <v>147.5</v>
      </c>
      <c r="G6674">
        <f>(Cpi_[[#This Row],[Value]]-F6673)/F6673</f>
        <v>-4.0338321405334998E-2</v>
      </c>
      <c r="H6674" t="e" cm="1" vm="1">
        <f t="array" aca="1" ref="H6674" ca="1">VLOOKUP(Cpi_[[#This Row],[Year]:[Month]],crudeoil[],3,FALSE)</f>
        <v>#VALUE!</v>
      </c>
    </row>
    <row r="6675" spans="1:8" hidden="1" x14ac:dyDescent="0.3">
      <c r="A6675" t="s">
        <v>33</v>
      </c>
      <c r="B6675">
        <v>2019</v>
      </c>
      <c r="C6675" t="s">
        <v>46</v>
      </c>
      <c r="D6675" t="s">
        <v>7</v>
      </c>
      <c r="E6675" t="e">
        <f>VLOOKUP(Cpi_[[#This Row],[Attribute]],#REF!,2,FALSE)</f>
        <v>#REF!</v>
      </c>
      <c r="F6675">
        <v>122.7</v>
      </c>
      <c r="G6675">
        <f>(Cpi_[[#This Row],[Value]]-F6674)/F6674</f>
        <v>-0.16813559322033897</v>
      </c>
      <c r="H6675" t="e" cm="1" vm="1">
        <f t="array" aca="1" ref="H6675" ca="1">VLOOKUP(Cpi_[[#This Row],[Year]:[Month]],crudeoil[],3,FALSE)</f>
        <v>#VALUE!</v>
      </c>
    </row>
    <row r="6676" spans="1:8" hidden="1" x14ac:dyDescent="0.3">
      <c r="A6676" t="s">
        <v>33</v>
      </c>
      <c r="B6676">
        <v>2019</v>
      </c>
      <c r="C6676" t="s">
        <v>46</v>
      </c>
      <c r="D6676" t="s">
        <v>8</v>
      </c>
      <c r="E6676" t="e">
        <f>VLOOKUP(Cpi_[[#This Row],[Attribute]],#REF!,2,FALSE)</f>
        <v>#REF!</v>
      </c>
      <c r="F6676">
        <v>147.19999999999999</v>
      </c>
      <c r="G6676">
        <f>(Cpi_[[#This Row],[Value]]-F6675)/F6675</f>
        <v>0.19967400162999174</v>
      </c>
      <c r="H6676" t="e" cm="1" vm="1">
        <f t="array" aca="1" ref="H6676" ca="1">VLOOKUP(Cpi_[[#This Row],[Year]:[Month]],crudeoil[],3,FALSE)</f>
        <v>#VALUE!</v>
      </c>
    </row>
    <row r="6677" spans="1:8" hidden="1" x14ac:dyDescent="0.3">
      <c r="A6677" t="s">
        <v>33</v>
      </c>
      <c r="B6677">
        <v>2019</v>
      </c>
      <c r="C6677" t="s">
        <v>46</v>
      </c>
      <c r="D6677" t="s">
        <v>9</v>
      </c>
      <c r="E6677" t="e">
        <f>VLOOKUP(Cpi_[[#This Row],[Attribute]],#REF!,2,FALSE)</f>
        <v>#REF!</v>
      </c>
      <c r="F6677">
        <v>231.5</v>
      </c>
      <c r="G6677">
        <f>(Cpi_[[#This Row],[Value]]-F6676)/F6676</f>
        <v>0.57269021739130443</v>
      </c>
      <c r="H6677" t="e" cm="1" vm="1">
        <f t="array" aca="1" ref="H6677" ca="1">VLOOKUP(Cpi_[[#This Row],[Year]:[Month]],crudeoil[],3,FALSE)</f>
        <v>#VALUE!</v>
      </c>
    </row>
    <row r="6678" spans="1:8" hidden="1" x14ac:dyDescent="0.3">
      <c r="A6678" t="s">
        <v>33</v>
      </c>
      <c r="B6678">
        <v>2019</v>
      </c>
      <c r="C6678" t="s">
        <v>46</v>
      </c>
      <c r="D6678" t="s">
        <v>10</v>
      </c>
      <c r="E6678" t="e">
        <f>VLOOKUP(Cpi_[[#This Row],[Attribute]],#REF!,2,FALSE)</f>
        <v>#REF!</v>
      </c>
      <c r="F6678">
        <v>137.19999999999999</v>
      </c>
      <c r="G6678">
        <f>(Cpi_[[#This Row],[Value]]-F6677)/F6677</f>
        <v>-0.40734341252699791</v>
      </c>
      <c r="H6678" t="e" cm="1" vm="1">
        <f t="array" aca="1" ref="H6678" ca="1">VLOOKUP(Cpi_[[#This Row],[Year]:[Month]],crudeoil[],3,FALSE)</f>
        <v>#VALUE!</v>
      </c>
    </row>
    <row r="6679" spans="1:8" hidden="1" x14ac:dyDescent="0.3">
      <c r="A6679" t="s">
        <v>33</v>
      </c>
      <c r="B6679">
        <v>2019</v>
      </c>
      <c r="C6679" t="s">
        <v>46</v>
      </c>
      <c r="D6679" t="s">
        <v>11</v>
      </c>
      <c r="E6679" t="e">
        <f>VLOOKUP(Cpi_[[#This Row],[Attribute]],#REF!,2,FALSE)</f>
        <v>#REF!</v>
      </c>
      <c r="F6679">
        <v>114.7</v>
      </c>
      <c r="G6679">
        <f>(Cpi_[[#This Row],[Value]]-F6678)/F6678</f>
        <v>-0.16399416909620981</v>
      </c>
      <c r="H6679" t="e" cm="1" vm="1">
        <f t="array" aca="1" ref="H6679" ca="1">VLOOKUP(Cpi_[[#This Row],[Year]:[Month]],crudeoil[],3,FALSE)</f>
        <v>#VALUE!</v>
      </c>
    </row>
    <row r="6680" spans="1:8" hidden="1" x14ac:dyDescent="0.3">
      <c r="A6680" t="s">
        <v>33</v>
      </c>
      <c r="B6680">
        <v>2019</v>
      </c>
      <c r="C6680" t="s">
        <v>46</v>
      </c>
      <c r="D6680" t="s">
        <v>12</v>
      </c>
      <c r="E6680" t="e">
        <f>VLOOKUP(Cpi_[[#This Row],[Attribute]],#REF!,2,FALSE)</f>
        <v>#REF!</v>
      </c>
      <c r="F6680">
        <v>148</v>
      </c>
      <c r="G6680">
        <f>(Cpi_[[#This Row],[Value]]-F6679)/F6679</f>
        <v>0.29032258064516125</v>
      </c>
      <c r="H6680" t="e" cm="1" vm="1">
        <f t="array" aca="1" ref="H6680" ca="1">VLOOKUP(Cpi_[[#This Row],[Year]:[Month]],crudeoil[],3,FALSE)</f>
        <v>#VALUE!</v>
      </c>
    </row>
    <row r="6681" spans="1:8" hidden="1" x14ac:dyDescent="0.3">
      <c r="A6681" t="s">
        <v>33</v>
      </c>
      <c r="B6681">
        <v>2019</v>
      </c>
      <c r="C6681" t="s">
        <v>46</v>
      </c>
      <c r="D6681" t="s">
        <v>13</v>
      </c>
      <c r="E6681" t="e">
        <f>VLOOKUP(Cpi_[[#This Row],[Attribute]],#REF!,2,FALSE)</f>
        <v>#REF!</v>
      </c>
      <c r="F6681">
        <v>130.80000000000001</v>
      </c>
      <c r="G6681">
        <f>(Cpi_[[#This Row],[Value]]-F6680)/F6680</f>
        <v>-0.11621621621621614</v>
      </c>
      <c r="H6681" t="e" cm="1" vm="1">
        <f t="array" aca="1" ref="H6681" ca="1">VLOOKUP(Cpi_[[#This Row],[Year]:[Month]],crudeoil[],3,FALSE)</f>
        <v>#VALUE!</v>
      </c>
    </row>
    <row r="6682" spans="1:8" hidden="1" x14ac:dyDescent="0.3">
      <c r="A6682" t="s">
        <v>33</v>
      </c>
      <c r="B6682">
        <v>2019</v>
      </c>
      <c r="C6682" t="s">
        <v>46</v>
      </c>
      <c r="D6682" t="s">
        <v>14</v>
      </c>
      <c r="E6682" t="e">
        <f>VLOOKUP(Cpi_[[#This Row],[Attribute]],#REF!,2,FALSE)</f>
        <v>#REF!</v>
      </c>
      <c r="F6682">
        <v>157.69999999999999</v>
      </c>
      <c r="G6682">
        <f>(Cpi_[[#This Row],[Value]]-F6681)/F6681</f>
        <v>0.20565749235473987</v>
      </c>
      <c r="H6682" t="e" cm="1" vm="1">
        <f t="array" aca="1" ref="H6682" ca="1">VLOOKUP(Cpi_[[#This Row],[Year]:[Month]],crudeoil[],3,FALSE)</f>
        <v>#VALUE!</v>
      </c>
    </row>
    <row r="6683" spans="1:8" hidden="1" x14ac:dyDescent="0.3">
      <c r="A6683" t="s">
        <v>33</v>
      </c>
      <c r="B6683">
        <v>2019</v>
      </c>
      <c r="C6683" t="s">
        <v>46</v>
      </c>
      <c r="D6683" t="s">
        <v>15</v>
      </c>
      <c r="E6683" t="e">
        <f>VLOOKUP(Cpi_[[#This Row],[Attribute]],#REF!,2,FALSE)</f>
        <v>#REF!</v>
      </c>
      <c r="F6683">
        <v>156.30000000000001</v>
      </c>
      <c r="G6683">
        <f>(Cpi_[[#This Row],[Value]]-F6682)/F6682</f>
        <v>-8.8776157260620006E-3</v>
      </c>
      <c r="H6683" t="e" cm="1" vm="1">
        <f t="array" aca="1" ref="H6683" ca="1">VLOOKUP(Cpi_[[#This Row],[Year]:[Month]],crudeoil[],3,FALSE)</f>
        <v>#VALUE!</v>
      </c>
    </row>
    <row r="6684" spans="1:8" hidden="1" x14ac:dyDescent="0.3">
      <c r="A6684" t="s">
        <v>33</v>
      </c>
      <c r="B6684">
        <v>2019</v>
      </c>
      <c r="C6684" t="s">
        <v>46</v>
      </c>
      <c r="D6684" t="s">
        <v>16</v>
      </c>
      <c r="E6684" t="e">
        <f>VLOOKUP(Cpi_[[#This Row],[Attribute]],#REF!,2,FALSE)</f>
        <v>#REF!</v>
      </c>
      <c r="F6684">
        <v>170.4</v>
      </c>
      <c r="G6684">
        <f>(Cpi_[[#This Row],[Value]]-F6683)/F6683</f>
        <v>9.0211132437619912E-2</v>
      </c>
      <c r="H6684" t="e" cm="1" vm="1">
        <f t="array" aca="1" ref="H6684" ca="1">VLOOKUP(Cpi_[[#This Row],[Year]:[Month]],crudeoil[],3,FALSE)</f>
        <v>#VALUE!</v>
      </c>
    </row>
    <row r="6685" spans="1:8" hidden="1" x14ac:dyDescent="0.3">
      <c r="A6685" t="s">
        <v>33</v>
      </c>
      <c r="B6685">
        <v>2019</v>
      </c>
      <c r="C6685" t="s">
        <v>46</v>
      </c>
      <c r="D6685" t="s">
        <v>17</v>
      </c>
      <c r="E6685" t="e">
        <f>VLOOKUP(Cpi_[[#This Row],[Attribute]],#REF!,2,FALSE)</f>
        <v>#REF!</v>
      </c>
      <c r="F6685">
        <v>146.80000000000001</v>
      </c>
      <c r="G6685">
        <f>(Cpi_[[#This Row],[Value]]-F6684)/F6684</f>
        <v>-0.1384976525821596</v>
      </c>
      <c r="H6685" t="e" cm="1" vm="1">
        <f t="array" aca="1" ref="H6685" ca="1">VLOOKUP(Cpi_[[#This Row],[Year]:[Month]],crudeoil[],3,FALSE)</f>
        <v>#VALUE!</v>
      </c>
    </row>
    <row r="6686" spans="1:8" hidden="1" x14ac:dyDescent="0.3">
      <c r="A6686" t="s">
        <v>33</v>
      </c>
      <c r="B6686">
        <v>2019</v>
      </c>
      <c r="C6686" t="s">
        <v>46</v>
      </c>
      <c r="D6686" t="s">
        <v>18</v>
      </c>
      <c r="E6686" t="e">
        <f>VLOOKUP(Cpi_[[#This Row],[Attribute]],#REF!,2,FALSE)</f>
        <v>#REF!</v>
      </c>
      <c r="F6686">
        <v>132.80000000000001</v>
      </c>
      <c r="G6686">
        <f>(Cpi_[[#This Row],[Value]]-F6685)/F6685</f>
        <v>-9.5367847411444134E-2</v>
      </c>
      <c r="H6686" t="e" cm="1" vm="1">
        <f t="array" aca="1" ref="H6686" ca="1">VLOOKUP(Cpi_[[#This Row],[Year]:[Month]],crudeoil[],3,FALSE)</f>
        <v>#VALUE!</v>
      </c>
    </row>
    <row r="6687" spans="1:8" hidden="1" x14ac:dyDescent="0.3">
      <c r="A6687" t="s">
        <v>33</v>
      </c>
      <c r="B6687">
        <v>2019</v>
      </c>
      <c r="C6687" t="s">
        <v>46</v>
      </c>
      <c r="D6687" t="s">
        <v>19</v>
      </c>
      <c r="E6687" t="e">
        <f>VLOOKUP(Cpi_[[#This Row],[Attribute]],#REF!,2,FALSE)</f>
        <v>#REF!</v>
      </c>
      <c r="F6687">
        <v>144.6</v>
      </c>
      <c r="G6687">
        <f>(Cpi_[[#This Row],[Value]]-F6686)/F6686</f>
        <v>8.8855421686746858E-2</v>
      </c>
      <c r="H6687" t="e" cm="1" vm="1">
        <f t="array" aca="1" ref="H6687" ca="1">VLOOKUP(Cpi_[[#This Row],[Year]:[Month]],crudeoil[],3,FALSE)</f>
        <v>#VALUE!</v>
      </c>
    </row>
    <row r="6688" spans="1:8" hidden="1" x14ac:dyDescent="0.3">
      <c r="A6688" t="s">
        <v>33</v>
      </c>
      <c r="B6688">
        <v>2019</v>
      </c>
      <c r="C6688" t="s">
        <v>46</v>
      </c>
      <c r="D6688" t="s">
        <v>20</v>
      </c>
      <c r="E6688" t="e">
        <f>VLOOKUP(Cpi_[[#This Row],[Attribute]],#REF!,2,FALSE)</f>
        <v>#REF!</v>
      </c>
      <c r="F6688">
        <v>152.80000000000001</v>
      </c>
      <c r="G6688">
        <f>(Cpi_[[#This Row],[Value]]-F6687)/F6687</f>
        <v>5.6708160442600394E-2</v>
      </c>
      <c r="H6688" t="e" cm="1" vm="1">
        <f t="array" aca="1" ref="H6688" ca="1">VLOOKUP(Cpi_[[#This Row],[Year]:[Month]],crudeoil[],3,FALSE)</f>
        <v>#VALUE!</v>
      </c>
    </row>
    <row r="6689" spans="1:8" hidden="1" x14ac:dyDescent="0.3">
      <c r="A6689" t="s">
        <v>33</v>
      </c>
      <c r="B6689">
        <v>2019</v>
      </c>
      <c r="C6689" t="s">
        <v>46</v>
      </c>
      <c r="D6689" t="s">
        <v>21</v>
      </c>
      <c r="E6689" t="e">
        <f>VLOOKUP(Cpi_[[#This Row],[Attribute]],#REF!,2,FALSE)</f>
        <v>#REF!</v>
      </c>
      <c r="F6689">
        <v>133.6</v>
      </c>
      <c r="G6689">
        <f>(Cpi_[[#This Row],[Value]]-F6688)/F6688</f>
        <v>-0.12565445026178021</v>
      </c>
      <c r="H6689" t="e" cm="1" vm="1">
        <f t="array" aca="1" ref="H6689" ca="1">VLOOKUP(Cpi_[[#This Row],[Year]:[Month]],crudeoil[],3,FALSE)</f>
        <v>#VALUE!</v>
      </c>
    </row>
    <row r="6690" spans="1:8" hidden="1" x14ac:dyDescent="0.3">
      <c r="A6690" t="s">
        <v>33</v>
      </c>
      <c r="B6690">
        <v>2019</v>
      </c>
      <c r="C6690" t="s">
        <v>46</v>
      </c>
      <c r="D6690" t="s">
        <v>22</v>
      </c>
      <c r="E6690" t="e">
        <f>VLOOKUP(Cpi_[[#This Row],[Attribute]],#REF!,2,FALSE)</f>
        <v>#REF!</v>
      </c>
      <c r="F6690">
        <v>139.80000000000001</v>
      </c>
      <c r="G6690">
        <f>(Cpi_[[#This Row],[Value]]-F6689)/F6689</f>
        <v>4.6407185628742645E-2</v>
      </c>
      <c r="H6690" t="e" cm="1" vm="1">
        <f t="array" aca="1" ref="H6690" ca="1">VLOOKUP(Cpi_[[#This Row],[Year]:[Month]],crudeoil[],3,FALSE)</f>
        <v>#VALUE!</v>
      </c>
    </row>
    <row r="6691" spans="1:8" hidden="1" x14ac:dyDescent="0.3">
      <c r="A6691" t="s">
        <v>33</v>
      </c>
      <c r="B6691">
        <v>2019</v>
      </c>
      <c r="C6691" t="s">
        <v>46</v>
      </c>
      <c r="D6691" t="s">
        <v>23</v>
      </c>
      <c r="E6691" t="e">
        <f>VLOOKUP(Cpi_[[#This Row],[Attribute]],#REF!,2,FALSE)</f>
        <v>#REF!</v>
      </c>
      <c r="F6691">
        <v>143.19999999999999</v>
      </c>
      <c r="G6691">
        <f>(Cpi_[[#This Row],[Value]]-F6690)/F6690</f>
        <v>2.4320457796852483E-2</v>
      </c>
      <c r="H6691" t="e" cm="1" vm="1">
        <f t="array" aca="1" ref="H6691" ca="1">VLOOKUP(Cpi_[[#This Row],[Year]:[Month]],crudeoil[],3,FALSE)</f>
        <v>#VALUE!</v>
      </c>
    </row>
    <row r="6692" spans="1:8" hidden="1" x14ac:dyDescent="0.3">
      <c r="A6692" t="s">
        <v>33</v>
      </c>
      <c r="B6692">
        <v>2019</v>
      </c>
      <c r="C6692" t="s">
        <v>46</v>
      </c>
      <c r="D6692" t="s">
        <v>24</v>
      </c>
      <c r="E6692" t="e">
        <f>VLOOKUP(Cpi_[[#This Row],[Attribute]],#REF!,2,FALSE)</f>
        <v>#REF!</v>
      </c>
      <c r="F6692">
        <v>125.2</v>
      </c>
      <c r="G6692">
        <f>(Cpi_[[#This Row],[Value]]-F6691)/F6691</f>
        <v>-0.12569832402234629</v>
      </c>
      <c r="H6692" t="e" cm="1" vm="1">
        <f t="array" aca="1" ref="H6692" ca="1">VLOOKUP(Cpi_[[#This Row],[Year]:[Month]],crudeoil[],3,FALSE)</f>
        <v>#VALUE!</v>
      </c>
    </row>
    <row r="6693" spans="1:8" hidden="1" x14ac:dyDescent="0.3">
      <c r="A6693" t="s">
        <v>33</v>
      </c>
      <c r="B6693">
        <v>2019</v>
      </c>
      <c r="C6693" t="s">
        <v>46</v>
      </c>
      <c r="D6693" t="s">
        <v>25</v>
      </c>
      <c r="E6693" t="e">
        <f>VLOOKUP(Cpi_[[#This Row],[Attribute]],#REF!,2,FALSE)</f>
        <v>#REF!</v>
      </c>
      <c r="F6693">
        <v>136.80000000000001</v>
      </c>
      <c r="G6693">
        <f>(Cpi_[[#This Row],[Value]]-F6692)/F6692</f>
        <v>9.2651757188498468E-2</v>
      </c>
      <c r="H6693" t="e" cm="1" vm="1">
        <f t="array" aca="1" ref="H6693" ca="1">VLOOKUP(Cpi_[[#This Row],[Year]:[Month]],crudeoil[],3,FALSE)</f>
        <v>#VALUE!</v>
      </c>
    </row>
    <row r="6694" spans="1:8" hidden="1" x14ac:dyDescent="0.3">
      <c r="A6694" t="s">
        <v>33</v>
      </c>
      <c r="B6694">
        <v>2019</v>
      </c>
      <c r="C6694" t="s">
        <v>46</v>
      </c>
      <c r="D6694" t="s">
        <v>26</v>
      </c>
      <c r="E6694" t="e">
        <f>VLOOKUP(Cpi_[[#This Row],[Attribute]],#REF!,2,FALSE)</f>
        <v>#REF!</v>
      </c>
      <c r="F6694">
        <v>151.9</v>
      </c>
      <c r="G6694">
        <f>(Cpi_[[#This Row],[Value]]-F6693)/F6693</f>
        <v>0.11038011695906427</v>
      </c>
      <c r="H6694" t="e" cm="1" vm="1">
        <f t="array" aca="1" ref="H6694" ca="1">VLOOKUP(Cpi_[[#This Row],[Year]:[Month]],crudeoil[],3,FALSE)</f>
        <v>#VALUE!</v>
      </c>
    </row>
    <row r="6695" spans="1:8" hidden="1" x14ac:dyDescent="0.3">
      <c r="A6695" t="s">
        <v>33</v>
      </c>
      <c r="B6695">
        <v>2019</v>
      </c>
      <c r="C6695" t="s">
        <v>46</v>
      </c>
      <c r="D6695" t="s">
        <v>27</v>
      </c>
      <c r="E6695" t="e">
        <f>VLOOKUP(Cpi_[[#This Row],[Attribute]],#REF!,2,FALSE)</f>
        <v>#REF!</v>
      </c>
      <c r="F6695">
        <v>140.19999999999999</v>
      </c>
      <c r="G6695">
        <f>(Cpi_[[#This Row],[Value]]-F6694)/F6694</f>
        <v>-7.7024358130349024E-2</v>
      </c>
      <c r="H6695" t="e" cm="1" vm="1">
        <f t="array" aca="1" ref="H6695" ca="1">VLOOKUP(Cpi_[[#This Row],[Year]:[Month]],crudeoil[],3,FALSE)</f>
        <v>#VALUE!</v>
      </c>
    </row>
    <row r="6696" spans="1:8" hidden="1" x14ac:dyDescent="0.3">
      <c r="A6696" t="s">
        <v>33</v>
      </c>
      <c r="B6696">
        <v>2019</v>
      </c>
      <c r="C6696" t="s">
        <v>46</v>
      </c>
      <c r="D6696" t="s">
        <v>28</v>
      </c>
      <c r="E6696" t="e">
        <f>VLOOKUP(Cpi_[[#This Row],[Attribute]],#REF!,2,FALSE)</f>
        <v>#REF!</v>
      </c>
      <c r="F6696">
        <v>137.69999999999999</v>
      </c>
      <c r="G6696">
        <f>(Cpi_[[#This Row],[Value]]-F6695)/F6695</f>
        <v>-1.783166904422254E-2</v>
      </c>
      <c r="H6696" t="e" cm="1" vm="1">
        <f t="array" aca="1" ref="H6696" ca="1">VLOOKUP(Cpi_[[#This Row],[Year]:[Month]],crudeoil[],3,FALSE)</f>
        <v>#VALUE!</v>
      </c>
    </row>
    <row r="6697" spans="1:8" hidden="1" x14ac:dyDescent="0.3">
      <c r="A6697" t="s">
        <v>33</v>
      </c>
      <c r="B6697">
        <v>2019</v>
      </c>
      <c r="C6697" t="s">
        <v>46</v>
      </c>
      <c r="D6697" t="s">
        <v>29</v>
      </c>
      <c r="E6697" t="e" cm="1">
        <f t="array" aca="1" ref="E6697" ca="1">VLGeneral indexGeneral indexKUP(Cpi_[[#This Row],[Attribute]],#REF!,2,FALSE)</f>
        <v>#NAME?</v>
      </c>
      <c r="F6697">
        <v>148.30000000000001</v>
      </c>
      <c r="G6697">
        <f>(Cpi_[[#This Row],[Value]]-F6696)/F6696</f>
        <v>7.6978939724037937E-2</v>
      </c>
      <c r="H6697" t="e" cm="1" vm="1">
        <f t="array" aca="1" ref="H6697" ca="1">VLOOKUP(Cpi_[[#This Row],[Year]:[Month]],crudeoil[],3,FALSE)</f>
        <v>#VALUE!</v>
      </c>
    </row>
    <row r="6698" spans="1:8" hidden="1" x14ac:dyDescent="0.3">
      <c r="A6698" t="s">
        <v>34</v>
      </c>
      <c r="B6698">
        <v>2019</v>
      </c>
      <c r="C6698" t="s">
        <v>46</v>
      </c>
      <c r="D6698" t="s">
        <v>3</v>
      </c>
      <c r="E6698" t="e">
        <f>VLOOKUP(Cpi_[[#This Row],[Attribute]],#REF!,2,FALSE)</f>
        <v>#REF!</v>
      </c>
      <c r="F6698">
        <v>143.5</v>
      </c>
      <c r="G6698">
        <f>(Cpi_[[#This Row],[Value]]-F6697)/F6697</f>
        <v>-3.2366824005394548E-2</v>
      </c>
      <c r="H6698" t="e" cm="1" vm="1">
        <f t="array" aca="1" ref="H6698" ca="1">VLOOKUP(Cpi_[[#This Row],[Year]:[Month]],crudeoil[],3,FALSE)</f>
        <v>#VALUE!</v>
      </c>
    </row>
    <row r="6699" spans="1:8" hidden="1" x14ac:dyDescent="0.3">
      <c r="A6699" t="s">
        <v>34</v>
      </c>
      <c r="B6699">
        <v>2019</v>
      </c>
      <c r="C6699" t="s">
        <v>46</v>
      </c>
      <c r="D6699" t="s">
        <v>4</v>
      </c>
      <c r="E6699" t="e">
        <f>VLOOKUP(Cpi_[[#This Row],[Attribute]],#REF!,2,FALSE)</f>
        <v>#REF!</v>
      </c>
      <c r="F6699">
        <v>165</v>
      </c>
      <c r="G6699">
        <f>(Cpi_[[#This Row],[Value]]-F6698)/F6698</f>
        <v>0.14982578397212543</v>
      </c>
      <c r="H6699" t="e" cm="1" vm="1">
        <f t="array" aca="1" ref="H6699" ca="1">VLOOKUP(Cpi_[[#This Row],[Year]:[Month]],crudeoil[],3,FALSE)</f>
        <v>#VALUE!</v>
      </c>
    </row>
    <row r="6700" spans="1:8" hidden="1" x14ac:dyDescent="0.3">
      <c r="A6700" t="s">
        <v>34</v>
      </c>
      <c r="B6700">
        <v>2019</v>
      </c>
      <c r="C6700" t="s">
        <v>46</v>
      </c>
      <c r="D6700" t="s">
        <v>5</v>
      </c>
      <c r="E6700" t="e">
        <f>VLOOKUP(Cpi_[[#This Row],[Attribute]],#REF!,2,FALSE)</f>
        <v>#REF!</v>
      </c>
      <c r="F6700">
        <v>151.1</v>
      </c>
      <c r="G6700">
        <f>(Cpi_[[#This Row],[Value]]-F6699)/F6699</f>
        <v>-8.4242424242424271E-2</v>
      </c>
      <c r="H6700" t="e" cm="1" vm="1">
        <f t="array" aca="1" ref="H6700" ca="1">VLOOKUP(Cpi_[[#This Row],[Year]:[Month]],crudeoil[],3,FALSE)</f>
        <v>#VALUE!</v>
      </c>
    </row>
    <row r="6701" spans="1:8" hidden="1" x14ac:dyDescent="0.3">
      <c r="A6701" t="s">
        <v>34</v>
      </c>
      <c r="B6701">
        <v>2019</v>
      </c>
      <c r="C6701" t="s">
        <v>46</v>
      </c>
      <c r="D6701" t="s">
        <v>6</v>
      </c>
      <c r="E6701" t="e">
        <f>VLOOKUP(Cpi_[[#This Row],[Attribute]],#REF!,2,FALSE)</f>
        <v>#REF!</v>
      </c>
      <c r="F6701">
        <v>148.30000000000001</v>
      </c>
      <c r="G6701">
        <f>(Cpi_[[#This Row],[Value]]-F6700)/F6700</f>
        <v>-1.8530774321641186E-2</v>
      </c>
      <c r="H6701" t="e" cm="1" vm="1">
        <f t="array" aca="1" ref="H6701" ca="1">VLOOKUP(Cpi_[[#This Row],[Year]:[Month]],crudeoil[],3,FALSE)</f>
        <v>#VALUE!</v>
      </c>
    </row>
    <row r="6702" spans="1:8" hidden="1" x14ac:dyDescent="0.3">
      <c r="A6702" t="s">
        <v>34</v>
      </c>
      <c r="B6702">
        <v>2019</v>
      </c>
      <c r="C6702" t="s">
        <v>46</v>
      </c>
      <c r="D6702" t="s">
        <v>7</v>
      </c>
      <c r="E6702" t="e">
        <f>VLOOKUP(Cpi_[[#This Row],[Attribute]],#REF!,2,FALSE)</f>
        <v>#REF!</v>
      </c>
      <c r="F6702">
        <v>125.7</v>
      </c>
      <c r="G6702">
        <f>(Cpi_[[#This Row],[Value]]-F6701)/F6701</f>
        <v>-0.15239379635873235</v>
      </c>
      <c r="H6702" t="e" cm="1" vm="1">
        <f t="array" aca="1" ref="H6702" ca="1">VLOOKUP(Cpi_[[#This Row],[Year]:[Month]],crudeoil[],3,FALSE)</f>
        <v>#VALUE!</v>
      </c>
    </row>
    <row r="6703" spans="1:8" hidden="1" x14ac:dyDescent="0.3">
      <c r="A6703" t="s">
        <v>34</v>
      </c>
      <c r="B6703">
        <v>2019</v>
      </c>
      <c r="C6703" t="s">
        <v>46</v>
      </c>
      <c r="D6703" t="s">
        <v>8</v>
      </c>
      <c r="E6703" t="e">
        <f>VLOOKUP(Cpi_[[#This Row],[Attribute]],#REF!,2,FALSE)</f>
        <v>#REF!</v>
      </c>
      <c r="F6703">
        <v>145.69999999999999</v>
      </c>
      <c r="G6703">
        <f>(Cpi_[[#This Row],[Value]]-F6702)/F6702</f>
        <v>0.15910898965791556</v>
      </c>
      <c r="H6703" t="e" cm="1" vm="1">
        <f t="array" aca="1" ref="H6703" ca="1">VLOOKUP(Cpi_[[#This Row],[Year]:[Month]],crudeoil[],3,FALSE)</f>
        <v>#VALUE!</v>
      </c>
    </row>
    <row r="6704" spans="1:8" hidden="1" x14ac:dyDescent="0.3">
      <c r="A6704" t="s">
        <v>34</v>
      </c>
      <c r="B6704">
        <v>2019</v>
      </c>
      <c r="C6704" t="s">
        <v>46</v>
      </c>
      <c r="D6704" t="s">
        <v>9</v>
      </c>
      <c r="E6704" t="e">
        <f>VLOOKUP(Cpi_[[#This Row],[Attribute]],#REF!,2,FALSE)</f>
        <v>#REF!</v>
      </c>
      <c r="F6704">
        <v>217</v>
      </c>
      <c r="G6704">
        <f>(Cpi_[[#This Row],[Value]]-F6703)/F6703</f>
        <v>0.48936170212765967</v>
      </c>
      <c r="H6704" t="e" cm="1" vm="1">
        <f t="array" aca="1" ref="H6704" ca="1">VLOOKUP(Cpi_[[#This Row],[Year]:[Month]],crudeoil[],3,FALSE)</f>
        <v>#VALUE!</v>
      </c>
    </row>
    <row r="6705" spans="1:8" hidden="1" x14ac:dyDescent="0.3">
      <c r="A6705" t="s">
        <v>34</v>
      </c>
      <c r="B6705">
        <v>2019</v>
      </c>
      <c r="C6705" t="s">
        <v>46</v>
      </c>
      <c r="D6705" t="s">
        <v>10</v>
      </c>
      <c r="E6705" t="e">
        <f>VLOOKUP(Cpi_[[#This Row],[Attribute]],#REF!,2,FALSE)</f>
        <v>#REF!</v>
      </c>
      <c r="F6705">
        <v>138.30000000000001</v>
      </c>
      <c r="G6705">
        <f>(Cpi_[[#This Row],[Value]]-F6704)/F6704</f>
        <v>-0.36267281105990778</v>
      </c>
      <c r="H6705" t="e" cm="1" vm="1">
        <f t="array" aca="1" ref="H6705" ca="1">VLOOKUP(Cpi_[[#This Row],[Year]:[Month]],crudeoil[],3,FALSE)</f>
        <v>#VALUE!</v>
      </c>
    </row>
    <row r="6706" spans="1:8" hidden="1" x14ac:dyDescent="0.3">
      <c r="A6706" t="s">
        <v>34</v>
      </c>
      <c r="B6706">
        <v>2019</v>
      </c>
      <c r="C6706" t="s">
        <v>46</v>
      </c>
      <c r="D6706" t="s">
        <v>11</v>
      </c>
      <c r="E6706" t="e">
        <f>VLOOKUP(Cpi_[[#This Row],[Attribute]],#REF!,2,FALSE)</f>
        <v>#REF!</v>
      </c>
      <c r="F6706">
        <v>114</v>
      </c>
      <c r="G6706">
        <f>(Cpi_[[#This Row],[Value]]-F6705)/F6705</f>
        <v>-0.17570498915401309</v>
      </c>
      <c r="H6706" t="e" cm="1" vm="1">
        <f t="array" aca="1" ref="H6706" ca="1">VLOOKUP(Cpi_[[#This Row],[Year]:[Month]],crudeoil[],3,FALSE)</f>
        <v>#VALUE!</v>
      </c>
    </row>
    <row r="6707" spans="1:8" hidden="1" x14ac:dyDescent="0.3">
      <c r="A6707" t="s">
        <v>34</v>
      </c>
      <c r="B6707">
        <v>2019</v>
      </c>
      <c r="C6707" t="s">
        <v>46</v>
      </c>
      <c r="D6707" t="s">
        <v>12</v>
      </c>
      <c r="E6707" t="e">
        <f>VLOOKUP(Cpi_[[#This Row],[Attribute]],#REF!,2,FALSE)</f>
        <v>#REF!</v>
      </c>
      <c r="F6707">
        <v>148.69999999999999</v>
      </c>
      <c r="G6707">
        <f>(Cpi_[[#This Row],[Value]]-F6706)/F6706</f>
        <v>0.30438596491228059</v>
      </c>
      <c r="H6707" t="e" cm="1" vm="1">
        <f t="array" aca="1" ref="H6707" ca="1">VLOOKUP(Cpi_[[#This Row],[Year]:[Month]],crudeoil[],3,FALSE)</f>
        <v>#VALUE!</v>
      </c>
    </row>
    <row r="6708" spans="1:8" hidden="1" x14ac:dyDescent="0.3">
      <c r="A6708" t="s">
        <v>34</v>
      </c>
      <c r="B6708">
        <v>2019</v>
      </c>
      <c r="C6708" t="s">
        <v>46</v>
      </c>
      <c r="D6708" t="s">
        <v>13</v>
      </c>
      <c r="E6708" t="e">
        <f>VLOOKUP(Cpi_[[#This Row],[Attribute]],#REF!,2,FALSE)</f>
        <v>#REF!</v>
      </c>
      <c r="F6708">
        <v>135.80000000000001</v>
      </c>
      <c r="G6708">
        <f>(Cpi_[[#This Row],[Value]]-F6707)/F6707</f>
        <v>-8.6751849361129646E-2</v>
      </c>
      <c r="H6708" t="e" cm="1" vm="1">
        <f t="array" aca="1" ref="H6708" ca="1">VLOOKUP(Cpi_[[#This Row],[Year]:[Month]],crudeoil[],3,FALSE)</f>
        <v>#VALUE!</v>
      </c>
    </row>
    <row r="6709" spans="1:8" hidden="1" x14ac:dyDescent="0.3">
      <c r="A6709" t="s">
        <v>34</v>
      </c>
      <c r="B6709">
        <v>2019</v>
      </c>
      <c r="C6709" t="s">
        <v>46</v>
      </c>
      <c r="D6709" t="s">
        <v>14</v>
      </c>
      <c r="E6709" t="e">
        <f>VLOOKUP(Cpi_[[#This Row],[Attribute]],#REF!,2,FALSE)</f>
        <v>#REF!</v>
      </c>
      <c r="F6709">
        <v>158</v>
      </c>
      <c r="G6709">
        <f>(Cpi_[[#This Row],[Value]]-F6708)/F6708</f>
        <v>0.16347569955817368</v>
      </c>
      <c r="H6709" t="e" cm="1" vm="1">
        <f t="array" aca="1" ref="H6709" ca="1">VLOOKUP(Cpi_[[#This Row],[Year]:[Month]],crudeoil[],3,FALSE)</f>
        <v>#VALUE!</v>
      </c>
    </row>
    <row r="6710" spans="1:8" hidden="1" x14ac:dyDescent="0.3">
      <c r="A6710" t="s">
        <v>34</v>
      </c>
      <c r="B6710">
        <v>2019</v>
      </c>
      <c r="C6710" t="s">
        <v>46</v>
      </c>
      <c r="D6710" t="s">
        <v>15</v>
      </c>
      <c r="E6710" t="e">
        <f>VLOOKUP(Cpi_[[#This Row],[Attribute]],#REF!,2,FALSE)</f>
        <v>#REF!</v>
      </c>
      <c r="F6710">
        <v>155</v>
      </c>
      <c r="G6710">
        <f>(Cpi_[[#This Row],[Value]]-F6709)/F6709</f>
        <v>-1.8987341772151899E-2</v>
      </c>
      <c r="H6710" t="e" cm="1" vm="1">
        <f t="array" aca="1" ref="H6710" ca="1">VLOOKUP(Cpi_[[#This Row],[Year]:[Month]],crudeoil[],3,FALSE)</f>
        <v>#VALUE!</v>
      </c>
    </row>
    <row r="6711" spans="1:8" hidden="1" x14ac:dyDescent="0.3">
      <c r="A6711" t="s">
        <v>34</v>
      </c>
      <c r="B6711">
        <v>2019</v>
      </c>
      <c r="C6711" t="s">
        <v>46</v>
      </c>
      <c r="D6711" t="s">
        <v>16</v>
      </c>
      <c r="E6711" t="e">
        <f>VLOOKUP(Cpi_[[#This Row],[Attribute]],#REF!,2,FALSE)</f>
        <v>#REF!</v>
      </c>
      <c r="F6711">
        <v>168.5</v>
      </c>
      <c r="G6711">
        <f>(Cpi_[[#This Row],[Value]]-F6710)/F6710</f>
        <v>8.7096774193548387E-2</v>
      </c>
      <c r="H6711" t="e" cm="1" vm="1">
        <f t="array" aca="1" ref="H6711" ca="1">VLOOKUP(Cpi_[[#This Row],[Year]:[Month]],crudeoil[],3,FALSE)</f>
        <v>#VALUE!</v>
      </c>
    </row>
    <row r="6712" spans="1:8" hidden="1" x14ac:dyDescent="0.3">
      <c r="A6712" t="s">
        <v>34</v>
      </c>
      <c r="B6712">
        <v>2019</v>
      </c>
      <c r="C6712" t="s">
        <v>46</v>
      </c>
      <c r="D6712" t="s">
        <v>17</v>
      </c>
      <c r="E6712" t="e">
        <f>VLOOKUP(Cpi_[[#This Row],[Attribute]],#REF!,2,FALSE)</f>
        <v>#REF!</v>
      </c>
      <c r="F6712">
        <v>150.30000000000001</v>
      </c>
      <c r="G6712">
        <f>(Cpi_[[#This Row],[Value]]-F6711)/F6711</f>
        <v>-0.10801186943620171</v>
      </c>
      <c r="H6712" t="e" cm="1" vm="1">
        <f t="array" aca="1" ref="H6712" ca="1">VLOOKUP(Cpi_[[#This Row],[Year]:[Month]],crudeoil[],3,FALSE)</f>
        <v>#VALUE!</v>
      </c>
    </row>
    <row r="6713" spans="1:8" hidden="1" x14ac:dyDescent="0.3">
      <c r="A6713" t="s">
        <v>34</v>
      </c>
      <c r="B6713">
        <v>2019</v>
      </c>
      <c r="C6713" t="s">
        <v>46</v>
      </c>
      <c r="D6713" t="s">
        <v>18</v>
      </c>
      <c r="E6713" t="e">
        <f>VLOOKUP(Cpi_[[#This Row],[Attribute]],#REF!,2,FALSE)</f>
        <v>#REF!</v>
      </c>
      <c r="F6713">
        <v>141.30000000000001</v>
      </c>
      <c r="G6713">
        <f>(Cpi_[[#This Row],[Value]]-F6712)/F6712</f>
        <v>-5.9880239520958077E-2</v>
      </c>
      <c r="H6713" t="e" cm="1" vm="1">
        <f t="array" aca="1" ref="H6713" ca="1">VLOOKUP(Cpi_[[#This Row],[Year]:[Month]],crudeoil[],3,FALSE)</f>
        <v>#VALUE!</v>
      </c>
    </row>
    <row r="6714" spans="1:8" hidden="1" x14ac:dyDescent="0.3">
      <c r="A6714" t="s">
        <v>34</v>
      </c>
      <c r="B6714">
        <v>2019</v>
      </c>
      <c r="C6714" t="s">
        <v>46</v>
      </c>
      <c r="D6714" t="s">
        <v>19</v>
      </c>
      <c r="E6714" t="e">
        <f>VLOOKUP(Cpi_[[#This Row],[Attribute]],#REF!,2,FALSE)</f>
        <v>#REF!</v>
      </c>
      <c r="F6714">
        <v>149</v>
      </c>
      <c r="G6714">
        <f>(Cpi_[[#This Row],[Value]]-F6713)/F6713</f>
        <v>5.4493984430290077E-2</v>
      </c>
      <c r="H6714" t="e" cm="1" vm="1">
        <f t="array" aca="1" ref="H6714" ca="1">VLOOKUP(Cpi_[[#This Row],[Year]:[Month]],crudeoil[],3,FALSE)</f>
        <v>#VALUE!</v>
      </c>
    </row>
    <row r="6715" spans="1:8" hidden="1" x14ac:dyDescent="0.3">
      <c r="A6715" t="s">
        <v>34</v>
      </c>
      <c r="B6715">
        <v>2019</v>
      </c>
      <c r="C6715" t="s">
        <v>46</v>
      </c>
      <c r="D6715" t="s">
        <v>20</v>
      </c>
      <c r="E6715" t="e">
        <f>VLOOKUP(Cpi_[[#This Row],[Attribute]],#REF!,2,FALSE)</f>
        <v>#REF!</v>
      </c>
      <c r="F6715">
        <v>152.80000000000001</v>
      </c>
      <c r="G6715">
        <f>(Cpi_[[#This Row],[Value]]-F6714)/F6714</f>
        <v>2.5503355704698062E-2</v>
      </c>
      <c r="H6715" t="e" cm="1" vm="1">
        <f t="array" aca="1" ref="H6715" ca="1">VLOOKUP(Cpi_[[#This Row],[Year]:[Month]],crudeoil[],3,FALSE)</f>
        <v>#VALUE!</v>
      </c>
    </row>
    <row r="6716" spans="1:8" hidden="1" x14ac:dyDescent="0.3">
      <c r="A6716" t="s">
        <v>34</v>
      </c>
      <c r="B6716">
        <v>2019</v>
      </c>
      <c r="C6716" t="s">
        <v>46</v>
      </c>
      <c r="D6716" t="s">
        <v>21</v>
      </c>
      <c r="E6716" t="e">
        <f>VLOOKUP(Cpi_[[#This Row],[Attribute]],#REF!,2,FALSE)</f>
        <v>#REF!</v>
      </c>
      <c r="F6716">
        <v>143.69999999999999</v>
      </c>
      <c r="G6716">
        <f>(Cpi_[[#This Row],[Value]]-F6715)/F6715</f>
        <v>-5.9554973821989675E-2</v>
      </c>
      <c r="H6716" t="e" cm="1" vm="1">
        <f t="array" aca="1" ref="H6716" ca="1">VLOOKUP(Cpi_[[#This Row],[Year]:[Month]],crudeoil[],3,FALSE)</f>
        <v>#VALUE!</v>
      </c>
    </row>
    <row r="6717" spans="1:8" hidden="1" x14ac:dyDescent="0.3">
      <c r="A6717" t="s">
        <v>34</v>
      </c>
      <c r="B6717">
        <v>2019</v>
      </c>
      <c r="C6717" t="s">
        <v>46</v>
      </c>
      <c r="D6717" t="s">
        <v>22</v>
      </c>
      <c r="E6717" t="e">
        <f>VLOOKUP(Cpi_[[#This Row],[Attribute]],#REF!,2,FALSE)</f>
        <v>#REF!</v>
      </c>
      <c r="F6717">
        <v>145.80000000000001</v>
      </c>
      <c r="G6717">
        <f>(Cpi_[[#This Row],[Value]]-F6716)/F6716</f>
        <v>1.4613778705636902E-2</v>
      </c>
      <c r="H6717" t="e" cm="1" vm="1">
        <f t="array" aca="1" ref="H6717" ca="1">VLOOKUP(Cpi_[[#This Row],[Year]:[Month]],crudeoil[],3,FALSE)</f>
        <v>#VALUE!</v>
      </c>
    </row>
    <row r="6718" spans="1:8" hidden="1" x14ac:dyDescent="0.3">
      <c r="A6718" t="s">
        <v>34</v>
      </c>
      <c r="B6718">
        <v>2019</v>
      </c>
      <c r="C6718" t="s">
        <v>46</v>
      </c>
      <c r="D6718" t="s">
        <v>23</v>
      </c>
      <c r="E6718" t="e">
        <f>VLOOKUP(Cpi_[[#This Row],[Attribute]],#REF!,2,FALSE)</f>
        <v>#REF!</v>
      </c>
      <c r="F6718">
        <v>150.4</v>
      </c>
      <c r="G6718">
        <f>(Cpi_[[#This Row],[Value]]-F6717)/F6717</f>
        <v>3.155006858710558E-2</v>
      </c>
      <c r="H6718" t="e" cm="1" vm="1">
        <f t="array" aca="1" ref="H6718" ca="1">VLOOKUP(Cpi_[[#This Row],[Year]:[Month]],crudeoil[],3,FALSE)</f>
        <v>#VALUE!</v>
      </c>
    </row>
    <row r="6719" spans="1:8" hidden="1" x14ac:dyDescent="0.3">
      <c r="A6719" t="s">
        <v>34</v>
      </c>
      <c r="B6719">
        <v>2019</v>
      </c>
      <c r="C6719" t="s">
        <v>46</v>
      </c>
      <c r="D6719" t="s">
        <v>24</v>
      </c>
      <c r="E6719" t="e">
        <f>VLOOKUP(Cpi_[[#This Row],[Attribute]],#REF!,2,FALSE)</f>
        <v>#REF!</v>
      </c>
      <c r="F6719">
        <v>129.80000000000001</v>
      </c>
      <c r="G6719">
        <f>(Cpi_[[#This Row],[Value]]-F6718)/F6718</f>
        <v>-0.13696808510638295</v>
      </c>
      <c r="H6719" t="e" cm="1" vm="1">
        <f t="array" aca="1" ref="H6719" ca="1">VLOOKUP(Cpi_[[#This Row],[Year]:[Month]],crudeoil[],3,FALSE)</f>
        <v>#VALUE!</v>
      </c>
    </row>
    <row r="6720" spans="1:8" hidden="1" x14ac:dyDescent="0.3">
      <c r="A6720" t="s">
        <v>34</v>
      </c>
      <c r="B6720">
        <v>2019</v>
      </c>
      <c r="C6720" t="s">
        <v>46</v>
      </c>
      <c r="D6720" t="s">
        <v>25</v>
      </c>
      <c r="E6720" t="e">
        <f>VLOOKUP(Cpi_[[#This Row],[Attribute]],#REF!,2,FALSE)</f>
        <v>#REF!</v>
      </c>
      <c r="F6720">
        <v>142.30000000000001</v>
      </c>
      <c r="G6720">
        <f>(Cpi_[[#This Row],[Value]]-F6719)/F6719</f>
        <v>9.6302003081664089E-2</v>
      </c>
      <c r="H6720" t="e" cm="1" vm="1">
        <f t="array" aca="1" ref="H6720" ca="1">VLOOKUP(Cpi_[[#This Row],[Year]:[Month]],crudeoil[],3,FALSE)</f>
        <v>#VALUE!</v>
      </c>
    </row>
    <row r="6721" spans="1:8" hidden="1" x14ac:dyDescent="0.3">
      <c r="A6721" t="s">
        <v>34</v>
      </c>
      <c r="B6721">
        <v>2019</v>
      </c>
      <c r="C6721" t="s">
        <v>46</v>
      </c>
      <c r="D6721" t="s">
        <v>26</v>
      </c>
      <c r="E6721" t="e">
        <f>VLOOKUP(Cpi_[[#This Row],[Attribute]],#REF!,2,FALSE)</f>
        <v>#REF!</v>
      </c>
      <c r="F6721">
        <v>155.69999999999999</v>
      </c>
      <c r="G6721">
        <f>(Cpi_[[#This Row],[Value]]-F6720)/F6720</f>
        <v>9.4167252283907071E-2</v>
      </c>
      <c r="H6721" t="e" cm="1" vm="1">
        <f t="array" aca="1" ref="H6721" ca="1">VLOOKUP(Cpi_[[#This Row],[Year]:[Month]],crudeoil[],3,FALSE)</f>
        <v>#VALUE!</v>
      </c>
    </row>
    <row r="6722" spans="1:8" hidden="1" x14ac:dyDescent="0.3">
      <c r="A6722" t="s">
        <v>34</v>
      </c>
      <c r="B6722">
        <v>2019</v>
      </c>
      <c r="C6722" t="s">
        <v>46</v>
      </c>
      <c r="D6722" t="s">
        <v>27</v>
      </c>
      <c r="E6722" t="e">
        <f>VLOOKUP(Cpi_[[#This Row],[Attribute]],#REF!,2,FALSE)</f>
        <v>#REF!</v>
      </c>
      <c r="F6722">
        <v>140.4</v>
      </c>
      <c r="G6722">
        <f>(Cpi_[[#This Row],[Value]]-F6721)/F6721</f>
        <v>-9.8265895953757121E-2</v>
      </c>
      <c r="H6722" t="e" cm="1" vm="1">
        <f t="array" aca="1" ref="H6722" ca="1">VLOOKUP(Cpi_[[#This Row],[Year]:[Month]],crudeoil[],3,FALSE)</f>
        <v>#VALUE!</v>
      </c>
    </row>
    <row r="6723" spans="1:8" hidden="1" x14ac:dyDescent="0.3">
      <c r="A6723" t="s">
        <v>34</v>
      </c>
      <c r="B6723">
        <v>2019</v>
      </c>
      <c r="C6723" t="s">
        <v>46</v>
      </c>
      <c r="D6723" t="s">
        <v>28</v>
      </c>
      <c r="E6723" t="e">
        <f>VLOOKUP(Cpi_[[#This Row],[Attribute]],#REF!,2,FALSE)</f>
        <v>#REF!</v>
      </c>
      <c r="F6723">
        <v>142.5</v>
      </c>
      <c r="G6723">
        <f>(Cpi_[[#This Row],[Value]]-F6722)/F6722</f>
        <v>1.4957264957264916E-2</v>
      </c>
      <c r="H6723" t="e" cm="1" vm="1">
        <f t="array" aca="1" ref="H6723" ca="1">VLOOKUP(Cpi_[[#This Row],[Year]:[Month]],crudeoil[],3,FALSE)</f>
        <v>#VALUE!</v>
      </c>
    </row>
    <row r="6724" spans="1:8" hidden="1" x14ac:dyDescent="0.3">
      <c r="A6724" t="s">
        <v>34</v>
      </c>
      <c r="B6724">
        <v>2019</v>
      </c>
      <c r="C6724" t="s">
        <v>46</v>
      </c>
      <c r="D6724" t="s">
        <v>29</v>
      </c>
      <c r="E6724" t="e" cm="1">
        <f t="array" aca="1" ref="E6724" ca="1">VLGeneral indexGeneral indexKUP(Cpi_[[#This Row],[Attribute]],#REF!,2,FALSE)</f>
        <v>#NAME?</v>
      </c>
      <c r="F6724">
        <v>150.4</v>
      </c>
      <c r="G6724">
        <f>(Cpi_[[#This Row],[Value]]-F6723)/F6723</f>
        <v>5.5438596491228113E-2</v>
      </c>
      <c r="H6724" t="e" cm="1" vm="1">
        <f t="array" aca="1" ref="H6724" ca="1">VLOOKUP(Cpi_[[#This Row],[Year]:[Month]],crudeoil[],3,FALSE)</f>
        <v>#VALUE!</v>
      </c>
    </row>
    <row r="6725" spans="1:8" hidden="1" x14ac:dyDescent="0.3">
      <c r="A6725" t="s">
        <v>30</v>
      </c>
      <c r="B6725">
        <v>2020</v>
      </c>
      <c r="C6725" t="s">
        <v>31</v>
      </c>
      <c r="D6725" t="s">
        <v>3</v>
      </c>
      <c r="E6725" t="e">
        <f>VLOOKUP(Cpi_[[#This Row],[Attribute]],#REF!,2,FALSE)</f>
        <v>#REF!</v>
      </c>
      <c r="F6725">
        <v>143.69999999999999</v>
      </c>
      <c r="G6725">
        <f>(Cpi_[[#This Row],[Value]]-F6724)/F6724</f>
        <v>-4.4547872340425641E-2</v>
      </c>
      <c r="H6725" t="e" cm="1" vm="1">
        <f t="array" aca="1" ref="H6725" ca="1">VLOOKUP(Cpi_[[#This Row],[Year]:[Month]],crudeoil[],3,FALSE)</f>
        <v>#VALUE!</v>
      </c>
    </row>
    <row r="6726" spans="1:8" hidden="1" x14ac:dyDescent="0.3">
      <c r="A6726" t="s">
        <v>30</v>
      </c>
      <c r="B6726">
        <v>2020</v>
      </c>
      <c r="C6726" t="s">
        <v>31</v>
      </c>
      <c r="D6726" t="s">
        <v>4</v>
      </c>
      <c r="E6726" t="e">
        <f>VLOOKUP(Cpi_[[#This Row],[Attribute]],#REF!,2,FALSE)</f>
        <v>#REF!</v>
      </c>
      <c r="F6726">
        <v>167.3</v>
      </c>
      <c r="G6726">
        <f>(Cpi_[[#This Row],[Value]]-F6725)/F6725</f>
        <v>0.16423103688239404</v>
      </c>
      <c r="H6726" t="e" cm="1" vm="1">
        <f t="array" aca="1" ref="H6726" ca="1">VLOOKUP(Cpi_[[#This Row],[Year]:[Month]],crudeoil[],3,FALSE)</f>
        <v>#VALUE!</v>
      </c>
    </row>
    <row r="6727" spans="1:8" hidden="1" x14ac:dyDescent="0.3">
      <c r="A6727" t="s">
        <v>30</v>
      </c>
      <c r="B6727">
        <v>2020</v>
      </c>
      <c r="C6727" t="s">
        <v>31</v>
      </c>
      <c r="D6727" t="s">
        <v>5</v>
      </c>
      <c r="E6727" t="e">
        <f>VLOOKUP(Cpi_[[#This Row],[Attribute]],#REF!,2,FALSE)</f>
        <v>#REF!</v>
      </c>
      <c r="F6727">
        <v>153.5</v>
      </c>
      <c r="G6727">
        <f>(Cpi_[[#This Row],[Value]]-F6726)/F6726</f>
        <v>-8.2486551105798028E-2</v>
      </c>
      <c r="H6727" t="e" cm="1" vm="1">
        <f t="array" aca="1" ref="H6727" ca="1">VLOOKUP(Cpi_[[#This Row],[Year]:[Month]],crudeoil[],3,FALSE)</f>
        <v>#VALUE!</v>
      </c>
    </row>
    <row r="6728" spans="1:8" hidden="1" x14ac:dyDescent="0.3">
      <c r="A6728" t="s">
        <v>30</v>
      </c>
      <c r="B6728">
        <v>2020</v>
      </c>
      <c r="C6728" t="s">
        <v>31</v>
      </c>
      <c r="D6728" t="s">
        <v>6</v>
      </c>
      <c r="E6728" t="e">
        <f>VLOOKUP(Cpi_[[#This Row],[Attribute]],#REF!,2,FALSE)</f>
        <v>#REF!</v>
      </c>
      <c r="F6728">
        <v>150.5</v>
      </c>
      <c r="G6728">
        <f>(Cpi_[[#This Row],[Value]]-F6727)/F6727</f>
        <v>-1.9543973941368076E-2</v>
      </c>
      <c r="H6728" t="e" cm="1" vm="1">
        <f t="array" aca="1" ref="H6728" ca="1">VLOOKUP(Cpi_[[#This Row],[Year]:[Month]],crudeoil[],3,FALSE)</f>
        <v>#VALUE!</v>
      </c>
    </row>
    <row r="6729" spans="1:8" hidden="1" x14ac:dyDescent="0.3">
      <c r="A6729" t="s">
        <v>30</v>
      </c>
      <c r="B6729">
        <v>2020</v>
      </c>
      <c r="C6729" t="s">
        <v>31</v>
      </c>
      <c r="D6729" t="s">
        <v>7</v>
      </c>
      <c r="E6729" t="e">
        <f>VLOOKUP(Cpi_[[#This Row],[Attribute]],#REF!,2,FALSE)</f>
        <v>#REF!</v>
      </c>
      <c r="F6729">
        <v>132</v>
      </c>
      <c r="G6729">
        <f>(Cpi_[[#This Row],[Value]]-F6728)/F6728</f>
        <v>-0.12292358803986711</v>
      </c>
      <c r="H6729" t="e" cm="1" vm="1">
        <f t="array" aca="1" ref="H6729" ca="1">VLOOKUP(Cpi_[[#This Row],[Year]:[Month]],crudeoil[],3,FALSE)</f>
        <v>#VALUE!</v>
      </c>
    </row>
    <row r="6730" spans="1:8" hidden="1" x14ac:dyDescent="0.3">
      <c r="A6730" t="s">
        <v>30</v>
      </c>
      <c r="B6730">
        <v>2020</v>
      </c>
      <c r="C6730" t="s">
        <v>31</v>
      </c>
      <c r="D6730" t="s">
        <v>8</v>
      </c>
      <c r="E6730" t="e">
        <f>VLOOKUP(Cpi_[[#This Row],[Attribute]],#REF!,2,FALSE)</f>
        <v>#REF!</v>
      </c>
      <c r="F6730">
        <v>142.19999999999999</v>
      </c>
      <c r="G6730">
        <f>(Cpi_[[#This Row],[Value]]-F6729)/F6729</f>
        <v>7.7272727272727187E-2</v>
      </c>
      <c r="H6730" t="e" cm="1" vm="1">
        <f t="array" aca="1" ref="H6730" ca="1">VLOOKUP(Cpi_[[#This Row],[Year]:[Month]],crudeoil[],3,FALSE)</f>
        <v>#VALUE!</v>
      </c>
    </row>
    <row r="6731" spans="1:8" hidden="1" x14ac:dyDescent="0.3">
      <c r="A6731" t="s">
        <v>30</v>
      </c>
      <c r="B6731">
        <v>2020</v>
      </c>
      <c r="C6731" t="s">
        <v>31</v>
      </c>
      <c r="D6731" t="s">
        <v>9</v>
      </c>
      <c r="E6731" t="e">
        <f>VLOOKUP(Cpi_[[#This Row],[Attribute]],#REF!,2,FALSE)</f>
        <v>#REF!</v>
      </c>
      <c r="F6731">
        <v>191.5</v>
      </c>
      <c r="G6731">
        <f>(Cpi_[[#This Row],[Value]]-F6730)/F6730</f>
        <v>0.3466947960618848</v>
      </c>
      <c r="H6731" t="e" cm="1" vm="1">
        <f t="array" aca="1" ref="H6731" ca="1">VLOOKUP(Cpi_[[#This Row],[Year]:[Month]],crudeoil[],3,FALSE)</f>
        <v>#VALUE!</v>
      </c>
    </row>
    <row r="6732" spans="1:8" hidden="1" x14ac:dyDescent="0.3">
      <c r="A6732" t="s">
        <v>30</v>
      </c>
      <c r="B6732">
        <v>2020</v>
      </c>
      <c r="C6732" t="s">
        <v>31</v>
      </c>
      <c r="D6732" t="s">
        <v>10</v>
      </c>
      <c r="E6732" t="e">
        <f>VLOOKUP(Cpi_[[#This Row],[Attribute]],#REF!,2,FALSE)</f>
        <v>#REF!</v>
      </c>
      <c r="F6732">
        <v>141.1</v>
      </c>
      <c r="G6732">
        <f>(Cpi_[[#This Row],[Value]]-F6731)/F6731</f>
        <v>-0.26318537859007834</v>
      </c>
      <c r="H6732" t="e" cm="1" vm="1">
        <f t="array" aca="1" ref="H6732" ca="1">VLOOKUP(Cpi_[[#This Row],[Year]:[Month]],crudeoil[],3,FALSE)</f>
        <v>#VALUE!</v>
      </c>
    </row>
    <row r="6733" spans="1:8" hidden="1" x14ac:dyDescent="0.3">
      <c r="A6733" t="s">
        <v>30</v>
      </c>
      <c r="B6733">
        <v>2020</v>
      </c>
      <c r="C6733" t="s">
        <v>31</v>
      </c>
      <c r="D6733" t="s">
        <v>11</v>
      </c>
      <c r="E6733" t="e">
        <f>VLOOKUP(Cpi_[[#This Row],[Attribute]],#REF!,2,FALSE)</f>
        <v>#REF!</v>
      </c>
      <c r="F6733">
        <v>113.8</v>
      </c>
      <c r="G6733">
        <f>(Cpi_[[#This Row],[Value]]-F6732)/F6732</f>
        <v>-0.19347980155917788</v>
      </c>
      <c r="H6733" t="e" cm="1" vm="1">
        <f t="array" aca="1" ref="H6733" ca="1">VLOOKUP(Cpi_[[#This Row],[Year]:[Month]],crudeoil[],3,FALSE)</f>
        <v>#VALUE!</v>
      </c>
    </row>
    <row r="6734" spans="1:8" hidden="1" x14ac:dyDescent="0.3">
      <c r="A6734" t="s">
        <v>30</v>
      </c>
      <c r="B6734">
        <v>2020</v>
      </c>
      <c r="C6734" t="s">
        <v>31</v>
      </c>
      <c r="D6734" t="s">
        <v>12</v>
      </c>
      <c r="E6734" t="e">
        <f>VLOOKUP(Cpi_[[#This Row],[Attribute]],#REF!,2,FALSE)</f>
        <v>#REF!</v>
      </c>
      <c r="F6734">
        <v>151.6</v>
      </c>
      <c r="G6734">
        <f>(Cpi_[[#This Row],[Value]]-F6733)/F6733</f>
        <v>0.33216168717047451</v>
      </c>
      <c r="H6734" t="e" cm="1" vm="1">
        <f t="array" aca="1" ref="H6734" ca="1">VLOOKUP(Cpi_[[#This Row],[Year]:[Month]],crudeoil[],3,FALSE)</f>
        <v>#VALUE!</v>
      </c>
    </row>
    <row r="6735" spans="1:8" hidden="1" x14ac:dyDescent="0.3">
      <c r="A6735" t="s">
        <v>30</v>
      </c>
      <c r="B6735">
        <v>2020</v>
      </c>
      <c r="C6735" t="s">
        <v>31</v>
      </c>
      <c r="D6735" t="s">
        <v>13</v>
      </c>
      <c r="E6735" t="e">
        <f>VLOOKUP(Cpi_[[#This Row],[Attribute]],#REF!,2,FALSE)</f>
        <v>#REF!</v>
      </c>
      <c r="F6735">
        <v>139.69999999999999</v>
      </c>
      <c r="G6735">
        <f>(Cpi_[[#This Row],[Value]]-F6734)/F6734</f>
        <v>-7.8496042216358877E-2</v>
      </c>
      <c r="H6735" t="e" cm="1" vm="1">
        <f t="array" aca="1" ref="H6735" ca="1">VLOOKUP(Cpi_[[#This Row],[Year]:[Month]],crudeoil[],3,FALSE)</f>
        <v>#VALUE!</v>
      </c>
    </row>
    <row r="6736" spans="1:8" hidden="1" x14ac:dyDescent="0.3">
      <c r="A6736" t="s">
        <v>30</v>
      </c>
      <c r="B6736">
        <v>2020</v>
      </c>
      <c r="C6736" t="s">
        <v>31</v>
      </c>
      <c r="D6736" t="s">
        <v>14</v>
      </c>
      <c r="E6736" t="e">
        <f>VLOOKUP(Cpi_[[#This Row],[Attribute]],#REF!,2,FALSE)</f>
        <v>#REF!</v>
      </c>
      <c r="F6736">
        <v>158.69999999999999</v>
      </c>
      <c r="G6736">
        <f>(Cpi_[[#This Row],[Value]]-F6735)/F6735</f>
        <v>0.13600572655690768</v>
      </c>
      <c r="H6736" t="e" cm="1" vm="1">
        <f t="array" aca="1" ref="H6736" ca="1">VLOOKUP(Cpi_[[#This Row],[Year]:[Month]],crudeoil[],3,FALSE)</f>
        <v>#VALUE!</v>
      </c>
    </row>
    <row r="6737" spans="1:8" hidden="1" x14ac:dyDescent="0.3">
      <c r="A6737" t="s">
        <v>30</v>
      </c>
      <c r="B6737">
        <v>2020</v>
      </c>
      <c r="C6737" t="s">
        <v>31</v>
      </c>
      <c r="D6737" t="s">
        <v>15</v>
      </c>
      <c r="E6737" t="e">
        <f>VLOOKUP(Cpi_[[#This Row],[Attribute]],#REF!,2,FALSE)</f>
        <v>#REF!</v>
      </c>
      <c r="F6737">
        <v>153</v>
      </c>
      <c r="G6737">
        <f>(Cpi_[[#This Row],[Value]]-F6736)/F6736</f>
        <v>-3.5916824196597287E-2</v>
      </c>
      <c r="H6737" t="e" cm="1" vm="1">
        <f t="array" aca="1" ref="H6737" ca="1">VLOOKUP(Cpi_[[#This Row],[Year]:[Month]],crudeoil[],3,FALSE)</f>
        <v>#VALUE!</v>
      </c>
    </row>
    <row r="6738" spans="1:8" hidden="1" x14ac:dyDescent="0.3">
      <c r="A6738" t="s">
        <v>30</v>
      </c>
      <c r="B6738">
        <v>2020</v>
      </c>
      <c r="C6738" t="s">
        <v>31</v>
      </c>
      <c r="D6738" t="s">
        <v>16</v>
      </c>
      <c r="E6738" t="e">
        <f>VLOOKUP(Cpi_[[#This Row],[Attribute]],#REF!,2,FALSE)</f>
        <v>#REF!</v>
      </c>
      <c r="F6738">
        <v>168.6</v>
      </c>
      <c r="G6738">
        <f>(Cpi_[[#This Row],[Value]]-F6737)/F6737</f>
        <v>0.10196078431372545</v>
      </c>
      <c r="H6738" t="e" cm="1" vm="1">
        <f t="array" aca="1" ref="H6738" ca="1">VLOOKUP(Cpi_[[#This Row],[Year]:[Month]],crudeoil[],3,FALSE)</f>
        <v>#VALUE!</v>
      </c>
    </row>
    <row r="6739" spans="1:8" hidden="1" x14ac:dyDescent="0.3">
      <c r="A6739" t="s">
        <v>30</v>
      </c>
      <c r="B6739">
        <v>2020</v>
      </c>
      <c r="C6739" t="s">
        <v>31</v>
      </c>
      <c r="D6739" t="s">
        <v>17</v>
      </c>
      <c r="E6739" t="e">
        <f>VLOOKUP(Cpi_[[#This Row],[Attribute]],#REF!,2,FALSE)</f>
        <v>#REF!</v>
      </c>
      <c r="F6739">
        <v>152.80000000000001</v>
      </c>
      <c r="G6739">
        <f>(Cpi_[[#This Row],[Value]]-F6738)/F6738</f>
        <v>-9.3712930011862303E-2</v>
      </c>
      <c r="H6739" t="e" cm="1" vm="1">
        <f t="array" aca="1" ref="H6739" ca="1">VLOOKUP(Cpi_[[#This Row],[Year]:[Month]],crudeoil[],3,FALSE)</f>
        <v>#VALUE!</v>
      </c>
    </row>
    <row r="6740" spans="1:8" hidden="1" x14ac:dyDescent="0.3">
      <c r="A6740" t="s">
        <v>30</v>
      </c>
      <c r="B6740">
        <v>2020</v>
      </c>
      <c r="C6740" t="s">
        <v>31</v>
      </c>
      <c r="D6740" t="s">
        <v>18</v>
      </c>
      <c r="E6740" t="e">
        <f>VLOOKUP(Cpi_[[#This Row],[Attribute]],#REF!,2,FALSE)</f>
        <v>#REF!</v>
      </c>
      <c r="F6740">
        <v>147.4</v>
      </c>
      <c r="G6740">
        <f>(Cpi_[[#This Row],[Value]]-F6739)/F6739</f>
        <v>-3.5340314136125692E-2</v>
      </c>
      <c r="H6740" t="e" cm="1" vm="1">
        <f t="array" aca="1" ref="H6740" ca="1">VLOOKUP(Cpi_[[#This Row],[Year]:[Month]],crudeoil[],3,FALSE)</f>
        <v>#VALUE!</v>
      </c>
    </row>
    <row r="6741" spans="1:8" hidden="1" x14ac:dyDescent="0.3">
      <c r="A6741" t="s">
        <v>30</v>
      </c>
      <c r="B6741">
        <v>2020</v>
      </c>
      <c r="C6741" t="s">
        <v>31</v>
      </c>
      <c r="D6741" t="s">
        <v>19</v>
      </c>
      <c r="E6741" t="e">
        <f>VLOOKUP(Cpi_[[#This Row],[Attribute]],#REF!,2,FALSE)</f>
        <v>#REF!</v>
      </c>
      <c r="F6741">
        <v>152.1</v>
      </c>
      <c r="G6741">
        <f>(Cpi_[[#This Row],[Value]]-F6740)/F6740</f>
        <v>3.188602442333778E-2</v>
      </c>
      <c r="H6741" t="e" cm="1" vm="1">
        <f t="array" aca="1" ref="H6741" ca="1">VLOOKUP(Cpi_[[#This Row],[Year]:[Month]],crudeoil[],3,FALSE)</f>
        <v>#VALUE!</v>
      </c>
    </row>
    <row r="6742" spans="1:8" hidden="1" x14ac:dyDescent="0.3">
      <c r="A6742" t="s">
        <v>30</v>
      </c>
      <c r="B6742">
        <v>2020</v>
      </c>
      <c r="C6742" t="s">
        <v>31</v>
      </c>
      <c r="D6742" t="s">
        <v>20</v>
      </c>
      <c r="E6742" t="e">
        <f>VLOOKUP(Cpi_[[#This Row],[Attribute]],#REF!,2,FALSE)</f>
        <v>#REF!</v>
      </c>
      <c r="F6742" t="s">
        <v>32</v>
      </c>
      <c r="G6742" t="e">
        <f>(Cpi_[[#This Row],[Value]]-F6741)/F6741</f>
        <v>#VALUE!</v>
      </c>
      <c r="H6742" t="e" cm="1" vm="1">
        <f t="array" aca="1" ref="H6742" ca="1">VLOOKUP(Cpi_[[#This Row],[Year]:[Month]],crudeoil[],3,FALSE)</f>
        <v>#VALUE!</v>
      </c>
    </row>
    <row r="6743" spans="1:8" hidden="1" x14ac:dyDescent="0.3">
      <c r="A6743" t="s">
        <v>30</v>
      </c>
      <c r="B6743">
        <v>2020</v>
      </c>
      <c r="C6743" t="s">
        <v>31</v>
      </c>
      <c r="D6743" t="s">
        <v>21</v>
      </c>
      <c r="E6743" t="e">
        <f>VLOOKUP(Cpi_[[#This Row],[Attribute]],#REF!,2,FALSE)</f>
        <v>#REF!</v>
      </c>
      <c r="F6743">
        <v>150.4</v>
      </c>
      <c r="G6743" t="e">
        <f>(Cpi_[[#This Row],[Value]]-F6742)/F6742</f>
        <v>#VALUE!</v>
      </c>
      <c r="H6743" t="e" cm="1" vm="1">
        <f t="array" aca="1" ref="H6743" ca="1">VLOOKUP(Cpi_[[#This Row],[Year]:[Month]],crudeoil[],3,FALSE)</f>
        <v>#VALUE!</v>
      </c>
    </row>
    <row r="6744" spans="1:8" hidden="1" x14ac:dyDescent="0.3">
      <c r="A6744" t="s">
        <v>30</v>
      </c>
      <c r="B6744">
        <v>2020</v>
      </c>
      <c r="C6744" t="s">
        <v>31</v>
      </c>
      <c r="D6744" t="s">
        <v>22</v>
      </c>
      <c r="E6744" t="e">
        <f>VLOOKUP(Cpi_[[#This Row],[Attribute]],#REF!,2,FALSE)</f>
        <v>#REF!</v>
      </c>
      <c r="F6744">
        <v>151.69999999999999</v>
      </c>
      <c r="G6744">
        <f>(Cpi_[[#This Row],[Value]]-F6743)/F6743</f>
        <v>8.6436170212764816E-3</v>
      </c>
      <c r="H6744" t="e" cm="1" vm="1">
        <f t="array" aca="1" ref="H6744" ca="1">VLOOKUP(Cpi_[[#This Row],[Year]:[Month]],crudeoil[],3,FALSE)</f>
        <v>#VALUE!</v>
      </c>
    </row>
    <row r="6745" spans="1:8" hidden="1" x14ac:dyDescent="0.3">
      <c r="A6745" t="s">
        <v>30</v>
      </c>
      <c r="B6745">
        <v>2020</v>
      </c>
      <c r="C6745" t="s">
        <v>31</v>
      </c>
      <c r="D6745" t="s">
        <v>23</v>
      </c>
      <c r="E6745" t="e">
        <f>VLOOKUP(Cpi_[[#This Row],[Attribute]],#REF!,2,FALSE)</f>
        <v>#REF!</v>
      </c>
      <c r="F6745">
        <v>155.69999999999999</v>
      </c>
      <c r="G6745">
        <f>(Cpi_[[#This Row],[Value]]-F6744)/F6744</f>
        <v>2.6367831245880029E-2</v>
      </c>
      <c r="H6745" t="e" cm="1" vm="1">
        <f t="array" aca="1" ref="H6745" ca="1">VLOOKUP(Cpi_[[#This Row],[Year]:[Month]],crudeoil[],3,FALSE)</f>
        <v>#VALUE!</v>
      </c>
    </row>
    <row r="6746" spans="1:8" hidden="1" x14ac:dyDescent="0.3">
      <c r="A6746" t="s">
        <v>30</v>
      </c>
      <c r="B6746">
        <v>2020</v>
      </c>
      <c r="C6746" t="s">
        <v>31</v>
      </c>
      <c r="D6746" t="s">
        <v>24</v>
      </c>
      <c r="E6746" t="e">
        <f>VLOOKUP(Cpi_[[#This Row],[Attribute]],#REF!,2,FALSE)</f>
        <v>#REF!</v>
      </c>
      <c r="F6746">
        <v>136.30000000000001</v>
      </c>
      <c r="G6746">
        <f>(Cpi_[[#This Row],[Value]]-F6745)/F6745</f>
        <v>-0.12459858702633256</v>
      </c>
      <c r="H6746" t="e" cm="1" vm="1">
        <f t="array" aca="1" ref="H6746" ca="1">VLOOKUP(Cpi_[[#This Row],[Year]:[Month]],crudeoil[],3,FALSE)</f>
        <v>#VALUE!</v>
      </c>
    </row>
    <row r="6747" spans="1:8" hidden="1" x14ac:dyDescent="0.3">
      <c r="A6747" t="s">
        <v>30</v>
      </c>
      <c r="B6747">
        <v>2020</v>
      </c>
      <c r="C6747" t="s">
        <v>31</v>
      </c>
      <c r="D6747" t="s">
        <v>25</v>
      </c>
      <c r="E6747" t="e">
        <f>VLOOKUP(Cpi_[[#This Row],[Attribute]],#REF!,2,FALSE)</f>
        <v>#REF!</v>
      </c>
      <c r="F6747">
        <v>150.1</v>
      </c>
      <c r="G6747">
        <f>(Cpi_[[#This Row],[Value]]-F6746)/F6746</f>
        <v>0.10124724871606737</v>
      </c>
      <c r="H6747" t="e" cm="1" vm="1">
        <f t="array" aca="1" ref="H6747" ca="1">VLOOKUP(Cpi_[[#This Row],[Year]:[Month]],crudeoil[],3,FALSE)</f>
        <v>#VALUE!</v>
      </c>
    </row>
    <row r="6748" spans="1:8" hidden="1" x14ac:dyDescent="0.3">
      <c r="A6748" t="s">
        <v>30</v>
      </c>
      <c r="B6748">
        <v>2020</v>
      </c>
      <c r="C6748" t="s">
        <v>31</v>
      </c>
      <c r="D6748" t="s">
        <v>26</v>
      </c>
      <c r="E6748" t="e">
        <f>VLOOKUP(Cpi_[[#This Row],[Attribute]],#REF!,2,FALSE)</f>
        <v>#REF!</v>
      </c>
      <c r="F6748">
        <v>161.69999999999999</v>
      </c>
      <c r="G6748">
        <f>(Cpi_[[#This Row],[Value]]-F6747)/F6747</f>
        <v>7.7281812125249802E-2</v>
      </c>
      <c r="H6748" t="e" cm="1" vm="1">
        <f t="array" aca="1" ref="H6748" ca="1">VLOOKUP(Cpi_[[#This Row],[Year]:[Month]],crudeoil[],3,FALSE)</f>
        <v>#VALUE!</v>
      </c>
    </row>
    <row r="6749" spans="1:8" hidden="1" x14ac:dyDescent="0.3">
      <c r="A6749" t="s">
        <v>30</v>
      </c>
      <c r="B6749">
        <v>2020</v>
      </c>
      <c r="C6749" t="s">
        <v>31</v>
      </c>
      <c r="D6749" t="s">
        <v>27</v>
      </c>
      <c r="E6749" t="e">
        <f>VLOOKUP(Cpi_[[#This Row],[Attribute]],#REF!,2,FALSE)</f>
        <v>#REF!</v>
      </c>
      <c r="F6749">
        <v>142.5</v>
      </c>
      <c r="G6749">
        <f>(Cpi_[[#This Row],[Value]]-F6748)/F6748</f>
        <v>-0.1187384044526901</v>
      </c>
      <c r="H6749" t="e" cm="1" vm="1">
        <f t="array" aca="1" ref="H6749" ca="1">VLOOKUP(Cpi_[[#This Row],[Year]:[Month]],crudeoil[],3,FALSE)</f>
        <v>#VALUE!</v>
      </c>
    </row>
    <row r="6750" spans="1:8" hidden="1" x14ac:dyDescent="0.3">
      <c r="A6750" t="s">
        <v>30</v>
      </c>
      <c r="B6750">
        <v>2020</v>
      </c>
      <c r="C6750" t="s">
        <v>31</v>
      </c>
      <c r="D6750" t="s">
        <v>28</v>
      </c>
      <c r="E6750" t="e">
        <f>VLOOKUP(Cpi_[[#This Row],[Attribute]],#REF!,2,FALSE)</f>
        <v>#REF!</v>
      </c>
      <c r="F6750">
        <v>148.1</v>
      </c>
      <c r="G6750">
        <f>(Cpi_[[#This Row],[Value]]-F6749)/F6749</f>
        <v>3.9298245614035048E-2</v>
      </c>
      <c r="H6750" t="e" cm="1" vm="1">
        <f t="array" aca="1" ref="H6750" ca="1">VLOOKUP(Cpi_[[#This Row],[Year]:[Month]],crudeoil[],3,FALSE)</f>
        <v>#VALUE!</v>
      </c>
    </row>
    <row r="6751" spans="1:8" hidden="1" x14ac:dyDescent="0.3">
      <c r="A6751" t="s">
        <v>30</v>
      </c>
      <c r="B6751">
        <v>2020</v>
      </c>
      <c r="C6751" t="s">
        <v>31</v>
      </c>
      <c r="D6751" t="s">
        <v>29</v>
      </c>
      <c r="E6751" t="e" cm="1">
        <f t="array" aca="1" ref="E6751" ca="1">VLGeneral indexGeneral indexKUP(Cpi_[[#This Row],[Attribute]],#REF!,2,FALSE)</f>
        <v>#NAME?</v>
      </c>
      <c r="F6751">
        <v>151.9</v>
      </c>
      <c r="G6751">
        <f>(Cpi_[[#This Row],[Value]]-F6750)/F6750</f>
        <v>2.565833896016213E-2</v>
      </c>
      <c r="H6751" t="e" cm="1" vm="1">
        <f t="array" aca="1" ref="H6751" ca="1">VLOOKUP(Cpi_[[#This Row],[Year]:[Month]],crudeoil[],3,FALSE)</f>
        <v>#VALUE!</v>
      </c>
    </row>
    <row r="6752" spans="1:8" hidden="1" x14ac:dyDescent="0.3">
      <c r="A6752" t="s">
        <v>33</v>
      </c>
      <c r="B6752">
        <v>2020</v>
      </c>
      <c r="C6752" t="s">
        <v>31</v>
      </c>
      <c r="D6752" t="s">
        <v>3</v>
      </c>
      <c r="E6752" t="e">
        <f>VLOOKUP(Cpi_[[#This Row],[Attribute]],#REF!,2,FALSE)</f>
        <v>#REF!</v>
      </c>
      <c r="F6752">
        <v>145.6</v>
      </c>
      <c r="G6752">
        <f>(Cpi_[[#This Row],[Value]]-F6751)/F6751</f>
        <v>-4.1474654377880255E-2</v>
      </c>
      <c r="H6752" t="e" cm="1" vm="1">
        <f t="array" aca="1" ref="H6752" ca="1">VLOOKUP(Cpi_[[#This Row],[Year]:[Month]],crudeoil[],3,FALSE)</f>
        <v>#VALUE!</v>
      </c>
    </row>
    <row r="6753" spans="1:8" hidden="1" x14ac:dyDescent="0.3">
      <c r="A6753" t="s">
        <v>33</v>
      </c>
      <c r="B6753">
        <v>2020</v>
      </c>
      <c r="C6753" t="s">
        <v>31</v>
      </c>
      <c r="D6753" t="s">
        <v>4</v>
      </c>
      <c r="E6753" t="e">
        <f>VLOOKUP(Cpi_[[#This Row],[Attribute]],#REF!,2,FALSE)</f>
        <v>#REF!</v>
      </c>
      <c r="F6753">
        <v>167.6</v>
      </c>
      <c r="G6753">
        <f>(Cpi_[[#This Row],[Value]]-F6752)/F6752</f>
        <v>0.15109890109890112</v>
      </c>
      <c r="H6753" t="e" cm="1" vm="1">
        <f t="array" aca="1" ref="H6753" ca="1">VLOOKUP(Cpi_[[#This Row],[Year]:[Month]],crudeoil[],3,FALSE)</f>
        <v>#VALUE!</v>
      </c>
    </row>
    <row r="6754" spans="1:8" hidden="1" x14ac:dyDescent="0.3">
      <c r="A6754" t="s">
        <v>33</v>
      </c>
      <c r="B6754">
        <v>2020</v>
      </c>
      <c r="C6754" t="s">
        <v>31</v>
      </c>
      <c r="D6754" t="s">
        <v>5</v>
      </c>
      <c r="E6754" t="e">
        <f>VLOOKUP(Cpi_[[#This Row],[Attribute]],#REF!,2,FALSE)</f>
        <v>#REF!</v>
      </c>
      <c r="F6754">
        <v>157</v>
      </c>
      <c r="G6754">
        <f>(Cpi_[[#This Row],[Value]]-F6753)/F6753</f>
        <v>-6.3245823389021447E-2</v>
      </c>
      <c r="H6754" t="e" cm="1" vm="1">
        <f t="array" aca="1" ref="H6754" ca="1">VLOOKUP(Cpi_[[#This Row],[Year]:[Month]],crudeoil[],3,FALSE)</f>
        <v>#VALUE!</v>
      </c>
    </row>
    <row r="6755" spans="1:8" hidden="1" x14ac:dyDescent="0.3">
      <c r="A6755" t="s">
        <v>33</v>
      </c>
      <c r="B6755">
        <v>2020</v>
      </c>
      <c r="C6755" t="s">
        <v>31</v>
      </c>
      <c r="D6755" t="s">
        <v>6</v>
      </c>
      <c r="E6755" t="e">
        <f>VLOOKUP(Cpi_[[#This Row],[Attribute]],#REF!,2,FALSE)</f>
        <v>#REF!</v>
      </c>
      <c r="F6755">
        <v>149.30000000000001</v>
      </c>
      <c r="G6755">
        <f>(Cpi_[[#This Row],[Value]]-F6754)/F6754</f>
        <v>-4.9044585987261073E-2</v>
      </c>
      <c r="H6755" t="e" cm="1" vm="1">
        <f t="array" aca="1" ref="H6755" ca="1">VLOOKUP(Cpi_[[#This Row],[Year]:[Month]],crudeoil[],3,FALSE)</f>
        <v>#VALUE!</v>
      </c>
    </row>
    <row r="6756" spans="1:8" hidden="1" x14ac:dyDescent="0.3">
      <c r="A6756" t="s">
        <v>33</v>
      </c>
      <c r="B6756">
        <v>2020</v>
      </c>
      <c r="C6756" t="s">
        <v>31</v>
      </c>
      <c r="D6756" t="s">
        <v>7</v>
      </c>
      <c r="E6756" t="e">
        <f>VLOOKUP(Cpi_[[#This Row],[Attribute]],#REF!,2,FALSE)</f>
        <v>#REF!</v>
      </c>
      <c r="F6756">
        <v>126.3</v>
      </c>
      <c r="G6756">
        <f>(Cpi_[[#This Row],[Value]]-F6755)/F6755</f>
        <v>-0.1540522438044207</v>
      </c>
      <c r="H6756" t="e" cm="1" vm="1">
        <f t="array" aca="1" ref="H6756" ca="1">VLOOKUP(Cpi_[[#This Row],[Year]:[Month]],crudeoil[],3,FALSE)</f>
        <v>#VALUE!</v>
      </c>
    </row>
    <row r="6757" spans="1:8" hidden="1" x14ac:dyDescent="0.3">
      <c r="A6757" t="s">
        <v>33</v>
      </c>
      <c r="B6757">
        <v>2020</v>
      </c>
      <c r="C6757" t="s">
        <v>31</v>
      </c>
      <c r="D6757" t="s">
        <v>8</v>
      </c>
      <c r="E6757" t="e">
        <f>VLOOKUP(Cpi_[[#This Row],[Attribute]],#REF!,2,FALSE)</f>
        <v>#REF!</v>
      </c>
      <c r="F6757">
        <v>144.4</v>
      </c>
      <c r="G6757">
        <f>(Cpi_[[#This Row],[Value]]-F6756)/F6756</f>
        <v>0.14330958036421226</v>
      </c>
      <c r="H6757" t="e" cm="1" vm="1">
        <f t="array" aca="1" ref="H6757" ca="1">VLOOKUP(Cpi_[[#This Row],[Year]:[Month]],crudeoil[],3,FALSE)</f>
        <v>#VALUE!</v>
      </c>
    </row>
    <row r="6758" spans="1:8" hidden="1" x14ac:dyDescent="0.3">
      <c r="A6758" t="s">
        <v>33</v>
      </c>
      <c r="B6758">
        <v>2020</v>
      </c>
      <c r="C6758" t="s">
        <v>31</v>
      </c>
      <c r="D6758" t="s">
        <v>9</v>
      </c>
      <c r="E6758" t="e">
        <f>VLOOKUP(Cpi_[[#This Row],[Attribute]],#REF!,2,FALSE)</f>
        <v>#REF!</v>
      </c>
      <c r="F6758">
        <v>207.8</v>
      </c>
      <c r="G6758">
        <f>(Cpi_[[#This Row],[Value]]-F6757)/F6757</f>
        <v>0.43905817174515238</v>
      </c>
      <c r="H6758" t="e" cm="1" vm="1">
        <f t="array" aca="1" ref="H6758" ca="1">VLOOKUP(Cpi_[[#This Row],[Year]:[Month]],crudeoil[],3,FALSE)</f>
        <v>#VALUE!</v>
      </c>
    </row>
    <row r="6759" spans="1:8" hidden="1" x14ac:dyDescent="0.3">
      <c r="A6759" t="s">
        <v>33</v>
      </c>
      <c r="B6759">
        <v>2020</v>
      </c>
      <c r="C6759" t="s">
        <v>31</v>
      </c>
      <c r="D6759" t="s">
        <v>10</v>
      </c>
      <c r="E6759" t="e">
        <f>VLOOKUP(Cpi_[[#This Row],[Attribute]],#REF!,2,FALSE)</f>
        <v>#REF!</v>
      </c>
      <c r="F6759">
        <v>139.1</v>
      </c>
      <c r="G6759">
        <f>(Cpi_[[#This Row],[Value]]-F6758)/F6758</f>
        <v>-0.33060635226179025</v>
      </c>
      <c r="H6759" t="e" cm="1" vm="1">
        <f t="array" aca="1" ref="H6759" ca="1">VLOOKUP(Cpi_[[#This Row],[Year]:[Month]],crudeoil[],3,FALSE)</f>
        <v>#VALUE!</v>
      </c>
    </row>
    <row r="6760" spans="1:8" hidden="1" x14ac:dyDescent="0.3">
      <c r="A6760" t="s">
        <v>33</v>
      </c>
      <c r="B6760">
        <v>2020</v>
      </c>
      <c r="C6760" t="s">
        <v>31</v>
      </c>
      <c r="D6760" t="s">
        <v>11</v>
      </c>
      <c r="E6760" t="e">
        <f>VLOOKUP(Cpi_[[#This Row],[Attribute]],#REF!,2,FALSE)</f>
        <v>#REF!</v>
      </c>
      <c r="F6760">
        <v>114.8</v>
      </c>
      <c r="G6760">
        <f>(Cpi_[[#This Row],[Value]]-F6759)/F6759</f>
        <v>-0.17469446441409056</v>
      </c>
      <c r="H6760" t="e" cm="1" vm="1">
        <f t="array" aca="1" ref="H6760" ca="1">VLOOKUP(Cpi_[[#This Row],[Year]:[Month]],crudeoil[],3,FALSE)</f>
        <v>#VALUE!</v>
      </c>
    </row>
    <row r="6761" spans="1:8" hidden="1" x14ac:dyDescent="0.3">
      <c r="A6761" t="s">
        <v>33</v>
      </c>
      <c r="B6761">
        <v>2020</v>
      </c>
      <c r="C6761" t="s">
        <v>31</v>
      </c>
      <c r="D6761" t="s">
        <v>12</v>
      </c>
      <c r="E6761" t="e">
        <f>VLOOKUP(Cpi_[[#This Row],[Attribute]],#REF!,2,FALSE)</f>
        <v>#REF!</v>
      </c>
      <c r="F6761">
        <v>149.5</v>
      </c>
      <c r="G6761">
        <f>(Cpi_[[#This Row],[Value]]-F6760)/F6760</f>
        <v>0.30226480836236935</v>
      </c>
      <c r="H6761" t="e" cm="1" vm="1">
        <f t="array" aca="1" ref="H6761" ca="1">VLOOKUP(Cpi_[[#This Row],[Year]:[Month]],crudeoil[],3,FALSE)</f>
        <v>#VALUE!</v>
      </c>
    </row>
    <row r="6762" spans="1:8" hidden="1" x14ac:dyDescent="0.3">
      <c r="A6762" t="s">
        <v>33</v>
      </c>
      <c r="B6762">
        <v>2020</v>
      </c>
      <c r="C6762" t="s">
        <v>31</v>
      </c>
      <c r="D6762" t="s">
        <v>13</v>
      </c>
      <c r="E6762" t="e">
        <f>VLOOKUP(Cpi_[[#This Row],[Attribute]],#REF!,2,FALSE)</f>
        <v>#REF!</v>
      </c>
      <c r="F6762">
        <v>131.1</v>
      </c>
      <c r="G6762">
        <f>(Cpi_[[#This Row],[Value]]-F6761)/F6761</f>
        <v>-0.12307692307692311</v>
      </c>
      <c r="H6762" t="e" cm="1" vm="1">
        <f t="array" aca="1" ref="H6762" ca="1">VLOOKUP(Cpi_[[#This Row],[Year]:[Month]],crudeoil[],3,FALSE)</f>
        <v>#VALUE!</v>
      </c>
    </row>
    <row r="6763" spans="1:8" hidden="1" x14ac:dyDescent="0.3">
      <c r="A6763" t="s">
        <v>33</v>
      </c>
      <c r="B6763">
        <v>2020</v>
      </c>
      <c r="C6763" t="s">
        <v>31</v>
      </c>
      <c r="D6763" t="s">
        <v>14</v>
      </c>
      <c r="E6763" t="e">
        <f>VLOOKUP(Cpi_[[#This Row],[Attribute]],#REF!,2,FALSE)</f>
        <v>#REF!</v>
      </c>
      <c r="F6763">
        <v>158.5</v>
      </c>
      <c r="G6763">
        <f>(Cpi_[[#This Row],[Value]]-F6762)/F6762</f>
        <v>0.20900076277650653</v>
      </c>
      <c r="H6763" t="e" cm="1" vm="1">
        <f t="array" aca="1" ref="H6763" ca="1">VLOOKUP(Cpi_[[#This Row],[Year]:[Month]],crudeoil[],3,FALSE)</f>
        <v>#VALUE!</v>
      </c>
    </row>
    <row r="6764" spans="1:8" hidden="1" x14ac:dyDescent="0.3">
      <c r="A6764" t="s">
        <v>33</v>
      </c>
      <c r="B6764">
        <v>2020</v>
      </c>
      <c r="C6764" t="s">
        <v>31</v>
      </c>
      <c r="D6764" t="s">
        <v>15</v>
      </c>
      <c r="E6764" t="e">
        <f>VLOOKUP(Cpi_[[#This Row],[Attribute]],#REF!,2,FALSE)</f>
        <v>#REF!</v>
      </c>
      <c r="F6764">
        <v>154.4</v>
      </c>
      <c r="G6764">
        <f>(Cpi_[[#This Row],[Value]]-F6763)/F6763</f>
        <v>-2.5867507886435295E-2</v>
      </c>
      <c r="H6764" t="e" cm="1" vm="1">
        <f t="array" aca="1" ref="H6764" ca="1">VLOOKUP(Cpi_[[#This Row],[Year]:[Month]],crudeoil[],3,FALSE)</f>
        <v>#VALUE!</v>
      </c>
    </row>
    <row r="6765" spans="1:8" hidden="1" x14ac:dyDescent="0.3">
      <c r="A6765" t="s">
        <v>33</v>
      </c>
      <c r="B6765">
        <v>2020</v>
      </c>
      <c r="C6765" t="s">
        <v>31</v>
      </c>
      <c r="D6765" t="s">
        <v>16</v>
      </c>
      <c r="E6765" t="e">
        <f>VLOOKUP(Cpi_[[#This Row],[Attribute]],#REF!,2,FALSE)</f>
        <v>#REF!</v>
      </c>
      <c r="F6765">
        <v>170.8</v>
      </c>
      <c r="G6765">
        <f>(Cpi_[[#This Row],[Value]]-F6764)/F6764</f>
        <v>0.10621761658031091</v>
      </c>
      <c r="H6765" t="e" cm="1" vm="1">
        <f t="array" aca="1" ref="H6765" ca="1">VLOOKUP(Cpi_[[#This Row],[Year]:[Month]],crudeoil[],3,FALSE)</f>
        <v>#VALUE!</v>
      </c>
    </row>
    <row r="6766" spans="1:8" hidden="1" x14ac:dyDescent="0.3">
      <c r="A6766" t="s">
        <v>33</v>
      </c>
      <c r="B6766">
        <v>2020</v>
      </c>
      <c r="C6766" t="s">
        <v>31</v>
      </c>
      <c r="D6766" t="s">
        <v>17</v>
      </c>
      <c r="E6766" t="e">
        <f>VLOOKUP(Cpi_[[#This Row],[Attribute]],#REF!,2,FALSE)</f>
        <v>#REF!</v>
      </c>
      <c r="F6766">
        <v>147</v>
      </c>
      <c r="G6766">
        <f>(Cpi_[[#This Row],[Value]]-F6765)/F6765</f>
        <v>-0.13934426229508201</v>
      </c>
      <c r="H6766" t="e" cm="1" vm="1">
        <f t="array" aca="1" ref="H6766" ca="1">VLOOKUP(Cpi_[[#This Row],[Year]:[Month]],crudeoil[],3,FALSE)</f>
        <v>#VALUE!</v>
      </c>
    </row>
    <row r="6767" spans="1:8" hidden="1" x14ac:dyDescent="0.3">
      <c r="A6767" t="s">
        <v>33</v>
      </c>
      <c r="B6767">
        <v>2020</v>
      </c>
      <c r="C6767" t="s">
        <v>31</v>
      </c>
      <c r="D6767" t="s">
        <v>18</v>
      </c>
      <c r="E6767" t="e">
        <f>VLOOKUP(Cpi_[[#This Row],[Attribute]],#REF!,2,FALSE)</f>
        <v>#REF!</v>
      </c>
      <c r="F6767">
        <v>133.19999999999999</v>
      </c>
      <c r="G6767">
        <f>(Cpi_[[#This Row],[Value]]-F6766)/F6766</f>
        <v>-9.3877551020408234E-2</v>
      </c>
      <c r="H6767" t="e" cm="1" vm="1">
        <f t="array" aca="1" ref="H6767" ca="1">VLOOKUP(Cpi_[[#This Row],[Year]:[Month]],crudeoil[],3,FALSE)</f>
        <v>#VALUE!</v>
      </c>
    </row>
    <row r="6768" spans="1:8" hidden="1" x14ac:dyDescent="0.3">
      <c r="A6768" t="s">
        <v>33</v>
      </c>
      <c r="B6768">
        <v>2020</v>
      </c>
      <c r="C6768" t="s">
        <v>31</v>
      </c>
      <c r="D6768" t="s">
        <v>19</v>
      </c>
      <c r="E6768" t="e">
        <f>VLOOKUP(Cpi_[[#This Row],[Attribute]],#REF!,2,FALSE)</f>
        <v>#REF!</v>
      </c>
      <c r="F6768">
        <v>144.9</v>
      </c>
      <c r="G6768">
        <f>(Cpi_[[#This Row],[Value]]-F6767)/F6767</f>
        <v>8.7837837837837968E-2</v>
      </c>
      <c r="H6768" t="e" cm="1" vm="1">
        <f t="array" aca="1" ref="H6768" ca="1">VLOOKUP(Cpi_[[#This Row],[Year]:[Month]],crudeoil[],3,FALSE)</f>
        <v>#VALUE!</v>
      </c>
    </row>
    <row r="6769" spans="1:8" hidden="1" x14ac:dyDescent="0.3">
      <c r="A6769" t="s">
        <v>33</v>
      </c>
      <c r="B6769">
        <v>2020</v>
      </c>
      <c r="C6769" t="s">
        <v>31</v>
      </c>
      <c r="D6769" t="s">
        <v>20</v>
      </c>
      <c r="E6769" t="e">
        <f>VLOOKUP(Cpi_[[#This Row],[Attribute]],#REF!,2,FALSE)</f>
        <v>#REF!</v>
      </c>
      <c r="F6769">
        <v>153.9</v>
      </c>
      <c r="G6769">
        <f>(Cpi_[[#This Row],[Value]]-F6768)/F6768</f>
        <v>6.2111801242236024E-2</v>
      </c>
      <c r="H6769" t="e" cm="1" vm="1">
        <f t="array" aca="1" ref="H6769" ca="1">VLOOKUP(Cpi_[[#This Row],[Year]:[Month]],crudeoil[],3,FALSE)</f>
        <v>#VALUE!</v>
      </c>
    </row>
    <row r="6770" spans="1:8" hidden="1" x14ac:dyDescent="0.3">
      <c r="A6770" t="s">
        <v>33</v>
      </c>
      <c r="B6770">
        <v>2020</v>
      </c>
      <c r="C6770" t="s">
        <v>31</v>
      </c>
      <c r="D6770" t="s">
        <v>21</v>
      </c>
      <c r="E6770" t="e">
        <f>VLOOKUP(Cpi_[[#This Row],[Attribute]],#REF!,2,FALSE)</f>
        <v>#REF!</v>
      </c>
      <c r="F6770">
        <v>135.1</v>
      </c>
      <c r="G6770">
        <f>(Cpi_[[#This Row],[Value]]-F6769)/F6769</f>
        <v>-0.12215724496426257</v>
      </c>
      <c r="H6770" t="e" cm="1" vm="1">
        <f t="array" aca="1" ref="H6770" ca="1">VLOOKUP(Cpi_[[#This Row],[Year]:[Month]],crudeoil[],3,FALSE)</f>
        <v>#VALUE!</v>
      </c>
    </row>
    <row r="6771" spans="1:8" hidden="1" x14ac:dyDescent="0.3">
      <c r="A6771" t="s">
        <v>33</v>
      </c>
      <c r="B6771">
        <v>2020</v>
      </c>
      <c r="C6771" t="s">
        <v>31</v>
      </c>
      <c r="D6771" t="s">
        <v>22</v>
      </c>
      <c r="E6771" t="e">
        <f>VLOOKUP(Cpi_[[#This Row],[Attribute]],#REF!,2,FALSE)</f>
        <v>#REF!</v>
      </c>
      <c r="F6771">
        <v>140.1</v>
      </c>
      <c r="G6771">
        <f>(Cpi_[[#This Row],[Value]]-F6770)/F6770</f>
        <v>3.7009622501850484E-2</v>
      </c>
      <c r="H6771" t="e" cm="1" vm="1">
        <f t="array" aca="1" ref="H6771" ca="1">VLOOKUP(Cpi_[[#This Row],[Year]:[Month]],crudeoil[],3,FALSE)</f>
        <v>#VALUE!</v>
      </c>
    </row>
    <row r="6772" spans="1:8" hidden="1" x14ac:dyDescent="0.3">
      <c r="A6772" t="s">
        <v>33</v>
      </c>
      <c r="B6772">
        <v>2020</v>
      </c>
      <c r="C6772" t="s">
        <v>31</v>
      </c>
      <c r="D6772" t="s">
        <v>23</v>
      </c>
      <c r="E6772" t="e">
        <f>VLOOKUP(Cpi_[[#This Row],[Attribute]],#REF!,2,FALSE)</f>
        <v>#REF!</v>
      </c>
      <c r="F6772">
        <v>143.80000000000001</v>
      </c>
      <c r="G6772">
        <f>(Cpi_[[#This Row],[Value]]-F6771)/F6771</f>
        <v>2.6409707351891628E-2</v>
      </c>
      <c r="H6772" t="e" cm="1" vm="1">
        <f t="array" aca="1" ref="H6772" ca="1">VLOOKUP(Cpi_[[#This Row],[Year]:[Month]],crudeoil[],3,FALSE)</f>
        <v>#VALUE!</v>
      </c>
    </row>
    <row r="6773" spans="1:8" hidden="1" x14ac:dyDescent="0.3">
      <c r="A6773" t="s">
        <v>33</v>
      </c>
      <c r="B6773">
        <v>2020</v>
      </c>
      <c r="C6773" t="s">
        <v>31</v>
      </c>
      <c r="D6773" t="s">
        <v>24</v>
      </c>
      <c r="E6773" t="e">
        <f>VLOOKUP(Cpi_[[#This Row],[Attribute]],#REF!,2,FALSE)</f>
        <v>#REF!</v>
      </c>
      <c r="F6773">
        <v>126.1</v>
      </c>
      <c r="G6773">
        <f>(Cpi_[[#This Row],[Value]]-F6772)/F6772</f>
        <v>-0.12308762169680122</v>
      </c>
      <c r="H6773" t="e" cm="1" vm="1">
        <f t="array" aca="1" ref="H6773" ca="1">VLOOKUP(Cpi_[[#This Row],[Year]:[Month]],crudeoil[],3,FALSE)</f>
        <v>#VALUE!</v>
      </c>
    </row>
    <row r="6774" spans="1:8" hidden="1" x14ac:dyDescent="0.3">
      <c r="A6774" t="s">
        <v>33</v>
      </c>
      <c r="B6774">
        <v>2020</v>
      </c>
      <c r="C6774" t="s">
        <v>31</v>
      </c>
      <c r="D6774" t="s">
        <v>25</v>
      </c>
      <c r="E6774" t="e">
        <f>VLOOKUP(Cpi_[[#This Row],[Attribute]],#REF!,2,FALSE)</f>
        <v>#REF!</v>
      </c>
      <c r="F6774">
        <v>137.19999999999999</v>
      </c>
      <c r="G6774">
        <f>(Cpi_[[#This Row],[Value]]-F6773)/F6773</f>
        <v>8.8025376685170464E-2</v>
      </c>
      <c r="H6774" t="e" cm="1" vm="1">
        <f t="array" aca="1" ref="H6774" ca="1">VLOOKUP(Cpi_[[#This Row],[Year]:[Month]],crudeoil[],3,FALSE)</f>
        <v>#VALUE!</v>
      </c>
    </row>
    <row r="6775" spans="1:8" hidden="1" x14ac:dyDescent="0.3">
      <c r="A6775" t="s">
        <v>33</v>
      </c>
      <c r="B6775">
        <v>2020</v>
      </c>
      <c r="C6775" t="s">
        <v>31</v>
      </c>
      <c r="D6775" t="s">
        <v>26</v>
      </c>
      <c r="E6775" t="e">
        <f>VLOOKUP(Cpi_[[#This Row],[Attribute]],#REF!,2,FALSE)</f>
        <v>#REF!</v>
      </c>
      <c r="F6775">
        <v>152.1</v>
      </c>
      <c r="G6775">
        <f>(Cpi_[[#This Row],[Value]]-F6774)/F6774</f>
        <v>0.10860058309037907</v>
      </c>
      <c r="H6775" t="e" cm="1" vm="1">
        <f t="array" aca="1" ref="H6775" ca="1">VLOOKUP(Cpi_[[#This Row],[Year]:[Month]],crudeoil[],3,FALSE)</f>
        <v>#VALUE!</v>
      </c>
    </row>
    <row r="6776" spans="1:8" hidden="1" x14ac:dyDescent="0.3">
      <c r="A6776" t="s">
        <v>33</v>
      </c>
      <c r="B6776">
        <v>2020</v>
      </c>
      <c r="C6776" t="s">
        <v>31</v>
      </c>
      <c r="D6776" t="s">
        <v>27</v>
      </c>
      <c r="E6776" t="e">
        <f>VLOOKUP(Cpi_[[#This Row],[Attribute]],#REF!,2,FALSE)</f>
        <v>#REF!</v>
      </c>
      <c r="F6776">
        <v>142.1</v>
      </c>
      <c r="G6776">
        <f>(Cpi_[[#This Row],[Value]]-F6775)/F6775</f>
        <v>-6.5746219592373437E-2</v>
      </c>
      <c r="H6776" t="e" cm="1" vm="1">
        <f t="array" aca="1" ref="H6776" ca="1">VLOOKUP(Cpi_[[#This Row],[Year]:[Month]],crudeoil[],3,FALSE)</f>
        <v>#VALUE!</v>
      </c>
    </row>
    <row r="6777" spans="1:8" hidden="1" x14ac:dyDescent="0.3">
      <c r="A6777" t="s">
        <v>33</v>
      </c>
      <c r="B6777">
        <v>2020</v>
      </c>
      <c r="C6777" t="s">
        <v>31</v>
      </c>
      <c r="D6777" t="s">
        <v>28</v>
      </c>
      <c r="E6777" t="e">
        <f>VLOOKUP(Cpi_[[#This Row],[Attribute]],#REF!,2,FALSE)</f>
        <v>#REF!</v>
      </c>
      <c r="F6777">
        <v>138.4</v>
      </c>
      <c r="G6777">
        <f>(Cpi_[[#This Row],[Value]]-F6776)/F6776</f>
        <v>-2.6038001407459457E-2</v>
      </c>
      <c r="H6777" t="e" cm="1" vm="1">
        <f t="array" aca="1" ref="H6777" ca="1">VLOOKUP(Cpi_[[#This Row],[Year]:[Month]],crudeoil[],3,FALSE)</f>
        <v>#VALUE!</v>
      </c>
    </row>
    <row r="6778" spans="1:8" hidden="1" x14ac:dyDescent="0.3">
      <c r="A6778" t="s">
        <v>33</v>
      </c>
      <c r="B6778">
        <v>2020</v>
      </c>
      <c r="C6778" t="s">
        <v>31</v>
      </c>
      <c r="D6778" t="s">
        <v>29</v>
      </c>
      <c r="E6778" t="e" cm="1">
        <f t="array" aca="1" ref="E6778" ca="1">VLGeneral indexGeneral indexKUP(Cpi_[[#This Row],[Attribute]],#REF!,2,FALSE)</f>
        <v>#NAME?</v>
      </c>
      <c r="F6778">
        <v>148.19999999999999</v>
      </c>
      <c r="G6778">
        <f>(Cpi_[[#This Row],[Value]]-F6777)/F6777</f>
        <v>7.0809248554913162E-2</v>
      </c>
      <c r="H6778" t="e" cm="1" vm="1">
        <f t="array" aca="1" ref="H6778" ca="1">VLOOKUP(Cpi_[[#This Row],[Year]:[Month]],crudeoil[],3,FALSE)</f>
        <v>#VALUE!</v>
      </c>
    </row>
    <row r="6779" spans="1:8" hidden="1" x14ac:dyDescent="0.3">
      <c r="A6779" t="s">
        <v>34</v>
      </c>
      <c r="B6779">
        <v>2020</v>
      </c>
      <c r="C6779" t="s">
        <v>31</v>
      </c>
      <c r="D6779" t="s">
        <v>3</v>
      </c>
      <c r="E6779" t="e">
        <f>VLOOKUP(Cpi_[[#This Row],[Attribute]],#REF!,2,FALSE)</f>
        <v>#REF!</v>
      </c>
      <c r="F6779">
        <v>144.30000000000001</v>
      </c>
      <c r="G6779">
        <f>(Cpi_[[#This Row],[Value]]-F6778)/F6778</f>
        <v>-2.631578947368406E-2</v>
      </c>
      <c r="H6779" t="e" cm="1" vm="1">
        <f t="array" aca="1" ref="H6779" ca="1">VLOOKUP(Cpi_[[#This Row],[Year]:[Month]],crudeoil[],3,FALSE)</f>
        <v>#VALUE!</v>
      </c>
    </row>
    <row r="6780" spans="1:8" hidden="1" x14ac:dyDescent="0.3">
      <c r="A6780" t="s">
        <v>34</v>
      </c>
      <c r="B6780">
        <v>2020</v>
      </c>
      <c r="C6780" t="s">
        <v>31</v>
      </c>
      <c r="D6780" t="s">
        <v>4</v>
      </c>
      <c r="E6780" t="e">
        <f>VLOOKUP(Cpi_[[#This Row],[Attribute]],#REF!,2,FALSE)</f>
        <v>#REF!</v>
      </c>
      <c r="F6780">
        <v>167.4</v>
      </c>
      <c r="G6780">
        <f>(Cpi_[[#This Row],[Value]]-F6779)/F6779</f>
        <v>0.16008316008316004</v>
      </c>
      <c r="H6780" t="e" cm="1" vm="1">
        <f t="array" aca="1" ref="H6780" ca="1">VLOOKUP(Cpi_[[#This Row],[Year]:[Month]],crudeoil[],3,FALSE)</f>
        <v>#VALUE!</v>
      </c>
    </row>
    <row r="6781" spans="1:8" hidden="1" x14ac:dyDescent="0.3">
      <c r="A6781" t="s">
        <v>34</v>
      </c>
      <c r="B6781">
        <v>2020</v>
      </c>
      <c r="C6781" t="s">
        <v>31</v>
      </c>
      <c r="D6781" t="s">
        <v>5</v>
      </c>
      <c r="E6781" t="e">
        <f>VLOOKUP(Cpi_[[#This Row],[Attribute]],#REF!,2,FALSE)</f>
        <v>#REF!</v>
      </c>
      <c r="F6781">
        <v>154.9</v>
      </c>
      <c r="G6781">
        <f>(Cpi_[[#This Row],[Value]]-F6780)/F6780</f>
        <v>-7.4671445639187567E-2</v>
      </c>
      <c r="H6781" t="e" cm="1" vm="1">
        <f t="array" aca="1" ref="H6781" ca="1">VLOOKUP(Cpi_[[#This Row],[Year]:[Month]],crudeoil[],3,FALSE)</f>
        <v>#VALUE!</v>
      </c>
    </row>
    <row r="6782" spans="1:8" hidden="1" x14ac:dyDescent="0.3">
      <c r="A6782" t="s">
        <v>34</v>
      </c>
      <c r="B6782">
        <v>2020</v>
      </c>
      <c r="C6782" t="s">
        <v>31</v>
      </c>
      <c r="D6782" t="s">
        <v>6</v>
      </c>
      <c r="E6782" t="e">
        <f>VLOOKUP(Cpi_[[#This Row],[Attribute]],#REF!,2,FALSE)</f>
        <v>#REF!</v>
      </c>
      <c r="F6782">
        <v>150.1</v>
      </c>
      <c r="G6782">
        <f>(Cpi_[[#This Row],[Value]]-F6781)/F6781</f>
        <v>-3.0987734021949716E-2</v>
      </c>
      <c r="H6782" t="e" cm="1" vm="1">
        <f t="array" aca="1" ref="H6782" ca="1">VLOOKUP(Cpi_[[#This Row],[Year]:[Month]],crudeoil[],3,FALSE)</f>
        <v>#VALUE!</v>
      </c>
    </row>
    <row r="6783" spans="1:8" hidden="1" x14ac:dyDescent="0.3">
      <c r="A6783" t="s">
        <v>34</v>
      </c>
      <c r="B6783">
        <v>2020</v>
      </c>
      <c r="C6783" t="s">
        <v>31</v>
      </c>
      <c r="D6783" t="s">
        <v>7</v>
      </c>
      <c r="E6783" t="e">
        <f>VLOOKUP(Cpi_[[#This Row],[Attribute]],#REF!,2,FALSE)</f>
        <v>#REF!</v>
      </c>
      <c r="F6783">
        <v>129.9</v>
      </c>
      <c r="G6783">
        <f>(Cpi_[[#This Row],[Value]]-F6782)/F6782</f>
        <v>-0.13457694870086601</v>
      </c>
      <c r="H6783" t="e" cm="1" vm="1">
        <f t="array" aca="1" ref="H6783" ca="1">VLOOKUP(Cpi_[[#This Row],[Year]:[Month]],crudeoil[],3,FALSE)</f>
        <v>#VALUE!</v>
      </c>
    </row>
    <row r="6784" spans="1:8" hidden="1" x14ac:dyDescent="0.3">
      <c r="A6784" t="s">
        <v>34</v>
      </c>
      <c r="B6784">
        <v>2020</v>
      </c>
      <c r="C6784" t="s">
        <v>31</v>
      </c>
      <c r="D6784" t="s">
        <v>8</v>
      </c>
      <c r="E6784" t="e">
        <f>VLOOKUP(Cpi_[[#This Row],[Attribute]],#REF!,2,FALSE)</f>
        <v>#REF!</v>
      </c>
      <c r="F6784">
        <v>143.19999999999999</v>
      </c>
      <c r="G6784">
        <f>(Cpi_[[#This Row],[Value]]-F6783)/F6783</f>
        <v>0.10238645111624313</v>
      </c>
      <c r="H6784" t="e" cm="1" vm="1">
        <f t="array" aca="1" ref="H6784" ca="1">VLOOKUP(Cpi_[[#This Row],[Year]:[Month]],crudeoil[],3,FALSE)</f>
        <v>#VALUE!</v>
      </c>
    </row>
    <row r="6785" spans="1:8" hidden="1" x14ac:dyDescent="0.3">
      <c r="A6785" t="s">
        <v>34</v>
      </c>
      <c r="B6785">
        <v>2020</v>
      </c>
      <c r="C6785" t="s">
        <v>31</v>
      </c>
      <c r="D6785" t="s">
        <v>9</v>
      </c>
      <c r="E6785" t="e">
        <f>VLOOKUP(Cpi_[[#This Row],[Attribute]],#REF!,2,FALSE)</f>
        <v>#REF!</v>
      </c>
      <c r="F6785">
        <v>197</v>
      </c>
      <c r="G6785">
        <f>(Cpi_[[#This Row],[Value]]-F6784)/F6784</f>
        <v>0.37569832402234649</v>
      </c>
      <c r="H6785" t="e" cm="1" vm="1">
        <f t="array" aca="1" ref="H6785" ca="1">VLOOKUP(Cpi_[[#This Row],[Year]:[Month]],crudeoil[],3,FALSE)</f>
        <v>#VALUE!</v>
      </c>
    </row>
    <row r="6786" spans="1:8" hidden="1" x14ac:dyDescent="0.3">
      <c r="A6786" t="s">
        <v>34</v>
      </c>
      <c r="B6786">
        <v>2020</v>
      </c>
      <c r="C6786" t="s">
        <v>31</v>
      </c>
      <c r="D6786" t="s">
        <v>10</v>
      </c>
      <c r="E6786" t="e">
        <f>VLOOKUP(Cpi_[[#This Row],[Attribute]],#REF!,2,FALSE)</f>
        <v>#REF!</v>
      </c>
      <c r="F6786">
        <v>140.4</v>
      </c>
      <c r="G6786">
        <f>(Cpi_[[#This Row],[Value]]-F6785)/F6785</f>
        <v>-0.28730964467005071</v>
      </c>
      <c r="H6786" t="e" cm="1" vm="1">
        <f t="array" aca="1" ref="H6786" ca="1">VLOOKUP(Cpi_[[#This Row],[Year]:[Month]],crudeoil[],3,FALSE)</f>
        <v>#VALUE!</v>
      </c>
    </row>
    <row r="6787" spans="1:8" hidden="1" x14ac:dyDescent="0.3">
      <c r="A6787" t="s">
        <v>34</v>
      </c>
      <c r="B6787">
        <v>2020</v>
      </c>
      <c r="C6787" t="s">
        <v>31</v>
      </c>
      <c r="D6787" t="s">
        <v>11</v>
      </c>
      <c r="E6787" t="e">
        <f>VLOOKUP(Cpi_[[#This Row],[Attribute]],#REF!,2,FALSE)</f>
        <v>#REF!</v>
      </c>
      <c r="F6787">
        <v>114.1</v>
      </c>
      <c r="G6787">
        <f>(Cpi_[[#This Row],[Value]]-F6786)/F6786</f>
        <v>-0.18732193732193739</v>
      </c>
      <c r="H6787" t="e" cm="1" vm="1">
        <f t="array" aca="1" ref="H6787" ca="1">VLOOKUP(Cpi_[[#This Row],[Year]:[Month]],crudeoil[],3,FALSE)</f>
        <v>#VALUE!</v>
      </c>
    </row>
    <row r="6788" spans="1:8" hidden="1" x14ac:dyDescent="0.3">
      <c r="A6788" t="s">
        <v>34</v>
      </c>
      <c r="B6788">
        <v>2020</v>
      </c>
      <c r="C6788" t="s">
        <v>31</v>
      </c>
      <c r="D6788" t="s">
        <v>12</v>
      </c>
      <c r="E6788" t="e">
        <f>VLOOKUP(Cpi_[[#This Row],[Attribute]],#REF!,2,FALSE)</f>
        <v>#REF!</v>
      </c>
      <c r="F6788">
        <v>150.9</v>
      </c>
      <c r="G6788">
        <f>(Cpi_[[#This Row],[Value]]-F6787)/F6787</f>
        <v>0.32252410166520606</v>
      </c>
      <c r="H6788" t="e" cm="1" vm="1">
        <f t="array" aca="1" ref="H6788" ca="1">VLOOKUP(Cpi_[[#This Row],[Year]:[Month]],crudeoil[],3,FALSE)</f>
        <v>#VALUE!</v>
      </c>
    </row>
    <row r="6789" spans="1:8" hidden="1" x14ac:dyDescent="0.3">
      <c r="A6789" t="s">
        <v>34</v>
      </c>
      <c r="B6789">
        <v>2020</v>
      </c>
      <c r="C6789" t="s">
        <v>31</v>
      </c>
      <c r="D6789" t="s">
        <v>13</v>
      </c>
      <c r="E6789" t="e">
        <f>VLOOKUP(Cpi_[[#This Row],[Attribute]],#REF!,2,FALSE)</f>
        <v>#REF!</v>
      </c>
      <c r="F6789">
        <v>136.1</v>
      </c>
      <c r="G6789">
        <f>(Cpi_[[#This Row],[Value]]-F6788)/F6788</f>
        <v>-9.8078197481776083E-2</v>
      </c>
      <c r="H6789" t="e" cm="1" vm="1">
        <f t="array" aca="1" ref="H6789" ca="1">VLOOKUP(Cpi_[[#This Row],[Year]:[Month]],crudeoil[],3,FALSE)</f>
        <v>#VALUE!</v>
      </c>
    </row>
    <row r="6790" spans="1:8" hidden="1" x14ac:dyDescent="0.3">
      <c r="A6790" t="s">
        <v>34</v>
      </c>
      <c r="B6790">
        <v>2020</v>
      </c>
      <c r="C6790" t="s">
        <v>31</v>
      </c>
      <c r="D6790" t="s">
        <v>14</v>
      </c>
      <c r="E6790" t="e">
        <f>VLOOKUP(Cpi_[[#This Row],[Attribute]],#REF!,2,FALSE)</f>
        <v>#REF!</v>
      </c>
      <c r="F6790">
        <v>158.6</v>
      </c>
      <c r="G6790">
        <f>(Cpi_[[#This Row],[Value]]-F6789)/F6789</f>
        <v>0.16531961792799413</v>
      </c>
      <c r="H6790" t="e" cm="1" vm="1">
        <f t="array" aca="1" ref="H6790" ca="1">VLOOKUP(Cpi_[[#This Row],[Year]:[Month]],crudeoil[],3,FALSE)</f>
        <v>#VALUE!</v>
      </c>
    </row>
    <row r="6791" spans="1:8" hidden="1" x14ac:dyDescent="0.3">
      <c r="A6791" t="s">
        <v>34</v>
      </c>
      <c r="B6791">
        <v>2020</v>
      </c>
      <c r="C6791" t="s">
        <v>31</v>
      </c>
      <c r="D6791" t="s">
        <v>15</v>
      </c>
      <c r="E6791" t="e">
        <f>VLOOKUP(Cpi_[[#This Row],[Attribute]],#REF!,2,FALSE)</f>
        <v>#REF!</v>
      </c>
      <c r="F6791">
        <v>153.5</v>
      </c>
      <c r="G6791">
        <f>(Cpi_[[#This Row],[Value]]-F6790)/F6790</f>
        <v>-3.2156368221941956E-2</v>
      </c>
      <c r="H6791" t="e" cm="1" vm="1">
        <f t="array" aca="1" ref="H6791" ca="1">VLOOKUP(Cpi_[[#This Row],[Year]:[Month]],crudeoil[],3,FALSE)</f>
        <v>#VALUE!</v>
      </c>
    </row>
    <row r="6792" spans="1:8" hidden="1" x14ac:dyDescent="0.3">
      <c r="A6792" t="s">
        <v>34</v>
      </c>
      <c r="B6792">
        <v>2020</v>
      </c>
      <c r="C6792" t="s">
        <v>31</v>
      </c>
      <c r="D6792" t="s">
        <v>16</v>
      </c>
      <c r="E6792" t="e">
        <f>VLOOKUP(Cpi_[[#This Row],[Attribute]],#REF!,2,FALSE)</f>
        <v>#REF!</v>
      </c>
      <c r="F6792">
        <v>169.2</v>
      </c>
      <c r="G6792">
        <f>(Cpi_[[#This Row],[Value]]-F6791)/F6791</f>
        <v>0.10228013029315954</v>
      </c>
      <c r="H6792" t="e" cm="1" vm="1">
        <f t="array" aca="1" ref="H6792" ca="1">VLOOKUP(Cpi_[[#This Row],[Year]:[Month]],crudeoil[],3,FALSE)</f>
        <v>#VALUE!</v>
      </c>
    </row>
    <row r="6793" spans="1:8" hidden="1" x14ac:dyDescent="0.3">
      <c r="A6793" t="s">
        <v>34</v>
      </c>
      <c r="B6793">
        <v>2020</v>
      </c>
      <c r="C6793" t="s">
        <v>31</v>
      </c>
      <c r="D6793" t="s">
        <v>17</v>
      </c>
      <c r="E6793" t="e">
        <f>VLOOKUP(Cpi_[[#This Row],[Attribute]],#REF!,2,FALSE)</f>
        <v>#REF!</v>
      </c>
      <c r="F6793">
        <v>150.5</v>
      </c>
      <c r="G6793">
        <f>(Cpi_[[#This Row],[Value]]-F6792)/F6792</f>
        <v>-0.11052009456264769</v>
      </c>
      <c r="H6793" t="e" cm="1" vm="1">
        <f t="array" aca="1" ref="H6793" ca="1">VLOOKUP(Cpi_[[#This Row],[Year]:[Month]],crudeoil[],3,FALSE)</f>
        <v>#VALUE!</v>
      </c>
    </row>
    <row r="6794" spans="1:8" hidden="1" x14ac:dyDescent="0.3">
      <c r="A6794" t="s">
        <v>34</v>
      </c>
      <c r="B6794">
        <v>2020</v>
      </c>
      <c r="C6794" t="s">
        <v>31</v>
      </c>
      <c r="D6794" t="s">
        <v>18</v>
      </c>
      <c r="E6794" t="e">
        <f>VLOOKUP(Cpi_[[#This Row],[Attribute]],#REF!,2,FALSE)</f>
        <v>#REF!</v>
      </c>
      <c r="F6794">
        <v>141.5</v>
      </c>
      <c r="G6794">
        <f>(Cpi_[[#This Row],[Value]]-F6793)/F6793</f>
        <v>-5.9800664451827246E-2</v>
      </c>
      <c r="H6794" t="e" cm="1" vm="1">
        <f t="array" aca="1" ref="H6794" ca="1">VLOOKUP(Cpi_[[#This Row],[Year]:[Month]],crudeoil[],3,FALSE)</f>
        <v>#VALUE!</v>
      </c>
    </row>
    <row r="6795" spans="1:8" hidden="1" x14ac:dyDescent="0.3">
      <c r="A6795" t="s">
        <v>34</v>
      </c>
      <c r="B6795">
        <v>2020</v>
      </c>
      <c r="C6795" t="s">
        <v>31</v>
      </c>
      <c r="D6795" t="s">
        <v>19</v>
      </c>
      <c r="E6795" t="e">
        <f>VLOOKUP(Cpi_[[#This Row],[Attribute]],#REF!,2,FALSE)</f>
        <v>#REF!</v>
      </c>
      <c r="F6795">
        <v>149.19999999999999</v>
      </c>
      <c r="G6795">
        <f>(Cpi_[[#This Row],[Value]]-F6794)/F6794</f>
        <v>5.4416961130741966E-2</v>
      </c>
      <c r="H6795" t="e" cm="1" vm="1">
        <f t="array" aca="1" ref="H6795" ca="1">VLOOKUP(Cpi_[[#This Row],[Year]:[Month]],crudeoil[],3,FALSE)</f>
        <v>#VALUE!</v>
      </c>
    </row>
    <row r="6796" spans="1:8" hidden="1" x14ac:dyDescent="0.3">
      <c r="A6796" t="s">
        <v>34</v>
      </c>
      <c r="B6796">
        <v>2020</v>
      </c>
      <c r="C6796" t="s">
        <v>31</v>
      </c>
      <c r="D6796" t="s">
        <v>20</v>
      </c>
      <c r="E6796" t="e">
        <f>VLOOKUP(Cpi_[[#This Row],[Attribute]],#REF!,2,FALSE)</f>
        <v>#REF!</v>
      </c>
      <c r="F6796">
        <v>153.9</v>
      </c>
      <c r="G6796">
        <f>(Cpi_[[#This Row],[Value]]-F6795)/F6795</f>
        <v>3.1501340482573845E-2</v>
      </c>
      <c r="H6796" t="e" cm="1" vm="1">
        <f t="array" aca="1" ref="H6796" ca="1">VLOOKUP(Cpi_[[#This Row],[Year]:[Month]],crudeoil[],3,FALSE)</f>
        <v>#VALUE!</v>
      </c>
    </row>
    <row r="6797" spans="1:8" hidden="1" x14ac:dyDescent="0.3">
      <c r="A6797" t="s">
        <v>34</v>
      </c>
      <c r="B6797">
        <v>2020</v>
      </c>
      <c r="C6797" t="s">
        <v>31</v>
      </c>
      <c r="D6797" t="s">
        <v>21</v>
      </c>
      <c r="E6797" t="e">
        <f>VLOOKUP(Cpi_[[#This Row],[Attribute]],#REF!,2,FALSE)</f>
        <v>#REF!</v>
      </c>
      <c r="F6797">
        <v>144.6</v>
      </c>
      <c r="G6797">
        <f>(Cpi_[[#This Row],[Value]]-F6796)/F6796</f>
        <v>-6.0428849902534186E-2</v>
      </c>
      <c r="H6797" t="e" cm="1" vm="1">
        <f t="array" aca="1" ref="H6797" ca="1">VLOOKUP(Cpi_[[#This Row],[Year]:[Month]],crudeoil[],3,FALSE)</f>
        <v>#VALUE!</v>
      </c>
    </row>
    <row r="6798" spans="1:8" hidden="1" x14ac:dyDescent="0.3">
      <c r="A6798" t="s">
        <v>34</v>
      </c>
      <c r="B6798">
        <v>2020</v>
      </c>
      <c r="C6798" t="s">
        <v>31</v>
      </c>
      <c r="D6798" t="s">
        <v>22</v>
      </c>
      <c r="E6798" t="e">
        <f>VLOOKUP(Cpi_[[#This Row],[Attribute]],#REF!,2,FALSE)</f>
        <v>#REF!</v>
      </c>
      <c r="F6798">
        <v>146.19999999999999</v>
      </c>
      <c r="G6798">
        <f>(Cpi_[[#This Row],[Value]]-F6797)/F6797</f>
        <v>1.1065006915629283E-2</v>
      </c>
      <c r="H6798" t="e" cm="1" vm="1">
        <f t="array" aca="1" ref="H6798" ca="1">VLOOKUP(Cpi_[[#This Row],[Year]:[Month]],crudeoil[],3,FALSE)</f>
        <v>#VALUE!</v>
      </c>
    </row>
    <row r="6799" spans="1:8" hidden="1" x14ac:dyDescent="0.3">
      <c r="A6799" t="s">
        <v>34</v>
      </c>
      <c r="B6799">
        <v>2020</v>
      </c>
      <c r="C6799" t="s">
        <v>31</v>
      </c>
      <c r="D6799" t="s">
        <v>23</v>
      </c>
      <c r="E6799" t="e">
        <f>VLOOKUP(Cpi_[[#This Row],[Attribute]],#REF!,2,FALSE)</f>
        <v>#REF!</v>
      </c>
      <c r="F6799">
        <v>151.19999999999999</v>
      </c>
      <c r="G6799">
        <f>(Cpi_[[#This Row],[Value]]-F6798)/F6798</f>
        <v>3.4199726402188782E-2</v>
      </c>
      <c r="H6799" t="e" cm="1" vm="1">
        <f t="array" aca="1" ref="H6799" ca="1">VLOOKUP(Cpi_[[#This Row],[Year]:[Month]],crudeoil[],3,FALSE)</f>
        <v>#VALUE!</v>
      </c>
    </row>
    <row r="6800" spans="1:8" hidden="1" x14ac:dyDescent="0.3">
      <c r="A6800" t="s">
        <v>34</v>
      </c>
      <c r="B6800">
        <v>2020</v>
      </c>
      <c r="C6800" t="s">
        <v>31</v>
      </c>
      <c r="D6800" t="s">
        <v>24</v>
      </c>
      <c r="E6800" t="e">
        <f>VLOOKUP(Cpi_[[#This Row],[Attribute]],#REF!,2,FALSE)</f>
        <v>#REF!</v>
      </c>
      <c r="F6800">
        <v>130.9</v>
      </c>
      <c r="G6800">
        <f>(Cpi_[[#This Row],[Value]]-F6799)/F6799</f>
        <v>-0.13425925925925916</v>
      </c>
      <c r="H6800" t="e" cm="1" vm="1">
        <f t="array" aca="1" ref="H6800" ca="1">VLOOKUP(Cpi_[[#This Row],[Year]:[Month]],crudeoil[],3,FALSE)</f>
        <v>#VALUE!</v>
      </c>
    </row>
    <row r="6801" spans="1:8" hidden="1" x14ac:dyDescent="0.3">
      <c r="A6801" t="s">
        <v>34</v>
      </c>
      <c r="B6801">
        <v>2020</v>
      </c>
      <c r="C6801" t="s">
        <v>31</v>
      </c>
      <c r="D6801" t="s">
        <v>25</v>
      </c>
      <c r="E6801" t="e">
        <f>VLOOKUP(Cpi_[[#This Row],[Attribute]],#REF!,2,FALSE)</f>
        <v>#REF!</v>
      </c>
      <c r="F6801">
        <v>142.80000000000001</v>
      </c>
      <c r="G6801">
        <f>(Cpi_[[#This Row],[Value]]-F6800)/F6800</f>
        <v>9.0909090909090953E-2</v>
      </c>
      <c r="H6801" t="e" cm="1" vm="1">
        <f t="array" aca="1" ref="H6801" ca="1">VLOOKUP(Cpi_[[#This Row],[Year]:[Month]],crudeoil[],3,FALSE)</f>
        <v>#VALUE!</v>
      </c>
    </row>
    <row r="6802" spans="1:8" hidden="1" x14ac:dyDescent="0.3">
      <c r="A6802" t="s">
        <v>34</v>
      </c>
      <c r="B6802">
        <v>2020</v>
      </c>
      <c r="C6802" t="s">
        <v>31</v>
      </c>
      <c r="D6802" t="s">
        <v>26</v>
      </c>
      <c r="E6802" t="e">
        <f>VLOOKUP(Cpi_[[#This Row],[Attribute]],#REF!,2,FALSE)</f>
        <v>#REF!</v>
      </c>
      <c r="F6802">
        <v>156.1</v>
      </c>
      <c r="G6802">
        <f>(Cpi_[[#This Row],[Value]]-F6801)/F6801</f>
        <v>9.3137254901960662E-2</v>
      </c>
      <c r="H6802" t="e" cm="1" vm="1">
        <f t="array" aca="1" ref="H6802" ca="1">VLOOKUP(Cpi_[[#This Row],[Year]:[Month]],crudeoil[],3,FALSE)</f>
        <v>#VALUE!</v>
      </c>
    </row>
    <row r="6803" spans="1:8" hidden="1" x14ac:dyDescent="0.3">
      <c r="A6803" t="s">
        <v>34</v>
      </c>
      <c r="B6803">
        <v>2020</v>
      </c>
      <c r="C6803" t="s">
        <v>31</v>
      </c>
      <c r="D6803" t="s">
        <v>27</v>
      </c>
      <c r="E6803" t="e">
        <f>VLOOKUP(Cpi_[[#This Row],[Attribute]],#REF!,2,FALSE)</f>
        <v>#REF!</v>
      </c>
      <c r="F6803">
        <v>142.30000000000001</v>
      </c>
      <c r="G6803">
        <f>(Cpi_[[#This Row],[Value]]-F6802)/F6802</f>
        <v>-8.840486867392687E-2</v>
      </c>
      <c r="H6803" t="e" cm="1" vm="1">
        <f t="array" aca="1" ref="H6803" ca="1">VLOOKUP(Cpi_[[#This Row],[Year]:[Month]],crudeoil[],3,FALSE)</f>
        <v>#VALUE!</v>
      </c>
    </row>
    <row r="6804" spans="1:8" hidden="1" x14ac:dyDescent="0.3">
      <c r="A6804" t="s">
        <v>34</v>
      </c>
      <c r="B6804">
        <v>2020</v>
      </c>
      <c r="C6804" t="s">
        <v>31</v>
      </c>
      <c r="D6804" t="s">
        <v>28</v>
      </c>
      <c r="E6804" t="e">
        <f>VLOOKUP(Cpi_[[#This Row],[Attribute]],#REF!,2,FALSE)</f>
        <v>#REF!</v>
      </c>
      <c r="F6804">
        <v>143.4</v>
      </c>
      <c r="G6804">
        <f>(Cpi_[[#This Row],[Value]]-F6803)/F6803</f>
        <v>7.7301475755445831E-3</v>
      </c>
      <c r="H6804" t="e" cm="1" vm="1">
        <f t="array" aca="1" ref="H6804" ca="1">VLOOKUP(Cpi_[[#This Row],[Year]:[Month]],crudeoil[],3,FALSE)</f>
        <v>#VALUE!</v>
      </c>
    </row>
    <row r="6805" spans="1:8" hidden="1" x14ac:dyDescent="0.3">
      <c r="A6805" t="s">
        <v>34</v>
      </c>
      <c r="B6805">
        <v>2020</v>
      </c>
      <c r="C6805" t="s">
        <v>31</v>
      </c>
      <c r="D6805" t="s">
        <v>29</v>
      </c>
      <c r="E6805" t="e" cm="1">
        <f t="array" aca="1" ref="E6805" ca="1">VLGeneral indexGeneral indexKUP(Cpi_[[#This Row],[Attribute]],#REF!,2,FALSE)</f>
        <v>#NAME?</v>
      </c>
      <c r="F6805">
        <v>150.19999999999999</v>
      </c>
      <c r="G6805">
        <f>(Cpi_[[#This Row],[Value]]-F6804)/F6804</f>
        <v>4.7419804741980355E-2</v>
      </c>
      <c r="H6805" t="e" cm="1" vm="1">
        <f t="array" aca="1" ref="H6805" ca="1">VLOOKUP(Cpi_[[#This Row],[Year]:[Month]],crudeoil[],3,FALSE)</f>
        <v>#VALUE!</v>
      </c>
    </row>
    <row r="6806" spans="1:8" hidden="1" x14ac:dyDescent="0.3">
      <c r="A6806" t="s">
        <v>30</v>
      </c>
      <c r="B6806">
        <v>2020</v>
      </c>
      <c r="C6806" t="s">
        <v>35</v>
      </c>
      <c r="D6806" t="s">
        <v>3</v>
      </c>
      <c r="E6806" t="e">
        <f>VLOOKUP(Cpi_[[#This Row],[Attribute]],#REF!,2,FALSE)</f>
        <v>#REF!</v>
      </c>
      <c r="F6806">
        <v>144.19999999999999</v>
      </c>
      <c r="G6806">
        <f>(Cpi_[[#This Row],[Value]]-F6805)/F6805</f>
        <v>-3.994673768308922E-2</v>
      </c>
      <c r="H6806" t="e" cm="1" vm="1">
        <f t="array" aca="1" ref="H6806" ca="1">VLOOKUP(Cpi_[[#This Row],[Year]:[Month]],crudeoil[],3,FALSE)</f>
        <v>#VALUE!</v>
      </c>
    </row>
    <row r="6807" spans="1:8" hidden="1" x14ac:dyDescent="0.3">
      <c r="A6807" t="s">
        <v>30</v>
      </c>
      <c r="B6807">
        <v>2020</v>
      </c>
      <c r="C6807" t="s">
        <v>35</v>
      </c>
      <c r="D6807" t="s">
        <v>4</v>
      </c>
      <c r="E6807" t="e">
        <f>VLOOKUP(Cpi_[[#This Row],[Attribute]],#REF!,2,FALSE)</f>
        <v>#REF!</v>
      </c>
      <c r="F6807">
        <v>167.5</v>
      </c>
      <c r="G6807">
        <f>(Cpi_[[#This Row],[Value]]-F6806)/F6806</f>
        <v>0.16158113730929274</v>
      </c>
      <c r="H6807" t="e" cm="1" vm="1">
        <f t="array" aca="1" ref="H6807" ca="1">VLOOKUP(Cpi_[[#This Row],[Year]:[Month]],crudeoil[],3,FALSE)</f>
        <v>#VALUE!</v>
      </c>
    </row>
    <row r="6808" spans="1:8" hidden="1" x14ac:dyDescent="0.3">
      <c r="A6808" t="s">
        <v>30</v>
      </c>
      <c r="B6808">
        <v>2020</v>
      </c>
      <c r="C6808" t="s">
        <v>35</v>
      </c>
      <c r="D6808" t="s">
        <v>5</v>
      </c>
      <c r="E6808" t="e">
        <f>VLOOKUP(Cpi_[[#This Row],[Attribute]],#REF!,2,FALSE)</f>
        <v>#REF!</v>
      </c>
      <c r="F6808">
        <v>150.9</v>
      </c>
      <c r="G6808">
        <f>(Cpi_[[#This Row],[Value]]-F6807)/F6807</f>
        <v>-9.9104477611940259E-2</v>
      </c>
      <c r="H6808" t="e" cm="1" vm="1">
        <f t="array" aca="1" ref="H6808" ca="1">VLOOKUP(Cpi_[[#This Row],[Year]:[Month]],crudeoil[],3,FALSE)</f>
        <v>#VALUE!</v>
      </c>
    </row>
    <row r="6809" spans="1:8" hidden="1" x14ac:dyDescent="0.3">
      <c r="A6809" t="s">
        <v>30</v>
      </c>
      <c r="B6809">
        <v>2020</v>
      </c>
      <c r="C6809" t="s">
        <v>35</v>
      </c>
      <c r="D6809" t="s">
        <v>6</v>
      </c>
      <c r="E6809" t="e">
        <f>VLOOKUP(Cpi_[[#This Row],[Attribute]],#REF!,2,FALSE)</f>
        <v>#REF!</v>
      </c>
      <c r="F6809">
        <v>150.9</v>
      </c>
      <c r="G6809">
        <f>(Cpi_[[#This Row],[Value]]-F6808)/F6808</f>
        <v>0</v>
      </c>
      <c r="H6809" t="e" cm="1" vm="1">
        <f t="array" aca="1" ref="H6809" ca="1">VLOOKUP(Cpi_[[#This Row],[Year]:[Month]],crudeoil[],3,FALSE)</f>
        <v>#VALUE!</v>
      </c>
    </row>
    <row r="6810" spans="1:8" hidden="1" x14ac:dyDescent="0.3">
      <c r="A6810" t="s">
        <v>30</v>
      </c>
      <c r="B6810">
        <v>2020</v>
      </c>
      <c r="C6810" t="s">
        <v>35</v>
      </c>
      <c r="D6810" t="s">
        <v>7</v>
      </c>
      <c r="E6810" t="e">
        <f>VLOOKUP(Cpi_[[#This Row],[Attribute]],#REF!,2,FALSE)</f>
        <v>#REF!</v>
      </c>
      <c r="F6810">
        <v>133.69999999999999</v>
      </c>
      <c r="G6810">
        <f>(Cpi_[[#This Row],[Value]]-F6809)/F6809</f>
        <v>-0.11398277004638845</v>
      </c>
      <c r="H6810" t="e" cm="1" vm="1">
        <f t="array" aca="1" ref="H6810" ca="1">VLOOKUP(Cpi_[[#This Row],[Year]:[Month]],crudeoil[],3,FALSE)</f>
        <v>#VALUE!</v>
      </c>
    </row>
    <row r="6811" spans="1:8" hidden="1" x14ac:dyDescent="0.3">
      <c r="A6811" t="s">
        <v>30</v>
      </c>
      <c r="B6811">
        <v>2020</v>
      </c>
      <c r="C6811" t="s">
        <v>35</v>
      </c>
      <c r="D6811" t="s">
        <v>8</v>
      </c>
      <c r="E6811" t="e">
        <f>VLOOKUP(Cpi_[[#This Row],[Attribute]],#REF!,2,FALSE)</f>
        <v>#REF!</v>
      </c>
      <c r="F6811">
        <v>140.69999999999999</v>
      </c>
      <c r="G6811">
        <f>(Cpi_[[#This Row],[Value]]-F6810)/F6810</f>
        <v>5.2356020942408384E-2</v>
      </c>
      <c r="H6811" t="e" cm="1" vm="1">
        <f t="array" aca="1" ref="H6811" ca="1">VLOOKUP(Cpi_[[#This Row],[Year]:[Month]],crudeoil[],3,FALSE)</f>
        <v>#VALUE!</v>
      </c>
    </row>
    <row r="6812" spans="1:8" hidden="1" x14ac:dyDescent="0.3">
      <c r="A6812" t="s">
        <v>30</v>
      </c>
      <c r="B6812">
        <v>2020</v>
      </c>
      <c r="C6812" t="s">
        <v>35</v>
      </c>
      <c r="D6812" t="s">
        <v>9</v>
      </c>
      <c r="E6812" t="e">
        <f>VLOOKUP(Cpi_[[#This Row],[Attribute]],#REF!,2,FALSE)</f>
        <v>#REF!</v>
      </c>
      <c r="F6812">
        <v>165.1</v>
      </c>
      <c r="G6812">
        <f>(Cpi_[[#This Row],[Value]]-F6811)/F6811</f>
        <v>0.17341862117981527</v>
      </c>
      <c r="H6812" t="e" cm="1" vm="1">
        <f t="array" aca="1" ref="H6812" ca="1">VLOOKUP(Cpi_[[#This Row],[Year]:[Month]],crudeoil[],3,FALSE)</f>
        <v>#VALUE!</v>
      </c>
    </row>
    <row r="6813" spans="1:8" hidden="1" x14ac:dyDescent="0.3">
      <c r="A6813" t="s">
        <v>30</v>
      </c>
      <c r="B6813">
        <v>2020</v>
      </c>
      <c r="C6813" t="s">
        <v>35</v>
      </c>
      <c r="D6813" t="s">
        <v>10</v>
      </c>
      <c r="E6813" t="e">
        <f>VLOOKUP(Cpi_[[#This Row],[Attribute]],#REF!,2,FALSE)</f>
        <v>#REF!</v>
      </c>
      <c r="F6813">
        <v>141.80000000000001</v>
      </c>
      <c r="G6813">
        <f>(Cpi_[[#This Row],[Value]]-F6812)/F6812</f>
        <v>-0.14112658994548749</v>
      </c>
      <c r="H6813" t="e" cm="1" vm="1">
        <f t="array" aca="1" ref="H6813" ca="1">VLOOKUP(Cpi_[[#This Row],[Year]:[Month]],crudeoil[],3,FALSE)</f>
        <v>#VALUE!</v>
      </c>
    </row>
    <row r="6814" spans="1:8" hidden="1" x14ac:dyDescent="0.3">
      <c r="A6814" t="s">
        <v>30</v>
      </c>
      <c r="B6814">
        <v>2020</v>
      </c>
      <c r="C6814" t="s">
        <v>35</v>
      </c>
      <c r="D6814" t="s">
        <v>11</v>
      </c>
      <c r="E6814" t="e">
        <f>VLOOKUP(Cpi_[[#This Row],[Attribute]],#REF!,2,FALSE)</f>
        <v>#REF!</v>
      </c>
      <c r="F6814">
        <v>113.1</v>
      </c>
      <c r="G6814">
        <f>(Cpi_[[#This Row],[Value]]-F6813)/F6813</f>
        <v>-0.20239774330042323</v>
      </c>
      <c r="H6814" t="e" cm="1" vm="1">
        <f t="array" aca="1" ref="H6814" ca="1">VLOOKUP(Cpi_[[#This Row],[Year]:[Month]],crudeoil[],3,FALSE)</f>
        <v>#VALUE!</v>
      </c>
    </row>
    <row r="6815" spans="1:8" hidden="1" x14ac:dyDescent="0.3">
      <c r="A6815" t="s">
        <v>30</v>
      </c>
      <c r="B6815">
        <v>2020</v>
      </c>
      <c r="C6815" t="s">
        <v>35</v>
      </c>
      <c r="D6815" t="s">
        <v>12</v>
      </c>
      <c r="E6815" t="e">
        <f>VLOOKUP(Cpi_[[#This Row],[Attribute]],#REF!,2,FALSE)</f>
        <v>#REF!</v>
      </c>
      <c r="F6815">
        <v>152.80000000000001</v>
      </c>
      <c r="G6815">
        <f>(Cpi_[[#This Row],[Value]]-F6814)/F6814</f>
        <v>0.35101679929266155</v>
      </c>
      <c r="H6815" t="e" cm="1" vm="1">
        <f t="array" aca="1" ref="H6815" ca="1">VLOOKUP(Cpi_[[#This Row],[Year]:[Month]],crudeoil[],3,FALSE)</f>
        <v>#VALUE!</v>
      </c>
    </row>
    <row r="6816" spans="1:8" hidden="1" x14ac:dyDescent="0.3">
      <c r="A6816" t="s">
        <v>30</v>
      </c>
      <c r="B6816">
        <v>2020</v>
      </c>
      <c r="C6816" t="s">
        <v>35</v>
      </c>
      <c r="D6816" t="s">
        <v>13</v>
      </c>
      <c r="E6816" t="e">
        <f>VLOOKUP(Cpi_[[#This Row],[Attribute]],#REF!,2,FALSE)</f>
        <v>#REF!</v>
      </c>
      <c r="F6816">
        <v>140.1</v>
      </c>
      <c r="G6816">
        <f>(Cpi_[[#This Row],[Value]]-F6815)/F6815</f>
        <v>-8.3115183246073407E-2</v>
      </c>
      <c r="H6816" t="e" cm="1" vm="1">
        <f t="array" aca="1" ref="H6816" ca="1">VLOOKUP(Cpi_[[#This Row],[Year]:[Month]],crudeoil[],3,FALSE)</f>
        <v>#VALUE!</v>
      </c>
    </row>
    <row r="6817" spans="1:8" hidden="1" x14ac:dyDescent="0.3">
      <c r="A6817" t="s">
        <v>30</v>
      </c>
      <c r="B6817">
        <v>2020</v>
      </c>
      <c r="C6817" t="s">
        <v>35</v>
      </c>
      <c r="D6817" t="s">
        <v>14</v>
      </c>
      <c r="E6817" t="e">
        <f>VLOOKUP(Cpi_[[#This Row],[Attribute]],#REF!,2,FALSE)</f>
        <v>#REF!</v>
      </c>
      <c r="F6817">
        <v>159.19999999999999</v>
      </c>
      <c r="G6817">
        <f>(Cpi_[[#This Row],[Value]]-F6816)/F6816</f>
        <v>0.13633119200571017</v>
      </c>
      <c r="H6817" t="e" cm="1" vm="1">
        <f t="array" aca="1" ref="H6817" ca="1">VLOOKUP(Cpi_[[#This Row],[Year]:[Month]],crudeoil[],3,FALSE)</f>
        <v>#VALUE!</v>
      </c>
    </row>
    <row r="6818" spans="1:8" hidden="1" x14ac:dyDescent="0.3">
      <c r="A6818" t="s">
        <v>30</v>
      </c>
      <c r="B6818">
        <v>2020</v>
      </c>
      <c r="C6818" t="s">
        <v>35</v>
      </c>
      <c r="D6818" t="s">
        <v>15</v>
      </c>
      <c r="E6818" t="e">
        <f>VLOOKUP(Cpi_[[#This Row],[Attribute]],#REF!,2,FALSE)</f>
        <v>#REF!</v>
      </c>
      <c r="F6818">
        <v>149.80000000000001</v>
      </c>
      <c r="G6818">
        <f>(Cpi_[[#This Row],[Value]]-F6817)/F6817</f>
        <v>-5.9045226130653126E-2</v>
      </c>
      <c r="H6818" t="e" cm="1" vm="1">
        <f t="array" aca="1" ref="H6818" ca="1">VLOOKUP(Cpi_[[#This Row],[Year]:[Month]],crudeoil[],3,FALSE)</f>
        <v>#VALUE!</v>
      </c>
    </row>
    <row r="6819" spans="1:8" hidden="1" x14ac:dyDescent="0.3">
      <c r="A6819" t="s">
        <v>30</v>
      </c>
      <c r="B6819">
        <v>2020</v>
      </c>
      <c r="C6819" t="s">
        <v>35</v>
      </c>
      <c r="D6819" t="s">
        <v>16</v>
      </c>
      <c r="E6819" t="e">
        <f>VLOOKUP(Cpi_[[#This Row],[Attribute]],#REF!,2,FALSE)</f>
        <v>#REF!</v>
      </c>
      <c r="F6819">
        <v>169.4</v>
      </c>
      <c r="G6819">
        <f>(Cpi_[[#This Row],[Value]]-F6818)/F6818</f>
        <v>0.13084112149532706</v>
      </c>
      <c r="H6819" t="e" cm="1" vm="1">
        <f t="array" aca="1" ref="H6819" ca="1">VLOOKUP(Cpi_[[#This Row],[Year]:[Month]],crudeoil[],3,FALSE)</f>
        <v>#VALUE!</v>
      </c>
    </row>
    <row r="6820" spans="1:8" hidden="1" x14ac:dyDescent="0.3">
      <c r="A6820" t="s">
        <v>30</v>
      </c>
      <c r="B6820">
        <v>2020</v>
      </c>
      <c r="C6820" t="s">
        <v>35</v>
      </c>
      <c r="D6820" t="s">
        <v>17</v>
      </c>
      <c r="E6820" t="e">
        <f>VLOOKUP(Cpi_[[#This Row],[Attribute]],#REF!,2,FALSE)</f>
        <v>#REF!</v>
      </c>
      <c r="F6820">
        <v>153</v>
      </c>
      <c r="G6820">
        <f>(Cpi_[[#This Row],[Value]]-F6819)/F6819</f>
        <v>-9.6812278630460477E-2</v>
      </c>
      <c r="H6820" t="e" cm="1" vm="1">
        <f t="array" aca="1" ref="H6820" ca="1">VLOOKUP(Cpi_[[#This Row],[Year]:[Month]],crudeoil[],3,FALSE)</f>
        <v>#VALUE!</v>
      </c>
    </row>
    <row r="6821" spans="1:8" hidden="1" x14ac:dyDescent="0.3">
      <c r="A6821" t="s">
        <v>30</v>
      </c>
      <c r="B6821">
        <v>2020</v>
      </c>
      <c r="C6821" t="s">
        <v>35</v>
      </c>
      <c r="D6821" t="s">
        <v>18</v>
      </c>
      <c r="E6821" t="e">
        <f>VLOOKUP(Cpi_[[#This Row],[Attribute]],#REF!,2,FALSE)</f>
        <v>#REF!</v>
      </c>
      <c r="F6821">
        <v>147.5</v>
      </c>
      <c r="G6821">
        <f>(Cpi_[[#This Row],[Value]]-F6820)/F6820</f>
        <v>-3.5947712418300651E-2</v>
      </c>
      <c r="H6821" t="e" cm="1" vm="1">
        <f t="array" aca="1" ref="H6821" ca="1">VLOOKUP(Cpi_[[#This Row],[Year]:[Month]],crudeoil[],3,FALSE)</f>
        <v>#VALUE!</v>
      </c>
    </row>
    <row r="6822" spans="1:8" hidden="1" x14ac:dyDescent="0.3">
      <c r="A6822" t="s">
        <v>30</v>
      </c>
      <c r="B6822">
        <v>2020</v>
      </c>
      <c r="C6822" t="s">
        <v>35</v>
      </c>
      <c r="D6822" t="s">
        <v>19</v>
      </c>
      <c r="E6822" t="e">
        <f>VLOOKUP(Cpi_[[#This Row],[Attribute]],#REF!,2,FALSE)</f>
        <v>#REF!</v>
      </c>
      <c r="F6822">
        <v>152.30000000000001</v>
      </c>
      <c r="G6822">
        <f>(Cpi_[[#This Row],[Value]]-F6821)/F6821</f>
        <v>3.2542372881356009E-2</v>
      </c>
      <c r="H6822" t="e" cm="1" vm="1">
        <f t="array" aca="1" ref="H6822" ca="1">VLOOKUP(Cpi_[[#This Row],[Year]:[Month]],crudeoil[],3,FALSE)</f>
        <v>#VALUE!</v>
      </c>
    </row>
    <row r="6823" spans="1:8" hidden="1" x14ac:dyDescent="0.3">
      <c r="A6823" t="s">
        <v>30</v>
      </c>
      <c r="B6823">
        <v>2020</v>
      </c>
      <c r="C6823" t="s">
        <v>35</v>
      </c>
      <c r="D6823" t="s">
        <v>20</v>
      </c>
      <c r="E6823" t="e">
        <f>VLOOKUP(Cpi_[[#This Row],[Attribute]],#REF!,2,FALSE)</f>
        <v>#REF!</v>
      </c>
      <c r="F6823" t="s">
        <v>32</v>
      </c>
      <c r="G6823" t="e">
        <f>(Cpi_[[#This Row],[Value]]-F6822)/F6822</f>
        <v>#VALUE!</v>
      </c>
      <c r="H6823" t="e" cm="1" vm="1">
        <f t="array" aca="1" ref="H6823" ca="1">VLOOKUP(Cpi_[[#This Row],[Year]:[Month]],crudeoil[],3,FALSE)</f>
        <v>#VALUE!</v>
      </c>
    </row>
    <row r="6824" spans="1:8" hidden="1" x14ac:dyDescent="0.3">
      <c r="A6824" t="s">
        <v>30</v>
      </c>
      <c r="B6824">
        <v>2020</v>
      </c>
      <c r="C6824" t="s">
        <v>35</v>
      </c>
      <c r="D6824" t="s">
        <v>21</v>
      </c>
      <c r="E6824" t="e">
        <f>VLOOKUP(Cpi_[[#This Row],[Attribute]],#REF!,2,FALSE)</f>
        <v>#REF!</v>
      </c>
      <c r="F6824">
        <v>152.30000000000001</v>
      </c>
      <c r="G6824" t="e">
        <f>(Cpi_[[#This Row],[Value]]-F6823)/F6823</f>
        <v>#VALUE!</v>
      </c>
      <c r="H6824" t="e" cm="1" vm="1">
        <f t="array" aca="1" ref="H6824" ca="1">VLOOKUP(Cpi_[[#This Row],[Year]:[Month]],crudeoil[],3,FALSE)</f>
        <v>#VALUE!</v>
      </c>
    </row>
    <row r="6825" spans="1:8" hidden="1" x14ac:dyDescent="0.3">
      <c r="A6825" t="s">
        <v>30</v>
      </c>
      <c r="B6825">
        <v>2020</v>
      </c>
      <c r="C6825" t="s">
        <v>35</v>
      </c>
      <c r="D6825" t="s">
        <v>22</v>
      </c>
      <c r="E6825" t="e">
        <f>VLOOKUP(Cpi_[[#This Row],[Attribute]],#REF!,2,FALSE)</f>
        <v>#REF!</v>
      </c>
      <c r="F6825">
        <v>151.80000000000001</v>
      </c>
      <c r="G6825">
        <f>(Cpi_[[#This Row],[Value]]-F6824)/F6824</f>
        <v>-3.2829940906106366E-3</v>
      </c>
      <c r="H6825" t="e" cm="1" vm="1">
        <f t="array" aca="1" ref="H6825" ca="1">VLOOKUP(Cpi_[[#This Row],[Year]:[Month]],crudeoil[],3,FALSE)</f>
        <v>#VALUE!</v>
      </c>
    </row>
    <row r="6826" spans="1:8" hidden="1" x14ac:dyDescent="0.3">
      <c r="A6826" t="s">
        <v>30</v>
      </c>
      <c r="B6826">
        <v>2020</v>
      </c>
      <c r="C6826" t="s">
        <v>35</v>
      </c>
      <c r="D6826" t="s">
        <v>23</v>
      </c>
      <c r="E6826" t="e">
        <f>VLOOKUP(Cpi_[[#This Row],[Attribute]],#REF!,2,FALSE)</f>
        <v>#REF!</v>
      </c>
      <c r="F6826">
        <v>156.19999999999999</v>
      </c>
      <c r="G6826">
        <f>(Cpi_[[#This Row],[Value]]-F6825)/F6825</f>
        <v>2.8985507246376659E-2</v>
      </c>
      <c r="H6826" t="e" cm="1" vm="1">
        <f t="array" aca="1" ref="H6826" ca="1">VLOOKUP(Cpi_[[#This Row],[Year]:[Month]],crudeoil[],3,FALSE)</f>
        <v>#VALUE!</v>
      </c>
    </row>
    <row r="6827" spans="1:8" hidden="1" x14ac:dyDescent="0.3">
      <c r="A6827" t="s">
        <v>30</v>
      </c>
      <c r="B6827">
        <v>2020</v>
      </c>
      <c r="C6827" t="s">
        <v>35</v>
      </c>
      <c r="D6827" t="s">
        <v>24</v>
      </c>
      <c r="E6827" t="e">
        <f>VLOOKUP(Cpi_[[#This Row],[Attribute]],#REF!,2,FALSE)</f>
        <v>#REF!</v>
      </c>
      <c r="F6827">
        <v>136</v>
      </c>
      <c r="G6827">
        <f>(Cpi_[[#This Row],[Value]]-F6826)/F6826</f>
        <v>-0.12932138284250955</v>
      </c>
      <c r="H6827" t="e" cm="1" vm="1">
        <f t="array" aca="1" ref="H6827" ca="1">VLOOKUP(Cpi_[[#This Row],[Year]:[Month]],crudeoil[],3,FALSE)</f>
        <v>#VALUE!</v>
      </c>
    </row>
    <row r="6828" spans="1:8" hidden="1" x14ac:dyDescent="0.3">
      <c r="A6828" t="s">
        <v>30</v>
      </c>
      <c r="B6828">
        <v>2020</v>
      </c>
      <c r="C6828" t="s">
        <v>35</v>
      </c>
      <c r="D6828" t="s">
        <v>25</v>
      </c>
      <c r="E6828" t="e">
        <f>VLOOKUP(Cpi_[[#This Row],[Attribute]],#REF!,2,FALSE)</f>
        <v>#REF!</v>
      </c>
      <c r="F6828">
        <v>150.4</v>
      </c>
      <c r="G6828">
        <f>(Cpi_[[#This Row],[Value]]-F6827)/F6827</f>
        <v>0.10588235294117651</v>
      </c>
      <c r="H6828" t="e" cm="1" vm="1">
        <f t="array" aca="1" ref="H6828" ca="1">VLOOKUP(Cpi_[[#This Row],[Year]:[Month]],crudeoil[],3,FALSE)</f>
        <v>#VALUE!</v>
      </c>
    </row>
    <row r="6829" spans="1:8" hidden="1" x14ac:dyDescent="0.3">
      <c r="A6829" t="s">
        <v>30</v>
      </c>
      <c r="B6829">
        <v>2020</v>
      </c>
      <c r="C6829" t="s">
        <v>35</v>
      </c>
      <c r="D6829" t="s">
        <v>26</v>
      </c>
      <c r="E6829" t="e">
        <f>VLOOKUP(Cpi_[[#This Row],[Attribute]],#REF!,2,FALSE)</f>
        <v>#REF!</v>
      </c>
      <c r="F6829">
        <v>161.9</v>
      </c>
      <c r="G6829">
        <f>(Cpi_[[#This Row],[Value]]-F6828)/F6828</f>
        <v>7.6462765957446804E-2</v>
      </c>
      <c r="H6829" t="e" cm="1" vm="1">
        <f t="array" aca="1" ref="H6829" ca="1">VLOOKUP(Cpi_[[#This Row],[Year]:[Month]],crudeoil[],3,FALSE)</f>
        <v>#VALUE!</v>
      </c>
    </row>
    <row r="6830" spans="1:8" hidden="1" x14ac:dyDescent="0.3">
      <c r="A6830" t="s">
        <v>30</v>
      </c>
      <c r="B6830">
        <v>2020</v>
      </c>
      <c r="C6830" t="s">
        <v>35</v>
      </c>
      <c r="D6830" t="s">
        <v>27</v>
      </c>
      <c r="E6830" t="e">
        <f>VLOOKUP(Cpi_[[#This Row],[Attribute]],#REF!,2,FALSE)</f>
        <v>#REF!</v>
      </c>
      <c r="F6830">
        <v>143.4</v>
      </c>
      <c r="G6830">
        <f>(Cpi_[[#This Row],[Value]]-F6829)/F6829</f>
        <v>-0.11426806670784434</v>
      </c>
      <c r="H6830" t="e" cm="1" vm="1">
        <f t="array" aca="1" ref="H6830" ca="1">VLOOKUP(Cpi_[[#This Row],[Year]:[Month]],crudeoil[],3,FALSE)</f>
        <v>#VALUE!</v>
      </c>
    </row>
    <row r="6831" spans="1:8" hidden="1" x14ac:dyDescent="0.3">
      <c r="A6831" t="s">
        <v>30</v>
      </c>
      <c r="B6831">
        <v>2020</v>
      </c>
      <c r="C6831" t="s">
        <v>35</v>
      </c>
      <c r="D6831" t="s">
        <v>28</v>
      </c>
      <c r="E6831" t="e">
        <f>VLOOKUP(Cpi_[[#This Row],[Attribute]],#REF!,2,FALSE)</f>
        <v>#REF!</v>
      </c>
      <c r="F6831">
        <v>148.4</v>
      </c>
      <c r="G6831">
        <f>(Cpi_[[#This Row],[Value]]-F6830)/F6830</f>
        <v>3.4867503486750349E-2</v>
      </c>
      <c r="H6831" t="e" cm="1" vm="1">
        <f t="array" aca="1" ref="H6831" ca="1">VLOOKUP(Cpi_[[#This Row],[Year]:[Month]],crudeoil[],3,FALSE)</f>
        <v>#VALUE!</v>
      </c>
    </row>
    <row r="6832" spans="1:8" hidden="1" x14ac:dyDescent="0.3">
      <c r="A6832" t="s">
        <v>30</v>
      </c>
      <c r="B6832">
        <v>2020</v>
      </c>
      <c r="C6832" t="s">
        <v>35</v>
      </c>
      <c r="D6832" t="s">
        <v>29</v>
      </c>
      <c r="E6832" t="e" cm="1">
        <f t="array" aca="1" ref="E6832" ca="1">VLGeneral indexGeneral indexKUP(Cpi_[[#This Row],[Attribute]],#REF!,2,FALSE)</f>
        <v>#NAME?</v>
      </c>
      <c r="F6832">
        <v>150.4</v>
      </c>
      <c r="G6832">
        <f>(Cpi_[[#This Row],[Value]]-F6831)/F6831</f>
        <v>1.3477088948787061E-2</v>
      </c>
      <c r="H6832" t="e" cm="1" vm="1">
        <f t="array" aca="1" ref="H6832" ca="1">VLOOKUP(Cpi_[[#This Row],[Year]:[Month]],crudeoil[],3,FALSE)</f>
        <v>#VALUE!</v>
      </c>
    </row>
    <row r="6833" spans="1:8" hidden="1" x14ac:dyDescent="0.3">
      <c r="A6833" t="s">
        <v>33</v>
      </c>
      <c r="B6833">
        <v>2020</v>
      </c>
      <c r="C6833" t="s">
        <v>35</v>
      </c>
      <c r="D6833" t="s">
        <v>3</v>
      </c>
      <c r="E6833" t="e">
        <f>VLOOKUP(Cpi_[[#This Row],[Attribute]],#REF!,2,FALSE)</f>
        <v>#REF!</v>
      </c>
      <c r="F6833">
        <v>146.19999999999999</v>
      </c>
      <c r="G6833">
        <f>(Cpi_[[#This Row],[Value]]-F6832)/F6832</f>
        <v>-2.792553191489373E-2</v>
      </c>
      <c r="H6833" t="e" cm="1" vm="1">
        <f t="array" aca="1" ref="H6833" ca="1">VLOOKUP(Cpi_[[#This Row],[Year]:[Month]],crudeoil[],3,FALSE)</f>
        <v>#VALUE!</v>
      </c>
    </row>
    <row r="6834" spans="1:8" hidden="1" x14ac:dyDescent="0.3">
      <c r="A6834" t="s">
        <v>33</v>
      </c>
      <c r="B6834">
        <v>2020</v>
      </c>
      <c r="C6834" t="s">
        <v>35</v>
      </c>
      <c r="D6834" t="s">
        <v>4</v>
      </c>
      <c r="E6834" t="e">
        <f>VLOOKUP(Cpi_[[#This Row],[Attribute]],#REF!,2,FALSE)</f>
        <v>#REF!</v>
      </c>
      <c r="F6834">
        <v>167.6</v>
      </c>
      <c r="G6834">
        <f>(Cpi_[[#This Row],[Value]]-F6833)/F6833</f>
        <v>0.14637482900136803</v>
      </c>
      <c r="H6834" t="e" cm="1" vm="1">
        <f t="array" aca="1" ref="H6834" ca="1">VLOOKUP(Cpi_[[#This Row],[Year]:[Month]],crudeoil[],3,FALSE)</f>
        <v>#VALUE!</v>
      </c>
    </row>
    <row r="6835" spans="1:8" hidden="1" x14ac:dyDescent="0.3">
      <c r="A6835" t="s">
        <v>33</v>
      </c>
      <c r="B6835">
        <v>2020</v>
      </c>
      <c r="C6835" t="s">
        <v>35</v>
      </c>
      <c r="D6835" t="s">
        <v>5</v>
      </c>
      <c r="E6835" t="e">
        <f>VLOOKUP(Cpi_[[#This Row],[Attribute]],#REF!,2,FALSE)</f>
        <v>#REF!</v>
      </c>
      <c r="F6835">
        <v>153.1</v>
      </c>
      <c r="G6835">
        <f>(Cpi_[[#This Row],[Value]]-F6834)/F6834</f>
        <v>-8.6515513126491653E-2</v>
      </c>
      <c r="H6835" t="e" cm="1" vm="1">
        <f t="array" aca="1" ref="H6835" ca="1">VLOOKUP(Cpi_[[#This Row],[Year]:[Month]],crudeoil[],3,FALSE)</f>
        <v>#VALUE!</v>
      </c>
    </row>
    <row r="6836" spans="1:8" hidden="1" x14ac:dyDescent="0.3">
      <c r="A6836" t="s">
        <v>33</v>
      </c>
      <c r="B6836">
        <v>2020</v>
      </c>
      <c r="C6836" t="s">
        <v>35</v>
      </c>
      <c r="D6836" t="s">
        <v>6</v>
      </c>
      <c r="E6836" t="e">
        <f>VLOOKUP(Cpi_[[#This Row],[Attribute]],#REF!,2,FALSE)</f>
        <v>#REF!</v>
      </c>
      <c r="F6836">
        <v>150.69999999999999</v>
      </c>
      <c r="G6836">
        <f>(Cpi_[[#This Row],[Value]]-F6835)/F6835</f>
        <v>-1.5676028739386061E-2</v>
      </c>
      <c r="H6836" t="e" cm="1" vm="1">
        <f t="array" aca="1" ref="H6836" ca="1">VLOOKUP(Cpi_[[#This Row],[Year]:[Month]],crudeoil[],3,FALSE)</f>
        <v>#VALUE!</v>
      </c>
    </row>
    <row r="6837" spans="1:8" hidden="1" x14ac:dyDescent="0.3">
      <c r="A6837" t="s">
        <v>33</v>
      </c>
      <c r="B6837">
        <v>2020</v>
      </c>
      <c r="C6837" t="s">
        <v>35</v>
      </c>
      <c r="D6837" t="s">
        <v>7</v>
      </c>
      <c r="E6837" t="e">
        <f>VLOOKUP(Cpi_[[#This Row],[Attribute]],#REF!,2,FALSE)</f>
        <v>#REF!</v>
      </c>
      <c r="F6837">
        <v>127.4</v>
      </c>
      <c r="G6837">
        <f>(Cpi_[[#This Row],[Value]]-F6836)/F6836</f>
        <v>-0.15461181154611803</v>
      </c>
      <c r="H6837" t="e" cm="1" vm="1">
        <f t="array" aca="1" ref="H6837" ca="1">VLOOKUP(Cpi_[[#This Row],[Year]:[Month]],crudeoil[],3,FALSE)</f>
        <v>#VALUE!</v>
      </c>
    </row>
    <row r="6838" spans="1:8" hidden="1" x14ac:dyDescent="0.3">
      <c r="A6838" t="s">
        <v>33</v>
      </c>
      <c r="B6838">
        <v>2020</v>
      </c>
      <c r="C6838" t="s">
        <v>35</v>
      </c>
      <c r="D6838" t="s">
        <v>8</v>
      </c>
      <c r="E6838" t="e">
        <f>VLOOKUP(Cpi_[[#This Row],[Attribute]],#REF!,2,FALSE)</f>
        <v>#REF!</v>
      </c>
      <c r="F6838">
        <v>143.1</v>
      </c>
      <c r="G6838">
        <f>(Cpi_[[#This Row],[Value]]-F6837)/F6837</f>
        <v>0.12323390894819457</v>
      </c>
      <c r="H6838" t="e" cm="1" vm="1">
        <f t="array" aca="1" ref="H6838" ca="1">VLOOKUP(Cpi_[[#This Row],[Year]:[Month]],crudeoil[],3,FALSE)</f>
        <v>#VALUE!</v>
      </c>
    </row>
    <row r="6839" spans="1:8" hidden="1" x14ac:dyDescent="0.3">
      <c r="A6839" t="s">
        <v>33</v>
      </c>
      <c r="B6839">
        <v>2020</v>
      </c>
      <c r="C6839" t="s">
        <v>35</v>
      </c>
      <c r="D6839" t="s">
        <v>9</v>
      </c>
      <c r="E6839" t="e">
        <f>VLOOKUP(Cpi_[[#This Row],[Attribute]],#REF!,2,FALSE)</f>
        <v>#REF!</v>
      </c>
      <c r="F6839">
        <v>181.7</v>
      </c>
      <c r="G6839">
        <f>(Cpi_[[#This Row],[Value]]-F6838)/F6838</f>
        <v>0.26974143955276025</v>
      </c>
      <c r="H6839" t="e" cm="1" vm="1">
        <f t="array" aca="1" ref="H6839" ca="1">VLOOKUP(Cpi_[[#This Row],[Year]:[Month]],crudeoil[],3,FALSE)</f>
        <v>#VALUE!</v>
      </c>
    </row>
    <row r="6840" spans="1:8" hidden="1" x14ac:dyDescent="0.3">
      <c r="A6840" t="s">
        <v>33</v>
      </c>
      <c r="B6840">
        <v>2020</v>
      </c>
      <c r="C6840" t="s">
        <v>35</v>
      </c>
      <c r="D6840" t="s">
        <v>10</v>
      </c>
      <c r="E6840" t="e">
        <f>VLOOKUP(Cpi_[[#This Row],[Attribute]],#REF!,2,FALSE)</f>
        <v>#REF!</v>
      </c>
      <c r="F6840">
        <v>139.6</v>
      </c>
      <c r="G6840">
        <f>(Cpi_[[#This Row],[Value]]-F6839)/F6839</f>
        <v>-0.23170060539350576</v>
      </c>
      <c r="H6840" t="e" cm="1" vm="1">
        <f t="array" aca="1" ref="H6840" ca="1">VLOOKUP(Cpi_[[#This Row],[Year]:[Month]],crudeoil[],3,FALSE)</f>
        <v>#VALUE!</v>
      </c>
    </row>
    <row r="6841" spans="1:8" hidden="1" x14ac:dyDescent="0.3">
      <c r="A6841" t="s">
        <v>33</v>
      </c>
      <c r="B6841">
        <v>2020</v>
      </c>
      <c r="C6841" t="s">
        <v>35</v>
      </c>
      <c r="D6841" t="s">
        <v>11</v>
      </c>
      <c r="E6841" t="e">
        <f>VLOOKUP(Cpi_[[#This Row],[Attribute]],#REF!,2,FALSE)</f>
        <v>#REF!</v>
      </c>
      <c r="F6841">
        <v>114.6</v>
      </c>
      <c r="G6841">
        <f>(Cpi_[[#This Row],[Value]]-F6840)/F6840</f>
        <v>-0.17908309455587393</v>
      </c>
      <c r="H6841" t="e" cm="1" vm="1">
        <f t="array" aca="1" ref="H6841" ca="1">VLOOKUP(Cpi_[[#This Row],[Year]:[Month]],crudeoil[],3,FALSE)</f>
        <v>#VALUE!</v>
      </c>
    </row>
    <row r="6842" spans="1:8" hidden="1" x14ac:dyDescent="0.3">
      <c r="A6842" t="s">
        <v>33</v>
      </c>
      <c r="B6842">
        <v>2020</v>
      </c>
      <c r="C6842" t="s">
        <v>35</v>
      </c>
      <c r="D6842" t="s">
        <v>12</v>
      </c>
      <c r="E6842" t="e">
        <f>VLOOKUP(Cpi_[[#This Row],[Attribute]],#REF!,2,FALSE)</f>
        <v>#REF!</v>
      </c>
      <c r="F6842">
        <v>150.4</v>
      </c>
      <c r="G6842">
        <f>(Cpi_[[#This Row],[Value]]-F6841)/F6841</f>
        <v>0.31239092495637011</v>
      </c>
      <c r="H6842" t="e" cm="1" vm="1">
        <f t="array" aca="1" ref="H6842" ca="1">VLOOKUP(Cpi_[[#This Row],[Year]:[Month]],crudeoil[],3,FALSE)</f>
        <v>#VALUE!</v>
      </c>
    </row>
    <row r="6843" spans="1:8" hidden="1" x14ac:dyDescent="0.3">
      <c r="A6843" t="s">
        <v>33</v>
      </c>
      <c r="B6843">
        <v>2020</v>
      </c>
      <c r="C6843" t="s">
        <v>35</v>
      </c>
      <c r="D6843" t="s">
        <v>13</v>
      </c>
      <c r="E6843" t="e">
        <f>VLOOKUP(Cpi_[[#This Row],[Attribute]],#REF!,2,FALSE)</f>
        <v>#REF!</v>
      </c>
      <c r="F6843">
        <v>131.5</v>
      </c>
      <c r="G6843">
        <f>(Cpi_[[#This Row],[Value]]-F6842)/F6842</f>
        <v>-0.12566489361702132</v>
      </c>
      <c r="H6843" t="e" cm="1" vm="1">
        <f t="array" aca="1" ref="H6843" ca="1">VLOOKUP(Cpi_[[#This Row],[Year]:[Month]],crudeoil[],3,FALSE)</f>
        <v>#VALUE!</v>
      </c>
    </row>
    <row r="6844" spans="1:8" hidden="1" x14ac:dyDescent="0.3">
      <c r="A6844" t="s">
        <v>33</v>
      </c>
      <c r="B6844">
        <v>2020</v>
      </c>
      <c r="C6844" t="s">
        <v>35</v>
      </c>
      <c r="D6844" t="s">
        <v>14</v>
      </c>
      <c r="E6844" t="e">
        <f>VLOOKUP(Cpi_[[#This Row],[Attribute]],#REF!,2,FALSE)</f>
        <v>#REF!</v>
      </c>
      <c r="F6844">
        <v>159</v>
      </c>
      <c r="G6844">
        <f>(Cpi_[[#This Row],[Value]]-F6843)/F6843</f>
        <v>0.20912547528517111</v>
      </c>
      <c r="H6844" t="e" cm="1" vm="1">
        <f t="array" aca="1" ref="H6844" ca="1">VLOOKUP(Cpi_[[#This Row],[Year]:[Month]],crudeoil[],3,FALSE)</f>
        <v>#VALUE!</v>
      </c>
    </row>
    <row r="6845" spans="1:8" hidden="1" x14ac:dyDescent="0.3">
      <c r="A6845" t="s">
        <v>33</v>
      </c>
      <c r="B6845">
        <v>2020</v>
      </c>
      <c r="C6845" t="s">
        <v>35</v>
      </c>
      <c r="D6845" t="s">
        <v>15</v>
      </c>
      <c r="E6845" t="e">
        <f>VLOOKUP(Cpi_[[#This Row],[Attribute]],#REF!,2,FALSE)</f>
        <v>#REF!</v>
      </c>
      <c r="F6845">
        <v>151.69999999999999</v>
      </c>
      <c r="G6845">
        <f>(Cpi_[[#This Row],[Value]]-F6844)/F6844</f>
        <v>-4.5911949685534664E-2</v>
      </c>
      <c r="H6845" t="e" cm="1" vm="1">
        <f t="array" aca="1" ref="H6845" ca="1">VLOOKUP(Cpi_[[#This Row],[Year]:[Month]],crudeoil[],3,FALSE)</f>
        <v>#VALUE!</v>
      </c>
    </row>
    <row r="6846" spans="1:8" hidden="1" x14ac:dyDescent="0.3">
      <c r="A6846" t="s">
        <v>33</v>
      </c>
      <c r="B6846">
        <v>2020</v>
      </c>
      <c r="C6846" t="s">
        <v>35</v>
      </c>
      <c r="D6846" t="s">
        <v>16</v>
      </c>
      <c r="E6846" t="e">
        <f>VLOOKUP(Cpi_[[#This Row],[Attribute]],#REF!,2,FALSE)</f>
        <v>#REF!</v>
      </c>
      <c r="F6846">
        <v>172</v>
      </c>
      <c r="G6846">
        <f>(Cpi_[[#This Row],[Value]]-F6845)/F6845</f>
        <v>0.13381674357284121</v>
      </c>
      <c r="H6846" t="e" cm="1" vm="1">
        <f t="array" aca="1" ref="H6846" ca="1">VLOOKUP(Cpi_[[#This Row],[Year]:[Month]],crudeoil[],3,FALSE)</f>
        <v>#VALUE!</v>
      </c>
    </row>
    <row r="6847" spans="1:8" hidden="1" x14ac:dyDescent="0.3">
      <c r="A6847" t="s">
        <v>33</v>
      </c>
      <c r="B6847">
        <v>2020</v>
      </c>
      <c r="C6847" t="s">
        <v>35</v>
      </c>
      <c r="D6847" t="s">
        <v>17</v>
      </c>
      <c r="E6847" t="e">
        <f>VLOOKUP(Cpi_[[#This Row],[Attribute]],#REF!,2,FALSE)</f>
        <v>#REF!</v>
      </c>
      <c r="F6847">
        <v>147.30000000000001</v>
      </c>
      <c r="G6847">
        <f>(Cpi_[[#This Row],[Value]]-F6846)/F6846</f>
        <v>-0.14360465116279064</v>
      </c>
      <c r="H6847" t="e" cm="1" vm="1">
        <f t="array" aca="1" ref="H6847" ca="1">VLOOKUP(Cpi_[[#This Row],[Year]:[Month]],crudeoil[],3,FALSE)</f>
        <v>#VALUE!</v>
      </c>
    </row>
    <row r="6848" spans="1:8" hidden="1" x14ac:dyDescent="0.3">
      <c r="A6848" t="s">
        <v>33</v>
      </c>
      <c r="B6848">
        <v>2020</v>
      </c>
      <c r="C6848" t="s">
        <v>35</v>
      </c>
      <c r="D6848" t="s">
        <v>18</v>
      </c>
      <c r="E6848" t="e">
        <f>VLOOKUP(Cpi_[[#This Row],[Attribute]],#REF!,2,FALSE)</f>
        <v>#REF!</v>
      </c>
      <c r="F6848">
        <v>133.5</v>
      </c>
      <c r="G6848">
        <f>(Cpi_[[#This Row],[Value]]-F6847)/F6847</f>
        <v>-9.3686354378818809E-2</v>
      </c>
      <c r="H6848" t="e" cm="1" vm="1">
        <f t="array" aca="1" ref="H6848" ca="1">VLOOKUP(Cpi_[[#This Row],[Year]:[Month]],crudeoil[],3,FALSE)</f>
        <v>#VALUE!</v>
      </c>
    </row>
    <row r="6849" spans="1:8" hidden="1" x14ac:dyDescent="0.3">
      <c r="A6849" t="s">
        <v>33</v>
      </c>
      <c r="B6849">
        <v>2020</v>
      </c>
      <c r="C6849" t="s">
        <v>35</v>
      </c>
      <c r="D6849" t="s">
        <v>19</v>
      </c>
      <c r="E6849" t="e">
        <f>VLOOKUP(Cpi_[[#This Row],[Attribute]],#REF!,2,FALSE)</f>
        <v>#REF!</v>
      </c>
      <c r="F6849">
        <v>145.19999999999999</v>
      </c>
      <c r="G6849">
        <f>(Cpi_[[#This Row],[Value]]-F6848)/F6848</f>
        <v>8.7640449438202164E-2</v>
      </c>
      <c r="H6849" t="e" cm="1" vm="1">
        <f t="array" aca="1" ref="H6849" ca="1">VLOOKUP(Cpi_[[#This Row],[Year]:[Month]],crudeoil[],3,FALSE)</f>
        <v>#VALUE!</v>
      </c>
    </row>
    <row r="6850" spans="1:8" hidden="1" x14ac:dyDescent="0.3">
      <c r="A6850" t="s">
        <v>33</v>
      </c>
      <c r="B6850">
        <v>2020</v>
      </c>
      <c r="C6850" t="s">
        <v>35</v>
      </c>
      <c r="D6850" t="s">
        <v>20</v>
      </c>
      <c r="E6850" t="e">
        <f>VLOOKUP(Cpi_[[#This Row],[Attribute]],#REF!,2,FALSE)</f>
        <v>#REF!</v>
      </c>
      <c r="F6850">
        <v>154.80000000000001</v>
      </c>
      <c r="G6850">
        <f>(Cpi_[[#This Row],[Value]]-F6849)/F6849</f>
        <v>6.6115702479339011E-2</v>
      </c>
      <c r="H6850" t="e" cm="1" vm="1">
        <f t="array" aca="1" ref="H6850" ca="1">VLOOKUP(Cpi_[[#This Row],[Year]:[Month]],crudeoil[],3,FALSE)</f>
        <v>#VALUE!</v>
      </c>
    </row>
    <row r="6851" spans="1:8" hidden="1" x14ac:dyDescent="0.3">
      <c r="A6851" t="s">
        <v>33</v>
      </c>
      <c r="B6851">
        <v>2020</v>
      </c>
      <c r="C6851" t="s">
        <v>35</v>
      </c>
      <c r="D6851" t="s">
        <v>21</v>
      </c>
      <c r="E6851" t="e">
        <f>VLOOKUP(Cpi_[[#This Row],[Attribute]],#REF!,2,FALSE)</f>
        <v>#REF!</v>
      </c>
      <c r="F6851">
        <v>138.9</v>
      </c>
      <c r="G6851">
        <f>(Cpi_[[#This Row],[Value]]-F6850)/F6850</f>
        <v>-0.10271317829457367</v>
      </c>
      <c r="H6851" t="e" cm="1" vm="1">
        <f t="array" aca="1" ref="H6851" ca="1">VLOOKUP(Cpi_[[#This Row],[Year]:[Month]],crudeoil[],3,FALSE)</f>
        <v>#VALUE!</v>
      </c>
    </row>
    <row r="6852" spans="1:8" hidden="1" x14ac:dyDescent="0.3">
      <c r="A6852" t="s">
        <v>33</v>
      </c>
      <c r="B6852">
        <v>2020</v>
      </c>
      <c r="C6852" t="s">
        <v>35</v>
      </c>
      <c r="D6852" t="s">
        <v>22</v>
      </c>
      <c r="E6852" t="e">
        <f>VLOOKUP(Cpi_[[#This Row],[Attribute]],#REF!,2,FALSE)</f>
        <v>#REF!</v>
      </c>
      <c r="F6852">
        <v>140.4</v>
      </c>
      <c r="G6852">
        <f>(Cpi_[[#This Row],[Value]]-F6851)/F6851</f>
        <v>1.079913606911447E-2</v>
      </c>
      <c r="H6852" t="e" cm="1" vm="1">
        <f t="array" aca="1" ref="H6852" ca="1">VLOOKUP(Cpi_[[#This Row],[Year]:[Month]],crudeoil[],3,FALSE)</f>
        <v>#VALUE!</v>
      </c>
    </row>
    <row r="6853" spans="1:8" hidden="1" x14ac:dyDescent="0.3">
      <c r="A6853" t="s">
        <v>33</v>
      </c>
      <c r="B6853">
        <v>2020</v>
      </c>
      <c r="C6853" t="s">
        <v>35</v>
      </c>
      <c r="D6853" t="s">
        <v>23</v>
      </c>
      <c r="E6853" t="e">
        <f>VLOOKUP(Cpi_[[#This Row],[Attribute]],#REF!,2,FALSE)</f>
        <v>#REF!</v>
      </c>
      <c r="F6853">
        <v>144.4</v>
      </c>
      <c r="G6853">
        <f>(Cpi_[[#This Row],[Value]]-F6852)/F6852</f>
        <v>2.8490028490028491E-2</v>
      </c>
      <c r="H6853" t="e" cm="1" vm="1">
        <f t="array" aca="1" ref="H6853" ca="1">VLOOKUP(Cpi_[[#This Row],[Year]:[Month]],crudeoil[],3,FALSE)</f>
        <v>#VALUE!</v>
      </c>
    </row>
    <row r="6854" spans="1:8" hidden="1" x14ac:dyDescent="0.3">
      <c r="A6854" t="s">
        <v>33</v>
      </c>
      <c r="B6854">
        <v>2020</v>
      </c>
      <c r="C6854" t="s">
        <v>35</v>
      </c>
      <c r="D6854" t="s">
        <v>24</v>
      </c>
      <c r="E6854" t="e">
        <f>VLOOKUP(Cpi_[[#This Row],[Attribute]],#REF!,2,FALSE)</f>
        <v>#REF!</v>
      </c>
      <c r="F6854">
        <v>125.2</v>
      </c>
      <c r="G6854">
        <f>(Cpi_[[#This Row],[Value]]-F6853)/F6853</f>
        <v>-0.1329639889196676</v>
      </c>
      <c r="H6854" t="e" cm="1" vm="1">
        <f t="array" aca="1" ref="H6854" ca="1">VLOOKUP(Cpi_[[#This Row],[Year]:[Month]],crudeoil[],3,FALSE)</f>
        <v>#VALUE!</v>
      </c>
    </row>
    <row r="6855" spans="1:8" hidden="1" x14ac:dyDescent="0.3">
      <c r="A6855" t="s">
        <v>33</v>
      </c>
      <c r="B6855">
        <v>2020</v>
      </c>
      <c r="C6855" t="s">
        <v>35</v>
      </c>
      <c r="D6855" t="s">
        <v>25</v>
      </c>
      <c r="E6855" t="e">
        <f>VLOOKUP(Cpi_[[#This Row],[Attribute]],#REF!,2,FALSE)</f>
        <v>#REF!</v>
      </c>
      <c r="F6855">
        <v>137.69999999999999</v>
      </c>
      <c r="G6855">
        <f>(Cpi_[[#This Row],[Value]]-F6854)/F6854</f>
        <v>9.9840255591054194E-2</v>
      </c>
      <c r="H6855" t="e" cm="1" vm="1">
        <f t="array" aca="1" ref="H6855" ca="1">VLOOKUP(Cpi_[[#This Row],[Year]:[Month]],crudeoil[],3,FALSE)</f>
        <v>#VALUE!</v>
      </c>
    </row>
    <row r="6856" spans="1:8" hidden="1" x14ac:dyDescent="0.3">
      <c r="A6856" t="s">
        <v>33</v>
      </c>
      <c r="B6856">
        <v>2020</v>
      </c>
      <c r="C6856" t="s">
        <v>35</v>
      </c>
      <c r="D6856" t="s">
        <v>26</v>
      </c>
      <c r="E6856" t="e">
        <f>VLOOKUP(Cpi_[[#This Row],[Attribute]],#REF!,2,FALSE)</f>
        <v>#REF!</v>
      </c>
      <c r="F6856">
        <v>152.19999999999999</v>
      </c>
      <c r="G6856">
        <f>(Cpi_[[#This Row],[Value]]-F6855)/F6855</f>
        <v>0.10530137981118375</v>
      </c>
      <c r="H6856" t="e" cm="1" vm="1">
        <f t="array" aca="1" ref="H6856" ca="1">VLOOKUP(Cpi_[[#This Row],[Year]:[Month]],crudeoil[],3,FALSE)</f>
        <v>#VALUE!</v>
      </c>
    </row>
    <row r="6857" spans="1:8" hidden="1" x14ac:dyDescent="0.3">
      <c r="A6857" t="s">
        <v>33</v>
      </c>
      <c r="B6857">
        <v>2020</v>
      </c>
      <c r="C6857" t="s">
        <v>35</v>
      </c>
      <c r="D6857" t="s">
        <v>27</v>
      </c>
      <c r="E6857" t="e">
        <f>VLOOKUP(Cpi_[[#This Row],[Attribute]],#REF!,2,FALSE)</f>
        <v>#REF!</v>
      </c>
      <c r="F6857">
        <v>143.5</v>
      </c>
      <c r="G6857">
        <f>(Cpi_[[#This Row],[Value]]-F6856)/F6856</f>
        <v>-5.7161629434953939E-2</v>
      </c>
      <c r="H6857" t="e" cm="1" vm="1">
        <f t="array" aca="1" ref="H6857" ca="1">VLOOKUP(Cpi_[[#This Row],[Year]:[Month]],crudeoil[],3,FALSE)</f>
        <v>#VALUE!</v>
      </c>
    </row>
    <row r="6858" spans="1:8" hidden="1" x14ac:dyDescent="0.3">
      <c r="A6858" t="s">
        <v>33</v>
      </c>
      <c r="B6858">
        <v>2020</v>
      </c>
      <c r="C6858" t="s">
        <v>35</v>
      </c>
      <c r="D6858" t="s">
        <v>28</v>
      </c>
      <c r="E6858" t="e">
        <f>VLOOKUP(Cpi_[[#This Row],[Attribute]],#REF!,2,FALSE)</f>
        <v>#REF!</v>
      </c>
      <c r="F6858">
        <v>138.4</v>
      </c>
      <c r="G6858">
        <f>(Cpi_[[#This Row],[Value]]-F6857)/F6857</f>
        <v>-3.5540069686411109E-2</v>
      </c>
      <c r="H6858" t="e" cm="1" vm="1">
        <f t="array" aca="1" ref="H6858" ca="1">VLOOKUP(Cpi_[[#This Row],[Year]:[Month]],crudeoil[],3,FALSE)</f>
        <v>#VALUE!</v>
      </c>
    </row>
    <row r="6859" spans="1:8" hidden="1" x14ac:dyDescent="0.3">
      <c r="A6859" t="s">
        <v>33</v>
      </c>
      <c r="B6859">
        <v>2020</v>
      </c>
      <c r="C6859" t="s">
        <v>35</v>
      </c>
      <c r="D6859" t="s">
        <v>29</v>
      </c>
      <c r="E6859" t="e" cm="1">
        <f t="array" aca="1" ref="E6859" ca="1">VLGeneral indexGeneral indexKUP(Cpi_[[#This Row],[Attribute]],#REF!,2,FALSE)</f>
        <v>#NAME?</v>
      </c>
      <c r="F6859">
        <v>147.69999999999999</v>
      </c>
      <c r="G6859">
        <f>(Cpi_[[#This Row],[Value]]-F6858)/F6858</f>
        <v>6.7196531791907391E-2</v>
      </c>
      <c r="H6859" t="e" cm="1" vm="1">
        <f t="array" aca="1" ref="H6859" ca="1">VLOOKUP(Cpi_[[#This Row],[Year]:[Month]],crudeoil[],3,FALSE)</f>
        <v>#VALUE!</v>
      </c>
    </row>
    <row r="6860" spans="1:8" hidden="1" x14ac:dyDescent="0.3">
      <c r="A6860" t="s">
        <v>34</v>
      </c>
      <c r="B6860">
        <v>2020</v>
      </c>
      <c r="C6860" t="s">
        <v>35</v>
      </c>
      <c r="D6860" t="s">
        <v>3</v>
      </c>
      <c r="E6860" t="e">
        <f>VLOOKUP(Cpi_[[#This Row],[Attribute]],#REF!,2,FALSE)</f>
        <v>#REF!</v>
      </c>
      <c r="F6860">
        <v>144.80000000000001</v>
      </c>
      <c r="G6860">
        <f>(Cpi_[[#This Row],[Value]]-F6859)/F6859</f>
        <v>-1.9634394041976828E-2</v>
      </c>
      <c r="H6860" t="e" cm="1" vm="1">
        <f t="array" aca="1" ref="H6860" ca="1">VLOOKUP(Cpi_[[#This Row],[Year]:[Month]],crudeoil[],3,FALSE)</f>
        <v>#VALUE!</v>
      </c>
    </row>
    <row r="6861" spans="1:8" hidden="1" x14ac:dyDescent="0.3">
      <c r="A6861" t="s">
        <v>34</v>
      </c>
      <c r="B6861">
        <v>2020</v>
      </c>
      <c r="C6861" t="s">
        <v>35</v>
      </c>
      <c r="D6861" t="s">
        <v>4</v>
      </c>
      <c r="E6861" t="e">
        <f>VLOOKUP(Cpi_[[#This Row],[Attribute]],#REF!,2,FALSE)</f>
        <v>#REF!</v>
      </c>
      <c r="F6861">
        <v>167.5</v>
      </c>
      <c r="G6861">
        <f>(Cpi_[[#This Row],[Value]]-F6860)/F6860</f>
        <v>0.15676795580110489</v>
      </c>
      <c r="H6861" t="e" cm="1" vm="1">
        <f t="array" aca="1" ref="H6861" ca="1">VLOOKUP(Cpi_[[#This Row],[Year]:[Month]],crudeoil[],3,FALSE)</f>
        <v>#VALUE!</v>
      </c>
    </row>
    <row r="6862" spans="1:8" hidden="1" x14ac:dyDescent="0.3">
      <c r="A6862" t="s">
        <v>34</v>
      </c>
      <c r="B6862">
        <v>2020</v>
      </c>
      <c r="C6862" t="s">
        <v>35</v>
      </c>
      <c r="D6862" t="s">
        <v>5</v>
      </c>
      <c r="E6862" t="e">
        <f>VLOOKUP(Cpi_[[#This Row],[Attribute]],#REF!,2,FALSE)</f>
        <v>#REF!</v>
      </c>
      <c r="F6862">
        <v>151.80000000000001</v>
      </c>
      <c r="G6862">
        <f>(Cpi_[[#This Row],[Value]]-F6861)/F6861</f>
        <v>-9.3731343283582028E-2</v>
      </c>
      <c r="H6862" t="e" cm="1" vm="1">
        <f t="array" aca="1" ref="H6862" ca="1">VLOOKUP(Cpi_[[#This Row],[Year]:[Month]],crudeoil[],3,FALSE)</f>
        <v>#VALUE!</v>
      </c>
    </row>
    <row r="6863" spans="1:8" hidden="1" x14ac:dyDescent="0.3">
      <c r="A6863" t="s">
        <v>34</v>
      </c>
      <c r="B6863">
        <v>2020</v>
      </c>
      <c r="C6863" t="s">
        <v>35</v>
      </c>
      <c r="D6863" t="s">
        <v>6</v>
      </c>
      <c r="E6863" t="e">
        <f>VLOOKUP(Cpi_[[#This Row],[Attribute]],#REF!,2,FALSE)</f>
        <v>#REF!</v>
      </c>
      <c r="F6863">
        <v>150.80000000000001</v>
      </c>
      <c r="G6863">
        <f>(Cpi_[[#This Row],[Value]]-F6862)/F6862</f>
        <v>-6.587615283267457E-3</v>
      </c>
      <c r="H6863" t="e" cm="1" vm="1">
        <f t="array" aca="1" ref="H6863" ca="1">VLOOKUP(Cpi_[[#This Row],[Year]:[Month]],crudeoil[],3,FALSE)</f>
        <v>#VALUE!</v>
      </c>
    </row>
    <row r="6864" spans="1:8" hidden="1" x14ac:dyDescent="0.3">
      <c r="A6864" t="s">
        <v>34</v>
      </c>
      <c r="B6864">
        <v>2020</v>
      </c>
      <c r="C6864" t="s">
        <v>35</v>
      </c>
      <c r="D6864" t="s">
        <v>7</v>
      </c>
      <c r="E6864" t="e">
        <f>VLOOKUP(Cpi_[[#This Row],[Attribute]],#REF!,2,FALSE)</f>
        <v>#REF!</v>
      </c>
      <c r="F6864">
        <v>131.4</v>
      </c>
      <c r="G6864">
        <f>(Cpi_[[#This Row],[Value]]-F6863)/F6863</f>
        <v>-0.12864721485411143</v>
      </c>
      <c r="H6864" t="e" cm="1" vm="1">
        <f t="array" aca="1" ref="H6864" ca="1">VLOOKUP(Cpi_[[#This Row],[Year]:[Month]],crudeoil[],3,FALSE)</f>
        <v>#VALUE!</v>
      </c>
    </row>
    <row r="6865" spans="1:8" hidden="1" x14ac:dyDescent="0.3">
      <c r="A6865" t="s">
        <v>34</v>
      </c>
      <c r="B6865">
        <v>2020</v>
      </c>
      <c r="C6865" t="s">
        <v>35</v>
      </c>
      <c r="D6865" t="s">
        <v>8</v>
      </c>
      <c r="E6865" t="e">
        <f>VLOOKUP(Cpi_[[#This Row],[Attribute]],#REF!,2,FALSE)</f>
        <v>#REF!</v>
      </c>
      <c r="F6865">
        <v>141.80000000000001</v>
      </c>
      <c r="G6865">
        <f>(Cpi_[[#This Row],[Value]]-F6864)/F6864</f>
        <v>7.9147640791476445E-2</v>
      </c>
      <c r="H6865" t="e" cm="1" vm="1">
        <f t="array" aca="1" ref="H6865" ca="1">VLOOKUP(Cpi_[[#This Row],[Year]:[Month]],crudeoil[],3,FALSE)</f>
        <v>#VALUE!</v>
      </c>
    </row>
    <row r="6866" spans="1:8" hidden="1" x14ac:dyDescent="0.3">
      <c r="A6866" t="s">
        <v>34</v>
      </c>
      <c r="B6866">
        <v>2020</v>
      </c>
      <c r="C6866" t="s">
        <v>35</v>
      </c>
      <c r="D6866" t="s">
        <v>9</v>
      </c>
      <c r="E6866" t="e">
        <f>VLOOKUP(Cpi_[[#This Row],[Attribute]],#REF!,2,FALSE)</f>
        <v>#REF!</v>
      </c>
      <c r="F6866">
        <v>170.7</v>
      </c>
      <c r="G6866">
        <f>(Cpi_[[#This Row],[Value]]-F6865)/F6865</f>
        <v>0.20380818053596597</v>
      </c>
      <c r="H6866" t="e" cm="1" vm="1">
        <f t="array" aca="1" ref="H6866" ca="1">VLOOKUP(Cpi_[[#This Row],[Year]:[Month]],crudeoil[],3,FALSE)</f>
        <v>#VALUE!</v>
      </c>
    </row>
    <row r="6867" spans="1:8" hidden="1" x14ac:dyDescent="0.3">
      <c r="A6867" t="s">
        <v>34</v>
      </c>
      <c r="B6867">
        <v>2020</v>
      </c>
      <c r="C6867" t="s">
        <v>35</v>
      </c>
      <c r="D6867" t="s">
        <v>10</v>
      </c>
      <c r="E6867" t="e">
        <f>VLOOKUP(Cpi_[[#This Row],[Attribute]],#REF!,2,FALSE)</f>
        <v>#REF!</v>
      </c>
      <c r="F6867">
        <v>141.1</v>
      </c>
      <c r="G6867">
        <f>(Cpi_[[#This Row],[Value]]-F6866)/F6866</f>
        <v>-0.17340363210310483</v>
      </c>
      <c r="H6867" t="e" cm="1" vm="1">
        <f t="array" aca="1" ref="H6867" ca="1">VLOOKUP(Cpi_[[#This Row],[Year]:[Month]],crudeoil[],3,FALSE)</f>
        <v>#VALUE!</v>
      </c>
    </row>
    <row r="6868" spans="1:8" hidden="1" x14ac:dyDescent="0.3">
      <c r="A6868" t="s">
        <v>34</v>
      </c>
      <c r="B6868">
        <v>2020</v>
      </c>
      <c r="C6868" t="s">
        <v>35</v>
      </c>
      <c r="D6868" t="s">
        <v>11</v>
      </c>
      <c r="E6868" t="e">
        <f>VLOOKUP(Cpi_[[#This Row],[Attribute]],#REF!,2,FALSE)</f>
        <v>#REF!</v>
      </c>
      <c r="F6868">
        <v>113.6</v>
      </c>
      <c r="G6868">
        <f>(Cpi_[[#This Row],[Value]]-F6867)/F6867</f>
        <v>-0.19489723600283487</v>
      </c>
      <c r="H6868" t="e" cm="1" vm="1">
        <f t="array" aca="1" ref="H6868" ca="1">VLOOKUP(Cpi_[[#This Row],[Year]:[Month]],crudeoil[],3,FALSE)</f>
        <v>#VALUE!</v>
      </c>
    </row>
    <row r="6869" spans="1:8" hidden="1" x14ac:dyDescent="0.3">
      <c r="A6869" t="s">
        <v>34</v>
      </c>
      <c r="B6869">
        <v>2020</v>
      </c>
      <c r="C6869" t="s">
        <v>35</v>
      </c>
      <c r="D6869" t="s">
        <v>12</v>
      </c>
      <c r="E6869" t="e">
        <f>VLOOKUP(Cpi_[[#This Row],[Attribute]],#REF!,2,FALSE)</f>
        <v>#REF!</v>
      </c>
      <c r="F6869">
        <v>152</v>
      </c>
      <c r="G6869">
        <f>(Cpi_[[#This Row],[Value]]-F6868)/F6868</f>
        <v>0.33802816901408456</v>
      </c>
      <c r="H6869" t="e" cm="1" vm="1">
        <f t="array" aca="1" ref="H6869" ca="1">VLOOKUP(Cpi_[[#This Row],[Year]:[Month]],crudeoil[],3,FALSE)</f>
        <v>#VALUE!</v>
      </c>
    </row>
    <row r="6870" spans="1:8" hidden="1" x14ac:dyDescent="0.3">
      <c r="A6870" t="s">
        <v>34</v>
      </c>
      <c r="B6870">
        <v>2020</v>
      </c>
      <c r="C6870" t="s">
        <v>35</v>
      </c>
      <c r="D6870" t="s">
        <v>13</v>
      </c>
      <c r="E6870" t="e">
        <f>VLOOKUP(Cpi_[[#This Row],[Attribute]],#REF!,2,FALSE)</f>
        <v>#REF!</v>
      </c>
      <c r="F6870">
        <v>136.5</v>
      </c>
      <c r="G6870">
        <f>(Cpi_[[#This Row],[Value]]-F6869)/F6869</f>
        <v>-0.10197368421052631</v>
      </c>
      <c r="H6870" t="e" cm="1" vm="1">
        <f t="array" aca="1" ref="H6870" ca="1">VLOOKUP(Cpi_[[#This Row],[Year]:[Month]],crudeoil[],3,FALSE)</f>
        <v>#VALUE!</v>
      </c>
    </row>
    <row r="6871" spans="1:8" hidden="1" x14ac:dyDescent="0.3">
      <c r="A6871" t="s">
        <v>34</v>
      </c>
      <c r="B6871">
        <v>2020</v>
      </c>
      <c r="C6871" t="s">
        <v>35</v>
      </c>
      <c r="D6871" t="s">
        <v>14</v>
      </c>
      <c r="E6871" t="e">
        <f>VLOOKUP(Cpi_[[#This Row],[Attribute]],#REF!,2,FALSE)</f>
        <v>#REF!</v>
      </c>
      <c r="F6871">
        <v>159.1</v>
      </c>
      <c r="G6871">
        <f>(Cpi_[[#This Row],[Value]]-F6870)/F6870</f>
        <v>0.16556776556776553</v>
      </c>
      <c r="H6871" t="e" cm="1" vm="1">
        <f t="array" aca="1" ref="H6871" ca="1">VLOOKUP(Cpi_[[#This Row],[Year]:[Month]],crudeoil[],3,FALSE)</f>
        <v>#VALUE!</v>
      </c>
    </row>
    <row r="6872" spans="1:8" hidden="1" x14ac:dyDescent="0.3">
      <c r="A6872" t="s">
        <v>34</v>
      </c>
      <c r="B6872">
        <v>2020</v>
      </c>
      <c r="C6872" t="s">
        <v>35</v>
      </c>
      <c r="D6872" t="s">
        <v>15</v>
      </c>
      <c r="E6872" t="e">
        <f>VLOOKUP(Cpi_[[#This Row],[Attribute]],#REF!,2,FALSE)</f>
        <v>#REF!</v>
      </c>
      <c r="F6872">
        <v>150.5</v>
      </c>
      <c r="G6872">
        <f>(Cpi_[[#This Row],[Value]]-F6871)/F6871</f>
        <v>-5.4054054054054022E-2</v>
      </c>
      <c r="H6872" t="e" cm="1" vm="1">
        <f t="array" aca="1" ref="H6872" ca="1">VLOOKUP(Cpi_[[#This Row],[Year]:[Month]],crudeoil[],3,FALSE)</f>
        <v>#VALUE!</v>
      </c>
    </row>
    <row r="6873" spans="1:8" hidden="1" x14ac:dyDescent="0.3">
      <c r="A6873" t="s">
        <v>34</v>
      </c>
      <c r="B6873">
        <v>2020</v>
      </c>
      <c r="C6873" t="s">
        <v>35</v>
      </c>
      <c r="D6873" t="s">
        <v>16</v>
      </c>
      <c r="E6873" t="e">
        <f>VLOOKUP(Cpi_[[#This Row],[Attribute]],#REF!,2,FALSE)</f>
        <v>#REF!</v>
      </c>
      <c r="F6873">
        <v>170.1</v>
      </c>
      <c r="G6873">
        <f>(Cpi_[[#This Row],[Value]]-F6872)/F6872</f>
        <v>0.13023255813953485</v>
      </c>
      <c r="H6873" t="e" cm="1" vm="1">
        <f t="array" aca="1" ref="H6873" ca="1">VLOOKUP(Cpi_[[#This Row],[Year]:[Month]],crudeoil[],3,FALSE)</f>
        <v>#VALUE!</v>
      </c>
    </row>
    <row r="6874" spans="1:8" hidden="1" x14ac:dyDescent="0.3">
      <c r="A6874" t="s">
        <v>34</v>
      </c>
      <c r="B6874">
        <v>2020</v>
      </c>
      <c r="C6874" t="s">
        <v>35</v>
      </c>
      <c r="D6874" t="s">
        <v>17</v>
      </c>
      <c r="E6874" t="e">
        <f>VLOOKUP(Cpi_[[#This Row],[Attribute]],#REF!,2,FALSE)</f>
        <v>#REF!</v>
      </c>
      <c r="F6874">
        <v>150.80000000000001</v>
      </c>
      <c r="G6874">
        <f>(Cpi_[[#This Row],[Value]]-F6873)/F6873</f>
        <v>-0.11346266901822448</v>
      </c>
      <c r="H6874" t="e" cm="1" vm="1">
        <f t="array" aca="1" ref="H6874" ca="1">VLOOKUP(Cpi_[[#This Row],[Year]:[Month]],crudeoil[],3,FALSE)</f>
        <v>#VALUE!</v>
      </c>
    </row>
    <row r="6875" spans="1:8" hidden="1" x14ac:dyDescent="0.3">
      <c r="A6875" t="s">
        <v>34</v>
      </c>
      <c r="B6875">
        <v>2020</v>
      </c>
      <c r="C6875" t="s">
        <v>35</v>
      </c>
      <c r="D6875" t="s">
        <v>18</v>
      </c>
      <c r="E6875" t="e">
        <f>VLOOKUP(Cpi_[[#This Row],[Attribute]],#REF!,2,FALSE)</f>
        <v>#REF!</v>
      </c>
      <c r="F6875">
        <v>141.69999999999999</v>
      </c>
      <c r="G6875">
        <f>(Cpi_[[#This Row],[Value]]-F6874)/F6874</f>
        <v>-6.0344827586207045E-2</v>
      </c>
      <c r="H6875" t="e" cm="1" vm="1">
        <f t="array" aca="1" ref="H6875" ca="1">VLOOKUP(Cpi_[[#This Row],[Year]:[Month]],crudeoil[],3,FALSE)</f>
        <v>#VALUE!</v>
      </c>
    </row>
    <row r="6876" spans="1:8" hidden="1" x14ac:dyDescent="0.3">
      <c r="A6876" t="s">
        <v>34</v>
      </c>
      <c r="B6876">
        <v>2020</v>
      </c>
      <c r="C6876" t="s">
        <v>35</v>
      </c>
      <c r="D6876" t="s">
        <v>19</v>
      </c>
      <c r="E6876" t="e">
        <f>VLOOKUP(Cpi_[[#This Row],[Attribute]],#REF!,2,FALSE)</f>
        <v>#REF!</v>
      </c>
      <c r="F6876">
        <v>149.5</v>
      </c>
      <c r="G6876">
        <f>(Cpi_[[#This Row],[Value]]-F6875)/F6875</f>
        <v>5.5045871559633114E-2</v>
      </c>
      <c r="H6876" t="e" cm="1" vm="1">
        <f t="array" aca="1" ref="H6876" ca="1">VLOOKUP(Cpi_[[#This Row],[Year]:[Month]],crudeoil[],3,FALSE)</f>
        <v>#VALUE!</v>
      </c>
    </row>
    <row r="6877" spans="1:8" hidden="1" x14ac:dyDescent="0.3">
      <c r="A6877" t="s">
        <v>34</v>
      </c>
      <c r="B6877">
        <v>2020</v>
      </c>
      <c r="C6877" t="s">
        <v>35</v>
      </c>
      <c r="D6877" t="s">
        <v>20</v>
      </c>
      <c r="E6877" t="e">
        <f>VLOOKUP(Cpi_[[#This Row],[Attribute]],#REF!,2,FALSE)</f>
        <v>#REF!</v>
      </c>
      <c r="F6877">
        <v>154.80000000000001</v>
      </c>
      <c r="G6877">
        <f>(Cpi_[[#This Row],[Value]]-F6876)/F6876</f>
        <v>3.5451505016722486E-2</v>
      </c>
      <c r="H6877" t="e" cm="1" vm="1">
        <f t="array" aca="1" ref="H6877" ca="1">VLOOKUP(Cpi_[[#This Row],[Year]:[Month]],crudeoil[],3,FALSE)</f>
        <v>#VALUE!</v>
      </c>
    </row>
    <row r="6878" spans="1:8" hidden="1" x14ac:dyDescent="0.3">
      <c r="A6878" t="s">
        <v>34</v>
      </c>
      <c r="B6878">
        <v>2020</v>
      </c>
      <c r="C6878" t="s">
        <v>35</v>
      </c>
      <c r="D6878" t="s">
        <v>21</v>
      </c>
      <c r="E6878" t="e">
        <f>VLOOKUP(Cpi_[[#This Row],[Attribute]],#REF!,2,FALSE)</f>
        <v>#REF!</v>
      </c>
      <c r="F6878">
        <v>147.19999999999999</v>
      </c>
      <c r="G6878">
        <f>(Cpi_[[#This Row],[Value]]-F6877)/F6877</f>
        <v>-4.9095607235142259E-2</v>
      </c>
      <c r="H6878" t="e" cm="1" vm="1">
        <f t="array" aca="1" ref="H6878" ca="1">VLOOKUP(Cpi_[[#This Row],[Year]:[Month]],crudeoil[],3,FALSE)</f>
        <v>#VALUE!</v>
      </c>
    </row>
    <row r="6879" spans="1:8" hidden="1" x14ac:dyDescent="0.3">
      <c r="A6879" t="s">
        <v>34</v>
      </c>
      <c r="B6879">
        <v>2020</v>
      </c>
      <c r="C6879" t="s">
        <v>35</v>
      </c>
      <c r="D6879" t="s">
        <v>22</v>
      </c>
      <c r="E6879" t="e">
        <f>VLOOKUP(Cpi_[[#This Row],[Attribute]],#REF!,2,FALSE)</f>
        <v>#REF!</v>
      </c>
      <c r="F6879">
        <v>146.4</v>
      </c>
      <c r="G6879">
        <f>(Cpi_[[#This Row],[Value]]-F6878)/F6878</f>
        <v>-5.4347826086955367E-3</v>
      </c>
      <c r="H6879" t="e" cm="1" vm="1">
        <f t="array" aca="1" ref="H6879" ca="1">VLOOKUP(Cpi_[[#This Row],[Year]:[Month]],crudeoil[],3,FALSE)</f>
        <v>#VALUE!</v>
      </c>
    </row>
    <row r="6880" spans="1:8" hidden="1" x14ac:dyDescent="0.3">
      <c r="A6880" t="s">
        <v>34</v>
      </c>
      <c r="B6880">
        <v>2020</v>
      </c>
      <c r="C6880" t="s">
        <v>35</v>
      </c>
      <c r="D6880" t="s">
        <v>23</v>
      </c>
      <c r="E6880" t="e">
        <f>VLOOKUP(Cpi_[[#This Row],[Attribute]],#REF!,2,FALSE)</f>
        <v>#REF!</v>
      </c>
      <c r="F6880">
        <v>151.69999999999999</v>
      </c>
      <c r="G6880">
        <f>(Cpi_[[#This Row],[Value]]-F6879)/F6879</f>
        <v>3.6202185792349607E-2</v>
      </c>
      <c r="H6880" t="e" cm="1" vm="1">
        <f t="array" aca="1" ref="H6880" ca="1">VLOOKUP(Cpi_[[#This Row],[Year]:[Month]],crudeoil[],3,FALSE)</f>
        <v>#VALUE!</v>
      </c>
    </row>
    <row r="6881" spans="1:8" hidden="1" x14ac:dyDescent="0.3">
      <c r="A6881" t="s">
        <v>34</v>
      </c>
      <c r="B6881">
        <v>2020</v>
      </c>
      <c r="C6881" t="s">
        <v>35</v>
      </c>
      <c r="D6881" t="s">
        <v>24</v>
      </c>
      <c r="E6881" t="e">
        <f>VLOOKUP(Cpi_[[#This Row],[Attribute]],#REF!,2,FALSE)</f>
        <v>#REF!</v>
      </c>
      <c r="F6881">
        <v>130.30000000000001</v>
      </c>
      <c r="G6881">
        <f>(Cpi_[[#This Row],[Value]]-F6880)/F6880</f>
        <v>-0.14106789716545801</v>
      </c>
      <c r="H6881" t="e" cm="1" vm="1">
        <f t="array" aca="1" ref="H6881" ca="1">VLOOKUP(Cpi_[[#This Row],[Year]:[Month]],crudeoil[],3,FALSE)</f>
        <v>#VALUE!</v>
      </c>
    </row>
    <row r="6882" spans="1:8" hidden="1" x14ac:dyDescent="0.3">
      <c r="A6882" t="s">
        <v>34</v>
      </c>
      <c r="B6882">
        <v>2020</v>
      </c>
      <c r="C6882" t="s">
        <v>35</v>
      </c>
      <c r="D6882" t="s">
        <v>25</v>
      </c>
      <c r="E6882" t="e">
        <f>VLOOKUP(Cpi_[[#This Row],[Attribute]],#REF!,2,FALSE)</f>
        <v>#REF!</v>
      </c>
      <c r="F6882">
        <v>143.19999999999999</v>
      </c>
      <c r="G6882">
        <f>(Cpi_[[#This Row],[Value]]-F6881)/F6881</f>
        <v>9.9002302379124912E-2</v>
      </c>
      <c r="H6882" t="e" cm="1" vm="1">
        <f t="array" aca="1" ref="H6882" ca="1">VLOOKUP(Cpi_[[#This Row],[Year]:[Month]],crudeoil[],3,FALSE)</f>
        <v>#VALUE!</v>
      </c>
    </row>
    <row r="6883" spans="1:8" hidden="1" x14ac:dyDescent="0.3">
      <c r="A6883" t="s">
        <v>34</v>
      </c>
      <c r="B6883">
        <v>2020</v>
      </c>
      <c r="C6883" t="s">
        <v>35</v>
      </c>
      <c r="D6883" t="s">
        <v>26</v>
      </c>
      <c r="E6883" t="e">
        <f>VLOOKUP(Cpi_[[#This Row],[Attribute]],#REF!,2,FALSE)</f>
        <v>#REF!</v>
      </c>
      <c r="F6883">
        <v>156.19999999999999</v>
      </c>
      <c r="G6883">
        <f>(Cpi_[[#This Row],[Value]]-F6882)/F6882</f>
        <v>9.0782122905027934E-2</v>
      </c>
      <c r="H6883" t="e" cm="1" vm="1">
        <f t="array" aca="1" ref="H6883" ca="1">VLOOKUP(Cpi_[[#This Row],[Year]:[Month]],crudeoil[],3,FALSE)</f>
        <v>#VALUE!</v>
      </c>
    </row>
    <row r="6884" spans="1:8" hidden="1" x14ac:dyDescent="0.3">
      <c r="A6884" t="s">
        <v>34</v>
      </c>
      <c r="B6884">
        <v>2020</v>
      </c>
      <c r="C6884" t="s">
        <v>35</v>
      </c>
      <c r="D6884" t="s">
        <v>27</v>
      </c>
      <c r="E6884" t="e">
        <f>VLOOKUP(Cpi_[[#This Row],[Attribute]],#REF!,2,FALSE)</f>
        <v>#REF!</v>
      </c>
      <c r="F6884">
        <v>143.4</v>
      </c>
      <c r="G6884">
        <f>(Cpi_[[#This Row],[Value]]-F6883)/F6883</f>
        <v>-8.1946222791293113E-2</v>
      </c>
      <c r="H6884" t="e" cm="1" vm="1">
        <f t="array" aca="1" ref="H6884" ca="1">VLOOKUP(Cpi_[[#This Row],[Year]:[Month]],crudeoil[],3,FALSE)</f>
        <v>#VALUE!</v>
      </c>
    </row>
    <row r="6885" spans="1:8" hidden="1" x14ac:dyDescent="0.3">
      <c r="A6885" t="s">
        <v>34</v>
      </c>
      <c r="B6885">
        <v>2020</v>
      </c>
      <c r="C6885" t="s">
        <v>35</v>
      </c>
      <c r="D6885" t="s">
        <v>28</v>
      </c>
      <c r="E6885" t="e">
        <f>VLOOKUP(Cpi_[[#This Row],[Attribute]],#REF!,2,FALSE)</f>
        <v>#REF!</v>
      </c>
      <c r="F6885">
        <v>143.6</v>
      </c>
      <c r="G6885">
        <f>(Cpi_[[#This Row],[Value]]-F6884)/F6884</f>
        <v>1.3947001394699345E-3</v>
      </c>
      <c r="H6885" t="e" cm="1" vm="1">
        <f t="array" aca="1" ref="H6885" ca="1">VLOOKUP(Cpi_[[#This Row],[Year]:[Month]],crudeoil[],3,FALSE)</f>
        <v>#VALUE!</v>
      </c>
    </row>
    <row r="6886" spans="1:8" hidden="1" x14ac:dyDescent="0.3">
      <c r="A6886" t="s">
        <v>34</v>
      </c>
      <c r="B6886">
        <v>2020</v>
      </c>
      <c r="C6886" t="s">
        <v>35</v>
      </c>
      <c r="D6886" t="s">
        <v>29</v>
      </c>
      <c r="E6886" t="e" cm="1">
        <f t="array" aca="1" ref="E6886" ca="1">VLGeneral indexGeneral indexKUP(Cpi_[[#This Row],[Attribute]],#REF!,2,FALSE)</f>
        <v>#NAME?</v>
      </c>
      <c r="F6886">
        <v>149.1</v>
      </c>
      <c r="G6886">
        <f>(Cpi_[[#This Row],[Value]]-F6885)/F6885</f>
        <v>3.8300835654596105E-2</v>
      </c>
      <c r="H6886" t="e" cm="1" vm="1">
        <f t="array" aca="1" ref="H6886" ca="1">VLOOKUP(Cpi_[[#This Row],[Year]:[Month]],crudeoil[],3,FALSE)</f>
        <v>#VALUE!</v>
      </c>
    </row>
    <row r="6887" spans="1:8" hidden="1" x14ac:dyDescent="0.3">
      <c r="A6887" t="s">
        <v>30</v>
      </c>
      <c r="B6887">
        <v>2020</v>
      </c>
      <c r="C6887" t="s">
        <v>36</v>
      </c>
      <c r="D6887" t="s">
        <v>3</v>
      </c>
      <c r="E6887" t="e">
        <f>VLOOKUP(Cpi_[[#This Row],[Attribute]],#REF!,2,FALSE)</f>
        <v>#REF!</v>
      </c>
      <c r="F6887">
        <v>144.4</v>
      </c>
      <c r="G6887">
        <f>(Cpi_[[#This Row],[Value]]-F6886)/F6886</f>
        <v>-3.1522468142186379E-2</v>
      </c>
      <c r="H6887" t="e" cm="1" vm="1">
        <f t="array" aca="1" ref="H6887" ca="1">VLOOKUP(Cpi_[[#This Row],[Year]:[Month]],crudeoil[],3,FALSE)</f>
        <v>#VALUE!</v>
      </c>
    </row>
    <row r="6888" spans="1:8" hidden="1" x14ac:dyDescent="0.3">
      <c r="A6888" t="s">
        <v>30</v>
      </c>
      <c r="B6888">
        <v>2020</v>
      </c>
      <c r="C6888" t="s">
        <v>36</v>
      </c>
      <c r="D6888" t="s">
        <v>4</v>
      </c>
      <c r="E6888" t="e">
        <f>VLOOKUP(Cpi_[[#This Row],[Attribute]],#REF!,2,FALSE)</f>
        <v>#REF!</v>
      </c>
      <c r="F6888">
        <v>166.8</v>
      </c>
      <c r="G6888">
        <f>(Cpi_[[#This Row],[Value]]-F6887)/F6887</f>
        <v>0.15512465373961223</v>
      </c>
      <c r="H6888" t="e" cm="1" vm="1">
        <f t="array" aca="1" ref="H6888" ca="1">VLOOKUP(Cpi_[[#This Row],[Year]:[Month]],crudeoil[],3,FALSE)</f>
        <v>#VALUE!</v>
      </c>
    </row>
    <row r="6889" spans="1:8" hidden="1" x14ac:dyDescent="0.3">
      <c r="A6889" t="s">
        <v>30</v>
      </c>
      <c r="B6889">
        <v>2020</v>
      </c>
      <c r="C6889" t="s">
        <v>36</v>
      </c>
      <c r="D6889" t="s">
        <v>5</v>
      </c>
      <c r="E6889" t="e">
        <f>VLOOKUP(Cpi_[[#This Row],[Attribute]],#REF!,2,FALSE)</f>
        <v>#REF!</v>
      </c>
      <c r="F6889">
        <v>147.6</v>
      </c>
      <c r="G6889">
        <f>(Cpi_[[#This Row],[Value]]-F6888)/F6888</f>
        <v>-0.11510791366906484</v>
      </c>
      <c r="H6889" t="e" cm="1" vm="1">
        <f t="array" aca="1" ref="H6889" ca="1">VLOOKUP(Cpi_[[#This Row],[Year]:[Month]],crudeoil[],3,FALSE)</f>
        <v>#VALUE!</v>
      </c>
    </row>
    <row r="6890" spans="1:8" hidden="1" x14ac:dyDescent="0.3">
      <c r="A6890" t="s">
        <v>30</v>
      </c>
      <c r="B6890">
        <v>2020</v>
      </c>
      <c r="C6890" t="s">
        <v>36</v>
      </c>
      <c r="D6890" t="s">
        <v>6</v>
      </c>
      <c r="E6890" t="e">
        <f>VLOOKUP(Cpi_[[#This Row],[Attribute]],#REF!,2,FALSE)</f>
        <v>#REF!</v>
      </c>
      <c r="F6890">
        <v>151.69999999999999</v>
      </c>
      <c r="G6890">
        <f>(Cpi_[[#This Row],[Value]]-F6889)/F6889</f>
        <v>2.7777777777777742E-2</v>
      </c>
      <c r="H6890" t="e" cm="1" vm="1">
        <f t="array" aca="1" ref="H6890" ca="1">VLOOKUP(Cpi_[[#This Row],[Year]:[Month]],crudeoil[],3,FALSE)</f>
        <v>#VALUE!</v>
      </c>
    </row>
    <row r="6891" spans="1:8" hidden="1" x14ac:dyDescent="0.3">
      <c r="A6891" t="s">
        <v>30</v>
      </c>
      <c r="B6891">
        <v>2020</v>
      </c>
      <c r="C6891" t="s">
        <v>36</v>
      </c>
      <c r="D6891" t="s">
        <v>7</v>
      </c>
      <c r="E6891" t="e">
        <f>VLOOKUP(Cpi_[[#This Row],[Attribute]],#REF!,2,FALSE)</f>
        <v>#REF!</v>
      </c>
      <c r="F6891">
        <v>133.30000000000001</v>
      </c>
      <c r="G6891">
        <f>(Cpi_[[#This Row],[Value]]-F6890)/F6890</f>
        <v>-0.12129202373104798</v>
      </c>
      <c r="H6891" t="e" cm="1" vm="1">
        <f t="array" aca="1" ref="H6891" ca="1">VLOOKUP(Cpi_[[#This Row],[Year]:[Month]],crudeoil[],3,FALSE)</f>
        <v>#VALUE!</v>
      </c>
    </row>
    <row r="6892" spans="1:8" hidden="1" x14ac:dyDescent="0.3">
      <c r="A6892" t="s">
        <v>30</v>
      </c>
      <c r="B6892">
        <v>2020</v>
      </c>
      <c r="C6892" t="s">
        <v>36</v>
      </c>
      <c r="D6892" t="s">
        <v>8</v>
      </c>
      <c r="E6892" t="e">
        <f>VLOOKUP(Cpi_[[#This Row],[Attribute]],#REF!,2,FALSE)</f>
        <v>#REF!</v>
      </c>
      <c r="F6892">
        <v>141.80000000000001</v>
      </c>
      <c r="G6892">
        <f>(Cpi_[[#This Row],[Value]]-F6891)/F6891</f>
        <v>6.3765941485371333E-2</v>
      </c>
      <c r="H6892" t="e" cm="1" vm="1">
        <f t="array" aca="1" ref="H6892" ca="1">VLOOKUP(Cpi_[[#This Row],[Year]:[Month]],crudeoil[],3,FALSE)</f>
        <v>#VALUE!</v>
      </c>
    </row>
    <row r="6893" spans="1:8" hidden="1" x14ac:dyDescent="0.3">
      <c r="A6893" t="s">
        <v>30</v>
      </c>
      <c r="B6893">
        <v>2020</v>
      </c>
      <c r="C6893" t="s">
        <v>36</v>
      </c>
      <c r="D6893" t="s">
        <v>9</v>
      </c>
      <c r="E6893" t="e">
        <f>VLOOKUP(Cpi_[[#This Row],[Attribute]],#REF!,2,FALSE)</f>
        <v>#REF!</v>
      </c>
      <c r="F6893">
        <v>152.30000000000001</v>
      </c>
      <c r="G6893">
        <f>(Cpi_[[#This Row],[Value]]-F6892)/F6892</f>
        <v>7.4047954866008459E-2</v>
      </c>
      <c r="H6893" t="e" cm="1" vm="1">
        <f t="array" aca="1" ref="H6893" ca="1">VLOOKUP(Cpi_[[#This Row],[Year]:[Month]],crudeoil[],3,FALSE)</f>
        <v>#VALUE!</v>
      </c>
    </row>
    <row r="6894" spans="1:8" hidden="1" x14ac:dyDescent="0.3">
      <c r="A6894" t="s">
        <v>30</v>
      </c>
      <c r="B6894">
        <v>2020</v>
      </c>
      <c r="C6894" t="s">
        <v>36</v>
      </c>
      <c r="D6894" t="s">
        <v>10</v>
      </c>
      <c r="E6894" t="e">
        <f>VLOOKUP(Cpi_[[#This Row],[Attribute]],#REF!,2,FALSE)</f>
        <v>#REF!</v>
      </c>
      <c r="F6894">
        <v>141.80000000000001</v>
      </c>
      <c r="G6894">
        <f>(Cpi_[[#This Row],[Value]]-F6893)/F6893</f>
        <v>-6.8942875902823372E-2</v>
      </c>
      <c r="H6894" t="e" cm="1" vm="1">
        <f t="array" aca="1" ref="H6894" ca="1">VLOOKUP(Cpi_[[#This Row],[Year]:[Month]],crudeoil[],3,FALSE)</f>
        <v>#VALUE!</v>
      </c>
    </row>
    <row r="6895" spans="1:8" hidden="1" x14ac:dyDescent="0.3">
      <c r="A6895" t="s">
        <v>30</v>
      </c>
      <c r="B6895">
        <v>2020</v>
      </c>
      <c r="C6895" t="s">
        <v>36</v>
      </c>
      <c r="D6895" t="s">
        <v>11</v>
      </c>
      <c r="E6895" t="e">
        <f>VLOOKUP(Cpi_[[#This Row],[Attribute]],#REF!,2,FALSE)</f>
        <v>#REF!</v>
      </c>
      <c r="F6895">
        <v>112.6</v>
      </c>
      <c r="G6895">
        <f>(Cpi_[[#This Row],[Value]]-F6894)/F6894</f>
        <v>-0.20592383638928077</v>
      </c>
      <c r="H6895" t="e" cm="1" vm="1">
        <f t="array" aca="1" ref="H6895" ca="1">VLOOKUP(Cpi_[[#This Row],[Year]:[Month]],crudeoil[],3,FALSE)</f>
        <v>#VALUE!</v>
      </c>
    </row>
    <row r="6896" spans="1:8" hidden="1" x14ac:dyDescent="0.3">
      <c r="A6896" t="s">
        <v>30</v>
      </c>
      <c r="B6896">
        <v>2020</v>
      </c>
      <c r="C6896" t="s">
        <v>36</v>
      </c>
      <c r="D6896" t="s">
        <v>12</v>
      </c>
      <c r="E6896" t="e">
        <f>VLOOKUP(Cpi_[[#This Row],[Attribute]],#REF!,2,FALSE)</f>
        <v>#REF!</v>
      </c>
      <c r="F6896">
        <v>154</v>
      </c>
      <c r="G6896">
        <f>(Cpi_[[#This Row],[Value]]-F6895)/F6895</f>
        <v>0.36767317939609245</v>
      </c>
      <c r="H6896" t="e" cm="1" vm="1">
        <f t="array" aca="1" ref="H6896" ca="1">VLOOKUP(Cpi_[[#This Row],[Year]:[Month]],crudeoil[],3,FALSE)</f>
        <v>#VALUE!</v>
      </c>
    </row>
    <row r="6897" spans="1:8" hidden="1" x14ac:dyDescent="0.3">
      <c r="A6897" t="s">
        <v>30</v>
      </c>
      <c r="B6897">
        <v>2020</v>
      </c>
      <c r="C6897" t="s">
        <v>36</v>
      </c>
      <c r="D6897" t="s">
        <v>13</v>
      </c>
      <c r="E6897" t="e">
        <f>VLOOKUP(Cpi_[[#This Row],[Attribute]],#REF!,2,FALSE)</f>
        <v>#REF!</v>
      </c>
      <c r="F6897">
        <v>140.1</v>
      </c>
      <c r="G6897">
        <f>(Cpi_[[#This Row],[Value]]-F6896)/F6896</f>
        <v>-9.025974025974029E-2</v>
      </c>
      <c r="H6897" t="e" cm="1" vm="1">
        <f t="array" aca="1" ref="H6897" ca="1">VLOOKUP(Cpi_[[#This Row],[Year]:[Month]],crudeoil[],3,FALSE)</f>
        <v>#VALUE!</v>
      </c>
    </row>
    <row r="6898" spans="1:8" hidden="1" x14ac:dyDescent="0.3">
      <c r="A6898" t="s">
        <v>30</v>
      </c>
      <c r="B6898">
        <v>2020</v>
      </c>
      <c r="C6898" t="s">
        <v>36</v>
      </c>
      <c r="D6898" t="s">
        <v>14</v>
      </c>
      <c r="E6898" t="e">
        <f>VLOOKUP(Cpi_[[#This Row],[Attribute]],#REF!,2,FALSE)</f>
        <v>#REF!</v>
      </c>
      <c r="F6898">
        <v>160</v>
      </c>
      <c r="G6898">
        <f>(Cpi_[[#This Row],[Value]]-F6897)/F6897</f>
        <v>0.14204139900071383</v>
      </c>
      <c r="H6898" t="e" cm="1" vm="1">
        <f t="array" aca="1" ref="H6898" ca="1">VLOOKUP(Cpi_[[#This Row],[Year]:[Month]],crudeoil[],3,FALSE)</f>
        <v>#VALUE!</v>
      </c>
    </row>
    <row r="6899" spans="1:8" hidden="1" x14ac:dyDescent="0.3">
      <c r="A6899" t="s">
        <v>30</v>
      </c>
      <c r="B6899">
        <v>2020</v>
      </c>
      <c r="C6899" t="s">
        <v>36</v>
      </c>
      <c r="D6899" t="s">
        <v>15</v>
      </c>
      <c r="E6899" t="e">
        <f>VLOOKUP(Cpi_[[#This Row],[Attribute]],#REF!,2,FALSE)</f>
        <v>#REF!</v>
      </c>
      <c r="F6899">
        <v>148.19999999999999</v>
      </c>
      <c r="G6899">
        <f>(Cpi_[[#This Row],[Value]]-F6898)/F6898</f>
        <v>-7.3750000000000066E-2</v>
      </c>
      <c r="H6899" t="e" cm="1" vm="1">
        <f t="array" aca="1" ref="H6899" ca="1">VLOOKUP(Cpi_[[#This Row],[Year]:[Month]],crudeoil[],3,FALSE)</f>
        <v>#VALUE!</v>
      </c>
    </row>
    <row r="6900" spans="1:8" hidden="1" x14ac:dyDescent="0.3">
      <c r="A6900" t="s">
        <v>30</v>
      </c>
      <c r="B6900">
        <v>2020</v>
      </c>
      <c r="C6900" t="s">
        <v>36</v>
      </c>
      <c r="D6900" t="s">
        <v>16</v>
      </c>
      <c r="E6900" t="e">
        <f>VLOOKUP(Cpi_[[#This Row],[Attribute]],#REF!,2,FALSE)</f>
        <v>#REF!</v>
      </c>
      <c r="F6900">
        <v>170.5</v>
      </c>
      <c r="G6900">
        <f>(Cpi_[[#This Row],[Value]]-F6899)/F6899</f>
        <v>0.15047233468286109</v>
      </c>
      <c r="H6900" t="e" cm="1" vm="1">
        <f t="array" aca="1" ref="H6900" ca="1">VLOOKUP(Cpi_[[#This Row],[Year]:[Month]],crudeoil[],3,FALSE)</f>
        <v>#VALUE!</v>
      </c>
    </row>
    <row r="6901" spans="1:8" hidden="1" x14ac:dyDescent="0.3">
      <c r="A6901" t="s">
        <v>30</v>
      </c>
      <c r="B6901">
        <v>2020</v>
      </c>
      <c r="C6901" t="s">
        <v>36</v>
      </c>
      <c r="D6901" t="s">
        <v>17</v>
      </c>
      <c r="E6901" t="e">
        <f>VLOOKUP(Cpi_[[#This Row],[Attribute]],#REF!,2,FALSE)</f>
        <v>#REF!</v>
      </c>
      <c r="F6901">
        <v>153.4</v>
      </c>
      <c r="G6901">
        <f>(Cpi_[[#This Row],[Value]]-F6900)/F6900</f>
        <v>-0.10029325513196477</v>
      </c>
      <c r="H6901" t="e" cm="1" vm="1">
        <f t="array" aca="1" ref="H6901" ca="1">VLOOKUP(Cpi_[[#This Row],[Year]:[Month]],crudeoil[],3,FALSE)</f>
        <v>#VALUE!</v>
      </c>
    </row>
    <row r="6902" spans="1:8" hidden="1" x14ac:dyDescent="0.3">
      <c r="A6902" t="s">
        <v>30</v>
      </c>
      <c r="B6902">
        <v>2020</v>
      </c>
      <c r="C6902" t="s">
        <v>36</v>
      </c>
      <c r="D6902" t="s">
        <v>18</v>
      </c>
      <c r="E6902" t="e">
        <f>VLOOKUP(Cpi_[[#This Row],[Attribute]],#REF!,2,FALSE)</f>
        <v>#REF!</v>
      </c>
      <c r="F6902">
        <v>147.6</v>
      </c>
      <c r="G6902">
        <f>(Cpi_[[#This Row],[Value]]-F6901)/F6901</f>
        <v>-3.7809647979139577E-2</v>
      </c>
      <c r="H6902" t="e" cm="1" vm="1">
        <f t="array" aca="1" ref="H6902" ca="1">VLOOKUP(Cpi_[[#This Row],[Year]:[Month]],crudeoil[],3,FALSE)</f>
        <v>#VALUE!</v>
      </c>
    </row>
    <row r="6903" spans="1:8" hidden="1" x14ac:dyDescent="0.3">
      <c r="A6903" t="s">
        <v>30</v>
      </c>
      <c r="B6903">
        <v>2020</v>
      </c>
      <c r="C6903" t="s">
        <v>36</v>
      </c>
      <c r="D6903" t="s">
        <v>19</v>
      </c>
      <c r="E6903" t="e">
        <f>VLOOKUP(Cpi_[[#This Row],[Attribute]],#REF!,2,FALSE)</f>
        <v>#REF!</v>
      </c>
      <c r="F6903">
        <v>152.5</v>
      </c>
      <c r="G6903">
        <f>(Cpi_[[#This Row],[Value]]-F6902)/F6902</f>
        <v>3.3197831978319825E-2</v>
      </c>
      <c r="H6903" t="e" cm="1" vm="1">
        <f t="array" aca="1" ref="H6903" ca="1">VLOOKUP(Cpi_[[#This Row],[Year]:[Month]],crudeoil[],3,FALSE)</f>
        <v>#VALUE!</v>
      </c>
    </row>
    <row r="6904" spans="1:8" hidden="1" x14ac:dyDescent="0.3">
      <c r="A6904" t="s">
        <v>30</v>
      </c>
      <c r="B6904">
        <v>2020</v>
      </c>
      <c r="C6904" t="s">
        <v>36</v>
      </c>
      <c r="D6904" t="s">
        <v>20</v>
      </c>
      <c r="E6904" t="e">
        <f>VLOOKUP(Cpi_[[#This Row],[Attribute]],#REF!,2,FALSE)</f>
        <v>#REF!</v>
      </c>
      <c r="F6904" t="s">
        <v>32</v>
      </c>
      <c r="G6904" t="e">
        <f>(Cpi_[[#This Row],[Value]]-F6903)/F6903</f>
        <v>#VALUE!</v>
      </c>
      <c r="H6904" t="e" cm="1" vm="1">
        <f t="array" aca="1" ref="H6904" ca="1">VLOOKUP(Cpi_[[#This Row],[Year]:[Month]],crudeoil[],3,FALSE)</f>
        <v>#VALUE!</v>
      </c>
    </row>
    <row r="6905" spans="1:8" hidden="1" x14ac:dyDescent="0.3">
      <c r="A6905" t="s">
        <v>30</v>
      </c>
      <c r="B6905">
        <v>2020</v>
      </c>
      <c r="C6905" t="s">
        <v>36</v>
      </c>
      <c r="D6905" t="s">
        <v>21</v>
      </c>
      <c r="E6905" t="e">
        <f>VLOOKUP(Cpi_[[#This Row],[Attribute]],#REF!,2,FALSE)</f>
        <v>#REF!</v>
      </c>
      <c r="F6905">
        <v>153.4</v>
      </c>
      <c r="G6905" t="e">
        <f>(Cpi_[[#This Row],[Value]]-F6904)/F6904</f>
        <v>#VALUE!</v>
      </c>
      <c r="H6905" t="e" cm="1" vm="1">
        <f t="array" aca="1" ref="H6905" ca="1">VLOOKUP(Cpi_[[#This Row],[Year]:[Month]],crudeoil[],3,FALSE)</f>
        <v>#VALUE!</v>
      </c>
    </row>
    <row r="6906" spans="1:8" hidden="1" x14ac:dyDescent="0.3">
      <c r="A6906" t="s">
        <v>30</v>
      </c>
      <c r="B6906">
        <v>2020</v>
      </c>
      <c r="C6906" t="s">
        <v>36</v>
      </c>
      <c r="D6906" t="s">
        <v>22</v>
      </c>
      <c r="E6906" t="e">
        <f>VLOOKUP(Cpi_[[#This Row],[Attribute]],#REF!,2,FALSE)</f>
        <v>#REF!</v>
      </c>
      <c r="F6906">
        <v>151.5</v>
      </c>
      <c r="G6906">
        <f>(Cpi_[[#This Row],[Value]]-F6905)/F6905</f>
        <v>-1.2385919165580218E-2</v>
      </c>
      <c r="H6906" t="e" cm="1" vm="1">
        <f t="array" aca="1" ref="H6906" ca="1">VLOOKUP(Cpi_[[#This Row],[Year]:[Month]],crudeoil[],3,FALSE)</f>
        <v>#VALUE!</v>
      </c>
    </row>
    <row r="6907" spans="1:8" hidden="1" x14ac:dyDescent="0.3">
      <c r="A6907" t="s">
        <v>30</v>
      </c>
      <c r="B6907">
        <v>2020</v>
      </c>
      <c r="C6907" t="s">
        <v>36</v>
      </c>
      <c r="D6907" t="s">
        <v>23</v>
      </c>
      <c r="E6907" t="e">
        <f>VLOOKUP(Cpi_[[#This Row],[Attribute]],#REF!,2,FALSE)</f>
        <v>#REF!</v>
      </c>
      <c r="F6907">
        <v>156.69999999999999</v>
      </c>
      <c r="G6907">
        <f>(Cpi_[[#This Row],[Value]]-F6906)/F6906</f>
        <v>3.4323432343234248E-2</v>
      </c>
      <c r="H6907" t="e" cm="1" vm="1">
        <f t="array" aca="1" ref="H6907" ca="1">VLOOKUP(Cpi_[[#This Row],[Year]:[Month]],crudeoil[],3,FALSE)</f>
        <v>#VALUE!</v>
      </c>
    </row>
    <row r="6908" spans="1:8" hidden="1" x14ac:dyDescent="0.3">
      <c r="A6908" t="s">
        <v>30</v>
      </c>
      <c r="B6908">
        <v>2020</v>
      </c>
      <c r="C6908" t="s">
        <v>36</v>
      </c>
      <c r="D6908" t="s">
        <v>24</v>
      </c>
      <c r="E6908" t="e">
        <f>VLOOKUP(Cpi_[[#This Row],[Attribute]],#REF!,2,FALSE)</f>
        <v>#REF!</v>
      </c>
      <c r="F6908">
        <v>135.80000000000001</v>
      </c>
      <c r="G6908">
        <f>(Cpi_[[#This Row],[Value]]-F6907)/F6907</f>
        <v>-0.13337587747287796</v>
      </c>
      <c r="H6908" t="e" cm="1" vm="1">
        <f t="array" aca="1" ref="H6908" ca="1">VLOOKUP(Cpi_[[#This Row],[Year]:[Month]],crudeoil[],3,FALSE)</f>
        <v>#VALUE!</v>
      </c>
    </row>
    <row r="6909" spans="1:8" hidden="1" x14ac:dyDescent="0.3">
      <c r="A6909" t="s">
        <v>30</v>
      </c>
      <c r="B6909">
        <v>2020</v>
      </c>
      <c r="C6909" t="s">
        <v>36</v>
      </c>
      <c r="D6909" t="s">
        <v>25</v>
      </c>
      <c r="E6909" t="e">
        <f>VLOOKUP(Cpi_[[#This Row],[Attribute]],#REF!,2,FALSE)</f>
        <v>#REF!</v>
      </c>
      <c r="F6909">
        <v>151.19999999999999</v>
      </c>
      <c r="G6909">
        <f>(Cpi_[[#This Row],[Value]]-F6908)/F6908</f>
        <v>0.11340206185566992</v>
      </c>
      <c r="H6909" t="e" cm="1" vm="1">
        <f t="array" aca="1" ref="H6909" ca="1">VLOOKUP(Cpi_[[#This Row],[Year]:[Month]],crudeoil[],3,FALSE)</f>
        <v>#VALUE!</v>
      </c>
    </row>
    <row r="6910" spans="1:8" hidden="1" x14ac:dyDescent="0.3">
      <c r="A6910" t="s">
        <v>30</v>
      </c>
      <c r="B6910">
        <v>2020</v>
      </c>
      <c r="C6910" t="s">
        <v>36</v>
      </c>
      <c r="D6910" t="s">
        <v>26</v>
      </c>
      <c r="E6910" t="e">
        <f>VLOOKUP(Cpi_[[#This Row],[Attribute]],#REF!,2,FALSE)</f>
        <v>#REF!</v>
      </c>
      <c r="F6910">
        <v>161.19999999999999</v>
      </c>
      <c r="G6910">
        <f>(Cpi_[[#This Row],[Value]]-F6909)/F6909</f>
        <v>6.6137566137566148E-2</v>
      </c>
      <c r="H6910" t="e" cm="1" vm="1">
        <f t="array" aca="1" ref="H6910" ca="1">VLOOKUP(Cpi_[[#This Row],[Year]:[Month]],crudeoil[],3,FALSE)</f>
        <v>#VALUE!</v>
      </c>
    </row>
    <row r="6911" spans="1:8" hidden="1" x14ac:dyDescent="0.3">
      <c r="A6911" t="s">
        <v>30</v>
      </c>
      <c r="B6911">
        <v>2020</v>
      </c>
      <c r="C6911" t="s">
        <v>36</v>
      </c>
      <c r="D6911" t="s">
        <v>27</v>
      </c>
      <c r="E6911" t="e">
        <f>VLOOKUP(Cpi_[[#This Row],[Attribute]],#REF!,2,FALSE)</f>
        <v>#REF!</v>
      </c>
      <c r="F6911">
        <v>145.1</v>
      </c>
      <c r="G6911">
        <f>(Cpi_[[#This Row],[Value]]-F6910)/F6910</f>
        <v>-9.9875930521091782E-2</v>
      </c>
      <c r="H6911" t="e" cm="1" vm="1">
        <f t="array" aca="1" ref="H6911" ca="1">VLOOKUP(Cpi_[[#This Row],[Year]:[Month]],crudeoil[],3,FALSE)</f>
        <v>#VALUE!</v>
      </c>
    </row>
    <row r="6912" spans="1:8" hidden="1" x14ac:dyDescent="0.3">
      <c r="A6912" t="s">
        <v>30</v>
      </c>
      <c r="B6912">
        <v>2020</v>
      </c>
      <c r="C6912" t="s">
        <v>36</v>
      </c>
      <c r="D6912" t="s">
        <v>28</v>
      </c>
      <c r="E6912" t="e">
        <f>VLOOKUP(Cpi_[[#This Row],[Attribute]],#REF!,2,FALSE)</f>
        <v>#REF!</v>
      </c>
      <c r="F6912">
        <v>148.6</v>
      </c>
      <c r="G6912">
        <f>(Cpi_[[#This Row],[Value]]-F6911)/F6911</f>
        <v>2.4121295658166782E-2</v>
      </c>
      <c r="H6912" t="e" cm="1" vm="1">
        <f t="array" aca="1" ref="H6912" ca="1">VLOOKUP(Cpi_[[#This Row],[Year]:[Month]],crudeoil[],3,FALSE)</f>
        <v>#VALUE!</v>
      </c>
    </row>
    <row r="6913" spans="1:8" hidden="1" x14ac:dyDescent="0.3">
      <c r="A6913" t="s">
        <v>30</v>
      </c>
      <c r="B6913">
        <v>2020</v>
      </c>
      <c r="C6913" t="s">
        <v>36</v>
      </c>
      <c r="D6913" t="s">
        <v>29</v>
      </c>
      <c r="E6913" t="e" cm="1">
        <f t="array" aca="1" ref="E6913" ca="1">VLGeneral indexGeneral indexKUP(Cpi_[[#This Row],[Attribute]],#REF!,2,FALSE)</f>
        <v>#NAME?</v>
      </c>
      <c r="F6913">
        <v>149.80000000000001</v>
      </c>
      <c r="G6913">
        <f>(Cpi_[[#This Row],[Value]]-F6912)/F6912</f>
        <v>8.0753701211306664E-3</v>
      </c>
      <c r="H6913" t="e" cm="1" vm="1">
        <f t="array" aca="1" ref="H6913" ca="1">VLOOKUP(Cpi_[[#This Row],[Year]:[Month]],crudeoil[],3,FALSE)</f>
        <v>#VALUE!</v>
      </c>
    </row>
    <row r="6914" spans="1:8" hidden="1" x14ac:dyDescent="0.3">
      <c r="A6914" t="s">
        <v>33</v>
      </c>
      <c r="B6914">
        <v>2020</v>
      </c>
      <c r="C6914" t="s">
        <v>36</v>
      </c>
      <c r="D6914" t="s">
        <v>3</v>
      </c>
      <c r="E6914" t="e">
        <f>VLOOKUP(Cpi_[[#This Row],[Attribute]],#REF!,2,FALSE)</f>
        <v>#REF!</v>
      </c>
      <c r="F6914">
        <v>146.5</v>
      </c>
      <c r="G6914">
        <f>(Cpi_[[#This Row],[Value]]-F6913)/F6913</f>
        <v>-2.202937249666229E-2</v>
      </c>
      <c r="H6914" t="e" cm="1" vm="1">
        <f t="array" aca="1" ref="H6914" ca="1">VLOOKUP(Cpi_[[#This Row],[Year]:[Month]],crudeoil[],3,FALSE)</f>
        <v>#VALUE!</v>
      </c>
    </row>
    <row r="6915" spans="1:8" hidden="1" x14ac:dyDescent="0.3">
      <c r="A6915" t="s">
        <v>33</v>
      </c>
      <c r="B6915">
        <v>2020</v>
      </c>
      <c r="C6915" t="s">
        <v>36</v>
      </c>
      <c r="D6915" t="s">
        <v>4</v>
      </c>
      <c r="E6915" t="e">
        <f>VLOOKUP(Cpi_[[#This Row],[Attribute]],#REF!,2,FALSE)</f>
        <v>#REF!</v>
      </c>
      <c r="F6915">
        <v>167.5</v>
      </c>
      <c r="G6915">
        <f>(Cpi_[[#This Row],[Value]]-F6914)/F6914</f>
        <v>0.14334470989761092</v>
      </c>
      <c r="H6915" t="e" cm="1" vm="1">
        <f t="array" aca="1" ref="H6915" ca="1">VLOOKUP(Cpi_[[#This Row],[Year]:[Month]],crudeoil[],3,FALSE)</f>
        <v>#VALUE!</v>
      </c>
    </row>
    <row r="6916" spans="1:8" hidden="1" x14ac:dyDescent="0.3">
      <c r="A6916" t="s">
        <v>33</v>
      </c>
      <c r="B6916">
        <v>2020</v>
      </c>
      <c r="C6916" t="s">
        <v>36</v>
      </c>
      <c r="D6916" t="s">
        <v>5</v>
      </c>
      <c r="E6916" t="e">
        <f>VLOOKUP(Cpi_[[#This Row],[Attribute]],#REF!,2,FALSE)</f>
        <v>#REF!</v>
      </c>
      <c r="F6916">
        <v>148.9</v>
      </c>
      <c r="G6916">
        <f>(Cpi_[[#This Row],[Value]]-F6915)/F6915</f>
        <v>-0.11104477611940296</v>
      </c>
      <c r="H6916" t="e" cm="1" vm="1">
        <f t="array" aca="1" ref="H6916" ca="1">VLOOKUP(Cpi_[[#This Row],[Year]:[Month]],crudeoil[],3,FALSE)</f>
        <v>#VALUE!</v>
      </c>
    </row>
    <row r="6917" spans="1:8" hidden="1" x14ac:dyDescent="0.3">
      <c r="A6917" t="s">
        <v>33</v>
      </c>
      <c r="B6917">
        <v>2020</v>
      </c>
      <c r="C6917" t="s">
        <v>36</v>
      </c>
      <c r="D6917" t="s">
        <v>6</v>
      </c>
      <c r="E6917" t="e">
        <f>VLOOKUP(Cpi_[[#This Row],[Attribute]],#REF!,2,FALSE)</f>
        <v>#REF!</v>
      </c>
      <c r="F6917">
        <v>151.1</v>
      </c>
      <c r="G6917">
        <f>(Cpi_[[#This Row],[Value]]-F6916)/F6916</f>
        <v>1.477501678979173E-2</v>
      </c>
      <c r="H6917" t="e" cm="1" vm="1">
        <f t="array" aca="1" ref="H6917" ca="1">VLOOKUP(Cpi_[[#This Row],[Year]:[Month]],crudeoil[],3,FALSE)</f>
        <v>#VALUE!</v>
      </c>
    </row>
    <row r="6918" spans="1:8" hidden="1" x14ac:dyDescent="0.3">
      <c r="A6918" t="s">
        <v>33</v>
      </c>
      <c r="B6918">
        <v>2020</v>
      </c>
      <c r="C6918" t="s">
        <v>36</v>
      </c>
      <c r="D6918" t="s">
        <v>7</v>
      </c>
      <c r="E6918" t="e">
        <f>VLOOKUP(Cpi_[[#This Row],[Attribute]],#REF!,2,FALSE)</f>
        <v>#REF!</v>
      </c>
      <c r="F6918">
        <v>127.5</v>
      </c>
      <c r="G6918">
        <f>(Cpi_[[#This Row],[Value]]-F6917)/F6917</f>
        <v>-0.15618795499669091</v>
      </c>
      <c r="H6918" t="e" cm="1" vm="1">
        <f t="array" aca="1" ref="H6918" ca="1">VLOOKUP(Cpi_[[#This Row],[Year]:[Month]],crudeoil[],3,FALSE)</f>
        <v>#VALUE!</v>
      </c>
    </row>
    <row r="6919" spans="1:8" hidden="1" x14ac:dyDescent="0.3">
      <c r="A6919" t="s">
        <v>33</v>
      </c>
      <c r="B6919">
        <v>2020</v>
      </c>
      <c r="C6919" t="s">
        <v>36</v>
      </c>
      <c r="D6919" t="s">
        <v>8</v>
      </c>
      <c r="E6919" t="e">
        <f>VLOOKUP(Cpi_[[#This Row],[Attribute]],#REF!,2,FALSE)</f>
        <v>#REF!</v>
      </c>
      <c r="F6919">
        <v>143.30000000000001</v>
      </c>
      <c r="G6919">
        <f>(Cpi_[[#This Row],[Value]]-F6918)/F6918</f>
        <v>0.12392156862745107</v>
      </c>
      <c r="H6919" t="e" cm="1" vm="1">
        <f t="array" aca="1" ref="H6919" ca="1">VLOOKUP(Cpi_[[#This Row],[Year]:[Month]],crudeoil[],3,FALSE)</f>
        <v>#VALUE!</v>
      </c>
    </row>
    <row r="6920" spans="1:8" hidden="1" x14ac:dyDescent="0.3">
      <c r="A6920" t="s">
        <v>33</v>
      </c>
      <c r="B6920">
        <v>2020</v>
      </c>
      <c r="C6920" t="s">
        <v>36</v>
      </c>
      <c r="D6920" t="s">
        <v>9</v>
      </c>
      <c r="E6920" t="e">
        <f>VLOOKUP(Cpi_[[#This Row],[Attribute]],#REF!,2,FALSE)</f>
        <v>#REF!</v>
      </c>
      <c r="F6920">
        <v>167</v>
      </c>
      <c r="G6920">
        <f>(Cpi_[[#This Row],[Value]]-F6919)/F6919</f>
        <v>0.16538729937194688</v>
      </c>
      <c r="H6920" t="e" cm="1" vm="1">
        <f t="array" aca="1" ref="H6920" ca="1">VLOOKUP(Cpi_[[#This Row],[Year]:[Month]],crudeoil[],3,FALSE)</f>
        <v>#VALUE!</v>
      </c>
    </row>
    <row r="6921" spans="1:8" hidden="1" x14ac:dyDescent="0.3">
      <c r="A6921" t="s">
        <v>33</v>
      </c>
      <c r="B6921">
        <v>2020</v>
      </c>
      <c r="C6921" t="s">
        <v>36</v>
      </c>
      <c r="D6921" t="s">
        <v>10</v>
      </c>
      <c r="E6921" t="e">
        <f>VLOOKUP(Cpi_[[#This Row],[Attribute]],#REF!,2,FALSE)</f>
        <v>#REF!</v>
      </c>
      <c r="F6921">
        <v>139.69999999999999</v>
      </c>
      <c r="G6921">
        <f>(Cpi_[[#This Row],[Value]]-F6920)/F6920</f>
        <v>-0.16347305389221564</v>
      </c>
      <c r="H6921" t="e" cm="1" vm="1">
        <f t="array" aca="1" ref="H6921" ca="1">VLOOKUP(Cpi_[[#This Row],[Year]:[Month]],crudeoil[],3,FALSE)</f>
        <v>#VALUE!</v>
      </c>
    </row>
    <row r="6922" spans="1:8" hidden="1" x14ac:dyDescent="0.3">
      <c r="A6922" t="s">
        <v>33</v>
      </c>
      <c r="B6922">
        <v>2020</v>
      </c>
      <c r="C6922" t="s">
        <v>36</v>
      </c>
      <c r="D6922" t="s">
        <v>11</v>
      </c>
      <c r="E6922" t="e">
        <f>VLOOKUP(Cpi_[[#This Row],[Attribute]],#REF!,2,FALSE)</f>
        <v>#REF!</v>
      </c>
      <c r="F6922">
        <v>114.4</v>
      </c>
      <c r="G6922">
        <f>(Cpi_[[#This Row],[Value]]-F6921)/F6921</f>
        <v>-0.18110236220472431</v>
      </c>
      <c r="H6922" t="e" cm="1" vm="1">
        <f t="array" aca="1" ref="H6922" ca="1">VLOOKUP(Cpi_[[#This Row],[Year]:[Month]],crudeoil[],3,FALSE)</f>
        <v>#VALUE!</v>
      </c>
    </row>
    <row r="6923" spans="1:8" hidden="1" x14ac:dyDescent="0.3">
      <c r="A6923" t="s">
        <v>33</v>
      </c>
      <c r="B6923">
        <v>2020</v>
      </c>
      <c r="C6923" t="s">
        <v>36</v>
      </c>
      <c r="D6923" t="s">
        <v>12</v>
      </c>
      <c r="E6923" t="e">
        <f>VLOOKUP(Cpi_[[#This Row],[Attribute]],#REF!,2,FALSE)</f>
        <v>#REF!</v>
      </c>
      <c r="F6923">
        <v>151.5</v>
      </c>
      <c r="G6923">
        <f>(Cpi_[[#This Row],[Value]]-F6922)/F6922</f>
        <v>0.32430069930069921</v>
      </c>
      <c r="H6923" t="e" cm="1" vm="1">
        <f t="array" aca="1" ref="H6923" ca="1">VLOOKUP(Cpi_[[#This Row],[Year]:[Month]],crudeoil[],3,FALSE)</f>
        <v>#VALUE!</v>
      </c>
    </row>
    <row r="6924" spans="1:8" hidden="1" x14ac:dyDescent="0.3">
      <c r="A6924" t="s">
        <v>33</v>
      </c>
      <c r="B6924">
        <v>2020</v>
      </c>
      <c r="C6924" t="s">
        <v>36</v>
      </c>
      <c r="D6924" t="s">
        <v>13</v>
      </c>
      <c r="E6924" t="e">
        <f>VLOOKUP(Cpi_[[#This Row],[Attribute]],#REF!,2,FALSE)</f>
        <v>#REF!</v>
      </c>
      <c r="F6924">
        <v>131.9</v>
      </c>
      <c r="G6924">
        <f>(Cpi_[[#This Row],[Value]]-F6923)/F6923</f>
        <v>-0.12937293729372934</v>
      </c>
      <c r="H6924" t="e" cm="1" vm="1">
        <f t="array" aca="1" ref="H6924" ca="1">VLOOKUP(Cpi_[[#This Row],[Year]:[Month]],crudeoil[],3,FALSE)</f>
        <v>#VALUE!</v>
      </c>
    </row>
    <row r="6925" spans="1:8" hidden="1" x14ac:dyDescent="0.3">
      <c r="A6925" t="s">
        <v>33</v>
      </c>
      <c r="B6925">
        <v>2020</v>
      </c>
      <c r="C6925" t="s">
        <v>36</v>
      </c>
      <c r="D6925" t="s">
        <v>14</v>
      </c>
      <c r="E6925" t="e">
        <f>VLOOKUP(Cpi_[[#This Row],[Attribute]],#REF!,2,FALSE)</f>
        <v>#REF!</v>
      </c>
      <c r="F6925">
        <v>159.1</v>
      </c>
      <c r="G6925">
        <f>(Cpi_[[#This Row],[Value]]-F6924)/F6924</f>
        <v>0.20621683093252455</v>
      </c>
      <c r="H6925" t="e" cm="1" vm="1">
        <f t="array" aca="1" ref="H6925" ca="1">VLOOKUP(Cpi_[[#This Row],[Year]:[Month]],crudeoil[],3,FALSE)</f>
        <v>#VALUE!</v>
      </c>
    </row>
    <row r="6926" spans="1:8" hidden="1" x14ac:dyDescent="0.3">
      <c r="A6926" t="s">
        <v>33</v>
      </c>
      <c r="B6926">
        <v>2020</v>
      </c>
      <c r="C6926" t="s">
        <v>36</v>
      </c>
      <c r="D6926" t="s">
        <v>15</v>
      </c>
      <c r="E6926" t="e">
        <f>VLOOKUP(Cpi_[[#This Row],[Attribute]],#REF!,2,FALSE)</f>
        <v>#REF!</v>
      </c>
      <c r="F6926">
        <v>150.1</v>
      </c>
      <c r="G6926">
        <f>(Cpi_[[#This Row],[Value]]-F6925)/F6925</f>
        <v>-5.6568196103079824E-2</v>
      </c>
      <c r="H6926" t="e" cm="1" vm="1">
        <f t="array" aca="1" ref="H6926" ca="1">VLOOKUP(Cpi_[[#This Row],[Year]:[Month]],crudeoil[],3,FALSE)</f>
        <v>#VALUE!</v>
      </c>
    </row>
    <row r="6927" spans="1:8" hidden="1" x14ac:dyDescent="0.3">
      <c r="A6927" t="s">
        <v>33</v>
      </c>
      <c r="B6927">
        <v>2020</v>
      </c>
      <c r="C6927" t="s">
        <v>36</v>
      </c>
      <c r="D6927" t="s">
        <v>16</v>
      </c>
      <c r="E6927" t="e">
        <f>VLOOKUP(Cpi_[[#This Row],[Attribute]],#REF!,2,FALSE)</f>
        <v>#REF!</v>
      </c>
      <c r="F6927">
        <v>173.3</v>
      </c>
      <c r="G6927">
        <f>(Cpi_[[#This Row],[Value]]-F6926)/F6926</f>
        <v>0.1545636242504998</v>
      </c>
      <c r="H6927" t="e" cm="1" vm="1">
        <f t="array" aca="1" ref="H6927" ca="1">VLOOKUP(Cpi_[[#This Row],[Year]:[Month]],crudeoil[],3,FALSE)</f>
        <v>#VALUE!</v>
      </c>
    </row>
    <row r="6928" spans="1:8" hidden="1" x14ac:dyDescent="0.3">
      <c r="A6928" t="s">
        <v>33</v>
      </c>
      <c r="B6928">
        <v>2020</v>
      </c>
      <c r="C6928" t="s">
        <v>36</v>
      </c>
      <c r="D6928" t="s">
        <v>17</v>
      </c>
      <c r="E6928" t="e">
        <f>VLOOKUP(Cpi_[[#This Row],[Attribute]],#REF!,2,FALSE)</f>
        <v>#REF!</v>
      </c>
      <c r="F6928">
        <v>147.69999999999999</v>
      </c>
      <c r="G6928">
        <f>(Cpi_[[#This Row],[Value]]-F6927)/F6927</f>
        <v>-0.14772071552221594</v>
      </c>
      <c r="H6928" t="e" cm="1" vm="1">
        <f t="array" aca="1" ref="H6928" ca="1">VLOOKUP(Cpi_[[#This Row],[Year]:[Month]],crudeoil[],3,FALSE)</f>
        <v>#VALUE!</v>
      </c>
    </row>
    <row r="6929" spans="1:8" hidden="1" x14ac:dyDescent="0.3">
      <c r="A6929" t="s">
        <v>33</v>
      </c>
      <c r="B6929">
        <v>2020</v>
      </c>
      <c r="C6929" t="s">
        <v>36</v>
      </c>
      <c r="D6929" t="s">
        <v>18</v>
      </c>
      <c r="E6929" t="e">
        <f>VLOOKUP(Cpi_[[#This Row],[Attribute]],#REF!,2,FALSE)</f>
        <v>#REF!</v>
      </c>
      <c r="F6929">
        <v>133.80000000000001</v>
      </c>
      <c r="G6929">
        <f>(Cpi_[[#This Row],[Value]]-F6928)/F6928</f>
        <v>-9.4109681787406765E-2</v>
      </c>
      <c r="H6929" t="e" cm="1" vm="1">
        <f t="array" aca="1" ref="H6929" ca="1">VLOOKUP(Cpi_[[#This Row],[Year]:[Month]],crudeoil[],3,FALSE)</f>
        <v>#VALUE!</v>
      </c>
    </row>
    <row r="6930" spans="1:8" hidden="1" x14ac:dyDescent="0.3">
      <c r="A6930" t="s">
        <v>33</v>
      </c>
      <c r="B6930">
        <v>2020</v>
      </c>
      <c r="C6930" t="s">
        <v>36</v>
      </c>
      <c r="D6930" t="s">
        <v>19</v>
      </c>
      <c r="E6930" t="e">
        <f>VLOOKUP(Cpi_[[#This Row],[Attribute]],#REF!,2,FALSE)</f>
        <v>#REF!</v>
      </c>
      <c r="F6930">
        <v>145.6</v>
      </c>
      <c r="G6930">
        <f>(Cpi_[[#This Row],[Value]]-F6929)/F6929</f>
        <v>8.8191330343796573E-2</v>
      </c>
      <c r="H6930" t="e" cm="1" vm="1">
        <f t="array" aca="1" ref="H6930" ca="1">VLOOKUP(Cpi_[[#This Row],[Year]:[Month]],crudeoil[],3,FALSE)</f>
        <v>#VALUE!</v>
      </c>
    </row>
    <row r="6931" spans="1:8" hidden="1" x14ac:dyDescent="0.3">
      <c r="A6931" t="s">
        <v>33</v>
      </c>
      <c r="B6931">
        <v>2020</v>
      </c>
      <c r="C6931" t="s">
        <v>36</v>
      </c>
      <c r="D6931" t="s">
        <v>20</v>
      </c>
      <c r="E6931" t="e">
        <f>VLOOKUP(Cpi_[[#This Row],[Attribute]],#REF!,2,FALSE)</f>
        <v>#REF!</v>
      </c>
      <c r="F6931">
        <v>154.5</v>
      </c>
      <c r="G6931">
        <f>(Cpi_[[#This Row],[Value]]-F6930)/F6930</f>
        <v>6.1126373626373666E-2</v>
      </c>
      <c r="H6931" t="e" cm="1" vm="1">
        <f t="array" aca="1" ref="H6931" ca="1">VLOOKUP(Cpi_[[#This Row],[Year]:[Month]],crudeoil[],3,FALSE)</f>
        <v>#VALUE!</v>
      </c>
    </row>
    <row r="6932" spans="1:8" hidden="1" x14ac:dyDescent="0.3">
      <c r="A6932" t="s">
        <v>33</v>
      </c>
      <c r="B6932">
        <v>2020</v>
      </c>
      <c r="C6932" t="s">
        <v>36</v>
      </c>
      <c r="D6932" t="s">
        <v>21</v>
      </c>
      <c r="E6932" t="e">
        <f>VLOOKUP(Cpi_[[#This Row],[Attribute]],#REF!,2,FALSE)</f>
        <v>#REF!</v>
      </c>
      <c r="F6932">
        <v>141.4</v>
      </c>
      <c r="G6932">
        <f>(Cpi_[[#This Row],[Value]]-F6931)/F6931</f>
        <v>-8.4789644012944948E-2</v>
      </c>
      <c r="H6932" t="e" cm="1" vm="1">
        <f t="array" aca="1" ref="H6932" ca="1">VLOOKUP(Cpi_[[#This Row],[Year]:[Month]],crudeoil[],3,FALSE)</f>
        <v>#VALUE!</v>
      </c>
    </row>
    <row r="6933" spans="1:8" hidden="1" x14ac:dyDescent="0.3">
      <c r="A6933" t="s">
        <v>33</v>
      </c>
      <c r="B6933">
        <v>2020</v>
      </c>
      <c r="C6933" t="s">
        <v>36</v>
      </c>
      <c r="D6933" t="s">
        <v>22</v>
      </c>
      <c r="E6933" t="e">
        <f>VLOOKUP(Cpi_[[#This Row],[Attribute]],#REF!,2,FALSE)</f>
        <v>#REF!</v>
      </c>
      <c r="F6933">
        <v>140.80000000000001</v>
      </c>
      <c r="G6933">
        <f>(Cpi_[[#This Row],[Value]]-F6932)/F6932</f>
        <v>-4.2432814710042033E-3</v>
      </c>
      <c r="H6933" t="e" cm="1" vm="1">
        <f t="array" aca="1" ref="H6933" ca="1">VLOOKUP(Cpi_[[#This Row],[Year]:[Month]],crudeoil[],3,FALSE)</f>
        <v>#VALUE!</v>
      </c>
    </row>
    <row r="6934" spans="1:8" hidden="1" x14ac:dyDescent="0.3">
      <c r="A6934" t="s">
        <v>33</v>
      </c>
      <c r="B6934">
        <v>2020</v>
      </c>
      <c r="C6934" t="s">
        <v>36</v>
      </c>
      <c r="D6934" t="s">
        <v>23</v>
      </c>
      <c r="E6934" t="e">
        <f>VLOOKUP(Cpi_[[#This Row],[Attribute]],#REF!,2,FALSE)</f>
        <v>#REF!</v>
      </c>
      <c r="F6934">
        <v>145</v>
      </c>
      <c r="G6934">
        <f>(Cpi_[[#This Row],[Value]]-F6933)/F6933</f>
        <v>2.9829545454545373E-2</v>
      </c>
      <c r="H6934" t="e" cm="1" vm="1">
        <f t="array" aca="1" ref="H6934" ca="1">VLOOKUP(Cpi_[[#This Row],[Year]:[Month]],crudeoil[],3,FALSE)</f>
        <v>#VALUE!</v>
      </c>
    </row>
    <row r="6935" spans="1:8" hidden="1" x14ac:dyDescent="0.3">
      <c r="A6935" t="s">
        <v>33</v>
      </c>
      <c r="B6935">
        <v>2020</v>
      </c>
      <c r="C6935" t="s">
        <v>36</v>
      </c>
      <c r="D6935" t="s">
        <v>24</v>
      </c>
      <c r="E6935" t="e">
        <f>VLOOKUP(Cpi_[[#This Row],[Attribute]],#REF!,2,FALSE)</f>
        <v>#REF!</v>
      </c>
      <c r="F6935">
        <v>124.6</v>
      </c>
      <c r="G6935">
        <f>(Cpi_[[#This Row],[Value]]-F6934)/F6934</f>
        <v>-0.14068965517241383</v>
      </c>
      <c r="H6935" t="e" cm="1" vm="1">
        <f t="array" aca="1" ref="H6935" ca="1">VLOOKUP(Cpi_[[#This Row],[Year]:[Month]],crudeoil[],3,FALSE)</f>
        <v>#VALUE!</v>
      </c>
    </row>
    <row r="6936" spans="1:8" hidden="1" x14ac:dyDescent="0.3">
      <c r="A6936" t="s">
        <v>33</v>
      </c>
      <c r="B6936">
        <v>2020</v>
      </c>
      <c r="C6936" t="s">
        <v>36</v>
      </c>
      <c r="D6936" t="s">
        <v>25</v>
      </c>
      <c r="E6936" t="e">
        <f>VLOOKUP(Cpi_[[#This Row],[Attribute]],#REF!,2,FALSE)</f>
        <v>#REF!</v>
      </c>
      <c r="F6936">
        <v>137.9</v>
      </c>
      <c r="G6936">
        <f>(Cpi_[[#This Row],[Value]]-F6935)/F6935</f>
        <v>0.10674157303370796</v>
      </c>
      <c r="H6936" t="e" cm="1" vm="1">
        <f t="array" aca="1" ref="H6936" ca="1">VLOOKUP(Cpi_[[#This Row],[Year]:[Month]],crudeoil[],3,FALSE)</f>
        <v>#VALUE!</v>
      </c>
    </row>
    <row r="6937" spans="1:8" hidden="1" x14ac:dyDescent="0.3">
      <c r="A6937" t="s">
        <v>33</v>
      </c>
      <c r="B6937">
        <v>2020</v>
      </c>
      <c r="C6937" t="s">
        <v>36</v>
      </c>
      <c r="D6937" t="s">
        <v>26</v>
      </c>
      <c r="E6937" t="e">
        <f>VLOOKUP(Cpi_[[#This Row],[Attribute]],#REF!,2,FALSE)</f>
        <v>#REF!</v>
      </c>
      <c r="F6937">
        <v>152.5</v>
      </c>
      <c r="G6937">
        <f>(Cpi_[[#This Row],[Value]]-F6936)/F6936</f>
        <v>0.10587382160986217</v>
      </c>
      <c r="H6937" t="e" cm="1" vm="1">
        <f t="array" aca="1" ref="H6937" ca="1">VLOOKUP(Cpi_[[#This Row],[Year]:[Month]],crudeoil[],3,FALSE)</f>
        <v>#VALUE!</v>
      </c>
    </row>
    <row r="6938" spans="1:8" hidden="1" x14ac:dyDescent="0.3">
      <c r="A6938" t="s">
        <v>33</v>
      </c>
      <c r="B6938">
        <v>2020</v>
      </c>
      <c r="C6938" t="s">
        <v>36</v>
      </c>
      <c r="D6938" t="s">
        <v>27</v>
      </c>
      <c r="E6938" t="e">
        <f>VLOOKUP(Cpi_[[#This Row],[Attribute]],#REF!,2,FALSE)</f>
        <v>#REF!</v>
      </c>
      <c r="F6938">
        <v>145.30000000000001</v>
      </c>
      <c r="G6938">
        <f>(Cpi_[[#This Row],[Value]]-F6937)/F6937</f>
        <v>-4.7213114754098284E-2</v>
      </c>
      <c r="H6938" t="e" cm="1" vm="1">
        <f t="array" aca="1" ref="H6938" ca="1">VLOOKUP(Cpi_[[#This Row],[Year]:[Month]],crudeoil[],3,FALSE)</f>
        <v>#VALUE!</v>
      </c>
    </row>
    <row r="6939" spans="1:8" hidden="1" x14ac:dyDescent="0.3">
      <c r="A6939" t="s">
        <v>33</v>
      </c>
      <c r="B6939">
        <v>2020</v>
      </c>
      <c r="C6939" t="s">
        <v>36</v>
      </c>
      <c r="D6939" t="s">
        <v>28</v>
      </c>
      <c r="E6939" t="e">
        <f>VLOOKUP(Cpi_[[#This Row],[Attribute]],#REF!,2,FALSE)</f>
        <v>#REF!</v>
      </c>
      <c r="F6939">
        <v>138.69999999999999</v>
      </c>
      <c r="G6939">
        <f>(Cpi_[[#This Row],[Value]]-F6938)/F6938</f>
        <v>-4.5423262216104765E-2</v>
      </c>
      <c r="H6939" t="e" cm="1" vm="1">
        <f t="array" aca="1" ref="H6939" ca="1">VLOOKUP(Cpi_[[#This Row],[Year]:[Month]],crudeoil[],3,FALSE)</f>
        <v>#VALUE!</v>
      </c>
    </row>
    <row r="6940" spans="1:8" hidden="1" x14ac:dyDescent="0.3">
      <c r="A6940" t="s">
        <v>33</v>
      </c>
      <c r="B6940">
        <v>2020</v>
      </c>
      <c r="C6940" t="s">
        <v>36</v>
      </c>
      <c r="D6940" t="s">
        <v>29</v>
      </c>
      <c r="E6940" t="e" cm="1">
        <f t="array" aca="1" ref="E6940" ca="1">VLGeneral indexGeneral indexKUP(Cpi_[[#This Row],[Attribute]],#REF!,2,FALSE)</f>
        <v>#NAME?</v>
      </c>
      <c r="F6940">
        <v>147.30000000000001</v>
      </c>
      <c r="G6940">
        <f>(Cpi_[[#This Row],[Value]]-F6939)/F6939</f>
        <v>6.2004325883201324E-2</v>
      </c>
      <c r="H6940" t="e" cm="1" vm="1">
        <f t="array" aca="1" ref="H6940" ca="1">VLOOKUP(Cpi_[[#This Row],[Year]:[Month]],crudeoil[],3,FALSE)</f>
        <v>#VALUE!</v>
      </c>
    </row>
    <row r="6941" spans="1:8" hidden="1" x14ac:dyDescent="0.3">
      <c r="A6941" t="s">
        <v>34</v>
      </c>
      <c r="B6941">
        <v>2020</v>
      </c>
      <c r="C6941" t="s">
        <v>36</v>
      </c>
      <c r="D6941" t="s">
        <v>3</v>
      </c>
      <c r="E6941" t="e">
        <f>VLOOKUP(Cpi_[[#This Row],[Attribute]],#REF!,2,FALSE)</f>
        <v>#REF!</v>
      </c>
      <c r="F6941">
        <v>145.1</v>
      </c>
      <c r="G6941">
        <f>(Cpi_[[#This Row],[Value]]-F6940)/F6940</f>
        <v>-1.4935505770536435E-2</v>
      </c>
      <c r="H6941" t="e" cm="1" vm="1">
        <f t="array" aca="1" ref="H6941" ca="1">VLOOKUP(Cpi_[[#This Row],[Year]:[Month]],crudeoil[],3,FALSE)</f>
        <v>#VALUE!</v>
      </c>
    </row>
    <row r="6942" spans="1:8" hidden="1" x14ac:dyDescent="0.3">
      <c r="A6942" t="s">
        <v>34</v>
      </c>
      <c r="B6942">
        <v>2020</v>
      </c>
      <c r="C6942" t="s">
        <v>36</v>
      </c>
      <c r="D6942" t="s">
        <v>4</v>
      </c>
      <c r="E6942" t="e">
        <f>VLOOKUP(Cpi_[[#This Row],[Attribute]],#REF!,2,FALSE)</f>
        <v>#REF!</v>
      </c>
      <c r="F6942">
        <v>167</v>
      </c>
      <c r="G6942">
        <f>(Cpi_[[#This Row],[Value]]-F6941)/F6941</f>
        <v>0.15093039283252935</v>
      </c>
      <c r="H6942" t="e" cm="1" vm="1">
        <f t="array" aca="1" ref="H6942" ca="1">VLOOKUP(Cpi_[[#This Row],[Year]:[Month]],crudeoil[],3,FALSE)</f>
        <v>#VALUE!</v>
      </c>
    </row>
    <row r="6943" spans="1:8" hidden="1" x14ac:dyDescent="0.3">
      <c r="A6943" t="s">
        <v>34</v>
      </c>
      <c r="B6943">
        <v>2020</v>
      </c>
      <c r="C6943" t="s">
        <v>36</v>
      </c>
      <c r="D6943" t="s">
        <v>5</v>
      </c>
      <c r="E6943" t="e">
        <f>VLOOKUP(Cpi_[[#This Row],[Attribute]],#REF!,2,FALSE)</f>
        <v>#REF!</v>
      </c>
      <c r="F6943">
        <v>148.1</v>
      </c>
      <c r="G6943">
        <f>(Cpi_[[#This Row],[Value]]-F6942)/F6942</f>
        <v>-0.11317365269461081</v>
      </c>
      <c r="H6943" t="e" cm="1" vm="1">
        <f t="array" aca="1" ref="H6943" ca="1">VLOOKUP(Cpi_[[#This Row],[Year]:[Month]],crudeoil[],3,FALSE)</f>
        <v>#VALUE!</v>
      </c>
    </row>
    <row r="6944" spans="1:8" hidden="1" x14ac:dyDescent="0.3">
      <c r="A6944" t="s">
        <v>34</v>
      </c>
      <c r="B6944">
        <v>2020</v>
      </c>
      <c r="C6944" t="s">
        <v>36</v>
      </c>
      <c r="D6944" t="s">
        <v>6</v>
      </c>
      <c r="E6944" t="e">
        <f>VLOOKUP(Cpi_[[#This Row],[Attribute]],#REF!,2,FALSE)</f>
        <v>#REF!</v>
      </c>
      <c r="F6944">
        <v>151.5</v>
      </c>
      <c r="G6944">
        <f>(Cpi_[[#This Row],[Value]]-F6943)/F6943</f>
        <v>2.2957461174881875E-2</v>
      </c>
      <c r="H6944" t="e" cm="1" vm="1">
        <f t="array" aca="1" ref="H6944" ca="1">VLOOKUP(Cpi_[[#This Row],[Year]:[Month]],crudeoil[],3,FALSE)</f>
        <v>#VALUE!</v>
      </c>
    </row>
    <row r="6945" spans="1:8" hidden="1" x14ac:dyDescent="0.3">
      <c r="A6945" t="s">
        <v>34</v>
      </c>
      <c r="B6945">
        <v>2020</v>
      </c>
      <c r="C6945" t="s">
        <v>36</v>
      </c>
      <c r="D6945" t="s">
        <v>7</v>
      </c>
      <c r="E6945" t="e">
        <f>VLOOKUP(Cpi_[[#This Row],[Attribute]],#REF!,2,FALSE)</f>
        <v>#REF!</v>
      </c>
      <c r="F6945">
        <v>131.19999999999999</v>
      </c>
      <c r="G6945">
        <f>(Cpi_[[#This Row],[Value]]-F6944)/F6944</f>
        <v>-0.13399339933993407</v>
      </c>
      <c r="H6945" t="e" cm="1" vm="1">
        <f t="array" aca="1" ref="H6945" ca="1">VLOOKUP(Cpi_[[#This Row],[Year]:[Month]],crudeoil[],3,FALSE)</f>
        <v>#VALUE!</v>
      </c>
    </row>
    <row r="6946" spans="1:8" hidden="1" x14ac:dyDescent="0.3">
      <c r="A6946" t="s">
        <v>34</v>
      </c>
      <c r="B6946">
        <v>2020</v>
      </c>
      <c r="C6946" t="s">
        <v>36</v>
      </c>
      <c r="D6946" t="s">
        <v>8</v>
      </c>
      <c r="E6946" t="e">
        <f>VLOOKUP(Cpi_[[#This Row],[Attribute]],#REF!,2,FALSE)</f>
        <v>#REF!</v>
      </c>
      <c r="F6946">
        <v>142.5</v>
      </c>
      <c r="G6946">
        <f>(Cpi_[[#This Row],[Value]]-F6945)/F6945</f>
        <v>8.6128048780487895E-2</v>
      </c>
      <c r="H6946" t="e" cm="1" vm="1">
        <f t="array" aca="1" ref="H6946" ca="1">VLOOKUP(Cpi_[[#This Row],[Year]:[Month]],crudeoil[],3,FALSE)</f>
        <v>#VALUE!</v>
      </c>
    </row>
    <row r="6947" spans="1:8" hidden="1" x14ac:dyDescent="0.3">
      <c r="A6947" t="s">
        <v>34</v>
      </c>
      <c r="B6947">
        <v>2020</v>
      </c>
      <c r="C6947" t="s">
        <v>36</v>
      </c>
      <c r="D6947" t="s">
        <v>9</v>
      </c>
      <c r="E6947" t="e">
        <f>VLOOKUP(Cpi_[[#This Row],[Attribute]],#REF!,2,FALSE)</f>
        <v>#REF!</v>
      </c>
      <c r="F6947">
        <v>157.30000000000001</v>
      </c>
      <c r="G6947">
        <f>(Cpi_[[#This Row],[Value]]-F6946)/F6946</f>
        <v>0.1038596491228071</v>
      </c>
      <c r="H6947" t="e" cm="1" vm="1">
        <f t="array" aca="1" ref="H6947" ca="1">VLOOKUP(Cpi_[[#This Row],[Year]:[Month]],crudeoil[],3,FALSE)</f>
        <v>#VALUE!</v>
      </c>
    </row>
    <row r="6948" spans="1:8" hidden="1" x14ac:dyDescent="0.3">
      <c r="A6948" t="s">
        <v>34</v>
      </c>
      <c r="B6948">
        <v>2020</v>
      </c>
      <c r="C6948" t="s">
        <v>36</v>
      </c>
      <c r="D6948" t="s">
        <v>10</v>
      </c>
      <c r="E6948" t="e">
        <f>VLOOKUP(Cpi_[[#This Row],[Attribute]],#REF!,2,FALSE)</f>
        <v>#REF!</v>
      </c>
      <c r="F6948">
        <v>141.1</v>
      </c>
      <c r="G6948">
        <f>(Cpi_[[#This Row],[Value]]-F6947)/F6947</f>
        <v>-0.10298792116973945</v>
      </c>
      <c r="H6948" t="e" cm="1" vm="1">
        <f t="array" aca="1" ref="H6948" ca="1">VLOOKUP(Cpi_[[#This Row],[Year]:[Month]],crudeoil[],3,FALSE)</f>
        <v>#VALUE!</v>
      </c>
    </row>
    <row r="6949" spans="1:8" hidden="1" x14ac:dyDescent="0.3">
      <c r="A6949" t="s">
        <v>34</v>
      </c>
      <c r="B6949">
        <v>2020</v>
      </c>
      <c r="C6949" t="s">
        <v>36</v>
      </c>
      <c r="D6949" t="s">
        <v>11</v>
      </c>
      <c r="E6949" t="e">
        <f>VLOOKUP(Cpi_[[#This Row],[Attribute]],#REF!,2,FALSE)</f>
        <v>#REF!</v>
      </c>
      <c r="F6949">
        <v>113.2</v>
      </c>
      <c r="G6949">
        <f>(Cpi_[[#This Row],[Value]]-F6948)/F6948</f>
        <v>-0.19773210489014878</v>
      </c>
      <c r="H6949" t="e" cm="1" vm="1">
        <f t="array" aca="1" ref="H6949" ca="1">VLOOKUP(Cpi_[[#This Row],[Year]:[Month]],crudeoil[],3,FALSE)</f>
        <v>#VALUE!</v>
      </c>
    </row>
    <row r="6950" spans="1:8" hidden="1" x14ac:dyDescent="0.3">
      <c r="A6950" t="s">
        <v>34</v>
      </c>
      <c r="B6950">
        <v>2020</v>
      </c>
      <c r="C6950" t="s">
        <v>36</v>
      </c>
      <c r="D6950" t="s">
        <v>12</v>
      </c>
      <c r="E6950" t="e">
        <f>VLOOKUP(Cpi_[[#This Row],[Attribute]],#REF!,2,FALSE)</f>
        <v>#REF!</v>
      </c>
      <c r="F6950">
        <v>153.19999999999999</v>
      </c>
      <c r="G6950">
        <f>(Cpi_[[#This Row],[Value]]-F6949)/F6949</f>
        <v>0.3533568904593638</v>
      </c>
      <c r="H6950" t="e" cm="1" vm="1">
        <f t="array" aca="1" ref="H6950" ca="1">VLOOKUP(Cpi_[[#This Row],[Year]:[Month]],crudeoil[],3,FALSE)</f>
        <v>#VALUE!</v>
      </c>
    </row>
    <row r="6951" spans="1:8" hidden="1" x14ac:dyDescent="0.3">
      <c r="A6951" t="s">
        <v>34</v>
      </c>
      <c r="B6951">
        <v>2020</v>
      </c>
      <c r="C6951" t="s">
        <v>36</v>
      </c>
      <c r="D6951" t="s">
        <v>13</v>
      </c>
      <c r="E6951" t="e">
        <f>VLOOKUP(Cpi_[[#This Row],[Attribute]],#REF!,2,FALSE)</f>
        <v>#REF!</v>
      </c>
      <c r="F6951">
        <v>136.69999999999999</v>
      </c>
      <c r="G6951">
        <f>(Cpi_[[#This Row],[Value]]-F6950)/F6950</f>
        <v>-0.10770234986945171</v>
      </c>
      <c r="H6951" t="e" cm="1" vm="1">
        <f t="array" aca="1" ref="H6951" ca="1">VLOOKUP(Cpi_[[#This Row],[Year]:[Month]],crudeoil[],3,FALSE)</f>
        <v>#VALUE!</v>
      </c>
    </row>
    <row r="6952" spans="1:8" hidden="1" x14ac:dyDescent="0.3">
      <c r="A6952" t="s">
        <v>34</v>
      </c>
      <c r="B6952">
        <v>2020</v>
      </c>
      <c r="C6952" t="s">
        <v>36</v>
      </c>
      <c r="D6952" t="s">
        <v>14</v>
      </c>
      <c r="E6952" t="e">
        <f>VLOOKUP(Cpi_[[#This Row],[Attribute]],#REF!,2,FALSE)</f>
        <v>#REF!</v>
      </c>
      <c r="F6952">
        <v>159.6</v>
      </c>
      <c r="G6952">
        <f>(Cpi_[[#This Row],[Value]]-F6951)/F6951</f>
        <v>0.16752011704462333</v>
      </c>
      <c r="H6952" t="e" cm="1" vm="1">
        <f t="array" aca="1" ref="H6952" ca="1">VLOOKUP(Cpi_[[#This Row],[Year]:[Month]],crudeoil[],3,FALSE)</f>
        <v>#VALUE!</v>
      </c>
    </row>
    <row r="6953" spans="1:8" hidden="1" x14ac:dyDescent="0.3">
      <c r="A6953" t="s">
        <v>34</v>
      </c>
      <c r="B6953">
        <v>2020</v>
      </c>
      <c r="C6953" t="s">
        <v>36</v>
      </c>
      <c r="D6953" t="s">
        <v>15</v>
      </c>
      <c r="E6953" t="e">
        <f>VLOOKUP(Cpi_[[#This Row],[Attribute]],#REF!,2,FALSE)</f>
        <v>#REF!</v>
      </c>
      <c r="F6953">
        <v>148.9</v>
      </c>
      <c r="G6953">
        <f>(Cpi_[[#This Row],[Value]]-F6952)/F6952</f>
        <v>-6.7042606516290654E-2</v>
      </c>
      <c r="H6953" t="e" cm="1" vm="1">
        <f t="array" aca="1" ref="H6953" ca="1">VLOOKUP(Cpi_[[#This Row],[Year]:[Month]],crudeoil[],3,FALSE)</f>
        <v>#VALUE!</v>
      </c>
    </row>
    <row r="6954" spans="1:8" hidden="1" x14ac:dyDescent="0.3">
      <c r="A6954" t="s">
        <v>34</v>
      </c>
      <c r="B6954">
        <v>2020</v>
      </c>
      <c r="C6954" t="s">
        <v>36</v>
      </c>
      <c r="D6954" t="s">
        <v>16</v>
      </c>
      <c r="E6954" t="e">
        <f>VLOOKUP(Cpi_[[#This Row],[Attribute]],#REF!,2,FALSE)</f>
        <v>#REF!</v>
      </c>
      <c r="F6954">
        <v>171.2</v>
      </c>
      <c r="G6954">
        <f>(Cpi_[[#This Row],[Value]]-F6953)/F6953</f>
        <v>0.14976494291470774</v>
      </c>
      <c r="H6954" t="e" cm="1" vm="1">
        <f t="array" aca="1" ref="H6954" ca="1">VLOOKUP(Cpi_[[#This Row],[Year]:[Month]],crudeoil[],3,FALSE)</f>
        <v>#VALUE!</v>
      </c>
    </row>
    <row r="6955" spans="1:8" hidden="1" x14ac:dyDescent="0.3">
      <c r="A6955" t="s">
        <v>34</v>
      </c>
      <c r="B6955">
        <v>2020</v>
      </c>
      <c r="C6955" t="s">
        <v>36</v>
      </c>
      <c r="D6955" t="s">
        <v>17</v>
      </c>
      <c r="E6955" t="e">
        <f>VLOOKUP(Cpi_[[#This Row],[Attribute]],#REF!,2,FALSE)</f>
        <v>#REF!</v>
      </c>
      <c r="F6955">
        <v>151.19999999999999</v>
      </c>
      <c r="G6955">
        <f>(Cpi_[[#This Row],[Value]]-F6954)/F6954</f>
        <v>-0.11682242990654207</v>
      </c>
      <c r="H6955" t="e" cm="1" vm="1">
        <f t="array" aca="1" ref="H6955" ca="1">VLOOKUP(Cpi_[[#This Row],[Year]:[Month]],crudeoil[],3,FALSE)</f>
        <v>#VALUE!</v>
      </c>
    </row>
    <row r="6956" spans="1:8" hidden="1" x14ac:dyDescent="0.3">
      <c r="A6956" t="s">
        <v>34</v>
      </c>
      <c r="B6956">
        <v>2020</v>
      </c>
      <c r="C6956" t="s">
        <v>36</v>
      </c>
      <c r="D6956" t="s">
        <v>18</v>
      </c>
      <c r="E6956" t="e">
        <f>VLOOKUP(Cpi_[[#This Row],[Attribute]],#REF!,2,FALSE)</f>
        <v>#REF!</v>
      </c>
      <c r="F6956">
        <v>141.9</v>
      </c>
      <c r="G6956">
        <f>(Cpi_[[#This Row],[Value]]-F6955)/F6955</f>
        <v>-6.15079365079364E-2</v>
      </c>
      <c r="H6956" t="e" cm="1" vm="1">
        <f t="array" aca="1" ref="H6956" ca="1">VLOOKUP(Cpi_[[#This Row],[Year]:[Month]],crudeoil[],3,FALSE)</f>
        <v>#VALUE!</v>
      </c>
    </row>
    <row r="6957" spans="1:8" hidden="1" x14ac:dyDescent="0.3">
      <c r="A6957" t="s">
        <v>34</v>
      </c>
      <c r="B6957">
        <v>2020</v>
      </c>
      <c r="C6957" t="s">
        <v>36</v>
      </c>
      <c r="D6957" t="s">
        <v>19</v>
      </c>
      <c r="E6957" t="e">
        <f>VLOOKUP(Cpi_[[#This Row],[Attribute]],#REF!,2,FALSE)</f>
        <v>#REF!</v>
      </c>
      <c r="F6957">
        <v>149.80000000000001</v>
      </c>
      <c r="G6957">
        <f>(Cpi_[[#This Row],[Value]]-F6956)/F6956</f>
        <v>5.5673009161381293E-2</v>
      </c>
      <c r="H6957" t="e" cm="1" vm="1">
        <f t="array" aca="1" ref="H6957" ca="1">VLOOKUP(Cpi_[[#This Row],[Year]:[Month]],crudeoil[],3,FALSE)</f>
        <v>#VALUE!</v>
      </c>
    </row>
    <row r="6958" spans="1:8" hidden="1" x14ac:dyDescent="0.3">
      <c r="A6958" t="s">
        <v>34</v>
      </c>
      <c r="B6958">
        <v>2020</v>
      </c>
      <c r="C6958" t="s">
        <v>36</v>
      </c>
      <c r="D6958" t="s">
        <v>20</v>
      </c>
      <c r="E6958" t="e">
        <f>VLOOKUP(Cpi_[[#This Row],[Attribute]],#REF!,2,FALSE)</f>
        <v>#REF!</v>
      </c>
      <c r="F6958">
        <v>154.5</v>
      </c>
      <c r="G6958">
        <f>(Cpi_[[#This Row],[Value]]-F6957)/F6957</f>
        <v>3.1375166889185506E-2</v>
      </c>
      <c r="H6958" t="e" cm="1" vm="1">
        <f t="array" aca="1" ref="H6958" ca="1">VLOOKUP(Cpi_[[#This Row],[Year]:[Month]],crudeoil[],3,FALSE)</f>
        <v>#VALUE!</v>
      </c>
    </row>
    <row r="6959" spans="1:8" hidden="1" x14ac:dyDescent="0.3">
      <c r="A6959" t="s">
        <v>34</v>
      </c>
      <c r="B6959">
        <v>2020</v>
      </c>
      <c r="C6959" t="s">
        <v>36</v>
      </c>
      <c r="D6959" t="s">
        <v>21</v>
      </c>
      <c r="E6959" t="e">
        <f>VLOOKUP(Cpi_[[#This Row],[Attribute]],#REF!,2,FALSE)</f>
        <v>#REF!</v>
      </c>
      <c r="F6959">
        <v>148.9</v>
      </c>
      <c r="G6959">
        <f>(Cpi_[[#This Row],[Value]]-F6958)/F6958</f>
        <v>-3.6245954692556599E-2</v>
      </c>
      <c r="H6959" t="e" cm="1" vm="1">
        <f t="array" aca="1" ref="H6959" ca="1">VLOOKUP(Cpi_[[#This Row],[Year]:[Month]],crudeoil[],3,FALSE)</f>
        <v>#VALUE!</v>
      </c>
    </row>
    <row r="6960" spans="1:8" hidden="1" x14ac:dyDescent="0.3">
      <c r="A6960" t="s">
        <v>34</v>
      </c>
      <c r="B6960">
        <v>2020</v>
      </c>
      <c r="C6960" t="s">
        <v>36</v>
      </c>
      <c r="D6960" t="s">
        <v>22</v>
      </c>
      <c r="E6960" t="e">
        <f>VLOOKUP(Cpi_[[#This Row],[Attribute]],#REF!,2,FALSE)</f>
        <v>#REF!</v>
      </c>
      <c r="F6960">
        <v>146.4</v>
      </c>
      <c r="G6960">
        <f>(Cpi_[[#This Row],[Value]]-F6959)/F6959</f>
        <v>-1.6789791806581598E-2</v>
      </c>
      <c r="H6960" t="e" cm="1" vm="1">
        <f t="array" aca="1" ref="H6960" ca="1">VLOOKUP(Cpi_[[#This Row],[Year]:[Month]],crudeoil[],3,FALSE)</f>
        <v>#VALUE!</v>
      </c>
    </row>
    <row r="6961" spans="1:8" hidden="1" x14ac:dyDescent="0.3">
      <c r="A6961" t="s">
        <v>34</v>
      </c>
      <c r="B6961">
        <v>2020</v>
      </c>
      <c r="C6961" t="s">
        <v>36</v>
      </c>
      <c r="D6961" t="s">
        <v>23</v>
      </c>
      <c r="E6961" t="e">
        <f>VLOOKUP(Cpi_[[#This Row],[Attribute]],#REF!,2,FALSE)</f>
        <v>#REF!</v>
      </c>
      <c r="F6961">
        <v>152.30000000000001</v>
      </c>
      <c r="G6961">
        <f>(Cpi_[[#This Row],[Value]]-F6960)/F6960</f>
        <v>4.0300546448087469E-2</v>
      </c>
      <c r="H6961" t="e" cm="1" vm="1">
        <f t="array" aca="1" ref="H6961" ca="1">VLOOKUP(Cpi_[[#This Row],[Year]:[Month]],crudeoil[],3,FALSE)</f>
        <v>#VALUE!</v>
      </c>
    </row>
    <row r="6962" spans="1:8" hidden="1" x14ac:dyDescent="0.3">
      <c r="A6962" t="s">
        <v>34</v>
      </c>
      <c r="B6962">
        <v>2020</v>
      </c>
      <c r="C6962" t="s">
        <v>36</v>
      </c>
      <c r="D6962" t="s">
        <v>24</v>
      </c>
      <c r="E6962" t="e">
        <f>VLOOKUP(Cpi_[[#This Row],[Attribute]],#REF!,2,FALSE)</f>
        <v>#REF!</v>
      </c>
      <c r="F6962">
        <v>129.9</v>
      </c>
      <c r="G6962">
        <f>(Cpi_[[#This Row],[Value]]-F6961)/F6961</f>
        <v>-0.14707813525935656</v>
      </c>
      <c r="H6962" t="e" cm="1" vm="1">
        <f t="array" aca="1" ref="H6962" ca="1">VLOOKUP(Cpi_[[#This Row],[Year]:[Month]],crudeoil[],3,FALSE)</f>
        <v>#VALUE!</v>
      </c>
    </row>
    <row r="6963" spans="1:8" hidden="1" x14ac:dyDescent="0.3">
      <c r="A6963" t="s">
        <v>34</v>
      </c>
      <c r="B6963">
        <v>2020</v>
      </c>
      <c r="C6963" t="s">
        <v>36</v>
      </c>
      <c r="D6963" t="s">
        <v>25</v>
      </c>
      <c r="E6963" t="e">
        <f>VLOOKUP(Cpi_[[#This Row],[Attribute]],#REF!,2,FALSE)</f>
        <v>#REF!</v>
      </c>
      <c r="F6963">
        <v>143.69999999999999</v>
      </c>
      <c r="G6963">
        <f>(Cpi_[[#This Row],[Value]]-F6962)/F6962</f>
        <v>0.10623556581986129</v>
      </c>
      <c r="H6963" t="e" cm="1" vm="1">
        <f t="array" aca="1" ref="H6963" ca="1">VLOOKUP(Cpi_[[#This Row],[Year]:[Month]],crudeoil[],3,FALSE)</f>
        <v>#VALUE!</v>
      </c>
    </row>
    <row r="6964" spans="1:8" hidden="1" x14ac:dyDescent="0.3">
      <c r="A6964" t="s">
        <v>34</v>
      </c>
      <c r="B6964">
        <v>2020</v>
      </c>
      <c r="C6964" t="s">
        <v>36</v>
      </c>
      <c r="D6964" t="s">
        <v>26</v>
      </c>
      <c r="E6964" t="e">
        <f>VLOOKUP(Cpi_[[#This Row],[Attribute]],#REF!,2,FALSE)</f>
        <v>#REF!</v>
      </c>
      <c r="F6964">
        <v>156.1</v>
      </c>
      <c r="G6964">
        <f>(Cpi_[[#This Row],[Value]]-F6963)/F6963</f>
        <v>8.6290883785664629E-2</v>
      </c>
      <c r="H6964" t="e" cm="1" vm="1">
        <f t="array" aca="1" ref="H6964" ca="1">VLOOKUP(Cpi_[[#This Row],[Year]:[Month]],crudeoil[],3,FALSE)</f>
        <v>#VALUE!</v>
      </c>
    </row>
    <row r="6965" spans="1:8" hidden="1" x14ac:dyDescent="0.3">
      <c r="A6965" t="s">
        <v>34</v>
      </c>
      <c r="B6965">
        <v>2020</v>
      </c>
      <c r="C6965" t="s">
        <v>36</v>
      </c>
      <c r="D6965" t="s">
        <v>27</v>
      </c>
      <c r="E6965" t="e">
        <f>VLOOKUP(Cpi_[[#This Row],[Attribute]],#REF!,2,FALSE)</f>
        <v>#REF!</v>
      </c>
      <c r="F6965">
        <v>145.19999999999999</v>
      </c>
      <c r="G6965">
        <f>(Cpi_[[#This Row],[Value]]-F6964)/F6964</f>
        <v>-6.9827033952594528E-2</v>
      </c>
      <c r="H6965" t="e" cm="1" vm="1">
        <f t="array" aca="1" ref="H6965" ca="1">VLOOKUP(Cpi_[[#This Row],[Year]:[Month]],crudeoil[],3,FALSE)</f>
        <v>#VALUE!</v>
      </c>
    </row>
    <row r="6966" spans="1:8" hidden="1" x14ac:dyDescent="0.3">
      <c r="A6966" t="s">
        <v>34</v>
      </c>
      <c r="B6966">
        <v>2020</v>
      </c>
      <c r="C6966" t="s">
        <v>36</v>
      </c>
      <c r="D6966" t="s">
        <v>28</v>
      </c>
      <c r="E6966" t="e">
        <f>VLOOKUP(Cpi_[[#This Row],[Attribute]],#REF!,2,FALSE)</f>
        <v>#REF!</v>
      </c>
      <c r="F6966">
        <v>143.80000000000001</v>
      </c>
      <c r="G6966">
        <f>(Cpi_[[#This Row],[Value]]-F6965)/F6965</f>
        <v>-9.6418732782367587E-3</v>
      </c>
      <c r="H6966" t="e" cm="1" vm="1">
        <f t="array" aca="1" ref="H6966" ca="1">VLOOKUP(Cpi_[[#This Row],[Year]:[Month]],crudeoil[],3,FALSE)</f>
        <v>#VALUE!</v>
      </c>
    </row>
    <row r="6967" spans="1:8" hidden="1" x14ac:dyDescent="0.3">
      <c r="A6967" t="s">
        <v>34</v>
      </c>
      <c r="B6967">
        <v>2020</v>
      </c>
      <c r="C6967" t="s">
        <v>36</v>
      </c>
      <c r="D6967" t="s">
        <v>29</v>
      </c>
      <c r="E6967" t="e" cm="1">
        <f t="array" aca="1" ref="E6967" ca="1">VLGeneral indexGeneral indexKUP(Cpi_[[#This Row],[Attribute]],#REF!,2,FALSE)</f>
        <v>#NAME?</v>
      </c>
      <c r="F6967">
        <v>148.6</v>
      </c>
      <c r="G6967">
        <f>(Cpi_[[#This Row],[Value]]-F6966)/F6966</f>
        <v>3.337969401947137E-2</v>
      </c>
      <c r="H6967" t="e" cm="1" vm="1">
        <f t="array" aca="1" ref="H6967" ca="1">VLOOKUP(Cpi_[[#This Row],[Year]:[Month]],crudeoil[],3,FALSE)</f>
        <v>#VALUE!</v>
      </c>
    </row>
    <row r="6968" spans="1:8" hidden="1" x14ac:dyDescent="0.3">
      <c r="A6968" t="s">
        <v>30</v>
      </c>
      <c r="B6968">
        <v>2020</v>
      </c>
      <c r="C6968" t="s">
        <v>37</v>
      </c>
      <c r="D6968" t="s">
        <v>3</v>
      </c>
      <c r="E6968" t="e">
        <f>VLOOKUP(Cpi_[[#This Row],[Attribute]],#REF!,2,FALSE)</f>
        <v>#REF!</v>
      </c>
      <c r="F6968">
        <v>147.19999999999999</v>
      </c>
      <c r="G6968">
        <f>(Cpi_[[#This Row],[Value]]-F6967)/F6967</f>
        <v>-9.4212651413190154E-3</v>
      </c>
      <c r="H6968" t="e" cm="1" vm="1">
        <f t="array" aca="1" ref="H6968" ca="1">VLOOKUP(Cpi_[[#This Row],[Year]:[Month]],crudeoil[],3,FALSE)</f>
        <v>#VALUE!</v>
      </c>
    </row>
    <row r="6969" spans="1:8" hidden="1" x14ac:dyDescent="0.3">
      <c r="A6969" t="s">
        <v>30</v>
      </c>
      <c r="B6969">
        <v>2020</v>
      </c>
      <c r="C6969" t="s">
        <v>37</v>
      </c>
      <c r="D6969" t="s">
        <v>4</v>
      </c>
      <c r="E6969" t="e">
        <f>VLOOKUP(Cpi_[[#This Row],[Attribute]],#REF!,2,FALSE)</f>
        <v>#REF!</v>
      </c>
      <c r="G6969">
        <f>(Cpi_[[#This Row],[Value]]-F6968)/F6968</f>
        <v>-1</v>
      </c>
      <c r="H6969" t="e" cm="1" vm="1">
        <f t="array" aca="1" ref="H6969" ca="1">VLOOKUP(Cpi_[[#This Row],[Year]:[Month]],crudeoil[],3,FALSE)</f>
        <v>#VALUE!</v>
      </c>
    </row>
    <row r="6970" spans="1:8" hidden="1" x14ac:dyDescent="0.3">
      <c r="A6970" t="s">
        <v>30</v>
      </c>
      <c r="B6970">
        <v>2020</v>
      </c>
      <c r="C6970" t="s">
        <v>37</v>
      </c>
      <c r="D6970" t="s">
        <v>5</v>
      </c>
      <c r="E6970" t="e">
        <f>VLOOKUP(Cpi_[[#This Row],[Attribute]],#REF!,2,FALSE)</f>
        <v>#REF!</v>
      </c>
      <c r="F6970">
        <v>146.9</v>
      </c>
      <c r="G6970" t="e">
        <f>(Cpi_[[#This Row],[Value]]-F6969)/F6969</f>
        <v>#DIV/0!</v>
      </c>
      <c r="H6970" t="e" cm="1" vm="1">
        <f t="array" aca="1" ref="H6970" ca="1">VLOOKUP(Cpi_[[#This Row],[Year]:[Month]],crudeoil[],3,FALSE)</f>
        <v>#VALUE!</v>
      </c>
    </row>
    <row r="6971" spans="1:8" hidden="1" x14ac:dyDescent="0.3">
      <c r="A6971" t="s">
        <v>30</v>
      </c>
      <c r="B6971">
        <v>2020</v>
      </c>
      <c r="C6971" t="s">
        <v>37</v>
      </c>
      <c r="D6971" t="s">
        <v>6</v>
      </c>
      <c r="E6971" t="e">
        <f>VLOOKUP(Cpi_[[#This Row],[Attribute]],#REF!,2,FALSE)</f>
        <v>#REF!</v>
      </c>
      <c r="F6971">
        <v>155.6</v>
      </c>
      <c r="G6971">
        <f>(Cpi_[[#This Row],[Value]]-F6970)/F6970</f>
        <v>5.9223961878829057E-2</v>
      </c>
      <c r="H6971" t="e" cm="1" vm="1">
        <f t="array" aca="1" ref="H6971" ca="1">VLOOKUP(Cpi_[[#This Row],[Year]:[Month]],crudeoil[],3,FALSE)</f>
        <v>#VALUE!</v>
      </c>
    </row>
    <row r="6972" spans="1:8" hidden="1" x14ac:dyDescent="0.3">
      <c r="A6972" t="s">
        <v>30</v>
      </c>
      <c r="B6972">
        <v>2020</v>
      </c>
      <c r="C6972" t="s">
        <v>37</v>
      </c>
      <c r="D6972" t="s">
        <v>7</v>
      </c>
      <c r="E6972" t="e">
        <f>VLOOKUP(Cpi_[[#This Row],[Attribute]],#REF!,2,FALSE)</f>
        <v>#REF!</v>
      </c>
      <c r="F6972">
        <v>137.1</v>
      </c>
      <c r="G6972">
        <f>(Cpi_[[#This Row],[Value]]-F6971)/F6971</f>
        <v>-0.11889460154241646</v>
      </c>
      <c r="H6972" t="e" cm="1" vm="1">
        <f t="array" aca="1" ref="H6972" ca="1">VLOOKUP(Cpi_[[#This Row],[Year]:[Month]],crudeoil[],3,FALSE)</f>
        <v>#VALUE!</v>
      </c>
    </row>
    <row r="6973" spans="1:8" hidden="1" x14ac:dyDescent="0.3">
      <c r="A6973" t="s">
        <v>30</v>
      </c>
      <c r="B6973">
        <v>2020</v>
      </c>
      <c r="C6973" t="s">
        <v>37</v>
      </c>
      <c r="D6973" t="s">
        <v>8</v>
      </c>
      <c r="E6973" t="e">
        <f>VLOOKUP(Cpi_[[#This Row],[Attribute]],#REF!,2,FALSE)</f>
        <v>#REF!</v>
      </c>
      <c r="F6973">
        <v>147.30000000000001</v>
      </c>
      <c r="G6973">
        <f>(Cpi_[[#This Row],[Value]]-F6972)/F6972</f>
        <v>7.4398249452954174E-2</v>
      </c>
      <c r="H6973" t="e" cm="1" vm="1">
        <f t="array" aca="1" ref="H6973" ca="1">VLOOKUP(Cpi_[[#This Row],[Year]:[Month]],crudeoil[],3,FALSE)</f>
        <v>#VALUE!</v>
      </c>
    </row>
    <row r="6974" spans="1:8" hidden="1" x14ac:dyDescent="0.3">
      <c r="A6974" t="s">
        <v>30</v>
      </c>
      <c r="B6974">
        <v>2020</v>
      </c>
      <c r="C6974" t="s">
        <v>37</v>
      </c>
      <c r="D6974" t="s">
        <v>9</v>
      </c>
      <c r="E6974" t="e">
        <f>VLOOKUP(Cpi_[[#This Row],[Attribute]],#REF!,2,FALSE)</f>
        <v>#REF!</v>
      </c>
      <c r="F6974">
        <v>162.69999999999999</v>
      </c>
      <c r="G6974">
        <f>(Cpi_[[#This Row],[Value]]-F6973)/F6973</f>
        <v>0.10454854039375408</v>
      </c>
      <c r="H6974" t="e" cm="1" vm="1">
        <f t="array" aca="1" ref="H6974" ca="1">VLOOKUP(Cpi_[[#This Row],[Year]:[Month]],crudeoil[],3,FALSE)</f>
        <v>#VALUE!</v>
      </c>
    </row>
    <row r="6975" spans="1:8" hidden="1" x14ac:dyDescent="0.3">
      <c r="A6975" t="s">
        <v>30</v>
      </c>
      <c r="B6975">
        <v>2020</v>
      </c>
      <c r="C6975" t="s">
        <v>37</v>
      </c>
      <c r="D6975" t="s">
        <v>10</v>
      </c>
      <c r="E6975" t="e">
        <f>VLOOKUP(Cpi_[[#This Row],[Attribute]],#REF!,2,FALSE)</f>
        <v>#REF!</v>
      </c>
      <c r="F6975">
        <v>150.19999999999999</v>
      </c>
      <c r="G6975">
        <f>(Cpi_[[#This Row],[Value]]-F6974)/F6974</f>
        <v>-7.6828518746158578E-2</v>
      </c>
      <c r="H6975" t="e" cm="1" vm="1">
        <f t="array" aca="1" ref="H6975" ca="1">VLOOKUP(Cpi_[[#This Row],[Year]:[Month]],crudeoil[],3,FALSE)</f>
        <v>#VALUE!</v>
      </c>
    </row>
    <row r="6976" spans="1:8" hidden="1" x14ac:dyDescent="0.3">
      <c r="A6976" t="s">
        <v>30</v>
      </c>
      <c r="B6976">
        <v>2020</v>
      </c>
      <c r="C6976" t="s">
        <v>37</v>
      </c>
      <c r="D6976" t="s">
        <v>11</v>
      </c>
      <c r="E6976" t="e">
        <f>VLOOKUP(Cpi_[[#This Row],[Attribute]],#REF!,2,FALSE)</f>
        <v>#REF!</v>
      </c>
      <c r="F6976">
        <v>119.8</v>
      </c>
      <c r="G6976">
        <f>(Cpi_[[#This Row],[Value]]-F6975)/F6975</f>
        <v>-0.2023968042609853</v>
      </c>
      <c r="H6976" t="e" cm="1" vm="1">
        <f t="array" aca="1" ref="H6976" ca="1">VLOOKUP(Cpi_[[#This Row],[Year]:[Month]],crudeoil[],3,FALSE)</f>
        <v>#VALUE!</v>
      </c>
    </row>
    <row r="6977" spans="1:8" hidden="1" x14ac:dyDescent="0.3">
      <c r="A6977" t="s">
        <v>30</v>
      </c>
      <c r="B6977">
        <v>2020</v>
      </c>
      <c r="C6977" t="s">
        <v>37</v>
      </c>
      <c r="D6977" t="s">
        <v>12</v>
      </c>
      <c r="E6977" t="e">
        <f>VLOOKUP(Cpi_[[#This Row],[Attribute]],#REF!,2,FALSE)</f>
        <v>#REF!</v>
      </c>
      <c r="F6977">
        <v>158.69999999999999</v>
      </c>
      <c r="G6977">
        <f>(Cpi_[[#This Row],[Value]]-F6976)/F6976</f>
        <v>0.3247078464106844</v>
      </c>
      <c r="H6977" t="e" cm="1" vm="1">
        <f t="array" aca="1" ref="H6977" ca="1">VLOOKUP(Cpi_[[#This Row],[Year]:[Month]],crudeoil[],3,FALSE)</f>
        <v>#VALUE!</v>
      </c>
    </row>
    <row r="6978" spans="1:8" hidden="1" x14ac:dyDescent="0.3">
      <c r="A6978" t="s">
        <v>30</v>
      </c>
      <c r="B6978">
        <v>2020</v>
      </c>
      <c r="C6978" t="s">
        <v>37</v>
      </c>
      <c r="D6978" t="s">
        <v>13</v>
      </c>
      <c r="E6978" t="e">
        <f>VLOOKUP(Cpi_[[#This Row],[Attribute]],#REF!,2,FALSE)</f>
        <v>#REF!</v>
      </c>
      <c r="F6978">
        <v>139.19999999999999</v>
      </c>
      <c r="G6978">
        <f>(Cpi_[[#This Row],[Value]]-F6977)/F6977</f>
        <v>-0.1228733459357278</v>
      </c>
      <c r="H6978" t="e" cm="1" vm="1">
        <f t="array" aca="1" ref="H6978" ca="1">VLOOKUP(Cpi_[[#This Row],[Year]:[Month]],crudeoil[],3,FALSE)</f>
        <v>#VALUE!</v>
      </c>
    </row>
    <row r="6979" spans="1:8" hidden="1" x14ac:dyDescent="0.3">
      <c r="A6979" t="s">
        <v>30</v>
      </c>
      <c r="B6979">
        <v>2020</v>
      </c>
      <c r="C6979" t="s">
        <v>37</v>
      </c>
      <c r="D6979" t="s">
        <v>14</v>
      </c>
      <c r="E6979" t="e">
        <f>VLOOKUP(Cpi_[[#This Row],[Attribute]],#REF!,2,FALSE)</f>
        <v>#REF!</v>
      </c>
      <c r="G6979">
        <f>(Cpi_[[#This Row],[Value]]-F6978)/F6978</f>
        <v>-1</v>
      </c>
      <c r="H6979" t="e" cm="1" vm="1">
        <f t="array" aca="1" ref="H6979" ca="1">VLOOKUP(Cpi_[[#This Row],[Year]:[Month]],crudeoil[],3,FALSE)</f>
        <v>#VALUE!</v>
      </c>
    </row>
    <row r="6980" spans="1:8" hidden="1" x14ac:dyDescent="0.3">
      <c r="A6980" t="s">
        <v>30</v>
      </c>
      <c r="B6980">
        <v>2020</v>
      </c>
      <c r="C6980" t="s">
        <v>37</v>
      </c>
      <c r="D6980" t="s">
        <v>15</v>
      </c>
      <c r="E6980" t="e">
        <f>VLOOKUP(Cpi_[[#This Row],[Attribute]],#REF!,2,FALSE)</f>
        <v>#REF!</v>
      </c>
      <c r="F6980">
        <v>150.1</v>
      </c>
      <c r="G6980" t="e">
        <f>(Cpi_[[#This Row],[Value]]-F6979)/F6979</f>
        <v>#DIV/0!</v>
      </c>
      <c r="H6980" t="e" cm="1" vm="1">
        <f t="array" aca="1" ref="H6980" ca="1">VLOOKUP(Cpi_[[#This Row],[Year]:[Month]],crudeoil[],3,FALSE)</f>
        <v>#VALUE!</v>
      </c>
    </row>
    <row r="6981" spans="1:8" hidden="1" x14ac:dyDescent="0.3">
      <c r="A6981" t="s">
        <v>30</v>
      </c>
      <c r="B6981">
        <v>2020</v>
      </c>
      <c r="C6981" t="s">
        <v>37</v>
      </c>
      <c r="D6981" t="s">
        <v>16</v>
      </c>
      <c r="E6981" t="e">
        <f>VLOOKUP(Cpi_[[#This Row],[Attribute]],#REF!,2,FALSE)</f>
        <v>#REF!</v>
      </c>
      <c r="G6981">
        <f>(Cpi_[[#This Row],[Value]]-F6980)/F6980</f>
        <v>-1</v>
      </c>
      <c r="H6981" t="e" cm="1" vm="1">
        <f t="array" aca="1" ref="H6981" ca="1">VLOOKUP(Cpi_[[#This Row],[Year]:[Month]],crudeoil[],3,FALSE)</f>
        <v>#VALUE!</v>
      </c>
    </row>
    <row r="6982" spans="1:8" hidden="1" x14ac:dyDescent="0.3">
      <c r="A6982" t="s">
        <v>30</v>
      </c>
      <c r="B6982">
        <v>2020</v>
      </c>
      <c r="C6982" t="s">
        <v>37</v>
      </c>
      <c r="D6982" t="s">
        <v>17</v>
      </c>
      <c r="E6982" t="e">
        <f>VLOOKUP(Cpi_[[#This Row],[Attribute]],#REF!,2,FALSE)</f>
        <v>#REF!</v>
      </c>
      <c r="G6982" t="e">
        <f>(Cpi_[[#This Row],[Value]]-F6981)/F6981</f>
        <v>#DIV/0!</v>
      </c>
      <c r="H6982" t="e" cm="1" vm="1">
        <f t="array" aca="1" ref="H6982" ca="1">VLOOKUP(Cpi_[[#This Row],[Year]:[Month]],crudeoil[],3,FALSE)</f>
        <v>#VALUE!</v>
      </c>
    </row>
    <row r="6983" spans="1:8" hidden="1" x14ac:dyDescent="0.3">
      <c r="A6983" t="s">
        <v>30</v>
      </c>
      <c r="B6983">
        <v>2020</v>
      </c>
      <c r="C6983" t="s">
        <v>37</v>
      </c>
      <c r="D6983" t="s">
        <v>18</v>
      </c>
      <c r="E6983" t="e">
        <f>VLOOKUP(Cpi_[[#This Row],[Attribute]],#REF!,2,FALSE)</f>
        <v>#REF!</v>
      </c>
      <c r="G6983" t="e">
        <f>(Cpi_[[#This Row],[Value]]-F6982)/F6982</f>
        <v>#DIV/0!</v>
      </c>
      <c r="H6983" t="e" cm="1" vm="1">
        <f t="array" aca="1" ref="H6983" ca="1">VLOOKUP(Cpi_[[#This Row],[Year]:[Month]],crudeoil[],3,FALSE)</f>
        <v>#VALUE!</v>
      </c>
    </row>
    <row r="6984" spans="1:8" hidden="1" x14ac:dyDescent="0.3">
      <c r="A6984" t="s">
        <v>30</v>
      </c>
      <c r="B6984">
        <v>2020</v>
      </c>
      <c r="C6984" t="s">
        <v>37</v>
      </c>
      <c r="D6984" t="s">
        <v>19</v>
      </c>
      <c r="E6984" t="e">
        <f>VLOOKUP(Cpi_[[#This Row],[Attribute]],#REF!,2,FALSE)</f>
        <v>#REF!</v>
      </c>
      <c r="G6984" t="e">
        <f>(Cpi_[[#This Row],[Value]]-F6983)/F6983</f>
        <v>#DIV/0!</v>
      </c>
      <c r="H6984" t="e" cm="1" vm="1">
        <f t="array" aca="1" ref="H6984" ca="1">VLOOKUP(Cpi_[[#This Row],[Year]:[Month]],crudeoil[],3,FALSE)</f>
        <v>#VALUE!</v>
      </c>
    </row>
    <row r="6985" spans="1:8" hidden="1" x14ac:dyDescent="0.3">
      <c r="A6985" t="s">
        <v>30</v>
      </c>
      <c r="B6985">
        <v>2020</v>
      </c>
      <c r="C6985" t="s">
        <v>37</v>
      </c>
      <c r="D6985" t="s">
        <v>20</v>
      </c>
      <c r="E6985" t="e">
        <f>VLOOKUP(Cpi_[[#This Row],[Attribute]],#REF!,2,FALSE)</f>
        <v>#REF!</v>
      </c>
      <c r="F6985" t="s">
        <v>32</v>
      </c>
      <c r="G6985" t="e">
        <f>(Cpi_[[#This Row],[Value]]-F6984)/F6984</f>
        <v>#VALUE!</v>
      </c>
      <c r="H6985" t="e" cm="1" vm="1">
        <f t="array" aca="1" ref="H6985" ca="1">VLOOKUP(Cpi_[[#This Row],[Year]:[Month]],crudeoil[],3,FALSE)</f>
        <v>#VALUE!</v>
      </c>
    </row>
    <row r="6986" spans="1:8" hidden="1" x14ac:dyDescent="0.3">
      <c r="A6986" t="s">
        <v>30</v>
      </c>
      <c r="B6986">
        <v>2020</v>
      </c>
      <c r="C6986" t="s">
        <v>37</v>
      </c>
      <c r="D6986" t="s">
        <v>21</v>
      </c>
      <c r="E6986" t="e">
        <f>VLOOKUP(Cpi_[[#This Row],[Attribute]],#REF!,2,FALSE)</f>
        <v>#REF!</v>
      </c>
      <c r="F6986">
        <v>148.4</v>
      </c>
      <c r="G6986" t="e">
        <f>(Cpi_[[#This Row],[Value]]-F6985)/F6985</f>
        <v>#VALUE!</v>
      </c>
      <c r="H6986" t="e" cm="1" vm="1">
        <f t="array" aca="1" ref="H6986" ca="1">VLOOKUP(Cpi_[[#This Row],[Year]:[Month]],crudeoil[],3,FALSE)</f>
        <v>#VALUE!</v>
      </c>
    </row>
    <row r="6987" spans="1:8" hidden="1" x14ac:dyDescent="0.3">
      <c r="A6987" t="s">
        <v>30</v>
      </c>
      <c r="B6987">
        <v>2020</v>
      </c>
      <c r="C6987" t="s">
        <v>37</v>
      </c>
      <c r="D6987" t="s">
        <v>22</v>
      </c>
      <c r="E6987" t="e">
        <f>VLOOKUP(Cpi_[[#This Row],[Attribute]],#REF!,2,FALSE)</f>
        <v>#REF!</v>
      </c>
      <c r="G6987">
        <f>(Cpi_[[#This Row],[Value]]-F6986)/F6986</f>
        <v>-1</v>
      </c>
      <c r="H6987" t="e" cm="1" vm="1">
        <f t="array" aca="1" ref="H6987" ca="1">VLOOKUP(Cpi_[[#This Row],[Year]:[Month]],crudeoil[],3,FALSE)</f>
        <v>#VALUE!</v>
      </c>
    </row>
    <row r="6988" spans="1:8" hidden="1" x14ac:dyDescent="0.3">
      <c r="A6988" t="s">
        <v>30</v>
      </c>
      <c r="B6988">
        <v>2020</v>
      </c>
      <c r="C6988" t="s">
        <v>37</v>
      </c>
      <c r="D6988" t="s">
        <v>23</v>
      </c>
      <c r="E6988" t="e">
        <f>VLOOKUP(Cpi_[[#This Row],[Attribute]],#REF!,2,FALSE)</f>
        <v>#REF!</v>
      </c>
      <c r="F6988">
        <v>154.30000000000001</v>
      </c>
      <c r="G6988" t="e">
        <f>(Cpi_[[#This Row],[Value]]-F6987)/F6987</f>
        <v>#DIV/0!</v>
      </c>
      <c r="H6988" t="e" cm="1" vm="1">
        <f t="array" aca="1" ref="H6988" ca="1">VLOOKUP(Cpi_[[#This Row],[Year]:[Month]],crudeoil[],3,FALSE)</f>
        <v>#VALUE!</v>
      </c>
    </row>
    <row r="6989" spans="1:8" hidden="1" x14ac:dyDescent="0.3">
      <c r="A6989" t="s">
        <v>30</v>
      </c>
      <c r="B6989">
        <v>2020</v>
      </c>
      <c r="C6989" t="s">
        <v>37</v>
      </c>
      <c r="D6989" t="s">
        <v>24</v>
      </c>
      <c r="E6989" t="e">
        <f>VLOOKUP(Cpi_[[#This Row],[Attribute]],#REF!,2,FALSE)</f>
        <v>#REF!</v>
      </c>
      <c r="G6989">
        <f>(Cpi_[[#This Row],[Value]]-F6988)/F6988</f>
        <v>-1</v>
      </c>
      <c r="H6989" t="e" cm="1" vm="1">
        <f t="array" aca="1" ref="H6989" ca="1">VLOOKUP(Cpi_[[#This Row],[Year]:[Month]],crudeoil[],3,FALSE)</f>
        <v>#VALUE!</v>
      </c>
    </row>
    <row r="6990" spans="1:8" hidden="1" x14ac:dyDescent="0.3">
      <c r="A6990" t="s">
        <v>30</v>
      </c>
      <c r="B6990">
        <v>2020</v>
      </c>
      <c r="C6990" t="s">
        <v>37</v>
      </c>
      <c r="D6990" t="s">
        <v>25</v>
      </c>
      <c r="E6990" t="e">
        <f>VLOOKUP(Cpi_[[#This Row],[Attribute]],#REF!,2,FALSE)</f>
        <v>#REF!</v>
      </c>
      <c r="G6990" t="e">
        <f>(Cpi_[[#This Row],[Value]]-F6989)/F6989</f>
        <v>#DIV/0!</v>
      </c>
      <c r="H6990" t="e" cm="1" vm="1">
        <f t="array" aca="1" ref="H6990" ca="1">VLOOKUP(Cpi_[[#This Row],[Year]:[Month]],crudeoil[],3,FALSE)</f>
        <v>#VALUE!</v>
      </c>
    </row>
    <row r="6991" spans="1:8" hidden="1" x14ac:dyDescent="0.3">
      <c r="A6991" t="s">
        <v>30</v>
      </c>
      <c r="B6991">
        <v>2020</v>
      </c>
      <c r="C6991" t="s">
        <v>37</v>
      </c>
      <c r="D6991" t="s">
        <v>26</v>
      </c>
      <c r="E6991" t="e">
        <f>VLOOKUP(Cpi_[[#This Row],[Attribute]],#REF!,2,FALSE)</f>
        <v>#REF!</v>
      </c>
      <c r="G6991" t="e">
        <f>(Cpi_[[#This Row],[Value]]-F6990)/F6990</f>
        <v>#DIV/0!</v>
      </c>
      <c r="H6991" t="e" cm="1" vm="1">
        <f t="array" aca="1" ref="H6991" ca="1">VLOOKUP(Cpi_[[#This Row],[Year]:[Month]],crudeoil[],3,FALSE)</f>
        <v>#VALUE!</v>
      </c>
    </row>
    <row r="6992" spans="1:8" hidden="1" x14ac:dyDescent="0.3">
      <c r="A6992" t="s">
        <v>30</v>
      </c>
      <c r="B6992">
        <v>2020</v>
      </c>
      <c r="C6992" t="s">
        <v>37</v>
      </c>
      <c r="D6992" t="s">
        <v>27</v>
      </c>
      <c r="E6992" t="e">
        <f>VLOOKUP(Cpi_[[#This Row],[Attribute]],#REF!,2,FALSE)</f>
        <v>#REF!</v>
      </c>
      <c r="G6992" t="e">
        <f>(Cpi_[[#This Row],[Value]]-F6991)/F6991</f>
        <v>#DIV/0!</v>
      </c>
      <c r="H6992" t="e" cm="1" vm="1">
        <f t="array" aca="1" ref="H6992" ca="1">VLOOKUP(Cpi_[[#This Row],[Year]:[Month]],crudeoil[],3,FALSE)</f>
        <v>#VALUE!</v>
      </c>
    </row>
    <row r="6993" spans="1:8" hidden="1" x14ac:dyDescent="0.3">
      <c r="A6993" t="s">
        <v>30</v>
      </c>
      <c r="B6993">
        <v>2020</v>
      </c>
      <c r="C6993" t="s">
        <v>37</v>
      </c>
      <c r="D6993" t="s">
        <v>28</v>
      </c>
      <c r="E6993" t="e">
        <f>VLOOKUP(Cpi_[[#This Row],[Attribute]],#REF!,2,FALSE)</f>
        <v>#REF!</v>
      </c>
      <c r="G6993" t="e">
        <f>(Cpi_[[#This Row],[Value]]-F6992)/F6992</f>
        <v>#DIV/0!</v>
      </c>
      <c r="H6993" t="e" cm="1" vm="1">
        <f t="array" aca="1" ref="H6993" ca="1">VLOOKUP(Cpi_[[#This Row],[Year]:[Month]],crudeoil[],3,FALSE)</f>
        <v>#VALUE!</v>
      </c>
    </row>
    <row r="6994" spans="1:8" hidden="1" x14ac:dyDescent="0.3">
      <c r="A6994" t="s">
        <v>30</v>
      </c>
      <c r="B6994">
        <v>2020</v>
      </c>
      <c r="C6994" t="s">
        <v>37</v>
      </c>
      <c r="D6994" t="s">
        <v>29</v>
      </c>
      <c r="E6994" t="e" cm="1">
        <f t="array" aca="1" ref="E6994" ca="1">VLGeneral indexGeneral indexKUP(Cpi_[[#This Row],[Attribute]],#REF!,2,FALSE)</f>
        <v>#NAME?</v>
      </c>
      <c r="G6994" t="e">
        <f>(Cpi_[[#This Row],[Value]]-F6993)/F6993</f>
        <v>#DIV/0!</v>
      </c>
      <c r="H6994" t="e" cm="1" vm="1">
        <f t="array" aca="1" ref="H6994" ca="1">VLOOKUP(Cpi_[[#This Row],[Year]:[Month]],crudeoil[],3,FALSE)</f>
        <v>#VALUE!</v>
      </c>
    </row>
    <row r="6995" spans="1:8" hidden="1" x14ac:dyDescent="0.3">
      <c r="A6995" t="s">
        <v>33</v>
      </c>
      <c r="B6995">
        <v>2020</v>
      </c>
      <c r="C6995" t="s">
        <v>37</v>
      </c>
      <c r="D6995" t="s">
        <v>3</v>
      </c>
      <c r="E6995" t="e">
        <f>VLOOKUP(Cpi_[[#This Row],[Attribute]],#REF!,2,FALSE)</f>
        <v>#REF!</v>
      </c>
      <c r="F6995">
        <v>151.80000000000001</v>
      </c>
      <c r="G6995" t="e">
        <f>(Cpi_[[#This Row],[Value]]-F6994)/F6994</f>
        <v>#DIV/0!</v>
      </c>
      <c r="H6995" t="e" cm="1" vm="1">
        <f t="array" aca="1" ref="H6995" ca="1">VLOOKUP(Cpi_[[#This Row],[Year]:[Month]],crudeoil[],3,FALSE)</f>
        <v>#VALUE!</v>
      </c>
    </row>
    <row r="6996" spans="1:8" hidden="1" x14ac:dyDescent="0.3">
      <c r="A6996" t="s">
        <v>33</v>
      </c>
      <c r="B6996">
        <v>2020</v>
      </c>
      <c r="C6996" t="s">
        <v>37</v>
      </c>
      <c r="D6996" t="s">
        <v>4</v>
      </c>
      <c r="E6996" t="e">
        <f>VLOOKUP(Cpi_[[#This Row],[Attribute]],#REF!,2,FALSE)</f>
        <v>#REF!</v>
      </c>
      <c r="G6996">
        <f>(Cpi_[[#This Row],[Value]]-F6995)/F6995</f>
        <v>-1</v>
      </c>
      <c r="H6996" t="e" cm="1" vm="1">
        <f t="array" aca="1" ref="H6996" ca="1">VLOOKUP(Cpi_[[#This Row],[Year]:[Month]],crudeoil[],3,FALSE)</f>
        <v>#VALUE!</v>
      </c>
    </row>
    <row r="6997" spans="1:8" hidden="1" x14ac:dyDescent="0.3">
      <c r="A6997" t="s">
        <v>33</v>
      </c>
      <c r="B6997">
        <v>2020</v>
      </c>
      <c r="C6997" t="s">
        <v>37</v>
      </c>
      <c r="D6997" t="s">
        <v>5</v>
      </c>
      <c r="E6997" t="e">
        <f>VLOOKUP(Cpi_[[#This Row],[Attribute]],#REF!,2,FALSE)</f>
        <v>#REF!</v>
      </c>
      <c r="F6997">
        <v>151.9</v>
      </c>
      <c r="G6997" t="e">
        <f>(Cpi_[[#This Row],[Value]]-F6996)/F6996</f>
        <v>#DIV/0!</v>
      </c>
      <c r="H6997" t="e" cm="1" vm="1">
        <f t="array" aca="1" ref="H6997" ca="1">VLOOKUP(Cpi_[[#This Row],[Year]:[Month]],crudeoil[],3,FALSE)</f>
        <v>#VALUE!</v>
      </c>
    </row>
    <row r="6998" spans="1:8" hidden="1" x14ac:dyDescent="0.3">
      <c r="A6998" t="s">
        <v>33</v>
      </c>
      <c r="B6998">
        <v>2020</v>
      </c>
      <c r="C6998" t="s">
        <v>37</v>
      </c>
      <c r="D6998" t="s">
        <v>6</v>
      </c>
      <c r="E6998" t="e">
        <f>VLOOKUP(Cpi_[[#This Row],[Attribute]],#REF!,2,FALSE)</f>
        <v>#REF!</v>
      </c>
      <c r="F6998">
        <v>155.5</v>
      </c>
      <c r="G6998">
        <f>(Cpi_[[#This Row],[Value]]-F6997)/F6997</f>
        <v>2.3699802501645783E-2</v>
      </c>
      <c r="H6998" t="e" cm="1" vm="1">
        <f t="array" aca="1" ref="H6998" ca="1">VLOOKUP(Cpi_[[#This Row],[Year]:[Month]],crudeoil[],3,FALSE)</f>
        <v>#VALUE!</v>
      </c>
    </row>
    <row r="6999" spans="1:8" hidden="1" x14ac:dyDescent="0.3">
      <c r="A6999" t="s">
        <v>33</v>
      </c>
      <c r="B6999">
        <v>2020</v>
      </c>
      <c r="C6999" t="s">
        <v>37</v>
      </c>
      <c r="D6999" t="s">
        <v>7</v>
      </c>
      <c r="E6999" t="e">
        <f>VLOOKUP(Cpi_[[#This Row],[Attribute]],#REF!,2,FALSE)</f>
        <v>#REF!</v>
      </c>
      <c r="F6999">
        <v>131.6</v>
      </c>
      <c r="G6999">
        <f>(Cpi_[[#This Row],[Value]]-F6998)/F6998</f>
        <v>-0.15369774919614151</v>
      </c>
      <c r="H6999" t="e" cm="1" vm="1">
        <f t="array" aca="1" ref="H6999" ca="1">VLOOKUP(Cpi_[[#This Row],[Year]:[Month]],crudeoil[],3,FALSE)</f>
        <v>#VALUE!</v>
      </c>
    </row>
    <row r="7000" spans="1:8" hidden="1" x14ac:dyDescent="0.3">
      <c r="A7000" t="s">
        <v>33</v>
      </c>
      <c r="B7000">
        <v>2020</v>
      </c>
      <c r="C7000" t="s">
        <v>37</v>
      </c>
      <c r="D7000" t="s">
        <v>8</v>
      </c>
      <c r="E7000" t="e">
        <f>VLOOKUP(Cpi_[[#This Row],[Attribute]],#REF!,2,FALSE)</f>
        <v>#REF!</v>
      </c>
      <c r="F7000">
        <v>152.9</v>
      </c>
      <c r="G7000">
        <f>(Cpi_[[#This Row],[Value]]-F6999)/F6999</f>
        <v>0.16185410334346514</v>
      </c>
      <c r="H7000" t="e" cm="1" vm="1">
        <f t="array" aca="1" ref="H7000" ca="1">VLOOKUP(Cpi_[[#This Row],[Year]:[Month]],crudeoil[],3,FALSE)</f>
        <v>#VALUE!</v>
      </c>
    </row>
    <row r="7001" spans="1:8" hidden="1" x14ac:dyDescent="0.3">
      <c r="A7001" t="s">
        <v>33</v>
      </c>
      <c r="B7001">
        <v>2020</v>
      </c>
      <c r="C7001" t="s">
        <v>37</v>
      </c>
      <c r="D7001" t="s">
        <v>9</v>
      </c>
      <c r="E7001" t="e">
        <f>VLOOKUP(Cpi_[[#This Row],[Attribute]],#REF!,2,FALSE)</f>
        <v>#REF!</v>
      </c>
      <c r="F7001">
        <v>180</v>
      </c>
      <c r="G7001">
        <f>(Cpi_[[#This Row],[Value]]-F7000)/F7000</f>
        <v>0.17724002616088944</v>
      </c>
      <c r="H7001" t="e" cm="1" vm="1">
        <f t="array" aca="1" ref="H7001" ca="1">VLOOKUP(Cpi_[[#This Row],[Year]:[Month]],crudeoil[],3,FALSE)</f>
        <v>#VALUE!</v>
      </c>
    </row>
    <row r="7002" spans="1:8" hidden="1" x14ac:dyDescent="0.3">
      <c r="A7002" t="s">
        <v>33</v>
      </c>
      <c r="B7002">
        <v>2020</v>
      </c>
      <c r="C7002" t="s">
        <v>37</v>
      </c>
      <c r="D7002" t="s">
        <v>10</v>
      </c>
      <c r="E7002" t="e">
        <f>VLOOKUP(Cpi_[[#This Row],[Attribute]],#REF!,2,FALSE)</f>
        <v>#REF!</v>
      </c>
      <c r="F7002">
        <v>150.80000000000001</v>
      </c>
      <c r="G7002">
        <f>(Cpi_[[#This Row],[Value]]-F7001)/F7001</f>
        <v>-0.16222222222222216</v>
      </c>
      <c r="H7002" t="e" cm="1" vm="1">
        <f t="array" aca="1" ref="H7002" ca="1">VLOOKUP(Cpi_[[#This Row],[Year]:[Month]],crudeoil[],3,FALSE)</f>
        <v>#VALUE!</v>
      </c>
    </row>
    <row r="7003" spans="1:8" hidden="1" x14ac:dyDescent="0.3">
      <c r="A7003" t="s">
        <v>33</v>
      </c>
      <c r="B7003">
        <v>2020</v>
      </c>
      <c r="C7003" t="s">
        <v>37</v>
      </c>
      <c r="D7003" t="s">
        <v>11</v>
      </c>
      <c r="E7003" t="e">
        <f>VLOOKUP(Cpi_[[#This Row],[Attribute]],#REF!,2,FALSE)</f>
        <v>#REF!</v>
      </c>
      <c r="F7003">
        <v>121.2</v>
      </c>
      <c r="G7003">
        <f>(Cpi_[[#This Row],[Value]]-F7002)/F7002</f>
        <v>-0.19628647214854117</v>
      </c>
      <c r="H7003" t="e" cm="1" vm="1">
        <f t="array" aca="1" ref="H7003" ca="1">VLOOKUP(Cpi_[[#This Row],[Year]:[Month]],crudeoil[],3,FALSE)</f>
        <v>#VALUE!</v>
      </c>
    </row>
    <row r="7004" spans="1:8" hidden="1" x14ac:dyDescent="0.3">
      <c r="A7004" t="s">
        <v>33</v>
      </c>
      <c r="B7004">
        <v>2020</v>
      </c>
      <c r="C7004" t="s">
        <v>37</v>
      </c>
      <c r="D7004" t="s">
        <v>12</v>
      </c>
      <c r="E7004" t="e">
        <f>VLOOKUP(Cpi_[[#This Row],[Attribute]],#REF!,2,FALSE)</f>
        <v>#REF!</v>
      </c>
      <c r="F7004">
        <v>154</v>
      </c>
      <c r="G7004">
        <f>(Cpi_[[#This Row],[Value]]-F7003)/F7003</f>
        <v>0.27062706270627057</v>
      </c>
      <c r="H7004" t="e" cm="1" vm="1">
        <f t="array" aca="1" ref="H7004" ca="1">VLOOKUP(Cpi_[[#This Row],[Year]:[Month]],crudeoil[],3,FALSE)</f>
        <v>#VALUE!</v>
      </c>
    </row>
    <row r="7005" spans="1:8" hidden="1" x14ac:dyDescent="0.3">
      <c r="A7005" t="s">
        <v>33</v>
      </c>
      <c r="B7005">
        <v>2020</v>
      </c>
      <c r="C7005" t="s">
        <v>37</v>
      </c>
      <c r="D7005" t="s">
        <v>13</v>
      </c>
      <c r="E7005" t="e">
        <f>VLOOKUP(Cpi_[[#This Row],[Attribute]],#REF!,2,FALSE)</f>
        <v>#REF!</v>
      </c>
      <c r="F7005">
        <v>133.5</v>
      </c>
      <c r="G7005">
        <f>(Cpi_[[#This Row],[Value]]-F7004)/F7004</f>
        <v>-0.13311688311688311</v>
      </c>
      <c r="H7005" t="e" cm="1" vm="1">
        <f t="array" aca="1" ref="H7005" ca="1">VLOOKUP(Cpi_[[#This Row],[Year]:[Month]],crudeoil[],3,FALSE)</f>
        <v>#VALUE!</v>
      </c>
    </row>
    <row r="7006" spans="1:8" hidden="1" x14ac:dyDescent="0.3">
      <c r="A7006" t="s">
        <v>33</v>
      </c>
      <c r="B7006">
        <v>2020</v>
      </c>
      <c r="C7006" t="s">
        <v>37</v>
      </c>
      <c r="D7006" t="s">
        <v>14</v>
      </c>
      <c r="E7006" t="e">
        <f>VLOOKUP(Cpi_[[#This Row],[Attribute]],#REF!,2,FALSE)</f>
        <v>#REF!</v>
      </c>
      <c r="G7006">
        <f>(Cpi_[[#This Row],[Value]]-F7005)/F7005</f>
        <v>-1</v>
      </c>
      <c r="H7006" t="e" cm="1" vm="1">
        <f t="array" aca="1" ref="H7006" ca="1">VLOOKUP(Cpi_[[#This Row],[Year]:[Month]],crudeoil[],3,FALSE)</f>
        <v>#VALUE!</v>
      </c>
    </row>
    <row r="7007" spans="1:8" hidden="1" x14ac:dyDescent="0.3">
      <c r="A7007" t="s">
        <v>33</v>
      </c>
      <c r="B7007">
        <v>2020</v>
      </c>
      <c r="C7007" t="s">
        <v>37</v>
      </c>
      <c r="D7007" t="s">
        <v>15</v>
      </c>
      <c r="E7007" t="e">
        <f>VLOOKUP(Cpi_[[#This Row],[Attribute]],#REF!,2,FALSE)</f>
        <v>#REF!</v>
      </c>
      <c r="F7007">
        <v>153.5</v>
      </c>
      <c r="G7007" t="e">
        <f>(Cpi_[[#This Row],[Value]]-F7006)/F7006</f>
        <v>#DIV/0!</v>
      </c>
      <c r="H7007" t="e" cm="1" vm="1">
        <f t="array" aca="1" ref="H7007" ca="1">VLOOKUP(Cpi_[[#This Row],[Year]:[Month]],crudeoil[],3,FALSE)</f>
        <v>#VALUE!</v>
      </c>
    </row>
    <row r="7008" spans="1:8" hidden="1" x14ac:dyDescent="0.3">
      <c r="A7008" t="s">
        <v>33</v>
      </c>
      <c r="B7008">
        <v>2020</v>
      </c>
      <c r="C7008" t="s">
        <v>37</v>
      </c>
      <c r="D7008" t="s">
        <v>16</v>
      </c>
      <c r="E7008" t="e">
        <f>VLOOKUP(Cpi_[[#This Row],[Attribute]],#REF!,2,FALSE)</f>
        <v>#REF!</v>
      </c>
      <c r="G7008">
        <f>(Cpi_[[#This Row],[Value]]-F7007)/F7007</f>
        <v>-1</v>
      </c>
      <c r="H7008" t="e" cm="1" vm="1">
        <f t="array" aca="1" ref="H7008" ca="1">VLOOKUP(Cpi_[[#This Row],[Year]:[Month]],crudeoil[],3,FALSE)</f>
        <v>#VALUE!</v>
      </c>
    </row>
    <row r="7009" spans="1:8" hidden="1" x14ac:dyDescent="0.3">
      <c r="A7009" t="s">
        <v>33</v>
      </c>
      <c r="B7009">
        <v>2020</v>
      </c>
      <c r="C7009" t="s">
        <v>37</v>
      </c>
      <c r="D7009" t="s">
        <v>17</v>
      </c>
      <c r="E7009" t="e">
        <f>VLOOKUP(Cpi_[[#This Row],[Attribute]],#REF!,2,FALSE)</f>
        <v>#REF!</v>
      </c>
      <c r="G7009" t="e">
        <f>(Cpi_[[#This Row],[Value]]-F7008)/F7008</f>
        <v>#DIV/0!</v>
      </c>
      <c r="H7009" t="e" cm="1" vm="1">
        <f t="array" aca="1" ref="H7009" ca="1">VLOOKUP(Cpi_[[#This Row],[Year]:[Month]],crudeoil[],3,FALSE)</f>
        <v>#VALUE!</v>
      </c>
    </row>
    <row r="7010" spans="1:8" hidden="1" x14ac:dyDescent="0.3">
      <c r="A7010" t="s">
        <v>33</v>
      </c>
      <c r="B7010">
        <v>2020</v>
      </c>
      <c r="C7010" t="s">
        <v>37</v>
      </c>
      <c r="D7010" t="s">
        <v>18</v>
      </c>
      <c r="E7010" t="e">
        <f>VLOOKUP(Cpi_[[#This Row],[Attribute]],#REF!,2,FALSE)</f>
        <v>#REF!</v>
      </c>
      <c r="G7010" t="e">
        <f>(Cpi_[[#This Row],[Value]]-F7009)/F7009</f>
        <v>#DIV/0!</v>
      </c>
      <c r="H7010" t="e" cm="1" vm="1">
        <f t="array" aca="1" ref="H7010" ca="1">VLOOKUP(Cpi_[[#This Row],[Year]:[Month]],crudeoil[],3,FALSE)</f>
        <v>#VALUE!</v>
      </c>
    </row>
    <row r="7011" spans="1:8" hidden="1" x14ac:dyDescent="0.3">
      <c r="A7011" t="s">
        <v>33</v>
      </c>
      <c r="B7011">
        <v>2020</v>
      </c>
      <c r="C7011" t="s">
        <v>37</v>
      </c>
      <c r="D7011" t="s">
        <v>19</v>
      </c>
      <c r="E7011" t="e">
        <f>VLOOKUP(Cpi_[[#This Row],[Attribute]],#REF!,2,FALSE)</f>
        <v>#REF!</v>
      </c>
      <c r="G7011" t="e">
        <f>(Cpi_[[#This Row],[Value]]-F7010)/F7010</f>
        <v>#DIV/0!</v>
      </c>
      <c r="H7011" t="e" cm="1" vm="1">
        <f t="array" aca="1" ref="H7011" ca="1">VLOOKUP(Cpi_[[#This Row],[Year]:[Month]],crudeoil[],3,FALSE)</f>
        <v>#VALUE!</v>
      </c>
    </row>
    <row r="7012" spans="1:8" hidden="1" x14ac:dyDescent="0.3">
      <c r="A7012" t="s">
        <v>33</v>
      </c>
      <c r="B7012">
        <v>2020</v>
      </c>
      <c r="C7012" t="s">
        <v>37</v>
      </c>
      <c r="D7012" t="s">
        <v>20</v>
      </c>
      <c r="E7012" t="e">
        <f>VLOOKUP(Cpi_[[#This Row],[Attribute]],#REF!,2,FALSE)</f>
        <v>#REF!</v>
      </c>
      <c r="F7012">
        <v>155.6</v>
      </c>
      <c r="G7012" t="e">
        <f>(Cpi_[[#This Row],[Value]]-F7011)/F7011</f>
        <v>#DIV/0!</v>
      </c>
      <c r="H7012" t="e" cm="1" vm="1">
        <f t="array" aca="1" ref="H7012" ca="1">VLOOKUP(Cpi_[[#This Row],[Year]:[Month]],crudeoil[],3,FALSE)</f>
        <v>#VALUE!</v>
      </c>
    </row>
    <row r="7013" spans="1:8" hidden="1" x14ac:dyDescent="0.3">
      <c r="A7013" t="s">
        <v>33</v>
      </c>
      <c r="B7013">
        <v>2020</v>
      </c>
      <c r="C7013" t="s">
        <v>37</v>
      </c>
      <c r="D7013" t="s">
        <v>21</v>
      </c>
      <c r="E7013" t="e">
        <f>VLOOKUP(Cpi_[[#This Row],[Attribute]],#REF!,2,FALSE)</f>
        <v>#REF!</v>
      </c>
      <c r="F7013">
        <v>137.1</v>
      </c>
      <c r="G7013">
        <f>(Cpi_[[#This Row],[Value]]-F7012)/F7012</f>
        <v>-0.11889460154241646</v>
      </c>
      <c r="H7013" t="e" cm="1" vm="1">
        <f t="array" aca="1" ref="H7013" ca="1">VLOOKUP(Cpi_[[#This Row],[Year]:[Month]],crudeoil[],3,FALSE)</f>
        <v>#VALUE!</v>
      </c>
    </row>
    <row r="7014" spans="1:8" hidden="1" x14ac:dyDescent="0.3">
      <c r="A7014" t="s">
        <v>33</v>
      </c>
      <c r="B7014">
        <v>2020</v>
      </c>
      <c r="C7014" t="s">
        <v>37</v>
      </c>
      <c r="D7014" t="s">
        <v>22</v>
      </c>
      <c r="E7014" t="e">
        <f>VLOOKUP(Cpi_[[#This Row],[Attribute]],#REF!,2,FALSE)</f>
        <v>#REF!</v>
      </c>
      <c r="G7014">
        <f>(Cpi_[[#This Row],[Value]]-F7013)/F7013</f>
        <v>-1</v>
      </c>
      <c r="H7014" t="e" cm="1" vm="1">
        <f t="array" aca="1" ref="H7014" ca="1">VLOOKUP(Cpi_[[#This Row],[Year]:[Month]],crudeoil[],3,FALSE)</f>
        <v>#VALUE!</v>
      </c>
    </row>
    <row r="7015" spans="1:8" hidden="1" x14ac:dyDescent="0.3">
      <c r="A7015" t="s">
        <v>33</v>
      </c>
      <c r="B7015">
        <v>2020</v>
      </c>
      <c r="C7015" t="s">
        <v>37</v>
      </c>
      <c r="D7015" t="s">
        <v>23</v>
      </c>
      <c r="E7015" t="e">
        <f>VLOOKUP(Cpi_[[#This Row],[Attribute]],#REF!,2,FALSE)</f>
        <v>#REF!</v>
      </c>
      <c r="F7015">
        <v>144.80000000000001</v>
      </c>
      <c r="G7015" t="e">
        <f>(Cpi_[[#This Row],[Value]]-F7014)/F7014</f>
        <v>#DIV/0!</v>
      </c>
      <c r="H7015" t="e" cm="1" vm="1">
        <f t="array" aca="1" ref="H7015" ca="1">VLOOKUP(Cpi_[[#This Row],[Year]:[Month]],crudeoil[],3,FALSE)</f>
        <v>#VALUE!</v>
      </c>
    </row>
    <row r="7016" spans="1:8" hidden="1" x14ac:dyDescent="0.3">
      <c r="A7016" t="s">
        <v>33</v>
      </c>
      <c r="B7016">
        <v>2020</v>
      </c>
      <c r="C7016" t="s">
        <v>37</v>
      </c>
      <c r="D7016" t="s">
        <v>24</v>
      </c>
      <c r="E7016" t="e">
        <f>VLOOKUP(Cpi_[[#This Row],[Attribute]],#REF!,2,FALSE)</f>
        <v>#REF!</v>
      </c>
      <c r="G7016">
        <f>(Cpi_[[#This Row],[Value]]-F7015)/F7015</f>
        <v>-1</v>
      </c>
      <c r="H7016" t="e" cm="1" vm="1">
        <f t="array" aca="1" ref="H7016" ca="1">VLOOKUP(Cpi_[[#This Row],[Year]:[Month]],crudeoil[],3,FALSE)</f>
        <v>#VALUE!</v>
      </c>
    </row>
    <row r="7017" spans="1:8" hidden="1" x14ac:dyDescent="0.3">
      <c r="A7017" t="s">
        <v>33</v>
      </c>
      <c r="B7017">
        <v>2020</v>
      </c>
      <c r="C7017" t="s">
        <v>37</v>
      </c>
      <c r="D7017" t="s">
        <v>25</v>
      </c>
      <c r="E7017" t="e">
        <f>VLOOKUP(Cpi_[[#This Row],[Attribute]],#REF!,2,FALSE)</f>
        <v>#REF!</v>
      </c>
      <c r="G7017" t="e">
        <f>(Cpi_[[#This Row],[Value]]-F7016)/F7016</f>
        <v>#DIV/0!</v>
      </c>
      <c r="H7017" t="e" cm="1" vm="1">
        <f t="array" aca="1" ref="H7017" ca="1">VLOOKUP(Cpi_[[#This Row],[Year]:[Month]],crudeoil[],3,FALSE)</f>
        <v>#VALUE!</v>
      </c>
    </row>
    <row r="7018" spans="1:8" hidden="1" x14ac:dyDescent="0.3">
      <c r="A7018" t="s">
        <v>33</v>
      </c>
      <c r="B7018">
        <v>2020</v>
      </c>
      <c r="C7018" t="s">
        <v>37</v>
      </c>
      <c r="D7018" t="s">
        <v>26</v>
      </c>
      <c r="E7018" t="e">
        <f>VLOOKUP(Cpi_[[#This Row],[Attribute]],#REF!,2,FALSE)</f>
        <v>#REF!</v>
      </c>
      <c r="G7018" t="e">
        <f>(Cpi_[[#This Row],[Value]]-F7017)/F7017</f>
        <v>#DIV/0!</v>
      </c>
      <c r="H7018" t="e" cm="1" vm="1">
        <f t="array" aca="1" ref="H7018" ca="1">VLOOKUP(Cpi_[[#This Row],[Year]:[Month]],crudeoil[],3,FALSE)</f>
        <v>#VALUE!</v>
      </c>
    </row>
    <row r="7019" spans="1:8" hidden="1" x14ac:dyDescent="0.3">
      <c r="A7019" t="s">
        <v>33</v>
      </c>
      <c r="B7019">
        <v>2020</v>
      </c>
      <c r="C7019" t="s">
        <v>37</v>
      </c>
      <c r="D7019" t="s">
        <v>27</v>
      </c>
      <c r="E7019" t="e">
        <f>VLOOKUP(Cpi_[[#This Row],[Attribute]],#REF!,2,FALSE)</f>
        <v>#REF!</v>
      </c>
      <c r="G7019" t="e">
        <f>(Cpi_[[#This Row],[Value]]-F7018)/F7018</f>
        <v>#DIV/0!</v>
      </c>
      <c r="H7019" t="e" cm="1" vm="1">
        <f t="array" aca="1" ref="H7019" ca="1">VLOOKUP(Cpi_[[#This Row],[Year]:[Month]],crudeoil[],3,FALSE)</f>
        <v>#VALUE!</v>
      </c>
    </row>
    <row r="7020" spans="1:8" hidden="1" x14ac:dyDescent="0.3">
      <c r="A7020" t="s">
        <v>33</v>
      </c>
      <c r="B7020">
        <v>2020</v>
      </c>
      <c r="C7020" t="s">
        <v>37</v>
      </c>
      <c r="D7020" t="s">
        <v>28</v>
      </c>
      <c r="E7020" t="e">
        <f>VLOOKUP(Cpi_[[#This Row],[Attribute]],#REF!,2,FALSE)</f>
        <v>#REF!</v>
      </c>
      <c r="G7020" t="e">
        <f>(Cpi_[[#This Row],[Value]]-F7019)/F7019</f>
        <v>#DIV/0!</v>
      </c>
      <c r="H7020" t="e" cm="1" vm="1">
        <f t="array" aca="1" ref="H7020" ca="1">VLOOKUP(Cpi_[[#This Row],[Year]:[Month]],crudeoil[],3,FALSE)</f>
        <v>#VALUE!</v>
      </c>
    </row>
    <row r="7021" spans="1:8" hidden="1" x14ac:dyDescent="0.3">
      <c r="A7021" t="s">
        <v>33</v>
      </c>
      <c r="B7021">
        <v>2020</v>
      </c>
      <c r="C7021" t="s">
        <v>37</v>
      </c>
      <c r="D7021" t="s">
        <v>29</v>
      </c>
      <c r="E7021" t="e" cm="1">
        <f t="array" aca="1" ref="E7021" ca="1">VLGeneral indexGeneral indexKUP(Cpi_[[#This Row],[Attribute]],#REF!,2,FALSE)</f>
        <v>#NAME?</v>
      </c>
      <c r="G7021" t="e">
        <f>(Cpi_[[#This Row],[Value]]-F7020)/F7020</f>
        <v>#DIV/0!</v>
      </c>
      <c r="H7021" t="e" cm="1" vm="1">
        <f t="array" aca="1" ref="H7021" ca="1">VLOOKUP(Cpi_[[#This Row],[Year]:[Month]],crudeoil[],3,FALSE)</f>
        <v>#VALUE!</v>
      </c>
    </row>
    <row r="7022" spans="1:8" hidden="1" x14ac:dyDescent="0.3">
      <c r="A7022" t="s">
        <v>34</v>
      </c>
      <c r="B7022">
        <v>2020</v>
      </c>
      <c r="C7022" t="s">
        <v>37</v>
      </c>
      <c r="D7022" t="s">
        <v>3</v>
      </c>
      <c r="E7022" t="e">
        <f>VLOOKUP(Cpi_[[#This Row],[Attribute]],#REF!,2,FALSE)</f>
        <v>#REF!</v>
      </c>
      <c r="F7022">
        <v>148.69999999999999</v>
      </c>
      <c r="G7022" t="e">
        <f>(Cpi_[[#This Row],[Value]]-F7021)/F7021</f>
        <v>#DIV/0!</v>
      </c>
      <c r="H7022" t="e" cm="1" vm="1">
        <f t="array" aca="1" ref="H7022" ca="1">VLOOKUP(Cpi_[[#This Row],[Year]:[Month]],crudeoil[],3,FALSE)</f>
        <v>#VALUE!</v>
      </c>
    </row>
    <row r="7023" spans="1:8" hidden="1" x14ac:dyDescent="0.3">
      <c r="A7023" t="s">
        <v>34</v>
      </c>
      <c r="B7023">
        <v>2020</v>
      </c>
      <c r="C7023" t="s">
        <v>37</v>
      </c>
      <c r="D7023" t="s">
        <v>4</v>
      </c>
      <c r="E7023" t="e">
        <f>VLOOKUP(Cpi_[[#This Row],[Attribute]],#REF!,2,FALSE)</f>
        <v>#REF!</v>
      </c>
      <c r="G7023">
        <f>(Cpi_[[#This Row],[Value]]-F7022)/F7022</f>
        <v>-1</v>
      </c>
      <c r="H7023" t="e" cm="1" vm="1">
        <f t="array" aca="1" ref="H7023" ca="1">VLOOKUP(Cpi_[[#This Row],[Year]:[Month]],crudeoil[],3,FALSE)</f>
        <v>#VALUE!</v>
      </c>
    </row>
    <row r="7024" spans="1:8" hidden="1" x14ac:dyDescent="0.3">
      <c r="A7024" t="s">
        <v>34</v>
      </c>
      <c r="B7024">
        <v>2020</v>
      </c>
      <c r="C7024" t="s">
        <v>37</v>
      </c>
      <c r="D7024" t="s">
        <v>5</v>
      </c>
      <c r="E7024" t="e">
        <f>VLOOKUP(Cpi_[[#This Row],[Attribute]],#REF!,2,FALSE)</f>
        <v>#REF!</v>
      </c>
      <c r="F7024">
        <v>148.80000000000001</v>
      </c>
      <c r="G7024" t="e">
        <f>(Cpi_[[#This Row],[Value]]-F7023)/F7023</f>
        <v>#DIV/0!</v>
      </c>
      <c r="H7024" t="e" cm="1" vm="1">
        <f t="array" aca="1" ref="H7024" ca="1">VLOOKUP(Cpi_[[#This Row],[Year]:[Month]],crudeoil[],3,FALSE)</f>
        <v>#VALUE!</v>
      </c>
    </row>
    <row r="7025" spans="1:8" hidden="1" x14ac:dyDescent="0.3">
      <c r="A7025" t="s">
        <v>34</v>
      </c>
      <c r="B7025">
        <v>2020</v>
      </c>
      <c r="C7025" t="s">
        <v>37</v>
      </c>
      <c r="D7025" t="s">
        <v>6</v>
      </c>
      <c r="E7025" t="e">
        <f>VLOOKUP(Cpi_[[#This Row],[Attribute]],#REF!,2,FALSE)</f>
        <v>#REF!</v>
      </c>
      <c r="F7025">
        <v>155.6</v>
      </c>
      <c r="G7025">
        <f>(Cpi_[[#This Row],[Value]]-F7024)/F7024</f>
        <v>4.5698924731182679E-2</v>
      </c>
      <c r="H7025" t="e" cm="1" vm="1">
        <f t="array" aca="1" ref="H7025" ca="1">VLOOKUP(Cpi_[[#This Row],[Year]:[Month]],crudeoil[],3,FALSE)</f>
        <v>#VALUE!</v>
      </c>
    </row>
    <row r="7026" spans="1:8" hidden="1" x14ac:dyDescent="0.3">
      <c r="A7026" t="s">
        <v>34</v>
      </c>
      <c r="B7026">
        <v>2020</v>
      </c>
      <c r="C7026" t="s">
        <v>37</v>
      </c>
      <c r="D7026" t="s">
        <v>7</v>
      </c>
      <c r="E7026" t="e">
        <f>VLOOKUP(Cpi_[[#This Row],[Attribute]],#REF!,2,FALSE)</f>
        <v>#REF!</v>
      </c>
      <c r="F7026">
        <v>135.1</v>
      </c>
      <c r="G7026">
        <f>(Cpi_[[#This Row],[Value]]-F7025)/F7025</f>
        <v>-0.13174807197943444</v>
      </c>
      <c r="H7026" t="e" cm="1" vm="1">
        <f t="array" aca="1" ref="H7026" ca="1">VLOOKUP(Cpi_[[#This Row],[Year]:[Month]],crudeoil[],3,FALSE)</f>
        <v>#VALUE!</v>
      </c>
    </row>
    <row r="7027" spans="1:8" hidden="1" x14ac:dyDescent="0.3">
      <c r="A7027" t="s">
        <v>34</v>
      </c>
      <c r="B7027">
        <v>2020</v>
      </c>
      <c r="C7027" t="s">
        <v>37</v>
      </c>
      <c r="D7027" t="s">
        <v>8</v>
      </c>
      <c r="E7027" t="e">
        <f>VLOOKUP(Cpi_[[#This Row],[Attribute]],#REF!,2,FALSE)</f>
        <v>#REF!</v>
      </c>
      <c r="F7027">
        <v>149.9</v>
      </c>
      <c r="G7027">
        <f>(Cpi_[[#This Row],[Value]]-F7026)/F7026</f>
        <v>0.10954848260547752</v>
      </c>
      <c r="H7027" t="e" cm="1" vm="1">
        <f t="array" aca="1" ref="H7027" ca="1">VLOOKUP(Cpi_[[#This Row],[Year]:[Month]],crudeoil[],3,FALSE)</f>
        <v>#VALUE!</v>
      </c>
    </row>
    <row r="7028" spans="1:8" hidden="1" x14ac:dyDescent="0.3">
      <c r="A7028" t="s">
        <v>34</v>
      </c>
      <c r="B7028">
        <v>2020</v>
      </c>
      <c r="C7028" t="s">
        <v>37</v>
      </c>
      <c r="D7028" t="s">
        <v>9</v>
      </c>
      <c r="E7028" t="e">
        <f>VLOOKUP(Cpi_[[#This Row],[Attribute]],#REF!,2,FALSE)</f>
        <v>#REF!</v>
      </c>
      <c r="F7028">
        <v>168.6</v>
      </c>
      <c r="G7028">
        <f>(Cpi_[[#This Row],[Value]]-F7027)/F7027</f>
        <v>0.12474983322214801</v>
      </c>
      <c r="H7028" t="e" cm="1" vm="1">
        <f t="array" aca="1" ref="H7028" ca="1">VLOOKUP(Cpi_[[#This Row],[Year]:[Month]],crudeoil[],3,FALSE)</f>
        <v>#VALUE!</v>
      </c>
    </row>
    <row r="7029" spans="1:8" hidden="1" x14ac:dyDescent="0.3">
      <c r="A7029" t="s">
        <v>34</v>
      </c>
      <c r="B7029">
        <v>2020</v>
      </c>
      <c r="C7029" t="s">
        <v>37</v>
      </c>
      <c r="D7029" t="s">
        <v>10</v>
      </c>
      <c r="E7029" t="e">
        <f>VLOOKUP(Cpi_[[#This Row],[Attribute]],#REF!,2,FALSE)</f>
        <v>#REF!</v>
      </c>
      <c r="F7029">
        <v>150.4</v>
      </c>
      <c r="G7029">
        <f>(Cpi_[[#This Row],[Value]]-F7028)/F7028</f>
        <v>-0.10794780545670218</v>
      </c>
      <c r="H7029" t="e" cm="1" vm="1">
        <f t="array" aca="1" ref="H7029" ca="1">VLOOKUP(Cpi_[[#This Row],[Year]:[Month]],crudeoil[],3,FALSE)</f>
        <v>#VALUE!</v>
      </c>
    </row>
    <row r="7030" spans="1:8" hidden="1" x14ac:dyDescent="0.3">
      <c r="A7030" t="s">
        <v>34</v>
      </c>
      <c r="B7030">
        <v>2020</v>
      </c>
      <c r="C7030" t="s">
        <v>37</v>
      </c>
      <c r="D7030" t="s">
        <v>11</v>
      </c>
      <c r="E7030" t="e">
        <f>VLOOKUP(Cpi_[[#This Row],[Attribute]],#REF!,2,FALSE)</f>
        <v>#REF!</v>
      </c>
      <c r="F7030">
        <v>120.3</v>
      </c>
      <c r="G7030">
        <f>(Cpi_[[#This Row],[Value]]-F7029)/F7029</f>
        <v>-0.2001329787234043</v>
      </c>
      <c r="H7030" t="e" cm="1" vm="1">
        <f t="array" aca="1" ref="H7030" ca="1">VLOOKUP(Cpi_[[#This Row],[Year]:[Month]],crudeoil[],3,FALSE)</f>
        <v>#VALUE!</v>
      </c>
    </row>
    <row r="7031" spans="1:8" hidden="1" x14ac:dyDescent="0.3">
      <c r="A7031" t="s">
        <v>34</v>
      </c>
      <c r="B7031">
        <v>2020</v>
      </c>
      <c r="C7031" t="s">
        <v>37</v>
      </c>
      <c r="D7031" t="s">
        <v>12</v>
      </c>
      <c r="E7031" t="e">
        <f>VLOOKUP(Cpi_[[#This Row],[Attribute]],#REF!,2,FALSE)</f>
        <v>#REF!</v>
      </c>
      <c r="F7031">
        <v>157.1</v>
      </c>
      <c r="G7031">
        <f>(Cpi_[[#This Row],[Value]]-F7030)/F7030</f>
        <v>0.30590191188694926</v>
      </c>
      <c r="H7031" t="e" cm="1" vm="1">
        <f t="array" aca="1" ref="H7031" ca="1">VLOOKUP(Cpi_[[#This Row],[Year]:[Month]],crudeoil[],3,FALSE)</f>
        <v>#VALUE!</v>
      </c>
    </row>
    <row r="7032" spans="1:8" hidden="1" x14ac:dyDescent="0.3">
      <c r="A7032" t="s">
        <v>34</v>
      </c>
      <c r="B7032">
        <v>2020</v>
      </c>
      <c r="C7032" t="s">
        <v>37</v>
      </c>
      <c r="D7032" t="s">
        <v>13</v>
      </c>
      <c r="E7032" t="e">
        <f>VLOOKUP(Cpi_[[#This Row],[Attribute]],#REF!,2,FALSE)</f>
        <v>#REF!</v>
      </c>
      <c r="F7032">
        <v>136.80000000000001</v>
      </c>
      <c r="G7032">
        <f>(Cpi_[[#This Row],[Value]]-F7031)/F7031</f>
        <v>-0.12921705919796297</v>
      </c>
      <c r="H7032" t="e" cm="1" vm="1">
        <f t="array" aca="1" ref="H7032" ca="1">VLOOKUP(Cpi_[[#This Row],[Year]:[Month]],crudeoil[],3,FALSE)</f>
        <v>#VALUE!</v>
      </c>
    </row>
    <row r="7033" spans="1:8" hidden="1" x14ac:dyDescent="0.3">
      <c r="A7033" t="s">
        <v>34</v>
      </c>
      <c r="B7033">
        <v>2020</v>
      </c>
      <c r="C7033" t="s">
        <v>37</v>
      </c>
      <c r="D7033" t="s">
        <v>14</v>
      </c>
      <c r="E7033" t="e">
        <f>VLOOKUP(Cpi_[[#This Row],[Attribute]],#REF!,2,FALSE)</f>
        <v>#REF!</v>
      </c>
      <c r="G7033">
        <f>(Cpi_[[#This Row],[Value]]-F7032)/F7032</f>
        <v>-1</v>
      </c>
      <c r="H7033" t="e" cm="1" vm="1">
        <f t="array" aca="1" ref="H7033" ca="1">VLOOKUP(Cpi_[[#This Row],[Year]:[Month]],crudeoil[],3,FALSE)</f>
        <v>#VALUE!</v>
      </c>
    </row>
    <row r="7034" spans="1:8" hidden="1" x14ac:dyDescent="0.3">
      <c r="A7034" t="s">
        <v>34</v>
      </c>
      <c r="B7034">
        <v>2020</v>
      </c>
      <c r="C7034" t="s">
        <v>37</v>
      </c>
      <c r="D7034" t="s">
        <v>15</v>
      </c>
      <c r="E7034" t="e">
        <f>VLOOKUP(Cpi_[[#This Row],[Attribute]],#REF!,2,FALSE)</f>
        <v>#REF!</v>
      </c>
      <c r="F7034">
        <v>151.4</v>
      </c>
      <c r="G7034" t="e">
        <f>(Cpi_[[#This Row],[Value]]-F7033)/F7033</f>
        <v>#DIV/0!</v>
      </c>
      <c r="H7034" t="e" cm="1" vm="1">
        <f t="array" aca="1" ref="H7034" ca="1">VLOOKUP(Cpi_[[#This Row],[Year]:[Month]],crudeoil[],3,FALSE)</f>
        <v>#VALUE!</v>
      </c>
    </row>
    <row r="7035" spans="1:8" hidden="1" x14ac:dyDescent="0.3">
      <c r="A7035" t="s">
        <v>34</v>
      </c>
      <c r="B7035">
        <v>2020</v>
      </c>
      <c r="C7035" t="s">
        <v>37</v>
      </c>
      <c r="D7035" t="s">
        <v>16</v>
      </c>
      <c r="E7035" t="e">
        <f>VLOOKUP(Cpi_[[#This Row],[Attribute]],#REF!,2,FALSE)</f>
        <v>#REF!</v>
      </c>
      <c r="G7035">
        <f>(Cpi_[[#This Row],[Value]]-F7034)/F7034</f>
        <v>-1</v>
      </c>
      <c r="H7035" t="e" cm="1" vm="1">
        <f t="array" aca="1" ref="H7035" ca="1">VLOOKUP(Cpi_[[#This Row],[Year]:[Month]],crudeoil[],3,FALSE)</f>
        <v>#VALUE!</v>
      </c>
    </row>
    <row r="7036" spans="1:8" hidden="1" x14ac:dyDescent="0.3">
      <c r="A7036" t="s">
        <v>34</v>
      </c>
      <c r="B7036">
        <v>2020</v>
      </c>
      <c r="C7036" t="s">
        <v>37</v>
      </c>
      <c r="D7036" t="s">
        <v>17</v>
      </c>
      <c r="E7036" t="e">
        <f>VLOOKUP(Cpi_[[#This Row],[Attribute]],#REF!,2,FALSE)</f>
        <v>#REF!</v>
      </c>
      <c r="G7036" t="e">
        <f>(Cpi_[[#This Row],[Value]]-F7035)/F7035</f>
        <v>#DIV/0!</v>
      </c>
      <c r="H7036" t="e" cm="1" vm="1">
        <f t="array" aca="1" ref="H7036" ca="1">VLOOKUP(Cpi_[[#This Row],[Year]:[Month]],crudeoil[],3,FALSE)</f>
        <v>#VALUE!</v>
      </c>
    </row>
    <row r="7037" spans="1:8" hidden="1" x14ac:dyDescent="0.3">
      <c r="A7037" t="s">
        <v>34</v>
      </c>
      <c r="B7037">
        <v>2020</v>
      </c>
      <c r="C7037" t="s">
        <v>37</v>
      </c>
      <c r="D7037" t="s">
        <v>18</v>
      </c>
      <c r="E7037" t="e">
        <f>VLOOKUP(Cpi_[[#This Row],[Attribute]],#REF!,2,FALSE)</f>
        <v>#REF!</v>
      </c>
      <c r="G7037" t="e">
        <f>(Cpi_[[#This Row],[Value]]-F7036)/F7036</f>
        <v>#DIV/0!</v>
      </c>
      <c r="H7037" t="e" cm="1" vm="1">
        <f t="array" aca="1" ref="H7037" ca="1">VLOOKUP(Cpi_[[#This Row],[Year]:[Month]],crudeoil[],3,FALSE)</f>
        <v>#VALUE!</v>
      </c>
    </row>
    <row r="7038" spans="1:8" hidden="1" x14ac:dyDescent="0.3">
      <c r="A7038" t="s">
        <v>34</v>
      </c>
      <c r="B7038">
        <v>2020</v>
      </c>
      <c r="C7038" t="s">
        <v>37</v>
      </c>
      <c r="D7038" t="s">
        <v>19</v>
      </c>
      <c r="E7038" t="e">
        <f>VLOOKUP(Cpi_[[#This Row],[Attribute]],#REF!,2,FALSE)</f>
        <v>#REF!</v>
      </c>
      <c r="G7038" t="e">
        <f>(Cpi_[[#This Row],[Value]]-F7037)/F7037</f>
        <v>#DIV/0!</v>
      </c>
      <c r="H7038" t="e" cm="1" vm="1">
        <f t="array" aca="1" ref="H7038" ca="1">VLOOKUP(Cpi_[[#This Row],[Year]:[Month]],crudeoil[],3,FALSE)</f>
        <v>#VALUE!</v>
      </c>
    </row>
    <row r="7039" spans="1:8" hidden="1" x14ac:dyDescent="0.3">
      <c r="A7039" t="s">
        <v>34</v>
      </c>
      <c r="B7039">
        <v>2020</v>
      </c>
      <c r="C7039" t="s">
        <v>37</v>
      </c>
      <c r="D7039" t="s">
        <v>20</v>
      </c>
      <c r="E7039" t="e">
        <f>VLOOKUP(Cpi_[[#This Row],[Attribute]],#REF!,2,FALSE)</f>
        <v>#REF!</v>
      </c>
      <c r="F7039">
        <v>155.6</v>
      </c>
      <c r="G7039" t="e">
        <f>(Cpi_[[#This Row],[Value]]-F7038)/F7038</f>
        <v>#DIV/0!</v>
      </c>
      <c r="H7039" t="e" cm="1" vm="1">
        <f t="array" aca="1" ref="H7039" ca="1">VLOOKUP(Cpi_[[#This Row],[Year]:[Month]],crudeoil[],3,FALSE)</f>
        <v>#VALUE!</v>
      </c>
    </row>
    <row r="7040" spans="1:8" hidden="1" x14ac:dyDescent="0.3">
      <c r="A7040" t="s">
        <v>34</v>
      </c>
      <c r="B7040">
        <v>2020</v>
      </c>
      <c r="C7040" t="s">
        <v>37</v>
      </c>
      <c r="D7040" t="s">
        <v>21</v>
      </c>
      <c r="E7040" t="e">
        <f>VLOOKUP(Cpi_[[#This Row],[Attribute]],#REF!,2,FALSE)</f>
        <v>#REF!</v>
      </c>
      <c r="F7040">
        <v>144.1</v>
      </c>
      <c r="G7040">
        <f>(Cpi_[[#This Row],[Value]]-F7039)/F7039</f>
        <v>-7.3907455012853479E-2</v>
      </c>
      <c r="H7040" t="e" cm="1" vm="1">
        <f t="array" aca="1" ref="H7040" ca="1">VLOOKUP(Cpi_[[#This Row],[Year]:[Month]],crudeoil[],3,FALSE)</f>
        <v>#VALUE!</v>
      </c>
    </row>
    <row r="7041" spans="1:8" hidden="1" x14ac:dyDescent="0.3">
      <c r="A7041" t="s">
        <v>34</v>
      </c>
      <c r="B7041">
        <v>2020</v>
      </c>
      <c r="C7041" t="s">
        <v>37</v>
      </c>
      <c r="D7041" t="s">
        <v>22</v>
      </c>
      <c r="E7041" t="e">
        <f>VLOOKUP(Cpi_[[#This Row],[Attribute]],#REF!,2,FALSE)</f>
        <v>#REF!</v>
      </c>
      <c r="G7041">
        <f>(Cpi_[[#This Row],[Value]]-F7040)/F7040</f>
        <v>-1</v>
      </c>
      <c r="H7041" t="e" cm="1" vm="1">
        <f t="array" aca="1" ref="H7041" ca="1">VLOOKUP(Cpi_[[#This Row],[Year]:[Month]],crudeoil[],3,FALSE)</f>
        <v>#VALUE!</v>
      </c>
    </row>
    <row r="7042" spans="1:8" hidden="1" x14ac:dyDescent="0.3">
      <c r="A7042" t="s">
        <v>34</v>
      </c>
      <c r="B7042">
        <v>2020</v>
      </c>
      <c r="C7042" t="s">
        <v>37</v>
      </c>
      <c r="D7042" t="s">
        <v>23</v>
      </c>
      <c r="E7042" t="e">
        <f>VLOOKUP(Cpi_[[#This Row],[Attribute]],#REF!,2,FALSE)</f>
        <v>#REF!</v>
      </c>
      <c r="F7042">
        <v>150.69999999999999</v>
      </c>
      <c r="G7042" t="e">
        <f>(Cpi_[[#This Row],[Value]]-F7041)/F7041</f>
        <v>#DIV/0!</v>
      </c>
      <c r="H7042" t="e" cm="1" vm="1">
        <f t="array" aca="1" ref="H7042" ca="1">VLOOKUP(Cpi_[[#This Row],[Year]:[Month]],crudeoil[],3,FALSE)</f>
        <v>#VALUE!</v>
      </c>
    </row>
    <row r="7043" spans="1:8" hidden="1" x14ac:dyDescent="0.3">
      <c r="A7043" t="s">
        <v>34</v>
      </c>
      <c r="B7043">
        <v>2020</v>
      </c>
      <c r="C7043" t="s">
        <v>37</v>
      </c>
      <c r="D7043" t="s">
        <v>24</v>
      </c>
      <c r="E7043" t="e">
        <f>VLOOKUP(Cpi_[[#This Row],[Attribute]],#REF!,2,FALSE)</f>
        <v>#REF!</v>
      </c>
      <c r="G7043">
        <f>(Cpi_[[#This Row],[Value]]-F7042)/F7042</f>
        <v>-1</v>
      </c>
      <c r="H7043" t="e" cm="1" vm="1">
        <f t="array" aca="1" ref="H7043" ca="1">VLOOKUP(Cpi_[[#This Row],[Year]:[Month]],crudeoil[],3,FALSE)</f>
        <v>#VALUE!</v>
      </c>
    </row>
    <row r="7044" spans="1:8" hidden="1" x14ac:dyDescent="0.3">
      <c r="A7044" t="s">
        <v>34</v>
      </c>
      <c r="B7044">
        <v>2020</v>
      </c>
      <c r="C7044" t="s">
        <v>37</v>
      </c>
      <c r="D7044" t="s">
        <v>25</v>
      </c>
      <c r="E7044" t="e">
        <f>VLOOKUP(Cpi_[[#This Row],[Attribute]],#REF!,2,FALSE)</f>
        <v>#REF!</v>
      </c>
      <c r="G7044" t="e">
        <f>(Cpi_[[#This Row],[Value]]-F7043)/F7043</f>
        <v>#DIV/0!</v>
      </c>
      <c r="H7044" t="e" cm="1" vm="1">
        <f t="array" aca="1" ref="H7044" ca="1">VLOOKUP(Cpi_[[#This Row],[Year]:[Month]],crudeoil[],3,FALSE)</f>
        <v>#VALUE!</v>
      </c>
    </row>
    <row r="7045" spans="1:8" hidden="1" x14ac:dyDescent="0.3">
      <c r="A7045" t="s">
        <v>34</v>
      </c>
      <c r="B7045">
        <v>2020</v>
      </c>
      <c r="C7045" t="s">
        <v>37</v>
      </c>
      <c r="D7045" t="s">
        <v>26</v>
      </c>
      <c r="E7045" t="e">
        <f>VLOOKUP(Cpi_[[#This Row],[Attribute]],#REF!,2,FALSE)</f>
        <v>#REF!</v>
      </c>
      <c r="G7045" t="e">
        <f>(Cpi_[[#This Row],[Value]]-F7044)/F7044</f>
        <v>#DIV/0!</v>
      </c>
      <c r="H7045" t="e" cm="1" vm="1">
        <f t="array" aca="1" ref="H7045" ca="1">VLOOKUP(Cpi_[[#This Row],[Year]:[Month]],crudeoil[],3,FALSE)</f>
        <v>#VALUE!</v>
      </c>
    </row>
    <row r="7046" spans="1:8" hidden="1" x14ac:dyDescent="0.3">
      <c r="A7046" t="s">
        <v>34</v>
      </c>
      <c r="B7046">
        <v>2020</v>
      </c>
      <c r="C7046" t="s">
        <v>37</v>
      </c>
      <c r="D7046" t="s">
        <v>27</v>
      </c>
      <c r="E7046" t="e">
        <f>VLOOKUP(Cpi_[[#This Row],[Attribute]],#REF!,2,FALSE)</f>
        <v>#REF!</v>
      </c>
      <c r="G7046" t="e">
        <f>(Cpi_[[#This Row],[Value]]-F7045)/F7045</f>
        <v>#DIV/0!</v>
      </c>
      <c r="H7046" t="e" cm="1" vm="1">
        <f t="array" aca="1" ref="H7046" ca="1">VLOOKUP(Cpi_[[#This Row],[Year]:[Month]],crudeoil[],3,FALSE)</f>
        <v>#VALUE!</v>
      </c>
    </row>
    <row r="7047" spans="1:8" hidden="1" x14ac:dyDescent="0.3">
      <c r="A7047" t="s">
        <v>34</v>
      </c>
      <c r="B7047">
        <v>2020</v>
      </c>
      <c r="C7047" t="s">
        <v>37</v>
      </c>
      <c r="D7047" t="s">
        <v>28</v>
      </c>
      <c r="E7047" t="e">
        <f>VLOOKUP(Cpi_[[#This Row],[Attribute]],#REF!,2,FALSE)</f>
        <v>#REF!</v>
      </c>
      <c r="G7047" t="e">
        <f>(Cpi_[[#This Row],[Value]]-F7046)/F7046</f>
        <v>#DIV/0!</v>
      </c>
      <c r="H7047" t="e" cm="1" vm="1">
        <f t="array" aca="1" ref="H7047" ca="1">VLOOKUP(Cpi_[[#This Row],[Year]:[Month]],crudeoil[],3,FALSE)</f>
        <v>#VALUE!</v>
      </c>
    </row>
    <row r="7048" spans="1:8" hidden="1" x14ac:dyDescent="0.3">
      <c r="A7048" t="s">
        <v>34</v>
      </c>
      <c r="B7048">
        <v>2020</v>
      </c>
      <c r="C7048" t="s">
        <v>37</v>
      </c>
      <c r="D7048" t="s">
        <v>29</v>
      </c>
      <c r="E7048" t="e" cm="1">
        <f t="array" aca="1" ref="E7048" ca="1">VLGeneral indexGeneral indexKUP(Cpi_[[#This Row],[Attribute]],#REF!,2,FALSE)</f>
        <v>#NAME?</v>
      </c>
      <c r="G7048" t="e">
        <f>(Cpi_[[#This Row],[Value]]-F7047)/F7047</f>
        <v>#DIV/0!</v>
      </c>
      <c r="H7048" t="e" cm="1" vm="1">
        <f t="array" aca="1" ref="H7048" ca="1">VLOOKUP(Cpi_[[#This Row],[Year]:[Month]],crudeoil[],3,FALSE)</f>
        <v>#VALUE!</v>
      </c>
    </row>
    <row r="7049" spans="1:8" hidden="1" x14ac:dyDescent="0.3">
      <c r="A7049" t="s">
        <v>30</v>
      </c>
      <c r="B7049">
        <v>2020</v>
      </c>
      <c r="C7049" t="s">
        <v>38</v>
      </c>
      <c r="D7049" t="s">
        <v>3</v>
      </c>
      <c r="E7049" t="e">
        <f>VLOOKUP(Cpi_[[#This Row],[Attribute]],#REF!,2,FALSE)</f>
        <v>#REF!</v>
      </c>
      <c r="G7049" t="e">
        <f>(Cpi_[[#This Row],[Value]]-F7048)/F7048</f>
        <v>#DIV/0!</v>
      </c>
      <c r="H7049" t="e" cm="1" vm="1">
        <f t="array" aca="1" ref="H7049" ca="1">VLOOKUP(Cpi_[[#This Row],[Year]:[Month]],crudeoil[],3,FALSE)</f>
        <v>#VALUE!</v>
      </c>
    </row>
    <row r="7050" spans="1:8" hidden="1" x14ac:dyDescent="0.3">
      <c r="A7050" t="s">
        <v>30</v>
      </c>
      <c r="B7050">
        <v>2020</v>
      </c>
      <c r="C7050" t="s">
        <v>38</v>
      </c>
      <c r="D7050" t="s">
        <v>4</v>
      </c>
      <c r="E7050" t="e">
        <f>VLOOKUP(Cpi_[[#This Row],[Attribute]],#REF!,2,FALSE)</f>
        <v>#REF!</v>
      </c>
      <c r="G7050" t="e">
        <f>(Cpi_[[#This Row],[Value]]-F7049)/F7049</f>
        <v>#DIV/0!</v>
      </c>
      <c r="H7050" t="e" cm="1" vm="1">
        <f t="array" aca="1" ref="H7050" ca="1">VLOOKUP(Cpi_[[#This Row],[Year]:[Month]],crudeoil[],3,FALSE)</f>
        <v>#VALUE!</v>
      </c>
    </row>
    <row r="7051" spans="1:8" hidden="1" x14ac:dyDescent="0.3">
      <c r="A7051" t="s">
        <v>30</v>
      </c>
      <c r="B7051">
        <v>2020</v>
      </c>
      <c r="C7051" t="s">
        <v>38</v>
      </c>
      <c r="D7051" t="s">
        <v>5</v>
      </c>
      <c r="E7051" t="e">
        <f>VLOOKUP(Cpi_[[#This Row],[Attribute]],#REF!,2,FALSE)</f>
        <v>#REF!</v>
      </c>
      <c r="G7051" t="e">
        <f>(Cpi_[[#This Row],[Value]]-F7050)/F7050</f>
        <v>#DIV/0!</v>
      </c>
      <c r="H7051" t="e" cm="1" vm="1">
        <f t="array" aca="1" ref="H7051" ca="1">VLOOKUP(Cpi_[[#This Row],[Year]:[Month]],crudeoil[],3,FALSE)</f>
        <v>#VALUE!</v>
      </c>
    </row>
    <row r="7052" spans="1:8" hidden="1" x14ac:dyDescent="0.3">
      <c r="A7052" t="s">
        <v>30</v>
      </c>
      <c r="B7052">
        <v>2020</v>
      </c>
      <c r="C7052" t="s">
        <v>38</v>
      </c>
      <c r="D7052" t="s">
        <v>6</v>
      </c>
      <c r="E7052" t="e">
        <f>VLOOKUP(Cpi_[[#This Row],[Attribute]],#REF!,2,FALSE)</f>
        <v>#REF!</v>
      </c>
      <c r="G7052" t="e">
        <f>(Cpi_[[#This Row],[Value]]-F7051)/F7051</f>
        <v>#DIV/0!</v>
      </c>
      <c r="H7052" t="e" cm="1" vm="1">
        <f t="array" aca="1" ref="H7052" ca="1">VLOOKUP(Cpi_[[#This Row],[Year]:[Month]],crudeoil[],3,FALSE)</f>
        <v>#VALUE!</v>
      </c>
    </row>
    <row r="7053" spans="1:8" hidden="1" x14ac:dyDescent="0.3">
      <c r="A7053" t="s">
        <v>30</v>
      </c>
      <c r="B7053">
        <v>2020</v>
      </c>
      <c r="C7053" t="s">
        <v>38</v>
      </c>
      <c r="D7053" t="s">
        <v>7</v>
      </c>
      <c r="E7053" t="e">
        <f>VLOOKUP(Cpi_[[#This Row],[Attribute]],#REF!,2,FALSE)</f>
        <v>#REF!</v>
      </c>
      <c r="G7053" t="e">
        <f>(Cpi_[[#This Row],[Value]]-F7052)/F7052</f>
        <v>#DIV/0!</v>
      </c>
      <c r="H7053" t="e" cm="1" vm="1">
        <f t="array" aca="1" ref="H7053" ca="1">VLOOKUP(Cpi_[[#This Row],[Year]:[Month]],crudeoil[],3,FALSE)</f>
        <v>#VALUE!</v>
      </c>
    </row>
    <row r="7054" spans="1:8" hidden="1" x14ac:dyDescent="0.3">
      <c r="A7054" t="s">
        <v>30</v>
      </c>
      <c r="B7054">
        <v>2020</v>
      </c>
      <c r="C7054" t="s">
        <v>38</v>
      </c>
      <c r="D7054" t="s">
        <v>8</v>
      </c>
      <c r="E7054" t="e">
        <f>VLOOKUP(Cpi_[[#This Row],[Attribute]],#REF!,2,FALSE)</f>
        <v>#REF!</v>
      </c>
      <c r="G7054" t="e">
        <f>(Cpi_[[#This Row],[Value]]-F7053)/F7053</f>
        <v>#DIV/0!</v>
      </c>
      <c r="H7054" t="e" cm="1" vm="1">
        <f t="array" aca="1" ref="H7054" ca="1">VLOOKUP(Cpi_[[#This Row],[Year]:[Month]],crudeoil[],3,FALSE)</f>
        <v>#VALUE!</v>
      </c>
    </row>
    <row r="7055" spans="1:8" hidden="1" x14ac:dyDescent="0.3">
      <c r="A7055" t="s">
        <v>30</v>
      </c>
      <c r="B7055">
        <v>2020</v>
      </c>
      <c r="C7055" t="s">
        <v>38</v>
      </c>
      <c r="D7055" t="s">
        <v>9</v>
      </c>
      <c r="E7055" t="e">
        <f>VLOOKUP(Cpi_[[#This Row],[Attribute]],#REF!,2,FALSE)</f>
        <v>#REF!</v>
      </c>
      <c r="G7055" t="e">
        <f>(Cpi_[[#This Row],[Value]]-F7054)/F7054</f>
        <v>#DIV/0!</v>
      </c>
      <c r="H7055" t="e" cm="1" vm="1">
        <f t="array" aca="1" ref="H7055" ca="1">VLOOKUP(Cpi_[[#This Row],[Year]:[Month]],crudeoil[],3,FALSE)</f>
        <v>#VALUE!</v>
      </c>
    </row>
    <row r="7056" spans="1:8" hidden="1" x14ac:dyDescent="0.3">
      <c r="A7056" t="s">
        <v>30</v>
      </c>
      <c r="B7056">
        <v>2020</v>
      </c>
      <c r="C7056" t="s">
        <v>38</v>
      </c>
      <c r="D7056" t="s">
        <v>10</v>
      </c>
      <c r="E7056" t="e">
        <f>VLOOKUP(Cpi_[[#This Row],[Attribute]],#REF!,2,FALSE)</f>
        <v>#REF!</v>
      </c>
      <c r="G7056" t="e">
        <f>(Cpi_[[#This Row],[Value]]-F7055)/F7055</f>
        <v>#DIV/0!</v>
      </c>
      <c r="H7056" t="e" cm="1" vm="1">
        <f t="array" aca="1" ref="H7056" ca="1">VLOOKUP(Cpi_[[#This Row],[Year]:[Month]],crudeoil[],3,FALSE)</f>
        <v>#VALUE!</v>
      </c>
    </row>
    <row r="7057" spans="1:8" hidden="1" x14ac:dyDescent="0.3">
      <c r="A7057" t="s">
        <v>30</v>
      </c>
      <c r="B7057">
        <v>2020</v>
      </c>
      <c r="C7057" t="s">
        <v>38</v>
      </c>
      <c r="D7057" t="s">
        <v>11</v>
      </c>
      <c r="E7057" t="e">
        <f>VLOOKUP(Cpi_[[#This Row],[Attribute]],#REF!,2,FALSE)</f>
        <v>#REF!</v>
      </c>
      <c r="G7057" t="e">
        <f>(Cpi_[[#This Row],[Value]]-F7056)/F7056</f>
        <v>#DIV/0!</v>
      </c>
      <c r="H7057" t="e" cm="1" vm="1">
        <f t="array" aca="1" ref="H7057" ca="1">VLOOKUP(Cpi_[[#This Row],[Year]:[Month]],crudeoil[],3,FALSE)</f>
        <v>#VALUE!</v>
      </c>
    </row>
    <row r="7058" spans="1:8" hidden="1" x14ac:dyDescent="0.3">
      <c r="A7058" t="s">
        <v>30</v>
      </c>
      <c r="B7058">
        <v>2020</v>
      </c>
      <c r="C7058" t="s">
        <v>38</v>
      </c>
      <c r="D7058" t="s">
        <v>12</v>
      </c>
      <c r="E7058" t="e">
        <f>VLOOKUP(Cpi_[[#This Row],[Attribute]],#REF!,2,FALSE)</f>
        <v>#REF!</v>
      </c>
      <c r="G7058" t="e">
        <f>(Cpi_[[#This Row],[Value]]-F7057)/F7057</f>
        <v>#DIV/0!</v>
      </c>
      <c r="H7058" t="e" cm="1" vm="1">
        <f t="array" aca="1" ref="H7058" ca="1">VLOOKUP(Cpi_[[#This Row],[Year]:[Month]],crudeoil[],3,FALSE)</f>
        <v>#VALUE!</v>
      </c>
    </row>
    <row r="7059" spans="1:8" hidden="1" x14ac:dyDescent="0.3">
      <c r="A7059" t="s">
        <v>30</v>
      </c>
      <c r="B7059">
        <v>2020</v>
      </c>
      <c r="C7059" t="s">
        <v>38</v>
      </c>
      <c r="D7059" t="s">
        <v>13</v>
      </c>
      <c r="E7059" t="e">
        <f>VLOOKUP(Cpi_[[#This Row],[Attribute]],#REF!,2,FALSE)</f>
        <v>#REF!</v>
      </c>
      <c r="G7059" t="e">
        <f>(Cpi_[[#This Row],[Value]]-F7058)/F7058</f>
        <v>#DIV/0!</v>
      </c>
      <c r="H7059" t="e" cm="1" vm="1">
        <f t="array" aca="1" ref="H7059" ca="1">VLOOKUP(Cpi_[[#This Row],[Year]:[Month]],crudeoil[],3,FALSE)</f>
        <v>#VALUE!</v>
      </c>
    </row>
    <row r="7060" spans="1:8" hidden="1" x14ac:dyDescent="0.3">
      <c r="A7060" t="s">
        <v>30</v>
      </c>
      <c r="B7060">
        <v>2020</v>
      </c>
      <c r="C7060" t="s">
        <v>38</v>
      </c>
      <c r="D7060" t="s">
        <v>14</v>
      </c>
      <c r="E7060" t="e">
        <f>VLOOKUP(Cpi_[[#This Row],[Attribute]],#REF!,2,FALSE)</f>
        <v>#REF!</v>
      </c>
      <c r="G7060" t="e">
        <f>(Cpi_[[#This Row],[Value]]-F7059)/F7059</f>
        <v>#DIV/0!</v>
      </c>
      <c r="H7060" t="e" cm="1" vm="1">
        <f t="array" aca="1" ref="H7060" ca="1">VLOOKUP(Cpi_[[#This Row],[Year]:[Month]],crudeoil[],3,FALSE)</f>
        <v>#VALUE!</v>
      </c>
    </row>
    <row r="7061" spans="1:8" hidden="1" x14ac:dyDescent="0.3">
      <c r="A7061" t="s">
        <v>30</v>
      </c>
      <c r="B7061">
        <v>2020</v>
      </c>
      <c r="C7061" t="s">
        <v>38</v>
      </c>
      <c r="D7061" t="s">
        <v>15</v>
      </c>
      <c r="E7061" t="e">
        <f>VLOOKUP(Cpi_[[#This Row],[Attribute]],#REF!,2,FALSE)</f>
        <v>#REF!</v>
      </c>
      <c r="G7061" t="e">
        <f>(Cpi_[[#This Row],[Value]]-F7060)/F7060</f>
        <v>#DIV/0!</v>
      </c>
      <c r="H7061" t="e" cm="1" vm="1">
        <f t="array" aca="1" ref="H7061" ca="1">VLOOKUP(Cpi_[[#This Row],[Year]:[Month]],crudeoil[],3,FALSE)</f>
        <v>#VALUE!</v>
      </c>
    </row>
    <row r="7062" spans="1:8" hidden="1" x14ac:dyDescent="0.3">
      <c r="A7062" t="s">
        <v>30</v>
      </c>
      <c r="B7062">
        <v>2020</v>
      </c>
      <c r="C7062" t="s">
        <v>38</v>
      </c>
      <c r="D7062" t="s">
        <v>16</v>
      </c>
      <c r="E7062" t="e">
        <f>VLOOKUP(Cpi_[[#This Row],[Attribute]],#REF!,2,FALSE)</f>
        <v>#REF!</v>
      </c>
      <c r="G7062" t="e">
        <f>(Cpi_[[#This Row],[Value]]-F7061)/F7061</f>
        <v>#DIV/0!</v>
      </c>
      <c r="H7062" t="e" cm="1" vm="1">
        <f t="array" aca="1" ref="H7062" ca="1">VLOOKUP(Cpi_[[#This Row],[Year]:[Month]],crudeoil[],3,FALSE)</f>
        <v>#VALUE!</v>
      </c>
    </row>
    <row r="7063" spans="1:8" hidden="1" x14ac:dyDescent="0.3">
      <c r="A7063" t="s">
        <v>30</v>
      </c>
      <c r="B7063">
        <v>2020</v>
      </c>
      <c r="C7063" t="s">
        <v>38</v>
      </c>
      <c r="D7063" t="s">
        <v>17</v>
      </c>
      <c r="E7063" t="e">
        <f>VLOOKUP(Cpi_[[#This Row],[Attribute]],#REF!,2,FALSE)</f>
        <v>#REF!</v>
      </c>
      <c r="G7063" t="e">
        <f>(Cpi_[[#This Row],[Value]]-F7062)/F7062</f>
        <v>#DIV/0!</v>
      </c>
      <c r="H7063" t="e" cm="1" vm="1">
        <f t="array" aca="1" ref="H7063" ca="1">VLOOKUP(Cpi_[[#This Row],[Year]:[Month]],crudeoil[],3,FALSE)</f>
        <v>#VALUE!</v>
      </c>
    </row>
    <row r="7064" spans="1:8" hidden="1" x14ac:dyDescent="0.3">
      <c r="A7064" t="s">
        <v>30</v>
      </c>
      <c r="B7064">
        <v>2020</v>
      </c>
      <c r="C7064" t="s">
        <v>38</v>
      </c>
      <c r="D7064" t="s">
        <v>18</v>
      </c>
      <c r="E7064" t="e">
        <f>VLOOKUP(Cpi_[[#This Row],[Attribute]],#REF!,2,FALSE)</f>
        <v>#REF!</v>
      </c>
      <c r="G7064" t="e">
        <f>(Cpi_[[#This Row],[Value]]-F7063)/F7063</f>
        <v>#DIV/0!</v>
      </c>
      <c r="H7064" t="e" cm="1" vm="1">
        <f t="array" aca="1" ref="H7064" ca="1">VLOOKUP(Cpi_[[#This Row],[Year]:[Month]],crudeoil[],3,FALSE)</f>
        <v>#VALUE!</v>
      </c>
    </row>
    <row r="7065" spans="1:8" hidden="1" x14ac:dyDescent="0.3">
      <c r="A7065" t="s">
        <v>30</v>
      </c>
      <c r="B7065">
        <v>2020</v>
      </c>
      <c r="C7065" t="s">
        <v>38</v>
      </c>
      <c r="D7065" t="s">
        <v>19</v>
      </c>
      <c r="E7065" t="e">
        <f>VLOOKUP(Cpi_[[#This Row],[Attribute]],#REF!,2,FALSE)</f>
        <v>#REF!</v>
      </c>
      <c r="G7065" t="e">
        <f>(Cpi_[[#This Row],[Value]]-F7064)/F7064</f>
        <v>#DIV/0!</v>
      </c>
      <c r="H7065" t="e" cm="1" vm="1">
        <f t="array" aca="1" ref="H7065" ca="1">VLOOKUP(Cpi_[[#This Row],[Year]:[Month]],crudeoil[],3,FALSE)</f>
        <v>#VALUE!</v>
      </c>
    </row>
    <row r="7066" spans="1:8" hidden="1" x14ac:dyDescent="0.3">
      <c r="A7066" t="s">
        <v>30</v>
      </c>
      <c r="B7066">
        <v>2020</v>
      </c>
      <c r="C7066" t="s">
        <v>38</v>
      </c>
      <c r="D7066" t="s">
        <v>20</v>
      </c>
      <c r="E7066" t="e">
        <f>VLOOKUP(Cpi_[[#This Row],[Attribute]],#REF!,2,FALSE)</f>
        <v>#REF!</v>
      </c>
      <c r="F7066" t="s">
        <v>32</v>
      </c>
      <c r="G7066" t="e">
        <f>(Cpi_[[#This Row],[Value]]-F7065)/F7065</f>
        <v>#VALUE!</v>
      </c>
      <c r="H7066" t="e" cm="1" vm="1">
        <f t="array" aca="1" ref="H7066" ca="1">VLOOKUP(Cpi_[[#This Row],[Year]:[Month]],crudeoil[],3,FALSE)</f>
        <v>#VALUE!</v>
      </c>
    </row>
    <row r="7067" spans="1:8" hidden="1" x14ac:dyDescent="0.3">
      <c r="A7067" t="s">
        <v>30</v>
      </c>
      <c r="B7067">
        <v>2020</v>
      </c>
      <c r="C7067" t="s">
        <v>38</v>
      </c>
      <c r="D7067" t="s">
        <v>21</v>
      </c>
      <c r="E7067" t="e">
        <f>VLOOKUP(Cpi_[[#This Row],[Attribute]],#REF!,2,FALSE)</f>
        <v>#REF!</v>
      </c>
      <c r="G7067" t="e">
        <f>(Cpi_[[#This Row],[Value]]-F7066)/F7066</f>
        <v>#VALUE!</v>
      </c>
      <c r="H7067" t="e" cm="1" vm="1">
        <f t="array" aca="1" ref="H7067" ca="1">VLOOKUP(Cpi_[[#This Row],[Year]:[Month]],crudeoil[],3,FALSE)</f>
        <v>#VALUE!</v>
      </c>
    </row>
    <row r="7068" spans="1:8" hidden="1" x14ac:dyDescent="0.3">
      <c r="A7068" t="s">
        <v>30</v>
      </c>
      <c r="B7068">
        <v>2020</v>
      </c>
      <c r="C7068" t="s">
        <v>38</v>
      </c>
      <c r="D7068" t="s">
        <v>22</v>
      </c>
      <c r="E7068" t="e">
        <f>VLOOKUP(Cpi_[[#This Row],[Attribute]],#REF!,2,FALSE)</f>
        <v>#REF!</v>
      </c>
      <c r="G7068" t="e">
        <f>(Cpi_[[#This Row],[Value]]-F7067)/F7067</f>
        <v>#DIV/0!</v>
      </c>
      <c r="H7068" t="e" cm="1" vm="1">
        <f t="array" aca="1" ref="H7068" ca="1">VLOOKUP(Cpi_[[#This Row],[Year]:[Month]],crudeoil[],3,FALSE)</f>
        <v>#VALUE!</v>
      </c>
    </row>
    <row r="7069" spans="1:8" hidden="1" x14ac:dyDescent="0.3">
      <c r="A7069" t="s">
        <v>30</v>
      </c>
      <c r="B7069">
        <v>2020</v>
      </c>
      <c r="C7069" t="s">
        <v>38</v>
      </c>
      <c r="D7069" t="s">
        <v>23</v>
      </c>
      <c r="E7069" t="e">
        <f>VLOOKUP(Cpi_[[#This Row],[Attribute]],#REF!,2,FALSE)</f>
        <v>#REF!</v>
      </c>
      <c r="G7069" t="e">
        <f>(Cpi_[[#This Row],[Value]]-F7068)/F7068</f>
        <v>#DIV/0!</v>
      </c>
      <c r="H7069" t="e" cm="1" vm="1">
        <f t="array" aca="1" ref="H7069" ca="1">VLOOKUP(Cpi_[[#This Row],[Year]:[Month]],crudeoil[],3,FALSE)</f>
        <v>#VALUE!</v>
      </c>
    </row>
    <row r="7070" spans="1:8" hidden="1" x14ac:dyDescent="0.3">
      <c r="A7070" t="s">
        <v>30</v>
      </c>
      <c r="B7070">
        <v>2020</v>
      </c>
      <c r="C7070" t="s">
        <v>38</v>
      </c>
      <c r="D7070" t="s">
        <v>24</v>
      </c>
      <c r="E7070" t="e">
        <f>VLOOKUP(Cpi_[[#This Row],[Attribute]],#REF!,2,FALSE)</f>
        <v>#REF!</v>
      </c>
      <c r="G7070" t="e">
        <f>(Cpi_[[#This Row],[Value]]-F7069)/F7069</f>
        <v>#DIV/0!</v>
      </c>
      <c r="H7070" t="e" cm="1" vm="1">
        <f t="array" aca="1" ref="H7070" ca="1">VLOOKUP(Cpi_[[#This Row],[Year]:[Month]],crudeoil[],3,FALSE)</f>
        <v>#VALUE!</v>
      </c>
    </row>
    <row r="7071" spans="1:8" hidden="1" x14ac:dyDescent="0.3">
      <c r="A7071" t="s">
        <v>30</v>
      </c>
      <c r="B7071">
        <v>2020</v>
      </c>
      <c r="C7071" t="s">
        <v>38</v>
      </c>
      <c r="D7071" t="s">
        <v>25</v>
      </c>
      <c r="E7071" t="e">
        <f>VLOOKUP(Cpi_[[#This Row],[Attribute]],#REF!,2,FALSE)</f>
        <v>#REF!</v>
      </c>
      <c r="G7071" t="e">
        <f>(Cpi_[[#This Row],[Value]]-F7070)/F7070</f>
        <v>#DIV/0!</v>
      </c>
      <c r="H7071" t="e" cm="1" vm="1">
        <f t="array" aca="1" ref="H7071" ca="1">VLOOKUP(Cpi_[[#This Row],[Year]:[Month]],crudeoil[],3,FALSE)</f>
        <v>#VALUE!</v>
      </c>
    </row>
    <row r="7072" spans="1:8" hidden="1" x14ac:dyDescent="0.3">
      <c r="A7072" t="s">
        <v>30</v>
      </c>
      <c r="B7072">
        <v>2020</v>
      </c>
      <c r="C7072" t="s">
        <v>38</v>
      </c>
      <c r="D7072" t="s">
        <v>26</v>
      </c>
      <c r="E7072" t="e">
        <f>VLOOKUP(Cpi_[[#This Row],[Attribute]],#REF!,2,FALSE)</f>
        <v>#REF!</v>
      </c>
      <c r="G7072" t="e">
        <f>(Cpi_[[#This Row],[Value]]-F7071)/F7071</f>
        <v>#DIV/0!</v>
      </c>
      <c r="H7072" t="e" cm="1" vm="1">
        <f t="array" aca="1" ref="H7072" ca="1">VLOOKUP(Cpi_[[#This Row],[Year]:[Month]],crudeoil[],3,FALSE)</f>
        <v>#VALUE!</v>
      </c>
    </row>
    <row r="7073" spans="1:8" hidden="1" x14ac:dyDescent="0.3">
      <c r="A7073" t="s">
        <v>30</v>
      </c>
      <c r="B7073">
        <v>2020</v>
      </c>
      <c r="C7073" t="s">
        <v>38</v>
      </c>
      <c r="D7073" t="s">
        <v>27</v>
      </c>
      <c r="E7073" t="e">
        <f>VLOOKUP(Cpi_[[#This Row],[Attribute]],#REF!,2,FALSE)</f>
        <v>#REF!</v>
      </c>
      <c r="G7073" t="e">
        <f>(Cpi_[[#This Row],[Value]]-F7072)/F7072</f>
        <v>#DIV/0!</v>
      </c>
      <c r="H7073" t="e" cm="1" vm="1">
        <f t="array" aca="1" ref="H7073" ca="1">VLOOKUP(Cpi_[[#This Row],[Year]:[Month]],crudeoil[],3,FALSE)</f>
        <v>#VALUE!</v>
      </c>
    </row>
    <row r="7074" spans="1:8" hidden="1" x14ac:dyDescent="0.3">
      <c r="A7074" t="s">
        <v>30</v>
      </c>
      <c r="B7074">
        <v>2020</v>
      </c>
      <c r="C7074" t="s">
        <v>38</v>
      </c>
      <c r="D7074" t="s">
        <v>28</v>
      </c>
      <c r="E7074" t="e">
        <f>VLOOKUP(Cpi_[[#This Row],[Attribute]],#REF!,2,FALSE)</f>
        <v>#REF!</v>
      </c>
      <c r="G7074" t="e">
        <f>(Cpi_[[#This Row],[Value]]-F7073)/F7073</f>
        <v>#DIV/0!</v>
      </c>
      <c r="H7074" t="e" cm="1" vm="1">
        <f t="array" aca="1" ref="H7074" ca="1">VLOOKUP(Cpi_[[#This Row],[Year]:[Month]],crudeoil[],3,FALSE)</f>
        <v>#VALUE!</v>
      </c>
    </row>
    <row r="7075" spans="1:8" hidden="1" x14ac:dyDescent="0.3">
      <c r="A7075" t="s">
        <v>30</v>
      </c>
      <c r="B7075">
        <v>2020</v>
      </c>
      <c r="C7075" t="s">
        <v>38</v>
      </c>
      <c r="D7075" t="s">
        <v>29</v>
      </c>
      <c r="E7075" t="e" cm="1">
        <f t="array" aca="1" ref="E7075" ca="1">VLGeneral indexGeneral indexKUP(Cpi_[[#This Row],[Attribute]],#REF!,2,FALSE)</f>
        <v>#NAME?</v>
      </c>
      <c r="G7075" t="e">
        <f>(Cpi_[[#This Row],[Value]]-F7074)/F7074</f>
        <v>#DIV/0!</v>
      </c>
      <c r="H7075" t="e" cm="1" vm="1">
        <f t="array" aca="1" ref="H7075" ca="1">VLOOKUP(Cpi_[[#This Row],[Year]:[Month]],crudeoil[],3,FALSE)</f>
        <v>#VALUE!</v>
      </c>
    </row>
    <row r="7076" spans="1:8" hidden="1" x14ac:dyDescent="0.3">
      <c r="A7076" t="s">
        <v>33</v>
      </c>
      <c r="B7076">
        <v>2020</v>
      </c>
      <c r="C7076" t="s">
        <v>38</v>
      </c>
      <c r="D7076" t="s">
        <v>3</v>
      </c>
      <c r="E7076" t="e">
        <f>VLOOKUP(Cpi_[[#This Row],[Attribute]],#REF!,2,FALSE)</f>
        <v>#REF!</v>
      </c>
      <c r="G7076" t="e">
        <f>(Cpi_[[#This Row],[Value]]-F7075)/F7075</f>
        <v>#DIV/0!</v>
      </c>
      <c r="H7076" t="e" cm="1" vm="1">
        <f t="array" aca="1" ref="H7076" ca="1">VLOOKUP(Cpi_[[#This Row],[Year]:[Month]],crudeoil[],3,FALSE)</f>
        <v>#VALUE!</v>
      </c>
    </row>
    <row r="7077" spans="1:8" hidden="1" x14ac:dyDescent="0.3">
      <c r="A7077" t="s">
        <v>33</v>
      </c>
      <c r="B7077">
        <v>2020</v>
      </c>
      <c r="C7077" t="s">
        <v>38</v>
      </c>
      <c r="D7077" t="s">
        <v>4</v>
      </c>
      <c r="E7077" t="e">
        <f>VLOOKUP(Cpi_[[#This Row],[Attribute]],#REF!,2,FALSE)</f>
        <v>#REF!</v>
      </c>
      <c r="G7077" t="e">
        <f>(Cpi_[[#This Row],[Value]]-F7076)/F7076</f>
        <v>#DIV/0!</v>
      </c>
      <c r="H7077" t="e" cm="1" vm="1">
        <f t="array" aca="1" ref="H7077" ca="1">VLOOKUP(Cpi_[[#This Row],[Year]:[Month]],crudeoil[],3,FALSE)</f>
        <v>#VALUE!</v>
      </c>
    </row>
    <row r="7078" spans="1:8" hidden="1" x14ac:dyDescent="0.3">
      <c r="A7078" t="s">
        <v>33</v>
      </c>
      <c r="B7078">
        <v>2020</v>
      </c>
      <c r="C7078" t="s">
        <v>38</v>
      </c>
      <c r="D7078" t="s">
        <v>5</v>
      </c>
      <c r="E7078" t="e">
        <f>VLOOKUP(Cpi_[[#This Row],[Attribute]],#REF!,2,FALSE)</f>
        <v>#REF!</v>
      </c>
      <c r="G7078" t="e">
        <f>(Cpi_[[#This Row],[Value]]-F7077)/F7077</f>
        <v>#DIV/0!</v>
      </c>
      <c r="H7078" t="e" cm="1" vm="1">
        <f t="array" aca="1" ref="H7078" ca="1">VLOOKUP(Cpi_[[#This Row],[Year]:[Month]],crudeoil[],3,FALSE)</f>
        <v>#VALUE!</v>
      </c>
    </row>
    <row r="7079" spans="1:8" hidden="1" x14ac:dyDescent="0.3">
      <c r="A7079" t="s">
        <v>33</v>
      </c>
      <c r="B7079">
        <v>2020</v>
      </c>
      <c r="C7079" t="s">
        <v>38</v>
      </c>
      <c r="D7079" t="s">
        <v>6</v>
      </c>
      <c r="E7079" t="e">
        <f>VLOOKUP(Cpi_[[#This Row],[Attribute]],#REF!,2,FALSE)</f>
        <v>#REF!</v>
      </c>
      <c r="G7079" t="e">
        <f>(Cpi_[[#This Row],[Value]]-F7078)/F7078</f>
        <v>#DIV/0!</v>
      </c>
      <c r="H7079" t="e" cm="1" vm="1">
        <f t="array" aca="1" ref="H7079" ca="1">VLOOKUP(Cpi_[[#This Row],[Year]:[Month]],crudeoil[],3,FALSE)</f>
        <v>#VALUE!</v>
      </c>
    </row>
    <row r="7080" spans="1:8" hidden="1" x14ac:dyDescent="0.3">
      <c r="A7080" t="s">
        <v>33</v>
      </c>
      <c r="B7080">
        <v>2020</v>
      </c>
      <c r="C7080" t="s">
        <v>38</v>
      </c>
      <c r="D7080" t="s">
        <v>7</v>
      </c>
      <c r="E7080" t="e">
        <f>VLOOKUP(Cpi_[[#This Row],[Attribute]],#REF!,2,FALSE)</f>
        <v>#REF!</v>
      </c>
      <c r="G7080" t="e">
        <f>(Cpi_[[#This Row],[Value]]-F7079)/F7079</f>
        <v>#DIV/0!</v>
      </c>
      <c r="H7080" t="e" cm="1" vm="1">
        <f t="array" aca="1" ref="H7080" ca="1">VLOOKUP(Cpi_[[#This Row],[Year]:[Month]],crudeoil[],3,FALSE)</f>
        <v>#VALUE!</v>
      </c>
    </row>
    <row r="7081" spans="1:8" hidden="1" x14ac:dyDescent="0.3">
      <c r="A7081" t="s">
        <v>33</v>
      </c>
      <c r="B7081">
        <v>2020</v>
      </c>
      <c r="C7081" t="s">
        <v>38</v>
      </c>
      <c r="D7081" t="s">
        <v>8</v>
      </c>
      <c r="E7081" t="e">
        <f>VLOOKUP(Cpi_[[#This Row],[Attribute]],#REF!,2,FALSE)</f>
        <v>#REF!</v>
      </c>
      <c r="G7081" t="e">
        <f>(Cpi_[[#This Row],[Value]]-F7080)/F7080</f>
        <v>#DIV/0!</v>
      </c>
      <c r="H7081" t="e" cm="1" vm="1">
        <f t="array" aca="1" ref="H7081" ca="1">VLOOKUP(Cpi_[[#This Row],[Year]:[Month]],crudeoil[],3,FALSE)</f>
        <v>#VALUE!</v>
      </c>
    </row>
    <row r="7082" spans="1:8" hidden="1" x14ac:dyDescent="0.3">
      <c r="A7082" t="s">
        <v>33</v>
      </c>
      <c r="B7082">
        <v>2020</v>
      </c>
      <c r="C7082" t="s">
        <v>38</v>
      </c>
      <c r="D7082" t="s">
        <v>9</v>
      </c>
      <c r="E7082" t="e">
        <f>VLOOKUP(Cpi_[[#This Row],[Attribute]],#REF!,2,FALSE)</f>
        <v>#REF!</v>
      </c>
      <c r="G7082" t="e">
        <f>(Cpi_[[#This Row],[Value]]-F7081)/F7081</f>
        <v>#DIV/0!</v>
      </c>
      <c r="H7082" t="e" cm="1" vm="1">
        <f t="array" aca="1" ref="H7082" ca="1">VLOOKUP(Cpi_[[#This Row],[Year]:[Month]],crudeoil[],3,FALSE)</f>
        <v>#VALUE!</v>
      </c>
    </row>
    <row r="7083" spans="1:8" hidden="1" x14ac:dyDescent="0.3">
      <c r="A7083" t="s">
        <v>33</v>
      </c>
      <c r="B7083">
        <v>2020</v>
      </c>
      <c r="C7083" t="s">
        <v>38</v>
      </c>
      <c r="D7083" t="s">
        <v>10</v>
      </c>
      <c r="E7083" t="e">
        <f>VLOOKUP(Cpi_[[#This Row],[Attribute]],#REF!,2,FALSE)</f>
        <v>#REF!</v>
      </c>
      <c r="G7083" t="e">
        <f>(Cpi_[[#This Row],[Value]]-F7082)/F7082</f>
        <v>#DIV/0!</v>
      </c>
      <c r="H7083" t="e" cm="1" vm="1">
        <f t="array" aca="1" ref="H7083" ca="1">VLOOKUP(Cpi_[[#This Row],[Year]:[Month]],crudeoil[],3,FALSE)</f>
        <v>#VALUE!</v>
      </c>
    </row>
    <row r="7084" spans="1:8" hidden="1" x14ac:dyDescent="0.3">
      <c r="A7084" t="s">
        <v>33</v>
      </c>
      <c r="B7084">
        <v>2020</v>
      </c>
      <c r="C7084" t="s">
        <v>38</v>
      </c>
      <c r="D7084" t="s">
        <v>11</v>
      </c>
      <c r="E7084" t="e">
        <f>VLOOKUP(Cpi_[[#This Row],[Attribute]],#REF!,2,FALSE)</f>
        <v>#REF!</v>
      </c>
      <c r="G7084" t="e">
        <f>(Cpi_[[#This Row],[Value]]-F7083)/F7083</f>
        <v>#DIV/0!</v>
      </c>
      <c r="H7084" t="e" cm="1" vm="1">
        <f t="array" aca="1" ref="H7084" ca="1">VLOOKUP(Cpi_[[#This Row],[Year]:[Month]],crudeoil[],3,FALSE)</f>
        <v>#VALUE!</v>
      </c>
    </row>
    <row r="7085" spans="1:8" hidden="1" x14ac:dyDescent="0.3">
      <c r="A7085" t="s">
        <v>33</v>
      </c>
      <c r="B7085">
        <v>2020</v>
      </c>
      <c r="C7085" t="s">
        <v>38</v>
      </c>
      <c r="D7085" t="s">
        <v>12</v>
      </c>
      <c r="E7085" t="e">
        <f>VLOOKUP(Cpi_[[#This Row],[Attribute]],#REF!,2,FALSE)</f>
        <v>#REF!</v>
      </c>
      <c r="G7085" t="e">
        <f>(Cpi_[[#This Row],[Value]]-F7084)/F7084</f>
        <v>#DIV/0!</v>
      </c>
      <c r="H7085" t="e" cm="1" vm="1">
        <f t="array" aca="1" ref="H7085" ca="1">VLOOKUP(Cpi_[[#This Row],[Year]:[Month]],crudeoil[],3,FALSE)</f>
        <v>#VALUE!</v>
      </c>
    </row>
    <row r="7086" spans="1:8" hidden="1" x14ac:dyDescent="0.3">
      <c r="A7086" t="s">
        <v>33</v>
      </c>
      <c r="B7086">
        <v>2020</v>
      </c>
      <c r="C7086" t="s">
        <v>38</v>
      </c>
      <c r="D7086" t="s">
        <v>13</v>
      </c>
      <c r="E7086" t="e">
        <f>VLOOKUP(Cpi_[[#This Row],[Attribute]],#REF!,2,FALSE)</f>
        <v>#REF!</v>
      </c>
      <c r="G7086" t="e">
        <f>(Cpi_[[#This Row],[Value]]-F7085)/F7085</f>
        <v>#DIV/0!</v>
      </c>
      <c r="H7086" t="e" cm="1" vm="1">
        <f t="array" aca="1" ref="H7086" ca="1">VLOOKUP(Cpi_[[#This Row],[Year]:[Month]],crudeoil[],3,FALSE)</f>
        <v>#VALUE!</v>
      </c>
    </row>
    <row r="7087" spans="1:8" hidden="1" x14ac:dyDescent="0.3">
      <c r="A7087" t="s">
        <v>33</v>
      </c>
      <c r="B7087">
        <v>2020</v>
      </c>
      <c r="C7087" t="s">
        <v>38</v>
      </c>
      <c r="D7087" t="s">
        <v>14</v>
      </c>
      <c r="E7087" t="e">
        <f>VLOOKUP(Cpi_[[#This Row],[Attribute]],#REF!,2,FALSE)</f>
        <v>#REF!</v>
      </c>
      <c r="G7087" t="e">
        <f>(Cpi_[[#This Row],[Value]]-F7086)/F7086</f>
        <v>#DIV/0!</v>
      </c>
      <c r="H7087" t="e" cm="1" vm="1">
        <f t="array" aca="1" ref="H7087" ca="1">VLOOKUP(Cpi_[[#This Row],[Year]:[Month]],crudeoil[],3,FALSE)</f>
        <v>#VALUE!</v>
      </c>
    </row>
    <row r="7088" spans="1:8" hidden="1" x14ac:dyDescent="0.3">
      <c r="A7088" t="s">
        <v>33</v>
      </c>
      <c r="B7088">
        <v>2020</v>
      </c>
      <c r="C7088" t="s">
        <v>38</v>
      </c>
      <c r="D7088" t="s">
        <v>15</v>
      </c>
      <c r="E7088" t="e">
        <f>VLOOKUP(Cpi_[[#This Row],[Attribute]],#REF!,2,FALSE)</f>
        <v>#REF!</v>
      </c>
      <c r="G7088" t="e">
        <f>(Cpi_[[#This Row],[Value]]-F7087)/F7087</f>
        <v>#DIV/0!</v>
      </c>
      <c r="H7088" t="e" cm="1" vm="1">
        <f t="array" aca="1" ref="H7088" ca="1">VLOOKUP(Cpi_[[#This Row],[Year]:[Month]],crudeoil[],3,FALSE)</f>
        <v>#VALUE!</v>
      </c>
    </row>
    <row r="7089" spans="1:8" hidden="1" x14ac:dyDescent="0.3">
      <c r="A7089" t="s">
        <v>33</v>
      </c>
      <c r="B7089">
        <v>2020</v>
      </c>
      <c r="C7089" t="s">
        <v>38</v>
      </c>
      <c r="D7089" t="s">
        <v>16</v>
      </c>
      <c r="E7089" t="e">
        <f>VLOOKUP(Cpi_[[#This Row],[Attribute]],#REF!,2,FALSE)</f>
        <v>#REF!</v>
      </c>
      <c r="G7089" t="e">
        <f>(Cpi_[[#This Row],[Value]]-F7088)/F7088</f>
        <v>#DIV/0!</v>
      </c>
      <c r="H7089" t="e" cm="1" vm="1">
        <f t="array" aca="1" ref="H7089" ca="1">VLOOKUP(Cpi_[[#This Row],[Year]:[Month]],crudeoil[],3,FALSE)</f>
        <v>#VALUE!</v>
      </c>
    </row>
    <row r="7090" spans="1:8" hidden="1" x14ac:dyDescent="0.3">
      <c r="A7090" t="s">
        <v>33</v>
      </c>
      <c r="B7090">
        <v>2020</v>
      </c>
      <c r="C7090" t="s">
        <v>38</v>
      </c>
      <c r="D7090" t="s">
        <v>17</v>
      </c>
      <c r="E7090" t="e">
        <f>VLOOKUP(Cpi_[[#This Row],[Attribute]],#REF!,2,FALSE)</f>
        <v>#REF!</v>
      </c>
      <c r="G7090" t="e">
        <f>(Cpi_[[#This Row],[Value]]-F7089)/F7089</f>
        <v>#DIV/0!</v>
      </c>
      <c r="H7090" t="e" cm="1" vm="1">
        <f t="array" aca="1" ref="H7090" ca="1">VLOOKUP(Cpi_[[#This Row],[Year]:[Month]],crudeoil[],3,FALSE)</f>
        <v>#VALUE!</v>
      </c>
    </row>
    <row r="7091" spans="1:8" hidden="1" x14ac:dyDescent="0.3">
      <c r="A7091" t="s">
        <v>33</v>
      </c>
      <c r="B7091">
        <v>2020</v>
      </c>
      <c r="C7091" t="s">
        <v>38</v>
      </c>
      <c r="D7091" t="s">
        <v>18</v>
      </c>
      <c r="E7091" t="e">
        <f>VLOOKUP(Cpi_[[#This Row],[Attribute]],#REF!,2,FALSE)</f>
        <v>#REF!</v>
      </c>
      <c r="G7091" t="e">
        <f>(Cpi_[[#This Row],[Value]]-F7090)/F7090</f>
        <v>#DIV/0!</v>
      </c>
      <c r="H7091" t="e" cm="1" vm="1">
        <f t="array" aca="1" ref="H7091" ca="1">VLOOKUP(Cpi_[[#This Row],[Year]:[Month]],crudeoil[],3,FALSE)</f>
        <v>#VALUE!</v>
      </c>
    </row>
    <row r="7092" spans="1:8" hidden="1" x14ac:dyDescent="0.3">
      <c r="A7092" t="s">
        <v>33</v>
      </c>
      <c r="B7092">
        <v>2020</v>
      </c>
      <c r="C7092" t="s">
        <v>38</v>
      </c>
      <c r="D7092" t="s">
        <v>19</v>
      </c>
      <c r="E7092" t="e">
        <f>VLOOKUP(Cpi_[[#This Row],[Attribute]],#REF!,2,FALSE)</f>
        <v>#REF!</v>
      </c>
      <c r="G7092" t="e">
        <f>(Cpi_[[#This Row],[Value]]-F7091)/F7091</f>
        <v>#DIV/0!</v>
      </c>
      <c r="H7092" t="e" cm="1" vm="1">
        <f t="array" aca="1" ref="H7092" ca="1">VLOOKUP(Cpi_[[#This Row],[Year]:[Month]],crudeoil[],3,FALSE)</f>
        <v>#VALUE!</v>
      </c>
    </row>
    <row r="7093" spans="1:8" hidden="1" x14ac:dyDescent="0.3">
      <c r="A7093" t="s">
        <v>33</v>
      </c>
      <c r="B7093">
        <v>2020</v>
      </c>
      <c r="C7093" t="s">
        <v>38</v>
      </c>
      <c r="D7093" t="s">
        <v>20</v>
      </c>
      <c r="E7093" t="e">
        <f>VLOOKUP(Cpi_[[#This Row],[Attribute]],#REF!,2,FALSE)</f>
        <v>#REF!</v>
      </c>
      <c r="F7093" t="s">
        <v>32</v>
      </c>
      <c r="G7093" t="e">
        <f>(Cpi_[[#This Row],[Value]]-F7092)/F7092</f>
        <v>#VALUE!</v>
      </c>
      <c r="H7093" t="e" cm="1" vm="1">
        <f t="array" aca="1" ref="H7093" ca="1">VLOOKUP(Cpi_[[#This Row],[Year]:[Month]],crudeoil[],3,FALSE)</f>
        <v>#VALUE!</v>
      </c>
    </row>
    <row r="7094" spans="1:8" hidden="1" x14ac:dyDescent="0.3">
      <c r="A7094" t="s">
        <v>33</v>
      </c>
      <c r="B7094">
        <v>2020</v>
      </c>
      <c r="C7094" t="s">
        <v>38</v>
      </c>
      <c r="D7094" t="s">
        <v>21</v>
      </c>
      <c r="E7094" t="e">
        <f>VLOOKUP(Cpi_[[#This Row],[Attribute]],#REF!,2,FALSE)</f>
        <v>#REF!</v>
      </c>
      <c r="G7094" t="e">
        <f>(Cpi_[[#This Row],[Value]]-F7093)/F7093</f>
        <v>#VALUE!</v>
      </c>
      <c r="H7094" t="e" cm="1" vm="1">
        <f t="array" aca="1" ref="H7094" ca="1">VLOOKUP(Cpi_[[#This Row],[Year]:[Month]],crudeoil[],3,FALSE)</f>
        <v>#VALUE!</v>
      </c>
    </row>
    <row r="7095" spans="1:8" hidden="1" x14ac:dyDescent="0.3">
      <c r="A7095" t="s">
        <v>33</v>
      </c>
      <c r="B7095">
        <v>2020</v>
      </c>
      <c r="C7095" t="s">
        <v>38</v>
      </c>
      <c r="D7095" t="s">
        <v>22</v>
      </c>
      <c r="E7095" t="e">
        <f>VLOOKUP(Cpi_[[#This Row],[Attribute]],#REF!,2,FALSE)</f>
        <v>#REF!</v>
      </c>
      <c r="G7095" t="e">
        <f>(Cpi_[[#This Row],[Value]]-F7094)/F7094</f>
        <v>#DIV/0!</v>
      </c>
      <c r="H7095" t="e" cm="1" vm="1">
        <f t="array" aca="1" ref="H7095" ca="1">VLOOKUP(Cpi_[[#This Row],[Year]:[Month]],crudeoil[],3,FALSE)</f>
        <v>#VALUE!</v>
      </c>
    </row>
    <row r="7096" spans="1:8" hidden="1" x14ac:dyDescent="0.3">
      <c r="A7096" t="s">
        <v>33</v>
      </c>
      <c r="B7096">
        <v>2020</v>
      </c>
      <c r="C7096" t="s">
        <v>38</v>
      </c>
      <c r="D7096" t="s">
        <v>23</v>
      </c>
      <c r="E7096" t="e">
        <f>VLOOKUP(Cpi_[[#This Row],[Attribute]],#REF!,2,FALSE)</f>
        <v>#REF!</v>
      </c>
      <c r="G7096" t="e">
        <f>(Cpi_[[#This Row],[Value]]-F7095)/F7095</f>
        <v>#DIV/0!</v>
      </c>
      <c r="H7096" t="e" cm="1" vm="1">
        <f t="array" aca="1" ref="H7096" ca="1">VLOOKUP(Cpi_[[#This Row],[Year]:[Month]],crudeoil[],3,FALSE)</f>
        <v>#VALUE!</v>
      </c>
    </row>
    <row r="7097" spans="1:8" hidden="1" x14ac:dyDescent="0.3">
      <c r="A7097" t="s">
        <v>33</v>
      </c>
      <c r="B7097">
        <v>2020</v>
      </c>
      <c r="C7097" t="s">
        <v>38</v>
      </c>
      <c r="D7097" t="s">
        <v>24</v>
      </c>
      <c r="E7097" t="e">
        <f>VLOOKUP(Cpi_[[#This Row],[Attribute]],#REF!,2,FALSE)</f>
        <v>#REF!</v>
      </c>
      <c r="G7097" t="e">
        <f>(Cpi_[[#This Row],[Value]]-F7096)/F7096</f>
        <v>#DIV/0!</v>
      </c>
      <c r="H7097" t="e" cm="1" vm="1">
        <f t="array" aca="1" ref="H7097" ca="1">VLOOKUP(Cpi_[[#This Row],[Year]:[Month]],crudeoil[],3,FALSE)</f>
        <v>#VALUE!</v>
      </c>
    </row>
    <row r="7098" spans="1:8" hidden="1" x14ac:dyDescent="0.3">
      <c r="A7098" t="s">
        <v>33</v>
      </c>
      <c r="B7098">
        <v>2020</v>
      </c>
      <c r="C7098" t="s">
        <v>38</v>
      </c>
      <c r="D7098" t="s">
        <v>25</v>
      </c>
      <c r="E7098" t="e">
        <f>VLOOKUP(Cpi_[[#This Row],[Attribute]],#REF!,2,FALSE)</f>
        <v>#REF!</v>
      </c>
      <c r="G7098" t="e">
        <f>(Cpi_[[#This Row],[Value]]-F7097)/F7097</f>
        <v>#DIV/0!</v>
      </c>
      <c r="H7098" t="e" cm="1" vm="1">
        <f t="array" aca="1" ref="H7098" ca="1">VLOOKUP(Cpi_[[#This Row],[Year]:[Month]],crudeoil[],3,FALSE)</f>
        <v>#VALUE!</v>
      </c>
    </row>
    <row r="7099" spans="1:8" hidden="1" x14ac:dyDescent="0.3">
      <c r="A7099" t="s">
        <v>33</v>
      </c>
      <c r="B7099">
        <v>2020</v>
      </c>
      <c r="C7099" t="s">
        <v>38</v>
      </c>
      <c r="D7099" t="s">
        <v>26</v>
      </c>
      <c r="E7099" t="e">
        <f>VLOOKUP(Cpi_[[#This Row],[Attribute]],#REF!,2,FALSE)</f>
        <v>#REF!</v>
      </c>
      <c r="G7099" t="e">
        <f>(Cpi_[[#This Row],[Value]]-F7098)/F7098</f>
        <v>#DIV/0!</v>
      </c>
      <c r="H7099" t="e" cm="1" vm="1">
        <f t="array" aca="1" ref="H7099" ca="1">VLOOKUP(Cpi_[[#This Row],[Year]:[Month]],crudeoil[],3,FALSE)</f>
        <v>#VALUE!</v>
      </c>
    </row>
    <row r="7100" spans="1:8" hidden="1" x14ac:dyDescent="0.3">
      <c r="A7100" t="s">
        <v>33</v>
      </c>
      <c r="B7100">
        <v>2020</v>
      </c>
      <c r="C7100" t="s">
        <v>38</v>
      </c>
      <c r="D7100" t="s">
        <v>27</v>
      </c>
      <c r="E7100" t="e">
        <f>VLOOKUP(Cpi_[[#This Row],[Attribute]],#REF!,2,FALSE)</f>
        <v>#REF!</v>
      </c>
      <c r="G7100" t="e">
        <f>(Cpi_[[#This Row],[Value]]-F7099)/F7099</f>
        <v>#DIV/0!</v>
      </c>
      <c r="H7100" t="e" cm="1" vm="1">
        <f t="array" aca="1" ref="H7100" ca="1">VLOOKUP(Cpi_[[#This Row],[Year]:[Month]],crudeoil[],3,FALSE)</f>
        <v>#VALUE!</v>
      </c>
    </row>
    <row r="7101" spans="1:8" hidden="1" x14ac:dyDescent="0.3">
      <c r="A7101" t="s">
        <v>33</v>
      </c>
      <c r="B7101">
        <v>2020</v>
      </c>
      <c r="C7101" t="s">
        <v>38</v>
      </c>
      <c r="D7101" t="s">
        <v>28</v>
      </c>
      <c r="E7101" t="e">
        <f>VLOOKUP(Cpi_[[#This Row],[Attribute]],#REF!,2,FALSE)</f>
        <v>#REF!</v>
      </c>
      <c r="G7101" t="e">
        <f>(Cpi_[[#This Row],[Value]]-F7100)/F7100</f>
        <v>#DIV/0!</v>
      </c>
      <c r="H7101" t="e" cm="1" vm="1">
        <f t="array" aca="1" ref="H7101" ca="1">VLOOKUP(Cpi_[[#This Row],[Year]:[Month]],crudeoil[],3,FALSE)</f>
        <v>#VALUE!</v>
      </c>
    </row>
    <row r="7102" spans="1:8" hidden="1" x14ac:dyDescent="0.3">
      <c r="A7102" t="s">
        <v>33</v>
      </c>
      <c r="B7102">
        <v>2020</v>
      </c>
      <c r="C7102" t="s">
        <v>38</v>
      </c>
      <c r="D7102" t="s">
        <v>29</v>
      </c>
      <c r="E7102" t="e" cm="1">
        <f t="array" aca="1" ref="E7102" ca="1">VLGeneral indexGeneral indexKUP(Cpi_[[#This Row],[Attribute]],#REF!,2,FALSE)</f>
        <v>#NAME?</v>
      </c>
      <c r="G7102" t="e">
        <f>(Cpi_[[#This Row],[Value]]-F7101)/F7101</f>
        <v>#DIV/0!</v>
      </c>
      <c r="H7102" t="e" cm="1" vm="1">
        <f t="array" aca="1" ref="H7102" ca="1">VLOOKUP(Cpi_[[#This Row],[Year]:[Month]],crudeoil[],3,FALSE)</f>
        <v>#VALUE!</v>
      </c>
    </row>
    <row r="7103" spans="1:8" hidden="1" x14ac:dyDescent="0.3">
      <c r="A7103" t="s">
        <v>34</v>
      </c>
      <c r="B7103">
        <v>2020</v>
      </c>
      <c r="C7103" t="s">
        <v>38</v>
      </c>
      <c r="D7103" t="s">
        <v>3</v>
      </c>
      <c r="E7103" t="e">
        <f>VLOOKUP(Cpi_[[#This Row],[Attribute]],#REF!,2,FALSE)</f>
        <v>#REF!</v>
      </c>
      <c r="G7103" t="e">
        <f>(Cpi_[[#This Row],[Value]]-F7102)/F7102</f>
        <v>#DIV/0!</v>
      </c>
      <c r="H7103" t="e" cm="1" vm="1">
        <f t="array" aca="1" ref="H7103" ca="1">VLOOKUP(Cpi_[[#This Row],[Year]:[Month]],crudeoil[],3,FALSE)</f>
        <v>#VALUE!</v>
      </c>
    </row>
    <row r="7104" spans="1:8" hidden="1" x14ac:dyDescent="0.3">
      <c r="A7104" t="s">
        <v>34</v>
      </c>
      <c r="B7104">
        <v>2020</v>
      </c>
      <c r="C7104" t="s">
        <v>38</v>
      </c>
      <c r="D7104" t="s">
        <v>4</v>
      </c>
      <c r="E7104" t="e">
        <f>VLOOKUP(Cpi_[[#This Row],[Attribute]],#REF!,2,FALSE)</f>
        <v>#REF!</v>
      </c>
      <c r="G7104" t="e">
        <f>(Cpi_[[#This Row],[Value]]-F7103)/F7103</f>
        <v>#DIV/0!</v>
      </c>
      <c r="H7104" t="e" cm="1" vm="1">
        <f t="array" aca="1" ref="H7104" ca="1">VLOOKUP(Cpi_[[#This Row],[Year]:[Month]],crudeoil[],3,FALSE)</f>
        <v>#VALUE!</v>
      </c>
    </row>
    <row r="7105" spans="1:8" hidden="1" x14ac:dyDescent="0.3">
      <c r="A7105" t="s">
        <v>34</v>
      </c>
      <c r="B7105">
        <v>2020</v>
      </c>
      <c r="C7105" t="s">
        <v>38</v>
      </c>
      <c r="D7105" t="s">
        <v>5</v>
      </c>
      <c r="E7105" t="e">
        <f>VLOOKUP(Cpi_[[#This Row],[Attribute]],#REF!,2,FALSE)</f>
        <v>#REF!</v>
      </c>
      <c r="G7105" t="e">
        <f>(Cpi_[[#This Row],[Value]]-F7104)/F7104</f>
        <v>#DIV/0!</v>
      </c>
      <c r="H7105" t="e" cm="1" vm="1">
        <f t="array" aca="1" ref="H7105" ca="1">VLOOKUP(Cpi_[[#This Row],[Year]:[Month]],crudeoil[],3,FALSE)</f>
        <v>#VALUE!</v>
      </c>
    </row>
    <row r="7106" spans="1:8" hidden="1" x14ac:dyDescent="0.3">
      <c r="A7106" t="s">
        <v>34</v>
      </c>
      <c r="B7106">
        <v>2020</v>
      </c>
      <c r="C7106" t="s">
        <v>38</v>
      </c>
      <c r="D7106" t="s">
        <v>6</v>
      </c>
      <c r="E7106" t="e">
        <f>VLOOKUP(Cpi_[[#This Row],[Attribute]],#REF!,2,FALSE)</f>
        <v>#REF!</v>
      </c>
      <c r="G7106" t="e">
        <f>(Cpi_[[#This Row],[Value]]-F7105)/F7105</f>
        <v>#DIV/0!</v>
      </c>
      <c r="H7106" t="e" cm="1" vm="1">
        <f t="array" aca="1" ref="H7106" ca="1">VLOOKUP(Cpi_[[#This Row],[Year]:[Month]],crudeoil[],3,FALSE)</f>
        <v>#VALUE!</v>
      </c>
    </row>
    <row r="7107" spans="1:8" hidden="1" x14ac:dyDescent="0.3">
      <c r="A7107" t="s">
        <v>34</v>
      </c>
      <c r="B7107">
        <v>2020</v>
      </c>
      <c r="C7107" t="s">
        <v>38</v>
      </c>
      <c r="D7107" t="s">
        <v>7</v>
      </c>
      <c r="E7107" t="e">
        <f>VLOOKUP(Cpi_[[#This Row],[Attribute]],#REF!,2,FALSE)</f>
        <v>#REF!</v>
      </c>
      <c r="G7107" t="e">
        <f>(Cpi_[[#This Row],[Value]]-F7106)/F7106</f>
        <v>#DIV/0!</v>
      </c>
      <c r="H7107" t="e" cm="1" vm="1">
        <f t="array" aca="1" ref="H7107" ca="1">VLOOKUP(Cpi_[[#This Row],[Year]:[Month]],crudeoil[],3,FALSE)</f>
        <v>#VALUE!</v>
      </c>
    </row>
    <row r="7108" spans="1:8" hidden="1" x14ac:dyDescent="0.3">
      <c r="A7108" t="s">
        <v>34</v>
      </c>
      <c r="B7108">
        <v>2020</v>
      </c>
      <c r="C7108" t="s">
        <v>38</v>
      </c>
      <c r="D7108" t="s">
        <v>8</v>
      </c>
      <c r="E7108" t="e">
        <f>VLOOKUP(Cpi_[[#This Row],[Attribute]],#REF!,2,FALSE)</f>
        <v>#REF!</v>
      </c>
      <c r="G7108" t="e">
        <f>(Cpi_[[#This Row],[Value]]-F7107)/F7107</f>
        <v>#DIV/0!</v>
      </c>
      <c r="H7108" t="e" cm="1" vm="1">
        <f t="array" aca="1" ref="H7108" ca="1">VLOOKUP(Cpi_[[#This Row],[Year]:[Month]],crudeoil[],3,FALSE)</f>
        <v>#VALUE!</v>
      </c>
    </row>
    <row r="7109" spans="1:8" hidden="1" x14ac:dyDescent="0.3">
      <c r="A7109" t="s">
        <v>34</v>
      </c>
      <c r="B7109">
        <v>2020</v>
      </c>
      <c r="C7109" t="s">
        <v>38</v>
      </c>
      <c r="D7109" t="s">
        <v>9</v>
      </c>
      <c r="E7109" t="e">
        <f>VLOOKUP(Cpi_[[#This Row],[Attribute]],#REF!,2,FALSE)</f>
        <v>#REF!</v>
      </c>
      <c r="G7109" t="e">
        <f>(Cpi_[[#This Row],[Value]]-F7108)/F7108</f>
        <v>#DIV/0!</v>
      </c>
      <c r="H7109" t="e" cm="1" vm="1">
        <f t="array" aca="1" ref="H7109" ca="1">VLOOKUP(Cpi_[[#This Row],[Year]:[Month]],crudeoil[],3,FALSE)</f>
        <v>#VALUE!</v>
      </c>
    </row>
    <row r="7110" spans="1:8" hidden="1" x14ac:dyDescent="0.3">
      <c r="A7110" t="s">
        <v>34</v>
      </c>
      <c r="B7110">
        <v>2020</v>
      </c>
      <c r="C7110" t="s">
        <v>38</v>
      </c>
      <c r="D7110" t="s">
        <v>10</v>
      </c>
      <c r="E7110" t="e">
        <f>VLOOKUP(Cpi_[[#This Row],[Attribute]],#REF!,2,FALSE)</f>
        <v>#REF!</v>
      </c>
      <c r="G7110" t="e">
        <f>(Cpi_[[#This Row],[Value]]-F7109)/F7109</f>
        <v>#DIV/0!</v>
      </c>
      <c r="H7110" t="e" cm="1" vm="1">
        <f t="array" aca="1" ref="H7110" ca="1">VLOOKUP(Cpi_[[#This Row],[Year]:[Month]],crudeoil[],3,FALSE)</f>
        <v>#VALUE!</v>
      </c>
    </row>
    <row r="7111" spans="1:8" hidden="1" x14ac:dyDescent="0.3">
      <c r="A7111" t="s">
        <v>34</v>
      </c>
      <c r="B7111">
        <v>2020</v>
      </c>
      <c r="C7111" t="s">
        <v>38</v>
      </c>
      <c r="D7111" t="s">
        <v>11</v>
      </c>
      <c r="E7111" t="e">
        <f>VLOOKUP(Cpi_[[#This Row],[Attribute]],#REF!,2,FALSE)</f>
        <v>#REF!</v>
      </c>
      <c r="G7111" t="e">
        <f>(Cpi_[[#This Row],[Value]]-F7110)/F7110</f>
        <v>#DIV/0!</v>
      </c>
      <c r="H7111" t="e" cm="1" vm="1">
        <f t="array" aca="1" ref="H7111" ca="1">VLOOKUP(Cpi_[[#This Row],[Year]:[Month]],crudeoil[],3,FALSE)</f>
        <v>#VALUE!</v>
      </c>
    </row>
    <row r="7112" spans="1:8" hidden="1" x14ac:dyDescent="0.3">
      <c r="A7112" t="s">
        <v>34</v>
      </c>
      <c r="B7112">
        <v>2020</v>
      </c>
      <c r="C7112" t="s">
        <v>38</v>
      </c>
      <c r="D7112" t="s">
        <v>12</v>
      </c>
      <c r="E7112" t="e">
        <f>VLOOKUP(Cpi_[[#This Row],[Attribute]],#REF!,2,FALSE)</f>
        <v>#REF!</v>
      </c>
      <c r="G7112" t="e">
        <f>(Cpi_[[#This Row],[Value]]-F7111)/F7111</f>
        <v>#DIV/0!</v>
      </c>
      <c r="H7112" t="e" cm="1" vm="1">
        <f t="array" aca="1" ref="H7112" ca="1">VLOOKUP(Cpi_[[#This Row],[Year]:[Month]],crudeoil[],3,FALSE)</f>
        <v>#VALUE!</v>
      </c>
    </row>
    <row r="7113" spans="1:8" hidden="1" x14ac:dyDescent="0.3">
      <c r="A7113" t="s">
        <v>34</v>
      </c>
      <c r="B7113">
        <v>2020</v>
      </c>
      <c r="C7113" t="s">
        <v>38</v>
      </c>
      <c r="D7113" t="s">
        <v>13</v>
      </c>
      <c r="E7113" t="e">
        <f>VLOOKUP(Cpi_[[#This Row],[Attribute]],#REF!,2,FALSE)</f>
        <v>#REF!</v>
      </c>
      <c r="G7113" t="e">
        <f>(Cpi_[[#This Row],[Value]]-F7112)/F7112</f>
        <v>#DIV/0!</v>
      </c>
      <c r="H7113" t="e" cm="1" vm="1">
        <f t="array" aca="1" ref="H7113" ca="1">VLOOKUP(Cpi_[[#This Row],[Year]:[Month]],crudeoil[],3,FALSE)</f>
        <v>#VALUE!</v>
      </c>
    </row>
    <row r="7114" spans="1:8" hidden="1" x14ac:dyDescent="0.3">
      <c r="A7114" t="s">
        <v>34</v>
      </c>
      <c r="B7114">
        <v>2020</v>
      </c>
      <c r="C7114" t="s">
        <v>38</v>
      </c>
      <c r="D7114" t="s">
        <v>14</v>
      </c>
      <c r="E7114" t="e">
        <f>VLOOKUP(Cpi_[[#This Row],[Attribute]],#REF!,2,FALSE)</f>
        <v>#REF!</v>
      </c>
      <c r="G7114" t="e">
        <f>(Cpi_[[#This Row],[Value]]-F7113)/F7113</f>
        <v>#DIV/0!</v>
      </c>
      <c r="H7114" t="e" cm="1" vm="1">
        <f t="array" aca="1" ref="H7114" ca="1">VLOOKUP(Cpi_[[#This Row],[Year]:[Month]],crudeoil[],3,FALSE)</f>
        <v>#VALUE!</v>
      </c>
    </row>
    <row r="7115" spans="1:8" hidden="1" x14ac:dyDescent="0.3">
      <c r="A7115" t="s">
        <v>34</v>
      </c>
      <c r="B7115">
        <v>2020</v>
      </c>
      <c r="C7115" t="s">
        <v>38</v>
      </c>
      <c r="D7115" t="s">
        <v>15</v>
      </c>
      <c r="E7115" t="e">
        <f>VLOOKUP(Cpi_[[#This Row],[Attribute]],#REF!,2,FALSE)</f>
        <v>#REF!</v>
      </c>
      <c r="G7115" t="e">
        <f>(Cpi_[[#This Row],[Value]]-F7114)/F7114</f>
        <v>#DIV/0!</v>
      </c>
      <c r="H7115" t="e" cm="1" vm="1">
        <f t="array" aca="1" ref="H7115" ca="1">VLOOKUP(Cpi_[[#This Row],[Year]:[Month]],crudeoil[],3,FALSE)</f>
        <v>#VALUE!</v>
      </c>
    </row>
    <row r="7116" spans="1:8" hidden="1" x14ac:dyDescent="0.3">
      <c r="A7116" t="s">
        <v>34</v>
      </c>
      <c r="B7116">
        <v>2020</v>
      </c>
      <c r="C7116" t="s">
        <v>38</v>
      </c>
      <c r="D7116" t="s">
        <v>16</v>
      </c>
      <c r="E7116" t="e">
        <f>VLOOKUP(Cpi_[[#This Row],[Attribute]],#REF!,2,FALSE)</f>
        <v>#REF!</v>
      </c>
      <c r="G7116" t="e">
        <f>(Cpi_[[#This Row],[Value]]-F7115)/F7115</f>
        <v>#DIV/0!</v>
      </c>
      <c r="H7116" t="e" cm="1" vm="1">
        <f t="array" aca="1" ref="H7116" ca="1">VLOOKUP(Cpi_[[#This Row],[Year]:[Month]],crudeoil[],3,FALSE)</f>
        <v>#VALUE!</v>
      </c>
    </row>
    <row r="7117" spans="1:8" hidden="1" x14ac:dyDescent="0.3">
      <c r="A7117" t="s">
        <v>34</v>
      </c>
      <c r="B7117">
        <v>2020</v>
      </c>
      <c r="C7117" t="s">
        <v>38</v>
      </c>
      <c r="D7117" t="s">
        <v>17</v>
      </c>
      <c r="E7117" t="e">
        <f>VLOOKUP(Cpi_[[#This Row],[Attribute]],#REF!,2,FALSE)</f>
        <v>#REF!</v>
      </c>
      <c r="G7117" t="e">
        <f>(Cpi_[[#This Row],[Value]]-F7116)/F7116</f>
        <v>#DIV/0!</v>
      </c>
      <c r="H7117" t="e" cm="1" vm="1">
        <f t="array" aca="1" ref="H7117" ca="1">VLOOKUP(Cpi_[[#This Row],[Year]:[Month]],crudeoil[],3,FALSE)</f>
        <v>#VALUE!</v>
      </c>
    </row>
    <row r="7118" spans="1:8" hidden="1" x14ac:dyDescent="0.3">
      <c r="A7118" t="s">
        <v>34</v>
      </c>
      <c r="B7118">
        <v>2020</v>
      </c>
      <c r="C7118" t="s">
        <v>38</v>
      </c>
      <c r="D7118" t="s">
        <v>18</v>
      </c>
      <c r="E7118" t="e">
        <f>VLOOKUP(Cpi_[[#This Row],[Attribute]],#REF!,2,FALSE)</f>
        <v>#REF!</v>
      </c>
      <c r="G7118" t="e">
        <f>(Cpi_[[#This Row],[Value]]-F7117)/F7117</f>
        <v>#DIV/0!</v>
      </c>
      <c r="H7118" t="e" cm="1" vm="1">
        <f t="array" aca="1" ref="H7118" ca="1">VLOOKUP(Cpi_[[#This Row],[Year]:[Month]],crudeoil[],3,FALSE)</f>
        <v>#VALUE!</v>
      </c>
    </row>
    <row r="7119" spans="1:8" hidden="1" x14ac:dyDescent="0.3">
      <c r="A7119" t="s">
        <v>34</v>
      </c>
      <c r="B7119">
        <v>2020</v>
      </c>
      <c r="C7119" t="s">
        <v>38</v>
      </c>
      <c r="D7119" t="s">
        <v>19</v>
      </c>
      <c r="E7119" t="e">
        <f>VLOOKUP(Cpi_[[#This Row],[Attribute]],#REF!,2,FALSE)</f>
        <v>#REF!</v>
      </c>
      <c r="G7119" t="e">
        <f>(Cpi_[[#This Row],[Value]]-F7118)/F7118</f>
        <v>#DIV/0!</v>
      </c>
      <c r="H7119" t="e" cm="1" vm="1">
        <f t="array" aca="1" ref="H7119" ca="1">VLOOKUP(Cpi_[[#This Row],[Year]:[Month]],crudeoil[],3,FALSE)</f>
        <v>#VALUE!</v>
      </c>
    </row>
    <row r="7120" spans="1:8" hidden="1" x14ac:dyDescent="0.3">
      <c r="A7120" t="s">
        <v>34</v>
      </c>
      <c r="B7120">
        <v>2020</v>
      </c>
      <c r="C7120" t="s">
        <v>38</v>
      </c>
      <c r="D7120" t="s">
        <v>20</v>
      </c>
      <c r="E7120" t="e">
        <f>VLOOKUP(Cpi_[[#This Row],[Attribute]],#REF!,2,FALSE)</f>
        <v>#REF!</v>
      </c>
      <c r="F7120" t="s">
        <v>32</v>
      </c>
      <c r="G7120" t="e">
        <f>(Cpi_[[#This Row],[Value]]-F7119)/F7119</f>
        <v>#VALUE!</v>
      </c>
      <c r="H7120" t="e" cm="1" vm="1">
        <f t="array" aca="1" ref="H7120" ca="1">VLOOKUP(Cpi_[[#This Row],[Year]:[Month]],crudeoil[],3,FALSE)</f>
        <v>#VALUE!</v>
      </c>
    </row>
    <row r="7121" spans="1:8" hidden="1" x14ac:dyDescent="0.3">
      <c r="A7121" t="s">
        <v>34</v>
      </c>
      <c r="B7121">
        <v>2020</v>
      </c>
      <c r="C7121" t="s">
        <v>38</v>
      </c>
      <c r="D7121" t="s">
        <v>21</v>
      </c>
      <c r="E7121" t="e">
        <f>VLOOKUP(Cpi_[[#This Row],[Attribute]],#REF!,2,FALSE)</f>
        <v>#REF!</v>
      </c>
      <c r="G7121" t="e">
        <f>(Cpi_[[#This Row],[Value]]-F7120)/F7120</f>
        <v>#VALUE!</v>
      </c>
      <c r="H7121" t="e" cm="1" vm="1">
        <f t="array" aca="1" ref="H7121" ca="1">VLOOKUP(Cpi_[[#This Row],[Year]:[Month]],crudeoil[],3,FALSE)</f>
        <v>#VALUE!</v>
      </c>
    </row>
    <row r="7122" spans="1:8" hidden="1" x14ac:dyDescent="0.3">
      <c r="A7122" t="s">
        <v>34</v>
      </c>
      <c r="B7122">
        <v>2020</v>
      </c>
      <c r="C7122" t="s">
        <v>38</v>
      </c>
      <c r="D7122" t="s">
        <v>22</v>
      </c>
      <c r="E7122" t="e">
        <f>VLOOKUP(Cpi_[[#This Row],[Attribute]],#REF!,2,FALSE)</f>
        <v>#REF!</v>
      </c>
      <c r="G7122" t="e">
        <f>(Cpi_[[#This Row],[Value]]-F7121)/F7121</f>
        <v>#DIV/0!</v>
      </c>
      <c r="H7122" t="e" cm="1" vm="1">
        <f t="array" aca="1" ref="H7122" ca="1">VLOOKUP(Cpi_[[#This Row],[Year]:[Month]],crudeoil[],3,FALSE)</f>
        <v>#VALUE!</v>
      </c>
    </row>
    <row r="7123" spans="1:8" hidden="1" x14ac:dyDescent="0.3">
      <c r="A7123" t="s">
        <v>34</v>
      </c>
      <c r="B7123">
        <v>2020</v>
      </c>
      <c r="C7123" t="s">
        <v>38</v>
      </c>
      <c r="D7123" t="s">
        <v>23</v>
      </c>
      <c r="E7123" t="e">
        <f>VLOOKUP(Cpi_[[#This Row],[Attribute]],#REF!,2,FALSE)</f>
        <v>#REF!</v>
      </c>
      <c r="G7123" t="e">
        <f>(Cpi_[[#This Row],[Value]]-F7122)/F7122</f>
        <v>#DIV/0!</v>
      </c>
      <c r="H7123" t="e" cm="1" vm="1">
        <f t="array" aca="1" ref="H7123" ca="1">VLOOKUP(Cpi_[[#This Row],[Year]:[Month]],crudeoil[],3,FALSE)</f>
        <v>#VALUE!</v>
      </c>
    </row>
    <row r="7124" spans="1:8" hidden="1" x14ac:dyDescent="0.3">
      <c r="A7124" t="s">
        <v>34</v>
      </c>
      <c r="B7124">
        <v>2020</v>
      </c>
      <c r="C7124" t="s">
        <v>38</v>
      </c>
      <c r="D7124" t="s">
        <v>24</v>
      </c>
      <c r="E7124" t="e">
        <f>VLOOKUP(Cpi_[[#This Row],[Attribute]],#REF!,2,FALSE)</f>
        <v>#REF!</v>
      </c>
      <c r="G7124" t="e">
        <f>(Cpi_[[#This Row],[Value]]-F7123)/F7123</f>
        <v>#DIV/0!</v>
      </c>
      <c r="H7124" t="e" cm="1" vm="1">
        <f t="array" aca="1" ref="H7124" ca="1">VLOOKUP(Cpi_[[#This Row],[Year]:[Month]],crudeoil[],3,FALSE)</f>
        <v>#VALUE!</v>
      </c>
    </row>
    <row r="7125" spans="1:8" hidden="1" x14ac:dyDescent="0.3">
      <c r="A7125" t="s">
        <v>34</v>
      </c>
      <c r="B7125">
        <v>2020</v>
      </c>
      <c r="C7125" t="s">
        <v>38</v>
      </c>
      <c r="D7125" t="s">
        <v>25</v>
      </c>
      <c r="E7125" t="e">
        <f>VLOOKUP(Cpi_[[#This Row],[Attribute]],#REF!,2,FALSE)</f>
        <v>#REF!</v>
      </c>
      <c r="G7125" t="e">
        <f>(Cpi_[[#This Row],[Value]]-F7124)/F7124</f>
        <v>#DIV/0!</v>
      </c>
      <c r="H7125" t="e" cm="1" vm="1">
        <f t="array" aca="1" ref="H7125" ca="1">VLOOKUP(Cpi_[[#This Row],[Year]:[Month]],crudeoil[],3,FALSE)</f>
        <v>#VALUE!</v>
      </c>
    </row>
    <row r="7126" spans="1:8" hidden="1" x14ac:dyDescent="0.3">
      <c r="A7126" t="s">
        <v>34</v>
      </c>
      <c r="B7126">
        <v>2020</v>
      </c>
      <c r="C7126" t="s">
        <v>38</v>
      </c>
      <c r="D7126" t="s">
        <v>26</v>
      </c>
      <c r="E7126" t="e">
        <f>VLOOKUP(Cpi_[[#This Row],[Attribute]],#REF!,2,FALSE)</f>
        <v>#REF!</v>
      </c>
      <c r="G7126" t="e">
        <f>(Cpi_[[#This Row],[Value]]-F7125)/F7125</f>
        <v>#DIV/0!</v>
      </c>
      <c r="H7126" t="e" cm="1" vm="1">
        <f t="array" aca="1" ref="H7126" ca="1">VLOOKUP(Cpi_[[#This Row],[Year]:[Month]],crudeoil[],3,FALSE)</f>
        <v>#VALUE!</v>
      </c>
    </row>
    <row r="7127" spans="1:8" hidden="1" x14ac:dyDescent="0.3">
      <c r="A7127" t="s">
        <v>34</v>
      </c>
      <c r="B7127">
        <v>2020</v>
      </c>
      <c r="C7127" t="s">
        <v>38</v>
      </c>
      <c r="D7127" t="s">
        <v>27</v>
      </c>
      <c r="E7127" t="e">
        <f>VLOOKUP(Cpi_[[#This Row],[Attribute]],#REF!,2,FALSE)</f>
        <v>#REF!</v>
      </c>
      <c r="G7127" t="e">
        <f>(Cpi_[[#This Row],[Value]]-F7126)/F7126</f>
        <v>#DIV/0!</v>
      </c>
      <c r="H7127" t="e" cm="1" vm="1">
        <f t="array" aca="1" ref="H7127" ca="1">VLOOKUP(Cpi_[[#This Row],[Year]:[Month]],crudeoil[],3,FALSE)</f>
        <v>#VALUE!</v>
      </c>
    </row>
    <row r="7128" spans="1:8" hidden="1" x14ac:dyDescent="0.3">
      <c r="A7128" t="s">
        <v>34</v>
      </c>
      <c r="B7128">
        <v>2020</v>
      </c>
      <c r="C7128" t="s">
        <v>38</v>
      </c>
      <c r="D7128" t="s">
        <v>28</v>
      </c>
      <c r="E7128" t="e">
        <f>VLOOKUP(Cpi_[[#This Row],[Attribute]],#REF!,2,FALSE)</f>
        <v>#REF!</v>
      </c>
      <c r="G7128" t="e">
        <f>(Cpi_[[#This Row],[Value]]-F7127)/F7127</f>
        <v>#DIV/0!</v>
      </c>
      <c r="H7128" t="e" cm="1" vm="1">
        <f t="array" aca="1" ref="H7128" ca="1">VLOOKUP(Cpi_[[#This Row],[Year]:[Month]],crudeoil[],3,FALSE)</f>
        <v>#VALUE!</v>
      </c>
    </row>
    <row r="7129" spans="1:8" hidden="1" x14ac:dyDescent="0.3">
      <c r="A7129" t="s">
        <v>34</v>
      </c>
      <c r="B7129">
        <v>2020</v>
      </c>
      <c r="C7129" t="s">
        <v>38</v>
      </c>
      <c r="D7129" t="s">
        <v>29</v>
      </c>
      <c r="E7129" t="e" cm="1">
        <f t="array" aca="1" ref="E7129" ca="1">VLGeneral indexGeneral indexKUP(Cpi_[[#This Row],[Attribute]],#REF!,2,FALSE)</f>
        <v>#NAME?</v>
      </c>
      <c r="G7129" t="e">
        <f>(Cpi_[[#This Row],[Value]]-F7128)/F7128</f>
        <v>#DIV/0!</v>
      </c>
      <c r="H7129" t="e" cm="1" vm="1">
        <f t="array" aca="1" ref="H7129" ca="1">VLOOKUP(Cpi_[[#This Row],[Year]:[Month]],crudeoil[],3,FALSE)</f>
        <v>#VALUE!</v>
      </c>
    </row>
    <row r="7130" spans="1:8" hidden="1" x14ac:dyDescent="0.3">
      <c r="A7130" t="s">
        <v>30</v>
      </c>
      <c r="B7130">
        <v>2020</v>
      </c>
      <c r="C7130" t="s">
        <v>39</v>
      </c>
      <c r="D7130" t="s">
        <v>3</v>
      </c>
      <c r="E7130" t="e">
        <f>VLOOKUP(Cpi_[[#This Row],[Attribute]],#REF!,2,FALSE)</f>
        <v>#REF!</v>
      </c>
      <c r="F7130">
        <v>148.19999999999999</v>
      </c>
      <c r="G7130" t="e">
        <f>(Cpi_[[#This Row],[Value]]-F7129)/F7129</f>
        <v>#DIV/0!</v>
      </c>
      <c r="H7130" t="e" cm="1" vm="1">
        <f t="array" aca="1" ref="H7130" ca="1">VLOOKUP(Cpi_[[#This Row],[Year]:[Month]],crudeoil[],3,FALSE)</f>
        <v>#VALUE!</v>
      </c>
    </row>
    <row r="7131" spans="1:8" hidden="1" x14ac:dyDescent="0.3">
      <c r="A7131" t="s">
        <v>30</v>
      </c>
      <c r="B7131">
        <v>2020</v>
      </c>
      <c r="C7131" t="s">
        <v>39</v>
      </c>
      <c r="D7131" t="s">
        <v>4</v>
      </c>
      <c r="E7131" t="e">
        <f>VLOOKUP(Cpi_[[#This Row],[Attribute]],#REF!,2,FALSE)</f>
        <v>#REF!</v>
      </c>
      <c r="F7131">
        <v>190.3</v>
      </c>
      <c r="G7131">
        <f>(Cpi_[[#This Row],[Value]]-F7130)/F7130</f>
        <v>0.28407557354925794</v>
      </c>
      <c r="H7131" t="e" cm="1" vm="1">
        <f t="array" aca="1" ref="H7131" ca="1">VLOOKUP(Cpi_[[#This Row],[Year]:[Month]],crudeoil[],3,FALSE)</f>
        <v>#VALUE!</v>
      </c>
    </row>
    <row r="7132" spans="1:8" hidden="1" x14ac:dyDescent="0.3">
      <c r="A7132" t="s">
        <v>30</v>
      </c>
      <c r="B7132">
        <v>2020</v>
      </c>
      <c r="C7132" t="s">
        <v>39</v>
      </c>
      <c r="D7132" t="s">
        <v>5</v>
      </c>
      <c r="E7132" t="e">
        <f>VLOOKUP(Cpi_[[#This Row],[Attribute]],#REF!,2,FALSE)</f>
        <v>#REF!</v>
      </c>
      <c r="F7132">
        <v>149.4</v>
      </c>
      <c r="G7132">
        <f>(Cpi_[[#This Row],[Value]]-F7131)/F7131</f>
        <v>-0.21492380451918025</v>
      </c>
      <c r="H7132" t="e" cm="1" vm="1">
        <f t="array" aca="1" ref="H7132" ca="1">VLOOKUP(Cpi_[[#This Row],[Year]:[Month]],crudeoil[],3,FALSE)</f>
        <v>#VALUE!</v>
      </c>
    </row>
    <row r="7133" spans="1:8" hidden="1" x14ac:dyDescent="0.3">
      <c r="A7133" t="s">
        <v>30</v>
      </c>
      <c r="B7133">
        <v>2020</v>
      </c>
      <c r="C7133" t="s">
        <v>39</v>
      </c>
      <c r="D7133" t="s">
        <v>6</v>
      </c>
      <c r="E7133" t="e">
        <f>VLOOKUP(Cpi_[[#This Row],[Attribute]],#REF!,2,FALSE)</f>
        <v>#REF!</v>
      </c>
      <c r="F7133">
        <v>153.30000000000001</v>
      </c>
      <c r="G7133">
        <f>(Cpi_[[#This Row],[Value]]-F7132)/F7132</f>
        <v>2.6104417670682768E-2</v>
      </c>
      <c r="H7133" t="e" cm="1" vm="1">
        <f t="array" aca="1" ref="H7133" ca="1">VLOOKUP(Cpi_[[#This Row],[Year]:[Month]],crudeoil[],3,FALSE)</f>
        <v>#VALUE!</v>
      </c>
    </row>
    <row r="7134" spans="1:8" hidden="1" x14ac:dyDescent="0.3">
      <c r="A7134" t="s">
        <v>30</v>
      </c>
      <c r="B7134">
        <v>2020</v>
      </c>
      <c r="C7134" t="s">
        <v>39</v>
      </c>
      <c r="D7134" t="s">
        <v>7</v>
      </c>
      <c r="E7134" t="e">
        <f>VLOOKUP(Cpi_[[#This Row],[Attribute]],#REF!,2,FALSE)</f>
        <v>#REF!</v>
      </c>
      <c r="F7134">
        <v>138.19999999999999</v>
      </c>
      <c r="G7134">
        <f>(Cpi_[[#This Row],[Value]]-F7133)/F7133</f>
        <v>-9.8499673842139743E-2</v>
      </c>
      <c r="H7134" t="e" cm="1" vm="1">
        <f t="array" aca="1" ref="H7134" ca="1">VLOOKUP(Cpi_[[#This Row],[Year]:[Month]],crudeoil[],3,FALSE)</f>
        <v>#VALUE!</v>
      </c>
    </row>
    <row r="7135" spans="1:8" hidden="1" x14ac:dyDescent="0.3">
      <c r="A7135" t="s">
        <v>30</v>
      </c>
      <c r="B7135">
        <v>2020</v>
      </c>
      <c r="C7135" t="s">
        <v>39</v>
      </c>
      <c r="D7135" t="s">
        <v>8</v>
      </c>
      <c r="E7135" t="e">
        <f>VLOOKUP(Cpi_[[#This Row],[Attribute]],#REF!,2,FALSE)</f>
        <v>#REF!</v>
      </c>
      <c r="F7135">
        <v>143.19999999999999</v>
      </c>
      <c r="G7135">
        <f>(Cpi_[[#This Row],[Value]]-F7134)/F7134</f>
        <v>3.6179450072358905E-2</v>
      </c>
      <c r="H7135" t="e" cm="1" vm="1">
        <f t="array" aca="1" ref="H7135" ca="1">VLOOKUP(Cpi_[[#This Row],[Year]:[Month]],crudeoil[],3,FALSE)</f>
        <v>#VALUE!</v>
      </c>
    </row>
    <row r="7136" spans="1:8" hidden="1" x14ac:dyDescent="0.3">
      <c r="A7136" t="s">
        <v>30</v>
      </c>
      <c r="B7136">
        <v>2020</v>
      </c>
      <c r="C7136" t="s">
        <v>39</v>
      </c>
      <c r="D7136" t="s">
        <v>9</v>
      </c>
      <c r="E7136" t="e">
        <f>VLOOKUP(Cpi_[[#This Row],[Attribute]],#REF!,2,FALSE)</f>
        <v>#REF!</v>
      </c>
      <c r="F7136">
        <v>148.9</v>
      </c>
      <c r="G7136">
        <f>(Cpi_[[#This Row],[Value]]-F7135)/F7135</f>
        <v>3.9804469273743141E-2</v>
      </c>
      <c r="H7136" t="e" cm="1" vm="1">
        <f t="array" aca="1" ref="H7136" ca="1">VLOOKUP(Cpi_[[#This Row],[Year]:[Month]],crudeoil[],3,FALSE)</f>
        <v>#VALUE!</v>
      </c>
    </row>
    <row r="7137" spans="1:8" hidden="1" x14ac:dyDescent="0.3">
      <c r="A7137" t="s">
        <v>30</v>
      </c>
      <c r="B7137">
        <v>2020</v>
      </c>
      <c r="C7137" t="s">
        <v>39</v>
      </c>
      <c r="D7137" t="s">
        <v>10</v>
      </c>
      <c r="E7137" t="e">
        <f>VLOOKUP(Cpi_[[#This Row],[Attribute]],#REF!,2,FALSE)</f>
        <v>#REF!</v>
      </c>
      <c r="F7137">
        <v>150.30000000000001</v>
      </c>
      <c r="G7137">
        <f>(Cpi_[[#This Row],[Value]]-F7136)/F7136</f>
        <v>9.4022834116857332E-3</v>
      </c>
      <c r="H7137" t="e" cm="1" vm="1">
        <f t="array" aca="1" ref="H7137" ca="1">VLOOKUP(Cpi_[[#This Row],[Year]:[Month]],crudeoil[],3,FALSE)</f>
        <v>#VALUE!</v>
      </c>
    </row>
    <row r="7138" spans="1:8" hidden="1" x14ac:dyDescent="0.3">
      <c r="A7138" t="s">
        <v>30</v>
      </c>
      <c r="B7138">
        <v>2020</v>
      </c>
      <c r="C7138" t="s">
        <v>39</v>
      </c>
      <c r="D7138" t="s">
        <v>11</v>
      </c>
      <c r="E7138" t="e">
        <f>VLOOKUP(Cpi_[[#This Row],[Attribute]],#REF!,2,FALSE)</f>
        <v>#REF!</v>
      </c>
      <c r="F7138">
        <v>113.2</v>
      </c>
      <c r="G7138">
        <f>(Cpi_[[#This Row],[Value]]-F7137)/F7137</f>
        <v>-0.2468396540252828</v>
      </c>
      <c r="H7138" t="e" cm="1" vm="1">
        <f t="array" aca="1" ref="H7138" ca="1">VLOOKUP(Cpi_[[#This Row],[Year]:[Month]],crudeoil[],3,FALSE)</f>
        <v>#VALUE!</v>
      </c>
    </row>
    <row r="7139" spans="1:8" hidden="1" x14ac:dyDescent="0.3">
      <c r="A7139" t="s">
        <v>30</v>
      </c>
      <c r="B7139">
        <v>2020</v>
      </c>
      <c r="C7139" t="s">
        <v>39</v>
      </c>
      <c r="D7139" t="s">
        <v>12</v>
      </c>
      <c r="E7139" t="e">
        <f>VLOOKUP(Cpi_[[#This Row],[Attribute]],#REF!,2,FALSE)</f>
        <v>#REF!</v>
      </c>
      <c r="F7139">
        <v>159.80000000000001</v>
      </c>
      <c r="G7139">
        <f>(Cpi_[[#This Row],[Value]]-F7138)/F7138</f>
        <v>0.41166077738515905</v>
      </c>
      <c r="H7139" t="e" cm="1" vm="1">
        <f t="array" aca="1" ref="H7139" ca="1">VLOOKUP(Cpi_[[#This Row],[Year]:[Month]],crudeoil[],3,FALSE)</f>
        <v>#VALUE!</v>
      </c>
    </row>
    <row r="7140" spans="1:8" hidden="1" x14ac:dyDescent="0.3">
      <c r="A7140" t="s">
        <v>30</v>
      </c>
      <c r="B7140">
        <v>2020</v>
      </c>
      <c r="C7140" t="s">
        <v>39</v>
      </c>
      <c r="D7140" t="s">
        <v>13</v>
      </c>
      <c r="E7140" t="e">
        <f>VLOOKUP(Cpi_[[#This Row],[Attribute]],#REF!,2,FALSE)</f>
        <v>#REF!</v>
      </c>
      <c r="F7140">
        <v>142.1</v>
      </c>
      <c r="G7140">
        <f>(Cpi_[[#This Row],[Value]]-F7139)/F7139</f>
        <v>-0.11076345431789747</v>
      </c>
      <c r="H7140" t="e" cm="1" vm="1">
        <f t="array" aca="1" ref="H7140" ca="1">VLOOKUP(Cpi_[[#This Row],[Year]:[Month]],crudeoil[],3,FALSE)</f>
        <v>#VALUE!</v>
      </c>
    </row>
    <row r="7141" spans="1:8" hidden="1" x14ac:dyDescent="0.3">
      <c r="A7141" t="s">
        <v>30</v>
      </c>
      <c r="B7141">
        <v>2020</v>
      </c>
      <c r="C7141" t="s">
        <v>39</v>
      </c>
      <c r="D7141" t="s">
        <v>14</v>
      </c>
      <c r="E7141" t="e">
        <f>VLOOKUP(Cpi_[[#This Row],[Attribute]],#REF!,2,FALSE)</f>
        <v>#REF!</v>
      </c>
      <c r="F7141">
        <v>161.80000000000001</v>
      </c>
      <c r="G7141">
        <f>(Cpi_[[#This Row],[Value]]-F7140)/F7140</f>
        <v>0.13863476425052793</v>
      </c>
      <c r="H7141" t="e" cm="1" vm="1">
        <f t="array" aca="1" ref="H7141" ca="1">VLOOKUP(Cpi_[[#This Row],[Year]:[Month]],crudeoil[],3,FALSE)</f>
        <v>#VALUE!</v>
      </c>
    </row>
    <row r="7142" spans="1:8" hidden="1" x14ac:dyDescent="0.3">
      <c r="A7142" t="s">
        <v>30</v>
      </c>
      <c r="B7142">
        <v>2020</v>
      </c>
      <c r="C7142" t="s">
        <v>39</v>
      </c>
      <c r="D7142" t="s">
        <v>15</v>
      </c>
      <c r="E7142" t="e">
        <f>VLOOKUP(Cpi_[[#This Row],[Attribute]],#REF!,2,FALSE)</f>
        <v>#REF!</v>
      </c>
      <c r="F7142">
        <v>152.30000000000001</v>
      </c>
      <c r="G7142">
        <f>(Cpi_[[#This Row],[Value]]-F7141)/F7141</f>
        <v>-5.8714462299134733E-2</v>
      </c>
      <c r="H7142" t="e" cm="1" vm="1">
        <f t="array" aca="1" ref="H7142" ca="1">VLOOKUP(Cpi_[[#This Row],[Year]:[Month]],crudeoil[],3,FALSE)</f>
        <v>#VALUE!</v>
      </c>
    </row>
    <row r="7143" spans="1:8" hidden="1" x14ac:dyDescent="0.3">
      <c r="A7143" t="s">
        <v>30</v>
      </c>
      <c r="B7143">
        <v>2020</v>
      </c>
      <c r="C7143" t="s">
        <v>39</v>
      </c>
      <c r="D7143" t="s">
        <v>16</v>
      </c>
      <c r="E7143" t="e">
        <f>VLOOKUP(Cpi_[[#This Row],[Attribute]],#REF!,2,FALSE)</f>
        <v>#REF!</v>
      </c>
      <c r="F7143">
        <v>182.4</v>
      </c>
      <c r="G7143">
        <f>(Cpi_[[#This Row],[Value]]-F7142)/F7142</f>
        <v>0.19763624425476028</v>
      </c>
      <c r="H7143" t="e" cm="1" vm="1">
        <f t="array" aca="1" ref="H7143" ca="1">VLOOKUP(Cpi_[[#This Row],[Year]:[Month]],crudeoil[],3,FALSE)</f>
        <v>#VALUE!</v>
      </c>
    </row>
    <row r="7144" spans="1:8" hidden="1" x14ac:dyDescent="0.3">
      <c r="A7144" t="s">
        <v>30</v>
      </c>
      <c r="B7144">
        <v>2020</v>
      </c>
      <c r="C7144" t="s">
        <v>39</v>
      </c>
      <c r="D7144" t="s">
        <v>17</v>
      </c>
      <c r="E7144" t="e">
        <f>VLOOKUP(Cpi_[[#This Row],[Attribute]],#REF!,2,FALSE)</f>
        <v>#REF!</v>
      </c>
      <c r="F7144">
        <v>154.69999999999999</v>
      </c>
      <c r="G7144">
        <f>(Cpi_[[#This Row],[Value]]-F7143)/F7143</f>
        <v>-0.1518640350877194</v>
      </c>
      <c r="H7144" t="e" cm="1" vm="1">
        <f t="array" aca="1" ref="H7144" ca="1">VLOOKUP(Cpi_[[#This Row],[Year]:[Month]],crudeoil[],3,FALSE)</f>
        <v>#VALUE!</v>
      </c>
    </row>
    <row r="7145" spans="1:8" hidden="1" x14ac:dyDescent="0.3">
      <c r="A7145" t="s">
        <v>30</v>
      </c>
      <c r="B7145">
        <v>2020</v>
      </c>
      <c r="C7145" t="s">
        <v>39</v>
      </c>
      <c r="D7145" t="s">
        <v>18</v>
      </c>
      <c r="E7145" t="e">
        <f>VLOOKUP(Cpi_[[#This Row],[Attribute]],#REF!,2,FALSE)</f>
        <v>#REF!</v>
      </c>
      <c r="F7145">
        <v>150</v>
      </c>
      <c r="G7145">
        <f>(Cpi_[[#This Row],[Value]]-F7144)/F7144</f>
        <v>-3.0381383322559723E-2</v>
      </c>
      <c r="H7145" t="e" cm="1" vm="1">
        <f t="array" aca="1" ref="H7145" ca="1">VLOOKUP(Cpi_[[#This Row],[Year]:[Month]],crudeoil[],3,FALSE)</f>
        <v>#VALUE!</v>
      </c>
    </row>
    <row r="7146" spans="1:8" hidden="1" x14ac:dyDescent="0.3">
      <c r="A7146" t="s">
        <v>30</v>
      </c>
      <c r="B7146">
        <v>2020</v>
      </c>
      <c r="C7146" t="s">
        <v>39</v>
      </c>
      <c r="D7146" t="s">
        <v>19</v>
      </c>
      <c r="E7146" t="e">
        <f>VLOOKUP(Cpi_[[#This Row],[Attribute]],#REF!,2,FALSE)</f>
        <v>#REF!</v>
      </c>
      <c r="F7146">
        <v>154.1</v>
      </c>
      <c r="G7146">
        <f>(Cpi_[[#This Row],[Value]]-F7145)/F7145</f>
        <v>2.7333333333333296E-2</v>
      </c>
      <c r="H7146" t="e" cm="1" vm="1">
        <f t="array" aca="1" ref="H7146" ca="1">VLOOKUP(Cpi_[[#This Row],[Year]:[Month]],crudeoil[],3,FALSE)</f>
        <v>#VALUE!</v>
      </c>
    </row>
    <row r="7147" spans="1:8" hidden="1" x14ac:dyDescent="0.3">
      <c r="A7147" t="s">
        <v>30</v>
      </c>
      <c r="B7147">
        <v>2020</v>
      </c>
      <c r="C7147" t="s">
        <v>39</v>
      </c>
      <c r="D7147" t="s">
        <v>20</v>
      </c>
      <c r="E7147" t="e">
        <f>VLOOKUP(Cpi_[[#This Row],[Attribute]],#REF!,2,FALSE)</f>
        <v>#REF!</v>
      </c>
      <c r="F7147" t="s">
        <v>32</v>
      </c>
      <c r="G7147" t="e">
        <f>(Cpi_[[#This Row],[Value]]-F7146)/F7146</f>
        <v>#VALUE!</v>
      </c>
      <c r="H7147" t="e" cm="1" vm="1">
        <f t="array" aca="1" ref="H7147" ca="1">VLOOKUP(Cpi_[[#This Row],[Year]:[Month]],crudeoil[],3,FALSE)</f>
        <v>#VALUE!</v>
      </c>
    </row>
    <row r="7148" spans="1:8" hidden="1" x14ac:dyDescent="0.3">
      <c r="A7148" t="s">
        <v>30</v>
      </c>
      <c r="B7148">
        <v>2020</v>
      </c>
      <c r="C7148" t="s">
        <v>39</v>
      </c>
      <c r="D7148" t="s">
        <v>21</v>
      </c>
      <c r="E7148" t="e">
        <f>VLOOKUP(Cpi_[[#This Row],[Attribute]],#REF!,2,FALSE)</f>
        <v>#REF!</v>
      </c>
      <c r="F7148">
        <v>144.9</v>
      </c>
      <c r="G7148" t="e">
        <f>(Cpi_[[#This Row],[Value]]-F7147)/F7147</f>
        <v>#VALUE!</v>
      </c>
      <c r="H7148" t="e" cm="1" vm="1">
        <f t="array" aca="1" ref="H7148" ca="1">VLOOKUP(Cpi_[[#This Row],[Year]:[Month]],crudeoil[],3,FALSE)</f>
        <v>#VALUE!</v>
      </c>
    </row>
    <row r="7149" spans="1:8" hidden="1" x14ac:dyDescent="0.3">
      <c r="A7149" t="s">
        <v>30</v>
      </c>
      <c r="B7149">
        <v>2020</v>
      </c>
      <c r="C7149" t="s">
        <v>39</v>
      </c>
      <c r="D7149" t="s">
        <v>22</v>
      </c>
      <c r="E7149" t="e">
        <f>VLOOKUP(Cpi_[[#This Row],[Attribute]],#REF!,2,FALSE)</f>
        <v>#REF!</v>
      </c>
      <c r="F7149">
        <v>151.69999999999999</v>
      </c>
      <c r="G7149">
        <f>(Cpi_[[#This Row],[Value]]-F7148)/F7148</f>
        <v>4.6928916494133763E-2</v>
      </c>
      <c r="H7149" t="e" cm="1" vm="1">
        <f t="array" aca="1" ref="H7149" ca="1">VLOOKUP(Cpi_[[#This Row],[Year]:[Month]],crudeoil[],3,FALSE)</f>
        <v>#VALUE!</v>
      </c>
    </row>
    <row r="7150" spans="1:8" hidden="1" x14ac:dyDescent="0.3">
      <c r="A7150" t="s">
        <v>30</v>
      </c>
      <c r="B7150">
        <v>2020</v>
      </c>
      <c r="C7150" t="s">
        <v>39</v>
      </c>
      <c r="D7150" t="s">
        <v>23</v>
      </c>
      <c r="E7150" t="e">
        <f>VLOOKUP(Cpi_[[#This Row],[Attribute]],#REF!,2,FALSE)</f>
        <v>#REF!</v>
      </c>
      <c r="F7150">
        <v>158.19999999999999</v>
      </c>
      <c r="G7150">
        <f>(Cpi_[[#This Row],[Value]]-F7149)/F7149</f>
        <v>4.2847725774555048E-2</v>
      </c>
      <c r="H7150" t="e" cm="1" vm="1">
        <f t="array" aca="1" ref="H7150" ca="1">VLOOKUP(Cpi_[[#This Row],[Year]:[Month]],crudeoil[],3,FALSE)</f>
        <v>#VALUE!</v>
      </c>
    </row>
    <row r="7151" spans="1:8" hidden="1" x14ac:dyDescent="0.3">
      <c r="A7151" t="s">
        <v>30</v>
      </c>
      <c r="B7151">
        <v>2020</v>
      </c>
      <c r="C7151" t="s">
        <v>39</v>
      </c>
      <c r="D7151" t="s">
        <v>24</v>
      </c>
      <c r="E7151" t="e">
        <f>VLOOKUP(Cpi_[[#This Row],[Attribute]],#REF!,2,FALSE)</f>
        <v>#REF!</v>
      </c>
      <c r="F7151">
        <v>141.4</v>
      </c>
      <c r="G7151">
        <f>(Cpi_[[#This Row],[Value]]-F7150)/F7150</f>
        <v>-0.10619469026548663</v>
      </c>
      <c r="H7151" t="e" cm="1" vm="1">
        <f t="array" aca="1" ref="H7151" ca="1">VLOOKUP(Cpi_[[#This Row],[Year]:[Month]],crudeoil[],3,FALSE)</f>
        <v>#VALUE!</v>
      </c>
    </row>
    <row r="7152" spans="1:8" hidden="1" x14ac:dyDescent="0.3">
      <c r="A7152" t="s">
        <v>30</v>
      </c>
      <c r="B7152">
        <v>2020</v>
      </c>
      <c r="C7152" t="s">
        <v>39</v>
      </c>
      <c r="D7152" t="s">
        <v>25</v>
      </c>
      <c r="E7152" t="e">
        <f>VLOOKUP(Cpi_[[#This Row],[Attribute]],#REF!,2,FALSE)</f>
        <v>#REF!</v>
      </c>
      <c r="F7152">
        <v>153.19999999999999</v>
      </c>
      <c r="G7152">
        <f>(Cpi_[[#This Row],[Value]]-F7151)/F7151</f>
        <v>8.3451202263083321E-2</v>
      </c>
      <c r="H7152" t="e" cm="1" vm="1">
        <f t="array" aca="1" ref="H7152" ca="1">VLOOKUP(Cpi_[[#This Row],[Year]:[Month]],crudeoil[],3,FALSE)</f>
        <v>#VALUE!</v>
      </c>
    </row>
    <row r="7153" spans="1:8" hidden="1" x14ac:dyDescent="0.3">
      <c r="A7153" t="s">
        <v>30</v>
      </c>
      <c r="B7153">
        <v>2020</v>
      </c>
      <c r="C7153" t="s">
        <v>39</v>
      </c>
      <c r="D7153" t="s">
        <v>26</v>
      </c>
      <c r="E7153" t="e">
        <f>VLOOKUP(Cpi_[[#This Row],[Attribute]],#REF!,2,FALSE)</f>
        <v>#REF!</v>
      </c>
      <c r="F7153">
        <v>161.80000000000001</v>
      </c>
      <c r="G7153">
        <f>(Cpi_[[#This Row],[Value]]-F7152)/F7152</f>
        <v>5.6135770234987101E-2</v>
      </c>
      <c r="H7153" t="e" cm="1" vm="1">
        <f t="array" aca="1" ref="H7153" ca="1">VLOOKUP(Cpi_[[#This Row],[Year]:[Month]],crudeoil[],3,FALSE)</f>
        <v>#VALUE!</v>
      </c>
    </row>
    <row r="7154" spans="1:8" hidden="1" x14ac:dyDescent="0.3">
      <c r="A7154" t="s">
        <v>30</v>
      </c>
      <c r="B7154">
        <v>2020</v>
      </c>
      <c r="C7154" t="s">
        <v>39</v>
      </c>
      <c r="D7154" t="s">
        <v>27</v>
      </c>
      <c r="E7154" t="e">
        <f>VLOOKUP(Cpi_[[#This Row],[Attribute]],#REF!,2,FALSE)</f>
        <v>#REF!</v>
      </c>
      <c r="F7154">
        <v>151.19999999999999</v>
      </c>
      <c r="G7154">
        <f>(Cpi_[[#This Row],[Value]]-F7153)/F7153</f>
        <v>-6.5512978986403098E-2</v>
      </c>
      <c r="H7154" t="e" cm="1" vm="1">
        <f t="array" aca="1" ref="H7154" ca="1">VLOOKUP(Cpi_[[#This Row],[Year]:[Month]],crudeoil[],3,FALSE)</f>
        <v>#VALUE!</v>
      </c>
    </row>
    <row r="7155" spans="1:8" hidden="1" x14ac:dyDescent="0.3">
      <c r="A7155" t="s">
        <v>30</v>
      </c>
      <c r="B7155">
        <v>2020</v>
      </c>
      <c r="C7155" t="s">
        <v>39</v>
      </c>
      <c r="D7155" t="s">
        <v>28</v>
      </c>
      <c r="E7155" t="e">
        <f>VLOOKUP(Cpi_[[#This Row],[Attribute]],#REF!,2,FALSE)</f>
        <v>#REF!</v>
      </c>
      <c r="F7155">
        <v>151.69999999999999</v>
      </c>
      <c r="G7155">
        <f>(Cpi_[[#This Row],[Value]]-F7154)/F7154</f>
        <v>3.3068783068783071E-3</v>
      </c>
      <c r="H7155" t="e" cm="1" vm="1">
        <f t="array" aca="1" ref="H7155" ca="1">VLOOKUP(Cpi_[[#This Row],[Year]:[Month]],crudeoil[],3,FALSE)</f>
        <v>#VALUE!</v>
      </c>
    </row>
    <row r="7156" spans="1:8" hidden="1" x14ac:dyDescent="0.3">
      <c r="A7156" t="s">
        <v>30</v>
      </c>
      <c r="B7156">
        <v>2020</v>
      </c>
      <c r="C7156" t="s">
        <v>39</v>
      </c>
      <c r="D7156" t="s">
        <v>29</v>
      </c>
      <c r="E7156" t="e" cm="1">
        <f t="array" aca="1" ref="E7156" ca="1">VLGeneral indexGeneral indexKUP(Cpi_[[#This Row],[Attribute]],#REF!,2,FALSE)</f>
        <v>#NAME?</v>
      </c>
      <c r="F7156">
        <v>152.69999999999999</v>
      </c>
      <c r="G7156">
        <f>(Cpi_[[#This Row],[Value]]-F7155)/F7155</f>
        <v>6.5919578114700074E-3</v>
      </c>
      <c r="H7156" t="e" cm="1" vm="1">
        <f t="array" aca="1" ref="H7156" ca="1">VLOOKUP(Cpi_[[#This Row],[Year]:[Month]],crudeoil[],3,FALSE)</f>
        <v>#VALUE!</v>
      </c>
    </row>
    <row r="7157" spans="1:8" hidden="1" x14ac:dyDescent="0.3">
      <c r="A7157" t="s">
        <v>33</v>
      </c>
      <c r="B7157">
        <v>2020</v>
      </c>
      <c r="C7157" t="s">
        <v>39</v>
      </c>
      <c r="D7157" t="s">
        <v>3</v>
      </c>
      <c r="E7157" t="e">
        <f>VLOOKUP(Cpi_[[#This Row],[Attribute]],#REF!,2,FALSE)</f>
        <v>#REF!</v>
      </c>
      <c r="F7157">
        <v>152.69999999999999</v>
      </c>
      <c r="G7157">
        <f>(Cpi_[[#This Row],[Value]]-F7156)/F7156</f>
        <v>0</v>
      </c>
      <c r="H7157" t="e" cm="1" vm="1">
        <f t="array" aca="1" ref="H7157" ca="1">VLOOKUP(Cpi_[[#This Row],[Year]:[Month]],crudeoil[],3,FALSE)</f>
        <v>#VALUE!</v>
      </c>
    </row>
    <row r="7158" spans="1:8" hidden="1" x14ac:dyDescent="0.3">
      <c r="A7158" t="s">
        <v>33</v>
      </c>
      <c r="B7158">
        <v>2020</v>
      </c>
      <c r="C7158" t="s">
        <v>39</v>
      </c>
      <c r="D7158" t="s">
        <v>4</v>
      </c>
      <c r="E7158" t="e">
        <f>VLOOKUP(Cpi_[[#This Row],[Attribute]],#REF!,2,FALSE)</f>
        <v>#REF!</v>
      </c>
      <c r="F7158">
        <v>197</v>
      </c>
      <c r="G7158">
        <f>(Cpi_[[#This Row],[Value]]-F7157)/F7157</f>
        <v>0.29011132940406037</v>
      </c>
      <c r="H7158" t="e" cm="1" vm="1">
        <f t="array" aca="1" ref="H7158" ca="1">VLOOKUP(Cpi_[[#This Row],[Year]:[Month]],crudeoil[],3,FALSE)</f>
        <v>#VALUE!</v>
      </c>
    </row>
    <row r="7159" spans="1:8" hidden="1" x14ac:dyDescent="0.3">
      <c r="A7159" t="s">
        <v>33</v>
      </c>
      <c r="B7159">
        <v>2020</v>
      </c>
      <c r="C7159" t="s">
        <v>39</v>
      </c>
      <c r="D7159" t="s">
        <v>5</v>
      </c>
      <c r="E7159" t="e">
        <f>VLOOKUP(Cpi_[[#This Row],[Attribute]],#REF!,2,FALSE)</f>
        <v>#REF!</v>
      </c>
      <c r="F7159">
        <v>154.6</v>
      </c>
      <c r="G7159">
        <f>(Cpi_[[#This Row],[Value]]-F7158)/F7158</f>
        <v>-0.21522842639593912</v>
      </c>
      <c r="H7159" t="e" cm="1" vm="1">
        <f t="array" aca="1" ref="H7159" ca="1">VLOOKUP(Cpi_[[#This Row],[Year]:[Month]],crudeoil[],3,FALSE)</f>
        <v>#VALUE!</v>
      </c>
    </row>
    <row r="7160" spans="1:8" hidden="1" x14ac:dyDescent="0.3">
      <c r="A7160" t="s">
        <v>33</v>
      </c>
      <c r="B7160">
        <v>2020</v>
      </c>
      <c r="C7160" t="s">
        <v>39</v>
      </c>
      <c r="D7160" t="s">
        <v>6</v>
      </c>
      <c r="E7160" t="e">
        <f>VLOOKUP(Cpi_[[#This Row],[Attribute]],#REF!,2,FALSE)</f>
        <v>#REF!</v>
      </c>
      <c r="F7160">
        <v>153.4</v>
      </c>
      <c r="G7160">
        <f>(Cpi_[[#This Row],[Value]]-F7159)/F7159</f>
        <v>-7.7619663648123456E-3</v>
      </c>
      <c r="H7160" t="e" cm="1" vm="1">
        <f t="array" aca="1" ref="H7160" ca="1">VLOOKUP(Cpi_[[#This Row],[Year]:[Month]],crudeoil[],3,FALSE)</f>
        <v>#VALUE!</v>
      </c>
    </row>
    <row r="7161" spans="1:8" hidden="1" x14ac:dyDescent="0.3">
      <c r="A7161" t="s">
        <v>33</v>
      </c>
      <c r="B7161">
        <v>2020</v>
      </c>
      <c r="C7161" t="s">
        <v>39</v>
      </c>
      <c r="D7161" t="s">
        <v>7</v>
      </c>
      <c r="E7161" t="e">
        <f>VLOOKUP(Cpi_[[#This Row],[Attribute]],#REF!,2,FALSE)</f>
        <v>#REF!</v>
      </c>
      <c r="F7161">
        <v>132.9</v>
      </c>
      <c r="G7161">
        <f>(Cpi_[[#This Row],[Value]]-F7160)/F7160</f>
        <v>-0.13363754889178617</v>
      </c>
      <c r="H7161" t="e" cm="1" vm="1">
        <f t="array" aca="1" ref="H7161" ca="1">VLOOKUP(Cpi_[[#This Row],[Year]:[Month]],crudeoil[],3,FALSE)</f>
        <v>#VALUE!</v>
      </c>
    </row>
    <row r="7162" spans="1:8" hidden="1" x14ac:dyDescent="0.3">
      <c r="A7162" t="s">
        <v>33</v>
      </c>
      <c r="B7162">
        <v>2020</v>
      </c>
      <c r="C7162" t="s">
        <v>39</v>
      </c>
      <c r="D7162" t="s">
        <v>8</v>
      </c>
      <c r="E7162" t="e">
        <f>VLOOKUP(Cpi_[[#This Row],[Attribute]],#REF!,2,FALSE)</f>
        <v>#REF!</v>
      </c>
      <c r="F7162">
        <v>151.80000000000001</v>
      </c>
      <c r="G7162">
        <f>(Cpi_[[#This Row],[Value]]-F7161)/F7161</f>
        <v>0.14221218961625287</v>
      </c>
      <c r="H7162" t="e" cm="1" vm="1">
        <f t="array" aca="1" ref="H7162" ca="1">VLOOKUP(Cpi_[[#This Row],[Year]:[Month]],crudeoil[],3,FALSE)</f>
        <v>#VALUE!</v>
      </c>
    </row>
    <row r="7163" spans="1:8" hidden="1" x14ac:dyDescent="0.3">
      <c r="A7163" t="s">
        <v>33</v>
      </c>
      <c r="B7163">
        <v>2020</v>
      </c>
      <c r="C7163" t="s">
        <v>39</v>
      </c>
      <c r="D7163" t="s">
        <v>9</v>
      </c>
      <c r="E7163" t="e">
        <f>VLOOKUP(Cpi_[[#This Row],[Attribute]],#REF!,2,FALSE)</f>
        <v>#REF!</v>
      </c>
      <c r="F7163">
        <v>171.2</v>
      </c>
      <c r="G7163">
        <f>(Cpi_[[#This Row],[Value]]-F7162)/F7162</f>
        <v>0.12779973649538851</v>
      </c>
      <c r="H7163" t="e" cm="1" vm="1">
        <f t="array" aca="1" ref="H7163" ca="1">VLOOKUP(Cpi_[[#This Row],[Year]:[Month]],crudeoil[],3,FALSE)</f>
        <v>#VALUE!</v>
      </c>
    </row>
    <row r="7164" spans="1:8" hidden="1" x14ac:dyDescent="0.3">
      <c r="A7164" t="s">
        <v>33</v>
      </c>
      <c r="B7164">
        <v>2020</v>
      </c>
      <c r="C7164" t="s">
        <v>39</v>
      </c>
      <c r="D7164" t="s">
        <v>10</v>
      </c>
      <c r="E7164" t="e">
        <f>VLOOKUP(Cpi_[[#This Row],[Attribute]],#REF!,2,FALSE)</f>
        <v>#REF!</v>
      </c>
      <c r="F7164">
        <v>152</v>
      </c>
      <c r="G7164">
        <f>(Cpi_[[#This Row],[Value]]-F7163)/F7163</f>
        <v>-0.11214953271028032</v>
      </c>
      <c r="H7164" t="e" cm="1" vm="1">
        <f t="array" aca="1" ref="H7164" ca="1">VLOOKUP(Cpi_[[#This Row],[Year]:[Month]],crudeoil[],3,FALSE)</f>
        <v>#VALUE!</v>
      </c>
    </row>
    <row r="7165" spans="1:8" hidden="1" x14ac:dyDescent="0.3">
      <c r="A7165" t="s">
        <v>33</v>
      </c>
      <c r="B7165">
        <v>2020</v>
      </c>
      <c r="C7165" t="s">
        <v>39</v>
      </c>
      <c r="D7165" t="s">
        <v>11</v>
      </c>
      <c r="E7165" t="e">
        <f>VLOOKUP(Cpi_[[#This Row],[Attribute]],#REF!,2,FALSE)</f>
        <v>#REF!</v>
      </c>
      <c r="F7165">
        <v>116.3</v>
      </c>
      <c r="G7165">
        <f>(Cpi_[[#This Row],[Value]]-F7164)/F7164</f>
        <v>-0.23486842105263159</v>
      </c>
      <c r="H7165" t="e" cm="1" vm="1">
        <f t="array" aca="1" ref="H7165" ca="1">VLOOKUP(Cpi_[[#This Row],[Year]:[Month]],crudeoil[],3,FALSE)</f>
        <v>#VALUE!</v>
      </c>
    </row>
    <row r="7166" spans="1:8" hidden="1" x14ac:dyDescent="0.3">
      <c r="A7166" t="s">
        <v>33</v>
      </c>
      <c r="B7166">
        <v>2020</v>
      </c>
      <c r="C7166" t="s">
        <v>39</v>
      </c>
      <c r="D7166" t="s">
        <v>12</v>
      </c>
      <c r="E7166" t="e">
        <f>VLOOKUP(Cpi_[[#This Row],[Attribute]],#REF!,2,FALSE)</f>
        <v>#REF!</v>
      </c>
      <c r="F7166">
        <v>158.80000000000001</v>
      </c>
      <c r="G7166">
        <f>(Cpi_[[#This Row],[Value]]-F7165)/F7165</f>
        <v>0.36543422184006891</v>
      </c>
      <c r="H7166" t="e" cm="1" vm="1">
        <f t="array" aca="1" ref="H7166" ca="1">VLOOKUP(Cpi_[[#This Row],[Year]:[Month]],crudeoil[],3,FALSE)</f>
        <v>#VALUE!</v>
      </c>
    </row>
    <row r="7167" spans="1:8" hidden="1" x14ac:dyDescent="0.3">
      <c r="A7167" t="s">
        <v>33</v>
      </c>
      <c r="B7167">
        <v>2020</v>
      </c>
      <c r="C7167" t="s">
        <v>39</v>
      </c>
      <c r="D7167" t="s">
        <v>13</v>
      </c>
      <c r="E7167" t="e">
        <f>VLOOKUP(Cpi_[[#This Row],[Attribute]],#REF!,2,FALSE)</f>
        <v>#REF!</v>
      </c>
      <c r="F7167">
        <v>135.6</v>
      </c>
      <c r="G7167">
        <f>(Cpi_[[#This Row],[Value]]-F7166)/F7166</f>
        <v>-0.14609571788413109</v>
      </c>
      <c r="H7167" t="e" cm="1" vm="1">
        <f t="array" aca="1" ref="H7167" ca="1">VLOOKUP(Cpi_[[#This Row],[Year]:[Month]],crudeoil[],3,FALSE)</f>
        <v>#VALUE!</v>
      </c>
    </row>
    <row r="7168" spans="1:8" hidden="1" x14ac:dyDescent="0.3">
      <c r="A7168" t="s">
        <v>33</v>
      </c>
      <c r="B7168">
        <v>2020</v>
      </c>
      <c r="C7168" t="s">
        <v>39</v>
      </c>
      <c r="D7168" t="s">
        <v>14</v>
      </c>
      <c r="E7168" t="e">
        <f>VLOOKUP(Cpi_[[#This Row],[Attribute]],#REF!,2,FALSE)</f>
        <v>#REF!</v>
      </c>
      <c r="F7168">
        <v>161.69999999999999</v>
      </c>
      <c r="G7168">
        <f>(Cpi_[[#This Row],[Value]]-F7167)/F7167</f>
        <v>0.19247787610619466</v>
      </c>
      <c r="H7168" t="e" cm="1" vm="1">
        <f t="array" aca="1" ref="H7168" ca="1">VLOOKUP(Cpi_[[#This Row],[Year]:[Month]],crudeoil[],3,FALSE)</f>
        <v>#VALUE!</v>
      </c>
    </row>
    <row r="7169" spans="1:8" hidden="1" x14ac:dyDescent="0.3">
      <c r="A7169" t="s">
        <v>33</v>
      </c>
      <c r="B7169">
        <v>2020</v>
      </c>
      <c r="C7169" t="s">
        <v>39</v>
      </c>
      <c r="D7169" t="s">
        <v>15</v>
      </c>
      <c r="E7169" t="e">
        <f>VLOOKUP(Cpi_[[#This Row],[Attribute]],#REF!,2,FALSE)</f>
        <v>#REF!</v>
      </c>
      <c r="F7169">
        <v>157</v>
      </c>
      <c r="G7169">
        <f>(Cpi_[[#This Row],[Value]]-F7168)/F7168</f>
        <v>-2.9066171923314711E-2</v>
      </c>
      <c r="H7169" t="e" cm="1" vm="1">
        <f t="array" aca="1" ref="H7169" ca="1">VLOOKUP(Cpi_[[#This Row],[Year]:[Month]],crudeoil[],3,FALSE)</f>
        <v>#VALUE!</v>
      </c>
    </row>
    <row r="7170" spans="1:8" hidden="1" x14ac:dyDescent="0.3">
      <c r="A7170" t="s">
        <v>33</v>
      </c>
      <c r="B7170">
        <v>2020</v>
      </c>
      <c r="C7170" t="s">
        <v>39</v>
      </c>
      <c r="D7170" t="s">
        <v>16</v>
      </c>
      <c r="E7170" t="e">
        <f>VLOOKUP(Cpi_[[#This Row],[Attribute]],#REF!,2,FALSE)</f>
        <v>#REF!</v>
      </c>
      <c r="F7170">
        <v>186.7</v>
      </c>
      <c r="G7170">
        <f>(Cpi_[[#This Row],[Value]]-F7169)/F7169</f>
        <v>0.18917197452229292</v>
      </c>
      <c r="H7170" t="e" cm="1" vm="1">
        <f t="array" aca="1" ref="H7170" ca="1">VLOOKUP(Cpi_[[#This Row],[Year]:[Month]],crudeoil[],3,FALSE)</f>
        <v>#VALUE!</v>
      </c>
    </row>
    <row r="7171" spans="1:8" hidden="1" x14ac:dyDescent="0.3">
      <c r="A7171" t="s">
        <v>33</v>
      </c>
      <c r="B7171">
        <v>2020</v>
      </c>
      <c r="C7171" t="s">
        <v>39</v>
      </c>
      <c r="D7171" t="s">
        <v>17</v>
      </c>
      <c r="E7171" t="e">
        <f>VLOOKUP(Cpi_[[#This Row],[Attribute]],#REF!,2,FALSE)</f>
        <v>#REF!</v>
      </c>
      <c r="F7171">
        <v>149.1</v>
      </c>
      <c r="G7171">
        <f>(Cpi_[[#This Row],[Value]]-F7170)/F7170</f>
        <v>-0.20139260846277449</v>
      </c>
      <c r="H7171" t="e" cm="1" vm="1">
        <f t="array" aca="1" ref="H7171" ca="1">VLOOKUP(Cpi_[[#This Row],[Year]:[Month]],crudeoil[],3,FALSE)</f>
        <v>#VALUE!</v>
      </c>
    </row>
    <row r="7172" spans="1:8" hidden="1" x14ac:dyDescent="0.3">
      <c r="A7172" t="s">
        <v>33</v>
      </c>
      <c r="B7172">
        <v>2020</v>
      </c>
      <c r="C7172" t="s">
        <v>39</v>
      </c>
      <c r="D7172" t="s">
        <v>18</v>
      </c>
      <c r="E7172" t="e">
        <f>VLOOKUP(Cpi_[[#This Row],[Attribute]],#REF!,2,FALSE)</f>
        <v>#REF!</v>
      </c>
      <c r="F7172">
        <v>136.6</v>
      </c>
      <c r="G7172">
        <f>(Cpi_[[#This Row],[Value]]-F7171)/F7171</f>
        <v>-8.3836351441985243E-2</v>
      </c>
      <c r="H7172" t="e" cm="1" vm="1">
        <f t="array" aca="1" ref="H7172" ca="1">VLOOKUP(Cpi_[[#This Row],[Year]:[Month]],crudeoil[],3,FALSE)</f>
        <v>#VALUE!</v>
      </c>
    </row>
    <row r="7173" spans="1:8" hidden="1" x14ac:dyDescent="0.3">
      <c r="A7173" t="s">
        <v>33</v>
      </c>
      <c r="B7173">
        <v>2020</v>
      </c>
      <c r="C7173" t="s">
        <v>39</v>
      </c>
      <c r="D7173" t="s">
        <v>19</v>
      </c>
      <c r="E7173" t="e">
        <f>VLOOKUP(Cpi_[[#This Row],[Attribute]],#REF!,2,FALSE)</f>
        <v>#REF!</v>
      </c>
      <c r="F7173">
        <v>147.19999999999999</v>
      </c>
      <c r="G7173">
        <f>(Cpi_[[#This Row],[Value]]-F7172)/F7172</f>
        <v>7.759882869692529E-2</v>
      </c>
      <c r="H7173" t="e" cm="1" vm="1">
        <f t="array" aca="1" ref="H7173" ca="1">VLOOKUP(Cpi_[[#This Row],[Year]:[Month]],crudeoil[],3,FALSE)</f>
        <v>#VALUE!</v>
      </c>
    </row>
    <row r="7174" spans="1:8" hidden="1" x14ac:dyDescent="0.3">
      <c r="A7174" t="s">
        <v>33</v>
      </c>
      <c r="B7174">
        <v>2020</v>
      </c>
      <c r="C7174" t="s">
        <v>39</v>
      </c>
      <c r="D7174" t="s">
        <v>20</v>
      </c>
      <c r="E7174" t="e">
        <f>VLOOKUP(Cpi_[[#This Row],[Attribute]],#REF!,2,FALSE)</f>
        <v>#REF!</v>
      </c>
      <c r="F7174">
        <v>154.69999999999999</v>
      </c>
      <c r="G7174">
        <f>(Cpi_[[#This Row],[Value]]-F7173)/F7173</f>
        <v>5.0951086956521743E-2</v>
      </c>
      <c r="H7174" t="e" cm="1" vm="1">
        <f t="array" aca="1" ref="H7174" ca="1">VLOOKUP(Cpi_[[#This Row],[Year]:[Month]],crudeoil[],3,FALSE)</f>
        <v>#VALUE!</v>
      </c>
    </row>
    <row r="7175" spans="1:8" hidden="1" x14ac:dyDescent="0.3">
      <c r="A7175" t="s">
        <v>33</v>
      </c>
      <c r="B7175">
        <v>2020</v>
      </c>
      <c r="C7175" t="s">
        <v>39</v>
      </c>
      <c r="D7175" t="s">
        <v>21</v>
      </c>
      <c r="E7175" t="e">
        <f>VLOOKUP(Cpi_[[#This Row],[Attribute]],#REF!,2,FALSE)</f>
        <v>#REF!</v>
      </c>
      <c r="F7175">
        <v>137.1</v>
      </c>
      <c r="G7175">
        <f>(Cpi_[[#This Row],[Value]]-F7174)/F7174</f>
        <v>-0.11376858435681962</v>
      </c>
      <c r="H7175" t="e" cm="1" vm="1">
        <f t="array" aca="1" ref="H7175" ca="1">VLOOKUP(Cpi_[[#This Row],[Year]:[Month]],crudeoil[],3,FALSE)</f>
        <v>#VALUE!</v>
      </c>
    </row>
    <row r="7176" spans="1:8" hidden="1" x14ac:dyDescent="0.3">
      <c r="A7176" t="s">
        <v>33</v>
      </c>
      <c r="B7176">
        <v>2020</v>
      </c>
      <c r="C7176" t="s">
        <v>39</v>
      </c>
      <c r="D7176" t="s">
        <v>22</v>
      </c>
      <c r="E7176" t="e">
        <f>VLOOKUP(Cpi_[[#This Row],[Attribute]],#REF!,2,FALSE)</f>
        <v>#REF!</v>
      </c>
      <c r="F7176">
        <v>140.4</v>
      </c>
      <c r="G7176">
        <f>(Cpi_[[#This Row],[Value]]-F7175)/F7175</f>
        <v>2.4070021881838159E-2</v>
      </c>
      <c r="H7176" t="e" cm="1" vm="1">
        <f t="array" aca="1" ref="H7176" ca="1">VLOOKUP(Cpi_[[#This Row],[Year]:[Month]],crudeoil[],3,FALSE)</f>
        <v>#VALUE!</v>
      </c>
    </row>
    <row r="7177" spans="1:8" hidden="1" x14ac:dyDescent="0.3">
      <c r="A7177" t="s">
        <v>33</v>
      </c>
      <c r="B7177">
        <v>2020</v>
      </c>
      <c r="C7177" t="s">
        <v>39</v>
      </c>
      <c r="D7177" t="s">
        <v>23</v>
      </c>
      <c r="E7177" t="e">
        <f>VLOOKUP(Cpi_[[#This Row],[Attribute]],#REF!,2,FALSE)</f>
        <v>#REF!</v>
      </c>
      <c r="F7177">
        <v>148.1</v>
      </c>
      <c r="G7177">
        <f>(Cpi_[[#This Row],[Value]]-F7176)/F7176</f>
        <v>5.4843304843304762E-2</v>
      </c>
      <c r="H7177" t="e" cm="1" vm="1">
        <f t="array" aca="1" ref="H7177" ca="1">VLOOKUP(Cpi_[[#This Row],[Year]:[Month]],crudeoil[],3,FALSE)</f>
        <v>#VALUE!</v>
      </c>
    </row>
    <row r="7178" spans="1:8" hidden="1" x14ac:dyDescent="0.3">
      <c r="A7178" t="s">
        <v>33</v>
      </c>
      <c r="B7178">
        <v>2020</v>
      </c>
      <c r="C7178" t="s">
        <v>39</v>
      </c>
      <c r="D7178" t="s">
        <v>24</v>
      </c>
      <c r="E7178" t="e">
        <f>VLOOKUP(Cpi_[[#This Row],[Attribute]],#REF!,2,FALSE)</f>
        <v>#REF!</v>
      </c>
      <c r="F7178">
        <v>129.30000000000001</v>
      </c>
      <c r="G7178">
        <f>(Cpi_[[#This Row],[Value]]-F7177)/F7177</f>
        <v>-0.12694125590817004</v>
      </c>
      <c r="H7178" t="e" cm="1" vm="1">
        <f t="array" aca="1" ref="H7178" ca="1">VLOOKUP(Cpi_[[#This Row],[Year]:[Month]],crudeoil[],3,FALSE)</f>
        <v>#VALUE!</v>
      </c>
    </row>
    <row r="7179" spans="1:8" hidden="1" x14ac:dyDescent="0.3">
      <c r="A7179" t="s">
        <v>33</v>
      </c>
      <c r="B7179">
        <v>2020</v>
      </c>
      <c r="C7179" t="s">
        <v>39</v>
      </c>
      <c r="D7179" t="s">
        <v>25</v>
      </c>
      <c r="E7179" t="e">
        <f>VLOOKUP(Cpi_[[#This Row],[Attribute]],#REF!,2,FALSE)</f>
        <v>#REF!</v>
      </c>
      <c r="F7179">
        <v>144.5</v>
      </c>
      <c r="G7179">
        <f>(Cpi_[[#This Row],[Value]]-F7178)/F7178</f>
        <v>0.11755607115235876</v>
      </c>
      <c r="H7179" t="e" cm="1" vm="1">
        <f t="array" aca="1" ref="H7179" ca="1">VLOOKUP(Cpi_[[#This Row],[Year]:[Month]],crudeoil[],3,FALSE)</f>
        <v>#VALUE!</v>
      </c>
    </row>
    <row r="7180" spans="1:8" hidden="1" x14ac:dyDescent="0.3">
      <c r="A7180" t="s">
        <v>33</v>
      </c>
      <c r="B7180">
        <v>2020</v>
      </c>
      <c r="C7180" t="s">
        <v>39</v>
      </c>
      <c r="D7180" t="s">
        <v>26</v>
      </c>
      <c r="E7180" t="e">
        <f>VLOOKUP(Cpi_[[#This Row],[Attribute]],#REF!,2,FALSE)</f>
        <v>#REF!</v>
      </c>
      <c r="F7180">
        <v>152.5</v>
      </c>
      <c r="G7180">
        <f>(Cpi_[[#This Row],[Value]]-F7179)/F7179</f>
        <v>5.536332179930796E-2</v>
      </c>
      <c r="H7180" t="e" cm="1" vm="1">
        <f t="array" aca="1" ref="H7180" ca="1">VLOOKUP(Cpi_[[#This Row],[Year]:[Month]],crudeoil[],3,FALSE)</f>
        <v>#VALUE!</v>
      </c>
    </row>
    <row r="7181" spans="1:8" hidden="1" x14ac:dyDescent="0.3">
      <c r="A7181" t="s">
        <v>33</v>
      </c>
      <c r="B7181">
        <v>2020</v>
      </c>
      <c r="C7181" t="s">
        <v>39</v>
      </c>
      <c r="D7181" t="s">
        <v>27</v>
      </c>
      <c r="E7181" t="e">
        <f>VLOOKUP(Cpi_[[#This Row],[Attribute]],#REF!,2,FALSE)</f>
        <v>#REF!</v>
      </c>
      <c r="F7181">
        <v>152.19999999999999</v>
      </c>
      <c r="G7181">
        <f>(Cpi_[[#This Row],[Value]]-F7180)/F7180</f>
        <v>-1.967213114754173E-3</v>
      </c>
      <c r="H7181" t="e" cm="1" vm="1">
        <f t="array" aca="1" ref="H7181" ca="1">VLOOKUP(Cpi_[[#This Row],[Year]:[Month]],crudeoil[],3,FALSE)</f>
        <v>#VALUE!</v>
      </c>
    </row>
    <row r="7182" spans="1:8" hidden="1" x14ac:dyDescent="0.3">
      <c r="A7182" t="s">
        <v>33</v>
      </c>
      <c r="B7182">
        <v>2020</v>
      </c>
      <c r="C7182" t="s">
        <v>39</v>
      </c>
      <c r="D7182" t="s">
        <v>28</v>
      </c>
      <c r="E7182" t="e">
        <f>VLOOKUP(Cpi_[[#This Row],[Attribute]],#REF!,2,FALSE)</f>
        <v>#REF!</v>
      </c>
      <c r="F7182">
        <v>142</v>
      </c>
      <c r="G7182">
        <f>(Cpi_[[#This Row],[Value]]-F7181)/F7181</f>
        <v>-6.7017082785808077E-2</v>
      </c>
      <c r="H7182" t="e" cm="1" vm="1">
        <f t="array" aca="1" ref="H7182" ca="1">VLOOKUP(Cpi_[[#This Row],[Year]:[Month]],crudeoil[],3,FALSE)</f>
        <v>#VALUE!</v>
      </c>
    </row>
    <row r="7183" spans="1:8" hidden="1" x14ac:dyDescent="0.3">
      <c r="A7183" t="s">
        <v>33</v>
      </c>
      <c r="B7183">
        <v>2020</v>
      </c>
      <c r="C7183" t="s">
        <v>39</v>
      </c>
      <c r="D7183" t="s">
        <v>29</v>
      </c>
      <c r="E7183" t="e" cm="1">
        <f t="array" aca="1" ref="E7183" ca="1">VLGeneral indexGeneral indexKUP(Cpi_[[#This Row],[Attribute]],#REF!,2,FALSE)</f>
        <v>#NAME?</v>
      </c>
      <c r="F7183">
        <v>150.80000000000001</v>
      </c>
      <c r="G7183">
        <f>(Cpi_[[#This Row],[Value]]-F7182)/F7182</f>
        <v>6.197183098591557E-2</v>
      </c>
      <c r="H7183" t="e" cm="1" vm="1">
        <f t="array" aca="1" ref="H7183" ca="1">VLOOKUP(Cpi_[[#This Row],[Year]:[Month]],crudeoil[],3,FALSE)</f>
        <v>#VALUE!</v>
      </c>
    </row>
    <row r="7184" spans="1:8" hidden="1" x14ac:dyDescent="0.3">
      <c r="A7184" t="s">
        <v>34</v>
      </c>
      <c r="B7184">
        <v>2020</v>
      </c>
      <c r="C7184" t="s">
        <v>39</v>
      </c>
      <c r="D7184" t="s">
        <v>3</v>
      </c>
      <c r="E7184" t="e">
        <f>VLOOKUP(Cpi_[[#This Row],[Attribute]],#REF!,2,FALSE)</f>
        <v>#REF!</v>
      </c>
      <c r="F7184">
        <v>149.6</v>
      </c>
      <c r="G7184">
        <f>(Cpi_[[#This Row],[Value]]-F7183)/F7183</f>
        <v>-7.9575596816977255E-3</v>
      </c>
      <c r="H7184" t="e" cm="1" vm="1">
        <f t="array" aca="1" ref="H7184" ca="1">VLOOKUP(Cpi_[[#This Row],[Year]:[Month]],crudeoil[],3,FALSE)</f>
        <v>#VALUE!</v>
      </c>
    </row>
    <row r="7185" spans="1:8" hidden="1" x14ac:dyDescent="0.3">
      <c r="A7185" t="s">
        <v>34</v>
      </c>
      <c r="B7185">
        <v>2020</v>
      </c>
      <c r="C7185" t="s">
        <v>39</v>
      </c>
      <c r="D7185" t="s">
        <v>4</v>
      </c>
      <c r="E7185" t="e">
        <f>VLOOKUP(Cpi_[[#This Row],[Attribute]],#REF!,2,FALSE)</f>
        <v>#REF!</v>
      </c>
      <c r="F7185">
        <v>192.7</v>
      </c>
      <c r="G7185">
        <f>(Cpi_[[#This Row],[Value]]-F7184)/F7184</f>
        <v>0.28810160427807485</v>
      </c>
      <c r="H7185" t="e" cm="1" vm="1">
        <f t="array" aca="1" ref="H7185" ca="1">VLOOKUP(Cpi_[[#This Row],[Year]:[Month]],crudeoil[],3,FALSE)</f>
        <v>#VALUE!</v>
      </c>
    </row>
    <row r="7186" spans="1:8" hidden="1" x14ac:dyDescent="0.3">
      <c r="A7186" t="s">
        <v>34</v>
      </c>
      <c r="B7186">
        <v>2020</v>
      </c>
      <c r="C7186" t="s">
        <v>39</v>
      </c>
      <c r="D7186" t="s">
        <v>5</v>
      </c>
      <c r="E7186" t="e">
        <f>VLOOKUP(Cpi_[[#This Row],[Attribute]],#REF!,2,FALSE)</f>
        <v>#REF!</v>
      </c>
      <c r="F7186">
        <v>151.4</v>
      </c>
      <c r="G7186">
        <f>(Cpi_[[#This Row],[Value]]-F7185)/F7185</f>
        <v>-0.21432278152568751</v>
      </c>
      <c r="H7186" t="e" cm="1" vm="1">
        <f t="array" aca="1" ref="H7186" ca="1">VLOOKUP(Cpi_[[#This Row],[Year]:[Month]],crudeoil[],3,FALSE)</f>
        <v>#VALUE!</v>
      </c>
    </row>
    <row r="7187" spans="1:8" hidden="1" x14ac:dyDescent="0.3">
      <c r="A7187" t="s">
        <v>34</v>
      </c>
      <c r="B7187">
        <v>2020</v>
      </c>
      <c r="C7187" t="s">
        <v>39</v>
      </c>
      <c r="D7187" t="s">
        <v>6</v>
      </c>
      <c r="E7187" t="e">
        <f>VLOOKUP(Cpi_[[#This Row],[Attribute]],#REF!,2,FALSE)</f>
        <v>#REF!</v>
      </c>
      <c r="F7187">
        <v>153.30000000000001</v>
      </c>
      <c r="G7187">
        <f>(Cpi_[[#This Row],[Value]]-F7186)/F7186</f>
        <v>1.2549537648612982E-2</v>
      </c>
      <c r="H7187" t="e" cm="1" vm="1">
        <f t="array" aca="1" ref="H7187" ca="1">VLOOKUP(Cpi_[[#This Row],[Year]:[Month]],crudeoil[],3,FALSE)</f>
        <v>#VALUE!</v>
      </c>
    </row>
    <row r="7188" spans="1:8" hidden="1" x14ac:dyDescent="0.3">
      <c r="A7188" t="s">
        <v>34</v>
      </c>
      <c r="B7188">
        <v>2020</v>
      </c>
      <c r="C7188" t="s">
        <v>39</v>
      </c>
      <c r="D7188" t="s">
        <v>7</v>
      </c>
      <c r="E7188" t="e">
        <f>VLOOKUP(Cpi_[[#This Row],[Attribute]],#REF!,2,FALSE)</f>
        <v>#REF!</v>
      </c>
      <c r="F7188">
        <v>136.30000000000001</v>
      </c>
      <c r="G7188">
        <f>(Cpi_[[#This Row],[Value]]-F7187)/F7187</f>
        <v>-0.11089367253750815</v>
      </c>
      <c r="H7188" t="e" cm="1" vm="1">
        <f t="array" aca="1" ref="H7188" ca="1">VLOOKUP(Cpi_[[#This Row],[Year]:[Month]],crudeoil[],3,FALSE)</f>
        <v>#VALUE!</v>
      </c>
    </row>
    <row r="7189" spans="1:8" hidden="1" x14ac:dyDescent="0.3">
      <c r="A7189" t="s">
        <v>34</v>
      </c>
      <c r="B7189">
        <v>2020</v>
      </c>
      <c r="C7189" t="s">
        <v>39</v>
      </c>
      <c r="D7189" t="s">
        <v>8</v>
      </c>
      <c r="E7189" t="e">
        <f>VLOOKUP(Cpi_[[#This Row],[Attribute]],#REF!,2,FALSE)</f>
        <v>#REF!</v>
      </c>
      <c r="F7189">
        <v>147.19999999999999</v>
      </c>
      <c r="G7189">
        <f>(Cpi_[[#This Row],[Value]]-F7188)/F7188</f>
        <v>7.9970652971386474E-2</v>
      </c>
      <c r="H7189" t="e" cm="1" vm="1">
        <f t="array" aca="1" ref="H7189" ca="1">VLOOKUP(Cpi_[[#This Row],[Year]:[Month]],crudeoil[],3,FALSE)</f>
        <v>#VALUE!</v>
      </c>
    </row>
    <row r="7190" spans="1:8" hidden="1" x14ac:dyDescent="0.3">
      <c r="A7190" t="s">
        <v>34</v>
      </c>
      <c r="B7190">
        <v>2020</v>
      </c>
      <c r="C7190" t="s">
        <v>39</v>
      </c>
      <c r="D7190" t="s">
        <v>9</v>
      </c>
      <c r="E7190" t="e">
        <f>VLOOKUP(Cpi_[[#This Row],[Attribute]],#REF!,2,FALSE)</f>
        <v>#REF!</v>
      </c>
      <c r="F7190">
        <v>156.5</v>
      </c>
      <c r="G7190">
        <f>(Cpi_[[#This Row],[Value]]-F7189)/F7189</f>
        <v>6.3179347826087043E-2</v>
      </c>
      <c r="H7190" t="e" cm="1" vm="1">
        <f t="array" aca="1" ref="H7190" ca="1">VLOOKUP(Cpi_[[#This Row],[Year]:[Month]],crudeoil[],3,FALSE)</f>
        <v>#VALUE!</v>
      </c>
    </row>
    <row r="7191" spans="1:8" hidden="1" x14ac:dyDescent="0.3">
      <c r="A7191" t="s">
        <v>34</v>
      </c>
      <c r="B7191">
        <v>2020</v>
      </c>
      <c r="C7191" t="s">
        <v>39</v>
      </c>
      <c r="D7191" t="s">
        <v>10</v>
      </c>
      <c r="E7191" t="e">
        <f>VLOOKUP(Cpi_[[#This Row],[Attribute]],#REF!,2,FALSE)</f>
        <v>#REF!</v>
      </c>
      <c r="F7191">
        <v>150.9</v>
      </c>
      <c r="G7191">
        <f>(Cpi_[[#This Row],[Value]]-F7190)/F7190</f>
        <v>-3.5782747603833827E-2</v>
      </c>
      <c r="H7191" t="e" cm="1" vm="1">
        <f t="array" aca="1" ref="H7191" ca="1">VLOOKUP(Cpi_[[#This Row],[Year]:[Month]],crudeoil[],3,FALSE)</f>
        <v>#VALUE!</v>
      </c>
    </row>
    <row r="7192" spans="1:8" hidden="1" x14ac:dyDescent="0.3">
      <c r="A7192" t="s">
        <v>34</v>
      </c>
      <c r="B7192">
        <v>2020</v>
      </c>
      <c r="C7192" t="s">
        <v>39</v>
      </c>
      <c r="D7192" t="s">
        <v>11</v>
      </c>
      <c r="E7192" t="e">
        <f>VLOOKUP(Cpi_[[#This Row],[Attribute]],#REF!,2,FALSE)</f>
        <v>#REF!</v>
      </c>
      <c r="F7192">
        <v>114.2</v>
      </c>
      <c r="G7192">
        <f>(Cpi_[[#This Row],[Value]]-F7191)/F7191</f>
        <v>-0.24320742213386348</v>
      </c>
      <c r="H7192" t="e" cm="1" vm="1">
        <f t="array" aca="1" ref="H7192" ca="1">VLOOKUP(Cpi_[[#This Row],[Year]:[Month]],crudeoil[],3,FALSE)</f>
        <v>#VALUE!</v>
      </c>
    </row>
    <row r="7193" spans="1:8" hidden="1" x14ac:dyDescent="0.3">
      <c r="A7193" t="s">
        <v>34</v>
      </c>
      <c r="B7193">
        <v>2020</v>
      </c>
      <c r="C7193" t="s">
        <v>39</v>
      </c>
      <c r="D7193" t="s">
        <v>12</v>
      </c>
      <c r="E7193" t="e">
        <f>VLOOKUP(Cpi_[[#This Row],[Attribute]],#REF!,2,FALSE)</f>
        <v>#REF!</v>
      </c>
      <c r="F7193">
        <v>159.5</v>
      </c>
      <c r="G7193">
        <f>(Cpi_[[#This Row],[Value]]-F7192)/F7192</f>
        <v>0.39667250437828366</v>
      </c>
      <c r="H7193" t="e" cm="1" vm="1">
        <f t="array" aca="1" ref="H7193" ca="1">VLOOKUP(Cpi_[[#This Row],[Year]:[Month]],crudeoil[],3,FALSE)</f>
        <v>#VALUE!</v>
      </c>
    </row>
    <row r="7194" spans="1:8" hidden="1" x14ac:dyDescent="0.3">
      <c r="A7194" t="s">
        <v>34</v>
      </c>
      <c r="B7194">
        <v>2020</v>
      </c>
      <c r="C7194" t="s">
        <v>39</v>
      </c>
      <c r="D7194" t="s">
        <v>13</v>
      </c>
      <c r="E7194" t="e">
        <f>VLOOKUP(Cpi_[[#This Row],[Attribute]],#REF!,2,FALSE)</f>
        <v>#REF!</v>
      </c>
      <c r="F7194">
        <v>139.4</v>
      </c>
      <c r="G7194">
        <f>(Cpi_[[#This Row],[Value]]-F7193)/F7193</f>
        <v>-0.12601880877742944</v>
      </c>
      <c r="H7194" t="e" cm="1" vm="1">
        <f t="array" aca="1" ref="H7194" ca="1">VLOOKUP(Cpi_[[#This Row],[Year]:[Month]],crudeoil[],3,FALSE)</f>
        <v>#VALUE!</v>
      </c>
    </row>
    <row r="7195" spans="1:8" hidden="1" x14ac:dyDescent="0.3">
      <c r="A7195" t="s">
        <v>34</v>
      </c>
      <c r="B7195">
        <v>2020</v>
      </c>
      <c r="C7195" t="s">
        <v>39</v>
      </c>
      <c r="D7195" t="s">
        <v>14</v>
      </c>
      <c r="E7195" t="e">
        <f>VLOOKUP(Cpi_[[#This Row],[Attribute]],#REF!,2,FALSE)</f>
        <v>#REF!</v>
      </c>
      <c r="F7195">
        <v>161.80000000000001</v>
      </c>
      <c r="G7195">
        <f>(Cpi_[[#This Row],[Value]]-F7194)/F7194</f>
        <v>0.16068866571018656</v>
      </c>
      <c r="H7195" t="e" cm="1" vm="1">
        <f t="array" aca="1" ref="H7195" ca="1">VLOOKUP(Cpi_[[#This Row],[Year]:[Month]],crudeoil[],3,FALSE)</f>
        <v>#VALUE!</v>
      </c>
    </row>
    <row r="7196" spans="1:8" hidden="1" x14ac:dyDescent="0.3">
      <c r="A7196" t="s">
        <v>34</v>
      </c>
      <c r="B7196">
        <v>2020</v>
      </c>
      <c r="C7196" t="s">
        <v>39</v>
      </c>
      <c r="D7196" t="s">
        <v>15</v>
      </c>
      <c r="E7196" t="e">
        <f>VLOOKUP(Cpi_[[#This Row],[Attribute]],#REF!,2,FALSE)</f>
        <v>#REF!</v>
      </c>
      <c r="F7196">
        <v>154</v>
      </c>
      <c r="G7196">
        <f>(Cpi_[[#This Row],[Value]]-F7195)/F7195</f>
        <v>-4.8207663782447535E-2</v>
      </c>
      <c r="H7196" t="e" cm="1" vm="1">
        <f t="array" aca="1" ref="H7196" ca="1">VLOOKUP(Cpi_[[#This Row],[Year]:[Month]],crudeoil[],3,FALSE)</f>
        <v>#VALUE!</v>
      </c>
    </row>
    <row r="7197" spans="1:8" hidden="1" x14ac:dyDescent="0.3">
      <c r="A7197" t="s">
        <v>34</v>
      </c>
      <c r="B7197">
        <v>2020</v>
      </c>
      <c r="C7197" t="s">
        <v>39</v>
      </c>
      <c r="D7197" t="s">
        <v>16</v>
      </c>
      <c r="E7197" t="e">
        <f>VLOOKUP(Cpi_[[#This Row],[Attribute]],#REF!,2,FALSE)</f>
        <v>#REF!</v>
      </c>
      <c r="F7197">
        <v>183.5</v>
      </c>
      <c r="G7197">
        <f>(Cpi_[[#This Row],[Value]]-F7196)/F7196</f>
        <v>0.19155844155844157</v>
      </c>
      <c r="H7197" t="e" cm="1" vm="1">
        <f t="array" aca="1" ref="H7197" ca="1">VLOOKUP(Cpi_[[#This Row],[Year]:[Month]],crudeoil[],3,FALSE)</f>
        <v>#VALUE!</v>
      </c>
    </row>
    <row r="7198" spans="1:8" hidden="1" x14ac:dyDescent="0.3">
      <c r="A7198" t="s">
        <v>34</v>
      </c>
      <c r="B7198">
        <v>2020</v>
      </c>
      <c r="C7198" t="s">
        <v>39</v>
      </c>
      <c r="D7198" t="s">
        <v>17</v>
      </c>
      <c r="E7198" t="e">
        <f>VLOOKUP(Cpi_[[#This Row],[Attribute]],#REF!,2,FALSE)</f>
        <v>#REF!</v>
      </c>
      <c r="F7198">
        <v>152.5</v>
      </c>
      <c r="G7198">
        <f>(Cpi_[[#This Row],[Value]]-F7197)/F7197</f>
        <v>-0.16893732970027248</v>
      </c>
      <c r="H7198" t="e" cm="1" vm="1">
        <f t="array" aca="1" ref="H7198" ca="1">VLOOKUP(Cpi_[[#This Row],[Year]:[Month]],crudeoil[],3,FALSE)</f>
        <v>#VALUE!</v>
      </c>
    </row>
    <row r="7199" spans="1:8" hidden="1" x14ac:dyDescent="0.3">
      <c r="A7199" t="s">
        <v>34</v>
      </c>
      <c r="B7199">
        <v>2020</v>
      </c>
      <c r="C7199" t="s">
        <v>39</v>
      </c>
      <c r="D7199" t="s">
        <v>18</v>
      </c>
      <c r="E7199" t="e">
        <f>VLOOKUP(Cpi_[[#This Row],[Attribute]],#REF!,2,FALSE)</f>
        <v>#REF!</v>
      </c>
      <c r="F7199">
        <v>144.4</v>
      </c>
      <c r="G7199">
        <f>(Cpi_[[#This Row],[Value]]-F7198)/F7198</f>
        <v>-5.3114754098360618E-2</v>
      </c>
      <c r="H7199" t="e" cm="1" vm="1">
        <f t="array" aca="1" ref="H7199" ca="1">VLOOKUP(Cpi_[[#This Row],[Year]:[Month]],crudeoil[],3,FALSE)</f>
        <v>#VALUE!</v>
      </c>
    </row>
    <row r="7200" spans="1:8" hidden="1" x14ac:dyDescent="0.3">
      <c r="A7200" t="s">
        <v>34</v>
      </c>
      <c r="B7200">
        <v>2020</v>
      </c>
      <c r="C7200" t="s">
        <v>39</v>
      </c>
      <c r="D7200" t="s">
        <v>19</v>
      </c>
      <c r="E7200" t="e">
        <f>VLOOKUP(Cpi_[[#This Row],[Attribute]],#REF!,2,FALSE)</f>
        <v>#REF!</v>
      </c>
      <c r="F7200">
        <v>151.4</v>
      </c>
      <c r="G7200">
        <f>(Cpi_[[#This Row],[Value]]-F7199)/F7199</f>
        <v>4.8476454293628804E-2</v>
      </c>
      <c r="H7200" t="e" cm="1" vm="1">
        <f t="array" aca="1" ref="H7200" ca="1">VLOOKUP(Cpi_[[#This Row],[Year]:[Month]],crudeoil[],3,FALSE)</f>
        <v>#VALUE!</v>
      </c>
    </row>
    <row r="7201" spans="1:8" hidden="1" x14ac:dyDescent="0.3">
      <c r="A7201" t="s">
        <v>34</v>
      </c>
      <c r="B7201">
        <v>2020</v>
      </c>
      <c r="C7201" t="s">
        <v>39</v>
      </c>
      <c r="D7201" t="s">
        <v>20</v>
      </c>
      <c r="E7201" t="e">
        <f>VLOOKUP(Cpi_[[#This Row],[Attribute]],#REF!,2,FALSE)</f>
        <v>#REF!</v>
      </c>
      <c r="F7201">
        <v>154.69999999999999</v>
      </c>
      <c r="G7201">
        <f>(Cpi_[[#This Row],[Value]]-F7200)/F7200</f>
        <v>2.1796565389696057E-2</v>
      </c>
      <c r="H7201" t="e" cm="1" vm="1">
        <f t="array" aca="1" ref="H7201" ca="1">VLOOKUP(Cpi_[[#This Row],[Year]:[Month]],crudeoil[],3,FALSE)</f>
        <v>#VALUE!</v>
      </c>
    </row>
    <row r="7202" spans="1:8" hidden="1" x14ac:dyDescent="0.3">
      <c r="A7202" t="s">
        <v>34</v>
      </c>
      <c r="B7202">
        <v>2020</v>
      </c>
      <c r="C7202" t="s">
        <v>39</v>
      </c>
      <c r="D7202" t="s">
        <v>21</v>
      </c>
      <c r="E7202" t="e">
        <f>VLOOKUP(Cpi_[[#This Row],[Attribute]],#REF!,2,FALSE)</f>
        <v>#REF!</v>
      </c>
      <c r="F7202">
        <v>141.9</v>
      </c>
      <c r="G7202">
        <f>(Cpi_[[#This Row],[Value]]-F7201)/F7201</f>
        <v>-8.2740788623141465E-2</v>
      </c>
      <c r="H7202" t="e" cm="1" vm="1">
        <f t="array" aca="1" ref="H7202" ca="1">VLOOKUP(Cpi_[[#This Row],[Year]:[Month]],crudeoil[],3,FALSE)</f>
        <v>#VALUE!</v>
      </c>
    </row>
    <row r="7203" spans="1:8" hidden="1" x14ac:dyDescent="0.3">
      <c r="A7203" t="s">
        <v>34</v>
      </c>
      <c r="B7203">
        <v>2020</v>
      </c>
      <c r="C7203" t="s">
        <v>39</v>
      </c>
      <c r="D7203" t="s">
        <v>22</v>
      </c>
      <c r="E7203" t="e">
        <f>VLOOKUP(Cpi_[[#This Row],[Attribute]],#REF!,2,FALSE)</f>
        <v>#REF!</v>
      </c>
      <c r="F7203">
        <v>146.4</v>
      </c>
      <c r="G7203">
        <f>(Cpi_[[#This Row],[Value]]-F7202)/F7202</f>
        <v>3.1712473572938688E-2</v>
      </c>
      <c r="H7203" t="e" cm="1" vm="1">
        <f t="array" aca="1" ref="H7203" ca="1">VLOOKUP(Cpi_[[#This Row],[Year]:[Month]],crudeoil[],3,FALSE)</f>
        <v>#VALUE!</v>
      </c>
    </row>
    <row r="7204" spans="1:8" hidden="1" x14ac:dyDescent="0.3">
      <c r="A7204" t="s">
        <v>34</v>
      </c>
      <c r="B7204">
        <v>2020</v>
      </c>
      <c r="C7204" t="s">
        <v>39</v>
      </c>
      <c r="D7204" t="s">
        <v>23</v>
      </c>
      <c r="E7204" t="e">
        <f>VLOOKUP(Cpi_[[#This Row],[Attribute]],#REF!,2,FALSE)</f>
        <v>#REF!</v>
      </c>
      <c r="F7204">
        <v>154.4</v>
      </c>
      <c r="G7204">
        <f>(Cpi_[[#This Row],[Value]]-F7203)/F7203</f>
        <v>5.4644808743169397E-2</v>
      </c>
      <c r="H7204" t="e" cm="1" vm="1">
        <f t="array" aca="1" ref="H7204" ca="1">VLOOKUP(Cpi_[[#This Row],[Year]:[Month]],crudeoil[],3,FALSE)</f>
        <v>#VALUE!</v>
      </c>
    </row>
    <row r="7205" spans="1:8" hidden="1" x14ac:dyDescent="0.3">
      <c r="A7205" t="s">
        <v>34</v>
      </c>
      <c r="B7205">
        <v>2020</v>
      </c>
      <c r="C7205" t="s">
        <v>39</v>
      </c>
      <c r="D7205" t="s">
        <v>24</v>
      </c>
      <c r="E7205" t="e">
        <f>VLOOKUP(Cpi_[[#This Row],[Attribute]],#REF!,2,FALSE)</f>
        <v>#REF!</v>
      </c>
      <c r="F7205">
        <v>135</v>
      </c>
      <c r="G7205">
        <f>(Cpi_[[#This Row],[Value]]-F7204)/F7204</f>
        <v>-0.12564766839378241</v>
      </c>
      <c r="H7205" t="e" cm="1" vm="1">
        <f t="array" aca="1" ref="H7205" ca="1">VLOOKUP(Cpi_[[#This Row],[Year]:[Month]],crudeoil[],3,FALSE)</f>
        <v>#VALUE!</v>
      </c>
    </row>
    <row r="7206" spans="1:8" hidden="1" x14ac:dyDescent="0.3">
      <c r="A7206" t="s">
        <v>34</v>
      </c>
      <c r="B7206">
        <v>2020</v>
      </c>
      <c r="C7206" t="s">
        <v>39</v>
      </c>
      <c r="D7206" t="s">
        <v>25</v>
      </c>
      <c r="E7206" t="e">
        <f>VLOOKUP(Cpi_[[#This Row],[Attribute]],#REF!,2,FALSE)</f>
        <v>#REF!</v>
      </c>
      <c r="F7206">
        <v>148.30000000000001</v>
      </c>
      <c r="G7206">
        <f>(Cpi_[[#This Row],[Value]]-F7205)/F7205</f>
        <v>9.8518518518518602E-2</v>
      </c>
      <c r="H7206" t="e" cm="1" vm="1">
        <f t="array" aca="1" ref="H7206" ca="1">VLOOKUP(Cpi_[[#This Row],[Year]:[Month]],crudeoil[],3,FALSE)</f>
        <v>#VALUE!</v>
      </c>
    </row>
    <row r="7207" spans="1:8" hidden="1" x14ac:dyDescent="0.3">
      <c r="A7207" t="s">
        <v>34</v>
      </c>
      <c r="B7207">
        <v>2020</v>
      </c>
      <c r="C7207" t="s">
        <v>39</v>
      </c>
      <c r="D7207" t="s">
        <v>26</v>
      </c>
      <c r="E7207" t="e">
        <f>VLOOKUP(Cpi_[[#This Row],[Attribute]],#REF!,2,FALSE)</f>
        <v>#REF!</v>
      </c>
      <c r="F7207">
        <v>156.4</v>
      </c>
      <c r="G7207">
        <f>(Cpi_[[#This Row],[Value]]-F7206)/F7206</f>
        <v>5.4619015509103128E-2</v>
      </c>
      <c r="H7207" t="e" cm="1" vm="1">
        <f t="array" aca="1" ref="H7207" ca="1">VLOOKUP(Cpi_[[#This Row],[Year]:[Month]],crudeoil[],3,FALSE)</f>
        <v>#VALUE!</v>
      </c>
    </row>
    <row r="7208" spans="1:8" hidden="1" x14ac:dyDescent="0.3">
      <c r="A7208" t="s">
        <v>34</v>
      </c>
      <c r="B7208">
        <v>2020</v>
      </c>
      <c r="C7208" t="s">
        <v>39</v>
      </c>
      <c r="D7208" t="s">
        <v>27</v>
      </c>
      <c r="E7208" t="e">
        <f>VLOOKUP(Cpi_[[#This Row],[Attribute]],#REF!,2,FALSE)</f>
        <v>#REF!</v>
      </c>
      <c r="F7208">
        <v>151.6</v>
      </c>
      <c r="G7208">
        <f>(Cpi_[[#This Row],[Value]]-F7207)/F7207</f>
        <v>-3.0690537084399047E-2</v>
      </c>
      <c r="H7208" t="e" cm="1" vm="1">
        <f t="array" aca="1" ref="H7208" ca="1">VLOOKUP(Cpi_[[#This Row],[Year]:[Month]],crudeoil[],3,FALSE)</f>
        <v>#VALUE!</v>
      </c>
    </row>
    <row r="7209" spans="1:8" hidden="1" x14ac:dyDescent="0.3">
      <c r="A7209" t="s">
        <v>34</v>
      </c>
      <c r="B7209">
        <v>2020</v>
      </c>
      <c r="C7209" t="s">
        <v>39</v>
      </c>
      <c r="D7209" t="s">
        <v>28</v>
      </c>
      <c r="E7209" t="e">
        <f>VLOOKUP(Cpi_[[#This Row],[Attribute]],#REF!,2,FALSE)</f>
        <v>#REF!</v>
      </c>
      <c r="F7209">
        <v>147</v>
      </c>
      <c r="G7209">
        <f>(Cpi_[[#This Row],[Value]]-F7208)/F7208</f>
        <v>-3.0343007915567245E-2</v>
      </c>
      <c r="H7209" t="e" cm="1" vm="1">
        <f t="array" aca="1" ref="H7209" ca="1">VLOOKUP(Cpi_[[#This Row],[Year]:[Month]],crudeoil[],3,FALSE)</f>
        <v>#VALUE!</v>
      </c>
    </row>
    <row r="7210" spans="1:8" hidden="1" x14ac:dyDescent="0.3">
      <c r="A7210" t="s">
        <v>34</v>
      </c>
      <c r="B7210">
        <v>2020</v>
      </c>
      <c r="C7210" t="s">
        <v>39</v>
      </c>
      <c r="D7210" t="s">
        <v>29</v>
      </c>
      <c r="E7210" t="e" cm="1">
        <f t="array" aca="1" ref="E7210" ca="1">VLGeneral indexGeneral indexKUP(Cpi_[[#This Row],[Attribute]],#REF!,2,FALSE)</f>
        <v>#NAME?</v>
      </c>
      <c r="F7210">
        <v>151.80000000000001</v>
      </c>
      <c r="G7210">
        <f>(Cpi_[[#This Row],[Value]]-F7209)/F7209</f>
        <v>3.2653061224489875E-2</v>
      </c>
      <c r="H7210" t="e" cm="1" vm="1">
        <f t="array" aca="1" ref="H7210" ca="1">VLOOKUP(Cpi_[[#This Row],[Year]:[Month]],crudeoil[],3,FALSE)</f>
        <v>#VALUE!</v>
      </c>
    </row>
    <row r="7211" spans="1:8" hidden="1" x14ac:dyDescent="0.3">
      <c r="A7211" t="s">
        <v>30</v>
      </c>
      <c r="B7211">
        <v>2020</v>
      </c>
      <c r="C7211" t="s">
        <v>40</v>
      </c>
      <c r="D7211" t="s">
        <v>3</v>
      </c>
      <c r="E7211" t="e">
        <f>VLOOKUP(Cpi_[[#This Row],[Attribute]],#REF!,2,FALSE)</f>
        <v>#REF!</v>
      </c>
      <c r="F7211">
        <v>148.19999999999999</v>
      </c>
      <c r="G7211">
        <f>(Cpi_[[#This Row],[Value]]-F7210)/F7210</f>
        <v>-2.3715415019762993E-2</v>
      </c>
      <c r="H7211" t="e" cm="1" vm="1">
        <f t="array" aca="1" ref="H7211" ca="1">VLOOKUP(Cpi_[[#This Row],[Year]:[Month]],crudeoil[],3,FALSE)</f>
        <v>#VALUE!</v>
      </c>
    </row>
    <row r="7212" spans="1:8" hidden="1" x14ac:dyDescent="0.3">
      <c r="A7212" t="s">
        <v>30</v>
      </c>
      <c r="B7212">
        <v>2020</v>
      </c>
      <c r="C7212" t="s">
        <v>40</v>
      </c>
      <c r="D7212" t="s">
        <v>4</v>
      </c>
      <c r="E7212" t="e">
        <f>VLOOKUP(Cpi_[[#This Row],[Attribute]],#REF!,2,FALSE)</f>
        <v>#REF!</v>
      </c>
      <c r="F7212">
        <v>190.3</v>
      </c>
      <c r="G7212">
        <f>(Cpi_[[#This Row],[Value]]-F7211)/F7211</f>
        <v>0.28407557354925794</v>
      </c>
      <c r="H7212" t="e" cm="1" vm="1">
        <f t="array" aca="1" ref="H7212" ca="1">VLOOKUP(Cpi_[[#This Row],[Year]:[Month]],crudeoil[],3,FALSE)</f>
        <v>#VALUE!</v>
      </c>
    </row>
    <row r="7213" spans="1:8" hidden="1" x14ac:dyDescent="0.3">
      <c r="A7213" t="s">
        <v>30</v>
      </c>
      <c r="B7213">
        <v>2020</v>
      </c>
      <c r="C7213" t="s">
        <v>40</v>
      </c>
      <c r="D7213" t="s">
        <v>5</v>
      </c>
      <c r="E7213" t="e">
        <f>VLOOKUP(Cpi_[[#This Row],[Attribute]],#REF!,2,FALSE)</f>
        <v>#REF!</v>
      </c>
      <c r="F7213">
        <v>149.4</v>
      </c>
      <c r="G7213">
        <f>(Cpi_[[#This Row],[Value]]-F7212)/F7212</f>
        <v>-0.21492380451918025</v>
      </c>
      <c r="H7213" t="e" cm="1" vm="1">
        <f t="array" aca="1" ref="H7213" ca="1">VLOOKUP(Cpi_[[#This Row],[Year]:[Month]],crudeoil[],3,FALSE)</f>
        <v>#VALUE!</v>
      </c>
    </row>
    <row r="7214" spans="1:8" hidden="1" x14ac:dyDescent="0.3">
      <c r="A7214" t="s">
        <v>30</v>
      </c>
      <c r="B7214">
        <v>2020</v>
      </c>
      <c r="C7214" t="s">
        <v>40</v>
      </c>
      <c r="D7214" t="s">
        <v>6</v>
      </c>
      <c r="E7214" t="e">
        <f>VLOOKUP(Cpi_[[#This Row],[Attribute]],#REF!,2,FALSE)</f>
        <v>#REF!</v>
      </c>
      <c r="F7214">
        <v>153.30000000000001</v>
      </c>
      <c r="G7214">
        <f>(Cpi_[[#This Row],[Value]]-F7213)/F7213</f>
        <v>2.6104417670682768E-2</v>
      </c>
      <c r="H7214" t="e" cm="1" vm="1">
        <f t="array" aca="1" ref="H7214" ca="1">VLOOKUP(Cpi_[[#This Row],[Year]:[Month]],crudeoil[],3,FALSE)</f>
        <v>#VALUE!</v>
      </c>
    </row>
    <row r="7215" spans="1:8" hidden="1" x14ac:dyDescent="0.3">
      <c r="A7215" t="s">
        <v>30</v>
      </c>
      <c r="B7215">
        <v>2020</v>
      </c>
      <c r="C7215" t="s">
        <v>40</v>
      </c>
      <c r="D7215" t="s">
        <v>7</v>
      </c>
      <c r="E7215" t="e">
        <f>VLOOKUP(Cpi_[[#This Row],[Attribute]],#REF!,2,FALSE)</f>
        <v>#REF!</v>
      </c>
      <c r="F7215">
        <v>138.19999999999999</v>
      </c>
      <c r="G7215">
        <f>(Cpi_[[#This Row],[Value]]-F7214)/F7214</f>
        <v>-9.8499673842139743E-2</v>
      </c>
      <c r="H7215" t="e" cm="1" vm="1">
        <f t="array" aca="1" ref="H7215" ca="1">VLOOKUP(Cpi_[[#This Row],[Year]:[Month]],crudeoil[],3,FALSE)</f>
        <v>#VALUE!</v>
      </c>
    </row>
    <row r="7216" spans="1:8" hidden="1" x14ac:dyDescent="0.3">
      <c r="A7216" t="s">
        <v>30</v>
      </c>
      <c r="B7216">
        <v>2020</v>
      </c>
      <c r="C7216" t="s">
        <v>40</v>
      </c>
      <c r="D7216" t="s">
        <v>8</v>
      </c>
      <c r="E7216" t="e">
        <f>VLOOKUP(Cpi_[[#This Row],[Attribute]],#REF!,2,FALSE)</f>
        <v>#REF!</v>
      </c>
      <c r="F7216">
        <v>143.19999999999999</v>
      </c>
      <c r="G7216">
        <f>(Cpi_[[#This Row],[Value]]-F7215)/F7215</f>
        <v>3.6179450072358905E-2</v>
      </c>
      <c r="H7216" t="e" cm="1" vm="1">
        <f t="array" aca="1" ref="H7216" ca="1">VLOOKUP(Cpi_[[#This Row],[Year]:[Month]],crudeoil[],3,FALSE)</f>
        <v>#VALUE!</v>
      </c>
    </row>
    <row r="7217" spans="1:8" hidden="1" x14ac:dyDescent="0.3">
      <c r="A7217" t="s">
        <v>30</v>
      </c>
      <c r="B7217">
        <v>2020</v>
      </c>
      <c r="C7217" t="s">
        <v>40</v>
      </c>
      <c r="D7217" t="s">
        <v>9</v>
      </c>
      <c r="E7217" t="e">
        <f>VLOOKUP(Cpi_[[#This Row],[Attribute]],#REF!,2,FALSE)</f>
        <v>#REF!</v>
      </c>
      <c r="F7217">
        <v>148.9</v>
      </c>
      <c r="G7217">
        <f>(Cpi_[[#This Row],[Value]]-F7216)/F7216</f>
        <v>3.9804469273743141E-2</v>
      </c>
      <c r="H7217" t="e" cm="1" vm="1">
        <f t="array" aca="1" ref="H7217" ca="1">VLOOKUP(Cpi_[[#This Row],[Year]:[Month]],crudeoil[],3,FALSE)</f>
        <v>#VALUE!</v>
      </c>
    </row>
    <row r="7218" spans="1:8" hidden="1" x14ac:dyDescent="0.3">
      <c r="A7218" t="s">
        <v>30</v>
      </c>
      <c r="B7218">
        <v>2020</v>
      </c>
      <c r="C7218" t="s">
        <v>40</v>
      </c>
      <c r="D7218" t="s">
        <v>10</v>
      </c>
      <c r="E7218" t="e">
        <f>VLOOKUP(Cpi_[[#This Row],[Attribute]],#REF!,2,FALSE)</f>
        <v>#REF!</v>
      </c>
      <c r="F7218">
        <v>150.30000000000001</v>
      </c>
      <c r="G7218">
        <f>(Cpi_[[#This Row],[Value]]-F7217)/F7217</f>
        <v>9.4022834116857332E-3</v>
      </c>
      <c r="H7218" t="e" cm="1" vm="1">
        <f t="array" aca="1" ref="H7218" ca="1">VLOOKUP(Cpi_[[#This Row],[Year]:[Month]],crudeoil[],3,FALSE)</f>
        <v>#VALUE!</v>
      </c>
    </row>
    <row r="7219" spans="1:8" hidden="1" x14ac:dyDescent="0.3">
      <c r="A7219" t="s">
        <v>30</v>
      </c>
      <c r="B7219">
        <v>2020</v>
      </c>
      <c r="C7219" t="s">
        <v>40</v>
      </c>
      <c r="D7219" t="s">
        <v>11</v>
      </c>
      <c r="E7219" t="e">
        <f>VLOOKUP(Cpi_[[#This Row],[Attribute]],#REF!,2,FALSE)</f>
        <v>#REF!</v>
      </c>
      <c r="F7219">
        <v>113.2</v>
      </c>
      <c r="G7219">
        <f>(Cpi_[[#This Row],[Value]]-F7218)/F7218</f>
        <v>-0.2468396540252828</v>
      </c>
      <c r="H7219" t="e" cm="1" vm="1">
        <f t="array" aca="1" ref="H7219" ca="1">VLOOKUP(Cpi_[[#This Row],[Year]:[Month]],crudeoil[],3,FALSE)</f>
        <v>#VALUE!</v>
      </c>
    </row>
    <row r="7220" spans="1:8" hidden="1" x14ac:dyDescent="0.3">
      <c r="A7220" t="s">
        <v>30</v>
      </c>
      <c r="B7220">
        <v>2020</v>
      </c>
      <c r="C7220" t="s">
        <v>40</v>
      </c>
      <c r="D7220" t="s">
        <v>12</v>
      </c>
      <c r="E7220" t="e">
        <f>VLOOKUP(Cpi_[[#This Row],[Attribute]],#REF!,2,FALSE)</f>
        <v>#REF!</v>
      </c>
      <c r="F7220">
        <v>159.80000000000001</v>
      </c>
      <c r="G7220">
        <f>(Cpi_[[#This Row],[Value]]-F7219)/F7219</f>
        <v>0.41166077738515905</v>
      </c>
      <c r="H7220" t="e" cm="1" vm="1">
        <f t="array" aca="1" ref="H7220" ca="1">VLOOKUP(Cpi_[[#This Row],[Year]:[Month]],crudeoil[],3,FALSE)</f>
        <v>#VALUE!</v>
      </c>
    </row>
    <row r="7221" spans="1:8" hidden="1" x14ac:dyDescent="0.3">
      <c r="A7221" t="s">
        <v>30</v>
      </c>
      <c r="B7221">
        <v>2020</v>
      </c>
      <c r="C7221" t="s">
        <v>40</v>
      </c>
      <c r="D7221" t="s">
        <v>13</v>
      </c>
      <c r="E7221" t="e">
        <f>VLOOKUP(Cpi_[[#This Row],[Attribute]],#REF!,2,FALSE)</f>
        <v>#REF!</v>
      </c>
      <c r="F7221">
        <v>142.1</v>
      </c>
      <c r="G7221">
        <f>(Cpi_[[#This Row],[Value]]-F7220)/F7220</f>
        <v>-0.11076345431789747</v>
      </c>
      <c r="H7221" t="e" cm="1" vm="1">
        <f t="array" aca="1" ref="H7221" ca="1">VLOOKUP(Cpi_[[#This Row],[Year]:[Month]],crudeoil[],3,FALSE)</f>
        <v>#VALUE!</v>
      </c>
    </row>
    <row r="7222" spans="1:8" hidden="1" x14ac:dyDescent="0.3">
      <c r="A7222" t="s">
        <v>30</v>
      </c>
      <c r="B7222">
        <v>2020</v>
      </c>
      <c r="C7222" t="s">
        <v>40</v>
      </c>
      <c r="D7222" t="s">
        <v>14</v>
      </c>
      <c r="E7222" t="e">
        <f>VLOOKUP(Cpi_[[#This Row],[Attribute]],#REF!,2,FALSE)</f>
        <v>#REF!</v>
      </c>
      <c r="F7222">
        <v>161.80000000000001</v>
      </c>
      <c r="G7222">
        <f>(Cpi_[[#This Row],[Value]]-F7221)/F7221</f>
        <v>0.13863476425052793</v>
      </c>
      <c r="H7222" t="e" cm="1" vm="1">
        <f t="array" aca="1" ref="H7222" ca="1">VLOOKUP(Cpi_[[#This Row],[Year]:[Month]],crudeoil[],3,FALSE)</f>
        <v>#VALUE!</v>
      </c>
    </row>
    <row r="7223" spans="1:8" hidden="1" x14ac:dyDescent="0.3">
      <c r="A7223" t="s">
        <v>30</v>
      </c>
      <c r="B7223">
        <v>2020</v>
      </c>
      <c r="C7223" t="s">
        <v>40</v>
      </c>
      <c r="D7223" t="s">
        <v>15</v>
      </c>
      <c r="E7223" t="e">
        <f>VLOOKUP(Cpi_[[#This Row],[Attribute]],#REF!,2,FALSE)</f>
        <v>#REF!</v>
      </c>
      <c r="F7223">
        <v>152.30000000000001</v>
      </c>
      <c r="G7223">
        <f>(Cpi_[[#This Row],[Value]]-F7222)/F7222</f>
        <v>-5.8714462299134733E-2</v>
      </c>
      <c r="H7223" t="e" cm="1" vm="1">
        <f t="array" aca="1" ref="H7223" ca="1">VLOOKUP(Cpi_[[#This Row],[Year]:[Month]],crudeoil[],3,FALSE)</f>
        <v>#VALUE!</v>
      </c>
    </row>
    <row r="7224" spans="1:8" hidden="1" x14ac:dyDescent="0.3">
      <c r="A7224" t="s">
        <v>30</v>
      </c>
      <c r="B7224">
        <v>2020</v>
      </c>
      <c r="C7224" t="s">
        <v>40</v>
      </c>
      <c r="D7224" t="s">
        <v>16</v>
      </c>
      <c r="E7224" t="e">
        <f>VLOOKUP(Cpi_[[#This Row],[Attribute]],#REF!,2,FALSE)</f>
        <v>#REF!</v>
      </c>
      <c r="F7224">
        <v>182.4</v>
      </c>
      <c r="G7224">
        <f>(Cpi_[[#This Row],[Value]]-F7223)/F7223</f>
        <v>0.19763624425476028</v>
      </c>
      <c r="H7224" t="e" cm="1" vm="1">
        <f t="array" aca="1" ref="H7224" ca="1">VLOOKUP(Cpi_[[#This Row],[Year]:[Month]],crudeoil[],3,FALSE)</f>
        <v>#VALUE!</v>
      </c>
    </row>
    <row r="7225" spans="1:8" hidden="1" x14ac:dyDescent="0.3">
      <c r="A7225" t="s">
        <v>30</v>
      </c>
      <c r="B7225">
        <v>2020</v>
      </c>
      <c r="C7225" t="s">
        <v>40</v>
      </c>
      <c r="D7225" t="s">
        <v>17</v>
      </c>
      <c r="E7225" t="e">
        <f>VLOOKUP(Cpi_[[#This Row],[Attribute]],#REF!,2,FALSE)</f>
        <v>#REF!</v>
      </c>
      <c r="F7225">
        <v>154.69999999999999</v>
      </c>
      <c r="G7225">
        <f>(Cpi_[[#This Row],[Value]]-F7224)/F7224</f>
        <v>-0.1518640350877194</v>
      </c>
      <c r="H7225" t="e" cm="1" vm="1">
        <f t="array" aca="1" ref="H7225" ca="1">VLOOKUP(Cpi_[[#This Row],[Year]:[Month]],crudeoil[],3,FALSE)</f>
        <v>#VALUE!</v>
      </c>
    </row>
    <row r="7226" spans="1:8" hidden="1" x14ac:dyDescent="0.3">
      <c r="A7226" t="s">
        <v>30</v>
      </c>
      <c r="B7226">
        <v>2020</v>
      </c>
      <c r="C7226" t="s">
        <v>40</v>
      </c>
      <c r="D7226" t="s">
        <v>18</v>
      </c>
      <c r="E7226" t="e">
        <f>VLOOKUP(Cpi_[[#This Row],[Attribute]],#REF!,2,FALSE)</f>
        <v>#REF!</v>
      </c>
      <c r="F7226">
        <v>150</v>
      </c>
      <c r="G7226">
        <f>(Cpi_[[#This Row],[Value]]-F7225)/F7225</f>
        <v>-3.0381383322559723E-2</v>
      </c>
      <c r="H7226" t="e" cm="1" vm="1">
        <f t="array" aca="1" ref="H7226" ca="1">VLOOKUP(Cpi_[[#This Row],[Year]:[Month]],crudeoil[],3,FALSE)</f>
        <v>#VALUE!</v>
      </c>
    </row>
    <row r="7227" spans="1:8" hidden="1" x14ac:dyDescent="0.3">
      <c r="A7227" t="s">
        <v>30</v>
      </c>
      <c r="B7227">
        <v>2020</v>
      </c>
      <c r="C7227" t="s">
        <v>40</v>
      </c>
      <c r="D7227" t="s">
        <v>19</v>
      </c>
      <c r="E7227" t="e">
        <f>VLOOKUP(Cpi_[[#This Row],[Attribute]],#REF!,2,FALSE)</f>
        <v>#REF!</v>
      </c>
      <c r="F7227">
        <v>154.1</v>
      </c>
      <c r="G7227">
        <f>(Cpi_[[#This Row],[Value]]-F7226)/F7226</f>
        <v>2.7333333333333296E-2</v>
      </c>
      <c r="H7227" t="e" cm="1" vm="1">
        <f t="array" aca="1" ref="H7227" ca="1">VLOOKUP(Cpi_[[#This Row],[Year]:[Month]],crudeoil[],3,FALSE)</f>
        <v>#VALUE!</v>
      </c>
    </row>
    <row r="7228" spans="1:8" hidden="1" x14ac:dyDescent="0.3">
      <c r="A7228" t="s">
        <v>30</v>
      </c>
      <c r="B7228">
        <v>2020</v>
      </c>
      <c r="C7228" t="s">
        <v>40</v>
      </c>
      <c r="D7228" t="s">
        <v>20</v>
      </c>
      <c r="E7228" t="e">
        <f>VLOOKUP(Cpi_[[#This Row],[Attribute]],#REF!,2,FALSE)</f>
        <v>#REF!</v>
      </c>
      <c r="F7228" t="s">
        <v>32</v>
      </c>
      <c r="G7228" t="e">
        <f>(Cpi_[[#This Row],[Value]]-F7227)/F7227</f>
        <v>#VALUE!</v>
      </c>
      <c r="H7228" t="e" cm="1" vm="1">
        <f t="array" aca="1" ref="H7228" ca="1">VLOOKUP(Cpi_[[#This Row],[Year]:[Month]],crudeoil[],3,FALSE)</f>
        <v>#VALUE!</v>
      </c>
    </row>
    <row r="7229" spans="1:8" hidden="1" x14ac:dyDescent="0.3">
      <c r="A7229" t="s">
        <v>30</v>
      </c>
      <c r="B7229">
        <v>2020</v>
      </c>
      <c r="C7229" t="s">
        <v>40</v>
      </c>
      <c r="D7229" t="s">
        <v>21</v>
      </c>
      <c r="E7229" t="e">
        <f>VLOOKUP(Cpi_[[#This Row],[Attribute]],#REF!,2,FALSE)</f>
        <v>#REF!</v>
      </c>
      <c r="F7229">
        <v>144.9</v>
      </c>
      <c r="G7229" t="e">
        <f>(Cpi_[[#This Row],[Value]]-F7228)/F7228</f>
        <v>#VALUE!</v>
      </c>
      <c r="H7229" t="e" cm="1" vm="1">
        <f t="array" aca="1" ref="H7229" ca="1">VLOOKUP(Cpi_[[#This Row],[Year]:[Month]],crudeoil[],3,FALSE)</f>
        <v>#VALUE!</v>
      </c>
    </row>
    <row r="7230" spans="1:8" hidden="1" x14ac:dyDescent="0.3">
      <c r="A7230" t="s">
        <v>30</v>
      </c>
      <c r="B7230">
        <v>2020</v>
      </c>
      <c r="C7230" t="s">
        <v>40</v>
      </c>
      <c r="D7230" t="s">
        <v>22</v>
      </c>
      <c r="E7230" t="e">
        <f>VLOOKUP(Cpi_[[#This Row],[Attribute]],#REF!,2,FALSE)</f>
        <v>#REF!</v>
      </c>
      <c r="F7230">
        <v>151.69999999999999</v>
      </c>
      <c r="G7230">
        <f>(Cpi_[[#This Row],[Value]]-F7229)/F7229</f>
        <v>4.6928916494133763E-2</v>
      </c>
      <c r="H7230" t="e" cm="1" vm="1">
        <f t="array" aca="1" ref="H7230" ca="1">VLOOKUP(Cpi_[[#This Row],[Year]:[Month]],crudeoil[],3,FALSE)</f>
        <v>#VALUE!</v>
      </c>
    </row>
    <row r="7231" spans="1:8" hidden="1" x14ac:dyDescent="0.3">
      <c r="A7231" t="s">
        <v>30</v>
      </c>
      <c r="B7231">
        <v>2020</v>
      </c>
      <c r="C7231" t="s">
        <v>40</v>
      </c>
      <c r="D7231" t="s">
        <v>23</v>
      </c>
      <c r="E7231" t="e">
        <f>VLOOKUP(Cpi_[[#This Row],[Attribute]],#REF!,2,FALSE)</f>
        <v>#REF!</v>
      </c>
      <c r="F7231">
        <v>158.19999999999999</v>
      </c>
      <c r="G7231">
        <f>(Cpi_[[#This Row],[Value]]-F7230)/F7230</f>
        <v>4.2847725774555048E-2</v>
      </c>
      <c r="H7231" t="e" cm="1" vm="1">
        <f t="array" aca="1" ref="H7231" ca="1">VLOOKUP(Cpi_[[#This Row],[Year]:[Month]],crudeoil[],3,FALSE)</f>
        <v>#VALUE!</v>
      </c>
    </row>
    <row r="7232" spans="1:8" hidden="1" x14ac:dyDescent="0.3">
      <c r="A7232" t="s">
        <v>30</v>
      </c>
      <c r="B7232">
        <v>2020</v>
      </c>
      <c r="C7232" t="s">
        <v>40</v>
      </c>
      <c r="D7232" t="s">
        <v>24</v>
      </c>
      <c r="E7232" t="e">
        <f>VLOOKUP(Cpi_[[#This Row],[Attribute]],#REF!,2,FALSE)</f>
        <v>#REF!</v>
      </c>
      <c r="F7232">
        <v>141.4</v>
      </c>
      <c r="G7232">
        <f>(Cpi_[[#This Row],[Value]]-F7231)/F7231</f>
        <v>-0.10619469026548663</v>
      </c>
      <c r="H7232" t="e" cm="1" vm="1">
        <f t="array" aca="1" ref="H7232" ca="1">VLOOKUP(Cpi_[[#This Row],[Year]:[Month]],crudeoil[],3,FALSE)</f>
        <v>#VALUE!</v>
      </c>
    </row>
    <row r="7233" spans="1:8" hidden="1" x14ac:dyDescent="0.3">
      <c r="A7233" t="s">
        <v>30</v>
      </c>
      <c r="B7233">
        <v>2020</v>
      </c>
      <c r="C7233" t="s">
        <v>40</v>
      </c>
      <c r="D7233" t="s">
        <v>25</v>
      </c>
      <c r="E7233" t="e">
        <f>VLOOKUP(Cpi_[[#This Row],[Attribute]],#REF!,2,FALSE)</f>
        <v>#REF!</v>
      </c>
      <c r="F7233">
        <v>153.19999999999999</v>
      </c>
      <c r="G7233">
        <f>(Cpi_[[#This Row],[Value]]-F7232)/F7232</f>
        <v>8.3451202263083321E-2</v>
      </c>
      <c r="H7233" t="e" cm="1" vm="1">
        <f t="array" aca="1" ref="H7233" ca="1">VLOOKUP(Cpi_[[#This Row],[Year]:[Month]],crudeoil[],3,FALSE)</f>
        <v>#VALUE!</v>
      </c>
    </row>
    <row r="7234" spans="1:8" hidden="1" x14ac:dyDescent="0.3">
      <c r="A7234" t="s">
        <v>30</v>
      </c>
      <c r="B7234">
        <v>2020</v>
      </c>
      <c r="C7234" t="s">
        <v>40</v>
      </c>
      <c r="D7234" t="s">
        <v>26</v>
      </c>
      <c r="E7234" t="e">
        <f>VLOOKUP(Cpi_[[#This Row],[Attribute]],#REF!,2,FALSE)</f>
        <v>#REF!</v>
      </c>
      <c r="F7234">
        <v>161.80000000000001</v>
      </c>
      <c r="G7234">
        <f>(Cpi_[[#This Row],[Value]]-F7233)/F7233</f>
        <v>5.6135770234987101E-2</v>
      </c>
      <c r="H7234" t="e" cm="1" vm="1">
        <f t="array" aca="1" ref="H7234" ca="1">VLOOKUP(Cpi_[[#This Row],[Year]:[Month]],crudeoil[],3,FALSE)</f>
        <v>#VALUE!</v>
      </c>
    </row>
    <row r="7235" spans="1:8" hidden="1" x14ac:dyDescent="0.3">
      <c r="A7235" t="s">
        <v>30</v>
      </c>
      <c r="B7235">
        <v>2020</v>
      </c>
      <c r="C7235" t="s">
        <v>40</v>
      </c>
      <c r="D7235" t="s">
        <v>27</v>
      </c>
      <c r="E7235" t="e">
        <f>VLOOKUP(Cpi_[[#This Row],[Attribute]],#REF!,2,FALSE)</f>
        <v>#REF!</v>
      </c>
      <c r="F7235">
        <v>151.19999999999999</v>
      </c>
      <c r="G7235">
        <f>(Cpi_[[#This Row],[Value]]-F7234)/F7234</f>
        <v>-6.5512978986403098E-2</v>
      </c>
      <c r="H7235" t="e" cm="1" vm="1">
        <f t="array" aca="1" ref="H7235" ca="1">VLOOKUP(Cpi_[[#This Row],[Year]:[Month]],crudeoil[],3,FALSE)</f>
        <v>#VALUE!</v>
      </c>
    </row>
    <row r="7236" spans="1:8" hidden="1" x14ac:dyDescent="0.3">
      <c r="A7236" t="s">
        <v>30</v>
      </c>
      <c r="B7236">
        <v>2020</v>
      </c>
      <c r="C7236" t="s">
        <v>40</v>
      </c>
      <c r="D7236" t="s">
        <v>28</v>
      </c>
      <c r="E7236" t="e">
        <f>VLOOKUP(Cpi_[[#This Row],[Attribute]],#REF!,2,FALSE)</f>
        <v>#REF!</v>
      </c>
      <c r="F7236">
        <v>151.69999999999999</v>
      </c>
      <c r="G7236">
        <f>(Cpi_[[#This Row],[Value]]-F7235)/F7235</f>
        <v>3.3068783068783071E-3</v>
      </c>
      <c r="H7236" t="e" cm="1" vm="1">
        <f t="array" aca="1" ref="H7236" ca="1">VLOOKUP(Cpi_[[#This Row],[Year]:[Month]],crudeoil[],3,FALSE)</f>
        <v>#VALUE!</v>
      </c>
    </row>
    <row r="7237" spans="1:8" hidden="1" x14ac:dyDescent="0.3">
      <c r="A7237" t="s">
        <v>30</v>
      </c>
      <c r="B7237">
        <v>2020</v>
      </c>
      <c r="C7237" t="s">
        <v>40</v>
      </c>
      <c r="D7237" t="s">
        <v>29</v>
      </c>
      <c r="E7237" t="e" cm="1">
        <f t="array" aca="1" ref="E7237" ca="1">VLGeneral indexGeneral indexKUP(Cpi_[[#This Row],[Attribute]],#REF!,2,FALSE)</f>
        <v>#NAME?</v>
      </c>
      <c r="F7237">
        <v>152.69999999999999</v>
      </c>
      <c r="G7237">
        <f>(Cpi_[[#This Row],[Value]]-F7236)/F7236</f>
        <v>6.5919578114700074E-3</v>
      </c>
      <c r="H7237" t="e" cm="1" vm="1">
        <f t="array" aca="1" ref="H7237" ca="1">VLOOKUP(Cpi_[[#This Row],[Year]:[Month]],crudeoil[],3,FALSE)</f>
        <v>#VALUE!</v>
      </c>
    </row>
    <row r="7238" spans="1:8" hidden="1" x14ac:dyDescent="0.3">
      <c r="A7238" t="s">
        <v>33</v>
      </c>
      <c r="B7238">
        <v>2020</v>
      </c>
      <c r="C7238" t="s">
        <v>40</v>
      </c>
      <c r="D7238" t="s">
        <v>3</v>
      </c>
      <c r="E7238" t="e">
        <f>VLOOKUP(Cpi_[[#This Row],[Attribute]],#REF!,2,FALSE)</f>
        <v>#REF!</v>
      </c>
      <c r="F7238">
        <v>152.69999999999999</v>
      </c>
      <c r="G7238">
        <f>(Cpi_[[#This Row],[Value]]-F7237)/F7237</f>
        <v>0</v>
      </c>
      <c r="H7238" t="e" cm="1" vm="1">
        <f t="array" aca="1" ref="H7238" ca="1">VLOOKUP(Cpi_[[#This Row],[Year]:[Month]],crudeoil[],3,FALSE)</f>
        <v>#VALUE!</v>
      </c>
    </row>
    <row r="7239" spans="1:8" hidden="1" x14ac:dyDescent="0.3">
      <c r="A7239" t="s">
        <v>33</v>
      </c>
      <c r="B7239">
        <v>2020</v>
      </c>
      <c r="C7239" t="s">
        <v>40</v>
      </c>
      <c r="D7239" t="s">
        <v>4</v>
      </c>
      <c r="E7239" t="e">
        <f>VLOOKUP(Cpi_[[#This Row],[Attribute]],#REF!,2,FALSE)</f>
        <v>#REF!</v>
      </c>
      <c r="F7239">
        <v>197</v>
      </c>
      <c r="G7239">
        <f>(Cpi_[[#This Row],[Value]]-F7238)/F7238</f>
        <v>0.29011132940406037</v>
      </c>
      <c r="H7239" t="e" cm="1" vm="1">
        <f t="array" aca="1" ref="H7239" ca="1">VLOOKUP(Cpi_[[#This Row],[Year]:[Month]],crudeoil[],3,FALSE)</f>
        <v>#VALUE!</v>
      </c>
    </row>
    <row r="7240" spans="1:8" hidden="1" x14ac:dyDescent="0.3">
      <c r="A7240" t="s">
        <v>33</v>
      </c>
      <c r="B7240">
        <v>2020</v>
      </c>
      <c r="C7240" t="s">
        <v>40</v>
      </c>
      <c r="D7240" t="s">
        <v>5</v>
      </c>
      <c r="E7240" t="e">
        <f>VLOOKUP(Cpi_[[#This Row],[Attribute]],#REF!,2,FALSE)</f>
        <v>#REF!</v>
      </c>
      <c r="F7240">
        <v>154.6</v>
      </c>
      <c r="G7240">
        <f>(Cpi_[[#This Row],[Value]]-F7239)/F7239</f>
        <v>-0.21522842639593912</v>
      </c>
      <c r="H7240" t="e" cm="1" vm="1">
        <f t="array" aca="1" ref="H7240" ca="1">VLOOKUP(Cpi_[[#This Row],[Year]:[Month]],crudeoil[],3,FALSE)</f>
        <v>#VALUE!</v>
      </c>
    </row>
    <row r="7241" spans="1:8" hidden="1" x14ac:dyDescent="0.3">
      <c r="A7241" t="s">
        <v>33</v>
      </c>
      <c r="B7241">
        <v>2020</v>
      </c>
      <c r="C7241" t="s">
        <v>40</v>
      </c>
      <c r="D7241" t="s">
        <v>6</v>
      </c>
      <c r="E7241" t="e">
        <f>VLOOKUP(Cpi_[[#This Row],[Attribute]],#REF!,2,FALSE)</f>
        <v>#REF!</v>
      </c>
      <c r="F7241">
        <v>153.4</v>
      </c>
      <c r="G7241">
        <f>(Cpi_[[#This Row],[Value]]-F7240)/F7240</f>
        <v>-7.7619663648123456E-3</v>
      </c>
      <c r="H7241" t="e" cm="1" vm="1">
        <f t="array" aca="1" ref="H7241" ca="1">VLOOKUP(Cpi_[[#This Row],[Year]:[Month]],crudeoil[],3,FALSE)</f>
        <v>#VALUE!</v>
      </c>
    </row>
    <row r="7242" spans="1:8" hidden="1" x14ac:dyDescent="0.3">
      <c r="A7242" t="s">
        <v>33</v>
      </c>
      <c r="B7242">
        <v>2020</v>
      </c>
      <c r="C7242" t="s">
        <v>40</v>
      </c>
      <c r="D7242" t="s">
        <v>7</v>
      </c>
      <c r="E7242" t="e">
        <f>VLOOKUP(Cpi_[[#This Row],[Attribute]],#REF!,2,FALSE)</f>
        <v>#REF!</v>
      </c>
      <c r="F7242">
        <v>132.9</v>
      </c>
      <c r="G7242">
        <f>(Cpi_[[#This Row],[Value]]-F7241)/F7241</f>
        <v>-0.13363754889178617</v>
      </c>
      <c r="H7242" t="e" cm="1" vm="1">
        <f t="array" aca="1" ref="H7242" ca="1">VLOOKUP(Cpi_[[#This Row],[Year]:[Month]],crudeoil[],3,FALSE)</f>
        <v>#VALUE!</v>
      </c>
    </row>
    <row r="7243" spans="1:8" hidden="1" x14ac:dyDescent="0.3">
      <c r="A7243" t="s">
        <v>33</v>
      </c>
      <c r="B7243">
        <v>2020</v>
      </c>
      <c r="C7243" t="s">
        <v>40</v>
      </c>
      <c r="D7243" t="s">
        <v>8</v>
      </c>
      <c r="E7243" t="e">
        <f>VLOOKUP(Cpi_[[#This Row],[Attribute]],#REF!,2,FALSE)</f>
        <v>#REF!</v>
      </c>
      <c r="F7243">
        <v>151.80000000000001</v>
      </c>
      <c r="G7243">
        <f>(Cpi_[[#This Row],[Value]]-F7242)/F7242</f>
        <v>0.14221218961625287</v>
      </c>
      <c r="H7243" t="e" cm="1" vm="1">
        <f t="array" aca="1" ref="H7243" ca="1">VLOOKUP(Cpi_[[#This Row],[Year]:[Month]],crudeoil[],3,FALSE)</f>
        <v>#VALUE!</v>
      </c>
    </row>
    <row r="7244" spans="1:8" hidden="1" x14ac:dyDescent="0.3">
      <c r="A7244" t="s">
        <v>33</v>
      </c>
      <c r="B7244">
        <v>2020</v>
      </c>
      <c r="C7244" t="s">
        <v>40</v>
      </c>
      <c r="D7244" t="s">
        <v>9</v>
      </c>
      <c r="E7244" t="e">
        <f>VLOOKUP(Cpi_[[#This Row],[Attribute]],#REF!,2,FALSE)</f>
        <v>#REF!</v>
      </c>
      <c r="F7244">
        <v>171.2</v>
      </c>
      <c r="G7244">
        <f>(Cpi_[[#This Row],[Value]]-F7243)/F7243</f>
        <v>0.12779973649538851</v>
      </c>
      <c r="H7244" t="e" cm="1" vm="1">
        <f t="array" aca="1" ref="H7244" ca="1">VLOOKUP(Cpi_[[#This Row],[Year]:[Month]],crudeoil[],3,FALSE)</f>
        <v>#VALUE!</v>
      </c>
    </row>
    <row r="7245" spans="1:8" hidden="1" x14ac:dyDescent="0.3">
      <c r="A7245" t="s">
        <v>33</v>
      </c>
      <c r="B7245">
        <v>2020</v>
      </c>
      <c r="C7245" t="s">
        <v>40</v>
      </c>
      <c r="D7245" t="s">
        <v>10</v>
      </c>
      <c r="E7245" t="e">
        <f>VLOOKUP(Cpi_[[#This Row],[Attribute]],#REF!,2,FALSE)</f>
        <v>#REF!</v>
      </c>
      <c r="F7245">
        <v>152</v>
      </c>
      <c r="G7245">
        <f>(Cpi_[[#This Row],[Value]]-F7244)/F7244</f>
        <v>-0.11214953271028032</v>
      </c>
      <c r="H7245" t="e" cm="1" vm="1">
        <f t="array" aca="1" ref="H7245" ca="1">VLOOKUP(Cpi_[[#This Row],[Year]:[Month]],crudeoil[],3,FALSE)</f>
        <v>#VALUE!</v>
      </c>
    </row>
    <row r="7246" spans="1:8" hidden="1" x14ac:dyDescent="0.3">
      <c r="A7246" t="s">
        <v>33</v>
      </c>
      <c r="B7246">
        <v>2020</v>
      </c>
      <c r="C7246" t="s">
        <v>40</v>
      </c>
      <c r="D7246" t="s">
        <v>11</v>
      </c>
      <c r="E7246" t="e">
        <f>VLOOKUP(Cpi_[[#This Row],[Attribute]],#REF!,2,FALSE)</f>
        <v>#REF!</v>
      </c>
      <c r="F7246">
        <v>116.3</v>
      </c>
      <c r="G7246">
        <f>(Cpi_[[#This Row],[Value]]-F7245)/F7245</f>
        <v>-0.23486842105263159</v>
      </c>
      <c r="H7246" t="e" cm="1" vm="1">
        <f t="array" aca="1" ref="H7246" ca="1">VLOOKUP(Cpi_[[#This Row],[Year]:[Month]],crudeoil[],3,FALSE)</f>
        <v>#VALUE!</v>
      </c>
    </row>
    <row r="7247" spans="1:8" hidden="1" x14ac:dyDescent="0.3">
      <c r="A7247" t="s">
        <v>33</v>
      </c>
      <c r="B7247">
        <v>2020</v>
      </c>
      <c r="C7247" t="s">
        <v>40</v>
      </c>
      <c r="D7247" t="s">
        <v>12</v>
      </c>
      <c r="E7247" t="e">
        <f>VLOOKUP(Cpi_[[#This Row],[Attribute]],#REF!,2,FALSE)</f>
        <v>#REF!</v>
      </c>
      <c r="F7247">
        <v>158.80000000000001</v>
      </c>
      <c r="G7247">
        <f>(Cpi_[[#This Row],[Value]]-F7246)/F7246</f>
        <v>0.36543422184006891</v>
      </c>
      <c r="H7247" t="e" cm="1" vm="1">
        <f t="array" aca="1" ref="H7247" ca="1">VLOOKUP(Cpi_[[#This Row],[Year]:[Month]],crudeoil[],3,FALSE)</f>
        <v>#VALUE!</v>
      </c>
    </row>
    <row r="7248" spans="1:8" hidden="1" x14ac:dyDescent="0.3">
      <c r="A7248" t="s">
        <v>33</v>
      </c>
      <c r="B7248">
        <v>2020</v>
      </c>
      <c r="C7248" t="s">
        <v>40</v>
      </c>
      <c r="D7248" t="s">
        <v>13</v>
      </c>
      <c r="E7248" t="e">
        <f>VLOOKUP(Cpi_[[#This Row],[Attribute]],#REF!,2,FALSE)</f>
        <v>#REF!</v>
      </c>
      <c r="F7248">
        <v>135.6</v>
      </c>
      <c r="G7248">
        <f>(Cpi_[[#This Row],[Value]]-F7247)/F7247</f>
        <v>-0.14609571788413109</v>
      </c>
      <c r="H7248" t="e" cm="1" vm="1">
        <f t="array" aca="1" ref="H7248" ca="1">VLOOKUP(Cpi_[[#This Row],[Year]:[Month]],crudeoil[],3,FALSE)</f>
        <v>#VALUE!</v>
      </c>
    </row>
    <row r="7249" spans="1:8" hidden="1" x14ac:dyDescent="0.3">
      <c r="A7249" t="s">
        <v>33</v>
      </c>
      <c r="B7249">
        <v>2020</v>
      </c>
      <c r="C7249" t="s">
        <v>40</v>
      </c>
      <c r="D7249" t="s">
        <v>14</v>
      </c>
      <c r="E7249" t="e">
        <f>VLOOKUP(Cpi_[[#This Row],[Attribute]],#REF!,2,FALSE)</f>
        <v>#REF!</v>
      </c>
      <c r="F7249">
        <v>161.69999999999999</v>
      </c>
      <c r="G7249">
        <f>(Cpi_[[#This Row],[Value]]-F7248)/F7248</f>
        <v>0.19247787610619466</v>
      </c>
      <c r="H7249" t="e" cm="1" vm="1">
        <f t="array" aca="1" ref="H7249" ca="1">VLOOKUP(Cpi_[[#This Row],[Year]:[Month]],crudeoil[],3,FALSE)</f>
        <v>#VALUE!</v>
      </c>
    </row>
    <row r="7250" spans="1:8" hidden="1" x14ac:dyDescent="0.3">
      <c r="A7250" t="s">
        <v>33</v>
      </c>
      <c r="B7250">
        <v>2020</v>
      </c>
      <c r="C7250" t="s">
        <v>40</v>
      </c>
      <c r="D7250" t="s">
        <v>15</v>
      </c>
      <c r="E7250" t="e">
        <f>VLOOKUP(Cpi_[[#This Row],[Attribute]],#REF!,2,FALSE)</f>
        <v>#REF!</v>
      </c>
      <c r="F7250">
        <v>157</v>
      </c>
      <c r="G7250">
        <f>(Cpi_[[#This Row],[Value]]-F7249)/F7249</f>
        <v>-2.9066171923314711E-2</v>
      </c>
      <c r="H7250" t="e" cm="1" vm="1">
        <f t="array" aca="1" ref="H7250" ca="1">VLOOKUP(Cpi_[[#This Row],[Year]:[Month]],crudeoil[],3,FALSE)</f>
        <v>#VALUE!</v>
      </c>
    </row>
    <row r="7251" spans="1:8" hidden="1" x14ac:dyDescent="0.3">
      <c r="A7251" t="s">
        <v>33</v>
      </c>
      <c r="B7251">
        <v>2020</v>
      </c>
      <c r="C7251" t="s">
        <v>40</v>
      </c>
      <c r="D7251" t="s">
        <v>16</v>
      </c>
      <c r="E7251" t="e">
        <f>VLOOKUP(Cpi_[[#This Row],[Attribute]],#REF!,2,FALSE)</f>
        <v>#REF!</v>
      </c>
      <c r="F7251">
        <v>186.7</v>
      </c>
      <c r="G7251">
        <f>(Cpi_[[#This Row],[Value]]-F7250)/F7250</f>
        <v>0.18917197452229292</v>
      </c>
      <c r="H7251" t="e" cm="1" vm="1">
        <f t="array" aca="1" ref="H7251" ca="1">VLOOKUP(Cpi_[[#This Row],[Year]:[Month]],crudeoil[],3,FALSE)</f>
        <v>#VALUE!</v>
      </c>
    </row>
    <row r="7252" spans="1:8" hidden="1" x14ac:dyDescent="0.3">
      <c r="A7252" t="s">
        <v>33</v>
      </c>
      <c r="B7252">
        <v>2020</v>
      </c>
      <c r="C7252" t="s">
        <v>40</v>
      </c>
      <c r="D7252" t="s">
        <v>17</v>
      </c>
      <c r="E7252" t="e">
        <f>VLOOKUP(Cpi_[[#This Row],[Attribute]],#REF!,2,FALSE)</f>
        <v>#REF!</v>
      </c>
      <c r="F7252">
        <v>149.1</v>
      </c>
      <c r="G7252">
        <f>(Cpi_[[#This Row],[Value]]-F7251)/F7251</f>
        <v>-0.20139260846277449</v>
      </c>
      <c r="H7252" t="e" cm="1" vm="1">
        <f t="array" aca="1" ref="H7252" ca="1">VLOOKUP(Cpi_[[#This Row],[Year]:[Month]],crudeoil[],3,FALSE)</f>
        <v>#VALUE!</v>
      </c>
    </row>
    <row r="7253" spans="1:8" hidden="1" x14ac:dyDescent="0.3">
      <c r="A7253" t="s">
        <v>33</v>
      </c>
      <c r="B7253">
        <v>2020</v>
      </c>
      <c r="C7253" t="s">
        <v>40</v>
      </c>
      <c r="D7253" t="s">
        <v>18</v>
      </c>
      <c r="E7253" t="e">
        <f>VLOOKUP(Cpi_[[#This Row],[Attribute]],#REF!,2,FALSE)</f>
        <v>#REF!</v>
      </c>
      <c r="F7253">
        <v>136.6</v>
      </c>
      <c r="G7253">
        <f>(Cpi_[[#This Row],[Value]]-F7252)/F7252</f>
        <v>-8.3836351441985243E-2</v>
      </c>
      <c r="H7253" t="e" cm="1" vm="1">
        <f t="array" aca="1" ref="H7253" ca="1">VLOOKUP(Cpi_[[#This Row],[Year]:[Month]],crudeoil[],3,FALSE)</f>
        <v>#VALUE!</v>
      </c>
    </row>
    <row r="7254" spans="1:8" hidden="1" x14ac:dyDescent="0.3">
      <c r="A7254" t="s">
        <v>33</v>
      </c>
      <c r="B7254">
        <v>2020</v>
      </c>
      <c r="C7254" t="s">
        <v>40</v>
      </c>
      <c r="D7254" t="s">
        <v>19</v>
      </c>
      <c r="E7254" t="e">
        <f>VLOOKUP(Cpi_[[#This Row],[Attribute]],#REF!,2,FALSE)</f>
        <v>#REF!</v>
      </c>
      <c r="F7254">
        <v>147.19999999999999</v>
      </c>
      <c r="G7254">
        <f>(Cpi_[[#This Row],[Value]]-F7253)/F7253</f>
        <v>7.759882869692529E-2</v>
      </c>
      <c r="H7254" t="e" cm="1" vm="1">
        <f t="array" aca="1" ref="H7254" ca="1">VLOOKUP(Cpi_[[#This Row],[Year]:[Month]],crudeoil[],3,FALSE)</f>
        <v>#VALUE!</v>
      </c>
    </row>
    <row r="7255" spans="1:8" hidden="1" x14ac:dyDescent="0.3">
      <c r="A7255" t="s">
        <v>33</v>
      </c>
      <c r="B7255">
        <v>2020</v>
      </c>
      <c r="C7255" t="s">
        <v>40</v>
      </c>
      <c r="D7255" t="s">
        <v>20</v>
      </c>
      <c r="E7255" t="e">
        <f>VLOOKUP(Cpi_[[#This Row],[Attribute]],#REF!,2,FALSE)</f>
        <v>#REF!</v>
      </c>
      <c r="F7255">
        <v>154.69999999999999</v>
      </c>
      <c r="G7255">
        <f>(Cpi_[[#This Row],[Value]]-F7254)/F7254</f>
        <v>5.0951086956521743E-2</v>
      </c>
      <c r="H7255" t="e" cm="1" vm="1">
        <f t="array" aca="1" ref="H7255" ca="1">VLOOKUP(Cpi_[[#This Row],[Year]:[Month]],crudeoil[],3,FALSE)</f>
        <v>#VALUE!</v>
      </c>
    </row>
    <row r="7256" spans="1:8" hidden="1" x14ac:dyDescent="0.3">
      <c r="A7256" t="s">
        <v>33</v>
      </c>
      <c r="B7256">
        <v>2020</v>
      </c>
      <c r="C7256" t="s">
        <v>40</v>
      </c>
      <c r="D7256" t="s">
        <v>21</v>
      </c>
      <c r="E7256" t="e">
        <f>VLOOKUP(Cpi_[[#This Row],[Attribute]],#REF!,2,FALSE)</f>
        <v>#REF!</v>
      </c>
      <c r="F7256">
        <v>137.1</v>
      </c>
      <c r="G7256">
        <f>(Cpi_[[#This Row],[Value]]-F7255)/F7255</f>
        <v>-0.11376858435681962</v>
      </c>
      <c r="H7256" t="e" cm="1" vm="1">
        <f t="array" aca="1" ref="H7256" ca="1">VLOOKUP(Cpi_[[#This Row],[Year]:[Month]],crudeoil[],3,FALSE)</f>
        <v>#VALUE!</v>
      </c>
    </row>
    <row r="7257" spans="1:8" hidden="1" x14ac:dyDescent="0.3">
      <c r="A7257" t="s">
        <v>33</v>
      </c>
      <c r="B7257">
        <v>2020</v>
      </c>
      <c r="C7257" t="s">
        <v>40</v>
      </c>
      <c r="D7257" t="s">
        <v>22</v>
      </c>
      <c r="E7257" t="e">
        <f>VLOOKUP(Cpi_[[#This Row],[Attribute]],#REF!,2,FALSE)</f>
        <v>#REF!</v>
      </c>
      <c r="F7257">
        <v>140.4</v>
      </c>
      <c r="G7257">
        <f>(Cpi_[[#This Row],[Value]]-F7256)/F7256</f>
        <v>2.4070021881838159E-2</v>
      </c>
      <c r="H7257" t="e" cm="1" vm="1">
        <f t="array" aca="1" ref="H7257" ca="1">VLOOKUP(Cpi_[[#This Row],[Year]:[Month]],crudeoil[],3,FALSE)</f>
        <v>#VALUE!</v>
      </c>
    </row>
    <row r="7258" spans="1:8" hidden="1" x14ac:dyDescent="0.3">
      <c r="A7258" t="s">
        <v>33</v>
      </c>
      <c r="B7258">
        <v>2020</v>
      </c>
      <c r="C7258" t="s">
        <v>40</v>
      </c>
      <c r="D7258" t="s">
        <v>23</v>
      </c>
      <c r="E7258" t="e">
        <f>VLOOKUP(Cpi_[[#This Row],[Attribute]],#REF!,2,FALSE)</f>
        <v>#REF!</v>
      </c>
      <c r="F7258">
        <v>148.1</v>
      </c>
      <c r="G7258">
        <f>(Cpi_[[#This Row],[Value]]-F7257)/F7257</f>
        <v>5.4843304843304762E-2</v>
      </c>
      <c r="H7258" t="e" cm="1" vm="1">
        <f t="array" aca="1" ref="H7258" ca="1">VLOOKUP(Cpi_[[#This Row],[Year]:[Month]],crudeoil[],3,FALSE)</f>
        <v>#VALUE!</v>
      </c>
    </row>
    <row r="7259" spans="1:8" hidden="1" x14ac:dyDescent="0.3">
      <c r="A7259" t="s">
        <v>33</v>
      </c>
      <c r="B7259">
        <v>2020</v>
      </c>
      <c r="C7259" t="s">
        <v>40</v>
      </c>
      <c r="D7259" t="s">
        <v>24</v>
      </c>
      <c r="E7259" t="e">
        <f>VLOOKUP(Cpi_[[#This Row],[Attribute]],#REF!,2,FALSE)</f>
        <v>#REF!</v>
      </c>
      <c r="F7259">
        <v>129.30000000000001</v>
      </c>
      <c r="G7259">
        <f>(Cpi_[[#This Row],[Value]]-F7258)/F7258</f>
        <v>-0.12694125590817004</v>
      </c>
      <c r="H7259" t="e" cm="1" vm="1">
        <f t="array" aca="1" ref="H7259" ca="1">VLOOKUP(Cpi_[[#This Row],[Year]:[Month]],crudeoil[],3,FALSE)</f>
        <v>#VALUE!</v>
      </c>
    </row>
    <row r="7260" spans="1:8" hidden="1" x14ac:dyDescent="0.3">
      <c r="A7260" t="s">
        <v>33</v>
      </c>
      <c r="B7260">
        <v>2020</v>
      </c>
      <c r="C7260" t="s">
        <v>40</v>
      </c>
      <c r="D7260" t="s">
        <v>25</v>
      </c>
      <c r="E7260" t="e">
        <f>VLOOKUP(Cpi_[[#This Row],[Attribute]],#REF!,2,FALSE)</f>
        <v>#REF!</v>
      </c>
      <c r="F7260">
        <v>144.5</v>
      </c>
      <c r="G7260">
        <f>(Cpi_[[#This Row],[Value]]-F7259)/F7259</f>
        <v>0.11755607115235876</v>
      </c>
      <c r="H7260" t="e" cm="1" vm="1">
        <f t="array" aca="1" ref="H7260" ca="1">VLOOKUP(Cpi_[[#This Row],[Year]:[Month]],crudeoil[],3,FALSE)</f>
        <v>#VALUE!</v>
      </c>
    </row>
    <row r="7261" spans="1:8" hidden="1" x14ac:dyDescent="0.3">
      <c r="A7261" t="s">
        <v>33</v>
      </c>
      <c r="B7261">
        <v>2020</v>
      </c>
      <c r="C7261" t="s">
        <v>40</v>
      </c>
      <c r="D7261" t="s">
        <v>26</v>
      </c>
      <c r="E7261" t="e">
        <f>VLOOKUP(Cpi_[[#This Row],[Attribute]],#REF!,2,FALSE)</f>
        <v>#REF!</v>
      </c>
      <c r="F7261">
        <v>152.5</v>
      </c>
      <c r="G7261">
        <f>(Cpi_[[#This Row],[Value]]-F7260)/F7260</f>
        <v>5.536332179930796E-2</v>
      </c>
      <c r="H7261" t="e" cm="1" vm="1">
        <f t="array" aca="1" ref="H7261" ca="1">VLOOKUP(Cpi_[[#This Row],[Year]:[Month]],crudeoil[],3,FALSE)</f>
        <v>#VALUE!</v>
      </c>
    </row>
    <row r="7262" spans="1:8" hidden="1" x14ac:dyDescent="0.3">
      <c r="A7262" t="s">
        <v>33</v>
      </c>
      <c r="B7262">
        <v>2020</v>
      </c>
      <c r="C7262" t="s">
        <v>40</v>
      </c>
      <c r="D7262" t="s">
        <v>27</v>
      </c>
      <c r="E7262" t="e">
        <f>VLOOKUP(Cpi_[[#This Row],[Attribute]],#REF!,2,FALSE)</f>
        <v>#REF!</v>
      </c>
      <c r="F7262">
        <v>152.19999999999999</v>
      </c>
      <c r="G7262">
        <f>(Cpi_[[#This Row],[Value]]-F7261)/F7261</f>
        <v>-1.967213114754173E-3</v>
      </c>
      <c r="H7262" t="e" cm="1" vm="1">
        <f t="array" aca="1" ref="H7262" ca="1">VLOOKUP(Cpi_[[#This Row],[Year]:[Month]],crudeoil[],3,FALSE)</f>
        <v>#VALUE!</v>
      </c>
    </row>
    <row r="7263" spans="1:8" hidden="1" x14ac:dyDescent="0.3">
      <c r="A7263" t="s">
        <v>33</v>
      </c>
      <c r="B7263">
        <v>2020</v>
      </c>
      <c r="C7263" t="s">
        <v>40</v>
      </c>
      <c r="D7263" t="s">
        <v>28</v>
      </c>
      <c r="E7263" t="e">
        <f>VLOOKUP(Cpi_[[#This Row],[Attribute]],#REF!,2,FALSE)</f>
        <v>#REF!</v>
      </c>
      <c r="F7263">
        <v>142</v>
      </c>
      <c r="G7263">
        <f>(Cpi_[[#This Row],[Value]]-F7262)/F7262</f>
        <v>-6.7017082785808077E-2</v>
      </c>
      <c r="H7263" t="e" cm="1" vm="1">
        <f t="array" aca="1" ref="H7263" ca="1">VLOOKUP(Cpi_[[#This Row],[Year]:[Month]],crudeoil[],3,FALSE)</f>
        <v>#VALUE!</v>
      </c>
    </row>
    <row r="7264" spans="1:8" hidden="1" x14ac:dyDescent="0.3">
      <c r="A7264" t="s">
        <v>33</v>
      </c>
      <c r="B7264">
        <v>2020</v>
      </c>
      <c r="C7264" t="s">
        <v>40</v>
      </c>
      <c r="D7264" t="s">
        <v>29</v>
      </c>
      <c r="E7264" t="e" cm="1">
        <f t="array" aca="1" ref="E7264" ca="1">VLGeneral indexGeneral indexKUP(Cpi_[[#This Row],[Attribute]],#REF!,2,FALSE)</f>
        <v>#NAME?</v>
      </c>
      <c r="F7264">
        <v>150.80000000000001</v>
      </c>
      <c r="G7264">
        <f>(Cpi_[[#This Row],[Value]]-F7263)/F7263</f>
        <v>6.197183098591557E-2</v>
      </c>
      <c r="H7264" t="e" cm="1" vm="1">
        <f t="array" aca="1" ref="H7264" ca="1">VLOOKUP(Cpi_[[#This Row],[Year]:[Month]],crudeoil[],3,FALSE)</f>
        <v>#VALUE!</v>
      </c>
    </row>
    <row r="7265" spans="1:8" hidden="1" x14ac:dyDescent="0.3">
      <c r="A7265" t="s">
        <v>34</v>
      </c>
      <c r="B7265">
        <v>2020</v>
      </c>
      <c r="C7265" t="s">
        <v>40</v>
      </c>
      <c r="D7265" t="s">
        <v>3</v>
      </c>
      <c r="E7265" t="e">
        <f>VLOOKUP(Cpi_[[#This Row],[Attribute]],#REF!,2,FALSE)</f>
        <v>#REF!</v>
      </c>
      <c r="F7265">
        <v>149.6</v>
      </c>
      <c r="G7265">
        <f>(Cpi_[[#This Row],[Value]]-F7264)/F7264</f>
        <v>-7.9575596816977255E-3</v>
      </c>
      <c r="H7265" t="e" cm="1" vm="1">
        <f t="array" aca="1" ref="H7265" ca="1">VLOOKUP(Cpi_[[#This Row],[Year]:[Month]],crudeoil[],3,FALSE)</f>
        <v>#VALUE!</v>
      </c>
    </row>
    <row r="7266" spans="1:8" hidden="1" x14ac:dyDescent="0.3">
      <c r="A7266" t="s">
        <v>34</v>
      </c>
      <c r="B7266">
        <v>2020</v>
      </c>
      <c r="C7266" t="s">
        <v>40</v>
      </c>
      <c r="D7266" t="s">
        <v>4</v>
      </c>
      <c r="E7266" t="e">
        <f>VLOOKUP(Cpi_[[#This Row],[Attribute]],#REF!,2,FALSE)</f>
        <v>#REF!</v>
      </c>
      <c r="F7266">
        <v>192.7</v>
      </c>
      <c r="G7266">
        <f>(Cpi_[[#This Row],[Value]]-F7265)/F7265</f>
        <v>0.28810160427807485</v>
      </c>
      <c r="H7266" t="e" cm="1" vm="1">
        <f t="array" aca="1" ref="H7266" ca="1">VLOOKUP(Cpi_[[#This Row],[Year]:[Month]],crudeoil[],3,FALSE)</f>
        <v>#VALUE!</v>
      </c>
    </row>
    <row r="7267" spans="1:8" hidden="1" x14ac:dyDescent="0.3">
      <c r="A7267" t="s">
        <v>34</v>
      </c>
      <c r="B7267">
        <v>2020</v>
      </c>
      <c r="C7267" t="s">
        <v>40</v>
      </c>
      <c r="D7267" t="s">
        <v>5</v>
      </c>
      <c r="E7267" t="e">
        <f>VLOOKUP(Cpi_[[#This Row],[Attribute]],#REF!,2,FALSE)</f>
        <v>#REF!</v>
      </c>
      <c r="F7267">
        <v>151.4</v>
      </c>
      <c r="G7267">
        <f>(Cpi_[[#This Row],[Value]]-F7266)/F7266</f>
        <v>-0.21432278152568751</v>
      </c>
      <c r="H7267" t="e" cm="1" vm="1">
        <f t="array" aca="1" ref="H7267" ca="1">VLOOKUP(Cpi_[[#This Row],[Year]:[Month]],crudeoil[],3,FALSE)</f>
        <v>#VALUE!</v>
      </c>
    </row>
    <row r="7268" spans="1:8" hidden="1" x14ac:dyDescent="0.3">
      <c r="A7268" t="s">
        <v>34</v>
      </c>
      <c r="B7268">
        <v>2020</v>
      </c>
      <c r="C7268" t="s">
        <v>40</v>
      </c>
      <c r="D7268" t="s">
        <v>6</v>
      </c>
      <c r="E7268" t="e">
        <f>VLOOKUP(Cpi_[[#This Row],[Attribute]],#REF!,2,FALSE)</f>
        <v>#REF!</v>
      </c>
      <c r="F7268">
        <v>153.30000000000001</v>
      </c>
      <c r="G7268">
        <f>(Cpi_[[#This Row],[Value]]-F7267)/F7267</f>
        <v>1.2549537648612982E-2</v>
      </c>
      <c r="H7268" t="e" cm="1" vm="1">
        <f t="array" aca="1" ref="H7268" ca="1">VLOOKUP(Cpi_[[#This Row],[Year]:[Month]],crudeoil[],3,FALSE)</f>
        <v>#VALUE!</v>
      </c>
    </row>
    <row r="7269" spans="1:8" hidden="1" x14ac:dyDescent="0.3">
      <c r="A7269" t="s">
        <v>34</v>
      </c>
      <c r="B7269">
        <v>2020</v>
      </c>
      <c r="C7269" t="s">
        <v>40</v>
      </c>
      <c r="D7269" t="s">
        <v>7</v>
      </c>
      <c r="E7269" t="e">
        <f>VLOOKUP(Cpi_[[#This Row],[Attribute]],#REF!,2,FALSE)</f>
        <v>#REF!</v>
      </c>
      <c r="F7269">
        <v>136.30000000000001</v>
      </c>
      <c r="G7269">
        <f>(Cpi_[[#This Row],[Value]]-F7268)/F7268</f>
        <v>-0.11089367253750815</v>
      </c>
      <c r="H7269" t="e" cm="1" vm="1">
        <f t="array" aca="1" ref="H7269" ca="1">VLOOKUP(Cpi_[[#This Row],[Year]:[Month]],crudeoil[],3,FALSE)</f>
        <v>#VALUE!</v>
      </c>
    </row>
    <row r="7270" spans="1:8" hidden="1" x14ac:dyDescent="0.3">
      <c r="A7270" t="s">
        <v>34</v>
      </c>
      <c r="B7270">
        <v>2020</v>
      </c>
      <c r="C7270" t="s">
        <v>40</v>
      </c>
      <c r="D7270" t="s">
        <v>8</v>
      </c>
      <c r="E7270" t="e">
        <f>VLOOKUP(Cpi_[[#This Row],[Attribute]],#REF!,2,FALSE)</f>
        <v>#REF!</v>
      </c>
      <c r="F7270">
        <v>147.19999999999999</v>
      </c>
      <c r="G7270">
        <f>(Cpi_[[#This Row],[Value]]-F7269)/F7269</f>
        <v>7.9970652971386474E-2</v>
      </c>
      <c r="H7270" t="e" cm="1" vm="1">
        <f t="array" aca="1" ref="H7270" ca="1">VLOOKUP(Cpi_[[#This Row],[Year]:[Month]],crudeoil[],3,FALSE)</f>
        <v>#VALUE!</v>
      </c>
    </row>
    <row r="7271" spans="1:8" hidden="1" x14ac:dyDescent="0.3">
      <c r="A7271" t="s">
        <v>34</v>
      </c>
      <c r="B7271">
        <v>2020</v>
      </c>
      <c r="C7271" t="s">
        <v>40</v>
      </c>
      <c r="D7271" t="s">
        <v>9</v>
      </c>
      <c r="E7271" t="e">
        <f>VLOOKUP(Cpi_[[#This Row],[Attribute]],#REF!,2,FALSE)</f>
        <v>#REF!</v>
      </c>
      <c r="F7271">
        <v>156.5</v>
      </c>
      <c r="G7271">
        <f>(Cpi_[[#This Row],[Value]]-F7270)/F7270</f>
        <v>6.3179347826087043E-2</v>
      </c>
      <c r="H7271" t="e" cm="1" vm="1">
        <f t="array" aca="1" ref="H7271" ca="1">VLOOKUP(Cpi_[[#This Row],[Year]:[Month]],crudeoil[],3,FALSE)</f>
        <v>#VALUE!</v>
      </c>
    </row>
    <row r="7272" spans="1:8" hidden="1" x14ac:dyDescent="0.3">
      <c r="A7272" t="s">
        <v>34</v>
      </c>
      <c r="B7272">
        <v>2020</v>
      </c>
      <c r="C7272" t="s">
        <v>40</v>
      </c>
      <c r="D7272" t="s">
        <v>10</v>
      </c>
      <c r="E7272" t="e">
        <f>VLOOKUP(Cpi_[[#This Row],[Attribute]],#REF!,2,FALSE)</f>
        <v>#REF!</v>
      </c>
      <c r="F7272">
        <v>150.9</v>
      </c>
      <c r="G7272">
        <f>(Cpi_[[#This Row],[Value]]-F7271)/F7271</f>
        <v>-3.5782747603833827E-2</v>
      </c>
      <c r="H7272" t="e" cm="1" vm="1">
        <f t="array" aca="1" ref="H7272" ca="1">VLOOKUP(Cpi_[[#This Row],[Year]:[Month]],crudeoil[],3,FALSE)</f>
        <v>#VALUE!</v>
      </c>
    </row>
    <row r="7273" spans="1:8" hidden="1" x14ac:dyDescent="0.3">
      <c r="A7273" t="s">
        <v>34</v>
      </c>
      <c r="B7273">
        <v>2020</v>
      </c>
      <c r="C7273" t="s">
        <v>40</v>
      </c>
      <c r="D7273" t="s">
        <v>11</v>
      </c>
      <c r="E7273" t="e">
        <f>VLOOKUP(Cpi_[[#This Row],[Attribute]],#REF!,2,FALSE)</f>
        <v>#REF!</v>
      </c>
      <c r="F7273">
        <v>114.2</v>
      </c>
      <c r="G7273">
        <f>(Cpi_[[#This Row],[Value]]-F7272)/F7272</f>
        <v>-0.24320742213386348</v>
      </c>
      <c r="H7273" t="e" cm="1" vm="1">
        <f t="array" aca="1" ref="H7273" ca="1">VLOOKUP(Cpi_[[#This Row],[Year]:[Month]],crudeoil[],3,FALSE)</f>
        <v>#VALUE!</v>
      </c>
    </row>
    <row r="7274" spans="1:8" hidden="1" x14ac:dyDescent="0.3">
      <c r="A7274" t="s">
        <v>34</v>
      </c>
      <c r="B7274">
        <v>2020</v>
      </c>
      <c r="C7274" t="s">
        <v>40</v>
      </c>
      <c r="D7274" t="s">
        <v>12</v>
      </c>
      <c r="E7274" t="e">
        <f>VLOOKUP(Cpi_[[#This Row],[Attribute]],#REF!,2,FALSE)</f>
        <v>#REF!</v>
      </c>
      <c r="F7274">
        <v>159.5</v>
      </c>
      <c r="G7274">
        <f>(Cpi_[[#This Row],[Value]]-F7273)/F7273</f>
        <v>0.39667250437828366</v>
      </c>
      <c r="H7274" t="e" cm="1" vm="1">
        <f t="array" aca="1" ref="H7274" ca="1">VLOOKUP(Cpi_[[#This Row],[Year]:[Month]],crudeoil[],3,FALSE)</f>
        <v>#VALUE!</v>
      </c>
    </row>
    <row r="7275" spans="1:8" hidden="1" x14ac:dyDescent="0.3">
      <c r="A7275" t="s">
        <v>34</v>
      </c>
      <c r="B7275">
        <v>2020</v>
      </c>
      <c r="C7275" t="s">
        <v>40</v>
      </c>
      <c r="D7275" t="s">
        <v>13</v>
      </c>
      <c r="E7275" t="e">
        <f>VLOOKUP(Cpi_[[#This Row],[Attribute]],#REF!,2,FALSE)</f>
        <v>#REF!</v>
      </c>
      <c r="F7275">
        <v>139.4</v>
      </c>
      <c r="G7275">
        <f>(Cpi_[[#This Row],[Value]]-F7274)/F7274</f>
        <v>-0.12601880877742944</v>
      </c>
      <c r="H7275" t="e" cm="1" vm="1">
        <f t="array" aca="1" ref="H7275" ca="1">VLOOKUP(Cpi_[[#This Row],[Year]:[Month]],crudeoil[],3,FALSE)</f>
        <v>#VALUE!</v>
      </c>
    </row>
    <row r="7276" spans="1:8" hidden="1" x14ac:dyDescent="0.3">
      <c r="A7276" t="s">
        <v>34</v>
      </c>
      <c r="B7276">
        <v>2020</v>
      </c>
      <c r="C7276" t="s">
        <v>40</v>
      </c>
      <c r="D7276" t="s">
        <v>14</v>
      </c>
      <c r="E7276" t="e">
        <f>VLOOKUP(Cpi_[[#This Row],[Attribute]],#REF!,2,FALSE)</f>
        <v>#REF!</v>
      </c>
      <c r="F7276">
        <v>161.80000000000001</v>
      </c>
      <c r="G7276">
        <f>(Cpi_[[#This Row],[Value]]-F7275)/F7275</f>
        <v>0.16068866571018656</v>
      </c>
      <c r="H7276" t="e" cm="1" vm="1">
        <f t="array" aca="1" ref="H7276" ca="1">VLOOKUP(Cpi_[[#This Row],[Year]:[Month]],crudeoil[],3,FALSE)</f>
        <v>#VALUE!</v>
      </c>
    </row>
    <row r="7277" spans="1:8" hidden="1" x14ac:dyDescent="0.3">
      <c r="A7277" t="s">
        <v>34</v>
      </c>
      <c r="B7277">
        <v>2020</v>
      </c>
      <c r="C7277" t="s">
        <v>40</v>
      </c>
      <c r="D7277" t="s">
        <v>15</v>
      </c>
      <c r="E7277" t="e">
        <f>VLOOKUP(Cpi_[[#This Row],[Attribute]],#REF!,2,FALSE)</f>
        <v>#REF!</v>
      </c>
      <c r="F7277">
        <v>154</v>
      </c>
      <c r="G7277">
        <f>(Cpi_[[#This Row],[Value]]-F7276)/F7276</f>
        <v>-4.8207663782447535E-2</v>
      </c>
      <c r="H7277" t="e" cm="1" vm="1">
        <f t="array" aca="1" ref="H7277" ca="1">VLOOKUP(Cpi_[[#This Row],[Year]:[Month]],crudeoil[],3,FALSE)</f>
        <v>#VALUE!</v>
      </c>
    </row>
    <row r="7278" spans="1:8" hidden="1" x14ac:dyDescent="0.3">
      <c r="A7278" t="s">
        <v>34</v>
      </c>
      <c r="B7278">
        <v>2020</v>
      </c>
      <c r="C7278" t="s">
        <v>40</v>
      </c>
      <c r="D7278" t="s">
        <v>16</v>
      </c>
      <c r="E7278" t="e">
        <f>VLOOKUP(Cpi_[[#This Row],[Attribute]],#REF!,2,FALSE)</f>
        <v>#REF!</v>
      </c>
      <c r="F7278">
        <v>183.5</v>
      </c>
      <c r="G7278">
        <f>(Cpi_[[#This Row],[Value]]-F7277)/F7277</f>
        <v>0.19155844155844157</v>
      </c>
      <c r="H7278" t="e" cm="1" vm="1">
        <f t="array" aca="1" ref="H7278" ca="1">VLOOKUP(Cpi_[[#This Row],[Year]:[Month]],crudeoil[],3,FALSE)</f>
        <v>#VALUE!</v>
      </c>
    </row>
    <row r="7279" spans="1:8" hidden="1" x14ac:dyDescent="0.3">
      <c r="A7279" t="s">
        <v>34</v>
      </c>
      <c r="B7279">
        <v>2020</v>
      </c>
      <c r="C7279" t="s">
        <v>40</v>
      </c>
      <c r="D7279" t="s">
        <v>17</v>
      </c>
      <c r="E7279" t="e">
        <f>VLOOKUP(Cpi_[[#This Row],[Attribute]],#REF!,2,FALSE)</f>
        <v>#REF!</v>
      </c>
      <c r="F7279">
        <v>152.5</v>
      </c>
      <c r="G7279">
        <f>(Cpi_[[#This Row],[Value]]-F7278)/F7278</f>
        <v>-0.16893732970027248</v>
      </c>
      <c r="H7279" t="e" cm="1" vm="1">
        <f t="array" aca="1" ref="H7279" ca="1">VLOOKUP(Cpi_[[#This Row],[Year]:[Month]],crudeoil[],3,FALSE)</f>
        <v>#VALUE!</v>
      </c>
    </row>
    <row r="7280" spans="1:8" hidden="1" x14ac:dyDescent="0.3">
      <c r="A7280" t="s">
        <v>34</v>
      </c>
      <c r="B7280">
        <v>2020</v>
      </c>
      <c r="C7280" t="s">
        <v>40</v>
      </c>
      <c r="D7280" t="s">
        <v>18</v>
      </c>
      <c r="E7280" t="e">
        <f>VLOOKUP(Cpi_[[#This Row],[Attribute]],#REF!,2,FALSE)</f>
        <v>#REF!</v>
      </c>
      <c r="F7280">
        <v>144.4</v>
      </c>
      <c r="G7280">
        <f>(Cpi_[[#This Row],[Value]]-F7279)/F7279</f>
        <v>-5.3114754098360618E-2</v>
      </c>
      <c r="H7280" t="e" cm="1" vm="1">
        <f t="array" aca="1" ref="H7280" ca="1">VLOOKUP(Cpi_[[#This Row],[Year]:[Month]],crudeoil[],3,FALSE)</f>
        <v>#VALUE!</v>
      </c>
    </row>
    <row r="7281" spans="1:8" hidden="1" x14ac:dyDescent="0.3">
      <c r="A7281" t="s">
        <v>34</v>
      </c>
      <c r="B7281">
        <v>2020</v>
      </c>
      <c r="C7281" t="s">
        <v>40</v>
      </c>
      <c r="D7281" t="s">
        <v>19</v>
      </c>
      <c r="E7281" t="e">
        <f>VLOOKUP(Cpi_[[#This Row],[Attribute]],#REF!,2,FALSE)</f>
        <v>#REF!</v>
      </c>
      <c r="F7281">
        <v>151.4</v>
      </c>
      <c r="G7281">
        <f>(Cpi_[[#This Row],[Value]]-F7280)/F7280</f>
        <v>4.8476454293628804E-2</v>
      </c>
      <c r="H7281" t="e" cm="1" vm="1">
        <f t="array" aca="1" ref="H7281" ca="1">VLOOKUP(Cpi_[[#This Row],[Year]:[Month]],crudeoil[],3,FALSE)</f>
        <v>#VALUE!</v>
      </c>
    </row>
    <row r="7282" spans="1:8" hidden="1" x14ac:dyDescent="0.3">
      <c r="A7282" t="s">
        <v>34</v>
      </c>
      <c r="B7282">
        <v>2020</v>
      </c>
      <c r="C7282" t="s">
        <v>40</v>
      </c>
      <c r="D7282" t="s">
        <v>20</v>
      </c>
      <c r="E7282" t="e">
        <f>VLOOKUP(Cpi_[[#This Row],[Attribute]],#REF!,2,FALSE)</f>
        <v>#REF!</v>
      </c>
      <c r="F7282">
        <v>154.69999999999999</v>
      </c>
      <c r="G7282">
        <f>(Cpi_[[#This Row],[Value]]-F7281)/F7281</f>
        <v>2.1796565389696057E-2</v>
      </c>
      <c r="H7282" t="e" cm="1" vm="1">
        <f t="array" aca="1" ref="H7282" ca="1">VLOOKUP(Cpi_[[#This Row],[Year]:[Month]],crudeoil[],3,FALSE)</f>
        <v>#VALUE!</v>
      </c>
    </row>
    <row r="7283" spans="1:8" hidden="1" x14ac:dyDescent="0.3">
      <c r="A7283" t="s">
        <v>34</v>
      </c>
      <c r="B7283">
        <v>2020</v>
      </c>
      <c r="C7283" t="s">
        <v>40</v>
      </c>
      <c r="D7283" t="s">
        <v>21</v>
      </c>
      <c r="E7283" t="e">
        <f>VLOOKUP(Cpi_[[#This Row],[Attribute]],#REF!,2,FALSE)</f>
        <v>#REF!</v>
      </c>
      <c r="F7283">
        <v>141.9</v>
      </c>
      <c r="G7283">
        <f>(Cpi_[[#This Row],[Value]]-F7282)/F7282</f>
        <v>-8.2740788623141465E-2</v>
      </c>
      <c r="H7283" t="e" cm="1" vm="1">
        <f t="array" aca="1" ref="H7283" ca="1">VLOOKUP(Cpi_[[#This Row],[Year]:[Month]],crudeoil[],3,FALSE)</f>
        <v>#VALUE!</v>
      </c>
    </row>
    <row r="7284" spans="1:8" hidden="1" x14ac:dyDescent="0.3">
      <c r="A7284" t="s">
        <v>34</v>
      </c>
      <c r="B7284">
        <v>2020</v>
      </c>
      <c r="C7284" t="s">
        <v>40</v>
      </c>
      <c r="D7284" t="s">
        <v>22</v>
      </c>
      <c r="E7284" t="e">
        <f>VLOOKUP(Cpi_[[#This Row],[Attribute]],#REF!,2,FALSE)</f>
        <v>#REF!</v>
      </c>
      <c r="F7284">
        <v>146.4</v>
      </c>
      <c r="G7284">
        <f>(Cpi_[[#This Row],[Value]]-F7283)/F7283</f>
        <v>3.1712473572938688E-2</v>
      </c>
      <c r="H7284" t="e" cm="1" vm="1">
        <f t="array" aca="1" ref="H7284" ca="1">VLOOKUP(Cpi_[[#This Row],[Year]:[Month]],crudeoil[],3,FALSE)</f>
        <v>#VALUE!</v>
      </c>
    </row>
    <row r="7285" spans="1:8" hidden="1" x14ac:dyDescent="0.3">
      <c r="A7285" t="s">
        <v>34</v>
      </c>
      <c r="B7285">
        <v>2020</v>
      </c>
      <c r="C7285" t="s">
        <v>40</v>
      </c>
      <c r="D7285" t="s">
        <v>23</v>
      </c>
      <c r="E7285" t="e">
        <f>VLOOKUP(Cpi_[[#This Row],[Attribute]],#REF!,2,FALSE)</f>
        <v>#REF!</v>
      </c>
      <c r="F7285">
        <v>154.4</v>
      </c>
      <c r="G7285">
        <f>(Cpi_[[#This Row],[Value]]-F7284)/F7284</f>
        <v>5.4644808743169397E-2</v>
      </c>
      <c r="H7285" t="e" cm="1" vm="1">
        <f t="array" aca="1" ref="H7285" ca="1">VLOOKUP(Cpi_[[#This Row],[Year]:[Month]],crudeoil[],3,FALSE)</f>
        <v>#VALUE!</v>
      </c>
    </row>
    <row r="7286" spans="1:8" hidden="1" x14ac:dyDescent="0.3">
      <c r="A7286" t="s">
        <v>34</v>
      </c>
      <c r="B7286">
        <v>2020</v>
      </c>
      <c r="C7286" t="s">
        <v>40</v>
      </c>
      <c r="D7286" t="s">
        <v>24</v>
      </c>
      <c r="E7286" t="e">
        <f>VLOOKUP(Cpi_[[#This Row],[Attribute]],#REF!,2,FALSE)</f>
        <v>#REF!</v>
      </c>
      <c r="F7286">
        <v>135</v>
      </c>
      <c r="G7286">
        <f>(Cpi_[[#This Row],[Value]]-F7285)/F7285</f>
        <v>-0.12564766839378241</v>
      </c>
      <c r="H7286" t="e" cm="1" vm="1">
        <f t="array" aca="1" ref="H7286" ca="1">VLOOKUP(Cpi_[[#This Row],[Year]:[Month]],crudeoil[],3,FALSE)</f>
        <v>#VALUE!</v>
      </c>
    </row>
    <row r="7287" spans="1:8" hidden="1" x14ac:dyDescent="0.3">
      <c r="A7287" t="s">
        <v>34</v>
      </c>
      <c r="B7287">
        <v>2020</v>
      </c>
      <c r="C7287" t="s">
        <v>40</v>
      </c>
      <c r="D7287" t="s">
        <v>25</v>
      </c>
      <c r="E7287" t="e">
        <f>VLOOKUP(Cpi_[[#This Row],[Attribute]],#REF!,2,FALSE)</f>
        <v>#REF!</v>
      </c>
      <c r="F7287">
        <v>148.30000000000001</v>
      </c>
      <c r="G7287">
        <f>(Cpi_[[#This Row],[Value]]-F7286)/F7286</f>
        <v>9.8518518518518602E-2</v>
      </c>
      <c r="H7287" t="e" cm="1" vm="1">
        <f t="array" aca="1" ref="H7287" ca="1">VLOOKUP(Cpi_[[#This Row],[Year]:[Month]],crudeoil[],3,FALSE)</f>
        <v>#VALUE!</v>
      </c>
    </row>
    <row r="7288" spans="1:8" hidden="1" x14ac:dyDescent="0.3">
      <c r="A7288" t="s">
        <v>34</v>
      </c>
      <c r="B7288">
        <v>2020</v>
      </c>
      <c r="C7288" t="s">
        <v>40</v>
      </c>
      <c r="D7288" t="s">
        <v>26</v>
      </c>
      <c r="E7288" t="e">
        <f>VLOOKUP(Cpi_[[#This Row],[Attribute]],#REF!,2,FALSE)</f>
        <v>#REF!</v>
      </c>
      <c r="F7288">
        <v>156.4</v>
      </c>
      <c r="G7288">
        <f>(Cpi_[[#This Row],[Value]]-F7287)/F7287</f>
        <v>5.4619015509103128E-2</v>
      </c>
      <c r="H7288" t="e" cm="1" vm="1">
        <f t="array" aca="1" ref="H7288" ca="1">VLOOKUP(Cpi_[[#This Row],[Year]:[Month]],crudeoil[],3,FALSE)</f>
        <v>#VALUE!</v>
      </c>
    </row>
    <row r="7289" spans="1:8" hidden="1" x14ac:dyDescent="0.3">
      <c r="A7289" t="s">
        <v>34</v>
      </c>
      <c r="B7289">
        <v>2020</v>
      </c>
      <c r="C7289" t="s">
        <v>40</v>
      </c>
      <c r="D7289" t="s">
        <v>27</v>
      </c>
      <c r="E7289" t="e">
        <f>VLOOKUP(Cpi_[[#This Row],[Attribute]],#REF!,2,FALSE)</f>
        <v>#REF!</v>
      </c>
      <c r="F7289">
        <v>151.6</v>
      </c>
      <c r="G7289">
        <f>(Cpi_[[#This Row],[Value]]-F7288)/F7288</f>
        <v>-3.0690537084399047E-2</v>
      </c>
      <c r="H7289" t="e" cm="1" vm="1">
        <f t="array" aca="1" ref="H7289" ca="1">VLOOKUP(Cpi_[[#This Row],[Year]:[Month]],crudeoil[],3,FALSE)</f>
        <v>#VALUE!</v>
      </c>
    </row>
    <row r="7290" spans="1:8" hidden="1" x14ac:dyDescent="0.3">
      <c r="A7290" t="s">
        <v>34</v>
      </c>
      <c r="B7290">
        <v>2020</v>
      </c>
      <c r="C7290" t="s">
        <v>40</v>
      </c>
      <c r="D7290" t="s">
        <v>28</v>
      </c>
      <c r="E7290" t="e">
        <f>VLOOKUP(Cpi_[[#This Row],[Attribute]],#REF!,2,FALSE)</f>
        <v>#REF!</v>
      </c>
      <c r="F7290">
        <v>147</v>
      </c>
      <c r="G7290">
        <f>(Cpi_[[#This Row],[Value]]-F7289)/F7289</f>
        <v>-3.0343007915567245E-2</v>
      </c>
      <c r="H7290" t="e" cm="1" vm="1">
        <f t="array" aca="1" ref="H7290" ca="1">VLOOKUP(Cpi_[[#This Row],[Year]:[Month]],crudeoil[],3,FALSE)</f>
        <v>#VALUE!</v>
      </c>
    </row>
    <row r="7291" spans="1:8" hidden="1" x14ac:dyDescent="0.3">
      <c r="A7291" t="s">
        <v>34</v>
      </c>
      <c r="B7291">
        <v>2020</v>
      </c>
      <c r="C7291" t="s">
        <v>40</v>
      </c>
      <c r="D7291" t="s">
        <v>29</v>
      </c>
      <c r="E7291" t="e" cm="1">
        <f t="array" aca="1" ref="E7291" ca="1">VLGeneral indexGeneral indexKUP(Cpi_[[#This Row],[Attribute]],#REF!,2,FALSE)</f>
        <v>#NAME?</v>
      </c>
      <c r="F7291">
        <v>151.80000000000001</v>
      </c>
      <c r="G7291">
        <f>(Cpi_[[#This Row],[Value]]-F7290)/F7290</f>
        <v>3.2653061224489875E-2</v>
      </c>
      <c r="H7291" t="e" cm="1" vm="1">
        <f t="array" aca="1" ref="H7291" ca="1">VLOOKUP(Cpi_[[#This Row],[Year]:[Month]],crudeoil[],3,FALSE)</f>
        <v>#VALUE!</v>
      </c>
    </row>
    <row r="7292" spans="1:8" hidden="1" x14ac:dyDescent="0.3">
      <c r="A7292" t="s">
        <v>30</v>
      </c>
      <c r="B7292">
        <v>2020</v>
      </c>
      <c r="C7292" t="s">
        <v>41</v>
      </c>
      <c r="D7292" t="s">
        <v>3</v>
      </c>
      <c r="E7292" t="e">
        <f>VLOOKUP(Cpi_[[#This Row],[Attribute]],#REF!,2,FALSE)</f>
        <v>#REF!</v>
      </c>
      <c r="F7292">
        <v>147.6</v>
      </c>
      <c r="G7292">
        <f>(Cpi_[[#This Row],[Value]]-F7291)/F7291</f>
        <v>-2.7667984189723431E-2</v>
      </c>
      <c r="H7292" t="e" cm="1" vm="1">
        <f t="array" aca="1" ref="H7292" ca="1">VLOOKUP(Cpi_[[#This Row],[Year]:[Month]],crudeoil[],3,FALSE)</f>
        <v>#VALUE!</v>
      </c>
    </row>
    <row r="7293" spans="1:8" hidden="1" x14ac:dyDescent="0.3">
      <c r="A7293" t="s">
        <v>30</v>
      </c>
      <c r="B7293">
        <v>2020</v>
      </c>
      <c r="C7293" t="s">
        <v>41</v>
      </c>
      <c r="D7293" t="s">
        <v>4</v>
      </c>
      <c r="E7293" t="e">
        <f>VLOOKUP(Cpi_[[#This Row],[Attribute]],#REF!,2,FALSE)</f>
        <v>#REF!</v>
      </c>
      <c r="F7293">
        <v>187.2</v>
      </c>
      <c r="G7293">
        <f>(Cpi_[[#This Row],[Value]]-F7292)/F7292</f>
        <v>0.26829268292682923</v>
      </c>
      <c r="H7293" t="e" cm="1" vm="1">
        <f t="array" aca="1" ref="H7293" ca="1">VLOOKUP(Cpi_[[#This Row],[Year]:[Month]],crudeoil[],3,FALSE)</f>
        <v>#VALUE!</v>
      </c>
    </row>
    <row r="7294" spans="1:8" hidden="1" x14ac:dyDescent="0.3">
      <c r="A7294" t="s">
        <v>30</v>
      </c>
      <c r="B7294">
        <v>2020</v>
      </c>
      <c r="C7294" t="s">
        <v>41</v>
      </c>
      <c r="D7294" t="s">
        <v>5</v>
      </c>
      <c r="E7294" t="e">
        <f>VLOOKUP(Cpi_[[#This Row],[Attribute]],#REF!,2,FALSE)</f>
        <v>#REF!</v>
      </c>
      <c r="F7294">
        <v>148.4</v>
      </c>
      <c r="G7294">
        <f>(Cpi_[[#This Row],[Value]]-F7293)/F7293</f>
        <v>-0.20726495726495719</v>
      </c>
      <c r="H7294" t="e" cm="1" vm="1">
        <f t="array" aca="1" ref="H7294" ca="1">VLOOKUP(Cpi_[[#This Row],[Year]:[Month]],crudeoil[],3,FALSE)</f>
        <v>#VALUE!</v>
      </c>
    </row>
    <row r="7295" spans="1:8" hidden="1" x14ac:dyDescent="0.3">
      <c r="A7295" t="s">
        <v>30</v>
      </c>
      <c r="B7295">
        <v>2020</v>
      </c>
      <c r="C7295" t="s">
        <v>41</v>
      </c>
      <c r="D7295" t="s">
        <v>6</v>
      </c>
      <c r="E7295" t="e">
        <f>VLOOKUP(Cpi_[[#This Row],[Attribute]],#REF!,2,FALSE)</f>
        <v>#REF!</v>
      </c>
      <c r="F7295">
        <v>153.30000000000001</v>
      </c>
      <c r="G7295">
        <f>(Cpi_[[#This Row],[Value]]-F7294)/F7294</f>
        <v>3.3018867924528336E-2</v>
      </c>
      <c r="H7295" t="e" cm="1" vm="1">
        <f t="array" aca="1" ref="H7295" ca="1">VLOOKUP(Cpi_[[#This Row],[Year]:[Month]],crudeoil[],3,FALSE)</f>
        <v>#VALUE!</v>
      </c>
    </row>
    <row r="7296" spans="1:8" hidden="1" x14ac:dyDescent="0.3">
      <c r="A7296" t="s">
        <v>30</v>
      </c>
      <c r="B7296">
        <v>2020</v>
      </c>
      <c r="C7296" t="s">
        <v>41</v>
      </c>
      <c r="D7296" t="s">
        <v>7</v>
      </c>
      <c r="E7296" t="e">
        <f>VLOOKUP(Cpi_[[#This Row],[Attribute]],#REF!,2,FALSE)</f>
        <v>#REF!</v>
      </c>
      <c r="F7296">
        <v>139.80000000000001</v>
      </c>
      <c r="G7296">
        <f>(Cpi_[[#This Row],[Value]]-F7295)/F7295</f>
        <v>-8.8062622309197647E-2</v>
      </c>
      <c r="H7296" t="e" cm="1" vm="1">
        <f t="array" aca="1" ref="H7296" ca="1">VLOOKUP(Cpi_[[#This Row],[Year]:[Month]],crudeoil[],3,FALSE)</f>
        <v>#VALUE!</v>
      </c>
    </row>
    <row r="7297" spans="1:8" hidden="1" x14ac:dyDescent="0.3">
      <c r="A7297" t="s">
        <v>30</v>
      </c>
      <c r="B7297">
        <v>2020</v>
      </c>
      <c r="C7297" t="s">
        <v>41</v>
      </c>
      <c r="D7297" t="s">
        <v>8</v>
      </c>
      <c r="E7297" t="e">
        <f>VLOOKUP(Cpi_[[#This Row],[Attribute]],#REF!,2,FALSE)</f>
        <v>#REF!</v>
      </c>
      <c r="F7297">
        <v>146.9</v>
      </c>
      <c r="G7297">
        <f>(Cpi_[[#This Row],[Value]]-F7296)/F7296</f>
        <v>5.0786838340486362E-2</v>
      </c>
      <c r="H7297" t="e" cm="1" vm="1">
        <f t="array" aca="1" ref="H7297" ca="1">VLOOKUP(Cpi_[[#This Row],[Year]:[Month]],crudeoil[],3,FALSE)</f>
        <v>#VALUE!</v>
      </c>
    </row>
    <row r="7298" spans="1:8" hidden="1" x14ac:dyDescent="0.3">
      <c r="A7298" t="s">
        <v>30</v>
      </c>
      <c r="B7298">
        <v>2020</v>
      </c>
      <c r="C7298" t="s">
        <v>41</v>
      </c>
      <c r="D7298" t="s">
        <v>9</v>
      </c>
      <c r="E7298" t="e">
        <f>VLOOKUP(Cpi_[[#This Row],[Attribute]],#REF!,2,FALSE)</f>
        <v>#REF!</v>
      </c>
      <c r="F7298">
        <v>171</v>
      </c>
      <c r="G7298">
        <f>(Cpi_[[#This Row],[Value]]-F7297)/F7297</f>
        <v>0.16405718175629674</v>
      </c>
      <c r="H7298" t="e" cm="1" vm="1">
        <f t="array" aca="1" ref="H7298" ca="1">VLOOKUP(Cpi_[[#This Row],[Year]:[Month]],crudeoil[],3,FALSE)</f>
        <v>#VALUE!</v>
      </c>
    </row>
    <row r="7299" spans="1:8" hidden="1" x14ac:dyDescent="0.3">
      <c r="A7299" t="s">
        <v>30</v>
      </c>
      <c r="B7299">
        <v>2020</v>
      </c>
      <c r="C7299" t="s">
        <v>41</v>
      </c>
      <c r="D7299" t="s">
        <v>10</v>
      </c>
      <c r="E7299" t="e">
        <f>VLOOKUP(Cpi_[[#This Row],[Attribute]],#REF!,2,FALSE)</f>
        <v>#REF!</v>
      </c>
      <c r="F7299">
        <v>149.9</v>
      </c>
      <c r="G7299">
        <f>(Cpi_[[#This Row],[Value]]-F7298)/F7298</f>
        <v>-0.12339181286549704</v>
      </c>
      <c r="H7299" t="e" cm="1" vm="1">
        <f t="array" aca="1" ref="H7299" ca="1">VLOOKUP(Cpi_[[#This Row],[Year]:[Month]],crudeoil[],3,FALSE)</f>
        <v>#VALUE!</v>
      </c>
    </row>
    <row r="7300" spans="1:8" hidden="1" x14ac:dyDescent="0.3">
      <c r="A7300" t="s">
        <v>30</v>
      </c>
      <c r="B7300">
        <v>2020</v>
      </c>
      <c r="C7300" t="s">
        <v>41</v>
      </c>
      <c r="D7300" t="s">
        <v>11</v>
      </c>
      <c r="E7300" t="e">
        <f>VLOOKUP(Cpi_[[#This Row],[Attribute]],#REF!,2,FALSE)</f>
        <v>#REF!</v>
      </c>
      <c r="F7300">
        <v>114.2</v>
      </c>
      <c r="G7300">
        <f>(Cpi_[[#This Row],[Value]]-F7299)/F7299</f>
        <v>-0.23815877251501003</v>
      </c>
      <c r="H7300" t="e" cm="1" vm="1">
        <f t="array" aca="1" ref="H7300" ca="1">VLOOKUP(Cpi_[[#This Row],[Year]:[Month]],crudeoil[],3,FALSE)</f>
        <v>#VALUE!</v>
      </c>
    </row>
    <row r="7301" spans="1:8" hidden="1" x14ac:dyDescent="0.3">
      <c r="A7301" t="s">
        <v>30</v>
      </c>
      <c r="B7301">
        <v>2020</v>
      </c>
      <c r="C7301" t="s">
        <v>41</v>
      </c>
      <c r="D7301" t="s">
        <v>12</v>
      </c>
      <c r="E7301" t="e">
        <f>VLOOKUP(Cpi_[[#This Row],[Attribute]],#REF!,2,FALSE)</f>
        <v>#REF!</v>
      </c>
      <c r="F7301">
        <v>160</v>
      </c>
      <c r="G7301">
        <f>(Cpi_[[#This Row],[Value]]-F7300)/F7300</f>
        <v>0.40105078809106826</v>
      </c>
      <c r="H7301" t="e" cm="1" vm="1">
        <f t="array" aca="1" ref="H7301" ca="1">VLOOKUP(Cpi_[[#This Row],[Year]:[Month]],crudeoil[],3,FALSE)</f>
        <v>#VALUE!</v>
      </c>
    </row>
    <row r="7302" spans="1:8" hidden="1" x14ac:dyDescent="0.3">
      <c r="A7302" t="s">
        <v>30</v>
      </c>
      <c r="B7302">
        <v>2020</v>
      </c>
      <c r="C7302" t="s">
        <v>41</v>
      </c>
      <c r="D7302" t="s">
        <v>13</v>
      </c>
      <c r="E7302" t="e">
        <f>VLOOKUP(Cpi_[[#This Row],[Attribute]],#REF!,2,FALSE)</f>
        <v>#REF!</v>
      </c>
      <c r="F7302">
        <v>143.5</v>
      </c>
      <c r="G7302">
        <f>(Cpi_[[#This Row],[Value]]-F7301)/F7301</f>
        <v>-0.10312499999999999</v>
      </c>
      <c r="H7302" t="e" cm="1" vm="1">
        <f t="array" aca="1" ref="H7302" ca="1">VLOOKUP(Cpi_[[#This Row],[Year]:[Month]],crudeoil[],3,FALSE)</f>
        <v>#VALUE!</v>
      </c>
    </row>
    <row r="7303" spans="1:8" hidden="1" x14ac:dyDescent="0.3">
      <c r="A7303" t="s">
        <v>30</v>
      </c>
      <c r="B7303">
        <v>2020</v>
      </c>
      <c r="C7303" t="s">
        <v>41</v>
      </c>
      <c r="D7303" t="s">
        <v>14</v>
      </c>
      <c r="E7303" t="e">
        <f>VLOOKUP(Cpi_[[#This Row],[Attribute]],#REF!,2,FALSE)</f>
        <v>#REF!</v>
      </c>
      <c r="F7303">
        <v>161.5</v>
      </c>
      <c r="G7303">
        <f>(Cpi_[[#This Row],[Value]]-F7302)/F7302</f>
        <v>0.12543554006968641</v>
      </c>
      <c r="H7303" t="e" cm="1" vm="1">
        <f t="array" aca="1" ref="H7303" ca="1">VLOOKUP(Cpi_[[#This Row],[Year]:[Month]],crudeoil[],3,FALSE)</f>
        <v>#VALUE!</v>
      </c>
    </row>
    <row r="7304" spans="1:8" hidden="1" x14ac:dyDescent="0.3">
      <c r="A7304" t="s">
        <v>30</v>
      </c>
      <c r="B7304">
        <v>2020</v>
      </c>
      <c r="C7304" t="s">
        <v>41</v>
      </c>
      <c r="D7304" t="s">
        <v>15</v>
      </c>
      <c r="E7304" t="e">
        <f>VLOOKUP(Cpi_[[#This Row],[Attribute]],#REF!,2,FALSE)</f>
        <v>#REF!</v>
      </c>
      <c r="F7304">
        <v>155.30000000000001</v>
      </c>
      <c r="G7304">
        <f>(Cpi_[[#This Row],[Value]]-F7303)/F7303</f>
        <v>-3.8390092879256897E-2</v>
      </c>
      <c r="H7304" t="e" cm="1" vm="1">
        <f t="array" aca="1" ref="H7304" ca="1">VLOOKUP(Cpi_[[#This Row],[Year]:[Month]],crudeoil[],3,FALSE)</f>
        <v>#VALUE!</v>
      </c>
    </row>
    <row r="7305" spans="1:8" hidden="1" x14ac:dyDescent="0.3">
      <c r="A7305" t="s">
        <v>30</v>
      </c>
      <c r="B7305">
        <v>2020</v>
      </c>
      <c r="C7305" t="s">
        <v>41</v>
      </c>
      <c r="D7305" t="s">
        <v>16</v>
      </c>
      <c r="E7305" t="e">
        <f>VLOOKUP(Cpi_[[#This Row],[Attribute]],#REF!,2,FALSE)</f>
        <v>#REF!</v>
      </c>
      <c r="F7305">
        <v>180.9</v>
      </c>
      <c r="G7305">
        <f>(Cpi_[[#This Row],[Value]]-F7304)/F7304</f>
        <v>0.16484224082421114</v>
      </c>
      <c r="H7305" t="e" cm="1" vm="1">
        <f t="array" aca="1" ref="H7305" ca="1">VLOOKUP(Cpi_[[#This Row],[Year]:[Month]],crudeoil[],3,FALSE)</f>
        <v>#VALUE!</v>
      </c>
    </row>
    <row r="7306" spans="1:8" hidden="1" x14ac:dyDescent="0.3">
      <c r="A7306" t="s">
        <v>30</v>
      </c>
      <c r="B7306">
        <v>2020</v>
      </c>
      <c r="C7306" t="s">
        <v>41</v>
      </c>
      <c r="D7306" t="s">
        <v>17</v>
      </c>
      <c r="E7306" t="e">
        <f>VLOOKUP(Cpi_[[#This Row],[Attribute]],#REF!,2,FALSE)</f>
        <v>#REF!</v>
      </c>
      <c r="F7306">
        <v>155.1</v>
      </c>
      <c r="G7306">
        <f>(Cpi_[[#This Row],[Value]]-F7305)/F7305</f>
        <v>-0.14262023217247102</v>
      </c>
      <c r="H7306" t="e" cm="1" vm="1">
        <f t="array" aca="1" ref="H7306" ca="1">VLOOKUP(Cpi_[[#This Row],[Year]:[Month]],crudeoil[],3,FALSE)</f>
        <v>#VALUE!</v>
      </c>
    </row>
    <row r="7307" spans="1:8" hidden="1" x14ac:dyDescent="0.3">
      <c r="A7307" t="s">
        <v>30</v>
      </c>
      <c r="B7307">
        <v>2020</v>
      </c>
      <c r="C7307" t="s">
        <v>41</v>
      </c>
      <c r="D7307" t="s">
        <v>18</v>
      </c>
      <c r="E7307" t="e">
        <f>VLOOKUP(Cpi_[[#This Row],[Attribute]],#REF!,2,FALSE)</f>
        <v>#REF!</v>
      </c>
      <c r="F7307">
        <v>149.30000000000001</v>
      </c>
      <c r="G7307">
        <f>(Cpi_[[#This Row],[Value]]-F7306)/F7306</f>
        <v>-3.739522888459048E-2</v>
      </c>
      <c r="H7307" t="e" cm="1" vm="1">
        <f t="array" aca="1" ref="H7307" ca="1">VLOOKUP(Cpi_[[#This Row],[Year]:[Month]],crudeoil[],3,FALSE)</f>
        <v>#VALUE!</v>
      </c>
    </row>
    <row r="7308" spans="1:8" hidden="1" x14ac:dyDescent="0.3">
      <c r="A7308" t="s">
        <v>30</v>
      </c>
      <c r="B7308">
        <v>2020</v>
      </c>
      <c r="C7308" t="s">
        <v>41</v>
      </c>
      <c r="D7308" t="s">
        <v>19</v>
      </c>
      <c r="E7308" t="e">
        <f>VLOOKUP(Cpi_[[#This Row],[Attribute]],#REF!,2,FALSE)</f>
        <v>#REF!</v>
      </c>
      <c r="F7308">
        <v>154.30000000000001</v>
      </c>
      <c r="G7308">
        <f>(Cpi_[[#This Row],[Value]]-F7307)/F7307</f>
        <v>3.3489618218352307E-2</v>
      </c>
      <c r="H7308" t="e" cm="1" vm="1">
        <f t="array" aca="1" ref="H7308" ca="1">VLOOKUP(Cpi_[[#This Row],[Year]:[Month]],crudeoil[],3,FALSE)</f>
        <v>#VALUE!</v>
      </c>
    </row>
    <row r="7309" spans="1:8" hidden="1" x14ac:dyDescent="0.3">
      <c r="A7309" t="s">
        <v>30</v>
      </c>
      <c r="B7309">
        <v>2020</v>
      </c>
      <c r="C7309" t="s">
        <v>41</v>
      </c>
      <c r="D7309" t="s">
        <v>20</v>
      </c>
      <c r="E7309" t="e">
        <f>VLOOKUP(Cpi_[[#This Row],[Attribute]],#REF!,2,FALSE)</f>
        <v>#REF!</v>
      </c>
      <c r="F7309" t="s">
        <v>32</v>
      </c>
      <c r="G7309" t="e">
        <f>(Cpi_[[#This Row],[Value]]-F7308)/F7308</f>
        <v>#VALUE!</v>
      </c>
      <c r="H7309" t="e" cm="1" vm="1">
        <f t="array" aca="1" ref="H7309" ca="1">VLOOKUP(Cpi_[[#This Row],[Year]:[Month]],crudeoil[],3,FALSE)</f>
        <v>#VALUE!</v>
      </c>
    </row>
    <row r="7310" spans="1:8" hidden="1" x14ac:dyDescent="0.3">
      <c r="A7310" t="s">
        <v>30</v>
      </c>
      <c r="B7310">
        <v>2020</v>
      </c>
      <c r="C7310" t="s">
        <v>41</v>
      </c>
      <c r="D7310" t="s">
        <v>21</v>
      </c>
      <c r="E7310" t="e">
        <f>VLOOKUP(Cpi_[[#This Row],[Attribute]],#REF!,2,FALSE)</f>
        <v>#REF!</v>
      </c>
      <c r="F7310">
        <v>145.80000000000001</v>
      </c>
      <c r="G7310" t="e">
        <f>(Cpi_[[#This Row],[Value]]-F7309)/F7309</f>
        <v>#VALUE!</v>
      </c>
      <c r="H7310" t="e" cm="1" vm="1">
        <f t="array" aca="1" ref="H7310" ca="1">VLOOKUP(Cpi_[[#This Row],[Year]:[Month]],crudeoil[],3,FALSE)</f>
        <v>#VALUE!</v>
      </c>
    </row>
    <row r="7311" spans="1:8" hidden="1" x14ac:dyDescent="0.3">
      <c r="A7311" t="s">
        <v>30</v>
      </c>
      <c r="B7311">
        <v>2020</v>
      </c>
      <c r="C7311" t="s">
        <v>41</v>
      </c>
      <c r="D7311" t="s">
        <v>22</v>
      </c>
      <c r="E7311" t="e">
        <f>VLOOKUP(Cpi_[[#This Row],[Attribute]],#REF!,2,FALSE)</f>
        <v>#REF!</v>
      </c>
      <c r="F7311">
        <v>151.9</v>
      </c>
      <c r="G7311">
        <f>(Cpi_[[#This Row],[Value]]-F7310)/F7310</f>
        <v>4.1838134430726981E-2</v>
      </c>
      <c r="H7311" t="e" cm="1" vm="1">
        <f t="array" aca="1" ref="H7311" ca="1">VLOOKUP(Cpi_[[#This Row],[Year]:[Month]],crudeoil[],3,FALSE)</f>
        <v>#VALUE!</v>
      </c>
    </row>
    <row r="7312" spans="1:8" hidden="1" x14ac:dyDescent="0.3">
      <c r="A7312" t="s">
        <v>30</v>
      </c>
      <c r="B7312">
        <v>2020</v>
      </c>
      <c r="C7312" t="s">
        <v>41</v>
      </c>
      <c r="D7312" t="s">
        <v>23</v>
      </c>
      <c r="E7312" t="e">
        <f>VLOOKUP(Cpi_[[#This Row],[Attribute]],#REF!,2,FALSE)</f>
        <v>#REF!</v>
      </c>
      <c r="F7312">
        <v>158.80000000000001</v>
      </c>
      <c r="G7312">
        <f>(Cpi_[[#This Row],[Value]]-F7311)/F7311</f>
        <v>4.5424621461487853E-2</v>
      </c>
      <c r="H7312" t="e" cm="1" vm="1">
        <f t="array" aca="1" ref="H7312" ca="1">VLOOKUP(Cpi_[[#This Row],[Year]:[Month]],crudeoil[],3,FALSE)</f>
        <v>#VALUE!</v>
      </c>
    </row>
    <row r="7313" spans="1:8" hidden="1" x14ac:dyDescent="0.3">
      <c r="A7313" t="s">
        <v>30</v>
      </c>
      <c r="B7313">
        <v>2020</v>
      </c>
      <c r="C7313" t="s">
        <v>41</v>
      </c>
      <c r="D7313" t="s">
        <v>24</v>
      </c>
      <c r="E7313" t="e">
        <f>VLOOKUP(Cpi_[[#This Row],[Attribute]],#REF!,2,FALSE)</f>
        <v>#REF!</v>
      </c>
      <c r="F7313">
        <v>143.6</v>
      </c>
      <c r="G7313">
        <f>(Cpi_[[#This Row],[Value]]-F7312)/F7312</f>
        <v>-9.5717884130982464E-2</v>
      </c>
      <c r="H7313" t="e" cm="1" vm="1">
        <f t="array" aca="1" ref="H7313" ca="1">VLOOKUP(Cpi_[[#This Row],[Year]:[Month]],crudeoil[],3,FALSE)</f>
        <v>#VALUE!</v>
      </c>
    </row>
    <row r="7314" spans="1:8" hidden="1" x14ac:dyDescent="0.3">
      <c r="A7314" t="s">
        <v>30</v>
      </c>
      <c r="B7314">
        <v>2020</v>
      </c>
      <c r="C7314" t="s">
        <v>41</v>
      </c>
      <c r="D7314" t="s">
        <v>25</v>
      </c>
      <c r="E7314" t="e">
        <f>VLOOKUP(Cpi_[[#This Row],[Attribute]],#REF!,2,FALSE)</f>
        <v>#REF!</v>
      </c>
      <c r="F7314">
        <v>152.19999999999999</v>
      </c>
      <c r="G7314">
        <f>(Cpi_[[#This Row],[Value]]-F7313)/F7313</f>
        <v>5.9888579387186593E-2</v>
      </c>
      <c r="H7314" t="e" cm="1" vm="1">
        <f t="array" aca="1" ref="H7314" ca="1">VLOOKUP(Cpi_[[#This Row],[Year]:[Month]],crudeoil[],3,FALSE)</f>
        <v>#VALUE!</v>
      </c>
    </row>
    <row r="7315" spans="1:8" hidden="1" x14ac:dyDescent="0.3">
      <c r="A7315" t="s">
        <v>30</v>
      </c>
      <c r="B7315">
        <v>2020</v>
      </c>
      <c r="C7315" t="s">
        <v>41</v>
      </c>
      <c r="D7315" t="s">
        <v>26</v>
      </c>
      <c r="E7315" t="e">
        <f>VLOOKUP(Cpi_[[#This Row],[Attribute]],#REF!,2,FALSE)</f>
        <v>#REF!</v>
      </c>
      <c r="F7315">
        <v>162.69999999999999</v>
      </c>
      <c r="G7315">
        <f>(Cpi_[[#This Row],[Value]]-F7314)/F7314</f>
        <v>6.8988173455978977E-2</v>
      </c>
      <c r="H7315" t="e" cm="1" vm="1">
        <f t="array" aca="1" ref="H7315" ca="1">VLOOKUP(Cpi_[[#This Row],[Year]:[Month]],crudeoil[],3,FALSE)</f>
        <v>#VALUE!</v>
      </c>
    </row>
    <row r="7316" spans="1:8" hidden="1" x14ac:dyDescent="0.3">
      <c r="A7316" t="s">
        <v>30</v>
      </c>
      <c r="B7316">
        <v>2020</v>
      </c>
      <c r="C7316" t="s">
        <v>41</v>
      </c>
      <c r="D7316" t="s">
        <v>27</v>
      </c>
      <c r="E7316" t="e">
        <f>VLOOKUP(Cpi_[[#This Row],[Attribute]],#REF!,2,FALSE)</f>
        <v>#REF!</v>
      </c>
      <c r="F7316">
        <v>153.6</v>
      </c>
      <c r="G7316">
        <f>(Cpi_[[#This Row],[Value]]-F7315)/F7315</f>
        <v>-5.5931161647203409E-2</v>
      </c>
      <c r="H7316" t="e" cm="1" vm="1">
        <f t="array" aca="1" ref="H7316" ca="1">VLOOKUP(Cpi_[[#This Row],[Year]:[Month]],crudeoil[],3,FALSE)</f>
        <v>#VALUE!</v>
      </c>
    </row>
    <row r="7317" spans="1:8" hidden="1" x14ac:dyDescent="0.3">
      <c r="A7317" t="s">
        <v>30</v>
      </c>
      <c r="B7317">
        <v>2020</v>
      </c>
      <c r="C7317" t="s">
        <v>41</v>
      </c>
      <c r="D7317" t="s">
        <v>28</v>
      </c>
      <c r="E7317" t="e">
        <f>VLOOKUP(Cpi_[[#This Row],[Attribute]],#REF!,2,FALSE)</f>
        <v>#REF!</v>
      </c>
      <c r="F7317">
        <v>153</v>
      </c>
      <c r="G7317">
        <f>(Cpi_[[#This Row],[Value]]-F7316)/F7316</f>
        <v>-3.9062499999999631E-3</v>
      </c>
      <c r="H7317" t="e" cm="1" vm="1">
        <f t="array" aca="1" ref="H7317" ca="1">VLOOKUP(Cpi_[[#This Row],[Year]:[Month]],crudeoil[],3,FALSE)</f>
        <v>#VALUE!</v>
      </c>
    </row>
    <row r="7318" spans="1:8" hidden="1" x14ac:dyDescent="0.3">
      <c r="A7318" t="s">
        <v>30</v>
      </c>
      <c r="B7318">
        <v>2020</v>
      </c>
      <c r="C7318" t="s">
        <v>41</v>
      </c>
      <c r="D7318" t="s">
        <v>29</v>
      </c>
      <c r="E7318" t="e" cm="1">
        <f t="array" aca="1" ref="E7318" ca="1">VLGeneral indexGeneral indexKUP(Cpi_[[#This Row],[Attribute]],#REF!,2,FALSE)</f>
        <v>#NAME?</v>
      </c>
      <c r="F7318">
        <v>154.69999999999999</v>
      </c>
      <c r="G7318">
        <f>(Cpi_[[#This Row],[Value]]-F7317)/F7317</f>
        <v>1.1111111111111037E-2</v>
      </c>
      <c r="H7318" t="e" cm="1" vm="1">
        <f t="array" aca="1" ref="H7318" ca="1">VLOOKUP(Cpi_[[#This Row],[Year]:[Month]],crudeoil[],3,FALSE)</f>
        <v>#VALUE!</v>
      </c>
    </row>
    <row r="7319" spans="1:8" hidden="1" x14ac:dyDescent="0.3">
      <c r="A7319" t="s">
        <v>33</v>
      </c>
      <c r="B7319">
        <v>2020</v>
      </c>
      <c r="C7319" t="s">
        <v>41</v>
      </c>
      <c r="D7319" t="s">
        <v>3</v>
      </c>
      <c r="E7319" t="e">
        <f>VLOOKUP(Cpi_[[#This Row],[Attribute]],#REF!,2,FALSE)</f>
        <v>#REF!</v>
      </c>
      <c r="F7319">
        <v>151.6</v>
      </c>
      <c r="G7319">
        <f>(Cpi_[[#This Row],[Value]]-F7318)/F7318</f>
        <v>-2.0038784744667061E-2</v>
      </c>
      <c r="H7319" t="e" cm="1" vm="1">
        <f t="array" aca="1" ref="H7319" ca="1">VLOOKUP(Cpi_[[#This Row],[Year]:[Month]],crudeoil[],3,FALSE)</f>
        <v>#VALUE!</v>
      </c>
    </row>
    <row r="7320" spans="1:8" hidden="1" x14ac:dyDescent="0.3">
      <c r="A7320" t="s">
        <v>33</v>
      </c>
      <c r="B7320">
        <v>2020</v>
      </c>
      <c r="C7320" t="s">
        <v>41</v>
      </c>
      <c r="D7320" t="s">
        <v>4</v>
      </c>
      <c r="E7320" t="e">
        <f>VLOOKUP(Cpi_[[#This Row],[Attribute]],#REF!,2,FALSE)</f>
        <v>#REF!</v>
      </c>
      <c r="F7320">
        <v>197.8</v>
      </c>
      <c r="G7320">
        <f>(Cpi_[[#This Row],[Value]]-F7319)/F7319</f>
        <v>0.30474934036939327</v>
      </c>
      <c r="H7320" t="e" cm="1" vm="1">
        <f t="array" aca="1" ref="H7320" ca="1">VLOOKUP(Cpi_[[#This Row],[Year]:[Month]],crudeoil[],3,FALSE)</f>
        <v>#VALUE!</v>
      </c>
    </row>
    <row r="7321" spans="1:8" hidden="1" x14ac:dyDescent="0.3">
      <c r="A7321" t="s">
        <v>33</v>
      </c>
      <c r="B7321">
        <v>2020</v>
      </c>
      <c r="C7321" t="s">
        <v>41</v>
      </c>
      <c r="D7321" t="s">
        <v>5</v>
      </c>
      <c r="E7321" t="e">
        <f>VLOOKUP(Cpi_[[#This Row],[Attribute]],#REF!,2,FALSE)</f>
        <v>#REF!</v>
      </c>
      <c r="F7321">
        <v>154.5</v>
      </c>
      <c r="G7321">
        <f>(Cpi_[[#This Row],[Value]]-F7320)/F7320</f>
        <v>-0.2189079878665319</v>
      </c>
      <c r="H7321" t="e" cm="1" vm="1">
        <f t="array" aca="1" ref="H7321" ca="1">VLOOKUP(Cpi_[[#This Row],[Year]:[Month]],crudeoil[],3,FALSE)</f>
        <v>#VALUE!</v>
      </c>
    </row>
    <row r="7322" spans="1:8" hidden="1" x14ac:dyDescent="0.3">
      <c r="A7322" t="s">
        <v>33</v>
      </c>
      <c r="B7322">
        <v>2020</v>
      </c>
      <c r="C7322" t="s">
        <v>41</v>
      </c>
      <c r="D7322" t="s">
        <v>6</v>
      </c>
      <c r="E7322" t="e">
        <f>VLOOKUP(Cpi_[[#This Row],[Attribute]],#REF!,2,FALSE)</f>
        <v>#REF!</v>
      </c>
      <c r="F7322">
        <v>153.4</v>
      </c>
      <c r="G7322">
        <f>(Cpi_[[#This Row],[Value]]-F7321)/F7321</f>
        <v>-7.1197411003235877E-3</v>
      </c>
      <c r="H7322" t="e" cm="1" vm="1">
        <f t="array" aca="1" ref="H7322" ca="1">VLOOKUP(Cpi_[[#This Row],[Year]:[Month]],crudeoil[],3,FALSE)</f>
        <v>#VALUE!</v>
      </c>
    </row>
    <row r="7323" spans="1:8" hidden="1" x14ac:dyDescent="0.3">
      <c r="A7323" t="s">
        <v>33</v>
      </c>
      <c r="B7323">
        <v>2020</v>
      </c>
      <c r="C7323" t="s">
        <v>41</v>
      </c>
      <c r="D7323" t="s">
        <v>7</v>
      </c>
      <c r="E7323" t="e">
        <f>VLOOKUP(Cpi_[[#This Row],[Attribute]],#REF!,2,FALSE)</f>
        <v>#REF!</v>
      </c>
      <c r="F7323">
        <v>133.4</v>
      </c>
      <c r="G7323">
        <f>(Cpi_[[#This Row],[Value]]-F7322)/F7322</f>
        <v>-0.1303780964797914</v>
      </c>
      <c r="H7323" t="e" cm="1" vm="1">
        <f t="array" aca="1" ref="H7323" ca="1">VLOOKUP(Cpi_[[#This Row],[Year]:[Month]],crudeoil[],3,FALSE)</f>
        <v>#VALUE!</v>
      </c>
    </row>
    <row r="7324" spans="1:8" hidden="1" x14ac:dyDescent="0.3">
      <c r="A7324" t="s">
        <v>33</v>
      </c>
      <c r="B7324">
        <v>2020</v>
      </c>
      <c r="C7324" t="s">
        <v>41</v>
      </c>
      <c r="D7324" t="s">
        <v>8</v>
      </c>
      <c r="E7324" t="e">
        <f>VLOOKUP(Cpi_[[#This Row],[Attribute]],#REF!,2,FALSE)</f>
        <v>#REF!</v>
      </c>
      <c r="F7324">
        <v>154.5</v>
      </c>
      <c r="G7324">
        <f>(Cpi_[[#This Row],[Value]]-F7323)/F7323</f>
        <v>0.15817091454272858</v>
      </c>
      <c r="H7324" t="e" cm="1" vm="1">
        <f t="array" aca="1" ref="H7324" ca="1">VLOOKUP(Cpi_[[#This Row],[Year]:[Month]],crudeoil[],3,FALSE)</f>
        <v>#VALUE!</v>
      </c>
    </row>
    <row r="7325" spans="1:8" hidden="1" x14ac:dyDescent="0.3">
      <c r="A7325" t="s">
        <v>33</v>
      </c>
      <c r="B7325">
        <v>2020</v>
      </c>
      <c r="C7325" t="s">
        <v>41</v>
      </c>
      <c r="D7325" t="s">
        <v>9</v>
      </c>
      <c r="E7325" t="e">
        <f>VLOOKUP(Cpi_[[#This Row],[Attribute]],#REF!,2,FALSE)</f>
        <v>#REF!</v>
      </c>
      <c r="F7325">
        <v>191.9</v>
      </c>
      <c r="G7325">
        <f>(Cpi_[[#This Row],[Value]]-F7324)/F7324</f>
        <v>0.24207119741100327</v>
      </c>
      <c r="H7325" t="e" cm="1" vm="1">
        <f t="array" aca="1" ref="H7325" ca="1">VLOOKUP(Cpi_[[#This Row],[Year]:[Month]],crudeoil[],3,FALSE)</f>
        <v>#VALUE!</v>
      </c>
    </row>
    <row r="7326" spans="1:8" hidden="1" x14ac:dyDescent="0.3">
      <c r="A7326" t="s">
        <v>33</v>
      </c>
      <c r="B7326">
        <v>2020</v>
      </c>
      <c r="C7326" t="s">
        <v>41</v>
      </c>
      <c r="D7326" t="s">
        <v>10</v>
      </c>
      <c r="E7326" t="e">
        <f>VLOOKUP(Cpi_[[#This Row],[Attribute]],#REF!,2,FALSE)</f>
        <v>#REF!</v>
      </c>
      <c r="F7326">
        <v>151.30000000000001</v>
      </c>
      <c r="G7326">
        <f>(Cpi_[[#This Row],[Value]]-F7325)/F7325</f>
        <v>-0.21156852527357994</v>
      </c>
      <c r="H7326" t="e" cm="1" vm="1">
        <f t="array" aca="1" ref="H7326" ca="1">VLOOKUP(Cpi_[[#This Row],[Year]:[Month]],crudeoil[],3,FALSE)</f>
        <v>#VALUE!</v>
      </c>
    </row>
    <row r="7327" spans="1:8" hidden="1" x14ac:dyDescent="0.3">
      <c r="A7327" t="s">
        <v>33</v>
      </c>
      <c r="B7327">
        <v>2020</v>
      </c>
      <c r="C7327" t="s">
        <v>41</v>
      </c>
      <c r="D7327" t="s">
        <v>11</v>
      </c>
      <c r="E7327" t="e">
        <f>VLOOKUP(Cpi_[[#This Row],[Attribute]],#REF!,2,FALSE)</f>
        <v>#REF!</v>
      </c>
      <c r="F7327">
        <v>116.8</v>
      </c>
      <c r="G7327">
        <f>(Cpi_[[#This Row],[Value]]-F7326)/F7326</f>
        <v>-0.22802379378717788</v>
      </c>
      <c r="H7327" t="e" cm="1" vm="1">
        <f t="array" aca="1" ref="H7327" ca="1">VLOOKUP(Cpi_[[#This Row],[Year]:[Month]],crudeoil[],3,FALSE)</f>
        <v>#VALUE!</v>
      </c>
    </row>
    <row r="7328" spans="1:8" hidden="1" x14ac:dyDescent="0.3">
      <c r="A7328" t="s">
        <v>33</v>
      </c>
      <c r="B7328">
        <v>2020</v>
      </c>
      <c r="C7328" t="s">
        <v>41</v>
      </c>
      <c r="D7328" t="s">
        <v>12</v>
      </c>
      <c r="E7328" t="e">
        <f>VLOOKUP(Cpi_[[#This Row],[Attribute]],#REF!,2,FALSE)</f>
        <v>#REF!</v>
      </c>
      <c r="F7328">
        <v>160</v>
      </c>
      <c r="G7328">
        <f>(Cpi_[[#This Row],[Value]]-F7327)/F7327</f>
        <v>0.36986301369863017</v>
      </c>
      <c r="H7328" t="e" cm="1" vm="1">
        <f t="array" aca="1" ref="H7328" ca="1">VLOOKUP(Cpi_[[#This Row],[Year]:[Month]],crudeoil[],3,FALSE)</f>
        <v>#VALUE!</v>
      </c>
    </row>
    <row r="7329" spans="1:8" hidden="1" x14ac:dyDescent="0.3">
      <c r="A7329" t="s">
        <v>33</v>
      </c>
      <c r="B7329">
        <v>2020</v>
      </c>
      <c r="C7329" t="s">
        <v>41</v>
      </c>
      <c r="D7329" t="s">
        <v>13</v>
      </c>
      <c r="E7329" t="e">
        <f>VLOOKUP(Cpi_[[#This Row],[Attribute]],#REF!,2,FALSE)</f>
        <v>#REF!</v>
      </c>
      <c r="F7329">
        <v>136.5</v>
      </c>
      <c r="G7329">
        <f>(Cpi_[[#This Row],[Value]]-F7328)/F7328</f>
        <v>-0.14687500000000001</v>
      </c>
      <c r="H7329" t="e" cm="1" vm="1">
        <f t="array" aca="1" ref="H7329" ca="1">VLOOKUP(Cpi_[[#This Row],[Year]:[Month]],crudeoil[],3,FALSE)</f>
        <v>#VALUE!</v>
      </c>
    </row>
    <row r="7330" spans="1:8" hidden="1" x14ac:dyDescent="0.3">
      <c r="A7330" t="s">
        <v>33</v>
      </c>
      <c r="B7330">
        <v>2020</v>
      </c>
      <c r="C7330" t="s">
        <v>41</v>
      </c>
      <c r="D7330" t="s">
        <v>14</v>
      </c>
      <c r="E7330" t="e">
        <f>VLOOKUP(Cpi_[[#This Row],[Attribute]],#REF!,2,FALSE)</f>
        <v>#REF!</v>
      </c>
      <c r="F7330">
        <v>163.30000000000001</v>
      </c>
      <c r="G7330">
        <f>(Cpi_[[#This Row],[Value]]-F7329)/F7329</f>
        <v>0.19633699633699642</v>
      </c>
      <c r="H7330" t="e" cm="1" vm="1">
        <f t="array" aca="1" ref="H7330" ca="1">VLOOKUP(Cpi_[[#This Row],[Year]:[Month]],crudeoil[],3,FALSE)</f>
        <v>#VALUE!</v>
      </c>
    </row>
    <row r="7331" spans="1:8" hidden="1" x14ac:dyDescent="0.3">
      <c r="A7331" t="s">
        <v>33</v>
      </c>
      <c r="B7331">
        <v>2020</v>
      </c>
      <c r="C7331" t="s">
        <v>41</v>
      </c>
      <c r="D7331" t="s">
        <v>15</v>
      </c>
      <c r="E7331" t="e">
        <f>VLOOKUP(Cpi_[[#This Row],[Attribute]],#REF!,2,FALSE)</f>
        <v>#REF!</v>
      </c>
      <c r="F7331">
        <v>159.9</v>
      </c>
      <c r="G7331">
        <f>(Cpi_[[#This Row],[Value]]-F7330)/F7330</f>
        <v>-2.0820575627679153E-2</v>
      </c>
      <c r="H7331" t="e" cm="1" vm="1">
        <f t="array" aca="1" ref="H7331" ca="1">VLOOKUP(Cpi_[[#This Row],[Year]:[Month]],crudeoil[],3,FALSE)</f>
        <v>#VALUE!</v>
      </c>
    </row>
    <row r="7332" spans="1:8" hidden="1" x14ac:dyDescent="0.3">
      <c r="A7332" t="s">
        <v>33</v>
      </c>
      <c r="B7332">
        <v>2020</v>
      </c>
      <c r="C7332" t="s">
        <v>41</v>
      </c>
      <c r="D7332" t="s">
        <v>16</v>
      </c>
      <c r="E7332" t="e">
        <f>VLOOKUP(Cpi_[[#This Row],[Attribute]],#REF!,2,FALSE)</f>
        <v>#REF!</v>
      </c>
      <c r="F7332">
        <v>187.2</v>
      </c>
      <c r="G7332">
        <f>(Cpi_[[#This Row],[Value]]-F7331)/F7331</f>
        <v>0.17073170731707304</v>
      </c>
      <c r="H7332" t="e" cm="1" vm="1">
        <f t="array" aca="1" ref="H7332" ca="1">VLOOKUP(Cpi_[[#This Row],[Year]:[Month]],crudeoil[],3,FALSE)</f>
        <v>#VALUE!</v>
      </c>
    </row>
    <row r="7333" spans="1:8" hidden="1" x14ac:dyDescent="0.3">
      <c r="A7333" t="s">
        <v>33</v>
      </c>
      <c r="B7333">
        <v>2020</v>
      </c>
      <c r="C7333" t="s">
        <v>41</v>
      </c>
      <c r="D7333" t="s">
        <v>17</v>
      </c>
      <c r="E7333" t="e">
        <f>VLOOKUP(Cpi_[[#This Row],[Attribute]],#REF!,2,FALSE)</f>
        <v>#REF!</v>
      </c>
      <c r="F7333">
        <v>150</v>
      </c>
      <c r="G7333">
        <f>(Cpi_[[#This Row],[Value]]-F7332)/F7332</f>
        <v>-0.19871794871794868</v>
      </c>
      <c r="H7333" t="e" cm="1" vm="1">
        <f t="array" aca="1" ref="H7333" ca="1">VLOOKUP(Cpi_[[#This Row],[Year]:[Month]],crudeoil[],3,FALSE)</f>
        <v>#VALUE!</v>
      </c>
    </row>
    <row r="7334" spans="1:8" hidden="1" x14ac:dyDescent="0.3">
      <c r="A7334" t="s">
        <v>33</v>
      </c>
      <c r="B7334">
        <v>2020</v>
      </c>
      <c r="C7334" t="s">
        <v>41</v>
      </c>
      <c r="D7334" t="s">
        <v>18</v>
      </c>
      <c r="E7334" t="e">
        <f>VLOOKUP(Cpi_[[#This Row],[Attribute]],#REF!,2,FALSE)</f>
        <v>#REF!</v>
      </c>
      <c r="F7334">
        <v>135.19999999999999</v>
      </c>
      <c r="G7334">
        <f>(Cpi_[[#This Row],[Value]]-F7333)/F7333</f>
        <v>-9.8666666666666736E-2</v>
      </c>
      <c r="H7334" t="e" cm="1" vm="1">
        <f t="array" aca="1" ref="H7334" ca="1">VLOOKUP(Cpi_[[#This Row],[Year]:[Month]],crudeoil[],3,FALSE)</f>
        <v>#VALUE!</v>
      </c>
    </row>
    <row r="7335" spans="1:8" hidden="1" x14ac:dyDescent="0.3">
      <c r="A7335" t="s">
        <v>33</v>
      </c>
      <c r="B7335">
        <v>2020</v>
      </c>
      <c r="C7335" t="s">
        <v>41</v>
      </c>
      <c r="D7335" t="s">
        <v>19</v>
      </c>
      <c r="E7335" t="e">
        <f>VLOOKUP(Cpi_[[#This Row],[Attribute]],#REF!,2,FALSE)</f>
        <v>#REF!</v>
      </c>
      <c r="F7335">
        <v>147.80000000000001</v>
      </c>
      <c r="G7335">
        <f>(Cpi_[[#This Row],[Value]]-F7334)/F7334</f>
        <v>9.319526627218952E-2</v>
      </c>
      <c r="H7335" t="e" cm="1" vm="1">
        <f t="array" aca="1" ref="H7335" ca="1">VLOOKUP(Cpi_[[#This Row],[Year]:[Month]],crudeoil[],3,FALSE)</f>
        <v>#VALUE!</v>
      </c>
    </row>
    <row r="7336" spans="1:8" hidden="1" x14ac:dyDescent="0.3">
      <c r="A7336" t="s">
        <v>33</v>
      </c>
      <c r="B7336">
        <v>2020</v>
      </c>
      <c r="C7336" t="s">
        <v>41</v>
      </c>
      <c r="D7336" t="s">
        <v>20</v>
      </c>
      <c r="E7336" t="e">
        <f>VLOOKUP(Cpi_[[#This Row],[Attribute]],#REF!,2,FALSE)</f>
        <v>#REF!</v>
      </c>
      <c r="F7336">
        <v>155.5</v>
      </c>
      <c r="G7336">
        <f>(Cpi_[[#This Row],[Value]]-F7335)/F7335</f>
        <v>5.2097428958051341E-2</v>
      </c>
      <c r="H7336" t="e" cm="1" vm="1">
        <f t="array" aca="1" ref="H7336" ca="1">VLOOKUP(Cpi_[[#This Row],[Year]:[Month]],crudeoil[],3,FALSE)</f>
        <v>#VALUE!</v>
      </c>
    </row>
    <row r="7337" spans="1:8" hidden="1" x14ac:dyDescent="0.3">
      <c r="A7337" t="s">
        <v>33</v>
      </c>
      <c r="B7337">
        <v>2020</v>
      </c>
      <c r="C7337" t="s">
        <v>41</v>
      </c>
      <c r="D7337" t="s">
        <v>21</v>
      </c>
      <c r="E7337" t="e">
        <f>VLOOKUP(Cpi_[[#This Row],[Attribute]],#REF!,2,FALSE)</f>
        <v>#REF!</v>
      </c>
      <c r="F7337">
        <v>138.30000000000001</v>
      </c>
      <c r="G7337">
        <f>(Cpi_[[#This Row],[Value]]-F7336)/F7336</f>
        <v>-0.11061093247588417</v>
      </c>
      <c r="H7337" t="e" cm="1" vm="1">
        <f t="array" aca="1" ref="H7337" ca="1">VLOOKUP(Cpi_[[#This Row],[Year]:[Month]],crudeoil[],3,FALSE)</f>
        <v>#VALUE!</v>
      </c>
    </row>
    <row r="7338" spans="1:8" hidden="1" x14ac:dyDescent="0.3">
      <c r="A7338" t="s">
        <v>33</v>
      </c>
      <c r="B7338">
        <v>2020</v>
      </c>
      <c r="C7338" t="s">
        <v>41</v>
      </c>
      <c r="D7338" t="s">
        <v>22</v>
      </c>
      <c r="E7338" t="e">
        <f>VLOOKUP(Cpi_[[#This Row],[Attribute]],#REF!,2,FALSE)</f>
        <v>#REF!</v>
      </c>
      <c r="F7338">
        <v>144.5</v>
      </c>
      <c r="G7338">
        <f>(Cpi_[[#This Row],[Value]]-F7337)/F7337</f>
        <v>4.4830079537237805E-2</v>
      </c>
      <c r="H7338" t="e" cm="1" vm="1">
        <f t="array" aca="1" ref="H7338" ca="1">VLOOKUP(Cpi_[[#This Row],[Year]:[Month]],crudeoil[],3,FALSE)</f>
        <v>#VALUE!</v>
      </c>
    </row>
    <row r="7339" spans="1:8" hidden="1" x14ac:dyDescent="0.3">
      <c r="A7339" t="s">
        <v>33</v>
      </c>
      <c r="B7339">
        <v>2020</v>
      </c>
      <c r="C7339" t="s">
        <v>41</v>
      </c>
      <c r="D7339" t="s">
        <v>23</v>
      </c>
      <c r="E7339" t="e">
        <f>VLOOKUP(Cpi_[[#This Row],[Attribute]],#REF!,2,FALSE)</f>
        <v>#REF!</v>
      </c>
      <c r="F7339">
        <v>148.69999999999999</v>
      </c>
      <c r="G7339">
        <f>(Cpi_[[#This Row],[Value]]-F7338)/F7338</f>
        <v>2.90657439446366E-2</v>
      </c>
      <c r="H7339" t="e" cm="1" vm="1">
        <f t="array" aca="1" ref="H7339" ca="1">VLOOKUP(Cpi_[[#This Row],[Year]:[Month]],crudeoil[],3,FALSE)</f>
        <v>#VALUE!</v>
      </c>
    </row>
    <row r="7340" spans="1:8" hidden="1" x14ac:dyDescent="0.3">
      <c r="A7340" t="s">
        <v>33</v>
      </c>
      <c r="B7340">
        <v>2020</v>
      </c>
      <c r="C7340" t="s">
        <v>41</v>
      </c>
      <c r="D7340" t="s">
        <v>24</v>
      </c>
      <c r="E7340" t="e">
        <f>VLOOKUP(Cpi_[[#This Row],[Attribute]],#REF!,2,FALSE)</f>
        <v>#REF!</v>
      </c>
      <c r="F7340">
        <v>133.9</v>
      </c>
      <c r="G7340">
        <f>(Cpi_[[#This Row],[Value]]-F7339)/F7339</f>
        <v>-9.9529253530598411E-2</v>
      </c>
      <c r="H7340" t="e" cm="1" vm="1">
        <f t="array" aca="1" ref="H7340" ca="1">VLOOKUP(Cpi_[[#This Row],[Year]:[Month]],crudeoil[],3,FALSE)</f>
        <v>#VALUE!</v>
      </c>
    </row>
    <row r="7341" spans="1:8" hidden="1" x14ac:dyDescent="0.3">
      <c r="A7341" t="s">
        <v>33</v>
      </c>
      <c r="B7341">
        <v>2020</v>
      </c>
      <c r="C7341" t="s">
        <v>41</v>
      </c>
      <c r="D7341" t="s">
        <v>25</v>
      </c>
      <c r="E7341" t="e">
        <f>VLOOKUP(Cpi_[[#This Row],[Attribute]],#REF!,2,FALSE)</f>
        <v>#REF!</v>
      </c>
      <c r="F7341">
        <v>141.19999999999999</v>
      </c>
      <c r="G7341">
        <f>(Cpi_[[#This Row],[Value]]-F7340)/F7340</f>
        <v>5.4518297236743708E-2</v>
      </c>
      <c r="H7341" t="e" cm="1" vm="1">
        <f t="array" aca="1" ref="H7341" ca="1">VLOOKUP(Cpi_[[#This Row],[Year]:[Month]],crudeoil[],3,FALSE)</f>
        <v>#VALUE!</v>
      </c>
    </row>
    <row r="7342" spans="1:8" hidden="1" x14ac:dyDescent="0.3">
      <c r="A7342" t="s">
        <v>33</v>
      </c>
      <c r="B7342">
        <v>2020</v>
      </c>
      <c r="C7342" t="s">
        <v>41</v>
      </c>
      <c r="D7342" t="s">
        <v>26</v>
      </c>
      <c r="E7342" t="e">
        <f>VLOOKUP(Cpi_[[#This Row],[Attribute]],#REF!,2,FALSE)</f>
        <v>#REF!</v>
      </c>
      <c r="F7342">
        <v>155.5</v>
      </c>
      <c r="G7342">
        <f>(Cpi_[[#This Row],[Value]]-F7341)/F7341</f>
        <v>0.10127478753541086</v>
      </c>
      <c r="H7342" t="e" cm="1" vm="1">
        <f t="array" aca="1" ref="H7342" ca="1">VLOOKUP(Cpi_[[#This Row],[Year]:[Month]],crudeoil[],3,FALSE)</f>
        <v>#VALUE!</v>
      </c>
    </row>
    <row r="7343" spans="1:8" hidden="1" x14ac:dyDescent="0.3">
      <c r="A7343" t="s">
        <v>33</v>
      </c>
      <c r="B7343">
        <v>2020</v>
      </c>
      <c r="C7343" t="s">
        <v>41</v>
      </c>
      <c r="D7343" t="s">
        <v>27</v>
      </c>
      <c r="E7343" t="e">
        <f>VLOOKUP(Cpi_[[#This Row],[Attribute]],#REF!,2,FALSE)</f>
        <v>#REF!</v>
      </c>
      <c r="F7343">
        <v>155.19999999999999</v>
      </c>
      <c r="G7343">
        <f>(Cpi_[[#This Row],[Value]]-F7342)/F7342</f>
        <v>-1.9292604501608447E-3</v>
      </c>
      <c r="H7343" t="e" cm="1" vm="1">
        <f t="array" aca="1" ref="H7343" ca="1">VLOOKUP(Cpi_[[#This Row],[Year]:[Month]],crudeoil[],3,FALSE)</f>
        <v>#VALUE!</v>
      </c>
    </row>
    <row r="7344" spans="1:8" hidden="1" x14ac:dyDescent="0.3">
      <c r="A7344" t="s">
        <v>33</v>
      </c>
      <c r="B7344">
        <v>2020</v>
      </c>
      <c r="C7344" t="s">
        <v>41</v>
      </c>
      <c r="D7344" t="s">
        <v>28</v>
      </c>
      <c r="E7344" t="e">
        <f>VLOOKUP(Cpi_[[#This Row],[Attribute]],#REF!,2,FALSE)</f>
        <v>#REF!</v>
      </c>
      <c r="F7344">
        <v>144.80000000000001</v>
      </c>
      <c r="G7344">
        <f>(Cpi_[[#This Row],[Value]]-F7343)/F7343</f>
        <v>-6.7010309278350375E-2</v>
      </c>
      <c r="H7344" t="e" cm="1" vm="1">
        <f t="array" aca="1" ref="H7344" ca="1">VLOOKUP(Cpi_[[#This Row],[Year]:[Month]],crudeoil[],3,FALSE)</f>
        <v>#VALUE!</v>
      </c>
    </row>
    <row r="7345" spans="1:8" hidden="1" x14ac:dyDescent="0.3">
      <c r="A7345" t="s">
        <v>33</v>
      </c>
      <c r="B7345">
        <v>2020</v>
      </c>
      <c r="C7345" t="s">
        <v>41</v>
      </c>
      <c r="D7345" t="s">
        <v>29</v>
      </c>
      <c r="E7345" t="e" cm="1">
        <f t="array" aca="1" ref="E7345" ca="1">VLGeneral indexGeneral indexKUP(Cpi_[[#This Row],[Attribute]],#REF!,2,FALSE)</f>
        <v>#NAME?</v>
      </c>
      <c r="F7345">
        <v>152.9</v>
      </c>
      <c r="G7345">
        <f>(Cpi_[[#This Row],[Value]]-F7344)/F7344</f>
        <v>5.5939226519336971E-2</v>
      </c>
      <c r="H7345" t="e" cm="1" vm="1">
        <f t="array" aca="1" ref="H7345" ca="1">VLOOKUP(Cpi_[[#This Row],[Year]:[Month]],crudeoil[],3,FALSE)</f>
        <v>#VALUE!</v>
      </c>
    </row>
    <row r="7346" spans="1:8" hidden="1" x14ac:dyDescent="0.3">
      <c r="A7346" t="s">
        <v>34</v>
      </c>
      <c r="B7346">
        <v>2020</v>
      </c>
      <c r="C7346" t="s">
        <v>41</v>
      </c>
      <c r="D7346" t="s">
        <v>3</v>
      </c>
      <c r="E7346" t="e">
        <f>VLOOKUP(Cpi_[[#This Row],[Attribute]],#REF!,2,FALSE)</f>
        <v>#REF!</v>
      </c>
      <c r="F7346">
        <v>148.9</v>
      </c>
      <c r="G7346">
        <f>(Cpi_[[#This Row],[Value]]-F7345)/F7345</f>
        <v>-2.6160889470241987E-2</v>
      </c>
      <c r="H7346" t="e" cm="1" vm="1">
        <f t="array" aca="1" ref="H7346" ca="1">VLOOKUP(Cpi_[[#This Row],[Year]:[Month]],crudeoil[],3,FALSE)</f>
        <v>#VALUE!</v>
      </c>
    </row>
    <row r="7347" spans="1:8" hidden="1" x14ac:dyDescent="0.3">
      <c r="A7347" t="s">
        <v>34</v>
      </c>
      <c r="B7347">
        <v>2020</v>
      </c>
      <c r="C7347" t="s">
        <v>41</v>
      </c>
      <c r="D7347" t="s">
        <v>4</v>
      </c>
      <c r="E7347" t="e">
        <f>VLOOKUP(Cpi_[[#This Row],[Attribute]],#REF!,2,FALSE)</f>
        <v>#REF!</v>
      </c>
      <c r="F7347">
        <v>190.9</v>
      </c>
      <c r="G7347">
        <f>(Cpi_[[#This Row],[Value]]-F7346)/F7346</f>
        <v>0.28206850235057085</v>
      </c>
      <c r="H7347" t="e" cm="1" vm="1">
        <f t="array" aca="1" ref="H7347" ca="1">VLOOKUP(Cpi_[[#This Row],[Year]:[Month]],crudeoil[],3,FALSE)</f>
        <v>#VALUE!</v>
      </c>
    </row>
    <row r="7348" spans="1:8" hidden="1" x14ac:dyDescent="0.3">
      <c r="A7348" t="s">
        <v>34</v>
      </c>
      <c r="B7348">
        <v>2020</v>
      </c>
      <c r="C7348" t="s">
        <v>41</v>
      </c>
      <c r="D7348" t="s">
        <v>5</v>
      </c>
      <c r="E7348" t="e">
        <f>VLOOKUP(Cpi_[[#This Row],[Attribute]],#REF!,2,FALSE)</f>
        <v>#REF!</v>
      </c>
      <c r="F7348">
        <v>150.80000000000001</v>
      </c>
      <c r="G7348">
        <f>(Cpi_[[#This Row],[Value]]-F7347)/F7347</f>
        <v>-0.21005762179151385</v>
      </c>
      <c r="H7348" t="e" cm="1" vm="1">
        <f t="array" aca="1" ref="H7348" ca="1">VLOOKUP(Cpi_[[#This Row],[Year]:[Month]],crudeoil[],3,FALSE)</f>
        <v>#VALUE!</v>
      </c>
    </row>
    <row r="7349" spans="1:8" hidden="1" x14ac:dyDescent="0.3">
      <c r="A7349" t="s">
        <v>34</v>
      </c>
      <c r="B7349">
        <v>2020</v>
      </c>
      <c r="C7349" t="s">
        <v>41</v>
      </c>
      <c r="D7349" t="s">
        <v>6</v>
      </c>
      <c r="E7349" t="e">
        <f>VLOOKUP(Cpi_[[#This Row],[Attribute]],#REF!,2,FALSE)</f>
        <v>#REF!</v>
      </c>
      <c r="F7349">
        <v>153.30000000000001</v>
      </c>
      <c r="G7349">
        <f>(Cpi_[[#This Row],[Value]]-F7348)/F7348</f>
        <v>1.6578249336870025E-2</v>
      </c>
      <c r="H7349" t="e" cm="1" vm="1">
        <f t="array" aca="1" ref="H7349" ca="1">VLOOKUP(Cpi_[[#This Row],[Year]:[Month]],crudeoil[],3,FALSE)</f>
        <v>#VALUE!</v>
      </c>
    </row>
    <row r="7350" spans="1:8" hidden="1" x14ac:dyDescent="0.3">
      <c r="A7350" t="s">
        <v>34</v>
      </c>
      <c r="B7350">
        <v>2020</v>
      </c>
      <c r="C7350" t="s">
        <v>41</v>
      </c>
      <c r="D7350" t="s">
        <v>7</v>
      </c>
      <c r="E7350" t="e">
        <f>VLOOKUP(Cpi_[[#This Row],[Attribute]],#REF!,2,FALSE)</f>
        <v>#REF!</v>
      </c>
      <c r="F7350">
        <v>137.4</v>
      </c>
      <c r="G7350">
        <f>(Cpi_[[#This Row],[Value]]-F7349)/F7349</f>
        <v>-0.1037181996086106</v>
      </c>
      <c r="H7350" t="e" cm="1" vm="1">
        <f t="array" aca="1" ref="H7350" ca="1">VLOOKUP(Cpi_[[#This Row],[Year]:[Month]],crudeoil[],3,FALSE)</f>
        <v>#VALUE!</v>
      </c>
    </row>
    <row r="7351" spans="1:8" hidden="1" x14ac:dyDescent="0.3">
      <c r="A7351" t="s">
        <v>34</v>
      </c>
      <c r="B7351">
        <v>2020</v>
      </c>
      <c r="C7351" t="s">
        <v>41</v>
      </c>
      <c r="D7351" t="s">
        <v>8</v>
      </c>
      <c r="E7351" t="e">
        <f>VLOOKUP(Cpi_[[#This Row],[Attribute]],#REF!,2,FALSE)</f>
        <v>#REF!</v>
      </c>
      <c r="F7351">
        <v>150.4</v>
      </c>
      <c r="G7351">
        <f>(Cpi_[[#This Row],[Value]]-F7350)/F7350</f>
        <v>9.4614264919941765E-2</v>
      </c>
      <c r="H7351" t="e" cm="1" vm="1">
        <f t="array" aca="1" ref="H7351" ca="1">VLOOKUP(Cpi_[[#This Row],[Year]:[Month]],crudeoil[],3,FALSE)</f>
        <v>#VALUE!</v>
      </c>
    </row>
    <row r="7352" spans="1:8" hidden="1" x14ac:dyDescent="0.3">
      <c r="A7352" t="s">
        <v>34</v>
      </c>
      <c r="B7352">
        <v>2020</v>
      </c>
      <c r="C7352" t="s">
        <v>41</v>
      </c>
      <c r="D7352" t="s">
        <v>9</v>
      </c>
      <c r="E7352" t="e">
        <f>VLOOKUP(Cpi_[[#This Row],[Attribute]],#REF!,2,FALSE)</f>
        <v>#REF!</v>
      </c>
      <c r="F7352">
        <v>178.1</v>
      </c>
      <c r="G7352">
        <f>(Cpi_[[#This Row],[Value]]-F7351)/F7351</f>
        <v>0.18417553191489353</v>
      </c>
      <c r="H7352" t="e" cm="1" vm="1">
        <f t="array" aca="1" ref="H7352" ca="1">VLOOKUP(Cpi_[[#This Row],[Year]:[Month]],crudeoil[],3,FALSE)</f>
        <v>#VALUE!</v>
      </c>
    </row>
    <row r="7353" spans="1:8" hidden="1" x14ac:dyDescent="0.3">
      <c r="A7353" t="s">
        <v>34</v>
      </c>
      <c r="B7353">
        <v>2020</v>
      </c>
      <c r="C7353" t="s">
        <v>41</v>
      </c>
      <c r="D7353" t="s">
        <v>10</v>
      </c>
      <c r="E7353" t="e">
        <f>VLOOKUP(Cpi_[[#This Row],[Attribute]],#REF!,2,FALSE)</f>
        <v>#REF!</v>
      </c>
      <c r="F7353">
        <v>150.4</v>
      </c>
      <c r="G7353">
        <f>(Cpi_[[#This Row],[Value]]-F7352)/F7352</f>
        <v>-0.15553060078607517</v>
      </c>
      <c r="H7353" t="e" cm="1" vm="1">
        <f t="array" aca="1" ref="H7353" ca="1">VLOOKUP(Cpi_[[#This Row],[Year]:[Month]],crudeoil[],3,FALSE)</f>
        <v>#VALUE!</v>
      </c>
    </row>
    <row r="7354" spans="1:8" hidden="1" x14ac:dyDescent="0.3">
      <c r="A7354" t="s">
        <v>34</v>
      </c>
      <c r="B7354">
        <v>2020</v>
      </c>
      <c r="C7354" t="s">
        <v>41</v>
      </c>
      <c r="D7354" t="s">
        <v>11</v>
      </c>
      <c r="E7354" t="e">
        <f>VLOOKUP(Cpi_[[#This Row],[Attribute]],#REF!,2,FALSE)</f>
        <v>#REF!</v>
      </c>
      <c r="F7354">
        <v>115.1</v>
      </c>
      <c r="G7354">
        <f>(Cpi_[[#This Row],[Value]]-F7353)/F7353</f>
        <v>-0.23470744680851072</v>
      </c>
      <c r="H7354" t="e" cm="1" vm="1">
        <f t="array" aca="1" ref="H7354" ca="1">VLOOKUP(Cpi_[[#This Row],[Year]:[Month]],crudeoil[],3,FALSE)</f>
        <v>#VALUE!</v>
      </c>
    </row>
    <row r="7355" spans="1:8" hidden="1" x14ac:dyDescent="0.3">
      <c r="A7355" t="s">
        <v>34</v>
      </c>
      <c r="B7355">
        <v>2020</v>
      </c>
      <c r="C7355" t="s">
        <v>41</v>
      </c>
      <c r="D7355" t="s">
        <v>12</v>
      </c>
      <c r="E7355" t="e">
        <f>VLOOKUP(Cpi_[[#This Row],[Attribute]],#REF!,2,FALSE)</f>
        <v>#REF!</v>
      </c>
      <c r="F7355">
        <v>160</v>
      </c>
      <c r="G7355">
        <f>(Cpi_[[#This Row],[Value]]-F7354)/F7354</f>
        <v>0.39009556907037368</v>
      </c>
      <c r="H7355" t="e" cm="1" vm="1">
        <f t="array" aca="1" ref="H7355" ca="1">VLOOKUP(Cpi_[[#This Row],[Year]:[Month]],crudeoil[],3,FALSE)</f>
        <v>#VALUE!</v>
      </c>
    </row>
    <row r="7356" spans="1:8" hidden="1" x14ac:dyDescent="0.3">
      <c r="A7356" t="s">
        <v>34</v>
      </c>
      <c r="B7356">
        <v>2020</v>
      </c>
      <c r="C7356" t="s">
        <v>41</v>
      </c>
      <c r="D7356" t="s">
        <v>13</v>
      </c>
      <c r="E7356" t="e">
        <f>VLOOKUP(Cpi_[[#This Row],[Attribute]],#REF!,2,FALSE)</f>
        <v>#REF!</v>
      </c>
      <c r="F7356">
        <v>140.6</v>
      </c>
      <c r="G7356">
        <f>(Cpi_[[#This Row],[Value]]-F7355)/F7355</f>
        <v>-0.12125000000000004</v>
      </c>
      <c r="H7356" t="e" cm="1" vm="1">
        <f t="array" aca="1" ref="H7356" ca="1">VLOOKUP(Cpi_[[#This Row],[Year]:[Month]],crudeoil[],3,FALSE)</f>
        <v>#VALUE!</v>
      </c>
    </row>
    <row r="7357" spans="1:8" hidden="1" x14ac:dyDescent="0.3">
      <c r="A7357" t="s">
        <v>34</v>
      </c>
      <c r="B7357">
        <v>2020</v>
      </c>
      <c r="C7357" t="s">
        <v>41</v>
      </c>
      <c r="D7357" t="s">
        <v>14</v>
      </c>
      <c r="E7357" t="e">
        <f>VLOOKUP(Cpi_[[#This Row],[Attribute]],#REF!,2,FALSE)</f>
        <v>#REF!</v>
      </c>
      <c r="F7357">
        <v>162.30000000000001</v>
      </c>
      <c r="G7357">
        <f>(Cpi_[[#This Row],[Value]]-F7356)/F7356</f>
        <v>0.1543385490753913</v>
      </c>
      <c r="H7357" t="e" cm="1" vm="1">
        <f t="array" aca="1" ref="H7357" ca="1">VLOOKUP(Cpi_[[#This Row],[Year]:[Month]],crudeoil[],3,FALSE)</f>
        <v>#VALUE!</v>
      </c>
    </row>
    <row r="7358" spans="1:8" hidden="1" x14ac:dyDescent="0.3">
      <c r="A7358" t="s">
        <v>34</v>
      </c>
      <c r="B7358">
        <v>2020</v>
      </c>
      <c r="C7358" t="s">
        <v>41</v>
      </c>
      <c r="D7358" t="s">
        <v>15</v>
      </c>
      <c r="E7358" t="e">
        <f>VLOOKUP(Cpi_[[#This Row],[Attribute]],#REF!,2,FALSE)</f>
        <v>#REF!</v>
      </c>
      <c r="F7358">
        <v>157</v>
      </c>
      <c r="G7358">
        <f>(Cpi_[[#This Row],[Value]]-F7357)/F7357</f>
        <v>-3.2655576093653799E-2</v>
      </c>
      <c r="H7358" t="e" cm="1" vm="1">
        <f t="array" aca="1" ref="H7358" ca="1">VLOOKUP(Cpi_[[#This Row],[Year]:[Month]],crudeoil[],3,FALSE)</f>
        <v>#VALUE!</v>
      </c>
    </row>
    <row r="7359" spans="1:8" hidden="1" x14ac:dyDescent="0.3">
      <c r="A7359" t="s">
        <v>34</v>
      </c>
      <c r="B7359">
        <v>2020</v>
      </c>
      <c r="C7359" t="s">
        <v>41</v>
      </c>
      <c r="D7359" t="s">
        <v>16</v>
      </c>
      <c r="E7359" t="e">
        <f>VLOOKUP(Cpi_[[#This Row],[Attribute]],#REF!,2,FALSE)</f>
        <v>#REF!</v>
      </c>
      <c r="F7359">
        <v>182.6</v>
      </c>
      <c r="G7359">
        <f>(Cpi_[[#This Row],[Value]]-F7358)/F7358</f>
        <v>0.1630573248407643</v>
      </c>
      <c r="H7359" t="e" cm="1" vm="1">
        <f t="array" aca="1" ref="H7359" ca="1">VLOOKUP(Cpi_[[#This Row],[Year]:[Month]],crudeoil[],3,FALSE)</f>
        <v>#VALUE!</v>
      </c>
    </row>
    <row r="7360" spans="1:8" hidden="1" x14ac:dyDescent="0.3">
      <c r="A7360" t="s">
        <v>34</v>
      </c>
      <c r="B7360">
        <v>2020</v>
      </c>
      <c r="C7360" t="s">
        <v>41</v>
      </c>
      <c r="D7360" t="s">
        <v>17</v>
      </c>
      <c r="E7360" t="e">
        <f>VLOOKUP(Cpi_[[#This Row],[Attribute]],#REF!,2,FALSE)</f>
        <v>#REF!</v>
      </c>
      <c r="F7360">
        <v>153.1</v>
      </c>
      <c r="G7360">
        <f>(Cpi_[[#This Row],[Value]]-F7359)/F7359</f>
        <v>-0.16155531215772181</v>
      </c>
      <c r="H7360" t="e" cm="1" vm="1">
        <f t="array" aca="1" ref="H7360" ca="1">VLOOKUP(Cpi_[[#This Row],[Year]:[Month]],crudeoil[],3,FALSE)</f>
        <v>#VALUE!</v>
      </c>
    </row>
    <row r="7361" spans="1:8" hidden="1" x14ac:dyDescent="0.3">
      <c r="A7361" t="s">
        <v>34</v>
      </c>
      <c r="B7361">
        <v>2020</v>
      </c>
      <c r="C7361" t="s">
        <v>41</v>
      </c>
      <c r="D7361" t="s">
        <v>18</v>
      </c>
      <c r="E7361" t="e">
        <f>VLOOKUP(Cpi_[[#This Row],[Attribute]],#REF!,2,FALSE)</f>
        <v>#REF!</v>
      </c>
      <c r="F7361">
        <v>143.4</v>
      </c>
      <c r="G7361">
        <f>(Cpi_[[#This Row],[Value]]-F7360)/F7360</f>
        <v>-6.3357282821685096E-2</v>
      </c>
      <c r="H7361" t="e" cm="1" vm="1">
        <f t="array" aca="1" ref="H7361" ca="1">VLOOKUP(Cpi_[[#This Row],[Year]:[Month]],crudeoil[],3,FALSE)</f>
        <v>#VALUE!</v>
      </c>
    </row>
    <row r="7362" spans="1:8" hidden="1" x14ac:dyDescent="0.3">
      <c r="A7362" t="s">
        <v>34</v>
      </c>
      <c r="B7362">
        <v>2020</v>
      </c>
      <c r="C7362" t="s">
        <v>41</v>
      </c>
      <c r="D7362" t="s">
        <v>19</v>
      </c>
      <c r="E7362" t="e">
        <f>VLOOKUP(Cpi_[[#This Row],[Attribute]],#REF!,2,FALSE)</f>
        <v>#REF!</v>
      </c>
      <c r="F7362">
        <v>151.69999999999999</v>
      </c>
      <c r="G7362">
        <f>(Cpi_[[#This Row],[Value]]-F7361)/F7361</f>
        <v>5.7880055788005459E-2</v>
      </c>
      <c r="H7362" t="e" cm="1" vm="1">
        <f t="array" aca="1" ref="H7362" ca="1">VLOOKUP(Cpi_[[#This Row],[Year]:[Month]],crudeoil[],3,FALSE)</f>
        <v>#VALUE!</v>
      </c>
    </row>
    <row r="7363" spans="1:8" hidden="1" x14ac:dyDescent="0.3">
      <c r="A7363" t="s">
        <v>34</v>
      </c>
      <c r="B7363">
        <v>2020</v>
      </c>
      <c r="C7363" t="s">
        <v>41</v>
      </c>
      <c r="D7363" t="s">
        <v>20</v>
      </c>
      <c r="E7363" t="e">
        <f>VLOOKUP(Cpi_[[#This Row],[Attribute]],#REF!,2,FALSE)</f>
        <v>#REF!</v>
      </c>
      <c r="F7363">
        <v>155.5</v>
      </c>
      <c r="G7363">
        <f>(Cpi_[[#This Row],[Value]]-F7362)/F7362</f>
        <v>2.5049439683586101E-2</v>
      </c>
      <c r="H7363" t="e" cm="1" vm="1">
        <f t="array" aca="1" ref="H7363" ca="1">VLOOKUP(Cpi_[[#This Row],[Year]:[Month]],crudeoil[],3,FALSE)</f>
        <v>#VALUE!</v>
      </c>
    </row>
    <row r="7364" spans="1:8" hidden="1" x14ac:dyDescent="0.3">
      <c r="A7364" t="s">
        <v>34</v>
      </c>
      <c r="B7364">
        <v>2020</v>
      </c>
      <c r="C7364" t="s">
        <v>41</v>
      </c>
      <c r="D7364" t="s">
        <v>21</v>
      </c>
      <c r="E7364" t="e">
        <f>VLOOKUP(Cpi_[[#This Row],[Attribute]],#REF!,2,FALSE)</f>
        <v>#REF!</v>
      </c>
      <c r="F7364">
        <v>143</v>
      </c>
      <c r="G7364">
        <f>(Cpi_[[#This Row],[Value]]-F7363)/F7363</f>
        <v>-8.0385852090032156E-2</v>
      </c>
      <c r="H7364" t="e" cm="1" vm="1">
        <f t="array" aca="1" ref="H7364" ca="1">VLOOKUP(Cpi_[[#This Row],[Year]:[Month]],crudeoil[],3,FALSE)</f>
        <v>#VALUE!</v>
      </c>
    </row>
    <row r="7365" spans="1:8" hidden="1" x14ac:dyDescent="0.3">
      <c r="A7365" t="s">
        <v>34</v>
      </c>
      <c r="B7365">
        <v>2020</v>
      </c>
      <c r="C7365" t="s">
        <v>41</v>
      </c>
      <c r="D7365" t="s">
        <v>22</v>
      </c>
      <c r="E7365" t="e">
        <f>VLOOKUP(Cpi_[[#This Row],[Attribute]],#REF!,2,FALSE)</f>
        <v>#REF!</v>
      </c>
      <c r="F7365">
        <v>148.4</v>
      </c>
      <c r="G7365">
        <f>(Cpi_[[#This Row],[Value]]-F7364)/F7364</f>
        <v>3.7762237762237805E-2</v>
      </c>
      <c r="H7365" t="e" cm="1" vm="1">
        <f t="array" aca="1" ref="H7365" ca="1">VLOOKUP(Cpi_[[#This Row],[Year]:[Month]],crudeoil[],3,FALSE)</f>
        <v>#VALUE!</v>
      </c>
    </row>
    <row r="7366" spans="1:8" hidden="1" x14ac:dyDescent="0.3">
      <c r="A7366" t="s">
        <v>34</v>
      </c>
      <c r="B7366">
        <v>2020</v>
      </c>
      <c r="C7366" t="s">
        <v>41</v>
      </c>
      <c r="D7366" t="s">
        <v>23</v>
      </c>
      <c r="E7366" t="e">
        <f>VLOOKUP(Cpi_[[#This Row],[Attribute]],#REF!,2,FALSE)</f>
        <v>#REF!</v>
      </c>
      <c r="F7366">
        <v>155</v>
      </c>
      <c r="G7366">
        <f>(Cpi_[[#This Row],[Value]]-F7365)/F7365</f>
        <v>4.4474393530997268E-2</v>
      </c>
      <c r="H7366" t="e" cm="1" vm="1">
        <f t="array" aca="1" ref="H7366" ca="1">VLOOKUP(Cpi_[[#This Row],[Year]:[Month]],crudeoil[],3,FALSE)</f>
        <v>#VALUE!</v>
      </c>
    </row>
    <row r="7367" spans="1:8" hidden="1" x14ac:dyDescent="0.3">
      <c r="A7367" t="s">
        <v>34</v>
      </c>
      <c r="B7367">
        <v>2020</v>
      </c>
      <c r="C7367" t="s">
        <v>41</v>
      </c>
      <c r="D7367" t="s">
        <v>24</v>
      </c>
      <c r="E7367" t="e">
        <f>VLOOKUP(Cpi_[[#This Row],[Attribute]],#REF!,2,FALSE)</f>
        <v>#REF!</v>
      </c>
      <c r="F7367">
        <v>138.5</v>
      </c>
      <c r="G7367">
        <f>(Cpi_[[#This Row],[Value]]-F7366)/F7366</f>
        <v>-0.1064516129032258</v>
      </c>
      <c r="H7367" t="e" cm="1" vm="1">
        <f t="array" aca="1" ref="H7367" ca="1">VLOOKUP(Cpi_[[#This Row],[Year]:[Month]],crudeoil[],3,FALSE)</f>
        <v>#VALUE!</v>
      </c>
    </row>
    <row r="7368" spans="1:8" hidden="1" x14ac:dyDescent="0.3">
      <c r="A7368" t="s">
        <v>34</v>
      </c>
      <c r="B7368">
        <v>2020</v>
      </c>
      <c r="C7368" t="s">
        <v>41</v>
      </c>
      <c r="D7368" t="s">
        <v>25</v>
      </c>
      <c r="E7368" t="e">
        <f>VLOOKUP(Cpi_[[#This Row],[Attribute]],#REF!,2,FALSE)</f>
        <v>#REF!</v>
      </c>
      <c r="F7368">
        <v>146</v>
      </c>
      <c r="G7368">
        <f>(Cpi_[[#This Row],[Value]]-F7367)/F7367</f>
        <v>5.4151624548736461E-2</v>
      </c>
      <c r="H7368" t="e" cm="1" vm="1">
        <f t="array" aca="1" ref="H7368" ca="1">VLOOKUP(Cpi_[[#This Row],[Year]:[Month]],crudeoil[],3,FALSE)</f>
        <v>#VALUE!</v>
      </c>
    </row>
    <row r="7369" spans="1:8" hidden="1" x14ac:dyDescent="0.3">
      <c r="A7369" t="s">
        <v>34</v>
      </c>
      <c r="B7369">
        <v>2020</v>
      </c>
      <c r="C7369" t="s">
        <v>41</v>
      </c>
      <c r="D7369" t="s">
        <v>26</v>
      </c>
      <c r="E7369" t="e">
        <f>VLOOKUP(Cpi_[[#This Row],[Attribute]],#REF!,2,FALSE)</f>
        <v>#REF!</v>
      </c>
      <c r="F7369">
        <v>158.5</v>
      </c>
      <c r="G7369">
        <f>(Cpi_[[#This Row],[Value]]-F7368)/F7368</f>
        <v>8.5616438356164379E-2</v>
      </c>
      <c r="H7369" t="e" cm="1" vm="1">
        <f t="array" aca="1" ref="H7369" ca="1">VLOOKUP(Cpi_[[#This Row],[Year]:[Month]],crudeoil[],3,FALSE)</f>
        <v>#VALUE!</v>
      </c>
    </row>
    <row r="7370" spans="1:8" hidden="1" x14ac:dyDescent="0.3">
      <c r="A7370" t="s">
        <v>34</v>
      </c>
      <c r="B7370">
        <v>2020</v>
      </c>
      <c r="C7370" t="s">
        <v>41</v>
      </c>
      <c r="D7370" t="s">
        <v>27</v>
      </c>
      <c r="E7370" t="e">
        <f>VLOOKUP(Cpi_[[#This Row],[Attribute]],#REF!,2,FALSE)</f>
        <v>#REF!</v>
      </c>
      <c r="F7370">
        <v>154.30000000000001</v>
      </c>
      <c r="G7370">
        <f>(Cpi_[[#This Row],[Value]]-F7369)/F7369</f>
        <v>-2.6498422712933681E-2</v>
      </c>
      <c r="H7370" t="e" cm="1" vm="1">
        <f t="array" aca="1" ref="H7370" ca="1">VLOOKUP(Cpi_[[#This Row],[Year]:[Month]],crudeoil[],3,FALSE)</f>
        <v>#VALUE!</v>
      </c>
    </row>
    <row r="7371" spans="1:8" hidden="1" x14ac:dyDescent="0.3">
      <c r="A7371" t="s">
        <v>34</v>
      </c>
      <c r="B7371">
        <v>2020</v>
      </c>
      <c r="C7371" t="s">
        <v>41</v>
      </c>
      <c r="D7371" t="s">
        <v>28</v>
      </c>
      <c r="E7371" t="e">
        <f>VLOOKUP(Cpi_[[#This Row],[Attribute]],#REF!,2,FALSE)</f>
        <v>#REF!</v>
      </c>
      <c r="F7371">
        <v>149</v>
      </c>
      <c r="G7371">
        <f>(Cpi_[[#This Row],[Value]]-F7370)/F7370</f>
        <v>-3.4348671419313095E-2</v>
      </c>
      <c r="H7371" t="e" cm="1" vm="1">
        <f t="array" aca="1" ref="H7371" ca="1">VLOOKUP(Cpi_[[#This Row],[Year]:[Month]],crudeoil[],3,FALSE)</f>
        <v>#VALUE!</v>
      </c>
    </row>
    <row r="7372" spans="1:8" hidden="1" x14ac:dyDescent="0.3">
      <c r="A7372" t="s">
        <v>34</v>
      </c>
      <c r="B7372">
        <v>2020</v>
      </c>
      <c r="C7372" t="s">
        <v>41</v>
      </c>
      <c r="D7372" t="s">
        <v>29</v>
      </c>
      <c r="E7372" t="e" cm="1">
        <f t="array" aca="1" ref="E7372" ca="1">VLGeneral indexGeneral indexKUP(Cpi_[[#This Row],[Attribute]],#REF!,2,FALSE)</f>
        <v>#NAME?</v>
      </c>
      <c r="F7372">
        <v>153.9</v>
      </c>
      <c r="G7372">
        <f>(Cpi_[[#This Row],[Value]]-F7371)/F7371</f>
        <v>3.2885906040268496E-2</v>
      </c>
      <c r="H7372" t="e" cm="1" vm="1">
        <f t="array" aca="1" ref="H7372" ca="1">VLOOKUP(Cpi_[[#This Row],[Year]:[Month]],crudeoil[],3,FALSE)</f>
        <v>#VALUE!</v>
      </c>
    </row>
    <row r="7373" spans="1:8" hidden="1" x14ac:dyDescent="0.3">
      <c r="A7373" t="s">
        <v>30</v>
      </c>
      <c r="B7373">
        <v>2020</v>
      </c>
      <c r="C7373" t="s">
        <v>42</v>
      </c>
      <c r="D7373" t="s">
        <v>3</v>
      </c>
      <c r="E7373" t="e">
        <f>VLOOKUP(Cpi_[[#This Row],[Attribute]],#REF!,2,FALSE)</f>
        <v>#REF!</v>
      </c>
      <c r="F7373">
        <v>146.9</v>
      </c>
      <c r="G7373">
        <f>(Cpi_[[#This Row],[Value]]-F7372)/F7372</f>
        <v>-4.5484080571799868E-2</v>
      </c>
      <c r="H7373" t="e" cm="1" vm="1">
        <f t="array" aca="1" ref="H7373" ca="1">VLOOKUP(Cpi_[[#This Row],[Year]:[Month]],crudeoil[],3,FALSE)</f>
        <v>#VALUE!</v>
      </c>
    </row>
    <row r="7374" spans="1:8" hidden="1" x14ac:dyDescent="0.3">
      <c r="A7374" t="s">
        <v>30</v>
      </c>
      <c r="B7374">
        <v>2020</v>
      </c>
      <c r="C7374" t="s">
        <v>42</v>
      </c>
      <c r="D7374" t="s">
        <v>4</v>
      </c>
      <c r="E7374" t="e">
        <f>VLOOKUP(Cpi_[[#This Row],[Attribute]],#REF!,2,FALSE)</f>
        <v>#REF!</v>
      </c>
      <c r="F7374">
        <v>183.9</v>
      </c>
      <c r="G7374">
        <f>(Cpi_[[#This Row],[Value]]-F7373)/F7373</f>
        <v>0.25187202178352619</v>
      </c>
      <c r="H7374" t="e" cm="1" vm="1">
        <f t="array" aca="1" ref="H7374" ca="1">VLOOKUP(Cpi_[[#This Row],[Year]:[Month]],crudeoil[],3,FALSE)</f>
        <v>#VALUE!</v>
      </c>
    </row>
    <row r="7375" spans="1:8" hidden="1" x14ac:dyDescent="0.3">
      <c r="A7375" t="s">
        <v>30</v>
      </c>
      <c r="B7375">
        <v>2020</v>
      </c>
      <c r="C7375" t="s">
        <v>42</v>
      </c>
      <c r="D7375" t="s">
        <v>5</v>
      </c>
      <c r="E7375" t="e">
        <f>VLOOKUP(Cpi_[[#This Row],[Attribute]],#REF!,2,FALSE)</f>
        <v>#REF!</v>
      </c>
      <c r="F7375">
        <v>149.5</v>
      </c>
      <c r="G7375">
        <f>(Cpi_[[#This Row],[Value]]-F7374)/F7374</f>
        <v>-0.18705818379554107</v>
      </c>
      <c r="H7375" t="e" cm="1" vm="1">
        <f t="array" aca="1" ref="H7375" ca="1">VLOOKUP(Cpi_[[#This Row],[Year]:[Month]],crudeoil[],3,FALSE)</f>
        <v>#VALUE!</v>
      </c>
    </row>
    <row r="7376" spans="1:8" hidden="1" x14ac:dyDescent="0.3">
      <c r="A7376" t="s">
        <v>30</v>
      </c>
      <c r="B7376">
        <v>2020</v>
      </c>
      <c r="C7376" t="s">
        <v>42</v>
      </c>
      <c r="D7376" t="s">
        <v>6</v>
      </c>
      <c r="E7376" t="e">
        <f>VLOOKUP(Cpi_[[#This Row],[Attribute]],#REF!,2,FALSE)</f>
        <v>#REF!</v>
      </c>
      <c r="F7376">
        <v>153.4</v>
      </c>
      <c r="G7376">
        <f>(Cpi_[[#This Row],[Value]]-F7375)/F7375</f>
        <v>2.6086956521739167E-2</v>
      </c>
      <c r="H7376" t="e" cm="1" vm="1">
        <f t="array" aca="1" ref="H7376" ca="1">VLOOKUP(Cpi_[[#This Row],[Year]:[Month]],crudeoil[],3,FALSE)</f>
        <v>#VALUE!</v>
      </c>
    </row>
    <row r="7377" spans="1:8" hidden="1" x14ac:dyDescent="0.3">
      <c r="A7377" t="s">
        <v>30</v>
      </c>
      <c r="B7377">
        <v>2020</v>
      </c>
      <c r="C7377" t="s">
        <v>42</v>
      </c>
      <c r="D7377" t="s">
        <v>7</v>
      </c>
      <c r="E7377" t="e">
        <f>VLOOKUP(Cpi_[[#This Row],[Attribute]],#REF!,2,FALSE)</f>
        <v>#REF!</v>
      </c>
      <c r="F7377">
        <v>140.4</v>
      </c>
      <c r="G7377">
        <f>(Cpi_[[#This Row],[Value]]-F7376)/F7376</f>
        <v>-8.4745762711864403E-2</v>
      </c>
      <c r="H7377" t="e" cm="1" vm="1">
        <f t="array" aca="1" ref="H7377" ca="1">VLOOKUP(Cpi_[[#This Row],[Year]:[Month]],crudeoil[],3,FALSE)</f>
        <v>#VALUE!</v>
      </c>
    </row>
    <row r="7378" spans="1:8" hidden="1" x14ac:dyDescent="0.3">
      <c r="A7378" t="s">
        <v>30</v>
      </c>
      <c r="B7378">
        <v>2020</v>
      </c>
      <c r="C7378" t="s">
        <v>42</v>
      </c>
      <c r="D7378" t="s">
        <v>8</v>
      </c>
      <c r="E7378" t="e">
        <f>VLOOKUP(Cpi_[[#This Row],[Attribute]],#REF!,2,FALSE)</f>
        <v>#REF!</v>
      </c>
      <c r="F7378">
        <v>147</v>
      </c>
      <c r="G7378">
        <f>(Cpi_[[#This Row],[Value]]-F7377)/F7377</f>
        <v>4.7008547008546966E-2</v>
      </c>
      <c r="H7378" t="e" cm="1" vm="1">
        <f t="array" aca="1" ref="H7378" ca="1">VLOOKUP(Cpi_[[#This Row],[Year]:[Month]],crudeoil[],3,FALSE)</f>
        <v>#VALUE!</v>
      </c>
    </row>
    <row r="7379" spans="1:8" hidden="1" x14ac:dyDescent="0.3">
      <c r="A7379" t="s">
        <v>30</v>
      </c>
      <c r="B7379">
        <v>2020</v>
      </c>
      <c r="C7379" t="s">
        <v>42</v>
      </c>
      <c r="D7379" t="s">
        <v>9</v>
      </c>
      <c r="E7379" t="e">
        <f>VLOOKUP(Cpi_[[#This Row],[Attribute]],#REF!,2,FALSE)</f>
        <v>#REF!</v>
      </c>
      <c r="F7379">
        <v>178.8</v>
      </c>
      <c r="G7379">
        <f>(Cpi_[[#This Row],[Value]]-F7378)/F7378</f>
        <v>0.21632653061224497</v>
      </c>
      <c r="H7379" t="e" cm="1" vm="1">
        <f t="array" aca="1" ref="H7379" ca="1">VLOOKUP(Cpi_[[#This Row],[Year]:[Month]],crudeoil[],3,FALSE)</f>
        <v>#VALUE!</v>
      </c>
    </row>
    <row r="7380" spans="1:8" hidden="1" x14ac:dyDescent="0.3">
      <c r="A7380" t="s">
        <v>30</v>
      </c>
      <c r="B7380">
        <v>2020</v>
      </c>
      <c r="C7380" t="s">
        <v>42</v>
      </c>
      <c r="D7380" t="s">
        <v>10</v>
      </c>
      <c r="E7380" t="e">
        <f>VLOOKUP(Cpi_[[#This Row],[Attribute]],#REF!,2,FALSE)</f>
        <v>#REF!</v>
      </c>
      <c r="F7380">
        <v>149.30000000000001</v>
      </c>
      <c r="G7380">
        <f>(Cpi_[[#This Row],[Value]]-F7379)/F7379</f>
        <v>-0.16498881431767337</v>
      </c>
      <c r="H7380" t="e" cm="1" vm="1">
        <f t="array" aca="1" ref="H7380" ca="1">VLOOKUP(Cpi_[[#This Row],[Year]:[Month]],crudeoil[],3,FALSE)</f>
        <v>#VALUE!</v>
      </c>
    </row>
    <row r="7381" spans="1:8" hidden="1" x14ac:dyDescent="0.3">
      <c r="A7381" t="s">
        <v>30</v>
      </c>
      <c r="B7381">
        <v>2020</v>
      </c>
      <c r="C7381" t="s">
        <v>42</v>
      </c>
      <c r="D7381" t="s">
        <v>11</v>
      </c>
      <c r="E7381" t="e">
        <f>VLOOKUP(Cpi_[[#This Row],[Attribute]],#REF!,2,FALSE)</f>
        <v>#REF!</v>
      </c>
      <c r="F7381">
        <v>115.1</v>
      </c>
      <c r="G7381">
        <f>(Cpi_[[#This Row],[Value]]-F7380)/F7380</f>
        <v>-0.22906898861352989</v>
      </c>
      <c r="H7381" t="e" cm="1" vm="1">
        <f t="array" aca="1" ref="H7381" ca="1">VLOOKUP(Cpi_[[#This Row],[Year]:[Month]],crudeoil[],3,FALSE)</f>
        <v>#VALUE!</v>
      </c>
    </row>
    <row r="7382" spans="1:8" hidden="1" x14ac:dyDescent="0.3">
      <c r="A7382" t="s">
        <v>30</v>
      </c>
      <c r="B7382">
        <v>2020</v>
      </c>
      <c r="C7382" t="s">
        <v>42</v>
      </c>
      <c r="D7382" t="s">
        <v>12</v>
      </c>
      <c r="E7382" t="e">
        <f>VLOOKUP(Cpi_[[#This Row],[Attribute]],#REF!,2,FALSE)</f>
        <v>#REF!</v>
      </c>
      <c r="F7382">
        <v>160</v>
      </c>
      <c r="G7382">
        <f>(Cpi_[[#This Row],[Value]]-F7381)/F7381</f>
        <v>0.39009556907037368</v>
      </c>
      <c r="H7382" t="e" cm="1" vm="1">
        <f t="array" aca="1" ref="H7382" ca="1">VLOOKUP(Cpi_[[#This Row],[Year]:[Month]],crudeoil[],3,FALSE)</f>
        <v>#VALUE!</v>
      </c>
    </row>
    <row r="7383" spans="1:8" hidden="1" x14ac:dyDescent="0.3">
      <c r="A7383" t="s">
        <v>30</v>
      </c>
      <c r="B7383">
        <v>2020</v>
      </c>
      <c r="C7383" t="s">
        <v>42</v>
      </c>
      <c r="D7383" t="s">
        <v>13</v>
      </c>
      <c r="E7383" t="e">
        <f>VLOOKUP(Cpi_[[#This Row],[Attribute]],#REF!,2,FALSE)</f>
        <v>#REF!</v>
      </c>
      <c r="F7383">
        <v>145.4</v>
      </c>
      <c r="G7383">
        <f>(Cpi_[[#This Row],[Value]]-F7382)/F7382</f>
        <v>-9.124999999999997E-2</v>
      </c>
      <c r="H7383" t="e" cm="1" vm="1">
        <f t="array" aca="1" ref="H7383" ca="1">VLOOKUP(Cpi_[[#This Row],[Year]:[Month]],crudeoil[],3,FALSE)</f>
        <v>#VALUE!</v>
      </c>
    </row>
    <row r="7384" spans="1:8" hidden="1" x14ac:dyDescent="0.3">
      <c r="A7384" t="s">
        <v>30</v>
      </c>
      <c r="B7384">
        <v>2020</v>
      </c>
      <c r="C7384" t="s">
        <v>42</v>
      </c>
      <c r="D7384" t="s">
        <v>14</v>
      </c>
      <c r="E7384" t="e">
        <f>VLOOKUP(Cpi_[[#This Row],[Attribute]],#REF!,2,FALSE)</f>
        <v>#REF!</v>
      </c>
      <c r="F7384">
        <v>161.6</v>
      </c>
      <c r="G7384">
        <f>(Cpi_[[#This Row],[Value]]-F7383)/F7383</f>
        <v>0.11141678129298478</v>
      </c>
      <c r="H7384" t="e" cm="1" vm="1">
        <f t="array" aca="1" ref="H7384" ca="1">VLOOKUP(Cpi_[[#This Row],[Year]:[Month]],crudeoil[],3,FALSE)</f>
        <v>#VALUE!</v>
      </c>
    </row>
    <row r="7385" spans="1:8" hidden="1" x14ac:dyDescent="0.3">
      <c r="A7385" t="s">
        <v>30</v>
      </c>
      <c r="B7385">
        <v>2020</v>
      </c>
      <c r="C7385" t="s">
        <v>42</v>
      </c>
      <c r="D7385" t="s">
        <v>15</v>
      </c>
      <c r="E7385" t="e">
        <f>VLOOKUP(Cpi_[[#This Row],[Attribute]],#REF!,2,FALSE)</f>
        <v>#REF!</v>
      </c>
      <c r="F7385">
        <v>156.1</v>
      </c>
      <c r="G7385">
        <f>(Cpi_[[#This Row],[Value]]-F7384)/F7384</f>
        <v>-3.4034653465346537E-2</v>
      </c>
      <c r="H7385" t="e" cm="1" vm="1">
        <f t="array" aca="1" ref="H7385" ca="1">VLOOKUP(Cpi_[[#This Row],[Year]:[Month]],crudeoil[],3,FALSE)</f>
        <v>#VALUE!</v>
      </c>
    </row>
    <row r="7386" spans="1:8" hidden="1" x14ac:dyDescent="0.3">
      <c r="A7386" t="s">
        <v>30</v>
      </c>
      <c r="B7386">
        <v>2020</v>
      </c>
      <c r="C7386" t="s">
        <v>42</v>
      </c>
      <c r="D7386" t="s">
        <v>16</v>
      </c>
      <c r="E7386" t="e">
        <f>VLOOKUP(Cpi_[[#This Row],[Attribute]],#REF!,2,FALSE)</f>
        <v>#REF!</v>
      </c>
      <c r="F7386">
        <v>182.9</v>
      </c>
      <c r="G7386">
        <f>(Cpi_[[#This Row],[Value]]-F7385)/F7385</f>
        <v>0.17168481742472783</v>
      </c>
      <c r="H7386" t="e" cm="1" vm="1">
        <f t="array" aca="1" ref="H7386" ca="1">VLOOKUP(Cpi_[[#This Row],[Year]:[Month]],crudeoil[],3,FALSE)</f>
        <v>#VALUE!</v>
      </c>
    </row>
    <row r="7387" spans="1:8" hidden="1" x14ac:dyDescent="0.3">
      <c r="A7387" t="s">
        <v>30</v>
      </c>
      <c r="B7387">
        <v>2020</v>
      </c>
      <c r="C7387" t="s">
        <v>42</v>
      </c>
      <c r="D7387" t="s">
        <v>17</v>
      </c>
      <c r="E7387" t="e">
        <f>VLOOKUP(Cpi_[[#This Row],[Attribute]],#REF!,2,FALSE)</f>
        <v>#REF!</v>
      </c>
      <c r="F7387">
        <v>155.4</v>
      </c>
      <c r="G7387">
        <f>(Cpi_[[#This Row],[Value]]-F7386)/F7386</f>
        <v>-0.15035538545653362</v>
      </c>
      <c r="H7387" t="e" cm="1" vm="1">
        <f t="array" aca="1" ref="H7387" ca="1">VLOOKUP(Cpi_[[#This Row],[Year]:[Month]],crudeoil[],3,FALSE)</f>
        <v>#VALUE!</v>
      </c>
    </row>
    <row r="7388" spans="1:8" hidden="1" x14ac:dyDescent="0.3">
      <c r="A7388" t="s">
        <v>30</v>
      </c>
      <c r="B7388">
        <v>2020</v>
      </c>
      <c r="C7388" t="s">
        <v>42</v>
      </c>
      <c r="D7388" t="s">
        <v>18</v>
      </c>
      <c r="E7388" t="e">
        <f>VLOOKUP(Cpi_[[#This Row],[Attribute]],#REF!,2,FALSE)</f>
        <v>#REF!</v>
      </c>
      <c r="F7388">
        <v>149.9</v>
      </c>
      <c r="G7388">
        <f>(Cpi_[[#This Row],[Value]]-F7387)/F7387</f>
        <v>-3.5392535392535389E-2</v>
      </c>
      <c r="H7388" t="e" cm="1" vm="1">
        <f t="array" aca="1" ref="H7388" ca="1">VLOOKUP(Cpi_[[#This Row],[Year]:[Month]],crudeoil[],3,FALSE)</f>
        <v>#VALUE!</v>
      </c>
    </row>
    <row r="7389" spans="1:8" hidden="1" x14ac:dyDescent="0.3">
      <c r="A7389" t="s">
        <v>30</v>
      </c>
      <c r="B7389">
        <v>2020</v>
      </c>
      <c r="C7389" t="s">
        <v>42</v>
      </c>
      <c r="D7389" t="s">
        <v>19</v>
      </c>
      <c r="E7389" t="e">
        <f>VLOOKUP(Cpi_[[#This Row],[Attribute]],#REF!,2,FALSE)</f>
        <v>#REF!</v>
      </c>
      <c r="F7389">
        <v>154.6</v>
      </c>
      <c r="G7389">
        <f>(Cpi_[[#This Row],[Value]]-F7388)/F7388</f>
        <v>3.1354236157438216E-2</v>
      </c>
      <c r="H7389" t="e" cm="1" vm="1">
        <f t="array" aca="1" ref="H7389" ca="1">VLOOKUP(Cpi_[[#This Row],[Year]:[Month]],crudeoil[],3,FALSE)</f>
        <v>#VALUE!</v>
      </c>
    </row>
    <row r="7390" spans="1:8" hidden="1" x14ac:dyDescent="0.3">
      <c r="A7390" t="s">
        <v>30</v>
      </c>
      <c r="B7390">
        <v>2020</v>
      </c>
      <c r="C7390" t="s">
        <v>42</v>
      </c>
      <c r="D7390" t="s">
        <v>20</v>
      </c>
      <c r="E7390" t="e">
        <f>VLOOKUP(Cpi_[[#This Row],[Attribute]],#REF!,2,FALSE)</f>
        <v>#REF!</v>
      </c>
      <c r="F7390" t="s">
        <v>32</v>
      </c>
      <c r="G7390" t="e">
        <f>(Cpi_[[#This Row],[Value]]-F7389)/F7389</f>
        <v>#VALUE!</v>
      </c>
      <c r="H7390" t="e" cm="1" vm="1">
        <f t="array" aca="1" ref="H7390" ca="1">VLOOKUP(Cpi_[[#This Row],[Year]:[Month]],crudeoil[],3,FALSE)</f>
        <v>#VALUE!</v>
      </c>
    </row>
    <row r="7391" spans="1:8" hidden="1" x14ac:dyDescent="0.3">
      <c r="A7391" t="s">
        <v>30</v>
      </c>
      <c r="B7391">
        <v>2020</v>
      </c>
      <c r="C7391" t="s">
        <v>42</v>
      </c>
      <c r="D7391" t="s">
        <v>21</v>
      </c>
      <c r="E7391" t="e">
        <f>VLOOKUP(Cpi_[[#This Row],[Attribute]],#REF!,2,FALSE)</f>
        <v>#REF!</v>
      </c>
      <c r="F7391">
        <v>146.4</v>
      </c>
      <c r="G7391" t="e">
        <f>(Cpi_[[#This Row],[Value]]-F7390)/F7390</f>
        <v>#VALUE!</v>
      </c>
      <c r="H7391" t="e" cm="1" vm="1">
        <f t="array" aca="1" ref="H7391" ca="1">VLOOKUP(Cpi_[[#This Row],[Year]:[Month]],crudeoil[],3,FALSE)</f>
        <v>#VALUE!</v>
      </c>
    </row>
    <row r="7392" spans="1:8" hidden="1" x14ac:dyDescent="0.3">
      <c r="A7392" t="s">
        <v>30</v>
      </c>
      <c r="B7392">
        <v>2020</v>
      </c>
      <c r="C7392" t="s">
        <v>42</v>
      </c>
      <c r="D7392" t="s">
        <v>22</v>
      </c>
      <c r="E7392" t="e">
        <f>VLOOKUP(Cpi_[[#This Row],[Attribute]],#REF!,2,FALSE)</f>
        <v>#REF!</v>
      </c>
      <c r="F7392">
        <v>151.6</v>
      </c>
      <c r="G7392">
        <f>(Cpi_[[#This Row],[Value]]-F7391)/F7391</f>
        <v>3.5519125683060031E-2</v>
      </c>
      <c r="H7392" t="e" cm="1" vm="1">
        <f t="array" aca="1" ref="H7392" ca="1">VLOOKUP(Cpi_[[#This Row],[Year]:[Month]],crudeoil[],3,FALSE)</f>
        <v>#VALUE!</v>
      </c>
    </row>
    <row r="7393" spans="1:8" hidden="1" x14ac:dyDescent="0.3">
      <c r="A7393" t="s">
        <v>30</v>
      </c>
      <c r="B7393">
        <v>2020</v>
      </c>
      <c r="C7393" t="s">
        <v>42</v>
      </c>
      <c r="D7393" t="s">
        <v>23</v>
      </c>
      <c r="E7393" t="e">
        <f>VLOOKUP(Cpi_[[#This Row],[Attribute]],#REF!,2,FALSE)</f>
        <v>#REF!</v>
      </c>
      <c r="F7393">
        <v>159.1</v>
      </c>
      <c r="G7393">
        <f>(Cpi_[[#This Row],[Value]]-F7392)/F7392</f>
        <v>4.9472295514511877E-2</v>
      </c>
      <c r="H7393" t="e" cm="1" vm="1">
        <f t="array" aca="1" ref="H7393" ca="1">VLOOKUP(Cpi_[[#This Row],[Year]:[Month]],crudeoil[],3,FALSE)</f>
        <v>#VALUE!</v>
      </c>
    </row>
    <row r="7394" spans="1:8" hidden="1" x14ac:dyDescent="0.3">
      <c r="A7394" t="s">
        <v>30</v>
      </c>
      <c r="B7394">
        <v>2020</v>
      </c>
      <c r="C7394" t="s">
        <v>42</v>
      </c>
      <c r="D7394" t="s">
        <v>24</v>
      </c>
      <c r="E7394" t="e">
        <f>VLOOKUP(Cpi_[[#This Row],[Attribute]],#REF!,2,FALSE)</f>
        <v>#REF!</v>
      </c>
      <c r="F7394">
        <v>144.6</v>
      </c>
      <c r="G7394">
        <f>(Cpi_[[#This Row],[Value]]-F7393)/F7393</f>
        <v>-9.1137649277184166E-2</v>
      </c>
      <c r="H7394" t="e" cm="1" vm="1">
        <f t="array" aca="1" ref="H7394" ca="1">VLOOKUP(Cpi_[[#This Row],[Year]:[Month]],crudeoil[],3,FALSE)</f>
        <v>#VALUE!</v>
      </c>
    </row>
    <row r="7395" spans="1:8" hidden="1" x14ac:dyDescent="0.3">
      <c r="A7395" t="s">
        <v>30</v>
      </c>
      <c r="B7395">
        <v>2020</v>
      </c>
      <c r="C7395" t="s">
        <v>42</v>
      </c>
      <c r="D7395" t="s">
        <v>25</v>
      </c>
      <c r="E7395" t="e">
        <f>VLOOKUP(Cpi_[[#This Row],[Attribute]],#REF!,2,FALSE)</f>
        <v>#REF!</v>
      </c>
      <c r="F7395">
        <v>152.80000000000001</v>
      </c>
      <c r="G7395">
        <f>(Cpi_[[#This Row],[Value]]-F7394)/F7394</f>
        <v>5.6708160442600394E-2</v>
      </c>
      <c r="H7395" t="e" cm="1" vm="1">
        <f t="array" aca="1" ref="H7395" ca="1">VLOOKUP(Cpi_[[#This Row],[Year]:[Month]],crudeoil[],3,FALSE)</f>
        <v>#VALUE!</v>
      </c>
    </row>
    <row r="7396" spans="1:8" hidden="1" x14ac:dyDescent="0.3">
      <c r="A7396" t="s">
        <v>30</v>
      </c>
      <c r="B7396">
        <v>2020</v>
      </c>
      <c r="C7396" t="s">
        <v>42</v>
      </c>
      <c r="D7396" t="s">
        <v>26</v>
      </c>
      <c r="E7396" t="e">
        <f>VLOOKUP(Cpi_[[#This Row],[Attribute]],#REF!,2,FALSE)</f>
        <v>#REF!</v>
      </c>
      <c r="F7396">
        <v>161.1</v>
      </c>
      <c r="G7396">
        <f>(Cpi_[[#This Row],[Value]]-F7395)/F7395</f>
        <v>5.4319371727748575E-2</v>
      </c>
      <c r="H7396" t="e" cm="1" vm="1">
        <f t="array" aca="1" ref="H7396" ca="1">VLOOKUP(Cpi_[[#This Row],[Year]:[Month]],crudeoil[],3,FALSE)</f>
        <v>#VALUE!</v>
      </c>
    </row>
    <row r="7397" spans="1:8" hidden="1" x14ac:dyDescent="0.3">
      <c r="A7397" t="s">
        <v>30</v>
      </c>
      <c r="B7397">
        <v>2020</v>
      </c>
      <c r="C7397" t="s">
        <v>42</v>
      </c>
      <c r="D7397" t="s">
        <v>27</v>
      </c>
      <c r="E7397" t="e">
        <f>VLOOKUP(Cpi_[[#This Row],[Attribute]],#REF!,2,FALSE)</f>
        <v>#REF!</v>
      </c>
      <c r="F7397">
        <v>157.4</v>
      </c>
      <c r="G7397">
        <f>(Cpi_[[#This Row],[Value]]-F7396)/F7396</f>
        <v>-2.2967101179391613E-2</v>
      </c>
      <c r="H7397" t="e" cm="1" vm="1">
        <f t="array" aca="1" ref="H7397" ca="1">VLOOKUP(Cpi_[[#This Row],[Year]:[Month]],crudeoil[],3,FALSE)</f>
        <v>#VALUE!</v>
      </c>
    </row>
    <row r="7398" spans="1:8" hidden="1" x14ac:dyDescent="0.3">
      <c r="A7398" t="s">
        <v>30</v>
      </c>
      <c r="B7398">
        <v>2020</v>
      </c>
      <c r="C7398" t="s">
        <v>42</v>
      </c>
      <c r="D7398" t="s">
        <v>28</v>
      </c>
      <c r="E7398" t="e">
        <f>VLOOKUP(Cpi_[[#This Row],[Attribute]],#REF!,2,FALSE)</f>
        <v>#REF!</v>
      </c>
      <c r="F7398">
        <v>153.69999999999999</v>
      </c>
      <c r="G7398">
        <f>(Cpi_[[#This Row],[Value]]-F7397)/F7397</f>
        <v>-2.3506988564167833E-2</v>
      </c>
      <c r="H7398" t="e" cm="1" vm="1">
        <f t="array" aca="1" ref="H7398" ca="1">VLOOKUP(Cpi_[[#This Row],[Year]:[Month]],crudeoil[],3,FALSE)</f>
        <v>#VALUE!</v>
      </c>
    </row>
    <row r="7399" spans="1:8" hidden="1" x14ac:dyDescent="0.3">
      <c r="A7399" t="s">
        <v>30</v>
      </c>
      <c r="B7399">
        <v>2020</v>
      </c>
      <c r="C7399" t="s">
        <v>42</v>
      </c>
      <c r="D7399" t="s">
        <v>29</v>
      </c>
      <c r="E7399" t="e" cm="1">
        <f t="array" aca="1" ref="E7399" ca="1">VLGeneral indexGeneral indexKUP(Cpi_[[#This Row],[Attribute]],#REF!,2,FALSE)</f>
        <v>#NAME?</v>
      </c>
      <c r="F7399">
        <v>155.4</v>
      </c>
      <c r="G7399">
        <f>(Cpi_[[#This Row],[Value]]-F7398)/F7398</f>
        <v>1.1060507482108115E-2</v>
      </c>
      <c r="H7399" t="e" cm="1" vm="1">
        <f t="array" aca="1" ref="H7399" ca="1">VLOOKUP(Cpi_[[#This Row],[Year]:[Month]],crudeoil[],3,FALSE)</f>
        <v>#VALUE!</v>
      </c>
    </row>
    <row r="7400" spans="1:8" hidden="1" x14ac:dyDescent="0.3">
      <c r="A7400" t="s">
        <v>33</v>
      </c>
      <c r="B7400">
        <v>2020</v>
      </c>
      <c r="C7400" t="s">
        <v>42</v>
      </c>
      <c r="D7400" t="s">
        <v>3</v>
      </c>
      <c r="E7400" t="e">
        <f>VLOOKUP(Cpi_[[#This Row],[Attribute]],#REF!,2,FALSE)</f>
        <v>#REF!</v>
      </c>
      <c r="F7400">
        <v>151.5</v>
      </c>
      <c r="G7400">
        <f>(Cpi_[[#This Row],[Value]]-F7399)/F7399</f>
        <v>-2.5096525096525133E-2</v>
      </c>
      <c r="H7400" t="e" cm="1" vm="1">
        <f t="array" aca="1" ref="H7400" ca="1">VLOOKUP(Cpi_[[#This Row],[Year]:[Month]],crudeoil[],3,FALSE)</f>
        <v>#VALUE!</v>
      </c>
    </row>
    <row r="7401" spans="1:8" hidden="1" x14ac:dyDescent="0.3">
      <c r="A7401" t="s">
        <v>33</v>
      </c>
      <c r="B7401">
        <v>2020</v>
      </c>
      <c r="C7401" t="s">
        <v>42</v>
      </c>
      <c r="D7401" t="s">
        <v>4</v>
      </c>
      <c r="E7401" t="e">
        <f>VLOOKUP(Cpi_[[#This Row],[Attribute]],#REF!,2,FALSE)</f>
        <v>#REF!</v>
      </c>
      <c r="F7401">
        <v>193.1</v>
      </c>
      <c r="G7401">
        <f>(Cpi_[[#This Row],[Value]]-F7400)/F7400</f>
        <v>0.27458745874587454</v>
      </c>
      <c r="H7401" t="e" cm="1" vm="1">
        <f t="array" aca="1" ref="H7401" ca="1">VLOOKUP(Cpi_[[#This Row],[Year]:[Month]],crudeoil[],3,FALSE)</f>
        <v>#VALUE!</v>
      </c>
    </row>
    <row r="7402" spans="1:8" hidden="1" x14ac:dyDescent="0.3">
      <c r="A7402" t="s">
        <v>33</v>
      </c>
      <c r="B7402">
        <v>2020</v>
      </c>
      <c r="C7402" t="s">
        <v>42</v>
      </c>
      <c r="D7402" t="s">
        <v>5</v>
      </c>
      <c r="E7402" t="e">
        <f>VLOOKUP(Cpi_[[#This Row],[Attribute]],#REF!,2,FALSE)</f>
        <v>#REF!</v>
      </c>
      <c r="F7402">
        <v>157.30000000000001</v>
      </c>
      <c r="G7402">
        <f>(Cpi_[[#This Row],[Value]]-F7401)/F7401</f>
        <v>-0.18539616778871043</v>
      </c>
      <c r="H7402" t="e" cm="1" vm="1">
        <f t="array" aca="1" ref="H7402" ca="1">VLOOKUP(Cpi_[[#This Row],[Year]:[Month]],crudeoil[],3,FALSE)</f>
        <v>#VALUE!</v>
      </c>
    </row>
    <row r="7403" spans="1:8" hidden="1" x14ac:dyDescent="0.3">
      <c r="A7403" t="s">
        <v>33</v>
      </c>
      <c r="B7403">
        <v>2020</v>
      </c>
      <c r="C7403" t="s">
        <v>42</v>
      </c>
      <c r="D7403" t="s">
        <v>6</v>
      </c>
      <c r="E7403" t="e">
        <f>VLOOKUP(Cpi_[[#This Row],[Attribute]],#REF!,2,FALSE)</f>
        <v>#REF!</v>
      </c>
      <c r="F7403">
        <v>153.9</v>
      </c>
      <c r="G7403">
        <f>(Cpi_[[#This Row],[Value]]-F7402)/F7402</f>
        <v>-2.1614748887476196E-2</v>
      </c>
      <c r="H7403" t="e" cm="1" vm="1">
        <f t="array" aca="1" ref="H7403" ca="1">VLOOKUP(Cpi_[[#This Row],[Year]:[Month]],crudeoil[],3,FALSE)</f>
        <v>#VALUE!</v>
      </c>
    </row>
    <row r="7404" spans="1:8" hidden="1" x14ac:dyDescent="0.3">
      <c r="A7404" t="s">
        <v>33</v>
      </c>
      <c r="B7404">
        <v>2020</v>
      </c>
      <c r="C7404" t="s">
        <v>42</v>
      </c>
      <c r="D7404" t="s">
        <v>7</v>
      </c>
      <c r="E7404" t="e">
        <f>VLOOKUP(Cpi_[[#This Row],[Attribute]],#REF!,2,FALSE)</f>
        <v>#REF!</v>
      </c>
      <c r="F7404">
        <v>134.4</v>
      </c>
      <c r="G7404">
        <f>(Cpi_[[#This Row],[Value]]-F7403)/F7403</f>
        <v>-0.12670565302144249</v>
      </c>
      <c r="H7404" t="e" cm="1" vm="1">
        <f t="array" aca="1" ref="H7404" ca="1">VLOOKUP(Cpi_[[#This Row],[Year]:[Month]],crudeoil[],3,FALSE)</f>
        <v>#VALUE!</v>
      </c>
    </row>
    <row r="7405" spans="1:8" hidden="1" x14ac:dyDescent="0.3">
      <c r="A7405" t="s">
        <v>33</v>
      </c>
      <c r="B7405">
        <v>2020</v>
      </c>
      <c r="C7405" t="s">
        <v>42</v>
      </c>
      <c r="D7405" t="s">
        <v>8</v>
      </c>
      <c r="E7405" t="e">
        <f>VLOOKUP(Cpi_[[#This Row],[Attribute]],#REF!,2,FALSE)</f>
        <v>#REF!</v>
      </c>
      <c r="F7405">
        <v>155.4</v>
      </c>
      <c r="G7405">
        <f>(Cpi_[[#This Row],[Value]]-F7404)/F7404</f>
        <v>0.15625</v>
      </c>
      <c r="H7405" t="e" cm="1" vm="1">
        <f t="array" aca="1" ref="H7405" ca="1">VLOOKUP(Cpi_[[#This Row],[Year]:[Month]],crudeoil[],3,FALSE)</f>
        <v>#VALUE!</v>
      </c>
    </row>
    <row r="7406" spans="1:8" hidden="1" x14ac:dyDescent="0.3">
      <c r="A7406" t="s">
        <v>33</v>
      </c>
      <c r="B7406">
        <v>2020</v>
      </c>
      <c r="C7406" t="s">
        <v>42</v>
      </c>
      <c r="D7406" t="s">
        <v>9</v>
      </c>
      <c r="E7406" t="e">
        <f>VLOOKUP(Cpi_[[#This Row],[Attribute]],#REF!,2,FALSE)</f>
        <v>#REF!</v>
      </c>
      <c r="F7406">
        <v>202</v>
      </c>
      <c r="G7406">
        <f>(Cpi_[[#This Row],[Value]]-F7405)/F7405</f>
        <v>0.29987129987129985</v>
      </c>
      <c r="H7406" t="e" cm="1" vm="1">
        <f t="array" aca="1" ref="H7406" ca="1">VLOOKUP(Cpi_[[#This Row],[Year]:[Month]],crudeoil[],3,FALSE)</f>
        <v>#VALUE!</v>
      </c>
    </row>
    <row r="7407" spans="1:8" hidden="1" x14ac:dyDescent="0.3">
      <c r="A7407" t="s">
        <v>33</v>
      </c>
      <c r="B7407">
        <v>2020</v>
      </c>
      <c r="C7407" t="s">
        <v>42</v>
      </c>
      <c r="D7407" t="s">
        <v>10</v>
      </c>
      <c r="E7407" t="e">
        <f>VLOOKUP(Cpi_[[#This Row],[Attribute]],#REF!,2,FALSE)</f>
        <v>#REF!</v>
      </c>
      <c r="F7407">
        <v>150.80000000000001</v>
      </c>
      <c r="G7407">
        <f>(Cpi_[[#This Row],[Value]]-F7406)/F7406</f>
        <v>-0.25346534653465341</v>
      </c>
      <c r="H7407" t="e" cm="1" vm="1">
        <f t="array" aca="1" ref="H7407" ca="1">VLOOKUP(Cpi_[[#This Row],[Year]:[Month]],crudeoil[],3,FALSE)</f>
        <v>#VALUE!</v>
      </c>
    </row>
    <row r="7408" spans="1:8" hidden="1" x14ac:dyDescent="0.3">
      <c r="A7408" t="s">
        <v>33</v>
      </c>
      <c r="B7408">
        <v>2020</v>
      </c>
      <c r="C7408" t="s">
        <v>42</v>
      </c>
      <c r="D7408" t="s">
        <v>11</v>
      </c>
      <c r="E7408" t="e">
        <f>VLOOKUP(Cpi_[[#This Row],[Attribute]],#REF!,2,FALSE)</f>
        <v>#REF!</v>
      </c>
      <c r="F7408">
        <v>118.9</v>
      </c>
      <c r="G7408">
        <f>(Cpi_[[#This Row],[Value]]-F7407)/F7407</f>
        <v>-0.21153846153846156</v>
      </c>
      <c r="H7408" t="e" cm="1" vm="1">
        <f t="array" aca="1" ref="H7408" ca="1">VLOOKUP(Cpi_[[#This Row],[Year]:[Month]],crudeoil[],3,FALSE)</f>
        <v>#VALUE!</v>
      </c>
    </row>
    <row r="7409" spans="1:8" hidden="1" x14ac:dyDescent="0.3">
      <c r="A7409" t="s">
        <v>33</v>
      </c>
      <c r="B7409">
        <v>2020</v>
      </c>
      <c r="C7409" t="s">
        <v>42</v>
      </c>
      <c r="D7409" t="s">
        <v>12</v>
      </c>
      <c r="E7409" t="e">
        <f>VLOOKUP(Cpi_[[#This Row],[Attribute]],#REF!,2,FALSE)</f>
        <v>#REF!</v>
      </c>
      <c r="F7409">
        <v>160.9</v>
      </c>
      <c r="G7409">
        <f>(Cpi_[[#This Row],[Value]]-F7408)/F7408</f>
        <v>0.35323801513877207</v>
      </c>
      <c r="H7409" t="e" cm="1" vm="1">
        <f t="array" aca="1" ref="H7409" ca="1">VLOOKUP(Cpi_[[#This Row],[Year]:[Month]],crudeoil[],3,FALSE)</f>
        <v>#VALUE!</v>
      </c>
    </row>
    <row r="7410" spans="1:8" hidden="1" x14ac:dyDescent="0.3">
      <c r="A7410" t="s">
        <v>33</v>
      </c>
      <c r="B7410">
        <v>2020</v>
      </c>
      <c r="C7410" t="s">
        <v>42</v>
      </c>
      <c r="D7410" t="s">
        <v>13</v>
      </c>
      <c r="E7410" t="e">
        <f>VLOOKUP(Cpi_[[#This Row],[Attribute]],#REF!,2,FALSE)</f>
        <v>#REF!</v>
      </c>
      <c r="F7410">
        <v>137.69999999999999</v>
      </c>
      <c r="G7410">
        <f>(Cpi_[[#This Row],[Value]]-F7409)/F7409</f>
        <v>-0.14418893722809209</v>
      </c>
      <c r="H7410" t="e" cm="1" vm="1">
        <f t="array" aca="1" ref="H7410" ca="1">VLOOKUP(Cpi_[[#This Row],[Year]:[Month]],crudeoil[],3,FALSE)</f>
        <v>#VALUE!</v>
      </c>
    </row>
    <row r="7411" spans="1:8" hidden="1" x14ac:dyDescent="0.3">
      <c r="A7411" t="s">
        <v>33</v>
      </c>
      <c r="B7411">
        <v>2020</v>
      </c>
      <c r="C7411" t="s">
        <v>42</v>
      </c>
      <c r="D7411" t="s">
        <v>14</v>
      </c>
      <c r="E7411" t="e">
        <f>VLOOKUP(Cpi_[[#This Row],[Attribute]],#REF!,2,FALSE)</f>
        <v>#REF!</v>
      </c>
      <c r="F7411">
        <v>164.4</v>
      </c>
      <c r="G7411">
        <f>(Cpi_[[#This Row],[Value]]-F7410)/F7410</f>
        <v>0.19389978213507639</v>
      </c>
      <c r="H7411" t="e" cm="1" vm="1">
        <f t="array" aca="1" ref="H7411" ca="1">VLOOKUP(Cpi_[[#This Row],[Year]:[Month]],crudeoil[],3,FALSE)</f>
        <v>#VALUE!</v>
      </c>
    </row>
    <row r="7412" spans="1:8" hidden="1" x14ac:dyDescent="0.3">
      <c r="A7412" t="s">
        <v>33</v>
      </c>
      <c r="B7412">
        <v>2020</v>
      </c>
      <c r="C7412" t="s">
        <v>42</v>
      </c>
      <c r="D7412" t="s">
        <v>15</v>
      </c>
      <c r="E7412" t="e">
        <f>VLOOKUP(Cpi_[[#This Row],[Attribute]],#REF!,2,FALSE)</f>
        <v>#REF!</v>
      </c>
      <c r="F7412">
        <v>161.30000000000001</v>
      </c>
      <c r="G7412">
        <f>(Cpi_[[#This Row],[Value]]-F7411)/F7411</f>
        <v>-1.885644768856444E-2</v>
      </c>
      <c r="H7412" t="e" cm="1" vm="1">
        <f t="array" aca="1" ref="H7412" ca="1">VLOOKUP(Cpi_[[#This Row],[Year]:[Month]],crudeoil[],3,FALSE)</f>
        <v>#VALUE!</v>
      </c>
    </row>
    <row r="7413" spans="1:8" hidden="1" x14ac:dyDescent="0.3">
      <c r="A7413" t="s">
        <v>33</v>
      </c>
      <c r="B7413">
        <v>2020</v>
      </c>
      <c r="C7413" t="s">
        <v>42</v>
      </c>
      <c r="D7413" t="s">
        <v>16</v>
      </c>
      <c r="E7413" t="e">
        <f>VLOOKUP(Cpi_[[#This Row],[Attribute]],#REF!,2,FALSE)</f>
        <v>#REF!</v>
      </c>
      <c r="F7413">
        <v>188.7</v>
      </c>
      <c r="G7413">
        <f>(Cpi_[[#This Row],[Value]]-F7412)/F7412</f>
        <v>0.16986980781153116</v>
      </c>
      <c r="H7413" t="e" cm="1" vm="1">
        <f t="array" aca="1" ref="H7413" ca="1">VLOOKUP(Cpi_[[#This Row],[Year]:[Month]],crudeoil[],3,FALSE)</f>
        <v>#VALUE!</v>
      </c>
    </row>
    <row r="7414" spans="1:8" hidden="1" x14ac:dyDescent="0.3">
      <c r="A7414" t="s">
        <v>33</v>
      </c>
      <c r="B7414">
        <v>2020</v>
      </c>
      <c r="C7414" t="s">
        <v>42</v>
      </c>
      <c r="D7414" t="s">
        <v>17</v>
      </c>
      <c r="E7414" t="e">
        <f>VLOOKUP(Cpi_[[#This Row],[Attribute]],#REF!,2,FALSE)</f>
        <v>#REF!</v>
      </c>
      <c r="F7414">
        <v>150.19999999999999</v>
      </c>
      <c r="G7414">
        <f>(Cpi_[[#This Row],[Value]]-F7413)/F7413</f>
        <v>-0.20402755696873345</v>
      </c>
      <c r="H7414" t="e" cm="1" vm="1">
        <f t="array" aca="1" ref="H7414" ca="1">VLOOKUP(Cpi_[[#This Row],[Year]:[Month]],crudeoil[],3,FALSE)</f>
        <v>#VALUE!</v>
      </c>
    </row>
    <row r="7415" spans="1:8" hidden="1" x14ac:dyDescent="0.3">
      <c r="A7415" t="s">
        <v>33</v>
      </c>
      <c r="B7415">
        <v>2020</v>
      </c>
      <c r="C7415" t="s">
        <v>42</v>
      </c>
      <c r="D7415" t="s">
        <v>18</v>
      </c>
      <c r="E7415" t="e">
        <f>VLOOKUP(Cpi_[[#This Row],[Attribute]],#REF!,2,FALSE)</f>
        <v>#REF!</v>
      </c>
      <c r="F7415">
        <v>136.30000000000001</v>
      </c>
      <c r="G7415">
        <f>(Cpi_[[#This Row],[Value]]-F7414)/F7414</f>
        <v>-9.2543275632489874E-2</v>
      </c>
      <c r="H7415" t="e" cm="1" vm="1">
        <f t="array" aca="1" ref="H7415" ca="1">VLOOKUP(Cpi_[[#This Row],[Year]:[Month]],crudeoil[],3,FALSE)</f>
        <v>#VALUE!</v>
      </c>
    </row>
    <row r="7416" spans="1:8" hidden="1" x14ac:dyDescent="0.3">
      <c r="A7416" t="s">
        <v>33</v>
      </c>
      <c r="B7416">
        <v>2020</v>
      </c>
      <c r="C7416" t="s">
        <v>42</v>
      </c>
      <c r="D7416" t="s">
        <v>19</v>
      </c>
      <c r="E7416" t="e">
        <f>VLOOKUP(Cpi_[[#This Row],[Attribute]],#REF!,2,FALSE)</f>
        <v>#REF!</v>
      </c>
      <c r="F7416">
        <v>148.1</v>
      </c>
      <c r="G7416">
        <f>(Cpi_[[#This Row],[Value]]-F7415)/F7415</f>
        <v>8.6573734409390923E-2</v>
      </c>
      <c r="H7416" t="e" cm="1" vm="1">
        <f t="array" aca="1" ref="H7416" ca="1">VLOOKUP(Cpi_[[#This Row],[Year]:[Month]],crudeoil[],3,FALSE)</f>
        <v>#VALUE!</v>
      </c>
    </row>
    <row r="7417" spans="1:8" hidden="1" x14ac:dyDescent="0.3">
      <c r="A7417" t="s">
        <v>33</v>
      </c>
      <c r="B7417">
        <v>2020</v>
      </c>
      <c r="C7417" t="s">
        <v>42</v>
      </c>
      <c r="D7417" t="s">
        <v>20</v>
      </c>
      <c r="E7417" t="e">
        <f>VLOOKUP(Cpi_[[#This Row],[Attribute]],#REF!,2,FALSE)</f>
        <v>#REF!</v>
      </c>
      <c r="F7417">
        <v>156.30000000000001</v>
      </c>
      <c r="G7417">
        <f>(Cpi_[[#This Row],[Value]]-F7416)/F7416</f>
        <v>5.5367994598244548E-2</v>
      </c>
      <c r="H7417" t="e" cm="1" vm="1">
        <f t="array" aca="1" ref="H7417" ca="1">VLOOKUP(Cpi_[[#This Row],[Year]:[Month]],crudeoil[],3,FALSE)</f>
        <v>#VALUE!</v>
      </c>
    </row>
    <row r="7418" spans="1:8" hidden="1" x14ac:dyDescent="0.3">
      <c r="A7418" t="s">
        <v>33</v>
      </c>
      <c r="B7418">
        <v>2020</v>
      </c>
      <c r="C7418" t="s">
        <v>42</v>
      </c>
      <c r="D7418" t="s">
        <v>21</v>
      </c>
      <c r="E7418" t="e">
        <f>VLOOKUP(Cpi_[[#This Row],[Attribute]],#REF!,2,FALSE)</f>
        <v>#REF!</v>
      </c>
      <c r="F7418">
        <v>137.19999999999999</v>
      </c>
      <c r="G7418">
        <f>(Cpi_[[#This Row],[Value]]-F7417)/F7417</f>
        <v>-0.12220089571337185</v>
      </c>
      <c r="H7418" t="e" cm="1" vm="1">
        <f t="array" aca="1" ref="H7418" ca="1">VLOOKUP(Cpi_[[#This Row],[Year]:[Month]],crudeoil[],3,FALSE)</f>
        <v>#VALUE!</v>
      </c>
    </row>
    <row r="7419" spans="1:8" hidden="1" x14ac:dyDescent="0.3">
      <c r="A7419" t="s">
        <v>33</v>
      </c>
      <c r="B7419">
        <v>2020</v>
      </c>
      <c r="C7419" t="s">
        <v>42</v>
      </c>
      <c r="D7419" t="s">
        <v>22</v>
      </c>
      <c r="E7419" t="e">
        <f>VLOOKUP(Cpi_[[#This Row],[Attribute]],#REF!,2,FALSE)</f>
        <v>#REF!</v>
      </c>
      <c r="F7419">
        <v>145.4</v>
      </c>
      <c r="G7419">
        <f>(Cpi_[[#This Row],[Value]]-F7418)/F7418</f>
        <v>5.9766763848396631E-2</v>
      </c>
      <c r="H7419" t="e" cm="1" vm="1">
        <f t="array" aca="1" ref="H7419" ca="1">VLOOKUP(Cpi_[[#This Row],[Year]:[Month]],crudeoil[],3,FALSE)</f>
        <v>#VALUE!</v>
      </c>
    </row>
    <row r="7420" spans="1:8" hidden="1" x14ac:dyDescent="0.3">
      <c r="A7420" t="s">
        <v>33</v>
      </c>
      <c r="B7420">
        <v>2020</v>
      </c>
      <c r="C7420" t="s">
        <v>42</v>
      </c>
      <c r="D7420" t="s">
        <v>23</v>
      </c>
      <c r="E7420" t="e">
        <f>VLOOKUP(Cpi_[[#This Row],[Attribute]],#REF!,2,FALSE)</f>
        <v>#REF!</v>
      </c>
      <c r="F7420">
        <v>150</v>
      </c>
      <c r="G7420">
        <f>(Cpi_[[#This Row],[Value]]-F7419)/F7419</f>
        <v>3.1636863823933936E-2</v>
      </c>
      <c r="H7420" t="e" cm="1" vm="1">
        <f t="array" aca="1" ref="H7420" ca="1">VLOOKUP(Cpi_[[#This Row],[Year]:[Month]],crudeoil[],3,FALSE)</f>
        <v>#VALUE!</v>
      </c>
    </row>
    <row r="7421" spans="1:8" hidden="1" x14ac:dyDescent="0.3">
      <c r="A7421" t="s">
        <v>33</v>
      </c>
      <c r="B7421">
        <v>2020</v>
      </c>
      <c r="C7421" t="s">
        <v>42</v>
      </c>
      <c r="D7421" t="s">
        <v>24</v>
      </c>
      <c r="E7421" t="e">
        <f>VLOOKUP(Cpi_[[#This Row],[Attribute]],#REF!,2,FALSE)</f>
        <v>#REF!</v>
      </c>
      <c r="F7421">
        <v>135.1</v>
      </c>
      <c r="G7421">
        <f>(Cpi_[[#This Row],[Value]]-F7420)/F7420</f>
        <v>-9.9333333333333371E-2</v>
      </c>
      <c r="H7421" t="e" cm="1" vm="1">
        <f t="array" aca="1" ref="H7421" ca="1">VLOOKUP(Cpi_[[#This Row],[Year]:[Month]],crudeoil[],3,FALSE)</f>
        <v>#VALUE!</v>
      </c>
    </row>
    <row r="7422" spans="1:8" hidden="1" x14ac:dyDescent="0.3">
      <c r="A7422" t="s">
        <v>33</v>
      </c>
      <c r="B7422">
        <v>2020</v>
      </c>
      <c r="C7422" t="s">
        <v>42</v>
      </c>
      <c r="D7422" t="s">
        <v>25</v>
      </c>
      <c r="E7422" t="e">
        <f>VLOOKUP(Cpi_[[#This Row],[Attribute]],#REF!,2,FALSE)</f>
        <v>#REF!</v>
      </c>
      <c r="F7422">
        <v>141.80000000000001</v>
      </c>
      <c r="G7422">
        <f>(Cpi_[[#This Row],[Value]]-F7421)/F7421</f>
        <v>4.959289415247977E-2</v>
      </c>
      <c r="H7422" t="e" cm="1" vm="1">
        <f t="array" aca="1" ref="H7422" ca="1">VLOOKUP(Cpi_[[#This Row],[Year]:[Month]],crudeoil[],3,FALSE)</f>
        <v>#VALUE!</v>
      </c>
    </row>
    <row r="7423" spans="1:8" hidden="1" x14ac:dyDescent="0.3">
      <c r="A7423" t="s">
        <v>33</v>
      </c>
      <c r="B7423">
        <v>2020</v>
      </c>
      <c r="C7423" t="s">
        <v>42</v>
      </c>
      <c r="D7423" t="s">
        <v>26</v>
      </c>
      <c r="E7423" t="e">
        <f>VLOOKUP(Cpi_[[#This Row],[Attribute]],#REF!,2,FALSE)</f>
        <v>#REF!</v>
      </c>
      <c r="F7423">
        <v>154.9</v>
      </c>
      <c r="G7423">
        <f>(Cpi_[[#This Row],[Value]]-F7422)/F7422</f>
        <v>9.2383638928067655E-2</v>
      </c>
      <c r="H7423" t="e" cm="1" vm="1">
        <f t="array" aca="1" ref="H7423" ca="1">VLOOKUP(Cpi_[[#This Row],[Year]:[Month]],crudeoil[],3,FALSE)</f>
        <v>#VALUE!</v>
      </c>
    </row>
    <row r="7424" spans="1:8" hidden="1" x14ac:dyDescent="0.3">
      <c r="A7424" t="s">
        <v>33</v>
      </c>
      <c r="B7424">
        <v>2020</v>
      </c>
      <c r="C7424" t="s">
        <v>42</v>
      </c>
      <c r="D7424" t="s">
        <v>27</v>
      </c>
      <c r="E7424" t="e">
        <f>VLOOKUP(Cpi_[[#This Row],[Attribute]],#REF!,2,FALSE)</f>
        <v>#REF!</v>
      </c>
      <c r="F7424">
        <v>159.80000000000001</v>
      </c>
      <c r="G7424">
        <f>(Cpi_[[#This Row],[Value]]-F7423)/F7423</f>
        <v>3.1633311814073632E-2</v>
      </c>
      <c r="H7424" t="e" cm="1" vm="1">
        <f t="array" aca="1" ref="H7424" ca="1">VLOOKUP(Cpi_[[#This Row],[Year]:[Month]],crudeoil[],3,FALSE)</f>
        <v>#VALUE!</v>
      </c>
    </row>
    <row r="7425" spans="1:8" hidden="1" x14ac:dyDescent="0.3">
      <c r="A7425" t="s">
        <v>33</v>
      </c>
      <c r="B7425">
        <v>2020</v>
      </c>
      <c r="C7425" t="s">
        <v>42</v>
      </c>
      <c r="D7425" t="s">
        <v>28</v>
      </c>
      <c r="E7425" t="e">
        <f>VLOOKUP(Cpi_[[#This Row],[Attribute]],#REF!,2,FALSE)</f>
        <v>#REF!</v>
      </c>
      <c r="F7425">
        <v>146</v>
      </c>
      <c r="G7425">
        <f>(Cpi_[[#This Row],[Value]]-F7424)/F7424</f>
        <v>-8.6357947434292925E-2</v>
      </c>
      <c r="H7425" t="e" cm="1" vm="1">
        <f t="array" aca="1" ref="H7425" ca="1">VLOOKUP(Cpi_[[#This Row],[Year]:[Month]],crudeoil[],3,FALSE)</f>
        <v>#VALUE!</v>
      </c>
    </row>
    <row r="7426" spans="1:8" hidden="1" x14ac:dyDescent="0.3">
      <c r="A7426" t="s">
        <v>33</v>
      </c>
      <c r="B7426">
        <v>2020</v>
      </c>
      <c r="C7426" t="s">
        <v>42</v>
      </c>
      <c r="D7426" t="s">
        <v>29</v>
      </c>
      <c r="E7426" t="e" cm="1">
        <f t="array" aca="1" ref="E7426" ca="1">VLGeneral indexGeneral indexKUP(Cpi_[[#This Row],[Attribute]],#REF!,2,FALSE)</f>
        <v>#NAME?</v>
      </c>
      <c r="F7426">
        <v>154</v>
      </c>
      <c r="G7426">
        <f>(Cpi_[[#This Row],[Value]]-F7425)/F7425</f>
        <v>5.4794520547945202E-2</v>
      </c>
      <c r="H7426" t="e" cm="1" vm="1">
        <f t="array" aca="1" ref="H7426" ca="1">VLOOKUP(Cpi_[[#This Row],[Year]:[Month]],crudeoil[],3,FALSE)</f>
        <v>#VALUE!</v>
      </c>
    </row>
    <row r="7427" spans="1:8" hidden="1" x14ac:dyDescent="0.3">
      <c r="A7427" t="s">
        <v>34</v>
      </c>
      <c r="B7427">
        <v>2020</v>
      </c>
      <c r="C7427" t="s">
        <v>42</v>
      </c>
      <c r="D7427" t="s">
        <v>3</v>
      </c>
      <c r="E7427" t="e">
        <f>VLOOKUP(Cpi_[[#This Row],[Attribute]],#REF!,2,FALSE)</f>
        <v>#REF!</v>
      </c>
      <c r="F7427">
        <v>148.4</v>
      </c>
      <c r="G7427">
        <f>(Cpi_[[#This Row],[Value]]-F7426)/F7426</f>
        <v>-3.6363636363636327E-2</v>
      </c>
      <c r="H7427" t="e" cm="1" vm="1">
        <f t="array" aca="1" ref="H7427" ca="1">VLOOKUP(Cpi_[[#This Row],[Year]:[Month]],crudeoil[],3,FALSE)</f>
        <v>#VALUE!</v>
      </c>
    </row>
    <row r="7428" spans="1:8" hidden="1" x14ac:dyDescent="0.3">
      <c r="A7428" t="s">
        <v>34</v>
      </c>
      <c r="B7428">
        <v>2020</v>
      </c>
      <c r="C7428" t="s">
        <v>42</v>
      </c>
      <c r="D7428" t="s">
        <v>4</v>
      </c>
      <c r="E7428" t="e">
        <f>VLOOKUP(Cpi_[[#This Row],[Attribute]],#REF!,2,FALSE)</f>
        <v>#REF!</v>
      </c>
      <c r="F7428">
        <v>187.1</v>
      </c>
      <c r="G7428">
        <f>(Cpi_[[#This Row],[Value]]-F7427)/F7427</f>
        <v>0.26078167115902956</v>
      </c>
      <c r="H7428" t="e" cm="1" vm="1">
        <f t="array" aca="1" ref="H7428" ca="1">VLOOKUP(Cpi_[[#This Row],[Year]:[Month]],crudeoil[],3,FALSE)</f>
        <v>#VALUE!</v>
      </c>
    </row>
    <row r="7429" spans="1:8" hidden="1" x14ac:dyDescent="0.3">
      <c r="A7429" t="s">
        <v>34</v>
      </c>
      <c r="B7429">
        <v>2020</v>
      </c>
      <c r="C7429" t="s">
        <v>42</v>
      </c>
      <c r="D7429" t="s">
        <v>5</v>
      </c>
      <c r="E7429" t="e">
        <f>VLOOKUP(Cpi_[[#This Row],[Attribute]],#REF!,2,FALSE)</f>
        <v>#REF!</v>
      </c>
      <c r="F7429">
        <v>152.5</v>
      </c>
      <c r="G7429">
        <f>(Cpi_[[#This Row],[Value]]-F7428)/F7428</f>
        <v>-0.18492784607161944</v>
      </c>
      <c r="H7429" t="e" cm="1" vm="1">
        <f t="array" aca="1" ref="H7429" ca="1">VLOOKUP(Cpi_[[#This Row],[Year]:[Month]],crudeoil[],3,FALSE)</f>
        <v>#VALUE!</v>
      </c>
    </row>
    <row r="7430" spans="1:8" hidden="1" x14ac:dyDescent="0.3">
      <c r="A7430" t="s">
        <v>34</v>
      </c>
      <c r="B7430">
        <v>2020</v>
      </c>
      <c r="C7430" t="s">
        <v>42</v>
      </c>
      <c r="D7430" t="s">
        <v>6</v>
      </c>
      <c r="E7430" t="e">
        <f>VLOOKUP(Cpi_[[#This Row],[Attribute]],#REF!,2,FALSE)</f>
        <v>#REF!</v>
      </c>
      <c r="F7430">
        <v>153.6</v>
      </c>
      <c r="G7430">
        <f>(Cpi_[[#This Row],[Value]]-F7429)/F7429</f>
        <v>7.2131147540983234E-3</v>
      </c>
      <c r="H7430" t="e" cm="1" vm="1">
        <f t="array" aca="1" ref="H7430" ca="1">VLOOKUP(Cpi_[[#This Row],[Year]:[Month]],crudeoil[],3,FALSE)</f>
        <v>#VALUE!</v>
      </c>
    </row>
    <row r="7431" spans="1:8" hidden="1" x14ac:dyDescent="0.3">
      <c r="A7431" t="s">
        <v>34</v>
      </c>
      <c r="B7431">
        <v>2020</v>
      </c>
      <c r="C7431" t="s">
        <v>42</v>
      </c>
      <c r="D7431" t="s">
        <v>7</v>
      </c>
      <c r="E7431" t="e">
        <f>VLOOKUP(Cpi_[[#This Row],[Attribute]],#REF!,2,FALSE)</f>
        <v>#REF!</v>
      </c>
      <c r="F7431">
        <v>138.19999999999999</v>
      </c>
      <c r="G7431">
        <f>(Cpi_[[#This Row],[Value]]-F7430)/F7430</f>
        <v>-0.10026041666666671</v>
      </c>
      <c r="H7431" t="e" cm="1" vm="1">
        <f t="array" aca="1" ref="H7431" ca="1">VLOOKUP(Cpi_[[#This Row],[Year]:[Month]],crudeoil[],3,FALSE)</f>
        <v>#VALUE!</v>
      </c>
    </row>
    <row r="7432" spans="1:8" hidden="1" x14ac:dyDescent="0.3">
      <c r="A7432" t="s">
        <v>34</v>
      </c>
      <c r="B7432">
        <v>2020</v>
      </c>
      <c r="C7432" t="s">
        <v>42</v>
      </c>
      <c r="D7432" t="s">
        <v>8</v>
      </c>
      <c r="E7432" t="e">
        <f>VLOOKUP(Cpi_[[#This Row],[Attribute]],#REF!,2,FALSE)</f>
        <v>#REF!</v>
      </c>
      <c r="F7432">
        <v>150.9</v>
      </c>
      <c r="G7432">
        <f>(Cpi_[[#This Row],[Value]]-F7431)/F7431</f>
        <v>9.1895803183791744E-2</v>
      </c>
      <c r="H7432" t="e" cm="1" vm="1">
        <f t="array" aca="1" ref="H7432" ca="1">VLOOKUP(Cpi_[[#This Row],[Year]:[Month]],crudeoil[],3,FALSE)</f>
        <v>#VALUE!</v>
      </c>
    </row>
    <row r="7433" spans="1:8" hidden="1" x14ac:dyDescent="0.3">
      <c r="A7433" t="s">
        <v>34</v>
      </c>
      <c r="B7433">
        <v>2020</v>
      </c>
      <c r="C7433" t="s">
        <v>42</v>
      </c>
      <c r="D7433" t="s">
        <v>9</v>
      </c>
      <c r="E7433" t="e">
        <f>VLOOKUP(Cpi_[[#This Row],[Attribute]],#REF!,2,FALSE)</f>
        <v>#REF!</v>
      </c>
      <c r="F7433">
        <v>186.7</v>
      </c>
      <c r="G7433">
        <f>(Cpi_[[#This Row],[Value]]-F7432)/F7432</f>
        <v>0.23724320742213373</v>
      </c>
      <c r="H7433" t="e" cm="1" vm="1">
        <f t="array" aca="1" ref="H7433" ca="1">VLOOKUP(Cpi_[[#This Row],[Year]:[Month]],crudeoil[],3,FALSE)</f>
        <v>#VALUE!</v>
      </c>
    </row>
    <row r="7434" spans="1:8" hidden="1" x14ac:dyDescent="0.3">
      <c r="A7434" t="s">
        <v>34</v>
      </c>
      <c r="B7434">
        <v>2020</v>
      </c>
      <c r="C7434" t="s">
        <v>42</v>
      </c>
      <c r="D7434" t="s">
        <v>10</v>
      </c>
      <c r="E7434" t="e">
        <f>VLOOKUP(Cpi_[[#This Row],[Attribute]],#REF!,2,FALSE)</f>
        <v>#REF!</v>
      </c>
      <c r="F7434">
        <v>149.80000000000001</v>
      </c>
      <c r="G7434">
        <f>(Cpi_[[#This Row],[Value]]-F7433)/F7433</f>
        <v>-0.19764327798607381</v>
      </c>
      <c r="H7434" t="e" cm="1" vm="1">
        <f t="array" aca="1" ref="H7434" ca="1">VLOOKUP(Cpi_[[#This Row],[Year]:[Month]],crudeoil[],3,FALSE)</f>
        <v>#VALUE!</v>
      </c>
    </row>
    <row r="7435" spans="1:8" hidden="1" x14ac:dyDescent="0.3">
      <c r="A7435" t="s">
        <v>34</v>
      </c>
      <c r="B7435">
        <v>2020</v>
      </c>
      <c r="C7435" t="s">
        <v>42</v>
      </c>
      <c r="D7435" t="s">
        <v>11</v>
      </c>
      <c r="E7435" t="e">
        <f>VLOOKUP(Cpi_[[#This Row],[Attribute]],#REF!,2,FALSE)</f>
        <v>#REF!</v>
      </c>
      <c r="F7435">
        <v>116.4</v>
      </c>
      <c r="G7435">
        <f>(Cpi_[[#This Row],[Value]]-F7434)/F7434</f>
        <v>-0.22296395193591456</v>
      </c>
      <c r="H7435" t="e" cm="1" vm="1">
        <f t="array" aca="1" ref="H7435" ca="1">VLOOKUP(Cpi_[[#This Row],[Year]:[Month]],crudeoil[],3,FALSE)</f>
        <v>#VALUE!</v>
      </c>
    </row>
    <row r="7436" spans="1:8" hidden="1" x14ac:dyDescent="0.3">
      <c r="A7436" t="s">
        <v>34</v>
      </c>
      <c r="B7436">
        <v>2020</v>
      </c>
      <c r="C7436" t="s">
        <v>42</v>
      </c>
      <c r="D7436" t="s">
        <v>12</v>
      </c>
      <c r="E7436" t="e">
        <f>VLOOKUP(Cpi_[[#This Row],[Attribute]],#REF!,2,FALSE)</f>
        <v>#REF!</v>
      </c>
      <c r="F7436">
        <v>160.30000000000001</v>
      </c>
      <c r="G7436">
        <f>(Cpi_[[#This Row],[Value]]-F7435)/F7435</f>
        <v>0.3771477663230241</v>
      </c>
      <c r="H7436" t="e" cm="1" vm="1">
        <f t="array" aca="1" ref="H7436" ca="1">VLOOKUP(Cpi_[[#This Row],[Year]:[Month]],crudeoil[],3,FALSE)</f>
        <v>#VALUE!</v>
      </c>
    </row>
    <row r="7437" spans="1:8" hidden="1" x14ac:dyDescent="0.3">
      <c r="A7437" t="s">
        <v>34</v>
      </c>
      <c r="B7437">
        <v>2020</v>
      </c>
      <c r="C7437" t="s">
        <v>42</v>
      </c>
      <c r="D7437" t="s">
        <v>13</v>
      </c>
      <c r="E7437" t="e">
        <f>VLOOKUP(Cpi_[[#This Row],[Attribute]],#REF!,2,FALSE)</f>
        <v>#REF!</v>
      </c>
      <c r="F7437">
        <v>142.19999999999999</v>
      </c>
      <c r="G7437">
        <f>(Cpi_[[#This Row],[Value]]-F7436)/F7436</f>
        <v>-0.1129132875857768</v>
      </c>
      <c r="H7437" t="e" cm="1" vm="1">
        <f t="array" aca="1" ref="H7437" ca="1">VLOOKUP(Cpi_[[#This Row],[Year]:[Month]],crudeoil[],3,FALSE)</f>
        <v>#VALUE!</v>
      </c>
    </row>
    <row r="7438" spans="1:8" hidden="1" x14ac:dyDescent="0.3">
      <c r="A7438" t="s">
        <v>34</v>
      </c>
      <c r="B7438">
        <v>2020</v>
      </c>
      <c r="C7438" t="s">
        <v>42</v>
      </c>
      <c r="D7438" t="s">
        <v>14</v>
      </c>
      <c r="E7438" t="e">
        <f>VLOOKUP(Cpi_[[#This Row],[Attribute]],#REF!,2,FALSE)</f>
        <v>#REF!</v>
      </c>
      <c r="F7438">
        <v>162.9</v>
      </c>
      <c r="G7438">
        <f>(Cpi_[[#This Row],[Value]]-F7437)/F7437</f>
        <v>0.14556962025316469</v>
      </c>
      <c r="H7438" t="e" cm="1" vm="1">
        <f t="array" aca="1" ref="H7438" ca="1">VLOOKUP(Cpi_[[#This Row],[Year]:[Month]],crudeoil[],3,FALSE)</f>
        <v>#VALUE!</v>
      </c>
    </row>
    <row r="7439" spans="1:8" hidden="1" x14ac:dyDescent="0.3">
      <c r="A7439" t="s">
        <v>34</v>
      </c>
      <c r="B7439">
        <v>2020</v>
      </c>
      <c r="C7439" t="s">
        <v>42</v>
      </c>
      <c r="D7439" t="s">
        <v>15</v>
      </c>
      <c r="E7439" t="e">
        <f>VLOOKUP(Cpi_[[#This Row],[Attribute]],#REF!,2,FALSE)</f>
        <v>#REF!</v>
      </c>
      <c r="F7439">
        <v>158</v>
      </c>
      <c r="G7439">
        <f>(Cpi_[[#This Row],[Value]]-F7438)/F7438</f>
        <v>-3.0079803560466578E-2</v>
      </c>
      <c r="H7439" t="e" cm="1" vm="1">
        <f t="array" aca="1" ref="H7439" ca="1">VLOOKUP(Cpi_[[#This Row],[Year]:[Month]],crudeoil[],3,FALSE)</f>
        <v>#VALUE!</v>
      </c>
    </row>
    <row r="7440" spans="1:8" hidden="1" x14ac:dyDescent="0.3">
      <c r="A7440" t="s">
        <v>34</v>
      </c>
      <c r="B7440">
        <v>2020</v>
      </c>
      <c r="C7440" t="s">
        <v>42</v>
      </c>
      <c r="D7440" t="s">
        <v>16</v>
      </c>
      <c r="E7440" t="e">
        <f>VLOOKUP(Cpi_[[#This Row],[Attribute]],#REF!,2,FALSE)</f>
        <v>#REF!</v>
      </c>
      <c r="F7440">
        <v>184.4</v>
      </c>
      <c r="G7440">
        <f>(Cpi_[[#This Row],[Value]]-F7439)/F7439</f>
        <v>0.16708860759493674</v>
      </c>
      <c r="H7440" t="e" cm="1" vm="1">
        <f t="array" aca="1" ref="H7440" ca="1">VLOOKUP(Cpi_[[#This Row],[Year]:[Month]],crudeoil[],3,FALSE)</f>
        <v>#VALUE!</v>
      </c>
    </row>
    <row r="7441" spans="1:8" hidden="1" x14ac:dyDescent="0.3">
      <c r="A7441" t="s">
        <v>34</v>
      </c>
      <c r="B7441">
        <v>2020</v>
      </c>
      <c r="C7441" t="s">
        <v>42</v>
      </c>
      <c r="D7441" t="s">
        <v>17</v>
      </c>
      <c r="E7441" t="e">
        <f>VLOOKUP(Cpi_[[#This Row],[Attribute]],#REF!,2,FALSE)</f>
        <v>#REF!</v>
      </c>
      <c r="F7441">
        <v>153.4</v>
      </c>
      <c r="G7441">
        <f>(Cpi_[[#This Row],[Value]]-F7440)/F7440</f>
        <v>-0.16811279826464207</v>
      </c>
      <c r="H7441" t="e" cm="1" vm="1">
        <f t="array" aca="1" ref="H7441" ca="1">VLOOKUP(Cpi_[[#This Row],[Year]:[Month]],crudeoil[],3,FALSE)</f>
        <v>#VALUE!</v>
      </c>
    </row>
    <row r="7442" spans="1:8" hidden="1" x14ac:dyDescent="0.3">
      <c r="A7442" t="s">
        <v>34</v>
      </c>
      <c r="B7442">
        <v>2020</v>
      </c>
      <c r="C7442" t="s">
        <v>42</v>
      </c>
      <c r="D7442" t="s">
        <v>18</v>
      </c>
      <c r="E7442" t="e">
        <f>VLOOKUP(Cpi_[[#This Row],[Attribute]],#REF!,2,FALSE)</f>
        <v>#REF!</v>
      </c>
      <c r="F7442">
        <v>144.30000000000001</v>
      </c>
      <c r="G7442">
        <f>(Cpi_[[#This Row],[Value]]-F7441)/F7441</f>
        <v>-5.9322033898305045E-2</v>
      </c>
      <c r="H7442" t="e" cm="1" vm="1">
        <f t="array" aca="1" ref="H7442" ca="1">VLOOKUP(Cpi_[[#This Row],[Year]:[Month]],crudeoil[],3,FALSE)</f>
        <v>#VALUE!</v>
      </c>
    </row>
    <row r="7443" spans="1:8" hidden="1" x14ac:dyDescent="0.3">
      <c r="A7443" t="s">
        <v>34</v>
      </c>
      <c r="B7443">
        <v>2020</v>
      </c>
      <c r="C7443" t="s">
        <v>42</v>
      </c>
      <c r="D7443" t="s">
        <v>19</v>
      </c>
      <c r="E7443" t="e">
        <f>VLOOKUP(Cpi_[[#This Row],[Attribute]],#REF!,2,FALSE)</f>
        <v>#REF!</v>
      </c>
      <c r="F7443">
        <v>152</v>
      </c>
      <c r="G7443">
        <f>(Cpi_[[#This Row],[Value]]-F7442)/F7442</f>
        <v>5.3361053361053276E-2</v>
      </c>
      <c r="H7443" t="e" cm="1" vm="1">
        <f t="array" aca="1" ref="H7443" ca="1">VLOOKUP(Cpi_[[#This Row],[Year]:[Month]],crudeoil[],3,FALSE)</f>
        <v>#VALUE!</v>
      </c>
    </row>
    <row r="7444" spans="1:8" hidden="1" x14ac:dyDescent="0.3">
      <c r="A7444" t="s">
        <v>34</v>
      </c>
      <c r="B7444">
        <v>2020</v>
      </c>
      <c r="C7444" t="s">
        <v>42</v>
      </c>
      <c r="D7444" t="s">
        <v>20</v>
      </c>
      <c r="E7444" t="e">
        <f>VLOOKUP(Cpi_[[#This Row],[Attribute]],#REF!,2,FALSE)</f>
        <v>#REF!</v>
      </c>
      <c r="F7444">
        <v>156.30000000000001</v>
      </c>
      <c r="G7444">
        <f>(Cpi_[[#This Row],[Value]]-F7443)/F7443</f>
        <v>2.82894736842106E-2</v>
      </c>
      <c r="H7444" t="e" cm="1" vm="1">
        <f t="array" aca="1" ref="H7444" ca="1">VLOOKUP(Cpi_[[#This Row],[Year]:[Month]],crudeoil[],3,FALSE)</f>
        <v>#VALUE!</v>
      </c>
    </row>
    <row r="7445" spans="1:8" hidden="1" x14ac:dyDescent="0.3">
      <c r="A7445" t="s">
        <v>34</v>
      </c>
      <c r="B7445">
        <v>2020</v>
      </c>
      <c r="C7445" t="s">
        <v>42</v>
      </c>
      <c r="D7445" t="s">
        <v>21</v>
      </c>
      <c r="E7445" t="e">
        <f>VLOOKUP(Cpi_[[#This Row],[Attribute]],#REF!,2,FALSE)</f>
        <v>#REF!</v>
      </c>
      <c r="F7445">
        <v>142.9</v>
      </c>
      <c r="G7445">
        <f>(Cpi_[[#This Row],[Value]]-F7444)/F7444</f>
        <v>-8.573256557901475E-2</v>
      </c>
      <c r="H7445" t="e" cm="1" vm="1">
        <f t="array" aca="1" ref="H7445" ca="1">VLOOKUP(Cpi_[[#This Row],[Year]:[Month]],crudeoil[],3,FALSE)</f>
        <v>#VALUE!</v>
      </c>
    </row>
    <row r="7446" spans="1:8" hidden="1" x14ac:dyDescent="0.3">
      <c r="A7446" t="s">
        <v>34</v>
      </c>
      <c r="B7446">
        <v>2020</v>
      </c>
      <c r="C7446" t="s">
        <v>42</v>
      </c>
      <c r="D7446" t="s">
        <v>22</v>
      </c>
      <c r="E7446" t="e">
        <f>VLOOKUP(Cpi_[[#This Row],[Attribute]],#REF!,2,FALSE)</f>
        <v>#REF!</v>
      </c>
      <c r="F7446">
        <v>148.69999999999999</v>
      </c>
      <c r="G7446">
        <f>(Cpi_[[#This Row],[Value]]-F7445)/F7445</f>
        <v>4.0587823652904011E-2</v>
      </c>
      <c r="H7446" t="e" cm="1" vm="1">
        <f t="array" aca="1" ref="H7446" ca="1">VLOOKUP(Cpi_[[#This Row],[Year]:[Month]],crudeoil[],3,FALSE)</f>
        <v>#VALUE!</v>
      </c>
    </row>
    <row r="7447" spans="1:8" hidden="1" x14ac:dyDescent="0.3">
      <c r="A7447" t="s">
        <v>34</v>
      </c>
      <c r="B7447">
        <v>2020</v>
      </c>
      <c r="C7447" t="s">
        <v>42</v>
      </c>
      <c r="D7447" t="s">
        <v>23</v>
      </c>
      <c r="E7447" t="e">
        <f>VLOOKUP(Cpi_[[#This Row],[Attribute]],#REF!,2,FALSE)</f>
        <v>#REF!</v>
      </c>
      <c r="F7447">
        <v>155.6</v>
      </c>
      <c r="G7447">
        <f>(Cpi_[[#This Row],[Value]]-F7446)/F7446</f>
        <v>4.6402151983860163E-2</v>
      </c>
      <c r="H7447" t="e" cm="1" vm="1">
        <f t="array" aca="1" ref="H7447" ca="1">VLOOKUP(Cpi_[[#This Row],[Year]:[Month]],crudeoil[],3,FALSE)</f>
        <v>#VALUE!</v>
      </c>
    </row>
    <row r="7448" spans="1:8" hidden="1" x14ac:dyDescent="0.3">
      <c r="A7448" t="s">
        <v>34</v>
      </c>
      <c r="B7448">
        <v>2020</v>
      </c>
      <c r="C7448" t="s">
        <v>42</v>
      </c>
      <c r="D7448" t="s">
        <v>24</v>
      </c>
      <c r="E7448" t="e">
        <f>VLOOKUP(Cpi_[[#This Row],[Attribute]],#REF!,2,FALSE)</f>
        <v>#REF!</v>
      </c>
      <c r="F7448">
        <v>139.6</v>
      </c>
      <c r="G7448">
        <f>(Cpi_[[#This Row],[Value]]-F7447)/F7447</f>
        <v>-0.10282776349614396</v>
      </c>
      <c r="H7448" t="e" cm="1" vm="1">
        <f t="array" aca="1" ref="H7448" ca="1">VLOOKUP(Cpi_[[#This Row],[Year]:[Month]],crudeoil[],3,FALSE)</f>
        <v>#VALUE!</v>
      </c>
    </row>
    <row r="7449" spans="1:8" hidden="1" x14ac:dyDescent="0.3">
      <c r="A7449" t="s">
        <v>34</v>
      </c>
      <c r="B7449">
        <v>2020</v>
      </c>
      <c r="C7449" t="s">
        <v>42</v>
      </c>
      <c r="D7449" t="s">
        <v>25</v>
      </c>
      <c r="E7449" t="e">
        <f>VLOOKUP(Cpi_[[#This Row],[Attribute]],#REF!,2,FALSE)</f>
        <v>#REF!</v>
      </c>
      <c r="F7449">
        <v>146.6</v>
      </c>
      <c r="G7449">
        <f>(Cpi_[[#This Row],[Value]]-F7448)/F7448</f>
        <v>5.0143266475644703E-2</v>
      </c>
      <c r="H7449" t="e" cm="1" vm="1">
        <f t="array" aca="1" ref="H7449" ca="1">VLOOKUP(Cpi_[[#This Row],[Year]:[Month]],crudeoil[],3,FALSE)</f>
        <v>#VALUE!</v>
      </c>
    </row>
    <row r="7450" spans="1:8" hidden="1" x14ac:dyDescent="0.3">
      <c r="A7450" t="s">
        <v>34</v>
      </c>
      <c r="B7450">
        <v>2020</v>
      </c>
      <c r="C7450" t="s">
        <v>42</v>
      </c>
      <c r="D7450" t="s">
        <v>26</v>
      </c>
      <c r="E7450" t="e">
        <f>VLOOKUP(Cpi_[[#This Row],[Attribute]],#REF!,2,FALSE)</f>
        <v>#REF!</v>
      </c>
      <c r="F7450">
        <v>157.5</v>
      </c>
      <c r="G7450">
        <f>(Cpi_[[#This Row],[Value]]-F7449)/F7449</f>
        <v>7.4351978171896357E-2</v>
      </c>
      <c r="H7450" t="e" cm="1" vm="1">
        <f t="array" aca="1" ref="H7450" ca="1">VLOOKUP(Cpi_[[#This Row],[Year]:[Month]],crudeoil[],3,FALSE)</f>
        <v>#VALUE!</v>
      </c>
    </row>
    <row r="7451" spans="1:8" hidden="1" x14ac:dyDescent="0.3">
      <c r="A7451" t="s">
        <v>34</v>
      </c>
      <c r="B7451">
        <v>2020</v>
      </c>
      <c r="C7451" t="s">
        <v>42</v>
      </c>
      <c r="D7451" t="s">
        <v>27</v>
      </c>
      <c r="E7451" t="e">
        <f>VLOOKUP(Cpi_[[#This Row],[Attribute]],#REF!,2,FALSE)</f>
        <v>#REF!</v>
      </c>
      <c r="F7451">
        <v>158.4</v>
      </c>
      <c r="G7451">
        <f>(Cpi_[[#This Row],[Value]]-F7450)/F7450</f>
        <v>5.7142857142857507E-3</v>
      </c>
      <c r="H7451" t="e" cm="1" vm="1">
        <f t="array" aca="1" ref="H7451" ca="1">VLOOKUP(Cpi_[[#This Row],[Year]:[Month]],crudeoil[],3,FALSE)</f>
        <v>#VALUE!</v>
      </c>
    </row>
    <row r="7452" spans="1:8" hidden="1" x14ac:dyDescent="0.3">
      <c r="A7452" t="s">
        <v>34</v>
      </c>
      <c r="B7452">
        <v>2020</v>
      </c>
      <c r="C7452" t="s">
        <v>42</v>
      </c>
      <c r="D7452" t="s">
        <v>28</v>
      </c>
      <c r="E7452" t="e">
        <f>VLOOKUP(Cpi_[[#This Row],[Attribute]],#REF!,2,FALSE)</f>
        <v>#REF!</v>
      </c>
      <c r="F7452">
        <v>150</v>
      </c>
      <c r="G7452">
        <f>(Cpi_[[#This Row],[Value]]-F7451)/F7451</f>
        <v>-5.3030303030303066E-2</v>
      </c>
      <c r="H7452" t="e" cm="1" vm="1">
        <f t="array" aca="1" ref="H7452" ca="1">VLOOKUP(Cpi_[[#This Row],[Year]:[Month]],crudeoil[],3,FALSE)</f>
        <v>#VALUE!</v>
      </c>
    </row>
    <row r="7453" spans="1:8" hidden="1" x14ac:dyDescent="0.3">
      <c r="A7453" t="s">
        <v>34</v>
      </c>
      <c r="B7453">
        <v>2020</v>
      </c>
      <c r="C7453" t="s">
        <v>42</v>
      </c>
      <c r="D7453" t="s">
        <v>29</v>
      </c>
      <c r="E7453" t="e" cm="1">
        <f t="array" aca="1" ref="E7453" ca="1">VLGeneral indexGeneral indexKUP(Cpi_[[#This Row],[Attribute]],#REF!,2,FALSE)</f>
        <v>#NAME?</v>
      </c>
      <c r="F7453">
        <v>154.69999999999999</v>
      </c>
      <c r="G7453">
        <f>(Cpi_[[#This Row],[Value]]-F7452)/F7452</f>
        <v>3.1333333333333255E-2</v>
      </c>
      <c r="H7453" t="e" cm="1" vm="1">
        <f t="array" aca="1" ref="H7453" ca="1">VLOOKUP(Cpi_[[#This Row],[Year]:[Month]],crudeoil[],3,FALSE)</f>
        <v>#VALUE!</v>
      </c>
    </row>
    <row r="7454" spans="1:8" hidden="1" x14ac:dyDescent="0.3">
      <c r="A7454" t="s">
        <v>30</v>
      </c>
      <c r="B7454">
        <v>2020</v>
      </c>
      <c r="C7454" t="s">
        <v>43</v>
      </c>
      <c r="D7454" t="s">
        <v>3</v>
      </c>
      <c r="E7454" t="e">
        <f>VLOOKUP(Cpi_[[#This Row],[Attribute]],#REF!,2,FALSE)</f>
        <v>#REF!</v>
      </c>
      <c r="F7454">
        <v>146</v>
      </c>
      <c r="G7454">
        <f>(Cpi_[[#This Row],[Value]]-F7453)/F7453</f>
        <v>-5.6237879767291464E-2</v>
      </c>
      <c r="H7454" t="e" cm="1" vm="1">
        <f t="array" aca="1" ref="H7454" ca="1">VLOOKUP(Cpi_[[#This Row],[Year]:[Month]],crudeoil[],3,FALSE)</f>
        <v>#VALUE!</v>
      </c>
    </row>
    <row r="7455" spans="1:8" hidden="1" x14ac:dyDescent="0.3">
      <c r="A7455" t="s">
        <v>30</v>
      </c>
      <c r="B7455">
        <v>2020</v>
      </c>
      <c r="C7455" t="s">
        <v>43</v>
      </c>
      <c r="D7455" t="s">
        <v>4</v>
      </c>
      <c r="E7455" t="e">
        <f>VLOOKUP(Cpi_[[#This Row],[Attribute]],#REF!,2,FALSE)</f>
        <v>#REF!</v>
      </c>
      <c r="F7455">
        <v>186.3</v>
      </c>
      <c r="G7455">
        <f>(Cpi_[[#This Row],[Value]]-F7454)/F7454</f>
        <v>0.27602739726027403</v>
      </c>
      <c r="H7455" t="e" cm="1" vm="1">
        <f t="array" aca="1" ref="H7455" ca="1">VLOOKUP(Cpi_[[#This Row],[Year]:[Month]],crudeoil[],3,FALSE)</f>
        <v>#VALUE!</v>
      </c>
    </row>
    <row r="7456" spans="1:8" hidden="1" x14ac:dyDescent="0.3">
      <c r="A7456" t="s">
        <v>30</v>
      </c>
      <c r="B7456">
        <v>2020</v>
      </c>
      <c r="C7456" t="s">
        <v>43</v>
      </c>
      <c r="D7456" t="s">
        <v>5</v>
      </c>
      <c r="E7456" t="e">
        <f>VLOOKUP(Cpi_[[#This Row],[Attribute]],#REF!,2,FALSE)</f>
        <v>#REF!</v>
      </c>
      <c r="F7456">
        <v>159.19999999999999</v>
      </c>
      <c r="G7456">
        <f>(Cpi_[[#This Row],[Value]]-F7455)/F7455</f>
        <v>-0.14546430488459486</v>
      </c>
      <c r="H7456" t="e" cm="1" vm="1">
        <f t="array" aca="1" ref="H7456" ca="1">VLOOKUP(Cpi_[[#This Row],[Year]:[Month]],crudeoil[],3,FALSE)</f>
        <v>#VALUE!</v>
      </c>
    </row>
    <row r="7457" spans="1:8" hidden="1" x14ac:dyDescent="0.3">
      <c r="A7457" t="s">
        <v>30</v>
      </c>
      <c r="B7457">
        <v>2020</v>
      </c>
      <c r="C7457" t="s">
        <v>43</v>
      </c>
      <c r="D7457" t="s">
        <v>6</v>
      </c>
      <c r="E7457" t="e">
        <f>VLOOKUP(Cpi_[[#This Row],[Attribute]],#REF!,2,FALSE)</f>
        <v>#REF!</v>
      </c>
      <c r="F7457">
        <v>153.6</v>
      </c>
      <c r="G7457">
        <f>(Cpi_[[#This Row],[Value]]-F7456)/F7456</f>
        <v>-3.517587939698489E-2</v>
      </c>
      <c r="H7457" t="e" cm="1" vm="1">
        <f t="array" aca="1" ref="H7457" ca="1">VLOOKUP(Cpi_[[#This Row],[Year]:[Month]],crudeoil[],3,FALSE)</f>
        <v>#VALUE!</v>
      </c>
    </row>
    <row r="7458" spans="1:8" hidden="1" x14ac:dyDescent="0.3">
      <c r="A7458" t="s">
        <v>30</v>
      </c>
      <c r="B7458">
        <v>2020</v>
      </c>
      <c r="C7458" t="s">
        <v>43</v>
      </c>
      <c r="D7458" t="s">
        <v>7</v>
      </c>
      <c r="E7458" t="e">
        <f>VLOOKUP(Cpi_[[#This Row],[Attribute]],#REF!,2,FALSE)</f>
        <v>#REF!</v>
      </c>
      <c r="F7458">
        <v>142.6</v>
      </c>
      <c r="G7458">
        <f>(Cpi_[[#This Row],[Value]]-F7457)/F7457</f>
        <v>-7.1614583333333343E-2</v>
      </c>
      <c r="H7458" t="e" cm="1" vm="1">
        <f t="array" aca="1" ref="H7458" ca="1">VLOOKUP(Cpi_[[#This Row],[Year]:[Month]],crudeoil[],3,FALSE)</f>
        <v>#VALUE!</v>
      </c>
    </row>
    <row r="7459" spans="1:8" hidden="1" x14ac:dyDescent="0.3">
      <c r="A7459" t="s">
        <v>30</v>
      </c>
      <c r="B7459">
        <v>2020</v>
      </c>
      <c r="C7459" t="s">
        <v>43</v>
      </c>
      <c r="D7459" t="s">
        <v>8</v>
      </c>
      <c r="E7459" t="e">
        <f>VLOOKUP(Cpi_[[#This Row],[Attribute]],#REF!,2,FALSE)</f>
        <v>#REF!</v>
      </c>
      <c r="F7459">
        <v>147.19999999999999</v>
      </c>
      <c r="G7459">
        <f>(Cpi_[[#This Row],[Value]]-F7458)/F7458</f>
        <v>3.2258064516128997E-2</v>
      </c>
      <c r="H7459" t="e" cm="1" vm="1">
        <f t="array" aca="1" ref="H7459" ca="1">VLOOKUP(Cpi_[[#This Row],[Year]:[Month]],crudeoil[],3,FALSE)</f>
        <v>#VALUE!</v>
      </c>
    </row>
    <row r="7460" spans="1:8" hidden="1" x14ac:dyDescent="0.3">
      <c r="A7460" t="s">
        <v>30</v>
      </c>
      <c r="B7460">
        <v>2020</v>
      </c>
      <c r="C7460" t="s">
        <v>43</v>
      </c>
      <c r="D7460" t="s">
        <v>9</v>
      </c>
      <c r="E7460" t="e">
        <f>VLOOKUP(Cpi_[[#This Row],[Attribute]],#REF!,2,FALSE)</f>
        <v>#REF!</v>
      </c>
      <c r="F7460">
        <v>200.6</v>
      </c>
      <c r="G7460">
        <f>(Cpi_[[#This Row],[Value]]-F7459)/F7459</f>
        <v>0.36277173913043487</v>
      </c>
      <c r="H7460" t="e" cm="1" vm="1">
        <f t="array" aca="1" ref="H7460" ca="1">VLOOKUP(Cpi_[[#This Row],[Year]:[Month]],crudeoil[],3,FALSE)</f>
        <v>#VALUE!</v>
      </c>
    </row>
    <row r="7461" spans="1:8" hidden="1" x14ac:dyDescent="0.3">
      <c r="A7461" t="s">
        <v>30</v>
      </c>
      <c r="B7461">
        <v>2020</v>
      </c>
      <c r="C7461" t="s">
        <v>43</v>
      </c>
      <c r="D7461" t="s">
        <v>10</v>
      </c>
      <c r="E7461" t="e">
        <f>VLOOKUP(Cpi_[[#This Row],[Attribute]],#REF!,2,FALSE)</f>
        <v>#REF!</v>
      </c>
      <c r="F7461">
        <v>150.30000000000001</v>
      </c>
      <c r="G7461">
        <f>(Cpi_[[#This Row],[Value]]-F7460)/F7460</f>
        <v>-0.25074775672981048</v>
      </c>
      <c r="H7461" t="e" cm="1" vm="1">
        <f t="array" aca="1" ref="H7461" ca="1">VLOOKUP(Cpi_[[#This Row],[Year]:[Month]],crudeoil[],3,FALSE)</f>
        <v>#VALUE!</v>
      </c>
    </row>
    <row r="7462" spans="1:8" hidden="1" x14ac:dyDescent="0.3">
      <c r="A7462" t="s">
        <v>30</v>
      </c>
      <c r="B7462">
        <v>2020</v>
      </c>
      <c r="C7462" t="s">
        <v>43</v>
      </c>
      <c r="D7462" t="s">
        <v>11</v>
      </c>
      <c r="E7462" t="e">
        <f>VLOOKUP(Cpi_[[#This Row],[Attribute]],#REF!,2,FALSE)</f>
        <v>#REF!</v>
      </c>
      <c r="F7462">
        <v>115.3</v>
      </c>
      <c r="G7462">
        <f>(Cpi_[[#This Row],[Value]]-F7461)/F7461</f>
        <v>-0.23286759813705929</v>
      </c>
      <c r="H7462" t="e" cm="1" vm="1">
        <f t="array" aca="1" ref="H7462" ca="1">VLOOKUP(Cpi_[[#This Row],[Year]:[Month]],crudeoil[],3,FALSE)</f>
        <v>#VALUE!</v>
      </c>
    </row>
    <row r="7463" spans="1:8" hidden="1" x14ac:dyDescent="0.3">
      <c r="A7463" t="s">
        <v>30</v>
      </c>
      <c r="B7463">
        <v>2020</v>
      </c>
      <c r="C7463" t="s">
        <v>43</v>
      </c>
      <c r="D7463" t="s">
        <v>12</v>
      </c>
      <c r="E7463" t="e">
        <f>VLOOKUP(Cpi_[[#This Row],[Attribute]],#REF!,2,FALSE)</f>
        <v>#REF!</v>
      </c>
      <c r="F7463">
        <v>160.9</v>
      </c>
      <c r="G7463">
        <f>(Cpi_[[#This Row],[Value]]-F7462)/F7462</f>
        <v>0.39549002601908073</v>
      </c>
      <c r="H7463" t="e" cm="1" vm="1">
        <f t="array" aca="1" ref="H7463" ca="1">VLOOKUP(Cpi_[[#This Row],[Year]:[Month]],crudeoil[],3,FALSE)</f>
        <v>#VALUE!</v>
      </c>
    </row>
    <row r="7464" spans="1:8" hidden="1" x14ac:dyDescent="0.3">
      <c r="A7464" t="s">
        <v>30</v>
      </c>
      <c r="B7464">
        <v>2020</v>
      </c>
      <c r="C7464" t="s">
        <v>43</v>
      </c>
      <c r="D7464" t="s">
        <v>13</v>
      </c>
      <c r="E7464" t="e">
        <f>VLOOKUP(Cpi_[[#This Row],[Attribute]],#REF!,2,FALSE)</f>
        <v>#REF!</v>
      </c>
      <c r="F7464">
        <v>147.4</v>
      </c>
      <c r="G7464">
        <f>(Cpi_[[#This Row],[Value]]-F7463)/F7463</f>
        <v>-8.3903045369794899E-2</v>
      </c>
      <c r="H7464" t="e" cm="1" vm="1">
        <f t="array" aca="1" ref="H7464" ca="1">VLOOKUP(Cpi_[[#This Row],[Year]:[Month]],crudeoil[],3,FALSE)</f>
        <v>#VALUE!</v>
      </c>
    </row>
    <row r="7465" spans="1:8" hidden="1" x14ac:dyDescent="0.3">
      <c r="A7465" t="s">
        <v>30</v>
      </c>
      <c r="B7465">
        <v>2020</v>
      </c>
      <c r="C7465" t="s">
        <v>43</v>
      </c>
      <c r="D7465" t="s">
        <v>14</v>
      </c>
      <c r="E7465" t="e">
        <f>VLOOKUP(Cpi_[[#This Row],[Attribute]],#REF!,2,FALSE)</f>
        <v>#REF!</v>
      </c>
      <c r="F7465">
        <v>161.9</v>
      </c>
      <c r="G7465">
        <f>(Cpi_[[#This Row],[Value]]-F7464)/F7464</f>
        <v>9.8371777476255085E-2</v>
      </c>
      <c r="H7465" t="e" cm="1" vm="1">
        <f t="array" aca="1" ref="H7465" ca="1">VLOOKUP(Cpi_[[#This Row],[Year]:[Month]],crudeoil[],3,FALSE)</f>
        <v>#VALUE!</v>
      </c>
    </row>
    <row r="7466" spans="1:8" hidden="1" x14ac:dyDescent="0.3">
      <c r="A7466" t="s">
        <v>30</v>
      </c>
      <c r="B7466">
        <v>2020</v>
      </c>
      <c r="C7466" t="s">
        <v>43</v>
      </c>
      <c r="D7466" t="s">
        <v>15</v>
      </c>
      <c r="E7466" t="e">
        <f>VLOOKUP(Cpi_[[#This Row],[Attribute]],#REF!,2,FALSE)</f>
        <v>#REF!</v>
      </c>
      <c r="F7466">
        <v>159.6</v>
      </c>
      <c r="G7466">
        <f>(Cpi_[[#This Row],[Value]]-F7465)/F7465</f>
        <v>-1.4206300185299637E-2</v>
      </c>
      <c r="H7466" t="e" cm="1" vm="1">
        <f t="array" aca="1" ref="H7466" ca="1">VLOOKUP(Cpi_[[#This Row],[Year]:[Month]],crudeoil[],3,FALSE)</f>
        <v>#VALUE!</v>
      </c>
    </row>
    <row r="7467" spans="1:8" hidden="1" x14ac:dyDescent="0.3">
      <c r="A7467" t="s">
        <v>30</v>
      </c>
      <c r="B7467">
        <v>2020</v>
      </c>
      <c r="C7467" t="s">
        <v>43</v>
      </c>
      <c r="D7467" t="s">
        <v>16</v>
      </c>
      <c r="E7467" t="e">
        <f>VLOOKUP(Cpi_[[#This Row],[Attribute]],#REF!,2,FALSE)</f>
        <v>#REF!</v>
      </c>
      <c r="F7467">
        <v>182.7</v>
      </c>
      <c r="G7467">
        <f>(Cpi_[[#This Row],[Value]]-F7466)/F7466</f>
        <v>0.14473684210526314</v>
      </c>
      <c r="H7467" t="e" cm="1" vm="1">
        <f t="array" aca="1" ref="H7467" ca="1">VLOOKUP(Cpi_[[#This Row],[Year]:[Month]],crudeoil[],3,FALSE)</f>
        <v>#VALUE!</v>
      </c>
    </row>
    <row r="7468" spans="1:8" hidden="1" x14ac:dyDescent="0.3">
      <c r="A7468" t="s">
        <v>30</v>
      </c>
      <c r="B7468">
        <v>2020</v>
      </c>
      <c r="C7468" t="s">
        <v>43</v>
      </c>
      <c r="D7468" t="s">
        <v>17</v>
      </c>
      <c r="E7468" t="e">
        <f>VLOOKUP(Cpi_[[#This Row],[Attribute]],#REF!,2,FALSE)</f>
        <v>#REF!</v>
      </c>
      <c r="F7468">
        <v>155.69999999999999</v>
      </c>
      <c r="G7468">
        <f>(Cpi_[[#This Row],[Value]]-F7467)/F7467</f>
        <v>-0.14778325123152711</v>
      </c>
      <c r="H7468" t="e" cm="1" vm="1">
        <f t="array" aca="1" ref="H7468" ca="1">VLOOKUP(Cpi_[[#This Row],[Year]:[Month]],crudeoil[],3,FALSE)</f>
        <v>#VALUE!</v>
      </c>
    </row>
    <row r="7469" spans="1:8" hidden="1" x14ac:dyDescent="0.3">
      <c r="A7469" t="s">
        <v>30</v>
      </c>
      <c r="B7469">
        <v>2020</v>
      </c>
      <c r="C7469" t="s">
        <v>43</v>
      </c>
      <c r="D7469" t="s">
        <v>18</v>
      </c>
      <c r="E7469" t="e">
        <f>VLOOKUP(Cpi_[[#This Row],[Attribute]],#REF!,2,FALSE)</f>
        <v>#REF!</v>
      </c>
      <c r="F7469">
        <v>150.6</v>
      </c>
      <c r="G7469">
        <f>(Cpi_[[#This Row],[Value]]-F7468)/F7468</f>
        <v>-3.2755298651252374E-2</v>
      </c>
      <c r="H7469" t="e" cm="1" vm="1">
        <f t="array" aca="1" ref="H7469" ca="1">VLOOKUP(Cpi_[[#This Row],[Year]:[Month]],crudeoil[],3,FALSE)</f>
        <v>#VALUE!</v>
      </c>
    </row>
    <row r="7470" spans="1:8" hidden="1" x14ac:dyDescent="0.3">
      <c r="A7470" t="s">
        <v>30</v>
      </c>
      <c r="B7470">
        <v>2020</v>
      </c>
      <c r="C7470" t="s">
        <v>43</v>
      </c>
      <c r="D7470" t="s">
        <v>19</v>
      </c>
      <c r="E7470" t="e">
        <f>VLOOKUP(Cpi_[[#This Row],[Attribute]],#REF!,2,FALSE)</f>
        <v>#REF!</v>
      </c>
      <c r="F7470">
        <v>155</v>
      </c>
      <c r="G7470">
        <f>(Cpi_[[#This Row],[Value]]-F7469)/F7469</f>
        <v>2.9216467463479456E-2</v>
      </c>
      <c r="H7470" t="e" cm="1" vm="1">
        <f t="array" aca="1" ref="H7470" ca="1">VLOOKUP(Cpi_[[#This Row],[Year]:[Month]],crudeoil[],3,FALSE)</f>
        <v>#VALUE!</v>
      </c>
    </row>
    <row r="7471" spans="1:8" hidden="1" x14ac:dyDescent="0.3">
      <c r="A7471" t="s">
        <v>30</v>
      </c>
      <c r="B7471">
        <v>2020</v>
      </c>
      <c r="C7471" t="s">
        <v>43</v>
      </c>
      <c r="D7471" t="s">
        <v>20</v>
      </c>
      <c r="E7471" t="e">
        <f>VLOOKUP(Cpi_[[#This Row],[Attribute]],#REF!,2,FALSE)</f>
        <v>#REF!</v>
      </c>
      <c r="F7471" t="s">
        <v>32</v>
      </c>
      <c r="G7471" t="e">
        <f>(Cpi_[[#This Row],[Value]]-F7470)/F7470</f>
        <v>#VALUE!</v>
      </c>
      <c r="H7471" t="e" cm="1" vm="1">
        <f t="array" aca="1" ref="H7471" ca="1">VLOOKUP(Cpi_[[#This Row],[Year]:[Month]],crudeoil[],3,FALSE)</f>
        <v>#VALUE!</v>
      </c>
    </row>
    <row r="7472" spans="1:8" hidden="1" x14ac:dyDescent="0.3">
      <c r="A7472" t="s">
        <v>30</v>
      </c>
      <c r="B7472">
        <v>2020</v>
      </c>
      <c r="C7472" t="s">
        <v>43</v>
      </c>
      <c r="D7472" t="s">
        <v>21</v>
      </c>
      <c r="E7472" t="e">
        <f>VLOOKUP(Cpi_[[#This Row],[Attribute]],#REF!,2,FALSE)</f>
        <v>#REF!</v>
      </c>
      <c r="F7472">
        <v>146.80000000000001</v>
      </c>
      <c r="G7472" t="e">
        <f>(Cpi_[[#This Row],[Value]]-F7471)/F7471</f>
        <v>#VALUE!</v>
      </c>
      <c r="H7472" t="e" cm="1" vm="1">
        <f t="array" aca="1" ref="H7472" ca="1">VLOOKUP(Cpi_[[#This Row],[Year]:[Month]],crudeoil[],3,FALSE)</f>
        <v>#VALUE!</v>
      </c>
    </row>
    <row r="7473" spans="1:8" hidden="1" x14ac:dyDescent="0.3">
      <c r="A7473" t="s">
        <v>30</v>
      </c>
      <c r="B7473">
        <v>2020</v>
      </c>
      <c r="C7473" t="s">
        <v>43</v>
      </c>
      <c r="D7473" t="s">
        <v>22</v>
      </c>
      <c r="E7473" t="e">
        <f>VLOOKUP(Cpi_[[#This Row],[Attribute]],#REF!,2,FALSE)</f>
        <v>#REF!</v>
      </c>
      <c r="F7473">
        <v>152</v>
      </c>
      <c r="G7473">
        <f>(Cpi_[[#This Row],[Value]]-F7472)/F7472</f>
        <v>3.5422343324250601E-2</v>
      </c>
      <c r="H7473" t="e" cm="1" vm="1">
        <f t="array" aca="1" ref="H7473" ca="1">VLOOKUP(Cpi_[[#This Row],[Year]:[Month]],crudeoil[],3,FALSE)</f>
        <v>#VALUE!</v>
      </c>
    </row>
    <row r="7474" spans="1:8" hidden="1" x14ac:dyDescent="0.3">
      <c r="A7474" t="s">
        <v>30</v>
      </c>
      <c r="B7474">
        <v>2020</v>
      </c>
      <c r="C7474" t="s">
        <v>43</v>
      </c>
      <c r="D7474" t="s">
        <v>23</v>
      </c>
      <c r="E7474" t="e">
        <f>VLOOKUP(Cpi_[[#This Row],[Attribute]],#REF!,2,FALSE)</f>
        <v>#REF!</v>
      </c>
      <c r="F7474">
        <v>159.5</v>
      </c>
      <c r="G7474">
        <f>(Cpi_[[#This Row],[Value]]-F7473)/F7473</f>
        <v>4.9342105263157895E-2</v>
      </c>
      <c r="H7474" t="e" cm="1" vm="1">
        <f t="array" aca="1" ref="H7474" ca="1">VLOOKUP(Cpi_[[#This Row],[Year]:[Month]],crudeoil[],3,FALSE)</f>
        <v>#VALUE!</v>
      </c>
    </row>
    <row r="7475" spans="1:8" hidden="1" x14ac:dyDescent="0.3">
      <c r="A7475" t="s">
        <v>30</v>
      </c>
      <c r="B7475">
        <v>2020</v>
      </c>
      <c r="C7475" t="s">
        <v>43</v>
      </c>
      <c r="D7475" t="s">
        <v>24</v>
      </c>
      <c r="E7475" t="e">
        <f>VLOOKUP(Cpi_[[#This Row],[Attribute]],#REF!,2,FALSE)</f>
        <v>#REF!</v>
      </c>
      <c r="F7475">
        <v>146.4</v>
      </c>
      <c r="G7475">
        <f>(Cpi_[[#This Row],[Value]]-F7474)/F7474</f>
        <v>-8.2131661442006232E-2</v>
      </c>
      <c r="H7475" t="e" cm="1" vm="1">
        <f t="array" aca="1" ref="H7475" ca="1">VLOOKUP(Cpi_[[#This Row],[Year]:[Month]],crudeoil[],3,FALSE)</f>
        <v>#VALUE!</v>
      </c>
    </row>
    <row r="7476" spans="1:8" hidden="1" x14ac:dyDescent="0.3">
      <c r="A7476" t="s">
        <v>30</v>
      </c>
      <c r="B7476">
        <v>2020</v>
      </c>
      <c r="C7476" t="s">
        <v>43</v>
      </c>
      <c r="D7476" t="s">
        <v>25</v>
      </c>
      <c r="E7476" t="e">
        <f>VLOOKUP(Cpi_[[#This Row],[Attribute]],#REF!,2,FALSE)</f>
        <v>#REF!</v>
      </c>
      <c r="F7476">
        <v>152.4</v>
      </c>
      <c r="G7476">
        <f>(Cpi_[[#This Row],[Value]]-F7475)/F7475</f>
        <v>4.0983606557377046E-2</v>
      </c>
      <c r="H7476" t="e" cm="1" vm="1">
        <f t="array" aca="1" ref="H7476" ca="1">VLOOKUP(Cpi_[[#This Row],[Year]:[Month]],crudeoil[],3,FALSE)</f>
        <v>#VALUE!</v>
      </c>
    </row>
    <row r="7477" spans="1:8" hidden="1" x14ac:dyDescent="0.3">
      <c r="A7477" t="s">
        <v>30</v>
      </c>
      <c r="B7477">
        <v>2020</v>
      </c>
      <c r="C7477" t="s">
        <v>43</v>
      </c>
      <c r="D7477" t="s">
        <v>26</v>
      </c>
      <c r="E7477" t="e">
        <f>VLOOKUP(Cpi_[[#This Row],[Attribute]],#REF!,2,FALSE)</f>
        <v>#REF!</v>
      </c>
      <c r="F7477">
        <v>162.5</v>
      </c>
      <c r="G7477">
        <f>(Cpi_[[#This Row],[Value]]-F7476)/F7476</f>
        <v>6.6272965879265053E-2</v>
      </c>
      <c r="H7477" t="e" cm="1" vm="1">
        <f t="array" aca="1" ref="H7477" ca="1">VLOOKUP(Cpi_[[#This Row],[Year]:[Month]],crudeoil[],3,FALSE)</f>
        <v>#VALUE!</v>
      </c>
    </row>
    <row r="7478" spans="1:8" hidden="1" x14ac:dyDescent="0.3">
      <c r="A7478" t="s">
        <v>30</v>
      </c>
      <c r="B7478">
        <v>2020</v>
      </c>
      <c r="C7478" t="s">
        <v>43</v>
      </c>
      <c r="D7478" t="s">
        <v>27</v>
      </c>
      <c r="E7478" t="e">
        <f>VLOOKUP(Cpi_[[#This Row],[Attribute]],#REF!,2,FALSE)</f>
        <v>#REF!</v>
      </c>
      <c r="F7478">
        <v>156.19999999999999</v>
      </c>
      <c r="G7478">
        <f>(Cpi_[[#This Row],[Value]]-F7477)/F7477</f>
        <v>-3.876923076923084E-2</v>
      </c>
      <c r="H7478" t="e" cm="1" vm="1">
        <f t="array" aca="1" ref="H7478" ca="1">VLOOKUP(Cpi_[[#This Row],[Year]:[Month]],crudeoil[],3,FALSE)</f>
        <v>#VALUE!</v>
      </c>
    </row>
    <row r="7479" spans="1:8" hidden="1" x14ac:dyDescent="0.3">
      <c r="A7479" t="s">
        <v>30</v>
      </c>
      <c r="B7479">
        <v>2020</v>
      </c>
      <c r="C7479" t="s">
        <v>43</v>
      </c>
      <c r="D7479" t="s">
        <v>28</v>
      </c>
      <c r="E7479" t="e">
        <f>VLOOKUP(Cpi_[[#This Row],[Attribute]],#REF!,2,FALSE)</f>
        <v>#REF!</v>
      </c>
      <c r="F7479">
        <v>154.30000000000001</v>
      </c>
      <c r="G7479">
        <f>(Cpi_[[#This Row],[Value]]-F7478)/F7478</f>
        <v>-1.2163892445582442E-2</v>
      </c>
      <c r="H7479" t="e" cm="1" vm="1">
        <f t="array" aca="1" ref="H7479" ca="1">VLOOKUP(Cpi_[[#This Row],[Year]:[Month]],crudeoil[],3,FALSE)</f>
        <v>#VALUE!</v>
      </c>
    </row>
    <row r="7480" spans="1:8" hidden="1" x14ac:dyDescent="0.3">
      <c r="A7480" t="s">
        <v>30</v>
      </c>
      <c r="B7480">
        <v>2020</v>
      </c>
      <c r="C7480" t="s">
        <v>43</v>
      </c>
      <c r="D7480" t="s">
        <v>29</v>
      </c>
      <c r="E7480" t="e" cm="1">
        <f t="array" aca="1" ref="E7480" ca="1">VLGeneral indexGeneral indexKUP(Cpi_[[#This Row],[Attribute]],#REF!,2,FALSE)</f>
        <v>#NAME?</v>
      </c>
      <c r="F7480">
        <v>157.5</v>
      </c>
      <c r="G7480">
        <f>(Cpi_[[#This Row],[Value]]-F7479)/F7479</f>
        <v>2.0738820479585147E-2</v>
      </c>
      <c r="H7480" t="e" cm="1" vm="1">
        <f t="array" aca="1" ref="H7480" ca="1">VLOOKUP(Cpi_[[#This Row],[Year]:[Month]],crudeoil[],3,FALSE)</f>
        <v>#VALUE!</v>
      </c>
    </row>
    <row r="7481" spans="1:8" hidden="1" x14ac:dyDescent="0.3">
      <c r="A7481" t="s">
        <v>33</v>
      </c>
      <c r="B7481">
        <v>2020</v>
      </c>
      <c r="C7481" t="s">
        <v>43</v>
      </c>
      <c r="D7481" t="s">
        <v>3</v>
      </c>
      <c r="E7481" t="e">
        <f>VLOOKUP(Cpi_[[#This Row],[Attribute]],#REF!,2,FALSE)</f>
        <v>#REF!</v>
      </c>
      <c r="F7481">
        <v>150.6</v>
      </c>
      <c r="G7481">
        <f>(Cpi_[[#This Row],[Value]]-F7480)/F7480</f>
        <v>-4.3809523809523847E-2</v>
      </c>
      <c r="H7481" t="e" cm="1" vm="1">
        <f t="array" aca="1" ref="H7481" ca="1">VLOOKUP(Cpi_[[#This Row],[Year]:[Month]],crudeoil[],3,FALSE)</f>
        <v>#VALUE!</v>
      </c>
    </row>
    <row r="7482" spans="1:8" hidden="1" x14ac:dyDescent="0.3">
      <c r="A7482" t="s">
        <v>33</v>
      </c>
      <c r="B7482">
        <v>2020</v>
      </c>
      <c r="C7482" t="s">
        <v>43</v>
      </c>
      <c r="D7482" t="s">
        <v>4</v>
      </c>
      <c r="E7482" t="e">
        <f>VLOOKUP(Cpi_[[#This Row],[Attribute]],#REF!,2,FALSE)</f>
        <v>#REF!</v>
      </c>
      <c r="F7482">
        <v>193.7</v>
      </c>
      <c r="G7482">
        <f>(Cpi_[[#This Row],[Value]]-F7481)/F7481</f>
        <v>0.28618857901726424</v>
      </c>
      <c r="H7482" t="e" cm="1" vm="1">
        <f t="array" aca="1" ref="H7482" ca="1">VLOOKUP(Cpi_[[#This Row],[Year]:[Month]],crudeoil[],3,FALSE)</f>
        <v>#VALUE!</v>
      </c>
    </row>
    <row r="7483" spans="1:8" hidden="1" x14ac:dyDescent="0.3">
      <c r="A7483" t="s">
        <v>33</v>
      </c>
      <c r="B7483">
        <v>2020</v>
      </c>
      <c r="C7483" t="s">
        <v>43</v>
      </c>
      <c r="D7483" t="s">
        <v>5</v>
      </c>
      <c r="E7483" t="e">
        <f>VLOOKUP(Cpi_[[#This Row],[Attribute]],#REF!,2,FALSE)</f>
        <v>#REF!</v>
      </c>
      <c r="F7483">
        <v>164.8</v>
      </c>
      <c r="G7483">
        <f>(Cpi_[[#This Row],[Value]]-F7482)/F7482</f>
        <v>-0.14919979349509541</v>
      </c>
      <c r="H7483" t="e" cm="1" vm="1">
        <f t="array" aca="1" ref="H7483" ca="1">VLOOKUP(Cpi_[[#This Row],[Year]:[Month]],crudeoil[],3,FALSE)</f>
        <v>#VALUE!</v>
      </c>
    </row>
    <row r="7484" spans="1:8" hidden="1" x14ac:dyDescent="0.3">
      <c r="A7484" t="s">
        <v>33</v>
      </c>
      <c r="B7484">
        <v>2020</v>
      </c>
      <c r="C7484" t="s">
        <v>43</v>
      </c>
      <c r="D7484" t="s">
        <v>6</v>
      </c>
      <c r="E7484" t="e">
        <f>VLOOKUP(Cpi_[[#This Row],[Attribute]],#REF!,2,FALSE)</f>
        <v>#REF!</v>
      </c>
      <c r="F7484">
        <v>153.69999999999999</v>
      </c>
      <c r="G7484">
        <f>(Cpi_[[#This Row],[Value]]-F7483)/F7483</f>
        <v>-6.7354368932038972E-2</v>
      </c>
      <c r="H7484" t="e" cm="1" vm="1">
        <f t="array" aca="1" ref="H7484" ca="1">VLOOKUP(Cpi_[[#This Row],[Year]:[Month]],crudeoil[],3,FALSE)</f>
        <v>#VALUE!</v>
      </c>
    </row>
    <row r="7485" spans="1:8" hidden="1" x14ac:dyDescent="0.3">
      <c r="A7485" t="s">
        <v>33</v>
      </c>
      <c r="B7485">
        <v>2020</v>
      </c>
      <c r="C7485" t="s">
        <v>43</v>
      </c>
      <c r="D7485" t="s">
        <v>7</v>
      </c>
      <c r="E7485" t="e">
        <f>VLOOKUP(Cpi_[[#This Row],[Attribute]],#REF!,2,FALSE)</f>
        <v>#REF!</v>
      </c>
      <c r="F7485">
        <v>135.69999999999999</v>
      </c>
      <c r="G7485">
        <f>(Cpi_[[#This Row],[Value]]-F7484)/F7484</f>
        <v>-0.11711125569290827</v>
      </c>
      <c r="H7485" t="e" cm="1" vm="1">
        <f t="array" aca="1" ref="H7485" ca="1">VLOOKUP(Cpi_[[#This Row],[Year]:[Month]],crudeoil[],3,FALSE)</f>
        <v>#VALUE!</v>
      </c>
    </row>
    <row r="7486" spans="1:8" hidden="1" x14ac:dyDescent="0.3">
      <c r="A7486" t="s">
        <v>33</v>
      </c>
      <c r="B7486">
        <v>2020</v>
      </c>
      <c r="C7486" t="s">
        <v>43</v>
      </c>
      <c r="D7486" t="s">
        <v>8</v>
      </c>
      <c r="E7486" t="e">
        <f>VLOOKUP(Cpi_[[#This Row],[Attribute]],#REF!,2,FALSE)</f>
        <v>#REF!</v>
      </c>
      <c r="F7486">
        <v>155.69999999999999</v>
      </c>
      <c r="G7486">
        <f>(Cpi_[[#This Row],[Value]]-F7485)/F7485</f>
        <v>0.14738393515106854</v>
      </c>
      <c r="H7486" t="e" cm="1" vm="1">
        <f t="array" aca="1" ref="H7486" ca="1">VLOOKUP(Cpi_[[#This Row],[Year]:[Month]],crudeoil[],3,FALSE)</f>
        <v>#VALUE!</v>
      </c>
    </row>
    <row r="7487" spans="1:8" hidden="1" x14ac:dyDescent="0.3">
      <c r="A7487" t="s">
        <v>33</v>
      </c>
      <c r="B7487">
        <v>2020</v>
      </c>
      <c r="C7487" t="s">
        <v>43</v>
      </c>
      <c r="D7487" t="s">
        <v>9</v>
      </c>
      <c r="E7487" t="e">
        <f>VLOOKUP(Cpi_[[#This Row],[Attribute]],#REF!,2,FALSE)</f>
        <v>#REF!</v>
      </c>
      <c r="F7487">
        <v>226</v>
      </c>
      <c r="G7487">
        <f>(Cpi_[[#This Row],[Value]]-F7486)/F7486</f>
        <v>0.45150931278098921</v>
      </c>
      <c r="H7487" t="e" cm="1" vm="1">
        <f t="array" aca="1" ref="H7487" ca="1">VLOOKUP(Cpi_[[#This Row],[Year]:[Month]],crudeoil[],3,FALSE)</f>
        <v>#VALUE!</v>
      </c>
    </row>
    <row r="7488" spans="1:8" hidden="1" x14ac:dyDescent="0.3">
      <c r="A7488" t="s">
        <v>33</v>
      </c>
      <c r="B7488">
        <v>2020</v>
      </c>
      <c r="C7488" t="s">
        <v>43</v>
      </c>
      <c r="D7488" t="s">
        <v>10</v>
      </c>
      <c r="E7488" t="e">
        <f>VLOOKUP(Cpi_[[#This Row],[Attribute]],#REF!,2,FALSE)</f>
        <v>#REF!</v>
      </c>
      <c r="F7488">
        <v>152.19999999999999</v>
      </c>
      <c r="G7488">
        <f>(Cpi_[[#This Row],[Value]]-F7487)/F7487</f>
        <v>-0.32654867256637171</v>
      </c>
      <c r="H7488" t="e" cm="1" vm="1">
        <f t="array" aca="1" ref="H7488" ca="1">VLOOKUP(Cpi_[[#This Row],[Year]:[Month]],crudeoil[],3,FALSE)</f>
        <v>#VALUE!</v>
      </c>
    </row>
    <row r="7489" spans="1:8" hidden="1" x14ac:dyDescent="0.3">
      <c r="A7489" t="s">
        <v>33</v>
      </c>
      <c r="B7489">
        <v>2020</v>
      </c>
      <c r="C7489" t="s">
        <v>43</v>
      </c>
      <c r="D7489" t="s">
        <v>11</v>
      </c>
      <c r="E7489" t="e">
        <f>VLOOKUP(Cpi_[[#This Row],[Attribute]],#REF!,2,FALSE)</f>
        <v>#REF!</v>
      </c>
      <c r="F7489">
        <v>118.1</v>
      </c>
      <c r="G7489">
        <f>(Cpi_[[#This Row],[Value]]-F7488)/F7488</f>
        <v>-0.22404730617608407</v>
      </c>
      <c r="H7489" t="e" cm="1" vm="1">
        <f t="array" aca="1" ref="H7489" ca="1">VLOOKUP(Cpi_[[#This Row],[Year]:[Month]],crudeoil[],3,FALSE)</f>
        <v>#VALUE!</v>
      </c>
    </row>
    <row r="7490" spans="1:8" hidden="1" x14ac:dyDescent="0.3">
      <c r="A7490" t="s">
        <v>33</v>
      </c>
      <c r="B7490">
        <v>2020</v>
      </c>
      <c r="C7490" t="s">
        <v>43</v>
      </c>
      <c r="D7490" t="s">
        <v>12</v>
      </c>
      <c r="E7490" t="e">
        <f>VLOOKUP(Cpi_[[#This Row],[Attribute]],#REF!,2,FALSE)</f>
        <v>#REF!</v>
      </c>
      <c r="F7490">
        <v>161.30000000000001</v>
      </c>
      <c r="G7490">
        <f>(Cpi_[[#This Row],[Value]]-F7489)/F7489</f>
        <v>0.36579170194750227</v>
      </c>
      <c r="H7490" t="e" cm="1" vm="1">
        <f t="array" aca="1" ref="H7490" ca="1">VLOOKUP(Cpi_[[#This Row],[Year]:[Month]],crudeoil[],3,FALSE)</f>
        <v>#VALUE!</v>
      </c>
    </row>
    <row r="7491" spans="1:8" hidden="1" x14ac:dyDescent="0.3">
      <c r="A7491" t="s">
        <v>33</v>
      </c>
      <c r="B7491">
        <v>2020</v>
      </c>
      <c r="C7491" t="s">
        <v>43</v>
      </c>
      <c r="D7491" t="s">
        <v>13</v>
      </c>
      <c r="E7491" t="e">
        <f>VLOOKUP(Cpi_[[#This Row],[Attribute]],#REF!,2,FALSE)</f>
        <v>#REF!</v>
      </c>
      <c r="F7491">
        <v>139.19999999999999</v>
      </c>
      <c r="G7491">
        <f>(Cpi_[[#This Row],[Value]]-F7490)/F7490</f>
        <v>-0.13701177929324254</v>
      </c>
      <c r="H7491" t="e" cm="1" vm="1">
        <f t="array" aca="1" ref="H7491" ca="1">VLOOKUP(Cpi_[[#This Row],[Year]:[Month]],crudeoil[],3,FALSE)</f>
        <v>#VALUE!</v>
      </c>
    </row>
    <row r="7492" spans="1:8" hidden="1" x14ac:dyDescent="0.3">
      <c r="A7492" t="s">
        <v>33</v>
      </c>
      <c r="B7492">
        <v>2020</v>
      </c>
      <c r="C7492" t="s">
        <v>43</v>
      </c>
      <c r="D7492" t="s">
        <v>14</v>
      </c>
      <c r="E7492" t="e">
        <f>VLOOKUP(Cpi_[[#This Row],[Attribute]],#REF!,2,FALSE)</f>
        <v>#REF!</v>
      </c>
      <c r="F7492">
        <v>164.8</v>
      </c>
      <c r="G7492">
        <f>(Cpi_[[#This Row],[Value]]-F7491)/F7491</f>
        <v>0.18390804597701169</v>
      </c>
      <c r="H7492" t="e" cm="1" vm="1">
        <f t="array" aca="1" ref="H7492" ca="1">VLOOKUP(Cpi_[[#This Row],[Year]:[Month]],crudeoil[],3,FALSE)</f>
        <v>#VALUE!</v>
      </c>
    </row>
    <row r="7493" spans="1:8" hidden="1" x14ac:dyDescent="0.3">
      <c r="A7493" t="s">
        <v>33</v>
      </c>
      <c r="B7493">
        <v>2020</v>
      </c>
      <c r="C7493" t="s">
        <v>43</v>
      </c>
      <c r="D7493" t="s">
        <v>15</v>
      </c>
      <c r="E7493" t="e">
        <f>VLOOKUP(Cpi_[[#This Row],[Attribute]],#REF!,2,FALSE)</f>
        <v>#REF!</v>
      </c>
      <c r="F7493">
        <v>164.4</v>
      </c>
      <c r="G7493">
        <f>(Cpi_[[#This Row],[Value]]-F7492)/F7492</f>
        <v>-2.427184466019452E-3</v>
      </c>
      <c r="H7493" t="e" cm="1" vm="1">
        <f t="array" aca="1" ref="H7493" ca="1">VLOOKUP(Cpi_[[#This Row],[Year]:[Month]],crudeoil[],3,FALSE)</f>
        <v>#VALUE!</v>
      </c>
    </row>
    <row r="7494" spans="1:8" hidden="1" x14ac:dyDescent="0.3">
      <c r="A7494" t="s">
        <v>33</v>
      </c>
      <c r="B7494">
        <v>2020</v>
      </c>
      <c r="C7494" t="s">
        <v>43</v>
      </c>
      <c r="D7494" t="s">
        <v>16</v>
      </c>
      <c r="E7494" t="e">
        <f>VLOOKUP(Cpi_[[#This Row],[Attribute]],#REF!,2,FALSE)</f>
        <v>#REF!</v>
      </c>
      <c r="F7494">
        <v>188.7</v>
      </c>
      <c r="G7494">
        <f>(Cpi_[[#This Row],[Value]]-F7493)/F7493</f>
        <v>0.14781021897810209</v>
      </c>
      <c r="H7494" t="e" cm="1" vm="1">
        <f t="array" aca="1" ref="H7494" ca="1">VLOOKUP(Cpi_[[#This Row],[Year]:[Month]],crudeoil[],3,FALSE)</f>
        <v>#VALUE!</v>
      </c>
    </row>
    <row r="7495" spans="1:8" hidden="1" x14ac:dyDescent="0.3">
      <c r="A7495" t="s">
        <v>33</v>
      </c>
      <c r="B7495">
        <v>2020</v>
      </c>
      <c r="C7495" t="s">
        <v>43</v>
      </c>
      <c r="D7495" t="s">
        <v>17</v>
      </c>
      <c r="E7495" t="e">
        <f>VLOOKUP(Cpi_[[#This Row],[Attribute]],#REF!,2,FALSE)</f>
        <v>#REF!</v>
      </c>
      <c r="F7495">
        <v>150.5</v>
      </c>
      <c r="G7495">
        <f>(Cpi_[[#This Row],[Value]]-F7494)/F7494</f>
        <v>-0.20243773184949651</v>
      </c>
      <c r="H7495" t="e" cm="1" vm="1">
        <f t="array" aca="1" ref="H7495" ca="1">VLOOKUP(Cpi_[[#This Row],[Year]:[Month]],crudeoil[],3,FALSE)</f>
        <v>#VALUE!</v>
      </c>
    </row>
    <row r="7496" spans="1:8" hidden="1" x14ac:dyDescent="0.3">
      <c r="A7496" t="s">
        <v>33</v>
      </c>
      <c r="B7496">
        <v>2020</v>
      </c>
      <c r="C7496" t="s">
        <v>43</v>
      </c>
      <c r="D7496" t="s">
        <v>18</v>
      </c>
      <c r="E7496" t="e">
        <f>VLOOKUP(Cpi_[[#This Row],[Attribute]],#REF!,2,FALSE)</f>
        <v>#REF!</v>
      </c>
      <c r="F7496">
        <v>136.1</v>
      </c>
      <c r="G7496">
        <f>(Cpi_[[#This Row],[Value]]-F7495)/F7495</f>
        <v>-9.5681063122923626E-2</v>
      </c>
      <c r="H7496" t="e" cm="1" vm="1">
        <f t="array" aca="1" ref="H7496" ca="1">VLOOKUP(Cpi_[[#This Row],[Year]:[Month]],crudeoil[],3,FALSE)</f>
        <v>#VALUE!</v>
      </c>
    </row>
    <row r="7497" spans="1:8" hidden="1" x14ac:dyDescent="0.3">
      <c r="A7497" t="s">
        <v>33</v>
      </c>
      <c r="B7497">
        <v>2020</v>
      </c>
      <c r="C7497" t="s">
        <v>43</v>
      </c>
      <c r="D7497" t="s">
        <v>19</v>
      </c>
      <c r="E7497" t="e">
        <f>VLOOKUP(Cpi_[[#This Row],[Attribute]],#REF!,2,FALSE)</f>
        <v>#REF!</v>
      </c>
      <c r="F7497">
        <v>148.30000000000001</v>
      </c>
      <c r="G7497">
        <f>(Cpi_[[#This Row],[Value]]-F7496)/F7496</f>
        <v>8.9639970609845826E-2</v>
      </c>
      <c r="H7497" t="e" cm="1" vm="1">
        <f t="array" aca="1" ref="H7497" ca="1">VLOOKUP(Cpi_[[#This Row],[Year]:[Month]],crudeoil[],3,FALSE)</f>
        <v>#VALUE!</v>
      </c>
    </row>
    <row r="7498" spans="1:8" hidden="1" x14ac:dyDescent="0.3">
      <c r="A7498" t="s">
        <v>33</v>
      </c>
      <c r="B7498">
        <v>2020</v>
      </c>
      <c r="C7498" t="s">
        <v>43</v>
      </c>
      <c r="D7498" t="s">
        <v>20</v>
      </c>
      <c r="E7498" t="e">
        <f>VLOOKUP(Cpi_[[#This Row],[Attribute]],#REF!,2,FALSE)</f>
        <v>#REF!</v>
      </c>
      <c r="F7498">
        <v>156.5</v>
      </c>
      <c r="G7498">
        <f>(Cpi_[[#This Row],[Value]]-F7497)/F7497</f>
        <v>5.5293324342548807E-2</v>
      </c>
      <c r="H7498" t="e" cm="1" vm="1">
        <f t="array" aca="1" ref="H7498" ca="1">VLOOKUP(Cpi_[[#This Row],[Year]:[Month]],crudeoil[],3,FALSE)</f>
        <v>#VALUE!</v>
      </c>
    </row>
    <row r="7499" spans="1:8" hidden="1" x14ac:dyDescent="0.3">
      <c r="A7499" t="s">
        <v>33</v>
      </c>
      <c r="B7499">
        <v>2020</v>
      </c>
      <c r="C7499" t="s">
        <v>43</v>
      </c>
      <c r="D7499" t="s">
        <v>21</v>
      </c>
      <c r="E7499" t="e">
        <f>VLOOKUP(Cpi_[[#This Row],[Attribute]],#REF!,2,FALSE)</f>
        <v>#REF!</v>
      </c>
      <c r="F7499">
        <v>137.1</v>
      </c>
      <c r="G7499">
        <f>(Cpi_[[#This Row],[Value]]-F7498)/F7498</f>
        <v>-0.12396166134185307</v>
      </c>
      <c r="H7499" t="e" cm="1" vm="1">
        <f t="array" aca="1" ref="H7499" ca="1">VLOOKUP(Cpi_[[#This Row],[Year]:[Month]],crudeoil[],3,FALSE)</f>
        <v>#VALUE!</v>
      </c>
    </row>
    <row r="7500" spans="1:8" hidden="1" x14ac:dyDescent="0.3">
      <c r="A7500" t="s">
        <v>33</v>
      </c>
      <c r="B7500">
        <v>2020</v>
      </c>
      <c r="C7500" t="s">
        <v>43</v>
      </c>
      <c r="D7500" t="s">
        <v>22</v>
      </c>
      <c r="E7500" t="e">
        <f>VLOOKUP(Cpi_[[#This Row],[Attribute]],#REF!,2,FALSE)</f>
        <v>#REF!</v>
      </c>
      <c r="F7500">
        <v>145.1</v>
      </c>
      <c r="G7500">
        <f>(Cpi_[[#This Row],[Value]]-F7499)/F7499</f>
        <v>5.8351568198395334E-2</v>
      </c>
      <c r="H7500" t="e" cm="1" vm="1">
        <f t="array" aca="1" ref="H7500" ca="1">VLOOKUP(Cpi_[[#This Row],[Year]:[Month]],crudeoil[],3,FALSE)</f>
        <v>#VALUE!</v>
      </c>
    </row>
    <row r="7501" spans="1:8" hidden="1" x14ac:dyDescent="0.3">
      <c r="A7501" t="s">
        <v>33</v>
      </c>
      <c r="B7501">
        <v>2020</v>
      </c>
      <c r="C7501" t="s">
        <v>43</v>
      </c>
      <c r="D7501" t="s">
        <v>23</v>
      </c>
      <c r="E7501" t="e">
        <f>VLOOKUP(Cpi_[[#This Row],[Attribute]],#REF!,2,FALSE)</f>
        <v>#REF!</v>
      </c>
      <c r="F7501">
        <v>151</v>
      </c>
      <c r="G7501">
        <f>(Cpi_[[#This Row],[Value]]-F7500)/F7500</f>
        <v>4.0661612680909759E-2</v>
      </c>
      <c r="H7501" t="e" cm="1" vm="1">
        <f t="array" aca="1" ref="H7501" ca="1">VLOOKUP(Cpi_[[#This Row],[Year]:[Month]],crudeoil[],3,FALSE)</f>
        <v>#VALUE!</v>
      </c>
    </row>
    <row r="7502" spans="1:8" hidden="1" x14ac:dyDescent="0.3">
      <c r="A7502" t="s">
        <v>33</v>
      </c>
      <c r="B7502">
        <v>2020</v>
      </c>
      <c r="C7502" t="s">
        <v>43</v>
      </c>
      <c r="D7502" t="s">
        <v>24</v>
      </c>
      <c r="E7502" t="e">
        <f>VLOOKUP(Cpi_[[#This Row],[Attribute]],#REF!,2,FALSE)</f>
        <v>#REF!</v>
      </c>
      <c r="F7502">
        <v>135.4</v>
      </c>
      <c r="G7502">
        <f>(Cpi_[[#This Row],[Value]]-F7501)/F7501</f>
        <v>-0.10331125827814566</v>
      </c>
      <c r="H7502" t="e" cm="1" vm="1">
        <f t="array" aca="1" ref="H7502" ca="1">VLOOKUP(Cpi_[[#This Row],[Year]:[Month]],crudeoil[],3,FALSE)</f>
        <v>#VALUE!</v>
      </c>
    </row>
    <row r="7503" spans="1:8" hidden="1" x14ac:dyDescent="0.3">
      <c r="A7503" t="s">
        <v>33</v>
      </c>
      <c r="B7503">
        <v>2020</v>
      </c>
      <c r="C7503" t="s">
        <v>43</v>
      </c>
      <c r="D7503" t="s">
        <v>25</v>
      </c>
      <c r="E7503" t="e">
        <f>VLOOKUP(Cpi_[[#This Row],[Attribute]],#REF!,2,FALSE)</f>
        <v>#REF!</v>
      </c>
      <c r="F7503">
        <v>142</v>
      </c>
      <c r="G7503">
        <f>(Cpi_[[#This Row],[Value]]-F7502)/F7502</f>
        <v>4.8744460856720781E-2</v>
      </c>
      <c r="H7503" t="e" cm="1" vm="1">
        <f t="array" aca="1" ref="H7503" ca="1">VLOOKUP(Cpi_[[#This Row],[Year]:[Month]],crudeoil[],3,FALSE)</f>
        <v>#VALUE!</v>
      </c>
    </row>
    <row r="7504" spans="1:8" hidden="1" x14ac:dyDescent="0.3">
      <c r="A7504" t="s">
        <v>33</v>
      </c>
      <c r="B7504">
        <v>2020</v>
      </c>
      <c r="C7504" t="s">
        <v>43</v>
      </c>
      <c r="D7504" t="s">
        <v>26</v>
      </c>
      <c r="E7504" t="e">
        <f>VLOOKUP(Cpi_[[#This Row],[Attribute]],#REF!,2,FALSE)</f>
        <v>#REF!</v>
      </c>
      <c r="F7504">
        <v>155.69999999999999</v>
      </c>
      <c r="G7504">
        <f>(Cpi_[[#This Row],[Value]]-F7503)/F7503</f>
        <v>9.6478873239436533E-2</v>
      </c>
      <c r="H7504" t="e" cm="1" vm="1">
        <f t="array" aca="1" ref="H7504" ca="1">VLOOKUP(Cpi_[[#This Row],[Year]:[Month]],crudeoil[],3,FALSE)</f>
        <v>#VALUE!</v>
      </c>
    </row>
    <row r="7505" spans="1:8" hidden="1" x14ac:dyDescent="0.3">
      <c r="A7505" t="s">
        <v>33</v>
      </c>
      <c r="B7505">
        <v>2020</v>
      </c>
      <c r="C7505" t="s">
        <v>43</v>
      </c>
      <c r="D7505" t="s">
        <v>27</v>
      </c>
      <c r="E7505" t="e">
        <f>VLOOKUP(Cpi_[[#This Row],[Attribute]],#REF!,2,FALSE)</f>
        <v>#REF!</v>
      </c>
      <c r="F7505">
        <v>158.1</v>
      </c>
      <c r="G7505">
        <f>(Cpi_[[#This Row],[Value]]-F7504)/F7504</f>
        <v>1.5414258188824701E-2</v>
      </c>
      <c r="H7505" t="e" cm="1" vm="1">
        <f t="array" aca="1" ref="H7505" ca="1">VLOOKUP(Cpi_[[#This Row],[Year]:[Month]],crudeoil[],3,FALSE)</f>
        <v>#VALUE!</v>
      </c>
    </row>
    <row r="7506" spans="1:8" hidden="1" x14ac:dyDescent="0.3">
      <c r="A7506" t="s">
        <v>33</v>
      </c>
      <c r="B7506">
        <v>2020</v>
      </c>
      <c r="C7506" t="s">
        <v>43</v>
      </c>
      <c r="D7506" t="s">
        <v>28</v>
      </c>
      <c r="E7506" t="e">
        <f>VLOOKUP(Cpi_[[#This Row],[Attribute]],#REF!,2,FALSE)</f>
        <v>#REF!</v>
      </c>
      <c r="F7506">
        <v>146.19999999999999</v>
      </c>
      <c r="G7506">
        <f>(Cpi_[[#This Row],[Value]]-F7505)/F7505</f>
        <v>-7.5268817204301119E-2</v>
      </c>
      <c r="H7506" t="e" cm="1" vm="1">
        <f t="array" aca="1" ref="H7506" ca="1">VLOOKUP(Cpi_[[#This Row],[Year]:[Month]],crudeoil[],3,FALSE)</f>
        <v>#VALUE!</v>
      </c>
    </row>
    <row r="7507" spans="1:8" hidden="1" x14ac:dyDescent="0.3">
      <c r="A7507" t="s">
        <v>33</v>
      </c>
      <c r="B7507">
        <v>2020</v>
      </c>
      <c r="C7507" t="s">
        <v>43</v>
      </c>
      <c r="D7507" t="s">
        <v>29</v>
      </c>
      <c r="E7507" t="e" cm="1">
        <f t="array" aca="1" ref="E7507" ca="1">VLGeneral indexGeneral indexKUP(Cpi_[[#This Row],[Attribute]],#REF!,2,FALSE)</f>
        <v>#NAME?</v>
      </c>
      <c r="F7507">
        <v>155.19999999999999</v>
      </c>
      <c r="G7507">
        <f>(Cpi_[[#This Row],[Value]]-F7506)/F7506</f>
        <v>6.1559507523939815E-2</v>
      </c>
      <c r="H7507" t="e" cm="1" vm="1">
        <f t="array" aca="1" ref="H7507" ca="1">VLOOKUP(Cpi_[[#This Row],[Year]:[Month]],crudeoil[],3,FALSE)</f>
        <v>#VALUE!</v>
      </c>
    </row>
    <row r="7508" spans="1:8" hidden="1" x14ac:dyDescent="0.3">
      <c r="A7508" t="s">
        <v>34</v>
      </c>
      <c r="B7508">
        <v>2020</v>
      </c>
      <c r="C7508" t="s">
        <v>43</v>
      </c>
      <c r="D7508" t="s">
        <v>3</v>
      </c>
      <c r="E7508" t="e">
        <f>VLOOKUP(Cpi_[[#This Row],[Attribute]],#REF!,2,FALSE)</f>
        <v>#REF!</v>
      </c>
      <c r="F7508">
        <v>147.5</v>
      </c>
      <c r="G7508">
        <f>(Cpi_[[#This Row],[Value]]-F7507)/F7507</f>
        <v>-4.9613402061855598E-2</v>
      </c>
      <c r="H7508" t="e" cm="1" vm="1">
        <f t="array" aca="1" ref="H7508" ca="1">VLOOKUP(Cpi_[[#This Row],[Year]:[Month]],crudeoil[],3,FALSE)</f>
        <v>#VALUE!</v>
      </c>
    </row>
    <row r="7509" spans="1:8" hidden="1" x14ac:dyDescent="0.3">
      <c r="A7509" t="s">
        <v>34</v>
      </c>
      <c r="B7509">
        <v>2020</v>
      </c>
      <c r="C7509" t="s">
        <v>43</v>
      </c>
      <c r="D7509" t="s">
        <v>4</v>
      </c>
      <c r="E7509" t="e">
        <f>VLOOKUP(Cpi_[[#This Row],[Attribute]],#REF!,2,FALSE)</f>
        <v>#REF!</v>
      </c>
      <c r="F7509">
        <v>188.9</v>
      </c>
      <c r="G7509">
        <f>(Cpi_[[#This Row],[Value]]-F7508)/F7508</f>
        <v>0.28067796610169493</v>
      </c>
      <c r="H7509" t="e" cm="1" vm="1">
        <f t="array" aca="1" ref="H7509" ca="1">VLOOKUP(Cpi_[[#This Row],[Year]:[Month]],crudeoil[],3,FALSE)</f>
        <v>#VALUE!</v>
      </c>
    </row>
    <row r="7510" spans="1:8" hidden="1" x14ac:dyDescent="0.3">
      <c r="A7510" t="s">
        <v>34</v>
      </c>
      <c r="B7510">
        <v>2020</v>
      </c>
      <c r="C7510" t="s">
        <v>43</v>
      </c>
      <c r="D7510" t="s">
        <v>5</v>
      </c>
      <c r="E7510" t="e">
        <f>VLOOKUP(Cpi_[[#This Row],[Attribute]],#REF!,2,FALSE)</f>
        <v>#REF!</v>
      </c>
      <c r="F7510">
        <v>161.4</v>
      </c>
      <c r="G7510">
        <f>(Cpi_[[#This Row],[Value]]-F7509)/F7509</f>
        <v>-0.14557967178401271</v>
      </c>
      <c r="H7510" t="e" cm="1" vm="1">
        <f t="array" aca="1" ref="H7510" ca="1">VLOOKUP(Cpi_[[#This Row],[Year]:[Month]],crudeoil[],3,FALSE)</f>
        <v>#VALUE!</v>
      </c>
    </row>
    <row r="7511" spans="1:8" hidden="1" x14ac:dyDescent="0.3">
      <c r="A7511" t="s">
        <v>34</v>
      </c>
      <c r="B7511">
        <v>2020</v>
      </c>
      <c r="C7511" t="s">
        <v>43</v>
      </c>
      <c r="D7511" t="s">
        <v>6</v>
      </c>
      <c r="E7511" t="e">
        <f>VLOOKUP(Cpi_[[#This Row],[Attribute]],#REF!,2,FALSE)</f>
        <v>#REF!</v>
      </c>
      <c r="F7511">
        <v>153.6</v>
      </c>
      <c r="G7511">
        <f>(Cpi_[[#This Row],[Value]]-F7510)/F7510</f>
        <v>-4.8327137546468467E-2</v>
      </c>
      <c r="H7511" t="e" cm="1" vm="1">
        <f t="array" aca="1" ref="H7511" ca="1">VLOOKUP(Cpi_[[#This Row],[Year]:[Month]],crudeoil[],3,FALSE)</f>
        <v>#VALUE!</v>
      </c>
    </row>
    <row r="7512" spans="1:8" hidden="1" x14ac:dyDescent="0.3">
      <c r="A7512" t="s">
        <v>34</v>
      </c>
      <c r="B7512">
        <v>2020</v>
      </c>
      <c r="C7512" t="s">
        <v>43</v>
      </c>
      <c r="D7512" t="s">
        <v>7</v>
      </c>
      <c r="E7512" t="e">
        <f>VLOOKUP(Cpi_[[#This Row],[Attribute]],#REF!,2,FALSE)</f>
        <v>#REF!</v>
      </c>
      <c r="F7512">
        <v>140.1</v>
      </c>
      <c r="G7512">
        <f>(Cpi_[[#This Row],[Value]]-F7511)/F7511</f>
        <v>-8.7890625E-2</v>
      </c>
      <c r="H7512" t="e" cm="1" vm="1">
        <f t="array" aca="1" ref="H7512" ca="1">VLOOKUP(Cpi_[[#This Row],[Year]:[Month]],crudeoil[],3,FALSE)</f>
        <v>#VALUE!</v>
      </c>
    </row>
    <row r="7513" spans="1:8" hidden="1" x14ac:dyDescent="0.3">
      <c r="A7513" t="s">
        <v>34</v>
      </c>
      <c r="B7513">
        <v>2020</v>
      </c>
      <c r="C7513" t="s">
        <v>43</v>
      </c>
      <c r="D7513" t="s">
        <v>8</v>
      </c>
      <c r="E7513" t="e">
        <f>VLOOKUP(Cpi_[[#This Row],[Attribute]],#REF!,2,FALSE)</f>
        <v>#REF!</v>
      </c>
      <c r="F7513">
        <v>151.19999999999999</v>
      </c>
      <c r="G7513">
        <f>(Cpi_[[#This Row],[Value]]-F7512)/F7512</f>
        <v>7.9229122055674478E-2</v>
      </c>
      <c r="H7513" t="e" cm="1" vm="1">
        <f t="array" aca="1" ref="H7513" ca="1">VLOOKUP(Cpi_[[#This Row],[Year]:[Month]],crudeoil[],3,FALSE)</f>
        <v>#VALUE!</v>
      </c>
    </row>
    <row r="7514" spans="1:8" hidden="1" x14ac:dyDescent="0.3">
      <c r="A7514" t="s">
        <v>34</v>
      </c>
      <c r="B7514">
        <v>2020</v>
      </c>
      <c r="C7514" t="s">
        <v>43</v>
      </c>
      <c r="D7514" t="s">
        <v>9</v>
      </c>
      <c r="E7514" t="e">
        <f>VLOOKUP(Cpi_[[#This Row],[Attribute]],#REF!,2,FALSE)</f>
        <v>#REF!</v>
      </c>
      <c r="F7514">
        <v>209.2</v>
      </c>
      <c r="G7514">
        <f>(Cpi_[[#This Row],[Value]]-F7513)/F7513</f>
        <v>0.3835978835978836</v>
      </c>
      <c r="H7514" t="e" cm="1" vm="1">
        <f t="array" aca="1" ref="H7514" ca="1">VLOOKUP(Cpi_[[#This Row],[Year]:[Month]],crudeoil[],3,FALSE)</f>
        <v>#VALUE!</v>
      </c>
    </row>
    <row r="7515" spans="1:8" hidden="1" x14ac:dyDescent="0.3">
      <c r="A7515" t="s">
        <v>34</v>
      </c>
      <c r="B7515">
        <v>2020</v>
      </c>
      <c r="C7515" t="s">
        <v>43</v>
      </c>
      <c r="D7515" t="s">
        <v>10</v>
      </c>
      <c r="E7515" t="e">
        <f>VLOOKUP(Cpi_[[#This Row],[Attribute]],#REF!,2,FALSE)</f>
        <v>#REF!</v>
      </c>
      <c r="F7515">
        <v>150.9</v>
      </c>
      <c r="G7515">
        <f>(Cpi_[[#This Row],[Value]]-F7514)/F7514</f>
        <v>-0.27868068833651999</v>
      </c>
      <c r="H7515" t="e" cm="1" vm="1">
        <f t="array" aca="1" ref="H7515" ca="1">VLOOKUP(Cpi_[[#This Row],[Year]:[Month]],crudeoil[],3,FALSE)</f>
        <v>#VALUE!</v>
      </c>
    </row>
    <row r="7516" spans="1:8" hidden="1" x14ac:dyDescent="0.3">
      <c r="A7516" t="s">
        <v>34</v>
      </c>
      <c r="B7516">
        <v>2020</v>
      </c>
      <c r="C7516" t="s">
        <v>43</v>
      </c>
      <c r="D7516" t="s">
        <v>11</v>
      </c>
      <c r="E7516" t="e">
        <f>VLOOKUP(Cpi_[[#This Row],[Attribute]],#REF!,2,FALSE)</f>
        <v>#REF!</v>
      </c>
      <c r="F7516">
        <v>116.2</v>
      </c>
      <c r="G7516">
        <f>(Cpi_[[#This Row],[Value]]-F7515)/F7515</f>
        <v>-0.22995361166335324</v>
      </c>
      <c r="H7516" t="e" cm="1" vm="1">
        <f t="array" aca="1" ref="H7516" ca="1">VLOOKUP(Cpi_[[#This Row],[Year]:[Month]],crudeoil[],3,FALSE)</f>
        <v>#VALUE!</v>
      </c>
    </row>
    <row r="7517" spans="1:8" hidden="1" x14ac:dyDescent="0.3">
      <c r="A7517" t="s">
        <v>34</v>
      </c>
      <c r="B7517">
        <v>2020</v>
      </c>
      <c r="C7517" t="s">
        <v>43</v>
      </c>
      <c r="D7517" t="s">
        <v>12</v>
      </c>
      <c r="E7517" t="e">
        <f>VLOOKUP(Cpi_[[#This Row],[Attribute]],#REF!,2,FALSE)</f>
        <v>#REF!</v>
      </c>
      <c r="F7517">
        <v>161</v>
      </c>
      <c r="G7517">
        <f>(Cpi_[[#This Row],[Value]]-F7516)/F7516</f>
        <v>0.38554216867469876</v>
      </c>
      <c r="H7517" t="e" cm="1" vm="1">
        <f t="array" aca="1" ref="H7517" ca="1">VLOOKUP(Cpi_[[#This Row],[Year]:[Month]],crudeoil[],3,FALSE)</f>
        <v>#VALUE!</v>
      </c>
    </row>
    <row r="7518" spans="1:8" hidden="1" x14ac:dyDescent="0.3">
      <c r="A7518" t="s">
        <v>34</v>
      </c>
      <c r="B7518">
        <v>2020</v>
      </c>
      <c r="C7518" t="s">
        <v>43</v>
      </c>
      <c r="D7518" t="s">
        <v>13</v>
      </c>
      <c r="E7518" t="e">
        <f>VLOOKUP(Cpi_[[#This Row],[Attribute]],#REF!,2,FALSE)</f>
        <v>#REF!</v>
      </c>
      <c r="F7518">
        <v>144</v>
      </c>
      <c r="G7518">
        <f>(Cpi_[[#This Row],[Value]]-F7517)/F7517</f>
        <v>-0.10559006211180125</v>
      </c>
      <c r="H7518" t="e" cm="1" vm="1">
        <f t="array" aca="1" ref="H7518" ca="1">VLOOKUP(Cpi_[[#This Row],[Year]:[Month]],crudeoil[],3,FALSE)</f>
        <v>#VALUE!</v>
      </c>
    </row>
    <row r="7519" spans="1:8" hidden="1" x14ac:dyDescent="0.3">
      <c r="A7519" t="s">
        <v>34</v>
      </c>
      <c r="B7519">
        <v>2020</v>
      </c>
      <c r="C7519" t="s">
        <v>43</v>
      </c>
      <c r="D7519" t="s">
        <v>14</v>
      </c>
      <c r="E7519" t="e">
        <f>VLOOKUP(Cpi_[[#This Row],[Attribute]],#REF!,2,FALSE)</f>
        <v>#REF!</v>
      </c>
      <c r="F7519">
        <v>163.19999999999999</v>
      </c>
      <c r="G7519">
        <f>(Cpi_[[#This Row],[Value]]-F7518)/F7518</f>
        <v>0.13333333333333325</v>
      </c>
      <c r="H7519" t="e" cm="1" vm="1">
        <f t="array" aca="1" ref="H7519" ca="1">VLOOKUP(Cpi_[[#This Row],[Year]:[Month]],crudeoil[],3,FALSE)</f>
        <v>#VALUE!</v>
      </c>
    </row>
    <row r="7520" spans="1:8" hidden="1" x14ac:dyDescent="0.3">
      <c r="A7520" t="s">
        <v>34</v>
      </c>
      <c r="B7520">
        <v>2020</v>
      </c>
      <c r="C7520" t="s">
        <v>43</v>
      </c>
      <c r="D7520" t="s">
        <v>15</v>
      </c>
      <c r="E7520" t="e">
        <f>VLOOKUP(Cpi_[[#This Row],[Attribute]],#REF!,2,FALSE)</f>
        <v>#REF!</v>
      </c>
      <c r="F7520">
        <v>161.4</v>
      </c>
      <c r="G7520">
        <f>(Cpi_[[#This Row],[Value]]-F7519)/F7519</f>
        <v>-1.1029411764705779E-2</v>
      </c>
      <c r="H7520" t="e" cm="1" vm="1">
        <f t="array" aca="1" ref="H7520" ca="1">VLOOKUP(Cpi_[[#This Row],[Year]:[Month]],crudeoil[],3,FALSE)</f>
        <v>#VALUE!</v>
      </c>
    </row>
    <row r="7521" spans="1:8" hidden="1" x14ac:dyDescent="0.3">
      <c r="A7521" t="s">
        <v>34</v>
      </c>
      <c r="B7521">
        <v>2020</v>
      </c>
      <c r="C7521" t="s">
        <v>43</v>
      </c>
      <c r="D7521" t="s">
        <v>16</v>
      </c>
      <c r="E7521" t="e">
        <f>VLOOKUP(Cpi_[[#This Row],[Attribute]],#REF!,2,FALSE)</f>
        <v>#REF!</v>
      </c>
      <c r="F7521">
        <v>184.3</v>
      </c>
      <c r="G7521">
        <f>(Cpi_[[#This Row],[Value]]-F7520)/F7520</f>
        <v>0.14188351920693931</v>
      </c>
      <c r="H7521" t="e" cm="1" vm="1">
        <f t="array" aca="1" ref="H7521" ca="1">VLOOKUP(Cpi_[[#This Row],[Year]:[Month]],crudeoil[],3,FALSE)</f>
        <v>#VALUE!</v>
      </c>
    </row>
    <row r="7522" spans="1:8" hidden="1" x14ac:dyDescent="0.3">
      <c r="A7522" t="s">
        <v>34</v>
      </c>
      <c r="B7522">
        <v>2020</v>
      </c>
      <c r="C7522" t="s">
        <v>43</v>
      </c>
      <c r="D7522" t="s">
        <v>17</v>
      </c>
      <c r="E7522" t="e">
        <f>VLOOKUP(Cpi_[[#This Row],[Attribute]],#REF!,2,FALSE)</f>
        <v>#REF!</v>
      </c>
      <c r="F7522">
        <v>153.69999999999999</v>
      </c>
      <c r="G7522">
        <f>(Cpi_[[#This Row],[Value]]-F7521)/F7521</f>
        <v>-0.16603364080303865</v>
      </c>
      <c r="H7522" t="e" cm="1" vm="1">
        <f t="array" aca="1" ref="H7522" ca="1">VLOOKUP(Cpi_[[#This Row],[Year]:[Month]],crudeoil[],3,FALSE)</f>
        <v>#VALUE!</v>
      </c>
    </row>
    <row r="7523" spans="1:8" hidden="1" x14ac:dyDescent="0.3">
      <c r="A7523" t="s">
        <v>34</v>
      </c>
      <c r="B7523">
        <v>2020</v>
      </c>
      <c r="C7523" t="s">
        <v>43</v>
      </c>
      <c r="D7523" t="s">
        <v>18</v>
      </c>
      <c r="E7523" t="e">
        <f>VLOOKUP(Cpi_[[#This Row],[Attribute]],#REF!,2,FALSE)</f>
        <v>#REF!</v>
      </c>
      <c r="F7523">
        <v>144.6</v>
      </c>
      <c r="G7523">
        <f>(Cpi_[[#This Row],[Value]]-F7522)/F7522</f>
        <v>-5.9206245933636922E-2</v>
      </c>
      <c r="H7523" t="e" cm="1" vm="1">
        <f t="array" aca="1" ref="H7523" ca="1">VLOOKUP(Cpi_[[#This Row],[Year]:[Month]],crudeoil[],3,FALSE)</f>
        <v>#VALUE!</v>
      </c>
    </row>
    <row r="7524" spans="1:8" hidden="1" x14ac:dyDescent="0.3">
      <c r="A7524" t="s">
        <v>34</v>
      </c>
      <c r="B7524">
        <v>2020</v>
      </c>
      <c r="C7524" t="s">
        <v>43</v>
      </c>
      <c r="D7524" t="s">
        <v>19</v>
      </c>
      <c r="E7524" t="e">
        <f>VLOOKUP(Cpi_[[#This Row],[Attribute]],#REF!,2,FALSE)</f>
        <v>#REF!</v>
      </c>
      <c r="F7524">
        <v>152.30000000000001</v>
      </c>
      <c r="G7524">
        <f>(Cpi_[[#This Row],[Value]]-F7523)/F7523</f>
        <v>5.3250345781466236E-2</v>
      </c>
      <c r="H7524" t="e" cm="1" vm="1">
        <f t="array" aca="1" ref="H7524" ca="1">VLOOKUP(Cpi_[[#This Row],[Year]:[Month]],crudeoil[],3,FALSE)</f>
        <v>#VALUE!</v>
      </c>
    </row>
    <row r="7525" spans="1:8" hidden="1" x14ac:dyDescent="0.3">
      <c r="A7525" t="s">
        <v>34</v>
      </c>
      <c r="B7525">
        <v>2020</v>
      </c>
      <c r="C7525" t="s">
        <v>43</v>
      </c>
      <c r="D7525" t="s">
        <v>20</v>
      </c>
      <c r="E7525" t="e">
        <f>VLOOKUP(Cpi_[[#This Row],[Attribute]],#REF!,2,FALSE)</f>
        <v>#REF!</v>
      </c>
      <c r="F7525">
        <v>156.5</v>
      </c>
      <c r="G7525">
        <f>(Cpi_[[#This Row],[Value]]-F7524)/F7524</f>
        <v>2.7577150361129274E-2</v>
      </c>
      <c r="H7525" t="e" cm="1" vm="1">
        <f t="array" aca="1" ref="H7525" ca="1">VLOOKUP(Cpi_[[#This Row],[Year]:[Month]],crudeoil[],3,FALSE)</f>
        <v>#VALUE!</v>
      </c>
    </row>
    <row r="7526" spans="1:8" hidden="1" x14ac:dyDescent="0.3">
      <c r="A7526" t="s">
        <v>34</v>
      </c>
      <c r="B7526">
        <v>2020</v>
      </c>
      <c r="C7526" t="s">
        <v>43</v>
      </c>
      <c r="D7526" t="s">
        <v>21</v>
      </c>
      <c r="E7526" t="e">
        <f>VLOOKUP(Cpi_[[#This Row],[Attribute]],#REF!,2,FALSE)</f>
        <v>#REF!</v>
      </c>
      <c r="F7526">
        <v>143.1</v>
      </c>
      <c r="G7526">
        <f>(Cpi_[[#This Row],[Value]]-F7525)/F7525</f>
        <v>-8.562300319488822E-2</v>
      </c>
      <c r="H7526" t="e" cm="1" vm="1">
        <f t="array" aca="1" ref="H7526" ca="1">VLOOKUP(Cpi_[[#This Row],[Year]:[Month]],crudeoil[],3,FALSE)</f>
        <v>#VALUE!</v>
      </c>
    </row>
    <row r="7527" spans="1:8" hidden="1" x14ac:dyDescent="0.3">
      <c r="A7527" t="s">
        <v>34</v>
      </c>
      <c r="B7527">
        <v>2020</v>
      </c>
      <c r="C7527" t="s">
        <v>43</v>
      </c>
      <c r="D7527" t="s">
        <v>22</v>
      </c>
      <c r="E7527" t="e">
        <f>VLOOKUP(Cpi_[[#This Row],[Attribute]],#REF!,2,FALSE)</f>
        <v>#REF!</v>
      </c>
      <c r="F7527">
        <v>148.69999999999999</v>
      </c>
      <c r="G7527">
        <f>(Cpi_[[#This Row],[Value]]-F7526)/F7526</f>
        <v>3.9133473095737212E-2</v>
      </c>
      <c r="H7527" t="e" cm="1" vm="1">
        <f t="array" aca="1" ref="H7527" ca="1">VLOOKUP(Cpi_[[#This Row],[Year]:[Month]],crudeoil[],3,FALSE)</f>
        <v>#VALUE!</v>
      </c>
    </row>
    <row r="7528" spans="1:8" hidden="1" x14ac:dyDescent="0.3">
      <c r="A7528" t="s">
        <v>34</v>
      </c>
      <c r="B7528">
        <v>2020</v>
      </c>
      <c r="C7528" t="s">
        <v>43</v>
      </c>
      <c r="D7528" t="s">
        <v>23</v>
      </c>
      <c r="E7528" t="e">
        <f>VLOOKUP(Cpi_[[#This Row],[Attribute]],#REF!,2,FALSE)</f>
        <v>#REF!</v>
      </c>
      <c r="F7528">
        <v>156.30000000000001</v>
      </c>
      <c r="G7528">
        <f>(Cpi_[[#This Row],[Value]]-F7527)/F7527</f>
        <v>5.1109616677875072E-2</v>
      </c>
      <c r="H7528" t="e" cm="1" vm="1">
        <f t="array" aca="1" ref="H7528" ca="1">VLOOKUP(Cpi_[[#This Row],[Year]:[Month]],crudeoil[],3,FALSE)</f>
        <v>#VALUE!</v>
      </c>
    </row>
    <row r="7529" spans="1:8" hidden="1" x14ac:dyDescent="0.3">
      <c r="A7529" t="s">
        <v>34</v>
      </c>
      <c r="B7529">
        <v>2020</v>
      </c>
      <c r="C7529" t="s">
        <v>43</v>
      </c>
      <c r="D7529" t="s">
        <v>24</v>
      </c>
      <c r="E7529" t="e">
        <f>VLOOKUP(Cpi_[[#This Row],[Attribute]],#REF!,2,FALSE)</f>
        <v>#REF!</v>
      </c>
      <c r="F7529">
        <v>140.6</v>
      </c>
      <c r="G7529">
        <f>(Cpi_[[#This Row],[Value]]-F7528)/F7528</f>
        <v>-0.10044785668586062</v>
      </c>
      <c r="H7529" t="e" cm="1" vm="1">
        <f t="array" aca="1" ref="H7529" ca="1">VLOOKUP(Cpi_[[#This Row],[Year]:[Month]],crudeoil[],3,FALSE)</f>
        <v>#VALUE!</v>
      </c>
    </row>
    <row r="7530" spans="1:8" hidden="1" x14ac:dyDescent="0.3">
      <c r="A7530" t="s">
        <v>34</v>
      </c>
      <c r="B7530">
        <v>2020</v>
      </c>
      <c r="C7530" t="s">
        <v>43</v>
      </c>
      <c r="D7530" t="s">
        <v>25</v>
      </c>
      <c r="E7530" t="e">
        <f>VLOOKUP(Cpi_[[#This Row],[Attribute]],#REF!,2,FALSE)</f>
        <v>#REF!</v>
      </c>
      <c r="F7530">
        <v>146.5</v>
      </c>
      <c r="G7530">
        <f>(Cpi_[[#This Row],[Value]]-F7529)/F7529</f>
        <v>4.1963015647226216E-2</v>
      </c>
      <c r="H7530" t="e" cm="1" vm="1">
        <f t="array" aca="1" ref="H7530" ca="1">VLOOKUP(Cpi_[[#This Row],[Year]:[Month]],crudeoil[],3,FALSE)</f>
        <v>#VALUE!</v>
      </c>
    </row>
    <row r="7531" spans="1:8" hidden="1" x14ac:dyDescent="0.3">
      <c r="A7531" t="s">
        <v>34</v>
      </c>
      <c r="B7531">
        <v>2020</v>
      </c>
      <c r="C7531" t="s">
        <v>43</v>
      </c>
      <c r="D7531" t="s">
        <v>26</v>
      </c>
      <c r="E7531" t="e">
        <f>VLOOKUP(Cpi_[[#This Row],[Attribute]],#REF!,2,FALSE)</f>
        <v>#REF!</v>
      </c>
      <c r="F7531">
        <v>158.5</v>
      </c>
      <c r="G7531">
        <f>(Cpi_[[#This Row],[Value]]-F7530)/F7530</f>
        <v>8.191126279863481E-2</v>
      </c>
      <c r="H7531" t="e" cm="1" vm="1">
        <f t="array" aca="1" ref="H7531" ca="1">VLOOKUP(Cpi_[[#This Row],[Year]:[Month]],crudeoil[],3,FALSE)</f>
        <v>#VALUE!</v>
      </c>
    </row>
    <row r="7532" spans="1:8" hidden="1" x14ac:dyDescent="0.3">
      <c r="A7532" t="s">
        <v>34</v>
      </c>
      <c r="B7532">
        <v>2020</v>
      </c>
      <c r="C7532" t="s">
        <v>43</v>
      </c>
      <c r="D7532" t="s">
        <v>27</v>
      </c>
      <c r="E7532" t="e">
        <f>VLOOKUP(Cpi_[[#This Row],[Attribute]],#REF!,2,FALSE)</f>
        <v>#REF!</v>
      </c>
      <c r="F7532">
        <v>157</v>
      </c>
      <c r="G7532">
        <f>(Cpi_[[#This Row],[Value]]-F7531)/F7531</f>
        <v>-9.4637223974763408E-3</v>
      </c>
      <c r="H7532" t="e" cm="1" vm="1">
        <f t="array" aca="1" ref="H7532" ca="1">VLOOKUP(Cpi_[[#This Row],[Year]:[Month]],crudeoil[],3,FALSE)</f>
        <v>#VALUE!</v>
      </c>
    </row>
    <row r="7533" spans="1:8" hidden="1" x14ac:dyDescent="0.3">
      <c r="A7533" t="s">
        <v>34</v>
      </c>
      <c r="B7533">
        <v>2020</v>
      </c>
      <c r="C7533" t="s">
        <v>43</v>
      </c>
      <c r="D7533" t="s">
        <v>28</v>
      </c>
      <c r="E7533" t="e">
        <f>VLOOKUP(Cpi_[[#This Row],[Attribute]],#REF!,2,FALSE)</f>
        <v>#REF!</v>
      </c>
      <c r="F7533">
        <v>150.4</v>
      </c>
      <c r="G7533">
        <f>(Cpi_[[#This Row],[Value]]-F7532)/F7532</f>
        <v>-4.2038216560509517E-2</v>
      </c>
      <c r="H7533" t="e" cm="1" vm="1">
        <f t="array" aca="1" ref="H7533" ca="1">VLOOKUP(Cpi_[[#This Row],[Year]:[Month]],crudeoil[],3,FALSE)</f>
        <v>#VALUE!</v>
      </c>
    </row>
    <row r="7534" spans="1:8" hidden="1" x14ac:dyDescent="0.3">
      <c r="A7534" t="s">
        <v>34</v>
      </c>
      <c r="B7534">
        <v>2020</v>
      </c>
      <c r="C7534" t="s">
        <v>43</v>
      </c>
      <c r="D7534" t="s">
        <v>29</v>
      </c>
      <c r="E7534" t="e" cm="1">
        <f t="array" aca="1" ref="E7534" ca="1">VLGeneral indexGeneral indexKUP(Cpi_[[#This Row],[Attribute]],#REF!,2,FALSE)</f>
        <v>#NAME?</v>
      </c>
      <c r="F7534">
        <v>156.4</v>
      </c>
      <c r="G7534">
        <f>(Cpi_[[#This Row],[Value]]-F7533)/F7533</f>
        <v>3.9893617021276591E-2</v>
      </c>
      <c r="H7534" t="e" cm="1" vm="1">
        <f t="array" aca="1" ref="H7534" ca="1">VLOOKUP(Cpi_[[#This Row],[Year]:[Month]],crudeoil[],3,FALSE)</f>
        <v>#VALUE!</v>
      </c>
    </row>
    <row r="7535" spans="1:8" hidden="1" x14ac:dyDescent="0.3">
      <c r="A7535" t="s">
        <v>30</v>
      </c>
      <c r="B7535">
        <v>2020</v>
      </c>
      <c r="C7535" t="s">
        <v>45</v>
      </c>
      <c r="D7535" t="s">
        <v>3</v>
      </c>
      <c r="E7535" t="e">
        <f>VLOOKUP(Cpi_[[#This Row],[Attribute]],#REF!,2,FALSE)</f>
        <v>#REF!</v>
      </c>
      <c r="F7535">
        <v>145.4</v>
      </c>
      <c r="G7535">
        <f>(Cpi_[[#This Row],[Value]]-F7534)/F7534</f>
        <v>-7.0332480818414325E-2</v>
      </c>
      <c r="H7535" t="e" cm="1" vm="1">
        <f t="array" aca="1" ref="H7535" ca="1">VLOOKUP(Cpi_[[#This Row],[Year]:[Month]],crudeoil[],3,FALSE)</f>
        <v>#VALUE!</v>
      </c>
    </row>
    <row r="7536" spans="1:8" hidden="1" x14ac:dyDescent="0.3">
      <c r="A7536" t="s">
        <v>30</v>
      </c>
      <c r="B7536">
        <v>2020</v>
      </c>
      <c r="C7536" t="s">
        <v>45</v>
      </c>
      <c r="D7536" t="s">
        <v>4</v>
      </c>
      <c r="E7536" t="e">
        <f>VLOOKUP(Cpi_[[#This Row],[Attribute]],#REF!,2,FALSE)</f>
        <v>#REF!</v>
      </c>
      <c r="F7536">
        <v>188.6</v>
      </c>
      <c r="G7536">
        <f>(Cpi_[[#This Row],[Value]]-F7535)/F7535</f>
        <v>0.29711141678129288</v>
      </c>
      <c r="H7536" t="e" cm="1" vm="1">
        <f t="array" aca="1" ref="H7536" ca="1">VLOOKUP(Cpi_[[#This Row],[Year]:[Month]],crudeoil[],3,FALSE)</f>
        <v>#VALUE!</v>
      </c>
    </row>
    <row r="7537" spans="1:8" hidden="1" x14ac:dyDescent="0.3">
      <c r="A7537" t="s">
        <v>30</v>
      </c>
      <c r="B7537">
        <v>2020</v>
      </c>
      <c r="C7537" t="s">
        <v>45</v>
      </c>
      <c r="D7537" t="s">
        <v>5</v>
      </c>
      <c r="E7537" t="e">
        <f>VLOOKUP(Cpi_[[#This Row],[Attribute]],#REF!,2,FALSE)</f>
        <v>#REF!</v>
      </c>
      <c r="F7537">
        <v>171.6</v>
      </c>
      <c r="G7537">
        <f>(Cpi_[[#This Row],[Value]]-F7536)/F7536</f>
        <v>-9.0137857900318141E-2</v>
      </c>
      <c r="H7537" t="e" cm="1" vm="1">
        <f t="array" aca="1" ref="H7537" ca="1">VLOOKUP(Cpi_[[#This Row],[Year]:[Month]],crudeoil[],3,FALSE)</f>
        <v>#VALUE!</v>
      </c>
    </row>
    <row r="7538" spans="1:8" hidden="1" x14ac:dyDescent="0.3">
      <c r="A7538" t="s">
        <v>30</v>
      </c>
      <c r="B7538">
        <v>2020</v>
      </c>
      <c r="C7538" t="s">
        <v>45</v>
      </c>
      <c r="D7538" t="s">
        <v>6</v>
      </c>
      <c r="E7538" t="e">
        <f>VLOOKUP(Cpi_[[#This Row],[Attribute]],#REF!,2,FALSE)</f>
        <v>#REF!</v>
      </c>
      <c r="F7538">
        <v>153.80000000000001</v>
      </c>
      <c r="G7538">
        <f>(Cpi_[[#This Row],[Value]]-F7537)/F7537</f>
        <v>-0.10372960372960363</v>
      </c>
      <c r="H7538" t="e" cm="1" vm="1">
        <f t="array" aca="1" ref="H7538" ca="1">VLOOKUP(Cpi_[[#This Row],[Year]:[Month]],crudeoil[],3,FALSE)</f>
        <v>#VALUE!</v>
      </c>
    </row>
    <row r="7539" spans="1:8" hidden="1" x14ac:dyDescent="0.3">
      <c r="A7539" t="s">
        <v>30</v>
      </c>
      <c r="B7539">
        <v>2020</v>
      </c>
      <c r="C7539" t="s">
        <v>45</v>
      </c>
      <c r="D7539" t="s">
        <v>7</v>
      </c>
      <c r="E7539" t="e">
        <f>VLOOKUP(Cpi_[[#This Row],[Attribute]],#REF!,2,FALSE)</f>
        <v>#REF!</v>
      </c>
      <c r="F7539">
        <v>145.4</v>
      </c>
      <c r="G7539">
        <f>(Cpi_[[#This Row],[Value]]-F7538)/F7538</f>
        <v>-5.4616384915474672E-2</v>
      </c>
      <c r="H7539" t="e" cm="1" vm="1">
        <f t="array" aca="1" ref="H7539" ca="1">VLOOKUP(Cpi_[[#This Row],[Year]:[Month]],crudeoil[],3,FALSE)</f>
        <v>#VALUE!</v>
      </c>
    </row>
    <row r="7540" spans="1:8" hidden="1" x14ac:dyDescent="0.3">
      <c r="A7540" t="s">
        <v>30</v>
      </c>
      <c r="B7540">
        <v>2020</v>
      </c>
      <c r="C7540" t="s">
        <v>45</v>
      </c>
      <c r="D7540" t="s">
        <v>8</v>
      </c>
      <c r="E7540" t="e">
        <f>VLOOKUP(Cpi_[[#This Row],[Attribute]],#REF!,2,FALSE)</f>
        <v>#REF!</v>
      </c>
      <c r="F7540">
        <v>146.5</v>
      </c>
      <c r="G7540">
        <f>(Cpi_[[#This Row],[Value]]-F7539)/F7539</f>
        <v>7.5653370013754762E-3</v>
      </c>
      <c r="H7540" t="e" cm="1" vm="1">
        <f t="array" aca="1" ref="H7540" ca="1">VLOOKUP(Cpi_[[#This Row],[Year]:[Month]],crudeoil[],3,FALSE)</f>
        <v>#VALUE!</v>
      </c>
    </row>
    <row r="7541" spans="1:8" hidden="1" x14ac:dyDescent="0.3">
      <c r="A7541" t="s">
        <v>30</v>
      </c>
      <c r="B7541">
        <v>2020</v>
      </c>
      <c r="C7541" t="s">
        <v>45</v>
      </c>
      <c r="D7541" t="s">
        <v>9</v>
      </c>
      <c r="E7541" t="e">
        <f>VLOOKUP(Cpi_[[#This Row],[Attribute]],#REF!,2,FALSE)</f>
        <v>#REF!</v>
      </c>
      <c r="F7541">
        <v>222.2</v>
      </c>
      <c r="G7541">
        <f>(Cpi_[[#This Row],[Value]]-F7540)/F7540</f>
        <v>0.51672354948805455</v>
      </c>
      <c r="H7541" t="e" cm="1" vm="1">
        <f t="array" aca="1" ref="H7541" ca="1">VLOOKUP(Cpi_[[#This Row],[Year]:[Month]],crudeoil[],3,FALSE)</f>
        <v>#VALUE!</v>
      </c>
    </row>
    <row r="7542" spans="1:8" hidden="1" x14ac:dyDescent="0.3">
      <c r="A7542" t="s">
        <v>30</v>
      </c>
      <c r="B7542">
        <v>2020</v>
      </c>
      <c r="C7542" t="s">
        <v>45</v>
      </c>
      <c r="D7542" t="s">
        <v>10</v>
      </c>
      <c r="E7542" t="e">
        <f>VLOOKUP(Cpi_[[#This Row],[Attribute]],#REF!,2,FALSE)</f>
        <v>#REF!</v>
      </c>
      <c r="F7542">
        <v>155.9</v>
      </c>
      <c r="G7542">
        <f>(Cpi_[[#This Row],[Value]]-F7541)/F7541</f>
        <v>-0.2983798379837983</v>
      </c>
      <c r="H7542" t="e" cm="1" vm="1">
        <f t="array" aca="1" ref="H7542" ca="1">VLOOKUP(Cpi_[[#This Row],[Year]:[Month]],crudeoil[],3,FALSE)</f>
        <v>#VALUE!</v>
      </c>
    </row>
    <row r="7543" spans="1:8" hidden="1" x14ac:dyDescent="0.3">
      <c r="A7543" t="s">
        <v>30</v>
      </c>
      <c r="B7543">
        <v>2020</v>
      </c>
      <c r="C7543" t="s">
        <v>45</v>
      </c>
      <c r="D7543" t="s">
        <v>11</v>
      </c>
      <c r="E7543" t="e">
        <f>VLOOKUP(Cpi_[[#This Row],[Attribute]],#REF!,2,FALSE)</f>
        <v>#REF!</v>
      </c>
      <c r="F7543">
        <v>114.9</v>
      </c>
      <c r="G7543">
        <f>(Cpi_[[#This Row],[Value]]-F7542)/F7542</f>
        <v>-0.26298909557408595</v>
      </c>
      <c r="H7543" t="e" cm="1" vm="1">
        <f t="array" aca="1" ref="H7543" ca="1">VLOOKUP(Cpi_[[#This Row],[Year]:[Month]],crudeoil[],3,FALSE)</f>
        <v>#VALUE!</v>
      </c>
    </row>
    <row r="7544" spans="1:8" hidden="1" x14ac:dyDescent="0.3">
      <c r="A7544" t="s">
        <v>30</v>
      </c>
      <c r="B7544">
        <v>2020</v>
      </c>
      <c r="C7544" t="s">
        <v>45</v>
      </c>
      <c r="D7544" t="s">
        <v>12</v>
      </c>
      <c r="E7544" t="e">
        <f>VLOOKUP(Cpi_[[#This Row],[Attribute]],#REF!,2,FALSE)</f>
        <v>#REF!</v>
      </c>
      <c r="F7544">
        <v>162</v>
      </c>
      <c r="G7544">
        <f>(Cpi_[[#This Row],[Value]]-F7543)/F7543</f>
        <v>0.4099216710182767</v>
      </c>
      <c r="H7544" t="e" cm="1" vm="1">
        <f t="array" aca="1" ref="H7544" ca="1">VLOOKUP(Cpi_[[#This Row],[Year]:[Month]],crudeoil[],3,FALSE)</f>
        <v>#VALUE!</v>
      </c>
    </row>
    <row r="7545" spans="1:8" hidden="1" x14ac:dyDescent="0.3">
      <c r="A7545" t="s">
        <v>30</v>
      </c>
      <c r="B7545">
        <v>2020</v>
      </c>
      <c r="C7545" t="s">
        <v>45</v>
      </c>
      <c r="D7545" t="s">
        <v>13</v>
      </c>
      <c r="E7545" t="e">
        <f>VLOOKUP(Cpi_[[#This Row],[Attribute]],#REF!,2,FALSE)</f>
        <v>#REF!</v>
      </c>
      <c r="F7545">
        <v>150</v>
      </c>
      <c r="G7545">
        <f>(Cpi_[[#This Row],[Value]]-F7544)/F7544</f>
        <v>-7.407407407407407E-2</v>
      </c>
      <c r="H7545" t="e" cm="1" vm="1">
        <f t="array" aca="1" ref="H7545" ca="1">VLOOKUP(Cpi_[[#This Row],[Year]:[Month]],crudeoil[],3,FALSE)</f>
        <v>#VALUE!</v>
      </c>
    </row>
    <row r="7546" spans="1:8" hidden="1" x14ac:dyDescent="0.3">
      <c r="A7546" t="s">
        <v>30</v>
      </c>
      <c r="B7546">
        <v>2020</v>
      </c>
      <c r="C7546" t="s">
        <v>45</v>
      </c>
      <c r="D7546" t="s">
        <v>14</v>
      </c>
      <c r="E7546" t="e">
        <f>VLOOKUP(Cpi_[[#This Row],[Attribute]],#REF!,2,FALSE)</f>
        <v>#REF!</v>
      </c>
      <c r="F7546">
        <v>162.69999999999999</v>
      </c>
      <c r="G7546">
        <f>(Cpi_[[#This Row],[Value]]-F7545)/F7545</f>
        <v>8.4666666666666585E-2</v>
      </c>
      <c r="H7546" t="e" cm="1" vm="1">
        <f t="array" aca="1" ref="H7546" ca="1">VLOOKUP(Cpi_[[#This Row],[Year]:[Month]],crudeoil[],3,FALSE)</f>
        <v>#VALUE!</v>
      </c>
    </row>
    <row r="7547" spans="1:8" hidden="1" x14ac:dyDescent="0.3">
      <c r="A7547" t="s">
        <v>30</v>
      </c>
      <c r="B7547">
        <v>2020</v>
      </c>
      <c r="C7547" t="s">
        <v>45</v>
      </c>
      <c r="D7547" t="s">
        <v>15</v>
      </c>
      <c r="E7547" t="e">
        <f>VLOOKUP(Cpi_[[#This Row],[Attribute]],#REF!,2,FALSE)</f>
        <v>#REF!</v>
      </c>
      <c r="F7547">
        <v>163.4</v>
      </c>
      <c r="G7547">
        <f>(Cpi_[[#This Row],[Value]]-F7546)/F7546</f>
        <v>4.3023970497849855E-3</v>
      </c>
      <c r="H7547" t="e" cm="1" vm="1">
        <f t="array" aca="1" ref="H7547" ca="1">VLOOKUP(Cpi_[[#This Row],[Year]:[Month]],crudeoil[],3,FALSE)</f>
        <v>#VALUE!</v>
      </c>
    </row>
    <row r="7548" spans="1:8" hidden="1" x14ac:dyDescent="0.3">
      <c r="A7548" t="s">
        <v>30</v>
      </c>
      <c r="B7548">
        <v>2020</v>
      </c>
      <c r="C7548" t="s">
        <v>45</v>
      </c>
      <c r="D7548" t="s">
        <v>16</v>
      </c>
      <c r="E7548" t="e">
        <f>VLOOKUP(Cpi_[[#This Row],[Attribute]],#REF!,2,FALSE)</f>
        <v>#REF!</v>
      </c>
      <c r="F7548">
        <v>183.4</v>
      </c>
      <c r="G7548">
        <f>(Cpi_[[#This Row],[Value]]-F7547)/F7547</f>
        <v>0.12239902080783353</v>
      </c>
      <c r="H7548" t="e" cm="1" vm="1">
        <f t="array" aca="1" ref="H7548" ca="1">VLOOKUP(Cpi_[[#This Row],[Year]:[Month]],crudeoil[],3,FALSE)</f>
        <v>#VALUE!</v>
      </c>
    </row>
    <row r="7549" spans="1:8" hidden="1" x14ac:dyDescent="0.3">
      <c r="A7549" t="s">
        <v>30</v>
      </c>
      <c r="B7549">
        <v>2020</v>
      </c>
      <c r="C7549" t="s">
        <v>45</v>
      </c>
      <c r="D7549" t="s">
        <v>17</v>
      </c>
      <c r="E7549" t="e">
        <f>VLOOKUP(Cpi_[[#This Row],[Attribute]],#REF!,2,FALSE)</f>
        <v>#REF!</v>
      </c>
      <c r="F7549">
        <v>156.30000000000001</v>
      </c>
      <c r="G7549">
        <f>(Cpi_[[#This Row],[Value]]-F7548)/F7548</f>
        <v>-0.14776444929116681</v>
      </c>
      <c r="H7549" t="e" cm="1" vm="1">
        <f t="array" aca="1" ref="H7549" ca="1">VLOOKUP(Cpi_[[#This Row],[Year]:[Month]],crudeoil[],3,FALSE)</f>
        <v>#VALUE!</v>
      </c>
    </row>
    <row r="7550" spans="1:8" hidden="1" x14ac:dyDescent="0.3">
      <c r="A7550" t="s">
        <v>30</v>
      </c>
      <c r="B7550">
        <v>2020</v>
      </c>
      <c r="C7550" t="s">
        <v>45</v>
      </c>
      <c r="D7550" t="s">
        <v>18</v>
      </c>
      <c r="E7550" t="e">
        <f>VLOOKUP(Cpi_[[#This Row],[Attribute]],#REF!,2,FALSE)</f>
        <v>#REF!</v>
      </c>
      <c r="F7550">
        <v>151</v>
      </c>
      <c r="G7550">
        <f>(Cpi_[[#This Row],[Value]]-F7549)/F7549</f>
        <v>-3.3909149072296932E-2</v>
      </c>
      <c r="H7550" t="e" cm="1" vm="1">
        <f t="array" aca="1" ref="H7550" ca="1">VLOOKUP(Cpi_[[#This Row],[Year]:[Month]],crudeoil[],3,FALSE)</f>
        <v>#VALUE!</v>
      </c>
    </row>
    <row r="7551" spans="1:8" hidden="1" x14ac:dyDescent="0.3">
      <c r="A7551" t="s">
        <v>30</v>
      </c>
      <c r="B7551">
        <v>2020</v>
      </c>
      <c r="C7551" t="s">
        <v>45</v>
      </c>
      <c r="D7551" t="s">
        <v>19</v>
      </c>
      <c r="E7551" t="e">
        <f>VLOOKUP(Cpi_[[#This Row],[Attribute]],#REF!,2,FALSE)</f>
        <v>#REF!</v>
      </c>
      <c r="F7551">
        <v>155.5</v>
      </c>
      <c r="G7551">
        <f>(Cpi_[[#This Row],[Value]]-F7550)/F7550</f>
        <v>2.9801324503311258E-2</v>
      </c>
      <c r="H7551" t="e" cm="1" vm="1">
        <f t="array" aca="1" ref="H7551" ca="1">VLOOKUP(Cpi_[[#This Row],[Year]:[Month]],crudeoil[],3,FALSE)</f>
        <v>#VALUE!</v>
      </c>
    </row>
    <row r="7552" spans="1:8" hidden="1" x14ac:dyDescent="0.3">
      <c r="A7552" t="s">
        <v>30</v>
      </c>
      <c r="B7552">
        <v>2020</v>
      </c>
      <c r="C7552" t="s">
        <v>45</v>
      </c>
      <c r="D7552" t="s">
        <v>20</v>
      </c>
      <c r="E7552" t="e">
        <f>VLOOKUP(Cpi_[[#This Row],[Attribute]],#REF!,2,FALSE)</f>
        <v>#REF!</v>
      </c>
      <c r="F7552" t="s">
        <v>32</v>
      </c>
      <c r="G7552" t="e">
        <f>(Cpi_[[#This Row],[Value]]-F7551)/F7551</f>
        <v>#VALUE!</v>
      </c>
      <c r="H7552" t="e" cm="1" vm="1">
        <f t="array" aca="1" ref="H7552" ca="1">VLOOKUP(Cpi_[[#This Row],[Year]:[Month]],crudeoil[],3,FALSE)</f>
        <v>#VALUE!</v>
      </c>
    </row>
    <row r="7553" spans="1:8" hidden="1" x14ac:dyDescent="0.3">
      <c r="A7553" t="s">
        <v>30</v>
      </c>
      <c r="B7553">
        <v>2020</v>
      </c>
      <c r="C7553" t="s">
        <v>45</v>
      </c>
      <c r="D7553" t="s">
        <v>21</v>
      </c>
      <c r="E7553" t="e">
        <f>VLOOKUP(Cpi_[[#This Row],[Attribute]],#REF!,2,FALSE)</f>
        <v>#REF!</v>
      </c>
      <c r="F7553">
        <v>147.5</v>
      </c>
      <c r="G7553" t="e">
        <f>(Cpi_[[#This Row],[Value]]-F7552)/F7552</f>
        <v>#VALUE!</v>
      </c>
      <c r="H7553" t="e" cm="1" vm="1">
        <f t="array" aca="1" ref="H7553" ca="1">VLOOKUP(Cpi_[[#This Row],[Year]:[Month]],crudeoil[],3,FALSE)</f>
        <v>#VALUE!</v>
      </c>
    </row>
    <row r="7554" spans="1:8" hidden="1" x14ac:dyDescent="0.3">
      <c r="A7554" t="s">
        <v>30</v>
      </c>
      <c r="B7554">
        <v>2020</v>
      </c>
      <c r="C7554" t="s">
        <v>45</v>
      </c>
      <c r="D7554" t="s">
        <v>22</v>
      </c>
      <c r="E7554" t="e">
        <f>VLOOKUP(Cpi_[[#This Row],[Attribute]],#REF!,2,FALSE)</f>
        <v>#REF!</v>
      </c>
      <c r="F7554">
        <v>152.80000000000001</v>
      </c>
      <c r="G7554">
        <f>(Cpi_[[#This Row],[Value]]-F7553)/F7553</f>
        <v>3.5932203389830587E-2</v>
      </c>
      <c r="H7554" t="e" cm="1" vm="1">
        <f t="array" aca="1" ref="H7554" ca="1">VLOOKUP(Cpi_[[#This Row],[Year]:[Month]],crudeoil[],3,FALSE)</f>
        <v>#VALUE!</v>
      </c>
    </row>
    <row r="7555" spans="1:8" hidden="1" x14ac:dyDescent="0.3">
      <c r="A7555" t="s">
        <v>30</v>
      </c>
      <c r="B7555">
        <v>2020</v>
      </c>
      <c r="C7555" t="s">
        <v>45</v>
      </c>
      <c r="D7555" t="s">
        <v>23</v>
      </c>
      <c r="E7555" t="e">
        <f>VLOOKUP(Cpi_[[#This Row],[Attribute]],#REF!,2,FALSE)</f>
        <v>#REF!</v>
      </c>
      <c r="F7555">
        <v>160.4</v>
      </c>
      <c r="G7555">
        <f>(Cpi_[[#This Row],[Value]]-F7554)/F7554</f>
        <v>4.973821989528792E-2</v>
      </c>
      <c r="H7555" t="e" cm="1" vm="1">
        <f t="array" aca="1" ref="H7555" ca="1">VLOOKUP(Cpi_[[#This Row],[Year]:[Month]],crudeoil[],3,FALSE)</f>
        <v>#VALUE!</v>
      </c>
    </row>
    <row r="7556" spans="1:8" hidden="1" x14ac:dyDescent="0.3">
      <c r="A7556" t="s">
        <v>30</v>
      </c>
      <c r="B7556">
        <v>2020</v>
      </c>
      <c r="C7556" t="s">
        <v>45</v>
      </c>
      <c r="D7556" t="s">
        <v>24</v>
      </c>
      <c r="E7556" t="e">
        <f>VLOOKUP(Cpi_[[#This Row],[Attribute]],#REF!,2,FALSE)</f>
        <v>#REF!</v>
      </c>
      <c r="F7556">
        <v>146.1</v>
      </c>
      <c r="G7556">
        <f>(Cpi_[[#This Row],[Value]]-F7555)/F7555</f>
        <v>-8.9152119700748197E-2</v>
      </c>
      <c r="H7556" t="e" cm="1" vm="1">
        <f t="array" aca="1" ref="H7556" ca="1">VLOOKUP(Cpi_[[#This Row],[Year]:[Month]],crudeoil[],3,FALSE)</f>
        <v>#VALUE!</v>
      </c>
    </row>
    <row r="7557" spans="1:8" hidden="1" x14ac:dyDescent="0.3">
      <c r="A7557" t="s">
        <v>30</v>
      </c>
      <c r="B7557">
        <v>2020</v>
      </c>
      <c r="C7557" t="s">
        <v>45</v>
      </c>
      <c r="D7557" t="s">
        <v>25</v>
      </c>
      <c r="E7557" t="e">
        <f>VLOOKUP(Cpi_[[#This Row],[Attribute]],#REF!,2,FALSE)</f>
        <v>#REF!</v>
      </c>
      <c r="F7557">
        <v>153.6</v>
      </c>
      <c r="G7557">
        <f>(Cpi_[[#This Row],[Value]]-F7556)/F7556</f>
        <v>5.1334702258726904E-2</v>
      </c>
      <c r="H7557" t="e" cm="1" vm="1">
        <f t="array" aca="1" ref="H7557" ca="1">VLOOKUP(Cpi_[[#This Row],[Year]:[Month]],crudeoil[],3,FALSE)</f>
        <v>#VALUE!</v>
      </c>
    </row>
    <row r="7558" spans="1:8" hidden="1" x14ac:dyDescent="0.3">
      <c r="A7558" t="s">
        <v>30</v>
      </c>
      <c r="B7558">
        <v>2020</v>
      </c>
      <c r="C7558" t="s">
        <v>45</v>
      </c>
      <c r="D7558" t="s">
        <v>26</v>
      </c>
      <c r="E7558" t="e">
        <f>VLOOKUP(Cpi_[[#This Row],[Attribute]],#REF!,2,FALSE)</f>
        <v>#REF!</v>
      </c>
      <c r="F7558">
        <v>161.6</v>
      </c>
      <c r="G7558">
        <f>(Cpi_[[#This Row],[Value]]-F7557)/F7557</f>
        <v>5.2083333333333336E-2</v>
      </c>
      <c r="H7558" t="e" cm="1" vm="1">
        <f t="array" aca="1" ref="H7558" ca="1">VLOOKUP(Cpi_[[#This Row],[Year]:[Month]],crudeoil[],3,FALSE)</f>
        <v>#VALUE!</v>
      </c>
    </row>
    <row r="7559" spans="1:8" hidden="1" x14ac:dyDescent="0.3">
      <c r="A7559" t="s">
        <v>30</v>
      </c>
      <c r="B7559">
        <v>2020</v>
      </c>
      <c r="C7559" t="s">
        <v>45</v>
      </c>
      <c r="D7559" t="s">
        <v>27</v>
      </c>
      <c r="E7559" t="e">
        <f>VLOOKUP(Cpi_[[#This Row],[Attribute]],#REF!,2,FALSE)</f>
        <v>#REF!</v>
      </c>
      <c r="F7559">
        <v>156.19999999999999</v>
      </c>
      <c r="G7559">
        <f>(Cpi_[[#This Row],[Value]]-F7558)/F7558</f>
        <v>-3.3415841584158452E-2</v>
      </c>
      <c r="H7559" t="e" cm="1" vm="1">
        <f t="array" aca="1" ref="H7559" ca="1">VLOOKUP(Cpi_[[#This Row],[Year]:[Month]],crudeoil[],3,FALSE)</f>
        <v>#VALUE!</v>
      </c>
    </row>
    <row r="7560" spans="1:8" hidden="1" x14ac:dyDescent="0.3">
      <c r="A7560" t="s">
        <v>30</v>
      </c>
      <c r="B7560">
        <v>2020</v>
      </c>
      <c r="C7560" t="s">
        <v>45</v>
      </c>
      <c r="D7560" t="s">
        <v>28</v>
      </c>
      <c r="E7560" t="e">
        <f>VLOOKUP(Cpi_[[#This Row],[Attribute]],#REF!,2,FALSE)</f>
        <v>#REF!</v>
      </c>
      <c r="F7560">
        <v>154.5</v>
      </c>
      <c r="G7560">
        <f>(Cpi_[[#This Row],[Value]]-F7559)/F7559</f>
        <v>-1.0883482714468557E-2</v>
      </c>
      <c r="H7560" t="e" cm="1" vm="1">
        <f t="array" aca="1" ref="H7560" ca="1">VLOOKUP(Cpi_[[#This Row],[Year]:[Month]],crudeoil[],3,FALSE)</f>
        <v>#VALUE!</v>
      </c>
    </row>
    <row r="7561" spans="1:8" hidden="1" x14ac:dyDescent="0.3">
      <c r="A7561" t="s">
        <v>30</v>
      </c>
      <c r="B7561">
        <v>2020</v>
      </c>
      <c r="C7561" t="s">
        <v>45</v>
      </c>
      <c r="D7561" t="s">
        <v>29</v>
      </c>
      <c r="E7561" t="e" cm="1">
        <f t="array" aca="1" ref="E7561" ca="1">VLGeneral indexGeneral indexKUP(Cpi_[[#This Row],[Attribute]],#REF!,2,FALSE)</f>
        <v>#NAME?</v>
      </c>
      <c r="F7561">
        <v>159.80000000000001</v>
      </c>
      <c r="G7561">
        <f>(Cpi_[[#This Row],[Value]]-F7560)/F7560</f>
        <v>3.4304207119741172E-2</v>
      </c>
      <c r="H7561" t="e" cm="1" vm="1">
        <f t="array" aca="1" ref="H7561" ca="1">VLOOKUP(Cpi_[[#This Row],[Year]:[Month]],crudeoil[],3,FALSE)</f>
        <v>#VALUE!</v>
      </c>
    </row>
    <row r="7562" spans="1:8" hidden="1" x14ac:dyDescent="0.3">
      <c r="A7562" t="s">
        <v>33</v>
      </c>
      <c r="B7562">
        <v>2020</v>
      </c>
      <c r="C7562" t="s">
        <v>45</v>
      </c>
      <c r="D7562" t="s">
        <v>3</v>
      </c>
      <c r="E7562" t="e">
        <f>VLOOKUP(Cpi_[[#This Row],[Attribute]],#REF!,2,FALSE)</f>
        <v>#REF!</v>
      </c>
      <c r="F7562">
        <v>149.69999999999999</v>
      </c>
      <c r="G7562">
        <f>(Cpi_[[#This Row],[Value]]-F7561)/F7561</f>
        <v>-6.320400500625796E-2</v>
      </c>
      <c r="H7562" t="e" cm="1" vm="1">
        <f t="array" aca="1" ref="H7562" ca="1">VLOOKUP(Cpi_[[#This Row],[Year]:[Month]],crudeoil[],3,FALSE)</f>
        <v>#VALUE!</v>
      </c>
    </row>
    <row r="7563" spans="1:8" hidden="1" x14ac:dyDescent="0.3">
      <c r="A7563" t="s">
        <v>33</v>
      </c>
      <c r="B7563">
        <v>2020</v>
      </c>
      <c r="C7563" t="s">
        <v>45</v>
      </c>
      <c r="D7563" t="s">
        <v>4</v>
      </c>
      <c r="E7563" t="e">
        <f>VLOOKUP(Cpi_[[#This Row],[Attribute]],#REF!,2,FALSE)</f>
        <v>#REF!</v>
      </c>
      <c r="F7563">
        <v>195.5</v>
      </c>
      <c r="G7563">
        <f>(Cpi_[[#This Row],[Value]]-F7562)/F7562</f>
        <v>0.30594522378089523</v>
      </c>
      <c r="H7563" t="e" cm="1" vm="1">
        <f t="array" aca="1" ref="H7563" ca="1">VLOOKUP(Cpi_[[#This Row],[Year]:[Month]],crudeoil[],3,FALSE)</f>
        <v>#VALUE!</v>
      </c>
    </row>
    <row r="7564" spans="1:8" hidden="1" x14ac:dyDescent="0.3">
      <c r="A7564" t="s">
        <v>33</v>
      </c>
      <c r="B7564">
        <v>2020</v>
      </c>
      <c r="C7564" t="s">
        <v>45</v>
      </c>
      <c r="D7564" t="s">
        <v>5</v>
      </c>
      <c r="E7564" t="e">
        <f>VLOOKUP(Cpi_[[#This Row],[Attribute]],#REF!,2,FALSE)</f>
        <v>#REF!</v>
      </c>
      <c r="F7564">
        <v>176.9</v>
      </c>
      <c r="G7564">
        <f>(Cpi_[[#This Row],[Value]]-F7563)/F7563</f>
        <v>-9.5140664961636798E-2</v>
      </c>
      <c r="H7564" t="e" cm="1" vm="1">
        <f t="array" aca="1" ref="H7564" ca="1">VLOOKUP(Cpi_[[#This Row],[Year]:[Month]],crudeoil[],3,FALSE)</f>
        <v>#VALUE!</v>
      </c>
    </row>
    <row r="7565" spans="1:8" hidden="1" x14ac:dyDescent="0.3">
      <c r="A7565" t="s">
        <v>33</v>
      </c>
      <c r="B7565">
        <v>2020</v>
      </c>
      <c r="C7565" t="s">
        <v>45</v>
      </c>
      <c r="D7565" t="s">
        <v>6</v>
      </c>
      <c r="E7565" t="e">
        <f>VLOOKUP(Cpi_[[#This Row],[Attribute]],#REF!,2,FALSE)</f>
        <v>#REF!</v>
      </c>
      <c r="F7565">
        <v>153.9</v>
      </c>
      <c r="G7565">
        <f>(Cpi_[[#This Row],[Value]]-F7564)/F7564</f>
        <v>-0.13001695873374788</v>
      </c>
      <c r="H7565" t="e" cm="1" vm="1">
        <f t="array" aca="1" ref="H7565" ca="1">VLOOKUP(Cpi_[[#This Row],[Year]:[Month]],crudeoil[],3,FALSE)</f>
        <v>#VALUE!</v>
      </c>
    </row>
    <row r="7566" spans="1:8" hidden="1" x14ac:dyDescent="0.3">
      <c r="A7566" t="s">
        <v>33</v>
      </c>
      <c r="B7566">
        <v>2020</v>
      </c>
      <c r="C7566" t="s">
        <v>45</v>
      </c>
      <c r="D7566" t="s">
        <v>7</v>
      </c>
      <c r="E7566" t="e">
        <f>VLOOKUP(Cpi_[[#This Row],[Attribute]],#REF!,2,FALSE)</f>
        <v>#REF!</v>
      </c>
      <c r="F7566">
        <v>138</v>
      </c>
      <c r="G7566">
        <f>(Cpi_[[#This Row],[Value]]-F7565)/F7565</f>
        <v>-0.10331384015594546</v>
      </c>
      <c r="H7566" t="e" cm="1" vm="1">
        <f t="array" aca="1" ref="H7566" ca="1">VLOOKUP(Cpi_[[#This Row],[Year]:[Month]],crudeoil[],3,FALSE)</f>
        <v>#VALUE!</v>
      </c>
    </row>
    <row r="7567" spans="1:8" hidden="1" x14ac:dyDescent="0.3">
      <c r="A7567" t="s">
        <v>33</v>
      </c>
      <c r="B7567">
        <v>2020</v>
      </c>
      <c r="C7567" t="s">
        <v>45</v>
      </c>
      <c r="D7567" t="s">
        <v>8</v>
      </c>
      <c r="E7567" t="e">
        <f>VLOOKUP(Cpi_[[#This Row],[Attribute]],#REF!,2,FALSE)</f>
        <v>#REF!</v>
      </c>
      <c r="F7567">
        <v>150.5</v>
      </c>
      <c r="G7567">
        <f>(Cpi_[[#This Row],[Value]]-F7566)/F7566</f>
        <v>9.0579710144927536E-2</v>
      </c>
      <c r="H7567" t="e" cm="1" vm="1">
        <f t="array" aca="1" ref="H7567" ca="1">VLOOKUP(Cpi_[[#This Row],[Year]:[Month]],crudeoil[],3,FALSE)</f>
        <v>#VALUE!</v>
      </c>
    </row>
    <row r="7568" spans="1:8" hidden="1" x14ac:dyDescent="0.3">
      <c r="A7568" t="s">
        <v>33</v>
      </c>
      <c r="B7568">
        <v>2020</v>
      </c>
      <c r="C7568" t="s">
        <v>45</v>
      </c>
      <c r="D7568" t="s">
        <v>9</v>
      </c>
      <c r="E7568" t="e">
        <f>VLOOKUP(Cpi_[[#This Row],[Attribute]],#REF!,2,FALSE)</f>
        <v>#REF!</v>
      </c>
      <c r="F7568">
        <v>245.3</v>
      </c>
      <c r="G7568">
        <f>(Cpi_[[#This Row],[Value]]-F7567)/F7567</f>
        <v>0.62990033222591368</v>
      </c>
      <c r="H7568" t="e" cm="1" vm="1">
        <f t="array" aca="1" ref="H7568" ca="1">VLOOKUP(Cpi_[[#This Row],[Year]:[Month]],crudeoil[],3,FALSE)</f>
        <v>#VALUE!</v>
      </c>
    </row>
    <row r="7569" spans="1:8" hidden="1" x14ac:dyDescent="0.3">
      <c r="A7569" t="s">
        <v>33</v>
      </c>
      <c r="B7569">
        <v>2020</v>
      </c>
      <c r="C7569" t="s">
        <v>45</v>
      </c>
      <c r="D7569" t="s">
        <v>10</v>
      </c>
      <c r="E7569" t="e">
        <f>VLOOKUP(Cpi_[[#This Row],[Attribute]],#REF!,2,FALSE)</f>
        <v>#REF!</v>
      </c>
      <c r="F7569">
        <v>158.69999999999999</v>
      </c>
      <c r="G7569">
        <f>(Cpi_[[#This Row],[Value]]-F7568)/F7568</f>
        <v>-0.35303709743171635</v>
      </c>
      <c r="H7569" t="e" cm="1" vm="1">
        <f t="array" aca="1" ref="H7569" ca="1">VLOOKUP(Cpi_[[#This Row],[Year]:[Month]],crudeoil[],3,FALSE)</f>
        <v>#VALUE!</v>
      </c>
    </row>
    <row r="7570" spans="1:8" hidden="1" x14ac:dyDescent="0.3">
      <c r="A7570" t="s">
        <v>33</v>
      </c>
      <c r="B7570">
        <v>2020</v>
      </c>
      <c r="C7570" t="s">
        <v>45</v>
      </c>
      <c r="D7570" t="s">
        <v>11</v>
      </c>
      <c r="E7570" t="e">
        <f>VLOOKUP(Cpi_[[#This Row],[Attribute]],#REF!,2,FALSE)</f>
        <v>#REF!</v>
      </c>
      <c r="F7570">
        <v>117.2</v>
      </c>
      <c r="G7570">
        <f>(Cpi_[[#This Row],[Value]]-F7569)/F7569</f>
        <v>-0.26149968494013853</v>
      </c>
      <c r="H7570" t="e" cm="1" vm="1">
        <f t="array" aca="1" ref="H7570" ca="1">VLOOKUP(Cpi_[[#This Row],[Year]:[Month]],crudeoil[],3,FALSE)</f>
        <v>#VALUE!</v>
      </c>
    </row>
    <row r="7571" spans="1:8" hidden="1" x14ac:dyDescent="0.3">
      <c r="A7571" t="s">
        <v>33</v>
      </c>
      <c r="B7571">
        <v>2020</v>
      </c>
      <c r="C7571" t="s">
        <v>45</v>
      </c>
      <c r="D7571" t="s">
        <v>12</v>
      </c>
      <c r="E7571" t="e">
        <f>VLOOKUP(Cpi_[[#This Row],[Attribute]],#REF!,2,FALSE)</f>
        <v>#REF!</v>
      </c>
      <c r="F7571">
        <v>161.4</v>
      </c>
      <c r="G7571">
        <f>(Cpi_[[#This Row],[Value]]-F7570)/F7570</f>
        <v>0.37713310580204779</v>
      </c>
      <c r="H7571" t="e" cm="1" vm="1">
        <f t="array" aca="1" ref="H7571" ca="1">VLOOKUP(Cpi_[[#This Row],[Year]:[Month]],crudeoil[],3,FALSE)</f>
        <v>#VALUE!</v>
      </c>
    </row>
    <row r="7572" spans="1:8" hidden="1" x14ac:dyDescent="0.3">
      <c r="A7572" t="s">
        <v>33</v>
      </c>
      <c r="B7572">
        <v>2020</v>
      </c>
      <c r="C7572" t="s">
        <v>45</v>
      </c>
      <c r="D7572" t="s">
        <v>13</v>
      </c>
      <c r="E7572" t="e">
        <f>VLOOKUP(Cpi_[[#This Row],[Attribute]],#REF!,2,FALSE)</f>
        <v>#REF!</v>
      </c>
      <c r="F7572">
        <v>141.5</v>
      </c>
      <c r="G7572">
        <f>(Cpi_[[#This Row],[Value]]-F7571)/F7571</f>
        <v>-0.12329615861214377</v>
      </c>
      <c r="H7572" t="e" cm="1" vm="1">
        <f t="array" aca="1" ref="H7572" ca="1">VLOOKUP(Cpi_[[#This Row],[Year]:[Month]],crudeoil[],3,FALSE)</f>
        <v>#VALUE!</v>
      </c>
    </row>
    <row r="7573" spans="1:8" hidden="1" x14ac:dyDescent="0.3">
      <c r="A7573" t="s">
        <v>33</v>
      </c>
      <c r="B7573">
        <v>2020</v>
      </c>
      <c r="C7573" t="s">
        <v>45</v>
      </c>
      <c r="D7573" t="s">
        <v>14</v>
      </c>
      <c r="E7573" t="e">
        <f>VLOOKUP(Cpi_[[#This Row],[Attribute]],#REF!,2,FALSE)</f>
        <v>#REF!</v>
      </c>
      <c r="F7573">
        <v>165.1</v>
      </c>
      <c r="G7573">
        <f>(Cpi_[[#This Row],[Value]]-F7572)/F7572</f>
        <v>0.16678445229681974</v>
      </c>
      <c r="H7573" t="e" cm="1" vm="1">
        <f t="array" aca="1" ref="H7573" ca="1">VLOOKUP(Cpi_[[#This Row],[Year]:[Month]],crudeoil[],3,FALSE)</f>
        <v>#VALUE!</v>
      </c>
    </row>
    <row r="7574" spans="1:8" hidden="1" x14ac:dyDescent="0.3">
      <c r="A7574" t="s">
        <v>33</v>
      </c>
      <c r="B7574">
        <v>2020</v>
      </c>
      <c r="C7574" t="s">
        <v>45</v>
      </c>
      <c r="D7574" t="s">
        <v>15</v>
      </c>
      <c r="E7574" t="e">
        <f>VLOOKUP(Cpi_[[#This Row],[Attribute]],#REF!,2,FALSE)</f>
        <v>#REF!</v>
      </c>
      <c r="F7574">
        <v>167</v>
      </c>
      <c r="G7574">
        <f>(Cpi_[[#This Row],[Value]]-F7573)/F7573</f>
        <v>1.1508176862507605E-2</v>
      </c>
      <c r="H7574" t="e" cm="1" vm="1">
        <f t="array" aca="1" ref="H7574" ca="1">VLOOKUP(Cpi_[[#This Row],[Year]:[Month]],crudeoil[],3,FALSE)</f>
        <v>#VALUE!</v>
      </c>
    </row>
    <row r="7575" spans="1:8" hidden="1" x14ac:dyDescent="0.3">
      <c r="A7575" t="s">
        <v>33</v>
      </c>
      <c r="B7575">
        <v>2020</v>
      </c>
      <c r="C7575" t="s">
        <v>45</v>
      </c>
      <c r="D7575" t="s">
        <v>16</v>
      </c>
      <c r="E7575" t="e">
        <f>VLOOKUP(Cpi_[[#This Row],[Attribute]],#REF!,2,FALSE)</f>
        <v>#REF!</v>
      </c>
      <c r="F7575">
        <v>188.8</v>
      </c>
      <c r="G7575">
        <f>(Cpi_[[#This Row],[Value]]-F7574)/F7574</f>
        <v>0.13053892215568869</v>
      </c>
      <c r="H7575" t="e" cm="1" vm="1">
        <f t="array" aca="1" ref="H7575" ca="1">VLOOKUP(Cpi_[[#This Row],[Year]:[Month]],crudeoil[],3,FALSE)</f>
        <v>#VALUE!</v>
      </c>
    </row>
    <row r="7576" spans="1:8" hidden="1" x14ac:dyDescent="0.3">
      <c r="A7576" t="s">
        <v>33</v>
      </c>
      <c r="B7576">
        <v>2020</v>
      </c>
      <c r="C7576" t="s">
        <v>45</v>
      </c>
      <c r="D7576" t="s">
        <v>17</v>
      </c>
      <c r="E7576" t="e">
        <f>VLOOKUP(Cpi_[[#This Row],[Attribute]],#REF!,2,FALSE)</f>
        <v>#REF!</v>
      </c>
      <c r="F7576">
        <v>151.1</v>
      </c>
      <c r="G7576">
        <f>(Cpi_[[#This Row],[Value]]-F7575)/F7575</f>
        <v>-0.19968220338983059</v>
      </c>
      <c r="H7576" t="e" cm="1" vm="1">
        <f t="array" aca="1" ref="H7576" ca="1">VLOOKUP(Cpi_[[#This Row],[Year]:[Month]],crudeoil[],3,FALSE)</f>
        <v>#VALUE!</v>
      </c>
    </row>
    <row r="7577" spans="1:8" hidden="1" x14ac:dyDescent="0.3">
      <c r="A7577" t="s">
        <v>33</v>
      </c>
      <c r="B7577">
        <v>2020</v>
      </c>
      <c r="C7577" t="s">
        <v>45</v>
      </c>
      <c r="D7577" t="s">
        <v>18</v>
      </c>
      <c r="E7577" t="e">
        <f>VLOOKUP(Cpi_[[#This Row],[Attribute]],#REF!,2,FALSE)</f>
        <v>#REF!</v>
      </c>
      <c r="F7577">
        <v>136.4</v>
      </c>
      <c r="G7577">
        <f>(Cpi_[[#This Row],[Value]]-F7576)/F7576</f>
        <v>-9.7286565188616739E-2</v>
      </c>
      <c r="H7577" t="e" cm="1" vm="1">
        <f t="array" aca="1" ref="H7577" ca="1">VLOOKUP(Cpi_[[#This Row],[Year]:[Month]],crudeoil[],3,FALSE)</f>
        <v>#VALUE!</v>
      </c>
    </row>
    <row r="7578" spans="1:8" hidden="1" x14ac:dyDescent="0.3">
      <c r="A7578" t="s">
        <v>33</v>
      </c>
      <c r="B7578">
        <v>2020</v>
      </c>
      <c r="C7578" t="s">
        <v>45</v>
      </c>
      <c r="D7578" t="s">
        <v>19</v>
      </c>
      <c r="E7578" t="e">
        <f>VLOOKUP(Cpi_[[#This Row],[Attribute]],#REF!,2,FALSE)</f>
        <v>#REF!</v>
      </c>
      <c r="F7578">
        <v>148.80000000000001</v>
      </c>
      <c r="G7578">
        <f>(Cpi_[[#This Row],[Value]]-F7577)/F7577</f>
        <v>9.0909090909090953E-2</v>
      </c>
      <c r="H7578" t="e" cm="1" vm="1">
        <f t="array" aca="1" ref="H7578" ca="1">VLOOKUP(Cpi_[[#This Row],[Year]:[Month]],crudeoil[],3,FALSE)</f>
        <v>#VALUE!</v>
      </c>
    </row>
    <row r="7579" spans="1:8" hidden="1" x14ac:dyDescent="0.3">
      <c r="A7579" t="s">
        <v>33</v>
      </c>
      <c r="B7579">
        <v>2020</v>
      </c>
      <c r="C7579" t="s">
        <v>45</v>
      </c>
      <c r="D7579" t="s">
        <v>20</v>
      </c>
      <c r="E7579" t="e">
        <f>VLOOKUP(Cpi_[[#This Row],[Attribute]],#REF!,2,FALSE)</f>
        <v>#REF!</v>
      </c>
      <c r="F7579">
        <v>158</v>
      </c>
      <c r="G7579">
        <f>(Cpi_[[#This Row],[Value]]-F7578)/F7578</f>
        <v>6.1827956989247229E-2</v>
      </c>
      <c r="H7579" t="e" cm="1" vm="1">
        <f t="array" aca="1" ref="H7579" ca="1">VLOOKUP(Cpi_[[#This Row],[Year]:[Month]],crudeoil[],3,FALSE)</f>
        <v>#VALUE!</v>
      </c>
    </row>
    <row r="7580" spans="1:8" hidden="1" x14ac:dyDescent="0.3">
      <c r="A7580" t="s">
        <v>33</v>
      </c>
      <c r="B7580">
        <v>2020</v>
      </c>
      <c r="C7580" t="s">
        <v>45</v>
      </c>
      <c r="D7580" t="s">
        <v>21</v>
      </c>
      <c r="E7580" t="e">
        <f>VLOOKUP(Cpi_[[#This Row],[Attribute]],#REF!,2,FALSE)</f>
        <v>#REF!</v>
      </c>
      <c r="F7580">
        <v>137.30000000000001</v>
      </c>
      <c r="G7580">
        <f>(Cpi_[[#This Row],[Value]]-F7579)/F7579</f>
        <v>-0.13101265822784802</v>
      </c>
      <c r="H7580" t="e" cm="1" vm="1">
        <f t="array" aca="1" ref="H7580" ca="1">VLOOKUP(Cpi_[[#This Row],[Year]:[Month]],crudeoil[],3,FALSE)</f>
        <v>#VALUE!</v>
      </c>
    </row>
    <row r="7581" spans="1:8" hidden="1" x14ac:dyDescent="0.3">
      <c r="A7581" t="s">
        <v>33</v>
      </c>
      <c r="B7581">
        <v>2020</v>
      </c>
      <c r="C7581" t="s">
        <v>45</v>
      </c>
      <c r="D7581" t="s">
        <v>22</v>
      </c>
      <c r="E7581" t="e">
        <f>VLOOKUP(Cpi_[[#This Row],[Attribute]],#REF!,2,FALSE)</f>
        <v>#REF!</v>
      </c>
      <c r="F7581">
        <v>145.1</v>
      </c>
      <c r="G7581">
        <f>(Cpi_[[#This Row],[Value]]-F7580)/F7580</f>
        <v>5.6809905316824345E-2</v>
      </c>
      <c r="H7581" t="e" cm="1" vm="1">
        <f t="array" aca="1" ref="H7581" ca="1">VLOOKUP(Cpi_[[#This Row],[Year]:[Month]],crudeoil[],3,FALSE)</f>
        <v>#VALUE!</v>
      </c>
    </row>
    <row r="7582" spans="1:8" hidden="1" x14ac:dyDescent="0.3">
      <c r="A7582" t="s">
        <v>33</v>
      </c>
      <c r="B7582">
        <v>2020</v>
      </c>
      <c r="C7582" t="s">
        <v>45</v>
      </c>
      <c r="D7582" t="s">
        <v>23</v>
      </c>
      <c r="E7582" t="e">
        <f>VLOOKUP(Cpi_[[#This Row],[Attribute]],#REF!,2,FALSE)</f>
        <v>#REF!</v>
      </c>
      <c r="F7582">
        <v>152</v>
      </c>
      <c r="G7582">
        <f>(Cpi_[[#This Row],[Value]]-F7581)/F7581</f>
        <v>4.7553411440385981E-2</v>
      </c>
      <c r="H7582" t="e" cm="1" vm="1">
        <f t="array" aca="1" ref="H7582" ca="1">VLOOKUP(Cpi_[[#This Row],[Year]:[Month]],crudeoil[],3,FALSE)</f>
        <v>#VALUE!</v>
      </c>
    </row>
    <row r="7583" spans="1:8" hidden="1" x14ac:dyDescent="0.3">
      <c r="A7583" t="s">
        <v>33</v>
      </c>
      <c r="B7583">
        <v>2020</v>
      </c>
      <c r="C7583" t="s">
        <v>45</v>
      </c>
      <c r="D7583" t="s">
        <v>24</v>
      </c>
      <c r="E7583" t="e">
        <f>VLOOKUP(Cpi_[[#This Row],[Attribute]],#REF!,2,FALSE)</f>
        <v>#REF!</v>
      </c>
      <c r="F7583">
        <v>135.19999999999999</v>
      </c>
      <c r="G7583">
        <f>(Cpi_[[#This Row],[Value]]-F7582)/F7582</f>
        <v>-0.11052631578947376</v>
      </c>
      <c r="H7583" t="e" cm="1" vm="1">
        <f t="array" aca="1" ref="H7583" ca="1">VLOOKUP(Cpi_[[#This Row],[Year]:[Month]],crudeoil[],3,FALSE)</f>
        <v>#VALUE!</v>
      </c>
    </row>
    <row r="7584" spans="1:8" hidden="1" x14ac:dyDescent="0.3">
      <c r="A7584" t="s">
        <v>33</v>
      </c>
      <c r="B7584">
        <v>2020</v>
      </c>
      <c r="C7584" t="s">
        <v>45</v>
      </c>
      <c r="D7584" t="s">
        <v>25</v>
      </c>
      <c r="E7584" t="e">
        <f>VLOOKUP(Cpi_[[#This Row],[Attribute]],#REF!,2,FALSE)</f>
        <v>#REF!</v>
      </c>
      <c r="F7584">
        <v>144.4</v>
      </c>
      <c r="G7584">
        <f>(Cpi_[[#This Row],[Value]]-F7583)/F7583</f>
        <v>6.8047337278106634E-2</v>
      </c>
      <c r="H7584" t="e" cm="1" vm="1">
        <f t="array" aca="1" ref="H7584" ca="1">VLOOKUP(Cpi_[[#This Row],[Year]:[Month]],crudeoil[],3,FALSE)</f>
        <v>#VALUE!</v>
      </c>
    </row>
    <row r="7585" spans="1:8" hidden="1" x14ac:dyDescent="0.3">
      <c r="A7585" t="s">
        <v>33</v>
      </c>
      <c r="B7585">
        <v>2020</v>
      </c>
      <c r="C7585" t="s">
        <v>45</v>
      </c>
      <c r="D7585" t="s">
        <v>26</v>
      </c>
      <c r="E7585" t="e">
        <f>VLOOKUP(Cpi_[[#This Row],[Attribute]],#REF!,2,FALSE)</f>
        <v>#REF!</v>
      </c>
      <c r="F7585">
        <v>156.4</v>
      </c>
      <c r="G7585">
        <f>(Cpi_[[#This Row],[Value]]-F7584)/F7584</f>
        <v>8.3102493074792241E-2</v>
      </c>
      <c r="H7585" t="e" cm="1" vm="1">
        <f t="array" aca="1" ref="H7585" ca="1">VLOOKUP(Cpi_[[#This Row],[Year]:[Month]],crudeoil[],3,FALSE)</f>
        <v>#VALUE!</v>
      </c>
    </row>
    <row r="7586" spans="1:8" hidden="1" x14ac:dyDescent="0.3">
      <c r="A7586" t="s">
        <v>33</v>
      </c>
      <c r="B7586">
        <v>2020</v>
      </c>
      <c r="C7586" t="s">
        <v>45</v>
      </c>
      <c r="D7586" t="s">
        <v>27</v>
      </c>
      <c r="E7586" t="e">
        <f>VLOOKUP(Cpi_[[#This Row],[Attribute]],#REF!,2,FALSE)</f>
        <v>#REF!</v>
      </c>
      <c r="F7586">
        <v>157.9</v>
      </c>
      <c r="G7586">
        <f>(Cpi_[[#This Row],[Value]]-F7585)/F7585</f>
        <v>9.5907928388746806E-3</v>
      </c>
      <c r="H7586" t="e" cm="1" vm="1">
        <f t="array" aca="1" ref="H7586" ca="1">VLOOKUP(Cpi_[[#This Row],[Year]:[Month]],crudeoil[],3,FALSE)</f>
        <v>#VALUE!</v>
      </c>
    </row>
    <row r="7587" spans="1:8" hidden="1" x14ac:dyDescent="0.3">
      <c r="A7587" t="s">
        <v>33</v>
      </c>
      <c r="B7587">
        <v>2020</v>
      </c>
      <c r="C7587" t="s">
        <v>45</v>
      </c>
      <c r="D7587" t="s">
        <v>28</v>
      </c>
      <c r="E7587" t="e">
        <f>VLOOKUP(Cpi_[[#This Row],[Attribute]],#REF!,2,FALSE)</f>
        <v>#REF!</v>
      </c>
      <c r="F7587">
        <v>146.6</v>
      </c>
      <c r="G7587">
        <f>(Cpi_[[#This Row],[Value]]-F7586)/F7586</f>
        <v>-7.1564281190627049E-2</v>
      </c>
      <c r="H7587" t="e" cm="1" vm="1">
        <f t="array" aca="1" ref="H7587" ca="1">VLOOKUP(Cpi_[[#This Row],[Year]:[Month]],crudeoil[],3,FALSE)</f>
        <v>#VALUE!</v>
      </c>
    </row>
    <row r="7588" spans="1:8" hidden="1" x14ac:dyDescent="0.3">
      <c r="A7588" t="s">
        <v>33</v>
      </c>
      <c r="B7588">
        <v>2020</v>
      </c>
      <c r="C7588" t="s">
        <v>45</v>
      </c>
      <c r="D7588" t="s">
        <v>29</v>
      </c>
      <c r="E7588" t="e" cm="1">
        <f t="array" aca="1" ref="E7588" ca="1">VLGeneral indexGeneral indexKUP(Cpi_[[#This Row],[Attribute]],#REF!,2,FALSE)</f>
        <v>#NAME?</v>
      </c>
      <c r="F7588">
        <v>156.69999999999999</v>
      </c>
      <c r="G7588">
        <f>(Cpi_[[#This Row],[Value]]-F7587)/F7587</f>
        <v>6.8894952251023156E-2</v>
      </c>
      <c r="H7588" t="e" cm="1" vm="1">
        <f t="array" aca="1" ref="H7588" ca="1">VLOOKUP(Cpi_[[#This Row],[Year]:[Month]],crudeoil[],3,FALSE)</f>
        <v>#VALUE!</v>
      </c>
    </row>
    <row r="7589" spans="1:8" hidden="1" x14ac:dyDescent="0.3">
      <c r="A7589" t="s">
        <v>34</v>
      </c>
      <c r="B7589">
        <v>2020</v>
      </c>
      <c r="C7589" t="s">
        <v>45</v>
      </c>
      <c r="D7589" t="s">
        <v>3</v>
      </c>
      <c r="E7589" t="e">
        <f>VLOOKUP(Cpi_[[#This Row],[Attribute]],#REF!,2,FALSE)</f>
        <v>#REF!</v>
      </c>
      <c r="F7589">
        <v>146.80000000000001</v>
      </c>
      <c r="G7589">
        <f>(Cpi_[[#This Row],[Value]]-F7588)/F7588</f>
        <v>-6.3178047223994754E-2</v>
      </c>
      <c r="H7589" t="e" cm="1" vm="1">
        <f t="array" aca="1" ref="H7589" ca="1">VLOOKUP(Cpi_[[#This Row],[Year]:[Month]],crudeoil[],3,FALSE)</f>
        <v>#VALUE!</v>
      </c>
    </row>
    <row r="7590" spans="1:8" hidden="1" x14ac:dyDescent="0.3">
      <c r="A7590" t="s">
        <v>34</v>
      </c>
      <c r="B7590">
        <v>2020</v>
      </c>
      <c r="C7590" t="s">
        <v>45</v>
      </c>
      <c r="D7590" t="s">
        <v>4</v>
      </c>
      <c r="E7590" t="e">
        <f>VLOOKUP(Cpi_[[#This Row],[Attribute]],#REF!,2,FALSE)</f>
        <v>#REF!</v>
      </c>
      <c r="F7590">
        <v>191</v>
      </c>
      <c r="G7590">
        <f>(Cpi_[[#This Row],[Value]]-F7589)/F7589</f>
        <v>0.30108991825613068</v>
      </c>
      <c r="H7590" t="e" cm="1" vm="1">
        <f t="array" aca="1" ref="H7590" ca="1">VLOOKUP(Cpi_[[#This Row],[Year]:[Month]],crudeoil[],3,FALSE)</f>
        <v>#VALUE!</v>
      </c>
    </row>
    <row r="7591" spans="1:8" hidden="1" x14ac:dyDescent="0.3">
      <c r="A7591" t="s">
        <v>34</v>
      </c>
      <c r="B7591">
        <v>2020</v>
      </c>
      <c r="C7591" t="s">
        <v>45</v>
      </c>
      <c r="D7591" t="s">
        <v>5</v>
      </c>
      <c r="E7591" t="e">
        <f>VLOOKUP(Cpi_[[#This Row],[Attribute]],#REF!,2,FALSE)</f>
        <v>#REF!</v>
      </c>
      <c r="F7591">
        <v>173.6</v>
      </c>
      <c r="G7591">
        <f>(Cpi_[[#This Row],[Value]]-F7590)/F7590</f>
        <v>-9.1099476439790605E-2</v>
      </c>
      <c r="H7591" t="e" cm="1" vm="1">
        <f t="array" aca="1" ref="H7591" ca="1">VLOOKUP(Cpi_[[#This Row],[Year]:[Month]],crudeoil[],3,FALSE)</f>
        <v>#VALUE!</v>
      </c>
    </row>
    <row r="7592" spans="1:8" hidden="1" x14ac:dyDescent="0.3">
      <c r="A7592" t="s">
        <v>34</v>
      </c>
      <c r="B7592">
        <v>2020</v>
      </c>
      <c r="C7592" t="s">
        <v>45</v>
      </c>
      <c r="D7592" t="s">
        <v>6</v>
      </c>
      <c r="E7592" t="e">
        <f>VLOOKUP(Cpi_[[#This Row],[Attribute]],#REF!,2,FALSE)</f>
        <v>#REF!</v>
      </c>
      <c r="F7592">
        <v>153.80000000000001</v>
      </c>
      <c r="G7592">
        <f>(Cpi_[[#This Row],[Value]]-F7591)/F7591</f>
        <v>-0.11405529953917042</v>
      </c>
      <c r="H7592" t="e" cm="1" vm="1">
        <f t="array" aca="1" ref="H7592" ca="1">VLOOKUP(Cpi_[[#This Row],[Year]:[Month]],crudeoil[],3,FALSE)</f>
        <v>#VALUE!</v>
      </c>
    </row>
    <row r="7593" spans="1:8" hidden="1" x14ac:dyDescent="0.3">
      <c r="A7593" t="s">
        <v>34</v>
      </c>
      <c r="B7593">
        <v>2020</v>
      </c>
      <c r="C7593" t="s">
        <v>45</v>
      </c>
      <c r="D7593" t="s">
        <v>7</v>
      </c>
      <c r="E7593" t="e">
        <f>VLOOKUP(Cpi_[[#This Row],[Attribute]],#REF!,2,FALSE)</f>
        <v>#REF!</v>
      </c>
      <c r="F7593">
        <v>142.69999999999999</v>
      </c>
      <c r="G7593">
        <f>(Cpi_[[#This Row],[Value]]-F7592)/F7592</f>
        <v>-7.2171651495448783E-2</v>
      </c>
      <c r="H7593" t="e" cm="1" vm="1">
        <f t="array" aca="1" ref="H7593" ca="1">VLOOKUP(Cpi_[[#This Row],[Year]:[Month]],crudeoil[],3,FALSE)</f>
        <v>#VALUE!</v>
      </c>
    </row>
    <row r="7594" spans="1:8" hidden="1" x14ac:dyDescent="0.3">
      <c r="A7594" t="s">
        <v>34</v>
      </c>
      <c r="B7594">
        <v>2020</v>
      </c>
      <c r="C7594" t="s">
        <v>45</v>
      </c>
      <c r="D7594" t="s">
        <v>8</v>
      </c>
      <c r="E7594" t="e">
        <f>VLOOKUP(Cpi_[[#This Row],[Attribute]],#REF!,2,FALSE)</f>
        <v>#REF!</v>
      </c>
      <c r="F7594">
        <v>148.4</v>
      </c>
      <c r="G7594">
        <f>(Cpi_[[#This Row],[Value]]-F7593)/F7593</f>
        <v>3.9943938332165502E-2</v>
      </c>
      <c r="H7594" t="e" cm="1" vm="1">
        <f t="array" aca="1" ref="H7594" ca="1">VLOOKUP(Cpi_[[#This Row],[Year]:[Month]],crudeoil[],3,FALSE)</f>
        <v>#VALUE!</v>
      </c>
    </row>
    <row r="7595" spans="1:8" hidden="1" x14ac:dyDescent="0.3">
      <c r="A7595" t="s">
        <v>34</v>
      </c>
      <c r="B7595">
        <v>2020</v>
      </c>
      <c r="C7595" t="s">
        <v>45</v>
      </c>
      <c r="D7595" t="s">
        <v>9</v>
      </c>
      <c r="E7595" t="e">
        <f>VLOOKUP(Cpi_[[#This Row],[Attribute]],#REF!,2,FALSE)</f>
        <v>#REF!</v>
      </c>
      <c r="F7595">
        <v>230</v>
      </c>
      <c r="G7595">
        <f>(Cpi_[[#This Row],[Value]]-F7594)/F7594</f>
        <v>0.54986522911051205</v>
      </c>
      <c r="H7595" t="e" cm="1" vm="1">
        <f t="array" aca="1" ref="H7595" ca="1">VLOOKUP(Cpi_[[#This Row],[Year]:[Month]],crudeoil[],3,FALSE)</f>
        <v>#VALUE!</v>
      </c>
    </row>
    <row r="7596" spans="1:8" hidden="1" x14ac:dyDescent="0.3">
      <c r="A7596" t="s">
        <v>34</v>
      </c>
      <c r="B7596">
        <v>2020</v>
      </c>
      <c r="C7596" t="s">
        <v>45</v>
      </c>
      <c r="D7596" t="s">
        <v>10</v>
      </c>
      <c r="E7596" t="e">
        <f>VLOOKUP(Cpi_[[#This Row],[Attribute]],#REF!,2,FALSE)</f>
        <v>#REF!</v>
      </c>
      <c r="F7596">
        <v>156.80000000000001</v>
      </c>
      <c r="G7596">
        <f>(Cpi_[[#This Row],[Value]]-F7595)/F7595</f>
        <v>-0.31826086956521732</v>
      </c>
      <c r="H7596" t="e" cm="1" vm="1">
        <f t="array" aca="1" ref="H7596" ca="1">VLOOKUP(Cpi_[[#This Row],[Year]:[Month]],crudeoil[],3,FALSE)</f>
        <v>#VALUE!</v>
      </c>
    </row>
    <row r="7597" spans="1:8" hidden="1" x14ac:dyDescent="0.3">
      <c r="A7597" t="s">
        <v>34</v>
      </c>
      <c r="B7597">
        <v>2020</v>
      </c>
      <c r="C7597" t="s">
        <v>45</v>
      </c>
      <c r="D7597" t="s">
        <v>11</v>
      </c>
      <c r="E7597" t="e">
        <f>VLOOKUP(Cpi_[[#This Row],[Attribute]],#REF!,2,FALSE)</f>
        <v>#REF!</v>
      </c>
      <c r="F7597">
        <v>115.7</v>
      </c>
      <c r="G7597">
        <f>(Cpi_[[#This Row],[Value]]-F7596)/F7596</f>
        <v>-0.26211734693877553</v>
      </c>
      <c r="H7597" t="e" cm="1" vm="1">
        <f t="array" aca="1" ref="H7597" ca="1">VLOOKUP(Cpi_[[#This Row],[Year]:[Month]],crudeoil[],3,FALSE)</f>
        <v>#VALUE!</v>
      </c>
    </row>
    <row r="7598" spans="1:8" hidden="1" x14ac:dyDescent="0.3">
      <c r="A7598" t="s">
        <v>34</v>
      </c>
      <c r="B7598">
        <v>2020</v>
      </c>
      <c r="C7598" t="s">
        <v>45</v>
      </c>
      <c r="D7598" t="s">
        <v>12</v>
      </c>
      <c r="E7598" t="e">
        <f>VLOOKUP(Cpi_[[#This Row],[Attribute]],#REF!,2,FALSE)</f>
        <v>#REF!</v>
      </c>
      <c r="F7598">
        <v>161.80000000000001</v>
      </c>
      <c r="G7598">
        <f>(Cpi_[[#This Row],[Value]]-F7597)/F7597</f>
        <v>0.39844425237683673</v>
      </c>
      <c r="H7598" t="e" cm="1" vm="1">
        <f t="array" aca="1" ref="H7598" ca="1">VLOOKUP(Cpi_[[#This Row],[Year]:[Month]],crudeoil[],3,FALSE)</f>
        <v>#VALUE!</v>
      </c>
    </row>
    <row r="7599" spans="1:8" hidden="1" x14ac:dyDescent="0.3">
      <c r="A7599" t="s">
        <v>34</v>
      </c>
      <c r="B7599">
        <v>2020</v>
      </c>
      <c r="C7599" t="s">
        <v>45</v>
      </c>
      <c r="D7599" t="s">
        <v>13</v>
      </c>
      <c r="E7599" t="e">
        <f>VLOOKUP(Cpi_[[#This Row],[Attribute]],#REF!,2,FALSE)</f>
        <v>#REF!</v>
      </c>
      <c r="F7599">
        <v>146.5</v>
      </c>
      <c r="G7599">
        <f>(Cpi_[[#This Row],[Value]]-F7598)/F7598</f>
        <v>-9.456118665018548E-2</v>
      </c>
      <c r="H7599" t="e" cm="1" vm="1">
        <f t="array" aca="1" ref="H7599" ca="1">VLOOKUP(Cpi_[[#This Row],[Year]:[Month]],crudeoil[],3,FALSE)</f>
        <v>#VALUE!</v>
      </c>
    </row>
    <row r="7600" spans="1:8" hidden="1" x14ac:dyDescent="0.3">
      <c r="A7600" t="s">
        <v>34</v>
      </c>
      <c r="B7600">
        <v>2020</v>
      </c>
      <c r="C7600" t="s">
        <v>45</v>
      </c>
      <c r="D7600" t="s">
        <v>14</v>
      </c>
      <c r="E7600" t="e">
        <f>VLOOKUP(Cpi_[[#This Row],[Attribute]],#REF!,2,FALSE)</f>
        <v>#REF!</v>
      </c>
      <c r="F7600">
        <v>163.80000000000001</v>
      </c>
      <c r="G7600">
        <f>(Cpi_[[#This Row],[Value]]-F7599)/F7599</f>
        <v>0.11808873720136527</v>
      </c>
      <c r="H7600" t="e" cm="1" vm="1">
        <f t="array" aca="1" ref="H7600" ca="1">VLOOKUP(Cpi_[[#This Row],[Year]:[Month]],crudeoil[],3,FALSE)</f>
        <v>#VALUE!</v>
      </c>
    </row>
    <row r="7601" spans="1:8" hidden="1" x14ac:dyDescent="0.3">
      <c r="A7601" t="s">
        <v>34</v>
      </c>
      <c r="B7601">
        <v>2020</v>
      </c>
      <c r="C7601" t="s">
        <v>45</v>
      </c>
      <c r="D7601" t="s">
        <v>15</v>
      </c>
      <c r="E7601" t="e">
        <f>VLOOKUP(Cpi_[[#This Row],[Attribute]],#REF!,2,FALSE)</f>
        <v>#REF!</v>
      </c>
      <c r="F7601">
        <v>164.7</v>
      </c>
      <c r="G7601">
        <f>(Cpi_[[#This Row],[Value]]-F7600)/F7600</f>
        <v>5.4945054945053553E-3</v>
      </c>
      <c r="H7601" t="e" cm="1" vm="1">
        <f t="array" aca="1" ref="H7601" ca="1">VLOOKUP(Cpi_[[#This Row],[Year]:[Month]],crudeoil[],3,FALSE)</f>
        <v>#VALUE!</v>
      </c>
    </row>
    <row r="7602" spans="1:8" hidden="1" x14ac:dyDescent="0.3">
      <c r="A7602" t="s">
        <v>34</v>
      </c>
      <c r="B7602">
        <v>2020</v>
      </c>
      <c r="C7602" t="s">
        <v>45</v>
      </c>
      <c r="D7602" t="s">
        <v>16</v>
      </c>
      <c r="E7602" t="e">
        <f>VLOOKUP(Cpi_[[#This Row],[Attribute]],#REF!,2,FALSE)</f>
        <v>#REF!</v>
      </c>
      <c r="F7602">
        <v>184.8</v>
      </c>
      <c r="G7602">
        <f>(Cpi_[[#This Row],[Value]]-F7601)/F7601</f>
        <v>0.12204007285974514</v>
      </c>
      <c r="H7602" t="e" cm="1" vm="1">
        <f t="array" aca="1" ref="H7602" ca="1">VLOOKUP(Cpi_[[#This Row],[Year]:[Month]],crudeoil[],3,FALSE)</f>
        <v>#VALUE!</v>
      </c>
    </row>
    <row r="7603" spans="1:8" hidden="1" x14ac:dyDescent="0.3">
      <c r="A7603" t="s">
        <v>34</v>
      </c>
      <c r="B7603">
        <v>2020</v>
      </c>
      <c r="C7603" t="s">
        <v>45</v>
      </c>
      <c r="D7603" t="s">
        <v>17</v>
      </c>
      <c r="E7603" t="e">
        <f>VLOOKUP(Cpi_[[#This Row],[Attribute]],#REF!,2,FALSE)</f>
        <v>#REF!</v>
      </c>
      <c r="F7603">
        <v>154.30000000000001</v>
      </c>
      <c r="G7603">
        <f>(Cpi_[[#This Row],[Value]]-F7602)/F7602</f>
        <v>-0.16504329004329002</v>
      </c>
      <c r="H7603" t="e" cm="1" vm="1">
        <f t="array" aca="1" ref="H7603" ca="1">VLOOKUP(Cpi_[[#This Row],[Year]:[Month]],crudeoil[],3,FALSE)</f>
        <v>#VALUE!</v>
      </c>
    </row>
    <row r="7604" spans="1:8" hidden="1" x14ac:dyDescent="0.3">
      <c r="A7604" t="s">
        <v>34</v>
      </c>
      <c r="B7604">
        <v>2020</v>
      </c>
      <c r="C7604" t="s">
        <v>45</v>
      </c>
      <c r="D7604" t="s">
        <v>18</v>
      </c>
      <c r="E7604" t="e">
        <f>VLOOKUP(Cpi_[[#This Row],[Attribute]],#REF!,2,FALSE)</f>
        <v>#REF!</v>
      </c>
      <c r="F7604">
        <v>144.9</v>
      </c>
      <c r="G7604">
        <f>(Cpi_[[#This Row],[Value]]-F7603)/F7603</f>
        <v>-6.0920285158781624E-2</v>
      </c>
      <c r="H7604" t="e" cm="1" vm="1">
        <f t="array" aca="1" ref="H7604" ca="1">VLOOKUP(Cpi_[[#This Row],[Year]:[Month]],crudeoil[],3,FALSE)</f>
        <v>#VALUE!</v>
      </c>
    </row>
    <row r="7605" spans="1:8" hidden="1" x14ac:dyDescent="0.3">
      <c r="A7605" t="s">
        <v>34</v>
      </c>
      <c r="B7605">
        <v>2020</v>
      </c>
      <c r="C7605" t="s">
        <v>45</v>
      </c>
      <c r="D7605" t="s">
        <v>19</v>
      </c>
      <c r="E7605" t="e">
        <f>VLOOKUP(Cpi_[[#This Row],[Attribute]],#REF!,2,FALSE)</f>
        <v>#REF!</v>
      </c>
      <c r="F7605">
        <v>152.80000000000001</v>
      </c>
      <c r="G7605">
        <f>(Cpi_[[#This Row],[Value]]-F7604)/F7604</f>
        <v>5.4520358868184994E-2</v>
      </c>
      <c r="H7605" t="e" cm="1" vm="1">
        <f t="array" aca="1" ref="H7605" ca="1">VLOOKUP(Cpi_[[#This Row],[Year]:[Month]],crudeoil[],3,FALSE)</f>
        <v>#VALUE!</v>
      </c>
    </row>
    <row r="7606" spans="1:8" hidden="1" x14ac:dyDescent="0.3">
      <c r="A7606" t="s">
        <v>34</v>
      </c>
      <c r="B7606">
        <v>2020</v>
      </c>
      <c r="C7606" t="s">
        <v>45</v>
      </c>
      <c r="D7606" t="s">
        <v>20</v>
      </c>
      <c r="E7606" t="e">
        <f>VLOOKUP(Cpi_[[#This Row],[Attribute]],#REF!,2,FALSE)</f>
        <v>#REF!</v>
      </c>
      <c r="F7606">
        <v>158</v>
      </c>
      <c r="G7606">
        <f>(Cpi_[[#This Row],[Value]]-F7605)/F7605</f>
        <v>3.403141361256537E-2</v>
      </c>
      <c r="H7606" t="e" cm="1" vm="1">
        <f t="array" aca="1" ref="H7606" ca="1">VLOOKUP(Cpi_[[#This Row],[Year]:[Month]],crudeoil[],3,FALSE)</f>
        <v>#VALUE!</v>
      </c>
    </row>
    <row r="7607" spans="1:8" hidden="1" x14ac:dyDescent="0.3">
      <c r="A7607" t="s">
        <v>34</v>
      </c>
      <c r="B7607">
        <v>2020</v>
      </c>
      <c r="C7607" t="s">
        <v>45</v>
      </c>
      <c r="D7607" t="s">
        <v>21</v>
      </c>
      <c r="E7607" t="e">
        <f>VLOOKUP(Cpi_[[#This Row],[Attribute]],#REF!,2,FALSE)</f>
        <v>#REF!</v>
      </c>
      <c r="F7607">
        <v>143.6</v>
      </c>
      <c r="G7607">
        <f>(Cpi_[[#This Row],[Value]]-F7606)/F7606</f>
        <v>-9.1139240506329156E-2</v>
      </c>
      <c r="H7607" t="e" cm="1" vm="1">
        <f t="array" aca="1" ref="H7607" ca="1">VLOOKUP(Cpi_[[#This Row],[Year]:[Month]],crudeoil[],3,FALSE)</f>
        <v>#VALUE!</v>
      </c>
    </row>
    <row r="7608" spans="1:8" hidden="1" x14ac:dyDescent="0.3">
      <c r="A7608" t="s">
        <v>34</v>
      </c>
      <c r="B7608">
        <v>2020</v>
      </c>
      <c r="C7608" t="s">
        <v>45</v>
      </c>
      <c r="D7608" t="s">
        <v>22</v>
      </c>
      <c r="E7608" t="e">
        <f>VLOOKUP(Cpi_[[#This Row],[Attribute]],#REF!,2,FALSE)</f>
        <v>#REF!</v>
      </c>
      <c r="F7608">
        <v>149.19999999999999</v>
      </c>
      <c r="G7608">
        <f>(Cpi_[[#This Row],[Value]]-F7607)/F7607</f>
        <v>3.8997214484679625E-2</v>
      </c>
      <c r="H7608" t="e" cm="1" vm="1">
        <f t="array" aca="1" ref="H7608" ca="1">VLOOKUP(Cpi_[[#This Row],[Year]:[Month]],crudeoil[],3,FALSE)</f>
        <v>#VALUE!</v>
      </c>
    </row>
    <row r="7609" spans="1:8" hidden="1" x14ac:dyDescent="0.3">
      <c r="A7609" t="s">
        <v>34</v>
      </c>
      <c r="B7609">
        <v>2020</v>
      </c>
      <c r="C7609" t="s">
        <v>45</v>
      </c>
      <c r="D7609" t="s">
        <v>23</v>
      </c>
      <c r="E7609" t="e">
        <f>VLOOKUP(Cpi_[[#This Row],[Attribute]],#REF!,2,FALSE)</f>
        <v>#REF!</v>
      </c>
      <c r="F7609">
        <v>157.19999999999999</v>
      </c>
      <c r="G7609">
        <f>(Cpi_[[#This Row],[Value]]-F7608)/F7608</f>
        <v>5.3619302949061663E-2</v>
      </c>
      <c r="H7609" t="e" cm="1" vm="1">
        <f t="array" aca="1" ref="H7609" ca="1">VLOOKUP(Cpi_[[#This Row],[Year]:[Month]],crudeoil[],3,FALSE)</f>
        <v>#VALUE!</v>
      </c>
    </row>
    <row r="7610" spans="1:8" hidden="1" x14ac:dyDescent="0.3">
      <c r="A7610" t="s">
        <v>34</v>
      </c>
      <c r="B7610">
        <v>2020</v>
      </c>
      <c r="C7610" t="s">
        <v>45</v>
      </c>
      <c r="D7610" t="s">
        <v>24</v>
      </c>
      <c r="E7610" t="e">
        <f>VLOOKUP(Cpi_[[#This Row],[Attribute]],#REF!,2,FALSE)</f>
        <v>#REF!</v>
      </c>
      <c r="F7610">
        <v>140.4</v>
      </c>
      <c r="G7610">
        <f>(Cpi_[[#This Row],[Value]]-F7609)/F7609</f>
        <v>-0.10687022900763349</v>
      </c>
      <c r="H7610" t="e" cm="1" vm="1">
        <f t="array" aca="1" ref="H7610" ca="1">VLOOKUP(Cpi_[[#This Row],[Year]:[Month]],crudeoil[],3,FALSE)</f>
        <v>#VALUE!</v>
      </c>
    </row>
    <row r="7611" spans="1:8" hidden="1" x14ac:dyDescent="0.3">
      <c r="A7611" t="s">
        <v>34</v>
      </c>
      <c r="B7611">
        <v>2020</v>
      </c>
      <c r="C7611" t="s">
        <v>45</v>
      </c>
      <c r="D7611" t="s">
        <v>25</v>
      </c>
      <c r="E7611" t="e">
        <f>VLOOKUP(Cpi_[[#This Row],[Attribute]],#REF!,2,FALSE)</f>
        <v>#REF!</v>
      </c>
      <c r="F7611">
        <v>148.4</v>
      </c>
      <c r="G7611">
        <f>(Cpi_[[#This Row],[Value]]-F7610)/F7610</f>
        <v>5.6980056980056981E-2</v>
      </c>
      <c r="H7611" t="e" cm="1" vm="1">
        <f t="array" aca="1" ref="H7611" ca="1">VLOOKUP(Cpi_[[#This Row],[Year]:[Month]],crudeoil[],3,FALSE)</f>
        <v>#VALUE!</v>
      </c>
    </row>
    <row r="7612" spans="1:8" hidden="1" x14ac:dyDescent="0.3">
      <c r="A7612" t="s">
        <v>34</v>
      </c>
      <c r="B7612">
        <v>2020</v>
      </c>
      <c r="C7612" t="s">
        <v>45</v>
      </c>
      <c r="D7612" t="s">
        <v>26</v>
      </c>
      <c r="E7612" t="e">
        <f>VLOOKUP(Cpi_[[#This Row],[Attribute]],#REF!,2,FALSE)</f>
        <v>#REF!</v>
      </c>
      <c r="F7612">
        <v>158.6</v>
      </c>
      <c r="G7612">
        <f>(Cpi_[[#This Row],[Value]]-F7611)/F7611</f>
        <v>6.8733153638813937E-2</v>
      </c>
      <c r="H7612" t="e" cm="1" vm="1">
        <f t="array" aca="1" ref="H7612" ca="1">VLOOKUP(Cpi_[[#This Row],[Year]:[Month]],crudeoil[],3,FALSE)</f>
        <v>#VALUE!</v>
      </c>
    </row>
    <row r="7613" spans="1:8" hidden="1" x14ac:dyDescent="0.3">
      <c r="A7613" t="s">
        <v>34</v>
      </c>
      <c r="B7613">
        <v>2020</v>
      </c>
      <c r="C7613" t="s">
        <v>45</v>
      </c>
      <c r="D7613" t="s">
        <v>27</v>
      </c>
      <c r="E7613" t="e">
        <f>VLOOKUP(Cpi_[[#This Row],[Attribute]],#REF!,2,FALSE)</f>
        <v>#REF!</v>
      </c>
      <c r="F7613">
        <v>156.9</v>
      </c>
      <c r="G7613">
        <f>(Cpi_[[#This Row],[Value]]-F7612)/F7612</f>
        <v>-1.0718789407313927E-2</v>
      </c>
      <c r="H7613" t="e" cm="1" vm="1">
        <f t="array" aca="1" ref="H7613" ca="1">VLOOKUP(Cpi_[[#This Row],[Year]:[Month]],crudeoil[],3,FALSE)</f>
        <v>#VALUE!</v>
      </c>
    </row>
    <row r="7614" spans="1:8" hidden="1" x14ac:dyDescent="0.3">
      <c r="A7614" t="s">
        <v>34</v>
      </c>
      <c r="B7614">
        <v>2020</v>
      </c>
      <c r="C7614" t="s">
        <v>45</v>
      </c>
      <c r="D7614" t="s">
        <v>28</v>
      </c>
      <c r="E7614" t="e">
        <f>VLOOKUP(Cpi_[[#This Row],[Attribute]],#REF!,2,FALSE)</f>
        <v>#REF!</v>
      </c>
      <c r="F7614">
        <v>150.69999999999999</v>
      </c>
      <c r="G7614">
        <f>(Cpi_[[#This Row],[Value]]-F7613)/F7613</f>
        <v>-3.9515615041427768E-2</v>
      </c>
      <c r="H7614" t="e" cm="1" vm="1">
        <f t="array" aca="1" ref="H7614" ca="1">VLOOKUP(Cpi_[[#This Row],[Year]:[Month]],crudeoil[],3,FALSE)</f>
        <v>#VALUE!</v>
      </c>
    </row>
    <row r="7615" spans="1:8" hidden="1" x14ac:dyDescent="0.3">
      <c r="A7615" t="s">
        <v>34</v>
      </c>
      <c r="B7615">
        <v>2020</v>
      </c>
      <c r="C7615" t="s">
        <v>45</v>
      </c>
      <c r="D7615" t="s">
        <v>29</v>
      </c>
      <c r="E7615" t="e" cm="1">
        <f t="array" aca="1" ref="E7615" ca="1">VLGeneral indexGeneral indexKUP(Cpi_[[#This Row],[Attribute]],#REF!,2,FALSE)</f>
        <v>#NAME?</v>
      </c>
      <c r="F7615">
        <v>158.4</v>
      </c>
      <c r="G7615">
        <f>(Cpi_[[#This Row],[Value]]-F7614)/F7614</f>
        <v>5.1094890510949023E-2</v>
      </c>
      <c r="H7615" t="e" cm="1" vm="1">
        <f t="array" aca="1" ref="H7615" ca="1">VLOOKUP(Cpi_[[#This Row],[Year]:[Month]],crudeoil[],3,FALSE)</f>
        <v>#VALUE!</v>
      </c>
    </row>
    <row r="7616" spans="1:8" hidden="1" x14ac:dyDescent="0.3">
      <c r="A7616" t="s">
        <v>30</v>
      </c>
      <c r="B7616">
        <v>2020</v>
      </c>
      <c r="C7616" t="s">
        <v>46</v>
      </c>
      <c r="D7616" t="s">
        <v>3</v>
      </c>
      <c r="E7616" t="e">
        <f>VLOOKUP(Cpi_[[#This Row],[Attribute]],#REF!,2,FALSE)</f>
        <v>#REF!</v>
      </c>
      <c r="F7616">
        <v>144.6</v>
      </c>
      <c r="G7616">
        <f>(Cpi_[[#This Row],[Value]]-F7615)/F7615</f>
        <v>-8.7121212121212196E-2</v>
      </c>
      <c r="H7616" t="e" cm="1" vm="1">
        <f t="array" aca="1" ref="H7616" ca="1">VLOOKUP(Cpi_[[#This Row],[Year]:[Month]],crudeoil[],3,FALSE)</f>
        <v>#VALUE!</v>
      </c>
    </row>
    <row r="7617" spans="1:8" hidden="1" x14ac:dyDescent="0.3">
      <c r="A7617" t="s">
        <v>30</v>
      </c>
      <c r="B7617">
        <v>2020</v>
      </c>
      <c r="C7617" t="s">
        <v>46</v>
      </c>
      <c r="D7617" t="s">
        <v>4</v>
      </c>
      <c r="E7617" t="e">
        <f>VLOOKUP(Cpi_[[#This Row],[Attribute]],#REF!,2,FALSE)</f>
        <v>#REF!</v>
      </c>
      <c r="F7617">
        <v>188.5</v>
      </c>
      <c r="G7617">
        <f>(Cpi_[[#This Row],[Value]]-F7616)/F7616</f>
        <v>0.30359612724757956</v>
      </c>
      <c r="H7617" t="e" cm="1" vm="1">
        <f t="array" aca="1" ref="H7617" ca="1">VLOOKUP(Cpi_[[#This Row],[Year]:[Month]],crudeoil[],3,FALSE)</f>
        <v>#VALUE!</v>
      </c>
    </row>
    <row r="7618" spans="1:8" hidden="1" x14ac:dyDescent="0.3">
      <c r="A7618" t="s">
        <v>30</v>
      </c>
      <c r="B7618">
        <v>2020</v>
      </c>
      <c r="C7618" t="s">
        <v>46</v>
      </c>
      <c r="D7618" t="s">
        <v>5</v>
      </c>
      <c r="E7618" t="e">
        <f>VLOOKUP(Cpi_[[#This Row],[Attribute]],#REF!,2,FALSE)</f>
        <v>#REF!</v>
      </c>
      <c r="F7618">
        <v>173.4</v>
      </c>
      <c r="G7618">
        <f>(Cpi_[[#This Row],[Value]]-F7617)/F7617</f>
        <v>-8.0106100795755933E-2</v>
      </c>
      <c r="H7618" t="e" cm="1" vm="1">
        <f t="array" aca="1" ref="H7618" ca="1">VLOOKUP(Cpi_[[#This Row],[Year]:[Month]],crudeoil[],3,FALSE)</f>
        <v>#VALUE!</v>
      </c>
    </row>
    <row r="7619" spans="1:8" hidden="1" x14ac:dyDescent="0.3">
      <c r="A7619" t="s">
        <v>30</v>
      </c>
      <c r="B7619">
        <v>2020</v>
      </c>
      <c r="C7619" t="s">
        <v>46</v>
      </c>
      <c r="D7619" t="s">
        <v>6</v>
      </c>
      <c r="E7619" t="e">
        <f>VLOOKUP(Cpi_[[#This Row],[Attribute]],#REF!,2,FALSE)</f>
        <v>#REF!</v>
      </c>
      <c r="F7619">
        <v>154</v>
      </c>
      <c r="G7619">
        <f>(Cpi_[[#This Row],[Value]]-F7618)/F7618</f>
        <v>-0.11188004613610153</v>
      </c>
      <c r="H7619" t="e" cm="1" vm="1">
        <f t="array" aca="1" ref="H7619" ca="1">VLOOKUP(Cpi_[[#This Row],[Year]:[Month]],crudeoil[],3,FALSE)</f>
        <v>#VALUE!</v>
      </c>
    </row>
    <row r="7620" spans="1:8" hidden="1" x14ac:dyDescent="0.3">
      <c r="A7620" t="s">
        <v>30</v>
      </c>
      <c r="B7620">
        <v>2020</v>
      </c>
      <c r="C7620" t="s">
        <v>46</v>
      </c>
      <c r="D7620" t="s">
        <v>7</v>
      </c>
      <c r="E7620" t="e">
        <f>VLOOKUP(Cpi_[[#This Row],[Attribute]],#REF!,2,FALSE)</f>
        <v>#REF!</v>
      </c>
      <c r="F7620">
        <v>150</v>
      </c>
      <c r="G7620">
        <f>(Cpi_[[#This Row],[Value]]-F7619)/F7619</f>
        <v>-2.5974025974025976E-2</v>
      </c>
      <c r="H7620" t="e" cm="1" vm="1">
        <f t="array" aca="1" ref="H7620" ca="1">VLOOKUP(Cpi_[[#This Row],[Year]:[Month]],crudeoil[],3,FALSE)</f>
        <v>#VALUE!</v>
      </c>
    </row>
    <row r="7621" spans="1:8" hidden="1" x14ac:dyDescent="0.3">
      <c r="A7621" t="s">
        <v>30</v>
      </c>
      <c r="B7621">
        <v>2020</v>
      </c>
      <c r="C7621" t="s">
        <v>46</v>
      </c>
      <c r="D7621" t="s">
        <v>8</v>
      </c>
      <c r="E7621" t="e">
        <f>VLOOKUP(Cpi_[[#This Row],[Attribute]],#REF!,2,FALSE)</f>
        <v>#REF!</v>
      </c>
      <c r="F7621">
        <v>145.9</v>
      </c>
      <c r="G7621">
        <f>(Cpi_[[#This Row],[Value]]-F7620)/F7620</f>
        <v>-2.7333333333333296E-2</v>
      </c>
      <c r="H7621" t="e" cm="1" vm="1">
        <f t="array" aca="1" ref="H7621" ca="1">VLOOKUP(Cpi_[[#This Row],[Year]:[Month]],crudeoil[],3,FALSE)</f>
        <v>#VALUE!</v>
      </c>
    </row>
    <row r="7622" spans="1:8" hidden="1" x14ac:dyDescent="0.3">
      <c r="A7622" t="s">
        <v>30</v>
      </c>
      <c r="B7622">
        <v>2020</v>
      </c>
      <c r="C7622" t="s">
        <v>46</v>
      </c>
      <c r="D7622" t="s">
        <v>9</v>
      </c>
      <c r="E7622" t="e">
        <f>VLOOKUP(Cpi_[[#This Row],[Attribute]],#REF!,2,FALSE)</f>
        <v>#REF!</v>
      </c>
      <c r="F7622">
        <v>225.2</v>
      </c>
      <c r="G7622">
        <f>(Cpi_[[#This Row],[Value]]-F7621)/F7621</f>
        <v>0.54352296093214514</v>
      </c>
      <c r="H7622" t="e" cm="1" vm="1">
        <f t="array" aca="1" ref="H7622" ca="1">VLOOKUP(Cpi_[[#This Row],[Year]:[Month]],crudeoil[],3,FALSE)</f>
        <v>#VALUE!</v>
      </c>
    </row>
    <row r="7623" spans="1:8" hidden="1" x14ac:dyDescent="0.3">
      <c r="A7623" t="s">
        <v>30</v>
      </c>
      <c r="B7623">
        <v>2020</v>
      </c>
      <c r="C7623" t="s">
        <v>46</v>
      </c>
      <c r="D7623" t="s">
        <v>10</v>
      </c>
      <c r="E7623" t="e">
        <f>VLOOKUP(Cpi_[[#This Row],[Attribute]],#REF!,2,FALSE)</f>
        <v>#REF!</v>
      </c>
      <c r="F7623">
        <v>159.5</v>
      </c>
      <c r="G7623">
        <f>(Cpi_[[#This Row],[Value]]-F7622)/F7622</f>
        <v>-0.29174067495559497</v>
      </c>
      <c r="H7623" t="e" cm="1" vm="1">
        <f t="array" aca="1" ref="H7623" ca="1">VLOOKUP(Cpi_[[#This Row],[Year]:[Month]],crudeoil[],3,FALSE)</f>
        <v>#VALUE!</v>
      </c>
    </row>
    <row r="7624" spans="1:8" hidden="1" x14ac:dyDescent="0.3">
      <c r="A7624" t="s">
        <v>30</v>
      </c>
      <c r="B7624">
        <v>2020</v>
      </c>
      <c r="C7624" t="s">
        <v>46</v>
      </c>
      <c r="D7624" t="s">
        <v>11</v>
      </c>
      <c r="E7624" t="e">
        <f>VLOOKUP(Cpi_[[#This Row],[Attribute]],#REF!,2,FALSE)</f>
        <v>#REF!</v>
      </c>
      <c r="F7624">
        <v>114.4</v>
      </c>
      <c r="G7624">
        <f>(Cpi_[[#This Row],[Value]]-F7623)/F7623</f>
        <v>-0.28275862068965513</v>
      </c>
      <c r="H7624" t="e" cm="1" vm="1">
        <f t="array" aca="1" ref="H7624" ca="1">VLOOKUP(Cpi_[[#This Row],[Year]:[Month]],crudeoil[],3,FALSE)</f>
        <v>#VALUE!</v>
      </c>
    </row>
    <row r="7625" spans="1:8" hidden="1" x14ac:dyDescent="0.3">
      <c r="A7625" t="s">
        <v>30</v>
      </c>
      <c r="B7625">
        <v>2020</v>
      </c>
      <c r="C7625" t="s">
        <v>46</v>
      </c>
      <c r="D7625" t="s">
        <v>12</v>
      </c>
      <c r="E7625" t="e">
        <f>VLOOKUP(Cpi_[[#This Row],[Attribute]],#REF!,2,FALSE)</f>
        <v>#REF!</v>
      </c>
      <c r="F7625">
        <v>163.5</v>
      </c>
      <c r="G7625">
        <f>(Cpi_[[#This Row],[Value]]-F7624)/F7624</f>
        <v>0.42919580419580411</v>
      </c>
      <c r="H7625" t="e" cm="1" vm="1">
        <f t="array" aca="1" ref="H7625" ca="1">VLOOKUP(Cpi_[[#This Row],[Year]:[Month]],crudeoil[],3,FALSE)</f>
        <v>#VALUE!</v>
      </c>
    </row>
    <row r="7626" spans="1:8" hidden="1" x14ac:dyDescent="0.3">
      <c r="A7626" t="s">
        <v>30</v>
      </c>
      <c r="B7626">
        <v>2020</v>
      </c>
      <c r="C7626" t="s">
        <v>46</v>
      </c>
      <c r="D7626" t="s">
        <v>13</v>
      </c>
      <c r="E7626" t="e">
        <f>VLOOKUP(Cpi_[[#This Row],[Attribute]],#REF!,2,FALSE)</f>
        <v>#REF!</v>
      </c>
      <c r="F7626">
        <v>153.4</v>
      </c>
      <c r="G7626">
        <f>(Cpi_[[#This Row],[Value]]-F7625)/F7625</f>
        <v>-6.1773700305810364E-2</v>
      </c>
      <c r="H7626" t="e" cm="1" vm="1">
        <f t="array" aca="1" ref="H7626" ca="1">VLOOKUP(Cpi_[[#This Row],[Year]:[Month]],crudeoil[],3,FALSE)</f>
        <v>#VALUE!</v>
      </c>
    </row>
    <row r="7627" spans="1:8" hidden="1" x14ac:dyDescent="0.3">
      <c r="A7627" t="s">
        <v>30</v>
      </c>
      <c r="B7627">
        <v>2020</v>
      </c>
      <c r="C7627" t="s">
        <v>46</v>
      </c>
      <c r="D7627" t="s">
        <v>14</v>
      </c>
      <c r="E7627" t="e">
        <f>VLOOKUP(Cpi_[[#This Row],[Attribute]],#REF!,2,FALSE)</f>
        <v>#REF!</v>
      </c>
      <c r="F7627">
        <v>163.6</v>
      </c>
      <c r="G7627">
        <f>(Cpi_[[#This Row],[Value]]-F7626)/F7626</f>
        <v>6.6492829204693529E-2</v>
      </c>
      <c r="H7627" t="e" cm="1" vm="1">
        <f t="array" aca="1" ref="H7627" ca="1">VLOOKUP(Cpi_[[#This Row],[Year]:[Month]],crudeoil[],3,FALSE)</f>
        <v>#VALUE!</v>
      </c>
    </row>
    <row r="7628" spans="1:8" hidden="1" x14ac:dyDescent="0.3">
      <c r="A7628" t="s">
        <v>30</v>
      </c>
      <c r="B7628">
        <v>2020</v>
      </c>
      <c r="C7628" t="s">
        <v>46</v>
      </c>
      <c r="D7628" t="s">
        <v>15</v>
      </c>
      <c r="E7628" t="e">
        <f>VLOOKUP(Cpi_[[#This Row],[Attribute]],#REF!,2,FALSE)</f>
        <v>#REF!</v>
      </c>
      <c r="F7628">
        <v>164.5</v>
      </c>
      <c r="G7628">
        <f>(Cpi_[[#This Row],[Value]]-F7627)/F7627</f>
        <v>5.5012224938875654E-3</v>
      </c>
      <c r="H7628" t="e" cm="1" vm="1">
        <f t="array" aca="1" ref="H7628" ca="1">VLOOKUP(Cpi_[[#This Row],[Year]:[Month]],crudeoil[],3,FALSE)</f>
        <v>#VALUE!</v>
      </c>
    </row>
    <row r="7629" spans="1:8" hidden="1" x14ac:dyDescent="0.3">
      <c r="A7629" t="s">
        <v>30</v>
      </c>
      <c r="B7629">
        <v>2020</v>
      </c>
      <c r="C7629" t="s">
        <v>46</v>
      </c>
      <c r="D7629" t="s">
        <v>16</v>
      </c>
      <c r="E7629" t="e">
        <f>VLOOKUP(Cpi_[[#This Row],[Attribute]],#REF!,2,FALSE)</f>
        <v>#REF!</v>
      </c>
      <c r="F7629">
        <v>183.6</v>
      </c>
      <c r="G7629">
        <f>(Cpi_[[#This Row],[Value]]-F7628)/F7628</f>
        <v>0.11610942249240118</v>
      </c>
      <c r="H7629" t="e" cm="1" vm="1">
        <f t="array" aca="1" ref="H7629" ca="1">VLOOKUP(Cpi_[[#This Row],[Year]:[Month]],crudeoil[],3,FALSE)</f>
        <v>#VALUE!</v>
      </c>
    </row>
    <row r="7630" spans="1:8" hidden="1" x14ac:dyDescent="0.3">
      <c r="A7630" t="s">
        <v>30</v>
      </c>
      <c r="B7630">
        <v>2020</v>
      </c>
      <c r="C7630" t="s">
        <v>46</v>
      </c>
      <c r="D7630" t="s">
        <v>17</v>
      </c>
      <c r="E7630" t="e">
        <f>VLOOKUP(Cpi_[[#This Row],[Attribute]],#REF!,2,FALSE)</f>
        <v>#REF!</v>
      </c>
      <c r="F7630">
        <v>157</v>
      </c>
      <c r="G7630">
        <f>(Cpi_[[#This Row],[Value]]-F7629)/F7629</f>
        <v>-0.14488017429193897</v>
      </c>
      <c r="H7630" t="e" cm="1" vm="1">
        <f t="array" aca="1" ref="H7630" ca="1">VLOOKUP(Cpi_[[#This Row],[Year]:[Month]],crudeoil[],3,FALSE)</f>
        <v>#VALUE!</v>
      </c>
    </row>
    <row r="7631" spans="1:8" hidden="1" x14ac:dyDescent="0.3">
      <c r="A7631" t="s">
        <v>30</v>
      </c>
      <c r="B7631">
        <v>2020</v>
      </c>
      <c r="C7631" t="s">
        <v>46</v>
      </c>
      <c r="D7631" t="s">
        <v>18</v>
      </c>
      <c r="E7631" t="e">
        <f>VLOOKUP(Cpi_[[#This Row],[Attribute]],#REF!,2,FALSE)</f>
        <v>#REF!</v>
      </c>
      <c r="F7631">
        <v>151.6</v>
      </c>
      <c r="G7631">
        <f>(Cpi_[[#This Row],[Value]]-F7630)/F7630</f>
        <v>-3.439490445859876E-2</v>
      </c>
      <c r="H7631" t="e" cm="1" vm="1">
        <f t="array" aca="1" ref="H7631" ca="1">VLOOKUP(Cpi_[[#This Row],[Year]:[Month]],crudeoil[],3,FALSE)</f>
        <v>#VALUE!</v>
      </c>
    </row>
    <row r="7632" spans="1:8" hidden="1" x14ac:dyDescent="0.3">
      <c r="A7632" t="s">
        <v>30</v>
      </c>
      <c r="B7632">
        <v>2020</v>
      </c>
      <c r="C7632" t="s">
        <v>46</v>
      </c>
      <c r="D7632" t="s">
        <v>19</v>
      </c>
      <c r="E7632" t="e">
        <f>VLOOKUP(Cpi_[[#This Row],[Attribute]],#REF!,2,FALSE)</f>
        <v>#REF!</v>
      </c>
      <c r="F7632">
        <v>156.30000000000001</v>
      </c>
      <c r="G7632">
        <f>(Cpi_[[#This Row],[Value]]-F7631)/F7631</f>
        <v>3.1002638522427555E-2</v>
      </c>
      <c r="H7632" t="e" cm="1" vm="1">
        <f t="array" aca="1" ref="H7632" ca="1">VLOOKUP(Cpi_[[#This Row],[Year]:[Month]],crudeoil[],3,FALSE)</f>
        <v>#VALUE!</v>
      </c>
    </row>
    <row r="7633" spans="1:8" hidden="1" x14ac:dyDescent="0.3">
      <c r="A7633" t="s">
        <v>30</v>
      </c>
      <c r="B7633">
        <v>2020</v>
      </c>
      <c r="C7633" t="s">
        <v>46</v>
      </c>
      <c r="D7633" t="s">
        <v>20</v>
      </c>
      <c r="E7633" t="e">
        <f>VLOOKUP(Cpi_[[#This Row],[Attribute]],#REF!,2,FALSE)</f>
        <v>#REF!</v>
      </c>
      <c r="F7633" t="s">
        <v>32</v>
      </c>
      <c r="G7633" t="e">
        <f>(Cpi_[[#This Row],[Value]]-F7632)/F7632</f>
        <v>#VALUE!</v>
      </c>
      <c r="H7633" t="e" cm="1" vm="1">
        <f t="array" aca="1" ref="H7633" ca="1">VLOOKUP(Cpi_[[#This Row],[Year]:[Month]],crudeoil[],3,FALSE)</f>
        <v>#VALUE!</v>
      </c>
    </row>
    <row r="7634" spans="1:8" hidden="1" x14ac:dyDescent="0.3">
      <c r="A7634" t="s">
        <v>30</v>
      </c>
      <c r="B7634">
        <v>2020</v>
      </c>
      <c r="C7634" t="s">
        <v>46</v>
      </c>
      <c r="D7634" t="s">
        <v>21</v>
      </c>
      <c r="E7634" t="e">
        <f>VLOOKUP(Cpi_[[#This Row],[Attribute]],#REF!,2,FALSE)</f>
        <v>#REF!</v>
      </c>
      <c r="F7634">
        <v>148.69999999999999</v>
      </c>
      <c r="G7634" t="e">
        <f>(Cpi_[[#This Row],[Value]]-F7633)/F7633</f>
        <v>#VALUE!</v>
      </c>
      <c r="H7634" t="e" cm="1" vm="1">
        <f t="array" aca="1" ref="H7634" ca="1">VLOOKUP(Cpi_[[#This Row],[Year]:[Month]],crudeoil[],3,FALSE)</f>
        <v>#VALUE!</v>
      </c>
    </row>
    <row r="7635" spans="1:8" hidden="1" x14ac:dyDescent="0.3">
      <c r="A7635" t="s">
        <v>30</v>
      </c>
      <c r="B7635">
        <v>2020</v>
      </c>
      <c r="C7635" t="s">
        <v>46</v>
      </c>
      <c r="D7635" t="s">
        <v>22</v>
      </c>
      <c r="E7635" t="e">
        <f>VLOOKUP(Cpi_[[#This Row],[Attribute]],#REF!,2,FALSE)</f>
        <v>#REF!</v>
      </c>
      <c r="F7635">
        <v>153.4</v>
      </c>
      <c r="G7635">
        <f>(Cpi_[[#This Row],[Value]]-F7634)/F7634</f>
        <v>3.1607262945528028E-2</v>
      </c>
      <c r="H7635" t="e" cm="1" vm="1">
        <f t="array" aca="1" ref="H7635" ca="1">VLOOKUP(Cpi_[[#This Row],[Year]:[Month]],crudeoil[],3,FALSE)</f>
        <v>#VALUE!</v>
      </c>
    </row>
    <row r="7636" spans="1:8" hidden="1" x14ac:dyDescent="0.3">
      <c r="A7636" t="s">
        <v>30</v>
      </c>
      <c r="B7636">
        <v>2020</v>
      </c>
      <c r="C7636" t="s">
        <v>46</v>
      </c>
      <c r="D7636" t="s">
        <v>23</v>
      </c>
      <c r="E7636" t="e">
        <f>VLOOKUP(Cpi_[[#This Row],[Attribute]],#REF!,2,FALSE)</f>
        <v>#REF!</v>
      </c>
      <c r="F7636">
        <v>161.6</v>
      </c>
      <c r="G7636">
        <f>(Cpi_[[#This Row],[Value]]-F7635)/F7635</f>
        <v>5.3455019556714396E-2</v>
      </c>
      <c r="H7636" t="e" cm="1" vm="1">
        <f t="array" aca="1" ref="H7636" ca="1">VLOOKUP(Cpi_[[#This Row],[Year]:[Month]],crudeoil[],3,FALSE)</f>
        <v>#VALUE!</v>
      </c>
    </row>
    <row r="7637" spans="1:8" hidden="1" x14ac:dyDescent="0.3">
      <c r="A7637" t="s">
        <v>30</v>
      </c>
      <c r="B7637">
        <v>2020</v>
      </c>
      <c r="C7637" t="s">
        <v>46</v>
      </c>
      <c r="D7637" t="s">
        <v>24</v>
      </c>
      <c r="E7637" t="e">
        <f>VLOOKUP(Cpi_[[#This Row],[Attribute]],#REF!,2,FALSE)</f>
        <v>#REF!</v>
      </c>
      <c r="F7637">
        <v>146.4</v>
      </c>
      <c r="G7637">
        <f>(Cpi_[[#This Row],[Value]]-F7636)/F7636</f>
        <v>-9.405940594059399E-2</v>
      </c>
      <c r="H7637" t="e" cm="1" vm="1">
        <f t="array" aca="1" ref="H7637" ca="1">VLOOKUP(Cpi_[[#This Row],[Year]:[Month]],crudeoil[],3,FALSE)</f>
        <v>#VALUE!</v>
      </c>
    </row>
    <row r="7638" spans="1:8" hidden="1" x14ac:dyDescent="0.3">
      <c r="A7638" t="s">
        <v>30</v>
      </c>
      <c r="B7638">
        <v>2020</v>
      </c>
      <c r="C7638" t="s">
        <v>46</v>
      </c>
      <c r="D7638" t="s">
        <v>25</v>
      </c>
      <c r="E7638" t="e">
        <f>VLOOKUP(Cpi_[[#This Row],[Attribute]],#REF!,2,FALSE)</f>
        <v>#REF!</v>
      </c>
      <c r="F7638">
        <v>153.9</v>
      </c>
      <c r="G7638">
        <f>(Cpi_[[#This Row],[Value]]-F7637)/F7637</f>
        <v>5.1229508196721313E-2</v>
      </c>
      <c r="H7638" t="e" cm="1" vm="1">
        <f t="array" aca="1" ref="H7638" ca="1">VLOOKUP(Cpi_[[#This Row],[Year]:[Month]],crudeoil[],3,FALSE)</f>
        <v>#VALUE!</v>
      </c>
    </row>
    <row r="7639" spans="1:8" hidden="1" x14ac:dyDescent="0.3">
      <c r="A7639" t="s">
        <v>30</v>
      </c>
      <c r="B7639">
        <v>2020</v>
      </c>
      <c r="C7639" t="s">
        <v>46</v>
      </c>
      <c r="D7639" t="s">
        <v>26</v>
      </c>
      <c r="E7639" t="e">
        <f>VLOOKUP(Cpi_[[#This Row],[Attribute]],#REF!,2,FALSE)</f>
        <v>#REF!</v>
      </c>
      <c r="F7639">
        <v>162.9</v>
      </c>
      <c r="G7639">
        <f>(Cpi_[[#This Row],[Value]]-F7638)/F7638</f>
        <v>5.8479532163742687E-2</v>
      </c>
      <c r="H7639" t="e" cm="1" vm="1">
        <f t="array" aca="1" ref="H7639" ca="1">VLOOKUP(Cpi_[[#This Row],[Year]:[Month]],crudeoil[],3,FALSE)</f>
        <v>#VALUE!</v>
      </c>
    </row>
    <row r="7640" spans="1:8" hidden="1" x14ac:dyDescent="0.3">
      <c r="A7640" t="s">
        <v>30</v>
      </c>
      <c r="B7640">
        <v>2020</v>
      </c>
      <c r="C7640" t="s">
        <v>46</v>
      </c>
      <c r="D7640" t="s">
        <v>27</v>
      </c>
      <c r="E7640" t="e">
        <f>VLOOKUP(Cpi_[[#This Row],[Attribute]],#REF!,2,FALSE)</f>
        <v>#REF!</v>
      </c>
      <c r="F7640">
        <v>156.6</v>
      </c>
      <c r="G7640">
        <f>(Cpi_[[#This Row],[Value]]-F7639)/F7639</f>
        <v>-3.8674033149171338E-2</v>
      </c>
      <c r="H7640" t="e" cm="1" vm="1">
        <f t="array" aca="1" ref="H7640" ca="1">VLOOKUP(Cpi_[[#This Row],[Year]:[Month]],crudeoil[],3,FALSE)</f>
        <v>#VALUE!</v>
      </c>
    </row>
    <row r="7641" spans="1:8" hidden="1" x14ac:dyDescent="0.3">
      <c r="A7641" t="s">
        <v>30</v>
      </c>
      <c r="B7641">
        <v>2020</v>
      </c>
      <c r="C7641" t="s">
        <v>46</v>
      </c>
      <c r="D7641" t="s">
        <v>28</v>
      </c>
      <c r="E7641" t="e">
        <f>VLOOKUP(Cpi_[[#This Row],[Attribute]],#REF!,2,FALSE)</f>
        <v>#REF!</v>
      </c>
      <c r="F7641">
        <v>155.19999999999999</v>
      </c>
      <c r="G7641">
        <f>(Cpi_[[#This Row],[Value]]-F7640)/F7640</f>
        <v>-8.9399744572158726E-3</v>
      </c>
      <c r="H7641" t="e" cm="1" vm="1">
        <f t="array" aca="1" ref="H7641" ca="1">VLOOKUP(Cpi_[[#This Row],[Year]:[Month]],crudeoil[],3,FALSE)</f>
        <v>#VALUE!</v>
      </c>
    </row>
    <row r="7642" spans="1:8" hidden="1" x14ac:dyDescent="0.3">
      <c r="A7642" t="s">
        <v>30</v>
      </c>
      <c r="B7642">
        <v>2020</v>
      </c>
      <c r="C7642" t="s">
        <v>46</v>
      </c>
      <c r="D7642" t="s">
        <v>29</v>
      </c>
      <c r="E7642" t="e" cm="1">
        <f t="array" aca="1" ref="E7642" ca="1">VLGeneral indexGeneral indexKUP(Cpi_[[#This Row],[Attribute]],#REF!,2,FALSE)</f>
        <v>#NAME?</v>
      </c>
      <c r="F7642">
        <v>160.69999999999999</v>
      </c>
      <c r="G7642">
        <f>(Cpi_[[#This Row],[Value]]-F7641)/F7641</f>
        <v>3.5438144329896913E-2</v>
      </c>
      <c r="H7642" t="e" cm="1" vm="1">
        <f t="array" aca="1" ref="H7642" ca="1">VLOOKUP(Cpi_[[#This Row],[Year]:[Month]],crudeoil[],3,FALSE)</f>
        <v>#VALUE!</v>
      </c>
    </row>
    <row r="7643" spans="1:8" hidden="1" x14ac:dyDescent="0.3">
      <c r="A7643" t="s">
        <v>33</v>
      </c>
      <c r="B7643">
        <v>2020</v>
      </c>
      <c r="C7643" t="s">
        <v>46</v>
      </c>
      <c r="D7643" t="s">
        <v>3</v>
      </c>
      <c r="E7643" t="e">
        <f>VLOOKUP(Cpi_[[#This Row],[Attribute]],#REF!,2,FALSE)</f>
        <v>#REF!</v>
      </c>
      <c r="F7643">
        <v>149</v>
      </c>
      <c r="G7643">
        <f>(Cpi_[[#This Row],[Value]]-F7642)/F7642</f>
        <v>-7.2806471686372054E-2</v>
      </c>
      <c r="H7643" t="e" cm="1" vm="1">
        <f t="array" aca="1" ref="H7643" ca="1">VLOOKUP(Cpi_[[#This Row],[Year]:[Month]],crudeoil[],3,FALSE)</f>
        <v>#VALUE!</v>
      </c>
    </row>
    <row r="7644" spans="1:8" hidden="1" x14ac:dyDescent="0.3">
      <c r="A7644" t="s">
        <v>33</v>
      </c>
      <c r="B7644">
        <v>2020</v>
      </c>
      <c r="C7644" t="s">
        <v>46</v>
      </c>
      <c r="D7644" t="s">
        <v>4</v>
      </c>
      <c r="E7644" t="e">
        <f>VLOOKUP(Cpi_[[#This Row],[Attribute]],#REF!,2,FALSE)</f>
        <v>#REF!</v>
      </c>
      <c r="F7644">
        <v>195.7</v>
      </c>
      <c r="G7644">
        <f>(Cpi_[[#This Row],[Value]]-F7643)/F7643</f>
        <v>0.31342281879194622</v>
      </c>
      <c r="H7644" t="e" cm="1" vm="1">
        <f t="array" aca="1" ref="H7644" ca="1">VLOOKUP(Cpi_[[#This Row],[Year]:[Month]],crudeoil[],3,FALSE)</f>
        <v>#VALUE!</v>
      </c>
    </row>
    <row r="7645" spans="1:8" hidden="1" x14ac:dyDescent="0.3">
      <c r="A7645" t="s">
        <v>33</v>
      </c>
      <c r="B7645">
        <v>2020</v>
      </c>
      <c r="C7645" t="s">
        <v>46</v>
      </c>
      <c r="D7645" t="s">
        <v>5</v>
      </c>
      <c r="E7645" t="e">
        <f>VLOOKUP(Cpi_[[#This Row],[Attribute]],#REF!,2,FALSE)</f>
        <v>#REF!</v>
      </c>
      <c r="F7645">
        <v>178.3</v>
      </c>
      <c r="G7645">
        <f>(Cpi_[[#This Row],[Value]]-F7644)/F7644</f>
        <v>-8.8911599386816448E-2</v>
      </c>
      <c r="H7645" t="e" cm="1" vm="1">
        <f t="array" aca="1" ref="H7645" ca="1">VLOOKUP(Cpi_[[#This Row],[Year]:[Month]],crudeoil[],3,FALSE)</f>
        <v>#VALUE!</v>
      </c>
    </row>
    <row r="7646" spans="1:8" hidden="1" x14ac:dyDescent="0.3">
      <c r="A7646" t="s">
        <v>33</v>
      </c>
      <c r="B7646">
        <v>2020</v>
      </c>
      <c r="C7646" t="s">
        <v>46</v>
      </c>
      <c r="D7646" t="s">
        <v>6</v>
      </c>
      <c r="E7646" t="e">
        <f>VLOOKUP(Cpi_[[#This Row],[Attribute]],#REF!,2,FALSE)</f>
        <v>#REF!</v>
      </c>
      <c r="F7646">
        <v>154.19999999999999</v>
      </c>
      <c r="G7646">
        <f>(Cpi_[[#This Row],[Value]]-F7645)/F7645</f>
        <v>-0.13516545148625922</v>
      </c>
      <c r="H7646" t="e" cm="1" vm="1">
        <f t="array" aca="1" ref="H7646" ca="1">VLOOKUP(Cpi_[[#This Row],[Year]:[Month]],crudeoil[],3,FALSE)</f>
        <v>#VALUE!</v>
      </c>
    </row>
    <row r="7647" spans="1:8" hidden="1" x14ac:dyDescent="0.3">
      <c r="A7647" t="s">
        <v>33</v>
      </c>
      <c r="B7647">
        <v>2020</v>
      </c>
      <c r="C7647" t="s">
        <v>46</v>
      </c>
      <c r="D7647" t="s">
        <v>7</v>
      </c>
      <c r="E7647" t="e">
        <f>VLOOKUP(Cpi_[[#This Row],[Attribute]],#REF!,2,FALSE)</f>
        <v>#REF!</v>
      </c>
      <c r="F7647">
        <v>140.69999999999999</v>
      </c>
      <c r="G7647">
        <f>(Cpi_[[#This Row],[Value]]-F7646)/F7646</f>
        <v>-8.7548638132295728E-2</v>
      </c>
      <c r="H7647" t="e" cm="1" vm="1">
        <f t="array" aca="1" ref="H7647" ca="1">VLOOKUP(Cpi_[[#This Row],[Year]:[Month]],crudeoil[],3,FALSE)</f>
        <v>#VALUE!</v>
      </c>
    </row>
    <row r="7648" spans="1:8" hidden="1" x14ac:dyDescent="0.3">
      <c r="A7648" t="s">
        <v>33</v>
      </c>
      <c r="B7648">
        <v>2020</v>
      </c>
      <c r="C7648" t="s">
        <v>46</v>
      </c>
      <c r="D7648" t="s">
        <v>8</v>
      </c>
      <c r="E7648" t="e">
        <f>VLOOKUP(Cpi_[[#This Row],[Attribute]],#REF!,2,FALSE)</f>
        <v>#REF!</v>
      </c>
      <c r="F7648">
        <v>149.69999999999999</v>
      </c>
      <c r="G7648">
        <f>(Cpi_[[#This Row],[Value]]-F7647)/F7647</f>
        <v>6.3965884861407252E-2</v>
      </c>
      <c r="H7648" t="e" cm="1" vm="1">
        <f t="array" aca="1" ref="H7648" ca="1">VLOOKUP(Cpi_[[#This Row],[Year]:[Month]],crudeoil[],3,FALSE)</f>
        <v>#VALUE!</v>
      </c>
    </row>
    <row r="7649" spans="1:8" hidden="1" x14ac:dyDescent="0.3">
      <c r="A7649" t="s">
        <v>33</v>
      </c>
      <c r="B7649">
        <v>2020</v>
      </c>
      <c r="C7649" t="s">
        <v>46</v>
      </c>
      <c r="D7649" t="s">
        <v>9</v>
      </c>
      <c r="E7649" t="e">
        <f>VLOOKUP(Cpi_[[#This Row],[Attribute]],#REF!,2,FALSE)</f>
        <v>#REF!</v>
      </c>
      <c r="F7649">
        <v>240.9</v>
      </c>
      <c r="G7649">
        <f>(Cpi_[[#This Row],[Value]]-F7648)/F7648</f>
        <v>0.60921843687374766</v>
      </c>
      <c r="H7649" t="e" cm="1" vm="1">
        <f t="array" aca="1" ref="H7649" ca="1">VLOOKUP(Cpi_[[#This Row],[Year]:[Month]],crudeoil[],3,FALSE)</f>
        <v>#VALUE!</v>
      </c>
    </row>
    <row r="7650" spans="1:8" hidden="1" x14ac:dyDescent="0.3">
      <c r="A7650" t="s">
        <v>33</v>
      </c>
      <c r="B7650">
        <v>2020</v>
      </c>
      <c r="C7650" t="s">
        <v>46</v>
      </c>
      <c r="D7650" t="s">
        <v>10</v>
      </c>
      <c r="E7650" t="e">
        <f>VLOOKUP(Cpi_[[#This Row],[Attribute]],#REF!,2,FALSE)</f>
        <v>#REF!</v>
      </c>
      <c r="F7650">
        <v>161.5</v>
      </c>
      <c r="G7650">
        <f>(Cpi_[[#This Row],[Value]]-F7649)/F7649</f>
        <v>-0.32959734329597346</v>
      </c>
      <c r="H7650" t="e" cm="1" vm="1">
        <f t="array" aca="1" ref="H7650" ca="1">VLOOKUP(Cpi_[[#This Row],[Year]:[Month]],crudeoil[],3,FALSE)</f>
        <v>#VALUE!</v>
      </c>
    </row>
    <row r="7651" spans="1:8" hidden="1" x14ac:dyDescent="0.3">
      <c r="A7651" t="s">
        <v>33</v>
      </c>
      <c r="B7651">
        <v>2020</v>
      </c>
      <c r="C7651" t="s">
        <v>46</v>
      </c>
      <c r="D7651" t="s">
        <v>11</v>
      </c>
      <c r="E7651" t="e">
        <f>VLOOKUP(Cpi_[[#This Row],[Attribute]],#REF!,2,FALSE)</f>
        <v>#REF!</v>
      </c>
      <c r="F7651">
        <v>117.1</v>
      </c>
      <c r="G7651">
        <f>(Cpi_[[#This Row],[Value]]-F7650)/F7650</f>
        <v>-0.2749226006191951</v>
      </c>
      <c r="H7651" t="e" cm="1" vm="1">
        <f t="array" aca="1" ref="H7651" ca="1">VLOOKUP(Cpi_[[#This Row],[Year]:[Month]],crudeoil[],3,FALSE)</f>
        <v>#VALUE!</v>
      </c>
    </row>
    <row r="7652" spans="1:8" hidden="1" x14ac:dyDescent="0.3">
      <c r="A7652" t="s">
        <v>33</v>
      </c>
      <c r="B7652">
        <v>2020</v>
      </c>
      <c r="C7652" t="s">
        <v>46</v>
      </c>
      <c r="D7652" t="s">
        <v>12</v>
      </c>
      <c r="E7652" t="e">
        <f>VLOOKUP(Cpi_[[#This Row],[Attribute]],#REF!,2,FALSE)</f>
        <v>#REF!</v>
      </c>
      <c r="F7652">
        <v>161.9</v>
      </c>
      <c r="G7652">
        <f>(Cpi_[[#This Row],[Value]]-F7651)/F7651</f>
        <v>0.38257899231426146</v>
      </c>
      <c r="H7652" t="e" cm="1" vm="1">
        <f t="array" aca="1" ref="H7652" ca="1">VLOOKUP(Cpi_[[#This Row],[Year]:[Month]],crudeoil[],3,FALSE)</f>
        <v>#VALUE!</v>
      </c>
    </row>
    <row r="7653" spans="1:8" hidden="1" x14ac:dyDescent="0.3">
      <c r="A7653" t="s">
        <v>33</v>
      </c>
      <c r="B7653">
        <v>2020</v>
      </c>
      <c r="C7653" t="s">
        <v>46</v>
      </c>
      <c r="D7653" t="s">
        <v>13</v>
      </c>
      <c r="E7653" t="e">
        <f>VLOOKUP(Cpi_[[#This Row],[Attribute]],#REF!,2,FALSE)</f>
        <v>#REF!</v>
      </c>
      <c r="F7653">
        <v>143.30000000000001</v>
      </c>
      <c r="G7653">
        <f>(Cpi_[[#This Row],[Value]]-F7652)/F7652</f>
        <v>-0.11488573193329212</v>
      </c>
      <c r="H7653" t="e" cm="1" vm="1">
        <f t="array" aca="1" ref="H7653" ca="1">VLOOKUP(Cpi_[[#This Row],[Year]:[Month]],crudeoil[],3,FALSE)</f>
        <v>#VALUE!</v>
      </c>
    </row>
    <row r="7654" spans="1:8" hidden="1" x14ac:dyDescent="0.3">
      <c r="A7654" t="s">
        <v>33</v>
      </c>
      <c r="B7654">
        <v>2020</v>
      </c>
      <c r="C7654" t="s">
        <v>46</v>
      </c>
      <c r="D7654" t="s">
        <v>14</v>
      </c>
      <c r="E7654" t="e">
        <f>VLOOKUP(Cpi_[[#This Row],[Attribute]],#REF!,2,FALSE)</f>
        <v>#REF!</v>
      </c>
      <c r="F7654">
        <v>166.1</v>
      </c>
      <c r="G7654">
        <f>(Cpi_[[#This Row],[Value]]-F7653)/F7653</f>
        <v>0.15910676901605011</v>
      </c>
      <c r="H7654" t="e" cm="1" vm="1">
        <f t="array" aca="1" ref="H7654" ca="1">VLOOKUP(Cpi_[[#This Row],[Year]:[Month]],crudeoil[],3,FALSE)</f>
        <v>#VALUE!</v>
      </c>
    </row>
    <row r="7655" spans="1:8" hidden="1" x14ac:dyDescent="0.3">
      <c r="A7655" t="s">
        <v>33</v>
      </c>
      <c r="B7655">
        <v>2020</v>
      </c>
      <c r="C7655" t="s">
        <v>46</v>
      </c>
      <c r="D7655" t="s">
        <v>15</v>
      </c>
      <c r="E7655" t="e">
        <f>VLOOKUP(Cpi_[[#This Row],[Attribute]],#REF!,2,FALSE)</f>
        <v>#REF!</v>
      </c>
      <c r="F7655">
        <v>167</v>
      </c>
      <c r="G7655">
        <f>(Cpi_[[#This Row],[Value]]-F7654)/F7654</f>
        <v>5.418422636965718E-3</v>
      </c>
      <c r="H7655" t="e" cm="1" vm="1">
        <f t="array" aca="1" ref="H7655" ca="1">VLOOKUP(Cpi_[[#This Row],[Year]:[Month]],crudeoil[],3,FALSE)</f>
        <v>#VALUE!</v>
      </c>
    </row>
    <row r="7656" spans="1:8" hidden="1" x14ac:dyDescent="0.3">
      <c r="A7656" t="s">
        <v>33</v>
      </c>
      <c r="B7656">
        <v>2020</v>
      </c>
      <c r="C7656" t="s">
        <v>46</v>
      </c>
      <c r="D7656" t="s">
        <v>16</v>
      </c>
      <c r="E7656" t="e">
        <f>VLOOKUP(Cpi_[[#This Row],[Attribute]],#REF!,2,FALSE)</f>
        <v>#REF!</v>
      </c>
      <c r="F7656">
        <v>190.2</v>
      </c>
      <c r="G7656">
        <f>(Cpi_[[#This Row],[Value]]-F7655)/F7655</f>
        <v>0.13892215568862268</v>
      </c>
      <c r="H7656" t="e" cm="1" vm="1">
        <f t="array" aca="1" ref="H7656" ca="1">VLOOKUP(Cpi_[[#This Row],[Year]:[Month]],crudeoil[],3,FALSE)</f>
        <v>#VALUE!</v>
      </c>
    </row>
    <row r="7657" spans="1:8" hidden="1" x14ac:dyDescent="0.3">
      <c r="A7657" t="s">
        <v>33</v>
      </c>
      <c r="B7657">
        <v>2020</v>
      </c>
      <c r="C7657" t="s">
        <v>46</v>
      </c>
      <c r="D7657" t="s">
        <v>17</v>
      </c>
      <c r="E7657" t="e">
        <f>VLOOKUP(Cpi_[[#This Row],[Attribute]],#REF!,2,FALSE)</f>
        <v>#REF!</v>
      </c>
      <c r="F7657">
        <v>151.9</v>
      </c>
      <c r="G7657">
        <f>(Cpi_[[#This Row],[Value]]-F7656)/F7656</f>
        <v>-0.20136698212407983</v>
      </c>
      <c r="H7657" t="e" cm="1" vm="1">
        <f t="array" aca="1" ref="H7657" ca="1">VLOOKUP(Cpi_[[#This Row],[Year]:[Month]],crudeoil[],3,FALSE)</f>
        <v>#VALUE!</v>
      </c>
    </row>
    <row r="7658" spans="1:8" hidden="1" x14ac:dyDescent="0.3">
      <c r="A7658" t="s">
        <v>33</v>
      </c>
      <c r="B7658">
        <v>2020</v>
      </c>
      <c r="C7658" t="s">
        <v>46</v>
      </c>
      <c r="D7658" t="s">
        <v>18</v>
      </c>
      <c r="E7658" t="e">
        <f>VLOOKUP(Cpi_[[#This Row],[Attribute]],#REF!,2,FALSE)</f>
        <v>#REF!</v>
      </c>
      <c r="F7658">
        <v>136.69999999999999</v>
      </c>
      <c r="G7658">
        <f>(Cpi_[[#This Row],[Value]]-F7657)/F7657</f>
        <v>-0.1000658327847269</v>
      </c>
      <c r="H7658" t="e" cm="1" vm="1">
        <f t="array" aca="1" ref="H7658" ca="1">VLOOKUP(Cpi_[[#This Row],[Year]:[Month]],crudeoil[],3,FALSE)</f>
        <v>#VALUE!</v>
      </c>
    </row>
    <row r="7659" spans="1:8" hidden="1" x14ac:dyDescent="0.3">
      <c r="A7659" t="s">
        <v>33</v>
      </c>
      <c r="B7659">
        <v>2020</v>
      </c>
      <c r="C7659" t="s">
        <v>46</v>
      </c>
      <c r="D7659" t="s">
        <v>19</v>
      </c>
      <c r="E7659" t="e">
        <f>VLOOKUP(Cpi_[[#This Row],[Attribute]],#REF!,2,FALSE)</f>
        <v>#REF!</v>
      </c>
      <c r="F7659">
        <v>149.6</v>
      </c>
      <c r="G7659">
        <f>(Cpi_[[#This Row],[Value]]-F7658)/F7658</f>
        <v>9.4367227505486512E-2</v>
      </c>
      <c r="H7659" t="e" cm="1" vm="1">
        <f t="array" aca="1" ref="H7659" ca="1">VLOOKUP(Cpi_[[#This Row],[Year]:[Month]],crudeoil[],3,FALSE)</f>
        <v>#VALUE!</v>
      </c>
    </row>
    <row r="7660" spans="1:8" hidden="1" x14ac:dyDescent="0.3">
      <c r="A7660" t="s">
        <v>33</v>
      </c>
      <c r="B7660">
        <v>2020</v>
      </c>
      <c r="C7660" t="s">
        <v>46</v>
      </c>
      <c r="D7660" t="s">
        <v>20</v>
      </c>
      <c r="E7660" t="e">
        <f>VLOOKUP(Cpi_[[#This Row],[Attribute]],#REF!,2,FALSE)</f>
        <v>#REF!</v>
      </c>
      <c r="F7660">
        <v>158.4</v>
      </c>
      <c r="G7660">
        <f>(Cpi_[[#This Row],[Value]]-F7659)/F7659</f>
        <v>5.8823529411764781E-2</v>
      </c>
      <c r="H7660" t="e" cm="1" vm="1">
        <f t="array" aca="1" ref="H7660" ca="1">VLOOKUP(Cpi_[[#This Row],[Year]:[Month]],crudeoil[],3,FALSE)</f>
        <v>#VALUE!</v>
      </c>
    </row>
    <row r="7661" spans="1:8" hidden="1" x14ac:dyDescent="0.3">
      <c r="A7661" t="s">
        <v>33</v>
      </c>
      <c r="B7661">
        <v>2020</v>
      </c>
      <c r="C7661" t="s">
        <v>46</v>
      </c>
      <c r="D7661" t="s">
        <v>21</v>
      </c>
      <c r="E7661" t="e">
        <f>VLOOKUP(Cpi_[[#This Row],[Attribute]],#REF!,2,FALSE)</f>
        <v>#REF!</v>
      </c>
      <c r="F7661">
        <v>137.9</v>
      </c>
      <c r="G7661">
        <f>(Cpi_[[#This Row],[Value]]-F7660)/F7660</f>
        <v>-0.12941919191919191</v>
      </c>
      <c r="H7661" t="e" cm="1" vm="1">
        <f t="array" aca="1" ref="H7661" ca="1">VLOOKUP(Cpi_[[#This Row],[Year]:[Month]],crudeoil[],3,FALSE)</f>
        <v>#VALUE!</v>
      </c>
    </row>
    <row r="7662" spans="1:8" hidden="1" x14ac:dyDescent="0.3">
      <c r="A7662" t="s">
        <v>33</v>
      </c>
      <c r="B7662">
        <v>2020</v>
      </c>
      <c r="C7662" t="s">
        <v>46</v>
      </c>
      <c r="D7662" t="s">
        <v>22</v>
      </c>
      <c r="E7662" t="e">
        <f>VLOOKUP(Cpi_[[#This Row],[Attribute]],#REF!,2,FALSE)</f>
        <v>#REF!</v>
      </c>
      <c r="F7662">
        <v>145.5</v>
      </c>
      <c r="G7662">
        <f>(Cpi_[[#This Row],[Value]]-F7661)/F7661</f>
        <v>5.5112400290065221E-2</v>
      </c>
      <c r="H7662" t="e" cm="1" vm="1">
        <f t="array" aca="1" ref="H7662" ca="1">VLOOKUP(Cpi_[[#This Row],[Year]:[Month]],crudeoil[],3,FALSE)</f>
        <v>#VALUE!</v>
      </c>
    </row>
    <row r="7663" spans="1:8" hidden="1" x14ac:dyDescent="0.3">
      <c r="A7663" t="s">
        <v>33</v>
      </c>
      <c r="B7663">
        <v>2020</v>
      </c>
      <c r="C7663" t="s">
        <v>46</v>
      </c>
      <c r="D7663" t="s">
        <v>23</v>
      </c>
      <c r="E7663" t="e">
        <f>VLOOKUP(Cpi_[[#This Row],[Attribute]],#REF!,2,FALSE)</f>
        <v>#REF!</v>
      </c>
      <c r="F7663">
        <v>152.9</v>
      </c>
      <c r="G7663">
        <f>(Cpi_[[#This Row],[Value]]-F7662)/F7662</f>
        <v>5.0859106529209663E-2</v>
      </c>
      <c r="H7663" t="e" cm="1" vm="1">
        <f t="array" aca="1" ref="H7663" ca="1">VLOOKUP(Cpi_[[#This Row],[Year]:[Month]],crudeoil[],3,FALSE)</f>
        <v>#VALUE!</v>
      </c>
    </row>
    <row r="7664" spans="1:8" hidden="1" x14ac:dyDescent="0.3">
      <c r="A7664" t="s">
        <v>33</v>
      </c>
      <c r="B7664">
        <v>2020</v>
      </c>
      <c r="C7664" t="s">
        <v>46</v>
      </c>
      <c r="D7664" t="s">
        <v>24</v>
      </c>
      <c r="E7664" t="e">
        <f>VLOOKUP(Cpi_[[#This Row],[Attribute]],#REF!,2,FALSE)</f>
        <v>#REF!</v>
      </c>
      <c r="F7664">
        <v>135.5</v>
      </c>
      <c r="G7664">
        <f>(Cpi_[[#This Row],[Value]]-F7663)/F7663</f>
        <v>-0.11379986919555268</v>
      </c>
      <c r="H7664" t="e" cm="1" vm="1">
        <f t="array" aca="1" ref="H7664" ca="1">VLOOKUP(Cpi_[[#This Row],[Year]:[Month]],crudeoil[],3,FALSE)</f>
        <v>#VALUE!</v>
      </c>
    </row>
    <row r="7665" spans="1:8" hidden="1" x14ac:dyDescent="0.3">
      <c r="A7665" t="s">
        <v>33</v>
      </c>
      <c r="B7665">
        <v>2020</v>
      </c>
      <c r="C7665" t="s">
        <v>46</v>
      </c>
      <c r="D7665" t="s">
        <v>25</v>
      </c>
      <c r="E7665" t="e">
        <f>VLOOKUP(Cpi_[[#This Row],[Attribute]],#REF!,2,FALSE)</f>
        <v>#REF!</v>
      </c>
      <c r="F7665">
        <v>144.30000000000001</v>
      </c>
      <c r="G7665">
        <f>(Cpi_[[#This Row],[Value]]-F7664)/F7664</f>
        <v>6.4944649446494543E-2</v>
      </c>
      <c r="H7665" t="e" cm="1" vm="1">
        <f t="array" aca="1" ref="H7665" ca="1">VLOOKUP(Cpi_[[#This Row],[Year]:[Month]],crudeoil[],3,FALSE)</f>
        <v>#VALUE!</v>
      </c>
    </row>
    <row r="7666" spans="1:8" hidden="1" x14ac:dyDescent="0.3">
      <c r="A7666" t="s">
        <v>33</v>
      </c>
      <c r="B7666">
        <v>2020</v>
      </c>
      <c r="C7666" t="s">
        <v>46</v>
      </c>
      <c r="D7666" t="s">
        <v>26</v>
      </c>
      <c r="E7666" t="e">
        <f>VLOOKUP(Cpi_[[#This Row],[Attribute]],#REF!,2,FALSE)</f>
        <v>#REF!</v>
      </c>
      <c r="F7666">
        <v>156.9</v>
      </c>
      <c r="G7666">
        <f>(Cpi_[[#This Row],[Value]]-F7665)/F7665</f>
        <v>8.7318087318087267E-2</v>
      </c>
      <c r="H7666" t="e" cm="1" vm="1">
        <f t="array" aca="1" ref="H7666" ca="1">VLOOKUP(Cpi_[[#This Row],[Year]:[Month]],crudeoil[],3,FALSE)</f>
        <v>#VALUE!</v>
      </c>
    </row>
    <row r="7667" spans="1:8" hidden="1" x14ac:dyDescent="0.3">
      <c r="A7667" t="s">
        <v>33</v>
      </c>
      <c r="B7667">
        <v>2020</v>
      </c>
      <c r="C7667" t="s">
        <v>46</v>
      </c>
      <c r="D7667" t="s">
        <v>27</v>
      </c>
      <c r="E7667" t="e">
        <f>VLOOKUP(Cpi_[[#This Row],[Attribute]],#REF!,2,FALSE)</f>
        <v>#REF!</v>
      </c>
      <c r="F7667">
        <v>157.9</v>
      </c>
      <c r="G7667">
        <f>(Cpi_[[#This Row],[Value]]-F7666)/F7666</f>
        <v>6.3734862970044612E-3</v>
      </c>
      <c r="H7667" t="e" cm="1" vm="1">
        <f t="array" aca="1" ref="H7667" ca="1">VLOOKUP(Cpi_[[#This Row],[Year]:[Month]],crudeoil[],3,FALSE)</f>
        <v>#VALUE!</v>
      </c>
    </row>
    <row r="7668" spans="1:8" hidden="1" x14ac:dyDescent="0.3">
      <c r="A7668" t="s">
        <v>33</v>
      </c>
      <c r="B7668">
        <v>2020</v>
      </c>
      <c r="C7668" t="s">
        <v>46</v>
      </c>
      <c r="D7668" t="s">
        <v>28</v>
      </c>
      <c r="E7668" t="e">
        <f>VLOOKUP(Cpi_[[#This Row],[Attribute]],#REF!,2,FALSE)</f>
        <v>#REF!</v>
      </c>
      <c r="F7668">
        <v>146.9</v>
      </c>
      <c r="G7668">
        <f>(Cpi_[[#This Row],[Value]]-F7667)/F7667</f>
        <v>-6.9664344521849275E-2</v>
      </c>
      <c r="H7668" t="e" cm="1" vm="1">
        <f t="array" aca="1" ref="H7668" ca="1">VLOOKUP(Cpi_[[#This Row],[Year]:[Month]],crudeoil[],3,FALSE)</f>
        <v>#VALUE!</v>
      </c>
    </row>
    <row r="7669" spans="1:8" hidden="1" x14ac:dyDescent="0.3">
      <c r="A7669" t="s">
        <v>33</v>
      </c>
      <c r="B7669">
        <v>2020</v>
      </c>
      <c r="C7669" t="s">
        <v>46</v>
      </c>
      <c r="D7669" t="s">
        <v>29</v>
      </c>
      <c r="E7669" t="e" cm="1">
        <f t="array" aca="1" ref="E7669" ca="1">VLGeneral indexGeneral indexKUP(Cpi_[[#This Row],[Attribute]],#REF!,2,FALSE)</f>
        <v>#NAME?</v>
      </c>
      <c r="F7669">
        <v>156.9</v>
      </c>
      <c r="G7669">
        <f>(Cpi_[[#This Row],[Value]]-F7668)/F7668</f>
        <v>6.807351940095302E-2</v>
      </c>
      <c r="H7669" t="e" cm="1" vm="1">
        <f t="array" aca="1" ref="H7669" ca="1">VLOOKUP(Cpi_[[#This Row],[Year]:[Month]],crudeoil[],3,FALSE)</f>
        <v>#VALUE!</v>
      </c>
    </row>
    <row r="7670" spans="1:8" hidden="1" x14ac:dyDescent="0.3">
      <c r="A7670" t="s">
        <v>34</v>
      </c>
      <c r="B7670">
        <v>2020</v>
      </c>
      <c r="C7670" t="s">
        <v>46</v>
      </c>
      <c r="D7670" t="s">
        <v>3</v>
      </c>
      <c r="E7670" t="e">
        <f>VLOOKUP(Cpi_[[#This Row],[Attribute]],#REF!,2,FALSE)</f>
        <v>#REF!</v>
      </c>
      <c r="F7670">
        <v>146</v>
      </c>
      <c r="G7670">
        <f>(Cpi_[[#This Row],[Value]]-F7669)/F7669</f>
        <v>-6.9471000637348665E-2</v>
      </c>
      <c r="H7670" t="e" cm="1" vm="1">
        <f t="array" aca="1" ref="H7670" ca="1">VLOOKUP(Cpi_[[#This Row],[Year]:[Month]],crudeoil[],3,FALSE)</f>
        <v>#VALUE!</v>
      </c>
    </row>
    <row r="7671" spans="1:8" hidden="1" x14ac:dyDescent="0.3">
      <c r="A7671" t="s">
        <v>34</v>
      </c>
      <c r="B7671">
        <v>2020</v>
      </c>
      <c r="C7671" t="s">
        <v>46</v>
      </c>
      <c r="D7671" t="s">
        <v>4</v>
      </c>
      <c r="E7671" t="e">
        <f>VLOOKUP(Cpi_[[#This Row],[Attribute]],#REF!,2,FALSE)</f>
        <v>#REF!</v>
      </c>
      <c r="F7671">
        <v>191</v>
      </c>
      <c r="G7671">
        <f>(Cpi_[[#This Row],[Value]]-F7670)/F7670</f>
        <v>0.30821917808219179</v>
      </c>
      <c r="H7671" t="e" cm="1" vm="1">
        <f t="array" aca="1" ref="H7671" ca="1">VLOOKUP(Cpi_[[#This Row],[Year]:[Month]],crudeoil[],3,FALSE)</f>
        <v>#VALUE!</v>
      </c>
    </row>
    <row r="7672" spans="1:8" hidden="1" x14ac:dyDescent="0.3">
      <c r="A7672" t="s">
        <v>34</v>
      </c>
      <c r="B7672">
        <v>2020</v>
      </c>
      <c r="C7672" t="s">
        <v>46</v>
      </c>
      <c r="D7672" t="s">
        <v>5</v>
      </c>
      <c r="E7672" t="e">
        <f>VLOOKUP(Cpi_[[#This Row],[Attribute]],#REF!,2,FALSE)</f>
        <v>#REF!</v>
      </c>
      <c r="F7672">
        <v>175.3</v>
      </c>
      <c r="G7672">
        <f>(Cpi_[[#This Row],[Value]]-F7671)/F7671</f>
        <v>-8.2198952879581094E-2</v>
      </c>
      <c r="H7672" t="e" cm="1" vm="1">
        <f t="array" aca="1" ref="H7672" ca="1">VLOOKUP(Cpi_[[#This Row],[Year]:[Month]],crudeoil[],3,FALSE)</f>
        <v>#VALUE!</v>
      </c>
    </row>
    <row r="7673" spans="1:8" hidden="1" x14ac:dyDescent="0.3">
      <c r="A7673" t="s">
        <v>34</v>
      </c>
      <c r="B7673">
        <v>2020</v>
      </c>
      <c r="C7673" t="s">
        <v>46</v>
      </c>
      <c r="D7673" t="s">
        <v>6</v>
      </c>
      <c r="E7673" t="e">
        <f>VLOOKUP(Cpi_[[#This Row],[Attribute]],#REF!,2,FALSE)</f>
        <v>#REF!</v>
      </c>
      <c r="F7673">
        <v>154.1</v>
      </c>
      <c r="G7673">
        <f>(Cpi_[[#This Row],[Value]]-F7672)/F7672</f>
        <v>-0.12093553907587003</v>
      </c>
      <c r="H7673" t="e" cm="1" vm="1">
        <f t="array" aca="1" ref="H7673" ca="1">VLOOKUP(Cpi_[[#This Row],[Year]:[Month]],crudeoil[],3,FALSE)</f>
        <v>#VALUE!</v>
      </c>
    </row>
    <row r="7674" spans="1:8" hidden="1" x14ac:dyDescent="0.3">
      <c r="A7674" t="s">
        <v>34</v>
      </c>
      <c r="B7674">
        <v>2020</v>
      </c>
      <c r="C7674" t="s">
        <v>46</v>
      </c>
      <c r="D7674" t="s">
        <v>7</v>
      </c>
      <c r="E7674" t="e">
        <f>VLOOKUP(Cpi_[[#This Row],[Attribute]],#REF!,2,FALSE)</f>
        <v>#REF!</v>
      </c>
      <c r="F7674">
        <v>146.6</v>
      </c>
      <c r="G7674">
        <f>(Cpi_[[#This Row],[Value]]-F7673)/F7673</f>
        <v>-4.8669695003244647E-2</v>
      </c>
      <c r="H7674" t="e" cm="1" vm="1">
        <f t="array" aca="1" ref="H7674" ca="1">VLOOKUP(Cpi_[[#This Row],[Year]:[Month]],crudeoil[],3,FALSE)</f>
        <v>#VALUE!</v>
      </c>
    </row>
    <row r="7675" spans="1:8" hidden="1" x14ac:dyDescent="0.3">
      <c r="A7675" t="s">
        <v>34</v>
      </c>
      <c r="B7675">
        <v>2020</v>
      </c>
      <c r="C7675" t="s">
        <v>46</v>
      </c>
      <c r="D7675" t="s">
        <v>8</v>
      </c>
      <c r="E7675" t="e">
        <f>VLOOKUP(Cpi_[[#This Row],[Attribute]],#REF!,2,FALSE)</f>
        <v>#REF!</v>
      </c>
      <c r="F7675">
        <v>147.69999999999999</v>
      </c>
      <c r="G7675">
        <f>(Cpi_[[#This Row],[Value]]-F7674)/F7674</f>
        <v>7.503410641200507E-3</v>
      </c>
      <c r="H7675" t="e" cm="1" vm="1">
        <f t="array" aca="1" ref="H7675" ca="1">VLOOKUP(Cpi_[[#This Row],[Year]:[Month]],crudeoil[],3,FALSE)</f>
        <v>#VALUE!</v>
      </c>
    </row>
    <row r="7676" spans="1:8" hidden="1" x14ac:dyDescent="0.3">
      <c r="A7676" t="s">
        <v>34</v>
      </c>
      <c r="B7676">
        <v>2020</v>
      </c>
      <c r="C7676" t="s">
        <v>46</v>
      </c>
      <c r="D7676" t="s">
        <v>9</v>
      </c>
      <c r="E7676" t="e">
        <f>VLOOKUP(Cpi_[[#This Row],[Attribute]],#REF!,2,FALSE)</f>
        <v>#REF!</v>
      </c>
      <c r="F7676">
        <v>230.5</v>
      </c>
      <c r="G7676">
        <f>(Cpi_[[#This Row],[Value]]-F7675)/F7675</f>
        <v>0.5605958023019636</v>
      </c>
      <c r="H7676" t="e" cm="1" vm="1">
        <f t="array" aca="1" ref="H7676" ca="1">VLOOKUP(Cpi_[[#This Row],[Year]:[Month]],crudeoil[],3,FALSE)</f>
        <v>#VALUE!</v>
      </c>
    </row>
    <row r="7677" spans="1:8" hidden="1" x14ac:dyDescent="0.3">
      <c r="A7677" t="s">
        <v>34</v>
      </c>
      <c r="B7677">
        <v>2020</v>
      </c>
      <c r="C7677" t="s">
        <v>46</v>
      </c>
      <c r="D7677" t="s">
        <v>10</v>
      </c>
      <c r="E7677" t="e">
        <f>VLOOKUP(Cpi_[[#This Row],[Attribute]],#REF!,2,FALSE)</f>
        <v>#REF!</v>
      </c>
      <c r="F7677">
        <v>160.19999999999999</v>
      </c>
      <c r="G7677">
        <f>(Cpi_[[#This Row],[Value]]-F7676)/F7676</f>
        <v>-0.30498915401301524</v>
      </c>
      <c r="H7677" t="e" cm="1" vm="1">
        <f t="array" aca="1" ref="H7677" ca="1">VLOOKUP(Cpi_[[#This Row],[Year]:[Month]],crudeoil[],3,FALSE)</f>
        <v>#VALUE!</v>
      </c>
    </row>
    <row r="7678" spans="1:8" hidden="1" x14ac:dyDescent="0.3">
      <c r="A7678" t="s">
        <v>34</v>
      </c>
      <c r="B7678">
        <v>2020</v>
      </c>
      <c r="C7678" t="s">
        <v>46</v>
      </c>
      <c r="D7678" t="s">
        <v>11</v>
      </c>
      <c r="E7678" t="e">
        <f>VLOOKUP(Cpi_[[#This Row],[Attribute]],#REF!,2,FALSE)</f>
        <v>#REF!</v>
      </c>
      <c r="F7678">
        <v>115.3</v>
      </c>
      <c r="G7678">
        <f>(Cpi_[[#This Row],[Value]]-F7677)/F7677</f>
        <v>-0.28027465667915102</v>
      </c>
      <c r="H7678" t="e" cm="1" vm="1">
        <f t="array" aca="1" ref="H7678" ca="1">VLOOKUP(Cpi_[[#This Row],[Year]:[Month]],crudeoil[],3,FALSE)</f>
        <v>#VALUE!</v>
      </c>
    </row>
    <row r="7679" spans="1:8" hidden="1" x14ac:dyDescent="0.3">
      <c r="A7679" t="s">
        <v>34</v>
      </c>
      <c r="B7679">
        <v>2020</v>
      </c>
      <c r="C7679" t="s">
        <v>46</v>
      </c>
      <c r="D7679" t="s">
        <v>12</v>
      </c>
      <c r="E7679" t="e">
        <f>VLOOKUP(Cpi_[[#This Row],[Attribute]],#REF!,2,FALSE)</f>
        <v>#REF!</v>
      </c>
      <c r="F7679">
        <v>163</v>
      </c>
      <c r="G7679">
        <f>(Cpi_[[#This Row],[Value]]-F7678)/F7678</f>
        <v>0.41370338248048572</v>
      </c>
      <c r="H7679" t="e" cm="1" vm="1">
        <f t="array" aca="1" ref="H7679" ca="1">VLOOKUP(Cpi_[[#This Row],[Year]:[Month]],crudeoil[],3,FALSE)</f>
        <v>#VALUE!</v>
      </c>
    </row>
    <row r="7680" spans="1:8" hidden="1" x14ac:dyDescent="0.3">
      <c r="A7680" t="s">
        <v>34</v>
      </c>
      <c r="B7680">
        <v>2020</v>
      </c>
      <c r="C7680" t="s">
        <v>46</v>
      </c>
      <c r="D7680" t="s">
        <v>13</v>
      </c>
      <c r="E7680" t="e">
        <f>VLOOKUP(Cpi_[[#This Row],[Attribute]],#REF!,2,FALSE)</f>
        <v>#REF!</v>
      </c>
      <c r="F7680">
        <v>149.19999999999999</v>
      </c>
      <c r="G7680">
        <f>(Cpi_[[#This Row],[Value]]-F7679)/F7679</f>
        <v>-8.4662576687116631E-2</v>
      </c>
      <c r="H7680" t="e" cm="1" vm="1">
        <f t="array" aca="1" ref="H7680" ca="1">VLOOKUP(Cpi_[[#This Row],[Year]:[Month]],crudeoil[],3,FALSE)</f>
        <v>#VALUE!</v>
      </c>
    </row>
    <row r="7681" spans="1:8" hidden="1" x14ac:dyDescent="0.3">
      <c r="A7681" t="s">
        <v>34</v>
      </c>
      <c r="B7681">
        <v>2020</v>
      </c>
      <c r="C7681" t="s">
        <v>46</v>
      </c>
      <c r="D7681" t="s">
        <v>14</v>
      </c>
      <c r="E7681" t="e">
        <f>VLOOKUP(Cpi_[[#This Row],[Attribute]],#REF!,2,FALSE)</f>
        <v>#REF!</v>
      </c>
      <c r="F7681">
        <v>164.8</v>
      </c>
      <c r="G7681">
        <f>(Cpi_[[#This Row],[Value]]-F7680)/F7680</f>
        <v>0.10455764075067041</v>
      </c>
      <c r="H7681" t="e" cm="1" vm="1">
        <f t="array" aca="1" ref="H7681" ca="1">VLOOKUP(Cpi_[[#This Row],[Year]:[Month]],crudeoil[],3,FALSE)</f>
        <v>#VALUE!</v>
      </c>
    </row>
    <row r="7682" spans="1:8" hidden="1" x14ac:dyDescent="0.3">
      <c r="A7682" t="s">
        <v>34</v>
      </c>
      <c r="B7682">
        <v>2020</v>
      </c>
      <c r="C7682" t="s">
        <v>46</v>
      </c>
      <c r="D7682" t="s">
        <v>15</v>
      </c>
      <c r="E7682" t="e">
        <f>VLOOKUP(Cpi_[[#This Row],[Attribute]],#REF!,2,FALSE)</f>
        <v>#REF!</v>
      </c>
      <c r="F7682">
        <v>165.4</v>
      </c>
      <c r="G7682">
        <f>(Cpi_[[#This Row],[Value]]-F7681)/F7681</f>
        <v>3.6407766990290916E-3</v>
      </c>
      <c r="H7682" t="e" cm="1" vm="1">
        <f t="array" aca="1" ref="H7682" ca="1">VLOOKUP(Cpi_[[#This Row],[Year]:[Month]],crudeoil[],3,FALSE)</f>
        <v>#VALUE!</v>
      </c>
    </row>
    <row r="7683" spans="1:8" hidden="1" x14ac:dyDescent="0.3">
      <c r="A7683" t="s">
        <v>34</v>
      </c>
      <c r="B7683">
        <v>2020</v>
      </c>
      <c r="C7683" t="s">
        <v>46</v>
      </c>
      <c r="D7683" t="s">
        <v>16</v>
      </c>
      <c r="E7683" t="e">
        <f>VLOOKUP(Cpi_[[#This Row],[Attribute]],#REF!,2,FALSE)</f>
        <v>#REF!</v>
      </c>
      <c r="F7683">
        <v>185.4</v>
      </c>
      <c r="G7683">
        <f>(Cpi_[[#This Row],[Value]]-F7682)/F7682</f>
        <v>0.12091898428053204</v>
      </c>
      <c r="H7683" t="e" cm="1" vm="1">
        <f t="array" aca="1" ref="H7683" ca="1">VLOOKUP(Cpi_[[#This Row],[Year]:[Month]],crudeoil[],3,FALSE)</f>
        <v>#VALUE!</v>
      </c>
    </row>
    <row r="7684" spans="1:8" hidden="1" x14ac:dyDescent="0.3">
      <c r="A7684" t="s">
        <v>34</v>
      </c>
      <c r="B7684">
        <v>2020</v>
      </c>
      <c r="C7684" t="s">
        <v>46</v>
      </c>
      <c r="D7684" t="s">
        <v>17</v>
      </c>
      <c r="E7684" t="e">
        <f>VLOOKUP(Cpi_[[#This Row],[Attribute]],#REF!,2,FALSE)</f>
        <v>#REF!</v>
      </c>
      <c r="F7684">
        <v>155</v>
      </c>
      <c r="G7684">
        <f>(Cpi_[[#This Row],[Value]]-F7683)/F7683</f>
        <v>-0.16396979503775622</v>
      </c>
      <c r="H7684" t="e" cm="1" vm="1">
        <f t="array" aca="1" ref="H7684" ca="1">VLOOKUP(Cpi_[[#This Row],[Year]:[Month]],crudeoil[],3,FALSE)</f>
        <v>#VALUE!</v>
      </c>
    </row>
    <row r="7685" spans="1:8" hidden="1" x14ac:dyDescent="0.3">
      <c r="A7685" t="s">
        <v>34</v>
      </c>
      <c r="B7685">
        <v>2020</v>
      </c>
      <c r="C7685" t="s">
        <v>46</v>
      </c>
      <c r="D7685" t="s">
        <v>18</v>
      </c>
      <c r="E7685" t="e">
        <f>VLOOKUP(Cpi_[[#This Row],[Attribute]],#REF!,2,FALSE)</f>
        <v>#REF!</v>
      </c>
      <c r="F7685">
        <v>145.4</v>
      </c>
      <c r="G7685">
        <f>(Cpi_[[#This Row],[Value]]-F7684)/F7684</f>
        <v>-6.1935483870967707E-2</v>
      </c>
      <c r="H7685" t="e" cm="1" vm="1">
        <f t="array" aca="1" ref="H7685" ca="1">VLOOKUP(Cpi_[[#This Row],[Year]:[Month]],crudeoil[],3,FALSE)</f>
        <v>#VALUE!</v>
      </c>
    </row>
    <row r="7686" spans="1:8" hidden="1" x14ac:dyDescent="0.3">
      <c r="A7686" t="s">
        <v>34</v>
      </c>
      <c r="B7686">
        <v>2020</v>
      </c>
      <c r="C7686" t="s">
        <v>46</v>
      </c>
      <c r="D7686" t="s">
        <v>19</v>
      </c>
      <c r="E7686" t="e">
        <f>VLOOKUP(Cpi_[[#This Row],[Attribute]],#REF!,2,FALSE)</f>
        <v>#REF!</v>
      </c>
      <c r="F7686">
        <v>153.6</v>
      </c>
      <c r="G7686">
        <f>(Cpi_[[#This Row],[Value]]-F7685)/F7685</f>
        <v>5.6396148555708313E-2</v>
      </c>
      <c r="H7686" t="e" cm="1" vm="1">
        <f t="array" aca="1" ref="H7686" ca="1">VLOOKUP(Cpi_[[#This Row],[Year]:[Month]],crudeoil[],3,FALSE)</f>
        <v>#VALUE!</v>
      </c>
    </row>
    <row r="7687" spans="1:8" hidden="1" x14ac:dyDescent="0.3">
      <c r="A7687" t="s">
        <v>34</v>
      </c>
      <c r="B7687">
        <v>2020</v>
      </c>
      <c r="C7687" t="s">
        <v>46</v>
      </c>
      <c r="D7687" t="s">
        <v>20</v>
      </c>
      <c r="E7687" t="e">
        <f>VLOOKUP(Cpi_[[#This Row],[Attribute]],#REF!,2,FALSE)</f>
        <v>#REF!</v>
      </c>
      <c r="F7687">
        <v>158.4</v>
      </c>
      <c r="G7687">
        <f>(Cpi_[[#This Row],[Value]]-F7686)/F7686</f>
        <v>3.1250000000000076E-2</v>
      </c>
      <c r="H7687" t="e" cm="1" vm="1">
        <f t="array" aca="1" ref="H7687" ca="1">VLOOKUP(Cpi_[[#This Row],[Year]:[Month]],crudeoil[],3,FALSE)</f>
        <v>#VALUE!</v>
      </c>
    </row>
    <row r="7688" spans="1:8" hidden="1" x14ac:dyDescent="0.3">
      <c r="A7688" t="s">
        <v>34</v>
      </c>
      <c r="B7688">
        <v>2020</v>
      </c>
      <c r="C7688" t="s">
        <v>46</v>
      </c>
      <c r="D7688" t="s">
        <v>21</v>
      </c>
      <c r="E7688" t="e">
        <f>VLOOKUP(Cpi_[[#This Row],[Attribute]],#REF!,2,FALSE)</f>
        <v>#REF!</v>
      </c>
      <c r="F7688">
        <v>144.6</v>
      </c>
      <c r="G7688">
        <f>(Cpi_[[#This Row],[Value]]-F7687)/F7687</f>
        <v>-8.7121212121212196E-2</v>
      </c>
      <c r="H7688" t="e" cm="1" vm="1">
        <f t="array" aca="1" ref="H7688" ca="1">VLOOKUP(Cpi_[[#This Row],[Year]:[Month]],crudeoil[],3,FALSE)</f>
        <v>#VALUE!</v>
      </c>
    </row>
    <row r="7689" spans="1:8" hidden="1" x14ac:dyDescent="0.3">
      <c r="A7689" t="s">
        <v>34</v>
      </c>
      <c r="B7689">
        <v>2020</v>
      </c>
      <c r="C7689" t="s">
        <v>46</v>
      </c>
      <c r="D7689" t="s">
        <v>22</v>
      </c>
      <c r="E7689" t="e">
        <f>VLOOKUP(Cpi_[[#This Row],[Attribute]],#REF!,2,FALSE)</f>
        <v>#REF!</v>
      </c>
      <c r="F7689">
        <v>149.69999999999999</v>
      </c>
      <c r="G7689">
        <f>(Cpi_[[#This Row],[Value]]-F7688)/F7688</f>
        <v>3.526970954356843E-2</v>
      </c>
      <c r="H7689" t="e" cm="1" vm="1">
        <f t="array" aca="1" ref="H7689" ca="1">VLOOKUP(Cpi_[[#This Row],[Year]:[Month]],crudeoil[],3,FALSE)</f>
        <v>#VALUE!</v>
      </c>
    </row>
    <row r="7690" spans="1:8" hidden="1" x14ac:dyDescent="0.3">
      <c r="A7690" t="s">
        <v>34</v>
      </c>
      <c r="B7690">
        <v>2020</v>
      </c>
      <c r="C7690" t="s">
        <v>46</v>
      </c>
      <c r="D7690" t="s">
        <v>23</v>
      </c>
      <c r="E7690" t="e">
        <f>VLOOKUP(Cpi_[[#This Row],[Attribute]],#REF!,2,FALSE)</f>
        <v>#REF!</v>
      </c>
      <c r="F7690">
        <v>158.30000000000001</v>
      </c>
      <c r="G7690">
        <f>(Cpi_[[#This Row],[Value]]-F7689)/F7689</f>
        <v>5.7448229792919331E-2</v>
      </c>
      <c r="H7690" t="e" cm="1" vm="1">
        <f t="array" aca="1" ref="H7690" ca="1">VLOOKUP(Cpi_[[#This Row],[Year]:[Month]],crudeoil[],3,FALSE)</f>
        <v>#VALUE!</v>
      </c>
    </row>
    <row r="7691" spans="1:8" hidden="1" x14ac:dyDescent="0.3">
      <c r="A7691" t="s">
        <v>34</v>
      </c>
      <c r="B7691">
        <v>2020</v>
      </c>
      <c r="C7691" t="s">
        <v>46</v>
      </c>
      <c r="D7691" t="s">
        <v>24</v>
      </c>
      <c r="E7691" t="e">
        <f>VLOOKUP(Cpi_[[#This Row],[Attribute]],#REF!,2,FALSE)</f>
        <v>#REF!</v>
      </c>
      <c r="F7691">
        <v>140.69999999999999</v>
      </c>
      <c r="G7691">
        <f>(Cpi_[[#This Row],[Value]]-F7690)/F7690</f>
        <v>-0.11118130132659521</v>
      </c>
      <c r="H7691" t="e" cm="1" vm="1">
        <f t="array" aca="1" ref="H7691" ca="1">VLOOKUP(Cpi_[[#This Row],[Year]:[Month]],crudeoil[],3,FALSE)</f>
        <v>#VALUE!</v>
      </c>
    </row>
    <row r="7692" spans="1:8" hidden="1" x14ac:dyDescent="0.3">
      <c r="A7692" t="s">
        <v>34</v>
      </c>
      <c r="B7692">
        <v>2020</v>
      </c>
      <c r="C7692" t="s">
        <v>46</v>
      </c>
      <c r="D7692" t="s">
        <v>25</v>
      </c>
      <c r="E7692" t="e">
        <f>VLOOKUP(Cpi_[[#This Row],[Attribute]],#REF!,2,FALSE)</f>
        <v>#REF!</v>
      </c>
      <c r="F7692">
        <v>148.5</v>
      </c>
      <c r="G7692">
        <f>(Cpi_[[#This Row],[Value]]-F7691)/F7691</f>
        <v>5.5437100213219702E-2</v>
      </c>
      <c r="H7692" t="e" cm="1" vm="1">
        <f t="array" aca="1" ref="H7692" ca="1">VLOOKUP(Cpi_[[#This Row],[Year]:[Month]],crudeoil[],3,FALSE)</f>
        <v>#VALUE!</v>
      </c>
    </row>
    <row r="7693" spans="1:8" hidden="1" x14ac:dyDescent="0.3">
      <c r="A7693" t="s">
        <v>34</v>
      </c>
      <c r="B7693">
        <v>2020</v>
      </c>
      <c r="C7693" t="s">
        <v>46</v>
      </c>
      <c r="D7693" t="s">
        <v>26</v>
      </c>
      <c r="E7693" t="e">
        <f>VLOOKUP(Cpi_[[#This Row],[Attribute]],#REF!,2,FALSE)</f>
        <v>#REF!</v>
      </c>
      <c r="F7693">
        <v>159.4</v>
      </c>
      <c r="G7693">
        <f>(Cpi_[[#This Row],[Value]]-F7692)/F7692</f>
        <v>7.3400673400673438E-2</v>
      </c>
      <c r="H7693" t="e" cm="1" vm="1">
        <f t="array" aca="1" ref="H7693" ca="1">VLOOKUP(Cpi_[[#This Row],[Year]:[Month]],crudeoil[],3,FALSE)</f>
        <v>#VALUE!</v>
      </c>
    </row>
    <row r="7694" spans="1:8" hidden="1" x14ac:dyDescent="0.3">
      <c r="A7694" t="s">
        <v>34</v>
      </c>
      <c r="B7694">
        <v>2020</v>
      </c>
      <c r="C7694" t="s">
        <v>46</v>
      </c>
      <c r="D7694" t="s">
        <v>27</v>
      </c>
      <c r="E7694" t="e">
        <f>VLOOKUP(Cpi_[[#This Row],[Attribute]],#REF!,2,FALSE)</f>
        <v>#REF!</v>
      </c>
      <c r="F7694">
        <v>157.1</v>
      </c>
      <c r="G7694">
        <f>(Cpi_[[#This Row],[Value]]-F7693)/F7693</f>
        <v>-1.4429109159347624E-2</v>
      </c>
      <c r="H7694" t="e" cm="1" vm="1">
        <f t="array" aca="1" ref="H7694" ca="1">VLOOKUP(Cpi_[[#This Row],[Year]:[Month]],crudeoil[],3,FALSE)</f>
        <v>#VALUE!</v>
      </c>
    </row>
    <row r="7695" spans="1:8" hidden="1" x14ac:dyDescent="0.3">
      <c r="A7695" t="s">
        <v>34</v>
      </c>
      <c r="B7695">
        <v>2020</v>
      </c>
      <c r="C7695" t="s">
        <v>46</v>
      </c>
      <c r="D7695" t="s">
        <v>28</v>
      </c>
      <c r="E7695" t="e">
        <f>VLOOKUP(Cpi_[[#This Row],[Attribute]],#REF!,2,FALSE)</f>
        <v>#REF!</v>
      </c>
      <c r="F7695">
        <v>151.19999999999999</v>
      </c>
      <c r="G7695">
        <f>(Cpi_[[#This Row],[Value]]-F7694)/F7694</f>
        <v>-3.7555697008275019E-2</v>
      </c>
      <c r="H7695" t="e" cm="1" vm="1">
        <f t="array" aca="1" ref="H7695" ca="1">VLOOKUP(Cpi_[[#This Row],[Year]:[Month]],crudeoil[],3,FALSE)</f>
        <v>#VALUE!</v>
      </c>
    </row>
    <row r="7696" spans="1:8" hidden="1" x14ac:dyDescent="0.3">
      <c r="A7696" t="s">
        <v>34</v>
      </c>
      <c r="B7696">
        <v>2020</v>
      </c>
      <c r="C7696" t="s">
        <v>46</v>
      </c>
      <c r="D7696" t="s">
        <v>29</v>
      </c>
      <c r="E7696" t="e" cm="1">
        <f t="array" aca="1" ref="E7696" ca="1">VLGeneral indexGeneral indexKUP(Cpi_[[#This Row],[Attribute]],#REF!,2,FALSE)</f>
        <v>#NAME?</v>
      </c>
      <c r="F7696">
        <v>158.9</v>
      </c>
      <c r="G7696">
        <f>(Cpi_[[#This Row],[Value]]-F7695)/F7695</f>
        <v>5.0925925925926041E-2</v>
      </c>
      <c r="H7696" t="e" cm="1" vm="1">
        <f t="array" aca="1" ref="H7696" ca="1">VLOOKUP(Cpi_[[#This Row],[Year]:[Month]],crudeoil[],3,FALSE)</f>
        <v>#VALUE!</v>
      </c>
    </row>
    <row r="7697" spans="1:8" hidden="1" x14ac:dyDescent="0.3">
      <c r="A7697" t="s">
        <v>30</v>
      </c>
      <c r="B7697">
        <v>2021</v>
      </c>
      <c r="C7697" t="s">
        <v>31</v>
      </c>
      <c r="D7697" t="s">
        <v>3</v>
      </c>
      <c r="E7697" t="e">
        <f>VLOOKUP(Cpi_[[#This Row],[Attribute]],#REF!,2,FALSE)</f>
        <v>#REF!</v>
      </c>
      <c r="F7697">
        <v>143.4</v>
      </c>
      <c r="G7697">
        <f>(Cpi_[[#This Row],[Value]]-F7696)/F7696</f>
        <v>-9.754562617998741E-2</v>
      </c>
      <c r="H7697" t="e" cm="1" vm="1">
        <f t="array" aca="1" ref="H7697" ca="1">VLOOKUP(Cpi_[[#This Row],[Year]:[Month]],crudeoil[],3,FALSE)</f>
        <v>#VALUE!</v>
      </c>
    </row>
    <row r="7698" spans="1:8" hidden="1" x14ac:dyDescent="0.3">
      <c r="A7698" t="s">
        <v>30</v>
      </c>
      <c r="B7698">
        <v>2021</v>
      </c>
      <c r="C7698" t="s">
        <v>31</v>
      </c>
      <c r="D7698" t="s">
        <v>4</v>
      </c>
      <c r="E7698" t="e">
        <f>VLOOKUP(Cpi_[[#This Row],[Attribute]],#REF!,2,FALSE)</f>
        <v>#REF!</v>
      </c>
      <c r="F7698">
        <v>187.5</v>
      </c>
      <c r="G7698">
        <f>(Cpi_[[#This Row],[Value]]-F7697)/F7697</f>
        <v>0.30753138075313802</v>
      </c>
      <c r="H7698" t="e" cm="1" vm="1">
        <f t="array" aca="1" ref="H7698" ca="1">VLOOKUP(Cpi_[[#This Row],[Year]:[Month]],crudeoil[],3,FALSE)</f>
        <v>#VALUE!</v>
      </c>
    </row>
    <row r="7699" spans="1:8" hidden="1" x14ac:dyDescent="0.3">
      <c r="A7699" t="s">
        <v>30</v>
      </c>
      <c r="B7699">
        <v>2021</v>
      </c>
      <c r="C7699" t="s">
        <v>31</v>
      </c>
      <c r="D7699" t="s">
        <v>5</v>
      </c>
      <c r="E7699" t="e">
        <f>VLOOKUP(Cpi_[[#This Row],[Attribute]],#REF!,2,FALSE)</f>
        <v>#REF!</v>
      </c>
      <c r="F7699">
        <v>173.4</v>
      </c>
      <c r="G7699">
        <f>(Cpi_[[#This Row],[Value]]-F7698)/F7698</f>
        <v>-7.5199999999999975E-2</v>
      </c>
      <c r="H7699" t="e" cm="1" vm="1">
        <f t="array" aca="1" ref="H7699" ca="1">VLOOKUP(Cpi_[[#This Row],[Year]:[Month]],crudeoil[],3,FALSE)</f>
        <v>#VALUE!</v>
      </c>
    </row>
    <row r="7700" spans="1:8" hidden="1" x14ac:dyDescent="0.3">
      <c r="A7700" t="s">
        <v>30</v>
      </c>
      <c r="B7700">
        <v>2021</v>
      </c>
      <c r="C7700" t="s">
        <v>31</v>
      </c>
      <c r="D7700" t="s">
        <v>6</v>
      </c>
      <c r="E7700" t="e">
        <f>VLOOKUP(Cpi_[[#This Row],[Attribute]],#REF!,2,FALSE)</f>
        <v>#REF!</v>
      </c>
      <c r="F7700">
        <v>154</v>
      </c>
      <c r="G7700">
        <f>(Cpi_[[#This Row],[Value]]-F7699)/F7699</f>
        <v>-0.11188004613610153</v>
      </c>
      <c r="H7700" t="e" cm="1" vm="1">
        <f t="array" aca="1" ref="H7700" ca="1">VLOOKUP(Cpi_[[#This Row],[Year]:[Month]],crudeoil[],3,FALSE)</f>
        <v>#VALUE!</v>
      </c>
    </row>
    <row r="7701" spans="1:8" hidden="1" x14ac:dyDescent="0.3">
      <c r="A7701" t="s">
        <v>30</v>
      </c>
      <c r="B7701">
        <v>2021</v>
      </c>
      <c r="C7701" t="s">
        <v>31</v>
      </c>
      <c r="D7701" t="s">
        <v>7</v>
      </c>
      <c r="E7701" t="e">
        <f>VLOOKUP(Cpi_[[#This Row],[Attribute]],#REF!,2,FALSE)</f>
        <v>#REF!</v>
      </c>
      <c r="F7701">
        <v>154.80000000000001</v>
      </c>
      <c r="G7701">
        <f>(Cpi_[[#This Row],[Value]]-F7700)/F7700</f>
        <v>5.1948051948052685E-3</v>
      </c>
      <c r="H7701" t="e" cm="1" vm="1">
        <f t="array" aca="1" ref="H7701" ca="1">VLOOKUP(Cpi_[[#This Row],[Year]:[Month]],crudeoil[],3,FALSE)</f>
        <v>#VALUE!</v>
      </c>
    </row>
    <row r="7702" spans="1:8" hidden="1" x14ac:dyDescent="0.3">
      <c r="A7702" t="s">
        <v>30</v>
      </c>
      <c r="B7702">
        <v>2021</v>
      </c>
      <c r="C7702" t="s">
        <v>31</v>
      </c>
      <c r="D7702" t="s">
        <v>8</v>
      </c>
      <c r="E7702" t="e">
        <f>VLOOKUP(Cpi_[[#This Row],[Attribute]],#REF!,2,FALSE)</f>
        <v>#REF!</v>
      </c>
      <c r="F7702">
        <v>147</v>
      </c>
      <c r="G7702">
        <f>(Cpi_[[#This Row],[Value]]-F7701)/F7701</f>
        <v>-5.0387596899224875E-2</v>
      </c>
      <c r="H7702" t="e" cm="1" vm="1">
        <f t="array" aca="1" ref="H7702" ca="1">VLOOKUP(Cpi_[[#This Row],[Year]:[Month]],crudeoil[],3,FALSE)</f>
        <v>#VALUE!</v>
      </c>
    </row>
    <row r="7703" spans="1:8" hidden="1" x14ac:dyDescent="0.3">
      <c r="A7703" t="s">
        <v>30</v>
      </c>
      <c r="B7703">
        <v>2021</v>
      </c>
      <c r="C7703" t="s">
        <v>31</v>
      </c>
      <c r="D7703" t="s">
        <v>9</v>
      </c>
      <c r="E7703" t="e">
        <f>VLOOKUP(Cpi_[[#This Row],[Attribute]],#REF!,2,FALSE)</f>
        <v>#REF!</v>
      </c>
      <c r="F7703">
        <v>187.8</v>
      </c>
      <c r="G7703">
        <f>(Cpi_[[#This Row],[Value]]-F7702)/F7702</f>
        <v>0.27755102040816332</v>
      </c>
      <c r="H7703" t="e" cm="1" vm="1">
        <f t="array" aca="1" ref="H7703" ca="1">VLOOKUP(Cpi_[[#This Row],[Year]:[Month]],crudeoil[],3,FALSE)</f>
        <v>#VALUE!</v>
      </c>
    </row>
    <row r="7704" spans="1:8" hidden="1" x14ac:dyDescent="0.3">
      <c r="A7704" t="s">
        <v>30</v>
      </c>
      <c r="B7704">
        <v>2021</v>
      </c>
      <c r="C7704" t="s">
        <v>31</v>
      </c>
      <c r="D7704" t="s">
        <v>10</v>
      </c>
      <c r="E7704" t="e">
        <f>VLOOKUP(Cpi_[[#This Row],[Attribute]],#REF!,2,FALSE)</f>
        <v>#REF!</v>
      </c>
      <c r="F7704">
        <v>159.5</v>
      </c>
      <c r="G7704">
        <f>(Cpi_[[#This Row],[Value]]-F7703)/F7703</f>
        <v>-0.15069222577209804</v>
      </c>
      <c r="H7704" t="e" cm="1" vm="1">
        <f t="array" aca="1" ref="H7704" ca="1">VLOOKUP(Cpi_[[#This Row],[Year]:[Month]],crudeoil[],3,FALSE)</f>
        <v>#VALUE!</v>
      </c>
    </row>
    <row r="7705" spans="1:8" hidden="1" x14ac:dyDescent="0.3">
      <c r="A7705" t="s">
        <v>30</v>
      </c>
      <c r="B7705">
        <v>2021</v>
      </c>
      <c r="C7705" t="s">
        <v>31</v>
      </c>
      <c r="D7705" t="s">
        <v>11</v>
      </c>
      <c r="E7705" t="e">
        <f>VLOOKUP(Cpi_[[#This Row],[Attribute]],#REF!,2,FALSE)</f>
        <v>#REF!</v>
      </c>
      <c r="F7705">
        <v>113.8</v>
      </c>
      <c r="G7705">
        <f>(Cpi_[[#This Row],[Value]]-F7704)/F7704</f>
        <v>-0.2865203761755486</v>
      </c>
      <c r="H7705" t="e" cm="1" vm="1">
        <f t="array" aca="1" ref="H7705" ca="1">VLOOKUP(Cpi_[[#This Row],[Year]:[Month]],crudeoil[],3,FALSE)</f>
        <v>#VALUE!</v>
      </c>
    </row>
    <row r="7706" spans="1:8" hidden="1" x14ac:dyDescent="0.3">
      <c r="A7706" t="s">
        <v>30</v>
      </c>
      <c r="B7706">
        <v>2021</v>
      </c>
      <c r="C7706" t="s">
        <v>31</v>
      </c>
      <c r="D7706" t="s">
        <v>12</v>
      </c>
      <c r="E7706" t="e">
        <f>VLOOKUP(Cpi_[[#This Row],[Attribute]],#REF!,2,FALSE)</f>
        <v>#REF!</v>
      </c>
      <c r="F7706">
        <v>164.5</v>
      </c>
      <c r="G7706">
        <f>(Cpi_[[#This Row],[Value]]-F7705)/F7705</f>
        <v>0.44551845342706509</v>
      </c>
      <c r="H7706" t="e" cm="1" vm="1">
        <f t="array" aca="1" ref="H7706" ca="1">VLOOKUP(Cpi_[[#This Row],[Year]:[Month]],crudeoil[],3,FALSE)</f>
        <v>#VALUE!</v>
      </c>
    </row>
    <row r="7707" spans="1:8" hidden="1" x14ac:dyDescent="0.3">
      <c r="A7707" t="s">
        <v>30</v>
      </c>
      <c r="B7707">
        <v>2021</v>
      </c>
      <c r="C7707" t="s">
        <v>31</v>
      </c>
      <c r="D7707" t="s">
        <v>13</v>
      </c>
      <c r="E7707" t="e">
        <f>VLOOKUP(Cpi_[[#This Row],[Attribute]],#REF!,2,FALSE)</f>
        <v>#REF!</v>
      </c>
      <c r="F7707">
        <v>156.1</v>
      </c>
      <c r="G7707">
        <f>(Cpi_[[#This Row],[Value]]-F7706)/F7706</f>
        <v>-5.1063829787234075E-2</v>
      </c>
      <c r="H7707" t="e" cm="1" vm="1">
        <f t="array" aca="1" ref="H7707" ca="1">VLOOKUP(Cpi_[[#This Row],[Year]:[Month]],crudeoil[],3,FALSE)</f>
        <v>#VALUE!</v>
      </c>
    </row>
    <row r="7708" spans="1:8" hidden="1" x14ac:dyDescent="0.3">
      <c r="A7708" t="s">
        <v>30</v>
      </c>
      <c r="B7708">
        <v>2021</v>
      </c>
      <c r="C7708" t="s">
        <v>31</v>
      </c>
      <c r="D7708" t="s">
        <v>14</v>
      </c>
      <c r="E7708" t="e">
        <f>VLOOKUP(Cpi_[[#This Row],[Attribute]],#REF!,2,FALSE)</f>
        <v>#REF!</v>
      </c>
      <c r="F7708">
        <v>164.3</v>
      </c>
      <c r="G7708">
        <f>(Cpi_[[#This Row],[Value]]-F7707)/F7707</f>
        <v>5.2530429212043671E-2</v>
      </c>
      <c r="H7708" t="e" cm="1" vm="1">
        <f t="array" aca="1" ref="H7708" ca="1">VLOOKUP(Cpi_[[#This Row],[Year]:[Month]],crudeoil[],3,FALSE)</f>
        <v>#VALUE!</v>
      </c>
    </row>
    <row r="7709" spans="1:8" hidden="1" x14ac:dyDescent="0.3">
      <c r="A7709" t="s">
        <v>30</v>
      </c>
      <c r="B7709">
        <v>2021</v>
      </c>
      <c r="C7709" t="s">
        <v>31</v>
      </c>
      <c r="D7709" t="s">
        <v>15</v>
      </c>
      <c r="E7709" t="e">
        <f>VLOOKUP(Cpi_[[#This Row],[Attribute]],#REF!,2,FALSE)</f>
        <v>#REF!</v>
      </c>
      <c r="F7709">
        <v>159.6</v>
      </c>
      <c r="G7709">
        <f>(Cpi_[[#This Row],[Value]]-F7708)/F7708</f>
        <v>-2.8606208155812638E-2</v>
      </c>
      <c r="H7709" t="e" cm="1" vm="1">
        <f t="array" aca="1" ref="H7709" ca="1">VLOOKUP(Cpi_[[#This Row],[Year]:[Month]],crudeoil[],3,FALSE)</f>
        <v>#VALUE!</v>
      </c>
    </row>
    <row r="7710" spans="1:8" hidden="1" x14ac:dyDescent="0.3">
      <c r="A7710" t="s">
        <v>30</v>
      </c>
      <c r="B7710">
        <v>2021</v>
      </c>
      <c r="C7710" t="s">
        <v>31</v>
      </c>
      <c r="D7710" t="s">
        <v>16</v>
      </c>
      <c r="E7710" t="e">
        <f>VLOOKUP(Cpi_[[#This Row],[Attribute]],#REF!,2,FALSE)</f>
        <v>#REF!</v>
      </c>
      <c r="F7710">
        <v>184.6</v>
      </c>
      <c r="G7710">
        <f>(Cpi_[[#This Row],[Value]]-F7709)/F7709</f>
        <v>0.15664160401002508</v>
      </c>
      <c r="H7710" t="e" cm="1" vm="1">
        <f t="array" aca="1" ref="H7710" ca="1">VLOOKUP(Cpi_[[#This Row],[Year]:[Month]],crudeoil[],3,FALSE)</f>
        <v>#VALUE!</v>
      </c>
    </row>
    <row r="7711" spans="1:8" hidden="1" x14ac:dyDescent="0.3">
      <c r="A7711" t="s">
        <v>30</v>
      </c>
      <c r="B7711">
        <v>2021</v>
      </c>
      <c r="C7711" t="s">
        <v>31</v>
      </c>
      <c r="D7711" t="s">
        <v>17</v>
      </c>
      <c r="E7711" t="e">
        <f>VLOOKUP(Cpi_[[#This Row],[Attribute]],#REF!,2,FALSE)</f>
        <v>#REF!</v>
      </c>
      <c r="F7711">
        <v>157.5</v>
      </c>
      <c r="G7711">
        <f>(Cpi_[[#This Row],[Value]]-F7710)/F7710</f>
        <v>-0.14680390032502705</v>
      </c>
      <c r="H7711" t="e" cm="1" vm="1">
        <f t="array" aca="1" ref="H7711" ca="1">VLOOKUP(Cpi_[[#This Row],[Year]:[Month]],crudeoil[],3,FALSE)</f>
        <v>#VALUE!</v>
      </c>
    </row>
    <row r="7712" spans="1:8" hidden="1" x14ac:dyDescent="0.3">
      <c r="A7712" t="s">
        <v>30</v>
      </c>
      <c r="B7712">
        <v>2021</v>
      </c>
      <c r="C7712" t="s">
        <v>31</v>
      </c>
      <c r="D7712" t="s">
        <v>18</v>
      </c>
      <c r="E7712" t="e">
        <f>VLOOKUP(Cpi_[[#This Row],[Attribute]],#REF!,2,FALSE)</f>
        <v>#REF!</v>
      </c>
      <c r="F7712">
        <v>152.4</v>
      </c>
      <c r="G7712">
        <f>(Cpi_[[#This Row],[Value]]-F7711)/F7711</f>
        <v>-3.2380952380952344E-2</v>
      </c>
      <c r="H7712" t="e" cm="1" vm="1">
        <f t="array" aca="1" ref="H7712" ca="1">VLOOKUP(Cpi_[[#This Row],[Year]:[Month]],crudeoil[],3,FALSE)</f>
        <v>#VALUE!</v>
      </c>
    </row>
    <row r="7713" spans="1:8" hidden="1" x14ac:dyDescent="0.3">
      <c r="A7713" t="s">
        <v>30</v>
      </c>
      <c r="B7713">
        <v>2021</v>
      </c>
      <c r="C7713" t="s">
        <v>31</v>
      </c>
      <c r="D7713" t="s">
        <v>19</v>
      </c>
      <c r="E7713" t="e">
        <f>VLOOKUP(Cpi_[[#This Row],[Attribute]],#REF!,2,FALSE)</f>
        <v>#REF!</v>
      </c>
      <c r="F7713">
        <v>156.80000000000001</v>
      </c>
      <c r="G7713">
        <f>(Cpi_[[#This Row],[Value]]-F7712)/F7712</f>
        <v>2.8871391076115523E-2</v>
      </c>
      <c r="H7713" t="e" cm="1" vm="1">
        <f t="array" aca="1" ref="H7713" ca="1">VLOOKUP(Cpi_[[#This Row],[Year]:[Month]],crudeoil[],3,FALSE)</f>
        <v>#VALUE!</v>
      </c>
    </row>
    <row r="7714" spans="1:8" hidden="1" x14ac:dyDescent="0.3">
      <c r="A7714" t="s">
        <v>30</v>
      </c>
      <c r="B7714">
        <v>2021</v>
      </c>
      <c r="C7714" t="s">
        <v>31</v>
      </c>
      <c r="D7714" t="s">
        <v>20</v>
      </c>
      <c r="E7714" t="e">
        <f>VLOOKUP(Cpi_[[#This Row],[Attribute]],#REF!,2,FALSE)</f>
        <v>#REF!</v>
      </c>
      <c r="F7714" t="s">
        <v>32</v>
      </c>
      <c r="G7714" t="e">
        <f>(Cpi_[[#This Row],[Value]]-F7713)/F7713</f>
        <v>#VALUE!</v>
      </c>
      <c r="H7714" t="e" cm="1" vm="1">
        <f t="array" aca="1" ref="H7714" ca="1">VLOOKUP(Cpi_[[#This Row],[Year]:[Month]],crudeoil[],3,FALSE)</f>
        <v>#VALUE!</v>
      </c>
    </row>
    <row r="7715" spans="1:8" hidden="1" x14ac:dyDescent="0.3">
      <c r="A7715" t="s">
        <v>30</v>
      </c>
      <c r="B7715">
        <v>2021</v>
      </c>
      <c r="C7715" t="s">
        <v>31</v>
      </c>
      <c r="D7715" t="s">
        <v>21</v>
      </c>
      <c r="E7715" t="e">
        <f>VLOOKUP(Cpi_[[#This Row],[Attribute]],#REF!,2,FALSE)</f>
        <v>#REF!</v>
      </c>
      <c r="F7715">
        <v>150.9</v>
      </c>
      <c r="G7715" t="e">
        <f>(Cpi_[[#This Row],[Value]]-F7714)/F7714</f>
        <v>#VALUE!</v>
      </c>
      <c r="H7715" t="e" cm="1" vm="1">
        <f t="array" aca="1" ref="H7715" ca="1">VLOOKUP(Cpi_[[#This Row],[Year]:[Month]],crudeoil[],3,FALSE)</f>
        <v>#VALUE!</v>
      </c>
    </row>
    <row r="7716" spans="1:8" hidden="1" x14ac:dyDescent="0.3">
      <c r="A7716" t="s">
        <v>30</v>
      </c>
      <c r="B7716">
        <v>2021</v>
      </c>
      <c r="C7716" t="s">
        <v>31</v>
      </c>
      <c r="D7716" t="s">
        <v>22</v>
      </c>
      <c r="E7716" t="e">
        <f>VLOOKUP(Cpi_[[#This Row],[Attribute]],#REF!,2,FALSE)</f>
        <v>#REF!</v>
      </c>
      <c r="F7716">
        <v>153.9</v>
      </c>
      <c r="G7716">
        <f>(Cpi_[[#This Row],[Value]]-F7715)/F7715</f>
        <v>1.9880715705765408E-2</v>
      </c>
      <c r="H7716" t="e" cm="1" vm="1">
        <f t="array" aca="1" ref="H7716" ca="1">VLOOKUP(Cpi_[[#This Row],[Year]:[Month]],crudeoil[],3,FALSE)</f>
        <v>#VALUE!</v>
      </c>
    </row>
    <row r="7717" spans="1:8" hidden="1" x14ac:dyDescent="0.3">
      <c r="A7717" t="s">
        <v>30</v>
      </c>
      <c r="B7717">
        <v>2021</v>
      </c>
      <c r="C7717" t="s">
        <v>31</v>
      </c>
      <c r="D7717" t="s">
        <v>23</v>
      </c>
      <c r="E7717" t="e">
        <f>VLOOKUP(Cpi_[[#This Row],[Attribute]],#REF!,2,FALSE)</f>
        <v>#REF!</v>
      </c>
      <c r="F7717">
        <v>162.5</v>
      </c>
      <c r="G7717">
        <f>(Cpi_[[#This Row],[Value]]-F7716)/F7716</f>
        <v>5.5880441845354088E-2</v>
      </c>
      <c r="H7717" t="e" cm="1" vm="1">
        <f t="array" aca="1" ref="H7717" ca="1">VLOOKUP(Cpi_[[#This Row],[Year]:[Month]],crudeoil[],3,FALSE)</f>
        <v>#VALUE!</v>
      </c>
    </row>
    <row r="7718" spans="1:8" hidden="1" x14ac:dyDescent="0.3">
      <c r="A7718" t="s">
        <v>30</v>
      </c>
      <c r="B7718">
        <v>2021</v>
      </c>
      <c r="C7718" t="s">
        <v>31</v>
      </c>
      <c r="D7718" t="s">
        <v>24</v>
      </c>
      <c r="E7718" t="e">
        <f>VLOOKUP(Cpi_[[#This Row],[Attribute]],#REF!,2,FALSE)</f>
        <v>#REF!</v>
      </c>
      <c r="F7718">
        <v>147.5</v>
      </c>
      <c r="G7718">
        <f>(Cpi_[[#This Row],[Value]]-F7717)/F7717</f>
        <v>-9.2307692307692313E-2</v>
      </c>
      <c r="H7718" t="e" cm="1" vm="1">
        <f t="array" aca="1" ref="H7718" ca="1">VLOOKUP(Cpi_[[#This Row],[Year]:[Month]],crudeoil[],3,FALSE)</f>
        <v>#VALUE!</v>
      </c>
    </row>
    <row r="7719" spans="1:8" hidden="1" x14ac:dyDescent="0.3">
      <c r="A7719" t="s">
        <v>30</v>
      </c>
      <c r="B7719">
        <v>2021</v>
      </c>
      <c r="C7719" t="s">
        <v>31</v>
      </c>
      <c r="D7719" t="s">
        <v>25</v>
      </c>
      <c r="E7719" t="e">
        <f>VLOOKUP(Cpi_[[#This Row],[Attribute]],#REF!,2,FALSE)</f>
        <v>#REF!</v>
      </c>
      <c r="F7719">
        <v>155.1</v>
      </c>
      <c r="G7719">
        <f>(Cpi_[[#This Row],[Value]]-F7718)/F7718</f>
        <v>5.1525423728813524E-2</v>
      </c>
      <c r="H7719" t="e" cm="1" vm="1">
        <f t="array" aca="1" ref="H7719" ca="1">VLOOKUP(Cpi_[[#This Row],[Year]:[Month]],crudeoil[],3,FALSE)</f>
        <v>#VALUE!</v>
      </c>
    </row>
    <row r="7720" spans="1:8" hidden="1" x14ac:dyDescent="0.3">
      <c r="A7720" t="s">
        <v>30</v>
      </c>
      <c r="B7720">
        <v>2021</v>
      </c>
      <c r="C7720" t="s">
        <v>31</v>
      </c>
      <c r="D7720" t="s">
        <v>26</v>
      </c>
      <c r="E7720" t="e">
        <f>VLOOKUP(Cpi_[[#This Row],[Attribute]],#REF!,2,FALSE)</f>
        <v>#REF!</v>
      </c>
      <c r="F7720">
        <v>163.5</v>
      </c>
      <c r="G7720">
        <f>(Cpi_[[#This Row],[Value]]-F7719)/F7719</f>
        <v>5.4158607350096748E-2</v>
      </c>
      <c r="H7720" t="e" cm="1" vm="1">
        <f t="array" aca="1" ref="H7720" ca="1">VLOOKUP(Cpi_[[#This Row],[Year]:[Month]],crudeoil[],3,FALSE)</f>
        <v>#VALUE!</v>
      </c>
    </row>
    <row r="7721" spans="1:8" hidden="1" x14ac:dyDescent="0.3">
      <c r="A7721" t="s">
        <v>30</v>
      </c>
      <c r="B7721">
        <v>2021</v>
      </c>
      <c r="C7721" t="s">
        <v>31</v>
      </c>
      <c r="D7721" t="s">
        <v>27</v>
      </c>
      <c r="E7721" t="e">
        <f>VLOOKUP(Cpi_[[#This Row],[Attribute]],#REF!,2,FALSE)</f>
        <v>#REF!</v>
      </c>
      <c r="F7721">
        <v>156.19999999999999</v>
      </c>
      <c r="G7721">
        <f>(Cpi_[[#This Row],[Value]]-F7720)/F7720</f>
        <v>-4.4648318042813523E-2</v>
      </c>
      <c r="H7721" t="e" cm="1" vm="1">
        <f t="array" aca="1" ref="H7721" ca="1">VLOOKUP(Cpi_[[#This Row],[Year]:[Month]],crudeoil[],3,FALSE)</f>
        <v>#VALUE!</v>
      </c>
    </row>
    <row r="7722" spans="1:8" hidden="1" x14ac:dyDescent="0.3">
      <c r="A7722" t="s">
        <v>30</v>
      </c>
      <c r="B7722">
        <v>2021</v>
      </c>
      <c r="C7722" t="s">
        <v>31</v>
      </c>
      <c r="D7722" t="s">
        <v>28</v>
      </c>
      <c r="E7722" t="e">
        <f>VLOOKUP(Cpi_[[#This Row],[Attribute]],#REF!,2,FALSE)</f>
        <v>#REF!</v>
      </c>
      <c r="F7722">
        <v>155.9</v>
      </c>
      <c r="G7722">
        <f>(Cpi_[[#This Row],[Value]]-F7721)/F7721</f>
        <v>-1.9206145966708258E-3</v>
      </c>
      <c r="H7722" t="e" cm="1" vm="1">
        <f t="array" aca="1" ref="H7722" ca="1">VLOOKUP(Cpi_[[#This Row],[Year]:[Month]],crudeoil[],3,FALSE)</f>
        <v>#VALUE!</v>
      </c>
    </row>
    <row r="7723" spans="1:8" hidden="1" x14ac:dyDescent="0.3">
      <c r="A7723" t="s">
        <v>30</v>
      </c>
      <c r="B7723">
        <v>2021</v>
      </c>
      <c r="C7723" t="s">
        <v>31</v>
      </c>
      <c r="D7723" t="s">
        <v>29</v>
      </c>
      <c r="E7723" t="e" cm="1">
        <f t="array" aca="1" ref="E7723" ca="1">VLGeneral indexGeneral indexKUP(Cpi_[[#This Row],[Attribute]],#REF!,2,FALSE)</f>
        <v>#NAME?</v>
      </c>
      <c r="F7723">
        <v>158.5</v>
      </c>
      <c r="G7723">
        <f>(Cpi_[[#This Row],[Value]]-F7722)/F7722</f>
        <v>1.6677357280307854E-2</v>
      </c>
      <c r="H7723" t="e" cm="1" vm="1">
        <f t="array" aca="1" ref="H7723" ca="1">VLOOKUP(Cpi_[[#This Row],[Year]:[Month]],crudeoil[],3,FALSE)</f>
        <v>#VALUE!</v>
      </c>
    </row>
    <row r="7724" spans="1:8" hidden="1" x14ac:dyDescent="0.3">
      <c r="A7724" t="s">
        <v>33</v>
      </c>
      <c r="B7724">
        <v>2021</v>
      </c>
      <c r="C7724" t="s">
        <v>31</v>
      </c>
      <c r="D7724" t="s">
        <v>3</v>
      </c>
      <c r="E7724" t="e">
        <f>VLOOKUP(Cpi_[[#This Row],[Attribute]],#REF!,2,FALSE)</f>
        <v>#REF!</v>
      </c>
      <c r="F7724">
        <v>148</v>
      </c>
      <c r="G7724">
        <f>(Cpi_[[#This Row],[Value]]-F7723)/F7723</f>
        <v>-6.6246056782334389E-2</v>
      </c>
      <c r="H7724" t="e" cm="1" vm="1">
        <f t="array" aca="1" ref="H7724" ca="1">VLOOKUP(Cpi_[[#This Row],[Year]:[Month]],crudeoil[],3,FALSE)</f>
        <v>#VALUE!</v>
      </c>
    </row>
    <row r="7725" spans="1:8" hidden="1" x14ac:dyDescent="0.3">
      <c r="A7725" t="s">
        <v>33</v>
      </c>
      <c r="B7725">
        <v>2021</v>
      </c>
      <c r="C7725" t="s">
        <v>31</v>
      </c>
      <c r="D7725" t="s">
        <v>4</v>
      </c>
      <c r="E7725" t="e">
        <f>VLOOKUP(Cpi_[[#This Row],[Attribute]],#REF!,2,FALSE)</f>
        <v>#REF!</v>
      </c>
      <c r="F7725">
        <v>194.8</v>
      </c>
      <c r="G7725">
        <f>(Cpi_[[#This Row],[Value]]-F7724)/F7724</f>
        <v>0.31621621621621632</v>
      </c>
      <c r="H7725" t="e" cm="1" vm="1">
        <f t="array" aca="1" ref="H7725" ca="1">VLOOKUP(Cpi_[[#This Row],[Year]:[Month]],crudeoil[],3,FALSE)</f>
        <v>#VALUE!</v>
      </c>
    </row>
    <row r="7726" spans="1:8" hidden="1" x14ac:dyDescent="0.3">
      <c r="A7726" t="s">
        <v>33</v>
      </c>
      <c r="B7726">
        <v>2021</v>
      </c>
      <c r="C7726" t="s">
        <v>31</v>
      </c>
      <c r="D7726" t="s">
        <v>5</v>
      </c>
      <c r="E7726" t="e">
        <f>VLOOKUP(Cpi_[[#This Row],[Attribute]],#REF!,2,FALSE)</f>
        <v>#REF!</v>
      </c>
      <c r="F7726">
        <v>178.4</v>
      </c>
      <c r="G7726">
        <f>(Cpi_[[#This Row],[Value]]-F7725)/F7725</f>
        <v>-8.4188911704312142E-2</v>
      </c>
      <c r="H7726" t="e" cm="1" vm="1">
        <f t="array" aca="1" ref="H7726" ca="1">VLOOKUP(Cpi_[[#This Row],[Year]:[Month]],crudeoil[],3,FALSE)</f>
        <v>#VALUE!</v>
      </c>
    </row>
    <row r="7727" spans="1:8" hidden="1" x14ac:dyDescent="0.3">
      <c r="A7727" t="s">
        <v>33</v>
      </c>
      <c r="B7727">
        <v>2021</v>
      </c>
      <c r="C7727" t="s">
        <v>31</v>
      </c>
      <c r="D7727" t="s">
        <v>6</v>
      </c>
      <c r="E7727" t="e">
        <f>VLOOKUP(Cpi_[[#This Row],[Attribute]],#REF!,2,FALSE)</f>
        <v>#REF!</v>
      </c>
      <c r="F7727">
        <v>154.4</v>
      </c>
      <c r="G7727">
        <f>(Cpi_[[#This Row],[Value]]-F7726)/F7726</f>
        <v>-0.13452914798206278</v>
      </c>
      <c r="H7727" t="e" cm="1" vm="1">
        <f t="array" aca="1" ref="H7727" ca="1">VLOOKUP(Cpi_[[#This Row],[Year]:[Month]],crudeoil[],3,FALSE)</f>
        <v>#VALUE!</v>
      </c>
    </row>
    <row r="7728" spans="1:8" hidden="1" x14ac:dyDescent="0.3">
      <c r="A7728" t="s">
        <v>33</v>
      </c>
      <c r="B7728">
        <v>2021</v>
      </c>
      <c r="C7728" t="s">
        <v>31</v>
      </c>
      <c r="D7728" t="s">
        <v>7</v>
      </c>
      <c r="E7728" t="e">
        <f>VLOOKUP(Cpi_[[#This Row],[Attribute]],#REF!,2,FALSE)</f>
        <v>#REF!</v>
      </c>
      <c r="F7728">
        <v>144.1</v>
      </c>
      <c r="G7728">
        <f>(Cpi_[[#This Row],[Value]]-F7727)/F7727</f>
        <v>-6.6709844559585563E-2</v>
      </c>
      <c r="H7728" t="e" cm="1" vm="1">
        <f t="array" aca="1" ref="H7728" ca="1">VLOOKUP(Cpi_[[#This Row],[Year]:[Month]],crudeoil[],3,FALSE)</f>
        <v>#VALUE!</v>
      </c>
    </row>
    <row r="7729" spans="1:8" hidden="1" x14ac:dyDescent="0.3">
      <c r="A7729" t="s">
        <v>33</v>
      </c>
      <c r="B7729">
        <v>2021</v>
      </c>
      <c r="C7729" t="s">
        <v>31</v>
      </c>
      <c r="D7729" t="s">
        <v>8</v>
      </c>
      <c r="E7729" t="e">
        <f>VLOOKUP(Cpi_[[#This Row],[Attribute]],#REF!,2,FALSE)</f>
        <v>#REF!</v>
      </c>
      <c r="F7729">
        <v>152.6</v>
      </c>
      <c r="G7729">
        <f>(Cpi_[[#This Row],[Value]]-F7728)/F7728</f>
        <v>5.8986814712005557E-2</v>
      </c>
      <c r="H7729" t="e" cm="1" vm="1">
        <f t="array" aca="1" ref="H7729" ca="1">VLOOKUP(Cpi_[[#This Row],[Year]:[Month]],crudeoil[],3,FALSE)</f>
        <v>#VALUE!</v>
      </c>
    </row>
    <row r="7730" spans="1:8" hidden="1" x14ac:dyDescent="0.3">
      <c r="A7730" t="s">
        <v>33</v>
      </c>
      <c r="B7730">
        <v>2021</v>
      </c>
      <c r="C7730" t="s">
        <v>31</v>
      </c>
      <c r="D7730" t="s">
        <v>9</v>
      </c>
      <c r="E7730" t="e">
        <f>VLOOKUP(Cpi_[[#This Row],[Attribute]],#REF!,2,FALSE)</f>
        <v>#REF!</v>
      </c>
      <c r="F7730">
        <v>206.8</v>
      </c>
      <c r="G7730">
        <f>(Cpi_[[#This Row],[Value]]-F7729)/F7729</f>
        <v>0.35517693315858467</v>
      </c>
      <c r="H7730" t="e" cm="1" vm="1">
        <f t="array" aca="1" ref="H7730" ca="1">VLOOKUP(Cpi_[[#This Row],[Year]:[Month]],crudeoil[],3,FALSE)</f>
        <v>#VALUE!</v>
      </c>
    </row>
    <row r="7731" spans="1:8" hidden="1" x14ac:dyDescent="0.3">
      <c r="A7731" t="s">
        <v>33</v>
      </c>
      <c r="B7731">
        <v>2021</v>
      </c>
      <c r="C7731" t="s">
        <v>31</v>
      </c>
      <c r="D7731" t="s">
        <v>10</v>
      </c>
      <c r="E7731" t="e">
        <f>VLOOKUP(Cpi_[[#This Row],[Attribute]],#REF!,2,FALSE)</f>
        <v>#REF!</v>
      </c>
      <c r="F7731">
        <v>162.1</v>
      </c>
      <c r="G7731">
        <f>(Cpi_[[#This Row],[Value]]-F7730)/F7730</f>
        <v>-0.21615087040618963</v>
      </c>
      <c r="H7731" t="e" cm="1" vm="1">
        <f t="array" aca="1" ref="H7731" ca="1">VLOOKUP(Cpi_[[#This Row],[Year]:[Month]],crudeoil[],3,FALSE)</f>
        <v>#VALUE!</v>
      </c>
    </row>
    <row r="7732" spans="1:8" hidden="1" x14ac:dyDescent="0.3">
      <c r="A7732" t="s">
        <v>33</v>
      </c>
      <c r="B7732">
        <v>2021</v>
      </c>
      <c r="C7732" t="s">
        <v>31</v>
      </c>
      <c r="D7732" t="s">
        <v>11</v>
      </c>
      <c r="E7732" t="e">
        <f>VLOOKUP(Cpi_[[#This Row],[Attribute]],#REF!,2,FALSE)</f>
        <v>#REF!</v>
      </c>
      <c r="F7732">
        <v>116.3</v>
      </c>
      <c r="G7732">
        <f>(Cpi_[[#This Row],[Value]]-F7731)/F7731</f>
        <v>-0.28254164096236889</v>
      </c>
      <c r="H7732" t="e" cm="1" vm="1">
        <f t="array" aca="1" ref="H7732" ca="1">VLOOKUP(Cpi_[[#This Row],[Year]:[Month]],crudeoil[],3,FALSE)</f>
        <v>#VALUE!</v>
      </c>
    </row>
    <row r="7733" spans="1:8" hidden="1" x14ac:dyDescent="0.3">
      <c r="A7733" t="s">
        <v>33</v>
      </c>
      <c r="B7733">
        <v>2021</v>
      </c>
      <c r="C7733" t="s">
        <v>31</v>
      </c>
      <c r="D7733" t="s">
        <v>12</v>
      </c>
      <c r="E7733" t="e">
        <f>VLOOKUP(Cpi_[[#This Row],[Attribute]],#REF!,2,FALSE)</f>
        <v>#REF!</v>
      </c>
      <c r="F7733">
        <v>163</v>
      </c>
      <c r="G7733">
        <f>(Cpi_[[#This Row],[Value]]-F7732)/F7732</f>
        <v>0.40154772141014622</v>
      </c>
      <c r="H7733" t="e" cm="1" vm="1">
        <f t="array" aca="1" ref="H7733" ca="1">VLOOKUP(Cpi_[[#This Row],[Year]:[Month]],crudeoil[],3,FALSE)</f>
        <v>#VALUE!</v>
      </c>
    </row>
    <row r="7734" spans="1:8" hidden="1" x14ac:dyDescent="0.3">
      <c r="A7734" t="s">
        <v>33</v>
      </c>
      <c r="B7734">
        <v>2021</v>
      </c>
      <c r="C7734" t="s">
        <v>31</v>
      </c>
      <c r="D7734" t="s">
        <v>13</v>
      </c>
      <c r="E7734" t="e">
        <f>VLOOKUP(Cpi_[[#This Row],[Attribute]],#REF!,2,FALSE)</f>
        <v>#REF!</v>
      </c>
      <c r="F7734">
        <v>145.9</v>
      </c>
      <c r="G7734">
        <f>(Cpi_[[#This Row],[Value]]-F7733)/F7733</f>
        <v>-0.10490797546012266</v>
      </c>
      <c r="H7734" t="e" cm="1" vm="1">
        <f t="array" aca="1" ref="H7734" ca="1">VLOOKUP(Cpi_[[#This Row],[Year]:[Month]],crudeoil[],3,FALSE)</f>
        <v>#VALUE!</v>
      </c>
    </row>
    <row r="7735" spans="1:8" hidden="1" x14ac:dyDescent="0.3">
      <c r="A7735" t="s">
        <v>33</v>
      </c>
      <c r="B7735">
        <v>2021</v>
      </c>
      <c r="C7735" t="s">
        <v>31</v>
      </c>
      <c r="D7735" t="s">
        <v>14</v>
      </c>
      <c r="E7735" t="e">
        <f>VLOOKUP(Cpi_[[#This Row],[Attribute]],#REF!,2,FALSE)</f>
        <v>#REF!</v>
      </c>
      <c r="F7735">
        <v>167.2</v>
      </c>
      <c r="G7735">
        <f>(Cpi_[[#This Row],[Value]]-F7734)/F7734</f>
        <v>0.14599040438656602</v>
      </c>
      <c r="H7735" t="e" cm="1" vm="1">
        <f t="array" aca="1" ref="H7735" ca="1">VLOOKUP(Cpi_[[#This Row],[Year]:[Month]],crudeoil[],3,FALSE)</f>
        <v>#VALUE!</v>
      </c>
    </row>
    <row r="7736" spans="1:8" hidden="1" x14ac:dyDescent="0.3">
      <c r="A7736" t="s">
        <v>33</v>
      </c>
      <c r="B7736">
        <v>2021</v>
      </c>
      <c r="C7736" t="s">
        <v>31</v>
      </c>
      <c r="D7736" t="s">
        <v>15</v>
      </c>
      <c r="E7736" t="e">
        <f>VLOOKUP(Cpi_[[#This Row],[Attribute]],#REF!,2,FALSE)</f>
        <v>#REF!</v>
      </c>
      <c r="F7736">
        <v>163.4</v>
      </c>
      <c r="G7736">
        <f>(Cpi_[[#This Row],[Value]]-F7735)/F7735</f>
        <v>-2.2727272727272627E-2</v>
      </c>
      <c r="H7736" t="e" cm="1" vm="1">
        <f t="array" aca="1" ref="H7736" ca="1">VLOOKUP(Cpi_[[#This Row],[Year]:[Month]],crudeoil[],3,FALSE)</f>
        <v>#VALUE!</v>
      </c>
    </row>
    <row r="7737" spans="1:8" hidden="1" x14ac:dyDescent="0.3">
      <c r="A7737" t="s">
        <v>33</v>
      </c>
      <c r="B7737">
        <v>2021</v>
      </c>
      <c r="C7737" t="s">
        <v>31</v>
      </c>
      <c r="D7737" t="s">
        <v>16</v>
      </c>
      <c r="E7737" t="e">
        <f>VLOOKUP(Cpi_[[#This Row],[Attribute]],#REF!,2,FALSE)</f>
        <v>#REF!</v>
      </c>
      <c r="F7737">
        <v>191.8</v>
      </c>
      <c r="G7737">
        <f>(Cpi_[[#This Row],[Value]]-F7736)/F7736</f>
        <v>0.17380660954712365</v>
      </c>
      <c r="H7737" t="e" cm="1" vm="1">
        <f t="array" aca="1" ref="H7737" ca="1">VLOOKUP(Cpi_[[#This Row],[Year]:[Month]],crudeoil[],3,FALSE)</f>
        <v>#VALUE!</v>
      </c>
    </row>
    <row r="7738" spans="1:8" hidden="1" x14ac:dyDescent="0.3">
      <c r="A7738" t="s">
        <v>33</v>
      </c>
      <c r="B7738">
        <v>2021</v>
      </c>
      <c r="C7738" t="s">
        <v>31</v>
      </c>
      <c r="D7738" t="s">
        <v>17</v>
      </c>
      <c r="E7738" t="e">
        <f>VLOOKUP(Cpi_[[#This Row],[Attribute]],#REF!,2,FALSE)</f>
        <v>#REF!</v>
      </c>
      <c r="F7738">
        <v>152.5</v>
      </c>
      <c r="G7738">
        <f>(Cpi_[[#This Row],[Value]]-F7737)/F7737</f>
        <v>-0.20490093847758087</v>
      </c>
      <c r="H7738" t="e" cm="1" vm="1">
        <f t="array" aca="1" ref="H7738" ca="1">VLOOKUP(Cpi_[[#This Row],[Year]:[Month]],crudeoil[],3,FALSE)</f>
        <v>#VALUE!</v>
      </c>
    </row>
    <row r="7739" spans="1:8" hidden="1" x14ac:dyDescent="0.3">
      <c r="A7739" t="s">
        <v>33</v>
      </c>
      <c r="B7739">
        <v>2021</v>
      </c>
      <c r="C7739" t="s">
        <v>31</v>
      </c>
      <c r="D7739" t="s">
        <v>18</v>
      </c>
      <c r="E7739" t="e">
        <f>VLOOKUP(Cpi_[[#This Row],[Attribute]],#REF!,2,FALSE)</f>
        <v>#REF!</v>
      </c>
      <c r="F7739">
        <v>137.30000000000001</v>
      </c>
      <c r="G7739">
        <f>(Cpi_[[#This Row],[Value]]-F7738)/F7738</f>
        <v>-9.9672131147540907E-2</v>
      </c>
      <c r="H7739" t="e" cm="1" vm="1">
        <f t="array" aca="1" ref="H7739" ca="1">VLOOKUP(Cpi_[[#This Row],[Year]:[Month]],crudeoil[],3,FALSE)</f>
        <v>#VALUE!</v>
      </c>
    </row>
    <row r="7740" spans="1:8" hidden="1" x14ac:dyDescent="0.3">
      <c r="A7740" t="s">
        <v>33</v>
      </c>
      <c r="B7740">
        <v>2021</v>
      </c>
      <c r="C7740" t="s">
        <v>31</v>
      </c>
      <c r="D7740" t="s">
        <v>19</v>
      </c>
      <c r="E7740" t="e">
        <f>VLOOKUP(Cpi_[[#This Row],[Attribute]],#REF!,2,FALSE)</f>
        <v>#REF!</v>
      </c>
      <c r="F7740">
        <v>150.19999999999999</v>
      </c>
      <c r="G7740">
        <f>(Cpi_[[#This Row],[Value]]-F7739)/F7739</f>
        <v>9.3954843408594141E-2</v>
      </c>
      <c r="H7740" t="e" cm="1" vm="1">
        <f t="array" aca="1" ref="H7740" ca="1">VLOOKUP(Cpi_[[#This Row],[Year]:[Month]],crudeoil[],3,FALSE)</f>
        <v>#VALUE!</v>
      </c>
    </row>
    <row r="7741" spans="1:8" hidden="1" x14ac:dyDescent="0.3">
      <c r="A7741" t="s">
        <v>33</v>
      </c>
      <c r="B7741">
        <v>2021</v>
      </c>
      <c r="C7741" t="s">
        <v>31</v>
      </c>
      <c r="D7741" t="s">
        <v>20</v>
      </c>
      <c r="E7741" t="e">
        <f>VLOOKUP(Cpi_[[#This Row],[Attribute]],#REF!,2,FALSE)</f>
        <v>#REF!</v>
      </c>
      <c r="F7741">
        <v>157.69999999999999</v>
      </c>
      <c r="G7741">
        <f>(Cpi_[[#This Row],[Value]]-F7740)/F7740</f>
        <v>4.9933422103861522E-2</v>
      </c>
      <c r="H7741" t="e" cm="1" vm="1">
        <f t="array" aca="1" ref="H7741" ca="1">VLOOKUP(Cpi_[[#This Row],[Year]:[Month]],crudeoil[],3,FALSE)</f>
        <v>#VALUE!</v>
      </c>
    </row>
    <row r="7742" spans="1:8" hidden="1" x14ac:dyDescent="0.3">
      <c r="A7742" t="s">
        <v>33</v>
      </c>
      <c r="B7742">
        <v>2021</v>
      </c>
      <c r="C7742" t="s">
        <v>31</v>
      </c>
      <c r="D7742" t="s">
        <v>21</v>
      </c>
      <c r="E7742" t="e">
        <f>VLOOKUP(Cpi_[[#This Row],[Attribute]],#REF!,2,FALSE)</f>
        <v>#REF!</v>
      </c>
      <c r="F7742">
        <v>142.9</v>
      </c>
      <c r="G7742">
        <f>(Cpi_[[#This Row],[Value]]-F7741)/F7741</f>
        <v>-9.3849080532656837E-2</v>
      </c>
      <c r="H7742" t="e" cm="1" vm="1">
        <f t="array" aca="1" ref="H7742" ca="1">VLOOKUP(Cpi_[[#This Row],[Year]:[Month]],crudeoil[],3,FALSE)</f>
        <v>#VALUE!</v>
      </c>
    </row>
    <row r="7743" spans="1:8" hidden="1" x14ac:dyDescent="0.3">
      <c r="A7743" t="s">
        <v>33</v>
      </c>
      <c r="B7743">
        <v>2021</v>
      </c>
      <c r="C7743" t="s">
        <v>31</v>
      </c>
      <c r="D7743" t="s">
        <v>22</v>
      </c>
      <c r="E7743" t="e">
        <f>VLOOKUP(Cpi_[[#This Row],[Attribute]],#REF!,2,FALSE)</f>
        <v>#REF!</v>
      </c>
      <c r="F7743">
        <v>145.69999999999999</v>
      </c>
      <c r="G7743">
        <f>(Cpi_[[#This Row],[Value]]-F7742)/F7742</f>
        <v>1.9594121763470838E-2</v>
      </c>
      <c r="H7743" t="e" cm="1" vm="1">
        <f t="array" aca="1" ref="H7743" ca="1">VLOOKUP(Cpi_[[#This Row],[Year]:[Month]],crudeoil[],3,FALSE)</f>
        <v>#VALUE!</v>
      </c>
    </row>
    <row r="7744" spans="1:8" hidden="1" x14ac:dyDescent="0.3">
      <c r="A7744" t="s">
        <v>33</v>
      </c>
      <c r="B7744">
        <v>2021</v>
      </c>
      <c r="C7744" t="s">
        <v>31</v>
      </c>
      <c r="D7744" t="s">
        <v>23</v>
      </c>
      <c r="E7744" t="e">
        <f>VLOOKUP(Cpi_[[#This Row],[Attribute]],#REF!,2,FALSE)</f>
        <v>#REF!</v>
      </c>
      <c r="F7744">
        <v>154.1</v>
      </c>
      <c r="G7744">
        <f>(Cpi_[[#This Row],[Value]]-F7743)/F7743</f>
        <v>5.7652711050102994E-2</v>
      </c>
      <c r="H7744" t="e" cm="1" vm="1">
        <f t="array" aca="1" ref="H7744" ca="1">VLOOKUP(Cpi_[[#This Row],[Year]:[Month]],crudeoil[],3,FALSE)</f>
        <v>#VALUE!</v>
      </c>
    </row>
    <row r="7745" spans="1:10" hidden="1" x14ac:dyDescent="0.3">
      <c r="A7745" t="s">
        <v>33</v>
      </c>
      <c r="B7745">
        <v>2021</v>
      </c>
      <c r="C7745" t="s">
        <v>31</v>
      </c>
      <c r="D7745" t="s">
        <v>24</v>
      </c>
      <c r="E7745" t="e">
        <f>VLOOKUP(Cpi_[[#This Row],[Attribute]],#REF!,2,FALSE)</f>
        <v>#REF!</v>
      </c>
      <c r="F7745">
        <v>136.9</v>
      </c>
      <c r="G7745">
        <f>(Cpi_[[#This Row],[Value]]-F7744)/F7744</f>
        <v>-0.11161583387410766</v>
      </c>
      <c r="H7745" t="e" cm="1" vm="1">
        <f t="array" aca="1" ref="H7745" ca="1">VLOOKUP(Cpi_[[#This Row],[Year]:[Month]],crudeoil[],3,FALSE)</f>
        <v>#VALUE!</v>
      </c>
    </row>
    <row r="7746" spans="1:10" hidden="1" x14ac:dyDescent="0.3">
      <c r="A7746" t="s">
        <v>33</v>
      </c>
      <c r="B7746">
        <v>2021</v>
      </c>
      <c r="C7746" t="s">
        <v>31</v>
      </c>
      <c r="D7746" t="s">
        <v>25</v>
      </c>
      <c r="E7746" t="e">
        <f>VLOOKUP(Cpi_[[#This Row],[Attribute]],#REF!,2,FALSE)</f>
        <v>#REF!</v>
      </c>
      <c r="F7746">
        <v>145.4</v>
      </c>
      <c r="G7746">
        <f>(Cpi_[[#This Row],[Value]]-F7745)/F7745</f>
        <v>6.2089116143170198E-2</v>
      </c>
      <c r="H7746" t="e" cm="1" vm="1">
        <f t="array" aca="1" ref="H7746" ca="1">VLOOKUP(Cpi_[[#This Row],[Year]:[Month]],crudeoil[],3,FALSE)</f>
        <v>#VALUE!</v>
      </c>
    </row>
    <row r="7747" spans="1:10" hidden="1" x14ac:dyDescent="0.3">
      <c r="A7747" t="s">
        <v>33</v>
      </c>
      <c r="B7747">
        <v>2021</v>
      </c>
      <c r="C7747" t="s">
        <v>31</v>
      </c>
      <c r="D7747" t="s">
        <v>26</v>
      </c>
      <c r="E7747" t="e">
        <f>VLOOKUP(Cpi_[[#This Row],[Attribute]],#REF!,2,FALSE)</f>
        <v>#REF!</v>
      </c>
      <c r="F7747">
        <v>156.1</v>
      </c>
      <c r="G7747">
        <f>(Cpi_[[#This Row],[Value]]-F7746)/F7746</f>
        <v>7.3590096286107215E-2</v>
      </c>
      <c r="H7747" t="e" cm="1" vm="1">
        <f t="array" aca="1" ref="H7747" ca="1">VLOOKUP(Cpi_[[#This Row],[Year]:[Month]],crudeoil[],3,FALSE)</f>
        <v>#VALUE!</v>
      </c>
    </row>
    <row r="7748" spans="1:10" hidden="1" x14ac:dyDescent="0.3">
      <c r="A7748" t="s">
        <v>33</v>
      </c>
      <c r="B7748">
        <v>2021</v>
      </c>
      <c r="C7748" t="s">
        <v>31</v>
      </c>
      <c r="D7748" t="s">
        <v>27</v>
      </c>
      <c r="E7748" t="e">
        <f>VLOOKUP(Cpi_[[#This Row],[Attribute]],#REF!,2,FALSE)</f>
        <v>#REF!</v>
      </c>
      <c r="F7748">
        <v>157.69999999999999</v>
      </c>
      <c r="G7748">
        <f>(Cpi_[[#This Row],[Value]]-F7747)/F7747</f>
        <v>1.0249839846252367E-2</v>
      </c>
      <c r="H7748" t="e" cm="1" vm="1">
        <f t="array" aca="1" ref="H7748" ca="1">VLOOKUP(Cpi_[[#This Row],[Year]:[Month]],crudeoil[],3,FALSE)</f>
        <v>#VALUE!</v>
      </c>
    </row>
    <row r="7749" spans="1:10" hidden="1" x14ac:dyDescent="0.3">
      <c r="A7749" t="s">
        <v>33</v>
      </c>
      <c r="B7749">
        <v>2021</v>
      </c>
      <c r="C7749" t="s">
        <v>31</v>
      </c>
      <c r="D7749" t="s">
        <v>28</v>
      </c>
      <c r="E7749" t="e">
        <f>VLOOKUP(Cpi_[[#This Row],[Attribute]],#REF!,2,FALSE)</f>
        <v>#REF!</v>
      </c>
      <c r="F7749">
        <v>147.6</v>
      </c>
      <c r="G7749">
        <f>(Cpi_[[#This Row],[Value]]-F7748)/F7748</f>
        <v>-6.4045656309448293E-2</v>
      </c>
      <c r="H7749" t="e" cm="1" vm="1">
        <f t="array" aca="1" ref="H7749" ca="1">VLOOKUP(Cpi_[[#This Row],[Year]:[Month]],crudeoil[],3,FALSE)</f>
        <v>#VALUE!</v>
      </c>
    </row>
    <row r="7750" spans="1:10" hidden="1" x14ac:dyDescent="0.3">
      <c r="A7750" t="s">
        <v>33</v>
      </c>
      <c r="B7750">
        <v>2021</v>
      </c>
      <c r="C7750" t="s">
        <v>31</v>
      </c>
      <c r="D7750" t="s">
        <v>29</v>
      </c>
      <c r="E7750" t="e" cm="1">
        <f t="array" aca="1" ref="E7750" ca="1">VLGeneral indexGeneral indexKUP(Cpi_[[#This Row],[Attribute]],#REF!,2,FALSE)</f>
        <v>#NAME?</v>
      </c>
      <c r="F7750">
        <v>156</v>
      </c>
      <c r="G7750">
        <f>(Cpi_[[#This Row],[Value]]-F7749)/F7749</f>
        <v>5.6910569105691096E-2</v>
      </c>
      <c r="H7750" t="e" cm="1" vm="1">
        <f t="array" aca="1" ref="H7750" ca="1">VLOOKUP(Cpi_[[#This Row],[Year]:[Month]],crudeoil[],3,FALSE)</f>
        <v>#VALUE!</v>
      </c>
    </row>
    <row r="7751" spans="1:10" hidden="1" x14ac:dyDescent="0.3">
      <c r="A7751" t="s">
        <v>34</v>
      </c>
      <c r="B7751">
        <v>2021</v>
      </c>
      <c r="C7751" t="s">
        <v>31</v>
      </c>
      <c r="D7751" t="s">
        <v>3</v>
      </c>
      <c r="E7751" t="e">
        <f>VLOOKUP(Cpi_[[#This Row],[Attribute]],#REF!,2,FALSE)</f>
        <v>#REF!</v>
      </c>
      <c r="F7751">
        <v>144.9</v>
      </c>
      <c r="G7751">
        <f>(Cpi_[[#This Row],[Value]]-F7750)/F7750</f>
        <v>-7.1153846153846123E-2</v>
      </c>
      <c r="H7751" t="e" cm="1" vm="1">
        <f t="array" aca="1" ref="H7751" ca="1">VLOOKUP(Cpi_[[#This Row],[Year]:[Month]],crudeoil[],3,FALSE)</f>
        <v>#VALUE!</v>
      </c>
    </row>
    <row r="7752" spans="1:10" x14ac:dyDescent="0.3">
      <c r="A7752" t="s">
        <v>34</v>
      </c>
      <c r="B7752">
        <v>2021</v>
      </c>
      <c r="C7752" t="s">
        <v>31</v>
      </c>
      <c r="D7752" t="s">
        <v>4</v>
      </c>
      <c r="E7752" t="e">
        <f>VLOOKUP(Cpi_[[#This Row],[Attribute]],#REF!,2,FALSE)</f>
        <v>#REF!</v>
      </c>
      <c r="F7752">
        <v>190.1</v>
      </c>
      <c r="G7752" s="42">
        <f>(Cpi_[[#This Row],[Value]]-F7751)/F7751</f>
        <v>0.3119392684610075</v>
      </c>
      <c r="H7752" t="str">
        <f>LEFT(Cpi_[[#This Row],[Month]],3)</f>
        <v>Jan</v>
      </c>
      <c r="I7752" t="str">
        <f>RIGHT(Cpi_[[#This Row],[Year]],2)</f>
        <v>21</v>
      </c>
      <c r="J7752" t="str">
        <f>Cpi_[[#This Row],[Column3]]&amp;"-"&amp;Cpi_[[#This Row],[Column4]]</f>
        <v>Jan-21</v>
      </c>
    </row>
    <row r="7753" spans="1:10" x14ac:dyDescent="0.3">
      <c r="A7753" t="s">
        <v>34</v>
      </c>
      <c r="B7753">
        <v>2021</v>
      </c>
      <c r="C7753" t="s">
        <v>31</v>
      </c>
      <c r="D7753" t="s">
        <v>5</v>
      </c>
      <c r="E7753" t="e">
        <f>VLOOKUP(Cpi_[[#This Row],[Attribute]],#REF!,2,FALSE)</f>
        <v>#REF!</v>
      </c>
      <c r="F7753">
        <v>175.3</v>
      </c>
      <c r="G7753" s="42">
        <f>(Cpi_[[#This Row],[Value]]-F7752)/F7752</f>
        <v>-7.7853761178327111E-2</v>
      </c>
      <c r="H7753" t="str">
        <f>LEFT(Cpi_[[#This Row],[Month]],3)</f>
        <v>Jan</v>
      </c>
      <c r="I7753" t="str">
        <f>RIGHT(Cpi_[[#This Row],[Year]],2)</f>
        <v>21</v>
      </c>
      <c r="J7753" t="str">
        <f>Cpi_[[#This Row],[Column3]]&amp;"-"&amp;Cpi_[[#This Row],[Column4]]</f>
        <v>Jan-21</v>
      </c>
    </row>
    <row r="7754" spans="1:10" x14ac:dyDescent="0.3">
      <c r="A7754" t="s">
        <v>34</v>
      </c>
      <c r="B7754">
        <v>2021</v>
      </c>
      <c r="C7754" t="s">
        <v>31</v>
      </c>
      <c r="D7754" t="s">
        <v>6</v>
      </c>
      <c r="E7754" t="e">
        <f>VLOOKUP(Cpi_[[#This Row],[Attribute]],#REF!,2,FALSE)</f>
        <v>#REF!</v>
      </c>
      <c r="F7754">
        <v>154.1</v>
      </c>
      <c r="G7754" s="42">
        <f>(Cpi_[[#This Row],[Value]]-F7753)/F7753</f>
        <v>-0.12093553907587003</v>
      </c>
      <c r="H7754" t="str">
        <f>LEFT(Cpi_[[#This Row],[Month]],3)</f>
        <v>Jan</v>
      </c>
      <c r="I7754" t="str">
        <f>RIGHT(Cpi_[[#This Row],[Year]],2)</f>
        <v>21</v>
      </c>
      <c r="J7754" t="str">
        <f>Cpi_[[#This Row],[Column3]]&amp;"-"&amp;Cpi_[[#This Row],[Column4]]</f>
        <v>Jan-21</v>
      </c>
    </row>
    <row r="7755" spans="1:10" x14ac:dyDescent="0.3">
      <c r="A7755" t="s">
        <v>34</v>
      </c>
      <c r="B7755">
        <v>2021</v>
      </c>
      <c r="C7755" t="s">
        <v>31</v>
      </c>
      <c r="D7755" t="s">
        <v>7</v>
      </c>
      <c r="E7755" t="e">
        <f>VLOOKUP(Cpi_[[#This Row],[Attribute]],#REF!,2,FALSE)</f>
        <v>#REF!</v>
      </c>
      <c r="F7755">
        <v>150.9</v>
      </c>
      <c r="G7755" s="42">
        <f>(Cpi_[[#This Row],[Value]]-F7754)/F7754</f>
        <v>-2.0765736534717642E-2</v>
      </c>
      <c r="H7755" t="str">
        <f>LEFT(Cpi_[[#This Row],[Month]],3)</f>
        <v>Jan</v>
      </c>
      <c r="I7755" t="str">
        <f>RIGHT(Cpi_[[#This Row],[Year]],2)</f>
        <v>21</v>
      </c>
      <c r="J7755" t="str">
        <f>Cpi_[[#This Row],[Column3]]&amp;"-"&amp;Cpi_[[#This Row],[Column4]]</f>
        <v>Jan-21</v>
      </c>
    </row>
    <row r="7756" spans="1:10" x14ac:dyDescent="0.3">
      <c r="A7756" t="s">
        <v>34</v>
      </c>
      <c r="B7756">
        <v>2021</v>
      </c>
      <c r="C7756" t="s">
        <v>31</v>
      </c>
      <c r="D7756" t="s">
        <v>8</v>
      </c>
      <c r="E7756" t="e">
        <f>VLOOKUP(Cpi_[[#This Row],[Attribute]],#REF!,2,FALSE)</f>
        <v>#REF!</v>
      </c>
      <c r="F7756">
        <v>149.6</v>
      </c>
      <c r="G7756" s="42">
        <f>(Cpi_[[#This Row],[Value]]-F7755)/F7755</f>
        <v>-8.6149768058317519E-3</v>
      </c>
      <c r="H7756" t="str">
        <f>LEFT(Cpi_[[#This Row],[Month]],3)</f>
        <v>Jan</v>
      </c>
      <c r="I7756" t="str">
        <f>RIGHT(Cpi_[[#This Row],[Year]],2)</f>
        <v>21</v>
      </c>
      <c r="J7756" t="str">
        <f>Cpi_[[#This Row],[Column3]]&amp;"-"&amp;Cpi_[[#This Row],[Column4]]</f>
        <v>Jan-21</v>
      </c>
    </row>
    <row r="7757" spans="1:10" x14ac:dyDescent="0.3">
      <c r="A7757" t="s">
        <v>34</v>
      </c>
      <c r="B7757">
        <v>2021</v>
      </c>
      <c r="C7757" t="s">
        <v>31</v>
      </c>
      <c r="D7757" t="s">
        <v>9</v>
      </c>
      <c r="E7757" t="e">
        <f>VLOOKUP(Cpi_[[#This Row],[Attribute]],#REF!,2,FALSE)</f>
        <v>#REF!</v>
      </c>
      <c r="F7757">
        <v>194.2</v>
      </c>
      <c r="G7757" s="42">
        <f>(Cpi_[[#This Row],[Value]]-F7756)/F7756</f>
        <v>0.29812834224598928</v>
      </c>
      <c r="H7757" t="str">
        <f>LEFT(Cpi_[[#This Row],[Month]],3)</f>
        <v>Jan</v>
      </c>
      <c r="I7757" t="str">
        <f>RIGHT(Cpi_[[#This Row],[Year]],2)</f>
        <v>21</v>
      </c>
      <c r="J7757" t="str">
        <f>Cpi_[[#This Row],[Column3]]&amp;"-"&amp;Cpi_[[#This Row],[Column4]]</f>
        <v>Jan-21</v>
      </c>
    </row>
    <row r="7758" spans="1:10" x14ac:dyDescent="0.3">
      <c r="A7758" t="s">
        <v>34</v>
      </c>
      <c r="B7758">
        <v>2021</v>
      </c>
      <c r="C7758" t="s">
        <v>31</v>
      </c>
      <c r="D7758" t="s">
        <v>10</v>
      </c>
      <c r="E7758" t="e">
        <f>VLOOKUP(Cpi_[[#This Row],[Attribute]],#REF!,2,FALSE)</f>
        <v>#REF!</v>
      </c>
      <c r="F7758">
        <v>160.4</v>
      </c>
      <c r="G7758" s="42">
        <f>(Cpi_[[#This Row],[Value]]-F7757)/F7757</f>
        <v>-0.17404737384140054</v>
      </c>
      <c r="H7758" t="str">
        <f>LEFT(Cpi_[[#This Row],[Month]],3)</f>
        <v>Jan</v>
      </c>
      <c r="I7758" t="str">
        <f>RIGHT(Cpi_[[#This Row],[Year]],2)</f>
        <v>21</v>
      </c>
      <c r="J7758" t="str">
        <f>Cpi_[[#This Row],[Column3]]&amp;"-"&amp;Cpi_[[#This Row],[Column4]]</f>
        <v>Jan-21</v>
      </c>
    </row>
    <row r="7759" spans="1:10" x14ac:dyDescent="0.3">
      <c r="A7759" t="s">
        <v>34</v>
      </c>
      <c r="B7759">
        <v>2021</v>
      </c>
      <c r="C7759" t="s">
        <v>31</v>
      </c>
      <c r="D7759" t="s">
        <v>11</v>
      </c>
      <c r="E7759" t="e">
        <f>VLOOKUP(Cpi_[[#This Row],[Attribute]],#REF!,2,FALSE)</f>
        <v>#REF!</v>
      </c>
      <c r="F7759">
        <v>114.6</v>
      </c>
      <c r="G7759" s="42">
        <f>(Cpi_[[#This Row],[Value]]-F7758)/F7758</f>
        <v>-0.28553615960099754</v>
      </c>
      <c r="H7759" t="str">
        <f>LEFT(Cpi_[[#This Row],[Month]],3)</f>
        <v>Jan</v>
      </c>
      <c r="I7759" t="str">
        <f>RIGHT(Cpi_[[#This Row],[Year]],2)</f>
        <v>21</v>
      </c>
      <c r="J7759" t="str">
        <f>Cpi_[[#This Row],[Column3]]&amp;"-"&amp;Cpi_[[#This Row],[Column4]]</f>
        <v>Jan-21</v>
      </c>
    </row>
    <row r="7760" spans="1:10" x14ac:dyDescent="0.3">
      <c r="A7760" t="s">
        <v>34</v>
      </c>
      <c r="B7760">
        <v>2021</v>
      </c>
      <c r="C7760" t="s">
        <v>31</v>
      </c>
      <c r="D7760" t="s">
        <v>12</v>
      </c>
      <c r="E7760" t="e">
        <f>VLOOKUP(Cpi_[[#This Row],[Attribute]],#REF!,2,FALSE)</f>
        <v>#REF!</v>
      </c>
      <c r="F7760">
        <v>164</v>
      </c>
      <c r="G7760" s="42">
        <f>(Cpi_[[#This Row],[Value]]-F7759)/F7759</f>
        <v>0.43106457242582902</v>
      </c>
      <c r="H7760" t="str">
        <f>LEFT(Cpi_[[#This Row],[Month]],3)</f>
        <v>Jan</v>
      </c>
      <c r="I7760" t="str">
        <f>RIGHT(Cpi_[[#This Row],[Year]],2)</f>
        <v>21</v>
      </c>
      <c r="J7760" t="str">
        <f>Cpi_[[#This Row],[Column3]]&amp;"-"&amp;Cpi_[[#This Row],[Column4]]</f>
        <v>Jan-21</v>
      </c>
    </row>
    <row r="7761" spans="1:10" x14ac:dyDescent="0.3">
      <c r="A7761" t="s">
        <v>34</v>
      </c>
      <c r="B7761">
        <v>2021</v>
      </c>
      <c r="C7761" t="s">
        <v>31</v>
      </c>
      <c r="D7761" t="s">
        <v>13</v>
      </c>
      <c r="E7761" t="e">
        <f>VLOOKUP(Cpi_[[#This Row],[Attribute]],#REF!,2,FALSE)</f>
        <v>#REF!</v>
      </c>
      <c r="F7761">
        <v>151.80000000000001</v>
      </c>
      <c r="G7761" s="42">
        <f>(Cpi_[[#This Row],[Value]]-F7760)/F7760</f>
        <v>-7.4390243902438952E-2</v>
      </c>
      <c r="H7761" t="str">
        <f>LEFT(Cpi_[[#This Row],[Month]],3)</f>
        <v>Jan</v>
      </c>
      <c r="I7761" t="str">
        <f>RIGHT(Cpi_[[#This Row],[Year]],2)</f>
        <v>21</v>
      </c>
      <c r="J7761" t="str">
        <f>Cpi_[[#This Row],[Column3]]&amp;"-"&amp;Cpi_[[#This Row],[Column4]]</f>
        <v>Jan-21</v>
      </c>
    </row>
    <row r="7762" spans="1:10" x14ac:dyDescent="0.3">
      <c r="A7762" t="s">
        <v>34</v>
      </c>
      <c r="B7762">
        <v>2021</v>
      </c>
      <c r="C7762" t="s">
        <v>31</v>
      </c>
      <c r="D7762" t="s">
        <v>14</v>
      </c>
      <c r="E7762" t="e">
        <f>VLOOKUP(Cpi_[[#This Row],[Attribute]],#REF!,2,FALSE)</f>
        <v>#REF!</v>
      </c>
      <c r="F7762">
        <v>165.6</v>
      </c>
      <c r="G7762" s="42">
        <f>(Cpi_[[#This Row],[Value]]-F7761)/F7761</f>
        <v>9.0909090909090787E-2</v>
      </c>
      <c r="H7762" t="str">
        <f>LEFT(Cpi_[[#This Row],[Month]],3)</f>
        <v>Jan</v>
      </c>
      <c r="I7762" t="str">
        <f>RIGHT(Cpi_[[#This Row],[Year]],2)</f>
        <v>21</v>
      </c>
      <c r="J7762" t="str">
        <f>Cpi_[[#This Row],[Column3]]&amp;"-"&amp;Cpi_[[#This Row],[Column4]]</f>
        <v>Jan-21</v>
      </c>
    </row>
    <row r="7763" spans="1:10" x14ac:dyDescent="0.3">
      <c r="A7763" t="s">
        <v>34</v>
      </c>
      <c r="B7763">
        <v>2021</v>
      </c>
      <c r="C7763" t="s">
        <v>31</v>
      </c>
      <c r="D7763" t="s">
        <v>15</v>
      </c>
      <c r="E7763" t="e">
        <f>VLOOKUP(Cpi_[[#This Row],[Attribute]],#REF!,2,FALSE)</f>
        <v>#REF!</v>
      </c>
      <c r="F7763">
        <v>161</v>
      </c>
      <c r="G7763" s="42">
        <f>(Cpi_[[#This Row],[Value]]-F7762)/F7762</f>
        <v>-2.7777777777777745E-2</v>
      </c>
      <c r="H7763" t="str">
        <f>LEFT(Cpi_[[#This Row],[Month]],3)</f>
        <v>Jan</v>
      </c>
      <c r="I7763" t="str">
        <f>RIGHT(Cpi_[[#This Row],[Year]],2)</f>
        <v>21</v>
      </c>
      <c r="J7763" t="str">
        <f>Cpi_[[#This Row],[Column3]]&amp;"-"&amp;Cpi_[[#This Row],[Column4]]</f>
        <v>Jan-21</v>
      </c>
    </row>
    <row r="7764" spans="1:10" hidden="1" x14ac:dyDescent="0.3">
      <c r="A7764" t="s">
        <v>34</v>
      </c>
      <c r="B7764">
        <v>2021</v>
      </c>
      <c r="C7764" t="s">
        <v>31</v>
      </c>
      <c r="D7764" t="s">
        <v>16</v>
      </c>
      <c r="E7764" t="e">
        <f>VLOOKUP(Cpi_[[#This Row],[Attribute]],#REF!,2,FALSE)</f>
        <v>#REF!</v>
      </c>
      <c r="F7764">
        <v>186.5</v>
      </c>
      <c r="G7764">
        <f>(Cpi_[[#This Row],[Value]]-F7763)/F7763</f>
        <v>0.15838509316770186</v>
      </c>
      <c r="H7764" t="e" cm="1" vm="1">
        <f t="array" aca="1" ref="H7764" ca="1">VLOOKUP(Cpi_[[#This Row],[Year]:[Month]],crudeoil[],3,FALSE)</f>
        <v>#VALUE!</v>
      </c>
    </row>
    <row r="7765" spans="1:10" hidden="1" x14ac:dyDescent="0.3">
      <c r="A7765" t="s">
        <v>34</v>
      </c>
      <c r="B7765">
        <v>2021</v>
      </c>
      <c r="C7765" t="s">
        <v>31</v>
      </c>
      <c r="D7765" t="s">
        <v>17</v>
      </c>
      <c r="E7765" t="e">
        <f>VLOOKUP(Cpi_[[#This Row],[Attribute]],#REF!,2,FALSE)</f>
        <v>#REF!</v>
      </c>
      <c r="F7765">
        <v>155.5</v>
      </c>
      <c r="G7765">
        <f>(Cpi_[[#This Row],[Value]]-F7764)/F7764</f>
        <v>-0.16621983914209115</v>
      </c>
      <c r="H7765" t="e" cm="1" vm="1">
        <f t="array" aca="1" ref="H7765" ca="1">VLOOKUP(Cpi_[[#This Row],[Year]:[Month]],crudeoil[],3,FALSE)</f>
        <v>#VALUE!</v>
      </c>
    </row>
    <row r="7766" spans="1:10" hidden="1" x14ac:dyDescent="0.3">
      <c r="A7766" t="s">
        <v>34</v>
      </c>
      <c r="B7766">
        <v>2021</v>
      </c>
      <c r="C7766" t="s">
        <v>31</v>
      </c>
      <c r="D7766" t="s">
        <v>18</v>
      </c>
      <c r="E7766" t="e">
        <f>VLOOKUP(Cpi_[[#This Row],[Attribute]],#REF!,2,FALSE)</f>
        <v>#REF!</v>
      </c>
      <c r="F7766">
        <v>146.1</v>
      </c>
      <c r="G7766">
        <f>(Cpi_[[#This Row],[Value]]-F7765)/F7765</f>
        <v>-6.0450160771704217E-2</v>
      </c>
      <c r="H7766" t="e" cm="1" vm="1">
        <f t="array" aca="1" ref="H7766" ca="1">VLOOKUP(Cpi_[[#This Row],[Year]:[Month]],crudeoil[],3,FALSE)</f>
        <v>#VALUE!</v>
      </c>
    </row>
    <row r="7767" spans="1:10" hidden="1" x14ac:dyDescent="0.3">
      <c r="A7767" t="s">
        <v>34</v>
      </c>
      <c r="B7767">
        <v>2021</v>
      </c>
      <c r="C7767" t="s">
        <v>31</v>
      </c>
      <c r="D7767" t="s">
        <v>19</v>
      </c>
      <c r="E7767" t="e">
        <f>VLOOKUP(Cpi_[[#This Row],[Attribute]],#REF!,2,FALSE)</f>
        <v>#REF!</v>
      </c>
      <c r="F7767">
        <v>154.19999999999999</v>
      </c>
      <c r="G7767">
        <f>(Cpi_[[#This Row],[Value]]-F7766)/F7766</f>
        <v>5.5441478439425013E-2</v>
      </c>
      <c r="H7767" t="e" cm="1" vm="1">
        <f t="array" aca="1" ref="H7767" ca="1">VLOOKUP(Cpi_[[#This Row],[Year]:[Month]],crudeoil[],3,FALSE)</f>
        <v>#VALUE!</v>
      </c>
    </row>
    <row r="7768" spans="1:10" hidden="1" x14ac:dyDescent="0.3">
      <c r="A7768" t="s">
        <v>34</v>
      </c>
      <c r="B7768">
        <v>2021</v>
      </c>
      <c r="C7768" t="s">
        <v>31</v>
      </c>
      <c r="D7768" t="s">
        <v>20</v>
      </c>
      <c r="E7768" t="e">
        <f>VLOOKUP(Cpi_[[#This Row],[Attribute]],#REF!,2,FALSE)</f>
        <v>#REF!</v>
      </c>
      <c r="F7768">
        <v>157.69999999999999</v>
      </c>
      <c r="G7768">
        <f>(Cpi_[[#This Row],[Value]]-F7767)/F7767</f>
        <v>2.269779507133593E-2</v>
      </c>
      <c r="H7768" t="e" cm="1" vm="1">
        <f t="array" aca="1" ref="H7768" ca="1">VLOOKUP(Cpi_[[#This Row],[Year]:[Month]],crudeoil[],3,FALSE)</f>
        <v>#VALUE!</v>
      </c>
    </row>
    <row r="7769" spans="1:10" hidden="1" x14ac:dyDescent="0.3">
      <c r="A7769" t="s">
        <v>34</v>
      </c>
      <c r="B7769">
        <v>2021</v>
      </c>
      <c r="C7769" t="s">
        <v>31</v>
      </c>
      <c r="D7769" t="s">
        <v>21</v>
      </c>
      <c r="E7769" t="e">
        <f>VLOOKUP(Cpi_[[#This Row],[Attribute]],#REF!,2,FALSE)</f>
        <v>#REF!</v>
      </c>
      <c r="F7769">
        <v>147.9</v>
      </c>
      <c r="G7769">
        <f>(Cpi_[[#This Row],[Value]]-F7768)/F7768</f>
        <v>-6.2143310082434899E-2</v>
      </c>
      <c r="H7769" t="e" cm="1" vm="1">
        <f t="array" aca="1" ref="H7769" ca="1">VLOOKUP(Cpi_[[#This Row],[Year]:[Month]],crudeoil[],3,FALSE)</f>
        <v>#VALUE!</v>
      </c>
    </row>
    <row r="7770" spans="1:10" hidden="1" x14ac:dyDescent="0.3">
      <c r="A7770" t="s">
        <v>34</v>
      </c>
      <c r="B7770">
        <v>2021</v>
      </c>
      <c r="C7770" t="s">
        <v>31</v>
      </c>
      <c r="D7770" t="s">
        <v>22</v>
      </c>
      <c r="E7770" t="e">
        <f>VLOOKUP(Cpi_[[#This Row],[Attribute]],#REF!,2,FALSE)</f>
        <v>#REF!</v>
      </c>
      <c r="F7770">
        <v>150</v>
      </c>
      <c r="G7770">
        <f>(Cpi_[[#This Row],[Value]]-F7769)/F7769</f>
        <v>1.4198782961460408E-2</v>
      </c>
      <c r="H7770" t="e" cm="1" vm="1">
        <f t="array" aca="1" ref="H7770" ca="1">VLOOKUP(Cpi_[[#This Row],[Year]:[Month]],crudeoil[],3,FALSE)</f>
        <v>#VALUE!</v>
      </c>
    </row>
    <row r="7771" spans="1:10" hidden="1" x14ac:dyDescent="0.3">
      <c r="A7771" t="s">
        <v>34</v>
      </c>
      <c r="B7771">
        <v>2021</v>
      </c>
      <c r="C7771" t="s">
        <v>31</v>
      </c>
      <c r="D7771" t="s">
        <v>23</v>
      </c>
      <c r="E7771" t="e">
        <f>VLOOKUP(Cpi_[[#This Row],[Attribute]],#REF!,2,FALSE)</f>
        <v>#REF!</v>
      </c>
      <c r="F7771">
        <v>159.30000000000001</v>
      </c>
      <c r="G7771">
        <f>(Cpi_[[#This Row],[Value]]-F7770)/F7770</f>
        <v>6.2000000000000076E-2</v>
      </c>
      <c r="H7771" t="e" cm="1" vm="1">
        <f t="array" aca="1" ref="H7771" ca="1">VLOOKUP(Cpi_[[#This Row],[Year]:[Month]],crudeoil[],3,FALSE)</f>
        <v>#VALUE!</v>
      </c>
    </row>
    <row r="7772" spans="1:10" hidden="1" x14ac:dyDescent="0.3">
      <c r="A7772" t="s">
        <v>34</v>
      </c>
      <c r="B7772">
        <v>2021</v>
      </c>
      <c r="C7772" t="s">
        <v>31</v>
      </c>
      <c r="D7772" t="s">
        <v>24</v>
      </c>
      <c r="E7772" t="e">
        <f>VLOOKUP(Cpi_[[#This Row],[Attribute]],#REF!,2,FALSE)</f>
        <v>#REF!</v>
      </c>
      <c r="F7772">
        <v>141.9</v>
      </c>
      <c r="G7772">
        <f>(Cpi_[[#This Row],[Value]]-F7771)/F7771</f>
        <v>-0.10922787193973638</v>
      </c>
      <c r="H7772" t="e" cm="1" vm="1">
        <f t="array" aca="1" ref="H7772" ca="1">VLOOKUP(Cpi_[[#This Row],[Year]:[Month]],crudeoil[],3,FALSE)</f>
        <v>#VALUE!</v>
      </c>
    </row>
    <row r="7773" spans="1:10" hidden="1" x14ac:dyDescent="0.3">
      <c r="A7773" t="s">
        <v>34</v>
      </c>
      <c r="B7773">
        <v>2021</v>
      </c>
      <c r="C7773" t="s">
        <v>31</v>
      </c>
      <c r="D7773" t="s">
        <v>25</v>
      </c>
      <c r="E7773" t="e">
        <f>VLOOKUP(Cpi_[[#This Row],[Attribute]],#REF!,2,FALSE)</f>
        <v>#REF!</v>
      </c>
      <c r="F7773">
        <v>149.6</v>
      </c>
      <c r="G7773">
        <f>(Cpi_[[#This Row],[Value]]-F7772)/F7772</f>
        <v>5.4263565891472784E-2</v>
      </c>
      <c r="H7773" t="e" cm="1" vm="1">
        <f t="array" aca="1" ref="H7773" ca="1">VLOOKUP(Cpi_[[#This Row],[Year]:[Month]],crudeoil[],3,FALSE)</f>
        <v>#VALUE!</v>
      </c>
    </row>
    <row r="7774" spans="1:10" hidden="1" x14ac:dyDescent="0.3">
      <c r="A7774" t="s">
        <v>34</v>
      </c>
      <c r="B7774">
        <v>2021</v>
      </c>
      <c r="C7774" t="s">
        <v>31</v>
      </c>
      <c r="D7774" t="s">
        <v>26</v>
      </c>
      <c r="E7774" t="e">
        <f>VLOOKUP(Cpi_[[#This Row],[Attribute]],#REF!,2,FALSE)</f>
        <v>#REF!</v>
      </c>
      <c r="F7774">
        <v>159.19999999999999</v>
      </c>
      <c r="G7774">
        <f>(Cpi_[[#This Row],[Value]]-F7773)/F7773</f>
        <v>6.4171122994652371E-2</v>
      </c>
      <c r="H7774" t="e" cm="1" vm="1">
        <f t="array" aca="1" ref="H7774" ca="1">VLOOKUP(Cpi_[[#This Row],[Year]:[Month]],crudeoil[],3,FALSE)</f>
        <v>#VALUE!</v>
      </c>
    </row>
    <row r="7775" spans="1:10" hidden="1" x14ac:dyDescent="0.3">
      <c r="A7775" t="s">
        <v>34</v>
      </c>
      <c r="B7775">
        <v>2021</v>
      </c>
      <c r="C7775" t="s">
        <v>31</v>
      </c>
      <c r="D7775" t="s">
        <v>27</v>
      </c>
      <c r="E7775" t="e">
        <f>VLOOKUP(Cpi_[[#This Row],[Attribute]],#REF!,2,FALSE)</f>
        <v>#REF!</v>
      </c>
      <c r="F7775">
        <v>156.80000000000001</v>
      </c>
      <c r="G7775">
        <f>(Cpi_[[#This Row],[Value]]-F7774)/F7774</f>
        <v>-1.5075376884421969E-2</v>
      </c>
      <c r="H7775" t="e" cm="1" vm="1">
        <f t="array" aca="1" ref="H7775" ca="1">VLOOKUP(Cpi_[[#This Row],[Year]:[Month]],crudeoil[],3,FALSE)</f>
        <v>#VALUE!</v>
      </c>
    </row>
    <row r="7776" spans="1:10" hidden="1" x14ac:dyDescent="0.3">
      <c r="A7776" t="s">
        <v>34</v>
      </c>
      <c r="B7776">
        <v>2021</v>
      </c>
      <c r="C7776" t="s">
        <v>31</v>
      </c>
      <c r="D7776" t="s">
        <v>28</v>
      </c>
      <c r="E7776" t="e">
        <f>VLOOKUP(Cpi_[[#This Row],[Attribute]],#REF!,2,FALSE)</f>
        <v>#REF!</v>
      </c>
      <c r="F7776">
        <v>151.9</v>
      </c>
      <c r="G7776">
        <f>(Cpi_[[#This Row],[Value]]-F7775)/F7775</f>
        <v>-3.1250000000000035E-2</v>
      </c>
      <c r="H7776" t="e" cm="1" vm="1">
        <f t="array" aca="1" ref="H7776" ca="1">VLOOKUP(Cpi_[[#This Row],[Year]:[Month]],crudeoil[],3,FALSE)</f>
        <v>#VALUE!</v>
      </c>
    </row>
    <row r="7777" spans="1:8" hidden="1" x14ac:dyDescent="0.3">
      <c r="A7777" t="s">
        <v>34</v>
      </c>
      <c r="B7777">
        <v>2021</v>
      </c>
      <c r="C7777" t="s">
        <v>31</v>
      </c>
      <c r="D7777" t="s">
        <v>29</v>
      </c>
      <c r="E7777" t="e" cm="1">
        <f t="array" aca="1" ref="E7777" ca="1">VLGeneral indexGeneral indexKUP(Cpi_[[#This Row],[Attribute]],#REF!,2,FALSE)</f>
        <v>#NAME?</v>
      </c>
      <c r="F7777">
        <v>157.30000000000001</v>
      </c>
      <c r="G7777">
        <f>(Cpi_[[#This Row],[Value]]-F7776)/F7776</f>
        <v>3.5549703752468763E-2</v>
      </c>
      <c r="H7777" t="e" cm="1" vm="1">
        <f t="array" aca="1" ref="H7777" ca="1">VLOOKUP(Cpi_[[#This Row],[Year]:[Month]],crudeoil[],3,FALSE)</f>
        <v>#VALUE!</v>
      </c>
    </row>
    <row r="7778" spans="1:8" hidden="1" x14ac:dyDescent="0.3">
      <c r="A7778" t="s">
        <v>30</v>
      </c>
      <c r="B7778">
        <v>2021</v>
      </c>
      <c r="C7778" t="s">
        <v>35</v>
      </c>
      <c r="D7778" t="s">
        <v>3</v>
      </c>
      <c r="E7778" t="e">
        <f>VLOOKUP(Cpi_[[#This Row],[Attribute]],#REF!,2,FALSE)</f>
        <v>#REF!</v>
      </c>
      <c r="F7778">
        <v>142.80000000000001</v>
      </c>
      <c r="G7778">
        <f>(Cpi_[[#This Row],[Value]]-F7777)/F7777</f>
        <v>-9.2180546726001261E-2</v>
      </c>
      <c r="H7778" t="e" cm="1" vm="1">
        <f t="array" aca="1" ref="H7778" ca="1">VLOOKUP(Cpi_[[#This Row],[Year]:[Month]],crudeoil[],3,FALSE)</f>
        <v>#VALUE!</v>
      </c>
    </row>
    <row r="7779" spans="1:8" hidden="1" x14ac:dyDescent="0.3">
      <c r="A7779" t="s">
        <v>30</v>
      </c>
      <c r="B7779">
        <v>2021</v>
      </c>
      <c r="C7779" t="s">
        <v>35</v>
      </c>
      <c r="D7779" t="s">
        <v>4</v>
      </c>
      <c r="E7779" t="e">
        <f>VLOOKUP(Cpi_[[#This Row],[Attribute]],#REF!,2,FALSE)</f>
        <v>#REF!</v>
      </c>
      <c r="F7779">
        <v>184</v>
      </c>
      <c r="G7779">
        <f>(Cpi_[[#This Row],[Value]]-F7778)/F7778</f>
        <v>0.2885154061624649</v>
      </c>
      <c r="H7779" t="e" cm="1" vm="1">
        <f t="array" aca="1" ref="H7779" ca="1">VLOOKUP(Cpi_[[#This Row],[Year]:[Month]],crudeoil[],3,FALSE)</f>
        <v>#VALUE!</v>
      </c>
    </row>
    <row r="7780" spans="1:8" hidden="1" x14ac:dyDescent="0.3">
      <c r="A7780" t="s">
        <v>30</v>
      </c>
      <c r="B7780">
        <v>2021</v>
      </c>
      <c r="C7780" t="s">
        <v>35</v>
      </c>
      <c r="D7780" t="s">
        <v>5</v>
      </c>
      <c r="E7780" t="e">
        <f>VLOOKUP(Cpi_[[#This Row],[Attribute]],#REF!,2,FALSE)</f>
        <v>#REF!</v>
      </c>
      <c r="F7780">
        <v>168</v>
      </c>
      <c r="G7780">
        <f>(Cpi_[[#This Row],[Value]]-F7779)/F7779</f>
        <v>-8.6956521739130432E-2</v>
      </c>
      <c r="H7780" t="e" cm="1" vm="1">
        <f t="array" aca="1" ref="H7780" ca="1">VLOOKUP(Cpi_[[#This Row],[Year]:[Month]],crudeoil[],3,FALSE)</f>
        <v>#VALUE!</v>
      </c>
    </row>
    <row r="7781" spans="1:8" hidden="1" x14ac:dyDescent="0.3">
      <c r="A7781" t="s">
        <v>30</v>
      </c>
      <c r="B7781">
        <v>2021</v>
      </c>
      <c r="C7781" t="s">
        <v>35</v>
      </c>
      <c r="D7781" t="s">
        <v>6</v>
      </c>
      <c r="E7781" t="e">
        <f>VLOOKUP(Cpi_[[#This Row],[Attribute]],#REF!,2,FALSE)</f>
        <v>#REF!</v>
      </c>
      <c r="F7781">
        <v>154.4</v>
      </c>
      <c r="G7781">
        <f>(Cpi_[[#This Row],[Value]]-F7780)/F7780</f>
        <v>-8.0952380952380915E-2</v>
      </c>
      <c r="H7781" t="e" cm="1" vm="1">
        <f t="array" aca="1" ref="H7781" ca="1">VLOOKUP(Cpi_[[#This Row],[Year]:[Month]],crudeoil[],3,FALSE)</f>
        <v>#VALUE!</v>
      </c>
    </row>
    <row r="7782" spans="1:8" hidden="1" x14ac:dyDescent="0.3">
      <c r="A7782" t="s">
        <v>30</v>
      </c>
      <c r="B7782">
        <v>2021</v>
      </c>
      <c r="C7782" t="s">
        <v>35</v>
      </c>
      <c r="D7782" t="s">
        <v>7</v>
      </c>
      <c r="E7782" t="e">
        <f>VLOOKUP(Cpi_[[#This Row],[Attribute]],#REF!,2,FALSE)</f>
        <v>#REF!</v>
      </c>
      <c r="F7782">
        <v>163</v>
      </c>
      <c r="G7782">
        <f>(Cpi_[[#This Row],[Value]]-F7781)/F7781</f>
        <v>5.5699481865284936E-2</v>
      </c>
      <c r="H7782" t="e" cm="1" vm="1">
        <f t="array" aca="1" ref="H7782" ca="1">VLOOKUP(Cpi_[[#This Row],[Year]:[Month]],crudeoil[],3,FALSE)</f>
        <v>#VALUE!</v>
      </c>
    </row>
    <row r="7783" spans="1:8" hidden="1" x14ac:dyDescent="0.3">
      <c r="A7783" t="s">
        <v>30</v>
      </c>
      <c r="B7783">
        <v>2021</v>
      </c>
      <c r="C7783" t="s">
        <v>35</v>
      </c>
      <c r="D7783" t="s">
        <v>8</v>
      </c>
      <c r="E7783" t="e">
        <f>VLOOKUP(Cpi_[[#This Row],[Attribute]],#REF!,2,FALSE)</f>
        <v>#REF!</v>
      </c>
      <c r="F7783">
        <v>147.80000000000001</v>
      </c>
      <c r="G7783">
        <f>(Cpi_[[#This Row],[Value]]-F7782)/F7782</f>
        <v>-9.3251533742331222E-2</v>
      </c>
      <c r="H7783" t="e" cm="1" vm="1">
        <f t="array" aca="1" ref="H7783" ca="1">VLOOKUP(Cpi_[[#This Row],[Year]:[Month]],crudeoil[],3,FALSE)</f>
        <v>#VALUE!</v>
      </c>
    </row>
    <row r="7784" spans="1:8" hidden="1" x14ac:dyDescent="0.3">
      <c r="A7784" t="s">
        <v>30</v>
      </c>
      <c r="B7784">
        <v>2021</v>
      </c>
      <c r="C7784" t="s">
        <v>35</v>
      </c>
      <c r="D7784" t="s">
        <v>9</v>
      </c>
      <c r="E7784" t="e">
        <f>VLOOKUP(Cpi_[[#This Row],[Attribute]],#REF!,2,FALSE)</f>
        <v>#REF!</v>
      </c>
      <c r="F7784">
        <v>149.69999999999999</v>
      </c>
      <c r="G7784">
        <f>(Cpi_[[#This Row],[Value]]-F7783)/F7783</f>
        <v>1.2855209742895651E-2</v>
      </c>
      <c r="H7784" t="e" cm="1" vm="1">
        <f t="array" aca="1" ref="H7784" ca="1">VLOOKUP(Cpi_[[#This Row],[Year]:[Month]],crudeoil[],3,FALSE)</f>
        <v>#VALUE!</v>
      </c>
    </row>
    <row r="7785" spans="1:8" hidden="1" x14ac:dyDescent="0.3">
      <c r="A7785" t="s">
        <v>30</v>
      </c>
      <c r="B7785">
        <v>2021</v>
      </c>
      <c r="C7785" t="s">
        <v>35</v>
      </c>
      <c r="D7785" t="s">
        <v>10</v>
      </c>
      <c r="E7785" t="e">
        <f>VLOOKUP(Cpi_[[#This Row],[Attribute]],#REF!,2,FALSE)</f>
        <v>#REF!</v>
      </c>
      <c r="F7785">
        <v>158.30000000000001</v>
      </c>
      <c r="G7785">
        <f>(Cpi_[[#This Row],[Value]]-F7784)/F7784</f>
        <v>5.7448229792919331E-2</v>
      </c>
      <c r="H7785" t="e" cm="1" vm="1">
        <f t="array" aca="1" ref="H7785" ca="1">VLOOKUP(Cpi_[[#This Row],[Year]:[Month]],crudeoil[],3,FALSE)</f>
        <v>#VALUE!</v>
      </c>
    </row>
    <row r="7786" spans="1:8" hidden="1" x14ac:dyDescent="0.3">
      <c r="A7786" t="s">
        <v>30</v>
      </c>
      <c r="B7786">
        <v>2021</v>
      </c>
      <c r="C7786" t="s">
        <v>35</v>
      </c>
      <c r="D7786" t="s">
        <v>11</v>
      </c>
      <c r="E7786" t="e">
        <f>VLOOKUP(Cpi_[[#This Row],[Attribute]],#REF!,2,FALSE)</f>
        <v>#REF!</v>
      </c>
      <c r="F7786">
        <v>111.8</v>
      </c>
      <c r="G7786">
        <f>(Cpi_[[#This Row],[Value]]-F7785)/F7785</f>
        <v>-0.2937460518003791</v>
      </c>
      <c r="H7786" t="e" cm="1" vm="1">
        <f t="array" aca="1" ref="H7786" ca="1">VLOOKUP(Cpi_[[#This Row],[Year]:[Month]],crudeoil[],3,FALSE)</f>
        <v>#VALUE!</v>
      </c>
    </row>
    <row r="7787" spans="1:8" hidden="1" x14ac:dyDescent="0.3">
      <c r="A7787" t="s">
        <v>30</v>
      </c>
      <c r="B7787">
        <v>2021</v>
      </c>
      <c r="C7787" t="s">
        <v>35</v>
      </c>
      <c r="D7787" t="s">
        <v>12</v>
      </c>
      <c r="E7787" t="e">
        <f>VLOOKUP(Cpi_[[#This Row],[Attribute]],#REF!,2,FALSE)</f>
        <v>#REF!</v>
      </c>
      <c r="F7787">
        <v>165</v>
      </c>
      <c r="G7787">
        <f>(Cpi_[[#This Row],[Value]]-F7786)/F7786</f>
        <v>0.47584973166368522</v>
      </c>
      <c r="H7787" t="e" cm="1" vm="1">
        <f t="array" aca="1" ref="H7787" ca="1">VLOOKUP(Cpi_[[#This Row],[Year]:[Month]],crudeoil[],3,FALSE)</f>
        <v>#VALUE!</v>
      </c>
    </row>
    <row r="7788" spans="1:8" hidden="1" x14ac:dyDescent="0.3">
      <c r="A7788" t="s">
        <v>30</v>
      </c>
      <c r="B7788">
        <v>2021</v>
      </c>
      <c r="C7788" t="s">
        <v>35</v>
      </c>
      <c r="D7788" t="s">
        <v>13</v>
      </c>
      <c r="E7788" t="e">
        <f>VLOOKUP(Cpi_[[#This Row],[Attribute]],#REF!,2,FALSE)</f>
        <v>#REF!</v>
      </c>
      <c r="F7788">
        <v>160</v>
      </c>
      <c r="G7788">
        <f>(Cpi_[[#This Row],[Value]]-F7787)/F7787</f>
        <v>-3.0303030303030304E-2</v>
      </c>
      <c r="H7788" t="e" cm="1" vm="1">
        <f t="array" aca="1" ref="H7788" ca="1">VLOOKUP(Cpi_[[#This Row],[Year]:[Month]],crudeoil[],3,FALSE)</f>
        <v>#VALUE!</v>
      </c>
    </row>
    <row r="7789" spans="1:8" hidden="1" x14ac:dyDescent="0.3">
      <c r="A7789" t="s">
        <v>30</v>
      </c>
      <c r="B7789">
        <v>2021</v>
      </c>
      <c r="C7789" t="s">
        <v>35</v>
      </c>
      <c r="D7789" t="s">
        <v>14</v>
      </c>
      <c r="E7789" t="e">
        <f>VLOOKUP(Cpi_[[#This Row],[Attribute]],#REF!,2,FALSE)</f>
        <v>#REF!</v>
      </c>
      <c r="F7789">
        <v>165.8</v>
      </c>
      <c r="G7789">
        <f>(Cpi_[[#This Row],[Value]]-F7788)/F7788</f>
        <v>3.6250000000000074E-2</v>
      </c>
      <c r="H7789" t="e" cm="1" vm="1">
        <f t="array" aca="1" ref="H7789" ca="1">VLOOKUP(Cpi_[[#This Row],[Year]:[Month]],crudeoil[],3,FALSE)</f>
        <v>#VALUE!</v>
      </c>
    </row>
    <row r="7790" spans="1:8" hidden="1" x14ac:dyDescent="0.3">
      <c r="A7790" t="s">
        <v>30</v>
      </c>
      <c r="B7790">
        <v>2021</v>
      </c>
      <c r="C7790" t="s">
        <v>35</v>
      </c>
      <c r="D7790" t="s">
        <v>15</v>
      </c>
      <c r="E7790" t="e">
        <f>VLOOKUP(Cpi_[[#This Row],[Attribute]],#REF!,2,FALSE)</f>
        <v>#REF!</v>
      </c>
      <c r="F7790">
        <v>154.69999999999999</v>
      </c>
      <c r="G7790">
        <f>(Cpi_[[#This Row],[Value]]-F7789)/F7789</f>
        <v>-6.6948130277442841E-2</v>
      </c>
      <c r="H7790" t="e" cm="1" vm="1">
        <f t="array" aca="1" ref="H7790" ca="1">VLOOKUP(Cpi_[[#This Row],[Year]:[Month]],crudeoil[],3,FALSE)</f>
        <v>#VALUE!</v>
      </c>
    </row>
    <row r="7791" spans="1:8" hidden="1" x14ac:dyDescent="0.3">
      <c r="A7791" t="s">
        <v>30</v>
      </c>
      <c r="B7791">
        <v>2021</v>
      </c>
      <c r="C7791" t="s">
        <v>35</v>
      </c>
      <c r="D7791" t="s">
        <v>16</v>
      </c>
      <c r="E7791" t="e">
        <f>VLOOKUP(Cpi_[[#This Row],[Attribute]],#REF!,2,FALSE)</f>
        <v>#REF!</v>
      </c>
      <c r="F7791">
        <v>186.5</v>
      </c>
      <c r="G7791">
        <f>(Cpi_[[#This Row],[Value]]-F7790)/F7790</f>
        <v>0.20555914673561743</v>
      </c>
      <c r="H7791" t="e" cm="1" vm="1">
        <f t="array" aca="1" ref="H7791" ca="1">VLOOKUP(Cpi_[[#This Row],[Year]:[Month]],crudeoil[],3,FALSE)</f>
        <v>#VALUE!</v>
      </c>
    </row>
    <row r="7792" spans="1:8" hidden="1" x14ac:dyDescent="0.3">
      <c r="A7792" t="s">
        <v>30</v>
      </c>
      <c r="B7792">
        <v>2021</v>
      </c>
      <c r="C7792" t="s">
        <v>35</v>
      </c>
      <c r="D7792" t="s">
        <v>17</v>
      </c>
      <c r="E7792" t="e">
        <f>VLOOKUP(Cpi_[[#This Row],[Attribute]],#REF!,2,FALSE)</f>
        <v>#REF!</v>
      </c>
      <c r="F7792">
        <v>159.1</v>
      </c>
      <c r="G7792">
        <f>(Cpi_[[#This Row],[Value]]-F7791)/F7791</f>
        <v>-0.14691689008042899</v>
      </c>
      <c r="H7792" t="e" cm="1" vm="1">
        <f t="array" aca="1" ref="H7792" ca="1">VLOOKUP(Cpi_[[#This Row],[Year]:[Month]],crudeoil[],3,FALSE)</f>
        <v>#VALUE!</v>
      </c>
    </row>
    <row r="7793" spans="1:8" hidden="1" x14ac:dyDescent="0.3">
      <c r="A7793" t="s">
        <v>30</v>
      </c>
      <c r="B7793">
        <v>2021</v>
      </c>
      <c r="C7793" t="s">
        <v>35</v>
      </c>
      <c r="D7793" t="s">
        <v>18</v>
      </c>
      <c r="E7793" t="e">
        <f>VLOOKUP(Cpi_[[#This Row],[Attribute]],#REF!,2,FALSE)</f>
        <v>#REF!</v>
      </c>
      <c r="F7793">
        <v>153.9</v>
      </c>
      <c r="G7793">
        <f>(Cpi_[[#This Row],[Value]]-F7792)/F7792</f>
        <v>-3.2683846637334937E-2</v>
      </c>
      <c r="H7793" t="e" cm="1" vm="1">
        <f t="array" aca="1" ref="H7793" ca="1">VLOOKUP(Cpi_[[#This Row],[Year]:[Month]],crudeoil[],3,FALSE)</f>
        <v>#VALUE!</v>
      </c>
    </row>
    <row r="7794" spans="1:8" hidden="1" x14ac:dyDescent="0.3">
      <c r="A7794" t="s">
        <v>30</v>
      </c>
      <c r="B7794">
        <v>2021</v>
      </c>
      <c r="C7794" t="s">
        <v>35</v>
      </c>
      <c r="D7794" t="s">
        <v>19</v>
      </c>
      <c r="E7794" t="e">
        <f>VLOOKUP(Cpi_[[#This Row],[Attribute]],#REF!,2,FALSE)</f>
        <v>#REF!</v>
      </c>
      <c r="F7794">
        <v>158.4</v>
      </c>
      <c r="G7794">
        <f>(Cpi_[[#This Row],[Value]]-F7793)/F7793</f>
        <v>2.9239766081871343E-2</v>
      </c>
      <c r="H7794" t="e" cm="1" vm="1">
        <f t="array" aca="1" ref="H7794" ca="1">VLOOKUP(Cpi_[[#This Row],[Year]:[Month]],crudeoil[],3,FALSE)</f>
        <v>#VALUE!</v>
      </c>
    </row>
    <row r="7795" spans="1:8" hidden="1" x14ac:dyDescent="0.3">
      <c r="A7795" t="s">
        <v>30</v>
      </c>
      <c r="B7795">
        <v>2021</v>
      </c>
      <c r="C7795" t="s">
        <v>35</v>
      </c>
      <c r="D7795" t="s">
        <v>20</v>
      </c>
      <c r="E7795" t="e">
        <f>VLOOKUP(Cpi_[[#This Row],[Attribute]],#REF!,2,FALSE)</f>
        <v>#REF!</v>
      </c>
      <c r="F7795" t="s">
        <v>32</v>
      </c>
      <c r="G7795" t="e">
        <f>(Cpi_[[#This Row],[Value]]-F7794)/F7794</f>
        <v>#VALUE!</v>
      </c>
      <c r="H7795" t="e" cm="1" vm="1">
        <f t="array" aca="1" ref="H7795" ca="1">VLOOKUP(Cpi_[[#This Row],[Year]:[Month]],crudeoil[],3,FALSE)</f>
        <v>#VALUE!</v>
      </c>
    </row>
    <row r="7796" spans="1:8" hidden="1" x14ac:dyDescent="0.3">
      <c r="A7796" t="s">
        <v>30</v>
      </c>
      <c r="B7796">
        <v>2021</v>
      </c>
      <c r="C7796" t="s">
        <v>35</v>
      </c>
      <c r="D7796" t="s">
        <v>21</v>
      </c>
      <c r="E7796" t="e">
        <f>VLOOKUP(Cpi_[[#This Row],[Attribute]],#REF!,2,FALSE)</f>
        <v>#REF!</v>
      </c>
      <c r="F7796">
        <v>154.4</v>
      </c>
      <c r="G7796" t="e">
        <f>(Cpi_[[#This Row],[Value]]-F7795)/F7795</f>
        <v>#VALUE!</v>
      </c>
      <c r="H7796" t="e" cm="1" vm="1">
        <f t="array" aca="1" ref="H7796" ca="1">VLOOKUP(Cpi_[[#This Row],[Year]:[Month]],crudeoil[],3,FALSE)</f>
        <v>#VALUE!</v>
      </c>
    </row>
    <row r="7797" spans="1:8" hidden="1" x14ac:dyDescent="0.3">
      <c r="A7797" t="s">
        <v>30</v>
      </c>
      <c r="B7797">
        <v>2021</v>
      </c>
      <c r="C7797" t="s">
        <v>35</v>
      </c>
      <c r="D7797" t="s">
        <v>22</v>
      </c>
      <c r="E7797" t="e">
        <f>VLOOKUP(Cpi_[[#This Row],[Attribute]],#REF!,2,FALSE)</f>
        <v>#REF!</v>
      </c>
      <c r="F7797">
        <v>154.80000000000001</v>
      </c>
      <c r="G7797">
        <f>(Cpi_[[#This Row],[Value]]-F7796)/F7796</f>
        <v>2.5906735751295702E-3</v>
      </c>
      <c r="H7797" t="e" cm="1" vm="1">
        <f t="array" aca="1" ref="H7797" ca="1">VLOOKUP(Cpi_[[#This Row],[Year]:[Month]],crudeoil[],3,FALSE)</f>
        <v>#VALUE!</v>
      </c>
    </row>
    <row r="7798" spans="1:8" hidden="1" x14ac:dyDescent="0.3">
      <c r="A7798" t="s">
        <v>30</v>
      </c>
      <c r="B7798">
        <v>2021</v>
      </c>
      <c r="C7798" t="s">
        <v>35</v>
      </c>
      <c r="D7798" t="s">
        <v>23</v>
      </c>
      <c r="E7798" t="e">
        <f>VLOOKUP(Cpi_[[#This Row],[Attribute]],#REF!,2,FALSE)</f>
        <v>#REF!</v>
      </c>
      <c r="F7798">
        <v>164.3</v>
      </c>
      <c r="G7798">
        <f>(Cpi_[[#This Row],[Value]]-F7797)/F7797</f>
        <v>6.1369509043927642E-2</v>
      </c>
      <c r="H7798" t="e" cm="1" vm="1">
        <f t="array" aca="1" ref="H7798" ca="1">VLOOKUP(Cpi_[[#This Row],[Year]:[Month]],crudeoil[],3,FALSE)</f>
        <v>#VALUE!</v>
      </c>
    </row>
    <row r="7799" spans="1:8" hidden="1" x14ac:dyDescent="0.3">
      <c r="A7799" t="s">
        <v>30</v>
      </c>
      <c r="B7799">
        <v>2021</v>
      </c>
      <c r="C7799" t="s">
        <v>35</v>
      </c>
      <c r="D7799" t="s">
        <v>24</v>
      </c>
      <c r="E7799" t="e">
        <f>VLOOKUP(Cpi_[[#This Row],[Attribute]],#REF!,2,FALSE)</f>
        <v>#REF!</v>
      </c>
      <c r="F7799">
        <v>150.19999999999999</v>
      </c>
      <c r="G7799">
        <f>(Cpi_[[#This Row],[Value]]-F7798)/F7798</f>
        <v>-8.5818624467437751E-2</v>
      </c>
      <c r="H7799" t="e" cm="1" vm="1">
        <f t="array" aca="1" ref="H7799" ca="1">VLOOKUP(Cpi_[[#This Row],[Year]:[Month]],crudeoil[],3,FALSE)</f>
        <v>#VALUE!</v>
      </c>
    </row>
    <row r="7800" spans="1:8" hidden="1" x14ac:dyDescent="0.3">
      <c r="A7800" t="s">
        <v>30</v>
      </c>
      <c r="B7800">
        <v>2021</v>
      </c>
      <c r="C7800" t="s">
        <v>35</v>
      </c>
      <c r="D7800" t="s">
        <v>25</v>
      </c>
      <c r="E7800" t="e">
        <f>VLOOKUP(Cpi_[[#This Row],[Attribute]],#REF!,2,FALSE)</f>
        <v>#REF!</v>
      </c>
      <c r="F7800">
        <v>157</v>
      </c>
      <c r="G7800">
        <f>(Cpi_[[#This Row],[Value]]-F7799)/F7799</f>
        <v>4.5272969374167853E-2</v>
      </c>
      <c r="H7800" t="e" cm="1" vm="1">
        <f t="array" aca="1" ref="H7800" ca="1">VLOOKUP(Cpi_[[#This Row],[Year]:[Month]],crudeoil[],3,FALSE)</f>
        <v>#VALUE!</v>
      </c>
    </row>
    <row r="7801" spans="1:8" hidden="1" x14ac:dyDescent="0.3">
      <c r="A7801" t="s">
        <v>30</v>
      </c>
      <c r="B7801">
        <v>2021</v>
      </c>
      <c r="C7801" t="s">
        <v>35</v>
      </c>
      <c r="D7801" t="s">
        <v>26</v>
      </c>
      <c r="E7801" t="e">
        <f>VLOOKUP(Cpi_[[#This Row],[Attribute]],#REF!,2,FALSE)</f>
        <v>#REF!</v>
      </c>
      <c r="F7801">
        <v>163.6</v>
      </c>
      <c r="G7801">
        <f>(Cpi_[[#This Row],[Value]]-F7800)/F7800</f>
        <v>4.2038216560509517E-2</v>
      </c>
      <c r="H7801" t="e" cm="1" vm="1">
        <f t="array" aca="1" ref="H7801" ca="1">VLOOKUP(Cpi_[[#This Row],[Year]:[Month]],crudeoil[],3,FALSE)</f>
        <v>#VALUE!</v>
      </c>
    </row>
    <row r="7802" spans="1:8" hidden="1" x14ac:dyDescent="0.3">
      <c r="A7802" t="s">
        <v>30</v>
      </c>
      <c r="B7802">
        <v>2021</v>
      </c>
      <c r="C7802" t="s">
        <v>35</v>
      </c>
      <c r="D7802" t="s">
        <v>27</v>
      </c>
      <c r="E7802" t="e">
        <f>VLOOKUP(Cpi_[[#This Row],[Attribute]],#REF!,2,FALSE)</f>
        <v>#REF!</v>
      </c>
      <c r="F7802">
        <v>155.19999999999999</v>
      </c>
      <c r="G7802">
        <f>(Cpi_[[#This Row],[Value]]-F7801)/F7801</f>
        <v>-5.1344743276283654E-2</v>
      </c>
      <c r="H7802" t="e" cm="1" vm="1">
        <f t="array" aca="1" ref="H7802" ca="1">VLOOKUP(Cpi_[[#This Row],[Year]:[Month]],crudeoil[],3,FALSE)</f>
        <v>#VALUE!</v>
      </c>
    </row>
    <row r="7803" spans="1:8" hidden="1" x14ac:dyDescent="0.3">
      <c r="A7803" t="s">
        <v>30</v>
      </c>
      <c r="B7803">
        <v>2021</v>
      </c>
      <c r="C7803" t="s">
        <v>35</v>
      </c>
      <c r="D7803" t="s">
        <v>28</v>
      </c>
      <c r="E7803" t="e">
        <f>VLOOKUP(Cpi_[[#This Row],[Attribute]],#REF!,2,FALSE)</f>
        <v>#REF!</v>
      </c>
      <c r="F7803">
        <v>157.19999999999999</v>
      </c>
      <c r="G7803">
        <f>(Cpi_[[#This Row],[Value]]-F7802)/F7802</f>
        <v>1.2886597938144331E-2</v>
      </c>
      <c r="H7803" t="e" cm="1" vm="1">
        <f t="array" aca="1" ref="H7803" ca="1">VLOOKUP(Cpi_[[#This Row],[Year]:[Month]],crudeoil[],3,FALSE)</f>
        <v>#VALUE!</v>
      </c>
    </row>
    <row r="7804" spans="1:8" hidden="1" x14ac:dyDescent="0.3">
      <c r="A7804" t="s">
        <v>30</v>
      </c>
      <c r="B7804">
        <v>2021</v>
      </c>
      <c r="C7804" t="s">
        <v>35</v>
      </c>
      <c r="D7804" t="s">
        <v>29</v>
      </c>
      <c r="E7804" t="e" cm="1">
        <f t="array" aca="1" ref="E7804" ca="1">VLGeneral indexGeneral indexKUP(Cpi_[[#This Row],[Attribute]],#REF!,2,FALSE)</f>
        <v>#NAME?</v>
      </c>
      <c r="F7804">
        <v>156.69999999999999</v>
      </c>
      <c r="G7804">
        <f>(Cpi_[[#This Row],[Value]]-F7803)/F7803</f>
        <v>-3.1806615776081427E-3</v>
      </c>
      <c r="H7804" t="e" cm="1" vm="1">
        <f t="array" aca="1" ref="H7804" ca="1">VLOOKUP(Cpi_[[#This Row],[Year]:[Month]],crudeoil[],3,FALSE)</f>
        <v>#VALUE!</v>
      </c>
    </row>
    <row r="7805" spans="1:8" hidden="1" x14ac:dyDescent="0.3">
      <c r="A7805" t="s">
        <v>33</v>
      </c>
      <c r="B7805">
        <v>2021</v>
      </c>
      <c r="C7805" t="s">
        <v>35</v>
      </c>
      <c r="D7805" t="s">
        <v>3</v>
      </c>
      <c r="E7805" t="e">
        <f>VLOOKUP(Cpi_[[#This Row],[Attribute]],#REF!,2,FALSE)</f>
        <v>#REF!</v>
      </c>
      <c r="F7805">
        <v>147.6</v>
      </c>
      <c r="G7805">
        <f>(Cpi_[[#This Row],[Value]]-F7804)/F7804</f>
        <v>-5.8072750478621538E-2</v>
      </c>
      <c r="H7805" t="e" cm="1" vm="1">
        <f t="array" aca="1" ref="H7805" ca="1">VLOOKUP(Cpi_[[#This Row],[Year]:[Month]],crudeoil[],3,FALSE)</f>
        <v>#VALUE!</v>
      </c>
    </row>
    <row r="7806" spans="1:8" hidden="1" x14ac:dyDescent="0.3">
      <c r="A7806" t="s">
        <v>33</v>
      </c>
      <c r="B7806">
        <v>2021</v>
      </c>
      <c r="C7806" t="s">
        <v>35</v>
      </c>
      <c r="D7806" t="s">
        <v>4</v>
      </c>
      <c r="E7806" t="e">
        <f>VLOOKUP(Cpi_[[#This Row],[Attribute]],#REF!,2,FALSE)</f>
        <v>#REF!</v>
      </c>
      <c r="F7806">
        <v>191.2</v>
      </c>
      <c r="G7806">
        <f>(Cpi_[[#This Row],[Value]]-F7805)/F7805</f>
        <v>0.29539295392953929</v>
      </c>
      <c r="H7806" t="e" cm="1" vm="1">
        <f t="array" aca="1" ref="H7806" ca="1">VLOOKUP(Cpi_[[#This Row],[Year]:[Month]],crudeoil[],3,FALSE)</f>
        <v>#VALUE!</v>
      </c>
    </row>
    <row r="7807" spans="1:8" hidden="1" x14ac:dyDescent="0.3">
      <c r="A7807" t="s">
        <v>33</v>
      </c>
      <c r="B7807">
        <v>2021</v>
      </c>
      <c r="C7807" t="s">
        <v>35</v>
      </c>
      <c r="D7807" t="s">
        <v>5</v>
      </c>
      <c r="E7807" t="e">
        <f>VLOOKUP(Cpi_[[#This Row],[Attribute]],#REF!,2,FALSE)</f>
        <v>#REF!</v>
      </c>
      <c r="F7807">
        <v>169.9</v>
      </c>
      <c r="G7807">
        <f>(Cpi_[[#This Row],[Value]]-F7806)/F7806</f>
        <v>-0.11140167364016729</v>
      </c>
      <c r="H7807" t="e" cm="1" vm="1">
        <f t="array" aca="1" ref="H7807" ca="1">VLOOKUP(Cpi_[[#This Row],[Year]:[Month]],crudeoil[],3,FALSE)</f>
        <v>#VALUE!</v>
      </c>
    </row>
    <row r="7808" spans="1:8" hidden="1" x14ac:dyDescent="0.3">
      <c r="A7808" t="s">
        <v>33</v>
      </c>
      <c r="B7808">
        <v>2021</v>
      </c>
      <c r="C7808" t="s">
        <v>35</v>
      </c>
      <c r="D7808" t="s">
        <v>6</v>
      </c>
      <c r="E7808" t="e">
        <f>VLOOKUP(Cpi_[[#This Row],[Attribute]],#REF!,2,FALSE)</f>
        <v>#REF!</v>
      </c>
      <c r="F7808">
        <v>155.1</v>
      </c>
      <c r="G7808">
        <f>(Cpi_[[#This Row],[Value]]-F7807)/F7807</f>
        <v>-8.7110064743967097E-2</v>
      </c>
      <c r="H7808" t="e" cm="1" vm="1">
        <f t="array" aca="1" ref="H7808" ca="1">VLOOKUP(Cpi_[[#This Row],[Year]:[Month]],crudeoil[],3,FALSE)</f>
        <v>#VALUE!</v>
      </c>
    </row>
    <row r="7809" spans="1:8" hidden="1" x14ac:dyDescent="0.3">
      <c r="A7809" t="s">
        <v>33</v>
      </c>
      <c r="B7809">
        <v>2021</v>
      </c>
      <c r="C7809" t="s">
        <v>35</v>
      </c>
      <c r="D7809" t="s">
        <v>7</v>
      </c>
      <c r="E7809" t="e">
        <f>VLOOKUP(Cpi_[[#This Row],[Attribute]],#REF!,2,FALSE)</f>
        <v>#REF!</v>
      </c>
      <c r="F7809">
        <v>151.4</v>
      </c>
      <c r="G7809">
        <f>(Cpi_[[#This Row],[Value]]-F7808)/F7808</f>
        <v>-2.3855577047066336E-2</v>
      </c>
      <c r="H7809" t="e" cm="1" vm="1">
        <f t="array" aca="1" ref="H7809" ca="1">VLOOKUP(Cpi_[[#This Row],[Year]:[Month]],crudeoil[],3,FALSE)</f>
        <v>#VALUE!</v>
      </c>
    </row>
    <row r="7810" spans="1:8" hidden="1" x14ac:dyDescent="0.3">
      <c r="A7810" t="s">
        <v>33</v>
      </c>
      <c r="B7810">
        <v>2021</v>
      </c>
      <c r="C7810" t="s">
        <v>35</v>
      </c>
      <c r="D7810" t="s">
        <v>8</v>
      </c>
      <c r="E7810" t="e">
        <f>VLOOKUP(Cpi_[[#This Row],[Attribute]],#REF!,2,FALSE)</f>
        <v>#REF!</v>
      </c>
      <c r="F7810">
        <v>154</v>
      </c>
      <c r="G7810">
        <f>(Cpi_[[#This Row],[Value]]-F7809)/F7809</f>
        <v>1.717305151915452E-2</v>
      </c>
      <c r="H7810" t="e" cm="1" vm="1">
        <f t="array" aca="1" ref="H7810" ca="1">VLOOKUP(Cpi_[[#This Row],[Year]:[Month]],crudeoil[],3,FALSE)</f>
        <v>#VALUE!</v>
      </c>
    </row>
    <row r="7811" spans="1:8" hidden="1" x14ac:dyDescent="0.3">
      <c r="A7811" t="s">
        <v>33</v>
      </c>
      <c r="B7811">
        <v>2021</v>
      </c>
      <c r="C7811" t="s">
        <v>35</v>
      </c>
      <c r="D7811" t="s">
        <v>9</v>
      </c>
      <c r="E7811" t="e">
        <f>VLOOKUP(Cpi_[[#This Row],[Attribute]],#REF!,2,FALSE)</f>
        <v>#REF!</v>
      </c>
      <c r="F7811">
        <v>180.2</v>
      </c>
      <c r="G7811">
        <f>(Cpi_[[#This Row],[Value]]-F7810)/F7810</f>
        <v>0.17012987012987005</v>
      </c>
      <c r="H7811" t="e" cm="1" vm="1">
        <f t="array" aca="1" ref="H7811" ca="1">VLOOKUP(Cpi_[[#This Row],[Year]:[Month]],crudeoil[],3,FALSE)</f>
        <v>#VALUE!</v>
      </c>
    </row>
    <row r="7812" spans="1:8" hidden="1" x14ac:dyDescent="0.3">
      <c r="A7812" t="s">
        <v>33</v>
      </c>
      <c r="B7812">
        <v>2021</v>
      </c>
      <c r="C7812" t="s">
        <v>35</v>
      </c>
      <c r="D7812" t="s">
        <v>10</v>
      </c>
      <c r="E7812" t="e">
        <f>VLOOKUP(Cpi_[[#This Row],[Attribute]],#REF!,2,FALSE)</f>
        <v>#REF!</v>
      </c>
      <c r="F7812">
        <v>159.80000000000001</v>
      </c>
      <c r="G7812">
        <f>(Cpi_[[#This Row],[Value]]-F7811)/F7811</f>
        <v>-0.1132075471698112</v>
      </c>
      <c r="H7812" t="e" cm="1" vm="1">
        <f t="array" aca="1" ref="H7812" ca="1">VLOOKUP(Cpi_[[#This Row],[Year]:[Month]],crudeoil[],3,FALSE)</f>
        <v>#VALUE!</v>
      </c>
    </row>
    <row r="7813" spans="1:8" hidden="1" x14ac:dyDescent="0.3">
      <c r="A7813" t="s">
        <v>33</v>
      </c>
      <c r="B7813">
        <v>2021</v>
      </c>
      <c r="C7813" t="s">
        <v>35</v>
      </c>
      <c r="D7813" t="s">
        <v>11</v>
      </c>
      <c r="E7813" t="e">
        <f>VLOOKUP(Cpi_[[#This Row],[Attribute]],#REF!,2,FALSE)</f>
        <v>#REF!</v>
      </c>
      <c r="F7813">
        <v>114.9</v>
      </c>
      <c r="G7813">
        <f>(Cpi_[[#This Row],[Value]]-F7812)/F7812</f>
        <v>-0.28097622027534419</v>
      </c>
      <c r="H7813" t="e" cm="1" vm="1">
        <f t="array" aca="1" ref="H7813" ca="1">VLOOKUP(Cpi_[[#This Row],[Year]:[Month]],crudeoil[],3,FALSE)</f>
        <v>#VALUE!</v>
      </c>
    </row>
    <row r="7814" spans="1:8" hidden="1" x14ac:dyDescent="0.3">
      <c r="A7814" t="s">
        <v>33</v>
      </c>
      <c r="B7814">
        <v>2021</v>
      </c>
      <c r="C7814" t="s">
        <v>35</v>
      </c>
      <c r="D7814" t="s">
        <v>12</v>
      </c>
      <c r="E7814" t="e">
        <f>VLOOKUP(Cpi_[[#This Row],[Attribute]],#REF!,2,FALSE)</f>
        <v>#REF!</v>
      </c>
      <c r="F7814">
        <v>162.5</v>
      </c>
      <c r="G7814">
        <f>(Cpi_[[#This Row],[Value]]-F7813)/F7813</f>
        <v>0.41427328111401213</v>
      </c>
      <c r="H7814" t="e" cm="1" vm="1">
        <f t="array" aca="1" ref="H7814" ca="1">VLOOKUP(Cpi_[[#This Row],[Year]:[Month]],crudeoil[],3,FALSE)</f>
        <v>#VALUE!</v>
      </c>
    </row>
    <row r="7815" spans="1:8" hidden="1" x14ac:dyDescent="0.3">
      <c r="A7815" t="s">
        <v>33</v>
      </c>
      <c r="B7815">
        <v>2021</v>
      </c>
      <c r="C7815" t="s">
        <v>35</v>
      </c>
      <c r="D7815" t="s">
        <v>13</v>
      </c>
      <c r="E7815" t="e">
        <f>VLOOKUP(Cpi_[[#This Row],[Attribute]],#REF!,2,FALSE)</f>
        <v>#REF!</v>
      </c>
      <c r="F7815">
        <v>149.19999999999999</v>
      </c>
      <c r="G7815">
        <f>(Cpi_[[#This Row],[Value]]-F7814)/F7814</f>
        <v>-8.1846153846153916E-2</v>
      </c>
      <c r="H7815" t="e" cm="1" vm="1">
        <f t="array" aca="1" ref="H7815" ca="1">VLOOKUP(Cpi_[[#This Row],[Year]:[Month]],crudeoil[],3,FALSE)</f>
        <v>#VALUE!</v>
      </c>
    </row>
    <row r="7816" spans="1:8" hidden="1" x14ac:dyDescent="0.3">
      <c r="A7816" t="s">
        <v>33</v>
      </c>
      <c r="B7816">
        <v>2021</v>
      </c>
      <c r="C7816" t="s">
        <v>35</v>
      </c>
      <c r="D7816" t="s">
        <v>14</v>
      </c>
      <c r="E7816" t="e">
        <f>VLOOKUP(Cpi_[[#This Row],[Attribute]],#REF!,2,FALSE)</f>
        <v>#REF!</v>
      </c>
      <c r="F7816">
        <v>169.4</v>
      </c>
      <c r="G7816">
        <f>(Cpi_[[#This Row],[Value]]-F7815)/F7815</f>
        <v>0.13538873994638081</v>
      </c>
      <c r="H7816" t="e" cm="1" vm="1">
        <f t="array" aca="1" ref="H7816" ca="1">VLOOKUP(Cpi_[[#This Row],[Year]:[Month]],crudeoil[],3,FALSE)</f>
        <v>#VALUE!</v>
      </c>
    </row>
    <row r="7817" spans="1:8" hidden="1" x14ac:dyDescent="0.3">
      <c r="A7817" t="s">
        <v>33</v>
      </c>
      <c r="B7817">
        <v>2021</v>
      </c>
      <c r="C7817" t="s">
        <v>35</v>
      </c>
      <c r="D7817" t="s">
        <v>15</v>
      </c>
      <c r="E7817" t="e">
        <f>VLOOKUP(Cpi_[[#This Row],[Attribute]],#REF!,2,FALSE)</f>
        <v>#REF!</v>
      </c>
      <c r="F7817">
        <v>160.80000000000001</v>
      </c>
      <c r="G7817">
        <f>(Cpi_[[#This Row],[Value]]-F7816)/F7816</f>
        <v>-5.0767414403778008E-2</v>
      </c>
      <c r="H7817" t="e" cm="1" vm="1">
        <f t="array" aca="1" ref="H7817" ca="1">VLOOKUP(Cpi_[[#This Row],[Year]:[Month]],crudeoil[],3,FALSE)</f>
        <v>#VALUE!</v>
      </c>
    </row>
    <row r="7818" spans="1:8" hidden="1" x14ac:dyDescent="0.3">
      <c r="A7818" t="s">
        <v>33</v>
      </c>
      <c r="B7818">
        <v>2021</v>
      </c>
      <c r="C7818" t="s">
        <v>35</v>
      </c>
      <c r="D7818" t="s">
        <v>16</v>
      </c>
      <c r="E7818" t="e">
        <f>VLOOKUP(Cpi_[[#This Row],[Attribute]],#REF!,2,FALSE)</f>
        <v>#REF!</v>
      </c>
      <c r="F7818">
        <v>193.3</v>
      </c>
      <c r="G7818">
        <f>(Cpi_[[#This Row],[Value]]-F7817)/F7817</f>
        <v>0.2021144278606965</v>
      </c>
      <c r="H7818" t="e" cm="1" vm="1">
        <f t="array" aca="1" ref="H7818" ca="1">VLOOKUP(Cpi_[[#This Row],[Year]:[Month]],crudeoil[],3,FALSE)</f>
        <v>#VALUE!</v>
      </c>
    </row>
    <row r="7819" spans="1:8" hidden="1" x14ac:dyDescent="0.3">
      <c r="A7819" t="s">
        <v>33</v>
      </c>
      <c r="B7819">
        <v>2021</v>
      </c>
      <c r="C7819" t="s">
        <v>35</v>
      </c>
      <c r="D7819" t="s">
        <v>17</v>
      </c>
      <c r="E7819" t="e">
        <f>VLOOKUP(Cpi_[[#This Row],[Attribute]],#REF!,2,FALSE)</f>
        <v>#REF!</v>
      </c>
      <c r="F7819">
        <v>154.19999999999999</v>
      </c>
      <c r="G7819">
        <f>(Cpi_[[#This Row],[Value]]-F7818)/F7818</f>
        <v>-0.20227625452664263</v>
      </c>
      <c r="H7819" t="e" cm="1" vm="1">
        <f t="array" aca="1" ref="H7819" ca="1">VLOOKUP(Cpi_[[#This Row],[Year]:[Month]],crudeoil[],3,FALSE)</f>
        <v>#VALUE!</v>
      </c>
    </row>
    <row r="7820" spans="1:8" hidden="1" x14ac:dyDescent="0.3">
      <c r="A7820" t="s">
        <v>33</v>
      </c>
      <c r="B7820">
        <v>2021</v>
      </c>
      <c r="C7820" t="s">
        <v>35</v>
      </c>
      <c r="D7820" t="s">
        <v>18</v>
      </c>
      <c r="E7820" t="e">
        <f>VLOOKUP(Cpi_[[#This Row],[Attribute]],#REF!,2,FALSE)</f>
        <v>#REF!</v>
      </c>
      <c r="F7820">
        <v>138.19999999999999</v>
      </c>
      <c r="G7820">
        <f>(Cpi_[[#This Row],[Value]]-F7819)/F7819</f>
        <v>-0.10376134889753567</v>
      </c>
      <c r="H7820" t="e" cm="1" vm="1">
        <f t="array" aca="1" ref="H7820" ca="1">VLOOKUP(Cpi_[[#This Row],[Year]:[Month]],crudeoil[],3,FALSE)</f>
        <v>#VALUE!</v>
      </c>
    </row>
    <row r="7821" spans="1:8" hidden="1" x14ac:dyDescent="0.3">
      <c r="A7821" t="s">
        <v>33</v>
      </c>
      <c r="B7821">
        <v>2021</v>
      </c>
      <c r="C7821" t="s">
        <v>35</v>
      </c>
      <c r="D7821" t="s">
        <v>19</v>
      </c>
      <c r="E7821" t="e">
        <f>VLOOKUP(Cpi_[[#This Row],[Attribute]],#REF!,2,FALSE)</f>
        <v>#REF!</v>
      </c>
      <c r="F7821">
        <v>151.80000000000001</v>
      </c>
      <c r="G7821">
        <f>(Cpi_[[#This Row],[Value]]-F7820)/F7820</f>
        <v>9.8408104196816379E-2</v>
      </c>
      <c r="H7821" t="e" cm="1" vm="1">
        <f t="array" aca="1" ref="H7821" ca="1">VLOOKUP(Cpi_[[#This Row],[Year]:[Month]],crudeoil[],3,FALSE)</f>
        <v>#VALUE!</v>
      </c>
    </row>
    <row r="7822" spans="1:8" hidden="1" x14ac:dyDescent="0.3">
      <c r="A7822" t="s">
        <v>33</v>
      </c>
      <c r="B7822">
        <v>2021</v>
      </c>
      <c r="C7822" t="s">
        <v>35</v>
      </c>
      <c r="D7822" t="s">
        <v>20</v>
      </c>
      <c r="E7822" t="e">
        <f>VLOOKUP(Cpi_[[#This Row],[Attribute]],#REF!,2,FALSE)</f>
        <v>#REF!</v>
      </c>
      <c r="F7822">
        <v>159.80000000000001</v>
      </c>
      <c r="G7822">
        <f>(Cpi_[[#This Row],[Value]]-F7821)/F7821</f>
        <v>5.2700922266139656E-2</v>
      </c>
      <c r="H7822" t="e" cm="1" vm="1">
        <f t="array" aca="1" ref="H7822" ca="1">VLOOKUP(Cpi_[[#This Row],[Year]:[Month]],crudeoil[],3,FALSE)</f>
        <v>#VALUE!</v>
      </c>
    </row>
    <row r="7823" spans="1:8" hidden="1" x14ac:dyDescent="0.3">
      <c r="A7823" t="s">
        <v>33</v>
      </c>
      <c r="B7823">
        <v>2021</v>
      </c>
      <c r="C7823" t="s">
        <v>35</v>
      </c>
      <c r="D7823" t="s">
        <v>21</v>
      </c>
      <c r="E7823" t="e">
        <f>VLOOKUP(Cpi_[[#This Row],[Attribute]],#REF!,2,FALSE)</f>
        <v>#REF!</v>
      </c>
      <c r="F7823">
        <v>149.1</v>
      </c>
      <c r="G7823">
        <f>(Cpi_[[#This Row],[Value]]-F7822)/F7822</f>
        <v>-6.6958698372966308E-2</v>
      </c>
      <c r="H7823" t="e" cm="1" vm="1">
        <f t="array" aca="1" ref="H7823" ca="1">VLOOKUP(Cpi_[[#This Row],[Year]:[Month]],crudeoil[],3,FALSE)</f>
        <v>#VALUE!</v>
      </c>
    </row>
    <row r="7824" spans="1:8" hidden="1" x14ac:dyDescent="0.3">
      <c r="A7824" t="s">
        <v>33</v>
      </c>
      <c r="B7824">
        <v>2021</v>
      </c>
      <c r="C7824" t="s">
        <v>35</v>
      </c>
      <c r="D7824" t="s">
        <v>22</v>
      </c>
      <c r="E7824" t="e">
        <f>VLOOKUP(Cpi_[[#This Row],[Attribute]],#REF!,2,FALSE)</f>
        <v>#REF!</v>
      </c>
      <c r="F7824">
        <v>146.5</v>
      </c>
      <c r="G7824">
        <f>(Cpi_[[#This Row],[Value]]-F7823)/F7823</f>
        <v>-1.7437961099932894E-2</v>
      </c>
      <c r="H7824" t="e" cm="1" vm="1">
        <f t="array" aca="1" ref="H7824" ca="1">VLOOKUP(Cpi_[[#This Row],[Year]:[Month]],crudeoil[],3,FALSE)</f>
        <v>#VALUE!</v>
      </c>
    </row>
    <row r="7825" spans="1:10" hidden="1" x14ac:dyDescent="0.3">
      <c r="A7825" t="s">
        <v>33</v>
      </c>
      <c r="B7825">
        <v>2021</v>
      </c>
      <c r="C7825" t="s">
        <v>35</v>
      </c>
      <c r="D7825" t="s">
        <v>23</v>
      </c>
      <c r="E7825" t="e">
        <f>VLOOKUP(Cpi_[[#This Row],[Attribute]],#REF!,2,FALSE)</f>
        <v>#REF!</v>
      </c>
      <c r="F7825">
        <v>156.30000000000001</v>
      </c>
      <c r="G7825">
        <f>(Cpi_[[#This Row],[Value]]-F7824)/F7824</f>
        <v>6.6894197952218501E-2</v>
      </c>
      <c r="H7825" t="e" cm="1" vm="1">
        <f t="array" aca="1" ref="H7825" ca="1">VLOOKUP(Cpi_[[#This Row],[Year]:[Month]],crudeoil[],3,FALSE)</f>
        <v>#VALUE!</v>
      </c>
    </row>
    <row r="7826" spans="1:10" hidden="1" x14ac:dyDescent="0.3">
      <c r="A7826" t="s">
        <v>33</v>
      </c>
      <c r="B7826">
        <v>2021</v>
      </c>
      <c r="C7826" t="s">
        <v>35</v>
      </c>
      <c r="D7826" t="s">
        <v>24</v>
      </c>
      <c r="E7826" t="e">
        <f>VLOOKUP(Cpi_[[#This Row],[Attribute]],#REF!,2,FALSE)</f>
        <v>#REF!</v>
      </c>
      <c r="F7826">
        <v>140.5</v>
      </c>
      <c r="G7826">
        <f>(Cpi_[[#This Row],[Value]]-F7825)/F7825</f>
        <v>-0.10108765195137563</v>
      </c>
      <c r="H7826" t="e" cm="1" vm="1">
        <f t="array" aca="1" ref="H7826" ca="1">VLOOKUP(Cpi_[[#This Row],[Year]:[Month]],crudeoil[],3,FALSE)</f>
        <v>#VALUE!</v>
      </c>
    </row>
    <row r="7827" spans="1:10" hidden="1" x14ac:dyDescent="0.3">
      <c r="A7827" t="s">
        <v>33</v>
      </c>
      <c r="B7827">
        <v>2021</v>
      </c>
      <c r="C7827" t="s">
        <v>35</v>
      </c>
      <c r="D7827" t="s">
        <v>25</v>
      </c>
      <c r="E7827" t="e">
        <f>VLOOKUP(Cpi_[[#This Row],[Attribute]],#REF!,2,FALSE)</f>
        <v>#REF!</v>
      </c>
      <c r="F7827">
        <v>147.30000000000001</v>
      </c>
      <c r="G7827">
        <f>(Cpi_[[#This Row],[Value]]-F7826)/F7826</f>
        <v>4.8398576512455597E-2</v>
      </c>
      <c r="H7827" t="e" cm="1" vm="1">
        <f t="array" aca="1" ref="H7827" ca="1">VLOOKUP(Cpi_[[#This Row],[Year]:[Month]],crudeoil[],3,FALSE)</f>
        <v>#VALUE!</v>
      </c>
    </row>
    <row r="7828" spans="1:10" hidden="1" x14ac:dyDescent="0.3">
      <c r="A7828" t="s">
        <v>33</v>
      </c>
      <c r="B7828">
        <v>2021</v>
      </c>
      <c r="C7828" t="s">
        <v>35</v>
      </c>
      <c r="D7828" t="s">
        <v>26</v>
      </c>
      <c r="E7828" t="e">
        <f>VLOOKUP(Cpi_[[#This Row],[Attribute]],#REF!,2,FALSE)</f>
        <v>#REF!</v>
      </c>
      <c r="F7828">
        <v>156.6</v>
      </c>
      <c r="G7828">
        <f>(Cpi_[[#This Row],[Value]]-F7827)/F7827</f>
        <v>6.3136456211812506E-2</v>
      </c>
      <c r="H7828" t="e" cm="1" vm="1">
        <f t="array" aca="1" ref="H7828" ca="1">VLOOKUP(Cpi_[[#This Row],[Year]:[Month]],crudeoil[],3,FALSE)</f>
        <v>#VALUE!</v>
      </c>
    </row>
    <row r="7829" spans="1:10" hidden="1" x14ac:dyDescent="0.3">
      <c r="A7829" t="s">
        <v>33</v>
      </c>
      <c r="B7829">
        <v>2021</v>
      </c>
      <c r="C7829" t="s">
        <v>35</v>
      </c>
      <c r="D7829" t="s">
        <v>27</v>
      </c>
      <c r="E7829" t="e">
        <f>VLOOKUP(Cpi_[[#This Row],[Attribute]],#REF!,2,FALSE)</f>
        <v>#REF!</v>
      </c>
      <c r="F7829">
        <v>156.69999999999999</v>
      </c>
      <c r="G7829">
        <f>(Cpi_[[#This Row],[Value]]-F7828)/F7828</f>
        <v>6.3856960408680918E-4</v>
      </c>
      <c r="H7829" t="e" cm="1" vm="1">
        <f t="array" aca="1" ref="H7829" ca="1">VLOOKUP(Cpi_[[#This Row],[Year]:[Month]],crudeoil[],3,FALSE)</f>
        <v>#VALUE!</v>
      </c>
    </row>
    <row r="7830" spans="1:10" hidden="1" x14ac:dyDescent="0.3">
      <c r="A7830" t="s">
        <v>33</v>
      </c>
      <c r="B7830">
        <v>2021</v>
      </c>
      <c r="C7830" t="s">
        <v>35</v>
      </c>
      <c r="D7830" t="s">
        <v>28</v>
      </c>
      <c r="E7830" t="e">
        <f>VLOOKUP(Cpi_[[#This Row],[Attribute]],#REF!,2,FALSE)</f>
        <v>#REF!</v>
      </c>
      <c r="F7830">
        <v>149.30000000000001</v>
      </c>
      <c r="G7830">
        <f>(Cpi_[[#This Row],[Value]]-F7829)/F7829</f>
        <v>-4.7223994894703115E-2</v>
      </c>
      <c r="H7830" t="e" cm="1" vm="1">
        <f t="array" aca="1" ref="H7830" ca="1">VLOOKUP(Cpi_[[#This Row],[Year]:[Month]],crudeoil[],3,FALSE)</f>
        <v>#VALUE!</v>
      </c>
    </row>
    <row r="7831" spans="1:10" hidden="1" x14ac:dyDescent="0.3">
      <c r="A7831" t="s">
        <v>33</v>
      </c>
      <c r="B7831">
        <v>2021</v>
      </c>
      <c r="C7831" t="s">
        <v>35</v>
      </c>
      <c r="D7831" t="s">
        <v>29</v>
      </c>
      <c r="E7831" t="e" cm="1">
        <f t="array" aca="1" ref="E7831" ca="1">VLGeneral indexGeneral indexKUP(Cpi_[[#This Row],[Attribute]],#REF!,2,FALSE)</f>
        <v>#NAME?</v>
      </c>
      <c r="F7831">
        <v>156.5</v>
      </c>
      <c r="G7831">
        <f>(Cpi_[[#This Row],[Value]]-F7830)/F7830</f>
        <v>4.8225050234427247E-2</v>
      </c>
      <c r="H7831" t="e" cm="1" vm="1">
        <f t="array" aca="1" ref="H7831" ca="1">VLOOKUP(Cpi_[[#This Row],[Year]:[Month]],crudeoil[],3,FALSE)</f>
        <v>#VALUE!</v>
      </c>
    </row>
    <row r="7832" spans="1:10" hidden="1" x14ac:dyDescent="0.3">
      <c r="A7832" t="s">
        <v>34</v>
      </c>
      <c r="B7832">
        <v>2021</v>
      </c>
      <c r="C7832" t="s">
        <v>35</v>
      </c>
      <c r="D7832" t="s">
        <v>3</v>
      </c>
      <c r="E7832" t="e">
        <f>VLOOKUP(Cpi_[[#This Row],[Attribute]],#REF!,2,FALSE)</f>
        <v>#REF!</v>
      </c>
      <c r="F7832">
        <v>144.30000000000001</v>
      </c>
      <c r="G7832">
        <f>(Cpi_[[#This Row],[Value]]-F7831)/F7831</f>
        <v>-7.7955271565495129E-2</v>
      </c>
      <c r="H7832" t="e" cm="1" vm="1">
        <f t="array" aca="1" ref="H7832" ca="1">VLOOKUP(Cpi_[[#This Row],[Year]:[Month]],crudeoil[],3,FALSE)</f>
        <v>#VALUE!</v>
      </c>
    </row>
    <row r="7833" spans="1:10" x14ac:dyDescent="0.3">
      <c r="A7833" t="s">
        <v>34</v>
      </c>
      <c r="B7833">
        <v>2021</v>
      </c>
      <c r="C7833" t="s">
        <v>35</v>
      </c>
      <c r="D7833" t="s">
        <v>4</v>
      </c>
      <c r="E7833" t="e">
        <f>VLOOKUP(Cpi_[[#This Row],[Attribute]],#REF!,2,FALSE)</f>
        <v>#REF!</v>
      </c>
      <c r="F7833">
        <v>186.5</v>
      </c>
      <c r="G7833" s="42">
        <f>(Cpi_[[#This Row],[Value]]-F7832)/F7832</f>
        <v>0.29244629244629233</v>
      </c>
      <c r="H7833" t="str">
        <f>LEFT(Cpi_[[#This Row],[Month]],3)</f>
        <v>Feb</v>
      </c>
      <c r="I7833" t="str">
        <f>RIGHT(Cpi_[[#This Row],[Year]],2)</f>
        <v>21</v>
      </c>
      <c r="J7833" t="str">
        <f>Cpi_[[#This Row],[Column3]]&amp;"-"&amp;Cpi_[[#This Row],[Column4]]</f>
        <v>Feb-21</v>
      </c>
    </row>
    <row r="7834" spans="1:10" x14ac:dyDescent="0.3">
      <c r="A7834" t="s">
        <v>34</v>
      </c>
      <c r="B7834">
        <v>2021</v>
      </c>
      <c r="C7834" t="s">
        <v>35</v>
      </c>
      <c r="D7834" t="s">
        <v>5</v>
      </c>
      <c r="E7834" t="e">
        <f>VLOOKUP(Cpi_[[#This Row],[Attribute]],#REF!,2,FALSE)</f>
        <v>#REF!</v>
      </c>
      <c r="F7834">
        <v>168.7</v>
      </c>
      <c r="G7834" s="42">
        <f>(Cpi_[[#This Row],[Value]]-F7833)/F7833</f>
        <v>-9.5442359249329825E-2</v>
      </c>
      <c r="H7834" t="str">
        <f>LEFT(Cpi_[[#This Row],[Month]],3)</f>
        <v>Feb</v>
      </c>
      <c r="I7834" t="str">
        <f>RIGHT(Cpi_[[#This Row],[Year]],2)</f>
        <v>21</v>
      </c>
      <c r="J7834" t="str">
        <f>Cpi_[[#This Row],[Column3]]&amp;"-"&amp;Cpi_[[#This Row],[Column4]]</f>
        <v>Feb-21</v>
      </c>
    </row>
    <row r="7835" spans="1:10" x14ac:dyDescent="0.3">
      <c r="A7835" t="s">
        <v>34</v>
      </c>
      <c r="B7835">
        <v>2021</v>
      </c>
      <c r="C7835" t="s">
        <v>35</v>
      </c>
      <c r="D7835" t="s">
        <v>6</v>
      </c>
      <c r="E7835" t="e">
        <f>VLOOKUP(Cpi_[[#This Row],[Attribute]],#REF!,2,FALSE)</f>
        <v>#REF!</v>
      </c>
      <c r="F7835">
        <v>154.69999999999999</v>
      </c>
      <c r="G7835" s="42">
        <f>(Cpi_[[#This Row],[Value]]-F7834)/F7834</f>
        <v>-8.2987551867219927E-2</v>
      </c>
      <c r="H7835" t="str">
        <f>LEFT(Cpi_[[#This Row],[Month]],3)</f>
        <v>Feb</v>
      </c>
      <c r="I7835" t="str">
        <f>RIGHT(Cpi_[[#This Row],[Year]],2)</f>
        <v>21</v>
      </c>
      <c r="J7835" t="str">
        <f>Cpi_[[#This Row],[Column3]]&amp;"-"&amp;Cpi_[[#This Row],[Column4]]</f>
        <v>Feb-21</v>
      </c>
    </row>
    <row r="7836" spans="1:10" x14ac:dyDescent="0.3">
      <c r="A7836" t="s">
        <v>34</v>
      </c>
      <c r="B7836">
        <v>2021</v>
      </c>
      <c r="C7836" t="s">
        <v>35</v>
      </c>
      <c r="D7836" t="s">
        <v>7</v>
      </c>
      <c r="E7836" t="e">
        <f>VLOOKUP(Cpi_[[#This Row],[Attribute]],#REF!,2,FALSE)</f>
        <v>#REF!</v>
      </c>
      <c r="F7836">
        <v>158.69999999999999</v>
      </c>
      <c r="G7836" s="42">
        <f>(Cpi_[[#This Row],[Value]]-F7835)/F7835</f>
        <v>2.5856496444731741E-2</v>
      </c>
      <c r="H7836" t="str">
        <f>LEFT(Cpi_[[#This Row],[Month]],3)</f>
        <v>Feb</v>
      </c>
      <c r="I7836" t="str">
        <f>RIGHT(Cpi_[[#This Row],[Year]],2)</f>
        <v>21</v>
      </c>
      <c r="J7836" t="str">
        <f>Cpi_[[#This Row],[Column3]]&amp;"-"&amp;Cpi_[[#This Row],[Column4]]</f>
        <v>Feb-21</v>
      </c>
    </row>
    <row r="7837" spans="1:10" x14ac:dyDescent="0.3">
      <c r="A7837" t="s">
        <v>34</v>
      </c>
      <c r="B7837">
        <v>2021</v>
      </c>
      <c r="C7837" t="s">
        <v>35</v>
      </c>
      <c r="D7837" t="s">
        <v>8</v>
      </c>
      <c r="E7837" t="e">
        <f>VLOOKUP(Cpi_[[#This Row],[Attribute]],#REF!,2,FALSE)</f>
        <v>#REF!</v>
      </c>
      <c r="F7837">
        <v>150.69999999999999</v>
      </c>
      <c r="G7837" s="42">
        <f>(Cpi_[[#This Row],[Value]]-F7836)/F7836</f>
        <v>-5.0409577819785764E-2</v>
      </c>
      <c r="H7837" t="str">
        <f>LEFT(Cpi_[[#This Row],[Month]],3)</f>
        <v>Feb</v>
      </c>
      <c r="I7837" t="str">
        <f>RIGHT(Cpi_[[#This Row],[Year]],2)</f>
        <v>21</v>
      </c>
      <c r="J7837" t="str">
        <f>Cpi_[[#This Row],[Column3]]&amp;"-"&amp;Cpi_[[#This Row],[Column4]]</f>
        <v>Feb-21</v>
      </c>
    </row>
    <row r="7838" spans="1:10" x14ac:dyDescent="0.3">
      <c r="A7838" t="s">
        <v>34</v>
      </c>
      <c r="B7838">
        <v>2021</v>
      </c>
      <c r="C7838" t="s">
        <v>35</v>
      </c>
      <c r="D7838" t="s">
        <v>9</v>
      </c>
      <c r="E7838" t="e">
        <f>VLOOKUP(Cpi_[[#This Row],[Attribute]],#REF!,2,FALSE)</f>
        <v>#REF!</v>
      </c>
      <c r="F7838">
        <v>160</v>
      </c>
      <c r="G7838" s="42">
        <f>(Cpi_[[#This Row],[Value]]-F7837)/F7837</f>
        <v>6.1712010617120186E-2</v>
      </c>
      <c r="H7838" t="str">
        <f>LEFT(Cpi_[[#This Row],[Month]],3)</f>
        <v>Feb</v>
      </c>
      <c r="I7838" t="str">
        <f>RIGHT(Cpi_[[#This Row],[Year]],2)</f>
        <v>21</v>
      </c>
      <c r="J7838" t="str">
        <f>Cpi_[[#This Row],[Column3]]&amp;"-"&amp;Cpi_[[#This Row],[Column4]]</f>
        <v>Feb-21</v>
      </c>
    </row>
    <row r="7839" spans="1:10" x14ac:dyDescent="0.3">
      <c r="A7839" t="s">
        <v>34</v>
      </c>
      <c r="B7839">
        <v>2021</v>
      </c>
      <c r="C7839" t="s">
        <v>35</v>
      </c>
      <c r="D7839" t="s">
        <v>10</v>
      </c>
      <c r="E7839" t="e">
        <f>VLOOKUP(Cpi_[[#This Row],[Attribute]],#REF!,2,FALSE)</f>
        <v>#REF!</v>
      </c>
      <c r="F7839">
        <v>158.80000000000001</v>
      </c>
      <c r="G7839" s="42">
        <f>(Cpi_[[#This Row],[Value]]-F7838)/F7838</f>
        <v>-7.4999999999999286E-3</v>
      </c>
      <c r="H7839" t="str">
        <f>LEFT(Cpi_[[#This Row],[Month]],3)</f>
        <v>Feb</v>
      </c>
      <c r="I7839" t="str">
        <f>RIGHT(Cpi_[[#This Row],[Year]],2)</f>
        <v>21</v>
      </c>
      <c r="J7839" t="str">
        <f>Cpi_[[#This Row],[Column3]]&amp;"-"&amp;Cpi_[[#This Row],[Column4]]</f>
        <v>Feb-21</v>
      </c>
    </row>
    <row r="7840" spans="1:10" x14ac:dyDescent="0.3">
      <c r="A7840" t="s">
        <v>34</v>
      </c>
      <c r="B7840">
        <v>2021</v>
      </c>
      <c r="C7840" t="s">
        <v>35</v>
      </c>
      <c r="D7840" t="s">
        <v>11</v>
      </c>
      <c r="E7840" t="e">
        <f>VLOOKUP(Cpi_[[#This Row],[Attribute]],#REF!,2,FALSE)</f>
        <v>#REF!</v>
      </c>
      <c r="F7840">
        <v>112.8</v>
      </c>
      <c r="G7840" s="42">
        <f>(Cpi_[[#This Row],[Value]]-F7839)/F7839</f>
        <v>-0.28967254408060461</v>
      </c>
      <c r="H7840" t="str">
        <f>LEFT(Cpi_[[#This Row],[Month]],3)</f>
        <v>Feb</v>
      </c>
      <c r="I7840" t="str">
        <f>RIGHT(Cpi_[[#This Row],[Year]],2)</f>
        <v>21</v>
      </c>
      <c r="J7840" t="str">
        <f>Cpi_[[#This Row],[Column3]]&amp;"-"&amp;Cpi_[[#This Row],[Column4]]</f>
        <v>Feb-21</v>
      </c>
    </row>
    <row r="7841" spans="1:10" x14ac:dyDescent="0.3">
      <c r="A7841" t="s">
        <v>34</v>
      </c>
      <c r="B7841">
        <v>2021</v>
      </c>
      <c r="C7841" t="s">
        <v>35</v>
      </c>
      <c r="D7841" t="s">
        <v>12</v>
      </c>
      <c r="E7841" t="e">
        <f>VLOOKUP(Cpi_[[#This Row],[Attribute]],#REF!,2,FALSE)</f>
        <v>#REF!</v>
      </c>
      <c r="F7841">
        <v>164.2</v>
      </c>
      <c r="G7841" s="42">
        <f>(Cpi_[[#This Row],[Value]]-F7840)/F7840</f>
        <v>0.45567375886524814</v>
      </c>
      <c r="H7841" t="str">
        <f>LEFT(Cpi_[[#This Row],[Month]],3)</f>
        <v>Feb</v>
      </c>
      <c r="I7841" t="str">
        <f>RIGHT(Cpi_[[#This Row],[Year]],2)</f>
        <v>21</v>
      </c>
      <c r="J7841" t="str">
        <f>Cpi_[[#This Row],[Column3]]&amp;"-"&amp;Cpi_[[#This Row],[Column4]]</f>
        <v>Feb-21</v>
      </c>
    </row>
    <row r="7842" spans="1:10" x14ac:dyDescent="0.3">
      <c r="A7842" t="s">
        <v>34</v>
      </c>
      <c r="B7842">
        <v>2021</v>
      </c>
      <c r="C7842" t="s">
        <v>35</v>
      </c>
      <c r="D7842" t="s">
        <v>13</v>
      </c>
      <c r="E7842" t="e">
        <f>VLOOKUP(Cpi_[[#This Row],[Attribute]],#REF!,2,FALSE)</f>
        <v>#REF!</v>
      </c>
      <c r="F7842">
        <v>155.5</v>
      </c>
      <c r="G7842" s="42">
        <f>(Cpi_[[#This Row],[Value]]-F7841)/F7841</f>
        <v>-5.2984165651644273E-2</v>
      </c>
      <c r="H7842" t="str">
        <f>LEFT(Cpi_[[#This Row],[Month]],3)</f>
        <v>Feb</v>
      </c>
      <c r="I7842" t="str">
        <f>RIGHT(Cpi_[[#This Row],[Year]],2)</f>
        <v>21</v>
      </c>
      <c r="J7842" t="str">
        <f>Cpi_[[#This Row],[Column3]]&amp;"-"&amp;Cpi_[[#This Row],[Column4]]</f>
        <v>Feb-21</v>
      </c>
    </row>
    <row r="7843" spans="1:10" x14ac:dyDescent="0.3">
      <c r="A7843" t="s">
        <v>34</v>
      </c>
      <c r="B7843">
        <v>2021</v>
      </c>
      <c r="C7843" t="s">
        <v>35</v>
      </c>
      <c r="D7843" t="s">
        <v>14</v>
      </c>
      <c r="E7843" t="e">
        <f>VLOOKUP(Cpi_[[#This Row],[Attribute]],#REF!,2,FALSE)</f>
        <v>#REF!</v>
      </c>
      <c r="F7843">
        <v>167.5</v>
      </c>
      <c r="G7843" s="42">
        <f>(Cpi_[[#This Row],[Value]]-F7842)/F7842</f>
        <v>7.7170418006430874E-2</v>
      </c>
      <c r="H7843" t="str">
        <f>LEFT(Cpi_[[#This Row],[Month]],3)</f>
        <v>Feb</v>
      </c>
      <c r="I7843" t="str">
        <f>RIGHT(Cpi_[[#This Row],[Year]],2)</f>
        <v>21</v>
      </c>
      <c r="J7843" t="str">
        <f>Cpi_[[#This Row],[Column3]]&amp;"-"&amp;Cpi_[[#This Row],[Column4]]</f>
        <v>Feb-21</v>
      </c>
    </row>
    <row r="7844" spans="1:10" x14ac:dyDescent="0.3">
      <c r="A7844" t="s">
        <v>34</v>
      </c>
      <c r="B7844">
        <v>2021</v>
      </c>
      <c r="C7844" t="s">
        <v>35</v>
      </c>
      <c r="D7844" t="s">
        <v>15</v>
      </c>
      <c r="E7844" t="e">
        <f>VLOOKUP(Cpi_[[#This Row],[Attribute]],#REF!,2,FALSE)</f>
        <v>#REF!</v>
      </c>
      <c r="F7844">
        <v>156.9</v>
      </c>
      <c r="G7844" s="42">
        <f>(Cpi_[[#This Row],[Value]]-F7843)/F7843</f>
        <v>-6.3283582089552204E-2</v>
      </c>
      <c r="H7844" t="str">
        <f>LEFT(Cpi_[[#This Row],[Month]],3)</f>
        <v>Feb</v>
      </c>
      <c r="I7844" t="str">
        <f>RIGHT(Cpi_[[#This Row],[Year]],2)</f>
        <v>21</v>
      </c>
      <c r="J7844" t="str">
        <f>Cpi_[[#This Row],[Column3]]&amp;"-"&amp;Cpi_[[#This Row],[Column4]]</f>
        <v>Feb-21</v>
      </c>
    </row>
    <row r="7845" spans="1:10" hidden="1" x14ac:dyDescent="0.3">
      <c r="A7845" t="s">
        <v>34</v>
      </c>
      <c r="B7845">
        <v>2021</v>
      </c>
      <c r="C7845" t="s">
        <v>35</v>
      </c>
      <c r="D7845" t="s">
        <v>16</v>
      </c>
      <c r="E7845" t="e">
        <f>VLOOKUP(Cpi_[[#This Row],[Attribute]],#REF!,2,FALSE)</f>
        <v>#REF!</v>
      </c>
      <c r="F7845">
        <v>188.3</v>
      </c>
      <c r="G7845">
        <f>(Cpi_[[#This Row],[Value]]-F7844)/F7844</f>
        <v>0.20012746972594012</v>
      </c>
      <c r="H7845" t="e" cm="1" vm="1">
        <f t="array" aca="1" ref="H7845" ca="1">VLOOKUP(Cpi_[[#This Row],[Year]:[Month]],crudeoil[],3,FALSE)</f>
        <v>#VALUE!</v>
      </c>
    </row>
    <row r="7846" spans="1:10" hidden="1" x14ac:dyDescent="0.3">
      <c r="A7846" t="s">
        <v>34</v>
      </c>
      <c r="B7846">
        <v>2021</v>
      </c>
      <c r="C7846" t="s">
        <v>35</v>
      </c>
      <c r="D7846" t="s">
        <v>17</v>
      </c>
      <c r="E7846" t="e">
        <f>VLOOKUP(Cpi_[[#This Row],[Attribute]],#REF!,2,FALSE)</f>
        <v>#REF!</v>
      </c>
      <c r="F7846">
        <v>157.19999999999999</v>
      </c>
      <c r="G7846">
        <f>(Cpi_[[#This Row],[Value]]-F7845)/F7845</f>
        <v>-0.16516197557089762</v>
      </c>
      <c r="H7846" t="e" cm="1" vm="1">
        <f t="array" aca="1" ref="H7846" ca="1">VLOOKUP(Cpi_[[#This Row],[Year]:[Month]],crudeoil[],3,FALSE)</f>
        <v>#VALUE!</v>
      </c>
    </row>
    <row r="7847" spans="1:10" hidden="1" x14ac:dyDescent="0.3">
      <c r="A7847" t="s">
        <v>34</v>
      </c>
      <c r="B7847">
        <v>2021</v>
      </c>
      <c r="C7847" t="s">
        <v>35</v>
      </c>
      <c r="D7847" t="s">
        <v>18</v>
      </c>
      <c r="E7847" t="e">
        <f>VLOOKUP(Cpi_[[#This Row],[Attribute]],#REF!,2,FALSE)</f>
        <v>#REF!</v>
      </c>
      <c r="F7847">
        <v>147.4</v>
      </c>
      <c r="G7847">
        <f>(Cpi_[[#This Row],[Value]]-F7846)/F7846</f>
        <v>-6.2340966921119491E-2</v>
      </c>
      <c r="H7847" t="e" cm="1" vm="1">
        <f t="array" aca="1" ref="H7847" ca="1">VLOOKUP(Cpi_[[#This Row],[Year]:[Month]],crudeoil[],3,FALSE)</f>
        <v>#VALUE!</v>
      </c>
    </row>
    <row r="7848" spans="1:10" hidden="1" x14ac:dyDescent="0.3">
      <c r="A7848" t="s">
        <v>34</v>
      </c>
      <c r="B7848">
        <v>2021</v>
      </c>
      <c r="C7848" t="s">
        <v>35</v>
      </c>
      <c r="D7848" t="s">
        <v>19</v>
      </c>
      <c r="E7848" t="e">
        <f>VLOOKUP(Cpi_[[#This Row],[Attribute]],#REF!,2,FALSE)</f>
        <v>#REF!</v>
      </c>
      <c r="F7848">
        <v>155.80000000000001</v>
      </c>
      <c r="G7848">
        <f>(Cpi_[[#This Row],[Value]]-F7847)/F7847</f>
        <v>5.6987788331071952E-2</v>
      </c>
      <c r="H7848" t="e" cm="1" vm="1">
        <f t="array" aca="1" ref="H7848" ca="1">VLOOKUP(Cpi_[[#This Row],[Year]:[Month]],crudeoil[],3,FALSE)</f>
        <v>#VALUE!</v>
      </c>
    </row>
    <row r="7849" spans="1:10" hidden="1" x14ac:dyDescent="0.3">
      <c r="A7849" t="s">
        <v>34</v>
      </c>
      <c r="B7849">
        <v>2021</v>
      </c>
      <c r="C7849" t="s">
        <v>35</v>
      </c>
      <c r="D7849" t="s">
        <v>20</v>
      </c>
      <c r="E7849" t="e">
        <f>VLOOKUP(Cpi_[[#This Row],[Attribute]],#REF!,2,FALSE)</f>
        <v>#REF!</v>
      </c>
      <c r="F7849">
        <v>159.80000000000001</v>
      </c>
      <c r="G7849">
        <f>(Cpi_[[#This Row],[Value]]-F7848)/F7848</f>
        <v>2.5673940949935813E-2</v>
      </c>
      <c r="H7849" t="e" cm="1" vm="1">
        <f t="array" aca="1" ref="H7849" ca="1">VLOOKUP(Cpi_[[#This Row],[Year]:[Month]],crudeoil[],3,FALSE)</f>
        <v>#VALUE!</v>
      </c>
    </row>
    <row r="7850" spans="1:10" hidden="1" x14ac:dyDescent="0.3">
      <c r="A7850" t="s">
        <v>34</v>
      </c>
      <c r="B7850">
        <v>2021</v>
      </c>
      <c r="C7850" t="s">
        <v>35</v>
      </c>
      <c r="D7850" t="s">
        <v>21</v>
      </c>
      <c r="E7850" t="e">
        <f>VLOOKUP(Cpi_[[#This Row],[Attribute]],#REF!,2,FALSE)</f>
        <v>#REF!</v>
      </c>
      <c r="F7850">
        <v>152.4</v>
      </c>
      <c r="G7850">
        <f>(Cpi_[[#This Row],[Value]]-F7849)/F7849</f>
        <v>-4.6307884856070118E-2</v>
      </c>
      <c r="H7850" t="e" cm="1" vm="1">
        <f t="array" aca="1" ref="H7850" ca="1">VLOOKUP(Cpi_[[#This Row],[Year]:[Month]],crudeoil[],3,FALSE)</f>
        <v>#VALUE!</v>
      </c>
    </row>
    <row r="7851" spans="1:10" hidden="1" x14ac:dyDescent="0.3">
      <c r="A7851" t="s">
        <v>34</v>
      </c>
      <c r="B7851">
        <v>2021</v>
      </c>
      <c r="C7851" t="s">
        <v>35</v>
      </c>
      <c r="D7851" t="s">
        <v>22</v>
      </c>
      <c r="E7851" t="e">
        <f>VLOOKUP(Cpi_[[#This Row],[Attribute]],#REF!,2,FALSE)</f>
        <v>#REF!</v>
      </c>
      <c r="F7851">
        <v>150.9</v>
      </c>
      <c r="G7851">
        <f>(Cpi_[[#This Row],[Value]]-F7850)/F7850</f>
        <v>-9.8425196850393699E-3</v>
      </c>
      <c r="H7851" t="e" cm="1" vm="1">
        <f t="array" aca="1" ref="H7851" ca="1">VLOOKUP(Cpi_[[#This Row],[Year]:[Month]],crudeoil[],3,FALSE)</f>
        <v>#VALUE!</v>
      </c>
    </row>
    <row r="7852" spans="1:10" hidden="1" x14ac:dyDescent="0.3">
      <c r="A7852" t="s">
        <v>34</v>
      </c>
      <c r="B7852">
        <v>2021</v>
      </c>
      <c r="C7852" t="s">
        <v>35</v>
      </c>
      <c r="D7852" t="s">
        <v>23</v>
      </c>
      <c r="E7852" t="e">
        <f>VLOOKUP(Cpi_[[#This Row],[Attribute]],#REF!,2,FALSE)</f>
        <v>#REF!</v>
      </c>
      <c r="F7852">
        <v>161.30000000000001</v>
      </c>
      <c r="G7852">
        <f>(Cpi_[[#This Row],[Value]]-F7851)/F7851</f>
        <v>6.8919814446653446E-2</v>
      </c>
      <c r="H7852" t="e" cm="1" vm="1">
        <f t="array" aca="1" ref="H7852" ca="1">VLOOKUP(Cpi_[[#This Row],[Year]:[Month]],crudeoil[],3,FALSE)</f>
        <v>#VALUE!</v>
      </c>
    </row>
    <row r="7853" spans="1:10" hidden="1" x14ac:dyDescent="0.3">
      <c r="A7853" t="s">
        <v>34</v>
      </c>
      <c r="B7853">
        <v>2021</v>
      </c>
      <c r="C7853" t="s">
        <v>35</v>
      </c>
      <c r="D7853" t="s">
        <v>24</v>
      </c>
      <c r="E7853" t="e">
        <f>VLOOKUP(Cpi_[[#This Row],[Attribute]],#REF!,2,FALSE)</f>
        <v>#REF!</v>
      </c>
      <c r="F7853">
        <v>145.1</v>
      </c>
      <c r="G7853">
        <f>(Cpi_[[#This Row],[Value]]-F7852)/F7852</f>
        <v>-0.10043397396156241</v>
      </c>
      <c r="H7853" t="e" cm="1" vm="1">
        <f t="array" aca="1" ref="H7853" ca="1">VLOOKUP(Cpi_[[#This Row],[Year]:[Month]],crudeoil[],3,FALSE)</f>
        <v>#VALUE!</v>
      </c>
    </row>
    <row r="7854" spans="1:10" hidden="1" x14ac:dyDescent="0.3">
      <c r="A7854" t="s">
        <v>34</v>
      </c>
      <c r="B7854">
        <v>2021</v>
      </c>
      <c r="C7854" t="s">
        <v>35</v>
      </c>
      <c r="D7854" t="s">
        <v>25</v>
      </c>
      <c r="E7854" t="e">
        <f>VLOOKUP(Cpi_[[#This Row],[Attribute]],#REF!,2,FALSE)</f>
        <v>#REF!</v>
      </c>
      <c r="F7854">
        <v>151.5</v>
      </c>
      <c r="G7854">
        <f>(Cpi_[[#This Row],[Value]]-F7853)/F7853</f>
        <v>4.410751206064787E-2</v>
      </c>
      <c r="H7854" t="e" cm="1" vm="1">
        <f t="array" aca="1" ref="H7854" ca="1">VLOOKUP(Cpi_[[#This Row],[Year]:[Month]],crudeoil[],3,FALSE)</f>
        <v>#VALUE!</v>
      </c>
    </row>
    <row r="7855" spans="1:10" hidden="1" x14ac:dyDescent="0.3">
      <c r="A7855" t="s">
        <v>34</v>
      </c>
      <c r="B7855">
        <v>2021</v>
      </c>
      <c r="C7855" t="s">
        <v>35</v>
      </c>
      <c r="D7855" t="s">
        <v>26</v>
      </c>
      <c r="E7855" t="e">
        <f>VLOOKUP(Cpi_[[#This Row],[Attribute]],#REF!,2,FALSE)</f>
        <v>#REF!</v>
      </c>
      <c r="F7855">
        <v>159.5</v>
      </c>
      <c r="G7855">
        <f>(Cpi_[[#This Row],[Value]]-F7854)/F7854</f>
        <v>5.2805280528052806E-2</v>
      </c>
      <c r="H7855" t="e" cm="1" vm="1">
        <f t="array" aca="1" ref="H7855" ca="1">VLOOKUP(Cpi_[[#This Row],[Year]:[Month]],crudeoil[],3,FALSE)</f>
        <v>#VALUE!</v>
      </c>
    </row>
    <row r="7856" spans="1:10" hidden="1" x14ac:dyDescent="0.3">
      <c r="A7856" t="s">
        <v>34</v>
      </c>
      <c r="B7856">
        <v>2021</v>
      </c>
      <c r="C7856" t="s">
        <v>35</v>
      </c>
      <c r="D7856" t="s">
        <v>27</v>
      </c>
      <c r="E7856" t="e">
        <f>VLOOKUP(Cpi_[[#This Row],[Attribute]],#REF!,2,FALSE)</f>
        <v>#REF!</v>
      </c>
      <c r="F7856">
        <v>155.80000000000001</v>
      </c>
      <c r="G7856">
        <f>(Cpi_[[#This Row],[Value]]-F7855)/F7855</f>
        <v>-2.3197492163009332E-2</v>
      </c>
      <c r="H7856" t="e" cm="1" vm="1">
        <f t="array" aca="1" ref="H7856" ca="1">VLOOKUP(Cpi_[[#This Row],[Year]:[Month]],crudeoil[],3,FALSE)</f>
        <v>#VALUE!</v>
      </c>
    </row>
    <row r="7857" spans="1:8" hidden="1" x14ac:dyDescent="0.3">
      <c r="A7857" t="s">
        <v>34</v>
      </c>
      <c r="B7857">
        <v>2021</v>
      </c>
      <c r="C7857" t="s">
        <v>35</v>
      </c>
      <c r="D7857" t="s">
        <v>28</v>
      </c>
      <c r="E7857" t="e">
        <f>VLOOKUP(Cpi_[[#This Row],[Attribute]],#REF!,2,FALSE)</f>
        <v>#REF!</v>
      </c>
      <c r="F7857">
        <v>153.4</v>
      </c>
      <c r="G7857">
        <f>(Cpi_[[#This Row],[Value]]-F7856)/F7856</f>
        <v>-1.5404364569961524E-2</v>
      </c>
      <c r="H7857" t="e" cm="1" vm="1">
        <f t="array" aca="1" ref="H7857" ca="1">VLOOKUP(Cpi_[[#This Row],[Year]:[Month]],crudeoil[],3,FALSE)</f>
        <v>#VALUE!</v>
      </c>
    </row>
    <row r="7858" spans="1:8" hidden="1" x14ac:dyDescent="0.3">
      <c r="A7858" t="s">
        <v>34</v>
      </c>
      <c r="B7858">
        <v>2021</v>
      </c>
      <c r="C7858" t="s">
        <v>35</v>
      </c>
      <c r="D7858" t="s">
        <v>29</v>
      </c>
      <c r="E7858" t="e" cm="1">
        <f t="array" aca="1" ref="E7858" ca="1">VLGeneral indexGeneral indexKUP(Cpi_[[#This Row],[Attribute]],#REF!,2,FALSE)</f>
        <v>#NAME?</v>
      </c>
      <c r="F7858">
        <v>156.6</v>
      </c>
      <c r="G7858">
        <f>(Cpi_[[#This Row],[Value]]-F7857)/F7857</f>
        <v>2.086049543676655E-2</v>
      </c>
      <c r="H7858" t="e" cm="1" vm="1">
        <f t="array" aca="1" ref="H7858" ca="1">VLOOKUP(Cpi_[[#This Row],[Year]:[Month]],crudeoil[],3,FALSE)</f>
        <v>#VALUE!</v>
      </c>
    </row>
    <row r="7859" spans="1:8" hidden="1" x14ac:dyDescent="0.3">
      <c r="A7859" t="s">
        <v>30</v>
      </c>
      <c r="B7859">
        <v>2021</v>
      </c>
      <c r="C7859" t="s">
        <v>36</v>
      </c>
      <c r="D7859" t="s">
        <v>3</v>
      </c>
      <c r="E7859" t="e">
        <f>VLOOKUP(Cpi_[[#This Row],[Attribute]],#REF!,2,FALSE)</f>
        <v>#REF!</v>
      </c>
      <c r="F7859">
        <v>142.5</v>
      </c>
      <c r="G7859">
        <f>(Cpi_[[#This Row],[Value]]-F7858)/F7858</f>
        <v>-9.0038314176245179E-2</v>
      </c>
      <c r="H7859" t="e" cm="1" vm="1">
        <f t="array" aca="1" ref="H7859" ca="1">VLOOKUP(Cpi_[[#This Row],[Year]:[Month]],crudeoil[],3,FALSE)</f>
        <v>#VALUE!</v>
      </c>
    </row>
    <row r="7860" spans="1:8" hidden="1" x14ac:dyDescent="0.3">
      <c r="A7860" t="s">
        <v>30</v>
      </c>
      <c r="B7860">
        <v>2021</v>
      </c>
      <c r="C7860" t="s">
        <v>36</v>
      </c>
      <c r="D7860" t="s">
        <v>4</v>
      </c>
      <c r="E7860" t="e">
        <f>VLOOKUP(Cpi_[[#This Row],[Attribute]],#REF!,2,FALSE)</f>
        <v>#REF!</v>
      </c>
      <c r="F7860">
        <v>189.4</v>
      </c>
      <c r="G7860">
        <f>(Cpi_[[#This Row],[Value]]-F7859)/F7859</f>
        <v>0.32912280701754387</v>
      </c>
      <c r="H7860" t="e" cm="1" vm="1">
        <f t="array" aca="1" ref="H7860" ca="1">VLOOKUP(Cpi_[[#This Row],[Year]:[Month]],crudeoil[],3,FALSE)</f>
        <v>#VALUE!</v>
      </c>
    </row>
    <row r="7861" spans="1:8" hidden="1" x14ac:dyDescent="0.3">
      <c r="A7861" t="s">
        <v>30</v>
      </c>
      <c r="B7861">
        <v>2021</v>
      </c>
      <c r="C7861" t="s">
        <v>36</v>
      </c>
      <c r="D7861" t="s">
        <v>5</v>
      </c>
      <c r="E7861" t="e">
        <f>VLOOKUP(Cpi_[[#This Row],[Attribute]],#REF!,2,FALSE)</f>
        <v>#REF!</v>
      </c>
      <c r="F7861">
        <v>163.19999999999999</v>
      </c>
      <c r="G7861">
        <f>(Cpi_[[#This Row],[Value]]-F7860)/F7860</f>
        <v>-0.13833157338965163</v>
      </c>
      <c r="H7861" t="e" cm="1" vm="1">
        <f t="array" aca="1" ref="H7861" ca="1">VLOOKUP(Cpi_[[#This Row],[Year]:[Month]],crudeoil[],3,FALSE)</f>
        <v>#VALUE!</v>
      </c>
    </row>
    <row r="7862" spans="1:8" hidden="1" x14ac:dyDescent="0.3">
      <c r="A7862" t="s">
        <v>30</v>
      </c>
      <c r="B7862">
        <v>2021</v>
      </c>
      <c r="C7862" t="s">
        <v>36</v>
      </c>
      <c r="D7862" t="s">
        <v>6</v>
      </c>
      <c r="E7862" t="e">
        <f>VLOOKUP(Cpi_[[#This Row],[Attribute]],#REF!,2,FALSE)</f>
        <v>#REF!</v>
      </c>
      <c r="F7862">
        <v>154.5</v>
      </c>
      <c r="G7862">
        <f>(Cpi_[[#This Row],[Value]]-F7861)/F7861</f>
        <v>-5.33088235294117E-2</v>
      </c>
      <c r="H7862" t="e" cm="1" vm="1">
        <f t="array" aca="1" ref="H7862" ca="1">VLOOKUP(Cpi_[[#This Row],[Year]:[Month]],crudeoil[],3,FALSE)</f>
        <v>#VALUE!</v>
      </c>
    </row>
    <row r="7863" spans="1:8" hidden="1" x14ac:dyDescent="0.3">
      <c r="A7863" t="s">
        <v>30</v>
      </c>
      <c r="B7863">
        <v>2021</v>
      </c>
      <c r="C7863" t="s">
        <v>36</v>
      </c>
      <c r="D7863" t="s">
        <v>7</v>
      </c>
      <c r="E7863" t="e">
        <f>VLOOKUP(Cpi_[[#This Row],[Attribute]],#REF!,2,FALSE)</f>
        <v>#REF!</v>
      </c>
      <c r="F7863">
        <v>168.2</v>
      </c>
      <c r="G7863">
        <f>(Cpi_[[#This Row],[Value]]-F7862)/F7862</f>
        <v>8.8673139158575984E-2</v>
      </c>
      <c r="H7863" t="e" cm="1" vm="1">
        <f t="array" aca="1" ref="H7863" ca="1">VLOOKUP(Cpi_[[#This Row],[Year]:[Month]],crudeoil[],3,FALSE)</f>
        <v>#VALUE!</v>
      </c>
    </row>
    <row r="7864" spans="1:8" hidden="1" x14ac:dyDescent="0.3">
      <c r="A7864" t="s">
        <v>30</v>
      </c>
      <c r="B7864">
        <v>2021</v>
      </c>
      <c r="C7864" t="s">
        <v>36</v>
      </c>
      <c r="D7864" t="s">
        <v>8</v>
      </c>
      <c r="E7864" t="e">
        <f>VLOOKUP(Cpi_[[#This Row],[Attribute]],#REF!,2,FALSE)</f>
        <v>#REF!</v>
      </c>
      <c r="F7864">
        <v>150.5</v>
      </c>
      <c r="G7864">
        <f>(Cpi_[[#This Row],[Value]]-F7863)/F7863</f>
        <v>-0.10523186682520802</v>
      </c>
      <c r="H7864" t="e" cm="1" vm="1">
        <f t="array" aca="1" ref="H7864" ca="1">VLOOKUP(Cpi_[[#This Row],[Year]:[Month]],crudeoil[],3,FALSE)</f>
        <v>#VALUE!</v>
      </c>
    </row>
    <row r="7865" spans="1:8" hidden="1" x14ac:dyDescent="0.3">
      <c r="A7865" t="s">
        <v>30</v>
      </c>
      <c r="B7865">
        <v>2021</v>
      </c>
      <c r="C7865" t="s">
        <v>36</v>
      </c>
      <c r="D7865" t="s">
        <v>9</v>
      </c>
      <c r="E7865" t="e">
        <f>VLOOKUP(Cpi_[[#This Row],[Attribute]],#REF!,2,FALSE)</f>
        <v>#REF!</v>
      </c>
      <c r="F7865">
        <v>141</v>
      </c>
      <c r="G7865">
        <f>(Cpi_[[#This Row],[Value]]-F7864)/F7864</f>
        <v>-6.3122923588039864E-2</v>
      </c>
      <c r="H7865" t="e" cm="1" vm="1">
        <f t="array" aca="1" ref="H7865" ca="1">VLOOKUP(Cpi_[[#This Row],[Year]:[Month]],crudeoil[],3,FALSE)</f>
        <v>#VALUE!</v>
      </c>
    </row>
    <row r="7866" spans="1:8" hidden="1" x14ac:dyDescent="0.3">
      <c r="A7866" t="s">
        <v>30</v>
      </c>
      <c r="B7866">
        <v>2021</v>
      </c>
      <c r="C7866" t="s">
        <v>36</v>
      </c>
      <c r="D7866" t="s">
        <v>10</v>
      </c>
      <c r="E7866" t="e">
        <f>VLOOKUP(Cpi_[[#This Row],[Attribute]],#REF!,2,FALSE)</f>
        <v>#REF!</v>
      </c>
      <c r="F7866">
        <v>159.19999999999999</v>
      </c>
      <c r="G7866">
        <f>(Cpi_[[#This Row],[Value]]-F7865)/F7865</f>
        <v>0.12907801418439707</v>
      </c>
      <c r="H7866" t="e" cm="1" vm="1">
        <f t="array" aca="1" ref="H7866" ca="1">VLOOKUP(Cpi_[[#This Row],[Year]:[Month]],crudeoil[],3,FALSE)</f>
        <v>#VALUE!</v>
      </c>
    </row>
    <row r="7867" spans="1:8" hidden="1" x14ac:dyDescent="0.3">
      <c r="A7867" t="s">
        <v>30</v>
      </c>
      <c r="B7867">
        <v>2021</v>
      </c>
      <c r="C7867" t="s">
        <v>36</v>
      </c>
      <c r="D7867" t="s">
        <v>11</v>
      </c>
      <c r="E7867" t="e">
        <f>VLOOKUP(Cpi_[[#This Row],[Attribute]],#REF!,2,FALSE)</f>
        <v>#REF!</v>
      </c>
      <c r="F7867">
        <v>111.7</v>
      </c>
      <c r="G7867">
        <f>(Cpi_[[#This Row],[Value]]-F7866)/F7866</f>
        <v>-0.29836683417085419</v>
      </c>
      <c r="H7867" t="e" cm="1" vm="1">
        <f t="array" aca="1" ref="H7867" ca="1">VLOOKUP(Cpi_[[#This Row],[Year]:[Month]],crudeoil[],3,FALSE)</f>
        <v>#VALUE!</v>
      </c>
    </row>
    <row r="7868" spans="1:8" hidden="1" x14ac:dyDescent="0.3">
      <c r="A7868" t="s">
        <v>30</v>
      </c>
      <c r="B7868">
        <v>2021</v>
      </c>
      <c r="C7868" t="s">
        <v>36</v>
      </c>
      <c r="D7868" t="s">
        <v>12</v>
      </c>
      <c r="E7868" t="e">
        <f>VLOOKUP(Cpi_[[#This Row],[Attribute]],#REF!,2,FALSE)</f>
        <v>#REF!</v>
      </c>
      <c r="F7868">
        <v>164</v>
      </c>
      <c r="G7868">
        <f>(Cpi_[[#This Row],[Value]]-F7867)/F7867</f>
        <v>0.46821844225604292</v>
      </c>
      <c r="H7868" t="e" cm="1" vm="1">
        <f t="array" aca="1" ref="H7868" ca="1">VLOOKUP(Cpi_[[#This Row],[Year]:[Month]],crudeoil[],3,FALSE)</f>
        <v>#VALUE!</v>
      </c>
    </row>
    <row r="7869" spans="1:8" hidden="1" x14ac:dyDescent="0.3">
      <c r="A7869" t="s">
        <v>30</v>
      </c>
      <c r="B7869">
        <v>2021</v>
      </c>
      <c r="C7869" t="s">
        <v>36</v>
      </c>
      <c r="D7869" t="s">
        <v>13</v>
      </c>
      <c r="E7869" t="e">
        <f>VLOOKUP(Cpi_[[#This Row],[Attribute]],#REF!,2,FALSE)</f>
        <v>#REF!</v>
      </c>
      <c r="F7869">
        <v>160.6</v>
      </c>
      <c r="G7869">
        <f>(Cpi_[[#This Row],[Value]]-F7868)/F7868</f>
        <v>-2.0731707317073206E-2</v>
      </c>
      <c r="H7869" t="e" cm="1" vm="1">
        <f t="array" aca="1" ref="H7869" ca="1">VLOOKUP(Cpi_[[#This Row],[Year]:[Month]],crudeoil[],3,FALSE)</f>
        <v>#VALUE!</v>
      </c>
    </row>
    <row r="7870" spans="1:8" hidden="1" x14ac:dyDescent="0.3">
      <c r="A7870" t="s">
        <v>30</v>
      </c>
      <c r="B7870">
        <v>2021</v>
      </c>
      <c r="C7870" t="s">
        <v>36</v>
      </c>
      <c r="D7870" t="s">
        <v>14</v>
      </c>
      <c r="E7870" t="e">
        <f>VLOOKUP(Cpi_[[#This Row],[Attribute]],#REF!,2,FALSE)</f>
        <v>#REF!</v>
      </c>
      <c r="F7870">
        <v>166.4</v>
      </c>
      <c r="G7870">
        <f>(Cpi_[[#This Row],[Value]]-F7869)/F7869</f>
        <v>3.6114570361145779E-2</v>
      </c>
      <c r="H7870" t="e" cm="1" vm="1">
        <f t="array" aca="1" ref="H7870" ca="1">VLOOKUP(Cpi_[[#This Row],[Year]:[Month]],crudeoil[],3,FALSE)</f>
        <v>#VALUE!</v>
      </c>
    </row>
    <row r="7871" spans="1:8" hidden="1" x14ac:dyDescent="0.3">
      <c r="A7871" t="s">
        <v>30</v>
      </c>
      <c r="B7871">
        <v>2021</v>
      </c>
      <c r="C7871" t="s">
        <v>36</v>
      </c>
      <c r="D7871" t="s">
        <v>15</v>
      </c>
      <c r="E7871" t="e">
        <f>VLOOKUP(Cpi_[[#This Row],[Attribute]],#REF!,2,FALSE)</f>
        <v>#REF!</v>
      </c>
      <c r="F7871">
        <v>154.5</v>
      </c>
      <c r="G7871">
        <f>(Cpi_[[#This Row],[Value]]-F7870)/F7870</f>
        <v>-7.1514423076923114E-2</v>
      </c>
      <c r="H7871" t="e" cm="1" vm="1">
        <f t="array" aca="1" ref="H7871" ca="1">VLOOKUP(Cpi_[[#This Row],[Year]:[Month]],crudeoil[],3,FALSE)</f>
        <v>#VALUE!</v>
      </c>
    </row>
    <row r="7872" spans="1:8" hidden="1" x14ac:dyDescent="0.3">
      <c r="A7872" t="s">
        <v>30</v>
      </c>
      <c r="B7872">
        <v>2021</v>
      </c>
      <c r="C7872" t="s">
        <v>36</v>
      </c>
      <c r="D7872" t="s">
        <v>16</v>
      </c>
      <c r="E7872" t="e">
        <f>VLOOKUP(Cpi_[[#This Row],[Attribute]],#REF!,2,FALSE)</f>
        <v>#REF!</v>
      </c>
      <c r="F7872">
        <v>186.1</v>
      </c>
      <c r="G7872">
        <f>(Cpi_[[#This Row],[Value]]-F7871)/F7871</f>
        <v>0.20453074433656954</v>
      </c>
      <c r="H7872" t="e" cm="1" vm="1">
        <f t="array" aca="1" ref="H7872" ca="1">VLOOKUP(Cpi_[[#This Row],[Year]:[Month]],crudeoil[],3,FALSE)</f>
        <v>#VALUE!</v>
      </c>
    </row>
    <row r="7873" spans="1:8" hidden="1" x14ac:dyDescent="0.3">
      <c r="A7873" t="s">
        <v>30</v>
      </c>
      <c r="B7873">
        <v>2021</v>
      </c>
      <c r="C7873" t="s">
        <v>36</v>
      </c>
      <c r="D7873" t="s">
        <v>17</v>
      </c>
      <c r="E7873" t="e">
        <f>VLOOKUP(Cpi_[[#This Row],[Attribute]],#REF!,2,FALSE)</f>
        <v>#REF!</v>
      </c>
      <c r="F7873">
        <v>159.6</v>
      </c>
      <c r="G7873">
        <f>(Cpi_[[#This Row],[Value]]-F7872)/F7872</f>
        <v>-0.14239656098871575</v>
      </c>
      <c r="H7873" t="e" cm="1" vm="1">
        <f t="array" aca="1" ref="H7873" ca="1">VLOOKUP(Cpi_[[#This Row],[Year]:[Month]],crudeoil[],3,FALSE)</f>
        <v>#VALUE!</v>
      </c>
    </row>
    <row r="7874" spans="1:8" hidden="1" x14ac:dyDescent="0.3">
      <c r="A7874" t="s">
        <v>30</v>
      </c>
      <c r="B7874">
        <v>2021</v>
      </c>
      <c r="C7874" t="s">
        <v>36</v>
      </c>
      <c r="D7874" t="s">
        <v>18</v>
      </c>
      <c r="E7874" t="e">
        <f>VLOOKUP(Cpi_[[#This Row],[Attribute]],#REF!,2,FALSE)</f>
        <v>#REF!</v>
      </c>
      <c r="F7874">
        <v>154.4</v>
      </c>
      <c r="G7874">
        <f>(Cpi_[[#This Row],[Value]]-F7873)/F7873</f>
        <v>-3.2581453634085142E-2</v>
      </c>
      <c r="H7874" t="e" cm="1" vm="1">
        <f t="array" aca="1" ref="H7874" ca="1">VLOOKUP(Cpi_[[#This Row],[Year]:[Month]],crudeoil[],3,FALSE)</f>
        <v>#VALUE!</v>
      </c>
    </row>
    <row r="7875" spans="1:8" hidden="1" x14ac:dyDescent="0.3">
      <c r="A7875" t="s">
        <v>30</v>
      </c>
      <c r="B7875">
        <v>2021</v>
      </c>
      <c r="C7875" t="s">
        <v>36</v>
      </c>
      <c r="D7875" t="s">
        <v>19</v>
      </c>
      <c r="E7875" t="e">
        <f>VLOOKUP(Cpi_[[#This Row],[Attribute]],#REF!,2,FALSE)</f>
        <v>#REF!</v>
      </c>
      <c r="F7875">
        <v>158.9</v>
      </c>
      <c r="G7875">
        <f>(Cpi_[[#This Row],[Value]]-F7874)/F7874</f>
        <v>2.9145077720207253E-2</v>
      </c>
      <c r="H7875" t="e" cm="1" vm="1">
        <f t="array" aca="1" ref="H7875" ca="1">VLOOKUP(Cpi_[[#This Row],[Year]:[Month]],crudeoil[],3,FALSE)</f>
        <v>#VALUE!</v>
      </c>
    </row>
    <row r="7876" spans="1:8" hidden="1" x14ac:dyDescent="0.3">
      <c r="A7876" t="s">
        <v>30</v>
      </c>
      <c r="B7876">
        <v>2021</v>
      </c>
      <c r="C7876" t="s">
        <v>36</v>
      </c>
      <c r="D7876" t="s">
        <v>20</v>
      </c>
      <c r="E7876" t="e">
        <f>VLOOKUP(Cpi_[[#This Row],[Attribute]],#REF!,2,FALSE)</f>
        <v>#REF!</v>
      </c>
      <c r="F7876" t="s">
        <v>48</v>
      </c>
      <c r="G7876" t="e">
        <f>(Cpi_[[#This Row],[Value]]-F7875)/F7875</f>
        <v>#VALUE!</v>
      </c>
      <c r="H7876" t="e" cm="1" vm="1">
        <f t="array" aca="1" ref="H7876" ca="1">VLOOKUP(Cpi_[[#This Row],[Year]:[Month]],crudeoil[],3,FALSE)</f>
        <v>#VALUE!</v>
      </c>
    </row>
    <row r="7877" spans="1:8" hidden="1" x14ac:dyDescent="0.3">
      <c r="A7877" t="s">
        <v>30</v>
      </c>
      <c r="B7877">
        <v>2021</v>
      </c>
      <c r="C7877" t="s">
        <v>36</v>
      </c>
      <c r="D7877" t="s">
        <v>21</v>
      </c>
      <c r="E7877" t="e">
        <f>VLOOKUP(Cpi_[[#This Row],[Attribute]],#REF!,2,FALSE)</f>
        <v>#REF!</v>
      </c>
      <c r="F7877">
        <v>156</v>
      </c>
      <c r="G7877" t="e">
        <f>(Cpi_[[#This Row],[Value]]-F7876)/F7876</f>
        <v>#VALUE!</v>
      </c>
      <c r="H7877" t="e" cm="1" vm="1">
        <f t="array" aca="1" ref="H7877" ca="1">VLOOKUP(Cpi_[[#This Row],[Year]:[Month]],crudeoil[],3,FALSE)</f>
        <v>#VALUE!</v>
      </c>
    </row>
    <row r="7878" spans="1:8" hidden="1" x14ac:dyDescent="0.3">
      <c r="A7878" t="s">
        <v>30</v>
      </c>
      <c r="B7878">
        <v>2021</v>
      </c>
      <c r="C7878" t="s">
        <v>36</v>
      </c>
      <c r="D7878" t="s">
        <v>22</v>
      </c>
      <c r="E7878" t="e">
        <f>VLOOKUP(Cpi_[[#This Row],[Attribute]],#REF!,2,FALSE)</f>
        <v>#REF!</v>
      </c>
      <c r="F7878">
        <v>154.80000000000001</v>
      </c>
      <c r="G7878">
        <f>(Cpi_[[#This Row],[Value]]-F7877)/F7877</f>
        <v>-7.692307692307619E-3</v>
      </c>
      <c r="H7878" t="e" cm="1" vm="1">
        <f t="array" aca="1" ref="H7878" ca="1">VLOOKUP(Cpi_[[#This Row],[Year]:[Month]],crudeoil[],3,FALSE)</f>
        <v>#VALUE!</v>
      </c>
    </row>
    <row r="7879" spans="1:8" hidden="1" x14ac:dyDescent="0.3">
      <c r="A7879" t="s">
        <v>30</v>
      </c>
      <c r="B7879">
        <v>2021</v>
      </c>
      <c r="C7879" t="s">
        <v>36</v>
      </c>
      <c r="D7879" t="s">
        <v>23</v>
      </c>
      <c r="E7879" t="e">
        <f>VLOOKUP(Cpi_[[#This Row],[Attribute]],#REF!,2,FALSE)</f>
        <v>#REF!</v>
      </c>
      <c r="F7879">
        <v>164.6</v>
      </c>
      <c r="G7879">
        <f>(Cpi_[[#This Row],[Value]]-F7878)/F7878</f>
        <v>6.3307493540051565E-2</v>
      </c>
      <c r="H7879" t="e" cm="1" vm="1">
        <f t="array" aca="1" ref="H7879" ca="1">VLOOKUP(Cpi_[[#This Row],[Year]:[Month]],crudeoil[],3,FALSE)</f>
        <v>#VALUE!</v>
      </c>
    </row>
    <row r="7880" spans="1:8" hidden="1" x14ac:dyDescent="0.3">
      <c r="A7880" t="s">
        <v>30</v>
      </c>
      <c r="B7880">
        <v>2021</v>
      </c>
      <c r="C7880" t="s">
        <v>36</v>
      </c>
      <c r="D7880" t="s">
        <v>24</v>
      </c>
      <c r="E7880" t="e">
        <f>VLOOKUP(Cpi_[[#This Row],[Attribute]],#REF!,2,FALSE)</f>
        <v>#REF!</v>
      </c>
      <c r="F7880">
        <v>151.30000000000001</v>
      </c>
      <c r="G7880">
        <f>(Cpi_[[#This Row],[Value]]-F7879)/F7879</f>
        <v>-8.0801944106925774E-2</v>
      </c>
      <c r="H7880" t="e" cm="1" vm="1">
        <f t="array" aca="1" ref="H7880" ca="1">VLOOKUP(Cpi_[[#This Row],[Year]:[Month]],crudeoil[],3,FALSE)</f>
        <v>#VALUE!</v>
      </c>
    </row>
    <row r="7881" spans="1:8" hidden="1" x14ac:dyDescent="0.3">
      <c r="A7881" t="s">
        <v>30</v>
      </c>
      <c r="B7881">
        <v>2021</v>
      </c>
      <c r="C7881" t="s">
        <v>36</v>
      </c>
      <c r="D7881" t="s">
        <v>25</v>
      </c>
      <c r="E7881" t="e">
        <f>VLOOKUP(Cpi_[[#This Row],[Attribute]],#REF!,2,FALSE)</f>
        <v>#REF!</v>
      </c>
      <c r="F7881">
        <v>157.80000000000001</v>
      </c>
      <c r="G7881">
        <f>(Cpi_[[#This Row],[Value]]-F7880)/F7880</f>
        <v>4.2961004626569724E-2</v>
      </c>
      <c r="H7881" t="e" cm="1" vm="1">
        <f t="array" aca="1" ref="H7881" ca="1">VLOOKUP(Cpi_[[#This Row],[Year]:[Month]],crudeoil[],3,FALSE)</f>
        <v>#VALUE!</v>
      </c>
    </row>
    <row r="7882" spans="1:8" hidden="1" x14ac:dyDescent="0.3">
      <c r="A7882" t="s">
        <v>30</v>
      </c>
      <c r="B7882">
        <v>2021</v>
      </c>
      <c r="C7882" t="s">
        <v>36</v>
      </c>
      <c r="D7882" t="s">
        <v>26</v>
      </c>
      <c r="E7882" t="e">
        <f>VLOOKUP(Cpi_[[#This Row],[Attribute]],#REF!,2,FALSE)</f>
        <v>#REF!</v>
      </c>
      <c r="F7882">
        <v>163.80000000000001</v>
      </c>
      <c r="G7882">
        <f>(Cpi_[[#This Row],[Value]]-F7881)/F7881</f>
        <v>3.8022813688212927E-2</v>
      </c>
      <c r="H7882" t="e" cm="1" vm="1">
        <f t="array" aca="1" ref="H7882" ca="1">VLOOKUP(Cpi_[[#This Row],[Year]:[Month]],crudeoil[],3,FALSE)</f>
        <v>#VALUE!</v>
      </c>
    </row>
    <row r="7883" spans="1:8" hidden="1" x14ac:dyDescent="0.3">
      <c r="A7883" t="s">
        <v>30</v>
      </c>
      <c r="B7883">
        <v>2021</v>
      </c>
      <c r="C7883" t="s">
        <v>36</v>
      </c>
      <c r="D7883" t="s">
        <v>27</v>
      </c>
      <c r="E7883" t="e">
        <f>VLOOKUP(Cpi_[[#This Row],[Attribute]],#REF!,2,FALSE)</f>
        <v>#REF!</v>
      </c>
      <c r="F7883">
        <v>153.1</v>
      </c>
      <c r="G7883">
        <f>(Cpi_[[#This Row],[Value]]-F7882)/F7882</f>
        <v>-6.5323565323565425E-2</v>
      </c>
      <c r="H7883" t="e" cm="1" vm="1">
        <f t="array" aca="1" ref="H7883" ca="1">VLOOKUP(Cpi_[[#This Row],[Year]:[Month]],crudeoil[],3,FALSE)</f>
        <v>#VALUE!</v>
      </c>
    </row>
    <row r="7884" spans="1:8" hidden="1" x14ac:dyDescent="0.3">
      <c r="A7884" t="s">
        <v>30</v>
      </c>
      <c r="B7884">
        <v>2021</v>
      </c>
      <c r="C7884" t="s">
        <v>36</v>
      </c>
      <c r="D7884" t="s">
        <v>28</v>
      </c>
      <c r="E7884" t="e">
        <f>VLOOKUP(Cpi_[[#This Row],[Attribute]],#REF!,2,FALSE)</f>
        <v>#REF!</v>
      </c>
      <c r="F7884">
        <v>157.30000000000001</v>
      </c>
      <c r="G7884">
        <f>(Cpi_[[#This Row],[Value]]-F7883)/F7883</f>
        <v>2.7433050293925652E-2</v>
      </c>
      <c r="H7884" t="e" cm="1" vm="1">
        <f t="array" aca="1" ref="H7884" ca="1">VLOOKUP(Cpi_[[#This Row],[Year]:[Month]],crudeoil[],3,FALSE)</f>
        <v>#VALUE!</v>
      </c>
    </row>
    <row r="7885" spans="1:8" hidden="1" x14ac:dyDescent="0.3">
      <c r="A7885" t="s">
        <v>30</v>
      </c>
      <c r="B7885">
        <v>2021</v>
      </c>
      <c r="C7885" t="s">
        <v>36</v>
      </c>
      <c r="D7885" t="s">
        <v>29</v>
      </c>
      <c r="E7885" t="e" cm="1">
        <f t="array" aca="1" ref="E7885" ca="1">VLGeneral indexGeneral indexKUP(Cpi_[[#This Row],[Attribute]],#REF!,2,FALSE)</f>
        <v>#NAME?</v>
      </c>
      <c r="F7885">
        <v>156.69999999999999</v>
      </c>
      <c r="G7885">
        <f>(Cpi_[[#This Row],[Value]]-F7884)/F7884</f>
        <v>-3.8143674507312313E-3</v>
      </c>
      <c r="H7885" t="e" cm="1" vm="1">
        <f t="array" aca="1" ref="H7885" ca="1">VLOOKUP(Cpi_[[#This Row],[Year]:[Month]],crudeoil[],3,FALSE)</f>
        <v>#VALUE!</v>
      </c>
    </row>
    <row r="7886" spans="1:8" hidden="1" x14ac:dyDescent="0.3">
      <c r="A7886" t="s">
        <v>33</v>
      </c>
      <c r="B7886">
        <v>2021</v>
      </c>
      <c r="C7886" t="s">
        <v>36</v>
      </c>
      <c r="D7886" t="s">
        <v>3</v>
      </c>
      <c r="E7886" t="e">
        <f>VLOOKUP(Cpi_[[#This Row],[Attribute]],#REF!,2,FALSE)</f>
        <v>#REF!</v>
      </c>
      <c r="F7886">
        <v>147.5</v>
      </c>
      <c r="G7886">
        <f>(Cpi_[[#This Row],[Value]]-F7885)/F7885</f>
        <v>-5.8710912571793165E-2</v>
      </c>
      <c r="H7886" t="e" cm="1" vm="1">
        <f t="array" aca="1" ref="H7886" ca="1">VLOOKUP(Cpi_[[#This Row],[Year]:[Month]],crudeoil[],3,FALSE)</f>
        <v>#VALUE!</v>
      </c>
    </row>
    <row r="7887" spans="1:8" hidden="1" x14ac:dyDescent="0.3">
      <c r="A7887" t="s">
        <v>33</v>
      </c>
      <c r="B7887">
        <v>2021</v>
      </c>
      <c r="C7887" t="s">
        <v>36</v>
      </c>
      <c r="D7887" t="s">
        <v>4</v>
      </c>
      <c r="E7887" t="e">
        <f>VLOOKUP(Cpi_[[#This Row],[Attribute]],#REF!,2,FALSE)</f>
        <v>#REF!</v>
      </c>
      <c r="F7887">
        <v>197.5</v>
      </c>
      <c r="G7887">
        <f>(Cpi_[[#This Row],[Value]]-F7886)/F7886</f>
        <v>0.33898305084745761</v>
      </c>
      <c r="H7887" t="e" cm="1" vm="1">
        <f t="array" aca="1" ref="H7887" ca="1">VLOOKUP(Cpi_[[#This Row],[Year]:[Month]],crudeoil[],3,FALSE)</f>
        <v>#VALUE!</v>
      </c>
    </row>
    <row r="7888" spans="1:8" hidden="1" x14ac:dyDescent="0.3">
      <c r="A7888" t="s">
        <v>33</v>
      </c>
      <c r="B7888">
        <v>2021</v>
      </c>
      <c r="C7888" t="s">
        <v>36</v>
      </c>
      <c r="D7888" t="s">
        <v>5</v>
      </c>
      <c r="E7888" t="e">
        <f>VLOOKUP(Cpi_[[#This Row],[Attribute]],#REF!,2,FALSE)</f>
        <v>#REF!</v>
      </c>
      <c r="F7888">
        <v>164.7</v>
      </c>
      <c r="G7888">
        <f>(Cpi_[[#This Row],[Value]]-F7887)/F7887</f>
        <v>-0.16607594936708867</v>
      </c>
      <c r="H7888" t="e" cm="1" vm="1">
        <f t="array" aca="1" ref="H7888" ca="1">VLOOKUP(Cpi_[[#This Row],[Year]:[Month]],crudeoil[],3,FALSE)</f>
        <v>#VALUE!</v>
      </c>
    </row>
    <row r="7889" spans="1:8" hidden="1" x14ac:dyDescent="0.3">
      <c r="A7889" t="s">
        <v>33</v>
      </c>
      <c r="B7889">
        <v>2021</v>
      </c>
      <c r="C7889" t="s">
        <v>36</v>
      </c>
      <c r="D7889" t="s">
        <v>6</v>
      </c>
      <c r="E7889" t="e">
        <f>VLOOKUP(Cpi_[[#This Row],[Attribute]],#REF!,2,FALSE)</f>
        <v>#REF!</v>
      </c>
      <c r="F7889">
        <v>155.6</v>
      </c>
      <c r="G7889">
        <f>(Cpi_[[#This Row],[Value]]-F7888)/F7888</f>
        <v>-5.5251973284760142E-2</v>
      </c>
      <c r="H7889" t="e" cm="1" vm="1">
        <f t="array" aca="1" ref="H7889" ca="1">VLOOKUP(Cpi_[[#This Row],[Year]:[Month]],crudeoil[],3,FALSE)</f>
        <v>#VALUE!</v>
      </c>
    </row>
    <row r="7890" spans="1:8" hidden="1" x14ac:dyDescent="0.3">
      <c r="A7890" t="s">
        <v>33</v>
      </c>
      <c r="B7890">
        <v>2021</v>
      </c>
      <c r="C7890" t="s">
        <v>36</v>
      </c>
      <c r="D7890" t="s">
        <v>7</v>
      </c>
      <c r="E7890" t="e">
        <f>VLOOKUP(Cpi_[[#This Row],[Attribute]],#REF!,2,FALSE)</f>
        <v>#REF!</v>
      </c>
      <c r="F7890">
        <v>156.4</v>
      </c>
      <c r="G7890">
        <f>(Cpi_[[#This Row],[Value]]-F7889)/F7889</f>
        <v>5.1413881748072713E-3</v>
      </c>
      <c r="H7890" t="e" cm="1" vm="1">
        <f t="array" aca="1" ref="H7890" ca="1">VLOOKUP(Cpi_[[#This Row],[Year]:[Month]],crudeoil[],3,FALSE)</f>
        <v>#VALUE!</v>
      </c>
    </row>
    <row r="7891" spans="1:8" hidden="1" x14ac:dyDescent="0.3">
      <c r="A7891" t="s">
        <v>33</v>
      </c>
      <c r="B7891">
        <v>2021</v>
      </c>
      <c r="C7891" t="s">
        <v>36</v>
      </c>
      <c r="D7891" t="s">
        <v>8</v>
      </c>
      <c r="E7891" t="e">
        <f>VLOOKUP(Cpi_[[#This Row],[Attribute]],#REF!,2,FALSE)</f>
        <v>#REF!</v>
      </c>
      <c r="F7891">
        <v>157.30000000000001</v>
      </c>
      <c r="G7891">
        <f>(Cpi_[[#This Row],[Value]]-F7890)/F7890</f>
        <v>5.7544757033248439E-3</v>
      </c>
      <c r="H7891" t="e" cm="1" vm="1">
        <f t="array" aca="1" ref="H7891" ca="1">VLOOKUP(Cpi_[[#This Row],[Year]:[Month]],crudeoil[],3,FALSE)</f>
        <v>#VALUE!</v>
      </c>
    </row>
    <row r="7892" spans="1:8" hidden="1" x14ac:dyDescent="0.3">
      <c r="A7892" t="s">
        <v>33</v>
      </c>
      <c r="B7892">
        <v>2021</v>
      </c>
      <c r="C7892" t="s">
        <v>36</v>
      </c>
      <c r="D7892" t="s">
        <v>9</v>
      </c>
      <c r="E7892" t="e">
        <f>VLOOKUP(Cpi_[[#This Row],[Attribute]],#REF!,2,FALSE)</f>
        <v>#REF!</v>
      </c>
      <c r="F7892">
        <v>166.1</v>
      </c>
      <c r="G7892">
        <f>(Cpi_[[#This Row],[Value]]-F7891)/F7891</f>
        <v>5.5944055944055833E-2</v>
      </c>
      <c r="H7892" t="e" cm="1" vm="1">
        <f t="array" aca="1" ref="H7892" ca="1">VLOOKUP(Cpi_[[#This Row],[Year]:[Month]],crudeoil[],3,FALSE)</f>
        <v>#VALUE!</v>
      </c>
    </row>
    <row r="7893" spans="1:8" hidden="1" x14ac:dyDescent="0.3">
      <c r="A7893" t="s">
        <v>33</v>
      </c>
      <c r="B7893">
        <v>2021</v>
      </c>
      <c r="C7893" t="s">
        <v>36</v>
      </c>
      <c r="D7893" t="s">
        <v>10</v>
      </c>
      <c r="E7893" t="e">
        <f>VLOOKUP(Cpi_[[#This Row],[Attribute]],#REF!,2,FALSE)</f>
        <v>#REF!</v>
      </c>
      <c r="F7893">
        <v>161.1</v>
      </c>
      <c r="G7893">
        <f>(Cpi_[[#This Row],[Value]]-F7892)/F7892</f>
        <v>-3.0102347983142687E-2</v>
      </c>
      <c r="H7893" t="e" cm="1" vm="1">
        <f t="array" aca="1" ref="H7893" ca="1">VLOOKUP(Cpi_[[#This Row],[Year]:[Month]],crudeoil[],3,FALSE)</f>
        <v>#VALUE!</v>
      </c>
    </row>
    <row r="7894" spans="1:8" hidden="1" x14ac:dyDescent="0.3">
      <c r="A7894" t="s">
        <v>33</v>
      </c>
      <c r="B7894">
        <v>2021</v>
      </c>
      <c r="C7894" t="s">
        <v>36</v>
      </c>
      <c r="D7894" t="s">
        <v>11</v>
      </c>
      <c r="E7894" t="e">
        <f>VLOOKUP(Cpi_[[#This Row],[Attribute]],#REF!,2,FALSE)</f>
        <v>#REF!</v>
      </c>
      <c r="F7894">
        <v>114.3</v>
      </c>
      <c r="G7894">
        <f>(Cpi_[[#This Row],[Value]]-F7893)/F7893</f>
        <v>-0.29050279329608936</v>
      </c>
      <c r="H7894" t="e" cm="1" vm="1">
        <f t="array" aca="1" ref="H7894" ca="1">VLOOKUP(Cpi_[[#This Row],[Year]:[Month]],crudeoil[],3,FALSE)</f>
        <v>#VALUE!</v>
      </c>
    </row>
    <row r="7895" spans="1:8" hidden="1" x14ac:dyDescent="0.3">
      <c r="A7895" t="s">
        <v>33</v>
      </c>
      <c r="B7895">
        <v>2021</v>
      </c>
      <c r="C7895" t="s">
        <v>36</v>
      </c>
      <c r="D7895" t="s">
        <v>12</v>
      </c>
      <c r="E7895" t="e">
        <f>VLOOKUP(Cpi_[[#This Row],[Attribute]],#REF!,2,FALSE)</f>
        <v>#REF!</v>
      </c>
      <c r="F7895">
        <v>162.6</v>
      </c>
      <c r="G7895">
        <f>(Cpi_[[#This Row],[Value]]-F7894)/F7894</f>
        <v>0.4225721784776903</v>
      </c>
      <c r="H7895" t="e" cm="1" vm="1">
        <f t="array" aca="1" ref="H7895" ca="1">VLOOKUP(Cpi_[[#This Row],[Year]:[Month]],crudeoil[],3,FALSE)</f>
        <v>#VALUE!</v>
      </c>
    </row>
    <row r="7896" spans="1:8" hidden="1" x14ac:dyDescent="0.3">
      <c r="A7896" t="s">
        <v>33</v>
      </c>
      <c r="B7896">
        <v>2021</v>
      </c>
      <c r="C7896" t="s">
        <v>36</v>
      </c>
      <c r="D7896" t="s">
        <v>13</v>
      </c>
      <c r="E7896" t="e">
        <f>VLOOKUP(Cpi_[[#This Row],[Attribute]],#REF!,2,FALSE)</f>
        <v>#REF!</v>
      </c>
      <c r="F7896">
        <v>150.69999999999999</v>
      </c>
      <c r="G7896">
        <f>(Cpi_[[#This Row],[Value]]-F7895)/F7895</f>
        <v>-7.3185731857318609E-2</v>
      </c>
      <c r="H7896" t="e" cm="1" vm="1">
        <f t="array" aca="1" ref="H7896" ca="1">VLOOKUP(Cpi_[[#This Row],[Year]:[Month]],crudeoil[],3,FALSE)</f>
        <v>#VALUE!</v>
      </c>
    </row>
    <row r="7897" spans="1:8" hidden="1" x14ac:dyDescent="0.3">
      <c r="A7897" t="s">
        <v>33</v>
      </c>
      <c r="B7897">
        <v>2021</v>
      </c>
      <c r="C7897" t="s">
        <v>36</v>
      </c>
      <c r="D7897" t="s">
        <v>14</v>
      </c>
      <c r="E7897" t="e">
        <f>VLOOKUP(Cpi_[[#This Row],[Attribute]],#REF!,2,FALSE)</f>
        <v>#REF!</v>
      </c>
      <c r="F7897">
        <v>170.3</v>
      </c>
      <c r="G7897">
        <f>(Cpi_[[#This Row],[Value]]-F7896)/F7896</f>
        <v>0.13005972130059737</v>
      </c>
      <c r="H7897" t="e" cm="1" vm="1">
        <f t="array" aca="1" ref="H7897" ca="1">VLOOKUP(Cpi_[[#This Row],[Year]:[Month]],crudeoil[],3,FALSE)</f>
        <v>#VALUE!</v>
      </c>
    </row>
    <row r="7898" spans="1:8" hidden="1" x14ac:dyDescent="0.3">
      <c r="A7898" t="s">
        <v>33</v>
      </c>
      <c r="B7898">
        <v>2021</v>
      </c>
      <c r="C7898" t="s">
        <v>36</v>
      </c>
      <c r="D7898" t="s">
        <v>15</v>
      </c>
      <c r="E7898" t="e">
        <f>VLOOKUP(Cpi_[[#This Row],[Attribute]],#REF!,2,FALSE)</f>
        <v>#REF!</v>
      </c>
      <c r="F7898">
        <v>160.4</v>
      </c>
      <c r="G7898">
        <f>(Cpi_[[#This Row],[Value]]-F7897)/F7897</f>
        <v>-5.8132706987668849E-2</v>
      </c>
      <c r="H7898" t="e" cm="1" vm="1">
        <f t="array" aca="1" ref="H7898" ca="1">VLOOKUP(Cpi_[[#This Row],[Year]:[Month]],crudeoil[],3,FALSE)</f>
        <v>#VALUE!</v>
      </c>
    </row>
    <row r="7899" spans="1:8" hidden="1" x14ac:dyDescent="0.3">
      <c r="A7899" t="s">
        <v>33</v>
      </c>
      <c r="B7899">
        <v>2021</v>
      </c>
      <c r="C7899" t="s">
        <v>36</v>
      </c>
      <c r="D7899" t="s">
        <v>16</v>
      </c>
      <c r="E7899" t="e">
        <f>VLOOKUP(Cpi_[[#This Row],[Attribute]],#REF!,2,FALSE)</f>
        <v>#REF!</v>
      </c>
      <c r="F7899">
        <v>193.5</v>
      </c>
      <c r="G7899">
        <f>(Cpi_[[#This Row],[Value]]-F7898)/F7898</f>
        <v>0.206359102244389</v>
      </c>
      <c r="H7899" t="e" cm="1" vm="1">
        <f t="array" aca="1" ref="H7899" ca="1">VLOOKUP(Cpi_[[#This Row],[Year]:[Month]],crudeoil[],3,FALSE)</f>
        <v>#VALUE!</v>
      </c>
    </row>
    <row r="7900" spans="1:8" hidden="1" x14ac:dyDescent="0.3">
      <c r="A7900" t="s">
        <v>33</v>
      </c>
      <c r="B7900">
        <v>2021</v>
      </c>
      <c r="C7900" t="s">
        <v>36</v>
      </c>
      <c r="D7900" t="s">
        <v>17</v>
      </c>
      <c r="E7900" t="e">
        <f>VLOOKUP(Cpi_[[#This Row],[Attribute]],#REF!,2,FALSE)</f>
        <v>#REF!</v>
      </c>
      <c r="F7900">
        <v>155.1</v>
      </c>
      <c r="G7900">
        <f>(Cpi_[[#This Row],[Value]]-F7899)/F7899</f>
        <v>-0.1984496124031008</v>
      </c>
      <c r="H7900" t="e" cm="1" vm="1">
        <f t="array" aca="1" ref="H7900" ca="1">VLOOKUP(Cpi_[[#This Row],[Year]:[Month]],crudeoil[],3,FALSE)</f>
        <v>#VALUE!</v>
      </c>
    </row>
    <row r="7901" spans="1:8" hidden="1" x14ac:dyDescent="0.3">
      <c r="A7901" t="s">
        <v>33</v>
      </c>
      <c r="B7901">
        <v>2021</v>
      </c>
      <c r="C7901" t="s">
        <v>36</v>
      </c>
      <c r="D7901" t="s">
        <v>18</v>
      </c>
      <c r="E7901" t="e">
        <f>VLOOKUP(Cpi_[[#This Row],[Attribute]],#REF!,2,FALSE)</f>
        <v>#REF!</v>
      </c>
      <c r="F7901">
        <v>138.69999999999999</v>
      </c>
      <c r="G7901">
        <f>(Cpi_[[#This Row],[Value]]-F7900)/F7900</f>
        <v>-0.10573823339780791</v>
      </c>
      <c r="H7901" t="e" cm="1" vm="1">
        <f t="array" aca="1" ref="H7901" ca="1">VLOOKUP(Cpi_[[#This Row],[Year]:[Month]],crudeoil[],3,FALSE)</f>
        <v>#VALUE!</v>
      </c>
    </row>
    <row r="7902" spans="1:8" hidden="1" x14ac:dyDescent="0.3">
      <c r="A7902" t="s">
        <v>33</v>
      </c>
      <c r="B7902">
        <v>2021</v>
      </c>
      <c r="C7902" t="s">
        <v>36</v>
      </c>
      <c r="D7902" t="s">
        <v>19</v>
      </c>
      <c r="E7902" t="e">
        <f>VLOOKUP(Cpi_[[#This Row],[Attribute]],#REF!,2,FALSE)</f>
        <v>#REF!</v>
      </c>
      <c r="F7902">
        <v>152.6</v>
      </c>
      <c r="G7902">
        <f>(Cpi_[[#This Row],[Value]]-F7901)/F7901</f>
        <v>0.10021629416005773</v>
      </c>
      <c r="H7902" t="e" cm="1" vm="1">
        <f t="array" aca="1" ref="H7902" ca="1">VLOOKUP(Cpi_[[#This Row],[Year]:[Month]],crudeoil[],3,FALSE)</f>
        <v>#VALUE!</v>
      </c>
    </row>
    <row r="7903" spans="1:8" hidden="1" x14ac:dyDescent="0.3">
      <c r="A7903" t="s">
        <v>33</v>
      </c>
      <c r="B7903">
        <v>2021</v>
      </c>
      <c r="C7903" t="s">
        <v>36</v>
      </c>
      <c r="D7903" t="s">
        <v>20</v>
      </c>
      <c r="E7903" t="e">
        <f>VLOOKUP(Cpi_[[#This Row],[Attribute]],#REF!,2,FALSE)</f>
        <v>#REF!</v>
      </c>
      <c r="F7903">
        <v>159.9</v>
      </c>
      <c r="G7903">
        <f>(Cpi_[[#This Row],[Value]]-F7902)/F7902</f>
        <v>4.7837483617300204E-2</v>
      </c>
      <c r="H7903" t="e" cm="1" vm="1">
        <f t="array" aca="1" ref="H7903" ca="1">VLOOKUP(Cpi_[[#This Row],[Year]:[Month]],crudeoil[],3,FALSE)</f>
        <v>#VALUE!</v>
      </c>
    </row>
    <row r="7904" spans="1:8" hidden="1" x14ac:dyDescent="0.3">
      <c r="A7904" t="s">
        <v>33</v>
      </c>
      <c r="B7904">
        <v>2021</v>
      </c>
      <c r="C7904" t="s">
        <v>36</v>
      </c>
      <c r="D7904" t="s">
        <v>21</v>
      </c>
      <c r="E7904" t="e">
        <f>VLOOKUP(Cpi_[[#This Row],[Attribute]],#REF!,2,FALSE)</f>
        <v>#REF!</v>
      </c>
      <c r="F7904">
        <v>154.80000000000001</v>
      </c>
      <c r="G7904">
        <f>(Cpi_[[#This Row],[Value]]-F7903)/F7903</f>
        <v>-3.1894934333958687E-2</v>
      </c>
      <c r="H7904" t="e" cm="1" vm="1">
        <f t="array" aca="1" ref="H7904" ca="1">VLOOKUP(Cpi_[[#This Row],[Year]:[Month]],crudeoil[],3,FALSE)</f>
        <v>#VALUE!</v>
      </c>
    </row>
    <row r="7905" spans="1:10" hidden="1" x14ac:dyDescent="0.3">
      <c r="A7905" t="s">
        <v>33</v>
      </c>
      <c r="B7905">
        <v>2021</v>
      </c>
      <c r="C7905" t="s">
        <v>36</v>
      </c>
      <c r="D7905" t="s">
        <v>22</v>
      </c>
      <c r="E7905" t="e">
        <f>VLOOKUP(Cpi_[[#This Row],[Attribute]],#REF!,2,FALSE)</f>
        <v>#REF!</v>
      </c>
      <c r="F7905">
        <v>147.19999999999999</v>
      </c>
      <c r="G7905">
        <f>(Cpi_[[#This Row],[Value]]-F7904)/F7904</f>
        <v>-4.9095607235142259E-2</v>
      </c>
      <c r="H7905" t="e" cm="1" vm="1">
        <f t="array" aca="1" ref="H7905" ca="1">VLOOKUP(Cpi_[[#This Row],[Year]:[Month]],crudeoil[],3,FALSE)</f>
        <v>#VALUE!</v>
      </c>
    </row>
    <row r="7906" spans="1:10" hidden="1" x14ac:dyDescent="0.3">
      <c r="A7906" t="s">
        <v>33</v>
      </c>
      <c r="B7906">
        <v>2021</v>
      </c>
      <c r="C7906" t="s">
        <v>36</v>
      </c>
      <c r="D7906" t="s">
        <v>23</v>
      </c>
      <c r="E7906" t="e">
        <f>VLOOKUP(Cpi_[[#This Row],[Attribute]],#REF!,2,FALSE)</f>
        <v>#REF!</v>
      </c>
      <c r="F7906">
        <v>156.9</v>
      </c>
      <c r="G7906">
        <f>(Cpi_[[#This Row],[Value]]-F7905)/F7905</f>
        <v>6.5896739130434909E-2</v>
      </c>
      <c r="H7906" t="e" cm="1" vm="1">
        <f t="array" aca="1" ref="H7906" ca="1">VLOOKUP(Cpi_[[#This Row],[Year]:[Month]],crudeoil[],3,FALSE)</f>
        <v>#VALUE!</v>
      </c>
    </row>
    <row r="7907" spans="1:10" hidden="1" x14ac:dyDescent="0.3">
      <c r="A7907" t="s">
        <v>33</v>
      </c>
      <c r="B7907">
        <v>2021</v>
      </c>
      <c r="C7907" t="s">
        <v>36</v>
      </c>
      <c r="D7907" t="s">
        <v>24</v>
      </c>
      <c r="E7907" t="e">
        <f>VLOOKUP(Cpi_[[#This Row],[Attribute]],#REF!,2,FALSE)</f>
        <v>#REF!</v>
      </c>
      <c r="F7907">
        <v>141.69999999999999</v>
      </c>
      <c r="G7907">
        <f>(Cpi_[[#This Row],[Value]]-F7906)/F7906</f>
        <v>-9.6876991714467925E-2</v>
      </c>
      <c r="H7907" t="e" cm="1" vm="1">
        <f t="array" aca="1" ref="H7907" ca="1">VLOOKUP(Cpi_[[#This Row],[Year]:[Month]],crudeoil[],3,FALSE)</f>
        <v>#VALUE!</v>
      </c>
    </row>
    <row r="7908" spans="1:10" hidden="1" x14ac:dyDescent="0.3">
      <c r="A7908" t="s">
        <v>33</v>
      </c>
      <c r="B7908">
        <v>2021</v>
      </c>
      <c r="C7908" t="s">
        <v>36</v>
      </c>
      <c r="D7908" t="s">
        <v>25</v>
      </c>
      <c r="E7908" t="e">
        <f>VLOOKUP(Cpi_[[#This Row],[Attribute]],#REF!,2,FALSE)</f>
        <v>#REF!</v>
      </c>
      <c r="F7908">
        <v>148.6</v>
      </c>
      <c r="G7908">
        <f>(Cpi_[[#This Row],[Value]]-F7907)/F7907</f>
        <v>4.8694424841213876E-2</v>
      </c>
      <c r="H7908" t="e" cm="1" vm="1">
        <f t="array" aca="1" ref="H7908" ca="1">VLOOKUP(Cpi_[[#This Row],[Year]:[Month]],crudeoil[],3,FALSE)</f>
        <v>#VALUE!</v>
      </c>
    </row>
    <row r="7909" spans="1:10" hidden="1" x14ac:dyDescent="0.3">
      <c r="A7909" t="s">
        <v>33</v>
      </c>
      <c r="B7909">
        <v>2021</v>
      </c>
      <c r="C7909" t="s">
        <v>36</v>
      </c>
      <c r="D7909" t="s">
        <v>26</v>
      </c>
      <c r="E7909" t="e">
        <f>VLOOKUP(Cpi_[[#This Row],[Attribute]],#REF!,2,FALSE)</f>
        <v>#REF!</v>
      </c>
      <c r="F7909">
        <v>157.6</v>
      </c>
      <c r="G7909">
        <f>(Cpi_[[#This Row],[Value]]-F7908)/F7908</f>
        <v>6.0565275908479141E-2</v>
      </c>
      <c r="H7909" t="e" cm="1" vm="1">
        <f t="array" aca="1" ref="H7909" ca="1">VLOOKUP(Cpi_[[#This Row],[Year]:[Month]],crudeoil[],3,FALSE)</f>
        <v>#VALUE!</v>
      </c>
    </row>
    <row r="7910" spans="1:10" hidden="1" x14ac:dyDescent="0.3">
      <c r="A7910" t="s">
        <v>33</v>
      </c>
      <c r="B7910">
        <v>2021</v>
      </c>
      <c r="C7910" t="s">
        <v>36</v>
      </c>
      <c r="D7910" t="s">
        <v>27</v>
      </c>
      <c r="E7910" t="e">
        <f>VLOOKUP(Cpi_[[#This Row],[Attribute]],#REF!,2,FALSE)</f>
        <v>#REF!</v>
      </c>
      <c r="F7910">
        <v>154.9</v>
      </c>
      <c r="G7910">
        <f>(Cpi_[[#This Row],[Value]]-F7909)/F7909</f>
        <v>-1.7131979695431402E-2</v>
      </c>
      <c r="H7910" t="e" cm="1" vm="1">
        <f t="array" aca="1" ref="H7910" ca="1">VLOOKUP(Cpi_[[#This Row],[Year]:[Month]],crudeoil[],3,FALSE)</f>
        <v>#VALUE!</v>
      </c>
    </row>
    <row r="7911" spans="1:10" hidden="1" x14ac:dyDescent="0.3">
      <c r="A7911" t="s">
        <v>33</v>
      </c>
      <c r="B7911">
        <v>2021</v>
      </c>
      <c r="C7911" t="s">
        <v>36</v>
      </c>
      <c r="D7911" t="s">
        <v>28</v>
      </c>
      <c r="E7911" t="e">
        <f>VLOOKUP(Cpi_[[#This Row],[Attribute]],#REF!,2,FALSE)</f>
        <v>#REF!</v>
      </c>
      <c r="F7911">
        <v>150</v>
      </c>
      <c r="G7911">
        <f>(Cpi_[[#This Row],[Value]]-F7910)/F7910</f>
        <v>-3.1633311814073632E-2</v>
      </c>
      <c r="H7911" t="e" cm="1" vm="1">
        <f t="array" aca="1" ref="H7911" ca="1">VLOOKUP(Cpi_[[#This Row],[Year]:[Month]],crudeoil[],3,FALSE)</f>
        <v>#VALUE!</v>
      </c>
    </row>
    <row r="7912" spans="1:10" hidden="1" x14ac:dyDescent="0.3">
      <c r="A7912" t="s">
        <v>33</v>
      </c>
      <c r="B7912">
        <v>2021</v>
      </c>
      <c r="C7912" t="s">
        <v>36</v>
      </c>
      <c r="D7912" t="s">
        <v>29</v>
      </c>
      <c r="E7912" t="e" cm="1">
        <f t="array" aca="1" ref="E7912" ca="1">VLGeneral indexGeneral indexKUP(Cpi_[[#This Row],[Attribute]],#REF!,2,FALSE)</f>
        <v>#NAME?</v>
      </c>
      <c r="F7912">
        <v>156.9</v>
      </c>
      <c r="G7912">
        <f>(Cpi_[[#This Row],[Value]]-F7911)/F7911</f>
        <v>4.6000000000000041E-2</v>
      </c>
      <c r="H7912" t="e" cm="1" vm="1">
        <f t="array" aca="1" ref="H7912" ca="1">VLOOKUP(Cpi_[[#This Row],[Year]:[Month]],crudeoil[],3,FALSE)</f>
        <v>#VALUE!</v>
      </c>
    </row>
    <row r="7913" spans="1:10" hidden="1" x14ac:dyDescent="0.3">
      <c r="A7913" t="s">
        <v>34</v>
      </c>
      <c r="B7913">
        <v>2021</v>
      </c>
      <c r="C7913" t="s">
        <v>36</v>
      </c>
      <c r="D7913" t="s">
        <v>3</v>
      </c>
      <c r="E7913" t="e">
        <f>VLOOKUP(Cpi_[[#This Row],[Attribute]],#REF!,2,FALSE)</f>
        <v>#REF!</v>
      </c>
      <c r="F7913">
        <v>144.1</v>
      </c>
      <c r="G7913">
        <f>(Cpi_[[#This Row],[Value]]-F7912)/F7912</f>
        <v>-8.1580624601657173E-2</v>
      </c>
      <c r="H7913" t="e" cm="1" vm="1">
        <f t="array" aca="1" ref="H7913" ca="1">VLOOKUP(Cpi_[[#This Row],[Year]:[Month]],crudeoil[],3,FALSE)</f>
        <v>#VALUE!</v>
      </c>
    </row>
    <row r="7914" spans="1:10" x14ac:dyDescent="0.3">
      <c r="A7914" t="s">
        <v>34</v>
      </c>
      <c r="B7914">
        <v>2021</v>
      </c>
      <c r="C7914" t="s">
        <v>36</v>
      </c>
      <c r="D7914" t="s">
        <v>4</v>
      </c>
      <c r="E7914" t="e">
        <f>VLOOKUP(Cpi_[[#This Row],[Attribute]],#REF!,2,FALSE)</f>
        <v>#REF!</v>
      </c>
      <c r="F7914">
        <v>192.2</v>
      </c>
      <c r="G7914" s="42">
        <f>(Cpi_[[#This Row],[Value]]-F7913)/F7913</f>
        <v>0.33379597501734903</v>
      </c>
      <c r="H7914" t="str">
        <f>LEFT(Cpi_[[#This Row],[Month]],3)</f>
        <v>Mar</v>
      </c>
      <c r="I7914" t="str">
        <f>RIGHT(Cpi_[[#This Row],[Year]],2)</f>
        <v>21</v>
      </c>
      <c r="J7914" t="str">
        <f>Cpi_[[#This Row],[Column3]]&amp;"-"&amp;Cpi_[[#This Row],[Column4]]</f>
        <v>Mar-21</v>
      </c>
    </row>
    <row r="7915" spans="1:10" x14ac:dyDescent="0.3">
      <c r="A7915" t="s">
        <v>34</v>
      </c>
      <c r="B7915">
        <v>2021</v>
      </c>
      <c r="C7915" t="s">
        <v>36</v>
      </c>
      <c r="D7915" t="s">
        <v>5</v>
      </c>
      <c r="E7915" t="e">
        <f>VLOOKUP(Cpi_[[#This Row],[Attribute]],#REF!,2,FALSE)</f>
        <v>#REF!</v>
      </c>
      <c r="F7915">
        <v>163.80000000000001</v>
      </c>
      <c r="G7915" s="42">
        <f>(Cpi_[[#This Row],[Value]]-F7914)/F7914</f>
        <v>-0.1477627471383974</v>
      </c>
      <c r="H7915" t="str">
        <f>LEFT(Cpi_[[#This Row],[Month]],3)</f>
        <v>Mar</v>
      </c>
      <c r="I7915" t="str">
        <f>RIGHT(Cpi_[[#This Row],[Year]],2)</f>
        <v>21</v>
      </c>
      <c r="J7915" t="str">
        <f>Cpi_[[#This Row],[Column3]]&amp;"-"&amp;Cpi_[[#This Row],[Column4]]</f>
        <v>Mar-21</v>
      </c>
    </row>
    <row r="7916" spans="1:10" x14ac:dyDescent="0.3">
      <c r="A7916" t="s">
        <v>34</v>
      </c>
      <c r="B7916">
        <v>2021</v>
      </c>
      <c r="C7916" t="s">
        <v>36</v>
      </c>
      <c r="D7916" t="s">
        <v>6</v>
      </c>
      <c r="E7916" t="e">
        <f>VLOOKUP(Cpi_[[#This Row],[Attribute]],#REF!,2,FALSE)</f>
        <v>#REF!</v>
      </c>
      <c r="F7916">
        <v>154.9</v>
      </c>
      <c r="G7916" s="42">
        <f>(Cpi_[[#This Row],[Value]]-F7915)/F7915</f>
        <v>-5.4334554334554364E-2</v>
      </c>
      <c r="H7916" t="str">
        <f>LEFT(Cpi_[[#This Row],[Month]],3)</f>
        <v>Mar</v>
      </c>
      <c r="I7916" t="str">
        <f>RIGHT(Cpi_[[#This Row],[Year]],2)</f>
        <v>21</v>
      </c>
      <c r="J7916" t="str">
        <f>Cpi_[[#This Row],[Column3]]&amp;"-"&amp;Cpi_[[#This Row],[Column4]]</f>
        <v>Mar-21</v>
      </c>
    </row>
    <row r="7917" spans="1:10" x14ac:dyDescent="0.3">
      <c r="A7917" t="s">
        <v>34</v>
      </c>
      <c r="B7917">
        <v>2021</v>
      </c>
      <c r="C7917" t="s">
        <v>36</v>
      </c>
      <c r="D7917" t="s">
        <v>7</v>
      </c>
      <c r="E7917" t="e">
        <f>VLOOKUP(Cpi_[[#This Row],[Attribute]],#REF!,2,FALSE)</f>
        <v>#REF!</v>
      </c>
      <c r="F7917">
        <v>163.9</v>
      </c>
      <c r="G7917" s="42">
        <f>(Cpi_[[#This Row],[Value]]-F7916)/F7916</f>
        <v>5.8102001291155579E-2</v>
      </c>
      <c r="H7917" t="str">
        <f>LEFT(Cpi_[[#This Row],[Month]],3)</f>
        <v>Mar</v>
      </c>
      <c r="I7917" t="str">
        <f>RIGHT(Cpi_[[#This Row],[Year]],2)</f>
        <v>21</v>
      </c>
      <c r="J7917" t="str">
        <f>Cpi_[[#This Row],[Column3]]&amp;"-"&amp;Cpi_[[#This Row],[Column4]]</f>
        <v>Mar-21</v>
      </c>
    </row>
    <row r="7918" spans="1:10" x14ac:dyDescent="0.3">
      <c r="A7918" t="s">
        <v>34</v>
      </c>
      <c r="B7918">
        <v>2021</v>
      </c>
      <c r="C7918" t="s">
        <v>36</v>
      </c>
      <c r="D7918" t="s">
        <v>8</v>
      </c>
      <c r="E7918" t="e">
        <f>VLOOKUP(Cpi_[[#This Row],[Attribute]],#REF!,2,FALSE)</f>
        <v>#REF!</v>
      </c>
      <c r="F7918">
        <v>153.69999999999999</v>
      </c>
      <c r="G7918" s="42">
        <f>(Cpi_[[#This Row],[Value]]-F7917)/F7917</f>
        <v>-6.2233068944478442E-2</v>
      </c>
      <c r="H7918" t="str">
        <f>LEFT(Cpi_[[#This Row],[Month]],3)</f>
        <v>Mar</v>
      </c>
      <c r="I7918" t="str">
        <f>RIGHT(Cpi_[[#This Row],[Year]],2)</f>
        <v>21</v>
      </c>
      <c r="J7918" t="str">
        <f>Cpi_[[#This Row],[Column3]]&amp;"-"&amp;Cpi_[[#This Row],[Column4]]</f>
        <v>Mar-21</v>
      </c>
    </row>
    <row r="7919" spans="1:10" x14ac:dyDescent="0.3">
      <c r="A7919" t="s">
        <v>34</v>
      </c>
      <c r="B7919">
        <v>2021</v>
      </c>
      <c r="C7919" t="s">
        <v>36</v>
      </c>
      <c r="D7919" t="s">
        <v>9</v>
      </c>
      <c r="E7919" t="e">
        <f>VLOOKUP(Cpi_[[#This Row],[Attribute]],#REF!,2,FALSE)</f>
        <v>#REF!</v>
      </c>
      <c r="F7919">
        <v>149.5</v>
      </c>
      <c r="G7919" s="42">
        <f>(Cpi_[[#This Row],[Value]]-F7918)/F7918</f>
        <v>-2.7325959661678521E-2</v>
      </c>
      <c r="H7919" t="str">
        <f>LEFT(Cpi_[[#This Row],[Month]],3)</f>
        <v>Mar</v>
      </c>
      <c r="I7919" t="str">
        <f>RIGHT(Cpi_[[#This Row],[Year]],2)</f>
        <v>21</v>
      </c>
      <c r="J7919" t="str">
        <f>Cpi_[[#This Row],[Column3]]&amp;"-"&amp;Cpi_[[#This Row],[Column4]]</f>
        <v>Mar-21</v>
      </c>
    </row>
    <row r="7920" spans="1:10" x14ac:dyDescent="0.3">
      <c r="A7920" t="s">
        <v>34</v>
      </c>
      <c r="B7920">
        <v>2021</v>
      </c>
      <c r="C7920" t="s">
        <v>36</v>
      </c>
      <c r="D7920" t="s">
        <v>10</v>
      </c>
      <c r="E7920" t="e">
        <f>VLOOKUP(Cpi_[[#This Row],[Attribute]],#REF!,2,FALSE)</f>
        <v>#REF!</v>
      </c>
      <c r="F7920">
        <v>159.80000000000001</v>
      </c>
      <c r="G7920" s="42">
        <f>(Cpi_[[#This Row],[Value]]-F7919)/F7919</f>
        <v>6.889632107023419E-2</v>
      </c>
      <c r="H7920" t="str">
        <f>LEFT(Cpi_[[#This Row],[Month]],3)</f>
        <v>Mar</v>
      </c>
      <c r="I7920" t="str">
        <f>RIGHT(Cpi_[[#This Row],[Year]],2)</f>
        <v>21</v>
      </c>
      <c r="J7920" t="str">
        <f>Cpi_[[#This Row],[Column3]]&amp;"-"&amp;Cpi_[[#This Row],[Column4]]</f>
        <v>Mar-21</v>
      </c>
    </row>
    <row r="7921" spans="1:10" x14ac:dyDescent="0.3">
      <c r="A7921" t="s">
        <v>34</v>
      </c>
      <c r="B7921">
        <v>2021</v>
      </c>
      <c r="C7921" t="s">
        <v>36</v>
      </c>
      <c r="D7921" t="s">
        <v>11</v>
      </c>
      <c r="E7921" t="e">
        <f>VLOOKUP(Cpi_[[#This Row],[Attribute]],#REF!,2,FALSE)</f>
        <v>#REF!</v>
      </c>
      <c r="F7921">
        <v>112.6</v>
      </c>
      <c r="G7921" s="42">
        <f>(Cpi_[[#This Row],[Value]]-F7920)/F7920</f>
        <v>-0.2953692115143931</v>
      </c>
      <c r="H7921" t="str">
        <f>LEFT(Cpi_[[#This Row],[Month]],3)</f>
        <v>Mar</v>
      </c>
      <c r="I7921" t="str">
        <f>RIGHT(Cpi_[[#This Row],[Year]],2)</f>
        <v>21</v>
      </c>
      <c r="J7921" t="str">
        <f>Cpi_[[#This Row],[Column3]]&amp;"-"&amp;Cpi_[[#This Row],[Column4]]</f>
        <v>Mar-21</v>
      </c>
    </row>
    <row r="7922" spans="1:10" x14ac:dyDescent="0.3">
      <c r="A7922" t="s">
        <v>34</v>
      </c>
      <c r="B7922">
        <v>2021</v>
      </c>
      <c r="C7922" t="s">
        <v>36</v>
      </c>
      <c r="D7922" t="s">
        <v>12</v>
      </c>
      <c r="E7922" t="e">
        <f>VLOOKUP(Cpi_[[#This Row],[Attribute]],#REF!,2,FALSE)</f>
        <v>#REF!</v>
      </c>
      <c r="F7922">
        <v>163.5</v>
      </c>
      <c r="G7922" s="42">
        <f>(Cpi_[[#This Row],[Value]]-F7921)/F7921</f>
        <v>0.45204262877442281</v>
      </c>
      <c r="H7922" t="str">
        <f>LEFT(Cpi_[[#This Row],[Month]],3)</f>
        <v>Mar</v>
      </c>
      <c r="I7922" t="str">
        <f>RIGHT(Cpi_[[#This Row],[Year]],2)</f>
        <v>21</v>
      </c>
      <c r="J7922" t="str">
        <f>Cpi_[[#This Row],[Column3]]&amp;"-"&amp;Cpi_[[#This Row],[Column4]]</f>
        <v>Mar-21</v>
      </c>
    </row>
    <row r="7923" spans="1:10" x14ac:dyDescent="0.3">
      <c r="A7923" t="s">
        <v>34</v>
      </c>
      <c r="B7923">
        <v>2021</v>
      </c>
      <c r="C7923" t="s">
        <v>36</v>
      </c>
      <c r="D7923" t="s">
        <v>13</v>
      </c>
      <c r="E7923" t="e">
        <f>VLOOKUP(Cpi_[[#This Row],[Attribute]],#REF!,2,FALSE)</f>
        <v>#REF!</v>
      </c>
      <c r="F7923">
        <v>156.5</v>
      </c>
      <c r="G7923" s="42">
        <f>(Cpi_[[#This Row],[Value]]-F7922)/F7922</f>
        <v>-4.2813455657492352E-2</v>
      </c>
      <c r="H7923" t="str">
        <f>LEFT(Cpi_[[#This Row],[Month]],3)</f>
        <v>Mar</v>
      </c>
      <c r="I7923" t="str">
        <f>RIGHT(Cpi_[[#This Row],[Year]],2)</f>
        <v>21</v>
      </c>
      <c r="J7923" t="str">
        <f>Cpi_[[#This Row],[Column3]]&amp;"-"&amp;Cpi_[[#This Row],[Column4]]</f>
        <v>Mar-21</v>
      </c>
    </row>
    <row r="7924" spans="1:10" x14ac:dyDescent="0.3">
      <c r="A7924" t="s">
        <v>34</v>
      </c>
      <c r="B7924">
        <v>2021</v>
      </c>
      <c r="C7924" t="s">
        <v>36</v>
      </c>
      <c r="D7924" t="s">
        <v>14</v>
      </c>
      <c r="E7924" t="e">
        <f>VLOOKUP(Cpi_[[#This Row],[Attribute]],#REF!,2,FALSE)</f>
        <v>#REF!</v>
      </c>
      <c r="F7924">
        <v>168.2</v>
      </c>
      <c r="G7924" s="42">
        <f>(Cpi_[[#This Row],[Value]]-F7923)/F7923</f>
        <v>7.4760383386581392E-2</v>
      </c>
      <c r="H7924" t="str">
        <f>LEFT(Cpi_[[#This Row],[Month]],3)</f>
        <v>Mar</v>
      </c>
      <c r="I7924" t="str">
        <f>RIGHT(Cpi_[[#This Row],[Year]],2)</f>
        <v>21</v>
      </c>
      <c r="J7924" t="str">
        <f>Cpi_[[#This Row],[Column3]]&amp;"-"&amp;Cpi_[[#This Row],[Column4]]</f>
        <v>Mar-21</v>
      </c>
    </row>
    <row r="7925" spans="1:10" x14ac:dyDescent="0.3">
      <c r="A7925" t="s">
        <v>34</v>
      </c>
      <c r="B7925">
        <v>2021</v>
      </c>
      <c r="C7925" t="s">
        <v>36</v>
      </c>
      <c r="D7925" t="s">
        <v>15</v>
      </c>
      <c r="E7925" t="e">
        <f>VLOOKUP(Cpi_[[#This Row],[Attribute]],#REF!,2,FALSE)</f>
        <v>#REF!</v>
      </c>
      <c r="F7925">
        <v>156.69999999999999</v>
      </c>
      <c r="G7925" s="42">
        <f>(Cpi_[[#This Row],[Value]]-F7924)/F7924</f>
        <v>-6.8370986920332943E-2</v>
      </c>
      <c r="H7925" t="str">
        <f>LEFT(Cpi_[[#This Row],[Month]],3)</f>
        <v>Mar</v>
      </c>
      <c r="I7925" t="str">
        <f>RIGHT(Cpi_[[#This Row],[Year]],2)</f>
        <v>21</v>
      </c>
      <c r="J7925" t="str">
        <f>Cpi_[[#This Row],[Column3]]&amp;"-"&amp;Cpi_[[#This Row],[Column4]]</f>
        <v>Mar-21</v>
      </c>
    </row>
    <row r="7926" spans="1:10" hidden="1" x14ac:dyDescent="0.3">
      <c r="A7926" t="s">
        <v>34</v>
      </c>
      <c r="B7926">
        <v>2021</v>
      </c>
      <c r="C7926" t="s">
        <v>36</v>
      </c>
      <c r="D7926" t="s">
        <v>16</v>
      </c>
      <c r="E7926" t="e">
        <f>VLOOKUP(Cpi_[[#This Row],[Attribute]],#REF!,2,FALSE)</f>
        <v>#REF!</v>
      </c>
      <c r="F7926">
        <v>188.1</v>
      </c>
      <c r="G7926">
        <f>(Cpi_[[#This Row],[Value]]-F7925)/F7925</f>
        <v>0.20038289725590305</v>
      </c>
      <c r="H7926" t="e" cm="1" vm="1">
        <f t="array" aca="1" ref="H7926" ca="1">VLOOKUP(Cpi_[[#This Row],[Year]:[Month]],crudeoil[],3,FALSE)</f>
        <v>#VALUE!</v>
      </c>
    </row>
    <row r="7927" spans="1:10" hidden="1" x14ac:dyDescent="0.3">
      <c r="A7927" t="s">
        <v>34</v>
      </c>
      <c r="B7927">
        <v>2021</v>
      </c>
      <c r="C7927" t="s">
        <v>36</v>
      </c>
      <c r="D7927" t="s">
        <v>17</v>
      </c>
      <c r="E7927" t="e">
        <f>VLOOKUP(Cpi_[[#This Row],[Attribute]],#REF!,2,FALSE)</f>
        <v>#REF!</v>
      </c>
      <c r="F7927">
        <v>157.80000000000001</v>
      </c>
      <c r="G7927">
        <f>(Cpi_[[#This Row],[Value]]-F7926)/F7926</f>
        <v>-0.16108452950558205</v>
      </c>
      <c r="H7927" t="e" cm="1" vm="1">
        <f t="array" aca="1" ref="H7927" ca="1">VLOOKUP(Cpi_[[#This Row],[Year]:[Month]],crudeoil[],3,FALSE)</f>
        <v>#VALUE!</v>
      </c>
    </row>
    <row r="7928" spans="1:10" hidden="1" x14ac:dyDescent="0.3">
      <c r="A7928" t="s">
        <v>34</v>
      </c>
      <c r="B7928">
        <v>2021</v>
      </c>
      <c r="C7928" t="s">
        <v>36</v>
      </c>
      <c r="D7928" t="s">
        <v>18</v>
      </c>
      <c r="E7928" t="e">
        <f>VLOOKUP(Cpi_[[#This Row],[Attribute]],#REF!,2,FALSE)</f>
        <v>#REF!</v>
      </c>
      <c r="F7928">
        <v>147.9</v>
      </c>
      <c r="G7928">
        <f>(Cpi_[[#This Row],[Value]]-F7927)/F7927</f>
        <v>-6.2737642585551368E-2</v>
      </c>
      <c r="H7928" t="e" cm="1" vm="1">
        <f t="array" aca="1" ref="H7928" ca="1">VLOOKUP(Cpi_[[#This Row],[Year]:[Month]],crudeoil[],3,FALSE)</f>
        <v>#VALUE!</v>
      </c>
    </row>
    <row r="7929" spans="1:10" hidden="1" x14ac:dyDescent="0.3">
      <c r="A7929" t="s">
        <v>34</v>
      </c>
      <c r="B7929">
        <v>2021</v>
      </c>
      <c r="C7929" t="s">
        <v>36</v>
      </c>
      <c r="D7929" t="s">
        <v>19</v>
      </c>
      <c r="E7929" t="e">
        <f>VLOOKUP(Cpi_[[#This Row],[Attribute]],#REF!,2,FALSE)</f>
        <v>#REF!</v>
      </c>
      <c r="F7929">
        <v>156.4</v>
      </c>
      <c r="G7929">
        <f>(Cpi_[[#This Row],[Value]]-F7928)/F7928</f>
        <v>5.7471264367816091E-2</v>
      </c>
      <c r="H7929" t="e" cm="1" vm="1">
        <f t="array" aca="1" ref="H7929" ca="1">VLOOKUP(Cpi_[[#This Row],[Year]:[Month]],crudeoil[],3,FALSE)</f>
        <v>#VALUE!</v>
      </c>
    </row>
    <row r="7930" spans="1:10" hidden="1" x14ac:dyDescent="0.3">
      <c r="A7930" t="s">
        <v>34</v>
      </c>
      <c r="B7930">
        <v>2021</v>
      </c>
      <c r="C7930" t="s">
        <v>36</v>
      </c>
      <c r="D7930" t="s">
        <v>20</v>
      </c>
      <c r="E7930" t="e">
        <f>VLOOKUP(Cpi_[[#This Row],[Attribute]],#REF!,2,FALSE)</f>
        <v>#REF!</v>
      </c>
      <c r="F7930">
        <v>159.9</v>
      </c>
      <c r="G7930">
        <f>(Cpi_[[#This Row],[Value]]-F7929)/F7929</f>
        <v>2.2378516624040921E-2</v>
      </c>
      <c r="H7930" t="e" cm="1" vm="1">
        <f t="array" aca="1" ref="H7930" ca="1">VLOOKUP(Cpi_[[#This Row],[Year]:[Month]],crudeoil[],3,FALSE)</f>
        <v>#VALUE!</v>
      </c>
    </row>
    <row r="7931" spans="1:10" hidden="1" x14ac:dyDescent="0.3">
      <c r="A7931" t="s">
        <v>34</v>
      </c>
      <c r="B7931">
        <v>2021</v>
      </c>
      <c r="C7931" t="s">
        <v>36</v>
      </c>
      <c r="D7931" t="s">
        <v>21</v>
      </c>
      <c r="E7931" t="e">
        <f>VLOOKUP(Cpi_[[#This Row],[Attribute]],#REF!,2,FALSE)</f>
        <v>#REF!</v>
      </c>
      <c r="F7931">
        <v>155.5</v>
      </c>
      <c r="G7931">
        <f>(Cpi_[[#This Row],[Value]]-F7930)/F7930</f>
        <v>-2.7517198248905601E-2</v>
      </c>
      <c r="H7931" t="e" cm="1" vm="1">
        <f t="array" aca="1" ref="H7931" ca="1">VLOOKUP(Cpi_[[#This Row],[Year]:[Month]],crudeoil[],3,FALSE)</f>
        <v>#VALUE!</v>
      </c>
    </row>
    <row r="7932" spans="1:10" hidden="1" x14ac:dyDescent="0.3">
      <c r="A7932" t="s">
        <v>34</v>
      </c>
      <c r="B7932">
        <v>2021</v>
      </c>
      <c r="C7932" t="s">
        <v>36</v>
      </c>
      <c r="D7932" t="s">
        <v>22</v>
      </c>
      <c r="E7932" t="e">
        <f>VLOOKUP(Cpi_[[#This Row],[Attribute]],#REF!,2,FALSE)</f>
        <v>#REF!</v>
      </c>
      <c r="F7932">
        <v>151.19999999999999</v>
      </c>
      <c r="G7932">
        <f>(Cpi_[[#This Row],[Value]]-F7931)/F7931</f>
        <v>-2.7652733118971134E-2</v>
      </c>
      <c r="H7932" t="e" cm="1" vm="1">
        <f t="array" aca="1" ref="H7932" ca="1">VLOOKUP(Cpi_[[#This Row],[Year]:[Month]],crudeoil[],3,FALSE)</f>
        <v>#VALUE!</v>
      </c>
    </row>
    <row r="7933" spans="1:10" hidden="1" x14ac:dyDescent="0.3">
      <c r="A7933" t="s">
        <v>34</v>
      </c>
      <c r="B7933">
        <v>2021</v>
      </c>
      <c r="C7933" t="s">
        <v>36</v>
      </c>
      <c r="D7933" t="s">
        <v>23</v>
      </c>
      <c r="E7933" t="e">
        <f>VLOOKUP(Cpi_[[#This Row],[Attribute]],#REF!,2,FALSE)</f>
        <v>#REF!</v>
      </c>
      <c r="F7933">
        <v>161.69999999999999</v>
      </c>
      <c r="G7933">
        <f>(Cpi_[[#This Row],[Value]]-F7932)/F7932</f>
        <v>6.9444444444444448E-2</v>
      </c>
      <c r="H7933" t="e" cm="1" vm="1">
        <f t="array" aca="1" ref="H7933" ca="1">VLOOKUP(Cpi_[[#This Row],[Year]:[Month]],crudeoil[],3,FALSE)</f>
        <v>#VALUE!</v>
      </c>
    </row>
    <row r="7934" spans="1:10" hidden="1" x14ac:dyDescent="0.3">
      <c r="A7934" t="s">
        <v>34</v>
      </c>
      <c r="B7934">
        <v>2021</v>
      </c>
      <c r="C7934" t="s">
        <v>36</v>
      </c>
      <c r="D7934" t="s">
        <v>24</v>
      </c>
      <c r="E7934" t="e">
        <f>VLOOKUP(Cpi_[[#This Row],[Attribute]],#REF!,2,FALSE)</f>
        <v>#REF!</v>
      </c>
      <c r="F7934">
        <v>146.19999999999999</v>
      </c>
      <c r="G7934">
        <f>(Cpi_[[#This Row],[Value]]-F7933)/F7933</f>
        <v>-9.5856524427953005E-2</v>
      </c>
      <c r="H7934" t="e" cm="1" vm="1">
        <f t="array" aca="1" ref="H7934" ca="1">VLOOKUP(Cpi_[[#This Row],[Year]:[Month]],crudeoil[],3,FALSE)</f>
        <v>#VALUE!</v>
      </c>
    </row>
    <row r="7935" spans="1:10" hidden="1" x14ac:dyDescent="0.3">
      <c r="A7935" t="s">
        <v>34</v>
      </c>
      <c r="B7935">
        <v>2021</v>
      </c>
      <c r="C7935" t="s">
        <v>36</v>
      </c>
      <c r="D7935" t="s">
        <v>25</v>
      </c>
      <c r="E7935" t="e">
        <f>VLOOKUP(Cpi_[[#This Row],[Attribute]],#REF!,2,FALSE)</f>
        <v>#REF!</v>
      </c>
      <c r="F7935">
        <v>152.6</v>
      </c>
      <c r="G7935">
        <f>(Cpi_[[#This Row],[Value]]-F7934)/F7934</f>
        <v>4.3775649794801683E-2</v>
      </c>
      <c r="H7935" t="e" cm="1" vm="1">
        <f t="array" aca="1" ref="H7935" ca="1">VLOOKUP(Cpi_[[#This Row],[Year]:[Month]],crudeoil[],3,FALSE)</f>
        <v>#VALUE!</v>
      </c>
    </row>
    <row r="7936" spans="1:10" hidden="1" x14ac:dyDescent="0.3">
      <c r="A7936" t="s">
        <v>34</v>
      </c>
      <c r="B7936">
        <v>2021</v>
      </c>
      <c r="C7936" t="s">
        <v>36</v>
      </c>
      <c r="D7936" t="s">
        <v>26</v>
      </c>
      <c r="E7936" t="e">
        <f>VLOOKUP(Cpi_[[#This Row],[Attribute]],#REF!,2,FALSE)</f>
        <v>#REF!</v>
      </c>
      <c r="F7936">
        <v>160.19999999999999</v>
      </c>
      <c r="G7936">
        <f>(Cpi_[[#This Row],[Value]]-F7935)/F7935</f>
        <v>4.9803407601572702E-2</v>
      </c>
      <c r="H7936" t="e" cm="1" vm="1">
        <f t="array" aca="1" ref="H7936" ca="1">VLOOKUP(Cpi_[[#This Row],[Year]:[Month]],crudeoil[],3,FALSE)</f>
        <v>#VALUE!</v>
      </c>
    </row>
    <row r="7937" spans="1:8" hidden="1" x14ac:dyDescent="0.3">
      <c r="A7937" t="s">
        <v>34</v>
      </c>
      <c r="B7937">
        <v>2021</v>
      </c>
      <c r="C7937" t="s">
        <v>36</v>
      </c>
      <c r="D7937" t="s">
        <v>27</v>
      </c>
      <c r="E7937" t="e">
        <f>VLOOKUP(Cpi_[[#This Row],[Attribute]],#REF!,2,FALSE)</f>
        <v>#REF!</v>
      </c>
      <c r="F7937">
        <v>153.80000000000001</v>
      </c>
      <c r="G7937">
        <f>(Cpi_[[#This Row],[Value]]-F7936)/F7936</f>
        <v>-3.9950062421972396E-2</v>
      </c>
      <c r="H7937" t="e" cm="1" vm="1">
        <f t="array" aca="1" ref="H7937" ca="1">VLOOKUP(Cpi_[[#This Row],[Year]:[Month]],crudeoil[],3,FALSE)</f>
        <v>#VALUE!</v>
      </c>
    </row>
    <row r="7938" spans="1:8" hidden="1" x14ac:dyDescent="0.3">
      <c r="A7938" t="s">
        <v>34</v>
      </c>
      <c r="B7938">
        <v>2021</v>
      </c>
      <c r="C7938" t="s">
        <v>36</v>
      </c>
      <c r="D7938" t="s">
        <v>28</v>
      </c>
      <c r="E7938" t="e">
        <f>VLOOKUP(Cpi_[[#This Row],[Attribute]],#REF!,2,FALSE)</f>
        <v>#REF!</v>
      </c>
      <c r="F7938">
        <v>153.80000000000001</v>
      </c>
      <c r="G7938">
        <f>(Cpi_[[#This Row],[Value]]-F7937)/F7937</f>
        <v>0</v>
      </c>
      <c r="H7938" t="e" cm="1" vm="1">
        <f t="array" aca="1" ref="H7938" ca="1">VLOOKUP(Cpi_[[#This Row],[Year]:[Month]],crudeoil[],3,FALSE)</f>
        <v>#VALUE!</v>
      </c>
    </row>
    <row r="7939" spans="1:8" hidden="1" x14ac:dyDescent="0.3">
      <c r="A7939" t="s">
        <v>34</v>
      </c>
      <c r="B7939">
        <v>2021</v>
      </c>
      <c r="C7939" t="s">
        <v>36</v>
      </c>
      <c r="D7939" t="s">
        <v>29</v>
      </c>
      <c r="E7939" t="e" cm="1">
        <f t="array" aca="1" ref="E7939" ca="1">VLGeneral indexGeneral indexKUP(Cpi_[[#This Row],[Attribute]],#REF!,2,FALSE)</f>
        <v>#NAME?</v>
      </c>
      <c r="F7939">
        <v>156.80000000000001</v>
      </c>
      <c r="G7939">
        <f>(Cpi_[[#This Row],[Value]]-F7938)/F7938</f>
        <v>1.9505851755526656E-2</v>
      </c>
      <c r="H7939" t="e" cm="1" vm="1">
        <f t="array" aca="1" ref="H7939" ca="1">VLOOKUP(Cpi_[[#This Row],[Year]:[Month]],crudeoil[],3,FALSE)</f>
        <v>#VALUE!</v>
      </c>
    </row>
    <row r="7940" spans="1:8" hidden="1" x14ac:dyDescent="0.3">
      <c r="A7940" t="s">
        <v>30</v>
      </c>
      <c r="B7940">
        <v>2021</v>
      </c>
      <c r="C7940" t="s">
        <v>37</v>
      </c>
      <c r="D7940" t="s">
        <v>3</v>
      </c>
      <c r="E7940" t="e">
        <f>VLOOKUP(Cpi_[[#This Row],[Attribute]],#REF!,2,FALSE)</f>
        <v>#REF!</v>
      </c>
      <c r="F7940">
        <v>142.69999999999999</v>
      </c>
      <c r="G7940">
        <f>(Cpi_[[#This Row],[Value]]-F7939)/F7939</f>
        <v>-8.9923469387755237E-2</v>
      </c>
      <c r="H7940" t="e" cm="1" vm="1">
        <f t="array" aca="1" ref="H7940" ca="1">VLOOKUP(Cpi_[[#This Row],[Year]:[Month]],crudeoil[],3,FALSE)</f>
        <v>#VALUE!</v>
      </c>
    </row>
    <row r="7941" spans="1:8" hidden="1" x14ac:dyDescent="0.3">
      <c r="A7941" t="s">
        <v>30</v>
      </c>
      <c r="B7941">
        <v>2021</v>
      </c>
      <c r="C7941" t="s">
        <v>37</v>
      </c>
      <c r="D7941" t="s">
        <v>4</v>
      </c>
      <c r="E7941" t="e">
        <f>VLOOKUP(Cpi_[[#This Row],[Attribute]],#REF!,2,FALSE)</f>
        <v>#REF!</v>
      </c>
      <c r="F7941">
        <v>195.5</v>
      </c>
      <c r="G7941">
        <f>(Cpi_[[#This Row],[Value]]-F7940)/F7940</f>
        <v>0.37000700770847944</v>
      </c>
      <c r="H7941" t="e" cm="1" vm="1">
        <f t="array" aca="1" ref="H7941" ca="1">VLOOKUP(Cpi_[[#This Row],[Year]:[Month]],crudeoil[],3,FALSE)</f>
        <v>#VALUE!</v>
      </c>
    </row>
    <row r="7942" spans="1:8" hidden="1" x14ac:dyDescent="0.3">
      <c r="A7942" t="s">
        <v>30</v>
      </c>
      <c r="B7942">
        <v>2021</v>
      </c>
      <c r="C7942" t="s">
        <v>37</v>
      </c>
      <c r="D7942" t="s">
        <v>5</v>
      </c>
      <c r="E7942" t="e">
        <f>VLOOKUP(Cpi_[[#This Row],[Attribute]],#REF!,2,FALSE)</f>
        <v>#REF!</v>
      </c>
      <c r="F7942">
        <v>163.4</v>
      </c>
      <c r="G7942">
        <f>(Cpi_[[#This Row],[Value]]-F7941)/F7941</f>
        <v>-0.1641943734015345</v>
      </c>
      <c r="H7942" t="e" cm="1" vm="1">
        <f t="array" aca="1" ref="H7942" ca="1">VLOOKUP(Cpi_[[#This Row],[Year]:[Month]],crudeoil[],3,FALSE)</f>
        <v>#VALUE!</v>
      </c>
    </row>
    <row r="7943" spans="1:8" hidden="1" x14ac:dyDescent="0.3">
      <c r="A7943" t="s">
        <v>30</v>
      </c>
      <c r="B7943">
        <v>2021</v>
      </c>
      <c r="C7943" t="s">
        <v>37</v>
      </c>
      <c r="D7943" t="s">
        <v>6</v>
      </c>
      <c r="E7943" t="e">
        <f>VLOOKUP(Cpi_[[#This Row],[Attribute]],#REF!,2,FALSE)</f>
        <v>#REF!</v>
      </c>
      <c r="F7943">
        <v>155</v>
      </c>
      <c r="G7943">
        <f>(Cpi_[[#This Row],[Value]]-F7942)/F7942</f>
        <v>-5.1407588739290119E-2</v>
      </c>
      <c r="H7943" t="e" cm="1" vm="1">
        <f t="array" aca="1" ref="H7943" ca="1">VLOOKUP(Cpi_[[#This Row],[Year]:[Month]],crudeoil[],3,FALSE)</f>
        <v>#VALUE!</v>
      </c>
    </row>
    <row r="7944" spans="1:8" hidden="1" x14ac:dyDescent="0.3">
      <c r="A7944" t="s">
        <v>30</v>
      </c>
      <c r="B7944">
        <v>2021</v>
      </c>
      <c r="C7944" t="s">
        <v>37</v>
      </c>
      <c r="D7944" t="s">
        <v>7</v>
      </c>
      <c r="E7944" t="e">
        <f>VLOOKUP(Cpi_[[#This Row],[Attribute]],#REF!,2,FALSE)</f>
        <v>#REF!</v>
      </c>
      <c r="F7944">
        <v>175.2</v>
      </c>
      <c r="G7944">
        <f>(Cpi_[[#This Row],[Value]]-F7943)/F7943</f>
        <v>0.13032258064516122</v>
      </c>
      <c r="H7944" t="e" cm="1" vm="1">
        <f t="array" aca="1" ref="H7944" ca="1">VLOOKUP(Cpi_[[#This Row],[Year]:[Month]],crudeoil[],3,FALSE)</f>
        <v>#VALUE!</v>
      </c>
    </row>
    <row r="7945" spans="1:8" hidden="1" x14ac:dyDescent="0.3">
      <c r="A7945" t="s">
        <v>30</v>
      </c>
      <c r="B7945">
        <v>2021</v>
      </c>
      <c r="C7945" t="s">
        <v>37</v>
      </c>
      <c r="D7945" t="s">
        <v>8</v>
      </c>
      <c r="E7945" t="e">
        <f>VLOOKUP(Cpi_[[#This Row],[Attribute]],#REF!,2,FALSE)</f>
        <v>#REF!</v>
      </c>
      <c r="F7945">
        <v>160.6</v>
      </c>
      <c r="G7945">
        <f>(Cpi_[[#This Row],[Value]]-F7944)/F7944</f>
        <v>-8.3333333333333301E-2</v>
      </c>
      <c r="H7945" t="e" cm="1" vm="1">
        <f t="array" aca="1" ref="H7945" ca="1">VLOOKUP(Cpi_[[#This Row],[Year]:[Month]],crudeoil[],3,FALSE)</f>
        <v>#VALUE!</v>
      </c>
    </row>
    <row r="7946" spans="1:8" hidden="1" x14ac:dyDescent="0.3">
      <c r="A7946" t="s">
        <v>30</v>
      </c>
      <c r="B7946">
        <v>2021</v>
      </c>
      <c r="C7946" t="s">
        <v>37</v>
      </c>
      <c r="D7946" t="s">
        <v>9</v>
      </c>
      <c r="E7946" t="e">
        <f>VLOOKUP(Cpi_[[#This Row],[Attribute]],#REF!,2,FALSE)</f>
        <v>#REF!</v>
      </c>
      <c r="F7946">
        <v>135.1</v>
      </c>
      <c r="G7946">
        <f>(Cpi_[[#This Row],[Value]]-F7945)/F7945</f>
        <v>-0.15877957658779576</v>
      </c>
      <c r="H7946" t="e" cm="1" vm="1">
        <f t="array" aca="1" ref="H7946" ca="1">VLOOKUP(Cpi_[[#This Row],[Year]:[Month]],crudeoil[],3,FALSE)</f>
        <v>#VALUE!</v>
      </c>
    </row>
    <row r="7947" spans="1:8" hidden="1" x14ac:dyDescent="0.3">
      <c r="A7947" t="s">
        <v>30</v>
      </c>
      <c r="B7947">
        <v>2021</v>
      </c>
      <c r="C7947" t="s">
        <v>37</v>
      </c>
      <c r="D7947" t="s">
        <v>10</v>
      </c>
      <c r="E7947" t="e">
        <f>VLOOKUP(Cpi_[[#This Row],[Attribute]],#REF!,2,FALSE)</f>
        <v>#REF!</v>
      </c>
      <c r="F7947">
        <v>161.1</v>
      </c>
      <c r="G7947">
        <f>(Cpi_[[#This Row],[Value]]-F7946)/F7946</f>
        <v>0.19245003700962252</v>
      </c>
      <c r="H7947" t="e" cm="1" vm="1">
        <f t="array" aca="1" ref="H7947" ca="1">VLOOKUP(Cpi_[[#This Row],[Year]:[Month]],crudeoil[],3,FALSE)</f>
        <v>#VALUE!</v>
      </c>
    </row>
    <row r="7948" spans="1:8" hidden="1" x14ac:dyDescent="0.3">
      <c r="A7948" t="s">
        <v>30</v>
      </c>
      <c r="B7948">
        <v>2021</v>
      </c>
      <c r="C7948" t="s">
        <v>37</v>
      </c>
      <c r="D7948" t="s">
        <v>11</v>
      </c>
      <c r="E7948" t="e">
        <f>VLOOKUP(Cpi_[[#This Row],[Attribute]],#REF!,2,FALSE)</f>
        <v>#REF!</v>
      </c>
      <c r="F7948">
        <v>112.2</v>
      </c>
      <c r="G7948">
        <f>(Cpi_[[#This Row],[Value]]-F7947)/F7947</f>
        <v>-0.30353817504655489</v>
      </c>
      <c r="H7948" t="e" cm="1" vm="1">
        <f t="array" aca="1" ref="H7948" ca="1">VLOOKUP(Cpi_[[#This Row],[Year]:[Month]],crudeoil[],3,FALSE)</f>
        <v>#VALUE!</v>
      </c>
    </row>
    <row r="7949" spans="1:8" hidden="1" x14ac:dyDescent="0.3">
      <c r="A7949" t="s">
        <v>30</v>
      </c>
      <c r="B7949">
        <v>2021</v>
      </c>
      <c r="C7949" t="s">
        <v>37</v>
      </c>
      <c r="D7949" t="s">
        <v>12</v>
      </c>
      <c r="E7949" t="e">
        <f>VLOOKUP(Cpi_[[#This Row],[Attribute]],#REF!,2,FALSE)</f>
        <v>#REF!</v>
      </c>
      <c r="F7949">
        <v>164.4</v>
      </c>
      <c r="G7949">
        <f>(Cpi_[[#This Row],[Value]]-F7948)/F7948</f>
        <v>0.46524064171122997</v>
      </c>
      <c r="H7949" t="e" cm="1" vm="1">
        <f t="array" aca="1" ref="H7949" ca="1">VLOOKUP(Cpi_[[#This Row],[Year]:[Month]],crudeoil[],3,FALSE)</f>
        <v>#VALUE!</v>
      </c>
    </row>
    <row r="7950" spans="1:8" hidden="1" x14ac:dyDescent="0.3">
      <c r="A7950" t="s">
        <v>30</v>
      </c>
      <c r="B7950">
        <v>2021</v>
      </c>
      <c r="C7950" t="s">
        <v>37</v>
      </c>
      <c r="D7950" t="s">
        <v>13</v>
      </c>
      <c r="E7950" t="e">
        <f>VLOOKUP(Cpi_[[#This Row],[Attribute]],#REF!,2,FALSE)</f>
        <v>#REF!</v>
      </c>
      <c r="F7950">
        <v>161.9</v>
      </c>
      <c r="G7950">
        <f>(Cpi_[[#This Row],[Value]]-F7949)/F7949</f>
        <v>-1.5206812652068125E-2</v>
      </c>
      <c r="H7950" t="e" cm="1" vm="1">
        <f t="array" aca="1" ref="H7950" ca="1">VLOOKUP(Cpi_[[#This Row],[Year]:[Month]],crudeoil[],3,FALSE)</f>
        <v>#VALUE!</v>
      </c>
    </row>
    <row r="7951" spans="1:8" hidden="1" x14ac:dyDescent="0.3">
      <c r="A7951" t="s">
        <v>30</v>
      </c>
      <c r="B7951">
        <v>2021</v>
      </c>
      <c r="C7951" t="s">
        <v>37</v>
      </c>
      <c r="D7951" t="s">
        <v>14</v>
      </c>
      <c r="E7951" t="e">
        <f>VLOOKUP(Cpi_[[#This Row],[Attribute]],#REF!,2,FALSE)</f>
        <v>#REF!</v>
      </c>
      <c r="F7951">
        <v>166.8</v>
      </c>
      <c r="G7951">
        <f>(Cpi_[[#This Row],[Value]]-F7950)/F7950</f>
        <v>3.0265596046942591E-2</v>
      </c>
      <c r="H7951" t="e" cm="1" vm="1">
        <f t="array" aca="1" ref="H7951" ca="1">VLOOKUP(Cpi_[[#This Row],[Year]:[Month]],crudeoil[],3,FALSE)</f>
        <v>#VALUE!</v>
      </c>
    </row>
    <row r="7952" spans="1:8" hidden="1" x14ac:dyDescent="0.3">
      <c r="A7952" t="s">
        <v>30</v>
      </c>
      <c r="B7952">
        <v>2021</v>
      </c>
      <c r="C7952" t="s">
        <v>37</v>
      </c>
      <c r="D7952" t="s">
        <v>15</v>
      </c>
      <c r="E7952" t="e">
        <f>VLOOKUP(Cpi_[[#This Row],[Attribute]],#REF!,2,FALSE)</f>
        <v>#REF!</v>
      </c>
      <c r="F7952">
        <v>155.6</v>
      </c>
      <c r="G7952">
        <f>(Cpi_[[#This Row],[Value]]-F7951)/F7951</f>
        <v>-6.7146282973621199E-2</v>
      </c>
      <c r="H7952" t="e" cm="1" vm="1">
        <f t="array" aca="1" ref="H7952" ca="1">VLOOKUP(Cpi_[[#This Row],[Year]:[Month]],crudeoil[],3,FALSE)</f>
        <v>#VALUE!</v>
      </c>
    </row>
    <row r="7953" spans="1:8" hidden="1" x14ac:dyDescent="0.3">
      <c r="A7953" t="s">
        <v>30</v>
      </c>
      <c r="B7953">
        <v>2021</v>
      </c>
      <c r="C7953" t="s">
        <v>37</v>
      </c>
      <c r="D7953" t="s">
        <v>16</v>
      </c>
      <c r="E7953" t="e">
        <f>VLOOKUP(Cpi_[[#This Row],[Attribute]],#REF!,2,FALSE)</f>
        <v>#REF!</v>
      </c>
      <c r="F7953">
        <v>186.8</v>
      </c>
      <c r="G7953">
        <f>(Cpi_[[#This Row],[Value]]-F7952)/F7952</f>
        <v>0.20051413881748084</v>
      </c>
      <c r="H7953" t="e" cm="1" vm="1">
        <f t="array" aca="1" ref="H7953" ca="1">VLOOKUP(Cpi_[[#This Row],[Year]:[Month]],crudeoil[],3,FALSE)</f>
        <v>#VALUE!</v>
      </c>
    </row>
    <row r="7954" spans="1:8" hidden="1" x14ac:dyDescent="0.3">
      <c r="A7954" t="s">
        <v>30</v>
      </c>
      <c r="B7954">
        <v>2021</v>
      </c>
      <c r="C7954" t="s">
        <v>37</v>
      </c>
      <c r="D7954" t="s">
        <v>17</v>
      </c>
      <c r="E7954" t="e">
        <f>VLOOKUP(Cpi_[[#This Row],[Attribute]],#REF!,2,FALSE)</f>
        <v>#REF!</v>
      </c>
      <c r="F7954">
        <v>160.69999999999999</v>
      </c>
      <c r="G7954">
        <f>(Cpi_[[#This Row],[Value]]-F7953)/F7953</f>
        <v>-0.13972162740899369</v>
      </c>
      <c r="H7954" t="e" cm="1" vm="1">
        <f t="array" aca="1" ref="H7954" ca="1">VLOOKUP(Cpi_[[#This Row],[Year]:[Month]],crudeoil[],3,FALSE)</f>
        <v>#VALUE!</v>
      </c>
    </row>
    <row r="7955" spans="1:8" hidden="1" x14ac:dyDescent="0.3">
      <c r="A7955" t="s">
        <v>30</v>
      </c>
      <c r="B7955">
        <v>2021</v>
      </c>
      <c r="C7955" t="s">
        <v>37</v>
      </c>
      <c r="D7955" t="s">
        <v>18</v>
      </c>
      <c r="E7955" t="e">
        <f>VLOOKUP(Cpi_[[#This Row],[Attribute]],#REF!,2,FALSE)</f>
        <v>#REF!</v>
      </c>
      <c r="F7955">
        <v>155.1</v>
      </c>
      <c r="G7955">
        <f>(Cpi_[[#This Row],[Value]]-F7954)/F7954</f>
        <v>-3.4847542003733634E-2</v>
      </c>
      <c r="H7955" t="e" cm="1" vm="1">
        <f t="array" aca="1" ref="H7955" ca="1">VLOOKUP(Cpi_[[#This Row],[Year]:[Month]],crudeoil[],3,FALSE)</f>
        <v>#VALUE!</v>
      </c>
    </row>
    <row r="7956" spans="1:8" hidden="1" x14ac:dyDescent="0.3">
      <c r="A7956" t="s">
        <v>30</v>
      </c>
      <c r="B7956">
        <v>2021</v>
      </c>
      <c r="C7956" t="s">
        <v>37</v>
      </c>
      <c r="D7956" t="s">
        <v>19</v>
      </c>
      <c r="E7956" t="e">
        <f>VLOOKUP(Cpi_[[#This Row],[Attribute]],#REF!,2,FALSE)</f>
        <v>#REF!</v>
      </c>
      <c r="F7956">
        <v>159.9</v>
      </c>
      <c r="G7956">
        <f>(Cpi_[[#This Row],[Value]]-F7955)/F7955</f>
        <v>3.0947775628626766E-2</v>
      </c>
      <c r="H7956" t="e" cm="1" vm="1">
        <f t="array" aca="1" ref="H7956" ca="1">VLOOKUP(Cpi_[[#This Row],[Year]:[Month]],crudeoil[],3,FALSE)</f>
        <v>#VALUE!</v>
      </c>
    </row>
    <row r="7957" spans="1:8" hidden="1" x14ac:dyDescent="0.3">
      <c r="A7957" t="s">
        <v>30</v>
      </c>
      <c r="B7957">
        <v>2021</v>
      </c>
      <c r="C7957" t="s">
        <v>37</v>
      </c>
      <c r="D7957" t="s">
        <v>20</v>
      </c>
      <c r="E7957" t="e">
        <f>VLOOKUP(Cpi_[[#This Row],[Attribute]],#REF!,2,FALSE)</f>
        <v>#REF!</v>
      </c>
      <c r="F7957" t="s">
        <v>48</v>
      </c>
      <c r="G7957" t="e">
        <f>(Cpi_[[#This Row],[Value]]-F7956)/F7956</f>
        <v>#VALUE!</v>
      </c>
      <c r="H7957" t="e" cm="1" vm="1">
        <f t="array" aca="1" ref="H7957" ca="1">VLOOKUP(Cpi_[[#This Row],[Year]:[Month]],crudeoil[],3,FALSE)</f>
        <v>#VALUE!</v>
      </c>
    </row>
    <row r="7958" spans="1:8" hidden="1" x14ac:dyDescent="0.3">
      <c r="A7958" t="s">
        <v>30</v>
      </c>
      <c r="B7958">
        <v>2021</v>
      </c>
      <c r="C7958" t="s">
        <v>37</v>
      </c>
      <c r="D7958" t="s">
        <v>21</v>
      </c>
      <c r="E7958" t="e">
        <f>VLOOKUP(Cpi_[[#This Row],[Attribute]],#REF!,2,FALSE)</f>
        <v>#REF!</v>
      </c>
      <c r="F7958">
        <v>156</v>
      </c>
      <c r="G7958" t="e">
        <f>(Cpi_[[#This Row],[Value]]-F7957)/F7957</f>
        <v>#VALUE!</v>
      </c>
      <c r="H7958" t="e" cm="1" vm="1">
        <f t="array" aca="1" ref="H7958" ca="1">VLOOKUP(Cpi_[[#This Row],[Year]:[Month]],crudeoil[],3,FALSE)</f>
        <v>#VALUE!</v>
      </c>
    </row>
    <row r="7959" spans="1:8" hidden="1" x14ac:dyDescent="0.3">
      <c r="A7959" t="s">
        <v>30</v>
      </c>
      <c r="B7959">
        <v>2021</v>
      </c>
      <c r="C7959" t="s">
        <v>37</v>
      </c>
      <c r="D7959" t="s">
        <v>22</v>
      </c>
      <c r="E7959" t="e">
        <f>VLOOKUP(Cpi_[[#This Row],[Attribute]],#REF!,2,FALSE)</f>
        <v>#REF!</v>
      </c>
      <c r="F7959">
        <v>155.5</v>
      </c>
      <c r="G7959">
        <f>(Cpi_[[#This Row],[Value]]-F7958)/F7958</f>
        <v>-3.205128205128205E-3</v>
      </c>
      <c r="H7959" t="e" cm="1" vm="1">
        <f t="array" aca="1" ref="H7959" ca="1">VLOOKUP(Cpi_[[#This Row],[Year]:[Month]],crudeoil[],3,FALSE)</f>
        <v>#VALUE!</v>
      </c>
    </row>
    <row r="7960" spans="1:8" hidden="1" x14ac:dyDescent="0.3">
      <c r="A7960" t="s">
        <v>30</v>
      </c>
      <c r="B7960">
        <v>2021</v>
      </c>
      <c r="C7960" t="s">
        <v>37</v>
      </c>
      <c r="D7960" t="s">
        <v>23</v>
      </c>
      <c r="E7960" t="e">
        <f>VLOOKUP(Cpi_[[#This Row],[Attribute]],#REF!,2,FALSE)</f>
        <v>#REF!</v>
      </c>
      <c r="F7960">
        <v>165.3</v>
      </c>
      <c r="G7960">
        <f>(Cpi_[[#This Row],[Value]]-F7959)/F7959</f>
        <v>6.3022508038585279E-2</v>
      </c>
      <c r="H7960" t="e" cm="1" vm="1">
        <f t="array" aca="1" ref="H7960" ca="1">VLOOKUP(Cpi_[[#This Row],[Year]:[Month]],crudeoil[],3,FALSE)</f>
        <v>#VALUE!</v>
      </c>
    </row>
    <row r="7961" spans="1:8" hidden="1" x14ac:dyDescent="0.3">
      <c r="A7961" t="s">
        <v>30</v>
      </c>
      <c r="B7961">
        <v>2021</v>
      </c>
      <c r="C7961" t="s">
        <v>37</v>
      </c>
      <c r="D7961" t="s">
        <v>24</v>
      </c>
      <c r="E7961" t="e">
        <f>VLOOKUP(Cpi_[[#This Row],[Attribute]],#REF!,2,FALSE)</f>
        <v>#REF!</v>
      </c>
      <c r="F7961">
        <v>151.69999999999999</v>
      </c>
      <c r="G7961">
        <f>(Cpi_[[#This Row],[Value]]-F7960)/F7960</f>
        <v>-8.2274652147610539E-2</v>
      </c>
      <c r="H7961" t="e" cm="1" vm="1">
        <f t="array" aca="1" ref="H7961" ca="1">VLOOKUP(Cpi_[[#This Row],[Year]:[Month]],crudeoil[],3,FALSE)</f>
        <v>#VALUE!</v>
      </c>
    </row>
    <row r="7962" spans="1:8" hidden="1" x14ac:dyDescent="0.3">
      <c r="A7962" t="s">
        <v>30</v>
      </c>
      <c r="B7962">
        <v>2021</v>
      </c>
      <c r="C7962" t="s">
        <v>37</v>
      </c>
      <c r="D7962" t="s">
        <v>25</v>
      </c>
      <c r="E7962" t="e">
        <f>VLOOKUP(Cpi_[[#This Row],[Attribute]],#REF!,2,FALSE)</f>
        <v>#REF!</v>
      </c>
      <c r="F7962">
        <v>158.6</v>
      </c>
      <c r="G7962">
        <f>(Cpi_[[#This Row],[Value]]-F7961)/F7961</f>
        <v>4.5484508899143086E-2</v>
      </c>
      <c r="H7962" t="e" cm="1" vm="1">
        <f t="array" aca="1" ref="H7962" ca="1">VLOOKUP(Cpi_[[#This Row],[Year]:[Month]],crudeoil[],3,FALSE)</f>
        <v>#VALUE!</v>
      </c>
    </row>
    <row r="7963" spans="1:8" hidden="1" x14ac:dyDescent="0.3">
      <c r="A7963" t="s">
        <v>30</v>
      </c>
      <c r="B7963">
        <v>2021</v>
      </c>
      <c r="C7963" t="s">
        <v>37</v>
      </c>
      <c r="D7963" t="s">
        <v>26</v>
      </c>
      <c r="E7963" t="e">
        <f>VLOOKUP(Cpi_[[#This Row],[Attribute]],#REF!,2,FALSE)</f>
        <v>#REF!</v>
      </c>
      <c r="F7963">
        <v>164.1</v>
      </c>
      <c r="G7963">
        <f>(Cpi_[[#This Row],[Value]]-F7962)/F7962</f>
        <v>3.467843631778058E-2</v>
      </c>
      <c r="H7963" t="e" cm="1" vm="1">
        <f t="array" aca="1" ref="H7963" ca="1">VLOOKUP(Cpi_[[#This Row],[Year]:[Month]],crudeoil[],3,FALSE)</f>
        <v>#VALUE!</v>
      </c>
    </row>
    <row r="7964" spans="1:8" hidden="1" x14ac:dyDescent="0.3">
      <c r="A7964" t="s">
        <v>30</v>
      </c>
      <c r="B7964">
        <v>2021</v>
      </c>
      <c r="C7964" t="s">
        <v>37</v>
      </c>
      <c r="D7964" t="s">
        <v>27</v>
      </c>
      <c r="E7964" t="e">
        <f>VLOOKUP(Cpi_[[#This Row],[Attribute]],#REF!,2,FALSE)</f>
        <v>#REF!</v>
      </c>
      <c r="F7964">
        <v>154.6</v>
      </c>
      <c r="G7964">
        <f>(Cpi_[[#This Row],[Value]]-F7963)/F7963</f>
        <v>-5.7891529555149299E-2</v>
      </c>
      <c r="H7964" t="e" cm="1" vm="1">
        <f t="array" aca="1" ref="H7964" ca="1">VLOOKUP(Cpi_[[#This Row],[Year]:[Month]],crudeoil[],3,FALSE)</f>
        <v>#VALUE!</v>
      </c>
    </row>
    <row r="7965" spans="1:8" hidden="1" x14ac:dyDescent="0.3">
      <c r="A7965" t="s">
        <v>30</v>
      </c>
      <c r="B7965">
        <v>2021</v>
      </c>
      <c r="C7965" t="s">
        <v>37</v>
      </c>
      <c r="D7965" t="s">
        <v>28</v>
      </c>
      <c r="E7965" t="e">
        <f>VLOOKUP(Cpi_[[#This Row],[Attribute]],#REF!,2,FALSE)</f>
        <v>#REF!</v>
      </c>
      <c r="F7965">
        <v>158</v>
      </c>
      <c r="G7965">
        <f>(Cpi_[[#This Row],[Value]]-F7964)/F7964</f>
        <v>2.1992238033635224E-2</v>
      </c>
      <c r="H7965" t="e" cm="1" vm="1">
        <f t="array" aca="1" ref="H7965" ca="1">VLOOKUP(Cpi_[[#This Row],[Year]:[Month]],crudeoil[],3,FALSE)</f>
        <v>#VALUE!</v>
      </c>
    </row>
    <row r="7966" spans="1:8" hidden="1" x14ac:dyDescent="0.3">
      <c r="A7966" t="s">
        <v>30</v>
      </c>
      <c r="B7966">
        <v>2021</v>
      </c>
      <c r="C7966" t="s">
        <v>37</v>
      </c>
      <c r="D7966" t="s">
        <v>29</v>
      </c>
      <c r="E7966" t="e" cm="1">
        <f t="array" aca="1" ref="E7966" ca="1">VLGeneral indexGeneral indexKUP(Cpi_[[#This Row],[Attribute]],#REF!,2,FALSE)</f>
        <v>#NAME?</v>
      </c>
      <c r="F7966">
        <v>157.6</v>
      </c>
      <c r="G7966">
        <f>(Cpi_[[#This Row],[Value]]-F7965)/F7965</f>
        <v>-2.5316455696202892E-3</v>
      </c>
      <c r="H7966" t="e" cm="1" vm="1">
        <f t="array" aca="1" ref="H7966" ca="1">VLOOKUP(Cpi_[[#This Row],[Year]:[Month]],crudeoil[],3,FALSE)</f>
        <v>#VALUE!</v>
      </c>
    </row>
    <row r="7967" spans="1:8" hidden="1" x14ac:dyDescent="0.3">
      <c r="A7967" t="s">
        <v>33</v>
      </c>
      <c r="B7967">
        <v>2021</v>
      </c>
      <c r="C7967" t="s">
        <v>37</v>
      </c>
      <c r="D7967" t="s">
        <v>3</v>
      </c>
      <c r="E7967" t="e">
        <f>VLOOKUP(Cpi_[[#This Row],[Attribute]],#REF!,2,FALSE)</f>
        <v>#REF!</v>
      </c>
      <c r="F7967">
        <v>147.6</v>
      </c>
      <c r="G7967">
        <f>(Cpi_[[#This Row],[Value]]-F7966)/F7966</f>
        <v>-6.3451776649746189E-2</v>
      </c>
      <c r="H7967" t="e" cm="1" vm="1">
        <f t="array" aca="1" ref="H7967" ca="1">VLOOKUP(Cpi_[[#This Row],[Year]:[Month]],crudeoil[],3,FALSE)</f>
        <v>#VALUE!</v>
      </c>
    </row>
    <row r="7968" spans="1:8" hidden="1" x14ac:dyDescent="0.3">
      <c r="A7968" t="s">
        <v>33</v>
      </c>
      <c r="B7968">
        <v>2021</v>
      </c>
      <c r="C7968" t="s">
        <v>37</v>
      </c>
      <c r="D7968" t="s">
        <v>4</v>
      </c>
      <c r="E7968" t="e">
        <f>VLOOKUP(Cpi_[[#This Row],[Attribute]],#REF!,2,FALSE)</f>
        <v>#REF!</v>
      </c>
      <c r="F7968">
        <v>202.5</v>
      </c>
      <c r="G7968">
        <f>(Cpi_[[#This Row],[Value]]-F7967)/F7967</f>
        <v>0.37195121951219517</v>
      </c>
      <c r="H7968" t="e" cm="1" vm="1">
        <f t="array" aca="1" ref="H7968" ca="1">VLOOKUP(Cpi_[[#This Row],[Year]:[Month]],crudeoil[],3,FALSE)</f>
        <v>#VALUE!</v>
      </c>
    </row>
    <row r="7969" spans="1:8" hidden="1" x14ac:dyDescent="0.3">
      <c r="A7969" t="s">
        <v>33</v>
      </c>
      <c r="B7969">
        <v>2021</v>
      </c>
      <c r="C7969" t="s">
        <v>37</v>
      </c>
      <c r="D7969" t="s">
        <v>5</v>
      </c>
      <c r="E7969" t="e">
        <f>VLOOKUP(Cpi_[[#This Row],[Attribute]],#REF!,2,FALSE)</f>
        <v>#REF!</v>
      </c>
      <c r="F7969">
        <v>166.4</v>
      </c>
      <c r="G7969">
        <f>(Cpi_[[#This Row],[Value]]-F7968)/F7968</f>
        <v>-0.17827160493827157</v>
      </c>
      <c r="H7969" t="e" cm="1" vm="1">
        <f t="array" aca="1" ref="H7969" ca="1">VLOOKUP(Cpi_[[#This Row],[Year]:[Month]],crudeoil[],3,FALSE)</f>
        <v>#VALUE!</v>
      </c>
    </row>
    <row r="7970" spans="1:8" hidden="1" x14ac:dyDescent="0.3">
      <c r="A7970" t="s">
        <v>33</v>
      </c>
      <c r="B7970">
        <v>2021</v>
      </c>
      <c r="C7970" t="s">
        <v>37</v>
      </c>
      <c r="D7970" t="s">
        <v>6</v>
      </c>
      <c r="E7970" t="e">
        <f>VLOOKUP(Cpi_[[#This Row],[Attribute]],#REF!,2,FALSE)</f>
        <v>#REF!</v>
      </c>
      <c r="F7970">
        <v>156</v>
      </c>
      <c r="G7970">
        <f>(Cpi_[[#This Row],[Value]]-F7969)/F7969</f>
        <v>-6.2500000000000028E-2</v>
      </c>
      <c r="H7970" t="e" cm="1" vm="1">
        <f t="array" aca="1" ref="H7970" ca="1">VLOOKUP(Cpi_[[#This Row],[Year]:[Month]],crudeoil[],3,FALSE)</f>
        <v>#VALUE!</v>
      </c>
    </row>
    <row r="7971" spans="1:8" hidden="1" x14ac:dyDescent="0.3">
      <c r="A7971" t="s">
        <v>33</v>
      </c>
      <c r="B7971">
        <v>2021</v>
      </c>
      <c r="C7971" t="s">
        <v>37</v>
      </c>
      <c r="D7971" t="s">
        <v>7</v>
      </c>
      <c r="E7971" t="e">
        <f>VLOOKUP(Cpi_[[#This Row],[Attribute]],#REF!,2,FALSE)</f>
        <v>#REF!</v>
      </c>
      <c r="F7971">
        <v>161.4</v>
      </c>
      <c r="G7971">
        <f>(Cpi_[[#This Row],[Value]]-F7970)/F7970</f>
        <v>3.4615384615384652E-2</v>
      </c>
      <c r="H7971" t="e" cm="1" vm="1">
        <f t="array" aca="1" ref="H7971" ca="1">VLOOKUP(Cpi_[[#This Row],[Year]:[Month]],crudeoil[],3,FALSE)</f>
        <v>#VALUE!</v>
      </c>
    </row>
    <row r="7972" spans="1:8" hidden="1" x14ac:dyDescent="0.3">
      <c r="A7972" t="s">
        <v>33</v>
      </c>
      <c r="B7972">
        <v>2021</v>
      </c>
      <c r="C7972" t="s">
        <v>37</v>
      </c>
      <c r="D7972" t="s">
        <v>8</v>
      </c>
      <c r="E7972" t="e">
        <f>VLOOKUP(Cpi_[[#This Row],[Attribute]],#REF!,2,FALSE)</f>
        <v>#REF!</v>
      </c>
      <c r="F7972">
        <v>168.8</v>
      </c>
      <c r="G7972">
        <f>(Cpi_[[#This Row],[Value]]-F7971)/F7971</f>
        <v>4.5848822800495695E-2</v>
      </c>
      <c r="H7972" t="e" cm="1" vm="1">
        <f t="array" aca="1" ref="H7972" ca="1">VLOOKUP(Cpi_[[#This Row],[Year]:[Month]],crudeoil[],3,FALSE)</f>
        <v>#VALUE!</v>
      </c>
    </row>
    <row r="7973" spans="1:8" hidden="1" x14ac:dyDescent="0.3">
      <c r="A7973" t="s">
        <v>33</v>
      </c>
      <c r="B7973">
        <v>2021</v>
      </c>
      <c r="C7973" t="s">
        <v>37</v>
      </c>
      <c r="D7973" t="s">
        <v>9</v>
      </c>
      <c r="E7973" t="e">
        <f>VLOOKUP(Cpi_[[#This Row],[Attribute]],#REF!,2,FALSE)</f>
        <v>#REF!</v>
      </c>
      <c r="F7973">
        <v>161.6</v>
      </c>
      <c r="G7973">
        <f>(Cpi_[[#This Row],[Value]]-F7972)/F7972</f>
        <v>-4.2654028436019058E-2</v>
      </c>
      <c r="H7973" t="e" cm="1" vm="1">
        <f t="array" aca="1" ref="H7973" ca="1">VLOOKUP(Cpi_[[#This Row],[Year]:[Month]],crudeoil[],3,FALSE)</f>
        <v>#VALUE!</v>
      </c>
    </row>
    <row r="7974" spans="1:8" hidden="1" x14ac:dyDescent="0.3">
      <c r="A7974" t="s">
        <v>33</v>
      </c>
      <c r="B7974">
        <v>2021</v>
      </c>
      <c r="C7974" t="s">
        <v>37</v>
      </c>
      <c r="D7974" t="s">
        <v>10</v>
      </c>
      <c r="E7974" t="e">
        <f>VLOOKUP(Cpi_[[#This Row],[Attribute]],#REF!,2,FALSE)</f>
        <v>#REF!</v>
      </c>
      <c r="F7974">
        <v>162.80000000000001</v>
      </c>
      <c r="G7974">
        <f>(Cpi_[[#This Row],[Value]]-F7973)/F7973</f>
        <v>7.4257425742575312E-3</v>
      </c>
      <c r="H7974" t="e" cm="1" vm="1">
        <f t="array" aca="1" ref="H7974" ca="1">VLOOKUP(Cpi_[[#This Row],[Year]:[Month]],crudeoil[],3,FALSE)</f>
        <v>#VALUE!</v>
      </c>
    </row>
    <row r="7975" spans="1:8" hidden="1" x14ac:dyDescent="0.3">
      <c r="A7975" t="s">
        <v>33</v>
      </c>
      <c r="B7975">
        <v>2021</v>
      </c>
      <c r="C7975" t="s">
        <v>37</v>
      </c>
      <c r="D7975" t="s">
        <v>11</v>
      </c>
      <c r="E7975" t="e">
        <f>VLOOKUP(Cpi_[[#This Row],[Attribute]],#REF!,2,FALSE)</f>
        <v>#REF!</v>
      </c>
      <c r="F7975">
        <v>114.8</v>
      </c>
      <c r="G7975">
        <f>(Cpi_[[#This Row],[Value]]-F7974)/F7974</f>
        <v>-0.29484029484029489</v>
      </c>
      <c r="H7975" t="e" cm="1" vm="1">
        <f t="array" aca="1" ref="H7975" ca="1">VLOOKUP(Cpi_[[#This Row],[Year]:[Month]],crudeoil[],3,FALSE)</f>
        <v>#VALUE!</v>
      </c>
    </row>
    <row r="7976" spans="1:8" hidden="1" x14ac:dyDescent="0.3">
      <c r="A7976" t="s">
        <v>33</v>
      </c>
      <c r="B7976">
        <v>2021</v>
      </c>
      <c r="C7976" t="s">
        <v>37</v>
      </c>
      <c r="D7976" t="s">
        <v>12</v>
      </c>
      <c r="E7976" t="e">
        <f>VLOOKUP(Cpi_[[#This Row],[Attribute]],#REF!,2,FALSE)</f>
        <v>#REF!</v>
      </c>
      <c r="F7976">
        <v>162.80000000000001</v>
      </c>
      <c r="G7976">
        <f>(Cpi_[[#This Row],[Value]]-F7975)/F7975</f>
        <v>0.41811846689895482</v>
      </c>
      <c r="H7976" t="e" cm="1" vm="1">
        <f t="array" aca="1" ref="H7976" ca="1">VLOOKUP(Cpi_[[#This Row],[Year]:[Month]],crudeoil[],3,FALSE)</f>
        <v>#VALUE!</v>
      </c>
    </row>
    <row r="7977" spans="1:8" hidden="1" x14ac:dyDescent="0.3">
      <c r="A7977" t="s">
        <v>33</v>
      </c>
      <c r="B7977">
        <v>2021</v>
      </c>
      <c r="C7977" t="s">
        <v>37</v>
      </c>
      <c r="D7977" t="s">
        <v>13</v>
      </c>
      <c r="E7977" t="e">
        <f>VLOOKUP(Cpi_[[#This Row],[Attribute]],#REF!,2,FALSE)</f>
        <v>#REF!</v>
      </c>
      <c r="F7977">
        <v>151.5</v>
      </c>
      <c r="G7977">
        <f>(Cpi_[[#This Row],[Value]]-F7976)/F7976</f>
        <v>-6.9410319410319471E-2</v>
      </c>
      <c r="H7977" t="e" cm="1" vm="1">
        <f t="array" aca="1" ref="H7977" ca="1">VLOOKUP(Cpi_[[#This Row],[Year]:[Month]],crudeoil[],3,FALSE)</f>
        <v>#VALUE!</v>
      </c>
    </row>
    <row r="7978" spans="1:8" hidden="1" x14ac:dyDescent="0.3">
      <c r="A7978" t="s">
        <v>33</v>
      </c>
      <c r="B7978">
        <v>2021</v>
      </c>
      <c r="C7978" t="s">
        <v>37</v>
      </c>
      <c r="D7978" t="s">
        <v>14</v>
      </c>
      <c r="E7978" t="e">
        <f>VLOOKUP(Cpi_[[#This Row],[Attribute]],#REF!,2,FALSE)</f>
        <v>#REF!</v>
      </c>
      <c r="F7978">
        <v>171.4</v>
      </c>
      <c r="G7978">
        <f>(Cpi_[[#This Row],[Value]]-F7977)/F7977</f>
        <v>0.13135313531353138</v>
      </c>
      <c r="H7978" t="e" cm="1" vm="1">
        <f t="array" aca="1" ref="H7978" ca="1">VLOOKUP(Cpi_[[#This Row],[Year]:[Month]],crudeoil[],3,FALSE)</f>
        <v>#VALUE!</v>
      </c>
    </row>
    <row r="7979" spans="1:8" hidden="1" x14ac:dyDescent="0.3">
      <c r="A7979" t="s">
        <v>33</v>
      </c>
      <c r="B7979">
        <v>2021</v>
      </c>
      <c r="C7979" t="s">
        <v>37</v>
      </c>
      <c r="D7979" t="s">
        <v>15</v>
      </c>
      <c r="E7979" t="e">
        <f>VLOOKUP(Cpi_[[#This Row],[Attribute]],#REF!,2,FALSE)</f>
        <v>#REF!</v>
      </c>
      <c r="F7979">
        <v>162</v>
      </c>
      <c r="G7979">
        <f>(Cpi_[[#This Row],[Value]]-F7978)/F7978</f>
        <v>-5.4842473745624301E-2</v>
      </c>
      <c r="H7979" t="e" cm="1" vm="1">
        <f t="array" aca="1" ref="H7979" ca="1">VLOOKUP(Cpi_[[#This Row],[Year]:[Month]],crudeoil[],3,FALSE)</f>
        <v>#VALUE!</v>
      </c>
    </row>
    <row r="7980" spans="1:8" hidden="1" x14ac:dyDescent="0.3">
      <c r="A7980" t="s">
        <v>33</v>
      </c>
      <c r="B7980">
        <v>2021</v>
      </c>
      <c r="C7980" t="s">
        <v>37</v>
      </c>
      <c r="D7980" t="s">
        <v>16</v>
      </c>
      <c r="E7980" t="e">
        <f>VLOOKUP(Cpi_[[#This Row],[Attribute]],#REF!,2,FALSE)</f>
        <v>#REF!</v>
      </c>
      <c r="F7980">
        <v>194.4</v>
      </c>
      <c r="G7980">
        <f>(Cpi_[[#This Row],[Value]]-F7979)/F7979</f>
        <v>0.20000000000000004</v>
      </c>
      <c r="H7980" t="e" cm="1" vm="1">
        <f t="array" aca="1" ref="H7980" ca="1">VLOOKUP(Cpi_[[#This Row],[Year]:[Month]],crudeoil[],3,FALSE)</f>
        <v>#VALUE!</v>
      </c>
    </row>
    <row r="7981" spans="1:8" hidden="1" x14ac:dyDescent="0.3">
      <c r="A7981" t="s">
        <v>33</v>
      </c>
      <c r="B7981">
        <v>2021</v>
      </c>
      <c r="C7981" t="s">
        <v>37</v>
      </c>
      <c r="D7981" t="s">
        <v>17</v>
      </c>
      <c r="E7981" t="e">
        <f>VLOOKUP(Cpi_[[#This Row],[Attribute]],#REF!,2,FALSE)</f>
        <v>#REF!</v>
      </c>
      <c r="F7981">
        <v>155.9</v>
      </c>
      <c r="G7981">
        <f>(Cpi_[[#This Row],[Value]]-F7980)/F7980</f>
        <v>-0.19804526748971193</v>
      </c>
      <c r="H7981" t="e" cm="1" vm="1">
        <f t="array" aca="1" ref="H7981" ca="1">VLOOKUP(Cpi_[[#This Row],[Year]:[Month]],crudeoil[],3,FALSE)</f>
        <v>#VALUE!</v>
      </c>
    </row>
    <row r="7982" spans="1:8" hidden="1" x14ac:dyDescent="0.3">
      <c r="A7982" t="s">
        <v>33</v>
      </c>
      <c r="B7982">
        <v>2021</v>
      </c>
      <c r="C7982" t="s">
        <v>37</v>
      </c>
      <c r="D7982" t="s">
        <v>18</v>
      </c>
      <c r="E7982" t="e">
        <f>VLOOKUP(Cpi_[[#This Row],[Attribute]],#REF!,2,FALSE)</f>
        <v>#REF!</v>
      </c>
      <c r="F7982">
        <v>139.30000000000001</v>
      </c>
      <c r="G7982">
        <f>(Cpi_[[#This Row],[Value]]-F7981)/F7981</f>
        <v>-0.1064785118665811</v>
      </c>
      <c r="H7982" t="e" cm="1" vm="1">
        <f t="array" aca="1" ref="H7982" ca="1">VLOOKUP(Cpi_[[#This Row],[Year]:[Month]],crudeoil[],3,FALSE)</f>
        <v>#VALUE!</v>
      </c>
    </row>
    <row r="7983" spans="1:8" hidden="1" x14ac:dyDescent="0.3">
      <c r="A7983" t="s">
        <v>33</v>
      </c>
      <c r="B7983">
        <v>2021</v>
      </c>
      <c r="C7983" t="s">
        <v>37</v>
      </c>
      <c r="D7983" t="s">
        <v>19</v>
      </c>
      <c r="E7983" t="e">
        <f>VLOOKUP(Cpi_[[#This Row],[Attribute]],#REF!,2,FALSE)</f>
        <v>#REF!</v>
      </c>
      <c r="F7983">
        <v>153.4</v>
      </c>
      <c r="G7983">
        <f>(Cpi_[[#This Row],[Value]]-F7982)/F7982</f>
        <v>0.10122038765254841</v>
      </c>
      <c r="H7983" t="e" cm="1" vm="1">
        <f t="array" aca="1" ref="H7983" ca="1">VLOOKUP(Cpi_[[#This Row],[Year]:[Month]],crudeoil[],3,FALSE)</f>
        <v>#VALUE!</v>
      </c>
    </row>
    <row r="7984" spans="1:8" hidden="1" x14ac:dyDescent="0.3">
      <c r="A7984" t="s">
        <v>33</v>
      </c>
      <c r="B7984">
        <v>2021</v>
      </c>
      <c r="C7984" t="s">
        <v>37</v>
      </c>
      <c r="D7984" t="s">
        <v>20</v>
      </c>
      <c r="E7984" t="e">
        <f>VLOOKUP(Cpi_[[#This Row],[Attribute]],#REF!,2,FALSE)</f>
        <v>#REF!</v>
      </c>
      <c r="F7984">
        <v>161.4</v>
      </c>
      <c r="G7984">
        <f>(Cpi_[[#This Row],[Value]]-F7983)/F7983</f>
        <v>5.2151238591916553E-2</v>
      </c>
      <c r="H7984" t="e" cm="1" vm="1">
        <f t="array" aca="1" ref="H7984" ca="1">VLOOKUP(Cpi_[[#This Row],[Year]:[Month]],crudeoil[],3,FALSE)</f>
        <v>#VALUE!</v>
      </c>
    </row>
    <row r="7985" spans="1:10" hidden="1" x14ac:dyDescent="0.3">
      <c r="A7985" t="s">
        <v>33</v>
      </c>
      <c r="B7985">
        <v>2021</v>
      </c>
      <c r="C7985" t="s">
        <v>37</v>
      </c>
      <c r="D7985" t="s">
        <v>21</v>
      </c>
      <c r="E7985" t="e">
        <f>VLOOKUP(Cpi_[[#This Row],[Attribute]],#REF!,2,FALSE)</f>
        <v>#REF!</v>
      </c>
      <c r="F7985">
        <v>154.9</v>
      </c>
      <c r="G7985">
        <f>(Cpi_[[#This Row],[Value]]-F7984)/F7984</f>
        <v>-4.0272614622057001E-2</v>
      </c>
      <c r="H7985" t="e" cm="1" vm="1">
        <f t="array" aca="1" ref="H7985" ca="1">VLOOKUP(Cpi_[[#This Row],[Year]:[Month]],crudeoil[],3,FALSE)</f>
        <v>#VALUE!</v>
      </c>
    </row>
    <row r="7986" spans="1:10" hidden="1" x14ac:dyDescent="0.3">
      <c r="A7986" t="s">
        <v>33</v>
      </c>
      <c r="B7986">
        <v>2021</v>
      </c>
      <c r="C7986" t="s">
        <v>37</v>
      </c>
      <c r="D7986" t="s">
        <v>22</v>
      </c>
      <c r="E7986" t="e">
        <f>VLOOKUP(Cpi_[[#This Row],[Attribute]],#REF!,2,FALSE)</f>
        <v>#REF!</v>
      </c>
      <c r="F7986">
        <v>147.6</v>
      </c>
      <c r="G7986">
        <f>(Cpi_[[#This Row],[Value]]-F7985)/F7985</f>
        <v>-4.7127178825048487E-2</v>
      </c>
      <c r="H7986" t="e" cm="1" vm="1">
        <f t="array" aca="1" ref="H7986" ca="1">VLOOKUP(Cpi_[[#This Row],[Year]:[Month]],crudeoil[],3,FALSE)</f>
        <v>#VALUE!</v>
      </c>
    </row>
    <row r="7987" spans="1:10" hidden="1" x14ac:dyDescent="0.3">
      <c r="A7987" t="s">
        <v>33</v>
      </c>
      <c r="B7987">
        <v>2021</v>
      </c>
      <c r="C7987" t="s">
        <v>37</v>
      </c>
      <c r="D7987" t="s">
        <v>23</v>
      </c>
      <c r="E7987" t="e">
        <f>VLOOKUP(Cpi_[[#This Row],[Attribute]],#REF!,2,FALSE)</f>
        <v>#REF!</v>
      </c>
      <c r="F7987">
        <v>157.5</v>
      </c>
      <c r="G7987">
        <f>(Cpi_[[#This Row],[Value]]-F7986)/F7986</f>
        <v>6.7073170731707363E-2</v>
      </c>
      <c r="H7987" t="e" cm="1" vm="1">
        <f t="array" aca="1" ref="H7987" ca="1">VLOOKUP(Cpi_[[#This Row],[Year]:[Month]],crudeoil[],3,FALSE)</f>
        <v>#VALUE!</v>
      </c>
    </row>
    <row r="7988" spans="1:10" hidden="1" x14ac:dyDescent="0.3">
      <c r="A7988" t="s">
        <v>33</v>
      </c>
      <c r="B7988">
        <v>2021</v>
      </c>
      <c r="C7988" t="s">
        <v>37</v>
      </c>
      <c r="D7988" t="s">
        <v>24</v>
      </c>
      <c r="E7988" t="e">
        <f>VLOOKUP(Cpi_[[#This Row],[Attribute]],#REF!,2,FALSE)</f>
        <v>#REF!</v>
      </c>
      <c r="F7988">
        <v>142.1</v>
      </c>
      <c r="G7988">
        <f>(Cpi_[[#This Row],[Value]]-F7987)/F7987</f>
        <v>-9.7777777777777811E-2</v>
      </c>
      <c r="H7988" t="e" cm="1" vm="1">
        <f t="array" aca="1" ref="H7988" ca="1">VLOOKUP(Cpi_[[#This Row],[Year]:[Month]],crudeoil[],3,FALSE)</f>
        <v>#VALUE!</v>
      </c>
    </row>
    <row r="7989" spans="1:10" hidden="1" x14ac:dyDescent="0.3">
      <c r="A7989" t="s">
        <v>33</v>
      </c>
      <c r="B7989">
        <v>2021</v>
      </c>
      <c r="C7989" t="s">
        <v>37</v>
      </c>
      <c r="D7989" t="s">
        <v>25</v>
      </c>
      <c r="E7989" t="e">
        <f>VLOOKUP(Cpi_[[#This Row],[Attribute]],#REF!,2,FALSE)</f>
        <v>#REF!</v>
      </c>
      <c r="F7989">
        <v>149.1</v>
      </c>
      <c r="G7989">
        <f>(Cpi_[[#This Row],[Value]]-F7988)/F7988</f>
        <v>4.9261083743842367E-2</v>
      </c>
      <c r="H7989" t="e" cm="1" vm="1">
        <f t="array" aca="1" ref="H7989" ca="1">VLOOKUP(Cpi_[[#This Row],[Year]:[Month]],crudeoil[],3,FALSE)</f>
        <v>#VALUE!</v>
      </c>
    </row>
    <row r="7990" spans="1:10" hidden="1" x14ac:dyDescent="0.3">
      <c r="A7990" t="s">
        <v>33</v>
      </c>
      <c r="B7990">
        <v>2021</v>
      </c>
      <c r="C7990" t="s">
        <v>37</v>
      </c>
      <c r="D7990" t="s">
        <v>26</v>
      </c>
      <c r="E7990" t="e">
        <f>VLOOKUP(Cpi_[[#This Row],[Attribute]],#REF!,2,FALSE)</f>
        <v>#REF!</v>
      </c>
      <c r="F7990">
        <v>157.6</v>
      </c>
      <c r="G7990">
        <f>(Cpi_[[#This Row],[Value]]-F7989)/F7989</f>
        <v>5.7008718980549968E-2</v>
      </c>
      <c r="H7990" t="e" cm="1" vm="1">
        <f t="array" aca="1" ref="H7990" ca="1">VLOOKUP(Cpi_[[#This Row],[Year]:[Month]],crudeoil[],3,FALSE)</f>
        <v>#VALUE!</v>
      </c>
    </row>
    <row r="7991" spans="1:10" hidden="1" x14ac:dyDescent="0.3">
      <c r="A7991" t="s">
        <v>33</v>
      </c>
      <c r="B7991">
        <v>2021</v>
      </c>
      <c r="C7991" t="s">
        <v>37</v>
      </c>
      <c r="D7991" t="s">
        <v>27</v>
      </c>
      <c r="E7991" t="e">
        <f>VLOOKUP(Cpi_[[#This Row],[Attribute]],#REF!,2,FALSE)</f>
        <v>#REF!</v>
      </c>
      <c r="F7991">
        <v>156.6</v>
      </c>
      <c r="G7991">
        <f>(Cpi_[[#This Row],[Value]]-F7990)/F7990</f>
        <v>-6.3451776649746192E-3</v>
      </c>
      <c r="H7991" t="e" cm="1" vm="1">
        <f t="array" aca="1" ref="H7991" ca="1">VLOOKUP(Cpi_[[#This Row],[Year]:[Month]],crudeoil[],3,FALSE)</f>
        <v>#VALUE!</v>
      </c>
    </row>
    <row r="7992" spans="1:10" hidden="1" x14ac:dyDescent="0.3">
      <c r="A7992" t="s">
        <v>33</v>
      </c>
      <c r="B7992">
        <v>2021</v>
      </c>
      <c r="C7992" t="s">
        <v>37</v>
      </c>
      <c r="D7992" t="s">
        <v>28</v>
      </c>
      <c r="E7992" t="e">
        <f>VLOOKUP(Cpi_[[#This Row],[Attribute]],#REF!,2,FALSE)</f>
        <v>#REF!</v>
      </c>
      <c r="F7992">
        <v>150.5</v>
      </c>
      <c r="G7992">
        <f>(Cpi_[[#This Row],[Value]]-F7991)/F7991</f>
        <v>-3.8952745849297539E-2</v>
      </c>
      <c r="H7992" t="e" cm="1" vm="1">
        <f t="array" aca="1" ref="H7992" ca="1">VLOOKUP(Cpi_[[#This Row],[Year]:[Month]],crudeoil[],3,FALSE)</f>
        <v>#VALUE!</v>
      </c>
    </row>
    <row r="7993" spans="1:10" hidden="1" x14ac:dyDescent="0.3">
      <c r="A7993" t="s">
        <v>33</v>
      </c>
      <c r="B7993">
        <v>2021</v>
      </c>
      <c r="C7993" t="s">
        <v>37</v>
      </c>
      <c r="D7993" t="s">
        <v>29</v>
      </c>
      <c r="E7993" t="e" cm="1">
        <f t="array" aca="1" ref="E7993" ca="1">VLGeneral indexGeneral indexKUP(Cpi_[[#This Row],[Attribute]],#REF!,2,FALSE)</f>
        <v>#NAME?</v>
      </c>
      <c r="F7993">
        <v>158</v>
      </c>
      <c r="G7993">
        <f>(Cpi_[[#This Row],[Value]]-F7992)/F7992</f>
        <v>4.9833887043189369E-2</v>
      </c>
      <c r="H7993" t="e" cm="1" vm="1">
        <f t="array" aca="1" ref="H7993" ca="1">VLOOKUP(Cpi_[[#This Row],[Year]:[Month]],crudeoil[],3,FALSE)</f>
        <v>#VALUE!</v>
      </c>
    </row>
    <row r="7994" spans="1:10" hidden="1" x14ac:dyDescent="0.3">
      <c r="A7994" t="s">
        <v>34</v>
      </c>
      <c r="B7994">
        <v>2021</v>
      </c>
      <c r="C7994" t="s">
        <v>37</v>
      </c>
      <c r="D7994" t="s">
        <v>3</v>
      </c>
      <c r="E7994" t="e">
        <f>VLOOKUP(Cpi_[[#This Row],[Attribute]],#REF!,2,FALSE)</f>
        <v>#REF!</v>
      </c>
      <c r="F7994">
        <v>144.30000000000001</v>
      </c>
      <c r="G7994">
        <f>(Cpi_[[#This Row],[Value]]-F7993)/F7993</f>
        <v>-8.6708860759493606E-2</v>
      </c>
      <c r="H7994" t="e" cm="1" vm="1">
        <f t="array" aca="1" ref="H7994" ca="1">VLOOKUP(Cpi_[[#This Row],[Year]:[Month]],crudeoil[],3,FALSE)</f>
        <v>#VALUE!</v>
      </c>
    </row>
    <row r="7995" spans="1:10" x14ac:dyDescent="0.3">
      <c r="A7995" t="s">
        <v>34</v>
      </c>
      <c r="B7995">
        <v>2021</v>
      </c>
      <c r="C7995" t="s">
        <v>37</v>
      </c>
      <c r="D7995" t="s">
        <v>4</v>
      </c>
      <c r="E7995" t="e">
        <f>VLOOKUP(Cpi_[[#This Row],[Attribute]],#REF!,2,FALSE)</f>
        <v>#REF!</v>
      </c>
      <c r="F7995">
        <v>198</v>
      </c>
      <c r="G7995" s="42">
        <f>(Cpi_[[#This Row],[Value]]-F7994)/F7994</f>
        <v>0.37214137214137205</v>
      </c>
      <c r="H7995" t="str">
        <f>LEFT(Cpi_[[#This Row],[Month]],3)</f>
        <v>Apr</v>
      </c>
      <c r="I7995" t="str">
        <f>RIGHT(Cpi_[[#This Row],[Year]],2)</f>
        <v>21</v>
      </c>
      <c r="J7995" t="str">
        <f>Cpi_[[#This Row],[Column3]]&amp;"-"&amp;Cpi_[[#This Row],[Column4]]</f>
        <v>Apr-21</v>
      </c>
    </row>
    <row r="7996" spans="1:10" x14ac:dyDescent="0.3">
      <c r="A7996" t="s">
        <v>34</v>
      </c>
      <c r="B7996">
        <v>2021</v>
      </c>
      <c r="C7996" t="s">
        <v>37</v>
      </c>
      <c r="D7996" t="s">
        <v>5</v>
      </c>
      <c r="E7996" t="e">
        <f>VLOOKUP(Cpi_[[#This Row],[Attribute]],#REF!,2,FALSE)</f>
        <v>#REF!</v>
      </c>
      <c r="F7996">
        <v>164.6</v>
      </c>
      <c r="G7996" s="42">
        <f>(Cpi_[[#This Row],[Value]]-F7995)/F7995</f>
        <v>-0.16868686868686872</v>
      </c>
      <c r="H7996" t="str">
        <f>LEFT(Cpi_[[#This Row],[Month]],3)</f>
        <v>Apr</v>
      </c>
      <c r="I7996" t="str">
        <f>RIGHT(Cpi_[[#This Row],[Year]],2)</f>
        <v>21</v>
      </c>
      <c r="J7996" t="str">
        <f>Cpi_[[#This Row],[Column3]]&amp;"-"&amp;Cpi_[[#This Row],[Column4]]</f>
        <v>Apr-21</v>
      </c>
    </row>
    <row r="7997" spans="1:10" x14ac:dyDescent="0.3">
      <c r="A7997" t="s">
        <v>34</v>
      </c>
      <c r="B7997">
        <v>2021</v>
      </c>
      <c r="C7997" t="s">
        <v>37</v>
      </c>
      <c r="D7997" t="s">
        <v>6</v>
      </c>
      <c r="E7997" t="e">
        <f>VLOOKUP(Cpi_[[#This Row],[Attribute]],#REF!,2,FALSE)</f>
        <v>#REF!</v>
      </c>
      <c r="F7997">
        <v>155.4</v>
      </c>
      <c r="G7997" s="42">
        <f>(Cpi_[[#This Row],[Value]]-F7996)/F7996</f>
        <v>-5.5893074119076479E-2</v>
      </c>
      <c r="H7997" t="str">
        <f>LEFT(Cpi_[[#This Row],[Month]],3)</f>
        <v>Apr</v>
      </c>
      <c r="I7997" t="str">
        <f>RIGHT(Cpi_[[#This Row],[Year]],2)</f>
        <v>21</v>
      </c>
      <c r="J7997" t="str">
        <f>Cpi_[[#This Row],[Column3]]&amp;"-"&amp;Cpi_[[#This Row],[Column4]]</f>
        <v>Apr-21</v>
      </c>
    </row>
    <row r="7998" spans="1:10" x14ac:dyDescent="0.3">
      <c r="A7998" t="s">
        <v>34</v>
      </c>
      <c r="B7998">
        <v>2021</v>
      </c>
      <c r="C7998" t="s">
        <v>37</v>
      </c>
      <c r="D7998" t="s">
        <v>7</v>
      </c>
      <c r="E7998" t="e">
        <f>VLOOKUP(Cpi_[[#This Row],[Attribute]],#REF!,2,FALSE)</f>
        <v>#REF!</v>
      </c>
      <c r="F7998">
        <v>170.1</v>
      </c>
      <c r="G7998" s="42">
        <f>(Cpi_[[#This Row],[Value]]-F7997)/F7997</f>
        <v>9.4594594594594517E-2</v>
      </c>
      <c r="H7998" t="str">
        <f>LEFT(Cpi_[[#This Row],[Month]],3)</f>
        <v>Apr</v>
      </c>
      <c r="I7998" t="str">
        <f>RIGHT(Cpi_[[#This Row],[Year]],2)</f>
        <v>21</v>
      </c>
      <c r="J7998" t="str">
        <f>Cpi_[[#This Row],[Column3]]&amp;"-"&amp;Cpi_[[#This Row],[Column4]]</f>
        <v>Apr-21</v>
      </c>
    </row>
    <row r="7999" spans="1:10" x14ac:dyDescent="0.3">
      <c r="A7999" t="s">
        <v>34</v>
      </c>
      <c r="B7999">
        <v>2021</v>
      </c>
      <c r="C7999" t="s">
        <v>37</v>
      </c>
      <c r="D7999" t="s">
        <v>8</v>
      </c>
      <c r="E7999" t="e">
        <f>VLOOKUP(Cpi_[[#This Row],[Attribute]],#REF!,2,FALSE)</f>
        <v>#REF!</v>
      </c>
      <c r="F7999">
        <v>164.4</v>
      </c>
      <c r="G7999" s="42">
        <f>(Cpi_[[#This Row],[Value]]-F7998)/F7998</f>
        <v>-3.3509700176366779E-2</v>
      </c>
      <c r="H7999" t="str">
        <f>LEFT(Cpi_[[#This Row],[Month]],3)</f>
        <v>Apr</v>
      </c>
      <c r="I7999" t="str">
        <f>RIGHT(Cpi_[[#This Row],[Year]],2)</f>
        <v>21</v>
      </c>
      <c r="J7999" t="str">
        <f>Cpi_[[#This Row],[Column3]]&amp;"-"&amp;Cpi_[[#This Row],[Column4]]</f>
        <v>Apr-21</v>
      </c>
    </row>
    <row r="8000" spans="1:10" x14ac:dyDescent="0.3">
      <c r="A8000" t="s">
        <v>34</v>
      </c>
      <c r="B8000">
        <v>2021</v>
      </c>
      <c r="C8000" t="s">
        <v>37</v>
      </c>
      <c r="D8000" t="s">
        <v>9</v>
      </c>
      <c r="E8000" t="e">
        <f>VLOOKUP(Cpi_[[#This Row],[Attribute]],#REF!,2,FALSE)</f>
        <v>#REF!</v>
      </c>
      <c r="F8000">
        <v>144.1</v>
      </c>
      <c r="G8000" s="42">
        <f>(Cpi_[[#This Row],[Value]]-F7999)/F7999</f>
        <v>-0.12347931873479326</v>
      </c>
      <c r="H8000" t="str">
        <f>LEFT(Cpi_[[#This Row],[Month]],3)</f>
        <v>Apr</v>
      </c>
      <c r="I8000" t="str">
        <f>RIGHT(Cpi_[[#This Row],[Year]],2)</f>
        <v>21</v>
      </c>
      <c r="J8000" t="str">
        <f>Cpi_[[#This Row],[Column3]]&amp;"-"&amp;Cpi_[[#This Row],[Column4]]</f>
        <v>Apr-21</v>
      </c>
    </row>
    <row r="8001" spans="1:10" x14ac:dyDescent="0.3">
      <c r="A8001" t="s">
        <v>34</v>
      </c>
      <c r="B8001">
        <v>2021</v>
      </c>
      <c r="C8001" t="s">
        <v>37</v>
      </c>
      <c r="D8001" t="s">
        <v>10</v>
      </c>
      <c r="E8001" t="e">
        <f>VLOOKUP(Cpi_[[#This Row],[Attribute]],#REF!,2,FALSE)</f>
        <v>#REF!</v>
      </c>
      <c r="F8001">
        <v>161.69999999999999</v>
      </c>
      <c r="G8001" s="42">
        <f>(Cpi_[[#This Row],[Value]]-F8000)/F8000</f>
        <v>0.12213740458015264</v>
      </c>
      <c r="H8001" t="str">
        <f>LEFT(Cpi_[[#This Row],[Month]],3)</f>
        <v>Apr</v>
      </c>
      <c r="I8001" t="str">
        <f>RIGHT(Cpi_[[#This Row],[Year]],2)</f>
        <v>21</v>
      </c>
      <c r="J8001" t="str">
        <f>Cpi_[[#This Row],[Column3]]&amp;"-"&amp;Cpi_[[#This Row],[Column4]]</f>
        <v>Apr-21</v>
      </c>
    </row>
    <row r="8002" spans="1:10" x14ac:dyDescent="0.3">
      <c r="A8002" t="s">
        <v>34</v>
      </c>
      <c r="B8002">
        <v>2021</v>
      </c>
      <c r="C8002" t="s">
        <v>37</v>
      </c>
      <c r="D8002" t="s">
        <v>11</v>
      </c>
      <c r="E8002" t="e">
        <f>VLOOKUP(Cpi_[[#This Row],[Attribute]],#REF!,2,FALSE)</f>
        <v>#REF!</v>
      </c>
      <c r="F8002">
        <v>113.1</v>
      </c>
      <c r="G8002" s="42">
        <f>(Cpi_[[#This Row],[Value]]-F8001)/F8001</f>
        <v>-0.30055658627087195</v>
      </c>
      <c r="H8002" t="str">
        <f>LEFT(Cpi_[[#This Row],[Month]],3)</f>
        <v>Apr</v>
      </c>
      <c r="I8002" t="str">
        <f>RIGHT(Cpi_[[#This Row],[Year]],2)</f>
        <v>21</v>
      </c>
      <c r="J8002" t="str">
        <f>Cpi_[[#This Row],[Column3]]&amp;"-"&amp;Cpi_[[#This Row],[Column4]]</f>
        <v>Apr-21</v>
      </c>
    </row>
    <row r="8003" spans="1:10" x14ac:dyDescent="0.3">
      <c r="A8003" t="s">
        <v>34</v>
      </c>
      <c r="B8003">
        <v>2021</v>
      </c>
      <c r="C8003" t="s">
        <v>37</v>
      </c>
      <c r="D8003" t="s">
        <v>12</v>
      </c>
      <c r="E8003" t="e">
        <f>VLOOKUP(Cpi_[[#This Row],[Attribute]],#REF!,2,FALSE)</f>
        <v>#REF!</v>
      </c>
      <c r="F8003">
        <v>163.9</v>
      </c>
      <c r="G8003" s="42">
        <f>(Cpi_[[#This Row],[Value]]-F8002)/F8002</f>
        <v>0.44916003536693205</v>
      </c>
      <c r="H8003" t="str">
        <f>LEFT(Cpi_[[#This Row],[Month]],3)</f>
        <v>Apr</v>
      </c>
      <c r="I8003" t="str">
        <f>RIGHT(Cpi_[[#This Row],[Year]],2)</f>
        <v>21</v>
      </c>
      <c r="J8003" t="str">
        <f>Cpi_[[#This Row],[Column3]]&amp;"-"&amp;Cpi_[[#This Row],[Column4]]</f>
        <v>Apr-21</v>
      </c>
    </row>
    <row r="8004" spans="1:10" x14ac:dyDescent="0.3">
      <c r="A8004" t="s">
        <v>34</v>
      </c>
      <c r="B8004">
        <v>2021</v>
      </c>
      <c r="C8004" t="s">
        <v>37</v>
      </c>
      <c r="D8004" t="s">
        <v>13</v>
      </c>
      <c r="E8004" t="e">
        <f>VLOOKUP(Cpi_[[#This Row],[Attribute]],#REF!,2,FALSE)</f>
        <v>#REF!</v>
      </c>
      <c r="F8004">
        <v>157.6</v>
      </c>
      <c r="G8004" s="42">
        <f>(Cpi_[[#This Row],[Value]]-F8003)/F8003</f>
        <v>-3.843807199511904E-2</v>
      </c>
      <c r="H8004" t="str">
        <f>LEFT(Cpi_[[#This Row],[Month]],3)</f>
        <v>Apr</v>
      </c>
      <c r="I8004" t="str">
        <f>RIGHT(Cpi_[[#This Row],[Year]],2)</f>
        <v>21</v>
      </c>
      <c r="J8004" t="str">
        <f>Cpi_[[#This Row],[Column3]]&amp;"-"&amp;Cpi_[[#This Row],[Column4]]</f>
        <v>Apr-21</v>
      </c>
    </row>
    <row r="8005" spans="1:10" x14ac:dyDescent="0.3">
      <c r="A8005" t="s">
        <v>34</v>
      </c>
      <c r="B8005">
        <v>2021</v>
      </c>
      <c r="C8005" t="s">
        <v>37</v>
      </c>
      <c r="D8005" t="s">
        <v>14</v>
      </c>
      <c r="E8005" t="e">
        <f>VLOOKUP(Cpi_[[#This Row],[Attribute]],#REF!,2,FALSE)</f>
        <v>#REF!</v>
      </c>
      <c r="F8005">
        <v>168.9</v>
      </c>
      <c r="G8005" s="42">
        <f>(Cpi_[[#This Row],[Value]]-F8004)/F8004</f>
        <v>7.1700507614213274E-2</v>
      </c>
      <c r="H8005" t="str">
        <f>LEFT(Cpi_[[#This Row],[Month]],3)</f>
        <v>Apr</v>
      </c>
      <c r="I8005" t="str">
        <f>RIGHT(Cpi_[[#This Row],[Year]],2)</f>
        <v>21</v>
      </c>
      <c r="J8005" t="str">
        <f>Cpi_[[#This Row],[Column3]]&amp;"-"&amp;Cpi_[[#This Row],[Column4]]</f>
        <v>Apr-21</v>
      </c>
    </row>
    <row r="8006" spans="1:10" x14ac:dyDescent="0.3">
      <c r="A8006" t="s">
        <v>34</v>
      </c>
      <c r="B8006">
        <v>2021</v>
      </c>
      <c r="C8006" t="s">
        <v>37</v>
      </c>
      <c r="D8006" t="s">
        <v>15</v>
      </c>
      <c r="E8006" t="e">
        <f>VLOOKUP(Cpi_[[#This Row],[Attribute]],#REF!,2,FALSE)</f>
        <v>#REF!</v>
      </c>
      <c r="F8006">
        <v>158</v>
      </c>
      <c r="G8006" s="42">
        <f>(Cpi_[[#This Row],[Value]]-F8005)/F8005</f>
        <v>-6.4535227945529933E-2</v>
      </c>
      <c r="H8006" t="str">
        <f>LEFT(Cpi_[[#This Row],[Month]],3)</f>
        <v>Apr</v>
      </c>
      <c r="I8006" t="str">
        <f>RIGHT(Cpi_[[#This Row],[Year]],2)</f>
        <v>21</v>
      </c>
      <c r="J8006" t="str">
        <f>Cpi_[[#This Row],[Column3]]&amp;"-"&amp;Cpi_[[#This Row],[Column4]]</f>
        <v>Apr-21</v>
      </c>
    </row>
    <row r="8007" spans="1:10" hidden="1" x14ac:dyDescent="0.3">
      <c r="A8007" t="s">
        <v>34</v>
      </c>
      <c r="B8007">
        <v>2021</v>
      </c>
      <c r="C8007" t="s">
        <v>37</v>
      </c>
      <c r="D8007" t="s">
        <v>16</v>
      </c>
      <c r="E8007" t="e">
        <f>VLOOKUP(Cpi_[[#This Row],[Attribute]],#REF!,2,FALSE)</f>
        <v>#REF!</v>
      </c>
      <c r="F8007">
        <v>188.8</v>
      </c>
      <c r="G8007">
        <f>(Cpi_[[#This Row],[Value]]-F8006)/F8006</f>
        <v>0.19493670886075956</v>
      </c>
      <c r="H8007" t="e" cm="1" vm="1">
        <f t="array" aca="1" ref="H8007" ca="1">VLOOKUP(Cpi_[[#This Row],[Year]:[Month]],crudeoil[],3,FALSE)</f>
        <v>#VALUE!</v>
      </c>
    </row>
    <row r="8008" spans="1:10" hidden="1" x14ac:dyDescent="0.3">
      <c r="A8008" t="s">
        <v>34</v>
      </c>
      <c r="B8008">
        <v>2021</v>
      </c>
      <c r="C8008" t="s">
        <v>37</v>
      </c>
      <c r="D8008" t="s">
        <v>17</v>
      </c>
      <c r="E8008" t="e">
        <f>VLOOKUP(Cpi_[[#This Row],[Attribute]],#REF!,2,FALSE)</f>
        <v>#REF!</v>
      </c>
      <c r="F8008">
        <v>158.80000000000001</v>
      </c>
      <c r="G8008">
        <f>(Cpi_[[#This Row],[Value]]-F8007)/F8007</f>
        <v>-0.15889830508474576</v>
      </c>
      <c r="H8008" t="e" cm="1" vm="1">
        <f t="array" aca="1" ref="H8008" ca="1">VLOOKUP(Cpi_[[#This Row],[Year]:[Month]],crudeoil[],3,FALSE)</f>
        <v>#VALUE!</v>
      </c>
    </row>
    <row r="8009" spans="1:10" hidden="1" x14ac:dyDescent="0.3">
      <c r="A8009" t="s">
        <v>34</v>
      </c>
      <c r="B8009">
        <v>2021</v>
      </c>
      <c r="C8009" t="s">
        <v>37</v>
      </c>
      <c r="D8009" t="s">
        <v>18</v>
      </c>
      <c r="E8009" t="e">
        <f>VLOOKUP(Cpi_[[#This Row],[Attribute]],#REF!,2,FALSE)</f>
        <v>#REF!</v>
      </c>
      <c r="F8009">
        <v>148.5</v>
      </c>
      <c r="G8009">
        <f>(Cpi_[[#This Row],[Value]]-F8008)/F8008</f>
        <v>-6.4861460957178901E-2</v>
      </c>
      <c r="H8009" t="e" cm="1" vm="1">
        <f t="array" aca="1" ref="H8009" ca="1">VLOOKUP(Cpi_[[#This Row],[Year]:[Month]],crudeoil[],3,FALSE)</f>
        <v>#VALUE!</v>
      </c>
    </row>
    <row r="8010" spans="1:10" hidden="1" x14ac:dyDescent="0.3">
      <c r="A8010" t="s">
        <v>34</v>
      </c>
      <c r="B8010">
        <v>2021</v>
      </c>
      <c r="C8010" t="s">
        <v>37</v>
      </c>
      <c r="D8010" t="s">
        <v>19</v>
      </c>
      <c r="E8010" t="e">
        <f>VLOOKUP(Cpi_[[#This Row],[Attribute]],#REF!,2,FALSE)</f>
        <v>#REF!</v>
      </c>
      <c r="F8010">
        <v>157.30000000000001</v>
      </c>
      <c r="G8010">
        <f>(Cpi_[[#This Row],[Value]]-F8009)/F8009</f>
        <v>5.9259259259259338E-2</v>
      </c>
      <c r="H8010" t="e" cm="1" vm="1">
        <f t="array" aca="1" ref="H8010" ca="1">VLOOKUP(Cpi_[[#This Row],[Year]:[Month]],crudeoil[],3,FALSE)</f>
        <v>#VALUE!</v>
      </c>
    </row>
    <row r="8011" spans="1:10" hidden="1" x14ac:dyDescent="0.3">
      <c r="A8011" t="s">
        <v>34</v>
      </c>
      <c r="B8011">
        <v>2021</v>
      </c>
      <c r="C8011" t="s">
        <v>37</v>
      </c>
      <c r="D8011" t="s">
        <v>20</v>
      </c>
      <c r="E8011" t="e">
        <f>VLOOKUP(Cpi_[[#This Row],[Attribute]],#REF!,2,FALSE)</f>
        <v>#REF!</v>
      </c>
      <c r="F8011">
        <v>161.4</v>
      </c>
      <c r="G8011">
        <f>(Cpi_[[#This Row],[Value]]-F8010)/F8010</f>
        <v>2.6064844246662392E-2</v>
      </c>
      <c r="H8011" t="e" cm="1" vm="1">
        <f t="array" aca="1" ref="H8011" ca="1">VLOOKUP(Cpi_[[#This Row],[Year]:[Month]],crudeoil[],3,FALSE)</f>
        <v>#VALUE!</v>
      </c>
    </row>
    <row r="8012" spans="1:10" hidden="1" x14ac:dyDescent="0.3">
      <c r="A8012" t="s">
        <v>34</v>
      </c>
      <c r="B8012">
        <v>2021</v>
      </c>
      <c r="C8012" t="s">
        <v>37</v>
      </c>
      <c r="D8012" t="s">
        <v>21</v>
      </c>
      <c r="E8012" t="e">
        <f>VLOOKUP(Cpi_[[#This Row],[Attribute]],#REF!,2,FALSE)</f>
        <v>#REF!</v>
      </c>
      <c r="F8012">
        <v>155.6</v>
      </c>
      <c r="G8012">
        <f>(Cpi_[[#This Row],[Value]]-F8011)/F8011</f>
        <v>-3.5935563816604781E-2</v>
      </c>
      <c r="H8012" t="e" cm="1" vm="1">
        <f t="array" aca="1" ref="H8012" ca="1">VLOOKUP(Cpi_[[#This Row],[Year]:[Month]],crudeoil[],3,FALSE)</f>
        <v>#VALUE!</v>
      </c>
    </row>
    <row r="8013" spans="1:10" hidden="1" x14ac:dyDescent="0.3">
      <c r="A8013" t="s">
        <v>34</v>
      </c>
      <c r="B8013">
        <v>2021</v>
      </c>
      <c r="C8013" t="s">
        <v>37</v>
      </c>
      <c r="D8013" t="s">
        <v>22</v>
      </c>
      <c r="E8013" t="e">
        <f>VLOOKUP(Cpi_[[#This Row],[Attribute]],#REF!,2,FALSE)</f>
        <v>#REF!</v>
      </c>
      <c r="F8013">
        <v>151.80000000000001</v>
      </c>
      <c r="G8013">
        <f>(Cpi_[[#This Row],[Value]]-F8012)/F8012</f>
        <v>-2.4421593830334081E-2</v>
      </c>
      <c r="H8013" t="e" cm="1" vm="1">
        <f t="array" aca="1" ref="H8013" ca="1">VLOOKUP(Cpi_[[#This Row],[Year]:[Month]],crudeoil[],3,FALSE)</f>
        <v>#VALUE!</v>
      </c>
    </row>
    <row r="8014" spans="1:10" hidden="1" x14ac:dyDescent="0.3">
      <c r="A8014" t="s">
        <v>34</v>
      </c>
      <c r="B8014">
        <v>2021</v>
      </c>
      <c r="C8014" t="s">
        <v>37</v>
      </c>
      <c r="D8014" t="s">
        <v>23</v>
      </c>
      <c r="E8014" t="e">
        <f>VLOOKUP(Cpi_[[#This Row],[Attribute]],#REF!,2,FALSE)</f>
        <v>#REF!</v>
      </c>
      <c r="F8014">
        <v>162.30000000000001</v>
      </c>
      <c r="G8014">
        <f>(Cpi_[[#This Row],[Value]]-F8013)/F8013</f>
        <v>6.916996047430829E-2</v>
      </c>
      <c r="H8014" t="e" cm="1" vm="1">
        <f t="array" aca="1" ref="H8014" ca="1">VLOOKUP(Cpi_[[#This Row],[Year]:[Month]],crudeoil[],3,FALSE)</f>
        <v>#VALUE!</v>
      </c>
    </row>
    <row r="8015" spans="1:10" hidden="1" x14ac:dyDescent="0.3">
      <c r="A8015" t="s">
        <v>34</v>
      </c>
      <c r="B8015">
        <v>2021</v>
      </c>
      <c r="C8015" t="s">
        <v>37</v>
      </c>
      <c r="D8015" t="s">
        <v>24</v>
      </c>
      <c r="E8015" t="e">
        <f>VLOOKUP(Cpi_[[#This Row],[Attribute]],#REF!,2,FALSE)</f>
        <v>#REF!</v>
      </c>
      <c r="F8015">
        <v>146.6</v>
      </c>
      <c r="G8015">
        <f>(Cpi_[[#This Row],[Value]]-F8014)/F8014</f>
        <v>-9.6734442390634723E-2</v>
      </c>
      <c r="H8015" t="e" cm="1" vm="1">
        <f t="array" aca="1" ref="H8015" ca="1">VLOOKUP(Cpi_[[#This Row],[Year]:[Month]],crudeoil[],3,FALSE)</f>
        <v>#VALUE!</v>
      </c>
    </row>
    <row r="8016" spans="1:10" hidden="1" x14ac:dyDescent="0.3">
      <c r="A8016" t="s">
        <v>34</v>
      </c>
      <c r="B8016">
        <v>2021</v>
      </c>
      <c r="C8016" t="s">
        <v>37</v>
      </c>
      <c r="D8016" t="s">
        <v>25</v>
      </c>
      <c r="E8016" t="e">
        <f>VLOOKUP(Cpi_[[#This Row],[Attribute]],#REF!,2,FALSE)</f>
        <v>#REF!</v>
      </c>
      <c r="F8016">
        <v>153.19999999999999</v>
      </c>
      <c r="G8016">
        <f>(Cpi_[[#This Row],[Value]]-F8015)/F8015</f>
        <v>4.5020463847203235E-2</v>
      </c>
      <c r="H8016" t="e" cm="1" vm="1">
        <f t="array" aca="1" ref="H8016" ca="1">VLOOKUP(Cpi_[[#This Row],[Year]:[Month]],crudeoil[],3,FALSE)</f>
        <v>#VALUE!</v>
      </c>
    </row>
    <row r="8017" spans="1:8" hidden="1" x14ac:dyDescent="0.3">
      <c r="A8017" t="s">
        <v>34</v>
      </c>
      <c r="B8017">
        <v>2021</v>
      </c>
      <c r="C8017" t="s">
        <v>37</v>
      </c>
      <c r="D8017" t="s">
        <v>26</v>
      </c>
      <c r="E8017" t="e">
        <f>VLOOKUP(Cpi_[[#This Row],[Attribute]],#REF!,2,FALSE)</f>
        <v>#REF!</v>
      </c>
      <c r="F8017">
        <v>160.30000000000001</v>
      </c>
      <c r="G8017">
        <f>(Cpi_[[#This Row],[Value]]-F8016)/F8016</f>
        <v>4.6344647519582401E-2</v>
      </c>
      <c r="H8017" t="e" cm="1" vm="1">
        <f t="array" aca="1" ref="H8017" ca="1">VLOOKUP(Cpi_[[#This Row],[Year]:[Month]],crudeoil[],3,FALSE)</f>
        <v>#VALUE!</v>
      </c>
    </row>
    <row r="8018" spans="1:8" hidden="1" x14ac:dyDescent="0.3">
      <c r="A8018" t="s">
        <v>34</v>
      </c>
      <c r="B8018">
        <v>2021</v>
      </c>
      <c r="C8018" t="s">
        <v>37</v>
      </c>
      <c r="D8018" t="s">
        <v>27</v>
      </c>
      <c r="E8018" t="e">
        <f>VLOOKUP(Cpi_[[#This Row],[Attribute]],#REF!,2,FALSE)</f>
        <v>#REF!</v>
      </c>
      <c r="F8018">
        <v>155.4</v>
      </c>
      <c r="G8018">
        <f>(Cpi_[[#This Row],[Value]]-F8017)/F8017</f>
        <v>-3.0567685589519684E-2</v>
      </c>
      <c r="H8018" t="e" cm="1" vm="1">
        <f t="array" aca="1" ref="H8018" ca="1">VLOOKUP(Cpi_[[#This Row],[Year]:[Month]],crudeoil[],3,FALSE)</f>
        <v>#VALUE!</v>
      </c>
    </row>
    <row r="8019" spans="1:8" hidden="1" x14ac:dyDescent="0.3">
      <c r="A8019" t="s">
        <v>34</v>
      </c>
      <c r="B8019">
        <v>2021</v>
      </c>
      <c r="C8019" t="s">
        <v>37</v>
      </c>
      <c r="D8019" t="s">
        <v>28</v>
      </c>
      <c r="E8019" t="e">
        <f>VLOOKUP(Cpi_[[#This Row],[Attribute]],#REF!,2,FALSE)</f>
        <v>#REF!</v>
      </c>
      <c r="F8019">
        <v>154.4</v>
      </c>
      <c r="G8019">
        <f>(Cpi_[[#This Row],[Value]]-F8018)/F8018</f>
        <v>-6.4350064350064346E-3</v>
      </c>
      <c r="H8019" t="e" cm="1" vm="1">
        <f t="array" aca="1" ref="H8019" ca="1">VLOOKUP(Cpi_[[#This Row],[Year]:[Month]],crudeoil[],3,FALSE)</f>
        <v>#VALUE!</v>
      </c>
    </row>
    <row r="8020" spans="1:8" hidden="1" x14ac:dyDescent="0.3">
      <c r="A8020" t="s">
        <v>34</v>
      </c>
      <c r="B8020">
        <v>2021</v>
      </c>
      <c r="C8020" t="s">
        <v>37</v>
      </c>
      <c r="D8020" t="s">
        <v>29</v>
      </c>
      <c r="E8020" t="e" cm="1">
        <f t="array" aca="1" ref="E8020" ca="1">VLGeneral indexGeneral indexKUP(Cpi_[[#This Row],[Attribute]],#REF!,2,FALSE)</f>
        <v>#NAME?</v>
      </c>
      <c r="F8020">
        <v>157.80000000000001</v>
      </c>
      <c r="G8020">
        <f>(Cpi_[[#This Row],[Value]]-F8019)/F8019</f>
        <v>2.2020725388601073E-2</v>
      </c>
      <c r="H8020" t="e" cm="1" vm="1">
        <f t="array" aca="1" ref="H8020" ca="1">VLOOKUP(Cpi_[[#This Row],[Year]:[Month]],crudeoil[],3,FALSE)</f>
        <v>#VALUE!</v>
      </c>
    </row>
    <row r="8021" spans="1:8" hidden="1" x14ac:dyDescent="0.3">
      <c r="A8021" t="s">
        <v>30</v>
      </c>
      <c r="B8021">
        <v>2021</v>
      </c>
      <c r="C8021" t="s">
        <v>38</v>
      </c>
      <c r="D8021" t="s">
        <v>3</v>
      </c>
      <c r="E8021" t="e">
        <f>VLOOKUP(Cpi_[[#This Row],[Attribute]],#REF!,2,FALSE)</f>
        <v>#REF!</v>
      </c>
      <c r="F8021">
        <v>145.1</v>
      </c>
      <c r="G8021">
        <f>(Cpi_[[#This Row],[Value]]-F8020)/F8020</f>
        <v>-8.048162230671746E-2</v>
      </c>
      <c r="H8021" t="e" cm="1" vm="1">
        <f t="array" aca="1" ref="H8021" ca="1">VLOOKUP(Cpi_[[#This Row],[Year]:[Month]],crudeoil[],3,FALSE)</f>
        <v>#VALUE!</v>
      </c>
    </row>
    <row r="8022" spans="1:8" hidden="1" x14ac:dyDescent="0.3">
      <c r="A8022" t="s">
        <v>30</v>
      </c>
      <c r="B8022">
        <v>2021</v>
      </c>
      <c r="C8022" t="s">
        <v>38</v>
      </c>
      <c r="D8022" t="s">
        <v>4</v>
      </c>
      <c r="E8022" t="e">
        <f>VLOOKUP(Cpi_[[#This Row],[Attribute]],#REF!,2,FALSE)</f>
        <v>#REF!</v>
      </c>
      <c r="F8022">
        <v>198.5</v>
      </c>
      <c r="G8022">
        <f>(Cpi_[[#This Row],[Value]]-F8021)/F8021</f>
        <v>0.36802205375603037</v>
      </c>
      <c r="H8022" t="e" cm="1" vm="1">
        <f t="array" aca="1" ref="H8022" ca="1">VLOOKUP(Cpi_[[#This Row],[Year]:[Month]],crudeoil[],3,FALSE)</f>
        <v>#VALUE!</v>
      </c>
    </row>
    <row r="8023" spans="1:8" hidden="1" x14ac:dyDescent="0.3">
      <c r="A8023" t="s">
        <v>30</v>
      </c>
      <c r="B8023">
        <v>2021</v>
      </c>
      <c r="C8023" t="s">
        <v>38</v>
      </c>
      <c r="D8023" t="s">
        <v>5</v>
      </c>
      <c r="E8023" t="e">
        <f>VLOOKUP(Cpi_[[#This Row],[Attribute]],#REF!,2,FALSE)</f>
        <v>#REF!</v>
      </c>
      <c r="F8023">
        <v>168.6</v>
      </c>
      <c r="G8023">
        <f>(Cpi_[[#This Row],[Value]]-F8022)/F8022</f>
        <v>-0.1506297229219144</v>
      </c>
      <c r="H8023" t="e" cm="1" vm="1">
        <f t="array" aca="1" ref="H8023" ca="1">VLOOKUP(Cpi_[[#This Row],[Year]:[Month]],crudeoil[],3,FALSE)</f>
        <v>#VALUE!</v>
      </c>
    </row>
    <row r="8024" spans="1:8" hidden="1" x14ac:dyDescent="0.3">
      <c r="A8024" t="s">
        <v>30</v>
      </c>
      <c r="B8024">
        <v>2021</v>
      </c>
      <c r="C8024" t="s">
        <v>38</v>
      </c>
      <c r="D8024" t="s">
        <v>6</v>
      </c>
      <c r="E8024" t="e">
        <f>VLOOKUP(Cpi_[[#This Row],[Attribute]],#REF!,2,FALSE)</f>
        <v>#REF!</v>
      </c>
      <c r="F8024">
        <v>155.80000000000001</v>
      </c>
      <c r="G8024">
        <f>(Cpi_[[#This Row],[Value]]-F8023)/F8023</f>
        <v>-7.5919335705812482E-2</v>
      </c>
      <c r="H8024" t="e" cm="1" vm="1">
        <f t="array" aca="1" ref="H8024" ca="1">VLOOKUP(Cpi_[[#This Row],[Year]:[Month]],crudeoil[],3,FALSE)</f>
        <v>#VALUE!</v>
      </c>
    </row>
    <row r="8025" spans="1:8" hidden="1" x14ac:dyDescent="0.3">
      <c r="A8025" t="s">
        <v>30</v>
      </c>
      <c r="B8025">
        <v>2021</v>
      </c>
      <c r="C8025" t="s">
        <v>38</v>
      </c>
      <c r="D8025" t="s">
        <v>7</v>
      </c>
      <c r="E8025" t="e">
        <f>VLOOKUP(Cpi_[[#This Row],[Attribute]],#REF!,2,FALSE)</f>
        <v>#REF!</v>
      </c>
      <c r="F8025">
        <v>184.4</v>
      </c>
      <c r="G8025">
        <f>(Cpi_[[#This Row],[Value]]-F8024)/F8024</f>
        <v>0.18356867779204103</v>
      </c>
      <c r="H8025" t="e" cm="1" vm="1">
        <f t="array" aca="1" ref="H8025" ca="1">VLOOKUP(Cpi_[[#This Row],[Year]:[Month]],crudeoil[],3,FALSE)</f>
        <v>#VALUE!</v>
      </c>
    </row>
    <row r="8026" spans="1:8" hidden="1" x14ac:dyDescent="0.3">
      <c r="A8026" t="s">
        <v>30</v>
      </c>
      <c r="B8026">
        <v>2021</v>
      </c>
      <c r="C8026" t="s">
        <v>38</v>
      </c>
      <c r="D8026" t="s">
        <v>8</v>
      </c>
      <c r="E8026" t="e">
        <f>VLOOKUP(Cpi_[[#This Row],[Attribute]],#REF!,2,FALSE)</f>
        <v>#REF!</v>
      </c>
      <c r="F8026">
        <v>162.30000000000001</v>
      </c>
      <c r="G8026">
        <f>(Cpi_[[#This Row],[Value]]-F8025)/F8025</f>
        <v>-0.11984815618221255</v>
      </c>
      <c r="H8026" t="e" cm="1" vm="1">
        <f t="array" aca="1" ref="H8026" ca="1">VLOOKUP(Cpi_[[#This Row],[Year]:[Month]],crudeoil[],3,FALSE)</f>
        <v>#VALUE!</v>
      </c>
    </row>
    <row r="8027" spans="1:8" hidden="1" x14ac:dyDescent="0.3">
      <c r="A8027" t="s">
        <v>30</v>
      </c>
      <c r="B8027">
        <v>2021</v>
      </c>
      <c r="C8027" t="s">
        <v>38</v>
      </c>
      <c r="D8027" t="s">
        <v>9</v>
      </c>
      <c r="E8027" t="e">
        <f>VLOOKUP(Cpi_[[#This Row],[Attribute]],#REF!,2,FALSE)</f>
        <v>#REF!</v>
      </c>
      <c r="F8027">
        <v>138.4</v>
      </c>
      <c r="G8027">
        <f>(Cpi_[[#This Row],[Value]]-F8026)/F8026</f>
        <v>-0.14725816389402344</v>
      </c>
      <c r="H8027" t="e" cm="1" vm="1">
        <f t="array" aca="1" ref="H8027" ca="1">VLOOKUP(Cpi_[[#This Row],[Year]:[Month]],crudeoil[],3,FALSE)</f>
        <v>#VALUE!</v>
      </c>
    </row>
    <row r="8028" spans="1:8" hidden="1" x14ac:dyDescent="0.3">
      <c r="A8028" t="s">
        <v>30</v>
      </c>
      <c r="B8028">
        <v>2021</v>
      </c>
      <c r="C8028" t="s">
        <v>38</v>
      </c>
      <c r="D8028" t="s">
        <v>10</v>
      </c>
      <c r="E8028" t="e">
        <f>VLOOKUP(Cpi_[[#This Row],[Attribute]],#REF!,2,FALSE)</f>
        <v>#REF!</v>
      </c>
      <c r="F8028">
        <v>165.1</v>
      </c>
      <c r="G8028">
        <f>(Cpi_[[#This Row],[Value]]-F8027)/F8027</f>
        <v>0.19291907514450857</v>
      </c>
      <c r="H8028" t="e" cm="1" vm="1">
        <f t="array" aca="1" ref="H8028" ca="1">VLOOKUP(Cpi_[[#This Row],[Year]:[Month]],crudeoil[],3,FALSE)</f>
        <v>#VALUE!</v>
      </c>
    </row>
    <row r="8029" spans="1:8" hidden="1" x14ac:dyDescent="0.3">
      <c r="A8029" t="s">
        <v>30</v>
      </c>
      <c r="B8029">
        <v>2021</v>
      </c>
      <c r="C8029" t="s">
        <v>38</v>
      </c>
      <c r="D8029" t="s">
        <v>11</v>
      </c>
      <c r="E8029" t="e">
        <f>VLOOKUP(Cpi_[[#This Row],[Attribute]],#REF!,2,FALSE)</f>
        <v>#REF!</v>
      </c>
      <c r="F8029">
        <v>114.3</v>
      </c>
      <c r="G8029">
        <f>(Cpi_[[#This Row],[Value]]-F8028)/F8028</f>
        <v>-0.30769230769230771</v>
      </c>
      <c r="H8029" t="e" cm="1" vm="1">
        <f t="array" aca="1" ref="H8029" ca="1">VLOOKUP(Cpi_[[#This Row],[Year]:[Month]],crudeoil[],3,FALSE)</f>
        <v>#VALUE!</v>
      </c>
    </row>
    <row r="8030" spans="1:8" hidden="1" x14ac:dyDescent="0.3">
      <c r="A8030" t="s">
        <v>30</v>
      </c>
      <c r="B8030">
        <v>2021</v>
      </c>
      <c r="C8030" t="s">
        <v>38</v>
      </c>
      <c r="D8030" t="s">
        <v>12</v>
      </c>
      <c r="E8030" t="e">
        <f>VLOOKUP(Cpi_[[#This Row],[Attribute]],#REF!,2,FALSE)</f>
        <v>#REF!</v>
      </c>
      <c r="F8030">
        <v>169.7</v>
      </c>
      <c r="G8030">
        <f>(Cpi_[[#This Row],[Value]]-F8029)/F8029</f>
        <v>0.48468941382327202</v>
      </c>
      <c r="H8030" t="e" cm="1" vm="1">
        <f t="array" aca="1" ref="H8030" ca="1">VLOOKUP(Cpi_[[#This Row],[Year]:[Month]],crudeoil[],3,FALSE)</f>
        <v>#VALUE!</v>
      </c>
    </row>
    <row r="8031" spans="1:8" hidden="1" x14ac:dyDescent="0.3">
      <c r="A8031" t="s">
        <v>30</v>
      </c>
      <c r="B8031">
        <v>2021</v>
      </c>
      <c r="C8031" t="s">
        <v>38</v>
      </c>
      <c r="D8031" t="s">
        <v>13</v>
      </c>
      <c r="E8031" t="e">
        <f>VLOOKUP(Cpi_[[#This Row],[Attribute]],#REF!,2,FALSE)</f>
        <v>#REF!</v>
      </c>
      <c r="F8031">
        <v>164.6</v>
      </c>
      <c r="G8031">
        <f>(Cpi_[[#This Row],[Value]]-F8030)/F8030</f>
        <v>-3.0053034767236267E-2</v>
      </c>
      <c r="H8031" t="e" cm="1" vm="1">
        <f t="array" aca="1" ref="H8031" ca="1">VLOOKUP(Cpi_[[#This Row],[Year]:[Month]],crudeoil[],3,FALSE)</f>
        <v>#VALUE!</v>
      </c>
    </row>
    <row r="8032" spans="1:8" hidden="1" x14ac:dyDescent="0.3">
      <c r="A8032" t="s">
        <v>30</v>
      </c>
      <c r="B8032">
        <v>2021</v>
      </c>
      <c r="C8032" t="s">
        <v>38</v>
      </c>
      <c r="D8032" t="s">
        <v>14</v>
      </c>
      <c r="E8032" t="e">
        <f>VLOOKUP(Cpi_[[#This Row],[Attribute]],#REF!,2,FALSE)</f>
        <v>#REF!</v>
      </c>
      <c r="F8032">
        <v>169.8</v>
      </c>
      <c r="G8032">
        <f>(Cpi_[[#This Row],[Value]]-F8031)/F8031</f>
        <v>3.1591737545565109E-2</v>
      </c>
      <c r="H8032" t="e" cm="1" vm="1">
        <f t="array" aca="1" ref="H8032" ca="1">VLOOKUP(Cpi_[[#This Row],[Year]:[Month]],crudeoil[],3,FALSE)</f>
        <v>#VALUE!</v>
      </c>
    </row>
    <row r="8033" spans="1:8" hidden="1" x14ac:dyDescent="0.3">
      <c r="A8033" t="s">
        <v>30</v>
      </c>
      <c r="B8033">
        <v>2021</v>
      </c>
      <c r="C8033" t="s">
        <v>38</v>
      </c>
      <c r="D8033" t="s">
        <v>15</v>
      </c>
      <c r="E8033" t="e">
        <f>VLOOKUP(Cpi_[[#This Row],[Attribute]],#REF!,2,FALSE)</f>
        <v>#REF!</v>
      </c>
      <c r="F8033">
        <v>158.69999999999999</v>
      </c>
      <c r="G8033">
        <f>(Cpi_[[#This Row],[Value]]-F8032)/F8032</f>
        <v>-6.5371024734982464E-2</v>
      </c>
      <c r="H8033" t="e" cm="1" vm="1">
        <f t="array" aca="1" ref="H8033" ca="1">VLOOKUP(Cpi_[[#This Row],[Year]:[Month]],crudeoil[],3,FALSE)</f>
        <v>#VALUE!</v>
      </c>
    </row>
    <row r="8034" spans="1:8" hidden="1" x14ac:dyDescent="0.3">
      <c r="A8034" t="s">
        <v>30</v>
      </c>
      <c r="B8034">
        <v>2021</v>
      </c>
      <c r="C8034" t="s">
        <v>38</v>
      </c>
      <c r="D8034" t="s">
        <v>16</v>
      </c>
      <c r="E8034" t="e">
        <f>VLOOKUP(Cpi_[[#This Row],[Attribute]],#REF!,2,FALSE)</f>
        <v>#REF!</v>
      </c>
      <c r="F8034">
        <v>189.6</v>
      </c>
      <c r="G8034">
        <f>(Cpi_[[#This Row],[Value]]-F8033)/F8033</f>
        <v>0.19470699432892255</v>
      </c>
      <c r="H8034" t="e" cm="1" vm="1">
        <f t="array" aca="1" ref="H8034" ca="1">VLOOKUP(Cpi_[[#This Row],[Year]:[Month]],crudeoil[],3,FALSE)</f>
        <v>#VALUE!</v>
      </c>
    </row>
    <row r="8035" spans="1:8" hidden="1" x14ac:dyDescent="0.3">
      <c r="A8035" t="s">
        <v>30</v>
      </c>
      <c r="B8035">
        <v>2021</v>
      </c>
      <c r="C8035" t="s">
        <v>38</v>
      </c>
      <c r="D8035" t="s">
        <v>17</v>
      </c>
      <c r="E8035" t="e">
        <f>VLOOKUP(Cpi_[[#This Row],[Attribute]],#REF!,2,FALSE)</f>
        <v>#REF!</v>
      </c>
      <c r="F8035">
        <v>165.3</v>
      </c>
      <c r="G8035">
        <f>(Cpi_[[#This Row],[Value]]-F8034)/F8034</f>
        <v>-0.12816455696202522</v>
      </c>
      <c r="H8035" t="e" cm="1" vm="1">
        <f t="array" aca="1" ref="H8035" ca="1">VLOOKUP(Cpi_[[#This Row],[Year]:[Month]],crudeoil[],3,FALSE)</f>
        <v>#VALUE!</v>
      </c>
    </row>
    <row r="8036" spans="1:8" hidden="1" x14ac:dyDescent="0.3">
      <c r="A8036" t="s">
        <v>30</v>
      </c>
      <c r="B8036">
        <v>2021</v>
      </c>
      <c r="C8036" t="s">
        <v>38</v>
      </c>
      <c r="D8036" t="s">
        <v>18</v>
      </c>
      <c r="E8036" t="e">
        <f>VLOOKUP(Cpi_[[#This Row],[Attribute]],#REF!,2,FALSE)</f>
        <v>#REF!</v>
      </c>
      <c r="F8036">
        <v>160.6</v>
      </c>
      <c r="G8036">
        <f>(Cpi_[[#This Row],[Value]]-F8035)/F8035</f>
        <v>-2.8433151845130167E-2</v>
      </c>
      <c r="H8036" t="e" cm="1" vm="1">
        <f t="array" aca="1" ref="H8036" ca="1">VLOOKUP(Cpi_[[#This Row],[Year]:[Month]],crudeoil[],3,FALSE)</f>
        <v>#VALUE!</v>
      </c>
    </row>
    <row r="8037" spans="1:8" hidden="1" x14ac:dyDescent="0.3">
      <c r="A8037" t="s">
        <v>30</v>
      </c>
      <c r="B8037">
        <v>2021</v>
      </c>
      <c r="C8037" t="s">
        <v>38</v>
      </c>
      <c r="D8037" t="s">
        <v>19</v>
      </c>
      <c r="E8037" t="e">
        <f>VLOOKUP(Cpi_[[#This Row],[Attribute]],#REF!,2,FALSE)</f>
        <v>#REF!</v>
      </c>
      <c r="F8037">
        <v>164.5</v>
      </c>
      <c r="G8037">
        <f>(Cpi_[[#This Row],[Value]]-F8036)/F8036</f>
        <v>2.4283935242839387E-2</v>
      </c>
      <c r="H8037" t="e" cm="1" vm="1">
        <f t="array" aca="1" ref="H8037" ca="1">VLOOKUP(Cpi_[[#This Row],[Year]:[Month]],crudeoil[],3,FALSE)</f>
        <v>#VALUE!</v>
      </c>
    </row>
    <row r="8038" spans="1:8" hidden="1" x14ac:dyDescent="0.3">
      <c r="A8038" t="s">
        <v>30</v>
      </c>
      <c r="B8038">
        <v>2021</v>
      </c>
      <c r="C8038" t="s">
        <v>38</v>
      </c>
      <c r="D8038" t="s">
        <v>20</v>
      </c>
      <c r="E8038" t="e">
        <f>VLOOKUP(Cpi_[[#This Row],[Attribute]],#REF!,2,FALSE)</f>
        <v>#REF!</v>
      </c>
      <c r="F8038" t="s">
        <v>32</v>
      </c>
      <c r="G8038" t="e">
        <f>(Cpi_[[#This Row],[Value]]-F8037)/F8037</f>
        <v>#VALUE!</v>
      </c>
      <c r="H8038" t="e" cm="1" vm="1">
        <f t="array" aca="1" ref="H8038" ca="1">VLOOKUP(Cpi_[[#This Row],[Year]:[Month]],crudeoil[],3,FALSE)</f>
        <v>#VALUE!</v>
      </c>
    </row>
    <row r="8039" spans="1:8" hidden="1" x14ac:dyDescent="0.3">
      <c r="A8039" t="s">
        <v>30</v>
      </c>
      <c r="B8039">
        <v>2021</v>
      </c>
      <c r="C8039" t="s">
        <v>38</v>
      </c>
      <c r="D8039" t="s">
        <v>21</v>
      </c>
      <c r="E8039" t="e">
        <f>VLOOKUP(Cpi_[[#This Row],[Attribute]],#REF!,2,FALSE)</f>
        <v>#REF!</v>
      </c>
      <c r="F8039">
        <v>161.69999999999999</v>
      </c>
      <c r="G8039" t="e">
        <f>(Cpi_[[#This Row],[Value]]-F8038)/F8038</f>
        <v>#VALUE!</v>
      </c>
      <c r="H8039" t="e" cm="1" vm="1">
        <f t="array" aca="1" ref="H8039" ca="1">VLOOKUP(Cpi_[[#This Row],[Year]:[Month]],crudeoil[],3,FALSE)</f>
        <v>#VALUE!</v>
      </c>
    </row>
    <row r="8040" spans="1:8" hidden="1" x14ac:dyDescent="0.3">
      <c r="A8040" t="s">
        <v>30</v>
      </c>
      <c r="B8040">
        <v>2021</v>
      </c>
      <c r="C8040" t="s">
        <v>38</v>
      </c>
      <c r="D8040" t="s">
        <v>22</v>
      </c>
      <c r="E8040" t="e">
        <f>VLOOKUP(Cpi_[[#This Row],[Attribute]],#REF!,2,FALSE)</f>
        <v>#REF!</v>
      </c>
      <c r="F8040">
        <v>158.80000000000001</v>
      </c>
      <c r="G8040">
        <f>(Cpi_[[#This Row],[Value]]-F8039)/F8039</f>
        <v>-1.7934446505874939E-2</v>
      </c>
      <c r="H8040" t="e" cm="1" vm="1">
        <f t="array" aca="1" ref="H8040" ca="1">VLOOKUP(Cpi_[[#This Row],[Year]:[Month]],crudeoil[],3,FALSE)</f>
        <v>#VALUE!</v>
      </c>
    </row>
    <row r="8041" spans="1:8" hidden="1" x14ac:dyDescent="0.3">
      <c r="A8041" t="s">
        <v>30</v>
      </c>
      <c r="B8041">
        <v>2021</v>
      </c>
      <c r="C8041" t="s">
        <v>38</v>
      </c>
      <c r="D8041" t="s">
        <v>23</v>
      </c>
      <c r="E8041" t="e">
        <f>VLOOKUP(Cpi_[[#This Row],[Attribute]],#REF!,2,FALSE)</f>
        <v>#REF!</v>
      </c>
      <c r="F8041">
        <v>169.1</v>
      </c>
      <c r="G8041">
        <f>(Cpi_[[#This Row],[Value]]-F8040)/F8040</f>
        <v>6.4861460957178735E-2</v>
      </c>
      <c r="H8041" t="e" cm="1" vm="1">
        <f t="array" aca="1" ref="H8041" ca="1">VLOOKUP(Cpi_[[#This Row],[Year]:[Month]],crudeoil[],3,FALSE)</f>
        <v>#VALUE!</v>
      </c>
    </row>
    <row r="8042" spans="1:8" hidden="1" x14ac:dyDescent="0.3">
      <c r="A8042" t="s">
        <v>30</v>
      </c>
      <c r="B8042">
        <v>2021</v>
      </c>
      <c r="C8042" t="s">
        <v>38</v>
      </c>
      <c r="D8042" t="s">
        <v>24</v>
      </c>
      <c r="E8042" t="e">
        <f>VLOOKUP(Cpi_[[#This Row],[Attribute]],#REF!,2,FALSE)</f>
        <v>#REF!</v>
      </c>
      <c r="F8042">
        <v>153.19999999999999</v>
      </c>
      <c r="G8042">
        <f>(Cpi_[[#This Row],[Value]]-F8041)/F8041</f>
        <v>-9.4027202838557103E-2</v>
      </c>
      <c r="H8042" t="e" cm="1" vm="1">
        <f t="array" aca="1" ref="H8042" ca="1">VLOOKUP(Cpi_[[#This Row],[Year]:[Month]],crudeoil[],3,FALSE)</f>
        <v>#VALUE!</v>
      </c>
    </row>
    <row r="8043" spans="1:8" hidden="1" x14ac:dyDescent="0.3">
      <c r="A8043" t="s">
        <v>30</v>
      </c>
      <c r="B8043">
        <v>2021</v>
      </c>
      <c r="C8043" t="s">
        <v>38</v>
      </c>
      <c r="D8043" t="s">
        <v>25</v>
      </c>
      <c r="E8043" t="e">
        <f>VLOOKUP(Cpi_[[#This Row],[Attribute]],#REF!,2,FALSE)</f>
        <v>#REF!</v>
      </c>
      <c r="F8043">
        <v>160</v>
      </c>
      <c r="G8043">
        <f>(Cpi_[[#This Row],[Value]]-F8042)/F8042</f>
        <v>4.4386422976501382E-2</v>
      </c>
      <c r="H8043" t="e" cm="1" vm="1">
        <f t="array" aca="1" ref="H8043" ca="1">VLOOKUP(Cpi_[[#This Row],[Year]:[Month]],crudeoil[],3,FALSE)</f>
        <v>#VALUE!</v>
      </c>
    </row>
    <row r="8044" spans="1:8" hidden="1" x14ac:dyDescent="0.3">
      <c r="A8044" t="s">
        <v>30</v>
      </c>
      <c r="B8044">
        <v>2021</v>
      </c>
      <c r="C8044" t="s">
        <v>38</v>
      </c>
      <c r="D8044" t="s">
        <v>26</v>
      </c>
      <c r="E8044" t="e">
        <f>VLOOKUP(Cpi_[[#This Row],[Attribute]],#REF!,2,FALSE)</f>
        <v>#REF!</v>
      </c>
      <c r="F8044">
        <v>167.6</v>
      </c>
      <c r="G8044">
        <f>(Cpi_[[#This Row],[Value]]-F8043)/F8043</f>
        <v>4.7499999999999966E-2</v>
      </c>
      <c r="H8044" t="e" cm="1" vm="1">
        <f t="array" aca="1" ref="H8044" ca="1">VLOOKUP(Cpi_[[#This Row],[Year]:[Month]],crudeoil[],3,FALSE)</f>
        <v>#VALUE!</v>
      </c>
    </row>
    <row r="8045" spans="1:8" hidden="1" x14ac:dyDescent="0.3">
      <c r="A8045" t="s">
        <v>30</v>
      </c>
      <c r="B8045">
        <v>2021</v>
      </c>
      <c r="C8045" t="s">
        <v>38</v>
      </c>
      <c r="D8045" t="s">
        <v>27</v>
      </c>
      <c r="E8045" t="e">
        <f>VLOOKUP(Cpi_[[#This Row],[Attribute]],#REF!,2,FALSE)</f>
        <v>#REF!</v>
      </c>
      <c r="F8045">
        <v>159.30000000000001</v>
      </c>
      <c r="G8045">
        <f>(Cpi_[[#This Row],[Value]]-F8044)/F8044</f>
        <v>-4.952267303102615E-2</v>
      </c>
      <c r="H8045" t="e" cm="1" vm="1">
        <f t="array" aca="1" ref="H8045" ca="1">VLOOKUP(Cpi_[[#This Row],[Year]:[Month]],crudeoil[],3,FALSE)</f>
        <v>#VALUE!</v>
      </c>
    </row>
    <row r="8046" spans="1:8" hidden="1" x14ac:dyDescent="0.3">
      <c r="A8046" t="s">
        <v>30</v>
      </c>
      <c r="B8046">
        <v>2021</v>
      </c>
      <c r="C8046" t="s">
        <v>38</v>
      </c>
      <c r="D8046" t="s">
        <v>28</v>
      </c>
      <c r="E8046" t="e">
        <f>VLOOKUP(Cpi_[[#This Row],[Attribute]],#REF!,2,FALSE)</f>
        <v>#REF!</v>
      </c>
      <c r="F8046">
        <v>161.1</v>
      </c>
      <c r="G8046">
        <f>(Cpi_[[#This Row],[Value]]-F8045)/F8045</f>
        <v>1.129943502824848E-2</v>
      </c>
      <c r="H8046" t="e" cm="1" vm="1">
        <f t="array" aca="1" ref="H8046" ca="1">VLOOKUP(Cpi_[[#This Row],[Year]:[Month]],crudeoil[],3,FALSE)</f>
        <v>#VALUE!</v>
      </c>
    </row>
    <row r="8047" spans="1:8" hidden="1" x14ac:dyDescent="0.3">
      <c r="A8047" t="s">
        <v>30</v>
      </c>
      <c r="B8047">
        <v>2021</v>
      </c>
      <c r="C8047" t="s">
        <v>38</v>
      </c>
      <c r="D8047" t="s">
        <v>29</v>
      </c>
      <c r="E8047" t="e" cm="1">
        <f t="array" aca="1" ref="E8047" ca="1">VLGeneral indexGeneral indexKUP(Cpi_[[#This Row],[Attribute]],#REF!,2,FALSE)</f>
        <v>#NAME?</v>
      </c>
      <c r="F8047">
        <v>161.1</v>
      </c>
      <c r="G8047">
        <f>(Cpi_[[#This Row],[Value]]-F8046)/F8046</f>
        <v>0</v>
      </c>
      <c r="H8047" t="e" cm="1" vm="1">
        <f t="array" aca="1" ref="H8047" ca="1">VLOOKUP(Cpi_[[#This Row],[Year]:[Month]],crudeoil[],3,FALSE)</f>
        <v>#VALUE!</v>
      </c>
    </row>
    <row r="8048" spans="1:8" hidden="1" x14ac:dyDescent="0.3">
      <c r="A8048" t="s">
        <v>33</v>
      </c>
      <c r="B8048">
        <v>2021</v>
      </c>
      <c r="C8048" t="s">
        <v>38</v>
      </c>
      <c r="D8048" t="s">
        <v>3</v>
      </c>
      <c r="E8048" t="e">
        <f>VLOOKUP(Cpi_[[#This Row],[Attribute]],#REF!,2,FALSE)</f>
        <v>#REF!</v>
      </c>
      <c r="F8048">
        <v>148.80000000000001</v>
      </c>
      <c r="G8048">
        <f>(Cpi_[[#This Row],[Value]]-F8047)/F8047</f>
        <v>-7.6350093109869538E-2</v>
      </c>
      <c r="H8048" t="e" cm="1" vm="1">
        <f t="array" aca="1" ref="H8048" ca="1">VLOOKUP(Cpi_[[#This Row],[Year]:[Month]],crudeoil[],3,FALSE)</f>
        <v>#VALUE!</v>
      </c>
    </row>
    <row r="8049" spans="1:8" hidden="1" x14ac:dyDescent="0.3">
      <c r="A8049" t="s">
        <v>33</v>
      </c>
      <c r="B8049">
        <v>2021</v>
      </c>
      <c r="C8049" t="s">
        <v>38</v>
      </c>
      <c r="D8049" t="s">
        <v>4</v>
      </c>
      <c r="E8049" t="e">
        <f>VLOOKUP(Cpi_[[#This Row],[Attribute]],#REF!,2,FALSE)</f>
        <v>#REF!</v>
      </c>
      <c r="F8049">
        <v>204.3</v>
      </c>
      <c r="G8049">
        <f>(Cpi_[[#This Row],[Value]]-F8048)/F8048</f>
        <v>0.37298387096774188</v>
      </c>
      <c r="H8049" t="e" cm="1" vm="1">
        <f t="array" aca="1" ref="H8049" ca="1">VLOOKUP(Cpi_[[#This Row],[Year]:[Month]],crudeoil[],3,FALSE)</f>
        <v>#VALUE!</v>
      </c>
    </row>
    <row r="8050" spans="1:8" hidden="1" x14ac:dyDescent="0.3">
      <c r="A8050" t="s">
        <v>33</v>
      </c>
      <c r="B8050">
        <v>2021</v>
      </c>
      <c r="C8050" t="s">
        <v>38</v>
      </c>
      <c r="D8050" t="s">
        <v>5</v>
      </c>
      <c r="E8050" t="e">
        <f>VLOOKUP(Cpi_[[#This Row],[Attribute]],#REF!,2,FALSE)</f>
        <v>#REF!</v>
      </c>
      <c r="F8050">
        <v>173</v>
      </c>
      <c r="G8050">
        <f>(Cpi_[[#This Row],[Value]]-F8049)/F8049</f>
        <v>-0.15320606950562901</v>
      </c>
      <c r="H8050" t="e" cm="1" vm="1">
        <f t="array" aca="1" ref="H8050" ca="1">VLOOKUP(Cpi_[[#This Row],[Year]:[Month]],crudeoil[],3,FALSE)</f>
        <v>#VALUE!</v>
      </c>
    </row>
    <row r="8051" spans="1:8" hidden="1" x14ac:dyDescent="0.3">
      <c r="A8051" t="s">
        <v>33</v>
      </c>
      <c r="B8051">
        <v>2021</v>
      </c>
      <c r="C8051" t="s">
        <v>38</v>
      </c>
      <c r="D8051" t="s">
        <v>6</v>
      </c>
      <c r="E8051" t="e">
        <f>VLOOKUP(Cpi_[[#This Row],[Attribute]],#REF!,2,FALSE)</f>
        <v>#REF!</v>
      </c>
      <c r="F8051">
        <v>156.5</v>
      </c>
      <c r="G8051">
        <f>(Cpi_[[#This Row],[Value]]-F8050)/F8050</f>
        <v>-9.5375722543352595E-2</v>
      </c>
      <c r="H8051" t="e" cm="1" vm="1">
        <f t="array" aca="1" ref="H8051" ca="1">VLOOKUP(Cpi_[[#This Row],[Year]:[Month]],crudeoil[],3,FALSE)</f>
        <v>#VALUE!</v>
      </c>
    </row>
    <row r="8052" spans="1:8" hidden="1" x14ac:dyDescent="0.3">
      <c r="A8052" t="s">
        <v>33</v>
      </c>
      <c r="B8052">
        <v>2021</v>
      </c>
      <c r="C8052" t="s">
        <v>38</v>
      </c>
      <c r="D8052" t="s">
        <v>7</v>
      </c>
      <c r="E8052" t="e">
        <f>VLOOKUP(Cpi_[[#This Row],[Attribute]],#REF!,2,FALSE)</f>
        <v>#REF!</v>
      </c>
      <c r="F8052">
        <v>168.8</v>
      </c>
      <c r="G8052">
        <f>(Cpi_[[#This Row],[Value]]-F8051)/F8051</f>
        <v>7.8594249201278027E-2</v>
      </c>
      <c r="H8052" t="e" cm="1" vm="1">
        <f t="array" aca="1" ref="H8052" ca="1">VLOOKUP(Cpi_[[#This Row],[Year]:[Month]],crudeoil[],3,FALSE)</f>
        <v>#VALUE!</v>
      </c>
    </row>
    <row r="8053" spans="1:8" hidden="1" x14ac:dyDescent="0.3">
      <c r="A8053" t="s">
        <v>33</v>
      </c>
      <c r="B8053">
        <v>2021</v>
      </c>
      <c r="C8053" t="s">
        <v>38</v>
      </c>
      <c r="D8053" t="s">
        <v>8</v>
      </c>
      <c r="E8053" t="e">
        <f>VLOOKUP(Cpi_[[#This Row],[Attribute]],#REF!,2,FALSE)</f>
        <v>#REF!</v>
      </c>
      <c r="F8053">
        <v>172.5</v>
      </c>
      <c r="G8053">
        <f>(Cpi_[[#This Row],[Value]]-F8052)/F8052</f>
        <v>2.1919431279620784E-2</v>
      </c>
      <c r="H8053" t="e" cm="1" vm="1">
        <f t="array" aca="1" ref="H8053" ca="1">VLOOKUP(Cpi_[[#This Row],[Year]:[Month]],crudeoil[],3,FALSE)</f>
        <v>#VALUE!</v>
      </c>
    </row>
    <row r="8054" spans="1:8" hidden="1" x14ac:dyDescent="0.3">
      <c r="A8054" t="s">
        <v>33</v>
      </c>
      <c r="B8054">
        <v>2021</v>
      </c>
      <c r="C8054" t="s">
        <v>38</v>
      </c>
      <c r="D8054" t="s">
        <v>9</v>
      </c>
      <c r="E8054" t="e">
        <f>VLOOKUP(Cpi_[[#This Row],[Attribute]],#REF!,2,FALSE)</f>
        <v>#REF!</v>
      </c>
      <c r="F8054">
        <v>166.5</v>
      </c>
      <c r="G8054">
        <f>(Cpi_[[#This Row],[Value]]-F8053)/F8053</f>
        <v>-3.4782608695652174E-2</v>
      </c>
      <c r="H8054" t="e" cm="1" vm="1">
        <f t="array" aca="1" ref="H8054" ca="1">VLOOKUP(Cpi_[[#This Row],[Year]:[Month]],crudeoil[],3,FALSE)</f>
        <v>#VALUE!</v>
      </c>
    </row>
    <row r="8055" spans="1:8" hidden="1" x14ac:dyDescent="0.3">
      <c r="A8055" t="s">
        <v>33</v>
      </c>
      <c r="B8055">
        <v>2021</v>
      </c>
      <c r="C8055" t="s">
        <v>38</v>
      </c>
      <c r="D8055" t="s">
        <v>10</v>
      </c>
      <c r="E8055" t="e">
        <f>VLOOKUP(Cpi_[[#This Row],[Attribute]],#REF!,2,FALSE)</f>
        <v>#REF!</v>
      </c>
      <c r="F8055">
        <v>165.9</v>
      </c>
      <c r="G8055">
        <f>(Cpi_[[#This Row],[Value]]-F8054)/F8054</f>
        <v>-3.6036036036035694E-3</v>
      </c>
      <c r="H8055" t="e" cm="1" vm="1">
        <f t="array" aca="1" ref="H8055" ca="1">VLOOKUP(Cpi_[[#This Row],[Year]:[Month]],crudeoil[],3,FALSE)</f>
        <v>#VALUE!</v>
      </c>
    </row>
    <row r="8056" spans="1:8" hidden="1" x14ac:dyDescent="0.3">
      <c r="A8056" t="s">
        <v>33</v>
      </c>
      <c r="B8056">
        <v>2021</v>
      </c>
      <c r="C8056" t="s">
        <v>38</v>
      </c>
      <c r="D8056" t="s">
        <v>11</v>
      </c>
      <c r="E8056" t="e">
        <f>VLOOKUP(Cpi_[[#This Row],[Attribute]],#REF!,2,FALSE)</f>
        <v>#REF!</v>
      </c>
      <c r="F8056">
        <v>115.9</v>
      </c>
      <c r="G8056">
        <f>(Cpi_[[#This Row],[Value]]-F8055)/F8055</f>
        <v>-0.30138637733574442</v>
      </c>
      <c r="H8056" t="e" cm="1" vm="1">
        <f t="array" aca="1" ref="H8056" ca="1">VLOOKUP(Cpi_[[#This Row],[Year]:[Month]],crudeoil[],3,FALSE)</f>
        <v>#VALUE!</v>
      </c>
    </row>
    <row r="8057" spans="1:8" hidden="1" x14ac:dyDescent="0.3">
      <c r="A8057" t="s">
        <v>33</v>
      </c>
      <c r="B8057">
        <v>2021</v>
      </c>
      <c r="C8057" t="s">
        <v>38</v>
      </c>
      <c r="D8057" t="s">
        <v>12</v>
      </c>
      <c r="E8057" t="e">
        <f>VLOOKUP(Cpi_[[#This Row],[Attribute]],#REF!,2,FALSE)</f>
        <v>#REF!</v>
      </c>
      <c r="F8057">
        <v>165.2</v>
      </c>
      <c r="G8057">
        <f>(Cpi_[[#This Row],[Value]]-F8056)/F8056</f>
        <v>0.42536669542709216</v>
      </c>
      <c r="H8057" t="e" cm="1" vm="1">
        <f t="array" aca="1" ref="H8057" ca="1">VLOOKUP(Cpi_[[#This Row],[Year]:[Month]],crudeoil[],3,FALSE)</f>
        <v>#VALUE!</v>
      </c>
    </row>
    <row r="8058" spans="1:8" hidden="1" x14ac:dyDescent="0.3">
      <c r="A8058" t="s">
        <v>33</v>
      </c>
      <c r="B8058">
        <v>2021</v>
      </c>
      <c r="C8058" t="s">
        <v>38</v>
      </c>
      <c r="D8058" t="s">
        <v>13</v>
      </c>
      <c r="E8058" t="e">
        <f>VLOOKUP(Cpi_[[#This Row],[Attribute]],#REF!,2,FALSE)</f>
        <v>#REF!</v>
      </c>
      <c r="F8058">
        <v>152</v>
      </c>
      <c r="G8058">
        <f>(Cpi_[[#This Row],[Value]]-F8057)/F8057</f>
        <v>-7.9903147699757801E-2</v>
      </c>
      <c r="H8058" t="e" cm="1" vm="1">
        <f t="array" aca="1" ref="H8058" ca="1">VLOOKUP(Cpi_[[#This Row],[Year]:[Month]],crudeoil[],3,FALSE)</f>
        <v>#VALUE!</v>
      </c>
    </row>
    <row r="8059" spans="1:8" hidden="1" x14ac:dyDescent="0.3">
      <c r="A8059" t="s">
        <v>33</v>
      </c>
      <c r="B8059">
        <v>2021</v>
      </c>
      <c r="C8059" t="s">
        <v>38</v>
      </c>
      <c r="D8059" t="s">
        <v>14</v>
      </c>
      <c r="E8059" t="e">
        <f>VLOOKUP(Cpi_[[#This Row],[Attribute]],#REF!,2,FALSE)</f>
        <v>#REF!</v>
      </c>
      <c r="F8059">
        <v>171.1</v>
      </c>
      <c r="G8059">
        <f>(Cpi_[[#This Row],[Value]]-F8058)/F8058</f>
        <v>0.12565789473684208</v>
      </c>
      <c r="H8059" t="e" cm="1" vm="1">
        <f t="array" aca="1" ref="H8059" ca="1">VLOOKUP(Cpi_[[#This Row],[Year]:[Month]],crudeoil[],3,FALSE)</f>
        <v>#VALUE!</v>
      </c>
    </row>
    <row r="8060" spans="1:8" hidden="1" x14ac:dyDescent="0.3">
      <c r="A8060" t="s">
        <v>33</v>
      </c>
      <c r="B8060">
        <v>2021</v>
      </c>
      <c r="C8060" t="s">
        <v>38</v>
      </c>
      <c r="D8060" t="s">
        <v>15</v>
      </c>
      <c r="E8060" t="e">
        <f>VLOOKUP(Cpi_[[#This Row],[Attribute]],#REF!,2,FALSE)</f>
        <v>#REF!</v>
      </c>
      <c r="F8060">
        <v>164.2</v>
      </c>
      <c r="G8060">
        <f>(Cpi_[[#This Row],[Value]]-F8059)/F8059</f>
        <v>-4.0327293980128617E-2</v>
      </c>
      <c r="H8060" t="e" cm="1" vm="1">
        <f t="array" aca="1" ref="H8060" ca="1">VLOOKUP(Cpi_[[#This Row],[Year]:[Month]],crudeoil[],3,FALSE)</f>
        <v>#VALUE!</v>
      </c>
    </row>
    <row r="8061" spans="1:8" hidden="1" x14ac:dyDescent="0.3">
      <c r="A8061" t="s">
        <v>33</v>
      </c>
      <c r="B8061">
        <v>2021</v>
      </c>
      <c r="C8061" t="s">
        <v>38</v>
      </c>
      <c r="D8061" t="s">
        <v>16</v>
      </c>
      <c r="E8061" t="e">
        <f>VLOOKUP(Cpi_[[#This Row],[Attribute]],#REF!,2,FALSE)</f>
        <v>#REF!</v>
      </c>
      <c r="F8061">
        <v>198.2</v>
      </c>
      <c r="G8061">
        <f>(Cpi_[[#This Row],[Value]]-F8060)/F8060</f>
        <v>0.20706455542021926</v>
      </c>
      <c r="H8061" t="e" cm="1" vm="1">
        <f t="array" aca="1" ref="H8061" ca="1">VLOOKUP(Cpi_[[#This Row],[Year]:[Month]],crudeoil[],3,FALSE)</f>
        <v>#VALUE!</v>
      </c>
    </row>
    <row r="8062" spans="1:8" hidden="1" x14ac:dyDescent="0.3">
      <c r="A8062" t="s">
        <v>33</v>
      </c>
      <c r="B8062">
        <v>2021</v>
      </c>
      <c r="C8062" t="s">
        <v>38</v>
      </c>
      <c r="D8062" t="s">
        <v>17</v>
      </c>
      <c r="E8062" t="e">
        <f>VLOOKUP(Cpi_[[#This Row],[Attribute]],#REF!,2,FALSE)</f>
        <v>#REF!</v>
      </c>
      <c r="F8062">
        <v>156.5</v>
      </c>
      <c r="G8062">
        <f>(Cpi_[[#This Row],[Value]]-F8061)/F8061</f>
        <v>-0.21039354187689199</v>
      </c>
      <c r="H8062" t="e" cm="1" vm="1">
        <f t="array" aca="1" ref="H8062" ca="1">VLOOKUP(Cpi_[[#This Row],[Year]:[Month]],crudeoil[],3,FALSE)</f>
        <v>#VALUE!</v>
      </c>
    </row>
    <row r="8063" spans="1:8" hidden="1" x14ac:dyDescent="0.3">
      <c r="A8063" t="s">
        <v>33</v>
      </c>
      <c r="B8063">
        <v>2021</v>
      </c>
      <c r="C8063" t="s">
        <v>38</v>
      </c>
      <c r="D8063" t="s">
        <v>18</v>
      </c>
      <c r="E8063" t="e">
        <f>VLOOKUP(Cpi_[[#This Row],[Attribute]],#REF!,2,FALSE)</f>
        <v>#REF!</v>
      </c>
      <c r="F8063">
        <v>140.19999999999999</v>
      </c>
      <c r="G8063">
        <f>(Cpi_[[#This Row],[Value]]-F8062)/F8062</f>
        <v>-0.10415335463258793</v>
      </c>
      <c r="H8063" t="e" cm="1" vm="1">
        <f t="array" aca="1" ref="H8063" ca="1">VLOOKUP(Cpi_[[#This Row],[Year]:[Month]],crudeoil[],3,FALSE)</f>
        <v>#VALUE!</v>
      </c>
    </row>
    <row r="8064" spans="1:8" hidden="1" x14ac:dyDescent="0.3">
      <c r="A8064" t="s">
        <v>33</v>
      </c>
      <c r="B8064">
        <v>2021</v>
      </c>
      <c r="C8064" t="s">
        <v>38</v>
      </c>
      <c r="D8064" t="s">
        <v>19</v>
      </c>
      <c r="E8064" t="e">
        <f>VLOOKUP(Cpi_[[#This Row],[Attribute]],#REF!,2,FALSE)</f>
        <v>#REF!</v>
      </c>
      <c r="F8064">
        <v>154.1</v>
      </c>
      <c r="G8064">
        <f>(Cpi_[[#This Row],[Value]]-F8063)/F8063</f>
        <v>9.9144079885877368E-2</v>
      </c>
      <c r="H8064" t="e" cm="1" vm="1">
        <f t="array" aca="1" ref="H8064" ca="1">VLOOKUP(Cpi_[[#This Row],[Year]:[Month]],crudeoil[],3,FALSE)</f>
        <v>#VALUE!</v>
      </c>
    </row>
    <row r="8065" spans="1:10" hidden="1" x14ac:dyDescent="0.3">
      <c r="A8065" t="s">
        <v>33</v>
      </c>
      <c r="B8065">
        <v>2021</v>
      </c>
      <c r="C8065" t="s">
        <v>38</v>
      </c>
      <c r="D8065" t="s">
        <v>20</v>
      </c>
      <c r="E8065" t="e">
        <f>VLOOKUP(Cpi_[[#This Row],[Attribute]],#REF!,2,FALSE)</f>
        <v>#REF!</v>
      </c>
      <c r="F8065">
        <v>161.6</v>
      </c>
      <c r="G8065">
        <f>(Cpi_[[#This Row],[Value]]-F8064)/F8064</f>
        <v>4.8669695003244647E-2</v>
      </c>
      <c r="H8065" t="e" cm="1" vm="1">
        <f t="array" aca="1" ref="H8065" ca="1">VLOOKUP(Cpi_[[#This Row],[Year]:[Month]],crudeoil[],3,FALSE)</f>
        <v>#VALUE!</v>
      </c>
    </row>
    <row r="8066" spans="1:10" hidden="1" x14ac:dyDescent="0.3">
      <c r="A8066" t="s">
        <v>33</v>
      </c>
      <c r="B8066">
        <v>2021</v>
      </c>
      <c r="C8066" t="s">
        <v>38</v>
      </c>
      <c r="D8066" t="s">
        <v>21</v>
      </c>
      <c r="E8066" t="e">
        <f>VLOOKUP(Cpi_[[#This Row],[Attribute]],#REF!,2,FALSE)</f>
        <v>#REF!</v>
      </c>
      <c r="F8066">
        <v>155.5</v>
      </c>
      <c r="G8066">
        <f>(Cpi_[[#This Row],[Value]]-F8065)/F8065</f>
        <v>-3.7747524752475212E-2</v>
      </c>
      <c r="H8066" t="e" cm="1" vm="1">
        <f t="array" aca="1" ref="H8066" ca="1">VLOOKUP(Cpi_[[#This Row],[Year]:[Month]],crudeoil[],3,FALSE)</f>
        <v>#VALUE!</v>
      </c>
    </row>
    <row r="8067" spans="1:10" hidden="1" x14ac:dyDescent="0.3">
      <c r="A8067" t="s">
        <v>33</v>
      </c>
      <c r="B8067">
        <v>2021</v>
      </c>
      <c r="C8067" t="s">
        <v>38</v>
      </c>
      <c r="D8067" t="s">
        <v>22</v>
      </c>
      <c r="E8067" t="e">
        <f>VLOOKUP(Cpi_[[#This Row],[Attribute]],#REF!,2,FALSE)</f>
        <v>#REF!</v>
      </c>
      <c r="F8067">
        <v>150.1</v>
      </c>
      <c r="G8067">
        <f>(Cpi_[[#This Row],[Value]]-F8066)/F8066</f>
        <v>-3.4726688102893928E-2</v>
      </c>
      <c r="H8067" t="e" cm="1" vm="1">
        <f t="array" aca="1" ref="H8067" ca="1">VLOOKUP(Cpi_[[#This Row],[Year]:[Month]],crudeoil[],3,FALSE)</f>
        <v>#VALUE!</v>
      </c>
    </row>
    <row r="8068" spans="1:10" hidden="1" x14ac:dyDescent="0.3">
      <c r="A8068" t="s">
        <v>33</v>
      </c>
      <c r="B8068">
        <v>2021</v>
      </c>
      <c r="C8068" t="s">
        <v>38</v>
      </c>
      <c r="D8068" t="s">
        <v>23</v>
      </c>
      <c r="E8068" t="e">
        <f>VLOOKUP(Cpi_[[#This Row],[Attribute]],#REF!,2,FALSE)</f>
        <v>#REF!</v>
      </c>
      <c r="F8068">
        <v>160.4</v>
      </c>
      <c r="G8068">
        <f>(Cpi_[[#This Row],[Value]]-F8067)/F8067</f>
        <v>6.862091938707536E-2</v>
      </c>
      <c r="H8068" t="e" cm="1" vm="1">
        <f t="array" aca="1" ref="H8068" ca="1">VLOOKUP(Cpi_[[#This Row],[Year]:[Month]],crudeoil[],3,FALSE)</f>
        <v>#VALUE!</v>
      </c>
    </row>
    <row r="8069" spans="1:10" hidden="1" x14ac:dyDescent="0.3">
      <c r="A8069" t="s">
        <v>33</v>
      </c>
      <c r="B8069">
        <v>2021</v>
      </c>
      <c r="C8069" t="s">
        <v>38</v>
      </c>
      <c r="D8069" t="s">
        <v>24</v>
      </c>
      <c r="E8069" t="e">
        <f>VLOOKUP(Cpi_[[#This Row],[Attribute]],#REF!,2,FALSE)</f>
        <v>#REF!</v>
      </c>
      <c r="F8069">
        <v>145</v>
      </c>
      <c r="G8069">
        <f>(Cpi_[[#This Row],[Value]]-F8068)/F8068</f>
        <v>-9.6009975062344169E-2</v>
      </c>
      <c r="H8069" t="e" cm="1" vm="1">
        <f t="array" aca="1" ref="H8069" ca="1">VLOOKUP(Cpi_[[#This Row],[Year]:[Month]],crudeoil[],3,FALSE)</f>
        <v>#VALUE!</v>
      </c>
    </row>
    <row r="8070" spans="1:10" hidden="1" x14ac:dyDescent="0.3">
      <c r="A8070" t="s">
        <v>33</v>
      </c>
      <c r="B8070">
        <v>2021</v>
      </c>
      <c r="C8070" t="s">
        <v>38</v>
      </c>
      <c r="D8070" t="s">
        <v>25</v>
      </c>
      <c r="E8070" t="e">
        <f>VLOOKUP(Cpi_[[#This Row],[Attribute]],#REF!,2,FALSE)</f>
        <v>#REF!</v>
      </c>
      <c r="F8070">
        <v>152.6</v>
      </c>
      <c r="G8070">
        <f>(Cpi_[[#This Row],[Value]]-F8069)/F8069</f>
        <v>5.2413793103448236E-2</v>
      </c>
      <c r="H8070" t="e" cm="1" vm="1">
        <f t="array" aca="1" ref="H8070" ca="1">VLOOKUP(Cpi_[[#This Row],[Year]:[Month]],crudeoil[],3,FALSE)</f>
        <v>#VALUE!</v>
      </c>
    </row>
    <row r="8071" spans="1:10" hidden="1" x14ac:dyDescent="0.3">
      <c r="A8071" t="s">
        <v>33</v>
      </c>
      <c r="B8071">
        <v>2021</v>
      </c>
      <c r="C8071" t="s">
        <v>38</v>
      </c>
      <c r="D8071" t="s">
        <v>26</v>
      </c>
      <c r="E8071" t="e">
        <f>VLOOKUP(Cpi_[[#This Row],[Attribute]],#REF!,2,FALSE)</f>
        <v>#REF!</v>
      </c>
      <c r="F8071">
        <v>156.6</v>
      </c>
      <c r="G8071">
        <f>(Cpi_[[#This Row],[Value]]-F8070)/F8070</f>
        <v>2.6212319790301444E-2</v>
      </c>
      <c r="H8071" t="e" cm="1" vm="1">
        <f t="array" aca="1" ref="H8071" ca="1">VLOOKUP(Cpi_[[#This Row],[Year]:[Month]],crudeoil[],3,FALSE)</f>
        <v>#VALUE!</v>
      </c>
    </row>
    <row r="8072" spans="1:10" hidden="1" x14ac:dyDescent="0.3">
      <c r="A8072" t="s">
        <v>33</v>
      </c>
      <c r="B8072">
        <v>2021</v>
      </c>
      <c r="C8072" t="s">
        <v>38</v>
      </c>
      <c r="D8072" t="s">
        <v>27</v>
      </c>
      <c r="E8072" t="e">
        <f>VLOOKUP(Cpi_[[#This Row],[Attribute]],#REF!,2,FALSE)</f>
        <v>#REF!</v>
      </c>
      <c r="F8072">
        <v>157.5</v>
      </c>
      <c r="G8072">
        <f>(Cpi_[[#This Row],[Value]]-F8071)/F8071</f>
        <v>5.7471264367816455E-3</v>
      </c>
      <c r="H8072" t="e" cm="1" vm="1">
        <f t="array" aca="1" ref="H8072" ca="1">VLOOKUP(Cpi_[[#This Row],[Year]:[Month]],crudeoil[],3,FALSE)</f>
        <v>#VALUE!</v>
      </c>
    </row>
    <row r="8073" spans="1:10" hidden="1" x14ac:dyDescent="0.3">
      <c r="A8073" t="s">
        <v>33</v>
      </c>
      <c r="B8073">
        <v>2021</v>
      </c>
      <c r="C8073" t="s">
        <v>38</v>
      </c>
      <c r="D8073" t="s">
        <v>28</v>
      </c>
      <c r="E8073" t="e">
        <f>VLOOKUP(Cpi_[[#This Row],[Attribute]],#REF!,2,FALSE)</f>
        <v>#REF!</v>
      </c>
      <c r="F8073">
        <v>152.30000000000001</v>
      </c>
      <c r="G8073">
        <f>(Cpi_[[#This Row],[Value]]-F8072)/F8072</f>
        <v>-3.3015873015872943E-2</v>
      </c>
      <c r="H8073" t="e" cm="1" vm="1">
        <f t="array" aca="1" ref="H8073" ca="1">VLOOKUP(Cpi_[[#This Row],[Year]:[Month]],crudeoil[],3,FALSE)</f>
        <v>#VALUE!</v>
      </c>
    </row>
    <row r="8074" spans="1:10" hidden="1" x14ac:dyDescent="0.3">
      <c r="A8074" t="s">
        <v>33</v>
      </c>
      <c r="B8074">
        <v>2021</v>
      </c>
      <c r="C8074" t="s">
        <v>38</v>
      </c>
      <c r="D8074" t="s">
        <v>29</v>
      </c>
      <c r="E8074" t="e" cm="1">
        <f t="array" aca="1" ref="E8074" ca="1">VLGeneral indexGeneral indexKUP(Cpi_[[#This Row],[Attribute]],#REF!,2,FALSE)</f>
        <v>#NAME?</v>
      </c>
      <c r="F8074">
        <v>159.5</v>
      </c>
      <c r="G8074">
        <f>(Cpi_[[#This Row],[Value]]-F8073)/F8073</f>
        <v>4.7275114904793095E-2</v>
      </c>
      <c r="H8074" t="e" cm="1" vm="1">
        <f t="array" aca="1" ref="H8074" ca="1">VLOOKUP(Cpi_[[#This Row],[Year]:[Month]],crudeoil[],3,FALSE)</f>
        <v>#VALUE!</v>
      </c>
    </row>
    <row r="8075" spans="1:10" hidden="1" x14ac:dyDescent="0.3">
      <c r="A8075" t="s">
        <v>34</v>
      </c>
      <c r="B8075">
        <v>2021</v>
      </c>
      <c r="C8075" t="s">
        <v>38</v>
      </c>
      <c r="D8075" t="s">
        <v>3</v>
      </c>
      <c r="E8075" t="e">
        <f>VLOOKUP(Cpi_[[#This Row],[Attribute]],#REF!,2,FALSE)</f>
        <v>#REF!</v>
      </c>
      <c r="F8075">
        <v>146.30000000000001</v>
      </c>
      <c r="G8075">
        <f>(Cpi_[[#This Row],[Value]]-F8074)/F8074</f>
        <v>-8.2758620689655102E-2</v>
      </c>
      <c r="H8075" t="e" cm="1" vm="1">
        <f t="array" aca="1" ref="H8075" ca="1">VLOOKUP(Cpi_[[#This Row],[Year]:[Month]],crudeoil[],3,FALSE)</f>
        <v>#VALUE!</v>
      </c>
    </row>
    <row r="8076" spans="1:10" x14ac:dyDescent="0.3">
      <c r="A8076" t="s">
        <v>34</v>
      </c>
      <c r="B8076">
        <v>2021</v>
      </c>
      <c r="C8076" t="s">
        <v>38</v>
      </c>
      <c r="D8076" t="s">
        <v>4</v>
      </c>
      <c r="E8076" t="e">
        <f>VLOOKUP(Cpi_[[#This Row],[Attribute]],#REF!,2,FALSE)</f>
        <v>#REF!</v>
      </c>
      <c r="F8076">
        <v>200.5</v>
      </c>
      <c r="G8076" s="42">
        <f>(Cpi_[[#This Row],[Value]]-F8075)/F8075</f>
        <v>0.37047163362952829</v>
      </c>
      <c r="H8076" t="str">
        <f>LEFT(Cpi_[[#This Row],[Month]],3)</f>
        <v>May</v>
      </c>
      <c r="I8076" t="str">
        <f>RIGHT(Cpi_[[#This Row],[Year]],2)</f>
        <v>21</v>
      </c>
      <c r="J8076" t="str">
        <f>Cpi_[[#This Row],[Column3]]&amp;"-"&amp;Cpi_[[#This Row],[Column4]]</f>
        <v>May-21</v>
      </c>
    </row>
    <row r="8077" spans="1:10" x14ac:dyDescent="0.3">
      <c r="A8077" t="s">
        <v>34</v>
      </c>
      <c r="B8077">
        <v>2021</v>
      </c>
      <c r="C8077" t="s">
        <v>38</v>
      </c>
      <c r="D8077" t="s">
        <v>5</v>
      </c>
      <c r="E8077" t="e">
        <f>VLOOKUP(Cpi_[[#This Row],[Attribute]],#REF!,2,FALSE)</f>
        <v>#REF!</v>
      </c>
      <c r="F8077">
        <v>170.3</v>
      </c>
      <c r="G8077" s="42">
        <f>(Cpi_[[#This Row],[Value]]-F8076)/F8076</f>
        <v>-0.15062344139650868</v>
      </c>
      <c r="H8077" t="str">
        <f>LEFT(Cpi_[[#This Row],[Month]],3)</f>
        <v>May</v>
      </c>
      <c r="I8077" t="str">
        <f>RIGHT(Cpi_[[#This Row],[Year]],2)</f>
        <v>21</v>
      </c>
      <c r="J8077" t="str">
        <f>Cpi_[[#This Row],[Column3]]&amp;"-"&amp;Cpi_[[#This Row],[Column4]]</f>
        <v>May-21</v>
      </c>
    </row>
    <row r="8078" spans="1:10" x14ac:dyDescent="0.3">
      <c r="A8078" t="s">
        <v>34</v>
      </c>
      <c r="B8078">
        <v>2021</v>
      </c>
      <c r="C8078" t="s">
        <v>38</v>
      </c>
      <c r="D8078" t="s">
        <v>6</v>
      </c>
      <c r="E8078" t="e">
        <f>VLOOKUP(Cpi_[[#This Row],[Attribute]],#REF!,2,FALSE)</f>
        <v>#REF!</v>
      </c>
      <c r="F8078">
        <v>156.1</v>
      </c>
      <c r="G8078" s="42">
        <f>(Cpi_[[#This Row],[Value]]-F8077)/F8077</f>
        <v>-8.3382266588373555E-2</v>
      </c>
      <c r="H8078" t="str">
        <f>LEFT(Cpi_[[#This Row],[Month]],3)</f>
        <v>May</v>
      </c>
      <c r="I8078" t="str">
        <f>RIGHT(Cpi_[[#This Row],[Year]],2)</f>
        <v>21</v>
      </c>
      <c r="J8078" t="str">
        <f>Cpi_[[#This Row],[Column3]]&amp;"-"&amp;Cpi_[[#This Row],[Column4]]</f>
        <v>May-21</v>
      </c>
    </row>
    <row r="8079" spans="1:10" x14ac:dyDescent="0.3">
      <c r="A8079" t="s">
        <v>34</v>
      </c>
      <c r="B8079">
        <v>2021</v>
      </c>
      <c r="C8079" t="s">
        <v>38</v>
      </c>
      <c r="D8079" t="s">
        <v>7</v>
      </c>
      <c r="E8079" t="e">
        <f>VLOOKUP(Cpi_[[#This Row],[Attribute]],#REF!,2,FALSE)</f>
        <v>#REF!</v>
      </c>
      <c r="F8079">
        <v>178.7</v>
      </c>
      <c r="G8079" s="42">
        <f>(Cpi_[[#This Row],[Value]]-F8078)/F8078</f>
        <v>0.14477898782831516</v>
      </c>
      <c r="H8079" t="str">
        <f>LEFT(Cpi_[[#This Row],[Month]],3)</f>
        <v>May</v>
      </c>
      <c r="I8079" t="str">
        <f>RIGHT(Cpi_[[#This Row],[Year]],2)</f>
        <v>21</v>
      </c>
      <c r="J8079" t="str">
        <f>Cpi_[[#This Row],[Column3]]&amp;"-"&amp;Cpi_[[#This Row],[Column4]]</f>
        <v>May-21</v>
      </c>
    </row>
    <row r="8080" spans="1:10" x14ac:dyDescent="0.3">
      <c r="A8080" t="s">
        <v>34</v>
      </c>
      <c r="B8080">
        <v>2021</v>
      </c>
      <c r="C8080" t="s">
        <v>38</v>
      </c>
      <c r="D8080" t="s">
        <v>8</v>
      </c>
      <c r="E8080" t="e">
        <f>VLOOKUP(Cpi_[[#This Row],[Attribute]],#REF!,2,FALSE)</f>
        <v>#REF!</v>
      </c>
      <c r="F8080">
        <v>167.1</v>
      </c>
      <c r="G8080" s="42">
        <f>(Cpi_[[#This Row],[Value]]-F8079)/F8079</f>
        <v>-6.4913262451035222E-2</v>
      </c>
      <c r="H8080" t="str">
        <f>LEFT(Cpi_[[#This Row],[Month]],3)</f>
        <v>May</v>
      </c>
      <c r="I8080" t="str">
        <f>RIGHT(Cpi_[[#This Row],[Year]],2)</f>
        <v>21</v>
      </c>
      <c r="J8080" t="str">
        <f>Cpi_[[#This Row],[Column3]]&amp;"-"&amp;Cpi_[[#This Row],[Column4]]</f>
        <v>May-21</v>
      </c>
    </row>
    <row r="8081" spans="1:10" x14ac:dyDescent="0.3">
      <c r="A8081" t="s">
        <v>34</v>
      </c>
      <c r="B8081">
        <v>2021</v>
      </c>
      <c r="C8081" t="s">
        <v>38</v>
      </c>
      <c r="D8081" t="s">
        <v>9</v>
      </c>
      <c r="E8081" t="e">
        <f>VLOOKUP(Cpi_[[#This Row],[Attribute]],#REF!,2,FALSE)</f>
        <v>#REF!</v>
      </c>
      <c r="F8081">
        <v>147.9</v>
      </c>
      <c r="G8081" s="42">
        <f>(Cpi_[[#This Row],[Value]]-F8080)/F8080</f>
        <v>-0.11490125673249545</v>
      </c>
      <c r="H8081" t="str">
        <f>LEFT(Cpi_[[#This Row],[Month]],3)</f>
        <v>May</v>
      </c>
      <c r="I8081" t="str">
        <f>RIGHT(Cpi_[[#This Row],[Year]],2)</f>
        <v>21</v>
      </c>
      <c r="J8081" t="str">
        <f>Cpi_[[#This Row],[Column3]]&amp;"-"&amp;Cpi_[[#This Row],[Column4]]</f>
        <v>May-21</v>
      </c>
    </row>
    <row r="8082" spans="1:10" x14ac:dyDescent="0.3">
      <c r="A8082" t="s">
        <v>34</v>
      </c>
      <c r="B8082">
        <v>2021</v>
      </c>
      <c r="C8082" t="s">
        <v>38</v>
      </c>
      <c r="D8082" t="s">
        <v>10</v>
      </c>
      <c r="E8082" t="e">
        <f>VLOOKUP(Cpi_[[#This Row],[Attribute]],#REF!,2,FALSE)</f>
        <v>#REF!</v>
      </c>
      <c r="F8082">
        <v>165.4</v>
      </c>
      <c r="G8082" s="42">
        <f>(Cpi_[[#This Row],[Value]]-F8081)/F8081</f>
        <v>0.11832319134550372</v>
      </c>
      <c r="H8082" t="str">
        <f>LEFT(Cpi_[[#This Row],[Month]],3)</f>
        <v>May</v>
      </c>
      <c r="I8082" t="str">
        <f>RIGHT(Cpi_[[#This Row],[Year]],2)</f>
        <v>21</v>
      </c>
      <c r="J8082" t="str">
        <f>Cpi_[[#This Row],[Column3]]&amp;"-"&amp;Cpi_[[#This Row],[Column4]]</f>
        <v>May-21</v>
      </c>
    </row>
    <row r="8083" spans="1:10" x14ac:dyDescent="0.3">
      <c r="A8083" t="s">
        <v>34</v>
      </c>
      <c r="B8083">
        <v>2021</v>
      </c>
      <c r="C8083" t="s">
        <v>38</v>
      </c>
      <c r="D8083" t="s">
        <v>11</v>
      </c>
      <c r="E8083" t="e">
        <f>VLOOKUP(Cpi_[[#This Row],[Attribute]],#REF!,2,FALSE)</f>
        <v>#REF!</v>
      </c>
      <c r="F8083">
        <v>114.8</v>
      </c>
      <c r="G8083" s="42">
        <f>(Cpi_[[#This Row],[Value]]-F8082)/F8082</f>
        <v>-0.3059250302297461</v>
      </c>
      <c r="H8083" t="str">
        <f>LEFT(Cpi_[[#This Row],[Month]],3)</f>
        <v>May</v>
      </c>
      <c r="I8083" t="str">
        <f>RIGHT(Cpi_[[#This Row],[Year]],2)</f>
        <v>21</v>
      </c>
      <c r="J8083" t="str">
        <f>Cpi_[[#This Row],[Column3]]&amp;"-"&amp;Cpi_[[#This Row],[Column4]]</f>
        <v>May-21</v>
      </c>
    </row>
    <row r="8084" spans="1:10" x14ac:dyDescent="0.3">
      <c r="A8084" t="s">
        <v>34</v>
      </c>
      <c r="B8084">
        <v>2021</v>
      </c>
      <c r="C8084" t="s">
        <v>38</v>
      </c>
      <c r="D8084" t="s">
        <v>12</v>
      </c>
      <c r="E8084" t="e">
        <f>VLOOKUP(Cpi_[[#This Row],[Attribute]],#REF!,2,FALSE)</f>
        <v>#REF!</v>
      </c>
      <c r="F8084">
        <v>168.2</v>
      </c>
      <c r="G8084" s="42">
        <f>(Cpi_[[#This Row],[Value]]-F8083)/F8083</f>
        <v>0.46515679442508706</v>
      </c>
      <c r="H8084" t="str">
        <f>LEFT(Cpi_[[#This Row],[Month]],3)</f>
        <v>May</v>
      </c>
      <c r="I8084" t="str">
        <f>RIGHT(Cpi_[[#This Row],[Year]],2)</f>
        <v>21</v>
      </c>
      <c r="J8084" t="str">
        <f>Cpi_[[#This Row],[Column3]]&amp;"-"&amp;Cpi_[[#This Row],[Column4]]</f>
        <v>May-21</v>
      </c>
    </row>
    <row r="8085" spans="1:10" x14ac:dyDescent="0.3">
      <c r="A8085" t="s">
        <v>34</v>
      </c>
      <c r="B8085">
        <v>2021</v>
      </c>
      <c r="C8085" t="s">
        <v>38</v>
      </c>
      <c r="D8085" t="s">
        <v>13</v>
      </c>
      <c r="E8085" t="e">
        <f>VLOOKUP(Cpi_[[#This Row],[Attribute]],#REF!,2,FALSE)</f>
        <v>#REF!</v>
      </c>
      <c r="F8085">
        <v>159.30000000000001</v>
      </c>
      <c r="G8085" s="42">
        <f>(Cpi_[[#This Row],[Value]]-F8084)/F8084</f>
        <v>-5.2913198573127096E-2</v>
      </c>
      <c r="H8085" t="str">
        <f>LEFT(Cpi_[[#This Row],[Month]],3)</f>
        <v>May</v>
      </c>
      <c r="I8085" t="str">
        <f>RIGHT(Cpi_[[#This Row],[Year]],2)</f>
        <v>21</v>
      </c>
      <c r="J8085" t="str">
        <f>Cpi_[[#This Row],[Column3]]&amp;"-"&amp;Cpi_[[#This Row],[Column4]]</f>
        <v>May-21</v>
      </c>
    </row>
    <row r="8086" spans="1:10" x14ac:dyDescent="0.3">
      <c r="A8086" t="s">
        <v>34</v>
      </c>
      <c r="B8086">
        <v>2021</v>
      </c>
      <c r="C8086" t="s">
        <v>38</v>
      </c>
      <c r="D8086" t="s">
        <v>14</v>
      </c>
      <c r="E8086" t="e">
        <f>VLOOKUP(Cpi_[[#This Row],[Attribute]],#REF!,2,FALSE)</f>
        <v>#REF!</v>
      </c>
      <c r="F8086">
        <v>170.4</v>
      </c>
      <c r="G8086" s="42">
        <f>(Cpi_[[#This Row],[Value]]-F8085)/F8085</f>
        <v>6.9679849340866254E-2</v>
      </c>
      <c r="H8086" t="str">
        <f>LEFT(Cpi_[[#This Row],[Month]],3)</f>
        <v>May</v>
      </c>
      <c r="I8086" t="str">
        <f>RIGHT(Cpi_[[#This Row],[Year]],2)</f>
        <v>21</v>
      </c>
      <c r="J8086" t="str">
        <f>Cpi_[[#This Row],[Column3]]&amp;"-"&amp;Cpi_[[#This Row],[Column4]]</f>
        <v>May-21</v>
      </c>
    </row>
    <row r="8087" spans="1:10" x14ac:dyDescent="0.3">
      <c r="A8087" t="s">
        <v>34</v>
      </c>
      <c r="B8087">
        <v>2021</v>
      </c>
      <c r="C8087" t="s">
        <v>38</v>
      </c>
      <c r="D8087" t="s">
        <v>15</v>
      </c>
      <c r="E8087" t="e">
        <f>VLOOKUP(Cpi_[[#This Row],[Attribute]],#REF!,2,FALSE)</f>
        <v>#REF!</v>
      </c>
      <c r="F8087">
        <v>160.69999999999999</v>
      </c>
      <c r="G8087" s="42">
        <f>(Cpi_[[#This Row],[Value]]-F8086)/F8086</f>
        <v>-5.6924882629108081E-2</v>
      </c>
      <c r="H8087" t="str">
        <f>LEFT(Cpi_[[#This Row],[Month]],3)</f>
        <v>May</v>
      </c>
      <c r="I8087" t="str">
        <f>RIGHT(Cpi_[[#This Row],[Year]],2)</f>
        <v>21</v>
      </c>
      <c r="J8087" t="str">
        <f>Cpi_[[#This Row],[Column3]]&amp;"-"&amp;Cpi_[[#This Row],[Column4]]</f>
        <v>May-21</v>
      </c>
    </row>
    <row r="8088" spans="1:10" hidden="1" x14ac:dyDescent="0.3">
      <c r="A8088" t="s">
        <v>34</v>
      </c>
      <c r="B8088">
        <v>2021</v>
      </c>
      <c r="C8088" t="s">
        <v>38</v>
      </c>
      <c r="D8088" t="s">
        <v>16</v>
      </c>
      <c r="E8088" t="e">
        <f>VLOOKUP(Cpi_[[#This Row],[Attribute]],#REF!,2,FALSE)</f>
        <v>#REF!</v>
      </c>
      <c r="F8088">
        <v>191.9</v>
      </c>
      <c r="G8088">
        <f>(Cpi_[[#This Row],[Value]]-F8087)/F8087</f>
        <v>0.19415059116365913</v>
      </c>
      <c r="H8088" t="e" cm="1" vm="1">
        <f t="array" aca="1" ref="H8088" ca="1">VLOOKUP(Cpi_[[#This Row],[Year]:[Month]],crudeoil[],3,FALSE)</f>
        <v>#VALUE!</v>
      </c>
    </row>
    <row r="8089" spans="1:10" hidden="1" x14ac:dyDescent="0.3">
      <c r="A8089" t="s">
        <v>34</v>
      </c>
      <c r="B8089">
        <v>2021</v>
      </c>
      <c r="C8089" t="s">
        <v>38</v>
      </c>
      <c r="D8089" t="s">
        <v>17</v>
      </c>
      <c r="E8089" t="e">
        <f>VLOOKUP(Cpi_[[#This Row],[Attribute]],#REF!,2,FALSE)</f>
        <v>#REF!</v>
      </c>
      <c r="F8089">
        <v>161.80000000000001</v>
      </c>
      <c r="G8089">
        <f>(Cpi_[[#This Row],[Value]]-F8088)/F8088</f>
        <v>-0.15685252735799893</v>
      </c>
      <c r="H8089" t="e" cm="1" vm="1">
        <f t="array" aca="1" ref="H8089" ca="1">VLOOKUP(Cpi_[[#This Row],[Year]:[Month]],crudeoil[],3,FALSE)</f>
        <v>#VALUE!</v>
      </c>
    </row>
    <row r="8090" spans="1:10" hidden="1" x14ac:dyDescent="0.3">
      <c r="A8090" t="s">
        <v>34</v>
      </c>
      <c r="B8090">
        <v>2021</v>
      </c>
      <c r="C8090" t="s">
        <v>38</v>
      </c>
      <c r="D8090" t="s">
        <v>18</v>
      </c>
      <c r="E8090" t="e">
        <f>VLOOKUP(Cpi_[[#This Row],[Attribute]],#REF!,2,FALSE)</f>
        <v>#REF!</v>
      </c>
      <c r="F8090">
        <v>152.1</v>
      </c>
      <c r="G8090">
        <f>(Cpi_[[#This Row],[Value]]-F8089)/F8089</f>
        <v>-5.9950556242274515E-2</v>
      </c>
      <c r="H8090" t="e" cm="1" vm="1">
        <f t="array" aca="1" ref="H8090" ca="1">VLOOKUP(Cpi_[[#This Row],[Year]:[Month]],crudeoil[],3,FALSE)</f>
        <v>#VALUE!</v>
      </c>
    </row>
    <row r="8091" spans="1:10" hidden="1" x14ac:dyDescent="0.3">
      <c r="A8091" t="s">
        <v>34</v>
      </c>
      <c r="B8091">
        <v>2021</v>
      </c>
      <c r="C8091" t="s">
        <v>38</v>
      </c>
      <c r="D8091" t="s">
        <v>19</v>
      </c>
      <c r="E8091" t="e">
        <f>VLOOKUP(Cpi_[[#This Row],[Attribute]],#REF!,2,FALSE)</f>
        <v>#REF!</v>
      </c>
      <c r="F8091">
        <v>160.4</v>
      </c>
      <c r="G8091">
        <f>(Cpi_[[#This Row],[Value]]-F8090)/F8090</f>
        <v>5.4569362261670029E-2</v>
      </c>
      <c r="H8091" t="e" cm="1" vm="1">
        <f t="array" aca="1" ref="H8091" ca="1">VLOOKUP(Cpi_[[#This Row],[Year]:[Month]],crudeoil[],3,FALSE)</f>
        <v>#VALUE!</v>
      </c>
    </row>
    <row r="8092" spans="1:10" hidden="1" x14ac:dyDescent="0.3">
      <c r="A8092" t="s">
        <v>34</v>
      </c>
      <c r="B8092">
        <v>2021</v>
      </c>
      <c r="C8092" t="s">
        <v>38</v>
      </c>
      <c r="D8092" t="s">
        <v>20</v>
      </c>
      <c r="E8092" t="e">
        <f>VLOOKUP(Cpi_[[#This Row],[Attribute]],#REF!,2,FALSE)</f>
        <v>#REF!</v>
      </c>
      <c r="F8092">
        <v>161.6</v>
      </c>
      <c r="G8092">
        <f>(Cpi_[[#This Row],[Value]]-F8091)/F8091</f>
        <v>7.4812967581046668E-3</v>
      </c>
      <c r="H8092" t="e" cm="1" vm="1">
        <f t="array" aca="1" ref="H8092" ca="1">VLOOKUP(Cpi_[[#This Row],[Year]:[Month]],crudeoil[],3,FALSE)</f>
        <v>#VALUE!</v>
      </c>
    </row>
    <row r="8093" spans="1:10" hidden="1" x14ac:dyDescent="0.3">
      <c r="A8093" t="s">
        <v>34</v>
      </c>
      <c r="B8093">
        <v>2021</v>
      </c>
      <c r="C8093" t="s">
        <v>38</v>
      </c>
      <c r="D8093" t="s">
        <v>21</v>
      </c>
      <c r="E8093" t="e">
        <f>VLOOKUP(Cpi_[[#This Row],[Attribute]],#REF!,2,FALSE)</f>
        <v>#REF!</v>
      </c>
      <c r="F8093">
        <v>159.4</v>
      </c>
      <c r="G8093">
        <f>(Cpi_[[#This Row],[Value]]-F8092)/F8092</f>
        <v>-1.3613861386138544E-2</v>
      </c>
      <c r="H8093" t="e" cm="1" vm="1">
        <f t="array" aca="1" ref="H8093" ca="1">VLOOKUP(Cpi_[[#This Row],[Year]:[Month]],crudeoil[],3,FALSE)</f>
        <v>#VALUE!</v>
      </c>
    </row>
    <row r="8094" spans="1:10" hidden="1" x14ac:dyDescent="0.3">
      <c r="A8094" t="s">
        <v>34</v>
      </c>
      <c r="B8094">
        <v>2021</v>
      </c>
      <c r="C8094" t="s">
        <v>38</v>
      </c>
      <c r="D8094" t="s">
        <v>22</v>
      </c>
      <c r="E8094" t="e">
        <f>VLOOKUP(Cpi_[[#This Row],[Attribute]],#REF!,2,FALSE)</f>
        <v>#REF!</v>
      </c>
      <c r="F8094">
        <v>154.69999999999999</v>
      </c>
      <c r="G8094">
        <f>(Cpi_[[#This Row],[Value]]-F8093)/F8093</f>
        <v>-2.9485570890840758E-2</v>
      </c>
      <c r="H8094" t="e" cm="1" vm="1">
        <f t="array" aca="1" ref="H8094" ca="1">VLOOKUP(Cpi_[[#This Row],[Year]:[Month]],crudeoil[],3,FALSE)</f>
        <v>#VALUE!</v>
      </c>
    </row>
    <row r="8095" spans="1:10" hidden="1" x14ac:dyDescent="0.3">
      <c r="A8095" t="s">
        <v>34</v>
      </c>
      <c r="B8095">
        <v>2021</v>
      </c>
      <c r="C8095" t="s">
        <v>38</v>
      </c>
      <c r="D8095" t="s">
        <v>23</v>
      </c>
      <c r="E8095" t="e">
        <f>VLOOKUP(Cpi_[[#This Row],[Attribute]],#REF!,2,FALSE)</f>
        <v>#REF!</v>
      </c>
      <c r="F8095">
        <v>165.8</v>
      </c>
      <c r="G8095">
        <f>(Cpi_[[#This Row],[Value]]-F8094)/F8094</f>
        <v>7.1751777634130723E-2</v>
      </c>
      <c r="H8095" t="e" cm="1" vm="1">
        <f t="array" aca="1" ref="H8095" ca="1">VLOOKUP(Cpi_[[#This Row],[Year]:[Month]],crudeoil[],3,FALSE)</f>
        <v>#VALUE!</v>
      </c>
    </row>
    <row r="8096" spans="1:10" hidden="1" x14ac:dyDescent="0.3">
      <c r="A8096" t="s">
        <v>34</v>
      </c>
      <c r="B8096">
        <v>2021</v>
      </c>
      <c r="C8096" t="s">
        <v>38</v>
      </c>
      <c r="D8096" t="s">
        <v>24</v>
      </c>
      <c r="E8096" t="e">
        <f>VLOOKUP(Cpi_[[#This Row],[Attribute]],#REF!,2,FALSE)</f>
        <v>#REF!</v>
      </c>
      <c r="F8096">
        <v>148.9</v>
      </c>
      <c r="G8096">
        <f>(Cpi_[[#This Row],[Value]]-F8095)/F8095</f>
        <v>-0.10193003618817856</v>
      </c>
      <c r="H8096" t="e" cm="1" vm="1">
        <f t="array" aca="1" ref="H8096" ca="1">VLOOKUP(Cpi_[[#This Row],[Year]:[Month]],crudeoil[],3,FALSE)</f>
        <v>#VALUE!</v>
      </c>
    </row>
    <row r="8097" spans="1:8" hidden="1" x14ac:dyDescent="0.3">
      <c r="A8097" t="s">
        <v>34</v>
      </c>
      <c r="B8097">
        <v>2021</v>
      </c>
      <c r="C8097" t="s">
        <v>38</v>
      </c>
      <c r="D8097" t="s">
        <v>25</v>
      </c>
      <c r="E8097" t="e">
        <f>VLOOKUP(Cpi_[[#This Row],[Attribute]],#REF!,2,FALSE)</f>
        <v>#REF!</v>
      </c>
      <c r="F8097">
        <v>155.80000000000001</v>
      </c>
      <c r="G8097">
        <f>(Cpi_[[#This Row],[Value]]-F8096)/F8096</f>
        <v>4.6339825386165247E-2</v>
      </c>
      <c r="H8097" t="e" cm="1" vm="1">
        <f t="array" aca="1" ref="H8097" ca="1">VLOOKUP(Cpi_[[#This Row],[Year]:[Month]],crudeoil[],3,FALSE)</f>
        <v>#VALUE!</v>
      </c>
    </row>
    <row r="8098" spans="1:8" hidden="1" x14ac:dyDescent="0.3">
      <c r="A8098" t="s">
        <v>34</v>
      </c>
      <c r="B8098">
        <v>2021</v>
      </c>
      <c r="C8098" t="s">
        <v>38</v>
      </c>
      <c r="D8098" t="s">
        <v>26</v>
      </c>
      <c r="E8098" t="e">
        <f>VLOOKUP(Cpi_[[#This Row],[Attribute]],#REF!,2,FALSE)</f>
        <v>#REF!</v>
      </c>
      <c r="F8098">
        <v>161.19999999999999</v>
      </c>
      <c r="G8098">
        <f>(Cpi_[[#This Row],[Value]]-F8097)/F8097</f>
        <v>3.4659820282413205E-2</v>
      </c>
      <c r="H8098" t="e" cm="1" vm="1">
        <f t="array" aca="1" ref="H8098" ca="1">VLOOKUP(Cpi_[[#This Row],[Year]:[Month]],crudeoil[],3,FALSE)</f>
        <v>#VALUE!</v>
      </c>
    </row>
    <row r="8099" spans="1:8" hidden="1" x14ac:dyDescent="0.3">
      <c r="A8099" t="s">
        <v>34</v>
      </c>
      <c r="B8099">
        <v>2021</v>
      </c>
      <c r="C8099" t="s">
        <v>38</v>
      </c>
      <c r="D8099" t="s">
        <v>27</v>
      </c>
      <c r="E8099" t="e">
        <f>VLOOKUP(Cpi_[[#This Row],[Attribute]],#REF!,2,FALSE)</f>
        <v>#REF!</v>
      </c>
      <c r="F8099">
        <v>158.6</v>
      </c>
      <c r="G8099">
        <f>(Cpi_[[#This Row],[Value]]-F8098)/F8098</f>
        <v>-1.6129032258064481E-2</v>
      </c>
      <c r="H8099" t="e" cm="1" vm="1">
        <f t="array" aca="1" ref="H8099" ca="1">VLOOKUP(Cpi_[[#This Row],[Year]:[Month]],crudeoil[],3,FALSE)</f>
        <v>#VALUE!</v>
      </c>
    </row>
    <row r="8100" spans="1:8" hidden="1" x14ac:dyDescent="0.3">
      <c r="A8100" t="s">
        <v>34</v>
      </c>
      <c r="B8100">
        <v>2021</v>
      </c>
      <c r="C8100" t="s">
        <v>38</v>
      </c>
      <c r="D8100" t="s">
        <v>28</v>
      </c>
      <c r="E8100" t="e">
        <f>VLOOKUP(Cpi_[[#This Row],[Attribute]],#REF!,2,FALSE)</f>
        <v>#REF!</v>
      </c>
      <c r="F8100">
        <v>156.80000000000001</v>
      </c>
      <c r="G8100">
        <f>(Cpi_[[#This Row],[Value]]-F8099)/F8099</f>
        <v>-1.1349306431273538E-2</v>
      </c>
      <c r="H8100" t="e" cm="1" vm="1">
        <f t="array" aca="1" ref="H8100" ca="1">VLOOKUP(Cpi_[[#This Row],[Year]:[Month]],crudeoil[],3,FALSE)</f>
        <v>#VALUE!</v>
      </c>
    </row>
    <row r="8101" spans="1:8" hidden="1" x14ac:dyDescent="0.3">
      <c r="A8101" t="s">
        <v>34</v>
      </c>
      <c r="B8101">
        <v>2021</v>
      </c>
      <c r="C8101" t="s">
        <v>38</v>
      </c>
      <c r="D8101" t="s">
        <v>29</v>
      </c>
      <c r="E8101" t="e" cm="1">
        <f t="array" aca="1" ref="E8101" ca="1">VLGeneral indexGeneral indexKUP(Cpi_[[#This Row],[Attribute]],#REF!,2,FALSE)</f>
        <v>#NAME?</v>
      </c>
      <c r="F8101">
        <v>160.4</v>
      </c>
      <c r="G8101">
        <f>(Cpi_[[#This Row],[Value]]-F8100)/F8100</f>
        <v>2.2959183673469351E-2</v>
      </c>
      <c r="H8101" t="e" cm="1" vm="1">
        <f t="array" aca="1" ref="H8101" ca="1">VLOOKUP(Cpi_[[#This Row],[Year]:[Month]],crudeoil[],3,FALSE)</f>
        <v>#VALUE!</v>
      </c>
    </row>
    <row r="8102" spans="1:8" hidden="1" x14ac:dyDescent="0.3">
      <c r="A8102" t="s">
        <v>30</v>
      </c>
      <c r="B8102">
        <v>2021</v>
      </c>
      <c r="C8102" t="s">
        <v>39</v>
      </c>
      <c r="D8102" t="s">
        <v>3</v>
      </c>
      <c r="E8102" t="e">
        <f>VLOOKUP(Cpi_[[#This Row],[Attribute]],#REF!,2,FALSE)</f>
        <v>#REF!</v>
      </c>
      <c r="F8102">
        <v>145.6</v>
      </c>
      <c r="G8102">
        <f>(Cpi_[[#This Row],[Value]]-F8101)/F8101</f>
        <v>-9.2269326683291839E-2</v>
      </c>
      <c r="H8102" t="e" cm="1" vm="1">
        <f t="array" aca="1" ref="H8102" ca="1">VLOOKUP(Cpi_[[#This Row],[Year]:[Month]],crudeoil[],3,FALSE)</f>
        <v>#VALUE!</v>
      </c>
    </row>
    <row r="8103" spans="1:8" hidden="1" x14ac:dyDescent="0.3">
      <c r="A8103" t="s">
        <v>30</v>
      </c>
      <c r="B8103">
        <v>2021</v>
      </c>
      <c r="C8103" t="s">
        <v>39</v>
      </c>
      <c r="D8103" t="s">
        <v>4</v>
      </c>
      <c r="E8103" t="e">
        <f>VLOOKUP(Cpi_[[#This Row],[Attribute]],#REF!,2,FALSE)</f>
        <v>#REF!</v>
      </c>
      <c r="F8103">
        <v>200.1</v>
      </c>
      <c r="G8103">
        <f>(Cpi_[[#This Row],[Value]]-F8102)/F8102</f>
        <v>0.37431318681318682</v>
      </c>
      <c r="H8103" t="e" cm="1" vm="1">
        <f t="array" aca="1" ref="H8103" ca="1">VLOOKUP(Cpi_[[#This Row],[Year]:[Month]],crudeoil[],3,FALSE)</f>
        <v>#VALUE!</v>
      </c>
    </row>
    <row r="8104" spans="1:8" hidden="1" x14ac:dyDescent="0.3">
      <c r="A8104" t="s">
        <v>30</v>
      </c>
      <c r="B8104">
        <v>2021</v>
      </c>
      <c r="C8104" t="s">
        <v>39</v>
      </c>
      <c r="D8104" t="s">
        <v>5</v>
      </c>
      <c r="E8104" t="e">
        <f>VLOOKUP(Cpi_[[#This Row],[Attribute]],#REF!,2,FALSE)</f>
        <v>#REF!</v>
      </c>
      <c r="F8104">
        <v>179.3</v>
      </c>
      <c r="G8104">
        <f>(Cpi_[[#This Row],[Value]]-F8103)/F8103</f>
        <v>-0.10394802598700642</v>
      </c>
      <c r="H8104" t="e" cm="1" vm="1">
        <f t="array" aca="1" ref="H8104" ca="1">VLOOKUP(Cpi_[[#This Row],[Year]:[Month]],crudeoil[],3,FALSE)</f>
        <v>#VALUE!</v>
      </c>
    </row>
    <row r="8105" spans="1:8" hidden="1" x14ac:dyDescent="0.3">
      <c r="A8105" t="s">
        <v>30</v>
      </c>
      <c r="B8105">
        <v>2021</v>
      </c>
      <c r="C8105" t="s">
        <v>39</v>
      </c>
      <c r="D8105" t="s">
        <v>6</v>
      </c>
      <c r="E8105" t="e">
        <f>VLOOKUP(Cpi_[[#This Row],[Attribute]],#REF!,2,FALSE)</f>
        <v>#REF!</v>
      </c>
      <c r="F8105">
        <v>156.1</v>
      </c>
      <c r="G8105">
        <f>(Cpi_[[#This Row],[Value]]-F8104)/F8104</f>
        <v>-0.1293920803123258</v>
      </c>
      <c r="H8105" t="e" cm="1" vm="1">
        <f t="array" aca="1" ref="H8105" ca="1">VLOOKUP(Cpi_[[#This Row],[Year]:[Month]],crudeoil[],3,FALSE)</f>
        <v>#VALUE!</v>
      </c>
    </row>
    <row r="8106" spans="1:8" hidden="1" x14ac:dyDescent="0.3">
      <c r="A8106" t="s">
        <v>30</v>
      </c>
      <c r="B8106">
        <v>2021</v>
      </c>
      <c r="C8106" t="s">
        <v>39</v>
      </c>
      <c r="D8106" t="s">
        <v>7</v>
      </c>
      <c r="E8106" t="e">
        <f>VLOOKUP(Cpi_[[#This Row],[Attribute]],#REF!,2,FALSE)</f>
        <v>#REF!</v>
      </c>
      <c r="F8106">
        <v>190.4</v>
      </c>
      <c r="G8106">
        <f>(Cpi_[[#This Row],[Value]]-F8105)/F8105</f>
        <v>0.21973094170403595</v>
      </c>
      <c r="H8106" t="e" cm="1" vm="1">
        <f t="array" aca="1" ref="H8106" ca="1">VLOOKUP(Cpi_[[#This Row],[Year]:[Month]],crudeoil[],3,FALSE)</f>
        <v>#VALUE!</v>
      </c>
    </row>
    <row r="8107" spans="1:8" hidden="1" x14ac:dyDescent="0.3">
      <c r="A8107" t="s">
        <v>30</v>
      </c>
      <c r="B8107">
        <v>2021</v>
      </c>
      <c r="C8107" t="s">
        <v>39</v>
      </c>
      <c r="D8107" t="s">
        <v>8</v>
      </c>
      <c r="E8107" t="e">
        <f>VLOOKUP(Cpi_[[#This Row],[Attribute]],#REF!,2,FALSE)</f>
        <v>#REF!</v>
      </c>
      <c r="F8107">
        <v>158.6</v>
      </c>
      <c r="G8107">
        <f>(Cpi_[[#This Row],[Value]]-F8106)/F8106</f>
        <v>-0.16701680672268912</v>
      </c>
      <c r="H8107" t="e" cm="1" vm="1">
        <f t="array" aca="1" ref="H8107" ca="1">VLOOKUP(Cpi_[[#This Row],[Year]:[Month]],crudeoil[],3,FALSE)</f>
        <v>#VALUE!</v>
      </c>
    </row>
    <row r="8108" spans="1:8" hidden="1" x14ac:dyDescent="0.3">
      <c r="A8108" t="s">
        <v>30</v>
      </c>
      <c r="B8108">
        <v>2021</v>
      </c>
      <c r="C8108" t="s">
        <v>39</v>
      </c>
      <c r="D8108" t="s">
        <v>9</v>
      </c>
      <c r="E8108" t="e">
        <f>VLOOKUP(Cpi_[[#This Row],[Attribute]],#REF!,2,FALSE)</f>
        <v>#REF!</v>
      </c>
      <c r="F8108">
        <v>144.69999999999999</v>
      </c>
      <c r="G8108">
        <f>(Cpi_[[#This Row],[Value]]-F8107)/F8107</f>
        <v>-8.7641866330390963E-2</v>
      </c>
      <c r="H8108" t="e" cm="1" vm="1">
        <f t="array" aca="1" ref="H8108" ca="1">VLOOKUP(Cpi_[[#This Row],[Year]:[Month]],crudeoil[],3,FALSE)</f>
        <v>#VALUE!</v>
      </c>
    </row>
    <row r="8109" spans="1:8" hidden="1" x14ac:dyDescent="0.3">
      <c r="A8109" t="s">
        <v>30</v>
      </c>
      <c r="B8109">
        <v>2021</v>
      </c>
      <c r="C8109" t="s">
        <v>39</v>
      </c>
      <c r="D8109" t="s">
        <v>10</v>
      </c>
      <c r="E8109" t="e">
        <f>VLOOKUP(Cpi_[[#This Row],[Attribute]],#REF!,2,FALSE)</f>
        <v>#REF!</v>
      </c>
      <c r="F8109">
        <v>165.5</v>
      </c>
      <c r="G8109">
        <f>(Cpi_[[#This Row],[Value]]-F8108)/F8108</f>
        <v>0.14374568071872848</v>
      </c>
      <c r="H8109" t="e" cm="1" vm="1">
        <f t="array" aca="1" ref="H8109" ca="1">VLOOKUP(Cpi_[[#This Row],[Year]:[Month]],crudeoil[],3,FALSE)</f>
        <v>#VALUE!</v>
      </c>
    </row>
    <row r="8110" spans="1:8" hidden="1" x14ac:dyDescent="0.3">
      <c r="A8110" t="s">
        <v>30</v>
      </c>
      <c r="B8110">
        <v>2021</v>
      </c>
      <c r="C8110" t="s">
        <v>39</v>
      </c>
      <c r="D8110" t="s">
        <v>11</v>
      </c>
      <c r="E8110" t="e">
        <f>VLOOKUP(Cpi_[[#This Row],[Attribute]],#REF!,2,FALSE)</f>
        <v>#REF!</v>
      </c>
      <c r="F8110">
        <v>114.6</v>
      </c>
      <c r="G8110">
        <f>(Cpi_[[#This Row],[Value]]-F8109)/F8109</f>
        <v>-0.30755287009063448</v>
      </c>
      <c r="H8110" t="e" cm="1" vm="1">
        <f t="array" aca="1" ref="H8110" ca="1">VLOOKUP(Cpi_[[#This Row],[Year]:[Month]],crudeoil[],3,FALSE)</f>
        <v>#VALUE!</v>
      </c>
    </row>
    <row r="8111" spans="1:8" hidden="1" x14ac:dyDescent="0.3">
      <c r="A8111" t="s">
        <v>30</v>
      </c>
      <c r="B8111">
        <v>2021</v>
      </c>
      <c r="C8111" t="s">
        <v>39</v>
      </c>
      <c r="D8111" t="s">
        <v>12</v>
      </c>
      <c r="E8111" t="e">
        <f>VLOOKUP(Cpi_[[#This Row],[Attribute]],#REF!,2,FALSE)</f>
        <v>#REF!</v>
      </c>
      <c r="F8111">
        <v>170</v>
      </c>
      <c r="G8111">
        <f>(Cpi_[[#This Row],[Value]]-F8110)/F8110</f>
        <v>0.48342059336823739</v>
      </c>
      <c r="H8111" t="e" cm="1" vm="1">
        <f t="array" aca="1" ref="H8111" ca="1">VLOOKUP(Cpi_[[#This Row],[Year]:[Month]],crudeoil[],3,FALSE)</f>
        <v>#VALUE!</v>
      </c>
    </row>
    <row r="8112" spans="1:8" hidden="1" x14ac:dyDescent="0.3">
      <c r="A8112" t="s">
        <v>30</v>
      </c>
      <c r="B8112">
        <v>2021</v>
      </c>
      <c r="C8112" t="s">
        <v>39</v>
      </c>
      <c r="D8112" t="s">
        <v>13</v>
      </c>
      <c r="E8112" t="e">
        <f>VLOOKUP(Cpi_[[#This Row],[Attribute]],#REF!,2,FALSE)</f>
        <v>#REF!</v>
      </c>
      <c r="F8112">
        <v>165.5</v>
      </c>
      <c r="G8112">
        <f>(Cpi_[[#This Row],[Value]]-F8111)/F8111</f>
        <v>-2.6470588235294117E-2</v>
      </c>
      <c r="H8112" t="e" cm="1" vm="1">
        <f t="array" aca="1" ref="H8112" ca="1">VLOOKUP(Cpi_[[#This Row],[Year]:[Month]],crudeoil[],3,FALSE)</f>
        <v>#VALUE!</v>
      </c>
    </row>
    <row r="8113" spans="1:8" hidden="1" x14ac:dyDescent="0.3">
      <c r="A8113" t="s">
        <v>30</v>
      </c>
      <c r="B8113">
        <v>2021</v>
      </c>
      <c r="C8113" t="s">
        <v>39</v>
      </c>
      <c r="D8113" t="s">
        <v>14</v>
      </c>
      <c r="E8113" t="e">
        <f>VLOOKUP(Cpi_[[#This Row],[Attribute]],#REF!,2,FALSE)</f>
        <v>#REF!</v>
      </c>
      <c r="F8113">
        <v>171.7</v>
      </c>
      <c r="G8113">
        <f>(Cpi_[[#This Row],[Value]]-F8112)/F8112</f>
        <v>3.746223564954676E-2</v>
      </c>
      <c r="H8113" t="e" cm="1" vm="1">
        <f t="array" aca="1" ref="H8113" ca="1">VLOOKUP(Cpi_[[#This Row],[Year]:[Month]],crudeoil[],3,FALSE)</f>
        <v>#VALUE!</v>
      </c>
    </row>
    <row r="8114" spans="1:8" hidden="1" x14ac:dyDescent="0.3">
      <c r="A8114" t="s">
        <v>30</v>
      </c>
      <c r="B8114">
        <v>2021</v>
      </c>
      <c r="C8114" t="s">
        <v>39</v>
      </c>
      <c r="D8114" t="s">
        <v>15</v>
      </c>
      <c r="E8114" t="e">
        <f>VLOOKUP(Cpi_[[#This Row],[Attribute]],#REF!,2,FALSE)</f>
        <v>#REF!</v>
      </c>
      <c r="F8114">
        <v>160.5</v>
      </c>
      <c r="G8114">
        <f>(Cpi_[[#This Row],[Value]]-F8113)/F8113</f>
        <v>-6.5230052417006343E-2</v>
      </c>
      <c r="H8114" t="e" cm="1" vm="1">
        <f t="array" aca="1" ref="H8114" ca="1">VLOOKUP(Cpi_[[#This Row],[Year]:[Month]],crudeoil[],3,FALSE)</f>
        <v>#VALUE!</v>
      </c>
    </row>
    <row r="8115" spans="1:8" hidden="1" x14ac:dyDescent="0.3">
      <c r="A8115" t="s">
        <v>30</v>
      </c>
      <c r="B8115">
        <v>2021</v>
      </c>
      <c r="C8115" t="s">
        <v>39</v>
      </c>
      <c r="D8115" t="s">
        <v>16</v>
      </c>
      <c r="E8115" t="e">
        <f>VLOOKUP(Cpi_[[#This Row],[Attribute]],#REF!,2,FALSE)</f>
        <v>#REF!</v>
      </c>
      <c r="F8115">
        <v>189.1</v>
      </c>
      <c r="G8115">
        <f>(Cpi_[[#This Row],[Value]]-F8114)/F8114</f>
        <v>0.17819314641744544</v>
      </c>
      <c r="H8115" t="e" cm="1" vm="1">
        <f t="array" aca="1" ref="H8115" ca="1">VLOOKUP(Cpi_[[#This Row],[Year]:[Month]],crudeoil[],3,FALSE)</f>
        <v>#VALUE!</v>
      </c>
    </row>
    <row r="8116" spans="1:8" hidden="1" x14ac:dyDescent="0.3">
      <c r="A8116" t="s">
        <v>30</v>
      </c>
      <c r="B8116">
        <v>2021</v>
      </c>
      <c r="C8116" t="s">
        <v>39</v>
      </c>
      <c r="D8116" t="s">
        <v>17</v>
      </c>
      <c r="E8116" t="e">
        <f>VLOOKUP(Cpi_[[#This Row],[Attribute]],#REF!,2,FALSE)</f>
        <v>#REF!</v>
      </c>
      <c r="F8116">
        <v>165.3</v>
      </c>
      <c r="G8116">
        <f>(Cpi_[[#This Row],[Value]]-F8115)/F8115</f>
        <v>-0.1258593336858804</v>
      </c>
      <c r="H8116" t="e" cm="1" vm="1">
        <f t="array" aca="1" ref="H8116" ca="1">VLOOKUP(Cpi_[[#This Row],[Year]:[Month]],crudeoil[],3,FALSE)</f>
        <v>#VALUE!</v>
      </c>
    </row>
    <row r="8117" spans="1:8" hidden="1" x14ac:dyDescent="0.3">
      <c r="A8117" t="s">
        <v>30</v>
      </c>
      <c r="B8117">
        <v>2021</v>
      </c>
      <c r="C8117" t="s">
        <v>39</v>
      </c>
      <c r="D8117" t="s">
        <v>18</v>
      </c>
      <c r="E8117" t="e">
        <f>VLOOKUP(Cpi_[[#This Row],[Attribute]],#REF!,2,FALSE)</f>
        <v>#REF!</v>
      </c>
      <c r="F8117">
        <v>159.9</v>
      </c>
      <c r="G8117">
        <f>(Cpi_[[#This Row],[Value]]-F8116)/F8116</f>
        <v>-3.266787658802181E-2</v>
      </c>
      <c r="H8117" t="e" cm="1" vm="1">
        <f t="array" aca="1" ref="H8117" ca="1">VLOOKUP(Cpi_[[#This Row],[Year]:[Month]],crudeoil[],3,FALSE)</f>
        <v>#VALUE!</v>
      </c>
    </row>
    <row r="8118" spans="1:8" hidden="1" x14ac:dyDescent="0.3">
      <c r="A8118" t="s">
        <v>30</v>
      </c>
      <c r="B8118">
        <v>2021</v>
      </c>
      <c r="C8118" t="s">
        <v>39</v>
      </c>
      <c r="D8118" t="s">
        <v>19</v>
      </c>
      <c r="E8118" t="e">
        <f>VLOOKUP(Cpi_[[#This Row],[Attribute]],#REF!,2,FALSE)</f>
        <v>#REF!</v>
      </c>
      <c r="F8118">
        <v>164.6</v>
      </c>
      <c r="G8118">
        <f>(Cpi_[[#This Row],[Value]]-F8117)/F8117</f>
        <v>2.9393370856785419E-2</v>
      </c>
      <c r="H8118" t="e" cm="1" vm="1">
        <f t="array" aca="1" ref="H8118" ca="1">VLOOKUP(Cpi_[[#This Row],[Year]:[Month]],crudeoil[],3,FALSE)</f>
        <v>#VALUE!</v>
      </c>
    </row>
    <row r="8119" spans="1:8" hidden="1" x14ac:dyDescent="0.3">
      <c r="A8119" t="s">
        <v>30</v>
      </c>
      <c r="B8119">
        <v>2021</v>
      </c>
      <c r="C8119" t="s">
        <v>39</v>
      </c>
      <c r="D8119" t="s">
        <v>20</v>
      </c>
      <c r="E8119" t="e">
        <f>VLOOKUP(Cpi_[[#This Row],[Attribute]],#REF!,2,FALSE)</f>
        <v>#REF!</v>
      </c>
      <c r="F8119" t="s">
        <v>32</v>
      </c>
      <c r="G8119" t="e">
        <f>(Cpi_[[#This Row],[Value]]-F8118)/F8118</f>
        <v>#VALUE!</v>
      </c>
      <c r="H8119" t="e" cm="1" vm="1">
        <f t="array" aca="1" ref="H8119" ca="1">VLOOKUP(Cpi_[[#This Row],[Year]:[Month]],crudeoil[],3,FALSE)</f>
        <v>#VALUE!</v>
      </c>
    </row>
    <row r="8120" spans="1:8" hidden="1" x14ac:dyDescent="0.3">
      <c r="A8120" t="s">
        <v>30</v>
      </c>
      <c r="B8120">
        <v>2021</v>
      </c>
      <c r="C8120" t="s">
        <v>39</v>
      </c>
      <c r="D8120" t="s">
        <v>21</v>
      </c>
      <c r="E8120" t="e">
        <f>VLOOKUP(Cpi_[[#This Row],[Attribute]],#REF!,2,FALSE)</f>
        <v>#REF!</v>
      </c>
      <c r="F8120">
        <v>162.1</v>
      </c>
      <c r="G8120" t="e">
        <f>(Cpi_[[#This Row],[Value]]-F8119)/F8119</f>
        <v>#VALUE!</v>
      </c>
      <c r="H8120" t="e" cm="1" vm="1">
        <f t="array" aca="1" ref="H8120" ca="1">VLOOKUP(Cpi_[[#This Row],[Year]:[Month]],crudeoil[],3,FALSE)</f>
        <v>#VALUE!</v>
      </c>
    </row>
    <row r="8121" spans="1:8" hidden="1" x14ac:dyDescent="0.3">
      <c r="A8121" t="s">
        <v>30</v>
      </c>
      <c r="B8121">
        <v>2021</v>
      </c>
      <c r="C8121" t="s">
        <v>39</v>
      </c>
      <c r="D8121" t="s">
        <v>22</v>
      </c>
      <c r="E8121" t="e">
        <f>VLOOKUP(Cpi_[[#This Row],[Attribute]],#REF!,2,FALSE)</f>
        <v>#REF!</v>
      </c>
      <c r="F8121">
        <v>159.19999999999999</v>
      </c>
      <c r="G8121">
        <f>(Cpi_[[#This Row],[Value]]-F8120)/F8120</f>
        <v>-1.7890191239975359E-2</v>
      </c>
      <c r="H8121" t="e" cm="1" vm="1">
        <f t="array" aca="1" ref="H8121" ca="1">VLOOKUP(Cpi_[[#This Row],[Year]:[Month]],crudeoil[],3,FALSE)</f>
        <v>#VALUE!</v>
      </c>
    </row>
    <row r="8122" spans="1:8" hidden="1" x14ac:dyDescent="0.3">
      <c r="A8122" t="s">
        <v>30</v>
      </c>
      <c r="B8122">
        <v>2021</v>
      </c>
      <c r="C8122" t="s">
        <v>39</v>
      </c>
      <c r="D8122" t="s">
        <v>23</v>
      </c>
      <c r="E8122" t="e">
        <f>VLOOKUP(Cpi_[[#This Row],[Attribute]],#REF!,2,FALSE)</f>
        <v>#REF!</v>
      </c>
      <c r="F8122">
        <v>169.7</v>
      </c>
      <c r="G8122">
        <f>(Cpi_[[#This Row],[Value]]-F8121)/F8121</f>
        <v>6.5954773869346742E-2</v>
      </c>
      <c r="H8122" t="e" cm="1" vm="1">
        <f t="array" aca="1" ref="H8122" ca="1">VLOOKUP(Cpi_[[#This Row],[Year]:[Month]],crudeoil[],3,FALSE)</f>
        <v>#VALUE!</v>
      </c>
    </row>
    <row r="8123" spans="1:8" hidden="1" x14ac:dyDescent="0.3">
      <c r="A8123" t="s">
        <v>30</v>
      </c>
      <c r="B8123">
        <v>2021</v>
      </c>
      <c r="C8123" t="s">
        <v>39</v>
      </c>
      <c r="D8123" t="s">
        <v>24</v>
      </c>
      <c r="E8123" t="e">
        <f>VLOOKUP(Cpi_[[#This Row],[Attribute]],#REF!,2,FALSE)</f>
        <v>#REF!</v>
      </c>
      <c r="F8123">
        <v>154.19999999999999</v>
      </c>
      <c r="G8123">
        <f>(Cpi_[[#This Row],[Value]]-F8122)/F8122</f>
        <v>-9.1337654684737785E-2</v>
      </c>
      <c r="H8123" t="e" cm="1" vm="1">
        <f t="array" aca="1" ref="H8123" ca="1">VLOOKUP(Cpi_[[#This Row],[Year]:[Month]],crudeoil[],3,FALSE)</f>
        <v>#VALUE!</v>
      </c>
    </row>
    <row r="8124" spans="1:8" hidden="1" x14ac:dyDescent="0.3">
      <c r="A8124" t="s">
        <v>30</v>
      </c>
      <c r="B8124">
        <v>2021</v>
      </c>
      <c r="C8124" t="s">
        <v>39</v>
      </c>
      <c r="D8124" t="s">
        <v>25</v>
      </c>
      <c r="E8124" t="e">
        <f>VLOOKUP(Cpi_[[#This Row],[Attribute]],#REF!,2,FALSE)</f>
        <v>#REF!</v>
      </c>
      <c r="F8124">
        <v>160.4</v>
      </c>
      <c r="G8124">
        <f>(Cpi_[[#This Row],[Value]]-F8123)/F8123</f>
        <v>4.0207522697795185E-2</v>
      </c>
      <c r="H8124" t="e" cm="1" vm="1">
        <f t="array" aca="1" ref="H8124" ca="1">VLOOKUP(Cpi_[[#This Row],[Year]:[Month]],crudeoil[],3,FALSE)</f>
        <v>#VALUE!</v>
      </c>
    </row>
    <row r="8125" spans="1:8" hidden="1" x14ac:dyDescent="0.3">
      <c r="A8125" t="s">
        <v>30</v>
      </c>
      <c r="B8125">
        <v>2021</v>
      </c>
      <c r="C8125" t="s">
        <v>39</v>
      </c>
      <c r="D8125" t="s">
        <v>26</v>
      </c>
      <c r="E8125" t="e">
        <f>VLOOKUP(Cpi_[[#This Row],[Attribute]],#REF!,2,FALSE)</f>
        <v>#REF!</v>
      </c>
      <c r="F8125">
        <v>166.8</v>
      </c>
      <c r="G8125">
        <f>(Cpi_[[#This Row],[Value]]-F8124)/F8124</f>
        <v>3.9900249376558637E-2</v>
      </c>
      <c r="H8125" t="e" cm="1" vm="1">
        <f t="array" aca="1" ref="H8125" ca="1">VLOOKUP(Cpi_[[#This Row],[Year]:[Month]],crudeoil[],3,FALSE)</f>
        <v>#VALUE!</v>
      </c>
    </row>
    <row r="8126" spans="1:8" hidden="1" x14ac:dyDescent="0.3">
      <c r="A8126" t="s">
        <v>30</v>
      </c>
      <c r="B8126">
        <v>2021</v>
      </c>
      <c r="C8126" t="s">
        <v>39</v>
      </c>
      <c r="D8126" t="s">
        <v>27</v>
      </c>
      <c r="E8126" t="e">
        <f>VLOOKUP(Cpi_[[#This Row],[Attribute]],#REF!,2,FALSE)</f>
        <v>#REF!</v>
      </c>
      <c r="F8126">
        <v>159.4</v>
      </c>
      <c r="G8126">
        <f>(Cpi_[[#This Row],[Value]]-F8125)/F8125</f>
        <v>-4.4364508393285401E-2</v>
      </c>
      <c r="H8126" t="e" cm="1" vm="1">
        <f t="array" aca="1" ref="H8126" ca="1">VLOOKUP(Cpi_[[#This Row],[Year]:[Month]],crudeoil[],3,FALSE)</f>
        <v>#VALUE!</v>
      </c>
    </row>
    <row r="8127" spans="1:8" hidden="1" x14ac:dyDescent="0.3">
      <c r="A8127" t="s">
        <v>30</v>
      </c>
      <c r="B8127">
        <v>2021</v>
      </c>
      <c r="C8127" t="s">
        <v>39</v>
      </c>
      <c r="D8127" t="s">
        <v>28</v>
      </c>
      <c r="E8127" t="e">
        <f>VLOOKUP(Cpi_[[#This Row],[Attribute]],#REF!,2,FALSE)</f>
        <v>#REF!</v>
      </c>
      <c r="F8127">
        <v>161.5</v>
      </c>
      <c r="G8127">
        <f>(Cpi_[[#This Row],[Value]]-F8126)/F8126</f>
        <v>1.3174404015056426E-2</v>
      </c>
      <c r="H8127" t="e" cm="1" vm="1">
        <f t="array" aca="1" ref="H8127" ca="1">VLOOKUP(Cpi_[[#This Row],[Year]:[Month]],crudeoil[],3,FALSE)</f>
        <v>#VALUE!</v>
      </c>
    </row>
    <row r="8128" spans="1:8" hidden="1" x14ac:dyDescent="0.3">
      <c r="A8128" t="s">
        <v>30</v>
      </c>
      <c r="B8128">
        <v>2021</v>
      </c>
      <c r="C8128" t="s">
        <v>39</v>
      </c>
      <c r="D8128" t="s">
        <v>29</v>
      </c>
      <c r="E8128" t="e" cm="1">
        <f t="array" aca="1" ref="E8128" ca="1">VLGeneral indexGeneral indexKUP(Cpi_[[#This Row],[Attribute]],#REF!,2,FALSE)</f>
        <v>#NAME?</v>
      </c>
      <c r="F8128">
        <v>162.1</v>
      </c>
      <c r="G8128">
        <f>(Cpi_[[#This Row],[Value]]-F8127)/F8127</f>
        <v>3.7151702786377356E-3</v>
      </c>
      <c r="H8128" t="e" cm="1" vm="1">
        <f t="array" aca="1" ref="H8128" ca="1">VLOOKUP(Cpi_[[#This Row],[Year]:[Month]],crudeoil[],3,FALSE)</f>
        <v>#VALUE!</v>
      </c>
    </row>
    <row r="8129" spans="1:8" hidden="1" x14ac:dyDescent="0.3">
      <c r="A8129" t="s">
        <v>33</v>
      </c>
      <c r="B8129">
        <v>2021</v>
      </c>
      <c r="C8129" t="s">
        <v>39</v>
      </c>
      <c r="D8129" t="s">
        <v>3</v>
      </c>
      <c r="E8129" t="e">
        <f>VLOOKUP(Cpi_[[#This Row],[Attribute]],#REF!,2,FALSE)</f>
        <v>#REF!</v>
      </c>
      <c r="F8129">
        <v>149.19999999999999</v>
      </c>
      <c r="G8129">
        <f>(Cpi_[[#This Row],[Value]]-F8128)/F8128</f>
        <v>-7.9580505860579923E-2</v>
      </c>
      <c r="H8129" t="e" cm="1" vm="1">
        <f t="array" aca="1" ref="H8129" ca="1">VLOOKUP(Cpi_[[#This Row],[Year]:[Month]],crudeoil[],3,FALSE)</f>
        <v>#VALUE!</v>
      </c>
    </row>
    <row r="8130" spans="1:8" hidden="1" x14ac:dyDescent="0.3">
      <c r="A8130" t="s">
        <v>33</v>
      </c>
      <c r="B8130">
        <v>2021</v>
      </c>
      <c r="C8130" t="s">
        <v>39</v>
      </c>
      <c r="D8130" t="s">
        <v>4</v>
      </c>
      <c r="E8130" t="e">
        <f>VLOOKUP(Cpi_[[#This Row],[Attribute]],#REF!,2,FALSE)</f>
        <v>#REF!</v>
      </c>
      <c r="F8130">
        <v>205.5</v>
      </c>
      <c r="G8130">
        <f>(Cpi_[[#This Row],[Value]]-F8129)/F8129</f>
        <v>0.37734584450402153</v>
      </c>
      <c r="H8130" t="e" cm="1" vm="1">
        <f t="array" aca="1" ref="H8130" ca="1">VLOOKUP(Cpi_[[#This Row],[Year]:[Month]],crudeoil[],3,FALSE)</f>
        <v>#VALUE!</v>
      </c>
    </row>
    <row r="8131" spans="1:8" hidden="1" x14ac:dyDescent="0.3">
      <c r="A8131" t="s">
        <v>33</v>
      </c>
      <c r="B8131">
        <v>2021</v>
      </c>
      <c r="C8131" t="s">
        <v>39</v>
      </c>
      <c r="D8131" t="s">
        <v>5</v>
      </c>
      <c r="E8131" t="e">
        <f>VLOOKUP(Cpi_[[#This Row],[Attribute]],#REF!,2,FALSE)</f>
        <v>#REF!</v>
      </c>
      <c r="F8131">
        <v>182.8</v>
      </c>
      <c r="G8131">
        <f>(Cpi_[[#This Row],[Value]]-F8130)/F8130</f>
        <v>-0.11046228710462282</v>
      </c>
      <c r="H8131" t="e" cm="1" vm="1">
        <f t="array" aca="1" ref="H8131" ca="1">VLOOKUP(Cpi_[[#This Row],[Year]:[Month]],crudeoil[],3,FALSE)</f>
        <v>#VALUE!</v>
      </c>
    </row>
    <row r="8132" spans="1:8" hidden="1" x14ac:dyDescent="0.3">
      <c r="A8132" t="s">
        <v>33</v>
      </c>
      <c r="B8132">
        <v>2021</v>
      </c>
      <c r="C8132" t="s">
        <v>39</v>
      </c>
      <c r="D8132" t="s">
        <v>6</v>
      </c>
      <c r="E8132" t="e">
        <f>VLOOKUP(Cpi_[[#This Row],[Attribute]],#REF!,2,FALSE)</f>
        <v>#REF!</v>
      </c>
      <c r="F8132">
        <v>156.5</v>
      </c>
      <c r="G8132">
        <f>(Cpi_[[#This Row],[Value]]-F8131)/F8131</f>
        <v>-0.14387308533916854</v>
      </c>
      <c r="H8132" t="e" cm="1" vm="1">
        <f t="array" aca="1" ref="H8132" ca="1">VLOOKUP(Cpi_[[#This Row],[Year]:[Month]],crudeoil[],3,FALSE)</f>
        <v>#VALUE!</v>
      </c>
    </row>
    <row r="8133" spans="1:8" hidden="1" x14ac:dyDescent="0.3">
      <c r="A8133" t="s">
        <v>33</v>
      </c>
      <c r="B8133">
        <v>2021</v>
      </c>
      <c r="C8133" t="s">
        <v>39</v>
      </c>
      <c r="D8133" t="s">
        <v>7</v>
      </c>
      <c r="E8133" t="e">
        <f>VLOOKUP(Cpi_[[#This Row],[Attribute]],#REF!,2,FALSE)</f>
        <v>#REF!</v>
      </c>
      <c r="F8133">
        <v>172.2</v>
      </c>
      <c r="G8133">
        <f>(Cpi_[[#This Row],[Value]]-F8132)/F8132</f>
        <v>0.10031948881789129</v>
      </c>
      <c r="H8133" t="e" cm="1" vm="1">
        <f t="array" aca="1" ref="H8133" ca="1">VLOOKUP(Cpi_[[#This Row],[Year]:[Month]],crudeoil[],3,FALSE)</f>
        <v>#VALUE!</v>
      </c>
    </row>
    <row r="8134" spans="1:8" hidden="1" x14ac:dyDescent="0.3">
      <c r="A8134" t="s">
        <v>33</v>
      </c>
      <c r="B8134">
        <v>2021</v>
      </c>
      <c r="C8134" t="s">
        <v>39</v>
      </c>
      <c r="D8134" t="s">
        <v>8</v>
      </c>
      <c r="E8134" t="e">
        <f>VLOOKUP(Cpi_[[#This Row],[Attribute]],#REF!,2,FALSE)</f>
        <v>#REF!</v>
      </c>
      <c r="F8134">
        <v>171.5</v>
      </c>
      <c r="G8134">
        <f>(Cpi_[[#This Row],[Value]]-F8133)/F8133</f>
        <v>-4.0650406504064386E-3</v>
      </c>
      <c r="H8134" t="e" cm="1" vm="1">
        <f t="array" aca="1" ref="H8134" ca="1">VLOOKUP(Cpi_[[#This Row],[Year]:[Month]],crudeoil[],3,FALSE)</f>
        <v>#VALUE!</v>
      </c>
    </row>
    <row r="8135" spans="1:8" hidden="1" x14ac:dyDescent="0.3">
      <c r="A8135" t="s">
        <v>33</v>
      </c>
      <c r="B8135">
        <v>2021</v>
      </c>
      <c r="C8135" t="s">
        <v>39</v>
      </c>
      <c r="D8135" t="s">
        <v>9</v>
      </c>
      <c r="E8135" t="e">
        <f>VLOOKUP(Cpi_[[#This Row],[Attribute]],#REF!,2,FALSE)</f>
        <v>#REF!</v>
      </c>
      <c r="F8135">
        <v>176.2</v>
      </c>
      <c r="G8135">
        <f>(Cpi_[[#This Row],[Value]]-F8134)/F8134</f>
        <v>2.7405247813411013E-2</v>
      </c>
      <c r="H8135" t="e" cm="1" vm="1">
        <f t="array" aca="1" ref="H8135" ca="1">VLOOKUP(Cpi_[[#This Row],[Year]:[Month]],crudeoil[],3,FALSE)</f>
        <v>#VALUE!</v>
      </c>
    </row>
    <row r="8136" spans="1:8" hidden="1" x14ac:dyDescent="0.3">
      <c r="A8136" t="s">
        <v>33</v>
      </c>
      <c r="B8136">
        <v>2021</v>
      </c>
      <c r="C8136" t="s">
        <v>39</v>
      </c>
      <c r="D8136" t="s">
        <v>10</v>
      </c>
      <c r="E8136" t="e">
        <f>VLOOKUP(Cpi_[[#This Row],[Attribute]],#REF!,2,FALSE)</f>
        <v>#REF!</v>
      </c>
      <c r="F8136">
        <v>166.9</v>
      </c>
      <c r="G8136">
        <f>(Cpi_[[#This Row],[Value]]-F8135)/F8135</f>
        <v>-5.2780930760499341E-2</v>
      </c>
      <c r="H8136" t="e" cm="1" vm="1">
        <f t="array" aca="1" ref="H8136" ca="1">VLOOKUP(Cpi_[[#This Row],[Year]:[Month]],crudeoil[],3,FALSE)</f>
        <v>#VALUE!</v>
      </c>
    </row>
    <row r="8137" spans="1:8" hidden="1" x14ac:dyDescent="0.3">
      <c r="A8137" t="s">
        <v>33</v>
      </c>
      <c r="B8137">
        <v>2021</v>
      </c>
      <c r="C8137" t="s">
        <v>39</v>
      </c>
      <c r="D8137" t="s">
        <v>11</v>
      </c>
      <c r="E8137" t="e">
        <f>VLOOKUP(Cpi_[[#This Row],[Attribute]],#REF!,2,FALSE)</f>
        <v>#REF!</v>
      </c>
      <c r="F8137">
        <v>116.1</v>
      </c>
      <c r="G8137">
        <f>(Cpi_[[#This Row],[Value]]-F8136)/F8136</f>
        <v>-0.30437387657279813</v>
      </c>
      <c r="H8137" t="e" cm="1" vm="1">
        <f t="array" aca="1" ref="H8137" ca="1">VLOOKUP(Cpi_[[#This Row],[Year]:[Month]],crudeoil[],3,FALSE)</f>
        <v>#VALUE!</v>
      </c>
    </row>
    <row r="8138" spans="1:8" hidden="1" x14ac:dyDescent="0.3">
      <c r="A8138" t="s">
        <v>33</v>
      </c>
      <c r="B8138">
        <v>2021</v>
      </c>
      <c r="C8138" t="s">
        <v>39</v>
      </c>
      <c r="D8138" t="s">
        <v>12</v>
      </c>
      <c r="E8138" t="e">
        <f>VLOOKUP(Cpi_[[#This Row],[Attribute]],#REF!,2,FALSE)</f>
        <v>#REF!</v>
      </c>
      <c r="F8138">
        <v>165.5</v>
      </c>
      <c r="G8138">
        <f>(Cpi_[[#This Row],[Value]]-F8137)/F8137</f>
        <v>0.42549526270456511</v>
      </c>
      <c r="H8138" t="e" cm="1" vm="1">
        <f t="array" aca="1" ref="H8138" ca="1">VLOOKUP(Cpi_[[#This Row],[Year]:[Month]],crudeoil[],3,FALSE)</f>
        <v>#VALUE!</v>
      </c>
    </row>
    <row r="8139" spans="1:8" hidden="1" x14ac:dyDescent="0.3">
      <c r="A8139" t="s">
        <v>33</v>
      </c>
      <c r="B8139">
        <v>2021</v>
      </c>
      <c r="C8139" t="s">
        <v>39</v>
      </c>
      <c r="D8139" t="s">
        <v>13</v>
      </c>
      <c r="E8139" t="e">
        <f>VLOOKUP(Cpi_[[#This Row],[Attribute]],#REF!,2,FALSE)</f>
        <v>#REF!</v>
      </c>
      <c r="F8139">
        <v>152.30000000000001</v>
      </c>
      <c r="G8139">
        <f>(Cpi_[[#This Row],[Value]]-F8138)/F8138</f>
        <v>-7.9758308157099625E-2</v>
      </c>
      <c r="H8139" t="e" cm="1" vm="1">
        <f t="array" aca="1" ref="H8139" ca="1">VLOOKUP(Cpi_[[#This Row],[Year]:[Month]],crudeoil[],3,FALSE)</f>
        <v>#VALUE!</v>
      </c>
    </row>
    <row r="8140" spans="1:8" hidden="1" x14ac:dyDescent="0.3">
      <c r="A8140" t="s">
        <v>33</v>
      </c>
      <c r="B8140">
        <v>2021</v>
      </c>
      <c r="C8140" t="s">
        <v>39</v>
      </c>
      <c r="D8140" t="s">
        <v>14</v>
      </c>
      <c r="E8140" t="e">
        <f>VLOOKUP(Cpi_[[#This Row],[Attribute]],#REF!,2,FALSE)</f>
        <v>#REF!</v>
      </c>
      <c r="F8140">
        <v>173.3</v>
      </c>
      <c r="G8140">
        <f>(Cpi_[[#This Row],[Value]]-F8139)/F8139</f>
        <v>0.13788575180564674</v>
      </c>
      <c r="H8140" t="e" cm="1" vm="1">
        <f t="array" aca="1" ref="H8140" ca="1">VLOOKUP(Cpi_[[#This Row],[Year]:[Month]],crudeoil[],3,FALSE)</f>
        <v>#VALUE!</v>
      </c>
    </row>
    <row r="8141" spans="1:8" hidden="1" x14ac:dyDescent="0.3">
      <c r="A8141" t="s">
        <v>33</v>
      </c>
      <c r="B8141">
        <v>2021</v>
      </c>
      <c r="C8141" t="s">
        <v>39</v>
      </c>
      <c r="D8141" t="s">
        <v>15</v>
      </c>
      <c r="E8141" t="e">
        <f>VLOOKUP(Cpi_[[#This Row],[Attribute]],#REF!,2,FALSE)</f>
        <v>#REF!</v>
      </c>
      <c r="F8141">
        <v>166.2</v>
      </c>
      <c r="G8141">
        <f>(Cpi_[[#This Row],[Value]]-F8140)/F8140</f>
        <v>-4.0969417195614671E-2</v>
      </c>
      <c r="H8141" t="e" cm="1" vm="1">
        <f t="array" aca="1" ref="H8141" ca="1">VLOOKUP(Cpi_[[#This Row],[Year]:[Month]],crudeoil[],3,FALSE)</f>
        <v>#VALUE!</v>
      </c>
    </row>
    <row r="8142" spans="1:8" hidden="1" x14ac:dyDescent="0.3">
      <c r="A8142" t="s">
        <v>33</v>
      </c>
      <c r="B8142">
        <v>2021</v>
      </c>
      <c r="C8142" t="s">
        <v>39</v>
      </c>
      <c r="D8142" t="s">
        <v>16</v>
      </c>
      <c r="E8142" t="e">
        <f>VLOOKUP(Cpi_[[#This Row],[Attribute]],#REF!,2,FALSE)</f>
        <v>#REF!</v>
      </c>
      <c r="F8142">
        <v>195.6</v>
      </c>
      <c r="G8142">
        <f>(Cpi_[[#This Row],[Value]]-F8141)/F8141</f>
        <v>0.17689530685920582</v>
      </c>
      <c r="H8142" t="e" cm="1" vm="1">
        <f t="array" aca="1" ref="H8142" ca="1">VLOOKUP(Cpi_[[#This Row],[Year]:[Month]],crudeoil[],3,FALSE)</f>
        <v>#VALUE!</v>
      </c>
    </row>
    <row r="8143" spans="1:8" hidden="1" x14ac:dyDescent="0.3">
      <c r="A8143" t="s">
        <v>33</v>
      </c>
      <c r="B8143">
        <v>2021</v>
      </c>
      <c r="C8143" t="s">
        <v>39</v>
      </c>
      <c r="D8143" t="s">
        <v>17</v>
      </c>
      <c r="E8143" t="e">
        <f>VLOOKUP(Cpi_[[#This Row],[Attribute]],#REF!,2,FALSE)</f>
        <v>#REF!</v>
      </c>
      <c r="F8143">
        <v>157.30000000000001</v>
      </c>
      <c r="G8143">
        <f>(Cpi_[[#This Row],[Value]]-F8142)/F8142</f>
        <v>-0.1958077709611451</v>
      </c>
      <c r="H8143" t="e" cm="1" vm="1">
        <f t="array" aca="1" ref="H8143" ca="1">VLOOKUP(Cpi_[[#This Row],[Year]:[Month]],crudeoil[],3,FALSE)</f>
        <v>#VALUE!</v>
      </c>
    </row>
    <row r="8144" spans="1:8" hidden="1" x14ac:dyDescent="0.3">
      <c r="A8144" t="s">
        <v>33</v>
      </c>
      <c r="B8144">
        <v>2021</v>
      </c>
      <c r="C8144" t="s">
        <v>39</v>
      </c>
      <c r="D8144" t="s">
        <v>18</v>
      </c>
      <c r="E8144" t="e">
        <f>VLOOKUP(Cpi_[[#This Row],[Attribute]],#REF!,2,FALSE)</f>
        <v>#REF!</v>
      </c>
      <c r="F8144">
        <v>140.5</v>
      </c>
      <c r="G8144">
        <f>(Cpi_[[#This Row],[Value]]-F8143)/F8143</f>
        <v>-0.1068022886204705</v>
      </c>
      <c r="H8144" t="e" cm="1" vm="1">
        <f t="array" aca="1" ref="H8144" ca="1">VLOOKUP(Cpi_[[#This Row],[Year]:[Month]],crudeoil[],3,FALSE)</f>
        <v>#VALUE!</v>
      </c>
    </row>
    <row r="8145" spans="1:10" hidden="1" x14ac:dyDescent="0.3">
      <c r="A8145" t="s">
        <v>33</v>
      </c>
      <c r="B8145">
        <v>2021</v>
      </c>
      <c r="C8145" t="s">
        <v>39</v>
      </c>
      <c r="D8145" t="s">
        <v>19</v>
      </c>
      <c r="E8145" t="e">
        <f>VLOOKUP(Cpi_[[#This Row],[Attribute]],#REF!,2,FALSE)</f>
        <v>#REF!</v>
      </c>
      <c r="F8145">
        <v>154.80000000000001</v>
      </c>
      <c r="G8145">
        <f>(Cpi_[[#This Row],[Value]]-F8144)/F8144</f>
        <v>0.10177935943060507</v>
      </c>
      <c r="H8145" t="e" cm="1" vm="1">
        <f t="array" aca="1" ref="H8145" ca="1">VLOOKUP(Cpi_[[#This Row],[Year]:[Month]],crudeoil[],3,FALSE)</f>
        <v>#VALUE!</v>
      </c>
    </row>
    <row r="8146" spans="1:10" hidden="1" x14ac:dyDescent="0.3">
      <c r="A8146" t="s">
        <v>33</v>
      </c>
      <c r="B8146">
        <v>2021</v>
      </c>
      <c r="C8146" t="s">
        <v>39</v>
      </c>
      <c r="D8146" t="s">
        <v>20</v>
      </c>
      <c r="E8146" t="e">
        <f>VLOOKUP(Cpi_[[#This Row],[Attribute]],#REF!,2,FALSE)</f>
        <v>#REF!</v>
      </c>
      <c r="F8146">
        <v>160.5</v>
      </c>
      <c r="G8146">
        <f>(Cpi_[[#This Row],[Value]]-F8145)/F8145</f>
        <v>3.6821705426356516E-2</v>
      </c>
      <c r="H8146" t="e" cm="1" vm="1">
        <f t="array" aca="1" ref="H8146" ca="1">VLOOKUP(Cpi_[[#This Row],[Year]:[Month]],crudeoil[],3,FALSE)</f>
        <v>#VALUE!</v>
      </c>
    </row>
    <row r="8147" spans="1:10" hidden="1" x14ac:dyDescent="0.3">
      <c r="A8147" t="s">
        <v>33</v>
      </c>
      <c r="B8147">
        <v>2021</v>
      </c>
      <c r="C8147" t="s">
        <v>39</v>
      </c>
      <c r="D8147" t="s">
        <v>21</v>
      </c>
      <c r="E8147" t="e">
        <f>VLOOKUP(Cpi_[[#This Row],[Attribute]],#REF!,2,FALSE)</f>
        <v>#REF!</v>
      </c>
      <c r="F8147">
        <v>156.1</v>
      </c>
      <c r="G8147">
        <f>(Cpi_[[#This Row],[Value]]-F8146)/F8146</f>
        <v>-2.7414330218068571E-2</v>
      </c>
      <c r="H8147" t="e" cm="1" vm="1">
        <f t="array" aca="1" ref="H8147" ca="1">VLOOKUP(Cpi_[[#This Row],[Year]:[Month]],crudeoil[],3,FALSE)</f>
        <v>#VALUE!</v>
      </c>
    </row>
    <row r="8148" spans="1:10" hidden="1" x14ac:dyDescent="0.3">
      <c r="A8148" t="s">
        <v>33</v>
      </c>
      <c r="B8148">
        <v>2021</v>
      </c>
      <c r="C8148" t="s">
        <v>39</v>
      </c>
      <c r="D8148" t="s">
        <v>22</v>
      </c>
      <c r="E8148" t="e">
        <f>VLOOKUP(Cpi_[[#This Row],[Attribute]],#REF!,2,FALSE)</f>
        <v>#REF!</v>
      </c>
      <c r="F8148">
        <v>149.80000000000001</v>
      </c>
      <c r="G8148">
        <f>(Cpi_[[#This Row],[Value]]-F8147)/F8147</f>
        <v>-4.0358744394618729E-2</v>
      </c>
      <c r="H8148" t="e" cm="1" vm="1">
        <f t="array" aca="1" ref="H8148" ca="1">VLOOKUP(Cpi_[[#This Row],[Year]:[Month]],crudeoil[],3,FALSE)</f>
        <v>#VALUE!</v>
      </c>
    </row>
    <row r="8149" spans="1:10" hidden="1" x14ac:dyDescent="0.3">
      <c r="A8149" t="s">
        <v>33</v>
      </c>
      <c r="B8149">
        <v>2021</v>
      </c>
      <c r="C8149" t="s">
        <v>39</v>
      </c>
      <c r="D8149" t="s">
        <v>23</v>
      </c>
      <c r="E8149" t="e">
        <f>VLOOKUP(Cpi_[[#This Row],[Attribute]],#REF!,2,FALSE)</f>
        <v>#REF!</v>
      </c>
      <c r="F8149">
        <v>160.80000000000001</v>
      </c>
      <c r="G8149">
        <f>(Cpi_[[#This Row],[Value]]-F8148)/F8148</f>
        <v>7.3431241655540713E-2</v>
      </c>
      <c r="H8149" t="e" cm="1" vm="1">
        <f t="array" aca="1" ref="H8149" ca="1">VLOOKUP(Cpi_[[#This Row],[Year]:[Month]],crudeoil[],3,FALSE)</f>
        <v>#VALUE!</v>
      </c>
    </row>
    <row r="8150" spans="1:10" hidden="1" x14ac:dyDescent="0.3">
      <c r="A8150" t="s">
        <v>33</v>
      </c>
      <c r="B8150">
        <v>2021</v>
      </c>
      <c r="C8150" t="s">
        <v>39</v>
      </c>
      <c r="D8150" t="s">
        <v>24</v>
      </c>
      <c r="E8150" t="e">
        <f>VLOOKUP(Cpi_[[#This Row],[Attribute]],#REF!,2,FALSE)</f>
        <v>#REF!</v>
      </c>
      <c r="F8150">
        <v>147.5</v>
      </c>
      <c r="G8150">
        <f>(Cpi_[[#This Row],[Value]]-F8149)/F8149</f>
        <v>-8.2711442786069719E-2</v>
      </c>
      <c r="H8150" t="e" cm="1" vm="1">
        <f t="array" aca="1" ref="H8150" ca="1">VLOOKUP(Cpi_[[#This Row],[Year]:[Month]],crudeoil[],3,FALSE)</f>
        <v>#VALUE!</v>
      </c>
    </row>
    <row r="8151" spans="1:10" hidden="1" x14ac:dyDescent="0.3">
      <c r="A8151" t="s">
        <v>33</v>
      </c>
      <c r="B8151">
        <v>2021</v>
      </c>
      <c r="C8151" t="s">
        <v>39</v>
      </c>
      <c r="D8151" t="s">
        <v>25</v>
      </c>
      <c r="E8151" t="e">
        <f>VLOOKUP(Cpi_[[#This Row],[Attribute]],#REF!,2,FALSE)</f>
        <v>#REF!</v>
      </c>
      <c r="F8151">
        <v>150.69999999999999</v>
      </c>
      <c r="G8151">
        <f>(Cpi_[[#This Row],[Value]]-F8150)/F8150</f>
        <v>2.169491525423721E-2</v>
      </c>
      <c r="H8151" t="e" cm="1" vm="1">
        <f t="array" aca="1" ref="H8151" ca="1">VLOOKUP(Cpi_[[#This Row],[Year]:[Month]],crudeoil[],3,FALSE)</f>
        <v>#VALUE!</v>
      </c>
    </row>
    <row r="8152" spans="1:10" hidden="1" x14ac:dyDescent="0.3">
      <c r="A8152" t="s">
        <v>33</v>
      </c>
      <c r="B8152">
        <v>2021</v>
      </c>
      <c r="C8152" t="s">
        <v>39</v>
      </c>
      <c r="D8152" t="s">
        <v>26</v>
      </c>
      <c r="E8152" t="e">
        <f>VLOOKUP(Cpi_[[#This Row],[Attribute]],#REF!,2,FALSE)</f>
        <v>#REF!</v>
      </c>
      <c r="F8152">
        <v>158.1</v>
      </c>
      <c r="G8152">
        <f>(Cpi_[[#This Row],[Value]]-F8151)/F8151</f>
        <v>4.9104180491041843E-2</v>
      </c>
      <c r="H8152" t="e" cm="1" vm="1">
        <f t="array" aca="1" ref="H8152" ca="1">VLOOKUP(Cpi_[[#This Row],[Year]:[Month]],crudeoil[],3,FALSE)</f>
        <v>#VALUE!</v>
      </c>
    </row>
    <row r="8153" spans="1:10" hidden="1" x14ac:dyDescent="0.3">
      <c r="A8153" t="s">
        <v>33</v>
      </c>
      <c r="B8153">
        <v>2021</v>
      </c>
      <c r="C8153" t="s">
        <v>39</v>
      </c>
      <c r="D8153" t="s">
        <v>27</v>
      </c>
      <c r="E8153" t="e">
        <f>VLOOKUP(Cpi_[[#This Row],[Attribute]],#REF!,2,FALSE)</f>
        <v>#REF!</v>
      </c>
      <c r="F8153">
        <v>158</v>
      </c>
      <c r="G8153">
        <f>(Cpi_[[#This Row],[Value]]-F8152)/F8152</f>
        <v>-6.3251106894367053E-4</v>
      </c>
      <c r="H8153" t="e" cm="1" vm="1">
        <f t="array" aca="1" ref="H8153" ca="1">VLOOKUP(Cpi_[[#This Row],[Year]:[Month]],crudeoil[],3,FALSE)</f>
        <v>#VALUE!</v>
      </c>
    </row>
    <row r="8154" spans="1:10" hidden="1" x14ac:dyDescent="0.3">
      <c r="A8154" t="s">
        <v>33</v>
      </c>
      <c r="B8154">
        <v>2021</v>
      </c>
      <c r="C8154" t="s">
        <v>39</v>
      </c>
      <c r="D8154" t="s">
        <v>28</v>
      </c>
      <c r="E8154" t="e">
        <f>VLOOKUP(Cpi_[[#This Row],[Attribute]],#REF!,2,FALSE)</f>
        <v>#REF!</v>
      </c>
      <c r="F8154">
        <v>153.4</v>
      </c>
      <c r="G8154">
        <f>(Cpi_[[#This Row],[Value]]-F8153)/F8153</f>
        <v>-2.9113924050632876E-2</v>
      </c>
      <c r="H8154" t="e" cm="1" vm="1">
        <f t="array" aca="1" ref="H8154" ca="1">VLOOKUP(Cpi_[[#This Row],[Year]:[Month]],crudeoil[],3,FALSE)</f>
        <v>#VALUE!</v>
      </c>
    </row>
    <row r="8155" spans="1:10" hidden="1" x14ac:dyDescent="0.3">
      <c r="A8155" t="s">
        <v>33</v>
      </c>
      <c r="B8155">
        <v>2021</v>
      </c>
      <c r="C8155" t="s">
        <v>39</v>
      </c>
      <c r="D8155" t="s">
        <v>29</v>
      </c>
      <c r="E8155" t="e" cm="1">
        <f t="array" aca="1" ref="E8155" ca="1">VLGeneral indexGeneral indexKUP(Cpi_[[#This Row],[Attribute]],#REF!,2,FALSE)</f>
        <v>#NAME?</v>
      </c>
      <c r="F8155">
        <v>160.4</v>
      </c>
      <c r="G8155">
        <f>(Cpi_[[#This Row],[Value]]-F8154)/F8154</f>
        <v>4.563233376792699E-2</v>
      </c>
      <c r="H8155" t="e" cm="1" vm="1">
        <f t="array" aca="1" ref="H8155" ca="1">VLOOKUP(Cpi_[[#This Row],[Year]:[Month]],crudeoil[],3,FALSE)</f>
        <v>#VALUE!</v>
      </c>
    </row>
    <row r="8156" spans="1:10" hidden="1" x14ac:dyDescent="0.3">
      <c r="A8156" t="s">
        <v>34</v>
      </c>
      <c r="B8156">
        <v>2021</v>
      </c>
      <c r="C8156" t="s">
        <v>39</v>
      </c>
      <c r="D8156" t="s">
        <v>3</v>
      </c>
      <c r="E8156" t="e">
        <f>VLOOKUP(Cpi_[[#This Row],[Attribute]],#REF!,2,FALSE)</f>
        <v>#REF!</v>
      </c>
      <c r="F8156">
        <v>146.69999999999999</v>
      </c>
      <c r="G8156">
        <f>(Cpi_[[#This Row],[Value]]-F8155)/F8155</f>
        <v>-8.5411471321695867E-2</v>
      </c>
      <c r="H8156" t="e" cm="1" vm="1">
        <f t="array" aca="1" ref="H8156" ca="1">VLOOKUP(Cpi_[[#This Row],[Year]:[Month]],crudeoil[],3,FALSE)</f>
        <v>#VALUE!</v>
      </c>
    </row>
    <row r="8157" spans="1:10" x14ac:dyDescent="0.3">
      <c r="A8157" t="s">
        <v>34</v>
      </c>
      <c r="B8157">
        <v>2021</v>
      </c>
      <c r="C8157" t="s">
        <v>39</v>
      </c>
      <c r="D8157" t="s">
        <v>4</v>
      </c>
      <c r="E8157" t="e">
        <f>VLOOKUP(Cpi_[[#This Row],[Attribute]],#REF!,2,FALSE)</f>
        <v>#REF!</v>
      </c>
      <c r="F8157">
        <v>202</v>
      </c>
      <c r="G8157" s="42">
        <f>(Cpi_[[#This Row],[Value]]-F8156)/F8156</f>
        <v>0.37695978186775742</v>
      </c>
      <c r="H8157" t="str">
        <f>LEFT(Cpi_[[#This Row],[Month]],3)</f>
        <v>Jun</v>
      </c>
      <c r="I8157" t="str">
        <f>RIGHT(Cpi_[[#This Row],[Year]],2)</f>
        <v>21</v>
      </c>
      <c r="J8157" t="str">
        <f>Cpi_[[#This Row],[Column3]]&amp;"-"&amp;Cpi_[[#This Row],[Column4]]</f>
        <v>Jun-21</v>
      </c>
    </row>
    <row r="8158" spans="1:10" x14ac:dyDescent="0.3">
      <c r="A8158" t="s">
        <v>34</v>
      </c>
      <c r="B8158">
        <v>2021</v>
      </c>
      <c r="C8158" t="s">
        <v>39</v>
      </c>
      <c r="D8158" t="s">
        <v>5</v>
      </c>
      <c r="E8158" t="e">
        <f>VLOOKUP(Cpi_[[#This Row],[Attribute]],#REF!,2,FALSE)</f>
        <v>#REF!</v>
      </c>
      <c r="F8158">
        <v>180.7</v>
      </c>
      <c r="G8158" s="42">
        <f>(Cpi_[[#This Row],[Value]]-F8157)/F8157</f>
        <v>-0.1054455445544555</v>
      </c>
      <c r="H8158" t="str">
        <f>LEFT(Cpi_[[#This Row],[Month]],3)</f>
        <v>Jun</v>
      </c>
      <c r="I8158" t="str">
        <f>RIGHT(Cpi_[[#This Row],[Year]],2)</f>
        <v>21</v>
      </c>
      <c r="J8158" t="str">
        <f>Cpi_[[#This Row],[Column3]]&amp;"-"&amp;Cpi_[[#This Row],[Column4]]</f>
        <v>Jun-21</v>
      </c>
    </row>
    <row r="8159" spans="1:10" x14ac:dyDescent="0.3">
      <c r="A8159" t="s">
        <v>34</v>
      </c>
      <c r="B8159">
        <v>2021</v>
      </c>
      <c r="C8159" t="s">
        <v>39</v>
      </c>
      <c r="D8159" t="s">
        <v>6</v>
      </c>
      <c r="E8159" t="e">
        <f>VLOOKUP(Cpi_[[#This Row],[Attribute]],#REF!,2,FALSE)</f>
        <v>#REF!</v>
      </c>
      <c r="F8159">
        <v>156.19999999999999</v>
      </c>
      <c r="G8159" s="42">
        <f>(Cpi_[[#This Row],[Value]]-F8158)/F8158</f>
        <v>-0.13558384061981185</v>
      </c>
      <c r="H8159" t="str">
        <f>LEFT(Cpi_[[#This Row],[Month]],3)</f>
        <v>Jun</v>
      </c>
      <c r="I8159" t="str">
        <f>RIGHT(Cpi_[[#This Row],[Year]],2)</f>
        <v>21</v>
      </c>
      <c r="J8159" t="str">
        <f>Cpi_[[#This Row],[Column3]]&amp;"-"&amp;Cpi_[[#This Row],[Column4]]</f>
        <v>Jun-21</v>
      </c>
    </row>
    <row r="8160" spans="1:10" x14ac:dyDescent="0.3">
      <c r="A8160" t="s">
        <v>34</v>
      </c>
      <c r="B8160">
        <v>2021</v>
      </c>
      <c r="C8160" t="s">
        <v>39</v>
      </c>
      <c r="D8160" t="s">
        <v>7</v>
      </c>
      <c r="E8160" t="e">
        <f>VLOOKUP(Cpi_[[#This Row],[Attribute]],#REF!,2,FALSE)</f>
        <v>#REF!</v>
      </c>
      <c r="F8160">
        <v>183.7</v>
      </c>
      <c r="G8160" s="42">
        <f>(Cpi_[[#This Row],[Value]]-F8159)/F8159</f>
        <v>0.17605633802816903</v>
      </c>
      <c r="H8160" t="str">
        <f>LEFT(Cpi_[[#This Row],[Month]],3)</f>
        <v>Jun</v>
      </c>
      <c r="I8160" t="str">
        <f>RIGHT(Cpi_[[#This Row],[Year]],2)</f>
        <v>21</v>
      </c>
      <c r="J8160" t="str">
        <f>Cpi_[[#This Row],[Column3]]&amp;"-"&amp;Cpi_[[#This Row],[Column4]]</f>
        <v>Jun-21</v>
      </c>
    </row>
    <row r="8161" spans="1:10" x14ac:dyDescent="0.3">
      <c r="A8161" t="s">
        <v>34</v>
      </c>
      <c r="B8161">
        <v>2021</v>
      </c>
      <c r="C8161" t="s">
        <v>39</v>
      </c>
      <c r="D8161" t="s">
        <v>8</v>
      </c>
      <c r="E8161" t="e">
        <f>VLOOKUP(Cpi_[[#This Row],[Attribute]],#REF!,2,FALSE)</f>
        <v>#REF!</v>
      </c>
      <c r="F8161">
        <v>164.6</v>
      </c>
      <c r="G8161" s="42">
        <f>(Cpi_[[#This Row],[Value]]-F8160)/F8160</f>
        <v>-0.10397387044093628</v>
      </c>
      <c r="H8161" t="str">
        <f>LEFT(Cpi_[[#This Row],[Month]],3)</f>
        <v>Jun</v>
      </c>
      <c r="I8161" t="str">
        <f>RIGHT(Cpi_[[#This Row],[Year]],2)</f>
        <v>21</v>
      </c>
      <c r="J8161" t="str">
        <f>Cpi_[[#This Row],[Column3]]&amp;"-"&amp;Cpi_[[#This Row],[Column4]]</f>
        <v>Jun-21</v>
      </c>
    </row>
    <row r="8162" spans="1:10" x14ac:dyDescent="0.3">
      <c r="A8162" t="s">
        <v>34</v>
      </c>
      <c r="B8162">
        <v>2021</v>
      </c>
      <c r="C8162" t="s">
        <v>39</v>
      </c>
      <c r="D8162" t="s">
        <v>9</v>
      </c>
      <c r="E8162" t="e">
        <f>VLOOKUP(Cpi_[[#This Row],[Attribute]],#REF!,2,FALSE)</f>
        <v>#REF!</v>
      </c>
      <c r="F8162">
        <v>155.4</v>
      </c>
      <c r="G8162" s="42">
        <f>(Cpi_[[#This Row],[Value]]-F8161)/F8161</f>
        <v>-5.5893074119076479E-2</v>
      </c>
      <c r="H8162" t="str">
        <f>LEFT(Cpi_[[#This Row],[Month]],3)</f>
        <v>Jun</v>
      </c>
      <c r="I8162" t="str">
        <f>RIGHT(Cpi_[[#This Row],[Year]],2)</f>
        <v>21</v>
      </c>
      <c r="J8162" t="str">
        <f>Cpi_[[#This Row],[Column3]]&amp;"-"&amp;Cpi_[[#This Row],[Column4]]</f>
        <v>Jun-21</v>
      </c>
    </row>
    <row r="8163" spans="1:10" x14ac:dyDescent="0.3">
      <c r="A8163" t="s">
        <v>34</v>
      </c>
      <c r="B8163">
        <v>2021</v>
      </c>
      <c r="C8163" t="s">
        <v>39</v>
      </c>
      <c r="D8163" t="s">
        <v>10</v>
      </c>
      <c r="E8163" t="e">
        <f>VLOOKUP(Cpi_[[#This Row],[Attribute]],#REF!,2,FALSE)</f>
        <v>#REF!</v>
      </c>
      <c r="F8163">
        <v>166</v>
      </c>
      <c r="G8163" s="42">
        <f>(Cpi_[[#This Row],[Value]]-F8162)/F8162</f>
        <v>6.8211068211068177E-2</v>
      </c>
      <c r="H8163" t="str">
        <f>LEFT(Cpi_[[#This Row],[Month]],3)</f>
        <v>Jun</v>
      </c>
      <c r="I8163" t="str">
        <f>RIGHT(Cpi_[[#This Row],[Year]],2)</f>
        <v>21</v>
      </c>
      <c r="J8163" t="str">
        <f>Cpi_[[#This Row],[Column3]]&amp;"-"&amp;Cpi_[[#This Row],[Column4]]</f>
        <v>Jun-21</v>
      </c>
    </row>
    <row r="8164" spans="1:10" x14ac:dyDescent="0.3">
      <c r="A8164" t="s">
        <v>34</v>
      </c>
      <c r="B8164">
        <v>2021</v>
      </c>
      <c r="C8164" t="s">
        <v>39</v>
      </c>
      <c r="D8164" t="s">
        <v>11</v>
      </c>
      <c r="E8164" t="e">
        <f>VLOOKUP(Cpi_[[#This Row],[Attribute]],#REF!,2,FALSE)</f>
        <v>#REF!</v>
      </c>
      <c r="F8164">
        <v>115.1</v>
      </c>
      <c r="G8164" s="42">
        <f>(Cpi_[[#This Row],[Value]]-F8163)/F8163</f>
        <v>-0.30662650602409641</v>
      </c>
      <c r="H8164" t="str">
        <f>LEFT(Cpi_[[#This Row],[Month]],3)</f>
        <v>Jun</v>
      </c>
      <c r="I8164" t="str">
        <f>RIGHT(Cpi_[[#This Row],[Year]],2)</f>
        <v>21</v>
      </c>
      <c r="J8164" t="str">
        <f>Cpi_[[#This Row],[Column3]]&amp;"-"&amp;Cpi_[[#This Row],[Column4]]</f>
        <v>Jun-21</v>
      </c>
    </row>
    <row r="8165" spans="1:10" x14ac:dyDescent="0.3">
      <c r="A8165" t="s">
        <v>34</v>
      </c>
      <c r="B8165">
        <v>2021</v>
      </c>
      <c r="C8165" t="s">
        <v>39</v>
      </c>
      <c r="D8165" t="s">
        <v>12</v>
      </c>
      <c r="E8165" t="e">
        <f>VLOOKUP(Cpi_[[#This Row],[Attribute]],#REF!,2,FALSE)</f>
        <v>#REF!</v>
      </c>
      <c r="F8165">
        <v>168.5</v>
      </c>
      <c r="G8165" s="42">
        <f>(Cpi_[[#This Row],[Value]]-F8164)/F8164</f>
        <v>0.46394439617723726</v>
      </c>
      <c r="H8165" t="str">
        <f>LEFT(Cpi_[[#This Row],[Month]],3)</f>
        <v>Jun</v>
      </c>
      <c r="I8165" t="str">
        <f>RIGHT(Cpi_[[#This Row],[Year]],2)</f>
        <v>21</v>
      </c>
      <c r="J8165" t="str">
        <f>Cpi_[[#This Row],[Column3]]&amp;"-"&amp;Cpi_[[#This Row],[Column4]]</f>
        <v>Jun-21</v>
      </c>
    </row>
    <row r="8166" spans="1:10" x14ac:dyDescent="0.3">
      <c r="A8166" t="s">
        <v>34</v>
      </c>
      <c r="B8166">
        <v>2021</v>
      </c>
      <c r="C8166" t="s">
        <v>39</v>
      </c>
      <c r="D8166" t="s">
        <v>13</v>
      </c>
      <c r="E8166" t="e">
        <f>VLOOKUP(Cpi_[[#This Row],[Attribute]],#REF!,2,FALSE)</f>
        <v>#REF!</v>
      </c>
      <c r="F8166">
        <v>160</v>
      </c>
      <c r="G8166" s="42">
        <f>(Cpi_[[#This Row],[Value]]-F8165)/F8165</f>
        <v>-5.0445103857566766E-2</v>
      </c>
      <c r="H8166" t="str">
        <f>LEFT(Cpi_[[#This Row],[Month]],3)</f>
        <v>Jun</v>
      </c>
      <c r="I8166" t="str">
        <f>RIGHT(Cpi_[[#This Row],[Year]],2)</f>
        <v>21</v>
      </c>
      <c r="J8166" t="str">
        <f>Cpi_[[#This Row],[Column3]]&amp;"-"&amp;Cpi_[[#This Row],[Column4]]</f>
        <v>Jun-21</v>
      </c>
    </row>
    <row r="8167" spans="1:10" x14ac:dyDescent="0.3">
      <c r="A8167" t="s">
        <v>34</v>
      </c>
      <c r="B8167">
        <v>2021</v>
      </c>
      <c r="C8167" t="s">
        <v>39</v>
      </c>
      <c r="D8167" t="s">
        <v>14</v>
      </c>
      <c r="E8167" t="e">
        <f>VLOOKUP(Cpi_[[#This Row],[Attribute]],#REF!,2,FALSE)</f>
        <v>#REF!</v>
      </c>
      <c r="F8167">
        <v>172.4</v>
      </c>
      <c r="G8167" s="42">
        <f>(Cpi_[[#This Row],[Value]]-F8166)/F8166</f>
        <v>7.7500000000000041E-2</v>
      </c>
      <c r="H8167" t="str">
        <f>LEFT(Cpi_[[#This Row],[Month]],3)</f>
        <v>Jun</v>
      </c>
      <c r="I8167" t="str">
        <f>RIGHT(Cpi_[[#This Row],[Year]],2)</f>
        <v>21</v>
      </c>
      <c r="J8167" t="str">
        <f>Cpi_[[#This Row],[Column3]]&amp;"-"&amp;Cpi_[[#This Row],[Column4]]</f>
        <v>Jun-21</v>
      </c>
    </row>
    <row r="8168" spans="1:10" x14ac:dyDescent="0.3">
      <c r="A8168" t="s">
        <v>34</v>
      </c>
      <c r="B8168">
        <v>2021</v>
      </c>
      <c r="C8168" t="s">
        <v>39</v>
      </c>
      <c r="D8168" t="s">
        <v>15</v>
      </c>
      <c r="E8168" t="e">
        <f>VLOOKUP(Cpi_[[#This Row],[Attribute]],#REF!,2,FALSE)</f>
        <v>#REF!</v>
      </c>
      <c r="F8168">
        <v>162.6</v>
      </c>
      <c r="G8168" s="42">
        <f>(Cpi_[[#This Row],[Value]]-F8167)/F8167</f>
        <v>-5.6844547563805171E-2</v>
      </c>
      <c r="H8168" t="str">
        <f>LEFT(Cpi_[[#This Row],[Month]],3)</f>
        <v>Jun</v>
      </c>
      <c r="I8168" t="str">
        <f>RIGHT(Cpi_[[#This Row],[Year]],2)</f>
        <v>21</v>
      </c>
      <c r="J8168" t="str">
        <f>Cpi_[[#This Row],[Column3]]&amp;"-"&amp;Cpi_[[#This Row],[Column4]]</f>
        <v>Jun-21</v>
      </c>
    </row>
    <row r="8169" spans="1:10" hidden="1" x14ac:dyDescent="0.3">
      <c r="A8169" t="s">
        <v>34</v>
      </c>
      <c r="B8169">
        <v>2021</v>
      </c>
      <c r="C8169" t="s">
        <v>39</v>
      </c>
      <c r="D8169" t="s">
        <v>16</v>
      </c>
      <c r="E8169" t="e">
        <f>VLOOKUP(Cpi_[[#This Row],[Attribute]],#REF!,2,FALSE)</f>
        <v>#REF!</v>
      </c>
      <c r="F8169">
        <v>190.8</v>
      </c>
      <c r="G8169">
        <f>(Cpi_[[#This Row],[Value]]-F8168)/F8168</f>
        <v>0.17343173431734329</v>
      </c>
      <c r="H8169" t="e" cm="1" vm="1">
        <f t="array" aca="1" ref="H8169" ca="1">VLOOKUP(Cpi_[[#This Row],[Year]:[Month]],crudeoil[],3,FALSE)</f>
        <v>#VALUE!</v>
      </c>
    </row>
    <row r="8170" spans="1:10" hidden="1" x14ac:dyDescent="0.3">
      <c r="A8170" t="s">
        <v>34</v>
      </c>
      <c r="B8170">
        <v>2021</v>
      </c>
      <c r="C8170" t="s">
        <v>39</v>
      </c>
      <c r="D8170" t="s">
        <v>17</v>
      </c>
      <c r="E8170" t="e">
        <f>VLOOKUP(Cpi_[[#This Row],[Attribute]],#REF!,2,FALSE)</f>
        <v>#REF!</v>
      </c>
      <c r="F8170">
        <v>162.19999999999999</v>
      </c>
      <c r="G8170">
        <f>(Cpi_[[#This Row],[Value]]-F8169)/F8169</f>
        <v>-0.1498951781970651</v>
      </c>
      <c r="H8170" t="e" cm="1" vm="1">
        <f t="array" aca="1" ref="H8170" ca="1">VLOOKUP(Cpi_[[#This Row],[Year]:[Month]],crudeoil[],3,FALSE)</f>
        <v>#VALUE!</v>
      </c>
    </row>
    <row r="8171" spans="1:10" hidden="1" x14ac:dyDescent="0.3">
      <c r="A8171" t="s">
        <v>34</v>
      </c>
      <c r="B8171">
        <v>2021</v>
      </c>
      <c r="C8171" t="s">
        <v>39</v>
      </c>
      <c r="D8171" t="s">
        <v>18</v>
      </c>
      <c r="E8171" t="e">
        <f>VLOOKUP(Cpi_[[#This Row],[Attribute]],#REF!,2,FALSE)</f>
        <v>#REF!</v>
      </c>
      <c r="F8171">
        <v>151.80000000000001</v>
      </c>
      <c r="G8171">
        <f>(Cpi_[[#This Row],[Value]]-F8170)/F8170</f>
        <v>-6.411837237977791E-2</v>
      </c>
      <c r="H8171" t="e" cm="1" vm="1">
        <f t="array" aca="1" ref="H8171" ca="1">VLOOKUP(Cpi_[[#This Row],[Year]:[Month]],crudeoil[],3,FALSE)</f>
        <v>#VALUE!</v>
      </c>
    </row>
    <row r="8172" spans="1:10" hidden="1" x14ac:dyDescent="0.3">
      <c r="A8172" t="s">
        <v>34</v>
      </c>
      <c r="B8172">
        <v>2021</v>
      </c>
      <c r="C8172" t="s">
        <v>39</v>
      </c>
      <c r="D8172" t="s">
        <v>19</v>
      </c>
      <c r="E8172" t="e">
        <f>VLOOKUP(Cpi_[[#This Row],[Attribute]],#REF!,2,FALSE)</f>
        <v>#REF!</v>
      </c>
      <c r="F8172">
        <v>160.69999999999999</v>
      </c>
      <c r="G8172">
        <f>(Cpi_[[#This Row],[Value]]-F8171)/F8171</f>
        <v>5.8629776021080215E-2</v>
      </c>
      <c r="H8172" t="e" cm="1" vm="1">
        <f t="array" aca="1" ref="H8172" ca="1">VLOOKUP(Cpi_[[#This Row],[Year]:[Month]],crudeoil[],3,FALSE)</f>
        <v>#VALUE!</v>
      </c>
    </row>
    <row r="8173" spans="1:10" hidden="1" x14ac:dyDescent="0.3">
      <c r="A8173" t="s">
        <v>34</v>
      </c>
      <c r="B8173">
        <v>2021</v>
      </c>
      <c r="C8173" t="s">
        <v>39</v>
      </c>
      <c r="D8173" t="s">
        <v>20</v>
      </c>
      <c r="E8173" t="e">
        <f>VLOOKUP(Cpi_[[#This Row],[Attribute]],#REF!,2,FALSE)</f>
        <v>#REF!</v>
      </c>
      <c r="F8173">
        <v>160.5</v>
      </c>
      <c r="G8173">
        <f>(Cpi_[[#This Row],[Value]]-F8172)/F8172</f>
        <v>-1.2445550715618459E-3</v>
      </c>
      <c r="H8173" t="e" cm="1" vm="1">
        <f t="array" aca="1" ref="H8173" ca="1">VLOOKUP(Cpi_[[#This Row],[Year]:[Month]],crudeoil[],3,FALSE)</f>
        <v>#VALUE!</v>
      </c>
    </row>
    <row r="8174" spans="1:10" hidden="1" x14ac:dyDescent="0.3">
      <c r="A8174" t="s">
        <v>34</v>
      </c>
      <c r="B8174">
        <v>2021</v>
      </c>
      <c r="C8174" t="s">
        <v>39</v>
      </c>
      <c r="D8174" t="s">
        <v>21</v>
      </c>
      <c r="E8174" t="e">
        <f>VLOOKUP(Cpi_[[#This Row],[Attribute]],#REF!,2,FALSE)</f>
        <v>#REF!</v>
      </c>
      <c r="F8174">
        <v>159.80000000000001</v>
      </c>
      <c r="G8174">
        <f>(Cpi_[[#This Row],[Value]]-F8173)/F8173</f>
        <v>-4.3613707165108323E-3</v>
      </c>
      <c r="H8174" t="e" cm="1" vm="1">
        <f t="array" aca="1" ref="H8174" ca="1">VLOOKUP(Cpi_[[#This Row],[Year]:[Month]],crudeoil[],3,FALSE)</f>
        <v>#VALUE!</v>
      </c>
    </row>
    <row r="8175" spans="1:10" hidden="1" x14ac:dyDescent="0.3">
      <c r="A8175" t="s">
        <v>34</v>
      </c>
      <c r="B8175">
        <v>2021</v>
      </c>
      <c r="C8175" t="s">
        <v>39</v>
      </c>
      <c r="D8175" t="s">
        <v>22</v>
      </c>
      <c r="E8175" t="e">
        <f>VLOOKUP(Cpi_[[#This Row],[Attribute]],#REF!,2,FALSE)</f>
        <v>#REF!</v>
      </c>
      <c r="F8175">
        <v>154.80000000000001</v>
      </c>
      <c r="G8175">
        <f>(Cpi_[[#This Row],[Value]]-F8174)/F8174</f>
        <v>-3.128911138923654E-2</v>
      </c>
      <c r="H8175" t="e" cm="1" vm="1">
        <f t="array" aca="1" ref="H8175" ca="1">VLOOKUP(Cpi_[[#This Row],[Year]:[Month]],crudeoil[],3,FALSE)</f>
        <v>#VALUE!</v>
      </c>
    </row>
    <row r="8176" spans="1:10" hidden="1" x14ac:dyDescent="0.3">
      <c r="A8176" t="s">
        <v>34</v>
      </c>
      <c r="B8176">
        <v>2021</v>
      </c>
      <c r="C8176" t="s">
        <v>39</v>
      </c>
      <c r="D8176" t="s">
        <v>23</v>
      </c>
      <c r="E8176" t="e">
        <f>VLOOKUP(Cpi_[[#This Row],[Attribute]],#REF!,2,FALSE)</f>
        <v>#REF!</v>
      </c>
      <c r="F8176">
        <v>166.3</v>
      </c>
      <c r="G8176">
        <f>(Cpi_[[#This Row],[Value]]-F8175)/F8175</f>
        <v>7.428940568475452E-2</v>
      </c>
      <c r="H8176" t="e" cm="1" vm="1">
        <f t="array" aca="1" ref="H8176" ca="1">VLOOKUP(Cpi_[[#This Row],[Year]:[Month]],crudeoil[],3,FALSE)</f>
        <v>#VALUE!</v>
      </c>
    </row>
    <row r="8177" spans="1:8" hidden="1" x14ac:dyDescent="0.3">
      <c r="A8177" t="s">
        <v>34</v>
      </c>
      <c r="B8177">
        <v>2021</v>
      </c>
      <c r="C8177" t="s">
        <v>39</v>
      </c>
      <c r="D8177" t="s">
        <v>24</v>
      </c>
      <c r="E8177" t="e">
        <f>VLOOKUP(Cpi_[[#This Row],[Attribute]],#REF!,2,FALSE)</f>
        <v>#REF!</v>
      </c>
      <c r="F8177">
        <v>150.69999999999999</v>
      </c>
      <c r="G8177">
        <f>(Cpi_[[#This Row],[Value]]-F8176)/F8176</f>
        <v>-9.38063740228504E-2</v>
      </c>
      <c r="H8177" t="e" cm="1" vm="1">
        <f t="array" aca="1" ref="H8177" ca="1">VLOOKUP(Cpi_[[#This Row],[Year]:[Month]],crudeoil[],3,FALSE)</f>
        <v>#VALUE!</v>
      </c>
    </row>
    <row r="8178" spans="1:8" hidden="1" x14ac:dyDescent="0.3">
      <c r="A8178" t="s">
        <v>34</v>
      </c>
      <c r="B8178">
        <v>2021</v>
      </c>
      <c r="C8178" t="s">
        <v>39</v>
      </c>
      <c r="D8178" t="s">
        <v>25</v>
      </c>
      <c r="E8178" t="e">
        <f>VLOOKUP(Cpi_[[#This Row],[Attribute]],#REF!,2,FALSE)</f>
        <v>#REF!</v>
      </c>
      <c r="F8178">
        <v>154.9</v>
      </c>
      <c r="G8178">
        <f>(Cpi_[[#This Row],[Value]]-F8177)/F8177</f>
        <v>2.7869940278699518E-2</v>
      </c>
      <c r="H8178" t="e" cm="1" vm="1">
        <f t="array" aca="1" ref="H8178" ca="1">VLOOKUP(Cpi_[[#This Row],[Year]:[Month]],crudeoil[],3,FALSE)</f>
        <v>#VALUE!</v>
      </c>
    </row>
    <row r="8179" spans="1:8" hidden="1" x14ac:dyDescent="0.3">
      <c r="A8179" t="s">
        <v>34</v>
      </c>
      <c r="B8179">
        <v>2021</v>
      </c>
      <c r="C8179" t="s">
        <v>39</v>
      </c>
      <c r="D8179" t="s">
        <v>26</v>
      </c>
      <c r="E8179" t="e">
        <f>VLOOKUP(Cpi_[[#This Row],[Attribute]],#REF!,2,FALSE)</f>
        <v>#REF!</v>
      </c>
      <c r="F8179">
        <v>161.69999999999999</v>
      </c>
      <c r="G8179">
        <f>(Cpi_[[#This Row],[Value]]-F8178)/F8178</f>
        <v>4.3899289864428551E-2</v>
      </c>
      <c r="H8179" t="e" cm="1" vm="1">
        <f t="array" aca="1" ref="H8179" ca="1">VLOOKUP(Cpi_[[#This Row],[Year]:[Month]],crudeoil[],3,FALSE)</f>
        <v>#VALUE!</v>
      </c>
    </row>
    <row r="8180" spans="1:8" hidden="1" x14ac:dyDescent="0.3">
      <c r="A8180" t="s">
        <v>34</v>
      </c>
      <c r="B8180">
        <v>2021</v>
      </c>
      <c r="C8180" t="s">
        <v>39</v>
      </c>
      <c r="D8180" t="s">
        <v>27</v>
      </c>
      <c r="E8180" t="e">
        <f>VLOOKUP(Cpi_[[#This Row],[Attribute]],#REF!,2,FALSE)</f>
        <v>#REF!</v>
      </c>
      <c r="F8180">
        <v>158.80000000000001</v>
      </c>
      <c r="G8180">
        <f>(Cpi_[[#This Row],[Value]]-F8179)/F8179</f>
        <v>-1.7934446505874939E-2</v>
      </c>
      <c r="H8180" t="e" cm="1" vm="1">
        <f t="array" aca="1" ref="H8180" ca="1">VLOOKUP(Cpi_[[#This Row],[Year]:[Month]],crudeoil[],3,FALSE)</f>
        <v>#VALUE!</v>
      </c>
    </row>
    <row r="8181" spans="1:8" hidden="1" x14ac:dyDescent="0.3">
      <c r="A8181" t="s">
        <v>34</v>
      </c>
      <c r="B8181">
        <v>2021</v>
      </c>
      <c r="C8181" t="s">
        <v>39</v>
      </c>
      <c r="D8181" t="s">
        <v>28</v>
      </c>
      <c r="E8181" t="e">
        <f>VLOOKUP(Cpi_[[#This Row],[Attribute]],#REF!,2,FALSE)</f>
        <v>#REF!</v>
      </c>
      <c r="F8181">
        <v>157.6</v>
      </c>
      <c r="G8181">
        <f>(Cpi_[[#This Row],[Value]]-F8180)/F8180</f>
        <v>-7.5566750629723987E-3</v>
      </c>
      <c r="H8181" t="e" cm="1" vm="1">
        <f t="array" aca="1" ref="H8181" ca="1">VLOOKUP(Cpi_[[#This Row],[Year]:[Month]],crudeoil[],3,FALSE)</f>
        <v>#VALUE!</v>
      </c>
    </row>
    <row r="8182" spans="1:8" hidden="1" x14ac:dyDescent="0.3">
      <c r="A8182" t="s">
        <v>34</v>
      </c>
      <c r="B8182">
        <v>2021</v>
      </c>
      <c r="C8182" t="s">
        <v>39</v>
      </c>
      <c r="D8182" t="s">
        <v>29</v>
      </c>
      <c r="E8182" t="e" cm="1">
        <f t="array" aca="1" ref="E8182" ca="1">VLGeneral indexGeneral indexKUP(Cpi_[[#This Row],[Attribute]],#REF!,2,FALSE)</f>
        <v>#NAME?</v>
      </c>
      <c r="F8182">
        <v>161.30000000000001</v>
      </c>
      <c r="G8182">
        <f>(Cpi_[[#This Row],[Value]]-F8181)/F8181</f>
        <v>2.34771573604062E-2</v>
      </c>
      <c r="H8182" t="e" cm="1" vm="1">
        <f t="array" aca="1" ref="H8182" ca="1">VLOOKUP(Cpi_[[#This Row],[Year]:[Month]],crudeoil[],3,FALSE)</f>
        <v>#VALUE!</v>
      </c>
    </row>
    <row r="8183" spans="1:8" hidden="1" x14ac:dyDescent="0.3">
      <c r="A8183" t="s">
        <v>30</v>
      </c>
      <c r="B8183">
        <v>2021</v>
      </c>
      <c r="C8183" t="s">
        <v>40</v>
      </c>
      <c r="D8183" t="s">
        <v>3</v>
      </c>
      <c r="E8183" t="e">
        <f>VLOOKUP(Cpi_[[#This Row],[Attribute]],#REF!,2,FALSE)</f>
        <v>#REF!</v>
      </c>
      <c r="F8183">
        <v>145.1</v>
      </c>
      <c r="G8183">
        <f>(Cpi_[[#This Row],[Value]]-F8182)/F8182</f>
        <v>-0.10043397396156241</v>
      </c>
      <c r="H8183" t="e" cm="1" vm="1">
        <f t="array" aca="1" ref="H8183" ca="1">VLOOKUP(Cpi_[[#This Row],[Year]:[Month]],crudeoil[],3,FALSE)</f>
        <v>#VALUE!</v>
      </c>
    </row>
    <row r="8184" spans="1:8" hidden="1" x14ac:dyDescent="0.3">
      <c r="A8184" t="s">
        <v>30</v>
      </c>
      <c r="B8184">
        <v>2021</v>
      </c>
      <c r="C8184" t="s">
        <v>40</v>
      </c>
      <c r="D8184" t="s">
        <v>4</v>
      </c>
      <c r="E8184" t="e">
        <f>VLOOKUP(Cpi_[[#This Row],[Attribute]],#REF!,2,FALSE)</f>
        <v>#REF!</v>
      </c>
      <c r="F8184">
        <v>204.5</v>
      </c>
      <c r="G8184">
        <f>(Cpi_[[#This Row],[Value]]-F8183)/F8183</f>
        <v>0.40937284631288773</v>
      </c>
      <c r="H8184" t="e" cm="1" vm="1">
        <f t="array" aca="1" ref="H8184" ca="1">VLOOKUP(Cpi_[[#This Row],[Year]:[Month]],crudeoil[],3,FALSE)</f>
        <v>#VALUE!</v>
      </c>
    </row>
    <row r="8185" spans="1:8" hidden="1" x14ac:dyDescent="0.3">
      <c r="A8185" t="s">
        <v>30</v>
      </c>
      <c r="B8185">
        <v>2021</v>
      </c>
      <c r="C8185" t="s">
        <v>40</v>
      </c>
      <c r="D8185" t="s">
        <v>5</v>
      </c>
      <c r="E8185" t="e">
        <f>VLOOKUP(Cpi_[[#This Row],[Attribute]],#REF!,2,FALSE)</f>
        <v>#REF!</v>
      </c>
      <c r="F8185">
        <v>180.4</v>
      </c>
      <c r="G8185">
        <f>(Cpi_[[#This Row],[Value]]-F8184)/F8184</f>
        <v>-0.11784841075794618</v>
      </c>
      <c r="H8185" t="e" cm="1" vm="1">
        <f t="array" aca="1" ref="H8185" ca="1">VLOOKUP(Cpi_[[#This Row],[Year]:[Month]],crudeoil[],3,FALSE)</f>
        <v>#VALUE!</v>
      </c>
    </row>
    <row r="8186" spans="1:8" hidden="1" x14ac:dyDescent="0.3">
      <c r="A8186" t="s">
        <v>30</v>
      </c>
      <c r="B8186">
        <v>2021</v>
      </c>
      <c r="C8186" t="s">
        <v>40</v>
      </c>
      <c r="D8186" t="s">
        <v>6</v>
      </c>
      <c r="E8186" t="e">
        <f>VLOOKUP(Cpi_[[#This Row],[Attribute]],#REF!,2,FALSE)</f>
        <v>#REF!</v>
      </c>
      <c r="F8186">
        <v>157.1</v>
      </c>
      <c r="G8186">
        <f>(Cpi_[[#This Row],[Value]]-F8185)/F8185</f>
        <v>-0.12915742793791579</v>
      </c>
      <c r="H8186" t="e" cm="1" vm="1">
        <f t="array" aca="1" ref="H8186" ca="1">VLOOKUP(Cpi_[[#This Row],[Year]:[Month]],crudeoil[],3,FALSE)</f>
        <v>#VALUE!</v>
      </c>
    </row>
    <row r="8187" spans="1:8" hidden="1" x14ac:dyDescent="0.3">
      <c r="A8187" t="s">
        <v>30</v>
      </c>
      <c r="B8187">
        <v>2021</v>
      </c>
      <c r="C8187" t="s">
        <v>40</v>
      </c>
      <c r="D8187" t="s">
        <v>7</v>
      </c>
      <c r="E8187" t="e">
        <f>VLOOKUP(Cpi_[[#This Row],[Attribute]],#REF!,2,FALSE)</f>
        <v>#REF!</v>
      </c>
      <c r="F8187">
        <v>188.7</v>
      </c>
      <c r="G8187">
        <f>(Cpi_[[#This Row],[Value]]-F8186)/F8186</f>
        <v>0.20114576702737108</v>
      </c>
      <c r="H8187" t="e" cm="1" vm="1">
        <f t="array" aca="1" ref="H8187" ca="1">VLOOKUP(Cpi_[[#This Row],[Year]:[Month]],crudeoil[],3,FALSE)</f>
        <v>#VALUE!</v>
      </c>
    </row>
    <row r="8188" spans="1:8" hidden="1" x14ac:dyDescent="0.3">
      <c r="A8188" t="s">
        <v>30</v>
      </c>
      <c r="B8188">
        <v>2021</v>
      </c>
      <c r="C8188" t="s">
        <v>40</v>
      </c>
      <c r="D8188" t="s">
        <v>8</v>
      </c>
      <c r="E8188" t="e">
        <f>VLOOKUP(Cpi_[[#This Row],[Attribute]],#REF!,2,FALSE)</f>
        <v>#REF!</v>
      </c>
      <c r="F8188">
        <v>157.69999999999999</v>
      </c>
      <c r="G8188">
        <f>(Cpi_[[#This Row],[Value]]-F8187)/F8187</f>
        <v>-0.16428192898781135</v>
      </c>
      <c r="H8188" t="e" cm="1" vm="1">
        <f t="array" aca="1" ref="H8188" ca="1">VLOOKUP(Cpi_[[#This Row],[Year]:[Month]],crudeoil[],3,FALSE)</f>
        <v>#VALUE!</v>
      </c>
    </row>
    <row r="8189" spans="1:8" hidden="1" x14ac:dyDescent="0.3">
      <c r="A8189" t="s">
        <v>30</v>
      </c>
      <c r="B8189">
        <v>2021</v>
      </c>
      <c r="C8189" t="s">
        <v>40</v>
      </c>
      <c r="D8189" t="s">
        <v>9</v>
      </c>
      <c r="E8189" t="e">
        <f>VLOOKUP(Cpi_[[#This Row],[Attribute]],#REF!,2,FALSE)</f>
        <v>#REF!</v>
      </c>
      <c r="F8189">
        <v>152.80000000000001</v>
      </c>
      <c r="G8189">
        <f>(Cpi_[[#This Row],[Value]]-F8188)/F8188</f>
        <v>-3.1071655041217359E-2</v>
      </c>
      <c r="H8189" t="e" cm="1" vm="1">
        <f t="array" aca="1" ref="H8189" ca="1">VLOOKUP(Cpi_[[#This Row],[Year]:[Month]],crudeoil[],3,FALSE)</f>
        <v>#VALUE!</v>
      </c>
    </row>
    <row r="8190" spans="1:8" hidden="1" x14ac:dyDescent="0.3">
      <c r="A8190" t="s">
        <v>30</v>
      </c>
      <c r="B8190">
        <v>2021</v>
      </c>
      <c r="C8190" t="s">
        <v>40</v>
      </c>
      <c r="D8190" t="s">
        <v>10</v>
      </c>
      <c r="E8190" t="e">
        <f>VLOOKUP(Cpi_[[#This Row],[Attribute]],#REF!,2,FALSE)</f>
        <v>#REF!</v>
      </c>
      <c r="F8190">
        <v>163.6</v>
      </c>
      <c r="G8190">
        <f>(Cpi_[[#This Row],[Value]]-F8189)/F8189</f>
        <v>7.0680628272251189E-2</v>
      </c>
      <c r="H8190" t="e" cm="1" vm="1">
        <f t="array" aca="1" ref="H8190" ca="1">VLOOKUP(Cpi_[[#This Row],[Year]:[Month]],crudeoil[],3,FALSE)</f>
        <v>#VALUE!</v>
      </c>
    </row>
    <row r="8191" spans="1:8" hidden="1" x14ac:dyDescent="0.3">
      <c r="A8191" t="s">
        <v>30</v>
      </c>
      <c r="B8191">
        <v>2021</v>
      </c>
      <c r="C8191" t="s">
        <v>40</v>
      </c>
      <c r="D8191" t="s">
        <v>11</v>
      </c>
      <c r="E8191" t="e">
        <f>VLOOKUP(Cpi_[[#This Row],[Attribute]],#REF!,2,FALSE)</f>
        <v>#REF!</v>
      </c>
      <c r="F8191">
        <v>113.9</v>
      </c>
      <c r="G8191">
        <f>(Cpi_[[#This Row],[Value]]-F8190)/F8190</f>
        <v>-0.30378973105134466</v>
      </c>
      <c r="H8191" t="e" cm="1" vm="1">
        <f t="array" aca="1" ref="H8191" ca="1">VLOOKUP(Cpi_[[#This Row],[Year]:[Month]],crudeoil[],3,FALSE)</f>
        <v>#VALUE!</v>
      </c>
    </row>
    <row r="8192" spans="1:8" hidden="1" x14ac:dyDescent="0.3">
      <c r="A8192" t="s">
        <v>30</v>
      </c>
      <c r="B8192">
        <v>2021</v>
      </c>
      <c r="C8192" t="s">
        <v>40</v>
      </c>
      <c r="D8192" t="s">
        <v>12</v>
      </c>
      <c r="E8192" t="e">
        <f>VLOOKUP(Cpi_[[#This Row],[Attribute]],#REF!,2,FALSE)</f>
        <v>#REF!</v>
      </c>
      <c r="F8192">
        <v>169.7</v>
      </c>
      <c r="G8192">
        <f>(Cpi_[[#This Row],[Value]]-F8191)/F8191</f>
        <v>0.48990342405618947</v>
      </c>
      <c r="H8192" t="e" cm="1" vm="1">
        <f t="array" aca="1" ref="H8192" ca="1">VLOOKUP(Cpi_[[#This Row],[Year]:[Month]],crudeoil[],3,FALSE)</f>
        <v>#VALUE!</v>
      </c>
    </row>
    <row r="8193" spans="1:8" hidden="1" x14ac:dyDescent="0.3">
      <c r="A8193" t="s">
        <v>30</v>
      </c>
      <c r="B8193">
        <v>2021</v>
      </c>
      <c r="C8193" t="s">
        <v>40</v>
      </c>
      <c r="D8193" t="s">
        <v>13</v>
      </c>
      <c r="E8193" t="e">
        <f>VLOOKUP(Cpi_[[#This Row],[Attribute]],#REF!,2,FALSE)</f>
        <v>#REF!</v>
      </c>
      <c r="F8193">
        <v>166.2</v>
      </c>
      <c r="G8193">
        <f>(Cpi_[[#This Row],[Value]]-F8192)/F8192</f>
        <v>-2.0624631703005304E-2</v>
      </c>
      <c r="H8193" t="e" cm="1" vm="1">
        <f t="array" aca="1" ref="H8193" ca="1">VLOOKUP(Cpi_[[#This Row],[Year]:[Month]],crudeoil[],3,FALSE)</f>
        <v>#VALUE!</v>
      </c>
    </row>
    <row r="8194" spans="1:8" hidden="1" x14ac:dyDescent="0.3">
      <c r="A8194" t="s">
        <v>30</v>
      </c>
      <c r="B8194">
        <v>2021</v>
      </c>
      <c r="C8194" t="s">
        <v>40</v>
      </c>
      <c r="D8194" t="s">
        <v>14</v>
      </c>
      <c r="E8194" t="e">
        <f>VLOOKUP(Cpi_[[#This Row],[Attribute]],#REF!,2,FALSE)</f>
        <v>#REF!</v>
      </c>
      <c r="F8194">
        <v>171</v>
      </c>
      <c r="G8194">
        <f>(Cpi_[[#This Row],[Value]]-F8193)/F8193</f>
        <v>2.888086642599285E-2</v>
      </c>
      <c r="H8194" t="e" cm="1" vm="1">
        <f t="array" aca="1" ref="H8194" ca="1">VLOOKUP(Cpi_[[#This Row],[Year]:[Month]],crudeoil[],3,FALSE)</f>
        <v>#VALUE!</v>
      </c>
    </row>
    <row r="8195" spans="1:8" hidden="1" x14ac:dyDescent="0.3">
      <c r="A8195" t="s">
        <v>30</v>
      </c>
      <c r="B8195">
        <v>2021</v>
      </c>
      <c r="C8195" t="s">
        <v>40</v>
      </c>
      <c r="D8195" t="s">
        <v>15</v>
      </c>
      <c r="E8195" t="e">
        <f>VLOOKUP(Cpi_[[#This Row],[Attribute]],#REF!,2,FALSE)</f>
        <v>#REF!</v>
      </c>
      <c r="F8195">
        <v>161.69999999999999</v>
      </c>
      <c r="G8195">
        <f>(Cpi_[[#This Row],[Value]]-F8194)/F8194</f>
        <v>-5.4385964912280767E-2</v>
      </c>
      <c r="H8195" t="e" cm="1" vm="1">
        <f t="array" aca="1" ref="H8195" ca="1">VLOOKUP(Cpi_[[#This Row],[Year]:[Month]],crudeoil[],3,FALSE)</f>
        <v>#VALUE!</v>
      </c>
    </row>
    <row r="8196" spans="1:8" hidden="1" x14ac:dyDescent="0.3">
      <c r="A8196" t="s">
        <v>30</v>
      </c>
      <c r="B8196">
        <v>2021</v>
      </c>
      <c r="C8196" t="s">
        <v>40</v>
      </c>
      <c r="D8196" t="s">
        <v>16</v>
      </c>
      <c r="E8196" t="e">
        <f>VLOOKUP(Cpi_[[#This Row],[Attribute]],#REF!,2,FALSE)</f>
        <v>#REF!</v>
      </c>
      <c r="F8196">
        <v>189.7</v>
      </c>
      <c r="G8196">
        <f>(Cpi_[[#This Row],[Value]]-F8195)/F8195</f>
        <v>0.17316017316017318</v>
      </c>
      <c r="H8196" t="e" cm="1" vm="1">
        <f t="array" aca="1" ref="H8196" ca="1">VLOOKUP(Cpi_[[#This Row],[Year]:[Month]],crudeoil[],3,FALSE)</f>
        <v>#VALUE!</v>
      </c>
    </row>
    <row r="8197" spans="1:8" hidden="1" x14ac:dyDescent="0.3">
      <c r="A8197" t="s">
        <v>30</v>
      </c>
      <c r="B8197">
        <v>2021</v>
      </c>
      <c r="C8197" t="s">
        <v>40</v>
      </c>
      <c r="D8197" t="s">
        <v>17</v>
      </c>
      <c r="E8197" t="e">
        <f>VLOOKUP(Cpi_[[#This Row],[Attribute]],#REF!,2,FALSE)</f>
        <v>#REF!</v>
      </c>
      <c r="F8197">
        <v>166</v>
      </c>
      <c r="G8197">
        <f>(Cpi_[[#This Row],[Value]]-F8196)/F8196</f>
        <v>-0.12493410648392193</v>
      </c>
      <c r="H8197" t="e" cm="1" vm="1">
        <f t="array" aca="1" ref="H8197" ca="1">VLOOKUP(Cpi_[[#This Row],[Year]:[Month]],crudeoil[],3,FALSE)</f>
        <v>#VALUE!</v>
      </c>
    </row>
    <row r="8198" spans="1:8" hidden="1" x14ac:dyDescent="0.3">
      <c r="A8198" t="s">
        <v>30</v>
      </c>
      <c r="B8198">
        <v>2021</v>
      </c>
      <c r="C8198" t="s">
        <v>40</v>
      </c>
      <c r="D8198" t="s">
        <v>18</v>
      </c>
      <c r="E8198" t="e">
        <f>VLOOKUP(Cpi_[[#This Row],[Attribute]],#REF!,2,FALSE)</f>
        <v>#REF!</v>
      </c>
      <c r="F8198">
        <v>161.1</v>
      </c>
      <c r="G8198">
        <f>(Cpi_[[#This Row],[Value]]-F8197)/F8197</f>
        <v>-2.951807228915666E-2</v>
      </c>
      <c r="H8198" t="e" cm="1" vm="1">
        <f t="array" aca="1" ref="H8198" ca="1">VLOOKUP(Cpi_[[#This Row],[Year]:[Month]],crudeoil[],3,FALSE)</f>
        <v>#VALUE!</v>
      </c>
    </row>
    <row r="8199" spans="1:8" hidden="1" x14ac:dyDescent="0.3">
      <c r="A8199" t="s">
        <v>30</v>
      </c>
      <c r="B8199">
        <v>2021</v>
      </c>
      <c r="C8199" t="s">
        <v>40</v>
      </c>
      <c r="D8199" t="s">
        <v>19</v>
      </c>
      <c r="E8199" t="e">
        <f>VLOOKUP(Cpi_[[#This Row],[Attribute]],#REF!,2,FALSE)</f>
        <v>#REF!</v>
      </c>
      <c r="F8199">
        <v>165.3</v>
      </c>
      <c r="G8199">
        <f>(Cpi_[[#This Row],[Value]]-F8198)/F8198</f>
        <v>2.6070763500931207E-2</v>
      </c>
      <c r="H8199" t="e" cm="1" vm="1">
        <f t="array" aca="1" ref="H8199" ca="1">VLOOKUP(Cpi_[[#This Row],[Year]:[Month]],crudeoil[],3,FALSE)</f>
        <v>#VALUE!</v>
      </c>
    </row>
    <row r="8200" spans="1:8" hidden="1" x14ac:dyDescent="0.3">
      <c r="A8200" t="s">
        <v>30</v>
      </c>
      <c r="B8200">
        <v>2021</v>
      </c>
      <c r="C8200" t="s">
        <v>40</v>
      </c>
      <c r="D8200" t="s">
        <v>20</v>
      </c>
      <c r="E8200" t="e">
        <f>VLOOKUP(Cpi_[[#This Row],[Attribute]],#REF!,2,FALSE)</f>
        <v>#REF!</v>
      </c>
      <c r="F8200" t="s">
        <v>32</v>
      </c>
      <c r="G8200" t="e">
        <f>(Cpi_[[#This Row],[Value]]-F8199)/F8199</f>
        <v>#VALUE!</v>
      </c>
      <c r="H8200" t="e" cm="1" vm="1">
        <f t="array" aca="1" ref="H8200" ca="1">VLOOKUP(Cpi_[[#This Row],[Year]:[Month]],crudeoil[],3,FALSE)</f>
        <v>#VALUE!</v>
      </c>
    </row>
    <row r="8201" spans="1:8" hidden="1" x14ac:dyDescent="0.3">
      <c r="A8201" t="s">
        <v>30</v>
      </c>
      <c r="B8201">
        <v>2021</v>
      </c>
      <c r="C8201" t="s">
        <v>40</v>
      </c>
      <c r="D8201" t="s">
        <v>21</v>
      </c>
      <c r="E8201" t="e">
        <f>VLOOKUP(Cpi_[[#This Row],[Attribute]],#REF!,2,FALSE)</f>
        <v>#REF!</v>
      </c>
      <c r="F8201">
        <v>162.5</v>
      </c>
      <c r="G8201" t="e">
        <f>(Cpi_[[#This Row],[Value]]-F8200)/F8200</f>
        <v>#VALUE!</v>
      </c>
      <c r="H8201" t="e" cm="1" vm="1">
        <f t="array" aca="1" ref="H8201" ca="1">VLOOKUP(Cpi_[[#This Row],[Year]:[Month]],crudeoil[],3,FALSE)</f>
        <v>#VALUE!</v>
      </c>
    </row>
    <row r="8202" spans="1:8" hidden="1" x14ac:dyDescent="0.3">
      <c r="A8202" t="s">
        <v>30</v>
      </c>
      <c r="B8202">
        <v>2021</v>
      </c>
      <c r="C8202" t="s">
        <v>40</v>
      </c>
      <c r="D8202" t="s">
        <v>22</v>
      </c>
      <c r="E8202" t="e">
        <f>VLOOKUP(Cpi_[[#This Row],[Attribute]],#REF!,2,FALSE)</f>
        <v>#REF!</v>
      </c>
      <c r="F8202">
        <v>160.30000000000001</v>
      </c>
      <c r="G8202">
        <f>(Cpi_[[#This Row],[Value]]-F8201)/F8201</f>
        <v>-1.3538461538461468E-2</v>
      </c>
      <c r="H8202" t="e" cm="1" vm="1">
        <f t="array" aca="1" ref="H8202" ca="1">VLOOKUP(Cpi_[[#This Row],[Year]:[Month]],crudeoil[],3,FALSE)</f>
        <v>#VALUE!</v>
      </c>
    </row>
    <row r="8203" spans="1:8" hidden="1" x14ac:dyDescent="0.3">
      <c r="A8203" t="s">
        <v>30</v>
      </c>
      <c r="B8203">
        <v>2021</v>
      </c>
      <c r="C8203" t="s">
        <v>40</v>
      </c>
      <c r="D8203" t="s">
        <v>23</v>
      </c>
      <c r="E8203" t="e">
        <f>VLOOKUP(Cpi_[[#This Row],[Attribute]],#REF!,2,FALSE)</f>
        <v>#REF!</v>
      </c>
      <c r="F8203">
        <v>170.4</v>
      </c>
      <c r="G8203">
        <f>(Cpi_[[#This Row],[Value]]-F8202)/F8202</f>
        <v>6.3006862133499653E-2</v>
      </c>
      <c r="H8203" t="e" cm="1" vm="1">
        <f t="array" aca="1" ref="H8203" ca="1">VLOOKUP(Cpi_[[#This Row],[Year]:[Month]],crudeoil[],3,FALSE)</f>
        <v>#VALUE!</v>
      </c>
    </row>
    <row r="8204" spans="1:8" hidden="1" x14ac:dyDescent="0.3">
      <c r="A8204" t="s">
        <v>30</v>
      </c>
      <c r="B8204">
        <v>2021</v>
      </c>
      <c r="C8204" t="s">
        <v>40</v>
      </c>
      <c r="D8204" t="s">
        <v>24</v>
      </c>
      <c r="E8204" t="e">
        <f>VLOOKUP(Cpi_[[#This Row],[Attribute]],#REF!,2,FALSE)</f>
        <v>#REF!</v>
      </c>
      <c r="F8204">
        <v>157.1</v>
      </c>
      <c r="G8204">
        <f>(Cpi_[[#This Row],[Value]]-F8203)/F8203</f>
        <v>-7.8051643192488321E-2</v>
      </c>
      <c r="H8204" t="e" cm="1" vm="1">
        <f t="array" aca="1" ref="H8204" ca="1">VLOOKUP(Cpi_[[#This Row],[Year]:[Month]],crudeoil[],3,FALSE)</f>
        <v>#VALUE!</v>
      </c>
    </row>
    <row r="8205" spans="1:8" hidden="1" x14ac:dyDescent="0.3">
      <c r="A8205" t="s">
        <v>30</v>
      </c>
      <c r="B8205">
        <v>2021</v>
      </c>
      <c r="C8205" t="s">
        <v>40</v>
      </c>
      <c r="D8205" t="s">
        <v>25</v>
      </c>
      <c r="E8205" t="e">
        <f>VLOOKUP(Cpi_[[#This Row],[Attribute]],#REF!,2,FALSE)</f>
        <v>#REF!</v>
      </c>
      <c r="F8205">
        <v>160.69999999999999</v>
      </c>
      <c r="G8205">
        <f>(Cpi_[[#This Row],[Value]]-F8204)/F8204</f>
        <v>2.2915340547421989E-2</v>
      </c>
      <c r="H8205" t="e" cm="1" vm="1">
        <f t="array" aca="1" ref="H8205" ca="1">VLOOKUP(Cpi_[[#This Row],[Year]:[Month]],crudeoil[],3,FALSE)</f>
        <v>#VALUE!</v>
      </c>
    </row>
    <row r="8206" spans="1:8" hidden="1" x14ac:dyDescent="0.3">
      <c r="A8206" t="s">
        <v>30</v>
      </c>
      <c r="B8206">
        <v>2021</v>
      </c>
      <c r="C8206" t="s">
        <v>40</v>
      </c>
      <c r="D8206" t="s">
        <v>26</v>
      </c>
      <c r="E8206" t="e">
        <f>VLOOKUP(Cpi_[[#This Row],[Attribute]],#REF!,2,FALSE)</f>
        <v>#REF!</v>
      </c>
      <c r="F8206">
        <v>167.2</v>
      </c>
      <c r="G8206">
        <f>(Cpi_[[#This Row],[Value]]-F8205)/F8205</f>
        <v>4.044803982576229E-2</v>
      </c>
      <c r="H8206" t="e" cm="1" vm="1">
        <f t="array" aca="1" ref="H8206" ca="1">VLOOKUP(Cpi_[[#This Row],[Year]:[Month]],crudeoil[],3,FALSE)</f>
        <v>#VALUE!</v>
      </c>
    </row>
    <row r="8207" spans="1:8" hidden="1" x14ac:dyDescent="0.3">
      <c r="A8207" t="s">
        <v>30</v>
      </c>
      <c r="B8207">
        <v>2021</v>
      </c>
      <c r="C8207" t="s">
        <v>40</v>
      </c>
      <c r="D8207" t="s">
        <v>27</v>
      </c>
      <c r="E8207" t="e">
        <f>VLOOKUP(Cpi_[[#This Row],[Attribute]],#REF!,2,FALSE)</f>
        <v>#REF!</v>
      </c>
      <c r="F8207">
        <v>160.4</v>
      </c>
      <c r="G8207">
        <f>(Cpi_[[#This Row],[Value]]-F8206)/F8206</f>
        <v>-4.0669856459330044E-2</v>
      </c>
      <c r="H8207" t="e" cm="1" vm="1">
        <f t="array" aca="1" ref="H8207" ca="1">VLOOKUP(Cpi_[[#This Row],[Year]:[Month]],crudeoil[],3,FALSE)</f>
        <v>#VALUE!</v>
      </c>
    </row>
    <row r="8208" spans="1:8" hidden="1" x14ac:dyDescent="0.3">
      <c r="A8208" t="s">
        <v>30</v>
      </c>
      <c r="B8208">
        <v>2021</v>
      </c>
      <c r="C8208" t="s">
        <v>40</v>
      </c>
      <c r="D8208" t="s">
        <v>28</v>
      </c>
      <c r="E8208" t="e">
        <f>VLOOKUP(Cpi_[[#This Row],[Attribute]],#REF!,2,FALSE)</f>
        <v>#REF!</v>
      </c>
      <c r="F8208">
        <v>162.80000000000001</v>
      </c>
      <c r="G8208">
        <f>(Cpi_[[#This Row],[Value]]-F8207)/F8207</f>
        <v>1.4962593516209511E-2</v>
      </c>
      <c r="H8208" t="e" cm="1" vm="1">
        <f t="array" aca="1" ref="H8208" ca="1">VLOOKUP(Cpi_[[#This Row],[Year]:[Month]],crudeoil[],3,FALSE)</f>
        <v>#VALUE!</v>
      </c>
    </row>
    <row r="8209" spans="1:8" hidden="1" x14ac:dyDescent="0.3">
      <c r="A8209" t="s">
        <v>30</v>
      </c>
      <c r="B8209">
        <v>2021</v>
      </c>
      <c r="C8209" t="s">
        <v>40</v>
      </c>
      <c r="D8209" t="s">
        <v>29</v>
      </c>
      <c r="E8209" t="e" cm="1">
        <f t="array" aca="1" ref="E8209" ca="1">VLGeneral indexGeneral indexKUP(Cpi_[[#This Row],[Attribute]],#REF!,2,FALSE)</f>
        <v>#NAME?</v>
      </c>
      <c r="F8209">
        <v>163.19999999999999</v>
      </c>
      <c r="G8209">
        <f>(Cpi_[[#This Row],[Value]]-F8208)/F8208</f>
        <v>2.4570024570023173E-3</v>
      </c>
      <c r="H8209" t="e" cm="1" vm="1">
        <f t="array" aca="1" ref="H8209" ca="1">VLOOKUP(Cpi_[[#This Row],[Year]:[Month]],crudeoil[],3,FALSE)</f>
        <v>#VALUE!</v>
      </c>
    </row>
    <row r="8210" spans="1:8" hidden="1" x14ac:dyDescent="0.3">
      <c r="A8210" t="s">
        <v>33</v>
      </c>
      <c r="B8210">
        <v>2021</v>
      </c>
      <c r="C8210" t="s">
        <v>40</v>
      </c>
      <c r="D8210" t="s">
        <v>3</v>
      </c>
      <c r="E8210" t="e">
        <f>VLOOKUP(Cpi_[[#This Row],[Attribute]],#REF!,2,FALSE)</f>
        <v>#REF!</v>
      </c>
      <c r="F8210">
        <v>149.1</v>
      </c>
      <c r="G8210">
        <f>(Cpi_[[#This Row],[Value]]-F8209)/F8209</f>
        <v>-8.6397058823529382E-2</v>
      </c>
      <c r="H8210" t="e" cm="1" vm="1">
        <f t="array" aca="1" ref="H8210" ca="1">VLOOKUP(Cpi_[[#This Row],[Year]:[Month]],crudeoil[],3,FALSE)</f>
        <v>#VALUE!</v>
      </c>
    </row>
    <row r="8211" spans="1:8" hidden="1" x14ac:dyDescent="0.3">
      <c r="A8211" t="s">
        <v>33</v>
      </c>
      <c r="B8211">
        <v>2021</v>
      </c>
      <c r="C8211" t="s">
        <v>40</v>
      </c>
      <c r="D8211" t="s">
        <v>4</v>
      </c>
      <c r="E8211" t="e">
        <f>VLOOKUP(Cpi_[[#This Row],[Attribute]],#REF!,2,FALSE)</f>
        <v>#REF!</v>
      </c>
      <c r="F8211">
        <v>210.9</v>
      </c>
      <c r="G8211">
        <f>(Cpi_[[#This Row],[Value]]-F8210)/F8210</f>
        <v>0.41448692152917516</v>
      </c>
      <c r="H8211" t="e" cm="1" vm="1">
        <f t="array" aca="1" ref="H8211" ca="1">VLOOKUP(Cpi_[[#This Row],[Year]:[Month]],crudeoil[],3,FALSE)</f>
        <v>#VALUE!</v>
      </c>
    </row>
    <row r="8212" spans="1:8" hidden="1" x14ac:dyDescent="0.3">
      <c r="A8212" t="s">
        <v>33</v>
      </c>
      <c r="B8212">
        <v>2021</v>
      </c>
      <c r="C8212" t="s">
        <v>40</v>
      </c>
      <c r="D8212" t="s">
        <v>5</v>
      </c>
      <c r="E8212" t="e">
        <f>VLOOKUP(Cpi_[[#This Row],[Attribute]],#REF!,2,FALSE)</f>
        <v>#REF!</v>
      </c>
      <c r="F8212">
        <v>185</v>
      </c>
      <c r="G8212">
        <f>(Cpi_[[#This Row],[Value]]-F8211)/F8211</f>
        <v>-0.12280701754385967</v>
      </c>
      <c r="H8212" t="e" cm="1" vm="1">
        <f t="array" aca="1" ref="H8212" ca="1">VLOOKUP(Cpi_[[#This Row],[Year]:[Month]],crudeoil[],3,FALSE)</f>
        <v>#VALUE!</v>
      </c>
    </row>
    <row r="8213" spans="1:8" hidden="1" x14ac:dyDescent="0.3">
      <c r="A8213" t="s">
        <v>33</v>
      </c>
      <c r="B8213">
        <v>2021</v>
      </c>
      <c r="C8213" t="s">
        <v>40</v>
      </c>
      <c r="D8213" t="s">
        <v>6</v>
      </c>
      <c r="E8213" t="e">
        <f>VLOOKUP(Cpi_[[#This Row],[Attribute]],#REF!,2,FALSE)</f>
        <v>#REF!</v>
      </c>
      <c r="F8213">
        <v>158.19999999999999</v>
      </c>
      <c r="G8213">
        <f>(Cpi_[[#This Row],[Value]]-F8212)/F8212</f>
        <v>-0.14486486486486494</v>
      </c>
      <c r="H8213" t="e" cm="1" vm="1">
        <f t="array" aca="1" ref="H8213" ca="1">VLOOKUP(Cpi_[[#This Row],[Year]:[Month]],crudeoil[],3,FALSE)</f>
        <v>#VALUE!</v>
      </c>
    </row>
    <row r="8214" spans="1:8" hidden="1" x14ac:dyDescent="0.3">
      <c r="A8214" t="s">
        <v>33</v>
      </c>
      <c r="B8214">
        <v>2021</v>
      </c>
      <c r="C8214" t="s">
        <v>40</v>
      </c>
      <c r="D8214" t="s">
        <v>7</v>
      </c>
      <c r="E8214" t="e">
        <f>VLOOKUP(Cpi_[[#This Row],[Attribute]],#REF!,2,FALSE)</f>
        <v>#REF!</v>
      </c>
      <c r="F8214">
        <v>170.6</v>
      </c>
      <c r="G8214">
        <f>(Cpi_[[#This Row],[Value]]-F8213)/F8213</f>
        <v>7.8381795195954534E-2</v>
      </c>
      <c r="H8214" t="e" cm="1" vm="1">
        <f t="array" aca="1" ref="H8214" ca="1">VLOOKUP(Cpi_[[#This Row],[Year]:[Month]],crudeoil[],3,FALSE)</f>
        <v>#VALUE!</v>
      </c>
    </row>
    <row r="8215" spans="1:8" hidden="1" x14ac:dyDescent="0.3">
      <c r="A8215" t="s">
        <v>33</v>
      </c>
      <c r="B8215">
        <v>2021</v>
      </c>
      <c r="C8215" t="s">
        <v>40</v>
      </c>
      <c r="D8215" t="s">
        <v>8</v>
      </c>
      <c r="E8215" t="e">
        <f>VLOOKUP(Cpi_[[#This Row],[Attribute]],#REF!,2,FALSE)</f>
        <v>#REF!</v>
      </c>
      <c r="F8215">
        <v>170.9</v>
      </c>
      <c r="G8215">
        <f>(Cpi_[[#This Row],[Value]]-F8214)/F8214</f>
        <v>1.7584994138335954E-3</v>
      </c>
      <c r="H8215" t="e" cm="1" vm="1">
        <f t="array" aca="1" ref="H8215" ca="1">VLOOKUP(Cpi_[[#This Row],[Year]:[Month]],crudeoil[],3,FALSE)</f>
        <v>#VALUE!</v>
      </c>
    </row>
    <row r="8216" spans="1:8" hidden="1" x14ac:dyDescent="0.3">
      <c r="A8216" t="s">
        <v>33</v>
      </c>
      <c r="B8216">
        <v>2021</v>
      </c>
      <c r="C8216" t="s">
        <v>40</v>
      </c>
      <c r="D8216" t="s">
        <v>9</v>
      </c>
      <c r="E8216" t="e">
        <f>VLOOKUP(Cpi_[[#This Row],[Attribute]],#REF!,2,FALSE)</f>
        <v>#REF!</v>
      </c>
      <c r="F8216">
        <v>186.4</v>
      </c>
      <c r="G8216">
        <f>(Cpi_[[#This Row],[Value]]-F8215)/F8215</f>
        <v>9.0696313633703923E-2</v>
      </c>
      <c r="H8216" t="e" cm="1" vm="1">
        <f t="array" aca="1" ref="H8216" ca="1">VLOOKUP(Cpi_[[#This Row],[Year]:[Month]],crudeoil[],3,FALSE)</f>
        <v>#VALUE!</v>
      </c>
    </row>
    <row r="8217" spans="1:8" hidden="1" x14ac:dyDescent="0.3">
      <c r="A8217" t="s">
        <v>33</v>
      </c>
      <c r="B8217">
        <v>2021</v>
      </c>
      <c r="C8217" t="s">
        <v>40</v>
      </c>
      <c r="D8217" t="s">
        <v>10</v>
      </c>
      <c r="E8217" t="e">
        <f>VLOOKUP(Cpi_[[#This Row],[Attribute]],#REF!,2,FALSE)</f>
        <v>#REF!</v>
      </c>
      <c r="F8217">
        <v>164.7</v>
      </c>
      <c r="G8217">
        <f>(Cpi_[[#This Row],[Value]]-F8216)/F8216</f>
        <v>-0.11641630901287563</v>
      </c>
      <c r="H8217" t="e" cm="1" vm="1">
        <f t="array" aca="1" ref="H8217" ca="1">VLOOKUP(Cpi_[[#This Row],[Year]:[Month]],crudeoil[],3,FALSE)</f>
        <v>#VALUE!</v>
      </c>
    </row>
    <row r="8218" spans="1:8" hidden="1" x14ac:dyDescent="0.3">
      <c r="A8218" t="s">
        <v>33</v>
      </c>
      <c r="B8218">
        <v>2021</v>
      </c>
      <c r="C8218" t="s">
        <v>40</v>
      </c>
      <c r="D8218" t="s">
        <v>11</v>
      </c>
      <c r="E8218" t="e">
        <f>VLOOKUP(Cpi_[[#This Row],[Attribute]],#REF!,2,FALSE)</f>
        <v>#REF!</v>
      </c>
      <c r="F8218">
        <v>115.7</v>
      </c>
      <c r="G8218">
        <f>(Cpi_[[#This Row],[Value]]-F8217)/F8217</f>
        <v>-0.29751062537947776</v>
      </c>
      <c r="H8218" t="e" cm="1" vm="1">
        <f t="array" aca="1" ref="H8218" ca="1">VLOOKUP(Cpi_[[#This Row],[Year]:[Month]],crudeoil[],3,FALSE)</f>
        <v>#VALUE!</v>
      </c>
    </row>
    <row r="8219" spans="1:8" hidden="1" x14ac:dyDescent="0.3">
      <c r="A8219" t="s">
        <v>33</v>
      </c>
      <c r="B8219">
        <v>2021</v>
      </c>
      <c r="C8219" t="s">
        <v>40</v>
      </c>
      <c r="D8219" t="s">
        <v>12</v>
      </c>
      <c r="E8219" t="e">
        <f>VLOOKUP(Cpi_[[#This Row],[Attribute]],#REF!,2,FALSE)</f>
        <v>#REF!</v>
      </c>
      <c r="F8219">
        <v>165.5</v>
      </c>
      <c r="G8219">
        <f>(Cpi_[[#This Row],[Value]]-F8218)/F8218</f>
        <v>0.43042350907519444</v>
      </c>
      <c r="H8219" t="e" cm="1" vm="1">
        <f t="array" aca="1" ref="H8219" ca="1">VLOOKUP(Cpi_[[#This Row],[Year]:[Month]],crudeoil[],3,FALSE)</f>
        <v>#VALUE!</v>
      </c>
    </row>
    <row r="8220" spans="1:8" hidden="1" x14ac:dyDescent="0.3">
      <c r="A8220" t="s">
        <v>33</v>
      </c>
      <c r="B8220">
        <v>2021</v>
      </c>
      <c r="C8220" t="s">
        <v>40</v>
      </c>
      <c r="D8220" t="s">
        <v>13</v>
      </c>
      <c r="E8220" t="e">
        <f>VLOOKUP(Cpi_[[#This Row],[Attribute]],#REF!,2,FALSE)</f>
        <v>#REF!</v>
      </c>
      <c r="F8220">
        <v>153.4</v>
      </c>
      <c r="G8220">
        <f>(Cpi_[[#This Row],[Value]]-F8219)/F8219</f>
        <v>-7.3111782477341361E-2</v>
      </c>
      <c r="H8220" t="e" cm="1" vm="1">
        <f t="array" aca="1" ref="H8220" ca="1">VLOOKUP(Cpi_[[#This Row],[Year]:[Month]],crudeoil[],3,FALSE)</f>
        <v>#VALUE!</v>
      </c>
    </row>
    <row r="8221" spans="1:8" hidden="1" x14ac:dyDescent="0.3">
      <c r="A8221" t="s">
        <v>33</v>
      </c>
      <c r="B8221">
        <v>2021</v>
      </c>
      <c r="C8221" t="s">
        <v>40</v>
      </c>
      <c r="D8221" t="s">
        <v>14</v>
      </c>
      <c r="E8221" t="e">
        <f>VLOOKUP(Cpi_[[#This Row],[Attribute]],#REF!,2,FALSE)</f>
        <v>#REF!</v>
      </c>
      <c r="F8221">
        <v>173.5</v>
      </c>
      <c r="G8221">
        <f>(Cpi_[[#This Row],[Value]]-F8220)/F8220</f>
        <v>0.13102998696219031</v>
      </c>
      <c r="H8221" t="e" cm="1" vm="1">
        <f t="array" aca="1" ref="H8221" ca="1">VLOOKUP(Cpi_[[#This Row],[Year]:[Month]],crudeoil[],3,FALSE)</f>
        <v>#VALUE!</v>
      </c>
    </row>
    <row r="8222" spans="1:8" hidden="1" x14ac:dyDescent="0.3">
      <c r="A8222" t="s">
        <v>33</v>
      </c>
      <c r="B8222">
        <v>2021</v>
      </c>
      <c r="C8222" t="s">
        <v>40</v>
      </c>
      <c r="D8222" t="s">
        <v>15</v>
      </c>
      <c r="E8222" t="e">
        <f>VLOOKUP(Cpi_[[#This Row],[Attribute]],#REF!,2,FALSE)</f>
        <v>#REF!</v>
      </c>
      <c r="F8222">
        <v>167.9</v>
      </c>
      <c r="G8222">
        <f>(Cpi_[[#This Row],[Value]]-F8221)/F8221</f>
        <v>-3.2276657060518701E-2</v>
      </c>
      <c r="H8222" t="e" cm="1" vm="1">
        <f t="array" aca="1" ref="H8222" ca="1">VLOOKUP(Cpi_[[#This Row],[Year]:[Month]],crudeoil[],3,FALSE)</f>
        <v>#VALUE!</v>
      </c>
    </row>
    <row r="8223" spans="1:8" hidden="1" x14ac:dyDescent="0.3">
      <c r="A8223" t="s">
        <v>33</v>
      </c>
      <c r="B8223">
        <v>2021</v>
      </c>
      <c r="C8223" t="s">
        <v>40</v>
      </c>
      <c r="D8223" t="s">
        <v>16</v>
      </c>
      <c r="E8223" t="e">
        <f>VLOOKUP(Cpi_[[#This Row],[Attribute]],#REF!,2,FALSE)</f>
        <v>#REF!</v>
      </c>
      <c r="F8223">
        <v>195.5</v>
      </c>
      <c r="G8223">
        <f>(Cpi_[[#This Row],[Value]]-F8222)/F8222</f>
        <v>0.16438356164383558</v>
      </c>
      <c r="H8223" t="e" cm="1" vm="1">
        <f t="array" aca="1" ref="H8223" ca="1">VLOOKUP(Cpi_[[#This Row],[Year]:[Month]],crudeoil[],3,FALSE)</f>
        <v>#VALUE!</v>
      </c>
    </row>
    <row r="8224" spans="1:8" hidden="1" x14ac:dyDescent="0.3">
      <c r="A8224" t="s">
        <v>33</v>
      </c>
      <c r="B8224">
        <v>2021</v>
      </c>
      <c r="C8224" t="s">
        <v>40</v>
      </c>
      <c r="D8224" t="s">
        <v>17</v>
      </c>
      <c r="E8224" t="e">
        <f>VLOOKUP(Cpi_[[#This Row],[Attribute]],#REF!,2,FALSE)</f>
        <v>#REF!</v>
      </c>
      <c r="F8224">
        <v>157.9</v>
      </c>
      <c r="G8224">
        <f>(Cpi_[[#This Row],[Value]]-F8223)/F8223</f>
        <v>-0.19232736572890022</v>
      </c>
      <c r="H8224" t="e" cm="1" vm="1">
        <f t="array" aca="1" ref="H8224" ca="1">VLOOKUP(Cpi_[[#This Row],[Year]:[Month]],crudeoil[],3,FALSE)</f>
        <v>#VALUE!</v>
      </c>
    </row>
    <row r="8225" spans="1:10" hidden="1" x14ac:dyDescent="0.3">
      <c r="A8225" t="s">
        <v>33</v>
      </c>
      <c r="B8225">
        <v>2021</v>
      </c>
      <c r="C8225" t="s">
        <v>40</v>
      </c>
      <c r="D8225" t="s">
        <v>18</v>
      </c>
      <c r="E8225" t="e">
        <f>VLOOKUP(Cpi_[[#This Row],[Attribute]],#REF!,2,FALSE)</f>
        <v>#REF!</v>
      </c>
      <c r="F8225">
        <v>141.9</v>
      </c>
      <c r="G8225">
        <f>(Cpi_[[#This Row],[Value]]-F8224)/F8224</f>
        <v>-0.10132995566814439</v>
      </c>
      <c r="H8225" t="e" cm="1" vm="1">
        <f t="array" aca="1" ref="H8225" ca="1">VLOOKUP(Cpi_[[#This Row],[Year]:[Month]],crudeoil[],3,FALSE)</f>
        <v>#VALUE!</v>
      </c>
    </row>
    <row r="8226" spans="1:10" hidden="1" x14ac:dyDescent="0.3">
      <c r="A8226" t="s">
        <v>33</v>
      </c>
      <c r="B8226">
        <v>2021</v>
      </c>
      <c r="C8226" t="s">
        <v>40</v>
      </c>
      <c r="D8226" t="s">
        <v>19</v>
      </c>
      <c r="E8226" t="e">
        <f>VLOOKUP(Cpi_[[#This Row],[Attribute]],#REF!,2,FALSE)</f>
        <v>#REF!</v>
      </c>
      <c r="F8226">
        <v>155.5</v>
      </c>
      <c r="G8226">
        <f>(Cpi_[[#This Row],[Value]]-F8225)/F8225</f>
        <v>9.5842142353770213E-2</v>
      </c>
      <c r="H8226" t="e" cm="1" vm="1">
        <f t="array" aca="1" ref="H8226" ca="1">VLOOKUP(Cpi_[[#This Row],[Year]:[Month]],crudeoil[],3,FALSE)</f>
        <v>#VALUE!</v>
      </c>
    </row>
    <row r="8227" spans="1:10" hidden="1" x14ac:dyDescent="0.3">
      <c r="A8227" t="s">
        <v>33</v>
      </c>
      <c r="B8227">
        <v>2021</v>
      </c>
      <c r="C8227" t="s">
        <v>40</v>
      </c>
      <c r="D8227" t="s">
        <v>20</v>
      </c>
      <c r="E8227" t="e">
        <f>VLOOKUP(Cpi_[[#This Row],[Attribute]],#REF!,2,FALSE)</f>
        <v>#REF!</v>
      </c>
      <c r="F8227">
        <v>161.5</v>
      </c>
      <c r="G8227">
        <f>(Cpi_[[#This Row],[Value]]-F8226)/F8226</f>
        <v>3.8585209003215437E-2</v>
      </c>
      <c r="H8227" t="e" cm="1" vm="1">
        <f t="array" aca="1" ref="H8227" ca="1">VLOOKUP(Cpi_[[#This Row],[Year]:[Month]],crudeoil[],3,FALSE)</f>
        <v>#VALUE!</v>
      </c>
    </row>
    <row r="8228" spans="1:10" hidden="1" x14ac:dyDescent="0.3">
      <c r="A8228" t="s">
        <v>33</v>
      </c>
      <c r="B8228">
        <v>2021</v>
      </c>
      <c r="C8228" t="s">
        <v>40</v>
      </c>
      <c r="D8228" t="s">
        <v>21</v>
      </c>
      <c r="E8228" t="e">
        <f>VLOOKUP(Cpi_[[#This Row],[Attribute]],#REF!,2,FALSE)</f>
        <v>#REF!</v>
      </c>
      <c r="F8228">
        <v>157.69999999999999</v>
      </c>
      <c r="G8228">
        <f>(Cpi_[[#This Row],[Value]]-F8227)/F8227</f>
        <v>-2.3529411764705951E-2</v>
      </c>
      <c r="H8228" t="e" cm="1" vm="1">
        <f t="array" aca="1" ref="H8228" ca="1">VLOOKUP(Cpi_[[#This Row],[Year]:[Month]],crudeoil[],3,FALSE)</f>
        <v>#VALUE!</v>
      </c>
    </row>
    <row r="8229" spans="1:10" hidden="1" x14ac:dyDescent="0.3">
      <c r="A8229" t="s">
        <v>33</v>
      </c>
      <c r="B8229">
        <v>2021</v>
      </c>
      <c r="C8229" t="s">
        <v>40</v>
      </c>
      <c r="D8229" t="s">
        <v>22</v>
      </c>
      <c r="E8229" t="e">
        <f>VLOOKUP(Cpi_[[#This Row],[Attribute]],#REF!,2,FALSE)</f>
        <v>#REF!</v>
      </c>
      <c r="F8229">
        <v>150.69999999999999</v>
      </c>
      <c r="G8229">
        <f>(Cpi_[[#This Row],[Value]]-F8228)/F8228</f>
        <v>-4.4388078630310718E-2</v>
      </c>
      <c r="H8229" t="e" cm="1" vm="1">
        <f t="array" aca="1" ref="H8229" ca="1">VLOOKUP(Cpi_[[#This Row],[Year]:[Month]],crudeoil[],3,FALSE)</f>
        <v>#VALUE!</v>
      </c>
    </row>
    <row r="8230" spans="1:10" hidden="1" x14ac:dyDescent="0.3">
      <c r="A8230" t="s">
        <v>33</v>
      </c>
      <c r="B8230">
        <v>2021</v>
      </c>
      <c r="C8230" t="s">
        <v>40</v>
      </c>
      <c r="D8230" t="s">
        <v>23</v>
      </c>
      <c r="E8230" t="e">
        <f>VLOOKUP(Cpi_[[#This Row],[Attribute]],#REF!,2,FALSE)</f>
        <v>#REF!</v>
      </c>
      <c r="F8230">
        <v>161.5</v>
      </c>
      <c r="G8230">
        <f>(Cpi_[[#This Row],[Value]]-F8229)/F8229</f>
        <v>7.1665560716655682E-2</v>
      </c>
      <c r="H8230" t="e" cm="1" vm="1">
        <f t="array" aca="1" ref="H8230" ca="1">VLOOKUP(Cpi_[[#This Row],[Year]:[Month]],crudeoil[],3,FALSE)</f>
        <v>#VALUE!</v>
      </c>
    </row>
    <row r="8231" spans="1:10" hidden="1" x14ac:dyDescent="0.3">
      <c r="A8231" t="s">
        <v>33</v>
      </c>
      <c r="B8231">
        <v>2021</v>
      </c>
      <c r="C8231" t="s">
        <v>40</v>
      </c>
      <c r="D8231" t="s">
        <v>24</v>
      </c>
      <c r="E8231" t="e">
        <f>VLOOKUP(Cpi_[[#This Row],[Attribute]],#REF!,2,FALSE)</f>
        <v>#REF!</v>
      </c>
      <c r="F8231">
        <v>149.5</v>
      </c>
      <c r="G8231">
        <f>(Cpi_[[#This Row],[Value]]-F8230)/F8230</f>
        <v>-7.4303405572755415E-2</v>
      </c>
      <c r="H8231" t="e" cm="1" vm="1">
        <f t="array" aca="1" ref="H8231" ca="1">VLOOKUP(Cpi_[[#This Row],[Year]:[Month]],crudeoil[],3,FALSE)</f>
        <v>#VALUE!</v>
      </c>
    </row>
    <row r="8232" spans="1:10" hidden="1" x14ac:dyDescent="0.3">
      <c r="A8232" t="s">
        <v>33</v>
      </c>
      <c r="B8232">
        <v>2021</v>
      </c>
      <c r="C8232" t="s">
        <v>40</v>
      </c>
      <c r="D8232" t="s">
        <v>25</v>
      </c>
      <c r="E8232" t="e">
        <f>VLOOKUP(Cpi_[[#This Row],[Attribute]],#REF!,2,FALSE)</f>
        <v>#REF!</v>
      </c>
      <c r="F8232">
        <v>151.19999999999999</v>
      </c>
      <c r="G8232">
        <f>(Cpi_[[#This Row],[Value]]-F8231)/F8231</f>
        <v>1.1371237458193904E-2</v>
      </c>
      <c r="H8232" t="e" cm="1" vm="1">
        <f t="array" aca="1" ref="H8232" ca="1">VLOOKUP(Cpi_[[#This Row],[Year]:[Month]],crudeoil[],3,FALSE)</f>
        <v>#VALUE!</v>
      </c>
    </row>
    <row r="8233" spans="1:10" hidden="1" x14ac:dyDescent="0.3">
      <c r="A8233" t="s">
        <v>33</v>
      </c>
      <c r="B8233">
        <v>2021</v>
      </c>
      <c r="C8233" t="s">
        <v>40</v>
      </c>
      <c r="D8233" t="s">
        <v>26</v>
      </c>
      <c r="E8233" t="e">
        <f>VLOOKUP(Cpi_[[#This Row],[Attribute]],#REF!,2,FALSE)</f>
        <v>#REF!</v>
      </c>
      <c r="F8233">
        <v>160.30000000000001</v>
      </c>
      <c r="G8233">
        <f>(Cpi_[[#This Row],[Value]]-F8232)/F8232</f>
        <v>6.0185185185185341E-2</v>
      </c>
      <c r="H8233" t="e" cm="1" vm="1">
        <f t="array" aca="1" ref="H8233" ca="1">VLOOKUP(Cpi_[[#This Row],[Year]:[Month]],crudeoil[],3,FALSE)</f>
        <v>#VALUE!</v>
      </c>
    </row>
    <row r="8234" spans="1:10" hidden="1" x14ac:dyDescent="0.3">
      <c r="A8234" t="s">
        <v>33</v>
      </c>
      <c r="B8234">
        <v>2021</v>
      </c>
      <c r="C8234" t="s">
        <v>40</v>
      </c>
      <c r="D8234" t="s">
        <v>27</v>
      </c>
      <c r="E8234" t="e">
        <f>VLOOKUP(Cpi_[[#This Row],[Attribute]],#REF!,2,FALSE)</f>
        <v>#REF!</v>
      </c>
      <c r="F8234">
        <v>159.6</v>
      </c>
      <c r="G8234">
        <f>(Cpi_[[#This Row],[Value]]-F8233)/F8233</f>
        <v>-4.3668122270743423E-3</v>
      </c>
      <c r="H8234" t="e" cm="1" vm="1">
        <f t="array" aca="1" ref="H8234" ca="1">VLOOKUP(Cpi_[[#This Row],[Year]:[Month]],crudeoil[],3,FALSE)</f>
        <v>#VALUE!</v>
      </c>
    </row>
    <row r="8235" spans="1:10" hidden="1" x14ac:dyDescent="0.3">
      <c r="A8235" t="s">
        <v>33</v>
      </c>
      <c r="B8235">
        <v>2021</v>
      </c>
      <c r="C8235" t="s">
        <v>40</v>
      </c>
      <c r="D8235" t="s">
        <v>28</v>
      </c>
      <c r="E8235" t="e">
        <f>VLOOKUP(Cpi_[[#This Row],[Attribute]],#REF!,2,FALSE)</f>
        <v>#REF!</v>
      </c>
      <c r="F8235">
        <v>155</v>
      </c>
      <c r="G8235">
        <f>(Cpi_[[#This Row],[Value]]-F8234)/F8234</f>
        <v>-2.8822055137844575E-2</v>
      </c>
      <c r="H8235" t="e" cm="1" vm="1">
        <f t="array" aca="1" ref="H8235" ca="1">VLOOKUP(Cpi_[[#This Row],[Year]:[Month]],crudeoil[],3,FALSE)</f>
        <v>#VALUE!</v>
      </c>
    </row>
    <row r="8236" spans="1:10" hidden="1" x14ac:dyDescent="0.3">
      <c r="A8236" t="s">
        <v>33</v>
      </c>
      <c r="B8236">
        <v>2021</v>
      </c>
      <c r="C8236" t="s">
        <v>40</v>
      </c>
      <c r="D8236" t="s">
        <v>29</v>
      </c>
      <c r="E8236" t="e" cm="1">
        <f t="array" aca="1" ref="E8236" ca="1">VLGeneral indexGeneral indexKUP(Cpi_[[#This Row],[Attribute]],#REF!,2,FALSE)</f>
        <v>#NAME?</v>
      </c>
      <c r="F8236">
        <v>161.80000000000001</v>
      </c>
      <c r="G8236">
        <f>(Cpi_[[#This Row],[Value]]-F8235)/F8235</f>
        <v>4.3870967741935558E-2</v>
      </c>
      <c r="H8236" t="e" cm="1" vm="1">
        <f t="array" aca="1" ref="H8236" ca="1">VLOOKUP(Cpi_[[#This Row],[Year]:[Month]],crudeoil[],3,FALSE)</f>
        <v>#VALUE!</v>
      </c>
    </row>
    <row r="8237" spans="1:10" hidden="1" x14ac:dyDescent="0.3">
      <c r="A8237" t="s">
        <v>34</v>
      </c>
      <c r="B8237">
        <v>2021</v>
      </c>
      <c r="C8237" t="s">
        <v>40</v>
      </c>
      <c r="D8237" t="s">
        <v>3</v>
      </c>
      <c r="E8237" t="e">
        <f>VLOOKUP(Cpi_[[#This Row],[Attribute]],#REF!,2,FALSE)</f>
        <v>#REF!</v>
      </c>
      <c r="F8237">
        <v>146.4</v>
      </c>
      <c r="G8237">
        <f>(Cpi_[[#This Row],[Value]]-F8236)/F8236</f>
        <v>-9.5179233621755288E-2</v>
      </c>
      <c r="H8237" t="e" cm="1" vm="1">
        <f t="array" aca="1" ref="H8237" ca="1">VLOOKUP(Cpi_[[#This Row],[Year]:[Month]],crudeoil[],3,FALSE)</f>
        <v>#VALUE!</v>
      </c>
    </row>
    <row r="8238" spans="1:10" x14ac:dyDescent="0.3">
      <c r="A8238" t="s">
        <v>34</v>
      </c>
      <c r="B8238">
        <v>2021</v>
      </c>
      <c r="C8238" t="s">
        <v>40</v>
      </c>
      <c r="D8238" t="s">
        <v>4</v>
      </c>
      <c r="E8238" t="e">
        <f>VLOOKUP(Cpi_[[#This Row],[Attribute]],#REF!,2,FALSE)</f>
        <v>#REF!</v>
      </c>
      <c r="F8238">
        <v>206.8</v>
      </c>
      <c r="G8238" s="42">
        <f>(Cpi_[[#This Row],[Value]]-F8237)/F8237</f>
        <v>0.41256830601092898</v>
      </c>
      <c r="H8238" t="str">
        <f>LEFT(Cpi_[[#This Row],[Month]],3)</f>
        <v>Jul</v>
      </c>
      <c r="I8238" t="str">
        <f>RIGHT(Cpi_[[#This Row],[Year]],2)</f>
        <v>21</v>
      </c>
      <c r="J8238" t="str">
        <f>Cpi_[[#This Row],[Column3]]&amp;"-"&amp;Cpi_[[#This Row],[Column4]]</f>
        <v>Jul-21</v>
      </c>
    </row>
    <row r="8239" spans="1:10" x14ac:dyDescent="0.3">
      <c r="A8239" t="s">
        <v>34</v>
      </c>
      <c r="B8239">
        <v>2021</v>
      </c>
      <c r="C8239" t="s">
        <v>40</v>
      </c>
      <c r="D8239" t="s">
        <v>5</v>
      </c>
      <c r="E8239" t="e">
        <f>VLOOKUP(Cpi_[[#This Row],[Attribute]],#REF!,2,FALSE)</f>
        <v>#REF!</v>
      </c>
      <c r="F8239">
        <v>182.2</v>
      </c>
      <c r="G8239" s="42">
        <f>(Cpi_[[#This Row],[Value]]-F8238)/F8238</f>
        <v>-0.11895551257253395</v>
      </c>
      <c r="H8239" t="str">
        <f>LEFT(Cpi_[[#This Row],[Month]],3)</f>
        <v>Jul</v>
      </c>
      <c r="I8239" t="str">
        <f>RIGHT(Cpi_[[#This Row],[Year]],2)</f>
        <v>21</v>
      </c>
      <c r="J8239" t="str">
        <f>Cpi_[[#This Row],[Column3]]&amp;"-"&amp;Cpi_[[#This Row],[Column4]]</f>
        <v>Jul-21</v>
      </c>
    </row>
    <row r="8240" spans="1:10" x14ac:dyDescent="0.3">
      <c r="A8240" t="s">
        <v>34</v>
      </c>
      <c r="B8240">
        <v>2021</v>
      </c>
      <c r="C8240" t="s">
        <v>40</v>
      </c>
      <c r="D8240" t="s">
        <v>6</v>
      </c>
      <c r="E8240" t="e">
        <f>VLOOKUP(Cpi_[[#This Row],[Attribute]],#REF!,2,FALSE)</f>
        <v>#REF!</v>
      </c>
      <c r="F8240">
        <v>157.5</v>
      </c>
      <c r="G8240" s="42">
        <f>(Cpi_[[#This Row],[Value]]-F8239)/F8239</f>
        <v>-0.13556531284302958</v>
      </c>
      <c r="H8240" t="str">
        <f>LEFT(Cpi_[[#This Row],[Month]],3)</f>
        <v>Jul</v>
      </c>
      <c r="I8240" t="str">
        <f>RIGHT(Cpi_[[#This Row],[Year]],2)</f>
        <v>21</v>
      </c>
      <c r="J8240" t="str">
        <f>Cpi_[[#This Row],[Column3]]&amp;"-"&amp;Cpi_[[#This Row],[Column4]]</f>
        <v>Jul-21</v>
      </c>
    </row>
    <row r="8241" spans="1:10" x14ac:dyDescent="0.3">
      <c r="A8241" t="s">
        <v>34</v>
      </c>
      <c r="B8241">
        <v>2021</v>
      </c>
      <c r="C8241" t="s">
        <v>40</v>
      </c>
      <c r="D8241" t="s">
        <v>7</v>
      </c>
      <c r="E8241" t="e">
        <f>VLOOKUP(Cpi_[[#This Row],[Attribute]],#REF!,2,FALSE)</f>
        <v>#REF!</v>
      </c>
      <c r="F8241">
        <v>182.1</v>
      </c>
      <c r="G8241" s="42">
        <f>(Cpi_[[#This Row],[Value]]-F8240)/F8240</f>
        <v>0.15619047619047616</v>
      </c>
      <c r="H8241" t="str">
        <f>LEFT(Cpi_[[#This Row],[Month]],3)</f>
        <v>Jul</v>
      </c>
      <c r="I8241" t="str">
        <f>RIGHT(Cpi_[[#This Row],[Year]],2)</f>
        <v>21</v>
      </c>
      <c r="J8241" t="str">
        <f>Cpi_[[#This Row],[Column3]]&amp;"-"&amp;Cpi_[[#This Row],[Column4]]</f>
        <v>Jul-21</v>
      </c>
    </row>
    <row r="8242" spans="1:10" x14ac:dyDescent="0.3">
      <c r="A8242" t="s">
        <v>34</v>
      </c>
      <c r="B8242">
        <v>2021</v>
      </c>
      <c r="C8242" t="s">
        <v>40</v>
      </c>
      <c r="D8242" t="s">
        <v>8</v>
      </c>
      <c r="E8242" t="e">
        <f>VLOOKUP(Cpi_[[#This Row],[Attribute]],#REF!,2,FALSE)</f>
        <v>#REF!</v>
      </c>
      <c r="F8242">
        <v>163.9</v>
      </c>
      <c r="G8242" s="42">
        <f>(Cpi_[[#This Row],[Value]]-F8241)/F8241</f>
        <v>-9.9945085118066934E-2</v>
      </c>
      <c r="H8242" t="str">
        <f>LEFT(Cpi_[[#This Row],[Month]],3)</f>
        <v>Jul</v>
      </c>
      <c r="I8242" t="str">
        <f>RIGHT(Cpi_[[#This Row],[Year]],2)</f>
        <v>21</v>
      </c>
      <c r="J8242" t="str">
        <f>Cpi_[[#This Row],[Column3]]&amp;"-"&amp;Cpi_[[#This Row],[Column4]]</f>
        <v>Jul-21</v>
      </c>
    </row>
    <row r="8243" spans="1:10" x14ac:dyDescent="0.3">
      <c r="A8243" t="s">
        <v>34</v>
      </c>
      <c r="B8243">
        <v>2021</v>
      </c>
      <c r="C8243" t="s">
        <v>40</v>
      </c>
      <c r="D8243" t="s">
        <v>9</v>
      </c>
      <c r="E8243" t="e">
        <f>VLOOKUP(Cpi_[[#This Row],[Attribute]],#REF!,2,FALSE)</f>
        <v>#REF!</v>
      </c>
      <c r="F8243">
        <v>164.2</v>
      </c>
      <c r="G8243" s="42">
        <f>(Cpi_[[#This Row],[Value]]-F8242)/F8242</f>
        <v>1.8303843807198471E-3</v>
      </c>
      <c r="H8243" t="str">
        <f>LEFT(Cpi_[[#This Row],[Month]],3)</f>
        <v>Jul</v>
      </c>
      <c r="I8243" t="str">
        <f>RIGHT(Cpi_[[#This Row],[Year]],2)</f>
        <v>21</v>
      </c>
      <c r="J8243" t="str">
        <f>Cpi_[[#This Row],[Column3]]&amp;"-"&amp;Cpi_[[#This Row],[Column4]]</f>
        <v>Jul-21</v>
      </c>
    </row>
    <row r="8244" spans="1:10" x14ac:dyDescent="0.3">
      <c r="A8244" t="s">
        <v>34</v>
      </c>
      <c r="B8244">
        <v>2021</v>
      </c>
      <c r="C8244" t="s">
        <v>40</v>
      </c>
      <c r="D8244" t="s">
        <v>10</v>
      </c>
      <c r="E8244" t="e">
        <f>VLOOKUP(Cpi_[[#This Row],[Attribute]],#REF!,2,FALSE)</f>
        <v>#REF!</v>
      </c>
      <c r="F8244">
        <v>164</v>
      </c>
      <c r="G8244" s="42">
        <f>(Cpi_[[#This Row],[Value]]-F8243)/F8243</f>
        <v>-1.2180267965894557E-3</v>
      </c>
      <c r="H8244" t="str">
        <f>LEFT(Cpi_[[#This Row],[Month]],3)</f>
        <v>Jul</v>
      </c>
      <c r="I8244" t="str">
        <f>RIGHT(Cpi_[[#This Row],[Year]],2)</f>
        <v>21</v>
      </c>
      <c r="J8244" t="str">
        <f>Cpi_[[#This Row],[Column3]]&amp;"-"&amp;Cpi_[[#This Row],[Column4]]</f>
        <v>Jul-21</v>
      </c>
    </row>
    <row r="8245" spans="1:10" x14ac:dyDescent="0.3">
      <c r="A8245" t="s">
        <v>34</v>
      </c>
      <c r="B8245">
        <v>2021</v>
      </c>
      <c r="C8245" t="s">
        <v>40</v>
      </c>
      <c r="D8245" t="s">
        <v>11</v>
      </c>
      <c r="E8245" t="e">
        <f>VLOOKUP(Cpi_[[#This Row],[Attribute]],#REF!,2,FALSE)</f>
        <v>#REF!</v>
      </c>
      <c r="F8245">
        <v>114.5</v>
      </c>
      <c r="G8245" s="42">
        <f>(Cpi_[[#This Row],[Value]]-F8244)/F8244</f>
        <v>-0.30182926829268292</v>
      </c>
      <c r="H8245" t="str">
        <f>LEFT(Cpi_[[#This Row],[Month]],3)</f>
        <v>Jul</v>
      </c>
      <c r="I8245" t="str">
        <f>RIGHT(Cpi_[[#This Row],[Year]],2)</f>
        <v>21</v>
      </c>
      <c r="J8245" t="str">
        <f>Cpi_[[#This Row],[Column3]]&amp;"-"&amp;Cpi_[[#This Row],[Column4]]</f>
        <v>Jul-21</v>
      </c>
    </row>
    <row r="8246" spans="1:10" x14ac:dyDescent="0.3">
      <c r="A8246" t="s">
        <v>34</v>
      </c>
      <c r="B8246">
        <v>2021</v>
      </c>
      <c r="C8246" t="s">
        <v>40</v>
      </c>
      <c r="D8246" t="s">
        <v>12</v>
      </c>
      <c r="E8246" t="e">
        <f>VLOOKUP(Cpi_[[#This Row],[Attribute]],#REF!,2,FALSE)</f>
        <v>#REF!</v>
      </c>
      <c r="F8246">
        <v>168.3</v>
      </c>
      <c r="G8246" s="42">
        <f>(Cpi_[[#This Row],[Value]]-F8245)/F8245</f>
        <v>0.46986899563318785</v>
      </c>
      <c r="H8246" t="str">
        <f>LEFT(Cpi_[[#This Row],[Month]],3)</f>
        <v>Jul</v>
      </c>
      <c r="I8246" t="str">
        <f>RIGHT(Cpi_[[#This Row],[Year]],2)</f>
        <v>21</v>
      </c>
      <c r="J8246" t="str">
        <f>Cpi_[[#This Row],[Column3]]&amp;"-"&amp;Cpi_[[#This Row],[Column4]]</f>
        <v>Jul-21</v>
      </c>
    </row>
    <row r="8247" spans="1:10" x14ac:dyDescent="0.3">
      <c r="A8247" t="s">
        <v>34</v>
      </c>
      <c r="B8247">
        <v>2021</v>
      </c>
      <c r="C8247" t="s">
        <v>40</v>
      </c>
      <c r="D8247" t="s">
        <v>13</v>
      </c>
      <c r="E8247" t="e">
        <f>VLOOKUP(Cpi_[[#This Row],[Attribute]],#REF!,2,FALSE)</f>
        <v>#REF!</v>
      </c>
      <c r="F8247">
        <v>160.9</v>
      </c>
      <c r="G8247" s="42">
        <f>(Cpi_[[#This Row],[Value]]-F8246)/F8246</f>
        <v>-4.3969102792632234E-2</v>
      </c>
      <c r="H8247" t="str">
        <f>LEFT(Cpi_[[#This Row],[Month]],3)</f>
        <v>Jul</v>
      </c>
      <c r="I8247" t="str">
        <f>RIGHT(Cpi_[[#This Row],[Year]],2)</f>
        <v>21</v>
      </c>
      <c r="J8247" t="str">
        <f>Cpi_[[#This Row],[Column3]]&amp;"-"&amp;Cpi_[[#This Row],[Column4]]</f>
        <v>Jul-21</v>
      </c>
    </row>
    <row r="8248" spans="1:10" x14ac:dyDescent="0.3">
      <c r="A8248" t="s">
        <v>34</v>
      </c>
      <c r="B8248">
        <v>2021</v>
      </c>
      <c r="C8248" t="s">
        <v>40</v>
      </c>
      <c r="D8248" t="s">
        <v>14</v>
      </c>
      <c r="E8248" t="e">
        <f>VLOOKUP(Cpi_[[#This Row],[Attribute]],#REF!,2,FALSE)</f>
        <v>#REF!</v>
      </c>
      <c r="F8248">
        <v>172.2</v>
      </c>
      <c r="G8248" s="42">
        <f>(Cpi_[[#This Row],[Value]]-F8247)/F8247</f>
        <v>7.0229956494717111E-2</v>
      </c>
      <c r="H8248" t="str">
        <f>LEFT(Cpi_[[#This Row],[Month]],3)</f>
        <v>Jul</v>
      </c>
      <c r="I8248" t="str">
        <f>RIGHT(Cpi_[[#This Row],[Year]],2)</f>
        <v>21</v>
      </c>
      <c r="J8248" t="str">
        <f>Cpi_[[#This Row],[Column3]]&amp;"-"&amp;Cpi_[[#This Row],[Column4]]</f>
        <v>Jul-21</v>
      </c>
    </row>
    <row r="8249" spans="1:10" x14ac:dyDescent="0.3">
      <c r="A8249" t="s">
        <v>34</v>
      </c>
      <c r="B8249">
        <v>2021</v>
      </c>
      <c r="C8249" t="s">
        <v>40</v>
      </c>
      <c r="D8249" t="s">
        <v>15</v>
      </c>
      <c r="E8249" t="e">
        <f>VLOOKUP(Cpi_[[#This Row],[Attribute]],#REF!,2,FALSE)</f>
        <v>#REF!</v>
      </c>
      <c r="F8249">
        <v>164</v>
      </c>
      <c r="G8249" s="42">
        <f>(Cpi_[[#This Row],[Value]]-F8248)/F8248</f>
        <v>-4.7619047619047554E-2</v>
      </c>
      <c r="H8249" t="str">
        <f>LEFT(Cpi_[[#This Row],[Month]],3)</f>
        <v>Jul</v>
      </c>
      <c r="I8249" t="str">
        <f>RIGHT(Cpi_[[#This Row],[Year]],2)</f>
        <v>21</v>
      </c>
      <c r="J8249" t="str">
        <f>Cpi_[[#This Row],[Column3]]&amp;"-"&amp;Cpi_[[#This Row],[Column4]]</f>
        <v>Jul-21</v>
      </c>
    </row>
    <row r="8250" spans="1:10" hidden="1" x14ac:dyDescent="0.3">
      <c r="A8250" t="s">
        <v>34</v>
      </c>
      <c r="B8250">
        <v>2021</v>
      </c>
      <c r="C8250" t="s">
        <v>40</v>
      </c>
      <c r="D8250" t="s">
        <v>16</v>
      </c>
      <c r="E8250" t="e">
        <f>VLOOKUP(Cpi_[[#This Row],[Attribute]],#REF!,2,FALSE)</f>
        <v>#REF!</v>
      </c>
      <c r="F8250">
        <v>191.2</v>
      </c>
      <c r="G8250">
        <f>(Cpi_[[#This Row],[Value]]-F8249)/F8249</f>
        <v>0.16585365853658529</v>
      </c>
      <c r="H8250" t="e" cm="1" vm="1">
        <f t="array" aca="1" ref="H8250" ca="1">VLOOKUP(Cpi_[[#This Row],[Year]:[Month]],crudeoil[],3,FALSE)</f>
        <v>#VALUE!</v>
      </c>
    </row>
    <row r="8251" spans="1:10" hidden="1" x14ac:dyDescent="0.3">
      <c r="A8251" t="s">
        <v>34</v>
      </c>
      <c r="B8251">
        <v>2021</v>
      </c>
      <c r="C8251" t="s">
        <v>40</v>
      </c>
      <c r="D8251" t="s">
        <v>17</v>
      </c>
      <c r="E8251" t="e">
        <f>VLOOKUP(Cpi_[[#This Row],[Attribute]],#REF!,2,FALSE)</f>
        <v>#REF!</v>
      </c>
      <c r="F8251">
        <v>162.80000000000001</v>
      </c>
      <c r="G8251">
        <f>(Cpi_[[#This Row],[Value]]-F8250)/F8250</f>
        <v>-0.14853556485355637</v>
      </c>
      <c r="H8251" t="e" cm="1" vm="1">
        <f t="array" aca="1" ref="H8251" ca="1">VLOOKUP(Cpi_[[#This Row],[Year]:[Month]],crudeoil[],3,FALSE)</f>
        <v>#VALUE!</v>
      </c>
    </row>
    <row r="8252" spans="1:10" hidden="1" x14ac:dyDescent="0.3">
      <c r="A8252" t="s">
        <v>34</v>
      </c>
      <c r="B8252">
        <v>2021</v>
      </c>
      <c r="C8252" t="s">
        <v>40</v>
      </c>
      <c r="D8252" t="s">
        <v>18</v>
      </c>
      <c r="E8252" t="e">
        <f>VLOOKUP(Cpi_[[#This Row],[Attribute]],#REF!,2,FALSE)</f>
        <v>#REF!</v>
      </c>
      <c r="F8252">
        <v>153.1</v>
      </c>
      <c r="G8252">
        <f>(Cpi_[[#This Row],[Value]]-F8251)/F8251</f>
        <v>-5.958230958230968E-2</v>
      </c>
      <c r="H8252" t="e" cm="1" vm="1">
        <f t="array" aca="1" ref="H8252" ca="1">VLOOKUP(Cpi_[[#This Row],[Year]:[Month]],crudeoil[],3,FALSE)</f>
        <v>#VALUE!</v>
      </c>
    </row>
    <row r="8253" spans="1:10" hidden="1" x14ac:dyDescent="0.3">
      <c r="A8253" t="s">
        <v>34</v>
      </c>
      <c r="B8253">
        <v>2021</v>
      </c>
      <c r="C8253" t="s">
        <v>40</v>
      </c>
      <c r="D8253" t="s">
        <v>19</v>
      </c>
      <c r="E8253" t="e">
        <f>VLOOKUP(Cpi_[[#This Row],[Attribute]],#REF!,2,FALSE)</f>
        <v>#REF!</v>
      </c>
      <c r="F8253">
        <v>161.4</v>
      </c>
      <c r="G8253">
        <f>(Cpi_[[#This Row],[Value]]-F8252)/F8252</f>
        <v>5.4212932723710069E-2</v>
      </c>
      <c r="H8253" t="e" cm="1" vm="1">
        <f t="array" aca="1" ref="H8253" ca="1">VLOOKUP(Cpi_[[#This Row],[Year]:[Month]],crudeoil[],3,FALSE)</f>
        <v>#VALUE!</v>
      </c>
    </row>
    <row r="8254" spans="1:10" hidden="1" x14ac:dyDescent="0.3">
      <c r="A8254" t="s">
        <v>34</v>
      </c>
      <c r="B8254">
        <v>2021</v>
      </c>
      <c r="C8254" t="s">
        <v>40</v>
      </c>
      <c r="D8254" t="s">
        <v>20</v>
      </c>
      <c r="E8254" t="e">
        <f>VLOOKUP(Cpi_[[#This Row],[Attribute]],#REF!,2,FALSE)</f>
        <v>#REF!</v>
      </c>
      <c r="F8254">
        <v>161.5</v>
      </c>
      <c r="G8254">
        <f>(Cpi_[[#This Row],[Value]]-F8253)/F8253</f>
        <v>6.195786864931494E-4</v>
      </c>
      <c r="H8254" t="e" cm="1" vm="1">
        <f t="array" aca="1" ref="H8254" ca="1">VLOOKUP(Cpi_[[#This Row],[Year]:[Month]],crudeoil[],3,FALSE)</f>
        <v>#VALUE!</v>
      </c>
    </row>
    <row r="8255" spans="1:10" hidden="1" x14ac:dyDescent="0.3">
      <c r="A8255" t="s">
        <v>34</v>
      </c>
      <c r="B8255">
        <v>2021</v>
      </c>
      <c r="C8255" t="s">
        <v>40</v>
      </c>
      <c r="D8255" t="s">
        <v>21</v>
      </c>
      <c r="E8255" t="e">
        <f>VLOOKUP(Cpi_[[#This Row],[Attribute]],#REF!,2,FALSE)</f>
        <v>#REF!</v>
      </c>
      <c r="F8255">
        <v>160.69999999999999</v>
      </c>
      <c r="G8255">
        <f>(Cpi_[[#This Row],[Value]]-F8254)/F8254</f>
        <v>-4.9535603715170984E-3</v>
      </c>
      <c r="H8255" t="e" cm="1" vm="1">
        <f t="array" aca="1" ref="H8255" ca="1">VLOOKUP(Cpi_[[#This Row],[Year]:[Month]],crudeoil[],3,FALSE)</f>
        <v>#VALUE!</v>
      </c>
    </row>
    <row r="8256" spans="1:10" hidden="1" x14ac:dyDescent="0.3">
      <c r="A8256" t="s">
        <v>34</v>
      </c>
      <c r="B8256">
        <v>2021</v>
      </c>
      <c r="C8256" t="s">
        <v>40</v>
      </c>
      <c r="D8256" t="s">
        <v>22</v>
      </c>
      <c r="E8256" t="e">
        <f>VLOOKUP(Cpi_[[#This Row],[Attribute]],#REF!,2,FALSE)</f>
        <v>#REF!</v>
      </c>
      <c r="F8256">
        <v>155.80000000000001</v>
      </c>
      <c r="G8256">
        <f>(Cpi_[[#This Row],[Value]]-F8255)/F8255</f>
        <v>-3.0491599253266818E-2</v>
      </c>
      <c r="H8256" t="e" cm="1" vm="1">
        <f t="array" aca="1" ref="H8256" ca="1">VLOOKUP(Cpi_[[#This Row],[Year]:[Month]],crudeoil[],3,FALSE)</f>
        <v>#VALUE!</v>
      </c>
    </row>
    <row r="8257" spans="1:8" hidden="1" x14ac:dyDescent="0.3">
      <c r="A8257" t="s">
        <v>34</v>
      </c>
      <c r="B8257">
        <v>2021</v>
      </c>
      <c r="C8257" t="s">
        <v>40</v>
      </c>
      <c r="D8257" t="s">
        <v>23</v>
      </c>
      <c r="E8257" t="e">
        <f>VLOOKUP(Cpi_[[#This Row],[Attribute]],#REF!,2,FALSE)</f>
        <v>#REF!</v>
      </c>
      <c r="F8257">
        <v>167</v>
      </c>
      <c r="G8257">
        <f>(Cpi_[[#This Row],[Value]]-F8256)/F8256</f>
        <v>7.1887034659820201E-2</v>
      </c>
      <c r="H8257" t="e" cm="1" vm="1">
        <f t="array" aca="1" ref="H8257" ca="1">VLOOKUP(Cpi_[[#This Row],[Year]:[Month]],crudeoil[],3,FALSE)</f>
        <v>#VALUE!</v>
      </c>
    </row>
    <row r="8258" spans="1:8" hidden="1" x14ac:dyDescent="0.3">
      <c r="A8258" t="s">
        <v>34</v>
      </c>
      <c r="B8258">
        <v>2021</v>
      </c>
      <c r="C8258" t="s">
        <v>40</v>
      </c>
      <c r="D8258" t="s">
        <v>24</v>
      </c>
      <c r="E8258" t="e">
        <f>VLOOKUP(Cpi_[[#This Row],[Attribute]],#REF!,2,FALSE)</f>
        <v>#REF!</v>
      </c>
      <c r="F8258">
        <v>153.1</v>
      </c>
      <c r="G8258">
        <f>(Cpi_[[#This Row],[Value]]-F8257)/F8257</f>
        <v>-8.3233532934131771E-2</v>
      </c>
      <c r="H8258" t="e" cm="1" vm="1">
        <f t="array" aca="1" ref="H8258" ca="1">VLOOKUP(Cpi_[[#This Row],[Year]:[Month]],crudeoil[],3,FALSE)</f>
        <v>#VALUE!</v>
      </c>
    </row>
    <row r="8259" spans="1:8" hidden="1" x14ac:dyDescent="0.3">
      <c r="A8259" t="s">
        <v>34</v>
      </c>
      <c r="B8259">
        <v>2021</v>
      </c>
      <c r="C8259" t="s">
        <v>40</v>
      </c>
      <c r="D8259" t="s">
        <v>25</v>
      </c>
      <c r="E8259" t="e">
        <f>VLOOKUP(Cpi_[[#This Row],[Attribute]],#REF!,2,FALSE)</f>
        <v>#REF!</v>
      </c>
      <c r="F8259">
        <v>155.30000000000001</v>
      </c>
      <c r="G8259">
        <f>(Cpi_[[#This Row],[Value]]-F8258)/F8258</f>
        <v>1.4369693011103966E-2</v>
      </c>
      <c r="H8259" t="e" cm="1" vm="1">
        <f t="array" aca="1" ref="H8259" ca="1">VLOOKUP(Cpi_[[#This Row],[Year]:[Month]],crudeoil[],3,FALSE)</f>
        <v>#VALUE!</v>
      </c>
    </row>
    <row r="8260" spans="1:8" hidden="1" x14ac:dyDescent="0.3">
      <c r="A8260" t="s">
        <v>34</v>
      </c>
      <c r="B8260">
        <v>2021</v>
      </c>
      <c r="C8260" t="s">
        <v>40</v>
      </c>
      <c r="D8260" t="s">
        <v>26</v>
      </c>
      <c r="E8260" t="e">
        <f>VLOOKUP(Cpi_[[#This Row],[Attribute]],#REF!,2,FALSE)</f>
        <v>#REF!</v>
      </c>
      <c r="F8260">
        <v>163.19999999999999</v>
      </c>
      <c r="G8260">
        <f>(Cpi_[[#This Row],[Value]]-F8259)/F8259</f>
        <v>5.0869285254346273E-2</v>
      </c>
      <c r="H8260" t="e" cm="1" vm="1">
        <f t="array" aca="1" ref="H8260" ca="1">VLOOKUP(Cpi_[[#This Row],[Year]:[Month]],crudeoil[],3,FALSE)</f>
        <v>#VALUE!</v>
      </c>
    </row>
    <row r="8261" spans="1:8" hidden="1" x14ac:dyDescent="0.3">
      <c r="A8261" t="s">
        <v>34</v>
      </c>
      <c r="B8261">
        <v>2021</v>
      </c>
      <c r="C8261" t="s">
        <v>40</v>
      </c>
      <c r="D8261" t="s">
        <v>27</v>
      </c>
      <c r="E8261" t="e">
        <f>VLOOKUP(Cpi_[[#This Row],[Attribute]],#REF!,2,FALSE)</f>
        <v>#REF!</v>
      </c>
      <c r="F8261">
        <v>160.1</v>
      </c>
      <c r="G8261">
        <f>(Cpi_[[#This Row],[Value]]-F8260)/F8260</f>
        <v>-1.8995098039215653E-2</v>
      </c>
      <c r="H8261" t="e" cm="1" vm="1">
        <f t="array" aca="1" ref="H8261" ca="1">VLOOKUP(Cpi_[[#This Row],[Year]:[Month]],crudeoil[],3,FALSE)</f>
        <v>#VALUE!</v>
      </c>
    </row>
    <row r="8262" spans="1:8" hidden="1" x14ac:dyDescent="0.3">
      <c r="A8262" t="s">
        <v>34</v>
      </c>
      <c r="B8262">
        <v>2021</v>
      </c>
      <c r="C8262" t="s">
        <v>40</v>
      </c>
      <c r="D8262" t="s">
        <v>28</v>
      </c>
      <c r="E8262" t="e">
        <f>VLOOKUP(Cpi_[[#This Row],[Attribute]],#REF!,2,FALSE)</f>
        <v>#REF!</v>
      </c>
      <c r="F8262">
        <v>159</v>
      </c>
      <c r="G8262">
        <f>(Cpi_[[#This Row],[Value]]-F8261)/F8261</f>
        <v>-6.8707058088694215E-3</v>
      </c>
      <c r="H8262" t="e" cm="1" vm="1">
        <f t="array" aca="1" ref="H8262" ca="1">VLOOKUP(Cpi_[[#This Row],[Year]:[Month]],crudeoil[],3,FALSE)</f>
        <v>#VALUE!</v>
      </c>
    </row>
    <row r="8263" spans="1:8" hidden="1" x14ac:dyDescent="0.3">
      <c r="A8263" t="s">
        <v>34</v>
      </c>
      <c r="B8263">
        <v>2021</v>
      </c>
      <c r="C8263" t="s">
        <v>40</v>
      </c>
      <c r="D8263" t="s">
        <v>29</v>
      </c>
      <c r="E8263" t="e" cm="1">
        <f t="array" aca="1" ref="E8263" ca="1">VLGeneral indexGeneral indexKUP(Cpi_[[#This Row],[Attribute]],#REF!,2,FALSE)</f>
        <v>#NAME?</v>
      </c>
      <c r="F8263">
        <v>162.5</v>
      </c>
      <c r="G8263">
        <f>(Cpi_[[#This Row],[Value]]-F8262)/F8262</f>
        <v>2.20125786163522E-2</v>
      </c>
      <c r="H8263" t="e" cm="1" vm="1">
        <f t="array" aca="1" ref="H8263" ca="1">VLOOKUP(Cpi_[[#This Row],[Year]:[Month]],crudeoil[],3,FALSE)</f>
        <v>#VALUE!</v>
      </c>
    </row>
    <row r="8264" spans="1:8" hidden="1" x14ac:dyDescent="0.3">
      <c r="A8264" t="s">
        <v>30</v>
      </c>
      <c r="B8264">
        <v>2021</v>
      </c>
      <c r="C8264" t="s">
        <v>41</v>
      </c>
      <c r="D8264" t="s">
        <v>3</v>
      </c>
      <c r="E8264" t="e">
        <f>VLOOKUP(Cpi_[[#This Row],[Attribute]],#REF!,2,FALSE)</f>
        <v>#REF!</v>
      </c>
      <c r="F8264">
        <v>144.9</v>
      </c>
      <c r="G8264">
        <f>(Cpi_[[#This Row],[Value]]-F8263)/F8263</f>
        <v>-0.10830769230769227</v>
      </c>
      <c r="H8264" t="e" cm="1" vm="1">
        <f t="array" aca="1" ref="H8264" ca="1">VLOOKUP(Cpi_[[#This Row],[Year]:[Month]],crudeoil[],3,FALSE)</f>
        <v>#VALUE!</v>
      </c>
    </row>
    <row r="8265" spans="1:8" hidden="1" x14ac:dyDescent="0.3">
      <c r="A8265" t="s">
        <v>30</v>
      </c>
      <c r="B8265">
        <v>2021</v>
      </c>
      <c r="C8265" t="s">
        <v>41</v>
      </c>
      <c r="D8265" t="s">
        <v>4</v>
      </c>
      <c r="E8265" t="e">
        <f>VLOOKUP(Cpi_[[#This Row],[Attribute]],#REF!,2,FALSE)</f>
        <v>#REF!</v>
      </c>
      <c r="F8265">
        <v>202.3</v>
      </c>
      <c r="G8265">
        <f>(Cpi_[[#This Row],[Value]]-F8264)/F8264</f>
        <v>0.39613526570048313</v>
      </c>
      <c r="H8265" t="e" cm="1" vm="1">
        <f t="array" aca="1" ref="H8265" ca="1">VLOOKUP(Cpi_[[#This Row],[Year]:[Month]],crudeoil[],3,FALSE)</f>
        <v>#VALUE!</v>
      </c>
    </row>
    <row r="8266" spans="1:8" hidden="1" x14ac:dyDescent="0.3">
      <c r="A8266" t="s">
        <v>30</v>
      </c>
      <c r="B8266">
        <v>2021</v>
      </c>
      <c r="C8266" t="s">
        <v>41</v>
      </c>
      <c r="D8266" t="s">
        <v>5</v>
      </c>
      <c r="E8266" t="e">
        <f>VLOOKUP(Cpi_[[#This Row],[Attribute]],#REF!,2,FALSE)</f>
        <v>#REF!</v>
      </c>
      <c r="F8266">
        <v>176.5</v>
      </c>
      <c r="G8266">
        <f>(Cpi_[[#This Row],[Value]]-F8265)/F8265</f>
        <v>-0.1275333662876916</v>
      </c>
      <c r="H8266" t="e" cm="1" vm="1">
        <f t="array" aca="1" ref="H8266" ca="1">VLOOKUP(Cpi_[[#This Row],[Year]:[Month]],crudeoil[],3,FALSE)</f>
        <v>#VALUE!</v>
      </c>
    </row>
    <row r="8267" spans="1:8" hidden="1" x14ac:dyDescent="0.3">
      <c r="A8267" t="s">
        <v>30</v>
      </c>
      <c r="B8267">
        <v>2021</v>
      </c>
      <c r="C8267" t="s">
        <v>41</v>
      </c>
      <c r="D8267" t="s">
        <v>6</v>
      </c>
      <c r="E8267" t="e">
        <f>VLOOKUP(Cpi_[[#This Row],[Attribute]],#REF!,2,FALSE)</f>
        <v>#REF!</v>
      </c>
      <c r="F8267">
        <v>157.5</v>
      </c>
      <c r="G8267">
        <f>(Cpi_[[#This Row],[Value]]-F8266)/F8266</f>
        <v>-0.10764872521246459</v>
      </c>
      <c r="H8267" t="e" cm="1" vm="1">
        <f t="array" aca="1" ref="H8267" ca="1">VLOOKUP(Cpi_[[#This Row],[Year]:[Month]],crudeoil[],3,FALSE)</f>
        <v>#VALUE!</v>
      </c>
    </row>
    <row r="8268" spans="1:8" hidden="1" x14ac:dyDescent="0.3">
      <c r="A8268" t="s">
        <v>30</v>
      </c>
      <c r="B8268">
        <v>2021</v>
      </c>
      <c r="C8268" t="s">
        <v>41</v>
      </c>
      <c r="D8268" t="s">
        <v>7</v>
      </c>
      <c r="E8268" t="e">
        <f>VLOOKUP(Cpi_[[#This Row],[Attribute]],#REF!,2,FALSE)</f>
        <v>#REF!</v>
      </c>
      <c r="F8268">
        <v>190.9</v>
      </c>
      <c r="G8268">
        <f>(Cpi_[[#This Row],[Value]]-F8267)/F8267</f>
        <v>0.21206349206349209</v>
      </c>
      <c r="H8268" t="e" cm="1" vm="1">
        <f t="array" aca="1" ref="H8268" ca="1">VLOOKUP(Cpi_[[#This Row],[Year]:[Month]],crudeoil[],3,FALSE)</f>
        <v>#VALUE!</v>
      </c>
    </row>
    <row r="8269" spans="1:8" hidden="1" x14ac:dyDescent="0.3">
      <c r="A8269" t="s">
        <v>30</v>
      </c>
      <c r="B8269">
        <v>2021</v>
      </c>
      <c r="C8269" t="s">
        <v>41</v>
      </c>
      <c r="D8269" t="s">
        <v>8</v>
      </c>
      <c r="E8269" t="e">
        <f>VLOOKUP(Cpi_[[#This Row],[Attribute]],#REF!,2,FALSE)</f>
        <v>#REF!</v>
      </c>
      <c r="F8269">
        <v>155.69999999999999</v>
      </c>
      <c r="G8269">
        <f>(Cpi_[[#This Row],[Value]]-F8268)/F8268</f>
        <v>-0.18438973284442126</v>
      </c>
      <c r="H8269" t="e" cm="1" vm="1">
        <f t="array" aca="1" ref="H8269" ca="1">VLOOKUP(Cpi_[[#This Row],[Year]:[Month]],crudeoil[],3,FALSE)</f>
        <v>#VALUE!</v>
      </c>
    </row>
    <row r="8270" spans="1:8" hidden="1" x14ac:dyDescent="0.3">
      <c r="A8270" t="s">
        <v>30</v>
      </c>
      <c r="B8270">
        <v>2021</v>
      </c>
      <c r="C8270" t="s">
        <v>41</v>
      </c>
      <c r="D8270" t="s">
        <v>9</v>
      </c>
      <c r="E8270" t="e">
        <f>VLOOKUP(Cpi_[[#This Row],[Attribute]],#REF!,2,FALSE)</f>
        <v>#REF!</v>
      </c>
      <c r="F8270">
        <v>153.9</v>
      </c>
      <c r="G8270">
        <f>(Cpi_[[#This Row],[Value]]-F8269)/F8269</f>
        <v>-1.1560693641618389E-2</v>
      </c>
      <c r="H8270" t="e" cm="1" vm="1">
        <f t="array" aca="1" ref="H8270" ca="1">VLOOKUP(Cpi_[[#This Row],[Year]:[Month]],crudeoil[],3,FALSE)</f>
        <v>#VALUE!</v>
      </c>
    </row>
    <row r="8271" spans="1:8" hidden="1" x14ac:dyDescent="0.3">
      <c r="A8271" t="s">
        <v>30</v>
      </c>
      <c r="B8271">
        <v>2021</v>
      </c>
      <c r="C8271" t="s">
        <v>41</v>
      </c>
      <c r="D8271" t="s">
        <v>10</v>
      </c>
      <c r="E8271" t="e">
        <f>VLOOKUP(Cpi_[[#This Row],[Attribute]],#REF!,2,FALSE)</f>
        <v>#REF!</v>
      </c>
      <c r="F8271">
        <v>162.80000000000001</v>
      </c>
      <c r="G8271">
        <f>(Cpi_[[#This Row],[Value]]-F8270)/F8270</f>
        <v>5.7829759584145581E-2</v>
      </c>
      <c r="H8271" t="e" cm="1" vm="1">
        <f t="array" aca="1" ref="H8271" ca="1">VLOOKUP(Cpi_[[#This Row],[Year]:[Month]],crudeoil[],3,FALSE)</f>
        <v>#VALUE!</v>
      </c>
    </row>
    <row r="8272" spans="1:8" hidden="1" x14ac:dyDescent="0.3">
      <c r="A8272" t="s">
        <v>30</v>
      </c>
      <c r="B8272">
        <v>2021</v>
      </c>
      <c r="C8272" t="s">
        <v>41</v>
      </c>
      <c r="D8272" t="s">
        <v>11</v>
      </c>
      <c r="E8272" t="e">
        <f>VLOOKUP(Cpi_[[#This Row],[Attribute]],#REF!,2,FALSE)</f>
        <v>#REF!</v>
      </c>
      <c r="F8272">
        <v>115.2</v>
      </c>
      <c r="G8272">
        <f>(Cpi_[[#This Row],[Value]]-F8271)/F8271</f>
        <v>-0.29238329238329241</v>
      </c>
      <c r="H8272" t="e" cm="1" vm="1">
        <f t="array" aca="1" ref="H8272" ca="1">VLOOKUP(Cpi_[[#This Row],[Year]:[Month]],crudeoil[],3,FALSE)</f>
        <v>#VALUE!</v>
      </c>
    </row>
    <row r="8273" spans="1:8" hidden="1" x14ac:dyDescent="0.3">
      <c r="A8273" t="s">
        <v>30</v>
      </c>
      <c r="B8273">
        <v>2021</v>
      </c>
      <c r="C8273" t="s">
        <v>41</v>
      </c>
      <c r="D8273" t="s">
        <v>12</v>
      </c>
      <c r="E8273" t="e">
        <f>VLOOKUP(Cpi_[[#This Row],[Attribute]],#REF!,2,FALSE)</f>
        <v>#REF!</v>
      </c>
      <c r="F8273">
        <v>169.8</v>
      </c>
      <c r="G8273">
        <f>(Cpi_[[#This Row],[Value]]-F8272)/F8272</f>
        <v>0.47395833333333337</v>
      </c>
      <c r="H8273" t="e" cm="1" vm="1">
        <f t="array" aca="1" ref="H8273" ca="1">VLOOKUP(Cpi_[[#This Row],[Year]:[Month]],crudeoil[],3,FALSE)</f>
        <v>#VALUE!</v>
      </c>
    </row>
    <row r="8274" spans="1:8" hidden="1" x14ac:dyDescent="0.3">
      <c r="A8274" t="s">
        <v>30</v>
      </c>
      <c r="B8274">
        <v>2021</v>
      </c>
      <c r="C8274" t="s">
        <v>41</v>
      </c>
      <c r="D8274" t="s">
        <v>13</v>
      </c>
      <c r="E8274" t="e">
        <f>VLOOKUP(Cpi_[[#This Row],[Attribute]],#REF!,2,FALSE)</f>
        <v>#REF!</v>
      </c>
      <c r="F8274">
        <v>167.6</v>
      </c>
      <c r="G8274">
        <f>(Cpi_[[#This Row],[Value]]-F8273)/F8273</f>
        <v>-1.2956419316843444E-2</v>
      </c>
      <c r="H8274" t="e" cm="1" vm="1">
        <f t="array" aca="1" ref="H8274" ca="1">VLOOKUP(Cpi_[[#This Row],[Year]:[Month]],crudeoil[],3,FALSE)</f>
        <v>#VALUE!</v>
      </c>
    </row>
    <row r="8275" spans="1:8" hidden="1" x14ac:dyDescent="0.3">
      <c r="A8275" t="s">
        <v>30</v>
      </c>
      <c r="B8275">
        <v>2021</v>
      </c>
      <c r="C8275" t="s">
        <v>41</v>
      </c>
      <c r="D8275" t="s">
        <v>14</v>
      </c>
      <c r="E8275" t="e">
        <f>VLOOKUP(Cpi_[[#This Row],[Attribute]],#REF!,2,FALSE)</f>
        <v>#REF!</v>
      </c>
      <c r="F8275">
        <v>171.9</v>
      </c>
      <c r="G8275">
        <f>(Cpi_[[#This Row],[Value]]-F8274)/F8274</f>
        <v>2.565632458233897E-2</v>
      </c>
      <c r="H8275" t="e" cm="1" vm="1">
        <f t="array" aca="1" ref="H8275" ca="1">VLOOKUP(Cpi_[[#This Row],[Year]:[Month]],crudeoil[],3,FALSE)</f>
        <v>#VALUE!</v>
      </c>
    </row>
    <row r="8276" spans="1:8" hidden="1" x14ac:dyDescent="0.3">
      <c r="A8276" t="s">
        <v>30</v>
      </c>
      <c r="B8276">
        <v>2021</v>
      </c>
      <c r="C8276" t="s">
        <v>41</v>
      </c>
      <c r="D8276" t="s">
        <v>15</v>
      </c>
      <c r="E8276" t="e">
        <f>VLOOKUP(Cpi_[[#This Row],[Attribute]],#REF!,2,FALSE)</f>
        <v>#REF!</v>
      </c>
      <c r="F8276">
        <v>161.80000000000001</v>
      </c>
      <c r="G8276">
        <f>(Cpi_[[#This Row],[Value]]-F8275)/F8275</f>
        <v>-5.8755090168702701E-2</v>
      </c>
      <c r="H8276" t="e" cm="1" vm="1">
        <f t="array" aca="1" ref="H8276" ca="1">VLOOKUP(Cpi_[[#This Row],[Year]:[Month]],crudeoil[],3,FALSE)</f>
        <v>#VALUE!</v>
      </c>
    </row>
    <row r="8277" spans="1:8" hidden="1" x14ac:dyDescent="0.3">
      <c r="A8277" t="s">
        <v>30</v>
      </c>
      <c r="B8277">
        <v>2021</v>
      </c>
      <c r="C8277" t="s">
        <v>41</v>
      </c>
      <c r="D8277" t="s">
        <v>16</v>
      </c>
      <c r="E8277" t="e">
        <f>VLOOKUP(Cpi_[[#This Row],[Attribute]],#REF!,2,FALSE)</f>
        <v>#REF!</v>
      </c>
      <c r="F8277">
        <v>190.2</v>
      </c>
      <c r="G8277">
        <f>(Cpi_[[#This Row],[Value]]-F8276)/F8276</f>
        <v>0.17552533992583422</v>
      </c>
      <c r="H8277" t="e" cm="1" vm="1">
        <f t="array" aca="1" ref="H8277" ca="1">VLOOKUP(Cpi_[[#This Row],[Year]:[Month]],crudeoil[],3,FALSE)</f>
        <v>#VALUE!</v>
      </c>
    </row>
    <row r="8278" spans="1:8" hidden="1" x14ac:dyDescent="0.3">
      <c r="A8278" t="s">
        <v>30</v>
      </c>
      <c r="B8278">
        <v>2021</v>
      </c>
      <c r="C8278" t="s">
        <v>41</v>
      </c>
      <c r="D8278" t="s">
        <v>17</v>
      </c>
      <c r="E8278" t="e">
        <f>VLOOKUP(Cpi_[[#This Row],[Attribute]],#REF!,2,FALSE)</f>
        <v>#REF!</v>
      </c>
      <c r="F8278">
        <v>167</v>
      </c>
      <c r="G8278">
        <f>(Cpi_[[#This Row],[Value]]-F8277)/F8277</f>
        <v>-0.12197686645636167</v>
      </c>
      <c r="H8278" t="e" cm="1" vm="1">
        <f t="array" aca="1" ref="H8278" ca="1">VLOOKUP(Cpi_[[#This Row],[Year]:[Month]],crudeoil[],3,FALSE)</f>
        <v>#VALUE!</v>
      </c>
    </row>
    <row r="8279" spans="1:8" hidden="1" x14ac:dyDescent="0.3">
      <c r="A8279" t="s">
        <v>30</v>
      </c>
      <c r="B8279">
        <v>2021</v>
      </c>
      <c r="C8279" t="s">
        <v>41</v>
      </c>
      <c r="D8279" t="s">
        <v>18</v>
      </c>
      <c r="E8279" t="e">
        <f>VLOOKUP(Cpi_[[#This Row],[Attribute]],#REF!,2,FALSE)</f>
        <v>#REF!</v>
      </c>
      <c r="F8279">
        <v>162.6</v>
      </c>
      <c r="G8279">
        <f>(Cpi_[[#This Row],[Value]]-F8278)/F8278</f>
        <v>-2.634730538922159E-2</v>
      </c>
      <c r="H8279" t="e" cm="1" vm="1">
        <f t="array" aca="1" ref="H8279" ca="1">VLOOKUP(Cpi_[[#This Row],[Year]:[Month]],crudeoil[],3,FALSE)</f>
        <v>#VALUE!</v>
      </c>
    </row>
    <row r="8280" spans="1:8" hidden="1" x14ac:dyDescent="0.3">
      <c r="A8280" t="s">
        <v>30</v>
      </c>
      <c r="B8280">
        <v>2021</v>
      </c>
      <c r="C8280" t="s">
        <v>41</v>
      </c>
      <c r="D8280" t="s">
        <v>19</v>
      </c>
      <c r="E8280" t="e">
        <f>VLOOKUP(Cpi_[[#This Row],[Attribute]],#REF!,2,FALSE)</f>
        <v>#REF!</v>
      </c>
      <c r="F8280">
        <v>166.3</v>
      </c>
      <c r="G8280">
        <f>(Cpi_[[#This Row],[Value]]-F8279)/F8279</f>
        <v>2.2755227552275627E-2</v>
      </c>
      <c r="H8280" t="e" cm="1" vm="1">
        <f t="array" aca="1" ref="H8280" ca="1">VLOOKUP(Cpi_[[#This Row],[Year]:[Month]],crudeoil[],3,FALSE)</f>
        <v>#VALUE!</v>
      </c>
    </row>
    <row r="8281" spans="1:8" hidden="1" x14ac:dyDescent="0.3">
      <c r="A8281" t="s">
        <v>30</v>
      </c>
      <c r="B8281">
        <v>2021</v>
      </c>
      <c r="C8281" t="s">
        <v>41</v>
      </c>
      <c r="D8281" t="s">
        <v>20</v>
      </c>
      <c r="E8281" t="e">
        <f>VLOOKUP(Cpi_[[#This Row],[Attribute]],#REF!,2,FALSE)</f>
        <v>#REF!</v>
      </c>
      <c r="F8281" t="s">
        <v>32</v>
      </c>
      <c r="G8281" t="e">
        <f>(Cpi_[[#This Row],[Value]]-F8280)/F8280</f>
        <v>#VALUE!</v>
      </c>
      <c r="H8281" t="e" cm="1" vm="1">
        <f t="array" aca="1" ref="H8281" ca="1">VLOOKUP(Cpi_[[#This Row],[Year]:[Month]],crudeoil[],3,FALSE)</f>
        <v>#VALUE!</v>
      </c>
    </row>
    <row r="8282" spans="1:8" hidden="1" x14ac:dyDescent="0.3">
      <c r="A8282" t="s">
        <v>30</v>
      </c>
      <c r="B8282">
        <v>2021</v>
      </c>
      <c r="C8282" t="s">
        <v>41</v>
      </c>
      <c r="D8282" t="s">
        <v>21</v>
      </c>
      <c r="E8282" t="e">
        <f>VLOOKUP(Cpi_[[#This Row],[Attribute]],#REF!,2,FALSE)</f>
        <v>#REF!</v>
      </c>
      <c r="F8282">
        <v>163.1</v>
      </c>
      <c r="G8282" t="e">
        <f>(Cpi_[[#This Row],[Value]]-F8281)/F8281</f>
        <v>#VALUE!</v>
      </c>
      <c r="H8282" t="e" cm="1" vm="1">
        <f t="array" aca="1" ref="H8282" ca="1">VLOOKUP(Cpi_[[#This Row],[Year]:[Month]],crudeoil[],3,FALSE)</f>
        <v>#VALUE!</v>
      </c>
    </row>
    <row r="8283" spans="1:8" hidden="1" x14ac:dyDescent="0.3">
      <c r="A8283" t="s">
        <v>30</v>
      </c>
      <c r="B8283">
        <v>2021</v>
      </c>
      <c r="C8283" t="s">
        <v>41</v>
      </c>
      <c r="D8283" t="s">
        <v>22</v>
      </c>
      <c r="E8283" t="e">
        <f>VLOOKUP(Cpi_[[#This Row],[Attribute]],#REF!,2,FALSE)</f>
        <v>#REF!</v>
      </c>
      <c r="F8283">
        <v>160.9</v>
      </c>
      <c r="G8283">
        <f>(Cpi_[[#This Row],[Value]]-F8282)/F8282</f>
        <v>-1.348865726548123E-2</v>
      </c>
      <c r="H8283" t="e" cm="1" vm="1">
        <f t="array" aca="1" ref="H8283" ca="1">VLOOKUP(Cpi_[[#This Row],[Year]:[Month]],crudeoil[],3,FALSE)</f>
        <v>#VALUE!</v>
      </c>
    </row>
    <row r="8284" spans="1:8" hidden="1" x14ac:dyDescent="0.3">
      <c r="A8284" t="s">
        <v>30</v>
      </c>
      <c r="B8284">
        <v>2021</v>
      </c>
      <c r="C8284" t="s">
        <v>41</v>
      </c>
      <c r="D8284" t="s">
        <v>23</v>
      </c>
      <c r="E8284" t="e">
        <f>VLOOKUP(Cpi_[[#This Row],[Attribute]],#REF!,2,FALSE)</f>
        <v>#REF!</v>
      </c>
      <c r="F8284">
        <v>171.1</v>
      </c>
      <c r="G8284">
        <f>(Cpi_[[#This Row],[Value]]-F8283)/F8283</f>
        <v>6.33934120571783E-2</v>
      </c>
      <c r="H8284" t="e" cm="1" vm="1">
        <f t="array" aca="1" ref="H8284" ca="1">VLOOKUP(Cpi_[[#This Row],[Year]:[Month]],crudeoil[],3,FALSE)</f>
        <v>#VALUE!</v>
      </c>
    </row>
    <row r="8285" spans="1:8" hidden="1" x14ac:dyDescent="0.3">
      <c r="A8285" t="s">
        <v>30</v>
      </c>
      <c r="B8285">
        <v>2021</v>
      </c>
      <c r="C8285" t="s">
        <v>41</v>
      </c>
      <c r="D8285" t="s">
        <v>24</v>
      </c>
      <c r="E8285" t="e">
        <f>VLOOKUP(Cpi_[[#This Row],[Attribute]],#REF!,2,FALSE)</f>
        <v>#REF!</v>
      </c>
      <c r="F8285">
        <v>157.69999999999999</v>
      </c>
      <c r="G8285">
        <f>(Cpi_[[#This Row],[Value]]-F8284)/F8284</f>
        <v>-7.8316773816481625E-2</v>
      </c>
      <c r="H8285" t="e" cm="1" vm="1">
        <f t="array" aca="1" ref="H8285" ca="1">VLOOKUP(Cpi_[[#This Row],[Year]:[Month]],crudeoil[],3,FALSE)</f>
        <v>#VALUE!</v>
      </c>
    </row>
    <row r="8286" spans="1:8" hidden="1" x14ac:dyDescent="0.3">
      <c r="A8286" t="s">
        <v>30</v>
      </c>
      <c r="B8286">
        <v>2021</v>
      </c>
      <c r="C8286" t="s">
        <v>41</v>
      </c>
      <c r="D8286" t="s">
        <v>25</v>
      </c>
      <c r="E8286" t="e">
        <f>VLOOKUP(Cpi_[[#This Row],[Attribute]],#REF!,2,FALSE)</f>
        <v>#REF!</v>
      </c>
      <c r="F8286">
        <v>161.1</v>
      </c>
      <c r="G8286">
        <f>(Cpi_[[#This Row],[Value]]-F8285)/F8285</f>
        <v>2.1559923906150958E-2</v>
      </c>
      <c r="H8286" t="e" cm="1" vm="1">
        <f t="array" aca="1" ref="H8286" ca="1">VLOOKUP(Cpi_[[#This Row],[Year]:[Month]],crudeoil[],3,FALSE)</f>
        <v>#VALUE!</v>
      </c>
    </row>
    <row r="8287" spans="1:8" hidden="1" x14ac:dyDescent="0.3">
      <c r="A8287" t="s">
        <v>30</v>
      </c>
      <c r="B8287">
        <v>2021</v>
      </c>
      <c r="C8287" t="s">
        <v>41</v>
      </c>
      <c r="D8287" t="s">
        <v>26</v>
      </c>
      <c r="E8287" t="e">
        <f>VLOOKUP(Cpi_[[#This Row],[Attribute]],#REF!,2,FALSE)</f>
        <v>#REF!</v>
      </c>
      <c r="F8287">
        <v>167.5</v>
      </c>
      <c r="G8287">
        <f>(Cpi_[[#This Row],[Value]]-F8286)/F8286</f>
        <v>3.9726877715704566E-2</v>
      </c>
      <c r="H8287" t="e" cm="1" vm="1">
        <f t="array" aca="1" ref="H8287" ca="1">VLOOKUP(Cpi_[[#This Row],[Year]:[Month]],crudeoil[],3,FALSE)</f>
        <v>#VALUE!</v>
      </c>
    </row>
    <row r="8288" spans="1:8" hidden="1" x14ac:dyDescent="0.3">
      <c r="A8288" t="s">
        <v>30</v>
      </c>
      <c r="B8288">
        <v>2021</v>
      </c>
      <c r="C8288" t="s">
        <v>41</v>
      </c>
      <c r="D8288" t="s">
        <v>27</v>
      </c>
      <c r="E8288" t="e">
        <f>VLOOKUP(Cpi_[[#This Row],[Attribute]],#REF!,2,FALSE)</f>
        <v>#REF!</v>
      </c>
      <c r="F8288">
        <v>160.30000000000001</v>
      </c>
      <c r="G8288">
        <f>(Cpi_[[#This Row],[Value]]-F8287)/F8287</f>
        <v>-4.2985074626865606E-2</v>
      </c>
      <c r="H8288" t="e" cm="1" vm="1">
        <f t="array" aca="1" ref="H8288" ca="1">VLOOKUP(Cpi_[[#This Row],[Year]:[Month]],crudeoil[],3,FALSE)</f>
        <v>#VALUE!</v>
      </c>
    </row>
    <row r="8289" spans="1:8" hidden="1" x14ac:dyDescent="0.3">
      <c r="A8289" t="s">
        <v>30</v>
      </c>
      <c r="B8289">
        <v>2021</v>
      </c>
      <c r="C8289" t="s">
        <v>41</v>
      </c>
      <c r="D8289" t="s">
        <v>28</v>
      </c>
      <c r="E8289" t="e">
        <f>VLOOKUP(Cpi_[[#This Row],[Attribute]],#REF!,2,FALSE)</f>
        <v>#REF!</v>
      </c>
      <c r="F8289">
        <v>163.30000000000001</v>
      </c>
      <c r="G8289">
        <f>(Cpi_[[#This Row],[Value]]-F8288)/F8288</f>
        <v>1.8714909544603867E-2</v>
      </c>
      <c r="H8289" t="e" cm="1" vm="1">
        <f t="array" aca="1" ref="H8289" ca="1">VLOOKUP(Cpi_[[#This Row],[Year]:[Month]],crudeoil[],3,FALSE)</f>
        <v>#VALUE!</v>
      </c>
    </row>
    <row r="8290" spans="1:8" hidden="1" x14ac:dyDescent="0.3">
      <c r="A8290" t="s">
        <v>30</v>
      </c>
      <c r="B8290">
        <v>2021</v>
      </c>
      <c r="C8290" t="s">
        <v>41</v>
      </c>
      <c r="D8290" t="s">
        <v>29</v>
      </c>
      <c r="E8290" t="e" cm="1">
        <f t="array" aca="1" ref="E8290" ca="1">VLGeneral indexGeneral indexKUP(Cpi_[[#This Row],[Attribute]],#REF!,2,FALSE)</f>
        <v>#NAME?</v>
      </c>
      <c r="F8290">
        <v>163.6</v>
      </c>
      <c r="G8290">
        <f>(Cpi_[[#This Row],[Value]]-F8289)/F8289</f>
        <v>1.8371096142068765E-3</v>
      </c>
      <c r="H8290" t="e" cm="1" vm="1">
        <f t="array" aca="1" ref="H8290" ca="1">VLOOKUP(Cpi_[[#This Row],[Year]:[Month]],crudeoil[],3,FALSE)</f>
        <v>#VALUE!</v>
      </c>
    </row>
    <row r="8291" spans="1:8" hidden="1" x14ac:dyDescent="0.3">
      <c r="A8291" t="s">
        <v>33</v>
      </c>
      <c r="B8291">
        <v>2021</v>
      </c>
      <c r="C8291" t="s">
        <v>41</v>
      </c>
      <c r="D8291" t="s">
        <v>3</v>
      </c>
      <c r="E8291" t="e">
        <f>VLOOKUP(Cpi_[[#This Row],[Attribute]],#REF!,2,FALSE)</f>
        <v>#REF!</v>
      </c>
      <c r="F8291">
        <v>149.30000000000001</v>
      </c>
      <c r="G8291">
        <f>(Cpi_[[#This Row],[Value]]-F8290)/F8290</f>
        <v>-8.7408312958435111E-2</v>
      </c>
      <c r="H8291" t="e" cm="1" vm="1">
        <f t="array" aca="1" ref="H8291" ca="1">VLOOKUP(Cpi_[[#This Row],[Year]:[Month]],crudeoil[],3,FALSE)</f>
        <v>#VALUE!</v>
      </c>
    </row>
    <row r="8292" spans="1:8" hidden="1" x14ac:dyDescent="0.3">
      <c r="A8292" t="s">
        <v>33</v>
      </c>
      <c r="B8292">
        <v>2021</v>
      </c>
      <c r="C8292" t="s">
        <v>41</v>
      </c>
      <c r="D8292" t="s">
        <v>4</v>
      </c>
      <c r="E8292" t="e">
        <f>VLOOKUP(Cpi_[[#This Row],[Attribute]],#REF!,2,FALSE)</f>
        <v>#REF!</v>
      </c>
      <c r="F8292">
        <v>207.4</v>
      </c>
      <c r="G8292">
        <f>(Cpi_[[#This Row],[Value]]-F8291)/F8291</f>
        <v>0.38914936369725378</v>
      </c>
      <c r="H8292" t="e" cm="1" vm="1">
        <f t="array" aca="1" ref="H8292" ca="1">VLOOKUP(Cpi_[[#This Row],[Year]:[Month]],crudeoil[],3,FALSE)</f>
        <v>#VALUE!</v>
      </c>
    </row>
    <row r="8293" spans="1:8" hidden="1" x14ac:dyDescent="0.3">
      <c r="A8293" t="s">
        <v>33</v>
      </c>
      <c r="B8293">
        <v>2021</v>
      </c>
      <c r="C8293" t="s">
        <v>41</v>
      </c>
      <c r="D8293" t="s">
        <v>5</v>
      </c>
      <c r="E8293" t="e">
        <f>VLOOKUP(Cpi_[[#This Row],[Attribute]],#REF!,2,FALSE)</f>
        <v>#REF!</v>
      </c>
      <c r="F8293">
        <v>174.1</v>
      </c>
      <c r="G8293">
        <f>(Cpi_[[#This Row],[Value]]-F8292)/F8292</f>
        <v>-0.16055930568948895</v>
      </c>
      <c r="H8293" t="e" cm="1" vm="1">
        <f t="array" aca="1" ref="H8293" ca="1">VLOOKUP(Cpi_[[#This Row],[Year]:[Month]],crudeoil[],3,FALSE)</f>
        <v>#VALUE!</v>
      </c>
    </row>
    <row r="8294" spans="1:8" hidden="1" x14ac:dyDescent="0.3">
      <c r="A8294" t="s">
        <v>33</v>
      </c>
      <c r="B8294">
        <v>2021</v>
      </c>
      <c r="C8294" t="s">
        <v>41</v>
      </c>
      <c r="D8294" t="s">
        <v>6</v>
      </c>
      <c r="E8294" t="e">
        <f>VLOOKUP(Cpi_[[#This Row],[Attribute]],#REF!,2,FALSE)</f>
        <v>#REF!</v>
      </c>
      <c r="F8294">
        <v>159.19999999999999</v>
      </c>
      <c r="G8294">
        <f>(Cpi_[[#This Row],[Value]]-F8293)/F8293</f>
        <v>-8.5582998276852423E-2</v>
      </c>
      <c r="H8294" t="e" cm="1" vm="1">
        <f t="array" aca="1" ref="H8294" ca="1">VLOOKUP(Cpi_[[#This Row],[Year]:[Month]],crudeoil[],3,FALSE)</f>
        <v>#VALUE!</v>
      </c>
    </row>
    <row r="8295" spans="1:8" hidden="1" x14ac:dyDescent="0.3">
      <c r="A8295" t="s">
        <v>33</v>
      </c>
      <c r="B8295">
        <v>2021</v>
      </c>
      <c r="C8295" t="s">
        <v>41</v>
      </c>
      <c r="D8295" t="s">
        <v>7</v>
      </c>
      <c r="E8295" t="e">
        <f>VLOOKUP(Cpi_[[#This Row],[Attribute]],#REF!,2,FALSE)</f>
        <v>#REF!</v>
      </c>
      <c r="F8295">
        <v>175</v>
      </c>
      <c r="G8295">
        <f>(Cpi_[[#This Row],[Value]]-F8294)/F8294</f>
        <v>9.9246231155778977E-2</v>
      </c>
      <c r="H8295" t="e" cm="1" vm="1">
        <f t="array" aca="1" ref="H8295" ca="1">VLOOKUP(Cpi_[[#This Row],[Year]:[Month]],crudeoil[],3,FALSE)</f>
        <v>#VALUE!</v>
      </c>
    </row>
    <row r="8296" spans="1:8" hidden="1" x14ac:dyDescent="0.3">
      <c r="A8296" t="s">
        <v>33</v>
      </c>
      <c r="B8296">
        <v>2021</v>
      </c>
      <c r="C8296" t="s">
        <v>41</v>
      </c>
      <c r="D8296" t="s">
        <v>8</v>
      </c>
      <c r="E8296" t="e">
        <f>VLOOKUP(Cpi_[[#This Row],[Attribute]],#REF!,2,FALSE)</f>
        <v>#REF!</v>
      </c>
      <c r="F8296">
        <v>161.30000000000001</v>
      </c>
      <c r="G8296">
        <f>(Cpi_[[#This Row],[Value]]-F8295)/F8295</f>
        <v>-7.8285714285714222E-2</v>
      </c>
      <c r="H8296" t="e" cm="1" vm="1">
        <f t="array" aca="1" ref="H8296" ca="1">VLOOKUP(Cpi_[[#This Row],[Year]:[Month]],crudeoil[],3,FALSE)</f>
        <v>#VALUE!</v>
      </c>
    </row>
    <row r="8297" spans="1:8" hidden="1" x14ac:dyDescent="0.3">
      <c r="A8297" t="s">
        <v>33</v>
      </c>
      <c r="B8297">
        <v>2021</v>
      </c>
      <c r="C8297" t="s">
        <v>41</v>
      </c>
      <c r="D8297" t="s">
        <v>9</v>
      </c>
      <c r="E8297" t="e">
        <f>VLOOKUP(Cpi_[[#This Row],[Attribute]],#REF!,2,FALSE)</f>
        <v>#REF!</v>
      </c>
      <c r="F8297">
        <v>183.3</v>
      </c>
      <c r="G8297">
        <f>(Cpi_[[#This Row],[Value]]-F8296)/F8296</f>
        <v>0.13639181649101054</v>
      </c>
      <c r="H8297" t="e" cm="1" vm="1">
        <f t="array" aca="1" ref="H8297" ca="1">VLOOKUP(Cpi_[[#This Row],[Year]:[Month]],crudeoil[],3,FALSE)</f>
        <v>#VALUE!</v>
      </c>
    </row>
    <row r="8298" spans="1:8" hidden="1" x14ac:dyDescent="0.3">
      <c r="A8298" t="s">
        <v>33</v>
      </c>
      <c r="B8298">
        <v>2021</v>
      </c>
      <c r="C8298" t="s">
        <v>41</v>
      </c>
      <c r="D8298" t="s">
        <v>10</v>
      </c>
      <c r="E8298" t="e">
        <f>VLOOKUP(Cpi_[[#This Row],[Attribute]],#REF!,2,FALSE)</f>
        <v>#REF!</v>
      </c>
      <c r="F8298">
        <v>164.5</v>
      </c>
      <c r="G8298">
        <f>(Cpi_[[#This Row],[Value]]-F8297)/F8297</f>
        <v>-0.10256410256410262</v>
      </c>
      <c r="H8298" t="e" cm="1" vm="1">
        <f t="array" aca="1" ref="H8298" ca="1">VLOOKUP(Cpi_[[#This Row],[Year]:[Month]],crudeoil[],3,FALSE)</f>
        <v>#VALUE!</v>
      </c>
    </row>
    <row r="8299" spans="1:8" hidden="1" x14ac:dyDescent="0.3">
      <c r="A8299" t="s">
        <v>33</v>
      </c>
      <c r="B8299">
        <v>2021</v>
      </c>
      <c r="C8299" t="s">
        <v>41</v>
      </c>
      <c r="D8299" t="s">
        <v>11</v>
      </c>
      <c r="E8299" t="e">
        <f>VLOOKUP(Cpi_[[#This Row],[Attribute]],#REF!,2,FALSE)</f>
        <v>#REF!</v>
      </c>
      <c r="F8299">
        <v>120.4</v>
      </c>
      <c r="G8299">
        <f>(Cpi_[[#This Row],[Value]]-F8298)/F8298</f>
        <v>-0.26808510638297867</v>
      </c>
      <c r="H8299" t="e" cm="1" vm="1">
        <f t="array" aca="1" ref="H8299" ca="1">VLOOKUP(Cpi_[[#This Row],[Year]:[Month]],crudeoil[],3,FALSE)</f>
        <v>#VALUE!</v>
      </c>
    </row>
    <row r="8300" spans="1:8" hidden="1" x14ac:dyDescent="0.3">
      <c r="A8300" t="s">
        <v>33</v>
      </c>
      <c r="B8300">
        <v>2021</v>
      </c>
      <c r="C8300" t="s">
        <v>41</v>
      </c>
      <c r="D8300" t="s">
        <v>12</v>
      </c>
      <c r="E8300" t="e">
        <f>VLOOKUP(Cpi_[[#This Row],[Attribute]],#REF!,2,FALSE)</f>
        <v>#REF!</v>
      </c>
      <c r="F8300">
        <v>166.2</v>
      </c>
      <c r="G8300">
        <f>(Cpi_[[#This Row],[Value]]-F8299)/F8299</f>
        <v>0.38039867109634534</v>
      </c>
      <c r="H8300" t="e" cm="1" vm="1">
        <f t="array" aca="1" ref="H8300" ca="1">VLOOKUP(Cpi_[[#This Row],[Year]:[Month]],crudeoil[],3,FALSE)</f>
        <v>#VALUE!</v>
      </c>
    </row>
    <row r="8301" spans="1:8" hidden="1" x14ac:dyDescent="0.3">
      <c r="A8301" t="s">
        <v>33</v>
      </c>
      <c r="B8301">
        <v>2021</v>
      </c>
      <c r="C8301" t="s">
        <v>41</v>
      </c>
      <c r="D8301" t="s">
        <v>13</v>
      </c>
      <c r="E8301" t="e">
        <f>VLOOKUP(Cpi_[[#This Row],[Attribute]],#REF!,2,FALSE)</f>
        <v>#REF!</v>
      </c>
      <c r="F8301">
        <v>154.80000000000001</v>
      </c>
      <c r="G8301">
        <f>(Cpi_[[#This Row],[Value]]-F8300)/F8300</f>
        <v>-6.8592057761732717E-2</v>
      </c>
      <c r="H8301" t="e" cm="1" vm="1">
        <f t="array" aca="1" ref="H8301" ca="1">VLOOKUP(Cpi_[[#This Row],[Year]:[Month]],crudeoil[],3,FALSE)</f>
        <v>#VALUE!</v>
      </c>
    </row>
    <row r="8302" spans="1:8" hidden="1" x14ac:dyDescent="0.3">
      <c r="A8302" t="s">
        <v>33</v>
      </c>
      <c r="B8302">
        <v>2021</v>
      </c>
      <c r="C8302" t="s">
        <v>41</v>
      </c>
      <c r="D8302" t="s">
        <v>14</v>
      </c>
      <c r="E8302" t="e">
        <f>VLOOKUP(Cpi_[[#This Row],[Attribute]],#REF!,2,FALSE)</f>
        <v>#REF!</v>
      </c>
      <c r="F8302">
        <v>175.1</v>
      </c>
      <c r="G8302">
        <f>(Cpi_[[#This Row],[Value]]-F8301)/F8301</f>
        <v>0.13113695090439265</v>
      </c>
      <c r="H8302" t="e" cm="1" vm="1">
        <f t="array" aca="1" ref="H8302" ca="1">VLOOKUP(Cpi_[[#This Row],[Year]:[Month]],crudeoil[],3,FALSE)</f>
        <v>#VALUE!</v>
      </c>
    </row>
    <row r="8303" spans="1:8" hidden="1" x14ac:dyDescent="0.3">
      <c r="A8303" t="s">
        <v>33</v>
      </c>
      <c r="B8303">
        <v>2021</v>
      </c>
      <c r="C8303" t="s">
        <v>41</v>
      </c>
      <c r="D8303" t="s">
        <v>15</v>
      </c>
      <c r="E8303" t="e">
        <f>VLOOKUP(Cpi_[[#This Row],[Attribute]],#REF!,2,FALSE)</f>
        <v>#REF!</v>
      </c>
      <c r="F8303">
        <v>167.3</v>
      </c>
      <c r="G8303">
        <f>(Cpi_[[#This Row],[Value]]-F8302)/F8302</f>
        <v>-4.4545973729297451E-2</v>
      </c>
      <c r="H8303" t="e" cm="1" vm="1">
        <f t="array" aca="1" ref="H8303" ca="1">VLOOKUP(Cpi_[[#This Row],[Year]:[Month]],crudeoil[],3,FALSE)</f>
        <v>#VALUE!</v>
      </c>
    </row>
    <row r="8304" spans="1:8" hidden="1" x14ac:dyDescent="0.3">
      <c r="A8304" t="s">
        <v>33</v>
      </c>
      <c r="B8304">
        <v>2021</v>
      </c>
      <c r="C8304" t="s">
        <v>41</v>
      </c>
      <c r="D8304" t="s">
        <v>16</v>
      </c>
      <c r="E8304" t="e">
        <f>VLOOKUP(Cpi_[[#This Row],[Attribute]],#REF!,2,FALSE)</f>
        <v>#REF!</v>
      </c>
      <c r="F8304">
        <v>196.5</v>
      </c>
      <c r="G8304">
        <f>(Cpi_[[#This Row],[Value]]-F8303)/F8303</f>
        <v>0.1745367603108188</v>
      </c>
      <c r="H8304" t="e" cm="1" vm="1">
        <f t="array" aca="1" ref="H8304" ca="1">VLOOKUP(Cpi_[[#This Row],[Year]:[Month]],crudeoil[],3,FALSE)</f>
        <v>#VALUE!</v>
      </c>
    </row>
    <row r="8305" spans="1:10" hidden="1" x14ac:dyDescent="0.3">
      <c r="A8305" t="s">
        <v>33</v>
      </c>
      <c r="B8305">
        <v>2021</v>
      </c>
      <c r="C8305" t="s">
        <v>41</v>
      </c>
      <c r="D8305" t="s">
        <v>17</v>
      </c>
      <c r="E8305" t="e">
        <f>VLOOKUP(Cpi_[[#This Row],[Attribute]],#REF!,2,FALSE)</f>
        <v>#REF!</v>
      </c>
      <c r="F8305">
        <v>159.80000000000001</v>
      </c>
      <c r="G8305">
        <f>(Cpi_[[#This Row],[Value]]-F8304)/F8304</f>
        <v>-0.18676844783715008</v>
      </c>
      <c r="H8305" t="e" cm="1" vm="1">
        <f t="array" aca="1" ref="H8305" ca="1">VLOOKUP(Cpi_[[#This Row],[Year]:[Month]],crudeoil[],3,FALSE)</f>
        <v>#VALUE!</v>
      </c>
    </row>
    <row r="8306" spans="1:10" hidden="1" x14ac:dyDescent="0.3">
      <c r="A8306" t="s">
        <v>33</v>
      </c>
      <c r="B8306">
        <v>2021</v>
      </c>
      <c r="C8306" t="s">
        <v>41</v>
      </c>
      <c r="D8306" t="s">
        <v>18</v>
      </c>
      <c r="E8306" t="e">
        <f>VLOOKUP(Cpi_[[#This Row],[Attribute]],#REF!,2,FALSE)</f>
        <v>#REF!</v>
      </c>
      <c r="F8306">
        <v>143.6</v>
      </c>
      <c r="G8306">
        <f>(Cpi_[[#This Row],[Value]]-F8305)/F8305</f>
        <v>-0.10137672090112651</v>
      </c>
      <c r="H8306" t="e" cm="1" vm="1">
        <f t="array" aca="1" ref="H8306" ca="1">VLOOKUP(Cpi_[[#This Row],[Year]:[Month]],crudeoil[],3,FALSE)</f>
        <v>#VALUE!</v>
      </c>
    </row>
    <row r="8307" spans="1:10" hidden="1" x14ac:dyDescent="0.3">
      <c r="A8307" t="s">
        <v>33</v>
      </c>
      <c r="B8307">
        <v>2021</v>
      </c>
      <c r="C8307" t="s">
        <v>41</v>
      </c>
      <c r="D8307" t="s">
        <v>19</v>
      </c>
      <c r="E8307" t="e">
        <f>VLOOKUP(Cpi_[[#This Row],[Attribute]],#REF!,2,FALSE)</f>
        <v>#REF!</v>
      </c>
      <c r="F8307">
        <v>157.30000000000001</v>
      </c>
      <c r="G8307">
        <f>(Cpi_[[#This Row],[Value]]-F8306)/F8306</f>
        <v>9.5403899721448596E-2</v>
      </c>
      <c r="H8307" t="e" cm="1" vm="1">
        <f t="array" aca="1" ref="H8307" ca="1">VLOOKUP(Cpi_[[#This Row],[Year]:[Month]],crudeoil[],3,FALSE)</f>
        <v>#VALUE!</v>
      </c>
    </row>
    <row r="8308" spans="1:10" hidden="1" x14ac:dyDescent="0.3">
      <c r="A8308" t="s">
        <v>33</v>
      </c>
      <c r="B8308">
        <v>2021</v>
      </c>
      <c r="C8308" t="s">
        <v>41</v>
      </c>
      <c r="D8308" t="s">
        <v>20</v>
      </c>
      <c r="E8308" t="e">
        <f>VLOOKUP(Cpi_[[#This Row],[Attribute]],#REF!,2,FALSE)</f>
        <v>#REF!</v>
      </c>
      <c r="F8308">
        <v>162.1</v>
      </c>
      <c r="G8308">
        <f>(Cpi_[[#This Row],[Value]]-F8307)/F8307</f>
        <v>3.0514939605848584E-2</v>
      </c>
      <c r="H8308" t="e" cm="1" vm="1">
        <f t="array" aca="1" ref="H8308" ca="1">VLOOKUP(Cpi_[[#This Row],[Year]:[Month]],crudeoil[],3,FALSE)</f>
        <v>#VALUE!</v>
      </c>
    </row>
    <row r="8309" spans="1:10" hidden="1" x14ac:dyDescent="0.3">
      <c r="A8309" t="s">
        <v>33</v>
      </c>
      <c r="B8309">
        <v>2021</v>
      </c>
      <c r="C8309" t="s">
        <v>41</v>
      </c>
      <c r="D8309" t="s">
        <v>21</v>
      </c>
      <c r="E8309" t="e">
        <f>VLOOKUP(Cpi_[[#This Row],[Attribute]],#REF!,2,FALSE)</f>
        <v>#REF!</v>
      </c>
      <c r="F8309">
        <v>160.69999999999999</v>
      </c>
      <c r="G8309">
        <f>(Cpi_[[#This Row],[Value]]-F8308)/F8308</f>
        <v>-8.6366440468846738E-3</v>
      </c>
      <c r="H8309" t="e" cm="1" vm="1">
        <f t="array" aca="1" ref="H8309" ca="1">VLOOKUP(Cpi_[[#This Row],[Year]:[Month]],crudeoil[],3,FALSE)</f>
        <v>#VALUE!</v>
      </c>
    </row>
    <row r="8310" spans="1:10" hidden="1" x14ac:dyDescent="0.3">
      <c r="A8310" t="s">
        <v>33</v>
      </c>
      <c r="B8310">
        <v>2021</v>
      </c>
      <c r="C8310" t="s">
        <v>41</v>
      </c>
      <c r="D8310" t="s">
        <v>22</v>
      </c>
      <c r="E8310" t="e">
        <f>VLOOKUP(Cpi_[[#This Row],[Attribute]],#REF!,2,FALSE)</f>
        <v>#REF!</v>
      </c>
      <c r="F8310">
        <v>153.19999999999999</v>
      </c>
      <c r="G8310">
        <f>(Cpi_[[#This Row],[Value]]-F8309)/F8309</f>
        <v>-4.6670815183571877E-2</v>
      </c>
      <c r="H8310" t="e" cm="1" vm="1">
        <f t="array" aca="1" ref="H8310" ca="1">VLOOKUP(Cpi_[[#This Row],[Year]:[Month]],crudeoil[],3,FALSE)</f>
        <v>#VALUE!</v>
      </c>
    </row>
    <row r="8311" spans="1:10" hidden="1" x14ac:dyDescent="0.3">
      <c r="A8311" t="s">
        <v>33</v>
      </c>
      <c r="B8311">
        <v>2021</v>
      </c>
      <c r="C8311" t="s">
        <v>41</v>
      </c>
      <c r="D8311" t="s">
        <v>23</v>
      </c>
      <c r="E8311" t="e">
        <f>VLOOKUP(Cpi_[[#This Row],[Attribute]],#REF!,2,FALSE)</f>
        <v>#REF!</v>
      </c>
      <c r="F8311">
        <v>162.80000000000001</v>
      </c>
      <c r="G8311">
        <f>(Cpi_[[#This Row],[Value]]-F8310)/F8310</f>
        <v>6.2663185378590225E-2</v>
      </c>
      <c r="H8311" t="e" cm="1" vm="1">
        <f t="array" aca="1" ref="H8311" ca="1">VLOOKUP(Cpi_[[#This Row],[Year]:[Month]],crudeoil[],3,FALSE)</f>
        <v>#VALUE!</v>
      </c>
    </row>
    <row r="8312" spans="1:10" hidden="1" x14ac:dyDescent="0.3">
      <c r="A8312" t="s">
        <v>33</v>
      </c>
      <c r="B8312">
        <v>2021</v>
      </c>
      <c r="C8312" t="s">
        <v>41</v>
      </c>
      <c r="D8312" t="s">
        <v>24</v>
      </c>
      <c r="E8312" t="e">
        <f>VLOOKUP(Cpi_[[#This Row],[Attribute]],#REF!,2,FALSE)</f>
        <v>#REF!</v>
      </c>
      <c r="F8312">
        <v>150.4</v>
      </c>
      <c r="G8312">
        <f>(Cpi_[[#This Row],[Value]]-F8311)/F8311</f>
        <v>-7.61670761670762E-2</v>
      </c>
      <c r="H8312" t="e" cm="1" vm="1">
        <f t="array" aca="1" ref="H8312" ca="1">VLOOKUP(Cpi_[[#This Row],[Year]:[Month]],crudeoil[],3,FALSE)</f>
        <v>#VALUE!</v>
      </c>
    </row>
    <row r="8313" spans="1:10" hidden="1" x14ac:dyDescent="0.3">
      <c r="A8313" t="s">
        <v>33</v>
      </c>
      <c r="B8313">
        <v>2021</v>
      </c>
      <c r="C8313" t="s">
        <v>41</v>
      </c>
      <c r="D8313" t="s">
        <v>25</v>
      </c>
      <c r="E8313" t="e">
        <f>VLOOKUP(Cpi_[[#This Row],[Attribute]],#REF!,2,FALSE)</f>
        <v>#REF!</v>
      </c>
      <c r="F8313">
        <v>153.69999999999999</v>
      </c>
      <c r="G8313">
        <f>(Cpi_[[#This Row],[Value]]-F8312)/F8312</f>
        <v>2.1941489361702014E-2</v>
      </c>
      <c r="H8313" t="e" cm="1" vm="1">
        <f t="array" aca="1" ref="H8313" ca="1">VLOOKUP(Cpi_[[#This Row],[Year]:[Month]],crudeoil[],3,FALSE)</f>
        <v>#VALUE!</v>
      </c>
    </row>
    <row r="8314" spans="1:10" hidden="1" x14ac:dyDescent="0.3">
      <c r="A8314" t="s">
        <v>33</v>
      </c>
      <c r="B8314">
        <v>2021</v>
      </c>
      <c r="C8314" t="s">
        <v>41</v>
      </c>
      <c r="D8314" t="s">
        <v>26</v>
      </c>
      <c r="E8314" t="e">
        <f>VLOOKUP(Cpi_[[#This Row],[Attribute]],#REF!,2,FALSE)</f>
        <v>#REF!</v>
      </c>
      <c r="F8314">
        <v>160.4</v>
      </c>
      <c r="G8314">
        <f>(Cpi_[[#This Row],[Value]]-F8313)/F8313</f>
        <v>4.3591411841249303E-2</v>
      </c>
      <c r="H8314" t="e" cm="1" vm="1">
        <f t="array" aca="1" ref="H8314" ca="1">VLOOKUP(Cpi_[[#This Row],[Year]:[Month]],crudeoil[],3,FALSE)</f>
        <v>#VALUE!</v>
      </c>
    </row>
    <row r="8315" spans="1:10" hidden="1" x14ac:dyDescent="0.3">
      <c r="A8315" t="s">
        <v>33</v>
      </c>
      <c r="B8315">
        <v>2021</v>
      </c>
      <c r="C8315" t="s">
        <v>41</v>
      </c>
      <c r="D8315" t="s">
        <v>27</v>
      </c>
      <c r="E8315" t="e">
        <f>VLOOKUP(Cpi_[[#This Row],[Attribute]],#REF!,2,FALSE)</f>
        <v>#REF!</v>
      </c>
      <c r="F8315">
        <v>159.6</v>
      </c>
      <c r="G8315">
        <f>(Cpi_[[#This Row],[Value]]-F8314)/F8314</f>
        <v>-4.9875311720698964E-3</v>
      </c>
      <c r="H8315" t="e" cm="1" vm="1">
        <f t="array" aca="1" ref="H8315" ca="1">VLOOKUP(Cpi_[[#This Row],[Year]:[Month]],crudeoil[],3,FALSE)</f>
        <v>#VALUE!</v>
      </c>
    </row>
    <row r="8316" spans="1:10" hidden="1" x14ac:dyDescent="0.3">
      <c r="A8316" t="s">
        <v>33</v>
      </c>
      <c r="B8316">
        <v>2021</v>
      </c>
      <c r="C8316" t="s">
        <v>41</v>
      </c>
      <c r="D8316" t="s">
        <v>28</v>
      </c>
      <c r="E8316" t="e">
        <f>VLOOKUP(Cpi_[[#This Row],[Attribute]],#REF!,2,FALSE)</f>
        <v>#REF!</v>
      </c>
      <c r="F8316">
        <v>156</v>
      </c>
      <c r="G8316">
        <f>(Cpi_[[#This Row],[Value]]-F8315)/F8315</f>
        <v>-2.2556390977443573E-2</v>
      </c>
      <c r="H8316" t="e" cm="1" vm="1">
        <f t="array" aca="1" ref="H8316" ca="1">VLOOKUP(Cpi_[[#This Row],[Year]:[Month]],crudeoil[],3,FALSE)</f>
        <v>#VALUE!</v>
      </c>
    </row>
    <row r="8317" spans="1:10" hidden="1" x14ac:dyDescent="0.3">
      <c r="A8317" t="s">
        <v>33</v>
      </c>
      <c r="B8317">
        <v>2021</v>
      </c>
      <c r="C8317" t="s">
        <v>41</v>
      </c>
      <c r="D8317" t="s">
        <v>29</v>
      </c>
      <c r="E8317" t="e" cm="1">
        <f t="array" aca="1" ref="E8317" ca="1">VLGeneral indexGeneral indexKUP(Cpi_[[#This Row],[Attribute]],#REF!,2,FALSE)</f>
        <v>#NAME?</v>
      </c>
      <c r="F8317">
        <v>162.30000000000001</v>
      </c>
      <c r="G8317">
        <f>(Cpi_[[#This Row],[Value]]-F8316)/F8316</f>
        <v>4.0384615384615456E-2</v>
      </c>
      <c r="H8317" t="e" cm="1" vm="1">
        <f t="array" aca="1" ref="H8317" ca="1">VLOOKUP(Cpi_[[#This Row],[Year]:[Month]],crudeoil[],3,FALSE)</f>
        <v>#VALUE!</v>
      </c>
    </row>
    <row r="8318" spans="1:10" hidden="1" x14ac:dyDescent="0.3">
      <c r="A8318" t="s">
        <v>34</v>
      </c>
      <c r="B8318">
        <v>2021</v>
      </c>
      <c r="C8318" t="s">
        <v>41</v>
      </c>
      <c r="D8318" t="s">
        <v>3</v>
      </c>
      <c r="E8318" t="e">
        <f>VLOOKUP(Cpi_[[#This Row],[Attribute]],#REF!,2,FALSE)</f>
        <v>#REF!</v>
      </c>
      <c r="F8318">
        <v>146.6</v>
      </c>
      <c r="G8318">
        <f>(Cpi_[[#This Row],[Value]]-F8317)/F8317</f>
        <v>-9.6734442390634723E-2</v>
      </c>
      <c r="H8318" t="e" cm="1" vm="1">
        <f t="array" aca="1" ref="H8318" ca="1">VLOOKUP(Cpi_[[#This Row],[Year]:[Month]],crudeoil[],3,FALSE)</f>
        <v>#VALUE!</v>
      </c>
    </row>
    <row r="8319" spans="1:10" x14ac:dyDescent="0.3">
      <c r="A8319" t="s">
        <v>34</v>
      </c>
      <c r="B8319">
        <v>2021</v>
      </c>
      <c r="C8319" t="s">
        <v>41</v>
      </c>
      <c r="D8319" t="s">
        <v>4</v>
      </c>
      <c r="E8319" t="e">
        <f>VLOOKUP(Cpi_[[#This Row],[Attribute]],#REF!,2,FALSE)</f>
        <v>#REF!</v>
      </c>
      <c r="F8319">
        <v>204</v>
      </c>
      <c r="G8319" s="42">
        <f>(Cpi_[[#This Row],[Value]]-F8318)/F8318</f>
        <v>0.39154160982264669</v>
      </c>
      <c r="H8319" t="str">
        <f>LEFT(Cpi_[[#This Row],[Month]],3)</f>
        <v>Aug</v>
      </c>
      <c r="I8319" t="str">
        <f>RIGHT(Cpi_[[#This Row],[Year]],2)</f>
        <v>21</v>
      </c>
      <c r="J8319" t="str">
        <f>Cpi_[[#This Row],[Column3]]&amp;"-"&amp;Cpi_[[#This Row],[Column4]]</f>
        <v>Aug-21</v>
      </c>
    </row>
    <row r="8320" spans="1:10" x14ac:dyDescent="0.3">
      <c r="A8320" t="s">
        <v>34</v>
      </c>
      <c r="B8320">
        <v>2021</v>
      </c>
      <c r="C8320" t="s">
        <v>41</v>
      </c>
      <c r="D8320" t="s">
        <v>5</v>
      </c>
      <c r="E8320" t="e">
        <f>VLOOKUP(Cpi_[[#This Row],[Attribute]],#REF!,2,FALSE)</f>
        <v>#REF!</v>
      </c>
      <c r="F8320">
        <v>172.8</v>
      </c>
      <c r="G8320" s="42">
        <f>(Cpi_[[#This Row],[Value]]-F8319)/F8319</f>
        <v>-0.15294117647058819</v>
      </c>
      <c r="H8320" t="str">
        <f>LEFT(Cpi_[[#This Row],[Month]],3)</f>
        <v>Aug</v>
      </c>
      <c r="I8320" t="str">
        <f>RIGHT(Cpi_[[#This Row],[Year]],2)</f>
        <v>21</v>
      </c>
      <c r="J8320" t="str">
        <f>Cpi_[[#This Row],[Column3]]&amp;"-"&amp;Cpi_[[#This Row],[Column4]]</f>
        <v>Aug-21</v>
      </c>
    </row>
    <row r="8321" spans="1:10" x14ac:dyDescent="0.3">
      <c r="A8321" t="s">
        <v>34</v>
      </c>
      <c r="B8321">
        <v>2021</v>
      </c>
      <c r="C8321" t="s">
        <v>41</v>
      </c>
      <c r="D8321" t="s">
        <v>6</v>
      </c>
      <c r="E8321" t="e">
        <f>VLOOKUP(Cpi_[[#This Row],[Attribute]],#REF!,2,FALSE)</f>
        <v>#REF!</v>
      </c>
      <c r="F8321">
        <v>158.4</v>
      </c>
      <c r="G8321" s="42">
        <f>(Cpi_[[#This Row],[Value]]-F8320)/F8320</f>
        <v>-8.3333333333333356E-2</v>
      </c>
      <c r="H8321" t="str">
        <f>LEFT(Cpi_[[#This Row],[Month]],3)</f>
        <v>Aug</v>
      </c>
      <c r="I8321" t="str">
        <f>RIGHT(Cpi_[[#This Row],[Year]],2)</f>
        <v>21</v>
      </c>
      <c r="J8321" t="str">
        <f>Cpi_[[#This Row],[Column3]]&amp;"-"&amp;Cpi_[[#This Row],[Column4]]</f>
        <v>Aug-21</v>
      </c>
    </row>
    <row r="8322" spans="1:10" x14ac:dyDescent="0.3">
      <c r="A8322" t="s">
        <v>34</v>
      </c>
      <c r="B8322">
        <v>2021</v>
      </c>
      <c r="C8322" t="s">
        <v>41</v>
      </c>
      <c r="D8322" t="s">
        <v>7</v>
      </c>
      <c r="E8322" t="e">
        <f>VLOOKUP(Cpi_[[#This Row],[Attribute]],#REF!,2,FALSE)</f>
        <v>#REF!</v>
      </c>
      <c r="F8322">
        <v>188</v>
      </c>
      <c r="G8322" s="42">
        <f>(Cpi_[[#This Row],[Value]]-F8321)/F8321</f>
        <v>0.18686868686868682</v>
      </c>
      <c r="H8322" t="str">
        <f>LEFT(Cpi_[[#This Row],[Month]],3)</f>
        <v>Aug</v>
      </c>
      <c r="I8322" t="str">
        <f>RIGHT(Cpi_[[#This Row],[Year]],2)</f>
        <v>21</v>
      </c>
      <c r="J8322" t="str">
        <f>Cpi_[[#This Row],[Column3]]&amp;"-"&amp;Cpi_[[#This Row],[Column4]]</f>
        <v>Aug-21</v>
      </c>
    </row>
    <row r="8323" spans="1:10" x14ac:dyDescent="0.3">
      <c r="A8323" t="s">
        <v>34</v>
      </c>
      <c r="B8323">
        <v>2021</v>
      </c>
      <c r="C8323" t="s">
        <v>41</v>
      </c>
      <c r="D8323" t="s">
        <v>8</v>
      </c>
      <c r="E8323" t="e">
        <f>VLOOKUP(Cpi_[[#This Row],[Attribute]],#REF!,2,FALSE)</f>
        <v>#REF!</v>
      </c>
      <c r="F8323">
        <v>156.80000000000001</v>
      </c>
      <c r="G8323" s="42">
        <f>(Cpi_[[#This Row],[Value]]-F8322)/F8322</f>
        <v>-0.16595744680851057</v>
      </c>
      <c r="H8323" t="str">
        <f>LEFT(Cpi_[[#This Row],[Month]],3)</f>
        <v>Aug</v>
      </c>
      <c r="I8323" t="str">
        <f>RIGHT(Cpi_[[#This Row],[Year]],2)</f>
        <v>21</v>
      </c>
      <c r="J8323" t="str">
        <f>Cpi_[[#This Row],[Column3]]&amp;"-"&amp;Cpi_[[#This Row],[Column4]]</f>
        <v>Aug-21</v>
      </c>
    </row>
    <row r="8324" spans="1:10" x14ac:dyDescent="0.3">
      <c r="A8324" t="s">
        <v>34</v>
      </c>
      <c r="B8324">
        <v>2021</v>
      </c>
      <c r="C8324" t="s">
        <v>41</v>
      </c>
      <c r="D8324" t="s">
        <v>9</v>
      </c>
      <c r="E8324" t="e">
        <f>VLOOKUP(Cpi_[[#This Row],[Attribute]],#REF!,2,FALSE)</f>
        <v>#REF!</v>
      </c>
      <c r="F8324">
        <v>162.19999999999999</v>
      </c>
      <c r="G8324" s="42">
        <f>(Cpi_[[#This Row],[Value]]-F8323)/F8323</f>
        <v>3.4438775510203933E-2</v>
      </c>
      <c r="H8324" t="str">
        <f>LEFT(Cpi_[[#This Row],[Month]],3)</f>
        <v>Aug</v>
      </c>
      <c r="I8324" t="str">
        <f>RIGHT(Cpi_[[#This Row],[Year]],2)</f>
        <v>21</v>
      </c>
      <c r="J8324" t="str">
        <f>Cpi_[[#This Row],[Column3]]&amp;"-"&amp;Cpi_[[#This Row],[Column4]]</f>
        <v>Aug-21</v>
      </c>
    </row>
    <row r="8325" spans="1:10" x14ac:dyDescent="0.3">
      <c r="A8325" t="s">
        <v>34</v>
      </c>
      <c r="B8325">
        <v>2021</v>
      </c>
      <c r="C8325" t="s">
        <v>41</v>
      </c>
      <c r="D8325" t="s">
        <v>10</v>
      </c>
      <c r="E8325" t="e">
        <f>VLOOKUP(Cpi_[[#This Row],[Attribute]],#REF!,2,FALSE)</f>
        <v>#REF!</v>
      </c>
      <c r="F8325">
        <v>164.1</v>
      </c>
      <c r="G8325" s="42">
        <f>(Cpi_[[#This Row],[Value]]-F8324)/F8324</f>
        <v>1.171393341553641E-2</v>
      </c>
      <c r="H8325" t="str">
        <f>LEFT(Cpi_[[#This Row],[Month]],3)</f>
        <v>Aug</v>
      </c>
      <c r="I8325" t="str">
        <f>RIGHT(Cpi_[[#This Row],[Year]],2)</f>
        <v>21</v>
      </c>
      <c r="J8325" t="str">
        <f>Cpi_[[#This Row],[Column3]]&amp;"-"&amp;Cpi_[[#This Row],[Column4]]</f>
        <v>Aug-21</v>
      </c>
    </row>
    <row r="8326" spans="1:10" x14ac:dyDescent="0.3">
      <c r="A8326" t="s">
        <v>34</v>
      </c>
      <c r="B8326">
        <v>2021</v>
      </c>
      <c r="C8326" t="s">
        <v>41</v>
      </c>
      <c r="D8326" t="s">
        <v>11</v>
      </c>
      <c r="E8326" t="e">
        <f>VLOOKUP(Cpi_[[#This Row],[Attribute]],#REF!,2,FALSE)</f>
        <v>#REF!</v>
      </c>
      <c r="F8326">
        <v>119.7</v>
      </c>
      <c r="G8326" s="42">
        <f>(Cpi_[[#This Row],[Value]]-F8325)/F8325</f>
        <v>-0.2705667276051188</v>
      </c>
      <c r="H8326" t="str">
        <f>LEFT(Cpi_[[#This Row],[Month]],3)</f>
        <v>Aug</v>
      </c>
      <c r="I8326" t="str">
        <f>RIGHT(Cpi_[[#This Row],[Year]],2)</f>
        <v>21</v>
      </c>
      <c r="J8326" t="str">
        <f>Cpi_[[#This Row],[Column3]]&amp;"-"&amp;Cpi_[[#This Row],[Column4]]</f>
        <v>Aug-21</v>
      </c>
    </row>
    <row r="8327" spans="1:10" x14ac:dyDescent="0.3">
      <c r="A8327" t="s">
        <v>34</v>
      </c>
      <c r="B8327">
        <v>2021</v>
      </c>
      <c r="C8327" t="s">
        <v>41</v>
      </c>
      <c r="D8327" t="s">
        <v>12</v>
      </c>
      <c r="E8327" t="e">
        <f>VLOOKUP(Cpi_[[#This Row],[Attribute]],#REF!,2,FALSE)</f>
        <v>#REF!</v>
      </c>
      <c r="F8327">
        <v>168.8</v>
      </c>
      <c r="G8327" s="42">
        <f>(Cpi_[[#This Row],[Value]]-F8326)/F8326</f>
        <v>0.41019214703425239</v>
      </c>
      <c r="H8327" t="str">
        <f>LEFT(Cpi_[[#This Row],[Month]],3)</f>
        <v>Aug</v>
      </c>
      <c r="I8327" t="str">
        <f>RIGHT(Cpi_[[#This Row],[Year]],2)</f>
        <v>21</v>
      </c>
      <c r="J8327" t="str">
        <f>Cpi_[[#This Row],[Column3]]&amp;"-"&amp;Cpi_[[#This Row],[Column4]]</f>
        <v>Aug-21</v>
      </c>
    </row>
    <row r="8328" spans="1:10" x14ac:dyDescent="0.3">
      <c r="A8328" t="s">
        <v>34</v>
      </c>
      <c r="B8328">
        <v>2021</v>
      </c>
      <c r="C8328" t="s">
        <v>41</v>
      </c>
      <c r="D8328" t="s">
        <v>13</v>
      </c>
      <c r="E8328" t="e">
        <f>VLOOKUP(Cpi_[[#This Row],[Attribute]],#REF!,2,FALSE)</f>
        <v>#REF!</v>
      </c>
      <c r="F8328">
        <v>162.69999999999999</v>
      </c>
      <c r="G8328" s="42">
        <f>(Cpi_[[#This Row],[Value]]-F8327)/F8327</f>
        <v>-3.6137440758293969E-2</v>
      </c>
      <c r="H8328" t="str">
        <f>LEFT(Cpi_[[#This Row],[Month]],3)</f>
        <v>Aug</v>
      </c>
      <c r="I8328" t="str">
        <f>RIGHT(Cpi_[[#This Row],[Year]],2)</f>
        <v>21</v>
      </c>
      <c r="J8328" t="str">
        <f>Cpi_[[#This Row],[Column3]]&amp;"-"&amp;Cpi_[[#This Row],[Column4]]</f>
        <v>Aug-21</v>
      </c>
    </row>
    <row r="8329" spans="1:10" x14ac:dyDescent="0.3">
      <c r="A8329" t="s">
        <v>34</v>
      </c>
      <c r="B8329">
        <v>2021</v>
      </c>
      <c r="C8329" t="s">
        <v>41</v>
      </c>
      <c r="D8329" t="s">
        <v>14</v>
      </c>
      <c r="E8329" t="e">
        <f>VLOOKUP(Cpi_[[#This Row],[Attribute]],#REF!,2,FALSE)</f>
        <v>#REF!</v>
      </c>
      <c r="F8329">
        <v>173.9</v>
      </c>
      <c r="G8329" s="42">
        <f>(Cpi_[[#This Row],[Value]]-F8328)/F8328</f>
        <v>6.8838352796558186E-2</v>
      </c>
      <c r="H8329" t="str">
        <f>LEFT(Cpi_[[#This Row],[Month]],3)</f>
        <v>Aug</v>
      </c>
      <c r="I8329" t="str">
        <f>RIGHT(Cpi_[[#This Row],[Year]],2)</f>
        <v>21</v>
      </c>
      <c r="J8329" t="str">
        <f>Cpi_[[#This Row],[Column3]]&amp;"-"&amp;Cpi_[[#This Row],[Column4]]</f>
        <v>Aug-21</v>
      </c>
    </row>
    <row r="8330" spans="1:10" x14ac:dyDescent="0.3">
      <c r="A8330" t="s">
        <v>34</v>
      </c>
      <c r="B8330">
        <v>2021</v>
      </c>
      <c r="C8330" t="s">
        <v>41</v>
      </c>
      <c r="D8330" t="s">
        <v>15</v>
      </c>
      <c r="E8330" t="e">
        <f>VLOOKUP(Cpi_[[#This Row],[Attribute]],#REF!,2,FALSE)</f>
        <v>#REF!</v>
      </c>
      <c r="F8330">
        <v>164</v>
      </c>
      <c r="G8330" s="42">
        <f>(Cpi_[[#This Row],[Value]]-F8329)/F8329</f>
        <v>-5.6929269695227172E-2</v>
      </c>
      <c r="H8330" t="str">
        <f>LEFT(Cpi_[[#This Row],[Month]],3)</f>
        <v>Aug</v>
      </c>
      <c r="I8330" t="str">
        <f>RIGHT(Cpi_[[#This Row],[Year]],2)</f>
        <v>21</v>
      </c>
      <c r="J8330" t="str">
        <f>Cpi_[[#This Row],[Column3]]&amp;"-"&amp;Cpi_[[#This Row],[Column4]]</f>
        <v>Aug-21</v>
      </c>
    </row>
    <row r="8331" spans="1:10" hidden="1" x14ac:dyDescent="0.3">
      <c r="A8331" t="s">
        <v>34</v>
      </c>
      <c r="B8331">
        <v>2021</v>
      </c>
      <c r="C8331" t="s">
        <v>41</v>
      </c>
      <c r="D8331" t="s">
        <v>16</v>
      </c>
      <c r="E8331" t="e">
        <f>VLOOKUP(Cpi_[[#This Row],[Attribute]],#REF!,2,FALSE)</f>
        <v>#REF!</v>
      </c>
      <c r="F8331">
        <v>192.1</v>
      </c>
      <c r="G8331">
        <f>(Cpi_[[#This Row],[Value]]-F8330)/F8330</f>
        <v>0.1713414634146341</v>
      </c>
      <c r="H8331" t="e" cm="1" vm="1">
        <f t="array" aca="1" ref="H8331" ca="1">VLOOKUP(Cpi_[[#This Row],[Year]:[Month]],crudeoil[],3,FALSE)</f>
        <v>#VALUE!</v>
      </c>
    </row>
    <row r="8332" spans="1:10" hidden="1" x14ac:dyDescent="0.3">
      <c r="A8332" t="s">
        <v>34</v>
      </c>
      <c r="B8332">
        <v>2021</v>
      </c>
      <c r="C8332" t="s">
        <v>41</v>
      </c>
      <c r="D8332" t="s">
        <v>17</v>
      </c>
      <c r="E8332" t="e">
        <f>VLOOKUP(Cpi_[[#This Row],[Attribute]],#REF!,2,FALSE)</f>
        <v>#REF!</v>
      </c>
      <c r="F8332">
        <v>164.5</v>
      </c>
      <c r="G8332">
        <f>(Cpi_[[#This Row],[Value]]-F8331)/F8331</f>
        <v>-0.1436751691827173</v>
      </c>
      <c r="H8332" t="e" cm="1" vm="1">
        <f t="array" aca="1" ref="H8332" ca="1">VLOOKUP(Cpi_[[#This Row],[Year]:[Month]],crudeoil[],3,FALSE)</f>
        <v>#VALUE!</v>
      </c>
    </row>
    <row r="8333" spans="1:10" hidden="1" x14ac:dyDescent="0.3">
      <c r="A8333" t="s">
        <v>34</v>
      </c>
      <c r="B8333">
        <v>2021</v>
      </c>
      <c r="C8333" t="s">
        <v>41</v>
      </c>
      <c r="D8333" t="s">
        <v>18</v>
      </c>
      <c r="E8333" t="e">
        <f>VLOOKUP(Cpi_[[#This Row],[Attribute]],#REF!,2,FALSE)</f>
        <v>#REF!</v>
      </c>
      <c r="F8333">
        <v>155.30000000000001</v>
      </c>
      <c r="G8333">
        <f>(Cpi_[[#This Row],[Value]]-F8332)/F8332</f>
        <v>-5.5927051671732453E-2</v>
      </c>
      <c r="H8333" t="e" cm="1" vm="1">
        <f t="array" aca="1" ref="H8333" ca="1">VLOOKUP(Cpi_[[#This Row],[Year]:[Month]],crudeoil[],3,FALSE)</f>
        <v>#VALUE!</v>
      </c>
    </row>
    <row r="8334" spans="1:10" hidden="1" x14ac:dyDescent="0.3">
      <c r="A8334" t="s">
        <v>34</v>
      </c>
      <c r="B8334">
        <v>2021</v>
      </c>
      <c r="C8334" t="s">
        <v>41</v>
      </c>
      <c r="D8334" t="s">
        <v>19</v>
      </c>
      <c r="E8334" t="e">
        <f>VLOOKUP(Cpi_[[#This Row],[Attribute]],#REF!,2,FALSE)</f>
        <v>#REF!</v>
      </c>
      <c r="F8334">
        <v>163.19999999999999</v>
      </c>
      <c r="G8334">
        <f>(Cpi_[[#This Row],[Value]]-F8333)/F8333</f>
        <v>5.0869285254346273E-2</v>
      </c>
      <c r="H8334" t="e" cm="1" vm="1">
        <f t="array" aca="1" ref="H8334" ca="1">VLOOKUP(Cpi_[[#This Row],[Year]:[Month]],crudeoil[],3,FALSE)</f>
        <v>#VALUE!</v>
      </c>
    </row>
    <row r="8335" spans="1:10" hidden="1" x14ac:dyDescent="0.3">
      <c r="A8335" t="s">
        <v>34</v>
      </c>
      <c r="B8335">
        <v>2021</v>
      </c>
      <c r="C8335" t="s">
        <v>41</v>
      </c>
      <c r="D8335" t="s">
        <v>20</v>
      </c>
      <c r="E8335" t="e">
        <f>VLOOKUP(Cpi_[[#This Row],[Attribute]],#REF!,2,FALSE)</f>
        <v>#REF!</v>
      </c>
      <c r="F8335">
        <v>162.1</v>
      </c>
      <c r="G8335">
        <f>(Cpi_[[#This Row],[Value]]-F8334)/F8334</f>
        <v>-6.7401960784313382E-3</v>
      </c>
      <c r="H8335" t="e" cm="1" vm="1">
        <f t="array" aca="1" ref="H8335" ca="1">VLOOKUP(Cpi_[[#This Row],[Year]:[Month]],crudeoil[],3,FALSE)</f>
        <v>#VALUE!</v>
      </c>
    </row>
    <row r="8336" spans="1:10" hidden="1" x14ac:dyDescent="0.3">
      <c r="A8336" t="s">
        <v>34</v>
      </c>
      <c r="B8336">
        <v>2021</v>
      </c>
      <c r="C8336" t="s">
        <v>41</v>
      </c>
      <c r="D8336" t="s">
        <v>21</v>
      </c>
      <c r="E8336" t="e">
        <f>VLOOKUP(Cpi_[[#This Row],[Attribute]],#REF!,2,FALSE)</f>
        <v>#REF!</v>
      </c>
      <c r="F8336">
        <v>162.6</v>
      </c>
      <c r="G8336">
        <f>(Cpi_[[#This Row],[Value]]-F8335)/F8335</f>
        <v>3.0845157310302285E-3</v>
      </c>
      <c r="H8336" t="e" cm="1" vm="1">
        <f t="array" aca="1" ref="H8336" ca="1">VLOOKUP(Cpi_[[#This Row],[Year]:[Month]],crudeoil[],3,FALSE)</f>
        <v>#VALUE!</v>
      </c>
    </row>
    <row r="8337" spans="1:8" hidden="1" x14ac:dyDescent="0.3">
      <c r="A8337" t="s">
        <v>34</v>
      </c>
      <c r="B8337">
        <v>2021</v>
      </c>
      <c r="C8337" t="s">
        <v>41</v>
      </c>
      <c r="D8337" t="s">
        <v>22</v>
      </c>
      <c r="E8337" t="e">
        <f>VLOOKUP(Cpi_[[#This Row],[Attribute]],#REF!,2,FALSE)</f>
        <v>#REF!</v>
      </c>
      <c r="F8337">
        <v>157.5</v>
      </c>
      <c r="G8337">
        <f>(Cpi_[[#This Row],[Value]]-F8336)/F8336</f>
        <v>-3.1365313653136495E-2</v>
      </c>
      <c r="H8337" t="e" cm="1" vm="1">
        <f t="array" aca="1" ref="H8337" ca="1">VLOOKUP(Cpi_[[#This Row],[Year]:[Month]],crudeoil[],3,FALSE)</f>
        <v>#VALUE!</v>
      </c>
    </row>
    <row r="8338" spans="1:8" hidden="1" x14ac:dyDescent="0.3">
      <c r="A8338" t="s">
        <v>34</v>
      </c>
      <c r="B8338">
        <v>2021</v>
      </c>
      <c r="C8338" t="s">
        <v>41</v>
      </c>
      <c r="D8338" t="s">
        <v>23</v>
      </c>
      <c r="E8338" t="e">
        <f>VLOOKUP(Cpi_[[#This Row],[Attribute]],#REF!,2,FALSE)</f>
        <v>#REF!</v>
      </c>
      <c r="F8338">
        <v>168.4</v>
      </c>
      <c r="G8338">
        <f>(Cpi_[[#This Row],[Value]]-F8337)/F8337</f>
        <v>6.9206349206349244E-2</v>
      </c>
      <c r="H8338" t="e" cm="1" vm="1">
        <f t="array" aca="1" ref="H8338" ca="1">VLOOKUP(Cpi_[[#This Row],[Year]:[Month]],crudeoil[],3,FALSE)</f>
        <v>#VALUE!</v>
      </c>
    </row>
    <row r="8339" spans="1:8" hidden="1" x14ac:dyDescent="0.3">
      <c r="A8339" t="s">
        <v>34</v>
      </c>
      <c r="B8339">
        <v>2021</v>
      </c>
      <c r="C8339" t="s">
        <v>41</v>
      </c>
      <c r="D8339" t="s">
        <v>24</v>
      </c>
      <c r="E8339" t="e">
        <f>VLOOKUP(Cpi_[[#This Row],[Attribute]],#REF!,2,FALSE)</f>
        <v>#REF!</v>
      </c>
      <c r="F8339">
        <v>154</v>
      </c>
      <c r="G8339">
        <f>(Cpi_[[#This Row],[Value]]-F8338)/F8338</f>
        <v>-8.5510688836104548E-2</v>
      </c>
      <c r="H8339" t="e" cm="1" vm="1">
        <f t="array" aca="1" ref="H8339" ca="1">VLOOKUP(Cpi_[[#This Row],[Year]:[Month]],crudeoil[],3,FALSE)</f>
        <v>#VALUE!</v>
      </c>
    </row>
    <row r="8340" spans="1:8" hidden="1" x14ac:dyDescent="0.3">
      <c r="A8340" t="s">
        <v>34</v>
      </c>
      <c r="B8340">
        <v>2021</v>
      </c>
      <c r="C8340" t="s">
        <v>41</v>
      </c>
      <c r="D8340" t="s">
        <v>25</v>
      </c>
      <c r="E8340" t="e">
        <f>VLOOKUP(Cpi_[[#This Row],[Attribute]],#REF!,2,FALSE)</f>
        <v>#REF!</v>
      </c>
      <c r="F8340">
        <v>157.6</v>
      </c>
      <c r="G8340">
        <f>(Cpi_[[#This Row],[Value]]-F8339)/F8339</f>
        <v>2.3376623376623339E-2</v>
      </c>
      <c r="H8340" t="e" cm="1" vm="1">
        <f t="array" aca="1" ref="H8340" ca="1">VLOOKUP(Cpi_[[#This Row],[Year]:[Month]],crudeoil[],3,FALSE)</f>
        <v>#VALUE!</v>
      </c>
    </row>
    <row r="8341" spans="1:8" hidden="1" x14ac:dyDescent="0.3">
      <c r="A8341" t="s">
        <v>34</v>
      </c>
      <c r="B8341">
        <v>2021</v>
      </c>
      <c r="C8341" t="s">
        <v>41</v>
      </c>
      <c r="D8341" t="s">
        <v>26</v>
      </c>
      <c r="E8341" t="e">
        <f>VLOOKUP(Cpi_[[#This Row],[Attribute]],#REF!,2,FALSE)</f>
        <v>#REF!</v>
      </c>
      <c r="F8341">
        <v>163.80000000000001</v>
      </c>
      <c r="G8341">
        <f>(Cpi_[[#This Row],[Value]]-F8340)/F8340</f>
        <v>3.9340101522842751E-2</v>
      </c>
      <c r="H8341" t="e" cm="1" vm="1">
        <f t="array" aca="1" ref="H8341" ca="1">VLOOKUP(Cpi_[[#This Row],[Year]:[Month]],crudeoil[],3,FALSE)</f>
        <v>#VALUE!</v>
      </c>
    </row>
    <row r="8342" spans="1:8" hidden="1" x14ac:dyDescent="0.3">
      <c r="A8342" t="s">
        <v>34</v>
      </c>
      <c r="B8342">
        <v>2021</v>
      </c>
      <c r="C8342" t="s">
        <v>41</v>
      </c>
      <c r="D8342" t="s">
        <v>27</v>
      </c>
      <c r="E8342" t="e">
        <f>VLOOKUP(Cpi_[[#This Row],[Attribute]],#REF!,2,FALSE)</f>
        <v>#REF!</v>
      </c>
      <c r="F8342">
        <v>160</v>
      </c>
      <c r="G8342">
        <f>(Cpi_[[#This Row],[Value]]-F8341)/F8341</f>
        <v>-2.3199023199023266E-2</v>
      </c>
      <c r="H8342" t="e" cm="1" vm="1">
        <f t="array" aca="1" ref="H8342" ca="1">VLOOKUP(Cpi_[[#This Row],[Year]:[Month]],crudeoil[],3,FALSE)</f>
        <v>#VALUE!</v>
      </c>
    </row>
    <row r="8343" spans="1:8" hidden="1" x14ac:dyDescent="0.3">
      <c r="A8343" t="s">
        <v>34</v>
      </c>
      <c r="B8343">
        <v>2021</v>
      </c>
      <c r="C8343" t="s">
        <v>41</v>
      </c>
      <c r="D8343" t="s">
        <v>28</v>
      </c>
      <c r="E8343" t="e">
        <f>VLOOKUP(Cpi_[[#This Row],[Attribute]],#REF!,2,FALSE)</f>
        <v>#REF!</v>
      </c>
      <c r="F8343">
        <v>160</v>
      </c>
      <c r="G8343">
        <f>(Cpi_[[#This Row],[Value]]-F8342)/F8342</f>
        <v>0</v>
      </c>
      <c r="H8343" t="e" cm="1" vm="1">
        <f t="array" aca="1" ref="H8343" ca="1">VLOOKUP(Cpi_[[#This Row],[Year]:[Month]],crudeoil[],3,FALSE)</f>
        <v>#VALUE!</v>
      </c>
    </row>
    <row r="8344" spans="1:8" hidden="1" x14ac:dyDescent="0.3">
      <c r="A8344" t="s">
        <v>34</v>
      </c>
      <c r="B8344">
        <v>2021</v>
      </c>
      <c r="C8344" t="s">
        <v>41</v>
      </c>
      <c r="D8344" t="s">
        <v>29</v>
      </c>
      <c r="E8344" t="e" cm="1">
        <f t="array" aca="1" ref="E8344" ca="1">VLGeneral indexGeneral indexKUP(Cpi_[[#This Row],[Attribute]],#REF!,2,FALSE)</f>
        <v>#NAME?</v>
      </c>
      <c r="F8344">
        <v>163.19999999999999</v>
      </c>
      <c r="G8344">
        <f>(Cpi_[[#This Row],[Value]]-F8343)/F8343</f>
        <v>1.9999999999999928E-2</v>
      </c>
      <c r="H8344" t="e" cm="1" vm="1">
        <f t="array" aca="1" ref="H8344" ca="1">VLOOKUP(Cpi_[[#This Row],[Year]:[Month]],crudeoil[],3,FALSE)</f>
        <v>#VALUE!</v>
      </c>
    </row>
    <row r="8345" spans="1:8" hidden="1" x14ac:dyDescent="0.3">
      <c r="A8345" t="s">
        <v>30</v>
      </c>
      <c r="B8345">
        <v>2021</v>
      </c>
      <c r="C8345" t="s">
        <v>42</v>
      </c>
      <c r="D8345" t="s">
        <v>3</v>
      </c>
      <c r="E8345" t="e">
        <f>VLOOKUP(Cpi_[[#This Row],[Attribute]],#REF!,2,FALSE)</f>
        <v>#REF!</v>
      </c>
      <c r="F8345">
        <v>145.4</v>
      </c>
      <c r="G8345">
        <f>(Cpi_[[#This Row],[Value]]-F8344)/F8344</f>
        <v>-0.1090686274509803</v>
      </c>
      <c r="H8345" t="e" cm="1" vm="1">
        <f t="array" aca="1" ref="H8345" ca="1">VLOOKUP(Cpi_[[#This Row],[Year]:[Month]],crudeoil[],3,FALSE)</f>
        <v>#VALUE!</v>
      </c>
    </row>
    <row r="8346" spans="1:8" hidden="1" x14ac:dyDescent="0.3">
      <c r="A8346" t="s">
        <v>30</v>
      </c>
      <c r="B8346">
        <v>2021</v>
      </c>
      <c r="C8346" t="s">
        <v>42</v>
      </c>
      <c r="D8346" t="s">
        <v>4</v>
      </c>
      <c r="E8346" t="e">
        <f>VLOOKUP(Cpi_[[#This Row],[Attribute]],#REF!,2,FALSE)</f>
        <v>#REF!</v>
      </c>
      <c r="F8346">
        <v>202.1</v>
      </c>
      <c r="G8346">
        <f>(Cpi_[[#This Row],[Value]]-F8345)/F8345</f>
        <v>0.38995873452544694</v>
      </c>
      <c r="H8346" t="e" cm="1" vm="1">
        <f t="array" aca="1" ref="H8346" ca="1">VLOOKUP(Cpi_[[#This Row],[Year]:[Month]],crudeoil[],3,FALSE)</f>
        <v>#VALUE!</v>
      </c>
    </row>
    <row r="8347" spans="1:8" hidden="1" x14ac:dyDescent="0.3">
      <c r="A8347" t="s">
        <v>30</v>
      </c>
      <c r="B8347">
        <v>2021</v>
      </c>
      <c r="C8347" t="s">
        <v>42</v>
      </c>
      <c r="D8347" t="s">
        <v>5</v>
      </c>
      <c r="E8347" t="e">
        <f>VLOOKUP(Cpi_[[#This Row],[Attribute]],#REF!,2,FALSE)</f>
        <v>#REF!</v>
      </c>
      <c r="F8347">
        <v>172</v>
      </c>
      <c r="G8347">
        <f>(Cpi_[[#This Row],[Value]]-F8346)/F8346</f>
        <v>-0.14893617021276592</v>
      </c>
      <c r="H8347" t="e" cm="1" vm="1">
        <f t="array" aca="1" ref="H8347" ca="1">VLOOKUP(Cpi_[[#This Row],[Year]:[Month]],crudeoil[],3,FALSE)</f>
        <v>#VALUE!</v>
      </c>
    </row>
    <row r="8348" spans="1:8" hidden="1" x14ac:dyDescent="0.3">
      <c r="A8348" t="s">
        <v>30</v>
      </c>
      <c r="B8348">
        <v>2021</v>
      </c>
      <c r="C8348" t="s">
        <v>42</v>
      </c>
      <c r="D8348" t="s">
        <v>6</v>
      </c>
      <c r="E8348" t="e">
        <f>VLOOKUP(Cpi_[[#This Row],[Attribute]],#REF!,2,FALSE)</f>
        <v>#REF!</v>
      </c>
      <c r="F8348">
        <v>158</v>
      </c>
      <c r="G8348">
        <f>(Cpi_[[#This Row],[Value]]-F8347)/F8347</f>
        <v>-8.1395348837209308E-2</v>
      </c>
      <c r="H8348" t="e" cm="1" vm="1">
        <f t="array" aca="1" ref="H8348" ca="1">VLOOKUP(Cpi_[[#This Row],[Year]:[Month]],crudeoil[],3,FALSE)</f>
        <v>#VALUE!</v>
      </c>
    </row>
    <row r="8349" spans="1:8" hidden="1" x14ac:dyDescent="0.3">
      <c r="A8349" t="s">
        <v>30</v>
      </c>
      <c r="B8349">
        <v>2021</v>
      </c>
      <c r="C8349" t="s">
        <v>42</v>
      </c>
      <c r="D8349" t="s">
        <v>7</v>
      </c>
      <c r="E8349" t="e">
        <f>VLOOKUP(Cpi_[[#This Row],[Attribute]],#REF!,2,FALSE)</f>
        <v>#REF!</v>
      </c>
      <c r="F8349">
        <v>195.5</v>
      </c>
      <c r="G8349">
        <f>(Cpi_[[#This Row],[Value]]-F8348)/F8348</f>
        <v>0.23734177215189872</v>
      </c>
      <c r="H8349" t="e" cm="1" vm="1">
        <f t="array" aca="1" ref="H8349" ca="1">VLOOKUP(Cpi_[[#This Row],[Year]:[Month]],crudeoil[],3,FALSE)</f>
        <v>#VALUE!</v>
      </c>
    </row>
    <row r="8350" spans="1:8" hidden="1" x14ac:dyDescent="0.3">
      <c r="A8350" t="s">
        <v>30</v>
      </c>
      <c r="B8350">
        <v>2021</v>
      </c>
      <c r="C8350" t="s">
        <v>42</v>
      </c>
      <c r="D8350" t="s">
        <v>8</v>
      </c>
      <c r="E8350" t="e">
        <f>VLOOKUP(Cpi_[[#This Row],[Attribute]],#REF!,2,FALSE)</f>
        <v>#REF!</v>
      </c>
      <c r="F8350">
        <v>152.69999999999999</v>
      </c>
      <c r="G8350">
        <f>(Cpi_[[#This Row],[Value]]-F8349)/F8349</f>
        <v>-0.21892583120204609</v>
      </c>
      <c r="H8350" t="e" cm="1" vm="1">
        <f t="array" aca="1" ref="H8350" ca="1">VLOOKUP(Cpi_[[#This Row],[Year]:[Month]],crudeoil[],3,FALSE)</f>
        <v>#VALUE!</v>
      </c>
    </row>
    <row r="8351" spans="1:8" hidden="1" x14ac:dyDescent="0.3">
      <c r="A8351" t="s">
        <v>30</v>
      </c>
      <c r="B8351">
        <v>2021</v>
      </c>
      <c r="C8351" t="s">
        <v>42</v>
      </c>
      <c r="D8351" t="s">
        <v>9</v>
      </c>
      <c r="E8351" t="e">
        <f>VLOOKUP(Cpi_[[#This Row],[Attribute]],#REF!,2,FALSE)</f>
        <v>#REF!</v>
      </c>
      <c r="F8351">
        <v>151.4</v>
      </c>
      <c r="G8351">
        <f>(Cpi_[[#This Row],[Value]]-F8350)/F8350</f>
        <v>-8.5134250163718603E-3</v>
      </c>
      <c r="H8351" t="e" cm="1" vm="1">
        <f t="array" aca="1" ref="H8351" ca="1">VLOOKUP(Cpi_[[#This Row],[Year]:[Month]],crudeoil[],3,FALSE)</f>
        <v>#VALUE!</v>
      </c>
    </row>
    <row r="8352" spans="1:8" hidden="1" x14ac:dyDescent="0.3">
      <c r="A8352" t="s">
        <v>30</v>
      </c>
      <c r="B8352">
        <v>2021</v>
      </c>
      <c r="C8352" t="s">
        <v>42</v>
      </c>
      <c r="D8352" t="s">
        <v>10</v>
      </c>
      <c r="E8352" t="e">
        <f>VLOOKUP(Cpi_[[#This Row],[Attribute]],#REF!,2,FALSE)</f>
        <v>#REF!</v>
      </c>
      <c r="F8352">
        <v>163.9</v>
      </c>
      <c r="G8352">
        <f>(Cpi_[[#This Row],[Value]]-F8351)/F8351</f>
        <v>8.2562747688243066E-2</v>
      </c>
      <c r="H8352" t="e" cm="1" vm="1">
        <f t="array" aca="1" ref="H8352" ca="1">VLOOKUP(Cpi_[[#This Row],[Year]:[Month]],crudeoil[],3,FALSE)</f>
        <v>#VALUE!</v>
      </c>
    </row>
    <row r="8353" spans="1:8" hidden="1" x14ac:dyDescent="0.3">
      <c r="A8353" t="s">
        <v>30</v>
      </c>
      <c r="B8353">
        <v>2021</v>
      </c>
      <c r="C8353" t="s">
        <v>42</v>
      </c>
      <c r="D8353" t="s">
        <v>11</v>
      </c>
      <c r="E8353" t="e">
        <f>VLOOKUP(Cpi_[[#This Row],[Attribute]],#REF!,2,FALSE)</f>
        <v>#REF!</v>
      </c>
      <c r="F8353">
        <v>119.3</v>
      </c>
      <c r="G8353">
        <f>(Cpi_[[#This Row],[Value]]-F8352)/F8352</f>
        <v>-0.27211714460036612</v>
      </c>
      <c r="H8353" t="e" cm="1" vm="1">
        <f t="array" aca="1" ref="H8353" ca="1">VLOOKUP(Cpi_[[#This Row],[Year]:[Month]],crudeoil[],3,FALSE)</f>
        <v>#VALUE!</v>
      </c>
    </row>
    <row r="8354" spans="1:8" hidden="1" x14ac:dyDescent="0.3">
      <c r="A8354" t="s">
        <v>30</v>
      </c>
      <c r="B8354">
        <v>2021</v>
      </c>
      <c r="C8354" t="s">
        <v>42</v>
      </c>
      <c r="D8354" t="s">
        <v>12</v>
      </c>
      <c r="E8354" t="e">
        <f>VLOOKUP(Cpi_[[#This Row],[Attribute]],#REF!,2,FALSE)</f>
        <v>#REF!</v>
      </c>
      <c r="F8354">
        <v>170.1</v>
      </c>
      <c r="G8354">
        <f>(Cpi_[[#This Row],[Value]]-F8353)/F8353</f>
        <v>0.42581726739312653</v>
      </c>
      <c r="H8354" t="e" cm="1" vm="1">
        <f t="array" aca="1" ref="H8354" ca="1">VLOOKUP(Cpi_[[#This Row],[Year]:[Month]],crudeoil[],3,FALSE)</f>
        <v>#VALUE!</v>
      </c>
    </row>
    <row r="8355" spans="1:8" hidden="1" x14ac:dyDescent="0.3">
      <c r="A8355" t="s">
        <v>30</v>
      </c>
      <c r="B8355">
        <v>2021</v>
      </c>
      <c r="C8355" t="s">
        <v>42</v>
      </c>
      <c r="D8355" t="s">
        <v>13</v>
      </c>
      <c r="E8355" t="e">
        <f>VLOOKUP(Cpi_[[#This Row],[Attribute]],#REF!,2,FALSE)</f>
        <v>#REF!</v>
      </c>
      <c r="F8355">
        <v>168.3</v>
      </c>
      <c r="G8355">
        <f>(Cpi_[[#This Row],[Value]]-F8354)/F8354</f>
        <v>-1.0582010582010483E-2</v>
      </c>
      <c r="H8355" t="e" cm="1" vm="1">
        <f t="array" aca="1" ref="H8355" ca="1">VLOOKUP(Cpi_[[#This Row],[Year]:[Month]],crudeoil[],3,FALSE)</f>
        <v>#VALUE!</v>
      </c>
    </row>
    <row r="8356" spans="1:8" hidden="1" x14ac:dyDescent="0.3">
      <c r="A8356" t="s">
        <v>30</v>
      </c>
      <c r="B8356">
        <v>2021</v>
      </c>
      <c r="C8356" t="s">
        <v>42</v>
      </c>
      <c r="D8356" t="s">
        <v>14</v>
      </c>
      <c r="E8356" t="e">
        <f>VLOOKUP(Cpi_[[#This Row],[Attribute]],#REF!,2,FALSE)</f>
        <v>#REF!</v>
      </c>
      <c r="F8356">
        <v>172.8</v>
      </c>
      <c r="G8356">
        <f>(Cpi_[[#This Row],[Value]]-F8355)/F8355</f>
        <v>2.6737967914438502E-2</v>
      </c>
      <c r="H8356" t="e" cm="1" vm="1">
        <f t="array" aca="1" ref="H8356" ca="1">VLOOKUP(Cpi_[[#This Row],[Year]:[Month]],crudeoil[],3,FALSE)</f>
        <v>#VALUE!</v>
      </c>
    </row>
    <row r="8357" spans="1:8" hidden="1" x14ac:dyDescent="0.3">
      <c r="A8357" t="s">
        <v>30</v>
      </c>
      <c r="B8357">
        <v>2021</v>
      </c>
      <c r="C8357" t="s">
        <v>42</v>
      </c>
      <c r="D8357" t="s">
        <v>15</v>
      </c>
      <c r="E8357" t="e">
        <f>VLOOKUP(Cpi_[[#This Row],[Attribute]],#REF!,2,FALSE)</f>
        <v>#REF!</v>
      </c>
      <c r="F8357">
        <v>162.1</v>
      </c>
      <c r="G8357">
        <f>(Cpi_[[#This Row],[Value]]-F8356)/F8356</f>
        <v>-6.1921296296296391E-2</v>
      </c>
      <c r="H8357" t="e" cm="1" vm="1">
        <f t="array" aca="1" ref="H8357" ca="1">VLOOKUP(Cpi_[[#This Row],[Year]:[Month]],crudeoil[],3,FALSE)</f>
        <v>#VALUE!</v>
      </c>
    </row>
    <row r="8358" spans="1:8" hidden="1" x14ac:dyDescent="0.3">
      <c r="A8358" t="s">
        <v>30</v>
      </c>
      <c r="B8358">
        <v>2021</v>
      </c>
      <c r="C8358" t="s">
        <v>42</v>
      </c>
      <c r="D8358" t="s">
        <v>16</v>
      </c>
      <c r="E8358" t="e">
        <f>VLOOKUP(Cpi_[[#This Row],[Attribute]],#REF!,2,FALSE)</f>
        <v>#REF!</v>
      </c>
      <c r="F8358">
        <v>190.5</v>
      </c>
      <c r="G8358">
        <f>(Cpi_[[#This Row],[Value]]-F8357)/F8357</f>
        <v>0.17520049352251701</v>
      </c>
      <c r="H8358" t="e" cm="1" vm="1">
        <f t="array" aca="1" ref="H8358" ca="1">VLOOKUP(Cpi_[[#This Row],[Year]:[Month]],crudeoil[],3,FALSE)</f>
        <v>#VALUE!</v>
      </c>
    </row>
    <row r="8359" spans="1:8" hidden="1" x14ac:dyDescent="0.3">
      <c r="A8359" t="s">
        <v>30</v>
      </c>
      <c r="B8359">
        <v>2021</v>
      </c>
      <c r="C8359" t="s">
        <v>42</v>
      </c>
      <c r="D8359" t="s">
        <v>17</v>
      </c>
      <c r="E8359" t="e">
        <f>VLOOKUP(Cpi_[[#This Row],[Attribute]],#REF!,2,FALSE)</f>
        <v>#REF!</v>
      </c>
      <c r="F8359">
        <v>167.7</v>
      </c>
      <c r="G8359">
        <f>(Cpi_[[#This Row],[Value]]-F8358)/F8358</f>
        <v>-0.11968503937007879</v>
      </c>
      <c r="H8359" t="e" cm="1" vm="1">
        <f t="array" aca="1" ref="H8359" ca="1">VLOOKUP(Cpi_[[#This Row],[Year]:[Month]],crudeoil[],3,FALSE)</f>
        <v>#VALUE!</v>
      </c>
    </row>
    <row r="8360" spans="1:8" hidden="1" x14ac:dyDescent="0.3">
      <c r="A8360" t="s">
        <v>30</v>
      </c>
      <c r="B8360">
        <v>2021</v>
      </c>
      <c r="C8360" t="s">
        <v>42</v>
      </c>
      <c r="D8360" t="s">
        <v>18</v>
      </c>
      <c r="E8360" t="e">
        <f>VLOOKUP(Cpi_[[#This Row],[Attribute]],#REF!,2,FALSE)</f>
        <v>#REF!</v>
      </c>
      <c r="F8360">
        <v>163.6</v>
      </c>
      <c r="G8360">
        <f>(Cpi_[[#This Row],[Value]]-F8359)/F8359</f>
        <v>-2.4448419797256975E-2</v>
      </c>
      <c r="H8360" t="e" cm="1" vm="1">
        <f t="array" aca="1" ref="H8360" ca="1">VLOOKUP(Cpi_[[#This Row],[Year]:[Month]],crudeoil[],3,FALSE)</f>
        <v>#VALUE!</v>
      </c>
    </row>
    <row r="8361" spans="1:8" hidden="1" x14ac:dyDescent="0.3">
      <c r="A8361" t="s">
        <v>30</v>
      </c>
      <c r="B8361">
        <v>2021</v>
      </c>
      <c r="C8361" t="s">
        <v>42</v>
      </c>
      <c r="D8361" t="s">
        <v>19</v>
      </c>
      <c r="E8361" t="e">
        <f>VLOOKUP(Cpi_[[#This Row],[Attribute]],#REF!,2,FALSE)</f>
        <v>#REF!</v>
      </c>
      <c r="F8361">
        <v>167.1</v>
      </c>
      <c r="G8361">
        <f>(Cpi_[[#This Row],[Value]]-F8360)/F8360</f>
        <v>2.1393643031784843E-2</v>
      </c>
      <c r="H8361" t="e" cm="1" vm="1">
        <f t="array" aca="1" ref="H8361" ca="1">VLOOKUP(Cpi_[[#This Row],[Year]:[Month]],crudeoil[],3,FALSE)</f>
        <v>#VALUE!</v>
      </c>
    </row>
    <row r="8362" spans="1:8" hidden="1" x14ac:dyDescent="0.3">
      <c r="A8362" t="s">
        <v>30</v>
      </c>
      <c r="B8362">
        <v>2021</v>
      </c>
      <c r="C8362" t="s">
        <v>42</v>
      </c>
      <c r="D8362" t="s">
        <v>20</v>
      </c>
      <c r="E8362" t="e">
        <f>VLOOKUP(Cpi_[[#This Row],[Attribute]],#REF!,2,FALSE)</f>
        <v>#REF!</v>
      </c>
      <c r="F8362" t="s">
        <v>32</v>
      </c>
      <c r="G8362" t="e">
        <f>(Cpi_[[#This Row],[Value]]-F8361)/F8361</f>
        <v>#VALUE!</v>
      </c>
      <c r="H8362" t="e" cm="1" vm="1">
        <f t="array" aca="1" ref="H8362" ca="1">VLOOKUP(Cpi_[[#This Row],[Year]:[Month]],crudeoil[],3,FALSE)</f>
        <v>#VALUE!</v>
      </c>
    </row>
    <row r="8363" spans="1:8" hidden="1" x14ac:dyDescent="0.3">
      <c r="A8363" t="s">
        <v>30</v>
      </c>
      <c r="B8363">
        <v>2021</v>
      </c>
      <c r="C8363" t="s">
        <v>42</v>
      </c>
      <c r="D8363" t="s">
        <v>21</v>
      </c>
      <c r="E8363" t="e">
        <f>VLOOKUP(Cpi_[[#This Row],[Attribute]],#REF!,2,FALSE)</f>
        <v>#REF!</v>
      </c>
      <c r="F8363">
        <v>163.69999999999999</v>
      </c>
      <c r="G8363" t="e">
        <f>(Cpi_[[#This Row],[Value]]-F8362)/F8362</f>
        <v>#VALUE!</v>
      </c>
      <c r="H8363" t="e" cm="1" vm="1">
        <f t="array" aca="1" ref="H8363" ca="1">VLOOKUP(Cpi_[[#This Row],[Year]:[Month]],crudeoil[],3,FALSE)</f>
        <v>#VALUE!</v>
      </c>
    </row>
    <row r="8364" spans="1:8" hidden="1" x14ac:dyDescent="0.3">
      <c r="A8364" t="s">
        <v>30</v>
      </c>
      <c r="B8364">
        <v>2021</v>
      </c>
      <c r="C8364" t="s">
        <v>42</v>
      </c>
      <c r="D8364" t="s">
        <v>22</v>
      </c>
      <c r="E8364" t="e">
        <f>VLOOKUP(Cpi_[[#This Row],[Attribute]],#REF!,2,FALSE)</f>
        <v>#REF!</v>
      </c>
      <c r="F8364">
        <v>161.30000000000001</v>
      </c>
      <c r="G8364">
        <f>(Cpi_[[#This Row],[Value]]-F8363)/F8363</f>
        <v>-1.4660965180207559E-2</v>
      </c>
      <c r="H8364" t="e" cm="1" vm="1">
        <f t="array" aca="1" ref="H8364" ca="1">VLOOKUP(Cpi_[[#This Row],[Year]:[Month]],crudeoil[],3,FALSE)</f>
        <v>#VALUE!</v>
      </c>
    </row>
    <row r="8365" spans="1:8" hidden="1" x14ac:dyDescent="0.3">
      <c r="A8365" t="s">
        <v>30</v>
      </c>
      <c r="B8365">
        <v>2021</v>
      </c>
      <c r="C8365" t="s">
        <v>42</v>
      </c>
      <c r="D8365" t="s">
        <v>23</v>
      </c>
      <c r="E8365" t="e">
        <f>VLOOKUP(Cpi_[[#This Row],[Attribute]],#REF!,2,FALSE)</f>
        <v>#REF!</v>
      </c>
      <c r="F8365">
        <v>171.9</v>
      </c>
      <c r="G8365">
        <f>(Cpi_[[#This Row],[Value]]-F8364)/F8364</f>
        <v>6.5716057036577763E-2</v>
      </c>
      <c r="H8365" t="e" cm="1" vm="1">
        <f t="array" aca="1" ref="H8365" ca="1">VLOOKUP(Cpi_[[#This Row],[Year]:[Month]],crudeoil[],3,FALSE)</f>
        <v>#VALUE!</v>
      </c>
    </row>
    <row r="8366" spans="1:8" hidden="1" x14ac:dyDescent="0.3">
      <c r="A8366" t="s">
        <v>30</v>
      </c>
      <c r="B8366">
        <v>2021</v>
      </c>
      <c r="C8366" t="s">
        <v>42</v>
      </c>
      <c r="D8366" t="s">
        <v>24</v>
      </c>
      <c r="E8366" t="e">
        <f>VLOOKUP(Cpi_[[#This Row],[Attribute]],#REF!,2,FALSE)</f>
        <v>#REF!</v>
      </c>
      <c r="F8366">
        <v>157.80000000000001</v>
      </c>
      <c r="G8366">
        <f>(Cpi_[[#This Row],[Value]]-F8365)/F8365</f>
        <v>-8.202443280977309E-2</v>
      </c>
      <c r="H8366" t="e" cm="1" vm="1">
        <f t="array" aca="1" ref="H8366" ca="1">VLOOKUP(Cpi_[[#This Row],[Year]:[Month]],crudeoil[],3,FALSE)</f>
        <v>#VALUE!</v>
      </c>
    </row>
    <row r="8367" spans="1:8" hidden="1" x14ac:dyDescent="0.3">
      <c r="A8367" t="s">
        <v>30</v>
      </c>
      <c r="B8367">
        <v>2021</v>
      </c>
      <c r="C8367" t="s">
        <v>42</v>
      </c>
      <c r="D8367" t="s">
        <v>25</v>
      </c>
      <c r="E8367" t="e">
        <f>VLOOKUP(Cpi_[[#This Row],[Attribute]],#REF!,2,FALSE)</f>
        <v>#REF!</v>
      </c>
      <c r="F8367">
        <v>162.69999999999999</v>
      </c>
      <c r="G8367">
        <f>(Cpi_[[#This Row],[Value]]-F8366)/F8366</f>
        <v>3.1051964512040411E-2</v>
      </c>
      <c r="H8367" t="e" cm="1" vm="1">
        <f t="array" aca="1" ref="H8367" ca="1">VLOOKUP(Cpi_[[#This Row],[Year]:[Month]],crudeoil[],3,FALSE)</f>
        <v>#VALUE!</v>
      </c>
    </row>
    <row r="8368" spans="1:8" hidden="1" x14ac:dyDescent="0.3">
      <c r="A8368" t="s">
        <v>30</v>
      </c>
      <c r="B8368">
        <v>2021</v>
      </c>
      <c r="C8368" t="s">
        <v>42</v>
      </c>
      <c r="D8368" t="s">
        <v>26</v>
      </c>
      <c r="E8368" t="e">
        <f>VLOOKUP(Cpi_[[#This Row],[Attribute]],#REF!,2,FALSE)</f>
        <v>#REF!</v>
      </c>
      <c r="F8368">
        <v>168.5</v>
      </c>
      <c r="G8368">
        <f>(Cpi_[[#This Row],[Value]]-F8367)/F8367</f>
        <v>3.5648432698217651E-2</v>
      </c>
      <c r="H8368" t="e" cm="1" vm="1">
        <f t="array" aca="1" ref="H8368" ca="1">VLOOKUP(Cpi_[[#This Row],[Year]:[Month]],crudeoil[],3,FALSE)</f>
        <v>#VALUE!</v>
      </c>
    </row>
    <row r="8369" spans="1:8" hidden="1" x14ac:dyDescent="0.3">
      <c r="A8369" t="s">
        <v>30</v>
      </c>
      <c r="B8369">
        <v>2021</v>
      </c>
      <c r="C8369" t="s">
        <v>42</v>
      </c>
      <c r="D8369" t="s">
        <v>27</v>
      </c>
      <c r="E8369" t="e">
        <f>VLOOKUP(Cpi_[[#This Row],[Attribute]],#REF!,2,FALSE)</f>
        <v>#REF!</v>
      </c>
      <c r="F8369">
        <v>160.19999999999999</v>
      </c>
      <c r="G8369">
        <f>(Cpi_[[#This Row],[Value]]-F8368)/F8368</f>
        <v>-4.9258160237388791E-2</v>
      </c>
      <c r="H8369" t="e" cm="1" vm="1">
        <f t="array" aca="1" ref="H8369" ca="1">VLOOKUP(Cpi_[[#This Row],[Year]:[Month]],crudeoil[],3,FALSE)</f>
        <v>#VALUE!</v>
      </c>
    </row>
    <row r="8370" spans="1:8" hidden="1" x14ac:dyDescent="0.3">
      <c r="A8370" t="s">
        <v>30</v>
      </c>
      <c r="B8370">
        <v>2021</v>
      </c>
      <c r="C8370" t="s">
        <v>42</v>
      </c>
      <c r="D8370" t="s">
        <v>28</v>
      </c>
      <c r="E8370" t="e">
        <f>VLOOKUP(Cpi_[[#This Row],[Attribute]],#REF!,2,FALSE)</f>
        <v>#REF!</v>
      </c>
      <c r="F8370">
        <v>163.80000000000001</v>
      </c>
      <c r="G8370">
        <f>(Cpi_[[#This Row],[Value]]-F8369)/F8369</f>
        <v>2.2471910112359696E-2</v>
      </c>
      <c r="H8370" t="e" cm="1" vm="1">
        <f t="array" aca="1" ref="H8370" ca="1">VLOOKUP(Cpi_[[#This Row],[Year]:[Month]],crudeoil[],3,FALSE)</f>
        <v>#VALUE!</v>
      </c>
    </row>
    <row r="8371" spans="1:8" hidden="1" x14ac:dyDescent="0.3">
      <c r="A8371" t="s">
        <v>30</v>
      </c>
      <c r="B8371">
        <v>2021</v>
      </c>
      <c r="C8371" t="s">
        <v>42</v>
      </c>
      <c r="D8371" t="s">
        <v>29</v>
      </c>
      <c r="E8371" t="e" cm="1">
        <f t="array" aca="1" ref="E8371" ca="1">VLGeneral indexGeneral indexKUP(Cpi_[[#This Row],[Attribute]],#REF!,2,FALSE)</f>
        <v>#NAME?</v>
      </c>
      <c r="F8371">
        <v>164</v>
      </c>
      <c r="G8371">
        <f>(Cpi_[[#This Row],[Value]]-F8370)/F8370</f>
        <v>1.2210012210011516E-3</v>
      </c>
      <c r="H8371" t="e" cm="1" vm="1">
        <f t="array" aca="1" ref="H8371" ca="1">VLOOKUP(Cpi_[[#This Row],[Year]:[Month]],crudeoil[],3,FALSE)</f>
        <v>#VALUE!</v>
      </c>
    </row>
    <row r="8372" spans="1:8" hidden="1" x14ac:dyDescent="0.3">
      <c r="A8372" t="s">
        <v>33</v>
      </c>
      <c r="B8372">
        <v>2021</v>
      </c>
      <c r="C8372" t="s">
        <v>42</v>
      </c>
      <c r="D8372" t="s">
        <v>3</v>
      </c>
      <c r="E8372" t="e">
        <f>VLOOKUP(Cpi_[[#This Row],[Attribute]],#REF!,2,FALSE)</f>
        <v>#REF!</v>
      </c>
      <c r="F8372">
        <v>149.30000000000001</v>
      </c>
      <c r="G8372">
        <f>(Cpi_[[#This Row],[Value]]-F8371)/F8371</f>
        <v>-8.9634146341463342E-2</v>
      </c>
      <c r="H8372" t="e" cm="1" vm="1">
        <f t="array" aca="1" ref="H8372" ca="1">VLOOKUP(Cpi_[[#This Row],[Year]:[Month]],crudeoil[],3,FALSE)</f>
        <v>#VALUE!</v>
      </c>
    </row>
    <row r="8373" spans="1:8" hidden="1" x14ac:dyDescent="0.3">
      <c r="A8373" t="s">
        <v>33</v>
      </c>
      <c r="B8373">
        <v>2021</v>
      </c>
      <c r="C8373" t="s">
        <v>42</v>
      </c>
      <c r="D8373" t="s">
        <v>4</v>
      </c>
      <c r="E8373" t="e">
        <f>VLOOKUP(Cpi_[[#This Row],[Attribute]],#REF!,2,FALSE)</f>
        <v>#REF!</v>
      </c>
      <c r="F8373">
        <v>207.4</v>
      </c>
      <c r="G8373">
        <f>(Cpi_[[#This Row],[Value]]-F8372)/F8372</f>
        <v>0.38914936369725378</v>
      </c>
      <c r="H8373" t="e" cm="1" vm="1">
        <f t="array" aca="1" ref="H8373" ca="1">VLOOKUP(Cpi_[[#This Row],[Year]:[Month]],crudeoil[],3,FALSE)</f>
        <v>#VALUE!</v>
      </c>
    </row>
    <row r="8374" spans="1:8" hidden="1" x14ac:dyDescent="0.3">
      <c r="A8374" t="s">
        <v>33</v>
      </c>
      <c r="B8374">
        <v>2021</v>
      </c>
      <c r="C8374" t="s">
        <v>42</v>
      </c>
      <c r="D8374" t="s">
        <v>5</v>
      </c>
      <c r="E8374" t="e">
        <f>VLOOKUP(Cpi_[[#This Row],[Attribute]],#REF!,2,FALSE)</f>
        <v>#REF!</v>
      </c>
      <c r="F8374">
        <v>174.1</v>
      </c>
      <c r="G8374">
        <f>(Cpi_[[#This Row],[Value]]-F8373)/F8373</f>
        <v>-0.16055930568948895</v>
      </c>
      <c r="H8374" t="e" cm="1" vm="1">
        <f t="array" aca="1" ref="H8374" ca="1">VLOOKUP(Cpi_[[#This Row],[Year]:[Month]],crudeoil[],3,FALSE)</f>
        <v>#VALUE!</v>
      </c>
    </row>
    <row r="8375" spans="1:8" hidden="1" x14ac:dyDescent="0.3">
      <c r="A8375" t="s">
        <v>33</v>
      </c>
      <c r="B8375">
        <v>2021</v>
      </c>
      <c r="C8375" t="s">
        <v>42</v>
      </c>
      <c r="D8375" t="s">
        <v>6</v>
      </c>
      <c r="E8375" t="e">
        <f>VLOOKUP(Cpi_[[#This Row],[Attribute]],#REF!,2,FALSE)</f>
        <v>#REF!</v>
      </c>
      <c r="F8375">
        <v>159.1</v>
      </c>
      <c r="G8375">
        <f>(Cpi_[[#This Row],[Value]]-F8374)/F8374</f>
        <v>-8.6157380815623213E-2</v>
      </c>
      <c r="H8375" t="e" cm="1" vm="1">
        <f t="array" aca="1" ref="H8375" ca="1">VLOOKUP(Cpi_[[#This Row],[Year]:[Month]],crudeoil[],3,FALSE)</f>
        <v>#VALUE!</v>
      </c>
    </row>
    <row r="8376" spans="1:8" hidden="1" x14ac:dyDescent="0.3">
      <c r="A8376" t="s">
        <v>33</v>
      </c>
      <c r="B8376">
        <v>2021</v>
      </c>
      <c r="C8376" t="s">
        <v>42</v>
      </c>
      <c r="D8376" t="s">
        <v>7</v>
      </c>
      <c r="E8376" t="e">
        <f>VLOOKUP(Cpi_[[#This Row],[Attribute]],#REF!,2,FALSE)</f>
        <v>#REF!</v>
      </c>
      <c r="F8376">
        <v>175</v>
      </c>
      <c r="G8376">
        <f>(Cpi_[[#This Row],[Value]]-F8375)/F8375</f>
        <v>9.9937146448774397E-2</v>
      </c>
      <c r="H8376" t="e" cm="1" vm="1">
        <f t="array" aca="1" ref="H8376" ca="1">VLOOKUP(Cpi_[[#This Row],[Year]:[Month]],crudeoil[],3,FALSE)</f>
        <v>#VALUE!</v>
      </c>
    </row>
    <row r="8377" spans="1:8" hidden="1" x14ac:dyDescent="0.3">
      <c r="A8377" t="s">
        <v>33</v>
      </c>
      <c r="B8377">
        <v>2021</v>
      </c>
      <c r="C8377" t="s">
        <v>42</v>
      </c>
      <c r="D8377" t="s">
        <v>8</v>
      </c>
      <c r="E8377" t="e">
        <f>VLOOKUP(Cpi_[[#This Row],[Attribute]],#REF!,2,FALSE)</f>
        <v>#REF!</v>
      </c>
      <c r="F8377">
        <v>161.19999999999999</v>
      </c>
      <c r="G8377">
        <f>(Cpi_[[#This Row],[Value]]-F8376)/F8376</f>
        <v>-7.8857142857142917E-2</v>
      </c>
      <c r="H8377" t="e" cm="1" vm="1">
        <f t="array" aca="1" ref="H8377" ca="1">VLOOKUP(Cpi_[[#This Row],[Year]:[Month]],crudeoil[],3,FALSE)</f>
        <v>#VALUE!</v>
      </c>
    </row>
    <row r="8378" spans="1:8" hidden="1" x14ac:dyDescent="0.3">
      <c r="A8378" t="s">
        <v>33</v>
      </c>
      <c r="B8378">
        <v>2021</v>
      </c>
      <c r="C8378" t="s">
        <v>42</v>
      </c>
      <c r="D8378" t="s">
        <v>9</v>
      </c>
      <c r="E8378" t="e">
        <f>VLOOKUP(Cpi_[[#This Row],[Attribute]],#REF!,2,FALSE)</f>
        <v>#REF!</v>
      </c>
      <c r="F8378">
        <v>183.5</v>
      </c>
      <c r="G8378">
        <f>(Cpi_[[#This Row],[Value]]-F8377)/F8377</f>
        <v>0.13833746898263036</v>
      </c>
      <c r="H8378" t="e" cm="1" vm="1">
        <f t="array" aca="1" ref="H8378" ca="1">VLOOKUP(Cpi_[[#This Row],[Year]:[Month]],crudeoil[],3,FALSE)</f>
        <v>#VALUE!</v>
      </c>
    </row>
    <row r="8379" spans="1:8" hidden="1" x14ac:dyDescent="0.3">
      <c r="A8379" t="s">
        <v>33</v>
      </c>
      <c r="B8379">
        <v>2021</v>
      </c>
      <c r="C8379" t="s">
        <v>42</v>
      </c>
      <c r="D8379" t="s">
        <v>10</v>
      </c>
      <c r="E8379" t="e">
        <f>VLOOKUP(Cpi_[[#This Row],[Attribute]],#REF!,2,FALSE)</f>
        <v>#REF!</v>
      </c>
      <c r="F8379">
        <v>164.5</v>
      </c>
      <c r="G8379">
        <f>(Cpi_[[#This Row],[Value]]-F8378)/F8378</f>
        <v>-0.10354223433242507</v>
      </c>
      <c r="H8379" t="e" cm="1" vm="1">
        <f t="array" aca="1" ref="H8379" ca="1">VLOOKUP(Cpi_[[#This Row],[Year]:[Month]],crudeoil[],3,FALSE)</f>
        <v>#VALUE!</v>
      </c>
    </row>
    <row r="8380" spans="1:8" hidden="1" x14ac:dyDescent="0.3">
      <c r="A8380" t="s">
        <v>33</v>
      </c>
      <c r="B8380">
        <v>2021</v>
      </c>
      <c r="C8380" t="s">
        <v>42</v>
      </c>
      <c r="D8380" t="s">
        <v>11</v>
      </c>
      <c r="E8380" t="e">
        <f>VLOOKUP(Cpi_[[#This Row],[Attribute]],#REF!,2,FALSE)</f>
        <v>#REF!</v>
      </c>
      <c r="F8380">
        <v>120.4</v>
      </c>
      <c r="G8380">
        <f>(Cpi_[[#This Row],[Value]]-F8379)/F8379</f>
        <v>-0.26808510638297867</v>
      </c>
      <c r="H8380" t="e" cm="1" vm="1">
        <f t="array" aca="1" ref="H8380" ca="1">VLOOKUP(Cpi_[[#This Row],[Year]:[Month]],crudeoil[],3,FALSE)</f>
        <v>#VALUE!</v>
      </c>
    </row>
    <row r="8381" spans="1:8" hidden="1" x14ac:dyDescent="0.3">
      <c r="A8381" t="s">
        <v>33</v>
      </c>
      <c r="B8381">
        <v>2021</v>
      </c>
      <c r="C8381" t="s">
        <v>42</v>
      </c>
      <c r="D8381" t="s">
        <v>12</v>
      </c>
      <c r="E8381" t="e">
        <f>VLOOKUP(Cpi_[[#This Row],[Attribute]],#REF!,2,FALSE)</f>
        <v>#REF!</v>
      </c>
      <c r="F8381">
        <v>166.2</v>
      </c>
      <c r="G8381">
        <f>(Cpi_[[#This Row],[Value]]-F8380)/F8380</f>
        <v>0.38039867109634534</v>
      </c>
      <c r="H8381" t="e" cm="1" vm="1">
        <f t="array" aca="1" ref="H8381" ca="1">VLOOKUP(Cpi_[[#This Row],[Year]:[Month]],crudeoil[],3,FALSE)</f>
        <v>#VALUE!</v>
      </c>
    </row>
    <row r="8382" spans="1:8" hidden="1" x14ac:dyDescent="0.3">
      <c r="A8382" t="s">
        <v>33</v>
      </c>
      <c r="B8382">
        <v>2021</v>
      </c>
      <c r="C8382" t="s">
        <v>42</v>
      </c>
      <c r="D8382" t="s">
        <v>13</v>
      </c>
      <c r="E8382" t="e">
        <f>VLOOKUP(Cpi_[[#This Row],[Attribute]],#REF!,2,FALSE)</f>
        <v>#REF!</v>
      </c>
      <c r="F8382">
        <v>154.80000000000001</v>
      </c>
      <c r="G8382">
        <f>(Cpi_[[#This Row],[Value]]-F8381)/F8381</f>
        <v>-6.8592057761732717E-2</v>
      </c>
      <c r="H8382" t="e" cm="1" vm="1">
        <f t="array" aca="1" ref="H8382" ca="1">VLOOKUP(Cpi_[[#This Row],[Year]:[Month]],crudeoil[],3,FALSE)</f>
        <v>#VALUE!</v>
      </c>
    </row>
    <row r="8383" spans="1:8" hidden="1" x14ac:dyDescent="0.3">
      <c r="A8383" t="s">
        <v>33</v>
      </c>
      <c r="B8383">
        <v>2021</v>
      </c>
      <c r="C8383" t="s">
        <v>42</v>
      </c>
      <c r="D8383" t="s">
        <v>14</v>
      </c>
      <c r="E8383" t="e">
        <f>VLOOKUP(Cpi_[[#This Row],[Attribute]],#REF!,2,FALSE)</f>
        <v>#REF!</v>
      </c>
      <c r="F8383">
        <v>175.1</v>
      </c>
      <c r="G8383">
        <f>(Cpi_[[#This Row],[Value]]-F8382)/F8382</f>
        <v>0.13113695090439265</v>
      </c>
      <c r="H8383" t="e" cm="1" vm="1">
        <f t="array" aca="1" ref="H8383" ca="1">VLOOKUP(Cpi_[[#This Row],[Year]:[Month]],crudeoil[],3,FALSE)</f>
        <v>#VALUE!</v>
      </c>
    </row>
    <row r="8384" spans="1:8" hidden="1" x14ac:dyDescent="0.3">
      <c r="A8384" t="s">
        <v>33</v>
      </c>
      <c r="B8384">
        <v>2021</v>
      </c>
      <c r="C8384" t="s">
        <v>42</v>
      </c>
      <c r="D8384" t="s">
        <v>15</v>
      </c>
      <c r="E8384" t="e">
        <f>VLOOKUP(Cpi_[[#This Row],[Attribute]],#REF!,2,FALSE)</f>
        <v>#REF!</v>
      </c>
      <c r="F8384">
        <v>167.3</v>
      </c>
      <c r="G8384">
        <f>(Cpi_[[#This Row],[Value]]-F8383)/F8383</f>
        <v>-4.4545973729297451E-2</v>
      </c>
      <c r="H8384" t="e" cm="1" vm="1">
        <f t="array" aca="1" ref="H8384" ca="1">VLOOKUP(Cpi_[[#This Row],[Year]:[Month]],crudeoil[],3,FALSE)</f>
        <v>#VALUE!</v>
      </c>
    </row>
    <row r="8385" spans="1:10" hidden="1" x14ac:dyDescent="0.3">
      <c r="A8385" t="s">
        <v>33</v>
      </c>
      <c r="B8385">
        <v>2021</v>
      </c>
      <c r="C8385" t="s">
        <v>42</v>
      </c>
      <c r="D8385" t="s">
        <v>16</v>
      </c>
      <c r="E8385" t="e">
        <f>VLOOKUP(Cpi_[[#This Row],[Attribute]],#REF!,2,FALSE)</f>
        <v>#REF!</v>
      </c>
      <c r="F8385">
        <v>196.5</v>
      </c>
      <c r="G8385">
        <f>(Cpi_[[#This Row],[Value]]-F8384)/F8384</f>
        <v>0.1745367603108188</v>
      </c>
      <c r="H8385" t="e" cm="1" vm="1">
        <f t="array" aca="1" ref="H8385" ca="1">VLOOKUP(Cpi_[[#This Row],[Year]:[Month]],crudeoil[],3,FALSE)</f>
        <v>#VALUE!</v>
      </c>
    </row>
    <row r="8386" spans="1:10" hidden="1" x14ac:dyDescent="0.3">
      <c r="A8386" t="s">
        <v>33</v>
      </c>
      <c r="B8386">
        <v>2021</v>
      </c>
      <c r="C8386" t="s">
        <v>42</v>
      </c>
      <c r="D8386" t="s">
        <v>17</v>
      </c>
      <c r="E8386" t="e">
        <f>VLOOKUP(Cpi_[[#This Row],[Attribute]],#REF!,2,FALSE)</f>
        <v>#REF!</v>
      </c>
      <c r="F8386">
        <v>159.80000000000001</v>
      </c>
      <c r="G8386">
        <f>(Cpi_[[#This Row],[Value]]-F8385)/F8385</f>
        <v>-0.18676844783715008</v>
      </c>
      <c r="H8386" t="e" cm="1" vm="1">
        <f t="array" aca="1" ref="H8386" ca="1">VLOOKUP(Cpi_[[#This Row],[Year]:[Month]],crudeoil[],3,FALSE)</f>
        <v>#VALUE!</v>
      </c>
    </row>
    <row r="8387" spans="1:10" hidden="1" x14ac:dyDescent="0.3">
      <c r="A8387" t="s">
        <v>33</v>
      </c>
      <c r="B8387">
        <v>2021</v>
      </c>
      <c r="C8387" t="s">
        <v>42</v>
      </c>
      <c r="D8387" t="s">
        <v>18</v>
      </c>
      <c r="E8387" t="e">
        <f>VLOOKUP(Cpi_[[#This Row],[Attribute]],#REF!,2,FALSE)</f>
        <v>#REF!</v>
      </c>
      <c r="F8387">
        <v>143.6</v>
      </c>
      <c r="G8387">
        <f>(Cpi_[[#This Row],[Value]]-F8386)/F8386</f>
        <v>-0.10137672090112651</v>
      </c>
      <c r="H8387" t="e" cm="1" vm="1">
        <f t="array" aca="1" ref="H8387" ca="1">VLOOKUP(Cpi_[[#This Row],[Year]:[Month]],crudeoil[],3,FALSE)</f>
        <v>#VALUE!</v>
      </c>
    </row>
    <row r="8388" spans="1:10" hidden="1" x14ac:dyDescent="0.3">
      <c r="A8388" t="s">
        <v>33</v>
      </c>
      <c r="B8388">
        <v>2021</v>
      </c>
      <c r="C8388" t="s">
        <v>42</v>
      </c>
      <c r="D8388" t="s">
        <v>19</v>
      </c>
      <c r="E8388" t="e">
        <f>VLOOKUP(Cpi_[[#This Row],[Attribute]],#REF!,2,FALSE)</f>
        <v>#REF!</v>
      </c>
      <c r="F8388">
        <v>157.4</v>
      </c>
      <c r="G8388">
        <f>(Cpi_[[#This Row],[Value]]-F8387)/F8387</f>
        <v>9.6100278551532123E-2</v>
      </c>
      <c r="H8388" t="e" cm="1" vm="1">
        <f t="array" aca="1" ref="H8388" ca="1">VLOOKUP(Cpi_[[#This Row],[Year]:[Month]],crudeoil[],3,FALSE)</f>
        <v>#VALUE!</v>
      </c>
    </row>
    <row r="8389" spans="1:10" hidden="1" x14ac:dyDescent="0.3">
      <c r="A8389" t="s">
        <v>33</v>
      </c>
      <c r="B8389">
        <v>2021</v>
      </c>
      <c r="C8389" t="s">
        <v>42</v>
      </c>
      <c r="D8389" t="s">
        <v>20</v>
      </c>
      <c r="E8389" t="e">
        <f>VLOOKUP(Cpi_[[#This Row],[Attribute]],#REF!,2,FALSE)</f>
        <v>#REF!</v>
      </c>
      <c r="F8389">
        <v>162.1</v>
      </c>
      <c r="G8389">
        <f>(Cpi_[[#This Row],[Value]]-F8388)/F8388</f>
        <v>2.9860228716645416E-2</v>
      </c>
      <c r="H8389" t="e" cm="1" vm="1">
        <f t="array" aca="1" ref="H8389" ca="1">VLOOKUP(Cpi_[[#This Row],[Year]:[Month]],crudeoil[],3,FALSE)</f>
        <v>#VALUE!</v>
      </c>
    </row>
    <row r="8390" spans="1:10" hidden="1" x14ac:dyDescent="0.3">
      <c r="A8390" t="s">
        <v>33</v>
      </c>
      <c r="B8390">
        <v>2021</v>
      </c>
      <c r="C8390" t="s">
        <v>42</v>
      </c>
      <c r="D8390" t="s">
        <v>21</v>
      </c>
      <c r="E8390" t="e">
        <f>VLOOKUP(Cpi_[[#This Row],[Attribute]],#REF!,2,FALSE)</f>
        <v>#REF!</v>
      </c>
      <c r="F8390">
        <v>160.80000000000001</v>
      </c>
      <c r="G8390">
        <f>(Cpi_[[#This Row],[Value]]-F8389)/F8389</f>
        <v>-8.0197409006784893E-3</v>
      </c>
      <c r="H8390" t="e" cm="1" vm="1">
        <f t="array" aca="1" ref="H8390" ca="1">VLOOKUP(Cpi_[[#This Row],[Year]:[Month]],crudeoil[],3,FALSE)</f>
        <v>#VALUE!</v>
      </c>
    </row>
    <row r="8391" spans="1:10" hidden="1" x14ac:dyDescent="0.3">
      <c r="A8391" t="s">
        <v>33</v>
      </c>
      <c r="B8391">
        <v>2021</v>
      </c>
      <c r="C8391" t="s">
        <v>42</v>
      </c>
      <c r="D8391" t="s">
        <v>22</v>
      </c>
      <c r="E8391" t="e">
        <f>VLOOKUP(Cpi_[[#This Row],[Attribute]],#REF!,2,FALSE)</f>
        <v>#REF!</v>
      </c>
      <c r="F8391">
        <v>153.30000000000001</v>
      </c>
      <c r="G8391">
        <f>(Cpi_[[#This Row],[Value]]-F8390)/F8390</f>
        <v>-4.6641791044776115E-2</v>
      </c>
      <c r="H8391" t="e" cm="1" vm="1">
        <f t="array" aca="1" ref="H8391" ca="1">VLOOKUP(Cpi_[[#This Row],[Year]:[Month]],crudeoil[],3,FALSE)</f>
        <v>#VALUE!</v>
      </c>
    </row>
    <row r="8392" spans="1:10" hidden="1" x14ac:dyDescent="0.3">
      <c r="A8392" t="s">
        <v>33</v>
      </c>
      <c r="B8392">
        <v>2021</v>
      </c>
      <c r="C8392" t="s">
        <v>42</v>
      </c>
      <c r="D8392" t="s">
        <v>23</v>
      </c>
      <c r="E8392" t="e">
        <f>VLOOKUP(Cpi_[[#This Row],[Attribute]],#REF!,2,FALSE)</f>
        <v>#REF!</v>
      </c>
      <c r="F8392">
        <v>162.80000000000001</v>
      </c>
      <c r="G8392">
        <f>(Cpi_[[#This Row],[Value]]-F8391)/F8391</f>
        <v>6.1969993476842788E-2</v>
      </c>
      <c r="H8392" t="e" cm="1" vm="1">
        <f t="array" aca="1" ref="H8392" ca="1">VLOOKUP(Cpi_[[#This Row],[Year]:[Month]],crudeoil[],3,FALSE)</f>
        <v>#VALUE!</v>
      </c>
    </row>
    <row r="8393" spans="1:10" hidden="1" x14ac:dyDescent="0.3">
      <c r="A8393" t="s">
        <v>33</v>
      </c>
      <c r="B8393">
        <v>2021</v>
      </c>
      <c r="C8393" t="s">
        <v>42</v>
      </c>
      <c r="D8393" t="s">
        <v>24</v>
      </c>
      <c r="E8393" t="e">
        <f>VLOOKUP(Cpi_[[#This Row],[Attribute]],#REF!,2,FALSE)</f>
        <v>#REF!</v>
      </c>
      <c r="F8393">
        <v>150.5</v>
      </c>
      <c r="G8393">
        <f>(Cpi_[[#This Row],[Value]]-F8392)/F8392</f>
        <v>-7.5552825552825623E-2</v>
      </c>
      <c r="H8393" t="e" cm="1" vm="1">
        <f t="array" aca="1" ref="H8393" ca="1">VLOOKUP(Cpi_[[#This Row],[Year]:[Month]],crudeoil[],3,FALSE)</f>
        <v>#VALUE!</v>
      </c>
    </row>
    <row r="8394" spans="1:10" hidden="1" x14ac:dyDescent="0.3">
      <c r="A8394" t="s">
        <v>33</v>
      </c>
      <c r="B8394">
        <v>2021</v>
      </c>
      <c r="C8394" t="s">
        <v>42</v>
      </c>
      <c r="D8394" t="s">
        <v>25</v>
      </c>
      <c r="E8394" t="e">
        <f>VLOOKUP(Cpi_[[#This Row],[Attribute]],#REF!,2,FALSE)</f>
        <v>#REF!</v>
      </c>
      <c r="F8394">
        <v>153.9</v>
      </c>
      <c r="G8394">
        <f>(Cpi_[[#This Row],[Value]]-F8393)/F8393</f>
        <v>2.2591362126245886E-2</v>
      </c>
      <c r="H8394" t="e" cm="1" vm="1">
        <f t="array" aca="1" ref="H8394" ca="1">VLOOKUP(Cpi_[[#This Row],[Year]:[Month]],crudeoil[],3,FALSE)</f>
        <v>#VALUE!</v>
      </c>
    </row>
    <row r="8395" spans="1:10" hidden="1" x14ac:dyDescent="0.3">
      <c r="A8395" t="s">
        <v>33</v>
      </c>
      <c r="B8395">
        <v>2021</v>
      </c>
      <c r="C8395" t="s">
        <v>42</v>
      </c>
      <c r="D8395" t="s">
        <v>26</v>
      </c>
      <c r="E8395" t="e">
        <f>VLOOKUP(Cpi_[[#This Row],[Attribute]],#REF!,2,FALSE)</f>
        <v>#REF!</v>
      </c>
      <c r="F8395">
        <v>160.30000000000001</v>
      </c>
      <c r="G8395">
        <f>(Cpi_[[#This Row],[Value]]-F8394)/F8394</f>
        <v>4.1585445094217056E-2</v>
      </c>
      <c r="H8395" t="e" cm="1" vm="1">
        <f t="array" aca="1" ref="H8395" ca="1">VLOOKUP(Cpi_[[#This Row],[Year]:[Month]],crudeoil[],3,FALSE)</f>
        <v>#VALUE!</v>
      </c>
    </row>
    <row r="8396" spans="1:10" hidden="1" x14ac:dyDescent="0.3">
      <c r="A8396" t="s">
        <v>33</v>
      </c>
      <c r="B8396">
        <v>2021</v>
      </c>
      <c r="C8396" t="s">
        <v>42</v>
      </c>
      <c r="D8396" t="s">
        <v>27</v>
      </c>
      <c r="E8396" t="e">
        <f>VLOOKUP(Cpi_[[#This Row],[Attribute]],#REF!,2,FALSE)</f>
        <v>#REF!</v>
      </c>
      <c r="F8396">
        <v>159.6</v>
      </c>
      <c r="G8396">
        <f>(Cpi_[[#This Row],[Value]]-F8395)/F8395</f>
        <v>-4.3668122270743423E-3</v>
      </c>
      <c r="H8396" t="e" cm="1" vm="1">
        <f t="array" aca="1" ref="H8396" ca="1">VLOOKUP(Cpi_[[#This Row],[Year]:[Month]],crudeoil[],3,FALSE)</f>
        <v>#VALUE!</v>
      </c>
    </row>
    <row r="8397" spans="1:10" hidden="1" x14ac:dyDescent="0.3">
      <c r="A8397" t="s">
        <v>33</v>
      </c>
      <c r="B8397">
        <v>2021</v>
      </c>
      <c r="C8397" t="s">
        <v>42</v>
      </c>
      <c r="D8397" t="s">
        <v>28</v>
      </c>
      <c r="E8397" t="e">
        <f>VLOOKUP(Cpi_[[#This Row],[Attribute]],#REF!,2,FALSE)</f>
        <v>#REF!</v>
      </c>
      <c r="F8397">
        <v>156</v>
      </c>
      <c r="G8397">
        <f>(Cpi_[[#This Row],[Value]]-F8396)/F8396</f>
        <v>-2.2556390977443573E-2</v>
      </c>
      <c r="H8397" t="e" cm="1" vm="1">
        <f t="array" aca="1" ref="H8397" ca="1">VLOOKUP(Cpi_[[#This Row],[Year]:[Month]],crudeoil[],3,FALSE)</f>
        <v>#VALUE!</v>
      </c>
    </row>
    <row r="8398" spans="1:10" hidden="1" x14ac:dyDescent="0.3">
      <c r="A8398" t="s">
        <v>33</v>
      </c>
      <c r="B8398">
        <v>2021</v>
      </c>
      <c r="C8398" t="s">
        <v>42</v>
      </c>
      <c r="D8398" t="s">
        <v>29</v>
      </c>
      <c r="E8398" t="e" cm="1">
        <f t="array" aca="1" ref="E8398" ca="1">VLGeneral indexGeneral indexKUP(Cpi_[[#This Row],[Attribute]],#REF!,2,FALSE)</f>
        <v>#NAME?</v>
      </c>
      <c r="F8398">
        <v>162.30000000000001</v>
      </c>
      <c r="G8398">
        <f>(Cpi_[[#This Row],[Value]]-F8397)/F8397</f>
        <v>4.0384615384615456E-2</v>
      </c>
      <c r="H8398" t="e" cm="1" vm="1">
        <f t="array" aca="1" ref="H8398" ca="1">VLOOKUP(Cpi_[[#This Row],[Year]:[Month]],crudeoil[],3,FALSE)</f>
        <v>#VALUE!</v>
      </c>
    </row>
    <row r="8399" spans="1:10" hidden="1" x14ac:dyDescent="0.3">
      <c r="A8399" t="s">
        <v>34</v>
      </c>
      <c r="B8399">
        <v>2021</v>
      </c>
      <c r="C8399" t="s">
        <v>42</v>
      </c>
      <c r="D8399" t="s">
        <v>3</v>
      </c>
      <c r="E8399" t="e">
        <f>VLOOKUP(Cpi_[[#This Row],[Attribute]],#REF!,2,FALSE)</f>
        <v>#REF!</v>
      </c>
      <c r="F8399">
        <v>146.6</v>
      </c>
      <c r="G8399">
        <f>(Cpi_[[#This Row],[Value]]-F8398)/F8398</f>
        <v>-9.6734442390634723E-2</v>
      </c>
      <c r="H8399" t="e" cm="1" vm="1">
        <f t="array" aca="1" ref="H8399" ca="1">VLOOKUP(Cpi_[[#This Row],[Year]:[Month]],crudeoil[],3,FALSE)</f>
        <v>#VALUE!</v>
      </c>
    </row>
    <row r="8400" spans="1:10" x14ac:dyDescent="0.3">
      <c r="A8400" t="s">
        <v>34</v>
      </c>
      <c r="B8400">
        <v>2021</v>
      </c>
      <c r="C8400" t="s">
        <v>42</v>
      </c>
      <c r="D8400" t="s">
        <v>4</v>
      </c>
      <c r="E8400" t="e">
        <f>VLOOKUP(Cpi_[[#This Row],[Attribute]],#REF!,2,FALSE)</f>
        <v>#REF!</v>
      </c>
      <c r="F8400">
        <v>204</v>
      </c>
      <c r="G8400" s="42">
        <f>(Cpi_[[#This Row],[Value]]-F8399)/F8399</f>
        <v>0.39154160982264669</v>
      </c>
      <c r="H8400" t="str">
        <f>LEFT(Cpi_[[#This Row],[Month]],3)</f>
        <v>Sep</v>
      </c>
      <c r="I8400" t="str">
        <f>RIGHT(Cpi_[[#This Row],[Year]],2)</f>
        <v>21</v>
      </c>
      <c r="J8400" t="str">
        <f>Cpi_[[#This Row],[Column3]]&amp;"-"&amp;Cpi_[[#This Row],[Column4]]</f>
        <v>Sep-21</v>
      </c>
    </row>
    <row r="8401" spans="1:10" x14ac:dyDescent="0.3">
      <c r="A8401" t="s">
        <v>34</v>
      </c>
      <c r="B8401">
        <v>2021</v>
      </c>
      <c r="C8401" t="s">
        <v>42</v>
      </c>
      <c r="D8401" t="s">
        <v>5</v>
      </c>
      <c r="E8401" t="e">
        <f>VLOOKUP(Cpi_[[#This Row],[Attribute]],#REF!,2,FALSE)</f>
        <v>#REF!</v>
      </c>
      <c r="F8401">
        <v>172.8</v>
      </c>
      <c r="G8401" s="42">
        <f>(Cpi_[[#This Row],[Value]]-F8400)/F8400</f>
        <v>-0.15294117647058819</v>
      </c>
      <c r="H8401" t="str">
        <f>LEFT(Cpi_[[#This Row],[Month]],3)</f>
        <v>Sep</v>
      </c>
      <c r="I8401" t="str">
        <f>RIGHT(Cpi_[[#This Row],[Year]],2)</f>
        <v>21</v>
      </c>
      <c r="J8401" t="str">
        <f>Cpi_[[#This Row],[Column3]]&amp;"-"&amp;Cpi_[[#This Row],[Column4]]</f>
        <v>Sep-21</v>
      </c>
    </row>
    <row r="8402" spans="1:10" x14ac:dyDescent="0.3">
      <c r="A8402" t="s">
        <v>34</v>
      </c>
      <c r="B8402">
        <v>2021</v>
      </c>
      <c r="C8402" t="s">
        <v>42</v>
      </c>
      <c r="D8402" t="s">
        <v>6</v>
      </c>
      <c r="E8402" t="e">
        <f>VLOOKUP(Cpi_[[#This Row],[Attribute]],#REF!,2,FALSE)</f>
        <v>#REF!</v>
      </c>
      <c r="F8402">
        <v>158.4</v>
      </c>
      <c r="G8402" s="42">
        <f>(Cpi_[[#This Row],[Value]]-F8401)/F8401</f>
        <v>-8.3333333333333356E-2</v>
      </c>
      <c r="H8402" t="str">
        <f>LEFT(Cpi_[[#This Row],[Month]],3)</f>
        <v>Sep</v>
      </c>
      <c r="I8402" t="str">
        <f>RIGHT(Cpi_[[#This Row],[Year]],2)</f>
        <v>21</v>
      </c>
      <c r="J8402" t="str">
        <f>Cpi_[[#This Row],[Column3]]&amp;"-"&amp;Cpi_[[#This Row],[Column4]]</f>
        <v>Sep-21</v>
      </c>
    </row>
    <row r="8403" spans="1:10" x14ac:dyDescent="0.3">
      <c r="A8403" t="s">
        <v>34</v>
      </c>
      <c r="B8403">
        <v>2021</v>
      </c>
      <c r="C8403" t="s">
        <v>42</v>
      </c>
      <c r="D8403" t="s">
        <v>7</v>
      </c>
      <c r="E8403" t="e">
        <f>VLOOKUP(Cpi_[[#This Row],[Attribute]],#REF!,2,FALSE)</f>
        <v>#REF!</v>
      </c>
      <c r="F8403">
        <v>188</v>
      </c>
      <c r="G8403" s="42">
        <f>(Cpi_[[#This Row],[Value]]-F8402)/F8402</f>
        <v>0.18686868686868682</v>
      </c>
      <c r="H8403" t="str">
        <f>LEFT(Cpi_[[#This Row],[Month]],3)</f>
        <v>Sep</v>
      </c>
      <c r="I8403" t="str">
        <f>RIGHT(Cpi_[[#This Row],[Year]],2)</f>
        <v>21</v>
      </c>
      <c r="J8403" t="str">
        <f>Cpi_[[#This Row],[Column3]]&amp;"-"&amp;Cpi_[[#This Row],[Column4]]</f>
        <v>Sep-21</v>
      </c>
    </row>
    <row r="8404" spans="1:10" x14ac:dyDescent="0.3">
      <c r="A8404" t="s">
        <v>34</v>
      </c>
      <c r="B8404">
        <v>2021</v>
      </c>
      <c r="C8404" t="s">
        <v>42</v>
      </c>
      <c r="D8404" t="s">
        <v>8</v>
      </c>
      <c r="E8404" t="e">
        <f>VLOOKUP(Cpi_[[#This Row],[Attribute]],#REF!,2,FALSE)</f>
        <v>#REF!</v>
      </c>
      <c r="F8404">
        <v>156.69999999999999</v>
      </c>
      <c r="G8404" s="42">
        <f>(Cpi_[[#This Row],[Value]]-F8403)/F8403</f>
        <v>-0.16648936170212772</v>
      </c>
      <c r="H8404" t="str">
        <f>LEFT(Cpi_[[#This Row],[Month]],3)</f>
        <v>Sep</v>
      </c>
      <c r="I8404" t="str">
        <f>RIGHT(Cpi_[[#This Row],[Year]],2)</f>
        <v>21</v>
      </c>
      <c r="J8404" t="str">
        <f>Cpi_[[#This Row],[Column3]]&amp;"-"&amp;Cpi_[[#This Row],[Column4]]</f>
        <v>Sep-21</v>
      </c>
    </row>
    <row r="8405" spans="1:10" x14ac:dyDescent="0.3">
      <c r="A8405" t="s">
        <v>34</v>
      </c>
      <c r="B8405">
        <v>2021</v>
      </c>
      <c r="C8405" t="s">
        <v>42</v>
      </c>
      <c r="D8405" t="s">
        <v>9</v>
      </c>
      <c r="E8405" t="e">
        <f>VLOOKUP(Cpi_[[#This Row],[Attribute]],#REF!,2,FALSE)</f>
        <v>#REF!</v>
      </c>
      <c r="F8405">
        <v>162.30000000000001</v>
      </c>
      <c r="G8405" s="42">
        <f>(Cpi_[[#This Row],[Value]]-F8404)/F8404</f>
        <v>3.5737077217613419E-2</v>
      </c>
      <c r="H8405" t="str">
        <f>LEFT(Cpi_[[#This Row],[Month]],3)</f>
        <v>Sep</v>
      </c>
      <c r="I8405" t="str">
        <f>RIGHT(Cpi_[[#This Row],[Year]],2)</f>
        <v>21</v>
      </c>
      <c r="J8405" t="str">
        <f>Cpi_[[#This Row],[Column3]]&amp;"-"&amp;Cpi_[[#This Row],[Column4]]</f>
        <v>Sep-21</v>
      </c>
    </row>
    <row r="8406" spans="1:10" x14ac:dyDescent="0.3">
      <c r="A8406" t="s">
        <v>34</v>
      </c>
      <c r="B8406">
        <v>2021</v>
      </c>
      <c r="C8406" t="s">
        <v>42</v>
      </c>
      <c r="D8406" t="s">
        <v>10</v>
      </c>
      <c r="E8406" t="e">
        <f>VLOOKUP(Cpi_[[#This Row],[Attribute]],#REF!,2,FALSE)</f>
        <v>#REF!</v>
      </c>
      <c r="F8406">
        <v>164.1</v>
      </c>
      <c r="G8406" s="42">
        <f>(Cpi_[[#This Row],[Value]]-F8405)/F8405</f>
        <v>1.1090573012938896E-2</v>
      </c>
      <c r="H8406" t="str">
        <f>LEFT(Cpi_[[#This Row],[Month]],3)</f>
        <v>Sep</v>
      </c>
      <c r="I8406" t="str">
        <f>RIGHT(Cpi_[[#This Row],[Year]],2)</f>
        <v>21</v>
      </c>
      <c r="J8406" t="str">
        <f>Cpi_[[#This Row],[Column3]]&amp;"-"&amp;Cpi_[[#This Row],[Column4]]</f>
        <v>Sep-21</v>
      </c>
    </row>
    <row r="8407" spans="1:10" x14ac:dyDescent="0.3">
      <c r="A8407" t="s">
        <v>34</v>
      </c>
      <c r="B8407">
        <v>2021</v>
      </c>
      <c r="C8407" t="s">
        <v>42</v>
      </c>
      <c r="D8407" t="s">
        <v>11</v>
      </c>
      <c r="E8407" t="e">
        <f>VLOOKUP(Cpi_[[#This Row],[Attribute]],#REF!,2,FALSE)</f>
        <v>#REF!</v>
      </c>
      <c r="F8407">
        <v>119.7</v>
      </c>
      <c r="G8407" s="42">
        <f>(Cpi_[[#This Row],[Value]]-F8406)/F8406</f>
        <v>-0.2705667276051188</v>
      </c>
      <c r="H8407" t="str">
        <f>LEFT(Cpi_[[#This Row],[Month]],3)</f>
        <v>Sep</v>
      </c>
      <c r="I8407" t="str">
        <f>RIGHT(Cpi_[[#This Row],[Year]],2)</f>
        <v>21</v>
      </c>
      <c r="J8407" t="str">
        <f>Cpi_[[#This Row],[Column3]]&amp;"-"&amp;Cpi_[[#This Row],[Column4]]</f>
        <v>Sep-21</v>
      </c>
    </row>
    <row r="8408" spans="1:10" x14ac:dyDescent="0.3">
      <c r="A8408" t="s">
        <v>34</v>
      </c>
      <c r="B8408">
        <v>2021</v>
      </c>
      <c r="C8408" t="s">
        <v>42</v>
      </c>
      <c r="D8408" t="s">
        <v>12</v>
      </c>
      <c r="E8408" t="e">
        <f>VLOOKUP(Cpi_[[#This Row],[Attribute]],#REF!,2,FALSE)</f>
        <v>#REF!</v>
      </c>
      <c r="F8408">
        <v>168.8</v>
      </c>
      <c r="G8408" s="42">
        <f>(Cpi_[[#This Row],[Value]]-F8407)/F8407</f>
        <v>0.41019214703425239</v>
      </c>
      <c r="H8408" t="str">
        <f>LEFT(Cpi_[[#This Row],[Month]],3)</f>
        <v>Sep</v>
      </c>
      <c r="I8408" t="str">
        <f>RIGHT(Cpi_[[#This Row],[Year]],2)</f>
        <v>21</v>
      </c>
      <c r="J8408" t="str">
        <f>Cpi_[[#This Row],[Column3]]&amp;"-"&amp;Cpi_[[#This Row],[Column4]]</f>
        <v>Sep-21</v>
      </c>
    </row>
    <row r="8409" spans="1:10" x14ac:dyDescent="0.3">
      <c r="A8409" t="s">
        <v>34</v>
      </c>
      <c r="B8409">
        <v>2021</v>
      </c>
      <c r="C8409" t="s">
        <v>42</v>
      </c>
      <c r="D8409" t="s">
        <v>13</v>
      </c>
      <c r="E8409" t="e">
        <f>VLOOKUP(Cpi_[[#This Row],[Attribute]],#REF!,2,FALSE)</f>
        <v>#REF!</v>
      </c>
      <c r="F8409">
        <v>162.69999999999999</v>
      </c>
      <c r="G8409" s="42">
        <f>(Cpi_[[#This Row],[Value]]-F8408)/F8408</f>
        <v>-3.6137440758293969E-2</v>
      </c>
      <c r="H8409" t="str">
        <f>LEFT(Cpi_[[#This Row],[Month]],3)</f>
        <v>Sep</v>
      </c>
      <c r="I8409" t="str">
        <f>RIGHT(Cpi_[[#This Row],[Year]],2)</f>
        <v>21</v>
      </c>
      <c r="J8409" t="str">
        <f>Cpi_[[#This Row],[Column3]]&amp;"-"&amp;Cpi_[[#This Row],[Column4]]</f>
        <v>Sep-21</v>
      </c>
    </row>
    <row r="8410" spans="1:10" x14ac:dyDescent="0.3">
      <c r="A8410" t="s">
        <v>34</v>
      </c>
      <c r="B8410">
        <v>2021</v>
      </c>
      <c r="C8410" t="s">
        <v>42</v>
      </c>
      <c r="D8410" t="s">
        <v>14</v>
      </c>
      <c r="E8410" t="e">
        <f>VLOOKUP(Cpi_[[#This Row],[Attribute]],#REF!,2,FALSE)</f>
        <v>#REF!</v>
      </c>
      <c r="F8410">
        <v>173.9</v>
      </c>
      <c r="G8410" s="42">
        <f>(Cpi_[[#This Row],[Value]]-F8409)/F8409</f>
        <v>6.8838352796558186E-2</v>
      </c>
      <c r="H8410" t="str">
        <f>LEFT(Cpi_[[#This Row],[Month]],3)</f>
        <v>Sep</v>
      </c>
      <c r="I8410" t="str">
        <f>RIGHT(Cpi_[[#This Row],[Year]],2)</f>
        <v>21</v>
      </c>
      <c r="J8410" t="str">
        <f>Cpi_[[#This Row],[Column3]]&amp;"-"&amp;Cpi_[[#This Row],[Column4]]</f>
        <v>Sep-21</v>
      </c>
    </row>
    <row r="8411" spans="1:10" x14ac:dyDescent="0.3">
      <c r="A8411" t="s">
        <v>34</v>
      </c>
      <c r="B8411">
        <v>2021</v>
      </c>
      <c r="C8411" t="s">
        <v>42</v>
      </c>
      <c r="D8411" t="s">
        <v>15</v>
      </c>
      <c r="E8411" t="e">
        <f>VLOOKUP(Cpi_[[#This Row],[Attribute]],#REF!,2,FALSE)</f>
        <v>#REF!</v>
      </c>
      <c r="F8411">
        <v>164</v>
      </c>
      <c r="G8411" s="42">
        <f>(Cpi_[[#This Row],[Value]]-F8410)/F8410</f>
        <v>-5.6929269695227172E-2</v>
      </c>
      <c r="H8411" t="str">
        <f>LEFT(Cpi_[[#This Row],[Month]],3)</f>
        <v>Sep</v>
      </c>
      <c r="I8411" t="str">
        <f>RIGHT(Cpi_[[#This Row],[Year]],2)</f>
        <v>21</v>
      </c>
      <c r="J8411" t="str">
        <f>Cpi_[[#This Row],[Column3]]&amp;"-"&amp;Cpi_[[#This Row],[Column4]]</f>
        <v>Sep-21</v>
      </c>
    </row>
    <row r="8412" spans="1:10" hidden="1" x14ac:dyDescent="0.3">
      <c r="A8412" t="s">
        <v>34</v>
      </c>
      <c r="B8412">
        <v>2021</v>
      </c>
      <c r="C8412" t="s">
        <v>42</v>
      </c>
      <c r="D8412" t="s">
        <v>16</v>
      </c>
      <c r="E8412" t="e">
        <f>VLOOKUP(Cpi_[[#This Row],[Attribute]],#REF!,2,FALSE)</f>
        <v>#REF!</v>
      </c>
      <c r="F8412">
        <v>192.1</v>
      </c>
      <c r="G8412">
        <f>(Cpi_[[#This Row],[Value]]-F8411)/F8411</f>
        <v>0.1713414634146341</v>
      </c>
      <c r="H8412" t="e" cm="1" vm="1">
        <f t="array" aca="1" ref="H8412" ca="1">VLOOKUP(Cpi_[[#This Row],[Year]:[Month]],crudeoil[],3,FALSE)</f>
        <v>#VALUE!</v>
      </c>
    </row>
    <row r="8413" spans="1:10" hidden="1" x14ac:dyDescent="0.3">
      <c r="A8413" t="s">
        <v>34</v>
      </c>
      <c r="B8413">
        <v>2021</v>
      </c>
      <c r="C8413" t="s">
        <v>42</v>
      </c>
      <c r="D8413" t="s">
        <v>17</v>
      </c>
      <c r="E8413" t="e">
        <f>VLOOKUP(Cpi_[[#This Row],[Attribute]],#REF!,2,FALSE)</f>
        <v>#REF!</v>
      </c>
      <c r="F8413">
        <v>164.6</v>
      </c>
      <c r="G8413">
        <f>(Cpi_[[#This Row],[Value]]-F8412)/F8412</f>
        <v>-0.14315460697553359</v>
      </c>
      <c r="H8413" t="e" cm="1" vm="1">
        <f t="array" aca="1" ref="H8413" ca="1">VLOOKUP(Cpi_[[#This Row],[Year]:[Month]],crudeoil[],3,FALSE)</f>
        <v>#VALUE!</v>
      </c>
    </row>
    <row r="8414" spans="1:10" hidden="1" x14ac:dyDescent="0.3">
      <c r="A8414" t="s">
        <v>34</v>
      </c>
      <c r="B8414">
        <v>2021</v>
      </c>
      <c r="C8414" t="s">
        <v>42</v>
      </c>
      <c r="D8414" t="s">
        <v>18</v>
      </c>
      <c r="E8414" t="e">
        <f>VLOOKUP(Cpi_[[#This Row],[Attribute]],#REF!,2,FALSE)</f>
        <v>#REF!</v>
      </c>
      <c r="F8414">
        <v>155.30000000000001</v>
      </c>
      <c r="G8414">
        <f>(Cpi_[[#This Row],[Value]]-F8413)/F8413</f>
        <v>-5.6500607533414238E-2</v>
      </c>
      <c r="H8414" t="e" cm="1" vm="1">
        <f t="array" aca="1" ref="H8414" ca="1">VLOOKUP(Cpi_[[#This Row],[Year]:[Month]],crudeoil[],3,FALSE)</f>
        <v>#VALUE!</v>
      </c>
    </row>
    <row r="8415" spans="1:10" hidden="1" x14ac:dyDescent="0.3">
      <c r="A8415" t="s">
        <v>34</v>
      </c>
      <c r="B8415">
        <v>2021</v>
      </c>
      <c r="C8415" t="s">
        <v>42</v>
      </c>
      <c r="D8415" t="s">
        <v>19</v>
      </c>
      <c r="E8415" t="e">
        <f>VLOOKUP(Cpi_[[#This Row],[Attribute]],#REF!,2,FALSE)</f>
        <v>#REF!</v>
      </c>
      <c r="F8415">
        <v>163.30000000000001</v>
      </c>
      <c r="G8415">
        <f>(Cpi_[[#This Row],[Value]]-F8414)/F8414</f>
        <v>5.1513200257565998E-2</v>
      </c>
      <c r="H8415" t="e" cm="1" vm="1">
        <f t="array" aca="1" ref="H8415" ca="1">VLOOKUP(Cpi_[[#This Row],[Year]:[Month]],crudeoil[],3,FALSE)</f>
        <v>#VALUE!</v>
      </c>
    </row>
    <row r="8416" spans="1:10" hidden="1" x14ac:dyDescent="0.3">
      <c r="A8416" t="s">
        <v>34</v>
      </c>
      <c r="B8416">
        <v>2021</v>
      </c>
      <c r="C8416" t="s">
        <v>42</v>
      </c>
      <c r="D8416" t="s">
        <v>20</v>
      </c>
      <c r="E8416" t="e">
        <f>VLOOKUP(Cpi_[[#This Row],[Attribute]],#REF!,2,FALSE)</f>
        <v>#REF!</v>
      </c>
      <c r="F8416">
        <v>162.1</v>
      </c>
      <c r="G8416">
        <f>(Cpi_[[#This Row],[Value]]-F8415)/F8415</f>
        <v>-7.3484384568280282E-3</v>
      </c>
      <c r="H8416" t="e" cm="1" vm="1">
        <f t="array" aca="1" ref="H8416" ca="1">VLOOKUP(Cpi_[[#This Row],[Year]:[Month]],crudeoil[],3,FALSE)</f>
        <v>#VALUE!</v>
      </c>
    </row>
    <row r="8417" spans="1:8" hidden="1" x14ac:dyDescent="0.3">
      <c r="A8417" t="s">
        <v>34</v>
      </c>
      <c r="B8417">
        <v>2021</v>
      </c>
      <c r="C8417" t="s">
        <v>42</v>
      </c>
      <c r="D8417" t="s">
        <v>21</v>
      </c>
      <c r="E8417" t="e">
        <f>VLOOKUP(Cpi_[[#This Row],[Attribute]],#REF!,2,FALSE)</f>
        <v>#REF!</v>
      </c>
      <c r="F8417">
        <v>162.6</v>
      </c>
      <c r="G8417">
        <f>(Cpi_[[#This Row],[Value]]-F8416)/F8416</f>
        <v>3.0845157310302285E-3</v>
      </c>
      <c r="H8417" t="e" cm="1" vm="1">
        <f t="array" aca="1" ref="H8417" ca="1">VLOOKUP(Cpi_[[#This Row],[Year]:[Month]],crudeoil[],3,FALSE)</f>
        <v>#VALUE!</v>
      </c>
    </row>
    <row r="8418" spans="1:8" hidden="1" x14ac:dyDescent="0.3">
      <c r="A8418" t="s">
        <v>34</v>
      </c>
      <c r="B8418">
        <v>2021</v>
      </c>
      <c r="C8418" t="s">
        <v>42</v>
      </c>
      <c r="D8418" t="s">
        <v>22</v>
      </c>
      <c r="E8418" t="e">
        <f>VLOOKUP(Cpi_[[#This Row],[Attribute]],#REF!,2,FALSE)</f>
        <v>#REF!</v>
      </c>
      <c r="F8418">
        <v>157.5</v>
      </c>
      <c r="G8418">
        <f>(Cpi_[[#This Row],[Value]]-F8417)/F8417</f>
        <v>-3.1365313653136495E-2</v>
      </c>
      <c r="H8418" t="e" cm="1" vm="1">
        <f t="array" aca="1" ref="H8418" ca="1">VLOOKUP(Cpi_[[#This Row],[Year]:[Month]],crudeoil[],3,FALSE)</f>
        <v>#VALUE!</v>
      </c>
    </row>
    <row r="8419" spans="1:8" hidden="1" x14ac:dyDescent="0.3">
      <c r="A8419" t="s">
        <v>34</v>
      </c>
      <c r="B8419">
        <v>2021</v>
      </c>
      <c r="C8419" t="s">
        <v>42</v>
      </c>
      <c r="D8419" t="s">
        <v>23</v>
      </c>
      <c r="E8419" t="e">
        <f>VLOOKUP(Cpi_[[#This Row],[Attribute]],#REF!,2,FALSE)</f>
        <v>#REF!</v>
      </c>
      <c r="F8419">
        <v>168.4</v>
      </c>
      <c r="G8419">
        <f>(Cpi_[[#This Row],[Value]]-F8418)/F8418</f>
        <v>6.9206349206349244E-2</v>
      </c>
      <c r="H8419" t="e" cm="1" vm="1">
        <f t="array" aca="1" ref="H8419" ca="1">VLOOKUP(Cpi_[[#This Row],[Year]:[Month]],crudeoil[],3,FALSE)</f>
        <v>#VALUE!</v>
      </c>
    </row>
    <row r="8420" spans="1:8" hidden="1" x14ac:dyDescent="0.3">
      <c r="A8420" t="s">
        <v>34</v>
      </c>
      <c r="B8420">
        <v>2021</v>
      </c>
      <c r="C8420" t="s">
        <v>42</v>
      </c>
      <c r="D8420" t="s">
        <v>24</v>
      </c>
      <c r="E8420" t="e">
        <f>VLOOKUP(Cpi_[[#This Row],[Attribute]],#REF!,2,FALSE)</f>
        <v>#REF!</v>
      </c>
      <c r="F8420">
        <v>154</v>
      </c>
      <c r="G8420">
        <f>(Cpi_[[#This Row],[Value]]-F8419)/F8419</f>
        <v>-8.5510688836104548E-2</v>
      </c>
      <c r="H8420" t="e" cm="1" vm="1">
        <f t="array" aca="1" ref="H8420" ca="1">VLOOKUP(Cpi_[[#This Row],[Year]:[Month]],crudeoil[],3,FALSE)</f>
        <v>#VALUE!</v>
      </c>
    </row>
    <row r="8421" spans="1:8" hidden="1" x14ac:dyDescent="0.3">
      <c r="A8421" t="s">
        <v>34</v>
      </c>
      <c r="B8421">
        <v>2021</v>
      </c>
      <c r="C8421" t="s">
        <v>42</v>
      </c>
      <c r="D8421" t="s">
        <v>25</v>
      </c>
      <c r="E8421" t="e">
        <f>VLOOKUP(Cpi_[[#This Row],[Attribute]],#REF!,2,FALSE)</f>
        <v>#REF!</v>
      </c>
      <c r="F8421">
        <v>157.69999999999999</v>
      </c>
      <c r="G8421">
        <f>(Cpi_[[#This Row],[Value]]-F8420)/F8420</f>
        <v>2.4025974025973951E-2</v>
      </c>
      <c r="H8421" t="e" cm="1" vm="1">
        <f t="array" aca="1" ref="H8421" ca="1">VLOOKUP(Cpi_[[#This Row],[Year]:[Month]],crudeoil[],3,FALSE)</f>
        <v>#VALUE!</v>
      </c>
    </row>
    <row r="8422" spans="1:8" hidden="1" x14ac:dyDescent="0.3">
      <c r="A8422" t="s">
        <v>34</v>
      </c>
      <c r="B8422">
        <v>2021</v>
      </c>
      <c r="C8422" t="s">
        <v>42</v>
      </c>
      <c r="D8422" t="s">
        <v>26</v>
      </c>
      <c r="E8422" t="e">
        <f>VLOOKUP(Cpi_[[#This Row],[Attribute]],#REF!,2,FALSE)</f>
        <v>#REF!</v>
      </c>
      <c r="F8422">
        <v>163.69999999999999</v>
      </c>
      <c r="G8422">
        <f>(Cpi_[[#This Row],[Value]]-F8421)/F8421</f>
        <v>3.8046924540266334E-2</v>
      </c>
      <c r="H8422" t="e" cm="1" vm="1">
        <f t="array" aca="1" ref="H8422" ca="1">VLOOKUP(Cpi_[[#This Row],[Year]:[Month]],crudeoil[],3,FALSE)</f>
        <v>#VALUE!</v>
      </c>
    </row>
    <row r="8423" spans="1:8" hidden="1" x14ac:dyDescent="0.3">
      <c r="A8423" t="s">
        <v>34</v>
      </c>
      <c r="B8423">
        <v>2021</v>
      </c>
      <c r="C8423" t="s">
        <v>42</v>
      </c>
      <c r="D8423" t="s">
        <v>27</v>
      </c>
      <c r="E8423" t="e">
        <f>VLOOKUP(Cpi_[[#This Row],[Attribute]],#REF!,2,FALSE)</f>
        <v>#REF!</v>
      </c>
      <c r="F8423">
        <v>160</v>
      </c>
      <c r="G8423">
        <f>(Cpi_[[#This Row],[Value]]-F8422)/F8422</f>
        <v>-2.26023213194868E-2</v>
      </c>
      <c r="H8423" t="e" cm="1" vm="1">
        <f t="array" aca="1" ref="H8423" ca="1">VLOOKUP(Cpi_[[#This Row],[Year]:[Month]],crudeoil[],3,FALSE)</f>
        <v>#VALUE!</v>
      </c>
    </row>
    <row r="8424" spans="1:8" hidden="1" x14ac:dyDescent="0.3">
      <c r="A8424" t="s">
        <v>34</v>
      </c>
      <c r="B8424">
        <v>2021</v>
      </c>
      <c r="C8424" t="s">
        <v>42</v>
      </c>
      <c r="D8424" t="s">
        <v>28</v>
      </c>
      <c r="E8424" t="e">
        <f>VLOOKUP(Cpi_[[#This Row],[Attribute]],#REF!,2,FALSE)</f>
        <v>#REF!</v>
      </c>
      <c r="F8424">
        <v>160</v>
      </c>
      <c r="G8424">
        <f>(Cpi_[[#This Row],[Value]]-F8423)/F8423</f>
        <v>0</v>
      </c>
      <c r="H8424" t="e" cm="1" vm="1">
        <f t="array" aca="1" ref="H8424" ca="1">VLOOKUP(Cpi_[[#This Row],[Year]:[Month]],crudeoil[],3,FALSE)</f>
        <v>#VALUE!</v>
      </c>
    </row>
    <row r="8425" spans="1:8" hidden="1" x14ac:dyDescent="0.3">
      <c r="A8425" t="s">
        <v>34</v>
      </c>
      <c r="B8425">
        <v>2021</v>
      </c>
      <c r="C8425" t="s">
        <v>42</v>
      </c>
      <c r="D8425" t="s">
        <v>29</v>
      </c>
      <c r="E8425" t="e" cm="1">
        <f t="array" aca="1" ref="E8425" ca="1">VLGeneral indexGeneral indexKUP(Cpi_[[#This Row],[Attribute]],#REF!,2,FALSE)</f>
        <v>#NAME?</v>
      </c>
      <c r="F8425">
        <v>163.19999999999999</v>
      </c>
      <c r="G8425">
        <f>(Cpi_[[#This Row],[Value]]-F8424)/F8424</f>
        <v>1.9999999999999928E-2</v>
      </c>
      <c r="H8425" t="e" cm="1" vm="1">
        <f t="array" aca="1" ref="H8425" ca="1">VLOOKUP(Cpi_[[#This Row],[Year]:[Month]],crudeoil[],3,FALSE)</f>
        <v>#VALUE!</v>
      </c>
    </row>
    <row r="8426" spans="1:8" hidden="1" x14ac:dyDescent="0.3">
      <c r="A8426" t="s">
        <v>30</v>
      </c>
      <c r="B8426">
        <v>2021</v>
      </c>
      <c r="C8426" t="s">
        <v>43</v>
      </c>
      <c r="D8426" t="s">
        <v>3</v>
      </c>
      <c r="E8426" t="e">
        <f>VLOOKUP(Cpi_[[#This Row],[Attribute]],#REF!,2,FALSE)</f>
        <v>#REF!</v>
      </c>
      <c r="F8426">
        <v>146.1</v>
      </c>
      <c r="G8426">
        <f>(Cpi_[[#This Row],[Value]]-F8425)/F8425</f>
        <v>-0.10477941176470586</v>
      </c>
      <c r="H8426" t="e" cm="1" vm="1">
        <f t="array" aca="1" ref="H8426" ca="1">VLOOKUP(Cpi_[[#This Row],[Year]:[Month]],crudeoil[],3,FALSE)</f>
        <v>#VALUE!</v>
      </c>
    </row>
    <row r="8427" spans="1:8" hidden="1" x14ac:dyDescent="0.3">
      <c r="A8427" t="s">
        <v>30</v>
      </c>
      <c r="B8427">
        <v>2021</v>
      </c>
      <c r="C8427" t="s">
        <v>43</v>
      </c>
      <c r="D8427" t="s">
        <v>4</v>
      </c>
      <c r="E8427" t="e">
        <f>VLOOKUP(Cpi_[[#This Row],[Attribute]],#REF!,2,FALSE)</f>
        <v>#REF!</v>
      </c>
      <c r="F8427">
        <v>202.5</v>
      </c>
      <c r="G8427">
        <f>(Cpi_[[#This Row],[Value]]-F8426)/F8426</f>
        <v>0.38603696098562634</v>
      </c>
      <c r="H8427" t="e" cm="1" vm="1">
        <f t="array" aca="1" ref="H8427" ca="1">VLOOKUP(Cpi_[[#This Row],[Year]:[Month]],crudeoil[],3,FALSE)</f>
        <v>#VALUE!</v>
      </c>
    </row>
    <row r="8428" spans="1:8" hidden="1" x14ac:dyDescent="0.3">
      <c r="A8428" t="s">
        <v>30</v>
      </c>
      <c r="B8428">
        <v>2021</v>
      </c>
      <c r="C8428" t="s">
        <v>43</v>
      </c>
      <c r="D8428" t="s">
        <v>5</v>
      </c>
      <c r="E8428" t="e">
        <f>VLOOKUP(Cpi_[[#This Row],[Attribute]],#REF!,2,FALSE)</f>
        <v>#REF!</v>
      </c>
      <c r="F8428">
        <v>170.1</v>
      </c>
      <c r="G8428">
        <f>(Cpi_[[#This Row],[Value]]-F8427)/F8427</f>
        <v>-0.16000000000000003</v>
      </c>
      <c r="H8428" t="e" cm="1" vm="1">
        <f t="array" aca="1" ref="H8428" ca="1">VLOOKUP(Cpi_[[#This Row],[Year]:[Month]],crudeoil[],3,FALSE)</f>
        <v>#VALUE!</v>
      </c>
    </row>
    <row r="8429" spans="1:8" hidden="1" x14ac:dyDescent="0.3">
      <c r="A8429" t="s">
        <v>30</v>
      </c>
      <c r="B8429">
        <v>2021</v>
      </c>
      <c r="C8429" t="s">
        <v>43</v>
      </c>
      <c r="D8429" t="s">
        <v>6</v>
      </c>
      <c r="E8429" t="e">
        <f>VLOOKUP(Cpi_[[#This Row],[Attribute]],#REF!,2,FALSE)</f>
        <v>#REF!</v>
      </c>
      <c r="F8429">
        <v>158.4</v>
      </c>
      <c r="G8429">
        <f>(Cpi_[[#This Row],[Value]]-F8428)/F8428</f>
        <v>-6.8783068783068724E-2</v>
      </c>
      <c r="H8429" t="e" cm="1" vm="1">
        <f t="array" aca="1" ref="H8429" ca="1">VLOOKUP(Cpi_[[#This Row],[Year]:[Month]],crudeoil[],3,FALSE)</f>
        <v>#VALUE!</v>
      </c>
    </row>
    <row r="8430" spans="1:8" hidden="1" x14ac:dyDescent="0.3">
      <c r="A8430" t="s">
        <v>30</v>
      </c>
      <c r="B8430">
        <v>2021</v>
      </c>
      <c r="C8430" t="s">
        <v>43</v>
      </c>
      <c r="D8430" t="s">
        <v>7</v>
      </c>
      <c r="E8430" t="e">
        <f>VLOOKUP(Cpi_[[#This Row],[Attribute]],#REF!,2,FALSE)</f>
        <v>#REF!</v>
      </c>
      <c r="F8430">
        <v>198.8</v>
      </c>
      <c r="G8430">
        <f>(Cpi_[[#This Row],[Value]]-F8429)/F8429</f>
        <v>0.25505050505050508</v>
      </c>
      <c r="H8430" t="e" cm="1" vm="1">
        <f t="array" aca="1" ref="H8430" ca="1">VLOOKUP(Cpi_[[#This Row],[Year]:[Month]],crudeoil[],3,FALSE)</f>
        <v>#VALUE!</v>
      </c>
    </row>
    <row r="8431" spans="1:8" hidden="1" x14ac:dyDescent="0.3">
      <c r="A8431" t="s">
        <v>30</v>
      </c>
      <c r="B8431">
        <v>2021</v>
      </c>
      <c r="C8431" t="s">
        <v>43</v>
      </c>
      <c r="D8431" t="s">
        <v>8</v>
      </c>
      <c r="E8431" t="e">
        <f>VLOOKUP(Cpi_[[#This Row],[Attribute]],#REF!,2,FALSE)</f>
        <v>#REF!</v>
      </c>
      <c r="F8431">
        <v>152.6</v>
      </c>
      <c r="G8431">
        <f>(Cpi_[[#This Row],[Value]]-F8430)/F8430</f>
        <v>-0.23239436619718318</v>
      </c>
      <c r="H8431" t="e" cm="1" vm="1">
        <f t="array" aca="1" ref="H8431" ca="1">VLOOKUP(Cpi_[[#This Row],[Year]:[Month]],crudeoil[],3,FALSE)</f>
        <v>#VALUE!</v>
      </c>
    </row>
    <row r="8432" spans="1:8" hidden="1" x14ac:dyDescent="0.3">
      <c r="A8432" t="s">
        <v>30</v>
      </c>
      <c r="B8432">
        <v>2021</v>
      </c>
      <c r="C8432" t="s">
        <v>43</v>
      </c>
      <c r="D8432" t="s">
        <v>9</v>
      </c>
      <c r="E8432" t="e">
        <f>VLOOKUP(Cpi_[[#This Row],[Attribute]],#REF!,2,FALSE)</f>
        <v>#REF!</v>
      </c>
      <c r="F8432">
        <v>170.4</v>
      </c>
      <c r="G8432">
        <f>(Cpi_[[#This Row],[Value]]-F8431)/F8431</f>
        <v>0.1166448230668415</v>
      </c>
      <c r="H8432" t="e" cm="1" vm="1">
        <f t="array" aca="1" ref="H8432" ca="1">VLOOKUP(Cpi_[[#This Row],[Year]:[Month]],crudeoil[],3,FALSE)</f>
        <v>#VALUE!</v>
      </c>
    </row>
    <row r="8433" spans="1:8" hidden="1" x14ac:dyDescent="0.3">
      <c r="A8433" t="s">
        <v>30</v>
      </c>
      <c r="B8433">
        <v>2021</v>
      </c>
      <c r="C8433" t="s">
        <v>43</v>
      </c>
      <c r="D8433" t="s">
        <v>10</v>
      </c>
      <c r="E8433" t="e">
        <f>VLOOKUP(Cpi_[[#This Row],[Attribute]],#REF!,2,FALSE)</f>
        <v>#REF!</v>
      </c>
      <c r="F8433">
        <v>165.2</v>
      </c>
      <c r="G8433">
        <f>(Cpi_[[#This Row],[Value]]-F8432)/F8432</f>
        <v>-3.051643192488273E-2</v>
      </c>
      <c r="H8433" t="e" cm="1" vm="1">
        <f t="array" aca="1" ref="H8433" ca="1">VLOOKUP(Cpi_[[#This Row],[Year]:[Month]],crudeoil[],3,FALSE)</f>
        <v>#VALUE!</v>
      </c>
    </row>
    <row r="8434" spans="1:8" hidden="1" x14ac:dyDescent="0.3">
      <c r="A8434" t="s">
        <v>30</v>
      </c>
      <c r="B8434">
        <v>2021</v>
      </c>
      <c r="C8434" t="s">
        <v>43</v>
      </c>
      <c r="D8434" t="s">
        <v>11</v>
      </c>
      <c r="E8434" t="e">
        <f>VLOOKUP(Cpi_[[#This Row],[Attribute]],#REF!,2,FALSE)</f>
        <v>#REF!</v>
      </c>
      <c r="F8434">
        <v>121.6</v>
      </c>
      <c r="G8434">
        <f>(Cpi_[[#This Row],[Value]]-F8433)/F8433</f>
        <v>-0.26392251815980627</v>
      </c>
      <c r="H8434" t="e" cm="1" vm="1">
        <f t="array" aca="1" ref="H8434" ca="1">VLOOKUP(Cpi_[[#This Row],[Year]:[Month]],crudeoil[],3,FALSE)</f>
        <v>#VALUE!</v>
      </c>
    </row>
    <row r="8435" spans="1:8" hidden="1" x14ac:dyDescent="0.3">
      <c r="A8435" t="s">
        <v>30</v>
      </c>
      <c r="B8435">
        <v>2021</v>
      </c>
      <c r="C8435" t="s">
        <v>43</v>
      </c>
      <c r="D8435" t="s">
        <v>12</v>
      </c>
      <c r="E8435" t="e">
        <f>VLOOKUP(Cpi_[[#This Row],[Attribute]],#REF!,2,FALSE)</f>
        <v>#REF!</v>
      </c>
      <c r="F8435">
        <v>170.6</v>
      </c>
      <c r="G8435">
        <f>(Cpi_[[#This Row],[Value]]-F8434)/F8434</f>
        <v>0.40296052631578949</v>
      </c>
      <c r="H8435" t="e" cm="1" vm="1">
        <f t="array" aca="1" ref="H8435" ca="1">VLOOKUP(Cpi_[[#This Row],[Year]:[Month]],crudeoil[],3,FALSE)</f>
        <v>#VALUE!</v>
      </c>
    </row>
    <row r="8436" spans="1:8" hidden="1" x14ac:dyDescent="0.3">
      <c r="A8436" t="s">
        <v>30</v>
      </c>
      <c r="B8436">
        <v>2021</v>
      </c>
      <c r="C8436" t="s">
        <v>43</v>
      </c>
      <c r="D8436" t="s">
        <v>13</v>
      </c>
      <c r="E8436" t="e">
        <f>VLOOKUP(Cpi_[[#This Row],[Attribute]],#REF!,2,FALSE)</f>
        <v>#REF!</v>
      </c>
      <c r="F8436">
        <v>168.8</v>
      </c>
      <c r="G8436">
        <f>(Cpi_[[#This Row],[Value]]-F8435)/F8435</f>
        <v>-1.0550996483001073E-2</v>
      </c>
      <c r="H8436" t="e" cm="1" vm="1">
        <f t="array" aca="1" ref="H8436" ca="1">VLOOKUP(Cpi_[[#This Row],[Year]:[Month]],crudeoil[],3,FALSE)</f>
        <v>#VALUE!</v>
      </c>
    </row>
    <row r="8437" spans="1:8" hidden="1" x14ac:dyDescent="0.3">
      <c r="A8437" t="s">
        <v>30</v>
      </c>
      <c r="B8437">
        <v>2021</v>
      </c>
      <c r="C8437" t="s">
        <v>43</v>
      </c>
      <c r="D8437" t="s">
        <v>14</v>
      </c>
      <c r="E8437" t="e">
        <f>VLOOKUP(Cpi_[[#This Row],[Attribute]],#REF!,2,FALSE)</f>
        <v>#REF!</v>
      </c>
      <c r="F8437">
        <v>173.6</v>
      </c>
      <c r="G8437">
        <f>(Cpi_[[#This Row],[Value]]-F8436)/F8436</f>
        <v>2.843601895734587E-2</v>
      </c>
      <c r="H8437" t="e" cm="1" vm="1">
        <f t="array" aca="1" ref="H8437" ca="1">VLOOKUP(Cpi_[[#This Row],[Year]:[Month]],crudeoil[],3,FALSE)</f>
        <v>#VALUE!</v>
      </c>
    </row>
    <row r="8438" spans="1:8" hidden="1" x14ac:dyDescent="0.3">
      <c r="A8438" t="s">
        <v>30</v>
      </c>
      <c r="B8438">
        <v>2021</v>
      </c>
      <c r="C8438" t="s">
        <v>43</v>
      </c>
      <c r="D8438" t="s">
        <v>15</v>
      </c>
      <c r="E8438" t="e">
        <f>VLOOKUP(Cpi_[[#This Row],[Attribute]],#REF!,2,FALSE)</f>
        <v>#REF!</v>
      </c>
      <c r="F8438">
        <v>165.5</v>
      </c>
      <c r="G8438">
        <f>(Cpi_[[#This Row],[Value]]-F8437)/F8437</f>
        <v>-4.6658986175115179E-2</v>
      </c>
      <c r="H8438" t="e" cm="1" vm="1">
        <f t="array" aca="1" ref="H8438" ca="1">VLOOKUP(Cpi_[[#This Row],[Year]:[Month]],crudeoil[],3,FALSE)</f>
        <v>#VALUE!</v>
      </c>
    </row>
    <row r="8439" spans="1:8" hidden="1" x14ac:dyDescent="0.3">
      <c r="A8439" t="s">
        <v>30</v>
      </c>
      <c r="B8439">
        <v>2021</v>
      </c>
      <c r="C8439" t="s">
        <v>43</v>
      </c>
      <c r="D8439" t="s">
        <v>16</v>
      </c>
      <c r="E8439" t="e">
        <f>VLOOKUP(Cpi_[[#This Row],[Attribute]],#REF!,2,FALSE)</f>
        <v>#REF!</v>
      </c>
      <c r="F8439">
        <v>191.2</v>
      </c>
      <c r="G8439">
        <f>(Cpi_[[#This Row],[Value]]-F8438)/F8438</f>
        <v>0.15528700906344403</v>
      </c>
      <c r="H8439" t="e" cm="1" vm="1">
        <f t="array" aca="1" ref="H8439" ca="1">VLOOKUP(Cpi_[[#This Row],[Year]:[Month]],crudeoil[],3,FALSE)</f>
        <v>#VALUE!</v>
      </c>
    </row>
    <row r="8440" spans="1:8" hidden="1" x14ac:dyDescent="0.3">
      <c r="A8440" t="s">
        <v>30</v>
      </c>
      <c r="B8440">
        <v>2021</v>
      </c>
      <c r="C8440" t="s">
        <v>43</v>
      </c>
      <c r="D8440" t="s">
        <v>17</v>
      </c>
      <c r="E8440" t="e">
        <f>VLOOKUP(Cpi_[[#This Row],[Attribute]],#REF!,2,FALSE)</f>
        <v>#REF!</v>
      </c>
      <c r="F8440">
        <v>168.9</v>
      </c>
      <c r="G8440">
        <f>(Cpi_[[#This Row],[Value]]-F8439)/F8439</f>
        <v>-0.11663179916317984</v>
      </c>
      <c r="H8440" t="e" cm="1" vm="1">
        <f t="array" aca="1" ref="H8440" ca="1">VLOOKUP(Cpi_[[#This Row],[Year]:[Month]],crudeoil[],3,FALSE)</f>
        <v>#VALUE!</v>
      </c>
    </row>
    <row r="8441" spans="1:8" hidden="1" x14ac:dyDescent="0.3">
      <c r="A8441" t="s">
        <v>30</v>
      </c>
      <c r="B8441">
        <v>2021</v>
      </c>
      <c r="C8441" t="s">
        <v>43</v>
      </c>
      <c r="D8441" t="s">
        <v>18</v>
      </c>
      <c r="E8441" t="e">
        <f>VLOOKUP(Cpi_[[#This Row],[Attribute]],#REF!,2,FALSE)</f>
        <v>#REF!</v>
      </c>
      <c r="F8441">
        <v>164.8</v>
      </c>
      <c r="G8441">
        <f>(Cpi_[[#This Row],[Value]]-F8440)/F8440</f>
        <v>-2.4274718768502037E-2</v>
      </c>
      <c r="H8441" t="e" cm="1" vm="1">
        <f t="array" aca="1" ref="H8441" ca="1">VLOOKUP(Cpi_[[#This Row],[Year]:[Month]],crudeoil[],3,FALSE)</f>
        <v>#VALUE!</v>
      </c>
    </row>
    <row r="8442" spans="1:8" hidden="1" x14ac:dyDescent="0.3">
      <c r="A8442" t="s">
        <v>30</v>
      </c>
      <c r="B8442">
        <v>2021</v>
      </c>
      <c r="C8442" t="s">
        <v>43</v>
      </c>
      <c r="D8442" t="s">
        <v>19</v>
      </c>
      <c r="E8442" t="e">
        <f>VLOOKUP(Cpi_[[#This Row],[Attribute]],#REF!,2,FALSE)</f>
        <v>#REF!</v>
      </c>
      <c r="F8442">
        <v>168.3</v>
      </c>
      <c r="G8442">
        <f>(Cpi_[[#This Row],[Value]]-F8441)/F8441</f>
        <v>2.12378640776699E-2</v>
      </c>
      <c r="H8442" t="e" cm="1" vm="1">
        <f t="array" aca="1" ref="H8442" ca="1">VLOOKUP(Cpi_[[#This Row],[Year]:[Month]],crudeoil[],3,FALSE)</f>
        <v>#VALUE!</v>
      </c>
    </row>
    <row r="8443" spans="1:8" hidden="1" x14ac:dyDescent="0.3">
      <c r="A8443" t="s">
        <v>30</v>
      </c>
      <c r="B8443">
        <v>2021</v>
      </c>
      <c r="C8443" t="s">
        <v>43</v>
      </c>
      <c r="D8443" t="s">
        <v>20</v>
      </c>
      <c r="E8443" t="e">
        <f>VLOOKUP(Cpi_[[#This Row],[Attribute]],#REF!,2,FALSE)</f>
        <v>#REF!</v>
      </c>
      <c r="F8443" t="s">
        <v>32</v>
      </c>
      <c r="G8443" t="e">
        <f>(Cpi_[[#This Row],[Value]]-F8442)/F8442</f>
        <v>#VALUE!</v>
      </c>
      <c r="H8443" t="e" cm="1" vm="1">
        <f t="array" aca="1" ref="H8443" ca="1">VLOOKUP(Cpi_[[#This Row],[Year]:[Month]],crudeoil[],3,FALSE)</f>
        <v>#VALUE!</v>
      </c>
    </row>
    <row r="8444" spans="1:8" hidden="1" x14ac:dyDescent="0.3">
      <c r="A8444" t="s">
        <v>30</v>
      </c>
      <c r="B8444">
        <v>2021</v>
      </c>
      <c r="C8444" t="s">
        <v>43</v>
      </c>
      <c r="D8444" t="s">
        <v>21</v>
      </c>
      <c r="E8444" t="e">
        <f>VLOOKUP(Cpi_[[#This Row],[Attribute]],#REF!,2,FALSE)</f>
        <v>#REF!</v>
      </c>
      <c r="F8444">
        <v>165.5</v>
      </c>
      <c r="G8444" t="e">
        <f>(Cpi_[[#This Row],[Value]]-F8443)/F8443</f>
        <v>#VALUE!</v>
      </c>
      <c r="H8444" t="e" cm="1" vm="1">
        <f t="array" aca="1" ref="H8444" ca="1">VLOOKUP(Cpi_[[#This Row],[Year]:[Month]],crudeoil[],3,FALSE)</f>
        <v>#VALUE!</v>
      </c>
    </row>
    <row r="8445" spans="1:8" hidden="1" x14ac:dyDescent="0.3">
      <c r="A8445" t="s">
        <v>30</v>
      </c>
      <c r="B8445">
        <v>2021</v>
      </c>
      <c r="C8445" t="s">
        <v>43</v>
      </c>
      <c r="D8445" t="s">
        <v>22</v>
      </c>
      <c r="E8445" t="e">
        <f>VLOOKUP(Cpi_[[#This Row],[Attribute]],#REF!,2,FALSE)</f>
        <v>#REF!</v>
      </c>
      <c r="F8445">
        <v>162</v>
      </c>
      <c r="G8445">
        <f>(Cpi_[[#This Row],[Value]]-F8444)/F8444</f>
        <v>-2.1148036253776436E-2</v>
      </c>
      <c r="H8445" t="e" cm="1" vm="1">
        <f t="array" aca="1" ref="H8445" ca="1">VLOOKUP(Cpi_[[#This Row],[Year]:[Month]],crudeoil[],3,FALSE)</f>
        <v>#VALUE!</v>
      </c>
    </row>
    <row r="8446" spans="1:8" hidden="1" x14ac:dyDescent="0.3">
      <c r="A8446" t="s">
        <v>30</v>
      </c>
      <c r="B8446">
        <v>2021</v>
      </c>
      <c r="C8446" t="s">
        <v>43</v>
      </c>
      <c r="D8446" t="s">
        <v>23</v>
      </c>
      <c r="E8446" t="e">
        <f>VLOOKUP(Cpi_[[#This Row],[Attribute]],#REF!,2,FALSE)</f>
        <v>#REF!</v>
      </c>
      <c r="F8446">
        <v>172.5</v>
      </c>
      <c r="G8446">
        <f>(Cpi_[[#This Row],[Value]]-F8445)/F8445</f>
        <v>6.4814814814814811E-2</v>
      </c>
      <c r="H8446" t="e" cm="1" vm="1">
        <f t="array" aca="1" ref="H8446" ca="1">VLOOKUP(Cpi_[[#This Row],[Year]:[Month]],crudeoil[],3,FALSE)</f>
        <v>#VALUE!</v>
      </c>
    </row>
    <row r="8447" spans="1:8" hidden="1" x14ac:dyDescent="0.3">
      <c r="A8447" t="s">
        <v>30</v>
      </c>
      <c r="B8447">
        <v>2021</v>
      </c>
      <c r="C8447" t="s">
        <v>43</v>
      </c>
      <c r="D8447" t="s">
        <v>24</v>
      </c>
      <c r="E8447" t="e">
        <f>VLOOKUP(Cpi_[[#This Row],[Attribute]],#REF!,2,FALSE)</f>
        <v>#REF!</v>
      </c>
      <c r="F8447">
        <v>159.5</v>
      </c>
      <c r="G8447">
        <f>(Cpi_[[#This Row],[Value]]-F8446)/F8446</f>
        <v>-7.5362318840579715E-2</v>
      </c>
      <c r="H8447" t="e" cm="1" vm="1">
        <f t="array" aca="1" ref="H8447" ca="1">VLOOKUP(Cpi_[[#This Row],[Year]:[Month]],crudeoil[],3,FALSE)</f>
        <v>#VALUE!</v>
      </c>
    </row>
    <row r="8448" spans="1:8" hidden="1" x14ac:dyDescent="0.3">
      <c r="A8448" t="s">
        <v>30</v>
      </c>
      <c r="B8448">
        <v>2021</v>
      </c>
      <c r="C8448" t="s">
        <v>43</v>
      </c>
      <c r="D8448" t="s">
        <v>25</v>
      </c>
      <c r="E8448" t="e">
        <f>VLOOKUP(Cpi_[[#This Row],[Attribute]],#REF!,2,FALSE)</f>
        <v>#REF!</v>
      </c>
      <c r="F8448">
        <v>163.19999999999999</v>
      </c>
      <c r="G8448">
        <f>(Cpi_[[#This Row],[Value]]-F8447)/F8447</f>
        <v>2.3197492163009332E-2</v>
      </c>
      <c r="H8448" t="e" cm="1" vm="1">
        <f t="array" aca="1" ref="H8448" ca="1">VLOOKUP(Cpi_[[#This Row],[Year]:[Month]],crudeoil[],3,FALSE)</f>
        <v>#VALUE!</v>
      </c>
    </row>
    <row r="8449" spans="1:8" hidden="1" x14ac:dyDescent="0.3">
      <c r="A8449" t="s">
        <v>30</v>
      </c>
      <c r="B8449">
        <v>2021</v>
      </c>
      <c r="C8449" t="s">
        <v>43</v>
      </c>
      <c r="D8449" t="s">
        <v>26</v>
      </c>
      <c r="E8449" t="e">
        <f>VLOOKUP(Cpi_[[#This Row],[Attribute]],#REF!,2,FALSE)</f>
        <v>#REF!</v>
      </c>
      <c r="F8449">
        <v>169</v>
      </c>
      <c r="G8449">
        <f>(Cpi_[[#This Row],[Value]]-F8448)/F8448</f>
        <v>3.5539215686274585E-2</v>
      </c>
      <c r="H8449" t="e" cm="1" vm="1">
        <f t="array" aca="1" ref="H8449" ca="1">VLOOKUP(Cpi_[[#This Row],[Year]:[Month]],crudeoil[],3,FALSE)</f>
        <v>#VALUE!</v>
      </c>
    </row>
    <row r="8450" spans="1:8" hidden="1" x14ac:dyDescent="0.3">
      <c r="A8450" t="s">
        <v>30</v>
      </c>
      <c r="B8450">
        <v>2021</v>
      </c>
      <c r="C8450" t="s">
        <v>43</v>
      </c>
      <c r="D8450" t="s">
        <v>27</v>
      </c>
      <c r="E8450" t="e">
        <f>VLOOKUP(Cpi_[[#This Row],[Attribute]],#REF!,2,FALSE)</f>
        <v>#REF!</v>
      </c>
      <c r="F8450">
        <v>161.1</v>
      </c>
      <c r="G8450">
        <f>(Cpi_[[#This Row],[Value]]-F8449)/F8449</f>
        <v>-4.6745562130177547E-2</v>
      </c>
      <c r="H8450" t="e" cm="1" vm="1">
        <f t="array" aca="1" ref="H8450" ca="1">VLOOKUP(Cpi_[[#This Row],[Year]:[Month]],crudeoil[],3,FALSE)</f>
        <v>#VALUE!</v>
      </c>
    </row>
    <row r="8451" spans="1:8" hidden="1" x14ac:dyDescent="0.3">
      <c r="A8451" t="s">
        <v>30</v>
      </c>
      <c r="B8451">
        <v>2021</v>
      </c>
      <c r="C8451" t="s">
        <v>43</v>
      </c>
      <c r="D8451" t="s">
        <v>28</v>
      </c>
      <c r="E8451" t="e">
        <f>VLOOKUP(Cpi_[[#This Row],[Attribute]],#REF!,2,FALSE)</f>
        <v>#REF!</v>
      </c>
      <c r="F8451">
        <v>164.7</v>
      </c>
      <c r="G8451">
        <f>(Cpi_[[#This Row],[Value]]-F8450)/F8450</f>
        <v>2.2346368715083765E-2</v>
      </c>
      <c r="H8451" t="e" cm="1" vm="1">
        <f t="array" aca="1" ref="H8451" ca="1">VLOOKUP(Cpi_[[#This Row],[Year]:[Month]],crudeoil[],3,FALSE)</f>
        <v>#VALUE!</v>
      </c>
    </row>
    <row r="8452" spans="1:8" hidden="1" x14ac:dyDescent="0.3">
      <c r="A8452" t="s">
        <v>30</v>
      </c>
      <c r="B8452">
        <v>2021</v>
      </c>
      <c r="C8452" t="s">
        <v>43</v>
      </c>
      <c r="D8452" t="s">
        <v>29</v>
      </c>
      <c r="E8452" t="e" cm="1">
        <f t="array" aca="1" ref="E8452" ca="1">VLGeneral indexGeneral indexKUP(Cpi_[[#This Row],[Attribute]],#REF!,2,FALSE)</f>
        <v>#NAME?</v>
      </c>
      <c r="F8452">
        <v>166.3</v>
      </c>
      <c r="G8452">
        <f>(Cpi_[[#This Row],[Value]]-F8451)/F8451</f>
        <v>9.7146326654524769E-3</v>
      </c>
      <c r="H8452" t="e" cm="1" vm="1">
        <f t="array" aca="1" ref="H8452" ca="1">VLOOKUP(Cpi_[[#This Row],[Year]:[Month]],crudeoil[],3,FALSE)</f>
        <v>#VALUE!</v>
      </c>
    </row>
    <row r="8453" spans="1:8" hidden="1" x14ac:dyDescent="0.3">
      <c r="A8453" t="s">
        <v>33</v>
      </c>
      <c r="B8453">
        <v>2021</v>
      </c>
      <c r="C8453" t="s">
        <v>43</v>
      </c>
      <c r="D8453" t="s">
        <v>3</v>
      </c>
      <c r="E8453" t="e">
        <f>VLOOKUP(Cpi_[[#This Row],[Attribute]],#REF!,2,FALSE)</f>
        <v>#REF!</v>
      </c>
      <c r="F8453">
        <v>150.1</v>
      </c>
      <c r="G8453">
        <f>(Cpi_[[#This Row],[Value]]-F8452)/F8452</f>
        <v>-9.7414311485267691E-2</v>
      </c>
      <c r="H8453" t="e" cm="1" vm="1">
        <f t="array" aca="1" ref="H8453" ca="1">VLOOKUP(Cpi_[[#This Row],[Year]:[Month]],crudeoil[],3,FALSE)</f>
        <v>#VALUE!</v>
      </c>
    </row>
    <row r="8454" spans="1:8" hidden="1" x14ac:dyDescent="0.3">
      <c r="A8454" t="s">
        <v>33</v>
      </c>
      <c r="B8454">
        <v>2021</v>
      </c>
      <c r="C8454" t="s">
        <v>43</v>
      </c>
      <c r="D8454" t="s">
        <v>4</v>
      </c>
      <c r="E8454" t="e">
        <f>VLOOKUP(Cpi_[[#This Row],[Attribute]],#REF!,2,FALSE)</f>
        <v>#REF!</v>
      </c>
      <c r="F8454">
        <v>208.4</v>
      </c>
      <c r="G8454">
        <f>(Cpi_[[#This Row],[Value]]-F8453)/F8453</f>
        <v>0.38840772818121261</v>
      </c>
      <c r="H8454" t="e" cm="1" vm="1">
        <f t="array" aca="1" ref="H8454" ca="1">VLOOKUP(Cpi_[[#This Row],[Year]:[Month]],crudeoil[],3,FALSE)</f>
        <v>#VALUE!</v>
      </c>
    </row>
    <row r="8455" spans="1:8" hidden="1" x14ac:dyDescent="0.3">
      <c r="A8455" t="s">
        <v>33</v>
      </c>
      <c r="B8455">
        <v>2021</v>
      </c>
      <c r="C8455" t="s">
        <v>43</v>
      </c>
      <c r="D8455" t="s">
        <v>5</v>
      </c>
      <c r="E8455" t="e">
        <f>VLOOKUP(Cpi_[[#This Row],[Attribute]],#REF!,2,FALSE)</f>
        <v>#REF!</v>
      </c>
      <c r="F8455">
        <v>173</v>
      </c>
      <c r="G8455">
        <f>(Cpi_[[#This Row],[Value]]-F8454)/F8454</f>
        <v>-0.16986564299424187</v>
      </c>
      <c r="H8455" t="e" cm="1" vm="1">
        <f t="array" aca="1" ref="H8455" ca="1">VLOOKUP(Cpi_[[#This Row],[Year]:[Month]],crudeoil[],3,FALSE)</f>
        <v>#VALUE!</v>
      </c>
    </row>
    <row r="8456" spans="1:8" hidden="1" x14ac:dyDescent="0.3">
      <c r="A8456" t="s">
        <v>33</v>
      </c>
      <c r="B8456">
        <v>2021</v>
      </c>
      <c r="C8456" t="s">
        <v>43</v>
      </c>
      <c r="D8456" t="s">
        <v>6</v>
      </c>
      <c r="E8456" t="e">
        <f>VLOOKUP(Cpi_[[#This Row],[Attribute]],#REF!,2,FALSE)</f>
        <v>#REF!</v>
      </c>
      <c r="F8456">
        <v>159.19999999999999</v>
      </c>
      <c r="G8456">
        <f>(Cpi_[[#This Row],[Value]]-F8455)/F8455</f>
        <v>-7.9768786127167701E-2</v>
      </c>
      <c r="H8456" t="e" cm="1" vm="1">
        <f t="array" aca="1" ref="H8456" ca="1">VLOOKUP(Cpi_[[#This Row],[Year]:[Month]],crudeoil[],3,FALSE)</f>
        <v>#VALUE!</v>
      </c>
    </row>
    <row r="8457" spans="1:8" hidden="1" x14ac:dyDescent="0.3">
      <c r="A8457" t="s">
        <v>33</v>
      </c>
      <c r="B8457">
        <v>2021</v>
      </c>
      <c r="C8457" t="s">
        <v>43</v>
      </c>
      <c r="D8457" t="s">
        <v>7</v>
      </c>
      <c r="E8457" t="e">
        <f>VLOOKUP(Cpi_[[#This Row],[Attribute]],#REF!,2,FALSE)</f>
        <v>#REF!</v>
      </c>
      <c r="F8457">
        <v>176.6</v>
      </c>
      <c r="G8457">
        <f>(Cpi_[[#This Row],[Value]]-F8456)/F8456</f>
        <v>0.10929648241206034</v>
      </c>
      <c r="H8457" t="e" cm="1" vm="1">
        <f t="array" aca="1" ref="H8457" ca="1">VLOOKUP(Cpi_[[#This Row],[Year]:[Month]],crudeoil[],3,FALSE)</f>
        <v>#VALUE!</v>
      </c>
    </row>
    <row r="8458" spans="1:8" hidden="1" x14ac:dyDescent="0.3">
      <c r="A8458" t="s">
        <v>33</v>
      </c>
      <c r="B8458">
        <v>2021</v>
      </c>
      <c r="C8458" t="s">
        <v>43</v>
      </c>
      <c r="D8458" t="s">
        <v>8</v>
      </c>
      <c r="E8458" t="e">
        <f>VLOOKUP(Cpi_[[#This Row],[Attribute]],#REF!,2,FALSE)</f>
        <v>#REF!</v>
      </c>
      <c r="F8458">
        <v>159.30000000000001</v>
      </c>
      <c r="G8458">
        <f>(Cpi_[[#This Row],[Value]]-F8457)/F8457</f>
        <v>-9.7961494903737165E-2</v>
      </c>
      <c r="H8458" t="e" cm="1" vm="1">
        <f t="array" aca="1" ref="H8458" ca="1">VLOOKUP(Cpi_[[#This Row],[Year]:[Month]],crudeoil[],3,FALSE)</f>
        <v>#VALUE!</v>
      </c>
    </row>
    <row r="8459" spans="1:8" hidden="1" x14ac:dyDescent="0.3">
      <c r="A8459" t="s">
        <v>33</v>
      </c>
      <c r="B8459">
        <v>2021</v>
      </c>
      <c r="C8459" t="s">
        <v>43</v>
      </c>
      <c r="D8459" t="s">
        <v>9</v>
      </c>
      <c r="E8459" t="e">
        <f>VLOOKUP(Cpi_[[#This Row],[Attribute]],#REF!,2,FALSE)</f>
        <v>#REF!</v>
      </c>
      <c r="F8459">
        <v>214.4</v>
      </c>
      <c r="G8459">
        <f>(Cpi_[[#This Row],[Value]]-F8458)/F8458</f>
        <v>0.34588826114249838</v>
      </c>
      <c r="H8459" t="e" cm="1" vm="1">
        <f t="array" aca="1" ref="H8459" ca="1">VLOOKUP(Cpi_[[#This Row],[Year]:[Month]],crudeoil[],3,FALSE)</f>
        <v>#VALUE!</v>
      </c>
    </row>
    <row r="8460" spans="1:8" hidden="1" x14ac:dyDescent="0.3">
      <c r="A8460" t="s">
        <v>33</v>
      </c>
      <c r="B8460">
        <v>2021</v>
      </c>
      <c r="C8460" t="s">
        <v>43</v>
      </c>
      <c r="D8460" t="s">
        <v>10</v>
      </c>
      <c r="E8460" t="e">
        <f>VLOOKUP(Cpi_[[#This Row],[Attribute]],#REF!,2,FALSE)</f>
        <v>#REF!</v>
      </c>
      <c r="F8460">
        <v>165.3</v>
      </c>
      <c r="G8460">
        <f>(Cpi_[[#This Row],[Value]]-F8459)/F8459</f>
        <v>-0.22901119402985071</v>
      </c>
      <c r="H8460" t="e" cm="1" vm="1">
        <f t="array" aca="1" ref="H8460" ca="1">VLOOKUP(Cpi_[[#This Row],[Year]:[Month]],crudeoil[],3,FALSE)</f>
        <v>#VALUE!</v>
      </c>
    </row>
    <row r="8461" spans="1:8" hidden="1" x14ac:dyDescent="0.3">
      <c r="A8461" t="s">
        <v>33</v>
      </c>
      <c r="B8461">
        <v>2021</v>
      </c>
      <c r="C8461" t="s">
        <v>43</v>
      </c>
      <c r="D8461" t="s">
        <v>11</v>
      </c>
      <c r="E8461" t="e">
        <f>VLOOKUP(Cpi_[[#This Row],[Attribute]],#REF!,2,FALSE)</f>
        <v>#REF!</v>
      </c>
      <c r="F8461">
        <v>122.5</v>
      </c>
      <c r="G8461">
        <f>(Cpi_[[#This Row],[Value]]-F8460)/F8460</f>
        <v>-0.25892316999395043</v>
      </c>
      <c r="H8461" t="e" cm="1" vm="1">
        <f t="array" aca="1" ref="H8461" ca="1">VLOOKUP(Cpi_[[#This Row],[Year]:[Month]],crudeoil[],3,FALSE)</f>
        <v>#VALUE!</v>
      </c>
    </row>
    <row r="8462" spans="1:8" hidden="1" x14ac:dyDescent="0.3">
      <c r="A8462" t="s">
        <v>33</v>
      </c>
      <c r="B8462">
        <v>2021</v>
      </c>
      <c r="C8462" t="s">
        <v>43</v>
      </c>
      <c r="D8462" t="s">
        <v>12</v>
      </c>
      <c r="E8462" t="e">
        <f>VLOOKUP(Cpi_[[#This Row],[Attribute]],#REF!,2,FALSE)</f>
        <v>#REF!</v>
      </c>
      <c r="F8462">
        <v>166.8</v>
      </c>
      <c r="G8462">
        <f>(Cpi_[[#This Row],[Value]]-F8461)/F8461</f>
        <v>0.36163265306122461</v>
      </c>
      <c r="H8462" t="e" cm="1" vm="1">
        <f t="array" aca="1" ref="H8462" ca="1">VLOOKUP(Cpi_[[#This Row],[Year]:[Month]],crudeoil[],3,FALSE)</f>
        <v>#VALUE!</v>
      </c>
    </row>
    <row r="8463" spans="1:8" hidden="1" x14ac:dyDescent="0.3">
      <c r="A8463" t="s">
        <v>33</v>
      </c>
      <c r="B8463">
        <v>2021</v>
      </c>
      <c r="C8463" t="s">
        <v>43</v>
      </c>
      <c r="D8463" t="s">
        <v>13</v>
      </c>
      <c r="E8463" t="e">
        <f>VLOOKUP(Cpi_[[#This Row],[Attribute]],#REF!,2,FALSE)</f>
        <v>#REF!</v>
      </c>
      <c r="F8463">
        <v>155.4</v>
      </c>
      <c r="G8463">
        <f>(Cpi_[[#This Row],[Value]]-F8462)/F8462</f>
        <v>-6.8345323741007227E-2</v>
      </c>
      <c r="H8463" t="e" cm="1" vm="1">
        <f t="array" aca="1" ref="H8463" ca="1">VLOOKUP(Cpi_[[#This Row],[Year]:[Month]],crudeoil[],3,FALSE)</f>
        <v>#VALUE!</v>
      </c>
    </row>
    <row r="8464" spans="1:8" hidden="1" x14ac:dyDescent="0.3">
      <c r="A8464" t="s">
        <v>33</v>
      </c>
      <c r="B8464">
        <v>2021</v>
      </c>
      <c r="C8464" t="s">
        <v>43</v>
      </c>
      <c r="D8464" t="s">
        <v>14</v>
      </c>
      <c r="E8464" t="e">
        <f>VLOOKUP(Cpi_[[#This Row],[Attribute]],#REF!,2,FALSE)</f>
        <v>#REF!</v>
      </c>
      <c r="F8464">
        <v>175.9</v>
      </c>
      <c r="G8464">
        <f>(Cpi_[[#This Row],[Value]]-F8463)/F8463</f>
        <v>0.13191763191763192</v>
      </c>
      <c r="H8464" t="e" cm="1" vm="1">
        <f t="array" aca="1" ref="H8464" ca="1">VLOOKUP(Cpi_[[#This Row],[Year]:[Month]],crudeoil[],3,FALSE)</f>
        <v>#VALUE!</v>
      </c>
    </row>
    <row r="8465" spans="1:8" hidden="1" x14ac:dyDescent="0.3">
      <c r="A8465" t="s">
        <v>33</v>
      </c>
      <c r="B8465">
        <v>2021</v>
      </c>
      <c r="C8465" t="s">
        <v>43</v>
      </c>
      <c r="D8465" t="s">
        <v>15</v>
      </c>
      <c r="E8465" t="e">
        <f>VLOOKUP(Cpi_[[#This Row],[Attribute]],#REF!,2,FALSE)</f>
        <v>#REF!</v>
      </c>
      <c r="F8465">
        <v>171.5</v>
      </c>
      <c r="G8465">
        <f>(Cpi_[[#This Row],[Value]]-F8464)/F8464</f>
        <v>-2.5014212620807309E-2</v>
      </c>
      <c r="H8465" t="e" cm="1" vm="1">
        <f t="array" aca="1" ref="H8465" ca="1">VLOOKUP(Cpi_[[#This Row],[Year]:[Month]],crudeoil[],3,FALSE)</f>
        <v>#VALUE!</v>
      </c>
    </row>
    <row r="8466" spans="1:8" hidden="1" x14ac:dyDescent="0.3">
      <c r="A8466" t="s">
        <v>33</v>
      </c>
      <c r="B8466">
        <v>2021</v>
      </c>
      <c r="C8466" t="s">
        <v>43</v>
      </c>
      <c r="D8466" t="s">
        <v>16</v>
      </c>
      <c r="E8466" t="e">
        <f>VLOOKUP(Cpi_[[#This Row],[Attribute]],#REF!,2,FALSE)</f>
        <v>#REF!</v>
      </c>
      <c r="F8466">
        <v>197</v>
      </c>
      <c r="G8466">
        <f>(Cpi_[[#This Row],[Value]]-F8465)/F8465</f>
        <v>0.14868804664723032</v>
      </c>
      <c r="H8466" t="e" cm="1" vm="1">
        <f t="array" aca="1" ref="H8466" ca="1">VLOOKUP(Cpi_[[#This Row],[Year]:[Month]],crudeoil[],3,FALSE)</f>
        <v>#VALUE!</v>
      </c>
    </row>
    <row r="8467" spans="1:8" hidden="1" x14ac:dyDescent="0.3">
      <c r="A8467" t="s">
        <v>33</v>
      </c>
      <c r="B8467">
        <v>2021</v>
      </c>
      <c r="C8467" t="s">
        <v>43</v>
      </c>
      <c r="D8467" t="s">
        <v>17</v>
      </c>
      <c r="E8467" t="e">
        <f>VLOOKUP(Cpi_[[#This Row],[Attribute]],#REF!,2,FALSE)</f>
        <v>#REF!</v>
      </c>
      <c r="F8467">
        <v>160.80000000000001</v>
      </c>
      <c r="G8467">
        <f>(Cpi_[[#This Row],[Value]]-F8466)/F8466</f>
        <v>-0.18375634517766493</v>
      </c>
      <c r="H8467" t="e" cm="1" vm="1">
        <f t="array" aca="1" ref="H8467" ca="1">VLOOKUP(Cpi_[[#This Row],[Year]:[Month]],crudeoil[],3,FALSE)</f>
        <v>#VALUE!</v>
      </c>
    </row>
    <row r="8468" spans="1:8" hidden="1" x14ac:dyDescent="0.3">
      <c r="A8468" t="s">
        <v>33</v>
      </c>
      <c r="B8468">
        <v>2021</v>
      </c>
      <c r="C8468" t="s">
        <v>43</v>
      </c>
      <c r="D8468" t="s">
        <v>18</v>
      </c>
      <c r="E8468" t="e">
        <f>VLOOKUP(Cpi_[[#This Row],[Attribute]],#REF!,2,FALSE)</f>
        <v>#REF!</v>
      </c>
      <c r="F8468">
        <v>144.4</v>
      </c>
      <c r="G8468">
        <f>(Cpi_[[#This Row],[Value]]-F8467)/F8467</f>
        <v>-0.1019900497512438</v>
      </c>
      <c r="H8468" t="e" cm="1" vm="1">
        <f t="array" aca="1" ref="H8468" ca="1">VLOOKUP(Cpi_[[#This Row],[Year]:[Month]],crudeoil[],3,FALSE)</f>
        <v>#VALUE!</v>
      </c>
    </row>
    <row r="8469" spans="1:8" hidden="1" x14ac:dyDescent="0.3">
      <c r="A8469" t="s">
        <v>33</v>
      </c>
      <c r="B8469">
        <v>2021</v>
      </c>
      <c r="C8469" t="s">
        <v>43</v>
      </c>
      <c r="D8469" t="s">
        <v>19</v>
      </c>
      <c r="E8469" t="e">
        <f>VLOOKUP(Cpi_[[#This Row],[Attribute]],#REF!,2,FALSE)</f>
        <v>#REF!</v>
      </c>
      <c r="F8469">
        <v>158.30000000000001</v>
      </c>
      <c r="G8469">
        <f>(Cpi_[[#This Row],[Value]]-F8468)/F8468</f>
        <v>9.6260387811634388E-2</v>
      </c>
      <c r="H8469" t="e" cm="1" vm="1">
        <f t="array" aca="1" ref="H8469" ca="1">VLOOKUP(Cpi_[[#This Row],[Year]:[Month]],crudeoil[],3,FALSE)</f>
        <v>#VALUE!</v>
      </c>
    </row>
    <row r="8470" spans="1:8" hidden="1" x14ac:dyDescent="0.3">
      <c r="A8470" t="s">
        <v>33</v>
      </c>
      <c r="B8470">
        <v>2021</v>
      </c>
      <c r="C8470" t="s">
        <v>43</v>
      </c>
      <c r="D8470" t="s">
        <v>20</v>
      </c>
      <c r="E8470" t="e">
        <f>VLOOKUP(Cpi_[[#This Row],[Attribute]],#REF!,2,FALSE)</f>
        <v>#REF!</v>
      </c>
      <c r="F8470">
        <v>163.6</v>
      </c>
      <c r="G8470">
        <f>(Cpi_[[#This Row],[Value]]-F8469)/F8469</f>
        <v>3.3480732785849544E-2</v>
      </c>
      <c r="H8470" t="e" cm="1" vm="1">
        <f t="array" aca="1" ref="H8470" ca="1">VLOOKUP(Cpi_[[#This Row],[Year]:[Month]],crudeoil[],3,FALSE)</f>
        <v>#VALUE!</v>
      </c>
    </row>
    <row r="8471" spans="1:8" hidden="1" x14ac:dyDescent="0.3">
      <c r="A8471" t="s">
        <v>33</v>
      </c>
      <c r="B8471">
        <v>2021</v>
      </c>
      <c r="C8471" t="s">
        <v>43</v>
      </c>
      <c r="D8471" t="s">
        <v>21</v>
      </c>
      <c r="E8471" t="e">
        <f>VLOOKUP(Cpi_[[#This Row],[Attribute]],#REF!,2,FALSE)</f>
        <v>#REF!</v>
      </c>
      <c r="F8471">
        <v>162.19999999999999</v>
      </c>
      <c r="G8471">
        <f>(Cpi_[[#This Row],[Value]]-F8470)/F8470</f>
        <v>-8.5574572127139707E-3</v>
      </c>
      <c r="H8471" t="e" cm="1" vm="1">
        <f t="array" aca="1" ref="H8471" ca="1">VLOOKUP(Cpi_[[#This Row],[Year]:[Month]],crudeoil[],3,FALSE)</f>
        <v>#VALUE!</v>
      </c>
    </row>
    <row r="8472" spans="1:8" hidden="1" x14ac:dyDescent="0.3">
      <c r="A8472" t="s">
        <v>33</v>
      </c>
      <c r="B8472">
        <v>2021</v>
      </c>
      <c r="C8472" t="s">
        <v>43</v>
      </c>
      <c r="D8472" t="s">
        <v>22</v>
      </c>
      <c r="E8472" t="e">
        <f>VLOOKUP(Cpi_[[#This Row],[Attribute]],#REF!,2,FALSE)</f>
        <v>#REF!</v>
      </c>
      <c r="F8472">
        <v>154.30000000000001</v>
      </c>
      <c r="G8472">
        <f>(Cpi_[[#This Row],[Value]]-F8471)/F8471</f>
        <v>-4.8705302096177419E-2</v>
      </c>
      <c r="H8472" t="e" cm="1" vm="1">
        <f t="array" aca="1" ref="H8472" ca="1">VLOOKUP(Cpi_[[#This Row],[Year]:[Month]],crudeoil[],3,FALSE)</f>
        <v>#VALUE!</v>
      </c>
    </row>
    <row r="8473" spans="1:8" hidden="1" x14ac:dyDescent="0.3">
      <c r="A8473" t="s">
        <v>33</v>
      </c>
      <c r="B8473">
        <v>2021</v>
      </c>
      <c r="C8473" t="s">
        <v>43</v>
      </c>
      <c r="D8473" t="s">
        <v>23</v>
      </c>
      <c r="E8473" t="e">
        <f>VLOOKUP(Cpi_[[#This Row],[Attribute]],#REF!,2,FALSE)</f>
        <v>#REF!</v>
      </c>
      <c r="F8473">
        <v>163.5</v>
      </c>
      <c r="G8473">
        <f>(Cpi_[[#This Row],[Value]]-F8472)/F8472</f>
        <v>5.9624108878807439E-2</v>
      </c>
      <c r="H8473" t="e" cm="1" vm="1">
        <f t="array" aca="1" ref="H8473" ca="1">VLOOKUP(Cpi_[[#This Row],[Year]:[Month]],crudeoil[],3,FALSE)</f>
        <v>#VALUE!</v>
      </c>
    </row>
    <row r="8474" spans="1:8" hidden="1" x14ac:dyDescent="0.3">
      <c r="A8474" t="s">
        <v>33</v>
      </c>
      <c r="B8474">
        <v>2021</v>
      </c>
      <c r="C8474" t="s">
        <v>43</v>
      </c>
      <c r="D8474" t="s">
        <v>24</v>
      </c>
      <c r="E8474" t="e">
        <f>VLOOKUP(Cpi_[[#This Row],[Attribute]],#REF!,2,FALSE)</f>
        <v>#REF!</v>
      </c>
      <c r="F8474">
        <v>152.19999999999999</v>
      </c>
      <c r="G8474">
        <f>(Cpi_[[#This Row],[Value]]-F8473)/F8473</f>
        <v>-6.9113149847094865E-2</v>
      </c>
      <c r="H8474" t="e" cm="1" vm="1">
        <f t="array" aca="1" ref="H8474" ca="1">VLOOKUP(Cpi_[[#This Row],[Year]:[Month]],crudeoil[],3,FALSE)</f>
        <v>#VALUE!</v>
      </c>
    </row>
    <row r="8475" spans="1:8" hidden="1" x14ac:dyDescent="0.3">
      <c r="A8475" t="s">
        <v>33</v>
      </c>
      <c r="B8475">
        <v>2021</v>
      </c>
      <c r="C8475" t="s">
        <v>43</v>
      </c>
      <c r="D8475" t="s">
        <v>25</v>
      </c>
      <c r="E8475" t="e">
        <f>VLOOKUP(Cpi_[[#This Row],[Attribute]],#REF!,2,FALSE)</f>
        <v>#REF!</v>
      </c>
      <c r="F8475">
        <v>155.1</v>
      </c>
      <c r="G8475">
        <f>(Cpi_[[#This Row],[Value]]-F8474)/F8474</f>
        <v>1.9053876478318042E-2</v>
      </c>
      <c r="H8475" t="e" cm="1" vm="1">
        <f t="array" aca="1" ref="H8475" ca="1">VLOOKUP(Cpi_[[#This Row],[Year]:[Month]],crudeoil[],3,FALSE)</f>
        <v>#VALUE!</v>
      </c>
    </row>
    <row r="8476" spans="1:8" hidden="1" x14ac:dyDescent="0.3">
      <c r="A8476" t="s">
        <v>33</v>
      </c>
      <c r="B8476">
        <v>2021</v>
      </c>
      <c r="C8476" t="s">
        <v>43</v>
      </c>
      <c r="D8476" t="s">
        <v>26</v>
      </c>
      <c r="E8476" t="e">
        <f>VLOOKUP(Cpi_[[#This Row],[Attribute]],#REF!,2,FALSE)</f>
        <v>#REF!</v>
      </c>
      <c r="F8476">
        <v>160.30000000000001</v>
      </c>
      <c r="G8476">
        <f>(Cpi_[[#This Row],[Value]]-F8475)/F8475</f>
        <v>3.3526756931012362E-2</v>
      </c>
      <c r="H8476" t="e" cm="1" vm="1">
        <f t="array" aca="1" ref="H8476" ca="1">VLOOKUP(Cpi_[[#This Row],[Year]:[Month]],crudeoil[],3,FALSE)</f>
        <v>#VALUE!</v>
      </c>
    </row>
    <row r="8477" spans="1:8" hidden="1" x14ac:dyDescent="0.3">
      <c r="A8477" t="s">
        <v>33</v>
      </c>
      <c r="B8477">
        <v>2021</v>
      </c>
      <c r="C8477" t="s">
        <v>43</v>
      </c>
      <c r="D8477" t="s">
        <v>27</v>
      </c>
      <c r="E8477" t="e">
        <f>VLOOKUP(Cpi_[[#This Row],[Attribute]],#REF!,2,FALSE)</f>
        <v>#REF!</v>
      </c>
      <c r="F8477">
        <v>160.30000000000001</v>
      </c>
      <c r="G8477">
        <f>(Cpi_[[#This Row],[Value]]-F8476)/F8476</f>
        <v>0</v>
      </c>
      <c r="H8477" t="e" cm="1" vm="1">
        <f t="array" aca="1" ref="H8477" ca="1">VLOOKUP(Cpi_[[#This Row],[Year]:[Month]],crudeoil[],3,FALSE)</f>
        <v>#VALUE!</v>
      </c>
    </row>
    <row r="8478" spans="1:8" hidden="1" x14ac:dyDescent="0.3">
      <c r="A8478" t="s">
        <v>33</v>
      </c>
      <c r="B8478">
        <v>2021</v>
      </c>
      <c r="C8478" t="s">
        <v>43</v>
      </c>
      <c r="D8478" t="s">
        <v>28</v>
      </c>
      <c r="E8478" t="e">
        <f>VLOOKUP(Cpi_[[#This Row],[Attribute]],#REF!,2,FALSE)</f>
        <v>#REF!</v>
      </c>
      <c r="F8478">
        <v>157</v>
      </c>
      <c r="G8478">
        <f>(Cpi_[[#This Row],[Value]]-F8477)/F8477</f>
        <v>-2.0586400499064322E-2</v>
      </c>
      <c r="H8478" t="e" cm="1" vm="1">
        <f t="array" aca="1" ref="H8478" ca="1">VLOOKUP(Cpi_[[#This Row],[Year]:[Month]],crudeoil[],3,FALSE)</f>
        <v>#VALUE!</v>
      </c>
    </row>
    <row r="8479" spans="1:8" hidden="1" x14ac:dyDescent="0.3">
      <c r="A8479" t="s">
        <v>33</v>
      </c>
      <c r="B8479">
        <v>2021</v>
      </c>
      <c r="C8479" t="s">
        <v>43</v>
      </c>
      <c r="D8479" t="s">
        <v>29</v>
      </c>
      <c r="E8479" t="e" cm="1">
        <f t="array" aca="1" ref="E8479" ca="1">VLGeneral indexGeneral indexKUP(Cpi_[[#This Row],[Attribute]],#REF!,2,FALSE)</f>
        <v>#NAME?</v>
      </c>
      <c r="F8479">
        <v>164.6</v>
      </c>
      <c r="G8479">
        <f>(Cpi_[[#This Row],[Value]]-F8478)/F8478</f>
        <v>4.8407643312101872E-2</v>
      </c>
      <c r="H8479" t="e" cm="1" vm="1">
        <f t="array" aca="1" ref="H8479" ca="1">VLOOKUP(Cpi_[[#This Row],[Year]:[Month]],crudeoil[],3,FALSE)</f>
        <v>#VALUE!</v>
      </c>
    </row>
    <row r="8480" spans="1:8" hidden="1" x14ac:dyDescent="0.3">
      <c r="A8480" t="s">
        <v>34</v>
      </c>
      <c r="B8480">
        <v>2021</v>
      </c>
      <c r="C8480" t="s">
        <v>43</v>
      </c>
      <c r="D8480" t="s">
        <v>3</v>
      </c>
      <c r="E8480" t="e">
        <f>VLOOKUP(Cpi_[[#This Row],[Attribute]],#REF!,2,FALSE)</f>
        <v>#REF!</v>
      </c>
      <c r="F8480">
        <v>147.4</v>
      </c>
      <c r="G8480">
        <f>(Cpi_[[#This Row],[Value]]-F8479)/F8479</f>
        <v>-0.10449574726609957</v>
      </c>
      <c r="H8480" t="e" cm="1" vm="1">
        <f t="array" aca="1" ref="H8480" ca="1">VLOOKUP(Cpi_[[#This Row],[Year]:[Month]],crudeoil[],3,FALSE)</f>
        <v>#VALUE!</v>
      </c>
    </row>
    <row r="8481" spans="1:10" x14ac:dyDescent="0.3">
      <c r="A8481" t="s">
        <v>34</v>
      </c>
      <c r="B8481">
        <v>2021</v>
      </c>
      <c r="C8481" t="s">
        <v>43</v>
      </c>
      <c r="D8481" t="s">
        <v>4</v>
      </c>
      <c r="E8481" t="e">
        <f>VLOOKUP(Cpi_[[#This Row],[Attribute]],#REF!,2,FALSE)</f>
        <v>#REF!</v>
      </c>
      <c r="F8481">
        <v>204.6</v>
      </c>
      <c r="G8481" s="42">
        <f>(Cpi_[[#This Row],[Value]]-F8480)/F8480</f>
        <v>0.38805970149253721</v>
      </c>
      <c r="H8481" t="str">
        <f>LEFT(Cpi_[[#This Row],[Month]],3)</f>
        <v>Oct</v>
      </c>
      <c r="I8481" t="str">
        <f>RIGHT(Cpi_[[#This Row],[Year]],2)</f>
        <v>21</v>
      </c>
      <c r="J8481" t="str">
        <f>Cpi_[[#This Row],[Column3]]&amp;"-"&amp;Cpi_[[#This Row],[Column4]]</f>
        <v>Oct-21</v>
      </c>
    </row>
    <row r="8482" spans="1:10" x14ac:dyDescent="0.3">
      <c r="A8482" t="s">
        <v>34</v>
      </c>
      <c r="B8482">
        <v>2021</v>
      </c>
      <c r="C8482" t="s">
        <v>43</v>
      </c>
      <c r="D8482" t="s">
        <v>5</v>
      </c>
      <c r="E8482" t="e">
        <f>VLOOKUP(Cpi_[[#This Row],[Attribute]],#REF!,2,FALSE)</f>
        <v>#REF!</v>
      </c>
      <c r="F8482">
        <v>171.2</v>
      </c>
      <c r="G8482" s="42">
        <f>(Cpi_[[#This Row],[Value]]-F8481)/F8481</f>
        <v>-0.16324535679374391</v>
      </c>
      <c r="H8482" t="str">
        <f>LEFT(Cpi_[[#This Row],[Month]],3)</f>
        <v>Oct</v>
      </c>
      <c r="I8482" t="str">
        <f>RIGHT(Cpi_[[#This Row],[Year]],2)</f>
        <v>21</v>
      </c>
      <c r="J8482" t="str">
        <f>Cpi_[[#This Row],[Column3]]&amp;"-"&amp;Cpi_[[#This Row],[Column4]]</f>
        <v>Oct-21</v>
      </c>
    </row>
    <row r="8483" spans="1:10" x14ac:dyDescent="0.3">
      <c r="A8483" t="s">
        <v>34</v>
      </c>
      <c r="B8483">
        <v>2021</v>
      </c>
      <c r="C8483" t="s">
        <v>43</v>
      </c>
      <c r="D8483" t="s">
        <v>6</v>
      </c>
      <c r="E8483" t="e">
        <f>VLOOKUP(Cpi_[[#This Row],[Attribute]],#REF!,2,FALSE)</f>
        <v>#REF!</v>
      </c>
      <c r="F8483">
        <v>158.69999999999999</v>
      </c>
      <c r="G8483" s="42">
        <f>(Cpi_[[#This Row],[Value]]-F8482)/F8482</f>
        <v>-7.3014018691588786E-2</v>
      </c>
      <c r="H8483" t="str">
        <f>LEFT(Cpi_[[#This Row],[Month]],3)</f>
        <v>Oct</v>
      </c>
      <c r="I8483" t="str">
        <f>RIGHT(Cpi_[[#This Row],[Year]],2)</f>
        <v>21</v>
      </c>
      <c r="J8483" t="str">
        <f>Cpi_[[#This Row],[Column3]]&amp;"-"&amp;Cpi_[[#This Row],[Column4]]</f>
        <v>Oct-21</v>
      </c>
    </row>
    <row r="8484" spans="1:10" x14ac:dyDescent="0.3">
      <c r="A8484" t="s">
        <v>34</v>
      </c>
      <c r="B8484">
        <v>2021</v>
      </c>
      <c r="C8484" t="s">
        <v>43</v>
      </c>
      <c r="D8484" t="s">
        <v>7</v>
      </c>
      <c r="E8484" t="e">
        <f>VLOOKUP(Cpi_[[#This Row],[Attribute]],#REF!,2,FALSE)</f>
        <v>#REF!</v>
      </c>
      <c r="F8484">
        <v>190.6</v>
      </c>
      <c r="G8484" s="42">
        <f>(Cpi_[[#This Row],[Value]]-F8483)/F8483</f>
        <v>0.20100819155639577</v>
      </c>
      <c r="H8484" t="str">
        <f>LEFT(Cpi_[[#This Row],[Month]],3)</f>
        <v>Oct</v>
      </c>
      <c r="I8484" t="str">
        <f>RIGHT(Cpi_[[#This Row],[Year]],2)</f>
        <v>21</v>
      </c>
      <c r="J8484" t="str">
        <f>Cpi_[[#This Row],[Column3]]&amp;"-"&amp;Cpi_[[#This Row],[Column4]]</f>
        <v>Oct-21</v>
      </c>
    </row>
    <row r="8485" spans="1:10" x14ac:dyDescent="0.3">
      <c r="A8485" t="s">
        <v>34</v>
      </c>
      <c r="B8485">
        <v>2021</v>
      </c>
      <c r="C8485" t="s">
        <v>43</v>
      </c>
      <c r="D8485" t="s">
        <v>8</v>
      </c>
      <c r="E8485" t="e">
        <f>VLOOKUP(Cpi_[[#This Row],[Attribute]],#REF!,2,FALSE)</f>
        <v>#REF!</v>
      </c>
      <c r="F8485">
        <v>155.69999999999999</v>
      </c>
      <c r="G8485" s="42">
        <f>(Cpi_[[#This Row],[Value]]-F8484)/F8484</f>
        <v>-0.18310598111227705</v>
      </c>
      <c r="H8485" t="str">
        <f>LEFT(Cpi_[[#This Row],[Month]],3)</f>
        <v>Oct</v>
      </c>
      <c r="I8485" t="str">
        <f>RIGHT(Cpi_[[#This Row],[Year]],2)</f>
        <v>21</v>
      </c>
      <c r="J8485" t="str">
        <f>Cpi_[[#This Row],[Column3]]&amp;"-"&amp;Cpi_[[#This Row],[Column4]]</f>
        <v>Oct-21</v>
      </c>
    </row>
    <row r="8486" spans="1:10" x14ac:dyDescent="0.3">
      <c r="A8486" t="s">
        <v>34</v>
      </c>
      <c r="B8486">
        <v>2021</v>
      </c>
      <c r="C8486" t="s">
        <v>43</v>
      </c>
      <c r="D8486" t="s">
        <v>9</v>
      </c>
      <c r="E8486" t="e">
        <f>VLOOKUP(Cpi_[[#This Row],[Attribute]],#REF!,2,FALSE)</f>
        <v>#REF!</v>
      </c>
      <c r="F8486">
        <v>185.3</v>
      </c>
      <c r="G8486" s="42">
        <f>(Cpi_[[#This Row],[Value]]-F8485)/F8485</f>
        <v>0.19010918432883767</v>
      </c>
      <c r="H8486" t="str">
        <f>LEFT(Cpi_[[#This Row],[Month]],3)</f>
        <v>Oct</v>
      </c>
      <c r="I8486" t="str">
        <f>RIGHT(Cpi_[[#This Row],[Year]],2)</f>
        <v>21</v>
      </c>
      <c r="J8486" t="str">
        <f>Cpi_[[#This Row],[Column3]]&amp;"-"&amp;Cpi_[[#This Row],[Column4]]</f>
        <v>Oct-21</v>
      </c>
    </row>
    <row r="8487" spans="1:10" x14ac:dyDescent="0.3">
      <c r="A8487" t="s">
        <v>34</v>
      </c>
      <c r="B8487">
        <v>2021</v>
      </c>
      <c r="C8487" t="s">
        <v>43</v>
      </c>
      <c r="D8487" t="s">
        <v>10</v>
      </c>
      <c r="E8487" t="e">
        <f>VLOOKUP(Cpi_[[#This Row],[Attribute]],#REF!,2,FALSE)</f>
        <v>#REF!</v>
      </c>
      <c r="F8487">
        <v>165.2</v>
      </c>
      <c r="G8487" s="42">
        <f>(Cpi_[[#This Row],[Value]]-F8486)/F8486</f>
        <v>-0.10847274689692403</v>
      </c>
      <c r="H8487" t="str">
        <f>LEFT(Cpi_[[#This Row],[Month]],3)</f>
        <v>Oct</v>
      </c>
      <c r="I8487" t="str">
        <f>RIGHT(Cpi_[[#This Row],[Year]],2)</f>
        <v>21</v>
      </c>
      <c r="J8487" t="str">
        <f>Cpi_[[#This Row],[Column3]]&amp;"-"&amp;Cpi_[[#This Row],[Column4]]</f>
        <v>Oct-21</v>
      </c>
    </row>
    <row r="8488" spans="1:10" x14ac:dyDescent="0.3">
      <c r="A8488" t="s">
        <v>34</v>
      </c>
      <c r="B8488">
        <v>2021</v>
      </c>
      <c r="C8488" t="s">
        <v>43</v>
      </c>
      <c r="D8488" t="s">
        <v>11</v>
      </c>
      <c r="E8488" t="e">
        <f>VLOOKUP(Cpi_[[#This Row],[Attribute]],#REF!,2,FALSE)</f>
        <v>#REF!</v>
      </c>
      <c r="F8488">
        <v>121.9</v>
      </c>
      <c r="G8488" s="42">
        <f>(Cpi_[[#This Row],[Value]]-F8487)/F8487</f>
        <v>-0.26210653753026625</v>
      </c>
      <c r="H8488" t="str">
        <f>LEFT(Cpi_[[#This Row],[Month]],3)</f>
        <v>Oct</v>
      </c>
      <c r="I8488" t="str">
        <f>RIGHT(Cpi_[[#This Row],[Year]],2)</f>
        <v>21</v>
      </c>
      <c r="J8488" t="str">
        <f>Cpi_[[#This Row],[Column3]]&amp;"-"&amp;Cpi_[[#This Row],[Column4]]</f>
        <v>Oct-21</v>
      </c>
    </row>
    <row r="8489" spans="1:10" x14ac:dyDescent="0.3">
      <c r="A8489" t="s">
        <v>34</v>
      </c>
      <c r="B8489">
        <v>2021</v>
      </c>
      <c r="C8489" t="s">
        <v>43</v>
      </c>
      <c r="D8489" t="s">
        <v>12</v>
      </c>
      <c r="E8489" t="e">
        <f>VLOOKUP(Cpi_[[#This Row],[Attribute]],#REF!,2,FALSE)</f>
        <v>#REF!</v>
      </c>
      <c r="F8489">
        <v>169.3</v>
      </c>
      <c r="G8489" s="42">
        <f>(Cpi_[[#This Row],[Value]]-F8488)/F8488</f>
        <v>0.38884331419196067</v>
      </c>
      <c r="H8489" t="str">
        <f>LEFT(Cpi_[[#This Row],[Month]],3)</f>
        <v>Oct</v>
      </c>
      <c r="I8489" t="str">
        <f>RIGHT(Cpi_[[#This Row],[Year]],2)</f>
        <v>21</v>
      </c>
      <c r="J8489" t="str">
        <f>Cpi_[[#This Row],[Column3]]&amp;"-"&amp;Cpi_[[#This Row],[Column4]]</f>
        <v>Oct-21</v>
      </c>
    </row>
    <row r="8490" spans="1:10" x14ac:dyDescent="0.3">
      <c r="A8490" t="s">
        <v>34</v>
      </c>
      <c r="B8490">
        <v>2021</v>
      </c>
      <c r="C8490" t="s">
        <v>43</v>
      </c>
      <c r="D8490" t="s">
        <v>13</v>
      </c>
      <c r="E8490" t="e">
        <f>VLOOKUP(Cpi_[[#This Row],[Attribute]],#REF!,2,FALSE)</f>
        <v>#REF!</v>
      </c>
      <c r="F8490">
        <v>163.19999999999999</v>
      </c>
      <c r="G8490" s="42">
        <f>(Cpi_[[#This Row],[Value]]-F8489)/F8489</f>
        <v>-3.6030714707619739E-2</v>
      </c>
      <c r="H8490" t="str">
        <f>LEFT(Cpi_[[#This Row],[Month]],3)</f>
        <v>Oct</v>
      </c>
      <c r="I8490" t="str">
        <f>RIGHT(Cpi_[[#This Row],[Year]],2)</f>
        <v>21</v>
      </c>
      <c r="J8490" t="str">
        <f>Cpi_[[#This Row],[Column3]]&amp;"-"&amp;Cpi_[[#This Row],[Column4]]</f>
        <v>Oct-21</v>
      </c>
    </row>
    <row r="8491" spans="1:10" x14ac:dyDescent="0.3">
      <c r="A8491" t="s">
        <v>34</v>
      </c>
      <c r="B8491">
        <v>2021</v>
      </c>
      <c r="C8491" t="s">
        <v>43</v>
      </c>
      <c r="D8491" t="s">
        <v>14</v>
      </c>
      <c r="E8491" t="e">
        <f>VLOOKUP(Cpi_[[#This Row],[Attribute]],#REF!,2,FALSE)</f>
        <v>#REF!</v>
      </c>
      <c r="F8491">
        <v>174.7</v>
      </c>
      <c r="G8491" s="42">
        <f>(Cpi_[[#This Row],[Value]]-F8490)/F8490</f>
        <v>7.0465686274509803E-2</v>
      </c>
      <c r="H8491" t="str">
        <f>LEFT(Cpi_[[#This Row],[Month]],3)</f>
        <v>Oct</v>
      </c>
      <c r="I8491" t="str">
        <f>RIGHT(Cpi_[[#This Row],[Year]],2)</f>
        <v>21</v>
      </c>
      <c r="J8491" t="str">
        <f>Cpi_[[#This Row],[Column3]]&amp;"-"&amp;Cpi_[[#This Row],[Column4]]</f>
        <v>Oct-21</v>
      </c>
    </row>
    <row r="8492" spans="1:10" x14ac:dyDescent="0.3">
      <c r="A8492" t="s">
        <v>34</v>
      </c>
      <c r="B8492">
        <v>2021</v>
      </c>
      <c r="C8492" t="s">
        <v>43</v>
      </c>
      <c r="D8492" t="s">
        <v>15</v>
      </c>
      <c r="E8492" t="e">
        <f>VLOOKUP(Cpi_[[#This Row],[Attribute]],#REF!,2,FALSE)</f>
        <v>#REF!</v>
      </c>
      <c r="F8492">
        <v>167.7</v>
      </c>
      <c r="G8492" s="42">
        <f>(Cpi_[[#This Row],[Value]]-F8491)/F8491</f>
        <v>-4.0068689181453926E-2</v>
      </c>
      <c r="H8492" t="str">
        <f>LEFT(Cpi_[[#This Row],[Month]],3)</f>
        <v>Oct</v>
      </c>
      <c r="I8492" t="str">
        <f>RIGHT(Cpi_[[#This Row],[Year]],2)</f>
        <v>21</v>
      </c>
      <c r="J8492" t="str">
        <f>Cpi_[[#This Row],[Column3]]&amp;"-"&amp;Cpi_[[#This Row],[Column4]]</f>
        <v>Oct-21</v>
      </c>
    </row>
    <row r="8493" spans="1:10" hidden="1" x14ac:dyDescent="0.3">
      <c r="A8493" t="s">
        <v>34</v>
      </c>
      <c r="B8493">
        <v>2021</v>
      </c>
      <c r="C8493" t="s">
        <v>43</v>
      </c>
      <c r="D8493" t="s">
        <v>16</v>
      </c>
      <c r="E8493" t="e">
        <f>VLOOKUP(Cpi_[[#This Row],[Attribute]],#REF!,2,FALSE)</f>
        <v>#REF!</v>
      </c>
      <c r="F8493">
        <v>192.7</v>
      </c>
      <c r="G8493">
        <f>(Cpi_[[#This Row],[Value]]-F8492)/F8492</f>
        <v>0.14907573047107933</v>
      </c>
      <c r="H8493" t="e" cm="1" vm="1">
        <f t="array" aca="1" ref="H8493" ca="1">VLOOKUP(Cpi_[[#This Row],[Year]:[Month]],crudeoil[],3,FALSE)</f>
        <v>#VALUE!</v>
      </c>
    </row>
    <row r="8494" spans="1:10" hidden="1" x14ac:dyDescent="0.3">
      <c r="A8494" t="s">
        <v>34</v>
      </c>
      <c r="B8494">
        <v>2021</v>
      </c>
      <c r="C8494" t="s">
        <v>43</v>
      </c>
      <c r="D8494" t="s">
        <v>17</v>
      </c>
      <c r="E8494" t="e">
        <f>VLOOKUP(Cpi_[[#This Row],[Attribute]],#REF!,2,FALSE)</f>
        <v>#REF!</v>
      </c>
      <c r="F8494">
        <v>165.7</v>
      </c>
      <c r="G8494">
        <f>(Cpi_[[#This Row],[Value]]-F8493)/F8493</f>
        <v>-0.14011416709911781</v>
      </c>
      <c r="H8494" t="e" cm="1" vm="1">
        <f t="array" aca="1" ref="H8494" ca="1">VLOOKUP(Cpi_[[#This Row],[Year]:[Month]],crudeoil[],3,FALSE)</f>
        <v>#VALUE!</v>
      </c>
    </row>
    <row r="8495" spans="1:10" hidden="1" x14ac:dyDescent="0.3">
      <c r="A8495" t="s">
        <v>34</v>
      </c>
      <c r="B8495">
        <v>2021</v>
      </c>
      <c r="C8495" t="s">
        <v>43</v>
      </c>
      <c r="D8495" t="s">
        <v>18</v>
      </c>
      <c r="E8495" t="e">
        <f>VLOOKUP(Cpi_[[#This Row],[Attribute]],#REF!,2,FALSE)</f>
        <v>#REF!</v>
      </c>
      <c r="F8495">
        <v>156.30000000000001</v>
      </c>
      <c r="G8495">
        <f>(Cpi_[[#This Row],[Value]]-F8494)/F8494</f>
        <v>-5.6729028364514052E-2</v>
      </c>
      <c r="H8495" t="e" cm="1" vm="1">
        <f t="array" aca="1" ref="H8495" ca="1">VLOOKUP(Cpi_[[#This Row],[Year]:[Month]],crudeoil[],3,FALSE)</f>
        <v>#VALUE!</v>
      </c>
    </row>
    <row r="8496" spans="1:10" hidden="1" x14ac:dyDescent="0.3">
      <c r="A8496" t="s">
        <v>34</v>
      </c>
      <c r="B8496">
        <v>2021</v>
      </c>
      <c r="C8496" t="s">
        <v>43</v>
      </c>
      <c r="D8496" t="s">
        <v>19</v>
      </c>
      <c r="E8496" t="e">
        <f>VLOOKUP(Cpi_[[#This Row],[Attribute]],#REF!,2,FALSE)</f>
        <v>#REF!</v>
      </c>
      <c r="F8496">
        <v>164.3</v>
      </c>
      <c r="G8496">
        <f>(Cpi_[[#This Row],[Value]]-F8495)/F8495</f>
        <v>5.1183621241202813E-2</v>
      </c>
      <c r="H8496" t="e" cm="1" vm="1">
        <f t="array" aca="1" ref="H8496" ca="1">VLOOKUP(Cpi_[[#This Row],[Year]:[Month]],crudeoil[],3,FALSE)</f>
        <v>#VALUE!</v>
      </c>
    </row>
    <row r="8497" spans="1:8" hidden="1" x14ac:dyDescent="0.3">
      <c r="A8497" t="s">
        <v>34</v>
      </c>
      <c r="B8497">
        <v>2021</v>
      </c>
      <c r="C8497" t="s">
        <v>43</v>
      </c>
      <c r="D8497" t="s">
        <v>20</v>
      </c>
      <c r="E8497" t="e">
        <f>VLOOKUP(Cpi_[[#This Row],[Attribute]],#REF!,2,FALSE)</f>
        <v>#REF!</v>
      </c>
      <c r="F8497">
        <v>163.6</v>
      </c>
      <c r="G8497">
        <f>(Cpi_[[#This Row],[Value]]-F8496)/F8496</f>
        <v>-4.260499087036013E-3</v>
      </c>
      <c r="H8497" t="e" cm="1" vm="1">
        <f t="array" aca="1" ref="H8497" ca="1">VLOOKUP(Cpi_[[#This Row],[Year]:[Month]],crudeoil[],3,FALSE)</f>
        <v>#VALUE!</v>
      </c>
    </row>
    <row r="8498" spans="1:8" hidden="1" x14ac:dyDescent="0.3">
      <c r="A8498" t="s">
        <v>34</v>
      </c>
      <c r="B8498">
        <v>2021</v>
      </c>
      <c r="C8498" t="s">
        <v>43</v>
      </c>
      <c r="D8498" t="s">
        <v>21</v>
      </c>
      <c r="E8498" t="e">
        <f>VLOOKUP(Cpi_[[#This Row],[Attribute]],#REF!,2,FALSE)</f>
        <v>#REF!</v>
      </c>
      <c r="F8498">
        <v>164.2</v>
      </c>
      <c r="G8498">
        <f>(Cpi_[[#This Row],[Value]]-F8497)/F8497</f>
        <v>3.6674816625916523E-3</v>
      </c>
      <c r="H8498" t="e" cm="1" vm="1">
        <f t="array" aca="1" ref="H8498" ca="1">VLOOKUP(Cpi_[[#This Row],[Year]:[Month]],crudeoil[],3,FALSE)</f>
        <v>#VALUE!</v>
      </c>
    </row>
    <row r="8499" spans="1:8" hidden="1" x14ac:dyDescent="0.3">
      <c r="A8499" t="s">
        <v>34</v>
      </c>
      <c r="B8499">
        <v>2021</v>
      </c>
      <c r="C8499" t="s">
        <v>43</v>
      </c>
      <c r="D8499" t="s">
        <v>22</v>
      </c>
      <c r="E8499" t="e">
        <f>VLOOKUP(Cpi_[[#This Row],[Attribute]],#REF!,2,FALSE)</f>
        <v>#REF!</v>
      </c>
      <c r="F8499">
        <v>158.4</v>
      </c>
      <c r="G8499">
        <f>(Cpi_[[#This Row],[Value]]-F8498)/F8498</f>
        <v>-3.5322777101096124E-2</v>
      </c>
      <c r="H8499" t="e" cm="1" vm="1">
        <f t="array" aca="1" ref="H8499" ca="1">VLOOKUP(Cpi_[[#This Row],[Year]:[Month]],crudeoil[],3,FALSE)</f>
        <v>#VALUE!</v>
      </c>
    </row>
    <row r="8500" spans="1:8" hidden="1" x14ac:dyDescent="0.3">
      <c r="A8500" t="s">
        <v>34</v>
      </c>
      <c r="B8500">
        <v>2021</v>
      </c>
      <c r="C8500" t="s">
        <v>43</v>
      </c>
      <c r="D8500" t="s">
        <v>23</v>
      </c>
      <c r="E8500" t="e">
        <f>VLOOKUP(Cpi_[[#This Row],[Attribute]],#REF!,2,FALSE)</f>
        <v>#REF!</v>
      </c>
      <c r="F8500">
        <v>169.1</v>
      </c>
      <c r="G8500">
        <f>(Cpi_[[#This Row],[Value]]-F8499)/F8499</f>
        <v>6.7550505050504972E-2</v>
      </c>
      <c r="H8500" t="e" cm="1" vm="1">
        <f t="array" aca="1" ref="H8500" ca="1">VLOOKUP(Cpi_[[#This Row],[Year]:[Month]],crudeoil[],3,FALSE)</f>
        <v>#VALUE!</v>
      </c>
    </row>
    <row r="8501" spans="1:8" hidden="1" x14ac:dyDescent="0.3">
      <c r="A8501" t="s">
        <v>34</v>
      </c>
      <c r="B8501">
        <v>2021</v>
      </c>
      <c r="C8501" t="s">
        <v>43</v>
      </c>
      <c r="D8501" t="s">
        <v>24</v>
      </c>
      <c r="E8501" t="e">
        <f>VLOOKUP(Cpi_[[#This Row],[Attribute]],#REF!,2,FALSE)</f>
        <v>#REF!</v>
      </c>
      <c r="F8501">
        <v>155.69999999999999</v>
      </c>
      <c r="G8501">
        <f>(Cpi_[[#This Row],[Value]]-F8500)/F8500</f>
        <v>-7.9243051448846871E-2</v>
      </c>
      <c r="H8501" t="e" cm="1" vm="1">
        <f t="array" aca="1" ref="H8501" ca="1">VLOOKUP(Cpi_[[#This Row],[Year]:[Month]],crudeoil[],3,FALSE)</f>
        <v>#VALUE!</v>
      </c>
    </row>
    <row r="8502" spans="1:8" hidden="1" x14ac:dyDescent="0.3">
      <c r="A8502" t="s">
        <v>34</v>
      </c>
      <c r="B8502">
        <v>2021</v>
      </c>
      <c r="C8502" t="s">
        <v>43</v>
      </c>
      <c r="D8502" t="s">
        <v>25</v>
      </c>
      <c r="E8502" t="e">
        <f>VLOOKUP(Cpi_[[#This Row],[Attribute]],#REF!,2,FALSE)</f>
        <v>#REF!</v>
      </c>
      <c r="F8502">
        <v>158.6</v>
      </c>
      <c r="G8502">
        <f>(Cpi_[[#This Row],[Value]]-F8501)/F8501</f>
        <v>1.8625561978163171E-2</v>
      </c>
      <c r="H8502" t="e" cm="1" vm="1">
        <f t="array" aca="1" ref="H8502" ca="1">VLOOKUP(Cpi_[[#This Row],[Year]:[Month]],crudeoil[],3,FALSE)</f>
        <v>#VALUE!</v>
      </c>
    </row>
    <row r="8503" spans="1:8" hidden="1" x14ac:dyDescent="0.3">
      <c r="A8503" t="s">
        <v>34</v>
      </c>
      <c r="B8503">
        <v>2021</v>
      </c>
      <c r="C8503" t="s">
        <v>43</v>
      </c>
      <c r="D8503" t="s">
        <v>26</v>
      </c>
      <c r="E8503" t="e">
        <f>VLOOKUP(Cpi_[[#This Row],[Attribute]],#REF!,2,FALSE)</f>
        <v>#REF!</v>
      </c>
      <c r="F8503">
        <v>163.9</v>
      </c>
      <c r="G8503">
        <f>(Cpi_[[#This Row],[Value]]-F8502)/F8502</f>
        <v>3.3417402269861361E-2</v>
      </c>
      <c r="H8503" t="e" cm="1" vm="1">
        <f t="array" aca="1" ref="H8503" ca="1">VLOOKUP(Cpi_[[#This Row],[Year]:[Month]],crudeoil[],3,FALSE)</f>
        <v>#VALUE!</v>
      </c>
    </row>
    <row r="8504" spans="1:8" hidden="1" x14ac:dyDescent="0.3">
      <c r="A8504" t="s">
        <v>34</v>
      </c>
      <c r="B8504">
        <v>2021</v>
      </c>
      <c r="C8504" t="s">
        <v>43</v>
      </c>
      <c r="D8504" t="s">
        <v>27</v>
      </c>
      <c r="E8504" t="e">
        <f>VLOOKUP(Cpi_[[#This Row],[Attribute]],#REF!,2,FALSE)</f>
        <v>#REF!</v>
      </c>
      <c r="F8504">
        <v>160.80000000000001</v>
      </c>
      <c r="G8504">
        <f>(Cpi_[[#This Row],[Value]]-F8503)/F8503</f>
        <v>-1.8913971934106127E-2</v>
      </c>
      <c r="H8504" t="e" cm="1" vm="1">
        <f t="array" aca="1" ref="H8504" ca="1">VLOOKUP(Cpi_[[#This Row],[Year]:[Month]],crudeoil[],3,FALSE)</f>
        <v>#VALUE!</v>
      </c>
    </row>
    <row r="8505" spans="1:8" hidden="1" x14ac:dyDescent="0.3">
      <c r="A8505" t="s">
        <v>34</v>
      </c>
      <c r="B8505">
        <v>2021</v>
      </c>
      <c r="C8505" t="s">
        <v>43</v>
      </c>
      <c r="D8505" t="s">
        <v>28</v>
      </c>
      <c r="E8505" t="e">
        <f>VLOOKUP(Cpi_[[#This Row],[Attribute]],#REF!,2,FALSE)</f>
        <v>#REF!</v>
      </c>
      <c r="F8505">
        <v>161</v>
      </c>
      <c r="G8505">
        <f>(Cpi_[[#This Row],[Value]]-F8504)/F8504</f>
        <v>1.2437810945272925E-3</v>
      </c>
      <c r="H8505" t="e" cm="1" vm="1">
        <f t="array" aca="1" ref="H8505" ca="1">VLOOKUP(Cpi_[[#This Row],[Year]:[Month]],crudeoil[],3,FALSE)</f>
        <v>#VALUE!</v>
      </c>
    </row>
    <row r="8506" spans="1:8" hidden="1" x14ac:dyDescent="0.3">
      <c r="A8506" t="s">
        <v>34</v>
      </c>
      <c r="B8506">
        <v>2021</v>
      </c>
      <c r="C8506" t="s">
        <v>43</v>
      </c>
      <c r="D8506" t="s">
        <v>29</v>
      </c>
      <c r="E8506" t="e" cm="1">
        <f t="array" aca="1" ref="E8506" ca="1">VLGeneral indexGeneral indexKUP(Cpi_[[#This Row],[Attribute]],#REF!,2,FALSE)</f>
        <v>#NAME?</v>
      </c>
      <c r="F8506">
        <v>165.5</v>
      </c>
      <c r="G8506">
        <f>(Cpi_[[#This Row],[Value]]-F8505)/F8505</f>
        <v>2.7950310559006212E-2</v>
      </c>
      <c r="H8506" t="e" cm="1" vm="1">
        <f t="array" aca="1" ref="H8506" ca="1">VLOOKUP(Cpi_[[#This Row],[Year]:[Month]],crudeoil[],3,FALSE)</f>
        <v>#VALUE!</v>
      </c>
    </row>
    <row r="8507" spans="1:8" hidden="1" x14ac:dyDescent="0.3">
      <c r="A8507" t="s">
        <v>30</v>
      </c>
      <c r="B8507">
        <v>2021</v>
      </c>
      <c r="C8507" t="s">
        <v>45</v>
      </c>
      <c r="D8507" t="s">
        <v>3</v>
      </c>
      <c r="E8507" t="e">
        <f>VLOOKUP(Cpi_[[#This Row],[Attribute]],#REF!,2,FALSE)</f>
        <v>#REF!</v>
      </c>
      <c r="F8507">
        <v>146.9</v>
      </c>
      <c r="G8507">
        <f>(Cpi_[[#This Row],[Value]]-F8506)/F8506</f>
        <v>-0.11238670694864045</v>
      </c>
      <c r="H8507" t="e" cm="1" vm="1">
        <f t="array" aca="1" ref="H8507" ca="1">VLOOKUP(Cpi_[[#This Row],[Year]:[Month]],crudeoil[],3,FALSE)</f>
        <v>#VALUE!</v>
      </c>
    </row>
    <row r="8508" spans="1:8" hidden="1" x14ac:dyDescent="0.3">
      <c r="A8508" t="s">
        <v>30</v>
      </c>
      <c r="B8508">
        <v>2021</v>
      </c>
      <c r="C8508" t="s">
        <v>45</v>
      </c>
      <c r="D8508" t="s">
        <v>4</v>
      </c>
      <c r="E8508" t="e">
        <f>VLOOKUP(Cpi_[[#This Row],[Attribute]],#REF!,2,FALSE)</f>
        <v>#REF!</v>
      </c>
      <c r="F8508">
        <v>199.8</v>
      </c>
      <c r="G8508">
        <f>(Cpi_[[#This Row],[Value]]-F8507)/F8507</f>
        <v>0.36010891763104153</v>
      </c>
      <c r="H8508" t="e" cm="1" vm="1">
        <f t="array" aca="1" ref="H8508" ca="1">VLOOKUP(Cpi_[[#This Row],[Year]:[Month]],crudeoil[],3,FALSE)</f>
        <v>#VALUE!</v>
      </c>
    </row>
    <row r="8509" spans="1:8" hidden="1" x14ac:dyDescent="0.3">
      <c r="A8509" t="s">
        <v>30</v>
      </c>
      <c r="B8509">
        <v>2021</v>
      </c>
      <c r="C8509" t="s">
        <v>45</v>
      </c>
      <c r="D8509" t="s">
        <v>5</v>
      </c>
      <c r="E8509" t="e">
        <f>VLOOKUP(Cpi_[[#This Row],[Attribute]],#REF!,2,FALSE)</f>
        <v>#REF!</v>
      </c>
      <c r="F8509">
        <v>171.5</v>
      </c>
      <c r="G8509">
        <f>(Cpi_[[#This Row],[Value]]-F8508)/F8508</f>
        <v>-0.1416416416416417</v>
      </c>
      <c r="H8509" t="e" cm="1" vm="1">
        <f t="array" aca="1" ref="H8509" ca="1">VLOOKUP(Cpi_[[#This Row],[Year]:[Month]],crudeoil[],3,FALSE)</f>
        <v>#VALUE!</v>
      </c>
    </row>
    <row r="8510" spans="1:8" hidden="1" x14ac:dyDescent="0.3">
      <c r="A8510" t="s">
        <v>30</v>
      </c>
      <c r="B8510">
        <v>2021</v>
      </c>
      <c r="C8510" t="s">
        <v>45</v>
      </c>
      <c r="D8510" t="s">
        <v>6</v>
      </c>
      <c r="E8510" t="e">
        <f>VLOOKUP(Cpi_[[#This Row],[Attribute]],#REF!,2,FALSE)</f>
        <v>#REF!</v>
      </c>
      <c r="F8510">
        <v>159.1</v>
      </c>
      <c r="G8510">
        <f>(Cpi_[[#This Row],[Value]]-F8509)/F8509</f>
        <v>-7.2303206997084576E-2</v>
      </c>
      <c r="H8510" t="e" cm="1" vm="1">
        <f t="array" aca="1" ref="H8510" ca="1">VLOOKUP(Cpi_[[#This Row],[Year]:[Month]],crudeoil[],3,FALSE)</f>
        <v>#VALUE!</v>
      </c>
    </row>
    <row r="8511" spans="1:8" hidden="1" x14ac:dyDescent="0.3">
      <c r="A8511" t="s">
        <v>30</v>
      </c>
      <c r="B8511">
        <v>2021</v>
      </c>
      <c r="C8511" t="s">
        <v>45</v>
      </c>
      <c r="D8511" t="s">
        <v>7</v>
      </c>
      <c r="E8511" t="e">
        <f>VLOOKUP(Cpi_[[#This Row],[Attribute]],#REF!,2,FALSE)</f>
        <v>#REF!</v>
      </c>
      <c r="F8511">
        <v>198.4</v>
      </c>
      <c r="G8511">
        <f>(Cpi_[[#This Row],[Value]]-F8510)/F8510</f>
        <v>0.24701445631678198</v>
      </c>
      <c r="H8511" t="e" cm="1" vm="1">
        <f t="array" aca="1" ref="H8511" ca="1">VLOOKUP(Cpi_[[#This Row],[Year]:[Month]],crudeoil[],3,FALSE)</f>
        <v>#VALUE!</v>
      </c>
    </row>
    <row r="8512" spans="1:8" hidden="1" x14ac:dyDescent="0.3">
      <c r="A8512" t="s">
        <v>30</v>
      </c>
      <c r="B8512">
        <v>2021</v>
      </c>
      <c r="C8512" t="s">
        <v>45</v>
      </c>
      <c r="D8512" t="s">
        <v>8</v>
      </c>
      <c r="E8512" t="e">
        <f>VLOOKUP(Cpi_[[#This Row],[Attribute]],#REF!,2,FALSE)</f>
        <v>#REF!</v>
      </c>
      <c r="F8512">
        <v>153.19999999999999</v>
      </c>
      <c r="G8512">
        <f>(Cpi_[[#This Row],[Value]]-F8511)/F8511</f>
        <v>-0.22782258064516137</v>
      </c>
      <c r="H8512" t="e" cm="1" vm="1">
        <f t="array" aca="1" ref="H8512" ca="1">VLOOKUP(Cpi_[[#This Row],[Year]:[Month]],crudeoil[],3,FALSE)</f>
        <v>#VALUE!</v>
      </c>
    </row>
    <row r="8513" spans="1:8" hidden="1" x14ac:dyDescent="0.3">
      <c r="A8513" t="s">
        <v>30</v>
      </c>
      <c r="B8513">
        <v>2021</v>
      </c>
      <c r="C8513" t="s">
        <v>45</v>
      </c>
      <c r="D8513" t="s">
        <v>9</v>
      </c>
      <c r="E8513" t="e">
        <f>VLOOKUP(Cpi_[[#This Row],[Attribute]],#REF!,2,FALSE)</f>
        <v>#REF!</v>
      </c>
      <c r="F8513">
        <v>183.9</v>
      </c>
      <c r="G8513">
        <f>(Cpi_[[#This Row],[Value]]-F8512)/F8512</f>
        <v>0.2003916449086163</v>
      </c>
      <c r="H8513" t="e" cm="1" vm="1">
        <f t="array" aca="1" ref="H8513" ca="1">VLOOKUP(Cpi_[[#This Row],[Year]:[Month]],crudeoil[],3,FALSE)</f>
        <v>#VALUE!</v>
      </c>
    </row>
    <row r="8514" spans="1:8" hidden="1" x14ac:dyDescent="0.3">
      <c r="A8514" t="s">
        <v>30</v>
      </c>
      <c r="B8514">
        <v>2021</v>
      </c>
      <c r="C8514" t="s">
        <v>45</v>
      </c>
      <c r="D8514" t="s">
        <v>10</v>
      </c>
      <c r="E8514" t="e">
        <f>VLOOKUP(Cpi_[[#This Row],[Attribute]],#REF!,2,FALSE)</f>
        <v>#REF!</v>
      </c>
      <c r="F8514">
        <v>165.4</v>
      </c>
      <c r="G8514">
        <f>(Cpi_[[#This Row],[Value]]-F8513)/F8513</f>
        <v>-0.10059815116911365</v>
      </c>
      <c r="H8514" t="e" cm="1" vm="1">
        <f t="array" aca="1" ref="H8514" ca="1">VLOOKUP(Cpi_[[#This Row],[Year]:[Month]],crudeoil[],3,FALSE)</f>
        <v>#VALUE!</v>
      </c>
    </row>
    <row r="8515" spans="1:8" hidden="1" x14ac:dyDescent="0.3">
      <c r="A8515" t="s">
        <v>30</v>
      </c>
      <c r="B8515">
        <v>2021</v>
      </c>
      <c r="C8515" t="s">
        <v>45</v>
      </c>
      <c r="D8515" t="s">
        <v>11</v>
      </c>
      <c r="E8515" t="e">
        <f>VLOOKUP(Cpi_[[#This Row],[Attribute]],#REF!,2,FALSE)</f>
        <v>#REF!</v>
      </c>
      <c r="F8515">
        <v>122.1</v>
      </c>
      <c r="G8515">
        <f>(Cpi_[[#This Row],[Value]]-F8514)/F8514</f>
        <v>-0.26178960096735193</v>
      </c>
      <c r="H8515" t="e" cm="1" vm="1">
        <f t="array" aca="1" ref="H8515" ca="1">VLOOKUP(Cpi_[[#This Row],[Year]:[Month]],crudeoil[],3,FALSE)</f>
        <v>#VALUE!</v>
      </c>
    </row>
    <row r="8516" spans="1:8" hidden="1" x14ac:dyDescent="0.3">
      <c r="A8516" t="s">
        <v>30</v>
      </c>
      <c r="B8516">
        <v>2021</v>
      </c>
      <c r="C8516" t="s">
        <v>45</v>
      </c>
      <c r="D8516" t="s">
        <v>12</v>
      </c>
      <c r="E8516" t="e">
        <f>VLOOKUP(Cpi_[[#This Row],[Attribute]],#REF!,2,FALSE)</f>
        <v>#REF!</v>
      </c>
      <c r="F8516">
        <v>170.8</v>
      </c>
      <c r="G8516">
        <f>(Cpi_[[#This Row],[Value]]-F8515)/F8515</f>
        <v>0.39885339885339899</v>
      </c>
      <c r="H8516" t="e" cm="1" vm="1">
        <f t="array" aca="1" ref="H8516" ca="1">VLOOKUP(Cpi_[[#This Row],[Year]:[Month]],crudeoil[],3,FALSE)</f>
        <v>#VALUE!</v>
      </c>
    </row>
    <row r="8517" spans="1:8" hidden="1" x14ac:dyDescent="0.3">
      <c r="A8517" t="s">
        <v>30</v>
      </c>
      <c r="B8517">
        <v>2021</v>
      </c>
      <c r="C8517" t="s">
        <v>45</v>
      </c>
      <c r="D8517" t="s">
        <v>13</v>
      </c>
      <c r="E8517" t="e">
        <f>VLOOKUP(Cpi_[[#This Row],[Attribute]],#REF!,2,FALSE)</f>
        <v>#REF!</v>
      </c>
      <c r="F8517">
        <v>169.1</v>
      </c>
      <c r="G8517">
        <f>(Cpi_[[#This Row],[Value]]-F8516)/F8516</f>
        <v>-9.9531615925059543E-3</v>
      </c>
      <c r="H8517" t="e" cm="1" vm="1">
        <f t="array" aca="1" ref="H8517" ca="1">VLOOKUP(Cpi_[[#This Row],[Year]:[Month]],crudeoil[],3,FALSE)</f>
        <v>#VALUE!</v>
      </c>
    </row>
    <row r="8518" spans="1:8" hidden="1" x14ac:dyDescent="0.3">
      <c r="A8518" t="s">
        <v>30</v>
      </c>
      <c r="B8518">
        <v>2021</v>
      </c>
      <c r="C8518" t="s">
        <v>45</v>
      </c>
      <c r="D8518" t="s">
        <v>14</v>
      </c>
      <c r="E8518" t="e">
        <f>VLOOKUP(Cpi_[[#This Row],[Attribute]],#REF!,2,FALSE)</f>
        <v>#REF!</v>
      </c>
      <c r="F8518">
        <v>174.3</v>
      </c>
      <c r="G8518">
        <f>(Cpi_[[#This Row],[Value]]-F8517)/F8517</f>
        <v>3.0751034890597381E-2</v>
      </c>
      <c r="H8518" t="e" cm="1" vm="1">
        <f t="array" aca="1" ref="H8518" ca="1">VLOOKUP(Cpi_[[#This Row],[Year]:[Month]],crudeoil[],3,FALSE)</f>
        <v>#VALUE!</v>
      </c>
    </row>
    <row r="8519" spans="1:8" hidden="1" x14ac:dyDescent="0.3">
      <c r="A8519" t="s">
        <v>30</v>
      </c>
      <c r="B8519">
        <v>2021</v>
      </c>
      <c r="C8519" t="s">
        <v>45</v>
      </c>
      <c r="D8519" t="s">
        <v>15</v>
      </c>
      <c r="E8519" t="e">
        <f>VLOOKUP(Cpi_[[#This Row],[Attribute]],#REF!,2,FALSE)</f>
        <v>#REF!</v>
      </c>
      <c r="F8519">
        <v>167.5</v>
      </c>
      <c r="G8519">
        <f>(Cpi_[[#This Row],[Value]]-F8518)/F8518</f>
        <v>-3.901319563970173E-2</v>
      </c>
      <c r="H8519" t="e" cm="1" vm="1">
        <f t="array" aca="1" ref="H8519" ca="1">VLOOKUP(Cpi_[[#This Row],[Year]:[Month]],crudeoil[],3,FALSE)</f>
        <v>#VALUE!</v>
      </c>
    </row>
    <row r="8520" spans="1:8" hidden="1" x14ac:dyDescent="0.3">
      <c r="A8520" t="s">
        <v>30</v>
      </c>
      <c r="B8520">
        <v>2021</v>
      </c>
      <c r="C8520" t="s">
        <v>45</v>
      </c>
      <c r="D8520" t="s">
        <v>16</v>
      </c>
      <c r="E8520" t="e">
        <f>VLOOKUP(Cpi_[[#This Row],[Attribute]],#REF!,2,FALSE)</f>
        <v>#REF!</v>
      </c>
      <c r="F8520">
        <v>191.4</v>
      </c>
      <c r="G8520">
        <f>(Cpi_[[#This Row],[Value]]-F8519)/F8519</f>
        <v>0.14268656716417913</v>
      </c>
      <c r="H8520" t="e" cm="1" vm="1">
        <f t="array" aca="1" ref="H8520" ca="1">VLOOKUP(Cpi_[[#This Row],[Year]:[Month]],crudeoil[],3,FALSE)</f>
        <v>#VALUE!</v>
      </c>
    </row>
    <row r="8521" spans="1:8" hidden="1" x14ac:dyDescent="0.3">
      <c r="A8521" t="s">
        <v>30</v>
      </c>
      <c r="B8521">
        <v>2021</v>
      </c>
      <c r="C8521" t="s">
        <v>45</v>
      </c>
      <c r="D8521" t="s">
        <v>17</v>
      </c>
      <c r="E8521" t="e">
        <f>VLOOKUP(Cpi_[[#This Row],[Attribute]],#REF!,2,FALSE)</f>
        <v>#REF!</v>
      </c>
      <c r="F8521">
        <v>170.4</v>
      </c>
      <c r="G8521">
        <f>(Cpi_[[#This Row],[Value]]-F8520)/F8520</f>
        <v>-0.109717868338558</v>
      </c>
      <c r="H8521" t="e" cm="1" vm="1">
        <f t="array" aca="1" ref="H8521" ca="1">VLOOKUP(Cpi_[[#This Row],[Year]:[Month]],crudeoil[],3,FALSE)</f>
        <v>#VALUE!</v>
      </c>
    </row>
    <row r="8522" spans="1:8" hidden="1" x14ac:dyDescent="0.3">
      <c r="A8522" t="s">
        <v>30</v>
      </c>
      <c r="B8522">
        <v>2021</v>
      </c>
      <c r="C8522" t="s">
        <v>45</v>
      </c>
      <c r="D8522" t="s">
        <v>18</v>
      </c>
      <c r="E8522" t="e">
        <f>VLOOKUP(Cpi_[[#This Row],[Attribute]],#REF!,2,FALSE)</f>
        <v>#REF!</v>
      </c>
      <c r="F8522">
        <v>166</v>
      </c>
      <c r="G8522">
        <f>(Cpi_[[#This Row],[Value]]-F8521)/F8521</f>
        <v>-2.5821596244131488E-2</v>
      </c>
      <c r="H8522" t="e" cm="1" vm="1">
        <f t="array" aca="1" ref="H8522" ca="1">VLOOKUP(Cpi_[[#This Row],[Year]:[Month]],crudeoil[],3,FALSE)</f>
        <v>#VALUE!</v>
      </c>
    </row>
    <row r="8523" spans="1:8" hidden="1" x14ac:dyDescent="0.3">
      <c r="A8523" t="s">
        <v>30</v>
      </c>
      <c r="B8523">
        <v>2021</v>
      </c>
      <c r="C8523" t="s">
        <v>45</v>
      </c>
      <c r="D8523" t="s">
        <v>19</v>
      </c>
      <c r="E8523" t="e">
        <f>VLOOKUP(Cpi_[[#This Row],[Attribute]],#REF!,2,FALSE)</f>
        <v>#REF!</v>
      </c>
      <c r="F8523">
        <v>169.8</v>
      </c>
      <c r="G8523">
        <f>(Cpi_[[#This Row],[Value]]-F8522)/F8522</f>
        <v>2.2891566265060309E-2</v>
      </c>
      <c r="H8523" t="e" cm="1" vm="1">
        <f t="array" aca="1" ref="H8523" ca="1">VLOOKUP(Cpi_[[#This Row],[Year]:[Month]],crudeoil[],3,FALSE)</f>
        <v>#VALUE!</v>
      </c>
    </row>
    <row r="8524" spans="1:8" hidden="1" x14ac:dyDescent="0.3">
      <c r="A8524" t="s">
        <v>30</v>
      </c>
      <c r="B8524">
        <v>2021</v>
      </c>
      <c r="C8524" t="s">
        <v>45</v>
      </c>
      <c r="D8524" t="s">
        <v>20</v>
      </c>
      <c r="E8524" t="e">
        <f>VLOOKUP(Cpi_[[#This Row],[Attribute]],#REF!,2,FALSE)</f>
        <v>#REF!</v>
      </c>
      <c r="F8524" t="s">
        <v>32</v>
      </c>
      <c r="G8524" t="e">
        <f>(Cpi_[[#This Row],[Value]]-F8523)/F8523</f>
        <v>#VALUE!</v>
      </c>
      <c r="H8524" t="e" cm="1" vm="1">
        <f t="array" aca="1" ref="H8524" ca="1">VLOOKUP(Cpi_[[#This Row],[Year]:[Month]],crudeoil[],3,FALSE)</f>
        <v>#VALUE!</v>
      </c>
    </row>
    <row r="8525" spans="1:8" hidden="1" x14ac:dyDescent="0.3">
      <c r="A8525" t="s">
        <v>30</v>
      </c>
      <c r="B8525">
        <v>2021</v>
      </c>
      <c r="C8525" t="s">
        <v>45</v>
      </c>
      <c r="D8525" t="s">
        <v>21</v>
      </c>
      <c r="E8525" t="e">
        <f>VLOOKUP(Cpi_[[#This Row],[Attribute]],#REF!,2,FALSE)</f>
        <v>#REF!</v>
      </c>
      <c r="F8525">
        <v>165.3</v>
      </c>
      <c r="G8525" t="e">
        <f>(Cpi_[[#This Row],[Value]]-F8524)/F8524</f>
        <v>#VALUE!</v>
      </c>
      <c r="H8525" t="e" cm="1" vm="1">
        <f t="array" aca="1" ref="H8525" ca="1">VLOOKUP(Cpi_[[#This Row],[Year]:[Month]],crudeoil[],3,FALSE)</f>
        <v>#VALUE!</v>
      </c>
    </row>
    <row r="8526" spans="1:8" hidden="1" x14ac:dyDescent="0.3">
      <c r="A8526" t="s">
        <v>30</v>
      </c>
      <c r="B8526">
        <v>2021</v>
      </c>
      <c r="C8526" t="s">
        <v>45</v>
      </c>
      <c r="D8526" t="s">
        <v>22</v>
      </c>
      <c r="E8526" t="e">
        <f>VLOOKUP(Cpi_[[#This Row],[Attribute]],#REF!,2,FALSE)</f>
        <v>#REF!</v>
      </c>
      <c r="F8526">
        <v>162.9</v>
      </c>
      <c r="G8526">
        <f>(Cpi_[[#This Row],[Value]]-F8525)/F8525</f>
        <v>-1.4519056261343047E-2</v>
      </c>
      <c r="H8526" t="e" cm="1" vm="1">
        <f t="array" aca="1" ref="H8526" ca="1">VLOOKUP(Cpi_[[#This Row],[Year]:[Month]],crudeoil[],3,FALSE)</f>
        <v>#VALUE!</v>
      </c>
    </row>
    <row r="8527" spans="1:8" hidden="1" x14ac:dyDescent="0.3">
      <c r="A8527" t="s">
        <v>30</v>
      </c>
      <c r="B8527">
        <v>2021</v>
      </c>
      <c r="C8527" t="s">
        <v>45</v>
      </c>
      <c r="D8527" t="s">
        <v>23</v>
      </c>
      <c r="E8527" t="e">
        <f>VLOOKUP(Cpi_[[#This Row],[Attribute]],#REF!,2,FALSE)</f>
        <v>#REF!</v>
      </c>
      <c r="F8527">
        <v>173.4</v>
      </c>
      <c r="G8527">
        <f>(Cpi_[[#This Row],[Value]]-F8526)/F8526</f>
        <v>6.4456721915285453E-2</v>
      </c>
      <c r="H8527" t="e" cm="1" vm="1">
        <f t="array" aca="1" ref="H8527" ca="1">VLOOKUP(Cpi_[[#This Row],[Year]:[Month]],crudeoil[],3,FALSE)</f>
        <v>#VALUE!</v>
      </c>
    </row>
    <row r="8528" spans="1:8" hidden="1" x14ac:dyDescent="0.3">
      <c r="A8528" t="s">
        <v>30</v>
      </c>
      <c r="B8528">
        <v>2021</v>
      </c>
      <c r="C8528" t="s">
        <v>45</v>
      </c>
      <c r="D8528" t="s">
        <v>24</v>
      </c>
      <c r="E8528" t="e">
        <f>VLOOKUP(Cpi_[[#This Row],[Attribute]],#REF!,2,FALSE)</f>
        <v>#REF!</v>
      </c>
      <c r="F8528">
        <v>158.9</v>
      </c>
      <c r="G8528">
        <f>(Cpi_[[#This Row],[Value]]-F8527)/F8527</f>
        <v>-8.3621683967704724E-2</v>
      </c>
      <c r="H8528" t="e" cm="1" vm="1">
        <f t="array" aca="1" ref="H8528" ca="1">VLOOKUP(Cpi_[[#This Row],[Year]:[Month]],crudeoil[],3,FALSE)</f>
        <v>#VALUE!</v>
      </c>
    </row>
    <row r="8529" spans="1:8" hidden="1" x14ac:dyDescent="0.3">
      <c r="A8529" t="s">
        <v>30</v>
      </c>
      <c r="B8529">
        <v>2021</v>
      </c>
      <c r="C8529" t="s">
        <v>45</v>
      </c>
      <c r="D8529" t="s">
        <v>25</v>
      </c>
      <c r="E8529" t="e">
        <f>VLOOKUP(Cpi_[[#This Row],[Attribute]],#REF!,2,FALSE)</f>
        <v>#REF!</v>
      </c>
      <c r="F8529">
        <v>163.80000000000001</v>
      </c>
      <c r="G8529">
        <f>(Cpi_[[#This Row],[Value]]-F8528)/F8528</f>
        <v>3.0837004405286379E-2</v>
      </c>
      <c r="H8529" t="e" cm="1" vm="1">
        <f t="array" aca="1" ref="H8529" ca="1">VLOOKUP(Cpi_[[#This Row],[Year]:[Month]],crudeoil[],3,FALSE)</f>
        <v>#VALUE!</v>
      </c>
    </row>
    <row r="8530" spans="1:8" hidden="1" x14ac:dyDescent="0.3">
      <c r="A8530" t="s">
        <v>30</v>
      </c>
      <c r="B8530">
        <v>2021</v>
      </c>
      <c r="C8530" t="s">
        <v>45</v>
      </c>
      <c r="D8530" t="s">
        <v>26</v>
      </c>
      <c r="E8530" t="e">
        <f>VLOOKUP(Cpi_[[#This Row],[Attribute]],#REF!,2,FALSE)</f>
        <v>#REF!</v>
      </c>
      <c r="F8530">
        <v>169.3</v>
      </c>
      <c r="G8530">
        <f>(Cpi_[[#This Row],[Value]]-F8529)/F8529</f>
        <v>3.3577533577533576E-2</v>
      </c>
      <c r="H8530" t="e" cm="1" vm="1">
        <f t="array" aca="1" ref="H8530" ca="1">VLOOKUP(Cpi_[[#This Row],[Year]:[Month]],crudeoil[],3,FALSE)</f>
        <v>#VALUE!</v>
      </c>
    </row>
    <row r="8531" spans="1:8" hidden="1" x14ac:dyDescent="0.3">
      <c r="A8531" t="s">
        <v>30</v>
      </c>
      <c r="B8531">
        <v>2021</v>
      </c>
      <c r="C8531" t="s">
        <v>45</v>
      </c>
      <c r="D8531" t="s">
        <v>27</v>
      </c>
      <c r="E8531" t="e">
        <f>VLOOKUP(Cpi_[[#This Row],[Attribute]],#REF!,2,FALSE)</f>
        <v>#REF!</v>
      </c>
      <c r="F8531">
        <v>162.4</v>
      </c>
      <c r="G8531">
        <f>(Cpi_[[#This Row],[Value]]-F8530)/F8530</f>
        <v>-4.075605434140582E-2</v>
      </c>
      <c r="H8531" t="e" cm="1" vm="1">
        <f t="array" aca="1" ref="H8531" ca="1">VLOOKUP(Cpi_[[#This Row],[Year]:[Month]],crudeoil[],3,FALSE)</f>
        <v>#VALUE!</v>
      </c>
    </row>
    <row r="8532" spans="1:8" hidden="1" x14ac:dyDescent="0.3">
      <c r="A8532" t="s">
        <v>30</v>
      </c>
      <c r="B8532">
        <v>2021</v>
      </c>
      <c r="C8532" t="s">
        <v>45</v>
      </c>
      <c r="D8532" t="s">
        <v>28</v>
      </c>
      <c r="E8532" t="e">
        <f>VLOOKUP(Cpi_[[#This Row],[Attribute]],#REF!,2,FALSE)</f>
        <v>#REF!</v>
      </c>
      <c r="F8532">
        <v>165.2</v>
      </c>
      <c r="G8532">
        <f>(Cpi_[[#This Row],[Value]]-F8531)/F8531</f>
        <v>1.7241379310344723E-2</v>
      </c>
      <c r="H8532" t="e" cm="1" vm="1">
        <f t="array" aca="1" ref="H8532" ca="1">VLOOKUP(Cpi_[[#This Row],[Year]:[Month]],crudeoil[],3,FALSE)</f>
        <v>#VALUE!</v>
      </c>
    </row>
    <row r="8533" spans="1:8" hidden="1" x14ac:dyDescent="0.3">
      <c r="A8533" t="s">
        <v>30</v>
      </c>
      <c r="B8533">
        <v>2021</v>
      </c>
      <c r="C8533" t="s">
        <v>45</v>
      </c>
      <c r="D8533" t="s">
        <v>29</v>
      </c>
      <c r="E8533" t="e" cm="1">
        <f t="array" aca="1" ref="E8533" ca="1">VLGeneral indexGeneral indexKUP(Cpi_[[#This Row],[Attribute]],#REF!,2,FALSE)</f>
        <v>#NAME?</v>
      </c>
      <c r="F8533">
        <v>167.6</v>
      </c>
      <c r="G8533">
        <f>(Cpi_[[#This Row],[Value]]-F8532)/F8532</f>
        <v>1.4527845036319648E-2</v>
      </c>
      <c r="H8533" t="e" cm="1" vm="1">
        <f t="array" aca="1" ref="H8533" ca="1">VLOOKUP(Cpi_[[#This Row],[Year]:[Month]],crudeoil[],3,FALSE)</f>
        <v>#VALUE!</v>
      </c>
    </row>
    <row r="8534" spans="1:8" hidden="1" x14ac:dyDescent="0.3">
      <c r="A8534" t="s">
        <v>33</v>
      </c>
      <c r="B8534">
        <v>2021</v>
      </c>
      <c r="C8534" t="s">
        <v>45</v>
      </c>
      <c r="D8534" t="s">
        <v>3</v>
      </c>
      <c r="E8534" t="e">
        <f>VLOOKUP(Cpi_[[#This Row],[Attribute]],#REF!,2,FALSE)</f>
        <v>#REF!</v>
      </c>
      <c r="F8534">
        <v>151</v>
      </c>
      <c r="G8534">
        <f>(Cpi_[[#This Row],[Value]]-F8533)/F8533</f>
        <v>-9.9045346062052481E-2</v>
      </c>
      <c r="H8534" t="e" cm="1" vm="1">
        <f t="array" aca="1" ref="H8534" ca="1">VLOOKUP(Cpi_[[#This Row],[Year]:[Month]],crudeoil[],3,FALSE)</f>
        <v>#VALUE!</v>
      </c>
    </row>
    <row r="8535" spans="1:8" hidden="1" x14ac:dyDescent="0.3">
      <c r="A8535" t="s">
        <v>33</v>
      </c>
      <c r="B8535">
        <v>2021</v>
      </c>
      <c r="C8535" t="s">
        <v>45</v>
      </c>
      <c r="D8535" t="s">
        <v>4</v>
      </c>
      <c r="E8535" t="e">
        <f>VLOOKUP(Cpi_[[#This Row],[Attribute]],#REF!,2,FALSE)</f>
        <v>#REF!</v>
      </c>
      <c r="F8535">
        <v>204.9</v>
      </c>
      <c r="G8535">
        <f>(Cpi_[[#This Row],[Value]]-F8534)/F8534</f>
        <v>0.35695364238410598</v>
      </c>
      <c r="H8535" t="e" cm="1" vm="1">
        <f t="array" aca="1" ref="H8535" ca="1">VLOOKUP(Cpi_[[#This Row],[Year]:[Month]],crudeoil[],3,FALSE)</f>
        <v>#VALUE!</v>
      </c>
    </row>
    <row r="8536" spans="1:8" hidden="1" x14ac:dyDescent="0.3">
      <c r="A8536" t="s">
        <v>33</v>
      </c>
      <c r="B8536">
        <v>2021</v>
      </c>
      <c r="C8536" t="s">
        <v>45</v>
      </c>
      <c r="D8536" t="s">
        <v>5</v>
      </c>
      <c r="E8536" t="e">
        <f>VLOOKUP(Cpi_[[#This Row],[Attribute]],#REF!,2,FALSE)</f>
        <v>#REF!</v>
      </c>
      <c r="F8536">
        <v>175.4</v>
      </c>
      <c r="G8536">
        <f>(Cpi_[[#This Row],[Value]]-F8535)/F8535</f>
        <v>-0.14397266959492436</v>
      </c>
      <c r="H8536" t="e" cm="1" vm="1">
        <f t="array" aca="1" ref="H8536" ca="1">VLOOKUP(Cpi_[[#This Row],[Year]:[Month]],crudeoil[],3,FALSE)</f>
        <v>#VALUE!</v>
      </c>
    </row>
    <row r="8537" spans="1:8" hidden="1" x14ac:dyDescent="0.3">
      <c r="A8537" t="s">
        <v>33</v>
      </c>
      <c r="B8537">
        <v>2021</v>
      </c>
      <c r="C8537" t="s">
        <v>45</v>
      </c>
      <c r="D8537" t="s">
        <v>6</v>
      </c>
      <c r="E8537" t="e">
        <f>VLOOKUP(Cpi_[[#This Row],[Attribute]],#REF!,2,FALSE)</f>
        <v>#REF!</v>
      </c>
      <c r="F8537">
        <v>159.6</v>
      </c>
      <c r="G8537">
        <f>(Cpi_[[#This Row],[Value]]-F8536)/F8536</f>
        <v>-9.0079817559863232E-2</v>
      </c>
      <c r="H8537" t="e" cm="1" vm="1">
        <f t="array" aca="1" ref="H8537" ca="1">VLOOKUP(Cpi_[[#This Row],[Year]:[Month]],crudeoil[],3,FALSE)</f>
        <v>#VALUE!</v>
      </c>
    </row>
    <row r="8538" spans="1:8" hidden="1" x14ac:dyDescent="0.3">
      <c r="A8538" t="s">
        <v>33</v>
      </c>
      <c r="B8538">
        <v>2021</v>
      </c>
      <c r="C8538" t="s">
        <v>45</v>
      </c>
      <c r="D8538" t="s">
        <v>7</v>
      </c>
      <c r="E8538" t="e">
        <f>VLOOKUP(Cpi_[[#This Row],[Attribute]],#REF!,2,FALSE)</f>
        <v>#REF!</v>
      </c>
      <c r="F8538">
        <v>175.8</v>
      </c>
      <c r="G8538">
        <f>(Cpi_[[#This Row],[Value]]-F8537)/F8537</f>
        <v>0.10150375939849635</v>
      </c>
      <c r="H8538" t="e" cm="1" vm="1">
        <f t="array" aca="1" ref="H8538" ca="1">VLOOKUP(Cpi_[[#This Row],[Year]:[Month]],crudeoil[],3,FALSE)</f>
        <v>#VALUE!</v>
      </c>
    </row>
    <row r="8539" spans="1:8" hidden="1" x14ac:dyDescent="0.3">
      <c r="A8539" t="s">
        <v>33</v>
      </c>
      <c r="B8539">
        <v>2021</v>
      </c>
      <c r="C8539" t="s">
        <v>45</v>
      </c>
      <c r="D8539" t="s">
        <v>8</v>
      </c>
      <c r="E8539" t="e">
        <f>VLOOKUP(Cpi_[[#This Row],[Attribute]],#REF!,2,FALSE)</f>
        <v>#REF!</v>
      </c>
      <c r="F8539">
        <v>160.30000000000001</v>
      </c>
      <c r="G8539">
        <f>(Cpi_[[#This Row],[Value]]-F8538)/F8538</f>
        <v>-8.8168373151308294E-2</v>
      </c>
      <c r="H8539" t="e" cm="1" vm="1">
        <f t="array" aca="1" ref="H8539" ca="1">VLOOKUP(Cpi_[[#This Row],[Year]:[Month]],crudeoil[],3,FALSE)</f>
        <v>#VALUE!</v>
      </c>
    </row>
    <row r="8540" spans="1:8" hidden="1" x14ac:dyDescent="0.3">
      <c r="A8540" t="s">
        <v>33</v>
      </c>
      <c r="B8540">
        <v>2021</v>
      </c>
      <c r="C8540" t="s">
        <v>45</v>
      </c>
      <c r="D8540" t="s">
        <v>9</v>
      </c>
      <c r="E8540" t="e">
        <f>VLOOKUP(Cpi_[[#This Row],[Attribute]],#REF!,2,FALSE)</f>
        <v>#REF!</v>
      </c>
      <c r="F8540">
        <v>229.1</v>
      </c>
      <c r="G8540">
        <f>(Cpi_[[#This Row],[Value]]-F8539)/F8539</f>
        <v>0.42919525888958188</v>
      </c>
      <c r="H8540" t="e" cm="1" vm="1">
        <f t="array" aca="1" ref="H8540" ca="1">VLOOKUP(Cpi_[[#This Row],[Year]:[Month]],crudeoil[],3,FALSE)</f>
        <v>#VALUE!</v>
      </c>
    </row>
    <row r="8541" spans="1:8" hidden="1" x14ac:dyDescent="0.3">
      <c r="A8541" t="s">
        <v>33</v>
      </c>
      <c r="B8541">
        <v>2021</v>
      </c>
      <c r="C8541" t="s">
        <v>45</v>
      </c>
      <c r="D8541" t="s">
        <v>10</v>
      </c>
      <c r="E8541" t="e">
        <f>VLOOKUP(Cpi_[[#This Row],[Attribute]],#REF!,2,FALSE)</f>
        <v>#REF!</v>
      </c>
      <c r="F8541">
        <v>165.1</v>
      </c>
      <c r="G8541">
        <f>(Cpi_[[#This Row],[Value]]-F8540)/F8540</f>
        <v>-0.2793539938891314</v>
      </c>
      <c r="H8541" t="e" cm="1" vm="1">
        <f t="array" aca="1" ref="H8541" ca="1">VLOOKUP(Cpi_[[#This Row],[Year]:[Month]],crudeoil[],3,FALSE)</f>
        <v>#VALUE!</v>
      </c>
    </row>
    <row r="8542" spans="1:8" hidden="1" x14ac:dyDescent="0.3">
      <c r="A8542" t="s">
        <v>33</v>
      </c>
      <c r="B8542">
        <v>2021</v>
      </c>
      <c r="C8542" t="s">
        <v>45</v>
      </c>
      <c r="D8542" t="s">
        <v>11</v>
      </c>
      <c r="E8542" t="e">
        <f>VLOOKUP(Cpi_[[#This Row],[Attribute]],#REF!,2,FALSE)</f>
        <v>#REF!</v>
      </c>
      <c r="F8542">
        <v>123.1</v>
      </c>
      <c r="G8542">
        <f>(Cpi_[[#This Row],[Value]]-F8541)/F8541</f>
        <v>-0.25439127801332528</v>
      </c>
      <c r="H8542" t="e" cm="1" vm="1">
        <f t="array" aca="1" ref="H8542" ca="1">VLOOKUP(Cpi_[[#This Row],[Year]:[Month]],crudeoil[],3,FALSE)</f>
        <v>#VALUE!</v>
      </c>
    </row>
    <row r="8543" spans="1:8" hidden="1" x14ac:dyDescent="0.3">
      <c r="A8543" t="s">
        <v>33</v>
      </c>
      <c r="B8543">
        <v>2021</v>
      </c>
      <c r="C8543" t="s">
        <v>45</v>
      </c>
      <c r="D8543" t="s">
        <v>12</v>
      </c>
      <c r="E8543" t="e">
        <f>VLOOKUP(Cpi_[[#This Row],[Attribute]],#REF!,2,FALSE)</f>
        <v>#REF!</v>
      </c>
      <c r="F8543">
        <v>167.2</v>
      </c>
      <c r="G8543">
        <f>(Cpi_[[#This Row],[Value]]-F8542)/F8542</f>
        <v>0.3582453290008123</v>
      </c>
      <c r="H8543" t="e" cm="1" vm="1">
        <f t="array" aca="1" ref="H8543" ca="1">VLOOKUP(Cpi_[[#This Row],[Year]:[Month]],crudeoil[],3,FALSE)</f>
        <v>#VALUE!</v>
      </c>
    </row>
    <row r="8544" spans="1:8" hidden="1" x14ac:dyDescent="0.3">
      <c r="A8544" t="s">
        <v>33</v>
      </c>
      <c r="B8544">
        <v>2021</v>
      </c>
      <c r="C8544" t="s">
        <v>45</v>
      </c>
      <c r="D8544" t="s">
        <v>13</v>
      </c>
      <c r="E8544" t="e">
        <f>VLOOKUP(Cpi_[[#This Row],[Attribute]],#REF!,2,FALSE)</f>
        <v>#REF!</v>
      </c>
      <c r="F8544">
        <v>156.1</v>
      </c>
      <c r="G8544">
        <f>(Cpi_[[#This Row],[Value]]-F8543)/F8543</f>
        <v>-6.6387559808612412E-2</v>
      </c>
      <c r="H8544" t="e" cm="1" vm="1">
        <f t="array" aca="1" ref="H8544" ca="1">VLOOKUP(Cpi_[[#This Row],[Year]:[Month]],crudeoil[],3,FALSE)</f>
        <v>#VALUE!</v>
      </c>
    </row>
    <row r="8545" spans="1:8" hidden="1" x14ac:dyDescent="0.3">
      <c r="A8545" t="s">
        <v>33</v>
      </c>
      <c r="B8545">
        <v>2021</v>
      </c>
      <c r="C8545" t="s">
        <v>45</v>
      </c>
      <c r="D8545" t="s">
        <v>14</v>
      </c>
      <c r="E8545" t="e">
        <f>VLOOKUP(Cpi_[[#This Row],[Attribute]],#REF!,2,FALSE)</f>
        <v>#REF!</v>
      </c>
      <c r="F8545">
        <v>176.8</v>
      </c>
      <c r="G8545">
        <f>(Cpi_[[#This Row],[Value]]-F8544)/F8544</f>
        <v>0.13260730301089058</v>
      </c>
      <c r="H8545" t="e" cm="1" vm="1">
        <f t="array" aca="1" ref="H8545" ca="1">VLOOKUP(Cpi_[[#This Row],[Year]:[Month]],crudeoil[],3,FALSE)</f>
        <v>#VALUE!</v>
      </c>
    </row>
    <row r="8546" spans="1:8" hidden="1" x14ac:dyDescent="0.3">
      <c r="A8546" t="s">
        <v>33</v>
      </c>
      <c r="B8546">
        <v>2021</v>
      </c>
      <c r="C8546" t="s">
        <v>45</v>
      </c>
      <c r="D8546" t="s">
        <v>15</v>
      </c>
      <c r="E8546" t="e">
        <f>VLOOKUP(Cpi_[[#This Row],[Attribute]],#REF!,2,FALSE)</f>
        <v>#REF!</v>
      </c>
      <c r="F8546">
        <v>173.5</v>
      </c>
      <c r="G8546">
        <f>(Cpi_[[#This Row],[Value]]-F8545)/F8545</f>
        <v>-1.8665158371040786E-2</v>
      </c>
      <c r="H8546" t="e" cm="1" vm="1">
        <f t="array" aca="1" ref="H8546" ca="1">VLOOKUP(Cpi_[[#This Row],[Year]:[Month]],crudeoil[],3,FALSE)</f>
        <v>#VALUE!</v>
      </c>
    </row>
    <row r="8547" spans="1:8" hidden="1" x14ac:dyDescent="0.3">
      <c r="A8547" t="s">
        <v>33</v>
      </c>
      <c r="B8547">
        <v>2021</v>
      </c>
      <c r="C8547" t="s">
        <v>45</v>
      </c>
      <c r="D8547" t="s">
        <v>16</v>
      </c>
      <c r="E8547" t="e">
        <f>VLOOKUP(Cpi_[[#This Row],[Attribute]],#REF!,2,FALSE)</f>
        <v>#REF!</v>
      </c>
      <c r="F8547">
        <v>197</v>
      </c>
      <c r="G8547">
        <f>(Cpi_[[#This Row],[Value]]-F8546)/F8546</f>
        <v>0.13544668587896252</v>
      </c>
      <c r="H8547" t="e" cm="1" vm="1">
        <f t="array" aca="1" ref="H8547" ca="1">VLOOKUP(Cpi_[[#This Row],[Year]:[Month]],crudeoil[],3,FALSE)</f>
        <v>#VALUE!</v>
      </c>
    </row>
    <row r="8548" spans="1:8" hidden="1" x14ac:dyDescent="0.3">
      <c r="A8548" t="s">
        <v>33</v>
      </c>
      <c r="B8548">
        <v>2021</v>
      </c>
      <c r="C8548" t="s">
        <v>45</v>
      </c>
      <c r="D8548" t="s">
        <v>17</v>
      </c>
      <c r="E8548" t="e">
        <f>VLOOKUP(Cpi_[[#This Row],[Attribute]],#REF!,2,FALSE)</f>
        <v>#REF!</v>
      </c>
      <c r="F8548">
        <v>162.30000000000001</v>
      </c>
      <c r="G8548">
        <f>(Cpi_[[#This Row],[Value]]-F8547)/F8547</f>
        <v>-0.17614213197969536</v>
      </c>
      <c r="H8548" t="e" cm="1" vm="1">
        <f t="array" aca="1" ref="H8548" ca="1">VLOOKUP(Cpi_[[#This Row],[Year]:[Month]],crudeoil[],3,FALSE)</f>
        <v>#VALUE!</v>
      </c>
    </row>
    <row r="8549" spans="1:8" hidden="1" x14ac:dyDescent="0.3">
      <c r="A8549" t="s">
        <v>33</v>
      </c>
      <c r="B8549">
        <v>2021</v>
      </c>
      <c r="C8549" t="s">
        <v>45</v>
      </c>
      <c r="D8549" t="s">
        <v>18</v>
      </c>
      <c r="E8549" t="e">
        <f>VLOOKUP(Cpi_[[#This Row],[Attribute]],#REF!,2,FALSE)</f>
        <v>#REF!</v>
      </c>
      <c r="F8549">
        <v>145.30000000000001</v>
      </c>
      <c r="G8549">
        <f>(Cpi_[[#This Row],[Value]]-F8548)/F8548</f>
        <v>-0.10474430067775724</v>
      </c>
      <c r="H8549" t="e" cm="1" vm="1">
        <f t="array" aca="1" ref="H8549" ca="1">VLOOKUP(Cpi_[[#This Row],[Year]:[Month]],crudeoil[],3,FALSE)</f>
        <v>#VALUE!</v>
      </c>
    </row>
    <row r="8550" spans="1:8" hidden="1" x14ac:dyDescent="0.3">
      <c r="A8550" t="s">
        <v>33</v>
      </c>
      <c r="B8550">
        <v>2021</v>
      </c>
      <c r="C8550" t="s">
        <v>45</v>
      </c>
      <c r="D8550" t="s">
        <v>19</v>
      </c>
      <c r="E8550" t="e">
        <f>VLOOKUP(Cpi_[[#This Row],[Attribute]],#REF!,2,FALSE)</f>
        <v>#REF!</v>
      </c>
      <c r="F8550">
        <v>159.69999999999999</v>
      </c>
      <c r="G8550">
        <f>(Cpi_[[#This Row],[Value]]-F8549)/F8549</f>
        <v>9.9105299380591719E-2</v>
      </c>
      <c r="H8550" t="e" cm="1" vm="1">
        <f t="array" aca="1" ref="H8550" ca="1">VLOOKUP(Cpi_[[#This Row],[Year]:[Month]],crudeoil[],3,FALSE)</f>
        <v>#VALUE!</v>
      </c>
    </row>
    <row r="8551" spans="1:8" hidden="1" x14ac:dyDescent="0.3">
      <c r="A8551" t="s">
        <v>33</v>
      </c>
      <c r="B8551">
        <v>2021</v>
      </c>
      <c r="C8551" t="s">
        <v>45</v>
      </c>
      <c r="D8551" t="s">
        <v>20</v>
      </c>
      <c r="E8551" t="e">
        <f>VLOOKUP(Cpi_[[#This Row],[Attribute]],#REF!,2,FALSE)</f>
        <v>#REF!</v>
      </c>
      <c r="F8551">
        <v>164.2</v>
      </c>
      <c r="G8551">
        <f>(Cpi_[[#This Row],[Value]]-F8550)/F8550</f>
        <v>2.8177833437695681E-2</v>
      </c>
      <c r="H8551" t="e" cm="1" vm="1">
        <f t="array" aca="1" ref="H8551" ca="1">VLOOKUP(Cpi_[[#This Row],[Year]:[Month]],crudeoil[],3,FALSE)</f>
        <v>#VALUE!</v>
      </c>
    </row>
    <row r="8552" spans="1:8" hidden="1" x14ac:dyDescent="0.3">
      <c r="A8552" t="s">
        <v>33</v>
      </c>
      <c r="B8552">
        <v>2021</v>
      </c>
      <c r="C8552" t="s">
        <v>45</v>
      </c>
      <c r="D8552" t="s">
        <v>21</v>
      </c>
      <c r="E8552" t="e">
        <f>VLOOKUP(Cpi_[[#This Row],[Attribute]],#REF!,2,FALSE)</f>
        <v>#REF!</v>
      </c>
      <c r="F8552">
        <v>161.6</v>
      </c>
      <c r="G8552">
        <f>(Cpi_[[#This Row],[Value]]-F8551)/F8551</f>
        <v>-1.5834348355663792E-2</v>
      </c>
      <c r="H8552" t="e" cm="1" vm="1">
        <f t="array" aca="1" ref="H8552" ca="1">VLOOKUP(Cpi_[[#This Row],[Year]:[Month]],crudeoil[],3,FALSE)</f>
        <v>#VALUE!</v>
      </c>
    </row>
    <row r="8553" spans="1:8" hidden="1" x14ac:dyDescent="0.3">
      <c r="A8553" t="s">
        <v>33</v>
      </c>
      <c r="B8553">
        <v>2021</v>
      </c>
      <c r="C8553" t="s">
        <v>45</v>
      </c>
      <c r="D8553" t="s">
        <v>22</v>
      </c>
      <c r="E8553" t="e">
        <f>VLOOKUP(Cpi_[[#This Row],[Attribute]],#REF!,2,FALSE)</f>
        <v>#REF!</v>
      </c>
      <c r="F8553">
        <v>155.19999999999999</v>
      </c>
      <c r="G8553">
        <f>(Cpi_[[#This Row],[Value]]-F8552)/F8552</f>
        <v>-3.9603960396039639E-2</v>
      </c>
      <c r="H8553" t="e" cm="1" vm="1">
        <f t="array" aca="1" ref="H8553" ca="1">VLOOKUP(Cpi_[[#This Row],[Year]:[Month]],crudeoil[],3,FALSE)</f>
        <v>#VALUE!</v>
      </c>
    </row>
    <row r="8554" spans="1:8" hidden="1" x14ac:dyDescent="0.3">
      <c r="A8554" t="s">
        <v>33</v>
      </c>
      <c r="B8554">
        <v>2021</v>
      </c>
      <c r="C8554" t="s">
        <v>45</v>
      </c>
      <c r="D8554" t="s">
        <v>23</v>
      </c>
      <c r="E8554" t="e">
        <f>VLOOKUP(Cpi_[[#This Row],[Attribute]],#REF!,2,FALSE)</f>
        <v>#REF!</v>
      </c>
      <c r="F8554">
        <v>164.2</v>
      </c>
      <c r="G8554">
        <f>(Cpi_[[#This Row],[Value]]-F8553)/F8553</f>
        <v>5.7989690721649487E-2</v>
      </c>
      <c r="H8554" t="e" cm="1" vm="1">
        <f t="array" aca="1" ref="H8554" ca="1">VLOOKUP(Cpi_[[#This Row],[Year]:[Month]],crudeoil[],3,FALSE)</f>
        <v>#VALUE!</v>
      </c>
    </row>
    <row r="8555" spans="1:8" hidden="1" x14ac:dyDescent="0.3">
      <c r="A8555" t="s">
        <v>33</v>
      </c>
      <c r="B8555">
        <v>2021</v>
      </c>
      <c r="C8555" t="s">
        <v>45</v>
      </c>
      <c r="D8555" t="s">
        <v>24</v>
      </c>
      <c r="E8555" t="e">
        <f>VLOOKUP(Cpi_[[#This Row],[Attribute]],#REF!,2,FALSE)</f>
        <v>#REF!</v>
      </c>
      <c r="F8555">
        <v>151.19999999999999</v>
      </c>
      <c r="G8555">
        <f>(Cpi_[[#This Row],[Value]]-F8554)/F8554</f>
        <v>-7.9171741778319135E-2</v>
      </c>
      <c r="H8555" t="e" cm="1" vm="1">
        <f t="array" aca="1" ref="H8555" ca="1">VLOOKUP(Cpi_[[#This Row],[Year]:[Month]],crudeoil[],3,FALSE)</f>
        <v>#VALUE!</v>
      </c>
    </row>
    <row r="8556" spans="1:8" hidden="1" x14ac:dyDescent="0.3">
      <c r="A8556" t="s">
        <v>33</v>
      </c>
      <c r="B8556">
        <v>2021</v>
      </c>
      <c r="C8556" t="s">
        <v>45</v>
      </c>
      <c r="D8556" t="s">
        <v>25</v>
      </c>
      <c r="E8556" t="e">
        <f>VLOOKUP(Cpi_[[#This Row],[Attribute]],#REF!,2,FALSE)</f>
        <v>#REF!</v>
      </c>
      <c r="F8556">
        <v>156.69999999999999</v>
      </c>
      <c r="G8556">
        <f>(Cpi_[[#This Row],[Value]]-F8555)/F8555</f>
        <v>3.6375661375661381E-2</v>
      </c>
      <c r="H8556" t="e" cm="1" vm="1">
        <f t="array" aca="1" ref="H8556" ca="1">VLOOKUP(Cpi_[[#This Row],[Year]:[Month]],crudeoil[],3,FALSE)</f>
        <v>#VALUE!</v>
      </c>
    </row>
    <row r="8557" spans="1:8" hidden="1" x14ac:dyDescent="0.3">
      <c r="A8557" t="s">
        <v>33</v>
      </c>
      <c r="B8557">
        <v>2021</v>
      </c>
      <c r="C8557" t="s">
        <v>45</v>
      </c>
      <c r="D8557" t="s">
        <v>26</v>
      </c>
      <c r="E8557" t="e">
        <f>VLOOKUP(Cpi_[[#This Row],[Attribute]],#REF!,2,FALSE)</f>
        <v>#REF!</v>
      </c>
      <c r="F8557">
        <v>160.80000000000001</v>
      </c>
      <c r="G8557">
        <f>(Cpi_[[#This Row],[Value]]-F8556)/F8556</f>
        <v>2.6164645820038437E-2</v>
      </c>
      <c r="H8557" t="e" cm="1" vm="1">
        <f t="array" aca="1" ref="H8557" ca="1">VLOOKUP(Cpi_[[#This Row],[Year]:[Month]],crudeoil[],3,FALSE)</f>
        <v>#VALUE!</v>
      </c>
    </row>
    <row r="8558" spans="1:8" hidden="1" x14ac:dyDescent="0.3">
      <c r="A8558" t="s">
        <v>33</v>
      </c>
      <c r="B8558">
        <v>2021</v>
      </c>
      <c r="C8558" t="s">
        <v>45</v>
      </c>
      <c r="D8558" t="s">
        <v>27</v>
      </c>
      <c r="E8558" t="e">
        <f>VLOOKUP(Cpi_[[#This Row],[Attribute]],#REF!,2,FALSE)</f>
        <v>#REF!</v>
      </c>
      <c r="F8558">
        <v>161.80000000000001</v>
      </c>
      <c r="G8558">
        <f>(Cpi_[[#This Row],[Value]]-F8557)/F8557</f>
        <v>6.2189054726368154E-3</v>
      </c>
      <c r="H8558" t="e" cm="1" vm="1">
        <f t="array" aca="1" ref="H8558" ca="1">VLOOKUP(Cpi_[[#This Row],[Year]:[Month]],crudeoil[],3,FALSE)</f>
        <v>#VALUE!</v>
      </c>
    </row>
    <row r="8559" spans="1:8" hidden="1" x14ac:dyDescent="0.3">
      <c r="A8559" t="s">
        <v>33</v>
      </c>
      <c r="B8559">
        <v>2021</v>
      </c>
      <c r="C8559" t="s">
        <v>45</v>
      </c>
      <c r="D8559" t="s">
        <v>28</v>
      </c>
      <c r="E8559" t="e">
        <f>VLOOKUP(Cpi_[[#This Row],[Attribute]],#REF!,2,FALSE)</f>
        <v>#REF!</v>
      </c>
      <c r="F8559">
        <v>157.30000000000001</v>
      </c>
      <c r="G8559">
        <f>(Cpi_[[#This Row],[Value]]-F8558)/F8558</f>
        <v>-2.7812113720642767E-2</v>
      </c>
      <c r="H8559" t="e" cm="1" vm="1">
        <f t="array" aca="1" ref="H8559" ca="1">VLOOKUP(Cpi_[[#This Row],[Year]:[Month]],crudeoil[],3,FALSE)</f>
        <v>#VALUE!</v>
      </c>
    </row>
    <row r="8560" spans="1:8" hidden="1" x14ac:dyDescent="0.3">
      <c r="A8560" t="s">
        <v>33</v>
      </c>
      <c r="B8560">
        <v>2021</v>
      </c>
      <c r="C8560" t="s">
        <v>45</v>
      </c>
      <c r="D8560" t="s">
        <v>29</v>
      </c>
      <c r="E8560" t="e" cm="1">
        <f t="array" aca="1" ref="E8560" ca="1">VLGeneral indexGeneral indexKUP(Cpi_[[#This Row],[Attribute]],#REF!,2,FALSE)</f>
        <v>#NAME?</v>
      </c>
      <c r="F8560">
        <v>165.6</v>
      </c>
      <c r="G8560">
        <f>(Cpi_[[#This Row],[Value]]-F8559)/F8559</f>
        <v>5.2765416401779924E-2</v>
      </c>
      <c r="H8560" t="e" cm="1" vm="1">
        <f t="array" aca="1" ref="H8560" ca="1">VLOOKUP(Cpi_[[#This Row],[Year]:[Month]],crudeoil[],3,FALSE)</f>
        <v>#VALUE!</v>
      </c>
    </row>
    <row r="8561" spans="1:10" hidden="1" x14ac:dyDescent="0.3">
      <c r="A8561" t="s">
        <v>34</v>
      </c>
      <c r="B8561">
        <v>2021</v>
      </c>
      <c r="C8561" t="s">
        <v>45</v>
      </c>
      <c r="D8561" t="s">
        <v>3</v>
      </c>
      <c r="E8561" t="e">
        <f>VLOOKUP(Cpi_[[#This Row],[Attribute]],#REF!,2,FALSE)</f>
        <v>#REF!</v>
      </c>
      <c r="F8561">
        <v>148.19999999999999</v>
      </c>
      <c r="G8561">
        <f>(Cpi_[[#This Row],[Value]]-F8560)/F8560</f>
        <v>-0.10507246376811598</v>
      </c>
      <c r="H8561" t="e" cm="1" vm="1">
        <f t="array" aca="1" ref="H8561" ca="1">VLOOKUP(Cpi_[[#This Row],[Year]:[Month]],crudeoil[],3,FALSE)</f>
        <v>#VALUE!</v>
      </c>
    </row>
    <row r="8562" spans="1:10" x14ac:dyDescent="0.3">
      <c r="A8562" t="s">
        <v>34</v>
      </c>
      <c r="B8562">
        <v>2021</v>
      </c>
      <c r="C8562" t="s">
        <v>45</v>
      </c>
      <c r="D8562" t="s">
        <v>4</v>
      </c>
      <c r="E8562" t="e">
        <f>VLOOKUP(Cpi_[[#This Row],[Attribute]],#REF!,2,FALSE)</f>
        <v>#REF!</v>
      </c>
      <c r="F8562">
        <v>201.6</v>
      </c>
      <c r="G8562" s="42">
        <f>(Cpi_[[#This Row],[Value]]-F8561)/F8561</f>
        <v>0.36032388663967618</v>
      </c>
      <c r="H8562" t="str">
        <f>LEFT(Cpi_[[#This Row],[Month]],3)</f>
        <v>Nov</v>
      </c>
      <c r="I8562" t="str">
        <f>RIGHT(Cpi_[[#This Row],[Year]],2)</f>
        <v>21</v>
      </c>
      <c r="J8562" t="str">
        <f>Cpi_[[#This Row],[Column3]]&amp;"-"&amp;Cpi_[[#This Row],[Column4]]</f>
        <v>Nov-21</v>
      </c>
    </row>
    <row r="8563" spans="1:10" x14ac:dyDescent="0.3">
      <c r="A8563" t="s">
        <v>34</v>
      </c>
      <c r="B8563">
        <v>2021</v>
      </c>
      <c r="C8563" t="s">
        <v>45</v>
      </c>
      <c r="D8563" t="s">
        <v>5</v>
      </c>
      <c r="E8563" t="e">
        <f>VLOOKUP(Cpi_[[#This Row],[Attribute]],#REF!,2,FALSE)</f>
        <v>#REF!</v>
      </c>
      <c r="F8563">
        <v>173</v>
      </c>
      <c r="G8563" s="42">
        <f>(Cpi_[[#This Row],[Value]]-F8562)/F8562</f>
        <v>-0.14186507936507933</v>
      </c>
      <c r="H8563" t="str">
        <f>LEFT(Cpi_[[#This Row],[Month]],3)</f>
        <v>Nov</v>
      </c>
      <c r="I8563" t="str">
        <f>RIGHT(Cpi_[[#This Row],[Year]],2)</f>
        <v>21</v>
      </c>
      <c r="J8563" t="str">
        <f>Cpi_[[#This Row],[Column3]]&amp;"-"&amp;Cpi_[[#This Row],[Column4]]</f>
        <v>Nov-21</v>
      </c>
    </row>
    <row r="8564" spans="1:10" x14ac:dyDescent="0.3">
      <c r="A8564" t="s">
        <v>34</v>
      </c>
      <c r="B8564">
        <v>2021</v>
      </c>
      <c r="C8564" t="s">
        <v>45</v>
      </c>
      <c r="D8564" t="s">
        <v>6</v>
      </c>
      <c r="E8564" t="e">
        <f>VLOOKUP(Cpi_[[#This Row],[Attribute]],#REF!,2,FALSE)</f>
        <v>#REF!</v>
      </c>
      <c r="F8564">
        <v>159.30000000000001</v>
      </c>
      <c r="G8564" s="42">
        <f>(Cpi_[[#This Row],[Value]]-F8563)/F8563</f>
        <v>-7.9190751445086638E-2</v>
      </c>
      <c r="H8564" t="str">
        <f>LEFT(Cpi_[[#This Row],[Month]],3)</f>
        <v>Nov</v>
      </c>
      <c r="I8564" t="str">
        <f>RIGHT(Cpi_[[#This Row],[Year]],2)</f>
        <v>21</v>
      </c>
      <c r="J8564" t="str">
        <f>Cpi_[[#This Row],[Column3]]&amp;"-"&amp;Cpi_[[#This Row],[Column4]]</f>
        <v>Nov-21</v>
      </c>
    </row>
    <row r="8565" spans="1:10" x14ac:dyDescent="0.3">
      <c r="A8565" t="s">
        <v>34</v>
      </c>
      <c r="B8565">
        <v>2021</v>
      </c>
      <c r="C8565" t="s">
        <v>45</v>
      </c>
      <c r="D8565" t="s">
        <v>7</v>
      </c>
      <c r="E8565" t="e">
        <f>VLOOKUP(Cpi_[[#This Row],[Attribute]],#REF!,2,FALSE)</f>
        <v>#REF!</v>
      </c>
      <c r="F8565">
        <v>190.1</v>
      </c>
      <c r="G8565" s="42">
        <f>(Cpi_[[#This Row],[Value]]-F8564)/F8564</f>
        <v>0.19334588826114238</v>
      </c>
      <c r="H8565" t="str">
        <f>LEFT(Cpi_[[#This Row],[Month]],3)</f>
        <v>Nov</v>
      </c>
      <c r="I8565" t="str">
        <f>RIGHT(Cpi_[[#This Row],[Year]],2)</f>
        <v>21</v>
      </c>
      <c r="J8565" t="str">
        <f>Cpi_[[#This Row],[Column3]]&amp;"-"&amp;Cpi_[[#This Row],[Column4]]</f>
        <v>Nov-21</v>
      </c>
    </row>
    <row r="8566" spans="1:10" x14ac:dyDescent="0.3">
      <c r="A8566" t="s">
        <v>34</v>
      </c>
      <c r="B8566">
        <v>2021</v>
      </c>
      <c r="C8566" t="s">
        <v>45</v>
      </c>
      <c r="D8566" t="s">
        <v>8</v>
      </c>
      <c r="E8566" t="e">
        <f>VLOOKUP(Cpi_[[#This Row],[Attribute]],#REF!,2,FALSE)</f>
        <v>#REF!</v>
      </c>
      <c r="F8566">
        <v>156.5</v>
      </c>
      <c r="G8566" s="42">
        <f>(Cpi_[[#This Row],[Value]]-F8565)/F8565</f>
        <v>-0.17674907943187793</v>
      </c>
      <c r="H8566" t="str">
        <f>LEFT(Cpi_[[#This Row],[Month]],3)</f>
        <v>Nov</v>
      </c>
      <c r="I8566" t="str">
        <f>RIGHT(Cpi_[[#This Row],[Year]],2)</f>
        <v>21</v>
      </c>
      <c r="J8566" t="str">
        <f>Cpi_[[#This Row],[Column3]]&amp;"-"&amp;Cpi_[[#This Row],[Column4]]</f>
        <v>Nov-21</v>
      </c>
    </row>
    <row r="8567" spans="1:10" x14ac:dyDescent="0.3">
      <c r="A8567" t="s">
        <v>34</v>
      </c>
      <c r="B8567">
        <v>2021</v>
      </c>
      <c r="C8567" t="s">
        <v>45</v>
      </c>
      <c r="D8567" t="s">
        <v>9</v>
      </c>
      <c r="E8567" t="e">
        <f>VLOOKUP(Cpi_[[#This Row],[Attribute]],#REF!,2,FALSE)</f>
        <v>#REF!</v>
      </c>
      <c r="F8567">
        <v>199.2</v>
      </c>
      <c r="G8567" s="42">
        <f>(Cpi_[[#This Row],[Value]]-F8566)/F8566</f>
        <v>0.27284345047923314</v>
      </c>
      <c r="H8567" t="str">
        <f>LEFT(Cpi_[[#This Row],[Month]],3)</f>
        <v>Nov</v>
      </c>
      <c r="I8567" t="str">
        <f>RIGHT(Cpi_[[#This Row],[Year]],2)</f>
        <v>21</v>
      </c>
      <c r="J8567" t="str">
        <f>Cpi_[[#This Row],[Column3]]&amp;"-"&amp;Cpi_[[#This Row],[Column4]]</f>
        <v>Nov-21</v>
      </c>
    </row>
    <row r="8568" spans="1:10" x14ac:dyDescent="0.3">
      <c r="A8568" t="s">
        <v>34</v>
      </c>
      <c r="B8568">
        <v>2021</v>
      </c>
      <c r="C8568" t="s">
        <v>45</v>
      </c>
      <c r="D8568" t="s">
        <v>10</v>
      </c>
      <c r="E8568" t="e">
        <f>VLOOKUP(Cpi_[[#This Row],[Attribute]],#REF!,2,FALSE)</f>
        <v>#REF!</v>
      </c>
      <c r="F8568">
        <v>165.3</v>
      </c>
      <c r="G8568" s="42">
        <f>(Cpi_[[#This Row],[Value]]-F8567)/F8567</f>
        <v>-0.17018072289156616</v>
      </c>
      <c r="H8568" t="str">
        <f>LEFT(Cpi_[[#This Row],[Month]],3)</f>
        <v>Nov</v>
      </c>
      <c r="I8568" t="str">
        <f>RIGHT(Cpi_[[#This Row],[Year]],2)</f>
        <v>21</v>
      </c>
      <c r="J8568" t="str">
        <f>Cpi_[[#This Row],[Column3]]&amp;"-"&amp;Cpi_[[#This Row],[Column4]]</f>
        <v>Nov-21</v>
      </c>
    </row>
    <row r="8569" spans="1:10" x14ac:dyDescent="0.3">
      <c r="A8569" t="s">
        <v>34</v>
      </c>
      <c r="B8569">
        <v>2021</v>
      </c>
      <c r="C8569" t="s">
        <v>45</v>
      </c>
      <c r="D8569" t="s">
        <v>11</v>
      </c>
      <c r="E8569" t="e">
        <f>VLOOKUP(Cpi_[[#This Row],[Attribute]],#REF!,2,FALSE)</f>
        <v>#REF!</v>
      </c>
      <c r="F8569">
        <v>122.4</v>
      </c>
      <c r="G8569" s="42">
        <f>(Cpi_[[#This Row],[Value]]-F8568)/F8568</f>
        <v>-0.25952813067150637</v>
      </c>
      <c r="H8569" t="str">
        <f>LEFT(Cpi_[[#This Row],[Month]],3)</f>
        <v>Nov</v>
      </c>
      <c r="I8569" t="str">
        <f>RIGHT(Cpi_[[#This Row],[Year]],2)</f>
        <v>21</v>
      </c>
      <c r="J8569" t="str">
        <f>Cpi_[[#This Row],[Column3]]&amp;"-"&amp;Cpi_[[#This Row],[Column4]]</f>
        <v>Nov-21</v>
      </c>
    </row>
    <row r="8570" spans="1:10" x14ac:dyDescent="0.3">
      <c r="A8570" t="s">
        <v>34</v>
      </c>
      <c r="B8570">
        <v>2021</v>
      </c>
      <c r="C8570" t="s">
        <v>45</v>
      </c>
      <c r="D8570" t="s">
        <v>12</v>
      </c>
      <c r="E8570" t="e">
        <f>VLOOKUP(Cpi_[[#This Row],[Attribute]],#REF!,2,FALSE)</f>
        <v>#REF!</v>
      </c>
      <c r="F8570">
        <v>169.6</v>
      </c>
      <c r="G8570" s="42">
        <f>(Cpi_[[#This Row],[Value]]-F8569)/F8569</f>
        <v>0.38562091503267965</v>
      </c>
      <c r="H8570" t="str">
        <f>LEFT(Cpi_[[#This Row],[Month]],3)</f>
        <v>Nov</v>
      </c>
      <c r="I8570" t="str">
        <f>RIGHT(Cpi_[[#This Row],[Year]],2)</f>
        <v>21</v>
      </c>
      <c r="J8570" t="str">
        <f>Cpi_[[#This Row],[Column3]]&amp;"-"&amp;Cpi_[[#This Row],[Column4]]</f>
        <v>Nov-21</v>
      </c>
    </row>
    <row r="8571" spans="1:10" x14ac:dyDescent="0.3">
      <c r="A8571" t="s">
        <v>34</v>
      </c>
      <c r="B8571">
        <v>2021</v>
      </c>
      <c r="C8571" t="s">
        <v>45</v>
      </c>
      <c r="D8571" t="s">
        <v>13</v>
      </c>
      <c r="E8571" t="e">
        <f>VLOOKUP(Cpi_[[#This Row],[Attribute]],#REF!,2,FALSE)</f>
        <v>#REF!</v>
      </c>
      <c r="F8571">
        <v>163.69999999999999</v>
      </c>
      <c r="G8571" s="42">
        <f>(Cpi_[[#This Row],[Value]]-F8570)/F8570</f>
        <v>-3.4787735849056638E-2</v>
      </c>
      <c r="H8571" t="str">
        <f>LEFT(Cpi_[[#This Row],[Month]],3)</f>
        <v>Nov</v>
      </c>
      <c r="I8571" t="str">
        <f>RIGHT(Cpi_[[#This Row],[Year]],2)</f>
        <v>21</v>
      </c>
      <c r="J8571" t="str">
        <f>Cpi_[[#This Row],[Column3]]&amp;"-"&amp;Cpi_[[#This Row],[Column4]]</f>
        <v>Nov-21</v>
      </c>
    </row>
    <row r="8572" spans="1:10" x14ac:dyDescent="0.3">
      <c r="A8572" t="s">
        <v>34</v>
      </c>
      <c r="B8572">
        <v>2021</v>
      </c>
      <c r="C8572" t="s">
        <v>45</v>
      </c>
      <c r="D8572" t="s">
        <v>14</v>
      </c>
      <c r="E8572" t="e">
        <f>VLOOKUP(Cpi_[[#This Row],[Attribute]],#REF!,2,FALSE)</f>
        <v>#REF!</v>
      </c>
      <c r="F8572">
        <v>175.5</v>
      </c>
      <c r="G8572" s="42">
        <f>(Cpi_[[#This Row],[Value]]-F8571)/F8571</f>
        <v>7.2083078802687925E-2</v>
      </c>
      <c r="H8572" t="str">
        <f>LEFT(Cpi_[[#This Row],[Month]],3)</f>
        <v>Nov</v>
      </c>
      <c r="I8572" t="str">
        <f>RIGHT(Cpi_[[#This Row],[Year]],2)</f>
        <v>21</v>
      </c>
      <c r="J8572" t="str">
        <f>Cpi_[[#This Row],[Column3]]&amp;"-"&amp;Cpi_[[#This Row],[Column4]]</f>
        <v>Nov-21</v>
      </c>
    </row>
    <row r="8573" spans="1:10" x14ac:dyDescent="0.3">
      <c r="A8573" t="s">
        <v>34</v>
      </c>
      <c r="B8573">
        <v>2021</v>
      </c>
      <c r="C8573" t="s">
        <v>45</v>
      </c>
      <c r="D8573" t="s">
        <v>15</v>
      </c>
      <c r="E8573" t="e">
        <f>VLOOKUP(Cpi_[[#This Row],[Attribute]],#REF!,2,FALSE)</f>
        <v>#REF!</v>
      </c>
      <c r="F8573">
        <v>169.7</v>
      </c>
      <c r="G8573" s="42">
        <f>(Cpi_[[#This Row],[Value]]-F8572)/F8572</f>
        <v>-3.3048433048433114E-2</v>
      </c>
      <c r="H8573" t="str">
        <f>LEFT(Cpi_[[#This Row],[Month]],3)</f>
        <v>Nov</v>
      </c>
      <c r="I8573" t="str">
        <f>RIGHT(Cpi_[[#This Row],[Year]],2)</f>
        <v>21</v>
      </c>
      <c r="J8573" t="str">
        <f>Cpi_[[#This Row],[Column3]]&amp;"-"&amp;Cpi_[[#This Row],[Column4]]</f>
        <v>Nov-21</v>
      </c>
    </row>
    <row r="8574" spans="1:10" hidden="1" x14ac:dyDescent="0.3">
      <c r="A8574" t="s">
        <v>34</v>
      </c>
      <c r="B8574">
        <v>2021</v>
      </c>
      <c r="C8574" t="s">
        <v>45</v>
      </c>
      <c r="D8574" t="s">
        <v>16</v>
      </c>
      <c r="E8574" t="e">
        <f>VLOOKUP(Cpi_[[#This Row],[Attribute]],#REF!,2,FALSE)</f>
        <v>#REF!</v>
      </c>
      <c r="F8574">
        <v>192.9</v>
      </c>
      <c r="G8574">
        <f>(Cpi_[[#This Row],[Value]]-F8573)/F8573</f>
        <v>0.13671184443134954</v>
      </c>
      <c r="H8574" t="e" cm="1" vm="1">
        <f t="array" aca="1" ref="H8574" ca="1">VLOOKUP(Cpi_[[#This Row],[Year]:[Month]],crudeoil[],3,FALSE)</f>
        <v>#VALUE!</v>
      </c>
    </row>
    <row r="8575" spans="1:10" hidden="1" x14ac:dyDescent="0.3">
      <c r="A8575" t="s">
        <v>34</v>
      </c>
      <c r="B8575">
        <v>2021</v>
      </c>
      <c r="C8575" t="s">
        <v>45</v>
      </c>
      <c r="D8575" t="s">
        <v>17</v>
      </c>
      <c r="E8575" t="e">
        <f>VLOOKUP(Cpi_[[#This Row],[Attribute]],#REF!,2,FALSE)</f>
        <v>#REF!</v>
      </c>
      <c r="F8575">
        <v>167.2</v>
      </c>
      <c r="G8575">
        <f>(Cpi_[[#This Row],[Value]]-F8574)/F8574</f>
        <v>-0.13322965266977718</v>
      </c>
      <c r="H8575" t="e" cm="1" vm="1">
        <f t="array" aca="1" ref="H8575" ca="1">VLOOKUP(Cpi_[[#This Row],[Year]:[Month]],crudeoil[],3,FALSE)</f>
        <v>#VALUE!</v>
      </c>
    </row>
    <row r="8576" spans="1:10" hidden="1" x14ac:dyDescent="0.3">
      <c r="A8576" t="s">
        <v>34</v>
      </c>
      <c r="B8576">
        <v>2021</v>
      </c>
      <c r="C8576" t="s">
        <v>45</v>
      </c>
      <c r="D8576" t="s">
        <v>18</v>
      </c>
      <c r="E8576" t="e">
        <f>VLOOKUP(Cpi_[[#This Row],[Attribute]],#REF!,2,FALSE)</f>
        <v>#REF!</v>
      </c>
      <c r="F8576">
        <v>157.4</v>
      </c>
      <c r="G8576">
        <f>(Cpi_[[#This Row],[Value]]-F8575)/F8575</f>
        <v>-5.8612440191387463E-2</v>
      </c>
      <c r="H8576" t="e" cm="1" vm="1">
        <f t="array" aca="1" ref="H8576" ca="1">VLOOKUP(Cpi_[[#This Row],[Year]:[Month]],crudeoil[],3,FALSE)</f>
        <v>#VALUE!</v>
      </c>
    </row>
    <row r="8577" spans="1:8" hidden="1" x14ac:dyDescent="0.3">
      <c r="A8577" t="s">
        <v>34</v>
      </c>
      <c r="B8577">
        <v>2021</v>
      </c>
      <c r="C8577" t="s">
        <v>45</v>
      </c>
      <c r="D8577" t="s">
        <v>19</v>
      </c>
      <c r="E8577" t="e">
        <f>VLOOKUP(Cpi_[[#This Row],[Attribute]],#REF!,2,FALSE)</f>
        <v>#REF!</v>
      </c>
      <c r="F8577">
        <v>165.8</v>
      </c>
      <c r="G8577">
        <f>(Cpi_[[#This Row],[Value]]-F8576)/F8576</f>
        <v>5.3367217280813249E-2</v>
      </c>
      <c r="H8577" t="e" cm="1" vm="1">
        <f t="array" aca="1" ref="H8577" ca="1">VLOOKUP(Cpi_[[#This Row],[Year]:[Month]],crudeoil[],3,FALSE)</f>
        <v>#VALUE!</v>
      </c>
    </row>
    <row r="8578" spans="1:8" hidden="1" x14ac:dyDescent="0.3">
      <c r="A8578" t="s">
        <v>34</v>
      </c>
      <c r="B8578">
        <v>2021</v>
      </c>
      <c r="C8578" t="s">
        <v>45</v>
      </c>
      <c r="D8578" t="s">
        <v>20</v>
      </c>
      <c r="E8578" t="e">
        <f>VLOOKUP(Cpi_[[#This Row],[Attribute]],#REF!,2,FALSE)</f>
        <v>#REF!</v>
      </c>
      <c r="F8578">
        <v>164.2</v>
      </c>
      <c r="G8578">
        <f>(Cpi_[[#This Row],[Value]]-F8577)/F8577</f>
        <v>-9.6501809408927781E-3</v>
      </c>
      <c r="H8578" t="e" cm="1" vm="1">
        <f t="array" aca="1" ref="H8578" ca="1">VLOOKUP(Cpi_[[#This Row],[Year]:[Month]],crudeoil[],3,FALSE)</f>
        <v>#VALUE!</v>
      </c>
    </row>
    <row r="8579" spans="1:8" hidden="1" x14ac:dyDescent="0.3">
      <c r="A8579" t="s">
        <v>34</v>
      </c>
      <c r="B8579">
        <v>2021</v>
      </c>
      <c r="C8579" t="s">
        <v>45</v>
      </c>
      <c r="D8579" t="s">
        <v>21</v>
      </c>
      <c r="E8579" t="e">
        <f>VLOOKUP(Cpi_[[#This Row],[Attribute]],#REF!,2,FALSE)</f>
        <v>#REF!</v>
      </c>
      <c r="F8579">
        <v>163.9</v>
      </c>
      <c r="G8579">
        <f>(Cpi_[[#This Row],[Value]]-F8578)/F8578</f>
        <v>-1.8270401948841837E-3</v>
      </c>
      <c r="H8579" t="e" cm="1" vm="1">
        <f t="array" aca="1" ref="H8579" ca="1">VLOOKUP(Cpi_[[#This Row],[Year]:[Month]],crudeoil[],3,FALSE)</f>
        <v>#VALUE!</v>
      </c>
    </row>
    <row r="8580" spans="1:8" hidden="1" x14ac:dyDescent="0.3">
      <c r="A8580" t="s">
        <v>34</v>
      </c>
      <c r="B8580">
        <v>2021</v>
      </c>
      <c r="C8580" t="s">
        <v>45</v>
      </c>
      <c r="D8580" t="s">
        <v>22</v>
      </c>
      <c r="E8580" t="e">
        <f>VLOOKUP(Cpi_[[#This Row],[Attribute]],#REF!,2,FALSE)</f>
        <v>#REF!</v>
      </c>
      <c r="F8580">
        <v>159.30000000000001</v>
      </c>
      <c r="G8580">
        <f>(Cpi_[[#This Row],[Value]]-F8579)/F8579</f>
        <v>-2.8065893837705882E-2</v>
      </c>
      <c r="H8580" t="e" cm="1" vm="1">
        <f t="array" aca="1" ref="H8580" ca="1">VLOOKUP(Cpi_[[#This Row],[Year]:[Month]],crudeoil[],3,FALSE)</f>
        <v>#VALUE!</v>
      </c>
    </row>
    <row r="8581" spans="1:8" hidden="1" x14ac:dyDescent="0.3">
      <c r="A8581" t="s">
        <v>34</v>
      </c>
      <c r="B8581">
        <v>2021</v>
      </c>
      <c r="C8581" t="s">
        <v>45</v>
      </c>
      <c r="D8581" t="s">
        <v>23</v>
      </c>
      <c r="E8581" t="e">
        <f>VLOOKUP(Cpi_[[#This Row],[Attribute]],#REF!,2,FALSE)</f>
        <v>#REF!</v>
      </c>
      <c r="F8581">
        <v>169.9</v>
      </c>
      <c r="G8581">
        <f>(Cpi_[[#This Row],[Value]]-F8580)/F8580</f>
        <v>6.6541117388574975E-2</v>
      </c>
      <c r="H8581" t="e" cm="1" vm="1">
        <f t="array" aca="1" ref="H8581" ca="1">VLOOKUP(Cpi_[[#This Row],[Year]:[Month]],crudeoil[],3,FALSE)</f>
        <v>#VALUE!</v>
      </c>
    </row>
    <row r="8582" spans="1:8" hidden="1" x14ac:dyDescent="0.3">
      <c r="A8582" t="s">
        <v>34</v>
      </c>
      <c r="B8582">
        <v>2021</v>
      </c>
      <c r="C8582" t="s">
        <v>45</v>
      </c>
      <c r="D8582" t="s">
        <v>24</v>
      </c>
      <c r="E8582" t="e">
        <f>VLOOKUP(Cpi_[[#This Row],[Attribute]],#REF!,2,FALSE)</f>
        <v>#REF!</v>
      </c>
      <c r="F8582">
        <v>154.80000000000001</v>
      </c>
      <c r="G8582">
        <f>(Cpi_[[#This Row],[Value]]-F8581)/F8581</f>
        <v>-8.8875809299587952E-2</v>
      </c>
      <c r="H8582" t="e" cm="1" vm="1">
        <f t="array" aca="1" ref="H8582" ca="1">VLOOKUP(Cpi_[[#This Row],[Year]:[Month]],crudeoil[],3,FALSE)</f>
        <v>#VALUE!</v>
      </c>
    </row>
    <row r="8583" spans="1:8" hidden="1" x14ac:dyDescent="0.3">
      <c r="A8583" t="s">
        <v>34</v>
      </c>
      <c r="B8583">
        <v>2021</v>
      </c>
      <c r="C8583" t="s">
        <v>45</v>
      </c>
      <c r="D8583" t="s">
        <v>25</v>
      </c>
      <c r="E8583" t="e">
        <f>VLOOKUP(Cpi_[[#This Row],[Attribute]],#REF!,2,FALSE)</f>
        <v>#REF!</v>
      </c>
      <c r="F8583">
        <v>159.80000000000001</v>
      </c>
      <c r="G8583">
        <f>(Cpi_[[#This Row],[Value]]-F8582)/F8582</f>
        <v>3.2299741602067181E-2</v>
      </c>
      <c r="H8583" t="e" cm="1" vm="1">
        <f t="array" aca="1" ref="H8583" ca="1">VLOOKUP(Cpi_[[#This Row],[Year]:[Month]],crudeoil[],3,FALSE)</f>
        <v>#VALUE!</v>
      </c>
    </row>
    <row r="8584" spans="1:8" hidden="1" x14ac:dyDescent="0.3">
      <c r="A8584" t="s">
        <v>34</v>
      </c>
      <c r="B8584">
        <v>2021</v>
      </c>
      <c r="C8584" t="s">
        <v>45</v>
      </c>
      <c r="D8584" t="s">
        <v>26</v>
      </c>
      <c r="E8584" t="e">
        <f>VLOOKUP(Cpi_[[#This Row],[Attribute]],#REF!,2,FALSE)</f>
        <v>#REF!</v>
      </c>
      <c r="F8584">
        <v>164.3</v>
      </c>
      <c r="G8584">
        <f>(Cpi_[[#This Row],[Value]]-F8583)/F8583</f>
        <v>2.8160200250312888E-2</v>
      </c>
      <c r="H8584" t="e" cm="1" vm="1">
        <f t="array" aca="1" ref="H8584" ca="1">VLOOKUP(Cpi_[[#This Row],[Year]:[Month]],crudeoil[],3,FALSE)</f>
        <v>#VALUE!</v>
      </c>
    </row>
    <row r="8585" spans="1:8" hidden="1" x14ac:dyDescent="0.3">
      <c r="A8585" t="s">
        <v>34</v>
      </c>
      <c r="B8585">
        <v>2021</v>
      </c>
      <c r="C8585" t="s">
        <v>45</v>
      </c>
      <c r="D8585" t="s">
        <v>27</v>
      </c>
      <c r="E8585" t="e">
        <f>VLOOKUP(Cpi_[[#This Row],[Attribute]],#REF!,2,FALSE)</f>
        <v>#REF!</v>
      </c>
      <c r="F8585">
        <v>162.19999999999999</v>
      </c>
      <c r="G8585">
        <f>(Cpi_[[#This Row],[Value]]-F8584)/F8584</f>
        <v>-1.2781497261107867E-2</v>
      </c>
      <c r="H8585" t="e" cm="1" vm="1">
        <f t="array" aca="1" ref="H8585" ca="1">VLOOKUP(Cpi_[[#This Row],[Year]:[Month]],crudeoil[],3,FALSE)</f>
        <v>#VALUE!</v>
      </c>
    </row>
    <row r="8586" spans="1:8" hidden="1" x14ac:dyDescent="0.3">
      <c r="A8586" t="s">
        <v>34</v>
      </c>
      <c r="B8586">
        <v>2021</v>
      </c>
      <c r="C8586" t="s">
        <v>45</v>
      </c>
      <c r="D8586" t="s">
        <v>28</v>
      </c>
      <c r="E8586" t="e">
        <f>VLOOKUP(Cpi_[[#This Row],[Attribute]],#REF!,2,FALSE)</f>
        <v>#REF!</v>
      </c>
      <c r="F8586">
        <v>161.4</v>
      </c>
      <c r="G8586">
        <f>(Cpi_[[#This Row],[Value]]-F8585)/F8585</f>
        <v>-4.9321824907520529E-3</v>
      </c>
      <c r="H8586" t="e" cm="1" vm="1">
        <f t="array" aca="1" ref="H8586" ca="1">VLOOKUP(Cpi_[[#This Row],[Year]:[Month]],crudeoil[],3,FALSE)</f>
        <v>#VALUE!</v>
      </c>
    </row>
    <row r="8587" spans="1:8" hidden="1" x14ac:dyDescent="0.3">
      <c r="A8587" t="s">
        <v>34</v>
      </c>
      <c r="B8587">
        <v>2021</v>
      </c>
      <c r="C8587" t="s">
        <v>45</v>
      </c>
      <c r="D8587" t="s">
        <v>29</v>
      </c>
      <c r="E8587" t="e" cm="1">
        <f t="array" aca="1" ref="E8587" ca="1">VLGeneral indexGeneral indexKUP(Cpi_[[#This Row],[Attribute]],#REF!,2,FALSE)</f>
        <v>#NAME?</v>
      </c>
      <c r="F8587">
        <v>166.7</v>
      </c>
      <c r="G8587">
        <f>(Cpi_[[#This Row],[Value]]-F8586)/F8586</f>
        <v>3.2837670384138679E-2</v>
      </c>
      <c r="H8587" t="e" cm="1" vm="1">
        <f t="array" aca="1" ref="H8587" ca="1">VLOOKUP(Cpi_[[#This Row],[Year]:[Month]],crudeoil[],3,FALSE)</f>
        <v>#VALUE!</v>
      </c>
    </row>
    <row r="8588" spans="1:8" hidden="1" x14ac:dyDescent="0.3">
      <c r="A8588" t="s">
        <v>30</v>
      </c>
      <c r="B8588">
        <v>2021</v>
      </c>
      <c r="C8588" t="s">
        <v>46</v>
      </c>
      <c r="D8588" t="s">
        <v>3</v>
      </c>
      <c r="E8588" t="e">
        <f>VLOOKUP(Cpi_[[#This Row],[Attribute]],#REF!,2,FALSE)</f>
        <v>#REF!</v>
      </c>
      <c r="F8588">
        <v>147.4</v>
      </c>
      <c r="G8588">
        <f>(Cpi_[[#This Row],[Value]]-F8587)/F8587</f>
        <v>-0.1157768446310737</v>
      </c>
      <c r="H8588" t="e" cm="1" vm="1">
        <f t="array" aca="1" ref="H8588" ca="1">VLOOKUP(Cpi_[[#This Row],[Year]:[Month]],crudeoil[],3,FALSE)</f>
        <v>#VALUE!</v>
      </c>
    </row>
    <row r="8589" spans="1:8" hidden="1" x14ac:dyDescent="0.3">
      <c r="A8589" t="s">
        <v>30</v>
      </c>
      <c r="B8589">
        <v>2021</v>
      </c>
      <c r="C8589" t="s">
        <v>46</v>
      </c>
      <c r="D8589" t="s">
        <v>4</v>
      </c>
      <c r="E8589" t="e">
        <f>VLOOKUP(Cpi_[[#This Row],[Attribute]],#REF!,2,FALSE)</f>
        <v>#REF!</v>
      </c>
      <c r="F8589">
        <v>197</v>
      </c>
      <c r="G8589">
        <f>(Cpi_[[#This Row],[Value]]-F8588)/F8588</f>
        <v>0.33649932157394841</v>
      </c>
      <c r="H8589" t="e" cm="1" vm="1">
        <f t="array" aca="1" ref="H8589" ca="1">VLOOKUP(Cpi_[[#This Row],[Year]:[Month]],crudeoil[],3,FALSE)</f>
        <v>#VALUE!</v>
      </c>
    </row>
    <row r="8590" spans="1:8" hidden="1" x14ac:dyDescent="0.3">
      <c r="A8590" t="s">
        <v>30</v>
      </c>
      <c r="B8590">
        <v>2021</v>
      </c>
      <c r="C8590" t="s">
        <v>46</v>
      </c>
      <c r="D8590" t="s">
        <v>5</v>
      </c>
      <c r="E8590" t="e">
        <f>VLOOKUP(Cpi_[[#This Row],[Attribute]],#REF!,2,FALSE)</f>
        <v>#REF!</v>
      </c>
      <c r="F8590">
        <v>176.5</v>
      </c>
      <c r="G8590">
        <f>(Cpi_[[#This Row],[Value]]-F8589)/F8589</f>
        <v>-0.10406091370558376</v>
      </c>
      <c r="H8590" t="e" cm="1" vm="1">
        <f t="array" aca="1" ref="H8590" ca="1">VLOOKUP(Cpi_[[#This Row],[Year]:[Month]],crudeoil[],3,FALSE)</f>
        <v>#VALUE!</v>
      </c>
    </row>
    <row r="8591" spans="1:8" hidden="1" x14ac:dyDescent="0.3">
      <c r="A8591" t="s">
        <v>30</v>
      </c>
      <c r="B8591">
        <v>2021</v>
      </c>
      <c r="C8591" t="s">
        <v>46</v>
      </c>
      <c r="D8591" t="s">
        <v>6</v>
      </c>
      <c r="E8591" t="e">
        <f>VLOOKUP(Cpi_[[#This Row],[Attribute]],#REF!,2,FALSE)</f>
        <v>#REF!</v>
      </c>
      <c r="F8591">
        <v>159.80000000000001</v>
      </c>
      <c r="G8591">
        <f>(Cpi_[[#This Row],[Value]]-F8590)/F8590</f>
        <v>-9.4617563739376701E-2</v>
      </c>
      <c r="H8591" t="e" cm="1" vm="1">
        <f t="array" aca="1" ref="H8591" ca="1">VLOOKUP(Cpi_[[#This Row],[Year]:[Month]],crudeoil[],3,FALSE)</f>
        <v>#VALUE!</v>
      </c>
    </row>
    <row r="8592" spans="1:8" hidden="1" x14ac:dyDescent="0.3">
      <c r="A8592" t="s">
        <v>30</v>
      </c>
      <c r="B8592">
        <v>2021</v>
      </c>
      <c r="C8592" t="s">
        <v>46</v>
      </c>
      <c r="D8592" t="s">
        <v>7</v>
      </c>
      <c r="E8592" t="e">
        <f>VLOOKUP(Cpi_[[#This Row],[Attribute]],#REF!,2,FALSE)</f>
        <v>#REF!</v>
      </c>
      <c r="F8592">
        <v>195.8</v>
      </c>
      <c r="G8592">
        <f>(Cpi_[[#This Row],[Value]]-F8591)/F8591</f>
        <v>0.22528160200250311</v>
      </c>
      <c r="H8592" t="e" cm="1" vm="1">
        <f t="array" aca="1" ref="H8592" ca="1">VLOOKUP(Cpi_[[#This Row],[Year]:[Month]],crudeoil[],3,FALSE)</f>
        <v>#VALUE!</v>
      </c>
    </row>
    <row r="8593" spans="1:8" hidden="1" x14ac:dyDescent="0.3">
      <c r="A8593" t="s">
        <v>30</v>
      </c>
      <c r="B8593">
        <v>2021</v>
      </c>
      <c r="C8593" t="s">
        <v>46</v>
      </c>
      <c r="D8593" t="s">
        <v>8</v>
      </c>
      <c r="E8593" t="e">
        <f>VLOOKUP(Cpi_[[#This Row],[Attribute]],#REF!,2,FALSE)</f>
        <v>#REF!</v>
      </c>
      <c r="F8593">
        <v>152</v>
      </c>
      <c r="G8593">
        <f>(Cpi_[[#This Row],[Value]]-F8592)/F8592</f>
        <v>-0.22369765066394284</v>
      </c>
      <c r="H8593" t="e" cm="1" vm="1">
        <f t="array" aca="1" ref="H8593" ca="1">VLOOKUP(Cpi_[[#This Row],[Year]:[Month]],crudeoil[],3,FALSE)</f>
        <v>#VALUE!</v>
      </c>
    </row>
    <row r="8594" spans="1:8" hidden="1" x14ac:dyDescent="0.3">
      <c r="A8594" t="s">
        <v>30</v>
      </c>
      <c r="B8594">
        <v>2021</v>
      </c>
      <c r="C8594" t="s">
        <v>46</v>
      </c>
      <c r="D8594" t="s">
        <v>9</v>
      </c>
      <c r="E8594" t="e">
        <f>VLOOKUP(Cpi_[[#This Row],[Attribute]],#REF!,2,FALSE)</f>
        <v>#REF!</v>
      </c>
      <c r="F8594">
        <v>172.3</v>
      </c>
      <c r="G8594">
        <f>(Cpi_[[#This Row],[Value]]-F8593)/F8593</f>
        <v>0.13355263157894745</v>
      </c>
      <c r="H8594" t="e" cm="1" vm="1">
        <f t="array" aca="1" ref="H8594" ca="1">VLOOKUP(Cpi_[[#This Row],[Year]:[Month]],crudeoil[],3,FALSE)</f>
        <v>#VALUE!</v>
      </c>
    </row>
    <row r="8595" spans="1:8" hidden="1" x14ac:dyDescent="0.3">
      <c r="A8595" t="s">
        <v>30</v>
      </c>
      <c r="B8595">
        <v>2021</v>
      </c>
      <c r="C8595" t="s">
        <v>46</v>
      </c>
      <c r="D8595" t="s">
        <v>10</v>
      </c>
      <c r="E8595" t="e">
        <f>VLOOKUP(Cpi_[[#This Row],[Attribute]],#REF!,2,FALSE)</f>
        <v>#REF!</v>
      </c>
      <c r="F8595">
        <v>164.5</v>
      </c>
      <c r="G8595">
        <f>(Cpi_[[#This Row],[Value]]-F8594)/F8594</f>
        <v>-4.5269878119558973E-2</v>
      </c>
      <c r="H8595" t="e" cm="1" vm="1">
        <f t="array" aca="1" ref="H8595" ca="1">VLOOKUP(Cpi_[[#This Row],[Year]:[Month]],crudeoil[],3,FALSE)</f>
        <v>#VALUE!</v>
      </c>
    </row>
    <row r="8596" spans="1:8" hidden="1" x14ac:dyDescent="0.3">
      <c r="A8596" t="s">
        <v>30</v>
      </c>
      <c r="B8596">
        <v>2021</v>
      </c>
      <c r="C8596" t="s">
        <v>46</v>
      </c>
      <c r="D8596" t="s">
        <v>11</v>
      </c>
      <c r="E8596" t="e">
        <f>VLOOKUP(Cpi_[[#This Row],[Attribute]],#REF!,2,FALSE)</f>
        <v>#REF!</v>
      </c>
      <c r="F8596">
        <v>120.6</v>
      </c>
      <c r="G8596">
        <f>(Cpi_[[#This Row],[Value]]-F8595)/F8595</f>
        <v>-0.26686930091185412</v>
      </c>
      <c r="H8596" t="e" cm="1" vm="1">
        <f t="array" aca="1" ref="H8596" ca="1">VLOOKUP(Cpi_[[#This Row],[Year]:[Month]],crudeoil[],3,FALSE)</f>
        <v>#VALUE!</v>
      </c>
    </row>
    <row r="8597" spans="1:8" hidden="1" x14ac:dyDescent="0.3">
      <c r="A8597" t="s">
        <v>30</v>
      </c>
      <c r="B8597">
        <v>2021</v>
      </c>
      <c r="C8597" t="s">
        <v>46</v>
      </c>
      <c r="D8597" t="s">
        <v>12</v>
      </c>
      <c r="E8597" t="e">
        <f>VLOOKUP(Cpi_[[#This Row],[Attribute]],#REF!,2,FALSE)</f>
        <v>#REF!</v>
      </c>
      <c r="F8597">
        <v>171.7</v>
      </c>
      <c r="G8597">
        <f>(Cpi_[[#This Row],[Value]]-F8596)/F8596</f>
        <v>0.42371475953565502</v>
      </c>
      <c r="H8597" t="e" cm="1" vm="1">
        <f t="array" aca="1" ref="H8597" ca="1">VLOOKUP(Cpi_[[#This Row],[Year]:[Month]],crudeoil[],3,FALSE)</f>
        <v>#VALUE!</v>
      </c>
    </row>
    <row r="8598" spans="1:8" hidden="1" x14ac:dyDescent="0.3">
      <c r="A8598" t="s">
        <v>30</v>
      </c>
      <c r="B8598">
        <v>2021</v>
      </c>
      <c r="C8598" t="s">
        <v>46</v>
      </c>
      <c r="D8598" t="s">
        <v>13</v>
      </c>
      <c r="E8598" t="e">
        <f>VLOOKUP(Cpi_[[#This Row],[Attribute]],#REF!,2,FALSE)</f>
        <v>#REF!</v>
      </c>
      <c r="F8598">
        <v>169.7</v>
      </c>
      <c r="G8598">
        <f>(Cpi_[[#This Row],[Value]]-F8597)/F8597</f>
        <v>-1.1648223645894002E-2</v>
      </c>
      <c r="H8598" t="e" cm="1" vm="1">
        <f t="array" aca="1" ref="H8598" ca="1">VLOOKUP(Cpi_[[#This Row],[Year]:[Month]],crudeoil[],3,FALSE)</f>
        <v>#VALUE!</v>
      </c>
    </row>
    <row r="8599" spans="1:8" hidden="1" x14ac:dyDescent="0.3">
      <c r="A8599" t="s">
        <v>30</v>
      </c>
      <c r="B8599">
        <v>2021</v>
      </c>
      <c r="C8599" t="s">
        <v>46</v>
      </c>
      <c r="D8599" t="s">
        <v>14</v>
      </c>
      <c r="E8599" t="e">
        <f>VLOOKUP(Cpi_[[#This Row],[Attribute]],#REF!,2,FALSE)</f>
        <v>#REF!</v>
      </c>
      <c r="F8599">
        <v>175.1</v>
      </c>
      <c r="G8599">
        <f>(Cpi_[[#This Row],[Value]]-F8598)/F8598</f>
        <v>3.1820860341779646E-2</v>
      </c>
      <c r="H8599" t="e" cm="1" vm="1">
        <f t="array" aca="1" ref="H8599" ca="1">VLOOKUP(Cpi_[[#This Row],[Year]:[Month]],crudeoil[],3,FALSE)</f>
        <v>#VALUE!</v>
      </c>
    </row>
    <row r="8600" spans="1:8" hidden="1" x14ac:dyDescent="0.3">
      <c r="A8600" t="s">
        <v>30</v>
      </c>
      <c r="B8600">
        <v>2021</v>
      </c>
      <c r="C8600" t="s">
        <v>46</v>
      </c>
      <c r="D8600" t="s">
        <v>15</v>
      </c>
      <c r="E8600" t="e">
        <f>VLOOKUP(Cpi_[[#This Row],[Attribute]],#REF!,2,FALSE)</f>
        <v>#REF!</v>
      </c>
      <c r="F8600">
        <v>165.8</v>
      </c>
      <c r="G8600">
        <f>(Cpi_[[#This Row],[Value]]-F8599)/F8599</f>
        <v>-5.3112507138777743E-2</v>
      </c>
      <c r="H8600" t="e" cm="1" vm="1">
        <f t="array" aca="1" ref="H8600" ca="1">VLOOKUP(Cpi_[[#This Row],[Year]:[Month]],crudeoil[],3,FALSE)</f>
        <v>#VALUE!</v>
      </c>
    </row>
    <row r="8601" spans="1:8" hidden="1" x14ac:dyDescent="0.3">
      <c r="A8601" t="s">
        <v>30</v>
      </c>
      <c r="B8601">
        <v>2021</v>
      </c>
      <c r="C8601" t="s">
        <v>46</v>
      </c>
      <c r="D8601" t="s">
        <v>16</v>
      </c>
      <c r="E8601" t="e">
        <f>VLOOKUP(Cpi_[[#This Row],[Attribute]],#REF!,2,FALSE)</f>
        <v>#REF!</v>
      </c>
      <c r="F8601">
        <v>190.8</v>
      </c>
      <c r="G8601">
        <f>(Cpi_[[#This Row],[Value]]-F8600)/F8600</f>
        <v>0.15078407720144751</v>
      </c>
      <c r="H8601" t="e" cm="1" vm="1">
        <f t="array" aca="1" ref="H8601" ca="1">VLOOKUP(Cpi_[[#This Row],[Year]:[Month]],crudeoil[],3,FALSE)</f>
        <v>#VALUE!</v>
      </c>
    </row>
    <row r="8602" spans="1:8" hidden="1" x14ac:dyDescent="0.3">
      <c r="A8602" t="s">
        <v>30</v>
      </c>
      <c r="B8602">
        <v>2021</v>
      </c>
      <c r="C8602" t="s">
        <v>46</v>
      </c>
      <c r="D8602" t="s">
        <v>17</v>
      </c>
      <c r="E8602" t="e">
        <f>VLOOKUP(Cpi_[[#This Row],[Attribute]],#REF!,2,FALSE)</f>
        <v>#REF!</v>
      </c>
      <c r="F8602">
        <v>171.8</v>
      </c>
      <c r="G8602">
        <f>(Cpi_[[#This Row],[Value]]-F8601)/F8601</f>
        <v>-9.9580712788259945E-2</v>
      </c>
      <c r="H8602" t="e" cm="1" vm="1">
        <f t="array" aca="1" ref="H8602" ca="1">VLOOKUP(Cpi_[[#This Row],[Year]:[Month]],crudeoil[],3,FALSE)</f>
        <v>#VALUE!</v>
      </c>
    </row>
    <row r="8603" spans="1:8" hidden="1" x14ac:dyDescent="0.3">
      <c r="A8603" t="s">
        <v>30</v>
      </c>
      <c r="B8603">
        <v>2021</v>
      </c>
      <c r="C8603" t="s">
        <v>46</v>
      </c>
      <c r="D8603" t="s">
        <v>18</v>
      </c>
      <c r="E8603" t="e">
        <f>VLOOKUP(Cpi_[[#This Row],[Attribute]],#REF!,2,FALSE)</f>
        <v>#REF!</v>
      </c>
      <c r="F8603">
        <v>167.3</v>
      </c>
      <c r="G8603">
        <f>(Cpi_[[#This Row],[Value]]-F8602)/F8602</f>
        <v>-2.6193247962747378E-2</v>
      </c>
      <c r="H8603" t="e" cm="1" vm="1">
        <f t="array" aca="1" ref="H8603" ca="1">VLOOKUP(Cpi_[[#This Row],[Year]:[Month]],crudeoil[],3,FALSE)</f>
        <v>#VALUE!</v>
      </c>
    </row>
    <row r="8604" spans="1:8" hidden="1" x14ac:dyDescent="0.3">
      <c r="A8604" t="s">
        <v>30</v>
      </c>
      <c r="B8604">
        <v>2021</v>
      </c>
      <c r="C8604" t="s">
        <v>46</v>
      </c>
      <c r="D8604" t="s">
        <v>19</v>
      </c>
      <c r="E8604" t="e">
        <f>VLOOKUP(Cpi_[[#This Row],[Attribute]],#REF!,2,FALSE)</f>
        <v>#REF!</v>
      </c>
      <c r="F8604">
        <v>171.2</v>
      </c>
      <c r="G8604">
        <f>(Cpi_[[#This Row],[Value]]-F8603)/F8603</f>
        <v>2.3311416616855811E-2</v>
      </c>
      <c r="H8604" t="e" cm="1" vm="1">
        <f t="array" aca="1" ref="H8604" ca="1">VLOOKUP(Cpi_[[#This Row],[Year]:[Month]],crudeoil[],3,FALSE)</f>
        <v>#VALUE!</v>
      </c>
    </row>
    <row r="8605" spans="1:8" hidden="1" x14ac:dyDescent="0.3">
      <c r="A8605" t="s">
        <v>30</v>
      </c>
      <c r="B8605">
        <v>2021</v>
      </c>
      <c r="C8605" t="s">
        <v>46</v>
      </c>
      <c r="D8605" t="s">
        <v>20</v>
      </c>
      <c r="E8605" t="e">
        <f>VLOOKUP(Cpi_[[#This Row],[Attribute]],#REF!,2,FALSE)</f>
        <v>#REF!</v>
      </c>
      <c r="F8605" t="s">
        <v>32</v>
      </c>
      <c r="G8605" t="e">
        <f>(Cpi_[[#This Row],[Value]]-F8604)/F8604</f>
        <v>#VALUE!</v>
      </c>
      <c r="H8605" t="e" cm="1" vm="1">
        <f t="array" aca="1" ref="H8605" ca="1">VLOOKUP(Cpi_[[#This Row],[Year]:[Month]],crudeoil[],3,FALSE)</f>
        <v>#VALUE!</v>
      </c>
    </row>
    <row r="8606" spans="1:8" hidden="1" x14ac:dyDescent="0.3">
      <c r="A8606" t="s">
        <v>30</v>
      </c>
      <c r="B8606">
        <v>2021</v>
      </c>
      <c r="C8606" t="s">
        <v>46</v>
      </c>
      <c r="D8606" t="s">
        <v>21</v>
      </c>
      <c r="E8606" t="e">
        <f>VLOOKUP(Cpi_[[#This Row],[Attribute]],#REF!,2,FALSE)</f>
        <v>#REF!</v>
      </c>
      <c r="F8606">
        <v>165.6</v>
      </c>
      <c r="G8606" t="e">
        <f>(Cpi_[[#This Row],[Value]]-F8605)/F8605</f>
        <v>#VALUE!</v>
      </c>
      <c r="H8606" t="e" cm="1" vm="1">
        <f t="array" aca="1" ref="H8606" ca="1">VLOOKUP(Cpi_[[#This Row],[Year]:[Month]],crudeoil[],3,FALSE)</f>
        <v>#VALUE!</v>
      </c>
    </row>
    <row r="8607" spans="1:8" hidden="1" x14ac:dyDescent="0.3">
      <c r="A8607" t="s">
        <v>30</v>
      </c>
      <c r="B8607">
        <v>2021</v>
      </c>
      <c r="C8607" t="s">
        <v>46</v>
      </c>
      <c r="D8607" t="s">
        <v>22</v>
      </c>
      <c r="E8607" t="e">
        <f>VLOOKUP(Cpi_[[#This Row],[Attribute]],#REF!,2,FALSE)</f>
        <v>#REF!</v>
      </c>
      <c r="F8607">
        <v>163.9</v>
      </c>
      <c r="G8607">
        <f>(Cpi_[[#This Row],[Value]]-F8606)/F8606</f>
        <v>-1.0265700483091719E-2</v>
      </c>
      <c r="H8607" t="e" cm="1" vm="1">
        <f t="array" aca="1" ref="H8607" ca="1">VLOOKUP(Cpi_[[#This Row],[Year]:[Month]],crudeoil[],3,FALSE)</f>
        <v>#VALUE!</v>
      </c>
    </row>
    <row r="8608" spans="1:8" hidden="1" x14ac:dyDescent="0.3">
      <c r="A8608" t="s">
        <v>30</v>
      </c>
      <c r="B8608">
        <v>2021</v>
      </c>
      <c r="C8608" t="s">
        <v>46</v>
      </c>
      <c r="D8608" t="s">
        <v>23</v>
      </c>
      <c r="E8608" t="e">
        <f>VLOOKUP(Cpi_[[#This Row],[Attribute]],#REF!,2,FALSE)</f>
        <v>#REF!</v>
      </c>
      <c r="F8608">
        <v>174</v>
      </c>
      <c r="G8608">
        <f>(Cpi_[[#This Row],[Value]]-F8607)/F8607</f>
        <v>6.162294081757165E-2</v>
      </c>
      <c r="H8608" t="e" cm="1" vm="1">
        <f t="array" aca="1" ref="H8608" ca="1">VLOOKUP(Cpi_[[#This Row],[Year]:[Month]],crudeoil[],3,FALSE)</f>
        <v>#VALUE!</v>
      </c>
    </row>
    <row r="8609" spans="1:8" hidden="1" x14ac:dyDescent="0.3">
      <c r="A8609" t="s">
        <v>30</v>
      </c>
      <c r="B8609">
        <v>2021</v>
      </c>
      <c r="C8609" t="s">
        <v>46</v>
      </c>
      <c r="D8609" t="s">
        <v>24</v>
      </c>
      <c r="E8609" t="e">
        <f>VLOOKUP(Cpi_[[#This Row],[Attribute]],#REF!,2,FALSE)</f>
        <v>#REF!</v>
      </c>
      <c r="F8609">
        <v>160.1</v>
      </c>
      <c r="G8609">
        <f>(Cpi_[[#This Row],[Value]]-F8608)/F8608</f>
        <v>-7.9885057471264398E-2</v>
      </c>
      <c r="H8609" t="e" cm="1" vm="1">
        <f t="array" aca="1" ref="H8609" ca="1">VLOOKUP(Cpi_[[#This Row],[Year]:[Month]],crudeoil[],3,FALSE)</f>
        <v>#VALUE!</v>
      </c>
    </row>
    <row r="8610" spans="1:8" hidden="1" x14ac:dyDescent="0.3">
      <c r="A8610" t="s">
        <v>30</v>
      </c>
      <c r="B8610">
        <v>2021</v>
      </c>
      <c r="C8610" t="s">
        <v>46</v>
      </c>
      <c r="D8610" t="s">
        <v>25</v>
      </c>
      <c r="E8610" t="e">
        <f>VLOOKUP(Cpi_[[#This Row],[Attribute]],#REF!,2,FALSE)</f>
        <v>#REF!</v>
      </c>
      <c r="F8610">
        <v>164.5</v>
      </c>
      <c r="G8610">
        <f>(Cpi_[[#This Row],[Value]]-F8609)/F8609</f>
        <v>2.7482823235477863E-2</v>
      </c>
      <c r="H8610" t="e" cm="1" vm="1">
        <f t="array" aca="1" ref="H8610" ca="1">VLOOKUP(Cpi_[[#This Row],[Year]:[Month]],crudeoil[],3,FALSE)</f>
        <v>#VALUE!</v>
      </c>
    </row>
    <row r="8611" spans="1:8" hidden="1" x14ac:dyDescent="0.3">
      <c r="A8611" t="s">
        <v>30</v>
      </c>
      <c r="B8611">
        <v>2021</v>
      </c>
      <c r="C8611" t="s">
        <v>46</v>
      </c>
      <c r="D8611" t="s">
        <v>26</v>
      </c>
      <c r="E8611" t="e">
        <f>VLOOKUP(Cpi_[[#This Row],[Attribute]],#REF!,2,FALSE)</f>
        <v>#REF!</v>
      </c>
      <c r="F8611">
        <v>169.7</v>
      </c>
      <c r="G8611">
        <f>(Cpi_[[#This Row],[Value]]-F8610)/F8610</f>
        <v>3.1610942249240055E-2</v>
      </c>
      <c r="H8611" t="e" cm="1" vm="1">
        <f t="array" aca="1" ref="H8611" ca="1">VLOOKUP(Cpi_[[#This Row],[Year]:[Month]],crudeoil[],3,FALSE)</f>
        <v>#VALUE!</v>
      </c>
    </row>
    <row r="8612" spans="1:8" hidden="1" x14ac:dyDescent="0.3">
      <c r="A8612" t="s">
        <v>30</v>
      </c>
      <c r="B8612">
        <v>2021</v>
      </c>
      <c r="C8612" t="s">
        <v>46</v>
      </c>
      <c r="D8612" t="s">
        <v>27</v>
      </c>
      <c r="E8612" t="e">
        <f>VLOOKUP(Cpi_[[#This Row],[Attribute]],#REF!,2,FALSE)</f>
        <v>#REF!</v>
      </c>
      <c r="F8612">
        <v>162.80000000000001</v>
      </c>
      <c r="G8612">
        <f>(Cpi_[[#This Row],[Value]]-F8611)/F8611</f>
        <v>-4.065998821449604E-2</v>
      </c>
      <c r="H8612" t="e" cm="1" vm="1">
        <f t="array" aca="1" ref="H8612" ca="1">VLOOKUP(Cpi_[[#This Row],[Year]:[Month]],crudeoil[],3,FALSE)</f>
        <v>#VALUE!</v>
      </c>
    </row>
    <row r="8613" spans="1:8" hidden="1" x14ac:dyDescent="0.3">
      <c r="A8613" t="s">
        <v>30</v>
      </c>
      <c r="B8613">
        <v>2021</v>
      </c>
      <c r="C8613" t="s">
        <v>46</v>
      </c>
      <c r="D8613" t="s">
        <v>28</v>
      </c>
      <c r="E8613" t="e">
        <f>VLOOKUP(Cpi_[[#This Row],[Attribute]],#REF!,2,FALSE)</f>
        <v>#REF!</v>
      </c>
      <c r="F8613">
        <v>166</v>
      </c>
      <c r="G8613">
        <f>(Cpi_[[#This Row],[Value]]-F8612)/F8612</f>
        <v>1.9656019656019586E-2</v>
      </c>
      <c r="H8613" t="e" cm="1" vm="1">
        <f t="array" aca="1" ref="H8613" ca="1">VLOOKUP(Cpi_[[#This Row],[Year]:[Month]],crudeoil[],3,FALSE)</f>
        <v>#VALUE!</v>
      </c>
    </row>
    <row r="8614" spans="1:8" hidden="1" x14ac:dyDescent="0.3">
      <c r="A8614" t="s">
        <v>30</v>
      </c>
      <c r="B8614">
        <v>2021</v>
      </c>
      <c r="C8614" t="s">
        <v>46</v>
      </c>
      <c r="D8614" t="s">
        <v>29</v>
      </c>
      <c r="E8614" t="e" cm="1">
        <f t="array" aca="1" ref="E8614" ca="1">VLGeneral indexGeneral indexKUP(Cpi_[[#This Row],[Attribute]],#REF!,2,FALSE)</f>
        <v>#NAME?</v>
      </c>
      <c r="F8614">
        <v>167</v>
      </c>
      <c r="G8614">
        <f>(Cpi_[[#This Row],[Value]]-F8613)/F8613</f>
        <v>6.024096385542169E-3</v>
      </c>
      <c r="H8614" t="e" cm="1" vm="1">
        <f t="array" aca="1" ref="H8614" ca="1">VLOOKUP(Cpi_[[#This Row],[Year]:[Month]],crudeoil[],3,FALSE)</f>
        <v>#VALUE!</v>
      </c>
    </row>
    <row r="8615" spans="1:8" hidden="1" x14ac:dyDescent="0.3">
      <c r="A8615" t="s">
        <v>33</v>
      </c>
      <c r="B8615">
        <v>2021</v>
      </c>
      <c r="C8615" t="s">
        <v>46</v>
      </c>
      <c r="D8615" t="s">
        <v>3</v>
      </c>
      <c r="E8615" t="e">
        <f>VLOOKUP(Cpi_[[#This Row],[Attribute]],#REF!,2,FALSE)</f>
        <v>#REF!</v>
      </c>
      <c r="F8615">
        <v>151.6</v>
      </c>
      <c r="G8615">
        <f>(Cpi_[[#This Row],[Value]]-F8614)/F8614</f>
        <v>-9.2215568862275485E-2</v>
      </c>
      <c r="H8615" t="e" cm="1" vm="1">
        <f t="array" aca="1" ref="H8615" ca="1">VLOOKUP(Cpi_[[#This Row],[Year]:[Month]],crudeoil[],3,FALSE)</f>
        <v>#VALUE!</v>
      </c>
    </row>
    <row r="8616" spans="1:8" hidden="1" x14ac:dyDescent="0.3">
      <c r="A8616" t="s">
        <v>33</v>
      </c>
      <c r="B8616">
        <v>2021</v>
      </c>
      <c r="C8616" t="s">
        <v>46</v>
      </c>
      <c r="D8616" t="s">
        <v>4</v>
      </c>
      <c r="E8616" t="e">
        <f>VLOOKUP(Cpi_[[#This Row],[Attribute]],#REF!,2,FALSE)</f>
        <v>#REF!</v>
      </c>
      <c r="F8616">
        <v>202.2</v>
      </c>
      <c r="G8616">
        <f>(Cpi_[[#This Row],[Value]]-F8615)/F8615</f>
        <v>0.33377308707124009</v>
      </c>
      <c r="H8616" t="e" cm="1" vm="1">
        <f t="array" aca="1" ref="H8616" ca="1">VLOOKUP(Cpi_[[#This Row],[Year]:[Month]],crudeoil[],3,FALSE)</f>
        <v>#VALUE!</v>
      </c>
    </row>
    <row r="8617" spans="1:8" hidden="1" x14ac:dyDescent="0.3">
      <c r="A8617" t="s">
        <v>33</v>
      </c>
      <c r="B8617">
        <v>2021</v>
      </c>
      <c r="C8617" t="s">
        <v>46</v>
      </c>
      <c r="D8617" t="s">
        <v>5</v>
      </c>
      <c r="E8617" t="e">
        <f>VLOOKUP(Cpi_[[#This Row],[Attribute]],#REF!,2,FALSE)</f>
        <v>#REF!</v>
      </c>
      <c r="F8617">
        <v>180</v>
      </c>
      <c r="G8617">
        <f>(Cpi_[[#This Row],[Value]]-F8616)/F8616</f>
        <v>-0.10979228486646879</v>
      </c>
      <c r="H8617" t="e" cm="1" vm="1">
        <f t="array" aca="1" ref="H8617" ca="1">VLOOKUP(Cpi_[[#This Row],[Year]:[Month]],crudeoil[],3,FALSE)</f>
        <v>#VALUE!</v>
      </c>
    </row>
    <row r="8618" spans="1:8" hidden="1" x14ac:dyDescent="0.3">
      <c r="A8618" t="s">
        <v>33</v>
      </c>
      <c r="B8618">
        <v>2021</v>
      </c>
      <c r="C8618" t="s">
        <v>46</v>
      </c>
      <c r="D8618" t="s">
        <v>6</v>
      </c>
      <c r="E8618" t="e">
        <f>VLOOKUP(Cpi_[[#This Row],[Attribute]],#REF!,2,FALSE)</f>
        <v>#REF!</v>
      </c>
      <c r="F8618">
        <v>160</v>
      </c>
      <c r="G8618">
        <f>(Cpi_[[#This Row],[Value]]-F8617)/F8617</f>
        <v>-0.1111111111111111</v>
      </c>
      <c r="H8618" t="e" cm="1" vm="1">
        <f t="array" aca="1" ref="H8618" ca="1">VLOOKUP(Cpi_[[#This Row],[Year]:[Month]],crudeoil[],3,FALSE)</f>
        <v>#VALUE!</v>
      </c>
    </row>
    <row r="8619" spans="1:8" hidden="1" x14ac:dyDescent="0.3">
      <c r="A8619" t="s">
        <v>33</v>
      </c>
      <c r="B8619">
        <v>2021</v>
      </c>
      <c r="C8619" t="s">
        <v>46</v>
      </c>
      <c r="D8619" t="s">
        <v>7</v>
      </c>
      <c r="E8619" t="e">
        <f>VLOOKUP(Cpi_[[#This Row],[Attribute]],#REF!,2,FALSE)</f>
        <v>#REF!</v>
      </c>
      <c r="F8619">
        <v>173.5</v>
      </c>
      <c r="G8619">
        <f>(Cpi_[[#This Row],[Value]]-F8618)/F8618</f>
        <v>8.4375000000000006E-2</v>
      </c>
      <c r="H8619" t="e" cm="1" vm="1">
        <f t="array" aca="1" ref="H8619" ca="1">VLOOKUP(Cpi_[[#This Row],[Year]:[Month]],crudeoil[],3,FALSE)</f>
        <v>#VALUE!</v>
      </c>
    </row>
    <row r="8620" spans="1:8" hidden="1" x14ac:dyDescent="0.3">
      <c r="A8620" t="s">
        <v>33</v>
      </c>
      <c r="B8620">
        <v>2021</v>
      </c>
      <c r="C8620" t="s">
        <v>46</v>
      </c>
      <c r="D8620" t="s">
        <v>8</v>
      </c>
      <c r="E8620" t="e">
        <f>VLOOKUP(Cpi_[[#This Row],[Attribute]],#REF!,2,FALSE)</f>
        <v>#REF!</v>
      </c>
      <c r="F8620">
        <v>158.30000000000001</v>
      </c>
      <c r="G8620">
        <f>(Cpi_[[#This Row],[Value]]-F8619)/F8619</f>
        <v>-8.7608069164265071E-2</v>
      </c>
      <c r="H8620" t="e" cm="1" vm="1">
        <f t="array" aca="1" ref="H8620" ca="1">VLOOKUP(Cpi_[[#This Row],[Year]:[Month]],crudeoil[],3,FALSE)</f>
        <v>#VALUE!</v>
      </c>
    </row>
    <row r="8621" spans="1:8" hidden="1" x14ac:dyDescent="0.3">
      <c r="A8621" t="s">
        <v>33</v>
      </c>
      <c r="B8621">
        <v>2021</v>
      </c>
      <c r="C8621" t="s">
        <v>46</v>
      </c>
      <c r="D8621" t="s">
        <v>9</v>
      </c>
      <c r="E8621" t="e">
        <f>VLOOKUP(Cpi_[[#This Row],[Attribute]],#REF!,2,FALSE)</f>
        <v>#REF!</v>
      </c>
      <c r="F8621">
        <v>219.5</v>
      </c>
      <c r="G8621">
        <f>(Cpi_[[#This Row],[Value]]-F8620)/F8620</f>
        <v>0.38660770688566004</v>
      </c>
      <c r="H8621" t="e" cm="1" vm="1">
        <f t="array" aca="1" ref="H8621" ca="1">VLOOKUP(Cpi_[[#This Row],[Year]:[Month]],crudeoil[],3,FALSE)</f>
        <v>#VALUE!</v>
      </c>
    </row>
    <row r="8622" spans="1:8" hidden="1" x14ac:dyDescent="0.3">
      <c r="A8622" t="s">
        <v>33</v>
      </c>
      <c r="B8622">
        <v>2021</v>
      </c>
      <c r="C8622" t="s">
        <v>46</v>
      </c>
      <c r="D8622" t="s">
        <v>10</v>
      </c>
      <c r="E8622" t="e">
        <f>VLOOKUP(Cpi_[[#This Row],[Attribute]],#REF!,2,FALSE)</f>
        <v>#REF!</v>
      </c>
      <c r="F8622">
        <v>164.2</v>
      </c>
      <c r="G8622">
        <f>(Cpi_[[#This Row],[Value]]-F8621)/F8621</f>
        <v>-0.25193621867881555</v>
      </c>
      <c r="H8622" t="e" cm="1" vm="1">
        <f t="array" aca="1" ref="H8622" ca="1">VLOOKUP(Cpi_[[#This Row],[Year]:[Month]],crudeoil[],3,FALSE)</f>
        <v>#VALUE!</v>
      </c>
    </row>
    <row r="8623" spans="1:8" hidden="1" x14ac:dyDescent="0.3">
      <c r="A8623" t="s">
        <v>33</v>
      </c>
      <c r="B8623">
        <v>2021</v>
      </c>
      <c r="C8623" t="s">
        <v>46</v>
      </c>
      <c r="D8623" t="s">
        <v>11</v>
      </c>
      <c r="E8623" t="e">
        <f>VLOOKUP(Cpi_[[#This Row],[Attribute]],#REF!,2,FALSE)</f>
        <v>#REF!</v>
      </c>
      <c r="F8623">
        <v>121.9</v>
      </c>
      <c r="G8623">
        <f>(Cpi_[[#This Row],[Value]]-F8622)/F8622</f>
        <v>-0.25761266747868444</v>
      </c>
      <c r="H8623" t="e" cm="1" vm="1">
        <f t="array" aca="1" ref="H8623" ca="1">VLOOKUP(Cpi_[[#This Row],[Year]:[Month]],crudeoil[],3,FALSE)</f>
        <v>#VALUE!</v>
      </c>
    </row>
    <row r="8624" spans="1:8" hidden="1" x14ac:dyDescent="0.3">
      <c r="A8624" t="s">
        <v>33</v>
      </c>
      <c r="B8624">
        <v>2021</v>
      </c>
      <c r="C8624" t="s">
        <v>46</v>
      </c>
      <c r="D8624" t="s">
        <v>12</v>
      </c>
      <c r="E8624" t="e">
        <f>VLOOKUP(Cpi_[[#This Row],[Attribute]],#REF!,2,FALSE)</f>
        <v>#REF!</v>
      </c>
      <c r="F8624">
        <v>168.2</v>
      </c>
      <c r="G8624">
        <f>(Cpi_[[#This Row],[Value]]-F8623)/F8623</f>
        <v>0.3798195242001639</v>
      </c>
      <c r="H8624" t="e" cm="1" vm="1">
        <f t="array" aca="1" ref="H8624" ca="1">VLOOKUP(Cpi_[[#This Row],[Year]:[Month]],crudeoil[],3,FALSE)</f>
        <v>#VALUE!</v>
      </c>
    </row>
    <row r="8625" spans="1:8" hidden="1" x14ac:dyDescent="0.3">
      <c r="A8625" t="s">
        <v>33</v>
      </c>
      <c r="B8625">
        <v>2021</v>
      </c>
      <c r="C8625" t="s">
        <v>46</v>
      </c>
      <c r="D8625" t="s">
        <v>13</v>
      </c>
      <c r="E8625" t="e">
        <f>VLOOKUP(Cpi_[[#This Row],[Attribute]],#REF!,2,FALSE)</f>
        <v>#REF!</v>
      </c>
      <c r="F8625">
        <v>156.5</v>
      </c>
      <c r="G8625">
        <f>(Cpi_[[#This Row],[Value]]-F8624)/F8624</f>
        <v>-6.956004756242562E-2</v>
      </c>
      <c r="H8625" t="e" cm="1" vm="1">
        <f t="array" aca="1" ref="H8625" ca="1">VLOOKUP(Cpi_[[#This Row],[Year]:[Month]],crudeoil[],3,FALSE)</f>
        <v>#VALUE!</v>
      </c>
    </row>
    <row r="8626" spans="1:8" hidden="1" x14ac:dyDescent="0.3">
      <c r="A8626" t="s">
        <v>33</v>
      </c>
      <c r="B8626">
        <v>2021</v>
      </c>
      <c r="C8626" t="s">
        <v>46</v>
      </c>
      <c r="D8626" t="s">
        <v>14</v>
      </c>
      <c r="E8626" t="e">
        <f>VLOOKUP(Cpi_[[#This Row],[Attribute]],#REF!,2,FALSE)</f>
        <v>#REF!</v>
      </c>
      <c r="F8626">
        <v>178.2</v>
      </c>
      <c r="G8626">
        <f>(Cpi_[[#This Row],[Value]]-F8625)/F8625</f>
        <v>0.13865814696485615</v>
      </c>
      <c r="H8626" t="e" cm="1" vm="1">
        <f t="array" aca="1" ref="H8626" ca="1">VLOOKUP(Cpi_[[#This Row],[Year]:[Month]],crudeoil[],3,FALSE)</f>
        <v>#VALUE!</v>
      </c>
    </row>
    <row r="8627" spans="1:8" hidden="1" x14ac:dyDescent="0.3">
      <c r="A8627" t="s">
        <v>33</v>
      </c>
      <c r="B8627">
        <v>2021</v>
      </c>
      <c r="C8627" t="s">
        <v>46</v>
      </c>
      <c r="D8627" t="s">
        <v>15</v>
      </c>
      <c r="E8627" t="e">
        <f>VLOOKUP(Cpi_[[#This Row],[Attribute]],#REF!,2,FALSE)</f>
        <v>#REF!</v>
      </c>
      <c r="F8627">
        <v>172.2</v>
      </c>
      <c r="G8627">
        <f>(Cpi_[[#This Row],[Value]]-F8626)/F8626</f>
        <v>-3.3670033670033669E-2</v>
      </c>
      <c r="H8627" t="e" cm="1" vm="1">
        <f t="array" aca="1" ref="H8627" ca="1">VLOOKUP(Cpi_[[#This Row],[Year]:[Month]],crudeoil[],3,FALSE)</f>
        <v>#VALUE!</v>
      </c>
    </row>
    <row r="8628" spans="1:8" hidden="1" x14ac:dyDescent="0.3">
      <c r="A8628" t="s">
        <v>33</v>
      </c>
      <c r="B8628">
        <v>2021</v>
      </c>
      <c r="C8628" t="s">
        <v>46</v>
      </c>
      <c r="D8628" t="s">
        <v>16</v>
      </c>
      <c r="E8628" t="e">
        <f>VLOOKUP(Cpi_[[#This Row],[Attribute]],#REF!,2,FALSE)</f>
        <v>#REF!</v>
      </c>
      <c r="F8628">
        <v>196.8</v>
      </c>
      <c r="G8628">
        <f>(Cpi_[[#This Row],[Value]]-F8627)/F8627</f>
        <v>0.14285714285714299</v>
      </c>
      <c r="H8628" t="e" cm="1" vm="1">
        <f t="array" aca="1" ref="H8628" ca="1">VLOOKUP(Cpi_[[#This Row],[Year]:[Month]],crudeoil[],3,FALSE)</f>
        <v>#VALUE!</v>
      </c>
    </row>
    <row r="8629" spans="1:8" hidden="1" x14ac:dyDescent="0.3">
      <c r="A8629" t="s">
        <v>33</v>
      </c>
      <c r="B8629">
        <v>2021</v>
      </c>
      <c r="C8629" t="s">
        <v>46</v>
      </c>
      <c r="D8629" t="s">
        <v>17</v>
      </c>
      <c r="E8629" t="e">
        <f>VLOOKUP(Cpi_[[#This Row],[Attribute]],#REF!,2,FALSE)</f>
        <v>#REF!</v>
      </c>
      <c r="F8629">
        <v>163.30000000000001</v>
      </c>
      <c r="G8629">
        <f>(Cpi_[[#This Row],[Value]]-F8628)/F8628</f>
        <v>-0.17022357723577236</v>
      </c>
      <c r="H8629" t="e" cm="1" vm="1">
        <f t="array" aca="1" ref="H8629" ca="1">VLOOKUP(Cpi_[[#This Row],[Year]:[Month]],crudeoil[],3,FALSE)</f>
        <v>#VALUE!</v>
      </c>
    </row>
    <row r="8630" spans="1:8" hidden="1" x14ac:dyDescent="0.3">
      <c r="A8630" t="s">
        <v>33</v>
      </c>
      <c r="B8630">
        <v>2021</v>
      </c>
      <c r="C8630" t="s">
        <v>46</v>
      </c>
      <c r="D8630" t="s">
        <v>18</v>
      </c>
      <c r="E8630" t="e">
        <f>VLOOKUP(Cpi_[[#This Row],[Attribute]],#REF!,2,FALSE)</f>
        <v>#REF!</v>
      </c>
      <c r="F8630">
        <v>146.69999999999999</v>
      </c>
      <c r="G8630">
        <f>(Cpi_[[#This Row],[Value]]-F8629)/F8629</f>
        <v>-0.10165339865278641</v>
      </c>
      <c r="H8630" t="e" cm="1" vm="1">
        <f t="array" aca="1" ref="H8630" ca="1">VLOOKUP(Cpi_[[#This Row],[Year]:[Month]],crudeoil[],3,FALSE)</f>
        <v>#VALUE!</v>
      </c>
    </row>
    <row r="8631" spans="1:8" hidden="1" x14ac:dyDescent="0.3">
      <c r="A8631" t="s">
        <v>33</v>
      </c>
      <c r="B8631">
        <v>2021</v>
      </c>
      <c r="C8631" t="s">
        <v>46</v>
      </c>
      <c r="D8631" t="s">
        <v>19</v>
      </c>
      <c r="E8631" t="e">
        <f>VLOOKUP(Cpi_[[#This Row],[Attribute]],#REF!,2,FALSE)</f>
        <v>#REF!</v>
      </c>
      <c r="F8631">
        <v>160.69999999999999</v>
      </c>
      <c r="G8631">
        <f>(Cpi_[[#This Row],[Value]]-F8630)/F8630</f>
        <v>9.5432856169052491E-2</v>
      </c>
      <c r="H8631" t="e" cm="1" vm="1">
        <f t="array" aca="1" ref="H8631" ca="1">VLOOKUP(Cpi_[[#This Row],[Year]:[Month]],crudeoil[],3,FALSE)</f>
        <v>#VALUE!</v>
      </c>
    </row>
    <row r="8632" spans="1:8" hidden="1" x14ac:dyDescent="0.3">
      <c r="A8632" t="s">
        <v>33</v>
      </c>
      <c r="B8632">
        <v>2021</v>
      </c>
      <c r="C8632" t="s">
        <v>46</v>
      </c>
      <c r="D8632" t="s">
        <v>20</v>
      </c>
      <c r="E8632" t="e">
        <f>VLOOKUP(Cpi_[[#This Row],[Attribute]],#REF!,2,FALSE)</f>
        <v>#REF!</v>
      </c>
      <c r="F8632">
        <v>163.4</v>
      </c>
      <c r="G8632">
        <f>(Cpi_[[#This Row],[Value]]-F8631)/F8631</f>
        <v>1.6801493466085983E-2</v>
      </c>
      <c r="H8632" t="e" cm="1" vm="1">
        <f t="array" aca="1" ref="H8632" ca="1">VLOOKUP(Cpi_[[#This Row],[Year]:[Month]],crudeoil[],3,FALSE)</f>
        <v>#VALUE!</v>
      </c>
    </row>
    <row r="8633" spans="1:8" hidden="1" x14ac:dyDescent="0.3">
      <c r="A8633" t="s">
        <v>33</v>
      </c>
      <c r="B8633">
        <v>2021</v>
      </c>
      <c r="C8633" t="s">
        <v>46</v>
      </c>
      <c r="D8633" t="s">
        <v>21</v>
      </c>
      <c r="E8633" t="e">
        <f>VLOOKUP(Cpi_[[#This Row],[Attribute]],#REF!,2,FALSE)</f>
        <v>#REF!</v>
      </c>
      <c r="F8633">
        <v>161.69999999999999</v>
      </c>
      <c r="G8633">
        <f>(Cpi_[[#This Row],[Value]]-F8632)/F8632</f>
        <v>-1.0403916768665955E-2</v>
      </c>
      <c r="H8633" t="e" cm="1" vm="1">
        <f t="array" aca="1" ref="H8633" ca="1">VLOOKUP(Cpi_[[#This Row],[Year]:[Month]],crudeoil[],3,FALSE)</f>
        <v>#VALUE!</v>
      </c>
    </row>
    <row r="8634" spans="1:8" hidden="1" x14ac:dyDescent="0.3">
      <c r="A8634" t="s">
        <v>33</v>
      </c>
      <c r="B8634">
        <v>2021</v>
      </c>
      <c r="C8634" t="s">
        <v>46</v>
      </c>
      <c r="D8634" t="s">
        <v>22</v>
      </c>
      <c r="E8634" t="e">
        <f>VLOOKUP(Cpi_[[#This Row],[Attribute]],#REF!,2,FALSE)</f>
        <v>#REF!</v>
      </c>
      <c r="F8634">
        <v>156</v>
      </c>
      <c r="G8634">
        <f>(Cpi_[[#This Row],[Value]]-F8633)/F8633</f>
        <v>-3.5250463821892328E-2</v>
      </c>
      <c r="H8634" t="e" cm="1" vm="1">
        <f t="array" aca="1" ref="H8634" ca="1">VLOOKUP(Cpi_[[#This Row],[Year]:[Month]],crudeoil[],3,FALSE)</f>
        <v>#VALUE!</v>
      </c>
    </row>
    <row r="8635" spans="1:8" hidden="1" x14ac:dyDescent="0.3">
      <c r="A8635" t="s">
        <v>33</v>
      </c>
      <c r="B8635">
        <v>2021</v>
      </c>
      <c r="C8635" t="s">
        <v>46</v>
      </c>
      <c r="D8635" t="s">
        <v>23</v>
      </c>
      <c r="E8635" t="e">
        <f>VLOOKUP(Cpi_[[#This Row],[Attribute]],#REF!,2,FALSE)</f>
        <v>#REF!</v>
      </c>
      <c r="F8635">
        <v>165.1</v>
      </c>
      <c r="G8635">
        <f>(Cpi_[[#This Row],[Value]]-F8634)/F8634</f>
        <v>5.83333333333333E-2</v>
      </c>
      <c r="H8635" t="e" cm="1" vm="1">
        <f t="array" aca="1" ref="H8635" ca="1">VLOOKUP(Cpi_[[#This Row],[Year]:[Month]],crudeoil[],3,FALSE)</f>
        <v>#VALUE!</v>
      </c>
    </row>
    <row r="8636" spans="1:8" hidden="1" x14ac:dyDescent="0.3">
      <c r="A8636" t="s">
        <v>33</v>
      </c>
      <c r="B8636">
        <v>2021</v>
      </c>
      <c r="C8636" t="s">
        <v>46</v>
      </c>
      <c r="D8636" t="s">
        <v>24</v>
      </c>
      <c r="E8636" t="e">
        <f>VLOOKUP(Cpi_[[#This Row],[Attribute]],#REF!,2,FALSE)</f>
        <v>#REF!</v>
      </c>
      <c r="F8636">
        <v>151.80000000000001</v>
      </c>
      <c r="G8636">
        <f>(Cpi_[[#This Row],[Value]]-F8635)/F8635</f>
        <v>-8.0557238037552895E-2</v>
      </c>
      <c r="H8636" t="e" cm="1" vm="1">
        <f t="array" aca="1" ref="H8636" ca="1">VLOOKUP(Cpi_[[#This Row],[Year]:[Month]],crudeoil[],3,FALSE)</f>
        <v>#VALUE!</v>
      </c>
    </row>
    <row r="8637" spans="1:8" hidden="1" x14ac:dyDescent="0.3">
      <c r="A8637" t="s">
        <v>33</v>
      </c>
      <c r="B8637">
        <v>2021</v>
      </c>
      <c r="C8637" t="s">
        <v>46</v>
      </c>
      <c r="D8637" t="s">
        <v>25</v>
      </c>
      <c r="E8637" t="e">
        <f>VLOOKUP(Cpi_[[#This Row],[Attribute]],#REF!,2,FALSE)</f>
        <v>#REF!</v>
      </c>
      <c r="F8637">
        <v>157.6</v>
      </c>
      <c r="G8637">
        <f>(Cpi_[[#This Row],[Value]]-F8636)/F8636</f>
        <v>3.8208168642951137E-2</v>
      </c>
      <c r="H8637" t="e" cm="1" vm="1">
        <f t="array" aca="1" ref="H8637" ca="1">VLOOKUP(Cpi_[[#This Row],[Year]:[Month]],crudeoil[],3,FALSE)</f>
        <v>#VALUE!</v>
      </c>
    </row>
    <row r="8638" spans="1:8" hidden="1" x14ac:dyDescent="0.3">
      <c r="A8638" t="s">
        <v>33</v>
      </c>
      <c r="B8638">
        <v>2021</v>
      </c>
      <c r="C8638" t="s">
        <v>46</v>
      </c>
      <c r="D8638" t="s">
        <v>26</v>
      </c>
      <c r="E8638" t="e">
        <f>VLOOKUP(Cpi_[[#This Row],[Attribute]],#REF!,2,FALSE)</f>
        <v>#REF!</v>
      </c>
      <c r="F8638">
        <v>160.6</v>
      </c>
      <c r="G8638">
        <f>(Cpi_[[#This Row],[Value]]-F8637)/F8637</f>
        <v>1.9035532994923859E-2</v>
      </c>
      <c r="H8638" t="e" cm="1" vm="1">
        <f t="array" aca="1" ref="H8638" ca="1">VLOOKUP(Cpi_[[#This Row],[Year]:[Month]],crudeoil[],3,FALSE)</f>
        <v>#VALUE!</v>
      </c>
    </row>
    <row r="8639" spans="1:8" hidden="1" x14ac:dyDescent="0.3">
      <c r="A8639" t="s">
        <v>33</v>
      </c>
      <c r="B8639">
        <v>2021</v>
      </c>
      <c r="C8639" t="s">
        <v>46</v>
      </c>
      <c r="D8639" t="s">
        <v>27</v>
      </c>
      <c r="E8639" t="e">
        <f>VLOOKUP(Cpi_[[#This Row],[Attribute]],#REF!,2,FALSE)</f>
        <v>#REF!</v>
      </c>
      <c r="F8639">
        <v>162.4</v>
      </c>
      <c r="G8639">
        <f>(Cpi_[[#This Row],[Value]]-F8638)/F8638</f>
        <v>1.1207970112079772E-2</v>
      </c>
      <c r="H8639" t="e" cm="1" vm="1">
        <f t="array" aca="1" ref="H8639" ca="1">VLOOKUP(Cpi_[[#This Row],[Year]:[Month]],crudeoil[],3,FALSE)</f>
        <v>#VALUE!</v>
      </c>
    </row>
    <row r="8640" spans="1:8" hidden="1" x14ac:dyDescent="0.3">
      <c r="A8640" t="s">
        <v>33</v>
      </c>
      <c r="B8640">
        <v>2021</v>
      </c>
      <c r="C8640" t="s">
        <v>46</v>
      </c>
      <c r="D8640" t="s">
        <v>28</v>
      </c>
      <c r="E8640" t="e">
        <f>VLOOKUP(Cpi_[[#This Row],[Attribute]],#REF!,2,FALSE)</f>
        <v>#REF!</v>
      </c>
      <c r="F8640">
        <v>157.80000000000001</v>
      </c>
      <c r="G8640">
        <f>(Cpi_[[#This Row],[Value]]-F8639)/F8639</f>
        <v>-2.8325123152709325E-2</v>
      </c>
      <c r="H8640" t="e" cm="1" vm="1">
        <f t="array" aca="1" ref="H8640" ca="1">VLOOKUP(Cpi_[[#This Row],[Year]:[Month]],crudeoil[],3,FALSE)</f>
        <v>#VALUE!</v>
      </c>
    </row>
    <row r="8641" spans="1:10" hidden="1" x14ac:dyDescent="0.3">
      <c r="A8641" t="s">
        <v>33</v>
      </c>
      <c r="B8641">
        <v>2021</v>
      </c>
      <c r="C8641" t="s">
        <v>46</v>
      </c>
      <c r="D8641" t="s">
        <v>29</v>
      </c>
      <c r="E8641" t="e" cm="1">
        <f t="array" aca="1" ref="E8641" ca="1">VLGeneral indexGeneral indexKUP(Cpi_[[#This Row],[Attribute]],#REF!,2,FALSE)</f>
        <v>#NAME?</v>
      </c>
      <c r="F8641">
        <v>165.2</v>
      </c>
      <c r="G8641">
        <f>(Cpi_[[#This Row],[Value]]-F8640)/F8640</f>
        <v>4.6894803548795799E-2</v>
      </c>
      <c r="H8641" t="e" cm="1" vm="1">
        <f t="array" aca="1" ref="H8641" ca="1">VLOOKUP(Cpi_[[#This Row],[Year]:[Month]],crudeoil[],3,FALSE)</f>
        <v>#VALUE!</v>
      </c>
    </row>
    <row r="8642" spans="1:10" hidden="1" x14ac:dyDescent="0.3">
      <c r="A8642" t="s">
        <v>34</v>
      </c>
      <c r="B8642">
        <v>2021</v>
      </c>
      <c r="C8642" t="s">
        <v>46</v>
      </c>
      <c r="D8642" t="s">
        <v>3</v>
      </c>
      <c r="E8642" t="e">
        <f>VLOOKUP(Cpi_[[#This Row],[Attribute]],#REF!,2,FALSE)</f>
        <v>#REF!</v>
      </c>
      <c r="F8642">
        <v>148.69999999999999</v>
      </c>
      <c r="G8642">
        <f>(Cpi_[[#This Row],[Value]]-F8641)/F8641</f>
        <v>-9.9878934624697338E-2</v>
      </c>
      <c r="H8642" t="e" cm="1" vm="1">
        <f t="array" aca="1" ref="H8642" ca="1">VLOOKUP(Cpi_[[#This Row],[Year]:[Month]],crudeoil[],3,FALSE)</f>
        <v>#VALUE!</v>
      </c>
    </row>
    <row r="8643" spans="1:10" x14ac:dyDescent="0.3">
      <c r="A8643" t="s">
        <v>34</v>
      </c>
      <c r="B8643">
        <v>2021</v>
      </c>
      <c r="C8643" t="s">
        <v>46</v>
      </c>
      <c r="D8643" t="s">
        <v>4</v>
      </c>
      <c r="E8643" t="e">
        <f>VLOOKUP(Cpi_[[#This Row],[Attribute]],#REF!,2,FALSE)</f>
        <v>#REF!</v>
      </c>
      <c r="F8643">
        <v>198.8</v>
      </c>
      <c r="G8643" s="42">
        <f>(Cpi_[[#This Row],[Value]]-F8642)/F8642</f>
        <v>0.33691997310020194</v>
      </c>
      <c r="H8643" t="str">
        <f>LEFT(Cpi_[[#This Row],[Month]],3)</f>
        <v>Dec</v>
      </c>
      <c r="I8643" t="str">
        <f>RIGHT(Cpi_[[#This Row],[Year]],2)</f>
        <v>21</v>
      </c>
      <c r="J8643" t="str">
        <f>Cpi_[[#This Row],[Column3]]&amp;"-"&amp;Cpi_[[#This Row],[Column4]]</f>
        <v>Dec-21</v>
      </c>
    </row>
    <row r="8644" spans="1:10" x14ac:dyDescent="0.3">
      <c r="A8644" t="s">
        <v>34</v>
      </c>
      <c r="B8644">
        <v>2021</v>
      </c>
      <c r="C8644" t="s">
        <v>46</v>
      </c>
      <c r="D8644" t="s">
        <v>5</v>
      </c>
      <c r="E8644" t="e">
        <f>VLOOKUP(Cpi_[[#This Row],[Attribute]],#REF!,2,FALSE)</f>
        <v>#REF!</v>
      </c>
      <c r="F8644">
        <v>177.9</v>
      </c>
      <c r="G8644" s="42">
        <f>(Cpi_[[#This Row],[Value]]-F8643)/F8643</f>
        <v>-0.10513078470824952</v>
      </c>
      <c r="H8644" t="str">
        <f>LEFT(Cpi_[[#This Row],[Month]],3)</f>
        <v>Dec</v>
      </c>
      <c r="I8644" t="str">
        <f>RIGHT(Cpi_[[#This Row],[Year]],2)</f>
        <v>21</v>
      </c>
      <c r="J8644" t="str">
        <f>Cpi_[[#This Row],[Column3]]&amp;"-"&amp;Cpi_[[#This Row],[Column4]]</f>
        <v>Dec-21</v>
      </c>
    </row>
    <row r="8645" spans="1:10" x14ac:dyDescent="0.3">
      <c r="A8645" t="s">
        <v>34</v>
      </c>
      <c r="B8645">
        <v>2021</v>
      </c>
      <c r="C8645" t="s">
        <v>46</v>
      </c>
      <c r="D8645" t="s">
        <v>6</v>
      </c>
      <c r="E8645" t="e">
        <f>VLOOKUP(Cpi_[[#This Row],[Attribute]],#REF!,2,FALSE)</f>
        <v>#REF!</v>
      </c>
      <c r="F8645">
        <v>159.9</v>
      </c>
      <c r="G8645" s="42">
        <f>(Cpi_[[#This Row],[Value]]-F8644)/F8644</f>
        <v>-0.10118043844856661</v>
      </c>
      <c r="H8645" t="str">
        <f>LEFT(Cpi_[[#This Row],[Month]],3)</f>
        <v>Dec</v>
      </c>
      <c r="I8645" t="str">
        <f>RIGHT(Cpi_[[#This Row],[Year]],2)</f>
        <v>21</v>
      </c>
      <c r="J8645" t="str">
        <f>Cpi_[[#This Row],[Column3]]&amp;"-"&amp;Cpi_[[#This Row],[Column4]]</f>
        <v>Dec-21</v>
      </c>
    </row>
    <row r="8646" spans="1:10" x14ac:dyDescent="0.3">
      <c r="A8646" t="s">
        <v>34</v>
      </c>
      <c r="B8646">
        <v>2021</v>
      </c>
      <c r="C8646" t="s">
        <v>46</v>
      </c>
      <c r="D8646" t="s">
        <v>7</v>
      </c>
      <c r="E8646" t="e">
        <f>VLOOKUP(Cpi_[[#This Row],[Attribute]],#REF!,2,FALSE)</f>
        <v>#REF!</v>
      </c>
      <c r="F8646">
        <v>187.6</v>
      </c>
      <c r="G8646" s="42">
        <f>(Cpi_[[#This Row],[Value]]-F8645)/F8645</f>
        <v>0.17323327079424633</v>
      </c>
      <c r="H8646" t="str">
        <f>LEFT(Cpi_[[#This Row],[Month]],3)</f>
        <v>Dec</v>
      </c>
      <c r="I8646" t="str">
        <f>RIGHT(Cpi_[[#This Row],[Year]],2)</f>
        <v>21</v>
      </c>
      <c r="J8646" t="str">
        <f>Cpi_[[#This Row],[Column3]]&amp;"-"&amp;Cpi_[[#This Row],[Column4]]</f>
        <v>Dec-21</v>
      </c>
    </row>
    <row r="8647" spans="1:10" x14ac:dyDescent="0.3">
      <c r="A8647" t="s">
        <v>34</v>
      </c>
      <c r="B8647">
        <v>2021</v>
      </c>
      <c r="C8647" t="s">
        <v>46</v>
      </c>
      <c r="D8647" t="s">
        <v>8</v>
      </c>
      <c r="E8647" t="e">
        <f>VLOOKUP(Cpi_[[#This Row],[Attribute]],#REF!,2,FALSE)</f>
        <v>#REF!</v>
      </c>
      <c r="F8647">
        <v>154.9</v>
      </c>
      <c r="G8647" s="42">
        <f>(Cpi_[[#This Row],[Value]]-F8646)/F8646</f>
        <v>-0.17430703624733471</v>
      </c>
      <c r="H8647" t="str">
        <f>LEFT(Cpi_[[#This Row],[Month]],3)</f>
        <v>Dec</v>
      </c>
      <c r="I8647" t="str">
        <f>RIGHT(Cpi_[[#This Row],[Year]],2)</f>
        <v>21</v>
      </c>
      <c r="J8647" t="str">
        <f>Cpi_[[#This Row],[Column3]]&amp;"-"&amp;Cpi_[[#This Row],[Column4]]</f>
        <v>Dec-21</v>
      </c>
    </row>
    <row r="8648" spans="1:10" x14ac:dyDescent="0.3">
      <c r="A8648" t="s">
        <v>34</v>
      </c>
      <c r="B8648">
        <v>2021</v>
      </c>
      <c r="C8648" t="s">
        <v>46</v>
      </c>
      <c r="D8648" t="s">
        <v>9</v>
      </c>
      <c r="E8648" t="e">
        <f>VLOOKUP(Cpi_[[#This Row],[Attribute]],#REF!,2,FALSE)</f>
        <v>#REF!</v>
      </c>
      <c r="F8648">
        <v>188.3</v>
      </c>
      <c r="G8648" s="42">
        <f>(Cpi_[[#This Row],[Value]]-F8647)/F8647</f>
        <v>0.21562298256939963</v>
      </c>
      <c r="H8648" t="str">
        <f>LEFT(Cpi_[[#This Row],[Month]],3)</f>
        <v>Dec</v>
      </c>
      <c r="I8648" t="str">
        <f>RIGHT(Cpi_[[#This Row],[Year]],2)</f>
        <v>21</v>
      </c>
      <c r="J8648" t="str">
        <f>Cpi_[[#This Row],[Column3]]&amp;"-"&amp;Cpi_[[#This Row],[Column4]]</f>
        <v>Dec-21</v>
      </c>
    </row>
    <row r="8649" spans="1:10" x14ac:dyDescent="0.3">
      <c r="A8649" t="s">
        <v>34</v>
      </c>
      <c r="B8649">
        <v>2021</v>
      </c>
      <c r="C8649" t="s">
        <v>46</v>
      </c>
      <c r="D8649" t="s">
        <v>10</v>
      </c>
      <c r="E8649" t="e">
        <f>VLOOKUP(Cpi_[[#This Row],[Attribute]],#REF!,2,FALSE)</f>
        <v>#REF!</v>
      </c>
      <c r="F8649">
        <v>164.4</v>
      </c>
      <c r="G8649" s="42">
        <f>(Cpi_[[#This Row],[Value]]-F8648)/F8648</f>
        <v>-0.12692511949017526</v>
      </c>
      <c r="H8649" t="str">
        <f>LEFT(Cpi_[[#This Row],[Month]],3)</f>
        <v>Dec</v>
      </c>
      <c r="I8649" t="str">
        <f>RIGHT(Cpi_[[#This Row],[Year]],2)</f>
        <v>21</v>
      </c>
      <c r="J8649" t="str">
        <f>Cpi_[[#This Row],[Column3]]&amp;"-"&amp;Cpi_[[#This Row],[Column4]]</f>
        <v>Dec-21</v>
      </c>
    </row>
    <row r="8650" spans="1:10" x14ac:dyDescent="0.3">
      <c r="A8650" t="s">
        <v>34</v>
      </c>
      <c r="B8650">
        <v>2021</v>
      </c>
      <c r="C8650" t="s">
        <v>46</v>
      </c>
      <c r="D8650" t="s">
        <v>11</v>
      </c>
      <c r="E8650" t="e">
        <f>VLOOKUP(Cpi_[[#This Row],[Attribute]],#REF!,2,FALSE)</f>
        <v>#REF!</v>
      </c>
      <c r="F8650">
        <v>121</v>
      </c>
      <c r="G8650" s="42">
        <f>(Cpi_[[#This Row],[Value]]-F8649)/F8649</f>
        <v>-0.26399026763990269</v>
      </c>
      <c r="H8650" t="str">
        <f>LEFT(Cpi_[[#This Row],[Month]],3)</f>
        <v>Dec</v>
      </c>
      <c r="I8650" t="str">
        <f>RIGHT(Cpi_[[#This Row],[Year]],2)</f>
        <v>21</v>
      </c>
      <c r="J8650" t="str">
        <f>Cpi_[[#This Row],[Column3]]&amp;"-"&amp;Cpi_[[#This Row],[Column4]]</f>
        <v>Dec-21</v>
      </c>
    </row>
    <row r="8651" spans="1:10" x14ac:dyDescent="0.3">
      <c r="A8651" t="s">
        <v>34</v>
      </c>
      <c r="B8651">
        <v>2021</v>
      </c>
      <c r="C8651" t="s">
        <v>46</v>
      </c>
      <c r="D8651" t="s">
        <v>12</v>
      </c>
      <c r="E8651" t="e">
        <f>VLOOKUP(Cpi_[[#This Row],[Attribute]],#REF!,2,FALSE)</f>
        <v>#REF!</v>
      </c>
      <c r="F8651">
        <v>170.5</v>
      </c>
      <c r="G8651" s="42">
        <f>(Cpi_[[#This Row],[Value]]-F8650)/F8650</f>
        <v>0.40909090909090912</v>
      </c>
      <c r="H8651" t="str">
        <f>LEFT(Cpi_[[#This Row],[Month]],3)</f>
        <v>Dec</v>
      </c>
      <c r="I8651" t="str">
        <f>RIGHT(Cpi_[[#This Row],[Year]],2)</f>
        <v>21</v>
      </c>
      <c r="J8651" t="str">
        <f>Cpi_[[#This Row],[Column3]]&amp;"-"&amp;Cpi_[[#This Row],[Column4]]</f>
        <v>Dec-21</v>
      </c>
    </row>
    <row r="8652" spans="1:10" x14ac:dyDescent="0.3">
      <c r="A8652" t="s">
        <v>34</v>
      </c>
      <c r="B8652">
        <v>2021</v>
      </c>
      <c r="C8652" t="s">
        <v>46</v>
      </c>
      <c r="D8652" t="s">
        <v>13</v>
      </c>
      <c r="E8652" t="e">
        <f>VLOOKUP(Cpi_[[#This Row],[Attribute]],#REF!,2,FALSE)</f>
        <v>#REF!</v>
      </c>
      <c r="F8652">
        <v>164.2</v>
      </c>
      <c r="G8652" s="42">
        <f>(Cpi_[[#This Row],[Value]]-F8651)/F8651</f>
        <v>-3.6950146627566051E-2</v>
      </c>
      <c r="H8652" t="str">
        <f>LEFT(Cpi_[[#This Row],[Month]],3)</f>
        <v>Dec</v>
      </c>
      <c r="I8652" t="str">
        <f>RIGHT(Cpi_[[#This Row],[Year]],2)</f>
        <v>21</v>
      </c>
      <c r="J8652" t="str">
        <f>Cpi_[[#This Row],[Column3]]&amp;"-"&amp;Cpi_[[#This Row],[Column4]]</f>
        <v>Dec-21</v>
      </c>
    </row>
    <row r="8653" spans="1:10" x14ac:dyDescent="0.3">
      <c r="A8653" t="s">
        <v>34</v>
      </c>
      <c r="B8653">
        <v>2021</v>
      </c>
      <c r="C8653" t="s">
        <v>46</v>
      </c>
      <c r="D8653" t="s">
        <v>14</v>
      </c>
      <c r="E8653" t="e">
        <f>VLOOKUP(Cpi_[[#This Row],[Attribute]],#REF!,2,FALSE)</f>
        <v>#REF!</v>
      </c>
      <c r="F8653">
        <v>176.5</v>
      </c>
      <c r="G8653" s="42">
        <f>(Cpi_[[#This Row],[Value]]-F8652)/F8652</f>
        <v>7.4908647990255858E-2</v>
      </c>
      <c r="H8653" t="str">
        <f>LEFT(Cpi_[[#This Row],[Month]],3)</f>
        <v>Dec</v>
      </c>
      <c r="I8653" t="str">
        <f>RIGHT(Cpi_[[#This Row],[Year]],2)</f>
        <v>21</v>
      </c>
      <c r="J8653" t="str">
        <f>Cpi_[[#This Row],[Column3]]&amp;"-"&amp;Cpi_[[#This Row],[Column4]]</f>
        <v>Dec-21</v>
      </c>
    </row>
    <row r="8654" spans="1:10" x14ac:dyDescent="0.3">
      <c r="A8654" t="s">
        <v>34</v>
      </c>
      <c r="B8654">
        <v>2021</v>
      </c>
      <c r="C8654" t="s">
        <v>46</v>
      </c>
      <c r="D8654" t="s">
        <v>15</v>
      </c>
      <c r="E8654" t="e">
        <f>VLOOKUP(Cpi_[[#This Row],[Attribute]],#REF!,2,FALSE)</f>
        <v>#REF!</v>
      </c>
      <c r="F8654">
        <v>168.2</v>
      </c>
      <c r="G8654" s="42">
        <f>(Cpi_[[#This Row],[Value]]-F8653)/F8653</f>
        <v>-4.7025495750708281E-2</v>
      </c>
      <c r="H8654" t="str">
        <f>LEFT(Cpi_[[#This Row],[Month]],3)</f>
        <v>Dec</v>
      </c>
      <c r="I8654" t="str">
        <f>RIGHT(Cpi_[[#This Row],[Year]],2)</f>
        <v>21</v>
      </c>
      <c r="J8654" t="str">
        <f>Cpi_[[#This Row],[Column3]]&amp;"-"&amp;Cpi_[[#This Row],[Column4]]</f>
        <v>Dec-21</v>
      </c>
    </row>
    <row r="8655" spans="1:10" hidden="1" x14ac:dyDescent="0.3">
      <c r="A8655" t="s">
        <v>34</v>
      </c>
      <c r="B8655">
        <v>2021</v>
      </c>
      <c r="C8655" t="s">
        <v>46</v>
      </c>
      <c r="D8655" t="s">
        <v>16</v>
      </c>
      <c r="E8655" t="e">
        <f>VLOOKUP(Cpi_[[#This Row],[Attribute]],#REF!,2,FALSE)</f>
        <v>#REF!</v>
      </c>
      <c r="F8655">
        <v>192.4</v>
      </c>
      <c r="G8655">
        <f>(Cpi_[[#This Row],[Value]]-F8654)/F8654</f>
        <v>0.14387633769322247</v>
      </c>
      <c r="H8655" t="e" cm="1" vm="1">
        <f t="array" aca="1" ref="H8655" ca="1">VLOOKUP(Cpi_[[#This Row],[Year]:[Month]],crudeoil[],3,FALSE)</f>
        <v>#VALUE!</v>
      </c>
    </row>
    <row r="8656" spans="1:10" hidden="1" x14ac:dyDescent="0.3">
      <c r="A8656" t="s">
        <v>34</v>
      </c>
      <c r="B8656">
        <v>2021</v>
      </c>
      <c r="C8656" t="s">
        <v>46</v>
      </c>
      <c r="D8656" t="s">
        <v>17</v>
      </c>
      <c r="E8656" t="e">
        <f>VLOOKUP(Cpi_[[#This Row],[Attribute]],#REF!,2,FALSE)</f>
        <v>#REF!</v>
      </c>
      <c r="F8656">
        <v>168.5</v>
      </c>
      <c r="G8656">
        <f>(Cpi_[[#This Row],[Value]]-F8655)/F8655</f>
        <v>-0.12422037422037424</v>
      </c>
      <c r="H8656" t="e" cm="1" vm="1">
        <f t="array" aca="1" ref="H8656" ca="1">VLOOKUP(Cpi_[[#This Row],[Year]:[Month]],crudeoil[],3,FALSE)</f>
        <v>#VALUE!</v>
      </c>
    </row>
    <row r="8657" spans="1:8" hidden="1" x14ac:dyDescent="0.3">
      <c r="A8657" t="s">
        <v>34</v>
      </c>
      <c r="B8657">
        <v>2021</v>
      </c>
      <c r="C8657" t="s">
        <v>46</v>
      </c>
      <c r="D8657" t="s">
        <v>18</v>
      </c>
      <c r="E8657" t="e">
        <f>VLOOKUP(Cpi_[[#This Row],[Attribute]],#REF!,2,FALSE)</f>
        <v>#REF!</v>
      </c>
      <c r="F8657">
        <v>158.69999999999999</v>
      </c>
      <c r="G8657">
        <f>(Cpi_[[#This Row],[Value]]-F8656)/F8656</f>
        <v>-5.8160237388724105E-2</v>
      </c>
      <c r="H8657" t="e" cm="1" vm="1">
        <f t="array" aca="1" ref="H8657" ca="1">VLOOKUP(Cpi_[[#This Row],[Year]:[Month]],crudeoil[],3,FALSE)</f>
        <v>#VALUE!</v>
      </c>
    </row>
    <row r="8658" spans="1:8" hidden="1" x14ac:dyDescent="0.3">
      <c r="A8658" t="s">
        <v>34</v>
      </c>
      <c r="B8658">
        <v>2021</v>
      </c>
      <c r="C8658" t="s">
        <v>46</v>
      </c>
      <c r="D8658" t="s">
        <v>19</v>
      </c>
      <c r="E8658" t="e">
        <f>VLOOKUP(Cpi_[[#This Row],[Attribute]],#REF!,2,FALSE)</f>
        <v>#REF!</v>
      </c>
      <c r="F8658">
        <v>167</v>
      </c>
      <c r="G8658">
        <f>(Cpi_[[#This Row],[Value]]-F8657)/F8657</f>
        <v>5.2299936988027804E-2</v>
      </c>
      <c r="H8658" t="e" cm="1" vm="1">
        <f t="array" aca="1" ref="H8658" ca="1">VLOOKUP(Cpi_[[#This Row],[Year]:[Month]],crudeoil[],3,FALSE)</f>
        <v>#VALUE!</v>
      </c>
    </row>
    <row r="8659" spans="1:8" hidden="1" x14ac:dyDescent="0.3">
      <c r="A8659" t="s">
        <v>34</v>
      </c>
      <c r="B8659">
        <v>2021</v>
      </c>
      <c r="C8659" t="s">
        <v>46</v>
      </c>
      <c r="D8659" t="s">
        <v>20</v>
      </c>
      <c r="E8659" t="e">
        <f>VLOOKUP(Cpi_[[#This Row],[Attribute]],#REF!,2,FALSE)</f>
        <v>#REF!</v>
      </c>
      <c r="F8659">
        <v>163.4</v>
      </c>
      <c r="G8659">
        <f>(Cpi_[[#This Row],[Value]]-F8658)/F8658</f>
        <v>-2.1556886227544876E-2</v>
      </c>
      <c r="H8659" t="e" cm="1" vm="1">
        <f t="array" aca="1" ref="H8659" ca="1">VLOOKUP(Cpi_[[#This Row],[Year]:[Month]],crudeoil[],3,FALSE)</f>
        <v>#VALUE!</v>
      </c>
    </row>
    <row r="8660" spans="1:8" hidden="1" x14ac:dyDescent="0.3">
      <c r="A8660" t="s">
        <v>34</v>
      </c>
      <c r="B8660">
        <v>2021</v>
      </c>
      <c r="C8660" t="s">
        <v>46</v>
      </c>
      <c r="D8660" t="s">
        <v>21</v>
      </c>
      <c r="E8660" t="e">
        <f>VLOOKUP(Cpi_[[#This Row],[Attribute]],#REF!,2,FALSE)</f>
        <v>#REF!</v>
      </c>
      <c r="F8660">
        <v>164.1</v>
      </c>
      <c r="G8660">
        <f>(Cpi_[[#This Row],[Value]]-F8659)/F8659</f>
        <v>4.283965728274104E-3</v>
      </c>
      <c r="H8660" t="e" cm="1" vm="1">
        <f t="array" aca="1" ref="H8660" ca="1">VLOOKUP(Cpi_[[#This Row],[Year]:[Month]],crudeoil[],3,FALSE)</f>
        <v>#VALUE!</v>
      </c>
    </row>
    <row r="8661" spans="1:8" hidden="1" x14ac:dyDescent="0.3">
      <c r="A8661" t="s">
        <v>34</v>
      </c>
      <c r="B8661">
        <v>2021</v>
      </c>
      <c r="C8661" t="s">
        <v>46</v>
      </c>
      <c r="D8661" t="s">
        <v>22</v>
      </c>
      <c r="E8661" t="e">
        <f>VLOOKUP(Cpi_[[#This Row],[Attribute]],#REF!,2,FALSE)</f>
        <v>#REF!</v>
      </c>
      <c r="F8661">
        <v>160.19999999999999</v>
      </c>
      <c r="G8661">
        <f>(Cpi_[[#This Row],[Value]]-F8660)/F8660</f>
        <v>-2.3765996343692905E-2</v>
      </c>
      <c r="H8661" t="e" cm="1" vm="1">
        <f t="array" aca="1" ref="H8661" ca="1">VLOOKUP(Cpi_[[#This Row],[Year]:[Month]],crudeoil[],3,FALSE)</f>
        <v>#VALUE!</v>
      </c>
    </row>
    <row r="8662" spans="1:8" hidden="1" x14ac:dyDescent="0.3">
      <c r="A8662" t="s">
        <v>34</v>
      </c>
      <c r="B8662">
        <v>2021</v>
      </c>
      <c r="C8662" t="s">
        <v>46</v>
      </c>
      <c r="D8662" t="s">
        <v>23</v>
      </c>
      <c r="E8662" t="e">
        <f>VLOOKUP(Cpi_[[#This Row],[Attribute]],#REF!,2,FALSE)</f>
        <v>#REF!</v>
      </c>
      <c r="F8662">
        <v>170.6</v>
      </c>
      <c r="G8662">
        <f>(Cpi_[[#This Row],[Value]]-F8661)/F8661</f>
        <v>6.4918851435705402E-2</v>
      </c>
      <c r="H8662" t="e" cm="1" vm="1">
        <f t="array" aca="1" ref="H8662" ca="1">VLOOKUP(Cpi_[[#This Row],[Year]:[Month]],crudeoil[],3,FALSE)</f>
        <v>#VALUE!</v>
      </c>
    </row>
    <row r="8663" spans="1:8" hidden="1" x14ac:dyDescent="0.3">
      <c r="A8663" t="s">
        <v>34</v>
      </c>
      <c r="B8663">
        <v>2021</v>
      </c>
      <c r="C8663" t="s">
        <v>46</v>
      </c>
      <c r="D8663" t="s">
        <v>24</v>
      </c>
      <c r="E8663" t="e">
        <f>VLOOKUP(Cpi_[[#This Row],[Attribute]],#REF!,2,FALSE)</f>
        <v>#REF!</v>
      </c>
      <c r="F8663">
        <v>155.69999999999999</v>
      </c>
      <c r="G8663">
        <f>(Cpi_[[#This Row],[Value]]-F8662)/F8662</f>
        <v>-8.7338804220398636E-2</v>
      </c>
      <c r="H8663" t="e" cm="1" vm="1">
        <f t="array" aca="1" ref="H8663" ca="1">VLOOKUP(Cpi_[[#This Row],[Year]:[Month]],crudeoil[],3,FALSE)</f>
        <v>#VALUE!</v>
      </c>
    </row>
    <row r="8664" spans="1:8" hidden="1" x14ac:dyDescent="0.3">
      <c r="A8664" t="s">
        <v>34</v>
      </c>
      <c r="B8664">
        <v>2021</v>
      </c>
      <c r="C8664" t="s">
        <v>46</v>
      </c>
      <c r="D8664" t="s">
        <v>25</v>
      </c>
      <c r="E8664" t="e">
        <f>VLOOKUP(Cpi_[[#This Row],[Attribute]],#REF!,2,FALSE)</f>
        <v>#REF!</v>
      </c>
      <c r="F8664">
        <v>160.6</v>
      </c>
      <c r="G8664">
        <f>(Cpi_[[#This Row],[Value]]-F8663)/F8663</f>
        <v>3.1470777135517061E-2</v>
      </c>
      <c r="H8664" t="e" cm="1" vm="1">
        <f t="array" aca="1" ref="H8664" ca="1">VLOOKUP(Cpi_[[#This Row],[Year]:[Month]],crudeoil[],3,FALSE)</f>
        <v>#VALUE!</v>
      </c>
    </row>
    <row r="8665" spans="1:8" hidden="1" x14ac:dyDescent="0.3">
      <c r="A8665" t="s">
        <v>34</v>
      </c>
      <c r="B8665">
        <v>2021</v>
      </c>
      <c r="C8665" t="s">
        <v>46</v>
      </c>
      <c r="D8665" t="s">
        <v>26</v>
      </c>
      <c r="E8665" t="e">
        <f>VLOOKUP(Cpi_[[#This Row],[Attribute]],#REF!,2,FALSE)</f>
        <v>#REF!</v>
      </c>
      <c r="F8665">
        <v>164.4</v>
      </c>
      <c r="G8665">
        <f>(Cpi_[[#This Row],[Value]]-F8664)/F8664</f>
        <v>2.3661270236612773E-2</v>
      </c>
      <c r="H8665" t="e" cm="1" vm="1">
        <f t="array" aca="1" ref="H8665" ca="1">VLOOKUP(Cpi_[[#This Row],[Year]:[Month]],crudeoil[],3,FALSE)</f>
        <v>#VALUE!</v>
      </c>
    </row>
    <row r="8666" spans="1:8" hidden="1" x14ac:dyDescent="0.3">
      <c r="A8666" t="s">
        <v>34</v>
      </c>
      <c r="B8666">
        <v>2021</v>
      </c>
      <c r="C8666" t="s">
        <v>46</v>
      </c>
      <c r="D8666" t="s">
        <v>27</v>
      </c>
      <c r="E8666" t="e">
        <f>VLOOKUP(Cpi_[[#This Row],[Attribute]],#REF!,2,FALSE)</f>
        <v>#REF!</v>
      </c>
      <c r="F8666">
        <v>162.6</v>
      </c>
      <c r="G8666">
        <f>(Cpi_[[#This Row],[Value]]-F8665)/F8665</f>
        <v>-1.0948905109489119E-2</v>
      </c>
      <c r="H8666" t="e" cm="1" vm="1">
        <f t="array" aca="1" ref="H8666" ca="1">VLOOKUP(Cpi_[[#This Row],[Year]:[Month]],crudeoil[],3,FALSE)</f>
        <v>#VALUE!</v>
      </c>
    </row>
    <row r="8667" spans="1:8" hidden="1" x14ac:dyDescent="0.3">
      <c r="A8667" t="s">
        <v>34</v>
      </c>
      <c r="B8667">
        <v>2021</v>
      </c>
      <c r="C8667" t="s">
        <v>46</v>
      </c>
      <c r="D8667" t="s">
        <v>28</v>
      </c>
      <c r="E8667" t="e">
        <f>VLOOKUP(Cpi_[[#This Row],[Attribute]],#REF!,2,FALSE)</f>
        <v>#REF!</v>
      </c>
      <c r="F8667">
        <v>162</v>
      </c>
      <c r="G8667">
        <f>(Cpi_[[#This Row],[Value]]-F8666)/F8666</f>
        <v>-3.6900369003689689E-3</v>
      </c>
      <c r="H8667" t="e" cm="1" vm="1">
        <f t="array" aca="1" ref="H8667" ca="1">VLOOKUP(Cpi_[[#This Row],[Year]:[Month]],crudeoil[],3,FALSE)</f>
        <v>#VALUE!</v>
      </c>
    </row>
    <row r="8668" spans="1:8" hidden="1" x14ac:dyDescent="0.3">
      <c r="A8668" t="s">
        <v>34</v>
      </c>
      <c r="B8668">
        <v>2021</v>
      </c>
      <c r="C8668" t="s">
        <v>46</v>
      </c>
      <c r="D8668" t="s">
        <v>29</v>
      </c>
      <c r="E8668" t="e" cm="1">
        <f t="array" aca="1" ref="E8668" ca="1">VLGeneral indexGeneral indexKUP(Cpi_[[#This Row],[Attribute]],#REF!,2,FALSE)</f>
        <v>#NAME?</v>
      </c>
      <c r="F8668">
        <v>166.2</v>
      </c>
      <c r="G8668">
        <f>(Cpi_[[#This Row],[Value]]-F8667)/F8667</f>
        <v>2.5925925925925856E-2</v>
      </c>
      <c r="H8668" t="e" cm="1" vm="1">
        <f t="array" aca="1" ref="H8668" ca="1">VLOOKUP(Cpi_[[#This Row],[Year]:[Month]],crudeoil[],3,FALSE)</f>
        <v>#VALUE!</v>
      </c>
    </row>
    <row r="8669" spans="1:8" hidden="1" x14ac:dyDescent="0.3">
      <c r="A8669" t="s">
        <v>30</v>
      </c>
      <c r="B8669">
        <v>2022</v>
      </c>
      <c r="C8669" t="s">
        <v>31</v>
      </c>
      <c r="D8669" t="s">
        <v>3</v>
      </c>
      <c r="E8669" t="e">
        <f>VLOOKUP(Cpi_[[#This Row],[Attribute]],#REF!,2,FALSE)</f>
        <v>#REF!</v>
      </c>
      <c r="F8669">
        <v>148.30000000000001</v>
      </c>
      <c r="G8669">
        <f>(Cpi_[[#This Row],[Value]]-F8668)/F8668</f>
        <v>-0.10770156438026461</v>
      </c>
      <c r="H8669" t="e" cm="1" vm="1">
        <f t="array" aca="1" ref="H8669" ca="1">VLOOKUP(Cpi_[[#This Row],[Year]:[Month]],crudeoil[],3,FALSE)</f>
        <v>#VALUE!</v>
      </c>
    </row>
    <row r="8670" spans="1:8" hidden="1" x14ac:dyDescent="0.3">
      <c r="A8670" t="s">
        <v>30</v>
      </c>
      <c r="B8670">
        <v>2022</v>
      </c>
      <c r="C8670" t="s">
        <v>31</v>
      </c>
      <c r="D8670" t="s">
        <v>4</v>
      </c>
      <c r="E8670" t="e">
        <f>VLOOKUP(Cpi_[[#This Row],[Attribute]],#REF!,2,FALSE)</f>
        <v>#REF!</v>
      </c>
      <c r="F8670">
        <v>196.9</v>
      </c>
      <c r="G8670">
        <f>(Cpi_[[#This Row],[Value]]-F8669)/F8669</f>
        <v>0.32771409305461896</v>
      </c>
      <c r="H8670" t="e" cm="1" vm="1">
        <f t="array" aca="1" ref="H8670" ca="1">VLOOKUP(Cpi_[[#This Row],[Year]:[Month]],crudeoil[],3,FALSE)</f>
        <v>#VALUE!</v>
      </c>
    </row>
    <row r="8671" spans="1:8" hidden="1" x14ac:dyDescent="0.3">
      <c r="A8671" t="s">
        <v>30</v>
      </c>
      <c r="B8671">
        <v>2022</v>
      </c>
      <c r="C8671" t="s">
        <v>31</v>
      </c>
      <c r="D8671" t="s">
        <v>5</v>
      </c>
      <c r="E8671" t="e">
        <f>VLOOKUP(Cpi_[[#This Row],[Attribute]],#REF!,2,FALSE)</f>
        <v>#REF!</v>
      </c>
      <c r="F8671">
        <v>178</v>
      </c>
      <c r="G8671">
        <f>(Cpi_[[#This Row],[Value]]-F8670)/F8670</f>
        <v>-9.5987811071609974E-2</v>
      </c>
      <c r="H8671" t="e" cm="1" vm="1">
        <f t="array" aca="1" ref="H8671" ca="1">VLOOKUP(Cpi_[[#This Row],[Year]:[Month]],crudeoil[],3,FALSE)</f>
        <v>#VALUE!</v>
      </c>
    </row>
    <row r="8672" spans="1:8" hidden="1" x14ac:dyDescent="0.3">
      <c r="A8672" t="s">
        <v>30</v>
      </c>
      <c r="B8672">
        <v>2022</v>
      </c>
      <c r="C8672" t="s">
        <v>31</v>
      </c>
      <c r="D8672" t="s">
        <v>6</v>
      </c>
      <c r="E8672" t="e">
        <f>VLOOKUP(Cpi_[[#This Row],[Attribute]],#REF!,2,FALSE)</f>
        <v>#REF!</v>
      </c>
      <c r="F8672">
        <v>160.5</v>
      </c>
      <c r="G8672">
        <f>(Cpi_[[#This Row],[Value]]-F8671)/F8671</f>
        <v>-9.8314606741573038E-2</v>
      </c>
      <c r="H8672" t="e" cm="1" vm="1">
        <f t="array" aca="1" ref="H8672" ca="1">VLOOKUP(Cpi_[[#This Row],[Year]:[Month]],crudeoil[],3,FALSE)</f>
        <v>#VALUE!</v>
      </c>
    </row>
    <row r="8673" spans="1:8" hidden="1" x14ac:dyDescent="0.3">
      <c r="A8673" t="s">
        <v>30</v>
      </c>
      <c r="B8673">
        <v>2022</v>
      </c>
      <c r="C8673" t="s">
        <v>31</v>
      </c>
      <c r="D8673" t="s">
        <v>7</v>
      </c>
      <c r="E8673" t="e">
        <f>VLOOKUP(Cpi_[[#This Row],[Attribute]],#REF!,2,FALSE)</f>
        <v>#REF!</v>
      </c>
      <c r="F8673">
        <v>192.6</v>
      </c>
      <c r="G8673">
        <f>(Cpi_[[#This Row],[Value]]-F8672)/F8672</f>
        <v>0.19999999999999996</v>
      </c>
      <c r="H8673" t="e" cm="1" vm="1">
        <f t="array" aca="1" ref="H8673" ca="1">VLOOKUP(Cpi_[[#This Row],[Year]:[Month]],crudeoil[],3,FALSE)</f>
        <v>#VALUE!</v>
      </c>
    </row>
    <row r="8674" spans="1:8" hidden="1" x14ac:dyDescent="0.3">
      <c r="A8674" t="s">
        <v>30</v>
      </c>
      <c r="B8674">
        <v>2022</v>
      </c>
      <c r="C8674" t="s">
        <v>31</v>
      </c>
      <c r="D8674" t="s">
        <v>8</v>
      </c>
      <c r="E8674" t="e">
        <f>VLOOKUP(Cpi_[[#This Row],[Attribute]],#REF!,2,FALSE)</f>
        <v>#REF!</v>
      </c>
      <c r="F8674">
        <v>151.19999999999999</v>
      </c>
      <c r="G8674">
        <f>(Cpi_[[#This Row],[Value]]-F8673)/F8673</f>
        <v>-0.21495327102803741</v>
      </c>
      <c r="H8674" t="e" cm="1" vm="1">
        <f t="array" aca="1" ref="H8674" ca="1">VLOOKUP(Cpi_[[#This Row],[Year]:[Month]],crudeoil[],3,FALSE)</f>
        <v>#VALUE!</v>
      </c>
    </row>
    <row r="8675" spans="1:8" hidden="1" x14ac:dyDescent="0.3">
      <c r="A8675" t="s">
        <v>30</v>
      </c>
      <c r="B8675">
        <v>2022</v>
      </c>
      <c r="C8675" t="s">
        <v>31</v>
      </c>
      <c r="D8675" t="s">
        <v>9</v>
      </c>
      <c r="E8675" t="e">
        <f>VLOOKUP(Cpi_[[#This Row],[Attribute]],#REF!,2,FALSE)</f>
        <v>#REF!</v>
      </c>
      <c r="F8675">
        <v>159.19999999999999</v>
      </c>
      <c r="G8675">
        <f>(Cpi_[[#This Row],[Value]]-F8674)/F8674</f>
        <v>5.2910052910052914E-2</v>
      </c>
      <c r="H8675" t="e" cm="1" vm="1">
        <f t="array" aca="1" ref="H8675" ca="1">VLOOKUP(Cpi_[[#This Row],[Year]:[Month]],crudeoil[],3,FALSE)</f>
        <v>#VALUE!</v>
      </c>
    </row>
    <row r="8676" spans="1:8" hidden="1" x14ac:dyDescent="0.3">
      <c r="A8676" t="s">
        <v>30</v>
      </c>
      <c r="B8676">
        <v>2022</v>
      </c>
      <c r="C8676" t="s">
        <v>31</v>
      </c>
      <c r="D8676" t="s">
        <v>10</v>
      </c>
      <c r="E8676" t="e">
        <f>VLOOKUP(Cpi_[[#This Row],[Attribute]],#REF!,2,FALSE)</f>
        <v>#REF!</v>
      </c>
      <c r="F8676">
        <v>164</v>
      </c>
      <c r="G8676">
        <f>(Cpi_[[#This Row],[Value]]-F8675)/F8675</f>
        <v>3.0150753768844296E-2</v>
      </c>
      <c r="H8676" t="e" cm="1" vm="1">
        <f t="array" aca="1" ref="H8676" ca="1">VLOOKUP(Cpi_[[#This Row],[Year]:[Month]],crudeoil[],3,FALSE)</f>
        <v>#VALUE!</v>
      </c>
    </row>
    <row r="8677" spans="1:8" hidden="1" x14ac:dyDescent="0.3">
      <c r="A8677" t="s">
        <v>30</v>
      </c>
      <c r="B8677">
        <v>2022</v>
      </c>
      <c r="C8677" t="s">
        <v>31</v>
      </c>
      <c r="D8677" t="s">
        <v>11</v>
      </c>
      <c r="E8677" t="e">
        <f>VLOOKUP(Cpi_[[#This Row],[Attribute]],#REF!,2,FALSE)</f>
        <v>#REF!</v>
      </c>
      <c r="F8677">
        <v>119.3</v>
      </c>
      <c r="G8677">
        <f>(Cpi_[[#This Row],[Value]]-F8676)/F8676</f>
        <v>-0.27256097560975612</v>
      </c>
      <c r="H8677" t="e" cm="1" vm="1">
        <f t="array" aca="1" ref="H8677" ca="1">VLOOKUP(Cpi_[[#This Row],[Year]:[Month]],crudeoil[],3,FALSE)</f>
        <v>#VALUE!</v>
      </c>
    </row>
    <row r="8678" spans="1:8" hidden="1" x14ac:dyDescent="0.3">
      <c r="A8678" t="s">
        <v>30</v>
      </c>
      <c r="B8678">
        <v>2022</v>
      </c>
      <c r="C8678" t="s">
        <v>31</v>
      </c>
      <c r="D8678" t="s">
        <v>12</v>
      </c>
      <c r="E8678" t="e">
        <f>VLOOKUP(Cpi_[[#This Row],[Attribute]],#REF!,2,FALSE)</f>
        <v>#REF!</v>
      </c>
      <c r="F8678">
        <v>173.3</v>
      </c>
      <c r="G8678">
        <f>(Cpi_[[#This Row],[Value]]-F8677)/F8677</f>
        <v>0.45264040234702446</v>
      </c>
      <c r="H8678" t="e" cm="1" vm="1">
        <f t="array" aca="1" ref="H8678" ca="1">VLOOKUP(Cpi_[[#This Row],[Year]:[Month]],crudeoil[],3,FALSE)</f>
        <v>#VALUE!</v>
      </c>
    </row>
    <row r="8679" spans="1:8" hidden="1" x14ac:dyDescent="0.3">
      <c r="A8679" t="s">
        <v>30</v>
      </c>
      <c r="B8679">
        <v>2022</v>
      </c>
      <c r="C8679" t="s">
        <v>31</v>
      </c>
      <c r="D8679" t="s">
        <v>13</v>
      </c>
      <c r="E8679" t="e">
        <f>VLOOKUP(Cpi_[[#This Row],[Attribute]],#REF!,2,FALSE)</f>
        <v>#REF!</v>
      </c>
      <c r="F8679">
        <v>169.8</v>
      </c>
      <c r="G8679">
        <f>(Cpi_[[#This Row],[Value]]-F8678)/F8678</f>
        <v>-2.0196191575302943E-2</v>
      </c>
      <c r="H8679" t="e" cm="1" vm="1">
        <f t="array" aca="1" ref="H8679" ca="1">VLOOKUP(Cpi_[[#This Row],[Year]:[Month]],crudeoil[],3,FALSE)</f>
        <v>#VALUE!</v>
      </c>
    </row>
    <row r="8680" spans="1:8" hidden="1" x14ac:dyDescent="0.3">
      <c r="A8680" t="s">
        <v>30</v>
      </c>
      <c r="B8680">
        <v>2022</v>
      </c>
      <c r="C8680" t="s">
        <v>31</v>
      </c>
      <c r="D8680" t="s">
        <v>14</v>
      </c>
      <c r="E8680" t="e">
        <f>VLOOKUP(Cpi_[[#This Row],[Attribute]],#REF!,2,FALSE)</f>
        <v>#REF!</v>
      </c>
      <c r="F8680">
        <v>175.8</v>
      </c>
      <c r="G8680">
        <f>(Cpi_[[#This Row],[Value]]-F8679)/F8679</f>
        <v>3.533568904593639E-2</v>
      </c>
      <c r="H8680" t="e" cm="1" vm="1">
        <f t="array" aca="1" ref="H8680" ca="1">VLOOKUP(Cpi_[[#This Row],[Year]:[Month]],crudeoil[],3,FALSE)</f>
        <v>#VALUE!</v>
      </c>
    </row>
    <row r="8681" spans="1:8" hidden="1" x14ac:dyDescent="0.3">
      <c r="A8681" t="s">
        <v>30</v>
      </c>
      <c r="B8681">
        <v>2022</v>
      </c>
      <c r="C8681" t="s">
        <v>31</v>
      </c>
      <c r="D8681" t="s">
        <v>15</v>
      </c>
      <c r="E8681" t="e">
        <f>VLOOKUP(Cpi_[[#This Row],[Attribute]],#REF!,2,FALSE)</f>
        <v>#REF!</v>
      </c>
      <c r="F8681">
        <v>164.1</v>
      </c>
      <c r="G8681">
        <f>(Cpi_[[#This Row],[Value]]-F8680)/F8680</f>
        <v>-6.6552901023890873E-2</v>
      </c>
      <c r="H8681" t="e" cm="1" vm="1">
        <f t="array" aca="1" ref="H8681" ca="1">VLOOKUP(Cpi_[[#This Row],[Year]:[Month]],crudeoil[],3,FALSE)</f>
        <v>#VALUE!</v>
      </c>
    </row>
    <row r="8682" spans="1:8" hidden="1" x14ac:dyDescent="0.3">
      <c r="A8682" t="s">
        <v>30</v>
      </c>
      <c r="B8682">
        <v>2022</v>
      </c>
      <c r="C8682" t="s">
        <v>31</v>
      </c>
      <c r="D8682" t="s">
        <v>16</v>
      </c>
      <c r="E8682" t="e">
        <f>VLOOKUP(Cpi_[[#This Row],[Attribute]],#REF!,2,FALSE)</f>
        <v>#REF!</v>
      </c>
      <c r="F8682">
        <v>190.7</v>
      </c>
      <c r="G8682">
        <f>(Cpi_[[#This Row],[Value]]-F8681)/F8681</f>
        <v>0.16209628275441801</v>
      </c>
      <c r="H8682" t="e" cm="1" vm="1">
        <f t="array" aca="1" ref="H8682" ca="1">VLOOKUP(Cpi_[[#This Row],[Year]:[Month]],crudeoil[],3,FALSE)</f>
        <v>#VALUE!</v>
      </c>
    </row>
    <row r="8683" spans="1:8" hidden="1" x14ac:dyDescent="0.3">
      <c r="A8683" t="s">
        <v>30</v>
      </c>
      <c r="B8683">
        <v>2022</v>
      </c>
      <c r="C8683" t="s">
        <v>31</v>
      </c>
      <c r="D8683" t="s">
        <v>17</v>
      </c>
      <c r="E8683" t="e">
        <f>VLOOKUP(Cpi_[[#This Row],[Attribute]],#REF!,2,FALSE)</f>
        <v>#REF!</v>
      </c>
      <c r="F8683">
        <v>173.2</v>
      </c>
      <c r="G8683">
        <f>(Cpi_[[#This Row],[Value]]-F8682)/F8682</f>
        <v>-9.1767173571054017E-2</v>
      </c>
      <c r="H8683" t="e" cm="1" vm="1">
        <f t="array" aca="1" ref="H8683" ca="1">VLOOKUP(Cpi_[[#This Row],[Year]:[Month]],crudeoil[],3,FALSE)</f>
        <v>#VALUE!</v>
      </c>
    </row>
    <row r="8684" spans="1:8" hidden="1" x14ac:dyDescent="0.3">
      <c r="A8684" t="s">
        <v>30</v>
      </c>
      <c r="B8684">
        <v>2022</v>
      </c>
      <c r="C8684" t="s">
        <v>31</v>
      </c>
      <c r="D8684" t="s">
        <v>18</v>
      </c>
      <c r="E8684" t="e">
        <f>VLOOKUP(Cpi_[[#This Row],[Attribute]],#REF!,2,FALSE)</f>
        <v>#REF!</v>
      </c>
      <c r="F8684">
        <v>169.3</v>
      </c>
      <c r="G8684">
        <f>(Cpi_[[#This Row],[Value]]-F8683)/F8683</f>
        <v>-2.2517321016166152E-2</v>
      </c>
      <c r="H8684" t="e" cm="1" vm="1">
        <f t="array" aca="1" ref="H8684" ca="1">VLOOKUP(Cpi_[[#This Row],[Year]:[Month]],crudeoil[],3,FALSE)</f>
        <v>#VALUE!</v>
      </c>
    </row>
    <row r="8685" spans="1:8" hidden="1" x14ac:dyDescent="0.3">
      <c r="A8685" t="s">
        <v>30</v>
      </c>
      <c r="B8685">
        <v>2022</v>
      </c>
      <c r="C8685" t="s">
        <v>31</v>
      </c>
      <c r="D8685" t="s">
        <v>19</v>
      </c>
      <c r="E8685" t="e">
        <f>VLOOKUP(Cpi_[[#This Row],[Attribute]],#REF!,2,FALSE)</f>
        <v>#REF!</v>
      </c>
      <c r="F8685">
        <v>172.7</v>
      </c>
      <c r="G8685">
        <f>(Cpi_[[#This Row],[Value]]-F8684)/F8684</f>
        <v>2.0082693443591121E-2</v>
      </c>
      <c r="H8685" t="e" cm="1" vm="1">
        <f t="array" aca="1" ref="H8685" ca="1">VLOOKUP(Cpi_[[#This Row],[Year]:[Month]],crudeoil[],3,FALSE)</f>
        <v>#VALUE!</v>
      </c>
    </row>
    <row r="8686" spans="1:8" hidden="1" x14ac:dyDescent="0.3">
      <c r="A8686" t="s">
        <v>30</v>
      </c>
      <c r="B8686">
        <v>2022</v>
      </c>
      <c r="C8686" t="s">
        <v>31</v>
      </c>
      <c r="D8686" t="s">
        <v>20</v>
      </c>
      <c r="E8686" t="e">
        <f>VLOOKUP(Cpi_[[#This Row],[Attribute]],#REF!,2,FALSE)</f>
        <v>#REF!</v>
      </c>
      <c r="F8686" t="s">
        <v>32</v>
      </c>
      <c r="G8686" t="e">
        <f>(Cpi_[[#This Row],[Value]]-F8685)/F8685</f>
        <v>#VALUE!</v>
      </c>
      <c r="H8686" t="e" cm="1" vm="1">
        <f t="array" aca="1" ref="H8686" ca="1">VLOOKUP(Cpi_[[#This Row],[Year]:[Month]],crudeoil[],3,FALSE)</f>
        <v>#VALUE!</v>
      </c>
    </row>
    <row r="8687" spans="1:8" hidden="1" x14ac:dyDescent="0.3">
      <c r="A8687" t="s">
        <v>30</v>
      </c>
      <c r="B8687">
        <v>2022</v>
      </c>
      <c r="C8687" t="s">
        <v>31</v>
      </c>
      <c r="D8687" t="s">
        <v>21</v>
      </c>
      <c r="E8687" t="e">
        <f>VLOOKUP(Cpi_[[#This Row],[Attribute]],#REF!,2,FALSE)</f>
        <v>#REF!</v>
      </c>
      <c r="F8687">
        <v>165.8</v>
      </c>
      <c r="G8687" t="e">
        <f>(Cpi_[[#This Row],[Value]]-F8686)/F8686</f>
        <v>#VALUE!</v>
      </c>
      <c r="H8687" t="e" cm="1" vm="1">
        <f t="array" aca="1" ref="H8687" ca="1">VLOOKUP(Cpi_[[#This Row],[Year]:[Month]],crudeoil[],3,FALSE)</f>
        <v>#VALUE!</v>
      </c>
    </row>
    <row r="8688" spans="1:8" hidden="1" x14ac:dyDescent="0.3">
      <c r="A8688" t="s">
        <v>30</v>
      </c>
      <c r="B8688">
        <v>2022</v>
      </c>
      <c r="C8688" t="s">
        <v>31</v>
      </c>
      <c r="D8688" t="s">
        <v>22</v>
      </c>
      <c r="E8688" t="e">
        <f>VLOOKUP(Cpi_[[#This Row],[Attribute]],#REF!,2,FALSE)</f>
        <v>#REF!</v>
      </c>
      <c r="F8688">
        <v>164.9</v>
      </c>
      <c r="G8688">
        <f>(Cpi_[[#This Row],[Value]]-F8687)/F8687</f>
        <v>-5.428226779252145E-3</v>
      </c>
      <c r="H8688" t="e" cm="1" vm="1">
        <f t="array" aca="1" ref="H8688" ca="1">VLOOKUP(Cpi_[[#This Row],[Year]:[Month]],crudeoil[],3,FALSE)</f>
        <v>#VALUE!</v>
      </c>
    </row>
    <row r="8689" spans="1:8" hidden="1" x14ac:dyDescent="0.3">
      <c r="A8689" t="s">
        <v>30</v>
      </c>
      <c r="B8689">
        <v>2022</v>
      </c>
      <c r="C8689" t="s">
        <v>31</v>
      </c>
      <c r="D8689" t="s">
        <v>23</v>
      </c>
      <c r="E8689" t="e">
        <f>VLOOKUP(Cpi_[[#This Row],[Attribute]],#REF!,2,FALSE)</f>
        <v>#REF!</v>
      </c>
      <c r="F8689">
        <v>174.7</v>
      </c>
      <c r="G8689">
        <f>(Cpi_[[#This Row],[Value]]-F8688)/F8688</f>
        <v>5.9429957550030214E-2</v>
      </c>
      <c r="H8689" t="e" cm="1" vm="1">
        <f t="array" aca="1" ref="H8689" ca="1">VLOOKUP(Cpi_[[#This Row],[Year]:[Month]],crudeoil[],3,FALSE)</f>
        <v>#VALUE!</v>
      </c>
    </row>
    <row r="8690" spans="1:8" hidden="1" x14ac:dyDescent="0.3">
      <c r="A8690" t="s">
        <v>30</v>
      </c>
      <c r="B8690">
        <v>2022</v>
      </c>
      <c r="C8690" t="s">
        <v>31</v>
      </c>
      <c r="D8690" t="s">
        <v>24</v>
      </c>
      <c r="E8690" t="e">
        <f>VLOOKUP(Cpi_[[#This Row],[Attribute]],#REF!,2,FALSE)</f>
        <v>#REF!</v>
      </c>
      <c r="F8690">
        <v>160.80000000000001</v>
      </c>
      <c r="G8690">
        <f>(Cpi_[[#This Row],[Value]]-F8689)/F8689</f>
        <v>-7.9564968517458382E-2</v>
      </c>
      <c r="H8690" t="e" cm="1" vm="1">
        <f t="array" aca="1" ref="H8690" ca="1">VLOOKUP(Cpi_[[#This Row],[Year]:[Month]],crudeoil[],3,FALSE)</f>
        <v>#VALUE!</v>
      </c>
    </row>
    <row r="8691" spans="1:8" hidden="1" x14ac:dyDescent="0.3">
      <c r="A8691" t="s">
        <v>30</v>
      </c>
      <c r="B8691">
        <v>2022</v>
      </c>
      <c r="C8691" t="s">
        <v>31</v>
      </c>
      <c r="D8691" t="s">
        <v>25</v>
      </c>
      <c r="E8691" t="e">
        <f>VLOOKUP(Cpi_[[#This Row],[Attribute]],#REF!,2,FALSE)</f>
        <v>#REF!</v>
      </c>
      <c r="F8691">
        <v>164.9</v>
      </c>
      <c r="G8691">
        <f>(Cpi_[[#This Row],[Value]]-F8690)/F8690</f>
        <v>2.5497512437810909E-2</v>
      </c>
      <c r="H8691" t="e" cm="1" vm="1">
        <f t="array" aca="1" ref="H8691" ca="1">VLOOKUP(Cpi_[[#This Row],[Year]:[Month]],crudeoil[],3,FALSE)</f>
        <v>#VALUE!</v>
      </c>
    </row>
    <row r="8692" spans="1:8" hidden="1" x14ac:dyDescent="0.3">
      <c r="A8692" t="s">
        <v>30</v>
      </c>
      <c r="B8692">
        <v>2022</v>
      </c>
      <c r="C8692" t="s">
        <v>31</v>
      </c>
      <c r="D8692" t="s">
        <v>26</v>
      </c>
      <c r="E8692" t="e">
        <f>VLOOKUP(Cpi_[[#This Row],[Attribute]],#REF!,2,FALSE)</f>
        <v>#REF!</v>
      </c>
      <c r="F8692">
        <v>169.9</v>
      </c>
      <c r="G8692">
        <f>(Cpi_[[#This Row],[Value]]-F8691)/F8691</f>
        <v>3.0321406913280776E-2</v>
      </c>
      <c r="H8692" t="e" cm="1" vm="1">
        <f t="array" aca="1" ref="H8692" ca="1">VLOOKUP(Cpi_[[#This Row],[Year]:[Month]],crudeoil[],3,FALSE)</f>
        <v>#VALUE!</v>
      </c>
    </row>
    <row r="8693" spans="1:8" hidden="1" x14ac:dyDescent="0.3">
      <c r="A8693" t="s">
        <v>30</v>
      </c>
      <c r="B8693">
        <v>2022</v>
      </c>
      <c r="C8693" t="s">
        <v>31</v>
      </c>
      <c r="D8693" t="s">
        <v>27</v>
      </c>
      <c r="E8693" t="e">
        <f>VLOOKUP(Cpi_[[#This Row],[Attribute]],#REF!,2,FALSE)</f>
        <v>#REF!</v>
      </c>
      <c r="F8693">
        <v>163.19999999999999</v>
      </c>
      <c r="G8693">
        <f>(Cpi_[[#This Row],[Value]]-F8692)/F8692</f>
        <v>-3.9434961742201395E-2</v>
      </c>
      <c r="H8693" t="e" cm="1" vm="1">
        <f t="array" aca="1" ref="H8693" ca="1">VLOOKUP(Cpi_[[#This Row],[Year]:[Month]],crudeoil[],3,FALSE)</f>
        <v>#VALUE!</v>
      </c>
    </row>
    <row r="8694" spans="1:8" hidden="1" x14ac:dyDescent="0.3">
      <c r="A8694" t="s">
        <v>30</v>
      </c>
      <c r="B8694">
        <v>2022</v>
      </c>
      <c r="C8694" t="s">
        <v>31</v>
      </c>
      <c r="D8694" t="s">
        <v>28</v>
      </c>
      <c r="E8694" t="e">
        <f>VLOOKUP(Cpi_[[#This Row],[Attribute]],#REF!,2,FALSE)</f>
        <v>#REF!</v>
      </c>
      <c r="F8694">
        <v>166.6</v>
      </c>
      <c r="G8694">
        <f>(Cpi_[[#This Row],[Value]]-F8693)/F8693</f>
        <v>2.083333333333337E-2</v>
      </c>
      <c r="H8694" t="e" cm="1" vm="1">
        <f t="array" aca="1" ref="H8694" ca="1">VLOOKUP(Cpi_[[#This Row],[Year]:[Month]],crudeoil[],3,FALSE)</f>
        <v>#VALUE!</v>
      </c>
    </row>
    <row r="8695" spans="1:8" hidden="1" x14ac:dyDescent="0.3">
      <c r="A8695" t="s">
        <v>30</v>
      </c>
      <c r="B8695">
        <v>2022</v>
      </c>
      <c r="C8695" t="s">
        <v>31</v>
      </c>
      <c r="D8695" t="s">
        <v>29</v>
      </c>
      <c r="E8695" t="e" cm="1">
        <f t="array" aca="1" ref="E8695" ca="1">VLGeneral indexGeneral indexKUP(Cpi_[[#This Row],[Attribute]],#REF!,2,FALSE)</f>
        <v>#NAME?</v>
      </c>
      <c r="F8695">
        <v>166.4</v>
      </c>
      <c r="G8695">
        <f>(Cpi_[[#This Row],[Value]]-F8694)/F8694</f>
        <v>-1.2004801920767626E-3</v>
      </c>
      <c r="H8695" t="e" cm="1" vm="1">
        <f t="array" aca="1" ref="H8695" ca="1">VLOOKUP(Cpi_[[#This Row],[Year]:[Month]],crudeoil[],3,FALSE)</f>
        <v>#VALUE!</v>
      </c>
    </row>
    <row r="8696" spans="1:8" hidden="1" x14ac:dyDescent="0.3">
      <c r="A8696" t="s">
        <v>33</v>
      </c>
      <c r="B8696">
        <v>2022</v>
      </c>
      <c r="C8696" t="s">
        <v>31</v>
      </c>
      <c r="D8696" t="s">
        <v>3</v>
      </c>
      <c r="E8696" t="e">
        <f>VLOOKUP(Cpi_[[#This Row],[Attribute]],#REF!,2,FALSE)</f>
        <v>#REF!</v>
      </c>
      <c r="F8696">
        <v>152.19999999999999</v>
      </c>
      <c r="G8696">
        <f>(Cpi_[[#This Row],[Value]]-F8695)/F8695</f>
        <v>-8.5336538461538561E-2</v>
      </c>
      <c r="H8696" t="e" cm="1" vm="1">
        <f t="array" aca="1" ref="H8696" ca="1">VLOOKUP(Cpi_[[#This Row],[Year]:[Month]],crudeoil[],3,FALSE)</f>
        <v>#VALUE!</v>
      </c>
    </row>
    <row r="8697" spans="1:8" hidden="1" x14ac:dyDescent="0.3">
      <c r="A8697" t="s">
        <v>33</v>
      </c>
      <c r="B8697">
        <v>2022</v>
      </c>
      <c r="C8697" t="s">
        <v>31</v>
      </c>
      <c r="D8697" t="s">
        <v>4</v>
      </c>
      <c r="E8697" t="e">
        <f>VLOOKUP(Cpi_[[#This Row],[Attribute]],#REF!,2,FALSE)</f>
        <v>#REF!</v>
      </c>
      <c r="F8697">
        <v>202.1</v>
      </c>
      <c r="G8697">
        <f>(Cpi_[[#This Row],[Value]]-F8696)/F8696</f>
        <v>0.32785808147174778</v>
      </c>
      <c r="H8697" t="e" cm="1" vm="1">
        <f t="array" aca="1" ref="H8697" ca="1">VLOOKUP(Cpi_[[#This Row],[Year]:[Month]],crudeoil[],3,FALSE)</f>
        <v>#VALUE!</v>
      </c>
    </row>
    <row r="8698" spans="1:8" hidden="1" x14ac:dyDescent="0.3">
      <c r="A8698" t="s">
        <v>33</v>
      </c>
      <c r="B8698">
        <v>2022</v>
      </c>
      <c r="C8698" t="s">
        <v>31</v>
      </c>
      <c r="D8698" t="s">
        <v>5</v>
      </c>
      <c r="E8698" t="e">
        <f>VLOOKUP(Cpi_[[#This Row],[Attribute]],#REF!,2,FALSE)</f>
        <v>#REF!</v>
      </c>
      <c r="F8698">
        <v>180.1</v>
      </c>
      <c r="G8698">
        <f>(Cpi_[[#This Row],[Value]]-F8697)/F8697</f>
        <v>-0.10885700148441366</v>
      </c>
      <c r="H8698" t="e" cm="1" vm="1">
        <f t="array" aca="1" ref="H8698" ca="1">VLOOKUP(Cpi_[[#This Row],[Year]:[Month]],crudeoil[],3,FALSE)</f>
        <v>#VALUE!</v>
      </c>
    </row>
    <row r="8699" spans="1:8" hidden="1" x14ac:dyDescent="0.3">
      <c r="A8699" t="s">
        <v>33</v>
      </c>
      <c r="B8699">
        <v>2022</v>
      </c>
      <c r="C8699" t="s">
        <v>31</v>
      </c>
      <c r="D8699" t="s">
        <v>6</v>
      </c>
      <c r="E8699" t="e">
        <f>VLOOKUP(Cpi_[[#This Row],[Attribute]],#REF!,2,FALSE)</f>
        <v>#REF!</v>
      </c>
      <c r="F8699">
        <v>160.4</v>
      </c>
      <c r="G8699">
        <f>(Cpi_[[#This Row],[Value]]-F8698)/F8698</f>
        <v>-0.10938367573570233</v>
      </c>
      <c r="H8699" t="e" cm="1" vm="1">
        <f t="array" aca="1" ref="H8699" ca="1">VLOOKUP(Cpi_[[#This Row],[Year]:[Month]],crudeoil[],3,FALSE)</f>
        <v>#VALUE!</v>
      </c>
    </row>
    <row r="8700" spans="1:8" hidden="1" x14ac:dyDescent="0.3">
      <c r="A8700" t="s">
        <v>33</v>
      </c>
      <c r="B8700">
        <v>2022</v>
      </c>
      <c r="C8700" t="s">
        <v>31</v>
      </c>
      <c r="D8700" t="s">
        <v>7</v>
      </c>
      <c r="E8700" t="e">
        <f>VLOOKUP(Cpi_[[#This Row],[Attribute]],#REF!,2,FALSE)</f>
        <v>#REF!</v>
      </c>
      <c r="F8700">
        <v>171</v>
      </c>
      <c r="G8700">
        <f>(Cpi_[[#This Row],[Value]]-F8699)/F8699</f>
        <v>6.6084788029925151E-2</v>
      </c>
      <c r="H8700" t="e" cm="1" vm="1">
        <f t="array" aca="1" ref="H8700" ca="1">VLOOKUP(Cpi_[[#This Row],[Year]:[Month]],crudeoil[],3,FALSE)</f>
        <v>#VALUE!</v>
      </c>
    </row>
    <row r="8701" spans="1:8" hidden="1" x14ac:dyDescent="0.3">
      <c r="A8701" t="s">
        <v>33</v>
      </c>
      <c r="B8701">
        <v>2022</v>
      </c>
      <c r="C8701" t="s">
        <v>31</v>
      </c>
      <c r="D8701" t="s">
        <v>8</v>
      </c>
      <c r="E8701" t="e">
        <f>VLOOKUP(Cpi_[[#This Row],[Attribute]],#REF!,2,FALSE)</f>
        <v>#REF!</v>
      </c>
      <c r="F8701">
        <v>156.5</v>
      </c>
      <c r="G8701">
        <f>(Cpi_[[#This Row],[Value]]-F8700)/F8700</f>
        <v>-8.4795321637426896E-2</v>
      </c>
      <c r="H8701" t="e" cm="1" vm="1">
        <f t="array" aca="1" ref="H8701" ca="1">VLOOKUP(Cpi_[[#This Row],[Year]:[Month]],crudeoil[],3,FALSE)</f>
        <v>#VALUE!</v>
      </c>
    </row>
    <row r="8702" spans="1:8" hidden="1" x14ac:dyDescent="0.3">
      <c r="A8702" t="s">
        <v>33</v>
      </c>
      <c r="B8702">
        <v>2022</v>
      </c>
      <c r="C8702" t="s">
        <v>31</v>
      </c>
      <c r="D8702" t="s">
        <v>9</v>
      </c>
      <c r="E8702" t="e">
        <f>VLOOKUP(Cpi_[[#This Row],[Attribute]],#REF!,2,FALSE)</f>
        <v>#REF!</v>
      </c>
      <c r="F8702">
        <v>203.6</v>
      </c>
      <c r="G8702">
        <f>(Cpi_[[#This Row],[Value]]-F8701)/F8701</f>
        <v>0.30095846645367408</v>
      </c>
      <c r="H8702" t="e" cm="1" vm="1">
        <f t="array" aca="1" ref="H8702" ca="1">VLOOKUP(Cpi_[[#This Row],[Year]:[Month]],crudeoil[],3,FALSE)</f>
        <v>#VALUE!</v>
      </c>
    </row>
    <row r="8703" spans="1:8" hidden="1" x14ac:dyDescent="0.3">
      <c r="A8703" t="s">
        <v>33</v>
      </c>
      <c r="B8703">
        <v>2022</v>
      </c>
      <c r="C8703" t="s">
        <v>31</v>
      </c>
      <c r="D8703" t="s">
        <v>10</v>
      </c>
      <c r="E8703" t="e">
        <f>VLOOKUP(Cpi_[[#This Row],[Attribute]],#REF!,2,FALSE)</f>
        <v>#REF!</v>
      </c>
      <c r="F8703">
        <v>163.80000000000001</v>
      </c>
      <c r="G8703">
        <f>(Cpi_[[#This Row],[Value]]-F8702)/F8702</f>
        <v>-0.19548133595284864</v>
      </c>
      <c r="H8703" t="e" cm="1" vm="1">
        <f t="array" aca="1" ref="H8703" ca="1">VLOOKUP(Cpi_[[#This Row],[Year]:[Month]],crudeoil[],3,FALSE)</f>
        <v>#VALUE!</v>
      </c>
    </row>
    <row r="8704" spans="1:8" hidden="1" x14ac:dyDescent="0.3">
      <c r="A8704" t="s">
        <v>33</v>
      </c>
      <c r="B8704">
        <v>2022</v>
      </c>
      <c r="C8704" t="s">
        <v>31</v>
      </c>
      <c r="D8704" t="s">
        <v>11</v>
      </c>
      <c r="E8704" t="e">
        <f>VLOOKUP(Cpi_[[#This Row],[Attribute]],#REF!,2,FALSE)</f>
        <v>#REF!</v>
      </c>
      <c r="F8704">
        <v>121.3</v>
      </c>
      <c r="G8704">
        <f>(Cpi_[[#This Row],[Value]]-F8703)/F8703</f>
        <v>-0.25946275946275954</v>
      </c>
      <c r="H8704" t="e" cm="1" vm="1">
        <f t="array" aca="1" ref="H8704" ca="1">VLOOKUP(Cpi_[[#This Row],[Year]:[Month]],crudeoil[],3,FALSE)</f>
        <v>#VALUE!</v>
      </c>
    </row>
    <row r="8705" spans="1:8" hidden="1" x14ac:dyDescent="0.3">
      <c r="A8705" t="s">
        <v>33</v>
      </c>
      <c r="B8705">
        <v>2022</v>
      </c>
      <c r="C8705" t="s">
        <v>31</v>
      </c>
      <c r="D8705" t="s">
        <v>12</v>
      </c>
      <c r="E8705" t="e">
        <f>VLOOKUP(Cpi_[[#This Row],[Attribute]],#REF!,2,FALSE)</f>
        <v>#REF!</v>
      </c>
      <c r="F8705">
        <v>169.8</v>
      </c>
      <c r="G8705">
        <f>(Cpi_[[#This Row],[Value]]-F8704)/F8704</f>
        <v>0.39983511953833484</v>
      </c>
      <c r="H8705" t="e" cm="1" vm="1">
        <f t="array" aca="1" ref="H8705" ca="1">VLOOKUP(Cpi_[[#This Row],[Year]:[Month]],crudeoil[],3,FALSE)</f>
        <v>#VALUE!</v>
      </c>
    </row>
    <row r="8706" spans="1:8" hidden="1" x14ac:dyDescent="0.3">
      <c r="A8706" t="s">
        <v>33</v>
      </c>
      <c r="B8706">
        <v>2022</v>
      </c>
      <c r="C8706" t="s">
        <v>31</v>
      </c>
      <c r="D8706" t="s">
        <v>13</v>
      </c>
      <c r="E8706" t="e">
        <f>VLOOKUP(Cpi_[[#This Row],[Attribute]],#REF!,2,FALSE)</f>
        <v>#REF!</v>
      </c>
      <c r="F8706">
        <v>156.6</v>
      </c>
      <c r="G8706">
        <f>(Cpi_[[#This Row],[Value]]-F8705)/F8705</f>
        <v>-7.7738515901060165E-2</v>
      </c>
      <c r="H8706" t="e" cm="1" vm="1">
        <f t="array" aca="1" ref="H8706" ca="1">VLOOKUP(Cpi_[[#This Row],[Year]:[Month]],crudeoil[],3,FALSE)</f>
        <v>#VALUE!</v>
      </c>
    </row>
    <row r="8707" spans="1:8" hidden="1" x14ac:dyDescent="0.3">
      <c r="A8707" t="s">
        <v>33</v>
      </c>
      <c r="B8707">
        <v>2022</v>
      </c>
      <c r="C8707" t="s">
        <v>31</v>
      </c>
      <c r="D8707" t="s">
        <v>14</v>
      </c>
      <c r="E8707" t="e">
        <f>VLOOKUP(Cpi_[[#This Row],[Attribute]],#REF!,2,FALSE)</f>
        <v>#REF!</v>
      </c>
      <c r="F8707">
        <v>179</v>
      </c>
      <c r="G8707">
        <f>(Cpi_[[#This Row],[Value]]-F8706)/F8706</f>
        <v>0.14303959131545343</v>
      </c>
      <c r="H8707" t="e" cm="1" vm="1">
        <f t="array" aca="1" ref="H8707" ca="1">VLOOKUP(Cpi_[[#This Row],[Year]:[Month]],crudeoil[],3,FALSE)</f>
        <v>#VALUE!</v>
      </c>
    </row>
    <row r="8708" spans="1:8" hidden="1" x14ac:dyDescent="0.3">
      <c r="A8708" t="s">
        <v>33</v>
      </c>
      <c r="B8708">
        <v>2022</v>
      </c>
      <c r="C8708" t="s">
        <v>31</v>
      </c>
      <c r="D8708" t="s">
        <v>15</v>
      </c>
      <c r="E8708" t="e">
        <f>VLOOKUP(Cpi_[[#This Row],[Attribute]],#REF!,2,FALSE)</f>
        <v>#REF!</v>
      </c>
      <c r="F8708">
        <v>170.3</v>
      </c>
      <c r="G8708">
        <f>(Cpi_[[#This Row],[Value]]-F8707)/F8707</f>
        <v>-4.8603351955307197E-2</v>
      </c>
      <c r="H8708" t="e" cm="1" vm="1">
        <f t="array" aca="1" ref="H8708" ca="1">VLOOKUP(Cpi_[[#This Row],[Year]:[Month]],crudeoil[],3,FALSE)</f>
        <v>#VALUE!</v>
      </c>
    </row>
    <row r="8709" spans="1:8" hidden="1" x14ac:dyDescent="0.3">
      <c r="A8709" t="s">
        <v>33</v>
      </c>
      <c r="B8709">
        <v>2022</v>
      </c>
      <c r="C8709" t="s">
        <v>31</v>
      </c>
      <c r="D8709" t="s">
        <v>16</v>
      </c>
      <c r="E8709" t="e">
        <f>VLOOKUP(Cpi_[[#This Row],[Attribute]],#REF!,2,FALSE)</f>
        <v>#REF!</v>
      </c>
      <c r="F8709">
        <v>196.4</v>
      </c>
      <c r="G8709">
        <f>(Cpi_[[#This Row],[Value]]-F8708)/F8708</f>
        <v>0.15325895478567231</v>
      </c>
      <c r="H8709" t="e" cm="1" vm="1">
        <f t="array" aca="1" ref="H8709" ca="1">VLOOKUP(Cpi_[[#This Row],[Year]:[Month]],crudeoil[],3,FALSE)</f>
        <v>#VALUE!</v>
      </c>
    </row>
    <row r="8710" spans="1:8" hidden="1" x14ac:dyDescent="0.3">
      <c r="A8710" t="s">
        <v>33</v>
      </c>
      <c r="B8710">
        <v>2022</v>
      </c>
      <c r="C8710" t="s">
        <v>31</v>
      </c>
      <c r="D8710" t="s">
        <v>17</v>
      </c>
      <c r="E8710" t="e">
        <f>VLOOKUP(Cpi_[[#This Row],[Attribute]],#REF!,2,FALSE)</f>
        <v>#REF!</v>
      </c>
      <c r="F8710">
        <v>164.7</v>
      </c>
      <c r="G8710">
        <f>(Cpi_[[#This Row],[Value]]-F8709)/F8709</f>
        <v>-0.16140529531568237</v>
      </c>
      <c r="H8710" t="e" cm="1" vm="1">
        <f t="array" aca="1" ref="H8710" ca="1">VLOOKUP(Cpi_[[#This Row],[Year]:[Month]],crudeoil[],3,FALSE)</f>
        <v>#VALUE!</v>
      </c>
    </row>
    <row r="8711" spans="1:8" hidden="1" x14ac:dyDescent="0.3">
      <c r="A8711" t="s">
        <v>33</v>
      </c>
      <c r="B8711">
        <v>2022</v>
      </c>
      <c r="C8711" t="s">
        <v>31</v>
      </c>
      <c r="D8711" t="s">
        <v>18</v>
      </c>
      <c r="E8711" t="e">
        <f>VLOOKUP(Cpi_[[#This Row],[Attribute]],#REF!,2,FALSE)</f>
        <v>#REF!</v>
      </c>
      <c r="F8711">
        <v>148.5</v>
      </c>
      <c r="G8711">
        <f>(Cpi_[[#This Row],[Value]]-F8710)/F8710</f>
        <v>-9.8360655737704861E-2</v>
      </c>
      <c r="H8711" t="e" cm="1" vm="1">
        <f t="array" aca="1" ref="H8711" ca="1">VLOOKUP(Cpi_[[#This Row],[Year]:[Month]],crudeoil[],3,FALSE)</f>
        <v>#VALUE!</v>
      </c>
    </row>
    <row r="8712" spans="1:8" hidden="1" x14ac:dyDescent="0.3">
      <c r="A8712" t="s">
        <v>33</v>
      </c>
      <c r="B8712">
        <v>2022</v>
      </c>
      <c r="C8712" t="s">
        <v>31</v>
      </c>
      <c r="D8712" t="s">
        <v>19</v>
      </c>
      <c r="E8712" t="e">
        <f>VLOOKUP(Cpi_[[#This Row],[Attribute]],#REF!,2,FALSE)</f>
        <v>#REF!</v>
      </c>
      <c r="F8712">
        <v>162.19999999999999</v>
      </c>
      <c r="G8712">
        <f>(Cpi_[[#This Row],[Value]]-F8711)/F8711</f>
        <v>9.2255892255892175E-2</v>
      </c>
      <c r="H8712" t="e" cm="1" vm="1">
        <f t="array" aca="1" ref="H8712" ca="1">VLOOKUP(Cpi_[[#This Row],[Year]:[Month]],crudeoil[],3,FALSE)</f>
        <v>#VALUE!</v>
      </c>
    </row>
    <row r="8713" spans="1:8" hidden="1" x14ac:dyDescent="0.3">
      <c r="A8713" t="s">
        <v>33</v>
      </c>
      <c r="B8713">
        <v>2022</v>
      </c>
      <c r="C8713" t="s">
        <v>31</v>
      </c>
      <c r="D8713" t="s">
        <v>20</v>
      </c>
      <c r="E8713" t="e">
        <f>VLOOKUP(Cpi_[[#This Row],[Attribute]],#REF!,2,FALSE)</f>
        <v>#REF!</v>
      </c>
      <c r="F8713">
        <v>164.5</v>
      </c>
      <c r="G8713">
        <f>(Cpi_[[#This Row],[Value]]-F8712)/F8712</f>
        <v>1.4180024660912526E-2</v>
      </c>
      <c r="H8713" t="e" cm="1" vm="1">
        <f t="array" aca="1" ref="H8713" ca="1">VLOOKUP(Cpi_[[#This Row],[Year]:[Month]],crudeoil[],3,FALSE)</f>
        <v>#VALUE!</v>
      </c>
    </row>
    <row r="8714" spans="1:8" hidden="1" x14ac:dyDescent="0.3">
      <c r="A8714" t="s">
        <v>33</v>
      </c>
      <c r="B8714">
        <v>2022</v>
      </c>
      <c r="C8714" t="s">
        <v>31</v>
      </c>
      <c r="D8714" t="s">
        <v>21</v>
      </c>
      <c r="E8714" t="e">
        <f>VLOOKUP(Cpi_[[#This Row],[Attribute]],#REF!,2,FALSE)</f>
        <v>#REF!</v>
      </c>
      <c r="F8714">
        <v>161.6</v>
      </c>
      <c r="G8714">
        <f>(Cpi_[[#This Row],[Value]]-F8713)/F8713</f>
        <v>-1.7629179331307025E-2</v>
      </c>
      <c r="H8714" t="e" cm="1" vm="1">
        <f t="array" aca="1" ref="H8714" ca="1">VLOOKUP(Cpi_[[#This Row],[Year]:[Month]],crudeoil[],3,FALSE)</f>
        <v>#VALUE!</v>
      </c>
    </row>
    <row r="8715" spans="1:8" hidden="1" x14ac:dyDescent="0.3">
      <c r="A8715" t="s">
        <v>33</v>
      </c>
      <c r="B8715">
        <v>2022</v>
      </c>
      <c r="C8715" t="s">
        <v>31</v>
      </c>
      <c r="D8715" t="s">
        <v>22</v>
      </c>
      <c r="E8715" t="e">
        <f>VLOOKUP(Cpi_[[#This Row],[Attribute]],#REF!,2,FALSE)</f>
        <v>#REF!</v>
      </c>
      <c r="F8715">
        <v>156.80000000000001</v>
      </c>
      <c r="G8715">
        <f>(Cpi_[[#This Row],[Value]]-F8714)/F8714</f>
        <v>-2.9702970297029598E-2</v>
      </c>
      <c r="H8715" t="e" cm="1" vm="1">
        <f t="array" aca="1" ref="H8715" ca="1">VLOOKUP(Cpi_[[#This Row],[Year]:[Month]],crudeoil[],3,FALSE)</f>
        <v>#VALUE!</v>
      </c>
    </row>
    <row r="8716" spans="1:8" hidden="1" x14ac:dyDescent="0.3">
      <c r="A8716" t="s">
        <v>33</v>
      </c>
      <c r="B8716">
        <v>2022</v>
      </c>
      <c r="C8716" t="s">
        <v>31</v>
      </c>
      <c r="D8716" t="s">
        <v>23</v>
      </c>
      <c r="E8716" t="e">
        <f>VLOOKUP(Cpi_[[#This Row],[Attribute]],#REF!,2,FALSE)</f>
        <v>#REF!</v>
      </c>
      <c r="F8716">
        <v>166.1</v>
      </c>
      <c r="G8716">
        <f>(Cpi_[[#This Row],[Value]]-F8715)/F8715</f>
        <v>5.9311224489795804E-2</v>
      </c>
      <c r="H8716" t="e" cm="1" vm="1">
        <f t="array" aca="1" ref="H8716" ca="1">VLOOKUP(Cpi_[[#This Row],[Year]:[Month]],crudeoil[],3,FALSE)</f>
        <v>#VALUE!</v>
      </c>
    </row>
    <row r="8717" spans="1:8" hidden="1" x14ac:dyDescent="0.3">
      <c r="A8717" t="s">
        <v>33</v>
      </c>
      <c r="B8717">
        <v>2022</v>
      </c>
      <c r="C8717" t="s">
        <v>31</v>
      </c>
      <c r="D8717" t="s">
        <v>24</v>
      </c>
      <c r="E8717" t="e">
        <f>VLOOKUP(Cpi_[[#This Row],[Attribute]],#REF!,2,FALSE)</f>
        <v>#REF!</v>
      </c>
      <c r="F8717">
        <v>152.69999999999999</v>
      </c>
      <c r="G8717">
        <f>(Cpi_[[#This Row],[Value]]-F8716)/F8716</f>
        <v>-8.0674292594822436E-2</v>
      </c>
      <c r="H8717" t="e" cm="1" vm="1">
        <f t="array" aca="1" ref="H8717" ca="1">VLOOKUP(Cpi_[[#This Row],[Year]:[Month]],crudeoil[],3,FALSE)</f>
        <v>#VALUE!</v>
      </c>
    </row>
    <row r="8718" spans="1:8" hidden="1" x14ac:dyDescent="0.3">
      <c r="A8718" t="s">
        <v>33</v>
      </c>
      <c r="B8718">
        <v>2022</v>
      </c>
      <c r="C8718" t="s">
        <v>31</v>
      </c>
      <c r="D8718" t="s">
        <v>25</v>
      </c>
      <c r="E8718" t="e">
        <f>VLOOKUP(Cpi_[[#This Row],[Attribute]],#REF!,2,FALSE)</f>
        <v>#REF!</v>
      </c>
      <c r="F8718">
        <v>158.4</v>
      </c>
      <c r="G8718">
        <f>(Cpi_[[#This Row],[Value]]-F8717)/F8717</f>
        <v>3.7328094302554141E-2</v>
      </c>
      <c r="H8718" t="e" cm="1" vm="1">
        <f t="array" aca="1" ref="H8718" ca="1">VLOOKUP(Cpi_[[#This Row],[Year]:[Month]],crudeoil[],3,FALSE)</f>
        <v>#VALUE!</v>
      </c>
    </row>
    <row r="8719" spans="1:8" hidden="1" x14ac:dyDescent="0.3">
      <c r="A8719" t="s">
        <v>33</v>
      </c>
      <c r="B8719">
        <v>2022</v>
      </c>
      <c r="C8719" t="s">
        <v>31</v>
      </c>
      <c r="D8719" t="s">
        <v>26</v>
      </c>
      <c r="E8719" t="e">
        <f>VLOOKUP(Cpi_[[#This Row],[Attribute]],#REF!,2,FALSE)</f>
        <v>#REF!</v>
      </c>
      <c r="F8719">
        <v>161</v>
      </c>
      <c r="G8719">
        <f>(Cpi_[[#This Row],[Value]]-F8718)/F8718</f>
        <v>1.6414141414141378E-2</v>
      </c>
      <c r="H8719" t="e" cm="1" vm="1">
        <f t="array" aca="1" ref="H8719" ca="1">VLOOKUP(Cpi_[[#This Row],[Year]:[Month]],crudeoil[],3,FALSE)</f>
        <v>#VALUE!</v>
      </c>
    </row>
    <row r="8720" spans="1:8" hidden="1" x14ac:dyDescent="0.3">
      <c r="A8720" t="s">
        <v>33</v>
      </c>
      <c r="B8720">
        <v>2022</v>
      </c>
      <c r="C8720" t="s">
        <v>31</v>
      </c>
      <c r="D8720" t="s">
        <v>27</v>
      </c>
      <c r="E8720" t="e">
        <f>VLOOKUP(Cpi_[[#This Row],[Attribute]],#REF!,2,FALSE)</f>
        <v>#REF!</v>
      </c>
      <c r="F8720">
        <v>162.80000000000001</v>
      </c>
      <c r="G8720">
        <f>(Cpi_[[#This Row],[Value]]-F8719)/F8719</f>
        <v>1.1180124223602554E-2</v>
      </c>
      <c r="H8720" t="e" cm="1" vm="1">
        <f t="array" aca="1" ref="H8720" ca="1">VLOOKUP(Cpi_[[#This Row],[Year]:[Month]],crudeoil[],3,FALSE)</f>
        <v>#VALUE!</v>
      </c>
    </row>
    <row r="8721" spans="1:10" hidden="1" x14ac:dyDescent="0.3">
      <c r="A8721" t="s">
        <v>33</v>
      </c>
      <c r="B8721">
        <v>2022</v>
      </c>
      <c r="C8721" t="s">
        <v>31</v>
      </c>
      <c r="D8721" t="s">
        <v>28</v>
      </c>
      <c r="E8721" t="e">
        <f>VLOOKUP(Cpi_[[#This Row],[Attribute]],#REF!,2,FALSE)</f>
        <v>#REF!</v>
      </c>
      <c r="F8721">
        <v>158.6</v>
      </c>
      <c r="G8721">
        <f>(Cpi_[[#This Row],[Value]]-F8720)/F8720</f>
        <v>-2.5798525798525901E-2</v>
      </c>
      <c r="H8721" t="e" cm="1" vm="1">
        <f t="array" aca="1" ref="H8721" ca="1">VLOOKUP(Cpi_[[#This Row],[Year]:[Month]],crudeoil[],3,FALSE)</f>
        <v>#VALUE!</v>
      </c>
    </row>
    <row r="8722" spans="1:10" hidden="1" x14ac:dyDescent="0.3">
      <c r="A8722" t="s">
        <v>33</v>
      </c>
      <c r="B8722">
        <v>2022</v>
      </c>
      <c r="C8722" t="s">
        <v>31</v>
      </c>
      <c r="D8722" t="s">
        <v>29</v>
      </c>
      <c r="E8722" t="e" cm="1">
        <f t="array" aca="1" ref="E8722" ca="1">VLGeneral indexGeneral indexKUP(Cpi_[[#This Row],[Attribute]],#REF!,2,FALSE)</f>
        <v>#NAME?</v>
      </c>
      <c r="F8722">
        <v>165</v>
      </c>
      <c r="G8722">
        <f>(Cpi_[[#This Row],[Value]]-F8721)/F8721</f>
        <v>4.0353089533417437E-2</v>
      </c>
      <c r="H8722" t="e" cm="1" vm="1">
        <f t="array" aca="1" ref="H8722" ca="1">VLOOKUP(Cpi_[[#This Row],[Year]:[Month]],crudeoil[],3,FALSE)</f>
        <v>#VALUE!</v>
      </c>
    </row>
    <row r="8723" spans="1:10" hidden="1" x14ac:dyDescent="0.3">
      <c r="A8723" t="s">
        <v>34</v>
      </c>
      <c r="B8723">
        <v>2022</v>
      </c>
      <c r="C8723" t="s">
        <v>31</v>
      </c>
      <c r="D8723" t="s">
        <v>3</v>
      </c>
      <c r="E8723" t="e">
        <f>VLOOKUP(Cpi_[[#This Row],[Attribute]],#REF!,2,FALSE)</f>
        <v>#REF!</v>
      </c>
      <c r="F8723">
        <v>149.5</v>
      </c>
      <c r="G8723">
        <f>(Cpi_[[#This Row],[Value]]-F8722)/F8722</f>
        <v>-9.3939393939393934E-2</v>
      </c>
      <c r="H8723" t="e" cm="1" vm="1">
        <f t="array" aca="1" ref="H8723" ca="1">VLOOKUP(Cpi_[[#This Row],[Year]:[Month]],crudeoil[],3,FALSE)</f>
        <v>#VALUE!</v>
      </c>
    </row>
    <row r="8724" spans="1:10" x14ac:dyDescent="0.3">
      <c r="A8724" t="s">
        <v>34</v>
      </c>
      <c r="B8724">
        <v>2022</v>
      </c>
      <c r="C8724" t="s">
        <v>31</v>
      </c>
      <c r="D8724" t="s">
        <v>4</v>
      </c>
      <c r="E8724" t="e">
        <f>VLOOKUP(Cpi_[[#This Row],[Attribute]],#REF!,2,FALSE)</f>
        <v>#REF!</v>
      </c>
      <c r="F8724">
        <v>198.7</v>
      </c>
      <c r="G8724" s="42">
        <f>(Cpi_[[#This Row],[Value]]-F8723)/F8723</f>
        <v>0.32909698996655512</v>
      </c>
      <c r="H8724" t="str">
        <f>LEFT(Cpi_[[#This Row],[Month]],3)</f>
        <v>Jan</v>
      </c>
      <c r="I8724" t="str">
        <f>RIGHT(Cpi_[[#This Row],[Year]],2)</f>
        <v>22</v>
      </c>
      <c r="J8724" t="str">
        <f>Cpi_[[#This Row],[Column3]]&amp;"-"&amp;Cpi_[[#This Row],[Column4]]</f>
        <v>Jan-22</v>
      </c>
    </row>
    <row r="8725" spans="1:10" x14ac:dyDescent="0.3">
      <c r="A8725" t="s">
        <v>34</v>
      </c>
      <c r="B8725">
        <v>2022</v>
      </c>
      <c r="C8725" t="s">
        <v>31</v>
      </c>
      <c r="D8725" t="s">
        <v>5</v>
      </c>
      <c r="E8725" t="e">
        <f>VLOOKUP(Cpi_[[#This Row],[Attribute]],#REF!,2,FALSE)</f>
        <v>#REF!</v>
      </c>
      <c r="F8725">
        <v>178.8</v>
      </c>
      <c r="G8725" s="42">
        <f>(Cpi_[[#This Row],[Value]]-F8724)/F8724</f>
        <v>-0.10015098137896315</v>
      </c>
      <c r="H8725" t="str">
        <f>LEFT(Cpi_[[#This Row],[Month]],3)</f>
        <v>Jan</v>
      </c>
      <c r="I8725" t="str">
        <f>RIGHT(Cpi_[[#This Row],[Year]],2)</f>
        <v>22</v>
      </c>
      <c r="J8725" t="str">
        <f>Cpi_[[#This Row],[Column3]]&amp;"-"&amp;Cpi_[[#This Row],[Column4]]</f>
        <v>Jan-22</v>
      </c>
    </row>
    <row r="8726" spans="1:10" x14ac:dyDescent="0.3">
      <c r="A8726" t="s">
        <v>34</v>
      </c>
      <c r="B8726">
        <v>2022</v>
      </c>
      <c r="C8726" t="s">
        <v>31</v>
      </c>
      <c r="D8726" t="s">
        <v>6</v>
      </c>
      <c r="E8726" t="e">
        <f>VLOOKUP(Cpi_[[#This Row],[Attribute]],#REF!,2,FALSE)</f>
        <v>#REF!</v>
      </c>
      <c r="F8726">
        <v>160.5</v>
      </c>
      <c r="G8726" s="42">
        <f>(Cpi_[[#This Row],[Value]]-F8725)/F8725</f>
        <v>-0.10234899328859066</v>
      </c>
      <c r="H8726" t="str">
        <f>LEFT(Cpi_[[#This Row],[Month]],3)</f>
        <v>Jan</v>
      </c>
      <c r="I8726" t="str">
        <f>RIGHT(Cpi_[[#This Row],[Year]],2)</f>
        <v>22</v>
      </c>
      <c r="J8726" t="str">
        <f>Cpi_[[#This Row],[Column3]]&amp;"-"&amp;Cpi_[[#This Row],[Column4]]</f>
        <v>Jan-22</v>
      </c>
    </row>
    <row r="8727" spans="1:10" x14ac:dyDescent="0.3">
      <c r="A8727" t="s">
        <v>34</v>
      </c>
      <c r="B8727">
        <v>2022</v>
      </c>
      <c r="C8727" t="s">
        <v>31</v>
      </c>
      <c r="D8727" t="s">
        <v>7</v>
      </c>
      <c r="E8727" t="e">
        <f>VLOOKUP(Cpi_[[#This Row],[Attribute]],#REF!,2,FALSE)</f>
        <v>#REF!</v>
      </c>
      <c r="F8727">
        <v>184.7</v>
      </c>
      <c r="G8727" s="42">
        <f>(Cpi_[[#This Row],[Value]]-F8726)/F8726</f>
        <v>0.15077881619937689</v>
      </c>
      <c r="H8727" t="str">
        <f>LEFT(Cpi_[[#This Row],[Month]],3)</f>
        <v>Jan</v>
      </c>
      <c r="I8727" t="str">
        <f>RIGHT(Cpi_[[#This Row],[Year]],2)</f>
        <v>22</v>
      </c>
      <c r="J8727" t="str">
        <f>Cpi_[[#This Row],[Column3]]&amp;"-"&amp;Cpi_[[#This Row],[Column4]]</f>
        <v>Jan-22</v>
      </c>
    </row>
    <row r="8728" spans="1:10" x14ac:dyDescent="0.3">
      <c r="A8728" t="s">
        <v>34</v>
      </c>
      <c r="B8728">
        <v>2022</v>
      </c>
      <c r="C8728" t="s">
        <v>31</v>
      </c>
      <c r="D8728" t="s">
        <v>8</v>
      </c>
      <c r="E8728" t="e">
        <f>VLOOKUP(Cpi_[[#This Row],[Attribute]],#REF!,2,FALSE)</f>
        <v>#REF!</v>
      </c>
      <c r="F8728">
        <v>153.69999999999999</v>
      </c>
      <c r="G8728" s="42">
        <f>(Cpi_[[#This Row],[Value]]-F8727)/F8727</f>
        <v>-0.1678397401191121</v>
      </c>
      <c r="H8728" t="str">
        <f>LEFT(Cpi_[[#This Row],[Month]],3)</f>
        <v>Jan</v>
      </c>
      <c r="I8728" t="str">
        <f>RIGHT(Cpi_[[#This Row],[Year]],2)</f>
        <v>22</v>
      </c>
      <c r="J8728" t="str">
        <f>Cpi_[[#This Row],[Column3]]&amp;"-"&amp;Cpi_[[#This Row],[Column4]]</f>
        <v>Jan-22</v>
      </c>
    </row>
    <row r="8729" spans="1:10" x14ac:dyDescent="0.3">
      <c r="A8729" t="s">
        <v>34</v>
      </c>
      <c r="B8729">
        <v>2022</v>
      </c>
      <c r="C8729" t="s">
        <v>31</v>
      </c>
      <c r="D8729" t="s">
        <v>9</v>
      </c>
      <c r="E8729" t="e">
        <f>VLOOKUP(Cpi_[[#This Row],[Attribute]],#REF!,2,FALSE)</f>
        <v>#REF!</v>
      </c>
      <c r="F8729">
        <v>174.3</v>
      </c>
      <c r="G8729" s="42">
        <f>(Cpi_[[#This Row],[Value]]-F8728)/F8728</f>
        <v>0.13402732595966182</v>
      </c>
      <c r="H8729" t="str">
        <f>LEFT(Cpi_[[#This Row],[Month]],3)</f>
        <v>Jan</v>
      </c>
      <c r="I8729" t="str">
        <f>RIGHT(Cpi_[[#This Row],[Year]],2)</f>
        <v>22</v>
      </c>
      <c r="J8729" t="str">
        <f>Cpi_[[#This Row],[Column3]]&amp;"-"&amp;Cpi_[[#This Row],[Column4]]</f>
        <v>Jan-22</v>
      </c>
    </row>
    <row r="8730" spans="1:10" x14ac:dyDescent="0.3">
      <c r="A8730" t="s">
        <v>34</v>
      </c>
      <c r="B8730">
        <v>2022</v>
      </c>
      <c r="C8730" t="s">
        <v>31</v>
      </c>
      <c r="D8730" t="s">
        <v>10</v>
      </c>
      <c r="E8730" t="e">
        <f>VLOOKUP(Cpi_[[#This Row],[Attribute]],#REF!,2,FALSE)</f>
        <v>#REF!</v>
      </c>
      <c r="F8730">
        <v>163.9</v>
      </c>
      <c r="G8730" s="42">
        <f>(Cpi_[[#This Row],[Value]]-F8729)/F8729</f>
        <v>-5.9667240390131986E-2</v>
      </c>
      <c r="H8730" t="str">
        <f>LEFT(Cpi_[[#This Row],[Month]],3)</f>
        <v>Jan</v>
      </c>
      <c r="I8730" t="str">
        <f>RIGHT(Cpi_[[#This Row],[Year]],2)</f>
        <v>22</v>
      </c>
      <c r="J8730" t="str">
        <f>Cpi_[[#This Row],[Column3]]&amp;"-"&amp;Cpi_[[#This Row],[Column4]]</f>
        <v>Jan-22</v>
      </c>
    </row>
    <row r="8731" spans="1:10" x14ac:dyDescent="0.3">
      <c r="A8731" t="s">
        <v>34</v>
      </c>
      <c r="B8731">
        <v>2022</v>
      </c>
      <c r="C8731" t="s">
        <v>31</v>
      </c>
      <c r="D8731" t="s">
        <v>11</v>
      </c>
      <c r="E8731" t="e">
        <f>VLOOKUP(Cpi_[[#This Row],[Attribute]],#REF!,2,FALSE)</f>
        <v>#REF!</v>
      </c>
      <c r="F8731">
        <v>120</v>
      </c>
      <c r="G8731" s="42">
        <f>(Cpi_[[#This Row],[Value]]-F8730)/F8730</f>
        <v>-0.26784624771201954</v>
      </c>
      <c r="H8731" t="str">
        <f>LEFT(Cpi_[[#This Row],[Month]],3)</f>
        <v>Jan</v>
      </c>
      <c r="I8731" t="str">
        <f>RIGHT(Cpi_[[#This Row],[Year]],2)</f>
        <v>22</v>
      </c>
      <c r="J8731" t="str">
        <f>Cpi_[[#This Row],[Column3]]&amp;"-"&amp;Cpi_[[#This Row],[Column4]]</f>
        <v>Jan-22</v>
      </c>
    </row>
    <row r="8732" spans="1:10" x14ac:dyDescent="0.3">
      <c r="A8732" t="s">
        <v>34</v>
      </c>
      <c r="B8732">
        <v>2022</v>
      </c>
      <c r="C8732" t="s">
        <v>31</v>
      </c>
      <c r="D8732" t="s">
        <v>12</v>
      </c>
      <c r="E8732" t="e">
        <f>VLOOKUP(Cpi_[[#This Row],[Attribute]],#REF!,2,FALSE)</f>
        <v>#REF!</v>
      </c>
      <c r="F8732">
        <v>172.1</v>
      </c>
      <c r="G8732" s="42">
        <f>(Cpi_[[#This Row],[Value]]-F8731)/F8731</f>
        <v>0.43416666666666665</v>
      </c>
      <c r="H8732" t="str">
        <f>LEFT(Cpi_[[#This Row],[Month]],3)</f>
        <v>Jan</v>
      </c>
      <c r="I8732" t="str">
        <f>RIGHT(Cpi_[[#This Row],[Year]],2)</f>
        <v>22</v>
      </c>
      <c r="J8732" t="str">
        <f>Cpi_[[#This Row],[Column3]]&amp;"-"&amp;Cpi_[[#This Row],[Column4]]</f>
        <v>Jan-22</v>
      </c>
    </row>
    <row r="8733" spans="1:10" x14ac:dyDescent="0.3">
      <c r="A8733" t="s">
        <v>34</v>
      </c>
      <c r="B8733">
        <v>2022</v>
      </c>
      <c r="C8733" t="s">
        <v>31</v>
      </c>
      <c r="D8733" t="s">
        <v>13</v>
      </c>
      <c r="E8733" t="e">
        <f>VLOOKUP(Cpi_[[#This Row],[Attribute]],#REF!,2,FALSE)</f>
        <v>#REF!</v>
      </c>
      <c r="F8733">
        <v>164.3</v>
      </c>
      <c r="G8733" s="42">
        <f>(Cpi_[[#This Row],[Value]]-F8732)/F8732</f>
        <v>-4.5322486926205593E-2</v>
      </c>
      <c r="H8733" t="str">
        <f>LEFT(Cpi_[[#This Row],[Month]],3)</f>
        <v>Jan</v>
      </c>
      <c r="I8733" t="str">
        <f>RIGHT(Cpi_[[#This Row],[Year]],2)</f>
        <v>22</v>
      </c>
      <c r="J8733" t="str">
        <f>Cpi_[[#This Row],[Column3]]&amp;"-"&amp;Cpi_[[#This Row],[Column4]]</f>
        <v>Jan-22</v>
      </c>
    </row>
    <row r="8734" spans="1:10" x14ac:dyDescent="0.3">
      <c r="A8734" t="s">
        <v>34</v>
      </c>
      <c r="B8734">
        <v>2022</v>
      </c>
      <c r="C8734" t="s">
        <v>31</v>
      </c>
      <c r="D8734" t="s">
        <v>14</v>
      </c>
      <c r="E8734" t="e">
        <f>VLOOKUP(Cpi_[[#This Row],[Attribute]],#REF!,2,FALSE)</f>
        <v>#REF!</v>
      </c>
      <c r="F8734">
        <v>177.3</v>
      </c>
      <c r="G8734" s="42">
        <f>(Cpi_[[#This Row],[Value]]-F8733)/F8733</f>
        <v>7.9123554473524038E-2</v>
      </c>
      <c r="H8734" t="str">
        <f>LEFT(Cpi_[[#This Row],[Month]],3)</f>
        <v>Jan</v>
      </c>
      <c r="I8734" t="str">
        <f>RIGHT(Cpi_[[#This Row],[Year]],2)</f>
        <v>22</v>
      </c>
      <c r="J8734" t="str">
        <f>Cpi_[[#This Row],[Column3]]&amp;"-"&amp;Cpi_[[#This Row],[Column4]]</f>
        <v>Jan-22</v>
      </c>
    </row>
    <row r="8735" spans="1:10" x14ac:dyDescent="0.3">
      <c r="A8735" t="s">
        <v>34</v>
      </c>
      <c r="B8735">
        <v>2022</v>
      </c>
      <c r="C8735" t="s">
        <v>31</v>
      </c>
      <c r="D8735" t="s">
        <v>15</v>
      </c>
      <c r="E8735" t="e">
        <f>VLOOKUP(Cpi_[[#This Row],[Attribute]],#REF!,2,FALSE)</f>
        <v>#REF!</v>
      </c>
      <c r="F8735">
        <v>166.4</v>
      </c>
      <c r="G8735" s="42">
        <f>(Cpi_[[#This Row],[Value]]-F8734)/F8734</f>
        <v>-6.1477721376198564E-2</v>
      </c>
      <c r="H8735" t="str">
        <f>LEFT(Cpi_[[#This Row],[Month]],3)</f>
        <v>Jan</v>
      </c>
      <c r="I8735" t="str">
        <f>RIGHT(Cpi_[[#This Row],[Year]],2)</f>
        <v>22</v>
      </c>
      <c r="J8735" t="str">
        <f>Cpi_[[#This Row],[Column3]]&amp;"-"&amp;Cpi_[[#This Row],[Column4]]</f>
        <v>Jan-22</v>
      </c>
    </row>
    <row r="8736" spans="1:10" hidden="1" x14ac:dyDescent="0.3">
      <c r="A8736" t="s">
        <v>34</v>
      </c>
      <c r="B8736">
        <v>2022</v>
      </c>
      <c r="C8736" t="s">
        <v>31</v>
      </c>
      <c r="D8736" t="s">
        <v>16</v>
      </c>
      <c r="E8736" t="e">
        <f>VLOOKUP(Cpi_[[#This Row],[Attribute]],#REF!,2,FALSE)</f>
        <v>#REF!</v>
      </c>
      <c r="F8736">
        <v>192.2</v>
      </c>
      <c r="G8736">
        <f>(Cpi_[[#This Row],[Value]]-F8735)/F8735</f>
        <v>0.15504807692307682</v>
      </c>
      <c r="H8736" t="e" cm="1" vm="1">
        <f t="array" aca="1" ref="H8736" ca="1">VLOOKUP(Cpi_[[#This Row],[Year]:[Month]],crudeoil[],3,FALSE)</f>
        <v>#VALUE!</v>
      </c>
    </row>
    <row r="8737" spans="1:8" hidden="1" x14ac:dyDescent="0.3">
      <c r="A8737" t="s">
        <v>34</v>
      </c>
      <c r="B8737">
        <v>2022</v>
      </c>
      <c r="C8737" t="s">
        <v>31</v>
      </c>
      <c r="D8737" t="s">
        <v>17</v>
      </c>
      <c r="E8737" t="e">
        <f>VLOOKUP(Cpi_[[#This Row],[Attribute]],#REF!,2,FALSE)</f>
        <v>#REF!</v>
      </c>
      <c r="F8737">
        <v>169.9</v>
      </c>
      <c r="G8737">
        <f>(Cpi_[[#This Row],[Value]]-F8736)/F8736</f>
        <v>-0.11602497398543175</v>
      </c>
      <c r="H8737" t="e" cm="1" vm="1">
        <f t="array" aca="1" ref="H8737" ca="1">VLOOKUP(Cpi_[[#This Row],[Year]:[Month]],crudeoil[],3,FALSE)</f>
        <v>#VALUE!</v>
      </c>
    </row>
    <row r="8738" spans="1:8" hidden="1" x14ac:dyDescent="0.3">
      <c r="A8738" t="s">
        <v>34</v>
      </c>
      <c r="B8738">
        <v>2022</v>
      </c>
      <c r="C8738" t="s">
        <v>31</v>
      </c>
      <c r="D8738" t="s">
        <v>18</v>
      </c>
      <c r="E8738" t="e">
        <f>VLOOKUP(Cpi_[[#This Row],[Attribute]],#REF!,2,FALSE)</f>
        <v>#REF!</v>
      </c>
      <c r="F8738">
        <v>160.69999999999999</v>
      </c>
      <c r="G8738">
        <f>(Cpi_[[#This Row],[Value]]-F8737)/F8737</f>
        <v>-5.4149499705709342E-2</v>
      </c>
      <c r="H8738" t="e" cm="1" vm="1">
        <f t="array" aca="1" ref="H8738" ca="1">VLOOKUP(Cpi_[[#This Row],[Year]:[Month]],crudeoil[],3,FALSE)</f>
        <v>#VALUE!</v>
      </c>
    </row>
    <row r="8739" spans="1:8" hidden="1" x14ac:dyDescent="0.3">
      <c r="A8739" t="s">
        <v>34</v>
      </c>
      <c r="B8739">
        <v>2022</v>
      </c>
      <c r="C8739" t="s">
        <v>31</v>
      </c>
      <c r="D8739" t="s">
        <v>19</v>
      </c>
      <c r="E8739" t="e">
        <f>VLOOKUP(Cpi_[[#This Row],[Attribute]],#REF!,2,FALSE)</f>
        <v>#REF!</v>
      </c>
      <c r="F8739">
        <v>168.5</v>
      </c>
      <c r="G8739">
        <f>(Cpi_[[#This Row],[Value]]-F8738)/F8738</f>
        <v>4.8537647790914823E-2</v>
      </c>
      <c r="H8739" t="e" cm="1" vm="1">
        <f t="array" aca="1" ref="H8739" ca="1">VLOOKUP(Cpi_[[#This Row],[Year]:[Month]],crudeoil[],3,FALSE)</f>
        <v>#VALUE!</v>
      </c>
    </row>
    <row r="8740" spans="1:8" hidden="1" x14ac:dyDescent="0.3">
      <c r="A8740" t="s">
        <v>34</v>
      </c>
      <c r="B8740">
        <v>2022</v>
      </c>
      <c r="C8740" t="s">
        <v>31</v>
      </c>
      <c r="D8740" t="s">
        <v>20</v>
      </c>
      <c r="E8740" t="e">
        <f>VLOOKUP(Cpi_[[#This Row],[Attribute]],#REF!,2,FALSE)</f>
        <v>#REF!</v>
      </c>
      <c r="F8740">
        <v>164.5</v>
      </c>
      <c r="G8740">
        <f>(Cpi_[[#This Row],[Value]]-F8739)/F8739</f>
        <v>-2.3738872403560832E-2</v>
      </c>
      <c r="H8740" t="e" cm="1" vm="1">
        <f t="array" aca="1" ref="H8740" ca="1">VLOOKUP(Cpi_[[#This Row],[Year]:[Month]],crudeoil[],3,FALSE)</f>
        <v>#VALUE!</v>
      </c>
    </row>
    <row r="8741" spans="1:8" hidden="1" x14ac:dyDescent="0.3">
      <c r="A8741" t="s">
        <v>34</v>
      </c>
      <c r="B8741">
        <v>2022</v>
      </c>
      <c r="C8741" t="s">
        <v>31</v>
      </c>
      <c r="D8741" t="s">
        <v>21</v>
      </c>
      <c r="E8741" t="e">
        <f>VLOOKUP(Cpi_[[#This Row],[Attribute]],#REF!,2,FALSE)</f>
        <v>#REF!</v>
      </c>
      <c r="F8741">
        <v>164.2</v>
      </c>
      <c r="G8741">
        <f>(Cpi_[[#This Row],[Value]]-F8740)/F8740</f>
        <v>-1.8237082066869992E-3</v>
      </c>
      <c r="H8741" t="e" cm="1" vm="1">
        <f t="array" aca="1" ref="H8741" ca="1">VLOOKUP(Cpi_[[#This Row],[Year]:[Month]],crudeoil[],3,FALSE)</f>
        <v>#VALUE!</v>
      </c>
    </row>
    <row r="8742" spans="1:8" hidden="1" x14ac:dyDescent="0.3">
      <c r="A8742" t="s">
        <v>34</v>
      </c>
      <c r="B8742">
        <v>2022</v>
      </c>
      <c r="C8742" t="s">
        <v>31</v>
      </c>
      <c r="D8742" t="s">
        <v>22</v>
      </c>
      <c r="E8742" t="e">
        <f>VLOOKUP(Cpi_[[#This Row],[Attribute]],#REF!,2,FALSE)</f>
        <v>#REF!</v>
      </c>
      <c r="F8742">
        <v>161.1</v>
      </c>
      <c r="G8742">
        <f>(Cpi_[[#This Row],[Value]]-F8741)/F8741</f>
        <v>-1.8879415347137603E-2</v>
      </c>
      <c r="H8742" t="e" cm="1" vm="1">
        <f t="array" aca="1" ref="H8742" ca="1">VLOOKUP(Cpi_[[#This Row],[Year]:[Month]],crudeoil[],3,FALSE)</f>
        <v>#VALUE!</v>
      </c>
    </row>
    <row r="8743" spans="1:8" hidden="1" x14ac:dyDescent="0.3">
      <c r="A8743" t="s">
        <v>34</v>
      </c>
      <c r="B8743">
        <v>2022</v>
      </c>
      <c r="C8743" t="s">
        <v>31</v>
      </c>
      <c r="D8743" t="s">
        <v>23</v>
      </c>
      <c r="E8743" t="e">
        <f>VLOOKUP(Cpi_[[#This Row],[Attribute]],#REF!,2,FALSE)</f>
        <v>#REF!</v>
      </c>
      <c r="F8743">
        <v>171.4</v>
      </c>
      <c r="G8743">
        <f>(Cpi_[[#This Row],[Value]]-F8742)/F8742</f>
        <v>6.3935443823712051E-2</v>
      </c>
      <c r="H8743" t="e" cm="1" vm="1">
        <f t="array" aca="1" ref="H8743" ca="1">VLOOKUP(Cpi_[[#This Row],[Year]:[Month]],crudeoil[],3,FALSE)</f>
        <v>#VALUE!</v>
      </c>
    </row>
    <row r="8744" spans="1:8" hidden="1" x14ac:dyDescent="0.3">
      <c r="A8744" t="s">
        <v>34</v>
      </c>
      <c r="B8744">
        <v>2022</v>
      </c>
      <c r="C8744" t="s">
        <v>31</v>
      </c>
      <c r="D8744" t="s">
        <v>24</v>
      </c>
      <c r="E8744" t="e">
        <f>VLOOKUP(Cpi_[[#This Row],[Attribute]],#REF!,2,FALSE)</f>
        <v>#REF!</v>
      </c>
      <c r="F8744">
        <v>156.5</v>
      </c>
      <c r="G8744">
        <f>(Cpi_[[#This Row],[Value]]-F8743)/F8743</f>
        <v>-8.6931155192532125E-2</v>
      </c>
      <c r="H8744" t="e" cm="1" vm="1">
        <f t="array" aca="1" ref="H8744" ca="1">VLOOKUP(Cpi_[[#This Row],[Year]:[Month]],crudeoil[],3,FALSE)</f>
        <v>#VALUE!</v>
      </c>
    </row>
    <row r="8745" spans="1:8" hidden="1" x14ac:dyDescent="0.3">
      <c r="A8745" t="s">
        <v>34</v>
      </c>
      <c r="B8745">
        <v>2022</v>
      </c>
      <c r="C8745" t="s">
        <v>31</v>
      </c>
      <c r="D8745" t="s">
        <v>25</v>
      </c>
      <c r="E8745" t="e">
        <f>VLOOKUP(Cpi_[[#This Row],[Attribute]],#REF!,2,FALSE)</f>
        <v>#REF!</v>
      </c>
      <c r="F8745">
        <v>161.19999999999999</v>
      </c>
      <c r="G8745">
        <f>(Cpi_[[#This Row],[Value]]-F8744)/F8744</f>
        <v>3.0031948881789065E-2</v>
      </c>
      <c r="H8745" t="e" cm="1" vm="1">
        <f t="array" aca="1" ref="H8745" ca="1">VLOOKUP(Cpi_[[#This Row],[Year]:[Month]],crudeoil[],3,FALSE)</f>
        <v>#VALUE!</v>
      </c>
    </row>
    <row r="8746" spans="1:8" hidden="1" x14ac:dyDescent="0.3">
      <c r="A8746" t="s">
        <v>34</v>
      </c>
      <c r="B8746">
        <v>2022</v>
      </c>
      <c r="C8746" t="s">
        <v>31</v>
      </c>
      <c r="D8746" t="s">
        <v>26</v>
      </c>
      <c r="E8746" t="e">
        <f>VLOOKUP(Cpi_[[#This Row],[Attribute]],#REF!,2,FALSE)</f>
        <v>#REF!</v>
      </c>
      <c r="F8746">
        <v>164.7</v>
      </c>
      <c r="G8746">
        <f>(Cpi_[[#This Row],[Value]]-F8745)/F8745</f>
        <v>2.1712158808933003E-2</v>
      </c>
      <c r="H8746" t="e" cm="1" vm="1">
        <f t="array" aca="1" ref="H8746" ca="1">VLOOKUP(Cpi_[[#This Row],[Year]:[Month]],crudeoil[],3,FALSE)</f>
        <v>#VALUE!</v>
      </c>
    </row>
    <row r="8747" spans="1:8" hidden="1" x14ac:dyDescent="0.3">
      <c r="A8747" t="s">
        <v>34</v>
      </c>
      <c r="B8747">
        <v>2022</v>
      </c>
      <c r="C8747" t="s">
        <v>31</v>
      </c>
      <c r="D8747" t="s">
        <v>27</v>
      </c>
      <c r="E8747" t="e">
        <f>VLOOKUP(Cpi_[[#This Row],[Attribute]],#REF!,2,FALSE)</f>
        <v>#REF!</v>
      </c>
      <c r="F8747">
        <v>163</v>
      </c>
      <c r="G8747">
        <f>(Cpi_[[#This Row],[Value]]-F8746)/F8746</f>
        <v>-1.032179720704304E-2</v>
      </c>
      <c r="H8747" t="e" cm="1" vm="1">
        <f t="array" aca="1" ref="H8747" ca="1">VLOOKUP(Cpi_[[#This Row],[Year]:[Month]],crudeoil[],3,FALSE)</f>
        <v>#VALUE!</v>
      </c>
    </row>
    <row r="8748" spans="1:8" hidden="1" x14ac:dyDescent="0.3">
      <c r="A8748" t="s">
        <v>34</v>
      </c>
      <c r="B8748">
        <v>2022</v>
      </c>
      <c r="C8748" t="s">
        <v>31</v>
      </c>
      <c r="D8748" t="s">
        <v>28</v>
      </c>
      <c r="E8748" t="e">
        <f>VLOOKUP(Cpi_[[#This Row],[Attribute]],#REF!,2,FALSE)</f>
        <v>#REF!</v>
      </c>
      <c r="F8748">
        <v>162.69999999999999</v>
      </c>
      <c r="G8748">
        <f>(Cpi_[[#This Row],[Value]]-F8747)/F8747</f>
        <v>-1.8404907975460821E-3</v>
      </c>
      <c r="H8748" t="e" cm="1" vm="1">
        <f t="array" aca="1" ref="H8748" ca="1">VLOOKUP(Cpi_[[#This Row],[Year]:[Month]],crudeoil[],3,FALSE)</f>
        <v>#VALUE!</v>
      </c>
    </row>
    <row r="8749" spans="1:8" hidden="1" x14ac:dyDescent="0.3">
      <c r="A8749" t="s">
        <v>34</v>
      </c>
      <c r="B8749">
        <v>2022</v>
      </c>
      <c r="C8749" t="s">
        <v>31</v>
      </c>
      <c r="D8749" t="s">
        <v>29</v>
      </c>
      <c r="E8749" t="e" cm="1">
        <f t="array" aca="1" ref="E8749" ca="1">VLGeneral indexGeneral indexKUP(Cpi_[[#This Row],[Attribute]],#REF!,2,FALSE)</f>
        <v>#NAME?</v>
      </c>
      <c r="F8749">
        <v>165.7</v>
      </c>
      <c r="G8749">
        <f>(Cpi_[[#This Row],[Value]]-F8748)/F8748</f>
        <v>1.843884449907806E-2</v>
      </c>
      <c r="H8749" t="e" cm="1" vm="1">
        <f t="array" aca="1" ref="H8749" ca="1">VLOOKUP(Cpi_[[#This Row],[Year]:[Month]],crudeoil[],3,FALSE)</f>
        <v>#VALUE!</v>
      </c>
    </row>
    <row r="8750" spans="1:8" hidden="1" x14ac:dyDescent="0.3">
      <c r="A8750" t="s">
        <v>30</v>
      </c>
      <c r="B8750">
        <v>2022</v>
      </c>
      <c r="C8750" t="s">
        <v>35</v>
      </c>
      <c r="D8750" t="s">
        <v>3</v>
      </c>
      <c r="E8750" t="e">
        <f>VLOOKUP(Cpi_[[#This Row],[Attribute]],#REF!,2,FALSE)</f>
        <v>#REF!</v>
      </c>
      <c r="F8750">
        <v>148.80000000000001</v>
      </c>
      <c r="G8750">
        <f>(Cpi_[[#This Row],[Value]]-F8749)/F8749</f>
        <v>-0.10199155099577537</v>
      </c>
      <c r="H8750" t="e" cm="1" vm="1">
        <f t="array" aca="1" ref="H8750" ca="1">VLOOKUP(Cpi_[[#This Row],[Year]:[Month]],crudeoil[],3,FALSE)</f>
        <v>#VALUE!</v>
      </c>
    </row>
    <row r="8751" spans="1:8" hidden="1" x14ac:dyDescent="0.3">
      <c r="A8751" t="s">
        <v>30</v>
      </c>
      <c r="B8751">
        <v>2022</v>
      </c>
      <c r="C8751" t="s">
        <v>35</v>
      </c>
      <c r="D8751" t="s">
        <v>4</v>
      </c>
      <c r="E8751" t="e">
        <f>VLOOKUP(Cpi_[[#This Row],[Attribute]],#REF!,2,FALSE)</f>
        <v>#REF!</v>
      </c>
      <c r="F8751">
        <v>198.1</v>
      </c>
      <c r="G8751">
        <f>(Cpi_[[#This Row],[Value]]-F8750)/F8750</f>
        <v>0.33131720430107514</v>
      </c>
      <c r="H8751" t="e" cm="1" vm="1">
        <f t="array" aca="1" ref="H8751" ca="1">VLOOKUP(Cpi_[[#This Row],[Year]:[Month]],crudeoil[],3,FALSE)</f>
        <v>#VALUE!</v>
      </c>
    </row>
    <row r="8752" spans="1:8" hidden="1" x14ac:dyDescent="0.3">
      <c r="A8752" t="s">
        <v>30</v>
      </c>
      <c r="B8752">
        <v>2022</v>
      </c>
      <c r="C8752" t="s">
        <v>35</v>
      </c>
      <c r="D8752" t="s">
        <v>5</v>
      </c>
      <c r="E8752" t="e">
        <f>VLOOKUP(Cpi_[[#This Row],[Attribute]],#REF!,2,FALSE)</f>
        <v>#REF!</v>
      </c>
      <c r="F8752">
        <v>175.5</v>
      </c>
      <c r="G8752">
        <f>(Cpi_[[#This Row],[Value]]-F8751)/F8751</f>
        <v>-0.11408379606259463</v>
      </c>
      <c r="H8752" t="e" cm="1" vm="1">
        <f t="array" aca="1" ref="H8752" ca="1">VLOOKUP(Cpi_[[#This Row],[Year]:[Month]],crudeoil[],3,FALSE)</f>
        <v>#VALUE!</v>
      </c>
    </row>
    <row r="8753" spans="1:8" hidden="1" x14ac:dyDescent="0.3">
      <c r="A8753" t="s">
        <v>30</v>
      </c>
      <c r="B8753">
        <v>2022</v>
      </c>
      <c r="C8753" t="s">
        <v>35</v>
      </c>
      <c r="D8753" t="s">
        <v>6</v>
      </c>
      <c r="E8753" t="e">
        <f>VLOOKUP(Cpi_[[#This Row],[Attribute]],#REF!,2,FALSE)</f>
        <v>#REF!</v>
      </c>
      <c r="F8753">
        <v>160.69999999999999</v>
      </c>
      <c r="G8753">
        <f>(Cpi_[[#This Row],[Value]]-F8752)/F8752</f>
        <v>-8.4330484330484401E-2</v>
      </c>
      <c r="H8753" t="e" cm="1" vm="1">
        <f t="array" aca="1" ref="H8753" ca="1">VLOOKUP(Cpi_[[#This Row],[Year]:[Month]],crudeoil[],3,FALSE)</f>
        <v>#VALUE!</v>
      </c>
    </row>
    <row r="8754" spans="1:8" hidden="1" x14ac:dyDescent="0.3">
      <c r="A8754" t="s">
        <v>30</v>
      </c>
      <c r="B8754">
        <v>2022</v>
      </c>
      <c r="C8754" t="s">
        <v>35</v>
      </c>
      <c r="D8754" t="s">
        <v>7</v>
      </c>
      <c r="E8754" t="e">
        <f>VLOOKUP(Cpi_[[#This Row],[Attribute]],#REF!,2,FALSE)</f>
        <v>#REF!</v>
      </c>
      <c r="F8754">
        <v>192.6</v>
      </c>
      <c r="G8754">
        <f>(Cpi_[[#This Row],[Value]]-F8753)/F8753</f>
        <v>0.19850653391412576</v>
      </c>
      <c r="H8754" t="e" cm="1" vm="1">
        <f t="array" aca="1" ref="H8754" ca="1">VLOOKUP(Cpi_[[#This Row],[Year]:[Month]],crudeoil[],3,FALSE)</f>
        <v>#VALUE!</v>
      </c>
    </row>
    <row r="8755" spans="1:8" hidden="1" x14ac:dyDescent="0.3">
      <c r="A8755" t="s">
        <v>30</v>
      </c>
      <c r="B8755">
        <v>2022</v>
      </c>
      <c r="C8755" t="s">
        <v>35</v>
      </c>
      <c r="D8755" t="s">
        <v>8</v>
      </c>
      <c r="E8755" t="e">
        <f>VLOOKUP(Cpi_[[#This Row],[Attribute]],#REF!,2,FALSE)</f>
        <v>#REF!</v>
      </c>
      <c r="F8755">
        <v>151.4</v>
      </c>
      <c r="G8755">
        <f>(Cpi_[[#This Row],[Value]]-F8754)/F8754</f>
        <v>-0.21391484942886807</v>
      </c>
      <c r="H8755" t="e" cm="1" vm="1">
        <f t="array" aca="1" ref="H8755" ca="1">VLOOKUP(Cpi_[[#This Row],[Year]:[Month]],crudeoil[],3,FALSE)</f>
        <v>#VALUE!</v>
      </c>
    </row>
    <row r="8756" spans="1:8" hidden="1" x14ac:dyDescent="0.3">
      <c r="A8756" t="s">
        <v>30</v>
      </c>
      <c r="B8756">
        <v>2022</v>
      </c>
      <c r="C8756" t="s">
        <v>35</v>
      </c>
      <c r="D8756" t="s">
        <v>9</v>
      </c>
      <c r="E8756" t="e">
        <f>VLOOKUP(Cpi_[[#This Row],[Attribute]],#REF!,2,FALSE)</f>
        <v>#REF!</v>
      </c>
      <c r="F8756">
        <v>155.19999999999999</v>
      </c>
      <c r="G8756">
        <f>(Cpi_[[#This Row],[Value]]-F8755)/F8755</f>
        <v>2.5099075297225777E-2</v>
      </c>
      <c r="H8756" t="e" cm="1" vm="1">
        <f t="array" aca="1" ref="H8756" ca="1">VLOOKUP(Cpi_[[#This Row],[Year]:[Month]],crudeoil[],3,FALSE)</f>
        <v>#VALUE!</v>
      </c>
    </row>
    <row r="8757" spans="1:8" hidden="1" x14ac:dyDescent="0.3">
      <c r="A8757" t="s">
        <v>30</v>
      </c>
      <c r="B8757">
        <v>2022</v>
      </c>
      <c r="C8757" t="s">
        <v>35</v>
      </c>
      <c r="D8757" t="s">
        <v>10</v>
      </c>
      <c r="E8757" t="e">
        <f>VLOOKUP(Cpi_[[#This Row],[Attribute]],#REF!,2,FALSE)</f>
        <v>#REF!</v>
      </c>
      <c r="F8757">
        <v>163.9</v>
      </c>
      <c r="G8757">
        <f>(Cpi_[[#This Row],[Value]]-F8756)/F8756</f>
        <v>5.6056701030927948E-2</v>
      </c>
      <c r="H8757" t="e" cm="1" vm="1">
        <f t="array" aca="1" ref="H8757" ca="1">VLOOKUP(Cpi_[[#This Row],[Year]:[Month]],crudeoil[],3,FALSE)</f>
        <v>#VALUE!</v>
      </c>
    </row>
    <row r="8758" spans="1:8" hidden="1" x14ac:dyDescent="0.3">
      <c r="A8758" t="s">
        <v>30</v>
      </c>
      <c r="B8758">
        <v>2022</v>
      </c>
      <c r="C8758" t="s">
        <v>35</v>
      </c>
      <c r="D8758" t="s">
        <v>11</v>
      </c>
      <c r="E8758" t="e">
        <f>VLOOKUP(Cpi_[[#This Row],[Attribute]],#REF!,2,FALSE)</f>
        <v>#REF!</v>
      </c>
      <c r="F8758">
        <v>118.1</v>
      </c>
      <c r="G8758">
        <f>(Cpi_[[#This Row],[Value]]-F8757)/F8757</f>
        <v>-0.27943868212324596</v>
      </c>
      <c r="H8758" t="e" cm="1" vm="1">
        <f t="array" aca="1" ref="H8758" ca="1">VLOOKUP(Cpi_[[#This Row],[Year]:[Month]],crudeoil[],3,FALSE)</f>
        <v>#VALUE!</v>
      </c>
    </row>
    <row r="8759" spans="1:8" hidden="1" x14ac:dyDescent="0.3">
      <c r="A8759" t="s">
        <v>30</v>
      </c>
      <c r="B8759">
        <v>2022</v>
      </c>
      <c r="C8759" t="s">
        <v>35</v>
      </c>
      <c r="D8759" t="s">
        <v>12</v>
      </c>
      <c r="E8759" t="e">
        <f>VLOOKUP(Cpi_[[#This Row],[Attribute]],#REF!,2,FALSE)</f>
        <v>#REF!</v>
      </c>
      <c r="F8759">
        <v>175.4</v>
      </c>
      <c r="G8759">
        <f>(Cpi_[[#This Row],[Value]]-F8758)/F8758</f>
        <v>0.48518204911092305</v>
      </c>
      <c r="H8759" t="e" cm="1" vm="1">
        <f t="array" aca="1" ref="H8759" ca="1">VLOOKUP(Cpi_[[#This Row],[Year]:[Month]],crudeoil[],3,FALSE)</f>
        <v>#VALUE!</v>
      </c>
    </row>
    <row r="8760" spans="1:8" hidden="1" x14ac:dyDescent="0.3">
      <c r="A8760" t="s">
        <v>30</v>
      </c>
      <c r="B8760">
        <v>2022</v>
      </c>
      <c r="C8760" t="s">
        <v>35</v>
      </c>
      <c r="D8760" t="s">
        <v>13</v>
      </c>
      <c r="E8760" t="e">
        <f>VLOOKUP(Cpi_[[#This Row],[Attribute]],#REF!,2,FALSE)</f>
        <v>#REF!</v>
      </c>
      <c r="F8760">
        <v>170.5</v>
      </c>
      <c r="G8760">
        <f>(Cpi_[[#This Row],[Value]]-F8759)/F8759</f>
        <v>-2.7936145952109494E-2</v>
      </c>
      <c r="H8760" t="e" cm="1" vm="1">
        <f t="array" aca="1" ref="H8760" ca="1">VLOOKUP(Cpi_[[#This Row],[Year]:[Month]],crudeoil[],3,FALSE)</f>
        <v>#VALUE!</v>
      </c>
    </row>
    <row r="8761" spans="1:8" hidden="1" x14ac:dyDescent="0.3">
      <c r="A8761" t="s">
        <v>30</v>
      </c>
      <c r="B8761">
        <v>2022</v>
      </c>
      <c r="C8761" t="s">
        <v>35</v>
      </c>
      <c r="D8761" t="s">
        <v>14</v>
      </c>
      <c r="E8761" t="e">
        <f>VLOOKUP(Cpi_[[#This Row],[Attribute]],#REF!,2,FALSE)</f>
        <v>#REF!</v>
      </c>
      <c r="F8761">
        <v>176.3</v>
      </c>
      <c r="G8761">
        <f>(Cpi_[[#This Row],[Value]]-F8760)/F8760</f>
        <v>3.4017595307917953E-2</v>
      </c>
      <c r="H8761" t="e" cm="1" vm="1">
        <f t="array" aca="1" ref="H8761" ca="1">VLOOKUP(Cpi_[[#This Row],[Year]:[Month]],crudeoil[],3,FALSE)</f>
        <v>#VALUE!</v>
      </c>
    </row>
    <row r="8762" spans="1:8" hidden="1" x14ac:dyDescent="0.3">
      <c r="A8762" t="s">
        <v>30</v>
      </c>
      <c r="B8762">
        <v>2022</v>
      </c>
      <c r="C8762" t="s">
        <v>35</v>
      </c>
      <c r="D8762" t="s">
        <v>15</v>
      </c>
      <c r="E8762" t="e">
        <f>VLOOKUP(Cpi_[[#This Row],[Attribute]],#REF!,2,FALSE)</f>
        <v>#REF!</v>
      </c>
      <c r="F8762">
        <v>163.9</v>
      </c>
      <c r="G8762">
        <f>(Cpi_[[#This Row],[Value]]-F8761)/F8761</f>
        <v>-7.0334656834940473E-2</v>
      </c>
      <c r="H8762" t="e" cm="1" vm="1">
        <f t="array" aca="1" ref="H8762" ca="1">VLOOKUP(Cpi_[[#This Row],[Year]:[Month]],crudeoil[],3,FALSE)</f>
        <v>#VALUE!</v>
      </c>
    </row>
    <row r="8763" spans="1:8" hidden="1" x14ac:dyDescent="0.3">
      <c r="A8763" t="s">
        <v>30</v>
      </c>
      <c r="B8763">
        <v>2022</v>
      </c>
      <c r="C8763" t="s">
        <v>35</v>
      </c>
      <c r="D8763" t="s">
        <v>16</v>
      </c>
      <c r="E8763" t="e">
        <f>VLOOKUP(Cpi_[[#This Row],[Attribute]],#REF!,2,FALSE)</f>
        <v>#REF!</v>
      </c>
      <c r="F8763">
        <v>191.5</v>
      </c>
      <c r="G8763">
        <f>(Cpi_[[#This Row],[Value]]-F8762)/F8762</f>
        <v>0.16839536302623548</v>
      </c>
      <c r="H8763" t="e" cm="1" vm="1">
        <f t="array" aca="1" ref="H8763" ca="1">VLOOKUP(Cpi_[[#This Row],[Year]:[Month]],crudeoil[],3,FALSE)</f>
        <v>#VALUE!</v>
      </c>
    </row>
    <row r="8764" spans="1:8" hidden="1" x14ac:dyDescent="0.3">
      <c r="A8764" t="s">
        <v>30</v>
      </c>
      <c r="B8764">
        <v>2022</v>
      </c>
      <c r="C8764" t="s">
        <v>35</v>
      </c>
      <c r="D8764" t="s">
        <v>17</v>
      </c>
      <c r="E8764" t="e">
        <f>VLOOKUP(Cpi_[[#This Row],[Attribute]],#REF!,2,FALSE)</f>
        <v>#REF!</v>
      </c>
      <c r="F8764">
        <v>174.1</v>
      </c>
      <c r="G8764">
        <f>(Cpi_[[#This Row],[Value]]-F8763)/F8763</f>
        <v>-9.0861618798955643E-2</v>
      </c>
      <c r="H8764" t="e" cm="1" vm="1">
        <f t="array" aca="1" ref="H8764" ca="1">VLOOKUP(Cpi_[[#This Row],[Year]:[Month]],crudeoil[],3,FALSE)</f>
        <v>#VALUE!</v>
      </c>
    </row>
    <row r="8765" spans="1:8" hidden="1" x14ac:dyDescent="0.3">
      <c r="A8765" t="s">
        <v>30</v>
      </c>
      <c r="B8765">
        <v>2022</v>
      </c>
      <c r="C8765" t="s">
        <v>35</v>
      </c>
      <c r="D8765" t="s">
        <v>18</v>
      </c>
      <c r="E8765" t="e">
        <f>VLOOKUP(Cpi_[[#This Row],[Attribute]],#REF!,2,FALSE)</f>
        <v>#REF!</v>
      </c>
      <c r="F8765">
        <v>171</v>
      </c>
      <c r="G8765">
        <f>(Cpi_[[#This Row],[Value]]-F8764)/F8764</f>
        <v>-1.7805858701895431E-2</v>
      </c>
      <c r="H8765" t="e" cm="1" vm="1">
        <f t="array" aca="1" ref="H8765" ca="1">VLOOKUP(Cpi_[[#This Row],[Year]:[Month]],crudeoil[],3,FALSE)</f>
        <v>#VALUE!</v>
      </c>
    </row>
    <row r="8766" spans="1:8" hidden="1" x14ac:dyDescent="0.3">
      <c r="A8766" t="s">
        <v>30</v>
      </c>
      <c r="B8766">
        <v>2022</v>
      </c>
      <c r="C8766" t="s">
        <v>35</v>
      </c>
      <c r="D8766" t="s">
        <v>19</v>
      </c>
      <c r="E8766" t="e">
        <f>VLOOKUP(Cpi_[[#This Row],[Attribute]],#REF!,2,FALSE)</f>
        <v>#REF!</v>
      </c>
      <c r="F8766">
        <v>173.7</v>
      </c>
      <c r="G8766">
        <f>(Cpi_[[#This Row],[Value]]-F8765)/F8765</f>
        <v>1.5789473684210461E-2</v>
      </c>
      <c r="H8766" t="e" cm="1" vm="1">
        <f t="array" aca="1" ref="H8766" ca="1">VLOOKUP(Cpi_[[#This Row],[Year]:[Month]],crudeoil[],3,FALSE)</f>
        <v>#VALUE!</v>
      </c>
    </row>
    <row r="8767" spans="1:8" hidden="1" x14ac:dyDescent="0.3">
      <c r="A8767" t="s">
        <v>30</v>
      </c>
      <c r="B8767">
        <v>2022</v>
      </c>
      <c r="C8767" t="s">
        <v>35</v>
      </c>
      <c r="D8767" t="s">
        <v>20</v>
      </c>
      <c r="E8767" t="e">
        <f>VLOOKUP(Cpi_[[#This Row],[Attribute]],#REF!,2,FALSE)</f>
        <v>#REF!</v>
      </c>
      <c r="F8767" t="s">
        <v>32</v>
      </c>
      <c r="G8767" t="e">
        <f>(Cpi_[[#This Row],[Value]]-F8766)/F8766</f>
        <v>#VALUE!</v>
      </c>
      <c r="H8767" t="e" cm="1" vm="1">
        <f t="array" aca="1" ref="H8767" ca="1">VLOOKUP(Cpi_[[#This Row],[Year]:[Month]],crudeoil[],3,FALSE)</f>
        <v>#VALUE!</v>
      </c>
    </row>
    <row r="8768" spans="1:8" hidden="1" x14ac:dyDescent="0.3">
      <c r="A8768" t="s">
        <v>30</v>
      </c>
      <c r="B8768">
        <v>2022</v>
      </c>
      <c r="C8768" t="s">
        <v>35</v>
      </c>
      <c r="D8768" t="s">
        <v>21</v>
      </c>
      <c r="E8768" t="e">
        <f>VLOOKUP(Cpi_[[#This Row],[Attribute]],#REF!,2,FALSE)</f>
        <v>#REF!</v>
      </c>
      <c r="F8768">
        <v>167.4</v>
      </c>
      <c r="G8768" t="e">
        <f>(Cpi_[[#This Row],[Value]]-F8767)/F8767</f>
        <v>#VALUE!</v>
      </c>
      <c r="H8768" t="e" cm="1" vm="1">
        <f t="array" aca="1" ref="H8768" ca="1">VLOOKUP(Cpi_[[#This Row],[Year]:[Month]],crudeoil[],3,FALSE)</f>
        <v>#VALUE!</v>
      </c>
    </row>
    <row r="8769" spans="1:8" hidden="1" x14ac:dyDescent="0.3">
      <c r="A8769" t="s">
        <v>30</v>
      </c>
      <c r="B8769">
        <v>2022</v>
      </c>
      <c r="C8769" t="s">
        <v>35</v>
      </c>
      <c r="D8769" t="s">
        <v>22</v>
      </c>
      <c r="E8769" t="e">
        <f>VLOOKUP(Cpi_[[#This Row],[Attribute]],#REF!,2,FALSE)</f>
        <v>#REF!</v>
      </c>
      <c r="F8769">
        <v>165.7</v>
      </c>
      <c r="G8769">
        <f>(Cpi_[[#This Row],[Value]]-F8768)/F8768</f>
        <v>-1.0155316606929612E-2</v>
      </c>
      <c r="H8769" t="e" cm="1" vm="1">
        <f t="array" aca="1" ref="H8769" ca="1">VLOOKUP(Cpi_[[#This Row],[Year]:[Month]],crudeoil[],3,FALSE)</f>
        <v>#VALUE!</v>
      </c>
    </row>
    <row r="8770" spans="1:8" hidden="1" x14ac:dyDescent="0.3">
      <c r="A8770" t="s">
        <v>30</v>
      </c>
      <c r="B8770">
        <v>2022</v>
      </c>
      <c r="C8770" t="s">
        <v>35</v>
      </c>
      <c r="D8770" t="s">
        <v>23</v>
      </c>
      <c r="E8770" t="e">
        <f>VLOOKUP(Cpi_[[#This Row],[Attribute]],#REF!,2,FALSE)</f>
        <v>#REF!</v>
      </c>
      <c r="F8770">
        <v>175.3</v>
      </c>
      <c r="G8770">
        <f>(Cpi_[[#This Row],[Value]]-F8769)/F8769</f>
        <v>5.7936028968014627E-2</v>
      </c>
      <c r="H8770" t="e" cm="1" vm="1">
        <f t="array" aca="1" ref="H8770" ca="1">VLOOKUP(Cpi_[[#This Row],[Year]:[Month]],crudeoil[],3,FALSE)</f>
        <v>#VALUE!</v>
      </c>
    </row>
    <row r="8771" spans="1:8" hidden="1" x14ac:dyDescent="0.3">
      <c r="A8771" t="s">
        <v>30</v>
      </c>
      <c r="B8771">
        <v>2022</v>
      </c>
      <c r="C8771" t="s">
        <v>35</v>
      </c>
      <c r="D8771" t="s">
        <v>24</v>
      </c>
      <c r="E8771" t="e">
        <f>VLOOKUP(Cpi_[[#This Row],[Attribute]],#REF!,2,FALSE)</f>
        <v>#REF!</v>
      </c>
      <c r="F8771">
        <v>161.19999999999999</v>
      </c>
      <c r="G8771">
        <f>(Cpi_[[#This Row],[Value]]-F8770)/F8770</f>
        <v>-8.0433542498573998E-2</v>
      </c>
      <c r="H8771" t="e" cm="1" vm="1">
        <f t="array" aca="1" ref="H8771" ca="1">VLOOKUP(Cpi_[[#This Row],[Year]:[Month]],crudeoil[],3,FALSE)</f>
        <v>#VALUE!</v>
      </c>
    </row>
    <row r="8772" spans="1:8" hidden="1" x14ac:dyDescent="0.3">
      <c r="A8772" t="s">
        <v>30</v>
      </c>
      <c r="B8772">
        <v>2022</v>
      </c>
      <c r="C8772" t="s">
        <v>35</v>
      </c>
      <c r="D8772" t="s">
        <v>25</v>
      </c>
      <c r="E8772" t="e">
        <f>VLOOKUP(Cpi_[[#This Row],[Attribute]],#REF!,2,FALSE)</f>
        <v>#REF!</v>
      </c>
      <c r="F8772">
        <v>165.5</v>
      </c>
      <c r="G8772">
        <f>(Cpi_[[#This Row],[Value]]-F8771)/F8771</f>
        <v>2.6674937965260617E-2</v>
      </c>
      <c r="H8772" t="e" cm="1" vm="1">
        <f t="array" aca="1" ref="H8772" ca="1">VLOOKUP(Cpi_[[#This Row],[Year]:[Month]],crudeoil[],3,FALSE)</f>
        <v>#VALUE!</v>
      </c>
    </row>
    <row r="8773" spans="1:8" hidden="1" x14ac:dyDescent="0.3">
      <c r="A8773" t="s">
        <v>30</v>
      </c>
      <c r="B8773">
        <v>2022</v>
      </c>
      <c r="C8773" t="s">
        <v>35</v>
      </c>
      <c r="D8773" t="s">
        <v>26</v>
      </c>
      <c r="E8773" t="e">
        <f>VLOOKUP(Cpi_[[#This Row],[Attribute]],#REF!,2,FALSE)</f>
        <v>#REF!</v>
      </c>
      <c r="F8773">
        <v>170.3</v>
      </c>
      <c r="G8773">
        <f>(Cpi_[[#This Row],[Value]]-F8772)/F8772</f>
        <v>2.9003021148036323E-2</v>
      </c>
      <c r="H8773" t="e" cm="1" vm="1">
        <f t="array" aca="1" ref="H8773" ca="1">VLOOKUP(Cpi_[[#This Row],[Year]:[Month]],crudeoil[],3,FALSE)</f>
        <v>#VALUE!</v>
      </c>
    </row>
    <row r="8774" spans="1:8" hidden="1" x14ac:dyDescent="0.3">
      <c r="A8774" t="s">
        <v>30</v>
      </c>
      <c r="B8774">
        <v>2022</v>
      </c>
      <c r="C8774" t="s">
        <v>35</v>
      </c>
      <c r="D8774" t="s">
        <v>27</v>
      </c>
      <c r="E8774" t="e">
        <f>VLOOKUP(Cpi_[[#This Row],[Attribute]],#REF!,2,FALSE)</f>
        <v>#REF!</v>
      </c>
      <c r="F8774">
        <v>164.5</v>
      </c>
      <c r="G8774">
        <f>(Cpi_[[#This Row],[Value]]-F8773)/F8773</f>
        <v>-3.405754550792725E-2</v>
      </c>
      <c r="H8774" t="e" cm="1" vm="1">
        <f t="array" aca="1" ref="H8774" ca="1">VLOOKUP(Cpi_[[#This Row],[Year]:[Month]],crudeoil[],3,FALSE)</f>
        <v>#VALUE!</v>
      </c>
    </row>
    <row r="8775" spans="1:8" hidden="1" x14ac:dyDescent="0.3">
      <c r="A8775" t="s">
        <v>30</v>
      </c>
      <c r="B8775">
        <v>2022</v>
      </c>
      <c r="C8775" t="s">
        <v>35</v>
      </c>
      <c r="D8775" t="s">
        <v>28</v>
      </c>
      <c r="E8775" t="e">
        <f>VLOOKUP(Cpi_[[#This Row],[Attribute]],#REF!,2,FALSE)</f>
        <v>#REF!</v>
      </c>
      <c r="F8775">
        <v>167.3</v>
      </c>
      <c r="G8775">
        <f>(Cpi_[[#This Row],[Value]]-F8774)/F8774</f>
        <v>1.7021276595744751E-2</v>
      </c>
      <c r="H8775" t="e" cm="1" vm="1">
        <f t="array" aca="1" ref="H8775" ca="1">VLOOKUP(Cpi_[[#This Row],[Year]:[Month]],crudeoil[],3,FALSE)</f>
        <v>#VALUE!</v>
      </c>
    </row>
    <row r="8776" spans="1:8" hidden="1" x14ac:dyDescent="0.3">
      <c r="A8776" t="s">
        <v>30</v>
      </c>
      <c r="B8776">
        <v>2022</v>
      </c>
      <c r="C8776" t="s">
        <v>35</v>
      </c>
      <c r="D8776" t="s">
        <v>29</v>
      </c>
      <c r="E8776" t="e" cm="1">
        <f t="array" aca="1" ref="E8776" ca="1">VLGeneral indexGeneral indexKUP(Cpi_[[#This Row],[Attribute]],#REF!,2,FALSE)</f>
        <v>#NAME?</v>
      </c>
      <c r="F8776">
        <v>166.7</v>
      </c>
      <c r="G8776">
        <f>(Cpi_[[#This Row],[Value]]-F8775)/F8775</f>
        <v>-3.5863717872087432E-3</v>
      </c>
      <c r="H8776" t="e" cm="1" vm="1">
        <f t="array" aca="1" ref="H8776" ca="1">VLOOKUP(Cpi_[[#This Row],[Year]:[Month]],crudeoil[],3,FALSE)</f>
        <v>#VALUE!</v>
      </c>
    </row>
    <row r="8777" spans="1:8" hidden="1" x14ac:dyDescent="0.3">
      <c r="A8777" t="s">
        <v>33</v>
      </c>
      <c r="B8777">
        <v>2022</v>
      </c>
      <c r="C8777" t="s">
        <v>35</v>
      </c>
      <c r="D8777" t="s">
        <v>3</v>
      </c>
      <c r="E8777" t="e">
        <f>VLOOKUP(Cpi_[[#This Row],[Attribute]],#REF!,2,FALSE)</f>
        <v>#REF!</v>
      </c>
      <c r="F8777">
        <v>152.5</v>
      </c>
      <c r="G8777">
        <f>(Cpi_[[#This Row],[Value]]-F8776)/F8776</f>
        <v>-8.5182963407318471E-2</v>
      </c>
      <c r="H8777" t="e" cm="1" vm="1">
        <f t="array" aca="1" ref="H8777" ca="1">VLOOKUP(Cpi_[[#This Row],[Year]:[Month]],crudeoil[],3,FALSE)</f>
        <v>#VALUE!</v>
      </c>
    </row>
    <row r="8778" spans="1:8" hidden="1" x14ac:dyDescent="0.3">
      <c r="A8778" t="s">
        <v>33</v>
      </c>
      <c r="B8778">
        <v>2022</v>
      </c>
      <c r="C8778" t="s">
        <v>35</v>
      </c>
      <c r="D8778" t="s">
        <v>4</v>
      </c>
      <c r="E8778" t="e">
        <f>VLOOKUP(Cpi_[[#This Row],[Attribute]],#REF!,2,FALSE)</f>
        <v>#REF!</v>
      </c>
      <c r="F8778">
        <v>205.2</v>
      </c>
      <c r="G8778">
        <f>(Cpi_[[#This Row],[Value]]-F8777)/F8777</f>
        <v>0.34557377049180321</v>
      </c>
      <c r="H8778" t="e" cm="1" vm="1">
        <f t="array" aca="1" ref="H8778" ca="1">VLOOKUP(Cpi_[[#This Row],[Year]:[Month]],crudeoil[],3,FALSE)</f>
        <v>#VALUE!</v>
      </c>
    </row>
    <row r="8779" spans="1:8" hidden="1" x14ac:dyDescent="0.3">
      <c r="A8779" t="s">
        <v>33</v>
      </c>
      <c r="B8779">
        <v>2022</v>
      </c>
      <c r="C8779" t="s">
        <v>35</v>
      </c>
      <c r="D8779" t="s">
        <v>5</v>
      </c>
      <c r="E8779" t="e">
        <f>VLOOKUP(Cpi_[[#This Row],[Attribute]],#REF!,2,FALSE)</f>
        <v>#REF!</v>
      </c>
      <c r="F8779">
        <v>176.4</v>
      </c>
      <c r="G8779">
        <f>(Cpi_[[#This Row],[Value]]-F8778)/F8778</f>
        <v>-0.14035087719298239</v>
      </c>
      <c r="H8779" t="e" cm="1" vm="1">
        <f t="array" aca="1" ref="H8779" ca="1">VLOOKUP(Cpi_[[#This Row],[Year]:[Month]],crudeoil[],3,FALSE)</f>
        <v>#VALUE!</v>
      </c>
    </row>
    <row r="8780" spans="1:8" hidden="1" x14ac:dyDescent="0.3">
      <c r="A8780" t="s">
        <v>33</v>
      </c>
      <c r="B8780">
        <v>2022</v>
      </c>
      <c r="C8780" t="s">
        <v>35</v>
      </c>
      <c r="D8780" t="s">
        <v>6</v>
      </c>
      <c r="E8780" t="e">
        <f>VLOOKUP(Cpi_[[#This Row],[Attribute]],#REF!,2,FALSE)</f>
        <v>#REF!</v>
      </c>
      <c r="F8780">
        <v>160.6</v>
      </c>
      <c r="G8780">
        <f>(Cpi_[[#This Row],[Value]]-F8779)/F8779</f>
        <v>-8.9569160997732489E-2</v>
      </c>
      <c r="H8780" t="e" cm="1" vm="1">
        <f t="array" aca="1" ref="H8780" ca="1">VLOOKUP(Cpi_[[#This Row],[Year]:[Month]],crudeoil[],3,FALSE)</f>
        <v>#VALUE!</v>
      </c>
    </row>
    <row r="8781" spans="1:8" hidden="1" x14ac:dyDescent="0.3">
      <c r="A8781" t="s">
        <v>33</v>
      </c>
      <c r="B8781">
        <v>2022</v>
      </c>
      <c r="C8781" t="s">
        <v>35</v>
      </c>
      <c r="D8781" t="s">
        <v>7</v>
      </c>
      <c r="E8781" t="e">
        <f>VLOOKUP(Cpi_[[#This Row],[Attribute]],#REF!,2,FALSE)</f>
        <v>#REF!</v>
      </c>
      <c r="F8781">
        <v>171.5</v>
      </c>
      <c r="G8781">
        <f>(Cpi_[[#This Row],[Value]]-F8780)/F8780</f>
        <v>6.7870485678704892E-2</v>
      </c>
      <c r="H8781" t="e" cm="1" vm="1">
        <f t="array" aca="1" ref="H8781" ca="1">VLOOKUP(Cpi_[[#This Row],[Year]:[Month]],crudeoil[],3,FALSE)</f>
        <v>#VALUE!</v>
      </c>
    </row>
    <row r="8782" spans="1:8" hidden="1" x14ac:dyDescent="0.3">
      <c r="A8782" t="s">
        <v>33</v>
      </c>
      <c r="B8782">
        <v>2022</v>
      </c>
      <c r="C8782" t="s">
        <v>35</v>
      </c>
      <c r="D8782" t="s">
        <v>8</v>
      </c>
      <c r="E8782" t="e">
        <f>VLOOKUP(Cpi_[[#This Row],[Attribute]],#REF!,2,FALSE)</f>
        <v>#REF!</v>
      </c>
      <c r="F8782">
        <v>156.4</v>
      </c>
      <c r="G8782">
        <f>(Cpi_[[#This Row],[Value]]-F8781)/F8781</f>
        <v>-8.8046647230320671E-2</v>
      </c>
      <c r="H8782" t="e" cm="1" vm="1">
        <f t="array" aca="1" ref="H8782" ca="1">VLOOKUP(Cpi_[[#This Row],[Year]:[Month]],crudeoil[],3,FALSE)</f>
        <v>#VALUE!</v>
      </c>
    </row>
    <row r="8783" spans="1:8" hidden="1" x14ac:dyDescent="0.3">
      <c r="A8783" t="s">
        <v>33</v>
      </c>
      <c r="B8783">
        <v>2022</v>
      </c>
      <c r="C8783" t="s">
        <v>35</v>
      </c>
      <c r="D8783" t="s">
        <v>9</v>
      </c>
      <c r="E8783" t="e">
        <f>VLOOKUP(Cpi_[[#This Row],[Attribute]],#REF!,2,FALSE)</f>
        <v>#REF!</v>
      </c>
      <c r="F8783">
        <v>198</v>
      </c>
      <c r="G8783">
        <f>(Cpi_[[#This Row],[Value]]-F8782)/F8782</f>
        <v>0.26598465473145777</v>
      </c>
      <c r="H8783" t="e" cm="1" vm="1">
        <f t="array" aca="1" ref="H8783" ca="1">VLOOKUP(Cpi_[[#This Row],[Year]:[Month]],crudeoil[],3,FALSE)</f>
        <v>#VALUE!</v>
      </c>
    </row>
    <row r="8784" spans="1:8" hidden="1" x14ac:dyDescent="0.3">
      <c r="A8784" t="s">
        <v>33</v>
      </c>
      <c r="B8784">
        <v>2022</v>
      </c>
      <c r="C8784" t="s">
        <v>35</v>
      </c>
      <c r="D8784" t="s">
        <v>10</v>
      </c>
      <c r="E8784" t="e">
        <f>VLOOKUP(Cpi_[[#This Row],[Attribute]],#REF!,2,FALSE)</f>
        <v>#REF!</v>
      </c>
      <c r="F8784">
        <v>163.19999999999999</v>
      </c>
      <c r="G8784">
        <f>(Cpi_[[#This Row],[Value]]-F8783)/F8783</f>
        <v>-0.17575757575757581</v>
      </c>
      <c r="H8784" t="e" cm="1" vm="1">
        <f t="array" aca="1" ref="H8784" ca="1">VLOOKUP(Cpi_[[#This Row],[Year]:[Month]],crudeoil[],3,FALSE)</f>
        <v>#VALUE!</v>
      </c>
    </row>
    <row r="8785" spans="1:8" hidden="1" x14ac:dyDescent="0.3">
      <c r="A8785" t="s">
        <v>33</v>
      </c>
      <c r="B8785">
        <v>2022</v>
      </c>
      <c r="C8785" t="s">
        <v>35</v>
      </c>
      <c r="D8785" t="s">
        <v>11</v>
      </c>
      <c r="E8785" t="e">
        <f>VLOOKUP(Cpi_[[#This Row],[Attribute]],#REF!,2,FALSE)</f>
        <v>#REF!</v>
      </c>
      <c r="F8785">
        <v>120.6</v>
      </c>
      <c r="G8785">
        <f>(Cpi_[[#This Row],[Value]]-F8784)/F8784</f>
        <v>-0.26102941176470584</v>
      </c>
      <c r="H8785" t="e" cm="1" vm="1">
        <f t="array" aca="1" ref="H8785" ca="1">VLOOKUP(Cpi_[[#This Row],[Year]:[Month]],crudeoil[],3,FALSE)</f>
        <v>#VALUE!</v>
      </c>
    </row>
    <row r="8786" spans="1:8" hidden="1" x14ac:dyDescent="0.3">
      <c r="A8786" t="s">
        <v>33</v>
      </c>
      <c r="B8786">
        <v>2022</v>
      </c>
      <c r="C8786" t="s">
        <v>35</v>
      </c>
      <c r="D8786" t="s">
        <v>12</v>
      </c>
      <c r="E8786" t="e">
        <f>VLOOKUP(Cpi_[[#This Row],[Attribute]],#REF!,2,FALSE)</f>
        <v>#REF!</v>
      </c>
      <c r="F8786">
        <v>172.2</v>
      </c>
      <c r="G8786">
        <f>(Cpi_[[#This Row],[Value]]-F8785)/F8785</f>
        <v>0.42786069651741293</v>
      </c>
      <c r="H8786" t="e" cm="1" vm="1">
        <f t="array" aca="1" ref="H8786" ca="1">VLOOKUP(Cpi_[[#This Row],[Year]:[Month]],crudeoil[],3,FALSE)</f>
        <v>#VALUE!</v>
      </c>
    </row>
    <row r="8787" spans="1:8" hidden="1" x14ac:dyDescent="0.3">
      <c r="A8787" t="s">
        <v>33</v>
      </c>
      <c r="B8787">
        <v>2022</v>
      </c>
      <c r="C8787" t="s">
        <v>35</v>
      </c>
      <c r="D8787" t="s">
        <v>13</v>
      </c>
      <c r="E8787" t="e">
        <f>VLOOKUP(Cpi_[[#This Row],[Attribute]],#REF!,2,FALSE)</f>
        <v>#REF!</v>
      </c>
      <c r="F8787">
        <v>156.69999999999999</v>
      </c>
      <c r="G8787">
        <f>(Cpi_[[#This Row],[Value]]-F8786)/F8786</f>
        <v>-9.0011614401858314E-2</v>
      </c>
      <c r="H8787" t="e" cm="1" vm="1">
        <f t="array" aca="1" ref="H8787" ca="1">VLOOKUP(Cpi_[[#This Row],[Year]:[Month]],crudeoil[],3,FALSE)</f>
        <v>#VALUE!</v>
      </c>
    </row>
    <row r="8788" spans="1:8" hidden="1" x14ac:dyDescent="0.3">
      <c r="A8788" t="s">
        <v>33</v>
      </c>
      <c r="B8788">
        <v>2022</v>
      </c>
      <c r="C8788" t="s">
        <v>35</v>
      </c>
      <c r="D8788" t="s">
        <v>14</v>
      </c>
      <c r="E8788" t="e">
        <f>VLOOKUP(Cpi_[[#This Row],[Attribute]],#REF!,2,FALSE)</f>
        <v>#REF!</v>
      </c>
      <c r="F8788">
        <v>180</v>
      </c>
      <c r="G8788">
        <f>(Cpi_[[#This Row],[Value]]-F8787)/F8787</f>
        <v>0.14869176770899817</v>
      </c>
      <c r="H8788" t="e" cm="1" vm="1">
        <f t="array" aca="1" ref="H8788" ca="1">VLOOKUP(Cpi_[[#This Row],[Year]:[Month]],crudeoil[],3,FALSE)</f>
        <v>#VALUE!</v>
      </c>
    </row>
    <row r="8789" spans="1:8" hidden="1" x14ac:dyDescent="0.3">
      <c r="A8789" t="s">
        <v>33</v>
      </c>
      <c r="B8789">
        <v>2022</v>
      </c>
      <c r="C8789" t="s">
        <v>35</v>
      </c>
      <c r="D8789" t="s">
        <v>15</v>
      </c>
      <c r="E8789" t="e">
        <f>VLOOKUP(Cpi_[[#This Row],[Attribute]],#REF!,2,FALSE)</f>
        <v>#REF!</v>
      </c>
      <c r="F8789">
        <v>170.2</v>
      </c>
      <c r="G8789">
        <f>(Cpi_[[#This Row],[Value]]-F8788)/F8788</f>
        <v>-5.4444444444444511E-2</v>
      </c>
      <c r="H8789" t="e" cm="1" vm="1">
        <f t="array" aca="1" ref="H8789" ca="1">VLOOKUP(Cpi_[[#This Row],[Year]:[Month]],crudeoil[],3,FALSE)</f>
        <v>#VALUE!</v>
      </c>
    </row>
    <row r="8790" spans="1:8" hidden="1" x14ac:dyDescent="0.3">
      <c r="A8790" t="s">
        <v>33</v>
      </c>
      <c r="B8790">
        <v>2022</v>
      </c>
      <c r="C8790" t="s">
        <v>35</v>
      </c>
      <c r="D8790" t="s">
        <v>16</v>
      </c>
      <c r="E8790" t="e">
        <f>VLOOKUP(Cpi_[[#This Row],[Attribute]],#REF!,2,FALSE)</f>
        <v>#REF!</v>
      </c>
      <c r="F8790">
        <v>196.5</v>
      </c>
      <c r="G8790">
        <f>(Cpi_[[#This Row],[Value]]-F8789)/F8789</f>
        <v>0.15452408930669809</v>
      </c>
      <c r="H8790" t="e" cm="1" vm="1">
        <f t="array" aca="1" ref="H8790" ca="1">VLOOKUP(Cpi_[[#This Row],[Year]:[Month]],crudeoil[],3,FALSE)</f>
        <v>#VALUE!</v>
      </c>
    </row>
    <row r="8791" spans="1:8" hidden="1" x14ac:dyDescent="0.3">
      <c r="A8791" t="s">
        <v>33</v>
      </c>
      <c r="B8791">
        <v>2022</v>
      </c>
      <c r="C8791" t="s">
        <v>35</v>
      </c>
      <c r="D8791" t="s">
        <v>17</v>
      </c>
      <c r="E8791" t="e">
        <f>VLOOKUP(Cpi_[[#This Row],[Attribute]],#REF!,2,FALSE)</f>
        <v>#REF!</v>
      </c>
      <c r="F8791">
        <v>165.7</v>
      </c>
      <c r="G8791">
        <f>(Cpi_[[#This Row],[Value]]-F8790)/F8790</f>
        <v>-0.15674300254452933</v>
      </c>
      <c r="H8791" t="e" cm="1" vm="1">
        <f t="array" aca="1" ref="H8791" ca="1">VLOOKUP(Cpi_[[#This Row],[Year]:[Month]],crudeoil[],3,FALSE)</f>
        <v>#VALUE!</v>
      </c>
    </row>
    <row r="8792" spans="1:8" hidden="1" x14ac:dyDescent="0.3">
      <c r="A8792" t="s">
        <v>33</v>
      </c>
      <c r="B8792">
        <v>2022</v>
      </c>
      <c r="C8792" t="s">
        <v>35</v>
      </c>
      <c r="D8792" t="s">
        <v>18</v>
      </c>
      <c r="E8792" t="e">
        <f>VLOOKUP(Cpi_[[#This Row],[Attribute]],#REF!,2,FALSE)</f>
        <v>#REF!</v>
      </c>
      <c r="F8792">
        <v>150.4</v>
      </c>
      <c r="G8792">
        <f>(Cpi_[[#This Row],[Value]]-F8791)/F8791</f>
        <v>-9.2335546167772981E-2</v>
      </c>
      <c r="H8792" t="e" cm="1" vm="1">
        <f t="array" aca="1" ref="H8792" ca="1">VLOOKUP(Cpi_[[#This Row],[Year]:[Month]],crudeoil[],3,FALSE)</f>
        <v>#VALUE!</v>
      </c>
    </row>
    <row r="8793" spans="1:8" hidden="1" x14ac:dyDescent="0.3">
      <c r="A8793" t="s">
        <v>33</v>
      </c>
      <c r="B8793">
        <v>2022</v>
      </c>
      <c r="C8793" t="s">
        <v>35</v>
      </c>
      <c r="D8793" t="s">
        <v>19</v>
      </c>
      <c r="E8793" t="e">
        <f>VLOOKUP(Cpi_[[#This Row],[Attribute]],#REF!,2,FALSE)</f>
        <v>#REF!</v>
      </c>
      <c r="F8793">
        <v>163.4</v>
      </c>
      <c r="G8793">
        <f>(Cpi_[[#This Row],[Value]]-F8792)/F8792</f>
        <v>8.643617021276595E-2</v>
      </c>
      <c r="H8793" t="e" cm="1" vm="1">
        <f t="array" aca="1" ref="H8793" ca="1">VLOOKUP(Cpi_[[#This Row],[Year]:[Month]],crudeoil[],3,FALSE)</f>
        <v>#VALUE!</v>
      </c>
    </row>
    <row r="8794" spans="1:8" hidden="1" x14ac:dyDescent="0.3">
      <c r="A8794" t="s">
        <v>33</v>
      </c>
      <c r="B8794">
        <v>2022</v>
      </c>
      <c r="C8794" t="s">
        <v>35</v>
      </c>
      <c r="D8794" t="s">
        <v>20</v>
      </c>
      <c r="E8794" t="e">
        <f>VLOOKUP(Cpi_[[#This Row],[Attribute]],#REF!,2,FALSE)</f>
        <v>#REF!</v>
      </c>
      <c r="F8794">
        <v>165.5</v>
      </c>
      <c r="G8794">
        <f>(Cpi_[[#This Row],[Value]]-F8793)/F8793</f>
        <v>1.2851897184822486E-2</v>
      </c>
      <c r="H8794" t="e" cm="1" vm="1">
        <f t="array" aca="1" ref="H8794" ca="1">VLOOKUP(Cpi_[[#This Row],[Year]:[Month]],crudeoil[],3,FALSE)</f>
        <v>#VALUE!</v>
      </c>
    </row>
    <row r="8795" spans="1:8" hidden="1" x14ac:dyDescent="0.3">
      <c r="A8795" t="s">
        <v>33</v>
      </c>
      <c r="B8795">
        <v>2022</v>
      </c>
      <c r="C8795" t="s">
        <v>35</v>
      </c>
      <c r="D8795" t="s">
        <v>21</v>
      </c>
      <c r="E8795" t="e">
        <f>VLOOKUP(Cpi_[[#This Row],[Attribute]],#REF!,2,FALSE)</f>
        <v>#REF!</v>
      </c>
      <c r="F8795">
        <v>163</v>
      </c>
      <c r="G8795">
        <f>(Cpi_[[#This Row],[Value]]-F8794)/F8794</f>
        <v>-1.5105740181268883E-2</v>
      </c>
      <c r="H8795" t="e" cm="1" vm="1">
        <f t="array" aca="1" ref="H8795" ca="1">VLOOKUP(Cpi_[[#This Row],[Year]:[Month]],crudeoil[],3,FALSE)</f>
        <v>#VALUE!</v>
      </c>
    </row>
    <row r="8796" spans="1:8" hidden="1" x14ac:dyDescent="0.3">
      <c r="A8796" t="s">
        <v>33</v>
      </c>
      <c r="B8796">
        <v>2022</v>
      </c>
      <c r="C8796" t="s">
        <v>35</v>
      </c>
      <c r="D8796" t="s">
        <v>22</v>
      </c>
      <c r="E8796" t="e">
        <f>VLOOKUP(Cpi_[[#This Row],[Attribute]],#REF!,2,FALSE)</f>
        <v>#REF!</v>
      </c>
      <c r="F8796">
        <v>157.4</v>
      </c>
      <c r="G8796">
        <f>(Cpi_[[#This Row],[Value]]-F8795)/F8795</f>
        <v>-3.4355828220858864E-2</v>
      </c>
      <c r="H8796" t="e" cm="1" vm="1">
        <f t="array" aca="1" ref="H8796" ca="1">VLOOKUP(Cpi_[[#This Row],[Year]:[Month]],crudeoil[],3,FALSE)</f>
        <v>#VALUE!</v>
      </c>
    </row>
    <row r="8797" spans="1:8" hidden="1" x14ac:dyDescent="0.3">
      <c r="A8797" t="s">
        <v>33</v>
      </c>
      <c r="B8797">
        <v>2022</v>
      </c>
      <c r="C8797" t="s">
        <v>35</v>
      </c>
      <c r="D8797" t="s">
        <v>23</v>
      </c>
      <c r="E8797" t="e">
        <f>VLOOKUP(Cpi_[[#This Row],[Attribute]],#REF!,2,FALSE)</f>
        <v>#REF!</v>
      </c>
      <c r="F8797">
        <v>167.2</v>
      </c>
      <c r="G8797">
        <f>(Cpi_[[#This Row],[Value]]-F8796)/F8796</f>
        <v>6.2261753494281973E-2</v>
      </c>
      <c r="H8797" t="e" cm="1" vm="1">
        <f t="array" aca="1" ref="H8797" ca="1">VLOOKUP(Cpi_[[#This Row],[Year]:[Month]],crudeoil[],3,FALSE)</f>
        <v>#VALUE!</v>
      </c>
    </row>
    <row r="8798" spans="1:8" hidden="1" x14ac:dyDescent="0.3">
      <c r="A8798" t="s">
        <v>33</v>
      </c>
      <c r="B8798">
        <v>2022</v>
      </c>
      <c r="C8798" t="s">
        <v>35</v>
      </c>
      <c r="D8798" t="s">
        <v>24</v>
      </c>
      <c r="E8798" t="e">
        <f>VLOOKUP(Cpi_[[#This Row],[Attribute]],#REF!,2,FALSE)</f>
        <v>#REF!</v>
      </c>
      <c r="F8798">
        <v>153.1</v>
      </c>
      <c r="G8798">
        <f>(Cpi_[[#This Row],[Value]]-F8797)/F8797</f>
        <v>-8.4330143540669825E-2</v>
      </c>
      <c r="H8798" t="e" cm="1" vm="1">
        <f t="array" aca="1" ref="H8798" ca="1">VLOOKUP(Cpi_[[#This Row],[Year]:[Month]],crudeoil[],3,FALSE)</f>
        <v>#VALUE!</v>
      </c>
    </row>
    <row r="8799" spans="1:8" hidden="1" x14ac:dyDescent="0.3">
      <c r="A8799" t="s">
        <v>33</v>
      </c>
      <c r="B8799">
        <v>2022</v>
      </c>
      <c r="C8799" t="s">
        <v>35</v>
      </c>
      <c r="D8799" t="s">
        <v>25</v>
      </c>
      <c r="E8799" t="e">
        <f>VLOOKUP(Cpi_[[#This Row],[Attribute]],#REF!,2,FALSE)</f>
        <v>#REF!</v>
      </c>
      <c r="F8799">
        <v>159.5</v>
      </c>
      <c r="G8799">
        <f>(Cpi_[[#This Row],[Value]]-F8798)/F8798</f>
        <v>4.1802743305029429E-2</v>
      </c>
      <c r="H8799" t="e" cm="1" vm="1">
        <f t="array" aca="1" ref="H8799" ca="1">VLOOKUP(Cpi_[[#This Row],[Year]:[Month]],crudeoil[],3,FALSE)</f>
        <v>#VALUE!</v>
      </c>
    </row>
    <row r="8800" spans="1:8" hidden="1" x14ac:dyDescent="0.3">
      <c r="A8800" t="s">
        <v>33</v>
      </c>
      <c r="B8800">
        <v>2022</v>
      </c>
      <c r="C8800" t="s">
        <v>35</v>
      </c>
      <c r="D8800" t="s">
        <v>26</v>
      </c>
      <c r="E8800" t="e">
        <f>VLOOKUP(Cpi_[[#This Row],[Attribute]],#REF!,2,FALSE)</f>
        <v>#REF!</v>
      </c>
      <c r="F8800">
        <v>162</v>
      </c>
      <c r="G8800">
        <f>(Cpi_[[#This Row],[Value]]-F8799)/F8799</f>
        <v>1.5673981191222569E-2</v>
      </c>
      <c r="H8800" t="e" cm="1" vm="1">
        <f t="array" aca="1" ref="H8800" ca="1">VLOOKUP(Cpi_[[#This Row],[Year]:[Month]],crudeoil[],3,FALSE)</f>
        <v>#VALUE!</v>
      </c>
    </row>
    <row r="8801" spans="1:10" hidden="1" x14ac:dyDescent="0.3">
      <c r="A8801" t="s">
        <v>33</v>
      </c>
      <c r="B8801">
        <v>2022</v>
      </c>
      <c r="C8801" t="s">
        <v>35</v>
      </c>
      <c r="D8801" t="s">
        <v>27</v>
      </c>
      <c r="E8801" t="e">
        <f>VLOOKUP(Cpi_[[#This Row],[Attribute]],#REF!,2,FALSE)</f>
        <v>#REF!</v>
      </c>
      <c r="F8801">
        <v>164.2</v>
      </c>
      <c r="G8801">
        <f>(Cpi_[[#This Row],[Value]]-F8800)/F8800</f>
        <v>1.3580246913580177E-2</v>
      </c>
      <c r="H8801" t="e" cm="1" vm="1">
        <f t="array" aca="1" ref="H8801" ca="1">VLOOKUP(Cpi_[[#This Row],[Year]:[Month]],crudeoil[],3,FALSE)</f>
        <v>#VALUE!</v>
      </c>
    </row>
    <row r="8802" spans="1:10" hidden="1" x14ac:dyDescent="0.3">
      <c r="A8802" t="s">
        <v>33</v>
      </c>
      <c r="B8802">
        <v>2022</v>
      </c>
      <c r="C8802" t="s">
        <v>35</v>
      </c>
      <c r="D8802" t="s">
        <v>28</v>
      </c>
      <c r="E8802" t="e">
        <f>VLOOKUP(Cpi_[[#This Row],[Attribute]],#REF!,2,FALSE)</f>
        <v>#REF!</v>
      </c>
      <c r="F8802">
        <v>159.4</v>
      </c>
      <c r="G8802">
        <f>(Cpi_[[#This Row],[Value]]-F8801)/F8801</f>
        <v>-2.9232643118148497E-2</v>
      </c>
      <c r="H8802" t="e" cm="1" vm="1">
        <f t="array" aca="1" ref="H8802" ca="1">VLOOKUP(Cpi_[[#This Row],[Year]:[Month]],crudeoil[],3,FALSE)</f>
        <v>#VALUE!</v>
      </c>
    </row>
    <row r="8803" spans="1:10" hidden="1" x14ac:dyDescent="0.3">
      <c r="A8803" t="s">
        <v>33</v>
      </c>
      <c r="B8803">
        <v>2022</v>
      </c>
      <c r="C8803" t="s">
        <v>35</v>
      </c>
      <c r="D8803" t="s">
        <v>29</v>
      </c>
      <c r="E8803" t="e" cm="1">
        <f t="array" aca="1" ref="E8803" ca="1">VLGeneral indexGeneral indexKUP(Cpi_[[#This Row],[Attribute]],#REF!,2,FALSE)</f>
        <v>#NAME?</v>
      </c>
      <c r="F8803">
        <v>165.5</v>
      </c>
      <c r="G8803">
        <f>(Cpi_[[#This Row],[Value]]-F8802)/F8802</f>
        <v>3.8268506900878255E-2</v>
      </c>
      <c r="H8803" t="e" cm="1" vm="1">
        <f t="array" aca="1" ref="H8803" ca="1">VLOOKUP(Cpi_[[#This Row],[Year]:[Month]],crudeoil[],3,FALSE)</f>
        <v>#VALUE!</v>
      </c>
    </row>
    <row r="8804" spans="1:10" hidden="1" x14ac:dyDescent="0.3">
      <c r="A8804" t="s">
        <v>34</v>
      </c>
      <c r="B8804">
        <v>2022</v>
      </c>
      <c r="C8804" t="s">
        <v>35</v>
      </c>
      <c r="D8804" t="s">
        <v>3</v>
      </c>
      <c r="E8804" t="e">
        <f>VLOOKUP(Cpi_[[#This Row],[Attribute]],#REF!,2,FALSE)</f>
        <v>#REF!</v>
      </c>
      <c r="F8804">
        <v>150</v>
      </c>
      <c r="G8804">
        <f>(Cpi_[[#This Row],[Value]]-F8803)/F8803</f>
        <v>-9.3655589123867067E-2</v>
      </c>
      <c r="H8804" t="e" cm="1" vm="1">
        <f t="array" aca="1" ref="H8804" ca="1">VLOOKUP(Cpi_[[#This Row],[Year]:[Month]],crudeoil[],3,FALSE)</f>
        <v>#VALUE!</v>
      </c>
    </row>
    <row r="8805" spans="1:10" x14ac:dyDescent="0.3">
      <c r="A8805" t="s">
        <v>34</v>
      </c>
      <c r="B8805">
        <v>2022</v>
      </c>
      <c r="C8805" t="s">
        <v>35</v>
      </c>
      <c r="D8805" t="s">
        <v>4</v>
      </c>
      <c r="E8805" t="e">
        <f>VLOOKUP(Cpi_[[#This Row],[Attribute]],#REF!,2,FALSE)</f>
        <v>#REF!</v>
      </c>
      <c r="F8805">
        <v>200.6</v>
      </c>
      <c r="G8805" s="42">
        <f>(Cpi_[[#This Row],[Value]]-F8804)/F8804</f>
        <v>0.33733333333333332</v>
      </c>
      <c r="H8805" t="str">
        <f>LEFT(Cpi_[[#This Row],[Month]],3)</f>
        <v>Feb</v>
      </c>
      <c r="I8805" t="str">
        <f>RIGHT(Cpi_[[#This Row],[Year]],2)</f>
        <v>22</v>
      </c>
      <c r="J8805" t="str">
        <f>Cpi_[[#This Row],[Column3]]&amp;"-"&amp;Cpi_[[#This Row],[Column4]]</f>
        <v>Feb-22</v>
      </c>
    </row>
    <row r="8806" spans="1:10" x14ac:dyDescent="0.3">
      <c r="A8806" t="s">
        <v>34</v>
      </c>
      <c r="B8806">
        <v>2022</v>
      </c>
      <c r="C8806" t="s">
        <v>35</v>
      </c>
      <c r="D8806" t="s">
        <v>5</v>
      </c>
      <c r="E8806" t="e">
        <f>VLOOKUP(Cpi_[[#This Row],[Attribute]],#REF!,2,FALSE)</f>
        <v>#REF!</v>
      </c>
      <c r="F8806">
        <v>175.8</v>
      </c>
      <c r="G8806" s="42">
        <f>(Cpi_[[#This Row],[Value]]-F8805)/F8805</f>
        <v>-0.12362911266201387</v>
      </c>
      <c r="H8806" t="str">
        <f>LEFT(Cpi_[[#This Row],[Month]],3)</f>
        <v>Feb</v>
      </c>
      <c r="I8806" t="str">
        <f>RIGHT(Cpi_[[#This Row],[Year]],2)</f>
        <v>22</v>
      </c>
      <c r="J8806" t="str">
        <f>Cpi_[[#This Row],[Column3]]&amp;"-"&amp;Cpi_[[#This Row],[Column4]]</f>
        <v>Feb-22</v>
      </c>
    </row>
    <row r="8807" spans="1:10" x14ac:dyDescent="0.3">
      <c r="A8807" t="s">
        <v>34</v>
      </c>
      <c r="B8807">
        <v>2022</v>
      </c>
      <c r="C8807" t="s">
        <v>35</v>
      </c>
      <c r="D8807" t="s">
        <v>6</v>
      </c>
      <c r="E8807" t="e">
        <f>VLOOKUP(Cpi_[[#This Row],[Attribute]],#REF!,2,FALSE)</f>
        <v>#REF!</v>
      </c>
      <c r="F8807">
        <v>160.69999999999999</v>
      </c>
      <c r="G8807" s="42">
        <f>(Cpi_[[#This Row],[Value]]-F8806)/F8806</f>
        <v>-8.5893060295790802E-2</v>
      </c>
      <c r="H8807" t="str">
        <f>LEFT(Cpi_[[#This Row],[Month]],3)</f>
        <v>Feb</v>
      </c>
      <c r="I8807" t="str">
        <f>RIGHT(Cpi_[[#This Row],[Year]],2)</f>
        <v>22</v>
      </c>
      <c r="J8807" t="str">
        <f>Cpi_[[#This Row],[Column3]]&amp;"-"&amp;Cpi_[[#This Row],[Column4]]</f>
        <v>Feb-22</v>
      </c>
    </row>
    <row r="8808" spans="1:10" x14ac:dyDescent="0.3">
      <c r="A8808" t="s">
        <v>34</v>
      </c>
      <c r="B8808">
        <v>2022</v>
      </c>
      <c r="C8808" t="s">
        <v>35</v>
      </c>
      <c r="D8808" t="s">
        <v>7</v>
      </c>
      <c r="E8808" t="e">
        <f>VLOOKUP(Cpi_[[#This Row],[Attribute]],#REF!,2,FALSE)</f>
        <v>#REF!</v>
      </c>
      <c r="F8808">
        <v>184.9</v>
      </c>
      <c r="G8808" s="42">
        <f>(Cpi_[[#This Row],[Value]]-F8807)/F8807</f>
        <v>0.15059116365899203</v>
      </c>
      <c r="H8808" t="str">
        <f>LEFT(Cpi_[[#This Row],[Month]],3)</f>
        <v>Feb</v>
      </c>
      <c r="I8808" t="str">
        <f>RIGHT(Cpi_[[#This Row],[Year]],2)</f>
        <v>22</v>
      </c>
      <c r="J8808" t="str">
        <f>Cpi_[[#This Row],[Column3]]&amp;"-"&amp;Cpi_[[#This Row],[Column4]]</f>
        <v>Feb-22</v>
      </c>
    </row>
    <row r="8809" spans="1:10" x14ac:dyDescent="0.3">
      <c r="A8809" t="s">
        <v>34</v>
      </c>
      <c r="B8809">
        <v>2022</v>
      </c>
      <c r="C8809" t="s">
        <v>35</v>
      </c>
      <c r="D8809" t="s">
        <v>8</v>
      </c>
      <c r="E8809" t="e">
        <f>VLOOKUP(Cpi_[[#This Row],[Attribute]],#REF!,2,FALSE)</f>
        <v>#REF!</v>
      </c>
      <c r="F8809">
        <v>153.69999999999999</v>
      </c>
      <c r="G8809" s="42">
        <f>(Cpi_[[#This Row],[Value]]-F8808)/F8808</f>
        <v>-0.1687398593834506</v>
      </c>
      <c r="H8809" t="str">
        <f>LEFT(Cpi_[[#This Row],[Month]],3)</f>
        <v>Feb</v>
      </c>
      <c r="I8809" t="str">
        <f>RIGHT(Cpi_[[#This Row],[Year]],2)</f>
        <v>22</v>
      </c>
      <c r="J8809" t="str">
        <f>Cpi_[[#This Row],[Column3]]&amp;"-"&amp;Cpi_[[#This Row],[Column4]]</f>
        <v>Feb-22</v>
      </c>
    </row>
    <row r="8810" spans="1:10" x14ac:dyDescent="0.3">
      <c r="A8810" t="s">
        <v>34</v>
      </c>
      <c r="B8810">
        <v>2022</v>
      </c>
      <c r="C8810" t="s">
        <v>35</v>
      </c>
      <c r="D8810" t="s">
        <v>9</v>
      </c>
      <c r="E8810" t="e">
        <f>VLOOKUP(Cpi_[[#This Row],[Attribute]],#REF!,2,FALSE)</f>
        <v>#REF!</v>
      </c>
      <c r="F8810">
        <v>169.7</v>
      </c>
      <c r="G8810" s="42">
        <f>(Cpi_[[#This Row],[Value]]-F8809)/F8809</f>
        <v>0.1040988939492518</v>
      </c>
      <c r="H8810" t="str">
        <f>LEFT(Cpi_[[#This Row],[Month]],3)</f>
        <v>Feb</v>
      </c>
      <c r="I8810" t="str">
        <f>RIGHT(Cpi_[[#This Row],[Year]],2)</f>
        <v>22</v>
      </c>
      <c r="J8810" t="str">
        <f>Cpi_[[#This Row],[Column3]]&amp;"-"&amp;Cpi_[[#This Row],[Column4]]</f>
        <v>Feb-22</v>
      </c>
    </row>
    <row r="8811" spans="1:10" x14ac:dyDescent="0.3">
      <c r="A8811" t="s">
        <v>34</v>
      </c>
      <c r="B8811">
        <v>2022</v>
      </c>
      <c r="C8811" t="s">
        <v>35</v>
      </c>
      <c r="D8811" t="s">
        <v>10</v>
      </c>
      <c r="E8811" t="e">
        <f>VLOOKUP(Cpi_[[#This Row],[Attribute]],#REF!,2,FALSE)</f>
        <v>#REF!</v>
      </c>
      <c r="F8811">
        <v>163.69999999999999</v>
      </c>
      <c r="G8811" s="42">
        <f>(Cpi_[[#This Row],[Value]]-F8810)/F8810</f>
        <v>-3.5356511490866237E-2</v>
      </c>
      <c r="H8811" t="str">
        <f>LEFT(Cpi_[[#This Row],[Month]],3)</f>
        <v>Feb</v>
      </c>
      <c r="I8811" t="str">
        <f>RIGHT(Cpi_[[#This Row],[Year]],2)</f>
        <v>22</v>
      </c>
      <c r="J8811" t="str">
        <f>Cpi_[[#This Row],[Column3]]&amp;"-"&amp;Cpi_[[#This Row],[Column4]]</f>
        <v>Feb-22</v>
      </c>
    </row>
    <row r="8812" spans="1:10" x14ac:dyDescent="0.3">
      <c r="A8812" t="s">
        <v>34</v>
      </c>
      <c r="B8812">
        <v>2022</v>
      </c>
      <c r="C8812" t="s">
        <v>35</v>
      </c>
      <c r="D8812" t="s">
        <v>11</v>
      </c>
      <c r="E8812" t="e">
        <f>VLOOKUP(Cpi_[[#This Row],[Attribute]],#REF!,2,FALSE)</f>
        <v>#REF!</v>
      </c>
      <c r="F8812">
        <v>118.9</v>
      </c>
      <c r="G8812" s="42">
        <f>(Cpi_[[#This Row],[Value]]-F8811)/F8811</f>
        <v>-0.2736713500305436</v>
      </c>
      <c r="H8812" t="str">
        <f>LEFT(Cpi_[[#This Row],[Month]],3)</f>
        <v>Feb</v>
      </c>
      <c r="I8812" t="str">
        <f>RIGHT(Cpi_[[#This Row],[Year]],2)</f>
        <v>22</v>
      </c>
      <c r="J8812" t="str">
        <f>Cpi_[[#This Row],[Column3]]&amp;"-"&amp;Cpi_[[#This Row],[Column4]]</f>
        <v>Feb-22</v>
      </c>
    </row>
    <row r="8813" spans="1:10" x14ac:dyDescent="0.3">
      <c r="A8813" t="s">
        <v>34</v>
      </c>
      <c r="B8813">
        <v>2022</v>
      </c>
      <c r="C8813" t="s">
        <v>35</v>
      </c>
      <c r="D8813" t="s">
        <v>12</v>
      </c>
      <c r="E8813" t="e">
        <f>VLOOKUP(Cpi_[[#This Row],[Attribute]],#REF!,2,FALSE)</f>
        <v>#REF!</v>
      </c>
      <c r="F8813">
        <v>174.3</v>
      </c>
      <c r="G8813" s="42">
        <f>(Cpi_[[#This Row],[Value]]-F8812)/F8812</f>
        <v>0.46593776282590416</v>
      </c>
      <c r="H8813" t="str">
        <f>LEFT(Cpi_[[#This Row],[Month]],3)</f>
        <v>Feb</v>
      </c>
      <c r="I8813" t="str">
        <f>RIGHT(Cpi_[[#This Row],[Year]],2)</f>
        <v>22</v>
      </c>
      <c r="J8813" t="str">
        <f>Cpi_[[#This Row],[Column3]]&amp;"-"&amp;Cpi_[[#This Row],[Column4]]</f>
        <v>Feb-22</v>
      </c>
    </row>
    <row r="8814" spans="1:10" x14ac:dyDescent="0.3">
      <c r="A8814" t="s">
        <v>34</v>
      </c>
      <c r="B8814">
        <v>2022</v>
      </c>
      <c r="C8814" t="s">
        <v>35</v>
      </c>
      <c r="D8814" t="s">
        <v>13</v>
      </c>
      <c r="E8814" t="e">
        <f>VLOOKUP(Cpi_[[#This Row],[Attribute]],#REF!,2,FALSE)</f>
        <v>#REF!</v>
      </c>
      <c r="F8814">
        <v>164.7</v>
      </c>
      <c r="G8814" s="42">
        <f>(Cpi_[[#This Row],[Value]]-F8813)/F8813</f>
        <v>-5.507745266781424E-2</v>
      </c>
      <c r="H8814" t="str">
        <f>LEFT(Cpi_[[#This Row],[Month]],3)</f>
        <v>Feb</v>
      </c>
      <c r="I8814" t="str">
        <f>RIGHT(Cpi_[[#This Row],[Year]],2)</f>
        <v>22</v>
      </c>
      <c r="J8814" t="str">
        <f>Cpi_[[#This Row],[Column3]]&amp;"-"&amp;Cpi_[[#This Row],[Column4]]</f>
        <v>Feb-22</v>
      </c>
    </row>
    <row r="8815" spans="1:10" x14ac:dyDescent="0.3">
      <c r="A8815" t="s">
        <v>34</v>
      </c>
      <c r="B8815">
        <v>2022</v>
      </c>
      <c r="C8815" t="s">
        <v>35</v>
      </c>
      <c r="D8815" t="s">
        <v>14</v>
      </c>
      <c r="E8815" t="e">
        <f>VLOOKUP(Cpi_[[#This Row],[Attribute]],#REF!,2,FALSE)</f>
        <v>#REF!</v>
      </c>
      <c r="F8815">
        <v>178</v>
      </c>
      <c r="G8815" s="42">
        <f>(Cpi_[[#This Row],[Value]]-F8814)/F8814</f>
        <v>8.075288403157263E-2</v>
      </c>
      <c r="H8815" t="str">
        <f>LEFT(Cpi_[[#This Row],[Month]],3)</f>
        <v>Feb</v>
      </c>
      <c r="I8815" t="str">
        <f>RIGHT(Cpi_[[#This Row],[Year]],2)</f>
        <v>22</v>
      </c>
      <c r="J8815" t="str">
        <f>Cpi_[[#This Row],[Column3]]&amp;"-"&amp;Cpi_[[#This Row],[Column4]]</f>
        <v>Feb-22</v>
      </c>
    </row>
    <row r="8816" spans="1:10" x14ac:dyDescent="0.3">
      <c r="A8816" t="s">
        <v>34</v>
      </c>
      <c r="B8816">
        <v>2022</v>
      </c>
      <c r="C8816" t="s">
        <v>35</v>
      </c>
      <c r="D8816" t="s">
        <v>15</v>
      </c>
      <c r="E8816" t="e">
        <f>VLOOKUP(Cpi_[[#This Row],[Attribute]],#REF!,2,FALSE)</f>
        <v>#REF!</v>
      </c>
      <c r="F8816">
        <v>166.2</v>
      </c>
      <c r="G8816" s="42">
        <f>(Cpi_[[#This Row],[Value]]-F8815)/F8815</f>
        <v>-6.6292134831460736E-2</v>
      </c>
      <c r="H8816" t="str">
        <f>LEFT(Cpi_[[#This Row],[Month]],3)</f>
        <v>Feb</v>
      </c>
      <c r="I8816" t="str">
        <f>RIGHT(Cpi_[[#This Row],[Year]],2)</f>
        <v>22</v>
      </c>
      <c r="J8816" t="str">
        <f>Cpi_[[#This Row],[Column3]]&amp;"-"&amp;Cpi_[[#This Row],[Column4]]</f>
        <v>Feb-22</v>
      </c>
    </row>
    <row r="8817" spans="1:8" hidden="1" x14ac:dyDescent="0.3">
      <c r="A8817" t="s">
        <v>34</v>
      </c>
      <c r="B8817">
        <v>2022</v>
      </c>
      <c r="C8817" t="s">
        <v>35</v>
      </c>
      <c r="D8817" t="s">
        <v>16</v>
      </c>
      <c r="E8817" t="e">
        <f>VLOOKUP(Cpi_[[#This Row],[Attribute]],#REF!,2,FALSE)</f>
        <v>#REF!</v>
      </c>
      <c r="F8817">
        <v>192.8</v>
      </c>
      <c r="G8817">
        <f>(Cpi_[[#This Row],[Value]]-F8816)/F8816</f>
        <v>0.16004813477737681</v>
      </c>
      <c r="H8817" t="e" cm="1" vm="1">
        <f t="array" aca="1" ref="H8817" ca="1">VLOOKUP(Cpi_[[#This Row],[Year]:[Month]],crudeoil[],3,FALSE)</f>
        <v>#VALUE!</v>
      </c>
    </row>
    <row r="8818" spans="1:8" hidden="1" x14ac:dyDescent="0.3">
      <c r="A8818" t="s">
        <v>34</v>
      </c>
      <c r="B8818">
        <v>2022</v>
      </c>
      <c r="C8818" t="s">
        <v>35</v>
      </c>
      <c r="D8818" t="s">
        <v>17</v>
      </c>
      <c r="E8818" t="e">
        <f>VLOOKUP(Cpi_[[#This Row],[Attribute]],#REF!,2,FALSE)</f>
        <v>#REF!</v>
      </c>
      <c r="F8818">
        <v>170.8</v>
      </c>
      <c r="G8818">
        <f>(Cpi_[[#This Row],[Value]]-F8817)/F8817</f>
        <v>-0.11410788381742738</v>
      </c>
      <c r="H8818" t="e" cm="1" vm="1">
        <f t="array" aca="1" ref="H8818" ca="1">VLOOKUP(Cpi_[[#This Row],[Year]:[Month]],crudeoil[],3,FALSE)</f>
        <v>#VALUE!</v>
      </c>
    </row>
    <row r="8819" spans="1:8" hidden="1" x14ac:dyDescent="0.3">
      <c r="A8819" t="s">
        <v>34</v>
      </c>
      <c r="B8819">
        <v>2022</v>
      </c>
      <c r="C8819" t="s">
        <v>35</v>
      </c>
      <c r="D8819" t="s">
        <v>18</v>
      </c>
      <c r="E8819" t="e">
        <f>VLOOKUP(Cpi_[[#This Row],[Attribute]],#REF!,2,FALSE)</f>
        <v>#REF!</v>
      </c>
      <c r="F8819">
        <v>162.4</v>
      </c>
      <c r="G8819">
        <f>(Cpi_[[#This Row],[Value]]-F8818)/F8818</f>
        <v>-4.9180327868852486E-2</v>
      </c>
      <c r="H8819" t="e" cm="1" vm="1">
        <f t="array" aca="1" ref="H8819" ca="1">VLOOKUP(Cpi_[[#This Row],[Year]:[Month]],crudeoil[],3,FALSE)</f>
        <v>#VALUE!</v>
      </c>
    </row>
    <row r="8820" spans="1:8" hidden="1" x14ac:dyDescent="0.3">
      <c r="A8820" t="s">
        <v>34</v>
      </c>
      <c r="B8820">
        <v>2022</v>
      </c>
      <c r="C8820" t="s">
        <v>35</v>
      </c>
      <c r="D8820" t="s">
        <v>19</v>
      </c>
      <c r="E8820" t="e">
        <f>VLOOKUP(Cpi_[[#This Row],[Attribute]],#REF!,2,FALSE)</f>
        <v>#REF!</v>
      </c>
      <c r="F8820">
        <v>169.6</v>
      </c>
      <c r="G8820">
        <f>(Cpi_[[#This Row],[Value]]-F8819)/F8819</f>
        <v>4.4334975369458053E-2</v>
      </c>
      <c r="H8820" t="e" cm="1" vm="1">
        <f t="array" aca="1" ref="H8820" ca="1">VLOOKUP(Cpi_[[#This Row],[Year]:[Month]],crudeoil[],3,FALSE)</f>
        <v>#VALUE!</v>
      </c>
    </row>
    <row r="8821" spans="1:8" hidden="1" x14ac:dyDescent="0.3">
      <c r="A8821" t="s">
        <v>34</v>
      </c>
      <c r="B8821">
        <v>2022</v>
      </c>
      <c r="C8821" t="s">
        <v>35</v>
      </c>
      <c r="D8821" t="s">
        <v>20</v>
      </c>
      <c r="E8821" t="e">
        <f>VLOOKUP(Cpi_[[#This Row],[Attribute]],#REF!,2,FALSE)</f>
        <v>#REF!</v>
      </c>
      <c r="F8821">
        <v>165.5</v>
      </c>
      <c r="G8821">
        <f>(Cpi_[[#This Row],[Value]]-F8820)/F8820</f>
        <v>-2.4174528301886759E-2</v>
      </c>
      <c r="H8821" t="e" cm="1" vm="1">
        <f t="array" aca="1" ref="H8821" ca="1">VLOOKUP(Cpi_[[#This Row],[Year]:[Month]],crudeoil[],3,FALSE)</f>
        <v>#VALUE!</v>
      </c>
    </row>
    <row r="8822" spans="1:8" hidden="1" x14ac:dyDescent="0.3">
      <c r="A8822" t="s">
        <v>34</v>
      </c>
      <c r="B8822">
        <v>2022</v>
      </c>
      <c r="C8822" t="s">
        <v>35</v>
      </c>
      <c r="D8822" t="s">
        <v>21</v>
      </c>
      <c r="E8822" t="e">
        <f>VLOOKUP(Cpi_[[#This Row],[Attribute]],#REF!,2,FALSE)</f>
        <v>#REF!</v>
      </c>
      <c r="F8822">
        <v>165.7</v>
      </c>
      <c r="G8822">
        <f>(Cpi_[[#This Row],[Value]]-F8821)/F8821</f>
        <v>1.2084592145014418E-3</v>
      </c>
      <c r="H8822" t="e" cm="1" vm="1">
        <f t="array" aca="1" ref="H8822" ca="1">VLOOKUP(Cpi_[[#This Row],[Year]:[Month]],crudeoil[],3,FALSE)</f>
        <v>#VALUE!</v>
      </c>
    </row>
    <row r="8823" spans="1:8" hidden="1" x14ac:dyDescent="0.3">
      <c r="A8823" t="s">
        <v>34</v>
      </c>
      <c r="B8823">
        <v>2022</v>
      </c>
      <c r="C8823" t="s">
        <v>35</v>
      </c>
      <c r="D8823" t="s">
        <v>22</v>
      </c>
      <c r="E8823" t="e">
        <f>VLOOKUP(Cpi_[[#This Row],[Attribute]],#REF!,2,FALSE)</f>
        <v>#REF!</v>
      </c>
      <c r="F8823">
        <v>161.80000000000001</v>
      </c>
      <c r="G8823">
        <f>(Cpi_[[#This Row],[Value]]-F8822)/F8822</f>
        <v>-2.353651176825575E-2</v>
      </c>
      <c r="H8823" t="e" cm="1" vm="1">
        <f t="array" aca="1" ref="H8823" ca="1">VLOOKUP(Cpi_[[#This Row],[Year]:[Month]],crudeoil[],3,FALSE)</f>
        <v>#VALUE!</v>
      </c>
    </row>
    <row r="8824" spans="1:8" hidden="1" x14ac:dyDescent="0.3">
      <c r="A8824" t="s">
        <v>34</v>
      </c>
      <c r="B8824">
        <v>2022</v>
      </c>
      <c r="C8824" t="s">
        <v>35</v>
      </c>
      <c r="D8824" t="s">
        <v>23</v>
      </c>
      <c r="E8824" t="e">
        <f>VLOOKUP(Cpi_[[#This Row],[Attribute]],#REF!,2,FALSE)</f>
        <v>#REF!</v>
      </c>
      <c r="F8824">
        <v>172.2</v>
      </c>
      <c r="G8824">
        <f>(Cpi_[[#This Row],[Value]]-F8823)/F8823</f>
        <v>6.4276885043263149E-2</v>
      </c>
      <c r="H8824" t="e" cm="1" vm="1">
        <f t="array" aca="1" ref="H8824" ca="1">VLOOKUP(Cpi_[[#This Row],[Year]:[Month]],crudeoil[],3,FALSE)</f>
        <v>#VALUE!</v>
      </c>
    </row>
    <row r="8825" spans="1:8" hidden="1" x14ac:dyDescent="0.3">
      <c r="A8825" t="s">
        <v>34</v>
      </c>
      <c r="B8825">
        <v>2022</v>
      </c>
      <c r="C8825" t="s">
        <v>35</v>
      </c>
      <c r="D8825" t="s">
        <v>24</v>
      </c>
      <c r="E8825" t="e">
        <f>VLOOKUP(Cpi_[[#This Row],[Attribute]],#REF!,2,FALSE)</f>
        <v>#REF!</v>
      </c>
      <c r="F8825">
        <v>156.9</v>
      </c>
      <c r="G8825">
        <f>(Cpi_[[#This Row],[Value]]-F8824)/F8824</f>
        <v>-8.8850174216027783E-2</v>
      </c>
      <c r="H8825" t="e" cm="1" vm="1">
        <f t="array" aca="1" ref="H8825" ca="1">VLOOKUP(Cpi_[[#This Row],[Year]:[Month]],crudeoil[],3,FALSE)</f>
        <v>#VALUE!</v>
      </c>
    </row>
    <row r="8826" spans="1:8" hidden="1" x14ac:dyDescent="0.3">
      <c r="A8826" t="s">
        <v>34</v>
      </c>
      <c r="B8826">
        <v>2022</v>
      </c>
      <c r="C8826" t="s">
        <v>35</v>
      </c>
      <c r="D8826" t="s">
        <v>25</v>
      </c>
      <c r="E8826" t="e">
        <f>VLOOKUP(Cpi_[[#This Row],[Attribute]],#REF!,2,FALSE)</f>
        <v>#REF!</v>
      </c>
      <c r="F8826">
        <v>162.1</v>
      </c>
      <c r="G8826">
        <f>(Cpi_[[#This Row],[Value]]-F8825)/F8825</f>
        <v>3.3142128744423127E-2</v>
      </c>
      <c r="H8826" t="e" cm="1" vm="1">
        <f t="array" aca="1" ref="H8826" ca="1">VLOOKUP(Cpi_[[#This Row],[Year]:[Month]],crudeoil[],3,FALSE)</f>
        <v>#VALUE!</v>
      </c>
    </row>
    <row r="8827" spans="1:8" hidden="1" x14ac:dyDescent="0.3">
      <c r="A8827" t="s">
        <v>34</v>
      </c>
      <c r="B8827">
        <v>2022</v>
      </c>
      <c r="C8827" t="s">
        <v>35</v>
      </c>
      <c r="D8827" t="s">
        <v>26</v>
      </c>
      <c r="E8827" t="e">
        <f>VLOOKUP(Cpi_[[#This Row],[Attribute]],#REF!,2,FALSE)</f>
        <v>#REF!</v>
      </c>
      <c r="F8827">
        <v>165.4</v>
      </c>
      <c r="G8827">
        <f>(Cpi_[[#This Row],[Value]]-F8826)/F8826</f>
        <v>2.0357803824799577E-2</v>
      </c>
      <c r="H8827" t="e" cm="1" vm="1">
        <f t="array" aca="1" ref="H8827" ca="1">VLOOKUP(Cpi_[[#This Row],[Year]:[Month]],crudeoil[],3,FALSE)</f>
        <v>#VALUE!</v>
      </c>
    </row>
    <row r="8828" spans="1:8" hidden="1" x14ac:dyDescent="0.3">
      <c r="A8828" t="s">
        <v>34</v>
      </c>
      <c r="B8828">
        <v>2022</v>
      </c>
      <c r="C8828" t="s">
        <v>35</v>
      </c>
      <c r="D8828" t="s">
        <v>27</v>
      </c>
      <c r="E8828" t="e">
        <f>VLOOKUP(Cpi_[[#This Row],[Attribute]],#REF!,2,FALSE)</f>
        <v>#REF!</v>
      </c>
      <c r="F8828">
        <v>164.4</v>
      </c>
      <c r="G8828">
        <f>(Cpi_[[#This Row],[Value]]-F8827)/F8827</f>
        <v>-6.0459492140266021E-3</v>
      </c>
      <c r="H8828" t="e" cm="1" vm="1">
        <f t="array" aca="1" ref="H8828" ca="1">VLOOKUP(Cpi_[[#This Row],[Year]:[Month]],crudeoil[],3,FALSE)</f>
        <v>#VALUE!</v>
      </c>
    </row>
    <row r="8829" spans="1:8" hidden="1" x14ac:dyDescent="0.3">
      <c r="A8829" t="s">
        <v>34</v>
      </c>
      <c r="B8829">
        <v>2022</v>
      </c>
      <c r="C8829" t="s">
        <v>35</v>
      </c>
      <c r="D8829" t="s">
        <v>28</v>
      </c>
      <c r="E8829" t="e">
        <f>VLOOKUP(Cpi_[[#This Row],[Attribute]],#REF!,2,FALSE)</f>
        <v>#REF!</v>
      </c>
      <c r="F8829">
        <v>163.5</v>
      </c>
      <c r="G8829">
        <f>(Cpi_[[#This Row],[Value]]-F8828)/F8828</f>
        <v>-5.4744525547445596E-3</v>
      </c>
      <c r="H8829" t="e" cm="1" vm="1">
        <f t="array" aca="1" ref="H8829" ca="1">VLOOKUP(Cpi_[[#This Row],[Year]:[Month]],crudeoil[],3,FALSE)</f>
        <v>#VALUE!</v>
      </c>
    </row>
    <row r="8830" spans="1:8" hidden="1" x14ac:dyDescent="0.3">
      <c r="A8830" t="s">
        <v>34</v>
      </c>
      <c r="B8830">
        <v>2022</v>
      </c>
      <c r="C8830" t="s">
        <v>35</v>
      </c>
      <c r="D8830" t="s">
        <v>29</v>
      </c>
      <c r="E8830" t="e" cm="1">
        <f t="array" aca="1" ref="E8830" ca="1">VLGeneral indexGeneral indexKUP(Cpi_[[#This Row],[Attribute]],#REF!,2,FALSE)</f>
        <v>#NAME?</v>
      </c>
      <c r="F8830">
        <v>166.1</v>
      </c>
      <c r="G8830">
        <f>(Cpi_[[#This Row],[Value]]-F8829)/F8829</f>
        <v>1.5902140672782838E-2</v>
      </c>
      <c r="H8830" t="e" cm="1" vm="1">
        <f t="array" aca="1" ref="H8830" ca="1">VLOOKUP(Cpi_[[#This Row],[Year]:[Month]],crudeoil[],3,FALSE)</f>
        <v>#VALUE!</v>
      </c>
    </row>
    <row r="8831" spans="1:8" hidden="1" x14ac:dyDescent="0.3">
      <c r="A8831" t="s">
        <v>30</v>
      </c>
      <c r="B8831">
        <v>2022</v>
      </c>
      <c r="C8831" t="s">
        <v>36</v>
      </c>
      <c r="D8831" t="s">
        <v>3</v>
      </c>
      <c r="E8831" t="e">
        <f>VLOOKUP(Cpi_[[#This Row],[Attribute]],#REF!,2,FALSE)</f>
        <v>#REF!</v>
      </c>
      <c r="F8831">
        <v>150.19999999999999</v>
      </c>
      <c r="G8831">
        <f>(Cpi_[[#This Row],[Value]]-F8830)/F8830</f>
        <v>-9.5725466586393776E-2</v>
      </c>
      <c r="H8831" t="e" cm="1" vm="1">
        <f t="array" aca="1" ref="H8831" ca="1">VLOOKUP(Cpi_[[#This Row],[Year]:[Month]],crudeoil[],3,FALSE)</f>
        <v>#VALUE!</v>
      </c>
    </row>
    <row r="8832" spans="1:8" hidden="1" x14ac:dyDescent="0.3">
      <c r="A8832" t="s">
        <v>30</v>
      </c>
      <c r="B8832">
        <v>2022</v>
      </c>
      <c r="C8832" t="s">
        <v>36</v>
      </c>
      <c r="D8832" t="s">
        <v>4</v>
      </c>
      <c r="E8832" t="e">
        <f>VLOOKUP(Cpi_[[#This Row],[Attribute]],#REF!,2,FALSE)</f>
        <v>#REF!</v>
      </c>
      <c r="F8832">
        <v>208</v>
      </c>
      <c r="G8832">
        <f>(Cpi_[[#This Row],[Value]]-F8831)/F8831</f>
        <v>0.38482023968042622</v>
      </c>
      <c r="H8832" t="e" cm="1" vm="1">
        <f t="array" aca="1" ref="H8832" ca="1">VLOOKUP(Cpi_[[#This Row],[Year]:[Month]],crudeoil[],3,FALSE)</f>
        <v>#VALUE!</v>
      </c>
    </row>
    <row r="8833" spans="1:8" hidden="1" x14ac:dyDescent="0.3">
      <c r="A8833" t="s">
        <v>30</v>
      </c>
      <c r="B8833">
        <v>2022</v>
      </c>
      <c r="C8833" t="s">
        <v>36</v>
      </c>
      <c r="D8833" t="s">
        <v>5</v>
      </c>
      <c r="E8833" t="e">
        <f>VLOOKUP(Cpi_[[#This Row],[Attribute]],#REF!,2,FALSE)</f>
        <v>#REF!</v>
      </c>
      <c r="F8833">
        <v>167.9</v>
      </c>
      <c r="G8833">
        <f>(Cpi_[[#This Row],[Value]]-F8832)/F8832</f>
        <v>-0.19278846153846152</v>
      </c>
      <c r="H8833" t="e" cm="1" vm="1">
        <f t="array" aca="1" ref="H8833" ca="1">VLOOKUP(Cpi_[[#This Row],[Year]:[Month]],crudeoil[],3,FALSE)</f>
        <v>#VALUE!</v>
      </c>
    </row>
    <row r="8834" spans="1:8" hidden="1" x14ac:dyDescent="0.3">
      <c r="A8834" t="s">
        <v>30</v>
      </c>
      <c r="B8834">
        <v>2022</v>
      </c>
      <c r="C8834" t="s">
        <v>36</v>
      </c>
      <c r="D8834" t="s">
        <v>6</v>
      </c>
      <c r="E8834" t="e">
        <f>VLOOKUP(Cpi_[[#This Row],[Attribute]],#REF!,2,FALSE)</f>
        <v>#REF!</v>
      </c>
      <c r="F8834">
        <v>162</v>
      </c>
      <c r="G8834">
        <f>(Cpi_[[#This Row],[Value]]-F8833)/F8833</f>
        <v>-3.5139964264443151E-2</v>
      </c>
      <c r="H8834" t="e" cm="1" vm="1">
        <f t="array" aca="1" ref="H8834" ca="1">VLOOKUP(Cpi_[[#This Row],[Year]:[Month]],crudeoil[],3,FALSE)</f>
        <v>#VALUE!</v>
      </c>
    </row>
    <row r="8835" spans="1:8" hidden="1" x14ac:dyDescent="0.3">
      <c r="A8835" t="s">
        <v>30</v>
      </c>
      <c r="B8835">
        <v>2022</v>
      </c>
      <c r="C8835" t="s">
        <v>36</v>
      </c>
      <c r="D8835" t="s">
        <v>7</v>
      </c>
      <c r="E8835" t="e">
        <f>VLOOKUP(Cpi_[[#This Row],[Attribute]],#REF!,2,FALSE)</f>
        <v>#REF!</v>
      </c>
      <c r="F8835">
        <v>203.1</v>
      </c>
      <c r="G8835">
        <f>(Cpi_[[#This Row],[Value]]-F8834)/F8834</f>
        <v>0.25370370370370365</v>
      </c>
      <c r="H8835" t="e" cm="1" vm="1">
        <f t="array" aca="1" ref="H8835" ca="1">VLOOKUP(Cpi_[[#This Row],[Year]:[Month]],crudeoil[],3,FALSE)</f>
        <v>#VALUE!</v>
      </c>
    </row>
    <row r="8836" spans="1:8" hidden="1" x14ac:dyDescent="0.3">
      <c r="A8836" t="s">
        <v>30</v>
      </c>
      <c r="B8836">
        <v>2022</v>
      </c>
      <c r="C8836" t="s">
        <v>36</v>
      </c>
      <c r="D8836" t="s">
        <v>8</v>
      </c>
      <c r="E8836" t="e">
        <f>VLOOKUP(Cpi_[[#This Row],[Attribute]],#REF!,2,FALSE)</f>
        <v>#REF!</v>
      </c>
      <c r="F8836">
        <v>155.9</v>
      </c>
      <c r="G8836">
        <f>(Cpi_[[#This Row],[Value]]-F8835)/F8835</f>
        <v>-0.23239783357951743</v>
      </c>
      <c r="H8836" t="e" cm="1" vm="1">
        <f t="array" aca="1" ref="H8836" ca="1">VLOOKUP(Cpi_[[#This Row],[Year]:[Month]],crudeoil[],3,FALSE)</f>
        <v>#VALUE!</v>
      </c>
    </row>
    <row r="8837" spans="1:8" hidden="1" x14ac:dyDescent="0.3">
      <c r="A8837" t="s">
        <v>30</v>
      </c>
      <c r="B8837">
        <v>2022</v>
      </c>
      <c r="C8837" t="s">
        <v>36</v>
      </c>
      <c r="D8837" t="s">
        <v>9</v>
      </c>
      <c r="E8837" t="e">
        <f>VLOOKUP(Cpi_[[#This Row],[Attribute]],#REF!,2,FALSE)</f>
        <v>#REF!</v>
      </c>
      <c r="F8837">
        <v>155.80000000000001</v>
      </c>
      <c r="G8837">
        <f>(Cpi_[[#This Row],[Value]]-F8836)/F8836</f>
        <v>-6.414368184733439E-4</v>
      </c>
      <c r="H8837" t="e" cm="1" vm="1">
        <f t="array" aca="1" ref="H8837" ca="1">VLOOKUP(Cpi_[[#This Row],[Year]:[Month]],crudeoil[],3,FALSE)</f>
        <v>#VALUE!</v>
      </c>
    </row>
    <row r="8838" spans="1:8" hidden="1" x14ac:dyDescent="0.3">
      <c r="A8838" t="s">
        <v>30</v>
      </c>
      <c r="B8838">
        <v>2022</v>
      </c>
      <c r="C8838" t="s">
        <v>36</v>
      </c>
      <c r="D8838" t="s">
        <v>10</v>
      </c>
      <c r="E8838" t="e">
        <f>VLOOKUP(Cpi_[[#This Row],[Attribute]],#REF!,2,FALSE)</f>
        <v>#REF!</v>
      </c>
      <c r="F8838">
        <v>164.2</v>
      </c>
      <c r="G8838">
        <f>(Cpi_[[#This Row],[Value]]-F8837)/F8837</f>
        <v>5.3915275994865064E-2</v>
      </c>
      <c r="H8838" t="e" cm="1" vm="1">
        <f t="array" aca="1" ref="H8838" ca="1">VLOOKUP(Cpi_[[#This Row],[Year]:[Month]],crudeoil[],3,FALSE)</f>
        <v>#VALUE!</v>
      </c>
    </row>
    <row r="8839" spans="1:8" hidden="1" x14ac:dyDescent="0.3">
      <c r="A8839" t="s">
        <v>30</v>
      </c>
      <c r="B8839">
        <v>2022</v>
      </c>
      <c r="C8839" t="s">
        <v>36</v>
      </c>
      <c r="D8839" t="s">
        <v>11</v>
      </c>
      <c r="E8839" t="e">
        <f>VLOOKUP(Cpi_[[#This Row],[Attribute]],#REF!,2,FALSE)</f>
        <v>#REF!</v>
      </c>
      <c r="F8839">
        <v>118.1</v>
      </c>
      <c r="G8839">
        <f>(Cpi_[[#This Row],[Value]]-F8838)/F8838</f>
        <v>-0.28075517661388549</v>
      </c>
      <c r="H8839" t="e" cm="1" vm="1">
        <f t="array" aca="1" ref="H8839" ca="1">VLOOKUP(Cpi_[[#This Row],[Year]:[Month]],crudeoil[],3,FALSE)</f>
        <v>#VALUE!</v>
      </c>
    </row>
    <row r="8840" spans="1:8" hidden="1" x14ac:dyDescent="0.3">
      <c r="A8840" t="s">
        <v>30</v>
      </c>
      <c r="B8840">
        <v>2022</v>
      </c>
      <c r="C8840" t="s">
        <v>36</v>
      </c>
      <c r="D8840" t="s">
        <v>12</v>
      </c>
      <c r="E8840" t="e">
        <f>VLOOKUP(Cpi_[[#This Row],[Attribute]],#REF!,2,FALSE)</f>
        <v>#REF!</v>
      </c>
      <c r="F8840">
        <v>178.7</v>
      </c>
      <c r="G8840">
        <f>(Cpi_[[#This Row],[Value]]-F8839)/F8839</f>
        <v>0.51312447078746826</v>
      </c>
      <c r="H8840" t="e" cm="1" vm="1">
        <f t="array" aca="1" ref="H8840" ca="1">VLOOKUP(Cpi_[[#This Row],[Year]:[Month]],crudeoil[],3,FALSE)</f>
        <v>#VALUE!</v>
      </c>
    </row>
    <row r="8841" spans="1:8" hidden="1" x14ac:dyDescent="0.3">
      <c r="A8841" t="s">
        <v>30</v>
      </c>
      <c r="B8841">
        <v>2022</v>
      </c>
      <c r="C8841" t="s">
        <v>36</v>
      </c>
      <c r="D8841" t="s">
        <v>13</v>
      </c>
      <c r="E8841" t="e">
        <f>VLOOKUP(Cpi_[[#This Row],[Attribute]],#REF!,2,FALSE)</f>
        <v>#REF!</v>
      </c>
      <c r="F8841">
        <v>171.2</v>
      </c>
      <c r="G8841">
        <f>(Cpi_[[#This Row],[Value]]-F8840)/F8840</f>
        <v>-4.1969781757134866E-2</v>
      </c>
      <c r="H8841" t="e" cm="1" vm="1">
        <f t="array" aca="1" ref="H8841" ca="1">VLOOKUP(Cpi_[[#This Row],[Year]:[Month]],crudeoil[],3,FALSE)</f>
        <v>#VALUE!</v>
      </c>
    </row>
    <row r="8842" spans="1:8" hidden="1" x14ac:dyDescent="0.3">
      <c r="A8842" t="s">
        <v>30</v>
      </c>
      <c r="B8842">
        <v>2022</v>
      </c>
      <c r="C8842" t="s">
        <v>36</v>
      </c>
      <c r="D8842" t="s">
        <v>14</v>
      </c>
      <c r="E8842" t="e">
        <f>VLOOKUP(Cpi_[[#This Row],[Attribute]],#REF!,2,FALSE)</f>
        <v>#REF!</v>
      </c>
      <c r="F8842">
        <v>177.4</v>
      </c>
      <c r="G8842">
        <f>(Cpi_[[#This Row],[Value]]-F8841)/F8841</f>
        <v>3.6214953271028139E-2</v>
      </c>
      <c r="H8842" t="e" cm="1" vm="1">
        <f t="array" aca="1" ref="H8842" ca="1">VLOOKUP(Cpi_[[#This Row],[Year]:[Month]],crudeoil[],3,FALSE)</f>
        <v>#VALUE!</v>
      </c>
    </row>
    <row r="8843" spans="1:8" hidden="1" x14ac:dyDescent="0.3">
      <c r="A8843" t="s">
        <v>30</v>
      </c>
      <c r="B8843">
        <v>2022</v>
      </c>
      <c r="C8843" t="s">
        <v>36</v>
      </c>
      <c r="D8843" t="s">
        <v>15</v>
      </c>
      <c r="E8843" t="e">
        <f>VLOOKUP(Cpi_[[#This Row],[Attribute]],#REF!,2,FALSE)</f>
        <v>#REF!</v>
      </c>
      <c r="F8843">
        <v>166.6</v>
      </c>
      <c r="G8843">
        <f>(Cpi_[[#This Row],[Value]]-F8842)/F8842</f>
        <v>-6.0879368658399158E-2</v>
      </c>
      <c r="H8843" t="e" cm="1" vm="1">
        <f t="array" aca="1" ref="H8843" ca="1">VLOOKUP(Cpi_[[#This Row],[Year]:[Month]],crudeoil[],3,FALSE)</f>
        <v>#VALUE!</v>
      </c>
    </row>
    <row r="8844" spans="1:8" hidden="1" x14ac:dyDescent="0.3">
      <c r="A8844" t="s">
        <v>30</v>
      </c>
      <c r="B8844">
        <v>2022</v>
      </c>
      <c r="C8844" t="s">
        <v>36</v>
      </c>
      <c r="D8844" t="s">
        <v>16</v>
      </c>
      <c r="E8844" t="e">
        <f>VLOOKUP(Cpi_[[#This Row],[Attribute]],#REF!,2,FALSE)</f>
        <v>#REF!</v>
      </c>
      <c r="F8844">
        <v>192.3</v>
      </c>
      <c r="G8844">
        <f>(Cpi_[[#This Row],[Value]]-F8843)/F8843</f>
        <v>0.15426170468187286</v>
      </c>
      <c r="H8844" t="e" cm="1" vm="1">
        <f t="array" aca="1" ref="H8844" ca="1">VLOOKUP(Cpi_[[#This Row],[Year]:[Month]],crudeoil[],3,FALSE)</f>
        <v>#VALUE!</v>
      </c>
    </row>
    <row r="8845" spans="1:8" hidden="1" x14ac:dyDescent="0.3">
      <c r="A8845" t="s">
        <v>30</v>
      </c>
      <c r="B8845">
        <v>2022</v>
      </c>
      <c r="C8845" t="s">
        <v>36</v>
      </c>
      <c r="D8845" t="s">
        <v>17</v>
      </c>
      <c r="E8845" t="e">
        <f>VLOOKUP(Cpi_[[#This Row],[Attribute]],#REF!,2,FALSE)</f>
        <v>#REF!</v>
      </c>
      <c r="F8845">
        <v>175.4</v>
      </c>
      <c r="G8845">
        <f>(Cpi_[[#This Row],[Value]]-F8844)/F8844</f>
        <v>-8.7883515340613644E-2</v>
      </c>
      <c r="H8845" t="e" cm="1" vm="1">
        <f t="array" aca="1" ref="H8845" ca="1">VLOOKUP(Cpi_[[#This Row],[Year]:[Month]],crudeoil[],3,FALSE)</f>
        <v>#VALUE!</v>
      </c>
    </row>
    <row r="8846" spans="1:8" hidden="1" x14ac:dyDescent="0.3">
      <c r="A8846" t="s">
        <v>30</v>
      </c>
      <c r="B8846">
        <v>2022</v>
      </c>
      <c r="C8846" t="s">
        <v>36</v>
      </c>
      <c r="D8846" t="s">
        <v>18</v>
      </c>
      <c r="E8846" t="e">
        <f>VLOOKUP(Cpi_[[#This Row],[Attribute]],#REF!,2,FALSE)</f>
        <v>#REF!</v>
      </c>
      <c r="F8846">
        <v>173.2</v>
      </c>
      <c r="G8846">
        <f>(Cpi_[[#This Row],[Value]]-F8845)/F8845</f>
        <v>-1.2542759407069653E-2</v>
      </c>
      <c r="H8846" t="e" cm="1" vm="1">
        <f t="array" aca="1" ref="H8846" ca="1">VLOOKUP(Cpi_[[#This Row],[Year]:[Month]],crudeoil[],3,FALSE)</f>
        <v>#VALUE!</v>
      </c>
    </row>
    <row r="8847" spans="1:8" hidden="1" x14ac:dyDescent="0.3">
      <c r="A8847" t="s">
        <v>30</v>
      </c>
      <c r="B8847">
        <v>2022</v>
      </c>
      <c r="C8847" t="s">
        <v>36</v>
      </c>
      <c r="D8847" t="s">
        <v>19</v>
      </c>
      <c r="E8847" t="e">
        <f>VLOOKUP(Cpi_[[#This Row],[Attribute]],#REF!,2,FALSE)</f>
        <v>#REF!</v>
      </c>
      <c r="F8847">
        <v>175.1</v>
      </c>
      <c r="G8847">
        <f>(Cpi_[[#This Row],[Value]]-F8846)/F8846</f>
        <v>1.0969976905311811E-2</v>
      </c>
      <c r="H8847" t="e" cm="1" vm="1">
        <f t="array" aca="1" ref="H8847" ca="1">VLOOKUP(Cpi_[[#This Row],[Year]:[Month]],crudeoil[],3,FALSE)</f>
        <v>#VALUE!</v>
      </c>
    </row>
    <row r="8848" spans="1:8" hidden="1" x14ac:dyDescent="0.3">
      <c r="A8848" t="s">
        <v>30</v>
      </c>
      <c r="B8848">
        <v>2022</v>
      </c>
      <c r="C8848" t="s">
        <v>36</v>
      </c>
      <c r="D8848" t="s">
        <v>20</v>
      </c>
      <c r="E8848" t="e">
        <f>VLOOKUP(Cpi_[[#This Row],[Attribute]],#REF!,2,FALSE)</f>
        <v>#REF!</v>
      </c>
      <c r="F8848" t="s">
        <v>32</v>
      </c>
      <c r="G8848" t="e">
        <f>(Cpi_[[#This Row],[Value]]-F8847)/F8847</f>
        <v>#VALUE!</v>
      </c>
      <c r="H8848" t="e" cm="1" vm="1">
        <f t="array" aca="1" ref="H8848" ca="1">VLOOKUP(Cpi_[[#This Row],[Year]:[Month]],crudeoil[],3,FALSE)</f>
        <v>#VALUE!</v>
      </c>
    </row>
    <row r="8849" spans="1:8" hidden="1" x14ac:dyDescent="0.3">
      <c r="A8849" t="s">
        <v>30</v>
      </c>
      <c r="B8849">
        <v>2022</v>
      </c>
      <c r="C8849" t="s">
        <v>36</v>
      </c>
      <c r="D8849" t="s">
        <v>21</v>
      </c>
      <c r="E8849" t="e">
        <f>VLOOKUP(Cpi_[[#This Row],[Attribute]],#REF!,2,FALSE)</f>
        <v>#REF!</v>
      </c>
      <c r="F8849">
        <v>168.9</v>
      </c>
      <c r="G8849" t="e">
        <f>(Cpi_[[#This Row],[Value]]-F8848)/F8848</f>
        <v>#VALUE!</v>
      </c>
      <c r="H8849" t="e" cm="1" vm="1">
        <f t="array" aca="1" ref="H8849" ca="1">VLOOKUP(Cpi_[[#This Row],[Year]:[Month]],crudeoil[],3,FALSE)</f>
        <v>#VALUE!</v>
      </c>
    </row>
    <row r="8850" spans="1:8" hidden="1" x14ac:dyDescent="0.3">
      <c r="A8850" t="s">
        <v>30</v>
      </c>
      <c r="B8850">
        <v>2022</v>
      </c>
      <c r="C8850" t="s">
        <v>36</v>
      </c>
      <c r="D8850" t="s">
        <v>22</v>
      </c>
      <c r="E8850" t="e">
        <f>VLOOKUP(Cpi_[[#This Row],[Attribute]],#REF!,2,FALSE)</f>
        <v>#REF!</v>
      </c>
      <c r="F8850">
        <v>166.5</v>
      </c>
      <c r="G8850">
        <f>(Cpi_[[#This Row],[Value]]-F8849)/F8849</f>
        <v>-1.4209591474245149E-2</v>
      </c>
      <c r="H8850" t="e" cm="1" vm="1">
        <f t="array" aca="1" ref="H8850" ca="1">VLOOKUP(Cpi_[[#This Row],[Year]:[Month]],crudeoil[],3,FALSE)</f>
        <v>#VALUE!</v>
      </c>
    </row>
    <row r="8851" spans="1:8" hidden="1" x14ac:dyDescent="0.3">
      <c r="A8851" t="s">
        <v>30</v>
      </c>
      <c r="B8851">
        <v>2022</v>
      </c>
      <c r="C8851" t="s">
        <v>36</v>
      </c>
      <c r="D8851" t="s">
        <v>23</v>
      </c>
      <c r="E8851" t="e">
        <f>VLOOKUP(Cpi_[[#This Row],[Attribute]],#REF!,2,FALSE)</f>
        <v>#REF!</v>
      </c>
      <c r="F8851">
        <v>176</v>
      </c>
      <c r="G8851">
        <f>(Cpi_[[#This Row],[Value]]-F8850)/F8850</f>
        <v>5.7057057057057055E-2</v>
      </c>
      <c r="H8851" t="e" cm="1" vm="1">
        <f t="array" aca="1" ref="H8851" ca="1">VLOOKUP(Cpi_[[#This Row],[Year]:[Month]],crudeoil[],3,FALSE)</f>
        <v>#VALUE!</v>
      </c>
    </row>
    <row r="8852" spans="1:8" hidden="1" x14ac:dyDescent="0.3">
      <c r="A8852" t="s">
        <v>30</v>
      </c>
      <c r="B8852">
        <v>2022</v>
      </c>
      <c r="C8852" t="s">
        <v>36</v>
      </c>
      <c r="D8852" t="s">
        <v>24</v>
      </c>
      <c r="E8852" t="e">
        <f>VLOOKUP(Cpi_[[#This Row],[Attribute]],#REF!,2,FALSE)</f>
        <v>#REF!</v>
      </c>
      <c r="F8852">
        <v>162</v>
      </c>
      <c r="G8852">
        <f>(Cpi_[[#This Row],[Value]]-F8851)/F8851</f>
        <v>-7.9545454545454544E-2</v>
      </c>
      <c r="H8852" t="e" cm="1" vm="1">
        <f t="array" aca="1" ref="H8852" ca="1">VLOOKUP(Cpi_[[#This Row],[Year]:[Month]],crudeoil[],3,FALSE)</f>
        <v>#VALUE!</v>
      </c>
    </row>
    <row r="8853" spans="1:8" hidden="1" x14ac:dyDescent="0.3">
      <c r="A8853" t="s">
        <v>30</v>
      </c>
      <c r="B8853">
        <v>2022</v>
      </c>
      <c r="C8853" t="s">
        <v>36</v>
      </c>
      <c r="D8853" t="s">
        <v>25</v>
      </c>
      <c r="E8853" t="e">
        <f>VLOOKUP(Cpi_[[#This Row],[Attribute]],#REF!,2,FALSE)</f>
        <v>#REF!</v>
      </c>
      <c r="F8853">
        <v>166.6</v>
      </c>
      <c r="G8853">
        <f>(Cpi_[[#This Row],[Value]]-F8852)/F8852</f>
        <v>2.8395061728395028E-2</v>
      </c>
      <c r="H8853" t="e" cm="1" vm="1">
        <f t="array" aca="1" ref="H8853" ca="1">VLOOKUP(Cpi_[[#This Row],[Year]:[Month]],crudeoil[],3,FALSE)</f>
        <v>#VALUE!</v>
      </c>
    </row>
    <row r="8854" spans="1:8" hidden="1" x14ac:dyDescent="0.3">
      <c r="A8854" t="s">
        <v>30</v>
      </c>
      <c r="B8854">
        <v>2022</v>
      </c>
      <c r="C8854" t="s">
        <v>36</v>
      </c>
      <c r="D8854" t="s">
        <v>26</v>
      </c>
      <c r="E8854" t="e">
        <f>VLOOKUP(Cpi_[[#This Row],[Attribute]],#REF!,2,FALSE)</f>
        <v>#REF!</v>
      </c>
      <c r="F8854">
        <v>170.6</v>
      </c>
      <c r="G8854">
        <f>(Cpi_[[#This Row],[Value]]-F8853)/F8853</f>
        <v>2.4009603841536616E-2</v>
      </c>
      <c r="H8854" t="e" cm="1" vm="1">
        <f t="array" aca="1" ref="H8854" ca="1">VLOOKUP(Cpi_[[#This Row],[Year]:[Month]],crudeoil[],3,FALSE)</f>
        <v>#VALUE!</v>
      </c>
    </row>
    <row r="8855" spans="1:8" hidden="1" x14ac:dyDescent="0.3">
      <c r="A8855" t="s">
        <v>30</v>
      </c>
      <c r="B8855">
        <v>2022</v>
      </c>
      <c r="C8855" t="s">
        <v>36</v>
      </c>
      <c r="D8855" t="s">
        <v>27</v>
      </c>
      <c r="E8855" t="e">
        <f>VLOOKUP(Cpi_[[#This Row],[Attribute]],#REF!,2,FALSE)</f>
        <v>#REF!</v>
      </c>
      <c r="F8855">
        <v>167.4</v>
      </c>
      <c r="G8855">
        <f>(Cpi_[[#This Row],[Value]]-F8854)/F8854</f>
        <v>-1.8757327080890906E-2</v>
      </c>
      <c r="H8855" t="e" cm="1" vm="1">
        <f t="array" aca="1" ref="H8855" ca="1">VLOOKUP(Cpi_[[#This Row],[Year]:[Month]],crudeoil[],3,FALSE)</f>
        <v>#VALUE!</v>
      </c>
    </row>
    <row r="8856" spans="1:8" hidden="1" x14ac:dyDescent="0.3">
      <c r="A8856" t="s">
        <v>30</v>
      </c>
      <c r="B8856">
        <v>2022</v>
      </c>
      <c r="C8856" t="s">
        <v>36</v>
      </c>
      <c r="D8856" t="s">
        <v>28</v>
      </c>
      <c r="E8856" t="e">
        <f>VLOOKUP(Cpi_[[#This Row],[Attribute]],#REF!,2,FALSE)</f>
        <v>#REF!</v>
      </c>
      <c r="F8856">
        <v>168.3</v>
      </c>
      <c r="G8856">
        <f>(Cpi_[[#This Row],[Value]]-F8855)/F8855</f>
        <v>5.3763440860215388E-3</v>
      </c>
      <c r="H8856" t="e" cm="1" vm="1">
        <f t="array" aca="1" ref="H8856" ca="1">VLOOKUP(Cpi_[[#This Row],[Year]:[Month]],crudeoil[],3,FALSE)</f>
        <v>#VALUE!</v>
      </c>
    </row>
    <row r="8857" spans="1:8" hidden="1" x14ac:dyDescent="0.3">
      <c r="A8857" t="s">
        <v>30</v>
      </c>
      <c r="B8857">
        <v>2022</v>
      </c>
      <c r="C8857" t="s">
        <v>36</v>
      </c>
      <c r="D8857" t="s">
        <v>29</v>
      </c>
      <c r="E8857" t="e" cm="1">
        <f t="array" aca="1" ref="E8857" ca="1">VLGeneral indexGeneral indexKUP(Cpi_[[#This Row],[Attribute]],#REF!,2,FALSE)</f>
        <v>#NAME?</v>
      </c>
      <c r="F8857">
        <v>168.7</v>
      </c>
      <c r="G8857">
        <f>(Cpi_[[#This Row],[Value]]-F8856)/F8856</f>
        <v>2.3767082590610651E-3</v>
      </c>
      <c r="H8857" t="e" cm="1" vm="1">
        <f t="array" aca="1" ref="H8857" ca="1">VLOOKUP(Cpi_[[#This Row],[Year]:[Month]],crudeoil[],3,FALSE)</f>
        <v>#VALUE!</v>
      </c>
    </row>
    <row r="8858" spans="1:8" hidden="1" x14ac:dyDescent="0.3">
      <c r="A8858" t="s">
        <v>33</v>
      </c>
      <c r="B8858">
        <v>2022</v>
      </c>
      <c r="C8858" t="s">
        <v>36</v>
      </c>
      <c r="D8858" t="s">
        <v>3</v>
      </c>
      <c r="E8858" t="e">
        <f>VLOOKUP(Cpi_[[#This Row],[Attribute]],#REF!,2,FALSE)</f>
        <v>#REF!</v>
      </c>
      <c r="F8858">
        <v>153.69999999999999</v>
      </c>
      <c r="G8858">
        <f>(Cpi_[[#This Row],[Value]]-F8857)/F8857</f>
        <v>-8.8915234143449914E-2</v>
      </c>
      <c r="H8858" t="e" cm="1" vm="1">
        <f t="array" aca="1" ref="H8858" ca="1">VLOOKUP(Cpi_[[#This Row],[Year]:[Month]],crudeoil[],3,FALSE)</f>
        <v>#VALUE!</v>
      </c>
    </row>
    <row r="8859" spans="1:8" hidden="1" x14ac:dyDescent="0.3">
      <c r="A8859" t="s">
        <v>33</v>
      </c>
      <c r="B8859">
        <v>2022</v>
      </c>
      <c r="C8859" t="s">
        <v>36</v>
      </c>
      <c r="D8859" t="s">
        <v>4</v>
      </c>
      <c r="E8859" t="e">
        <f>VLOOKUP(Cpi_[[#This Row],[Attribute]],#REF!,2,FALSE)</f>
        <v>#REF!</v>
      </c>
      <c r="F8859">
        <v>215.8</v>
      </c>
      <c r="G8859">
        <f>(Cpi_[[#This Row],[Value]]-F8858)/F8858</f>
        <v>0.40403383214053368</v>
      </c>
      <c r="H8859" t="e" cm="1" vm="1">
        <f t="array" aca="1" ref="H8859" ca="1">VLOOKUP(Cpi_[[#This Row],[Year]:[Month]],crudeoil[],3,FALSE)</f>
        <v>#VALUE!</v>
      </c>
    </row>
    <row r="8860" spans="1:8" hidden="1" x14ac:dyDescent="0.3">
      <c r="A8860" t="s">
        <v>33</v>
      </c>
      <c r="B8860">
        <v>2022</v>
      </c>
      <c r="C8860" t="s">
        <v>36</v>
      </c>
      <c r="D8860" t="s">
        <v>5</v>
      </c>
      <c r="E8860" t="e">
        <f>VLOOKUP(Cpi_[[#This Row],[Attribute]],#REF!,2,FALSE)</f>
        <v>#REF!</v>
      </c>
      <c r="F8860">
        <v>167.7</v>
      </c>
      <c r="G8860">
        <f>(Cpi_[[#This Row],[Value]]-F8859)/F8859</f>
        <v>-0.22289156626506035</v>
      </c>
      <c r="H8860" t="e" cm="1" vm="1">
        <f t="array" aca="1" ref="H8860" ca="1">VLOOKUP(Cpi_[[#This Row],[Year]:[Month]],crudeoil[],3,FALSE)</f>
        <v>#VALUE!</v>
      </c>
    </row>
    <row r="8861" spans="1:8" hidden="1" x14ac:dyDescent="0.3">
      <c r="A8861" t="s">
        <v>33</v>
      </c>
      <c r="B8861">
        <v>2022</v>
      </c>
      <c r="C8861" t="s">
        <v>36</v>
      </c>
      <c r="D8861" t="s">
        <v>6</v>
      </c>
      <c r="E8861" t="e">
        <f>VLOOKUP(Cpi_[[#This Row],[Attribute]],#REF!,2,FALSE)</f>
        <v>#REF!</v>
      </c>
      <c r="F8861">
        <v>162.6</v>
      </c>
      <c r="G8861">
        <f>(Cpi_[[#This Row],[Value]]-F8860)/F8860</f>
        <v>-3.0411449016100146E-2</v>
      </c>
      <c r="H8861" t="e" cm="1" vm="1">
        <f t="array" aca="1" ref="H8861" ca="1">VLOOKUP(Cpi_[[#This Row],[Year]:[Month]],crudeoil[],3,FALSE)</f>
        <v>#VALUE!</v>
      </c>
    </row>
    <row r="8862" spans="1:8" hidden="1" x14ac:dyDescent="0.3">
      <c r="A8862" t="s">
        <v>33</v>
      </c>
      <c r="B8862">
        <v>2022</v>
      </c>
      <c r="C8862" t="s">
        <v>36</v>
      </c>
      <c r="D8862" t="s">
        <v>7</v>
      </c>
      <c r="E8862" t="e">
        <f>VLOOKUP(Cpi_[[#This Row],[Attribute]],#REF!,2,FALSE)</f>
        <v>#REF!</v>
      </c>
      <c r="F8862">
        <v>180</v>
      </c>
      <c r="G8862">
        <f>(Cpi_[[#This Row],[Value]]-F8861)/F8861</f>
        <v>0.10701107011070114</v>
      </c>
      <c r="H8862" t="e" cm="1" vm="1">
        <f t="array" aca="1" ref="H8862" ca="1">VLOOKUP(Cpi_[[#This Row],[Year]:[Month]],crudeoil[],3,FALSE)</f>
        <v>#VALUE!</v>
      </c>
    </row>
    <row r="8863" spans="1:8" hidden="1" x14ac:dyDescent="0.3">
      <c r="A8863" t="s">
        <v>33</v>
      </c>
      <c r="B8863">
        <v>2022</v>
      </c>
      <c r="C8863" t="s">
        <v>36</v>
      </c>
      <c r="D8863" t="s">
        <v>8</v>
      </c>
      <c r="E8863" t="e">
        <f>VLOOKUP(Cpi_[[#This Row],[Attribute]],#REF!,2,FALSE)</f>
        <v>#REF!</v>
      </c>
      <c r="F8863">
        <v>159.6</v>
      </c>
      <c r="G8863">
        <f>(Cpi_[[#This Row],[Value]]-F8862)/F8862</f>
        <v>-0.11333333333333337</v>
      </c>
      <c r="H8863" t="e" cm="1" vm="1">
        <f t="array" aca="1" ref="H8863" ca="1">VLOOKUP(Cpi_[[#This Row],[Year]:[Month]],crudeoil[],3,FALSE)</f>
        <v>#VALUE!</v>
      </c>
    </row>
    <row r="8864" spans="1:8" hidden="1" x14ac:dyDescent="0.3">
      <c r="A8864" t="s">
        <v>33</v>
      </c>
      <c r="B8864">
        <v>2022</v>
      </c>
      <c r="C8864" t="s">
        <v>36</v>
      </c>
      <c r="D8864" t="s">
        <v>9</v>
      </c>
      <c r="E8864" t="e">
        <f>VLOOKUP(Cpi_[[#This Row],[Attribute]],#REF!,2,FALSE)</f>
        <v>#REF!</v>
      </c>
      <c r="F8864">
        <v>188.4</v>
      </c>
      <c r="G8864">
        <f>(Cpi_[[#This Row],[Value]]-F8863)/F8863</f>
        <v>0.18045112781954895</v>
      </c>
      <c r="H8864" t="e" cm="1" vm="1">
        <f t="array" aca="1" ref="H8864" ca="1">VLOOKUP(Cpi_[[#This Row],[Year]:[Month]],crudeoil[],3,FALSE)</f>
        <v>#VALUE!</v>
      </c>
    </row>
    <row r="8865" spans="1:8" hidden="1" x14ac:dyDescent="0.3">
      <c r="A8865" t="s">
        <v>33</v>
      </c>
      <c r="B8865">
        <v>2022</v>
      </c>
      <c r="C8865" t="s">
        <v>36</v>
      </c>
      <c r="D8865" t="s">
        <v>10</v>
      </c>
      <c r="E8865" t="e">
        <f>VLOOKUP(Cpi_[[#This Row],[Attribute]],#REF!,2,FALSE)</f>
        <v>#REF!</v>
      </c>
      <c r="F8865">
        <v>163.4</v>
      </c>
      <c r="G8865">
        <f>(Cpi_[[#This Row],[Value]]-F8864)/F8864</f>
        <v>-0.1326963906581741</v>
      </c>
      <c r="H8865" t="e" cm="1" vm="1">
        <f t="array" aca="1" ref="H8865" ca="1">VLOOKUP(Cpi_[[#This Row],[Year]:[Month]],crudeoil[],3,FALSE)</f>
        <v>#VALUE!</v>
      </c>
    </row>
    <row r="8866" spans="1:8" hidden="1" x14ac:dyDescent="0.3">
      <c r="A8866" t="s">
        <v>33</v>
      </c>
      <c r="B8866">
        <v>2022</v>
      </c>
      <c r="C8866" t="s">
        <v>36</v>
      </c>
      <c r="D8866" t="s">
        <v>11</v>
      </c>
      <c r="E8866" t="e">
        <f>VLOOKUP(Cpi_[[#This Row],[Attribute]],#REF!,2,FALSE)</f>
        <v>#REF!</v>
      </c>
      <c r="F8866">
        <v>120.3</v>
      </c>
      <c r="G8866">
        <f>(Cpi_[[#This Row],[Value]]-F8865)/F8865</f>
        <v>-0.26376988984088129</v>
      </c>
      <c r="H8866" t="e" cm="1" vm="1">
        <f t="array" aca="1" ref="H8866" ca="1">VLOOKUP(Cpi_[[#This Row],[Year]:[Month]],crudeoil[],3,FALSE)</f>
        <v>#VALUE!</v>
      </c>
    </row>
    <row r="8867" spans="1:8" hidden="1" x14ac:dyDescent="0.3">
      <c r="A8867" t="s">
        <v>33</v>
      </c>
      <c r="B8867">
        <v>2022</v>
      </c>
      <c r="C8867" t="s">
        <v>36</v>
      </c>
      <c r="D8867" t="s">
        <v>12</v>
      </c>
      <c r="E8867" t="e">
        <f>VLOOKUP(Cpi_[[#This Row],[Attribute]],#REF!,2,FALSE)</f>
        <v>#REF!</v>
      </c>
      <c r="F8867">
        <v>174.7</v>
      </c>
      <c r="G8867">
        <f>(Cpi_[[#This Row],[Value]]-F8866)/F8866</f>
        <v>0.45220282626766412</v>
      </c>
      <c r="H8867" t="e" cm="1" vm="1">
        <f t="array" aca="1" ref="H8867" ca="1">VLOOKUP(Cpi_[[#This Row],[Year]:[Month]],crudeoil[],3,FALSE)</f>
        <v>#VALUE!</v>
      </c>
    </row>
    <row r="8868" spans="1:8" hidden="1" x14ac:dyDescent="0.3">
      <c r="A8868" t="s">
        <v>33</v>
      </c>
      <c r="B8868">
        <v>2022</v>
      </c>
      <c r="C8868" t="s">
        <v>36</v>
      </c>
      <c r="D8868" t="s">
        <v>13</v>
      </c>
      <c r="E8868" t="e">
        <f>VLOOKUP(Cpi_[[#This Row],[Attribute]],#REF!,2,FALSE)</f>
        <v>#REF!</v>
      </c>
      <c r="F8868">
        <v>157.1</v>
      </c>
      <c r="G8868">
        <f>(Cpi_[[#This Row],[Value]]-F8867)/F8867</f>
        <v>-0.10074413279908412</v>
      </c>
      <c r="H8868" t="e" cm="1" vm="1">
        <f t="array" aca="1" ref="H8868" ca="1">VLOOKUP(Cpi_[[#This Row],[Year]:[Month]],crudeoil[],3,FALSE)</f>
        <v>#VALUE!</v>
      </c>
    </row>
    <row r="8869" spans="1:8" hidden="1" x14ac:dyDescent="0.3">
      <c r="A8869" t="s">
        <v>33</v>
      </c>
      <c r="B8869">
        <v>2022</v>
      </c>
      <c r="C8869" t="s">
        <v>36</v>
      </c>
      <c r="D8869" t="s">
        <v>14</v>
      </c>
      <c r="E8869" t="e">
        <f>VLOOKUP(Cpi_[[#This Row],[Attribute]],#REF!,2,FALSE)</f>
        <v>#REF!</v>
      </c>
      <c r="F8869">
        <v>181.5</v>
      </c>
      <c r="G8869">
        <f>(Cpi_[[#This Row],[Value]]-F8868)/F8868</f>
        <v>0.1553150859325271</v>
      </c>
      <c r="H8869" t="e" cm="1" vm="1">
        <f t="array" aca="1" ref="H8869" ca="1">VLOOKUP(Cpi_[[#This Row],[Year]:[Month]],crudeoil[],3,FALSE)</f>
        <v>#VALUE!</v>
      </c>
    </row>
    <row r="8870" spans="1:8" hidden="1" x14ac:dyDescent="0.3">
      <c r="A8870" t="s">
        <v>33</v>
      </c>
      <c r="B8870">
        <v>2022</v>
      </c>
      <c r="C8870" t="s">
        <v>36</v>
      </c>
      <c r="D8870" t="s">
        <v>15</v>
      </c>
      <c r="E8870" t="e">
        <f>VLOOKUP(Cpi_[[#This Row],[Attribute]],#REF!,2,FALSE)</f>
        <v>#REF!</v>
      </c>
      <c r="F8870">
        <v>171.5</v>
      </c>
      <c r="G8870">
        <f>(Cpi_[[#This Row],[Value]]-F8869)/F8869</f>
        <v>-5.5096418732782371E-2</v>
      </c>
      <c r="H8870" t="e" cm="1" vm="1">
        <f t="array" aca="1" ref="H8870" ca="1">VLOOKUP(Cpi_[[#This Row],[Year]:[Month]],crudeoil[],3,FALSE)</f>
        <v>#VALUE!</v>
      </c>
    </row>
    <row r="8871" spans="1:8" hidden="1" x14ac:dyDescent="0.3">
      <c r="A8871" t="s">
        <v>33</v>
      </c>
      <c r="B8871">
        <v>2022</v>
      </c>
      <c r="C8871" t="s">
        <v>36</v>
      </c>
      <c r="D8871" t="s">
        <v>16</v>
      </c>
      <c r="E8871" t="e">
        <f>VLOOKUP(Cpi_[[#This Row],[Attribute]],#REF!,2,FALSE)</f>
        <v>#REF!</v>
      </c>
      <c r="F8871">
        <v>197.5</v>
      </c>
      <c r="G8871">
        <f>(Cpi_[[#This Row],[Value]]-F8870)/F8870</f>
        <v>0.15160349854227406</v>
      </c>
      <c r="H8871" t="e" cm="1" vm="1">
        <f t="array" aca="1" ref="H8871" ca="1">VLOOKUP(Cpi_[[#This Row],[Year]:[Month]],crudeoil[],3,FALSE)</f>
        <v>#VALUE!</v>
      </c>
    </row>
    <row r="8872" spans="1:8" hidden="1" x14ac:dyDescent="0.3">
      <c r="A8872" t="s">
        <v>33</v>
      </c>
      <c r="B8872">
        <v>2022</v>
      </c>
      <c r="C8872" t="s">
        <v>36</v>
      </c>
      <c r="D8872" t="s">
        <v>17</v>
      </c>
      <c r="E8872" t="e">
        <f>VLOOKUP(Cpi_[[#This Row],[Attribute]],#REF!,2,FALSE)</f>
        <v>#REF!</v>
      </c>
      <c r="F8872">
        <v>167.1</v>
      </c>
      <c r="G8872">
        <f>(Cpi_[[#This Row],[Value]]-F8871)/F8871</f>
        <v>-0.15392405063291142</v>
      </c>
      <c r="H8872" t="e" cm="1" vm="1">
        <f t="array" aca="1" ref="H8872" ca="1">VLOOKUP(Cpi_[[#This Row],[Year]:[Month]],crudeoil[],3,FALSE)</f>
        <v>#VALUE!</v>
      </c>
    </row>
    <row r="8873" spans="1:8" hidden="1" x14ac:dyDescent="0.3">
      <c r="A8873" t="s">
        <v>33</v>
      </c>
      <c r="B8873">
        <v>2022</v>
      </c>
      <c r="C8873" t="s">
        <v>36</v>
      </c>
      <c r="D8873" t="s">
        <v>18</v>
      </c>
      <c r="E8873" t="e">
        <f>VLOOKUP(Cpi_[[#This Row],[Attribute]],#REF!,2,FALSE)</f>
        <v>#REF!</v>
      </c>
      <c r="F8873">
        <v>152.6</v>
      </c>
      <c r="G8873">
        <f>(Cpi_[[#This Row],[Value]]-F8872)/F8872</f>
        <v>-8.6774386594853384E-2</v>
      </c>
      <c r="H8873" t="e" cm="1" vm="1">
        <f t="array" aca="1" ref="H8873" ca="1">VLOOKUP(Cpi_[[#This Row],[Year]:[Month]],crudeoil[],3,FALSE)</f>
        <v>#VALUE!</v>
      </c>
    </row>
    <row r="8874" spans="1:8" hidden="1" x14ac:dyDescent="0.3">
      <c r="A8874" t="s">
        <v>33</v>
      </c>
      <c r="B8874">
        <v>2022</v>
      </c>
      <c r="C8874" t="s">
        <v>36</v>
      </c>
      <c r="D8874" t="s">
        <v>19</v>
      </c>
      <c r="E8874" t="e">
        <f>VLOOKUP(Cpi_[[#This Row],[Attribute]],#REF!,2,FALSE)</f>
        <v>#REF!</v>
      </c>
      <c r="F8874">
        <v>164.9</v>
      </c>
      <c r="G8874">
        <f>(Cpi_[[#This Row],[Value]]-F8873)/F8873</f>
        <v>8.0602883355177013E-2</v>
      </c>
      <c r="H8874" t="e" cm="1" vm="1">
        <f t="array" aca="1" ref="H8874" ca="1">VLOOKUP(Cpi_[[#This Row],[Year]:[Month]],crudeoil[],3,FALSE)</f>
        <v>#VALUE!</v>
      </c>
    </row>
    <row r="8875" spans="1:8" hidden="1" x14ac:dyDescent="0.3">
      <c r="A8875" t="s">
        <v>33</v>
      </c>
      <c r="B8875">
        <v>2022</v>
      </c>
      <c r="C8875" t="s">
        <v>36</v>
      </c>
      <c r="D8875" t="s">
        <v>20</v>
      </c>
      <c r="E8875" t="e">
        <f>VLOOKUP(Cpi_[[#This Row],[Attribute]],#REF!,2,FALSE)</f>
        <v>#REF!</v>
      </c>
      <c r="F8875">
        <v>165.3</v>
      </c>
      <c r="G8875">
        <f>(Cpi_[[#This Row],[Value]]-F8874)/F8874</f>
        <v>2.4257125530624964E-3</v>
      </c>
      <c r="H8875" t="e" cm="1" vm="1">
        <f t="array" aca="1" ref="H8875" ca="1">VLOOKUP(Cpi_[[#This Row],[Year]:[Month]],crudeoil[],3,FALSE)</f>
        <v>#VALUE!</v>
      </c>
    </row>
    <row r="8876" spans="1:8" hidden="1" x14ac:dyDescent="0.3">
      <c r="A8876" t="s">
        <v>33</v>
      </c>
      <c r="B8876">
        <v>2022</v>
      </c>
      <c r="C8876" t="s">
        <v>36</v>
      </c>
      <c r="D8876" t="s">
        <v>21</v>
      </c>
      <c r="E8876" t="e">
        <f>VLOOKUP(Cpi_[[#This Row],[Attribute]],#REF!,2,FALSE)</f>
        <v>#REF!</v>
      </c>
      <c r="F8876">
        <v>164.5</v>
      </c>
      <c r="G8876">
        <f>(Cpi_[[#This Row],[Value]]-F8875)/F8875</f>
        <v>-4.8396854204477389E-3</v>
      </c>
      <c r="H8876" t="e" cm="1" vm="1">
        <f t="array" aca="1" ref="H8876" ca="1">VLOOKUP(Cpi_[[#This Row],[Year]:[Month]],crudeoil[],3,FALSE)</f>
        <v>#VALUE!</v>
      </c>
    </row>
    <row r="8877" spans="1:8" hidden="1" x14ac:dyDescent="0.3">
      <c r="A8877" t="s">
        <v>33</v>
      </c>
      <c r="B8877">
        <v>2022</v>
      </c>
      <c r="C8877" t="s">
        <v>36</v>
      </c>
      <c r="D8877" t="s">
        <v>22</v>
      </c>
      <c r="E8877" t="e">
        <f>VLOOKUP(Cpi_[[#This Row],[Attribute]],#REF!,2,FALSE)</f>
        <v>#REF!</v>
      </c>
      <c r="F8877">
        <v>158.6</v>
      </c>
      <c r="G8877">
        <f>(Cpi_[[#This Row],[Value]]-F8876)/F8876</f>
        <v>-3.5866261398176329E-2</v>
      </c>
      <c r="H8877" t="e" cm="1" vm="1">
        <f t="array" aca="1" ref="H8877" ca="1">VLOOKUP(Cpi_[[#This Row],[Year]:[Month]],crudeoil[],3,FALSE)</f>
        <v>#VALUE!</v>
      </c>
    </row>
    <row r="8878" spans="1:8" hidden="1" x14ac:dyDescent="0.3">
      <c r="A8878" t="s">
        <v>33</v>
      </c>
      <c r="B8878">
        <v>2022</v>
      </c>
      <c r="C8878" t="s">
        <v>36</v>
      </c>
      <c r="D8878" t="s">
        <v>23</v>
      </c>
      <c r="E8878" t="e">
        <f>VLOOKUP(Cpi_[[#This Row],[Attribute]],#REF!,2,FALSE)</f>
        <v>#REF!</v>
      </c>
      <c r="F8878">
        <v>168.2</v>
      </c>
      <c r="G8878">
        <f>(Cpi_[[#This Row],[Value]]-F8877)/F8877</f>
        <v>6.0529634300126069E-2</v>
      </c>
      <c r="H8878" t="e" cm="1" vm="1">
        <f t="array" aca="1" ref="H8878" ca="1">VLOOKUP(Cpi_[[#This Row],[Year]:[Month]],crudeoil[],3,FALSE)</f>
        <v>#VALUE!</v>
      </c>
    </row>
    <row r="8879" spans="1:8" hidden="1" x14ac:dyDescent="0.3">
      <c r="A8879" t="s">
        <v>33</v>
      </c>
      <c r="B8879">
        <v>2022</v>
      </c>
      <c r="C8879" t="s">
        <v>36</v>
      </c>
      <c r="D8879" t="s">
        <v>24</v>
      </c>
      <c r="E8879" t="e">
        <f>VLOOKUP(Cpi_[[#This Row],[Attribute]],#REF!,2,FALSE)</f>
        <v>#REF!</v>
      </c>
      <c r="F8879">
        <v>154.19999999999999</v>
      </c>
      <c r="G8879">
        <f>(Cpi_[[#This Row],[Value]]-F8878)/F8878</f>
        <v>-8.3234244946492272E-2</v>
      </c>
      <c r="H8879" t="e" cm="1" vm="1">
        <f t="array" aca="1" ref="H8879" ca="1">VLOOKUP(Cpi_[[#This Row],[Year]:[Month]],crudeoil[],3,FALSE)</f>
        <v>#VALUE!</v>
      </c>
    </row>
    <row r="8880" spans="1:8" hidden="1" x14ac:dyDescent="0.3">
      <c r="A8880" t="s">
        <v>33</v>
      </c>
      <c r="B8880">
        <v>2022</v>
      </c>
      <c r="C8880" t="s">
        <v>36</v>
      </c>
      <c r="D8880" t="s">
        <v>25</v>
      </c>
      <c r="E8880" t="e">
        <f>VLOOKUP(Cpi_[[#This Row],[Attribute]],#REF!,2,FALSE)</f>
        <v>#REF!</v>
      </c>
      <c r="F8880">
        <v>160.80000000000001</v>
      </c>
      <c r="G8880">
        <f>(Cpi_[[#This Row],[Value]]-F8879)/F8879</f>
        <v>4.2801556420233616E-2</v>
      </c>
      <c r="H8880" t="e" cm="1" vm="1">
        <f t="array" aca="1" ref="H8880" ca="1">VLOOKUP(Cpi_[[#This Row],[Year]:[Month]],crudeoil[],3,FALSE)</f>
        <v>#VALUE!</v>
      </c>
    </row>
    <row r="8881" spans="1:10" hidden="1" x14ac:dyDescent="0.3">
      <c r="A8881" t="s">
        <v>33</v>
      </c>
      <c r="B8881">
        <v>2022</v>
      </c>
      <c r="C8881" t="s">
        <v>36</v>
      </c>
      <c r="D8881" t="s">
        <v>26</v>
      </c>
      <c r="E8881" t="e">
        <f>VLOOKUP(Cpi_[[#This Row],[Attribute]],#REF!,2,FALSE)</f>
        <v>#REF!</v>
      </c>
      <c r="F8881">
        <v>162.69999999999999</v>
      </c>
      <c r="G8881">
        <f>(Cpi_[[#This Row],[Value]]-F8880)/F8880</f>
        <v>1.1815920398009808E-2</v>
      </c>
      <c r="H8881" t="e" cm="1" vm="1">
        <f t="array" aca="1" ref="H8881" ca="1">VLOOKUP(Cpi_[[#This Row],[Year]:[Month]],crudeoil[],3,FALSE)</f>
        <v>#VALUE!</v>
      </c>
    </row>
    <row r="8882" spans="1:10" hidden="1" x14ac:dyDescent="0.3">
      <c r="A8882" t="s">
        <v>33</v>
      </c>
      <c r="B8882">
        <v>2022</v>
      </c>
      <c r="C8882" t="s">
        <v>36</v>
      </c>
      <c r="D8882" t="s">
        <v>27</v>
      </c>
      <c r="E8882" t="e">
        <f>VLOOKUP(Cpi_[[#This Row],[Attribute]],#REF!,2,FALSE)</f>
        <v>#REF!</v>
      </c>
      <c r="F8882">
        <v>166.8</v>
      </c>
      <c r="G8882">
        <f>(Cpi_[[#This Row],[Value]]-F8881)/F8881</f>
        <v>2.5199754148740153E-2</v>
      </c>
      <c r="H8882" t="e" cm="1" vm="1">
        <f t="array" aca="1" ref="H8882" ca="1">VLOOKUP(Cpi_[[#This Row],[Year]:[Month]],crudeoil[],3,FALSE)</f>
        <v>#VALUE!</v>
      </c>
    </row>
    <row r="8883" spans="1:10" hidden="1" x14ac:dyDescent="0.3">
      <c r="A8883" t="s">
        <v>33</v>
      </c>
      <c r="B8883">
        <v>2022</v>
      </c>
      <c r="C8883" t="s">
        <v>36</v>
      </c>
      <c r="D8883" t="s">
        <v>28</v>
      </c>
      <c r="E8883" t="e">
        <f>VLOOKUP(Cpi_[[#This Row],[Attribute]],#REF!,2,FALSE)</f>
        <v>#REF!</v>
      </c>
      <c r="F8883">
        <v>160.6</v>
      </c>
      <c r="G8883">
        <f>(Cpi_[[#This Row],[Value]]-F8882)/F8882</f>
        <v>-3.7170263788968927E-2</v>
      </c>
      <c r="H8883" t="e" cm="1" vm="1">
        <f t="array" aca="1" ref="H8883" ca="1">VLOOKUP(Cpi_[[#This Row],[Year]:[Month]],crudeoil[],3,FALSE)</f>
        <v>#VALUE!</v>
      </c>
    </row>
    <row r="8884" spans="1:10" hidden="1" x14ac:dyDescent="0.3">
      <c r="A8884" t="s">
        <v>33</v>
      </c>
      <c r="B8884">
        <v>2022</v>
      </c>
      <c r="C8884" t="s">
        <v>36</v>
      </c>
      <c r="D8884" t="s">
        <v>29</v>
      </c>
      <c r="E8884" t="e" cm="1">
        <f t="array" aca="1" ref="E8884" ca="1">VLGeneral indexGeneral indexKUP(Cpi_[[#This Row],[Attribute]],#REF!,2,FALSE)</f>
        <v>#NAME?</v>
      </c>
      <c r="F8884">
        <v>166.5</v>
      </c>
      <c r="G8884">
        <f>(Cpi_[[#This Row],[Value]]-F8883)/F8883</f>
        <v>3.6737235367372389E-2</v>
      </c>
      <c r="H8884" t="e" cm="1" vm="1">
        <f t="array" aca="1" ref="H8884" ca="1">VLOOKUP(Cpi_[[#This Row],[Year]:[Month]],crudeoil[],3,FALSE)</f>
        <v>#VALUE!</v>
      </c>
    </row>
    <row r="8885" spans="1:10" hidden="1" x14ac:dyDescent="0.3">
      <c r="A8885" t="s">
        <v>34</v>
      </c>
      <c r="B8885">
        <v>2022</v>
      </c>
      <c r="C8885" t="s">
        <v>36</v>
      </c>
      <c r="D8885" t="s">
        <v>3</v>
      </c>
      <c r="E8885" t="e">
        <f>VLOOKUP(Cpi_[[#This Row],[Attribute]],#REF!,2,FALSE)</f>
        <v>#REF!</v>
      </c>
      <c r="F8885">
        <v>151.30000000000001</v>
      </c>
      <c r="G8885">
        <f>(Cpi_[[#This Row],[Value]]-F8884)/F8884</f>
        <v>-9.1291291291291224E-2</v>
      </c>
      <c r="H8885" t="e" cm="1" vm="1">
        <f t="array" aca="1" ref="H8885" ca="1">VLOOKUP(Cpi_[[#This Row],[Year]:[Month]],crudeoil[],3,FALSE)</f>
        <v>#VALUE!</v>
      </c>
    </row>
    <row r="8886" spans="1:10" x14ac:dyDescent="0.3">
      <c r="A8886" t="s">
        <v>34</v>
      </c>
      <c r="B8886">
        <v>2022</v>
      </c>
      <c r="C8886" t="s">
        <v>36</v>
      </c>
      <c r="D8886" t="s">
        <v>4</v>
      </c>
      <c r="E8886" t="e">
        <f>VLOOKUP(Cpi_[[#This Row],[Attribute]],#REF!,2,FALSE)</f>
        <v>#REF!</v>
      </c>
      <c r="F8886">
        <v>210.7</v>
      </c>
      <c r="G8886" s="42">
        <f>(Cpi_[[#This Row],[Value]]-F8885)/F8885</f>
        <v>0.3925974884335755</v>
      </c>
      <c r="H8886" t="str">
        <f>LEFT(Cpi_[[#This Row],[Month]],3)</f>
        <v>Mar</v>
      </c>
      <c r="I8886" t="str">
        <f>RIGHT(Cpi_[[#This Row],[Year]],2)</f>
        <v>22</v>
      </c>
      <c r="J8886" t="str">
        <f>Cpi_[[#This Row],[Column3]]&amp;"-"&amp;Cpi_[[#This Row],[Column4]]</f>
        <v>Mar-22</v>
      </c>
    </row>
    <row r="8887" spans="1:10" x14ac:dyDescent="0.3">
      <c r="A8887" t="s">
        <v>34</v>
      </c>
      <c r="B8887">
        <v>2022</v>
      </c>
      <c r="C8887" t="s">
        <v>36</v>
      </c>
      <c r="D8887" t="s">
        <v>5</v>
      </c>
      <c r="E8887" t="e">
        <f>VLOOKUP(Cpi_[[#This Row],[Attribute]],#REF!,2,FALSE)</f>
        <v>#REF!</v>
      </c>
      <c r="F8887">
        <v>167.8</v>
      </c>
      <c r="G8887" s="42">
        <f>(Cpi_[[#This Row],[Value]]-F8886)/F8886</f>
        <v>-0.20360702420503074</v>
      </c>
      <c r="H8887" t="str">
        <f>LEFT(Cpi_[[#This Row],[Month]],3)</f>
        <v>Mar</v>
      </c>
      <c r="I8887" t="str">
        <f>RIGHT(Cpi_[[#This Row],[Year]],2)</f>
        <v>22</v>
      </c>
      <c r="J8887" t="str">
        <f>Cpi_[[#This Row],[Column3]]&amp;"-"&amp;Cpi_[[#This Row],[Column4]]</f>
        <v>Mar-22</v>
      </c>
    </row>
    <row r="8888" spans="1:10" x14ac:dyDescent="0.3">
      <c r="A8888" t="s">
        <v>34</v>
      </c>
      <c r="B8888">
        <v>2022</v>
      </c>
      <c r="C8888" t="s">
        <v>36</v>
      </c>
      <c r="D8888" t="s">
        <v>6</v>
      </c>
      <c r="E8888" t="e">
        <f>VLOOKUP(Cpi_[[#This Row],[Attribute]],#REF!,2,FALSE)</f>
        <v>#REF!</v>
      </c>
      <c r="F8888">
        <v>162.19999999999999</v>
      </c>
      <c r="G8888" s="42">
        <f>(Cpi_[[#This Row],[Value]]-F8887)/F8887</f>
        <v>-3.3373063170441135E-2</v>
      </c>
      <c r="H8888" t="str">
        <f>LEFT(Cpi_[[#This Row],[Month]],3)</f>
        <v>Mar</v>
      </c>
      <c r="I8888" t="str">
        <f>RIGHT(Cpi_[[#This Row],[Year]],2)</f>
        <v>22</v>
      </c>
      <c r="J8888" t="str">
        <f>Cpi_[[#This Row],[Column3]]&amp;"-"&amp;Cpi_[[#This Row],[Column4]]</f>
        <v>Mar-22</v>
      </c>
    </row>
    <row r="8889" spans="1:10" x14ac:dyDescent="0.3">
      <c r="A8889" t="s">
        <v>34</v>
      </c>
      <c r="B8889">
        <v>2022</v>
      </c>
      <c r="C8889" t="s">
        <v>36</v>
      </c>
      <c r="D8889" t="s">
        <v>7</v>
      </c>
      <c r="E8889" t="e">
        <f>VLOOKUP(Cpi_[[#This Row],[Attribute]],#REF!,2,FALSE)</f>
        <v>#REF!</v>
      </c>
      <c r="F8889">
        <v>194.6</v>
      </c>
      <c r="G8889" s="42">
        <f>(Cpi_[[#This Row],[Value]]-F8888)/F8888</f>
        <v>0.19975339087546243</v>
      </c>
      <c r="H8889" t="str">
        <f>LEFT(Cpi_[[#This Row],[Month]],3)</f>
        <v>Mar</v>
      </c>
      <c r="I8889" t="str">
        <f>RIGHT(Cpi_[[#This Row],[Year]],2)</f>
        <v>22</v>
      </c>
      <c r="J8889" t="str">
        <f>Cpi_[[#This Row],[Column3]]&amp;"-"&amp;Cpi_[[#This Row],[Column4]]</f>
        <v>Mar-22</v>
      </c>
    </row>
    <row r="8890" spans="1:10" x14ac:dyDescent="0.3">
      <c r="A8890" t="s">
        <v>34</v>
      </c>
      <c r="B8890">
        <v>2022</v>
      </c>
      <c r="C8890" t="s">
        <v>36</v>
      </c>
      <c r="D8890" t="s">
        <v>8</v>
      </c>
      <c r="E8890" t="e">
        <f>VLOOKUP(Cpi_[[#This Row],[Attribute]],#REF!,2,FALSE)</f>
        <v>#REF!</v>
      </c>
      <c r="F8890">
        <v>157.6</v>
      </c>
      <c r="G8890" s="42">
        <f>(Cpi_[[#This Row],[Value]]-F8889)/F8889</f>
        <v>-0.19013360739979446</v>
      </c>
      <c r="H8890" t="str">
        <f>LEFT(Cpi_[[#This Row],[Month]],3)</f>
        <v>Mar</v>
      </c>
      <c r="I8890" t="str">
        <f>RIGHT(Cpi_[[#This Row],[Year]],2)</f>
        <v>22</v>
      </c>
      <c r="J8890" t="str">
        <f>Cpi_[[#This Row],[Column3]]&amp;"-"&amp;Cpi_[[#This Row],[Column4]]</f>
        <v>Mar-22</v>
      </c>
    </row>
    <row r="8891" spans="1:10" x14ac:dyDescent="0.3">
      <c r="A8891" t="s">
        <v>34</v>
      </c>
      <c r="B8891">
        <v>2022</v>
      </c>
      <c r="C8891" t="s">
        <v>36</v>
      </c>
      <c r="D8891" t="s">
        <v>9</v>
      </c>
      <c r="E8891" t="e">
        <f>VLOOKUP(Cpi_[[#This Row],[Attribute]],#REF!,2,FALSE)</f>
        <v>#REF!</v>
      </c>
      <c r="F8891">
        <v>166.9</v>
      </c>
      <c r="G8891" s="42">
        <f>(Cpi_[[#This Row],[Value]]-F8890)/F8890</f>
        <v>5.9010152284264032E-2</v>
      </c>
      <c r="H8891" t="str">
        <f>LEFT(Cpi_[[#This Row],[Month]],3)</f>
        <v>Mar</v>
      </c>
      <c r="I8891" t="str">
        <f>RIGHT(Cpi_[[#This Row],[Year]],2)</f>
        <v>22</v>
      </c>
      <c r="J8891" t="str">
        <f>Cpi_[[#This Row],[Column3]]&amp;"-"&amp;Cpi_[[#This Row],[Column4]]</f>
        <v>Mar-22</v>
      </c>
    </row>
    <row r="8892" spans="1:10" x14ac:dyDescent="0.3">
      <c r="A8892" t="s">
        <v>34</v>
      </c>
      <c r="B8892">
        <v>2022</v>
      </c>
      <c r="C8892" t="s">
        <v>36</v>
      </c>
      <c r="D8892" t="s">
        <v>10</v>
      </c>
      <c r="E8892" t="e">
        <f>VLOOKUP(Cpi_[[#This Row],[Attribute]],#REF!,2,FALSE)</f>
        <v>#REF!</v>
      </c>
      <c r="F8892">
        <v>163.9</v>
      </c>
      <c r="G8892" s="42">
        <f>(Cpi_[[#This Row],[Value]]-F8891)/F8891</f>
        <v>-1.7974835230677052E-2</v>
      </c>
      <c r="H8892" t="str">
        <f>LEFT(Cpi_[[#This Row],[Month]],3)</f>
        <v>Mar</v>
      </c>
      <c r="I8892" t="str">
        <f>RIGHT(Cpi_[[#This Row],[Year]],2)</f>
        <v>22</v>
      </c>
      <c r="J8892" t="str">
        <f>Cpi_[[#This Row],[Column3]]&amp;"-"&amp;Cpi_[[#This Row],[Column4]]</f>
        <v>Mar-22</v>
      </c>
    </row>
    <row r="8893" spans="1:10" x14ac:dyDescent="0.3">
      <c r="A8893" t="s">
        <v>34</v>
      </c>
      <c r="B8893">
        <v>2022</v>
      </c>
      <c r="C8893" t="s">
        <v>36</v>
      </c>
      <c r="D8893" t="s">
        <v>11</v>
      </c>
      <c r="E8893" t="e">
        <f>VLOOKUP(Cpi_[[#This Row],[Attribute]],#REF!,2,FALSE)</f>
        <v>#REF!</v>
      </c>
      <c r="F8893">
        <v>118.8</v>
      </c>
      <c r="G8893" s="42">
        <f>(Cpi_[[#This Row],[Value]]-F8892)/F8892</f>
        <v>-0.27516778523489938</v>
      </c>
      <c r="H8893" t="str">
        <f>LEFT(Cpi_[[#This Row],[Month]],3)</f>
        <v>Mar</v>
      </c>
      <c r="I8893" t="str">
        <f>RIGHT(Cpi_[[#This Row],[Year]],2)</f>
        <v>22</v>
      </c>
      <c r="J8893" t="str">
        <f>Cpi_[[#This Row],[Column3]]&amp;"-"&amp;Cpi_[[#This Row],[Column4]]</f>
        <v>Mar-22</v>
      </c>
    </row>
    <row r="8894" spans="1:10" x14ac:dyDescent="0.3">
      <c r="A8894" t="s">
        <v>34</v>
      </c>
      <c r="B8894">
        <v>2022</v>
      </c>
      <c r="C8894" t="s">
        <v>36</v>
      </c>
      <c r="D8894" t="s">
        <v>12</v>
      </c>
      <c r="E8894" t="e">
        <f>VLOOKUP(Cpi_[[#This Row],[Attribute]],#REF!,2,FALSE)</f>
        <v>#REF!</v>
      </c>
      <c r="F8894">
        <v>177.4</v>
      </c>
      <c r="G8894" s="42">
        <f>(Cpi_[[#This Row],[Value]]-F8893)/F8893</f>
        <v>0.49326599326599335</v>
      </c>
      <c r="H8894" t="str">
        <f>LEFT(Cpi_[[#This Row],[Month]],3)</f>
        <v>Mar</v>
      </c>
      <c r="I8894" t="str">
        <f>RIGHT(Cpi_[[#This Row],[Year]],2)</f>
        <v>22</v>
      </c>
      <c r="J8894" t="str">
        <f>Cpi_[[#This Row],[Column3]]&amp;"-"&amp;Cpi_[[#This Row],[Column4]]</f>
        <v>Mar-22</v>
      </c>
    </row>
    <row r="8895" spans="1:10" x14ac:dyDescent="0.3">
      <c r="A8895" t="s">
        <v>34</v>
      </c>
      <c r="B8895">
        <v>2022</v>
      </c>
      <c r="C8895" t="s">
        <v>36</v>
      </c>
      <c r="D8895" t="s">
        <v>13</v>
      </c>
      <c r="E8895" t="e">
        <f>VLOOKUP(Cpi_[[#This Row],[Attribute]],#REF!,2,FALSE)</f>
        <v>#REF!</v>
      </c>
      <c r="F8895">
        <v>165.3</v>
      </c>
      <c r="G8895" s="42">
        <f>(Cpi_[[#This Row],[Value]]-F8894)/F8894</f>
        <v>-6.8207440811724876E-2</v>
      </c>
      <c r="H8895" t="str">
        <f>LEFT(Cpi_[[#This Row],[Month]],3)</f>
        <v>Mar</v>
      </c>
      <c r="I8895" t="str">
        <f>RIGHT(Cpi_[[#This Row],[Year]],2)</f>
        <v>22</v>
      </c>
      <c r="J8895" t="str">
        <f>Cpi_[[#This Row],[Column3]]&amp;"-"&amp;Cpi_[[#This Row],[Column4]]</f>
        <v>Mar-22</v>
      </c>
    </row>
    <row r="8896" spans="1:10" x14ac:dyDescent="0.3">
      <c r="A8896" t="s">
        <v>34</v>
      </c>
      <c r="B8896">
        <v>2022</v>
      </c>
      <c r="C8896" t="s">
        <v>36</v>
      </c>
      <c r="D8896" t="s">
        <v>14</v>
      </c>
      <c r="E8896" t="e">
        <f>VLOOKUP(Cpi_[[#This Row],[Attribute]],#REF!,2,FALSE)</f>
        <v>#REF!</v>
      </c>
      <c r="F8896">
        <v>179.3</v>
      </c>
      <c r="G8896" s="42">
        <f>(Cpi_[[#This Row],[Value]]-F8895)/F8895</f>
        <v>8.4694494857834229E-2</v>
      </c>
      <c r="H8896" t="str">
        <f>LEFT(Cpi_[[#This Row],[Month]],3)</f>
        <v>Mar</v>
      </c>
      <c r="I8896" t="str">
        <f>RIGHT(Cpi_[[#This Row],[Year]],2)</f>
        <v>22</v>
      </c>
      <c r="J8896" t="str">
        <f>Cpi_[[#This Row],[Column3]]&amp;"-"&amp;Cpi_[[#This Row],[Column4]]</f>
        <v>Mar-22</v>
      </c>
    </row>
    <row r="8897" spans="1:10" x14ac:dyDescent="0.3">
      <c r="A8897" t="s">
        <v>34</v>
      </c>
      <c r="B8897">
        <v>2022</v>
      </c>
      <c r="C8897" t="s">
        <v>36</v>
      </c>
      <c r="D8897" t="s">
        <v>15</v>
      </c>
      <c r="E8897" t="e">
        <f>VLOOKUP(Cpi_[[#This Row],[Attribute]],#REF!,2,FALSE)</f>
        <v>#REF!</v>
      </c>
      <c r="F8897">
        <v>168.4</v>
      </c>
      <c r="G8897" s="42">
        <f>(Cpi_[[#This Row],[Value]]-F8896)/F8896</f>
        <v>-6.0791968767428921E-2</v>
      </c>
      <c r="H8897" t="str">
        <f>LEFT(Cpi_[[#This Row],[Month]],3)</f>
        <v>Mar</v>
      </c>
      <c r="I8897" t="str">
        <f>RIGHT(Cpi_[[#This Row],[Year]],2)</f>
        <v>22</v>
      </c>
      <c r="J8897" t="str">
        <f>Cpi_[[#This Row],[Column3]]&amp;"-"&amp;Cpi_[[#This Row],[Column4]]</f>
        <v>Mar-22</v>
      </c>
    </row>
    <row r="8898" spans="1:10" hidden="1" x14ac:dyDescent="0.3">
      <c r="A8898" t="s">
        <v>34</v>
      </c>
      <c r="B8898">
        <v>2022</v>
      </c>
      <c r="C8898" t="s">
        <v>36</v>
      </c>
      <c r="D8898" t="s">
        <v>16</v>
      </c>
      <c r="E8898" t="e">
        <f>VLOOKUP(Cpi_[[#This Row],[Attribute]],#REF!,2,FALSE)</f>
        <v>#REF!</v>
      </c>
      <c r="F8898">
        <v>193.7</v>
      </c>
      <c r="G8898">
        <f>(Cpi_[[#This Row],[Value]]-F8897)/F8897</f>
        <v>0.15023752969121129</v>
      </c>
      <c r="H8898" t="e" cm="1" vm="1">
        <f t="array" aca="1" ref="H8898" ca="1">VLOOKUP(Cpi_[[#This Row],[Year]:[Month]],crudeoil[],3,FALSE)</f>
        <v>#VALUE!</v>
      </c>
    </row>
    <row r="8899" spans="1:10" hidden="1" x14ac:dyDescent="0.3">
      <c r="A8899" t="s">
        <v>34</v>
      </c>
      <c r="B8899">
        <v>2022</v>
      </c>
      <c r="C8899" t="s">
        <v>36</v>
      </c>
      <c r="D8899" t="s">
        <v>17</v>
      </c>
      <c r="E8899" t="e">
        <f>VLOOKUP(Cpi_[[#This Row],[Attribute]],#REF!,2,FALSE)</f>
        <v>#REF!</v>
      </c>
      <c r="F8899">
        <v>172.1</v>
      </c>
      <c r="G8899">
        <f>(Cpi_[[#This Row],[Value]]-F8898)/F8898</f>
        <v>-0.11151264842540008</v>
      </c>
      <c r="H8899" t="e" cm="1" vm="1">
        <f t="array" aca="1" ref="H8899" ca="1">VLOOKUP(Cpi_[[#This Row],[Year]:[Month]],crudeoil[],3,FALSE)</f>
        <v>#VALUE!</v>
      </c>
    </row>
    <row r="8900" spans="1:10" hidden="1" x14ac:dyDescent="0.3">
      <c r="A8900" t="s">
        <v>34</v>
      </c>
      <c r="B8900">
        <v>2022</v>
      </c>
      <c r="C8900" t="s">
        <v>36</v>
      </c>
      <c r="D8900" t="s">
        <v>18</v>
      </c>
      <c r="E8900" t="e">
        <f>VLOOKUP(Cpi_[[#This Row],[Attribute]],#REF!,2,FALSE)</f>
        <v>#REF!</v>
      </c>
      <c r="F8900">
        <v>164.6</v>
      </c>
      <c r="G8900">
        <f>(Cpi_[[#This Row],[Value]]-F8899)/F8899</f>
        <v>-4.3579314352120861E-2</v>
      </c>
      <c r="H8900" t="e" cm="1" vm="1">
        <f t="array" aca="1" ref="H8900" ca="1">VLOOKUP(Cpi_[[#This Row],[Year]:[Month]],crudeoil[],3,FALSE)</f>
        <v>#VALUE!</v>
      </c>
    </row>
    <row r="8901" spans="1:10" hidden="1" x14ac:dyDescent="0.3">
      <c r="A8901" t="s">
        <v>34</v>
      </c>
      <c r="B8901">
        <v>2022</v>
      </c>
      <c r="C8901" t="s">
        <v>36</v>
      </c>
      <c r="D8901" t="s">
        <v>19</v>
      </c>
      <c r="E8901" t="e">
        <f>VLOOKUP(Cpi_[[#This Row],[Attribute]],#REF!,2,FALSE)</f>
        <v>#REF!</v>
      </c>
      <c r="F8901">
        <v>171.1</v>
      </c>
      <c r="G8901">
        <f>(Cpi_[[#This Row],[Value]]-F8900)/F8900</f>
        <v>3.9489671931956259E-2</v>
      </c>
      <c r="H8901" t="e" cm="1" vm="1">
        <f t="array" aca="1" ref="H8901" ca="1">VLOOKUP(Cpi_[[#This Row],[Year]:[Month]],crudeoil[],3,FALSE)</f>
        <v>#VALUE!</v>
      </c>
    </row>
    <row r="8902" spans="1:10" hidden="1" x14ac:dyDescent="0.3">
      <c r="A8902" t="s">
        <v>34</v>
      </c>
      <c r="B8902">
        <v>2022</v>
      </c>
      <c r="C8902" t="s">
        <v>36</v>
      </c>
      <c r="D8902" t="s">
        <v>20</v>
      </c>
      <c r="E8902" t="e">
        <f>VLOOKUP(Cpi_[[#This Row],[Attribute]],#REF!,2,FALSE)</f>
        <v>#REF!</v>
      </c>
      <c r="F8902">
        <v>165.3</v>
      </c>
      <c r="G8902">
        <f>(Cpi_[[#This Row],[Value]]-F8901)/F8901</f>
        <v>-3.3898305084745665E-2</v>
      </c>
      <c r="H8902" t="e" cm="1" vm="1">
        <f t="array" aca="1" ref="H8902" ca="1">VLOOKUP(Cpi_[[#This Row],[Year]:[Month]],crudeoil[],3,FALSE)</f>
        <v>#VALUE!</v>
      </c>
    </row>
    <row r="8903" spans="1:10" hidden="1" x14ac:dyDescent="0.3">
      <c r="A8903" t="s">
        <v>34</v>
      </c>
      <c r="B8903">
        <v>2022</v>
      </c>
      <c r="C8903" t="s">
        <v>36</v>
      </c>
      <c r="D8903" t="s">
        <v>21</v>
      </c>
      <c r="E8903" t="e">
        <f>VLOOKUP(Cpi_[[#This Row],[Attribute]],#REF!,2,FALSE)</f>
        <v>#REF!</v>
      </c>
      <c r="F8903">
        <v>167.2</v>
      </c>
      <c r="G8903">
        <f>(Cpi_[[#This Row],[Value]]-F8902)/F8902</f>
        <v>1.1494252873563079E-2</v>
      </c>
      <c r="H8903" t="e" cm="1" vm="1">
        <f t="array" aca="1" ref="H8903" ca="1">VLOOKUP(Cpi_[[#This Row],[Year]:[Month]],crudeoil[],3,FALSE)</f>
        <v>#VALUE!</v>
      </c>
    </row>
    <row r="8904" spans="1:10" hidden="1" x14ac:dyDescent="0.3">
      <c r="A8904" t="s">
        <v>34</v>
      </c>
      <c r="B8904">
        <v>2022</v>
      </c>
      <c r="C8904" t="s">
        <v>36</v>
      </c>
      <c r="D8904" t="s">
        <v>22</v>
      </c>
      <c r="E8904" t="e">
        <f>VLOOKUP(Cpi_[[#This Row],[Attribute]],#REF!,2,FALSE)</f>
        <v>#REF!</v>
      </c>
      <c r="F8904">
        <v>162.80000000000001</v>
      </c>
      <c r="G8904">
        <f>(Cpi_[[#This Row],[Value]]-F8903)/F8903</f>
        <v>-2.6315789473684077E-2</v>
      </c>
      <c r="H8904" t="e" cm="1" vm="1">
        <f t="array" aca="1" ref="H8904" ca="1">VLOOKUP(Cpi_[[#This Row],[Year]:[Month]],crudeoil[],3,FALSE)</f>
        <v>#VALUE!</v>
      </c>
    </row>
    <row r="8905" spans="1:10" hidden="1" x14ac:dyDescent="0.3">
      <c r="A8905" t="s">
        <v>34</v>
      </c>
      <c r="B8905">
        <v>2022</v>
      </c>
      <c r="C8905" t="s">
        <v>36</v>
      </c>
      <c r="D8905" t="s">
        <v>23</v>
      </c>
      <c r="E8905" t="e">
        <f>VLOOKUP(Cpi_[[#This Row],[Attribute]],#REF!,2,FALSE)</f>
        <v>#REF!</v>
      </c>
      <c r="F8905">
        <v>173</v>
      </c>
      <c r="G8905">
        <f>(Cpi_[[#This Row],[Value]]-F8904)/F8904</f>
        <v>6.2653562653562575E-2</v>
      </c>
      <c r="H8905" t="e" cm="1" vm="1">
        <f t="array" aca="1" ref="H8905" ca="1">VLOOKUP(Cpi_[[#This Row],[Year]:[Month]],crudeoil[],3,FALSE)</f>
        <v>#VALUE!</v>
      </c>
    </row>
    <row r="8906" spans="1:10" hidden="1" x14ac:dyDescent="0.3">
      <c r="A8906" t="s">
        <v>34</v>
      </c>
      <c r="B8906">
        <v>2022</v>
      </c>
      <c r="C8906" t="s">
        <v>36</v>
      </c>
      <c r="D8906" t="s">
        <v>24</v>
      </c>
      <c r="E8906" t="e">
        <f>VLOOKUP(Cpi_[[#This Row],[Attribute]],#REF!,2,FALSE)</f>
        <v>#REF!</v>
      </c>
      <c r="F8906">
        <v>157.9</v>
      </c>
      <c r="G8906">
        <f>(Cpi_[[#This Row],[Value]]-F8905)/F8905</f>
        <v>-8.7283236994219623E-2</v>
      </c>
      <c r="H8906" t="e" cm="1" vm="1">
        <f t="array" aca="1" ref="H8906" ca="1">VLOOKUP(Cpi_[[#This Row],[Year]:[Month]],crudeoil[],3,FALSE)</f>
        <v>#VALUE!</v>
      </c>
    </row>
    <row r="8907" spans="1:10" hidden="1" x14ac:dyDescent="0.3">
      <c r="A8907" t="s">
        <v>34</v>
      </c>
      <c r="B8907">
        <v>2022</v>
      </c>
      <c r="C8907" t="s">
        <v>36</v>
      </c>
      <c r="D8907" t="s">
        <v>25</v>
      </c>
      <c r="E8907" t="e">
        <f>VLOOKUP(Cpi_[[#This Row],[Attribute]],#REF!,2,FALSE)</f>
        <v>#REF!</v>
      </c>
      <c r="F8907">
        <v>163.30000000000001</v>
      </c>
      <c r="G8907">
        <f>(Cpi_[[#This Row],[Value]]-F8906)/F8906</f>
        <v>3.4198860037998768E-2</v>
      </c>
      <c r="H8907" t="e" cm="1" vm="1">
        <f t="array" aca="1" ref="H8907" ca="1">VLOOKUP(Cpi_[[#This Row],[Year]:[Month]],crudeoil[],3,FALSE)</f>
        <v>#VALUE!</v>
      </c>
    </row>
    <row r="8908" spans="1:10" hidden="1" x14ac:dyDescent="0.3">
      <c r="A8908" t="s">
        <v>34</v>
      </c>
      <c r="B8908">
        <v>2022</v>
      </c>
      <c r="C8908" t="s">
        <v>36</v>
      </c>
      <c r="D8908" t="s">
        <v>26</v>
      </c>
      <c r="E8908" t="e">
        <f>VLOOKUP(Cpi_[[#This Row],[Attribute]],#REF!,2,FALSE)</f>
        <v>#REF!</v>
      </c>
      <c r="F8908">
        <v>166</v>
      </c>
      <c r="G8908">
        <f>(Cpi_[[#This Row],[Value]]-F8907)/F8907</f>
        <v>1.6533986527862757E-2</v>
      </c>
      <c r="H8908" t="e" cm="1" vm="1">
        <f t="array" aca="1" ref="H8908" ca="1">VLOOKUP(Cpi_[[#This Row],[Year]:[Month]],crudeoil[],3,FALSE)</f>
        <v>#VALUE!</v>
      </c>
    </row>
    <row r="8909" spans="1:10" hidden="1" x14ac:dyDescent="0.3">
      <c r="A8909" t="s">
        <v>34</v>
      </c>
      <c r="B8909">
        <v>2022</v>
      </c>
      <c r="C8909" t="s">
        <v>36</v>
      </c>
      <c r="D8909" t="s">
        <v>27</v>
      </c>
      <c r="E8909" t="e">
        <f>VLOOKUP(Cpi_[[#This Row],[Attribute]],#REF!,2,FALSE)</f>
        <v>#REF!</v>
      </c>
      <c r="F8909">
        <v>167.2</v>
      </c>
      <c r="G8909">
        <f>(Cpi_[[#This Row],[Value]]-F8908)/F8908</f>
        <v>7.2289156626505341E-3</v>
      </c>
      <c r="H8909" t="e" cm="1" vm="1">
        <f t="array" aca="1" ref="H8909" ca="1">VLOOKUP(Cpi_[[#This Row],[Year]:[Month]],crudeoil[],3,FALSE)</f>
        <v>#VALUE!</v>
      </c>
    </row>
    <row r="8910" spans="1:10" hidden="1" x14ac:dyDescent="0.3">
      <c r="A8910" t="s">
        <v>34</v>
      </c>
      <c r="B8910">
        <v>2022</v>
      </c>
      <c r="C8910" t="s">
        <v>36</v>
      </c>
      <c r="D8910" t="s">
        <v>28</v>
      </c>
      <c r="E8910" t="e">
        <f>VLOOKUP(Cpi_[[#This Row],[Attribute]],#REF!,2,FALSE)</f>
        <v>#REF!</v>
      </c>
      <c r="F8910">
        <v>164.6</v>
      </c>
      <c r="G8910">
        <f>(Cpi_[[#This Row],[Value]]-F8909)/F8909</f>
        <v>-1.5550239234449727E-2</v>
      </c>
      <c r="H8910" t="e" cm="1" vm="1">
        <f t="array" aca="1" ref="H8910" ca="1">VLOOKUP(Cpi_[[#This Row],[Year]:[Month]],crudeoil[],3,FALSE)</f>
        <v>#VALUE!</v>
      </c>
    </row>
    <row r="8911" spans="1:10" hidden="1" x14ac:dyDescent="0.3">
      <c r="A8911" t="s">
        <v>34</v>
      </c>
      <c r="B8911">
        <v>2022</v>
      </c>
      <c r="C8911" t="s">
        <v>36</v>
      </c>
      <c r="D8911" t="s">
        <v>29</v>
      </c>
      <c r="E8911" t="e" cm="1">
        <f t="array" aca="1" ref="E8911" ca="1">VLGeneral indexGeneral indexKUP(Cpi_[[#This Row],[Attribute]],#REF!,2,FALSE)</f>
        <v>#NAME?</v>
      </c>
      <c r="F8911">
        <v>167.7</v>
      </c>
      <c r="G8911">
        <f>(Cpi_[[#This Row],[Value]]-F8910)/F8910</f>
        <v>1.8833535844471411E-2</v>
      </c>
      <c r="H8911" t="e" cm="1" vm="1">
        <f t="array" aca="1" ref="H8911" ca="1">VLOOKUP(Cpi_[[#This Row],[Year]:[Month]],crudeoil[],3,FALSE)</f>
        <v>#VALUE!</v>
      </c>
    </row>
    <row r="8912" spans="1:10" hidden="1" x14ac:dyDescent="0.3">
      <c r="A8912" t="s">
        <v>30</v>
      </c>
      <c r="B8912">
        <v>2022</v>
      </c>
      <c r="C8912" t="s">
        <v>37</v>
      </c>
      <c r="D8912" t="s">
        <v>3</v>
      </c>
      <c r="E8912" t="e">
        <f>VLOOKUP(Cpi_[[#This Row],[Attribute]],#REF!,2,FALSE)</f>
        <v>#REF!</v>
      </c>
      <c r="F8912">
        <v>151.80000000000001</v>
      </c>
      <c r="G8912">
        <f>(Cpi_[[#This Row],[Value]]-F8911)/F8911</f>
        <v>-9.4812164579606312E-2</v>
      </c>
      <c r="H8912" t="e" cm="1" vm="1">
        <f t="array" aca="1" ref="H8912" ca="1">VLOOKUP(Cpi_[[#This Row],[Year]:[Month]],crudeoil[],3,FALSE)</f>
        <v>#VALUE!</v>
      </c>
    </row>
    <row r="8913" spans="1:8" hidden="1" x14ac:dyDescent="0.3">
      <c r="A8913" t="s">
        <v>30</v>
      </c>
      <c r="B8913">
        <v>2022</v>
      </c>
      <c r="C8913" t="s">
        <v>37</v>
      </c>
      <c r="D8913" t="s">
        <v>4</v>
      </c>
      <c r="E8913" t="e">
        <f>VLOOKUP(Cpi_[[#This Row],[Attribute]],#REF!,2,FALSE)</f>
        <v>#REF!</v>
      </c>
      <c r="F8913">
        <v>209.7</v>
      </c>
      <c r="G8913">
        <f>(Cpi_[[#This Row],[Value]]-F8912)/F8912</f>
        <v>0.38142292490118557</v>
      </c>
      <c r="H8913" t="e" cm="1" vm="1">
        <f t="array" aca="1" ref="H8913" ca="1">VLOOKUP(Cpi_[[#This Row],[Year]:[Month]],crudeoil[],3,FALSE)</f>
        <v>#VALUE!</v>
      </c>
    </row>
    <row r="8914" spans="1:8" hidden="1" x14ac:dyDescent="0.3">
      <c r="A8914" t="s">
        <v>30</v>
      </c>
      <c r="B8914">
        <v>2022</v>
      </c>
      <c r="C8914" t="s">
        <v>37</v>
      </c>
      <c r="D8914" t="s">
        <v>5</v>
      </c>
      <c r="E8914" t="e">
        <f>VLOOKUP(Cpi_[[#This Row],[Attribute]],#REF!,2,FALSE)</f>
        <v>#REF!</v>
      </c>
      <c r="F8914">
        <v>164.5</v>
      </c>
      <c r="G8914">
        <f>(Cpi_[[#This Row],[Value]]-F8913)/F8913</f>
        <v>-0.21554601812112537</v>
      </c>
      <c r="H8914" t="e" cm="1" vm="1">
        <f t="array" aca="1" ref="H8914" ca="1">VLOOKUP(Cpi_[[#This Row],[Year]:[Month]],crudeoil[],3,FALSE)</f>
        <v>#VALUE!</v>
      </c>
    </row>
    <row r="8915" spans="1:8" hidden="1" x14ac:dyDescent="0.3">
      <c r="A8915" t="s">
        <v>30</v>
      </c>
      <c r="B8915">
        <v>2022</v>
      </c>
      <c r="C8915" t="s">
        <v>37</v>
      </c>
      <c r="D8915" t="s">
        <v>6</v>
      </c>
      <c r="E8915" t="e">
        <f>VLOOKUP(Cpi_[[#This Row],[Attribute]],#REF!,2,FALSE)</f>
        <v>#REF!</v>
      </c>
      <c r="F8915">
        <v>163.80000000000001</v>
      </c>
      <c r="G8915">
        <f>(Cpi_[[#This Row],[Value]]-F8914)/F8914</f>
        <v>-4.2553191489361009E-3</v>
      </c>
      <c r="H8915" t="e" cm="1" vm="1">
        <f t="array" aca="1" ref="H8915" ca="1">VLOOKUP(Cpi_[[#This Row],[Year]:[Month]],crudeoil[],3,FALSE)</f>
        <v>#VALUE!</v>
      </c>
    </row>
    <row r="8916" spans="1:8" hidden="1" x14ac:dyDescent="0.3">
      <c r="A8916" t="s">
        <v>30</v>
      </c>
      <c r="B8916">
        <v>2022</v>
      </c>
      <c r="C8916" t="s">
        <v>37</v>
      </c>
      <c r="D8916" t="s">
        <v>7</v>
      </c>
      <c r="E8916" t="e">
        <f>VLOOKUP(Cpi_[[#This Row],[Attribute]],#REF!,2,FALSE)</f>
        <v>#REF!</v>
      </c>
      <c r="F8916">
        <v>207.4</v>
      </c>
      <c r="G8916">
        <f>(Cpi_[[#This Row],[Value]]-F8915)/F8915</f>
        <v>0.26617826617826612</v>
      </c>
      <c r="H8916" t="e" cm="1" vm="1">
        <f t="array" aca="1" ref="H8916" ca="1">VLOOKUP(Cpi_[[#This Row],[Year]:[Month]],crudeoil[],3,FALSE)</f>
        <v>#VALUE!</v>
      </c>
    </row>
    <row r="8917" spans="1:8" hidden="1" x14ac:dyDescent="0.3">
      <c r="A8917" t="s">
        <v>30</v>
      </c>
      <c r="B8917">
        <v>2022</v>
      </c>
      <c r="C8917" t="s">
        <v>37</v>
      </c>
      <c r="D8917" t="s">
        <v>8</v>
      </c>
      <c r="E8917" t="e">
        <f>VLOOKUP(Cpi_[[#This Row],[Attribute]],#REF!,2,FALSE)</f>
        <v>#REF!</v>
      </c>
      <c r="F8917">
        <v>169.7</v>
      </c>
      <c r="G8917">
        <f>(Cpi_[[#This Row],[Value]]-F8916)/F8916</f>
        <v>-0.18177434908389592</v>
      </c>
      <c r="H8917" t="e" cm="1" vm="1">
        <f t="array" aca="1" ref="H8917" ca="1">VLOOKUP(Cpi_[[#This Row],[Year]:[Month]],crudeoil[],3,FALSE)</f>
        <v>#VALUE!</v>
      </c>
    </row>
    <row r="8918" spans="1:8" hidden="1" x14ac:dyDescent="0.3">
      <c r="A8918" t="s">
        <v>30</v>
      </c>
      <c r="B8918">
        <v>2022</v>
      </c>
      <c r="C8918" t="s">
        <v>37</v>
      </c>
      <c r="D8918" t="s">
        <v>9</v>
      </c>
      <c r="E8918" t="e">
        <f>VLOOKUP(Cpi_[[#This Row],[Attribute]],#REF!,2,FALSE)</f>
        <v>#REF!</v>
      </c>
      <c r="F8918">
        <v>153.6</v>
      </c>
      <c r="G8918">
        <f>(Cpi_[[#This Row],[Value]]-F8917)/F8917</f>
        <v>-9.4873305833824376E-2</v>
      </c>
      <c r="H8918" t="e" cm="1" vm="1">
        <f t="array" aca="1" ref="H8918" ca="1">VLOOKUP(Cpi_[[#This Row],[Year]:[Month]],crudeoil[],3,FALSE)</f>
        <v>#VALUE!</v>
      </c>
    </row>
    <row r="8919" spans="1:8" hidden="1" x14ac:dyDescent="0.3">
      <c r="A8919" t="s">
        <v>30</v>
      </c>
      <c r="B8919">
        <v>2022</v>
      </c>
      <c r="C8919" t="s">
        <v>37</v>
      </c>
      <c r="D8919" t="s">
        <v>10</v>
      </c>
      <c r="E8919" t="e">
        <f>VLOOKUP(Cpi_[[#This Row],[Attribute]],#REF!,2,FALSE)</f>
        <v>#REF!</v>
      </c>
      <c r="F8919">
        <v>165.1</v>
      </c>
      <c r="G8919">
        <f>(Cpi_[[#This Row],[Value]]-F8918)/F8918</f>
        <v>7.4869791666666671E-2</v>
      </c>
      <c r="H8919" t="e" cm="1" vm="1">
        <f t="array" aca="1" ref="H8919" ca="1">VLOOKUP(Cpi_[[#This Row],[Year]:[Month]],crudeoil[],3,FALSE)</f>
        <v>#VALUE!</v>
      </c>
    </row>
    <row r="8920" spans="1:8" hidden="1" x14ac:dyDescent="0.3">
      <c r="A8920" t="s">
        <v>30</v>
      </c>
      <c r="B8920">
        <v>2022</v>
      </c>
      <c r="C8920" t="s">
        <v>37</v>
      </c>
      <c r="D8920" t="s">
        <v>11</v>
      </c>
      <c r="E8920" t="e">
        <f>VLOOKUP(Cpi_[[#This Row],[Attribute]],#REF!,2,FALSE)</f>
        <v>#REF!</v>
      </c>
      <c r="F8920">
        <v>118.2</v>
      </c>
      <c r="G8920">
        <f>(Cpi_[[#This Row],[Value]]-F8919)/F8919</f>
        <v>-0.28407026044821315</v>
      </c>
      <c r="H8920" t="e" cm="1" vm="1">
        <f t="array" aca="1" ref="H8920" ca="1">VLOOKUP(Cpi_[[#This Row],[Year]:[Month]],crudeoil[],3,FALSE)</f>
        <v>#VALUE!</v>
      </c>
    </row>
    <row r="8921" spans="1:8" hidden="1" x14ac:dyDescent="0.3">
      <c r="A8921" t="s">
        <v>30</v>
      </c>
      <c r="B8921">
        <v>2022</v>
      </c>
      <c r="C8921" t="s">
        <v>37</v>
      </c>
      <c r="D8921" t="s">
        <v>12</v>
      </c>
      <c r="E8921" t="e">
        <f>VLOOKUP(Cpi_[[#This Row],[Attribute]],#REF!,2,FALSE)</f>
        <v>#REF!</v>
      </c>
      <c r="F8921">
        <v>182.9</v>
      </c>
      <c r="G8921">
        <f>(Cpi_[[#This Row],[Value]]-F8920)/F8920</f>
        <v>0.54737732656514382</v>
      </c>
      <c r="H8921" t="e" cm="1" vm="1">
        <f t="array" aca="1" ref="H8921" ca="1">VLOOKUP(Cpi_[[#This Row],[Year]:[Month]],crudeoil[],3,FALSE)</f>
        <v>#VALUE!</v>
      </c>
    </row>
    <row r="8922" spans="1:8" hidden="1" x14ac:dyDescent="0.3">
      <c r="A8922" t="s">
        <v>30</v>
      </c>
      <c r="B8922">
        <v>2022</v>
      </c>
      <c r="C8922" t="s">
        <v>37</v>
      </c>
      <c r="D8922" t="s">
        <v>13</v>
      </c>
      <c r="E8922" t="e">
        <f>VLOOKUP(Cpi_[[#This Row],[Attribute]],#REF!,2,FALSE)</f>
        <v>#REF!</v>
      </c>
      <c r="F8922">
        <v>172.4</v>
      </c>
      <c r="G8922">
        <f>(Cpi_[[#This Row],[Value]]-F8921)/F8921</f>
        <v>-5.7408419901585565E-2</v>
      </c>
      <c r="H8922" t="e" cm="1" vm="1">
        <f t="array" aca="1" ref="H8922" ca="1">VLOOKUP(Cpi_[[#This Row],[Year]:[Month]],crudeoil[],3,FALSE)</f>
        <v>#VALUE!</v>
      </c>
    </row>
    <row r="8923" spans="1:8" hidden="1" x14ac:dyDescent="0.3">
      <c r="A8923" t="s">
        <v>30</v>
      </c>
      <c r="B8923">
        <v>2022</v>
      </c>
      <c r="C8923" t="s">
        <v>37</v>
      </c>
      <c r="D8923" t="s">
        <v>14</v>
      </c>
      <c r="E8923" t="e">
        <f>VLOOKUP(Cpi_[[#This Row],[Attribute]],#REF!,2,FALSE)</f>
        <v>#REF!</v>
      </c>
      <c r="F8923">
        <v>178.9</v>
      </c>
      <c r="G8923">
        <f>(Cpi_[[#This Row],[Value]]-F8922)/F8922</f>
        <v>3.7703016241299306E-2</v>
      </c>
      <c r="H8923" t="e" cm="1" vm="1">
        <f t="array" aca="1" ref="H8923" ca="1">VLOOKUP(Cpi_[[#This Row],[Year]:[Month]],crudeoil[],3,FALSE)</f>
        <v>#VALUE!</v>
      </c>
    </row>
    <row r="8924" spans="1:8" hidden="1" x14ac:dyDescent="0.3">
      <c r="A8924" t="s">
        <v>30</v>
      </c>
      <c r="B8924">
        <v>2022</v>
      </c>
      <c r="C8924" t="s">
        <v>37</v>
      </c>
      <c r="D8924" t="s">
        <v>15</v>
      </c>
      <c r="E8924" t="e">
        <f>VLOOKUP(Cpi_[[#This Row],[Attribute]],#REF!,2,FALSE)</f>
        <v>#REF!</v>
      </c>
      <c r="F8924">
        <v>168.6</v>
      </c>
      <c r="G8924">
        <f>(Cpi_[[#This Row],[Value]]-F8923)/F8923</f>
        <v>-5.7574063722750202E-2</v>
      </c>
      <c r="H8924" t="e" cm="1" vm="1">
        <f t="array" aca="1" ref="H8924" ca="1">VLOOKUP(Cpi_[[#This Row],[Year]:[Month]],crudeoil[],3,FALSE)</f>
        <v>#VALUE!</v>
      </c>
    </row>
    <row r="8925" spans="1:8" hidden="1" x14ac:dyDescent="0.3">
      <c r="A8925" t="s">
        <v>30</v>
      </c>
      <c r="B8925">
        <v>2022</v>
      </c>
      <c r="C8925" t="s">
        <v>37</v>
      </c>
      <c r="D8925" t="s">
        <v>16</v>
      </c>
      <c r="E8925" t="e">
        <f>VLOOKUP(Cpi_[[#This Row],[Attribute]],#REF!,2,FALSE)</f>
        <v>#REF!</v>
      </c>
      <c r="F8925">
        <v>192.8</v>
      </c>
      <c r="G8925">
        <f>(Cpi_[[#This Row],[Value]]-F8924)/F8924</f>
        <v>0.14353499406880199</v>
      </c>
      <c r="H8925" t="e" cm="1" vm="1">
        <f t="array" aca="1" ref="H8925" ca="1">VLOOKUP(Cpi_[[#This Row],[Year]:[Month]],crudeoil[],3,FALSE)</f>
        <v>#VALUE!</v>
      </c>
    </row>
    <row r="8926" spans="1:8" hidden="1" x14ac:dyDescent="0.3">
      <c r="A8926" t="s">
        <v>30</v>
      </c>
      <c r="B8926">
        <v>2022</v>
      </c>
      <c r="C8926" t="s">
        <v>37</v>
      </c>
      <c r="D8926" t="s">
        <v>17</v>
      </c>
      <c r="E8926" t="e">
        <f>VLOOKUP(Cpi_[[#This Row],[Attribute]],#REF!,2,FALSE)</f>
        <v>#REF!</v>
      </c>
      <c r="F8926">
        <v>177.5</v>
      </c>
      <c r="G8926">
        <f>(Cpi_[[#This Row],[Value]]-F8925)/F8925</f>
        <v>-7.9356846473029097E-2</v>
      </c>
      <c r="H8926" t="e" cm="1" vm="1">
        <f t="array" aca="1" ref="H8926" ca="1">VLOOKUP(Cpi_[[#This Row],[Year]:[Month]],crudeoil[],3,FALSE)</f>
        <v>#VALUE!</v>
      </c>
    </row>
    <row r="8927" spans="1:8" hidden="1" x14ac:dyDescent="0.3">
      <c r="A8927" t="s">
        <v>30</v>
      </c>
      <c r="B8927">
        <v>2022</v>
      </c>
      <c r="C8927" t="s">
        <v>37</v>
      </c>
      <c r="D8927" t="s">
        <v>18</v>
      </c>
      <c r="E8927" t="e">
        <f>VLOOKUP(Cpi_[[#This Row],[Attribute]],#REF!,2,FALSE)</f>
        <v>#REF!</v>
      </c>
      <c r="F8927">
        <v>175.1</v>
      </c>
      <c r="G8927">
        <f>(Cpi_[[#This Row],[Value]]-F8926)/F8926</f>
        <v>-1.3521126760563412E-2</v>
      </c>
      <c r="H8927" t="e" cm="1" vm="1">
        <f t="array" aca="1" ref="H8927" ca="1">VLOOKUP(Cpi_[[#This Row],[Year]:[Month]],crudeoil[],3,FALSE)</f>
        <v>#VALUE!</v>
      </c>
    </row>
    <row r="8928" spans="1:8" hidden="1" x14ac:dyDescent="0.3">
      <c r="A8928" t="s">
        <v>30</v>
      </c>
      <c r="B8928">
        <v>2022</v>
      </c>
      <c r="C8928" t="s">
        <v>37</v>
      </c>
      <c r="D8928" t="s">
        <v>19</v>
      </c>
      <c r="E8928" t="e">
        <f>VLOOKUP(Cpi_[[#This Row],[Attribute]],#REF!,2,FALSE)</f>
        <v>#REF!</v>
      </c>
      <c r="F8928">
        <v>177.1</v>
      </c>
      <c r="G8928">
        <f>(Cpi_[[#This Row],[Value]]-F8927)/F8927</f>
        <v>1.1422044545973729E-2</v>
      </c>
      <c r="H8928" t="e" cm="1" vm="1">
        <f t="array" aca="1" ref="H8928" ca="1">VLOOKUP(Cpi_[[#This Row],[Year]:[Month]],crudeoil[],3,FALSE)</f>
        <v>#VALUE!</v>
      </c>
    </row>
    <row r="8929" spans="1:8" hidden="1" x14ac:dyDescent="0.3">
      <c r="A8929" t="s">
        <v>30</v>
      </c>
      <c r="B8929">
        <v>2022</v>
      </c>
      <c r="C8929" t="s">
        <v>37</v>
      </c>
      <c r="D8929" t="s">
        <v>20</v>
      </c>
      <c r="E8929" t="e">
        <f>VLOOKUP(Cpi_[[#This Row],[Attribute]],#REF!,2,FALSE)</f>
        <v>#REF!</v>
      </c>
      <c r="F8929" t="s">
        <v>32</v>
      </c>
      <c r="G8929" t="e">
        <f>(Cpi_[[#This Row],[Value]]-F8928)/F8928</f>
        <v>#VALUE!</v>
      </c>
      <c r="H8929" t="e" cm="1" vm="1">
        <f t="array" aca="1" ref="H8929" ca="1">VLOOKUP(Cpi_[[#This Row],[Year]:[Month]],crudeoil[],3,FALSE)</f>
        <v>#VALUE!</v>
      </c>
    </row>
    <row r="8930" spans="1:8" hidden="1" x14ac:dyDescent="0.3">
      <c r="A8930" t="s">
        <v>30</v>
      </c>
      <c r="B8930">
        <v>2022</v>
      </c>
      <c r="C8930" t="s">
        <v>37</v>
      </c>
      <c r="D8930" t="s">
        <v>21</v>
      </c>
      <c r="E8930" t="e">
        <f>VLOOKUP(Cpi_[[#This Row],[Attribute]],#REF!,2,FALSE)</f>
        <v>#REF!</v>
      </c>
      <c r="F8930">
        <v>173.3</v>
      </c>
      <c r="G8930" t="e">
        <f>(Cpi_[[#This Row],[Value]]-F8929)/F8929</f>
        <v>#VALUE!</v>
      </c>
      <c r="H8930" t="e" cm="1" vm="1">
        <f t="array" aca="1" ref="H8930" ca="1">VLOOKUP(Cpi_[[#This Row],[Year]:[Month]],crudeoil[],3,FALSE)</f>
        <v>#VALUE!</v>
      </c>
    </row>
    <row r="8931" spans="1:8" hidden="1" x14ac:dyDescent="0.3">
      <c r="A8931" t="s">
        <v>30</v>
      </c>
      <c r="B8931">
        <v>2022</v>
      </c>
      <c r="C8931" t="s">
        <v>37</v>
      </c>
      <c r="D8931" t="s">
        <v>22</v>
      </c>
      <c r="E8931" t="e">
        <f>VLOOKUP(Cpi_[[#This Row],[Attribute]],#REF!,2,FALSE)</f>
        <v>#REF!</v>
      </c>
      <c r="F8931">
        <v>167.7</v>
      </c>
      <c r="G8931">
        <f>(Cpi_[[#This Row],[Value]]-F8930)/F8930</f>
        <v>-3.2313906520484839E-2</v>
      </c>
      <c r="H8931" t="e" cm="1" vm="1">
        <f t="array" aca="1" ref="H8931" ca="1">VLOOKUP(Cpi_[[#This Row],[Year]:[Month]],crudeoil[],3,FALSE)</f>
        <v>#VALUE!</v>
      </c>
    </row>
    <row r="8932" spans="1:8" hidden="1" x14ac:dyDescent="0.3">
      <c r="A8932" t="s">
        <v>30</v>
      </c>
      <c r="B8932">
        <v>2022</v>
      </c>
      <c r="C8932" t="s">
        <v>37</v>
      </c>
      <c r="D8932" t="s">
        <v>23</v>
      </c>
      <c r="E8932" t="e">
        <f>VLOOKUP(Cpi_[[#This Row],[Attribute]],#REF!,2,FALSE)</f>
        <v>#REF!</v>
      </c>
      <c r="F8932">
        <v>177</v>
      </c>
      <c r="G8932">
        <f>(Cpi_[[#This Row],[Value]]-F8931)/F8931</f>
        <v>5.5456171735241575E-2</v>
      </c>
      <c r="H8932" t="e" cm="1" vm="1">
        <f t="array" aca="1" ref="H8932" ca="1">VLOOKUP(Cpi_[[#This Row],[Year]:[Month]],crudeoil[],3,FALSE)</f>
        <v>#VALUE!</v>
      </c>
    </row>
    <row r="8933" spans="1:8" hidden="1" x14ac:dyDescent="0.3">
      <c r="A8933" t="s">
        <v>30</v>
      </c>
      <c r="B8933">
        <v>2022</v>
      </c>
      <c r="C8933" t="s">
        <v>37</v>
      </c>
      <c r="D8933" t="s">
        <v>24</v>
      </c>
      <c r="E8933" t="e">
        <f>VLOOKUP(Cpi_[[#This Row],[Attribute]],#REF!,2,FALSE)</f>
        <v>#REF!</v>
      </c>
      <c r="F8933">
        <v>166.2</v>
      </c>
      <c r="G8933">
        <f>(Cpi_[[#This Row],[Value]]-F8932)/F8932</f>
        <v>-6.1016949152542438E-2</v>
      </c>
      <c r="H8933" t="e" cm="1" vm="1">
        <f t="array" aca="1" ref="H8933" ca="1">VLOOKUP(Cpi_[[#This Row],[Year]:[Month]],crudeoil[],3,FALSE)</f>
        <v>#VALUE!</v>
      </c>
    </row>
    <row r="8934" spans="1:8" hidden="1" x14ac:dyDescent="0.3">
      <c r="A8934" t="s">
        <v>30</v>
      </c>
      <c r="B8934">
        <v>2022</v>
      </c>
      <c r="C8934" t="s">
        <v>37</v>
      </c>
      <c r="D8934" t="s">
        <v>25</v>
      </c>
      <c r="E8934" t="e">
        <f>VLOOKUP(Cpi_[[#This Row],[Attribute]],#REF!,2,FALSE)</f>
        <v>#REF!</v>
      </c>
      <c r="F8934">
        <v>167.2</v>
      </c>
      <c r="G8934">
        <f>(Cpi_[[#This Row],[Value]]-F8933)/F8933</f>
        <v>6.0168471720818293E-3</v>
      </c>
      <c r="H8934" t="e" cm="1" vm="1">
        <f t="array" aca="1" ref="H8934" ca="1">VLOOKUP(Cpi_[[#This Row],[Year]:[Month]],crudeoil[],3,FALSE)</f>
        <v>#VALUE!</v>
      </c>
    </row>
    <row r="8935" spans="1:8" hidden="1" x14ac:dyDescent="0.3">
      <c r="A8935" t="s">
        <v>30</v>
      </c>
      <c r="B8935">
        <v>2022</v>
      </c>
      <c r="C8935" t="s">
        <v>37</v>
      </c>
      <c r="D8935" t="s">
        <v>26</v>
      </c>
      <c r="E8935" t="e">
        <f>VLOOKUP(Cpi_[[#This Row],[Attribute]],#REF!,2,FALSE)</f>
        <v>#REF!</v>
      </c>
      <c r="F8935">
        <v>170.9</v>
      </c>
      <c r="G8935">
        <f>(Cpi_[[#This Row],[Value]]-F8934)/F8934</f>
        <v>2.2129186602870918E-2</v>
      </c>
      <c r="H8935" t="e" cm="1" vm="1">
        <f t="array" aca="1" ref="H8935" ca="1">VLOOKUP(Cpi_[[#This Row],[Year]:[Month]],crudeoil[],3,FALSE)</f>
        <v>#VALUE!</v>
      </c>
    </row>
    <row r="8936" spans="1:8" hidden="1" x14ac:dyDescent="0.3">
      <c r="A8936" t="s">
        <v>30</v>
      </c>
      <c r="B8936">
        <v>2022</v>
      </c>
      <c r="C8936" t="s">
        <v>37</v>
      </c>
      <c r="D8936" t="s">
        <v>27</v>
      </c>
      <c r="E8936" t="e">
        <f>VLOOKUP(Cpi_[[#This Row],[Attribute]],#REF!,2,FALSE)</f>
        <v>#REF!</v>
      </c>
      <c r="F8936">
        <v>169</v>
      </c>
      <c r="G8936">
        <f>(Cpi_[[#This Row],[Value]]-F8935)/F8935</f>
        <v>-1.1117612638970192E-2</v>
      </c>
      <c r="H8936" t="e" cm="1" vm="1">
        <f t="array" aca="1" ref="H8936" ca="1">VLOOKUP(Cpi_[[#This Row],[Year]:[Month]],crudeoil[],3,FALSE)</f>
        <v>#VALUE!</v>
      </c>
    </row>
    <row r="8937" spans="1:8" hidden="1" x14ac:dyDescent="0.3">
      <c r="A8937" t="s">
        <v>30</v>
      </c>
      <c r="B8937">
        <v>2022</v>
      </c>
      <c r="C8937" t="s">
        <v>37</v>
      </c>
      <c r="D8937" t="s">
        <v>28</v>
      </c>
      <c r="E8937" t="e">
        <f>VLOOKUP(Cpi_[[#This Row],[Attribute]],#REF!,2,FALSE)</f>
        <v>#REF!</v>
      </c>
      <c r="F8937">
        <v>170.2</v>
      </c>
      <c r="G8937">
        <f>(Cpi_[[#This Row],[Value]]-F8936)/F8936</f>
        <v>7.1005917159762642E-3</v>
      </c>
      <c r="H8937" t="e" cm="1" vm="1">
        <f t="array" aca="1" ref="H8937" ca="1">VLOOKUP(Cpi_[[#This Row],[Year]:[Month]],crudeoil[],3,FALSE)</f>
        <v>#VALUE!</v>
      </c>
    </row>
    <row r="8938" spans="1:8" hidden="1" x14ac:dyDescent="0.3">
      <c r="A8938" t="s">
        <v>30</v>
      </c>
      <c r="B8938">
        <v>2022</v>
      </c>
      <c r="C8938" t="s">
        <v>37</v>
      </c>
      <c r="D8938" t="s">
        <v>29</v>
      </c>
      <c r="E8938" t="e" cm="1">
        <f t="array" aca="1" ref="E8938" ca="1">VLGeneral indexGeneral indexKUP(Cpi_[[#This Row],[Attribute]],#REF!,2,FALSE)</f>
        <v>#NAME?</v>
      </c>
      <c r="F8938">
        <v>170.8</v>
      </c>
      <c r="G8938">
        <f>(Cpi_[[#This Row],[Value]]-F8937)/F8937</f>
        <v>3.5252643948297459E-3</v>
      </c>
      <c r="H8938" t="e" cm="1" vm="1">
        <f t="array" aca="1" ref="H8938" ca="1">VLOOKUP(Cpi_[[#This Row],[Year]:[Month]],crudeoil[],3,FALSE)</f>
        <v>#VALUE!</v>
      </c>
    </row>
    <row r="8939" spans="1:8" hidden="1" x14ac:dyDescent="0.3">
      <c r="A8939" t="s">
        <v>33</v>
      </c>
      <c r="B8939">
        <v>2022</v>
      </c>
      <c r="C8939" t="s">
        <v>37</v>
      </c>
      <c r="D8939" t="s">
        <v>3</v>
      </c>
      <c r="E8939" t="e">
        <f>VLOOKUP(Cpi_[[#This Row],[Attribute]],#REF!,2,FALSE)</f>
        <v>#REF!</v>
      </c>
      <c r="F8939">
        <v>155.4</v>
      </c>
      <c r="G8939">
        <f>(Cpi_[[#This Row],[Value]]-F8938)/F8938</f>
        <v>-9.0163934426229539E-2</v>
      </c>
      <c r="H8939" t="e" cm="1" vm="1">
        <f t="array" aca="1" ref="H8939" ca="1">VLOOKUP(Cpi_[[#This Row],[Year]:[Month]],crudeoil[],3,FALSE)</f>
        <v>#VALUE!</v>
      </c>
    </row>
    <row r="8940" spans="1:8" hidden="1" x14ac:dyDescent="0.3">
      <c r="A8940" t="s">
        <v>33</v>
      </c>
      <c r="B8940">
        <v>2022</v>
      </c>
      <c r="C8940" t="s">
        <v>37</v>
      </c>
      <c r="D8940" t="s">
        <v>4</v>
      </c>
      <c r="E8940" t="e">
        <f>VLOOKUP(Cpi_[[#This Row],[Attribute]],#REF!,2,FALSE)</f>
        <v>#REF!</v>
      </c>
      <c r="F8940">
        <v>215.8</v>
      </c>
      <c r="G8940">
        <f>(Cpi_[[#This Row],[Value]]-F8939)/F8939</f>
        <v>0.38867438867438869</v>
      </c>
      <c r="H8940" t="e" cm="1" vm="1">
        <f t="array" aca="1" ref="H8940" ca="1">VLOOKUP(Cpi_[[#This Row],[Year]:[Month]],crudeoil[],3,FALSE)</f>
        <v>#VALUE!</v>
      </c>
    </row>
    <row r="8941" spans="1:8" hidden="1" x14ac:dyDescent="0.3">
      <c r="A8941" t="s">
        <v>33</v>
      </c>
      <c r="B8941">
        <v>2022</v>
      </c>
      <c r="C8941" t="s">
        <v>37</v>
      </c>
      <c r="D8941" t="s">
        <v>5</v>
      </c>
      <c r="E8941" t="e">
        <f>VLOOKUP(Cpi_[[#This Row],[Attribute]],#REF!,2,FALSE)</f>
        <v>#REF!</v>
      </c>
      <c r="F8941">
        <v>164.6</v>
      </c>
      <c r="G8941">
        <f>(Cpi_[[#This Row],[Value]]-F8940)/F8940</f>
        <v>-0.23725671918443009</v>
      </c>
      <c r="H8941" t="e" cm="1" vm="1">
        <f t="array" aca="1" ref="H8941" ca="1">VLOOKUP(Cpi_[[#This Row],[Year]:[Month]],crudeoil[],3,FALSE)</f>
        <v>#VALUE!</v>
      </c>
    </row>
    <row r="8942" spans="1:8" hidden="1" x14ac:dyDescent="0.3">
      <c r="A8942" t="s">
        <v>33</v>
      </c>
      <c r="B8942">
        <v>2022</v>
      </c>
      <c r="C8942" t="s">
        <v>37</v>
      </c>
      <c r="D8942" t="s">
        <v>6</v>
      </c>
      <c r="E8942" t="e">
        <f>VLOOKUP(Cpi_[[#This Row],[Attribute]],#REF!,2,FALSE)</f>
        <v>#REF!</v>
      </c>
      <c r="F8942">
        <v>164.2</v>
      </c>
      <c r="G8942">
        <f>(Cpi_[[#This Row],[Value]]-F8941)/F8941</f>
        <v>-2.4301336573511888E-3</v>
      </c>
      <c r="H8942" t="e" cm="1" vm="1">
        <f t="array" aca="1" ref="H8942" ca="1">VLOOKUP(Cpi_[[#This Row],[Year]:[Month]],crudeoil[],3,FALSE)</f>
        <v>#VALUE!</v>
      </c>
    </row>
    <row r="8943" spans="1:8" hidden="1" x14ac:dyDescent="0.3">
      <c r="A8943" t="s">
        <v>33</v>
      </c>
      <c r="B8943">
        <v>2022</v>
      </c>
      <c r="C8943" t="s">
        <v>37</v>
      </c>
      <c r="D8943" t="s">
        <v>7</v>
      </c>
      <c r="E8943" t="e">
        <f>VLOOKUP(Cpi_[[#This Row],[Attribute]],#REF!,2,FALSE)</f>
        <v>#REF!</v>
      </c>
      <c r="F8943">
        <v>186</v>
      </c>
      <c r="G8943">
        <f>(Cpi_[[#This Row],[Value]]-F8942)/F8942</f>
        <v>0.1327649208282583</v>
      </c>
      <c r="H8943" t="e" cm="1" vm="1">
        <f t="array" aca="1" ref="H8943" ca="1">VLOOKUP(Cpi_[[#This Row],[Year]:[Month]],crudeoil[],3,FALSE)</f>
        <v>#VALUE!</v>
      </c>
    </row>
    <row r="8944" spans="1:8" hidden="1" x14ac:dyDescent="0.3">
      <c r="A8944" t="s">
        <v>33</v>
      </c>
      <c r="B8944">
        <v>2022</v>
      </c>
      <c r="C8944" t="s">
        <v>37</v>
      </c>
      <c r="D8944" t="s">
        <v>8</v>
      </c>
      <c r="E8944" t="e">
        <f>VLOOKUP(Cpi_[[#This Row],[Attribute]],#REF!,2,FALSE)</f>
        <v>#REF!</v>
      </c>
      <c r="F8944">
        <v>175.9</v>
      </c>
      <c r="G8944">
        <f>(Cpi_[[#This Row],[Value]]-F8943)/F8943</f>
        <v>-5.4301075268817174E-2</v>
      </c>
      <c r="H8944" t="e" cm="1" vm="1">
        <f t="array" aca="1" ref="H8944" ca="1">VLOOKUP(Cpi_[[#This Row],[Year]:[Month]],crudeoil[],3,FALSE)</f>
        <v>#VALUE!</v>
      </c>
    </row>
    <row r="8945" spans="1:8" hidden="1" x14ac:dyDescent="0.3">
      <c r="A8945" t="s">
        <v>33</v>
      </c>
      <c r="B8945">
        <v>2022</v>
      </c>
      <c r="C8945" t="s">
        <v>37</v>
      </c>
      <c r="D8945" t="s">
        <v>9</v>
      </c>
      <c r="E8945" t="e">
        <f>VLOOKUP(Cpi_[[#This Row],[Attribute]],#REF!,2,FALSE)</f>
        <v>#REF!</v>
      </c>
      <c r="F8945">
        <v>190.7</v>
      </c>
      <c r="G8945">
        <f>(Cpi_[[#This Row],[Value]]-F8944)/F8944</f>
        <v>8.4138715179078921E-2</v>
      </c>
      <c r="H8945" t="e" cm="1" vm="1">
        <f t="array" aca="1" ref="H8945" ca="1">VLOOKUP(Cpi_[[#This Row],[Year]:[Month]],crudeoil[],3,FALSE)</f>
        <v>#VALUE!</v>
      </c>
    </row>
    <row r="8946" spans="1:8" hidden="1" x14ac:dyDescent="0.3">
      <c r="A8946" t="s">
        <v>33</v>
      </c>
      <c r="B8946">
        <v>2022</v>
      </c>
      <c r="C8946" t="s">
        <v>37</v>
      </c>
      <c r="D8946" t="s">
        <v>10</v>
      </c>
      <c r="E8946" t="e">
        <f>VLOOKUP(Cpi_[[#This Row],[Attribute]],#REF!,2,FALSE)</f>
        <v>#REF!</v>
      </c>
      <c r="F8946">
        <v>164</v>
      </c>
      <c r="G8946">
        <f>(Cpi_[[#This Row],[Value]]-F8945)/F8945</f>
        <v>-0.14001048767697949</v>
      </c>
      <c r="H8946" t="e" cm="1" vm="1">
        <f t="array" aca="1" ref="H8946" ca="1">VLOOKUP(Cpi_[[#This Row],[Year]:[Month]],crudeoil[],3,FALSE)</f>
        <v>#VALUE!</v>
      </c>
    </row>
    <row r="8947" spans="1:8" hidden="1" x14ac:dyDescent="0.3">
      <c r="A8947" t="s">
        <v>33</v>
      </c>
      <c r="B8947">
        <v>2022</v>
      </c>
      <c r="C8947" t="s">
        <v>37</v>
      </c>
      <c r="D8947" t="s">
        <v>11</v>
      </c>
      <c r="E8947" t="e">
        <f>VLOOKUP(Cpi_[[#This Row],[Attribute]],#REF!,2,FALSE)</f>
        <v>#REF!</v>
      </c>
      <c r="F8947">
        <v>120.5</v>
      </c>
      <c r="G8947">
        <f>(Cpi_[[#This Row],[Value]]-F8946)/F8946</f>
        <v>-0.2652439024390244</v>
      </c>
      <c r="H8947" t="e" cm="1" vm="1">
        <f t="array" aca="1" ref="H8947" ca="1">VLOOKUP(Cpi_[[#This Row],[Year]:[Month]],crudeoil[],3,FALSE)</f>
        <v>#VALUE!</v>
      </c>
    </row>
    <row r="8948" spans="1:8" hidden="1" x14ac:dyDescent="0.3">
      <c r="A8948" t="s">
        <v>33</v>
      </c>
      <c r="B8948">
        <v>2022</v>
      </c>
      <c r="C8948" t="s">
        <v>37</v>
      </c>
      <c r="D8948" t="s">
        <v>12</v>
      </c>
      <c r="E8948" t="e">
        <f>VLOOKUP(Cpi_[[#This Row],[Attribute]],#REF!,2,FALSE)</f>
        <v>#REF!</v>
      </c>
      <c r="F8948">
        <v>178</v>
      </c>
      <c r="G8948">
        <f>(Cpi_[[#This Row],[Value]]-F8947)/F8947</f>
        <v>0.47717842323651455</v>
      </c>
      <c r="H8948" t="e" cm="1" vm="1">
        <f t="array" aca="1" ref="H8948" ca="1">VLOOKUP(Cpi_[[#This Row],[Year]:[Month]],crudeoil[],3,FALSE)</f>
        <v>#VALUE!</v>
      </c>
    </row>
    <row r="8949" spans="1:8" hidden="1" x14ac:dyDescent="0.3">
      <c r="A8949" t="s">
        <v>33</v>
      </c>
      <c r="B8949">
        <v>2022</v>
      </c>
      <c r="C8949" t="s">
        <v>37</v>
      </c>
      <c r="D8949" t="s">
        <v>13</v>
      </c>
      <c r="E8949" t="e">
        <f>VLOOKUP(Cpi_[[#This Row],[Attribute]],#REF!,2,FALSE)</f>
        <v>#REF!</v>
      </c>
      <c r="F8949">
        <v>157.5</v>
      </c>
      <c r="G8949">
        <f>(Cpi_[[#This Row],[Value]]-F8948)/F8948</f>
        <v>-0.1151685393258427</v>
      </c>
      <c r="H8949" t="e" cm="1" vm="1">
        <f t="array" aca="1" ref="H8949" ca="1">VLOOKUP(Cpi_[[#This Row],[Year]:[Month]],crudeoil[],3,FALSE)</f>
        <v>#VALUE!</v>
      </c>
    </row>
    <row r="8950" spans="1:8" hidden="1" x14ac:dyDescent="0.3">
      <c r="A8950" t="s">
        <v>33</v>
      </c>
      <c r="B8950">
        <v>2022</v>
      </c>
      <c r="C8950" t="s">
        <v>37</v>
      </c>
      <c r="D8950" t="s">
        <v>14</v>
      </c>
      <c r="E8950" t="e">
        <f>VLOOKUP(Cpi_[[#This Row],[Attribute]],#REF!,2,FALSE)</f>
        <v>#REF!</v>
      </c>
      <c r="F8950">
        <v>183.3</v>
      </c>
      <c r="G8950">
        <f>(Cpi_[[#This Row],[Value]]-F8949)/F8949</f>
        <v>0.16380952380952388</v>
      </c>
      <c r="H8950" t="e" cm="1" vm="1">
        <f t="array" aca="1" ref="H8950" ca="1">VLOOKUP(Cpi_[[#This Row],[Year]:[Month]],crudeoil[],3,FALSE)</f>
        <v>#VALUE!</v>
      </c>
    </row>
    <row r="8951" spans="1:8" hidden="1" x14ac:dyDescent="0.3">
      <c r="A8951" t="s">
        <v>33</v>
      </c>
      <c r="B8951">
        <v>2022</v>
      </c>
      <c r="C8951" t="s">
        <v>37</v>
      </c>
      <c r="D8951" t="s">
        <v>15</v>
      </c>
      <c r="E8951" t="e">
        <f>VLOOKUP(Cpi_[[#This Row],[Attribute]],#REF!,2,FALSE)</f>
        <v>#REF!</v>
      </c>
      <c r="F8951">
        <v>174.5</v>
      </c>
      <c r="G8951">
        <f>(Cpi_[[#This Row],[Value]]-F8950)/F8950</f>
        <v>-4.8008728859792751E-2</v>
      </c>
      <c r="H8951" t="e" cm="1" vm="1">
        <f t="array" aca="1" ref="H8951" ca="1">VLOOKUP(Cpi_[[#This Row],[Year]:[Month]],crudeoil[],3,FALSE)</f>
        <v>#VALUE!</v>
      </c>
    </row>
    <row r="8952" spans="1:8" hidden="1" x14ac:dyDescent="0.3">
      <c r="A8952" t="s">
        <v>33</v>
      </c>
      <c r="B8952">
        <v>2022</v>
      </c>
      <c r="C8952" t="s">
        <v>37</v>
      </c>
      <c r="D8952" t="s">
        <v>16</v>
      </c>
      <c r="E8952" t="e">
        <f>VLOOKUP(Cpi_[[#This Row],[Attribute]],#REF!,2,FALSE)</f>
        <v>#REF!</v>
      </c>
      <c r="F8952">
        <v>197.1</v>
      </c>
      <c r="G8952">
        <f>(Cpi_[[#This Row],[Value]]-F8951)/F8951</f>
        <v>0.12951289398280799</v>
      </c>
      <c r="H8952" t="e" cm="1" vm="1">
        <f t="array" aca="1" ref="H8952" ca="1">VLOOKUP(Cpi_[[#This Row],[Year]:[Month]],crudeoil[],3,FALSE)</f>
        <v>#VALUE!</v>
      </c>
    </row>
    <row r="8953" spans="1:8" hidden="1" x14ac:dyDescent="0.3">
      <c r="A8953" t="s">
        <v>33</v>
      </c>
      <c r="B8953">
        <v>2022</v>
      </c>
      <c r="C8953" t="s">
        <v>37</v>
      </c>
      <c r="D8953" t="s">
        <v>17</v>
      </c>
      <c r="E8953" t="e">
        <f>VLOOKUP(Cpi_[[#This Row],[Attribute]],#REF!,2,FALSE)</f>
        <v>#REF!</v>
      </c>
      <c r="F8953">
        <v>168.4</v>
      </c>
      <c r="G8953">
        <f>(Cpi_[[#This Row],[Value]]-F8952)/F8952</f>
        <v>-0.14561136478944692</v>
      </c>
      <c r="H8953" t="e" cm="1" vm="1">
        <f t="array" aca="1" ref="H8953" ca="1">VLOOKUP(Cpi_[[#This Row],[Year]:[Month]],crudeoil[],3,FALSE)</f>
        <v>#VALUE!</v>
      </c>
    </row>
    <row r="8954" spans="1:8" hidden="1" x14ac:dyDescent="0.3">
      <c r="A8954" t="s">
        <v>33</v>
      </c>
      <c r="B8954">
        <v>2022</v>
      </c>
      <c r="C8954" t="s">
        <v>37</v>
      </c>
      <c r="D8954" t="s">
        <v>18</v>
      </c>
      <c r="E8954" t="e">
        <f>VLOOKUP(Cpi_[[#This Row],[Attribute]],#REF!,2,FALSE)</f>
        <v>#REF!</v>
      </c>
      <c r="F8954">
        <v>154.5</v>
      </c>
      <c r="G8954">
        <f>(Cpi_[[#This Row],[Value]]-F8953)/F8953</f>
        <v>-8.254156769596202E-2</v>
      </c>
      <c r="H8954" t="e" cm="1" vm="1">
        <f t="array" aca="1" ref="H8954" ca="1">VLOOKUP(Cpi_[[#This Row],[Year]:[Month]],crudeoil[],3,FALSE)</f>
        <v>#VALUE!</v>
      </c>
    </row>
    <row r="8955" spans="1:8" hidden="1" x14ac:dyDescent="0.3">
      <c r="A8955" t="s">
        <v>33</v>
      </c>
      <c r="B8955">
        <v>2022</v>
      </c>
      <c r="C8955" t="s">
        <v>37</v>
      </c>
      <c r="D8955" t="s">
        <v>19</v>
      </c>
      <c r="E8955" t="e">
        <f>VLOOKUP(Cpi_[[#This Row],[Attribute]],#REF!,2,FALSE)</f>
        <v>#REF!</v>
      </c>
      <c r="F8955">
        <v>166.3</v>
      </c>
      <c r="G8955">
        <f>(Cpi_[[#This Row],[Value]]-F8954)/F8954</f>
        <v>7.6375404530744415E-2</v>
      </c>
      <c r="H8955" t="e" cm="1" vm="1">
        <f t="array" aca="1" ref="H8955" ca="1">VLOOKUP(Cpi_[[#This Row],[Year]:[Month]],crudeoil[],3,FALSE)</f>
        <v>#VALUE!</v>
      </c>
    </row>
    <row r="8956" spans="1:8" hidden="1" x14ac:dyDescent="0.3">
      <c r="A8956" t="s">
        <v>33</v>
      </c>
      <c r="B8956">
        <v>2022</v>
      </c>
      <c r="C8956" t="s">
        <v>37</v>
      </c>
      <c r="D8956" t="s">
        <v>20</v>
      </c>
      <c r="E8956" t="e">
        <f>VLOOKUP(Cpi_[[#This Row],[Attribute]],#REF!,2,FALSE)</f>
        <v>#REF!</v>
      </c>
      <c r="F8956">
        <v>167</v>
      </c>
      <c r="G8956">
        <f>(Cpi_[[#This Row],[Value]]-F8955)/F8955</f>
        <v>4.2092603728201361E-3</v>
      </c>
      <c r="H8956" t="e" cm="1" vm="1">
        <f t="array" aca="1" ref="H8956" ca="1">VLOOKUP(Cpi_[[#This Row],[Year]:[Month]],crudeoil[],3,FALSE)</f>
        <v>#VALUE!</v>
      </c>
    </row>
    <row r="8957" spans="1:8" hidden="1" x14ac:dyDescent="0.3">
      <c r="A8957" t="s">
        <v>33</v>
      </c>
      <c r="B8957">
        <v>2022</v>
      </c>
      <c r="C8957" t="s">
        <v>37</v>
      </c>
      <c r="D8957" t="s">
        <v>21</v>
      </c>
      <c r="E8957" t="e">
        <f>VLOOKUP(Cpi_[[#This Row],[Attribute]],#REF!,2,FALSE)</f>
        <v>#REF!</v>
      </c>
      <c r="F8957">
        <v>170.5</v>
      </c>
      <c r="G8957">
        <f>(Cpi_[[#This Row],[Value]]-F8956)/F8956</f>
        <v>2.0958083832335328E-2</v>
      </c>
      <c r="H8957" t="e" cm="1" vm="1">
        <f t="array" aca="1" ref="H8957" ca="1">VLOOKUP(Cpi_[[#This Row],[Year]:[Month]],crudeoil[],3,FALSE)</f>
        <v>#VALUE!</v>
      </c>
    </row>
    <row r="8958" spans="1:8" hidden="1" x14ac:dyDescent="0.3">
      <c r="A8958" t="s">
        <v>33</v>
      </c>
      <c r="B8958">
        <v>2022</v>
      </c>
      <c r="C8958" t="s">
        <v>37</v>
      </c>
      <c r="D8958" t="s">
        <v>22</v>
      </c>
      <c r="E8958" t="e">
        <f>VLOOKUP(Cpi_[[#This Row],[Attribute]],#REF!,2,FALSE)</f>
        <v>#REF!</v>
      </c>
      <c r="F8958">
        <v>159.80000000000001</v>
      </c>
      <c r="G8958">
        <f>(Cpi_[[#This Row],[Value]]-F8957)/F8957</f>
        <v>-6.2756598240469141E-2</v>
      </c>
      <c r="H8958" t="e" cm="1" vm="1">
        <f t="array" aca="1" ref="H8958" ca="1">VLOOKUP(Cpi_[[#This Row],[Year]:[Month]],crudeoil[],3,FALSE)</f>
        <v>#VALUE!</v>
      </c>
    </row>
    <row r="8959" spans="1:8" hidden="1" x14ac:dyDescent="0.3">
      <c r="A8959" t="s">
        <v>33</v>
      </c>
      <c r="B8959">
        <v>2022</v>
      </c>
      <c r="C8959" t="s">
        <v>37</v>
      </c>
      <c r="D8959" t="s">
        <v>23</v>
      </c>
      <c r="E8959" t="e">
        <f>VLOOKUP(Cpi_[[#This Row],[Attribute]],#REF!,2,FALSE)</f>
        <v>#REF!</v>
      </c>
      <c r="F8959">
        <v>169</v>
      </c>
      <c r="G8959">
        <f>(Cpi_[[#This Row],[Value]]-F8958)/F8958</f>
        <v>5.7571964956195168E-2</v>
      </c>
      <c r="H8959" t="e" cm="1" vm="1">
        <f t="array" aca="1" ref="H8959" ca="1">VLOOKUP(Cpi_[[#This Row],[Year]:[Month]],crudeoil[],3,FALSE)</f>
        <v>#VALUE!</v>
      </c>
    </row>
    <row r="8960" spans="1:8" hidden="1" x14ac:dyDescent="0.3">
      <c r="A8960" t="s">
        <v>33</v>
      </c>
      <c r="B8960">
        <v>2022</v>
      </c>
      <c r="C8960" t="s">
        <v>37</v>
      </c>
      <c r="D8960" t="s">
        <v>24</v>
      </c>
      <c r="E8960" t="e">
        <f>VLOOKUP(Cpi_[[#This Row],[Attribute]],#REF!,2,FALSE)</f>
        <v>#REF!</v>
      </c>
      <c r="F8960">
        <v>159.30000000000001</v>
      </c>
      <c r="G8960">
        <f>(Cpi_[[#This Row],[Value]]-F8959)/F8959</f>
        <v>-5.7396449704141941E-2</v>
      </c>
      <c r="H8960" t="e" cm="1" vm="1">
        <f t="array" aca="1" ref="H8960" ca="1">VLOOKUP(Cpi_[[#This Row],[Year]:[Month]],crudeoil[],3,FALSE)</f>
        <v>#VALUE!</v>
      </c>
    </row>
    <row r="8961" spans="1:10" hidden="1" x14ac:dyDescent="0.3">
      <c r="A8961" t="s">
        <v>33</v>
      </c>
      <c r="B8961">
        <v>2022</v>
      </c>
      <c r="C8961" t="s">
        <v>37</v>
      </c>
      <c r="D8961" t="s">
        <v>25</v>
      </c>
      <c r="E8961" t="e">
        <f>VLOOKUP(Cpi_[[#This Row],[Attribute]],#REF!,2,FALSE)</f>
        <v>#REF!</v>
      </c>
      <c r="F8961">
        <v>162.19999999999999</v>
      </c>
      <c r="G8961">
        <f>(Cpi_[[#This Row],[Value]]-F8960)/F8960</f>
        <v>1.8204645323289248E-2</v>
      </c>
      <c r="H8961" t="e" cm="1" vm="1">
        <f t="array" aca="1" ref="H8961" ca="1">VLOOKUP(Cpi_[[#This Row],[Year]:[Month]],crudeoil[],3,FALSE)</f>
        <v>#VALUE!</v>
      </c>
    </row>
    <row r="8962" spans="1:10" hidden="1" x14ac:dyDescent="0.3">
      <c r="A8962" t="s">
        <v>33</v>
      </c>
      <c r="B8962">
        <v>2022</v>
      </c>
      <c r="C8962" t="s">
        <v>37</v>
      </c>
      <c r="D8962" t="s">
        <v>26</v>
      </c>
      <c r="E8962" t="e">
        <f>VLOOKUP(Cpi_[[#This Row],[Attribute]],#REF!,2,FALSE)</f>
        <v>#REF!</v>
      </c>
      <c r="F8962">
        <v>164</v>
      </c>
      <c r="G8962">
        <f>(Cpi_[[#This Row],[Value]]-F8961)/F8961</f>
        <v>1.1097410604192426E-2</v>
      </c>
      <c r="H8962" t="e" cm="1" vm="1">
        <f t="array" aca="1" ref="H8962" ca="1">VLOOKUP(Cpi_[[#This Row],[Year]:[Month]],crudeoil[],3,FALSE)</f>
        <v>#VALUE!</v>
      </c>
    </row>
    <row r="8963" spans="1:10" hidden="1" x14ac:dyDescent="0.3">
      <c r="A8963" t="s">
        <v>33</v>
      </c>
      <c r="B8963">
        <v>2022</v>
      </c>
      <c r="C8963" t="s">
        <v>37</v>
      </c>
      <c r="D8963" t="s">
        <v>27</v>
      </c>
      <c r="E8963" t="e">
        <f>VLOOKUP(Cpi_[[#This Row],[Attribute]],#REF!,2,FALSE)</f>
        <v>#REF!</v>
      </c>
      <c r="F8963">
        <v>168.4</v>
      </c>
      <c r="G8963">
        <f>(Cpi_[[#This Row],[Value]]-F8962)/F8962</f>
        <v>2.6829268292682961E-2</v>
      </c>
      <c r="H8963" t="e" cm="1" vm="1">
        <f t="array" aca="1" ref="H8963" ca="1">VLOOKUP(Cpi_[[#This Row],[Year]:[Month]],crudeoil[],3,FALSE)</f>
        <v>#VALUE!</v>
      </c>
    </row>
    <row r="8964" spans="1:10" hidden="1" x14ac:dyDescent="0.3">
      <c r="A8964" t="s">
        <v>33</v>
      </c>
      <c r="B8964">
        <v>2022</v>
      </c>
      <c r="C8964" t="s">
        <v>37</v>
      </c>
      <c r="D8964" t="s">
        <v>28</v>
      </c>
      <c r="E8964" t="e">
        <f>VLOOKUP(Cpi_[[#This Row],[Attribute]],#REF!,2,FALSE)</f>
        <v>#REF!</v>
      </c>
      <c r="F8964">
        <v>163.1</v>
      </c>
      <c r="G8964">
        <f>(Cpi_[[#This Row],[Value]]-F8963)/F8963</f>
        <v>-3.1472684085510752E-2</v>
      </c>
      <c r="H8964" t="e" cm="1" vm="1">
        <f t="array" aca="1" ref="H8964" ca="1">VLOOKUP(Cpi_[[#This Row],[Year]:[Month]],crudeoil[],3,FALSE)</f>
        <v>#VALUE!</v>
      </c>
    </row>
    <row r="8965" spans="1:10" hidden="1" x14ac:dyDescent="0.3">
      <c r="A8965" t="s">
        <v>33</v>
      </c>
      <c r="B8965">
        <v>2022</v>
      </c>
      <c r="C8965" t="s">
        <v>37</v>
      </c>
      <c r="D8965" t="s">
        <v>29</v>
      </c>
      <c r="E8965" t="e" cm="1">
        <f t="array" aca="1" ref="E8965" ca="1">VLGeneral indexGeneral indexKUP(Cpi_[[#This Row],[Attribute]],#REF!,2,FALSE)</f>
        <v>#NAME?</v>
      </c>
      <c r="F8965">
        <v>169.2</v>
      </c>
      <c r="G8965">
        <f>(Cpi_[[#This Row],[Value]]-F8964)/F8964</f>
        <v>3.7400367872470842E-2</v>
      </c>
      <c r="H8965" t="e" cm="1" vm="1">
        <f t="array" aca="1" ref="H8965" ca="1">VLOOKUP(Cpi_[[#This Row],[Year]:[Month]],crudeoil[],3,FALSE)</f>
        <v>#VALUE!</v>
      </c>
    </row>
    <row r="8966" spans="1:10" hidden="1" x14ac:dyDescent="0.3">
      <c r="A8966" t="s">
        <v>34</v>
      </c>
      <c r="B8966">
        <v>2022</v>
      </c>
      <c r="C8966" t="s">
        <v>37</v>
      </c>
      <c r="D8966" t="s">
        <v>3</v>
      </c>
      <c r="E8966" t="e">
        <f>VLOOKUP(Cpi_[[#This Row],[Attribute]],#REF!,2,FALSE)</f>
        <v>#REF!</v>
      </c>
      <c r="F8966">
        <v>152.9</v>
      </c>
      <c r="G8966">
        <f>(Cpi_[[#This Row],[Value]]-F8965)/F8965</f>
        <v>-9.633569739952709E-2</v>
      </c>
      <c r="H8966" t="e" cm="1" vm="1">
        <f t="array" aca="1" ref="H8966" ca="1">VLOOKUP(Cpi_[[#This Row],[Year]:[Month]],crudeoil[],3,FALSE)</f>
        <v>#VALUE!</v>
      </c>
    </row>
    <row r="8967" spans="1:10" x14ac:dyDescent="0.3">
      <c r="A8967" t="s">
        <v>34</v>
      </c>
      <c r="B8967">
        <v>2022</v>
      </c>
      <c r="C8967" t="s">
        <v>37</v>
      </c>
      <c r="D8967" t="s">
        <v>4</v>
      </c>
      <c r="E8967" t="e">
        <f>VLOOKUP(Cpi_[[#This Row],[Attribute]],#REF!,2,FALSE)</f>
        <v>#REF!</v>
      </c>
      <c r="F8967">
        <v>211.8</v>
      </c>
      <c r="G8967" s="42">
        <f>(Cpi_[[#This Row],[Value]]-F8966)/F8966</f>
        <v>0.38521909744931332</v>
      </c>
      <c r="H8967" t="str">
        <f>LEFT(Cpi_[[#This Row],[Month]],3)</f>
        <v>Apr</v>
      </c>
      <c r="I8967" t="str">
        <f>RIGHT(Cpi_[[#This Row],[Year]],2)</f>
        <v>22</v>
      </c>
      <c r="J8967" t="str">
        <f>Cpi_[[#This Row],[Column3]]&amp;"-"&amp;Cpi_[[#This Row],[Column4]]</f>
        <v>Apr-22</v>
      </c>
    </row>
    <row r="8968" spans="1:10" x14ac:dyDescent="0.3">
      <c r="A8968" t="s">
        <v>34</v>
      </c>
      <c r="B8968">
        <v>2022</v>
      </c>
      <c r="C8968" t="s">
        <v>37</v>
      </c>
      <c r="D8968" t="s">
        <v>5</v>
      </c>
      <c r="E8968" t="e">
        <f>VLOOKUP(Cpi_[[#This Row],[Attribute]],#REF!,2,FALSE)</f>
        <v>#REF!</v>
      </c>
      <c r="F8968">
        <v>164.5</v>
      </c>
      <c r="G8968" s="42">
        <f>(Cpi_[[#This Row],[Value]]-F8967)/F8967</f>
        <v>-0.22332389046270071</v>
      </c>
      <c r="H8968" t="str">
        <f>LEFT(Cpi_[[#This Row],[Month]],3)</f>
        <v>Apr</v>
      </c>
      <c r="I8968" t="str">
        <f>RIGHT(Cpi_[[#This Row],[Year]],2)</f>
        <v>22</v>
      </c>
      <c r="J8968" t="str">
        <f>Cpi_[[#This Row],[Column3]]&amp;"-"&amp;Cpi_[[#This Row],[Column4]]</f>
        <v>Apr-22</v>
      </c>
    </row>
    <row r="8969" spans="1:10" x14ac:dyDescent="0.3">
      <c r="A8969" t="s">
        <v>34</v>
      </c>
      <c r="B8969">
        <v>2022</v>
      </c>
      <c r="C8969" t="s">
        <v>37</v>
      </c>
      <c r="D8969" t="s">
        <v>6</v>
      </c>
      <c r="E8969" t="e">
        <f>VLOOKUP(Cpi_[[#This Row],[Attribute]],#REF!,2,FALSE)</f>
        <v>#REF!</v>
      </c>
      <c r="F8969">
        <v>163.9</v>
      </c>
      <c r="G8969" s="42">
        <f>(Cpi_[[#This Row],[Value]]-F8968)/F8968</f>
        <v>-3.6474164133738257E-3</v>
      </c>
      <c r="H8969" t="str">
        <f>LEFT(Cpi_[[#This Row],[Month]],3)</f>
        <v>Apr</v>
      </c>
      <c r="I8969" t="str">
        <f>RIGHT(Cpi_[[#This Row],[Year]],2)</f>
        <v>22</v>
      </c>
      <c r="J8969" t="str">
        <f>Cpi_[[#This Row],[Column3]]&amp;"-"&amp;Cpi_[[#This Row],[Column4]]</f>
        <v>Apr-22</v>
      </c>
    </row>
    <row r="8970" spans="1:10" x14ac:dyDescent="0.3">
      <c r="A8970" t="s">
        <v>34</v>
      </c>
      <c r="B8970">
        <v>2022</v>
      </c>
      <c r="C8970" t="s">
        <v>37</v>
      </c>
      <c r="D8970" t="s">
        <v>7</v>
      </c>
      <c r="E8970" t="e">
        <f>VLOOKUP(Cpi_[[#This Row],[Attribute]],#REF!,2,FALSE)</f>
        <v>#REF!</v>
      </c>
      <c r="F8970">
        <v>199.5</v>
      </c>
      <c r="G8970" s="42">
        <f>(Cpi_[[#This Row],[Value]]-F8969)/F8969</f>
        <v>0.21720561317876749</v>
      </c>
      <c r="H8970" t="str">
        <f>LEFT(Cpi_[[#This Row],[Month]],3)</f>
        <v>Apr</v>
      </c>
      <c r="I8970" t="str">
        <f>RIGHT(Cpi_[[#This Row],[Year]],2)</f>
        <v>22</v>
      </c>
      <c r="J8970" t="str">
        <f>Cpi_[[#This Row],[Column3]]&amp;"-"&amp;Cpi_[[#This Row],[Column4]]</f>
        <v>Apr-22</v>
      </c>
    </row>
    <row r="8971" spans="1:10" x14ac:dyDescent="0.3">
      <c r="A8971" t="s">
        <v>34</v>
      </c>
      <c r="B8971">
        <v>2022</v>
      </c>
      <c r="C8971" t="s">
        <v>37</v>
      </c>
      <c r="D8971" t="s">
        <v>8</v>
      </c>
      <c r="E8971" t="e">
        <f>VLOOKUP(Cpi_[[#This Row],[Attribute]],#REF!,2,FALSE)</f>
        <v>#REF!</v>
      </c>
      <c r="F8971">
        <v>172.6</v>
      </c>
      <c r="G8971" s="42">
        <f>(Cpi_[[#This Row],[Value]]-F8970)/F8970</f>
        <v>-0.13483709273182959</v>
      </c>
      <c r="H8971" t="str">
        <f>LEFT(Cpi_[[#This Row],[Month]],3)</f>
        <v>Apr</v>
      </c>
      <c r="I8971" t="str">
        <f>RIGHT(Cpi_[[#This Row],[Year]],2)</f>
        <v>22</v>
      </c>
      <c r="J8971" t="str">
        <f>Cpi_[[#This Row],[Column3]]&amp;"-"&amp;Cpi_[[#This Row],[Column4]]</f>
        <v>Apr-22</v>
      </c>
    </row>
    <row r="8972" spans="1:10" x14ac:dyDescent="0.3">
      <c r="A8972" t="s">
        <v>34</v>
      </c>
      <c r="B8972">
        <v>2022</v>
      </c>
      <c r="C8972" t="s">
        <v>37</v>
      </c>
      <c r="D8972" t="s">
        <v>9</v>
      </c>
      <c r="E8972" t="e">
        <f>VLOOKUP(Cpi_[[#This Row],[Attribute]],#REF!,2,FALSE)</f>
        <v>#REF!</v>
      </c>
      <c r="F8972">
        <v>166.2</v>
      </c>
      <c r="G8972" s="42">
        <f>(Cpi_[[#This Row],[Value]]-F8971)/F8971</f>
        <v>-3.7079953650057972E-2</v>
      </c>
      <c r="H8972" t="str">
        <f>LEFT(Cpi_[[#This Row],[Month]],3)</f>
        <v>Apr</v>
      </c>
      <c r="I8972" t="str">
        <f>RIGHT(Cpi_[[#This Row],[Year]],2)</f>
        <v>22</v>
      </c>
      <c r="J8972" t="str">
        <f>Cpi_[[#This Row],[Column3]]&amp;"-"&amp;Cpi_[[#This Row],[Column4]]</f>
        <v>Apr-22</v>
      </c>
    </row>
    <row r="8973" spans="1:10" x14ac:dyDescent="0.3">
      <c r="A8973" t="s">
        <v>34</v>
      </c>
      <c r="B8973">
        <v>2022</v>
      </c>
      <c r="C8973" t="s">
        <v>37</v>
      </c>
      <c r="D8973" t="s">
        <v>10</v>
      </c>
      <c r="E8973" t="e">
        <f>VLOOKUP(Cpi_[[#This Row],[Attribute]],#REF!,2,FALSE)</f>
        <v>#REF!</v>
      </c>
      <c r="F8973">
        <v>164.7</v>
      </c>
      <c r="G8973" s="42">
        <f>(Cpi_[[#This Row],[Value]]-F8972)/F8972</f>
        <v>-9.0252707581227436E-3</v>
      </c>
      <c r="H8973" t="str">
        <f>LEFT(Cpi_[[#This Row],[Month]],3)</f>
        <v>Apr</v>
      </c>
      <c r="I8973" t="str">
        <f>RIGHT(Cpi_[[#This Row],[Year]],2)</f>
        <v>22</v>
      </c>
      <c r="J8973" t="str">
        <f>Cpi_[[#This Row],[Column3]]&amp;"-"&amp;Cpi_[[#This Row],[Column4]]</f>
        <v>Apr-22</v>
      </c>
    </row>
    <row r="8974" spans="1:10" x14ac:dyDescent="0.3">
      <c r="A8974" t="s">
        <v>34</v>
      </c>
      <c r="B8974">
        <v>2022</v>
      </c>
      <c r="C8974" t="s">
        <v>37</v>
      </c>
      <c r="D8974" t="s">
        <v>11</v>
      </c>
      <c r="E8974" t="e">
        <f>VLOOKUP(Cpi_[[#This Row],[Attribute]],#REF!,2,FALSE)</f>
        <v>#REF!</v>
      </c>
      <c r="F8974">
        <v>119</v>
      </c>
      <c r="G8974" s="42">
        <f>(Cpi_[[#This Row],[Value]]-F8973)/F8973</f>
        <v>-0.27747419550698232</v>
      </c>
      <c r="H8974" t="str">
        <f>LEFT(Cpi_[[#This Row],[Month]],3)</f>
        <v>Apr</v>
      </c>
      <c r="I8974" t="str">
        <f>RIGHT(Cpi_[[#This Row],[Year]],2)</f>
        <v>22</v>
      </c>
      <c r="J8974" t="str">
        <f>Cpi_[[#This Row],[Column3]]&amp;"-"&amp;Cpi_[[#This Row],[Column4]]</f>
        <v>Apr-22</v>
      </c>
    </row>
    <row r="8975" spans="1:10" x14ac:dyDescent="0.3">
      <c r="A8975" t="s">
        <v>34</v>
      </c>
      <c r="B8975">
        <v>2022</v>
      </c>
      <c r="C8975" t="s">
        <v>37</v>
      </c>
      <c r="D8975" t="s">
        <v>12</v>
      </c>
      <c r="E8975" t="e">
        <f>VLOOKUP(Cpi_[[#This Row],[Attribute]],#REF!,2,FALSE)</f>
        <v>#REF!</v>
      </c>
      <c r="F8975">
        <v>181.3</v>
      </c>
      <c r="G8975" s="42">
        <f>(Cpi_[[#This Row],[Value]]-F8974)/F8974</f>
        <v>0.52352941176470602</v>
      </c>
      <c r="H8975" t="str">
        <f>LEFT(Cpi_[[#This Row],[Month]],3)</f>
        <v>Apr</v>
      </c>
      <c r="I8975" t="str">
        <f>RIGHT(Cpi_[[#This Row],[Year]],2)</f>
        <v>22</v>
      </c>
      <c r="J8975" t="str">
        <f>Cpi_[[#This Row],[Column3]]&amp;"-"&amp;Cpi_[[#This Row],[Column4]]</f>
        <v>Apr-22</v>
      </c>
    </row>
    <row r="8976" spans="1:10" x14ac:dyDescent="0.3">
      <c r="A8976" t="s">
        <v>34</v>
      </c>
      <c r="B8976">
        <v>2022</v>
      </c>
      <c r="C8976" t="s">
        <v>37</v>
      </c>
      <c r="D8976" t="s">
        <v>13</v>
      </c>
      <c r="E8976" t="e">
        <f>VLOOKUP(Cpi_[[#This Row],[Attribute]],#REF!,2,FALSE)</f>
        <v>#REF!</v>
      </c>
      <c r="F8976">
        <v>166.2</v>
      </c>
      <c r="G8976" s="42">
        <f>(Cpi_[[#This Row],[Value]]-F8975)/F8975</f>
        <v>-8.3287369001654843E-2</v>
      </c>
      <c r="H8976" t="str">
        <f>LEFT(Cpi_[[#This Row],[Month]],3)</f>
        <v>Apr</v>
      </c>
      <c r="I8976" t="str">
        <f>RIGHT(Cpi_[[#This Row],[Year]],2)</f>
        <v>22</v>
      </c>
      <c r="J8976" t="str">
        <f>Cpi_[[#This Row],[Column3]]&amp;"-"&amp;Cpi_[[#This Row],[Column4]]</f>
        <v>Apr-22</v>
      </c>
    </row>
    <row r="8977" spans="1:10" x14ac:dyDescent="0.3">
      <c r="A8977" t="s">
        <v>34</v>
      </c>
      <c r="B8977">
        <v>2022</v>
      </c>
      <c r="C8977" t="s">
        <v>37</v>
      </c>
      <c r="D8977" t="s">
        <v>14</v>
      </c>
      <c r="E8977" t="e">
        <f>VLOOKUP(Cpi_[[#This Row],[Attribute]],#REF!,2,FALSE)</f>
        <v>#REF!</v>
      </c>
      <c r="F8977">
        <v>180.9</v>
      </c>
      <c r="G8977" s="42">
        <f>(Cpi_[[#This Row],[Value]]-F8976)/F8976</f>
        <v>8.8447653429602993E-2</v>
      </c>
      <c r="H8977" t="str">
        <f>LEFT(Cpi_[[#This Row],[Month]],3)</f>
        <v>Apr</v>
      </c>
      <c r="I8977" t="str">
        <f>RIGHT(Cpi_[[#This Row],[Year]],2)</f>
        <v>22</v>
      </c>
      <c r="J8977" t="str">
        <f>Cpi_[[#This Row],[Column3]]&amp;"-"&amp;Cpi_[[#This Row],[Column4]]</f>
        <v>Apr-22</v>
      </c>
    </row>
    <row r="8978" spans="1:10" x14ac:dyDescent="0.3">
      <c r="A8978" t="s">
        <v>34</v>
      </c>
      <c r="B8978">
        <v>2022</v>
      </c>
      <c r="C8978" t="s">
        <v>37</v>
      </c>
      <c r="D8978" t="s">
        <v>15</v>
      </c>
      <c r="E8978" t="e">
        <f>VLOOKUP(Cpi_[[#This Row],[Attribute]],#REF!,2,FALSE)</f>
        <v>#REF!</v>
      </c>
      <c r="F8978">
        <v>170.8</v>
      </c>
      <c r="G8978" s="42">
        <f>(Cpi_[[#This Row],[Value]]-F8977)/F8977</f>
        <v>-5.5831951354339382E-2</v>
      </c>
      <c r="H8978" t="str">
        <f>LEFT(Cpi_[[#This Row],[Month]],3)</f>
        <v>Apr</v>
      </c>
      <c r="I8978" t="str">
        <f>RIGHT(Cpi_[[#This Row],[Year]],2)</f>
        <v>22</v>
      </c>
      <c r="J8978" t="str">
        <f>Cpi_[[#This Row],[Column3]]&amp;"-"&amp;Cpi_[[#This Row],[Column4]]</f>
        <v>Apr-22</v>
      </c>
    </row>
    <row r="8979" spans="1:10" hidden="1" x14ac:dyDescent="0.3">
      <c r="A8979" t="s">
        <v>34</v>
      </c>
      <c r="B8979">
        <v>2022</v>
      </c>
      <c r="C8979" t="s">
        <v>37</v>
      </c>
      <c r="D8979" t="s">
        <v>16</v>
      </c>
      <c r="E8979" t="e">
        <f>VLOOKUP(Cpi_[[#This Row],[Attribute]],#REF!,2,FALSE)</f>
        <v>#REF!</v>
      </c>
      <c r="F8979">
        <v>193.9</v>
      </c>
      <c r="G8979">
        <f>(Cpi_[[#This Row],[Value]]-F8978)/F8978</f>
        <v>0.13524590163934422</v>
      </c>
      <c r="H8979" t="e" cm="1" vm="1">
        <f t="array" aca="1" ref="H8979" ca="1">VLOOKUP(Cpi_[[#This Row],[Year]:[Month]],crudeoil[],3,FALSE)</f>
        <v>#VALUE!</v>
      </c>
    </row>
    <row r="8980" spans="1:10" hidden="1" x14ac:dyDescent="0.3">
      <c r="A8980" t="s">
        <v>34</v>
      </c>
      <c r="B8980">
        <v>2022</v>
      </c>
      <c r="C8980" t="s">
        <v>37</v>
      </c>
      <c r="D8980" t="s">
        <v>17</v>
      </c>
      <c r="E8980" t="e">
        <f>VLOOKUP(Cpi_[[#This Row],[Attribute]],#REF!,2,FALSE)</f>
        <v>#REF!</v>
      </c>
      <c r="F8980">
        <v>173.9</v>
      </c>
      <c r="G8980">
        <f>(Cpi_[[#This Row],[Value]]-F8979)/F8979</f>
        <v>-0.10314595152140278</v>
      </c>
      <c r="H8980" t="e" cm="1" vm="1">
        <f t="array" aca="1" ref="H8980" ca="1">VLOOKUP(Cpi_[[#This Row],[Year]:[Month]],crudeoil[],3,FALSE)</f>
        <v>#VALUE!</v>
      </c>
    </row>
    <row r="8981" spans="1:10" hidden="1" x14ac:dyDescent="0.3">
      <c r="A8981" t="s">
        <v>34</v>
      </c>
      <c r="B8981">
        <v>2022</v>
      </c>
      <c r="C8981" t="s">
        <v>37</v>
      </c>
      <c r="D8981" t="s">
        <v>18</v>
      </c>
      <c r="E8981" t="e">
        <f>VLOOKUP(Cpi_[[#This Row],[Attribute]],#REF!,2,FALSE)</f>
        <v>#REF!</v>
      </c>
      <c r="F8981">
        <v>166.5</v>
      </c>
      <c r="G8981">
        <f>(Cpi_[[#This Row],[Value]]-F8980)/F8980</f>
        <v>-4.2553191489361736E-2</v>
      </c>
      <c r="H8981" t="e" cm="1" vm="1">
        <f t="array" aca="1" ref="H8981" ca="1">VLOOKUP(Cpi_[[#This Row],[Year]:[Month]],crudeoil[],3,FALSE)</f>
        <v>#VALUE!</v>
      </c>
    </row>
    <row r="8982" spans="1:10" hidden="1" x14ac:dyDescent="0.3">
      <c r="A8982" t="s">
        <v>34</v>
      </c>
      <c r="B8982">
        <v>2022</v>
      </c>
      <c r="C8982" t="s">
        <v>37</v>
      </c>
      <c r="D8982" t="s">
        <v>19</v>
      </c>
      <c r="E8982" t="e">
        <f>VLOOKUP(Cpi_[[#This Row],[Attribute]],#REF!,2,FALSE)</f>
        <v>#REF!</v>
      </c>
      <c r="F8982">
        <v>172.8</v>
      </c>
      <c r="G8982">
        <f>(Cpi_[[#This Row],[Value]]-F8981)/F8981</f>
        <v>3.7837837837837909E-2</v>
      </c>
      <c r="H8982" t="e" cm="1" vm="1">
        <f t="array" aca="1" ref="H8982" ca="1">VLOOKUP(Cpi_[[#This Row],[Year]:[Month]],crudeoil[],3,FALSE)</f>
        <v>#VALUE!</v>
      </c>
    </row>
    <row r="8983" spans="1:10" hidden="1" x14ac:dyDescent="0.3">
      <c r="A8983" t="s">
        <v>34</v>
      </c>
      <c r="B8983">
        <v>2022</v>
      </c>
      <c r="C8983" t="s">
        <v>37</v>
      </c>
      <c r="D8983" t="s">
        <v>20</v>
      </c>
      <c r="E8983" t="e">
        <f>VLOOKUP(Cpi_[[#This Row],[Attribute]],#REF!,2,FALSE)</f>
        <v>#REF!</v>
      </c>
      <c r="F8983">
        <v>167</v>
      </c>
      <c r="G8983">
        <f>(Cpi_[[#This Row],[Value]]-F8982)/F8982</f>
        <v>-3.3564814814814881E-2</v>
      </c>
      <c r="H8983" t="e" cm="1" vm="1">
        <f t="array" aca="1" ref="H8983" ca="1">VLOOKUP(Cpi_[[#This Row],[Year]:[Month]],crudeoil[],3,FALSE)</f>
        <v>#VALUE!</v>
      </c>
    </row>
    <row r="8984" spans="1:10" hidden="1" x14ac:dyDescent="0.3">
      <c r="A8984" t="s">
        <v>34</v>
      </c>
      <c r="B8984">
        <v>2022</v>
      </c>
      <c r="C8984" t="s">
        <v>37</v>
      </c>
      <c r="D8984" t="s">
        <v>21</v>
      </c>
      <c r="E8984" t="e">
        <f>VLOOKUP(Cpi_[[#This Row],[Attribute]],#REF!,2,FALSE)</f>
        <v>#REF!</v>
      </c>
      <c r="F8984">
        <v>172.2</v>
      </c>
      <c r="G8984">
        <f>(Cpi_[[#This Row],[Value]]-F8983)/F8983</f>
        <v>3.1137724550898135E-2</v>
      </c>
      <c r="H8984" t="e" cm="1" vm="1">
        <f t="array" aca="1" ref="H8984" ca="1">VLOOKUP(Cpi_[[#This Row],[Year]:[Month]],crudeoil[],3,FALSE)</f>
        <v>#VALUE!</v>
      </c>
    </row>
    <row r="8985" spans="1:10" hidden="1" x14ac:dyDescent="0.3">
      <c r="A8985" t="s">
        <v>34</v>
      </c>
      <c r="B8985">
        <v>2022</v>
      </c>
      <c r="C8985" t="s">
        <v>37</v>
      </c>
      <c r="D8985" t="s">
        <v>22</v>
      </c>
      <c r="E8985" t="e">
        <f>VLOOKUP(Cpi_[[#This Row],[Attribute]],#REF!,2,FALSE)</f>
        <v>#REF!</v>
      </c>
      <c r="F8985">
        <v>164</v>
      </c>
      <c r="G8985">
        <f>(Cpi_[[#This Row],[Value]]-F8984)/F8984</f>
        <v>-4.7619047619047554E-2</v>
      </c>
      <c r="H8985" t="e" cm="1" vm="1">
        <f t="array" aca="1" ref="H8985" ca="1">VLOOKUP(Cpi_[[#This Row],[Year]:[Month]],crudeoil[],3,FALSE)</f>
        <v>#VALUE!</v>
      </c>
    </row>
    <row r="8986" spans="1:10" hidden="1" x14ac:dyDescent="0.3">
      <c r="A8986" t="s">
        <v>34</v>
      </c>
      <c r="B8986">
        <v>2022</v>
      </c>
      <c r="C8986" t="s">
        <v>37</v>
      </c>
      <c r="D8986" t="s">
        <v>23</v>
      </c>
      <c r="E8986" t="e">
        <f>VLOOKUP(Cpi_[[#This Row],[Attribute]],#REF!,2,FALSE)</f>
        <v>#REF!</v>
      </c>
      <c r="F8986">
        <v>174</v>
      </c>
      <c r="G8986">
        <f>(Cpi_[[#This Row],[Value]]-F8985)/F8985</f>
        <v>6.097560975609756E-2</v>
      </c>
      <c r="H8986" t="e" cm="1" vm="1">
        <f t="array" aca="1" ref="H8986" ca="1">VLOOKUP(Cpi_[[#This Row],[Year]:[Month]],crudeoil[],3,FALSE)</f>
        <v>#VALUE!</v>
      </c>
    </row>
    <row r="8987" spans="1:10" hidden="1" x14ac:dyDescent="0.3">
      <c r="A8987" t="s">
        <v>34</v>
      </c>
      <c r="B8987">
        <v>2022</v>
      </c>
      <c r="C8987" t="s">
        <v>37</v>
      </c>
      <c r="D8987" t="s">
        <v>24</v>
      </c>
      <c r="E8987" t="e">
        <f>VLOOKUP(Cpi_[[#This Row],[Attribute]],#REF!,2,FALSE)</f>
        <v>#REF!</v>
      </c>
      <c r="F8987">
        <v>162.6</v>
      </c>
      <c r="G8987">
        <f>(Cpi_[[#This Row],[Value]]-F8986)/F8986</f>
        <v>-6.5517241379310379E-2</v>
      </c>
      <c r="H8987" t="e" cm="1" vm="1">
        <f t="array" aca="1" ref="H8987" ca="1">VLOOKUP(Cpi_[[#This Row],[Year]:[Month]],crudeoil[],3,FALSE)</f>
        <v>#VALUE!</v>
      </c>
    </row>
    <row r="8988" spans="1:10" hidden="1" x14ac:dyDescent="0.3">
      <c r="A8988" t="s">
        <v>34</v>
      </c>
      <c r="B8988">
        <v>2022</v>
      </c>
      <c r="C8988" t="s">
        <v>37</v>
      </c>
      <c r="D8988" t="s">
        <v>25</v>
      </c>
      <c r="E8988" t="e">
        <f>VLOOKUP(Cpi_[[#This Row],[Attribute]],#REF!,2,FALSE)</f>
        <v>#REF!</v>
      </c>
      <c r="F8988">
        <v>164.4</v>
      </c>
      <c r="G8988">
        <f>(Cpi_[[#This Row],[Value]]-F8987)/F8987</f>
        <v>1.1070110701107081E-2</v>
      </c>
      <c r="H8988" t="e" cm="1" vm="1">
        <f t="array" aca="1" ref="H8988" ca="1">VLOOKUP(Cpi_[[#This Row],[Year]:[Month]],crudeoil[],3,FALSE)</f>
        <v>#VALUE!</v>
      </c>
    </row>
    <row r="8989" spans="1:10" hidden="1" x14ac:dyDescent="0.3">
      <c r="A8989" t="s">
        <v>34</v>
      </c>
      <c r="B8989">
        <v>2022</v>
      </c>
      <c r="C8989" t="s">
        <v>37</v>
      </c>
      <c r="D8989" t="s">
        <v>26</v>
      </c>
      <c r="E8989" t="e">
        <f>VLOOKUP(Cpi_[[#This Row],[Attribute]],#REF!,2,FALSE)</f>
        <v>#REF!</v>
      </c>
      <c r="F8989">
        <v>166.9</v>
      </c>
      <c r="G8989">
        <f>(Cpi_[[#This Row],[Value]]-F8988)/F8988</f>
        <v>1.5206812652068125E-2</v>
      </c>
      <c r="H8989" t="e" cm="1" vm="1">
        <f t="array" aca="1" ref="H8989" ca="1">VLOOKUP(Cpi_[[#This Row],[Year]:[Month]],crudeoil[],3,FALSE)</f>
        <v>#VALUE!</v>
      </c>
    </row>
    <row r="8990" spans="1:10" hidden="1" x14ac:dyDescent="0.3">
      <c r="A8990" t="s">
        <v>34</v>
      </c>
      <c r="B8990">
        <v>2022</v>
      </c>
      <c r="C8990" t="s">
        <v>37</v>
      </c>
      <c r="D8990" t="s">
        <v>27</v>
      </c>
      <c r="E8990" t="e">
        <f>VLOOKUP(Cpi_[[#This Row],[Attribute]],#REF!,2,FALSE)</f>
        <v>#REF!</v>
      </c>
      <c r="F8990">
        <v>168.8</v>
      </c>
      <c r="G8990">
        <f>(Cpi_[[#This Row],[Value]]-F8989)/F8989</f>
        <v>1.1384062312762167E-2</v>
      </c>
      <c r="H8990" t="e" cm="1" vm="1">
        <f t="array" aca="1" ref="H8990" ca="1">VLOOKUP(Cpi_[[#This Row],[Year]:[Month]],crudeoil[],3,FALSE)</f>
        <v>#VALUE!</v>
      </c>
    </row>
    <row r="8991" spans="1:10" hidden="1" x14ac:dyDescent="0.3">
      <c r="A8991" t="s">
        <v>34</v>
      </c>
      <c r="B8991">
        <v>2022</v>
      </c>
      <c r="C8991" t="s">
        <v>37</v>
      </c>
      <c r="D8991" t="s">
        <v>28</v>
      </c>
      <c r="E8991" t="e">
        <f>VLOOKUP(Cpi_[[#This Row],[Attribute]],#REF!,2,FALSE)</f>
        <v>#REF!</v>
      </c>
      <c r="F8991">
        <v>166.8</v>
      </c>
      <c r="G8991">
        <f>(Cpi_[[#This Row],[Value]]-F8990)/F8990</f>
        <v>-1.1848341232227487E-2</v>
      </c>
      <c r="H8991" t="e" cm="1" vm="1">
        <f t="array" aca="1" ref="H8991" ca="1">VLOOKUP(Cpi_[[#This Row],[Year]:[Month]],crudeoil[],3,FALSE)</f>
        <v>#VALUE!</v>
      </c>
    </row>
    <row r="8992" spans="1:10" hidden="1" x14ac:dyDescent="0.3">
      <c r="A8992" t="s">
        <v>34</v>
      </c>
      <c r="B8992">
        <v>2022</v>
      </c>
      <c r="C8992" t="s">
        <v>37</v>
      </c>
      <c r="D8992" t="s">
        <v>29</v>
      </c>
      <c r="E8992" t="e" cm="1">
        <f t="array" aca="1" ref="E8992" ca="1">VLGeneral indexGeneral indexKUP(Cpi_[[#This Row],[Attribute]],#REF!,2,FALSE)</f>
        <v>#NAME?</v>
      </c>
      <c r="F8992">
        <v>170.1</v>
      </c>
      <c r="G8992">
        <f>(Cpi_[[#This Row],[Value]]-F8991)/F8991</f>
        <v>1.9784172661870401E-2</v>
      </c>
      <c r="H8992" t="e" cm="1" vm="1">
        <f t="array" aca="1" ref="H8992" ca="1">VLOOKUP(Cpi_[[#This Row],[Year]:[Month]],crudeoil[],3,FALSE)</f>
        <v>#VALUE!</v>
      </c>
    </row>
    <row r="8993" spans="1:8" hidden="1" x14ac:dyDescent="0.3">
      <c r="A8993" t="s">
        <v>30</v>
      </c>
      <c r="B8993">
        <v>2022</v>
      </c>
      <c r="C8993" t="s">
        <v>38</v>
      </c>
      <c r="D8993" t="s">
        <v>3</v>
      </c>
      <c r="E8993" t="e">
        <f>VLOOKUP(Cpi_[[#This Row],[Attribute]],#REF!,2,FALSE)</f>
        <v>#REF!</v>
      </c>
      <c r="F8993">
        <v>152.9</v>
      </c>
      <c r="G8993">
        <f>(Cpi_[[#This Row],[Value]]-F8992)/F8992</f>
        <v>-0.10111699000587883</v>
      </c>
      <c r="H8993" t="e" cm="1" vm="1">
        <f t="array" aca="1" ref="H8993" ca="1">VLOOKUP(Cpi_[[#This Row],[Year]:[Month]],crudeoil[],3,FALSE)</f>
        <v>#VALUE!</v>
      </c>
    </row>
    <row r="8994" spans="1:8" hidden="1" x14ac:dyDescent="0.3">
      <c r="A8994" t="s">
        <v>30</v>
      </c>
      <c r="B8994">
        <v>2022</v>
      </c>
      <c r="C8994" t="s">
        <v>38</v>
      </c>
      <c r="D8994" t="s">
        <v>4</v>
      </c>
      <c r="E8994" t="e">
        <f>VLOOKUP(Cpi_[[#This Row],[Attribute]],#REF!,2,FALSE)</f>
        <v>#REF!</v>
      </c>
      <c r="F8994">
        <v>214.7</v>
      </c>
      <c r="G8994">
        <f>(Cpi_[[#This Row],[Value]]-F8993)/F8993</f>
        <v>0.40418574231523857</v>
      </c>
      <c r="H8994" t="e" cm="1" vm="1">
        <f t="array" aca="1" ref="H8994" ca="1">VLOOKUP(Cpi_[[#This Row],[Year]:[Month]],crudeoil[],3,FALSE)</f>
        <v>#VALUE!</v>
      </c>
    </row>
    <row r="8995" spans="1:8" hidden="1" x14ac:dyDescent="0.3">
      <c r="A8995" t="s">
        <v>30</v>
      </c>
      <c r="B8995">
        <v>2022</v>
      </c>
      <c r="C8995" t="s">
        <v>38</v>
      </c>
      <c r="D8995" t="s">
        <v>5</v>
      </c>
      <c r="E8995" t="e">
        <f>VLOOKUP(Cpi_[[#This Row],[Attribute]],#REF!,2,FALSE)</f>
        <v>#REF!</v>
      </c>
      <c r="F8995">
        <v>161.4</v>
      </c>
      <c r="G8995">
        <f>(Cpi_[[#This Row],[Value]]-F8994)/F8994</f>
        <v>-0.24825337680484391</v>
      </c>
      <c r="H8995" t="e" cm="1" vm="1">
        <f t="array" aca="1" ref="H8995" ca="1">VLOOKUP(Cpi_[[#This Row],[Year]:[Month]],crudeoil[],3,FALSE)</f>
        <v>#VALUE!</v>
      </c>
    </row>
    <row r="8996" spans="1:8" hidden="1" x14ac:dyDescent="0.3">
      <c r="A8996" t="s">
        <v>30</v>
      </c>
      <c r="B8996">
        <v>2022</v>
      </c>
      <c r="C8996" t="s">
        <v>38</v>
      </c>
      <c r="D8996" t="s">
        <v>6</v>
      </c>
      <c r="E8996" t="e">
        <f>VLOOKUP(Cpi_[[#This Row],[Attribute]],#REF!,2,FALSE)</f>
        <v>#REF!</v>
      </c>
      <c r="F8996">
        <v>164.6</v>
      </c>
      <c r="G8996">
        <f>(Cpi_[[#This Row],[Value]]-F8995)/F8995</f>
        <v>1.9826517967781836E-2</v>
      </c>
      <c r="H8996" t="e" cm="1" vm="1">
        <f t="array" aca="1" ref="H8996" ca="1">VLOOKUP(Cpi_[[#This Row],[Year]:[Month]],crudeoil[],3,FALSE)</f>
        <v>#VALUE!</v>
      </c>
    </row>
    <row r="8997" spans="1:8" hidden="1" x14ac:dyDescent="0.3">
      <c r="A8997" t="s">
        <v>30</v>
      </c>
      <c r="B8997">
        <v>2022</v>
      </c>
      <c r="C8997" t="s">
        <v>38</v>
      </c>
      <c r="D8997" t="s">
        <v>7</v>
      </c>
      <c r="E8997" t="e">
        <f>VLOOKUP(Cpi_[[#This Row],[Attribute]],#REF!,2,FALSE)</f>
        <v>#REF!</v>
      </c>
      <c r="F8997">
        <v>209.9</v>
      </c>
      <c r="G8997">
        <f>(Cpi_[[#This Row],[Value]]-F8996)/F8996</f>
        <v>0.27521263669501833</v>
      </c>
      <c r="H8997" t="e" cm="1" vm="1">
        <f t="array" aca="1" ref="H8997" ca="1">VLOOKUP(Cpi_[[#This Row],[Year]:[Month]],crudeoil[],3,FALSE)</f>
        <v>#VALUE!</v>
      </c>
    </row>
    <row r="8998" spans="1:8" hidden="1" x14ac:dyDescent="0.3">
      <c r="A8998" t="s">
        <v>30</v>
      </c>
      <c r="B8998">
        <v>2022</v>
      </c>
      <c r="C8998" t="s">
        <v>38</v>
      </c>
      <c r="D8998" t="s">
        <v>8</v>
      </c>
      <c r="E8998" t="e">
        <f>VLOOKUP(Cpi_[[#This Row],[Attribute]],#REF!,2,FALSE)</f>
        <v>#REF!</v>
      </c>
      <c r="F8998">
        <v>168</v>
      </c>
      <c r="G8998">
        <f>(Cpi_[[#This Row],[Value]]-F8997)/F8997</f>
        <v>-0.19961886612672702</v>
      </c>
      <c r="H8998" t="e" cm="1" vm="1">
        <f t="array" aca="1" ref="H8998" ca="1">VLOOKUP(Cpi_[[#This Row],[Year]:[Month]],crudeoil[],3,FALSE)</f>
        <v>#VALUE!</v>
      </c>
    </row>
    <row r="8999" spans="1:8" hidden="1" x14ac:dyDescent="0.3">
      <c r="A8999" t="s">
        <v>30</v>
      </c>
      <c r="B8999">
        <v>2022</v>
      </c>
      <c r="C8999" t="s">
        <v>38</v>
      </c>
      <c r="D8999" t="s">
        <v>9</v>
      </c>
      <c r="E8999" t="e">
        <f>VLOOKUP(Cpi_[[#This Row],[Attribute]],#REF!,2,FALSE)</f>
        <v>#REF!</v>
      </c>
      <c r="F8999">
        <v>160.4</v>
      </c>
      <c r="G8999">
        <f>(Cpi_[[#This Row],[Value]]-F8998)/F8998</f>
        <v>-4.5238095238095202E-2</v>
      </c>
      <c r="H8999" t="e" cm="1" vm="1">
        <f t="array" aca="1" ref="H8999" ca="1">VLOOKUP(Cpi_[[#This Row],[Year]:[Month]],crudeoil[],3,FALSE)</f>
        <v>#VALUE!</v>
      </c>
    </row>
    <row r="9000" spans="1:8" hidden="1" x14ac:dyDescent="0.3">
      <c r="A9000" t="s">
        <v>30</v>
      </c>
      <c r="B9000">
        <v>2022</v>
      </c>
      <c r="C9000" t="s">
        <v>38</v>
      </c>
      <c r="D9000" t="s">
        <v>10</v>
      </c>
      <c r="E9000" t="e">
        <f>VLOOKUP(Cpi_[[#This Row],[Attribute]],#REF!,2,FALSE)</f>
        <v>#REF!</v>
      </c>
      <c r="F9000">
        <v>165</v>
      </c>
      <c r="G9000">
        <f>(Cpi_[[#This Row],[Value]]-F8999)/F8999</f>
        <v>2.8678304239401459E-2</v>
      </c>
      <c r="H9000" t="e" cm="1" vm="1">
        <f t="array" aca="1" ref="H9000" ca="1">VLOOKUP(Cpi_[[#This Row],[Year]:[Month]],crudeoil[],3,FALSE)</f>
        <v>#VALUE!</v>
      </c>
    </row>
    <row r="9001" spans="1:8" hidden="1" x14ac:dyDescent="0.3">
      <c r="A9001" t="s">
        <v>30</v>
      </c>
      <c r="B9001">
        <v>2022</v>
      </c>
      <c r="C9001" t="s">
        <v>38</v>
      </c>
      <c r="D9001" t="s">
        <v>11</v>
      </c>
      <c r="E9001" t="e">
        <f>VLOOKUP(Cpi_[[#This Row],[Attribute]],#REF!,2,FALSE)</f>
        <v>#REF!</v>
      </c>
      <c r="F9001">
        <v>118.9</v>
      </c>
      <c r="G9001">
        <f>(Cpi_[[#This Row],[Value]]-F9000)/F9000</f>
        <v>-0.27939393939393936</v>
      </c>
      <c r="H9001" t="e" cm="1" vm="1">
        <f t="array" aca="1" ref="H9001" ca="1">VLOOKUP(Cpi_[[#This Row],[Year]:[Month]],crudeoil[],3,FALSE)</f>
        <v>#VALUE!</v>
      </c>
    </row>
    <row r="9002" spans="1:8" hidden="1" x14ac:dyDescent="0.3">
      <c r="A9002" t="s">
        <v>30</v>
      </c>
      <c r="B9002">
        <v>2022</v>
      </c>
      <c r="C9002" t="s">
        <v>38</v>
      </c>
      <c r="D9002" t="s">
        <v>12</v>
      </c>
      <c r="E9002" t="e">
        <f>VLOOKUP(Cpi_[[#This Row],[Attribute]],#REF!,2,FALSE)</f>
        <v>#REF!</v>
      </c>
      <c r="F9002">
        <v>186.6</v>
      </c>
      <c r="G9002">
        <f>(Cpi_[[#This Row],[Value]]-F9001)/F9001</f>
        <v>0.569386038687973</v>
      </c>
      <c r="H9002" t="e" cm="1" vm="1">
        <f t="array" aca="1" ref="H9002" ca="1">VLOOKUP(Cpi_[[#This Row],[Year]:[Month]],crudeoil[],3,FALSE)</f>
        <v>#VALUE!</v>
      </c>
    </row>
    <row r="9003" spans="1:8" hidden="1" x14ac:dyDescent="0.3">
      <c r="A9003" t="s">
        <v>30</v>
      </c>
      <c r="B9003">
        <v>2022</v>
      </c>
      <c r="C9003" t="s">
        <v>38</v>
      </c>
      <c r="D9003" t="s">
        <v>13</v>
      </c>
      <c r="E9003" t="e">
        <f>VLOOKUP(Cpi_[[#This Row],[Attribute]],#REF!,2,FALSE)</f>
        <v>#REF!</v>
      </c>
      <c r="F9003">
        <v>173.2</v>
      </c>
      <c r="G9003">
        <f>(Cpi_[[#This Row],[Value]]-F9002)/F9002</f>
        <v>-7.1811361200428761E-2</v>
      </c>
      <c r="H9003" t="e" cm="1" vm="1">
        <f t="array" aca="1" ref="H9003" ca="1">VLOOKUP(Cpi_[[#This Row],[Year]:[Month]],crudeoil[],3,FALSE)</f>
        <v>#VALUE!</v>
      </c>
    </row>
    <row r="9004" spans="1:8" hidden="1" x14ac:dyDescent="0.3">
      <c r="A9004" t="s">
        <v>30</v>
      </c>
      <c r="B9004">
        <v>2022</v>
      </c>
      <c r="C9004" t="s">
        <v>38</v>
      </c>
      <c r="D9004" t="s">
        <v>14</v>
      </c>
      <c r="E9004" t="e">
        <f>VLOOKUP(Cpi_[[#This Row],[Attribute]],#REF!,2,FALSE)</f>
        <v>#REF!</v>
      </c>
      <c r="F9004">
        <v>180.4</v>
      </c>
      <c r="G9004">
        <f>(Cpi_[[#This Row],[Value]]-F9003)/F9003</f>
        <v>4.1570438799076313E-2</v>
      </c>
      <c r="H9004" t="e" cm="1" vm="1">
        <f t="array" aca="1" ref="H9004" ca="1">VLOOKUP(Cpi_[[#This Row],[Year]:[Month]],crudeoil[],3,FALSE)</f>
        <v>#VALUE!</v>
      </c>
    </row>
    <row r="9005" spans="1:8" hidden="1" x14ac:dyDescent="0.3">
      <c r="A9005" t="s">
        <v>30</v>
      </c>
      <c r="B9005">
        <v>2022</v>
      </c>
      <c r="C9005" t="s">
        <v>38</v>
      </c>
      <c r="D9005" t="s">
        <v>15</v>
      </c>
      <c r="E9005" t="e">
        <f>VLOOKUP(Cpi_[[#This Row],[Attribute]],#REF!,2,FALSE)</f>
        <v>#REF!</v>
      </c>
      <c r="F9005">
        <v>170.8</v>
      </c>
      <c r="G9005">
        <f>(Cpi_[[#This Row],[Value]]-F9004)/F9004</f>
        <v>-5.3215077605321473E-2</v>
      </c>
      <c r="H9005" t="e" cm="1" vm="1">
        <f t="array" aca="1" ref="H9005" ca="1">VLOOKUP(Cpi_[[#This Row],[Year]:[Month]],crudeoil[],3,FALSE)</f>
        <v>#VALUE!</v>
      </c>
    </row>
    <row r="9006" spans="1:8" hidden="1" x14ac:dyDescent="0.3">
      <c r="A9006" t="s">
        <v>30</v>
      </c>
      <c r="B9006">
        <v>2022</v>
      </c>
      <c r="C9006" t="s">
        <v>38</v>
      </c>
      <c r="D9006" t="s">
        <v>16</v>
      </c>
      <c r="E9006" t="e">
        <f>VLOOKUP(Cpi_[[#This Row],[Attribute]],#REF!,2,FALSE)</f>
        <v>#REF!</v>
      </c>
      <c r="F9006">
        <v>192.9</v>
      </c>
      <c r="G9006">
        <f>(Cpi_[[#This Row],[Value]]-F9005)/F9005</f>
        <v>0.12939110070257606</v>
      </c>
      <c r="H9006" t="e" cm="1" vm="1">
        <f t="array" aca="1" ref="H9006" ca="1">VLOOKUP(Cpi_[[#This Row],[Year]:[Month]],crudeoil[],3,FALSE)</f>
        <v>#VALUE!</v>
      </c>
    </row>
    <row r="9007" spans="1:8" hidden="1" x14ac:dyDescent="0.3">
      <c r="A9007" t="s">
        <v>30</v>
      </c>
      <c r="B9007">
        <v>2022</v>
      </c>
      <c r="C9007" t="s">
        <v>38</v>
      </c>
      <c r="D9007" t="s">
        <v>17</v>
      </c>
      <c r="E9007" t="e">
        <f>VLOOKUP(Cpi_[[#This Row],[Attribute]],#REF!,2,FALSE)</f>
        <v>#REF!</v>
      </c>
      <c r="F9007">
        <v>179.3</v>
      </c>
      <c r="G9007">
        <f>(Cpi_[[#This Row],[Value]]-F9006)/F9006</f>
        <v>-7.0502851218247758E-2</v>
      </c>
      <c r="H9007" t="e" cm="1" vm="1">
        <f t="array" aca="1" ref="H9007" ca="1">VLOOKUP(Cpi_[[#This Row],[Year]:[Month]],crudeoil[],3,FALSE)</f>
        <v>#VALUE!</v>
      </c>
    </row>
    <row r="9008" spans="1:8" hidden="1" x14ac:dyDescent="0.3">
      <c r="A9008" t="s">
        <v>30</v>
      </c>
      <c r="B9008">
        <v>2022</v>
      </c>
      <c r="C9008" t="s">
        <v>38</v>
      </c>
      <c r="D9008" t="s">
        <v>18</v>
      </c>
      <c r="E9008" t="e">
        <f>VLOOKUP(Cpi_[[#This Row],[Attribute]],#REF!,2,FALSE)</f>
        <v>#REF!</v>
      </c>
      <c r="F9008">
        <v>177.2</v>
      </c>
      <c r="G9008">
        <f>(Cpi_[[#This Row],[Value]]-F9007)/F9007</f>
        <v>-1.1712214166202023E-2</v>
      </c>
      <c r="H9008" t="e" cm="1" vm="1">
        <f t="array" aca="1" ref="H9008" ca="1">VLOOKUP(Cpi_[[#This Row],[Year]:[Month]],crudeoil[],3,FALSE)</f>
        <v>#VALUE!</v>
      </c>
    </row>
    <row r="9009" spans="1:8" hidden="1" x14ac:dyDescent="0.3">
      <c r="A9009" t="s">
        <v>30</v>
      </c>
      <c r="B9009">
        <v>2022</v>
      </c>
      <c r="C9009" t="s">
        <v>38</v>
      </c>
      <c r="D9009" t="s">
        <v>19</v>
      </c>
      <c r="E9009" t="e">
        <f>VLOOKUP(Cpi_[[#This Row],[Attribute]],#REF!,2,FALSE)</f>
        <v>#REF!</v>
      </c>
      <c r="F9009">
        <v>179</v>
      </c>
      <c r="G9009">
        <f>(Cpi_[[#This Row],[Value]]-F9008)/F9008</f>
        <v>1.0158013544018123E-2</v>
      </c>
      <c r="H9009" t="e" cm="1" vm="1">
        <f t="array" aca="1" ref="H9009" ca="1">VLOOKUP(Cpi_[[#This Row],[Year]:[Month]],crudeoil[],3,FALSE)</f>
        <v>#VALUE!</v>
      </c>
    </row>
    <row r="9010" spans="1:8" hidden="1" x14ac:dyDescent="0.3">
      <c r="A9010" t="s">
        <v>30</v>
      </c>
      <c r="B9010">
        <v>2022</v>
      </c>
      <c r="C9010" t="s">
        <v>38</v>
      </c>
      <c r="D9010" t="s">
        <v>20</v>
      </c>
      <c r="E9010" t="e">
        <f>VLOOKUP(Cpi_[[#This Row],[Attribute]],#REF!,2,FALSE)</f>
        <v>#REF!</v>
      </c>
      <c r="F9010" t="s">
        <v>32</v>
      </c>
      <c r="G9010" t="e">
        <f>(Cpi_[[#This Row],[Value]]-F9009)/F9009</f>
        <v>#VALUE!</v>
      </c>
      <c r="H9010" t="e" cm="1" vm="1">
        <f t="array" aca="1" ref="H9010" ca="1">VLOOKUP(Cpi_[[#This Row],[Year]:[Month]],crudeoil[],3,FALSE)</f>
        <v>#VALUE!</v>
      </c>
    </row>
    <row r="9011" spans="1:8" hidden="1" x14ac:dyDescent="0.3">
      <c r="A9011" t="s">
        <v>30</v>
      </c>
      <c r="B9011">
        <v>2022</v>
      </c>
      <c r="C9011" t="s">
        <v>38</v>
      </c>
      <c r="D9011" t="s">
        <v>21</v>
      </c>
      <c r="E9011" t="e">
        <f>VLOOKUP(Cpi_[[#This Row],[Attribute]],#REF!,2,FALSE)</f>
        <v>#REF!</v>
      </c>
      <c r="F9011">
        <v>175.3</v>
      </c>
      <c r="G9011" t="e">
        <f>(Cpi_[[#This Row],[Value]]-F9010)/F9010</f>
        <v>#VALUE!</v>
      </c>
      <c r="H9011" t="e" cm="1" vm="1">
        <f t="array" aca="1" ref="H9011" ca="1">VLOOKUP(Cpi_[[#This Row],[Year]:[Month]],crudeoil[],3,FALSE)</f>
        <v>#VALUE!</v>
      </c>
    </row>
    <row r="9012" spans="1:8" hidden="1" x14ac:dyDescent="0.3">
      <c r="A9012" t="s">
        <v>30</v>
      </c>
      <c r="B9012">
        <v>2022</v>
      </c>
      <c r="C9012" t="s">
        <v>38</v>
      </c>
      <c r="D9012" t="s">
        <v>22</v>
      </c>
      <c r="E9012" t="e">
        <f>VLOOKUP(Cpi_[[#This Row],[Attribute]],#REF!,2,FALSE)</f>
        <v>#REF!</v>
      </c>
      <c r="F9012">
        <v>168.9</v>
      </c>
      <c r="G9012">
        <f>(Cpi_[[#This Row],[Value]]-F9011)/F9011</f>
        <v>-3.6508841985168315E-2</v>
      </c>
      <c r="H9012" t="e" cm="1" vm="1">
        <f t="array" aca="1" ref="H9012" ca="1">VLOOKUP(Cpi_[[#This Row],[Year]:[Month]],crudeoil[],3,FALSE)</f>
        <v>#VALUE!</v>
      </c>
    </row>
    <row r="9013" spans="1:8" hidden="1" x14ac:dyDescent="0.3">
      <c r="A9013" t="s">
        <v>30</v>
      </c>
      <c r="B9013">
        <v>2022</v>
      </c>
      <c r="C9013" t="s">
        <v>38</v>
      </c>
      <c r="D9013" t="s">
        <v>23</v>
      </c>
      <c r="E9013" t="e">
        <f>VLOOKUP(Cpi_[[#This Row],[Attribute]],#REF!,2,FALSE)</f>
        <v>#REF!</v>
      </c>
      <c r="F9013">
        <v>177.7</v>
      </c>
      <c r="G9013">
        <f>(Cpi_[[#This Row],[Value]]-F9012)/F9012</f>
        <v>5.2101835405565324E-2</v>
      </c>
      <c r="H9013" t="e" cm="1" vm="1">
        <f t="array" aca="1" ref="H9013" ca="1">VLOOKUP(Cpi_[[#This Row],[Year]:[Month]],crudeoil[],3,FALSE)</f>
        <v>#VALUE!</v>
      </c>
    </row>
    <row r="9014" spans="1:8" hidden="1" x14ac:dyDescent="0.3">
      <c r="A9014" t="s">
        <v>30</v>
      </c>
      <c r="B9014">
        <v>2022</v>
      </c>
      <c r="C9014" t="s">
        <v>38</v>
      </c>
      <c r="D9014" t="s">
        <v>24</v>
      </c>
      <c r="E9014" t="e">
        <f>VLOOKUP(Cpi_[[#This Row],[Attribute]],#REF!,2,FALSE)</f>
        <v>#REF!</v>
      </c>
      <c r="F9014">
        <v>167.1</v>
      </c>
      <c r="G9014">
        <f>(Cpi_[[#This Row],[Value]]-F9013)/F9013</f>
        <v>-5.9651097355092823E-2</v>
      </c>
      <c r="H9014" t="e" cm="1" vm="1">
        <f t="array" aca="1" ref="H9014" ca="1">VLOOKUP(Cpi_[[#This Row],[Year]:[Month]],crudeoil[],3,FALSE)</f>
        <v>#VALUE!</v>
      </c>
    </row>
    <row r="9015" spans="1:8" hidden="1" x14ac:dyDescent="0.3">
      <c r="A9015" t="s">
        <v>30</v>
      </c>
      <c r="B9015">
        <v>2022</v>
      </c>
      <c r="C9015" t="s">
        <v>38</v>
      </c>
      <c r="D9015" t="s">
        <v>25</v>
      </c>
      <c r="E9015" t="e">
        <f>VLOOKUP(Cpi_[[#This Row],[Attribute]],#REF!,2,FALSE)</f>
        <v>#REF!</v>
      </c>
      <c r="F9015">
        <v>167.6</v>
      </c>
      <c r="G9015">
        <f>(Cpi_[[#This Row],[Value]]-F9014)/F9014</f>
        <v>2.9922202274087375E-3</v>
      </c>
      <c r="H9015" t="e" cm="1" vm="1">
        <f t="array" aca="1" ref="H9015" ca="1">VLOOKUP(Cpi_[[#This Row],[Year]:[Month]],crudeoil[],3,FALSE)</f>
        <v>#VALUE!</v>
      </c>
    </row>
    <row r="9016" spans="1:8" hidden="1" x14ac:dyDescent="0.3">
      <c r="A9016" t="s">
        <v>30</v>
      </c>
      <c r="B9016">
        <v>2022</v>
      </c>
      <c r="C9016" t="s">
        <v>38</v>
      </c>
      <c r="D9016" t="s">
        <v>26</v>
      </c>
      <c r="E9016" t="e">
        <f>VLOOKUP(Cpi_[[#This Row],[Attribute]],#REF!,2,FALSE)</f>
        <v>#REF!</v>
      </c>
      <c r="F9016">
        <v>171.8</v>
      </c>
      <c r="G9016">
        <f>(Cpi_[[#This Row],[Value]]-F9015)/F9015</f>
        <v>2.5059665871121822E-2</v>
      </c>
      <c r="H9016" t="e" cm="1" vm="1">
        <f t="array" aca="1" ref="H9016" ca="1">VLOOKUP(Cpi_[[#This Row],[Year]:[Month]],crudeoil[],3,FALSE)</f>
        <v>#VALUE!</v>
      </c>
    </row>
    <row r="9017" spans="1:8" hidden="1" x14ac:dyDescent="0.3">
      <c r="A9017" t="s">
        <v>30</v>
      </c>
      <c r="B9017">
        <v>2022</v>
      </c>
      <c r="C9017" t="s">
        <v>38</v>
      </c>
      <c r="D9017" t="s">
        <v>27</v>
      </c>
      <c r="E9017" t="e">
        <f>VLOOKUP(Cpi_[[#This Row],[Attribute]],#REF!,2,FALSE)</f>
        <v>#REF!</v>
      </c>
      <c r="F9017">
        <v>168.5</v>
      </c>
      <c r="G9017">
        <f>(Cpi_[[#This Row],[Value]]-F9016)/F9016</f>
        <v>-1.9208381839348143E-2</v>
      </c>
      <c r="H9017" t="e" cm="1" vm="1">
        <f t="array" aca="1" ref="H9017" ca="1">VLOOKUP(Cpi_[[#This Row],[Year]:[Month]],crudeoil[],3,FALSE)</f>
        <v>#VALUE!</v>
      </c>
    </row>
    <row r="9018" spans="1:8" hidden="1" x14ac:dyDescent="0.3">
      <c r="A9018" t="s">
        <v>30</v>
      </c>
      <c r="B9018">
        <v>2022</v>
      </c>
      <c r="C9018" t="s">
        <v>38</v>
      </c>
      <c r="D9018" t="s">
        <v>28</v>
      </c>
      <c r="E9018" t="e">
        <f>VLOOKUP(Cpi_[[#This Row],[Attribute]],#REF!,2,FALSE)</f>
        <v>#REF!</v>
      </c>
      <c r="F9018">
        <v>170.9</v>
      </c>
      <c r="G9018">
        <f>(Cpi_[[#This Row],[Value]]-F9017)/F9017</f>
        <v>1.4243323442136533E-2</v>
      </c>
      <c r="H9018" t="e" cm="1" vm="1">
        <f t="array" aca="1" ref="H9018" ca="1">VLOOKUP(Cpi_[[#This Row],[Year]:[Month]],crudeoil[],3,FALSE)</f>
        <v>#VALUE!</v>
      </c>
    </row>
    <row r="9019" spans="1:8" hidden="1" x14ac:dyDescent="0.3">
      <c r="A9019" t="s">
        <v>30</v>
      </c>
      <c r="B9019">
        <v>2022</v>
      </c>
      <c r="C9019" t="s">
        <v>38</v>
      </c>
      <c r="D9019" t="s">
        <v>29</v>
      </c>
      <c r="E9019" t="e" cm="1">
        <f t="array" aca="1" ref="E9019" ca="1">VLGeneral indexGeneral indexKUP(Cpi_[[#This Row],[Attribute]],#REF!,2,FALSE)</f>
        <v>#NAME?</v>
      </c>
      <c r="F9019">
        <v>172.5</v>
      </c>
      <c r="G9019">
        <f>(Cpi_[[#This Row],[Value]]-F9018)/F9018</f>
        <v>9.3622001170274687E-3</v>
      </c>
      <c r="H9019" t="e" cm="1" vm="1">
        <f t="array" aca="1" ref="H9019" ca="1">VLOOKUP(Cpi_[[#This Row],[Year]:[Month]],crudeoil[],3,FALSE)</f>
        <v>#VALUE!</v>
      </c>
    </row>
    <row r="9020" spans="1:8" hidden="1" x14ac:dyDescent="0.3">
      <c r="A9020" t="s">
        <v>33</v>
      </c>
      <c r="B9020">
        <v>2022</v>
      </c>
      <c r="C9020" t="s">
        <v>38</v>
      </c>
      <c r="D9020" t="s">
        <v>3</v>
      </c>
      <c r="E9020" t="e">
        <f>VLOOKUP(Cpi_[[#This Row],[Attribute]],#REF!,2,FALSE)</f>
        <v>#REF!</v>
      </c>
      <c r="F9020">
        <v>156.69999999999999</v>
      </c>
      <c r="G9020">
        <f>(Cpi_[[#This Row],[Value]]-F9019)/F9019</f>
        <v>-9.1594202898550789E-2</v>
      </c>
      <c r="H9020" t="e" cm="1" vm="1">
        <f t="array" aca="1" ref="H9020" ca="1">VLOOKUP(Cpi_[[#This Row],[Year]:[Month]],crudeoil[],3,FALSE)</f>
        <v>#VALUE!</v>
      </c>
    </row>
    <row r="9021" spans="1:8" hidden="1" x14ac:dyDescent="0.3">
      <c r="A9021" t="s">
        <v>33</v>
      </c>
      <c r="B9021">
        <v>2022</v>
      </c>
      <c r="C9021" t="s">
        <v>38</v>
      </c>
      <c r="D9021" t="s">
        <v>4</v>
      </c>
      <c r="E9021" t="e">
        <f>VLOOKUP(Cpi_[[#This Row],[Attribute]],#REF!,2,FALSE)</f>
        <v>#REF!</v>
      </c>
      <c r="F9021">
        <v>221.2</v>
      </c>
      <c r="G9021">
        <f>(Cpi_[[#This Row],[Value]]-F9020)/F9020</f>
        <v>0.41161455009572434</v>
      </c>
      <c r="H9021" t="e" cm="1" vm="1">
        <f t="array" aca="1" ref="H9021" ca="1">VLOOKUP(Cpi_[[#This Row],[Year]:[Month]],crudeoil[],3,FALSE)</f>
        <v>#VALUE!</v>
      </c>
    </row>
    <row r="9022" spans="1:8" hidden="1" x14ac:dyDescent="0.3">
      <c r="A9022" t="s">
        <v>33</v>
      </c>
      <c r="B9022">
        <v>2022</v>
      </c>
      <c r="C9022" t="s">
        <v>38</v>
      </c>
      <c r="D9022" t="s">
        <v>5</v>
      </c>
      <c r="E9022" t="e">
        <f>VLOOKUP(Cpi_[[#This Row],[Attribute]],#REF!,2,FALSE)</f>
        <v>#REF!</v>
      </c>
      <c r="F9022">
        <v>164.1</v>
      </c>
      <c r="G9022">
        <f>(Cpi_[[#This Row],[Value]]-F9021)/F9021</f>
        <v>-0.25813743218806506</v>
      </c>
      <c r="H9022" t="e" cm="1" vm="1">
        <f t="array" aca="1" ref="H9022" ca="1">VLOOKUP(Cpi_[[#This Row],[Year]:[Month]],crudeoil[],3,FALSE)</f>
        <v>#VALUE!</v>
      </c>
    </row>
    <row r="9023" spans="1:8" hidden="1" x14ac:dyDescent="0.3">
      <c r="A9023" t="s">
        <v>33</v>
      </c>
      <c r="B9023">
        <v>2022</v>
      </c>
      <c r="C9023" t="s">
        <v>38</v>
      </c>
      <c r="D9023" t="s">
        <v>6</v>
      </c>
      <c r="E9023" t="e">
        <f>VLOOKUP(Cpi_[[#This Row],[Attribute]],#REF!,2,FALSE)</f>
        <v>#REF!</v>
      </c>
      <c r="F9023">
        <v>165.4</v>
      </c>
      <c r="G9023">
        <f>(Cpi_[[#This Row],[Value]]-F9022)/F9022</f>
        <v>7.9219987812310256E-3</v>
      </c>
      <c r="H9023" t="e" cm="1" vm="1">
        <f t="array" aca="1" ref="H9023" ca="1">VLOOKUP(Cpi_[[#This Row],[Year]:[Month]],crudeoil[],3,FALSE)</f>
        <v>#VALUE!</v>
      </c>
    </row>
    <row r="9024" spans="1:8" hidden="1" x14ac:dyDescent="0.3">
      <c r="A9024" t="s">
        <v>33</v>
      </c>
      <c r="B9024">
        <v>2022</v>
      </c>
      <c r="C9024" t="s">
        <v>38</v>
      </c>
      <c r="D9024" t="s">
        <v>7</v>
      </c>
      <c r="E9024" t="e">
        <f>VLOOKUP(Cpi_[[#This Row],[Attribute]],#REF!,2,FALSE)</f>
        <v>#REF!</v>
      </c>
      <c r="F9024">
        <v>189.5</v>
      </c>
      <c r="G9024">
        <f>(Cpi_[[#This Row],[Value]]-F9023)/F9023</f>
        <v>0.14570737605804107</v>
      </c>
      <c r="H9024" t="e" cm="1" vm="1">
        <f t="array" aca="1" ref="H9024" ca="1">VLOOKUP(Cpi_[[#This Row],[Year]:[Month]],crudeoil[],3,FALSE)</f>
        <v>#VALUE!</v>
      </c>
    </row>
    <row r="9025" spans="1:8" hidden="1" x14ac:dyDescent="0.3">
      <c r="A9025" t="s">
        <v>33</v>
      </c>
      <c r="B9025">
        <v>2022</v>
      </c>
      <c r="C9025" t="s">
        <v>38</v>
      </c>
      <c r="D9025" t="s">
        <v>8</v>
      </c>
      <c r="E9025" t="e">
        <f>VLOOKUP(Cpi_[[#This Row],[Attribute]],#REF!,2,FALSE)</f>
        <v>#REF!</v>
      </c>
      <c r="F9025">
        <v>174.5</v>
      </c>
      <c r="G9025">
        <f>(Cpi_[[#This Row],[Value]]-F9024)/F9024</f>
        <v>-7.9155672823219003E-2</v>
      </c>
      <c r="H9025" t="e" cm="1" vm="1">
        <f t="array" aca="1" ref="H9025" ca="1">VLOOKUP(Cpi_[[#This Row],[Year]:[Month]],crudeoil[],3,FALSE)</f>
        <v>#VALUE!</v>
      </c>
    </row>
    <row r="9026" spans="1:8" hidden="1" x14ac:dyDescent="0.3">
      <c r="A9026" t="s">
        <v>33</v>
      </c>
      <c r="B9026">
        <v>2022</v>
      </c>
      <c r="C9026" t="s">
        <v>38</v>
      </c>
      <c r="D9026" t="s">
        <v>9</v>
      </c>
      <c r="E9026" t="e">
        <f>VLOOKUP(Cpi_[[#This Row],[Attribute]],#REF!,2,FALSE)</f>
        <v>#REF!</v>
      </c>
      <c r="F9026">
        <v>203.2</v>
      </c>
      <c r="G9026">
        <f>(Cpi_[[#This Row],[Value]]-F9025)/F9025</f>
        <v>0.16446991404011455</v>
      </c>
      <c r="H9026" t="e" cm="1" vm="1">
        <f t="array" aca="1" ref="H9026" ca="1">VLOOKUP(Cpi_[[#This Row],[Year]:[Month]],crudeoil[],3,FALSE)</f>
        <v>#VALUE!</v>
      </c>
    </row>
    <row r="9027" spans="1:8" hidden="1" x14ac:dyDescent="0.3">
      <c r="A9027" t="s">
        <v>33</v>
      </c>
      <c r="B9027">
        <v>2022</v>
      </c>
      <c r="C9027" t="s">
        <v>38</v>
      </c>
      <c r="D9027" t="s">
        <v>10</v>
      </c>
      <c r="E9027" t="e">
        <f>VLOOKUP(Cpi_[[#This Row],[Attribute]],#REF!,2,FALSE)</f>
        <v>#REF!</v>
      </c>
      <c r="F9027">
        <v>164.1</v>
      </c>
      <c r="G9027">
        <f>(Cpi_[[#This Row],[Value]]-F9026)/F9026</f>
        <v>-0.19242125984251968</v>
      </c>
      <c r="H9027" t="e" cm="1" vm="1">
        <f t="array" aca="1" ref="H9027" ca="1">VLOOKUP(Cpi_[[#This Row],[Year]:[Month]],crudeoil[],3,FALSE)</f>
        <v>#VALUE!</v>
      </c>
    </row>
    <row r="9028" spans="1:8" hidden="1" x14ac:dyDescent="0.3">
      <c r="A9028" t="s">
        <v>33</v>
      </c>
      <c r="B9028">
        <v>2022</v>
      </c>
      <c r="C9028" t="s">
        <v>38</v>
      </c>
      <c r="D9028" t="s">
        <v>11</v>
      </c>
      <c r="E9028" t="e">
        <f>VLOOKUP(Cpi_[[#This Row],[Attribute]],#REF!,2,FALSE)</f>
        <v>#REF!</v>
      </c>
      <c r="F9028">
        <v>121.2</v>
      </c>
      <c r="G9028">
        <f>(Cpi_[[#This Row],[Value]]-F9027)/F9027</f>
        <v>-0.26142595978062155</v>
      </c>
      <c r="H9028" t="e" cm="1" vm="1">
        <f t="array" aca="1" ref="H9028" ca="1">VLOOKUP(Cpi_[[#This Row],[Year]:[Month]],crudeoil[],3,FALSE)</f>
        <v>#VALUE!</v>
      </c>
    </row>
    <row r="9029" spans="1:8" hidden="1" x14ac:dyDescent="0.3">
      <c r="A9029" t="s">
        <v>33</v>
      </c>
      <c r="B9029">
        <v>2022</v>
      </c>
      <c r="C9029" t="s">
        <v>38</v>
      </c>
      <c r="D9029" t="s">
        <v>12</v>
      </c>
      <c r="E9029" t="e">
        <f>VLOOKUP(Cpi_[[#This Row],[Attribute]],#REF!,2,FALSE)</f>
        <v>#REF!</v>
      </c>
      <c r="F9029">
        <v>181.4</v>
      </c>
      <c r="G9029">
        <f>(Cpi_[[#This Row],[Value]]-F9028)/F9028</f>
        <v>0.49669966996699672</v>
      </c>
      <c r="H9029" t="e" cm="1" vm="1">
        <f t="array" aca="1" ref="H9029" ca="1">VLOOKUP(Cpi_[[#This Row],[Year]:[Month]],crudeoil[],3,FALSE)</f>
        <v>#VALUE!</v>
      </c>
    </row>
    <row r="9030" spans="1:8" hidden="1" x14ac:dyDescent="0.3">
      <c r="A9030" t="s">
        <v>33</v>
      </c>
      <c r="B9030">
        <v>2022</v>
      </c>
      <c r="C9030" t="s">
        <v>38</v>
      </c>
      <c r="D9030" t="s">
        <v>13</v>
      </c>
      <c r="E9030" t="e">
        <f>VLOOKUP(Cpi_[[#This Row],[Attribute]],#REF!,2,FALSE)</f>
        <v>#REF!</v>
      </c>
      <c r="F9030">
        <v>158.5</v>
      </c>
      <c r="G9030">
        <f>(Cpi_[[#This Row],[Value]]-F9029)/F9029</f>
        <v>-0.12624035281146639</v>
      </c>
      <c r="H9030" t="e" cm="1" vm="1">
        <f t="array" aca="1" ref="H9030" ca="1">VLOOKUP(Cpi_[[#This Row],[Year]:[Month]],crudeoil[],3,FALSE)</f>
        <v>#VALUE!</v>
      </c>
    </row>
    <row r="9031" spans="1:8" hidden="1" x14ac:dyDescent="0.3">
      <c r="A9031" t="s">
        <v>33</v>
      </c>
      <c r="B9031">
        <v>2022</v>
      </c>
      <c r="C9031" t="s">
        <v>38</v>
      </c>
      <c r="D9031" t="s">
        <v>14</v>
      </c>
      <c r="E9031" t="e">
        <f>VLOOKUP(Cpi_[[#This Row],[Attribute]],#REF!,2,FALSE)</f>
        <v>#REF!</v>
      </c>
      <c r="F9031">
        <v>184.9</v>
      </c>
      <c r="G9031">
        <f>(Cpi_[[#This Row],[Value]]-F9030)/F9030</f>
        <v>0.16656151419558363</v>
      </c>
      <c r="H9031" t="e" cm="1" vm="1">
        <f t="array" aca="1" ref="H9031" ca="1">VLOOKUP(Cpi_[[#This Row],[Year]:[Month]],crudeoil[],3,FALSE)</f>
        <v>#VALUE!</v>
      </c>
    </row>
    <row r="9032" spans="1:8" hidden="1" x14ac:dyDescent="0.3">
      <c r="A9032" t="s">
        <v>33</v>
      </c>
      <c r="B9032">
        <v>2022</v>
      </c>
      <c r="C9032" t="s">
        <v>38</v>
      </c>
      <c r="D9032" t="s">
        <v>15</v>
      </c>
      <c r="E9032" t="e">
        <f>VLOOKUP(Cpi_[[#This Row],[Attribute]],#REF!,2,FALSE)</f>
        <v>#REF!</v>
      </c>
      <c r="F9032">
        <v>177.5</v>
      </c>
      <c r="G9032">
        <f>(Cpi_[[#This Row],[Value]]-F9031)/F9031</f>
        <v>-4.0021633315305602E-2</v>
      </c>
      <c r="H9032" t="e" cm="1" vm="1">
        <f t="array" aca="1" ref="H9032" ca="1">VLOOKUP(Cpi_[[#This Row],[Year]:[Month]],crudeoil[],3,FALSE)</f>
        <v>#VALUE!</v>
      </c>
    </row>
    <row r="9033" spans="1:8" hidden="1" x14ac:dyDescent="0.3">
      <c r="A9033" t="s">
        <v>33</v>
      </c>
      <c r="B9033">
        <v>2022</v>
      </c>
      <c r="C9033" t="s">
        <v>38</v>
      </c>
      <c r="D9033" t="s">
        <v>16</v>
      </c>
      <c r="E9033" t="e">
        <f>VLOOKUP(Cpi_[[#This Row],[Attribute]],#REF!,2,FALSE)</f>
        <v>#REF!</v>
      </c>
      <c r="F9033">
        <v>197.5</v>
      </c>
      <c r="G9033">
        <f>(Cpi_[[#This Row],[Value]]-F9032)/F9032</f>
        <v>0.11267605633802817</v>
      </c>
      <c r="H9033" t="e" cm="1" vm="1">
        <f t="array" aca="1" ref="H9033" ca="1">VLOOKUP(Cpi_[[#This Row],[Year]:[Month]],crudeoil[],3,FALSE)</f>
        <v>#VALUE!</v>
      </c>
    </row>
    <row r="9034" spans="1:8" hidden="1" x14ac:dyDescent="0.3">
      <c r="A9034" t="s">
        <v>33</v>
      </c>
      <c r="B9034">
        <v>2022</v>
      </c>
      <c r="C9034" t="s">
        <v>38</v>
      </c>
      <c r="D9034" t="s">
        <v>17</v>
      </c>
      <c r="E9034" t="e">
        <f>VLOOKUP(Cpi_[[#This Row],[Attribute]],#REF!,2,FALSE)</f>
        <v>#REF!</v>
      </c>
      <c r="F9034">
        <v>170</v>
      </c>
      <c r="G9034">
        <f>(Cpi_[[#This Row],[Value]]-F9033)/F9033</f>
        <v>-0.13924050632911392</v>
      </c>
      <c r="H9034" t="e" cm="1" vm="1">
        <f t="array" aca="1" ref="H9034" ca="1">VLOOKUP(Cpi_[[#This Row],[Year]:[Month]],crudeoil[],3,FALSE)</f>
        <v>#VALUE!</v>
      </c>
    </row>
    <row r="9035" spans="1:8" hidden="1" x14ac:dyDescent="0.3">
      <c r="A9035" t="s">
        <v>33</v>
      </c>
      <c r="B9035">
        <v>2022</v>
      </c>
      <c r="C9035" t="s">
        <v>38</v>
      </c>
      <c r="D9035" t="s">
        <v>18</v>
      </c>
      <c r="E9035" t="e">
        <f>VLOOKUP(Cpi_[[#This Row],[Attribute]],#REF!,2,FALSE)</f>
        <v>#REF!</v>
      </c>
      <c r="F9035">
        <v>155.9</v>
      </c>
      <c r="G9035">
        <f>(Cpi_[[#This Row],[Value]]-F9034)/F9034</f>
        <v>-8.2941176470588199E-2</v>
      </c>
      <c r="H9035" t="e" cm="1" vm="1">
        <f t="array" aca="1" ref="H9035" ca="1">VLOOKUP(Cpi_[[#This Row],[Year]:[Month]],crudeoil[],3,FALSE)</f>
        <v>#VALUE!</v>
      </c>
    </row>
    <row r="9036" spans="1:8" hidden="1" x14ac:dyDescent="0.3">
      <c r="A9036" t="s">
        <v>33</v>
      </c>
      <c r="B9036">
        <v>2022</v>
      </c>
      <c r="C9036" t="s">
        <v>38</v>
      </c>
      <c r="D9036" t="s">
        <v>19</v>
      </c>
      <c r="E9036" t="e">
        <f>VLOOKUP(Cpi_[[#This Row],[Attribute]],#REF!,2,FALSE)</f>
        <v>#REF!</v>
      </c>
      <c r="F9036">
        <v>167.8</v>
      </c>
      <c r="G9036">
        <f>(Cpi_[[#This Row],[Value]]-F9035)/F9035</f>
        <v>7.6330981398332304E-2</v>
      </c>
      <c r="H9036" t="e" cm="1" vm="1">
        <f t="array" aca="1" ref="H9036" ca="1">VLOOKUP(Cpi_[[#This Row],[Year]:[Month]],crudeoil[],3,FALSE)</f>
        <v>#VALUE!</v>
      </c>
    </row>
    <row r="9037" spans="1:8" hidden="1" x14ac:dyDescent="0.3">
      <c r="A9037" t="s">
        <v>33</v>
      </c>
      <c r="B9037">
        <v>2022</v>
      </c>
      <c r="C9037" t="s">
        <v>38</v>
      </c>
      <c r="D9037" t="s">
        <v>20</v>
      </c>
      <c r="E9037" t="e">
        <f>VLOOKUP(Cpi_[[#This Row],[Attribute]],#REF!,2,FALSE)</f>
        <v>#REF!</v>
      </c>
      <c r="F9037">
        <v>167.5</v>
      </c>
      <c r="G9037">
        <f>(Cpi_[[#This Row],[Value]]-F9036)/F9036</f>
        <v>-1.7878426698451212E-3</v>
      </c>
      <c r="H9037" t="e" cm="1" vm="1">
        <f t="array" aca="1" ref="H9037" ca="1">VLOOKUP(Cpi_[[#This Row],[Year]:[Month]],crudeoil[],3,FALSE)</f>
        <v>#VALUE!</v>
      </c>
    </row>
    <row r="9038" spans="1:8" hidden="1" x14ac:dyDescent="0.3">
      <c r="A9038" t="s">
        <v>33</v>
      </c>
      <c r="B9038">
        <v>2022</v>
      </c>
      <c r="C9038" t="s">
        <v>38</v>
      </c>
      <c r="D9038" t="s">
        <v>21</v>
      </c>
      <c r="E9038" t="e">
        <f>VLOOKUP(Cpi_[[#This Row],[Attribute]],#REF!,2,FALSE)</f>
        <v>#REF!</v>
      </c>
      <c r="F9038">
        <v>173.5</v>
      </c>
      <c r="G9038">
        <f>(Cpi_[[#This Row],[Value]]-F9037)/F9037</f>
        <v>3.5820895522388062E-2</v>
      </c>
      <c r="H9038" t="e" cm="1" vm="1">
        <f t="array" aca="1" ref="H9038" ca="1">VLOOKUP(Cpi_[[#This Row],[Year]:[Month]],crudeoil[],3,FALSE)</f>
        <v>#VALUE!</v>
      </c>
    </row>
    <row r="9039" spans="1:8" hidden="1" x14ac:dyDescent="0.3">
      <c r="A9039" t="s">
        <v>33</v>
      </c>
      <c r="B9039">
        <v>2022</v>
      </c>
      <c r="C9039" t="s">
        <v>38</v>
      </c>
      <c r="D9039" t="s">
        <v>22</v>
      </c>
      <c r="E9039" t="e">
        <f>VLOOKUP(Cpi_[[#This Row],[Attribute]],#REF!,2,FALSE)</f>
        <v>#REF!</v>
      </c>
      <c r="F9039">
        <v>161.1</v>
      </c>
      <c r="G9039">
        <f>(Cpi_[[#This Row],[Value]]-F9038)/F9038</f>
        <v>-7.1469740634005796E-2</v>
      </c>
      <c r="H9039" t="e" cm="1" vm="1">
        <f t="array" aca="1" ref="H9039" ca="1">VLOOKUP(Cpi_[[#This Row],[Year]:[Month]],crudeoil[],3,FALSE)</f>
        <v>#VALUE!</v>
      </c>
    </row>
    <row r="9040" spans="1:8" hidden="1" x14ac:dyDescent="0.3">
      <c r="A9040" t="s">
        <v>33</v>
      </c>
      <c r="B9040">
        <v>2022</v>
      </c>
      <c r="C9040" t="s">
        <v>38</v>
      </c>
      <c r="D9040" t="s">
        <v>23</v>
      </c>
      <c r="E9040" t="e">
        <f>VLOOKUP(Cpi_[[#This Row],[Attribute]],#REF!,2,FALSE)</f>
        <v>#REF!</v>
      </c>
      <c r="F9040">
        <v>170.1</v>
      </c>
      <c r="G9040">
        <f>(Cpi_[[#This Row],[Value]]-F9039)/F9039</f>
        <v>5.5865921787709501E-2</v>
      </c>
      <c r="H9040" t="e" cm="1" vm="1">
        <f t="array" aca="1" ref="H9040" ca="1">VLOOKUP(Cpi_[[#This Row],[Year]:[Month]],crudeoil[],3,FALSE)</f>
        <v>#VALUE!</v>
      </c>
    </row>
    <row r="9041" spans="1:10" hidden="1" x14ac:dyDescent="0.3">
      <c r="A9041" t="s">
        <v>33</v>
      </c>
      <c r="B9041">
        <v>2022</v>
      </c>
      <c r="C9041" t="s">
        <v>38</v>
      </c>
      <c r="D9041" t="s">
        <v>24</v>
      </c>
      <c r="E9041" t="e">
        <f>VLOOKUP(Cpi_[[#This Row],[Attribute]],#REF!,2,FALSE)</f>
        <v>#REF!</v>
      </c>
      <c r="F9041">
        <v>159.4</v>
      </c>
      <c r="G9041">
        <f>(Cpi_[[#This Row],[Value]]-F9040)/F9040</f>
        <v>-6.2904174015285058E-2</v>
      </c>
      <c r="H9041" t="e" cm="1" vm="1">
        <f t="array" aca="1" ref="H9041" ca="1">VLOOKUP(Cpi_[[#This Row],[Year]:[Month]],crudeoil[],3,FALSE)</f>
        <v>#VALUE!</v>
      </c>
    </row>
    <row r="9042" spans="1:10" hidden="1" x14ac:dyDescent="0.3">
      <c r="A9042" t="s">
        <v>33</v>
      </c>
      <c r="B9042">
        <v>2022</v>
      </c>
      <c r="C9042" t="s">
        <v>38</v>
      </c>
      <c r="D9042" t="s">
        <v>25</v>
      </c>
      <c r="E9042" t="e">
        <f>VLOOKUP(Cpi_[[#This Row],[Attribute]],#REF!,2,FALSE)</f>
        <v>#REF!</v>
      </c>
      <c r="F9042">
        <v>163.19999999999999</v>
      </c>
      <c r="G9042">
        <f>(Cpi_[[#This Row],[Value]]-F9041)/F9041</f>
        <v>2.3839397741530634E-2</v>
      </c>
      <c r="H9042" t="e" cm="1" vm="1">
        <f t="array" aca="1" ref="H9042" ca="1">VLOOKUP(Cpi_[[#This Row],[Year]:[Month]],crudeoil[],3,FALSE)</f>
        <v>#VALUE!</v>
      </c>
    </row>
    <row r="9043" spans="1:10" hidden="1" x14ac:dyDescent="0.3">
      <c r="A9043" t="s">
        <v>33</v>
      </c>
      <c r="B9043">
        <v>2022</v>
      </c>
      <c r="C9043" t="s">
        <v>38</v>
      </c>
      <c r="D9043" t="s">
        <v>26</v>
      </c>
      <c r="E9043" t="e">
        <f>VLOOKUP(Cpi_[[#This Row],[Attribute]],#REF!,2,FALSE)</f>
        <v>#REF!</v>
      </c>
      <c r="F9043">
        <v>165.2</v>
      </c>
      <c r="G9043">
        <f>(Cpi_[[#This Row],[Value]]-F9042)/F9042</f>
        <v>1.2254901960784315E-2</v>
      </c>
      <c r="H9043" t="e" cm="1" vm="1">
        <f t="array" aca="1" ref="H9043" ca="1">VLOOKUP(Cpi_[[#This Row],[Year]:[Month]],crudeoil[],3,FALSE)</f>
        <v>#VALUE!</v>
      </c>
    </row>
    <row r="9044" spans="1:10" hidden="1" x14ac:dyDescent="0.3">
      <c r="A9044" t="s">
        <v>33</v>
      </c>
      <c r="B9044">
        <v>2022</v>
      </c>
      <c r="C9044" t="s">
        <v>38</v>
      </c>
      <c r="D9044" t="s">
        <v>27</v>
      </c>
      <c r="E9044" t="e">
        <f>VLOOKUP(Cpi_[[#This Row],[Attribute]],#REF!,2,FALSE)</f>
        <v>#REF!</v>
      </c>
      <c r="F9044">
        <v>168.2</v>
      </c>
      <c r="G9044">
        <f>(Cpi_[[#This Row],[Value]]-F9043)/F9043</f>
        <v>1.8159806295399518E-2</v>
      </c>
      <c r="H9044" t="e" cm="1" vm="1">
        <f t="array" aca="1" ref="H9044" ca="1">VLOOKUP(Cpi_[[#This Row],[Year]:[Month]],crudeoil[],3,FALSE)</f>
        <v>#VALUE!</v>
      </c>
    </row>
    <row r="9045" spans="1:10" hidden="1" x14ac:dyDescent="0.3">
      <c r="A9045" t="s">
        <v>33</v>
      </c>
      <c r="B9045">
        <v>2022</v>
      </c>
      <c r="C9045" t="s">
        <v>38</v>
      </c>
      <c r="D9045" t="s">
        <v>28</v>
      </c>
      <c r="E9045" t="e">
        <f>VLOOKUP(Cpi_[[#This Row],[Attribute]],#REF!,2,FALSE)</f>
        <v>#REF!</v>
      </c>
      <c r="F9045">
        <v>163.80000000000001</v>
      </c>
      <c r="G9045">
        <f>(Cpi_[[#This Row],[Value]]-F9044)/F9044</f>
        <v>-2.6159334126040296E-2</v>
      </c>
      <c r="H9045" t="e" cm="1" vm="1">
        <f t="array" aca="1" ref="H9045" ca="1">VLOOKUP(Cpi_[[#This Row],[Year]:[Month]],crudeoil[],3,FALSE)</f>
        <v>#VALUE!</v>
      </c>
    </row>
    <row r="9046" spans="1:10" hidden="1" x14ac:dyDescent="0.3">
      <c r="A9046" t="s">
        <v>33</v>
      </c>
      <c r="B9046">
        <v>2022</v>
      </c>
      <c r="C9046" t="s">
        <v>38</v>
      </c>
      <c r="D9046" t="s">
        <v>29</v>
      </c>
      <c r="E9046" t="e" cm="1">
        <f t="array" aca="1" ref="E9046" ca="1">VLGeneral indexGeneral indexKUP(Cpi_[[#This Row],[Attribute]],#REF!,2,FALSE)</f>
        <v>#NAME?</v>
      </c>
      <c r="F9046">
        <v>170.8</v>
      </c>
      <c r="G9046">
        <f>(Cpi_[[#This Row],[Value]]-F9045)/F9045</f>
        <v>4.2735042735042729E-2</v>
      </c>
      <c r="H9046" t="e" cm="1" vm="1">
        <f t="array" aca="1" ref="H9046" ca="1">VLOOKUP(Cpi_[[#This Row],[Year]:[Month]],crudeoil[],3,FALSE)</f>
        <v>#VALUE!</v>
      </c>
    </row>
    <row r="9047" spans="1:10" hidden="1" x14ac:dyDescent="0.3">
      <c r="A9047" t="s">
        <v>34</v>
      </c>
      <c r="B9047">
        <v>2022</v>
      </c>
      <c r="C9047" t="s">
        <v>38</v>
      </c>
      <c r="D9047" t="s">
        <v>3</v>
      </c>
      <c r="E9047" t="e">
        <f>VLOOKUP(Cpi_[[#This Row],[Attribute]],#REF!,2,FALSE)</f>
        <v>#REF!</v>
      </c>
      <c r="F9047">
        <v>154.1</v>
      </c>
      <c r="G9047">
        <f>(Cpi_[[#This Row],[Value]]-F9046)/F9046</f>
        <v>-9.7775175644028198E-2</v>
      </c>
      <c r="H9047" t="e" cm="1" vm="1">
        <f t="array" aca="1" ref="H9047" ca="1">VLOOKUP(Cpi_[[#This Row],[Year]:[Month]],crudeoil[],3,FALSE)</f>
        <v>#VALUE!</v>
      </c>
    </row>
    <row r="9048" spans="1:10" x14ac:dyDescent="0.3">
      <c r="A9048" t="s">
        <v>34</v>
      </c>
      <c r="B9048">
        <v>2022</v>
      </c>
      <c r="C9048" t="s">
        <v>38</v>
      </c>
      <c r="D9048" t="s">
        <v>4</v>
      </c>
      <c r="E9048" t="e">
        <f>VLOOKUP(Cpi_[[#This Row],[Attribute]],#REF!,2,FALSE)</f>
        <v>#REF!</v>
      </c>
      <c r="F9048">
        <v>217</v>
      </c>
      <c r="G9048" s="42">
        <f>(Cpi_[[#This Row],[Value]]-F9047)/F9047</f>
        <v>0.40817650876054518</v>
      </c>
      <c r="H9048" t="str">
        <f>LEFT(Cpi_[[#This Row],[Month]],3)</f>
        <v>May</v>
      </c>
      <c r="I9048" t="str">
        <f>RIGHT(Cpi_[[#This Row],[Year]],2)</f>
        <v>22</v>
      </c>
      <c r="J9048" t="str">
        <f>Cpi_[[#This Row],[Column3]]&amp;"-"&amp;Cpi_[[#This Row],[Column4]]</f>
        <v>May-22</v>
      </c>
    </row>
    <row r="9049" spans="1:10" x14ac:dyDescent="0.3">
      <c r="A9049" t="s">
        <v>34</v>
      </c>
      <c r="B9049">
        <v>2022</v>
      </c>
      <c r="C9049" t="s">
        <v>38</v>
      </c>
      <c r="D9049" t="s">
        <v>5</v>
      </c>
      <c r="E9049" t="e">
        <f>VLOOKUP(Cpi_[[#This Row],[Attribute]],#REF!,2,FALSE)</f>
        <v>#REF!</v>
      </c>
      <c r="F9049">
        <v>162.4</v>
      </c>
      <c r="G9049" s="42">
        <f>(Cpi_[[#This Row],[Value]]-F9048)/F9048</f>
        <v>-0.25161290322580643</v>
      </c>
      <c r="H9049" t="str">
        <f>LEFT(Cpi_[[#This Row],[Month]],3)</f>
        <v>May</v>
      </c>
      <c r="I9049" t="str">
        <f>RIGHT(Cpi_[[#This Row],[Year]],2)</f>
        <v>22</v>
      </c>
      <c r="J9049" t="str">
        <f>Cpi_[[#This Row],[Column3]]&amp;"-"&amp;Cpi_[[#This Row],[Column4]]</f>
        <v>May-22</v>
      </c>
    </row>
    <row r="9050" spans="1:10" x14ac:dyDescent="0.3">
      <c r="A9050" t="s">
        <v>34</v>
      </c>
      <c r="B9050">
        <v>2022</v>
      </c>
      <c r="C9050" t="s">
        <v>38</v>
      </c>
      <c r="D9050" t="s">
        <v>6</v>
      </c>
      <c r="E9050" t="e">
        <f>VLOOKUP(Cpi_[[#This Row],[Attribute]],#REF!,2,FALSE)</f>
        <v>#REF!</v>
      </c>
      <c r="F9050">
        <v>164.9</v>
      </c>
      <c r="G9050" s="42">
        <f>(Cpi_[[#This Row],[Value]]-F9049)/F9049</f>
        <v>1.5394088669950739E-2</v>
      </c>
      <c r="H9050" t="str">
        <f>LEFT(Cpi_[[#This Row],[Month]],3)</f>
        <v>May</v>
      </c>
      <c r="I9050" t="str">
        <f>RIGHT(Cpi_[[#This Row],[Year]],2)</f>
        <v>22</v>
      </c>
      <c r="J9050" t="str">
        <f>Cpi_[[#This Row],[Column3]]&amp;"-"&amp;Cpi_[[#This Row],[Column4]]</f>
        <v>May-22</v>
      </c>
    </row>
    <row r="9051" spans="1:10" x14ac:dyDescent="0.3">
      <c r="A9051" t="s">
        <v>34</v>
      </c>
      <c r="B9051">
        <v>2022</v>
      </c>
      <c r="C9051" t="s">
        <v>38</v>
      </c>
      <c r="D9051" t="s">
        <v>7</v>
      </c>
      <c r="E9051" t="e">
        <f>VLOOKUP(Cpi_[[#This Row],[Attribute]],#REF!,2,FALSE)</f>
        <v>#REF!</v>
      </c>
      <c r="F9051">
        <v>202.4</v>
      </c>
      <c r="G9051" s="42">
        <f>(Cpi_[[#This Row],[Value]]-F9050)/F9050</f>
        <v>0.22741055184960582</v>
      </c>
      <c r="H9051" t="str">
        <f>LEFT(Cpi_[[#This Row],[Month]],3)</f>
        <v>May</v>
      </c>
      <c r="I9051" t="str">
        <f>RIGHT(Cpi_[[#This Row],[Year]],2)</f>
        <v>22</v>
      </c>
      <c r="J9051" t="str">
        <f>Cpi_[[#This Row],[Column3]]&amp;"-"&amp;Cpi_[[#This Row],[Column4]]</f>
        <v>May-22</v>
      </c>
    </row>
    <row r="9052" spans="1:10" x14ac:dyDescent="0.3">
      <c r="A9052" t="s">
        <v>34</v>
      </c>
      <c r="B9052">
        <v>2022</v>
      </c>
      <c r="C9052" t="s">
        <v>38</v>
      </c>
      <c r="D9052" t="s">
        <v>8</v>
      </c>
      <c r="E9052" t="e">
        <f>VLOOKUP(Cpi_[[#This Row],[Attribute]],#REF!,2,FALSE)</f>
        <v>#REF!</v>
      </c>
      <c r="F9052">
        <v>171</v>
      </c>
      <c r="G9052" s="42">
        <f>(Cpi_[[#This Row],[Value]]-F9051)/F9051</f>
        <v>-0.15513833992094864</v>
      </c>
      <c r="H9052" t="str">
        <f>LEFT(Cpi_[[#This Row],[Month]],3)</f>
        <v>May</v>
      </c>
      <c r="I9052" t="str">
        <f>RIGHT(Cpi_[[#This Row],[Year]],2)</f>
        <v>22</v>
      </c>
      <c r="J9052" t="str">
        <f>Cpi_[[#This Row],[Column3]]&amp;"-"&amp;Cpi_[[#This Row],[Column4]]</f>
        <v>May-22</v>
      </c>
    </row>
    <row r="9053" spans="1:10" x14ac:dyDescent="0.3">
      <c r="A9053" t="s">
        <v>34</v>
      </c>
      <c r="B9053">
        <v>2022</v>
      </c>
      <c r="C9053" t="s">
        <v>38</v>
      </c>
      <c r="D9053" t="s">
        <v>9</v>
      </c>
      <c r="E9053" t="e">
        <f>VLOOKUP(Cpi_[[#This Row],[Attribute]],#REF!,2,FALSE)</f>
        <v>#REF!</v>
      </c>
      <c r="F9053">
        <v>174.9</v>
      </c>
      <c r="G9053" s="42">
        <f>(Cpi_[[#This Row],[Value]]-F9052)/F9052</f>
        <v>2.2807017543859682E-2</v>
      </c>
      <c r="H9053" t="str">
        <f>LEFT(Cpi_[[#This Row],[Month]],3)</f>
        <v>May</v>
      </c>
      <c r="I9053" t="str">
        <f>RIGHT(Cpi_[[#This Row],[Year]],2)</f>
        <v>22</v>
      </c>
      <c r="J9053" t="str">
        <f>Cpi_[[#This Row],[Column3]]&amp;"-"&amp;Cpi_[[#This Row],[Column4]]</f>
        <v>May-22</v>
      </c>
    </row>
    <row r="9054" spans="1:10" x14ac:dyDescent="0.3">
      <c r="A9054" t="s">
        <v>34</v>
      </c>
      <c r="B9054">
        <v>2022</v>
      </c>
      <c r="C9054" t="s">
        <v>38</v>
      </c>
      <c r="D9054" t="s">
        <v>10</v>
      </c>
      <c r="E9054" t="e">
        <f>VLOOKUP(Cpi_[[#This Row],[Attribute]],#REF!,2,FALSE)</f>
        <v>#REF!</v>
      </c>
      <c r="F9054">
        <v>164.7</v>
      </c>
      <c r="G9054" s="42">
        <f>(Cpi_[[#This Row],[Value]]-F9053)/F9053</f>
        <v>-5.8319039451115016E-2</v>
      </c>
      <c r="H9054" t="str">
        <f>LEFT(Cpi_[[#This Row],[Month]],3)</f>
        <v>May</v>
      </c>
      <c r="I9054" t="str">
        <f>RIGHT(Cpi_[[#This Row],[Year]],2)</f>
        <v>22</v>
      </c>
      <c r="J9054" t="str">
        <f>Cpi_[[#This Row],[Column3]]&amp;"-"&amp;Cpi_[[#This Row],[Column4]]</f>
        <v>May-22</v>
      </c>
    </row>
    <row r="9055" spans="1:10" x14ac:dyDescent="0.3">
      <c r="A9055" t="s">
        <v>34</v>
      </c>
      <c r="B9055">
        <v>2022</v>
      </c>
      <c r="C9055" t="s">
        <v>38</v>
      </c>
      <c r="D9055" t="s">
        <v>11</v>
      </c>
      <c r="E9055" t="e">
        <f>VLOOKUP(Cpi_[[#This Row],[Attribute]],#REF!,2,FALSE)</f>
        <v>#REF!</v>
      </c>
      <c r="F9055">
        <v>119.7</v>
      </c>
      <c r="G9055" s="42">
        <f>(Cpi_[[#This Row],[Value]]-F9054)/F9054</f>
        <v>-0.27322404371584691</v>
      </c>
      <c r="H9055" t="str">
        <f>LEFT(Cpi_[[#This Row],[Month]],3)</f>
        <v>May</v>
      </c>
      <c r="I9055" t="str">
        <f>RIGHT(Cpi_[[#This Row],[Year]],2)</f>
        <v>22</v>
      </c>
      <c r="J9055" t="str">
        <f>Cpi_[[#This Row],[Column3]]&amp;"-"&amp;Cpi_[[#This Row],[Column4]]</f>
        <v>May-22</v>
      </c>
    </row>
    <row r="9056" spans="1:10" x14ac:dyDescent="0.3">
      <c r="A9056" t="s">
        <v>34</v>
      </c>
      <c r="B9056">
        <v>2022</v>
      </c>
      <c r="C9056" t="s">
        <v>38</v>
      </c>
      <c r="D9056" t="s">
        <v>12</v>
      </c>
      <c r="E9056" t="e">
        <f>VLOOKUP(Cpi_[[#This Row],[Attribute]],#REF!,2,FALSE)</f>
        <v>#REF!</v>
      </c>
      <c r="F9056">
        <v>184.9</v>
      </c>
      <c r="G9056" s="42">
        <f>(Cpi_[[#This Row],[Value]]-F9055)/F9055</f>
        <v>0.54469507101086045</v>
      </c>
      <c r="H9056" t="str">
        <f>LEFT(Cpi_[[#This Row],[Month]],3)</f>
        <v>May</v>
      </c>
      <c r="I9056" t="str">
        <f>RIGHT(Cpi_[[#This Row],[Year]],2)</f>
        <v>22</v>
      </c>
      <c r="J9056" t="str">
        <f>Cpi_[[#This Row],[Column3]]&amp;"-"&amp;Cpi_[[#This Row],[Column4]]</f>
        <v>May-22</v>
      </c>
    </row>
    <row r="9057" spans="1:10" x14ac:dyDescent="0.3">
      <c r="A9057" t="s">
        <v>34</v>
      </c>
      <c r="B9057">
        <v>2022</v>
      </c>
      <c r="C9057" t="s">
        <v>38</v>
      </c>
      <c r="D9057" t="s">
        <v>13</v>
      </c>
      <c r="E9057" t="e">
        <f>VLOOKUP(Cpi_[[#This Row],[Attribute]],#REF!,2,FALSE)</f>
        <v>#REF!</v>
      </c>
      <c r="F9057">
        <v>167.1</v>
      </c>
      <c r="G9057" s="42">
        <f>(Cpi_[[#This Row],[Value]]-F9056)/F9056</f>
        <v>-9.6268253109789134E-2</v>
      </c>
      <c r="H9057" t="str">
        <f>LEFT(Cpi_[[#This Row],[Month]],3)</f>
        <v>May</v>
      </c>
      <c r="I9057" t="str">
        <f>RIGHT(Cpi_[[#This Row],[Year]],2)</f>
        <v>22</v>
      </c>
      <c r="J9057" t="str">
        <f>Cpi_[[#This Row],[Column3]]&amp;"-"&amp;Cpi_[[#This Row],[Column4]]</f>
        <v>May-22</v>
      </c>
    </row>
    <row r="9058" spans="1:10" x14ac:dyDescent="0.3">
      <c r="A9058" t="s">
        <v>34</v>
      </c>
      <c r="B9058">
        <v>2022</v>
      </c>
      <c r="C9058" t="s">
        <v>38</v>
      </c>
      <c r="D9058" t="s">
        <v>14</v>
      </c>
      <c r="E9058" t="e">
        <f>VLOOKUP(Cpi_[[#This Row],[Attribute]],#REF!,2,FALSE)</f>
        <v>#REF!</v>
      </c>
      <c r="F9058">
        <v>182.5</v>
      </c>
      <c r="G9058" s="42">
        <f>(Cpi_[[#This Row],[Value]]-F9057)/F9057</f>
        <v>9.2160383004189148E-2</v>
      </c>
      <c r="H9058" t="str">
        <f>LEFT(Cpi_[[#This Row],[Month]],3)</f>
        <v>May</v>
      </c>
      <c r="I9058" t="str">
        <f>RIGHT(Cpi_[[#This Row],[Year]],2)</f>
        <v>22</v>
      </c>
      <c r="J9058" t="str">
        <f>Cpi_[[#This Row],[Column3]]&amp;"-"&amp;Cpi_[[#This Row],[Column4]]</f>
        <v>May-22</v>
      </c>
    </row>
    <row r="9059" spans="1:10" x14ac:dyDescent="0.3">
      <c r="A9059" t="s">
        <v>34</v>
      </c>
      <c r="B9059">
        <v>2022</v>
      </c>
      <c r="C9059" t="s">
        <v>38</v>
      </c>
      <c r="D9059" t="s">
        <v>15</v>
      </c>
      <c r="E9059" t="e">
        <f>VLOOKUP(Cpi_[[#This Row],[Attribute]],#REF!,2,FALSE)</f>
        <v>#REF!</v>
      </c>
      <c r="F9059">
        <v>173.3</v>
      </c>
      <c r="G9059" s="42">
        <f>(Cpi_[[#This Row],[Value]]-F9058)/F9058</f>
        <v>-5.0410958904109529E-2</v>
      </c>
      <c r="H9059" t="str">
        <f>LEFT(Cpi_[[#This Row],[Month]],3)</f>
        <v>May</v>
      </c>
      <c r="I9059" t="str">
        <f>RIGHT(Cpi_[[#This Row],[Year]],2)</f>
        <v>22</v>
      </c>
      <c r="J9059" t="str">
        <f>Cpi_[[#This Row],[Column3]]&amp;"-"&amp;Cpi_[[#This Row],[Column4]]</f>
        <v>May-22</v>
      </c>
    </row>
    <row r="9060" spans="1:10" hidden="1" x14ac:dyDescent="0.3">
      <c r="A9060" t="s">
        <v>34</v>
      </c>
      <c r="B9060">
        <v>2022</v>
      </c>
      <c r="C9060" t="s">
        <v>38</v>
      </c>
      <c r="D9060" t="s">
        <v>16</v>
      </c>
      <c r="E9060" t="e">
        <f>VLOOKUP(Cpi_[[#This Row],[Attribute]],#REF!,2,FALSE)</f>
        <v>#REF!</v>
      </c>
      <c r="F9060">
        <v>194.1</v>
      </c>
      <c r="G9060">
        <f>(Cpi_[[#This Row],[Value]]-F9059)/F9059</f>
        <v>0.12002308136180025</v>
      </c>
      <c r="H9060" t="e" cm="1" vm="1">
        <f t="array" aca="1" ref="H9060" ca="1">VLOOKUP(Cpi_[[#This Row],[Year]:[Month]],crudeoil[],3,FALSE)</f>
        <v>#VALUE!</v>
      </c>
    </row>
    <row r="9061" spans="1:10" hidden="1" x14ac:dyDescent="0.3">
      <c r="A9061" t="s">
        <v>34</v>
      </c>
      <c r="B9061">
        <v>2022</v>
      </c>
      <c r="C9061" t="s">
        <v>38</v>
      </c>
      <c r="D9061" t="s">
        <v>17</v>
      </c>
      <c r="E9061" t="e">
        <f>VLOOKUP(Cpi_[[#This Row],[Attribute]],#REF!,2,FALSE)</f>
        <v>#REF!</v>
      </c>
      <c r="F9061">
        <v>175.6</v>
      </c>
      <c r="G9061">
        <f>(Cpi_[[#This Row],[Value]]-F9060)/F9060</f>
        <v>-9.5311695002575997E-2</v>
      </c>
      <c r="H9061" t="e" cm="1" vm="1">
        <f t="array" aca="1" ref="H9061" ca="1">VLOOKUP(Cpi_[[#This Row],[Year]:[Month]],crudeoil[],3,FALSE)</f>
        <v>#VALUE!</v>
      </c>
    </row>
    <row r="9062" spans="1:10" hidden="1" x14ac:dyDescent="0.3">
      <c r="A9062" t="s">
        <v>34</v>
      </c>
      <c r="B9062">
        <v>2022</v>
      </c>
      <c r="C9062" t="s">
        <v>38</v>
      </c>
      <c r="D9062" t="s">
        <v>18</v>
      </c>
      <c r="E9062" t="e">
        <f>VLOOKUP(Cpi_[[#This Row],[Attribute]],#REF!,2,FALSE)</f>
        <v>#REF!</v>
      </c>
      <c r="F9062">
        <v>168.4</v>
      </c>
      <c r="G9062">
        <f>(Cpi_[[#This Row],[Value]]-F9061)/F9061</f>
        <v>-4.1002277904327956E-2</v>
      </c>
      <c r="H9062" t="e" cm="1" vm="1">
        <f t="array" aca="1" ref="H9062" ca="1">VLOOKUP(Cpi_[[#This Row],[Year]:[Month]],crudeoil[],3,FALSE)</f>
        <v>#VALUE!</v>
      </c>
    </row>
    <row r="9063" spans="1:10" hidden="1" x14ac:dyDescent="0.3">
      <c r="A9063" t="s">
        <v>34</v>
      </c>
      <c r="B9063">
        <v>2022</v>
      </c>
      <c r="C9063" t="s">
        <v>38</v>
      </c>
      <c r="D9063" t="s">
        <v>19</v>
      </c>
      <c r="E9063" t="e">
        <f>VLOOKUP(Cpi_[[#This Row],[Attribute]],#REF!,2,FALSE)</f>
        <v>#REF!</v>
      </c>
      <c r="F9063">
        <v>174.6</v>
      </c>
      <c r="G9063">
        <f>(Cpi_[[#This Row],[Value]]-F9062)/F9062</f>
        <v>3.6817102137767149E-2</v>
      </c>
      <c r="H9063" t="e" cm="1" vm="1">
        <f t="array" aca="1" ref="H9063" ca="1">VLOOKUP(Cpi_[[#This Row],[Year]:[Month]],crudeoil[],3,FALSE)</f>
        <v>#VALUE!</v>
      </c>
    </row>
    <row r="9064" spans="1:10" hidden="1" x14ac:dyDescent="0.3">
      <c r="A9064" t="s">
        <v>34</v>
      </c>
      <c r="B9064">
        <v>2022</v>
      </c>
      <c r="C9064" t="s">
        <v>38</v>
      </c>
      <c r="D9064" t="s">
        <v>20</v>
      </c>
      <c r="E9064" t="e">
        <f>VLOOKUP(Cpi_[[#This Row],[Attribute]],#REF!,2,FALSE)</f>
        <v>#REF!</v>
      </c>
      <c r="F9064">
        <v>167.5</v>
      </c>
      <c r="G9064">
        <f>(Cpi_[[#This Row],[Value]]-F9063)/F9063</f>
        <v>-4.0664375715922074E-2</v>
      </c>
      <c r="H9064" t="e" cm="1" vm="1">
        <f t="array" aca="1" ref="H9064" ca="1">VLOOKUP(Cpi_[[#This Row],[Year]:[Month]],crudeoil[],3,FALSE)</f>
        <v>#VALUE!</v>
      </c>
    </row>
    <row r="9065" spans="1:10" hidden="1" x14ac:dyDescent="0.3">
      <c r="A9065" t="s">
        <v>34</v>
      </c>
      <c r="B9065">
        <v>2022</v>
      </c>
      <c r="C9065" t="s">
        <v>38</v>
      </c>
      <c r="D9065" t="s">
        <v>21</v>
      </c>
      <c r="E9065" t="e">
        <f>VLOOKUP(Cpi_[[#This Row],[Attribute]],#REF!,2,FALSE)</f>
        <v>#REF!</v>
      </c>
      <c r="F9065">
        <v>174.6</v>
      </c>
      <c r="G9065">
        <f>(Cpi_[[#This Row],[Value]]-F9064)/F9064</f>
        <v>4.2388059701492502E-2</v>
      </c>
      <c r="H9065" t="e" cm="1" vm="1">
        <f t="array" aca="1" ref="H9065" ca="1">VLOOKUP(Cpi_[[#This Row],[Year]:[Month]],crudeoil[],3,FALSE)</f>
        <v>#VALUE!</v>
      </c>
    </row>
    <row r="9066" spans="1:10" hidden="1" x14ac:dyDescent="0.3">
      <c r="A9066" t="s">
        <v>34</v>
      </c>
      <c r="B9066">
        <v>2022</v>
      </c>
      <c r="C9066" t="s">
        <v>38</v>
      </c>
      <c r="D9066" t="s">
        <v>22</v>
      </c>
      <c r="E9066" t="e">
        <f>VLOOKUP(Cpi_[[#This Row],[Attribute]],#REF!,2,FALSE)</f>
        <v>#REF!</v>
      </c>
      <c r="F9066">
        <v>165.2</v>
      </c>
      <c r="G9066">
        <f>(Cpi_[[#This Row],[Value]]-F9065)/F9065</f>
        <v>-5.3837342497136349E-2</v>
      </c>
      <c r="H9066" t="e" cm="1" vm="1">
        <f t="array" aca="1" ref="H9066" ca="1">VLOOKUP(Cpi_[[#This Row],[Year]:[Month]],crudeoil[],3,FALSE)</f>
        <v>#VALUE!</v>
      </c>
    </row>
    <row r="9067" spans="1:10" hidden="1" x14ac:dyDescent="0.3">
      <c r="A9067" t="s">
        <v>34</v>
      </c>
      <c r="B9067">
        <v>2022</v>
      </c>
      <c r="C9067" t="s">
        <v>38</v>
      </c>
      <c r="D9067" t="s">
        <v>23</v>
      </c>
      <c r="E9067" t="e">
        <f>VLOOKUP(Cpi_[[#This Row],[Attribute]],#REF!,2,FALSE)</f>
        <v>#REF!</v>
      </c>
      <c r="F9067">
        <v>174.8</v>
      </c>
      <c r="G9067">
        <f>(Cpi_[[#This Row],[Value]]-F9066)/F9066</f>
        <v>5.8111380145278592E-2</v>
      </c>
      <c r="H9067" t="e" cm="1" vm="1">
        <f t="array" aca="1" ref="H9067" ca="1">VLOOKUP(Cpi_[[#This Row],[Year]:[Month]],crudeoil[],3,FALSE)</f>
        <v>#VALUE!</v>
      </c>
    </row>
    <row r="9068" spans="1:10" hidden="1" x14ac:dyDescent="0.3">
      <c r="A9068" t="s">
        <v>34</v>
      </c>
      <c r="B9068">
        <v>2022</v>
      </c>
      <c r="C9068" t="s">
        <v>38</v>
      </c>
      <c r="D9068" t="s">
        <v>24</v>
      </c>
      <c r="E9068" t="e">
        <f>VLOOKUP(Cpi_[[#This Row],[Attribute]],#REF!,2,FALSE)</f>
        <v>#REF!</v>
      </c>
      <c r="F9068">
        <v>163</v>
      </c>
      <c r="G9068">
        <f>(Cpi_[[#This Row],[Value]]-F9067)/F9067</f>
        <v>-6.7505720823798687E-2</v>
      </c>
      <c r="H9068" t="e" cm="1" vm="1">
        <f t="array" aca="1" ref="H9068" ca="1">VLOOKUP(Cpi_[[#This Row],[Year]:[Month]],crudeoil[],3,FALSE)</f>
        <v>#VALUE!</v>
      </c>
    </row>
    <row r="9069" spans="1:10" hidden="1" x14ac:dyDescent="0.3">
      <c r="A9069" t="s">
        <v>34</v>
      </c>
      <c r="B9069">
        <v>2022</v>
      </c>
      <c r="C9069" t="s">
        <v>38</v>
      </c>
      <c r="D9069" t="s">
        <v>25</v>
      </c>
      <c r="E9069" t="e">
        <f>VLOOKUP(Cpi_[[#This Row],[Attribute]],#REF!,2,FALSE)</f>
        <v>#REF!</v>
      </c>
      <c r="F9069">
        <v>165.1</v>
      </c>
      <c r="G9069">
        <f>(Cpi_[[#This Row],[Value]]-F9068)/F9068</f>
        <v>1.2883435582822051E-2</v>
      </c>
      <c r="H9069" t="e" cm="1" vm="1">
        <f t="array" aca="1" ref="H9069" ca="1">VLOOKUP(Cpi_[[#This Row],[Year]:[Month]],crudeoil[],3,FALSE)</f>
        <v>#VALUE!</v>
      </c>
    </row>
    <row r="9070" spans="1:10" hidden="1" x14ac:dyDescent="0.3">
      <c r="A9070" t="s">
        <v>34</v>
      </c>
      <c r="B9070">
        <v>2022</v>
      </c>
      <c r="C9070" t="s">
        <v>38</v>
      </c>
      <c r="D9070" t="s">
        <v>26</v>
      </c>
      <c r="E9070" t="e">
        <f>VLOOKUP(Cpi_[[#This Row],[Attribute]],#REF!,2,FALSE)</f>
        <v>#REF!</v>
      </c>
      <c r="F9070">
        <v>167.9</v>
      </c>
      <c r="G9070">
        <f>(Cpi_[[#This Row],[Value]]-F9069)/F9069</f>
        <v>1.6959418534221754E-2</v>
      </c>
      <c r="H9070" t="e" cm="1" vm="1">
        <f t="array" aca="1" ref="H9070" ca="1">VLOOKUP(Cpi_[[#This Row],[Year]:[Month]],crudeoil[],3,FALSE)</f>
        <v>#VALUE!</v>
      </c>
    </row>
    <row r="9071" spans="1:10" hidden="1" x14ac:dyDescent="0.3">
      <c r="A9071" t="s">
        <v>34</v>
      </c>
      <c r="B9071">
        <v>2022</v>
      </c>
      <c r="C9071" t="s">
        <v>38</v>
      </c>
      <c r="D9071" t="s">
        <v>27</v>
      </c>
      <c r="E9071" t="e">
        <f>VLOOKUP(Cpi_[[#This Row],[Attribute]],#REF!,2,FALSE)</f>
        <v>#REF!</v>
      </c>
      <c r="F9071">
        <v>168.4</v>
      </c>
      <c r="G9071">
        <f>(Cpi_[[#This Row],[Value]]-F9070)/F9070</f>
        <v>2.9779630732578916E-3</v>
      </c>
      <c r="H9071" t="e" cm="1" vm="1">
        <f t="array" aca="1" ref="H9071" ca="1">VLOOKUP(Cpi_[[#This Row],[Year]:[Month]],crudeoil[],3,FALSE)</f>
        <v>#VALUE!</v>
      </c>
    </row>
    <row r="9072" spans="1:10" hidden="1" x14ac:dyDescent="0.3">
      <c r="A9072" t="s">
        <v>34</v>
      </c>
      <c r="B9072">
        <v>2022</v>
      </c>
      <c r="C9072" t="s">
        <v>38</v>
      </c>
      <c r="D9072" t="s">
        <v>28</v>
      </c>
      <c r="E9072" t="e">
        <f>VLOOKUP(Cpi_[[#This Row],[Attribute]],#REF!,2,FALSE)</f>
        <v>#REF!</v>
      </c>
      <c r="F9072">
        <v>167.5</v>
      </c>
      <c r="G9072">
        <f>(Cpi_[[#This Row],[Value]]-F9071)/F9071</f>
        <v>-5.3444180522565655E-3</v>
      </c>
      <c r="H9072" t="e" cm="1" vm="1">
        <f t="array" aca="1" ref="H9072" ca="1">VLOOKUP(Cpi_[[#This Row],[Year]:[Month]],crudeoil[],3,FALSE)</f>
        <v>#VALUE!</v>
      </c>
    </row>
    <row r="9073" spans="1:8" hidden="1" x14ac:dyDescent="0.3">
      <c r="A9073" t="s">
        <v>34</v>
      </c>
      <c r="B9073">
        <v>2022</v>
      </c>
      <c r="C9073" t="s">
        <v>38</v>
      </c>
      <c r="D9073" t="s">
        <v>29</v>
      </c>
      <c r="E9073" t="e" cm="1">
        <f t="array" aca="1" ref="E9073" ca="1">VLGeneral indexGeneral indexKUP(Cpi_[[#This Row],[Attribute]],#REF!,2,FALSE)</f>
        <v>#NAME?</v>
      </c>
      <c r="F9073">
        <v>171.7</v>
      </c>
      <c r="G9073">
        <f>(Cpi_[[#This Row],[Value]]-F9072)/F9072</f>
        <v>2.5074626865671575E-2</v>
      </c>
      <c r="H9073" t="e" cm="1" vm="1">
        <f t="array" aca="1" ref="H9073" ca="1">VLOOKUP(Cpi_[[#This Row],[Year]:[Month]],crudeoil[],3,FALSE)</f>
        <v>#VALUE!</v>
      </c>
    </row>
    <row r="9074" spans="1:8" hidden="1" x14ac:dyDescent="0.3">
      <c r="A9074" t="s">
        <v>30</v>
      </c>
      <c r="B9074">
        <v>2022</v>
      </c>
      <c r="C9074" t="s">
        <v>39</v>
      </c>
      <c r="D9074" t="s">
        <v>3</v>
      </c>
      <c r="E9074" t="e">
        <f>VLOOKUP(Cpi_[[#This Row],[Attribute]],#REF!,2,FALSE)</f>
        <v>#REF!</v>
      </c>
      <c r="F9074">
        <v>153.80000000000001</v>
      </c>
      <c r="G9074">
        <f>(Cpi_[[#This Row],[Value]]-F9073)/F9073</f>
        <v>-0.10425160163075119</v>
      </c>
      <c r="H9074" t="e" cm="1" vm="1">
        <f t="array" aca="1" ref="H9074" ca="1">VLOOKUP(Cpi_[[#This Row],[Year]:[Month]],crudeoil[],3,FALSE)</f>
        <v>#VALUE!</v>
      </c>
    </row>
    <row r="9075" spans="1:8" hidden="1" x14ac:dyDescent="0.3">
      <c r="A9075" t="s">
        <v>30</v>
      </c>
      <c r="B9075">
        <v>2022</v>
      </c>
      <c r="C9075" t="s">
        <v>39</v>
      </c>
      <c r="D9075" t="s">
        <v>4</v>
      </c>
      <c r="E9075" t="e">
        <f>VLOOKUP(Cpi_[[#This Row],[Attribute]],#REF!,2,FALSE)</f>
        <v>#REF!</v>
      </c>
      <c r="F9075">
        <v>217.2</v>
      </c>
      <c r="G9075">
        <f>(Cpi_[[#This Row],[Value]]-F9074)/F9074</f>
        <v>0.41222366710012986</v>
      </c>
      <c r="H9075" t="e" cm="1" vm="1">
        <f t="array" aca="1" ref="H9075" ca="1">VLOOKUP(Cpi_[[#This Row],[Year]:[Month]],crudeoil[],3,FALSE)</f>
        <v>#VALUE!</v>
      </c>
    </row>
    <row r="9076" spans="1:8" hidden="1" x14ac:dyDescent="0.3">
      <c r="A9076" t="s">
        <v>30</v>
      </c>
      <c r="B9076">
        <v>2022</v>
      </c>
      <c r="C9076" t="s">
        <v>39</v>
      </c>
      <c r="D9076" t="s">
        <v>5</v>
      </c>
      <c r="E9076" t="e">
        <f>VLOOKUP(Cpi_[[#This Row],[Attribute]],#REF!,2,FALSE)</f>
        <v>#REF!</v>
      </c>
      <c r="F9076">
        <v>169.6</v>
      </c>
      <c r="G9076">
        <f>(Cpi_[[#This Row],[Value]]-F9075)/F9075</f>
        <v>-0.21915285451197053</v>
      </c>
      <c r="H9076" t="e" cm="1" vm="1">
        <f t="array" aca="1" ref="H9076" ca="1">VLOOKUP(Cpi_[[#This Row],[Year]:[Month]],crudeoil[],3,FALSE)</f>
        <v>#VALUE!</v>
      </c>
    </row>
    <row r="9077" spans="1:8" hidden="1" x14ac:dyDescent="0.3">
      <c r="A9077" t="s">
        <v>30</v>
      </c>
      <c r="B9077">
        <v>2022</v>
      </c>
      <c r="C9077" t="s">
        <v>39</v>
      </c>
      <c r="D9077" t="s">
        <v>6</v>
      </c>
      <c r="E9077" t="e">
        <f>VLOOKUP(Cpi_[[#This Row],[Attribute]],#REF!,2,FALSE)</f>
        <v>#REF!</v>
      </c>
      <c r="F9077">
        <v>165.4</v>
      </c>
      <c r="G9077">
        <f>(Cpi_[[#This Row],[Value]]-F9076)/F9076</f>
        <v>-2.4764150943396162E-2</v>
      </c>
      <c r="H9077" t="e" cm="1" vm="1">
        <f t="array" aca="1" ref="H9077" ca="1">VLOOKUP(Cpi_[[#This Row],[Year]:[Month]],crudeoil[],3,FALSE)</f>
        <v>#VALUE!</v>
      </c>
    </row>
    <row r="9078" spans="1:8" hidden="1" x14ac:dyDescent="0.3">
      <c r="A9078" t="s">
        <v>30</v>
      </c>
      <c r="B9078">
        <v>2022</v>
      </c>
      <c r="C9078" t="s">
        <v>39</v>
      </c>
      <c r="D9078" t="s">
        <v>7</v>
      </c>
      <c r="E9078" t="e">
        <f>VLOOKUP(Cpi_[[#This Row],[Attribute]],#REF!,2,FALSE)</f>
        <v>#REF!</v>
      </c>
      <c r="F9078">
        <v>208.1</v>
      </c>
      <c r="G9078">
        <f>(Cpi_[[#This Row],[Value]]-F9077)/F9077</f>
        <v>0.25816203143893585</v>
      </c>
      <c r="H9078" t="e" cm="1" vm="1">
        <f t="array" aca="1" ref="H9078" ca="1">VLOOKUP(Cpi_[[#This Row],[Year]:[Month]],crudeoil[],3,FALSE)</f>
        <v>#VALUE!</v>
      </c>
    </row>
    <row r="9079" spans="1:8" hidden="1" x14ac:dyDescent="0.3">
      <c r="A9079" t="s">
        <v>30</v>
      </c>
      <c r="B9079">
        <v>2022</v>
      </c>
      <c r="C9079" t="s">
        <v>39</v>
      </c>
      <c r="D9079" t="s">
        <v>8</v>
      </c>
      <c r="E9079" t="e">
        <f>VLOOKUP(Cpi_[[#This Row],[Attribute]],#REF!,2,FALSE)</f>
        <v>#REF!</v>
      </c>
      <c r="F9079">
        <v>165.8</v>
      </c>
      <c r="G9079">
        <f>(Cpi_[[#This Row],[Value]]-F9078)/F9078</f>
        <v>-0.20326765977895234</v>
      </c>
      <c r="H9079" t="e" cm="1" vm="1">
        <f t="array" aca="1" ref="H9079" ca="1">VLOOKUP(Cpi_[[#This Row],[Year]:[Month]],crudeoil[],3,FALSE)</f>
        <v>#VALUE!</v>
      </c>
    </row>
    <row r="9080" spans="1:8" hidden="1" x14ac:dyDescent="0.3">
      <c r="A9080" t="s">
        <v>30</v>
      </c>
      <c r="B9080">
        <v>2022</v>
      </c>
      <c r="C9080" t="s">
        <v>39</v>
      </c>
      <c r="D9080" t="s">
        <v>9</v>
      </c>
      <c r="E9080" t="e">
        <f>VLOOKUP(Cpi_[[#This Row],[Attribute]],#REF!,2,FALSE)</f>
        <v>#REF!</v>
      </c>
      <c r="F9080">
        <v>167.3</v>
      </c>
      <c r="G9080">
        <f>(Cpi_[[#This Row],[Value]]-F9079)/F9079</f>
        <v>9.0470446320868505E-3</v>
      </c>
      <c r="H9080" t="e" cm="1" vm="1">
        <f t="array" aca="1" ref="H9080" ca="1">VLOOKUP(Cpi_[[#This Row],[Year]:[Month]],crudeoil[],3,FALSE)</f>
        <v>#VALUE!</v>
      </c>
    </row>
    <row r="9081" spans="1:8" hidden="1" x14ac:dyDescent="0.3">
      <c r="A9081" t="s">
        <v>30</v>
      </c>
      <c r="B9081">
        <v>2022</v>
      </c>
      <c r="C9081" t="s">
        <v>39</v>
      </c>
      <c r="D9081" t="s">
        <v>10</v>
      </c>
      <c r="E9081" t="e">
        <f>VLOOKUP(Cpi_[[#This Row],[Attribute]],#REF!,2,FALSE)</f>
        <v>#REF!</v>
      </c>
      <c r="F9081">
        <v>164.6</v>
      </c>
      <c r="G9081">
        <f>(Cpi_[[#This Row],[Value]]-F9080)/F9080</f>
        <v>-1.6138673042438833E-2</v>
      </c>
      <c r="H9081" t="e" cm="1" vm="1">
        <f t="array" aca="1" ref="H9081" ca="1">VLOOKUP(Cpi_[[#This Row],[Year]:[Month]],crudeoil[],3,FALSE)</f>
        <v>#VALUE!</v>
      </c>
    </row>
    <row r="9082" spans="1:8" hidden="1" x14ac:dyDescent="0.3">
      <c r="A9082" t="s">
        <v>30</v>
      </c>
      <c r="B9082">
        <v>2022</v>
      </c>
      <c r="C9082" t="s">
        <v>39</v>
      </c>
      <c r="D9082" t="s">
        <v>11</v>
      </c>
      <c r="E9082" t="e">
        <f>VLOOKUP(Cpi_[[#This Row],[Attribute]],#REF!,2,FALSE)</f>
        <v>#REF!</v>
      </c>
      <c r="F9082">
        <v>119.1</v>
      </c>
      <c r="G9082">
        <f>(Cpi_[[#This Row],[Value]]-F9081)/F9081</f>
        <v>-0.27642770352369384</v>
      </c>
      <c r="H9082" t="e" cm="1" vm="1">
        <f t="array" aca="1" ref="H9082" ca="1">VLOOKUP(Cpi_[[#This Row],[Year]:[Month]],crudeoil[],3,FALSE)</f>
        <v>#VALUE!</v>
      </c>
    </row>
    <row r="9083" spans="1:8" hidden="1" x14ac:dyDescent="0.3">
      <c r="A9083" t="s">
        <v>30</v>
      </c>
      <c r="B9083">
        <v>2022</v>
      </c>
      <c r="C9083" t="s">
        <v>39</v>
      </c>
      <c r="D9083" t="s">
        <v>12</v>
      </c>
      <c r="E9083" t="e">
        <f>VLOOKUP(Cpi_[[#This Row],[Attribute]],#REF!,2,FALSE)</f>
        <v>#REF!</v>
      </c>
      <c r="F9083">
        <v>188.9</v>
      </c>
      <c r="G9083">
        <f>(Cpi_[[#This Row],[Value]]-F9082)/F9082</f>
        <v>0.58606213266162899</v>
      </c>
      <c r="H9083" t="e" cm="1" vm="1">
        <f t="array" aca="1" ref="H9083" ca="1">VLOOKUP(Cpi_[[#This Row],[Year]:[Month]],crudeoil[],3,FALSE)</f>
        <v>#VALUE!</v>
      </c>
    </row>
    <row r="9084" spans="1:8" hidden="1" x14ac:dyDescent="0.3">
      <c r="A9084" t="s">
        <v>30</v>
      </c>
      <c r="B9084">
        <v>2022</v>
      </c>
      <c r="C9084" t="s">
        <v>39</v>
      </c>
      <c r="D9084" t="s">
        <v>13</v>
      </c>
      <c r="E9084" t="e">
        <f>VLOOKUP(Cpi_[[#This Row],[Attribute]],#REF!,2,FALSE)</f>
        <v>#REF!</v>
      </c>
      <c r="F9084">
        <v>174.2</v>
      </c>
      <c r="G9084">
        <f>(Cpi_[[#This Row],[Value]]-F9083)/F9083</f>
        <v>-7.7818951826363239E-2</v>
      </c>
      <c r="H9084" t="e" cm="1" vm="1">
        <f t="array" aca="1" ref="H9084" ca="1">VLOOKUP(Cpi_[[#This Row],[Year]:[Month]],crudeoil[],3,FALSE)</f>
        <v>#VALUE!</v>
      </c>
    </row>
    <row r="9085" spans="1:8" hidden="1" x14ac:dyDescent="0.3">
      <c r="A9085" t="s">
        <v>30</v>
      </c>
      <c r="B9085">
        <v>2022</v>
      </c>
      <c r="C9085" t="s">
        <v>39</v>
      </c>
      <c r="D9085" t="s">
        <v>14</v>
      </c>
      <c r="E9085" t="e">
        <f>VLOOKUP(Cpi_[[#This Row],[Attribute]],#REF!,2,FALSE)</f>
        <v>#REF!</v>
      </c>
      <c r="F9085">
        <v>181.9</v>
      </c>
      <c r="G9085">
        <f>(Cpi_[[#This Row],[Value]]-F9084)/F9084</f>
        <v>4.420206659012639E-2</v>
      </c>
      <c r="H9085" t="e" cm="1" vm="1">
        <f t="array" aca="1" ref="H9085" ca="1">VLOOKUP(Cpi_[[#This Row],[Year]:[Month]],crudeoil[],3,FALSE)</f>
        <v>#VALUE!</v>
      </c>
    </row>
    <row r="9086" spans="1:8" hidden="1" x14ac:dyDescent="0.3">
      <c r="A9086" t="s">
        <v>30</v>
      </c>
      <c r="B9086">
        <v>2022</v>
      </c>
      <c r="C9086" t="s">
        <v>39</v>
      </c>
      <c r="D9086" t="s">
        <v>15</v>
      </c>
      <c r="E9086" t="e">
        <f>VLOOKUP(Cpi_[[#This Row],[Attribute]],#REF!,2,FALSE)</f>
        <v>#REF!</v>
      </c>
      <c r="F9086">
        <v>172.4</v>
      </c>
      <c r="G9086">
        <f>(Cpi_[[#This Row],[Value]]-F9085)/F9085</f>
        <v>-5.2226498075865858E-2</v>
      </c>
      <c r="H9086" t="e" cm="1" vm="1">
        <f t="array" aca="1" ref="H9086" ca="1">VLOOKUP(Cpi_[[#This Row],[Year]:[Month]],crudeoil[],3,FALSE)</f>
        <v>#VALUE!</v>
      </c>
    </row>
    <row r="9087" spans="1:8" hidden="1" x14ac:dyDescent="0.3">
      <c r="A9087" t="s">
        <v>30</v>
      </c>
      <c r="B9087">
        <v>2022</v>
      </c>
      <c r="C9087" t="s">
        <v>39</v>
      </c>
      <c r="D9087" t="s">
        <v>16</v>
      </c>
      <c r="E9087" t="e">
        <f>VLOOKUP(Cpi_[[#This Row],[Attribute]],#REF!,2,FALSE)</f>
        <v>#REF!</v>
      </c>
      <c r="F9087">
        <v>192.9</v>
      </c>
      <c r="G9087">
        <f>(Cpi_[[#This Row],[Value]]-F9086)/F9086</f>
        <v>0.11890951276102088</v>
      </c>
      <c r="H9087" t="e" cm="1" vm="1">
        <f t="array" aca="1" ref="H9087" ca="1">VLOOKUP(Cpi_[[#This Row],[Year]:[Month]],crudeoil[],3,FALSE)</f>
        <v>#VALUE!</v>
      </c>
    </row>
    <row r="9088" spans="1:8" hidden="1" x14ac:dyDescent="0.3">
      <c r="A9088" t="s">
        <v>30</v>
      </c>
      <c r="B9088">
        <v>2022</v>
      </c>
      <c r="C9088" t="s">
        <v>39</v>
      </c>
      <c r="D9088" t="s">
        <v>17</v>
      </c>
      <c r="E9088" t="e">
        <f>VLOOKUP(Cpi_[[#This Row],[Attribute]],#REF!,2,FALSE)</f>
        <v>#REF!</v>
      </c>
      <c r="F9088">
        <v>180.7</v>
      </c>
      <c r="G9088">
        <f>(Cpi_[[#This Row],[Value]]-F9087)/F9087</f>
        <v>-6.3245204769310615E-2</v>
      </c>
      <c r="H9088" t="e" cm="1" vm="1">
        <f t="array" aca="1" ref="H9088" ca="1">VLOOKUP(Cpi_[[#This Row],[Year]:[Month]],crudeoil[],3,FALSE)</f>
        <v>#VALUE!</v>
      </c>
    </row>
    <row r="9089" spans="1:8" hidden="1" x14ac:dyDescent="0.3">
      <c r="A9089" t="s">
        <v>30</v>
      </c>
      <c r="B9089">
        <v>2022</v>
      </c>
      <c r="C9089" t="s">
        <v>39</v>
      </c>
      <c r="D9089" t="s">
        <v>18</v>
      </c>
      <c r="E9089" t="e">
        <f>VLOOKUP(Cpi_[[#This Row],[Attribute]],#REF!,2,FALSE)</f>
        <v>#REF!</v>
      </c>
      <c r="F9089">
        <v>178.7</v>
      </c>
      <c r="G9089">
        <f>(Cpi_[[#This Row],[Value]]-F9088)/F9088</f>
        <v>-1.1068068622025458E-2</v>
      </c>
      <c r="H9089" t="e" cm="1" vm="1">
        <f t="array" aca="1" ref="H9089" ca="1">VLOOKUP(Cpi_[[#This Row],[Year]:[Month]],crudeoil[],3,FALSE)</f>
        <v>#VALUE!</v>
      </c>
    </row>
    <row r="9090" spans="1:8" hidden="1" x14ac:dyDescent="0.3">
      <c r="A9090" t="s">
        <v>30</v>
      </c>
      <c r="B9090">
        <v>2022</v>
      </c>
      <c r="C9090" t="s">
        <v>39</v>
      </c>
      <c r="D9090" t="s">
        <v>19</v>
      </c>
      <c r="E9090" t="e">
        <f>VLOOKUP(Cpi_[[#This Row],[Attribute]],#REF!,2,FALSE)</f>
        <v>#REF!</v>
      </c>
      <c r="F9090">
        <v>180.4</v>
      </c>
      <c r="G9090">
        <f>(Cpi_[[#This Row],[Value]]-F9089)/F9089</f>
        <v>9.5131505316173315E-3</v>
      </c>
      <c r="H9090" t="e" cm="1" vm="1">
        <f t="array" aca="1" ref="H9090" ca="1">VLOOKUP(Cpi_[[#This Row],[Year]:[Month]],crudeoil[],3,FALSE)</f>
        <v>#VALUE!</v>
      </c>
    </row>
    <row r="9091" spans="1:8" hidden="1" x14ac:dyDescent="0.3">
      <c r="A9091" t="s">
        <v>30</v>
      </c>
      <c r="B9091">
        <v>2022</v>
      </c>
      <c r="C9091" t="s">
        <v>39</v>
      </c>
      <c r="D9091" t="s">
        <v>20</v>
      </c>
      <c r="E9091" t="e">
        <f>VLOOKUP(Cpi_[[#This Row],[Attribute]],#REF!,2,FALSE)</f>
        <v>#REF!</v>
      </c>
      <c r="F9091" t="s">
        <v>32</v>
      </c>
      <c r="G9091" t="e">
        <f>(Cpi_[[#This Row],[Value]]-F9090)/F9090</f>
        <v>#VALUE!</v>
      </c>
      <c r="H9091" t="e" cm="1" vm="1">
        <f t="array" aca="1" ref="H9091" ca="1">VLOOKUP(Cpi_[[#This Row],[Year]:[Month]],crudeoil[],3,FALSE)</f>
        <v>#VALUE!</v>
      </c>
    </row>
    <row r="9092" spans="1:8" hidden="1" x14ac:dyDescent="0.3">
      <c r="A9092" t="s">
        <v>30</v>
      </c>
      <c r="B9092">
        <v>2022</v>
      </c>
      <c r="C9092" t="s">
        <v>39</v>
      </c>
      <c r="D9092" t="s">
        <v>21</v>
      </c>
      <c r="E9092" t="e">
        <f>VLOOKUP(Cpi_[[#This Row],[Attribute]],#REF!,2,FALSE)</f>
        <v>#REF!</v>
      </c>
      <c r="F9092">
        <v>176.7</v>
      </c>
      <c r="G9092" t="e">
        <f>(Cpi_[[#This Row],[Value]]-F9091)/F9091</f>
        <v>#VALUE!</v>
      </c>
      <c r="H9092" t="e" cm="1" vm="1">
        <f t="array" aca="1" ref="H9092" ca="1">VLOOKUP(Cpi_[[#This Row],[Year]:[Month]],crudeoil[],3,FALSE)</f>
        <v>#VALUE!</v>
      </c>
    </row>
    <row r="9093" spans="1:8" hidden="1" x14ac:dyDescent="0.3">
      <c r="A9093" t="s">
        <v>30</v>
      </c>
      <c r="B9093">
        <v>2022</v>
      </c>
      <c r="C9093" t="s">
        <v>39</v>
      </c>
      <c r="D9093" t="s">
        <v>22</v>
      </c>
      <c r="E9093" t="e">
        <f>VLOOKUP(Cpi_[[#This Row],[Attribute]],#REF!,2,FALSE)</f>
        <v>#REF!</v>
      </c>
      <c r="F9093">
        <v>170.3</v>
      </c>
      <c r="G9093">
        <f>(Cpi_[[#This Row],[Value]]-F9092)/F9092</f>
        <v>-3.6219581211092124E-2</v>
      </c>
      <c r="H9093" t="e" cm="1" vm="1">
        <f t="array" aca="1" ref="H9093" ca="1">VLOOKUP(Cpi_[[#This Row],[Year]:[Month]],crudeoil[],3,FALSE)</f>
        <v>#VALUE!</v>
      </c>
    </row>
    <row r="9094" spans="1:8" hidden="1" x14ac:dyDescent="0.3">
      <c r="A9094" t="s">
        <v>30</v>
      </c>
      <c r="B9094">
        <v>2022</v>
      </c>
      <c r="C9094" t="s">
        <v>39</v>
      </c>
      <c r="D9094" t="s">
        <v>23</v>
      </c>
      <c r="E9094" t="e">
        <f>VLOOKUP(Cpi_[[#This Row],[Attribute]],#REF!,2,FALSE)</f>
        <v>#REF!</v>
      </c>
      <c r="F9094">
        <v>178.2</v>
      </c>
      <c r="G9094">
        <f>(Cpi_[[#This Row],[Value]]-F9093)/F9093</f>
        <v>4.6388725778038618E-2</v>
      </c>
      <c r="H9094" t="e" cm="1" vm="1">
        <f t="array" aca="1" ref="H9094" ca="1">VLOOKUP(Cpi_[[#This Row],[Year]:[Month]],crudeoil[],3,FALSE)</f>
        <v>#VALUE!</v>
      </c>
    </row>
    <row r="9095" spans="1:8" hidden="1" x14ac:dyDescent="0.3">
      <c r="A9095" t="s">
        <v>30</v>
      </c>
      <c r="B9095">
        <v>2022</v>
      </c>
      <c r="C9095" t="s">
        <v>39</v>
      </c>
      <c r="D9095" t="s">
        <v>24</v>
      </c>
      <c r="E9095" t="e">
        <f>VLOOKUP(Cpi_[[#This Row],[Attribute]],#REF!,2,FALSE)</f>
        <v>#REF!</v>
      </c>
      <c r="F9095">
        <v>165.5</v>
      </c>
      <c r="G9095">
        <f>(Cpi_[[#This Row],[Value]]-F9094)/F9094</f>
        <v>-7.1268237934904541E-2</v>
      </c>
      <c r="H9095" t="e" cm="1" vm="1">
        <f t="array" aca="1" ref="H9095" ca="1">VLOOKUP(Cpi_[[#This Row],[Year]:[Month]],crudeoil[],3,FALSE)</f>
        <v>#VALUE!</v>
      </c>
    </row>
    <row r="9096" spans="1:8" hidden="1" x14ac:dyDescent="0.3">
      <c r="A9096" t="s">
        <v>30</v>
      </c>
      <c r="B9096">
        <v>2022</v>
      </c>
      <c r="C9096" t="s">
        <v>39</v>
      </c>
      <c r="D9096" t="s">
        <v>25</v>
      </c>
      <c r="E9096" t="e">
        <f>VLOOKUP(Cpi_[[#This Row],[Attribute]],#REF!,2,FALSE)</f>
        <v>#REF!</v>
      </c>
      <c r="F9096">
        <v>168</v>
      </c>
      <c r="G9096">
        <f>(Cpi_[[#This Row],[Value]]-F9095)/F9095</f>
        <v>1.5105740181268883E-2</v>
      </c>
      <c r="H9096" t="e" cm="1" vm="1">
        <f t="array" aca="1" ref="H9096" ca="1">VLOOKUP(Cpi_[[#This Row],[Year]:[Month]],crudeoil[],3,FALSE)</f>
        <v>#VALUE!</v>
      </c>
    </row>
    <row r="9097" spans="1:8" hidden="1" x14ac:dyDescent="0.3">
      <c r="A9097" t="s">
        <v>30</v>
      </c>
      <c r="B9097">
        <v>2022</v>
      </c>
      <c r="C9097" t="s">
        <v>39</v>
      </c>
      <c r="D9097" t="s">
        <v>26</v>
      </c>
      <c r="E9097" t="e">
        <f>VLOOKUP(Cpi_[[#This Row],[Attribute]],#REF!,2,FALSE)</f>
        <v>#REF!</v>
      </c>
      <c r="F9097">
        <v>172.6</v>
      </c>
      <c r="G9097">
        <f>(Cpi_[[#This Row],[Value]]-F9096)/F9096</f>
        <v>2.7380952380952346E-2</v>
      </c>
      <c r="H9097" t="e" cm="1" vm="1">
        <f t="array" aca="1" ref="H9097" ca="1">VLOOKUP(Cpi_[[#This Row],[Year]:[Month]],crudeoil[],3,FALSE)</f>
        <v>#VALUE!</v>
      </c>
    </row>
    <row r="9098" spans="1:8" hidden="1" x14ac:dyDescent="0.3">
      <c r="A9098" t="s">
        <v>30</v>
      </c>
      <c r="B9098">
        <v>2022</v>
      </c>
      <c r="C9098" t="s">
        <v>39</v>
      </c>
      <c r="D9098" t="s">
        <v>27</v>
      </c>
      <c r="E9098" t="e">
        <f>VLOOKUP(Cpi_[[#This Row],[Attribute]],#REF!,2,FALSE)</f>
        <v>#REF!</v>
      </c>
      <c r="F9098">
        <v>169.5</v>
      </c>
      <c r="G9098">
        <f>(Cpi_[[#This Row],[Value]]-F9097)/F9097</f>
        <v>-1.7960602549246783E-2</v>
      </c>
      <c r="H9098" t="e" cm="1" vm="1">
        <f t="array" aca="1" ref="H9098" ca="1">VLOOKUP(Cpi_[[#This Row],[Year]:[Month]],crudeoil[],3,FALSE)</f>
        <v>#VALUE!</v>
      </c>
    </row>
    <row r="9099" spans="1:8" hidden="1" x14ac:dyDescent="0.3">
      <c r="A9099" t="s">
        <v>30</v>
      </c>
      <c r="B9099">
        <v>2022</v>
      </c>
      <c r="C9099" t="s">
        <v>39</v>
      </c>
      <c r="D9099" t="s">
        <v>28</v>
      </c>
      <c r="E9099" t="e">
        <f>VLOOKUP(Cpi_[[#This Row],[Attribute]],#REF!,2,FALSE)</f>
        <v>#REF!</v>
      </c>
      <c r="F9099">
        <v>171</v>
      </c>
      <c r="G9099">
        <f>(Cpi_[[#This Row],[Value]]-F9098)/F9098</f>
        <v>8.8495575221238937E-3</v>
      </c>
      <c r="H9099" t="e" cm="1" vm="1">
        <f t="array" aca="1" ref="H9099" ca="1">VLOOKUP(Cpi_[[#This Row],[Year]:[Month]],crudeoil[],3,FALSE)</f>
        <v>#VALUE!</v>
      </c>
    </row>
    <row r="9100" spans="1:8" hidden="1" x14ac:dyDescent="0.3">
      <c r="A9100" t="s">
        <v>30</v>
      </c>
      <c r="B9100">
        <v>2022</v>
      </c>
      <c r="C9100" t="s">
        <v>39</v>
      </c>
      <c r="D9100" t="s">
        <v>29</v>
      </c>
      <c r="E9100" t="e" cm="1">
        <f t="array" aca="1" ref="E9100" ca="1">VLGeneral indexGeneral indexKUP(Cpi_[[#This Row],[Attribute]],#REF!,2,FALSE)</f>
        <v>#NAME?</v>
      </c>
      <c r="F9100">
        <v>173.6</v>
      </c>
      <c r="G9100">
        <f>(Cpi_[[#This Row],[Value]]-F9099)/F9099</f>
        <v>1.5204678362573066E-2</v>
      </c>
      <c r="H9100" t="e" cm="1" vm="1">
        <f t="array" aca="1" ref="H9100" ca="1">VLOOKUP(Cpi_[[#This Row],[Year]:[Month]],crudeoil[],3,FALSE)</f>
        <v>#VALUE!</v>
      </c>
    </row>
    <row r="9101" spans="1:8" hidden="1" x14ac:dyDescent="0.3">
      <c r="A9101" t="s">
        <v>33</v>
      </c>
      <c r="B9101">
        <v>2022</v>
      </c>
      <c r="C9101" t="s">
        <v>39</v>
      </c>
      <c r="D9101" t="s">
        <v>3</v>
      </c>
      <c r="E9101" t="e">
        <f>VLOOKUP(Cpi_[[#This Row],[Attribute]],#REF!,2,FALSE)</f>
        <v>#REF!</v>
      </c>
      <c r="F9101">
        <v>157.5</v>
      </c>
      <c r="G9101">
        <f>(Cpi_[[#This Row],[Value]]-F9100)/F9100</f>
        <v>-9.2741935483870941E-2</v>
      </c>
      <c r="H9101" t="e" cm="1" vm="1">
        <f t="array" aca="1" ref="H9101" ca="1">VLOOKUP(Cpi_[[#This Row],[Year]:[Month]],crudeoil[],3,FALSE)</f>
        <v>#VALUE!</v>
      </c>
    </row>
    <row r="9102" spans="1:8" hidden="1" x14ac:dyDescent="0.3">
      <c r="A9102" t="s">
        <v>33</v>
      </c>
      <c r="B9102">
        <v>2022</v>
      </c>
      <c r="C9102" t="s">
        <v>39</v>
      </c>
      <c r="D9102" t="s">
        <v>4</v>
      </c>
      <c r="E9102" t="e">
        <f>VLOOKUP(Cpi_[[#This Row],[Attribute]],#REF!,2,FALSE)</f>
        <v>#REF!</v>
      </c>
      <c r="F9102">
        <v>223.4</v>
      </c>
      <c r="G9102">
        <f>(Cpi_[[#This Row],[Value]]-F9101)/F9101</f>
        <v>0.41841269841269846</v>
      </c>
      <c r="H9102" t="e" cm="1" vm="1">
        <f t="array" aca="1" ref="H9102" ca="1">VLOOKUP(Cpi_[[#This Row],[Year]:[Month]],crudeoil[],3,FALSE)</f>
        <v>#VALUE!</v>
      </c>
    </row>
    <row r="9103" spans="1:8" hidden="1" x14ac:dyDescent="0.3">
      <c r="A9103" t="s">
        <v>33</v>
      </c>
      <c r="B9103">
        <v>2022</v>
      </c>
      <c r="C9103" t="s">
        <v>39</v>
      </c>
      <c r="D9103" t="s">
        <v>5</v>
      </c>
      <c r="E9103" t="e">
        <f>VLOOKUP(Cpi_[[#This Row],[Attribute]],#REF!,2,FALSE)</f>
        <v>#REF!</v>
      </c>
      <c r="F9103">
        <v>172.8</v>
      </c>
      <c r="G9103">
        <f>(Cpi_[[#This Row],[Value]]-F9102)/F9102</f>
        <v>-0.22649955237242611</v>
      </c>
      <c r="H9103" t="e" cm="1" vm="1">
        <f t="array" aca="1" ref="H9103" ca="1">VLOOKUP(Cpi_[[#This Row],[Year]:[Month]],crudeoil[],3,FALSE)</f>
        <v>#VALUE!</v>
      </c>
    </row>
    <row r="9104" spans="1:8" hidden="1" x14ac:dyDescent="0.3">
      <c r="A9104" t="s">
        <v>33</v>
      </c>
      <c r="B9104">
        <v>2022</v>
      </c>
      <c r="C9104" t="s">
        <v>39</v>
      </c>
      <c r="D9104" t="s">
        <v>6</v>
      </c>
      <c r="E9104" t="e">
        <f>VLOOKUP(Cpi_[[#This Row],[Attribute]],#REF!,2,FALSE)</f>
        <v>#REF!</v>
      </c>
      <c r="F9104">
        <v>166.4</v>
      </c>
      <c r="G9104">
        <f>(Cpi_[[#This Row],[Value]]-F9103)/F9103</f>
        <v>-3.703703703703707E-2</v>
      </c>
      <c r="H9104" t="e" cm="1" vm="1">
        <f t="array" aca="1" ref="H9104" ca="1">VLOOKUP(Cpi_[[#This Row],[Year]:[Month]],crudeoil[],3,FALSE)</f>
        <v>#VALUE!</v>
      </c>
    </row>
    <row r="9105" spans="1:8" hidden="1" x14ac:dyDescent="0.3">
      <c r="A9105" t="s">
        <v>33</v>
      </c>
      <c r="B9105">
        <v>2022</v>
      </c>
      <c r="C9105" t="s">
        <v>39</v>
      </c>
      <c r="D9105" t="s">
        <v>7</v>
      </c>
      <c r="E9105" t="e">
        <f>VLOOKUP(Cpi_[[#This Row],[Attribute]],#REF!,2,FALSE)</f>
        <v>#REF!</v>
      </c>
      <c r="F9105">
        <v>188.6</v>
      </c>
      <c r="G9105">
        <f>(Cpi_[[#This Row],[Value]]-F9104)/F9104</f>
        <v>0.13341346153846145</v>
      </c>
      <c r="H9105" t="e" cm="1" vm="1">
        <f t="array" aca="1" ref="H9105" ca="1">VLOOKUP(Cpi_[[#This Row],[Year]:[Month]],crudeoil[],3,FALSE)</f>
        <v>#VALUE!</v>
      </c>
    </row>
    <row r="9106" spans="1:8" hidden="1" x14ac:dyDescent="0.3">
      <c r="A9106" t="s">
        <v>33</v>
      </c>
      <c r="B9106">
        <v>2022</v>
      </c>
      <c r="C9106" t="s">
        <v>39</v>
      </c>
      <c r="D9106" t="s">
        <v>8</v>
      </c>
      <c r="E9106" t="e">
        <f>VLOOKUP(Cpi_[[#This Row],[Attribute]],#REF!,2,FALSE)</f>
        <v>#REF!</v>
      </c>
      <c r="F9106">
        <v>174.1</v>
      </c>
      <c r="G9106">
        <f>(Cpi_[[#This Row],[Value]]-F9105)/F9105</f>
        <v>-7.6882290562036062E-2</v>
      </c>
      <c r="H9106" t="e" cm="1" vm="1">
        <f t="array" aca="1" ref="H9106" ca="1">VLOOKUP(Cpi_[[#This Row],[Year]:[Month]],crudeoil[],3,FALSE)</f>
        <v>#VALUE!</v>
      </c>
    </row>
    <row r="9107" spans="1:8" hidden="1" x14ac:dyDescent="0.3">
      <c r="A9107" t="s">
        <v>33</v>
      </c>
      <c r="B9107">
        <v>2022</v>
      </c>
      <c r="C9107" t="s">
        <v>39</v>
      </c>
      <c r="D9107" t="s">
        <v>9</v>
      </c>
      <c r="E9107" t="e">
        <f>VLOOKUP(Cpi_[[#This Row],[Attribute]],#REF!,2,FALSE)</f>
        <v>#REF!</v>
      </c>
      <c r="F9107">
        <v>211.5</v>
      </c>
      <c r="G9107">
        <f>(Cpi_[[#This Row],[Value]]-F9106)/F9106</f>
        <v>0.21481906950028723</v>
      </c>
      <c r="H9107" t="e" cm="1" vm="1">
        <f t="array" aca="1" ref="H9107" ca="1">VLOOKUP(Cpi_[[#This Row],[Year]:[Month]],crudeoil[],3,FALSE)</f>
        <v>#VALUE!</v>
      </c>
    </row>
    <row r="9108" spans="1:8" hidden="1" x14ac:dyDescent="0.3">
      <c r="A9108" t="s">
        <v>33</v>
      </c>
      <c r="B9108">
        <v>2022</v>
      </c>
      <c r="C9108" t="s">
        <v>39</v>
      </c>
      <c r="D9108" t="s">
        <v>10</v>
      </c>
      <c r="E9108" t="e">
        <f>VLOOKUP(Cpi_[[#This Row],[Attribute]],#REF!,2,FALSE)</f>
        <v>#REF!</v>
      </c>
      <c r="F9108">
        <v>163.6</v>
      </c>
      <c r="G9108">
        <f>(Cpi_[[#This Row],[Value]]-F9107)/F9107</f>
        <v>-0.22647754137115841</v>
      </c>
      <c r="H9108" t="e" cm="1" vm="1">
        <f t="array" aca="1" ref="H9108" ca="1">VLOOKUP(Cpi_[[#This Row],[Year]:[Month]],crudeoil[],3,FALSE)</f>
        <v>#VALUE!</v>
      </c>
    </row>
    <row r="9109" spans="1:8" hidden="1" x14ac:dyDescent="0.3">
      <c r="A9109" t="s">
        <v>33</v>
      </c>
      <c r="B9109">
        <v>2022</v>
      </c>
      <c r="C9109" t="s">
        <v>39</v>
      </c>
      <c r="D9109" t="s">
        <v>11</v>
      </c>
      <c r="E9109" t="e">
        <f>VLOOKUP(Cpi_[[#This Row],[Attribute]],#REF!,2,FALSE)</f>
        <v>#REF!</v>
      </c>
      <c r="F9109">
        <v>121.4</v>
      </c>
      <c r="G9109">
        <f>(Cpi_[[#This Row],[Value]]-F9108)/F9108</f>
        <v>-0.25794621026894859</v>
      </c>
      <c r="H9109" t="e" cm="1" vm="1">
        <f t="array" aca="1" ref="H9109" ca="1">VLOOKUP(Cpi_[[#This Row],[Year]:[Month]],crudeoil[],3,FALSE)</f>
        <v>#VALUE!</v>
      </c>
    </row>
    <row r="9110" spans="1:8" hidden="1" x14ac:dyDescent="0.3">
      <c r="A9110" t="s">
        <v>33</v>
      </c>
      <c r="B9110">
        <v>2022</v>
      </c>
      <c r="C9110" t="s">
        <v>39</v>
      </c>
      <c r="D9110" t="s">
        <v>12</v>
      </c>
      <c r="E9110" t="e">
        <f>VLOOKUP(Cpi_[[#This Row],[Attribute]],#REF!,2,FALSE)</f>
        <v>#REF!</v>
      </c>
      <c r="F9110">
        <v>183.5</v>
      </c>
      <c r="G9110">
        <f>(Cpi_[[#This Row],[Value]]-F9109)/F9109</f>
        <v>0.51153212520593072</v>
      </c>
      <c r="H9110" t="e" cm="1" vm="1">
        <f t="array" aca="1" ref="H9110" ca="1">VLOOKUP(Cpi_[[#This Row],[Year]:[Month]],crudeoil[],3,FALSE)</f>
        <v>#VALUE!</v>
      </c>
    </row>
    <row r="9111" spans="1:8" hidden="1" x14ac:dyDescent="0.3">
      <c r="A9111" t="s">
        <v>33</v>
      </c>
      <c r="B9111">
        <v>2022</v>
      </c>
      <c r="C9111" t="s">
        <v>39</v>
      </c>
      <c r="D9111" t="s">
        <v>13</v>
      </c>
      <c r="E9111" t="e">
        <f>VLOOKUP(Cpi_[[#This Row],[Attribute]],#REF!,2,FALSE)</f>
        <v>#REF!</v>
      </c>
      <c r="F9111">
        <v>159.1</v>
      </c>
      <c r="G9111">
        <f>(Cpi_[[#This Row],[Value]]-F9110)/F9110</f>
        <v>-0.13297002724795642</v>
      </c>
      <c r="H9111" t="e" cm="1" vm="1">
        <f t="array" aca="1" ref="H9111" ca="1">VLOOKUP(Cpi_[[#This Row],[Year]:[Month]],crudeoil[],3,FALSE)</f>
        <v>#VALUE!</v>
      </c>
    </row>
    <row r="9112" spans="1:8" hidden="1" x14ac:dyDescent="0.3">
      <c r="A9112" t="s">
        <v>33</v>
      </c>
      <c r="B9112">
        <v>2022</v>
      </c>
      <c r="C9112" t="s">
        <v>39</v>
      </c>
      <c r="D9112" t="s">
        <v>14</v>
      </c>
      <c r="E9112" t="e">
        <f>VLOOKUP(Cpi_[[#This Row],[Attribute]],#REF!,2,FALSE)</f>
        <v>#REF!</v>
      </c>
      <c r="F9112">
        <v>186.3</v>
      </c>
      <c r="G9112">
        <f>(Cpi_[[#This Row],[Value]]-F9111)/F9111</f>
        <v>0.17096165933375246</v>
      </c>
      <c r="H9112" t="e" cm="1" vm="1">
        <f t="array" aca="1" ref="H9112" ca="1">VLOOKUP(Cpi_[[#This Row],[Year]:[Month]],crudeoil[],3,FALSE)</f>
        <v>#VALUE!</v>
      </c>
    </row>
    <row r="9113" spans="1:8" hidden="1" x14ac:dyDescent="0.3">
      <c r="A9113" t="s">
        <v>33</v>
      </c>
      <c r="B9113">
        <v>2022</v>
      </c>
      <c r="C9113" t="s">
        <v>39</v>
      </c>
      <c r="D9113" t="s">
        <v>15</v>
      </c>
      <c r="E9113" t="e">
        <f>VLOOKUP(Cpi_[[#This Row],[Attribute]],#REF!,2,FALSE)</f>
        <v>#REF!</v>
      </c>
      <c r="F9113">
        <v>179.3</v>
      </c>
      <c r="G9113">
        <f>(Cpi_[[#This Row],[Value]]-F9112)/F9112</f>
        <v>-3.7573805689747719E-2</v>
      </c>
      <c r="H9113" t="e" cm="1" vm="1">
        <f t="array" aca="1" ref="H9113" ca="1">VLOOKUP(Cpi_[[#This Row],[Year]:[Month]],crudeoil[],3,FALSE)</f>
        <v>#VALUE!</v>
      </c>
    </row>
    <row r="9114" spans="1:8" hidden="1" x14ac:dyDescent="0.3">
      <c r="A9114" t="s">
        <v>33</v>
      </c>
      <c r="B9114">
        <v>2022</v>
      </c>
      <c r="C9114" t="s">
        <v>39</v>
      </c>
      <c r="D9114" t="s">
        <v>16</v>
      </c>
      <c r="E9114" t="e">
        <f>VLOOKUP(Cpi_[[#This Row],[Attribute]],#REF!,2,FALSE)</f>
        <v>#REF!</v>
      </c>
      <c r="F9114">
        <v>198.3</v>
      </c>
      <c r="G9114">
        <f>(Cpi_[[#This Row],[Value]]-F9113)/F9113</f>
        <v>0.10596765197992192</v>
      </c>
      <c r="H9114" t="e" cm="1" vm="1">
        <f t="array" aca="1" ref="H9114" ca="1">VLOOKUP(Cpi_[[#This Row],[Year]:[Month]],crudeoil[],3,FALSE)</f>
        <v>#VALUE!</v>
      </c>
    </row>
    <row r="9115" spans="1:8" hidden="1" x14ac:dyDescent="0.3">
      <c r="A9115" t="s">
        <v>33</v>
      </c>
      <c r="B9115">
        <v>2022</v>
      </c>
      <c r="C9115" t="s">
        <v>39</v>
      </c>
      <c r="D9115" t="s">
        <v>17</v>
      </c>
      <c r="E9115" t="e">
        <f>VLOOKUP(Cpi_[[#This Row],[Attribute]],#REF!,2,FALSE)</f>
        <v>#REF!</v>
      </c>
      <c r="F9115">
        <v>171.6</v>
      </c>
      <c r="G9115">
        <f>(Cpi_[[#This Row],[Value]]-F9114)/F9114</f>
        <v>-0.13464447806354016</v>
      </c>
      <c r="H9115" t="e" cm="1" vm="1">
        <f t="array" aca="1" ref="H9115" ca="1">VLOOKUP(Cpi_[[#This Row],[Year]:[Month]],crudeoil[],3,FALSE)</f>
        <v>#VALUE!</v>
      </c>
    </row>
    <row r="9116" spans="1:8" hidden="1" x14ac:dyDescent="0.3">
      <c r="A9116" t="s">
        <v>33</v>
      </c>
      <c r="B9116">
        <v>2022</v>
      </c>
      <c r="C9116" t="s">
        <v>39</v>
      </c>
      <c r="D9116" t="s">
        <v>18</v>
      </c>
      <c r="E9116" t="e">
        <f>VLOOKUP(Cpi_[[#This Row],[Attribute]],#REF!,2,FALSE)</f>
        <v>#REF!</v>
      </c>
      <c r="F9116">
        <v>157.4</v>
      </c>
      <c r="G9116">
        <f>(Cpi_[[#This Row],[Value]]-F9115)/F9115</f>
        <v>-8.2750582750582682E-2</v>
      </c>
      <c r="H9116" t="e" cm="1" vm="1">
        <f t="array" aca="1" ref="H9116" ca="1">VLOOKUP(Cpi_[[#This Row],[Year]:[Month]],crudeoil[],3,FALSE)</f>
        <v>#VALUE!</v>
      </c>
    </row>
    <row r="9117" spans="1:8" hidden="1" x14ac:dyDescent="0.3">
      <c r="A9117" t="s">
        <v>33</v>
      </c>
      <c r="B9117">
        <v>2022</v>
      </c>
      <c r="C9117" t="s">
        <v>39</v>
      </c>
      <c r="D9117" t="s">
        <v>19</v>
      </c>
      <c r="E9117" t="e">
        <f>VLOOKUP(Cpi_[[#This Row],[Attribute]],#REF!,2,FALSE)</f>
        <v>#REF!</v>
      </c>
      <c r="F9117">
        <v>169.4</v>
      </c>
      <c r="G9117">
        <f>(Cpi_[[#This Row],[Value]]-F9116)/F9116</f>
        <v>7.6238881829733166E-2</v>
      </c>
      <c r="H9117" t="e" cm="1" vm="1">
        <f t="array" aca="1" ref="H9117" ca="1">VLOOKUP(Cpi_[[#This Row],[Year]:[Month]],crudeoil[],3,FALSE)</f>
        <v>#VALUE!</v>
      </c>
    </row>
    <row r="9118" spans="1:8" hidden="1" x14ac:dyDescent="0.3">
      <c r="A9118" t="s">
        <v>33</v>
      </c>
      <c r="B9118">
        <v>2022</v>
      </c>
      <c r="C9118" t="s">
        <v>39</v>
      </c>
      <c r="D9118" t="s">
        <v>20</v>
      </c>
      <c r="E9118" t="e">
        <f>VLOOKUP(Cpi_[[#This Row],[Attribute]],#REF!,2,FALSE)</f>
        <v>#REF!</v>
      </c>
      <c r="F9118">
        <v>166.8</v>
      </c>
      <c r="G9118">
        <f>(Cpi_[[#This Row],[Value]]-F9117)/F9117</f>
        <v>-1.5348288075560769E-2</v>
      </c>
      <c r="H9118" t="e" cm="1" vm="1">
        <f t="array" aca="1" ref="H9118" ca="1">VLOOKUP(Cpi_[[#This Row],[Year]:[Month]],crudeoil[],3,FALSE)</f>
        <v>#VALUE!</v>
      </c>
    </row>
    <row r="9119" spans="1:8" hidden="1" x14ac:dyDescent="0.3">
      <c r="A9119" t="s">
        <v>33</v>
      </c>
      <c r="B9119">
        <v>2022</v>
      </c>
      <c r="C9119" t="s">
        <v>39</v>
      </c>
      <c r="D9119" t="s">
        <v>21</v>
      </c>
      <c r="E9119" t="e">
        <f>VLOOKUP(Cpi_[[#This Row],[Attribute]],#REF!,2,FALSE)</f>
        <v>#REF!</v>
      </c>
      <c r="F9119">
        <v>174.9</v>
      </c>
      <c r="G9119">
        <f>(Cpi_[[#This Row],[Value]]-F9118)/F9118</f>
        <v>4.8561151079136652E-2</v>
      </c>
      <c r="H9119" t="e" cm="1" vm="1">
        <f t="array" aca="1" ref="H9119" ca="1">VLOOKUP(Cpi_[[#This Row],[Year]:[Month]],crudeoil[],3,FALSE)</f>
        <v>#VALUE!</v>
      </c>
    </row>
    <row r="9120" spans="1:8" hidden="1" x14ac:dyDescent="0.3">
      <c r="A9120" t="s">
        <v>33</v>
      </c>
      <c r="B9120">
        <v>2022</v>
      </c>
      <c r="C9120" t="s">
        <v>39</v>
      </c>
      <c r="D9120" t="s">
        <v>22</v>
      </c>
      <c r="E9120" t="e">
        <f>VLOOKUP(Cpi_[[#This Row],[Attribute]],#REF!,2,FALSE)</f>
        <v>#REF!</v>
      </c>
      <c r="F9120">
        <v>162.1</v>
      </c>
      <c r="G9120">
        <f>(Cpi_[[#This Row],[Value]]-F9119)/F9119</f>
        <v>-7.3184676958261932E-2</v>
      </c>
      <c r="H9120" t="e" cm="1" vm="1">
        <f t="array" aca="1" ref="H9120" ca="1">VLOOKUP(Cpi_[[#This Row],[Year]:[Month]],crudeoil[],3,FALSE)</f>
        <v>#VALUE!</v>
      </c>
    </row>
    <row r="9121" spans="1:10" hidden="1" x14ac:dyDescent="0.3">
      <c r="A9121" t="s">
        <v>33</v>
      </c>
      <c r="B9121">
        <v>2022</v>
      </c>
      <c r="C9121" t="s">
        <v>39</v>
      </c>
      <c r="D9121" t="s">
        <v>23</v>
      </c>
      <c r="E9121" t="e">
        <f>VLOOKUP(Cpi_[[#This Row],[Attribute]],#REF!,2,FALSE)</f>
        <v>#REF!</v>
      </c>
      <c r="F9121">
        <v>170.9</v>
      </c>
      <c r="G9121">
        <f>(Cpi_[[#This Row],[Value]]-F9120)/F9120</f>
        <v>5.4287476866132091E-2</v>
      </c>
      <c r="H9121" t="e" cm="1" vm="1">
        <f t="array" aca="1" ref="H9121" ca="1">VLOOKUP(Cpi_[[#This Row],[Year]:[Month]],crudeoil[],3,FALSE)</f>
        <v>#VALUE!</v>
      </c>
    </row>
    <row r="9122" spans="1:10" hidden="1" x14ac:dyDescent="0.3">
      <c r="A9122" t="s">
        <v>33</v>
      </c>
      <c r="B9122">
        <v>2022</v>
      </c>
      <c r="C9122" t="s">
        <v>39</v>
      </c>
      <c r="D9122" t="s">
        <v>24</v>
      </c>
      <c r="E9122" t="e">
        <f>VLOOKUP(Cpi_[[#This Row],[Attribute]],#REF!,2,FALSE)</f>
        <v>#REF!</v>
      </c>
      <c r="F9122">
        <v>157.19999999999999</v>
      </c>
      <c r="G9122">
        <f>(Cpi_[[#This Row],[Value]]-F9121)/F9121</f>
        <v>-8.0163838502048085E-2</v>
      </c>
      <c r="H9122" t="e" cm="1" vm="1">
        <f t="array" aca="1" ref="H9122" ca="1">VLOOKUP(Cpi_[[#This Row],[Year]:[Month]],crudeoil[],3,FALSE)</f>
        <v>#VALUE!</v>
      </c>
    </row>
    <row r="9123" spans="1:10" hidden="1" x14ac:dyDescent="0.3">
      <c r="A9123" t="s">
        <v>33</v>
      </c>
      <c r="B9123">
        <v>2022</v>
      </c>
      <c r="C9123" t="s">
        <v>39</v>
      </c>
      <c r="D9123" t="s">
        <v>25</v>
      </c>
      <c r="E9123" t="e">
        <f>VLOOKUP(Cpi_[[#This Row],[Attribute]],#REF!,2,FALSE)</f>
        <v>#REF!</v>
      </c>
      <c r="F9123">
        <v>164.1</v>
      </c>
      <c r="G9123">
        <f>(Cpi_[[#This Row],[Value]]-F9122)/F9122</f>
        <v>4.3893129770992405E-2</v>
      </c>
      <c r="H9123" t="e" cm="1" vm="1">
        <f t="array" aca="1" ref="H9123" ca="1">VLOOKUP(Cpi_[[#This Row],[Year]:[Month]],crudeoil[],3,FALSE)</f>
        <v>#VALUE!</v>
      </c>
    </row>
    <row r="9124" spans="1:10" hidden="1" x14ac:dyDescent="0.3">
      <c r="A9124" t="s">
        <v>33</v>
      </c>
      <c r="B9124">
        <v>2022</v>
      </c>
      <c r="C9124" t="s">
        <v>39</v>
      </c>
      <c r="D9124" t="s">
        <v>26</v>
      </c>
      <c r="E9124" t="e">
        <f>VLOOKUP(Cpi_[[#This Row],[Attribute]],#REF!,2,FALSE)</f>
        <v>#REF!</v>
      </c>
      <c r="F9124">
        <v>166.5</v>
      </c>
      <c r="G9124">
        <f>(Cpi_[[#This Row],[Value]]-F9123)/F9123</f>
        <v>1.4625228519195647E-2</v>
      </c>
      <c r="H9124" t="e" cm="1" vm="1">
        <f t="array" aca="1" ref="H9124" ca="1">VLOOKUP(Cpi_[[#This Row],[Year]:[Month]],crudeoil[],3,FALSE)</f>
        <v>#VALUE!</v>
      </c>
    </row>
    <row r="9125" spans="1:10" hidden="1" x14ac:dyDescent="0.3">
      <c r="A9125" t="s">
        <v>33</v>
      </c>
      <c r="B9125">
        <v>2022</v>
      </c>
      <c r="C9125" t="s">
        <v>39</v>
      </c>
      <c r="D9125" t="s">
        <v>27</v>
      </c>
      <c r="E9125" t="e">
        <f>VLOOKUP(Cpi_[[#This Row],[Attribute]],#REF!,2,FALSE)</f>
        <v>#REF!</v>
      </c>
      <c r="F9125">
        <v>169.2</v>
      </c>
      <c r="G9125">
        <f>(Cpi_[[#This Row],[Value]]-F9124)/F9124</f>
        <v>1.6216216216216148E-2</v>
      </c>
      <c r="H9125" t="e" cm="1" vm="1">
        <f t="array" aca="1" ref="H9125" ca="1">VLOOKUP(Cpi_[[#This Row],[Year]:[Month]],crudeoil[],3,FALSE)</f>
        <v>#VALUE!</v>
      </c>
    </row>
    <row r="9126" spans="1:10" hidden="1" x14ac:dyDescent="0.3">
      <c r="A9126" t="s">
        <v>33</v>
      </c>
      <c r="B9126">
        <v>2022</v>
      </c>
      <c r="C9126" t="s">
        <v>39</v>
      </c>
      <c r="D9126" t="s">
        <v>28</v>
      </c>
      <c r="E9126" t="e">
        <f>VLOOKUP(Cpi_[[#This Row],[Attribute]],#REF!,2,FALSE)</f>
        <v>#REF!</v>
      </c>
      <c r="F9126">
        <v>163.80000000000001</v>
      </c>
      <c r="G9126">
        <f>(Cpi_[[#This Row],[Value]]-F9125)/F9125</f>
        <v>-3.1914893617021142E-2</v>
      </c>
      <c r="H9126" t="e" cm="1" vm="1">
        <f t="array" aca="1" ref="H9126" ca="1">VLOOKUP(Cpi_[[#This Row],[Year]:[Month]],crudeoil[],3,FALSE)</f>
        <v>#VALUE!</v>
      </c>
    </row>
    <row r="9127" spans="1:10" hidden="1" x14ac:dyDescent="0.3">
      <c r="A9127" t="s">
        <v>33</v>
      </c>
      <c r="B9127">
        <v>2022</v>
      </c>
      <c r="C9127" t="s">
        <v>39</v>
      </c>
      <c r="D9127" t="s">
        <v>29</v>
      </c>
      <c r="E9127" t="e" cm="1">
        <f t="array" aca="1" ref="E9127" ca="1">VLGeneral indexGeneral indexKUP(Cpi_[[#This Row],[Attribute]],#REF!,2,FALSE)</f>
        <v>#NAME?</v>
      </c>
      <c r="F9127">
        <v>171.4</v>
      </c>
      <c r="G9127">
        <f>(Cpi_[[#This Row],[Value]]-F9126)/F9126</f>
        <v>4.6398046398046358E-2</v>
      </c>
      <c r="H9127" t="e" cm="1" vm="1">
        <f t="array" aca="1" ref="H9127" ca="1">VLOOKUP(Cpi_[[#This Row],[Year]:[Month]],crudeoil[],3,FALSE)</f>
        <v>#VALUE!</v>
      </c>
    </row>
    <row r="9128" spans="1:10" hidden="1" x14ac:dyDescent="0.3">
      <c r="A9128" t="s">
        <v>34</v>
      </c>
      <c r="B9128">
        <v>2022</v>
      </c>
      <c r="C9128" t="s">
        <v>39</v>
      </c>
      <c r="D9128" t="s">
        <v>3</v>
      </c>
      <c r="E9128" t="e">
        <f>VLOOKUP(Cpi_[[#This Row],[Attribute]],#REF!,2,FALSE)</f>
        <v>#REF!</v>
      </c>
      <c r="F9128">
        <v>155</v>
      </c>
      <c r="G9128">
        <f>(Cpi_[[#This Row],[Value]]-F9127)/F9127</f>
        <v>-9.5682613768961519E-2</v>
      </c>
      <c r="H9128" t="e" cm="1" vm="1">
        <f t="array" aca="1" ref="H9128" ca="1">VLOOKUP(Cpi_[[#This Row],[Year]:[Month]],crudeoil[],3,FALSE)</f>
        <v>#VALUE!</v>
      </c>
    </row>
    <row r="9129" spans="1:10" x14ac:dyDescent="0.3">
      <c r="A9129" t="s">
        <v>34</v>
      </c>
      <c r="B9129">
        <v>2022</v>
      </c>
      <c r="C9129" t="s">
        <v>39</v>
      </c>
      <c r="D9129" t="s">
        <v>4</v>
      </c>
      <c r="E9129" t="e">
        <f>VLOOKUP(Cpi_[[#This Row],[Attribute]],#REF!,2,FALSE)</f>
        <v>#REF!</v>
      </c>
      <c r="F9129">
        <v>219.4</v>
      </c>
      <c r="G9129" s="42">
        <f>(Cpi_[[#This Row],[Value]]-F9128)/F9128</f>
        <v>0.41548387096774198</v>
      </c>
      <c r="H9129" t="str">
        <f>LEFT(Cpi_[[#This Row],[Month]],3)</f>
        <v>Jun</v>
      </c>
      <c r="I9129" t="str">
        <f>RIGHT(Cpi_[[#This Row],[Year]],2)</f>
        <v>22</v>
      </c>
      <c r="J9129" t="str">
        <f>Cpi_[[#This Row],[Column3]]&amp;"-"&amp;Cpi_[[#This Row],[Column4]]</f>
        <v>Jun-22</v>
      </c>
    </row>
    <row r="9130" spans="1:10" x14ac:dyDescent="0.3">
      <c r="A9130" t="s">
        <v>34</v>
      </c>
      <c r="B9130">
        <v>2022</v>
      </c>
      <c r="C9130" t="s">
        <v>39</v>
      </c>
      <c r="D9130" t="s">
        <v>5</v>
      </c>
      <c r="E9130" t="e">
        <f>VLOOKUP(Cpi_[[#This Row],[Attribute]],#REF!,2,FALSE)</f>
        <v>#REF!</v>
      </c>
      <c r="F9130">
        <v>170.8</v>
      </c>
      <c r="G9130" s="42">
        <f>(Cpi_[[#This Row],[Value]]-F9129)/F9129</f>
        <v>-0.22151321786690972</v>
      </c>
      <c r="H9130" t="str">
        <f>LEFT(Cpi_[[#This Row],[Month]],3)</f>
        <v>Jun</v>
      </c>
      <c r="I9130" t="str">
        <f>RIGHT(Cpi_[[#This Row],[Year]],2)</f>
        <v>22</v>
      </c>
      <c r="J9130" t="str">
        <f>Cpi_[[#This Row],[Column3]]&amp;"-"&amp;Cpi_[[#This Row],[Column4]]</f>
        <v>Jun-22</v>
      </c>
    </row>
    <row r="9131" spans="1:10" x14ac:dyDescent="0.3">
      <c r="A9131" t="s">
        <v>34</v>
      </c>
      <c r="B9131">
        <v>2022</v>
      </c>
      <c r="C9131" t="s">
        <v>39</v>
      </c>
      <c r="D9131" t="s">
        <v>6</v>
      </c>
      <c r="E9131" t="e">
        <f>VLOOKUP(Cpi_[[#This Row],[Attribute]],#REF!,2,FALSE)</f>
        <v>#REF!</v>
      </c>
      <c r="F9131">
        <v>165.8</v>
      </c>
      <c r="G9131" s="42">
        <f>(Cpi_[[#This Row],[Value]]-F9130)/F9130</f>
        <v>-2.9274004683840747E-2</v>
      </c>
      <c r="H9131" t="str">
        <f>LEFT(Cpi_[[#This Row],[Month]],3)</f>
        <v>Jun</v>
      </c>
      <c r="I9131" t="str">
        <f>RIGHT(Cpi_[[#This Row],[Year]],2)</f>
        <v>22</v>
      </c>
      <c r="J9131" t="str">
        <f>Cpi_[[#This Row],[Column3]]&amp;"-"&amp;Cpi_[[#This Row],[Column4]]</f>
        <v>Jun-22</v>
      </c>
    </row>
    <row r="9132" spans="1:10" x14ac:dyDescent="0.3">
      <c r="A9132" t="s">
        <v>34</v>
      </c>
      <c r="B9132">
        <v>2022</v>
      </c>
      <c r="C9132" t="s">
        <v>39</v>
      </c>
      <c r="D9132" t="s">
        <v>7</v>
      </c>
      <c r="E9132" t="e">
        <f>VLOOKUP(Cpi_[[#This Row],[Attribute]],#REF!,2,FALSE)</f>
        <v>#REF!</v>
      </c>
      <c r="F9132">
        <v>200.9</v>
      </c>
      <c r="G9132" s="42">
        <f>(Cpi_[[#This Row],[Value]]-F9131)/F9131</f>
        <v>0.21170084439083228</v>
      </c>
      <c r="H9132" t="str">
        <f>LEFT(Cpi_[[#This Row],[Month]],3)</f>
        <v>Jun</v>
      </c>
      <c r="I9132" t="str">
        <f>RIGHT(Cpi_[[#This Row],[Year]],2)</f>
        <v>22</v>
      </c>
      <c r="J9132" t="str">
        <f>Cpi_[[#This Row],[Column3]]&amp;"-"&amp;Cpi_[[#This Row],[Column4]]</f>
        <v>Jun-22</v>
      </c>
    </row>
    <row r="9133" spans="1:10" x14ac:dyDescent="0.3">
      <c r="A9133" t="s">
        <v>34</v>
      </c>
      <c r="B9133">
        <v>2022</v>
      </c>
      <c r="C9133" t="s">
        <v>39</v>
      </c>
      <c r="D9133" t="s">
        <v>8</v>
      </c>
      <c r="E9133" t="e">
        <f>VLOOKUP(Cpi_[[#This Row],[Attribute]],#REF!,2,FALSE)</f>
        <v>#REF!</v>
      </c>
      <c r="F9133">
        <v>169.7</v>
      </c>
      <c r="G9133" s="42">
        <f>(Cpi_[[#This Row],[Value]]-F9132)/F9132</f>
        <v>-0.15530114484818325</v>
      </c>
      <c r="H9133" t="str">
        <f>LEFT(Cpi_[[#This Row],[Month]],3)</f>
        <v>Jun</v>
      </c>
      <c r="I9133" t="str">
        <f>RIGHT(Cpi_[[#This Row],[Year]],2)</f>
        <v>22</v>
      </c>
      <c r="J9133" t="str">
        <f>Cpi_[[#This Row],[Column3]]&amp;"-"&amp;Cpi_[[#This Row],[Column4]]</f>
        <v>Jun-22</v>
      </c>
    </row>
    <row r="9134" spans="1:10" x14ac:dyDescent="0.3">
      <c r="A9134" t="s">
        <v>34</v>
      </c>
      <c r="B9134">
        <v>2022</v>
      </c>
      <c r="C9134" t="s">
        <v>39</v>
      </c>
      <c r="D9134" t="s">
        <v>9</v>
      </c>
      <c r="E9134" t="e">
        <f>VLOOKUP(Cpi_[[#This Row],[Attribute]],#REF!,2,FALSE)</f>
        <v>#REF!</v>
      </c>
      <c r="F9134">
        <v>182.3</v>
      </c>
      <c r="G9134" s="42">
        <f>(Cpi_[[#This Row],[Value]]-F9133)/F9133</f>
        <v>7.4248674130819231E-2</v>
      </c>
      <c r="H9134" t="str">
        <f>LEFT(Cpi_[[#This Row],[Month]],3)</f>
        <v>Jun</v>
      </c>
      <c r="I9134" t="str">
        <f>RIGHT(Cpi_[[#This Row],[Year]],2)</f>
        <v>22</v>
      </c>
      <c r="J9134" t="str">
        <f>Cpi_[[#This Row],[Column3]]&amp;"-"&amp;Cpi_[[#This Row],[Column4]]</f>
        <v>Jun-22</v>
      </c>
    </row>
    <row r="9135" spans="1:10" x14ac:dyDescent="0.3">
      <c r="A9135" t="s">
        <v>34</v>
      </c>
      <c r="B9135">
        <v>2022</v>
      </c>
      <c r="C9135" t="s">
        <v>39</v>
      </c>
      <c r="D9135" t="s">
        <v>10</v>
      </c>
      <c r="E9135" t="e">
        <f>VLOOKUP(Cpi_[[#This Row],[Attribute]],#REF!,2,FALSE)</f>
        <v>#REF!</v>
      </c>
      <c r="F9135">
        <v>164.3</v>
      </c>
      <c r="G9135" s="42">
        <f>(Cpi_[[#This Row],[Value]]-F9134)/F9134</f>
        <v>-9.8738343390016456E-2</v>
      </c>
      <c r="H9135" t="str">
        <f>LEFT(Cpi_[[#This Row],[Month]],3)</f>
        <v>Jun</v>
      </c>
      <c r="I9135" t="str">
        <f>RIGHT(Cpi_[[#This Row],[Year]],2)</f>
        <v>22</v>
      </c>
      <c r="J9135" t="str">
        <f>Cpi_[[#This Row],[Column3]]&amp;"-"&amp;Cpi_[[#This Row],[Column4]]</f>
        <v>Jun-22</v>
      </c>
    </row>
    <row r="9136" spans="1:10" x14ac:dyDescent="0.3">
      <c r="A9136" t="s">
        <v>34</v>
      </c>
      <c r="B9136">
        <v>2022</v>
      </c>
      <c r="C9136" t="s">
        <v>39</v>
      </c>
      <c r="D9136" t="s">
        <v>11</v>
      </c>
      <c r="E9136" t="e">
        <f>VLOOKUP(Cpi_[[#This Row],[Attribute]],#REF!,2,FALSE)</f>
        <v>#REF!</v>
      </c>
      <c r="F9136">
        <v>119.9</v>
      </c>
      <c r="G9136" s="42">
        <f>(Cpi_[[#This Row],[Value]]-F9135)/F9135</f>
        <v>-0.27023737066342057</v>
      </c>
      <c r="H9136" t="str">
        <f>LEFT(Cpi_[[#This Row],[Month]],3)</f>
        <v>Jun</v>
      </c>
      <c r="I9136" t="str">
        <f>RIGHT(Cpi_[[#This Row],[Year]],2)</f>
        <v>22</v>
      </c>
      <c r="J9136" t="str">
        <f>Cpi_[[#This Row],[Column3]]&amp;"-"&amp;Cpi_[[#This Row],[Column4]]</f>
        <v>Jun-22</v>
      </c>
    </row>
    <row r="9137" spans="1:10" x14ac:dyDescent="0.3">
      <c r="A9137" t="s">
        <v>34</v>
      </c>
      <c r="B9137">
        <v>2022</v>
      </c>
      <c r="C9137" t="s">
        <v>39</v>
      </c>
      <c r="D9137" t="s">
        <v>12</v>
      </c>
      <c r="E9137" t="e">
        <f>VLOOKUP(Cpi_[[#This Row],[Attribute]],#REF!,2,FALSE)</f>
        <v>#REF!</v>
      </c>
      <c r="F9137">
        <v>187.1</v>
      </c>
      <c r="G9137" s="42">
        <f>(Cpi_[[#This Row],[Value]]-F9136)/F9136</f>
        <v>0.56046705587989976</v>
      </c>
      <c r="H9137" t="str">
        <f>LEFT(Cpi_[[#This Row],[Month]],3)</f>
        <v>Jun</v>
      </c>
      <c r="I9137" t="str">
        <f>RIGHT(Cpi_[[#This Row],[Year]],2)</f>
        <v>22</v>
      </c>
      <c r="J9137" t="str">
        <f>Cpi_[[#This Row],[Column3]]&amp;"-"&amp;Cpi_[[#This Row],[Column4]]</f>
        <v>Jun-22</v>
      </c>
    </row>
    <row r="9138" spans="1:10" x14ac:dyDescent="0.3">
      <c r="A9138" t="s">
        <v>34</v>
      </c>
      <c r="B9138">
        <v>2022</v>
      </c>
      <c r="C9138" t="s">
        <v>39</v>
      </c>
      <c r="D9138" t="s">
        <v>13</v>
      </c>
      <c r="E9138" t="e">
        <f>VLOOKUP(Cpi_[[#This Row],[Attribute]],#REF!,2,FALSE)</f>
        <v>#REF!</v>
      </c>
      <c r="F9138">
        <v>167.9</v>
      </c>
      <c r="G9138" s="42">
        <f>(Cpi_[[#This Row],[Value]]-F9137)/F9137</f>
        <v>-0.10261892036344195</v>
      </c>
      <c r="H9138" t="str">
        <f>LEFT(Cpi_[[#This Row],[Month]],3)</f>
        <v>Jun</v>
      </c>
      <c r="I9138" t="str">
        <f>RIGHT(Cpi_[[#This Row],[Year]],2)</f>
        <v>22</v>
      </c>
      <c r="J9138" t="str">
        <f>Cpi_[[#This Row],[Column3]]&amp;"-"&amp;Cpi_[[#This Row],[Column4]]</f>
        <v>Jun-22</v>
      </c>
    </row>
    <row r="9139" spans="1:10" x14ac:dyDescent="0.3">
      <c r="A9139" t="s">
        <v>34</v>
      </c>
      <c r="B9139">
        <v>2022</v>
      </c>
      <c r="C9139" t="s">
        <v>39</v>
      </c>
      <c r="D9139" t="s">
        <v>14</v>
      </c>
      <c r="E9139" t="e">
        <f>VLOOKUP(Cpi_[[#This Row],[Attribute]],#REF!,2,FALSE)</f>
        <v>#REF!</v>
      </c>
      <c r="F9139">
        <v>183.9</v>
      </c>
      <c r="G9139" s="42">
        <f>(Cpi_[[#This Row],[Value]]-F9138)/F9138</f>
        <v>9.5294818344252533E-2</v>
      </c>
      <c r="H9139" t="str">
        <f>LEFT(Cpi_[[#This Row],[Month]],3)</f>
        <v>Jun</v>
      </c>
      <c r="I9139" t="str">
        <f>RIGHT(Cpi_[[#This Row],[Year]],2)</f>
        <v>22</v>
      </c>
      <c r="J9139" t="str">
        <f>Cpi_[[#This Row],[Column3]]&amp;"-"&amp;Cpi_[[#This Row],[Column4]]</f>
        <v>Jun-22</v>
      </c>
    </row>
    <row r="9140" spans="1:10" x14ac:dyDescent="0.3">
      <c r="A9140" t="s">
        <v>34</v>
      </c>
      <c r="B9140">
        <v>2022</v>
      </c>
      <c r="C9140" t="s">
        <v>39</v>
      </c>
      <c r="D9140" t="s">
        <v>15</v>
      </c>
      <c r="E9140" t="e">
        <f>VLOOKUP(Cpi_[[#This Row],[Attribute]],#REF!,2,FALSE)</f>
        <v>#REF!</v>
      </c>
      <c r="F9140">
        <v>174.9</v>
      </c>
      <c r="G9140" s="42">
        <f>(Cpi_[[#This Row],[Value]]-F9139)/F9139</f>
        <v>-4.8939641109298528E-2</v>
      </c>
      <c r="H9140" t="str">
        <f>LEFT(Cpi_[[#This Row],[Month]],3)</f>
        <v>Jun</v>
      </c>
      <c r="I9140" t="str">
        <f>RIGHT(Cpi_[[#This Row],[Year]],2)</f>
        <v>22</v>
      </c>
      <c r="J9140" t="str">
        <f>Cpi_[[#This Row],[Column3]]&amp;"-"&amp;Cpi_[[#This Row],[Column4]]</f>
        <v>Jun-22</v>
      </c>
    </row>
    <row r="9141" spans="1:10" hidden="1" x14ac:dyDescent="0.3">
      <c r="A9141" t="s">
        <v>34</v>
      </c>
      <c r="B9141">
        <v>2022</v>
      </c>
      <c r="C9141" t="s">
        <v>39</v>
      </c>
      <c r="D9141" t="s">
        <v>16</v>
      </c>
      <c r="E9141" t="e">
        <f>VLOOKUP(Cpi_[[#This Row],[Attribute]],#REF!,2,FALSE)</f>
        <v>#REF!</v>
      </c>
      <c r="F9141">
        <v>194.3</v>
      </c>
      <c r="G9141">
        <f>(Cpi_[[#This Row],[Value]]-F9140)/F9140</f>
        <v>0.11092052601486567</v>
      </c>
      <c r="H9141" t="e" cm="1" vm="1">
        <f t="array" aca="1" ref="H9141" ca="1">VLOOKUP(Cpi_[[#This Row],[Year]:[Month]],crudeoil[],3,FALSE)</f>
        <v>#VALUE!</v>
      </c>
    </row>
    <row r="9142" spans="1:10" hidden="1" x14ac:dyDescent="0.3">
      <c r="A9142" t="s">
        <v>34</v>
      </c>
      <c r="B9142">
        <v>2022</v>
      </c>
      <c r="C9142" t="s">
        <v>39</v>
      </c>
      <c r="D9142" t="s">
        <v>17</v>
      </c>
      <c r="E9142" t="e">
        <f>VLOOKUP(Cpi_[[#This Row],[Attribute]],#REF!,2,FALSE)</f>
        <v>#REF!</v>
      </c>
      <c r="F9142">
        <v>177.1</v>
      </c>
      <c r="G9142">
        <f>(Cpi_[[#This Row],[Value]]-F9141)/F9141</f>
        <v>-8.8522902727740688E-2</v>
      </c>
      <c r="H9142" t="e" cm="1" vm="1">
        <f t="array" aca="1" ref="H9142" ca="1">VLOOKUP(Cpi_[[#This Row],[Year]:[Month]],crudeoil[],3,FALSE)</f>
        <v>#VALUE!</v>
      </c>
    </row>
    <row r="9143" spans="1:10" hidden="1" x14ac:dyDescent="0.3">
      <c r="A9143" t="s">
        <v>34</v>
      </c>
      <c r="B9143">
        <v>2022</v>
      </c>
      <c r="C9143" t="s">
        <v>39</v>
      </c>
      <c r="D9143" t="s">
        <v>18</v>
      </c>
      <c r="E9143" t="e">
        <f>VLOOKUP(Cpi_[[#This Row],[Attribute]],#REF!,2,FALSE)</f>
        <v>#REF!</v>
      </c>
      <c r="F9143">
        <v>169.9</v>
      </c>
      <c r="G9143">
        <f>(Cpi_[[#This Row],[Value]]-F9142)/F9142</f>
        <v>-4.0654997176736242E-2</v>
      </c>
      <c r="H9143" t="e" cm="1" vm="1">
        <f t="array" aca="1" ref="H9143" ca="1">VLOOKUP(Cpi_[[#This Row],[Year]:[Month]],crudeoil[],3,FALSE)</f>
        <v>#VALUE!</v>
      </c>
    </row>
    <row r="9144" spans="1:10" hidden="1" x14ac:dyDescent="0.3">
      <c r="A9144" t="s">
        <v>34</v>
      </c>
      <c r="B9144">
        <v>2022</v>
      </c>
      <c r="C9144" t="s">
        <v>39</v>
      </c>
      <c r="D9144" t="s">
        <v>19</v>
      </c>
      <c r="E9144" t="e">
        <f>VLOOKUP(Cpi_[[#This Row],[Attribute]],#REF!,2,FALSE)</f>
        <v>#REF!</v>
      </c>
      <c r="F9144">
        <v>176</v>
      </c>
      <c r="G9144">
        <f>(Cpi_[[#This Row],[Value]]-F9143)/F9143</f>
        <v>3.5903472630959353E-2</v>
      </c>
      <c r="H9144" t="e" cm="1" vm="1">
        <f t="array" aca="1" ref="H9144" ca="1">VLOOKUP(Cpi_[[#This Row],[Year]:[Month]],crudeoil[],3,FALSE)</f>
        <v>#VALUE!</v>
      </c>
    </row>
    <row r="9145" spans="1:10" hidden="1" x14ac:dyDescent="0.3">
      <c r="A9145" t="s">
        <v>34</v>
      </c>
      <c r="B9145">
        <v>2022</v>
      </c>
      <c r="C9145" t="s">
        <v>39</v>
      </c>
      <c r="D9145" t="s">
        <v>20</v>
      </c>
      <c r="E9145" t="e">
        <f>VLOOKUP(Cpi_[[#This Row],[Attribute]],#REF!,2,FALSE)</f>
        <v>#REF!</v>
      </c>
      <c r="F9145">
        <v>166.8</v>
      </c>
      <c r="G9145">
        <f>(Cpi_[[#This Row],[Value]]-F9144)/F9144</f>
        <v>-5.2272727272727207E-2</v>
      </c>
      <c r="H9145" t="e" cm="1" vm="1">
        <f t="array" aca="1" ref="H9145" ca="1">VLOOKUP(Cpi_[[#This Row],[Year]:[Month]],crudeoil[],3,FALSE)</f>
        <v>#VALUE!</v>
      </c>
    </row>
    <row r="9146" spans="1:10" hidden="1" x14ac:dyDescent="0.3">
      <c r="A9146" t="s">
        <v>34</v>
      </c>
      <c r="B9146">
        <v>2022</v>
      </c>
      <c r="C9146" t="s">
        <v>39</v>
      </c>
      <c r="D9146" t="s">
        <v>21</v>
      </c>
      <c r="E9146" t="e">
        <f>VLOOKUP(Cpi_[[#This Row],[Attribute]],#REF!,2,FALSE)</f>
        <v>#REF!</v>
      </c>
      <c r="F9146">
        <v>176</v>
      </c>
      <c r="G9146">
        <f>(Cpi_[[#This Row],[Value]]-F9145)/F9145</f>
        <v>5.515587529976012E-2</v>
      </c>
      <c r="H9146" t="e" cm="1" vm="1">
        <f t="array" aca="1" ref="H9146" ca="1">VLOOKUP(Cpi_[[#This Row],[Year]:[Month]],crudeoil[],3,FALSE)</f>
        <v>#VALUE!</v>
      </c>
    </row>
    <row r="9147" spans="1:10" hidden="1" x14ac:dyDescent="0.3">
      <c r="A9147" t="s">
        <v>34</v>
      </c>
      <c r="B9147">
        <v>2022</v>
      </c>
      <c r="C9147" t="s">
        <v>39</v>
      </c>
      <c r="D9147" t="s">
        <v>22</v>
      </c>
      <c r="E9147" t="e">
        <f>VLOOKUP(Cpi_[[#This Row],[Attribute]],#REF!,2,FALSE)</f>
        <v>#REF!</v>
      </c>
      <c r="F9147">
        <v>166.4</v>
      </c>
      <c r="G9147">
        <f>(Cpi_[[#This Row],[Value]]-F9146)/F9146</f>
        <v>-5.4545454545454515E-2</v>
      </c>
      <c r="H9147" t="e" cm="1" vm="1">
        <f t="array" aca="1" ref="H9147" ca="1">VLOOKUP(Cpi_[[#This Row],[Year]:[Month]],crudeoil[],3,FALSE)</f>
        <v>#VALUE!</v>
      </c>
    </row>
    <row r="9148" spans="1:10" hidden="1" x14ac:dyDescent="0.3">
      <c r="A9148" t="s">
        <v>34</v>
      </c>
      <c r="B9148">
        <v>2022</v>
      </c>
      <c r="C9148" t="s">
        <v>39</v>
      </c>
      <c r="D9148" t="s">
        <v>23</v>
      </c>
      <c r="E9148" t="e">
        <f>VLOOKUP(Cpi_[[#This Row],[Attribute]],#REF!,2,FALSE)</f>
        <v>#REF!</v>
      </c>
      <c r="F9148">
        <v>175.4</v>
      </c>
      <c r="G9148">
        <f>(Cpi_[[#This Row],[Value]]-F9147)/F9147</f>
        <v>5.4086538461538457E-2</v>
      </c>
      <c r="H9148" t="e" cm="1" vm="1">
        <f t="array" aca="1" ref="H9148" ca="1">VLOOKUP(Cpi_[[#This Row],[Year]:[Month]],crudeoil[],3,FALSE)</f>
        <v>#VALUE!</v>
      </c>
    </row>
    <row r="9149" spans="1:10" hidden="1" x14ac:dyDescent="0.3">
      <c r="A9149" t="s">
        <v>34</v>
      </c>
      <c r="B9149">
        <v>2022</v>
      </c>
      <c r="C9149" t="s">
        <v>39</v>
      </c>
      <c r="D9149" t="s">
        <v>24</v>
      </c>
      <c r="E9149" t="e">
        <f>VLOOKUP(Cpi_[[#This Row],[Attribute]],#REF!,2,FALSE)</f>
        <v>#REF!</v>
      </c>
      <c r="F9149">
        <v>161.1</v>
      </c>
      <c r="G9149">
        <f>(Cpi_[[#This Row],[Value]]-F9148)/F9148</f>
        <v>-8.1527936145952176E-2</v>
      </c>
      <c r="H9149" t="e" cm="1" vm="1">
        <f t="array" aca="1" ref="H9149" ca="1">VLOOKUP(Cpi_[[#This Row],[Year]:[Month]],crudeoil[],3,FALSE)</f>
        <v>#VALUE!</v>
      </c>
    </row>
    <row r="9150" spans="1:10" hidden="1" x14ac:dyDescent="0.3">
      <c r="A9150" t="s">
        <v>34</v>
      </c>
      <c r="B9150">
        <v>2022</v>
      </c>
      <c r="C9150" t="s">
        <v>39</v>
      </c>
      <c r="D9150" t="s">
        <v>25</v>
      </c>
      <c r="E9150" t="e">
        <f>VLOOKUP(Cpi_[[#This Row],[Attribute]],#REF!,2,FALSE)</f>
        <v>#REF!</v>
      </c>
      <c r="F9150">
        <v>165.8</v>
      </c>
      <c r="G9150">
        <f>(Cpi_[[#This Row],[Value]]-F9149)/F9149</f>
        <v>2.9174425822470623E-2</v>
      </c>
      <c r="H9150" t="e" cm="1" vm="1">
        <f t="array" aca="1" ref="H9150" ca="1">VLOOKUP(Cpi_[[#This Row],[Year]:[Month]],crudeoil[],3,FALSE)</f>
        <v>#VALUE!</v>
      </c>
    </row>
    <row r="9151" spans="1:10" hidden="1" x14ac:dyDescent="0.3">
      <c r="A9151" t="s">
        <v>34</v>
      </c>
      <c r="B9151">
        <v>2022</v>
      </c>
      <c r="C9151" t="s">
        <v>39</v>
      </c>
      <c r="D9151" t="s">
        <v>26</v>
      </c>
      <c r="E9151" t="e">
        <f>VLOOKUP(Cpi_[[#This Row],[Attribute]],#REF!,2,FALSE)</f>
        <v>#REF!</v>
      </c>
      <c r="F9151">
        <v>169</v>
      </c>
      <c r="G9151">
        <f>(Cpi_[[#This Row],[Value]]-F9150)/F9150</f>
        <v>1.9300361881785213E-2</v>
      </c>
      <c r="H9151" t="e" cm="1" vm="1">
        <f t="array" aca="1" ref="H9151" ca="1">VLOOKUP(Cpi_[[#This Row],[Year]:[Month]],crudeoil[],3,FALSE)</f>
        <v>#VALUE!</v>
      </c>
    </row>
    <row r="9152" spans="1:10" hidden="1" x14ac:dyDescent="0.3">
      <c r="A9152" t="s">
        <v>34</v>
      </c>
      <c r="B9152">
        <v>2022</v>
      </c>
      <c r="C9152" t="s">
        <v>39</v>
      </c>
      <c r="D9152" t="s">
        <v>27</v>
      </c>
      <c r="E9152" t="e">
        <f>VLOOKUP(Cpi_[[#This Row],[Attribute]],#REF!,2,FALSE)</f>
        <v>#REF!</v>
      </c>
      <c r="F9152">
        <v>169.4</v>
      </c>
      <c r="G9152">
        <f>(Cpi_[[#This Row],[Value]]-F9151)/F9151</f>
        <v>2.3668639053254772E-3</v>
      </c>
      <c r="H9152" t="e" cm="1" vm="1">
        <f t="array" aca="1" ref="H9152" ca="1">VLOOKUP(Cpi_[[#This Row],[Year]:[Month]],crudeoil[],3,FALSE)</f>
        <v>#VALUE!</v>
      </c>
    </row>
    <row r="9153" spans="1:8" hidden="1" x14ac:dyDescent="0.3">
      <c r="A9153" t="s">
        <v>34</v>
      </c>
      <c r="B9153">
        <v>2022</v>
      </c>
      <c r="C9153" t="s">
        <v>39</v>
      </c>
      <c r="D9153" t="s">
        <v>28</v>
      </c>
      <c r="E9153" t="e">
        <f>VLOOKUP(Cpi_[[#This Row],[Attribute]],#REF!,2,FALSE)</f>
        <v>#REF!</v>
      </c>
      <c r="F9153">
        <v>167.5</v>
      </c>
      <c r="G9153">
        <f>(Cpi_[[#This Row],[Value]]-F9152)/F9152</f>
        <v>-1.1216056670602159E-2</v>
      </c>
      <c r="H9153" t="e" cm="1" vm="1">
        <f t="array" aca="1" ref="H9153" ca="1">VLOOKUP(Cpi_[[#This Row],[Year]:[Month]],crudeoil[],3,FALSE)</f>
        <v>#VALUE!</v>
      </c>
    </row>
    <row r="9154" spans="1:8" hidden="1" x14ac:dyDescent="0.3">
      <c r="A9154" t="s">
        <v>34</v>
      </c>
      <c r="B9154">
        <v>2022</v>
      </c>
      <c r="C9154" t="s">
        <v>39</v>
      </c>
      <c r="D9154" t="s">
        <v>29</v>
      </c>
      <c r="E9154" t="e" cm="1">
        <f t="array" aca="1" ref="E9154" ca="1">VLGeneral indexGeneral indexKUP(Cpi_[[#This Row],[Attribute]],#REF!,2,FALSE)</f>
        <v>#NAME?</v>
      </c>
      <c r="F9154">
        <v>172.6</v>
      </c>
      <c r="G9154">
        <f>(Cpi_[[#This Row],[Value]]-F9153)/F9153</f>
        <v>3.0447761194029817E-2</v>
      </c>
      <c r="H9154" t="e" cm="1" vm="1">
        <f t="array" aca="1" ref="H9154" ca="1">VLOOKUP(Cpi_[[#This Row],[Year]:[Month]],crudeoil[],3,FALSE)</f>
        <v>#VALUE!</v>
      </c>
    </row>
    <row r="9155" spans="1:8" hidden="1" x14ac:dyDescent="0.3">
      <c r="A9155" t="s">
        <v>30</v>
      </c>
      <c r="B9155">
        <v>2022</v>
      </c>
      <c r="C9155" t="s">
        <v>40</v>
      </c>
      <c r="D9155" t="s">
        <v>3</v>
      </c>
      <c r="E9155" t="e">
        <f>VLOOKUP(Cpi_[[#This Row],[Attribute]],#REF!,2,FALSE)</f>
        <v>#REF!</v>
      </c>
      <c r="F9155">
        <v>155.19999999999999</v>
      </c>
      <c r="G9155">
        <f>(Cpi_[[#This Row],[Value]]-F9154)/F9154</f>
        <v>-0.10081112398609506</v>
      </c>
      <c r="H9155" t="e" cm="1" vm="1">
        <f t="array" aca="1" ref="H9155" ca="1">VLOOKUP(Cpi_[[#This Row],[Year]:[Month]],crudeoil[],3,FALSE)</f>
        <v>#VALUE!</v>
      </c>
    </row>
    <row r="9156" spans="1:8" hidden="1" x14ac:dyDescent="0.3">
      <c r="A9156" t="s">
        <v>30</v>
      </c>
      <c r="B9156">
        <v>2022</v>
      </c>
      <c r="C9156" t="s">
        <v>40</v>
      </c>
      <c r="D9156" t="s">
        <v>4</v>
      </c>
      <c r="E9156" t="e">
        <f>VLOOKUP(Cpi_[[#This Row],[Attribute]],#REF!,2,FALSE)</f>
        <v>#REF!</v>
      </c>
      <c r="F9156">
        <v>210.8</v>
      </c>
      <c r="G9156">
        <f>(Cpi_[[#This Row],[Value]]-F9155)/F9155</f>
        <v>0.35824742268041254</v>
      </c>
      <c r="H9156" t="e" cm="1" vm="1">
        <f t="array" aca="1" ref="H9156" ca="1">VLOOKUP(Cpi_[[#This Row],[Year]:[Month]],crudeoil[],3,FALSE)</f>
        <v>#VALUE!</v>
      </c>
    </row>
    <row r="9157" spans="1:8" hidden="1" x14ac:dyDescent="0.3">
      <c r="A9157" t="s">
        <v>30</v>
      </c>
      <c r="B9157">
        <v>2022</v>
      </c>
      <c r="C9157" t="s">
        <v>40</v>
      </c>
      <c r="D9157" t="s">
        <v>5</v>
      </c>
      <c r="E9157" t="e">
        <f>VLOOKUP(Cpi_[[#This Row],[Attribute]],#REF!,2,FALSE)</f>
        <v>#REF!</v>
      </c>
      <c r="F9157">
        <v>174.3</v>
      </c>
      <c r="G9157">
        <f>(Cpi_[[#This Row],[Value]]-F9156)/F9156</f>
        <v>-0.17314990512333964</v>
      </c>
      <c r="H9157" t="e" cm="1" vm="1">
        <f t="array" aca="1" ref="H9157" ca="1">VLOOKUP(Cpi_[[#This Row],[Year]:[Month]],crudeoil[],3,FALSE)</f>
        <v>#VALUE!</v>
      </c>
    </row>
    <row r="9158" spans="1:8" hidden="1" x14ac:dyDescent="0.3">
      <c r="A9158" t="s">
        <v>30</v>
      </c>
      <c r="B9158">
        <v>2022</v>
      </c>
      <c r="C9158" t="s">
        <v>40</v>
      </c>
      <c r="D9158" t="s">
        <v>6</v>
      </c>
      <c r="E9158" t="e">
        <f>VLOOKUP(Cpi_[[#This Row],[Attribute]],#REF!,2,FALSE)</f>
        <v>#REF!</v>
      </c>
      <c r="F9158">
        <v>166.3</v>
      </c>
      <c r="G9158">
        <f>(Cpi_[[#This Row],[Value]]-F9157)/F9157</f>
        <v>-4.5897877223178424E-2</v>
      </c>
      <c r="H9158" t="e" cm="1" vm="1">
        <f t="array" aca="1" ref="H9158" ca="1">VLOOKUP(Cpi_[[#This Row],[Year]:[Month]],crudeoil[],3,FALSE)</f>
        <v>#VALUE!</v>
      </c>
    </row>
    <row r="9159" spans="1:8" hidden="1" x14ac:dyDescent="0.3">
      <c r="A9159" t="s">
        <v>30</v>
      </c>
      <c r="B9159">
        <v>2022</v>
      </c>
      <c r="C9159" t="s">
        <v>40</v>
      </c>
      <c r="D9159" t="s">
        <v>7</v>
      </c>
      <c r="E9159" t="e">
        <f>VLOOKUP(Cpi_[[#This Row],[Attribute]],#REF!,2,FALSE)</f>
        <v>#REF!</v>
      </c>
      <c r="F9159">
        <v>202.2</v>
      </c>
      <c r="G9159">
        <f>(Cpi_[[#This Row],[Value]]-F9158)/F9158</f>
        <v>0.21587492483463605</v>
      </c>
      <c r="H9159" t="e" cm="1" vm="1">
        <f t="array" aca="1" ref="H9159" ca="1">VLOOKUP(Cpi_[[#This Row],[Year]:[Month]],crudeoil[],3,FALSE)</f>
        <v>#VALUE!</v>
      </c>
    </row>
    <row r="9160" spans="1:8" hidden="1" x14ac:dyDescent="0.3">
      <c r="A9160" t="s">
        <v>30</v>
      </c>
      <c r="B9160">
        <v>2022</v>
      </c>
      <c r="C9160" t="s">
        <v>40</v>
      </c>
      <c r="D9160" t="s">
        <v>8</v>
      </c>
      <c r="E9160" t="e">
        <f>VLOOKUP(Cpi_[[#This Row],[Attribute]],#REF!,2,FALSE)</f>
        <v>#REF!</v>
      </c>
      <c r="F9160">
        <v>169.6</v>
      </c>
      <c r="G9160">
        <f>(Cpi_[[#This Row],[Value]]-F9159)/F9159</f>
        <v>-0.16122650840751729</v>
      </c>
      <c r="H9160" t="e" cm="1" vm="1">
        <f t="array" aca="1" ref="H9160" ca="1">VLOOKUP(Cpi_[[#This Row],[Year]:[Month]],crudeoil[],3,FALSE)</f>
        <v>#VALUE!</v>
      </c>
    </row>
    <row r="9161" spans="1:8" hidden="1" x14ac:dyDescent="0.3">
      <c r="A9161" t="s">
        <v>30</v>
      </c>
      <c r="B9161">
        <v>2022</v>
      </c>
      <c r="C9161" t="s">
        <v>40</v>
      </c>
      <c r="D9161" t="s">
        <v>9</v>
      </c>
      <c r="E9161" t="e">
        <f>VLOOKUP(Cpi_[[#This Row],[Attribute]],#REF!,2,FALSE)</f>
        <v>#REF!</v>
      </c>
      <c r="F9161">
        <v>168.6</v>
      </c>
      <c r="G9161">
        <f>(Cpi_[[#This Row],[Value]]-F9160)/F9160</f>
        <v>-5.89622641509434E-3</v>
      </c>
      <c r="H9161" t="e" cm="1" vm="1">
        <f t="array" aca="1" ref="H9161" ca="1">VLOOKUP(Cpi_[[#This Row],[Year]:[Month]],crudeoil[],3,FALSE)</f>
        <v>#VALUE!</v>
      </c>
    </row>
    <row r="9162" spans="1:8" hidden="1" x14ac:dyDescent="0.3">
      <c r="A9162" t="s">
        <v>30</v>
      </c>
      <c r="B9162">
        <v>2022</v>
      </c>
      <c r="C9162" t="s">
        <v>40</v>
      </c>
      <c r="D9162" t="s">
        <v>10</v>
      </c>
      <c r="E9162" t="e">
        <f>VLOOKUP(Cpi_[[#This Row],[Attribute]],#REF!,2,FALSE)</f>
        <v>#REF!</v>
      </c>
      <c r="F9162">
        <v>164.4</v>
      </c>
      <c r="G9162">
        <f>(Cpi_[[#This Row],[Value]]-F9161)/F9161</f>
        <v>-2.4911032028469685E-2</v>
      </c>
      <c r="H9162" t="e" cm="1" vm="1">
        <f t="array" aca="1" ref="H9162" ca="1">VLOOKUP(Cpi_[[#This Row],[Year]:[Month]],crudeoil[],3,FALSE)</f>
        <v>#VALUE!</v>
      </c>
    </row>
    <row r="9163" spans="1:8" hidden="1" x14ac:dyDescent="0.3">
      <c r="A9163" t="s">
        <v>30</v>
      </c>
      <c r="B9163">
        <v>2022</v>
      </c>
      <c r="C9163" t="s">
        <v>40</v>
      </c>
      <c r="D9163" t="s">
        <v>11</v>
      </c>
      <c r="E9163" t="e">
        <f>VLOOKUP(Cpi_[[#This Row],[Attribute]],#REF!,2,FALSE)</f>
        <v>#REF!</v>
      </c>
      <c r="F9163">
        <v>119.2</v>
      </c>
      <c r="G9163">
        <f>(Cpi_[[#This Row],[Value]]-F9162)/F9162</f>
        <v>-0.27493917274939172</v>
      </c>
      <c r="H9163" t="e" cm="1" vm="1">
        <f t="array" aca="1" ref="H9163" ca="1">VLOOKUP(Cpi_[[#This Row],[Year]:[Month]],crudeoil[],3,FALSE)</f>
        <v>#VALUE!</v>
      </c>
    </row>
    <row r="9164" spans="1:8" hidden="1" x14ac:dyDescent="0.3">
      <c r="A9164" t="s">
        <v>30</v>
      </c>
      <c r="B9164">
        <v>2022</v>
      </c>
      <c r="C9164" t="s">
        <v>40</v>
      </c>
      <c r="D9164" t="s">
        <v>12</v>
      </c>
      <c r="E9164" t="e">
        <f>VLOOKUP(Cpi_[[#This Row],[Attribute]],#REF!,2,FALSE)</f>
        <v>#REF!</v>
      </c>
      <c r="F9164">
        <v>191.8</v>
      </c>
      <c r="G9164">
        <f>(Cpi_[[#This Row],[Value]]-F9163)/F9163</f>
        <v>0.60906040268456385</v>
      </c>
      <c r="H9164" t="e" cm="1" vm="1">
        <f t="array" aca="1" ref="H9164" ca="1">VLOOKUP(Cpi_[[#This Row],[Year]:[Month]],crudeoil[],3,FALSE)</f>
        <v>#VALUE!</v>
      </c>
    </row>
    <row r="9165" spans="1:8" hidden="1" x14ac:dyDescent="0.3">
      <c r="A9165" t="s">
        <v>30</v>
      </c>
      <c r="B9165">
        <v>2022</v>
      </c>
      <c r="C9165" t="s">
        <v>40</v>
      </c>
      <c r="D9165" t="s">
        <v>13</v>
      </c>
      <c r="E9165" t="e">
        <f>VLOOKUP(Cpi_[[#This Row],[Attribute]],#REF!,2,FALSE)</f>
        <v>#REF!</v>
      </c>
      <c r="F9165">
        <v>174.5</v>
      </c>
      <c r="G9165">
        <f>(Cpi_[[#This Row],[Value]]-F9164)/F9164</f>
        <v>-9.019812304483843E-2</v>
      </c>
      <c r="H9165" t="e" cm="1" vm="1">
        <f t="array" aca="1" ref="H9165" ca="1">VLOOKUP(Cpi_[[#This Row],[Year]:[Month]],crudeoil[],3,FALSE)</f>
        <v>#VALUE!</v>
      </c>
    </row>
    <row r="9166" spans="1:8" hidden="1" x14ac:dyDescent="0.3">
      <c r="A9166" t="s">
        <v>30</v>
      </c>
      <c r="B9166">
        <v>2022</v>
      </c>
      <c r="C9166" t="s">
        <v>40</v>
      </c>
      <c r="D9166" t="s">
        <v>14</v>
      </c>
      <c r="E9166" t="e">
        <f>VLOOKUP(Cpi_[[#This Row],[Attribute]],#REF!,2,FALSE)</f>
        <v>#REF!</v>
      </c>
      <c r="F9166">
        <v>183.1</v>
      </c>
      <c r="G9166">
        <f>(Cpi_[[#This Row],[Value]]-F9165)/F9165</f>
        <v>4.9283667621776474E-2</v>
      </c>
      <c r="H9166" t="e" cm="1" vm="1">
        <f t="array" aca="1" ref="H9166" ca="1">VLOOKUP(Cpi_[[#This Row],[Year]:[Month]],crudeoil[],3,FALSE)</f>
        <v>#VALUE!</v>
      </c>
    </row>
    <row r="9167" spans="1:8" hidden="1" x14ac:dyDescent="0.3">
      <c r="A9167" t="s">
        <v>30</v>
      </c>
      <c r="B9167">
        <v>2022</v>
      </c>
      <c r="C9167" t="s">
        <v>40</v>
      </c>
      <c r="D9167" t="s">
        <v>15</v>
      </c>
      <c r="E9167" t="e">
        <f>VLOOKUP(Cpi_[[#This Row],[Attribute]],#REF!,2,FALSE)</f>
        <v>#REF!</v>
      </c>
      <c r="F9167">
        <v>172.5</v>
      </c>
      <c r="G9167">
        <f>(Cpi_[[#This Row],[Value]]-F9166)/F9166</f>
        <v>-5.7891862370289433E-2</v>
      </c>
      <c r="H9167" t="e" cm="1" vm="1">
        <f t="array" aca="1" ref="H9167" ca="1">VLOOKUP(Cpi_[[#This Row],[Year]:[Month]],crudeoil[],3,FALSE)</f>
        <v>#VALUE!</v>
      </c>
    </row>
    <row r="9168" spans="1:8" hidden="1" x14ac:dyDescent="0.3">
      <c r="A9168" t="s">
        <v>30</v>
      </c>
      <c r="B9168">
        <v>2022</v>
      </c>
      <c r="C9168" t="s">
        <v>40</v>
      </c>
      <c r="D9168" t="s">
        <v>16</v>
      </c>
      <c r="E9168" t="e">
        <f>VLOOKUP(Cpi_[[#This Row],[Attribute]],#REF!,2,FALSE)</f>
        <v>#REF!</v>
      </c>
      <c r="F9168">
        <v>193.2</v>
      </c>
      <c r="G9168">
        <f>(Cpi_[[#This Row],[Value]]-F9167)/F9167</f>
        <v>0.11999999999999994</v>
      </c>
      <c r="H9168" t="e" cm="1" vm="1">
        <f t="array" aca="1" ref="H9168" ca="1">VLOOKUP(Cpi_[[#This Row],[Year]:[Month]],crudeoil[],3,FALSE)</f>
        <v>#VALUE!</v>
      </c>
    </row>
    <row r="9169" spans="1:8" hidden="1" x14ac:dyDescent="0.3">
      <c r="A9169" t="s">
        <v>30</v>
      </c>
      <c r="B9169">
        <v>2022</v>
      </c>
      <c r="C9169" t="s">
        <v>40</v>
      </c>
      <c r="D9169" t="s">
        <v>17</v>
      </c>
      <c r="E9169" t="e">
        <f>VLOOKUP(Cpi_[[#This Row],[Attribute]],#REF!,2,FALSE)</f>
        <v>#REF!</v>
      </c>
      <c r="F9169">
        <v>182</v>
      </c>
      <c r="G9169">
        <f>(Cpi_[[#This Row],[Value]]-F9168)/F9168</f>
        <v>-5.7971014492753568E-2</v>
      </c>
      <c r="H9169" t="e" cm="1" vm="1">
        <f t="array" aca="1" ref="H9169" ca="1">VLOOKUP(Cpi_[[#This Row],[Year]:[Month]],crudeoil[],3,FALSE)</f>
        <v>#VALUE!</v>
      </c>
    </row>
    <row r="9170" spans="1:8" hidden="1" x14ac:dyDescent="0.3">
      <c r="A9170" t="s">
        <v>30</v>
      </c>
      <c r="B9170">
        <v>2022</v>
      </c>
      <c r="C9170" t="s">
        <v>40</v>
      </c>
      <c r="D9170" t="s">
        <v>18</v>
      </c>
      <c r="E9170" t="e">
        <f>VLOOKUP(Cpi_[[#This Row],[Attribute]],#REF!,2,FALSE)</f>
        <v>#REF!</v>
      </c>
      <c r="F9170">
        <v>180.3</v>
      </c>
      <c r="G9170">
        <f>(Cpi_[[#This Row],[Value]]-F9169)/F9169</f>
        <v>-9.340659340659278E-3</v>
      </c>
      <c r="H9170" t="e" cm="1" vm="1">
        <f t="array" aca="1" ref="H9170" ca="1">VLOOKUP(Cpi_[[#This Row],[Year]:[Month]],crudeoil[],3,FALSE)</f>
        <v>#VALUE!</v>
      </c>
    </row>
    <row r="9171" spans="1:8" hidden="1" x14ac:dyDescent="0.3">
      <c r="A9171" t="s">
        <v>30</v>
      </c>
      <c r="B9171">
        <v>2022</v>
      </c>
      <c r="C9171" t="s">
        <v>40</v>
      </c>
      <c r="D9171" t="s">
        <v>19</v>
      </c>
      <c r="E9171" t="e">
        <f>VLOOKUP(Cpi_[[#This Row],[Attribute]],#REF!,2,FALSE)</f>
        <v>#REF!</v>
      </c>
      <c r="F9171">
        <v>181.7</v>
      </c>
      <c r="G9171">
        <f>(Cpi_[[#This Row],[Value]]-F9170)/F9170</f>
        <v>7.7648363838046432E-3</v>
      </c>
      <c r="H9171" t="e" cm="1" vm="1">
        <f t="array" aca="1" ref="H9171" ca="1">VLOOKUP(Cpi_[[#This Row],[Year]:[Month]],crudeoil[],3,FALSE)</f>
        <v>#VALUE!</v>
      </c>
    </row>
    <row r="9172" spans="1:8" hidden="1" x14ac:dyDescent="0.3">
      <c r="A9172" t="s">
        <v>30</v>
      </c>
      <c r="B9172">
        <v>2022</v>
      </c>
      <c r="C9172" t="s">
        <v>40</v>
      </c>
      <c r="D9172" t="s">
        <v>20</v>
      </c>
      <c r="E9172" t="e">
        <f>VLOOKUP(Cpi_[[#This Row],[Attribute]],#REF!,2,FALSE)</f>
        <v>#REF!</v>
      </c>
      <c r="F9172" t="s">
        <v>32</v>
      </c>
      <c r="G9172" t="e">
        <f>(Cpi_[[#This Row],[Value]]-F9171)/F9171</f>
        <v>#VALUE!</v>
      </c>
      <c r="H9172" t="e" cm="1" vm="1">
        <f t="array" aca="1" ref="H9172" ca="1">VLOOKUP(Cpi_[[#This Row],[Year]:[Month]],crudeoil[],3,FALSE)</f>
        <v>#VALUE!</v>
      </c>
    </row>
    <row r="9173" spans="1:8" hidden="1" x14ac:dyDescent="0.3">
      <c r="A9173" t="s">
        <v>30</v>
      </c>
      <c r="B9173">
        <v>2022</v>
      </c>
      <c r="C9173" t="s">
        <v>40</v>
      </c>
      <c r="D9173" t="s">
        <v>21</v>
      </c>
      <c r="E9173" t="e">
        <f>VLOOKUP(Cpi_[[#This Row],[Attribute]],#REF!,2,FALSE)</f>
        <v>#REF!</v>
      </c>
      <c r="F9173">
        <v>179.6</v>
      </c>
      <c r="G9173" t="e">
        <f>(Cpi_[[#This Row],[Value]]-F9172)/F9172</f>
        <v>#VALUE!</v>
      </c>
      <c r="H9173" t="e" cm="1" vm="1">
        <f t="array" aca="1" ref="H9173" ca="1">VLOOKUP(Cpi_[[#This Row],[Year]:[Month]],crudeoil[],3,FALSE)</f>
        <v>#VALUE!</v>
      </c>
    </row>
    <row r="9174" spans="1:8" hidden="1" x14ac:dyDescent="0.3">
      <c r="A9174" t="s">
        <v>30</v>
      </c>
      <c r="B9174">
        <v>2022</v>
      </c>
      <c r="C9174" t="s">
        <v>40</v>
      </c>
      <c r="D9174" t="s">
        <v>22</v>
      </c>
      <c r="E9174" t="e">
        <f>VLOOKUP(Cpi_[[#This Row],[Attribute]],#REF!,2,FALSE)</f>
        <v>#REF!</v>
      </c>
      <c r="F9174">
        <v>171.3</v>
      </c>
      <c r="G9174">
        <f>(Cpi_[[#This Row],[Value]]-F9173)/F9173</f>
        <v>-4.6213808463251578E-2</v>
      </c>
      <c r="H9174" t="e" cm="1" vm="1">
        <f t="array" aca="1" ref="H9174" ca="1">VLOOKUP(Cpi_[[#This Row],[Year]:[Month]],crudeoil[],3,FALSE)</f>
        <v>#VALUE!</v>
      </c>
    </row>
    <row r="9175" spans="1:8" hidden="1" x14ac:dyDescent="0.3">
      <c r="A9175" t="s">
        <v>30</v>
      </c>
      <c r="B9175">
        <v>2022</v>
      </c>
      <c r="C9175" t="s">
        <v>40</v>
      </c>
      <c r="D9175" t="s">
        <v>23</v>
      </c>
      <c r="E9175" t="e">
        <f>VLOOKUP(Cpi_[[#This Row],[Attribute]],#REF!,2,FALSE)</f>
        <v>#REF!</v>
      </c>
      <c r="F9175">
        <v>178.8</v>
      </c>
      <c r="G9175">
        <f>(Cpi_[[#This Row],[Value]]-F9174)/F9174</f>
        <v>4.3782837127845885E-2</v>
      </c>
      <c r="H9175" t="e" cm="1" vm="1">
        <f t="array" aca="1" ref="H9175" ca="1">VLOOKUP(Cpi_[[#This Row],[Year]:[Month]],crudeoil[],3,FALSE)</f>
        <v>#VALUE!</v>
      </c>
    </row>
    <row r="9176" spans="1:8" hidden="1" x14ac:dyDescent="0.3">
      <c r="A9176" t="s">
        <v>30</v>
      </c>
      <c r="B9176">
        <v>2022</v>
      </c>
      <c r="C9176" t="s">
        <v>40</v>
      </c>
      <c r="D9176" t="s">
        <v>24</v>
      </c>
      <c r="E9176" t="e">
        <f>VLOOKUP(Cpi_[[#This Row],[Attribute]],#REF!,2,FALSE)</f>
        <v>#REF!</v>
      </c>
      <c r="F9176">
        <v>166.3</v>
      </c>
      <c r="G9176">
        <f>(Cpi_[[#This Row],[Value]]-F9175)/F9175</f>
        <v>-6.9910514541387025E-2</v>
      </c>
      <c r="H9176" t="e" cm="1" vm="1">
        <f t="array" aca="1" ref="H9176" ca="1">VLOOKUP(Cpi_[[#This Row],[Year]:[Month]],crudeoil[],3,FALSE)</f>
        <v>#VALUE!</v>
      </c>
    </row>
    <row r="9177" spans="1:8" hidden="1" x14ac:dyDescent="0.3">
      <c r="A9177" t="s">
        <v>30</v>
      </c>
      <c r="B9177">
        <v>2022</v>
      </c>
      <c r="C9177" t="s">
        <v>40</v>
      </c>
      <c r="D9177" t="s">
        <v>25</v>
      </c>
      <c r="E9177" t="e">
        <f>VLOOKUP(Cpi_[[#This Row],[Attribute]],#REF!,2,FALSE)</f>
        <v>#REF!</v>
      </c>
      <c r="F9177">
        <v>168.6</v>
      </c>
      <c r="G9177">
        <f>(Cpi_[[#This Row],[Value]]-F9176)/F9176</f>
        <v>1.3830426939266283E-2</v>
      </c>
      <c r="H9177" t="e" cm="1" vm="1">
        <f t="array" aca="1" ref="H9177" ca="1">VLOOKUP(Cpi_[[#This Row],[Year]:[Month]],crudeoil[],3,FALSE)</f>
        <v>#VALUE!</v>
      </c>
    </row>
    <row r="9178" spans="1:8" hidden="1" x14ac:dyDescent="0.3">
      <c r="A9178" t="s">
        <v>30</v>
      </c>
      <c r="B9178">
        <v>2022</v>
      </c>
      <c r="C9178" t="s">
        <v>40</v>
      </c>
      <c r="D9178" t="s">
        <v>26</v>
      </c>
      <c r="E9178" t="e">
        <f>VLOOKUP(Cpi_[[#This Row],[Attribute]],#REF!,2,FALSE)</f>
        <v>#REF!</v>
      </c>
      <c r="F9178">
        <v>174.7</v>
      </c>
      <c r="G9178">
        <f>(Cpi_[[#This Row],[Value]]-F9177)/F9177</f>
        <v>3.6180308422301272E-2</v>
      </c>
      <c r="H9178" t="e" cm="1" vm="1">
        <f t="array" aca="1" ref="H9178" ca="1">VLOOKUP(Cpi_[[#This Row],[Year]:[Month]],crudeoil[],3,FALSE)</f>
        <v>#VALUE!</v>
      </c>
    </row>
    <row r="9179" spans="1:8" hidden="1" x14ac:dyDescent="0.3">
      <c r="A9179" t="s">
        <v>30</v>
      </c>
      <c r="B9179">
        <v>2022</v>
      </c>
      <c r="C9179" t="s">
        <v>40</v>
      </c>
      <c r="D9179" t="s">
        <v>27</v>
      </c>
      <c r="E9179" t="e">
        <f>VLOOKUP(Cpi_[[#This Row],[Attribute]],#REF!,2,FALSE)</f>
        <v>#REF!</v>
      </c>
      <c r="F9179">
        <v>169.7</v>
      </c>
      <c r="G9179">
        <f>(Cpi_[[#This Row],[Value]]-F9178)/F9178</f>
        <v>-2.8620492272467088E-2</v>
      </c>
      <c r="H9179" t="e" cm="1" vm="1">
        <f t="array" aca="1" ref="H9179" ca="1">VLOOKUP(Cpi_[[#This Row],[Year]:[Month]],crudeoil[],3,FALSE)</f>
        <v>#VALUE!</v>
      </c>
    </row>
    <row r="9180" spans="1:8" hidden="1" x14ac:dyDescent="0.3">
      <c r="A9180" t="s">
        <v>30</v>
      </c>
      <c r="B9180">
        <v>2022</v>
      </c>
      <c r="C9180" t="s">
        <v>40</v>
      </c>
      <c r="D9180" t="s">
        <v>28</v>
      </c>
      <c r="E9180" t="e">
        <f>VLOOKUP(Cpi_[[#This Row],[Attribute]],#REF!,2,FALSE)</f>
        <v>#REF!</v>
      </c>
      <c r="F9180">
        <v>171.8</v>
      </c>
      <c r="G9180">
        <f>(Cpi_[[#This Row],[Value]]-F9179)/F9179</f>
        <v>1.2374779021803317E-2</v>
      </c>
      <c r="H9180" t="e" cm="1" vm="1">
        <f t="array" aca="1" ref="H9180" ca="1">VLOOKUP(Cpi_[[#This Row],[Year]:[Month]],crudeoil[],3,FALSE)</f>
        <v>#VALUE!</v>
      </c>
    </row>
    <row r="9181" spans="1:8" hidden="1" x14ac:dyDescent="0.3">
      <c r="A9181" t="s">
        <v>30</v>
      </c>
      <c r="B9181">
        <v>2022</v>
      </c>
      <c r="C9181" t="s">
        <v>40</v>
      </c>
      <c r="D9181" t="s">
        <v>29</v>
      </c>
      <c r="E9181" t="e" cm="1">
        <f t="array" aca="1" ref="E9181" ca="1">VLGeneral indexGeneral indexKUP(Cpi_[[#This Row],[Attribute]],#REF!,2,FALSE)</f>
        <v>#NAME?</v>
      </c>
      <c r="F9181">
        <v>174.3</v>
      </c>
      <c r="G9181">
        <f>(Cpi_[[#This Row],[Value]]-F9180)/F9180</f>
        <v>1.4551804423748545E-2</v>
      </c>
      <c r="H9181" t="e" cm="1" vm="1">
        <f t="array" aca="1" ref="H9181" ca="1">VLOOKUP(Cpi_[[#This Row],[Year]:[Month]],crudeoil[],3,FALSE)</f>
        <v>#VALUE!</v>
      </c>
    </row>
    <row r="9182" spans="1:8" hidden="1" x14ac:dyDescent="0.3">
      <c r="A9182" t="s">
        <v>33</v>
      </c>
      <c r="B9182">
        <v>2022</v>
      </c>
      <c r="C9182" t="s">
        <v>40</v>
      </c>
      <c r="D9182" t="s">
        <v>3</v>
      </c>
      <c r="E9182" t="e">
        <f>VLOOKUP(Cpi_[[#This Row],[Attribute]],#REF!,2,FALSE)</f>
        <v>#REF!</v>
      </c>
      <c r="F9182">
        <v>159.30000000000001</v>
      </c>
      <c r="G9182">
        <f>(Cpi_[[#This Row],[Value]]-F9181)/F9181</f>
        <v>-8.6058519793459548E-2</v>
      </c>
      <c r="H9182" t="e" cm="1" vm="1">
        <f t="array" aca="1" ref="H9182" ca="1">VLOOKUP(Cpi_[[#This Row],[Year]:[Month]],crudeoil[],3,FALSE)</f>
        <v>#VALUE!</v>
      </c>
    </row>
    <row r="9183" spans="1:8" hidden="1" x14ac:dyDescent="0.3">
      <c r="A9183" t="s">
        <v>33</v>
      </c>
      <c r="B9183">
        <v>2022</v>
      </c>
      <c r="C9183" t="s">
        <v>40</v>
      </c>
      <c r="D9183" t="s">
        <v>4</v>
      </c>
      <c r="E9183" t="e">
        <f>VLOOKUP(Cpi_[[#This Row],[Attribute]],#REF!,2,FALSE)</f>
        <v>#REF!</v>
      </c>
      <c r="F9183">
        <v>217.1</v>
      </c>
      <c r="G9183">
        <f>(Cpi_[[#This Row],[Value]]-F9182)/F9182</f>
        <v>0.36283741368487116</v>
      </c>
      <c r="H9183" t="e" cm="1" vm="1">
        <f t="array" aca="1" ref="H9183" ca="1">VLOOKUP(Cpi_[[#This Row],[Year]:[Month]],crudeoil[],3,FALSE)</f>
        <v>#VALUE!</v>
      </c>
    </row>
    <row r="9184" spans="1:8" hidden="1" x14ac:dyDescent="0.3">
      <c r="A9184" t="s">
        <v>33</v>
      </c>
      <c r="B9184">
        <v>2022</v>
      </c>
      <c r="C9184" t="s">
        <v>40</v>
      </c>
      <c r="D9184" t="s">
        <v>5</v>
      </c>
      <c r="E9184" t="e">
        <f>VLOOKUP(Cpi_[[#This Row],[Attribute]],#REF!,2,FALSE)</f>
        <v>#REF!</v>
      </c>
      <c r="F9184">
        <v>176.6</v>
      </c>
      <c r="G9184">
        <f>(Cpi_[[#This Row],[Value]]-F9183)/F9183</f>
        <v>-0.18654997696913866</v>
      </c>
      <c r="H9184" t="e" cm="1" vm="1">
        <f t="array" aca="1" ref="H9184" ca="1">VLOOKUP(Cpi_[[#This Row],[Year]:[Month]],crudeoil[],3,FALSE)</f>
        <v>#VALUE!</v>
      </c>
    </row>
    <row r="9185" spans="1:8" hidden="1" x14ac:dyDescent="0.3">
      <c r="A9185" t="s">
        <v>33</v>
      </c>
      <c r="B9185">
        <v>2022</v>
      </c>
      <c r="C9185" t="s">
        <v>40</v>
      </c>
      <c r="D9185" t="s">
        <v>6</v>
      </c>
      <c r="E9185" t="e">
        <f>VLOOKUP(Cpi_[[#This Row],[Attribute]],#REF!,2,FALSE)</f>
        <v>#REF!</v>
      </c>
      <c r="F9185">
        <v>167.1</v>
      </c>
      <c r="G9185">
        <f>(Cpi_[[#This Row],[Value]]-F9184)/F9184</f>
        <v>-5.3793884484711216E-2</v>
      </c>
      <c r="H9185" t="e" cm="1" vm="1">
        <f t="array" aca="1" ref="H9185" ca="1">VLOOKUP(Cpi_[[#This Row],[Year]:[Month]],crudeoil[],3,FALSE)</f>
        <v>#VALUE!</v>
      </c>
    </row>
    <row r="9186" spans="1:8" hidden="1" x14ac:dyDescent="0.3">
      <c r="A9186" t="s">
        <v>33</v>
      </c>
      <c r="B9186">
        <v>2022</v>
      </c>
      <c r="C9186" t="s">
        <v>40</v>
      </c>
      <c r="D9186" t="s">
        <v>7</v>
      </c>
      <c r="E9186" t="e">
        <f>VLOOKUP(Cpi_[[#This Row],[Attribute]],#REF!,2,FALSE)</f>
        <v>#REF!</v>
      </c>
      <c r="F9186">
        <v>184.8</v>
      </c>
      <c r="G9186">
        <f>(Cpi_[[#This Row],[Value]]-F9185)/F9185</f>
        <v>0.10592459605026941</v>
      </c>
      <c r="H9186" t="e" cm="1" vm="1">
        <f t="array" aca="1" ref="H9186" ca="1">VLOOKUP(Cpi_[[#This Row],[Year]:[Month]],crudeoil[],3,FALSE)</f>
        <v>#VALUE!</v>
      </c>
    </row>
    <row r="9187" spans="1:8" hidden="1" x14ac:dyDescent="0.3">
      <c r="A9187" t="s">
        <v>33</v>
      </c>
      <c r="B9187">
        <v>2022</v>
      </c>
      <c r="C9187" t="s">
        <v>40</v>
      </c>
      <c r="D9187" t="s">
        <v>8</v>
      </c>
      <c r="E9187" t="e">
        <f>VLOOKUP(Cpi_[[#This Row],[Attribute]],#REF!,2,FALSE)</f>
        <v>#REF!</v>
      </c>
      <c r="F9187">
        <v>179.5</v>
      </c>
      <c r="G9187">
        <f>(Cpi_[[#This Row],[Value]]-F9186)/F9186</f>
        <v>-2.8679653679653739E-2</v>
      </c>
      <c r="H9187" t="e" cm="1" vm="1">
        <f t="array" aca="1" ref="H9187" ca="1">VLOOKUP(Cpi_[[#This Row],[Year]:[Month]],crudeoil[],3,FALSE)</f>
        <v>#VALUE!</v>
      </c>
    </row>
    <row r="9188" spans="1:8" hidden="1" x14ac:dyDescent="0.3">
      <c r="A9188" t="s">
        <v>33</v>
      </c>
      <c r="B9188">
        <v>2022</v>
      </c>
      <c r="C9188" t="s">
        <v>40</v>
      </c>
      <c r="D9188" t="s">
        <v>9</v>
      </c>
      <c r="E9188" t="e">
        <f>VLOOKUP(Cpi_[[#This Row],[Attribute]],#REF!,2,FALSE)</f>
        <v>#REF!</v>
      </c>
      <c r="F9188">
        <v>208.5</v>
      </c>
      <c r="G9188">
        <f>(Cpi_[[#This Row],[Value]]-F9187)/F9187</f>
        <v>0.16155988857938719</v>
      </c>
      <c r="H9188" t="e" cm="1" vm="1">
        <f t="array" aca="1" ref="H9188" ca="1">VLOOKUP(Cpi_[[#This Row],[Year]:[Month]],crudeoil[],3,FALSE)</f>
        <v>#VALUE!</v>
      </c>
    </row>
    <row r="9189" spans="1:8" hidden="1" x14ac:dyDescent="0.3">
      <c r="A9189" t="s">
        <v>33</v>
      </c>
      <c r="B9189">
        <v>2022</v>
      </c>
      <c r="C9189" t="s">
        <v>40</v>
      </c>
      <c r="D9189" t="s">
        <v>10</v>
      </c>
      <c r="E9189" t="e">
        <f>VLOOKUP(Cpi_[[#This Row],[Attribute]],#REF!,2,FALSE)</f>
        <v>#REF!</v>
      </c>
      <c r="F9189">
        <v>164</v>
      </c>
      <c r="G9189">
        <f>(Cpi_[[#This Row],[Value]]-F9188)/F9188</f>
        <v>-0.21342925659472423</v>
      </c>
      <c r="H9189" t="e" cm="1" vm="1">
        <f t="array" aca="1" ref="H9189" ca="1">VLOOKUP(Cpi_[[#This Row],[Year]:[Month]],crudeoil[],3,FALSE)</f>
        <v>#VALUE!</v>
      </c>
    </row>
    <row r="9190" spans="1:8" hidden="1" x14ac:dyDescent="0.3">
      <c r="A9190" t="s">
        <v>33</v>
      </c>
      <c r="B9190">
        <v>2022</v>
      </c>
      <c r="C9190" t="s">
        <v>40</v>
      </c>
      <c r="D9190" t="s">
        <v>11</v>
      </c>
      <c r="E9190" t="e">
        <f>VLOOKUP(Cpi_[[#This Row],[Attribute]],#REF!,2,FALSE)</f>
        <v>#REF!</v>
      </c>
      <c r="F9190">
        <v>121.5</v>
      </c>
      <c r="G9190">
        <f>(Cpi_[[#This Row],[Value]]-F9189)/F9189</f>
        <v>-0.25914634146341464</v>
      </c>
      <c r="H9190" t="e" cm="1" vm="1">
        <f t="array" aca="1" ref="H9190" ca="1">VLOOKUP(Cpi_[[#This Row],[Year]:[Month]],crudeoil[],3,FALSE)</f>
        <v>#VALUE!</v>
      </c>
    </row>
    <row r="9191" spans="1:8" hidden="1" x14ac:dyDescent="0.3">
      <c r="A9191" t="s">
        <v>33</v>
      </c>
      <c r="B9191">
        <v>2022</v>
      </c>
      <c r="C9191" t="s">
        <v>40</v>
      </c>
      <c r="D9191" t="s">
        <v>12</v>
      </c>
      <c r="E9191" t="e">
        <f>VLOOKUP(Cpi_[[#This Row],[Attribute]],#REF!,2,FALSE)</f>
        <v>#REF!</v>
      </c>
      <c r="F9191">
        <v>186.3</v>
      </c>
      <c r="G9191">
        <f>(Cpi_[[#This Row],[Value]]-F9190)/F9190</f>
        <v>0.53333333333333344</v>
      </c>
      <c r="H9191" t="e" cm="1" vm="1">
        <f t="array" aca="1" ref="H9191" ca="1">VLOOKUP(Cpi_[[#This Row],[Year]:[Month]],crudeoil[],3,FALSE)</f>
        <v>#VALUE!</v>
      </c>
    </row>
    <row r="9192" spans="1:8" hidden="1" x14ac:dyDescent="0.3">
      <c r="A9192" t="s">
        <v>33</v>
      </c>
      <c r="B9192">
        <v>2022</v>
      </c>
      <c r="C9192" t="s">
        <v>40</v>
      </c>
      <c r="D9192" t="s">
        <v>13</v>
      </c>
      <c r="E9192" t="e">
        <f>VLOOKUP(Cpi_[[#This Row],[Attribute]],#REF!,2,FALSE)</f>
        <v>#REF!</v>
      </c>
      <c r="F9192">
        <v>159.80000000000001</v>
      </c>
      <c r="G9192">
        <f>(Cpi_[[#This Row],[Value]]-F9191)/F9191</f>
        <v>-0.14224369296833064</v>
      </c>
      <c r="H9192" t="e" cm="1" vm="1">
        <f t="array" aca="1" ref="H9192" ca="1">VLOOKUP(Cpi_[[#This Row],[Year]:[Month]],crudeoil[],3,FALSE)</f>
        <v>#VALUE!</v>
      </c>
    </row>
    <row r="9193" spans="1:8" hidden="1" x14ac:dyDescent="0.3">
      <c r="A9193" t="s">
        <v>33</v>
      </c>
      <c r="B9193">
        <v>2022</v>
      </c>
      <c r="C9193" t="s">
        <v>40</v>
      </c>
      <c r="D9193" t="s">
        <v>14</v>
      </c>
      <c r="E9193" t="e">
        <f>VLOOKUP(Cpi_[[#This Row],[Attribute]],#REF!,2,FALSE)</f>
        <v>#REF!</v>
      </c>
      <c r="F9193">
        <v>187.7</v>
      </c>
      <c r="G9193">
        <f>(Cpi_[[#This Row],[Value]]-F9192)/F9192</f>
        <v>0.17459324155193978</v>
      </c>
      <c r="H9193" t="e" cm="1" vm="1">
        <f t="array" aca="1" ref="H9193" ca="1">VLOOKUP(Cpi_[[#This Row],[Year]:[Month]],crudeoil[],3,FALSE)</f>
        <v>#VALUE!</v>
      </c>
    </row>
    <row r="9194" spans="1:8" hidden="1" x14ac:dyDescent="0.3">
      <c r="A9194" t="s">
        <v>33</v>
      </c>
      <c r="B9194">
        <v>2022</v>
      </c>
      <c r="C9194" t="s">
        <v>40</v>
      </c>
      <c r="D9194" t="s">
        <v>15</v>
      </c>
      <c r="E9194" t="e">
        <f>VLOOKUP(Cpi_[[#This Row],[Attribute]],#REF!,2,FALSE)</f>
        <v>#REF!</v>
      </c>
      <c r="F9194">
        <v>179.4</v>
      </c>
      <c r="G9194">
        <f>(Cpi_[[#This Row],[Value]]-F9193)/F9193</f>
        <v>-4.4219499200852337E-2</v>
      </c>
      <c r="H9194" t="e" cm="1" vm="1">
        <f t="array" aca="1" ref="H9194" ca="1">VLOOKUP(Cpi_[[#This Row],[Year]:[Month]],crudeoil[],3,FALSE)</f>
        <v>#VALUE!</v>
      </c>
    </row>
    <row r="9195" spans="1:8" hidden="1" x14ac:dyDescent="0.3">
      <c r="A9195" t="s">
        <v>33</v>
      </c>
      <c r="B9195">
        <v>2022</v>
      </c>
      <c r="C9195" t="s">
        <v>40</v>
      </c>
      <c r="D9195" t="s">
        <v>16</v>
      </c>
      <c r="E9195" t="e">
        <f>VLOOKUP(Cpi_[[#This Row],[Attribute]],#REF!,2,FALSE)</f>
        <v>#REF!</v>
      </c>
      <c r="F9195">
        <v>198.6</v>
      </c>
      <c r="G9195">
        <f>(Cpi_[[#This Row],[Value]]-F9194)/F9194</f>
        <v>0.10702341137123739</v>
      </c>
      <c r="H9195" t="e" cm="1" vm="1">
        <f t="array" aca="1" ref="H9195" ca="1">VLOOKUP(Cpi_[[#This Row],[Year]:[Month]],crudeoil[],3,FALSE)</f>
        <v>#VALUE!</v>
      </c>
    </row>
    <row r="9196" spans="1:8" hidden="1" x14ac:dyDescent="0.3">
      <c r="A9196" t="s">
        <v>33</v>
      </c>
      <c r="B9196">
        <v>2022</v>
      </c>
      <c r="C9196" t="s">
        <v>40</v>
      </c>
      <c r="D9196" t="s">
        <v>17</v>
      </c>
      <c r="E9196" t="e">
        <f>VLOOKUP(Cpi_[[#This Row],[Attribute]],#REF!,2,FALSE)</f>
        <v>#REF!</v>
      </c>
      <c r="F9196">
        <v>172.7</v>
      </c>
      <c r="G9196">
        <f>(Cpi_[[#This Row],[Value]]-F9195)/F9195</f>
        <v>-0.13041289023162139</v>
      </c>
      <c r="H9196" t="e" cm="1" vm="1">
        <f t="array" aca="1" ref="H9196" ca="1">VLOOKUP(Cpi_[[#This Row],[Year]:[Month]],crudeoil[],3,FALSE)</f>
        <v>#VALUE!</v>
      </c>
    </row>
    <row r="9197" spans="1:8" hidden="1" x14ac:dyDescent="0.3">
      <c r="A9197" t="s">
        <v>33</v>
      </c>
      <c r="B9197">
        <v>2022</v>
      </c>
      <c r="C9197" t="s">
        <v>40</v>
      </c>
      <c r="D9197" t="s">
        <v>18</v>
      </c>
      <c r="E9197" t="e">
        <f>VLOOKUP(Cpi_[[#This Row],[Attribute]],#REF!,2,FALSE)</f>
        <v>#REF!</v>
      </c>
      <c r="F9197">
        <v>158.69999999999999</v>
      </c>
      <c r="G9197">
        <f>(Cpi_[[#This Row],[Value]]-F9196)/F9196</f>
        <v>-8.1065431383902722E-2</v>
      </c>
      <c r="H9197" t="e" cm="1" vm="1">
        <f t="array" aca="1" ref="H9197" ca="1">VLOOKUP(Cpi_[[#This Row],[Year]:[Month]],crudeoil[],3,FALSE)</f>
        <v>#VALUE!</v>
      </c>
    </row>
    <row r="9198" spans="1:8" hidden="1" x14ac:dyDescent="0.3">
      <c r="A9198" t="s">
        <v>33</v>
      </c>
      <c r="B9198">
        <v>2022</v>
      </c>
      <c r="C9198" t="s">
        <v>40</v>
      </c>
      <c r="D9198" t="s">
        <v>19</v>
      </c>
      <c r="E9198" t="e">
        <f>VLOOKUP(Cpi_[[#This Row],[Attribute]],#REF!,2,FALSE)</f>
        <v>#REF!</v>
      </c>
      <c r="F9198">
        <v>170.6</v>
      </c>
      <c r="G9198">
        <f>(Cpi_[[#This Row],[Value]]-F9197)/F9197</f>
        <v>7.4984247006931362E-2</v>
      </c>
      <c r="H9198" t="e" cm="1" vm="1">
        <f t="array" aca="1" ref="H9198" ca="1">VLOOKUP(Cpi_[[#This Row],[Year]:[Month]],crudeoil[],3,FALSE)</f>
        <v>#VALUE!</v>
      </c>
    </row>
    <row r="9199" spans="1:8" hidden="1" x14ac:dyDescent="0.3">
      <c r="A9199" t="s">
        <v>33</v>
      </c>
      <c r="B9199">
        <v>2022</v>
      </c>
      <c r="C9199" t="s">
        <v>40</v>
      </c>
      <c r="D9199" t="s">
        <v>20</v>
      </c>
      <c r="E9199" t="e">
        <f>VLOOKUP(Cpi_[[#This Row],[Attribute]],#REF!,2,FALSE)</f>
        <v>#REF!</v>
      </c>
      <c r="F9199">
        <v>167.8</v>
      </c>
      <c r="G9199">
        <f>(Cpi_[[#This Row],[Value]]-F9198)/F9198</f>
        <v>-1.6412661195779502E-2</v>
      </c>
      <c r="H9199" t="e" cm="1" vm="1">
        <f t="array" aca="1" ref="H9199" ca="1">VLOOKUP(Cpi_[[#This Row],[Year]:[Month]],crudeoil[],3,FALSE)</f>
        <v>#VALUE!</v>
      </c>
    </row>
    <row r="9200" spans="1:8" hidden="1" x14ac:dyDescent="0.3">
      <c r="A9200" t="s">
        <v>33</v>
      </c>
      <c r="B9200">
        <v>2022</v>
      </c>
      <c r="C9200" t="s">
        <v>40</v>
      </c>
      <c r="D9200" t="s">
        <v>21</v>
      </c>
      <c r="E9200" t="e">
        <f>VLOOKUP(Cpi_[[#This Row],[Attribute]],#REF!,2,FALSE)</f>
        <v>#REF!</v>
      </c>
      <c r="F9200">
        <v>179.5</v>
      </c>
      <c r="G9200">
        <f>(Cpi_[[#This Row],[Value]]-F9199)/F9199</f>
        <v>6.9725864123957024E-2</v>
      </c>
      <c r="H9200" t="e" cm="1" vm="1">
        <f t="array" aca="1" ref="H9200" ca="1">VLOOKUP(Cpi_[[#This Row],[Year]:[Month]],crudeoil[],3,FALSE)</f>
        <v>#VALUE!</v>
      </c>
    </row>
    <row r="9201" spans="1:10" hidden="1" x14ac:dyDescent="0.3">
      <c r="A9201" t="s">
        <v>33</v>
      </c>
      <c r="B9201">
        <v>2022</v>
      </c>
      <c r="C9201" t="s">
        <v>40</v>
      </c>
      <c r="D9201" t="s">
        <v>22</v>
      </c>
      <c r="E9201" t="e">
        <f>VLOOKUP(Cpi_[[#This Row],[Attribute]],#REF!,2,FALSE)</f>
        <v>#REF!</v>
      </c>
      <c r="F9201">
        <v>163.1</v>
      </c>
      <c r="G9201">
        <f>(Cpi_[[#This Row],[Value]]-F9200)/F9200</f>
        <v>-9.1364902506963816E-2</v>
      </c>
      <c r="H9201" t="e" cm="1" vm="1">
        <f t="array" aca="1" ref="H9201" ca="1">VLOOKUP(Cpi_[[#This Row],[Year]:[Month]],crudeoil[],3,FALSE)</f>
        <v>#VALUE!</v>
      </c>
    </row>
    <row r="9202" spans="1:10" hidden="1" x14ac:dyDescent="0.3">
      <c r="A9202" t="s">
        <v>33</v>
      </c>
      <c r="B9202">
        <v>2022</v>
      </c>
      <c r="C9202" t="s">
        <v>40</v>
      </c>
      <c r="D9202" t="s">
        <v>23</v>
      </c>
      <c r="E9202" t="e">
        <f>VLOOKUP(Cpi_[[#This Row],[Attribute]],#REF!,2,FALSE)</f>
        <v>#REF!</v>
      </c>
      <c r="F9202">
        <v>171.7</v>
      </c>
      <c r="G9202">
        <f>(Cpi_[[#This Row],[Value]]-F9201)/F9201</f>
        <v>5.2728387492335958E-2</v>
      </c>
      <c r="H9202" t="e" cm="1" vm="1">
        <f t="array" aca="1" ref="H9202" ca="1">VLOOKUP(Cpi_[[#This Row],[Year]:[Month]],crudeoil[],3,FALSE)</f>
        <v>#VALUE!</v>
      </c>
    </row>
    <row r="9203" spans="1:10" hidden="1" x14ac:dyDescent="0.3">
      <c r="A9203" t="s">
        <v>33</v>
      </c>
      <c r="B9203">
        <v>2022</v>
      </c>
      <c r="C9203" t="s">
        <v>40</v>
      </c>
      <c r="D9203" t="s">
        <v>24</v>
      </c>
      <c r="E9203" t="e">
        <f>VLOOKUP(Cpi_[[#This Row],[Attribute]],#REF!,2,FALSE)</f>
        <v>#REF!</v>
      </c>
      <c r="F9203">
        <v>157.4</v>
      </c>
      <c r="G9203">
        <f>(Cpi_[[#This Row],[Value]]-F9202)/F9202</f>
        <v>-8.3284799068142013E-2</v>
      </c>
      <c r="H9203" t="e" cm="1" vm="1">
        <f t="array" aca="1" ref="H9203" ca="1">VLOOKUP(Cpi_[[#This Row],[Year]:[Month]],crudeoil[],3,FALSE)</f>
        <v>#VALUE!</v>
      </c>
    </row>
    <row r="9204" spans="1:10" hidden="1" x14ac:dyDescent="0.3">
      <c r="A9204" t="s">
        <v>33</v>
      </c>
      <c r="B9204">
        <v>2022</v>
      </c>
      <c r="C9204" t="s">
        <v>40</v>
      </c>
      <c r="D9204" t="s">
        <v>25</v>
      </c>
      <c r="E9204" t="e">
        <f>VLOOKUP(Cpi_[[#This Row],[Attribute]],#REF!,2,FALSE)</f>
        <v>#REF!</v>
      </c>
      <c r="F9204">
        <v>164.6</v>
      </c>
      <c r="G9204">
        <f>(Cpi_[[#This Row],[Value]]-F9203)/F9203</f>
        <v>4.5743329097839826E-2</v>
      </c>
      <c r="H9204" t="e" cm="1" vm="1">
        <f t="array" aca="1" ref="H9204" ca="1">VLOOKUP(Cpi_[[#This Row],[Year]:[Month]],crudeoil[],3,FALSE)</f>
        <v>#VALUE!</v>
      </c>
    </row>
    <row r="9205" spans="1:10" hidden="1" x14ac:dyDescent="0.3">
      <c r="A9205" t="s">
        <v>33</v>
      </c>
      <c r="B9205">
        <v>2022</v>
      </c>
      <c r="C9205" t="s">
        <v>40</v>
      </c>
      <c r="D9205" t="s">
        <v>26</v>
      </c>
      <c r="E9205" t="e">
        <f>VLOOKUP(Cpi_[[#This Row],[Attribute]],#REF!,2,FALSE)</f>
        <v>#REF!</v>
      </c>
      <c r="F9205">
        <v>169.1</v>
      </c>
      <c r="G9205">
        <f>(Cpi_[[#This Row],[Value]]-F9204)/F9204</f>
        <v>2.7339003645200487E-2</v>
      </c>
      <c r="H9205" t="e" cm="1" vm="1">
        <f t="array" aca="1" ref="H9205" ca="1">VLOOKUP(Cpi_[[#This Row],[Year]:[Month]],crudeoil[],3,FALSE)</f>
        <v>#VALUE!</v>
      </c>
    </row>
    <row r="9206" spans="1:10" hidden="1" x14ac:dyDescent="0.3">
      <c r="A9206" t="s">
        <v>33</v>
      </c>
      <c r="B9206">
        <v>2022</v>
      </c>
      <c r="C9206" t="s">
        <v>40</v>
      </c>
      <c r="D9206" t="s">
        <v>27</v>
      </c>
      <c r="E9206" t="e">
        <f>VLOOKUP(Cpi_[[#This Row],[Attribute]],#REF!,2,FALSE)</f>
        <v>#REF!</v>
      </c>
      <c r="F9206">
        <v>169.8</v>
      </c>
      <c r="G9206">
        <f>(Cpi_[[#This Row],[Value]]-F9205)/F9205</f>
        <v>4.1395623891189656E-3</v>
      </c>
      <c r="H9206" t="e" cm="1" vm="1">
        <f t="array" aca="1" ref="H9206" ca="1">VLOOKUP(Cpi_[[#This Row],[Year]:[Month]],crudeoil[],3,FALSE)</f>
        <v>#VALUE!</v>
      </c>
    </row>
    <row r="9207" spans="1:10" hidden="1" x14ac:dyDescent="0.3">
      <c r="A9207" t="s">
        <v>33</v>
      </c>
      <c r="B9207">
        <v>2022</v>
      </c>
      <c r="C9207" t="s">
        <v>40</v>
      </c>
      <c r="D9207" t="s">
        <v>28</v>
      </c>
      <c r="E9207" t="e">
        <f>VLOOKUP(Cpi_[[#This Row],[Attribute]],#REF!,2,FALSE)</f>
        <v>#REF!</v>
      </c>
      <c r="F9207">
        <v>164.7</v>
      </c>
      <c r="G9207">
        <f>(Cpi_[[#This Row],[Value]]-F9206)/F9206</f>
        <v>-3.003533568904607E-2</v>
      </c>
      <c r="H9207" t="e" cm="1" vm="1">
        <f t="array" aca="1" ref="H9207" ca="1">VLOOKUP(Cpi_[[#This Row],[Year]:[Month]],crudeoil[],3,FALSE)</f>
        <v>#VALUE!</v>
      </c>
    </row>
    <row r="9208" spans="1:10" hidden="1" x14ac:dyDescent="0.3">
      <c r="A9208" t="s">
        <v>33</v>
      </c>
      <c r="B9208">
        <v>2022</v>
      </c>
      <c r="C9208" t="s">
        <v>40</v>
      </c>
      <c r="D9208" t="s">
        <v>29</v>
      </c>
      <c r="E9208" t="e" cm="1">
        <f t="array" aca="1" ref="E9208" ca="1">VLGeneral indexGeneral indexKUP(Cpi_[[#This Row],[Attribute]],#REF!,2,FALSE)</f>
        <v>#NAME?</v>
      </c>
      <c r="F9208">
        <v>172.3</v>
      </c>
      <c r="G9208">
        <f>(Cpi_[[#This Row],[Value]]-F9207)/F9207</f>
        <v>4.6144505160898748E-2</v>
      </c>
      <c r="H9208" t="e" cm="1" vm="1">
        <f t="array" aca="1" ref="H9208" ca="1">VLOOKUP(Cpi_[[#This Row],[Year]:[Month]],crudeoil[],3,FALSE)</f>
        <v>#VALUE!</v>
      </c>
    </row>
    <row r="9209" spans="1:10" hidden="1" x14ac:dyDescent="0.3">
      <c r="A9209" t="s">
        <v>34</v>
      </c>
      <c r="B9209">
        <v>2022</v>
      </c>
      <c r="C9209" t="s">
        <v>40</v>
      </c>
      <c r="D9209" t="s">
        <v>3</v>
      </c>
      <c r="E9209" t="e">
        <f>VLOOKUP(Cpi_[[#This Row],[Attribute]],#REF!,2,FALSE)</f>
        <v>#REF!</v>
      </c>
      <c r="F9209">
        <v>156.5</v>
      </c>
      <c r="G9209">
        <f>(Cpi_[[#This Row],[Value]]-F9208)/F9208</f>
        <v>-9.1700522344747598E-2</v>
      </c>
      <c r="H9209" t="e" cm="1" vm="1">
        <f t="array" aca="1" ref="H9209" ca="1">VLOOKUP(Cpi_[[#This Row],[Year]:[Month]],crudeoil[],3,FALSE)</f>
        <v>#VALUE!</v>
      </c>
    </row>
    <row r="9210" spans="1:10" x14ac:dyDescent="0.3">
      <c r="A9210" t="s">
        <v>34</v>
      </c>
      <c r="B9210">
        <v>2022</v>
      </c>
      <c r="C9210" t="s">
        <v>40</v>
      </c>
      <c r="D9210" t="s">
        <v>4</v>
      </c>
      <c r="E9210" t="e">
        <f>VLOOKUP(Cpi_[[#This Row],[Attribute]],#REF!,2,FALSE)</f>
        <v>#REF!</v>
      </c>
      <c r="F9210">
        <v>213</v>
      </c>
      <c r="G9210" s="42">
        <f>(Cpi_[[#This Row],[Value]]-F9209)/F9209</f>
        <v>0.36102236421725242</v>
      </c>
      <c r="H9210" t="str">
        <f>LEFT(Cpi_[[#This Row],[Month]],3)</f>
        <v>Jul</v>
      </c>
      <c r="I9210" t="str">
        <f>RIGHT(Cpi_[[#This Row],[Year]],2)</f>
        <v>22</v>
      </c>
      <c r="J9210" t="str">
        <f>Cpi_[[#This Row],[Column3]]&amp;"-"&amp;Cpi_[[#This Row],[Column4]]</f>
        <v>Jul-22</v>
      </c>
    </row>
    <row r="9211" spans="1:10" x14ac:dyDescent="0.3">
      <c r="A9211" t="s">
        <v>34</v>
      </c>
      <c r="B9211">
        <v>2022</v>
      </c>
      <c r="C9211" t="s">
        <v>40</v>
      </c>
      <c r="D9211" t="s">
        <v>5</v>
      </c>
      <c r="E9211" t="e">
        <f>VLOOKUP(Cpi_[[#This Row],[Attribute]],#REF!,2,FALSE)</f>
        <v>#REF!</v>
      </c>
      <c r="F9211">
        <v>175.2</v>
      </c>
      <c r="G9211" s="42">
        <f>(Cpi_[[#This Row],[Value]]-F9210)/F9210</f>
        <v>-0.17746478873239441</v>
      </c>
      <c r="H9211" t="str">
        <f>LEFT(Cpi_[[#This Row],[Month]],3)</f>
        <v>Jul</v>
      </c>
      <c r="I9211" t="str">
        <f>RIGHT(Cpi_[[#This Row],[Year]],2)</f>
        <v>22</v>
      </c>
      <c r="J9211" t="str">
        <f>Cpi_[[#This Row],[Column3]]&amp;"-"&amp;Cpi_[[#This Row],[Column4]]</f>
        <v>Jul-22</v>
      </c>
    </row>
    <row r="9212" spans="1:10" x14ac:dyDescent="0.3">
      <c r="A9212" t="s">
        <v>34</v>
      </c>
      <c r="B9212">
        <v>2022</v>
      </c>
      <c r="C9212" t="s">
        <v>40</v>
      </c>
      <c r="D9212" t="s">
        <v>6</v>
      </c>
      <c r="E9212" t="e">
        <f>VLOOKUP(Cpi_[[#This Row],[Attribute]],#REF!,2,FALSE)</f>
        <v>#REF!</v>
      </c>
      <c r="F9212">
        <v>166.6</v>
      </c>
      <c r="G9212" s="42">
        <f>(Cpi_[[#This Row],[Value]]-F9211)/F9211</f>
        <v>-4.9086757990867549E-2</v>
      </c>
      <c r="H9212" t="str">
        <f>LEFT(Cpi_[[#This Row],[Month]],3)</f>
        <v>Jul</v>
      </c>
      <c r="I9212" t="str">
        <f>RIGHT(Cpi_[[#This Row],[Year]],2)</f>
        <v>22</v>
      </c>
      <c r="J9212" t="str">
        <f>Cpi_[[#This Row],[Column3]]&amp;"-"&amp;Cpi_[[#This Row],[Column4]]</f>
        <v>Jul-22</v>
      </c>
    </row>
    <row r="9213" spans="1:10" x14ac:dyDescent="0.3">
      <c r="A9213" t="s">
        <v>34</v>
      </c>
      <c r="B9213">
        <v>2022</v>
      </c>
      <c r="C9213" t="s">
        <v>40</v>
      </c>
      <c r="D9213" t="s">
        <v>7</v>
      </c>
      <c r="E9213" t="e">
        <f>VLOOKUP(Cpi_[[#This Row],[Attribute]],#REF!,2,FALSE)</f>
        <v>#REF!</v>
      </c>
      <c r="F9213">
        <v>195.8</v>
      </c>
      <c r="G9213" s="42">
        <f>(Cpi_[[#This Row],[Value]]-F9212)/F9212</f>
        <v>0.17527010804321738</v>
      </c>
      <c r="H9213" t="str">
        <f>LEFT(Cpi_[[#This Row],[Month]],3)</f>
        <v>Jul</v>
      </c>
      <c r="I9213" t="str">
        <f>RIGHT(Cpi_[[#This Row],[Year]],2)</f>
        <v>22</v>
      </c>
      <c r="J9213" t="str">
        <f>Cpi_[[#This Row],[Column3]]&amp;"-"&amp;Cpi_[[#This Row],[Column4]]</f>
        <v>Jul-22</v>
      </c>
    </row>
    <row r="9214" spans="1:10" x14ac:dyDescent="0.3">
      <c r="A9214" t="s">
        <v>34</v>
      </c>
      <c r="B9214">
        <v>2022</v>
      </c>
      <c r="C9214" t="s">
        <v>40</v>
      </c>
      <c r="D9214" t="s">
        <v>8</v>
      </c>
      <c r="E9214" t="e">
        <f>VLOOKUP(Cpi_[[#This Row],[Attribute]],#REF!,2,FALSE)</f>
        <v>#REF!</v>
      </c>
      <c r="F9214">
        <v>174.2</v>
      </c>
      <c r="G9214" s="42">
        <f>(Cpi_[[#This Row],[Value]]-F9213)/F9213</f>
        <v>-0.11031664964249245</v>
      </c>
      <c r="H9214" t="str">
        <f>LEFT(Cpi_[[#This Row],[Month]],3)</f>
        <v>Jul</v>
      </c>
      <c r="I9214" t="str">
        <f>RIGHT(Cpi_[[#This Row],[Year]],2)</f>
        <v>22</v>
      </c>
      <c r="J9214" t="str">
        <f>Cpi_[[#This Row],[Column3]]&amp;"-"&amp;Cpi_[[#This Row],[Column4]]</f>
        <v>Jul-22</v>
      </c>
    </row>
    <row r="9215" spans="1:10" x14ac:dyDescent="0.3">
      <c r="A9215" t="s">
        <v>34</v>
      </c>
      <c r="B9215">
        <v>2022</v>
      </c>
      <c r="C9215" t="s">
        <v>40</v>
      </c>
      <c r="D9215" t="s">
        <v>9</v>
      </c>
      <c r="E9215" t="e">
        <f>VLOOKUP(Cpi_[[#This Row],[Attribute]],#REF!,2,FALSE)</f>
        <v>#REF!</v>
      </c>
      <c r="F9215">
        <v>182.1</v>
      </c>
      <c r="G9215" s="42">
        <f>(Cpi_[[#This Row],[Value]]-F9214)/F9214</f>
        <v>4.5350172215843892E-2</v>
      </c>
      <c r="H9215" t="str">
        <f>LEFT(Cpi_[[#This Row],[Month]],3)</f>
        <v>Jul</v>
      </c>
      <c r="I9215" t="str">
        <f>RIGHT(Cpi_[[#This Row],[Year]],2)</f>
        <v>22</v>
      </c>
      <c r="J9215" t="str">
        <f>Cpi_[[#This Row],[Column3]]&amp;"-"&amp;Cpi_[[#This Row],[Column4]]</f>
        <v>Jul-22</v>
      </c>
    </row>
    <row r="9216" spans="1:10" x14ac:dyDescent="0.3">
      <c r="A9216" t="s">
        <v>34</v>
      </c>
      <c r="B9216">
        <v>2022</v>
      </c>
      <c r="C9216" t="s">
        <v>40</v>
      </c>
      <c r="D9216" t="s">
        <v>10</v>
      </c>
      <c r="E9216" t="e">
        <f>VLOOKUP(Cpi_[[#This Row],[Attribute]],#REF!,2,FALSE)</f>
        <v>#REF!</v>
      </c>
      <c r="F9216">
        <v>164.3</v>
      </c>
      <c r="G9216" s="42">
        <f>(Cpi_[[#This Row],[Value]]-F9215)/F9215</f>
        <v>-9.7748489840746758E-2</v>
      </c>
      <c r="H9216" t="str">
        <f>LEFT(Cpi_[[#This Row],[Month]],3)</f>
        <v>Jul</v>
      </c>
      <c r="I9216" t="str">
        <f>RIGHT(Cpi_[[#This Row],[Year]],2)</f>
        <v>22</v>
      </c>
      <c r="J9216" t="str">
        <f>Cpi_[[#This Row],[Column3]]&amp;"-"&amp;Cpi_[[#This Row],[Column4]]</f>
        <v>Jul-22</v>
      </c>
    </row>
    <row r="9217" spans="1:10" x14ac:dyDescent="0.3">
      <c r="A9217" t="s">
        <v>34</v>
      </c>
      <c r="B9217">
        <v>2022</v>
      </c>
      <c r="C9217" t="s">
        <v>40</v>
      </c>
      <c r="D9217" t="s">
        <v>11</v>
      </c>
      <c r="E9217" t="e">
        <f>VLOOKUP(Cpi_[[#This Row],[Attribute]],#REF!,2,FALSE)</f>
        <v>#REF!</v>
      </c>
      <c r="F9217">
        <v>120</v>
      </c>
      <c r="G9217" s="42">
        <f>(Cpi_[[#This Row],[Value]]-F9216)/F9216</f>
        <v>-0.26962872793670123</v>
      </c>
      <c r="H9217" t="str">
        <f>LEFT(Cpi_[[#This Row],[Month]],3)</f>
        <v>Jul</v>
      </c>
      <c r="I9217" t="str">
        <f>RIGHT(Cpi_[[#This Row],[Year]],2)</f>
        <v>22</v>
      </c>
      <c r="J9217" t="str">
        <f>Cpi_[[#This Row],[Column3]]&amp;"-"&amp;Cpi_[[#This Row],[Column4]]</f>
        <v>Jul-22</v>
      </c>
    </row>
    <row r="9218" spans="1:10" x14ac:dyDescent="0.3">
      <c r="A9218" t="s">
        <v>34</v>
      </c>
      <c r="B9218">
        <v>2022</v>
      </c>
      <c r="C9218" t="s">
        <v>40</v>
      </c>
      <c r="D9218" t="s">
        <v>12</v>
      </c>
      <c r="E9218" t="e">
        <f>VLOOKUP(Cpi_[[#This Row],[Attribute]],#REF!,2,FALSE)</f>
        <v>#REF!</v>
      </c>
      <c r="F9218">
        <v>190</v>
      </c>
      <c r="G9218" s="42">
        <f>(Cpi_[[#This Row],[Value]]-F9217)/F9217</f>
        <v>0.58333333333333337</v>
      </c>
      <c r="H9218" t="str">
        <f>LEFT(Cpi_[[#This Row],[Month]],3)</f>
        <v>Jul</v>
      </c>
      <c r="I9218" t="str">
        <f>RIGHT(Cpi_[[#This Row],[Year]],2)</f>
        <v>22</v>
      </c>
      <c r="J9218" t="str">
        <f>Cpi_[[#This Row],[Column3]]&amp;"-"&amp;Cpi_[[#This Row],[Column4]]</f>
        <v>Jul-22</v>
      </c>
    </row>
    <row r="9219" spans="1:10" x14ac:dyDescent="0.3">
      <c r="A9219" t="s">
        <v>34</v>
      </c>
      <c r="B9219">
        <v>2022</v>
      </c>
      <c r="C9219" t="s">
        <v>40</v>
      </c>
      <c r="D9219" t="s">
        <v>13</v>
      </c>
      <c r="E9219" t="e">
        <f>VLOOKUP(Cpi_[[#This Row],[Attribute]],#REF!,2,FALSE)</f>
        <v>#REF!</v>
      </c>
      <c r="F9219">
        <v>168.4</v>
      </c>
      <c r="G9219" s="42">
        <f>(Cpi_[[#This Row],[Value]]-F9218)/F9218</f>
        <v>-0.11368421052631576</v>
      </c>
      <c r="H9219" t="str">
        <f>LEFT(Cpi_[[#This Row],[Month]],3)</f>
        <v>Jul</v>
      </c>
      <c r="I9219" t="str">
        <f>RIGHT(Cpi_[[#This Row],[Year]],2)</f>
        <v>22</v>
      </c>
      <c r="J9219" t="str">
        <f>Cpi_[[#This Row],[Column3]]&amp;"-"&amp;Cpi_[[#This Row],[Column4]]</f>
        <v>Jul-22</v>
      </c>
    </row>
    <row r="9220" spans="1:10" x14ac:dyDescent="0.3">
      <c r="A9220" t="s">
        <v>34</v>
      </c>
      <c r="B9220">
        <v>2022</v>
      </c>
      <c r="C9220" t="s">
        <v>40</v>
      </c>
      <c r="D9220" t="s">
        <v>14</v>
      </c>
      <c r="E9220" t="e">
        <f>VLOOKUP(Cpi_[[#This Row],[Attribute]],#REF!,2,FALSE)</f>
        <v>#REF!</v>
      </c>
      <c r="F9220">
        <v>185.2</v>
      </c>
      <c r="G9220" s="42">
        <f>(Cpi_[[#This Row],[Value]]-F9219)/F9219</f>
        <v>9.9762470308788501E-2</v>
      </c>
      <c r="H9220" t="str">
        <f>LEFT(Cpi_[[#This Row],[Month]],3)</f>
        <v>Jul</v>
      </c>
      <c r="I9220" t="str">
        <f>RIGHT(Cpi_[[#This Row],[Year]],2)</f>
        <v>22</v>
      </c>
      <c r="J9220" t="str">
        <f>Cpi_[[#This Row],[Column3]]&amp;"-"&amp;Cpi_[[#This Row],[Column4]]</f>
        <v>Jul-22</v>
      </c>
    </row>
    <row r="9221" spans="1:10" x14ac:dyDescent="0.3">
      <c r="A9221" t="s">
        <v>34</v>
      </c>
      <c r="B9221">
        <v>2022</v>
      </c>
      <c r="C9221" t="s">
        <v>40</v>
      </c>
      <c r="D9221" t="s">
        <v>15</v>
      </c>
      <c r="E9221" t="e">
        <f>VLOOKUP(Cpi_[[#This Row],[Attribute]],#REF!,2,FALSE)</f>
        <v>#REF!</v>
      </c>
      <c r="F9221">
        <v>175</v>
      </c>
      <c r="G9221" s="42">
        <f>(Cpi_[[#This Row],[Value]]-F9220)/F9220</f>
        <v>-5.5075593952483744E-2</v>
      </c>
      <c r="H9221" t="str">
        <f>LEFT(Cpi_[[#This Row],[Month]],3)</f>
        <v>Jul</v>
      </c>
      <c r="I9221" t="str">
        <f>RIGHT(Cpi_[[#This Row],[Year]],2)</f>
        <v>22</v>
      </c>
      <c r="J9221" t="str">
        <f>Cpi_[[#This Row],[Column3]]&amp;"-"&amp;Cpi_[[#This Row],[Column4]]</f>
        <v>Jul-22</v>
      </c>
    </row>
    <row r="9222" spans="1:10" hidden="1" x14ac:dyDescent="0.3">
      <c r="A9222" t="s">
        <v>34</v>
      </c>
      <c r="B9222">
        <v>2022</v>
      </c>
      <c r="C9222" t="s">
        <v>40</v>
      </c>
      <c r="D9222" t="s">
        <v>16</v>
      </c>
      <c r="E9222" t="e">
        <f>VLOOKUP(Cpi_[[#This Row],[Attribute]],#REF!,2,FALSE)</f>
        <v>#REF!</v>
      </c>
      <c r="F9222">
        <v>194.6</v>
      </c>
      <c r="G9222">
        <f>(Cpi_[[#This Row],[Value]]-F9221)/F9221</f>
        <v>0.11199999999999996</v>
      </c>
      <c r="H9222" t="e" cm="1" vm="1">
        <f t="array" aca="1" ref="H9222" ca="1">VLOOKUP(Cpi_[[#This Row],[Year]:[Month]],crudeoil[],3,FALSE)</f>
        <v>#VALUE!</v>
      </c>
    </row>
    <row r="9223" spans="1:10" hidden="1" x14ac:dyDescent="0.3">
      <c r="A9223" t="s">
        <v>34</v>
      </c>
      <c r="B9223">
        <v>2022</v>
      </c>
      <c r="C9223" t="s">
        <v>40</v>
      </c>
      <c r="D9223" t="s">
        <v>17</v>
      </c>
      <c r="E9223" t="e">
        <f>VLOOKUP(Cpi_[[#This Row],[Attribute]],#REF!,2,FALSE)</f>
        <v>#REF!</v>
      </c>
      <c r="F9223">
        <v>178.3</v>
      </c>
      <c r="G9223">
        <f>(Cpi_[[#This Row],[Value]]-F9222)/F9222</f>
        <v>-8.3761562178828283E-2</v>
      </c>
      <c r="H9223" t="e" cm="1" vm="1">
        <f t="array" aca="1" ref="H9223" ca="1">VLOOKUP(Cpi_[[#This Row],[Year]:[Month]],crudeoil[],3,FALSE)</f>
        <v>#VALUE!</v>
      </c>
    </row>
    <row r="9224" spans="1:10" hidden="1" x14ac:dyDescent="0.3">
      <c r="A9224" t="s">
        <v>34</v>
      </c>
      <c r="B9224">
        <v>2022</v>
      </c>
      <c r="C9224" t="s">
        <v>40</v>
      </c>
      <c r="D9224" t="s">
        <v>18</v>
      </c>
      <c r="E9224" t="e">
        <f>VLOOKUP(Cpi_[[#This Row],[Attribute]],#REF!,2,FALSE)</f>
        <v>#REF!</v>
      </c>
      <c r="F9224">
        <v>171.3</v>
      </c>
      <c r="G9224">
        <f>(Cpi_[[#This Row],[Value]]-F9223)/F9223</f>
        <v>-3.9259674705552437E-2</v>
      </c>
      <c r="H9224" t="e" cm="1" vm="1">
        <f t="array" aca="1" ref="H9224" ca="1">VLOOKUP(Cpi_[[#This Row],[Year]:[Month]],crudeoil[],3,FALSE)</f>
        <v>#VALUE!</v>
      </c>
    </row>
    <row r="9225" spans="1:10" hidden="1" x14ac:dyDescent="0.3">
      <c r="A9225" t="s">
        <v>34</v>
      </c>
      <c r="B9225">
        <v>2022</v>
      </c>
      <c r="C9225" t="s">
        <v>40</v>
      </c>
      <c r="D9225" t="s">
        <v>19</v>
      </c>
      <c r="E9225" t="e">
        <f>VLOOKUP(Cpi_[[#This Row],[Attribute]],#REF!,2,FALSE)</f>
        <v>#REF!</v>
      </c>
      <c r="F9225">
        <v>177.3</v>
      </c>
      <c r="G9225">
        <f>(Cpi_[[#This Row],[Value]]-F9224)/F9224</f>
        <v>3.5026269702276708E-2</v>
      </c>
      <c r="H9225" t="e" cm="1" vm="1">
        <f t="array" aca="1" ref="H9225" ca="1">VLOOKUP(Cpi_[[#This Row],[Year]:[Month]],crudeoil[],3,FALSE)</f>
        <v>#VALUE!</v>
      </c>
    </row>
    <row r="9226" spans="1:10" hidden="1" x14ac:dyDescent="0.3">
      <c r="A9226" t="s">
        <v>34</v>
      </c>
      <c r="B9226">
        <v>2022</v>
      </c>
      <c r="C9226" t="s">
        <v>40</v>
      </c>
      <c r="D9226" t="s">
        <v>20</v>
      </c>
      <c r="E9226" t="e">
        <f>VLOOKUP(Cpi_[[#This Row],[Attribute]],#REF!,2,FALSE)</f>
        <v>#REF!</v>
      </c>
      <c r="F9226">
        <v>167.8</v>
      </c>
      <c r="G9226">
        <f>(Cpi_[[#This Row],[Value]]-F9225)/F9225</f>
        <v>-5.3581500282007893E-2</v>
      </c>
      <c r="H9226" t="e" cm="1" vm="1">
        <f t="array" aca="1" ref="H9226" ca="1">VLOOKUP(Cpi_[[#This Row],[Year]:[Month]],crudeoil[],3,FALSE)</f>
        <v>#VALUE!</v>
      </c>
    </row>
    <row r="9227" spans="1:10" hidden="1" x14ac:dyDescent="0.3">
      <c r="A9227" t="s">
        <v>34</v>
      </c>
      <c r="B9227">
        <v>2022</v>
      </c>
      <c r="C9227" t="s">
        <v>40</v>
      </c>
      <c r="D9227" t="s">
        <v>21</v>
      </c>
      <c r="E9227" t="e">
        <f>VLOOKUP(Cpi_[[#This Row],[Attribute]],#REF!,2,FALSE)</f>
        <v>#REF!</v>
      </c>
      <c r="F9227">
        <v>179.6</v>
      </c>
      <c r="G9227">
        <f>(Cpi_[[#This Row],[Value]]-F9226)/F9226</f>
        <v>7.0321811680571999E-2</v>
      </c>
      <c r="H9227" t="e" cm="1" vm="1">
        <f t="array" aca="1" ref="H9227" ca="1">VLOOKUP(Cpi_[[#This Row],[Year]:[Month]],crudeoil[],3,FALSE)</f>
        <v>#VALUE!</v>
      </c>
    </row>
    <row r="9228" spans="1:10" hidden="1" x14ac:dyDescent="0.3">
      <c r="A9228" t="s">
        <v>34</v>
      </c>
      <c r="B9228">
        <v>2022</v>
      </c>
      <c r="C9228" t="s">
        <v>40</v>
      </c>
      <c r="D9228" t="s">
        <v>22</v>
      </c>
      <c r="E9228" t="e">
        <f>VLOOKUP(Cpi_[[#This Row],[Attribute]],#REF!,2,FALSE)</f>
        <v>#REF!</v>
      </c>
      <c r="F9228">
        <v>167.4</v>
      </c>
      <c r="G9228">
        <f>(Cpi_[[#This Row],[Value]]-F9227)/F9227</f>
        <v>-6.7928730512249388E-2</v>
      </c>
      <c r="H9228" t="e" cm="1" vm="1">
        <f t="array" aca="1" ref="H9228" ca="1">VLOOKUP(Cpi_[[#This Row],[Year]:[Month]],crudeoil[],3,FALSE)</f>
        <v>#VALUE!</v>
      </c>
    </row>
    <row r="9229" spans="1:10" hidden="1" x14ac:dyDescent="0.3">
      <c r="A9229" t="s">
        <v>34</v>
      </c>
      <c r="B9229">
        <v>2022</v>
      </c>
      <c r="C9229" t="s">
        <v>40</v>
      </c>
      <c r="D9229" t="s">
        <v>23</v>
      </c>
      <c r="E9229" t="e">
        <f>VLOOKUP(Cpi_[[#This Row],[Attribute]],#REF!,2,FALSE)</f>
        <v>#REF!</v>
      </c>
      <c r="F9229">
        <v>176.1</v>
      </c>
      <c r="G9229">
        <f>(Cpi_[[#This Row],[Value]]-F9228)/F9228</f>
        <v>5.197132616487448E-2</v>
      </c>
      <c r="H9229" t="e" cm="1" vm="1">
        <f t="array" aca="1" ref="H9229" ca="1">VLOOKUP(Cpi_[[#This Row],[Year]:[Month]],crudeoil[],3,FALSE)</f>
        <v>#VALUE!</v>
      </c>
    </row>
    <row r="9230" spans="1:10" hidden="1" x14ac:dyDescent="0.3">
      <c r="A9230" t="s">
        <v>34</v>
      </c>
      <c r="B9230">
        <v>2022</v>
      </c>
      <c r="C9230" t="s">
        <v>40</v>
      </c>
      <c r="D9230" t="s">
        <v>24</v>
      </c>
      <c r="E9230" t="e">
        <f>VLOOKUP(Cpi_[[#This Row],[Attribute]],#REF!,2,FALSE)</f>
        <v>#REF!</v>
      </c>
      <c r="F9230">
        <v>161.6</v>
      </c>
      <c r="G9230">
        <f>(Cpi_[[#This Row],[Value]]-F9229)/F9229</f>
        <v>-8.2339579784213524E-2</v>
      </c>
      <c r="H9230" t="e" cm="1" vm="1">
        <f t="array" aca="1" ref="H9230" ca="1">VLOOKUP(Cpi_[[#This Row],[Year]:[Month]],crudeoil[],3,FALSE)</f>
        <v>#VALUE!</v>
      </c>
    </row>
    <row r="9231" spans="1:10" hidden="1" x14ac:dyDescent="0.3">
      <c r="A9231" t="s">
        <v>34</v>
      </c>
      <c r="B9231">
        <v>2022</v>
      </c>
      <c r="C9231" t="s">
        <v>40</v>
      </c>
      <c r="D9231" t="s">
        <v>25</v>
      </c>
      <c r="E9231" t="e">
        <f>VLOOKUP(Cpi_[[#This Row],[Attribute]],#REF!,2,FALSE)</f>
        <v>#REF!</v>
      </c>
      <c r="F9231">
        <v>166.3</v>
      </c>
      <c r="G9231">
        <f>(Cpi_[[#This Row],[Value]]-F9230)/F9230</f>
        <v>2.908415841584169E-2</v>
      </c>
      <c r="H9231" t="e" cm="1" vm="1">
        <f t="array" aca="1" ref="H9231" ca="1">VLOOKUP(Cpi_[[#This Row],[Year]:[Month]],crudeoil[],3,FALSE)</f>
        <v>#VALUE!</v>
      </c>
    </row>
    <row r="9232" spans="1:10" hidden="1" x14ac:dyDescent="0.3">
      <c r="A9232" t="s">
        <v>34</v>
      </c>
      <c r="B9232">
        <v>2022</v>
      </c>
      <c r="C9232" t="s">
        <v>40</v>
      </c>
      <c r="D9232" t="s">
        <v>26</v>
      </c>
      <c r="E9232" t="e">
        <f>VLOOKUP(Cpi_[[#This Row],[Attribute]],#REF!,2,FALSE)</f>
        <v>#REF!</v>
      </c>
      <c r="F9232">
        <v>171.4</v>
      </c>
      <c r="G9232">
        <f>(Cpi_[[#This Row],[Value]]-F9231)/F9231</f>
        <v>3.0667468430547167E-2</v>
      </c>
      <c r="H9232" t="e" cm="1" vm="1">
        <f t="array" aca="1" ref="H9232" ca="1">VLOOKUP(Cpi_[[#This Row],[Year]:[Month]],crudeoil[],3,FALSE)</f>
        <v>#VALUE!</v>
      </c>
    </row>
    <row r="9233" spans="1:8" hidden="1" x14ac:dyDescent="0.3">
      <c r="A9233" t="s">
        <v>34</v>
      </c>
      <c r="B9233">
        <v>2022</v>
      </c>
      <c r="C9233" t="s">
        <v>40</v>
      </c>
      <c r="D9233" t="s">
        <v>27</v>
      </c>
      <c r="E9233" t="e">
        <f>VLOOKUP(Cpi_[[#This Row],[Attribute]],#REF!,2,FALSE)</f>
        <v>#REF!</v>
      </c>
      <c r="F9233">
        <v>169.7</v>
      </c>
      <c r="G9233">
        <f>(Cpi_[[#This Row],[Value]]-F9232)/F9232</f>
        <v>-9.9183197199534251E-3</v>
      </c>
      <c r="H9233" t="e" cm="1" vm="1">
        <f t="array" aca="1" ref="H9233" ca="1">VLOOKUP(Cpi_[[#This Row],[Year]:[Month]],crudeoil[],3,FALSE)</f>
        <v>#VALUE!</v>
      </c>
    </row>
    <row r="9234" spans="1:8" hidden="1" x14ac:dyDescent="0.3">
      <c r="A9234" t="s">
        <v>34</v>
      </c>
      <c r="B9234">
        <v>2022</v>
      </c>
      <c r="C9234" t="s">
        <v>40</v>
      </c>
      <c r="D9234" t="s">
        <v>28</v>
      </c>
      <c r="E9234" t="e">
        <f>VLOOKUP(Cpi_[[#This Row],[Attribute]],#REF!,2,FALSE)</f>
        <v>#REF!</v>
      </c>
      <c r="F9234">
        <v>168.4</v>
      </c>
      <c r="G9234">
        <f>(Cpi_[[#This Row],[Value]]-F9233)/F9233</f>
        <v>-7.6605774896875839E-3</v>
      </c>
      <c r="H9234" t="e" cm="1" vm="1">
        <f t="array" aca="1" ref="H9234" ca="1">VLOOKUP(Cpi_[[#This Row],[Year]:[Month]],crudeoil[],3,FALSE)</f>
        <v>#VALUE!</v>
      </c>
    </row>
    <row r="9235" spans="1:8" hidden="1" x14ac:dyDescent="0.3">
      <c r="A9235" t="s">
        <v>34</v>
      </c>
      <c r="B9235">
        <v>2022</v>
      </c>
      <c r="C9235" t="s">
        <v>40</v>
      </c>
      <c r="D9235" t="s">
        <v>29</v>
      </c>
      <c r="E9235" t="e" cm="1">
        <f t="array" aca="1" ref="E9235" ca="1">VLGeneral indexGeneral indexKUP(Cpi_[[#This Row],[Attribute]],#REF!,2,FALSE)</f>
        <v>#NAME?</v>
      </c>
      <c r="F9235">
        <v>173.4</v>
      </c>
      <c r="G9235">
        <f>(Cpi_[[#This Row],[Value]]-F9234)/F9234</f>
        <v>2.9691211401425176E-2</v>
      </c>
      <c r="H9235" t="e" cm="1" vm="1">
        <f t="array" aca="1" ref="H9235" ca="1">VLOOKUP(Cpi_[[#This Row],[Year]:[Month]],crudeoil[],3,FALSE)</f>
        <v>#VALUE!</v>
      </c>
    </row>
    <row r="9236" spans="1:8" hidden="1" x14ac:dyDescent="0.3">
      <c r="A9236" t="s">
        <v>30</v>
      </c>
      <c r="B9236">
        <v>2022</v>
      </c>
      <c r="C9236" t="s">
        <v>41</v>
      </c>
      <c r="D9236" t="s">
        <v>3</v>
      </c>
      <c r="E9236" t="e">
        <f>VLOOKUP(Cpi_[[#This Row],[Attribute]],#REF!,2,FALSE)</f>
        <v>#REF!</v>
      </c>
      <c r="F9236">
        <v>159.5</v>
      </c>
      <c r="G9236">
        <f>(Cpi_[[#This Row],[Value]]-F9235)/F9235</f>
        <v>-8.0161476355248007E-2</v>
      </c>
      <c r="H9236" t="e" cm="1" vm="1">
        <f t="array" aca="1" ref="H9236" ca="1">VLOOKUP(Cpi_[[#This Row],[Year]:[Month]],crudeoil[],3,FALSE)</f>
        <v>#VALUE!</v>
      </c>
    </row>
    <row r="9237" spans="1:8" hidden="1" x14ac:dyDescent="0.3">
      <c r="A9237" t="s">
        <v>30</v>
      </c>
      <c r="B9237">
        <v>2022</v>
      </c>
      <c r="C9237" t="s">
        <v>41</v>
      </c>
      <c r="D9237" t="s">
        <v>4</v>
      </c>
      <c r="E9237" t="e">
        <f>VLOOKUP(Cpi_[[#This Row],[Attribute]],#REF!,2,FALSE)</f>
        <v>#REF!</v>
      </c>
      <c r="F9237">
        <v>204.1</v>
      </c>
      <c r="G9237">
        <f>(Cpi_[[#This Row],[Value]]-F9236)/F9236</f>
        <v>0.2796238244514106</v>
      </c>
      <c r="H9237" t="e" cm="1" vm="1">
        <f t="array" aca="1" ref="H9237" ca="1">VLOOKUP(Cpi_[[#This Row],[Year]:[Month]],crudeoil[],3,FALSE)</f>
        <v>#VALUE!</v>
      </c>
    </row>
    <row r="9238" spans="1:8" hidden="1" x14ac:dyDescent="0.3">
      <c r="A9238" t="s">
        <v>30</v>
      </c>
      <c r="B9238">
        <v>2022</v>
      </c>
      <c r="C9238" t="s">
        <v>41</v>
      </c>
      <c r="D9238" t="s">
        <v>5</v>
      </c>
      <c r="E9238" t="e">
        <f>VLOOKUP(Cpi_[[#This Row],[Attribute]],#REF!,2,FALSE)</f>
        <v>#REF!</v>
      </c>
      <c r="F9238">
        <v>168.3</v>
      </c>
      <c r="G9238">
        <f>(Cpi_[[#This Row],[Value]]-F9237)/F9237</f>
        <v>-0.17540421362077405</v>
      </c>
      <c r="H9238" t="e" cm="1" vm="1">
        <f t="array" aca="1" ref="H9238" ca="1">VLOOKUP(Cpi_[[#This Row],[Year]:[Month]],crudeoil[],3,FALSE)</f>
        <v>#VALUE!</v>
      </c>
    </row>
    <row r="9239" spans="1:8" hidden="1" x14ac:dyDescent="0.3">
      <c r="A9239" t="s">
        <v>30</v>
      </c>
      <c r="B9239">
        <v>2022</v>
      </c>
      <c r="C9239" t="s">
        <v>41</v>
      </c>
      <c r="D9239" t="s">
        <v>6</v>
      </c>
      <c r="E9239" t="e">
        <f>VLOOKUP(Cpi_[[#This Row],[Attribute]],#REF!,2,FALSE)</f>
        <v>#REF!</v>
      </c>
      <c r="F9239">
        <v>167.9</v>
      </c>
      <c r="G9239">
        <f>(Cpi_[[#This Row],[Value]]-F9238)/F9238</f>
        <v>-2.3767082590612338E-3</v>
      </c>
      <c r="H9239" t="e" cm="1" vm="1">
        <f t="array" aca="1" ref="H9239" ca="1">VLOOKUP(Cpi_[[#This Row],[Year]:[Month]],crudeoil[],3,FALSE)</f>
        <v>#VALUE!</v>
      </c>
    </row>
    <row r="9240" spans="1:8" hidden="1" x14ac:dyDescent="0.3">
      <c r="A9240" t="s">
        <v>30</v>
      </c>
      <c r="B9240">
        <v>2022</v>
      </c>
      <c r="C9240" t="s">
        <v>41</v>
      </c>
      <c r="D9240" t="s">
        <v>7</v>
      </c>
      <c r="E9240" t="e">
        <f>VLOOKUP(Cpi_[[#This Row],[Attribute]],#REF!,2,FALSE)</f>
        <v>#REF!</v>
      </c>
      <c r="F9240">
        <v>198.1</v>
      </c>
      <c r="G9240">
        <f>(Cpi_[[#This Row],[Value]]-F9239)/F9239</f>
        <v>0.17986896962477658</v>
      </c>
      <c r="H9240" t="e" cm="1" vm="1">
        <f t="array" aca="1" ref="H9240" ca="1">VLOOKUP(Cpi_[[#This Row],[Year]:[Month]],crudeoil[],3,FALSE)</f>
        <v>#VALUE!</v>
      </c>
    </row>
    <row r="9241" spans="1:8" hidden="1" x14ac:dyDescent="0.3">
      <c r="A9241" t="s">
        <v>30</v>
      </c>
      <c r="B9241">
        <v>2022</v>
      </c>
      <c r="C9241" t="s">
        <v>41</v>
      </c>
      <c r="D9241" t="s">
        <v>8</v>
      </c>
      <c r="E9241" t="e">
        <f>VLOOKUP(Cpi_[[#This Row],[Attribute]],#REF!,2,FALSE)</f>
        <v>#REF!</v>
      </c>
      <c r="F9241">
        <v>169.2</v>
      </c>
      <c r="G9241">
        <f>(Cpi_[[#This Row],[Value]]-F9240)/F9240</f>
        <v>-0.14588591620393743</v>
      </c>
      <c r="H9241" t="e" cm="1" vm="1">
        <f t="array" aca="1" ref="H9241" ca="1">VLOOKUP(Cpi_[[#This Row],[Year]:[Month]],crudeoil[],3,FALSE)</f>
        <v>#VALUE!</v>
      </c>
    </row>
    <row r="9242" spans="1:8" hidden="1" x14ac:dyDescent="0.3">
      <c r="A9242" t="s">
        <v>30</v>
      </c>
      <c r="B9242">
        <v>2022</v>
      </c>
      <c r="C9242" t="s">
        <v>41</v>
      </c>
      <c r="D9242" t="s">
        <v>9</v>
      </c>
      <c r="E9242" t="e">
        <f>VLOOKUP(Cpi_[[#This Row],[Attribute]],#REF!,2,FALSE)</f>
        <v>#REF!</v>
      </c>
      <c r="F9242">
        <v>173.1</v>
      </c>
      <c r="G9242">
        <f>(Cpi_[[#This Row],[Value]]-F9241)/F9241</f>
        <v>2.3049645390070959E-2</v>
      </c>
      <c r="H9242" t="e" cm="1" vm="1">
        <f t="array" aca="1" ref="H9242" ca="1">VLOOKUP(Cpi_[[#This Row],[Year]:[Month]],crudeoil[],3,FALSE)</f>
        <v>#VALUE!</v>
      </c>
    </row>
    <row r="9243" spans="1:8" hidden="1" x14ac:dyDescent="0.3">
      <c r="A9243" t="s">
        <v>30</v>
      </c>
      <c r="B9243">
        <v>2022</v>
      </c>
      <c r="C9243" t="s">
        <v>41</v>
      </c>
      <c r="D9243" t="s">
        <v>10</v>
      </c>
      <c r="E9243" t="e">
        <f>VLOOKUP(Cpi_[[#This Row],[Attribute]],#REF!,2,FALSE)</f>
        <v>#REF!</v>
      </c>
      <c r="F9243">
        <v>167.1</v>
      </c>
      <c r="G9243">
        <f>(Cpi_[[#This Row],[Value]]-F9242)/F9242</f>
        <v>-3.4662045060658578E-2</v>
      </c>
      <c r="H9243" t="e" cm="1" vm="1">
        <f t="array" aca="1" ref="H9243" ca="1">VLOOKUP(Cpi_[[#This Row],[Year]:[Month]],crudeoil[],3,FALSE)</f>
        <v>#VALUE!</v>
      </c>
    </row>
    <row r="9244" spans="1:8" hidden="1" x14ac:dyDescent="0.3">
      <c r="A9244" t="s">
        <v>30</v>
      </c>
      <c r="B9244">
        <v>2022</v>
      </c>
      <c r="C9244" t="s">
        <v>41</v>
      </c>
      <c r="D9244" t="s">
        <v>11</v>
      </c>
      <c r="E9244" t="e">
        <f>VLOOKUP(Cpi_[[#This Row],[Attribute]],#REF!,2,FALSE)</f>
        <v>#REF!</v>
      </c>
      <c r="F9244">
        <v>120.2</v>
      </c>
      <c r="G9244">
        <f>(Cpi_[[#This Row],[Value]]-F9243)/F9243</f>
        <v>-0.28067025733093953</v>
      </c>
      <c r="H9244" t="e" cm="1" vm="1">
        <f t="array" aca="1" ref="H9244" ca="1">VLOOKUP(Cpi_[[#This Row],[Year]:[Month]],crudeoil[],3,FALSE)</f>
        <v>#VALUE!</v>
      </c>
    </row>
    <row r="9245" spans="1:8" hidden="1" x14ac:dyDescent="0.3">
      <c r="A9245" t="s">
        <v>30</v>
      </c>
      <c r="B9245">
        <v>2022</v>
      </c>
      <c r="C9245" t="s">
        <v>41</v>
      </c>
      <c r="D9245" t="s">
        <v>12</v>
      </c>
      <c r="E9245" t="e">
        <f>VLOOKUP(Cpi_[[#This Row],[Attribute]],#REF!,2,FALSE)</f>
        <v>#REF!</v>
      </c>
      <c r="F9245">
        <v>195.6</v>
      </c>
      <c r="G9245">
        <f>(Cpi_[[#This Row],[Value]]-F9244)/F9244</f>
        <v>0.62728785357737094</v>
      </c>
      <c r="H9245" t="e" cm="1" vm="1">
        <f t="array" aca="1" ref="H9245" ca="1">VLOOKUP(Cpi_[[#This Row],[Year]:[Month]],crudeoil[],3,FALSE)</f>
        <v>#VALUE!</v>
      </c>
    </row>
    <row r="9246" spans="1:8" hidden="1" x14ac:dyDescent="0.3">
      <c r="A9246" t="s">
        <v>30</v>
      </c>
      <c r="B9246">
        <v>2022</v>
      </c>
      <c r="C9246" t="s">
        <v>41</v>
      </c>
      <c r="D9246" t="s">
        <v>13</v>
      </c>
      <c r="E9246" t="e">
        <f>VLOOKUP(Cpi_[[#This Row],[Attribute]],#REF!,2,FALSE)</f>
        <v>#REF!</v>
      </c>
      <c r="F9246">
        <v>174.8</v>
      </c>
      <c r="G9246">
        <f>(Cpi_[[#This Row],[Value]]-F9245)/F9245</f>
        <v>-0.1063394683026584</v>
      </c>
      <c r="H9246" t="e" cm="1" vm="1">
        <f t="array" aca="1" ref="H9246" ca="1">VLOOKUP(Cpi_[[#This Row],[Year]:[Month]],crudeoil[],3,FALSE)</f>
        <v>#VALUE!</v>
      </c>
    </row>
    <row r="9247" spans="1:8" hidden="1" x14ac:dyDescent="0.3">
      <c r="A9247" t="s">
        <v>30</v>
      </c>
      <c r="B9247">
        <v>2022</v>
      </c>
      <c r="C9247" t="s">
        <v>41</v>
      </c>
      <c r="D9247" t="s">
        <v>14</v>
      </c>
      <c r="E9247" t="e">
        <f>VLOOKUP(Cpi_[[#This Row],[Attribute]],#REF!,2,FALSE)</f>
        <v>#REF!</v>
      </c>
      <c r="F9247">
        <v>184</v>
      </c>
      <c r="G9247">
        <f>(Cpi_[[#This Row],[Value]]-F9246)/F9246</f>
        <v>5.2631578947368356E-2</v>
      </c>
      <c r="H9247" t="e" cm="1" vm="1">
        <f t="array" aca="1" ref="H9247" ca="1">VLOOKUP(Cpi_[[#This Row],[Year]:[Month]],crudeoil[],3,FALSE)</f>
        <v>#VALUE!</v>
      </c>
    </row>
    <row r="9248" spans="1:8" hidden="1" x14ac:dyDescent="0.3">
      <c r="A9248" t="s">
        <v>30</v>
      </c>
      <c r="B9248">
        <v>2022</v>
      </c>
      <c r="C9248" t="s">
        <v>41</v>
      </c>
      <c r="D9248" t="s">
        <v>15</v>
      </c>
      <c r="E9248" t="e">
        <f>VLOOKUP(Cpi_[[#This Row],[Attribute]],#REF!,2,FALSE)</f>
        <v>#REF!</v>
      </c>
      <c r="F9248">
        <v>173.9</v>
      </c>
      <c r="G9248">
        <f>(Cpi_[[#This Row],[Value]]-F9247)/F9247</f>
        <v>-5.4891304347826055E-2</v>
      </c>
      <c r="H9248" t="e" cm="1" vm="1">
        <f t="array" aca="1" ref="H9248" ca="1">VLOOKUP(Cpi_[[#This Row],[Year]:[Month]],crudeoil[],3,FALSE)</f>
        <v>#VALUE!</v>
      </c>
    </row>
    <row r="9249" spans="1:8" hidden="1" x14ac:dyDescent="0.3">
      <c r="A9249" t="s">
        <v>30</v>
      </c>
      <c r="B9249">
        <v>2022</v>
      </c>
      <c r="C9249" t="s">
        <v>41</v>
      </c>
      <c r="D9249" t="s">
        <v>16</v>
      </c>
      <c r="E9249" t="e">
        <f>VLOOKUP(Cpi_[[#This Row],[Attribute]],#REF!,2,FALSE)</f>
        <v>#REF!</v>
      </c>
      <c r="F9249">
        <v>193.7</v>
      </c>
      <c r="G9249">
        <f>(Cpi_[[#This Row],[Value]]-F9248)/F9248</f>
        <v>0.11385853939045418</v>
      </c>
      <c r="H9249" t="e" cm="1" vm="1">
        <f t="array" aca="1" ref="H9249" ca="1">VLOOKUP(Cpi_[[#This Row],[Year]:[Month]],crudeoil[],3,FALSE)</f>
        <v>#VALUE!</v>
      </c>
    </row>
    <row r="9250" spans="1:8" hidden="1" x14ac:dyDescent="0.3">
      <c r="A9250" t="s">
        <v>30</v>
      </c>
      <c r="B9250">
        <v>2022</v>
      </c>
      <c r="C9250" t="s">
        <v>41</v>
      </c>
      <c r="D9250" t="s">
        <v>17</v>
      </c>
      <c r="E9250" t="e">
        <f>VLOOKUP(Cpi_[[#This Row],[Attribute]],#REF!,2,FALSE)</f>
        <v>#REF!</v>
      </c>
      <c r="F9250">
        <v>183.2</v>
      </c>
      <c r="G9250">
        <f>(Cpi_[[#This Row],[Value]]-F9249)/F9249</f>
        <v>-5.4207537429013943E-2</v>
      </c>
      <c r="H9250" t="e" cm="1" vm="1">
        <f t="array" aca="1" ref="H9250" ca="1">VLOOKUP(Cpi_[[#This Row],[Year]:[Month]],crudeoil[],3,FALSE)</f>
        <v>#VALUE!</v>
      </c>
    </row>
    <row r="9251" spans="1:8" hidden="1" x14ac:dyDescent="0.3">
      <c r="A9251" t="s">
        <v>30</v>
      </c>
      <c r="B9251">
        <v>2022</v>
      </c>
      <c r="C9251" t="s">
        <v>41</v>
      </c>
      <c r="D9251" t="s">
        <v>18</v>
      </c>
      <c r="E9251" t="e">
        <f>VLOOKUP(Cpi_[[#This Row],[Attribute]],#REF!,2,FALSE)</f>
        <v>#REF!</v>
      </c>
      <c r="F9251">
        <v>181.7</v>
      </c>
      <c r="G9251">
        <f>(Cpi_[[#This Row],[Value]]-F9250)/F9250</f>
        <v>-8.1877729257641921E-3</v>
      </c>
      <c r="H9251" t="e" cm="1" vm="1">
        <f t="array" aca="1" ref="H9251" ca="1">VLOOKUP(Cpi_[[#This Row],[Year]:[Month]],crudeoil[],3,FALSE)</f>
        <v>#VALUE!</v>
      </c>
    </row>
    <row r="9252" spans="1:8" hidden="1" x14ac:dyDescent="0.3">
      <c r="A9252" t="s">
        <v>30</v>
      </c>
      <c r="B9252">
        <v>2022</v>
      </c>
      <c r="C9252" t="s">
        <v>41</v>
      </c>
      <c r="D9252" t="s">
        <v>19</v>
      </c>
      <c r="E9252" t="e">
        <f>VLOOKUP(Cpi_[[#This Row],[Attribute]],#REF!,2,FALSE)</f>
        <v>#REF!</v>
      </c>
      <c r="F9252">
        <v>183</v>
      </c>
      <c r="G9252">
        <f>(Cpi_[[#This Row],[Value]]-F9251)/F9251</f>
        <v>7.1546505228399088E-3</v>
      </c>
      <c r="H9252" t="e" cm="1" vm="1">
        <f t="array" aca="1" ref="H9252" ca="1">VLOOKUP(Cpi_[[#This Row],[Year]:[Month]],crudeoil[],3,FALSE)</f>
        <v>#VALUE!</v>
      </c>
    </row>
    <row r="9253" spans="1:8" hidden="1" x14ac:dyDescent="0.3">
      <c r="A9253" t="s">
        <v>30</v>
      </c>
      <c r="B9253">
        <v>2022</v>
      </c>
      <c r="C9253" t="s">
        <v>41</v>
      </c>
      <c r="D9253" t="s">
        <v>20</v>
      </c>
      <c r="E9253" t="e">
        <f>VLOOKUP(Cpi_[[#This Row],[Attribute]],#REF!,2,FALSE)</f>
        <v>#REF!</v>
      </c>
      <c r="F9253" t="s">
        <v>32</v>
      </c>
      <c r="G9253" t="e">
        <f>(Cpi_[[#This Row],[Value]]-F9252)/F9252</f>
        <v>#VALUE!</v>
      </c>
      <c r="H9253" t="e" cm="1" vm="1">
        <f t="array" aca="1" ref="H9253" ca="1">VLOOKUP(Cpi_[[#This Row],[Year]:[Month]],crudeoil[],3,FALSE)</f>
        <v>#VALUE!</v>
      </c>
    </row>
    <row r="9254" spans="1:8" hidden="1" x14ac:dyDescent="0.3">
      <c r="A9254" t="s">
        <v>30</v>
      </c>
      <c r="B9254">
        <v>2022</v>
      </c>
      <c r="C9254" t="s">
        <v>41</v>
      </c>
      <c r="D9254" t="s">
        <v>21</v>
      </c>
      <c r="E9254" t="e">
        <f>VLOOKUP(Cpi_[[#This Row],[Attribute]],#REF!,2,FALSE)</f>
        <v>#REF!</v>
      </c>
      <c r="F9254">
        <v>179.1</v>
      </c>
      <c r="G9254" t="e">
        <f>(Cpi_[[#This Row],[Value]]-F9253)/F9253</f>
        <v>#VALUE!</v>
      </c>
      <c r="H9254" t="e" cm="1" vm="1">
        <f t="array" aca="1" ref="H9254" ca="1">VLOOKUP(Cpi_[[#This Row],[Year]:[Month]],crudeoil[],3,FALSE)</f>
        <v>#VALUE!</v>
      </c>
    </row>
    <row r="9255" spans="1:8" hidden="1" x14ac:dyDescent="0.3">
      <c r="A9255" t="s">
        <v>30</v>
      </c>
      <c r="B9255">
        <v>2022</v>
      </c>
      <c r="C9255" t="s">
        <v>41</v>
      </c>
      <c r="D9255" t="s">
        <v>22</v>
      </c>
      <c r="E9255" t="e">
        <f>VLOOKUP(Cpi_[[#This Row],[Attribute]],#REF!,2,FALSE)</f>
        <v>#REF!</v>
      </c>
      <c r="F9255">
        <v>172.3</v>
      </c>
      <c r="G9255">
        <f>(Cpi_[[#This Row],[Value]]-F9254)/F9254</f>
        <v>-3.7967615857063E-2</v>
      </c>
      <c r="H9255" t="e" cm="1" vm="1">
        <f t="array" aca="1" ref="H9255" ca="1">VLOOKUP(Cpi_[[#This Row],[Year]:[Month]],crudeoil[],3,FALSE)</f>
        <v>#VALUE!</v>
      </c>
    </row>
    <row r="9256" spans="1:8" hidden="1" x14ac:dyDescent="0.3">
      <c r="A9256" t="s">
        <v>30</v>
      </c>
      <c r="B9256">
        <v>2022</v>
      </c>
      <c r="C9256" t="s">
        <v>41</v>
      </c>
      <c r="D9256" t="s">
        <v>23</v>
      </c>
      <c r="E9256" t="e">
        <f>VLOOKUP(Cpi_[[#This Row],[Attribute]],#REF!,2,FALSE)</f>
        <v>#REF!</v>
      </c>
      <c r="F9256">
        <v>179.4</v>
      </c>
      <c r="G9256">
        <f>(Cpi_[[#This Row],[Value]]-F9255)/F9255</f>
        <v>4.1207196749854867E-2</v>
      </c>
      <c r="H9256" t="e" cm="1" vm="1">
        <f t="array" aca="1" ref="H9256" ca="1">VLOOKUP(Cpi_[[#This Row],[Year]:[Month]],crudeoil[],3,FALSE)</f>
        <v>#VALUE!</v>
      </c>
    </row>
    <row r="9257" spans="1:8" hidden="1" x14ac:dyDescent="0.3">
      <c r="A9257" t="s">
        <v>30</v>
      </c>
      <c r="B9257">
        <v>2022</v>
      </c>
      <c r="C9257" t="s">
        <v>41</v>
      </c>
      <c r="D9257" t="s">
        <v>24</v>
      </c>
      <c r="E9257" t="e">
        <f>VLOOKUP(Cpi_[[#This Row],[Attribute]],#REF!,2,FALSE)</f>
        <v>#REF!</v>
      </c>
      <c r="F9257">
        <v>166.6</v>
      </c>
      <c r="G9257">
        <f>(Cpi_[[#This Row],[Value]]-F9256)/F9256</f>
        <v>-7.134894091415836E-2</v>
      </c>
      <c r="H9257" t="e" cm="1" vm="1">
        <f t="array" aca="1" ref="H9257" ca="1">VLOOKUP(Cpi_[[#This Row],[Year]:[Month]],crudeoil[],3,FALSE)</f>
        <v>#VALUE!</v>
      </c>
    </row>
    <row r="9258" spans="1:8" hidden="1" x14ac:dyDescent="0.3">
      <c r="A9258" t="s">
        <v>30</v>
      </c>
      <c r="B9258">
        <v>2022</v>
      </c>
      <c r="C9258" t="s">
        <v>41</v>
      </c>
      <c r="D9258" t="s">
        <v>25</v>
      </c>
      <c r="E9258" t="e">
        <f>VLOOKUP(Cpi_[[#This Row],[Attribute]],#REF!,2,FALSE)</f>
        <v>#REF!</v>
      </c>
      <c r="F9258">
        <v>169.3</v>
      </c>
      <c r="G9258">
        <f>(Cpi_[[#This Row],[Value]]-F9257)/F9257</f>
        <v>1.6206482593037318E-2</v>
      </c>
      <c r="H9258" t="e" cm="1" vm="1">
        <f t="array" aca="1" ref="H9258" ca="1">VLOOKUP(Cpi_[[#This Row],[Year]:[Month]],crudeoil[],3,FALSE)</f>
        <v>#VALUE!</v>
      </c>
    </row>
    <row r="9259" spans="1:8" hidden="1" x14ac:dyDescent="0.3">
      <c r="A9259" t="s">
        <v>30</v>
      </c>
      <c r="B9259">
        <v>2022</v>
      </c>
      <c r="C9259" t="s">
        <v>41</v>
      </c>
      <c r="D9259" t="s">
        <v>26</v>
      </c>
      <c r="E9259" t="e">
        <f>VLOOKUP(Cpi_[[#This Row],[Attribute]],#REF!,2,FALSE)</f>
        <v>#REF!</v>
      </c>
      <c r="F9259">
        <v>175.7</v>
      </c>
      <c r="G9259">
        <f>(Cpi_[[#This Row],[Value]]-F9258)/F9258</f>
        <v>3.7802717070289288E-2</v>
      </c>
      <c r="H9259" t="e" cm="1" vm="1">
        <f t="array" aca="1" ref="H9259" ca="1">VLOOKUP(Cpi_[[#This Row],[Year]:[Month]],crudeoil[],3,FALSE)</f>
        <v>#VALUE!</v>
      </c>
    </row>
    <row r="9260" spans="1:8" hidden="1" x14ac:dyDescent="0.3">
      <c r="A9260" t="s">
        <v>30</v>
      </c>
      <c r="B9260">
        <v>2022</v>
      </c>
      <c r="C9260" t="s">
        <v>41</v>
      </c>
      <c r="D9260" t="s">
        <v>27</v>
      </c>
      <c r="E9260" t="e">
        <f>VLOOKUP(Cpi_[[#This Row],[Attribute]],#REF!,2,FALSE)</f>
        <v>#REF!</v>
      </c>
      <c r="F9260">
        <v>171.1</v>
      </c>
      <c r="G9260">
        <f>(Cpi_[[#This Row],[Value]]-F9259)/F9259</f>
        <v>-2.6180990324416589E-2</v>
      </c>
      <c r="H9260" t="e" cm="1" vm="1">
        <f t="array" aca="1" ref="H9260" ca="1">VLOOKUP(Cpi_[[#This Row],[Year]:[Month]],crudeoil[],3,FALSE)</f>
        <v>#VALUE!</v>
      </c>
    </row>
    <row r="9261" spans="1:8" hidden="1" x14ac:dyDescent="0.3">
      <c r="A9261" t="s">
        <v>30</v>
      </c>
      <c r="B9261">
        <v>2022</v>
      </c>
      <c r="C9261" t="s">
        <v>41</v>
      </c>
      <c r="D9261" t="s">
        <v>28</v>
      </c>
      <c r="E9261" t="e">
        <f>VLOOKUP(Cpi_[[#This Row],[Attribute]],#REF!,2,FALSE)</f>
        <v>#REF!</v>
      </c>
      <c r="F9261">
        <v>172.6</v>
      </c>
      <c r="G9261">
        <f>(Cpi_[[#This Row],[Value]]-F9260)/F9260</f>
        <v>8.7668030391583867E-3</v>
      </c>
      <c r="H9261" t="e" cm="1" vm="1">
        <f t="array" aca="1" ref="H9261" ca="1">VLOOKUP(Cpi_[[#This Row],[Year]:[Month]],crudeoil[],3,FALSE)</f>
        <v>#VALUE!</v>
      </c>
    </row>
    <row r="9262" spans="1:8" hidden="1" x14ac:dyDescent="0.3">
      <c r="A9262" t="s">
        <v>30</v>
      </c>
      <c r="B9262">
        <v>2022</v>
      </c>
      <c r="C9262" t="s">
        <v>41</v>
      </c>
      <c r="D9262" t="s">
        <v>29</v>
      </c>
      <c r="E9262" t="e" cm="1">
        <f t="array" aca="1" ref="E9262" ca="1">VLGeneral indexGeneral indexKUP(Cpi_[[#This Row],[Attribute]],#REF!,2,FALSE)</f>
        <v>#NAME?</v>
      </c>
      <c r="F9262">
        <v>175.3</v>
      </c>
      <c r="G9262">
        <f>(Cpi_[[#This Row],[Value]]-F9261)/F9261</f>
        <v>1.5643105446118293E-2</v>
      </c>
      <c r="H9262" t="e" cm="1" vm="1">
        <f t="array" aca="1" ref="H9262" ca="1">VLOOKUP(Cpi_[[#This Row],[Year]:[Month]],crudeoil[],3,FALSE)</f>
        <v>#VALUE!</v>
      </c>
    </row>
    <row r="9263" spans="1:8" hidden="1" x14ac:dyDescent="0.3">
      <c r="A9263" t="s">
        <v>33</v>
      </c>
      <c r="B9263">
        <v>2022</v>
      </c>
      <c r="C9263" t="s">
        <v>41</v>
      </c>
      <c r="D9263" t="s">
        <v>3</v>
      </c>
      <c r="E9263" t="e">
        <f>VLOOKUP(Cpi_[[#This Row],[Attribute]],#REF!,2,FALSE)</f>
        <v>#REF!</v>
      </c>
      <c r="F9263">
        <v>162.1</v>
      </c>
      <c r="G9263">
        <f>(Cpi_[[#This Row],[Value]]-F9262)/F9262</f>
        <v>-7.5299486594409673E-2</v>
      </c>
      <c r="H9263" t="e" cm="1" vm="1">
        <f t="array" aca="1" ref="H9263" ca="1">VLOOKUP(Cpi_[[#This Row],[Year]:[Month]],crudeoil[],3,FALSE)</f>
        <v>#VALUE!</v>
      </c>
    </row>
    <row r="9264" spans="1:8" hidden="1" x14ac:dyDescent="0.3">
      <c r="A9264" t="s">
        <v>33</v>
      </c>
      <c r="B9264">
        <v>2022</v>
      </c>
      <c r="C9264" t="s">
        <v>41</v>
      </c>
      <c r="D9264" t="s">
        <v>4</v>
      </c>
      <c r="E9264" t="e">
        <f>VLOOKUP(Cpi_[[#This Row],[Attribute]],#REF!,2,FALSE)</f>
        <v>#REF!</v>
      </c>
      <c r="F9264">
        <v>210.9</v>
      </c>
      <c r="G9264">
        <f>(Cpi_[[#This Row],[Value]]-F9263)/F9263</f>
        <v>0.30104873534855037</v>
      </c>
      <c r="H9264" t="e" cm="1" vm="1">
        <f t="array" aca="1" ref="H9264" ca="1">VLOOKUP(Cpi_[[#This Row],[Year]:[Month]],crudeoil[],3,FALSE)</f>
        <v>#VALUE!</v>
      </c>
    </row>
    <row r="9265" spans="1:8" hidden="1" x14ac:dyDescent="0.3">
      <c r="A9265" t="s">
        <v>33</v>
      </c>
      <c r="B9265">
        <v>2022</v>
      </c>
      <c r="C9265" t="s">
        <v>41</v>
      </c>
      <c r="D9265" t="s">
        <v>5</v>
      </c>
      <c r="E9265" t="e">
        <f>VLOOKUP(Cpi_[[#This Row],[Attribute]],#REF!,2,FALSE)</f>
        <v>#REF!</v>
      </c>
      <c r="F9265">
        <v>170.6</v>
      </c>
      <c r="G9265">
        <f>(Cpi_[[#This Row],[Value]]-F9264)/F9264</f>
        <v>-0.19108582266477009</v>
      </c>
      <c r="H9265" t="e" cm="1" vm="1">
        <f t="array" aca="1" ref="H9265" ca="1">VLOOKUP(Cpi_[[#This Row],[Year]:[Month]],crudeoil[],3,FALSE)</f>
        <v>#VALUE!</v>
      </c>
    </row>
    <row r="9266" spans="1:8" hidden="1" x14ac:dyDescent="0.3">
      <c r="A9266" t="s">
        <v>33</v>
      </c>
      <c r="B9266">
        <v>2022</v>
      </c>
      <c r="C9266" t="s">
        <v>41</v>
      </c>
      <c r="D9266" t="s">
        <v>6</v>
      </c>
      <c r="E9266" t="e">
        <f>VLOOKUP(Cpi_[[#This Row],[Attribute]],#REF!,2,FALSE)</f>
        <v>#REF!</v>
      </c>
      <c r="F9266">
        <v>168.4</v>
      </c>
      <c r="G9266">
        <f>(Cpi_[[#This Row],[Value]]-F9265)/F9265</f>
        <v>-1.2895662368112478E-2</v>
      </c>
      <c r="H9266" t="e" cm="1" vm="1">
        <f t="array" aca="1" ref="H9266" ca="1">VLOOKUP(Cpi_[[#This Row],[Year]:[Month]],crudeoil[],3,FALSE)</f>
        <v>#VALUE!</v>
      </c>
    </row>
    <row r="9267" spans="1:8" hidden="1" x14ac:dyDescent="0.3">
      <c r="A9267" t="s">
        <v>33</v>
      </c>
      <c r="B9267">
        <v>2022</v>
      </c>
      <c r="C9267" t="s">
        <v>41</v>
      </c>
      <c r="D9267" t="s">
        <v>7</v>
      </c>
      <c r="E9267" t="e">
        <f>VLOOKUP(Cpi_[[#This Row],[Attribute]],#REF!,2,FALSE)</f>
        <v>#REF!</v>
      </c>
      <c r="F9267">
        <v>182.5</v>
      </c>
      <c r="G9267">
        <f>(Cpi_[[#This Row],[Value]]-F9266)/F9266</f>
        <v>8.3729216152018962E-2</v>
      </c>
      <c r="H9267" t="e" cm="1" vm="1">
        <f t="array" aca="1" ref="H9267" ca="1">VLOOKUP(Cpi_[[#This Row],[Year]:[Month]],crudeoil[],3,FALSE)</f>
        <v>#VALUE!</v>
      </c>
    </row>
    <row r="9268" spans="1:8" hidden="1" x14ac:dyDescent="0.3">
      <c r="A9268" t="s">
        <v>33</v>
      </c>
      <c r="B9268">
        <v>2022</v>
      </c>
      <c r="C9268" t="s">
        <v>41</v>
      </c>
      <c r="D9268" t="s">
        <v>8</v>
      </c>
      <c r="E9268" t="e">
        <f>VLOOKUP(Cpi_[[#This Row],[Attribute]],#REF!,2,FALSE)</f>
        <v>#REF!</v>
      </c>
      <c r="F9268">
        <v>177.1</v>
      </c>
      <c r="G9268">
        <f>(Cpi_[[#This Row],[Value]]-F9267)/F9267</f>
        <v>-2.9589041095890441E-2</v>
      </c>
      <c r="H9268" t="e" cm="1" vm="1">
        <f t="array" aca="1" ref="H9268" ca="1">VLOOKUP(Cpi_[[#This Row],[Year]:[Month]],crudeoil[],3,FALSE)</f>
        <v>#VALUE!</v>
      </c>
    </row>
    <row r="9269" spans="1:8" hidden="1" x14ac:dyDescent="0.3">
      <c r="A9269" t="s">
        <v>33</v>
      </c>
      <c r="B9269">
        <v>2022</v>
      </c>
      <c r="C9269" t="s">
        <v>41</v>
      </c>
      <c r="D9269" t="s">
        <v>9</v>
      </c>
      <c r="E9269" t="e">
        <f>VLOOKUP(Cpi_[[#This Row],[Attribute]],#REF!,2,FALSE)</f>
        <v>#REF!</v>
      </c>
      <c r="F9269">
        <v>213.1</v>
      </c>
      <c r="G9269">
        <f>(Cpi_[[#This Row],[Value]]-F9268)/F9268</f>
        <v>0.20327498588368154</v>
      </c>
      <c r="H9269" t="e" cm="1" vm="1">
        <f t="array" aca="1" ref="H9269" ca="1">VLOOKUP(Cpi_[[#This Row],[Year]:[Month]],crudeoil[],3,FALSE)</f>
        <v>#VALUE!</v>
      </c>
    </row>
    <row r="9270" spans="1:8" hidden="1" x14ac:dyDescent="0.3">
      <c r="A9270" t="s">
        <v>33</v>
      </c>
      <c r="B9270">
        <v>2022</v>
      </c>
      <c r="C9270" t="s">
        <v>41</v>
      </c>
      <c r="D9270" t="s">
        <v>10</v>
      </c>
      <c r="E9270" t="e">
        <f>VLOOKUP(Cpi_[[#This Row],[Attribute]],#REF!,2,FALSE)</f>
        <v>#REF!</v>
      </c>
      <c r="F9270">
        <v>167.3</v>
      </c>
      <c r="G9270">
        <f>(Cpi_[[#This Row],[Value]]-F9269)/F9269</f>
        <v>-0.21492257156264657</v>
      </c>
      <c r="H9270" t="e" cm="1" vm="1">
        <f t="array" aca="1" ref="H9270" ca="1">VLOOKUP(Cpi_[[#This Row],[Year]:[Month]],crudeoil[],3,FALSE)</f>
        <v>#VALUE!</v>
      </c>
    </row>
    <row r="9271" spans="1:8" hidden="1" x14ac:dyDescent="0.3">
      <c r="A9271" t="s">
        <v>33</v>
      </c>
      <c r="B9271">
        <v>2022</v>
      </c>
      <c r="C9271" t="s">
        <v>41</v>
      </c>
      <c r="D9271" t="s">
        <v>11</v>
      </c>
      <c r="E9271" t="e">
        <f>VLOOKUP(Cpi_[[#This Row],[Attribute]],#REF!,2,FALSE)</f>
        <v>#REF!</v>
      </c>
      <c r="F9271">
        <v>122.2</v>
      </c>
      <c r="G9271">
        <f>(Cpi_[[#This Row],[Value]]-F9270)/F9270</f>
        <v>-0.26957561267184699</v>
      </c>
      <c r="H9271" t="e" cm="1" vm="1">
        <f t="array" aca="1" ref="H9271" ca="1">VLOOKUP(Cpi_[[#This Row],[Year]:[Month]],crudeoil[],3,FALSE)</f>
        <v>#VALUE!</v>
      </c>
    </row>
    <row r="9272" spans="1:8" hidden="1" x14ac:dyDescent="0.3">
      <c r="A9272" t="s">
        <v>33</v>
      </c>
      <c r="B9272">
        <v>2022</v>
      </c>
      <c r="C9272" t="s">
        <v>41</v>
      </c>
      <c r="D9272" t="s">
        <v>12</v>
      </c>
      <c r="E9272" t="e">
        <f>VLOOKUP(Cpi_[[#This Row],[Attribute]],#REF!,2,FALSE)</f>
        <v>#REF!</v>
      </c>
      <c r="F9272">
        <v>189.7</v>
      </c>
      <c r="G9272">
        <f>(Cpi_[[#This Row],[Value]]-F9271)/F9271</f>
        <v>0.55237315875613735</v>
      </c>
      <c r="H9272" t="e" cm="1" vm="1">
        <f t="array" aca="1" ref="H9272" ca="1">VLOOKUP(Cpi_[[#This Row],[Year]:[Month]],crudeoil[],3,FALSE)</f>
        <v>#VALUE!</v>
      </c>
    </row>
    <row r="9273" spans="1:8" hidden="1" x14ac:dyDescent="0.3">
      <c r="A9273" t="s">
        <v>33</v>
      </c>
      <c r="B9273">
        <v>2022</v>
      </c>
      <c r="C9273" t="s">
        <v>41</v>
      </c>
      <c r="D9273" t="s">
        <v>13</v>
      </c>
      <c r="E9273" t="e">
        <f>VLOOKUP(Cpi_[[#This Row],[Attribute]],#REF!,2,FALSE)</f>
        <v>#REF!</v>
      </c>
      <c r="F9273">
        <v>160.5</v>
      </c>
      <c r="G9273">
        <f>(Cpi_[[#This Row],[Value]]-F9272)/F9272</f>
        <v>-0.15392725355824982</v>
      </c>
      <c r="H9273" t="e" cm="1" vm="1">
        <f t="array" aca="1" ref="H9273" ca="1">VLOOKUP(Cpi_[[#This Row],[Year]:[Month]],crudeoil[],3,FALSE)</f>
        <v>#VALUE!</v>
      </c>
    </row>
    <row r="9274" spans="1:8" hidden="1" x14ac:dyDescent="0.3">
      <c r="A9274" t="s">
        <v>33</v>
      </c>
      <c r="B9274">
        <v>2022</v>
      </c>
      <c r="C9274" t="s">
        <v>41</v>
      </c>
      <c r="D9274" t="s">
        <v>14</v>
      </c>
      <c r="E9274" t="e">
        <f>VLOOKUP(Cpi_[[#This Row],[Attribute]],#REF!,2,FALSE)</f>
        <v>#REF!</v>
      </c>
      <c r="F9274">
        <v>188.9</v>
      </c>
      <c r="G9274">
        <f>(Cpi_[[#This Row],[Value]]-F9273)/F9273</f>
        <v>0.1769470404984424</v>
      </c>
      <c r="H9274" t="e" cm="1" vm="1">
        <f t="array" aca="1" ref="H9274" ca="1">VLOOKUP(Cpi_[[#This Row],[Year]:[Month]],crudeoil[],3,FALSE)</f>
        <v>#VALUE!</v>
      </c>
    </row>
    <row r="9275" spans="1:8" hidden="1" x14ac:dyDescent="0.3">
      <c r="A9275" t="s">
        <v>33</v>
      </c>
      <c r="B9275">
        <v>2022</v>
      </c>
      <c r="C9275" t="s">
        <v>41</v>
      </c>
      <c r="D9275" t="s">
        <v>15</v>
      </c>
      <c r="E9275" t="e">
        <f>VLOOKUP(Cpi_[[#This Row],[Attribute]],#REF!,2,FALSE)</f>
        <v>#REF!</v>
      </c>
      <c r="F9275">
        <v>180.4</v>
      </c>
      <c r="G9275">
        <f>(Cpi_[[#This Row],[Value]]-F9274)/F9274</f>
        <v>-4.4997353096876656E-2</v>
      </c>
      <c r="H9275" t="e" cm="1" vm="1">
        <f t="array" aca="1" ref="H9275" ca="1">VLOOKUP(Cpi_[[#This Row],[Year]:[Month]],crudeoil[],3,FALSE)</f>
        <v>#VALUE!</v>
      </c>
    </row>
    <row r="9276" spans="1:8" hidden="1" x14ac:dyDescent="0.3">
      <c r="A9276" t="s">
        <v>33</v>
      </c>
      <c r="B9276">
        <v>2022</v>
      </c>
      <c r="C9276" t="s">
        <v>41</v>
      </c>
      <c r="D9276" t="s">
        <v>16</v>
      </c>
      <c r="E9276" t="e">
        <f>VLOOKUP(Cpi_[[#This Row],[Attribute]],#REF!,2,FALSE)</f>
        <v>#REF!</v>
      </c>
      <c r="F9276">
        <v>198.7</v>
      </c>
      <c r="G9276">
        <f>(Cpi_[[#This Row],[Value]]-F9275)/F9275</f>
        <v>0.10144124168514403</v>
      </c>
      <c r="H9276" t="e" cm="1" vm="1">
        <f t="array" aca="1" ref="H9276" ca="1">VLOOKUP(Cpi_[[#This Row],[Year]:[Month]],crudeoil[],3,FALSE)</f>
        <v>#VALUE!</v>
      </c>
    </row>
    <row r="9277" spans="1:8" hidden="1" x14ac:dyDescent="0.3">
      <c r="A9277" t="s">
        <v>33</v>
      </c>
      <c r="B9277">
        <v>2022</v>
      </c>
      <c r="C9277" t="s">
        <v>41</v>
      </c>
      <c r="D9277" t="s">
        <v>17</v>
      </c>
      <c r="E9277" t="e">
        <f>VLOOKUP(Cpi_[[#This Row],[Attribute]],#REF!,2,FALSE)</f>
        <v>#REF!</v>
      </c>
      <c r="F9277">
        <v>173.7</v>
      </c>
      <c r="G9277">
        <f>(Cpi_[[#This Row],[Value]]-F9276)/F9276</f>
        <v>-0.12581781580271767</v>
      </c>
      <c r="H9277" t="e" cm="1" vm="1">
        <f t="array" aca="1" ref="H9277" ca="1">VLOOKUP(Cpi_[[#This Row],[Year]:[Month]],crudeoil[],3,FALSE)</f>
        <v>#VALUE!</v>
      </c>
    </row>
    <row r="9278" spans="1:8" hidden="1" x14ac:dyDescent="0.3">
      <c r="A9278" t="s">
        <v>33</v>
      </c>
      <c r="B9278">
        <v>2022</v>
      </c>
      <c r="C9278" t="s">
        <v>41</v>
      </c>
      <c r="D9278" t="s">
        <v>18</v>
      </c>
      <c r="E9278" t="e">
        <f>VLOOKUP(Cpi_[[#This Row],[Attribute]],#REF!,2,FALSE)</f>
        <v>#REF!</v>
      </c>
      <c r="F9278">
        <v>160</v>
      </c>
      <c r="G9278">
        <f>(Cpi_[[#This Row],[Value]]-F9277)/F9277</f>
        <v>-7.88716177317213E-2</v>
      </c>
      <c r="H9278" t="e" cm="1" vm="1">
        <f t="array" aca="1" ref="H9278" ca="1">VLOOKUP(Cpi_[[#This Row],[Year]:[Month]],crudeoil[],3,FALSE)</f>
        <v>#VALUE!</v>
      </c>
    </row>
    <row r="9279" spans="1:8" hidden="1" x14ac:dyDescent="0.3">
      <c r="A9279" t="s">
        <v>33</v>
      </c>
      <c r="B9279">
        <v>2022</v>
      </c>
      <c r="C9279" t="s">
        <v>41</v>
      </c>
      <c r="D9279" t="s">
        <v>19</v>
      </c>
      <c r="E9279" t="e">
        <f>VLOOKUP(Cpi_[[#This Row],[Attribute]],#REF!,2,FALSE)</f>
        <v>#REF!</v>
      </c>
      <c r="F9279">
        <v>171.6</v>
      </c>
      <c r="G9279">
        <f>(Cpi_[[#This Row],[Value]]-F9278)/F9278</f>
        <v>7.2499999999999967E-2</v>
      </c>
      <c r="H9279" t="e" cm="1" vm="1">
        <f t="array" aca="1" ref="H9279" ca="1">VLOOKUP(Cpi_[[#This Row],[Year]:[Month]],crudeoil[],3,FALSE)</f>
        <v>#VALUE!</v>
      </c>
    </row>
    <row r="9280" spans="1:8" hidden="1" x14ac:dyDescent="0.3">
      <c r="A9280" t="s">
        <v>33</v>
      </c>
      <c r="B9280">
        <v>2022</v>
      </c>
      <c r="C9280" t="s">
        <v>41</v>
      </c>
      <c r="D9280" t="s">
        <v>20</v>
      </c>
      <c r="E9280" t="e">
        <f>VLOOKUP(Cpi_[[#This Row],[Attribute]],#REF!,2,FALSE)</f>
        <v>#REF!</v>
      </c>
      <c r="F9280">
        <v>169</v>
      </c>
      <c r="G9280">
        <f>(Cpi_[[#This Row],[Value]]-F9279)/F9279</f>
        <v>-1.5151515151515119E-2</v>
      </c>
      <c r="H9280" t="e" cm="1" vm="1">
        <f t="array" aca="1" ref="H9280" ca="1">VLOOKUP(Cpi_[[#This Row],[Year]:[Month]],crudeoil[],3,FALSE)</f>
        <v>#VALUE!</v>
      </c>
    </row>
    <row r="9281" spans="1:10" hidden="1" x14ac:dyDescent="0.3">
      <c r="A9281" t="s">
        <v>33</v>
      </c>
      <c r="B9281">
        <v>2022</v>
      </c>
      <c r="C9281" t="s">
        <v>41</v>
      </c>
      <c r="D9281" t="s">
        <v>21</v>
      </c>
      <c r="E9281" t="e">
        <f>VLOOKUP(Cpi_[[#This Row],[Attribute]],#REF!,2,FALSE)</f>
        <v>#REF!</v>
      </c>
      <c r="F9281">
        <v>178.4</v>
      </c>
      <c r="G9281">
        <f>(Cpi_[[#This Row],[Value]]-F9280)/F9280</f>
        <v>5.5621301775147965E-2</v>
      </c>
      <c r="H9281" t="e" cm="1" vm="1">
        <f t="array" aca="1" ref="H9281" ca="1">VLOOKUP(Cpi_[[#This Row],[Year]:[Month]],crudeoil[],3,FALSE)</f>
        <v>#VALUE!</v>
      </c>
    </row>
    <row r="9282" spans="1:10" hidden="1" x14ac:dyDescent="0.3">
      <c r="A9282" t="s">
        <v>33</v>
      </c>
      <c r="B9282">
        <v>2022</v>
      </c>
      <c r="C9282" t="s">
        <v>41</v>
      </c>
      <c r="D9282" t="s">
        <v>22</v>
      </c>
      <c r="E9282" t="e">
        <f>VLOOKUP(Cpi_[[#This Row],[Attribute]],#REF!,2,FALSE)</f>
        <v>#REF!</v>
      </c>
      <c r="F9282">
        <v>164.2</v>
      </c>
      <c r="G9282">
        <f>(Cpi_[[#This Row],[Value]]-F9281)/F9281</f>
        <v>-7.9596412556053903E-2</v>
      </c>
      <c r="H9282" t="e" cm="1" vm="1">
        <f t="array" aca="1" ref="H9282" ca="1">VLOOKUP(Cpi_[[#This Row],[Year]:[Month]],crudeoil[],3,FALSE)</f>
        <v>#VALUE!</v>
      </c>
    </row>
    <row r="9283" spans="1:10" hidden="1" x14ac:dyDescent="0.3">
      <c r="A9283" t="s">
        <v>33</v>
      </c>
      <c r="B9283">
        <v>2022</v>
      </c>
      <c r="C9283" t="s">
        <v>41</v>
      </c>
      <c r="D9283" t="s">
        <v>23</v>
      </c>
      <c r="E9283" t="e">
        <f>VLOOKUP(Cpi_[[#This Row],[Attribute]],#REF!,2,FALSE)</f>
        <v>#REF!</v>
      </c>
      <c r="F9283">
        <v>172.6</v>
      </c>
      <c r="G9283">
        <f>(Cpi_[[#This Row],[Value]]-F9282)/F9282</f>
        <v>5.1157125456760086E-2</v>
      </c>
      <c r="H9283" t="e" cm="1" vm="1">
        <f t="array" aca="1" ref="H9283" ca="1">VLOOKUP(Cpi_[[#This Row],[Year]:[Month]],crudeoil[],3,FALSE)</f>
        <v>#VALUE!</v>
      </c>
    </row>
    <row r="9284" spans="1:10" hidden="1" x14ac:dyDescent="0.3">
      <c r="A9284" t="s">
        <v>33</v>
      </c>
      <c r="B9284">
        <v>2022</v>
      </c>
      <c r="C9284" t="s">
        <v>41</v>
      </c>
      <c r="D9284" t="s">
        <v>24</v>
      </c>
      <c r="E9284" t="e">
        <f>VLOOKUP(Cpi_[[#This Row],[Attribute]],#REF!,2,FALSE)</f>
        <v>#REF!</v>
      </c>
      <c r="F9284">
        <v>157.69999999999999</v>
      </c>
      <c r="G9284">
        <f>(Cpi_[[#This Row],[Value]]-F9283)/F9283</f>
        <v>-8.6326767091541176E-2</v>
      </c>
      <c r="H9284" t="e" cm="1" vm="1">
        <f t="array" aca="1" ref="H9284" ca="1">VLOOKUP(Cpi_[[#This Row],[Year]:[Month]],crudeoil[],3,FALSE)</f>
        <v>#VALUE!</v>
      </c>
    </row>
    <row r="9285" spans="1:10" hidden="1" x14ac:dyDescent="0.3">
      <c r="A9285" t="s">
        <v>33</v>
      </c>
      <c r="B9285">
        <v>2022</v>
      </c>
      <c r="C9285" t="s">
        <v>41</v>
      </c>
      <c r="D9285" t="s">
        <v>25</v>
      </c>
      <c r="E9285" t="e">
        <f>VLOOKUP(Cpi_[[#This Row],[Attribute]],#REF!,2,FALSE)</f>
        <v>#REF!</v>
      </c>
      <c r="F9285">
        <v>165.1</v>
      </c>
      <c r="G9285">
        <f>(Cpi_[[#This Row],[Value]]-F9284)/F9284</f>
        <v>4.6924540266328509E-2</v>
      </c>
      <c r="H9285" t="e" cm="1" vm="1">
        <f t="array" aca="1" ref="H9285" ca="1">VLOOKUP(Cpi_[[#This Row],[Year]:[Month]],crudeoil[],3,FALSE)</f>
        <v>#VALUE!</v>
      </c>
    </row>
    <row r="9286" spans="1:10" hidden="1" x14ac:dyDescent="0.3">
      <c r="A9286" t="s">
        <v>33</v>
      </c>
      <c r="B9286">
        <v>2022</v>
      </c>
      <c r="C9286" t="s">
        <v>41</v>
      </c>
      <c r="D9286" t="s">
        <v>26</v>
      </c>
      <c r="E9286" t="e">
        <f>VLOOKUP(Cpi_[[#This Row],[Attribute]],#REF!,2,FALSE)</f>
        <v>#REF!</v>
      </c>
      <c r="F9286">
        <v>169.9</v>
      </c>
      <c r="G9286">
        <f>(Cpi_[[#This Row],[Value]]-F9285)/F9285</f>
        <v>2.9073288915808671E-2</v>
      </c>
      <c r="H9286" t="e" cm="1" vm="1">
        <f t="array" aca="1" ref="H9286" ca="1">VLOOKUP(Cpi_[[#This Row],[Year]:[Month]],crudeoil[],3,FALSE)</f>
        <v>#VALUE!</v>
      </c>
    </row>
    <row r="9287" spans="1:10" hidden="1" x14ac:dyDescent="0.3">
      <c r="A9287" t="s">
        <v>33</v>
      </c>
      <c r="B9287">
        <v>2022</v>
      </c>
      <c r="C9287" t="s">
        <v>41</v>
      </c>
      <c r="D9287" t="s">
        <v>27</v>
      </c>
      <c r="E9287" t="e">
        <f>VLOOKUP(Cpi_[[#This Row],[Attribute]],#REF!,2,FALSE)</f>
        <v>#REF!</v>
      </c>
      <c r="F9287">
        <v>171.4</v>
      </c>
      <c r="G9287">
        <f>(Cpi_[[#This Row],[Value]]-F9286)/F9286</f>
        <v>8.828722778104767E-3</v>
      </c>
      <c r="H9287" t="e" cm="1" vm="1">
        <f t="array" aca="1" ref="H9287" ca="1">VLOOKUP(Cpi_[[#This Row],[Year]:[Month]],crudeoil[],3,FALSE)</f>
        <v>#VALUE!</v>
      </c>
    </row>
    <row r="9288" spans="1:10" hidden="1" x14ac:dyDescent="0.3">
      <c r="A9288" t="s">
        <v>33</v>
      </c>
      <c r="B9288">
        <v>2022</v>
      </c>
      <c r="C9288" t="s">
        <v>41</v>
      </c>
      <c r="D9288" t="s">
        <v>28</v>
      </c>
      <c r="E9288" t="e">
        <f>VLOOKUP(Cpi_[[#This Row],[Attribute]],#REF!,2,FALSE)</f>
        <v>#REF!</v>
      </c>
      <c r="F9288">
        <v>165.4</v>
      </c>
      <c r="G9288">
        <f>(Cpi_[[#This Row],[Value]]-F9287)/F9287</f>
        <v>-3.5005834305717617E-2</v>
      </c>
      <c r="H9288" t="e" cm="1" vm="1">
        <f t="array" aca="1" ref="H9288" ca="1">VLOOKUP(Cpi_[[#This Row],[Year]:[Month]],crudeoil[],3,FALSE)</f>
        <v>#VALUE!</v>
      </c>
    </row>
    <row r="9289" spans="1:10" hidden="1" x14ac:dyDescent="0.3">
      <c r="A9289" t="s">
        <v>33</v>
      </c>
      <c r="B9289">
        <v>2022</v>
      </c>
      <c r="C9289" t="s">
        <v>41</v>
      </c>
      <c r="D9289" t="s">
        <v>29</v>
      </c>
      <c r="E9289" t="e" cm="1">
        <f t="array" aca="1" ref="E9289" ca="1">VLGeneral indexGeneral indexKUP(Cpi_[[#This Row],[Attribute]],#REF!,2,FALSE)</f>
        <v>#NAME?</v>
      </c>
      <c r="F9289">
        <v>173.1</v>
      </c>
      <c r="G9289">
        <f>(Cpi_[[#This Row],[Value]]-F9288)/F9288</f>
        <v>4.6553808948004767E-2</v>
      </c>
      <c r="H9289" t="e" cm="1" vm="1">
        <f t="array" aca="1" ref="H9289" ca="1">VLOOKUP(Cpi_[[#This Row],[Year]:[Month]],crudeoil[],3,FALSE)</f>
        <v>#VALUE!</v>
      </c>
    </row>
    <row r="9290" spans="1:10" hidden="1" x14ac:dyDescent="0.3">
      <c r="A9290" t="s">
        <v>34</v>
      </c>
      <c r="B9290">
        <v>2022</v>
      </c>
      <c r="C9290" t="s">
        <v>41</v>
      </c>
      <c r="D9290" t="s">
        <v>3</v>
      </c>
      <c r="E9290" t="e">
        <f>VLOOKUP(Cpi_[[#This Row],[Attribute]],#REF!,2,FALSE)</f>
        <v>#REF!</v>
      </c>
      <c r="F9290">
        <v>160.30000000000001</v>
      </c>
      <c r="G9290">
        <f>(Cpi_[[#This Row],[Value]]-F9289)/F9289</f>
        <v>-7.3945696129404867E-2</v>
      </c>
      <c r="H9290" t="e" cm="1" vm="1">
        <f t="array" aca="1" ref="H9290" ca="1">VLOOKUP(Cpi_[[#This Row],[Year]:[Month]],crudeoil[],3,FALSE)</f>
        <v>#VALUE!</v>
      </c>
    </row>
    <row r="9291" spans="1:10" x14ac:dyDescent="0.3">
      <c r="A9291" t="s">
        <v>34</v>
      </c>
      <c r="B9291">
        <v>2022</v>
      </c>
      <c r="C9291" t="s">
        <v>41</v>
      </c>
      <c r="D9291" t="s">
        <v>4</v>
      </c>
      <c r="E9291" t="e">
        <f>VLOOKUP(Cpi_[[#This Row],[Attribute]],#REF!,2,FALSE)</f>
        <v>#REF!</v>
      </c>
      <c r="F9291">
        <v>206.5</v>
      </c>
      <c r="G9291" s="42">
        <f>(Cpi_[[#This Row],[Value]]-F9290)/F9290</f>
        <v>0.28820960698689946</v>
      </c>
      <c r="H9291" t="str">
        <f>LEFT(Cpi_[[#This Row],[Month]],3)</f>
        <v>Aug</v>
      </c>
      <c r="I9291" t="str">
        <f>RIGHT(Cpi_[[#This Row],[Year]],2)</f>
        <v>22</v>
      </c>
      <c r="J9291" t="str">
        <f>Cpi_[[#This Row],[Column3]]&amp;"-"&amp;Cpi_[[#This Row],[Column4]]</f>
        <v>Aug-22</v>
      </c>
    </row>
    <row r="9292" spans="1:10" x14ac:dyDescent="0.3">
      <c r="A9292" t="s">
        <v>34</v>
      </c>
      <c r="B9292">
        <v>2022</v>
      </c>
      <c r="C9292" t="s">
        <v>41</v>
      </c>
      <c r="D9292" t="s">
        <v>5</v>
      </c>
      <c r="E9292" t="e">
        <f>VLOOKUP(Cpi_[[#This Row],[Attribute]],#REF!,2,FALSE)</f>
        <v>#REF!</v>
      </c>
      <c r="F9292">
        <v>169.2</v>
      </c>
      <c r="G9292" s="42">
        <f>(Cpi_[[#This Row],[Value]]-F9291)/F9291</f>
        <v>-0.18062953995157391</v>
      </c>
      <c r="H9292" t="str">
        <f>LEFT(Cpi_[[#This Row],[Month]],3)</f>
        <v>Aug</v>
      </c>
      <c r="I9292" t="str">
        <f>RIGHT(Cpi_[[#This Row],[Year]],2)</f>
        <v>22</v>
      </c>
      <c r="J9292" t="str">
        <f>Cpi_[[#This Row],[Column3]]&amp;"-"&amp;Cpi_[[#This Row],[Column4]]</f>
        <v>Aug-22</v>
      </c>
    </row>
    <row r="9293" spans="1:10" x14ac:dyDescent="0.3">
      <c r="A9293" t="s">
        <v>34</v>
      </c>
      <c r="B9293">
        <v>2022</v>
      </c>
      <c r="C9293" t="s">
        <v>41</v>
      </c>
      <c r="D9293" t="s">
        <v>6</v>
      </c>
      <c r="E9293" t="e">
        <f>VLOOKUP(Cpi_[[#This Row],[Attribute]],#REF!,2,FALSE)</f>
        <v>#REF!</v>
      </c>
      <c r="F9293">
        <v>168.1</v>
      </c>
      <c r="G9293" s="42">
        <f>(Cpi_[[#This Row],[Value]]-F9292)/F9292</f>
        <v>-6.5011820330968936E-3</v>
      </c>
      <c r="H9293" t="str">
        <f>LEFT(Cpi_[[#This Row],[Month]],3)</f>
        <v>Aug</v>
      </c>
      <c r="I9293" t="str">
        <f>RIGHT(Cpi_[[#This Row],[Year]],2)</f>
        <v>22</v>
      </c>
      <c r="J9293" t="str">
        <f>Cpi_[[#This Row],[Column3]]&amp;"-"&amp;Cpi_[[#This Row],[Column4]]</f>
        <v>Aug-22</v>
      </c>
    </row>
    <row r="9294" spans="1:10" x14ac:dyDescent="0.3">
      <c r="A9294" t="s">
        <v>34</v>
      </c>
      <c r="B9294">
        <v>2022</v>
      </c>
      <c r="C9294" t="s">
        <v>41</v>
      </c>
      <c r="D9294" t="s">
        <v>7</v>
      </c>
      <c r="E9294" t="e">
        <f>VLOOKUP(Cpi_[[#This Row],[Attribute]],#REF!,2,FALSE)</f>
        <v>#REF!</v>
      </c>
      <c r="F9294">
        <v>192.4</v>
      </c>
      <c r="G9294" s="42">
        <f>(Cpi_[[#This Row],[Value]]-F9293)/F9293</f>
        <v>0.14455681142177282</v>
      </c>
      <c r="H9294" t="str">
        <f>LEFT(Cpi_[[#This Row],[Month]],3)</f>
        <v>Aug</v>
      </c>
      <c r="I9294" t="str">
        <f>RIGHT(Cpi_[[#This Row],[Year]],2)</f>
        <v>22</v>
      </c>
      <c r="J9294" t="str">
        <f>Cpi_[[#This Row],[Column3]]&amp;"-"&amp;Cpi_[[#This Row],[Column4]]</f>
        <v>Aug-22</v>
      </c>
    </row>
    <row r="9295" spans="1:10" x14ac:dyDescent="0.3">
      <c r="A9295" t="s">
        <v>34</v>
      </c>
      <c r="B9295">
        <v>2022</v>
      </c>
      <c r="C9295" t="s">
        <v>41</v>
      </c>
      <c r="D9295" t="s">
        <v>8</v>
      </c>
      <c r="E9295" t="e">
        <f>VLOOKUP(Cpi_[[#This Row],[Attribute]],#REF!,2,FALSE)</f>
        <v>#REF!</v>
      </c>
      <c r="F9295">
        <v>172.9</v>
      </c>
      <c r="G9295" s="42">
        <f>(Cpi_[[#This Row],[Value]]-F9294)/F9294</f>
        <v>-0.10135135135135134</v>
      </c>
      <c r="H9295" t="str">
        <f>LEFT(Cpi_[[#This Row],[Month]],3)</f>
        <v>Aug</v>
      </c>
      <c r="I9295" t="str">
        <f>RIGHT(Cpi_[[#This Row],[Year]],2)</f>
        <v>22</v>
      </c>
      <c r="J9295" t="str">
        <f>Cpi_[[#This Row],[Column3]]&amp;"-"&amp;Cpi_[[#This Row],[Column4]]</f>
        <v>Aug-22</v>
      </c>
    </row>
    <row r="9296" spans="1:10" x14ac:dyDescent="0.3">
      <c r="A9296" t="s">
        <v>34</v>
      </c>
      <c r="B9296">
        <v>2022</v>
      </c>
      <c r="C9296" t="s">
        <v>41</v>
      </c>
      <c r="D9296" t="s">
        <v>9</v>
      </c>
      <c r="E9296" t="e">
        <f>VLOOKUP(Cpi_[[#This Row],[Attribute]],#REF!,2,FALSE)</f>
        <v>#REF!</v>
      </c>
      <c r="F9296">
        <v>186.7</v>
      </c>
      <c r="G9296" s="42">
        <f>(Cpi_[[#This Row],[Value]]-F9295)/F9295</f>
        <v>7.9814921920184981E-2</v>
      </c>
      <c r="H9296" t="str">
        <f>LEFT(Cpi_[[#This Row],[Month]],3)</f>
        <v>Aug</v>
      </c>
      <c r="I9296" t="str">
        <f>RIGHT(Cpi_[[#This Row],[Year]],2)</f>
        <v>22</v>
      </c>
      <c r="J9296" t="str">
        <f>Cpi_[[#This Row],[Column3]]&amp;"-"&amp;Cpi_[[#This Row],[Column4]]</f>
        <v>Aug-22</v>
      </c>
    </row>
    <row r="9297" spans="1:10" x14ac:dyDescent="0.3">
      <c r="A9297" t="s">
        <v>34</v>
      </c>
      <c r="B9297">
        <v>2022</v>
      </c>
      <c r="C9297" t="s">
        <v>41</v>
      </c>
      <c r="D9297" t="s">
        <v>10</v>
      </c>
      <c r="E9297" t="e">
        <f>VLOOKUP(Cpi_[[#This Row],[Attribute]],#REF!,2,FALSE)</f>
        <v>#REF!</v>
      </c>
      <c r="F9297">
        <v>167.2</v>
      </c>
      <c r="G9297" s="42">
        <f>(Cpi_[[#This Row],[Value]]-F9296)/F9296</f>
        <v>-0.10444563470808785</v>
      </c>
      <c r="H9297" t="str">
        <f>LEFT(Cpi_[[#This Row],[Month]],3)</f>
        <v>Aug</v>
      </c>
      <c r="I9297" t="str">
        <f>RIGHT(Cpi_[[#This Row],[Year]],2)</f>
        <v>22</v>
      </c>
      <c r="J9297" t="str">
        <f>Cpi_[[#This Row],[Column3]]&amp;"-"&amp;Cpi_[[#This Row],[Column4]]</f>
        <v>Aug-22</v>
      </c>
    </row>
    <row r="9298" spans="1:10" x14ac:dyDescent="0.3">
      <c r="A9298" t="s">
        <v>34</v>
      </c>
      <c r="B9298">
        <v>2022</v>
      </c>
      <c r="C9298" t="s">
        <v>41</v>
      </c>
      <c r="D9298" t="s">
        <v>11</v>
      </c>
      <c r="E9298" t="e">
        <f>VLOOKUP(Cpi_[[#This Row],[Attribute]],#REF!,2,FALSE)</f>
        <v>#REF!</v>
      </c>
      <c r="F9298">
        <v>120.9</v>
      </c>
      <c r="G9298" s="42">
        <f>(Cpi_[[#This Row],[Value]]-F9297)/F9297</f>
        <v>-0.27691387559808606</v>
      </c>
      <c r="H9298" t="str">
        <f>LEFT(Cpi_[[#This Row],[Month]],3)</f>
        <v>Aug</v>
      </c>
      <c r="I9298" t="str">
        <f>RIGHT(Cpi_[[#This Row],[Year]],2)</f>
        <v>22</v>
      </c>
      <c r="J9298" t="str">
        <f>Cpi_[[#This Row],[Column3]]&amp;"-"&amp;Cpi_[[#This Row],[Column4]]</f>
        <v>Aug-22</v>
      </c>
    </row>
    <row r="9299" spans="1:10" x14ac:dyDescent="0.3">
      <c r="A9299" t="s">
        <v>34</v>
      </c>
      <c r="B9299">
        <v>2022</v>
      </c>
      <c r="C9299" t="s">
        <v>41</v>
      </c>
      <c r="D9299" t="s">
        <v>12</v>
      </c>
      <c r="E9299" t="e">
        <f>VLOOKUP(Cpi_[[#This Row],[Attribute]],#REF!,2,FALSE)</f>
        <v>#REF!</v>
      </c>
      <c r="F9299">
        <v>193.6</v>
      </c>
      <c r="G9299" s="42">
        <f>(Cpi_[[#This Row],[Value]]-F9298)/F9298</f>
        <v>0.60132340777502058</v>
      </c>
      <c r="H9299" t="str">
        <f>LEFT(Cpi_[[#This Row],[Month]],3)</f>
        <v>Aug</v>
      </c>
      <c r="I9299" t="str">
        <f>RIGHT(Cpi_[[#This Row],[Year]],2)</f>
        <v>22</v>
      </c>
      <c r="J9299" t="str">
        <f>Cpi_[[#This Row],[Column3]]&amp;"-"&amp;Cpi_[[#This Row],[Column4]]</f>
        <v>Aug-22</v>
      </c>
    </row>
    <row r="9300" spans="1:10" x14ac:dyDescent="0.3">
      <c r="A9300" t="s">
        <v>34</v>
      </c>
      <c r="B9300">
        <v>2022</v>
      </c>
      <c r="C9300" t="s">
        <v>41</v>
      </c>
      <c r="D9300" t="s">
        <v>13</v>
      </c>
      <c r="E9300" t="e">
        <f>VLOOKUP(Cpi_[[#This Row],[Attribute]],#REF!,2,FALSE)</f>
        <v>#REF!</v>
      </c>
      <c r="F9300">
        <v>168.8</v>
      </c>
      <c r="G9300" s="42">
        <f>(Cpi_[[#This Row],[Value]]-F9299)/F9299</f>
        <v>-0.12809917355371891</v>
      </c>
      <c r="H9300" t="str">
        <f>LEFT(Cpi_[[#This Row],[Month]],3)</f>
        <v>Aug</v>
      </c>
      <c r="I9300" t="str">
        <f>RIGHT(Cpi_[[#This Row],[Year]],2)</f>
        <v>22</v>
      </c>
      <c r="J9300" t="str">
        <f>Cpi_[[#This Row],[Column3]]&amp;"-"&amp;Cpi_[[#This Row],[Column4]]</f>
        <v>Aug-22</v>
      </c>
    </row>
    <row r="9301" spans="1:10" x14ac:dyDescent="0.3">
      <c r="A9301" t="s">
        <v>34</v>
      </c>
      <c r="B9301">
        <v>2022</v>
      </c>
      <c r="C9301" t="s">
        <v>41</v>
      </c>
      <c r="D9301" t="s">
        <v>14</v>
      </c>
      <c r="E9301" t="e">
        <f>VLOOKUP(Cpi_[[#This Row],[Attribute]],#REF!,2,FALSE)</f>
        <v>#REF!</v>
      </c>
      <c r="F9301">
        <v>186.3</v>
      </c>
      <c r="G9301" s="42">
        <f>(Cpi_[[#This Row],[Value]]-F9300)/F9300</f>
        <v>0.10367298578199051</v>
      </c>
      <c r="H9301" t="str">
        <f>LEFT(Cpi_[[#This Row],[Month]],3)</f>
        <v>Aug</v>
      </c>
      <c r="I9301" t="str">
        <f>RIGHT(Cpi_[[#This Row],[Year]],2)</f>
        <v>22</v>
      </c>
      <c r="J9301" t="str">
        <f>Cpi_[[#This Row],[Column3]]&amp;"-"&amp;Cpi_[[#This Row],[Column4]]</f>
        <v>Aug-22</v>
      </c>
    </row>
    <row r="9302" spans="1:10" x14ac:dyDescent="0.3">
      <c r="A9302" t="s">
        <v>34</v>
      </c>
      <c r="B9302">
        <v>2022</v>
      </c>
      <c r="C9302" t="s">
        <v>41</v>
      </c>
      <c r="D9302" t="s">
        <v>15</v>
      </c>
      <c r="E9302" t="e">
        <f>VLOOKUP(Cpi_[[#This Row],[Attribute]],#REF!,2,FALSE)</f>
        <v>#REF!</v>
      </c>
      <c r="F9302">
        <v>176.3</v>
      </c>
      <c r="G9302" s="42">
        <f>(Cpi_[[#This Row],[Value]]-F9301)/F9301</f>
        <v>-5.3676865271068165E-2</v>
      </c>
      <c r="H9302" t="str">
        <f>LEFT(Cpi_[[#This Row],[Month]],3)</f>
        <v>Aug</v>
      </c>
      <c r="I9302" t="str">
        <f>RIGHT(Cpi_[[#This Row],[Year]],2)</f>
        <v>22</v>
      </c>
      <c r="J9302" t="str">
        <f>Cpi_[[#This Row],[Column3]]&amp;"-"&amp;Cpi_[[#This Row],[Column4]]</f>
        <v>Aug-22</v>
      </c>
    </row>
    <row r="9303" spans="1:10" hidden="1" x14ac:dyDescent="0.3">
      <c r="A9303" t="s">
        <v>34</v>
      </c>
      <c r="B9303">
        <v>2022</v>
      </c>
      <c r="C9303" t="s">
        <v>41</v>
      </c>
      <c r="D9303" t="s">
        <v>16</v>
      </c>
      <c r="E9303" t="e">
        <f>VLOOKUP(Cpi_[[#This Row],[Attribute]],#REF!,2,FALSE)</f>
        <v>#REF!</v>
      </c>
      <c r="F9303">
        <v>195</v>
      </c>
      <c r="G9303">
        <f>(Cpi_[[#This Row],[Value]]-F9302)/F9302</f>
        <v>0.10606920022688592</v>
      </c>
      <c r="H9303" t="e" cm="1" vm="1">
        <f t="array" aca="1" ref="H9303" ca="1">VLOOKUP(Cpi_[[#This Row],[Year]:[Month]],crudeoil[],3,FALSE)</f>
        <v>#VALUE!</v>
      </c>
    </row>
    <row r="9304" spans="1:10" hidden="1" x14ac:dyDescent="0.3">
      <c r="A9304" t="s">
        <v>34</v>
      </c>
      <c r="B9304">
        <v>2022</v>
      </c>
      <c r="C9304" t="s">
        <v>41</v>
      </c>
      <c r="D9304" t="s">
        <v>17</v>
      </c>
      <c r="E9304" t="e">
        <f>VLOOKUP(Cpi_[[#This Row],[Attribute]],#REF!,2,FALSE)</f>
        <v>#REF!</v>
      </c>
      <c r="F9304">
        <v>179.5</v>
      </c>
      <c r="G9304">
        <f>(Cpi_[[#This Row],[Value]]-F9303)/F9303</f>
        <v>-7.9487179487179482E-2</v>
      </c>
      <c r="H9304" t="e" cm="1" vm="1">
        <f t="array" aca="1" ref="H9304" ca="1">VLOOKUP(Cpi_[[#This Row],[Year]:[Month]],crudeoil[],3,FALSE)</f>
        <v>#VALUE!</v>
      </c>
    </row>
    <row r="9305" spans="1:10" hidden="1" x14ac:dyDescent="0.3">
      <c r="A9305" t="s">
        <v>34</v>
      </c>
      <c r="B9305">
        <v>2022</v>
      </c>
      <c r="C9305" t="s">
        <v>41</v>
      </c>
      <c r="D9305" t="s">
        <v>18</v>
      </c>
      <c r="E9305" t="e">
        <f>VLOOKUP(Cpi_[[#This Row],[Attribute]],#REF!,2,FALSE)</f>
        <v>#REF!</v>
      </c>
      <c r="F9305">
        <v>172.7</v>
      </c>
      <c r="G9305">
        <f>(Cpi_[[#This Row],[Value]]-F9304)/F9304</f>
        <v>-3.7883008356546025E-2</v>
      </c>
      <c r="H9305" t="e" cm="1" vm="1">
        <f t="array" aca="1" ref="H9305" ca="1">VLOOKUP(Cpi_[[#This Row],[Year]:[Month]],crudeoil[],3,FALSE)</f>
        <v>#VALUE!</v>
      </c>
    </row>
    <row r="9306" spans="1:10" hidden="1" x14ac:dyDescent="0.3">
      <c r="A9306" t="s">
        <v>34</v>
      </c>
      <c r="B9306">
        <v>2022</v>
      </c>
      <c r="C9306" t="s">
        <v>41</v>
      </c>
      <c r="D9306" t="s">
        <v>19</v>
      </c>
      <c r="E9306" t="e">
        <f>VLOOKUP(Cpi_[[#This Row],[Attribute]],#REF!,2,FALSE)</f>
        <v>#REF!</v>
      </c>
      <c r="F9306">
        <v>178.5</v>
      </c>
      <c r="G9306">
        <f>(Cpi_[[#This Row],[Value]]-F9305)/F9305</f>
        <v>3.358425014475977E-2</v>
      </c>
      <c r="H9306" t="e" cm="1" vm="1">
        <f t="array" aca="1" ref="H9306" ca="1">VLOOKUP(Cpi_[[#This Row],[Year]:[Month]],crudeoil[],3,FALSE)</f>
        <v>#VALUE!</v>
      </c>
    </row>
    <row r="9307" spans="1:10" hidden="1" x14ac:dyDescent="0.3">
      <c r="A9307" t="s">
        <v>34</v>
      </c>
      <c r="B9307">
        <v>2022</v>
      </c>
      <c r="C9307" t="s">
        <v>41</v>
      </c>
      <c r="D9307" t="s">
        <v>20</v>
      </c>
      <c r="E9307" t="e">
        <f>VLOOKUP(Cpi_[[#This Row],[Attribute]],#REF!,2,FALSE)</f>
        <v>#REF!</v>
      </c>
      <c r="F9307">
        <v>169</v>
      </c>
      <c r="G9307">
        <f>(Cpi_[[#This Row],[Value]]-F9306)/F9306</f>
        <v>-5.3221288515406161E-2</v>
      </c>
      <c r="H9307" t="e" cm="1" vm="1">
        <f t="array" aca="1" ref="H9307" ca="1">VLOOKUP(Cpi_[[#This Row],[Year]:[Month]],crudeoil[],3,FALSE)</f>
        <v>#VALUE!</v>
      </c>
    </row>
    <row r="9308" spans="1:10" hidden="1" x14ac:dyDescent="0.3">
      <c r="A9308" t="s">
        <v>34</v>
      </c>
      <c r="B9308">
        <v>2022</v>
      </c>
      <c r="C9308" t="s">
        <v>41</v>
      </c>
      <c r="D9308" t="s">
        <v>21</v>
      </c>
      <c r="E9308" t="e">
        <f>VLOOKUP(Cpi_[[#This Row],[Attribute]],#REF!,2,FALSE)</f>
        <v>#REF!</v>
      </c>
      <c r="F9308">
        <v>178.8</v>
      </c>
      <c r="G9308">
        <f>(Cpi_[[#This Row],[Value]]-F9307)/F9307</f>
        <v>5.7988165680473443E-2</v>
      </c>
      <c r="H9308" t="e" cm="1" vm="1">
        <f t="array" aca="1" ref="H9308" ca="1">VLOOKUP(Cpi_[[#This Row],[Year]:[Month]],crudeoil[],3,FALSE)</f>
        <v>#VALUE!</v>
      </c>
    </row>
    <row r="9309" spans="1:10" hidden="1" x14ac:dyDescent="0.3">
      <c r="A9309" t="s">
        <v>34</v>
      </c>
      <c r="B9309">
        <v>2022</v>
      </c>
      <c r="C9309" t="s">
        <v>41</v>
      </c>
      <c r="D9309" t="s">
        <v>22</v>
      </c>
      <c r="E9309" t="e">
        <f>VLOOKUP(Cpi_[[#This Row],[Attribute]],#REF!,2,FALSE)</f>
        <v>#REF!</v>
      </c>
      <c r="F9309">
        <v>168.5</v>
      </c>
      <c r="G9309">
        <f>(Cpi_[[#This Row],[Value]]-F9308)/F9308</f>
        <v>-5.7606263982102966E-2</v>
      </c>
      <c r="H9309" t="e" cm="1" vm="1">
        <f t="array" aca="1" ref="H9309" ca="1">VLOOKUP(Cpi_[[#This Row],[Year]:[Month]],crudeoil[],3,FALSE)</f>
        <v>#VALUE!</v>
      </c>
    </row>
    <row r="9310" spans="1:10" hidden="1" x14ac:dyDescent="0.3">
      <c r="A9310" t="s">
        <v>34</v>
      </c>
      <c r="B9310">
        <v>2022</v>
      </c>
      <c r="C9310" t="s">
        <v>41</v>
      </c>
      <c r="D9310" t="s">
        <v>23</v>
      </c>
      <c r="E9310" t="e">
        <f>VLOOKUP(Cpi_[[#This Row],[Attribute]],#REF!,2,FALSE)</f>
        <v>#REF!</v>
      </c>
      <c r="F9310">
        <v>176.8</v>
      </c>
      <c r="G9310">
        <f>(Cpi_[[#This Row],[Value]]-F9309)/F9309</f>
        <v>4.9258160237388791E-2</v>
      </c>
      <c r="H9310" t="e" cm="1" vm="1">
        <f t="array" aca="1" ref="H9310" ca="1">VLOOKUP(Cpi_[[#This Row],[Year]:[Month]],crudeoil[],3,FALSE)</f>
        <v>#VALUE!</v>
      </c>
    </row>
    <row r="9311" spans="1:10" hidden="1" x14ac:dyDescent="0.3">
      <c r="A9311" t="s">
        <v>34</v>
      </c>
      <c r="B9311">
        <v>2022</v>
      </c>
      <c r="C9311" t="s">
        <v>41</v>
      </c>
      <c r="D9311" t="s">
        <v>24</v>
      </c>
      <c r="E9311" t="e">
        <f>VLOOKUP(Cpi_[[#This Row],[Attribute]],#REF!,2,FALSE)</f>
        <v>#REF!</v>
      </c>
      <c r="F9311">
        <v>161.9</v>
      </c>
      <c r="G9311">
        <f>(Cpi_[[#This Row],[Value]]-F9310)/F9310</f>
        <v>-8.4276018099547545E-2</v>
      </c>
      <c r="H9311" t="e" cm="1" vm="1">
        <f t="array" aca="1" ref="H9311" ca="1">VLOOKUP(Cpi_[[#This Row],[Year]:[Month]],crudeoil[],3,FALSE)</f>
        <v>#VALUE!</v>
      </c>
    </row>
    <row r="9312" spans="1:10" hidden="1" x14ac:dyDescent="0.3">
      <c r="A9312" t="s">
        <v>34</v>
      </c>
      <c r="B9312">
        <v>2022</v>
      </c>
      <c r="C9312" t="s">
        <v>41</v>
      </c>
      <c r="D9312" t="s">
        <v>25</v>
      </c>
      <c r="E9312" t="e">
        <f>VLOOKUP(Cpi_[[#This Row],[Attribute]],#REF!,2,FALSE)</f>
        <v>#REF!</v>
      </c>
      <c r="F9312">
        <v>166.9</v>
      </c>
      <c r="G9312">
        <f>(Cpi_[[#This Row],[Value]]-F9311)/F9311</f>
        <v>3.0883261272390362E-2</v>
      </c>
      <c r="H9312" t="e" cm="1" vm="1">
        <f t="array" aca="1" ref="H9312" ca="1">VLOOKUP(Cpi_[[#This Row],[Year]:[Month]],crudeoil[],3,FALSE)</f>
        <v>#VALUE!</v>
      </c>
    </row>
    <row r="9313" spans="1:8" hidden="1" x14ac:dyDescent="0.3">
      <c r="A9313" t="s">
        <v>34</v>
      </c>
      <c r="B9313">
        <v>2022</v>
      </c>
      <c r="C9313" t="s">
        <v>41</v>
      </c>
      <c r="D9313" t="s">
        <v>26</v>
      </c>
      <c r="E9313" t="e">
        <f>VLOOKUP(Cpi_[[#This Row],[Attribute]],#REF!,2,FALSE)</f>
        <v>#REF!</v>
      </c>
      <c r="F9313">
        <v>172.3</v>
      </c>
      <c r="G9313">
        <f>(Cpi_[[#This Row],[Value]]-F9312)/F9312</f>
        <v>3.2354703415218726E-2</v>
      </c>
      <c r="H9313" t="e" cm="1" vm="1">
        <f t="array" aca="1" ref="H9313" ca="1">VLOOKUP(Cpi_[[#This Row],[Year]:[Month]],crudeoil[],3,FALSE)</f>
        <v>#VALUE!</v>
      </c>
    </row>
    <row r="9314" spans="1:8" hidden="1" x14ac:dyDescent="0.3">
      <c r="A9314" t="s">
        <v>34</v>
      </c>
      <c r="B9314">
        <v>2022</v>
      </c>
      <c r="C9314" t="s">
        <v>41</v>
      </c>
      <c r="D9314" t="s">
        <v>27</v>
      </c>
      <c r="E9314" t="e">
        <f>VLOOKUP(Cpi_[[#This Row],[Attribute]],#REF!,2,FALSE)</f>
        <v>#REF!</v>
      </c>
      <c r="F9314">
        <v>171.2</v>
      </c>
      <c r="G9314">
        <f>(Cpi_[[#This Row],[Value]]-F9313)/F9313</f>
        <v>-6.3842135809635677E-3</v>
      </c>
      <c r="H9314" t="e" cm="1" vm="1">
        <f t="array" aca="1" ref="H9314" ca="1">VLOOKUP(Cpi_[[#This Row],[Year]:[Month]],crudeoil[],3,FALSE)</f>
        <v>#VALUE!</v>
      </c>
    </row>
    <row r="9315" spans="1:8" hidden="1" x14ac:dyDescent="0.3">
      <c r="A9315" t="s">
        <v>34</v>
      </c>
      <c r="B9315">
        <v>2022</v>
      </c>
      <c r="C9315" t="s">
        <v>41</v>
      </c>
      <c r="D9315" t="s">
        <v>28</v>
      </c>
      <c r="E9315" t="e">
        <f>VLOOKUP(Cpi_[[#This Row],[Attribute]],#REF!,2,FALSE)</f>
        <v>#REF!</v>
      </c>
      <c r="F9315">
        <v>169.1</v>
      </c>
      <c r="G9315">
        <f>(Cpi_[[#This Row],[Value]]-F9314)/F9314</f>
        <v>-1.2266355140186884E-2</v>
      </c>
      <c r="H9315" t="e" cm="1" vm="1">
        <f t="array" aca="1" ref="H9315" ca="1">VLOOKUP(Cpi_[[#This Row],[Year]:[Month]],crudeoil[],3,FALSE)</f>
        <v>#VALUE!</v>
      </c>
    </row>
    <row r="9316" spans="1:8" hidden="1" x14ac:dyDescent="0.3">
      <c r="A9316" t="s">
        <v>34</v>
      </c>
      <c r="B9316">
        <v>2022</v>
      </c>
      <c r="C9316" t="s">
        <v>41</v>
      </c>
      <c r="D9316" t="s">
        <v>29</v>
      </c>
      <c r="E9316" t="e" cm="1">
        <f t="array" aca="1" ref="E9316" ca="1">VLGeneral indexGeneral indexKUP(Cpi_[[#This Row],[Attribute]],#REF!,2,FALSE)</f>
        <v>#NAME?</v>
      </c>
      <c r="F9316">
        <v>174.3</v>
      </c>
      <c r="G9316">
        <f>(Cpi_[[#This Row],[Value]]-F9315)/F9315</f>
        <v>3.0751034890597381E-2</v>
      </c>
      <c r="H9316" t="e" cm="1" vm="1">
        <f t="array" aca="1" ref="H9316" ca="1">VLOOKUP(Cpi_[[#This Row],[Year]:[Month]],crudeoil[],3,FALSE)</f>
        <v>#VALUE!</v>
      </c>
    </row>
    <row r="9317" spans="1:8" hidden="1" x14ac:dyDescent="0.3">
      <c r="A9317" t="s">
        <v>30</v>
      </c>
      <c r="B9317">
        <v>2022</v>
      </c>
      <c r="C9317" t="s">
        <v>42</v>
      </c>
      <c r="D9317" t="s">
        <v>3</v>
      </c>
      <c r="E9317" t="e">
        <f>VLOOKUP(Cpi_[[#This Row],[Attribute]],#REF!,2,FALSE)</f>
        <v>#REF!</v>
      </c>
      <c r="F9317">
        <v>162.9</v>
      </c>
      <c r="G9317">
        <f>(Cpi_[[#This Row],[Value]]-F9316)/F9316</f>
        <v>-6.5404475043029292E-2</v>
      </c>
      <c r="H9317" t="e" cm="1" vm="1">
        <f t="array" aca="1" ref="H9317" ca="1">VLOOKUP(Cpi_[[#This Row],[Year]:[Month]],crudeoil[],3,FALSE)</f>
        <v>#VALUE!</v>
      </c>
    </row>
    <row r="9318" spans="1:8" hidden="1" x14ac:dyDescent="0.3">
      <c r="A9318" t="s">
        <v>30</v>
      </c>
      <c r="B9318">
        <v>2022</v>
      </c>
      <c r="C9318" t="s">
        <v>42</v>
      </c>
      <c r="D9318" t="s">
        <v>4</v>
      </c>
      <c r="E9318" t="e">
        <f>VLOOKUP(Cpi_[[#This Row],[Attribute]],#REF!,2,FALSE)</f>
        <v>#REF!</v>
      </c>
      <c r="F9318">
        <v>206.7</v>
      </c>
      <c r="G9318">
        <f>(Cpi_[[#This Row],[Value]]-F9317)/F9317</f>
        <v>0.26887661141804775</v>
      </c>
      <c r="H9318" t="e" cm="1" vm="1">
        <f t="array" aca="1" ref="H9318" ca="1">VLOOKUP(Cpi_[[#This Row],[Year]:[Month]],crudeoil[],3,FALSE)</f>
        <v>#VALUE!</v>
      </c>
    </row>
    <row r="9319" spans="1:8" hidden="1" x14ac:dyDescent="0.3">
      <c r="A9319" t="s">
        <v>30</v>
      </c>
      <c r="B9319">
        <v>2022</v>
      </c>
      <c r="C9319" t="s">
        <v>42</v>
      </c>
      <c r="D9319" t="s">
        <v>5</v>
      </c>
      <c r="E9319" t="e">
        <f>VLOOKUP(Cpi_[[#This Row],[Attribute]],#REF!,2,FALSE)</f>
        <v>#REF!</v>
      </c>
      <c r="F9319">
        <v>169</v>
      </c>
      <c r="G9319">
        <f>(Cpi_[[#This Row],[Value]]-F9318)/F9318</f>
        <v>-0.1823899371069182</v>
      </c>
      <c r="H9319" t="e" cm="1" vm="1">
        <f t="array" aca="1" ref="H9319" ca="1">VLOOKUP(Cpi_[[#This Row],[Year]:[Month]],crudeoil[],3,FALSE)</f>
        <v>#VALUE!</v>
      </c>
    </row>
    <row r="9320" spans="1:8" hidden="1" x14ac:dyDescent="0.3">
      <c r="A9320" t="s">
        <v>30</v>
      </c>
      <c r="B9320">
        <v>2022</v>
      </c>
      <c r="C9320" t="s">
        <v>42</v>
      </c>
      <c r="D9320" t="s">
        <v>6</v>
      </c>
      <c r="E9320" t="e">
        <f>VLOOKUP(Cpi_[[#This Row],[Attribute]],#REF!,2,FALSE)</f>
        <v>#REF!</v>
      </c>
      <c r="F9320">
        <v>169.5</v>
      </c>
      <c r="G9320">
        <f>(Cpi_[[#This Row],[Value]]-F9319)/F9319</f>
        <v>2.9585798816568047E-3</v>
      </c>
      <c r="H9320" t="e" cm="1" vm="1">
        <f t="array" aca="1" ref="H9320" ca="1">VLOOKUP(Cpi_[[#This Row],[Year]:[Month]],crudeoil[],3,FALSE)</f>
        <v>#VALUE!</v>
      </c>
    </row>
    <row r="9321" spans="1:8" hidden="1" x14ac:dyDescent="0.3">
      <c r="A9321" t="s">
        <v>30</v>
      </c>
      <c r="B9321">
        <v>2022</v>
      </c>
      <c r="C9321" t="s">
        <v>42</v>
      </c>
      <c r="D9321" t="s">
        <v>7</v>
      </c>
      <c r="E9321" t="e">
        <f>VLOOKUP(Cpi_[[#This Row],[Attribute]],#REF!,2,FALSE)</f>
        <v>#REF!</v>
      </c>
      <c r="F9321">
        <v>194.1</v>
      </c>
      <c r="G9321">
        <f>(Cpi_[[#This Row],[Value]]-F9320)/F9320</f>
        <v>0.14513274336283183</v>
      </c>
      <c r="H9321" t="e" cm="1" vm="1">
        <f t="array" aca="1" ref="H9321" ca="1">VLOOKUP(Cpi_[[#This Row],[Year]:[Month]],crudeoil[],3,FALSE)</f>
        <v>#VALUE!</v>
      </c>
    </row>
    <row r="9322" spans="1:8" hidden="1" x14ac:dyDescent="0.3">
      <c r="A9322" t="s">
        <v>30</v>
      </c>
      <c r="B9322">
        <v>2022</v>
      </c>
      <c r="C9322" t="s">
        <v>42</v>
      </c>
      <c r="D9322" t="s">
        <v>8</v>
      </c>
      <c r="E9322" t="e">
        <f>VLOOKUP(Cpi_[[#This Row],[Attribute]],#REF!,2,FALSE)</f>
        <v>#REF!</v>
      </c>
      <c r="F9322">
        <v>164.1</v>
      </c>
      <c r="G9322">
        <f>(Cpi_[[#This Row],[Value]]-F9321)/F9321</f>
        <v>-0.15455950540958269</v>
      </c>
      <c r="H9322" t="e" cm="1" vm="1">
        <f t="array" aca="1" ref="H9322" ca="1">VLOOKUP(Cpi_[[#This Row],[Year]:[Month]],crudeoil[],3,FALSE)</f>
        <v>#VALUE!</v>
      </c>
    </row>
    <row r="9323" spans="1:8" hidden="1" x14ac:dyDescent="0.3">
      <c r="A9323" t="s">
        <v>30</v>
      </c>
      <c r="B9323">
        <v>2022</v>
      </c>
      <c r="C9323" t="s">
        <v>42</v>
      </c>
      <c r="D9323" t="s">
        <v>9</v>
      </c>
      <c r="E9323" t="e">
        <f>VLOOKUP(Cpi_[[#This Row],[Attribute]],#REF!,2,FALSE)</f>
        <v>#REF!</v>
      </c>
      <c r="F9323">
        <v>176.9</v>
      </c>
      <c r="G9323">
        <f>(Cpi_[[#This Row],[Value]]-F9322)/F9322</f>
        <v>7.800121876904334E-2</v>
      </c>
      <c r="H9323" t="e" cm="1" vm="1">
        <f t="array" aca="1" ref="H9323" ca="1">VLOOKUP(Cpi_[[#This Row],[Year]:[Month]],crudeoil[],3,FALSE)</f>
        <v>#VALUE!</v>
      </c>
    </row>
    <row r="9324" spans="1:8" hidden="1" x14ac:dyDescent="0.3">
      <c r="A9324" t="s">
        <v>30</v>
      </c>
      <c r="B9324">
        <v>2022</v>
      </c>
      <c r="C9324" t="s">
        <v>42</v>
      </c>
      <c r="D9324" t="s">
        <v>10</v>
      </c>
      <c r="E9324" t="e">
        <f>VLOOKUP(Cpi_[[#This Row],[Attribute]],#REF!,2,FALSE)</f>
        <v>#REF!</v>
      </c>
      <c r="F9324">
        <v>169</v>
      </c>
      <c r="G9324">
        <f>(Cpi_[[#This Row],[Value]]-F9323)/F9323</f>
        <v>-4.4657998869417778E-2</v>
      </c>
      <c r="H9324" t="e" cm="1" vm="1">
        <f t="array" aca="1" ref="H9324" ca="1">VLOOKUP(Cpi_[[#This Row],[Year]:[Month]],crudeoil[],3,FALSE)</f>
        <v>#VALUE!</v>
      </c>
    </row>
    <row r="9325" spans="1:8" hidden="1" x14ac:dyDescent="0.3">
      <c r="A9325" t="s">
        <v>30</v>
      </c>
      <c r="B9325">
        <v>2022</v>
      </c>
      <c r="C9325" t="s">
        <v>42</v>
      </c>
      <c r="D9325" t="s">
        <v>11</v>
      </c>
      <c r="E9325" t="e">
        <f>VLOOKUP(Cpi_[[#This Row],[Attribute]],#REF!,2,FALSE)</f>
        <v>#REF!</v>
      </c>
      <c r="F9325">
        <v>120.8</v>
      </c>
      <c r="G9325">
        <f>(Cpi_[[#This Row],[Value]]-F9324)/F9324</f>
        <v>-0.285207100591716</v>
      </c>
      <c r="H9325" t="e" cm="1" vm="1">
        <f t="array" aca="1" ref="H9325" ca="1">VLOOKUP(Cpi_[[#This Row],[Year]:[Month]],crudeoil[],3,FALSE)</f>
        <v>#VALUE!</v>
      </c>
    </row>
    <row r="9326" spans="1:8" hidden="1" x14ac:dyDescent="0.3">
      <c r="A9326" t="s">
        <v>30</v>
      </c>
      <c r="B9326">
        <v>2022</v>
      </c>
      <c r="C9326" t="s">
        <v>42</v>
      </c>
      <c r="D9326" t="s">
        <v>12</v>
      </c>
      <c r="E9326" t="e">
        <f>VLOOKUP(Cpi_[[#This Row],[Attribute]],#REF!,2,FALSE)</f>
        <v>#REF!</v>
      </c>
      <c r="F9326">
        <v>199.1</v>
      </c>
      <c r="G9326">
        <f>(Cpi_[[#This Row],[Value]]-F9325)/F9325</f>
        <v>0.64817880794701987</v>
      </c>
      <c r="H9326" t="e" cm="1" vm="1">
        <f t="array" aca="1" ref="H9326" ca="1">VLOOKUP(Cpi_[[#This Row],[Year]:[Month]],crudeoil[],3,FALSE)</f>
        <v>#VALUE!</v>
      </c>
    </row>
    <row r="9327" spans="1:8" hidden="1" x14ac:dyDescent="0.3">
      <c r="A9327" t="s">
        <v>30</v>
      </c>
      <c r="B9327">
        <v>2022</v>
      </c>
      <c r="C9327" t="s">
        <v>42</v>
      </c>
      <c r="D9327" t="s">
        <v>13</v>
      </c>
      <c r="E9327" t="e">
        <f>VLOOKUP(Cpi_[[#This Row],[Attribute]],#REF!,2,FALSE)</f>
        <v>#REF!</v>
      </c>
      <c r="F9327">
        <v>175.4</v>
      </c>
      <c r="G9327">
        <f>(Cpi_[[#This Row],[Value]]-F9326)/F9326</f>
        <v>-0.11903566047212451</v>
      </c>
      <c r="H9327" t="e" cm="1" vm="1">
        <f t="array" aca="1" ref="H9327" ca="1">VLOOKUP(Cpi_[[#This Row],[Year]:[Month]],crudeoil[],3,FALSE)</f>
        <v>#VALUE!</v>
      </c>
    </row>
    <row r="9328" spans="1:8" hidden="1" x14ac:dyDescent="0.3">
      <c r="A9328" t="s">
        <v>30</v>
      </c>
      <c r="B9328">
        <v>2022</v>
      </c>
      <c r="C9328" t="s">
        <v>42</v>
      </c>
      <c r="D9328" t="s">
        <v>14</v>
      </c>
      <c r="E9328" t="e">
        <f>VLOOKUP(Cpi_[[#This Row],[Attribute]],#REF!,2,FALSE)</f>
        <v>#REF!</v>
      </c>
      <c r="F9328">
        <v>184.8</v>
      </c>
      <c r="G9328">
        <f>(Cpi_[[#This Row],[Value]]-F9327)/F9327</f>
        <v>5.3591790193842678E-2</v>
      </c>
      <c r="H9328" t="e" cm="1" vm="1">
        <f t="array" aca="1" ref="H9328" ca="1">VLOOKUP(Cpi_[[#This Row],[Year]:[Month]],crudeoil[],3,FALSE)</f>
        <v>#VALUE!</v>
      </c>
    </row>
    <row r="9329" spans="1:8" hidden="1" x14ac:dyDescent="0.3">
      <c r="A9329" t="s">
        <v>30</v>
      </c>
      <c r="B9329">
        <v>2022</v>
      </c>
      <c r="C9329" t="s">
        <v>42</v>
      </c>
      <c r="D9329" t="s">
        <v>15</v>
      </c>
      <c r="E9329" t="e">
        <f>VLOOKUP(Cpi_[[#This Row],[Attribute]],#REF!,2,FALSE)</f>
        <v>#REF!</v>
      </c>
      <c r="F9329">
        <v>175.5</v>
      </c>
      <c r="G9329">
        <f>(Cpi_[[#This Row],[Value]]-F9328)/F9328</f>
        <v>-5.0324675324675383E-2</v>
      </c>
      <c r="H9329" t="e" cm="1" vm="1">
        <f t="array" aca="1" ref="H9329" ca="1">VLOOKUP(Cpi_[[#This Row],[Year]:[Month]],crudeoil[],3,FALSE)</f>
        <v>#VALUE!</v>
      </c>
    </row>
    <row r="9330" spans="1:8" hidden="1" x14ac:dyDescent="0.3">
      <c r="A9330" t="s">
        <v>30</v>
      </c>
      <c r="B9330">
        <v>2022</v>
      </c>
      <c r="C9330" t="s">
        <v>42</v>
      </c>
      <c r="D9330" t="s">
        <v>16</v>
      </c>
      <c r="E9330" t="e">
        <f>VLOOKUP(Cpi_[[#This Row],[Attribute]],#REF!,2,FALSE)</f>
        <v>#REF!</v>
      </c>
      <c r="F9330">
        <v>194.5</v>
      </c>
      <c r="G9330">
        <f>(Cpi_[[#This Row],[Value]]-F9329)/F9329</f>
        <v>0.10826210826210826</v>
      </c>
      <c r="H9330" t="e" cm="1" vm="1">
        <f t="array" aca="1" ref="H9330" ca="1">VLOOKUP(Cpi_[[#This Row],[Year]:[Month]],crudeoil[],3,FALSE)</f>
        <v>#VALUE!</v>
      </c>
    </row>
    <row r="9331" spans="1:8" hidden="1" x14ac:dyDescent="0.3">
      <c r="A9331" t="s">
        <v>30</v>
      </c>
      <c r="B9331">
        <v>2022</v>
      </c>
      <c r="C9331" t="s">
        <v>42</v>
      </c>
      <c r="D9331" t="s">
        <v>17</v>
      </c>
      <c r="E9331" t="e">
        <f>VLOOKUP(Cpi_[[#This Row],[Attribute]],#REF!,2,FALSE)</f>
        <v>#REF!</v>
      </c>
      <c r="F9331">
        <v>184.7</v>
      </c>
      <c r="G9331">
        <f>(Cpi_[[#This Row],[Value]]-F9330)/F9330</f>
        <v>-5.0385604113110598E-2</v>
      </c>
      <c r="H9331" t="e" cm="1" vm="1">
        <f t="array" aca="1" ref="H9331" ca="1">VLOOKUP(Cpi_[[#This Row],[Year]:[Month]],crudeoil[],3,FALSE)</f>
        <v>#VALUE!</v>
      </c>
    </row>
    <row r="9332" spans="1:8" hidden="1" x14ac:dyDescent="0.3">
      <c r="A9332" t="s">
        <v>30</v>
      </c>
      <c r="B9332">
        <v>2022</v>
      </c>
      <c r="C9332" t="s">
        <v>42</v>
      </c>
      <c r="D9332" t="s">
        <v>18</v>
      </c>
      <c r="E9332" t="e">
        <f>VLOOKUP(Cpi_[[#This Row],[Attribute]],#REF!,2,FALSE)</f>
        <v>#REF!</v>
      </c>
      <c r="F9332">
        <v>183.3</v>
      </c>
      <c r="G9332">
        <f>(Cpi_[[#This Row],[Value]]-F9331)/F9331</f>
        <v>-7.5798592311855841E-3</v>
      </c>
      <c r="H9332" t="e" cm="1" vm="1">
        <f t="array" aca="1" ref="H9332" ca="1">VLOOKUP(Cpi_[[#This Row],[Year]:[Month]],crudeoil[],3,FALSE)</f>
        <v>#VALUE!</v>
      </c>
    </row>
    <row r="9333" spans="1:8" hidden="1" x14ac:dyDescent="0.3">
      <c r="A9333" t="s">
        <v>30</v>
      </c>
      <c r="B9333">
        <v>2022</v>
      </c>
      <c r="C9333" t="s">
        <v>42</v>
      </c>
      <c r="D9333" t="s">
        <v>19</v>
      </c>
      <c r="E9333" t="e">
        <f>VLOOKUP(Cpi_[[#This Row],[Attribute]],#REF!,2,FALSE)</f>
        <v>#REF!</v>
      </c>
      <c r="F9333">
        <v>184.5</v>
      </c>
      <c r="G9333">
        <f>(Cpi_[[#This Row],[Value]]-F9332)/F9332</f>
        <v>6.5466448445171228E-3</v>
      </c>
      <c r="H9333" t="e" cm="1" vm="1">
        <f t="array" aca="1" ref="H9333" ca="1">VLOOKUP(Cpi_[[#This Row],[Year]:[Month]],crudeoil[],3,FALSE)</f>
        <v>#VALUE!</v>
      </c>
    </row>
    <row r="9334" spans="1:8" hidden="1" x14ac:dyDescent="0.3">
      <c r="A9334" t="s">
        <v>30</v>
      </c>
      <c r="B9334">
        <v>2022</v>
      </c>
      <c r="C9334" t="s">
        <v>42</v>
      </c>
      <c r="D9334" t="s">
        <v>20</v>
      </c>
      <c r="E9334" t="e">
        <f>VLOOKUP(Cpi_[[#This Row],[Attribute]],#REF!,2,FALSE)</f>
        <v>#REF!</v>
      </c>
      <c r="F9334" t="s">
        <v>32</v>
      </c>
      <c r="G9334" t="e">
        <f>(Cpi_[[#This Row],[Value]]-F9333)/F9333</f>
        <v>#VALUE!</v>
      </c>
      <c r="H9334" t="e" cm="1" vm="1">
        <f t="array" aca="1" ref="H9334" ca="1">VLOOKUP(Cpi_[[#This Row],[Year]:[Month]],crudeoil[],3,FALSE)</f>
        <v>#VALUE!</v>
      </c>
    </row>
    <row r="9335" spans="1:8" hidden="1" x14ac:dyDescent="0.3">
      <c r="A9335" t="s">
        <v>30</v>
      </c>
      <c r="B9335">
        <v>2022</v>
      </c>
      <c r="C9335" t="s">
        <v>42</v>
      </c>
      <c r="D9335" t="s">
        <v>21</v>
      </c>
      <c r="E9335" t="e">
        <f>VLOOKUP(Cpi_[[#This Row],[Attribute]],#REF!,2,FALSE)</f>
        <v>#REF!</v>
      </c>
      <c r="F9335">
        <v>179.7</v>
      </c>
      <c r="G9335" t="e">
        <f>(Cpi_[[#This Row],[Value]]-F9334)/F9334</f>
        <v>#VALUE!</v>
      </c>
      <c r="H9335" t="e" cm="1" vm="1">
        <f t="array" aca="1" ref="H9335" ca="1">VLOOKUP(Cpi_[[#This Row],[Year]:[Month]],crudeoil[],3,FALSE)</f>
        <v>#VALUE!</v>
      </c>
    </row>
    <row r="9336" spans="1:8" hidden="1" x14ac:dyDescent="0.3">
      <c r="A9336" t="s">
        <v>30</v>
      </c>
      <c r="B9336">
        <v>2022</v>
      </c>
      <c r="C9336" t="s">
        <v>42</v>
      </c>
      <c r="D9336" t="s">
        <v>22</v>
      </c>
      <c r="E9336" t="e">
        <f>VLOOKUP(Cpi_[[#This Row],[Attribute]],#REF!,2,FALSE)</f>
        <v>#REF!</v>
      </c>
      <c r="F9336">
        <v>173.6</v>
      </c>
      <c r="G9336">
        <f>(Cpi_[[#This Row],[Value]]-F9335)/F9335</f>
        <v>-3.3945464663327742E-2</v>
      </c>
      <c r="H9336" t="e" cm="1" vm="1">
        <f t="array" aca="1" ref="H9336" ca="1">VLOOKUP(Cpi_[[#This Row],[Year]:[Month]],crudeoil[],3,FALSE)</f>
        <v>#VALUE!</v>
      </c>
    </row>
    <row r="9337" spans="1:8" hidden="1" x14ac:dyDescent="0.3">
      <c r="A9337" t="s">
        <v>30</v>
      </c>
      <c r="B9337">
        <v>2022</v>
      </c>
      <c r="C9337" t="s">
        <v>42</v>
      </c>
      <c r="D9337" t="s">
        <v>23</v>
      </c>
      <c r="E9337" t="e">
        <f>VLOOKUP(Cpi_[[#This Row],[Attribute]],#REF!,2,FALSE)</f>
        <v>#REF!</v>
      </c>
      <c r="F9337">
        <v>180.2</v>
      </c>
      <c r="G9337">
        <f>(Cpi_[[#This Row],[Value]]-F9336)/F9336</f>
        <v>3.801843317972347E-2</v>
      </c>
      <c r="H9337" t="e" cm="1" vm="1">
        <f t="array" aca="1" ref="H9337" ca="1">VLOOKUP(Cpi_[[#This Row],[Year]:[Month]],crudeoil[],3,FALSE)</f>
        <v>#VALUE!</v>
      </c>
    </row>
    <row r="9338" spans="1:8" hidden="1" x14ac:dyDescent="0.3">
      <c r="A9338" t="s">
        <v>30</v>
      </c>
      <c r="B9338">
        <v>2022</v>
      </c>
      <c r="C9338" t="s">
        <v>42</v>
      </c>
      <c r="D9338" t="s">
        <v>24</v>
      </c>
      <c r="E9338" t="e">
        <f>VLOOKUP(Cpi_[[#This Row],[Attribute]],#REF!,2,FALSE)</f>
        <v>#REF!</v>
      </c>
      <c r="F9338">
        <v>166.9</v>
      </c>
      <c r="G9338">
        <f>(Cpi_[[#This Row],[Value]]-F9337)/F9337</f>
        <v>-7.3806881243063172E-2</v>
      </c>
      <c r="H9338" t="e" cm="1" vm="1">
        <f t="array" aca="1" ref="H9338" ca="1">VLOOKUP(Cpi_[[#This Row],[Year]:[Month]],crudeoil[],3,FALSE)</f>
        <v>#VALUE!</v>
      </c>
    </row>
    <row r="9339" spans="1:8" hidden="1" x14ac:dyDescent="0.3">
      <c r="A9339" t="s">
        <v>30</v>
      </c>
      <c r="B9339">
        <v>2022</v>
      </c>
      <c r="C9339" t="s">
        <v>42</v>
      </c>
      <c r="D9339" t="s">
        <v>25</v>
      </c>
      <c r="E9339" t="e">
        <f>VLOOKUP(Cpi_[[#This Row],[Attribute]],#REF!,2,FALSE)</f>
        <v>#REF!</v>
      </c>
      <c r="F9339">
        <v>170</v>
      </c>
      <c r="G9339">
        <f>(Cpi_[[#This Row],[Value]]-F9338)/F9338</f>
        <v>1.8573996405032919E-2</v>
      </c>
      <c r="H9339" t="e" cm="1" vm="1">
        <f t="array" aca="1" ref="H9339" ca="1">VLOOKUP(Cpi_[[#This Row],[Year]:[Month]],crudeoil[],3,FALSE)</f>
        <v>#VALUE!</v>
      </c>
    </row>
    <row r="9340" spans="1:8" hidden="1" x14ac:dyDescent="0.3">
      <c r="A9340" t="s">
        <v>30</v>
      </c>
      <c r="B9340">
        <v>2022</v>
      </c>
      <c r="C9340" t="s">
        <v>42</v>
      </c>
      <c r="D9340" t="s">
        <v>26</v>
      </c>
      <c r="E9340" t="e">
        <f>VLOOKUP(Cpi_[[#This Row],[Attribute]],#REF!,2,FALSE)</f>
        <v>#REF!</v>
      </c>
      <c r="F9340">
        <v>176.2</v>
      </c>
      <c r="G9340">
        <f>(Cpi_[[#This Row],[Value]]-F9339)/F9339</f>
        <v>3.6470588235294053E-2</v>
      </c>
      <c r="H9340" t="e" cm="1" vm="1">
        <f t="array" aca="1" ref="H9340" ca="1">VLOOKUP(Cpi_[[#This Row],[Year]:[Month]],crudeoil[],3,FALSE)</f>
        <v>#VALUE!</v>
      </c>
    </row>
    <row r="9341" spans="1:8" hidden="1" x14ac:dyDescent="0.3">
      <c r="A9341" t="s">
        <v>30</v>
      </c>
      <c r="B9341">
        <v>2022</v>
      </c>
      <c r="C9341" t="s">
        <v>42</v>
      </c>
      <c r="D9341" t="s">
        <v>27</v>
      </c>
      <c r="E9341" t="e">
        <f>VLOOKUP(Cpi_[[#This Row],[Attribute]],#REF!,2,FALSE)</f>
        <v>#REF!</v>
      </c>
      <c r="F9341">
        <v>170.8</v>
      </c>
      <c r="G9341">
        <f>(Cpi_[[#This Row],[Value]]-F9340)/F9340</f>
        <v>-3.0646992054483416E-2</v>
      </c>
      <c r="H9341" t="e" cm="1" vm="1">
        <f t="array" aca="1" ref="H9341" ca="1">VLOOKUP(Cpi_[[#This Row],[Year]:[Month]],crudeoil[],3,FALSE)</f>
        <v>#VALUE!</v>
      </c>
    </row>
    <row r="9342" spans="1:8" hidden="1" x14ac:dyDescent="0.3">
      <c r="A9342" t="s">
        <v>30</v>
      </c>
      <c r="B9342">
        <v>2022</v>
      </c>
      <c r="C9342" t="s">
        <v>42</v>
      </c>
      <c r="D9342" t="s">
        <v>28</v>
      </c>
      <c r="E9342" t="e">
        <f>VLOOKUP(Cpi_[[#This Row],[Attribute]],#REF!,2,FALSE)</f>
        <v>#REF!</v>
      </c>
      <c r="F9342">
        <v>173.1</v>
      </c>
      <c r="G9342">
        <f>(Cpi_[[#This Row],[Value]]-F9341)/F9341</f>
        <v>1.3466042154566643E-2</v>
      </c>
      <c r="H9342" t="e" cm="1" vm="1">
        <f t="array" aca="1" ref="H9342" ca="1">VLOOKUP(Cpi_[[#This Row],[Year]:[Month]],crudeoil[],3,FALSE)</f>
        <v>#VALUE!</v>
      </c>
    </row>
    <row r="9343" spans="1:8" hidden="1" x14ac:dyDescent="0.3">
      <c r="A9343" t="s">
        <v>30</v>
      </c>
      <c r="B9343">
        <v>2022</v>
      </c>
      <c r="C9343" t="s">
        <v>42</v>
      </c>
      <c r="D9343" t="s">
        <v>29</v>
      </c>
      <c r="E9343" t="e" cm="1">
        <f t="array" aca="1" ref="E9343" ca="1">VLGeneral indexGeneral indexKUP(Cpi_[[#This Row],[Attribute]],#REF!,2,FALSE)</f>
        <v>#NAME?</v>
      </c>
      <c r="F9343">
        <v>176.4</v>
      </c>
      <c r="G9343">
        <f>(Cpi_[[#This Row],[Value]]-F9342)/F9342</f>
        <v>1.9064124783362283E-2</v>
      </c>
      <c r="H9343" t="e" cm="1" vm="1">
        <f t="array" aca="1" ref="H9343" ca="1">VLOOKUP(Cpi_[[#This Row],[Year]:[Month]],crudeoil[],3,FALSE)</f>
        <v>#VALUE!</v>
      </c>
    </row>
    <row r="9344" spans="1:8" hidden="1" x14ac:dyDescent="0.3">
      <c r="A9344" t="s">
        <v>33</v>
      </c>
      <c r="B9344">
        <v>2022</v>
      </c>
      <c r="C9344" t="s">
        <v>42</v>
      </c>
      <c r="D9344" t="s">
        <v>3</v>
      </c>
      <c r="E9344" t="e">
        <f>VLOOKUP(Cpi_[[#This Row],[Attribute]],#REF!,2,FALSE)</f>
        <v>#REF!</v>
      </c>
      <c r="F9344">
        <v>164.9</v>
      </c>
      <c r="G9344">
        <f>(Cpi_[[#This Row],[Value]]-F9343)/F9343</f>
        <v>-6.5192743764172334E-2</v>
      </c>
      <c r="H9344" t="e" cm="1" vm="1">
        <f t="array" aca="1" ref="H9344" ca="1">VLOOKUP(Cpi_[[#This Row],[Year]:[Month]],crudeoil[],3,FALSE)</f>
        <v>#VALUE!</v>
      </c>
    </row>
    <row r="9345" spans="1:8" hidden="1" x14ac:dyDescent="0.3">
      <c r="A9345" t="s">
        <v>33</v>
      </c>
      <c r="B9345">
        <v>2022</v>
      </c>
      <c r="C9345" t="s">
        <v>42</v>
      </c>
      <c r="D9345" t="s">
        <v>4</v>
      </c>
      <c r="E9345" t="e">
        <f>VLOOKUP(Cpi_[[#This Row],[Attribute]],#REF!,2,FALSE)</f>
        <v>#REF!</v>
      </c>
      <c r="F9345">
        <v>213.7</v>
      </c>
      <c r="G9345">
        <f>(Cpi_[[#This Row],[Value]]-F9344)/F9344</f>
        <v>0.29593693147362027</v>
      </c>
      <c r="H9345" t="e" cm="1" vm="1">
        <f t="array" aca="1" ref="H9345" ca="1">VLOOKUP(Cpi_[[#This Row],[Year]:[Month]],crudeoil[],3,FALSE)</f>
        <v>#VALUE!</v>
      </c>
    </row>
    <row r="9346" spans="1:8" hidden="1" x14ac:dyDescent="0.3">
      <c r="A9346" t="s">
        <v>33</v>
      </c>
      <c r="B9346">
        <v>2022</v>
      </c>
      <c r="C9346" t="s">
        <v>42</v>
      </c>
      <c r="D9346" t="s">
        <v>5</v>
      </c>
      <c r="E9346" t="e">
        <f>VLOOKUP(Cpi_[[#This Row],[Attribute]],#REF!,2,FALSE)</f>
        <v>#REF!</v>
      </c>
      <c r="F9346">
        <v>170.9</v>
      </c>
      <c r="G9346">
        <f>(Cpi_[[#This Row],[Value]]-F9345)/F9345</f>
        <v>-0.20028076743097795</v>
      </c>
      <c r="H9346" t="e" cm="1" vm="1">
        <f t="array" aca="1" ref="H9346" ca="1">VLOOKUP(Cpi_[[#This Row],[Year]:[Month]],crudeoil[],3,FALSE)</f>
        <v>#VALUE!</v>
      </c>
    </row>
    <row r="9347" spans="1:8" hidden="1" x14ac:dyDescent="0.3">
      <c r="A9347" t="s">
        <v>33</v>
      </c>
      <c r="B9347">
        <v>2022</v>
      </c>
      <c r="C9347" t="s">
        <v>42</v>
      </c>
      <c r="D9347" t="s">
        <v>6</v>
      </c>
      <c r="E9347" t="e">
        <f>VLOOKUP(Cpi_[[#This Row],[Attribute]],#REF!,2,FALSE)</f>
        <v>#REF!</v>
      </c>
      <c r="F9347">
        <v>170.1</v>
      </c>
      <c r="G9347">
        <f>(Cpi_[[#This Row],[Value]]-F9346)/F9346</f>
        <v>-4.6811000585138167E-3</v>
      </c>
      <c r="H9347" t="e" cm="1" vm="1">
        <f t="array" aca="1" ref="H9347" ca="1">VLOOKUP(Cpi_[[#This Row],[Year]:[Month]],crudeoil[],3,FALSE)</f>
        <v>#VALUE!</v>
      </c>
    </row>
    <row r="9348" spans="1:8" hidden="1" x14ac:dyDescent="0.3">
      <c r="A9348" t="s">
        <v>33</v>
      </c>
      <c r="B9348">
        <v>2022</v>
      </c>
      <c r="C9348" t="s">
        <v>42</v>
      </c>
      <c r="D9348" t="s">
        <v>7</v>
      </c>
      <c r="E9348" t="e">
        <f>VLOOKUP(Cpi_[[#This Row],[Attribute]],#REF!,2,FALSE)</f>
        <v>#REF!</v>
      </c>
      <c r="F9348">
        <v>179.3</v>
      </c>
      <c r="G9348">
        <f>(Cpi_[[#This Row],[Value]]-F9347)/F9347</f>
        <v>5.408583186360974E-2</v>
      </c>
      <c r="H9348" t="e" cm="1" vm="1">
        <f t="array" aca="1" ref="H9348" ca="1">VLOOKUP(Cpi_[[#This Row],[Year]:[Month]],crudeoil[],3,FALSE)</f>
        <v>#VALUE!</v>
      </c>
    </row>
    <row r="9349" spans="1:8" hidden="1" x14ac:dyDescent="0.3">
      <c r="A9349" t="s">
        <v>33</v>
      </c>
      <c r="B9349">
        <v>2022</v>
      </c>
      <c r="C9349" t="s">
        <v>42</v>
      </c>
      <c r="D9349" t="s">
        <v>8</v>
      </c>
      <c r="E9349" t="e">
        <f>VLOOKUP(Cpi_[[#This Row],[Attribute]],#REF!,2,FALSE)</f>
        <v>#REF!</v>
      </c>
      <c r="F9349">
        <v>167.5</v>
      </c>
      <c r="G9349">
        <f>(Cpi_[[#This Row],[Value]]-F9348)/F9348</f>
        <v>-6.5811489124372624E-2</v>
      </c>
      <c r="H9349" t="e" cm="1" vm="1">
        <f t="array" aca="1" ref="H9349" ca="1">VLOOKUP(Cpi_[[#This Row],[Year]:[Month]],crudeoil[],3,FALSE)</f>
        <v>#VALUE!</v>
      </c>
    </row>
    <row r="9350" spans="1:8" hidden="1" x14ac:dyDescent="0.3">
      <c r="A9350" t="s">
        <v>33</v>
      </c>
      <c r="B9350">
        <v>2022</v>
      </c>
      <c r="C9350" t="s">
        <v>42</v>
      </c>
      <c r="D9350" t="s">
        <v>9</v>
      </c>
      <c r="E9350" t="e">
        <f>VLOOKUP(Cpi_[[#This Row],[Attribute]],#REF!,2,FALSE)</f>
        <v>#REF!</v>
      </c>
      <c r="F9350">
        <v>220.8</v>
      </c>
      <c r="G9350">
        <f>(Cpi_[[#This Row],[Value]]-F9349)/F9349</f>
        <v>0.31820895522388065</v>
      </c>
      <c r="H9350" t="e" cm="1" vm="1">
        <f t="array" aca="1" ref="H9350" ca="1">VLOOKUP(Cpi_[[#This Row],[Year]:[Month]],crudeoil[],3,FALSE)</f>
        <v>#VALUE!</v>
      </c>
    </row>
    <row r="9351" spans="1:8" hidden="1" x14ac:dyDescent="0.3">
      <c r="A9351" t="s">
        <v>33</v>
      </c>
      <c r="B9351">
        <v>2022</v>
      </c>
      <c r="C9351" t="s">
        <v>42</v>
      </c>
      <c r="D9351" t="s">
        <v>10</v>
      </c>
      <c r="E9351" t="e">
        <f>VLOOKUP(Cpi_[[#This Row],[Attribute]],#REF!,2,FALSE)</f>
        <v>#REF!</v>
      </c>
      <c r="F9351">
        <v>169.2</v>
      </c>
      <c r="G9351">
        <f>(Cpi_[[#This Row],[Value]]-F9350)/F9350</f>
        <v>-0.23369565217391314</v>
      </c>
      <c r="H9351" t="e" cm="1" vm="1">
        <f t="array" aca="1" ref="H9351" ca="1">VLOOKUP(Cpi_[[#This Row],[Year]:[Month]],crudeoil[],3,FALSE)</f>
        <v>#VALUE!</v>
      </c>
    </row>
    <row r="9352" spans="1:8" hidden="1" x14ac:dyDescent="0.3">
      <c r="A9352" t="s">
        <v>33</v>
      </c>
      <c r="B9352">
        <v>2022</v>
      </c>
      <c r="C9352" t="s">
        <v>42</v>
      </c>
      <c r="D9352" t="s">
        <v>11</v>
      </c>
      <c r="E9352" t="e">
        <f>VLOOKUP(Cpi_[[#This Row],[Attribute]],#REF!,2,FALSE)</f>
        <v>#REF!</v>
      </c>
      <c r="F9352">
        <v>123.1</v>
      </c>
      <c r="G9352">
        <f>(Cpi_[[#This Row],[Value]]-F9351)/F9351</f>
        <v>-0.27245862884160754</v>
      </c>
      <c r="H9352" t="e" cm="1" vm="1">
        <f t="array" aca="1" ref="H9352" ca="1">VLOOKUP(Cpi_[[#This Row],[Year]:[Month]],crudeoil[],3,FALSE)</f>
        <v>#VALUE!</v>
      </c>
    </row>
    <row r="9353" spans="1:8" hidden="1" x14ac:dyDescent="0.3">
      <c r="A9353" t="s">
        <v>33</v>
      </c>
      <c r="B9353">
        <v>2022</v>
      </c>
      <c r="C9353" t="s">
        <v>42</v>
      </c>
      <c r="D9353" t="s">
        <v>12</v>
      </c>
      <c r="E9353" t="e">
        <f>VLOOKUP(Cpi_[[#This Row],[Attribute]],#REF!,2,FALSE)</f>
        <v>#REF!</v>
      </c>
      <c r="F9353">
        <v>193.6</v>
      </c>
      <c r="G9353">
        <f>(Cpi_[[#This Row],[Value]]-F9352)/F9352</f>
        <v>0.57270511779041433</v>
      </c>
      <c r="H9353" t="e" cm="1" vm="1">
        <f t="array" aca="1" ref="H9353" ca="1">VLOOKUP(Cpi_[[#This Row],[Year]:[Month]],crudeoil[],3,FALSE)</f>
        <v>#VALUE!</v>
      </c>
    </row>
    <row r="9354" spans="1:8" hidden="1" x14ac:dyDescent="0.3">
      <c r="A9354" t="s">
        <v>33</v>
      </c>
      <c r="B9354">
        <v>2022</v>
      </c>
      <c r="C9354" t="s">
        <v>42</v>
      </c>
      <c r="D9354" t="s">
        <v>13</v>
      </c>
      <c r="E9354" t="e">
        <f>VLOOKUP(Cpi_[[#This Row],[Attribute]],#REF!,2,FALSE)</f>
        <v>#REF!</v>
      </c>
      <c r="F9354">
        <v>161.1</v>
      </c>
      <c r="G9354">
        <f>(Cpi_[[#This Row],[Value]]-F9353)/F9353</f>
        <v>-0.16787190082644629</v>
      </c>
      <c r="H9354" t="e" cm="1" vm="1">
        <f t="array" aca="1" ref="H9354" ca="1">VLOOKUP(Cpi_[[#This Row],[Year]:[Month]],crudeoil[],3,FALSE)</f>
        <v>#VALUE!</v>
      </c>
    </row>
    <row r="9355" spans="1:8" hidden="1" x14ac:dyDescent="0.3">
      <c r="A9355" t="s">
        <v>33</v>
      </c>
      <c r="B9355">
        <v>2022</v>
      </c>
      <c r="C9355" t="s">
        <v>42</v>
      </c>
      <c r="D9355" t="s">
        <v>14</v>
      </c>
      <c r="E9355" t="e">
        <f>VLOOKUP(Cpi_[[#This Row],[Attribute]],#REF!,2,FALSE)</f>
        <v>#REF!</v>
      </c>
      <c r="F9355">
        <v>190.4</v>
      </c>
      <c r="G9355">
        <f>(Cpi_[[#This Row],[Value]]-F9354)/F9354</f>
        <v>0.18187461204220989</v>
      </c>
      <c r="H9355" t="e" cm="1" vm="1">
        <f t="array" aca="1" ref="H9355" ca="1">VLOOKUP(Cpi_[[#This Row],[Year]:[Month]],crudeoil[],3,FALSE)</f>
        <v>#VALUE!</v>
      </c>
    </row>
    <row r="9356" spans="1:8" hidden="1" x14ac:dyDescent="0.3">
      <c r="A9356" t="s">
        <v>33</v>
      </c>
      <c r="B9356">
        <v>2022</v>
      </c>
      <c r="C9356" t="s">
        <v>42</v>
      </c>
      <c r="D9356" t="s">
        <v>15</v>
      </c>
      <c r="E9356" t="e">
        <f>VLOOKUP(Cpi_[[#This Row],[Attribute]],#REF!,2,FALSE)</f>
        <v>#REF!</v>
      </c>
      <c r="F9356">
        <v>181.8</v>
      </c>
      <c r="G9356">
        <f>(Cpi_[[#This Row],[Value]]-F9355)/F9355</f>
        <v>-4.5168067226890728E-2</v>
      </c>
      <c r="H9356" t="e" cm="1" vm="1">
        <f t="array" aca="1" ref="H9356" ca="1">VLOOKUP(Cpi_[[#This Row],[Year]:[Month]],crudeoil[],3,FALSE)</f>
        <v>#VALUE!</v>
      </c>
    </row>
    <row r="9357" spans="1:8" hidden="1" x14ac:dyDescent="0.3">
      <c r="A9357" t="s">
        <v>33</v>
      </c>
      <c r="B9357">
        <v>2022</v>
      </c>
      <c r="C9357" t="s">
        <v>42</v>
      </c>
      <c r="D9357" t="s">
        <v>16</v>
      </c>
      <c r="E9357" t="e">
        <f>VLOOKUP(Cpi_[[#This Row],[Attribute]],#REF!,2,FALSE)</f>
        <v>#REF!</v>
      </c>
      <c r="F9357">
        <v>199.7</v>
      </c>
      <c r="G9357">
        <f>(Cpi_[[#This Row],[Value]]-F9356)/F9356</f>
        <v>9.8459845984598324E-2</v>
      </c>
      <c r="H9357" t="e" cm="1" vm="1">
        <f t="array" aca="1" ref="H9357" ca="1">VLOOKUP(Cpi_[[#This Row],[Year]:[Month]],crudeoil[],3,FALSE)</f>
        <v>#VALUE!</v>
      </c>
    </row>
    <row r="9358" spans="1:8" hidden="1" x14ac:dyDescent="0.3">
      <c r="A9358" t="s">
        <v>33</v>
      </c>
      <c r="B9358">
        <v>2022</v>
      </c>
      <c r="C9358" t="s">
        <v>42</v>
      </c>
      <c r="D9358" t="s">
        <v>17</v>
      </c>
      <c r="E9358" t="e">
        <f>VLOOKUP(Cpi_[[#This Row],[Attribute]],#REF!,2,FALSE)</f>
        <v>#REF!</v>
      </c>
      <c r="F9358">
        <v>175</v>
      </c>
      <c r="G9358">
        <f>(Cpi_[[#This Row],[Value]]-F9357)/F9357</f>
        <v>-0.1236855282924386</v>
      </c>
      <c r="H9358" t="e" cm="1" vm="1">
        <f t="array" aca="1" ref="H9358" ca="1">VLOOKUP(Cpi_[[#This Row],[Year]:[Month]],crudeoil[],3,FALSE)</f>
        <v>#VALUE!</v>
      </c>
    </row>
    <row r="9359" spans="1:8" hidden="1" x14ac:dyDescent="0.3">
      <c r="A9359" t="s">
        <v>33</v>
      </c>
      <c r="B9359">
        <v>2022</v>
      </c>
      <c r="C9359" t="s">
        <v>42</v>
      </c>
      <c r="D9359" t="s">
        <v>18</v>
      </c>
      <c r="E9359" t="e">
        <f>VLOOKUP(Cpi_[[#This Row],[Attribute]],#REF!,2,FALSE)</f>
        <v>#REF!</v>
      </c>
      <c r="F9359">
        <v>161.69999999999999</v>
      </c>
      <c r="G9359">
        <f>(Cpi_[[#This Row],[Value]]-F9358)/F9358</f>
        <v>-7.6000000000000068E-2</v>
      </c>
      <c r="H9359" t="e" cm="1" vm="1">
        <f t="array" aca="1" ref="H9359" ca="1">VLOOKUP(Cpi_[[#This Row],[Year]:[Month]],crudeoil[],3,FALSE)</f>
        <v>#VALUE!</v>
      </c>
    </row>
    <row r="9360" spans="1:8" hidden="1" x14ac:dyDescent="0.3">
      <c r="A9360" t="s">
        <v>33</v>
      </c>
      <c r="B9360">
        <v>2022</v>
      </c>
      <c r="C9360" t="s">
        <v>42</v>
      </c>
      <c r="D9360" t="s">
        <v>19</v>
      </c>
      <c r="E9360" t="e">
        <f>VLOOKUP(Cpi_[[#This Row],[Attribute]],#REF!,2,FALSE)</f>
        <v>#REF!</v>
      </c>
      <c r="F9360">
        <v>173</v>
      </c>
      <c r="G9360">
        <f>(Cpi_[[#This Row],[Value]]-F9359)/F9359</f>
        <v>6.9882498453927105E-2</v>
      </c>
      <c r="H9360" t="e" cm="1" vm="1">
        <f t="array" aca="1" ref="H9360" ca="1">VLOOKUP(Cpi_[[#This Row],[Year]:[Month]],crudeoil[],3,FALSE)</f>
        <v>#VALUE!</v>
      </c>
    </row>
    <row r="9361" spans="1:10" hidden="1" x14ac:dyDescent="0.3">
      <c r="A9361" t="s">
        <v>33</v>
      </c>
      <c r="B9361">
        <v>2022</v>
      </c>
      <c r="C9361" t="s">
        <v>42</v>
      </c>
      <c r="D9361" t="s">
        <v>20</v>
      </c>
      <c r="E9361" t="e">
        <f>VLOOKUP(Cpi_[[#This Row],[Attribute]],#REF!,2,FALSE)</f>
        <v>#REF!</v>
      </c>
      <c r="F9361">
        <v>169.5</v>
      </c>
      <c r="G9361">
        <f>(Cpi_[[#This Row],[Value]]-F9360)/F9360</f>
        <v>-2.023121387283237E-2</v>
      </c>
      <c r="H9361" t="e" cm="1" vm="1">
        <f t="array" aca="1" ref="H9361" ca="1">VLOOKUP(Cpi_[[#This Row],[Year]:[Month]],crudeoil[],3,FALSE)</f>
        <v>#VALUE!</v>
      </c>
    </row>
    <row r="9362" spans="1:10" hidden="1" x14ac:dyDescent="0.3">
      <c r="A9362" t="s">
        <v>33</v>
      </c>
      <c r="B9362">
        <v>2022</v>
      </c>
      <c r="C9362" t="s">
        <v>42</v>
      </c>
      <c r="D9362" t="s">
        <v>21</v>
      </c>
      <c r="E9362" t="e">
        <f>VLOOKUP(Cpi_[[#This Row],[Attribute]],#REF!,2,FALSE)</f>
        <v>#REF!</v>
      </c>
      <c r="F9362">
        <v>179.2</v>
      </c>
      <c r="G9362">
        <f>(Cpi_[[#This Row],[Value]]-F9361)/F9361</f>
        <v>5.7227138643067776E-2</v>
      </c>
      <c r="H9362" t="e" cm="1" vm="1">
        <f t="array" aca="1" ref="H9362" ca="1">VLOOKUP(Cpi_[[#This Row],[Year]:[Month]],crudeoil[],3,FALSE)</f>
        <v>#VALUE!</v>
      </c>
    </row>
    <row r="9363" spans="1:10" hidden="1" x14ac:dyDescent="0.3">
      <c r="A9363" t="s">
        <v>33</v>
      </c>
      <c r="B9363">
        <v>2022</v>
      </c>
      <c r="C9363" t="s">
        <v>42</v>
      </c>
      <c r="D9363" t="s">
        <v>22</v>
      </c>
      <c r="E9363" t="e">
        <f>VLOOKUP(Cpi_[[#This Row],[Attribute]],#REF!,2,FALSE)</f>
        <v>#REF!</v>
      </c>
      <c r="F9363">
        <v>165</v>
      </c>
      <c r="G9363">
        <f>(Cpi_[[#This Row],[Value]]-F9362)/F9362</f>
        <v>-7.9241071428571369E-2</v>
      </c>
      <c r="H9363" t="e" cm="1" vm="1">
        <f t="array" aca="1" ref="H9363" ca="1">VLOOKUP(Cpi_[[#This Row],[Year]:[Month]],crudeoil[],3,FALSE)</f>
        <v>#VALUE!</v>
      </c>
    </row>
    <row r="9364" spans="1:10" hidden="1" x14ac:dyDescent="0.3">
      <c r="A9364" t="s">
        <v>33</v>
      </c>
      <c r="B9364">
        <v>2022</v>
      </c>
      <c r="C9364" t="s">
        <v>42</v>
      </c>
      <c r="D9364" t="s">
        <v>23</v>
      </c>
      <c r="E9364" t="e">
        <f>VLOOKUP(Cpi_[[#This Row],[Attribute]],#REF!,2,FALSE)</f>
        <v>#REF!</v>
      </c>
      <c r="F9364">
        <v>173.8</v>
      </c>
      <c r="G9364">
        <f>(Cpi_[[#This Row],[Value]]-F9363)/F9363</f>
        <v>5.3333333333333399E-2</v>
      </c>
      <c r="H9364" t="e" cm="1" vm="1">
        <f t="array" aca="1" ref="H9364" ca="1">VLOOKUP(Cpi_[[#This Row],[Year]:[Month]],crudeoil[],3,FALSE)</f>
        <v>#VALUE!</v>
      </c>
    </row>
    <row r="9365" spans="1:10" hidden="1" x14ac:dyDescent="0.3">
      <c r="A9365" t="s">
        <v>33</v>
      </c>
      <c r="B9365">
        <v>2022</v>
      </c>
      <c r="C9365" t="s">
        <v>42</v>
      </c>
      <c r="D9365" t="s">
        <v>24</v>
      </c>
      <c r="E9365" t="e">
        <f>VLOOKUP(Cpi_[[#This Row],[Attribute]],#REF!,2,FALSE)</f>
        <v>#REF!</v>
      </c>
      <c r="F9365">
        <v>158.19999999999999</v>
      </c>
      <c r="G9365">
        <f>(Cpi_[[#This Row],[Value]]-F9364)/F9364</f>
        <v>-8.9758342922900011E-2</v>
      </c>
      <c r="H9365" t="e" cm="1" vm="1">
        <f t="array" aca="1" ref="H9365" ca="1">VLOOKUP(Cpi_[[#This Row],[Year]:[Month]],crudeoil[],3,FALSE)</f>
        <v>#VALUE!</v>
      </c>
    </row>
    <row r="9366" spans="1:10" hidden="1" x14ac:dyDescent="0.3">
      <c r="A9366" t="s">
        <v>33</v>
      </c>
      <c r="B9366">
        <v>2022</v>
      </c>
      <c r="C9366" t="s">
        <v>42</v>
      </c>
      <c r="D9366" t="s">
        <v>25</v>
      </c>
      <c r="E9366" t="e">
        <f>VLOOKUP(Cpi_[[#This Row],[Attribute]],#REF!,2,FALSE)</f>
        <v>#REF!</v>
      </c>
      <c r="F9366">
        <v>165.8</v>
      </c>
      <c r="G9366">
        <f>(Cpi_[[#This Row],[Value]]-F9365)/F9365</f>
        <v>4.8040455120101286E-2</v>
      </c>
      <c r="H9366" t="e" cm="1" vm="1">
        <f t="array" aca="1" ref="H9366" ca="1">VLOOKUP(Cpi_[[#This Row],[Year]:[Month]],crudeoil[],3,FALSE)</f>
        <v>#VALUE!</v>
      </c>
    </row>
    <row r="9367" spans="1:10" hidden="1" x14ac:dyDescent="0.3">
      <c r="A9367" t="s">
        <v>33</v>
      </c>
      <c r="B9367">
        <v>2022</v>
      </c>
      <c r="C9367" t="s">
        <v>42</v>
      </c>
      <c r="D9367" t="s">
        <v>26</v>
      </c>
      <c r="E9367" t="e">
        <f>VLOOKUP(Cpi_[[#This Row],[Attribute]],#REF!,2,FALSE)</f>
        <v>#REF!</v>
      </c>
      <c r="F9367">
        <v>170.9</v>
      </c>
      <c r="G9367">
        <f>(Cpi_[[#This Row],[Value]]-F9366)/F9366</f>
        <v>3.0759951749095259E-2</v>
      </c>
      <c r="H9367" t="e" cm="1" vm="1">
        <f t="array" aca="1" ref="H9367" ca="1">VLOOKUP(Cpi_[[#This Row],[Year]:[Month]],crudeoil[],3,FALSE)</f>
        <v>#VALUE!</v>
      </c>
    </row>
    <row r="9368" spans="1:10" hidden="1" x14ac:dyDescent="0.3">
      <c r="A9368" t="s">
        <v>33</v>
      </c>
      <c r="B9368">
        <v>2022</v>
      </c>
      <c r="C9368" t="s">
        <v>42</v>
      </c>
      <c r="D9368" t="s">
        <v>27</v>
      </c>
      <c r="E9368" t="e">
        <f>VLOOKUP(Cpi_[[#This Row],[Attribute]],#REF!,2,FALSE)</f>
        <v>#REF!</v>
      </c>
      <c r="F9368">
        <v>171.1</v>
      </c>
      <c r="G9368">
        <f>(Cpi_[[#This Row],[Value]]-F9367)/F9367</f>
        <v>1.1702750146283711E-3</v>
      </c>
      <c r="H9368" t="e" cm="1" vm="1">
        <f t="array" aca="1" ref="H9368" ca="1">VLOOKUP(Cpi_[[#This Row],[Year]:[Month]],crudeoil[],3,FALSE)</f>
        <v>#VALUE!</v>
      </c>
    </row>
    <row r="9369" spans="1:10" hidden="1" x14ac:dyDescent="0.3">
      <c r="A9369" t="s">
        <v>33</v>
      </c>
      <c r="B9369">
        <v>2022</v>
      </c>
      <c r="C9369" t="s">
        <v>42</v>
      </c>
      <c r="D9369" t="s">
        <v>28</v>
      </c>
      <c r="E9369" t="e">
        <f>VLOOKUP(Cpi_[[#This Row],[Attribute]],#REF!,2,FALSE)</f>
        <v>#REF!</v>
      </c>
      <c r="F9369">
        <v>166.1</v>
      </c>
      <c r="G9369">
        <f>(Cpi_[[#This Row],[Value]]-F9368)/F9368</f>
        <v>-2.9222676797194622E-2</v>
      </c>
      <c r="H9369" t="e" cm="1" vm="1">
        <f t="array" aca="1" ref="H9369" ca="1">VLOOKUP(Cpi_[[#This Row],[Year]:[Month]],crudeoil[],3,FALSE)</f>
        <v>#VALUE!</v>
      </c>
    </row>
    <row r="9370" spans="1:10" hidden="1" x14ac:dyDescent="0.3">
      <c r="A9370" t="s">
        <v>33</v>
      </c>
      <c r="B9370">
        <v>2022</v>
      </c>
      <c r="C9370" t="s">
        <v>42</v>
      </c>
      <c r="D9370" t="s">
        <v>29</v>
      </c>
      <c r="E9370" t="e" cm="1">
        <f t="array" aca="1" ref="E9370" ca="1">VLGeneral indexGeneral indexKUP(Cpi_[[#This Row],[Attribute]],#REF!,2,FALSE)</f>
        <v>#NAME?</v>
      </c>
      <c r="F9370">
        <v>174.1</v>
      </c>
      <c r="G9370">
        <f>(Cpi_[[#This Row],[Value]]-F9369)/F9369</f>
        <v>4.8163756773028296E-2</v>
      </c>
      <c r="H9370" t="e" cm="1" vm="1">
        <f t="array" aca="1" ref="H9370" ca="1">VLOOKUP(Cpi_[[#This Row],[Year]:[Month]],crudeoil[],3,FALSE)</f>
        <v>#VALUE!</v>
      </c>
    </row>
    <row r="9371" spans="1:10" hidden="1" x14ac:dyDescent="0.3">
      <c r="A9371" t="s">
        <v>34</v>
      </c>
      <c r="B9371">
        <v>2022</v>
      </c>
      <c r="C9371" t="s">
        <v>42</v>
      </c>
      <c r="D9371" t="s">
        <v>3</v>
      </c>
      <c r="E9371" t="e">
        <f>VLOOKUP(Cpi_[[#This Row],[Attribute]],#REF!,2,FALSE)</f>
        <v>#REF!</v>
      </c>
      <c r="F9371">
        <v>163.5</v>
      </c>
      <c r="G9371">
        <f>(Cpi_[[#This Row],[Value]]-F9370)/F9370</f>
        <v>-6.0884549109707031E-2</v>
      </c>
      <c r="H9371" t="e" cm="1" vm="1">
        <f t="array" aca="1" ref="H9371" ca="1">VLOOKUP(Cpi_[[#This Row],[Year]:[Month]],crudeoil[],3,FALSE)</f>
        <v>#VALUE!</v>
      </c>
    </row>
    <row r="9372" spans="1:10" x14ac:dyDescent="0.3">
      <c r="A9372" t="s">
        <v>34</v>
      </c>
      <c r="B9372">
        <v>2022</v>
      </c>
      <c r="C9372" t="s">
        <v>42</v>
      </c>
      <c r="D9372" t="s">
        <v>4</v>
      </c>
      <c r="E9372" t="e">
        <f>VLOOKUP(Cpi_[[#This Row],[Attribute]],#REF!,2,FALSE)</f>
        <v>#REF!</v>
      </c>
      <c r="F9372">
        <v>209.2</v>
      </c>
      <c r="G9372" s="42">
        <f>(Cpi_[[#This Row],[Value]]-F9371)/F9371</f>
        <v>0.27951070336391431</v>
      </c>
      <c r="H9372" t="str">
        <f>LEFT(Cpi_[[#This Row],[Month]],3)</f>
        <v>Sep</v>
      </c>
      <c r="I9372" t="str">
        <f>RIGHT(Cpi_[[#This Row],[Year]],2)</f>
        <v>22</v>
      </c>
      <c r="J9372" t="str">
        <f>Cpi_[[#This Row],[Column3]]&amp;"-"&amp;Cpi_[[#This Row],[Column4]]</f>
        <v>Sep-22</v>
      </c>
    </row>
    <row r="9373" spans="1:10" x14ac:dyDescent="0.3">
      <c r="A9373" t="s">
        <v>34</v>
      </c>
      <c r="B9373">
        <v>2022</v>
      </c>
      <c r="C9373" t="s">
        <v>42</v>
      </c>
      <c r="D9373" t="s">
        <v>5</v>
      </c>
      <c r="E9373" t="e">
        <f>VLOOKUP(Cpi_[[#This Row],[Attribute]],#REF!,2,FALSE)</f>
        <v>#REF!</v>
      </c>
      <c r="F9373">
        <v>169.7</v>
      </c>
      <c r="G9373" s="42">
        <f>(Cpi_[[#This Row],[Value]]-F9372)/F9372</f>
        <v>-0.18881453154875719</v>
      </c>
      <c r="H9373" t="str">
        <f>LEFT(Cpi_[[#This Row],[Month]],3)</f>
        <v>Sep</v>
      </c>
      <c r="I9373" t="str">
        <f>RIGHT(Cpi_[[#This Row],[Year]],2)</f>
        <v>22</v>
      </c>
      <c r="J9373" t="str">
        <f>Cpi_[[#This Row],[Column3]]&amp;"-"&amp;Cpi_[[#This Row],[Column4]]</f>
        <v>Sep-22</v>
      </c>
    </row>
    <row r="9374" spans="1:10" x14ac:dyDescent="0.3">
      <c r="A9374" t="s">
        <v>34</v>
      </c>
      <c r="B9374">
        <v>2022</v>
      </c>
      <c r="C9374" t="s">
        <v>42</v>
      </c>
      <c r="D9374" t="s">
        <v>6</v>
      </c>
      <c r="E9374" t="e">
        <f>VLOOKUP(Cpi_[[#This Row],[Attribute]],#REF!,2,FALSE)</f>
        <v>#REF!</v>
      </c>
      <c r="F9374">
        <v>169.7</v>
      </c>
      <c r="G9374" s="42">
        <f>(Cpi_[[#This Row],[Value]]-F9373)/F9373</f>
        <v>0</v>
      </c>
      <c r="H9374" t="str">
        <f>LEFT(Cpi_[[#This Row],[Month]],3)</f>
        <v>Sep</v>
      </c>
      <c r="I9374" t="str">
        <f>RIGHT(Cpi_[[#This Row],[Year]],2)</f>
        <v>22</v>
      </c>
      <c r="J9374" t="str">
        <f>Cpi_[[#This Row],[Column3]]&amp;"-"&amp;Cpi_[[#This Row],[Column4]]</f>
        <v>Sep-22</v>
      </c>
    </row>
    <row r="9375" spans="1:10" x14ac:dyDescent="0.3">
      <c r="A9375" t="s">
        <v>34</v>
      </c>
      <c r="B9375">
        <v>2022</v>
      </c>
      <c r="C9375" t="s">
        <v>42</v>
      </c>
      <c r="D9375" t="s">
        <v>7</v>
      </c>
      <c r="E9375" t="e">
        <f>VLOOKUP(Cpi_[[#This Row],[Attribute]],#REF!,2,FALSE)</f>
        <v>#REF!</v>
      </c>
      <c r="F9375">
        <v>188.7</v>
      </c>
      <c r="G9375" s="42">
        <f>(Cpi_[[#This Row],[Value]]-F9374)/F9374</f>
        <v>0.11196228638774308</v>
      </c>
      <c r="H9375" t="str">
        <f>LEFT(Cpi_[[#This Row],[Month]],3)</f>
        <v>Sep</v>
      </c>
      <c r="I9375" t="str">
        <f>RIGHT(Cpi_[[#This Row],[Year]],2)</f>
        <v>22</v>
      </c>
      <c r="J9375" t="str">
        <f>Cpi_[[#This Row],[Column3]]&amp;"-"&amp;Cpi_[[#This Row],[Column4]]</f>
        <v>Sep-22</v>
      </c>
    </row>
    <row r="9376" spans="1:10" x14ac:dyDescent="0.3">
      <c r="A9376" t="s">
        <v>34</v>
      </c>
      <c r="B9376">
        <v>2022</v>
      </c>
      <c r="C9376" t="s">
        <v>42</v>
      </c>
      <c r="D9376" t="s">
        <v>8</v>
      </c>
      <c r="E9376" t="e">
        <f>VLOOKUP(Cpi_[[#This Row],[Attribute]],#REF!,2,FALSE)</f>
        <v>#REF!</v>
      </c>
      <c r="F9376">
        <v>165.7</v>
      </c>
      <c r="G9376" s="42">
        <f>(Cpi_[[#This Row],[Value]]-F9375)/F9375</f>
        <v>-0.12188659247482778</v>
      </c>
      <c r="H9376" t="str">
        <f>LEFT(Cpi_[[#This Row],[Month]],3)</f>
        <v>Sep</v>
      </c>
      <c r="I9376" t="str">
        <f>RIGHT(Cpi_[[#This Row],[Year]],2)</f>
        <v>22</v>
      </c>
      <c r="J9376" t="str">
        <f>Cpi_[[#This Row],[Column3]]&amp;"-"&amp;Cpi_[[#This Row],[Column4]]</f>
        <v>Sep-22</v>
      </c>
    </row>
    <row r="9377" spans="1:10" x14ac:dyDescent="0.3">
      <c r="A9377" t="s">
        <v>34</v>
      </c>
      <c r="B9377">
        <v>2022</v>
      </c>
      <c r="C9377" t="s">
        <v>42</v>
      </c>
      <c r="D9377" t="s">
        <v>9</v>
      </c>
      <c r="E9377" t="e">
        <f>VLOOKUP(Cpi_[[#This Row],[Attribute]],#REF!,2,FALSE)</f>
        <v>#REF!</v>
      </c>
      <c r="F9377">
        <v>191.8</v>
      </c>
      <c r="G9377" s="42">
        <f>(Cpi_[[#This Row],[Value]]-F9376)/F9376</f>
        <v>0.15751357875678954</v>
      </c>
      <c r="H9377" t="str">
        <f>LEFT(Cpi_[[#This Row],[Month]],3)</f>
        <v>Sep</v>
      </c>
      <c r="I9377" t="str">
        <f>RIGHT(Cpi_[[#This Row],[Year]],2)</f>
        <v>22</v>
      </c>
      <c r="J9377" t="str">
        <f>Cpi_[[#This Row],[Column3]]&amp;"-"&amp;Cpi_[[#This Row],[Column4]]</f>
        <v>Sep-22</v>
      </c>
    </row>
    <row r="9378" spans="1:10" x14ac:dyDescent="0.3">
      <c r="A9378" t="s">
        <v>34</v>
      </c>
      <c r="B9378">
        <v>2022</v>
      </c>
      <c r="C9378" t="s">
        <v>42</v>
      </c>
      <c r="D9378" t="s">
        <v>10</v>
      </c>
      <c r="E9378" t="e">
        <f>VLOOKUP(Cpi_[[#This Row],[Attribute]],#REF!,2,FALSE)</f>
        <v>#REF!</v>
      </c>
      <c r="F9378">
        <v>169.1</v>
      </c>
      <c r="G9378" s="42">
        <f>(Cpi_[[#This Row],[Value]]-F9377)/F9377</f>
        <v>-0.11835245046923887</v>
      </c>
      <c r="H9378" t="str">
        <f>LEFT(Cpi_[[#This Row],[Month]],3)</f>
        <v>Sep</v>
      </c>
      <c r="I9378" t="str">
        <f>RIGHT(Cpi_[[#This Row],[Year]],2)</f>
        <v>22</v>
      </c>
      <c r="J9378" t="str">
        <f>Cpi_[[#This Row],[Column3]]&amp;"-"&amp;Cpi_[[#This Row],[Column4]]</f>
        <v>Sep-22</v>
      </c>
    </row>
    <row r="9379" spans="1:10" x14ac:dyDescent="0.3">
      <c r="A9379" t="s">
        <v>34</v>
      </c>
      <c r="B9379">
        <v>2022</v>
      </c>
      <c r="C9379" t="s">
        <v>42</v>
      </c>
      <c r="D9379" t="s">
        <v>11</v>
      </c>
      <c r="E9379" t="e">
        <f>VLOOKUP(Cpi_[[#This Row],[Attribute]],#REF!,2,FALSE)</f>
        <v>#REF!</v>
      </c>
      <c r="F9379">
        <v>121.6</v>
      </c>
      <c r="G9379" s="42">
        <f>(Cpi_[[#This Row],[Value]]-F9378)/F9378</f>
        <v>-0.2808988764044944</v>
      </c>
      <c r="H9379" t="str">
        <f>LEFT(Cpi_[[#This Row],[Month]],3)</f>
        <v>Sep</v>
      </c>
      <c r="I9379" t="str">
        <f>RIGHT(Cpi_[[#This Row],[Year]],2)</f>
        <v>22</v>
      </c>
      <c r="J9379" t="str">
        <f>Cpi_[[#This Row],[Column3]]&amp;"-"&amp;Cpi_[[#This Row],[Column4]]</f>
        <v>Sep-22</v>
      </c>
    </row>
    <row r="9380" spans="1:10" x14ac:dyDescent="0.3">
      <c r="A9380" t="s">
        <v>34</v>
      </c>
      <c r="B9380">
        <v>2022</v>
      </c>
      <c r="C9380" t="s">
        <v>42</v>
      </c>
      <c r="D9380" t="s">
        <v>12</v>
      </c>
      <c r="E9380" t="e">
        <f>VLOOKUP(Cpi_[[#This Row],[Attribute]],#REF!,2,FALSE)</f>
        <v>#REF!</v>
      </c>
      <c r="F9380">
        <v>197.3</v>
      </c>
      <c r="G9380" s="42">
        <f>(Cpi_[[#This Row],[Value]]-F9379)/F9379</f>
        <v>0.62253289473684226</v>
      </c>
      <c r="H9380" t="str">
        <f>LEFT(Cpi_[[#This Row],[Month]],3)</f>
        <v>Sep</v>
      </c>
      <c r="I9380" t="str">
        <f>RIGHT(Cpi_[[#This Row],[Year]],2)</f>
        <v>22</v>
      </c>
      <c r="J9380" t="str">
        <f>Cpi_[[#This Row],[Column3]]&amp;"-"&amp;Cpi_[[#This Row],[Column4]]</f>
        <v>Sep-22</v>
      </c>
    </row>
    <row r="9381" spans="1:10" x14ac:dyDescent="0.3">
      <c r="A9381" t="s">
        <v>34</v>
      </c>
      <c r="B9381">
        <v>2022</v>
      </c>
      <c r="C9381" t="s">
        <v>42</v>
      </c>
      <c r="D9381" t="s">
        <v>13</v>
      </c>
      <c r="E9381" t="e">
        <f>VLOOKUP(Cpi_[[#This Row],[Attribute]],#REF!,2,FALSE)</f>
        <v>#REF!</v>
      </c>
      <c r="F9381">
        <v>169.4</v>
      </c>
      <c r="G9381" s="42">
        <f>(Cpi_[[#This Row],[Value]]-F9380)/F9380</f>
        <v>-0.14140902179422202</v>
      </c>
      <c r="H9381" t="str">
        <f>LEFT(Cpi_[[#This Row],[Month]],3)</f>
        <v>Sep</v>
      </c>
      <c r="I9381" t="str">
        <f>RIGHT(Cpi_[[#This Row],[Year]],2)</f>
        <v>22</v>
      </c>
      <c r="J9381" t="str">
        <f>Cpi_[[#This Row],[Column3]]&amp;"-"&amp;Cpi_[[#This Row],[Column4]]</f>
        <v>Sep-22</v>
      </c>
    </row>
    <row r="9382" spans="1:10" x14ac:dyDescent="0.3">
      <c r="A9382" t="s">
        <v>34</v>
      </c>
      <c r="B9382">
        <v>2022</v>
      </c>
      <c r="C9382" t="s">
        <v>42</v>
      </c>
      <c r="D9382" t="s">
        <v>14</v>
      </c>
      <c r="E9382" t="e">
        <f>VLOOKUP(Cpi_[[#This Row],[Attribute]],#REF!,2,FALSE)</f>
        <v>#REF!</v>
      </c>
      <c r="F9382">
        <v>187.4</v>
      </c>
      <c r="G9382" s="42">
        <f>(Cpi_[[#This Row],[Value]]-F9381)/F9381</f>
        <v>0.10625737898465171</v>
      </c>
      <c r="H9382" t="str">
        <f>LEFT(Cpi_[[#This Row],[Month]],3)</f>
        <v>Sep</v>
      </c>
      <c r="I9382" t="str">
        <f>RIGHT(Cpi_[[#This Row],[Year]],2)</f>
        <v>22</v>
      </c>
      <c r="J9382" t="str">
        <f>Cpi_[[#This Row],[Column3]]&amp;"-"&amp;Cpi_[[#This Row],[Column4]]</f>
        <v>Sep-22</v>
      </c>
    </row>
    <row r="9383" spans="1:10" x14ac:dyDescent="0.3">
      <c r="A9383" t="s">
        <v>34</v>
      </c>
      <c r="B9383">
        <v>2022</v>
      </c>
      <c r="C9383" t="s">
        <v>42</v>
      </c>
      <c r="D9383" t="s">
        <v>15</v>
      </c>
      <c r="E9383" t="e">
        <f>VLOOKUP(Cpi_[[#This Row],[Attribute]],#REF!,2,FALSE)</f>
        <v>#REF!</v>
      </c>
      <c r="F9383">
        <v>177.8</v>
      </c>
      <c r="G9383" s="42">
        <f>(Cpi_[[#This Row],[Value]]-F9382)/F9382</f>
        <v>-5.1227321237993562E-2</v>
      </c>
      <c r="H9383" t="str">
        <f>LEFT(Cpi_[[#This Row],[Month]],3)</f>
        <v>Sep</v>
      </c>
      <c r="I9383" t="str">
        <f>RIGHT(Cpi_[[#This Row],[Year]],2)</f>
        <v>22</v>
      </c>
      <c r="J9383" t="str">
        <f>Cpi_[[#This Row],[Column3]]&amp;"-"&amp;Cpi_[[#This Row],[Column4]]</f>
        <v>Sep-22</v>
      </c>
    </row>
    <row r="9384" spans="1:10" hidden="1" x14ac:dyDescent="0.3">
      <c r="A9384" t="s">
        <v>34</v>
      </c>
      <c r="B9384">
        <v>2022</v>
      </c>
      <c r="C9384" t="s">
        <v>42</v>
      </c>
      <c r="D9384" t="s">
        <v>16</v>
      </c>
      <c r="E9384" t="e">
        <f>VLOOKUP(Cpi_[[#This Row],[Attribute]],#REF!,2,FALSE)</f>
        <v>#REF!</v>
      </c>
      <c r="F9384">
        <v>195.9</v>
      </c>
      <c r="G9384">
        <f>(Cpi_[[#This Row],[Value]]-F9383)/F9383</f>
        <v>0.10179977502812144</v>
      </c>
      <c r="H9384" t="e" cm="1" vm="1">
        <f t="array" aca="1" ref="H9384" ca="1">VLOOKUP(Cpi_[[#This Row],[Year]:[Month]],crudeoil[],3,FALSE)</f>
        <v>#VALUE!</v>
      </c>
    </row>
    <row r="9385" spans="1:10" hidden="1" x14ac:dyDescent="0.3">
      <c r="A9385" t="s">
        <v>34</v>
      </c>
      <c r="B9385">
        <v>2022</v>
      </c>
      <c r="C9385" t="s">
        <v>42</v>
      </c>
      <c r="D9385" t="s">
        <v>17</v>
      </c>
      <c r="E9385" t="e">
        <f>VLOOKUP(Cpi_[[#This Row],[Attribute]],#REF!,2,FALSE)</f>
        <v>#REF!</v>
      </c>
      <c r="F9385">
        <v>180.9</v>
      </c>
      <c r="G9385">
        <f>(Cpi_[[#This Row],[Value]]-F9384)/F9384</f>
        <v>-7.6569678407350683E-2</v>
      </c>
      <c r="H9385" t="e" cm="1" vm="1">
        <f t="array" aca="1" ref="H9385" ca="1">VLOOKUP(Cpi_[[#This Row],[Year]:[Month]],crudeoil[],3,FALSE)</f>
        <v>#VALUE!</v>
      </c>
    </row>
    <row r="9386" spans="1:10" hidden="1" x14ac:dyDescent="0.3">
      <c r="A9386" t="s">
        <v>34</v>
      </c>
      <c r="B9386">
        <v>2022</v>
      </c>
      <c r="C9386" t="s">
        <v>42</v>
      </c>
      <c r="D9386" t="s">
        <v>18</v>
      </c>
      <c r="E9386" t="e">
        <f>VLOOKUP(Cpi_[[#This Row],[Attribute]],#REF!,2,FALSE)</f>
        <v>#REF!</v>
      </c>
      <c r="F9386">
        <v>174.3</v>
      </c>
      <c r="G9386">
        <f>(Cpi_[[#This Row],[Value]]-F9385)/F9385</f>
        <v>-3.6484245439469286E-2</v>
      </c>
      <c r="H9386" t="e" cm="1" vm="1">
        <f t="array" aca="1" ref="H9386" ca="1">VLOOKUP(Cpi_[[#This Row],[Year]:[Month]],crudeoil[],3,FALSE)</f>
        <v>#VALUE!</v>
      </c>
    </row>
    <row r="9387" spans="1:10" hidden="1" x14ac:dyDescent="0.3">
      <c r="A9387" t="s">
        <v>34</v>
      </c>
      <c r="B9387">
        <v>2022</v>
      </c>
      <c r="C9387" t="s">
        <v>42</v>
      </c>
      <c r="D9387" t="s">
        <v>19</v>
      </c>
      <c r="E9387" t="e">
        <f>VLOOKUP(Cpi_[[#This Row],[Attribute]],#REF!,2,FALSE)</f>
        <v>#REF!</v>
      </c>
      <c r="F9387">
        <v>179.9</v>
      </c>
      <c r="G9387">
        <f>(Cpi_[[#This Row],[Value]]-F9386)/F9386</f>
        <v>3.2128514056224862E-2</v>
      </c>
      <c r="H9387" t="e" cm="1" vm="1">
        <f t="array" aca="1" ref="H9387" ca="1">VLOOKUP(Cpi_[[#This Row],[Year]:[Month]],crudeoil[],3,FALSE)</f>
        <v>#VALUE!</v>
      </c>
    </row>
    <row r="9388" spans="1:10" hidden="1" x14ac:dyDescent="0.3">
      <c r="A9388" t="s">
        <v>34</v>
      </c>
      <c r="B9388">
        <v>2022</v>
      </c>
      <c r="C9388" t="s">
        <v>42</v>
      </c>
      <c r="D9388" t="s">
        <v>20</v>
      </c>
      <c r="E9388" t="e">
        <f>VLOOKUP(Cpi_[[#This Row],[Attribute]],#REF!,2,FALSE)</f>
        <v>#REF!</v>
      </c>
      <c r="F9388">
        <v>169.5</v>
      </c>
      <c r="G9388">
        <f>(Cpi_[[#This Row],[Value]]-F9387)/F9387</f>
        <v>-5.7809894385769903E-2</v>
      </c>
      <c r="H9388" t="e" cm="1" vm="1">
        <f t="array" aca="1" ref="H9388" ca="1">VLOOKUP(Cpi_[[#This Row],[Year]:[Month]],crudeoil[],3,FALSE)</f>
        <v>#VALUE!</v>
      </c>
    </row>
    <row r="9389" spans="1:10" hidden="1" x14ac:dyDescent="0.3">
      <c r="A9389" t="s">
        <v>34</v>
      </c>
      <c r="B9389">
        <v>2022</v>
      </c>
      <c r="C9389" t="s">
        <v>42</v>
      </c>
      <c r="D9389" t="s">
        <v>21</v>
      </c>
      <c r="E9389" t="e">
        <f>VLOOKUP(Cpi_[[#This Row],[Attribute]],#REF!,2,FALSE)</f>
        <v>#REF!</v>
      </c>
      <c r="F9389">
        <v>179.5</v>
      </c>
      <c r="G9389">
        <f>(Cpi_[[#This Row],[Value]]-F9388)/F9388</f>
        <v>5.8997050147492625E-2</v>
      </c>
      <c r="H9389" t="e" cm="1" vm="1">
        <f t="array" aca="1" ref="H9389" ca="1">VLOOKUP(Cpi_[[#This Row],[Year]:[Month]],crudeoil[],3,FALSE)</f>
        <v>#VALUE!</v>
      </c>
    </row>
    <row r="9390" spans="1:10" hidden="1" x14ac:dyDescent="0.3">
      <c r="A9390" t="s">
        <v>34</v>
      </c>
      <c r="B9390">
        <v>2022</v>
      </c>
      <c r="C9390" t="s">
        <v>42</v>
      </c>
      <c r="D9390" t="s">
        <v>22</v>
      </c>
      <c r="E9390" t="e">
        <f>VLOOKUP(Cpi_[[#This Row],[Attribute]],#REF!,2,FALSE)</f>
        <v>#REF!</v>
      </c>
      <c r="F9390">
        <v>169.5</v>
      </c>
      <c r="G9390">
        <f>(Cpi_[[#This Row],[Value]]-F9389)/F9389</f>
        <v>-5.5710306406685235E-2</v>
      </c>
      <c r="H9390" t="e" cm="1" vm="1">
        <f t="array" aca="1" ref="H9390" ca="1">VLOOKUP(Cpi_[[#This Row],[Year]:[Month]],crudeoil[],3,FALSE)</f>
        <v>#VALUE!</v>
      </c>
    </row>
    <row r="9391" spans="1:10" hidden="1" x14ac:dyDescent="0.3">
      <c r="A9391" t="s">
        <v>34</v>
      </c>
      <c r="B9391">
        <v>2022</v>
      </c>
      <c r="C9391" t="s">
        <v>42</v>
      </c>
      <c r="D9391" t="s">
        <v>23</v>
      </c>
      <c r="E9391" t="e">
        <f>VLOOKUP(Cpi_[[#This Row],[Attribute]],#REF!,2,FALSE)</f>
        <v>#REF!</v>
      </c>
      <c r="F9391">
        <v>177.8</v>
      </c>
      <c r="G9391">
        <f>(Cpi_[[#This Row],[Value]]-F9390)/F9390</f>
        <v>4.8967551622418948E-2</v>
      </c>
      <c r="H9391" t="e" cm="1" vm="1">
        <f t="array" aca="1" ref="H9391" ca="1">VLOOKUP(Cpi_[[#This Row],[Year]:[Month]],crudeoil[],3,FALSE)</f>
        <v>#VALUE!</v>
      </c>
    </row>
    <row r="9392" spans="1:10" hidden="1" x14ac:dyDescent="0.3">
      <c r="A9392" t="s">
        <v>34</v>
      </c>
      <c r="B9392">
        <v>2022</v>
      </c>
      <c r="C9392" t="s">
        <v>42</v>
      </c>
      <c r="D9392" t="s">
        <v>24</v>
      </c>
      <c r="E9392" t="e">
        <f>VLOOKUP(Cpi_[[#This Row],[Attribute]],#REF!,2,FALSE)</f>
        <v>#REF!</v>
      </c>
      <c r="F9392">
        <v>162.30000000000001</v>
      </c>
      <c r="G9392">
        <f>(Cpi_[[#This Row],[Value]]-F9391)/F9391</f>
        <v>-8.7176602924634417E-2</v>
      </c>
      <c r="H9392" t="e" cm="1" vm="1">
        <f t="array" aca="1" ref="H9392" ca="1">VLOOKUP(Cpi_[[#This Row],[Year]:[Month]],crudeoil[],3,FALSE)</f>
        <v>#VALUE!</v>
      </c>
    </row>
    <row r="9393" spans="1:8" hidden="1" x14ac:dyDescent="0.3">
      <c r="A9393" t="s">
        <v>34</v>
      </c>
      <c r="B9393">
        <v>2022</v>
      </c>
      <c r="C9393" t="s">
        <v>42</v>
      </c>
      <c r="D9393" t="s">
        <v>25</v>
      </c>
      <c r="E9393" t="e">
        <f>VLOOKUP(Cpi_[[#This Row],[Attribute]],#REF!,2,FALSE)</f>
        <v>#REF!</v>
      </c>
      <c r="F9393">
        <v>167.6</v>
      </c>
      <c r="G9393">
        <f>(Cpi_[[#This Row],[Value]]-F9392)/F9392</f>
        <v>3.2655576093653618E-2</v>
      </c>
      <c r="H9393" t="e" cm="1" vm="1">
        <f t="array" aca="1" ref="H9393" ca="1">VLOOKUP(Cpi_[[#This Row],[Year]:[Month]],crudeoil[],3,FALSE)</f>
        <v>#VALUE!</v>
      </c>
    </row>
    <row r="9394" spans="1:8" hidden="1" x14ac:dyDescent="0.3">
      <c r="A9394" t="s">
        <v>34</v>
      </c>
      <c r="B9394">
        <v>2022</v>
      </c>
      <c r="C9394" t="s">
        <v>42</v>
      </c>
      <c r="D9394" t="s">
        <v>26</v>
      </c>
      <c r="E9394" t="e">
        <f>VLOOKUP(Cpi_[[#This Row],[Attribute]],#REF!,2,FALSE)</f>
        <v>#REF!</v>
      </c>
      <c r="F9394">
        <v>173.1</v>
      </c>
      <c r="G9394">
        <f>(Cpi_[[#This Row],[Value]]-F9393)/F9393</f>
        <v>3.2816229116945109E-2</v>
      </c>
      <c r="H9394" t="e" cm="1" vm="1">
        <f t="array" aca="1" ref="H9394" ca="1">VLOOKUP(Cpi_[[#This Row],[Year]:[Month]],crudeoil[],3,FALSE)</f>
        <v>#VALUE!</v>
      </c>
    </row>
    <row r="9395" spans="1:8" hidden="1" x14ac:dyDescent="0.3">
      <c r="A9395" t="s">
        <v>34</v>
      </c>
      <c r="B9395">
        <v>2022</v>
      </c>
      <c r="C9395" t="s">
        <v>42</v>
      </c>
      <c r="D9395" t="s">
        <v>27</v>
      </c>
      <c r="E9395" t="e">
        <f>VLOOKUP(Cpi_[[#This Row],[Attribute]],#REF!,2,FALSE)</f>
        <v>#REF!</v>
      </c>
      <c r="F9395">
        <v>170.9</v>
      </c>
      <c r="G9395">
        <f>(Cpi_[[#This Row],[Value]]-F9394)/F9394</f>
        <v>-1.2709416522241414E-2</v>
      </c>
      <c r="H9395" t="e" cm="1" vm="1">
        <f t="array" aca="1" ref="H9395" ca="1">VLOOKUP(Cpi_[[#This Row],[Year]:[Month]],crudeoil[],3,FALSE)</f>
        <v>#VALUE!</v>
      </c>
    </row>
    <row r="9396" spans="1:8" hidden="1" x14ac:dyDescent="0.3">
      <c r="A9396" t="s">
        <v>34</v>
      </c>
      <c r="B9396">
        <v>2022</v>
      </c>
      <c r="C9396" t="s">
        <v>42</v>
      </c>
      <c r="D9396" t="s">
        <v>28</v>
      </c>
      <c r="E9396" t="e">
        <f>VLOOKUP(Cpi_[[#This Row],[Attribute]],#REF!,2,FALSE)</f>
        <v>#REF!</v>
      </c>
      <c r="F9396">
        <v>169.7</v>
      </c>
      <c r="G9396">
        <f>(Cpi_[[#This Row],[Value]]-F9395)/F9395</f>
        <v>-7.0216500877707255E-3</v>
      </c>
      <c r="H9396" t="e" cm="1" vm="1">
        <f t="array" aca="1" ref="H9396" ca="1">VLOOKUP(Cpi_[[#This Row],[Year]:[Month]],crudeoil[],3,FALSE)</f>
        <v>#VALUE!</v>
      </c>
    </row>
    <row r="9397" spans="1:8" hidden="1" x14ac:dyDescent="0.3">
      <c r="A9397" t="s">
        <v>34</v>
      </c>
      <c r="B9397">
        <v>2022</v>
      </c>
      <c r="C9397" t="s">
        <v>42</v>
      </c>
      <c r="D9397" t="s">
        <v>29</v>
      </c>
      <c r="E9397" t="e" cm="1">
        <f t="array" aca="1" ref="E9397" ca="1">VLGeneral indexGeneral indexKUP(Cpi_[[#This Row],[Attribute]],#REF!,2,FALSE)</f>
        <v>#NAME?</v>
      </c>
      <c r="F9397">
        <v>175.3</v>
      </c>
      <c r="G9397">
        <f>(Cpi_[[#This Row],[Value]]-F9396)/F9396</f>
        <v>3.2999410724808623E-2</v>
      </c>
      <c r="H9397" t="e" cm="1" vm="1">
        <f t="array" aca="1" ref="H9397" ca="1">VLOOKUP(Cpi_[[#This Row],[Year]:[Month]],crudeoil[],3,FALSE)</f>
        <v>#VALUE!</v>
      </c>
    </row>
    <row r="9398" spans="1:8" hidden="1" x14ac:dyDescent="0.3">
      <c r="A9398" t="s">
        <v>30</v>
      </c>
      <c r="B9398">
        <v>2022</v>
      </c>
      <c r="C9398" t="s">
        <v>43</v>
      </c>
      <c r="D9398" t="s">
        <v>3</v>
      </c>
      <c r="E9398" t="e">
        <f>VLOOKUP(Cpi_[[#This Row],[Attribute]],#REF!,2,FALSE)</f>
        <v>#REF!</v>
      </c>
      <c r="F9398">
        <v>164.7</v>
      </c>
      <c r="G9398">
        <f>(Cpi_[[#This Row],[Value]]-F9397)/F9397</f>
        <v>-6.0467769537935097E-2</v>
      </c>
      <c r="H9398" t="e" cm="1" vm="1">
        <f t="array" aca="1" ref="H9398" ca="1">VLOOKUP(Cpi_[[#This Row],[Year]:[Month]],crudeoil[],3,FALSE)</f>
        <v>#VALUE!</v>
      </c>
    </row>
    <row r="9399" spans="1:8" hidden="1" x14ac:dyDescent="0.3">
      <c r="A9399" t="s">
        <v>30</v>
      </c>
      <c r="B9399">
        <v>2022</v>
      </c>
      <c r="C9399" t="s">
        <v>43</v>
      </c>
      <c r="D9399" t="s">
        <v>4</v>
      </c>
      <c r="E9399" t="e">
        <f>VLOOKUP(Cpi_[[#This Row],[Attribute]],#REF!,2,FALSE)</f>
        <v>#REF!</v>
      </c>
      <c r="F9399">
        <v>208.8</v>
      </c>
      <c r="G9399">
        <f>(Cpi_[[#This Row],[Value]]-F9398)/F9398</f>
        <v>0.26775956284153019</v>
      </c>
      <c r="H9399" t="e" cm="1" vm="1">
        <f t="array" aca="1" ref="H9399" ca="1">VLOOKUP(Cpi_[[#This Row],[Year]:[Month]],crudeoil[],3,FALSE)</f>
        <v>#VALUE!</v>
      </c>
    </row>
    <row r="9400" spans="1:8" hidden="1" x14ac:dyDescent="0.3">
      <c r="A9400" t="s">
        <v>30</v>
      </c>
      <c r="B9400">
        <v>2022</v>
      </c>
      <c r="C9400" t="s">
        <v>43</v>
      </c>
      <c r="D9400" t="s">
        <v>5</v>
      </c>
      <c r="E9400" t="e">
        <f>VLOOKUP(Cpi_[[#This Row],[Attribute]],#REF!,2,FALSE)</f>
        <v>#REF!</v>
      </c>
      <c r="F9400">
        <v>170.3</v>
      </c>
      <c r="G9400">
        <f>(Cpi_[[#This Row],[Value]]-F9399)/F9399</f>
        <v>-0.18438697318007663</v>
      </c>
      <c r="H9400" t="e" cm="1" vm="1">
        <f t="array" aca="1" ref="H9400" ca="1">VLOOKUP(Cpi_[[#This Row],[Year]:[Month]],crudeoil[],3,FALSE)</f>
        <v>#VALUE!</v>
      </c>
    </row>
    <row r="9401" spans="1:8" hidden="1" x14ac:dyDescent="0.3">
      <c r="A9401" t="s">
        <v>30</v>
      </c>
      <c r="B9401">
        <v>2022</v>
      </c>
      <c r="C9401" t="s">
        <v>43</v>
      </c>
      <c r="D9401" t="s">
        <v>6</v>
      </c>
      <c r="E9401" t="e">
        <f>VLOOKUP(Cpi_[[#This Row],[Attribute]],#REF!,2,FALSE)</f>
        <v>#REF!</v>
      </c>
      <c r="F9401">
        <v>170.9</v>
      </c>
      <c r="G9401">
        <f>(Cpi_[[#This Row],[Value]]-F9400)/F9400</f>
        <v>3.5231943628889857E-3</v>
      </c>
      <c r="H9401" t="e" cm="1" vm="1">
        <f t="array" aca="1" ref="H9401" ca="1">VLOOKUP(Cpi_[[#This Row],[Year]:[Month]],crudeoil[],3,FALSE)</f>
        <v>#VALUE!</v>
      </c>
    </row>
    <row r="9402" spans="1:8" hidden="1" x14ac:dyDescent="0.3">
      <c r="A9402" t="s">
        <v>30</v>
      </c>
      <c r="B9402">
        <v>2022</v>
      </c>
      <c r="C9402" t="s">
        <v>43</v>
      </c>
      <c r="D9402" t="s">
        <v>7</v>
      </c>
      <c r="E9402" t="e">
        <f>VLOOKUP(Cpi_[[#This Row],[Attribute]],#REF!,2,FALSE)</f>
        <v>#REF!</v>
      </c>
      <c r="F9402">
        <v>191.6</v>
      </c>
      <c r="G9402">
        <f>(Cpi_[[#This Row],[Value]]-F9401)/F9401</f>
        <v>0.12112346401404323</v>
      </c>
      <c r="H9402" t="e" cm="1" vm="1">
        <f t="array" aca="1" ref="H9402" ca="1">VLOOKUP(Cpi_[[#This Row],[Year]:[Month]],crudeoil[],3,FALSE)</f>
        <v>#VALUE!</v>
      </c>
    </row>
    <row r="9403" spans="1:8" hidden="1" x14ac:dyDescent="0.3">
      <c r="A9403" t="s">
        <v>30</v>
      </c>
      <c r="B9403">
        <v>2022</v>
      </c>
      <c r="C9403" t="s">
        <v>43</v>
      </c>
      <c r="D9403" t="s">
        <v>8</v>
      </c>
      <c r="E9403" t="e">
        <f>VLOOKUP(Cpi_[[#This Row],[Attribute]],#REF!,2,FALSE)</f>
        <v>#REF!</v>
      </c>
      <c r="F9403">
        <v>162.19999999999999</v>
      </c>
      <c r="G9403">
        <f>(Cpi_[[#This Row],[Value]]-F9402)/F9402</f>
        <v>-0.15344467640918583</v>
      </c>
      <c r="H9403" t="e" cm="1" vm="1">
        <f t="array" aca="1" ref="H9403" ca="1">VLOOKUP(Cpi_[[#This Row],[Year]:[Month]],crudeoil[],3,FALSE)</f>
        <v>#VALUE!</v>
      </c>
    </row>
    <row r="9404" spans="1:8" hidden="1" x14ac:dyDescent="0.3">
      <c r="A9404" t="s">
        <v>30</v>
      </c>
      <c r="B9404">
        <v>2022</v>
      </c>
      <c r="C9404" t="s">
        <v>43</v>
      </c>
      <c r="D9404" t="s">
        <v>9</v>
      </c>
      <c r="E9404" t="e">
        <f>VLOOKUP(Cpi_[[#This Row],[Attribute]],#REF!,2,FALSE)</f>
        <v>#REF!</v>
      </c>
      <c r="F9404">
        <v>184.8</v>
      </c>
      <c r="G9404">
        <f>(Cpi_[[#This Row],[Value]]-F9403)/F9403</f>
        <v>0.1393341553637486</v>
      </c>
      <c r="H9404" t="e" cm="1" vm="1">
        <f t="array" aca="1" ref="H9404" ca="1">VLOOKUP(Cpi_[[#This Row],[Year]:[Month]],crudeoil[],3,FALSE)</f>
        <v>#VALUE!</v>
      </c>
    </row>
    <row r="9405" spans="1:8" hidden="1" x14ac:dyDescent="0.3">
      <c r="A9405" t="s">
        <v>30</v>
      </c>
      <c r="B9405">
        <v>2022</v>
      </c>
      <c r="C9405" t="s">
        <v>43</v>
      </c>
      <c r="D9405" t="s">
        <v>10</v>
      </c>
      <c r="E9405" t="e">
        <f>VLOOKUP(Cpi_[[#This Row],[Attribute]],#REF!,2,FALSE)</f>
        <v>#REF!</v>
      </c>
      <c r="F9405">
        <v>169.7</v>
      </c>
      <c r="G9405">
        <f>(Cpi_[[#This Row],[Value]]-F9404)/F9404</f>
        <v>-8.170995670995683E-2</v>
      </c>
      <c r="H9405" t="e" cm="1" vm="1">
        <f t="array" aca="1" ref="H9405" ca="1">VLOOKUP(Cpi_[[#This Row],[Year]:[Month]],crudeoil[],3,FALSE)</f>
        <v>#VALUE!</v>
      </c>
    </row>
    <row r="9406" spans="1:8" hidden="1" x14ac:dyDescent="0.3">
      <c r="A9406" t="s">
        <v>30</v>
      </c>
      <c r="B9406">
        <v>2022</v>
      </c>
      <c r="C9406" t="s">
        <v>43</v>
      </c>
      <c r="D9406" t="s">
        <v>11</v>
      </c>
      <c r="E9406" t="e">
        <f>VLOOKUP(Cpi_[[#This Row],[Attribute]],#REF!,2,FALSE)</f>
        <v>#REF!</v>
      </c>
      <c r="F9406">
        <v>121.1</v>
      </c>
      <c r="G9406">
        <f>(Cpi_[[#This Row],[Value]]-F9405)/F9405</f>
        <v>-0.2863877430760165</v>
      </c>
      <c r="H9406" t="e" cm="1" vm="1">
        <f t="array" aca="1" ref="H9406" ca="1">VLOOKUP(Cpi_[[#This Row],[Year]:[Month]],crudeoil[],3,FALSE)</f>
        <v>#VALUE!</v>
      </c>
    </row>
    <row r="9407" spans="1:8" hidden="1" x14ac:dyDescent="0.3">
      <c r="A9407" t="s">
        <v>30</v>
      </c>
      <c r="B9407">
        <v>2022</v>
      </c>
      <c r="C9407" t="s">
        <v>43</v>
      </c>
      <c r="D9407" t="s">
        <v>12</v>
      </c>
      <c r="E9407" t="e">
        <f>VLOOKUP(Cpi_[[#This Row],[Attribute]],#REF!,2,FALSE)</f>
        <v>#REF!</v>
      </c>
      <c r="F9407">
        <v>201.6</v>
      </c>
      <c r="G9407">
        <f>(Cpi_[[#This Row],[Value]]-F9406)/F9406</f>
        <v>0.66473988439306364</v>
      </c>
      <c r="H9407" t="e" cm="1" vm="1">
        <f t="array" aca="1" ref="H9407" ca="1">VLOOKUP(Cpi_[[#This Row],[Year]:[Month]],crudeoil[],3,FALSE)</f>
        <v>#VALUE!</v>
      </c>
    </row>
    <row r="9408" spans="1:8" hidden="1" x14ac:dyDescent="0.3">
      <c r="A9408" t="s">
        <v>30</v>
      </c>
      <c r="B9408">
        <v>2022</v>
      </c>
      <c r="C9408" t="s">
        <v>43</v>
      </c>
      <c r="D9408" t="s">
        <v>13</v>
      </c>
      <c r="E9408" t="e">
        <f>VLOOKUP(Cpi_[[#This Row],[Attribute]],#REF!,2,FALSE)</f>
        <v>#REF!</v>
      </c>
      <c r="F9408">
        <v>175.8</v>
      </c>
      <c r="G9408">
        <f>(Cpi_[[#This Row],[Value]]-F9407)/F9407</f>
        <v>-0.12797619047619038</v>
      </c>
      <c r="H9408" t="e" cm="1" vm="1">
        <f t="array" aca="1" ref="H9408" ca="1">VLOOKUP(Cpi_[[#This Row],[Year]:[Month]],crudeoil[],3,FALSE)</f>
        <v>#VALUE!</v>
      </c>
    </row>
    <row r="9409" spans="1:8" hidden="1" x14ac:dyDescent="0.3">
      <c r="A9409" t="s">
        <v>30</v>
      </c>
      <c r="B9409">
        <v>2022</v>
      </c>
      <c r="C9409" t="s">
        <v>43</v>
      </c>
      <c r="D9409" t="s">
        <v>14</v>
      </c>
      <c r="E9409" t="e">
        <f>VLOOKUP(Cpi_[[#This Row],[Attribute]],#REF!,2,FALSE)</f>
        <v>#REF!</v>
      </c>
      <c r="F9409">
        <v>185.6</v>
      </c>
      <c r="G9409">
        <f>(Cpi_[[#This Row],[Value]]-F9408)/F9408</f>
        <v>5.5745164960181927E-2</v>
      </c>
      <c r="H9409" t="e" cm="1" vm="1">
        <f t="array" aca="1" ref="H9409" ca="1">VLOOKUP(Cpi_[[#This Row],[Year]:[Month]],crudeoil[],3,FALSE)</f>
        <v>#VALUE!</v>
      </c>
    </row>
    <row r="9410" spans="1:8" hidden="1" x14ac:dyDescent="0.3">
      <c r="A9410" t="s">
        <v>30</v>
      </c>
      <c r="B9410">
        <v>2022</v>
      </c>
      <c r="C9410" t="s">
        <v>43</v>
      </c>
      <c r="D9410" t="s">
        <v>15</v>
      </c>
      <c r="E9410" t="e">
        <f>VLOOKUP(Cpi_[[#This Row],[Attribute]],#REF!,2,FALSE)</f>
        <v>#REF!</v>
      </c>
      <c r="F9410">
        <v>177.4</v>
      </c>
      <c r="G9410">
        <f>(Cpi_[[#This Row],[Value]]-F9409)/F9409</f>
        <v>-4.4181034482758563E-2</v>
      </c>
      <c r="H9410" t="e" cm="1" vm="1">
        <f t="array" aca="1" ref="H9410" ca="1">VLOOKUP(Cpi_[[#This Row],[Year]:[Month]],crudeoil[],3,FALSE)</f>
        <v>#VALUE!</v>
      </c>
    </row>
    <row r="9411" spans="1:8" hidden="1" x14ac:dyDescent="0.3">
      <c r="A9411" t="s">
        <v>30</v>
      </c>
      <c r="B9411">
        <v>2022</v>
      </c>
      <c r="C9411" t="s">
        <v>43</v>
      </c>
      <c r="D9411" t="s">
        <v>16</v>
      </c>
      <c r="E9411" t="e">
        <f>VLOOKUP(Cpi_[[#This Row],[Attribute]],#REF!,2,FALSE)</f>
        <v>#REF!</v>
      </c>
      <c r="F9411">
        <v>194.9</v>
      </c>
      <c r="G9411">
        <f>(Cpi_[[#This Row],[Value]]-F9410)/F9410</f>
        <v>9.8647125140924455E-2</v>
      </c>
      <c r="H9411" t="e" cm="1" vm="1">
        <f t="array" aca="1" ref="H9411" ca="1">VLOOKUP(Cpi_[[#This Row],[Year]:[Month]],crudeoil[],3,FALSE)</f>
        <v>#VALUE!</v>
      </c>
    </row>
    <row r="9412" spans="1:8" hidden="1" x14ac:dyDescent="0.3">
      <c r="A9412" t="s">
        <v>30</v>
      </c>
      <c r="B9412">
        <v>2022</v>
      </c>
      <c r="C9412" t="s">
        <v>43</v>
      </c>
      <c r="D9412" t="s">
        <v>17</v>
      </c>
      <c r="E9412" t="e">
        <f>VLOOKUP(Cpi_[[#This Row],[Attribute]],#REF!,2,FALSE)</f>
        <v>#REF!</v>
      </c>
      <c r="F9412">
        <v>186.1</v>
      </c>
      <c r="G9412">
        <f>(Cpi_[[#This Row],[Value]]-F9411)/F9411</f>
        <v>-4.5151359671626534E-2</v>
      </c>
      <c r="H9412" t="e" cm="1" vm="1">
        <f t="array" aca="1" ref="H9412" ca="1">VLOOKUP(Cpi_[[#This Row],[Year]:[Month]],crudeoil[],3,FALSE)</f>
        <v>#VALUE!</v>
      </c>
    </row>
    <row r="9413" spans="1:8" hidden="1" x14ac:dyDescent="0.3">
      <c r="A9413" t="s">
        <v>30</v>
      </c>
      <c r="B9413">
        <v>2022</v>
      </c>
      <c r="C9413" t="s">
        <v>43</v>
      </c>
      <c r="D9413" t="s">
        <v>18</v>
      </c>
      <c r="E9413" t="e">
        <f>VLOOKUP(Cpi_[[#This Row],[Attribute]],#REF!,2,FALSE)</f>
        <v>#REF!</v>
      </c>
      <c r="F9413">
        <v>184.4</v>
      </c>
      <c r="G9413">
        <f>(Cpi_[[#This Row],[Value]]-F9412)/F9412</f>
        <v>-9.1348737238043463E-3</v>
      </c>
      <c r="H9413" t="e" cm="1" vm="1">
        <f t="array" aca="1" ref="H9413" ca="1">VLOOKUP(Cpi_[[#This Row],[Year]:[Month]],crudeoil[],3,FALSE)</f>
        <v>#VALUE!</v>
      </c>
    </row>
    <row r="9414" spans="1:8" hidden="1" x14ac:dyDescent="0.3">
      <c r="A9414" t="s">
        <v>30</v>
      </c>
      <c r="B9414">
        <v>2022</v>
      </c>
      <c r="C9414" t="s">
        <v>43</v>
      </c>
      <c r="D9414" t="s">
        <v>19</v>
      </c>
      <c r="E9414" t="e">
        <f>VLOOKUP(Cpi_[[#This Row],[Attribute]],#REF!,2,FALSE)</f>
        <v>#REF!</v>
      </c>
      <c r="F9414">
        <v>185.9</v>
      </c>
      <c r="G9414">
        <f>(Cpi_[[#This Row],[Value]]-F9413)/F9413</f>
        <v>8.1344902386117132E-3</v>
      </c>
      <c r="H9414" t="e" cm="1" vm="1">
        <f t="array" aca="1" ref="H9414" ca="1">VLOOKUP(Cpi_[[#This Row],[Year]:[Month]],crudeoil[],3,FALSE)</f>
        <v>#VALUE!</v>
      </c>
    </row>
    <row r="9415" spans="1:8" hidden="1" x14ac:dyDescent="0.3">
      <c r="A9415" t="s">
        <v>30</v>
      </c>
      <c r="B9415">
        <v>2022</v>
      </c>
      <c r="C9415" t="s">
        <v>43</v>
      </c>
      <c r="D9415" t="s">
        <v>20</v>
      </c>
      <c r="E9415" t="e">
        <f>VLOOKUP(Cpi_[[#This Row],[Attribute]],#REF!,2,FALSE)</f>
        <v>#REF!</v>
      </c>
      <c r="F9415" t="s">
        <v>32</v>
      </c>
      <c r="G9415" t="e">
        <f>(Cpi_[[#This Row],[Value]]-F9414)/F9414</f>
        <v>#VALUE!</v>
      </c>
      <c r="H9415" t="e" cm="1" vm="1">
        <f t="array" aca="1" ref="H9415" ca="1">VLOOKUP(Cpi_[[#This Row],[Year]:[Month]],crudeoil[],3,FALSE)</f>
        <v>#VALUE!</v>
      </c>
    </row>
    <row r="9416" spans="1:8" hidden="1" x14ac:dyDescent="0.3">
      <c r="A9416" t="s">
        <v>30</v>
      </c>
      <c r="B9416">
        <v>2022</v>
      </c>
      <c r="C9416" t="s">
        <v>43</v>
      </c>
      <c r="D9416" t="s">
        <v>21</v>
      </c>
      <c r="E9416" t="e">
        <f>VLOOKUP(Cpi_[[#This Row],[Attribute]],#REF!,2,FALSE)</f>
        <v>#REF!</v>
      </c>
      <c r="F9416">
        <v>180.8</v>
      </c>
      <c r="G9416" t="e">
        <f>(Cpi_[[#This Row],[Value]]-F9415)/F9415</f>
        <v>#VALUE!</v>
      </c>
      <c r="H9416" t="e" cm="1" vm="1">
        <f t="array" aca="1" ref="H9416" ca="1">VLOOKUP(Cpi_[[#This Row],[Year]:[Month]],crudeoil[],3,FALSE)</f>
        <v>#VALUE!</v>
      </c>
    </row>
    <row r="9417" spans="1:8" hidden="1" x14ac:dyDescent="0.3">
      <c r="A9417" t="s">
        <v>30</v>
      </c>
      <c r="B9417">
        <v>2022</v>
      </c>
      <c r="C9417" t="s">
        <v>43</v>
      </c>
      <c r="D9417" t="s">
        <v>22</v>
      </c>
      <c r="E9417" t="e">
        <f>VLOOKUP(Cpi_[[#This Row],[Attribute]],#REF!,2,FALSE)</f>
        <v>#REF!</v>
      </c>
      <c r="F9417">
        <v>174.4</v>
      </c>
      <c r="G9417">
        <f>(Cpi_[[#This Row],[Value]]-F9416)/F9416</f>
        <v>-3.5398230088495602E-2</v>
      </c>
      <c r="H9417" t="e" cm="1" vm="1">
        <f t="array" aca="1" ref="H9417" ca="1">VLOOKUP(Cpi_[[#This Row],[Year]:[Month]],crudeoil[],3,FALSE)</f>
        <v>#VALUE!</v>
      </c>
    </row>
    <row r="9418" spans="1:8" hidden="1" x14ac:dyDescent="0.3">
      <c r="A9418" t="s">
        <v>30</v>
      </c>
      <c r="B9418">
        <v>2022</v>
      </c>
      <c r="C9418" t="s">
        <v>43</v>
      </c>
      <c r="D9418" t="s">
        <v>23</v>
      </c>
      <c r="E9418" t="e">
        <f>VLOOKUP(Cpi_[[#This Row],[Attribute]],#REF!,2,FALSE)</f>
        <v>#REF!</v>
      </c>
      <c r="F9418">
        <v>181.2</v>
      </c>
      <c r="G9418">
        <f>(Cpi_[[#This Row],[Value]]-F9417)/F9417</f>
        <v>3.8990825688073293E-2</v>
      </c>
      <c r="H9418" t="e" cm="1" vm="1">
        <f t="array" aca="1" ref="H9418" ca="1">VLOOKUP(Cpi_[[#This Row],[Year]:[Month]],crudeoil[],3,FALSE)</f>
        <v>#VALUE!</v>
      </c>
    </row>
    <row r="9419" spans="1:8" hidden="1" x14ac:dyDescent="0.3">
      <c r="A9419" t="s">
        <v>30</v>
      </c>
      <c r="B9419">
        <v>2022</v>
      </c>
      <c r="C9419" t="s">
        <v>43</v>
      </c>
      <c r="D9419" t="s">
        <v>24</v>
      </c>
      <c r="E9419" t="e">
        <f>VLOOKUP(Cpi_[[#This Row],[Attribute]],#REF!,2,FALSE)</f>
        <v>#REF!</v>
      </c>
      <c r="F9419">
        <v>167.4</v>
      </c>
      <c r="G9419">
        <f>(Cpi_[[#This Row],[Value]]-F9418)/F9418</f>
        <v>-7.615894039735091E-2</v>
      </c>
      <c r="H9419" t="e" cm="1" vm="1">
        <f t="array" aca="1" ref="H9419" ca="1">VLOOKUP(Cpi_[[#This Row],[Year]:[Month]],crudeoil[],3,FALSE)</f>
        <v>#VALUE!</v>
      </c>
    </row>
    <row r="9420" spans="1:8" hidden="1" x14ac:dyDescent="0.3">
      <c r="A9420" t="s">
        <v>30</v>
      </c>
      <c r="B9420">
        <v>2022</v>
      </c>
      <c r="C9420" t="s">
        <v>43</v>
      </c>
      <c r="D9420" t="s">
        <v>25</v>
      </c>
      <c r="E9420" t="e">
        <f>VLOOKUP(Cpi_[[#This Row],[Attribute]],#REF!,2,FALSE)</f>
        <v>#REF!</v>
      </c>
      <c r="F9420">
        <v>170.6</v>
      </c>
      <c r="G9420">
        <f>(Cpi_[[#This Row],[Value]]-F9419)/F9419</f>
        <v>1.9115890083631952E-2</v>
      </c>
      <c r="H9420" t="e" cm="1" vm="1">
        <f t="array" aca="1" ref="H9420" ca="1">VLOOKUP(Cpi_[[#This Row],[Year]:[Month]],crudeoil[],3,FALSE)</f>
        <v>#VALUE!</v>
      </c>
    </row>
    <row r="9421" spans="1:8" hidden="1" x14ac:dyDescent="0.3">
      <c r="A9421" t="s">
        <v>30</v>
      </c>
      <c r="B9421">
        <v>2022</v>
      </c>
      <c r="C9421" t="s">
        <v>43</v>
      </c>
      <c r="D9421" t="s">
        <v>26</v>
      </c>
      <c r="E9421" t="e">
        <f>VLOOKUP(Cpi_[[#This Row],[Attribute]],#REF!,2,FALSE)</f>
        <v>#REF!</v>
      </c>
      <c r="F9421">
        <v>176.5</v>
      </c>
      <c r="G9421">
        <f>(Cpi_[[#This Row],[Value]]-F9420)/F9420</f>
        <v>3.4583821805392767E-2</v>
      </c>
      <c r="H9421" t="e" cm="1" vm="1">
        <f t="array" aca="1" ref="H9421" ca="1">VLOOKUP(Cpi_[[#This Row],[Year]:[Month]],crudeoil[],3,FALSE)</f>
        <v>#VALUE!</v>
      </c>
    </row>
    <row r="9422" spans="1:8" hidden="1" x14ac:dyDescent="0.3">
      <c r="A9422" t="s">
        <v>30</v>
      </c>
      <c r="B9422">
        <v>2022</v>
      </c>
      <c r="C9422" t="s">
        <v>43</v>
      </c>
      <c r="D9422" t="s">
        <v>27</v>
      </c>
      <c r="E9422" t="e">
        <f>VLOOKUP(Cpi_[[#This Row],[Attribute]],#REF!,2,FALSE)</f>
        <v>#REF!</v>
      </c>
      <c r="F9422">
        <v>172</v>
      </c>
      <c r="G9422">
        <f>(Cpi_[[#This Row],[Value]]-F9421)/F9421</f>
        <v>-2.5495750708215296E-2</v>
      </c>
      <c r="H9422" t="e" cm="1" vm="1">
        <f t="array" aca="1" ref="H9422" ca="1">VLOOKUP(Cpi_[[#This Row],[Year]:[Month]],crudeoil[],3,FALSE)</f>
        <v>#VALUE!</v>
      </c>
    </row>
    <row r="9423" spans="1:8" hidden="1" x14ac:dyDescent="0.3">
      <c r="A9423" t="s">
        <v>30</v>
      </c>
      <c r="B9423">
        <v>2022</v>
      </c>
      <c r="C9423" t="s">
        <v>43</v>
      </c>
      <c r="D9423" t="s">
        <v>28</v>
      </c>
      <c r="E9423" t="e">
        <f>VLOOKUP(Cpi_[[#This Row],[Attribute]],#REF!,2,FALSE)</f>
        <v>#REF!</v>
      </c>
      <c r="F9423">
        <v>173.9</v>
      </c>
      <c r="G9423">
        <f>(Cpi_[[#This Row],[Value]]-F9422)/F9422</f>
        <v>1.104651162790701E-2</v>
      </c>
      <c r="H9423" t="e" cm="1" vm="1">
        <f t="array" aca="1" ref="H9423" ca="1">VLOOKUP(Cpi_[[#This Row],[Year]:[Month]],crudeoil[],3,FALSE)</f>
        <v>#VALUE!</v>
      </c>
    </row>
    <row r="9424" spans="1:8" hidden="1" x14ac:dyDescent="0.3">
      <c r="A9424" t="s">
        <v>30</v>
      </c>
      <c r="B9424">
        <v>2022</v>
      </c>
      <c r="C9424" t="s">
        <v>43</v>
      </c>
      <c r="D9424" t="s">
        <v>29</v>
      </c>
      <c r="E9424" t="e" cm="1">
        <f t="array" aca="1" ref="E9424" ca="1">VLGeneral indexGeneral indexKUP(Cpi_[[#This Row],[Attribute]],#REF!,2,FALSE)</f>
        <v>#NAME?</v>
      </c>
      <c r="F9424">
        <v>177.9</v>
      </c>
      <c r="G9424">
        <f>(Cpi_[[#This Row],[Value]]-F9423)/F9423</f>
        <v>2.3001725129384702E-2</v>
      </c>
      <c r="H9424" t="e" cm="1" vm="1">
        <f t="array" aca="1" ref="H9424" ca="1">VLOOKUP(Cpi_[[#This Row],[Year]:[Month]],crudeoil[],3,FALSE)</f>
        <v>#VALUE!</v>
      </c>
    </row>
    <row r="9425" spans="1:8" hidden="1" x14ac:dyDescent="0.3">
      <c r="A9425" t="s">
        <v>33</v>
      </c>
      <c r="B9425">
        <v>2022</v>
      </c>
      <c r="C9425" t="s">
        <v>43</v>
      </c>
      <c r="D9425" t="s">
        <v>3</v>
      </c>
      <c r="E9425" t="e">
        <f>VLOOKUP(Cpi_[[#This Row],[Attribute]],#REF!,2,FALSE)</f>
        <v>#REF!</v>
      </c>
      <c r="F9425">
        <v>166.4</v>
      </c>
      <c r="G9425">
        <f>(Cpi_[[#This Row],[Value]]-F9424)/F9424</f>
        <v>-6.4643057897695338E-2</v>
      </c>
      <c r="H9425" t="e" cm="1" vm="1">
        <f t="array" aca="1" ref="H9425" ca="1">VLOOKUP(Cpi_[[#This Row],[Year]:[Month]],crudeoil[],3,FALSE)</f>
        <v>#VALUE!</v>
      </c>
    </row>
    <row r="9426" spans="1:8" hidden="1" x14ac:dyDescent="0.3">
      <c r="A9426" t="s">
        <v>33</v>
      </c>
      <c r="B9426">
        <v>2022</v>
      </c>
      <c r="C9426" t="s">
        <v>43</v>
      </c>
      <c r="D9426" t="s">
        <v>4</v>
      </c>
      <c r="E9426" t="e">
        <f>VLOOKUP(Cpi_[[#This Row],[Attribute]],#REF!,2,FALSE)</f>
        <v>#REF!</v>
      </c>
      <c r="F9426">
        <v>214.9</v>
      </c>
      <c r="G9426">
        <f>(Cpi_[[#This Row],[Value]]-F9425)/F9425</f>
        <v>0.29146634615384615</v>
      </c>
      <c r="H9426" t="e" cm="1" vm="1">
        <f t="array" aca="1" ref="H9426" ca="1">VLOOKUP(Cpi_[[#This Row],[Year]:[Month]],crudeoil[],3,FALSE)</f>
        <v>#VALUE!</v>
      </c>
    </row>
    <row r="9427" spans="1:8" hidden="1" x14ac:dyDescent="0.3">
      <c r="A9427" t="s">
        <v>33</v>
      </c>
      <c r="B9427">
        <v>2022</v>
      </c>
      <c r="C9427" t="s">
        <v>43</v>
      </c>
      <c r="D9427" t="s">
        <v>5</v>
      </c>
      <c r="E9427" t="e">
        <f>VLOOKUP(Cpi_[[#This Row],[Attribute]],#REF!,2,FALSE)</f>
        <v>#REF!</v>
      </c>
      <c r="F9427">
        <v>171.9</v>
      </c>
      <c r="G9427">
        <f>(Cpi_[[#This Row],[Value]]-F9426)/F9426</f>
        <v>-0.20009306654257794</v>
      </c>
      <c r="H9427" t="e" cm="1" vm="1">
        <f t="array" aca="1" ref="H9427" ca="1">VLOOKUP(Cpi_[[#This Row],[Year]:[Month]],crudeoil[],3,FALSE)</f>
        <v>#VALUE!</v>
      </c>
    </row>
    <row r="9428" spans="1:8" hidden="1" x14ac:dyDescent="0.3">
      <c r="A9428" t="s">
        <v>33</v>
      </c>
      <c r="B9428">
        <v>2022</v>
      </c>
      <c r="C9428" t="s">
        <v>43</v>
      </c>
      <c r="D9428" t="s">
        <v>6</v>
      </c>
      <c r="E9428" t="e">
        <f>VLOOKUP(Cpi_[[#This Row],[Attribute]],#REF!,2,FALSE)</f>
        <v>#REF!</v>
      </c>
      <c r="F9428">
        <v>171</v>
      </c>
      <c r="G9428">
        <f>(Cpi_[[#This Row],[Value]]-F9427)/F9427</f>
        <v>-5.235602094240871E-3</v>
      </c>
      <c r="H9428" t="e" cm="1" vm="1">
        <f t="array" aca="1" ref="H9428" ca="1">VLOOKUP(Cpi_[[#This Row],[Year]:[Month]],crudeoil[],3,FALSE)</f>
        <v>#VALUE!</v>
      </c>
    </row>
    <row r="9429" spans="1:8" hidden="1" x14ac:dyDescent="0.3">
      <c r="A9429" t="s">
        <v>33</v>
      </c>
      <c r="B9429">
        <v>2022</v>
      </c>
      <c r="C9429" t="s">
        <v>43</v>
      </c>
      <c r="D9429" t="s">
        <v>7</v>
      </c>
      <c r="E9429" t="e">
        <f>VLOOKUP(Cpi_[[#This Row],[Attribute]],#REF!,2,FALSE)</f>
        <v>#REF!</v>
      </c>
      <c r="F9429">
        <v>177.7</v>
      </c>
      <c r="G9429">
        <f>(Cpi_[[#This Row],[Value]]-F9428)/F9428</f>
        <v>3.9181286549707539E-2</v>
      </c>
      <c r="H9429" t="e" cm="1" vm="1">
        <f t="array" aca="1" ref="H9429" ca="1">VLOOKUP(Cpi_[[#This Row],[Year]:[Month]],crudeoil[],3,FALSE)</f>
        <v>#VALUE!</v>
      </c>
    </row>
    <row r="9430" spans="1:8" hidden="1" x14ac:dyDescent="0.3">
      <c r="A9430" t="s">
        <v>33</v>
      </c>
      <c r="B9430">
        <v>2022</v>
      </c>
      <c r="C9430" t="s">
        <v>43</v>
      </c>
      <c r="D9430" t="s">
        <v>8</v>
      </c>
      <c r="E9430" t="e">
        <f>VLOOKUP(Cpi_[[#This Row],[Attribute]],#REF!,2,FALSE)</f>
        <v>#REF!</v>
      </c>
      <c r="F9430">
        <v>165.7</v>
      </c>
      <c r="G9430">
        <f>(Cpi_[[#This Row],[Value]]-F9429)/F9429</f>
        <v>-6.7529544175576814E-2</v>
      </c>
      <c r="H9430" t="e" cm="1" vm="1">
        <f t="array" aca="1" ref="H9430" ca="1">VLOOKUP(Cpi_[[#This Row],[Year]:[Month]],crudeoil[],3,FALSE)</f>
        <v>#VALUE!</v>
      </c>
    </row>
    <row r="9431" spans="1:8" hidden="1" x14ac:dyDescent="0.3">
      <c r="A9431" t="s">
        <v>33</v>
      </c>
      <c r="B9431">
        <v>2022</v>
      </c>
      <c r="C9431" t="s">
        <v>43</v>
      </c>
      <c r="D9431" t="s">
        <v>9</v>
      </c>
      <c r="E9431" t="e">
        <f>VLOOKUP(Cpi_[[#This Row],[Attribute]],#REF!,2,FALSE)</f>
        <v>#REF!</v>
      </c>
      <c r="F9431">
        <v>228.6</v>
      </c>
      <c r="G9431">
        <f>(Cpi_[[#This Row],[Value]]-F9430)/F9430</f>
        <v>0.37960168980084497</v>
      </c>
      <c r="H9431" t="e" cm="1" vm="1">
        <f t="array" aca="1" ref="H9431" ca="1">VLOOKUP(Cpi_[[#This Row],[Year]:[Month]],crudeoil[],3,FALSE)</f>
        <v>#VALUE!</v>
      </c>
    </row>
    <row r="9432" spans="1:8" hidden="1" x14ac:dyDescent="0.3">
      <c r="A9432" t="s">
        <v>33</v>
      </c>
      <c r="B9432">
        <v>2022</v>
      </c>
      <c r="C9432" t="s">
        <v>43</v>
      </c>
      <c r="D9432" t="s">
        <v>10</v>
      </c>
      <c r="E9432" t="e">
        <f>VLOOKUP(Cpi_[[#This Row],[Attribute]],#REF!,2,FALSE)</f>
        <v>#REF!</v>
      </c>
      <c r="F9432">
        <v>169.9</v>
      </c>
      <c r="G9432">
        <f>(Cpi_[[#This Row],[Value]]-F9431)/F9431</f>
        <v>-0.25678040244969375</v>
      </c>
      <c r="H9432" t="e" cm="1" vm="1">
        <f t="array" aca="1" ref="H9432" ca="1">VLOOKUP(Cpi_[[#This Row],[Year]:[Month]],crudeoil[],3,FALSE)</f>
        <v>#VALUE!</v>
      </c>
    </row>
    <row r="9433" spans="1:8" hidden="1" x14ac:dyDescent="0.3">
      <c r="A9433" t="s">
        <v>33</v>
      </c>
      <c r="B9433">
        <v>2022</v>
      </c>
      <c r="C9433" t="s">
        <v>43</v>
      </c>
      <c r="D9433" t="s">
        <v>11</v>
      </c>
      <c r="E9433" t="e">
        <f>VLOOKUP(Cpi_[[#This Row],[Attribute]],#REF!,2,FALSE)</f>
        <v>#REF!</v>
      </c>
      <c r="F9433">
        <v>123.4</v>
      </c>
      <c r="G9433">
        <f>(Cpi_[[#This Row],[Value]]-F9432)/F9432</f>
        <v>-0.27369040612124779</v>
      </c>
      <c r="H9433" t="e" cm="1" vm="1">
        <f t="array" aca="1" ref="H9433" ca="1">VLOOKUP(Cpi_[[#This Row],[Year]:[Month]],crudeoil[],3,FALSE)</f>
        <v>#VALUE!</v>
      </c>
    </row>
    <row r="9434" spans="1:8" hidden="1" x14ac:dyDescent="0.3">
      <c r="A9434" t="s">
        <v>33</v>
      </c>
      <c r="B9434">
        <v>2022</v>
      </c>
      <c r="C9434" t="s">
        <v>43</v>
      </c>
      <c r="D9434" t="s">
        <v>12</v>
      </c>
      <c r="E9434" t="e">
        <f>VLOOKUP(Cpi_[[#This Row],[Attribute]],#REF!,2,FALSE)</f>
        <v>#REF!</v>
      </c>
      <c r="F9434">
        <v>196.4</v>
      </c>
      <c r="G9434">
        <f>(Cpi_[[#This Row],[Value]]-F9433)/F9433</f>
        <v>0.59157212317666119</v>
      </c>
      <c r="H9434" t="e" cm="1" vm="1">
        <f t="array" aca="1" ref="H9434" ca="1">VLOOKUP(Cpi_[[#This Row],[Year]:[Month]],crudeoil[],3,FALSE)</f>
        <v>#VALUE!</v>
      </c>
    </row>
    <row r="9435" spans="1:8" hidden="1" x14ac:dyDescent="0.3">
      <c r="A9435" t="s">
        <v>33</v>
      </c>
      <c r="B9435">
        <v>2022</v>
      </c>
      <c r="C9435" t="s">
        <v>43</v>
      </c>
      <c r="D9435" t="s">
        <v>13</v>
      </c>
      <c r="E9435" t="e">
        <f>VLOOKUP(Cpi_[[#This Row],[Attribute]],#REF!,2,FALSE)</f>
        <v>#REF!</v>
      </c>
      <c r="F9435">
        <v>161.6</v>
      </c>
      <c r="G9435">
        <f>(Cpi_[[#This Row],[Value]]-F9434)/F9434</f>
        <v>-0.1771894093686355</v>
      </c>
      <c r="H9435" t="e" cm="1" vm="1">
        <f t="array" aca="1" ref="H9435" ca="1">VLOOKUP(Cpi_[[#This Row],[Year]:[Month]],crudeoil[],3,FALSE)</f>
        <v>#VALUE!</v>
      </c>
    </row>
    <row r="9436" spans="1:8" hidden="1" x14ac:dyDescent="0.3">
      <c r="A9436" t="s">
        <v>33</v>
      </c>
      <c r="B9436">
        <v>2022</v>
      </c>
      <c r="C9436" t="s">
        <v>43</v>
      </c>
      <c r="D9436" t="s">
        <v>14</v>
      </c>
      <c r="E9436" t="e">
        <f>VLOOKUP(Cpi_[[#This Row],[Attribute]],#REF!,2,FALSE)</f>
        <v>#REF!</v>
      </c>
      <c r="F9436">
        <v>191.5</v>
      </c>
      <c r="G9436">
        <f>(Cpi_[[#This Row],[Value]]-F9435)/F9435</f>
        <v>0.18502475247524758</v>
      </c>
      <c r="H9436" t="e" cm="1" vm="1">
        <f t="array" aca="1" ref="H9436" ca="1">VLOOKUP(Cpi_[[#This Row],[Year]:[Month]],crudeoil[],3,FALSE)</f>
        <v>#VALUE!</v>
      </c>
    </row>
    <row r="9437" spans="1:8" hidden="1" x14ac:dyDescent="0.3">
      <c r="A9437" t="s">
        <v>33</v>
      </c>
      <c r="B9437">
        <v>2022</v>
      </c>
      <c r="C9437" t="s">
        <v>43</v>
      </c>
      <c r="D9437" t="s">
        <v>15</v>
      </c>
      <c r="E9437" t="e">
        <f>VLOOKUP(Cpi_[[#This Row],[Attribute]],#REF!,2,FALSE)</f>
        <v>#REF!</v>
      </c>
      <c r="F9437">
        <v>183.3</v>
      </c>
      <c r="G9437">
        <f>(Cpi_[[#This Row],[Value]]-F9436)/F9436</f>
        <v>-4.2819843342036493E-2</v>
      </c>
      <c r="H9437" t="e" cm="1" vm="1">
        <f t="array" aca="1" ref="H9437" ca="1">VLOOKUP(Cpi_[[#This Row],[Year]:[Month]],crudeoil[],3,FALSE)</f>
        <v>#VALUE!</v>
      </c>
    </row>
    <row r="9438" spans="1:8" hidden="1" x14ac:dyDescent="0.3">
      <c r="A9438" t="s">
        <v>33</v>
      </c>
      <c r="B9438">
        <v>2022</v>
      </c>
      <c r="C9438" t="s">
        <v>43</v>
      </c>
      <c r="D9438" t="s">
        <v>16</v>
      </c>
      <c r="E9438" t="e">
        <f>VLOOKUP(Cpi_[[#This Row],[Attribute]],#REF!,2,FALSE)</f>
        <v>#REF!</v>
      </c>
      <c r="F9438">
        <v>200.1</v>
      </c>
      <c r="G9438">
        <f>(Cpi_[[#This Row],[Value]]-F9437)/F9437</f>
        <v>9.1653027823240488E-2</v>
      </c>
      <c r="H9438" t="e" cm="1" vm="1">
        <f t="array" aca="1" ref="H9438" ca="1">VLOOKUP(Cpi_[[#This Row],[Year]:[Month]],crudeoil[],3,FALSE)</f>
        <v>#VALUE!</v>
      </c>
    </row>
    <row r="9439" spans="1:8" hidden="1" x14ac:dyDescent="0.3">
      <c r="A9439" t="s">
        <v>33</v>
      </c>
      <c r="B9439">
        <v>2022</v>
      </c>
      <c r="C9439" t="s">
        <v>43</v>
      </c>
      <c r="D9439" t="s">
        <v>17</v>
      </c>
      <c r="E9439" t="e">
        <f>VLOOKUP(Cpi_[[#This Row],[Attribute]],#REF!,2,FALSE)</f>
        <v>#REF!</v>
      </c>
      <c r="F9439">
        <v>175.5</v>
      </c>
      <c r="G9439">
        <f>(Cpi_[[#This Row],[Value]]-F9438)/F9438</f>
        <v>-0.12293853073463266</v>
      </c>
      <c r="H9439" t="e" cm="1" vm="1">
        <f t="array" aca="1" ref="H9439" ca="1">VLOOKUP(Cpi_[[#This Row],[Year]:[Month]],crudeoil[],3,FALSE)</f>
        <v>#VALUE!</v>
      </c>
    </row>
    <row r="9440" spans="1:8" hidden="1" x14ac:dyDescent="0.3">
      <c r="A9440" t="s">
        <v>33</v>
      </c>
      <c r="B9440">
        <v>2022</v>
      </c>
      <c r="C9440" t="s">
        <v>43</v>
      </c>
      <c r="D9440" t="s">
        <v>18</v>
      </c>
      <c r="E9440" t="e">
        <f>VLOOKUP(Cpi_[[#This Row],[Attribute]],#REF!,2,FALSE)</f>
        <v>#REF!</v>
      </c>
      <c r="F9440">
        <v>162.6</v>
      </c>
      <c r="G9440">
        <f>(Cpi_[[#This Row],[Value]]-F9439)/F9439</f>
        <v>-7.3504273504273535E-2</v>
      </c>
      <c r="H9440" t="e" cm="1" vm="1">
        <f t="array" aca="1" ref="H9440" ca="1">VLOOKUP(Cpi_[[#This Row],[Year]:[Month]],crudeoil[],3,FALSE)</f>
        <v>#VALUE!</v>
      </c>
    </row>
    <row r="9441" spans="1:10" hidden="1" x14ac:dyDescent="0.3">
      <c r="A9441" t="s">
        <v>33</v>
      </c>
      <c r="B9441">
        <v>2022</v>
      </c>
      <c r="C9441" t="s">
        <v>43</v>
      </c>
      <c r="D9441" t="s">
        <v>19</v>
      </c>
      <c r="E9441" t="e">
        <f>VLOOKUP(Cpi_[[#This Row],[Attribute]],#REF!,2,FALSE)</f>
        <v>#REF!</v>
      </c>
      <c r="F9441">
        <v>173.6</v>
      </c>
      <c r="G9441">
        <f>(Cpi_[[#This Row],[Value]]-F9440)/F9440</f>
        <v>6.7650676506765067E-2</v>
      </c>
      <c r="H9441" t="e" cm="1" vm="1">
        <f t="array" aca="1" ref="H9441" ca="1">VLOOKUP(Cpi_[[#This Row],[Year]:[Month]],crudeoil[],3,FALSE)</f>
        <v>#VALUE!</v>
      </c>
    </row>
    <row r="9442" spans="1:10" hidden="1" x14ac:dyDescent="0.3">
      <c r="A9442" t="s">
        <v>33</v>
      </c>
      <c r="B9442">
        <v>2022</v>
      </c>
      <c r="C9442" t="s">
        <v>43</v>
      </c>
      <c r="D9442" t="s">
        <v>20</v>
      </c>
      <c r="E9442" t="e">
        <f>VLOOKUP(Cpi_[[#This Row],[Attribute]],#REF!,2,FALSE)</f>
        <v>#REF!</v>
      </c>
      <c r="F9442">
        <v>171.2</v>
      </c>
      <c r="G9442">
        <f>(Cpi_[[#This Row],[Value]]-F9441)/F9441</f>
        <v>-1.3824884792626762E-2</v>
      </c>
      <c r="H9442" t="e" cm="1" vm="1">
        <f t="array" aca="1" ref="H9442" ca="1">VLOOKUP(Cpi_[[#This Row],[Year]:[Month]],crudeoil[],3,FALSE)</f>
        <v>#VALUE!</v>
      </c>
    </row>
    <row r="9443" spans="1:10" hidden="1" x14ac:dyDescent="0.3">
      <c r="A9443" t="s">
        <v>33</v>
      </c>
      <c r="B9443">
        <v>2022</v>
      </c>
      <c r="C9443" t="s">
        <v>43</v>
      </c>
      <c r="D9443" t="s">
        <v>21</v>
      </c>
      <c r="E9443" t="e">
        <f>VLOOKUP(Cpi_[[#This Row],[Attribute]],#REF!,2,FALSE)</f>
        <v>#REF!</v>
      </c>
      <c r="F9443">
        <v>180</v>
      </c>
      <c r="G9443">
        <f>(Cpi_[[#This Row],[Value]]-F9442)/F9442</f>
        <v>5.1401869158878573E-2</v>
      </c>
      <c r="H9443" t="e" cm="1" vm="1">
        <f t="array" aca="1" ref="H9443" ca="1">VLOOKUP(Cpi_[[#This Row],[Year]:[Month]],crudeoil[],3,FALSE)</f>
        <v>#VALUE!</v>
      </c>
    </row>
    <row r="9444" spans="1:10" hidden="1" x14ac:dyDescent="0.3">
      <c r="A9444" t="s">
        <v>33</v>
      </c>
      <c r="B9444">
        <v>2022</v>
      </c>
      <c r="C9444" t="s">
        <v>43</v>
      </c>
      <c r="D9444" t="s">
        <v>22</v>
      </c>
      <c r="E9444" t="e">
        <f>VLOOKUP(Cpi_[[#This Row],[Attribute]],#REF!,2,FALSE)</f>
        <v>#REF!</v>
      </c>
      <c r="F9444">
        <v>166</v>
      </c>
      <c r="G9444">
        <f>(Cpi_[[#This Row],[Value]]-F9443)/F9443</f>
        <v>-7.7777777777777779E-2</v>
      </c>
      <c r="H9444" t="e" cm="1" vm="1">
        <f t="array" aca="1" ref="H9444" ca="1">VLOOKUP(Cpi_[[#This Row],[Year]:[Month]],crudeoil[],3,FALSE)</f>
        <v>#VALUE!</v>
      </c>
    </row>
    <row r="9445" spans="1:10" hidden="1" x14ac:dyDescent="0.3">
      <c r="A9445" t="s">
        <v>33</v>
      </c>
      <c r="B9445">
        <v>2022</v>
      </c>
      <c r="C9445" t="s">
        <v>43</v>
      </c>
      <c r="D9445" t="s">
        <v>23</v>
      </c>
      <c r="E9445" t="e">
        <f>VLOOKUP(Cpi_[[#This Row],[Attribute]],#REF!,2,FALSE)</f>
        <v>#REF!</v>
      </c>
      <c r="F9445">
        <v>174.7</v>
      </c>
      <c r="G9445">
        <f>(Cpi_[[#This Row],[Value]]-F9444)/F9444</f>
        <v>5.2409638554216799E-2</v>
      </c>
      <c r="H9445" t="e" cm="1" vm="1">
        <f t="array" aca="1" ref="H9445" ca="1">VLOOKUP(Cpi_[[#This Row],[Year]:[Month]],crudeoil[],3,FALSE)</f>
        <v>#VALUE!</v>
      </c>
    </row>
    <row r="9446" spans="1:10" hidden="1" x14ac:dyDescent="0.3">
      <c r="A9446" t="s">
        <v>33</v>
      </c>
      <c r="B9446">
        <v>2022</v>
      </c>
      <c r="C9446" t="s">
        <v>43</v>
      </c>
      <c r="D9446" t="s">
        <v>24</v>
      </c>
      <c r="E9446" t="e">
        <f>VLOOKUP(Cpi_[[#This Row],[Attribute]],#REF!,2,FALSE)</f>
        <v>#REF!</v>
      </c>
      <c r="F9446">
        <v>158.80000000000001</v>
      </c>
      <c r="G9446">
        <f>(Cpi_[[#This Row],[Value]]-F9445)/F9445</f>
        <v>-9.1013165426445206E-2</v>
      </c>
      <c r="H9446" t="e" cm="1" vm="1">
        <f t="array" aca="1" ref="H9446" ca="1">VLOOKUP(Cpi_[[#This Row],[Year]:[Month]],crudeoil[],3,FALSE)</f>
        <v>#VALUE!</v>
      </c>
    </row>
    <row r="9447" spans="1:10" hidden="1" x14ac:dyDescent="0.3">
      <c r="A9447" t="s">
        <v>33</v>
      </c>
      <c r="B9447">
        <v>2022</v>
      </c>
      <c r="C9447" t="s">
        <v>43</v>
      </c>
      <c r="D9447" t="s">
        <v>25</v>
      </c>
      <c r="E9447" t="e">
        <f>VLOOKUP(Cpi_[[#This Row],[Attribute]],#REF!,2,FALSE)</f>
        <v>#REF!</v>
      </c>
      <c r="F9447">
        <v>166.3</v>
      </c>
      <c r="G9447">
        <f>(Cpi_[[#This Row],[Value]]-F9446)/F9446</f>
        <v>4.722921914357682E-2</v>
      </c>
      <c r="H9447" t="e" cm="1" vm="1">
        <f t="array" aca="1" ref="H9447" ca="1">VLOOKUP(Cpi_[[#This Row],[Year]:[Month]],crudeoil[],3,FALSE)</f>
        <v>#VALUE!</v>
      </c>
    </row>
    <row r="9448" spans="1:10" hidden="1" x14ac:dyDescent="0.3">
      <c r="A9448" t="s">
        <v>33</v>
      </c>
      <c r="B9448">
        <v>2022</v>
      </c>
      <c r="C9448" t="s">
        <v>43</v>
      </c>
      <c r="D9448" t="s">
        <v>26</v>
      </c>
      <c r="E9448" t="e">
        <f>VLOOKUP(Cpi_[[#This Row],[Attribute]],#REF!,2,FALSE)</f>
        <v>#REF!</v>
      </c>
      <c r="F9448">
        <v>171.2</v>
      </c>
      <c r="G9448">
        <f>(Cpi_[[#This Row],[Value]]-F9447)/F9447</f>
        <v>2.9464822609741294E-2</v>
      </c>
      <c r="H9448" t="e" cm="1" vm="1">
        <f t="array" aca="1" ref="H9448" ca="1">VLOOKUP(Cpi_[[#This Row],[Year]:[Month]],crudeoil[],3,FALSE)</f>
        <v>#VALUE!</v>
      </c>
    </row>
    <row r="9449" spans="1:10" hidden="1" x14ac:dyDescent="0.3">
      <c r="A9449" t="s">
        <v>33</v>
      </c>
      <c r="B9449">
        <v>2022</v>
      </c>
      <c r="C9449" t="s">
        <v>43</v>
      </c>
      <c r="D9449" t="s">
        <v>27</v>
      </c>
      <c r="E9449" t="e">
        <f>VLOOKUP(Cpi_[[#This Row],[Attribute]],#REF!,2,FALSE)</f>
        <v>#REF!</v>
      </c>
      <c r="F9449">
        <v>172.3</v>
      </c>
      <c r="G9449">
        <f>(Cpi_[[#This Row],[Value]]-F9448)/F9448</f>
        <v>6.4252336448599465E-3</v>
      </c>
      <c r="H9449" t="e" cm="1" vm="1">
        <f t="array" aca="1" ref="H9449" ca="1">VLOOKUP(Cpi_[[#This Row],[Year]:[Month]],crudeoil[],3,FALSE)</f>
        <v>#VALUE!</v>
      </c>
    </row>
    <row r="9450" spans="1:10" hidden="1" x14ac:dyDescent="0.3">
      <c r="A9450" t="s">
        <v>33</v>
      </c>
      <c r="B9450">
        <v>2022</v>
      </c>
      <c r="C9450" t="s">
        <v>43</v>
      </c>
      <c r="D9450" t="s">
        <v>28</v>
      </c>
      <c r="E9450" t="e">
        <f>VLOOKUP(Cpi_[[#This Row],[Attribute]],#REF!,2,FALSE)</f>
        <v>#REF!</v>
      </c>
      <c r="F9450">
        <v>166.8</v>
      </c>
      <c r="G9450">
        <f>(Cpi_[[#This Row],[Value]]-F9449)/F9449</f>
        <v>-3.1921067904817177E-2</v>
      </c>
      <c r="H9450" t="e" cm="1" vm="1">
        <f t="array" aca="1" ref="H9450" ca="1">VLOOKUP(Cpi_[[#This Row],[Year]:[Month]],crudeoil[],3,FALSE)</f>
        <v>#VALUE!</v>
      </c>
    </row>
    <row r="9451" spans="1:10" hidden="1" x14ac:dyDescent="0.3">
      <c r="A9451" t="s">
        <v>33</v>
      </c>
      <c r="B9451">
        <v>2022</v>
      </c>
      <c r="C9451" t="s">
        <v>43</v>
      </c>
      <c r="D9451" t="s">
        <v>29</v>
      </c>
      <c r="E9451" t="e" cm="1">
        <f t="array" aca="1" ref="E9451" ca="1">VLGeneral indexGeneral indexKUP(Cpi_[[#This Row],[Attribute]],#REF!,2,FALSE)</f>
        <v>#NAME?</v>
      </c>
      <c r="F9451">
        <v>175.3</v>
      </c>
      <c r="G9451">
        <f>(Cpi_[[#This Row],[Value]]-F9450)/F9450</f>
        <v>5.0959232613908868E-2</v>
      </c>
      <c r="H9451" t="e" cm="1" vm="1">
        <f t="array" aca="1" ref="H9451" ca="1">VLOOKUP(Cpi_[[#This Row],[Year]:[Month]],crudeoil[],3,FALSE)</f>
        <v>#VALUE!</v>
      </c>
    </row>
    <row r="9452" spans="1:10" hidden="1" x14ac:dyDescent="0.3">
      <c r="A9452" t="s">
        <v>34</v>
      </c>
      <c r="B9452">
        <v>2022</v>
      </c>
      <c r="C9452" t="s">
        <v>43</v>
      </c>
      <c r="D9452" t="s">
        <v>3</v>
      </c>
      <c r="E9452" t="e">
        <f>VLOOKUP(Cpi_[[#This Row],[Attribute]],#REF!,2,FALSE)</f>
        <v>#REF!</v>
      </c>
      <c r="F9452">
        <v>165.2</v>
      </c>
      <c r="G9452">
        <f>(Cpi_[[#This Row],[Value]]-F9451)/F9451</f>
        <v>-5.7615516257843821E-2</v>
      </c>
      <c r="H9452" t="e" cm="1" vm="1">
        <f t="array" aca="1" ref="H9452" ca="1">VLOOKUP(Cpi_[[#This Row],[Year]:[Month]],crudeoil[],3,FALSE)</f>
        <v>#VALUE!</v>
      </c>
    </row>
    <row r="9453" spans="1:10" x14ac:dyDescent="0.3">
      <c r="A9453" t="s">
        <v>34</v>
      </c>
      <c r="B9453">
        <v>2022</v>
      </c>
      <c r="C9453" t="s">
        <v>43</v>
      </c>
      <c r="D9453" t="s">
        <v>4</v>
      </c>
      <c r="E9453" t="e">
        <f>VLOOKUP(Cpi_[[#This Row],[Attribute]],#REF!,2,FALSE)</f>
        <v>#REF!</v>
      </c>
      <c r="F9453">
        <v>210.9</v>
      </c>
      <c r="G9453" s="42">
        <f>(Cpi_[[#This Row],[Value]]-F9452)/F9452</f>
        <v>0.27663438256658607</v>
      </c>
      <c r="H9453" t="str">
        <f>LEFT(Cpi_[[#This Row],[Month]],3)</f>
        <v>Oct</v>
      </c>
      <c r="I9453" t="str">
        <f>RIGHT(Cpi_[[#This Row],[Year]],2)</f>
        <v>22</v>
      </c>
      <c r="J9453" t="str">
        <f>Cpi_[[#This Row],[Column3]]&amp;"-"&amp;Cpi_[[#This Row],[Column4]]</f>
        <v>Oct-22</v>
      </c>
    </row>
    <row r="9454" spans="1:10" x14ac:dyDescent="0.3">
      <c r="A9454" t="s">
        <v>34</v>
      </c>
      <c r="B9454">
        <v>2022</v>
      </c>
      <c r="C9454" t="s">
        <v>43</v>
      </c>
      <c r="D9454" t="s">
        <v>5</v>
      </c>
      <c r="E9454" t="e">
        <f>VLOOKUP(Cpi_[[#This Row],[Attribute]],#REF!,2,FALSE)</f>
        <v>#REF!</v>
      </c>
      <c r="F9454">
        <v>170.9</v>
      </c>
      <c r="G9454" s="42">
        <f>(Cpi_[[#This Row],[Value]]-F9453)/F9453</f>
        <v>-0.18966334755808439</v>
      </c>
      <c r="H9454" t="str">
        <f>LEFT(Cpi_[[#This Row],[Month]],3)</f>
        <v>Oct</v>
      </c>
      <c r="I9454" t="str">
        <f>RIGHT(Cpi_[[#This Row],[Year]],2)</f>
        <v>22</v>
      </c>
      <c r="J9454" t="str">
        <f>Cpi_[[#This Row],[Column3]]&amp;"-"&amp;Cpi_[[#This Row],[Column4]]</f>
        <v>Oct-22</v>
      </c>
    </row>
    <row r="9455" spans="1:10" x14ac:dyDescent="0.3">
      <c r="A9455" t="s">
        <v>34</v>
      </c>
      <c r="B9455">
        <v>2022</v>
      </c>
      <c r="C9455" t="s">
        <v>43</v>
      </c>
      <c r="D9455" t="s">
        <v>6</v>
      </c>
      <c r="E9455" t="e">
        <f>VLOOKUP(Cpi_[[#This Row],[Attribute]],#REF!,2,FALSE)</f>
        <v>#REF!</v>
      </c>
      <c r="F9455">
        <v>170.9</v>
      </c>
      <c r="G9455" s="42">
        <f>(Cpi_[[#This Row],[Value]]-F9454)/F9454</f>
        <v>0</v>
      </c>
      <c r="H9455" t="str">
        <f>LEFT(Cpi_[[#This Row],[Month]],3)</f>
        <v>Oct</v>
      </c>
      <c r="I9455" t="str">
        <f>RIGHT(Cpi_[[#This Row],[Year]],2)</f>
        <v>22</v>
      </c>
      <c r="J9455" t="str">
        <f>Cpi_[[#This Row],[Column3]]&amp;"-"&amp;Cpi_[[#This Row],[Column4]]</f>
        <v>Oct-22</v>
      </c>
    </row>
    <row r="9456" spans="1:10" x14ac:dyDescent="0.3">
      <c r="A9456" t="s">
        <v>34</v>
      </c>
      <c r="B9456">
        <v>2022</v>
      </c>
      <c r="C9456" t="s">
        <v>43</v>
      </c>
      <c r="D9456" t="s">
        <v>7</v>
      </c>
      <c r="E9456" t="e">
        <f>VLOOKUP(Cpi_[[#This Row],[Attribute]],#REF!,2,FALSE)</f>
        <v>#REF!</v>
      </c>
      <c r="F9456">
        <v>186.5</v>
      </c>
      <c r="G9456" s="42">
        <f>(Cpi_[[#This Row],[Value]]-F9455)/F9455</f>
        <v>9.12814511410181E-2</v>
      </c>
      <c r="H9456" t="str">
        <f>LEFT(Cpi_[[#This Row],[Month]],3)</f>
        <v>Oct</v>
      </c>
      <c r="I9456" t="str">
        <f>RIGHT(Cpi_[[#This Row],[Year]],2)</f>
        <v>22</v>
      </c>
      <c r="J9456" t="str">
        <f>Cpi_[[#This Row],[Column3]]&amp;"-"&amp;Cpi_[[#This Row],[Column4]]</f>
        <v>Oct-22</v>
      </c>
    </row>
    <row r="9457" spans="1:10" x14ac:dyDescent="0.3">
      <c r="A9457" t="s">
        <v>34</v>
      </c>
      <c r="B9457">
        <v>2022</v>
      </c>
      <c r="C9457" t="s">
        <v>43</v>
      </c>
      <c r="D9457" t="s">
        <v>8</v>
      </c>
      <c r="E9457" t="e">
        <f>VLOOKUP(Cpi_[[#This Row],[Attribute]],#REF!,2,FALSE)</f>
        <v>#REF!</v>
      </c>
      <c r="F9457">
        <v>163.80000000000001</v>
      </c>
      <c r="G9457" s="42">
        <f>(Cpi_[[#This Row],[Value]]-F9456)/F9456</f>
        <v>-0.12171581769436991</v>
      </c>
      <c r="H9457" t="str">
        <f>LEFT(Cpi_[[#This Row],[Month]],3)</f>
        <v>Oct</v>
      </c>
      <c r="I9457" t="str">
        <f>RIGHT(Cpi_[[#This Row],[Year]],2)</f>
        <v>22</v>
      </c>
      <c r="J9457" t="str">
        <f>Cpi_[[#This Row],[Column3]]&amp;"-"&amp;Cpi_[[#This Row],[Column4]]</f>
        <v>Oct-22</v>
      </c>
    </row>
    <row r="9458" spans="1:10" x14ac:dyDescent="0.3">
      <c r="A9458" t="s">
        <v>34</v>
      </c>
      <c r="B9458">
        <v>2022</v>
      </c>
      <c r="C9458" t="s">
        <v>43</v>
      </c>
      <c r="D9458" t="s">
        <v>9</v>
      </c>
      <c r="E9458" t="e">
        <f>VLOOKUP(Cpi_[[#This Row],[Attribute]],#REF!,2,FALSE)</f>
        <v>#REF!</v>
      </c>
      <c r="F9458">
        <v>199.7</v>
      </c>
      <c r="G9458" s="42">
        <f>(Cpi_[[#This Row],[Value]]-F9457)/F9457</f>
        <v>0.21916971916971903</v>
      </c>
      <c r="H9458" t="str">
        <f>LEFT(Cpi_[[#This Row],[Month]],3)</f>
        <v>Oct</v>
      </c>
      <c r="I9458" t="str">
        <f>RIGHT(Cpi_[[#This Row],[Year]],2)</f>
        <v>22</v>
      </c>
      <c r="J9458" t="str">
        <f>Cpi_[[#This Row],[Column3]]&amp;"-"&amp;Cpi_[[#This Row],[Column4]]</f>
        <v>Oct-22</v>
      </c>
    </row>
    <row r="9459" spans="1:10" x14ac:dyDescent="0.3">
      <c r="A9459" t="s">
        <v>34</v>
      </c>
      <c r="B9459">
        <v>2022</v>
      </c>
      <c r="C9459" t="s">
        <v>43</v>
      </c>
      <c r="D9459" t="s">
        <v>10</v>
      </c>
      <c r="E9459" t="e">
        <f>VLOOKUP(Cpi_[[#This Row],[Attribute]],#REF!,2,FALSE)</f>
        <v>#REF!</v>
      </c>
      <c r="F9459">
        <v>169.8</v>
      </c>
      <c r="G9459" s="42">
        <f>(Cpi_[[#This Row],[Value]]-F9458)/F9458</f>
        <v>-0.14972458688032037</v>
      </c>
      <c r="H9459" t="str">
        <f>LEFT(Cpi_[[#This Row],[Month]],3)</f>
        <v>Oct</v>
      </c>
      <c r="I9459" t="str">
        <f>RIGHT(Cpi_[[#This Row],[Year]],2)</f>
        <v>22</v>
      </c>
      <c r="J9459" t="str">
        <f>Cpi_[[#This Row],[Column3]]&amp;"-"&amp;Cpi_[[#This Row],[Column4]]</f>
        <v>Oct-22</v>
      </c>
    </row>
    <row r="9460" spans="1:10" x14ac:dyDescent="0.3">
      <c r="A9460" t="s">
        <v>34</v>
      </c>
      <c r="B9460">
        <v>2022</v>
      </c>
      <c r="C9460" t="s">
        <v>43</v>
      </c>
      <c r="D9460" t="s">
        <v>11</v>
      </c>
      <c r="E9460" t="e">
        <f>VLOOKUP(Cpi_[[#This Row],[Attribute]],#REF!,2,FALSE)</f>
        <v>#REF!</v>
      </c>
      <c r="F9460">
        <v>121.9</v>
      </c>
      <c r="G9460" s="42">
        <f>(Cpi_[[#This Row],[Value]]-F9459)/F9459</f>
        <v>-0.28209658421672557</v>
      </c>
      <c r="H9460" t="str">
        <f>LEFT(Cpi_[[#This Row],[Month]],3)</f>
        <v>Oct</v>
      </c>
      <c r="I9460" t="str">
        <f>RIGHT(Cpi_[[#This Row],[Year]],2)</f>
        <v>22</v>
      </c>
      <c r="J9460" t="str">
        <f>Cpi_[[#This Row],[Column3]]&amp;"-"&amp;Cpi_[[#This Row],[Column4]]</f>
        <v>Oct-22</v>
      </c>
    </row>
    <row r="9461" spans="1:10" x14ac:dyDescent="0.3">
      <c r="A9461" t="s">
        <v>34</v>
      </c>
      <c r="B9461">
        <v>2022</v>
      </c>
      <c r="C9461" t="s">
        <v>43</v>
      </c>
      <c r="D9461" t="s">
        <v>12</v>
      </c>
      <c r="E9461" t="e">
        <f>VLOOKUP(Cpi_[[#This Row],[Attribute]],#REF!,2,FALSE)</f>
        <v>#REF!</v>
      </c>
      <c r="F9461">
        <v>199.9</v>
      </c>
      <c r="G9461" s="42">
        <f>(Cpi_[[#This Row],[Value]]-F9460)/F9460</f>
        <v>0.63986874487284662</v>
      </c>
      <c r="H9461" t="str">
        <f>LEFT(Cpi_[[#This Row],[Month]],3)</f>
        <v>Oct</v>
      </c>
      <c r="I9461" t="str">
        <f>RIGHT(Cpi_[[#This Row],[Year]],2)</f>
        <v>22</v>
      </c>
      <c r="J9461" t="str">
        <f>Cpi_[[#This Row],[Column3]]&amp;"-"&amp;Cpi_[[#This Row],[Column4]]</f>
        <v>Oct-22</v>
      </c>
    </row>
    <row r="9462" spans="1:10" x14ac:dyDescent="0.3">
      <c r="A9462" t="s">
        <v>34</v>
      </c>
      <c r="B9462">
        <v>2022</v>
      </c>
      <c r="C9462" t="s">
        <v>43</v>
      </c>
      <c r="D9462" t="s">
        <v>13</v>
      </c>
      <c r="E9462" t="e">
        <f>VLOOKUP(Cpi_[[#This Row],[Attribute]],#REF!,2,FALSE)</f>
        <v>#REF!</v>
      </c>
      <c r="F9462">
        <v>169.9</v>
      </c>
      <c r="G9462" s="42">
        <f>(Cpi_[[#This Row],[Value]]-F9461)/F9461</f>
        <v>-0.15007503751875936</v>
      </c>
      <c r="H9462" t="str">
        <f>LEFT(Cpi_[[#This Row],[Month]],3)</f>
        <v>Oct</v>
      </c>
      <c r="I9462" t="str">
        <f>RIGHT(Cpi_[[#This Row],[Year]],2)</f>
        <v>22</v>
      </c>
      <c r="J9462" t="str">
        <f>Cpi_[[#This Row],[Column3]]&amp;"-"&amp;Cpi_[[#This Row],[Column4]]</f>
        <v>Oct-22</v>
      </c>
    </row>
    <row r="9463" spans="1:10" x14ac:dyDescent="0.3">
      <c r="A9463" t="s">
        <v>34</v>
      </c>
      <c r="B9463">
        <v>2022</v>
      </c>
      <c r="C9463" t="s">
        <v>43</v>
      </c>
      <c r="D9463" t="s">
        <v>14</v>
      </c>
      <c r="E9463" t="e">
        <f>VLOOKUP(Cpi_[[#This Row],[Attribute]],#REF!,2,FALSE)</f>
        <v>#REF!</v>
      </c>
      <c r="F9463">
        <v>188.3</v>
      </c>
      <c r="G9463" s="42">
        <f>(Cpi_[[#This Row],[Value]]-F9462)/F9462</f>
        <v>0.10829899941141852</v>
      </c>
      <c r="H9463" t="str">
        <f>LEFT(Cpi_[[#This Row],[Month]],3)</f>
        <v>Oct</v>
      </c>
      <c r="I9463" t="str">
        <f>RIGHT(Cpi_[[#This Row],[Year]],2)</f>
        <v>22</v>
      </c>
      <c r="J9463" t="str">
        <f>Cpi_[[#This Row],[Column3]]&amp;"-"&amp;Cpi_[[#This Row],[Column4]]</f>
        <v>Oct-22</v>
      </c>
    </row>
    <row r="9464" spans="1:10" x14ac:dyDescent="0.3">
      <c r="A9464" t="s">
        <v>34</v>
      </c>
      <c r="B9464">
        <v>2022</v>
      </c>
      <c r="C9464" t="s">
        <v>43</v>
      </c>
      <c r="D9464" t="s">
        <v>15</v>
      </c>
      <c r="E9464" t="e">
        <f>VLOOKUP(Cpi_[[#This Row],[Attribute]],#REF!,2,FALSE)</f>
        <v>#REF!</v>
      </c>
      <c r="F9464">
        <v>179.6</v>
      </c>
      <c r="G9464" s="42">
        <f>(Cpi_[[#This Row],[Value]]-F9463)/F9463</f>
        <v>-4.6202867764206144E-2</v>
      </c>
      <c r="H9464" t="str">
        <f>LEFT(Cpi_[[#This Row],[Month]],3)</f>
        <v>Oct</v>
      </c>
      <c r="I9464" t="str">
        <f>RIGHT(Cpi_[[#This Row],[Year]],2)</f>
        <v>22</v>
      </c>
      <c r="J9464" t="str">
        <f>Cpi_[[#This Row],[Column3]]&amp;"-"&amp;Cpi_[[#This Row],[Column4]]</f>
        <v>Oct-22</v>
      </c>
    </row>
    <row r="9465" spans="1:10" hidden="1" x14ac:dyDescent="0.3">
      <c r="A9465" t="s">
        <v>34</v>
      </c>
      <c r="B9465">
        <v>2022</v>
      </c>
      <c r="C9465" t="s">
        <v>43</v>
      </c>
      <c r="D9465" t="s">
        <v>16</v>
      </c>
      <c r="E9465" t="e">
        <f>VLOOKUP(Cpi_[[#This Row],[Attribute]],#REF!,2,FALSE)</f>
        <v>#REF!</v>
      </c>
      <c r="F9465">
        <v>196.3</v>
      </c>
      <c r="G9465">
        <f>(Cpi_[[#This Row],[Value]]-F9464)/F9464</f>
        <v>9.2984409799554663E-2</v>
      </c>
      <c r="H9465" t="e" cm="1" vm="1">
        <f t="array" aca="1" ref="H9465" ca="1">VLOOKUP(Cpi_[[#This Row],[Year]:[Month]],crudeoil[],3,FALSE)</f>
        <v>#VALUE!</v>
      </c>
    </row>
    <row r="9466" spans="1:10" hidden="1" x14ac:dyDescent="0.3">
      <c r="A9466" t="s">
        <v>34</v>
      </c>
      <c r="B9466">
        <v>2022</v>
      </c>
      <c r="C9466" t="s">
        <v>43</v>
      </c>
      <c r="D9466" t="s">
        <v>17</v>
      </c>
      <c r="E9466" t="e">
        <f>VLOOKUP(Cpi_[[#This Row],[Attribute]],#REF!,2,FALSE)</f>
        <v>#REF!</v>
      </c>
      <c r="F9466">
        <v>181.9</v>
      </c>
      <c r="G9466">
        <f>(Cpi_[[#This Row],[Value]]-F9465)/F9465</f>
        <v>-7.3357106469689279E-2</v>
      </c>
      <c r="H9466" t="e" cm="1" vm="1">
        <f t="array" aca="1" ref="H9466" ca="1">VLOOKUP(Cpi_[[#This Row],[Year]:[Month]],crudeoil[],3,FALSE)</f>
        <v>#VALUE!</v>
      </c>
    </row>
    <row r="9467" spans="1:10" hidden="1" x14ac:dyDescent="0.3">
      <c r="A9467" t="s">
        <v>34</v>
      </c>
      <c r="B9467">
        <v>2022</v>
      </c>
      <c r="C9467" t="s">
        <v>43</v>
      </c>
      <c r="D9467" t="s">
        <v>18</v>
      </c>
      <c r="E9467" t="e">
        <f>VLOOKUP(Cpi_[[#This Row],[Attribute]],#REF!,2,FALSE)</f>
        <v>#REF!</v>
      </c>
      <c r="F9467">
        <v>175.3</v>
      </c>
      <c r="G9467">
        <f>(Cpi_[[#This Row],[Value]]-F9466)/F9466</f>
        <v>-3.6283672347443618E-2</v>
      </c>
      <c r="H9467" t="e" cm="1" vm="1">
        <f t="array" aca="1" ref="H9467" ca="1">VLOOKUP(Cpi_[[#This Row],[Year]:[Month]],crudeoil[],3,FALSE)</f>
        <v>#VALUE!</v>
      </c>
    </row>
    <row r="9468" spans="1:10" hidden="1" x14ac:dyDescent="0.3">
      <c r="A9468" t="s">
        <v>34</v>
      </c>
      <c r="B9468">
        <v>2022</v>
      </c>
      <c r="C9468" t="s">
        <v>43</v>
      </c>
      <c r="D9468" t="s">
        <v>19</v>
      </c>
      <c r="E9468" t="e">
        <f>VLOOKUP(Cpi_[[#This Row],[Attribute]],#REF!,2,FALSE)</f>
        <v>#REF!</v>
      </c>
      <c r="F9468">
        <v>181</v>
      </c>
      <c r="G9468">
        <f>(Cpi_[[#This Row],[Value]]-F9467)/F9467</f>
        <v>3.2515687393040435E-2</v>
      </c>
      <c r="H9468" t="e" cm="1" vm="1">
        <f t="array" aca="1" ref="H9468" ca="1">VLOOKUP(Cpi_[[#This Row],[Year]:[Month]],crudeoil[],3,FALSE)</f>
        <v>#VALUE!</v>
      </c>
    </row>
    <row r="9469" spans="1:10" hidden="1" x14ac:dyDescent="0.3">
      <c r="A9469" t="s">
        <v>34</v>
      </c>
      <c r="B9469">
        <v>2022</v>
      </c>
      <c r="C9469" t="s">
        <v>43</v>
      </c>
      <c r="D9469" t="s">
        <v>20</v>
      </c>
      <c r="E9469" t="e">
        <f>VLOOKUP(Cpi_[[#This Row],[Attribute]],#REF!,2,FALSE)</f>
        <v>#REF!</v>
      </c>
      <c r="F9469">
        <v>171.2</v>
      </c>
      <c r="G9469">
        <f>(Cpi_[[#This Row],[Value]]-F9468)/F9468</f>
        <v>-5.4143646408839841E-2</v>
      </c>
      <c r="H9469" t="e" cm="1" vm="1">
        <f t="array" aca="1" ref="H9469" ca="1">VLOOKUP(Cpi_[[#This Row],[Year]:[Month]],crudeoil[],3,FALSE)</f>
        <v>#VALUE!</v>
      </c>
    </row>
    <row r="9470" spans="1:10" hidden="1" x14ac:dyDescent="0.3">
      <c r="A9470" t="s">
        <v>34</v>
      </c>
      <c r="B9470">
        <v>2022</v>
      </c>
      <c r="C9470" t="s">
        <v>43</v>
      </c>
      <c r="D9470" t="s">
        <v>21</v>
      </c>
      <c r="E9470" t="e">
        <f>VLOOKUP(Cpi_[[#This Row],[Attribute]],#REF!,2,FALSE)</f>
        <v>#REF!</v>
      </c>
      <c r="F9470">
        <v>180.5</v>
      </c>
      <c r="G9470">
        <f>(Cpi_[[#This Row],[Value]]-F9469)/F9469</f>
        <v>5.4322429906542125E-2</v>
      </c>
      <c r="H9470" t="e" cm="1" vm="1">
        <f t="array" aca="1" ref="H9470" ca="1">VLOOKUP(Cpi_[[#This Row],[Year]:[Month]],crudeoil[],3,FALSE)</f>
        <v>#VALUE!</v>
      </c>
    </row>
    <row r="9471" spans="1:10" hidden="1" x14ac:dyDescent="0.3">
      <c r="A9471" t="s">
        <v>34</v>
      </c>
      <c r="B9471">
        <v>2022</v>
      </c>
      <c r="C9471" t="s">
        <v>43</v>
      </c>
      <c r="D9471" t="s">
        <v>22</v>
      </c>
      <c r="E9471" t="e">
        <f>VLOOKUP(Cpi_[[#This Row],[Attribute]],#REF!,2,FALSE)</f>
        <v>#REF!</v>
      </c>
      <c r="F9471">
        <v>170.4</v>
      </c>
      <c r="G9471">
        <f>(Cpi_[[#This Row],[Value]]-F9470)/F9470</f>
        <v>-5.5955678670360082E-2</v>
      </c>
      <c r="H9471" t="e" cm="1" vm="1">
        <f t="array" aca="1" ref="H9471" ca="1">VLOOKUP(Cpi_[[#This Row],[Year]:[Month]],crudeoil[],3,FALSE)</f>
        <v>#VALUE!</v>
      </c>
    </row>
    <row r="9472" spans="1:10" hidden="1" x14ac:dyDescent="0.3">
      <c r="A9472" t="s">
        <v>34</v>
      </c>
      <c r="B9472">
        <v>2022</v>
      </c>
      <c r="C9472" t="s">
        <v>43</v>
      </c>
      <c r="D9472" t="s">
        <v>23</v>
      </c>
      <c r="E9472" t="e">
        <f>VLOOKUP(Cpi_[[#This Row],[Attribute]],#REF!,2,FALSE)</f>
        <v>#REF!</v>
      </c>
      <c r="F9472">
        <v>178.7</v>
      </c>
      <c r="G9472">
        <f>(Cpi_[[#This Row],[Value]]-F9471)/F9471</f>
        <v>4.8708920187793325E-2</v>
      </c>
      <c r="H9472" t="e" cm="1" vm="1">
        <f t="array" aca="1" ref="H9472" ca="1">VLOOKUP(Cpi_[[#This Row],[Year]:[Month]],crudeoil[],3,FALSE)</f>
        <v>#VALUE!</v>
      </c>
    </row>
    <row r="9473" spans="1:8" hidden="1" x14ac:dyDescent="0.3">
      <c r="A9473" t="s">
        <v>34</v>
      </c>
      <c r="B9473">
        <v>2022</v>
      </c>
      <c r="C9473" t="s">
        <v>43</v>
      </c>
      <c r="D9473" t="s">
        <v>24</v>
      </c>
      <c r="E9473" t="e">
        <f>VLOOKUP(Cpi_[[#This Row],[Attribute]],#REF!,2,FALSE)</f>
        <v>#REF!</v>
      </c>
      <c r="F9473">
        <v>162.9</v>
      </c>
      <c r="G9473">
        <f>(Cpi_[[#This Row],[Value]]-F9472)/F9472</f>
        <v>-8.8416340235030685E-2</v>
      </c>
      <c r="H9473" t="e" cm="1" vm="1">
        <f t="array" aca="1" ref="H9473" ca="1">VLOOKUP(Cpi_[[#This Row],[Year]:[Month]],crudeoil[],3,FALSE)</f>
        <v>#VALUE!</v>
      </c>
    </row>
    <row r="9474" spans="1:8" hidden="1" x14ac:dyDescent="0.3">
      <c r="A9474" t="s">
        <v>34</v>
      </c>
      <c r="B9474">
        <v>2022</v>
      </c>
      <c r="C9474" t="s">
        <v>43</v>
      </c>
      <c r="D9474" t="s">
        <v>25</v>
      </c>
      <c r="E9474" t="e">
        <f>VLOOKUP(Cpi_[[#This Row],[Attribute]],#REF!,2,FALSE)</f>
        <v>#REF!</v>
      </c>
      <c r="F9474">
        <v>168.2</v>
      </c>
      <c r="G9474">
        <f>(Cpi_[[#This Row],[Value]]-F9473)/F9473</f>
        <v>3.2535297728667791E-2</v>
      </c>
      <c r="H9474" t="e" cm="1" vm="1">
        <f t="array" aca="1" ref="H9474" ca="1">VLOOKUP(Cpi_[[#This Row],[Year]:[Month]],crudeoil[],3,FALSE)</f>
        <v>#VALUE!</v>
      </c>
    </row>
    <row r="9475" spans="1:8" hidden="1" x14ac:dyDescent="0.3">
      <c r="A9475" t="s">
        <v>34</v>
      </c>
      <c r="B9475">
        <v>2022</v>
      </c>
      <c r="C9475" t="s">
        <v>43</v>
      </c>
      <c r="D9475" t="s">
        <v>26</v>
      </c>
      <c r="E9475" t="e">
        <f>VLOOKUP(Cpi_[[#This Row],[Attribute]],#REF!,2,FALSE)</f>
        <v>#REF!</v>
      </c>
      <c r="F9475">
        <v>173.4</v>
      </c>
      <c r="G9475">
        <f>(Cpi_[[#This Row],[Value]]-F9474)/F9474</f>
        <v>3.0915576694411518E-2</v>
      </c>
      <c r="H9475" t="e" cm="1" vm="1">
        <f t="array" aca="1" ref="H9475" ca="1">VLOOKUP(Cpi_[[#This Row],[Year]:[Month]],crudeoil[],3,FALSE)</f>
        <v>#VALUE!</v>
      </c>
    </row>
    <row r="9476" spans="1:8" hidden="1" x14ac:dyDescent="0.3">
      <c r="A9476" t="s">
        <v>34</v>
      </c>
      <c r="B9476">
        <v>2022</v>
      </c>
      <c r="C9476" t="s">
        <v>43</v>
      </c>
      <c r="D9476" t="s">
        <v>27</v>
      </c>
      <c r="E9476" t="e">
        <f>VLOOKUP(Cpi_[[#This Row],[Attribute]],#REF!,2,FALSE)</f>
        <v>#REF!</v>
      </c>
      <c r="F9476">
        <v>172.1</v>
      </c>
      <c r="G9476">
        <f>(Cpi_[[#This Row],[Value]]-F9475)/F9475</f>
        <v>-7.4971164936563518E-3</v>
      </c>
      <c r="H9476" t="e" cm="1" vm="1">
        <f t="array" aca="1" ref="H9476" ca="1">VLOOKUP(Cpi_[[#This Row],[Year]:[Month]],crudeoil[],3,FALSE)</f>
        <v>#VALUE!</v>
      </c>
    </row>
    <row r="9477" spans="1:8" hidden="1" x14ac:dyDescent="0.3">
      <c r="A9477" t="s">
        <v>34</v>
      </c>
      <c r="B9477">
        <v>2022</v>
      </c>
      <c r="C9477" t="s">
        <v>43</v>
      </c>
      <c r="D9477" t="s">
        <v>28</v>
      </c>
      <c r="E9477" t="e">
        <f>VLOOKUP(Cpi_[[#This Row],[Attribute]],#REF!,2,FALSE)</f>
        <v>#REF!</v>
      </c>
      <c r="F9477">
        <v>170.5</v>
      </c>
      <c r="G9477">
        <f>(Cpi_[[#This Row],[Value]]-F9476)/F9476</f>
        <v>-9.2969203951190835E-3</v>
      </c>
      <c r="H9477" t="e" cm="1" vm="1">
        <f t="array" aca="1" ref="H9477" ca="1">VLOOKUP(Cpi_[[#This Row],[Year]:[Month]],crudeoil[],3,FALSE)</f>
        <v>#VALUE!</v>
      </c>
    </row>
    <row r="9478" spans="1:8" hidden="1" x14ac:dyDescent="0.3">
      <c r="A9478" t="s">
        <v>34</v>
      </c>
      <c r="B9478">
        <v>2022</v>
      </c>
      <c r="C9478" t="s">
        <v>43</v>
      </c>
      <c r="D9478" t="s">
        <v>29</v>
      </c>
      <c r="E9478" t="e" cm="1">
        <f t="array" aca="1" ref="E9478" ca="1">VLGeneral indexGeneral indexKUP(Cpi_[[#This Row],[Attribute]],#REF!,2,FALSE)</f>
        <v>#NAME?</v>
      </c>
      <c r="F9478">
        <v>176.7</v>
      </c>
      <c r="G9478">
        <f>(Cpi_[[#This Row],[Value]]-F9477)/F9477</f>
        <v>3.6363636363636299E-2</v>
      </c>
      <c r="H9478" t="e" cm="1" vm="1">
        <f t="array" aca="1" ref="H9478" ca="1">VLOOKUP(Cpi_[[#This Row],[Year]:[Month]],crudeoil[],3,FALSE)</f>
        <v>#VALUE!</v>
      </c>
    </row>
    <row r="9479" spans="1:8" hidden="1" x14ac:dyDescent="0.3">
      <c r="A9479" t="s">
        <v>30</v>
      </c>
      <c r="B9479">
        <v>2022</v>
      </c>
      <c r="C9479" t="s">
        <v>45</v>
      </c>
      <c r="D9479" t="s">
        <v>3</v>
      </c>
      <c r="E9479" t="e">
        <f>VLOOKUP(Cpi_[[#This Row],[Attribute]],#REF!,2,FALSE)</f>
        <v>#REF!</v>
      </c>
      <c r="F9479">
        <v>166.9</v>
      </c>
      <c r="G9479">
        <f>(Cpi_[[#This Row],[Value]]-F9478)/F9478</f>
        <v>-5.5461233729484909E-2</v>
      </c>
      <c r="H9479" t="e" cm="1" vm="1">
        <f t="array" aca="1" ref="H9479" ca="1">VLOOKUP(Cpi_[[#This Row],[Year]:[Month]],crudeoil[],3,FALSE)</f>
        <v>#VALUE!</v>
      </c>
    </row>
    <row r="9480" spans="1:8" hidden="1" x14ac:dyDescent="0.3">
      <c r="A9480" t="s">
        <v>30</v>
      </c>
      <c r="B9480">
        <v>2022</v>
      </c>
      <c r="C9480" t="s">
        <v>45</v>
      </c>
      <c r="D9480" t="s">
        <v>4</v>
      </c>
      <c r="E9480" t="e">
        <f>VLOOKUP(Cpi_[[#This Row],[Attribute]],#REF!,2,FALSE)</f>
        <v>#REF!</v>
      </c>
      <c r="F9480">
        <v>207.2</v>
      </c>
      <c r="G9480">
        <f>(Cpi_[[#This Row],[Value]]-F9479)/F9479</f>
        <v>0.2414619532654283</v>
      </c>
      <c r="H9480" t="e" cm="1" vm="1">
        <f t="array" aca="1" ref="H9480" ca="1">VLOOKUP(Cpi_[[#This Row],[Year]:[Month]],crudeoil[],3,FALSE)</f>
        <v>#VALUE!</v>
      </c>
    </row>
    <row r="9481" spans="1:8" hidden="1" x14ac:dyDescent="0.3">
      <c r="A9481" t="s">
        <v>30</v>
      </c>
      <c r="B9481">
        <v>2022</v>
      </c>
      <c r="C9481" t="s">
        <v>45</v>
      </c>
      <c r="D9481" t="s">
        <v>5</v>
      </c>
      <c r="E9481" t="e">
        <f>VLOOKUP(Cpi_[[#This Row],[Attribute]],#REF!,2,FALSE)</f>
        <v>#REF!</v>
      </c>
      <c r="F9481">
        <v>180.2</v>
      </c>
      <c r="G9481">
        <f>(Cpi_[[#This Row],[Value]]-F9480)/F9480</f>
        <v>-0.13030888030888033</v>
      </c>
      <c r="H9481" t="e" cm="1" vm="1">
        <f t="array" aca="1" ref="H9481" ca="1">VLOOKUP(Cpi_[[#This Row],[Year]:[Month]],crudeoil[],3,FALSE)</f>
        <v>#VALUE!</v>
      </c>
    </row>
    <row r="9482" spans="1:8" hidden="1" x14ac:dyDescent="0.3">
      <c r="A9482" t="s">
        <v>30</v>
      </c>
      <c r="B9482">
        <v>2022</v>
      </c>
      <c r="C9482" t="s">
        <v>45</v>
      </c>
      <c r="D9482" t="s">
        <v>6</v>
      </c>
      <c r="E9482" t="e">
        <f>VLOOKUP(Cpi_[[#This Row],[Attribute]],#REF!,2,FALSE)</f>
        <v>#REF!</v>
      </c>
      <c r="F9482">
        <v>172.3</v>
      </c>
      <c r="G9482">
        <f>(Cpi_[[#This Row],[Value]]-F9481)/F9481</f>
        <v>-4.3840177580466023E-2</v>
      </c>
      <c r="H9482" t="e" cm="1" vm="1">
        <f t="array" aca="1" ref="H9482" ca="1">VLOOKUP(Cpi_[[#This Row],[Year]:[Month]],crudeoil[],3,FALSE)</f>
        <v>#VALUE!</v>
      </c>
    </row>
    <row r="9483" spans="1:8" hidden="1" x14ac:dyDescent="0.3">
      <c r="A9483" t="s">
        <v>30</v>
      </c>
      <c r="B9483">
        <v>2022</v>
      </c>
      <c r="C9483" t="s">
        <v>45</v>
      </c>
      <c r="D9483" t="s">
        <v>7</v>
      </c>
      <c r="E9483" t="e">
        <f>VLOOKUP(Cpi_[[#This Row],[Attribute]],#REF!,2,FALSE)</f>
        <v>#REF!</v>
      </c>
      <c r="F9483">
        <v>194</v>
      </c>
      <c r="G9483">
        <f>(Cpi_[[#This Row],[Value]]-F9482)/F9482</f>
        <v>0.12594312246082406</v>
      </c>
      <c r="H9483" t="e" cm="1" vm="1">
        <f t="array" aca="1" ref="H9483" ca="1">VLOOKUP(Cpi_[[#This Row],[Year]:[Month]],crudeoil[],3,FALSE)</f>
        <v>#VALUE!</v>
      </c>
    </row>
    <row r="9484" spans="1:8" hidden="1" x14ac:dyDescent="0.3">
      <c r="A9484" t="s">
        <v>30</v>
      </c>
      <c r="B9484">
        <v>2022</v>
      </c>
      <c r="C9484" t="s">
        <v>45</v>
      </c>
      <c r="D9484" t="s">
        <v>8</v>
      </c>
      <c r="E9484" t="e">
        <f>VLOOKUP(Cpi_[[#This Row],[Attribute]],#REF!,2,FALSE)</f>
        <v>#REF!</v>
      </c>
      <c r="F9484">
        <v>159.1</v>
      </c>
      <c r="G9484">
        <f>(Cpi_[[#This Row],[Value]]-F9483)/F9483</f>
        <v>-0.17989690721649487</v>
      </c>
      <c r="H9484" t="e" cm="1" vm="1">
        <f t="array" aca="1" ref="H9484" ca="1">VLOOKUP(Cpi_[[#This Row],[Year]:[Month]],crudeoil[],3,FALSE)</f>
        <v>#VALUE!</v>
      </c>
    </row>
    <row r="9485" spans="1:8" hidden="1" x14ac:dyDescent="0.3">
      <c r="A9485" t="s">
        <v>30</v>
      </c>
      <c r="B9485">
        <v>2022</v>
      </c>
      <c r="C9485" t="s">
        <v>45</v>
      </c>
      <c r="D9485" t="s">
        <v>9</v>
      </c>
      <c r="E9485" t="e">
        <f>VLOOKUP(Cpi_[[#This Row],[Attribute]],#REF!,2,FALSE)</f>
        <v>#REF!</v>
      </c>
      <c r="F9485">
        <v>171.6</v>
      </c>
      <c r="G9485">
        <f>(Cpi_[[#This Row],[Value]]-F9484)/F9484</f>
        <v>7.8566939032055319E-2</v>
      </c>
      <c r="H9485" t="e" cm="1" vm="1">
        <f t="array" aca="1" ref="H9485" ca="1">VLOOKUP(Cpi_[[#This Row],[Year]:[Month]],crudeoil[],3,FALSE)</f>
        <v>#VALUE!</v>
      </c>
    </row>
    <row r="9486" spans="1:8" hidden="1" x14ac:dyDescent="0.3">
      <c r="A9486" t="s">
        <v>30</v>
      </c>
      <c r="B9486">
        <v>2022</v>
      </c>
      <c r="C9486" t="s">
        <v>45</v>
      </c>
      <c r="D9486" t="s">
        <v>10</v>
      </c>
      <c r="E9486" t="e">
        <f>VLOOKUP(Cpi_[[#This Row],[Attribute]],#REF!,2,FALSE)</f>
        <v>#REF!</v>
      </c>
      <c r="F9486">
        <v>170.2</v>
      </c>
      <c r="G9486">
        <f>(Cpi_[[#This Row],[Value]]-F9485)/F9485</f>
        <v>-8.1585081585081928E-3</v>
      </c>
      <c r="H9486" t="e" cm="1" vm="1">
        <f t="array" aca="1" ref="H9486" ca="1">VLOOKUP(Cpi_[[#This Row],[Year]:[Month]],crudeoil[],3,FALSE)</f>
        <v>#VALUE!</v>
      </c>
    </row>
    <row r="9487" spans="1:8" hidden="1" x14ac:dyDescent="0.3">
      <c r="A9487" t="s">
        <v>30</v>
      </c>
      <c r="B9487">
        <v>2022</v>
      </c>
      <c r="C9487" t="s">
        <v>45</v>
      </c>
      <c r="D9487" t="s">
        <v>11</v>
      </c>
      <c r="E9487" t="e">
        <f>VLOOKUP(Cpi_[[#This Row],[Attribute]],#REF!,2,FALSE)</f>
        <v>#REF!</v>
      </c>
      <c r="F9487">
        <v>121.5</v>
      </c>
      <c r="G9487">
        <f>(Cpi_[[#This Row],[Value]]-F9486)/F9486</f>
        <v>-0.28613396004700348</v>
      </c>
      <c r="H9487" t="e" cm="1" vm="1">
        <f t="array" aca="1" ref="H9487" ca="1">VLOOKUP(Cpi_[[#This Row],[Year]:[Month]],crudeoil[],3,FALSE)</f>
        <v>#VALUE!</v>
      </c>
    </row>
    <row r="9488" spans="1:8" hidden="1" x14ac:dyDescent="0.3">
      <c r="A9488" t="s">
        <v>30</v>
      </c>
      <c r="B9488">
        <v>2022</v>
      </c>
      <c r="C9488" t="s">
        <v>45</v>
      </c>
      <c r="D9488" t="s">
        <v>12</v>
      </c>
      <c r="E9488" t="e">
        <f>VLOOKUP(Cpi_[[#This Row],[Attribute]],#REF!,2,FALSE)</f>
        <v>#REF!</v>
      </c>
      <c r="F9488">
        <v>204.8</v>
      </c>
      <c r="G9488">
        <f>(Cpi_[[#This Row],[Value]]-F9487)/F9487</f>
        <v>0.68559670781893012</v>
      </c>
      <c r="H9488" t="e" cm="1" vm="1">
        <f t="array" aca="1" ref="H9488" ca="1">VLOOKUP(Cpi_[[#This Row],[Year]:[Month]],crudeoil[],3,FALSE)</f>
        <v>#VALUE!</v>
      </c>
    </row>
    <row r="9489" spans="1:8" hidden="1" x14ac:dyDescent="0.3">
      <c r="A9489" t="s">
        <v>30</v>
      </c>
      <c r="B9489">
        <v>2022</v>
      </c>
      <c r="C9489" t="s">
        <v>45</v>
      </c>
      <c r="D9489" t="s">
        <v>13</v>
      </c>
      <c r="E9489" t="e">
        <f>VLOOKUP(Cpi_[[#This Row],[Attribute]],#REF!,2,FALSE)</f>
        <v>#REF!</v>
      </c>
      <c r="F9489">
        <v>176.4</v>
      </c>
      <c r="G9489">
        <f>(Cpi_[[#This Row],[Value]]-F9488)/F9488</f>
        <v>-0.13867187500000003</v>
      </c>
      <c r="H9489" t="e" cm="1" vm="1">
        <f t="array" aca="1" ref="H9489" ca="1">VLOOKUP(Cpi_[[#This Row],[Year]:[Month]],crudeoil[],3,FALSE)</f>
        <v>#VALUE!</v>
      </c>
    </row>
    <row r="9490" spans="1:8" hidden="1" x14ac:dyDescent="0.3">
      <c r="A9490" t="s">
        <v>30</v>
      </c>
      <c r="B9490">
        <v>2022</v>
      </c>
      <c r="C9490" t="s">
        <v>45</v>
      </c>
      <c r="D9490" t="s">
        <v>14</v>
      </c>
      <c r="E9490" t="e">
        <f>VLOOKUP(Cpi_[[#This Row],[Attribute]],#REF!,2,FALSE)</f>
        <v>#REF!</v>
      </c>
      <c r="F9490">
        <v>186.9</v>
      </c>
      <c r="G9490">
        <f>(Cpi_[[#This Row],[Value]]-F9489)/F9489</f>
        <v>5.9523809523809521E-2</v>
      </c>
      <c r="H9490" t="e" cm="1" vm="1">
        <f t="array" aca="1" ref="H9490" ca="1">VLOOKUP(Cpi_[[#This Row],[Year]:[Month]],crudeoil[],3,FALSE)</f>
        <v>#VALUE!</v>
      </c>
    </row>
    <row r="9491" spans="1:8" hidden="1" x14ac:dyDescent="0.3">
      <c r="A9491" t="s">
        <v>30</v>
      </c>
      <c r="B9491">
        <v>2022</v>
      </c>
      <c r="C9491" t="s">
        <v>45</v>
      </c>
      <c r="D9491" t="s">
        <v>15</v>
      </c>
      <c r="E9491" t="e">
        <f>VLOOKUP(Cpi_[[#This Row],[Attribute]],#REF!,2,FALSE)</f>
        <v>#REF!</v>
      </c>
      <c r="F9491">
        <v>176.6</v>
      </c>
      <c r="G9491">
        <f>(Cpi_[[#This Row],[Value]]-F9490)/F9490</f>
        <v>-5.5109684323167527E-2</v>
      </c>
      <c r="H9491" t="e" cm="1" vm="1">
        <f t="array" aca="1" ref="H9491" ca="1">VLOOKUP(Cpi_[[#This Row],[Year]:[Month]],crudeoil[],3,FALSE)</f>
        <v>#VALUE!</v>
      </c>
    </row>
    <row r="9492" spans="1:8" hidden="1" x14ac:dyDescent="0.3">
      <c r="A9492" t="s">
        <v>30</v>
      </c>
      <c r="B9492">
        <v>2022</v>
      </c>
      <c r="C9492" t="s">
        <v>45</v>
      </c>
      <c r="D9492" t="s">
        <v>16</v>
      </c>
      <c r="E9492" t="e">
        <f>VLOOKUP(Cpi_[[#This Row],[Attribute]],#REF!,2,FALSE)</f>
        <v>#REF!</v>
      </c>
      <c r="F9492">
        <v>195.5</v>
      </c>
      <c r="G9492">
        <f>(Cpi_[[#This Row],[Value]]-F9491)/F9491</f>
        <v>0.10702151755379392</v>
      </c>
      <c r="H9492" t="e" cm="1" vm="1">
        <f t="array" aca="1" ref="H9492" ca="1">VLOOKUP(Cpi_[[#This Row],[Year]:[Month]],crudeoil[],3,FALSE)</f>
        <v>#VALUE!</v>
      </c>
    </row>
    <row r="9493" spans="1:8" hidden="1" x14ac:dyDescent="0.3">
      <c r="A9493" t="s">
        <v>30</v>
      </c>
      <c r="B9493">
        <v>2022</v>
      </c>
      <c r="C9493" t="s">
        <v>45</v>
      </c>
      <c r="D9493" t="s">
        <v>17</v>
      </c>
      <c r="E9493" t="e">
        <f>VLOOKUP(Cpi_[[#This Row],[Attribute]],#REF!,2,FALSE)</f>
        <v>#REF!</v>
      </c>
      <c r="F9493">
        <v>187.2</v>
      </c>
      <c r="G9493">
        <f>(Cpi_[[#This Row],[Value]]-F9492)/F9492</f>
        <v>-4.2455242966751974E-2</v>
      </c>
      <c r="H9493" t="e" cm="1" vm="1">
        <f t="array" aca="1" ref="H9493" ca="1">VLOOKUP(Cpi_[[#This Row],[Year]:[Month]],crudeoil[],3,FALSE)</f>
        <v>#VALUE!</v>
      </c>
    </row>
    <row r="9494" spans="1:8" hidden="1" x14ac:dyDescent="0.3">
      <c r="A9494" t="s">
        <v>30</v>
      </c>
      <c r="B9494">
        <v>2022</v>
      </c>
      <c r="C9494" t="s">
        <v>45</v>
      </c>
      <c r="D9494" t="s">
        <v>18</v>
      </c>
      <c r="E9494" t="e">
        <f>VLOOKUP(Cpi_[[#This Row],[Attribute]],#REF!,2,FALSE)</f>
        <v>#REF!</v>
      </c>
      <c r="F9494">
        <v>185.2</v>
      </c>
      <c r="G9494">
        <f>(Cpi_[[#This Row],[Value]]-F9493)/F9493</f>
        <v>-1.0683760683760684E-2</v>
      </c>
      <c r="H9494" t="e" cm="1" vm="1">
        <f t="array" aca="1" ref="H9494" ca="1">VLOOKUP(Cpi_[[#This Row],[Year]:[Month]],crudeoil[],3,FALSE)</f>
        <v>#VALUE!</v>
      </c>
    </row>
    <row r="9495" spans="1:8" hidden="1" x14ac:dyDescent="0.3">
      <c r="A9495" t="s">
        <v>30</v>
      </c>
      <c r="B9495">
        <v>2022</v>
      </c>
      <c r="C9495" t="s">
        <v>45</v>
      </c>
      <c r="D9495" t="s">
        <v>19</v>
      </c>
      <c r="E9495" t="e">
        <f>VLOOKUP(Cpi_[[#This Row],[Attribute]],#REF!,2,FALSE)</f>
        <v>#REF!</v>
      </c>
      <c r="F9495">
        <v>186.9</v>
      </c>
      <c r="G9495">
        <f>(Cpi_[[#This Row],[Value]]-F9494)/F9494</f>
        <v>9.1792656587473924E-3</v>
      </c>
      <c r="H9495" t="e" cm="1" vm="1">
        <f t="array" aca="1" ref="H9495" ca="1">VLOOKUP(Cpi_[[#This Row],[Year]:[Month]],crudeoil[],3,FALSE)</f>
        <v>#VALUE!</v>
      </c>
    </row>
    <row r="9496" spans="1:8" hidden="1" x14ac:dyDescent="0.3">
      <c r="A9496" t="s">
        <v>30</v>
      </c>
      <c r="B9496">
        <v>2022</v>
      </c>
      <c r="C9496" t="s">
        <v>45</v>
      </c>
      <c r="D9496" t="s">
        <v>20</v>
      </c>
      <c r="E9496" t="e">
        <f>VLOOKUP(Cpi_[[#This Row],[Attribute]],#REF!,2,FALSE)</f>
        <v>#REF!</v>
      </c>
      <c r="F9496" t="s">
        <v>32</v>
      </c>
      <c r="G9496" t="e">
        <f>(Cpi_[[#This Row],[Value]]-F9495)/F9495</f>
        <v>#VALUE!</v>
      </c>
      <c r="H9496" t="e" cm="1" vm="1">
        <f t="array" aca="1" ref="H9496" ca="1">VLOOKUP(Cpi_[[#This Row],[Year]:[Month]],crudeoil[],3,FALSE)</f>
        <v>#VALUE!</v>
      </c>
    </row>
    <row r="9497" spans="1:8" hidden="1" x14ac:dyDescent="0.3">
      <c r="A9497" t="s">
        <v>30</v>
      </c>
      <c r="B9497">
        <v>2022</v>
      </c>
      <c r="C9497" t="s">
        <v>45</v>
      </c>
      <c r="D9497" t="s">
        <v>21</v>
      </c>
      <c r="E9497" t="e">
        <f>VLOOKUP(Cpi_[[#This Row],[Attribute]],#REF!,2,FALSE)</f>
        <v>#REF!</v>
      </c>
      <c r="F9497">
        <v>181.9</v>
      </c>
      <c r="G9497" t="e">
        <f>(Cpi_[[#This Row],[Value]]-F9496)/F9496</f>
        <v>#VALUE!</v>
      </c>
      <c r="H9497" t="e" cm="1" vm="1">
        <f t="array" aca="1" ref="H9497" ca="1">VLOOKUP(Cpi_[[#This Row],[Year]:[Month]],crudeoil[],3,FALSE)</f>
        <v>#VALUE!</v>
      </c>
    </row>
    <row r="9498" spans="1:8" hidden="1" x14ac:dyDescent="0.3">
      <c r="A9498" t="s">
        <v>30</v>
      </c>
      <c r="B9498">
        <v>2022</v>
      </c>
      <c r="C9498" t="s">
        <v>45</v>
      </c>
      <c r="D9498" t="s">
        <v>22</v>
      </c>
      <c r="E9498" t="e">
        <f>VLOOKUP(Cpi_[[#This Row],[Attribute]],#REF!,2,FALSE)</f>
        <v>#REF!</v>
      </c>
      <c r="F9498">
        <v>175.5</v>
      </c>
      <c r="G9498">
        <f>(Cpi_[[#This Row],[Value]]-F9497)/F9497</f>
        <v>-3.5184167124793872E-2</v>
      </c>
      <c r="H9498" t="e" cm="1" vm="1">
        <f t="array" aca="1" ref="H9498" ca="1">VLOOKUP(Cpi_[[#This Row],[Year]:[Month]],crudeoil[],3,FALSE)</f>
        <v>#VALUE!</v>
      </c>
    </row>
    <row r="9499" spans="1:8" hidden="1" x14ac:dyDescent="0.3">
      <c r="A9499" t="s">
        <v>30</v>
      </c>
      <c r="B9499">
        <v>2022</v>
      </c>
      <c r="C9499" t="s">
        <v>45</v>
      </c>
      <c r="D9499" t="s">
        <v>23</v>
      </c>
      <c r="E9499" t="e">
        <f>VLOOKUP(Cpi_[[#This Row],[Attribute]],#REF!,2,FALSE)</f>
        <v>#REF!</v>
      </c>
      <c r="F9499">
        <v>182.3</v>
      </c>
      <c r="G9499">
        <f>(Cpi_[[#This Row],[Value]]-F9498)/F9498</f>
        <v>3.8746438746438815E-2</v>
      </c>
      <c r="H9499" t="e" cm="1" vm="1">
        <f t="array" aca="1" ref="H9499" ca="1">VLOOKUP(Cpi_[[#This Row],[Year]:[Month]],crudeoil[],3,FALSE)</f>
        <v>#VALUE!</v>
      </c>
    </row>
    <row r="9500" spans="1:8" hidden="1" x14ac:dyDescent="0.3">
      <c r="A9500" t="s">
        <v>30</v>
      </c>
      <c r="B9500">
        <v>2022</v>
      </c>
      <c r="C9500" t="s">
        <v>45</v>
      </c>
      <c r="D9500" t="s">
        <v>24</v>
      </c>
      <c r="E9500" t="e">
        <f>VLOOKUP(Cpi_[[#This Row],[Attribute]],#REF!,2,FALSE)</f>
        <v>#REF!</v>
      </c>
      <c r="F9500">
        <v>167.5</v>
      </c>
      <c r="G9500">
        <f>(Cpi_[[#This Row],[Value]]-F9499)/F9499</f>
        <v>-8.1184860120680255E-2</v>
      </c>
      <c r="H9500" t="e" cm="1" vm="1">
        <f t="array" aca="1" ref="H9500" ca="1">VLOOKUP(Cpi_[[#This Row],[Year]:[Month]],crudeoil[],3,FALSE)</f>
        <v>#VALUE!</v>
      </c>
    </row>
    <row r="9501" spans="1:8" hidden="1" x14ac:dyDescent="0.3">
      <c r="A9501" t="s">
        <v>30</v>
      </c>
      <c r="B9501">
        <v>2022</v>
      </c>
      <c r="C9501" t="s">
        <v>45</v>
      </c>
      <c r="D9501" t="s">
        <v>25</v>
      </c>
      <c r="E9501" t="e">
        <f>VLOOKUP(Cpi_[[#This Row],[Attribute]],#REF!,2,FALSE)</f>
        <v>#REF!</v>
      </c>
      <c r="F9501">
        <v>170.8</v>
      </c>
      <c r="G9501">
        <f>(Cpi_[[#This Row],[Value]]-F9500)/F9500</f>
        <v>1.97014925373135E-2</v>
      </c>
      <c r="H9501" t="e" cm="1" vm="1">
        <f t="array" aca="1" ref="H9501" ca="1">VLOOKUP(Cpi_[[#This Row],[Year]:[Month]],crudeoil[],3,FALSE)</f>
        <v>#VALUE!</v>
      </c>
    </row>
    <row r="9502" spans="1:8" hidden="1" x14ac:dyDescent="0.3">
      <c r="A9502" t="s">
        <v>30</v>
      </c>
      <c r="B9502">
        <v>2022</v>
      </c>
      <c r="C9502" t="s">
        <v>45</v>
      </c>
      <c r="D9502" t="s">
        <v>26</v>
      </c>
      <c r="E9502" t="e">
        <f>VLOOKUP(Cpi_[[#This Row],[Attribute]],#REF!,2,FALSE)</f>
        <v>#REF!</v>
      </c>
      <c r="F9502">
        <v>176.9</v>
      </c>
      <c r="G9502">
        <f>(Cpi_[[#This Row],[Value]]-F9501)/F9501</f>
        <v>3.5714285714285678E-2</v>
      </c>
      <c r="H9502" t="e" cm="1" vm="1">
        <f t="array" aca="1" ref="H9502" ca="1">VLOOKUP(Cpi_[[#This Row],[Year]:[Month]],crudeoil[],3,FALSE)</f>
        <v>#VALUE!</v>
      </c>
    </row>
    <row r="9503" spans="1:8" hidden="1" x14ac:dyDescent="0.3">
      <c r="A9503" t="s">
        <v>30</v>
      </c>
      <c r="B9503">
        <v>2022</v>
      </c>
      <c r="C9503" t="s">
        <v>45</v>
      </c>
      <c r="D9503" t="s">
        <v>27</v>
      </c>
      <c r="E9503" t="e">
        <f>VLOOKUP(Cpi_[[#This Row],[Attribute]],#REF!,2,FALSE)</f>
        <v>#REF!</v>
      </c>
      <c r="F9503">
        <v>173.4</v>
      </c>
      <c r="G9503">
        <f>(Cpi_[[#This Row],[Value]]-F9502)/F9502</f>
        <v>-1.9785189372526851E-2</v>
      </c>
      <c r="H9503" t="e" cm="1" vm="1">
        <f t="array" aca="1" ref="H9503" ca="1">VLOOKUP(Cpi_[[#This Row],[Year]:[Month]],crudeoil[],3,FALSE)</f>
        <v>#VALUE!</v>
      </c>
    </row>
    <row r="9504" spans="1:8" hidden="1" x14ac:dyDescent="0.3">
      <c r="A9504" t="s">
        <v>30</v>
      </c>
      <c r="B9504">
        <v>2022</v>
      </c>
      <c r="C9504" t="s">
        <v>45</v>
      </c>
      <c r="D9504" t="s">
        <v>28</v>
      </c>
      <c r="E9504" t="e">
        <f>VLOOKUP(Cpi_[[#This Row],[Attribute]],#REF!,2,FALSE)</f>
        <v>#REF!</v>
      </c>
      <c r="F9504">
        <v>174.6</v>
      </c>
      <c r="G9504">
        <f>(Cpi_[[#This Row],[Value]]-F9503)/F9503</f>
        <v>6.9204152249134291E-3</v>
      </c>
      <c r="H9504" t="e" cm="1" vm="1">
        <f t="array" aca="1" ref="H9504" ca="1">VLOOKUP(Cpi_[[#This Row],[Year]:[Month]],crudeoil[],3,FALSE)</f>
        <v>#VALUE!</v>
      </c>
    </row>
    <row r="9505" spans="1:8" hidden="1" x14ac:dyDescent="0.3">
      <c r="A9505" t="s">
        <v>30</v>
      </c>
      <c r="B9505">
        <v>2022</v>
      </c>
      <c r="C9505" t="s">
        <v>45</v>
      </c>
      <c r="D9505" t="s">
        <v>29</v>
      </c>
      <c r="E9505" t="e" cm="1">
        <f t="array" aca="1" ref="E9505" ca="1">VLGeneral indexGeneral indexKUP(Cpi_[[#This Row],[Attribute]],#REF!,2,FALSE)</f>
        <v>#NAME?</v>
      </c>
      <c r="F9505">
        <v>177.8</v>
      </c>
      <c r="G9505">
        <f>(Cpi_[[#This Row],[Value]]-F9504)/F9504</f>
        <v>1.8327605956472034E-2</v>
      </c>
      <c r="H9505" t="e" cm="1" vm="1">
        <f t="array" aca="1" ref="H9505" ca="1">VLOOKUP(Cpi_[[#This Row],[Year]:[Month]],crudeoil[],3,FALSE)</f>
        <v>#VALUE!</v>
      </c>
    </row>
    <row r="9506" spans="1:8" hidden="1" x14ac:dyDescent="0.3">
      <c r="A9506" t="s">
        <v>33</v>
      </c>
      <c r="B9506">
        <v>2022</v>
      </c>
      <c r="C9506" t="s">
        <v>45</v>
      </c>
      <c r="D9506" t="s">
        <v>3</v>
      </c>
      <c r="E9506" t="e">
        <f>VLOOKUP(Cpi_[[#This Row],[Attribute]],#REF!,2,FALSE)</f>
        <v>#REF!</v>
      </c>
      <c r="F9506">
        <v>168.4</v>
      </c>
      <c r="G9506">
        <f>(Cpi_[[#This Row],[Value]]-F9505)/F9505</f>
        <v>-5.2868391451068648E-2</v>
      </c>
      <c r="H9506" t="e" cm="1" vm="1">
        <f t="array" aca="1" ref="H9506" ca="1">VLOOKUP(Cpi_[[#This Row],[Year]:[Month]],crudeoil[],3,FALSE)</f>
        <v>#VALUE!</v>
      </c>
    </row>
    <row r="9507" spans="1:8" hidden="1" x14ac:dyDescent="0.3">
      <c r="A9507" t="s">
        <v>33</v>
      </c>
      <c r="B9507">
        <v>2022</v>
      </c>
      <c r="C9507" t="s">
        <v>45</v>
      </c>
      <c r="D9507" t="s">
        <v>4</v>
      </c>
      <c r="E9507" t="e">
        <f>VLOOKUP(Cpi_[[#This Row],[Attribute]],#REF!,2,FALSE)</f>
        <v>#REF!</v>
      </c>
      <c r="F9507">
        <v>213.4</v>
      </c>
      <c r="G9507">
        <f>(Cpi_[[#This Row],[Value]]-F9506)/F9506</f>
        <v>0.26722090261282661</v>
      </c>
      <c r="H9507" t="e" cm="1" vm="1">
        <f t="array" aca="1" ref="H9507" ca="1">VLOOKUP(Cpi_[[#This Row],[Year]:[Month]],crudeoil[],3,FALSE)</f>
        <v>#VALUE!</v>
      </c>
    </row>
    <row r="9508" spans="1:8" hidden="1" x14ac:dyDescent="0.3">
      <c r="A9508" t="s">
        <v>33</v>
      </c>
      <c r="B9508">
        <v>2022</v>
      </c>
      <c r="C9508" t="s">
        <v>45</v>
      </c>
      <c r="D9508" t="s">
        <v>5</v>
      </c>
      <c r="E9508" t="e">
        <f>VLOOKUP(Cpi_[[#This Row],[Attribute]],#REF!,2,FALSE)</f>
        <v>#REF!</v>
      </c>
      <c r="F9508">
        <v>183.2</v>
      </c>
      <c r="G9508">
        <f>(Cpi_[[#This Row],[Value]]-F9507)/F9507</f>
        <v>-0.14151827553889418</v>
      </c>
      <c r="H9508" t="e" cm="1" vm="1">
        <f t="array" aca="1" ref="H9508" ca="1">VLOOKUP(Cpi_[[#This Row],[Year]:[Month]],crudeoil[],3,FALSE)</f>
        <v>#VALUE!</v>
      </c>
    </row>
    <row r="9509" spans="1:8" hidden="1" x14ac:dyDescent="0.3">
      <c r="A9509" t="s">
        <v>33</v>
      </c>
      <c r="B9509">
        <v>2022</v>
      </c>
      <c r="C9509" t="s">
        <v>45</v>
      </c>
      <c r="D9509" t="s">
        <v>6</v>
      </c>
      <c r="E9509" t="e">
        <f>VLOOKUP(Cpi_[[#This Row],[Attribute]],#REF!,2,FALSE)</f>
        <v>#REF!</v>
      </c>
      <c r="F9509">
        <v>172.3</v>
      </c>
      <c r="G9509">
        <f>(Cpi_[[#This Row],[Value]]-F9508)/F9508</f>
        <v>-5.9497816593886345E-2</v>
      </c>
      <c r="H9509" t="e" cm="1" vm="1">
        <f t="array" aca="1" ref="H9509" ca="1">VLOOKUP(Cpi_[[#This Row],[Year]:[Month]],crudeoil[],3,FALSE)</f>
        <v>#VALUE!</v>
      </c>
    </row>
    <row r="9510" spans="1:8" hidden="1" x14ac:dyDescent="0.3">
      <c r="A9510" t="s">
        <v>33</v>
      </c>
      <c r="B9510">
        <v>2022</v>
      </c>
      <c r="C9510" t="s">
        <v>45</v>
      </c>
      <c r="D9510" t="s">
        <v>7</v>
      </c>
      <c r="E9510" t="e">
        <f>VLOOKUP(Cpi_[[#This Row],[Attribute]],#REF!,2,FALSE)</f>
        <v>#REF!</v>
      </c>
      <c r="F9510">
        <v>180</v>
      </c>
      <c r="G9510">
        <f>(Cpi_[[#This Row],[Value]]-F9509)/F9509</f>
        <v>4.4689495066743981E-2</v>
      </c>
      <c r="H9510" t="e" cm="1" vm="1">
        <f t="array" aca="1" ref="H9510" ca="1">VLOOKUP(Cpi_[[#This Row],[Year]:[Month]],crudeoil[],3,FALSE)</f>
        <v>#VALUE!</v>
      </c>
    </row>
    <row r="9511" spans="1:8" hidden="1" x14ac:dyDescent="0.3">
      <c r="A9511" t="s">
        <v>33</v>
      </c>
      <c r="B9511">
        <v>2022</v>
      </c>
      <c r="C9511" t="s">
        <v>45</v>
      </c>
      <c r="D9511" t="s">
        <v>8</v>
      </c>
      <c r="E9511" t="e">
        <f>VLOOKUP(Cpi_[[#This Row],[Attribute]],#REF!,2,FALSE)</f>
        <v>#REF!</v>
      </c>
      <c r="F9511">
        <v>162.6</v>
      </c>
      <c r="G9511">
        <f>(Cpi_[[#This Row],[Value]]-F9510)/F9510</f>
        <v>-9.6666666666666692E-2</v>
      </c>
      <c r="H9511" t="e" cm="1" vm="1">
        <f t="array" aca="1" ref="H9511" ca="1">VLOOKUP(Cpi_[[#This Row],[Year]:[Month]],crudeoil[],3,FALSE)</f>
        <v>#VALUE!</v>
      </c>
    </row>
    <row r="9512" spans="1:8" hidden="1" x14ac:dyDescent="0.3">
      <c r="A9512" t="s">
        <v>33</v>
      </c>
      <c r="B9512">
        <v>2022</v>
      </c>
      <c r="C9512" t="s">
        <v>45</v>
      </c>
      <c r="D9512" t="s">
        <v>9</v>
      </c>
      <c r="E9512" t="e">
        <f>VLOOKUP(Cpi_[[#This Row],[Attribute]],#REF!,2,FALSE)</f>
        <v>#REF!</v>
      </c>
      <c r="F9512">
        <v>205.5</v>
      </c>
      <c r="G9512">
        <f>(Cpi_[[#This Row],[Value]]-F9511)/F9511</f>
        <v>0.2638376383763838</v>
      </c>
      <c r="H9512" t="e" cm="1" vm="1">
        <f t="array" aca="1" ref="H9512" ca="1">VLOOKUP(Cpi_[[#This Row],[Year]:[Month]],crudeoil[],3,FALSE)</f>
        <v>#VALUE!</v>
      </c>
    </row>
    <row r="9513" spans="1:8" hidden="1" x14ac:dyDescent="0.3">
      <c r="A9513" t="s">
        <v>33</v>
      </c>
      <c r="B9513">
        <v>2022</v>
      </c>
      <c r="C9513" t="s">
        <v>45</v>
      </c>
      <c r="D9513" t="s">
        <v>10</v>
      </c>
      <c r="E9513" t="e">
        <f>VLOOKUP(Cpi_[[#This Row],[Attribute]],#REF!,2,FALSE)</f>
        <v>#REF!</v>
      </c>
      <c r="F9513">
        <v>171</v>
      </c>
      <c r="G9513">
        <f>(Cpi_[[#This Row],[Value]]-F9512)/F9512</f>
        <v>-0.16788321167883211</v>
      </c>
      <c r="H9513" t="e" cm="1" vm="1">
        <f t="array" aca="1" ref="H9513" ca="1">VLOOKUP(Cpi_[[#This Row],[Year]:[Month]],crudeoil[],3,FALSE)</f>
        <v>#VALUE!</v>
      </c>
    </row>
    <row r="9514" spans="1:8" hidden="1" x14ac:dyDescent="0.3">
      <c r="A9514" t="s">
        <v>33</v>
      </c>
      <c r="B9514">
        <v>2022</v>
      </c>
      <c r="C9514" t="s">
        <v>45</v>
      </c>
      <c r="D9514" t="s">
        <v>11</v>
      </c>
      <c r="E9514" t="e">
        <f>VLOOKUP(Cpi_[[#This Row],[Attribute]],#REF!,2,FALSE)</f>
        <v>#REF!</v>
      </c>
      <c r="F9514">
        <v>123.4</v>
      </c>
      <c r="G9514">
        <f>(Cpi_[[#This Row],[Value]]-F9513)/F9513</f>
        <v>-0.27836257309941514</v>
      </c>
      <c r="H9514" t="e" cm="1" vm="1">
        <f t="array" aca="1" ref="H9514" ca="1">VLOOKUP(Cpi_[[#This Row],[Year]:[Month]],crudeoil[],3,FALSE)</f>
        <v>#VALUE!</v>
      </c>
    </row>
    <row r="9515" spans="1:8" hidden="1" x14ac:dyDescent="0.3">
      <c r="A9515" t="s">
        <v>33</v>
      </c>
      <c r="B9515">
        <v>2022</v>
      </c>
      <c r="C9515" t="s">
        <v>45</v>
      </c>
      <c r="D9515" t="s">
        <v>12</v>
      </c>
      <c r="E9515" t="e">
        <f>VLOOKUP(Cpi_[[#This Row],[Attribute]],#REF!,2,FALSE)</f>
        <v>#REF!</v>
      </c>
      <c r="F9515">
        <v>198.8</v>
      </c>
      <c r="G9515">
        <f>(Cpi_[[#This Row],[Value]]-F9514)/F9514</f>
        <v>0.61102106969205838</v>
      </c>
      <c r="H9515" t="e" cm="1" vm="1">
        <f t="array" aca="1" ref="H9515" ca="1">VLOOKUP(Cpi_[[#This Row],[Year]:[Month]],crudeoil[],3,FALSE)</f>
        <v>#VALUE!</v>
      </c>
    </row>
    <row r="9516" spans="1:8" hidden="1" x14ac:dyDescent="0.3">
      <c r="A9516" t="s">
        <v>33</v>
      </c>
      <c r="B9516">
        <v>2022</v>
      </c>
      <c r="C9516" t="s">
        <v>45</v>
      </c>
      <c r="D9516" t="s">
        <v>13</v>
      </c>
      <c r="E9516" t="e">
        <f>VLOOKUP(Cpi_[[#This Row],[Attribute]],#REF!,2,FALSE)</f>
        <v>#REF!</v>
      </c>
      <c r="F9516">
        <v>162.1</v>
      </c>
      <c r="G9516">
        <f>(Cpi_[[#This Row],[Value]]-F9515)/F9515</f>
        <v>-0.18460764587525158</v>
      </c>
      <c r="H9516" t="e" cm="1" vm="1">
        <f t="array" aca="1" ref="H9516" ca="1">VLOOKUP(Cpi_[[#This Row],[Year]:[Month]],crudeoil[],3,FALSE)</f>
        <v>#VALUE!</v>
      </c>
    </row>
    <row r="9517" spans="1:8" hidden="1" x14ac:dyDescent="0.3">
      <c r="A9517" t="s">
        <v>33</v>
      </c>
      <c r="B9517">
        <v>2022</v>
      </c>
      <c r="C9517" t="s">
        <v>45</v>
      </c>
      <c r="D9517" t="s">
        <v>14</v>
      </c>
      <c r="E9517" t="e">
        <f>VLOOKUP(Cpi_[[#This Row],[Attribute]],#REF!,2,FALSE)</f>
        <v>#REF!</v>
      </c>
      <c r="F9517">
        <v>192.4</v>
      </c>
      <c r="G9517">
        <f>(Cpi_[[#This Row],[Value]]-F9516)/F9516</f>
        <v>0.18692165330043192</v>
      </c>
      <c r="H9517" t="e" cm="1" vm="1">
        <f t="array" aca="1" ref="H9517" ca="1">VLOOKUP(Cpi_[[#This Row],[Year]:[Month]],crudeoil[],3,FALSE)</f>
        <v>#VALUE!</v>
      </c>
    </row>
    <row r="9518" spans="1:8" hidden="1" x14ac:dyDescent="0.3">
      <c r="A9518" t="s">
        <v>33</v>
      </c>
      <c r="B9518">
        <v>2022</v>
      </c>
      <c r="C9518" t="s">
        <v>45</v>
      </c>
      <c r="D9518" t="s">
        <v>15</v>
      </c>
      <c r="E9518" t="e">
        <f>VLOOKUP(Cpi_[[#This Row],[Attribute]],#REF!,2,FALSE)</f>
        <v>#REF!</v>
      </c>
      <c r="F9518">
        <v>181.3</v>
      </c>
      <c r="G9518">
        <f>(Cpi_[[#This Row],[Value]]-F9517)/F9517</f>
        <v>-5.7692307692307661E-2</v>
      </c>
      <c r="H9518" t="e" cm="1" vm="1">
        <f t="array" aca="1" ref="H9518" ca="1">VLOOKUP(Cpi_[[#This Row],[Year]:[Month]],crudeoil[],3,FALSE)</f>
        <v>#VALUE!</v>
      </c>
    </row>
    <row r="9519" spans="1:8" hidden="1" x14ac:dyDescent="0.3">
      <c r="A9519" t="s">
        <v>33</v>
      </c>
      <c r="B9519">
        <v>2022</v>
      </c>
      <c r="C9519" t="s">
        <v>45</v>
      </c>
      <c r="D9519" t="s">
        <v>16</v>
      </c>
      <c r="E9519" t="e">
        <f>VLOOKUP(Cpi_[[#This Row],[Attribute]],#REF!,2,FALSE)</f>
        <v>#REF!</v>
      </c>
      <c r="F9519">
        <v>200.6</v>
      </c>
      <c r="G9519">
        <f>(Cpi_[[#This Row],[Value]]-F9518)/F9518</f>
        <v>0.10645339216767778</v>
      </c>
      <c r="H9519" t="e" cm="1" vm="1">
        <f t="array" aca="1" ref="H9519" ca="1">VLOOKUP(Cpi_[[#This Row],[Year]:[Month]],crudeoil[],3,FALSE)</f>
        <v>#VALUE!</v>
      </c>
    </row>
    <row r="9520" spans="1:8" hidden="1" x14ac:dyDescent="0.3">
      <c r="A9520" t="s">
        <v>33</v>
      </c>
      <c r="B9520">
        <v>2022</v>
      </c>
      <c r="C9520" t="s">
        <v>45</v>
      </c>
      <c r="D9520" t="s">
        <v>17</v>
      </c>
      <c r="E9520" t="e">
        <f>VLOOKUP(Cpi_[[#This Row],[Attribute]],#REF!,2,FALSE)</f>
        <v>#REF!</v>
      </c>
      <c r="F9520">
        <v>176.7</v>
      </c>
      <c r="G9520">
        <f>(Cpi_[[#This Row],[Value]]-F9519)/F9519</f>
        <v>-0.11914257228315057</v>
      </c>
      <c r="H9520" t="e" cm="1" vm="1">
        <f t="array" aca="1" ref="H9520" ca="1">VLOOKUP(Cpi_[[#This Row],[Year]:[Month]],crudeoil[],3,FALSE)</f>
        <v>#VALUE!</v>
      </c>
    </row>
    <row r="9521" spans="1:10" hidden="1" x14ac:dyDescent="0.3">
      <c r="A9521" t="s">
        <v>33</v>
      </c>
      <c r="B9521">
        <v>2022</v>
      </c>
      <c r="C9521" t="s">
        <v>45</v>
      </c>
      <c r="D9521" t="s">
        <v>18</v>
      </c>
      <c r="E9521" t="e">
        <f>VLOOKUP(Cpi_[[#This Row],[Attribute]],#REF!,2,FALSE)</f>
        <v>#REF!</v>
      </c>
      <c r="F9521">
        <v>163.5</v>
      </c>
      <c r="G9521">
        <f>(Cpi_[[#This Row],[Value]]-F9520)/F9520</f>
        <v>-7.4702886247877701E-2</v>
      </c>
      <c r="H9521" t="e" cm="1" vm="1">
        <f t="array" aca="1" ref="H9521" ca="1">VLOOKUP(Cpi_[[#This Row],[Year]:[Month]],crudeoil[],3,FALSE)</f>
        <v>#VALUE!</v>
      </c>
    </row>
    <row r="9522" spans="1:10" hidden="1" x14ac:dyDescent="0.3">
      <c r="A9522" t="s">
        <v>33</v>
      </c>
      <c r="B9522">
        <v>2022</v>
      </c>
      <c r="C9522" t="s">
        <v>45</v>
      </c>
      <c r="D9522" t="s">
        <v>19</v>
      </c>
      <c r="E9522" t="e">
        <f>VLOOKUP(Cpi_[[#This Row],[Attribute]],#REF!,2,FALSE)</f>
        <v>#REF!</v>
      </c>
      <c r="F9522">
        <v>174.7</v>
      </c>
      <c r="G9522">
        <f>(Cpi_[[#This Row],[Value]]-F9521)/F9521</f>
        <v>6.8501529051987697E-2</v>
      </c>
      <c r="H9522" t="e" cm="1" vm="1">
        <f t="array" aca="1" ref="H9522" ca="1">VLOOKUP(Cpi_[[#This Row],[Year]:[Month]],crudeoil[],3,FALSE)</f>
        <v>#VALUE!</v>
      </c>
    </row>
    <row r="9523" spans="1:10" hidden="1" x14ac:dyDescent="0.3">
      <c r="A9523" t="s">
        <v>33</v>
      </c>
      <c r="B9523">
        <v>2022</v>
      </c>
      <c r="C9523" t="s">
        <v>45</v>
      </c>
      <c r="D9523" t="s">
        <v>20</v>
      </c>
      <c r="E9523" t="e">
        <f>VLOOKUP(Cpi_[[#This Row],[Attribute]],#REF!,2,FALSE)</f>
        <v>#REF!</v>
      </c>
      <c r="F9523">
        <v>171.8</v>
      </c>
      <c r="G9523">
        <f>(Cpi_[[#This Row],[Value]]-F9522)/F9522</f>
        <v>-1.659988551803078E-2</v>
      </c>
      <c r="H9523" t="e" cm="1" vm="1">
        <f t="array" aca="1" ref="H9523" ca="1">VLOOKUP(Cpi_[[#This Row],[Year]:[Month]],crudeoil[],3,FALSE)</f>
        <v>#VALUE!</v>
      </c>
    </row>
    <row r="9524" spans="1:10" hidden="1" x14ac:dyDescent="0.3">
      <c r="A9524" t="s">
        <v>33</v>
      </c>
      <c r="B9524">
        <v>2022</v>
      </c>
      <c r="C9524" t="s">
        <v>45</v>
      </c>
      <c r="D9524" t="s">
        <v>21</v>
      </c>
      <c r="E9524" t="e">
        <f>VLOOKUP(Cpi_[[#This Row],[Attribute]],#REF!,2,FALSE)</f>
        <v>#REF!</v>
      </c>
      <c r="F9524">
        <v>180.3</v>
      </c>
      <c r="G9524">
        <f>(Cpi_[[#This Row],[Value]]-F9523)/F9523</f>
        <v>4.9476135040745051E-2</v>
      </c>
      <c r="H9524" t="e" cm="1" vm="1">
        <f t="array" aca="1" ref="H9524" ca="1">VLOOKUP(Cpi_[[#This Row],[Year]:[Month]],crudeoil[],3,FALSE)</f>
        <v>#VALUE!</v>
      </c>
    </row>
    <row r="9525" spans="1:10" hidden="1" x14ac:dyDescent="0.3">
      <c r="A9525" t="s">
        <v>33</v>
      </c>
      <c r="B9525">
        <v>2022</v>
      </c>
      <c r="C9525" t="s">
        <v>45</v>
      </c>
      <c r="D9525" t="s">
        <v>22</v>
      </c>
      <c r="E9525" t="e">
        <f>VLOOKUP(Cpi_[[#This Row],[Attribute]],#REF!,2,FALSE)</f>
        <v>#REF!</v>
      </c>
      <c r="F9525">
        <v>166.9</v>
      </c>
      <c r="G9525">
        <f>(Cpi_[[#This Row],[Value]]-F9524)/F9524</f>
        <v>-7.4320576816417114E-2</v>
      </c>
      <c r="H9525" t="e" cm="1" vm="1">
        <f t="array" aca="1" ref="H9525" ca="1">VLOOKUP(Cpi_[[#This Row],[Year]:[Month]],crudeoil[],3,FALSE)</f>
        <v>#VALUE!</v>
      </c>
    </row>
    <row r="9526" spans="1:10" hidden="1" x14ac:dyDescent="0.3">
      <c r="A9526" t="s">
        <v>33</v>
      </c>
      <c r="B9526">
        <v>2022</v>
      </c>
      <c r="C9526" t="s">
        <v>45</v>
      </c>
      <c r="D9526" t="s">
        <v>23</v>
      </c>
      <c r="E9526" t="e">
        <f>VLOOKUP(Cpi_[[#This Row],[Attribute]],#REF!,2,FALSE)</f>
        <v>#REF!</v>
      </c>
      <c r="F9526">
        <v>175.8</v>
      </c>
      <c r="G9526">
        <f>(Cpi_[[#This Row],[Value]]-F9525)/F9525</f>
        <v>5.3325344517675288E-2</v>
      </c>
      <c r="H9526" t="e" cm="1" vm="1">
        <f t="array" aca="1" ref="H9526" ca="1">VLOOKUP(Cpi_[[#This Row],[Year]:[Month]],crudeoil[],3,FALSE)</f>
        <v>#VALUE!</v>
      </c>
    </row>
    <row r="9527" spans="1:10" hidden="1" x14ac:dyDescent="0.3">
      <c r="A9527" t="s">
        <v>33</v>
      </c>
      <c r="B9527">
        <v>2022</v>
      </c>
      <c r="C9527" t="s">
        <v>45</v>
      </c>
      <c r="D9527" t="s">
        <v>24</v>
      </c>
      <c r="E9527" t="e">
        <f>VLOOKUP(Cpi_[[#This Row],[Attribute]],#REF!,2,FALSE)</f>
        <v>#REF!</v>
      </c>
      <c r="F9527">
        <v>158.9</v>
      </c>
      <c r="G9527">
        <f>(Cpi_[[#This Row],[Value]]-F9526)/F9526</f>
        <v>-9.6131968145620042E-2</v>
      </c>
      <c r="H9527" t="e" cm="1" vm="1">
        <f t="array" aca="1" ref="H9527" ca="1">VLOOKUP(Cpi_[[#This Row],[Year]:[Month]],crudeoil[],3,FALSE)</f>
        <v>#VALUE!</v>
      </c>
    </row>
    <row r="9528" spans="1:10" hidden="1" x14ac:dyDescent="0.3">
      <c r="A9528" t="s">
        <v>33</v>
      </c>
      <c r="B9528">
        <v>2022</v>
      </c>
      <c r="C9528" t="s">
        <v>45</v>
      </c>
      <c r="D9528" t="s">
        <v>25</v>
      </c>
      <c r="E9528" t="e">
        <f>VLOOKUP(Cpi_[[#This Row],[Attribute]],#REF!,2,FALSE)</f>
        <v>#REF!</v>
      </c>
      <c r="F9528">
        <v>166.7</v>
      </c>
      <c r="G9528">
        <f>(Cpi_[[#This Row],[Value]]-F9527)/F9527</f>
        <v>4.9087476400251621E-2</v>
      </c>
      <c r="H9528" t="e" cm="1" vm="1">
        <f t="array" aca="1" ref="H9528" ca="1">VLOOKUP(Cpi_[[#This Row],[Year]:[Month]],crudeoil[],3,FALSE)</f>
        <v>#VALUE!</v>
      </c>
    </row>
    <row r="9529" spans="1:10" hidden="1" x14ac:dyDescent="0.3">
      <c r="A9529" t="s">
        <v>33</v>
      </c>
      <c r="B9529">
        <v>2022</v>
      </c>
      <c r="C9529" t="s">
        <v>45</v>
      </c>
      <c r="D9529" t="s">
        <v>26</v>
      </c>
      <c r="E9529" t="e">
        <f>VLOOKUP(Cpi_[[#This Row],[Attribute]],#REF!,2,FALSE)</f>
        <v>#REF!</v>
      </c>
      <c r="F9529">
        <v>171.5</v>
      </c>
      <c r="G9529">
        <f>(Cpi_[[#This Row],[Value]]-F9528)/F9528</f>
        <v>2.8794241151769717E-2</v>
      </c>
      <c r="H9529" t="e" cm="1" vm="1">
        <f t="array" aca="1" ref="H9529" ca="1">VLOOKUP(Cpi_[[#This Row],[Year]:[Month]],crudeoil[],3,FALSE)</f>
        <v>#VALUE!</v>
      </c>
    </row>
    <row r="9530" spans="1:10" hidden="1" x14ac:dyDescent="0.3">
      <c r="A9530" t="s">
        <v>33</v>
      </c>
      <c r="B9530">
        <v>2022</v>
      </c>
      <c r="C9530" t="s">
        <v>45</v>
      </c>
      <c r="D9530" t="s">
        <v>27</v>
      </c>
      <c r="E9530" t="e">
        <f>VLOOKUP(Cpi_[[#This Row],[Attribute]],#REF!,2,FALSE)</f>
        <v>#REF!</v>
      </c>
      <c r="F9530">
        <v>173.8</v>
      </c>
      <c r="G9530">
        <f>(Cpi_[[#This Row],[Value]]-F9529)/F9529</f>
        <v>1.3411078717201232E-2</v>
      </c>
      <c r="H9530" t="e" cm="1" vm="1">
        <f t="array" aca="1" ref="H9530" ca="1">VLOOKUP(Cpi_[[#This Row],[Year]:[Month]],crudeoil[],3,FALSE)</f>
        <v>#VALUE!</v>
      </c>
    </row>
    <row r="9531" spans="1:10" hidden="1" x14ac:dyDescent="0.3">
      <c r="A9531" t="s">
        <v>33</v>
      </c>
      <c r="B9531">
        <v>2022</v>
      </c>
      <c r="C9531" t="s">
        <v>45</v>
      </c>
      <c r="D9531" t="s">
        <v>28</v>
      </c>
      <c r="E9531" t="e">
        <f>VLOOKUP(Cpi_[[#This Row],[Attribute]],#REF!,2,FALSE)</f>
        <v>#REF!</v>
      </c>
      <c r="F9531">
        <v>167.4</v>
      </c>
      <c r="G9531">
        <f>(Cpi_[[#This Row],[Value]]-F9530)/F9530</f>
        <v>-3.6823935558112801E-2</v>
      </c>
      <c r="H9531" t="e" cm="1" vm="1">
        <f t="array" aca="1" ref="H9531" ca="1">VLOOKUP(Cpi_[[#This Row],[Year]:[Month]],crudeoil[],3,FALSE)</f>
        <v>#VALUE!</v>
      </c>
    </row>
    <row r="9532" spans="1:10" hidden="1" x14ac:dyDescent="0.3">
      <c r="A9532" t="s">
        <v>33</v>
      </c>
      <c r="B9532">
        <v>2022</v>
      </c>
      <c r="C9532" t="s">
        <v>45</v>
      </c>
      <c r="D9532" t="s">
        <v>29</v>
      </c>
      <c r="E9532" t="e" cm="1">
        <f t="array" aca="1" ref="E9532" ca="1">VLGeneral indexGeneral indexKUP(Cpi_[[#This Row],[Attribute]],#REF!,2,FALSE)</f>
        <v>#NAME?</v>
      </c>
      <c r="F9532">
        <v>174.1</v>
      </c>
      <c r="G9532">
        <f>(Cpi_[[#This Row],[Value]]-F9531)/F9531</f>
        <v>4.0023894862604471E-2</v>
      </c>
      <c r="H9532" t="e" cm="1" vm="1">
        <f t="array" aca="1" ref="H9532" ca="1">VLOOKUP(Cpi_[[#This Row],[Year]:[Month]],crudeoil[],3,FALSE)</f>
        <v>#VALUE!</v>
      </c>
    </row>
    <row r="9533" spans="1:10" hidden="1" x14ac:dyDescent="0.3">
      <c r="A9533" t="s">
        <v>34</v>
      </c>
      <c r="B9533">
        <v>2022</v>
      </c>
      <c r="C9533" t="s">
        <v>45</v>
      </c>
      <c r="D9533" t="s">
        <v>3</v>
      </c>
      <c r="E9533" t="e">
        <f>VLOOKUP(Cpi_[[#This Row],[Attribute]],#REF!,2,FALSE)</f>
        <v>#REF!</v>
      </c>
      <c r="F9533">
        <v>167.4</v>
      </c>
      <c r="G9533">
        <f>(Cpi_[[#This Row],[Value]]-F9532)/F9532</f>
        <v>-3.8483630097644966E-2</v>
      </c>
      <c r="H9533" t="e" cm="1" vm="1">
        <f t="array" aca="1" ref="H9533" ca="1">VLOOKUP(Cpi_[[#This Row],[Year]:[Month]],crudeoil[],3,FALSE)</f>
        <v>#VALUE!</v>
      </c>
    </row>
    <row r="9534" spans="1:10" x14ac:dyDescent="0.3">
      <c r="A9534" t="s">
        <v>34</v>
      </c>
      <c r="B9534">
        <v>2022</v>
      </c>
      <c r="C9534" t="s">
        <v>45</v>
      </c>
      <c r="D9534" t="s">
        <v>4</v>
      </c>
      <c r="E9534" t="e">
        <f>VLOOKUP(Cpi_[[#This Row],[Attribute]],#REF!,2,FALSE)</f>
        <v>#REF!</v>
      </c>
      <c r="F9534">
        <v>209.4</v>
      </c>
      <c r="G9534" s="42">
        <f>(Cpi_[[#This Row],[Value]]-F9533)/F9533</f>
        <v>0.25089605734767023</v>
      </c>
      <c r="H9534" t="str">
        <f>LEFT(Cpi_[[#This Row],[Month]],3)</f>
        <v>Nov</v>
      </c>
      <c r="I9534" t="str">
        <f>RIGHT(Cpi_[[#This Row],[Year]],2)</f>
        <v>22</v>
      </c>
      <c r="J9534" t="str">
        <f>Cpi_[[#This Row],[Column3]]&amp;"-"&amp;Cpi_[[#This Row],[Column4]]</f>
        <v>Nov-22</v>
      </c>
    </row>
    <row r="9535" spans="1:10" x14ac:dyDescent="0.3">
      <c r="A9535" t="s">
        <v>34</v>
      </c>
      <c r="B9535">
        <v>2022</v>
      </c>
      <c r="C9535" t="s">
        <v>45</v>
      </c>
      <c r="D9535" t="s">
        <v>5</v>
      </c>
      <c r="E9535" t="e">
        <f>VLOOKUP(Cpi_[[#This Row],[Attribute]],#REF!,2,FALSE)</f>
        <v>#REF!</v>
      </c>
      <c r="F9535">
        <v>181.4</v>
      </c>
      <c r="G9535" s="42">
        <f>(Cpi_[[#This Row],[Value]]-F9534)/F9534</f>
        <v>-0.13371537726838587</v>
      </c>
      <c r="H9535" t="str">
        <f>LEFT(Cpi_[[#This Row],[Month]],3)</f>
        <v>Nov</v>
      </c>
      <c r="I9535" t="str">
        <f>RIGHT(Cpi_[[#This Row],[Year]],2)</f>
        <v>22</v>
      </c>
      <c r="J9535" t="str">
        <f>Cpi_[[#This Row],[Column3]]&amp;"-"&amp;Cpi_[[#This Row],[Column4]]</f>
        <v>Nov-22</v>
      </c>
    </row>
    <row r="9536" spans="1:10" x14ac:dyDescent="0.3">
      <c r="A9536" t="s">
        <v>34</v>
      </c>
      <c r="B9536">
        <v>2022</v>
      </c>
      <c r="C9536" t="s">
        <v>45</v>
      </c>
      <c r="D9536" t="s">
        <v>6</v>
      </c>
      <c r="E9536" t="e">
        <f>VLOOKUP(Cpi_[[#This Row],[Attribute]],#REF!,2,FALSE)</f>
        <v>#REF!</v>
      </c>
      <c r="F9536">
        <v>172.3</v>
      </c>
      <c r="G9536" s="42">
        <f>(Cpi_[[#This Row],[Value]]-F9535)/F9535</f>
        <v>-5.0165380374862151E-2</v>
      </c>
      <c r="H9536" t="str">
        <f>LEFT(Cpi_[[#This Row],[Month]],3)</f>
        <v>Nov</v>
      </c>
      <c r="I9536" t="str">
        <f>RIGHT(Cpi_[[#This Row],[Year]],2)</f>
        <v>22</v>
      </c>
      <c r="J9536" t="str">
        <f>Cpi_[[#This Row],[Column3]]&amp;"-"&amp;Cpi_[[#This Row],[Column4]]</f>
        <v>Nov-22</v>
      </c>
    </row>
    <row r="9537" spans="1:10" x14ac:dyDescent="0.3">
      <c r="A9537" t="s">
        <v>34</v>
      </c>
      <c r="B9537">
        <v>2022</v>
      </c>
      <c r="C9537" t="s">
        <v>45</v>
      </c>
      <c r="D9537" t="s">
        <v>7</v>
      </c>
      <c r="E9537" t="e">
        <f>VLOOKUP(Cpi_[[#This Row],[Attribute]],#REF!,2,FALSE)</f>
        <v>#REF!</v>
      </c>
      <c r="F9537">
        <v>188.9</v>
      </c>
      <c r="G9537" s="42">
        <f>(Cpi_[[#This Row],[Value]]-F9536)/F9536</f>
        <v>9.6343586767266357E-2</v>
      </c>
      <c r="H9537" t="str">
        <f>LEFT(Cpi_[[#This Row],[Month]],3)</f>
        <v>Nov</v>
      </c>
      <c r="I9537" t="str">
        <f>RIGHT(Cpi_[[#This Row],[Year]],2)</f>
        <v>22</v>
      </c>
      <c r="J9537" t="str">
        <f>Cpi_[[#This Row],[Column3]]&amp;"-"&amp;Cpi_[[#This Row],[Column4]]</f>
        <v>Nov-22</v>
      </c>
    </row>
    <row r="9538" spans="1:10" x14ac:dyDescent="0.3">
      <c r="A9538" t="s">
        <v>34</v>
      </c>
      <c r="B9538">
        <v>2022</v>
      </c>
      <c r="C9538" t="s">
        <v>45</v>
      </c>
      <c r="D9538" t="s">
        <v>8</v>
      </c>
      <c r="E9538" t="e">
        <f>VLOOKUP(Cpi_[[#This Row],[Attribute]],#REF!,2,FALSE)</f>
        <v>#REF!</v>
      </c>
      <c r="F9538">
        <v>160.69999999999999</v>
      </c>
      <c r="G9538" s="42">
        <f>(Cpi_[[#This Row],[Value]]-F9537)/F9537</f>
        <v>-0.14928533615669676</v>
      </c>
      <c r="H9538" t="str">
        <f>LEFT(Cpi_[[#This Row],[Month]],3)</f>
        <v>Nov</v>
      </c>
      <c r="I9538" t="str">
        <f>RIGHT(Cpi_[[#This Row],[Year]],2)</f>
        <v>22</v>
      </c>
      <c r="J9538" t="str">
        <f>Cpi_[[#This Row],[Column3]]&amp;"-"&amp;Cpi_[[#This Row],[Column4]]</f>
        <v>Nov-22</v>
      </c>
    </row>
    <row r="9539" spans="1:10" x14ac:dyDescent="0.3">
      <c r="A9539" t="s">
        <v>34</v>
      </c>
      <c r="B9539">
        <v>2022</v>
      </c>
      <c r="C9539" t="s">
        <v>45</v>
      </c>
      <c r="D9539" t="s">
        <v>9</v>
      </c>
      <c r="E9539" t="e">
        <f>VLOOKUP(Cpi_[[#This Row],[Attribute]],#REF!,2,FALSE)</f>
        <v>#REF!</v>
      </c>
      <c r="F9539">
        <v>183.1</v>
      </c>
      <c r="G9539" s="42">
        <f>(Cpi_[[#This Row],[Value]]-F9538)/F9538</f>
        <v>0.1393901680149347</v>
      </c>
      <c r="H9539" t="str">
        <f>LEFT(Cpi_[[#This Row],[Month]],3)</f>
        <v>Nov</v>
      </c>
      <c r="I9539" t="str">
        <f>RIGHT(Cpi_[[#This Row],[Year]],2)</f>
        <v>22</v>
      </c>
      <c r="J9539" t="str">
        <f>Cpi_[[#This Row],[Column3]]&amp;"-"&amp;Cpi_[[#This Row],[Column4]]</f>
        <v>Nov-22</v>
      </c>
    </row>
    <row r="9540" spans="1:10" x14ac:dyDescent="0.3">
      <c r="A9540" t="s">
        <v>34</v>
      </c>
      <c r="B9540">
        <v>2022</v>
      </c>
      <c r="C9540" t="s">
        <v>45</v>
      </c>
      <c r="D9540" t="s">
        <v>10</v>
      </c>
      <c r="E9540" t="e">
        <f>VLOOKUP(Cpi_[[#This Row],[Attribute]],#REF!,2,FALSE)</f>
        <v>#REF!</v>
      </c>
      <c r="F9540">
        <v>170.5</v>
      </c>
      <c r="G9540" s="42">
        <f>(Cpi_[[#This Row],[Value]]-F9539)/F9539</f>
        <v>-6.8814855270344047E-2</v>
      </c>
      <c r="H9540" t="str">
        <f>LEFT(Cpi_[[#This Row],[Month]],3)</f>
        <v>Nov</v>
      </c>
      <c r="I9540" t="str">
        <f>RIGHT(Cpi_[[#This Row],[Year]],2)</f>
        <v>22</v>
      </c>
      <c r="J9540" t="str">
        <f>Cpi_[[#This Row],[Column3]]&amp;"-"&amp;Cpi_[[#This Row],[Column4]]</f>
        <v>Nov-22</v>
      </c>
    </row>
    <row r="9541" spans="1:10" x14ac:dyDescent="0.3">
      <c r="A9541" t="s">
        <v>34</v>
      </c>
      <c r="B9541">
        <v>2022</v>
      </c>
      <c r="C9541" t="s">
        <v>45</v>
      </c>
      <c r="D9541" t="s">
        <v>11</v>
      </c>
      <c r="E9541" t="e">
        <f>VLOOKUP(Cpi_[[#This Row],[Attribute]],#REF!,2,FALSE)</f>
        <v>#REF!</v>
      </c>
      <c r="F9541">
        <v>122.1</v>
      </c>
      <c r="G9541" s="42">
        <f>(Cpi_[[#This Row],[Value]]-F9540)/F9540</f>
        <v>-0.28387096774193554</v>
      </c>
      <c r="H9541" t="str">
        <f>LEFT(Cpi_[[#This Row],[Month]],3)</f>
        <v>Nov</v>
      </c>
      <c r="I9541" t="str">
        <f>RIGHT(Cpi_[[#This Row],[Year]],2)</f>
        <v>22</v>
      </c>
      <c r="J9541" t="str">
        <f>Cpi_[[#This Row],[Column3]]&amp;"-"&amp;Cpi_[[#This Row],[Column4]]</f>
        <v>Nov-22</v>
      </c>
    </row>
    <row r="9542" spans="1:10" x14ac:dyDescent="0.3">
      <c r="A9542" t="s">
        <v>34</v>
      </c>
      <c r="B9542">
        <v>2022</v>
      </c>
      <c r="C9542" t="s">
        <v>45</v>
      </c>
      <c r="D9542" t="s">
        <v>12</v>
      </c>
      <c r="E9542" t="e">
        <f>VLOOKUP(Cpi_[[#This Row],[Attribute]],#REF!,2,FALSE)</f>
        <v>#REF!</v>
      </c>
      <c r="F9542">
        <v>202.8</v>
      </c>
      <c r="G9542" s="42">
        <f>(Cpi_[[#This Row],[Value]]-F9541)/F9541</f>
        <v>0.66093366093366113</v>
      </c>
      <c r="H9542" t="str">
        <f>LEFT(Cpi_[[#This Row],[Month]],3)</f>
        <v>Nov</v>
      </c>
      <c r="I9542" t="str">
        <f>RIGHT(Cpi_[[#This Row],[Year]],2)</f>
        <v>22</v>
      </c>
      <c r="J9542" t="str">
        <f>Cpi_[[#This Row],[Column3]]&amp;"-"&amp;Cpi_[[#This Row],[Column4]]</f>
        <v>Nov-22</v>
      </c>
    </row>
    <row r="9543" spans="1:10" x14ac:dyDescent="0.3">
      <c r="A9543" t="s">
        <v>34</v>
      </c>
      <c r="B9543">
        <v>2022</v>
      </c>
      <c r="C9543" t="s">
        <v>45</v>
      </c>
      <c r="D9543" t="s">
        <v>13</v>
      </c>
      <c r="E9543" t="e">
        <f>VLOOKUP(Cpi_[[#This Row],[Attribute]],#REF!,2,FALSE)</f>
        <v>#REF!</v>
      </c>
      <c r="F9543">
        <v>170.4</v>
      </c>
      <c r="G9543" s="42">
        <f>(Cpi_[[#This Row],[Value]]-F9542)/F9542</f>
        <v>-0.15976331360946747</v>
      </c>
      <c r="H9543" t="str">
        <f>LEFT(Cpi_[[#This Row],[Month]],3)</f>
        <v>Nov</v>
      </c>
      <c r="I9543" t="str">
        <f>RIGHT(Cpi_[[#This Row],[Year]],2)</f>
        <v>22</v>
      </c>
      <c r="J9543" t="str">
        <f>Cpi_[[#This Row],[Column3]]&amp;"-"&amp;Cpi_[[#This Row],[Column4]]</f>
        <v>Nov-22</v>
      </c>
    </row>
    <row r="9544" spans="1:10" x14ac:dyDescent="0.3">
      <c r="A9544" t="s">
        <v>34</v>
      </c>
      <c r="B9544">
        <v>2022</v>
      </c>
      <c r="C9544" t="s">
        <v>45</v>
      </c>
      <c r="D9544" t="s">
        <v>14</v>
      </c>
      <c r="E9544" t="e">
        <f>VLOOKUP(Cpi_[[#This Row],[Attribute]],#REF!,2,FALSE)</f>
        <v>#REF!</v>
      </c>
      <c r="F9544">
        <v>189.5</v>
      </c>
      <c r="G9544" s="42">
        <f>(Cpi_[[#This Row],[Value]]-F9543)/F9543</f>
        <v>0.11208920187793424</v>
      </c>
      <c r="H9544" t="str">
        <f>LEFT(Cpi_[[#This Row],[Month]],3)</f>
        <v>Nov</v>
      </c>
      <c r="I9544" t="str">
        <f>RIGHT(Cpi_[[#This Row],[Year]],2)</f>
        <v>22</v>
      </c>
      <c r="J9544" t="str">
        <f>Cpi_[[#This Row],[Column3]]&amp;"-"&amp;Cpi_[[#This Row],[Column4]]</f>
        <v>Nov-22</v>
      </c>
    </row>
    <row r="9545" spans="1:10" x14ac:dyDescent="0.3">
      <c r="A9545" t="s">
        <v>34</v>
      </c>
      <c r="B9545">
        <v>2022</v>
      </c>
      <c r="C9545" t="s">
        <v>45</v>
      </c>
      <c r="D9545" t="s">
        <v>15</v>
      </c>
      <c r="E9545" t="e">
        <f>VLOOKUP(Cpi_[[#This Row],[Attribute]],#REF!,2,FALSE)</f>
        <v>#REF!</v>
      </c>
      <c r="F9545">
        <v>178.3</v>
      </c>
      <c r="G9545" s="42">
        <f>(Cpi_[[#This Row],[Value]]-F9544)/F9544</f>
        <v>-5.9102902374670127E-2</v>
      </c>
      <c r="H9545" t="str">
        <f>LEFT(Cpi_[[#This Row],[Month]],3)</f>
        <v>Nov</v>
      </c>
      <c r="I9545" t="str">
        <f>RIGHT(Cpi_[[#This Row],[Year]],2)</f>
        <v>22</v>
      </c>
      <c r="J9545" t="str">
        <f>Cpi_[[#This Row],[Column3]]&amp;"-"&amp;Cpi_[[#This Row],[Column4]]</f>
        <v>Nov-22</v>
      </c>
    </row>
    <row r="9546" spans="1:10" hidden="1" x14ac:dyDescent="0.3">
      <c r="A9546" t="s">
        <v>34</v>
      </c>
      <c r="B9546">
        <v>2022</v>
      </c>
      <c r="C9546" t="s">
        <v>45</v>
      </c>
      <c r="D9546" t="s">
        <v>16</v>
      </c>
      <c r="E9546" t="e">
        <f>VLOOKUP(Cpi_[[#This Row],[Attribute]],#REF!,2,FALSE)</f>
        <v>#REF!</v>
      </c>
      <c r="F9546">
        <v>196.9</v>
      </c>
      <c r="G9546">
        <f>(Cpi_[[#This Row],[Value]]-F9545)/F9545</f>
        <v>0.10431856421761072</v>
      </c>
      <c r="H9546" t="e" cm="1" vm="1">
        <f t="array" aca="1" ref="H9546" ca="1">VLOOKUP(Cpi_[[#This Row],[Year]:[Month]],crudeoil[],3,FALSE)</f>
        <v>#VALUE!</v>
      </c>
    </row>
    <row r="9547" spans="1:10" hidden="1" x14ac:dyDescent="0.3">
      <c r="A9547" t="s">
        <v>34</v>
      </c>
      <c r="B9547">
        <v>2022</v>
      </c>
      <c r="C9547" t="s">
        <v>45</v>
      </c>
      <c r="D9547" t="s">
        <v>17</v>
      </c>
      <c r="E9547" t="e">
        <f>VLOOKUP(Cpi_[[#This Row],[Attribute]],#REF!,2,FALSE)</f>
        <v>#REF!</v>
      </c>
      <c r="F9547">
        <v>183.1</v>
      </c>
      <c r="G9547">
        <f>(Cpi_[[#This Row],[Value]]-F9546)/F9546</f>
        <v>-7.0086338242762877E-2</v>
      </c>
      <c r="H9547" t="e" cm="1" vm="1">
        <f t="array" aca="1" ref="H9547" ca="1">VLOOKUP(Cpi_[[#This Row],[Year]:[Month]],crudeoil[],3,FALSE)</f>
        <v>#VALUE!</v>
      </c>
    </row>
    <row r="9548" spans="1:10" hidden="1" x14ac:dyDescent="0.3">
      <c r="A9548" t="s">
        <v>34</v>
      </c>
      <c r="B9548">
        <v>2022</v>
      </c>
      <c r="C9548" t="s">
        <v>45</v>
      </c>
      <c r="D9548" t="s">
        <v>18</v>
      </c>
      <c r="E9548" t="e">
        <f>VLOOKUP(Cpi_[[#This Row],[Attribute]],#REF!,2,FALSE)</f>
        <v>#REF!</v>
      </c>
      <c r="F9548">
        <v>176.2</v>
      </c>
      <c r="G9548">
        <f>(Cpi_[[#This Row],[Value]]-F9547)/F9547</f>
        <v>-3.7684325505188451E-2</v>
      </c>
      <c r="H9548" t="e" cm="1" vm="1">
        <f t="array" aca="1" ref="H9548" ca="1">VLOOKUP(Cpi_[[#This Row],[Year]:[Month]],crudeoil[],3,FALSE)</f>
        <v>#VALUE!</v>
      </c>
    </row>
    <row r="9549" spans="1:10" hidden="1" x14ac:dyDescent="0.3">
      <c r="A9549" t="s">
        <v>34</v>
      </c>
      <c r="B9549">
        <v>2022</v>
      </c>
      <c r="C9549" t="s">
        <v>45</v>
      </c>
      <c r="D9549" t="s">
        <v>19</v>
      </c>
      <c r="E9549" t="e">
        <f>VLOOKUP(Cpi_[[#This Row],[Attribute]],#REF!,2,FALSE)</f>
        <v>#REF!</v>
      </c>
      <c r="F9549">
        <v>182.1</v>
      </c>
      <c r="G9549">
        <f>(Cpi_[[#This Row],[Value]]-F9548)/F9548</f>
        <v>3.3484676503972792E-2</v>
      </c>
      <c r="H9549" t="e" cm="1" vm="1">
        <f t="array" aca="1" ref="H9549" ca="1">VLOOKUP(Cpi_[[#This Row],[Year]:[Month]],crudeoil[],3,FALSE)</f>
        <v>#VALUE!</v>
      </c>
    </row>
    <row r="9550" spans="1:10" hidden="1" x14ac:dyDescent="0.3">
      <c r="A9550" t="s">
        <v>34</v>
      </c>
      <c r="B9550">
        <v>2022</v>
      </c>
      <c r="C9550" t="s">
        <v>45</v>
      </c>
      <c r="D9550" t="s">
        <v>20</v>
      </c>
      <c r="E9550" t="e">
        <f>VLOOKUP(Cpi_[[#This Row],[Attribute]],#REF!,2,FALSE)</f>
        <v>#REF!</v>
      </c>
      <c r="F9550">
        <v>171.8</v>
      </c>
      <c r="G9550">
        <f>(Cpi_[[#This Row],[Value]]-F9549)/F9549</f>
        <v>-5.6562328390993864E-2</v>
      </c>
      <c r="H9550" t="e" cm="1" vm="1">
        <f t="array" aca="1" ref="H9550" ca="1">VLOOKUP(Cpi_[[#This Row],[Year]:[Month]],crudeoil[],3,FALSE)</f>
        <v>#VALUE!</v>
      </c>
    </row>
    <row r="9551" spans="1:10" hidden="1" x14ac:dyDescent="0.3">
      <c r="A9551" t="s">
        <v>34</v>
      </c>
      <c r="B9551">
        <v>2022</v>
      </c>
      <c r="C9551" t="s">
        <v>45</v>
      </c>
      <c r="D9551" t="s">
        <v>21</v>
      </c>
      <c r="E9551" t="e">
        <f>VLOOKUP(Cpi_[[#This Row],[Attribute]],#REF!,2,FALSE)</f>
        <v>#REF!</v>
      </c>
      <c r="F9551">
        <v>181.3</v>
      </c>
      <c r="G9551">
        <f>(Cpi_[[#This Row],[Value]]-F9550)/F9550</f>
        <v>5.5296856810244467E-2</v>
      </c>
      <c r="H9551" t="e" cm="1" vm="1">
        <f t="array" aca="1" ref="H9551" ca="1">VLOOKUP(Cpi_[[#This Row],[Year]:[Month]],crudeoil[],3,FALSE)</f>
        <v>#VALUE!</v>
      </c>
    </row>
    <row r="9552" spans="1:10" hidden="1" x14ac:dyDescent="0.3">
      <c r="A9552" t="s">
        <v>34</v>
      </c>
      <c r="B9552">
        <v>2022</v>
      </c>
      <c r="C9552" t="s">
        <v>45</v>
      </c>
      <c r="D9552" t="s">
        <v>22</v>
      </c>
      <c r="E9552" t="e">
        <f>VLOOKUP(Cpi_[[#This Row],[Attribute]],#REF!,2,FALSE)</f>
        <v>#REF!</v>
      </c>
      <c r="F9552">
        <v>171.4</v>
      </c>
      <c r="G9552">
        <f>(Cpi_[[#This Row],[Value]]-F9551)/F9551</f>
        <v>-5.4605626034197489E-2</v>
      </c>
      <c r="H9552" t="e" cm="1" vm="1">
        <f t="array" aca="1" ref="H9552" ca="1">VLOOKUP(Cpi_[[#This Row],[Year]:[Month]],crudeoil[],3,FALSE)</f>
        <v>#VALUE!</v>
      </c>
    </row>
    <row r="9553" spans="1:8" hidden="1" x14ac:dyDescent="0.3">
      <c r="A9553" t="s">
        <v>34</v>
      </c>
      <c r="B9553">
        <v>2022</v>
      </c>
      <c r="C9553" t="s">
        <v>45</v>
      </c>
      <c r="D9553" t="s">
        <v>23</v>
      </c>
      <c r="E9553" t="e">
        <f>VLOOKUP(Cpi_[[#This Row],[Attribute]],#REF!,2,FALSE)</f>
        <v>#REF!</v>
      </c>
      <c r="F9553">
        <v>179.8</v>
      </c>
      <c r="G9553">
        <f>(Cpi_[[#This Row],[Value]]-F9552)/F9552</f>
        <v>4.9008168028004701E-2</v>
      </c>
      <c r="H9553" t="e" cm="1" vm="1">
        <f t="array" aca="1" ref="H9553" ca="1">VLOOKUP(Cpi_[[#This Row],[Year]:[Month]],crudeoil[],3,FALSE)</f>
        <v>#VALUE!</v>
      </c>
    </row>
    <row r="9554" spans="1:8" hidden="1" x14ac:dyDescent="0.3">
      <c r="A9554" t="s">
        <v>34</v>
      </c>
      <c r="B9554">
        <v>2022</v>
      </c>
      <c r="C9554" t="s">
        <v>45</v>
      </c>
      <c r="D9554" t="s">
        <v>24</v>
      </c>
      <c r="E9554" t="e">
        <f>VLOOKUP(Cpi_[[#This Row],[Attribute]],#REF!,2,FALSE)</f>
        <v>#REF!</v>
      </c>
      <c r="F9554">
        <v>163</v>
      </c>
      <c r="G9554">
        <f>(Cpi_[[#This Row],[Value]]-F9553)/F9553</f>
        <v>-9.3437152391546222E-2</v>
      </c>
      <c r="H9554" t="e" cm="1" vm="1">
        <f t="array" aca="1" ref="H9554" ca="1">VLOOKUP(Cpi_[[#This Row],[Year]:[Month]],crudeoil[],3,FALSE)</f>
        <v>#VALUE!</v>
      </c>
    </row>
    <row r="9555" spans="1:8" hidden="1" x14ac:dyDescent="0.3">
      <c r="A9555" t="s">
        <v>34</v>
      </c>
      <c r="B9555">
        <v>2022</v>
      </c>
      <c r="C9555" t="s">
        <v>45</v>
      </c>
      <c r="D9555" t="s">
        <v>25</v>
      </c>
      <c r="E9555" t="e">
        <f>VLOOKUP(Cpi_[[#This Row],[Attribute]],#REF!,2,FALSE)</f>
        <v>#REF!</v>
      </c>
      <c r="F9555">
        <v>168.5</v>
      </c>
      <c r="G9555">
        <f>(Cpi_[[#This Row],[Value]]-F9554)/F9554</f>
        <v>3.3742331288343558E-2</v>
      </c>
      <c r="H9555" t="e" cm="1" vm="1">
        <f t="array" aca="1" ref="H9555" ca="1">VLOOKUP(Cpi_[[#This Row],[Year]:[Month]],crudeoil[],3,FALSE)</f>
        <v>#VALUE!</v>
      </c>
    </row>
    <row r="9556" spans="1:8" hidden="1" x14ac:dyDescent="0.3">
      <c r="A9556" t="s">
        <v>34</v>
      </c>
      <c r="B9556">
        <v>2022</v>
      </c>
      <c r="C9556" t="s">
        <v>45</v>
      </c>
      <c r="D9556" t="s">
        <v>26</v>
      </c>
      <c r="E9556" t="e">
        <f>VLOOKUP(Cpi_[[#This Row],[Attribute]],#REF!,2,FALSE)</f>
        <v>#REF!</v>
      </c>
      <c r="F9556">
        <v>173.7</v>
      </c>
      <c r="G9556">
        <f>(Cpi_[[#This Row],[Value]]-F9555)/F9555</f>
        <v>3.0860534124629014E-2</v>
      </c>
      <c r="H9556" t="e" cm="1" vm="1">
        <f t="array" aca="1" ref="H9556" ca="1">VLOOKUP(Cpi_[[#This Row],[Year]:[Month]],crudeoil[],3,FALSE)</f>
        <v>#VALUE!</v>
      </c>
    </row>
    <row r="9557" spans="1:8" hidden="1" x14ac:dyDescent="0.3">
      <c r="A9557" t="s">
        <v>34</v>
      </c>
      <c r="B9557">
        <v>2022</v>
      </c>
      <c r="C9557" t="s">
        <v>45</v>
      </c>
      <c r="D9557" t="s">
        <v>27</v>
      </c>
      <c r="E9557" t="e">
        <f>VLOOKUP(Cpi_[[#This Row],[Attribute]],#REF!,2,FALSE)</f>
        <v>#REF!</v>
      </c>
      <c r="F9557">
        <v>173.6</v>
      </c>
      <c r="G9557">
        <f>(Cpi_[[#This Row],[Value]]-F9556)/F9556</f>
        <v>-5.7570523891764145E-4</v>
      </c>
      <c r="H9557" t="e" cm="1" vm="1">
        <f t="array" aca="1" ref="H9557" ca="1">VLOOKUP(Cpi_[[#This Row],[Year]:[Month]],crudeoil[],3,FALSE)</f>
        <v>#VALUE!</v>
      </c>
    </row>
    <row r="9558" spans="1:8" hidden="1" x14ac:dyDescent="0.3">
      <c r="A9558" t="s">
        <v>34</v>
      </c>
      <c r="B9558">
        <v>2022</v>
      </c>
      <c r="C9558" t="s">
        <v>45</v>
      </c>
      <c r="D9558" t="s">
        <v>28</v>
      </c>
      <c r="E9558" t="e">
        <f>VLOOKUP(Cpi_[[#This Row],[Attribute]],#REF!,2,FALSE)</f>
        <v>#REF!</v>
      </c>
      <c r="F9558">
        <v>171.1</v>
      </c>
      <c r="G9558">
        <f>(Cpi_[[#This Row],[Value]]-F9557)/F9557</f>
        <v>-1.4400921658986175E-2</v>
      </c>
      <c r="H9558" t="e" cm="1" vm="1">
        <f t="array" aca="1" ref="H9558" ca="1">VLOOKUP(Cpi_[[#This Row],[Year]:[Month]],crudeoil[],3,FALSE)</f>
        <v>#VALUE!</v>
      </c>
    </row>
    <row r="9559" spans="1:8" hidden="1" x14ac:dyDescent="0.3">
      <c r="A9559" t="s">
        <v>34</v>
      </c>
      <c r="B9559">
        <v>2022</v>
      </c>
      <c r="C9559" t="s">
        <v>45</v>
      </c>
      <c r="D9559" t="s">
        <v>29</v>
      </c>
      <c r="E9559" t="e" cm="1">
        <f t="array" aca="1" ref="E9559" ca="1">VLGeneral indexGeneral indexKUP(Cpi_[[#This Row],[Attribute]],#REF!,2,FALSE)</f>
        <v>#NAME?</v>
      </c>
      <c r="F9559">
        <v>176.5</v>
      </c>
      <c r="G9559">
        <f>(Cpi_[[#This Row],[Value]]-F9558)/F9558</f>
        <v>3.1560490940970229E-2</v>
      </c>
      <c r="H9559" t="e" cm="1" vm="1">
        <f t="array" aca="1" ref="H9559" ca="1">VLOOKUP(Cpi_[[#This Row],[Year]:[Month]],crudeoil[],3,FALSE)</f>
        <v>#VALUE!</v>
      </c>
    </row>
    <row r="9560" spans="1:8" hidden="1" x14ac:dyDescent="0.3">
      <c r="A9560" t="s">
        <v>30</v>
      </c>
      <c r="B9560">
        <v>2022</v>
      </c>
      <c r="C9560" t="s">
        <v>46</v>
      </c>
      <c r="D9560" t="s">
        <v>3</v>
      </c>
      <c r="E9560" t="e">
        <f>VLOOKUP(Cpi_[[#This Row],[Attribute]],#REF!,2,FALSE)</f>
        <v>#REF!</v>
      </c>
      <c r="F9560">
        <v>168.8</v>
      </c>
      <c r="G9560">
        <f>(Cpi_[[#This Row],[Value]]-F9559)/F9559</f>
        <v>-4.3626062322946114E-2</v>
      </c>
      <c r="H9560" t="e" cm="1" vm="1">
        <f t="array" aca="1" ref="H9560" ca="1">VLOOKUP(Cpi_[[#This Row],[Year]:[Month]],crudeoil[],3,FALSE)</f>
        <v>#VALUE!</v>
      </c>
    </row>
    <row r="9561" spans="1:8" hidden="1" x14ac:dyDescent="0.3">
      <c r="A9561" t="s">
        <v>30</v>
      </c>
      <c r="B9561">
        <v>2022</v>
      </c>
      <c r="C9561" t="s">
        <v>46</v>
      </c>
      <c r="D9561" t="s">
        <v>4</v>
      </c>
      <c r="E9561" t="e">
        <f>VLOOKUP(Cpi_[[#This Row],[Attribute]],#REF!,2,FALSE)</f>
        <v>#REF!</v>
      </c>
      <c r="F9561">
        <v>206.9</v>
      </c>
      <c r="G9561">
        <f>(Cpi_[[#This Row],[Value]]-F9560)/F9560</f>
        <v>0.22571090047393361</v>
      </c>
      <c r="H9561" t="e" cm="1" vm="1">
        <f t="array" aca="1" ref="H9561" ca="1">VLOOKUP(Cpi_[[#This Row],[Year]:[Month]],crudeoil[],3,FALSE)</f>
        <v>#VALUE!</v>
      </c>
    </row>
    <row r="9562" spans="1:8" hidden="1" x14ac:dyDescent="0.3">
      <c r="A9562" t="s">
        <v>30</v>
      </c>
      <c r="B9562">
        <v>2022</v>
      </c>
      <c r="C9562" t="s">
        <v>46</v>
      </c>
      <c r="D9562" t="s">
        <v>5</v>
      </c>
      <c r="E9562" t="e">
        <f>VLOOKUP(Cpi_[[#This Row],[Attribute]],#REF!,2,FALSE)</f>
        <v>#REF!</v>
      </c>
      <c r="F9562">
        <v>189.1</v>
      </c>
      <c r="G9562">
        <f>(Cpi_[[#This Row],[Value]]-F9561)/F9561</f>
        <v>-8.6031899468342249E-2</v>
      </c>
      <c r="H9562" t="e" cm="1" vm="1">
        <f t="array" aca="1" ref="H9562" ca="1">VLOOKUP(Cpi_[[#This Row],[Year]:[Month]],crudeoil[],3,FALSE)</f>
        <v>#VALUE!</v>
      </c>
    </row>
    <row r="9563" spans="1:8" hidden="1" x14ac:dyDescent="0.3">
      <c r="A9563" t="s">
        <v>30</v>
      </c>
      <c r="B9563">
        <v>2022</v>
      </c>
      <c r="C9563" t="s">
        <v>46</v>
      </c>
      <c r="D9563" t="s">
        <v>6</v>
      </c>
      <c r="E9563" t="e">
        <f>VLOOKUP(Cpi_[[#This Row],[Attribute]],#REF!,2,FALSE)</f>
        <v>#REF!</v>
      </c>
      <c r="F9563">
        <v>173.4</v>
      </c>
      <c r="G9563">
        <f>(Cpi_[[#This Row],[Value]]-F9562)/F9562</f>
        <v>-8.3024854574299256E-2</v>
      </c>
      <c r="H9563" t="e" cm="1" vm="1">
        <f t="array" aca="1" ref="H9563" ca="1">VLOOKUP(Cpi_[[#This Row],[Year]:[Month]],crudeoil[],3,FALSE)</f>
        <v>#VALUE!</v>
      </c>
    </row>
    <row r="9564" spans="1:8" hidden="1" x14ac:dyDescent="0.3">
      <c r="A9564" t="s">
        <v>30</v>
      </c>
      <c r="B9564">
        <v>2022</v>
      </c>
      <c r="C9564" t="s">
        <v>46</v>
      </c>
      <c r="D9564" t="s">
        <v>7</v>
      </c>
      <c r="E9564" t="e">
        <f>VLOOKUP(Cpi_[[#This Row],[Attribute]],#REF!,2,FALSE)</f>
        <v>#REF!</v>
      </c>
      <c r="F9564">
        <v>193.9</v>
      </c>
      <c r="G9564">
        <f>(Cpi_[[#This Row],[Value]]-F9563)/F9563</f>
        <v>0.1182237600922722</v>
      </c>
      <c r="H9564" t="e" cm="1" vm="1">
        <f t="array" aca="1" ref="H9564" ca="1">VLOOKUP(Cpi_[[#This Row],[Year]:[Month]],crudeoil[],3,FALSE)</f>
        <v>#VALUE!</v>
      </c>
    </row>
    <row r="9565" spans="1:8" hidden="1" x14ac:dyDescent="0.3">
      <c r="A9565" t="s">
        <v>30</v>
      </c>
      <c r="B9565">
        <v>2022</v>
      </c>
      <c r="C9565" t="s">
        <v>46</v>
      </c>
      <c r="D9565" t="s">
        <v>8</v>
      </c>
      <c r="E9565" t="e">
        <f>VLOOKUP(Cpi_[[#This Row],[Attribute]],#REF!,2,FALSE)</f>
        <v>#REF!</v>
      </c>
      <c r="F9565">
        <v>156.69999999999999</v>
      </c>
      <c r="G9565">
        <f>(Cpi_[[#This Row],[Value]]-F9564)/F9564</f>
        <v>-0.19185146982980927</v>
      </c>
      <c r="H9565" t="e" cm="1" vm="1">
        <f t="array" aca="1" ref="H9565" ca="1">VLOOKUP(Cpi_[[#This Row],[Year]:[Month]],crudeoil[],3,FALSE)</f>
        <v>#VALUE!</v>
      </c>
    </row>
    <row r="9566" spans="1:8" hidden="1" x14ac:dyDescent="0.3">
      <c r="A9566" t="s">
        <v>30</v>
      </c>
      <c r="B9566">
        <v>2022</v>
      </c>
      <c r="C9566" t="s">
        <v>46</v>
      </c>
      <c r="D9566" t="s">
        <v>9</v>
      </c>
      <c r="E9566" t="e">
        <f>VLOOKUP(Cpi_[[#This Row],[Attribute]],#REF!,2,FALSE)</f>
        <v>#REF!</v>
      </c>
      <c r="F9566">
        <v>150.19999999999999</v>
      </c>
      <c r="G9566">
        <f>(Cpi_[[#This Row],[Value]]-F9565)/F9565</f>
        <v>-4.1480536056158264E-2</v>
      </c>
      <c r="H9566" t="e" cm="1" vm="1">
        <f t="array" aca="1" ref="H9566" ca="1">VLOOKUP(Cpi_[[#This Row],[Year]:[Month]],crudeoil[],3,FALSE)</f>
        <v>#VALUE!</v>
      </c>
    </row>
    <row r="9567" spans="1:8" hidden="1" x14ac:dyDescent="0.3">
      <c r="A9567" t="s">
        <v>30</v>
      </c>
      <c r="B9567">
        <v>2022</v>
      </c>
      <c r="C9567" t="s">
        <v>46</v>
      </c>
      <c r="D9567" t="s">
        <v>10</v>
      </c>
      <c r="E9567" t="e">
        <f>VLOOKUP(Cpi_[[#This Row],[Attribute]],#REF!,2,FALSE)</f>
        <v>#REF!</v>
      </c>
      <c r="F9567">
        <v>170.5</v>
      </c>
      <c r="G9567">
        <f>(Cpi_[[#This Row],[Value]]-F9566)/F9566</f>
        <v>0.1351531291611186</v>
      </c>
      <c r="H9567" t="e" cm="1" vm="1">
        <f t="array" aca="1" ref="H9567" ca="1">VLOOKUP(Cpi_[[#This Row],[Year]:[Month]],crudeoil[],3,FALSE)</f>
        <v>#VALUE!</v>
      </c>
    </row>
    <row r="9568" spans="1:8" hidden="1" x14ac:dyDescent="0.3">
      <c r="A9568" t="s">
        <v>30</v>
      </c>
      <c r="B9568">
        <v>2022</v>
      </c>
      <c r="C9568" t="s">
        <v>46</v>
      </c>
      <c r="D9568" t="s">
        <v>11</v>
      </c>
      <c r="E9568" t="e">
        <f>VLOOKUP(Cpi_[[#This Row],[Attribute]],#REF!,2,FALSE)</f>
        <v>#REF!</v>
      </c>
      <c r="F9568">
        <v>121.2</v>
      </c>
      <c r="G9568">
        <f>(Cpi_[[#This Row],[Value]]-F9567)/F9567</f>
        <v>-0.28914956011730203</v>
      </c>
      <c r="H9568" t="e" cm="1" vm="1">
        <f t="array" aca="1" ref="H9568" ca="1">VLOOKUP(Cpi_[[#This Row],[Year]:[Month]],crudeoil[],3,FALSE)</f>
        <v>#VALUE!</v>
      </c>
    </row>
    <row r="9569" spans="1:8" hidden="1" x14ac:dyDescent="0.3">
      <c r="A9569" t="s">
        <v>30</v>
      </c>
      <c r="B9569">
        <v>2022</v>
      </c>
      <c r="C9569" t="s">
        <v>46</v>
      </c>
      <c r="D9569" t="s">
        <v>12</v>
      </c>
      <c r="E9569" t="e">
        <f>VLOOKUP(Cpi_[[#This Row],[Attribute]],#REF!,2,FALSE)</f>
        <v>#REF!</v>
      </c>
      <c r="F9569">
        <v>207.5</v>
      </c>
      <c r="G9569">
        <f>(Cpi_[[#This Row],[Value]]-F9568)/F9568</f>
        <v>0.71204620462046198</v>
      </c>
      <c r="H9569" t="e" cm="1" vm="1">
        <f t="array" aca="1" ref="H9569" ca="1">VLOOKUP(Cpi_[[#This Row],[Year]:[Month]],crudeoil[],3,FALSE)</f>
        <v>#VALUE!</v>
      </c>
    </row>
    <row r="9570" spans="1:8" hidden="1" x14ac:dyDescent="0.3">
      <c r="A9570" t="s">
        <v>30</v>
      </c>
      <c r="B9570">
        <v>2022</v>
      </c>
      <c r="C9570" t="s">
        <v>46</v>
      </c>
      <c r="D9570" t="s">
        <v>13</v>
      </c>
      <c r="E9570" t="e">
        <f>VLOOKUP(Cpi_[[#This Row],[Attribute]],#REF!,2,FALSE)</f>
        <v>#REF!</v>
      </c>
      <c r="F9570">
        <v>176.8</v>
      </c>
      <c r="G9570">
        <f>(Cpi_[[#This Row],[Value]]-F9569)/F9569</f>
        <v>-0.1479518072289156</v>
      </c>
      <c r="H9570" t="e" cm="1" vm="1">
        <f t="array" aca="1" ref="H9570" ca="1">VLOOKUP(Cpi_[[#This Row],[Year]:[Month]],crudeoil[],3,FALSE)</f>
        <v>#VALUE!</v>
      </c>
    </row>
    <row r="9571" spans="1:8" hidden="1" x14ac:dyDescent="0.3">
      <c r="A9571" t="s">
        <v>30</v>
      </c>
      <c r="B9571">
        <v>2022</v>
      </c>
      <c r="C9571" t="s">
        <v>46</v>
      </c>
      <c r="D9571" t="s">
        <v>14</v>
      </c>
      <c r="E9571" t="e">
        <f>VLOOKUP(Cpi_[[#This Row],[Attribute]],#REF!,2,FALSE)</f>
        <v>#REF!</v>
      </c>
      <c r="F9571">
        <v>187.7</v>
      </c>
      <c r="G9571">
        <f>(Cpi_[[#This Row],[Value]]-F9570)/F9570</f>
        <v>6.1651583710407104E-2</v>
      </c>
      <c r="H9571" t="e" cm="1" vm="1">
        <f t="array" aca="1" ref="H9571" ca="1">VLOOKUP(Cpi_[[#This Row],[Year]:[Month]],crudeoil[],3,FALSE)</f>
        <v>#VALUE!</v>
      </c>
    </row>
    <row r="9572" spans="1:8" hidden="1" x14ac:dyDescent="0.3">
      <c r="A9572" t="s">
        <v>30</v>
      </c>
      <c r="B9572">
        <v>2022</v>
      </c>
      <c r="C9572" t="s">
        <v>46</v>
      </c>
      <c r="D9572" t="s">
        <v>15</v>
      </c>
      <c r="E9572" t="e">
        <f>VLOOKUP(Cpi_[[#This Row],[Attribute]],#REF!,2,FALSE)</f>
        <v>#REF!</v>
      </c>
      <c r="F9572">
        <v>174.4</v>
      </c>
      <c r="G9572">
        <f>(Cpi_[[#This Row],[Value]]-F9571)/F9571</f>
        <v>-7.0857751731486326E-2</v>
      </c>
      <c r="H9572" t="e" cm="1" vm="1">
        <f t="array" aca="1" ref="H9572" ca="1">VLOOKUP(Cpi_[[#This Row],[Year]:[Month]],crudeoil[],3,FALSE)</f>
        <v>#VALUE!</v>
      </c>
    </row>
    <row r="9573" spans="1:8" hidden="1" x14ac:dyDescent="0.3">
      <c r="A9573" t="s">
        <v>30</v>
      </c>
      <c r="B9573">
        <v>2022</v>
      </c>
      <c r="C9573" t="s">
        <v>46</v>
      </c>
      <c r="D9573" t="s">
        <v>16</v>
      </c>
      <c r="E9573" t="e">
        <f>VLOOKUP(Cpi_[[#This Row],[Attribute]],#REF!,2,FALSE)</f>
        <v>#REF!</v>
      </c>
      <c r="F9573">
        <v>195.9</v>
      </c>
      <c r="G9573">
        <f>(Cpi_[[#This Row],[Value]]-F9572)/F9572</f>
        <v>0.12327981651376146</v>
      </c>
      <c r="H9573" t="e" cm="1" vm="1">
        <f t="array" aca="1" ref="H9573" ca="1">VLOOKUP(Cpi_[[#This Row],[Year]:[Month]],crudeoil[],3,FALSE)</f>
        <v>#VALUE!</v>
      </c>
    </row>
    <row r="9574" spans="1:8" hidden="1" x14ac:dyDescent="0.3">
      <c r="A9574" t="s">
        <v>30</v>
      </c>
      <c r="B9574">
        <v>2022</v>
      </c>
      <c r="C9574" t="s">
        <v>46</v>
      </c>
      <c r="D9574" t="s">
        <v>17</v>
      </c>
      <c r="E9574" t="e">
        <f>VLOOKUP(Cpi_[[#This Row],[Attribute]],#REF!,2,FALSE)</f>
        <v>#REF!</v>
      </c>
      <c r="F9574">
        <v>188.1</v>
      </c>
      <c r="G9574">
        <f>(Cpi_[[#This Row],[Value]]-F9573)/F9573</f>
        <v>-3.9816232771822418E-2</v>
      </c>
      <c r="H9574" t="e" cm="1" vm="1">
        <f t="array" aca="1" ref="H9574" ca="1">VLOOKUP(Cpi_[[#This Row],[Year]:[Month]],crudeoil[],3,FALSE)</f>
        <v>#VALUE!</v>
      </c>
    </row>
    <row r="9575" spans="1:8" hidden="1" x14ac:dyDescent="0.3">
      <c r="A9575" t="s">
        <v>30</v>
      </c>
      <c r="B9575">
        <v>2022</v>
      </c>
      <c r="C9575" t="s">
        <v>46</v>
      </c>
      <c r="D9575" t="s">
        <v>18</v>
      </c>
      <c r="E9575" t="e">
        <f>VLOOKUP(Cpi_[[#This Row],[Attribute]],#REF!,2,FALSE)</f>
        <v>#REF!</v>
      </c>
      <c r="F9575">
        <v>185.9</v>
      </c>
      <c r="G9575">
        <f>(Cpi_[[#This Row],[Value]]-F9574)/F9574</f>
        <v>-1.1695906432748478E-2</v>
      </c>
      <c r="H9575" t="e" cm="1" vm="1">
        <f t="array" aca="1" ref="H9575" ca="1">VLOOKUP(Cpi_[[#This Row],[Year]:[Month]],crudeoil[],3,FALSE)</f>
        <v>#VALUE!</v>
      </c>
    </row>
    <row r="9576" spans="1:8" hidden="1" x14ac:dyDescent="0.3">
      <c r="A9576" t="s">
        <v>30</v>
      </c>
      <c r="B9576">
        <v>2022</v>
      </c>
      <c r="C9576" t="s">
        <v>46</v>
      </c>
      <c r="D9576" t="s">
        <v>19</v>
      </c>
      <c r="E9576" t="e">
        <f>VLOOKUP(Cpi_[[#This Row],[Attribute]],#REF!,2,FALSE)</f>
        <v>#REF!</v>
      </c>
      <c r="F9576">
        <v>187.8</v>
      </c>
      <c r="G9576">
        <f>(Cpi_[[#This Row],[Value]]-F9575)/F9575</f>
        <v>1.0220548682087174E-2</v>
      </c>
      <c r="H9576" t="e" cm="1" vm="1">
        <f t="array" aca="1" ref="H9576" ca="1">VLOOKUP(Cpi_[[#This Row],[Year]:[Month]],crudeoil[],3,FALSE)</f>
        <v>#VALUE!</v>
      </c>
    </row>
    <row r="9577" spans="1:8" hidden="1" x14ac:dyDescent="0.3">
      <c r="A9577" t="s">
        <v>30</v>
      </c>
      <c r="B9577">
        <v>2022</v>
      </c>
      <c r="C9577" t="s">
        <v>46</v>
      </c>
      <c r="D9577" t="s">
        <v>20</v>
      </c>
      <c r="E9577" t="e">
        <f>VLOOKUP(Cpi_[[#This Row],[Attribute]],#REF!,2,FALSE)</f>
        <v>#REF!</v>
      </c>
      <c r="F9577" t="s">
        <v>32</v>
      </c>
      <c r="G9577" t="e">
        <f>(Cpi_[[#This Row],[Value]]-F9576)/F9576</f>
        <v>#VALUE!</v>
      </c>
      <c r="H9577" t="e" cm="1" vm="1">
        <f t="array" aca="1" ref="H9577" ca="1">VLOOKUP(Cpi_[[#This Row],[Year]:[Month]],crudeoil[],3,FALSE)</f>
        <v>#VALUE!</v>
      </c>
    </row>
    <row r="9578" spans="1:8" hidden="1" x14ac:dyDescent="0.3">
      <c r="A9578" t="s">
        <v>30</v>
      </c>
      <c r="B9578">
        <v>2022</v>
      </c>
      <c r="C9578" t="s">
        <v>46</v>
      </c>
      <c r="D9578" t="s">
        <v>21</v>
      </c>
      <c r="E9578" t="e">
        <f>VLOOKUP(Cpi_[[#This Row],[Attribute]],#REF!,2,FALSE)</f>
        <v>#REF!</v>
      </c>
      <c r="F9578">
        <v>182.8</v>
      </c>
      <c r="G9578" t="e">
        <f>(Cpi_[[#This Row],[Value]]-F9577)/F9577</f>
        <v>#VALUE!</v>
      </c>
      <c r="H9578" t="e" cm="1" vm="1">
        <f t="array" aca="1" ref="H9578" ca="1">VLOOKUP(Cpi_[[#This Row],[Year]:[Month]],crudeoil[],3,FALSE)</f>
        <v>#VALUE!</v>
      </c>
    </row>
    <row r="9579" spans="1:8" hidden="1" x14ac:dyDescent="0.3">
      <c r="A9579" t="s">
        <v>30</v>
      </c>
      <c r="B9579">
        <v>2022</v>
      </c>
      <c r="C9579" t="s">
        <v>46</v>
      </c>
      <c r="D9579" t="s">
        <v>22</v>
      </c>
      <c r="E9579" t="e">
        <f>VLOOKUP(Cpi_[[#This Row],[Attribute]],#REF!,2,FALSE)</f>
        <v>#REF!</v>
      </c>
      <c r="F9579">
        <v>176.4</v>
      </c>
      <c r="G9579">
        <f>(Cpi_[[#This Row],[Value]]-F9578)/F9578</f>
        <v>-3.5010940919037226E-2</v>
      </c>
      <c r="H9579" t="e" cm="1" vm="1">
        <f t="array" aca="1" ref="H9579" ca="1">VLOOKUP(Cpi_[[#This Row],[Year]:[Month]],crudeoil[],3,FALSE)</f>
        <v>#VALUE!</v>
      </c>
    </row>
    <row r="9580" spans="1:8" hidden="1" x14ac:dyDescent="0.3">
      <c r="A9580" t="s">
        <v>30</v>
      </c>
      <c r="B9580">
        <v>2022</v>
      </c>
      <c r="C9580" t="s">
        <v>46</v>
      </c>
      <c r="D9580" t="s">
        <v>23</v>
      </c>
      <c r="E9580" t="e">
        <f>VLOOKUP(Cpi_[[#This Row],[Attribute]],#REF!,2,FALSE)</f>
        <v>#REF!</v>
      </c>
      <c r="F9580">
        <v>183.5</v>
      </c>
      <c r="G9580">
        <f>(Cpi_[[#This Row],[Value]]-F9579)/F9579</f>
        <v>4.024943310657593E-2</v>
      </c>
      <c r="H9580" t="e" cm="1" vm="1">
        <f t="array" aca="1" ref="H9580" ca="1">VLOOKUP(Cpi_[[#This Row],[Year]:[Month]],crudeoil[],3,FALSE)</f>
        <v>#VALUE!</v>
      </c>
    </row>
    <row r="9581" spans="1:8" hidden="1" x14ac:dyDescent="0.3">
      <c r="A9581" t="s">
        <v>30</v>
      </c>
      <c r="B9581">
        <v>2022</v>
      </c>
      <c r="C9581" t="s">
        <v>46</v>
      </c>
      <c r="D9581" t="s">
        <v>24</v>
      </c>
      <c r="E9581" t="e">
        <f>VLOOKUP(Cpi_[[#This Row],[Attribute]],#REF!,2,FALSE)</f>
        <v>#REF!</v>
      </c>
      <c r="F9581">
        <v>167.8</v>
      </c>
      <c r="G9581">
        <f>(Cpi_[[#This Row],[Value]]-F9580)/F9580</f>
        <v>-8.5558583106266975E-2</v>
      </c>
      <c r="H9581" t="e" cm="1" vm="1">
        <f t="array" aca="1" ref="H9581" ca="1">VLOOKUP(Cpi_[[#This Row],[Year]:[Month]],crudeoil[],3,FALSE)</f>
        <v>#VALUE!</v>
      </c>
    </row>
    <row r="9582" spans="1:8" hidden="1" x14ac:dyDescent="0.3">
      <c r="A9582" t="s">
        <v>30</v>
      </c>
      <c r="B9582">
        <v>2022</v>
      </c>
      <c r="C9582" t="s">
        <v>46</v>
      </c>
      <c r="D9582" t="s">
        <v>25</v>
      </c>
      <c r="E9582" t="e">
        <f>VLOOKUP(Cpi_[[#This Row],[Attribute]],#REF!,2,FALSE)</f>
        <v>#REF!</v>
      </c>
      <c r="F9582">
        <v>171.2</v>
      </c>
      <c r="G9582">
        <f>(Cpi_[[#This Row],[Value]]-F9581)/F9581</f>
        <v>2.0262216924910471E-2</v>
      </c>
      <c r="H9582" t="e" cm="1" vm="1">
        <f t="array" aca="1" ref="H9582" ca="1">VLOOKUP(Cpi_[[#This Row],[Year]:[Month]],crudeoil[],3,FALSE)</f>
        <v>#VALUE!</v>
      </c>
    </row>
    <row r="9583" spans="1:8" hidden="1" x14ac:dyDescent="0.3">
      <c r="A9583" t="s">
        <v>30</v>
      </c>
      <c r="B9583">
        <v>2022</v>
      </c>
      <c r="C9583" t="s">
        <v>46</v>
      </c>
      <c r="D9583" t="s">
        <v>26</v>
      </c>
      <c r="E9583" t="e">
        <f>VLOOKUP(Cpi_[[#This Row],[Attribute]],#REF!,2,FALSE)</f>
        <v>#REF!</v>
      </c>
      <c r="F9583">
        <v>177.3</v>
      </c>
      <c r="G9583">
        <f>(Cpi_[[#This Row],[Value]]-F9582)/F9582</f>
        <v>3.5630841121495463E-2</v>
      </c>
      <c r="H9583" t="e" cm="1" vm="1">
        <f t="array" aca="1" ref="H9583" ca="1">VLOOKUP(Cpi_[[#This Row],[Year]:[Month]],crudeoil[],3,FALSE)</f>
        <v>#VALUE!</v>
      </c>
    </row>
    <row r="9584" spans="1:8" hidden="1" x14ac:dyDescent="0.3">
      <c r="A9584" t="s">
        <v>30</v>
      </c>
      <c r="B9584">
        <v>2022</v>
      </c>
      <c r="C9584" t="s">
        <v>46</v>
      </c>
      <c r="D9584" t="s">
        <v>27</v>
      </c>
      <c r="E9584" t="e">
        <f>VLOOKUP(Cpi_[[#This Row],[Attribute]],#REF!,2,FALSE)</f>
        <v>#REF!</v>
      </c>
      <c r="F9584">
        <v>175.7</v>
      </c>
      <c r="G9584">
        <f>(Cpi_[[#This Row],[Value]]-F9583)/F9583</f>
        <v>-9.0242526790751416E-3</v>
      </c>
      <c r="H9584" t="e" cm="1" vm="1">
        <f t="array" aca="1" ref="H9584" ca="1">VLOOKUP(Cpi_[[#This Row],[Year]:[Month]],crudeoil[],3,FALSE)</f>
        <v>#VALUE!</v>
      </c>
    </row>
    <row r="9585" spans="1:8" hidden="1" x14ac:dyDescent="0.3">
      <c r="A9585" t="s">
        <v>30</v>
      </c>
      <c r="B9585">
        <v>2022</v>
      </c>
      <c r="C9585" t="s">
        <v>46</v>
      </c>
      <c r="D9585" t="s">
        <v>28</v>
      </c>
      <c r="E9585" t="e">
        <f>VLOOKUP(Cpi_[[#This Row],[Attribute]],#REF!,2,FALSE)</f>
        <v>#REF!</v>
      </c>
      <c r="F9585">
        <v>175.5</v>
      </c>
      <c r="G9585">
        <f>(Cpi_[[#This Row],[Value]]-F9584)/F9584</f>
        <v>-1.1383039271484841E-3</v>
      </c>
      <c r="H9585" t="e" cm="1" vm="1">
        <f t="array" aca="1" ref="H9585" ca="1">VLOOKUP(Cpi_[[#This Row],[Year]:[Month]],crudeoil[],3,FALSE)</f>
        <v>#VALUE!</v>
      </c>
    </row>
    <row r="9586" spans="1:8" hidden="1" x14ac:dyDescent="0.3">
      <c r="A9586" t="s">
        <v>30</v>
      </c>
      <c r="B9586">
        <v>2022</v>
      </c>
      <c r="C9586" t="s">
        <v>46</v>
      </c>
      <c r="D9586" t="s">
        <v>29</v>
      </c>
      <c r="E9586" t="e" cm="1">
        <f t="array" aca="1" ref="E9586" ca="1">VLGeneral indexGeneral indexKUP(Cpi_[[#This Row],[Attribute]],#REF!,2,FALSE)</f>
        <v>#NAME?</v>
      </c>
      <c r="F9586">
        <v>177.1</v>
      </c>
      <c r="G9586">
        <f>(Cpi_[[#This Row],[Value]]-F9585)/F9585</f>
        <v>9.116809116809085E-3</v>
      </c>
      <c r="H9586" t="e" cm="1" vm="1">
        <f t="array" aca="1" ref="H9586" ca="1">VLOOKUP(Cpi_[[#This Row],[Year]:[Month]],crudeoil[],3,FALSE)</f>
        <v>#VALUE!</v>
      </c>
    </row>
    <row r="9587" spans="1:8" hidden="1" x14ac:dyDescent="0.3">
      <c r="A9587" t="s">
        <v>33</v>
      </c>
      <c r="B9587">
        <v>2022</v>
      </c>
      <c r="C9587" t="s">
        <v>46</v>
      </c>
      <c r="D9587" t="s">
        <v>3</v>
      </c>
      <c r="E9587" t="e">
        <f>VLOOKUP(Cpi_[[#This Row],[Attribute]],#REF!,2,FALSE)</f>
        <v>#REF!</v>
      </c>
      <c r="F9587">
        <v>170.2</v>
      </c>
      <c r="G9587">
        <f>(Cpi_[[#This Row],[Value]]-F9586)/F9586</f>
        <v>-3.8961038961038995E-2</v>
      </c>
      <c r="H9587" t="e" cm="1" vm="1">
        <f t="array" aca="1" ref="H9587" ca="1">VLOOKUP(Cpi_[[#This Row],[Year]:[Month]],crudeoil[],3,FALSE)</f>
        <v>#VALUE!</v>
      </c>
    </row>
    <row r="9588" spans="1:8" hidden="1" x14ac:dyDescent="0.3">
      <c r="A9588" t="s">
        <v>33</v>
      </c>
      <c r="B9588">
        <v>2022</v>
      </c>
      <c r="C9588" t="s">
        <v>46</v>
      </c>
      <c r="D9588" t="s">
        <v>4</v>
      </c>
      <c r="E9588" t="e">
        <f>VLOOKUP(Cpi_[[#This Row],[Attribute]],#REF!,2,FALSE)</f>
        <v>#REF!</v>
      </c>
      <c r="F9588">
        <v>212.9</v>
      </c>
      <c r="G9588">
        <f>(Cpi_[[#This Row],[Value]]-F9587)/F9587</f>
        <v>0.25088131609870751</v>
      </c>
      <c r="H9588" t="e" cm="1" vm="1">
        <f t="array" aca="1" ref="H9588" ca="1">VLOOKUP(Cpi_[[#This Row],[Year]:[Month]],crudeoil[],3,FALSE)</f>
        <v>#VALUE!</v>
      </c>
    </row>
    <row r="9589" spans="1:8" hidden="1" x14ac:dyDescent="0.3">
      <c r="A9589" t="s">
        <v>33</v>
      </c>
      <c r="B9589">
        <v>2022</v>
      </c>
      <c r="C9589" t="s">
        <v>46</v>
      </c>
      <c r="D9589" t="s">
        <v>5</v>
      </c>
      <c r="E9589" t="e">
        <f>VLOOKUP(Cpi_[[#This Row],[Attribute]],#REF!,2,FALSE)</f>
        <v>#REF!</v>
      </c>
      <c r="F9589">
        <v>191.9</v>
      </c>
      <c r="G9589">
        <f>(Cpi_[[#This Row],[Value]]-F9588)/F9588</f>
        <v>-9.8637858149365903E-2</v>
      </c>
      <c r="H9589" t="e" cm="1" vm="1">
        <f t="array" aca="1" ref="H9589" ca="1">VLOOKUP(Cpi_[[#This Row],[Year]:[Month]],crudeoil[],3,FALSE)</f>
        <v>#VALUE!</v>
      </c>
    </row>
    <row r="9590" spans="1:8" hidden="1" x14ac:dyDescent="0.3">
      <c r="A9590" t="s">
        <v>33</v>
      </c>
      <c r="B9590">
        <v>2022</v>
      </c>
      <c r="C9590" t="s">
        <v>46</v>
      </c>
      <c r="D9590" t="s">
        <v>6</v>
      </c>
      <c r="E9590" t="e">
        <f>VLOOKUP(Cpi_[[#This Row],[Attribute]],#REF!,2,FALSE)</f>
        <v>#REF!</v>
      </c>
      <c r="F9590">
        <v>173.9</v>
      </c>
      <c r="G9590">
        <f>(Cpi_[[#This Row],[Value]]-F9589)/F9589</f>
        <v>-9.3798853569567478E-2</v>
      </c>
      <c r="H9590" t="e" cm="1" vm="1">
        <f t="array" aca="1" ref="H9590" ca="1">VLOOKUP(Cpi_[[#This Row],[Year]:[Month]],crudeoil[],3,FALSE)</f>
        <v>#VALUE!</v>
      </c>
    </row>
    <row r="9591" spans="1:8" hidden="1" x14ac:dyDescent="0.3">
      <c r="A9591" t="s">
        <v>33</v>
      </c>
      <c r="B9591">
        <v>2022</v>
      </c>
      <c r="C9591" t="s">
        <v>46</v>
      </c>
      <c r="D9591" t="s">
        <v>7</v>
      </c>
      <c r="E9591" t="e">
        <f>VLOOKUP(Cpi_[[#This Row],[Attribute]],#REF!,2,FALSE)</f>
        <v>#REF!</v>
      </c>
      <c r="F9591">
        <v>179.1</v>
      </c>
      <c r="G9591">
        <f>(Cpi_[[#This Row],[Value]]-F9590)/F9590</f>
        <v>2.990224266820005E-2</v>
      </c>
      <c r="H9591" t="e" cm="1" vm="1">
        <f t="array" aca="1" ref="H9591" ca="1">VLOOKUP(Cpi_[[#This Row],[Year]:[Month]],crudeoil[],3,FALSE)</f>
        <v>#VALUE!</v>
      </c>
    </row>
    <row r="9592" spans="1:8" hidden="1" x14ac:dyDescent="0.3">
      <c r="A9592" t="s">
        <v>33</v>
      </c>
      <c r="B9592">
        <v>2022</v>
      </c>
      <c r="C9592" t="s">
        <v>46</v>
      </c>
      <c r="D9592" t="s">
        <v>8</v>
      </c>
      <c r="E9592" t="e">
        <f>VLOOKUP(Cpi_[[#This Row],[Attribute]],#REF!,2,FALSE)</f>
        <v>#REF!</v>
      </c>
      <c r="F9592">
        <v>159.5</v>
      </c>
      <c r="G9592">
        <f>(Cpi_[[#This Row],[Value]]-F9591)/F9591</f>
        <v>-0.10943606923506419</v>
      </c>
      <c r="H9592" t="e" cm="1" vm="1">
        <f t="array" aca="1" ref="H9592" ca="1">VLOOKUP(Cpi_[[#This Row],[Year]:[Month]],crudeoil[],3,FALSE)</f>
        <v>#VALUE!</v>
      </c>
    </row>
    <row r="9593" spans="1:8" hidden="1" x14ac:dyDescent="0.3">
      <c r="A9593" t="s">
        <v>33</v>
      </c>
      <c r="B9593">
        <v>2022</v>
      </c>
      <c r="C9593" t="s">
        <v>46</v>
      </c>
      <c r="D9593" t="s">
        <v>9</v>
      </c>
      <c r="E9593" t="e">
        <f>VLOOKUP(Cpi_[[#This Row],[Attribute]],#REF!,2,FALSE)</f>
        <v>#REF!</v>
      </c>
      <c r="F9593">
        <v>178.7</v>
      </c>
      <c r="G9593">
        <f>(Cpi_[[#This Row],[Value]]-F9592)/F9592</f>
        <v>0.12037617554858927</v>
      </c>
      <c r="H9593" t="e" cm="1" vm="1">
        <f t="array" aca="1" ref="H9593" ca="1">VLOOKUP(Cpi_[[#This Row],[Year]:[Month]],crudeoil[],3,FALSE)</f>
        <v>#VALUE!</v>
      </c>
    </row>
    <row r="9594" spans="1:8" hidden="1" x14ac:dyDescent="0.3">
      <c r="A9594" t="s">
        <v>33</v>
      </c>
      <c r="B9594">
        <v>2022</v>
      </c>
      <c r="C9594" t="s">
        <v>46</v>
      </c>
      <c r="D9594" t="s">
        <v>10</v>
      </c>
      <c r="E9594" t="e">
        <f>VLOOKUP(Cpi_[[#This Row],[Attribute]],#REF!,2,FALSE)</f>
        <v>#REF!</v>
      </c>
      <c r="F9594">
        <v>171.3</v>
      </c>
      <c r="G9594">
        <f>(Cpi_[[#This Row],[Value]]-F9593)/F9593</f>
        <v>-4.1410184667039607E-2</v>
      </c>
      <c r="H9594" t="e" cm="1" vm="1">
        <f t="array" aca="1" ref="H9594" ca="1">VLOOKUP(Cpi_[[#This Row],[Year]:[Month]],crudeoil[],3,FALSE)</f>
        <v>#VALUE!</v>
      </c>
    </row>
    <row r="9595" spans="1:8" hidden="1" x14ac:dyDescent="0.3">
      <c r="A9595" t="s">
        <v>33</v>
      </c>
      <c r="B9595">
        <v>2022</v>
      </c>
      <c r="C9595" t="s">
        <v>46</v>
      </c>
      <c r="D9595" t="s">
        <v>11</v>
      </c>
      <c r="E9595" t="e">
        <f>VLOOKUP(Cpi_[[#This Row],[Attribute]],#REF!,2,FALSE)</f>
        <v>#REF!</v>
      </c>
      <c r="F9595">
        <v>123.1</v>
      </c>
      <c r="G9595">
        <f>(Cpi_[[#This Row],[Value]]-F9594)/F9594</f>
        <v>-0.28137769994162298</v>
      </c>
      <c r="H9595" t="e" cm="1" vm="1">
        <f t="array" aca="1" ref="H9595" ca="1">VLOOKUP(Cpi_[[#This Row],[Year]:[Month]],crudeoil[],3,FALSE)</f>
        <v>#VALUE!</v>
      </c>
    </row>
    <row r="9596" spans="1:8" hidden="1" x14ac:dyDescent="0.3">
      <c r="A9596" t="s">
        <v>33</v>
      </c>
      <c r="B9596">
        <v>2022</v>
      </c>
      <c r="C9596" t="s">
        <v>46</v>
      </c>
      <c r="D9596" t="s">
        <v>12</v>
      </c>
      <c r="E9596" t="e">
        <f>VLOOKUP(Cpi_[[#This Row],[Attribute]],#REF!,2,FALSE)</f>
        <v>#REF!</v>
      </c>
      <c r="F9596">
        <v>200.5</v>
      </c>
      <c r="G9596">
        <f>(Cpi_[[#This Row],[Value]]-F9595)/F9595</f>
        <v>0.62875710804224216</v>
      </c>
      <c r="H9596" t="e" cm="1" vm="1">
        <f t="array" aca="1" ref="H9596" ca="1">VLOOKUP(Cpi_[[#This Row],[Year]:[Month]],crudeoil[],3,FALSE)</f>
        <v>#VALUE!</v>
      </c>
    </row>
    <row r="9597" spans="1:8" hidden="1" x14ac:dyDescent="0.3">
      <c r="A9597" t="s">
        <v>33</v>
      </c>
      <c r="B9597">
        <v>2022</v>
      </c>
      <c r="C9597" t="s">
        <v>46</v>
      </c>
      <c r="D9597" t="s">
        <v>13</v>
      </c>
      <c r="E9597" t="e">
        <f>VLOOKUP(Cpi_[[#This Row],[Attribute]],#REF!,2,FALSE)</f>
        <v>#REF!</v>
      </c>
      <c r="F9597">
        <v>162.80000000000001</v>
      </c>
      <c r="G9597">
        <f>(Cpi_[[#This Row],[Value]]-F9596)/F9596</f>
        <v>-0.18802992518703235</v>
      </c>
      <c r="H9597" t="e" cm="1" vm="1">
        <f t="array" aca="1" ref="H9597" ca="1">VLOOKUP(Cpi_[[#This Row],[Year]:[Month]],crudeoil[],3,FALSE)</f>
        <v>#VALUE!</v>
      </c>
    </row>
    <row r="9598" spans="1:8" hidden="1" x14ac:dyDescent="0.3">
      <c r="A9598" t="s">
        <v>33</v>
      </c>
      <c r="B9598">
        <v>2022</v>
      </c>
      <c r="C9598" t="s">
        <v>46</v>
      </c>
      <c r="D9598" t="s">
        <v>14</v>
      </c>
      <c r="E9598" t="e">
        <f>VLOOKUP(Cpi_[[#This Row],[Attribute]],#REF!,2,FALSE)</f>
        <v>#REF!</v>
      </c>
      <c r="F9598">
        <v>193.3</v>
      </c>
      <c r="G9598">
        <f>(Cpi_[[#This Row],[Value]]-F9597)/F9597</f>
        <v>0.18734643734643733</v>
      </c>
      <c r="H9598" t="e" cm="1" vm="1">
        <f t="array" aca="1" ref="H9598" ca="1">VLOOKUP(Cpi_[[#This Row],[Year]:[Month]],crudeoil[],3,FALSE)</f>
        <v>#VALUE!</v>
      </c>
    </row>
    <row r="9599" spans="1:8" hidden="1" x14ac:dyDescent="0.3">
      <c r="A9599" t="s">
        <v>33</v>
      </c>
      <c r="B9599">
        <v>2022</v>
      </c>
      <c r="C9599" t="s">
        <v>46</v>
      </c>
      <c r="D9599" t="s">
        <v>15</v>
      </c>
      <c r="E9599" t="e">
        <f>VLOOKUP(Cpi_[[#This Row],[Attribute]],#REF!,2,FALSE)</f>
        <v>#REF!</v>
      </c>
      <c r="F9599">
        <v>178.6</v>
      </c>
      <c r="G9599">
        <f>(Cpi_[[#This Row],[Value]]-F9598)/F9598</f>
        <v>-7.6047594412829878E-2</v>
      </c>
      <c r="H9599" t="e" cm="1" vm="1">
        <f t="array" aca="1" ref="H9599" ca="1">VLOOKUP(Cpi_[[#This Row],[Year]:[Month]],crudeoil[],3,FALSE)</f>
        <v>#VALUE!</v>
      </c>
    </row>
    <row r="9600" spans="1:8" hidden="1" x14ac:dyDescent="0.3">
      <c r="A9600" t="s">
        <v>33</v>
      </c>
      <c r="B9600">
        <v>2022</v>
      </c>
      <c r="C9600" t="s">
        <v>46</v>
      </c>
      <c r="D9600" t="s">
        <v>16</v>
      </c>
      <c r="E9600" t="e">
        <f>VLOOKUP(Cpi_[[#This Row],[Attribute]],#REF!,2,FALSE)</f>
        <v>#REF!</v>
      </c>
      <c r="F9600">
        <v>201.1</v>
      </c>
      <c r="G9600">
        <f>(Cpi_[[#This Row],[Value]]-F9599)/F9599</f>
        <v>0.12597984322508399</v>
      </c>
      <c r="H9600" t="e" cm="1" vm="1">
        <f t="array" aca="1" ref="H9600" ca="1">VLOOKUP(Cpi_[[#This Row],[Year]:[Month]],crudeoil[],3,FALSE)</f>
        <v>#VALUE!</v>
      </c>
    </row>
    <row r="9601" spans="1:10" hidden="1" x14ac:dyDescent="0.3">
      <c r="A9601" t="s">
        <v>33</v>
      </c>
      <c r="B9601">
        <v>2022</v>
      </c>
      <c r="C9601" t="s">
        <v>46</v>
      </c>
      <c r="D9601" t="s">
        <v>17</v>
      </c>
      <c r="E9601" t="e">
        <f>VLOOKUP(Cpi_[[#This Row],[Attribute]],#REF!,2,FALSE)</f>
        <v>#REF!</v>
      </c>
      <c r="F9601">
        <v>177.7</v>
      </c>
      <c r="G9601">
        <f>(Cpi_[[#This Row],[Value]]-F9600)/F9600</f>
        <v>-0.11636001989060173</v>
      </c>
      <c r="H9601" t="e" cm="1" vm="1">
        <f t="array" aca="1" ref="H9601" ca="1">VLOOKUP(Cpi_[[#This Row],[Year]:[Month]],crudeoil[],3,FALSE)</f>
        <v>#VALUE!</v>
      </c>
    </row>
    <row r="9602" spans="1:10" hidden="1" x14ac:dyDescent="0.3">
      <c r="A9602" t="s">
        <v>33</v>
      </c>
      <c r="B9602">
        <v>2022</v>
      </c>
      <c r="C9602" t="s">
        <v>46</v>
      </c>
      <c r="D9602" t="s">
        <v>18</v>
      </c>
      <c r="E9602" t="e">
        <f>VLOOKUP(Cpi_[[#This Row],[Attribute]],#REF!,2,FALSE)</f>
        <v>#REF!</v>
      </c>
      <c r="F9602">
        <v>164.5</v>
      </c>
      <c r="G9602">
        <f>(Cpi_[[#This Row],[Value]]-F9601)/F9601</f>
        <v>-7.4282498593134433E-2</v>
      </c>
      <c r="H9602" t="e" cm="1" vm="1">
        <f t="array" aca="1" ref="H9602" ca="1">VLOOKUP(Cpi_[[#This Row],[Year]:[Month]],crudeoil[],3,FALSE)</f>
        <v>#VALUE!</v>
      </c>
    </row>
    <row r="9603" spans="1:10" hidden="1" x14ac:dyDescent="0.3">
      <c r="A9603" t="s">
        <v>33</v>
      </c>
      <c r="B9603">
        <v>2022</v>
      </c>
      <c r="C9603" t="s">
        <v>46</v>
      </c>
      <c r="D9603" t="s">
        <v>19</v>
      </c>
      <c r="E9603" t="e">
        <f>VLOOKUP(Cpi_[[#This Row],[Attribute]],#REF!,2,FALSE)</f>
        <v>#REF!</v>
      </c>
      <c r="F9603">
        <v>175.7</v>
      </c>
      <c r="G9603">
        <f>(Cpi_[[#This Row],[Value]]-F9602)/F9602</f>
        <v>6.8085106382978655E-2</v>
      </c>
      <c r="H9603" t="e" cm="1" vm="1">
        <f t="array" aca="1" ref="H9603" ca="1">VLOOKUP(Cpi_[[#This Row],[Year]:[Month]],crudeoil[],3,FALSE)</f>
        <v>#VALUE!</v>
      </c>
    </row>
    <row r="9604" spans="1:10" hidden="1" x14ac:dyDescent="0.3">
      <c r="A9604" t="s">
        <v>33</v>
      </c>
      <c r="B9604">
        <v>2022</v>
      </c>
      <c r="C9604" t="s">
        <v>46</v>
      </c>
      <c r="D9604" t="s">
        <v>20</v>
      </c>
      <c r="E9604" t="e">
        <f>VLOOKUP(Cpi_[[#This Row],[Attribute]],#REF!,2,FALSE)</f>
        <v>#REF!</v>
      </c>
      <c r="F9604">
        <v>170.7</v>
      </c>
      <c r="G9604">
        <f>(Cpi_[[#This Row],[Value]]-F9603)/F9603</f>
        <v>-2.8457598178713718E-2</v>
      </c>
      <c r="H9604" t="e" cm="1" vm="1">
        <f t="array" aca="1" ref="H9604" ca="1">VLOOKUP(Cpi_[[#This Row],[Year]:[Month]],crudeoil[],3,FALSE)</f>
        <v>#VALUE!</v>
      </c>
    </row>
    <row r="9605" spans="1:10" hidden="1" x14ac:dyDescent="0.3">
      <c r="A9605" t="s">
        <v>33</v>
      </c>
      <c r="B9605">
        <v>2022</v>
      </c>
      <c r="C9605" t="s">
        <v>46</v>
      </c>
      <c r="D9605" t="s">
        <v>21</v>
      </c>
      <c r="E9605" t="e">
        <f>VLOOKUP(Cpi_[[#This Row],[Attribute]],#REF!,2,FALSE)</f>
        <v>#REF!</v>
      </c>
      <c r="F9605">
        <v>180.6</v>
      </c>
      <c r="G9605">
        <f>(Cpi_[[#This Row],[Value]]-F9604)/F9604</f>
        <v>5.7996485061511463E-2</v>
      </c>
      <c r="H9605" t="e" cm="1" vm="1">
        <f t="array" aca="1" ref="H9605" ca="1">VLOOKUP(Cpi_[[#This Row],[Year]:[Month]],crudeoil[],3,FALSE)</f>
        <v>#VALUE!</v>
      </c>
    </row>
    <row r="9606" spans="1:10" hidden="1" x14ac:dyDescent="0.3">
      <c r="A9606" t="s">
        <v>33</v>
      </c>
      <c r="B9606">
        <v>2022</v>
      </c>
      <c r="C9606" t="s">
        <v>46</v>
      </c>
      <c r="D9606" t="s">
        <v>22</v>
      </c>
      <c r="E9606" t="e">
        <f>VLOOKUP(Cpi_[[#This Row],[Attribute]],#REF!,2,FALSE)</f>
        <v>#REF!</v>
      </c>
      <c r="F9606">
        <v>167.3</v>
      </c>
      <c r="G9606">
        <f>(Cpi_[[#This Row],[Value]]-F9605)/F9605</f>
        <v>-7.3643410852713087E-2</v>
      </c>
      <c r="H9606" t="e" cm="1" vm="1">
        <f t="array" aca="1" ref="H9606" ca="1">VLOOKUP(Cpi_[[#This Row],[Year]:[Month]],crudeoil[],3,FALSE)</f>
        <v>#VALUE!</v>
      </c>
    </row>
    <row r="9607" spans="1:10" hidden="1" x14ac:dyDescent="0.3">
      <c r="A9607" t="s">
        <v>33</v>
      </c>
      <c r="B9607">
        <v>2022</v>
      </c>
      <c r="C9607" t="s">
        <v>46</v>
      </c>
      <c r="D9607" t="s">
        <v>23</v>
      </c>
      <c r="E9607" t="e">
        <f>VLOOKUP(Cpi_[[#This Row],[Attribute]],#REF!,2,FALSE)</f>
        <v>#REF!</v>
      </c>
      <c r="F9607">
        <v>177.2</v>
      </c>
      <c r="G9607">
        <f>(Cpi_[[#This Row],[Value]]-F9606)/F9606</f>
        <v>5.9175134488941877E-2</v>
      </c>
      <c r="H9607" t="e" cm="1" vm="1">
        <f t="array" aca="1" ref="H9607" ca="1">VLOOKUP(Cpi_[[#This Row],[Year]:[Month]],crudeoil[],3,FALSE)</f>
        <v>#VALUE!</v>
      </c>
    </row>
    <row r="9608" spans="1:10" hidden="1" x14ac:dyDescent="0.3">
      <c r="A9608" t="s">
        <v>33</v>
      </c>
      <c r="B9608">
        <v>2022</v>
      </c>
      <c r="C9608" t="s">
        <v>46</v>
      </c>
      <c r="D9608" t="s">
        <v>24</v>
      </c>
      <c r="E9608" t="e">
        <f>VLOOKUP(Cpi_[[#This Row],[Attribute]],#REF!,2,FALSE)</f>
        <v>#REF!</v>
      </c>
      <c r="F9608">
        <v>159.4</v>
      </c>
      <c r="G9608">
        <f>(Cpi_[[#This Row],[Value]]-F9607)/F9607</f>
        <v>-0.10045146726862293</v>
      </c>
      <c r="H9608" t="e" cm="1" vm="1">
        <f t="array" aca="1" ref="H9608" ca="1">VLOOKUP(Cpi_[[#This Row],[Year]:[Month]],crudeoil[],3,FALSE)</f>
        <v>#VALUE!</v>
      </c>
    </row>
    <row r="9609" spans="1:10" hidden="1" x14ac:dyDescent="0.3">
      <c r="A9609" t="s">
        <v>33</v>
      </c>
      <c r="B9609">
        <v>2022</v>
      </c>
      <c r="C9609" t="s">
        <v>46</v>
      </c>
      <c r="D9609" t="s">
        <v>25</v>
      </c>
      <c r="E9609" t="e">
        <f>VLOOKUP(Cpi_[[#This Row],[Attribute]],#REF!,2,FALSE)</f>
        <v>#REF!</v>
      </c>
      <c r="F9609">
        <v>167.1</v>
      </c>
      <c r="G9609">
        <f>(Cpi_[[#This Row],[Value]]-F9608)/F9608</f>
        <v>4.830614805520695E-2</v>
      </c>
      <c r="H9609" t="e" cm="1" vm="1">
        <f t="array" aca="1" ref="H9609" ca="1">VLOOKUP(Cpi_[[#This Row],[Year]:[Month]],crudeoil[],3,FALSE)</f>
        <v>#VALUE!</v>
      </c>
    </row>
    <row r="9610" spans="1:10" hidden="1" x14ac:dyDescent="0.3">
      <c r="A9610" t="s">
        <v>33</v>
      </c>
      <c r="B9610">
        <v>2022</v>
      </c>
      <c r="C9610" t="s">
        <v>46</v>
      </c>
      <c r="D9610" t="s">
        <v>26</v>
      </c>
      <c r="E9610" t="e">
        <f>VLOOKUP(Cpi_[[#This Row],[Attribute]],#REF!,2,FALSE)</f>
        <v>#REF!</v>
      </c>
      <c r="F9610">
        <v>171.8</v>
      </c>
      <c r="G9610">
        <f>(Cpi_[[#This Row],[Value]]-F9609)/F9609</f>
        <v>2.8126870137642233E-2</v>
      </c>
      <c r="H9610" t="e" cm="1" vm="1">
        <f t="array" aca="1" ref="H9610" ca="1">VLOOKUP(Cpi_[[#This Row],[Year]:[Month]],crudeoil[],3,FALSE)</f>
        <v>#VALUE!</v>
      </c>
    </row>
    <row r="9611" spans="1:10" hidden="1" x14ac:dyDescent="0.3">
      <c r="A9611" t="s">
        <v>33</v>
      </c>
      <c r="B9611">
        <v>2022</v>
      </c>
      <c r="C9611" t="s">
        <v>46</v>
      </c>
      <c r="D9611" t="s">
        <v>27</v>
      </c>
      <c r="E9611" t="e">
        <f>VLOOKUP(Cpi_[[#This Row],[Attribute]],#REF!,2,FALSE)</f>
        <v>#REF!</v>
      </c>
      <c r="F9611">
        <v>176</v>
      </c>
      <c r="G9611">
        <f>(Cpi_[[#This Row],[Value]]-F9610)/F9610</f>
        <v>2.4447031431897488E-2</v>
      </c>
      <c r="H9611" t="e" cm="1" vm="1">
        <f t="array" aca="1" ref="H9611" ca="1">VLOOKUP(Cpi_[[#This Row],[Year]:[Month]],crudeoil[],3,FALSE)</f>
        <v>#VALUE!</v>
      </c>
    </row>
    <row r="9612" spans="1:10" hidden="1" x14ac:dyDescent="0.3">
      <c r="A9612" t="s">
        <v>33</v>
      </c>
      <c r="B9612">
        <v>2022</v>
      </c>
      <c r="C9612" t="s">
        <v>46</v>
      </c>
      <c r="D9612" t="s">
        <v>28</v>
      </c>
      <c r="E9612" t="e">
        <f>VLOOKUP(Cpi_[[#This Row],[Attribute]],#REF!,2,FALSE)</f>
        <v>#REF!</v>
      </c>
      <c r="F9612">
        <v>168.2</v>
      </c>
      <c r="G9612">
        <f>(Cpi_[[#This Row],[Value]]-F9611)/F9611</f>
        <v>-4.4318181818181882E-2</v>
      </c>
      <c r="H9612" t="e" cm="1" vm="1">
        <f t="array" aca="1" ref="H9612" ca="1">VLOOKUP(Cpi_[[#This Row],[Year]:[Month]],crudeoil[],3,FALSE)</f>
        <v>#VALUE!</v>
      </c>
    </row>
    <row r="9613" spans="1:10" hidden="1" x14ac:dyDescent="0.3">
      <c r="A9613" t="s">
        <v>33</v>
      </c>
      <c r="B9613">
        <v>2022</v>
      </c>
      <c r="C9613" t="s">
        <v>46</v>
      </c>
      <c r="D9613" t="s">
        <v>29</v>
      </c>
      <c r="E9613" t="e" cm="1">
        <f t="array" aca="1" ref="E9613" ca="1">VLGeneral indexGeneral indexKUP(Cpi_[[#This Row],[Attribute]],#REF!,2,FALSE)</f>
        <v>#NAME?</v>
      </c>
      <c r="F9613">
        <v>174.1</v>
      </c>
      <c r="G9613">
        <f>(Cpi_[[#This Row],[Value]]-F9612)/F9612</f>
        <v>3.5077288941736062E-2</v>
      </c>
      <c r="H9613" t="e" cm="1" vm="1">
        <f t="array" aca="1" ref="H9613" ca="1">VLOOKUP(Cpi_[[#This Row],[Year]:[Month]],crudeoil[],3,FALSE)</f>
        <v>#VALUE!</v>
      </c>
    </row>
    <row r="9614" spans="1:10" hidden="1" x14ac:dyDescent="0.3">
      <c r="A9614" t="s">
        <v>34</v>
      </c>
      <c r="B9614">
        <v>2022</v>
      </c>
      <c r="C9614" t="s">
        <v>46</v>
      </c>
      <c r="D9614" t="s">
        <v>3</v>
      </c>
      <c r="E9614" t="e">
        <f>VLOOKUP(Cpi_[[#This Row],[Attribute]],#REF!,2,FALSE)</f>
        <v>#REF!</v>
      </c>
      <c r="F9614">
        <v>169.2</v>
      </c>
      <c r="G9614">
        <f>(Cpi_[[#This Row],[Value]]-F9613)/F9613</f>
        <v>-2.8144744399770282E-2</v>
      </c>
      <c r="H9614" t="e" cm="1" vm="1">
        <f t="array" aca="1" ref="H9614" ca="1">VLOOKUP(Cpi_[[#This Row],[Year]:[Month]],crudeoil[],3,FALSE)</f>
        <v>#VALUE!</v>
      </c>
    </row>
    <row r="9615" spans="1:10" x14ac:dyDescent="0.3">
      <c r="A9615" t="s">
        <v>34</v>
      </c>
      <c r="B9615">
        <v>2022</v>
      </c>
      <c r="C9615" t="s">
        <v>46</v>
      </c>
      <c r="D9615" t="s">
        <v>4</v>
      </c>
      <c r="E9615" t="e">
        <f>VLOOKUP(Cpi_[[#This Row],[Attribute]],#REF!,2,FALSE)</f>
        <v>#REF!</v>
      </c>
      <c r="F9615">
        <v>209</v>
      </c>
      <c r="G9615" s="42">
        <f>(Cpi_[[#This Row],[Value]]-F9614)/F9614</f>
        <v>0.23522458628841617</v>
      </c>
      <c r="H9615" t="str">
        <f>LEFT(Cpi_[[#This Row],[Month]],3)</f>
        <v>Dec</v>
      </c>
      <c r="I9615" t="str">
        <f>RIGHT(Cpi_[[#This Row],[Year]],2)</f>
        <v>22</v>
      </c>
      <c r="J9615" t="str">
        <f>Cpi_[[#This Row],[Column3]]&amp;"-"&amp;Cpi_[[#This Row],[Column4]]</f>
        <v>Dec-22</v>
      </c>
    </row>
    <row r="9616" spans="1:10" x14ac:dyDescent="0.3">
      <c r="A9616" t="s">
        <v>34</v>
      </c>
      <c r="B9616">
        <v>2022</v>
      </c>
      <c r="C9616" t="s">
        <v>46</v>
      </c>
      <c r="D9616" t="s">
        <v>5</v>
      </c>
      <c r="E9616" t="e">
        <f>VLOOKUP(Cpi_[[#This Row],[Attribute]],#REF!,2,FALSE)</f>
        <v>#REF!</v>
      </c>
      <c r="F9616">
        <v>190.2</v>
      </c>
      <c r="G9616" s="42">
        <f>(Cpi_[[#This Row],[Value]]-F9615)/F9615</f>
        <v>-8.9952153110047894E-2</v>
      </c>
      <c r="H9616" t="str">
        <f>LEFT(Cpi_[[#This Row],[Month]],3)</f>
        <v>Dec</v>
      </c>
      <c r="I9616" t="str">
        <f>RIGHT(Cpi_[[#This Row],[Year]],2)</f>
        <v>22</v>
      </c>
      <c r="J9616" t="str">
        <f>Cpi_[[#This Row],[Column3]]&amp;"-"&amp;Cpi_[[#This Row],[Column4]]</f>
        <v>Dec-22</v>
      </c>
    </row>
    <row r="9617" spans="1:10" x14ac:dyDescent="0.3">
      <c r="A9617" t="s">
        <v>34</v>
      </c>
      <c r="B9617">
        <v>2022</v>
      </c>
      <c r="C9617" t="s">
        <v>46</v>
      </c>
      <c r="D9617" t="s">
        <v>6</v>
      </c>
      <c r="E9617" t="e">
        <f>VLOOKUP(Cpi_[[#This Row],[Attribute]],#REF!,2,FALSE)</f>
        <v>#REF!</v>
      </c>
      <c r="F9617">
        <v>173.6</v>
      </c>
      <c r="G9617" s="42">
        <f>(Cpi_[[#This Row],[Value]]-F9616)/F9616</f>
        <v>-8.7276550998948446E-2</v>
      </c>
      <c r="H9617" t="str">
        <f>LEFT(Cpi_[[#This Row],[Month]],3)</f>
        <v>Dec</v>
      </c>
      <c r="I9617" t="str">
        <f>RIGHT(Cpi_[[#This Row],[Year]],2)</f>
        <v>22</v>
      </c>
      <c r="J9617" t="str">
        <f>Cpi_[[#This Row],[Column3]]&amp;"-"&amp;Cpi_[[#This Row],[Column4]]</f>
        <v>Dec-22</v>
      </c>
    </row>
    <row r="9618" spans="1:10" x14ac:dyDescent="0.3">
      <c r="A9618" t="s">
        <v>34</v>
      </c>
      <c r="B9618">
        <v>2022</v>
      </c>
      <c r="C9618" t="s">
        <v>46</v>
      </c>
      <c r="D9618" t="s">
        <v>7</v>
      </c>
      <c r="E9618" t="e">
        <f>VLOOKUP(Cpi_[[#This Row],[Attribute]],#REF!,2,FALSE)</f>
        <v>#REF!</v>
      </c>
      <c r="F9618">
        <v>188.5</v>
      </c>
      <c r="G9618" s="42">
        <f>(Cpi_[[#This Row],[Value]]-F9617)/F9617</f>
        <v>8.5829493087557635E-2</v>
      </c>
      <c r="H9618" t="str">
        <f>LEFT(Cpi_[[#This Row],[Month]],3)</f>
        <v>Dec</v>
      </c>
      <c r="I9618" t="str">
        <f>RIGHT(Cpi_[[#This Row],[Year]],2)</f>
        <v>22</v>
      </c>
      <c r="J9618" t="str">
        <f>Cpi_[[#This Row],[Column3]]&amp;"-"&amp;Cpi_[[#This Row],[Column4]]</f>
        <v>Dec-22</v>
      </c>
    </row>
    <row r="9619" spans="1:10" x14ac:dyDescent="0.3">
      <c r="A9619" t="s">
        <v>34</v>
      </c>
      <c r="B9619">
        <v>2022</v>
      </c>
      <c r="C9619" t="s">
        <v>46</v>
      </c>
      <c r="D9619" t="s">
        <v>8</v>
      </c>
      <c r="E9619" t="e">
        <f>VLOOKUP(Cpi_[[#This Row],[Attribute]],#REF!,2,FALSE)</f>
        <v>#REF!</v>
      </c>
      <c r="F9619">
        <v>158</v>
      </c>
      <c r="G9619" s="42">
        <f>(Cpi_[[#This Row],[Value]]-F9618)/F9618</f>
        <v>-0.16180371352785147</v>
      </c>
      <c r="H9619" t="str">
        <f>LEFT(Cpi_[[#This Row],[Month]],3)</f>
        <v>Dec</v>
      </c>
      <c r="I9619" t="str">
        <f>RIGHT(Cpi_[[#This Row],[Year]],2)</f>
        <v>22</v>
      </c>
      <c r="J9619" t="str">
        <f>Cpi_[[#This Row],[Column3]]&amp;"-"&amp;Cpi_[[#This Row],[Column4]]</f>
        <v>Dec-22</v>
      </c>
    </row>
    <row r="9620" spans="1:10" x14ac:dyDescent="0.3">
      <c r="A9620" t="s">
        <v>34</v>
      </c>
      <c r="B9620">
        <v>2022</v>
      </c>
      <c r="C9620" t="s">
        <v>46</v>
      </c>
      <c r="D9620" t="s">
        <v>9</v>
      </c>
      <c r="E9620" t="e">
        <f>VLOOKUP(Cpi_[[#This Row],[Attribute]],#REF!,2,FALSE)</f>
        <v>#REF!</v>
      </c>
      <c r="F9620">
        <v>159.9</v>
      </c>
      <c r="G9620" s="42">
        <f>(Cpi_[[#This Row],[Value]]-F9619)/F9619</f>
        <v>1.2025316455696239E-2</v>
      </c>
      <c r="H9620" t="str">
        <f>LEFT(Cpi_[[#This Row],[Month]],3)</f>
        <v>Dec</v>
      </c>
      <c r="I9620" t="str">
        <f>RIGHT(Cpi_[[#This Row],[Year]],2)</f>
        <v>22</v>
      </c>
      <c r="J9620" t="str">
        <f>Cpi_[[#This Row],[Column3]]&amp;"-"&amp;Cpi_[[#This Row],[Column4]]</f>
        <v>Dec-22</v>
      </c>
    </row>
    <row r="9621" spans="1:10" x14ac:dyDescent="0.3">
      <c r="A9621" t="s">
        <v>34</v>
      </c>
      <c r="B9621">
        <v>2022</v>
      </c>
      <c r="C9621" t="s">
        <v>46</v>
      </c>
      <c r="D9621" t="s">
        <v>10</v>
      </c>
      <c r="E9621" t="e">
        <f>VLOOKUP(Cpi_[[#This Row],[Attribute]],#REF!,2,FALSE)</f>
        <v>#REF!</v>
      </c>
      <c r="F9621">
        <v>170.8</v>
      </c>
      <c r="G9621" s="42">
        <f>(Cpi_[[#This Row],[Value]]-F9620)/F9620</f>
        <v>6.8167604752970637E-2</v>
      </c>
      <c r="H9621" t="str">
        <f>LEFT(Cpi_[[#This Row],[Month]],3)</f>
        <v>Dec</v>
      </c>
      <c r="I9621" t="str">
        <f>RIGHT(Cpi_[[#This Row],[Year]],2)</f>
        <v>22</v>
      </c>
      <c r="J9621" t="str">
        <f>Cpi_[[#This Row],[Column3]]&amp;"-"&amp;Cpi_[[#This Row],[Column4]]</f>
        <v>Dec-22</v>
      </c>
    </row>
    <row r="9622" spans="1:10" x14ac:dyDescent="0.3">
      <c r="A9622" t="s">
        <v>34</v>
      </c>
      <c r="B9622">
        <v>2022</v>
      </c>
      <c r="C9622" t="s">
        <v>46</v>
      </c>
      <c r="D9622" t="s">
        <v>11</v>
      </c>
      <c r="E9622" t="e">
        <f>VLOOKUP(Cpi_[[#This Row],[Attribute]],#REF!,2,FALSE)</f>
        <v>#REF!</v>
      </c>
      <c r="F9622">
        <v>121.8</v>
      </c>
      <c r="G9622" s="42">
        <f>(Cpi_[[#This Row],[Value]]-F9621)/F9621</f>
        <v>-0.28688524590163939</v>
      </c>
      <c r="H9622" t="str">
        <f>LEFT(Cpi_[[#This Row],[Month]],3)</f>
        <v>Dec</v>
      </c>
      <c r="I9622" t="str">
        <f>RIGHT(Cpi_[[#This Row],[Year]],2)</f>
        <v>22</v>
      </c>
      <c r="J9622" t="str">
        <f>Cpi_[[#This Row],[Column3]]&amp;"-"&amp;Cpi_[[#This Row],[Column4]]</f>
        <v>Dec-22</v>
      </c>
    </row>
    <row r="9623" spans="1:10" x14ac:dyDescent="0.3">
      <c r="A9623" t="s">
        <v>34</v>
      </c>
      <c r="B9623">
        <v>2022</v>
      </c>
      <c r="C9623" t="s">
        <v>46</v>
      </c>
      <c r="D9623" t="s">
        <v>12</v>
      </c>
      <c r="E9623" t="e">
        <f>VLOOKUP(Cpi_[[#This Row],[Attribute]],#REF!,2,FALSE)</f>
        <v>#REF!</v>
      </c>
      <c r="F9623">
        <v>205.2</v>
      </c>
      <c r="G9623" s="42">
        <f>(Cpi_[[#This Row],[Value]]-F9622)/F9622</f>
        <v>0.68472906403940881</v>
      </c>
      <c r="H9623" t="str">
        <f>LEFT(Cpi_[[#This Row],[Month]],3)</f>
        <v>Dec</v>
      </c>
      <c r="I9623" t="str">
        <f>RIGHT(Cpi_[[#This Row],[Year]],2)</f>
        <v>22</v>
      </c>
      <c r="J9623" t="str">
        <f>Cpi_[[#This Row],[Column3]]&amp;"-"&amp;Cpi_[[#This Row],[Column4]]</f>
        <v>Dec-22</v>
      </c>
    </row>
    <row r="9624" spans="1:10" x14ac:dyDescent="0.3">
      <c r="A9624" t="s">
        <v>34</v>
      </c>
      <c r="B9624">
        <v>2022</v>
      </c>
      <c r="C9624" t="s">
        <v>46</v>
      </c>
      <c r="D9624" t="s">
        <v>13</v>
      </c>
      <c r="E9624" t="e">
        <f>VLOOKUP(Cpi_[[#This Row],[Attribute]],#REF!,2,FALSE)</f>
        <v>#REF!</v>
      </c>
      <c r="F9624">
        <v>171</v>
      </c>
      <c r="G9624" s="42">
        <f>(Cpi_[[#This Row],[Value]]-F9623)/F9623</f>
        <v>-0.16666666666666663</v>
      </c>
      <c r="H9624" t="str">
        <f>LEFT(Cpi_[[#This Row],[Month]],3)</f>
        <v>Dec</v>
      </c>
      <c r="I9624" t="str">
        <f>RIGHT(Cpi_[[#This Row],[Year]],2)</f>
        <v>22</v>
      </c>
      <c r="J9624" t="str">
        <f>Cpi_[[#This Row],[Column3]]&amp;"-"&amp;Cpi_[[#This Row],[Column4]]</f>
        <v>Dec-22</v>
      </c>
    </row>
    <row r="9625" spans="1:10" x14ac:dyDescent="0.3">
      <c r="A9625" t="s">
        <v>34</v>
      </c>
      <c r="B9625">
        <v>2022</v>
      </c>
      <c r="C9625" t="s">
        <v>46</v>
      </c>
      <c r="D9625" t="s">
        <v>14</v>
      </c>
      <c r="E9625" t="e">
        <f>VLOOKUP(Cpi_[[#This Row],[Attribute]],#REF!,2,FALSE)</f>
        <v>#REF!</v>
      </c>
      <c r="F9625">
        <v>190.3</v>
      </c>
      <c r="G9625" s="42">
        <f>(Cpi_[[#This Row],[Value]]-F9624)/F9624</f>
        <v>0.11286549707602346</v>
      </c>
      <c r="H9625" t="str">
        <f>LEFT(Cpi_[[#This Row],[Month]],3)</f>
        <v>Dec</v>
      </c>
      <c r="I9625" t="str">
        <f>RIGHT(Cpi_[[#This Row],[Year]],2)</f>
        <v>22</v>
      </c>
      <c r="J9625" t="str">
        <f>Cpi_[[#This Row],[Column3]]&amp;"-"&amp;Cpi_[[#This Row],[Column4]]</f>
        <v>Dec-22</v>
      </c>
    </row>
    <row r="9626" spans="1:10" x14ac:dyDescent="0.3">
      <c r="A9626" t="s">
        <v>34</v>
      </c>
      <c r="B9626">
        <v>2022</v>
      </c>
      <c r="C9626" t="s">
        <v>46</v>
      </c>
      <c r="D9626" t="s">
        <v>15</v>
      </c>
      <c r="E9626" t="e">
        <f>VLOOKUP(Cpi_[[#This Row],[Attribute]],#REF!,2,FALSE)</f>
        <v>#REF!</v>
      </c>
      <c r="F9626">
        <v>175.9</v>
      </c>
      <c r="G9626" s="42">
        <f>(Cpi_[[#This Row],[Value]]-F9625)/F9625</f>
        <v>-7.5669994745139274E-2</v>
      </c>
      <c r="H9626" t="str">
        <f>LEFT(Cpi_[[#This Row],[Month]],3)</f>
        <v>Dec</v>
      </c>
      <c r="I9626" t="str">
        <f>RIGHT(Cpi_[[#This Row],[Year]],2)</f>
        <v>22</v>
      </c>
      <c r="J9626" t="str">
        <f>Cpi_[[#This Row],[Column3]]&amp;"-"&amp;Cpi_[[#This Row],[Column4]]</f>
        <v>Dec-22</v>
      </c>
    </row>
    <row r="9627" spans="1:10" hidden="1" x14ac:dyDescent="0.3">
      <c r="A9627" t="s">
        <v>34</v>
      </c>
      <c r="B9627">
        <v>2022</v>
      </c>
      <c r="C9627" t="s">
        <v>46</v>
      </c>
      <c r="D9627" t="s">
        <v>16</v>
      </c>
      <c r="E9627" t="e">
        <f>VLOOKUP(Cpi_[[#This Row],[Attribute]],#REF!,2,FALSE)</f>
        <v>#REF!</v>
      </c>
      <c r="F9627">
        <v>197.3</v>
      </c>
      <c r="G9627">
        <f>(Cpi_[[#This Row],[Value]]-F9626)/F9626</f>
        <v>0.12166003411028997</v>
      </c>
      <c r="H9627" t="e" cm="1" vm="1">
        <f t="array" aca="1" ref="H9627" ca="1">VLOOKUP(Cpi_[[#This Row],[Year]:[Month]],crudeoil[],3,FALSE)</f>
        <v>#VALUE!</v>
      </c>
    </row>
    <row r="9628" spans="1:10" hidden="1" x14ac:dyDescent="0.3">
      <c r="A9628" t="s">
        <v>34</v>
      </c>
      <c r="B9628">
        <v>2022</v>
      </c>
      <c r="C9628" t="s">
        <v>46</v>
      </c>
      <c r="D9628" t="s">
        <v>17</v>
      </c>
      <c r="E9628" t="e">
        <f>VLOOKUP(Cpi_[[#This Row],[Attribute]],#REF!,2,FALSE)</f>
        <v>#REF!</v>
      </c>
      <c r="F9628">
        <v>184</v>
      </c>
      <c r="G9628">
        <f>(Cpi_[[#This Row],[Value]]-F9627)/F9627</f>
        <v>-6.7410035478966096E-2</v>
      </c>
      <c r="H9628" t="e" cm="1" vm="1">
        <f t="array" aca="1" ref="H9628" ca="1">VLOOKUP(Cpi_[[#This Row],[Year]:[Month]],crudeoil[],3,FALSE)</f>
        <v>#VALUE!</v>
      </c>
    </row>
    <row r="9629" spans="1:10" hidden="1" x14ac:dyDescent="0.3">
      <c r="A9629" t="s">
        <v>34</v>
      </c>
      <c r="B9629">
        <v>2022</v>
      </c>
      <c r="C9629" t="s">
        <v>46</v>
      </c>
      <c r="D9629" t="s">
        <v>18</v>
      </c>
      <c r="E9629" t="e">
        <f>VLOOKUP(Cpi_[[#This Row],[Attribute]],#REF!,2,FALSE)</f>
        <v>#REF!</v>
      </c>
      <c r="F9629">
        <v>177</v>
      </c>
      <c r="G9629">
        <f>(Cpi_[[#This Row],[Value]]-F9628)/F9628</f>
        <v>-3.8043478260869568E-2</v>
      </c>
      <c r="H9629" t="e" cm="1" vm="1">
        <f t="array" aca="1" ref="H9629" ca="1">VLOOKUP(Cpi_[[#This Row],[Year]:[Month]],crudeoil[],3,FALSE)</f>
        <v>#VALUE!</v>
      </c>
    </row>
    <row r="9630" spans="1:10" hidden="1" x14ac:dyDescent="0.3">
      <c r="A9630" t="s">
        <v>34</v>
      </c>
      <c r="B9630">
        <v>2022</v>
      </c>
      <c r="C9630" t="s">
        <v>46</v>
      </c>
      <c r="D9630" t="s">
        <v>19</v>
      </c>
      <c r="E9630" t="e">
        <f>VLOOKUP(Cpi_[[#This Row],[Attribute]],#REF!,2,FALSE)</f>
        <v>#REF!</v>
      </c>
      <c r="F9630">
        <v>183</v>
      </c>
      <c r="G9630">
        <f>(Cpi_[[#This Row],[Value]]-F9629)/F9629</f>
        <v>3.3898305084745763E-2</v>
      </c>
      <c r="H9630" t="e" cm="1" vm="1">
        <f t="array" aca="1" ref="H9630" ca="1">VLOOKUP(Cpi_[[#This Row],[Year]:[Month]],crudeoil[],3,FALSE)</f>
        <v>#VALUE!</v>
      </c>
    </row>
    <row r="9631" spans="1:10" hidden="1" x14ac:dyDescent="0.3">
      <c r="A9631" t="s">
        <v>34</v>
      </c>
      <c r="B9631">
        <v>2022</v>
      </c>
      <c r="C9631" t="s">
        <v>46</v>
      </c>
      <c r="D9631" t="s">
        <v>20</v>
      </c>
      <c r="E9631" t="e">
        <f>VLOOKUP(Cpi_[[#This Row],[Attribute]],#REF!,2,FALSE)</f>
        <v>#REF!</v>
      </c>
      <c r="F9631">
        <v>170.7</v>
      </c>
      <c r="G9631">
        <f>(Cpi_[[#This Row],[Value]]-F9630)/F9630</f>
        <v>-6.7213114754098427E-2</v>
      </c>
      <c r="H9631" t="e" cm="1" vm="1">
        <f t="array" aca="1" ref="H9631" ca="1">VLOOKUP(Cpi_[[#This Row],[Year]:[Month]],crudeoil[],3,FALSE)</f>
        <v>#VALUE!</v>
      </c>
    </row>
    <row r="9632" spans="1:10" hidden="1" x14ac:dyDescent="0.3">
      <c r="A9632" t="s">
        <v>34</v>
      </c>
      <c r="B9632">
        <v>2022</v>
      </c>
      <c r="C9632" t="s">
        <v>46</v>
      </c>
      <c r="D9632" t="s">
        <v>21</v>
      </c>
      <c r="E9632" t="e">
        <f>VLOOKUP(Cpi_[[#This Row],[Attribute]],#REF!,2,FALSE)</f>
        <v>#REF!</v>
      </c>
      <c r="F9632">
        <v>182</v>
      </c>
      <c r="G9632">
        <f>(Cpi_[[#This Row],[Value]]-F9631)/F9631</f>
        <v>6.6198008201523217E-2</v>
      </c>
      <c r="H9632" t="e" cm="1" vm="1">
        <f t="array" aca="1" ref="H9632" ca="1">VLOOKUP(Cpi_[[#This Row],[Year]:[Month]],crudeoil[],3,FALSE)</f>
        <v>#VALUE!</v>
      </c>
    </row>
    <row r="9633" spans="1:8" hidden="1" x14ac:dyDescent="0.3">
      <c r="A9633" t="s">
        <v>34</v>
      </c>
      <c r="B9633">
        <v>2022</v>
      </c>
      <c r="C9633" t="s">
        <v>46</v>
      </c>
      <c r="D9633" t="s">
        <v>22</v>
      </c>
      <c r="E9633" t="e">
        <f>VLOOKUP(Cpi_[[#This Row],[Attribute]],#REF!,2,FALSE)</f>
        <v>#REF!</v>
      </c>
      <c r="F9633">
        <v>172.1</v>
      </c>
      <c r="G9633">
        <f>(Cpi_[[#This Row],[Value]]-F9632)/F9632</f>
        <v>-5.4395604395604424E-2</v>
      </c>
      <c r="H9633" t="e" cm="1" vm="1">
        <f t="array" aca="1" ref="H9633" ca="1">VLOOKUP(Cpi_[[#This Row],[Year]:[Month]],crudeoil[],3,FALSE)</f>
        <v>#VALUE!</v>
      </c>
    </row>
    <row r="9634" spans="1:8" hidden="1" x14ac:dyDescent="0.3">
      <c r="A9634" t="s">
        <v>34</v>
      </c>
      <c r="B9634">
        <v>2022</v>
      </c>
      <c r="C9634" t="s">
        <v>46</v>
      </c>
      <c r="D9634" t="s">
        <v>23</v>
      </c>
      <c r="E9634" t="e">
        <f>VLOOKUP(Cpi_[[#This Row],[Attribute]],#REF!,2,FALSE)</f>
        <v>#REF!</v>
      </c>
      <c r="F9634">
        <v>181.1</v>
      </c>
      <c r="G9634">
        <f>(Cpi_[[#This Row],[Value]]-F9633)/F9633</f>
        <v>5.2295177222545036E-2</v>
      </c>
      <c r="H9634" t="e" cm="1" vm="1">
        <f t="array" aca="1" ref="H9634" ca="1">VLOOKUP(Cpi_[[#This Row],[Year]:[Month]],crudeoil[],3,FALSE)</f>
        <v>#VALUE!</v>
      </c>
    </row>
    <row r="9635" spans="1:8" hidden="1" x14ac:dyDescent="0.3">
      <c r="A9635" t="s">
        <v>34</v>
      </c>
      <c r="B9635">
        <v>2022</v>
      </c>
      <c r="C9635" t="s">
        <v>46</v>
      </c>
      <c r="D9635" t="s">
        <v>24</v>
      </c>
      <c r="E9635" t="e">
        <f>VLOOKUP(Cpi_[[#This Row],[Attribute]],#REF!,2,FALSE)</f>
        <v>#REF!</v>
      </c>
      <c r="F9635">
        <v>163.4</v>
      </c>
      <c r="G9635">
        <f>(Cpi_[[#This Row],[Value]]-F9634)/F9634</f>
        <v>-9.7736057426835943E-2</v>
      </c>
      <c r="H9635" t="e" cm="1" vm="1">
        <f t="array" aca="1" ref="H9635" ca="1">VLOOKUP(Cpi_[[#This Row],[Year]:[Month]],crudeoil[],3,FALSE)</f>
        <v>#VALUE!</v>
      </c>
    </row>
    <row r="9636" spans="1:8" hidden="1" x14ac:dyDescent="0.3">
      <c r="A9636" t="s">
        <v>34</v>
      </c>
      <c r="B9636">
        <v>2022</v>
      </c>
      <c r="C9636" t="s">
        <v>46</v>
      </c>
      <c r="D9636" t="s">
        <v>25</v>
      </c>
      <c r="E9636" t="e">
        <f>VLOOKUP(Cpi_[[#This Row],[Attribute]],#REF!,2,FALSE)</f>
        <v>#REF!</v>
      </c>
      <c r="F9636">
        <v>168.9</v>
      </c>
      <c r="G9636">
        <f>(Cpi_[[#This Row],[Value]]-F9635)/F9635</f>
        <v>3.3659730722154224E-2</v>
      </c>
      <c r="H9636" t="e" cm="1" vm="1">
        <f t="array" aca="1" ref="H9636" ca="1">VLOOKUP(Cpi_[[#This Row],[Year]:[Month]],crudeoil[],3,FALSE)</f>
        <v>#VALUE!</v>
      </c>
    </row>
    <row r="9637" spans="1:8" hidden="1" x14ac:dyDescent="0.3">
      <c r="A9637" t="s">
        <v>34</v>
      </c>
      <c r="B9637">
        <v>2022</v>
      </c>
      <c r="C9637" t="s">
        <v>46</v>
      </c>
      <c r="D9637" t="s">
        <v>26</v>
      </c>
      <c r="E9637" t="e">
        <f>VLOOKUP(Cpi_[[#This Row],[Attribute]],#REF!,2,FALSE)</f>
        <v>#REF!</v>
      </c>
      <c r="F9637">
        <v>174.1</v>
      </c>
      <c r="G9637">
        <f>(Cpi_[[#This Row],[Value]]-F9636)/F9636</f>
        <v>3.0787448194197681E-2</v>
      </c>
      <c r="H9637" t="e" cm="1" vm="1">
        <f t="array" aca="1" ref="H9637" ca="1">VLOOKUP(Cpi_[[#This Row],[Year]:[Month]],crudeoil[],3,FALSE)</f>
        <v>#VALUE!</v>
      </c>
    </row>
    <row r="9638" spans="1:8" hidden="1" x14ac:dyDescent="0.3">
      <c r="A9638" t="s">
        <v>34</v>
      </c>
      <c r="B9638">
        <v>2022</v>
      </c>
      <c r="C9638" t="s">
        <v>46</v>
      </c>
      <c r="D9638" t="s">
        <v>27</v>
      </c>
      <c r="E9638" t="e">
        <f>VLOOKUP(Cpi_[[#This Row],[Attribute]],#REF!,2,FALSE)</f>
        <v>#REF!</v>
      </c>
      <c r="F9638">
        <v>175.8</v>
      </c>
      <c r="G9638">
        <f>(Cpi_[[#This Row],[Value]]-F9637)/F9637</f>
        <v>9.7645031591040623E-3</v>
      </c>
      <c r="H9638" t="e" cm="1" vm="1">
        <f t="array" aca="1" ref="H9638" ca="1">VLOOKUP(Cpi_[[#This Row],[Year]:[Month]],crudeoil[],3,FALSE)</f>
        <v>#VALUE!</v>
      </c>
    </row>
    <row r="9639" spans="1:8" hidden="1" x14ac:dyDescent="0.3">
      <c r="A9639" t="s">
        <v>34</v>
      </c>
      <c r="B9639">
        <v>2022</v>
      </c>
      <c r="C9639" t="s">
        <v>46</v>
      </c>
      <c r="D9639" t="s">
        <v>28</v>
      </c>
      <c r="E9639" t="e">
        <f>VLOOKUP(Cpi_[[#This Row],[Attribute]],#REF!,2,FALSE)</f>
        <v>#REF!</v>
      </c>
      <c r="F9639">
        <v>172</v>
      </c>
      <c r="G9639">
        <f>(Cpi_[[#This Row],[Value]]-F9638)/F9638</f>
        <v>-2.1615472127417584E-2</v>
      </c>
      <c r="H9639" t="e" cm="1" vm="1">
        <f t="array" aca="1" ref="H9639" ca="1">VLOOKUP(Cpi_[[#This Row],[Year]:[Month]],crudeoil[],3,FALSE)</f>
        <v>#VALUE!</v>
      </c>
    </row>
    <row r="9640" spans="1:8" hidden="1" x14ac:dyDescent="0.3">
      <c r="A9640" t="s">
        <v>34</v>
      </c>
      <c r="B9640">
        <v>2022</v>
      </c>
      <c r="C9640" t="s">
        <v>46</v>
      </c>
      <c r="D9640" t="s">
        <v>29</v>
      </c>
      <c r="E9640" t="e" cm="1">
        <f t="array" aca="1" ref="E9640" ca="1">VLGeneral indexGeneral indexKUP(Cpi_[[#This Row],[Attribute]],#REF!,2,FALSE)</f>
        <v>#NAME?</v>
      </c>
      <c r="F9640">
        <v>175.7</v>
      </c>
      <c r="G9640">
        <f>(Cpi_[[#This Row],[Value]]-F9639)/F9639</f>
        <v>2.151162790697668E-2</v>
      </c>
      <c r="H9640" t="e" cm="1" vm="1">
        <f t="array" aca="1" ref="H9640" ca="1">VLOOKUP(Cpi_[[#This Row],[Year]:[Month]],crudeoil[],3,FALSE)</f>
        <v>#VALUE!</v>
      </c>
    </row>
    <row r="9641" spans="1:8" hidden="1" x14ac:dyDescent="0.3">
      <c r="A9641" t="s">
        <v>30</v>
      </c>
      <c r="B9641">
        <v>2023</v>
      </c>
      <c r="C9641" t="s">
        <v>31</v>
      </c>
      <c r="D9641" t="s">
        <v>3</v>
      </c>
      <c r="E9641" t="e">
        <f>VLOOKUP(Cpi_[[#This Row],[Attribute]],#REF!,2,FALSE)</f>
        <v>#REF!</v>
      </c>
      <c r="F9641">
        <v>174</v>
      </c>
      <c r="G9641">
        <f>(Cpi_[[#This Row],[Value]]-F9640)/F9640</f>
        <v>-9.6755833807626E-3</v>
      </c>
      <c r="H9641" t="e" cm="1" vm="1">
        <f t="array" aca="1" ref="H9641" ca="1">VLOOKUP(Cpi_[[#This Row],[Year]:[Month]],crudeoil[],3,FALSE)</f>
        <v>#VALUE!</v>
      </c>
    </row>
    <row r="9642" spans="1:8" hidden="1" x14ac:dyDescent="0.3">
      <c r="A9642" t="s">
        <v>30</v>
      </c>
      <c r="B9642">
        <v>2023</v>
      </c>
      <c r="C9642" t="s">
        <v>31</v>
      </c>
      <c r="D9642" t="s">
        <v>4</v>
      </c>
      <c r="E9642" t="e">
        <f>VLOOKUP(Cpi_[[#This Row],[Attribute]],#REF!,2,FALSE)</f>
        <v>#REF!</v>
      </c>
      <c r="F9642">
        <v>208.3</v>
      </c>
      <c r="G9642">
        <f>(Cpi_[[#This Row],[Value]]-F9641)/F9641</f>
        <v>0.19712643678160927</v>
      </c>
      <c r="H9642" t="e" cm="1" vm="1">
        <f t="array" aca="1" ref="H9642" ca="1">VLOOKUP(Cpi_[[#This Row],[Year]:[Month]],crudeoil[],3,FALSE)</f>
        <v>#VALUE!</v>
      </c>
    </row>
    <row r="9643" spans="1:8" hidden="1" x14ac:dyDescent="0.3">
      <c r="A9643" t="s">
        <v>30</v>
      </c>
      <c r="B9643">
        <v>2023</v>
      </c>
      <c r="C9643" t="s">
        <v>31</v>
      </c>
      <c r="D9643" t="s">
        <v>5</v>
      </c>
      <c r="E9643" t="e">
        <f>VLOOKUP(Cpi_[[#This Row],[Attribute]],#REF!,2,FALSE)</f>
        <v>#REF!</v>
      </c>
      <c r="F9643">
        <v>192.9</v>
      </c>
      <c r="G9643">
        <f>(Cpi_[[#This Row],[Value]]-F9642)/F9642</f>
        <v>-7.3931829092654847E-2</v>
      </c>
      <c r="H9643" t="e" cm="1" vm="1">
        <f t="array" aca="1" ref="H9643" ca="1">VLOOKUP(Cpi_[[#This Row],[Year]:[Month]],crudeoil[],3,FALSE)</f>
        <v>#VALUE!</v>
      </c>
    </row>
    <row r="9644" spans="1:8" hidden="1" x14ac:dyDescent="0.3">
      <c r="A9644" t="s">
        <v>30</v>
      </c>
      <c r="B9644">
        <v>2023</v>
      </c>
      <c r="C9644" t="s">
        <v>31</v>
      </c>
      <c r="D9644" t="s">
        <v>6</v>
      </c>
      <c r="E9644" t="e">
        <f>VLOOKUP(Cpi_[[#This Row],[Attribute]],#REF!,2,FALSE)</f>
        <v>#REF!</v>
      </c>
      <c r="F9644">
        <v>174.3</v>
      </c>
      <c r="G9644">
        <f>(Cpi_[[#This Row],[Value]]-F9643)/F9643</f>
        <v>-9.6423017107309453E-2</v>
      </c>
      <c r="H9644" t="e" cm="1" vm="1">
        <f t="array" aca="1" ref="H9644" ca="1">VLOOKUP(Cpi_[[#This Row],[Year]:[Month]],crudeoil[],3,FALSE)</f>
        <v>#VALUE!</v>
      </c>
    </row>
    <row r="9645" spans="1:8" hidden="1" x14ac:dyDescent="0.3">
      <c r="A9645" t="s">
        <v>30</v>
      </c>
      <c r="B9645">
        <v>2023</v>
      </c>
      <c r="C9645" t="s">
        <v>31</v>
      </c>
      <c r="D9645" t="s">
        <v>7</v>
      </c>
      <c r="E9645" t="e">
        <f>VLOOKUP(Cpi_[[#This Row],[Attribute]],#REF!,2,FALSE)</f>
        <v>#REF!</v>
      </c>
      <c r="F9645">
        <v>192.6</v>
      </c>
      <c r="G9645">
        <f>(Cpi_[[#This Row],[Value]]-F9644)/F9644</f>
        <v>0.10499139414802056</v>
      </c>
      <c r="H9645" t="e" cm="1" vm="1">
        <f t="array" aca="1" ref="H9645" ca="1">VLOOKUP(Cpi_[[#This Row],[Year]:[Month]],crudeoil[],3,FALSE)</f>
        <v>#VALUE!</v>
      </c>
    </row>
    <row r="9646" spans="1:8" hidden="1" x14ac:dyDescent="0.3">
      <c r="A9646" t="s">
        <v>30</v>
      </c>
      <c r="B9646">
        <v>2023</v>
      </c>
      <c r="C9646" t="s">
        <v>31</v>
      </c>
      <c r="D9646" t="s">
        <v>8</v>
      </c>
      <c r="E9646" t="e">
        <f>VLOOKUP(Cpi_[[#This Row],[Attribute]],#REF!,2,FALSE)</f>
        <v>#REF!</v>
      </c>
      <c r="F9646">
        <v>156.30000000000001</v>
      </c>
      <c r="G9646">
        <f>(Cpi_[[#This Row],[Value]]-F9645)/F9645</f>
        <v>-0.18847352024922109</v>
      </c>
      <c r="H9646" t="e" cm="1" vm="1">
        <f t="array" aca="1" ref="H9646" ca="1">VLOOKUP(Cpi_[[#This Row],[Year]:[Month]],crudeoil[],3,FALSE)</f>
        <v>#VALUE!</v>
      </c>
    </row>
    <row r="9647" spans="1:8" hidden="1" x14ac:dyDescent="0.3">
      <c r="A9647" t="s">
        <v>30</v>
      </c>
      <c r="B9647">
        <v>2023</v>
      </c>
      <c r="C9647" t="s">
        <v>31</v>
      </c>
      <c r="D9647" t="s">
        <v>9</v>
      </c>
      <c r="E9647" t="e">
        <f>VLOOKUP(Cpi_[[#This Row],[Attribute]],#REF!,2,FALSE)</f>
        <v>#REF!</v>
      </c>
      <c r="F9647">
        <v>142.9</v>
      </c>
      <c r="G9647">
        <f>(Cpi_[[#This Row],[Value]]-F9646)/F9646</f>
        <v>-8.573256557901475E-2</v>
      </c>
      <c r="H9647" t="e" cm="1" vm="1">
        <f t="array" aca="1" ref="H9647" ca="1">VLOOKUP(Cpi_[[#This Row],[Year]:[Month]],crudeoil[],3,FALSE)</f>
        <v>#VALUE!</v>
      </c>
    </row>
    <row r="9648" spans="1:8" hidden="1" x14ac:dyDescent="0.3">
      <c r="A9648" t="s">
        <v>30</v>
      </c>
      <c r="B9648">
        <v>2023</v>
      </c>
      <c r="C9648" t="s">
        <v>31</v>
      </c>
      <c r="D9648" t="s">
        <v>10</v>
      </c>
      <c r="E9648" t="e">
        <f>VLOOKUP(Cpi_[[#This Row],[Attribute]],#REF!,2,FALSE)</f>
        <v>#REF!</v>
      </c>
      <c r="F9648">
        <v>170.7</v>
      </c>
      <c r="G9648">
        <f>(Cpi_[[#This Row],[Value]]-F9647)/F9647</f>
        <v>0.19454163750874726</v>
      </c>
      <c r="H9648" t="e" cm="1" vm="1">
        <f t="array" aca="1" ref="H9648" ca="1">VLOOKUP(Cpi_[[#This Row],[Year]:[Month]],crudeoil[],3,FALSE)</f>
        <v>#VALUE!</v>
      </c>
    </row>
    <row r="9649" spans="1:8" hidden="1" x14ac:dyDescent="0.3">
      <c r="A9649" t="s">
        <v>30</v>
      </c>
      <c r="B9649">
        <v>2023</v>
      </c>
      <c r="C9649" t="s">
        <v>31</v>
      </c>
      <c r="D9649" t="s">
        <v>11</v>
      </c>
      <c r="E9649" t="e">
        <f>VLOOKUP(Cpi_[[#This Row],[Attribute]],#REF!,2,FALSE)</f>
        <v>#REF!</v>
      </c>
      <c r="F9649">
        <v>120.3</v>
      </c>
      <c r="G9649">
        <f>(Cpi_[[#This Row],[Value]]-F9648)/F9648</f>
        <v>-0.29525483304042177</v>
      </c>
      <c r="H9649" t="e" cm="1" vm="1">
        <f t="array" aca="1" ref="H9649" ca="1">VLOOKUP(Cpi_[[#This Row],[Year]:[Month]],crudeoil[],3,FALSE)</f>
        <v>#VALUE!</v>
      </c>
    </row>
    <row r="9650" spans="1:8" hidden="1" x14ac:dyDescent="0.3">
      <c r="A9650" t="s">
        <v>30</v>
      </c>
      <c r="B9650">
        <v>2023</v>
      </c>
      <c r="C9650" t="s">
        <v>31</v>
      </c>
      <c r="D9650" t="s">
        <v>12</v>
      </c>
      <c r="E9650" t="e">
        <f>VLOOKUP(Cpi_[[#This Row],[Attribute]],#REF!,2,FALSE)</f>
        <v>#REF!</v>
      </c>
      <c r="F9650">
        <v>210.5</v>
      </c>
      <c r="G9650">
        <f>(Cpi_[[#This Row],[Value]]-F9649)/F9649</f>
        <v>0.74979218620116383</v>
      </c>
      <c r="H9650" t="e" cm="1" vm="1">
        <f t="array" aca="1" ref="H9650" ca="1">VLOOKUP(Cpi_[[#This Row],[Year]:[Month]],crudeoil[],3,FALSE)</f>
        <v>#VALUE!</v>
      </c>
    </row>
    <row r="9651" spans="1:8" hidden="1" x14ac:dyDescent="0.3">
      <c r="A9651" t="s">
        <v>30</v>
      </c>
      <c r="B9651">
        <v>2023</v>
      </c>
      <c r="C9651" t="s">
        <v>31</v>
      </c>
      <c r="D9651" t="s">
        <v>13</v>
      </c>
      <c r="E9651" t="e">
        <f>VLOOKUP(Cpi_[[#This Row],[Attribute]],#REF!,2,FALSE)</f>
        <v>#REF!</v>
      </c>
      <c r="F9651">
        <v>176.9</v>
      </c>
      <c r="G9651">
        <f>(Cpi_[[#This Row],[Value]]-F9650)/F9650</f>
        <v>-0.15961995249406172</v>
      </c>
      <c r="H9651" t="e" cm="1" vm="1">
        <f t="array" aca="1" ref="H9651" ca="1">VLOOKUP(Cpi_[[#This Row],[Year]:[Month]],crudeoil[],3,FALSE)</f>
        <v>#VALUE!</v>
      </c>
    </row>
    <row r="9652" spans="1:8" hidden="1" x14ac:dyDescent="0.3">
      <c r="A9652" t="s">
        <v>30</v>
      </c>
      <c r="B9652">
        <v>2023</v>
      </c>
      <c r="C9652" t="s">
        <v>31</v>
      </c>
      <c r="D9652" t="s">
        <v>14</v>
      </c>
      <c r="E9652" t="e">
        <f>VLOOKUP(Cpi_[[#This Row],[Attribute]],#REF!,2,FALSE)</f>
        <v>#REF!</v>
      </c>
      <c r="F9652">
        <v>188.5</v>
      </c>
      <c r="G9652">
        <f>(Cpi_[[#This Row],[Value]]-F9651)/F9651</f>
        <v>6.557377049180324E-2</v>
      </c>
      <c r="H9652" t="e" cm="1" vm="1">
        <f t="array" aca="1" ref="H9652" ca="1">VLOOKUP(Cpi_[[#This Row],[Year]:[Month]],crudeoil[],3,FALSE)</f>
        <v>#VALUE!</v>
      </c>
    </row>
    <row r="9653" spans="1:8" hidden="1" x14ac:dyDescent="0.3">
      <c r="A9653" t="s">
        <v>30</v>
      </c>
      <c r="B9653">
        <v>2023</v>
      </c>
      <c r="C9653" t="s">
        <v>31</v>
      </c>
      <c r="D9653" t="s">
        <v>15</v>
      </c>
      <c r="E9653" t="e">
        <f>VLOOKUP(Cpi_[[#This Row],[Attribute]],#REF!,2,FALSE)</f>
        <v>#REF!</v>
      </c>
      <c r="F9653">
        <v>175</v>
      </c>
      <c r="G9653">
        <f>(Cpi_[[#This Row],[Value]]-F9652)/F9652</f>
        <v>-7.161803713527852E-2</v>
      </c>
      <c r="H9653" t="e" cm="1" vm="1">
        <f t="array" aca="1" ref="H9653" ca="1">VLOOKUP(Cpi_[[#This Row],[Year]:[Month]],crudeoil[],3,FALSE)</f>
        <v>#VALUE!</v>
      </c>
    </row>
    <row r="9654" spans="1:8" hidden="1" x14ac:dyDescent="0.3">
      <c r="A9654" t="s">
        <v>30</v>
      </c>
      <c r="B9654">
        <v>2023</v>
      </c>
      <c r="C9654" t="s">
        <v>31</v>
      </c>
      <c r="D9654" t="s">
        <v>16</v>
      </c>
      <c r="E9654" t="e">
        <f>VLOOKUP(Cpi_[[#This Row],[Attribute]],#REF!,2,FALSE)</f>
        <v>#REF!</v>
      </c>
      <c r="F9654">
        <v>196.9</v>
      </c>
      <c r="G9654">
        <f>(Cpi_[[#This Row],[Value]]-F9653)/F9653</f>
        <v>0.12514285714285717</v>
      </c>
      <c r="H9654" t="e" cm="1" vm="1">
        <f t="array" aca="1" ref="H9654" ca="1">VLOOKUP(Cpi_[[#This Row],[Year]:[Month]],crudeoil[],3,FALSE)</f>
        <v>#VALUE!</v>
      </c>
    </row>
    <row r="9655" spans="1:8" hidden="1" x14ac:dyDescent="0.3">
      <c r="A9655" t="s">
        <v>30</v>
      </c>
      <c r="B9655">
        <v>2023</v>
      </c>
      <c r="C9655" t="s">
        <v>31</v>
      </c>
      <c r="D9655" t="s">
        <v>17</v>
      </c>
      <c r="E9655" t="e">
        <f>VLOOKUP(Cpi_[[#This Row],[Attribute]],#REF!,2,FALSE)</f>
        <v>#REF!</v>
      </c>
      <c r="F9655">
        <v>189</v>
      </c>
      <c r="G9655">
        <f>(Cpi_[[#This Row],[Value]]-F9654)/F9654</f>
        <v>-4.0121889283900487E-2</v>
      </c>
      <c r="H9655" t="e" cm="1" vm="1">
        <f t="array" aca="1" ref="H9655" ca="1">VLOOKUP(Cpi_[[#This Row],[Year]:[Month]],crudeoil[],3,FALSE)</f>
        <v>#VALUE!</v>
      </c>
    </row>
    <row r="9656" spans="1:8" hidden="1" x14ac:dyDescent="0.3">
      <c r="A9656" t="s">
        <v>30</v>
      </c>
      <c r="B9656">
        <v>2023</v>
      </c>
      <c r="C9656" t="s">
        <v>31</v>
      </c>
      <c r="D9656" t="s">
        <v>18</v>
      </c>
      <c r="E9656" t="e">
        <f>VLOOKUP(Cpi_[[#This Row],[Attribute]],#REF!,2,FALSE)</f>
        <v>#REF!</v>
      </c>
      <c r="F9656">
        <v>186.3</v>
      </c>
      <c r="G9656">
        <f>(Cpi_[[#This Row],[Value]]-F9655)/F9655</f>
        <v>-1.4285714285714226E-2</v>
      </c>
      <c r="H9656" t="e" cm="1" vm="1">
        <f t="array" aca="1" ref="H9656" ca="1">VLOOKUP(Cpi_[[#This Row],[Year]:[Month]],crudeoil[],3,FALSE)</f>
        <v>#VALUE!</v>
      </c>
    </row>
    <row r="9657" spans="1:8" hidden="1" x14ac:dyDescent="0.3">
      <c r="A9657" t="s">
        <v>30</v>
      </c>
      <c r="B9657">
        <v>2023</v>
      </c>
      <c r="C9657" t="s">
        <v>31</v>
      </c>
      <c r="D9657" t="s">
        <v>19</v>
      </c>
      <c r="E9657" t="e">
        <f>VLOOKUP(Cpi_[[#This Row],[Attribute]],#REF!,2,FALSE)</f>
        <v>#REF!</v>
      </c>
      <c r="F9657">
        <v>188.6</v>
      </c>
      <c r="G9657">
        <f>(Cpi_[[#This Row],[Value]]-F9656)/F9656</f>
        <v>1.2345679012345586E-2</v>
      </c>
      <c r="H9657" t="e" cm="1" vm="1">
        <f t="array" aca="1" ref="H9657" ca="1">VLOOKUP(Cpi_[[#This Row],[Year]:[Month]],crudeoil[],3,FALSE)</f>
        <v>#VALUE!</v>
      </c>
    </row>
    <row r="9658" spans="1:8" hidden="1" x14ac:dyDescent="0.3">
      <c r="A9658" t="s">
        <v>30</v>
      </c>
      <c r="B9658">
        <v>2023</v>
      </c>
      <c r="C9658" t="s">
        <v>31</v>
      </c>
      <c r="D9658" t="s">
        <v>20</v>
      </c>
      <c r="E9658" t="e">
        <f>VLOOKUP(Cpi_[[#This Row],[Attribute]],#REF!,2,FALSE)</f>
        <v>#REF!</v>
      </c>
      <c r="F9658" t="s">
        <v>32</v>
      </c>
      <c r="G9658" t="e">
        <f>(Cpi_[[#This Row],[Value]]-F9657)/F9657</f>
        <v>#VALUE!</v>
      </c>
      <c r="H9658" t="e" cm="1" vm="1">
        <f t="array" aca="1" ref="H9658" ca="1">VLOOKUP(Cpi_[[#This Row],[Year]:[Month]],crudeoil[],3,FALSE)</f>
        <v>#VALUE!</v>
      </c>
    </row>
    <row r="9659" spans="1:8" hidden="1" x14ac:dyDescent="0.3">
      <c r="A9659" t="s">
        <v>30</v>
      </c>
      <c r="B9659">
        <v>2023</v>
      </c>
      <c r="C9659" t="s">
        <v>31</v>
      </c>
      <c r="D9659" t="s">
        <v>21</v>
      </c>
      <c r="E9659" t="e">
        <f>VLOOKUP(Cpi_[[#This Row],[Attribute]],#REF!,2,FALSE)</f>
        <v>#REF!</v>
      </c>
      <c r="F9659">
        <v>183.2</v>
      </c>
      <c r="G9659" t="e">
        <f>(Cpi_[[#This Row],[Value]]-F9658)/F9658</f>
        <v>#VALUE!</v>
      </c>
      <c r="H9659" t="e" cm="1" vm="1">
        <f t="array" aca="1" ref="H9659" ca="1">VLOOKUP(Cpi_[[#This Row],[Year]:[Month]],crudeoil[],3,FALSE)</f>
        <v>#VALUE!</v>
      </c>
    </row>
    <row r="9660" spans="1:8" hidden="1" x14ac:dyDescent="0.3">
      <c r="A9660" t="s">
        <v>30</v>
      </c>
      <c r="B9660">
        <v>2023</v>
      </c>
      <c r="C9660" t="s">
        <v>31</v>
      </c>
      <c r="D9660" t="s">
        <v>22</v>
      </c>
      <c r="E9660" t="e">
        <f>VLOOKUP(Cpi_[[#This Row],[Attribute]],#REF!,2,FALSE)</f>
        <v>#REF!</v>
      </c>
      <c r="F9660">
        <v>177.2</v>
      </c>
      <c r="G9660">
        <f>(Cpi_[[#This Row],[Value]]-F9659)/F9659</f>
        <v>-3.2751091703056769E-2</v>
      </c>
      <c r="H9660" t="e" cm="1" vm="1">
        <f t="array" aca="1" ref="H9660" ca="1">VLOOKUP(Cpi_[[#This Row],[Year]:[Month]],crudeoil[],3,FALSE)</f>
        <v>#VALUE!</v>
      </c>
    </row>
    <row r="9661" spans="1:8" hidden="1" x14ac:dyDescent="0.3">
      <c r="A9661" t="s">
        <v>30</v>
      </c>
      <c r="B9661">
        <v>2023</v>
      </c>
      <c r="C9661" t="s">
        <v>31</v>
      </c>
      <c r="D9661" t="s">
        <v>23</v>
      </c>
      <c r="E9661" t="e">
        <f>VLOOKUP(Cpi_[[#This Row],[Attribute]],#REF!,2,FALSE)</f>
        <v>#REF!</v>
      </c>
      <c r="F9661">
        <v>184.7</v>
      </c>
      <c r="G9661">
        <f>(Cpi_[[#This Row],[Value]]-F9660)/F9660</f>
        <v>4.232505643340858E-2</v>
      </c>
      <c r="H9661" t="e" cm="1" vm="1">
        <f t="array" aca="1" ref="H9661" ca="1">VLOOKUP(Cpi_[[#This Row],[Year]:[Month]],crudeoil[],3,FALSE)</f>
        <v>#VALUE!</v>
      </c>
    </row>
    <row r="9662" spans="1:8" hidden="1" x14ac:dyDescent="0.3">
      <c r="A9662" t="s">
        <v>30</v>
      </c>
      <c r="B9662">
        <v>2023</v>
      </c>
      <c r="C9662" t="s">
        <v>31</v>
      </c>
      <c r="D9662" t="s">
        <v>24</v>
      </c>
      <c r="E9662" t="e">
        <f>VLOOKUP(Cpi_[[#This Row],[Attribute]],#REF!,2,FALSE)</f>
        <v>#REF!</v>
      </c>
      <c r="F9662">
        <v>168.2</v>
      </c>
      <c r="G9662">
        <f>(Cpi_[[#This Row],[Value]]-F9661)/F9661</f>
        <v>-8.9334055224688694E-2</v>
      </c>
      <c r="H9662" t="e" cm="1" vm="1">
        <f t="array" aca="1" ref="H9662" ca="1">VLOOKUP(Cpi_[[#This Row],[Year]:[Month]],crudeoil[],3,FALSE)</f>
        <v>#VALUE!</v>
      </c>
    </row>
    <row r="9663" spans="1:8" hidden="1" x14ac:dyDescent="0.3">
      <c r="A9663" t="s">
        <v>30</v>
      </c>
      <c r="B9663">
        <v>2023</v>
      </c>
      <c r="C9663" t="s">
        <v>31</v>
      </c>
      <c r="D9663" t="s">
        <v>25</v>
      </c>
      <c r="E9663" t="e">
        <f>VLOOKUP(Cpi_[[#This Row],[Attribute]],#REF!,2,FALSE)</f>
        <v>#REF!</v>
      </c>
      <c r="F9663">
        <v>171.8</v>
      </c>
      <c r="G9663">
        <f>(Cpi_[[#This Row],[Value]]-F9662)/F9662</f>
        <v>2.1403091557669576E-2</v>
      </c>
      <c r="H9663" t="e" cm="1" vm="1">
        <f t="array" aca="1" ref="H9663" ca="1">VLOOKUP(Cpi_[[#This Row],[Year]:[Month]],crudeoil[],3,FALSE)</f>
        <v>#VALUE!</v>
      </c>
    </row>
    <row r="9664" spans="1:8" hidden="1" x14ac:dyDescent="0.3">
      <c r="A9664" t="s">
        <v>30</v>
      </c>
      <c r="B9664">
        <v>2023</v>
      </c>
      <c r="C9664" t="s">
        <v>31</v>
      </c>
      <c r="D9664" t="s">
        <v>26</v>
      </c>
      <c r="E9664" t="e">
        <f>VLOOKUP(Cpi_[[#This Row],[Attribute]],#REF!,2,FALSE)</f>
        <v>#REF!</v>
      </c>
      <c r="F9664">
        <v>177.8</v>
      </c>
      <c r="G9664">
        <f>(Cpi_[[#This Row],[Value]]-F9663)/F9663</f>
        <v>3.4924330616996506E-2</v>
      </c>
      <c r="H9664" t="e" cm="1" vm="1">
        <f t="array" aca="1" ref="H9664" ca="1">VLOOKUP(Cpi_[[#This Row],[Year]:[Month]],crudeoil[],3,FALSE)</f>
        <v>#VALUE!</v>
      </c>
    </row>
    <row r="9665" spans="1:8" hidden="1" x14ac:dyDescent="0.3">
      <c r="A9665" t="s">
        <v>30</v>
      </c>
      <c r="B9665">
        <v>2023</v>
      </c>
      <c r="C9665" t="s">
        <v>31</v>
      </c>
      <c r="D9665" t="s">
        <v>27</v>
      </c>
      <c r="E9665" t="e">
        <f>VLOOKUP(Cpi_[[#This Row],[Attribute]],#REF!,2,FALSE)</f>
        <v>#REF!</v>
      </c>
      <c r="F9665">
        <v>178.4</v>
      </c>
      <c r="G9665">
        <f>(Cpi_[[#This Row],[Value]]-F9664)/F9664</f>
        <v>3.3745781777277518E-3</v>
      </c>
      <c r="H9665" t="e" cm="1" vm="1">
        <f t="array" aca="1" ref="H9665" ca="1">VLOOKUP(Cpi_[[#This Row],[Year]:[Month]],crudeoil[],3,FALSE)</f>
        <v>#VALUE!</v>
      </c>
    </row>
    <row r="9666" spans="1:8" hidden="1" x14ac:dyDescent="0.3">
      <c r="A9666" t="s">
        <v>30</v>
      </c>
      <c r="B9666">
        <v>2023</v>
      </c>
      <c r="C9666" t="s">
        <v>31</v>
      </c>
      <c r="D9666" t="s">
        <v>28</v>
      </c>
      <c r="E9666" t="e">
        <f>VLOOKUP(Cpi_[[#This Row],[Attribute]],#REF!,2,FALSE)</f>
        <v>#REF!</v>
      </c>
      <c r="F9666">
        <v>176.5</v>
      </c>
      <c r="G9666">
        <f>(Cpi_[[#This Row],[Value]]-F9665)/F9665</f>
        <v>-1.0650224215246668E-2</v>
      </c>
      <c r="H9666" t="e" cm="1" vm="1">
        <f t="array" aca="1" ref="H9666" ca="1">VLOOKUP(Cpi_[[#This Row],[Year]:[Month]],crudeoil[],3,FALSE)</f>
        <v>#VALUE!</v>
      </c>
    </row>
    <row r="9667" spans="1:8" hidden="1" x14ac:dyDescent="0.3">
      <c r="A9667" t="s">
        <v>30</v>
      </c>
      <c r="B9667">
        <v>2023</v>
      </c>
      <c r="C9667" t="s">
        <v>31</v>
      </c>
      <c r="D9667" t="s">
        <v>29</v>
      </c>
      <c r="E9667" t="e" cm="1">
        <f t="array" aca="1" ref="E9667" ca="1">VLGeneral indexGeneral indexKUP(Cpi_[[#This Row],[Attribute]],#REF!,2,FALSE)</f>
        <v>#NAME?</v>
      </c>
      <c r="F9667">
        <v>177.8</v>
      </c>
      <c r="G9667">
        <f>(Cpi_[[#This Row],[Value]]-F9666)/F9666</f>
        <v>7.3654390934844837E-3</v>
      </c>
      <c r="H9667" t="e" cm="1" vm="1">
        <f t="array" aca="1" ref="H9667" ca="1">VLOOKUP(Cpi_[[#This Row],[Year]:[Month]],crudeoil[],3,FALSE)</f>
        <v>#VALUE!</v>
      </c>
    </row>
    <row r="9668" spans="1:8" hidden="1" x14ac:dyDescent="0.3">
      <c r="A9668" t="s">
        <v>33</v>
      </c>
      <c r="B9668">
        <v>2023</v>
      </c>
      <c r="C9668" t="s">
        <v>31</v>
      </c>
      <c r="D9668" t="s">
        <v>3</v>
      </c>
      <c r="E9668" t="e">
        <f>VLOOKUP(Cpi_[[#This Row],[Attribute]],#REF!,2,FALSE)</f>
        <v>#REF!</v>
      </c>
      <c r="F9668">
        <v>173.3</v>
      </c>
      <c r="G9668">
        <f>(Cpi_[[#This Row],[Value]]-F9667)/F9667</f>
        <v>-2.5309336332958378E-2</v>
      </c>
      <c r="H9668" t="e" cm="1" vm="1">
        <f t="array" aca="1" ref="H9668" ca="1">VLOOKUP(Cpi_[[#This Row],[Year]:[Month]],crudeoil[],3,FALSE)</f>
        <v>#VALUE!</v>
      </c>
    </row>
    <row r="9669" spans="1:8" hidden="1" x14ac:dyDescent="0.3">
      <c r="A9669" t="s">
        <v>33</v>
      </c>
      <c r="B9669">
        <v>2023</v>
      </c>
      <c r="C9669" t="s">
        <v>31</v>
      </c>
      <c r="D9669" t="s">
        <v>4</v>
      </c>
      <c r="E9669" t="e">
        <f>VLOOKUP(Cpi_[[#This Row],[Attribute]],#REF!,2,FALSE)</f>
        <v>#REF!</v>
      </c>
      <c r="F9669">
        <v>215.2</v>
      </c>
      <c r="G9669">
        <f>(Cpi_[[#This Row],[Value]]-F9668)/F9668</f>
        <v>0.24177726485862652</v>
      </c>
      <c r="H9669" t="e" cm="1" vm="1">
        <f t="array" aca="1" ref="H9669" ca="1">VLOOKUP(Cpi_[[#This Row],[Year]:[Month]],crudeoil[],3,FALSE)</f>
        <v>#VALUE!</v>
      </c>
    </row>
    <row r="9670" spans="1:8" hidden="1" x14ac:dyDescent="0.3">
      <c r="A9670" t="s">
        <v>33</v>
      </c>
      <c r="B9670">
        <v>2023</v>
      </c>
      <c r="C9670" t="s">
        <v>31</v>
      </c>
      <c r="D9670" t="s">
        <v>5</v>
      </c>
      <c r="E9670" t="e">
        <f>VLOOKUP(Cpi_[[#This Row],[Attribute]],#REF!,2,FALSE)</f>
        <v>#REF!</v>
      </c>
      <c r="F9670">
        <v>197</v>
      </c>
      <c r="G9670">
        <f>(Cpi_[[#This Row],[Value]]-F9669)/F9669</f>
        <v>-8.4572490706319656E-2</v>
      </c>
      <c r="H9670" t="e" cm="1" vm="1">
        <f t="array" aca="1" ref="H9670" ca="1">VLOOKUP(Cpi_[[#This Row],[Year]:[Month]],crudeoil[],3,FALSE)</f>
        <v>#VALUE!</v>
      </c>
    </row>
    <row r="9671" spans="1:8" hidden="1" x14ac:dyDescent="0.3">
      <c r="A9671" t="s">
        <v>33</v>
      </c>
      <c r="B9671">
        <v>2023</v>
      </c>
      <c r="C9671" t="s">
        <v>31</v>
      </c>
      <c r="D9671" t="s">
        <v>6</v>
      </c>
      <c r="E9671" t="e">
        <f>VLOOKUP(Cpi_[[#This Row],[Attribute]],#REF!,2,FALSE)</f>
        <v>#REF!</v>
      </c>
      <c r="F9671">
        <v>175.2</v>
      </c>
      <c r="G9671">
        <f>(Cpi_[[#This Row],[Value]]-F9670)/F9670</f>
        <v>-0.11065989847715742</v>
      </c>
      <c r="H9671" t="e" cm="1" vm="1">
        <f t="array" aca="1" ref="H9671" ca="1">VLOOKUP(Cpi_[[#This Row],[Year]:[Month]],crudeoil[],3,FALSE)</f>
        <v>#VALUE!</v>
      </c>
    </row>
    <row r="9672" spans="1:8" hidden="1" x14ac:dyDescent="0.3">
      <c r="A9672" t="s">
        <v>33</v>
      </c>
      <c r="B9672">
        <v>2023</v>
      </c>
      <c r="C9672" t="s">
        <v>31</v>
      </c>
      <c r="D9672" t="s">
        <v>7</v>
      </c>
      <c r="E9672" t="e">
        <f>VLOOKUP(Cpi_[[#This Row],[Attribute]],#REF!,2,FALSE)</f>
        <v>#REF!</v>
      </c>
      <c r="F9672">
        <v>178</v>
      </c>
      <c r="G9672">
        <f>(Cpi_[[#This Row],[Value]]-F9671)/F9671</f>
        <v>1.5981735159817417E-2</v>
      </c>
      <c r="H9672" t="e" cm="1" vm="1">
        <f t="array" aca="1" ref="H9672" ca="1">VLOOKUP(Cpi_[[#This Row],[Year]:[Month]],crudeoil[],3,FALSE)</f>
        <v>#VALUE!</v>
      </c>
    </row>
    <row r="9673" spans="1:8" hidden="1" x14ac:dyDescent="0.3">
      <c r="A9673" t="s">
        <v>33</v>
      </c>
      <c r="B9673">
        <v>2023</v>
      </c>
      <c r="C9673" t="s">
        <v>31</v>
      </c>
      <c r="D9673" t="s">
        <v>8</v>
      </c>
      <c r="E9673" t="e">
        <f>VLOOKUP(Cpi_[[#This Row],[Attribute]],#REF!,2,FALSE)</f>
        <v>#REF!</v>
      </c>
      <c r="F9673">
        <v>160.5</v>
      </c>
      <c r="G9673">
        <f>(Cpi_[[#This Row],[Value]]-F9672)/F9672</f>
        <v>-9.8314606741573038E-2</v>
      </c>
      <c r="H9673" t="e" cm="1" vm="1">
        <f t="array" aca="1" ref="H9673" ca="1">VLOOKUP(Cpi_[[#This Row],[Year]:[Month]],crudeoil[],3,FALSE)</f>
        <v>#VALUE!</v>
      </c>
    </row>
    <row r="9674" spans="1:8" hidden="1" x14ac:dyDescent="0.3">
      <c r="A9674" t="s">
        <v>33</v>
      </c>
      <c r="B9674">
        <v>2023</v>
      </c>
      <c r="C9674" t="s">
        <v>31</v>
      </c>
      <c r="D9674" t="s">
        <v>9</v>
      </c>
      <c r="E9674" t="e">
        <f>VLOOKUP(Cpi_[[#This Row],[Attribute]],#REF!,2,FALSE)</f>
        <v>#REF!</v>
      </c>
      <c r="F9674">
        <v>175.3</v>
      </c>
      <c r="G9674">
        <f>(Cpi_[[#This Row],[Value]]-F9673)/F9673</f>
        <v>9.2211838006230604E-2</v>
      </c>
      <c r="H9674" t="e" cm="1" vm="1">
        <f t="array" aca="1" ref="H9674" ca="1">VLOOKUP(Cpi_[[#This Row],[Year]:[Month]],crudeoil[],3,FALSE)</f>
        <v>#VALUE!</v>
      </c>
    </row>
    <row r="9675" spans="1:8" hidden="1" x14ac:dyDescent="0.3">
      <c r="A9675" t="s">
        <v>33</v>
      </c>
      <c r="B9675">
        <v>2023</v>
      </c>
      <c r="C9675" t="s">
        <v>31</v>
      </c>
      <c r="D9675" t="s">
        <v>10</v>
      </c>
      <c r="E9675" t="e">
        <f>VLOOKUP(Cpi_[[#This Row],[Attribute]],#REF!,2,FALSE)</f>
        <v>#REF!</v>
      </c>
      <c r="F9675">
        <v>171.2</v>
      </c>
      <c r="G9675">
        <f>(Cpi_[[#This Row],[Value]]-F9674)/F9674</f>
        <v>-2.3388476896748559E-2</v>
      </c>
      <c r="H9675" t="e" cm="1" vm="1">
        <f t="array" aca="1" ref="H9675" ca="1">VLOOKUP(Cpi_[[#This Row],[Year]:[Month]],crudeoil[],3,FALSE)</f>
        <v>#VALUE!</v>
      </c>
    </row>
    <row r="9676" spans="1:8" hidden="1" x14ac:dyDescent="0.3">
      <c r="A9676" t="s">
        <v>33</v>
      </c>
      <c r="B9676">
        <v>2023</v>
      </c>
      <c r="C9676" t="s">
        <v>31</v>
      </c>
      <c r="D9676" t="s">
        <v>11</v>
      </c>
      <c r="E9676" t="e">
        <f>VLOOKUP(Cpi_[[#This Row],[Attribute]],#REF!,2,FALSE)</f>
        <v>#REF!</v>
      </c>
      <c r="F9676">
        <v>122.7</v>
      </c>
      <c r="G9676">
        <f>(Cpi_[[#This Row],[Value]]-F9675)/F9675</f>
        <v>-0.28329439252336441</v>
      </c>
      <c r="H9676" t="e" cm="1" vm="1">
        <f t="array" aca="1" ref="H9676" ca="1">VLOOKUP(Cpi_[[#This Row],[Year]:[Month]],crudeoil[],3,FALSE)</f>
        <v>#VALUE!</v>
      </c>
    </row>
    <row r="9677" spans="1:8" hidden="1" x14ac:dyDescent="0.3">
      <c r="A9677" t="s">
        <v>33</v>
      </c>
      <c r="B9677">
        <v>2023</v>
      </c>
      <c r="C9677" t="s">
        <v>31</v>
      </c>
      <c r="D9677" t="s">
        <v>12</v>
      </c>
      <c r="E9677" t="e">
        <f>VLOOKUP(Cpi_[[#This Row],[Attribute]],#REF!,2,FALSE)</f>
        <v>#REF!</v>
      </c>
      <c r="F9677">
        <v>204.3</v>
      </c>
      <c r="G9677">
        <f>(Cpi_[[#This Row],[Value]]-F9676)/F9676</f>
        <v>0.66503667481662598</v>
      </c>
      <c r="H9677" t="e" cm="1" vm="1">
        <f t="array" aca="1" ref="H9677" ca="1">VLOOKUP(Cpi_[[#This Row],[Year]:[Month]],crudeoil[],3,FALSE)</f>
        <v>#VALUE!</v>
      </c>
    </row>
    <row r="9678" spans="1:8" hidden="1" x14ac:dyDescent="0.3">
      <c r="A9678" t="s">
        <v>33</v>
      </c>
      <c r="B9678">
        <v>2023</v>
      </c>
      <c r="C9678" t="s">
        <v>31</v>
      </c>
      <c r="D9678" t="s">
        <v>13</v>
      </c>
      <c r="E9678" t="e">
        <f>VLOOKUP(Cpi_[[#This Row],[Attribute]],#REF!,2,FALSE)</f>
        <v>#REF!</v>
      </c>
      <c r="F9678">
        <v>163.69999999999999</v>
      </c>
      <c r="G9678">
        <f>(Cpi_[[#This Row],[Value]]-F9677)/F9677</f>
        <v>-0.19872736172295655</v>
      </c>
      <c r="H9678" t="e" cm="1" vm="1">
        <f t="array" aca="1" ref="H9678" ca="1">VLOOKUP(Cpi_[[#This Row],[Year]:[Month]],crudeoil[],3,FALSE)</f>
        <v>#VALUE!</v>
      </c>
    </row>
    <row r="9679" spans="1:8" hidden="1" x14ac:dyDescent="0.3">
      <c r="A9679" t="s">
        <v>33</v>
      </c>
      <c r="B9679">
        <v>2023</v>
      </c>
      <c r="C9679" t="s">
        <v>31</v>
      </c>
      <c r="D9679" t="s">
        <v>14</v>
      </c>
      <c r="E9679" t="e">
        <f>VLOOKUP(Cpi_[[#This Row],[Attribute]],#REF!,2,FALSE)</f>
        <v>#REF!</v>
      </c>
      <c r="F9679">
        <v>194.3</v>
      </c>
      <c r="G9679">
        <f>(Cpi_[[#This Row],[Value]]-F9678)/F9678</f>
        <v>0.18692730604764829</v>
      </c>
      <c r="H9679" t="e" cm="1" vm="1">
        <f t="array" aca="1" ref="H9679" ca="1">VLOOKUP(Cpi_[[#This Row],[Year]:[Month]],crudeoil[],3,FALSE)</f>
        <v>#VALUE!</v>
      </c>
    </row>
    <row r="9680" spans="1:8" hidden="1" x14ac:dyDescent="0.3">
      <c r="A9680" t="s">
        <v>33</v>
      </c>
      <c r="B9680">
        <v>2023</v>
      </c>
      <c r="C9680" t="s">
        <v>31</v>
      </c>
      <c r="D9680" t="s">
        <v>15</v>
      </c>
      <c r="E9680" t="e">
        <f>VLOOKUP(Cpi_[[#This Row],[Attribute]],#REF!,2,FALSE)</f>
        <v>#REF!</v>
      </c>
      <c r="F9680">
        <v>179.5</v>
      </c>
      <c r="G9680">
        <f>(Cpi_[[#This Row],[Value]]-F9679)/F9679</f>
        <v>-7.6170869788986156E-2</v>
      </c>
      <c r="H9680" t="e" cm="1" vm="1">
        <f t="array" aca="1" ref="H9680" ca="1">VLOOKUP(Cpi_[[#This Row],[Year]:[Month]],crudeoil[],3,FALSE)</f>
        <v>#VALUE!</v>
      </c>
    </row>
    <row r="9681" spans="1:10" hidden="1" x14ac:dyDescent="0.3">
      <c r="A9681" t="s">
        <v>33</v>
      </c>
      <c r="B9681">
        <v>2023</v>
      </c>
      <c r="C9681" t="s">
        <v>31</v>
      </c>
      <c r="D9681" t="s">
        <v>16</v>
      </c>
      <c r="E9681" t="e">
        <f>VLOOKUP(Cpi_[[#This Row],[Attribute]],#REF!,2,FALSE)</f>
        <v>#REF!</v>
      </c>
      <c r="F9681">
        <v>201.6</v>
      </c>
      <c r="G9681">
        <f>(Cpi_[[#This Row],[Value]]-F9680)/F9680</f>
        <v>0.12311977715877434</v>
      </c>
      <c r="H9681" t="e" cm="1" vm="1">
        <f t="array" aca="1" ref="H9681" ca="1">VLOOKUP(Cpi_[[#This Row],[Year]:[Month]],crudeoil[],3,FALSE)</f>
        <v>#VALUE!</v>
      </c>
    </row>
    <row r="9682" spans="1:10" hidden="1" x14ac:dyDescent="0.3">
      <c r="A9682" t="s">
        <v>33</v>
      </c>
      <c r="B9682">
        <v>2023</v>
      </c>
      <c r="C9682" t="s">
        <v>31</v>
      </c>
      <c r="D9682" t="s">
        <v>17</v>
      </c>
      <c r="E9682" t="e">
        <f>VLOOKUP(Cpi_[[#This Row],[Attribute]],#REF!,2,FALSE)</f>
        <v>#REF!</v>
      </c>
      <c r="F9682">
        <v>178.7</v>
      </c>
      <c r="G9682">
        <f>(Cpi_[[#This Row],[Value]]-F9681)/F9681</f>
        <v>-0.11359126984126987</v>
      </c>
      <c r="H9682" t="e" cm="1" vm="1">
        <f t="array" aca="1" ref="H9682" ca="1">VLOOKUP(Cpi_[[#This Row],[Year]:[Month]],crudeoil[],3,FALSE)</f>
        <v>#VALUE!</v>
      </c>
    </row>
    <row r="9683" spans="1:10" hidden="1" x14ac:dyDescent="0.3">
      <c r="A9683" t="s">
        <v>33</v>
      </c>
      <c r="B9683">
        <v>2023</v>
      </c>
      <c r="C9683" t="s">
        <v>31</v>
      </c>
      <c r="D9683" t="s">
        <v>18</v>
      </c>
      <c r="E9683" t="e">
        <f>VLOOKUP(Cpi_[[#This Row],[Attribute]],#REF!,2,FALSE)</f>
        <v>#REF!</v>
      </c>
      <c r="F9683">
        <v>165.3</v>
      </c>
      <c r="G9683">
        <f>(Cpi_[[#This Row],[Value]]-F9682)/F9682</f>
        <v>-7.4986010072747494E-2</v>
      </c>
      <c r="H9683" t="e" cm="1" vm="1">
        <f t="array" aca="1" ref="H9683" ca="1">VLOOKUP(Cpi_[[#This Row],[Year]:[Month]],crudeoil[],3,FALSE)</f>
        <v>#VALUE!</v>
      </c>
    </row>
    <row r="9684" spans="1:10" hidden="1" x14ac:dyDescent="0.3">
      <c r="A9684" t="s">
        <v>33</v>
      </c>
      <c r="B9684">
        <v>2023</v>
      </c>
      <c r="C9684" t="s">
        <v>31</v>
      </c>
      <c r="D9684" t="s">
        <v>19</v>
      </c>
      <c r="E9684" t="e">
        <f>VLOOKUP(Cpi_[[#This Row],[Attribute]],#REF!,2,FALSE)</f>
        <v>#REF!</v>
      </c>
      <c r="F9684">
        <v>176.6</v>
      </c>
      <c r="G9684">
        <f>(Cpi_[[#This Row],[Value]]-F9683)/F9683</f>
        <v>6.8360556563823241E-2</v>
      </c>
      <c r="H9684" t="e" cm="1" vm="1">
        <f t="array" aca="1" ref="H9684" ca="1">VLOOKUP(Cpi_[[#This Row],[Year]:[Month]],crudeoil[],3,FALSE)</f>
        <v>#VALUE!</v>
      </c>
    </row>
    <row r="9685" spans="1:10" hidden="1" x14ac:dyDescent="0.3">
      <c r="A9685" t="s">
        <v>33</v>
      </c>
      <c r="B9685">
        <v>2023</v>
      </c>
      <c r="C9685" t="s">
        <v>31</v>
      </c>
      <c r="D9685" t="s">
        <v>20</v>
      </c>
      <c r="E9685" t="e">
        <f>VLOOKUP(Cpi_[[#This Row],[Attribute]],#REF!,2,FALSE)</f>
        <v>#REF!</v>
      </c>
      <c r="F9685">
        <v>172.1</v>
      </c>
      <c r="G9685">
        <f>(Cpi_[[#This Row],[Value]]-F9684)/F9684</f>
        <v>-2.5481313703284259E-2</v>
      </c>
      <c r="H9685" t="e" cm="1" vm="1">
        <f t="array" aca="1" ref="H9685" ca="1">VLOOKUP(Cpi_[[#This Row],[Year]:[Month]],crudeoil[],3,FALSE)</f>
        <v>#VALUE!</v>
      </c>
    </row>
    <row r="9686" spans="1:10" hidden="1" x14ac:dyDescent="0.3">
      <c r="A9686" t="s">
        <v>33</v>
      </c>
      <c r="B9686">
        <v>2023</v>
      </c>
      <c r="C9686" t="s">
        <v>31</v>
      </c>
      <c r="D9686" t="s">
        <v>21</v>
      </c>
      <c r="E9686" t="e">
        <f>VLOOKUP(Cpi_[[#This Row],[Attribute]],#REF!,2,FALSE)</f>
        <v>#REF!</v>
      </c>
      <c r="F9686">
        <v>180.1</v>
      </c>
      <c r="G9686">
        <f>(Cpi_[[#This Row],[Value]]-F9685)/F9685</f>
        <v>4.6484601975595584E-2</v>
      </c>
      <c r="H9686" t="e" cm="1" vm="1">
        <f t="array" aca="1" ref="H9686" ca="1">VLOOKUP(Cpi_[[#This Row],[Year]:[Month]],crudeoil[],3,FALSE)</f>
        <v>#VALUE!</v>
      </c>
    </row>
    <row r="9687" spans="1:10" hidden="1" x14ac:dyDescent="0.3">
      <c r="A9687" t="s">
        <v>33</v>
      </c>
      <c r="B9687">
        <v>2023</v>
      </c>
      <c r="C9687" t="s">
        <v>31</v>
      </c>
      <c r="D9687" t="s">
        <v>22</v>
      </c>
      <c r="E9687" t="e">
        <f>VLOOKUP(Cpi_[[#This Row],[Attribute]],#REF!,2,FALSE)</f>
        <v>#REF!</v>
      </c>
      <c r="F9687">
        <v>168</v>
      </c>
      <c r="G9687">
        <f>(Cpi_[[#This Row],[Value]]-F9686)/F9686</f>
        <v>-6.7184897279289252E-2</v>
      </c>
      <c r="H9687" t="e" cm="1" vm="1">
        <f t="array" aca="1" ref="H9687" ca="1">VLOOKUP(Cpi_[[#This Row],[Year]:[Month]],crudeoil[],3,FALSE)</f>
        <v>#VALUE!</v>
      </c>
    </row>
    <row r="9688" spans="1:10" hidden="1" x14ac:dyDescent="0.3">
      <c r="A9688" t="s">
        <v>33</v>
      </c>
      <c r="B9688">
        <v>2023</v>
      </c>
      <c r="C9688" t="s">
        <v>31</v>
      </c>
      <c r="D9688" t="s">
        <v>23</v>
      </c>
      <c r="E9688" t="e">
        <f>VLOOKUP(Cpi_[[#This Row],[Attribute]],#REF!,2,FALSE)</f>
        <v>#REF!</v>
      </c>
      <c r="F9688">
        <v>178.5</v>
      </c>
      <c r="G9688">
        <f>(Cpi_[[#This Row],[Value]]-F9687)/F9687</f>
        <v>6.25E-2</v>
      </c>
      <c r="H9688" t="e" cm="1" vm="1">
        <f t="array" aca="1" ref="H9688" ca="1">VLOOKUP(Cpi_[[#This Row],[Year]:[Month]],crudeoil[],3,FALSE)</f>
        <v>#VALUE!</v>
      </c>
    </row>
    <row r="9689" spans="1:10" hidden="1" x14ac:dyDescent="0.3">
      <c r="A9689" t="s">
        <v>33</v>
      </c>
      <c r="B9689">
        <v>2023</v>
      </c>
      <c r="C9689" t="s">
        <v>31</v>
      </c>
      <c r="D9689" t="s">
        <v>24</v>
      </c>
      <c r="E9689" t="e">
        <f>VLOOKUP(Cpi_[[#This Row],[Attribute]],#REF!,2,FALSE)</f>
        <v>#REF!</v>
      </c>
      <c r="F9689">
        <v>159.5</v>
      </c>
      <c r="G9689">
        <f>(Cpi_[[#This Row],[Value]]-F9688)/F9688</f>
        <v>-0.10644257703081232</v>
      </c>
      <c r="H9689" t="e" cm="1" vm="1">
        <f t="array" aca="1" ref="H9689" ca="1">VLOOKUP(Cpi_[[#This Row],[Year]:[Month]],crudeoil[],3,FALSE)</f>
        <v>#VALUE!</v>
      </c>
    </row>
    <row r="9690" spans="1:10" hidden="1" x14ac:dyDescent="0.3">
      <c r="A9690" t="s">
        <v>33</v>
      </c>
      <c r="B9690">
        <v>2023</v>
      </c>
      <c r="C9690" t="s">
        <v>31</v>
      </c>
      <c r="D9690" t="s">
        <v>25</v>
      </c>
      <c r="E9690" t="e">
        <f>VLOOKUP(Cpi_[[#This Row],[Attribute]],#REF!,2,FALSE)</f>
        <v>#REF!</v>
      </c>
      <c r="F9690">
        <v>167.8</v>
      </c>
      <c r="G9690">
        <f>(Cpi_[[#This Row],[Value]]-F9689)/F9689</f>
        <v>5.2037617554859007E-2</v>
      </c>
      <c r="H9690" t="e" cm="1" vm="1">
        <f t="array" aca="1" ref="H9690" ca="1">VLOOKUP(Cpi_[[#This Row],[Year]:[Month]],crudeoil[],3,FALSE)</f>
        <v>#VALUE!</v>
      </c>
    </row>
    <row r="9691" spans="1:10" hidden="1" x14ac:dyDescent="0.3">
      <c r="A9691" t="s">
        <v>33</v>
      </c>
      <c r="B9691">
        <v>2023</v>
      </c>
      <c r="C9691" t="s">
        <v>31</v>
      </c>
      <c r="D9691" t="s">
        <v>26</v>
      </c>
      <c r="E9691" t="e">
        <f>VLOOKUP(Cpi_[[#This Row],[Attribute]],#REF!,2,FALSE)</f>
        <v>#REF!</v>
      </c>
      <c r="F9691">
        <v>171.8</v>
      </c>
      <c r="G9691">
        <f>(Cpi_[[#This Row],[Value]]-F9690)/F9690</f>
        <v>2.3837902264600714E-2</v>
      </c>
      <c r="H9691" t="e" cm="1" vm="1">
        <f t="array" aca="1" ref="H9691" ca="1">VLOOKUP(Cpi_[[#This Row],[Year]:[Month]],crudeoil[],3,FALSE)</f>
        <v>#VALUE!</v>
      </c>
    </row>
    <row r="9692" spans="1:10" hidden="1" x14ac:dyDescent="0.3">
      <c r="A9692" t="s">
        <v>33</v>
      </c>
      <c r="B9692">
        <v>2023</v>
      </c>
      <c r="C9692" t="s">
        <v>31</v>
      </c>
      <c r="D9692" t="s">
        <v>27</v>
      </c>
      <c r="E9692" t="e">
        <f>VLOOKUP(Cpi_[[#This Row],[Attribute]],#REF!,2,FALSE)</f>
        <v>#REF!</v>
      </c>
      <c r="F9692">
        <v>178.8</v>
      </c>
      <c r="G9692">
        <f>(Cpi_[[#This Row],[Value]]-F9691)/F9691</f>
        <v>4.0745052386495922E-2</v>
      </c>
      <c r="H9692" t="e" cm="1" vm="1">
        <f t="array" aca="1" ref="H9692" ca="1">VLOOKUP(Cpi_[[#This Row],[Year]:[Month]],crudeoil[],3,FALSE)</f>
        <v>#VALUE!</v>
      </c>
    </row>
    <row r="9693" spans="1:10" hidden="1" x14ac:dyDescent="0.3">
      <c r="A9693" t="s">
        <v>33</v>
      </c>
      <c r="B9693">
        <v>2023</v>
      </c>
      <c r="C9693" t="s">
        <v>31</v>
      </c>
      <c r="D9693" t="s">
        <v>28</v>
      </c>
      <c r="E9693" t="e">
        <f>VLOOKUP(Cpi_[[#This Row],[Attribute]],#REF!,2,FALSE)</f>
        <v>#REF!</v>
      </c>
      <c r="F9693">
        <v>168.9</v>
      </c>
      <c r="G9693">
        <f>(Cpi_[[#This Row],[Value]]-F9692)/F9692</f>
        <v>-5.5369127516778555E-2</v>
      </c>
      <c r="H9693" t="e" cm="1" vm="1">
        <f t="array" aca="1" ref="H9693" ca="1">VLOOKUP(Cpi_[[#This Row],[Year]:[Month]],crudeoil[],3,FALSE)</f>
        <v>#VALUE!</v>
      </c>
    </row>
    <row r="9694" spans="1:10" hidden="1" x14ac:dyDescent="0.3">
      <c r="A9694" t="s">
        <v>33</v>
      </c>
      <c r="B9694">
        <v>2023</v>
      </c>
      <c r="C9694" t="s">
        <v>31</v>
      </c>
      <c r="D9694" t="s">
        <v>29</v>
      </c>
      <c r="E9694" t="e" cm="1">
        <f t="array" aca="1" ref="E9694" ca="1">VLGeneral indexGeneral indexKUP(Cpi_[[#This Row],[Attribute]],#REF!,2,FALSE)</f>
        <v>#NAME?</v>
      </c>
      <c r="F9694">
        <v>174.9</v>
      </c>
      <c r="G9694">
        <f>(Cpi_[[#This Row],[Value]]-F9693)/F9693</f>
        <v>3.5523978685612786E-2</v>
      </c>
      <c r="H9694" t="e" cm="1" vm="1">
        <f t="array" aca="1" ref="H9694" ca="1">VLOOKUP(Cpi_[[#This Row],[Year]:[Month]],crudeoil[],3,FALSE)</f>
        <v>#VALUE!</v>
      </c>
    </row>
    <row r="9695" spans="1:10" hidden="1" x14ac:dyDescent="0.3">
      <c r="A9695" t="s">
        <v>34</v>
      </c>
      <c r="B9695">
        <v>2023</v>
      </c>
      <c r="C9695" t="s">
        <v>31</v>
      </c>
      <c r="D9695" t="s">
        <v>3</v>
      </c>
      <c r="E9695" t="e">
        <f>VLOOKUP(Cpi_[[#This Row],[Attribute]],#REF!,2,FALSE)</f>
        <v>#REF!</v>
      </c>
      <c r="F9695">
        <v>173.8</v>
      </c>
      <c r="G9695">
        <f>(Cpi_[[#This Row],[Value]]-F9694)/F9694</f>
        <v>-6.2893081761005963E-3</v>
      </c>
      <c r="H9695" t="e" cm="1" vm="1">
        <f t="array" aca="1" ref="H9695" ca="1">VLOOKUP(Cpi_[[#This Row],[Year]:[Month]],crudeoil[],3,FALSE)</f>
        <v>#VALUE!</v>
      </c>
    </row>
    <row r="9696" spans="1:10" x14ac:dyDescent="0.3">
      <c r="A9696" t="s">
        <v>34</v>
      </c>
      <c r="B9696">
        <v>2023</v>
      </c>
      <c r="C9696" t="s">
        <v>31</v>
      </c>
      <c r="D9696" t="s">
        <v>4</v>
      </c>
      <c r="E9696" t="e">
        <f>VLOOKUP(Cpi_[[#This Row],[Attribute]],#REF!,2,FALSE)</f>
        <v>#REF!</v>
      </c>
      <c r="F9696">
        <v>210.7</v>
      </c>
      <c r="G9696" s="42">
        <f>(Cpi_[[#This Row],[Value]]-F9695)/F9695</f>
        <v>0.21231300345224383</v>
      </c>
      <c r="H9696" t="str">
        <f>LEFT(Cpi_[[#This Row],[Month]],3)</f>
        <v>Jan</v>
      </c>
      <c r="I9696" t="str">
        <f>RIGHT(Cpi_[[#This Row],[Year]],2)</f>
        <v>23</v>
      </c>
      <c r="J9696" t="str">
        <f>Cpi_[[#This Row],[Column3]]&amp;"-"&amp;Cpi_[[#This Row],[Column4]]</f>
        <v>Jan-23</v>
      </c>
    </row>
    <row r="9697" spans="1:10" x14ac:dyDescent="0.3">
      <c r="A9697" t="s">
        <v>34</v>
      </c>
      <c r="B9697">
        <v>2023</v>
      </c>
      <c r="C9697" t="s">
        <v>31</v>
      </c>
      <c r="D9697" t="s">
        <v>5</v>
      </c>
      <c r="E9697" t="e">
        <f>VLOOKUP(Cpi_[[#This Row],[Attribute]],#REF!,2,FALSE)</f>
        <v>#REF!</v>
      </c>
      <c r="F9697">
        <v>194.5</v>
      </c>
      <c r="G9697" s="42">
        <f>(Cpi_[[#This Row],[Value]]-F9696)/F9696</f>
        <v>-7.6886568580920689E-2</v>
      </c>
      <c r="H9697" t="str">
        <f>LEFT(Cpi_[[#This Row],[Month]],3)</f>
        <v>Jan</v>
      </c>
      <c r="I9697" t="str">
        <f>RIGHT(Cpi_[[#This Row],[Year]],2)</f>
        <v>23</v>
      </c>
      <c r="J9697" t="str">
        <f>Cpi_[[#This Row],[Column3]]&amp;"-"&amp;Cpi_[[#This Row],[Column4]]</f>
        <v>Jan-23</v>
      </c>
    </row>
    <row r="9698" spans="1:10" x14ac:dyDescent="0.3">
      <c r="A9698" t="s">
        <v>34</v>
      </c>
      <c r="B9698">
        <v>2023</v>
      </c>
      <c r="C9698" t="s">
        <v>31</v>
      </c>
      <c r="D9698" t="s">
        <v>6</v>
      </c>
      <c r="E9698" t="e">
        <f>VLOOKUP(Cpi_[[#This Row],[Attribute]],#REF!,2,FALSE)</f>
        <v>#REF!</v>
      </c>
      <c r="F9698">
        <v>174.6</v>
      </c>
      <c r="G9698" s="42">
        <f>(Cpi_[[#This Row],[Value]]-F9697)/F9697</f>
        <v>-0.10231362467866327</v>
      </c>
      <c r="H9698" t="str">
        <f>LEFT(Cpi_[[#This Row],[Month]],3)</f>
        <v>Jan</v>
      </c>
      <c r="I9698" t="str">
        <f>RIGHT(Cpi_[[#This Row],[Year]],2)</f>
        <v>23</v>
      </c>
      <c r="J9698" t="str">
        <f>Cpi_[[#This Row],[Column3]]&amp;"-"&amp;Cpi_[[#This Row],[Column4]]</f>
        <v>Jan-23</v>
      </c>
    </row>
    <row r="9699" spans="1:10" x14ac:dyDescent="0.3">
      <c r="A9699" t="s">
        <v>34</v>
      </c>
      <c r="B9699">
        <v>2023</v>
      </c>
      <c r="C9699" t="s">
        <v>31</v>
      </c>
      <c r="D9699" t="s">
        <v>7</v>
      </c>
      <c r="E9699" t="e">
        <f>VLOOKUP(Cpi_[[#This Row],[Attribute]],#REF!,2,FALSE)</f>
        <v>#REF!</v>
      </c>
      <c r="F9699">
        <v>187.2</v>
      </c>
      <c r="G9699" s="42">
        <f>(Cpi_[[#This Row],[Value]]-F9698)/F9698</f>
        <v>7.2164948453608213E-2</v>
      </c>
      <c r="H9699" t="str">
        <f>LEFT(Cpi_[[#This Row],[Month]],3)</f>
        <v>Jan</v>
      </c>
      <c r="I9699" t="str">
        <f>RIGHT(Cpi_[[#This Row],[Year]],2)</f>
        <v>23</v>
      </c>
      <c r="J9699" t="str">
        <f>Cpi_[[#This Row],[Column3]]&amp;"-"&amp;Cpi_[[#This Row],[Column4]]</f>
        <v>Jan-23</v>
      </c>
    </row>
    <row r="9700" spans="1:10" x14ac:dyDescent="0.3">
      <c r="A9700" t="s">
        <v>34</v>
      </c>
      <c r="B9700">
        <v>2023</v>
      </c>
      <c r="C9700" t="s">
        <v>31</v>
      </c>
      <c r="D9700" t="s">
        <v>8</v>
      </c>
      <c r="E9700" t="e">
        <f>VLOOKUP(Cpi_[[#This Row],[Attribute]],#REF!,2,FALSE)</f>
        <v>#REF!</v>
      </c>
      <c r="F9700">
        <v>158.30000000000001</v>
      </c>
      <c r="G9700" s="42">
        <f>(Cpi_[[#This Row],[Value]]-F9699)/F9699</f>
        <v>-0.15438034188034178</v>
      </c>
      <c r="H9700" t="str">
        <f>LEFT(Cpi_[[#This Row],[Month]],3)</f>
        <v>Jan</v>
      </c>
      <c r="I9700" t="str">
        <f>RIGHT(Cpi_[[#This Row],[Year]],2)</f>
        <v>23</v>
      </c>
      <c r="J9700" t="str">
        <f>Cpi_[[#This Row],[Column3]]&amp;"-"&amp;Cpi_[[#This Row],[Column4]]</f>
        <v>Jan-23</v>
      </c>
    </row>
    <row r="9701" spans="1:10" x14ac:dyDescent="0.3">
      <c r="A9701" t="s">
        <v>34</v>
      </c>
      <c r="B9701">
        <v>2023</v>
      </c>
      <c r="C9701" t="s">
        <v>31</v>
      </c>
      <c r="D9701" t="s">
        <v>9</v>
      </c>
      <c r="E9701" t="e">
        <f>VLOOKUP(Cpi_[[#This Row],[Attribute]],#REF!,2,FALSE)</f>
        <v>#REF!</v>
      </c>
      <c r="F9701">
        <v>153.9</v>
      </c>
      <c r="G9701" s="42">
        <f>(Cpi_[[#This Row],[Value]]-F9700)/F9700</f>
        <v>-2.7795325331648801E-2</v>
      </c>
      <c r="H9701" t="str">
        <f>LEFT(Cpi_[[#This Row],[Month]],3)</f>
        <v>Jan</v>
      </c>
      <c r="I9701" t="str">
        <f>RIGHT(Cpi_[[#This Row],[Year]],2)</f>
        <v>23</v>
      </c>
      <c r="J9701" t="str">
        <f>Cpi_[[#This Row],[Column3]]&amp;"-"&amp;Cpi_[[#This Row],[Column4]]</f>
        <v>Jan-23</v>
      </c>
    </row>
    <row r="9702" spans="1:10" x14ac:dyDescent="0.3">
      <c r="A9702" t="s">
        <v>34</v>
      </c>
      <c r="B9702">
        <v>2023</v>
      </c>
      <c r="C9702" t="s">
        <v>31</v>
      </c>
      <c r="D9702" t="s">
        <v>10</v>
      </c>
      <c r="E9702" t="e">
        <f>VLOOKUP(Cpi_[[#This Row],[Attribute]],#REF!,2,FALSE)</f>
        <v>#REF!</v>
      </c>
      <c r="F9702">
        <v>170.9</v>
      </c>
      <c r="G9702" s="42">
        <f>(Cpi_[[#This Row],[Value]]-F9701)/F9701</f>
        <v>0.11046133853151396</v>
      </c>
      <c r="H9702" t="str">
        <f>LEFT(Cpi_[[#This Row],[Month]],3)</f>
        <v>Jan</v>
      </c>
      <c r="I9702" t="str">
        <f>RIGHT(Cpi_[[#This Row],[Year]],2)</f>
        <v>23</v>
      </c>
      <c r="J9702" t="str">
        <f>Cpi_[[#This Row],[Column3]]&amp;"-"&amp;Cpi_[[#This Row],[Column4]]</f>
        <v>Jan-23</v>
      </c>
    </row>
    <row r="9703" spans="1:10" x14ac:dyDescent="0.3">
      <c r="A9703" t="s">
        <v>34</v>
      </c>
      <c r="B9703">
        <v>2023</v>
      </c>
      <c r="C9703" t="s">
        <v>31</v>
      </c>
      <c r="D9703" t="s">
        <v>11</v>
      </c>
      <c r="E9703" t="e">
        <f>VLOOKUP(Cpi_[[#This Row],[Attribute]],#REF!,2,FALSE)</f>
        <v>#REF!</v>
      </c>
      <c r="F9703">
        <v>121.1</v>
      </c>
      <c r="G9703" s="42">
        <f>(Cpi_[[#This Row],[Value]]-F9702)/F9702</f>
        <v>-0.29139847864248103</v>
      </c>
      <c r="H9703" t="str">
        <f>LEFT(Cpi_[[#This Row],[Month]],3)</f>
        <v>Jan</v>
      </c>
      <c r="I9703" t="str">
        <f>RIGHT(Cpi_[[#This Row],[Year]],2)</f>
        <v>23</v>
      </c>
      <c r="J9703" t="str">
        <f>Cpi_[[#This Row],[Column3]]&amp;"-"&amp;Cpi_[[#This Row],[Column4]]</f>
        <v>Jan-23</v>
      </c>
    </row>
    <row r="9704" spans="1:10" x14ac:dyDescent="0.3">
      <c r="A9704" t="s">
        <v>34</v>
      </c>
      <c r="B9704">
        <v>2023</v>
      </c>
      <c r="C9704" t="s">
        <v>31</v>
      </c>
      <c r="D9704" t="s">
        <v>12</v>
      </c>
      <c r="E9704" t="e">
        <f>VLOOKUP(Cpi_[[#This Row],[Attribute]],#REF!,2,FALSE)</f>
        <v>#REF!</v>
      </c>
      <c r="F9704">
        <v>208.4</v>
      </c>
      <c r="G9704" s="42">
        <f>(Cpi_[[#This Row],[Value]]-F9703)/F9703</f>
        <v>0.7208918249380678</v>
      </c>
      <c r="H9704" t="str">
        <f>LEFT(Cpi_[[#This Row],[Month]],3)</f>
        <v>Jan</v>
      </c>
      <c r="I9704" t="str">
        <f>RIGHT(Cpi_[[#This Row],[Year]],2)</f>
        <v>23</v>
      </c>
      <c r="J9704" t="str">
        <f>Cpi_[[#This Row],[Column3]]&amp;"-"&amp;Cpi_[[#This Row],[Column4]]</f>
        <v>Jan-23</v>
      </c>
    </row>
    <row r="9705" spans="1:10" x14ac:dyDescent="0.3">
      <c r="A9705" t="s">
        <v>34</v>
      </c>
      <c r="B9705">
        <v>2023</v>
      </c>
      <c r="C9705" t="s">
        <v>31</v>
      </c>
      <c r="D9705" t="s">
        <v>13</v>
      </c>
      <c r="E9705" t="e">
        <f>VLOOKUP(Cpi_[[#This Row],[Attribute]],#REF!,2,FALSE)</f>
        <v>#REF!</v>
      </c>
      <c r="F9705">
        <v>171.4</v>
      </c>
      <c r="G9705" s="42">
        <f>(Cpi_[[#This Row],[Value]]-F9704)/F9704</f>
        <v>-0.17754318618042225</v>
      </c>
      <c r="H9705" t="str">
        <f>LEFT(Cpi_[[#This Row],[Month]],3)</f>
        <v>Jan</v>
      </c>
      <c r="I9705" t="str">
        <f>RIGHT(Cpi_[[#This Row],[Year]],2)</f>
        <v>23</v>
      </c>
      <c r="J9705" t="str">
        <f>Cpi_[[#This Row],[Column3]]&amp;"-"&amp;Cpi_[[#This Row],[Column4]]</f>
        <v>Jan-23</v>
      </c>
    </row>
    <row r="9706" spans="1:10" x14ac:dyDescent="0.3">
      <c r="A9706" t="s">
        <v>34</v>
      </c>
      <c r="B9706">
        <v>2023</v>
      </c>
      <c r="C9706" t="s">
        <v>31</v>
      </c>
      <c r="D9706" t="s">
        <v>14</v>
      </c>
      <c r="E9706" t="e">
        <f>VLOOKUP(Cpi_[[#This Row],[Attribute]],#REF!,2,FALSE)</f>
        <v>#REF!</v>
      </c>
      <c r="F9706">
        <v>191.2</v>
      </c>
      <c r="G9706" s="42">
        <f>(Cpi_[[#This Row],[Value]]-F9705)/F9705</f>
        <v>0.11551925320886804</v>
      </c>
      <c r="H9706" t="str">
        <f>LEFT(Cpi_[[#This Row],[Month]],3)</f>
        <v>Jan</v>
      </c>
      <c r="I9706" t="str">
        <f>RIGHT(Cpi_[[#This Row],[Year]],2)</f>
        <v>23</v>
      </c>
      <c r="J9706" t="str">
        <f>Cpi_[[#This Row],[Column3]]&amp;"-"&amp;Cpi_[[#This Row],[Column4]]</f>
        <v>Jan-23</v>
      </c>
    </row>
    <row r="9707" spans="1:10" x14ac:dyDescent="0.3">
      <c r="A9707" t="s">
        <v>34</v>
      </c>
      <c r="B9707">
        <v>2023</v>
      </c>
      <c r="C9707" t="s">
        <v>31</v>
      </c>
      <c r="D9707" t="s">
        <v>15</v>
      </c>
      <c r="E9707" t="e">
        <f>VLOOKUP(Cpi_[[#This Row],[Attribute]],#REF!,2,FALSE)</f>
        <v>#REF!</v>
      </c>
      <c r="F9707">
        <v>176.7</v>
      </c>
      <c r="G9707" s="42">
        <f>(Cpi_[[#This Row],[Value]]-F9706)/F9706</f>
        <v>-7.5836820083682019E-2</v>
      </c>
      <c r="H9707" t="str">
        <f>LEFT(Cpi_[[#This Row],[Month]],3)</f>
        <v>Jan</v>
      </c>
      <c r="I9707" t="str">
        <f>RIGHT(Cpi_[[#This Row],[Year]],2)</f>
        <v>23</v>
      </c>
      <c r="J9707" t="str">
        <f>Cpi_[[#This Row],[Column3]]&amp;"-"&amp;Cpi_[[#This Row],[Column4]]</f>
        <v>Jan-23</v>
      </c>
    </row>
    <row r="9708" spans="1:10" hidden="1" x14ac:dyDescent="0.3">
      <c r="A9708" t="s">
        <v>34</v>
      </c>
      <c r="B9708">
        <v>2023</v>
      </c>
      <c r="C9708" t="s">
        <v>31</v>
      </c>
      <c r="D9708" t="s">
        <v>16</v>
      </c>
      <c r="E9708" t="e">
        <f>VLOOKUP(Cpi_[[#This Row],[Attribute]],#REF!,2,FALSE)</f>
        <v>#REF!</v>
      </c>
      <c r="F9708">
        <v>198.2</v>
      </c>
      <c r="G9708">
        <f>(Cpi_[[#This Row],[Value]]-F9707)/F9707</f>
        <v>0.12167515563101303</v>
      </c>
      <c r="H9708" t="e" cm="1" vm="1">
        <f t="array" aca="1" ref="H9708" ca="1">VLOOKUP(Cpi_[[#This Row],[Year]:[Month]],crudeoil[],3,FALSE)</f>
        <v>#VALUE!</v>
      </c>
    </row>
    <row r="9709" spans="1:10" hidden="1" x14ac:dyDescent="0.3">
      <c r="A9709" t="s">
        <v>34</v>
      </c>
      <c r="B9709">
        <v>2023</v>
      </c>
      <c r="C9709" t="s">
        <v>31</v>
      </c>
      <c r="D9709" t="s">
        <v>17</v>
      </c>
      <c r="E9709" t="e">
        <f>VLOOKUP(Cpi_[[#This Row],[Attribute]],#REF!,2,FALSE)</f>
        <v>#REF!</v>
      </c>
      <c r="F9709">
        <v>184.9</v>
      </c>
      <c r="G9709">
        <f>(Cpi_[[#This Row],[Value]]-F9708)/F9708</f>
        <v>-6.7103935418768842E-2</v>
      </c>
      <c r="H9709" t="e" cm="1" vm="1">
        <f t="array" aca="1" ref="H9709" ca="1">VLOOKUP(Cpi_[[#This Row],[Year]:[Month]],crudeoil[],3,FALSE)</f>
        <v>#VALUE!</v>
      </c>
    </row>
    <row r="9710" spans="1:10" hidden="1" x14ac:dyDescent="0.3">
      <c r="A9710" t="s">
        <v>34</v>
      </c>
      <c r="B9710">
        <v>2023</v>
      </c>
      <c r="C9710" t="s">
        <v>31</v>
      </c>
      <c r="D9710" t="s">
        <v>18</v>
      </c>
      <c r="E9710" t="e">
        <f>VLOOKUP(Cpi_[[#This Row],[Attribute]],#REF!,2,FALSE)</f>
        <v>#REF!</v>
      </c>
      <c r="F9710">
        <v>177.6</v>
      </c>
      <c r="G9710">
        <f>(Cpi_[[#This Row],[Value]]-F9709)/F9709</f>
        <v>-3.9480800432666364E-2</v>
      </c>
      <c r="H9710" t="e" cm="1" vm="1">
        <f t="array" aca="1" ref="H9710" ca="1">VLOOKUP(Cpi_[[#This Row],[Year]:[Month]],crudeoil[],3,FALSE)</f>
        <v>#VALUE!</v>
      </c>
    </row>
    <row r="9711" spans="1:10" hidden="1" x14ac:dyDescent="0.3">
      <c r="A9711" t="s">
        <v>34</v>
      </c>
      <c r="B9711">
        <v>2023</v>
      </c>
      <c r="C9711" t="s">
        <v>31</v>
      </c>
      <c r="D9711" t="s">
        <v>19</v>
      </c>
      <c r="E9711" t="e">
        <f>VLOOKUP(Cpi_[[#This Row],[Attribute]],#REF!,2,FALSE)</f>
        <v>#REF!</v>
      </c>
      <c r="F9711">
        <v>183.8</v>
      </c>
      <c r="G9711">
        <f>(Cpi_[[#This Row],[Value]]-F9710)/F9710</f>
        <v>3.4909909909910004E-2</v>
      </c>
      <c r="H9711" t="e" cm="1" vm="1">
        <f t="array" aca="1" ref="H9711" ca="1">VLOOKUP(Cpi_[[#This Row],[Year]:[Month]],crudeoil[],3,FALSE)</f>
        <v>#VALUE!</v>
      </c>
    </row>
    <row r="9712" spans="1:10" hidden="1" x14ac:dyDescent="0.3">
      <c r="A9712" t="s">
        <v>34</v>
      </c>
      <c r="B9712">
        <v>2023</v>
      </c>
      <c r="C9712" t="s">
        <v>31</v>
      </c>
      <c r="D9712" t="s">
        <v>20</v>
      </c>
      <c r="E9712" t="e">
        <f>VLOOKUP(Cpi_[[#This Row],[Attribute]],#REF!,2,FALSE)</f>
        <v>#REF!</v>
      </c>
      <c r="F9712">
        <v>172.1</v>
      </c>
      <c r="G9712">
        <f>(Cpi_[[#This Row],[Value]]-F9711)/F9711</f>
        <v>-6.3656147986942413E-2</v>
      </c>
      <c r="H9712" t="e" cm="1" vm="1">
        <f t="array" aca="1" ref="H9712" ca="1">VLOOKUP(Cpi_[[#This Row],[Year]:[Month]],crudeoil[],3,FALSE)</f>
        <v>#VALUE!</v>
      </c>
    </row>
    <row r="9713" spans="1:8" hidden="1" x14ac:dyDescent="0.3">
      <c r="A9713" t="s">
        <v>34</v>
      </c>
      <c r="B9713">
        <v>2023</v>
      </c>
      <c r="C9713" t="s">
        <v>31</v>
      </c>
      <c r="D9713" t="s">
        <v>21</v>
      </c>
      <c r="E9713" t="e">
        <f>VLOOKUP(Cpi_[[#This Row],[Attribute]],#REF!,2,FALSE)</f>
        <v>#REF!</v>
      </c>
      <c r="F9713">
        <v>182</v>
      </c>
      <c r="G9713">
        <f>(Cpi_[[#This Row],[Value]]-F9712)/F9712</f>
        <v>5.7524694944799573E-2</v>
      </c>
      <c r="H9713" t="e" cm="1" vm="1">
        <f t="array" aca="1" ref="H9713" ca="1">VLOOKUP(Cpi_[[#This Row],[Year]:[Month]],crudeoil[],3,FALSE)</f>
        <v>#VALUE!</v>
      </c>
    </row>
    <row r="9714" spans="1:8" hidden="1" x14ac:dyDescent="0.3">
      <c r="A9714" t="s">
        <v>34</v>
      </c>
      <c r="B9714">
        <v>2023</v>
      </c>
      <c r="C9714" t="s">
        <v>31</v>
      </c>
      <c r="D9714" t="s">
        <v>22</v>
      </c>
      <c r="E9714" t="e">
        <f>VLOOKUP(Cpi_[[#This Row],[Attribute]],#REF!,2,FALSE)</f>
        <v>#REF!</v>
      </c>
      <c r="F9714">
        <v>172.9</v>
      </c>
      <c r="G9714">
        <f>(Cpi_[[#This Row],[Value]]-F9713)/F9713</f>
        <v>-4.9999999999999968E-2</v>
      </c>
      <c r="H9714" t="e" cm="1" vm="1">
        <f t="array" aca="1" ref="H9714" ca="1">VLOOKUP(Cpi_[[#This Row],[Year]:[Month]],crudeoil[],3,FALSE)</f>
        <v>#VALUE!</v>
      </c>
    </row>
    <row r="9715" spans="1:8" hidden="1" x14ac:dyDescent="0.3">
      <c r="A9715" t="s">
        <v>34</v>
      </c>
      <c r="B9715">
        <v>2023</v>
      </c>
      <c r="C9715" t="s">
        <v>31</v>
      </c>
      <c r="D9715" t="s">
        <v>23</v>
      </c>
      <c r="E9715" t="e">
        <f>VLOOKUP(Cpi_[[#This Row],[Attribute]],#REF!,2,FALSE)</f>
        <v>#REF!</v>
      </c>
      <c r="F9715">
        <v>182.3</v>
      </c>
      <c r="G9715">
        <f>(Cpi_[[#This Row],[Value]]-F9714)/F9714</f>
        <v>5.4366685945633347E-2</v>
      </c>
      <c r="H9715" t="e" cm="1" vm="1">
        <f t="array" aca="1" ref="H9715" ca="1">VLOOKUP(Cpi_[[#This Row],[Year]:[Month]],crudeoil[],3,FALSE)</f>
        <v>#VALUE!</v>
      </c>
    </row>
    <row r="9716" spans="1:8" hidden="1" x14ac:dyDescent="0.3">
      <c r="A9716" t="s">
        <v>34</v>
      </c>
      <c r="B9716">
        <v>2023</v>
      </c>
      <c r="C9716" t="s">
        <v>31</v>
      </c>
      <c r="D9716" t="s">
        <v>24</v>
      </c>
      <c r="E9716" t="e">
        <f>VLOOKUP(Cpi_[[#This Row],[Attribute]],#REF!,2,FALSE)</f>
        <v>#REF!</v>
      </c>
      <c r="F9716">
        <v>163.6</v>
      </c>
      <c r="G9716">
        <f>(Cpi_[[#This Row],[Value]]-F9715)/F9715</f>
        <v>-0.10257816785518385</v>
      </c>
      <c r="H9716" t="e" cm="1" vm="1">
        <f t="array" aca="1" ref="H9716" ca="1">VLOOKUP(Cpi_[[#This Row],[Year]:[Month]],crudeoil[],3,FALSE)</f>
        <v>#VALUE!</v>
      </c>
    </row>
    <row r="9717" spans="1:8" hidden="1" x14ac:dyDescent="0.3">
      <c r="A9717" t="s">
        <v>34</v>
      </c>
      <c r="B9717">
        <v>2023</v>
      </c>
      <c r="C9717" t="s">
        <v>31</v>
      </c>
      <c r="D9717" t="s">
        <v>25</v>
      </c>
      <c r="E9717" t="e">
        <f>VLOOKUP(Cpi_[[#This Row],[Attribute]],#REF!,2,FALSE)</f>
        <v>#REF!</v>
      </c>
      <c r="F9717">
        <v>169.5</v>
      </c>
      <c r="G9717">
        <f>(Cpi_[[#This Row],[Value]]-F9716)/F9716</f>
        <v>3.6063569682151624E-2</v>
      </c>
      <c r="H9717" t="e" cm="1" vm="1">
        <f t="array" aca="1" ref="H9717" ca="1">VLOOKUP(Cpi_[[#This Row],[Year]:[Month]],crudeoil[],3,FALSE)</f>
        <v>#VALUE!</v>
      </c>
    </row>
    <row r="9718" spans="1:8" hidden="1" x14ac:dyDescent="0.3">
      <c r="A9718" t="s">
        <v>34</v>
      </c>
      <c r="B9718">
        <v>2023</v>
      </c>
      <c r="C9718" t="s">
        <v>31</v>
      </c>
      <c r="D9718" t="s">
        <v>26</v>
      </c>
      <c r="E9718" t="e">
        <f>VLOOKUP(Cpi_[[#This Row],[Attribute]],#REF!,2,FALSE)</f>
        <v>#REF!</v>
      </c>
      <c r="F9718">
        <v>174.3</v>
      </c>
      <c r="G9718">
        <f>(Cpi_[[#This Row],[Value]]-F9717)/F9717</f>
        <v>2.8318584070796526E-2</v>
      </c>
      <c r="H9718" t="e" cm="1" vm="1">
        <f t="array" aca="1" ref="H9718" ca="1">VLOOKUP(Cpi_[[#This Row],[Year]:[Month]],crudeoil[],3,FALSE)</f>
        <v>#VALUE!</v>
      </c>
    </row>
    <row r="9719" spans="1:8" hidden="1" x14ac:dyDescent="0.3">
      <c r="A9719" t="s">
        <v>34</v>
      </c>
      <c r="B9719">
        <v>2023</v>
      </c>
      <c r="C9719" t="s">
        <v>31</v>
      </c>
      <c r="D9719" t="s">
        <v>27</v>
      </c>
      <c r="E9719" t="e">
        <f>VLOOKUP(Cpi_[[#This Row],[Attribute]],#REF!,2,FALSE)</f>
        <v>#REF!</v>
      </c>
      <c r="F9719">
        <v>178.6</v>
      </c>
      <c r="G9719">
        <f>(Cpi_[[#This Row],[Value]]-F9718)/F9718</f>
        <v>2.4670109007458304E-2</v>
      </c>
      <c r="H9719" t="e" cm="1" vm="1">
        <f t="array" aca="1" ref="H9719" ca="1">VLOOKUP(Cpi_[[#This Row],[Year]:[Month]],crudeoil[],3,FALSE)</f>
        <v>#VALUE!</v>
      </c>
    </row>
    <row r="9720" spans="1:8" hidden="1" x14ac:dyDescent="0.3">
      <c r="A9720" t="s">
        <v>34</v>
      </c>
      <c r="B9720">
        <v>2023</v>
      </c>
      <c r="C9720" t="s">
        <v>31</v>
      </c>
      <c r="D9720" t="s">
        <v>28</v>
      </c>
      <c r="E9720" t="e">
        <f>VLOOKUP(Cpi_[[#This Row],[Attribute]],#REF!,2,FALSE)</f>
        <v>#REF!</v>
      </c>
      <c r="F9720">
        <v>172.8</v>
      </c>
      <c r="G9720">
        <f>(Cpi_[[#This Row],[Value]]-F9719)/F9719</f>
        <v>-3.2474804031354887E-2</v>
      </c>
      <c r="H9720" t="e" cm="1" vm="1">
        <f t="array" aca="1" ref="H9720" ca="1">VLOOKUP(Cpi_[[#This Row],[Year]:[Month]],crudeoil[],3,FALSE)</f>
        <v>#VALUE!</v>
      </c>
    </row>
    <row r="9721" spans="1:8" hidden="1" x14ac:dyDescent="0.3">
      <c r="A9721" t="s">
        <v>34</v>
      </c>
      <c r="B9721">
        <v>2023</v>
      </c>
      <c r="C9721" t="s">
        <v>31</v>
      </c>
      <c r="D9721" t="s">
        <v>29</v>
      </c>
      <c r="E9721" t="e" cm="1">
        <f t="array" aca="1" ref="E9721" ca="1">VLGeneral indexGeneral indexKUP(Cpi_[[#This Row],[Attribute]],#REF!,2,FALSE)</f>
        <v>#NAME?</v>
      </c>
      <c r="F9721">
        <v>176.5</v>
      </c>
      <c r="G9721">
        <f>(Cpi_[[#This Row],[Value]]-F9720)/F9720</f>
        <v>2.1412037037036969E-2</v>
      </c>
      <c r="H9721" t="e" cm="1" vm="1">
        <f t="array" aca="1" ref="H9721" ca="1">VLOOKUP(Cpi_[[#This Row],[Year]:[Month]],crudeoil[],3,FALSE)</f>
        <v>#VALUE!</v>
      </c>
    </row>
    <row r="9722" spans="1:8" hidden="1" x14ac:dyDescent="0.3">
      <c r="A9722" t="s">
        <v>30</v>
      </c>
      <c r="B9722">
        <v>2023</v>
      </c>
      <c r="C9722" t="s">
        <v>35</v>
      </c>
      <c r="D9722" t="s">
        <v>3</v>
      </c>
      <c r="E9722" t="e">
        <f>VLOOKUP(Cpi_[[#This Row],[Attribute]],#REF!,2,FALSE)</f>
        <v>#REF!</v>
      </c>
      <c r="F9722">
        <v>174.2</v>
      </c>
      <c r="G9722">
        <f>(Cpi_[[#This Row],[Value]]-F9721)/F9721</f>
        <v>-1.3031161473087883E-2</v>
      </c>
      <c r="H9722" t="e" cm="1" vm="1">
        <f t="array" aca="1" ref="H9722" ca="1">VLOOKUP(Cpi_[[#This Row],[Year]:[Month]],crudeoil[],3,FALSE)</f>
        <v>#VALUE!</v>
      </c>
    </row>
    <row r="9723" spans="1:8" hidden="1" x14ac:dyDescent="0.3">
      <c r="A9723" t="s">
        <v>30</v>
      </c>
      <c r="B9723">
        <v>2023</v>
      </c>
      <c r="C9723" t="s">
        <v>35</v>
      </c>
      <c r="D9723" t="s">
        <v>4</v>
      </c>
      <c r="E9723" t="e">
        <f>VLOOKUP(Cpi_[[#This Row],[Attribute]],#REF!,2,FALSE)</f>
        <v>#REF!</v>
      </c>
      <c r="F9723">
        <v>205.2</v>
      </c>
      <c r="G9723">
        <f>(Cpi_[[#This Row],[Value]]-F9722)/F9722</f>
        <v>0.17795637198622274</v>
      </c>
      <c r="H9723" t="e" cm="1" vm="1">
        <f t="array" aca="1" ref="H9723" ca="1">VLOOKUP(Cpi_[[#This Row],[Year]:[Month]],crudeoil[],3,FALSE)</f>
        <v>#VALUE!</v>
      </c>
    </row>
    <row r="9724" spans="1:8" hidden="1" x14ac:dyDescent="0.3">
      <c r="A9724" t="s">
        <v>30</v>
      </c>
      <c r="B9724">
        <v>2023</v>
      </c>
      <c r="C9724" t="s">
        <v>35</v>
      </c>
      <c r="D9724" t="s">
        <v>5</v>
      </c>
      <c r="E9724" t="e">
        <f>VLOOKUP(Cpi_[[#This Row],[Attribute]],#REF!,2,FALSE)</f>
        <v>#REF!</v>
      </c>
      <c r="F9724">
        <v>173.9</v>
      </c>
      <c r="G9724">
        <f>(Cpi_[[#This Row],[Value]]-F9723)/F9723</f>
        <v>-0.15253411306042877</v>
      </c>
      <c r="H9724" t="e" cm="1" vm="1">
        <f t="array" aca="1" ref="H9724" ca="1">VLOOKUP(Cpi_[[#This Row],[Year]:[Month]],crudeoil[],3,FALSE)</f>
        <v>#VALUE!</v>
      </c>
    </row>
    <row r="9725" spans="1:8" hidden="1" x14ac:dyDescent="0.3">
      <c r="A9725" t="s">
        <v>30</v>
      </c>
      <c r="B9725">
        <v>2023</v>
      </c>
      <c r="C9725" t="s">
        <v>35</v>
      </c>
      <c r="D9725" t="s">
        <v>6</v>
      </c>
      <c r="E9725" t="e">
        <f>VLOOKUP(Cpi_[[#This Row],[Attribute]],#REF!,2,FALSE)</f>
        <v>#REF!</v>
      </c>
      <c r="F9725">
        <v>177</v>
      </c>
      <c r="G9725">
        <f>(Cpi_[[#This Row],[Value]]-F9724)/F9724</f>
        <v>1.7826336975273114E-2</v>
      </c>
      <c r="H9725" t="e" cm="1" vm="1">
        <f t="array" aca="1" ref="H9725" ca="1">VLOOKUP(Cpi_[[#This Row],[Year]:[Month]],crudeoil[],3,FALSE)</f>
        <v>#VALUE!</v>
      </c>
    </row>
    <row r="9726" spans="1:8" hidden="1" x14ac:dyDescent="0.3">
      <c r="A9726" t="s">
        <v>30</v>
      </c>
      <c r="B9726">
        <v>2023</v>
      </c>
      <c r="C9726" t="s">
        <v>35</v>
      </c>
      <c r="D9726" t="s">
        <v>7</v>
      </c>
      <c r="E9726" t="e">
        <f>VLOOKUP(Cpi_[[#This Row],[Attribute]],#REF!,2,FALSE)</f>
        <v>#REF!</v>
      </c>
      <c r="F9726">
        <v>183.4</v>
      </c>
      <c r="G9726">
        <f>(Cpi_[[#This Row],[Value]]-F9725)/F9725</f>
        <v>3.6158192090395509E-2</v>
      </c>
      <c r="H9726" t="e" cm="1" vm="1">
        <f t="array" aca="1" ref="H9726" ca="1">VLOOKUP(Cpi_[[#This Row],[Year]:[Month]],crudeoil[],3,FALSE)</f>
        <v>#VALUE!</v>
      </c>
    </row>
    <row r="9727" spans="1:8" hidden="1" x14ac:dyDescent="0.3">
      <c r="A9727" t="s">
        <v>30</v>
      </c>
      <c r="B9727">
        <v>2023</v>
      </c>
      <c r="C9727" t="s">
        <v>35</v>
      </c>
      <c r="D9727" t="s">
        <v>8</v>
      </c>
      <c r="E9727" t="e">
        <f>VLOOKUP(Cpi_[[#This Row],[Attribute]],#REF!,2,FALSE)</f>
        <v>#REF!</v>
      </c>
      <c r="F9727">
        <v>167.2</v>
      </c>
      <c r="G9727">
        <f>(Cpi_[[#This Row],[Value]]-F9726)/F9726</f>
        <v>-8.8331515812431927E-2</v>
      </c>
      <c r="H9727" t="e" cm="1" vm="1">
        <f t="array" aca="1" ref="H9727" ca="1">VLOOKUP(Cpi_[[#This Row],[Year]:[Month]],crudeoil[],3,FALSE)</f>
        <v>#VALUE!</v>
      </c>
    </row>
    <row r="9728" spans="1:8" hidden="1" x14ac:dyDescent="0.3">
      <c r="A9728" t="s">
        <v>30</v>
      </c>
      <c r="B9728">
        <v>2023</v>
      </c>
      <c r="C9728" t="s">
        <v>35</v>
      </c>
      <c r="D9728" t="s">
        <v>9</v>
      </c>
      <c r="E9728" t="e">
        <f>VLOOKUP(Cpi_[[#This Row],[Attribute]],#REF!,2,FALSE)</f>
        <v>#REF!</v>
      </c>
      <c r="F9728">
        <v>140.9</v>
      </c>
      <c r="G9728">
        <f>(Cpi_[[#This Row],[Value]]-F9727)/F9727</f>
        <v>-0.15729665071770327</v>
      </c>
      <c r="H9728" t="e" cm="1" vm="1">
        <f t="array" aca="1" ref="H9728" ca="1">VLOOKUP(Cpi_[[#This Row],[Year]:[Month]],crudeoil[],3,FALSE)</f>
        <v>#VALUE!</v>
      </c>
    </row>
    <row r="9729" spans="1:8" hidden="1" x14ac:dyDescent="0.3">
      <c r="A9729" t="s">
        <v>30</v>
      </c>
      <c r="B9729">
        <v>2023</v>
      </c>
      <c r="C9729" t="s">
        <v>35</v>
      </c>
      <c r="D9729" t="s">
        <v>10</v>
      </c>
      <c r="E9729" t="e">
        <f>VLOOKUP(Cpi_[[#This Row],[Attribute]],#REF!,2,FALSE)</f>
        <v>#REF!</v>
      </c>
      <c r="F9729">
        <v>170.4</v>
      </c>
      <c r="G9729">
        <f>(Cpi_[[#This Row],[Value]]-F9728)/F9728</f>
        <v>0.20936834634492546</v>
      </c>
      <c r="H9729" t="e" cm="1" vm="1">
        <f t="array" aca="1" ref="H9729" ca="1">VLOOKUP(Cpi_[[#This Row],[Year]:[Month]],crudeoil[],3,FALSE)</f>
        <v>#VALUE!</v>
      </c>
    </row>
    <row r="9730" spans="1:8" hidden="1" x14ac:dyDescent="0.3">
      <c r="A9730" t="s">
        <v>30</v>
      </c>
      <c r="B9730">
        <v>2023</v>
      </c>
      <c r="C9730" t="s">
        <v>35</v>
      </c>
      <c r="D9730" t="s">
        <v>11</v>
      </c>
      <c r="E9730" t="e">
        <f>VLOOKUP(Cpi_[[#This Row],[Attribute]],#REF!,2,FALSE)</f>
        <v>#REF!</v>
      </c>
      <c r="F9730">
        <v>119.1</v>
      </c>
      <c r="G9730">
        <f>(Cpi_[[#This Row],[Value]]-F9729)/F9729</f>
        <v>-0.30105633802816906</v>
      </c>
      <c r="H9730" t="e" cm="1" vm="1">
        <f t="array" aca="1" ref="H9730" ca="1">VLOOKUP(Cpi_[[#This Row],[Year]:[Month]],crudeoil[],3,FALSE)</f>
        <v>#VALUE!</v>
      </c>
    </row>
    <row r="9731" spans="1:8" hidden="1" x14ac:dyDescent="0.3">
      <c r="A9731" t="s">
        <v>30</v>
      </c>
      <c r="B9731">
        <v>2023</v>
      </c>
      <c r="C9731" t="s">
        <v>35</v>
      </c>
      <c r="D9731" t="s">
        <v>12</v>
      </c>
      <c r="E9731" t="e">
        <f>VLOOKUP(Cpi_[[#This Row],[Attribute]],#REF!,2,FALSE)</f>
        <v>#REF!</v>
      </c>
      <c r="F9731">
        <v>212.1</v>
      </c>
      <c r="G9731">
        <f>(Cpi_[[#This Row],[Value]]-F9730)/F9730</f>
        <v>0.78085642317380355</v>
      </c>
      <c r="H9731" t="e" cm="1" vm="1">
        <f t="array" aca="1" ref="H9731" ca="1">VLOOKUP(Cpi_[[#This Row],[Year]:[Month]],crudeoil[],3,FALSE)</f>
        <v>#VALUE!</v>
      </c>
    </row>
    <row r="9732" spans="1:8" hidden="1" x14ac:dyDescent="0.3">
      <c r="A9732" t="s">
        <v>30</v>
      </c>
      <c r="B9732">
        <v>2023</v>
      </c>
      <c r="C9732" t="s">
        <v>35</v>
      </c>
      <c r="D9732" t="s">
        <v>13</v>
      </c>
      <c r="E9732" t="e">
        <f>VLOOKUP(Cpi_[[#This Row],[Attribute]],#REF!,2,FALSE)</f>
        <v>#REF!</v>
      </c>
      <c r="F9732">
        <v>177.6</v>
      </c>
      <c r="G9732">
        <f>(Cpi_[[#This Row],[Value]]-F9731)/F9731</f>
        <v>-0.16265912305516267</v>
      </c>
      <c r="H9732" t="e" cm="1" vm="1">
        <f t="array" aca="1" ref="H9732" ca="1">VLOOKUP(Cpi_[[#This Row],[Year]:[Month]],crudeoil[],3,FALSE)</f>
        <v>#VALUE!</v>
      </c>
    </row>
    <row r="9733" spans="1:8" hidden="1" x14ac:dyDescent="0.3">
      <c r="A9733" t="s">
        <v>30</v>
      </c>
      <c r="B9733">
        <v>2023</v>
      </c>
      <c r="C9733" t="s">
        <v>35</v>
      </c>
      <c r="D9733" t="s">
        <v>14</v>
      </c>
      <c r="E9733" t="e">
        <f>VLOOKUP(Cpi_[[#This Row],[Attribute]],#REF!,2,FALSE)</f>
        <v>#REF!</v>
      </c>
      <c r="F9733">
        <v>189.9</v>
      </c>
      <c r="G9733">
        <f>(Cpi_[[#This Row],[Value]]-F9732)/F9732</f>
        <v>6.9256756756756827E-2</v>
      </c>
      <c r="H9733" t="e" cm="1" vm="1">
        <f t="array" aca="1" ref="H9733" ca="1">VLOOKUP(Cpi_[[#This Row],[Year]:[Month]],crudeoil[],3,FALSE)</f>
        <v>#VALUE!</v>
      </c>
    </row>
    <row r="9734" spans="1:8" hidden="1" x14ac:dyDescent="0.3">
      <c r="A9734" t="s">
        <v>30</v>
      </c>
      <c r="B9734">
        <v>2023</v>
      </c>
      <c r="C9734" t="s">
        <v>35</v>
      </c>
      <c r="D9734" t="s">
        <v>15</v>
      </c>
      <c r="E9734" t="e">
        <f>VLOOKUP(Cpi_[[#This Row],[Attribute]],#REF!,2,FALSE)</f>
        <v>#REF!</v>
      </c>
      <c r="F9734">
        <v>174.8</v>
      </c>
      <c r="G9734">
        <f>(Cpi_[[#This Row],[Value]]-F9733)/F9733</f>
        <v>-7.9515534491837778E-2</v>
      </c>
      <c r="H9734" t="e" cm="1" vm="1">
        <f t="array" aca="1" ref="H9734" ca="1">VLOOKUP(Cpi_[[#This Row],[Year]:[Month]],crudeoil[],3,FALSE)</f>
        <v>#VALUE!</v>
      </c>
    </row>
    <row r="9735" spans="1:8" hidden="1" x14ac:dyDescent="0.3">
      <c r="A9735" t="s">
        <v>30</v>
      </c>
      <c r="B9735">
        <v>2023</v>
      </c>
      <c r="C9735" t="s">
        <v>35</v>
      </c>
      <c r="D9735" t="s">
        <v>16</v>
      </c>
      <c r="E9735" t="e">
        <f>VLOOKUP(Cpi_[[#This Row],[Attribute]],#REF!,2,FALSE)</f>
        <v>#REF!</v>
      </c>
      <c r="F9735">
        <v>198.3</v>
      </c>
      <c r="G9735">
        <f>(Cpi_[[#This Row],[Value]]-F9734)/F9734</f>
        <v>0.13443935926773454</v>
      </c>
      <c r="H9735" t="e" cm="1" vm="1">
        <f t="array" aca="1" ref="H9735" ca="1">VLOOKUP(Cpi_[[#This Row],[Year]:[Month]],crudeoil[],3,FALSE)</f>
        <v>#VALUE!</v>
      </c>
    </row>
    <row r="9736" spans="1:8" hidden="1" x14ac:dyDescent="0.3">
      <c r="A9736" t="s">
        <v>30</v>
      </c>
      <c r="B9736">
        <v>2023</v>
      </c>
      <c r="C9736" t="s">
        <v>35</v>
      </c>
      <c r="D9736" t="s">
        <v>17</v>
      </c>
      <c r="E9736" t="e">
        <f>VLOOKUP(Cpi_[[#This Row],[Attribute]],#REF!,2,FALSE)</f>
        <v>#REF!</v>
      </c>
      <c r="F9736">
        <v>190</v>
      </c>
      <c r="G9736">
        <f>(Cpi_[[#This Row],[Value]]-F9735)/F9735</f>
        <v>-4.1855774079677312E-2</v>
      </c>
      <c r="H9736" t="e" cm="1" vm="1">
        <f t="array" aca="1" ref="H9736" ca="1">VLOOKUP(Cpi_[[#This Row],[Year]:[Month]],crudeoil[],3,FALSE)</f>
        <v>#VALUE!</v>
      </c>
    </row>
    <row r="9737" spans="1:8" hidden="1" x14ac:dyDescent="0.3">
      <c r="A9737" t="s">
        <v>30</v>
      </c>
      <c r="B9737">
        <v>2023</v>
      </c>
      <c r="C9737" t="s">
        <v>35</v>
      </c>
      <c r="D9737" t="s">
        <v>18</v>
      </c>
      <c r="E9737" t="e">
        <f>VLOOKUP(Cpi_[[#This Row],[Attribute]],#REF!,2,FALSE)</f>
        <v>#REF!</v>
      </c>
      <c r="F9737">
        <v>187</v>
      </c>
      <c r="G9737">
        <f>(Cpi_[[#This Row],[Value]]-F9736)/F9736</f>
        <v>-1.5789473684210527E-2</v>
      </c>
      <c r="H9737" t="e" cm="1" vm="1">
        <f t="array" aca="1" ref="H9737" ca="1">VLOOKUP(Cpi_[[#This Row],[Year]:[Month]],crudeoil[],3,FALSE)</f>
        <v>#VALUE!</v>
      </c>
    </row>
    <row r="9738" spans="1:8" hidden="1" x14ac:dyDescent="0.3">
      <c r="A9738" t="s">
        <v>30</v>
      </c>
      <c r="B9738">
        <v>2023</v>
      </c>
      <c r="C9738" t="s">
        <v>35</v>
      </c>
      <c r="D9738" t="s">
        <v>19</v>
      </c>
      <c r="E9738" t="e">
        <f>VLOOKUP(Cpi_[[#This Row],[Attribute]],#REF!,2,FALSE)</f>
        <v>#REF!</v>
      </c>
      <c r="F9738">
        <v>189.6</v>
      </c>
      <c r="G9738">
        <f>(Cpi_[[#This Row],[Value]]-F9737)/F9737</f>
        <v>1.3903743315507991E-2</v>
      </c>
      <c r="H9738" t="e" cm="1" vm="1">
        <f t="array" aca="1" ref="H9738" ca="1">VLOOKUP(Cpi_[[#This Row],[Year]:[Month]],crudeoil[],3,FALSE)</f>
        <v>#VALUE!</v>
      </c>
    </row>
    <row r="9739" spans="1:8" hidden="1" x14ac:dyDescent="0.3">
      <c r="A9739" t="s">
        <v>30</v>
      </c>
      <c r="B9739">
        <v>2023</v>
      </c>
      <c r="C9739" t="s">
        <v>35</v>
      </c>
      <c r="D9739" t="s">
        <v>20</v>
      </c>
      <c r="E9739" t="e">
        <f>VLOOKUP(Cpi_[[#This Row],[Attribute]],#REF!,2,FALSE)</f>
        <v>#REF!</v>
      </c>
      <c r="F9739" t="s">
        <v>32</v>
      </c>
      <c r="G9739" t="e">
        <f>(Cpi_[[#This Row],[Value]]-F9738)/F9738</f>
        <v>#VALUE!</v>
      </c>
      <c r="H9739" t="e" cm="1" vm="1">
        <f t="array" aca="1" ref="H9739" ca="1">VLOOKUP(Cpi_[[#This Row],[Year]:[Month]],crudeoil[],3,FALSE)</f>
        <v>#VALUE!</v>
      </c>
    </row>
    <row r="9740" spans="1:8" hidden="1" x14ac:dyDescent="0.3">
      <c r="A9740" t="s">
        <v>30</v>
      </c>
      <c r="B9740">
        <v>2023</v>
      </c>
      <c r="C9740" t="s">
        <v>35</v>
      </c>
      <c r="D9740" t="s">
        <v>21</v>
      </c>
      <c r="E9740" t="e">
        <f>VLOOKUP(Cpi_[[#This Row],[Attribute]],#REF!,2,FALSE)</f>
        <v>#REF!</v>
      </c>
      <c r="F9740">
        <v>181.6</v>
      </c>
      <c r="G9740" t="e">
        <f>(Cpi_[[#This Row],[Value]]-F9739)/F9739</f>
        <v>#VALUE!</v>
      </c>
      <c r="H9740" t="e" cm="1" vm="1">
        <f t="array" aca="1" ref="H9740" ca="1">VLOOKUP(Cpi_[[#This Row],[Year]:[Month]],crudeoil[],3,FALSE)</f>
        <v>#VALUE!</v>
      </c>
    </row>
    <row r="9741" spans="1:8" hidden="1" x14ac:dyDescent="0.3">
      <c r="A9741" t="s">
        <v>30</v>
      </c>
      <c r="B9741">
        <v>2023</v>
      </c>
      <c r="C9741" t="s">
        <v>35</v>
      </c>
      <c r="D9741" t="s">
        <v>22</v>
      </c>
      <c r="E9741" t="e">
        <f>VLOOKUP(Cpi_[[#This Row],[Attribute]],#REF!,2,FALSE)</f>
        <v>#REF!</v>
      </c>
      <c r="F9741">
        <v>178.6</v>
      </c>
      <c r="G9741">
        <f>(Cpi_[[#This Row],[Value]]-F9740)/F9740</f>
        <v>-1.6519823788546256E-2</v>
      </c>
      <c r="H9741" t="e" cm="1" vm="1">
        <f t="array" aca="1" ref="H9741" ca="1">VLOOKUP(Cpi_[[#This Row],[Year]:[Month]],crudeoil[],3,FALSE)</f>
        <v>#VALUE!</v>
      </c>
    </row>
    <row r="9742" spans="1:8" hidden="1" x14ac:dyDescent="0.3">
      <c r="A9742" t="s">
        <v>30</v>
      </c>
      <c r="B9742">
        <v>2023</v>
      </c>
      <c r="C9742" t="s">
        <v>35</v>
      </c>
      <c r="D9742" t="s">
        <v>23</v>
      </c>
      <c r="E9742" t="e">
        <f>VLOOKUP(Cpi_[[#This Row],[Attribute]],#REF!,2,FALSE)</f>
        <v>#REF!</v>
      </c>
      <c r="F9742">
        <v>186.6</v>
      </c>
      <c r="G9742">
        <f>(Cpi_[[#This Row],[Value]]-F9741)/F9741</f>
        <v>4.4792833146696527E-2</v>
      </c>
      <c r="H9742" t="e" cm="1" vm="1">
        <f t="array" aca="1" ref="H9742" ca="1">VLOOKUP(Cpi_[[#This Row],[Year]:[Month]],crudeoil[],3,FALSE)</f>
        <v>#VALUE!</v>
      </c>
    </row>
    <row r="9743" spans="1:8" hidden="1" x14ac:dyDescent="0.3">
      <c r="A9743" t="s">
        <v>30</v>
      </c>
      <c r="B9743">
        <v>2023</v>
      </c>
      <c r="C9743" t="s">
        <v>35</v>
      </c>
      <c r="D9743" t="s">
        <v>24</v>
      </c>
      <c r="E9743" t="e">
        <f>VLOOKUP(Cpi_[[#This Row],[Attribute]],#REF!,2,FALSE)</f>
        <v>#REF!</v>
      </c>
      <c r="F9743">
        <v>169</v>
      </c>
      <c r="G9743">
        <f>(Cpi_[[#This Row],[Value]]-F9742)/F9742</f>
        <v>-9.4319399785637706E-2</v>
      </c>
      <c r="H9743" t="e" cm="1" vm="1">
        <f t="array" aca="1" ref="H9743" ca="1">VLOOKUP(Cpi_[[#This Row],[Year]:[Month]],crudeoil[],3,FALSE)</f>
        <v>#VALUE!</v>
      </c>
    </row>
    <row r="9744" spans="1:8" hidden="1" x14ac:dyDescent="0.3">
      <c r="A9744" t="s">
        <v>30</v>
      </c>
      <c r="B9744">
        <v>2023</v>
      </c>
      <c r="C9744" t="s">
        <v>35</v>
      </c>
      <c r="D9744" t="s">
        <v>25</v>
      </c>
      <c r="E9744" t="e">
        <f>VLOOKUP(Cpi_[[#This Row],[Attribute]],#REF!,2,FALSE)</f>
        <v>#REF!</v>
      </c>
      <c r="F9744">
        <v>172.8</v>
      </c>
      <c r="G9744">
        <f>(Cpi_[[#This Row],[Value]]-F9743)/F9743</f>
        <v>2.2485207100591782E-2</v>
      </c>
      <c r="H9744" t="e" cm="1" vm="1">
        <f t="array" aca="1" ref="H9744" ca="1">VLOOKUP(Cpi_[[#This Row],[Year]:[Month]],crudeoil[],3,FALSE)</f>
        <v>#VALUE!</v>
      </c>
    </row>
    <row r="9745" spans="1:8" hidden="1" x14ac:dyDescent="0.3">
      <c r="A9745" t="s">
        <v>30</v>
      </c>
      <c r="B9745">
        <v>2023</v>
      </c>
      <c r="C9745" t="s">
        <v>35</v>
      </c>
      <c r="D9745" t="s">
        <v>26</v>
      </c>
      <c r="E9745" t="e">
        <f>VLOOKUP(Cpi_[[#This Row],[Attribute]],#REF!,2,FALSE)</f>
        <v>#REF!</v>
      </c>
      <c r="F9745">
        <v>178.5</v>
      </c>
      <c r="G9745">
        <f>(Cpi_[[#This Row],[Value]]-F9744)/F9744</f>
        <v>3.2986111111111042E-2</v>
      </c>
      <c r="H9745" t="e" cm="1" vm="1">
        <f t="array" aca="1" ref="H9745" ca="1">VLOOKUP(Cpi_[[#This Row],[Year]:[Month]],crudeoil[],3,FALSE)</f>
        <v>#VALUE!</v>
      </c>
    </row>
    <row r="9746" spans="1:8" hidden="1" x14ac:dyDescent="0.3">
      <c r="A9746" t="s">
        <v>30</v>
      </c>
      <c r="B9746">
        <v>2023</v>
      </c>
      <c r="C9746" t="s">
        <v>35</v>
      </c>
      <c r="D9746" t="s">
        <v>27</v>
      </c>
      <c r="E9746" t="e">
        <f>VLOOKUP(Cpi_[[#This Row],[Attribute]],#REF!,2,FALSE)</f>
        <v>#REF!</v>
      </c>
      <c r="F9746">
        <v>180.7</v>
      </c>
      <c r="G9746">
        <f>(Cpi_[[#This Row],[Value]]-F9745)/F9745</f>
        <v>1.2324929971988733E-2</v>
      </c>
      <c r="H9746" t="e" cm="1" vm="1">
        <f t="array" aca="1" ref="H9746" ca="1">VLOOKUP(Cpi_[[#This Row],[Year]:[Month]],crudeoil[],3,FALSE)</f>
        <v>#VALUE!</v>
      </c>
    </row>
    <row r="9747" spans="1:8" hidden="1" x14ac:dyDescent="0.3">
      <c r="A9747" t="s">
        <v>30</v>
      </c>
      <c r="B9747">
        <v>2023</v>
      </c>
      <c r="C9747" t="s">
        <v>35</v>
      </c>
      <c r="D9747" t="s">
        <v>28</v>
      </c>
      <c r="E9747" t="e">
        <f>VLOOKUP(Cpi_[[#This Row],[Attribute]],#REF!,2,FALSE)</f>
        <v>#REF!</v>
      </c>
      <c r="F9747">
        <v>177.9</v>
      </c>
      <c r="G9747">
        <f>(Cpi_[[#This Row],[Value]]-F9746)/F9746</f>
        <v>-1.5495296070835546E-2</v>
      </c>
      <c r="H9747" t="e" cm="1" vm="1">
        <f t="array" aca="1" ref="H9747" ca="1">VLOOKUP(Cpi_[[#This Row],[Year]:[Month]],crudeoil[],3,FALSE)</f>
        <v>#VALUE!</v>
      </c>
    </row>
    <row r="9748" spans="1:8" hidden="1" x14ac:dyDescent="0.3">
      <c r="A9748" t="s">
        <v>30</v>
      </c>
      <c r="B9748">
        <v>2023</v>
      </c>
      <c r="C9748" t="s">
        <v>35</v>
      </c>
      <c r="D9748" t="s">
        <v>29</v>
      </c>
      <c r="E9748" t="e" cm="1">
        <f t="array" aca="1" ref="E9748" ca="1">VLGeneral indexGeneral indexKUP(Cpi_[[#This Row],[Attribute]],#REF!,2,FALSE)</f>
        <v>#NAME?</v>
      </c>
      <c r="F9748">
        <v>178</v>
      </c>
      <c r="G9748">
        <f>(Cpi_[[#This Row],[Value]]-F9747)/F9747</f>
        <v>5.6211354693644919E-4</v>
      </c>
      <c r="H9748" t="e" cm="1" vm="1">
        <f t="array" aca="1" ref="H9748" ca="1">VLOOKUP(Cpi_[[#This Row],[Year]:[Month]],crudeoil[],3,FALSE)</f>
        <v>#VALUE!</v>
      </c>
    </row>
    <row r="9749" spans="1:8" hidden="1" x14ac:dyDescent="0.3">
      <c r="A9749" t="s">
        <v>33</v>
      </c>
      <c r="B9749">
        <v>2023</v>
      </c>
      <c r="C9749" t="s">
        <v>35</v>
      </c>
      <c r="D9749" t="s">
        <v>3</v>
      </c>
      <c r="E9749" t="e">
        <f>VLOOKUP(Cpi_[[#This Row],[Attribute]],#REF!,2,FALSE)</f>
        <v>#REF!</v>
      </c>
      <c r="F9749">
        <v>174.7</v>
      </c>
      <c r="G9749">
        <f>(Cpi_[[#This Row],[Value]]-F9748)/F9748</f>
        <v>-1.8539325842696693E-2</v>
      </c>
      <c r="H9749" t="e" cm="1" vm="1">
        <f t="array" aca="1" ref="H9749" ca="1">VLOOKUP(Cpi_[[#This Row],[Year]:[Month]],crudeoil[],3,FALSE)</f>
        <v>#VALUE!</v>
      </c>
    </row>
    <row r="9750" spans="1:8" hidden="1" x14ac:dyDescent="0.3">
      <c r="A9750" t="s">
        <v>33</v>
      </c>
      <c r="B9750">
        <v>2023</v>
      </c>
      <c r="C9750" t="s">
        <v>35</v>
      </c>
      <c r="D9750" t="s">
        <v>4</v>
      </c>
      <c r="E9750" t="e">
        <f>VLOOKUP(Cpi_[[#This Row],[Attribute]],#REF!,2,FALSE)</f>
        <v>#REF!</v>
      </c>
      <c r="F9750">
        <v>212.2</v>
      </c>
      <c r="G9750">
        <f>(Cpi_[[#This Row],[Value]]-F9749)/F9749</f>
        <v>0.21465369204350315</v>
      </c>
      <c r="H9750" t="e" cm="1" vm="1">
        <f t="array" aca="1" ref="H9750" ca="1">VLOOKUP(Cpi_[[#This Row],[Year]:[Month]],crudeoil[],3,FALSE)</f>
        <v>#VALUE!</v>
      </c>
    </row>
    <row r="9751" spans="1:8" hidden="1" x14ac:dyDescent="0.3">
      <c r="A9751" t="s">
        <v>33</v>
      </c>
      <c r="B9751">
        <v>2023</v>
      </c>
      <c r="C9751" t="s">
        <v>35</v>
      </c>
      <c r="D9751" t="s">
        <v>5</v>
      </c>
      <c r="E9751" t="e">
        <f>VLOOKUP(Cpi_[[#This Row],[Attribute]],#REF!,2,FALSE)</f>
        <v>#REF!</v>
      </c>
      <c r="F9751">
        <v>177.2</v>
      </c>
      <c r="G9751">
        <f>(Cpi_[[#This Row],[Value]]-F9750)/F9750</f>
        <v>-0.16493873704052781</v>
      </c>
      <c r="H9751" t="e" cm="1" vm="1">
        <f t="array" aca="1" ref="H9751" ca="1">VLOOKUP(Cpi_[[#This Row],[Year]:[Month]],crudeoil[],3,FALSE)</f>
        <v>#VALUE!</v>
      </c>
    </row>
    <row r="9752" spans="1:8" hidden="1" x14ac:dyDescent="0.3">
      <c r="A9752" t="s">
        <v>33</v>
      </c>
      <c r="B9752">
        <v>2023</v>
      </c>
      <c r="C9752" t="s">
        <v>35</v>
      </c>
      <c r="D9752" t="s">
        <v>6</v>
      </c>
      <c r="E9752" t="e">
        <f>VLOOKUP(Cpi_[[#This Row],[Attribute]],#REF!,2,FALSE)</f>
        <v>#REF!</v>
      </c>
      <c r="F9752">
        <v>177.9</v>
      </c>
      <c r="G9752">
        <f>(Cpi_[[#This Row],[Value]]-F9751)/F9751</f>
        <v>3.9503386004515638E-3</v>
      </c>
      <c r="H9752" t="e" cm="1" vm="1">
        <f t="array" aca="1" ref="H9752" ca="1">VLOOKUP(Cpi_[[#This Row],[Year]:[Month]],crudeoil[],3,FALSE)</f>
        <v>#VALUE!</v>
      </c>
    </row>
    <row r="9753" spans="1:8" hidden="1" x14ac:dyDescent="0.3">
      <c r="A9753" t="s">
        <v>33</v>
      </c>
      <c r="B9753">
        <v>2023</v>
      </c>
      <c r="C9753" t="s">
        <v>35</v>
      </c>
      <c r="D9753" t="s">
        <v>7</v>
      </c>
      <c r="E9753" t="e">
        <f>VLOOKUP(Cpi_[[#This Row],[Attribute]],#REF!,2,FALSE)</f>
        <v>#REF!</v>
      </c>
      <c r="F9753">
        <v>172.2</v>
      </c>
      <c r="G9753">
        <f>(Cpi_[[#This Row],[Value]]-F9752)/F9752</f>
        <v>-3.2040472175379524E-2</v>
      </c>
      <c r="H9753" t="e" cm="1" vm="1">
        <f t="array" aca="1" ref="H9753" ca="1">VLOOKUP(Cpi_[[#This Row],[Year]:[Month]],crudeoil[],3,FALSE)</f>
        <v>#VALUE!</v>
      </c>
    </row>
    <row r="9754" spans="1:8" hidden="1" x14ac:dyDescent="0.3">
      <c r="A9754" t="s">
        <v>33</v>
      </c>
      <c r="B9754">
        <v>2023</v>
      </c>
      <c r="C9754" t="s">
        <v>35</v>
      </c>
      <c r="D9754" t="s">
        <v>8</v>
      </c>
      <c r="E9754" t="e">
        <f>VLOOKUP(Cpi_[[#This Row],[Attribute]],#REF!,2,FALSE)</f>
        <v>#REF!</v>
      </c>
      <c r="F9754">
        <v>172.1</v>
      </c>
      <c r="G9754">
        <f>(Cpi_[[#This Row],[Value]]-F9753)/F9753</f>
        <v>-5.8072009291518191E-4</v>
      </c>
      <c r="H9754" t="e" cm="1" vm="1">
        <f t="array" aca="1" ref="H9754" ca="1">VLOOKUP(Cpi_[[#This Row],[Year]:[Month]],crudeoil[],3,FALSE)</f>
        <v>#VALUE!</v>
      </c>
    </row>
    <row r="9755" spans="1:8" hidden="1" x14ac:dyDescent="0.3">
      <c r="A9755" t="s">
        <v>33</v>
      </c>
      <c r="B9755">
        <v>2023</v>
      </c>
      <c r="C9755" t="s">
        <v>35</v>
      </c>
      <c r="D9755" t="s">
        <v>9</v>
      </c>
      <c r="E9755" t="e">
        <f>VLOOKUP(Cpi_[[#This Row],[Attribute]],#REF!,2,FALSE)</f>
        <v>#REF!</v>
      </c>
      <c r="F9755">
        <v>175.8</v>
      </c>
      <c r="G9755">
        <f>(Cpi_[[#This Row],[Value]]-F9754)/F9754</f>
        <v>2.1499128413713056E-2</v>
      </c>
      <c r="H9755" t="e" cm="1" vm="1">
        <f t="array" aca="1" ref="H9755" ca="1">VLOOKUP(Cpi_[[#This Row],[Year]:[Month]],crudeoil[],3,FALSE)</f>
        <v>#VALUE!</v>
      </c>
    </row>
    <row r="9756" spans="1:8" hidden="1" x14ac:dyDescent="0.3">
      <c r="A9756" t="s">
        <v>33</v>
      </c>
      <c r="B9756">
        <v>2023</v>
      </c>
      <c r="C9756" t="s">
        <v>35</v>
      </c>
      <c r="D9756" t="s">
        <v>10</v>
      </c>
      <c r="E9756" t="e">
        <f>VLOOKUP(Cpi_[[#This Row],[Attribute]],#REF!,2,FALSE)</f>
        <v>#REF!</v>
      </c>
      <c r="F9756">
        <v>172.2</v>
      </c>
      <c r="G9756">
        <f>(Cpi_[[#This Row],[Value]]-F9755)/F9755</f>
        <v>-2.0477815699658831E-2</v>
      </c>
      <c r="H9756" t="e" cm="1" vm="1">
        <f t="array" aca="1" ref="H9756" ca="1">VLOOKUP(Cpi_[[#This Row],[Year]:[Month]],crudeoil[],3,FALSE)</f>
        <v>#VALUE!</v>
      </c>
    </row>
    <row r="9757" spans="1:8" hidden="1" x14ac:dyDescent="0.3">
      <c r="A9757" t="s">
        <v>33</v>
      </c>
      <c r="B9757">
        <v>2023</v>
      </c>
      <c r="C9757" t="s">
        <v>35</v>
      </c>
      <c r="D9757" t="s">
        <v>11</v>
      </c>
      <c r="E9757" t="e">
        <f>VLOOKUP(Cpi_[[#This Row],[Attribute]],#REF!,2,FALSE)</f>
        <v>#REF!</v>
      </c>
      <c r="F9757">
        <v>121.9</v>
      </c>
      <c r="G9757">
        <f>(Cpi_[[#This Row],[Value]]-F9756)/F9756</f>
        <v>-0.29210220673635301</v>
      </c>
      <c r="H9757" t="e" cm="1" vm="1">
        <f t="array" aca="1" ref="H9757" ca="1">VLOOKUP(Cpi_[[#This Row],[Year]:[Month]],crudeoil[],3,FALSE)</f>
        <v>#VALUE!</v>
      </c>
    </row>
    <row r="9758" spans="1:8" hidden="1" x14ac:dyDescent="0.3">
      <c r="A9758" t="s">
        <v>33</v>
      </c>
      <c r="B9758">
        <v>2023</v>
      </c>
      <c r="C9758" t="s">
        <v>35</v>
      </c>
      <c r="D9758" t="s">
        <v>12</v>
      </c>
      <c r="E9758" t="e">
        <f>VLOOKUP(Cpi_[[#This Row],[Attribute]],#REF!,2,FALSE)</f>
        <v>#REF!</v>
      </c>
      <c r="F9758">
        <v>204.8</v>
      </c>
      <c r="G9758">
        <f>(Cpi_[[#This Row],[Value]]-F9757)/F9757</f>
        <v>0.68006562756357669</v>
      </c>
      <c r="H9758" t="e" cm="1" vm="1">
        <f t="array" aca="1" ref="H9758" ca="1">VLOOKUP(Cpi_[[#This Row],[Year]:[Month]],crudeoil[],3,FALSE)</f>
        <v>#VALUE!</v>
      </c>
    </row>
    <row r="9759" spans="1:8" hidden="1" x14ac:dyDescent="0.3">
      <c r="A9759" t="s">
        <v>33</v>
      </c>
      <c r="B9759">
        <v>2023</v>
      </c>
      <c r="C9759" t="s">
        <v>35</v>
      </c>
      <c r="D9759" t="s">
        <v>13</v>
      </c>
      <c r="E9759" t="e">
        <f>VLOOKUP(Cpi_[[#This Row],[Attribute]],#REF!,2,FALSE)</f>
        <v>#REF!</v>
      </c>
      <c r="F9759">
        <v>164.9</v>
      </c>
      <c r="G9759">
        <f>(Cpi_[[#This Row],[Value]]-F9758)/F9758</f>
        <v>-0.19482421875000003</v>
      </c>
      <c r="H9759" t="e" cm="1" vm="1">
        <f t="array" aca="1" ref="H9759" ca="1">VLOOKUP(Cpi_[[#This Row],[Year]:[Month]],crudeoil[],3,FALSE)</f>
        <v>#VALUE!</v>
      </c>
    </row>
    <row r="9760" spans="1:8" hidden="1" x14ac:dyDescent="0.3">
      <c r="A9760" t="s">
        <v>33</v>
      </c>
      <c r="B9760">
        <v>2023</v>
      </c>
      <c r="C9760" t="s">
        <v>35</v>
      </c>
      <c r="D9760" t="s">
        <v>14</v>
      </c>
      <c r="E9760" t="e">
        <f>VLOOKUP(Cpi_[[#This Row],[Attribute]],#REF!,2,FALSE)</f>
        <v>#REF!</v>
      </c>
      <c r="F9760">
        <v>196.6</v>
      </c>
      <c r="G9760">
        <f>(Cpi_[[#This Row],[Value]]-F9759)/F9759</f>
        <v>0.19223771983020005</v>
      </c>
      <c r="H9760" t="e" cm="1" vm="1">
        <f t="array" aca="1" ref="H9760" ca="1">VLOOKUP(Cpi_[[#This Row],[Year]:[Month]],crudeoil[],3,FALSE)</f>
        <v>#VALUE!</v>
      </c>
    </row>
    <row r="9761" spans="1:8" hidden="1" x14ac:dyDescent="0.3">
      <c r="A9761" t="s">
        <v>33</v>
      </c>
      <c r="B9761">
        <v>2023</v>
      </c>
      <c r="C9761" t="s">
        <v>35</v>
      </c>
      <c r="D9761" t="s">
        <v>15</v>
      </c>
      <c r="E9761" t="e">
        <f>VLOOKUP(Cpi_[[#This Row],[Attribute]],#REF!,2,FALSE)</f>
        <v>#REF!</v>
      </c>
      <c r="F9761">
        <v>180.7</v>
      </c>
      <c r="G9761">
        <f>(Cpi_[[#This Row],[Value]]-F9760)/F9760</f>
        <v>-8.0874872838250289E-2</v>
      </c>
      <c r="H9761" t="e" cm="1" vm="1">
        <f t="array" aca="1" ref="H9761" ca="1">VLOOKUP(Cpi_[[#This Row],[Year]:[Month]],crudeoil[],3,FALSE)</f>
        <v>#VALUE!</v>
      </c>
    </row>
    <row r="9762" spans="1:8" hidden="1" x14ac:dyDescent="0.3">
      <c r="A9762" t="s">
        <v>33</v>
      </c>
      <c r="B9762">
        <v>2023</v>
      </c>
      <c r="C9762" t="s">
        <v>35</v>
      </c>
      <c r="D9762" t="s">
        <v>16</v>
      </c>
      <c r="E9762" t="e">
        <f>VLOOKUP(Cpi_[[#This Row],[Attribute]],#REF!,2,FALSE)</f>
        <v>#REF!</v>
      </c>
      <c r="F9762">
        <v>202.7</v>
      </c>
      <c r="G9762">
        <f>(Cpi_[[#This Row],[Value]]-F9761)/F9761</f>
        <v>0.12174875484228002</v>
      </c>
      <c r="H9762" t="e" cm="1" vm="1">
        <f t="array" aca="1" ref="H9762" ca="1">VLOOKUP(Cpi_[[#This Row],[Year]:[Month]],crudeoil[],3,FALSE)</f>
        <v>#VALUE!</v>
      </c>
    </row>
    <row r="9763" spans="1:8" hidden="1" x14ac:dyDescent="0.3">
      <c r="A9763" t="s">
        <v>33</v>
      </c>
      <c r="B9763">
        <v>2023</v>
      </c>
      <c r="C9763" t="s">
        <v>35</v>
      </c>
      <c r="D9763" t="s">
        <v>17</v>
      </c>
      <c r="E9763" t="e">
        <f>VLOOKUP(Cpi_[[#This Row],[Attribute]],#REF!,2,FALSE)</f>
        <v>#REF!</v>
      </c>
      <c r="F9763">
        <v>180.3</v>
      </c>
      <c r="G9763">
        <f>(Cpi_[[#This Row],[Value]]-F9762)/F9762</f>
        <v>-0.11050814010853467</v>
      </c>
      <c r="H9763" t="e" cm="1" vm="1">
        <f t="array" aca="1" ref="H9763" ca="1">VLOOKUP(Cpi_[[#This Row],[Year]:[Month]],crudeoil[],3,FALSE)</f>
        <v>#VALUE!</v>
      </c>
    </row>
    <row r="9764" spans="1:8" hidden="1" x14ac:dyDescent="0.3">
      <c r="A9764" t="s">
        <v>33</v>
      </c>
      <c r="B9764">
        <v>2023</v>
      </c>
      <c r="C9764" t="s">
        <v>35</v>
      </c>
      <c r="D9764" t="s">
        <v>18</v>
      </c>
      <c r="E9764" t="e">
        <f>VLOOKUP(Cpi_[[#This Row],[Attribute]],#REF!,2,FALSE)</f>
        <v>#REF!</v>
      </c>
      <c r="F9764">
        <v>167</v>
      </c>
      <c r="G9764">
        <f>(Cpi_[[#This Row],[Value]]-F9763)/F9763</f>
        <v>-7.3765945646145373E-2</v>
      </c>
      <c r="H9764" t="e" cm="1" vm="1">
        <f t="array" aca="1" ref="H9764" ca="1">VLOOKUP(Cpi_[[#This Row],[Year]:[Month]],crudeoil[],3,FALSE)</f>
        <v>#VALUE!</v>
      </c>
    </row>
    <row r="9765" spans="1:8" hidden="1" x14ac:dyDescent="0.3">
      <c r="A9765" t="s">
        <v>33</v>
      </c>
      <c r="B9765">
        <v>2023</v>
      </c>
      <c r="C9765" t="s">
        <v>35</v>
      </c>
      <c r="D9765" t="s">
        <v>19</v>
      </c>
      <c r="E9765" t="e">
        <f>VLOOKUP(Cpi_[[#This Row],[Attribute]],#REF!,2,FALSE)</f>
        <v>#REF!</v>
      </c>
      <c r="F9765">
        <v>178.2</v>
      </c>
      <c r="G9765">
        <f>(Cpi_[[#This Row],[Value]]-F9764)/F9764</f>
        <v>6.706586826347298E-2</v>
      </c>
      <c r="H9765" t="e" cm="1" vm="1">
        <f t="array" aca="1" ref="H9765" ca="1">VLOOKUP(Cpi_[[#This Row],[Year]:[Month]],crudeoil[],3,FALSE)</f>
        <v>#VALUE!</v>
      </c>
    </row>
    <row r="9766" spans="1:8" hidden="1" x14ac:dyDescent="0.3">
      <c r="A9766" t="s">
        <v>33</v>
      </c>
      <c r="B9766">
        <v>2023</v>
      </c>
      <c r="C9766" t="s">
        <v>35</v>
      </c>
      <c r="D9766" t="s">
        <v>20</v>
      </c>
      <c r="E9766" t="e">
        <f>VLOOKUP(Cpi_[[#This Row],[Attribute]],#REF!,2,FALSE)</f>
        <v>#REF!</v>
      </c>
      <c r="F9766">
        <v>173.5</v>
      </c>
      <c r="G9766">
        <f>(Cpi_[[#This Row],[Value]]-F9765)/F9765</f>
        <v>-2.637485970819298E-2</v>
      </c>
      <c r="H9766" t="e" cm="1" vm="1">
        <f t="array" aca="1" ref="H9766" ca="1">VLOOKUP(Cpi_[[#This Row],[Year]:[Month]],crudeoil[],3,FALSE)</f>
        <v>#VALUE!</v>
      </c>
    </row>
    <row r="9767" spans="1:8" hidden="1" x14ac:dyDescent="0.3">
      <c r="A9767" t="s">
        <v>33</v>
      </c>
      <c r="B9767">
        <v>2023</v>
      </c>
      <c r="C9767" t="s">
        <v>35</v>
      </c>
      <c r="D9767" t="s">
        <v>21</v>
      </c>
      <c r="E9767" t="e">
        <f>VLOOKUP(Cpi_[[#This Row],[Attribute]],#REF!,2,FALSE)</f>
        <v>#REF!</v>
      </c>
      <c r="F9767">
        <v>182.8</v>
      </c>
      <c r="G9767">
        <f>(Cpi_[[#This Row],[Value]]-F9766)/F9766</f>
        <v>5.3602305475504389E-2</v>
      </c>
      <c r="H9767" t="e" cm="1" vm="1">
        <f t="array" aca="1" ref="H9767" ca="1">VLOOKUP(Cpi_[[#This Row],[Year]:[Month]],crudeoil[],3,FALSE)</f>
        <v>#VALUE!</v>
      </c>
    </row>
    <row r="9768" spans="1:8" hidden="1" x14ac:dyDescent="0.3">
      <c r="A9768" t="s">
        <v>33</v>
      </c>
      <c r="B9768">
        <v>2023</v>
      </c>
      <c r="C9768" t="s">
        <v>35</v>
      </c>
      <c r="D9768" t="s">
        <v>22</v>
      </c>
      <c r="E9768" t="e">
        <f>VLOOKUP(Cpi_[[#This Row],[Attribute]],#REF!,2,FALSE)</f>
        <v>#REF!</v>
      </c>
      <c r="F9768">
        <v>169.2</v>
      </c>
      <c r="G9768">
        <f>(Cpi_[[#This Row],[Value]]-F9767)/F9767</f>
        <v>-7.4398249452954174E-2</v>
      </c>
      <c r="H9768" t="e" cm="1" vm="1">
        <f t="array" aca="1" ref="H9768" ca="1">VLOOKUP(Cpi_[[#This Row],[Year]:[Month]],crudeoil[],3,FALSE)</f>
        <v>#VALUE!</v>
      </c>
    </row>
    <row r="9769" spans="1:8" hidden="1" x14ac:dyDescent="0.3">
      <c r="A9769" t="s">
        <v>33</v>
      </c>
      <c r="B9769">
        <v>2023</v>
      </c>
      <c r="C9769" t="s">
        <v>35</v>
      </c>
      <c r="D9769" t="s">
        <v>23</v>
      </c>
      <c r="E9769" t="e">
        <f>VLOOKUP(Cpi_[[#This Row],[Attribute]],#REF!,2,FALSE)</f>
        <v>#REF!</v>
      </c>
      <c r="F9769">
        <v>180.8</v>
      </c>
      <c r="G9769">
        <f>(Cpi_[[#This Row],[Value]]-F9768)/F9768</f>
        <v>6.855791962174955E-2</v>
      </c>
      <c r="H9769" t="e" cm="1" vm="1">
        <f t="array" aca="1" ref="H9769" ca="1">VLOOKUP(Cpi_[[#This Row],[Year]:[Month]],crudeoil[],3,FALSE)</f>
        <v>#VALUE!</v>
      </c>
    </row>
    <row r="9770" spans="1:8" hidden="1" x14ac:dyDescent="0.3">
      <c r="A9770" t="s">
        <v>33</v>
      </c>
      <c r="B9770">
        <v>2023</v>
      </c>
      <c r="C9770" t="s">
        <v>35</v>
      </c>
      <c r="D9770" t="s">
        <v>24</v>
      </c>
      <c r="E9770" t="e">
        <f>VLOOKUP(Cpi_[[#This Row],[Attribute]],#REF!,2,FALSE)</f>
        <v>#REF!</v>
      </c>
      <c r="F9770">
        <v>159.80000000000001</v>
      </c>
      <c r="G9770">
        <f>(Cpi_[[#This Row],[Value]]-F9769)/F9769</f>
        <v>-0.11615044247787609</v>
      </c>
      <c r="H9770" t="e" cm="1" vm="1">
        <f t="array" aca="1" ref="H9770" ca="1">VLOOKUP(Cpi_[[#This Row],[Year]:[Month]],crudeoil[],3,FALSE)</f>
        <v>#VALUE!</v>
      </c>
    </row>
    <row r="9771" spans="1:8" hidden="1" x14ac:dyDescent="0.3">
      <c r="A9771" t="s">
        <v>33</v>
      </c>
      <c r="B9771">
        <v>2023</v>
      </c>
      <c r="C9771" t="s">
        <v>35</v>
      </c>
      <c r="D9771" t="s">
        <v>25</v>
      </c>
      <c r="E9771" t="e">
        <f>VLOOKUP(Cpi_[[#This Row],[Attribute]],#REF!,2,FALSE)</f>
        <v>#REF!</v>
      </c>
      <c r="F9771">
        <v>168.4</v>
      </c>
      <c r="G9771">
        <f>(Cpi_[[#This Row],[Value]]-F9770)/F9770</f>
        <v>5.381727158948682E-2</v>
      </c>
      <c r="H9771" t="e" cm="1" vm="1">
        <f t="array" aca="1" ref="H9771" ca="1">VLOOKUP(Cpi_[[#This Row],[Year]:[Month]],crudeoil[],3,FALSE)</f>
        <v>#VALUE!</v>
      </c>
    </row>
    <row r="9772" spans="1:8" hidden="1" x14ac:dyDescent="0.3">
      <c r="A9772" t="s">
        <v>33</v>
      </c>
      <c r="B9772">
        <v>2023</v>
      </c>
      <c r="C9772" t="s">
        <v>35</v>
      </c>
      <c r="D9772" t="s">
        <v>26</v>
      </c>
      <c r="E9772" t="e">
        <f>VLOOKUP(Cpi_[[#This Row],[Attribute]],#REF!,2,FALSE)</f>
        <v>#REF!</v>
      </c>
      <c r="F9772">
        <v>172.5</v>
      </c>
      <c r="G9772">
        <f>(Cpi_[[#This Row],[Value]]-F9771)/F9771</f>
        <v>2.4346793349168613E-2</v>
      </c>
      <c r="H9772" t="e" cm="1" vm="1">
        <f t="array" aca="1" ref="H9772" ca="1">VLOOKUP(Cpi_[[#This Row],[Year]:[Month]],crudeoil[],3,FALSE)</f>
        <v>#VALUE!</v>
      </c>
    </row>
    <row r="9773" spans="1:8" hidden="1" x14ac:dyDescent="0.3">
      <c r="A9773" t="s">
        <v>33</v>
      </c>
      <c r="B9773">
        <v>2023</v>
      </c>
      <c r="C9773" t="s">
        <v>35</v>
      </c>
      <c r="D9773" t="s">
        <v>27</v>
      </c>
      <c r="E9773" t="e">
        <f>VLOOKUP(Cpi_[[#This Row],[Attribute]],#REF!,2,FALSE)</f>
        <v>#REF!</v>
      </c>
      <c r="F9773">
        <v>181.4</v>
      </c>
      <c r="G9773">
        <f>(Cpi_[[#This Row],[Value]]-F9772)/F9772</f>
        <v>5.159420289855076E-2</v>
      </c>
      <c r="H9773" t="e" cm="1" vm="1">
        <f t="array" aca="1" ref="H9773" ca="1">VLOOKUP(Cpi_[[#This Row],[Year]:[Month]],crudeoil[],3,FALSE)</f>
        <v>#VALUE!</v>
      </c>
    </row>
    <row r="9774" spans="1:8" hidden="1" x14ac:dyDescent="0.3">
      <c r="A9774" t="s">
        <v>33</v>
      </c>
      <c r="B9774">
        <v>2023</v>
      </c>
      <c r="C9774" t="s">
        <v>35</v>
      </c>
      <c r="D9774" t="s">
        <v>28</v>
      </c>
      <c r="E9774" t="e">
        <f>VLOOKUP(Cpi_[[#This Row],[Attribute]],#REF!,2,FALSE)</f>
        <v>#REF!</v>
      </c>
      <c r="F9774">
        <v>170</v>
      </c>
      <c r="G9774">
        <f>(Cpi_[[#This Row],[Value]]-F9773)/F9773</f>
        <v>-6.2844542447629576E-2</v>
      </c>
      <c r="H9774" t="e" cm="1" vm="1">
        <f t="array" aca="1" ref="H9774" ca="1">VLOOKUP(Cpi_[[#This Row],[Year]:[Month]],crudeoil[],3,FALSE)</f>
        <v>#VALUE!</v>
      </c>
    </row>
    <row r="9775" spans="1:8" hidden="1" x14ac:dyDescent="0.3">
      <c r="A9775" t="s">
        <v>33</v>
      </c>
      <c r="B9775">
        <v>2023</v>
      </c>
      <c r="C9775" t="s">
        <v>35</v>
      </c>
      <c r="D9775" t="s">
        <v>29</v>
      </c>
      <c r="E9775" t="e" cm="1">
        <f t="array" aca="1" ref="E9775" ca="1">VLGeneral indexGeneral indexKUP(Cpi_[[#This Row],[Attribute]],#REF!,2,FALSE)</f>
        <v>#NAME?</v>
      </c>
      <c r="F9775">
        <v>176.3</v>
      </c>
      <c r="G9775">
        <f>(Cpi_[[#This Row],[Value]]-F9774)/F9774</f>
        <v>3.7058823529411831E-2</v>
      </c>
      <c r="H9775" t="e" cm="1" vm="1">
        <f t="array" aca="1" ref="H9775" ca="1">VLOOKUP(Cpi_[[#This Row],[Year]:[Month]],crudeoil[],3,FALSE)</f>
        <v>#VALUE!</v>
      </c>
    </row>
    <row r="9776" spans="1:8" hidden="1" x14ac:dyDescent="0.3">
      <c r="A9776" t="s">
        <v>34</v>
      </c>
      <c r="B9776">
        <v>2023</v>
      </c>
      <c r="C9776" t="s">
        <v>35</v>
      </c>
      <c r="D9776" t="s">
        <v>3</v>
      </c>
      <c r="E9776" t="e">
        <f>VLOOKUP(Cpi_[[#This Row],[Attribute]],#REF!,2,FALSE)</f>
        <v>#REF!</v>
      </c>
      <c r="F9776">
        <v>174.4</v>
      </c>
      <c r="G9776">
        <f>(Cpi_[[#This Row],[Value]]-F9775)/F9775</f>
        <v>-1.0777084515031229E-2</v>
      </c>
      <c r="H9776" t="e" cm="1" vm="1">
        <f t="array" aca="1" ref="H9776" ca="1">VLOOKUP(Cpi_[[#This Row],[Year]:[Month]],crudeoil[],3,FALSE)</f>
        <v>#VALUE!</v>
      </c>
    </row>
    <row r="9777" spans="1:10" x14ac:dyDescent="0.3">
      <c r="A9777" t="s">
        <v>34</v>
      </c>
      <c r="B9777">
        <v>2023</v>
      </c>
      <c r="C9777" t="s">
        <v>35</v>
      </c>
      <c r="D9777" t="s">
        <v>4</v>
      </c>
      <c r="E9777" t="e">
        <f>VLOOKUP(Cpi_[[#This Row],[Attribute]],#REF!,2,FALSE)</f>
        <v>#REF!</v>
      </c>
      <c r="F9777">
        <v>207.7</v>
      </c>
      <c r="G9777" s="42">
        <f>(Cpi_[[#This Row],[Value]]-F9776)/F9776</f>
        <v>0.19094036697247696</v>
      </c>
      <c r="H9777" t="str">
        <f>LEFT(Cpi_[[#This Row],[Month]],3)</f>
        <v>Feb</v>
      </c>
      <c r="I9777" t="str">
        <f>RIGHT(Cpi_[[#This Row],[Year]],2)</f>
        <v>23</v>
      </c>
      <c r="J9777" t="str">
        <f>Cpi_[[#This Row],[Column3]]&amp;"-"&amp;Cpi_[[#This Row],[Column4]]</f>
        <v>Feb-23</v>
      </c>
    </row>
    <row r="9778" spans="1:10" x14ac:dyDescent="0.3">
      <c r="A9778" t="s">
        <v>34</v>
      </c>
      <c r="B9778">
        <v>2023</v>
      </c>
      <c r="C9778" t="s">
        <v>35</v>
      </c>
      <c r="D9778" t="s">
        <v>5</v>
      </c>
      <c r="E9778" t="e">
        <f>VLOOKUP(Cpi_[[#This Row],[Attribute]],#REF!,2,FALSE)</f>
        <v>#REF!</v>
      </c>
      <c r="F9778">
        <v>175.2</v>
      </c>
      <c r="G9778" s="42">
        <f>(Cpi_[[#This Row],[Value]]-F9777)/F9777</f>
        <v>-0.15647568608570053</v>
      </c>
      <c r="H9778" t="str">
        <f>LEFT(Cpi_[[#This Row],[Month]],3)</f>
        <v>Feb</v>
      </c>
      <c r="I9778" t="str">
        <f>RIGHT(Cpi_[[#This Row],[Year]],2)</f>
        <v>23</v>
      </c>
      <c r="J9778" t="str">
        <f>Cpi_[[#This Row],[Column3]]&amp;"-"&amp;Cpi_[[#This Row],[Column4]]</f>
        <v>Feb-23</v>
      </c>
    </row>
    <row r="9779" spans="1:10" x14ac:dyDescent="0.3">
      <c r="A9779" t="s">
        <v>34</v>
      </c>
      <c r="B9779">
        <v>2023</v>
      </c>
      <c r="C9779" t="s">
        <v>35</v>
      </c>
      <c r="D9779" t="s">
        <v>6</v>
      </c>
      <c r="E9779" t="e">
        <f>VLOOKUP(Cpi_[[#This Row],[Attribute]],#REF!,2,FALSE)</f>
        <v>#REF!</v>
      </c>
      <c r="F9779">
        <v>177.3</v>
      </c>
      <c r="G9779" s="42">
        <f>(Cpi_[[#This Row],[Value]]-F9778)/F9778</f>
        <v>1.1986301369863145E-2</v>
      </c>
      <c r="H9779" t="str">
        <f>LEFT(Cpi_[[#This Row],[Month]],3)</f>
        <v>Feb</v>
      </c>
      <c r="I9779" t="str">
        <f>RIGHT(Cpi_[[#This Row],[Year]],2)</f>
        <v>23</v>
      </c>
      <c r="J9779" t="str">
        <f>Cpi_[[#This Row],[Column3]]&amp;"-"&amp;Cpi_[[#This Row],[Column4]]</f>
        <v>Feb-23</v>
      </c>
    </row>
    <row r="9780" spans="1:10" x14ac:dyDescent="0.3">
      <c r="A9780" t="s">
        <v>34</v>
      </c>
      <c r="B9780">
        <v>2023</v>
      </c>
      <c r="C9780" t="s">
        <v>35</v>
      </c>
      <c r="D9780" t="s">
        <v>7</v>
      </c>
      <c r="E9780" t="e">
        <f>VLOOKUP(Cpi_[[#This Row],[Attribute]],#REF!,2,FALSE)</f>
        <v>#REF!</v>
      </c>
      <c r="F9780">
        <v>179.3</v>
      </c>
      <c r="G9780" s="42">
        <f>(Cpi_[[#This Row],[Value]]-F9779)/F9779</f>
        <v>1.1280315848843767E-2</v>
      </c>
      <c r="H9780" t="str">
        <f>LEFT(Cpi_[[#This Row],[Month]],3)</f>
        <v>Feb</v>
      </c>
      <c r="I9780" t="str">
        <f>RIGHT(Cpi_[[#This Row],[Year]],2)</f>
        <v>23</v>
      </c>
      <c r="J9780" t="str">
        <f>Cpi_[[#This Row],[Column3]]&amp;"-"&amp;Cpi_[[#This Row],[Column4]]</f>
        <v>Feb-23</v>
      </c>
    </row>
    <row r="9781" spans="1:10" x14ac:dyDescent="0.3">
      <c r="A9781" t="s">
        <v>34</v>
      </c>
      <c r="B9781">
        <v>2023</v>
      </c>
      <c r="C9781" t="s">
        <v>35</v>
      </c>
      <c r="D9781" t="s">
        <v>8</v>
      </c>
      <c r="E9781" t="e">
        <f>VLOOKUP(Cpi_[[#This Row],[Attribute]],#REF!,2,FALSE)</f>
        <v>#REF!</v>
      </c>
      <c r="F9781">
        <v>169.5</v>
      </c>
      <c r="G9781" s="42">
        <f>(Cpi_[[#This Row],[Value]]-F9780)/F9780</f>
        <v>-5.4656999442275575E-2</v>
      </c>
      <c r="H9781" t="str">
        <f>LEFT(Cpi_[[#This Row],[Month]],3)</f>
        <v>Feb</v>
      </c>
      <c r="I9781" t="str">
        <f>RIGHT(Cpi_[[#This Row],[Year]],2)</f>
        <v>23</v>
      </c>
      <c r="J9781" t="str">
        <f>Cpi_[[#This Row],[Column3]]&amp;"-"&amp;Cpi_[[#This Row],[Column4]]</f>
        <v>Feb-23</v>
      </c>
    </row>
    <row r="9782" spans="1:10" x14ac:dyDescent="0.3">
      <c r="A9782" t="s">
        <v>34</v>
      </c>
      <c r="B9782">
        <v>2023</v>
      </c>
      <c r="C9782" t="s">
        <v>35</v>
      </c>
      <c r="D9782" t="s">
        <v>9</v>
      </c>
      <c r="E9782" t="e">
        <f>VLOOKUP(Cpi_[[#This Row],[Attribute]],#REF!,2,FALSE)</f>
        <v>#REF!</v>
      </c>
      <c r="F9782">
        <v>152.69999999999999</v>
      </c>
      <c r="G9782" s="42">
        <f>(Cpi_[[#This Row],[Value]]-F9781)/F9781</f>
        <v>-9.9115044247787679E-2</v>
      </c>
      <c r="H9782" t="str">
        <f>LEFT(Cpi_[[#This Row],[Month]],3)</f>
        <v>Feb</v>
      </c>
      <c r="I9782" t="str">
        <f>RIGHT(Cpi_[[#This Row],[Year]],2)</f>
        <v>23</v>
      </c>
      <c r="J9782" t="str">
        <f>Cpi_[[#This Row],[Column3]]&amp;"-"&amp;Cpi_[[#This Row],[Column4]]</f>
        <v>Feb-23</v>
      </c>
    </row>
    <row r="9783" spans="1:10" x14ac:dyDescent="0.3">
      <c r="A9783" t="s">
        <v>34</v>
      </c>
      <c r="B9783">
        <v>2023</v>
      </c>
      <c r="C9783" t="s">
        <v>35</v>
      </c>
      <c r="D9783" t="s">
        <v>10</v>
      </c>
      <c r="E9783" t="e">
        <f>VLOOKUP(Cpi_[[#This Row],[Attribute]],#REF!,2,FALSE)</f>
        <v>#REF!</v>
      </c>
      <c r="F9783">
        <v>171</v>
      </c>
      <c r="G9783" s="42">
        <f>(Cpi_[[#This Row],[Value]]-F9782)/F9782</f>
        <v>0.1198428290766209</v>
      </c>
      <c r="H9783" t="str">
        <f>LEFT(Cpi_[[#This Row],[Month]],3)</f>
        <v>Feb</v>
      </c>
      <c r="I9783" t="str">
        <f>RIGHT(Cpi_[[#This Row],[Year]],2)</f>
        <v>23</v>
      </c>
      <c r="J9783" t="str">
        <f>Cpi_[[#This Row],[Column3]]&amp;"-"&amp;Cpi_[[#This Row],[Column4]]</f>
        <v>Feb-23</v>
      </c>
    </row>
    <row r="9784" spans="1:10" x14ac:dyDescent="0.3">
      <c r="A9784" t="s">
        <v>34</v>
      </c>
      <c r="B9784">
        <v>2023</v>
      </c>
      <c r="C9784" t="s">
        <v>35</v>
      </c>
      <c r="D9784" t="s">
        <v>11</v>
      </c>
      <c r="E9784" t="e">
        <f>VLOOKUP(Cpi_[[#This Row],[Attribute]],#REF!,2,FALSE)</f>
        <v>#REF!</v>
      </c>
      <c r="F9784">
        <v>120</v>
      </c>
      <c r="G9784" s="42">
        <f>(Cpi_[[#This Row],[Value]]-F9783)/F9783</f>
        <v>-0.2982456140350877</v>
      </c>
      <c r="H9784" t="str">
        <f>LEFT(Cpi_[[#This Row],[Month]],3)</f>
        <v>Feb</v>
      </c>
      <c r="I9784" t="str">
        <f>RIGHT(Cpi_[[#This Row],[Year]],2)</f>
        <v>23</v>
      </c>
      <c r="J9784" t="str">
        <f>Cpi_[[#This Row],[Column3]]&amp;"-"&amp;Cpi_[[#This Row],[Column4]]</f>
        <v>Feb-23</v>
      </c>
    </row>
    <row r="9785" spans="1:10" x14ac:dyDescent="0.3">
      <c r="A9785" t="s">
        <v>34</v>
      </c>
      <c r="B9785">
        <v>2023</v>
      </c>
      <c r="C9785" t="s">
        <v>35</v>
      </c>
      <c r="D9785" t="s">
        <v>12</v>
      </c>
      <c r="E9785" t="e">
        <f>VLOOKUP(Cpi_[[#This Row],[Attribute]],#REF!,2,FALSE)</f>
        <v>#REF!</v>
      </c>
      <c r="F9785">
        <v>209.7</v>
      </c>
      <c r="G9785" s="42">
        <f>(Cpi_[[#This Row],[Value]]-F9784)/F9784</f>
        <v>0.74749999999999994</v>
      </c>
      <c r="H9785" t="str">
        <f>LEFT(Cpi_[[#This Row],[Month]],3)</f>
        <v>Feb</v>
      </c>
      <c r="I9785" t="str">
        <f>RIGHT(Cpi_[[#This Row],[Year]],2)</f>
        <v>23</v>
      </c>
      <c r="J9785" t="str">
        <f>Cpi_[[#This Row],[Column3]]&amp;"-"&amp;Cpi_[[#This Row],[Column4]]</f>
        <v>Feb-23</v>
      </c>
    </row>
    <row r="9786" spans="1:10" x14ac:dyDescent="0.3">
      <c r="A9786" t="s">
        <v>34</v>
      </c>
      <c r="B9786">
        <v>2023</v>
      </c>
      <c r="C9786" t="s">
        <v>35</v>
      </c>
      <c r="D9786" t="s">
        <v>13</v>
      </c>
      <c r="E9786" t="e">
        <f>VLOOKUP(Cpi_[[#This Row],[Attribute]],#REF!,2,FALSE)</f>
        <v>#REF!</v>
      </c>
      <c r="F9786">
        <v>172.3</v>
      </c>
      <c r="G9786" s="42">
        <f>(Cpi_[[#This Row],[Value]]-F9785)/F9785</f>
        <v>-0.17835002384358598</v>
      </c>
      <c r="H9786" t="str">
        <f>LEFT(Cpi_[[#This Row],[Month]],3)</f>
        <v>Feb</v>
      </c>
      <c r="I9786" t="str">
        <f>RIGHT(Cpi_[[#This Row],[Year]],2)</f>
        <v>23</v>
      </c>
      <c r="J9786" t="str">
        <f>Cpi_[[#This Row],[Column3]]&amp;"-"&amp;Cpi_[[#This Row],[Column4]]</f>
        <v>Feb-23</v>
      </c>
    </row>
    <row r="9787" spans="1:10" x14ac:dyDescent="0.3">
      <c r="A9787" t="s">
        <v>34</v>
      </c>
      <c r="B9787">
        <v>2023</v>
      </c>
      <c r="C9787" t="s">
        <v>35</v>
      </c>
      <c r="D9787" t="s">
        <v>14</v>
      </c>
      <c r="E9787" t="e">
        <f>VLOOKUP(Cpi_[[#This Row],[Attribute]],#REF!,2,FALSE)</f>
        <v>#REF!</v>
      </c>
      <c r="F9787">
        <v>193</v>
      </c>
      <c r="G9787" s="42">
        <f>(Cpi_[[#This Row],[Value]]-F9786)/F9786</f>
        <v>0.12013929193267549</v>
      </c>
      <c r="H9787" t="str">
        <f>LEFT(Cpi_[[#This Row],[Month]],3)</f>
        <v>Feb</v>
      </c>
      <c r="I9787" t="str">
        <f>RIGHT(Cpi_[[#This Row],[Year]],2)</f>
        <v>23</v>
      </c>
      <c r="J9787" t="str">
        <f>Cpi_[[#This Row],[Column3]]&amp;"-"&amp;Cpi_[[#This Row],[Column4]]</f>
        <v>Feb-23</v>
      </c>
    </row>
    <row r="9788" spans="1:10" x14ac:dyDescent="0.3">
      <c r="A9788" t="s">
        <v>34</v>
      </c>
      <c r="B9788">
        <v>2023</v>
      </c>
      <c r="C9788" t="s">
        <v>35</v>
      </c>
      <c r="D9788" t="s">
        <v>15</v>
      </c>
      <c r="E9788" t="e">
        <f>VLOOKUP(Cpi_[[#This Row],[Attribute]],#REF!,2,FALSE)</f>
        <v>#REF!</v>
      </c>
      <c r="F9788">
        <v>177</v>
      </c>
      <c r="G9788" s="42">
        <f>(Cpi_[[#This Row],[Value]]-F9787)/F9787</f>
        <v>-8.2901554404145081E-2</v>
      </c>
      <c r="H9788" t="str">
        <f>LEFT(Cpi_[[#This Row],[Month]],3)</f>
        <v>Feb</v>
      </c>
      <c r="I9788" t="str">
        <f>RIGHT(Cpi_[[#This Row],[Year]],2)</f>
        <v>23</v>
      </c>
      <c r="J9788" t="str">
        <f>Cpi_[[#This Row],[Column3]]&amp;"-"&amp;Cpi_[[#This Row],[Column4]]</f>
        <v>Feb-23</v>
      </c>
    </row>
    <row r="9789" spans="1:10" hidden="1" x14ac:dyDescent="0.3">
      <c r="A9789" t="s">
        <v>34</v>
      </c>
      <c r="B9789">
        <v>2023</v>
      </c>
      <c r="C9789" t="s">
        <v>35</v>
      </c>
      <c r="D9789" t="s">
        <v>16</v>
      </c>
      <c r="E9789" t="e">
        <f>VLOOKUP(Cpi_[[#This Row],[Attribute]],#REF!,2,FALSE)</f>
        <v>#REF!</v>
      </c>
      <c r="F9789">
        <v>199.5</v>
      </c>
      <c r="G9789">
        <f>(Cpi_[[#This Row],[Value]]-F9788)/F9788</f>
        <v>0.1271186440677966</v>
      </c>
      <c r="H9789" t="e" cm="1" vm="1">
        <f t="array" aca="1" ref="H9789" ca="1">VLOOKUP(Cpi_[[#This Row],[Year]:[Month]],crudeoil[],3,FALSE)</f>
        <v>#VALUE!</v>
      </c>
    </row>
    <row r="9790" spans="1:10" hidden="1" x14ac:dyDescent="0.3">
      <c r="A9790" t="s">
        <v>34</v>
      </c>
      <c r="B9790">
        <v>2023</v>
      </c>
      <c r="C9790" t="s">
        <v>35</v>
      </c>
      <c r="D9790" t="s">
        <v>17</v>
      </c>
      <c r="E9790" t="e">
        <f>VLOOKUP(Cpi_[[#This Row],[Attribute]],#REF!,2,FALSE)</f>
        <v>#REF!</v>
      </c>
      <c r="F9790">
        <v>186.2</v>
      </c>
      <c r="G9790">
        <f>(Cpi_[[#This Row],[Value]]-F9789)/F9789</f>
        <v>-6.6666666666666721E-2</v>
      </c>
      <c r="H9790" t="e" cm="1" vm="1">
        <f t="array" aca="1" ref="H9790" ca="1">VLOOKUP(Cpi_[[#This Row],[Year]:[Month]],crudeoil[],3,FALSE)</f>
        <v>#VALUE!</v>
      </c>
    </row>
    <row r="9791" spans="1:10" hidden="1" x14ac:dyDescent="0.3">
      <c r="A9791" t="s">
        <v>34</v>
      </c>
      <c r="B9791">
        <v>2023</v>
      </c>
      <c r="C9791" t="s">
        <v>35</v>
      </c>
      <c r="D9791" t="s">
        <v>18</v>
      </c>
      <c r="E9791" t="e">
        <f>VLOOKUP(Cpi_[[#This Row],[Attribute]],#REF!,2,FALSE)</f>
        <v>#REF!</v>
      </c>
      <c r="F9791">
        <v>178.7</v>
      </c>
      <c r="G9791">
        <f>(Cpi_[[#This Row],[Value]]-F9790)/F9790</f>
        <v>-4.0279269602577876E-2</v>
      </c>
      <c r="H9791" t="e" cm="1" vm="1">
        <f t="array" aca="1" ref="H9791" ca="1">VLOOKUP(Cpi_[[#This Row],[Year]:[Month]],crudeoil[],3,FALSE)</f>
        <v>#VALUE!</v>
      </c>
    </row>
    <row r="9792" spans="1:10" hidden="1" x14ac:dyDescent="0.3">
      <c r="A9792" t="s">
        <v>34</v>
      </c>
      <c r="B9792">
        <v>2023</v>
      </c>
      <c r="C9792" t="s">
        <v>35</v>
      </c>
      <c r="D9792" t="s">
        <v>19</v>
      </c>
      <c r="E9792" t="e">
        <f>VLOOKUP(Cpi_[[#This Row],[Attribute]],#REF!,2,FALSE)</f>
        <v>#REF!</v>
      </c>
      <c r="F9792">
        <v>185.1</v>
      </c>
      <c r="G9792">
        <f>(Cpi_[[#This Row],[Value]]-F9791)/F9791</f>
        <v>3.5814213766088447E-2</v>
      </c>
      <c r="H9792" t="e" cm="1" vm="1">
        <f t="array" aca="1" ref="H9792" ca="1">VLOOKUP(Cpi_[[#This Row],[Year]:[Month]],crudeoil[],3,FALSE)</f>
        <v>#VALUE!</v>
      </c>
    </row>
    <row r="9793" spans="1:8" hidden="1" x14ac:dyDescent="0.3">
      <c r="A9793" t="s">
        <v>34</v>
      </c>
      <c r="B9793">
        <v>2023</v>
      </c>
      <c r="C9793" t="s">
        <v>35</v>
      </c>
      <c r="D9793" t="s">
        <v>20</v>
      </c>
      <c r="E9793" t="e">
        <f>VLOOKUP(Cpi_[[#This Row],[Attribute]],#REF!,2,FALSE)</f>
        <v>#REF!</v>
      </c>
      <c r="F9793">
        <v>173.5</v>
      </c>
      <c r="G9793">
        <f>(Cpi_[[#This Row],[Value]]-F9792)/F9792</f>
        <v>-6.2668827660723903E-2</v>
      </c>
      <c r="H9793" t="e" cm="1" vm="1">
        <f t="array" aca="1" ref="H9793" ca="1">VLOOKUP(Cpi_[[#This Row],[Year]:[Month]],crudeoil[],3,FALSE)</f>
        <v>#VALUE!</v>
      </c>
    </row>
    <row r="9794" spans="1:8" hidden="1" x14ac:dyDescent="0.3">
      <c r="A9794" t="s">
        <v>34</v>
      </c>
      <c r="B9794">
        <v>2023</v>
      </c>
      <c r="C9794" t="s">
        <v>35</v>
      </c>
      <c r="D9794" t="s">
        <v>21</v>
      </c>
      <c r="E9794" t="e">
        <f>VLOOKUP(Cpi_[[#This Row],[Attribute]],#REF!,2,FALSE)</f>
        <v>#REF!</v>
      </c>
      <c r="F9794">
        <v>182.1</v>
      </c>
      <c r="G9794">
        <f>(Cpi_[[#This Row],[Value]]-F9793)/F9793</f>
        <v>4.9567723342939449E-2</v>
      </c>
      <c r="H9794" t="e" cm="1" vm="1">
        <f t="array" aca="1" ref="H9794" ca="1">VLOOKUP(Cpi_[[#This Row],[Year]:[Month]],crudeoil[],3,FALSE)</f>
        <v>#VALUE!</v>
      </c>
    </row>
    <row r="9795" spans="1:8" hidden="1" x14ac:dyDescent="0.3">
      <c r="A9795" t="s">
        <v>34</v>
      </c>
      <c r="B9795">
        <v>2023</v>
      </c>
      <c r="C9795" t="s">
        <v>35</v>
      </c>
      <c r="D9795" t="s">
        <v>22</v>
      </c>
      <c r="E9795" t="e">
        <f>VLOOKUP(Cpi_[[#This Row],[Attribute]],#REF!,2,FALSE)</f>
        <v>#REF!</v>
      </c>
      <c r="F9795">
        <v>174.2</v>
      </c>
      <c r="G9795">
        <f>(Cpi_[[#This Row],[Value]]-F9794)/F9794</f>
        <v>-4.338275672707307E-2</v>
      </c>
      <c r="H9795" t="e" cm="1" vm="1">
        <f t="array" aca="1" ref="H9795" ca="1">VLOOKUP(Cpi_[[#This Row],[Year]:[Month]],crudeoil[],3,FALSE)</f>
        <v>#VALUE!</v>
      </c>
    </row>
    <row r="9796" spans="1:8" hidden="1" x14ac:dyDescent="0.3">
      <c r="A9796" t="s">
        <v>34</v>
      </c>
      <c r="B9796">
        <v>2023</v>
      </c>
      <c r="C9796" t="s">
        <v>35</v>
      </c>
      <c r="D9796" t="s">
        <v>23</v>
      </c>
      <c r="E9796" t="e">
        <f>VLOOKUP(Cpi_[[#This Row],[Attribute]],#REF!,2,FALSE)</f>
        <v>#REF!</v>
      </c>
      <c r="F9796">
        <v>184.4</v>
      </c>
      <c r="G9796">
        <f>(Cpi_[[#This Row],[Value]]-F9795)/F9795</f>
        <v>5.8553386911595971E-2</v>
      </c>
      <c r="H9796" t="e" cm="1" vm="1">
        <f t="array" aca="1" ref="H9796" ca="1">VLOOKUP(Cpi_[[#This Row],[Year]:[Month]],crudeoil[],3,FALSE)</f>
        <v>#VALUE!</v>
      </c>
    </row>
    <row r="9797" spans="1:8" hidden="1" x14ac:dyDescent="0.3">
      <c r="A9797" t="s">
        <v>34</v>
      </c>
      <c r="B9797">
        <v>2023</v>
      </c>
      <c r="C9797" t="s">
        <v>35</v>
      </c>
      <c r="D9797" t="s">
        <v>24</v>
      </c>
      <c r="E9797" t="e">
        <f>VLOOKUP(Cpi_[[#This Row],[Attribute]],#REF!,2,FALSE)</f>
        <v>#REF!</v>
      </c>
      <c r="F9797">
        <v>164.2</v>
      </c>
      <c r="G9797">
        <f>(Cpi_[[#This Row],[Value]]-F9796)/F9796</f>
        <v>-0.10954446854663784</v>
      </c>
      <c r="H9797" t="e" cm="1" vm="1">
        <f t="array" aca="1" ref="H9797" ca="1">VLOOKUP(Cpi_[[#This Row],[Year]:[Month]],crudeoil[],3,FALSE)</f>
        <v>#VALUE!</v>
      </c>
    </row>
    <row r="9798" spans="1:8" hidden="1" x14ac:dyDescent="0.3">
      <c r="A9798" t="s">
        <v>34</v>
      </c>
      <c r="B9798">
        <v>2023</v>
      </c>
      <c r="C9798" t="s">
        <v>35</v>
      </c>
      <c r="D9798" t="s">
        <v>25</v>
      </c>
      <c r="E9798" t="e">
        <f>VLOOKUP(Cpi_[[#This Row],[Attribute]],#REF!,2,FALSE)</f>
        <v>#REF!</v>
      </c>
      <c r="F9798">
        <v>170.3</v>
      </c>
      <c r="G9798">
        <f>(Cpi_[[#This Row],[Value]]-F9797)/F9797</f>
        <v>3.7149817295980651E-2</v>
      </c>
      <c r="H9798" t="e" cm="1" vm="1">
        <f t="array" aca="1" ref="H9798" ca="1">VLOOKUP(Cpi_[[#This Row],[Year]:[Month]],crudeoil[],3,FALSE)</f>
        <v>#VALUE!</v>
      </c>
    </row>
    <row r="9799" spans="1:8" hidden="1" x14ac:dyDescent="0.3">
      <c r="A9799" t="s">
        <v>34</v>
      </c>
      <c r="B9799">
        <v>2023</v>
      </c>
      <c r="C9799" t="s">
        <v>35</v>
      </c>
      <c r="D9799" t="s">
        <v>26</v>
      </c>
      <c r="E9799" t="e">
        <f>VLOOKUP(Cpi_[[#This Row],[Attribute]],#REF!,2,FALSE)</f>
        <v>#REF!</v>
      </c>
      <c r="F9799">
        <v>175</v>
      </c>
      <c r="G9799">
        <f>(Cpi_[[#This Row],[Value]]-F9798)/F9798</f>
        <v>2.7598355842630585E-2</v>
      </c>
      <c r="H9799" t="e" cm="1" vm="1">
        <f t="array" aca="1" ref="H9799" ca="1">VLOOKUP(Cpi_[[#This Row],[Year]:[Month]],crudeoil[],3,FALSE)</f>
        <v>#VALUE!</v>
      </c>
    </row>
    <row r="9800" spans="1:8" hidden="1" x14ac:dyDescent="0.3">
      <c r="A9800" t="s">
        <v>34</v>
      </c>
      <c r="B9800">
        <v>2023</v>
      </c>
      <c r="C9800" t="s">
        <v>35</v>
      </c>
      <c r="D9800" t="s">
        <v>27</v>
      </c>
      <c r="E9800" t="e">
        <f>VLOOKUP(Cpi_[[#This Row],[Attribute]],#REF!,2,FALSE)</f>
        <v>#REF!</v>
      </c>
      <c r="F9800">
        <v>181</v>
      </c>
      <c r="G9800">
        <f>(Cpi_[[#This Row],[Value]]-F9799)/F9799</f>
        <v>3.4285714285714287E-2</v>
      </c>
      <c r="H9800" t="e" cm="1" vm="1">
        <f t="array" aca="1" ref="H9800" ca="1">VLOOKUP(Cpi_[[#This Row],[Year]:[Month]],crudeoil[],3,FALSE)</f>
        <v>#VALUE!</v>
      </c>
    </row>
    <row r="9801" spans="1:8" hidden="1" x14ac:dyDescent="0.3">
      <c r="A9801" t="s">
        <v>34</v>
      </c>
      <c r="B9801">
        <v>2023</v>
      </c>
      <c r="C9801" t="s">
        <v>35</v>
      </c>
      <c r="D9801" t="s">
        <v>28</v>
      </c>
      <c r="E9801" t="e">
        <f>VLOOKUP(Cpi_[[#This Row],[Attribute]],#REF!,2,FALSE)</f>
        <v>#REF!</v>
      </c>
      <c r="F9801">
        <v>174.1</v>
      </c>
      <c r="G9801">
        <f>(Cpi_[[#This Row],[Value]]-F9800)/F9800</f>
        <v>-3.8121546961325997E-2</v>
      </c>
      <c r="H9801" t="e" cm="1" vm="1">
        <f t="array" aca="1" ref="H9801" ca="1">VLOOKUP(Cpi_[[#This Row],[Year]:[Month]],crudeoil[],3,FALSE)</f>
        <v>#VALUE!</v>
      </c>
    </row>
    <row r="9802" spans="1:8" hidden="1" x14ac:dyDescent="0.3">
      <c r="A9802" t="s">
        <v>34</v>
      </c>
      <c r="B9802">
        <v>2023</v>
      </c>
      <c r="C9802" t="s">
        <v>35</v>
      </c>
      <c r="D9802" t="s">
        <v>29</v>
      </c>
      <c r="E9802" t="e" cm="1">
        <f t="array" aca="1" ref="E9802" ca="1">VLGeneral indexGeneral indexKUP(Cpi_[[#This Row],[Attribute]],#REF!,2,FALSE)</f>
        <v>#NAME?</v>
      </c>
      <c r="F9802">
        <v>177.2</v>
      </c>
      <c r="G9802">
        <f>(Cpi_[[#This Row],[Value]]-F9801)/F9801</f>
        <v>1.7805858701895431E-2</v>
      </c>
      <c r="H9802" t="e" cm="1" vm="1">
        <f t="array" aca="1" ref="H9802" ca="1">VLOOKUP(Cpi_[[#This Row],[Year]:[Month]],crudeoil[],3,FALSE)</f>
        <v>#VALUE!</v>
      </c>
    </row>
    <row r="9803" spans="1:8" hidden="1" x14ac:dyDescent="0.3">
      <c r="A9803" t="s">
        <v>30</v>
      </c>
      <c r="B9803">
        <v>2023</v>
      </c>
      <c r="C9803" t="s">
        <v>36</v>
      </c>
      <c r="D9803" t="s">
        <v>3</v>
      </c>
      <c r="E9803" t="e">
        <f>VLOOKUP(Cpi_[[#This Row],[Attribute]],#REF!,2,FALSE)</f>
        <v>#REF!</v>
      </c>
      <c r="F9803">
        <v>174.3</v>
      </c>
      <c r="G9803">
        <f>(Cpi_[[#This Row],[Value]]-F9802)/F9802</f>
        <v>-1.6365688487584521E-2</v>
      </c>
      <c r="H9803" t="e" cm="1" vm="1">
        <f t="array" aca="1" ref="H9803" ca="1">VLOOKUP(Cpi_[[#This Row],[Year]:[Month]],crudeoil[],3,FALSE)</f>
        <v>#VALUE!</v>
      </c>
    </row>
    <row r="9804" spans="1:8" hidden="1" x14ac:dyDescent="0.3">
      <c r="A9804" t="s">
        <v>30</v>
      </c>
      <c r="B9804">
        <v>2023</v>
      </c>
      <c r="C9804" t="s">
        <v>36</v>
      </c>
      <c r="D9804" t="s">
        <v>4</v>
      </c>
      <c r="E9804" t="e">
        <f>VLOOKUP(Cpi_[[#This Row],[Attribute]],#REF!,2,FALSE)</f>
        <v>#REF!</v>
      </c>
      <c r="F9804">
        <v>205.2</v>
      </c>
      <c r="G9804">
        <f>(Cpi_[[#This Row],[Value]]-F9803)/F9803</f>
        <v>0.17728055077452654</v>
      </c>
      <c r="H9804" t="e" cm="1" vm="1">
        <f t="array" aca="1" ref="H9804" ca="1">VLOOKUP(Cpi_[[#This Row],[Year]:[Month]],crudeoil[],3,FALSE)</f>
        <v>#VALUE!</v>
      </c>
    </row>
    <row r="9805" spans="1:8" hidden="1" x14ac:dyDescent="0.3">
      <c r="A9805" t="s">
        <v>30</v>
      </c>
      <c r="B9805">
        <v>2023</v>
      </c>
      <c r="C9805" t="s">
        <v>36</v>
      </c>
      <c r="D9805" t="s">
        <v>5</v>
      </c>
      <c r="E9805" t="e">
        <f>VLOOKUP(Cpi_[[#This Row],[Attribute]],#REF!,2,FALSE)</f>
        <v>#REF!</v>
      </c>
      <c r="F9805">
        <v>173.9</v>
      </c>
      <c r="G9805">
        <f>(Cpi_[[#This Row],[Value]]-F9804)/F9804</f>
        <v>-0.15253411306042877</v>
      </c>
      <c r="H9805" t="e" cm="1" vm="1">
        <f t="array" aca="1" ref="H9805" ca="1">VLOOKUP(Cpi_[[#This Row],[Year]:[Month]],crudeoil[],3,FALSE)</f>
        <v>#VALUE!</v>
      </c>
    </row>
    <row r="9806" spans="1:8" hidden="1" x14ac:dyDescent="0.3">
      <c r="A9806" t="s">
        <v>30</v>
      </c>
      <c r="B9806">
        <v>2023</v>
      </c>
      <c r="C9806" t="s">
        <v>36</v>
      </c>
      <c r="D9806" t="s">
        <v>6</v>
      </c>
      <c r="E9806" t="e">
        <f>VLOOKUP(Cpi_[[#This Row],[Attribute]],#REF!,2,FALSE)</f>
        <v>#REF!</v>
      </c>
      <c r="F9806">
        <v>177</v>
      </c>
      <c r="G9806">
        <f>(Cpi_[[#This Row],[Value]]-F9805)/F9805</f>
        <v>1.7826336975273114E-2</v>
      </c>
      <c r="H9806" t="e" cm="1" vm="1">
        <f t="array" aca="1" ref="H9806" ca="1">VLOOKUP(Cpi_[[#This Row],[Year]:[Month]],crudeoil[],3,FALSE)</f>
        <v>#VALUE!</v>
      </c>
    </row>
    <row r="9807" spans="1:8" hidden="1" x14ac:dyDescent="0.3">
      <c r="A9807" t="s">
        <v>30</v>
      </c>
      <c r="B9807">
        <v>2023</v>
      </c>
      <c r="C9807" t="s">
        <v>36</v>
      </c>
      <c r="D9807" t="s">
        <v>7</v>
      </c>
      <c r="E9807" t="e">
        <f>VLOOKUP(Cpi_[[#This Row],[Attribute]],#REF!,2,FALSE)</f>
        <v>#REF!</v>
      </c>
      <c r="F9807">
        <v>183.3</v>
      </c>
      <c r="G9807">
        <f>(Cpi_[[#This Row],[Value]]-F9806)/F9806</f>
        <v>3.5593220338983114E-2</v>
      </c>
      <c r="H9807" t="e" cm="1" vm="1">
        <f t="array" aca="1" ref="H9807" ca="1">VLOOKUP(Cpi_[[#This Row],[Year]:[Month]],crudeoil[],3,FALSE)</f>
        <v>#VALUE!</v>
      </c>
    </row>
    <row r="9808" spans="1:8" hidden="1" x14ac:dyDescent="0.3">
      <c r="A9808" t="s">
        <v>30</v>
      </c>
      <c r="B9808">
        <v>2023</v>
      </c>
      <c r="C9808" t="s">
        <v>36</v>
      </c>
      <c r="D9808" t="s">
        <v>8</v>
      </c>
      <c r="E9808" t="e">
        <f>VLOOKUP(Cpi_[[#This Row],[Attribute]],#REF!,2,FALSE)</f>
        <v>#REF!</v>
      </c>
      <c r="F9808">
        <v>167.2</v>
      </c>
      <c r="G9808">
        <f>(Cpi_[[#This Row],[Value]]-F9807)/F9807</f>
        <v>-8.7834151663939014E-2</v>
      </c>
      <c r="H9808" t="e" cm="1" vm="1">
        <f t="array" aca="1" ref="H9808" ca="1">VLOOKUP(Cpi_[[#This Row],[Year]:[Month]],crudeoil[],3,FALSE)</f>
        <v>#VALUE!</v>
      </c>
    </row>
    <row r="9809" spans="1:8" hidden="1" x14ac:dyDescent="0.3">
      <c r="A9809" t="s">
        <v>30</v>
      </c>
      <c r="B9809">
        <v>2023</v>
      </c>
      <c r="C9809" t="s">
        <v>36</v>
      </c>
      <c r="D9809" t="s">
        <v>9</v>
      </c>
      <c r="E9809" t="e">
        <f>VLOOKUP(Cpi_[[#This Row],[Attribute]],#REF!,2,FALSE)</f>
        <v>#REF!</v>
      </c>
      <c r="F9809">
        <v>140.9</v>
      </c>
      <c r="G9809">
        <f>(Cpi_[[#This Row],[Value]]-F9808)/F9808</f>
        <v>-0.15729665071770327</v>
      </c>
      <c r="H9809" t="e" cm="1" vm="1">
        <f t="array" aca="1" ref="H9809" ca="1">VLOOKUP(Cpi_[[#This Row],[Year]:[Month]],crudeoil[],3,FALSE)</f>
        <v>#VALUE!</v>
      </c>
    </row>
    <row r="9810" spans="1:8" hidden="1" x14ac:dyDescent="0.3">
      <c r="A9810" t="s">
        <v>30</v>
      </c>
      <c r="B9810">
        <v>2023</v>
      </c>
      <c r="C9810" t="s">
        <v>36</v>
      </c>
      <c r="D9810" t="s">
        <v>10</v>
      </c>
      <c r="E9810" t="e">
        <f>VLOOKUP(Cpi_[[#This Row],[Attribute]],#REF!,2,FALSE)</f>
        <v>#REF!</v>
      </c>
      <c r="F9810">
        <v>170.5</v>
      </c>
      <c r="G9810">
        <f>(Cpi_[[#This Row],[Value]]-F9809)/F9809</f>
        <v>0.21007806955287434</v>
      </c>
      <c r="H9810" t="e" cm="1" vm="1">
        <f t="array" aca="1" ref="H9810" ca="1">VLOOKUP(Cpi_[[#This Row],[Year]:[Month]],crudeoil[],3,FALSE)</f>
        <v>#VALUE!</v>
      </c>
    </row>
    <row r="9811" spans="1:8" hidden="1" x14ac:dyDescent="0.3">
      <c r="A9811" t="s">
        <v>30</v>
      </c>
      <c r="B9811">
        <v>2023</v>
      </c>
      <c r="C9811" t="s">
        <v>36</v>
      </c>
      <c r="D9811" t="s">
        <v>11</v>
      </c>
      <c r="E9811" t="e">
        <f>VLOOKUP(Cpi_[[#This Row],[Attribute]],#REF!,2,FALSE)</f>
        <v>#REF!</v>
      </c>
      <c r="F9811">
        <v>119.1</v>
      </c>
      <c r="G9811">
        <f>(Cpi_[[#This Row],[Value]]-F9810)/F9810</f>
        <v>-0.30146627565982409</v>
      </c>
      <c r="H9811" t="e" cm="1" vm="1">
        <f t="array" aca="1" ref="H9811" ca="1">VLOOKUP(Cpi_[[#This Row],[Year]:[Month]],crudeoil[],3,FALSE)</f>
        <v>#VALUE!</v>
      </c>
    </row>
    <row r="9812" spans="1:8" hidden="1" x14ac:dyDescent="0.3">
      <c r="A9812" t="s">
        <v>30</v>
      </c>
      <c r="B9812">
        <v>2023</v>
      </c>
      <c r="C9812" t="s">
        <v>36</v>
      </c>
      <c r="D9812" t="s">
        <v>12</v>
      </c>
      <c r="E9812" t="e">
        <f>VLOOKUP(Cpi_[[#This Row],[Attribute]],#REF!,2,FALSE)</f>
        <v>#REF!</v>
      </c>
      <c r="F9812">
        <v>212.1</v>
      </c>
      <c r="G9812">
        <f>(Cpi_[[#This Row],[Value]]-F9811)/F9811</f>
        <v>0.78085642317380355</v>
      </c>
      <c r="H9812" t="e" cm="1" vm="1">
        <f t="array" aca="1" ref="H9812" ca="1">VLOOKUP(Cpi_[[#This Row],[Year]:[Month]],crudeoil[],3,FALSE)</f>
        <v>#VALUE!</v>
      </c>
    </row>
    <row r="9813" spans="1:8" hidden="1" x14ac:dyDescent="0.3">
      <c r="A9813" t="s">
        <v>30</v>
      </c>
      <c r="B9813">
        <v>2023</v>
      </c>
      <c r="C9813" t="s">
        <v>36</v>
      </c>
      <c r="D9813" t="s">
        <v>13</v>
      </c>
      <c r="E9813" t="e">
        <f>VLOOKUP(Cpi_[[#This Row],[Attribute]],#REF!,2,FALSE)</f>
        <v>#REF!</v>
      </c>
      <c r="F9813">
        <v>177.6</v>
      </c>
      <c r="G9813">
        <f>(Cpi_[[#This Row],[Value]]-F9812)/F9812</f>
        <v>-0.16265912305516267</v>
      </c>
      <c r="H9813" t="e" cm="1" vm="1">
        <f t="array" aca="1" ref="H9813" ca="1">VLOOKUP(Cpi_[[#This Row],[Year]:[Month]],crudeoil[],3,FALSE)</f>
        <v>#VALUE!</v>
      </c>
    </row>
    <row r="9814" spans="1:8" hidden="1" x14ac:dyDescent="0.3">
      <c r="A9814" t="s">
        <v>30</v>
      </c>
      <c r="B9814">
        <v>2023</v>
      </c>
      <c r="C9814" t="s">
        <v>36</v>
      </c>
      <c r="D9814" t="s">
        <v>14</v>
      </c>
      <c r="E9814" t="e">
        <f>VLOOKUP(Cpi_[[#This Row],[Attribute]],#REF!,2,FALSE)</f>
        <v>#REF!</v>
      </c>
      <c r="F9814">
        <v>189.9</v>
      </c>
      <c r="G9814">
        <f>(Cpi_[[#This Row],[Value]]-F9813)/F9813</f>
        <v>6.9256756756756827E-2</v>
      </c>
      <c r="H9814" t="e" cm="1" vm="1">
        <f t="array" aca="1" ref="H9814" ca="1">VLOOKUP(Cpi_[[#This Row],[Year]:[Month]],crudeoil[],3,FALSE)</f>
        <v>#VALUE!</v>
      </c>
    </row>
    <row r="9815" spans="1:8" hidden="1" x14ac:dyDescent="0.3">
      <c r="A9815" t="s">
        <v>30</v>
      </c>
      <c r="B9815">
        <v>2023</v>
      </c>
      <c r="C9815" t="s">
        <v>36</v>
      </c>
      <c r="D9815" t="s">
        <v>15</v>
      </c>
      <c r="E9815" t="e">
        <f>VLOOKUP(Cpi_[[#This Row],[Attribute]],#REF!,2,FALSE)</f>
        <v>#REF!</v>
      </c>
      <c r="F9815">
        <v>174.8</v>
      </c>
      <c r="G9815">
        <f>(Cpi_[[#This Row],[Value]]-F9814)/F9814</f>
        <v>-7.9515534491837778E-2</v>
      </c>
      <c r="H9815" t="e" cm="1" vm="1">
        <f t="array" aca="1" ref="H9815" ca="1">VLOOKUP(Cpi_[[#This Row],[Year]:[Month]],crudeoil[],3,FALSE)</f>
        <v>#VALUE!</v>
      </c>
    </row>
    <row r="9816" spans="1:8" hidden="1" x14ac:dyDescent="0.3">
      <c r="A9816" t="s">
        <v>30</v>
      </c>
      <c r="B9816">
        <v>2023</v>
      </c>
      <c r="C9816" t="s">
        <v>36</v>
      </c>
      <c r="D9816" t="s">
        <v>16</v>
      </c>
      <c r="E9816" t="e">
        <f>VLOOKUP(Cpi_[[#This Row],[Attribute]],#REF!,2,FALSE)</f>
        <v>#REF!</v>
      </c>
      <c r="F9816">
        <v>198.4</v>
      </c>
      <c r="G9816">
        <f>(Cpi_[[#This Row],[Value]]-F9815)/F9815</f>
        <v>0.13501144164759721</v>
      </c>
      <c r="H9816" t="e" cm="1" vm="1">
        <f t="array" aca="1" ref="H9816" ca="1">VLOOKUP(Cpi_[[#This Row],[Year]:[Month]],crudeoil[],3,FALSE)</f>
        <v>#VALUE!</v>
      </c>
    </row>
    <row r="9817" spans="1:8" hidden="1" x14ac:dyDescent="0.3">
      <c r="A9817" t="s">
        <v>30</v>
      </c>
      <c r="B9817">
        <v>2023</v>
      </c>
      <c r="C9817" t="s">
        <v>36</v>
      </c>
      <c r="D9817" t="s">
        <v>17</v>
      </c>
      <c r="E9817" t="e">
        <f>VLOOKUP(Cpi_[[#This Row],[Attribute]],#REF!,2,FALSE)</f>
        <v>#REF!</v>
      </c>
      <c r="F9817">
        <v>190</v>
      </c>
      <c r="G9817">
        <f>(Cpi_[[#This Row],[Value]]-F9816)/F9816</f>
        <v>-4.233870967741938E-2</v>
      </c>
      <c r="H9817" t="e" cm="1" vm="1">
        <f t="array" aca="1" ref="H9817" ca="1">VLOOKUP(Cpi_[[#This Row],[Year]:[Month]],crudeoil[],3,FALSE)</f>
        <v>#VALUE!</v>
      </c>
    </row>
    <row r="9818" spans="1:8" hidden="1" x14ac:dyDescent="0.3">
      <c r="A9818" t="s">
        <v>30</v>
      </c>
      <c r="B9818">
        <v>2023</v>
      </c>
      <c r="C9818" t="s">
        <v>36</v>
      </c>
      <c r="D9818" t="s">
        <v>18</v>
      </c>
      <c r="E9818" t="e">
        <f>VLOOKUP(Cpi_[[#This Row],[Attribute]],#REF!,2,FALSE)</f>
        <v>#REF!</v>
      </c>
      <c r="F9818">
        <v>187</v>
      </c>
      <c r="G9818">
        <f>(Cpi_[[#This Row],[Value]]-F9817)/F9817</f>
        <v>-1.5789473684210527E-2</v>
      </c>
      <c r="H9818" t="e" cm="1" vm="1">
        <f t="array" aca="1" ref="H9818" ca="1">VLOOKUP(Cpi_[[#This Row],[Year]:[Month]],crudeoil[],3,FALSE)</f>
        <v>#VALUE!</v>
      </c>
    </row>
    <row r="9819" spans="1:8" hidden="1" x14ac:dyDescent="0.3">
      <c r="A9819" t="s">
        <v>30</v>
      </c>
      <c r="B9819">
        <v>2023</v>
      </c>
      <c r="C9819" t="s">
        <v>36</v>
      </c>
      <c r="D9819" t="s">
        <v>19</v>
      </c>
      <c r="E9819" t="e">
        <f>VLOOKUP(Cpi_[[#This Row],[Attribute]],#REF!,2,FALSE)</f>
        <v>#REF!</v>
      </c>
      <c r="F9819">
        <v>189.6</v>
      </c>
      <c r="G9819">
        <f>(Cpi_[[#This Row],[Value]]-F9818)/F9818</f>
        <v>1.3903743315507991E-2</v>
      </c>
      <c r="H9819" t="e" cm="1" vm="1">
        <f t="array" aca="1" ref="H9819" ca="1">VLOOKUP(Cpi_[[#This Row],[Year]:[Month]],crudeoil[],3,FALSE)</f>
        <v>#VALUE!</v>
      </c>
    </row>
    <row r="9820" spans="1:8" hidden="1" x14ac:dyDescent="0.3">
      <c r="A9820" t="s">
        <v>30</v>
      </c>
      <c r="B9820">
        <v>2023</v>
      </c>
      <c r="C9820" t="s">
        <v>36</v>
      </c>
      <c r="D9820" t="s">
        <v>20</v>
      </c>
      <c r="E9820" t="e">
        <f>VLOOKUP(Cpi_[[#This Row],[Attribute]],#REF!,2,FALSE)</f>
        <v>#REF!</v>
      </c>
      <c r="F9820" t="s">
        <v>32</v>
      </c>
      <c r="G9820" t="e">
        <f>(Cpi_[[#This Row],[Value]]-F9819)/F9819</f>
        <v>#VALUE!</v>
      </c>
      <c r="H9820" t="e" cm="1" vm="1">
        <f t="array" aca="1" ref="H9820" ca="1">VLOOKUP(Cpi_[[#This Row],[Year]:[Month]],crudeoil[],3,FALSE)</f>
        <v>#VALUE!</v>
      </c>
    </row>
    <row r="9821" spans="1:8" hidden="1" x14ac:dyDescent="0.3">
      <c r="A9821" t="s">
        <v>30</v>
      </c>
      <c r="B9821">
        <v>2023</v>
      </c>
      <c r="C9821" t="s">
        <v>36</v>
      </c>
      <c r="D9821" t="s">
        <v>21</v>
      </c>
      <c r="E9821" t="e">
        <f>VLOOKUP(Cpi_[[#This Row],[Attribute]],#REF!,2,FALSE)</f>
        <v>#REF!</v>
      </c>
      <c r="F9821">
        <v>181.4</v>
      </c>
      <c r="G9821" t="e">
        <f>(Cpi_[[#This Row],[Value]]-F9820)/F9820</f>
        <v>#VALUE!</v>
      </c>
      <c r="H9821" t="e" cm="1" vm="1">
        <f t="array" aca="1" ref="H9821" ca="1">VLOOKUP(Cpi_[[#This Row],[Year]:[Month]],crudeoil[],3,FALSE)</f>
        <v>#VALUE!</v>
      </c>
    </row>
    <row r="9822" spans="1:8" hidden="1" x14ac:dyDescent="0.3">
      <c r="A9822" t="s">
        <v>30</v>
      </c>
      <c r="B9822">
        <v>2023</v>
      </c>
      <c r="C9822" t="s">
        <v>36</v>
      </c>
      <c r="D9822" t="s">
        <v>22</v>
      </c>
      <c r="E9822" t="e">
        <f>VLOOKUP(Cpi_[[#This Row],[Attribute]],#REF!,2,FALSE)</f>
        <v>#REF!</v>
      </c>
      <c r="F9822">
        <v>178.6</v>
      </c>
      <c r="G9822">
        <f>(Cpi_[[#This Row],[Value]]-F9821)/F9821</f>
        <v>-1.543550165380381E-2</v>
      </c>
      <c r="H9822" t="e" cm="1" vm="1">
        <f t="array" aca="1" ref="H9822" ca="1">VLOOKUP(Cpi_[[#This Row],[Year]:[Month]],crudeoil[],3,FALSE)</f>
        <v>#VALUE!</v>
      </c>
    </row>
    <row r="9823" spans="1:8" hidden="1" x14ac:dyDescent="0.3">
      <c r="A9823" t="s">
        <v>30</v>
      </c>
      <c r="B9823">
        <v>2023</v>
      </c>
      <c r="C9823" t="s">
        <v>36</v>
      </c>
      <c r="D9823" t="s">
        <v>23</v>
      </c>
      <c r="E9823" t="e">
        <f>VLOOKUP(Cpi_[[#This Row],[Attribute]],#REF!,2,FALSE)</f>
        <v>#REF!</v>
      </c>
      <c r="F9823">
        <v>186.6</v>
      </c>
      <c r="G9823">
        <f>(Cpi_[[#This Row],[Value]]-F9822)/F9822</f>
        <v>4.4792833146696527E-2</v>
      </c>
      <c r="H9823" t="e" cm="1" vm="1">
        <f t="array" aca="1" ref="H9823" ca="1">VLOOKUP(Cpi_[[#This Row],[Year]:[Month]],crudeoil[],3,FALSE)</f>
        <v>#VALUE!</v>
      </c>
    </row>
    <row r="9824" spans="1:8" hidden="1" x14ac:dyDescent="0.3">
      <c r="A9824" t="s">
        <v>30</v>
      </c>
      <c r="B9824">
        <v>2023</v>
      </c>
      <c r="C9824" t="s">
        <v>36</v>
      </c>
      <c r="D9824" t="s">
        <v>24</v>
      </c>
      <c r="E9824" t="e">
        <f>VLOOKUP(Cpi_[[#This Row],[Attribute]],#REF!,2,FALSE)</f>
        <v>#REF!</v>
      </c>
      <c r="F9824">
        <v>169</v>
      </c>
      <c r="G9824">
        <f>(Cpi_[[#This Row],[Value]]-F9823)/F9823</f>
        <v>-9.4319399785637706E-2</v>
      </c>
      <c r="H9824" t="e" cm="1" vm="1">
        <f t="array" aca="1" ref="H9824" ca="1">VLOOKUP(Cpi_[[#This Row],[Year]:[Month]],crudeoil[],3,FALSE)</f>
        <v>#VALUE!</v>
      </c>
    </row>
    <row r="9825" spans="1:8" hidden="1" x14ac:dyDescent="0.3">
      <c r="A9825" t="s">
        <v>30</v>
      </c>
      <c r="B9825">
        <v>2023</v>
      </c>
      <c r="C9825" t="s">
        <v>36</v>
      </c>
      <c r="D9825" t="s">
        <v>25</v>
      </c>
      <c r="E9825" t="e">
        <f>VLOOKUP(Cpi_[[#This Row],[Attribute]],#REF!,2,FALSE)</f>
        <v>#REF!</v>
      </c>
      <c r="F9825">
        <v>172.8</v>
      </c>
      <c r="G9825">
        <f>(Cpi_[[#This Row],[Value]]-F9824)/F9824</f>
        <v>2.2485207100591782E-2</v>
      </c>
      <c r="H9825" t="e" cm="1" vm="1">
        <f t="array" aca="1" ref="H9825" ca="1">VLOOKUP(Cpi_[[#This Row],[Year]:[Month]],crudeoil[],3,FALSE)</f>
        <v>#VALUE!</v>
      </c>
    </row>
    <row r="9826" spans="1:8" hidden="1" x14ac:dyDescent="0.3">
      <c r="A9826" t="s">
        <v>30</v>
      </c>
      <c r="B9826">
        <v>2023</v>
      </c>
      <c r="C9826" t="s">
        <v>36</v>
      </c>
      <c r="D9826" t="s">
        <v>26</v>
      </c>
      <c r="E9826" t="e">
        <f>VLOOKUP(Cpi_[[#This Row],[Attribute]],#REF!,2,FALSE)</f>
        <v>#REF!</v>
      </c>
      <c r="F9826">
        <v>178.5</v>
      </c>
      <c r="G9826">
        <f>(Cpi_[[#This Row],[Value]]-F9825)/F9825</f>
        <v>3.2986111111111042E-2</v>
      </c>
      <c r="H9826" t="e" cm="1" vm="1">
        <f t="array" aca="1" ref="H9826" ca="1">VLOOKUP(Cpi_[[#This Row],[Year]:[Month]],crudeoil[],3,FALSE)</f>
        <v>#VALUE!</v>
      </c>
    </row>
    <row r="9827" spans="1:8" hidden="1" x14ac:dyDescent="0.3">
      <c r="A9827" t="s">
        <v>30</v>
      </c>
      <c r="B9827">
        <v>2023</v>
      </c>
      <c r="C9827" t="s">
        <v>36</v>
      </c>
      <c r="D9827" t="s">
        <v>27</v>
      </c>
      <c r="E9827" t="e">
        <f>VLOOKUP(Cpi_[[#This Row],[Attribute]],#REF!,2,FALSE)</f>
        <v>#REF!</v>
      </c>
      <c r="F9827">
        <v>180.7</v>
      </c>
      <c r="G9827">
        <f>(Cpi_[[#This Row],[Value]]-F9826)/F9826</f>
        <v>1.2324929971988733E-2</v>
      </c>
      <c r="H9827" t="e" cm="1" vm="1">
        <f t="array" aca="1" ref="H9827" ca="1">VLOOKUP(Cpi_[[#This Row],[Year]:[Month]],crudeoil[],3,FALSE)</f>
        <v>#VALUE!</v>
      </c>
    </row>
    <row r="9828" spans="1:8" hidden="1" x14ac:dyDescent="0.3">
      <c r="A9828" t="s">
        <v>30</v>
      </c>
      <c r="B9828">
        <v>2023</v>
      </c>
      <c r="C9828" t="s">
        <v>36</v>
      </c>
      <c r="D9828" t="s">
        <v>28</v>
      </c>
      <c r="E9828" t="e">
        <f>VLOOKUP(Cpi_[[#This Row],[Attribute]],#REF!,2,FALSE)</f>
        <v>#REF!</v>
      </c>
      <c r="F9828">
        <v>177.9</v>
      </c>
      <c r="G9828">
        <f>(Cpi_[[#This Row],[Value]]-F9827)/F9827</f>
        <v>-1.5495296070835546E-2</v>
      </c>
      <c r="H9828" t="e" cm="1" vm="1">
        <f t="array" aca="1" ref="H9828" ca="1">VLOOKUP(Cpi_[[#This Row],[Year]:[Month]],crudeoil[],3,FALSE)</f>
        <v>#VALUE!</v>
      </c>
    </row>
    <row r="9829" spans="1:8" hidden="1" x14ac:dyDescent="0.3">
      <c r="A9829" t="s">
        <v>30</v>
      </c>
      <c r="B9829">
        <v>2023</v>
      </c>
      <c r="C9829" t="s">
        <v>36</v>
      </c>
      <c r="D9829" t="s">
        <v>29</v>
      </c>
      <c r="E9829" t="e" cm="1">
        <f t="array" aca="1" ref="E9829" ca="1">VLGeneral indexGeneral indexKUP(Cpi_[[#This Row],[Attribute]],#REF!,2,FALSE)</f>
        <v>#NAME?</v>
      </c>
      <c r="F9829">
        <v>178</v>
      </c>
      <c r="G9829">
        <f>(Cpi_[[#This Row],[Value]]-F9828)/F9828</f>
        <v>5.6211354693644919E-4</v>
      </c>
      <c r="H9829" t="e" cm="1" vm="1">
        <f t="array" aca="1" ref="H9829" ca="1">VLOOKUP(Cpi_[[#This Row],[Year]:[Month]],crudeoil[],3,FALSE)</f>
        <v>#VALUE!</v>
      </c>
    </row>
    <row r="9830" spans="1:8" hidden="1" x14ac:dyDescent="0.3">
      <c r="A9830" t="s">
        <v>33</v>
      </c>
      <c r="B9830">
        <v>2023</v>
      </c>
      <c r="C9830" t="s">
        <v>36</v>
      </c>
      <c r="D9830" t="s">
        <v>3</v>
      </c>
      <c r="E9830" t="e">
        <f>VLOOKUP(Cpi_[[#This Row],[Attribute]],#REF!,2,FALSE)</f>
        <v>#REF!</v>
      </c>
      <c r="F9830">
        <v>174.7</v>
      </c>
      <c r="G9830">
        <f>(Cpi_[[#This Row],[Value]]-F9829)/F9829</f>
        <v>-1.8539325842696693E-2</v>
      </c>
      <c r="H9830" t="e" cm="1" vm="1">
        <f t="array" aca="1" ref="H9830" ca="1">VLOOKUP(Cpi_[[#This Row],[Year]:[Month]],crudeoil[],3,FALSE)</f>
        <v>#VALUE!</v>
      </c>
    </row>
    <row r="9831" spans="1:8" hidden="1" x14ac:dyDescent="0.3">
      <c r="A9831" t="s">
        <v>33</v>
      </c>
      <c r="B9831">
        <v>2023</v>
      </c>
      <c r="C9831" t="s">
        <v>36</v>
      </c>
      <c r="D9831" t="s">
        <v>4</v>
      </c>
      <c r="E9831" t="e">
        <f>VLOOKUP(Cpi_[[#This Row],[Attribute]],#REF!,2,FALSE)</f>
        <v>#REF!</v>
      </c>
      <c r="F9831">
        <v>212.2</v>
      </c>
      <c r="G9831">
        <f>(Cpi_[[#This Row],[Value]]-F9830)/F9830</f>
        <v>0.21465369204350315</v>
      </c>
      <c r="H9831" t="e" cm="1" vm="1">
        <f t="array" aca="1" ref="H9831" ca="1">VLOOKUP(Cpi_[[#This Row],[Year]:[Month]],crudeoil[],3,FALSE)</f>
        <v>#VALUE!</v>
      </c>
    </row>
    <row r="9832" spans="1:8" hidden="1" x14ac:dyDescent="0.3">
      <c r="A9832" t="s">
        <v>33</v>
      </c>
      <c r="B9832">
        <v>2023</v>
      </c>
      <c r="C9832" t="s">
        <v>36</v>
      </c>
      <c r="D9832" t="s">
        <v>5</v>
      </c>
      <c r="E9832" t="e">
        <f>VLOOKUP(Cpi_[[#This Row],[Attribute]],#REF!,2,FALSE)</f>
        <v>#REF!</v>
      </c>
      <c r="F9832">
        <v>177.2</v>
      </c>
      <c r="G9832">
        <f>(Cpi_[[#This Row],[Value]]-F9831)/F9831</f>
        <v>-0.16493873704052781</v>
      </c>
      <c r="H9832" t="e" cm="1" vm="1">
        <f t="array" aca="1" ref="H9832" ca="1">VLOOKUP(Cpi_[[#This Row],[Year]:[Month]],crudeoil[],3,FALSE)</f>
        <v>#VALUE!</v>
      </c>
    </row>
    <row r="9833" spans="1:8" hidden="1" x14ac:dyDescent="0.3">
      <c r="A9833" t="s">
        <v>33</v>
      </c>
      <c r="B9833">
        <v>2023</v>
      </c>
      <c r="C9833" t="s">
        <v>36</v>
      </c>
      <c r="D9833" t="s">
        <v>6</v>
      </c>
      <c r="E9833" t="e">
        <f>VLOOKUP(Cpi_[[#This Row],[Attribute]],#REF!,2,FALSE)</f>
        <v>#REF!</v>
      </c>
      <c r="F9833">
        <v>177.9</v>
      </c>
      <c r="G9833">
        <f>(Cpi_[[#This Row],[Value]]-F9832)/F9832</f>
        <v>3.9503386004515638E-3</v>
      </c>
      <c r="H9833" t="e" cm="1" vm="1">
        <f t="array" aca="1" ref="H9833" ca="1">VLOOKUP(Cpi_[[#This Row],[Year]:[Month]],crudeoil[],3,FALSE)</f>
        <v>#VALUE!</v>
      </c>
    </row>
    <row r="9834" spans="1:8" hidden="1" x14ac:dyDescent="0.3">
      <c r="A9834" t="s">
        <v>33</v>
      </c>
      <c r="B9834">
        <v>2023</v>
      </c>
      <c r="C9834" t="s">
        <v>36</v>
      </c>
      <c r="D9834" t="s">
        <v>7</v>
      </c>
      <c r="E9834" t="e">
        <f>VLOOKUP(Cpi_[[#This Row],[Attribute]],#REF!,2,FALSE)</f>
        <v>#REF!</v>
      </c>
      <c r="F9834">
        <v>172.2</v>
      </c>
      <c r="G9834">
        <f>(Cpi_[[#This Row],[Value]]-F9833)/F9833</f>
        <v>-3.2040472175379524E-2</v>
      </c>
      <c r="H9834" t="e" cm="1" vm="1">
        <f t="array" aca="1" ref="H9834" ca="1">VLOOKUP(Cpi_[[#This Row],[Year]:[Month]],crudeoil[],3,FALSE)</f>
        <v>#VALUE!</v>
      </c>
    </row>
    <row r="9835" spans="1:8" hidden="1" x14ac:dyDescent="0.3">
      <c r="A9835" t="s">
        <v>33</v>
      </c>
      <c r="B9835">
        <v>2023</v>
      </c>
      <c r="C9835" t="s">
        <v>36</v>
      </c>
      <c r="D9835" t="s">
        <v>8</v>
      </c>
      <c r="E9835" t="e">
        <f>VLOOKUP(Cpi_[[#This Row],[Attribute]],#REF!,2,FALSE)</f>
        <v>#REF!</v>
      </c>
      <c r="F9835">
        <v>172.1</v>
      </c>
      <c r="G9835">
        <f>(Cpi_[[#This Row],[Value]]-F9834)/F9834</f>
        <v>-5.8072009291518191E-4</v>
      </c>
      <c r="H9835" t="e" cm="1" vm="1">
        <f t="array" aca="1" ref="H9835" ca="1">VLOOKUP(Cpi_[[#This Row],[Year]:[Month]],crudeoil[],3,FALSE)</f>
        <v>#VALUE!</v>
      </c>
    </row>
    <row r="9836" spans="1:8" hidden="1" x14ac:dyDescent="0.3">
      <c r="A9836" t="s">
        <v>33</v>
      </c>
      <c r="B9836">
        <v>2023</v>
      </c>
      <c r="C9836" t="s">
        <v>36</v>
      </c>
      <c r="D9836" t="s">
        <v>9</v>
      </c>
      <c r="E9836" t="e">
        <f>VLOOKUP(Cpi_[[#This Row],[Attribute]],#REF!,2,FALSE)</f>
        <v>#REF!</v>
      </c>
      <c r="F9836">
        <v>175.9</v>
      </c>
      <c r="G9836">
        <f>(Cpi_[[#This Row],[Value]]-F9835)/F9835</f>
        <v>2.2080185938407968E-2</v>
      </c>
      <c r="H9836" t="e" cm="1" vm="1">
        <f t="array" aca="1" ref="H9836" ca="1">VLOOKUP(Cpi_[[#This Row],[Year]:[Month]],crudeoil[],3,FALSE)</f>
        <v>#VALUE!</v>
      </c>
    </row>
    <row r="9837" spans="1:8" hidden="1" x14ac:dyDescent="0.3">
      <c r="A9837" t="s">
        <v>33</v>
      </c>
      <c r="B9837">
        <v>2023</v>
      </c>
      <c r="C9837" t="s">
        <v>36</v>
      </c>
      <c r="D9837" t="s">
        <v>10</v>
      </c>
      <c r="E9837" t="e">
        <f>VLOOKUP(Cpi_[[#This Row],[Attribute]],#REF!,2,FALSE)</f>
        <v>#REF!</v>
      </c>
      <c r="F9837">
        <v>172.2</v>
      </c>
      <c r="G9837">
        <f>(Cpi_[[#This Row],[Value]]-F9836)/F9836</f>
        <v>-2.1034678794769852E-2</v>
      </c>
      <c r="H9837" t="e" cm="1" vm="1">
        <f t="array" aca="1" ref="H9837" ca="1">VLOOKUP(Cpi_[[#This Row],[Year]:[Month]],crudeoil[],3,FALSE)</f>
        <v>#VALUE!</v>
      </c>
    </row>
    <row r="9838" spans="1:8" hidden="1" x14ac:dyDescent="0.3">
      <c r="A9838" t="s">
        <v>33</v>
      </c>
      <c r="B9838">
        <v>2023</v>
      </c>
      <c r="C9838" t="s">
        <v>36</v>
      </c>
      <c r="D9838" t="s">
        <v>11</v>
      </c>
      <c r="E9838" t="e">
        <f>VLOOKUP(Cpi_[[#This Row],[Attribute]],#REF!,2,FALSE)</f>
        <v>#REF!</v>
      </c>
      <c r="F9838">
        <v>121.9</v>
      </c>
      <c r="G9838">
        <f>(Cpi_[[#This Row],[Value]]-F9837)/F9837</f>
        <v>-0.29210220673635301</v>
      </c>
      <c r="H9838" t="e" cm="1" vm="1">
        <f t="array" aca="1" ref="H9838" ca="1">VLOOKUP(Cpi_[[#This Row],[Year]:[Month]],crudeoil[],3,FALSE)</f>
        <v>#VALUE!</v>
      </c>
    </row>
    <row r="9839" spans="1:8" hidden="1" x14ac:dyDescent="0.3">
      <c r="A9839" t="s">
        <v>33</v>
      </c>
      <c r="B9839">
        <v>2023</v>
      </c>
      <c r="C9839" t="s">
        <v>36</v>
      </c>
      <c r="D9839" t="s">
        <v>12</v>
      </c>
      <c r="E9839" t="e">
        <f>VLOOKUP(Cpi_[[#This Row],[Attribute]],#REF!,2,FALSE)</f>
        <v>#REF!</v>
      </c>
      <c r="F9839">
        <v>204.8</v>
      </c>
      <c r="G9839">
        <f>(Cpi_[[#This Row],[Value]]-F9838)/F9838</f>
        <v>0.68006562756357669</v>
      </c>
      <c r="H9839" t="e" cm="1" vm="1">
        <f t="array" aca="1" ref="H9839" ca="1">VLOOKUP(Cpi_[[#This Row],[Year]:[Month]],crudeoil[],3,FALSE)</f>
        <v>#VALUE!</v>
      </c>
    </row>
    <row r="9840" spans="1:8" hidden="1" x14ac:dyDescent="0.3">
      <c r="A9840" t="s">
        <v>33</v>
      </c>
      <c r="B9840">
        <v>2023</v>
      </c>
      <c r="C9840" t="s">
        <v>36</v>
      </c>
      <c r="D9840" t="s">
        <v>13</v>
      </c>
      <c r="E9840" t="e">
        <f>VLOOKUP(Cpi_[[#This Row],[Attribute]],#REF!,2,FALSE)</f>
        <v>#REF!</v>
      </c>
      <c r="F9840">
        <v>164.9</v>
      </c>
      <c r="G9840">
        <f>(Cpi_[[#This Row],[Value]]-F9839)/F9839</f>
        <v>-0.19482421875000003</v>
      </c>
      <c r="H9840" t="e" cm="1" vm="1">
        <f t="array" aca="1" ref="H9840" ca="1">VLOOKUP(Cpi_[[#This Row],[Year]:[Month]],crudeoil[],3,FALSE)</f>
        <v>#VALUE!</v>
      </c>
    </row>
    <row r="9841" spans="1:8" hidden="1" x14ac:dyDescent="0.3">
      <c r="A9841" t="s">
        <v>33</v>
      </c>
      <c r="B9841">
        <v>2023</v>
      </c>
      <c r="C9841" t="s">
        <v>36</v>
      </c>
      <c r="D9841" t="s">
        <v>14</v>
      </c>
      <c r="E9841" t="e">
        <f>VLOOKUP(Cpi_[[#This Row],[Attribute]],#REF!,2,FALSE)</f>
        <v>#REF!</v>
      </c>
      <c r="F9841">
        <v>196.6</v>
      </c>
      <c r="G9841">
        <f>(Cpi_[[#This Row],[Value]]-F9840)/F9840</f>
        <v>0.19223771983020005</v>
      </c>
      <c r="H9841" t="e" cm="1" vm="1">
        <f t="array" aca="1" ref="H9841" ca="1">VLOOKUP(Cpi_[[#This Row],[Year]:[Month]],crudeoil[],3,FALSE)</f>
        <v>#VALUE!</v>
      </c>
    </row>
    <row r="9842" spans="1:8" hidden="1" x14ac:dyDescent="0.3">
      <c r="A9842" t="s">
        <v>33</v>
      </c>
      <c r="B9842">
        <v>2023</v>
      </c>
      <c r="C9842" t="s">
        <v>36</v>
      </c>
      <c r="D9842" t="s">
        <v>15</v>
      </c>
      <c r="E9842" t="e">
        <f>VLOOKUP(Cpi_[[#This Row],[Attribute]],#REF!,2,FALSE)</f>
        <v>#REF!</v>
      </c>
      <c r="F9842">
        <v>180.8</v>
      </c>
      <c r="G9842">
        <f>(Cpi_[[#This Row],[Value]]-F9841)/F9841</f>
        <v>-8.0366225839267461E-2</v>
      </c>
      <c r="H9842" t="e" cm="1" vm="1">
        <f t="array" aca="1" ref="H9842" ca="1">VLOOKUP(Cpi_[[#This Row],[Year]:[Month]],crudeoil[],3,FALSE)</f>
        <v>#VALUE!</v>
      </c>
    </row>
    <row r="9843" spans="1:8" hidden="1" x14ac:dyDescent="0.3">
      <c r="A9843" t="s">
        <v>33</v>
      </c>
      <c r="B9843">
        <v>2023</v>
      </c>
      <c r="C9843" t="s">
        <v>36</v>
      </c>
      <c r="D9843" t="s">
        <v>16</v>
      </c>
      <c r="E9843" t="e">
        <f>VLOOKUP(Cpi_[[#This Row],[Attribute]],#REF!,2,FALSE)</f>
        <v>#REF!</v>
      </c>
      <c r="F9843">
        <v>202.7</v>
      </c>
      <c r="G9843">
        <f>(Cpi_[[#This Row],[Value]]-F9842)/F9842</f>
        <v>0.12112831858407067</v>
      </c>
      <c r="H9843" t="e" cm="1" vm="1">
        <f t="array" aca="1" ref="H9843" ca="1">VLOOKUP(Cpi_[[#This Row],[Year]:[Month]],crudeoil[],3,FALSE)</f>
        <v>#VALUE!</v>
      </c>
    </row>
    <row r="9844" spans="1:8" hidden="1" x14ac:dyDescent="0.3">
      <c r="A9844" t="s">
        <v>33</v>
      </c>
      <c r="B9844">
        <v>2023</v>
      </c>
      <c r="C9844" t="s">
        <v>36</v>
      </c>
      <c r="D9844" t="s">
        <v>17</v>
      </c>
      <c r="E9844" t="e">
        <f>VLOOKUP(Cpi_[[#This Row],[Attribute]],#REF!,2,FALSE)</f>
        <v>#REF!</v>
      </c>
      <c r="F9844">
        <v>180.2</v>
      </c>
      <c r="G9844">
        <f>(Cpi_[[#This Row],[Value]]-F9843)/F9843</f>
        <v>-0.1110014800197336</v>
      </c>
      <c r="H9844" t="e" cm="1" vm="1">
        <f t="array" aca="1" ref="H9844" ca="1">VLOOKUP(Cpi_[[#This Row],[Year]:[Month]],crudeoil[],3,FALSE)</f>
        <v>#VALUE!</v>
      </c>
    </row>
    <row r="9845" spans="1:8" hidden="1" x14ac:dyDescent="0.3">
      <c r="A9845" t="s">
        <v>33</v>
      </c>
      <c r="B9845">
        <v>2023</v>
      </c>
      <c r="C9845" t="s">
        <v>36</v>
      </c>
      <c r="D9845" t="s">
        <v>18</v>
      </c>
      <c r="E9845" t="e">
        <f>VLOOKUP(Cpi_[[#This Row],[Attribute]],#REF!,2,FALSE)</f>
        <v>#REF!</v>
      </c>
      <c r="F9845">
        <v>167</v>
      </c>
      <c r="G9845">
        <f>(Cpi_[[#This Row],[Value]]-F9844)/F9844</f>
        <v>-7.3251942286348445E-2</v>
      </c>
      <c r="H9845" t="e" cm="1" vm="1">
        <f t="array" aca="1" ref="H9845" ca="1">VLOOKUP(Cpi_[[#This Row],[Year]:[Month]],crudeoil[],3,FALSE)</f>
        <v>#VALUE!</v>
      </c>
    </row>
    <row r="9846" spans="1:8" hidden="1" x14ac:dyDescent="0.3">
      <c r="A9846" t="s">
        <v>33</v>
      </c>
      <c r="B9846">
        <v>2023</v>
      </c>
      <c r="C9846" t="s">
        <v>36</v>
      </c>
      <c r="D9846" t="s">
        <v>19</v>
      </c>
      <c r="E9846" t="e">
        <f>VLOOKUP(Cpi_[[#This Row],[Attribute]],#REF!,2,FALSE)</f>
        <v>#REF!</v>
      </c>
      <c r="F9846">
        <v>178.2</v>
      </c>
      <c r="G9846">
        <f>(Cpi_[[#This Row],[Value]]-F9845)/F9845</f>
        <v>6.706586826347298E-2</v>
      </c>
      <c r="H9846" t="e" cm="1" vm="1">
        <f t="array" aca="1" ref="H9846" ca="1">VLOOKUP(Cpi_[[#This Row],[Year]:[Month]],crudeoil[],3,FALSE)</f>
        <v>#VALUE!</v>
      </c>
    </row>
    <row r="9847" spans="1:8" hidden="1" x14ac:dyDescent="0.3">
      <c r="A9847" t="s">
        <v>33</v>
      </c>
      <c r="B9847">
        <v>2023</v>
      </c>
      <c r="C9847" t="s">
        <v>36</v>
      </c>
      <c r="D9847" t="s">
        <v>20</v>
      </c>
      <c r="E9847" t="e">
        <f>VLOOKUP(Cpi_[[#This Row],[Attribute]],#REF!,2,FALSE)</f>
        <v>#REF!</v>
      </c>
      <c r="F9847">
        <v>173.5</v>
      </c>
      <c r="G9847">
        <f>(Cpi_[[#This Row],[Value]]-F9846)/F9846</f>
        <v>-2.637485970819298E-2</v>
      </c>
      <c r="H9847" t="e" cm="1" vm="1">
        <f t="array" aca="1" ref="H9847" ca="1">VLOOKUP(Cpi_[[#This Row],[Year]:[Month]],crudeoil[],3,FALSE)</f>
        <v>#VALUE!</v>
      </c>
    </row>
    <row r="9848" spans="1:8" hidden="1" x14ac:dyDescent="0.3">
      <c r="A9848" t="s">
        <v>33</v>
      </c>
      <c r="B9848">
        <v>2023</v>
      </c>
      <c r="C9848" t="s">
        <v>36</v>
      </c>
      <c r="D9848" t="s">
        <v>21</v>
      </c>
      <c r="E9848" t="e">
        <f>VLOOKUP(Cpi_[[#This Row],[Attribute]],#REF!,2,FALSE)</f>
        <v>#REF!</v>
      </c>
      <c r="F9848">
        <v>182.6</v>
      </c>
      <c r="G9848">
        <f>(Cpi_[[#This Row],[Value]]-F9847)/F9847</f>
        <v>5.2449567723342909E-2</v>
      </c>
      <c r="H9848" t="e" cm="1" vm="1">
        <f t="array" aca="1" ref="H9848" ca="1">VLOOKUP(Cpi_[[#This Row],[Year]:[Month]],crudeoil[],3,FALSE)</f>
        <v>#VALUE!</v>
      </c>
    </row>
    <row r="9849" spans="1:8" hidden="1" x14ac:dyDescent="0.3">
      <c r="A9849" t="s">
        <v>33</v>
      </c>
      <c r="B9849">
        <v>2023</v>
      </c>
      <c r="C9849" t="s">
        <v>36</v>
      </c>
      <c r="D9849" t="s">
        <v>22</v>
      </c>
      <c r="E9849" t="e">
        <f>VLOOKUP(Cpi_[[#This Row],[Attribute]],#REF!,2,FALSE)</f>
        <v>#REF!</v>
      </c>
      <c r="F9849">
        <v>169.2</v>
      </c>
      <c r="G9849">
        <f>(Cpi_[[#This Row],[Value]]-F9848)/F9848</f>
        <v>-7.3384446878422813E-2</v>
      </c>
      <c r="H9849" t="e" cm="1" vm="1">
        <f t="array" aca="1" ref="H9849" ca="1">VLOOKUP(Cpi_[[#This Row],[Year]:[Month]],crudeoil[],3,FALSE)</f>
        <v>#VALUE!</v>
      </c>
    </row>
    <row r="9850" spans="1:8" hidden="1" x14ac:dyDescent="0.3">
      <c r="A9850" t="s">
        <v>33</v>
      </c>
      <c r="B9850">
        <v>2023</v>
      </c>
      <c r="C9850" t="s">
        <v>36</v>
      </c>
      <c r="D9850" t="s">
        <v>23</v>
      </c>
      <c r="E9850" t="e">
        <f>VLOOKUP(Cpi_[[#This Row],[Attribute]],#REF!,2,FALSE)</f>
        <v>#REF!</v>
      </c>
      <c r="F9850">
        <v>180.8</v>
      </c>
      <c r="G9850">
        <f>(Cpi_[[#This Row],[Value]]-F9849)/F9849</f>
        <v>6.855791962174955E-2</v>
      </c>
      <c r="H9850" t="e" cm="1" vm="1">
        <f t="array" aca="1" ref="H9850" ca="1">VLOOKUP(Cpi_[[#This Row],[Year]:[Month]],crudeoil[],3,FALSE)</f>
        <v>#VALUE!</v>
      </c>
    </row>
    <row r="9851" spans="1:8" hidden="1" x14ac:dyDescent="0.3">
      <c r="A9851" t="s">
        <v>33</v>
      </c>
      <c r="B9851">
        <v>2023</v>
      </c>
      <c r="C9851" t="s">
        <v>36</v>
      </c>
      <c r="D9851" t="s">
        <v>24</v>
      </c>
      <c r="E9851" t="e">
        <f>VLOOKUP(Cpi_[[#This Row],[Attribute]],#REF!,2,FALSE)</f>
        <v>#REF!</v>
      </c>
      <c r="F9851">
        <v>159.80000000000001</v>
      </c>
      <c r="G9851">
        <f>(Cpi_[[#This Row],[Value]]-F9850)/F9850</f>
        <v>-0.11615044247787609</v>
      </c>
      <c r="H9851" t="e" cm="1" vm="1">
        <f t="array" aca="1" ref="H9851" ca="1">VLOOKUP(Cpi_[[#This Row],[Year]:[Month]],crudeoil[],3,FALSE)</f>
        <v>#VALUE!</v>
      </c>
    </row>
    <row r="9852" spans="1:8" hidden="1" x14ac:dyDescent="0.3">
      <c r="A9852" t="s">
        <v>33</v>
      </c>
      <c r="B9852">
        <v>2023</v>
      </c>
      <c r="C9852" t="s">
        <v>36</v>
      </c>
      <c r="D9852" t="s">
        <v>25</v>
      </c>
      <c r="E9852" t="e">
        <f>VLOOKUP(Cpi_[[#This Row],[Attribute]],#REF!,2,FALSE)</f>
        <v>#REF!</v>
      </c>
      <c r="F9852">
        <v>168.4</v>
      </c>
      <c r="G9852">
        <f>(Cpi_[[#This Row],[Value]]-F9851)/F9851</f>
        <v>5.381727158948682E-2</v>
      </c>
      <c r="H9852" t="e" cm="1" vm="1">
        <f t="array" aca="1" ref="H9852" ca="1">VLOOKUP(Cpi_[[#This Row],[Year]:[Month]],crudeoil[],3,FALSE)</f>
        <v>#VALUE!</v>
      </c>
    </row>
    <row r="9853" spans="1:8" hidden="1" x14ac:dyDescent="0.3">
      <c r="A9853" t="s">
        <v>33</v>
      </c>
      <c r="B9853">
        <v>2023</v>
      </c>
      <c r="C9853" t="s">
        <v>36</v>
      </c>
      <c r="D9853" t="s">
        <v>26</v>
      </c>
      <c r="E9853" t="e">
        <f>VLOOKUP(Cpi_[[#This Row],[Attribute]],#REF!,2,FALSE)</f>
        <v>#REF!</v>
      </c>
      <c r="F9853">
        <v>172.5</v>
      </c>
      <c r="G9853">
        <f>(Cpi_[[#This Row],[Value]]-F9852)/F9852</f>
        <v>2.4346793349168613E-2</v>
      </c>
      <c r="H9853" t="e" cm="1" vm="1">
        <f t="array" aca="1" ref="H9853" ca="1">VLOOKUP(Cpi_[[#This Row],[Year]:[Month]],crudeoil[],3,FALSE)</f>
        <v>#VALUE!</v>
      </c>
    </row>
    <row r="9854" spans="1:8" hidden="1" x14ac:dyDescent="0.3">
      <c r="A9854" t="s">
        <v>33</v>
      </c>
      <c r="B9854">
        <v>2023</v>
      </c>
      <c r="C9854" t="s">
        <v>36</v>
      </c>
      <c r="D9854" t="s">
        <v>27</v>
      </c>
      <c r="E9854" t="e">
        <f>VLOOKUP(Cpi_[[#This Row],[Attribute]],#REF!,2,FALSE)</f>
        <v>#REF!</v>
      </c>
      <c r="F9854">
        <v>181.5</v>
      </c>
      <c r="G9854">
        <f>(Cpi_[[#This Row],[Value]]-F9853)/F9853</f>
        <v>5.2173913043478258E-2</v>
      </c>
      <c r="H9854" t="e" cm="1" vm="1">
        <f t="array" aca="1" ref="H9854" ca="1">VLOOKUP(Cpi_[[#This Row],[Year]:[Month]],crudeoil[],3,FALSE)</f>
        <v>#VALUE!</v>
      </c>
    </row>
    <row r="9855" spans="1:8" hidden="1" x14ac:dyDescent="0.3">
      <c r="A9855" t="s">
        <v>33</v>
      </c>
      <c r="B9855">
        <v>2023</v>
      </c>
      <c r="C9855" t="s">
        <v>36</v>
      </c>
      <c r="D9855" t="s">
        <v>28</v>
      </c>
      <c r="E9855" t="e">
        <f>VLOOKUP(Cpi_[[#This Row],[Attribute]],#REF!,2,FALSE)</f>
        <v>#REF!</v>
      </c>
      <c r="F9855">
        <v>170</v>
      </c>
      <c r="G9855">
        <f>(Cpi_[[#This Row],[Value]]-F9854)/F9854</f>
        <v>-6.3360881542699726E-2</v>
      </c>
      <c r="H9855" t="e" cm="1" vm="1">
        <f t="array" aca="1" ref="H9855" ca="1">VLOOKUP(Cpi_[[#This Row],[Year]:[Month]],crudeoil[],3,FALSE)</f>
        <v>#VALUE!</v>
      </c>
    </row>
    <row r="9856" spans="1:8" hidden="1" x14ac:dyDescent="0.3">
      <c r="A9856" t="s">
        <v>33</v>
      </c>
      <c r="B9856">
        <v>2023</v>
      </c>
      <c r="C9856" t="s">
        <v>36</v>
      </c>
      <c r="D9856" t="s">
        <v>29</v>
      </c>
      <c r="E9856" t="e" cm="1">
        <f t="array" aca="1" ref="E9856" ca="1">VLGeneral indexGeneral indexKUP(Cpi_[[#This Row],[Attribute]],#REF!,2,FALSE)</f>
        <v>#NAME?</v>
      </c>
      <c r="F9856">
        <v>176.3</v>
      </c>
      <c r="G9856">
        <f>(Cpi_[[#This Row],[Value]]-F9855)/F9855</f>
        <v>3.7058823529411831E-2</v>
      </c>
      <c r="H9856" t="e" cm="1" vm="1">
        <f t="array" aca="1" ref="H9856" ca="1">VLOOKUP(Cpi_[[#This Row],[Year]:[Month]],crudeoil[],3,FALSE)</f>
        <v>#VALUE!</v>
      </c>
    </row>
    <row r="9857" spans="1:10" hidden="1" x14ac:dyDescent="0.3">
      <c r="A9857" t="s">
        <v>34</v>
      </c>
      <c r="B9857">
        <v>2023</v>
      </c>
      <c r="C9857" t="s">
        <v>36</v>
      </c>
      <c r="D9857" t="s">
        <v>3</v>
      </c>
      <c r="E9857" t="e">
        <f>VLOOKUP(Cpi_[[#This Row],[Attribute]],#REF!,2,FALSE)</f>
        <v>#REF!</v>
      </c>
      <c r="F9857">
        <v>174.4</v>
      </c>
      <c r="G9857">
        <f>(Cpi_[[#This Row],[Value]]-F9856)/F9856</f>
        <v>-1.0777084515031229E-2</v>
      </c>
      <c r="H9857" t="e" cm="1" vm="1">
        <f t="array" aca="1" ref="H9857" ca="1">VLOOKUP(Cpi_[[#This Row],[Year]:[Month]],crudeoil[],3,FALSE)</f>
        <v>#VALUE!</v>
      </c>
    </row>
    <row r="9858" spans="1:10" x14ac:dyDescent="0.3">
      <c r="A9858" t="s">
        <v>34</v>
      </c>
      <c r="B9858">
        <v>2023</v>
      </c>
      <c r="C9858" t="s">
        <v>36</v>
      </c>
      <c r="D9858" t="s">
        <v>4</v>
      </c>
      <c r="E9858" t="e">
        <f>VLOOKUP(Cpi_[[#This Row],[Attribute]],#REF!,2,FALSE)</f>
        <v>#REF!</v>
      </c>
      <c r="F9858">
        <v>207.7</v>
      </c>
      <c r="G9858" s="42">
        <f>(Cpi_[[#This Row],[Value]]-F9857)/F9857</f>
        <v>0.19094036697247696</v>
      </c>
      <c r="H9858" t="str">
        <f>LEFT(Cpi_[[#This Row],[Month]],3)</f>
        <v>Mar</v>
      </c>
      <c r="I9858" t="str">
        <f>RIGHT(Cpi_[[#This Row],[Year]],2)</f>
        <v>23</v>
      </c>
      <c r="J9858" t="str">
        <f>Cpi_[[#This Row],[Column3]]&amp;"-"&amp;Cpi_[[#This Row],[Column4]]</f>
        <v>Mar-23</v>
      </c>
    </row>
    <row r="9859" spans="1:10" x14ac:dyDescent="0.3">
      <c r="A9859" t="s">
        <v>34</v>
      </c>
      <c r="B9859">
        <v>2023</v>
      </c>
      <c r="C9859" t="s">
        <v>36</v>
      </c>
      <c r="D9859" t="s">
        <v>5</v>
      </c>
      <c r="E9859" t="e">
        <f>VLOOKUP(Cpi_[[#This Row],[Attribute]],#REF!,2,FALSE)</f>
        <v>#REF!</v>
      </c>
      <c r="F9859">
        <v>175.2</v>
      </c>
      <c r="G9859" s="42">
        <f>(Cpi_[[#This Row],[Value]]-F9858)/F9858</f>
        <v>-0.15647568608570053</v>
      </c>
      <c r="H9859" t="str">
        <f>LEFT(Cpi_[[#This Row],[Month]],3)</f>
        <v>Mar</v>
      </c>
      <c r="I9859" t="str">
        <f>RIGHT(Cpi_[[#This Row],[Year]],2)</f>
        <v>23</v>
      </c>
      <c r="J9859" t="str">
        <f>Cpi_[[#This Row],[Column3]]&amp;"-"&amp;Cpi_[[#This Row],[Column4]]</f>
        <v>Mar-23</v>
      </c>
    </row>
    <row r="9860" spans="1:10" x14ac:dyDescent="0.3">
      <c r="A9860" t="s">
        <v>34</v>
      </c>
      <c r="B9860">
        <v>2023</v>
      </c>
      <c r="C9860" t="s">
        <v>36</v>
      </c>
      <c r="D9860" t="s">
        <v>6</v>
      </c>
      <c r="E9860" t="e">
        <f>VLOOKUP(Cpi_[[#This Row],[Attribute]],#REF!,2,FALSE)</f>
        <v>#REF!</v>
      </c>
      <c r="F9860">
        <v>177.3</v>
      </c>
      <c r="G9860" s="42">
        <f>(Cpi_[[#This Row],[Value]]-F9859)/F9859</f>
        <v>1.1986301369863145E-2</v>
      </c>
      <c r="H9860" t="str">
        <f>LEFT(Cpi_[[#This Row],[Month]],3)</f>
        <v>Mar</v>
      </c>
      <c r="I9860" t="str">
        <f>RIGHT(Cpi_[[#This Row],[Year]],2)</f>
        <v>23</v>
      </c>
      <c r="J9860" t="str">
        <f>Cpi_[[#This Row],[Column3]]&amp;"-"&amp;Cpi_[[#This Row],[Column4]]</f>
        <v>Mar-23</v>
      </c>
    </row>
    <row r="9861" spans="1:10" x14ac:dyDescent="0.3">
      <c r="A9861" t="s">
        <v>34</v>
      </c>
      <c r="B9861">
        <v>2023</v>
      </c>
      <c r="C9861" t="s">
        <v>36</v>
      </c>
      <c r="D9861" t="s">
        <v>7</v>
      </c>
      <c r="E9861" t="e">
        <f>VLOOKUP(Cpi_[[#This Row],[Attribute]],#REF!,2,FALSE)</f>
        <v>#REF!</v>
      </c>
      <c r="F9861">
        <v>179.2</v>
      </c>
      <c r="G9861" s="42">
        <f>(Cpi_[[#This Row],[Value]]-F9860)/F9860</f>
        <v>1.0716300056401451E-2</v>
      </c>
      <c r="H9861" t="str">
        <f>LEFT(Cpi_[[#This Row],[Month]],3)</f>
        <v>Mar</v>
      </c>
      <c r="I9861" t="str">
        <f>RIGHT(Cpi_[[#This Row],[Year]],2)</f>
        <v>23</v>
      </c>
      <c r="J9861" t="str">
        <f>Cpi_[[#This Row],[Column3]]&amp;"-"&amp;Cpi_[[#This Row],[Column4]]</f>
        <v>Mar-23</v>
      </c>
    </row>
    <row r="9862" spans="1:10" x14ac:dyDescent="0.3">
      <c r="A9862" t="s">
        <v>34</v>
      </c>
      <c r="B9862">
        <v>2023</v>
      </c>
      <c r="C9862" t="s">
        <v>36</v>
      </c>
      <c r="D9862" t="s">
        <v>8</v>
      </c>
      <c r="E9862" t="e">
        <f>VLOOKUP(Cpi_[[#This Row],[Attribute]],#REF!,2,FALSE)</f>
        <v>#REF!</v>
      </c>
      <c r="F9862">
        <v>169.5</v>
      </c>
      <c r="G9862" s="42">
        <f>(Cpi_[[#This Row],[Value]]-F9861)/F9861</f>
        <v>-5.4129464285714225E-2</v>
      </c>
      <c r="H9862" t="str">
        <f>LEFT(Cpi_[[#This Row],[Month]],3)</f>
        <v>Mar</v>
      </c>
      <c r="I9862" t="str">
        <f>RIGHT(Cpi_[[#This Row],[Year]],2)</f>
        <v>23</v>
      </c>
      <c r="J9862" t="str">
        <f>Cpi_[[#This Row],[Column3]]&amp;"-"&amp;Cpi_[[#This Row],[Column4]]</f>
        <v>Mar-23</v>
      </c>
    </row>
    <row r="9863" spans="1:10" x14ac:dyDescent="0.3">
      <c r="A9863" t="s">
        <v>34</v>
      </c>
      <c r="B9863">
        <v>2023</v>
      </c>
      <c r="C9863" t="s">
        <v>36</v>
      </c>
      <c r="D9863" t="s">
        <v>9</v>
      </c>
      <c r="E9863" t="e">
        <f>VLOOKUP(Cpi_[[#This Row],[Attribute]],#REF!,2,FALSE)</f>
        <v>#REF!</v>
      </c>
      <c r="F9863">
        <v>152.80000000000001</v>
      </c>
      <c r="G9863" s="42">
        <f>(Cpi_[[#This Row],[Value]]-F9862)/F9862</f>
        <v>-9.8525073746312614E-2</v>
      </c>
      <c r="H9863" t="str">
        <f>LEFT(Cpi_[[#This Row],[Month]],3)</f>
        <v>Mar</v>
      </c>
      <c r="I9863" t="str">
        <f>RIGHT(Cpi_[[#This Row],[Year]],2)</f>
        <v>23</v>
      </c>
      <c r="J9863" t="str">
        <f>Cpi_[[#This Row],[Column3]]&amp;"-"&amp;Cpi_[[#This Row],[Column4]]</f>
        <v>Mar-23</v>
      </c>
    </row>
    <row r="9864" spans="1:10" x14ac:dyDescent="0.3">
      <c r="A9864" t="s">
        <v>34</v>
      </c>
      <c r="B9864">
        <v>2023</v>
      </c>
      <c r="C9864" t="s">
        <v>36</v>
      </c>
      <c r="D9864" t="s">
        <v>10</v>
      </c>
      <c r="E9864" t="e">
        <f>VLOOKUP(Cpi_[[#This Row],[Attribute]],#REF!,2,FALSE)</f>
        <v>#REF!</v>
      </c>
      <c r="F9864">
        <v>171.1</v>
      </c>
      <c r="G9864" s="42">
        <f>(Cpi_[[#This Row],[Value]]-F9863)/F9863</f>
        <v>0.11976439790575905</v>
      </c>
      <c r="H9864" t="str">
        <f>LEFT(Cpi_[[#This Row],[Month]],3)</f>
        <v>Mar</v>
      </c>
      <c r="I9864" t="str">
        <f>RIGHT(Cpi_[[#This Row],[Year]],2)</f>
        <v>23</v>
      </c>
      <c r="J9864" t="str">
        <f>Cpi_[[#This Row],[Column3]]&amp;"-"&amp;Cpi_[[#This Row],[Column4]]</f>
        <v>Mar-23</v>
      </c>
    </row>
    <row r="9865" spans="1:10" x14ac:dyDescent="0.3">
      <c r="A9865" t="s">
        <v>34</v>
      </c>
      <c r="B9865">
        <v>2023</v>
      </c>
      <c r="C9865" t="s">
        <v>36</v>
      </c>
      <c r="D9865" t="s">
        <v>11</v>
      </c>
      <c r="E9865" t="e">
        <f>VLOOKUP(Cpi_[[#This Row],[Attribute]],#REF!,2,FALSE)</f>
        <v>#REF!</v>
      </c>
      <c r="F9865">
        <v>120</v>
      </c>
      <c r="G9865" s="42">
        <f>(Cpi_[[#This Row],[Value]]-F9864)/F9864</f>
        <v>-0.29865575686732904</v>
      </c>
      <c r="H9865" t="str">
        <f>LEFT(Cpi_[[#This Row],[Month]],3)</f>
        <v>Mar</v>
      </c>
      <c r="I9865" t="str">
        <f>RIGHT(Cpi_[[#This Row],[Year]],2)</f>
        <v>23</v>
      </c>
      <c r="J9865" t="str">
        <f>Cpi_[[#This Row],[Column3]]&amp;"-"&amp;Cpi_[[#This Row],[Column4]]</f>
        <v>Mar-23</v>
      </c>
    </row>
    <row r="9866" spans="1:10" x14ac:dyDescent="0.3">
      <c r="A9866" t="s">
        <v>34</v>
      </c>
      <c r="B9866">
        <v>2023</v>
      </c>
      <c r="C9866" t="s">
        <v>36</v>
      </c>
      <c r="D9866" t="s">
        <v>12</v>
      </c>
      <c r="E9866" t="e">
        <f>VLOOKUP(Cpi_[[#This Row],[Attribute]],#REF!,2,FALSE)</f>
        <v>#REF!</v>
      </c>
      <c r="F9866">
        <v>209.7</v>
      </c>
      <c r="G9866" s="42">
        <f>(Cpi_[[#This Row],[Value]]-F9865)/F9865</f>
        <v>0.74749999999999994</v>
      </c>
      <c r="H9866" t="str">
        <f>LEFT(Cpi_[[#This Row],[Month]],3)</f>
        <v>Mar</v>
      </c>
      <c r="I9866" t="str">
        <f>RIGHT(Cpi_[[#This Row],[Year]],2)</f>
        <v>23</v>
      </c>
      <c r="J9866" t="str">
        <f>Cpi_[[#This Row],[Column3]]&amp;"-"&amp;Cpi_[[#This Row],[Column4]]</f>
        <v>Mar-23</v>
      </c>
    </row>
    <row r="9867" spans="1:10" x14ac:dyDescent="0.3">
      <c r="A9867" t="s">
        <v>34</v>
      </c>
      <c r="B9867">
        <v>2023</v>
      </c>
      <c r="C9867" t="s">
        <v>36</v>
      </c>
      <c r="D9867" t="s">
        <v>13</v>
      </c>
      <c r="E9867" t="e">
        <f>VLOOKUP(Cpi_[[#This Row],[Attribute]],#REF!,2,FALSE)</f>
        <v>#REF!</v>
      </c>
      <c r="F9867">
        <v>172.3</v>
      </c>
      <c r="G9867" s="42">
        <f>(Cpi_[[#This Row],[Value]]-F9866)/F9866</f>
        <v>-0.17835002384358598</v>
      </c>
      <c r="H9867" t="str">
        <f>LEFT(Cpi_[[#This Row],[Month]],3)</f>
        <v>Mar</v>
      </c>
      <c r="I9867" t="str">
        <f>RIGHT(Cpi_[[#This Row],[Year]],2)</f>
        <v>23</v>
      </c>
      <c r="J9867" t="str">
        <f>Cpi_[[#This Row],[Column3]]&amp;"-"&amp;Cpi_[[#This Row],[Column4]]</f>
        <v>Mar-23</v>
      </c>
    </row>
    <row r="9868" spans="1:10" x14ac:dyDescent="0.3">
      <c r="A9868" t="s">
        <v>34</v>
      </c>
      <c r="B9868">
        <v>2023</v>
      </c>
      <c r="C9868" t="s">
        <v>36</v>
      </c>
      <c r="D9868" t="s">
        <v>14</v>
      </c>
      <c r="E9868" t="e">
        <f>VLOOKUP(Cpi_[[#This Row],[Attribute]],#REF!,2,FALSE)</f>
        <v>#REF!</v>
      </c>
      <c r="F9868">
        <v>193</v>
      </c>
      <c r="G9868" s="42">
        <f>(Cpi_[[#This Row],[Value]]-F9867)/F9867</f>
        <v>0.12013929193267549</v>
      </c>
      <c r="H9868" t="str">
        <f>LEFT(Cpi_[[#This Row],[Month]],3)</f>
        <v>Mar</v>
      </c>
      <c r="I9868" t="str">
        <f>RIGHT(Cpi_[[#This Row],[Year]],2)</f>
        <v>23</v>
      </c>
      <c r="J9868" t="str">
        <f>Cpi_[[#This Row],[Column3]]&amp;"-"&amp;Cpi_[[#This Row],[Column4]]</f>
        <v>Mar-23</v>
      </c>
    </row>
    <row r="9869" spans="1:10" x14ac:dyDescent="0.3">
      <c r="A9869" t="s">
        <v>34</v>
      </c>
      <c r="B9869">
        <v>2023</v>
      </c>
      <c r="C9869" t="s">
        <v>36</v>
      </c>
      <c r="D9869" t="s">
        <v>15</v>
      </c>
      <c r="E9869" t="e">
        <f>VLOOKUP(Cpi_[[#This Row],[Attribute]],#REF!,2,FALSE)</f>
        <v>#REF!</v>
      </c>
      <c r="F9869">
        <v>177</v>
      </c>
      <c r="G9869" s="42">
        <f>(Cpi_[[#This Row],[Value]]-F9868)/F9868</f>
        <v>-8.2901554404145081E-2</v>
      </c>
      <c r="H9869" t="str">
        <f>LEFT(Cpi_[[#This Row],[Month]],3)</f>
        <v>Mar</v>
      </c>
      <c r="I9869" t="str">
        <f>RIGHT(Cpi_[[#This Row],[Year]],2)</f>
        <v>23</v>
      </c>
      <c r="J9869" t="str">
        <f>Cpi_[[#This Row],[Column3]]&amp;"-"&amp;Cpi_[[#This Row],[Column4]]</f>
        <v>Mar-23</v>
      </c>
    </row>
    <row r="9870" spans="1:10" hidden="1" x14ac:dyDescent="0.3">
      <c r="A9870" t="s">
        <v>34</v>
      </c>
      <c r="B9870">
        <v>2023</v>
      </c>
      <c r="C9870" t="s">
        <v>36</v>
      </c>
      <c r="D9870" t="s">
        <v>16</v>
      </c>
      <c r="E9870" t="e">
        <f>VLOOKUP(Cpi_[[#This Row],[Attribute]],#REF!,2,FALSE)</f>
        <v>#REF!</v>
      </c>
      <c r="F9870">
        <v>199.5</v>
      </c>
      <c r="G9870">
        <f>(Cpi_[[#This Row],[Value]]-F9869)/F9869</f>
        <v>0.1271186440677966</v>
      </c>
      <c r="H9870" t="e" cm="1" vm="1">
        <f t="array" aca="1" ref="H9870" ca="1">VLOOKUP(Cpi_[[#This Row],[Year]:[Month]],crudeoil[],3,FALSE)</f>
        <v>#VALUE!</v>
      </c>
    </row>
    <row r="9871" spans="1:10" hidden="1" x14ac:dyDescent="0.3">
      <c r="A9871" t="s">
        <v>34</v>
      </c>
      <c r="B9871">
        <v>2023</v>
      </c>
      <c r="C9871" t="s">
        <v>36</v>
      </c>
      <c r="D9871" t="s">
        <v>17</v>
      </c>
      <c r="E9871" t="e">
        <f>VLOOKUP(Cpi_[[#This Row],[Attribute]],#REF!,2,FALSE)</f>
        <v>#REF!</v>
      </c>
      <c r="F9871">
        <v>186.1</v>
      </c>
      <c r="G9871">
        <f>(Cpi_[[#This Row],[Value]]-F9870)/F9870</f>
        <v>-6.7167919799498779E-2</v>
      </c>
      <c r="H9871" t="e" cm="1" vm="1">
        <f t="array" aca="1" ref="H9871" ca="1">VLOOKUP(Cpi_[[#This Row],[Year]:[Month]],crudeoil[],3,FALSE)</f>
        <v>#VALUE!</v>
      </c>
    </row>
    <row r="9872" spans="1:10" hidden="1" x14ac:dyDescent="0.3">
      <c r="A9872" t="s">
        <v>34</v>
      </c>
      <c r="B9872">
        <v>2023</v>
      </c>
      <c r="C9872" t="s">
        <v>36</v>
      </c>
      <c r="D9872" t="s">
        <v>18</v>
      </c>
      <c r="E9872" t="e">
        <f>VLOOKUP(Cpi_[[#This Row],[Attribute]],#REF!,2,FALSE)</f>
        <v>#REF!</v>
      </c>
      <c r="F9872">
        <v>178.7</v>
      </c>
      <c r="G9872">
        <f>(Cpi_[[#This Row],[Value]]-F9871)/F9871</f>
        <v>-3.976356797420745E-2</v>
      </c>
      <c r="H9872" t="e" cm="1" vm="1">
        <f t="array" aca="1" ref="H9872" ca="1">VLOOKUP(Cpi_[[#This Row],[Year]:[Month]],crudeoil[],3,FALSE)</f>
        <v>#VALUE!</v>
      </c>
    </row>
    <row r="9873" spans="1:8" hidden="1" x14ac:dyDescent="0.3">
      <c r="A9873" t="s">
        <v>34</v>
      </c>
      <c r="B9873">
        <v>2023</v>
      </c>
      <c r="C9873" t="s">
        <v>36</v>
      </c>
      <c r="D9873" t="s">
        <v>19</v>
      </c>
      <c r="E9873" t="e">
        <f>VLOOKUP(Cpi_[[#This Row],[Attribute]],#REF!,2,FALSE)</f>
        <v>#REF!</v>
      </c>
      <c r="F9873">
        <v>185.1</v>
      </c>
      <c r="G9873">
        <f>(Cpi_[[#This Row],[Value]]-F9872)/F9872</f>
        <v>3.5814213766088447E-2</v>
      </c>
      <c r="H9873" t="e" cm="1" vm="1">
        <f t="array" aca="1" ref="H9873" ca="1">VLOOKUP(Cpi_[[#This Row],[Year]:[Month]],crudeoil[],3,FALSE)</f>
        <v>#VALUE!</v>
      </c>
    </row>
    <row r="9874" spans="1:8" hidden="1" x14ac:dyDescent="0.3">
      <c r="A9874" t="s">
        <v>34</v>
      </c>
      <c r="B9874">
        <v>2023</v>
      </c>
      <c r="C9874" t="s">
        <v>36</v>
      </c>
      <c r="D9874" t="s">
        <v>20</v>
      </c>
      <c r="E9874" t="e">
        <f>VLOOKUP(Cpi_[[#This Row],[Attribute]],#REF!,2,FALSE)</f>
        <v>#REF!</v>
      </c>
      <c r="F9874">
        <v>173.5</v>
      </c>
      <c r="G9874">
        <f>(Cpi_[[#This Row],[Value]]-F9873)/F9873</f>
        <v>-6.2668827660723903E-2</v>
      </c>
      <c r="H9874" t="e" cm="1" vm="1">
        <f t="array" aca="1" ref="H9874" ca="1">VLOOKUP(Cpi_[[#This Row],[Year]:[Month]],crudeoil[],3,FALSE)</f>
        <v>#VALUE!</v>
      </c>
    </row>
    <row r="9875" spans="1:8" hidden="1" x14ac:dyDescent="0.3">
      <c r="A9875" t="s">
        <v>34</v>
      </c>
      <c r="B9875">
        <v>2023</v>
      </c>
      <c r="C9875" t="s">
        <v>36</v>
      </c>
      <c r="D9875" t="s">
        <v>21</v>
      </c>
      <c r="E9875" t="e">
        <f>VLOOKUP(Cpi_[[#This Row],[Attribute]],#REF!,2,FALSE)</f>
        <v>#REF!</v>
      </c>
      <c r="F9875">
        <v>181.9</v>
      </c>
      <c r="G9875">
        <f>(Cpi_[[#This Row],[Value]]-F9874)/F9874</f>
        <v>4.8414985590778128E-2</v>
      </c>
      <c r="H9875" t="e" cm="1" vm="1">
        <f t="array" aca="1" ref="H9875" ca="1">VLOOKUP(Cpi_[[#This Row],[Year]:[Month]],crudeoil[],3,FALSE)</f>
        <v>#VALUE!</v>
      </c>
    </row>
    <row r="9876" spans="1:8" hidden="1" x14ac:dyDescent="0.3">
      <c r="A9876" t="s">
        <v>34</v>
      </c>
      <c r="B9876">
        <v>2023</v>
      </c>
      <c r="C9876" t="s">
        <v>36</v>
      </c>
      <c r="D9876" t="s">
        <v>22</v>
      </c>
      <c r="E9876" t="e">
        <f>VLOOKUP(Cpi_[[#This Row],[Attribute]],#REF!,2,FALSE)</f>
        <v>#REF!</v>
      </c>
      <c r="F9876">
        <v>174.2</v>
      </c>
      <c r="G9876">
        <f>(Cpi_[[#This Row],[Value]]-F9875)/F9875</f>
        <v>-4.2330951072017682E-2</v>
      </c>
      <c r="H9876" t="e" cm="1" vm="1">
        <f t="array" aca="1" ref="H9876" ca="1">VLOOKUP(Cpi_[[#This Row],[Year]:[Month]],crudeoil[],3,FALSE)</f>
        <v>#VALUE!</v>
      </c>
    </row>
    <row r="9877" spans="1:8" hidden="1" x14ac:dyDescent="0.3">
      <c r="A9877" t="s">
        <v>34</v>
      </c>
      <c r="B9877">
        <v>2023</v>
      </c>
      <c r="C9877" t="s">
        <v>36</v>
      </c>
      <c r="D9877" t="s">
        <v>23</v>
      </c>
      <c r="E9877" t="e">
        <f>VLOOKUP(Cpi_[[#This Row],[Attribute]],#REF!,2,FALSE)</f>
        <v>#REF!</v>
      </c>
      <c r="F9877">
        <v>184.4</v>
      </c>
      <c r="G9877">
        <f>(Cpi_[[#This Row],[Value]]-F9876)/F9876</f>
        <v>5.8553386911595971E-2</v>
      </c>
      <c r="H9877" t="e" cm="1" vm="1">
        <f t="array" aca="1" ref="H9877" ca="1">VLOOKUP(Cpi_[[#This Row],[Year]:[Month]],crudeoil[],3,FALSE)</f>
        <v>#VALUE!</v>
      </c>
    </row>
    <row r="9878" spans="1:8" hidden="1" x14ac:dyDescent="0.3">
      <c r="A9878" t="s">
        <v>34</v>
      </c>
      <c r="B9878">
        <v>2023</v>
      </c>
      <c r="C9878" t="s">
        <v>36</v>
      </c>
      <c r="D9878" t="s">
        <v>24</v>
      </c>
      <c r="E9878" t="e">
        <f>VLOOKUP(Cpi_[[#This Row],[Attribute]],#REF!,2,FALSE)</f>
        <v>#REF!</v>
      </c>
      <c r="F9878">
        <v>164.2</v>
      </c>
      <c r="G9878">
        <f>(Cpi_[[#This Row],[Value]]-F9877)/F9877</f>
        <v>-0.10954446854663784</v>
      </c>
      <c r="H9878" t="e" cm="1" vm="1">
        <f t="array" aca="1" ref="H9878" ca="1">VLOOKUP(Cpi_[[#This Row],[Year]:[Month]],crudeoil[],3,FALSE)</f>
        <v>#VALUE!</v>
      </c>
    </row>
    <row r="9879" spans="1:8" hidden="1" x14ac:dyDescent="0.3">
      <c r="A9879" t="s">
        <v>34</v>
      </c>
      <c r="B9879">
        <v>2023</v>
      </c>
      <c r="C9879" t="s">
        <v>36</v>
      </c>
      <c r="D9879" t="s">
        <v>25</v>
      </c>
      <c r="E9879" t="e">
        <f>VLOOKUP(Cpi_[[#This Row],[Attribute]],#REF!,2,FALSE)</f>
        <v>#REF!</v>
      </c>
      <c r="F9879">
        <v>170.3</v>
      </c>
      <c r="G9879">
        <f>(Cpi_[[#This Row],[Value]]-F9878)/F9878</f>
        <v>3.7149817295980651E-2</v>
      </c>
      <c r="H9879" t="e" cm="1" vm="1">
        <f t="array" aca="1" ref="H9879" ca="1">VLOOKUP(Cpi_[[#This Row],[Year]:[Month]],crudeoil[],3,FALSE)</f>
        <v>#VALUE!</v>
      </c>
    </row>
    <row r="9880" spans="1:8" hidden="1" x14ac:dyDescent="0.3">
      <c r="A9880" t="s">
        <v>34</v>
      </c>
      <c r="B9880">
        <v>2023</v>
      </c>
      <c r="C9880" t="s">
        <v>36</v>
      </c>
      <c r="D9880" t="s">
        <v>26</v>
      </c>
      <c r="E9880" t="e">
        <f>VLOOKUP(Cpi_[[#This Row],[Attribute]],#REF!,2,FALSE)</f>
        <v>#REF!</v>
      </c>
      <c r="F9880">
        <v>175</v>
      </c>
      <c r="G9880">
        <f>(Cpi_[[#This Row],[Value]]-F9879)/F9879</f>
        <v>2.7598355842630585E-2</v>
      </c>
      <c r="H9880" t="e" cm="1" vm="1">
        <f t="array" aca="1" ref="H9880" ca="1">VLOOKUP(Cpi_[[#This Row],[Year]:[Month]],crudeoil[],3,FALSE)</f>
        <v>#VALUE!</v>
      </c>
    </row>
    <row r="9881" spans="1:8" hidden="1" x14ac:dyDescent="0.3">
      <c r="A9881" t="s">
        <v>34</v>
      </c>
      <c r="B9881">
        <v>2023</v>
      </c>
      <c r="C9881" t="s">
        <v>36</v>
      </c>
      <c r="D9881" t="s">
        <v>27</v>
      </c>
      <c r="E9881" t="e">
        <f>VLOOKUP(Cpi_[[#This Row],[Attribute]],#REF!,2,FALSE)</f>
        <v>#REF!</v>
      </c>
      <c r="F9881">
        <v>181</v>
      </c>
      <c r="G9881">
        <f>(Cpi_[[#This Row],[Value]]-F9880)/F9880</f>
        <v>3.4285714285714287E-2</v>
      </c>
      <c r="H9881" t="e" cm="1" vm="1">
        <f t="array" aca="1" ref="H9881" ca="1">VLOOKUP(Cpi_[[#This Row],[Year]:[Month]],crudeoil[],3,FALSE)</f>
        <v>#VALUE!</v>
      </c>
    </row>
    <row r="9882" spans="1:8" hidden="1" x14ac:dyDescent="0.3">
      <c r="A9882" t="s">
        <v>34</v>
      </c>
      <c r="B9882">
        <v>2023</v>
      </c>
      <c r="C9882" t="s">
        <v>36</v>
      </c>
      <c r="D9882" t="s">
        <v>28</v>
      </c>
      <c r="E9882" t="e">
        <f>VLOOKUP(Cpi_[[#This Row],[Attribute]],#REF!,2,FALSE)</f>
        <v>#REF!</v>
      </c>
      <c r="F9882">
        <v>174.1</v>
      </c>
      <c r="G9882">
        <f>(Cpi_[[#This Row],[Value]]-F9881)/F9881</f>
        <v>-3.8121546961325997E-2</v>
      </c>
      <c r="H9882" t="e" cm="1" vm="1">
        <f t="array" aca="1" ref="H9882" ca="1">VLOOKUP(Cpi_[[#This Row],[Year]:[Month]],crudeoil[],3,FALSE)</f>
        <v>#VALUE!</v>
      </c>
    </row>
    <row r="9883" spans="1:8" hidden="1" x14ac:dyDescent="0.3">
      <c r="A9883" t="s">
        <v>34</v>
      </c>
      <c r="B9883">
        <v>2023</v>
      </c>
      <c r="C9883" t="s">
        <v>36</v>
      </c>
      <c r="D9883" t="s">
        <v>29</v>
      </c>
      <c r="E9883" t="e" cm="1">
        <f t="array" aca="1" ref="E9883" ca="1">VLGeneral indexGeneral indexKUP(Cpi_[[#This Row],[Attribute]],#REF!,2,FALSE)</f>
        <v>#NAME?</v>
      </c>
      <c r="F9883">
        <v>177.2</v>
      </c>
      <c r="G9883">
        <f>(Cpi_[[#This Row],[Value]]-F9882)/F9882</f>
        <v>1.7805858701895431E-2</v>
      </c>
      <c r="H9883" t="e" cm="1" vm="1">
        <f t="array" aca="1" ref="H9883" ca="1">VLOOKUP(Cpi_[[#This Row],[Year]:[Month]],crudeoil[],3,FALSE)</f>
        <v>#VALUE!</v>
      </c>
    </row>
    <row r="9884" spans="1:8" hidden="1" x14ac:dyDescent="0.3">
      <c r="A9884" t="s">
        <v>30</v>
      </c>
      <c r="B9884">
        <v>2023</v>
      </c>
      <c r="C9884" t="s">
        <v>37</v>
      </c>
      <c r="D9884" t="s">
        <v>3</v>
      </c>
      <c r="E9884" t="e">
        <f>VLOOKUP(Cpi_[[#This Row],[Attribute]],#REF!,2,FALSE)</f>
        <v>#REF!</v>
      </c>
      <c r="F9884">
        <v>173.3</v>
      </c>
      <c r="G9884">
        <f>(Cpi_[[#This Row],[Value]]-F9883)/F9883</f>
        <v>-2.2009029345372334E-2</v>
      </c>
      <c r="H9884" t="e" cm="1" vm="1">
        <f t="array" aca="1" ref="H9884" ca="1">VLOOKUP(Cpi_[[#This Row],[Year]:[Month]],crudeoil[],3,FALSE)</f>
        <v>#VALUE!</v>
      </c>
    </row>
    <row r="9885" spans="1:8" hidden="1" x14ac:dyDescent="0.3">
      <c r="A9885" t="s">
        <v>30</v>
      </c>
      <c r="B9885">
        <v>2023</v>
      </c>
      <c r="C9885" t="s">
        <v>37</v>
      </c>
      <c r="D9885" t="s">
        <v>4</v>
      </c>
      <c r="E9885" t="e">
        <f>VLOOKUP(Cpi_[[#This Row],[Attribute]],#REF!,2,FALSE)</f>
        <v>#REF!</v>
      </c>
      <c r="F9885">
        <v>206.9</v>
      </c>
      <c r="G9885">
        <f>(Cpi_[[#This Row],[Value]]-F9884)/F9884</f>
        <v>0.1938834391229082</v>
      </c>
      <c r="H9885" t="e" cm="1" vm="1">
        <f t="array" aca="1" ref="H9885" ca="1">VLOOKUP(Cpi_[[#This Row],[Year]:[Month]],crudeoil[],3,FALSE)</f>
        <v>#VALUE!</v>
      </c>
    </row>
    <row r="9886" spans="1:8" hidden="1" x14ac:dyDescent="0.3">
      <c r="A9886" t="s">
        <v>30</v>
      </c>
      <c r="B9886">
        <v>2023</v>
      </c>
      <c r="C9886" t="s">
        <v>37</v>
      </c>
      <c r="D9886" t="s">
        <v>5</v>
      </c>
      <c r="E9886" t="e">
        <f>VLOOKUP(Cpi_[[#This Row],[Attribute]],#REF!,2,FALSE)</f>
        <v>#REF!</v>
      </c>
      <c r="F9886">
        <v>167.9</v>
      </c>
      <c r="G9886">
        <f>(Cpi_[[#This Row],[Value]]-F9885)/F9885</f>
        <v>-0.18849685838569358</v>
      </c>
      <c r="H9886" t="e" cm="1" vm="1">
        <f t="array" aca="1" ref="H9886" ca="1">VLOOKUP(Cpi_[[#This Row],[Year]:[Month]],crudeoil[],3,FALSE)</f>
        <v>#VALUE!</v>
      </c>
    </row>
    <row r="9887" spans="1:8" hidden="1" x14ac:dyDescent="0.3">
      <c r="A9887" t="s">
        <v>30</v>
      </c>
      <c r="B9887">
        <v>2023</v>
      </c>
      <c r="C9887" t="s">
        <v>37</v>
      </c>
      <c r="D9887" t="s">
        <v>6</v>
      </c>
      <c r="E9887" t="e">
        <f>VLOOKUP(Cpi_[[#This Row],[Attribute]],#REF!,2,FALSE)</f>
        <v>#REF!</v>
      </c>
      <c r="F9887">
        <v>178.2</v>
      </c>
      <c r="G9887">
        <f>(Cpi_[[#This Row],[Value]]-F9886)/F9886</f>
        <v>6.1346039309112463E-2</v>
      </c>
      <c r="H9887" t="e" cm="1" vm="1">
        <f t="array" aca="1" ref="H9887" ca="1">VLOOKUP(Cpi_[[#This Row],[Year]:[Month]],crudeoil[],3,FALSE)</f>
        <v>#VALUE!</v>
      </c>
    </row>
    <row r="9888" spans="1:8" hidden="1" x14ac:dyDescent="0.3">
      <c r="A9888" t="s">
        <v>30</v>
      </c>
      <c r="B9888">
        <v>2023</v>
      </c>
      <c r="C9888" t="s">
        <v>37</v>
      </c>
      <c r="D9888" t="s">
        <v>7</v>
      </c>
      <c r="E9888" t="e">
        <f>VLOOKUP(Cpi_[[#This Row],[Attribute]],#REF!,2,FALSE)</f>
        <v>#REF!</v>
      </c>
      <c r="F9888">
        <v>178.5</v>
      </c>
      <c r="G9888">
        <f>(Cpi_[[#This Row],[Value]]-F9887)/F9887</f>
        <v>1.6835016835017474E-3</v>
      </c>
      <c r="H9888" t="e" cm="1" vm="1">
        <f t="array" aca="1" ref="H9888" ca="1">VLOOKUP(Cpi_[[#This Row],[Year]:[Month]],crudeoil[],3,FALSE)</f>
        <v>#VALUE!</v>
      </c>
    </row>
    <row r="9889" spans="1:8" hidden="1" x14ac:dyDescent="0.3">
      <c r="A9889" t="s">
        <v>30</v>
      </c>
      <c r="B9889">
        <v>2023</v>
      </c>
      <c r="C9889" t="s">
        <v>37</v>
      </c>
      <c r="D9889" t="s">
        <v>8</v>
      </c>
      <c r="E9889" t="e">
        <f>VLOOKUP(Cpi_[[#This Row],[Attribute]],#REF!,2,FALSE)</f>
        <v>#REF!</v>
      </c>
      <c r="F9889">
        <v>173.7</v>
      </c>
      <c r="G9889">
        <f>(Cpi_[[#This Row],[Value]]-F9888)/F9888</f>
        <v>-2.6890756302521072E-2</v>
      </c>
      <c r="H9889" t="e" cm="1" vm="1">
        <f t="array" aca="1" ref="H9889" ca="1">VLOOKUP(Cpi_[[#This Row],[Year]:[Month]],crudeoil[],3,FALSE)</f>
        <v>#VALUE!</v>
      </c>
    </row>
    <row r="9890" spans="1:8" hidden="1" x14ac:dyDescent="0.3">
      <c r="A9890" t="s">
        <v>30</v>
      </c>
      <c r="B9890">
        <v>2023</v>
      </c>
      <c r="C9890" t="s">
        <v>37</v>
      </c>
      <c r="D9890" t="s">
        <v>9</v>
      </c>
      <c r="E9890" t="e">
        <f>VLOOKUP(Cpi_[[#This Row],[Attribute]],#REF!,2,FALSE)</f>
        <v>#REF!</v>
      </c>
      <c r="F9890">
        <v>142.80000000000001</v>
      </c>
      <c r="G9890">
        <f>(Cpi_[[#This Row],[Value]]-F9889)/F9889</f>
        <v>-0.17789291882556119</v>
      </c>
      <c r="H9890" t="e" cm="1" vm="1">
        <f t="array" aca="1" ref="H9890" ca="1">VLOOKUP(Cpi_[[#This Row],[Year]:[Month]],crudeoil[],3,FALSE)</f>
        <v>#VALUE!</v>
      </c>
    </row>
    <row r="9891" spans="1:8" hidden="1" x14ac:dyDescent="0.3">
      <c r="A9891" t="s">
        <v>30</v>
      </c>
      <c r="B9891">
        <v>2023</v>
      </c>
      <c r="C9891" t="s">
        <v>37</v>
      </c>
      <c r="D9891" t="s">
        <v>10</v>
      </c>
      <c r="E9891" t="e">
        <f>VLOOKUP(Cpi_[[#This Row],[Attribute]],#REF!,2,FALSE)</f>
        <v>#REF!</v>
      </c>
      <c r="F9891">
        <v>172.8</v>
      </c>
      <c r="G9891">
        <f>(Cpi_[[#This Row],[Value]]-F9890)/F9890</f>
        <v>0.21008403361344535</v>
      </c>
      <c r="H9891" t="e" cm="1" vm="1">
        <f t="array" aca="1" ref="H9891" ca="1">VLOOKUP(Cpi_[[#This Row],[Year]:[Month]],crudeoil[],3,FALSE)</f>
        <v>#VALUE!</v>
      </c>
    </row>
    <row r="9892" spans="1:8" hidden="1" x14ac:dyDescent="0.3">
      <c r="A9892" t="s">
        <v>30</v>
      </c>
      <c r="B9892">
        <v>2023</v>
      </c>
      <c r="C9892" t="s">
        <v>37</v>
      </c>
      <c r="D9892" t="s">
        <v>11</v>
      </c>
      <c r="E9892" t="e">
        <f>VLOOKUP(Cpi_[[#This Row],[Attribute]],#REF!,2,FALSE)</f>
        <v>#REF!</v>
      </c>
      <c r="F9892">
        <v>120.4</v>
      </c>
      <c r="G9892">
        <f>(Cpi_[[#This Row],[Value]]-F9891)/F9891</f>
        <v>-0.30324074074074076</v>
      </c>
      <c r="H9892" t="e" cm="1" vm="1">
        <f t="array" aca="1" ref="H9892" ca="1">VLOOKUP(Cpi_[[#This Row],[Year]:[Month]],crudeoil[],3,FALSE)</f>
        <v>#VALUE!</v>
      </c>
    </row>
    <row r="9893" spans="1:8" hidden="1" x14ac:dyDescent="0.3">
      <c r="A9893" t="s">
        <v>30</v>
      </c>
      <c r="B9893">
        <v>2023</v>
      </c>
      <c r="C9893" t="s">
        <v>37</v>
      </c>
      <c r="D9893" t="s">
        <v>12</v>
      </c>
      <c r="E9893" t="e">
        <f>VLOOKUP(Cpi_[[#This Row],[Attribute]],#REF!,2,FALSE)</f>
        <v>#REF!</v>
      </c>
      <c r="F9893">
        <v>215.5</v>
      </c>
      <c r="G9893">
        <f>(Cpi_[[#This Row],[Value]]-F9892)/F9892</f>
        <v>0.78986710963455142</v>
      </c>
      <c r="H9893" t="e" cm="1" vm="1">
        <f t="array" aca="1" ref="H9893" ca="1">VLOOKUP(Cpi_[[#This Row],[Year]:[Month]],crudeoil[],3,FALSE)</f>
        <v>#VALUE!</v>
      </c>
    </row>
    <row r="9894" spans="1:8" hidden="1" x14ac:dyDescent="0.3">
      <c r="A9894" t="s">
        <v>30</v>
      </c>
      <c r="B9894">
        <v>2023</v>
      </c>
      <c r="C9894" t="s">
        <v>37</v>
      </c>
      <c r="D9894" t="s">
        <v>13</v>
      </c>
      <c r="E9894" t="e">
        <f>VLOOKUP(Cpi_[[#This Row],[Attribute]],#REF!,2,FALSE)</f>
        <v>#REF!</v>
      </c>
      <c r="F9894">
        <v>178.2</v>
      </c>
      <c r="G9894">
        <f>(Cpi_[[#This Row],[Value]]-F9893)/F9893</f>
        <v>-0.17308584686774947</v>
      </c>
      <c r="H9894" t="e" cm="1" vm="1">
        <f t="array" aca="1" ref="H9894" ca="1">VLOOKUP(Cpi_[[#This Row],[Year]:[Month]],crudeoil[],3,FALSE)</f>
        <v>#VALUE!</v>
      </c>
    </row>
    <row r="9895" spans="1:8" hidden="1" x14ac:dyDescent="0.3">
      <c r="A9895" t="s">
        <v>30</v>
      </c>
      <c r="B9895">
        <v>2023</v>
      </c>
      <c r="C9895" t="s">
        <v>37</v>
      </c>
      <c r="D9895" t="s">
        <v>14</v>
      </c>
      <c r="E9895" t="e">
        <f>VLOOKUP(Cpi_[[#This Row],[Attribute]],#REF!,2,FALSE)</f>
        <v>#REF!</v>
      </c>
      <c r="F9895">
        <v>190.5</v>
      </c>
      <c r="G9895">
        <f>(Cpi_[[#This Row],[Value]]-F9894)/F9894</f>
        <v>6.9023569023569098E-2</v>
      </c>
      <c r="H9895" t="e" cm="1" vm="1">
        <f t="array" aca="1" ref="H9895" ca="1">VLOOKUP(Cpi_[[#This Row],[Year]:[Month]],crudeoil[],3,FALSE)</f>
        <v>#VALUE!</v>
      </c>
    </row>
    <row r="9896" spans="1:8" hidden="1" x14ac:dyDescent="0.3">
      <c r="A9896" t="s">
        <v>30</v>
      </c>
      <c r="B9896">
        <v>2023</v>
      </c>
      <c r="C9896" t="s">
        <v>37</v>
      </c>
      <c r="D9896" t="s">
        <v>15</v>
      </c>
      <c r="E9896" t="e">
        <f>VLOOKUP(Cpi_[[#This Row],[Attribute]],#REF!,2,FALSE)</f>
        <v>#REF!</v>
      </c>
      <c r="F9896">
        <v>175.5</v>
      </c>
      <c r="G9896">
        <f>(Cpi_[[#This Row],[Value]]-F9895)/F9895</f>
        <v>-7.874015748031496E-2</v>
      </c>
      <c r="H9896" t="e" cm="1" vm="1">
        <f t="array" aca="1" ref="H9896" ca="1">VLOOKUP(Cpi_[[#This Row],[Year]:[Month]],crudeoil[],3,FALSE)</f>
        <v>#VALUE!</v>
      </c>
    </row>
    <row r="9897" spans="1:8" hidden="1" x14ac:dyDescent="0.3">
      <c r="A9897" t="s">
        <v>30</v>
      </c>
      <c r="B9897">
        <v>2023</v>
      </c>
      <c r="C9897" t="s">
        <v>37</v>
      </c>
      <c r="D9897" t="s">
        <v>16</v>
      </c>
      <c r="E9897" t="e">
        <f>VLOOKUP(Cpi_[[#This Row],[Attribute]],#REF!,2,FALSE)</f>
        <v>#REF!</v>
      </c>
      <c r="F9897">
        <v>199.5</v>
      </c>
      <c r="G9897">
        <f>(Cpi_[[#This Row],[Value]]-F9896)/F9896</f>
        <v>0.13675213675213677</v>
      </c>
      <c r="H9897" t="e" cm="1" vm="1">
        <f t="array" aca="1" ref="H9897" ca="1">VLOOKUP(Cpi_[[#This Row],[Year]:[Month]],crudeoil[],3,FALSE)</f>
        <v>#VALUE!</v>
      </c>
    </row>
    <row r="9898" spans="1:8" hidden="1" x14ac:dyDescent="0.3">
      <c r="A9898" t="s">
        <v>30</v>
      </c>
      <c r="B9898">
        <v>2023</v>
      </c>
      <c r="C9898" t="s">
        <v>37</v>
      </c>
      <c r="D9898" t="s">
        <v>17</v>
      </c>
      <c r="E9898" t="e">
        <f>VLOOKUP(Cpi_[[#This Row],[Attribute]],#REF!,2,FALSE)</f>
        <v>#REF!</v>
      </c>
      <c r="F9898">
        <v>190.7</v>
      </c>
      <c r="G9898">
        <f>(Cpi_[[#This Row],[Value]]-F9897)/F9897</f>
        <v>-4.4110275689223113E-2</v>
      </c>
      <c r="H9898" t="e" cm="1" vm="1">
        <f t="array" aca="1" ref="H9898" ca="1">VLOOKUP(Cpi_[[#This Row],[Year]:[Month]],crudeoil[],3,FALSE)</f>
        <v>#VALUE!</v>
      </c>
    </row>
    <row r="9899" spans="1:8" hidden="1" x14ac:dyDescent="0.3">
      <c r="A9899" t="s">
        <v>30</v>
      </c>
      <c r="B9899">
        <v>2023</v>
      </c>
      <c r="C9899" t="s">
        <v>37</v>
      </c>
      <c r="D9899" t="s">
        <v>18</v>
      </c>
      <c r="E9899" t="e">
        <f>VLOOKUP(Cpi_[[#This Row],[Attribute]],#REF!,2,FALSE)</f>
        <v>#REF!</v>
      </c>
      <c r="F9899">
        <v>187.3</v>
      </c>
      <c r="G9899">
        <f>(Cpi_[[#This Row],[Value]]-F9898)/F9898</f>
        <v>-1.7829050865233231E-2</v>
      </c>
      <c r="H9899" t="e" cm="1" vm="1">
        <f t="array" aca="1" ref="H9899" ca="1">VLOOKUP(Cpi_[[#This Row],[Year]:[Month]],crudeoil[],3,FALSE)</f>
        <v>#VALUE!</v>
      </c>
    </row>
    <row r="9900" spans="1:8" hidden="1" x14ac:dyDescent="0.3">
      <c r="A9900" t="s">
        <v>30</v>
      </c>
      <c r="B9900">
        <v>2023</v>
      </c>
      <c r="C9900" t="s">
        <v>37</v>
      </c>
      <c r="D9900" t="s">
        <v>19</v>
      </c>
      <c r="E9900" t="e">
        <f>VLOOKUP(Cpi_[[#This Row],[Attribute]],#REF!,2,FALSE)</f>
        <v>#REF!</v>
      </c>
      <c r="F9900">
        <v>190.2</v>
      </c>
      <c r="G9900">
        <f>(Cpi_[[#This Row],[Value]]-F9899)/F9899</f>
        <v>1.5483182060864801E-2</v>
      </c>
      <c r="H9900" t="e" cm="1" vm="1">
        <f t="array" aca="1" ref="H9900" ca="1">VLOOKUP(Cpi_[[#This Row],[Year]:[Month]],crudeoil[],3,FALSE)</f>
        <v>#VALUE!</v>
      </c>
    </row>
    <row r="9901" spans="1:8" hidden="1" x14ac:dyDescent="0.3">
      <c r="A9901" t="s">
        <v>30</v>
      </c>
      <c r="B9901">
        <v>2023</v>
      </c>
      <c r="C9901" t="s">
        <v>37</v>
      </c>
      <c r="D9901" t="s">
        <v>20</v>
      </c>
      <c r="E9901" t="e">
        <f>VLOOKUP(Cpi_[[#This Row],[Attribute]],#REF!,2,FALSE)</f>
        <v>#REF!</v>
      </c>
      <c r="F9901" t="s">
        <v>48</v>
      </c>
      <c r="G9901" t="e">
        <f>(Cpi_[[#This Row],[Value]]-F9900)/F9900</f>
        <v>#VALUE!</v>
      </c>
      <c r="H9901" t="e" cm="1" vm="1">
        <f t="array" aca="1" ref="H9901" ca="1">VLOOKUP(Cpi_[[#This Row],[Year]:[Month]],crudeoil[],3,FALSE)</f>
        <v>#VALUE!</v>
      </c>
    </row>
    <row r="9902" spans="1:8" hidden="1" x14ac:dyDescent="0.3">
      <c r="A9902" t="s">
        <v>30</v>
      </c>
      <c r="B9902">
        <v>2023</v>
      </c>
      <c r="C9902" t="s">
        <v>37</v>
      </c>
      <c r="D9902" t="s">
        <v>21</v>
      </c>
      <c r="E9902" t="e">
        <f>VLOOKUP(Cpi_[[#This Row],[Attribute]],#REF!,2,FALSE)</f>
        <v>#REF!</v>
      </c>
      <c r="F9902">
        <v>181.5</v>
      </c>
      <c r="G9902" t="e">
        <f>(Cpi_[[#This Row],[Value]]-F9901)/F9901</f>
        <v>#VALUE!</v>
      </c>
      <c r="H9902" t="e" cm="1" vm="1">
        <f t="array" aca="1" ref="H9902" ca="1">VLOOKUP(Cpi_[[#This Row],[Year]:[Month]],crudeoil[],3,FALSE)</f>
        <v>#VALUE!</v>
      </c>
    </row>
    <row r="9903" spans="1:8" hidden="1" x14ac:dyDescent="0.3">
      <c r="A9903" t="s">
        <v>30</v>
      </c>
      <c r="B9903">
        <v>2023</v>
      </c>
      <c r="C9903" t="s">
        <v>37</v>
      </c>
      <c r="D9903" t="s">
        <v>22</v>
      </c>
      <c r="E9903" t="e">
        <f>VLOOKUP(Cpi_[[#This Row],[Attribute]],#REF!,2,FALSE)</f>
        <v>#REF!</v>
      </c>
      <c r="F9903">
        <v>179.1</v>
      </c>
      <c r="G9903">
        <f>(Cpi_[[#This Row],[Value]]-F9902)/F9902</f>
        <v>-1.3223140495867799E-2</v>
      </c>
      <c r="H9903" t="e" cm="1" vm="1">
        <f t="array" aca="1" ref="H9903" ca="1">VLOOKUP(Cpi_[[#This Row],[Year]:[Month]],crudeoil[],3,FALSE)</f>
        <v>#VALUE!</v>
      </c>
    </row>
    <row r="9904" spans="1:8" hidden="1" x14ac:dyDescent="0.3">
      <c r="A9904" t="s">
        <v>30</v>
      </c>
      <c r="B9904">
        <v>2023</v>
      </c>
      <c r="C9904" t="s">
        <v>37</v>
      </c>
      <c r="D9904" t="s">
        <v>23</v>
      </c>
      <c r="E9904" t="e">
        <f>VLOOKUP(Cpi_[[#This Row],[Attribute]],#REF!,2,FALSE)</f>
        <v>#REF!</v>
      </c>
      <c r="F9904">
        <v>187.2</v>
      </c>
      <c r="G9904">
        <f>(Cpi_[[#This Row],[Value]]-F9903)/F9903</f>
        <v>4.5226130653266298E-2</v>
      </c>
      <c r="H9904" t="e" cm="1" vm="1">
        <f t="array" aca="1" ref="H9904" ca="1">VLOOKUP(Cpi_[[#This Row],[Year]:[Month]],crudeoil[],3,FALSE)</f>
        <v>#VALUE!</v>
      </c>
    </row>
    <row r="9905" spans="1:8" hidden="1" x14ac:dyDescent="0.3">
      <c r="A9905" t="s">
        <v>30</v>
      </c>
      <c r="B9905">
        <v>2023</v>
      </c>
      <c r="C9905" t="s">
        <v>37</v>
      </c>
      <c r="D9905" t="s">
        <v>24</v>
      </c>
      <c r="E9905" t="e">
        <f>VLOOKUP(Cpi_[[#This Row],[Attribute]],#REF!,2,FALSE)</f>
        <v>#REF!</v>
      </c>
      <c r="F9905">
        <v>169.4</v>
      </c>
      <c r="G9905">
        <f>(Cpi_[[#This Row],[Value]]-F9904)/F9904</f>
        <v>-9.5085470085469997E-2</v>
      </c>
      <c r="H9905" t="e" cm="1" vm="1">
        <f t="array" aca="1" ref="H9905" ca="1">VLOOKUP(Cpi_[[#This Row],[Year]:[Month]],crudeoil[],3,FALSE)</f>
        <v>#VALUE!</v>
      </c>
    </row>
    <row r="9906" spans="1:8" hidden="1" x14ac:dyDescent="0.3">
      <c r="A9906" t="s">
        <v>30</v>
      </c>
      <c r="B9906">
        <v>2023</v>
      </c>
      <c r="C9906" t="s">
        <v>37</v>
      </c>
      <c r="D9906" t="s">
        <v>25</v>
      </c>
      <c r="E9906" t="e">
        <f>VLOOKUP(Cpi_[[#This Row],[Attribute]],#REF!,2,FALSE)</f>
        <v>#REF!</v>
      </c>
      <c r="F9906">
        <v>173.2</v>
      </c>
      <c r="G9906">
        <f>(Cpi_[[#This Row],[Value]]-F9905)/F9905</f>
        <v>2.2432113341204148E-2</v>
      </c>
      <c r="H9906" t="e" cm="1" vm="1">
        <f t="array" aca="1" ref="H9906" ca="1">VLOOKUP(Cpi_[[#This Row],[Year]:[Month]],crudeoil[],3,FALSE)</f>
        <v>#VALUE!</v>
      </c>
    </row>
    <row r="9907" spans="1:8" hidden="1" x14ac:dyDescent="0.3">
      <c r="A9907" t="s">
        <v>30</v>
      </c>
      <c r="B9907">
        <v>2023</v>
      </c>
      <c r="C9907" t="s">
        <v>37</v>
      </c>
      <c r="D9907" t="s">
        <v>26</v>
      </c>
      <c r="E9907" t="e">
        <f>VLOOKUP(Cpi_[[#This Row],[Attribute]],#REF!,2,FALSE)</f>
        <v>#REF!</v>
      </c>
      <c r="F9907">
        <v>179.4</v>
      </c>
      <c r="G9907">
        <f>(Cpi_[[#This Row],[Value]]-F9906)/F9906</f>
        <v>3.579676674364906E-2</v>
      </c>
      <c r="H9907" t="e" cm="1" vm="1">
        <f t="array" aca="1" ref="H9907" ca="1">VLOOKUP(Cpi_[[#This Row],[Year]:[Month]],crudeoil[],3,FALSE)</f>
        <v>#VALUE!</v>
      </c>
    </row>
    <row r="9908" spans="1:8" hidden="1" x14ac:dyDescent="0.3">
      <c r="A9908" t="s">
        <v>30</v>
      </c>
      <c r="B9908">
        <v>2023</v>
      </c>
      <c r="C9908" t="s">
        <v>37</v>
      </c>
      <c r="D9908" t="s">
        <v>27</v>
      </c>
      <c r="E9908" t="e">
        <f>VLOOKUP(Cpi_[[#This Row],[Attribute]],#REF!,2,FALSE)</f>
        <v>#REF!</v>
      </c>
      <c r="F9908">
        <v>183.8</v>
      </c>
      <c r="G9908">
        <f>(Cpi_[[#This Row],[Value]]-F9907)/F9907</f>
        <v>2.4526198439241947E-2</v>
      </c>
      <c r="H9908" t="e" cm="1" vm="1">
        <f t="array" aca="1" ref="H9908" ca="1">VLOOKUP(Cpi_[[#This Row],[Year]:[Month]],crudeoil[],3,FALSE)</f>
        <v>#VALUE!</v>
      </c>
    </row>
    <row r="9909" spans="1:8" hidden="1" x14ac:dyDescent="0.3">
      <c r="A9909" t="s">
        <v>30</v>
      </c>
      <c r="B9909">
        <v>2023</v>
      </c>
      <c r="C9909" t="s">
        <v>37</v>
      </c>
      <c r="D9909" t="s">
        <v>28</v>
      </c>
      <c r="E9909" t="e">
        <f>VLOOKUP(Cpi_[[#This Row],[Attribute]],#REF!,2,FALSE)</f>
        <v>#REF!</v>
      </c>
      <c r="F9909">
        <v>178.9</v>
      </c>
      <c r="G9909">
        <f>(Cpi_[[#This Row],[Value]]-F9908)/F9908</f>
        <v>-2.6659412404787843E-2</v>
      </c>
      <c r="H9909" t="e" cm="1" vm="1">
        <f t="array" aca="1" ref="H9909" ca="1">VLOOKUP(Cpi_[[#This Row],[Year]:[Month]],crudeoil[],3,FALSE)</f>
        <v>#VALUE!</v>
      </c>
    </row>
    <row r="9910" spans="1:8" hidden="1" x14ac:dyDescent="0.3">
      <c r="A9910" t="s">
        <v>30</v>
      </c>
      <c r="B9910">
        <v>2023</v>
      </c>
      <c r="C9910" t="s">
        <v>37</v>
      </c>
      <c r="D9910" t="s">
        <v>29</v>
      </c>
      <c r="E9910" t="e" cm="1">
        <f t="array" aca="1" ref="E9910" ca="1">VLGeneral indexGeneral indexKUP(Cpi_[[#This Row],[Attribute]],#REF!,2,FALSE)</f>
        <v>#NAME?</v>
      </c>
      <c r="F9910">
        <v>178.8</v>
      </c>
      <c r="G9910">
        <f>(Cpi_[[#This Row],[Value]]-F9909)/F9909</f>
        <v>-5.589714924538531E-4</v>
      </c>
      <c r="H9910" t="e" cm="1" vm="1">
        <f t="array" aca="1" ref="H9910" ca="1">VLOOKUP(Cpi_[[#This Row],[Year]:[Month]],crudeoil[],3,FALSE)</f>
        <v>#VALUE!</v>
      </c>
    </row>
    <row r="9911" spans="1:8" hidden="1" x14ac:dyDescent="0.3">
      <c r="A9911" t="s">
        <v>33</v>
      </c>
      <c r="B9911">
        <v>2023</v>
      </c>
      <c r="C9911" t="s">
        <v>37</v>
      </c>
      <c r="D9911" t="s">
        <v>3</v>
      </c>
      <c r="E9911" t="e">
        <f>VLOOKUP(Cpi_[[#This Row],[Attribute]],#REF!,2,FALSE)</f>
        <v>#REF!</v>
      </c>
      <c r="F9911">
        <v>174.8</v>
      </c>
      <c r="G9911">
        <f>(Cpi_[[#This Row],[Value]]-F9910)/F9910</f>
        <v>-2.2371364653243846E-2</v>
      </c>
      <c r="H9911" t="e" cm="1" vm="1">
        <f t="array" aca="1" ref="H9911" ca="1">VLOOKUP(Cpi_[[#This Row],[Year]:[Month]],crudeoil[],3,FALSE)</f>
        <v>#VALUE!</v>
      </c>
    </row>
    <row r="9912" spans="1:8" hidden="1" x14ac:dyDescent="0.3">
      <c r="A9912" t="s">
        <v>33</v>
      </c>
      <c r="B9912">
        <v>2023</v>
      </c>
      <c r="C9912" t="s">
        <v>37</v>
      </c>
      <c r="D9912" t="s">
        <v>4</v>
      </c>
      <c r="E9912" t="e">
        <f>VLOOKUP(Cpi_[[#This Row],[Attribute]],#REF!,2,FALSE)</f>
        <v>#REF!</v>
      </c>
      <c r="F9912">
        <v>213.7</v>
      </c>
      <c r="G9912">
        <f>(Cpi_[[#This Row],[Value]]-F9911)/F9911</f>
        <v>0.22254004576659026</v>
      </c>
      <c r="H9912" t="e" cm="1" vm="1">
        <f t="array" aca="1" ref="H9912" ca="1">VLOOKUP(Cpi_[[#This Row],[Year]:[Month]],crudeoil[],3,FALSE)</f>
        <v>#VALUE!</v>
      </c>
    </row>
    <row r="9913" spans="1:8" hidden="1" x14ac:dyDescent="0.3">
      <c r="A9913" t="s">
        <v>33</v>
      </c>
      <c r="B9913">
        <v>2023</v>
      </c>
      <c r="C9913" t="s">
        <v>37</v>
      </c>
      <c r="D9913" t="s">
        <v>5</v>
      </c>
      <c r="E9913" t="e">
        <f>VLOOKUP(Cpi_[[#This Row],[Attribute]],#REF!,2,FALSE)</f>
        <v>#REF!</v>
      </c>
      <c r="F9913">
        <v>172.4</v>
      </c>
      <c r="G9913">
        <f>(Cpi_[[#This Row],[Value]]-F9912)/F9912</f>
        <v>-0.19326158165652776</v>
      </c>
      <c r="H9913" t="e" cm="1" vm="1">
        <f t="array" aca="1" ref="H9913" ca="1">VLOOKUP(Cpi_[[#This Row],[Year]:[Month]],crudeoil[],3,FALSE)</f>
        <v>#VALUE!</v>
      </c>
    </row>
    <row r="9914" spans="1:8" hidden="1" x14ac:dyDescent="0.3">
      <c r="A9914" t="s">
        <v>33</v>
      </c>
      <c r="B9914">
        <v>2023</v>
      </c>
      <c r="C9914" t="s">
        <v>37</v>
      </c>
      <c r="D9914" t="s">
        <v>6</v>
      </c>
      <c r="E9914" t="e">
        <f>VLOOKUP(Cpi_[[#This Row],[Attribute]],#REF!,2,FALSE)</f>
        <v>#REF!</v>
      </c>
      <c r="F9914">
        <v>178.8</v>
      </c>
      <c r="G9914">
        <f>(Cpi_[[#This Row],[Value]]-F9913)/F9913</f>
        <v>3.712296983758704E-2</v>
      </c>
      <c r="H9914" t="e" cm="1" vm="1">
        <f t="array" aca="1" ref="H9914" ca="1">VLOOKUP(Cpi_[[#This Row],[Year]:[Month]],crudeoil[],3,FALSE)</f>
        <v>#VALUE!</v>
      </c>
    </row>
    <row r="9915" spans="1:8" hidden="1" x14ac:dyDescent="0.3">
      <c r="A9915" t="s">
        <v>33</v>
      </c>
      <c r="B9915">
        <v>2023</v>
      </c>
      <c r="C9915" t="s">
        <v>37</v>
      </c>
      <c r="D9915" t="s">
        <v>7</v>
      </c>
      <c r="E9915" t="e">
        <f>VLOOKUP(Cpi_[[#This Row],[Attribute]],#REF!,2,FALSE)</f>
        <v>#REF!</v>
      </c>
      <c r="F9915">
        <v>168.7</v>
      </c>
      <c r="G9915">
        <f>(Cpi_[[#This Row],[Value]]-F9914)/F9914</f>
        <v>-5.648769574944084E-2</v>
      </c>
      <c r="H9915" t="e" cm="1" vm="1">
        <f t="array" aca="1" ref="H9915" ca="1">VLOOKUP(Cpi_[[#This Row],[Year]:[Month]],crudeoil[],3,FALSE)</f>
        <v>#VALUE!</v>
      </c>
    </row>
    <row r="9916" spans="1:8" hidden="1" x14ac:dyDescent="0.3">
      <c r="A9916" t="s">
        <v>33</v>
      </c>
      <c r="B9916">
        <v>2023</v>
      </c>
      <c r="C9916" t="s">
        <v>37</v>
      </c>
      <c r="D9916" t="s">
        <v>8</v>
      </c>
      <c r="E9916" t="e">
        <f>VLOOKUP(Cpi_[[#This Row],[Attribute]],#REF!,2,FALSE)</f>
        <v>#REF!</v>
      </c>
      <c r="F9916">
        <v>179.2</v>
      </c>
      <c r="G9916">
        <f>(Cpi_[[#This Row],[Value]]-F9915)/F9915</f>
        <v>6.2240663900414939E-2</v>
      </c>
      <c r="H9916" t="e" cm="1" vm="1">
        <f t="array" aca="1" ref="H9916" ca="1">VLOOKUP(Cpi_[[#This Row],[Year]:[Month]],crudeoil[],3,FALSE)</f>
        <v>#VALUE!</v>
      </c>
    </row>
    <row r="9917" spans="1:8" hidden="1" x14ac:dyDescent="0.3">
      <c r="A9917" t="s">
        <v>33</v>
      </c>
      <c r="B9917">
        <v>2023</v>
      </c>
      <c r="C9917" t="s">
        <v>37</v>
      </c>
      <c r="D9917" t="s">
        <v>9</v>
      </c>
      <c r="E9917" t="e">
        <f>VLOOKUP(Cpi_[[#This Row],[Attribute]],#REF!,2,FALSE)</f>
        <v>#REF!</v>
      </c>
      <c r="F9917">
        <v>179.9</v>
      </c>
      <c r="G9917">
        <f>(Cpi_[[#This Row],[Value]]-F9916)/F9916</f>
        <v>3.9062500000000954E-3</v>
      </c>
      <c r="H9917" t="e" cm="1" vm="1">
        <f t="array" aca="1" ref="H9917" ca="1">VLOOKUP(Cpi_[[#This Row],[Year]:[Month]],crudeoil[],3,FALSE)</f>
        <v>#VALUE!</v>
      </c>
    </row>
    <row r="9918" spans="1:8" hidden="1" x14ac:dyDescent="0.3">
      <c r="A9918" t="s">
        <v>33</v>
      </c>
      <c r="B9918">
        <v>2023</v>
      </c>
      <c r="C9918" t="s">
        <v>37</v>
      </c>
      <c r="D9918" t="s">
        <v>10</v>
      </c>
      <c r="E9918" t="e">
        <f>VLOOKUP(Cpi_[[#This Row],[Attribute]],#REF!,2,FALSE)</f>
        <v>#REF!</v>
      </c>
      <c r="F9918">
        <v>174.7</v>
      </c>
      <c r="G9918">
        <f>(Cpi_[[#This Row],[Value]]-F9917)/F9917</f>
        <v>-2.8904947192885031E-2</v>
      </c>
      <c r="H9918" t="e" cm="1" vm="1">
        <f t="array" aca="1" ref="H9918" ca="1">VLOOKUP(Cpi_[[#This Row],[Year]:[Month]],crudeoil[],3,FALSE)</f>
        <v>#VALUE!</v>
      </c>
    </row>
    <row r="9919" spans="1:8" hidden="1" x14ac:dyDescent="0.3">
      <c r="A9919" t="s">
        <v>33</v>
      </c>
      <c r="B9919">
        <v>2023</v>
      </c>
      <c r="C9919" t="s">
        <v>37</v>
      </c>
      <c r="D9919" t="s">
        <v>11</v>
      </c>
      <c r="E9919" t="e">
        <f>VLOOKUP(Cpi_[[#This Row],[Attribute]],#REF!,2,FALSE)</f>
        <v>#REF!</v>
      </c>
      <c r="F9919">
        <v>123.1</v>
      </c>
      <c r="G9919">
        <f>(Cpi_[[#This Row],[Value]]-F9918)/F9918</f>
        <v>-0.29536348025186032</v>
      </c>
      <c r="H9919" t="e" cm="1" vm="1">
        <f t="array" aca="1" ref="H9919" ca="1">VLOOKUP(Cpi_[[#This Row],[Year]:[Month]],crudeoil[],3,FALSE)</f>
        <v>#VALUE!</v>
      </c>
    </row>
    <row r="9920" spans="1:8" hidden="1" x14ac:dyDescent="0.3">
      <c r="A9920" t="s">
        <v>33</v>
      </c>
      <c r="B9920">
        <v>2023</v>
      </c>
      <c r="C9920" t="s">
        <v>37</v>
      </c>
      <c r="D9920" t="s">
        <v>12</v>
      </c>
      <c r="E9920" t="e">
        <f>VLOOKUP(Cpi_[[#This Row],[Attribute]],#REF!,2,FALSE)</f>
        <v>#REF!</v>
      </c>
      <c r="F9920">
        <v>207.8</v>
      </c>
      <c r="G9920">
        <f>(Cpi_[[#This Row],[Value]]-F9919)/F9919</f>
        <v>0.68805848903330646</v>
      </c>
      <c r="H9920" t="e" cm="1" vm="1">
        <f t="array" aca="1" ref="H9920" ca="1">VLOOKUP(Cpi_[[#This Row],[Year]:[Month]],crudeoil[],3,FALSE)</f>
        <v>#VALUE!</v>
      </c>
    </row>
    <row r="9921" spans="1:8" hidden="1" x14ac:dyDescent="0.3">
      <c r="A9921" t="s">
        <v>33</v>
      </c>
      <c r="B9921">
        <v>2023</v>
      </c>
      <c r="C9921" t="s">
        <v>37</v>
      </c>
      <c r="D9921" t="s">
        <v>13</v>
      </c>
      <c r="E9921" t="e">
        <f>VLOOKUP(Cpi_[[#This Row],[Attribute]],#REF!,2,FALSE)</f>
        <v>#REF!</v>
      </c>
      <c r="F9921">
        <v>165.5</v>
      </c>
      <c r="G9921">
        <f>(Cpi_[[#This Row],[Value]]-F9920)/F9920</f>
        <v>-0.20356111645813285</v>
      </c>
      <c r="H9921" t="e" cm="1" vm="1">
        <f t="array" aca="1" ref="H9921" ca="1">VLOOKUP(Cpi_[[#This Row],[Year]:[Month]],crudeoil[],3,FALSE)</f>
        <v>#VALUE!</v>
      </c>
    </row>
    <row r="9922" spans="1:8" hidden="1" x14ac:dyDescent="0.3">
      <c r="A9922" t="s">
        <v>33</v>
      </c>
      <c r="B9922">
        <v>2023</v>
      </c>
      <c r="C9922" t="s">
        <v>37</v>
      </c>
      <c r="D9922" t="s">
        <v>14</v>
      </c>
      <c r="E9922" t="e">
        <f>VLOOKUP(Cpi_[[#This Row],[Attribute]],#REF!,2,FALSE)</f>
        <v>#REF!</v>
      </c>
      <c r="F9922">
        <v>197</v>
      </c>
      <c r="G9922">
        <f>(Cpi_[[#This Row],[Value]]-F9921)/F9921</f>
        <v>0.19033232628398791</v>
      </c>
      <c r="H9922" t="e" cm="1" vm="1">
        <f t="array" aca="1" ref="H9922" ca="1">VLOOKUP(Cpi_[[#This Row],[Year]:[Month]],crudeoil[],3,FALSE)</f>
        <v>#VALUE!</v>
      </c>
    </row>
    <row r="9923" spans="1:8" hidden="1" x14ac:dyDescent="0.3">
      <c r="A9923" t="s">
        <v>33</v>
      </c>
      <c r="B9923">
        <v>2023</v>
      </c>
      <c r="C9923" t="s">
        <v>37</v>
      </c>
      <c r="D9923" t="s">
        <v>15</v>
      </c>
      <c r="E9923" t="e">
        <f>VLOOKUP(Cpi_[[#This Row],[Attribute]],#REF!,2,FALSE)</f>
        <v>#REF!</v>
      </c>
      <c r="F9923">
        <v>182.1</v>
      </c>
      <c r="G9923">
        <f>(Cpi_[[#This Row],[Value]]-F9922)/F9922</f>
        <v>-7.5634517766497489E-2</v>
      </c>
      <c r="H9923" t="e" cm="1" vm="1">
        <f t="array" aca="1" ref="H9923" ca="1">VLOOKUP(Cpi_[[#This Row],[Year]:[Month]],crudeoil[],3,FALSE)</f>
        <v>#VALUE!</v>
      </c>
    </row>
    <row r="9924" spans="1:8" hidden="1" x14ac:dyDescent="0.3">
      <c r="A9924" t="s">
        <v>33</v>
      </c>
      <c r="B9924">
        <v>2023</v>
      </c>
      <c r="C9924" t="s">
        <v>37</v>
      </c>
      <c r="D9924" t="s">
        <v>16</v>
      </c>
      <c r="E9924" t="e">
        <f>VLOOKUP(Cpi_[[#This Row],[Attribute]],#REF!,2,FALSE)</f>
        <v>#REF!</v>
      </c>
      <c r="F9924">
        <v>203.5</v>
      </c>
      <c r="G9924">
        <f>(Cpi_[[#This Row],[Value]]-F9923)/F9923</f>
        <v>0.11751784733662826</v>
      </c>
      <c r="H9924" t="e" cm="1" vm="1">
        <f t="array" aca="1" ref="H9924" ca="1">VLOOKUP(Cpi_[[#This Row],[Year]:[Month]],crudeoil[],3,FALSE)</f>
        <v>#VALUE!</v>
      </c>
    </row>
    <row r="9925" spans="1:8" hidden="1" x14ac:dyDescent="0.3">
      <c r="A9925" t="s">
        <v>33</v>
      </c>
      <c r="B9925">
        <v>2023</v>
      </c>
      <c r="C9925" t="s">
        <v>37</v>
      </c>
      <c r="D9925" t="s">
        <v>17</v>
      </c>
      <c r="E9925" t="e">
        <f>VLOOKUP(Cpi_[[#This Row],[Attribute]],#REF!,2,FALSE)</f>
        <v>#REF!</v>
      </c>
      <c r="F9925">
        <v>181</v>
      </c>
      <c r="G9925">
        <f>(Cpi_[[#This Row],[Value]]-F9924)/F9924</f>
        <v>-0.11056511056511056</v>
      </c>
      <c r="H9925" t="e" cm="1" vm="1">
        <f t="array" aca="1" ref="H9925" ca="1">VLOOKUP(Cpi_[[#This Row],[Year]:[Month]],crudeoil[],3,FALSE)</f>
        <v>#VALUE!</v>
      </c>
    </row>
    <row r="9926" spans="1:8" hidden="1" x14ac:dyDescent="0.3">
      <c r="A9926" t="s">
        <v>33</v>
      </c>
      <c r="B9926">
        <v>2023</v>
      </c>
      <c r="C9926" t="s">
        <v>37</v>
      </c>
      <c r="D9926" t="s">
        <v>18</v>
      </c>
      <c r="E9926" t="e">
        <f>VLOOKUP(Cpi_[[#This Row],[Attribute]],#REF!,2,FALSE)</f>
        <v>#REF!</v>
      </c>
      <c r="F9926">
        <v>167.7</v>
      </c>
      <c r="G9926">
        <f>(Cpi_[[#This Row],[Value]]-F9925)/F9925</f>
        <v>-7.3480662983425482E-2</v>
      </c>
      <c r="H9926" t="e" cm="1" vm="1">
        <f t="array" aca="1" ref="H9926" ca="1">VLOOKUP(Cpi_[[#This Row],[Year]:[Month]],crudeoil[],3,FALSE)</f>
        <v>#VALUE!</v>
      </c>
    </row>
    <row r="9927" spans="1:8" hidden="1" x14ac:dyDescent="0.3">
      <c r="A9927" t="s">
        <v>33</v>
      </c>
      <c r="B9927">
        <v>2023</v>
      </c>
      <c r="C9927" t="s">
        <v>37</v>
      </c>
      <c r="D9927" t="s">
        <v>19</v>
      </c>
      <c r="E9927" t="e">
        <f>VLOOKUP(Cpi_[[#This Row],[Attribute]],#REF!,2,FALSE)</f>
        <v>#REF!</v>
      </c>
      <c r="F9927">
        <v>178.9</v>
      </c>
      <c r="G9927">
        <f>(Cpi_[[#This Row],[Value]]-F9926)/F9926</f>
        <v>6.6785927251043639E-2</v>
      </c>
      <c r="H9927" t="e" cm="1" vm="1">
        <f t="array" aca="1" ref="H9927" ca="1">VLOOKUP(Cpi_[[#This Row],[Year]:[Month]],crudeoil[],3,FALSE)</f>
        <v>#VALUE!</v>
      </c>
    </row>
    <row r="9928" spans="1:8" hidden="1" x14ac:dyDescent="0.3">
      <c r="A9928" t="s">
        <v>33</v>
      </c>
      <c r="B9928">
        <v>2023</v>
      </c>
      <c r="C9928" t="s">
        <v>37</v>
      </c>
      <c r="D9928" t="s">
        <v>20</v>
      </c>
      <c r="E9928" t="e">
        <f>VLOOKUP(Cpi_[[#This Row],[Attribute]],#REF!,2,FALSE)</f>
        <v>#REF!</v>
      </c>
      <c r="F9928">
        <v>175.2</v>
      </c>
      <c r="G9928">
        <f>(Cpi_[[#This Row],[Value]]-F9927)/F9927</f>
        <v>-2.0681945220793835E-2</v>
      </c>
      <c r="H9928" t="e" cm="1" vm="1">
        <f t="array" aca="1" ref="H9928" ca="1">VLOOKUP(Cpi_[[#This Row],[Year]:[Month]],crudeoil[],3,FALSE)</f>
        <v>#VALUE!</v>
      </c>
    </row>
    <row r="9929" spans="1:8" hidden="1" x14ac:dyDescent="0.3">
      <c r="A9929" t="s">
        <v>33</v>
      </c>
      <c r="B9929">
        <v>2023</v>
      </c>
      <c r="C9929" t="s">
        <v>37</v>
      </c>
      <c r="D9929" t="s">
        <v>21</v>
      </c>
      <c r="E9929" t="e">
        <f>VLOOKUP(Cpi_[[#This Row],[Attribute]],#REF!,2,FALSE)</f>
        <v>#REF!</v>
      </c>
      <c r="F9929">
        <v>182.1</v>
      </c>
      <c r="G9929">
        <f>(Cpi_[[#This Row],[Value]]-F9928)/F9928</f>
        <v>3.9383561643835649E-2</v>
      </c>
      <c r="H9929" t="e" cm="1" vm="1">
        <f t="array" aca="1" ref="H9929" ca="1">VLOOKUP(Cpi_[[#This Row],[Year]:[Month]],crudeoil[],3,FALSE)</f>
        <v>#VALUE!</v>
      </c>
    </row>
    <row r="9930" spans="1:8" hidden="1" x14ac:dyDescent="0.3">
      <c r="A9930" t="s">
        <v>33</v>
      </c>
      <c r="B9930">
        <v>2023</v>
      </c>
      <c r="C9930" t="s">
        <v>37</v>
      </c>
      <c r="D9930" t="s">
        <v>22</v>
      </c>
      <c r="E9930" t="e">
        <f>VLOOKUP(Cpi_[[#This Row],[Attribute]],#REF!,2,FALSE)</f>
        <v>#REF!</v>
      </c>
      <c r="F9930">
        <v>169.6</v>
      </c>
      <c r="G9930">
        <f>(Cpi_[[#This Row],[Value]]-F9929)/F9929</f>
        <v>-6.8643602416254806E-2</v>
      </c>
      <c r="H9930" t="e" cm="1" vm="1">
        <f t="array" aca="1" ref="H9930" ca="1">VLOOKUP(Cpi_[[#This Row],[Year]:[Month]],crudeoil[],3,FALSE)</f>
        <v>#VALUE!</v>
      </c>
    </row>
    <row r="9931" spans="1:8" hidden="1" x14ac:dyDescent="0.3">
      <c r="A9931" t="s">
        <v>33</v>
      </c>
      <c r="B9931">
        <v>2023</v>
      </c>
      <c r="C9931" t="s">
        <v>37</v>
      </c>
      <c r="D9931" t="s">
        <v>23</v>
      </c>
      <c r="E9931" t="e">
        <f>VLOOKUP(Cpi_[[#This Row],[Attribute]],#REF!,2,FALSE)</f>
        <v>#REF!</v>
      </c>
      <c r="F9931">
        <v>181.5</v>
      </c>
      <c r="G9931">
        <f>(Cpi_[[#This Row],[Value]]-F9930)/F9930</f>
        <v>7.0165094339622675E-2</v>
      </c>
      <c r="H9931" t="e" cm="1" vm="1">
        <f t="array" aca="1" ref="H9931" ca="1">VLOOKUP(Cpi_[[#This Row],[Year]:[Month]],crudeoil[],3,FALSE)</f>
        <v>#VALUE!</v>
      </c>
    </row>
    <row r="9932" spans="1:8" hidden="1" x14ac:dyDescent="0.3">
      <c r="A9932" t="s">
        <v>33</v>
      </c>
      <c r="B9932">
        <v>2023</v>
      </c>
      <c r="C9932" t="s">
        <v>37</v>
      </c>
      <c r="D9932" t="s">
        <v>24</v>
      </c>
      <c r="E9932" t="e">
        <f>VLOOKUP(Cpi_[[#This Row],[Attribute]],#REF!,2,FALSE)</f>
        <v>#REF!</v>
      </c>
      <c r="F9932">
        <v>160.1</v>
      </c>
      <c r="G9932">
        <f>(Cpi_[[#This Row],[Value]]-F9931)/F9931</f>
        <v>-0.1179063360881543</v>
      </c>
      <c r="H9932" t="e" cm="1" vm="1">
        <f t="array" aca="1" ref="H9932" ca="1">VLOOKUP(Cpi_[[#This Row],[Year]:[Month]],crudeoil[],3,FALSE)</f>
        <v>#VALUE!</v>
      </c>
    </row>
    <row r="9933" spans="1:8" hidden="1" x14ac:dyDescent="0.3">
      <c r="A9933" t="s">
        <v>33</v>
      </c>
      <c r="B9933">
        <v>2023</v>
      </c>
      <c r="C9933" t="s">
        <v>37</v>
      </c>
      <c r="D9933" t="s">
        <v>25</v>
      </c>
      <c r="E9933" t="e">
        <f>VLOOKUP(Cpi_[[#This Row],[Attribute]],#REF!,2,FALSE)</f>
        <v>#REF!</v>
      </c>
      <c r="F9933">
        <v>168.8</v>
      </c>
      <c r="G9933">
        <f>(Cpi_[[#This Row],[Value]]-F9932)/F9932</f>
        <v>5.4341036851967631E-2</v>
      </c>
      <c r="H9933" t="e" cm="1" vm="1">
        <f t="array" aca="1" ref="H9933" ca="1">VLOOKUP(Cpi_[[#This Row],[Year]:[Month]],crudeoil[],3,FALSE)</f>
        <v>#VALUE!</v>
      </c>
    </row>
    <row r="9934" spans="1:8" hidden="1" x14ac:dyDescent="0.3">
      <c r="A9934" t="s">
        <v>33</v>
      </c>
      <c r="B9934">
        <v>2023</v>
      </c>
      <c r="C9934" t="s">
        <v>37</v>
      </c>
      <c r="D9934" t="s">
        <v>26</v>
      </c>
      <c r="E9934" t="e">
        <f>VLOOKUP(Cpi_[[#This Row],[Attribute]],#REF!,2,FALSE)</f>
        <v>#REF!</v>
      </c>
      <c r="F9934">
        <v>174.2</v>
      </c>
      <c r="G9934">
        <f>(Cpi_[[#This Row],[Value]]-F9933)/F9933</f>
        <v>3.1990521327014083E-2</v>
      </c>
      <c r="H9934" t="e" cm="1" vm="1">
        <f t="array" aca="1" ref="H9934" ca="1">VLOOKUP(Cpi_[[#This Row],[Year]:[Month]],crudeoil[],3,FALSE)</f>
        <v>#VALUE!</v>
      </c>
    </row>
    <row r="9935" spans="1:8" hidden="1" x14ac:dyDescent="0.3">
      <c r="A9935" t="s">
        <v>33</v>
      </c>
      <c r="B9935">
        <v>2023</v>
      </c>
      <c r="C9935" t="s">
        <v>37</v>
      </c>
      <c r="D9935" t="s">
        <v>27</v>
      </c>
      <c r="E9935" t="e">
        <f>VLOOKUP(Cpi_[[#This Row],[Attribute]],#REF!,2,FALSE)</f>
        <v>#REF!</v>
      </c>
      <c r="F9935">
        <v>184.4</v>
      </c>
      <c r="G9935">
        <f>(Cpi_[[#This Row],[Value]]-F9934)/F9934</f>
        <v>5.8553386911595971E-2</v>
      </c>
      <c r="H9935" t="e" cm="1" vm="1">
        <f t="array" aca="1" ref="H9935" ca="1">VLOOKUP(Cpi_[[#This Row],[Year]:[Month]],crudeoil[],3,FALSE)</f>
        <v>#VALUE!</v>
      </c>
    </row>
    <row r="9936" spans="1:8" hidden="1" x14ac:dyDescent="0.3">
      <c r="A9936" t="s">
        <v>33</v>
      </c>
      <c r="B9936">
        <v>2023</v>
      </c>
      <c r="C9936" t="s">
        <v>37</v>
      </c>
      <c r="D9936" t="s">
        <v>28</v>
      </c>
      <c r="E9936" t="e">
        <f>VLOOKUP(Cpi_[[#This Row],[Attribute]],#REF!,2,FALSE)</f>
        <v>#REF!</v>
      </c>
      <c r="F9936">
        <v>170.9</v>
      </c>
      <c r="G9936">
        <f>(Cpi_[[#This Row],[Value]]-F9935)/F9935</f>
        <v>-7.3210412147505427E-2</v>
      </c>
      <c r="H9936" t="e" cm="1" vm="1">
        <f t="array" aca="1" ref="H9936" ca="1">VLOOKUP(Cpi_[[#This Row],[Year]:[Month]],crudeoil[],3,FALSE)</f>
        <v>#VALUE!</v>
      </c>
    </row>
    <row r="9937" spans="1:10" hidden="1" x14ac:dyDescent="0.3">
      <c r="A9937" t="s">
        <v>33</v>
      </c>
      <c r="B9937">
        <v>2023</v>
      </c>
      <c r="C9937" t="s">
        <v>37</v>
      </c>
      <c r="D9937" t="s">
        <v>29</v>
      </c>
      <c r="E9937" t="e" cm="1">
        <f t="array" aca="1" ref="E9937" ca="1">VLGeneral indexGeneral indexKUP(Cpi_[[#This Row],[Attribute]],#REF!,2,FALSE)</f>
        <v>#NAME?</v>
      </c>
      <c r="F9937">
        <v>177.4</v>
      </c>
      <c r="G9937">
        <f>(Cpi_[[#This Row],[Value]]-F9936)/F9936</f>
        <v>3.8033937975424224E-2</v>
      </c>
      <c r="H9937" t="e" cm="1" vm="1">
        <f t="array" aca="1" ref="H9937" ca="1">VLOOKUP(Cpi_[[#This Row],[Year]:[Month]],crudeoil[],3,FALSE)</f>
        <v>#VALUE!</v>
      </c>
    </row>
    <row r="9938" spans="1:10" hidden="1" x14ac:dyDescent="0.3">
      <c r="A9938" t="s">
        <v>34</v>
      </c>
      <c r="B9938">
        <v>2023</v>
      </c>
      <c r="C9938" t="s">
        <v>37</v>
      </c>
      <c r="D9938" t="s">
        <v>3</v>
      </c>
      <c r="E9938" t="e">
        <f>VLOOKUP(Cpi_[[#This Row],[Attribute]],#REF!,2,FALSE)</f>
        <v>#REF!</v>
      </c>
      <c r="F9938">
        <v>173.8</v>
      </c>
      <c r="G9938">
        <f>(Cpi_[[#This Row],[Value]]-F9937)/F9937</f>
        <v>-2.0293122886133001E-2</v>
      </c>
      <c r="H9938" t="e" cm="1" vm="1">
        <f t="array" aca="1" ref="H9938" ca="1">VLOOKUP(Cpi_[[#This Row],[Year]:[Month]],crudeoil[],3,FALSE)</f>
        <v>#VALUE!</v>
      </c>
    </row>
    <row r="9939" spans="1:10" x14ac:dyDescent="0.3">
      <c r="A9939" t="s">
        <v>34</v>
      </c>
      <c r="B9939">
        <v>2023</v>
      </c>
      <c r="C9939" t="s">
        <v>37</v>
      </c>
      <c r="D9939" t="s">
        <v>4</v>
      </c>
      <c r="E9939" t="e">
        <f>VLOOKUP(Cpi_[[#This Row],[Attribute]],#REF!,2,FALSE)</f>
        <v>#REF!</v>
      </c>
      <c r="F9939">
        <v>209.3</v>
      </c>
      <c r="G9939" s="42">
        <f>(Cpi_[[#This Row],[Value]]-F9938)/F9938</f>
        <v>0.20425776754890679</v>
      </c>
      <c r="H9939" t="str">
        <f>LEFT(Cpi_[[#This Row],[Month]],3)</f>
        <v>Apr</v>
      </c>
      <c r="I9939" t="str">
        <f>RIGHT(Cpi_[[#This Row],[Year]],2)</f>
        <v>23</v>
      </c>
      <c r="J9939" t="str">
        <f>Cpi_[[#This Row],[Column3]]&amp;"-"&amp;Cpi_[[#This Row],[Column4]]</f>
        <v>Apr-23</v>
      </c>
    </row>
    <row r="9940" spans="1:10" x14ac:dyDescent="0.3">
      <c r="A9940" t="s">
        <v>34</v>
      </c>
      <c r="B9940">
        <v>2023</v>
      </c>
      <c r="C9940" t="s">
        <v>37</v>
      </c>
      <c r="D9940" t="s">
        <v>5</v>
      </c>
      <c r="E9940" t="e">
        <f>VLOOKUP(Cpi_[[#This Row],[Attribute]],#REF!,2,FALSE)</f>
        <v>#REF!</v>
      </c>
      <c r="F9940">
        <v>169.6</v>
      </c>
      <c r="G9940" s="42">
        <f>(Cpi_[[#This Row],[Value]]-F9939)/F9939</f>
        <v>-0.18967988533205932</v>
      </c>
      <c r="H9940" t="str">
        <f>LEFT(Cpi_[[#This Row],[Month]],3)</f>
        <v>Apr</v>
      </c>
      <c r="I9940" t="str">
        <f>RIGHT(Cpi_[[#This Row],[Year]],2)</f>
        <v>23</v>
      </c>
      <c r="J9940" t="str">
        <f>Cpi_[[#This Row],[Column3]]&amp;"-"&amp;Cpi_[[#This Row],[Column4]]</f>
        <v>Apr-23</v>
      </c>
    </row>
    <row r="9941" spans="1:10" x14ac:dyDescent="0.3">
      <c r="A9941" t="s">
        <v>34</v>
      </c>
      <c r="B9941">
        <v>2023</v>
      </c>
      <c r="C9941" t="s">
        <v>37</v>
      </c>
      <c r="D9941" t="s">
        <v>6</v>
      </c>
      <c r="E9941" t="e">
        <f>VLOOKUP(Cpi_[[#This Row],[Attribute]],#REF!,2,FALSE)</f>
        <v>#REF!</v>
      </c>
      <c r="F9941">
        <v>178.4</v>
      </c>
      <c r="G9941" s="42">
        <f>(Cpi_[[#This Row],[Value]]-F9940)/F9940</f>
        <v>5.188679245283026E-2</v>
      </c>
      <c r="H9941" t="str">
        <f>LEFT(Cpi_[[#This Row],[Month]],3)</f>
        <v>Apr</v>
      </c>
      <c r="I9941" t="str">
        <f>RIGHT(Cpi_[[#This Row],[Year]],2)</f>
        <v>23</v>
      </c>
      <c r="J9941" t="str">
        <f>Cpi_[[#This Row],[Column3]]&amp;"-"&amp;Cpi_[[#This Row],[Column4]]</f>
        <v>Apr-23</v>
      </c>
    </row>
    <row r="9942" spans="1:10" x14ac:dyDescent="0.3">
      <c r="A9942" t="s">
        <v>34</v>
      </c>
      <c r="B9942">
        <v>2023</v>
      </c>
      <c r="C9942" t="s">
        <v>37</v>
      </c>
      <c r="D9942" t="s">
        <v>7</v>
      </c>
      <c r="E9942" t="e">
        <f>VLOOKUP(Cpi_[[#This Row],[Attribute]],#REF!,2,FALSE)</f>
        <v>#REF!</v>
      </c>
      <c r="F9942">
        <v>174.9</v>
      </c>
      <c r="G9942" s="42">
        <f>(Cpi_[[#This Row],[Value]]-F9941)/F9941</f>
        <v>-1.9618834080717486E-2</v>
      </c>
      <c r="H9942" t="str">
        <f>LEFT(Cpi_[[#This Row],[Month]],3)</f>
        <v>Apr</v>
      </c>
      <c r="I9942" t="str">
        <f>RIGHT(Cpi_[[#This Row],[Year]],2)</f>
        <v>23</v>
      </c>
      <c r="J9942" t="str">
        <f>Cpi_[[#This Row],[Column3]]&amp;"-"&amp;Cpi_[[#This Row],[Column4]]</f>
        <v>Apr-23</v>
      </c>
    </row>
    <row r="9943" spans="1:10" x14ac:dyDescent="0.3">
      <c r="A9943" t="s">
        <v>34</v>
      </c>
      <c r="B9943">
        <v>2023</v>
      </c>
      <c r="C9943" t="s">
        <v>37</v>
      </c>
      <c r="D9943" t="s">
        <v>8</v>
      </c>
      <c r="E9943" t="e">
        <f>VLOOKUP(Cpi_[[#This Row],[Attribute]],#REF!,2,FALSE)</f>
        <v>#REF!</v>
      </c>
      <c r="F9943">
        <v>176.3</v>
      </c>
      <c r="G9943" s="42">
        <f>(Cpi_[[#This Row],[Value]]-F9942)/F9942</f>
        <v>8.0045740423099233E-3</v>
      </c>
      <c r="H9943" t="str">
        <f>LEFT(Cpi_[[#This Row],[Month]],3)</f>
        <v>Apr</v>
      </c>
      <c r="I9943" t="str">
        <f>RIGHT(Cpi_[[#This Row],[Year]],2)</f>
        <v>23</v>
      </c>
      <c r="J9943" t="str">
        <f>Cpi_[[#This Row],[Column3]]&amp;"-"&amp;Cpi_[[#This Row],[Column4]]</f>
        <v>Apr-23</v>
      </c>
    </row>
    <row r="9944" spans="1:10" x14ac:dyDescent="0.3">
      <c r="A9944" t="s">
        <v>34</v>
      </c>
      <c r="B9944">
        <v>2023</v>
      </c>
      <c r="C9944" t="s">
        <v>37</v>
      </c>
      <c r="D9944" t="s">
        <v>9</v>
      </c>
      <c r="E9944" t="e">
        <f>VLOOKUP(Cpi_[[#This Row],[Attribute]],#REF!,2,FALSE)</f>
        <v>#REF!</v>
      </c>
      <c r="F9944">
        <v>155.4</v>
      </c>
      <c r="G9944" s="42">
        <f>(Cpi_[[#This Row],[Value]]-F9943)/F9943</f>
        <v>-0.11854792966534319</v>
      </c>
      <c r="H9944" t="str">
        <f>LEFT(Cpi_[[#This Row],[Month]],3)</f>
        <v>Apr</v>
      </c>
      <c r="I9944" t="str">
        <f>RIGHT(Cpi_[[#This Row],[Year]],2)</f>
        <v>23</v>
      </c>
      <c r="J9944" t="str">
        <f>Cpi_[[#This Row],[Column3]]&amp;"-"&amp;Cpi_[[#This Row],[Column4]]</f>
        <v>Apr-23</v>
      </c>
    </row>
    <row r="9945" spans="1:10" x14ac:dyDescent="0.3">
      <c r="A9945" t="s">
        <v>34</v>
      </c>
      <c r="B9945">
        <v>2023</v>
      </c>
      <c r="C9945" t="s">
        <v>37</v>
      </c>
      <c r="D9945" t="s">
        <v>10</v>
      </c>
      <c r="E9945" t="e">
        <f>VLOOKUP(Cpi_[[#This Row],[Attribute]],#REF!,2,FALSE)</f>
        <v>#REF!</v>
      </c>
      <c r="F9945">
        <v>173.4</v>
      </c>
      <c r="G9945" s="42">
        <f>(Cpi_[[#This Row],[Value]]-F9944)/F9944</f>
        <v>0.11583011583011582</v>
      </c>
      <c r="H9945" t="str">
        <f>LEFT(Cpi_[[#This Row],[Month]],3)</f>
        <v>Apr</v>
      </c>
      <c r="I9945" t="str">
        <f>RIGHT(Cpi_[[#This Row],[Year]],2)</f>
        <v>23</v>
      </c>
      <c r="J9945" t="str">
        <f>Cpi_[[#This Row],[Column3]]&amp;"-"&amp;Cpi_[[#This Row],[Column4]]</f>
        <v>Apr-23</v>
      </c>
    </row>
    <row r="9946" spans="1:10" x14ac:dyDescent="0.3">
      <c r="A9946" t="s">
        <v>34</v>
      </c>
      <c r="B9946">
        <v>2023</v>
      </c>
      <c r="C9946" t="s">
        <v>37</v>
      </c>
      <c r="D9946" t="s">
        <v>11</v>
      </c>
      <c r="E9946" t="e">
        <f>VLOOKUP(Cpi_[[#This Row],[Attribute]],#REF!,2,FALSE)</f>
        <v>#REF!</v>
      </c>
      <c r="F9946">
        <v>121.3</v>
      </c>
      <c r="G9946" s="42">
        <f>(Cpi_[[#This Row],[Value]]-F9945)/F9945</f>
        <v>-0.30046136101499427</v>
      </c>
      <c r="H9946" t="str">
        <f>LEFT(Cpi_[[#This Row],[Month]],3)</f>
        <v>Apr</v>
      </c>
      <c r="I9946" t="str">
        <f>RIGHT(Cpi_[[#This Row],[Year]],2)</f>
        <v>23</v>
      </c>
      <c r="J9946" t="str">
        <f>Cpi_[[#This Row],[Column3]]&amp;"-"&amp;Cpi_[[#This Row],[Column4]]</f>
        <v>Apr-23</v>
      </c>
    </row>
    <row r="9947" spans="1:10" x14ac:dyDescent="0.3">
      <c r="A9947" t="s">
        <v>34</v>
      </c>
      <c r="B9947">
        <v>2023</v>
      </c>
      <c r="C9947" t="s">
        <v>37</v>
      </c>
      <c r="D9947" t="s">
        <v>12</v>
      </c>
      <c r="E9947" t="e">
        <f>VLOOKUP(Cpi_[[#This Row],[Attribute]],#REF!,2,FALSE)</f>
        <v>#REF!</v>
      </c>
      <c r="F9947">
        <v>212.9</v>
      </c>
      <c r="G9947" s="42">
        <f>(Cpi_[[#This Row],[Value]]-F9946)/F9946</f>
        <v>0.75515251442704046</v>
      </c>
      <c r="H9947" t="str">
        <f>LEFT(Cpi_[[#This Row],[Month]],3)</f>
        <v>Apr</v>
      </c>
      <c r="I9947" t="str">
        <f>RIGHT(Cpi_[[#This Row],[Year]],2)</f>
        <v>23</v>
      </c>
      <c r="J9947" t="str">
        <f>Cpi_[[#This Row],[Column3]]&amp;"-"&amp;Cpi_[[#This Row],[Column4]]</f>
        <v>Apr-23</v>
      </c>
    </row>
    <row r="9948" spans="1:10" x14ac:dyDescent="0.3">
      <c r="A9948" t="s">
        <v>34</v>
      </c>
      <c r="B9948">
        <v>2023</v>
      </c>
      <c r="C9948" t="s">
        <v>37</v>
      </c>
      <c r="D9948" t="s">
        <v>13</v>
      </c>
      <c r="E9948" t="e">
        <f>VLOOKUP(Cpi_[[#This Row],[Attribute]],#REF!,2,FALSE)</f>
        <v>#REF!</v>
      </c>
      <c r="F9948">
        <v>172.9</v>
      </c>
      <c r="G9948" s="42">
        <f>(Cpi_[[#This Row],[Value]]-F9947)/F9947</f>
        <v>-0.18788163457022075</v>
      </c>
      <c r="H9948" t="str">
        <f>LEFT(Cpi_[[#This Row],[Month]],3)</f>
        <v>Apr</v>
      </c>
      <c r="I9948" t="str">
        <f>RIGHT(Cpi_[[#This Row],[Year]],2)</f>
        <v>23</v>
      </c>
      <c r="J9948" t="str">
        <f>Cpi_[[#This Row],[Column3]]&amp;"-"&amp;Cpi_[[#This Row],[Column4]]</f>
        <v>Apr-23</v>
      </c>
    </row>
    <row r="9949" spans="1:10" x14ac:dyDescent="0.3">
      <c r="A9949" t="s">
        <v>34</v>
      </c>
      <c r="B9949">
        <v>2023</v>
      </c>
      <c r="C9949" t="s">
        <v>37</v>
      </c>
      <c r="D9949" t="s">
        <v>14</v>
      </c>
      <c r="E9949" t="e">
        <f>VLOOKUP(Cpi_[[#This Row],[Attribute]],#REF!,2,FALSE)</f>
        <v>#REF!</v>
      </c>
      <c r="F9949">
        <v>193.5</v>
      </c>
      <c r="G9949" s="42">
        <f>(Cpi_[[#This Row],[Value]]-F9948)/F9948</f>
        <v>0.11914401388085595</v>
      </c>
      <c r="H9949" t="str">
        <f>LEFT(Cpi_[[#This Row],[Month]],3)</f>
        <v>Apr</v>
      </c>
      <c r="I9949" t="str">
        <f>RIGHT(Cpi_[[#This Row],[Year]],2)</f>
        <v>23</v>
      </c>
      <c r="J9949" t="str">
        <f>Cpi_[[#This Row],[Column3]]&amp;"-"&amp;Cpi_[[#This Row],[Column4]]</f>
        <v>Apr-23</v>
      </c>
    </row>
    <row r="9950" spans="1:10" x14ac:dyDescent="0.3">
      <c r="A9950" t="s">
        <v>34</v>
      </c>
      <c r="B9950">
        <v>2023</v>
      </c>
      <c r="C9950" t="s">
        <v>37</v>
      </c>
      <c r="D9950" t="s">
        <v>15</v>
      </c>
      <c r="E9950" t="e">
        <f>VLOOKUP(Cpi_[[#This Row],[Attribute]],#REF!,2,FALSE)</f>
        <v>#REF!</v>
      </c>
      <c r="F9950">
        <v>177.9</v>
      </c>
      <c r="G9950" s="42">
        <f>(Cpi_[[#This Row],[Value]]-F9949)/F9949</f>
        <v>-8.0620155038759661E-2</v>
      </c>
      <c r="H9950" t="str">
        <f>LEFT(Cpi_[[#This Row],[Month]],3)</f>
        <v>Apr</v>
      </c>
      <c r="I9950" t="str">
        <f>RIGHT(Cpi_[[#This Row],[Year]],2)</f>
        <v>23</v>
      </c>
      <c r="J9950" t="str">
        <f>Cpi_[[#This Row],[Column3]]&amp;"-"&amp;Cpi_[[#This Row],[Column4]]</f>
        <v>Apr-23</v>
      </c>
    </row>
    <row r="9951" spans="1:10" hidden="1" x14ac:dyDescent="0.3">
      <c r="A9951" t="s">
        <v>34</v>
      </c>
      <c r="B9951">
        <v>2023</v>
      </c>
      <c r="C9951" t="s">
        <v>37</v>
      </c>
      <c r="D9951" t="s">
        <v>16</v>
      </c>
      <c r="E9951" t="e">
        <f>VLOOKUP(Cpi_[[#This Row],[Attribute]],#REF!,2,FALSE)</f>
        <v>#REF!</v>
      </c>
      <c r="F9951">
        <v>200.6</v>
      </c>
      <c r="G9951">
        <f>(Cpi_[[#This Row],[Value]]-F9950)/F9950</f>
        <v>0.12759977515458115</v>
      </c>
      <c r="H9951" t="e" cm="1" vm="1">
        <f t="array" aca="1" ref="H9951" ca="1">VLOOKUP(Cpi_[[#This Row],[Year]:[Month]],crudeoil[],3,FALSE)</f>
        <v>#VALUE!</v>
      </c>
    </row>
    <row r="9952" spans="1:10" hidden="1" x14ac:dyDescent="0.3">
      <c r="A9952" t="s">
        <v>34</v>
      </c>
      <c r="B9952">
        <v>2023</v>
      </c>
      <c r="C9952" t="s">
        <v>37</v>
      </c>
      <c r="D9952" t="s">
        <v>17</v>
      </c>
      <c r="E9952" t="e">
        <f>VLOOKUP(Cpi_[[#This Row],[Attribute]],#REF!,2,FALSE)</f>
        <v>#REF!</v>
      </c>
      <c r="F9952">
        <v>186.9</v>
      </c>
      <c r="G9952">
        <f>(Cpi_[[#This Row],[Value]]-F9951)/F9951</f>
        <v>-6.8295114656031844E-2</v>
      </c>
      <c r="H9952" t="e" cm="1" vm="1">
        <f t="array" aca="1" ref="H9952" ca="1">VLOOKUP(Cpi_[[#This Row],[Year]:[Month]],crudeoil[],3,FALSE)</f>
        <v>#VALUE!</v>
      </c>
    </row>
    <row r="9953" spans="1:8" hidden="1" x14ac:dyDescent="0.3">
      <c r="A9953" t="s">
        <v>34</v>
      </c>
      <c r="B9953">
        <v>2023</v>
      </c>
      <c r="C9953" t="s">
        <v>37</v>
      </c>
      <c r="D9953" t="s">
        <v>18</v>
      </c>
      <c r="E9953" t="e">
        <f>VLOOKUP(Cpi_[[#This Row],[Attribute]],#REF!,2,FALSE)</f>
        <v>#REF!</v>
      </c>
      <c r="F9953">
        <v>179.2</v>
      </c>
      <c r="G9953">
        <f>(Cpi_[[#This Row],[Value]]-F9952)/F9952</f>
        <v>-4.1198501872659263E-2</v>
      </c>
      <c r="H9953" t="e" cm="1" vm="1">
        <f t="array" aca="1" ref="H9953" ca="1">VLOOKUP(Cpi_[[#This Row],[Year]:[Month]],crudeoil[],3,FALSE)</f>
        <v>#VALUE!</v>
      </c>
    </row>
    <row r="9954" spans="1:8" hidden="1" x14ac:dyDescent="0.3">
      <c r="A9954" t="s">
        <v>34</v>
      </c>
      <c r="B9954">
        <v>2023</v>
      </c>
      <c r="C9954" t="s">
        <v>37</v>
      </c>
      <c r="D9954" t="s">
        <v>19</v>
      </c>
      <c r="E9954" t="e">
        <f>VLOOKUP(Cpi_[[#This Row],[Attribute]],#REF!,2,FALSE)</f>
        <v>#REF!</v>
      </c>
      <c r="F9954">
        <v>185.7</v>
      </c>
      <c r="G9954">
        <f>(Cpi_[[#This Row],[Value]]-F9953)/F9953</f>
        <v>3.6272321428571432E-2</v>
      </c>
      <c r="H9954" t="e" cm="1" vm="1">
        <f t="array" aca="1" ref="H9954" ca="1">VLOOKUP(Cpi_[[#This Row],[Year]:[Month]],crudeoil[],3,FALSE)</f>
        <v>#VALUE!</v>
      </c>
    </row>
    <row r="9955" spans="1:8" hidden="1" x14ac:dyDescent="0.3">
      <c r="A9955" t="s">
        <v>34</v>
      </c>
      <c r="B9955">
        <v>2023</v>
      </c>
      <c r="C9955" t="s">
        <v>37</v>
      </c>
      <c r="D9955" t="s">
        <v>20</v>
      </c>
      <c r="E9955" t="e">
        <f>VLOOKUP(Cpi_[[#This Row],[Attribute]],#REF!,2,FALSE)</f>
        <v>#REF!</v>
      </c>
      <c r="F9955">
        <v>175.2</v>
      </c>
      <c r="G9955">
        <f>(Cpi_[[#This Row],[Value]]-F9954)/F9954</f>
        <v>-5.6542810985460421E-2</v>
      </c>
      <c r="H9955" t="e" cm="1" vm="1">
        <f t="array" aca="1" ref="H9955" ca="1">VLOOKUP(Cpi_[[#This Row],[Year]:[Month]],crudeoil[],3,FALSE)</f>
        <v>#VALUE!</v>
      </c>
    </row>
    <row r="9956" spans="1:8" hidden="1" x14ac:dyDescent="0.3">
      <c r="A9956" t="s">
        <v>34</v>
      </c>
      <c r="B9956">
        <v>2023</v>
      </c>
      <c r="C9956" t="s">
        <v>37</v>
      </c>
      <c r="D9956" t="s">
        <v>21</v>
      </c>
      <c r="E9956" t="e">
        <f>VLOOKUP(Cpi_[[#This Row],[Attribute]],#REF!,2,FALSE)</f>
        <v>#REF!</v>
      </c>
      <c r="F9956">
        <v>181.7</v>
      </c>
      <c r="G9956">
        <f>(Cpi_[[#This Row],[Value]]-F9955)/F9955</f>
        <v>3.7100456621004571E-2</v>
      </c>
      <c r="H9956" t="e" cm="1" vm="1">
        <f t="array" aca="1" ref="H9956" ca="1">VLOOKUP(Cpi_[[#This Row],[Year]:[Month]],crudeoil[],3,FALSE)</f>
        <v>#VALUE!</v>
      </c>
    </row>
    <row r="9957" spans="1:8" hidden="1" x14ac:dyDescent="0.3">
      <c r="A9957" t="s">
        <v>34</v>
      </c>
      <c r="B9957">
        <v>2023</v>
      </c>
      <c r="C9957" t="s">
        <v>37</v>
      </c>
      <c r="D9957" t="s">
        <v>22</v>
      </c>
      <c r="E9957" t="e">
        <f>VLOOKUP(Cpi_[[#This Row],[Attribute]],#REF!,2,FALSE)</f>
        <v>#REF!</v>
      </c>
      <c r="F9957">
        <v>174.6</v>
      </c>
      <c r="G9957">
        <f>(Cpi_[[#This Row],[Value]]-F9956)/F9956</f>
        <v>-3.9075399009356054E-2</v>
      </c>
      <c r="H9957" t="e" cm="1" vm="1">
        <f t="array" aca="1" ref="H9957" ca="1">VLOOKUP(Cpi_[[#This Row],[Year]:[Month]],crudeoil[],3,FALSE)</f>
        <v>#VALUE!</v>
      </c>
    </row>
    <row r="9958" spans="1:8" hidden="1" x14ac:dyDescent="0.3">
      <c r="A9958" t="s">
        <v>34</v>
      </c>
      <c r="B9958">
        <v>2023</v>
      </c>
      <c r="C9958" t="s">
        <v>37</v>
      </c>
      <c r="D9958" t="s">
        <v>23</v>
      </c>
      <c r="E9958" t="e">
        <f>VLOOKUP(Cpi_[[#This Row],[Attribute]],#REF!,2,FALSE)</f>
        <v>#REF!</v>
      </c>
      <c r="F9958">
        <v>185</v>
      </c>
      <c r="G9958">
        <f>(Cpi_[[#This Row],[Value]]-F9957)/F9957</f>
        <v>5.9564719358533823E-2</v>
      </c>
      <c r="H9958" t="e" cm="1" vm="1">
        <f t="array" aca="1" ref="H9958" ca="1">VLOOKUP(Cpi_[[#This Row],[Year]:[Month]],crudeoil[],3,FALSE)</f>
        <v>#VALUE!</v>
      </c>
    </row>
    <row r="9959" spans="1:8" hidden="1" x14ac:dyDescent="0.3">
      <c r="A9959" t="s">
        <v>34</v>
      </c>
      <c r="B9959">
        <v>2023</v>
      </c>
      <c r="C9959" t="s">
        <v>37</v>
      </c>
      <c r="D9959" t="s">
        <v>24</v>
      </c>
      <c r="E9959" t="e">
        <f>VLOOKUP(Cpi_[[#This Row],[Attribute]],#REF!,2,FALSE)</f>
        <v>#REF!</v>
      </c>
      <c r="F9959">
        <v>164.5</v>
      </c>
      <c r="G9959">
        <f>(Cpi_[[#This Row],[Value]]-F9958)/F9958</f>
        <v>-0.11081081081081082</v>
      </c>
      <c r="H9959" t="e" cm="1" vm="1">
        <f t="array" aca="1" ref="H9959" ca="1">VLOOKUP(Cpi_[[#This Row],[Year]:[Month]],crudeoil[],3,FALSE)</f>
        <v>#VALUE!</v>
      </c>
    </row>
    <row r="9960" spans="1:8" hidden="1" x14ac:dyDescent="0.3">
      <c r="A9960" t="s">
        <v>34</v>
      </c>
      <c r="B9960">
        <v>2023</v>
      </c>
      <c r="C9960" t="s">
        <v>37</v>
      </c>
      <c r="D9960" t="s">
        <v>25</v>
      </c>
      <c r="E9960" t="e">
        <f>VLOOKUP(Cpi_[[#This Row],[Attribute]],#REF!,2,FALSE)</f>
        <v>#REF!</v>
      </c>
      <c r="F9960">
        <v>170.7</v>
      </c>
      <c r="G9960">
        <f>(Cpi_[[#This Row],[Value]]-F9959)/F9959</f>
        <v>3.7689969604863149E-2</v>
      </c>
      <c r="H9960" t="e" cm="1" vm="1">
        <f t="array" aca="1" ref="H9960" ca="1">VLOOKUP(Cpi_[[#This Row],[Year]:[Month]],crudeoil[],3,FALSE)</f>
        <v>#VALUE!</v>
      </c>
    </row>
    <row r="9961" spans="1:8" hidden="1" x14ac:dyDescent="0.3">
      <c r="A9961" t="s">
        <v>34</v>
      </c>
      <c r="B9961">
        <v>2023</v>
      </c>
      <c r="C9961" t="s">
        <v>37</v>
      </c>
      <c r="D9961" t="s">
        <v>26</v>
      </c>
      <c r="E9961" t="e">
        <f>VLOOKUP(Cpi_[[#This Row],[Attribute]],#REF!,2,FALSE)</f>
        <v>#REF!</v>
      </c>
      <c r="F9961">
        <v>176.4</v>
      </c>
      <c r="G9961">
        <f>(Cpi_[[#This Row],[Value]]-F9960)/F9960</f>
        <v>3.3391915641476373E-2</v>
      </c>
      <c r="H9961" t="e" cm="1" vm="1">
        <f t="array" aca="1" ref="H9961" ca="1">VLOOKUP(Cpi_[[#This Row],[Year]:[Month]],crudeoil[],3,FALSE)</f>
        <v>#VALUE!</v>
      </c>
    </row>
    <row r="9962" spans="1:8" hidden="1" x14ac:dyDescent="0.3">
      <c r="A9962" t="s">
        <v>34</v>
      </c>
      <c r="B9962">
        <v>2023</v>
      </c>
      <c r="C9962" t="s">
        <v>37</v>
      </c>
      <c r="D9962" t="s">
        <v>27</v>
      </c>
      <c r="E9962" t="e">
        <f>VLOOKUP(Cpi_[[#This Row],[Attribute]],#REF!,2,FALSE)</f>
        <v>#REF!</v>
      </c>
      <c r="F9962">
        <v>184</v>
      </c>
      <c r="G9962">
        <f>(Cpi_[[#This Row],[Value]]-F9961)/F9961</f>
        <v>4.3083900226757336E-2</v>
      </c>
      <c r="H9962" t="e" cm="1" vm="1">
        <f t="array" aca="1" ref="H9962" ca="1">VLOOKUP(Cpi_[[#This Row],[Year]:[Month]],crudeoil[],3,FALSE)</f>
        <v>#VALUE!</v>
      </c>
    </row>
    <row r="9963" spans="1:8" hidden="1" x14ac:dyDescent="0.3">
      <c r="A9963" t="s">
        <v>34</v>
      </c>
      <c r="B9963">
        <v>2023</v>
      </c>
      <c r="C9963" t="s">
        <v>37</v>
      </c>
      <c r="D9963" t="s">
        <v>28</v>
      </c>
      <c r="E9963" t="e">
        <f>VLOOKUP(Cpi_[[#This Row],[Attribute]],#REF!,2,FALSE)</f>
        <v>#REF!</v>
      </c>
      <c r="F9963">
        <v>175</v>
      </c>
      <c r="G9963">
        <f>(Cpi_[[#This Row],[Value]]-F9962)/F9962</f>
        <v>-4.8913043478260872E-2</v>
      </c>
      <c r="H9963" t="e" cm="1" vm="1">
        <f t="array" aca="1" ref="H9963" ca="1">VLOOKUP(Cpi_[[#This Row],[Year]:[Month]],crudeoil[],3,FALSE)</f>
        <v>#VALUE!</v>
      </c>
    </row>
    <row r="9964" spans="1:8" hidden="1" x14ac:dyDescent="0.3">
      <c r="A9964" t="s">
        <v>34</v>
      </c>
      <c r="B9964">
        <v>2023</v>
      </c>
      <c r="C9964" t="s">
        <v>37</v>
      </c>
      <c r="D9964" t="s">
        <v>29</v>
      </c>
      <c r="E9964" t="e" cm="1">
        <f t="array" aca="1" ref="E9964" ca="1">VLGeneral indexGeneral indexKUP(Cpi_[[#This Row],[Attribute]],#REF!,2,FALSE)</f>
        <v>#NAME?</v>
      </c>
      <c r="F9964">
        <v>178.1</v>
      </c>
      <c r="G9964">
        <f>(Cpi_[[#This Row],[Value]]-F9963)/F9963</f>
        <v>1.7714285714285682E-2</v>
      </c>
      <c r="H9964" t="e" cm="1" vm="1">
        <f t="array" aca="1" ref="H9964" ca="1">VLOOKUP(Cpi_[[#This Row],[Year]:[Month]],crudeoil[],3,FALSE)</f>
        <v>#VALUE!</v>
      </c>
    </row>
    <row r="9965" spans="1:8" hidden="1" x14ac:dyDescent="0.3">
      <c r="A9965" t="s">
        <v>30</v>
      </c>
      <c r="B9965">
        <v>2023</v>
      </c>
      <c r="C9965" t="s">
        <v>38</v>
      </c>
      <c r="D9965" t="s">
        <v>3</v>
      </c>
      <c r="E9965" t="e">
        <f>VLOOKUP(Cpi_[[#This Row],[Attribute]],#REF!,2,FALSE)</f>
        <v>#REF!</v>
      </c>
      <c r="F9965">
        <v>173.2</v>
      </c>
      <c r="G9965">
        <f>(Cpi_[[#This Row],[Value]]-F9964)/F9964</f>
        <v>-2.7512633352049443E-2</v>
      </c>
      <c r="H9965" t="e" cm="1" vm="1">
        <f t="array" aca="1" ref="H9965" ca="1">VLOOKUP(Cpi_[[#This Row],[Year]:[Month]],crudeoil[],3,FALSE)</f>
        <v>#VALUE!</v>
      </c>
    </row>
    <row r="9966" spans="1:8" hidden="1" x14ac:dyDescent="0.3">
      <c r="A9966" t="s">
        <v>30</v>
      </c>
      <c r="B9966">
        <v>2023</v>
      </c>
      <c r="C9966" t="s">
        <v>38</v>
      </c>
      <c r="D9966" t="s">
        <v>4</v>
      </c>
      <c r="E9966" t="e">
        <f>VLOOKUP(Cpi_[[#This Row],[Attribute]],#REF!,2,FALSE)</f>
        <v>#REF!</v>
      </c>
      <c r="F9966">
        <v>211.5</v>
      </c>
      <c r="G9966">
        <f>(Cpi_[[#This Row],[Value]]-F9965)/F9965</f>
        <v>0.22113163972286382</v>
      </c>
      <c r="H9966" t="e" cm="1" vm="1">
        <f t="array" aca="1" ref="H9966" ca="1">VLOOKUP(Cpi_[[#This Row],[Year]:[Month]],crudeoil[],3,FALSE)</f>
        <v>#VALUE!</v>
      </c>
    </row>
    <row r="9967" spans="1:8" hidden="1" x14ac:dyDescent="0.3">
      <c r="A9967" t="s">
        <v>30</v>
      </c>
      <c r="B9967">
        <v>2023</v>
      </c>
      <c r="C9967" t="s">
        <v>38</v>
      </c>
      <c r="D9967" t="s">
        <v>5</v>
      </c>
      <c r="E9967" t="e">
        <f>VLOOKUP(Cpi_[[#This Row],[Attribute]],#REF!,2,FALSE)</f>
        <v>#REF!</v>
      </c>
      <c r="F9967">
        <v>171</v>
      </c>
      <c r="G9967">
        <f>(Cpi_[[#This Row],[Value]]-F9966)/F9966</f>
        <v>-0.19148936170212766</v>
      </c>
      <c r="H9967" t="e" cm="1" vm="1">
        <f t="array" aca="1" ref="H9967" ca="1">VLOOKUP(Cpi_[[#This Row],[Year]:[Month]],crudeoil[],3,FALSE)</f>
        <v>#VALUE!</v>
      </c>
    </row>
    <row r="9968" spans="1:8" hidden="1" x14ac:dyDescent="0.3">
      <c r="A9968" t="s">
        <v>30</v>
      </c>
      <c r="B9968">
        <v>2023</v>
      </c>
      <c r="C9968" t="s">
        <v>38</v>
      </c>
      <c r="D9968" t="s">
        <v>6</v>
      </c>
      <c r="E9968" t="e">
        <f>VLOOKUP(Cpi_[[#This Row],[Attribute]],#REF!,2,FALSE)</f>
        <v>#REF!</v>
      </c>
      <c r="F9968">
        <v>179.6</v>
      </c>
      <c r="G9968">
        <f>(Cpi_[[#This Row],[Value]]-F9967)/F9967</f>
        <v>5.029239766081868E-2</v>
      </c>
      <c r="H9968" t="e" cm="1" vm="1">
        <f t="array" aca="1" ref="H9968" ca="1">VLOOKUP(Cpi_[[#This Row],[Year]:[Month]],crudeoil[],3,FALSE)</f>
        <v>#VALUE!</v>
      </c>
    </row>
    <row r="9969" spans="1:8" hidden="1" x14ac:dyDescent="0.3">
      <c r="A9969" t="s">
        <v>30</v>
      </c>
      <c r="B9969">
        <v>2023</v>
      </c>
      <c r="C9969" t="s">
        <v>38</v>
      </c>
      <c r="D9969" t="s">
        <v>7</v>
      </c>
      <c r="E9969" t="e">
        <f>VLOOKUP(Cpi_[[#This Row],[Attribute]],#REF!,2,FALSE)</f>
        <v>#REF!</v>
      </c>
      <c r="F9969">
        <v>173.3</v>
      </c>
      <c r="G9969">
        <f>(Cpi_[[#This Row],[Value]]-F9968)/F9968</f>
        <v>-3.5077951002227076E-2</v>
      </c>
      <c r="H9969" t="e" cm="1" vm="1">
        <f t="array" aca="1" ref="H9969" ca="1">VLOOKUP(Cpi_[[#This Row],[Year]:[Month]],crudeoil[],3,FALSE)</f>
        <v>#VALUE!</v>
      </c>
    </row>
    <row r="9970" spans="1:8" hidden="1" x14ac:dyDescent="0.3">
      <c r="A9970" t="s">
        <v>30</v>
      </c>
      <c r="B9970">
        <v>2023</v>
      </c>
      <c r="C9970" t="s">
        <v>38</v>
      </c>
      <c r="D9970" t="s">
        <v>8</v>
      </c>
      <c r="E9970" t="e">
        <f>VLOOKUP(Cpi_[[#This Row],[Attribute]],#REF!,2,FALSE)</f>
        <v>#REF!</v>
      </c>
      <c r="F9970">
        <v>169</v>
      </c>
      <c r="G9970">
        <f>(Cpi_[[#This Row],[Value]]-F9969)/F9969</f>
        <v>-2.4812463935372252E-2</v>
      </c>
      <c r="H9970" t="e" cm="1" vm="1">
        <f t="array" aca="1" ref="H9970" ca="1">VLOOKUP(Cpi_[[#This Row],[Year]:[Month]],crudeoil[],3,FALSE)</f>
        <v>#VALUE!</v>
      </c>
    </row>
    <row r="9971" spans="1:8" hidden="1" x14ac:dyDescent="0.3">
      <c r="A9971" t="s">
        <v>30</v>
      </c>
      <c r="B9971">
        <v>2023</v>
      </c>
      <c r="C9971" t="s">
        <v>38</v>
      </c>
      <c r="D9971" t="s">
        <v>9</v>
      </c>
      <c r="E9971" t="e">
        <f>VLOOKUP(Cpi_[[#This Row],[Attribute]],#REF!,2,FALSE)</f>
        <v>#REF!</v>
      </c>
      <c r="F9971">
        <v>148.69999999999999</v>
      </c>
      <c r="G9971">
        <f>(Cpi_[[#This Row],[Value]]-F9970)/F9970</f>
        <v>-0.12011834319526633</v>
      </c>
      <c r="H9971" t="e" cm="1" vm="1">
        <f t="array" aca="1" ref="H9971" ca="1">VLOOKUP(Cpi_[[#This Row],[Year]:[Month]],crudeoil[],3,FALSE)</f>
        <v>#VALUE!</v>
      </c>
    </row>
    <row r="9972" spans="1:8" hidden="1" x14ac:dyDescent="0.3">
      <c r="A9972" t="s">
        <v>30</v>
      </c>
      <c r="B9972">
        <v>2023</v>
      </c>
      <c r="C9972" t="s">
        <v>38</v>
      </c>
      <c r="D9972" t="s">
        <v>10</v>
      </c>
      <c r="E9972" t="e">
        <f>VLOOKUP(Cpi_[[#This Row],[Attribute]],#REF!,2,FALSE)</f>
        <v>#REF!</v>
      </c>
      <c r="F9972">
        <v>174.9</v>
      </c>
      <c r="G9972">
        <f>(Cpi_[[#This Row],[Value]]-F9971)/F9971</f>
        <v>0.17619367854741103</v>
      </c>
      <c r="H9972" t="e" cm="1" vm="1">
        <f t="array" aca="1" ref="H9972" ca="1">VLOOKUP(Cpi_[[#This Row],[Year]:[Month]],crudeoil[],3,FALSE)</f>
        <v>#VALUE!</v>
      </c>
    </row>
    <row r="9973" spans="1:8" hidden="1" x14ac:dyDescent="0.3">
      <c r="A9973" t="s">
        <v>30</v>
      </c>
      <c r="B9973">
        <v>2023</v>
      </c>
      <c r="C9973" t="s">
        <v>38</v>
      </c>
      <c r="D9973" t="s">
        <v>11</v>
      </c>
      <c r="E9973" t="e">
        <f>VLOOKUP(Cpi_[[#This Row],[Attribute]],#REF!,2,FALSE)</f>
        <v>#REF!</v>
      </c>
      <c r="F9973">
        <v>121.9</v>
      </c>
      <c r="G9973">
        <f>(Cpi_[[#This Row],[Value]]-F9972)/F9972</f>
        <v>-0.30303030303030304</v>
      </c>
      <c r="H9973" t="e" cm="1" vm="1">
        <f t="array" aca="1" ref="H9973" ca="1">VLOOKUP(Cpi_[[#This Row],[Year]:[Month]],crudeoil[],3,FALSE)</f>
        <v>#VALUE!</v>
      </c>
    </row>
    <row r="9974" spans="1:8" hidden="1" x14ac:dyDescent="0.3">
      <c r="A9974" t="s">
        <v>30</v>
      </c>
      <c r="B9974">
        <v>2023</v>
      </c>
      <c r="C9974" t="s">
        <v>38</v>
      </c>
      <c r="D9974" t="s">
        <v>12</v>
      </c>
      <c r="E9974" t="e">
        <f>VLOOKUP(Cpi_[[#This Row],[Attribute]],#REF!,2,FALSE)</f>
        <v>#REF!</v>
      </c>
      <c r="F9974">
        <v>221</v>
      </c>
      <c r="G9974">
        <f>(Cpi_[[#This Row],[Value]]-F9973)/F9973</f>
        <v>0.81296144380639856</v>
      </c>
      <c r="H9974" t="e" cm="1" vm="1">
        <f t="array" aca="1" ref="H9974" ca="1">VLOOKUP(Cpi_[[#This Row],[Year]:[Month]],crudeoil[],3,FALSE)</f>
        <v>#VALUE!</v>
      </c>
    </row>
    <row r="9975" spans="1:8" hidden="1" x14ac:dyDescent="0.3">
      <c r="A9975" t="s">
        <v>30</v>
      </c>
      <c r="B9975">
        <v>2023</v>
      </c>
      <c r="C9975" t="s">
        <v>38</v>
      </c>
      <c r="D9975" t="s">
        <v>13</v>
      </c>
      <c r="E9975" t="e">
        <f>VLOOKUP(Cpi_[[#This Row],[Attribute]],#REF!,2,FALSE)</f>
        <v>#REF!</v>
      </c>
      <c r="F9975">
        <v>178.7</v>
      </c>
      <c r="G9975">
        <f>(Cpi_[[#This Row],[Value]]-F9974)/F9974</f>
        <v>-0.19140271493212674</v>
      </c>
      <c r="H9975" t="e" cm="1" vm="1">
        <f t="array" aca="1" ref="H9975" ca="1">VLOOKUP(Cpi_[[#This Row],[Year]:[Month]],crudeoil[],3,FALSE)</f>
        <v>#VALUE!</v>
      </c>
    </row>
    <row r="9976" spans="1:8" hidden="1" x14ac:dyDescent="0.3">
      <c r="A9976" t="s">
        <v>30</v>
      </c>
      <c r="B9976">
        <v>2023</v>
      </c>
      <c r="C9976" t="s">
        <v>38</v>
      </c>
      <c r="D9976" t="s">
        <v>14</v>
      </c>
      <c r="E9976" t="e">
        <f>VLOOKUP(Cpi_[[#This Row],[Attribute]],#REF!,2,FALSE)</f>
        <v>#REF!</v>
      </c>
      <c r="F9976">
        <v>191.1</v>
      </c>
      <c r="G9976">
        <f>(Cpi_[[#This Row],[Value]]-F9975)/F9975</f>
        <v>6.9390039171796342E-2</v>
      </c>
      <c r="H9976" t="e" cm="1" vm="1">
        <f t="array" aca="1" ref="H9976" ca="1">VLOOKUP(Cpi_[[#This Row],[Year]:[Month]],crudeoil[],3,FALSE)</f>
        <v>#VALUE!</v>
      </c>
    </row>
    <row r="9977" spans="1:8" hidden="1" x14ac:dyDescent="0.3">
      <c r="A9977" t="s">
        <v>30</v>
      </c>
      <c r="B9977">
        <v>2023</v>
      </c>
      <c r="C9977" t="s">
        <v>38</v>
      </c>
      <c r="D9977" t="s">
        <v>15</v>
      </c>
      <c r="E9977" t="e">
        <f>VLOOKUP(Cpi_[[#This Row],[Attribute]],#REF!,2,FALSE)</f>
        <v>#REF!</v>
      </c>
      <c r="F9977">
        <v>176.8</v>
      </c>
      <c r="G9977">
        <f>(Cpi_[[#This Row],[Value]]-F9976)/F9976</f>
        <v>-7.4829931972789032E-2</v>
      </c>
      <c r="H9977" t="e" cm="1" vm="1">
        <f t="array" aca="1" ref="H9977" ca="1">VLOOKUP(Cpi_[[#This Row],[Year]:[Month]],crudeoil[],3,FALSE)</f>
        <v>#VALUE!</v>
      </c>
    </row>
    <row r="9978" spans="1:8" hidden="1" x14ac:dyDescent="0.3">
      <c r="A9978" t="s">
        <v>30</v>
      </c>
      <c r="B9978">
        <v>2023</v>
      </c>
      <c r="C9978" t="s">
        <v>38</v>
      </c>
      <c r="D9978" t="s">
        <v>16</v>
      </c>
      <c r="E9978" t="e">
        <f>VLOOKUP(Cpi_[[#This Row],[Attribute]],#REF!,2,FALSE)</f>
        <v>#REF!</v>
      </c>
      <c r="F9978">
        <v>199.9</v>
      </c>
      <c r="G9978">
        <f>(Cpi_[[#This Row],[Value]]-F9977)/F9977</f>
        <v>0.13065610859728502</v>
      </c>
      <c r="H9978" t="e" cm="1" vm="1">
        <f t="array" aca="1" ref="H9978" ca="1">VLOOKUP(Cpi_[[#This Row],[Year]:[Month]],crudeoil[],3,FALSE)</f>
        <v>#VALUE!</v>
      </c>
    </row>
    <row r="9979" spans="1:8" hidden="1" x14ac:dyDescent="0.3">
      <c r="A9979" t="s">
        <v>30</v>
      </c>
      <c r="B9979">
        <v>2023</v>
      </c>
      <c r="C9979" t="s">
        <v>38</v>
      </c>
      <c r="D9979" t="s">
        <v>17</v>
      </c>
      <c r="E9979" t="e">
        <f>VLOOKUP(Cpi_[[#This Row],[Attribute]],#REF!,2,FALSE)</f>
        <v>#REF!</v>
      </c>
      <c r="F9979">
        <v>191.2</v>
      </c>
      <c r="G9979">
        <f>(Cpi_[[#This Row],[Value]]-F9978)/F9978</f>
        <v>-4.3521760880440304E-2</v>
      </c>
      <c r="H9979" t="e" cm="1" vm="1">
        <f t="array" aca="1" ref="H9979" ca="1">VLOOKUP(Cpi_[[#This Row],[Year]:[Month]],crudeoil[],3,FALSE)</f>
        <v>#VALUE!</v>
      </c>
    </row>
    <row r="9980" spans="1:8" hidden="1" x14ac:dyDescent="0.3">
      <c r="A9980" t="s">
        <v>30</v>
      </c>
      <c r="B9980">
        <v>2023</v>
      </c>
      <c r="C9980" t="s">
        <v>38</v>
      </c>
      <c r="D9980" t="s">
        <v>18</v>
      </c>
      <c r="E9980" t="e">
        <f>VLOOKUP(Cpi_[[#This Row],[Attribute]],#REF!,2,FALSE)</f>
        <v>#REF!</v>
      </c>
      <c r="F9980">
        <v>187.9</v>
      </c>
      <c r="G9980">
        <f>(Cpi_[[#This Row],[Value]]-F9979)/F9979</f>
        <v>-1.7259414225941336E-2</v>
      </c>
      <c r="H9980" t="e" cm="1" vm="1">
        <f t="array" aca="1" ref="H9980" ca="1">VLOOKUP(Cpi_[[#This Row],[Year]:[Month]],crudeoil[],3,FALSE)</f>
        <v>#VALUE!</v>
      </c>
    </row>
    <row r="9981" spans="1:8" hidden="1" x14ac:dyDescent="0.3">
      <c r="A9981" t="s">
        <v>30</v>
      </c>
      <c r="B9981">
        <v>2023</v>
      </c>
      <c r="C9981" t="s">
        <v>38</v>
      </c>
      <c r="D9981" t="s">
        <v>19</v>
      </c>
      <c r="E9981" t="e">
        <f>VLOOKUP(Cpi_[[#This Row],[Attribute]],#REF!,2,FALSE)</f>
        <v>#REF!</v>
      </c>
      <c r="F9981">
        <v>190.8</v>
      </c>
      <c r="G9981">
        <f>(Cpi_[[#This Row],[Value]]-F9980)/F9980</f>
        <v>1.5433741351782894E-2</v>
      </c>
      <c r="H9981" t="e" cm="1" vm="1">
        <f t="array" aca="1" ref="H9981" ca="1">VLOOKUP(Cpi_[[#This Row],[Year]:[Month]],crudeoil[],3,FALSE)</f>
        <v>#VALUE!</v>
      </c>
    </row>
    <row r="9982" spans="1:8" hidden="1" x14ac:dyDescent="0.3">
      <c r="A9982" t="s">
        <v>30</v>
      </c>
      <c r="B9982">
        <v>2023</v>
      </c>
      <c r="C9982" t="s">
        <v>38</v>
      </c>
      <c r="D9982" t="s">
        <v>20</v>
      </c>
      <c r="E9982" t="e">
        <f>VLOOKUP(Cpi_[[#This Row],[Attribute]],#REF!,2,FALSE)</f>
        <v>#REF!</v>
      </c>
      <c r="F9982" t="s">
        <v>48</v>
      </c>
      <c r="G9982" t="e">
        <f>(Cpi_[[#This Row],[Value]]-F9981)/F9981</f>
        <v>#VALUE!</v>
      </c>
      <c r="H9982" t="e" cm="1" vm="1">
        <f t="array" aca="1" ref="H9982" ca="1">VLOOKUP(Cpi_[[#This Row],[Year]:[Month]],crudeoil[],3,FALSE)</f>
        <v>#VALUE!</v>
      </c>
    </row>
    <row r="9983" spans="1:8" hidden="1" x14ac:dyDescent="0.3">
      <c r="A9983" t="s">
        <v>30</v>
      </c>
      <c r="B9983">
        <v>2023</v>
      </c>
      <c r="C9983" t="s">
        <v>38</v>
      </c>
      <c r="D9983" t="s">
        <v>21</v>
      </c>
      <c r="E9983" t="e">
        <f>VLOOKUP(Cpi_[[#This Row],[Attribute]],#REF!,2,FALSE)</f>
        <v>#REF!</v>
      </c>
      <c r="F9983">
        <v>182.5</v>
      </c>
      <c r="G9983" t="e">
        <f>(Cpi_[[#This Row],[Value]]-F9982)/F9982</f>
        <v>#VALUE!</v>
      </c>
      <c r="H9983" t="e" cm="1" vm="1">
        <f t="array" aca="1" ref="H9983" ca="1">VLOOKUP(Cpi_[[#This Row],[Year]:[Month]],crudeoil[],3,FALSE)</f>
        <v>#VALUE!</v>
      </c>
    </row>
    <row r="9984" spans="1:8" hidden="1" x14ac:dyDescent="0.3">
      <c r="A9984" t="s">
        <v>30</v>
      </c>
      <c r="B9984">
        <v>2023</v>
      </c>
      <c r="C9984" t="s">
        <v>38</v>
      </c>
      <c r="D9984" t="s">
        <v>22</v>
      </c>
      <c r="E9984" t="e">
        <f>VLOOKUP(Cpi_[[#This Row],[Attribute]],#REF!,2,FALSE)</f>
        <v>#REF!</v>
      </c>
      <c r="F9984">
        <v>179.8</v>
      </c>
      <c r="G9984">
        <f>(Cpi_[[#This Row],[Value]]-F9983)/F9983</f>
        <v>-1.4794520547945143E-2</v>
      </c>
      <c r="H9984" t="e" cm="1" vm="1">
        <f t="array" aca="1" ref="H9984" ca="1">VLOOKUP(Cpi_[[#This Row],[Year]:[Month]],crudeoil[],3,FALSE)</f>
        <v>#VALUE!</v>
      </c>
    </row>
    <row r="9985" spans="1:8" hidden="1" x14ac:dyDescent="0.3">
      <c r="A9985" t="s">
        <v>30</v>
      </c>
      <c r="B9985">
        <v>2023</v>
      </c>
      <c r="C9985" t="s">
        <v>38</v>
      </c>
      <c r="D9985" t="s">
        <v>23</v>
      </c>
      <c r="E9985" t="e">
        <f>VLOOKUP(Cpi_[[#This Row],[Attribute]],#REF!,2,FALSE)</f>
        <v>#REF!</v>
      </c>
      <c r="F9985">
        <v>187.8</v>
      </c>
      <c r="G9985">
        <f>(Cpi_[[#This Row],[Value]]-F9984)/F9984</f>
        <v>4.4493882091212453E-2</v>
      </c>
      <c r="H9985" t="e" cm="1" vm="1">
        <f t="array" aca="1" ref="H9985" ca="1">VLOOKUP(Cpi_[[#This Row],[Year]:[Month]],crudeoil[],3,FALSE)</f>
        <v>#VALUE!</v>
      </c>
    </row>
    <row r="9986" spans="1:8" hidden="1" x14ac:dyDescent="0.3">
      <c r="A9986" t="s">
        <v>30</v>
      </c>
      <c r="B9986">
        <v>2023</v>
      </c>
      <c r="C9986" t="s">
        <v>38</v>
      </c>
      <c r="D9986" t="s">
        <v>24</v>
      </c>
      <c r="E9986" t="e">
        <f>VLOOKUP(Cpi_[[#This Row],[Attribute]],#REF!,2,FALSE)</f>
        <v>#REF!</v>
      </c>
      <c r="F9986">
        <v>169.7</v>
      </c>
      <c r="G9986">
        <f>(Cpi_[[#This Row],[Value]]-F9985)/F9985</f>
        <v>-9.6379126730564549E-2</v>
      </c>
      <c r="H9986" t="e" cm="1" vm="1">
        <f t="array" aca="1" ref="H9986" ca="1">VLOOKUP(Cpi_[[#This Row],[Year]:[Month]],crudeoil[],3,FALSE)</f>
        <v>#VALUE!</v>
      </c>
    </row>
    <row r="9987" spans="1:8" hidden="1" x14ac:dyDescent="0.3">
      <c r="A9987" t="s">
        <v>30</v>
      </c>
      <c r="B9987">
        <v>2023</v>
      </c>
      <c r="C9987" t="s">
        <v>38</v>
      </c>
      <c r="D9987" t="s">
        <v>25</v>
      </c>
      <c r="E9987" t="e">
        <f>VLOOKUP(Cpi_[[#This Row],[Attribute]],#REF!,2,FALSE)</f>
        <v>#REF!</v>
      </c>
      <c r="F9987">
        <v>173.8</v>
      </c>
      <c r="G9987">
        <f>(Cpi_[[#This Row],[Value]]-F9986)/F9986</f>
        <v>2.4160282852092062E-2</v>
      </c>
      <c r="H9987" t="e" cm="1" vm="1">
        <f t="array" aca="1" ref="H9987" ca="1">VLOOKUP(Cpi_[[#This Row],[Year]:[Month]],crudeoil[],3,FALSE)</f>
        <v>#VALUE!</v>
      </c>
    </row>
    <row r="9988" spans="1:8" hidden="1" x14ac:dyDescent="0.3">
      <c r="A9988" t="s">
        <v>30</v>
      </c>
      <c r="B9988">
        <v>2023</v>
      </c>
      <c r="C9988" t="s">
        <v>38</v>
      </c>
      <c r="D9988" t="s">
        <v>26</v>
      </c>
      <c r="E9988" t="e">
        <f>VLOOKUP(Cpi_[[#This Row],[Attribute]],#REF!,2,FALSE)</f>
        <v>#REF!</v>
      </c>
      <c r="F9988">
        <v>180.3</v>
      </c>
      <c r="G9988">
        <f>(Cpi_[[#This Row],[Value]]-F9987)/F9987</f>
        <v>3.7399309551208286E-2</v>
      </c>
      <c r="H9988" t="e" cm="1" vm="1">
        <f t="array" aca="1" ref="H9988" ca="1">VLOOKUP(Cpi_[[#This Row],[Year]:[Month]],crudeoil[],3,FALSE)</f>
        <v>#VALUE!</v>
      </c>
    </row>
    <row r="9989" spans="1:8" hidden="1" x14ac:dyDescent="0.3">
      <c r="A9989" t="s">
        <v>30</v>
      </c>
      <c r="B9989">
        <v>2023</v>
      </c>
      <c r="C9989" t="s">
        <v>38</v>
      </c>
      <c r="D9989" t="s">
        <v>27</v>
      </c>
      <c r="E9989" t="e">
        <f>VLOOKUP(Cpi_[[#This Row],[Attribute]],#REF!,2,FALSE)</f>
        <v>#REF!</v>
      </c>
      <c r="F9989">
        <v>184.9</v>
      </c>
      <c r="G9989">
        <f>(Cpi_[[#This Row],[Value]]-F9988)/F9988</f>
        <v>2.5513033832501354E-2</v>
      </c>
      <c r="H9989" t="e" cm="1" vm="1">
        <f t="array" aca="1" ref="H9989" ca="1">VLOOKUP(Cpi_[[#This Row],[Year]:[Month]],crudeoil[],3,FALSE)</f>
        <v>#VALUE!</v>
      </c>
    </row>
    <row r="9990" spans="1:8" hidden="1" x14ac:dyDescent="0.3">
      <c r="A9990" t="s">
        <v>30</v>
      </c>
      <c r="B9990">
        <v>2023</v>
      </c>
      <c r="C9990" t="s">
        <v>38</v>
      </c>
      <c r="D9990" t="s">
        <v>28</v>
      </c>
      <c r="E9990" t="e">
        <f>VLOOKUP(Cpi_[[#This Row],[Attribute]],#REF!,2,FALSE)</f>
        <v>#REF!</v>
      </c>
      <c r="F9990">
        <v>179.5</v>
      </c>
      <c r="G9990">
        <f>(Cpi_[[#This Row],[Value]]-F9989)/F9989</f>
        <v>-2.9204975662520311E-2</v>
      </c>
      <c r="H9990" t="e" cm="1" vm="1">
        <f t="array" aca="1" ref="H9990" ca="1">VLOOKUP(Cpi_[[#This Row],[Year]:[Month]],crudeoil[],3,FALSE)</f>
        <v>#VALUE!</v>
      </c>
    </row>
    <row r="9991" spans="1:8" hidden="1" x14ac:dyDescent="0.3">
      <c r="A9991" t="s">
        <v>30</v>
      </c>
      <c r="B9991">
        <v>2023</v>
      </c>
      <c r="C9991" t="s">
        <v>38</v>
      </c>
      <c r="D9991" t="s">
        <v>29</v>
      </c>
      <c r="E9991" t="e" cm="1">
        <f t="array" aca="1" ref="E9991" ca="1">VLGeneral indexGeneral indexKUP(Cpi_[[#This Row],[Attribute]],#REF!,2,FALSE)</f>
        <v>#NAME?</v>
      </c>
      <c r="F9991">
        <v>179.8</v>
      </c>
      <c r="G9991">
        <f>(Cpi_[[#This Row],[Value]]-F9990)/F9990</f>
        <v>1.6713091922006204E-3</v>
      </c>
      <c r="H9991" t="e" cm="1" vm="1">
        <f t="array" aca="1" ref="H9991" ca="1">VLOOKUP(Cpi_[[#This Row],[Year]:[Month]],crudeoil[],3,FALSE)</f>
        <v>#VALUE!</v>
      </c>
    </row>
    <row r="9992" spans="1:8" hidden="1" x14ac:dyDescent="0.3">
      <c r="A9992" t="s">
        <v>33</v>
      </c>
      <c r="B9992">
        <v>2023</v>
      </c>
      <c r="C9992" t="s">
        <v>38</v>
      </c>
      <c r="D9992" t="s">
        <v>3</v>
      </c>
      <c r="E9992" t="e">
        <f>VLOOKUP(Cpi_[[#This Row],[Attribute]],#REF!,2,FALSE)</f>
        <v>#REF!</v>
      </c>
      <c r="F9992">
        <v>174.7</v>
      </c>
      <c r="G9992">
        <f>(Cpi_[[#This Row],[Value]]-F9991)/F9991</f>
        <v>-2.8364849833148065E-2</v>
      </c>
      <c r="H9992" t="e" cm="1" vm="1">
        <f t="array" aca="1" ref="H9992" ca="1">VLOOKUP(Cpi_[[#This Row],[Year]:[Month]],crudeoil[],3,FALSE)</f>
        <v>#VALUE!</v>
      </c>
    </row>
    <row r="9993" spans="1:8" hidden="1" x14ac:dyDescent="0.3">
      <c r="A9993" t="s">
        <v>33</v>
      </c>
      <c r="B9993">
        <v>2023</v>
      </c>
      <c r="C9993" t="s">
        <v>38</v>
      </c>
      <c r="D9993" t="s">
        <v>4</v>
      </c>
      <c r="E9993" t="e">
        <f>VLOOKUP(Cpi_[[#This Row],[Attribute]],#REF!,2,FALSE)</f>
        <v>#REF!</v>
      </c>
      <c r="F9993">
        <v>219.4</v>
      </c>
      <c r="G9993">
        <f>(Cpi_[[#This Row],[Value]]-F9992)/F9992</f>
        <v>0.25586720091585585</v>
      </c>
      <c r="H9993" t="e" cm="1" vm="1">
        <f t="array" aca="1" ref="H9993" ca="1">VLOOKUP(Cpi_[[#This Row],[Year]:[Month]],crudeoil[],3,FALSE)</f>
        <v>#VALUE!</v>
      </c>
    </row>
    <row r="9994" spans="1:8" hidden="1" x14ac:dyDescent="0.3">
      <c r="A9994" t="s">
        <v>33</v>
      </c>
      <c r="B9994">
        <v>2023</v>
      </c>
      <c r="C9994" t="s">
        <v>38</v>
      </c>
      <c r="D9994" t="s">
        <v>5</v>
      </c>
      <c r="E9994" t="e">
        <f>VLOOKUP(Cpi_[[#This Row],[Attribute]],#REF!,2,FALSE)</f>
        <v>#REF!</v>
      </c>
      <c r="F9994">
        <v>176.7</v>
      </c>
      <c r="G9994">
        <f>(Cpi_[[#This Row],[Value]]-F9993)/F9993</f>
        <v>-0.19462169553327263</v>
      </c>
      <c r="H9994" t="e" cm="1" vm="1">
        <f t="array" aca="1" ref="H9994" ca="1">VLOOKUP(Cpi_[[#This Row],[Year]:[Month]],crudeoil[],3,FALSE)</f>
        <v>#VALUE!</v>
      </c>
    </row>
    <row r="9995" spans="1:8" hidden="1" x14ac:dyDescent="0.3">
      <c r="A9995" t="s">
        <v>33</v>
      </c>
      <c r="B9995">
        <v>2023</v>
      </c>
      <c r="C9995" t="s">
        <v>38</v>
      </c>
      <c r="D9995" t="s">
        <v>6</v>
      </c>
      <c r="E9995" t="e">
        <f>VLOOKUP(Cpi_[[#This Row],[Attribute]],#REF!,2,FALSE)</f>
        <v>#REF!</v>
      </c>
      <c r="F9995">
        <v>179.4</v>
      </c>
      <c r="G9995">
        <f>(Cpi_[[#This Row],[Value]]-F9994)/F9994</f>
        <v>1.5280135823429639E-2</v>
      </c>
      <c r="H9995" t="e" cm="1" vm="1">
        <f t="array" aca="1" ref="H9995" ca="1">VLOOKUP(Cpi_[[#This Row],[Year]:[Month]],crudeoil[],3,FALSE)</f>
        <v>#VALUE!</v>
      </c>
    </row>
    <row r="9996" spans="1:8" hidden="1" x14ac:dyDescent="0.3">
      <c r="A9996" t="s">
        <v>33</v>
      </c>
      <c r="B9996">
        <v>2023</v>
      </c>
      <c r="C9996" t="s">
        <v>38</v>
      </c>
      <c r="D9996" t="s">
        <v>7</v>
      </c>
      <c r="E9996" t="e">
        <f>VLOOKUP(Cpi_[[#This Row],[Attribute]],#REF!,2,FALSE)</f>
        <v>#REF!</v>
      </c>
      <c r="F9996">
        <v>164.4</v>
      </c>
      <c r="G9996">
        <f>(Cpi_[[#This Row],[Value]]-F9995)/F9995</f>
        <v>-8.3612040133779264E-2</v>
      </c>
      <c r="H9996" t="e" cm="1" vm="1">
        <f t="array" aca="1" ref="H9996" ca="1">VLOOKUP(Cpi_[[#This Row],[Year]:[Month]],crudeoil[],3,FALSE)</f>
        <v>#VALUE!</v>
      </c>
    </row>
    <row r="9997" spans="1:8" hidden="1" x14ac:dyDescent="0.3">
      <c r="A9997" t="s">
        <v>33</v>
      </c>
      <c r="B9997">
        <v>2023</v>
      </c>
      <c r="C9997" t="s">
        <v>38</v>
      </c>
      <c r="D9997" t="s">
        <v>8</v>
      </c>
      <c r="E9997" t="e">
        <f>VLOOKUP(Cpi_[[#This Row],[Attribute]],#REF!,2,FALSE)</f>
        <v>#REF!</v>
      </c>
      <c r="F9997">
        <v>175.8</v>
      </c>
      <c r="G9997">
        <f>(Cpi_[[#This Row],[Value]]-F9996)/F9996</f>
        <v>6.9343065693430683E-2</v>
      </c>
      <c r="H9997" t="e" cm="1" vm="1">
        <f t="array" aca="1" ref="H9997" ca="1">VLOOKUP(Cpi_[[#This Row],[Year]:[Month]],crudeoil[],3,FALSE)</f>
        <v>#VALUE!</v>
      </c>
    </row>
    <row r="9998" spans="1:8" hidden="1" x14ac:dyDescent="0.3">
      <c r="A9998" t="s">
        <v>33</v>
      </c>
      <c r="B9998">
        <v>2023</v>
      </c>
      <c r="C9998" t="s">
        <v>38</v>
      </c>
      <c r="D9998" t="s">
        <v>9</v>
      </c>
      <c r="E9998" t="e">
        <f>VLOOKUP(Cpi_[[#This Row],[Attribute]],#REF!,2,FALSE)</f>
        <v>#REF!</v>
      </c>
      <c r="F9998">
        <v>185</v>
      </c>
      <c r="G9998">
        <f>(Cpi_[[#This Row],[Value]]-F9997)/F9997</f>
        <v>5.2332195676905509E-2</v>
      </c>
      <c r="H9998" t="e" cm="1" vm="1">
        <f t="array" aca="1" ref="H9998" ca="1">VLOOKUP(Cpi_[[#This Row],[Year]:[Month]],crudeoil[],3,FALSE)</f>
        <v>#VALUE!</v>
      </c>
    </row>
    <row r="9999" spans="1:8" hidden="1" x14ac:dyDescent="0.3">
      <c r="A9999" t="s">
        <v>33</v>
      </c>
      <c r="B9999">
        <v>2023</v>
      </c>
      <c r="C9999" t="s">
        <v>38</v>
      </c>
      <c r="D9999" t="s">
        <v>10</v>
      </c>
      <c r="E9999" t="e">
        <f>VLOOKUP(Cpi_[[#This Row],[Attribute]],#REF!,2,FALSE)</f>
        <v>#REF!</v>
      </c>
      <c r="F9999">
        <v>176.9</v>
      </c>
      <c r="G9999">
        <f>(Cpi_[[#This Row],[Value]]-F9998)/F9998</f>
        <v>-4.3783783783783753E-2</v>
      </c>
      <c r="H9999" t="e" cm="1" vm="1">
        <f t="array" aca="1" ref="H9999" ca="1">VLOOKUP(Cpi_[[#This Row],[Year]:[Month]],crudeoil[],3,FALSE)</f>
        <v>#VALUE!</v>
      </c>
    </row>
    <row r="10000" spans="1:8" hidden="1" x14ac:dyDescent="0.3">
      <c r="A10000" t="s">
        <v>33</v>
      </c>
      <c r="B10000">
        <v>2023</v>
      </c>
      <c r="C10000" t="s">
        <v>38</v>
      </c>
      <c r="D10000" t="s">
        <v>11</v>
      </c>
      <c r="E10000" t="e">
        <f>VLOOKUP(Cpi_[[#This Row],[Attribute]],#REF!,2,FALSE)</f>
        <v>#REF!</v>
      </c>
      <c r="F10000">
        <v>124.2</v>
      </c>
      <c r="G10000">
        <f>(Cpi_[[#This Row],[Value]]-F9999)/F9999</f>
        <v>-0.29790842283776148</v>
      </c>
      <c r="H10000" t="e" cm="1" vm="1">
        <f t="array" aca="1" ref="H10000" ca="1">VLOOKUP(Cpi_[[#This Row],[Year]:[Month]],crudeoil[],3,FALSE)</f>
        <v>#VALUE!</v>
      </c>
    </row>
    <row r="10001" spans="1:8" hidden="1" x14ac:dyDescent="0.3">
      <c r="A10001" t="s">
        <v>33</v>
      </c>
      <c r="B10001">
        <v>2023</v>
      </c>
      <c r="C10001" t="s">
        <v>38</v>
      </c>
      <c r="D10001" t="s">
        <v>12</v>
      </c>
      <c r="E10001" t="e">
        <f>VLOOKUP(Cpi_[[#This Row],[Attribute]],#REF!,2,FALSE)</f>
        <v>#REF!</v>
      </c>
      <c r="F10001">
        <v>211.9</v>
      </c>
      <c r="G10001">
        <f>(Cpi_[[#This Row],[Value]]-F10000)/F10000</f>
        <v>0.7061191626409018</v>
      </c>
      <c r="H10001" t="e" cm="1" vm="1">
        <f t="array" aca="1" ref="H10001" ca="1">VLOOKUP(Cpi_[[#This Row],[Year]:[Month]],crudeoil[],3,FALSE)</f>
        <v>#VALUE!</v>
      </c>
    </row>
    <row r="10002" spans="1:8" hidden="1" x14ac:dyDescent="0.3">
      <c r="A10002" t="s">
        <v>33</v>
      </c>
      <c r="B10002">
        <v>2023</v>
      </c>
      <c r="C10002" t="s">
        <v>38</v>
      </c>
      <c r="D10002" t="s">
        <v>13</v>
      </c>
      <c r="E10002" t="e">
        <f>VLOOKUP(Cpi_[[#This Row],[Attribute]],#REF!,2,FALSE)</f>
        <v>#REF!</v>
      </c>
      <c r="F10002">
        <v>165.9</v>
      </c>
      <c r="G10002">
        <f>(Cpi_[[#This Row],[Value]]-F10001)/F10001</f>
        <v>-0.21708352996696553</v>
      </c>
      <c r="H10002" t="e" cm="1" vm="1">
        <f t="array" aca="1" ref="H10002" ca="1">VLOOKUP(Cpi_[[#This Row],[Year]:[Month]],crudeoil[],3,FALSE)</f>
        <v>#VALUE!</v>
      </c>
    </row>
    <row r="10003" spans="1:8" hidden="1" x14ac:dyDescent="0.3">
      <c r="A10003" t="s">
        <v>33</v>
      </c>
      <c r="B10003">
        <v>2023</v>
      </c>
      <c r="C10003" t="s">
        <v>38</v>
      </c>
      <c r="D10003" t="s">
        <v>14</v>
      </c>
      <c r="E10003" t="e">
        <f>VLOOKUP(Cpi_[[#This Row],[Attribute]],#REF!,2,FALSE)</f>
        <v>#REF!</v>
      </c>
      <c r="F10003">
        <v>197.7</v>
      </c>
      <c r="G10003">
        <f>(Cpi_[[#This Row],[Value]]-F10002)/F10002</f>
        <v>0.19168173598553334</v>
      </c>
      <c r="H10003" t="e" cm="1" vm="1">
        <f t="array" aca="1" ref="H10003" ca="1">VLOOKUP(Cpi_[[#This Row],[Year]:[Month]],crudeoil[],3,FALSE)</f>
        <v>#VALUE!</v>
      </c>
    </row>
    <row r="10004" spans="1:8" hidden="1" x14ac:dyDescent="0.3">
      <c r="A10004" t="s">
        <v>33</v>
      </c>
      <c r="B10004">
        <v>2023</v>
      </c>
      <c r="C10004" t="s">
        <v>38</v>
      </c>
      <c r="D10004" t="s">
        <v>15</v>
      </c>
      <c r="E10004" t="e">
        <f>VLOOKUP(Cpi_[[#This Row],[Attribute]],#REF!,2,FALSE)</f>
        <v>#REF!</v>
      </c>
      <c r="F10004">
        <v>183.1</v>
      </c>
      <c r="G10004">
        <f>(Cpi_[[#This Row],[Value]]-F10003)/F10003</f>
        <v>-7.3849266565503266E-2</v>
      </c>
      <c r="H10004" t="e" cm="1" vm="1">
        <f t="array" aca="1" ref="H10004" ca="1">VLOOKUP(Cpi_[[#This Row],[Year]:[Month]],crudeoil[],3,FALSE)</f>
        <v>#VALUE!</v>
      </c>
    </row>
    <row r="10005" spans="1:8" hidden="1" x14ac:dyDescent="0.3">
      <c r="A10005" t="s">
        <v>33</v>
      </c>
      <c r="B10005">
        <v>2023</v>
      </c>
      <c r="C10005" t="s">
        <v>38</v>
      </c>
      <c r="D10005" t="s">
        <v>16</v>
      </c>
      <c r="E10005" t="e">
        <f>VLOOKUP(Cpi_[[#This Row],[Attribute]],#REF!,2,FALSE)</f>
        <v>#REF!</v>
      </c>
      <c r="F10005">
        <v>204.2</v>
      </c>
      <c r="G10005">
        <f>(Cpi_[[#This Row],[Value]]-F10004)/F10004</f>
        <v>0.11523757509557617</v>
      </c>
      <c r="H10005" t="e" cm="1" vm="1">
        <f t="array" aca="1" ref="H10005" ca="1">VLOOKUP(Cpi_[[#This Row],[Year]:[Month]],crudeoil[],3,FALSE)</f>
        <v>#VALUE!</v>
      </c>
    </row>
    <row r="10006" spans="1:8" hidden="1" x14ac:dyDescent="0.3">
      <c r="A10006" t="s">
        <v>33</v>
      </c>
      <c r="B10006">
        <v>2023</v>
      </c>
      <c r="C10006" t="s">
        <v>38</v>
      </c>
      <c r="D10006" t="s">
        <v>17</v>
      </c>
      <c r="E10006" t="e">
        <f>VLOOKUP(Cpi_[[#This Row],[Attribute]],#REF!,2,FALSE)</f>
        <v>#REF!</v>
      </c>
      <c r="F10006">
        <v>181.3</v>
      </c>
      <c r="G10006">
        <f>(Cpi_[[#This Row],[Value]]-F10005)/F10005</f>
        <v>-0.11214495592556308</v>
      </c>
      <c r="H10006" t="e" cm="1" vm="1">
        <f t="array" aca="1" ref="H10006" ca="1">VLOOKUP(Cpi_[[#This Row],[Year]:[Month]],crudeoil[],3,FALSE)</f>
        <v>#VALUE!</v>
      </c>
    </row>
    <row r="10007" spans="1:8" hidden="1" x14ac:dyDescent="0.3">
      <c r="A10007" t="s">
        <v>33</v>
      </c>
      <c r="B10007">
        <v>2023</v>
      </c>
      <c r="C10007" t="s">
        <v>38</v>
      </c>
      <c r="D10007" t="s">
        <v>18</v>
      </c>
      <c r="E10007" t="e">
        <f>VLOOKUP(Cpi_[[#This Row],[Attribute]],#REF!,2,FALSE)</f>
        <v>#REF!</v>
      </c>
      <c r="F10007">
        <v>168.1</v>
      </c>
      <c r="G10007">
        <f>(Cpi_[[#This Row],[Value]]-F10006)/F10006</f>
        <v>-7.2807501378930037E-2</v>
      </c>
      <c r="H10007" t="e" cm="1" vm="1">
        <f t="array" aca="1" ref="H10007" ca="1">VLOOKUP(Cpi_[[#This Row],[Year]:[Month]],crudeoil[],3,FALSE)</f>
        <v>#VALUE!</v>
      </c>
    </row>
    <row r="10008" spans="1:8" hidden="1" x14ac:dyDescent="0.3">
      <c r="A10008" t="s">
        <v>33</v>
      </c>
      <c r="B10008">
        <v>2023</v>
      </c>
      <c r="C10008" t="s">
        <v>38</v>
      </c>
      <c r="D10008" t="s">
        <v>19</v>
      </c>
      <c r="E10008" t="e">
        <f>VLOOKUP(Cpi_[[#This Row],[Attribute]],#REF!,2,FALSE)</f>
        <v>#REF!</v>
      </c>
      <c r="F10008">
        <v>179.3</v>
      </c>
      <c r="G10008">
        <f>(Cpi_[[#This Row],[Value]]-F10007)/F10007</f>
        <v>6.6627007733492075E-2</v>
      </c>
      <c r="H10008" t="e" cm="1" vm="1">
        <f t="array" aca="1" ref="H10008" ca="1">VLOOKUP(Cpi_[[#This Row],[Year]:[Month]],crudeoil[],3,FALSE)</f>
        <v>#VALUE!</v>
      </c>
    </row>
    <row r="10009" spans="1:8" hidden="1" x14ac:dyDescent="0.3">
      <c r="A10009" t="s">
        <v>33</v>
      </c>
      <c r="B10009">
        <v>2023</v>
      </c>
      <c r="C10009" t="s">
        <v>38</v>
      </c>
      <c r="D10009" t="s">
        <v>20</v>
      </c>
      <c r="E10009" t="e">
        <f>VLOOKUP(Cpi_[[#This Row],[Attribute]],#REF!,2,FALSE)</f>
        <v>#REF!</v>
      </c>
      <c r="F10009">
        <v>175.6</v>
      </c>
      <c r="G10009">
        <f>(Cpi_[[#This Row],[Value]]-F10008)/F10008</f>
        <v>-2.0635805911879624E-2</v>
      </c>
      <c r="H10009" t="e" cm="1" vm="1">
        <f t="array" aca="1" ref="H10009" ca="1">VLOOKUP(Cpi_[[#This Row],[Year]:[Month]],crudeoil[],3,FALSE)</f>
        <v>#VALUE!</v>
      </c>
    </row>
    <row r="10010" spans="1:8" hidden="1" x14ac:dyDescent="0.3">
      <c r="A10010" t="s">
        <v>33</v>
      </c>
      <c r="B10010">
        <v>2023</v>
      </c>
      <c r="C10010" t="s">
        <v>38</v>
      </c>
      <c r="D10010" t="s">
        <v>21</v>
      </c>
      <c r="E10010" t="e">
        <f>VLOOKUP(Cpi_[[#This Row],[Attribute]],#REF!,2,FALSE)</f>
        <v>#REF!</v>
      </c>
      <c r="F10010">
        <v>183.4</v>
      </c>
      <c r="G10010">
        <f>(Cpi_[[#This Row],[Value]]-F10009)/F10009</f>
        <v>4.441913439635542E-2</v>
      </c>
      <c r="H10010" t="e" cm="1" vm="1">
        <f t="array" aca="1" ref="H10010" ca="1">VLOOKUP(Cpi_[[#This Row],[Year]:[Month]],crudeoil[],3,FALSE)</f>
        <v>#VALUE!</v>
      </c>
    </row>
    <row r="10011" spans="1:8" hidden="1" x14ac:dyDescent="0.3">
      <c r="A10011" t="s">
        <v>33</v>
      </c>
      <c r="B10011">
        <v>2023</v>
      </c>
      <c r="C10011" t="s">
        <v>38</v>
      </c>
      <c r="D10011" t="s">
        <v>22</v>
      </c>
      <c r="E10011" t="e">
        <f>VLOOKUP(Cpi_[[#This Row],[Attribute]],#REF!,2,FALSE)</f>
        <v>#REF!</v>
      </c>
      <c r="F10011">
        <v>170.1</v>
      </c>
      <c r="G10011">
        <f>(Cpi_[[#This Row],[Value]]-F10010)/F10010</f>
        <v>-7.2519083969465714E-2</v>
      </c>
      <c r="H10011" t="e" cm="1" vm="1">
        <f t="array" aca="1" ref="H10011" ca="1">VLOOKUP(Cpi_[[#This Row],[Year]:[Month]],crudeoil[],3,FALSE)</f>
        <v>#VALUE!</v>
      </c>
    </row>
    <row r="10012" spans="1:8" hidden="1" x14ac:dyDescent="0.3">
      <c r="A10012" t="s">
        <v>33</v>
      </c>
      <c r="B10012">
        <v>2023</v>
      </c>
      <c r="C10012" t="s">
        <v>38</v>
      </c>
      <c r="D10012" t="s">
        <v>23</v>
      </c>
      <c r="E10012" t="e">
        <f>VLOOKUP(Cpi_[[#This Row],[Attribute]],#REF!,2,FALSE)</f>
        <v>#REF!</v>
      </c>
      <c r="F10012">
        <v>182.2</v>
      </c>
      <c r="G10012">
        <f>(Cpi_[[#This Row],[Value]]-F10011)/F10011</f>
        <v>7.1134626690182209E-2</v>
      </c>
      <c r="H10012" t="e" cm="1" vm="1">
        <f t="array" aca="1" ref="H10012" ca="1">VLOOKUP(Cpi_[[#This Row],[Year]:[Month]],crudeoil[],3,FALSE)</f>
        <v>#VALUE!</v>
      </c>
    </row>
    <row r="10013" spans="1:8" hidden="1" x14ac:dyDescent="0.3">
      <c r="A10013" t="s">
        <v>33</v>
      </c>
      <c r="B10013">
        <v>2023</v>
      </c>
      <c r="C10013" t="s">
        <v>38</v>
      </c>
      <c r="D10013" t="s">
        <v>24</v>
      </c>
      <c r="E10013" t="e">
        <f>VLOOKUP(Cpi_[[#This Row],[Attribute]],#REF!,2,FALSE)</f>
        <v>#REF!</v>
      </c>
      <c r="F10013">
        <v>160.4</v>
      </c>
      <c r="G10013">
        <f>(Cpi_[[#This Row],[Value]]-F10012)/F10012</f>
        <v>-0.11964873765093295</v>
      </c>
      <c r="H10013" t="e" cm="1" vm="1">
        <f t="array" aca="1" ref="H10013" ca="1">VLOOKUP(Cpi_[[#This Row],[Year]:[Month]],crudeoil[],3,FALSE)</f>
        <v>#VALUE!</v>
      </c>
    </row>
    <row r="10014" spans="1:8" hidden="1" x14ac:dyDescent="0.3">
      <c r="A10014" t="s">
        <v>33</v>
      </c>
      <c r="B10014">
        <v>2023</v>
      </c>
      <c r="C10014" t="s">
        <v>38</v>
      </c>
      <c r="D10014" t="s">
        <v>25</v>
      </c>
      <c r="E10014" t="e">
        <f>VLOOKUP(Cpi_[[#This Row],[Attribute]],#REF!,2,FALSE)</f>
        <v>#REF!</v>
      </c>
      <c r="F10014">
        <v>169.2</v>
      </c>
      <c r="G10014">
        <f>(Cpi_[[#This Row],[Value]]-F10013)/F10013</f>
        <v>5.4862842892767973E-2</v>
      </c>
      <c r="H10014" t="e" cm="1" vm="1">
        <f t="array" aca="1" ref="H10014" ca="1">VLOOKUP(Cpi_[[#This Row],[Year]:[Month]],crudeoil[],3,FALSE)</f>
        <v>#VALUE!</v>
      </c>
    </row>
    <row r="10015" spans="1:8" hidden="1" x14ac:dyDescent="0.3">
      <c r="A10015" t="s">
        <v>33</v>
      </c>
      <c r="B10015">
        <v>2023</v>
      </c>
      <c r="C10015" t="s">
        <v>38</v>
      </c>
      <c r="D10015" t="s">
        <v>26</v>
      </c>
      <c r="E10015" t="e">
        <f>VLOOKUP(Cpi_[[#This Row],[Attribute]],#REF!,2,FALSE)</f>
        <v>#REF!</v>
      </c>
      <c r="F10015">
        <v>174.8</v>
      </c>
      <c r="G10015">
        <f>(Cpi_[[#This Row],[Value]]-F10014)/F10014</f>
        <v>3.3096926713948129E-2</v>
      </c>
      <c r="H10015" t="e" cm="1" vm="1">
        <f t="array" aca="1" ref="H10015" ca="1">VLOOKUP(Cpi_[[#This Row],[Year]:[Month]],crudeoil[],3,FALSE)</f>
        <v>#VALUE!</v>
      </c>
    </row>
    <row r="10016" spans="1:8" hidden="1" x14ac:dyDescent="0.3">
      <c r="A10016" t="s">
        <v>33</v>
      </c>
      <c r="B10016">
        <v>2023</v>
      </c>
      <c r="C10016" t="s">
        <v>38</v>
      </c>
      <c r="D10016" t="s">
        <v>27</v>
      </c>
      <c r="E10016" t="e">
        <f>VLOOKUP(Cpi_[[#This Row],[Attribute]],#REF!,2,FALSE)</f>
        <v>#REF!</v>
      </c>
      <c r="F10016">
        <v>185.6</v>
      </c>
      <c r="G10016">
        <f>(Cpi_[[#This Row],[Value]]-F10015)/F10015</f>
        <v>6.1784897025171523E-2</v>
      </c>
      <c r="H10016" t="e" cm="1" vm="1">
        <f t="array" aca="1" ref="H10016" ca="1">VLOOKUP(Cpi_[[#This Row],[Year]:[Month]],crudeoil[],3,FALSE)</f>
        <v>#VALUE!</v>
      </c>
    </row>
    <row r="10017" spans="1:10" hidden="1" x14ac:dyDescent="0.3">
      <c r="A10017" t="s">
        <v>33</v>
      </c>
      <c r="B10017">
        <v>2023</v>
      </c>
      <c r="C10017" t="s">
        <v>38</v>
      </c>
      <c r="D10017" t="s">
        <v>28</v>
      </c>
      <c r="E10017" t="e">
        <f>VLOOKUP(Cpi_[[#This Row],[Attribute]],#REF!,2,FALSE)</f>
        <v>#REF!</v>
      </c>
      <c r="F10017">
        <v>171.6</v>
      </c>
      <c r="G10017">
        <f>(Cpi_[[#This Row],[Value]]-F10016)/F10016</f>
        <v>-7.5431034482758619E-2</v>
      </c>
      <c r="H10017" t="e" cm="1" vm="1">
        <f t="array" aca="1" ref="H10017" ca="1">VLOOKUP(Cpi_[[#This Row],[Year]:[Month]],crudeoil[],3,FALSE)</f>
        <v>#VALUE!</v>
      </c>
    </row>
    <row r="10018" spans="1:10" hidden="1" x14ac:dyDescent="0.3">
      <c r="A10018" t="s">
        <v>33</v>
      </c>
      <c r="B10018">
        <v>2023</v>
      </c>
      <c r="C10018" t="s">
        <v>38</v>
      </c>
      <c r="D10018" t="s">
        <v>29</v>
      </c>
      <c r="E10018" t="e" cm="1">
        <f t="array" aca="1" ref="E10018" ca="1">VLGeneral indexGeneral indexKUP(Cpi_[[#This Row],[Attribute]],#REF!,2,FALSE)</f>
        <v>#NAME?</v>
      </c>
      <c r="F10018">
        <v>178.2</v>
      </c>
      <c r="G10018">
        <f>(Cpi_[[#This Row],[Value]]-F10017)/F10017</f>
        <v>3.8461538461538429E-2</v>
      </c>
      <c r="H10018" t="e" cm="1" vm="1">
        <f t="array" aca="1" ref="H10018" ca="1">VLOOKUP(Cpi_[[#This Row],[Year]:[Month]],crudeoil[],3,FALSE)</f>
        <v>#VALUE!</v>
      </c>
    </row>
    <row r="10019" spans="1:10" hidden="1" x14ac:dyDescent="0.3">
      <c r="A10019" t="s">
        <v>34</v>
      </c>
      <c r="B10019">
        <v>2023</v>
      </c>
      <c r="C10019" t="s">
        <v>38</v>
      </c>
      <c r="D10019" t="s">
        <v>3</v>
      </c>
      <c r="E10019" t="e">
        <f>VLOOKUP(Cpi_[[#This Row],[Attribute]],#REF!,2,FALSE)</f>
        <v>#REF!</v>
      </c>
      <c r="F10019">
        <v>173.7</v>
      </c>
      <c r="G10019">
        <f>(Cpi_[[#This Row],[Value]]-F10018)/F10018</f>
        <v>-2.5252525252525256E-2</v>
      </c>
      <c r="H10019" t="e" cm="1" vm="1">
        <f t="array" aca="1" ref="H10019" ca="1">VLOOKUP(Cpi_[[#This Row],[Year]:[Month]],crudeoil[],3,FALSE)</f>
        <v>#VALUE!</v>
      </c>
    </row>
    <row r="10020" spans="1:10" x14ac:dyDescent="0.3">
      <c r="A10020" t="s">
        <v>34</v>
      </c>
      <c r="B10020">
        <v>2023</v>
      </c>
      <c r="C10020" t="s">
        <v>38</v>
      </c>
      <c r="D10020" t="s">
        <v>4</v>
      </c>
      <c r="E10020" t="e">
        <f>VLOOKUP(Cpi_[[#This Row],[Attribute]],#REF!,2,FALSE)</f>
        <v>#REF!</v>
      </c>
      <c r="F10020">
        <v>214.3</v>
      </c>
      <c r="G10020" s="42">
        <f>(Cpi_[[#This Row],[Value]]-F10019)/F10019</f>
        <v>0.23373632700057584</v>
      </c>
      <c r="H10020" t="str">
        <f>LEFT(Cpi_[[#This Row],[Month]],3)</f>
        <v>May</v>
      </c>
      <c r="I10020" t="str">
        <f>RIGHT(Cpi_[[#This Row],[Year]],2)</f>
        <v>23</v>
      </c>
      <c r="J10020" t="str">
        <f>Cpi_[[#This Row],[Column3]]&amp;"-"&amp;Cpi_[[#This Row],[Column4]]</f>
        <v>May-23</v>
      </c>
    </row>
    <row r="10021" spans="1:10" x14ac:dyDescent="0.3">
      <c r="A10021" t="s">
        <v>34</v>
      </c>
      <c r="B10021">
        <v>2023</v>
      </c>
      <c r="C10021" t="s">
        <v>38</v>
      </c>
      <c r="D10021" t="s">
        <v>5</v>
      </c>
      <c r="E10021" t="e">
        <f>VLOOKUP(Cpi_[[#This Row],[Attribute]],#REF!,2,FALSE)</f>
        <v>#REF!</v>
      </c>
      <c r="F10021">
        <v>173.2</v>
      </c>
      <c r="G10021" s="42">
        <f>(Cpi_[[#This Row],[Value]]-F10020)/F10020</f>
        <v>-0.19178721418572106</v>
      </c>
      <c r="H10021" t="str">
        <f>LEFT(Cpi_[[#This Row],[Month]],3)</f>
        <v>May</v>
      </c>
      <c r="I10021" t="str">
        <f>RIGHT(Cpi_[[#This Row],[Year]],2)</f>
        <v>23</v>
      </c>
      <c r="J10021" t="str">
        <f>Cpi_[[#This Row],[Column3]]&amp;"-"&amp;Cpi_[[#This Row],[Column4]]</f>
        <v>May-23</v>
      </c>
    </row>
    <row r="10022" spans="1:10" x14ac:dyDescent="0.3">
      <c r="A10022" t="s">
        <v>34</v>
      </c>
      <c r="B10022">
        <v>2023</v>
      </c>
      <c r="C10022" t="s">
        <v>38</v>
      </c>
      <c r="D10022" t="s">
        <v>6</v>
      </c>
      <c r="E10022" t="e">
        <f>VLOOKUP(Cpi_[[#This Row],[Attribute]],#REF!,2,FALSE)</f>
        <v>#REF!</v>
      </c>
      <c r="F10022">
        <v>179.5</v>
      </c>
      <c r="G10022" s="42">
        <f>(Cpi_[[#This Row],[Value]]-F10021)/F10021</f>
        <v>3.6374133949191756E-2</v>
      </c>
      <c r="H10022" t="str">
        <f>LEFT(Cpi_[[#This Row],[Month]],3)</f>
        <v>May</v>
      </c>
      <c r="I10022" t="str">
        <f>RIGHT(Cpi_[[#This Row],[Year]],2)</f>
        <v>23</v>
      </c>
      <c r="J10022" t="str">
        <f>Cpi_[[#This Row],[Column3]]&amp;"-"&amp;Cpi_[[#This Row],[Column4]]</f>
        <v>May-23</v>
      </c>
    </row>
    <row r="10023" spans="1:10" x14ac:dyDescent="0.3">
      <c r="A10023" t="s">
        <v>34</v>
      </c>
      <c r="B10023">
        <v>2023</v>
      </c>
      <c r="C10023" t="s">
        <v>38</v>
      </c>
      <c r="D10023" t="s">
        <v>7</v>
      </c>
      <c r="E10023" t="e">
        <f>VLOOKUP(Cpi_[[#This Row],[Attribute]],#REF!,2,FALSE)</f>
        <v>#REF!</v>
      </c>
      <c r="F10023">
        <v>170</v>
      </c>
      <c r="G10023" s="42">
        <f>(Cpi_[[#This Row],[Value]]-F10022)/F10022</f>
        <v>-5.2924791086350974E-2</v>
      </c>
      <c r="H10023" t="str">
        <f>LEFT(Cpi_[[#This Row],[Month]],3)</f>
        <v>May</v>
      </c>
      <c r="I10023" t="str">
        <f>RIGHT(Cpi_[[#This Row],[Year]],2)</f>
        <v>23</v>
      </c>
      <c r="J10023" t="str">
        <f>Cpi_[[#This Row],[Column3]]&amp;"-"&amp;Cpi_[[#This Row],[Column4]]</f>
        <v>May-23</v>
      </c>
    </row>
    <row r="10024" spans="1:10" x14ac:dyDescent="0.3">
      <c r="A10024" t="s">
        <v>34</v>
      </c>
      <c r="B10024">
        <v>2023</v>
      </c>
      <c r="C10024" t="s">
        <v>38</v>
      </c>
      <c r="D10024" t="s">
        <v>8</v>
      </c>
      <c r="E10024" t="e">
        <f>VLOOKUP(Cpi_[[#This Row],[Attribute]],#REF!,2,FALSE)</f>
        <v>#REF!</v>
      </c>
      <c r="F10024">
        <v>172.2</v>
      </c>
      <c r="G10024" s="42">
        <f>(Cpi_[[#This Row],[Value]]-F10023)/F10023</f>
        <v>1.2941176470588168E-2</v>
      </c>
      <c r="H10024" t="str">
        <f>LEFT(Cpi_[[#This Row],[Month]],3)</f>
        <v>May</v>
      </c>
      <c r="I10024" t="str">
        <f>RIGHT(Cpi_[[#This Row],[Year]],2)</f>
        <v>23</v>
      </c>
      <c r="J10024" t="str">
        <f>Cpi_[[#This Row],[Column3]]&amp;"-"&amp;Cpi_[[#This Row],[Column4]]</f>
        <v>May-23</v>
      </c>
    </row>
    <row r="10025" spans="1:10" x14ac:dyDescent="0.3">
      <c r="A10025" t="s">
        <v>34</v>
      </c>
      <c r="B10025">
        <v>2023</v>
      </c>
      <c r="C10025" t="s">
        <v>38</v>
      </c>
      <c r="D10025" t="s">
        <v>9</v>
      </c>
      <c r="E10025" t="e">
        <f>VLOOKUP(Cpi_[[#This Row],[Attribute]],#REF!,2,FALSE)</f>
        <v>#REF!</v>
      </c>
      <c r="F10025">
        <v>161</v>
      </c>
      <c r="G10025" s="42">
        <f>(Cpi_[[#This Row],[Value]]-F10024)/F10024</f>
        <v>-6.5040650406504003E-2</v>
      </c>
      <c r="H10025" t="str">
        <f>LEFT(Cpi_[[#This Row],[Month]],3)</f>
        <v>May</v>
      </c>
      <c r="I10025" t="str">
        <f>RIGHT(Cpi_[[#This Row],[Year]],2)</f>
        <v>23</v>
      </c>
      <c r="J10025" t="str">
        <f>Cpi_[[#This Row],[Column3]]&amp;"-"&amp;Cpi_[[#This Row],[Column4]]</f>
        <v>May-23</v>
      </c>
    </row>
    <row r="10026" spans="1:10" x14ac:dyDescent="0.3">
      <c r="A10026" t="s">
        <v>34</v>
      </c>
      <c r="B10026">
        <v>2023</v>
      </c>
      <c r="C10026" t="s">
        <v>38</v>
      </c>
      <c r="D10026" t="s">
        <v>10</v>
      </c>
      <c r="E10026" t="e">
        <f>VLOOKUP(Cpi_[[#This Row],[Attribute]],#REF!,2,FALSE)</f>
        <v>#REF!</v>
      </c>
      <c r="F10026">
        <v>175.6</v>
      </c>
      <c r="G10026" s="42">
        <f>(Cpi_[[#This Row],[Value]]-F10025)/F10025</f>
        <v>9.0683229813664556E-2</v>
      </c>
      <c r="H10026" t="str">
        <f>LEFT(Cpi_[[#This Row],[Month]],3)</f>
        <v>May</v>
      </c>
      <c r="I10026" t="str">
        <f>RIGHT(Cpi_[[#This Row],[Year]],2)</f>
        <v>23</v>
      </c>
      <c r="J10026" t="str">
        <f>Cpi_[[#This Row],[Column3]]&amp;"-"&amp;Cpi_[[#This Row],[Column4]]</f>
        <v>May-23</v>
      </c>
    </row>
    <row r="10027" spans="1:10" x14ac:dyDescent="0.3">
      <c r="A10027" t="s">
        <v>34</v>
      </c>
      <c r="B10027">
        <v>2023</v>
      </c>
      <c r="C10027" t="s">
        <v>38</v>
      </c>
      <c r="D10027" t="s">
        <v>11</v>
      </c>
      <c r="E10027" t="e">
        <f>VLOOKUP(Cpi_[[#This Row],[Attribute]],#REF!,2,FALSE)</f>
        <v>#REF!</v>
      </c>
      <c r="F10027">
        <v>122.7</v>
      </c>
      <c r="G10027" s="42">
        <f>(Cpi_[[#This Row],[Value]]-F10026)/F10026</f>
        <v>-0.30125284738040997</v>
      </c>
      <c r="H10027" t="str">
        <f>LEFT(Cpi_[[#This Row],[Month]],3)</f>
        <v>May</v>
      </c>
      <c r="I10027" t="str">
        <f>RIGHT(Cpi_[[#This Row],[Year]],2)</f>
        <v>23</v>
      </c>
      <c r="J10027" t="str">
        <f>Cpi_[[#This Row],[Column3]]&amp;"-"&amp;Cpi_[[#This Row],[Column4]]</f>
        <v>May-23</v>
      </c>
    </row>
    <row r="10028" spans="1:10" x14ac:dyDescent="0.3">
      <c r="A10028" t="s">
        <v>34</v>
      </c>
      <c r="B10028">
        <v>2023</v>
      </c>
      <c r="C10028" t="s">
        <v>38</v>
      </c>
      <c r="D10028" t="s">
        <v>12</v>
      </c>
      <c r="E10028" t="e">
        <f>VLOOKUP(Cpi_[[#This Row],[Attribute]],#REF!,2,FALSE)</f>
        <v>#REF!</v>
      </c>
      <c r="F10028">
        <v>218</v>
      </c>
      <c r="G10028" s="42">
        <f>(Cpi_[[#This Row],[Value]]-F10027)/F10027</f>
        <v>0.77669111654441725</v>
      </c>
      <c r="H10028" t="str">
        <f>LEFT(Cpi_[[#This Row],[Month]],3)</f>
        <v>May</v>
      </c>
      <c r="I10028" t="str">
        <f>RIGHT(Cpi_[[#This Row],[Year]],2)</f>
        <v>23</v>
      </c>
      <c r="J10028" t="str">
        <f>Cpi_[[#This Row],[Column3]]&amp;"-"&amp;Cpi_[[#This Row],[Column4]]</f>
        <v>May-23</v>
      </c>
    </row>
    <row r="10029" spans="1:10" x14ac:dyDescent="0.3">
      <c r="A10029" t="s">
        <v>34</v>
      </c>
      <c r="B10029">
        <v>2023</v>
      </c>
      <c r="C10029" t="s">
        <v>38</v>
      </c>
      <c r="D10029" t="s">
        <v>13</v>
      </c>
      <c r="E10029" t="e">
        <f>VLOOKUP(Cpi_[[#This Row],[Attribute]],#REF!,2,FALSE)</f>
        <v>#REF!</v>
      </c>
      <c r="F10029">
        <v>173.4</v>
      </c>
      <c r="G10029" s="42">
        <f>(Cpi_[[#This Row],[Value]]-F10028)/F10028</f>
        <v>-0.20458715596330274</v>
      </c>
      <c r="H10029" t="str">
        <f>LEFT(Cpi_[[#This Row],[Month]],3)</f>
        <v>May</v>
      </c>
      <c r="I10029" t="str">
        <f>RIGHT(Cpi_[[#This Row],[Year]],2)</f>
        <v>23</v>
      </c>
      <c r="J10029" t="str">
        <f>Cpi_[[#This Row],[Column3]]&amp;"-"&amp;Cpi_[[#This Row],[Column4]]</f>
        <v>May-23</v>
      </c>
    </row>
    <row r="10030" spans="1:10" x14ac:dyDescent="0.3">
      <c r="A10030" t="s">
        <v>34</v>
      </c>
      <c r="B10030">
        <v>2023</v>
      </c>
      <c r="C10030" t="s">
        <v>38</v>
      </c>
      <c r="D10030" t="s">
        <v>14</v>
      </c>
      <c r="E10030" t="e">
        <f>VLOOKUP(Cpi_[[#This Row],[Attribute]],#REF!,2,FALSE)</f>
        <v>#REF!</v>
      </c>
      <c r="F10030">
        <v>194.2</v>
      </c>
      <c r="G10030" s="42">
        <f>(Cpi_[[#This Row],[Value]]-F10029)/F10029</f>
        <v>0.11995386389850048</v>
      </c>
      <c r="H10030" t="str">
        <f>LEFT(Cpi_[[#This Row],[Month]],3)</f>
        <v>May</v>
      </c>
      <c r="I10030" t="str">
        <f>RIGHT(Cpi_[[#This Row],[Year]],2)</f>
        <v>23</v>
      </c>
      <c r="J10030" t="str">
        <f>Cpi_[[#This Row],[Column3]]&amp;"-"&amp;Cpi_[[#This Row],[Column4]]</f>
        <v>May-23</v>
      </c>
    </row>
    <row r="10031" spans="1:10" x14ac:dyDescent="0.3">
      <c r="A10031" t="s">
        <v>34</v>
      </c>
      <c r="B10031">
        <v>2023</v>
      </c>
      <c r="C10031" t="s">
        <v>38</v>
      </c>
      <c r="D10031" t="s">
        <v>15</v>
      </c>
      <c r="E10031" t="e">
        <f>VLOOKUP(Cpi_[[#This Row],[Attribute]],#REF!,2,FALSE)</f>
        <v>#REF!</v>
      </c>
      <c r="F10031">
        <v>179.1</v>
      </c>
      <c r="G10031" s="42">
        <f>(Cpi_[[#This Row],[Value]]-F10030)/F10030</f>
        <v>-7.7754891864057651E-2</v>
      </c>
      <c r="H10031" t="str">
        <f>LEFT(Cpi_[[#This Row],[Month]],3)</f>
        <v>May</v>
      </c>
      <c r="I10031" t="str">
        <f>RIGHT(Cpi_[[#This Row],[Year]],2)</f>
        <v>23</v>
      </c>
      <c r="J10031" t="str">
        <f>Cpi_[[#This Row],[Column3]]&amp;"-"&amp;Cpi_[[#This Row],[Column4]]</f>
        <v>May-23</v>
      </c>
    </row>
    <row r="10032" spans="1:10" hidden="1" x14ac:dyDescent="0.3">
      <c r="A10032" t="s">
        <v>34</v>
      </c>
      <c r="B10032">
        <v>2023</v>
      </c>
      <c r="C10032" t="s">
        <v>38</v>
      </c>
      <c r="D10032" t="s">
        <v>16</v>
      </c>
      <c r="E10032" t="e">
        <f>VLOOKUP(Cpi_[[#This Row],[Attribute]],#REF!,2,FALSE)</f>
        <v>#REF!</v>
      </c>
      <c r="F10032">
        <v>201</v>
      </c>
      <c r="G10032">
        <f>(Cpi_[[#This Row],[Value]]-F10031)/F10031</f>
        <v>0.12227805695142382</v>
      </c>
      <c r="H10032" t="e" cm="1" vm="1">
        <f t="array" aca="1" ref="H10032" ca="1">VLOOKUP(Cpi_[[#This Row],[Year]:[Month]],crudeoil[],3,FALSE)</f>
        <v>#VALUE!</v>
      </c>
    </row>
    <row r="10033" spans="1:8" hidden="1" x14ac:dyDescent="0.3">
      <c r="A10033" t="s">
        <v>34</v>
      </c>
      <c r="B10033">
        <v>2023</v>
      </c>
      <c r="C10033" t="s">
        <v>38</v>
      </c>
      <c r="D10033" t="s">
        <v>17</v>
      </c>
      <c r="E10033" t="e">
        <f>VLOOKUP(Cpi_[[#This Row],[Attribute]],#REF!,2,FALSE)</f>
        <v>#REF!</v>
      </c>
      <c r="F10033">
        <v>187.3</v>
      </c>
      <c r="G10033">
        <f>(Cpi_[[#This Row],[Value]]-F10032)/F10032</f>
        <v>-6.8159203980099448E-2</v>
      </c>
      <c r="H10033" t="e" cm="1" vm="1">
        <f t="array" aca="1" ref="H10033" ca="1">VLOOKUP(Cpi_[[#This Row],[Year]:[Month]],crudeoil[],3,FALSE)</f>
        <v>#VALUE!</v>
      </c>
    </row>
    <row r="10034" spans="1:8" hidden="1" x14ac:dyDescent="0.3">
      <c r="A10034" t="s">
        <v>34</v>
      </c>
      <c r="B10034">
        <v>2023</v>
      </c>
      <c r="C10034" t="s">
        <v>38</v>
      </c>
      <c r="D10034" t="s">
        <v>18</v>
      </c>
      <c r="E10034" t="e">
        <f>VLOOKUP(Cpi_[[#This Row],[Attribute]],#REF!,2,FALSE)</f>
        <v>#REF!</v>
      </c>
      <c r="F10034">
        <v>179.7</v>
      </c>
      <c r="G10034">
        <f>(Cpi_[[#This Row],[Value]]-F10033)/F10033</f>
        <v>-4.0576615056059917E-2</v>
      </c>
      <c r="H10034" t="e" cm="1" vm="1">
        <f t="array" aca="1" ref="H10034" ca="1">VLOOKUP(Cpi_[[#This Row],[Year]:[Month]],crudeoil[],3,FALSE)</f>
        <v>#VALUE!</v>
      </c>
    </row>
    <row r="10035" spans="1:8" hidden="1" x14ac:dyDescent="0.3">
      <c r="A10035" t="s">
        <v>34</v>
      </c>
      <c r="B10035">
        <v>2023</v>
      </c>
      <c r="C10035" t="s">
        <v>38</v>
      </c>
      <c r="D10035" t="s">
        <v>19</v>
      </c>
      <c r="E10035" t="e">
        <f>VLOOKUP(Cpi_[[#This Row],[Attribute]],#REF!,2,FALSE)</f>
        <v>#REF!</v>
      </c>
      <c r="F10035">
        <v>186.2</v>
      </c>
      <c r="G10035">
        <f>(Cpi_[[#This Row],[Value]]-F10034)/F10034</f>
        <v>3.6171396772398445E-2</v>
      </c>
      <c r="H10035" t="e" cm="1" vm="1">
        <f t="array" aca="1" ref="H10035" ca="1">VLOOKUP(Cpi_[[#This Row],[Year]:[Month]],crudeoil[],3,FALSE)</f>
        <v>#VALUE!</v>
      </c>
    </row>
    <row r="10036" spans="1:8" hidden="1" x14ac:dyDescent="0.3">
      <c r="A10036" t="s">
        <v>34</v>
      </c>
      <c r="B10036">
        <v>2023</v>
      </c>
      <c r="C10036" t="s">
        <v>38</v>
      </c>
      <c r="D10036" t="s">
        <v>20</v>
      </c>
      <c r="E10036" t="e">
        <f>VLOOKUP(Cpi_[[#This Row],[Attribute]],#REF!,2,FALSE)</f>
        <v>#REF!</v>
      </c>
      <c r="F10036">
        <v>175.6</v>
      </c>
      <c r="G10036">
        <f>(Cpi_[[#This Row],[Value]]-F10035)/F10035</f>
        <v>-5.6928034371643364E-2</v>
      </c>
      <c r="H10036" t="e" cm="1" vm="1">
        <f t="array" aca="1" ref="H10036" ca="1">VLOOKUP(Cpi_[[#This Row],[Year]:[Month]],crudeoil[],3,FALSE)</f>
        <v>#VALUE!</v>
      </c>
    </row>
    <row r="10037" spans="1:8" hidden="1" x14ac:dyDescent="0.3">
      <c r="A10037" t="s">
        <v>34</v>
      </c>
      <c r="B10037">
        <v>2023</v>
      </c>
      <c r="C10037" t="s">
        <v>38</v>
      </c>
      <c r="D10037" t="s">
        <v>21</v>
      </c>
      <c r="E10037" t="e">
        <f>VLOOKUP(Cpi_[[#This Row],[Attribute]],#REF!,2,FALSE)</f>
        <v>#REF!</v>
      </c>
      <c r="F10037">
        <v>182.8</v>
      </c>
      <c r="G10037">
        <f>(Cpi_[[#This Row],[Value]]-F10036)/F10036</f>
        <v>4.1002277904328116E-2</v>
      </c>
      <c r="H10037" t="e" cm="1" vm="1">
        <f t="array" aca="1" ref="H10037" ca="1">VLOOKUP(Cpi_[[#This Row],[Year]:[Month]],crudeoil[],3,FALSE)</f>
        <v>#VALUE!</v>
      </c>
    </row>
    <row r="10038" spans="1:8" hidden="1" x14ac:dyDescent="0.3">
      <c r="A10038" t="s">
        <v>34</v>
      </c>
      <c r="B10038">
        <v>2023</v>
      </c>
      <c r="C10038" t="s">
        <v>38</v>
      </c>
      <c r="D10038" t="s">
        <v>22</v>
      </c>
      <c r="E10038" t="e">
        <f>VLOOKUP(Cpi_[[#This Row],[Attribute]],#REF!,2,FALSE)</f>
        <v>#REF!</v>
      </c>
      <c r="F10038">
        <v>175.2</v>
      </c>
      <c r="G10038">
        <f>(Cpi_[[#This Row],[Value]]-F10037)/F10037</f>
        <v>-4.1575492341356796E-2</v>
      </c>
      <c r="H10038" t="e" cm="1" vm="1">
        <f t="array" aca="1" ref="H10038" ca="1">VLOOKUP(Cpi_[[#This Row],[Year]:[Month]],crudeoil[],3,FALSE)</f>
        <v>#VALUE!</v>
      </c>
    </row>
    <row r="10039" spans="1:8" hidden="1" x14ac:dyDescent="0.3">
      <c r="A10039" t="s">
        <v>34</v>
      </c>
      <c r="B10039">
        <v>2023</v>
      </c>
      <c r="C10039" t="s">
        <v>38</v>
      </c>
      <c r="D10039" t="s">
        <v>23</v>
      </c>
      <c r="E10039" t="e">
        <f>VLOOKUP(Cpi_[[#This Row],[Attribute]],#REF!,2,FALSE)</f>
        <v>#REF!</v>
      </c>
      <c r="F10039">
        <v>185.7</v>
      </c>
      <c r="G10039">
        <f>(Cpi_[[#This Row],[Value]]-F10038)/F10038</f>
        <v>5.9931506849315072E-2</v>
      </c>
      <c r="H10039" t="e" cm="1" vm="1">
        <f t="array" aca="1" ref="H10039" ca="1">VLOOKUP(Cpi_[[#This Row],[Year]:[Month]],crudeoil[],3,FALSE)</f>
        <v>#VALUE!</v>
      </c>
    </row>
    <row r="10040" spans="1:8" hidden="1" x14ac:dyDescent="0.3">
      <c r="A10040" t="s">
        <v>34</v>
      </c>
      <c r="B10040">
        <v>2023</v>
      </c>
      <c r="C10040" t="s">
        <v>38</v>
      </c>
      <c r="D10040" t="s">
        <v>24</v>
      </c>
      <c r="E10040" t="e">
        <f>VLOOKUP(Cpi_[[#This Row],[Attribute]],#REF!,2,FALSE)</f>
        <v>#REF!</v>
      </c>
      <c r="F10040">
        <v>164.8</v>
      </c>
      <c r="G10040">
        <f>(Cpi_[[#This Row],[Value]]-F10039)/F10039</f>
        <v>-0.11254711900915443</v>
      </c>
      <c r="H10040" t="e" cm="1" vm="1">
        <f t="array" aca="1" ref="H10040" ca="1">VLOOKUP(Cpi_[[#This Row],[Year]:[Month]],crudeoil[],3,FALSE)</f>
        <v>#VALUE!</v>
      </c>
    </row>
    <row r="10041" spans="1:8" hidden="1" x14ac:dyDescent="0.3">
      <c r="A10041" t="s">
        <v>34</v>
      </c>
      <c r="B10041">
        <v>2023</v>
      </c>
      <c r="C10041" t="s">
        <v>38</v>
      </c>
      <c r="D10041" t="s">
        <v>25</v>
      </c>
      <c r="E10041" t="e">
        <f>VLOOKUP(Cpi_[[#This Row],[Attribute]],#REF!,2,FALSE)</f>
        <v>#REF!</v>
      </c>
      <c r="F10041">
        <v>171.2</v>
      </c>
      <c r="G10041">
        <f>(Cpi_[[#This Row],[Value]]-F10040)/F10040</f>
        <v>3.8834951456310537E-2</v>
      </c>
      <c r="H10041" t="e" cm="1" vm="1">
        <f t="array" aca="1" ref="H10041" ca="1">VLOOKUP(Cpi_[[#This Row],[Year]:[Month]],crudeoil[],3,FALSE)</f>
        <v>#VALUE!</v>
      </c>
    </row>
    <row r="10042" spans="1:8" hidden="1" x14ac:dyDescent="0.3">
      <c r="A10042" t="s">
        <v>34</v>
      </c>
      <c r="B10042">
        <v>2023</v>
      </c>
      <c r="C10042" t="s">
        <v>38</v>
      </c>
      <c r="D10042" t="s">
        <v>26</v>
      </c>
      <c r="E10042" t="e">
        <f>VLOOKUP(Cpi_[[#This Row],[Attribute]],#REF!,2,FALSE)</f>
        <v>#REF!</v>
      </c>
      <c r="F10042">
        <v>177.1</v>
      </c>
      <c r="G10042">
        <f>(Cpi_[[#This Row],[Value]]-F10041)/F10041</f>
        <v>3.4462616822429945E-2</v>
      </c>
      <c r="H10042" t="e" cm="1" vm="1">
        <f t="array" aca="1" ref="H10042" ca="1">VLOOKUP(Cpi_[[#This Row],[Year]:[Month]],crudeoil[],3,FALSE)</f>
        <v>#VALUE!</v>
      </c>
    </row>
    <row r="10043" spans="1:8" hidden="1" x14ac:dyDescent="0.3">
      <c r="A10043" t="s">
        <v>34</v>
      </c>
      <c r="B10043">
        <v>2023</v>
      </c>
      <c r="C10043" t="s">
        <v>38</v>
      </c>
      <c r="D10043" t="s">
        <v>27</v>
      </c>
      <c r="E10043" t="e">
        <f>VLOOKUP(Cpi_[[#This Row],[Attribute]],#REF!,2,FALSE)</f>
        <v>#REF!</v>
      </c>
      <c r="F10043">
        <v>185.2</v>
      </c>
      <c r="G10043">
        <f>(Cpi_[[#This Row],[Value]]-F10042)/F10042</f>
        <v>4.5736871823828316E-2</v>
      </c>
      <c r="H10043" t="e" cm="1" vm="1">
        <f t="array" aca="1" ref="H10043" ca="1">VLOOKUP(Cpi_[[#This Row],[Year]:[Month]],crudeoil[],3,FALSE)</f>
        <v>#VALUE!</v>
      </c>
    </row>
    <row r="10044" spans="1:8" hidden="1" x14ac:dyDescent="0.3">
      <c r="A10044" t="s">
        <v>34</v>
      </c>
      <c r="B10044">
        <v>2023</v>
      </c>
      <c r="C10044" t="s">
        <v>38</v>
      </c>
      <c r="D10044" t="s">
        <v>28</v>
      </c>
      <c r="E10044" t="e">
        <f>VLOOKUP(Cpi_[[#This Row],[Attribute]],#REF!,2,FALSE)</f>
        <v>#REF!</v>
      </c>
      <c r="F10044">
        <v>175.7</v>
      </c>
      <c r="G10044">
        <f>(Cpi_[[#This Row],[Value]]-F10043)/F10043</f>
        <v>-5.129589632829374E-2</v>
      </c>
      <c r="H10044" t="e" cm="1" vm="1">
        <f t="array" aca="1" ref="H10044" ca="1">VLOOKUP(Cpi_[[#This Row],[Year]:[Month]],crudeoil[],3,FALSE)</f>
        <v>#VALUE!</v>
      </c>
    </row>
    <row r="10045" spans="1:8" hidden="1" x14ac:dyDescent="0.3">
      <c r="A10045" t="s">
        <v>34</v>
      </c>
      <c r="B10045">
        <v>2023</v>
      </c>
      <c r="C10045" t="s">
        <v>38</v>
      </c>
      <c r="D10045" t="s">
        <v>29</v>
      </c>
      <c r="E10045" t="e" cm="1">
        <f t="array" aca="1" ref="E10045" ca="1">VLGeneral indexGeneral indexKUP(Cpi_[[#This Row],[Attribute]],#REF!,2,FALSE)</f>
        <v>#NAME?</v>
      </c>
      <c r="F10045">
        <v>179.1</v>
      </c>
      <c r="G10045">
        <f>(Cpi_[[#This Row],[Value]]-F10044)/F10044</f>
        <v>1.935116676152536E-2</v>
      </c>
      <c r="H10045" t="e" cm="1" vm="1">
        <f t="array" aca="1" ref="H10045" ca="1">VLOOKUP(Cpi_[[#This Row],[Year]:[Month]],crudeoil[],3,FALSE)</f>
        <v>#VALUE!</v>
      </c>
    </row>
  </sheetData>
  <dataConsolidate/>
  <phoneticPr fontId="1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3D44-E6D8-48FB-AEC4-1D30BA9FFC3C}">
  <dimension ref="A1:H19"/>
  <sheetViews>
    <sheetView workbookViewId="0">
      <selection activeCell="E21" sqref="E21"/>
    </sheetView>
  </sheetViews>
  <sheetFormatPr defaultRowHeight="14.4" x14ac:dyDescent="0.3"/>
  <cols>
    <col min="1" max="1" width="33.88671875" bestFit="1" customWidth="1"/>
    <col min="2" max="2" width="12" bestFit="1" customWidth="1"/>
    <col min="4" max="4" width="14.109375" customWidth="1"/>
    <col min="7" max="7" width="27.6640625" customWidth="1"/>
    <col min="8" max="8" width="14.33203125" customWidth="1"/>
  </cols>
  <sheetData>
    <row r="1" spans="1:8" x14ac:dyDescent="0.3">
      <c r="A1" s="10" t="s">
        <v>1</v>
      </c>
      <c r="B1" s="11">
        <v>2022</v>
      </c>
    </row>
    <row r="2" spans="1:8" x14ac:dyDescent="0.3">
      <c r="A2" s="10" t="s">
        <v>2</v>
      </c>
      <c r="B2" s="6" t="s">
        <v>39</v>
      </c>
    </row>
    <row r="4" spans="1:8" x14ac:dyDescent="0.3">
      <c r="A4" s="10" t="s">
        <v>54</v>
      </c>
      <c r="B4" s="6" t="s">
        <v>64</v>
      </c>
      <c r="C4" s="26">
        <v>45047</v>
      </c>
      <c r="D4" s="27" t="s">
        <v>65</v>
      </c>
      <c r="G4" s="28" t="s">
        <v>54</v>
      </c>
      <c r="H4" s="6" t="s">
        <v>65</v>
      </c>
    </row>
    <row r="5" spans="1:8" x14ac:dyDescent="0.3">
      <c r="A5" s="11" t="s">
        <v>49</v>
      </c>
      <c r="B5" s="6">
        <v>174.3</v>
      </c>
      <c r="C5" s="25">
        <v>177.7</v>
      </c>
      <c r="D5" s="6"/>
      <c r="G5" s="29" t="s">
        <v>49</v>
      </c>
      <c r="H5" s="6"/>
    </row>
    <row r="6" spans="1:8" x14ac:dyDescent="0.3">
      <c r="A6" s="12" t="s">
        <v>3</v>
      </c>
      <c r="B6" s="6">
        <v>155.43333333333334</v>
      </c>
      <c r="C6" s="6">
        <v>173.86666666666699</v>
      </c>
      <c r="D6" s="6">
        <f>C6-GETPIVOTDATA("Value",$A$4,"Attribute","Cereals and products","Buckets","Food")</f>
        <v>18.43333333333365</v>
      </c>
      <c r="G6" s="12" t="s">
        <v>3</v>
      </c>
      <c r="H6" s="6">
        <v>18.43333333333365</v>
      </c>
    </row>
    <row r="7" spans="1:8" x14ac:dyDescent="0.3">
      <c r="A7" s="12" t="s">
        <v>5</v>
      </c>
      <c r="B7" s="6">
        <v>171.06666666666669</v>
      </c>
      <c r="C7" s="6">
        <v>173.63333333333333</v>
      </c>
      <c r="D7" s="6">
        <f t="shared" ref="D7:D18" si="0">C7-GETPIVOTDATA("Value",$A$4,"Attribute","Cereals and products","Buckets","Food")</f>
        <v>18.199999999999989</v>
      </c>
      <c r="G7" s="12" t="s">
        <v>5</v>
      </c>
      <c r="H7" s="6">
        <v>18.199999999999989</v>
      </c>
    </row>
    <row r="8" spans="1:8" x14ac:dyDescent="0.3">
      <c r="A8" s="12" t="s">
        <v>15</v>
      </c>
      <c r="B8" s="6">
        <v>175.53333333333333</v>
      </c>
      <c r="C8" s="6">
        <v>179.66666666666666</v>
      </c>
      <c r="D8" s="6">
        <f t="shared" si="0"/>
        <v>24.23333333333332</v>
      </c>
      <c r="G8" s="12" t="s">
        <v>15</v>
      </c>
      <c r="H8" s="6">
        <v>24.23333333333332</v>
      </c>
    </row>
    <row r="9" spans="1:8" x14ac:dyDescent="0.3">
      <c r="A9" s="12" t="s">
        <v>8</v>
      </c>
      <c r="B9" s="6">
        <v>169.86666666666665</v>
      </c>
      <c r="C9" s="6">
        <v>172.33333333333334</v>
      </c>
      <c r="D9" s="6">
        <f t="shared" si="0"/>
        <v>16.900000000000006</v>
      </c>
      <c r="G9" s="12" t="s">
        <v>8</v>
      </c>
      <c r="H9" s="6">
        <v>16.900000000000006</v>
      </c>
    </row>
    <row r="10" spans="1:8" x14ac:dyDescent="0.3">
      <c r="A10" s="12" t="s">
        <v>4</v>
      </c>
      <c r="B10" s="6">
        <v>220</v>
      </c>
      <c r="C10" s="6">
        <v>215.06666666666669</v>
      </c>
      <c r="D10" s="6">
        <f t="shared" si="0"/>
        <v>59.633333333333354</v>
      </c>
      <c r="G10" s="12" t="s">
        <v>4</v>
      </c>
      <c r="H10" s="6">
        <v>59.633333333333354</v>
      </c>
    </row>
    <row r="11" spans="1:8" x14ac:dyDescent="0.3">
      <c r="A11" s="12" t="s">
        <v>6</v>
      </c>
      <c r="B11" s="6">
        <v>165.86666666666667</v>
      </c>
      <c r="C11" s="6">
        <v>179.5</v>
      </c>
      <c r="D11" s="6">
        <f t="shared" si="0"/>
        <v>24.066666666666663</v>
      </c>
      <c r="G11" s="12" t="s">
        <v>6</v>
      </c>
      <c r="H11" s="6">
        <v>24.066666666666663</v>
      </c>
    </row>
    <row r="12" spans="1:8" x14ac:dyDescent="0.3">
      <c r="A12" s="12" t="s">
        <v>13</v>
      </c>
      <c r="B12" s="6">
        <v>167.06666666666666</v>
      </c>
      <c r="C12" s="6">
        <v>172.66666666666666</v>
      </c>
      <c r="D12" s="6">
        <f t="shared" si="0"/>
        <v>17.23333333333332</v>
      </c>
      <c r="G12" s="12" t="s">
        <v>13</v>
      </c>
      <c r="H12" s="6">
        <v>17.23333333333332</v>
      </c>
    </row>
    <row r="13" spans="1:8" x14ac:dyDescent="0.3">
      <c r="A13" s="12" t="s">
        <v>7</v>
      </c>
      <c r="B13" s="6">
        <v>199.20000000000002</v>
      </c>
      <c r="C13" s="6">
        <v>169.23333333333332</v>
      </c>
      <c r="D13" s="6">
        <f t="shared" si="0"/>
        <v>13.799999999999983</v>
      </c>
      <c r="G13" s="12" t="s">
        <v>7</v>
      </c>
      <c r="H13" s="6">
        <v>13.799999999999983</v>
      </c>
    </row>
    <row r="14" spans="1:8" x14ac:dyDescent="0.3">
      <c r="A14" s="12" t="s">
        <v>14</v>
      </c>
      <c r="B14" s="6">
        <v>184.03333333333333</v>
      </c>
      <c r="C14" s="6">
        <v>194.33333333333334</v>
      </c>
      <c r="D14" s="6">
        <f t="shared" si="0"/>
        <v>38.900000000000006</v>
      </c>
      <c r="G14" s="12" t="s">
        <v>14</v>
      </c>
      <c r="H14" s="6">
        <v>38.900000000000006</v>
      </c>
    </row>
    <row r="15" spans="1:8" x14ac:dyDescent="0.3">
      <c r="A15" s="12" t="s">
        <v>10</v>
      </c>
      <c r="B15" s="6">
        <v>164.16666666666666</v>
      </c>
      <c r="C15" s="6">
        <v>175.79999999999998</v>
      </c>
      <c r="D15" s="6">
        <f t="shared" si="0"/>
        <v>20.366666666666646</v>
      </c>
      <c r="G15" s="12" t="s">
        <v>10</v>
      </c>
      <c r="H15" s="6">
        <v>20.366666666666646</v>
      </c>
    </row>
    <row r="16" spans="1:8" x14ac:dyDescent="0.3">
      <c r="A16" s="12" t="s">
        <v>12</v>
      </c>
      <c r="B16" s="6">
        <v>186.5</v>
      </c>
      <c r="C16" s="6">
        <v>216.96666666666667</v>
      </c>
      <c r="D16" s="6">
        <f t="shared" si="0"/>
        <v>61.533333333333331</v>
      </c>
      <c r="G16" s="12" t="s">
        <v>12</v>
      </c>
      <c r="H16" s="6">
        <v>61.533333333333331</v>
      </c>
    </row>
    <row r="17" spans="1:8" x14ac:dyDescent="0.3">
      <c r="A17" s="12" t="s">
        <v>11</v>
      </c>
      <c r="B17" s="6">
        <v>120.13333333333333</v>
      </c>
      <c r="C17" s="6">
        <v>122.93333333333334</v>
      </c>
      <c r="D17" s="6">
        <f t="shared" si="0"/>
        <v>-32.5</v>
      </c>
      <c r="G17" s="12" t="s">
        <v>11</v>
      </c>
      <c r="H17" s="6">
        <v>-32.5</v>
      </c>
    </row>
    <row r="18" spans="1:8" x14ac:dyDescent="0.3">
      <c r="A18" s="12" t="s">
        <v>9</v>
      </c>
      <c r="B18" s="6">
        <v>187.03333333333333</v>
      </c>
      <c r="C18" s="6">
        <v>164.9</v>
      </c>
      <c r="D18" s="6">
        <f t="shared" si="0"/>
        <v>9.4666666666666686</v>
      </c>
      <c r="G18" s="12" t="s">
        <v>9</v>
      </c>
      <c r="H18" s="6">
        <v>9.4666666666666686</v>
      </c>
    </row>
    <row r="19" spans="1:8" x14ac:dyDescent="0.3">
      <c r="A19" s="11" t="s">
        <v>55</v>
      </c>
      <c r="B19" s="6">
        <v>174.3</v>
      </c>
      <c r="C19" s="25">
        <v>177.7</v>
      </c>
      <c r="D19" s="6"/>
      <c r="G19" s="30" t="s">
        <v>55</v>
      </c>
      <c r="H19" s="6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4DB8-FB01-4F3F-A83A-9563D0EF5991}">
  <dimension ref="A1:D29"/>
  <sheetViews>
    <sheetView workbookViewId="0">
      <selection activeCell="F30" sqref="F30"/>
    </sheetView>
  </sheetViews>
  <sheetFormatPr defaultRowHeight="14.4" x14ac:dyDescent="0.3"/>
  <cols>
    <col min="1" max="1" width="25.21875" bestFit="1" customWidth="1"/>
    <col min="2" max="2" width="15.5546875" bestFit="1" customWidth="1"/>
    <col min="3" max="3" width="11.33203125" customWidth="1"/>
    <col min="4" max="4" width="12.5546875" customWidth="1"/>
    <col min="6" max="6" width="26.33203125" customWidth="1"/>
    <col min="7" max="7" width="11.44140625" customWidth="1"/>
  </cols>
  <sheetData>
    <row r="1" spans="1:4" x14ac:dyDescent="0.3">
      <c r="A1" s="1" t="s">
        <v>1</v>
      </c>
      <c r="B1" t="s">
        <v>58</v>
      </c>
    </row>
    <row r="2" spans="1:4" x14ac:dyDescent="0.3">
      <c r="A2" s="1" t="s">
        <v>2</v>
      </c>
      <c r="B2" t="s">
        <v>56</v>
      </c>
    </row>
    <row r="3" spans="1:4" x14ac:dyDescent="0.3">
      <c r="A3" s="1" t="s">
        <v>0</v>
      </c>
      <c r="B3" t="s">
        <v>34</v>
      </c>
    </row>
    <row r="5" spans="1:4" x14ac:dyDescent="0.3">
      <c r="A5" s="10" t="s">
        <v>54</v>
      </c>
      <c r="B5" s="6" t="s">
        <v>66</v>
      </c>
      <c r="C5" s="28" t="s">
        <v>67</v>
      </c>
      <c r="D5" s="27" t="s">
        <v>68</v>
      </c>
    </row>
    <row r="6" spans="1:4" x14ac:dyDescent="0.3">
      <c r="A6" s="11" t="s">
        <v>19</v>
      </c>
      <c r="B6" s="9">
        <v>0.99828246791334874</v>
      </c>
      <c r="C6" s="9">
        <v>1.018248298719302</v>
      </c>
      <c r="D6" s="9">
        <f t="shared" ref="D6:D15" si="0">GETPIVOTDATA("Value",$A$5,"Buckets","Clothing and footwear")-C6</f>
        <v>-1.9965830805953266E-2</v>
      </c>
    </row>
    <row r="7" spans="1:4" x14ac:dyDescent="0.3">
      <c r="A7" s="11" t="s">
        <v>26</v>
      </c>
      <c r="B7" s="9">
        <v>1.0029009952166974</v>
      </c>
      <c r="C7" s="9">
        <v>1.0182766882779146</v>
      </c>
      <c r="D7" s="9">
        <f t="shared" si="0"/>
        <v>-1.9994220364565884E-2</v>
      </c>
    </row>
    <row r="8" spans="1:4" x14ac:dyDescent="0.3">
      <c r="A8" s="11" t="s">
        <v>49</v>
      </c>
      <c r="B8" s="9">
        <v>1.0017082770037549</v>
      </c>
      <c r="C8" s="9">
        <v>1.0094380723635292</v>
      </c>
      <c r="D8" s="9">
        <f t="shared" si="0"/>
        <v>-1.115560445018049E-2</v>
      </c>
    </row>
    <row r="9" spans="1:4" x14ac:dyDescent="0.3">
      <c r="A9" s="11" t="s">
        <v>21</v>
      </c>
      <c r="B9" s="9">
        <v>0.98873915663113632</v>
      </c>
      <c r="C9" s="9">
        <v>0.98155006262081468</v>
      </c>
      <c r="D9" s="9">
        <f t="shared" si="0"/>
        <v>1.6732405292534058E-2</v>
      </c>
    </row>
    <row r="10" spans="1:4" x14ac:dyDescent="0.3">
      <c r="A10" s="11" t="s">
        <v>23</v>
      </c>
      <c r="B10" s="9">
        <v>1.0211824926193254</v>
      </c>
      <c r="C10" s="9">
        <v>0.98226926477230614</v>
      </c>
      <c r="D10" s="9">
        <f t="shared" si="0"/>
        <v>1.6013203141042598E-2</v>
      </c>
    </row>
    <row r="11" spans="1:4" x14ac:dyDescent="0.3">
      <c r="A11" s="11" t="s">
        <v>20</v>
      </c>
      <c r="B11" s="9">
        <v>0.99338911485707837</v>
      </c>
      <c r="C11" s="9">
        <v>1.0023028299658339</v>
      </c>
      <c r="D11" s="9">
        <f t="shared" si="0"/>
        <v>-4.0203620524851269E-3</v>
      </c>
    </row>
    <row r="12" spans="1:4" x14ac:dyDescent="0.3">
      <c r="A12" s="11" t="s">
        <v>28</v>
      </c>
      <c r="B12" s="9">
        <v>0.97119992254511855</v>
      </c>
      <c r="C12" s="9">
        <v>0.97530435972628005</v>
      </c>
      <c r="D12" s="9">
        <f t="shared" si="0"/>
        <v>2.2978108187068691E-2</v>
      </c>
    </row>
    <row r="13" spans="1:4" x14ac:dyDescent="0.3">
      <c r="A13" s="11" t="s">
        <v>25</v>
      </c>
      <c r="B13" s="9">
        <v>0.97696658768203282</v>
      </c>
      <c r="C13" s="9">
        <v>0.94831535267293177</v>
      </c>
      <c r="D13" s="9">
        <f t="shared" si="0"/>
        <v>4.9967115240416971E-2</v>
      </c>
    </row>
    <row r="14" spans="1:4" x14ac:dyDescent="0.3">
      <c r="A14" s="11" t="s">
        <v>50</v>
      </c>
      <c r="B14" s="9">
        <v>1.1568553687908651</v>
      </c>
      <c r="C14" s="9">
        <v>1.0844432862151583</v>
      </c>
      <c r="D14" s="9">
        <f t="shared" si="0"/>
        <v>-8.616081830180955E-2</v>
      </c>
    </row>
    <row r="15" spans="1:4" x14ac:dyDescent="0.3">
      <c r="A15" s="11" t="s">
        <v>24</v>
      </c>
      <c r="B15" s="9">
        <v>0.92297813353535152</v>
      </c>
      <c r="C15" s="9">
        <v>0.90647860646575806</v>
      </c>
      <c r="D15" s="9">
        <f t="shared" si="0"/>
        <v>9.1803861447590673E-2</v>
      </c>
    </row>
    <row r="16" spans="1:4" x14ac:dyDescent="0.3">
      <c r="A16" s="11" t="s">
        <v>55</v>
      </c>
      <c r="B16" s="9">
        <v>1</v>
      </c>
      <c r="C16" s="31">
        <v>1</v>
      </c>
      <c r="D16" s="34"/>
    </row>
    <row r="18" spans="1:2" x14ac:dyDescent="0.3">
      <c r="A18" s="28" t="s">
        <v>54</v>
      </c>
      <c r="B18" s="32" t="s">
        <v>68</v>
      </c>
    </row>
    <row r="19" spans="1:2" x14ac:dyDescent="0.3">
      <c r="A19" s="11" t="s">
        <v>19</v>
      </c>
      <c r="B19" s="8">
        <v>-1.9965830805953266E-2</v>
      </c>
    </row>
    <row r="20" spans="1:2" x14ac:dyDescent="0.3">
      <c r="A20" s="11" t="s">
        <v>26</v>
      </c>
      <c r="B20" s="8">
        <v>-1.9994220364565884E-2</v>
      </c>
    </row>
    <row r="21" spans="1:2" x14ac:dyDescent="0.3">
      <c r="A21" s="11" t="s">
        <v>49</v>
      </c>
      <c r="B21" s="8">
        <v>-1.115560445018049E-2</v>
      </c>
    </row>
    <row r="22" spans="1:2" x14ac:dyDescent="0.3">
      <c r="A22" s="11" t="s">
        <v>21</v>
      </c>
      <c r="B22" s="8">
        <v>1.6732405292534058E-2</v>
      </c>
    </row>
    <row r="23" spans="1:2" x14ac:dyDescent="0.3">
      <c r="A23" s="11" t="s">
        <v>23</v>
      </c>
      <c r="B23" s="8">
        <v>1.6013203141042598E-2</v>
      </c>
    </row>
    <row r="24" spans="1:2" x14ac:dyDescent="0.3">
      <c r="A24" s="11" t="s">
        <v>20</v>
      </c>
      <c r="B24" s="8">
        <v>-4.0203620524851269E-3</v>
      </c>
    </row>
    <row r="25" spans="1:2" x14ac:dyDescent="0.3">
      <c r="A25" s="11" t="s">
        <v>28</v>
      </c>
      <c r="B25" s="8">
        <v>2.2978108187068691E-2</v>
      </c>
    </row>
    <row r="26" spans="1:2" x14ac:dyDescent="0.3">
      <c r="A26" s="11" t="s">
        <v>25</v>
      </c>
      <c r="B26" s="8">
        <v>4.9967115240416971E-2</v>
      </c>
    </row>
    <row r="27" spans="1:2" x14ac:dyDescent="0.3">
      <c r="A27" s="11" t="s">
        <v>50</v>
      </c>
      <c r="B27" s="8">
        <v>-8.616081830180955E-2</v>
      </c>
    </row>
    <row r="28" spans="1:2" x14ac:dyDescent="0.3">
      <c r="A28" s="11" t="s">
        <v>24</v>
      </c>
      <c r="B28" s="8">
        <v>9.1803861447590673E-2</v>
      </c>
    </row>
    <row r="29" spans="1:2" x14ac:dyDescent="0.3">
      <c r="A29" s="30" t="s">
        <v>55</v>
      </c>
      <c r="B29" s="33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381F-DCE9-48A1-8908-9F6BDDCCF199}">
  <dimension ref="A1:AD373"/>
  <sheetViews>
    <sheetView workbookViewId="0">
      <pane ySplit="1" topLeftCell="A2" activePane="bottomLeft" state="frozen"/>
      <selection pane="bottomLeft" activeCell="G29" sqref="G29"/>
    </sheetView>
  </sheetViews>
  <sheetFormatPr defaultRowHeight="14.4" x14ac:dyDescent="0.3"/>
  <cols>
    <col min="1" max="1" width="15.44140625" customWidth="1"/>
    <col min="4" max="4" width="20.44140625" customWidth="1"/>
    <col min="5" max="5" width="13.77734375" customWidth="1"/>
    <col min="7" max="7" width="17.6640625" customWidth="1"/>
    <col min="8" max="8" width="13.109375" customWidth="1"/>
    <col min="10" max="10" width="12.109375" customWidth="1"/>
    <col min="11" max="11" width="19.5546875" customWidth="1"/>
    <col min="12" max="12" width="22.88671875" customWidth="1"/>
    <col min="14" max="14" width="23.33203125" customWidth="1"/>
    <col min="15" max="15" width="32.88671875" customWidth="1"/>
    <col min="16" max="16" width="19.21875" customWidth="1"/>
    <col min="17" max="17" width="26.6640625" customWidth="1"/>
    <col min="18" max="18" width="9.77734375" customWidth="1"/>
    <col min="19" max="19" width="10.5546875" customWidth="1"/>
    <col min="20" max="20" width="20.77734375" customWidth="1"/>
    <col min="21" max="21" width="9.5546875" customWidth="1"/>
    <col min="22" max="22" width="13.88671875" customWidth="1"/>
    <col min="23" max="23" width="27.6640625" customWidth="1"/>
    <col min="25" max="25" width="27.6640625" customWidth="1"/>
    <col min="26" max="26" width="25.5546875" customWidth="1"/>
    <col min="27" max="27" width="11.21875" customWidth="1"/>
    <col min="28" max="28" width="23.5546875" customWidth="1"/>
    <col min="29" max="29" width="14.77734375" customWidth="1"/>
    <col min="30" max="30" width="14.332031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f>U3</f>
        <v>100.3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f>U6</f>
        <v>100.4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f>U9</f>
        <v>100.4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f>U12</f>
        <v>100.5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f>U15</f>
        <v>100.5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f>U18</f>
        <v>106.6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f>U21</f>
        <v>107.7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f>U24</f>
        <v>108.9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f>U27</f>
        <v>109.7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f>U30</f>
        <v>110.5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f>U33</f>
        <v>111.1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f>U36</f>
        <v>110.7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f>U39</f>
        <v>111.6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f>U42</f>
        <v>112.5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f>U45</f>
        <v>113.2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f>U48</f>
        <v>113.9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f>U51</f>
        <v>114.3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f>U54</f>
        <v>113.9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f>U57</f>
        <v>114.8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f>U60</f>
        <v>115.5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f>U63</f>
        <v>116.1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f>U66</f>
        <v>116.7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f>U69</f>
        <v>117.1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f>U72</f>
        <v>116.5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f>U75</f>
        <v>117.3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f>U78</f>
        <v>118.1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f>U81</f>
        <v>118.6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f>U84</f>
        <v>119.2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f>U87</f>
        <v>119.6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f>U90</f>
        <v>119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f>U93</f>
        <v>119.9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f>U96</f>
        <v>120.9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f>U99</f>
        <v>121.6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f>U102</f>
        <v>122.4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f>U105</f>
        <v>122.9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f>U108</f>
        <v>122.4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f>U111</f>
        <v>123.4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f>U114</f>
        <v>124.4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f>U117</f>
        <v>124.9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f>U120</f>
        <v>125.6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f>U123</f>
        <v>126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f>U126</f>
        <v>125.5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f>U129</f>
        <v>126.4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f>U132</f>
        <v>127.3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f>U135</f>
        <v>127.9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f>U138</f>
        <v>128.69999999999999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f>U141</f>
        <v>129.1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f>U144</f>
        <v>128.5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f>U147</f>
        <v>129.6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f>U150</f>
        <v>130.5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f>U153</f>
        <v>131.1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f>U156</f>
        <v>131.69999999999999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f>U159</f>
        <v>132.1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f>U162</f>
        <v>131.4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f>U165</f>
        <v>132.6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f>U168</f>
        <v>134.4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f>U171</f>
        <v>135.69999999999999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f>U174</f>
        <v>137.30000000000001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f>U177</f>
        <v>138.6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f>U180</f>
        <v>139.1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f>U183</f>
        <v>140.4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f>U186</f>
        <v>141.30000000000001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f>U189</f>
        <v>142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f>U192</f>
        <v>142.9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f>U195</f>
        <v>143.19999999999999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f>U198</f>
        <v>142.5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f>U201</f>
        <v>143.6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f>U204</f>
        <v>144.6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f>U207</f>
        <v>145.30000000000001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f>U210</f>
        <v>146.30000000000001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f>U213</f>
        <v>146.9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f>U216</f>
        <v>146.5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f>U219</f>
        <v>147.69999999999999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f>U222</f>
        <v>148.5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f>U225</f>
        <v>149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f>U228</f>
        <v>150.1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f>U231</f>
        <v>149.4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f>U234</f>
        <v>150.6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f>U237</f>
        <v>151.6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f>U240</f>
        <v>152.19999999999999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f>U243</f>
        <v>153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f>U246</f>
        <v>153.5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f>U249</f>
        <v>152.80000000000001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f>U252</f>
        <v>153.9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f>U255</f>
        <v>154.80000000000001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159.1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f>U258</f>
        <v>154.5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159.1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>
        <f>(E254+E257)/2</f>
        <v>167.15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159.1</v>
      </c>
      <c r="P260">
        <v>150.1</v>
      </c>
      <c r="Q260">
        <f>(Q259+Q266)/2</f>
        <v>176.8</v>
      </c>
      <c r="R260" t="s">
        <v>32</v>
      </c>
      <c r="S260" t="s">
        <v>32</v>
      </c>
      <c r="T260" t="s">
        <v>32</v>
      </c>
      <c r="U260">
        <f>U261</f>
        <v>155.6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>
        <f t="shared" ref="E261:E262" si="0">(E255+E258)/2</f>
        <v>167.55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159.1</v>
      </c>
      <c r="P261">
        <v>150.75</v>
      </c>
      <c r="Q261">
        <f t="shared" ref="Q261:Q265" si="1">(Q260+Q267)/2</f>
        <v>181.75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>
        <f t="shared" si="0"/>
        <v>167.25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159.1</v>
      </c>
      <c r="P262">
        <v>151.4</v>
      </c>
      <c r="Q262">
        <f t="shared" si="1"/>
        <v>182.625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">
      <c r="A263" t="s">
        <v>30</v>
      </c>
      <c r="B263">
        <v>2020</v>
      </c>
      <c r="C263" t="s">
        <v>38</v>
      </c>
      <c r="D263">
        <f>(D260+D266)/2</f>
        <v>147.69999999999999</v>
      </c>
      <c r="E263">
        <f t="shared" ref="E263:N263" si="2">(E260+E266)/2</f>
        <v>178.72500000000002</v>
      </c>
      <c r="F263">
        <f t="shared" si="2"/>
        <v>148.15</v>
      </c>
      <c r="G263">
        <f t="shared" si="2"/>
        <v>154.44999999999999</v>
      </c>
      <c r="H263">
        <f>(H260+H266)/2</f>
        <v>137.64999999999998</v>
      </c>
      <c r="I263">
        <f t="shared" si="2"/>
        <v>145.25</v>
      </c>
      <c r="J263">
        <f t="shared" si="2"/>
        <v>155.80000000000001</v>
      </c>
      <c r="K263">
        <f t="shared" si="2"/>
        <v>150.25</v>
      </c>
      <c r="L263">
        <f>(L260+L266)/2</f>
        <v>116.5</v>
      </c>
      <c r="M263">
        <f t="shared" si="2"/>
        <v>159.25</v>
      </c>
      <c r="N263">
        <f t="shared" si="2"/>
        <v>140.64999999999998</v>
      </c>
      <c r="O263">
        <f>(O260+O266)/2</f>
        <v>160.44999999999999</v>
      </c>
      <c r="P263">
        <v>152.05000000000001</v>
      </c>
      <c r="Q263">
        <f t="shared" si="1"/>
        <v>182.51249999999999</v>
      </c>
      <c r="R263" t="s">
        <v>32</v>
      </c>
      <c r="S263" t="s">
        <v>32</v>
      </c>
      <c r="T263" t="s">
        <v>32</v>
      </c>
      <c r="U263">
        <f t="shared" ref="U263:U266" si="3">U264</f>
        <v>154.69999999999999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">
      <c r="A264" t="s">
        <v>33</v>
      </c>
      <c r="B264">
        <v>2020</v>
      </c>
      <c r="C264" t="s">
        <v>38</v>
      </c>
      <c r="D264">
        <f t="shared" ref="D264:O264" si="4">(D261+D267)/2</f>
        <v>152.25</v>
      </c>
      <c r="E264">
        <f t="shared" si="4"/>
        <v>182.27500000000001</v>
      </c>
      <c r="F264">
        <f t="shared" si="4"/>
        <v>153.25</v>
      </c>
      <c r="G264">
        <f t="shared" si="4"/>
        <v>154.44999999999999</v>
      </c>
      <c r="H264">
        <f t="shared" si="4"/>
        <v>132.25</v>
      </c>
      <c r="I264">
        <f t="shared" si="4"/>
        <v>152.35000000000002</v>
      </c>
      <c r="J264">
        <f t="shared" si="4"/>
        <v>175.6</v>
      </c>
      <c r="K264">
        <f t="shared" si="4"/>
        <v>151.4</v>
      </c>
      <c r="L264">
        <f t="shared" si="4"/>
        <v>118.75</v>
      </c>
      <c r="M264">
        <f t="shared" si="4"/>
        <v>156.4</v>
      </c>
      <c r="N264">
        <f t="shared" si="4"/>
        <v>134.55000000000001</v>
      </c>
      <c r="O264">
        <f t="shared" si="4"/>
        <v>160.39999999999998</v>
      </c>
      <c r="P264">
        <v>152.70000000000002</v>
      </c>
      <c r="Q264">
        <f t="shared" si="1"/>
        <v>184.60624999999999</v>
      </c>
      <c r="R264" t="s">
        <v>32</v>
      </c>
      <c r="S264" t="s">
        <v>32</v>
      </c>
      <c r="T264" t="s">
        <v>32</v>
      </c>
      <c r="U264">
        <f t="shared" si="3"/>
        <v>154.69999999999999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">
      <c r="A265" t="s">
        <v>34</v>
      </c>
      <c r="B265">
        <v>2020</v>
      </c>
      <c r="C265" t="s">
        <v>38</v>
      </c>
      <c r="D265">
        <f t="shared" ref="D265:O265" si="5">(D262+D268)/2</f>
        <v>149.14999999999998</v>
      </c>
      <c r="E265">
        <f t="shared" si="5"/>
        <v>179.97499999999999</v>
      </c>
      <c r="F265">
        <f t="shared" si="5"/>
        <v>150.10000000000002</v>
      </c>
      <c r="G265">
        <f t="shared" si="5"/>
        <v>154.44999999999999</v>
      </c>
      <c r="H265">
        <f t="shared" si="5"/>
        <v>135.69999999999999</v>
      </c>
      <c r="I265">
        <f t="shared" si="5"/>
        <v>148.55000000000001</v>
      </c>
      <c r="J265">
        <f t="shared" si="5"/>
        <v>162.55000000000001</v>
      </c>
      <c r="K265">
        <f t="shared" si="5"/>
        <v>150.65</v>
      </c>
      <c r="L265">
        <f t="shared" si="5"/>
        <v>117.25</v>
      </c>
      <c r="M265">
        <f t="shared" si="5"/>
        <v>158.30000000000001</v>
      </c>
      <c r="N265">
        <f t="shared" si="5"/>
        <v>138.10000000000002</v>
      </c>
      <c r="O265">
        <f t="shared" si="5"/>
        <v>160.44999999999999</v>
      </c>
      <c r="P265">
        <v>153.35000000000002</v>
      </c>
      <c r="Q265">
        <f t="shared" si="1"/>
        <v>184.05312499999999</v>
      </c>
      <c r="R265" t="s">
        <v>32</v>
      </c>
      <c r="S265" t="s">
        <v>32</v>
      </c>
      <c r="T265" t="s">
        <v>32</v>
      </c>
      <c r="U265">
        <f t="shared" si="3"/>
        <v>154.69999999999999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f t="shared" si="3"/>
        <v>154.69999999999999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f>U270</f>
        <v>154.69999999999999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f>U273</f>
        <v>155.5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f>U276</f>
        <v>156.30000000000001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f>U279</f>
        <v>156.5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f>U282</f>
        <v>158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f>U285</f>
        <v>158.4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f>U288</f>
        <v>157.69999999999999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f>U291</f>
        <v>159.80000000000001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f>U300</f>
        <v>161.6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f>U303</f>
        <v>160.5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f>U306</f>
        <v>161.5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f>U309</f>
        <v>162.1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f>U312</f>
        <v>162.1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f>U315</f>
        <v>163.6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f>U318</f>
        <v>164.2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f>U321</f>
        <v>163.4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f>U324</f>
        <v>164.5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f>U327</f>
        <v>165.5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f>U330</f>
        <v>165.3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f>U333</f>
        <v>167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f>U336</f>
        <v>167.5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f>U339</f>
        <v>166.8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f>U342</f>
        <v>167.8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f>U345</f>
        <v>169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f>U348</f>
        <v>169.5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f>U351</f>
        <v>171.2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f>U354</f>
        <v>171.8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f>U357</f>
        <v>170.7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f>U360</f>
        <v>172.1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f>U363</f>
        <v>173.5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f>U366</f>
        <v>173.5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DF7E-1C20-4974-A039-248CA9A6227E}">
  <dimension ref="A1:H69"/>
  <sheetViews>
    <sheetView tabSelected="1" workbookViewId="0">
      <selection activeCell="B39" sqref="B39"/>
    </sheetView>
  </sheetViews>
  <sheetFormatPr defaultRowHeight="14.4" x14ac:dyDescent="0.3"/>
  <cols>
    <col min="1" max="1" width="13.6640625" customWidth="1"/>
    <col min="2" max="2" width="22" customWidth="1"/>
    <col min="3" max="3" width="16.5546875" customWidth="1"/>
    <col min="4" max="4" width="8.88671875" customWidth="1"/>
    <col min="5" max="5" width="13.33203125" customWidth="1"/>
    <col min="6" max="6" width="28" customWidth="1"/>
    <col min="7" max="7" width="20.109375" customWidth="1"/>
    <col min="8" max="8" width="15.44140625" customWidth="1"/>
  </cols>
  <sheetData>
    <row r="1" spans="1:8" x14ac:dyDescent="0.3">
      <c r="A1" s="43" t="s">
        <v>2</v>
      </c>
      <c r="B1" s="40" t="s">
        <v>73</v>
      </c>
      <c r="C1" s="40" t="s">
        <v>74</v>
      </c>
      <c r="E1" s="40"/>
      <c r="F1" s="38"/>
      <c r="G1" s="40"/>
      <c r="H1" s="38"/>
    </row>
    <row r="2" spans="1:8" x14ac:dyDescent="0.3">
      <c r="A2" s="44">
        <v>44197</v>
      </c>
      <c r="B2" s="39">
        <v>54.79</v>
      </c>
      <c r="C2" s="39" t="s">
        <v>75</v>
      </c>
      <c r="E2" s="39"/>
      <c r="F2" s="45"/>
      <c r="G2" s="39"/>
      <c r="H2" s="45"/>
    </row>
    <row r="3" spans="1:8" x14ac:dyDescent="0.3">
      <c r="A3" s="44">
        <v>44228</v>
      </c>
      <c r="B3" s="39">
        <v>61.22</v>
      </c>
      <c r="C3" s="41">
        <v>0.1174</v>
      </c>
      <c r="E3" s="39"/>
      <c r="F3" s="45"/>
      <c r="G3" s="39"/>
      <c r="H3" s="45"/>
    </row>
    <row r="4" spans="1:8" x14ac:dyDescent="0.3">
      <c r="A4" s="44">
        <v>44256</v>
      </c>
      <c r="B4" s="39">
        <v>64.73</v>
      </c>
      <c r="C4" s="41">
        <v>5.7299999999999997E-2</v>
      </c>
      <c r="E4" s="39"/>
      <c r="F4" s="45"/>
      <c r="G4" s="39"/>
      <c r="H4" s="45"/>
    </row>
    <row r="5" spans="1:8" x14ac:dyDescent="0.3">
      <c r="A5" s="44">
        <v>44287</v>
      </c>
      <c r="B5" s="39">
        <v>63.4</v>
      </c>
      <c r="C5" s="41">
        <v>-2.06E-2</v>
      </c>
      <c r="E5" s="39"/>
      <c r="F5" s="45"/>
      <c r="G5" s="39"/>
      <c r="H5" s="45"/>
    </row>
    <row r="6" spans="1:8" x14ac:dyDescent="0.3">
      <c r="A6" s="44">
        <v>44317</v>
      </c>
      <c r="B6" s="39">
        <v>66.95</v>
      </c>
      <c r="C6" s="41">
        <v>5.6000000000000001E-2</v>
      </c>
      <c r="E6" s="39"/>
      <c r="F6" s="45"/>
      <c r="G6" s="39"/>
      <c r="H6" s="45"/>
    </row>
    <row r="7" spans="1:8" x14ac:dyDescent="0.3">
      <c r="A7" s="44">
        <v>44348</v>
      </c>
      <c r="B7" s="39">
        <v>71.98</v>
      </c>
      <c r="C7" s="41">
        <v>7.51E-2</v>
      </c>
      <c r="E7" s="39"/>
      <c r="F7" s="45"/>
      <c r="G7" s="39"/>
      <c r="H7" s="45"/>
    </row>
    <row r="8" spans="1:8" x14ac:dyDescent="0.3">
      <c r="A8" s="44">
        <v>44378</v>
      </c>
      <c r="B8" s="39">
        <v>73.540000000000006</v>
      </c>
      <c r="C8" s="41">
        <v>2.1700000000000001E-2</v>
      </c>
      <c r="E8" s="39"/>
      <c r="F8" s="45"/>
      <c r="G8" s="39"/>
      <c r="H8" s="45"/>
    </row>
    <row r="9" spans="1:8" x14ac:dyDescent="0.3">
      <c r="A9" s="44">
        <v>44409</v>
      </c>
      <c r="B9" s="39">
        <v>69.8</v>
      </c>
      <c r="C9" s="41">
        <v>-5.0900000000000001E-2</v>
      </c>
      <c r="E9" s="39"/>
      <c r="F9" s="45"/>
      <c r="G9" s="39"/>
      <c r="H9" s="45"/>
    </row>
    <row r="10" spans="1:8" x14ac:dyDescent="0.3">
      <c r="A10" s="44">
        <v>44440</v>
      </c>
      <c r="B10" s="39">
        <v>73.13</v>
      </c>
      <c r="C10" s="41">
        <v>4.7699999999999999E-2</v>
      </c>
      <c r="E10" s="39"/>
      <c r="F10" s="45"/>
      <c r="G10" s="39"/>
      <c r="H10" s="45"/>
    </row>
    <row r="11" spans="1:8" x14ac:dyDescent="0.3">
      <c r="A11" s="44">
        <v>44470</v>
      </c>
      <c r="B11" s="39">
        <v>82.11</v>
      </c>
      <c r="C11" s="41">
        <v>0.12280000000000001</v>
      </c>
      <c r="E11" s="39"/>
      <c r="F11" s="45"/>
      <c r="G11" s="39"/>
      <c r="H11" s="45"/>
    </row>
    <row r="12" spans="1:8" x14ac:dyDescent="0.3">
      <c r="A12" s="44">
        <v>44501</v>
      </c>
      <c r="B12" s="39">
        <v>80.64</v>
      </c>
      <c r="C12" s="41">
        <v>-1.7899999999999999E-2</v>
      </c>
      <c r="E12" s="39"/>
      <c r="F12" s="45"/>
      <c r="G12" s="39"/>
      <c r="H12" s="45"/>
    </row>
    <row r="13" spans="1:8" x14ac:dyDescent="0.3">
      <c r="A13" s="44">
        <v>44531</v>
      </c>
      <c r="B13" s="39">
        <v>73.3</v>
      </c>
      <c r="C13" s="41">
        <v>-9.11E-2</v>
      </c>
      <c r="E13" s="39"/>
      <c r="F13" s="45"/>
      <c r="G13" s="39"/>
      <c r="H13" s="45"/>
    </row>
    <row r="14" spans="1:8" x14ac:dyDescent="0.3">
      <c r="A14" s="44">
        <v>44562</v>
      </c>
      <c r="B14" s="39">
        <v>84.67</v>
      </c>
      <c r="C14" s="41">
        <v>0.15509999999999999</v>
      </c>
      <c r="E14" s="39"/>
      <c r="F14" s="45"/>
      <c r="G14" s="39"/>
      <c r="H14" s="45"/>
    </row>
    <row r="15" spans="1:8" x14ac:dyDescent="0.3">
      <c r="A15" s="44">
        <v>44593</v>
      </c>
      <c r="B15" s="39">
        <v>94.07</v>
      </c>
      <c r="C15" s="41">
        <v>0.1111</v>
      </c>
      <c r="E15" s="39"/>
      <c r="F15" s="45"/>
      <c r="G15" s="39"/>
      <c r="H15" s="45"/>
    </row>
    <row r="16" spans="1:8" x14ac:dyDescent="0.3">
      <c r="A16" s="44">
        <v>44621</v>
      </c>
      <c r="B16" s="39">
        <v>112.87</v>
      </c>
      <c r="C16" s="41">
        <v>0.19989999999999999</v>
      </c>
      <c r="E16" s="39"/>
      <c r="F16" s="45"/>
      <c r="G16" s="39"/>
      <c r="H16" s="45"/>
    </row>
    <row r="17" spans="1:8" x14ac:dyDescent="0.3">
      <c r="A17" s="44">
        <v>44652</v>
      </c>
      <c r="B17" s="39">
        <v>102.97</v>
      </c>
      <c r="C17" s="41">
        <v>-8.7800000000000003E-2</v>
      </c>
      <c r="E17" s="39"/>
      <c r="F17" s="45"/>
      <c r="G17" s="39"/>
      <c r="H17" s="45"/>
    </row>
    <row r="18" spans="1:8" x14ac:dyDescent="0.3">
      <c r="A18" s="44">
        <v>44682</v>
      </c>
      <c r="B18" s="39">
        <v>109.51</v>
      </c>
      <c r="C18" s="41">
        <v>6.3500000000000001E-2</v>
      </c>
      <c r="E18" s="39"/>
      <c r="F18" s="45"/>
      <c r="G18" s="39"/>
      <c r="H18" s="45"/>
    </row>
    <row r="19" spans="1:8" x14ac:dyDescent="0.3">
      <c r="A19" s="44">
        <v>44713</v>
      </c>
      <c r="B19" s="39">
        <v>116.01</v>
      </c>
      <c r="C19" s="41">
        <v>5.9400000000000001E-2</v>
      </c>
      <c r="E19" s="39"/>
      <c r="F19" s="45"/>
      <c r="G19" s="39"/>
      <c r="H19" s="45"/>
    </row>
    <row r="20" spans="1:8" x14ac:dyDescent="0.3">
      <c r="A20" s="44">
        <v>44743</v>
      </c>
      <c r="B20" s="39">
        <v>105.49</v>
      </c>
      <c r="C20" s="41">
        <v>-9.0700000000000003E-2</v>
      </c>
      <c r="E20" s="39"/>
      <c r="F20" s="45"/>
      <c r="G20" s="39"/>
      <c r="H20" s="45"/>
    </row>
    <row r="21" spans="1:8" x14ac:dyDescent="0.3">
      <c r="A21" s="44">
        <v>44774</v>
      </c>
      <c r="B21" s="39">
        <v>97.4</v>
      </c>
      <c r="C21" s="41">
        <v>-7.6700000000000004E-2</v>
      </c>
      <c r="E21" s="39"/>
      <c r="F21" s="45"/>
      <c r="G21" s="39"/>
      <c r="H21" s="45"/>
    </row>
    <row r="22" spans="1:8" x14ac:dyDescent="0.3">
      <c r="A22" s="44">
        <v>44805</v>
      </c>
      <c r="B22" s="39">
        <v>90.71</v>
      </c>
      <c r="C22" s="41">
        <v>-6.8699999999999997E-2</v>
      </c>
      <c r="E22" s="39"/>
      <c r="F22" s="45"/>
      <c r="G22" s="39"/>
      <c r="H22" s="45"/>
    </row>
    <row r="23" spans="1:8" x14ac:dyDescent="0.3">
      <c r="A23" s="44">
        <v>44835</v>
      </c>
      <c r="B23" s="39">
        <v>91.7</v>
      </c>
      <c r="C23" s="41">
        <v>1.09E-2</v>
      </c>
      <c r="E23" s="39"/>
      <c r="F23" s="45"/>
      <c r="G23" s="39"/>
      <c r="H23" s="45"/>
    </row>
    <row r="24" spans="1:8" x14ac:dyDescent="0.3">
      <c r="A24" s="44">
        <v>44866</v>
      </c>
      <c r="B24" s="39">
        <v>87.55</v>
      </c>
      <c r="C24" s="41">
        <v>-4.5199999999999997E-2</v>
      </c>
      <c r="E24" s="39"/>
      <c r="F24" s="45"/>
      <c r="G24" s="39"/>
      <c r="H24" s="45"/>
    </row>
    <row r="25" spans="1:8" x14ac:dyDescent="0.3">
      <c r="A25" s="44">
        <v>44896</v>
      </c>
      <c r="B25" s="39">
        <v>78.099999999999994</v>
      </c>
      <c r="C25" s="41">
        <v>-0.1079</v>
      </c>
      <c r="E25" s="39"/>
      <c r="F25" s="45"/>
      <c r="G25" s="39"/>
      <c r="H25" s="45"/>
    </row>
    <row r="26" spans="1:8" x14ac:dyDescent="0.3">
      <c r="A26" s="44">
        <v>44927</v>
      </c>
      <c r="B26" s="39">
        <v>80.92</v>
      </c>
      <c r="C26" s="41">
        <v>3.61E-2</v>
      </c>
      <c r="E26" s="39"/>
      <c r="F26" s="45"/>
      <c r="G26" s="39"/>
      <c r="H26" s="45"/>
    </row>
    <row r="27" spans="1:8" x14ac:dyDescent="0.3">
      <c r="A27" s="44">
        <v>44958</v>
      </c>
      <c r="B27" s="39">
        <v>82.28</v>
      </c>
      <c r="C27" s="41">
        <v>1.6799999999999999E-2</v>
      </c>
      <c r="E27" s="39"/>
      <c r="F27" s="45"/>
      <c r="G27" s="39"/>
      <c r="H27" s="45"/>
    </row>
    <row r="28" spans="1:8" x14ac:dyDescent="0.3">
      <c r="A28" s="44">
        <v>44986</v>
      </c>
      <c r="B28" s="39">
        <v>78.540000000000006</v>
      </c>
      <c r="C28" s="41">
        <v>-4.5499999999999999E-2</v>
      </c>
      <c r="E28" s="39"/>
      <c r="F28" s="45"/>
      <c r="G28" s="39"/>
      <c r="H28" s="45"/>
    </row>
    <row r="29" spans="1:8" x14ac:dyDescent="0.3">
      <c r="A29" s="44">
        <v>45017</v>
      </c>
      <c r="B29" s="39">
        <v>83.76</v>
      </c>
      <c r="C29" s="41">
        <v>6.6500000000000004E-2</v>
      </c>
    </row>
    <row r="30" spans="1:8" x14ac:dyDescent="0.3">
      <c r="A30" s="44">
        <v>45047</v>
      </c>
      <c r="B30" s="39">
        <v>74.98</v>
      </c>
      <c r="C30" s="41">
        <v>-0.1048</v>
      </c>
    </row>
    <row r="31" spans="1:8" x14ac:dyDescent="0.3">
      <c r="A31" s="44">
        <v>45078</v>
      </c>
      <c r="B31" s="39">
        <v>74.930000000000007</v>
      </c>
      <c r="C31" s="41">
        <v>-6.9999999999999999E-4</v>
      </c>
    </row>
    <row r="32" spans="1:8" x14ac:dyDescent="0.3">
      <c r="A32" s="44">
        <v>45108</v>
      </c>
      <c r="B32" s="39">
        <v>80.37</v>
      </c>
      <c r="C32" s="41">
        <v>7.2599999999999998E-2</v>
      </c>
    </row>
    <row r="33" spans="1:4" x14ac:dyDescent="0.3">
      <c r="A33" s="44">
        <v>45139</v>
      </c>
      <c r="B33" s="39">
        <v>86.43</v>
      </c>
      <c r="C33" s="41">
        <v>7.5399999999999995E-2</v>
      </c>
    </row>
    <row r="34" spans="1:4" x14ac:dyDescent="0.3">
      <c r="A34" s="44">
        <v>45170</v>
      </c>
      <c r="B34" s="39">
        <v>93.54</v>
      </c>
      <c r="C34" s="41">
        <v>8.2299999999999998E-2</v>
      </c>
    </row>
    <row r="35" spans="1:4" x14ac:dyDescent="0.3">
      <c r="A35" s="44">
        <v>45200</v>
      </c>
      <c r="B35" s="39">
        <v>90.08</v>
      </c>
      <c r="C35" s="41">
        <v>-3.6999999999999998E-2</v>
      </c>
    </row>
    <row r="36" spans="1:4" x14ac:dyDescent="0.3">
      <c r="A36" s="44">
        <v>45231</v>
      </c>
      <c r="B36" s="39">
        <v>83.46</v>
      </c>
      <c r="C36" s="41">
        <v>-7.3499999999999996E-2</v>
      </c>
    </row>
    <row r="37" spans="1:4" x14ac:dyDescent="0.3">
      <c r="A37" s="44">
        <v>45261</v>
      </c>
      <c r="B37" s="39">
        <v>77.42</v>
      </c>
      <c r="C37" s="41">
        <v>-7.2400000000000006E-2</v>
      </c>
    </row>
    <row r="42" spans="1:4" x14ac:dyDescent="0.3">
      <c r="A42" s="40"/>
      <c r="B42" s="38"/>
      <c r="C42" s="40"/>
      <c r="D42" s="38"/>
    </row>
    <row r="43" spans="1:4" x14ac:dyDescent="0.3">
      <c r="A43" s="39"/>
      <c r="B43" s="45"/>
      <c r="C43" s="39"/>
      <c r="D43" s="45"/>
    </row>
    <row r="44" spans="1:4" x14ac:dyDescent="0.3">
      <c r="A44" s="39"/>
      <c r="B44" s="45"/>
      <c r="C44" s="39"/>
      <c r="D44" s="45"/>
    </row>
    <row r="45" spans="1:4" x14ac:dyDescent="0.3">
      <c r="A45" s="39"/>
      <c r="B45" s="45"/>
      <c r="C45" s="39"/>
      <c r="D45" s="45"/>
    </row>
    <row r="46" spans="1:4" x14ac:dyDescent="0.3">
      <c r="A46" s="39"/>
      <c r="B46" s="45"/>
      <c r="C46" s="39"/>
      <c r="D46" s="45"/>
    </row>
    <row r="47" spans="1:4" x14ac:dyDescent="0.3">
      <c r="A47" s="39"/>
      <c r="B47" s="45"/>
      <c r="C47" s="39"/>
      <c r="D47" s="45"/>
    </row>
    <row r="48" spans="1:4" x14ac:dyDescent="0.3">
      <c r="A48" s="39"/>
      <c r="B48" s="45"/>
      <c r="C48" s="39"/>
      <c r="D48" s="45"/>
    </row>
    <row r="49" spans="1:4" x14ac:dyDescent="0.3">
      <c r="A49" s="39"/>
      <c r="B49" s="45"/>
      <c r="C49" s="39"/>
      <c r="D49" s="45"/>
    </row>
    <row r="50" spans="1:4" x14ac:dyDescent="0.3">
      <c r="A50" s="39"/>
      <c r="B50" s="45"/>
      <c r="C50" s="39"/>
      <c r="D50" s="45"/>
    </row>
    <row r="51" spans="1:4" x14ac:dyDescent="0.3">
      <c r="A51" s="39"/>
      <c r="B51" s="45"/>
      <c r="C51" s="39"/>
      <c r="D51" s="45"/>
    </row>
    <row r="52" spans="1:4" x14ac:dyDescent="0.3">
      <c r="A52" s="39"/>
      <c r="B52" s="45"/>
      <c r="C52" s="39"/>
      <c r="D52" s="45"/>
    </row>
    <row r="53" spans="1:4" x14ac:dyDescent="0.3">
      <c r="A53" s="39"/>
      <c r="B53" s="45"/>
      <c r="C53" s="39"/>
      <c r="D53" s="45"/>
    </row>
    <row r="54" spans="1:4" x14ac:dyDescent="0.3">
      <c r="A54" s="39"/>
      <c r="B54" s="45"/>
      <c r="C54" s="39"/>
      <c r="D54" s="45"/>
    </row>
    <row r="55" spans="1:4" x14ac:dyDescent="0.3">
      <c r="A55" s="39"/>
      <c r="B55" s="45"/>
      <c r="C55" s="39"/>
      <c r="D55" s="45"/>
    </row>
    <row r="56" spans="1:4" x14ac:dyDescent="0.3">
      <c r="A56" s="39"/>
      <c r="B56" s="45"/>
      <c r="C56" s="39"/>
      <c r="D56" s="45"/>
    </row>
    <row r="57" spans="1:4" x14ac:dyDescent="0.3">
      <c r="A57" s="39"/>
      <c r="B57" s="45"/>
      <c r="C57" s="39"/>
      <c r="D57" s="45"/>
    </row>
    <row r="58" spans="1:4" x14ac:dyDescent="0.3">
      <c r="A58" s="39"/>
      <c r="B58" s="45"/>
      <c r="C58" s="39"/>
      <c r="D58" s="45"/>
    </row>
    <row r="59" spans="1:4" x14ac:dyDescent="0.3">
      <c r="A59" s="39"/>
      <c r="B59" s="45"/>
      <c r="C59" s="39"/>
      <c r="D59" s="45"/>
    </row>
    <row r="60" spans="1:4" x14ac:dyDescent="0.3">
      <c r="A60" s="39"/>
      <c r="B60" s="45"/>
      <c r="C60" s="39"/>
      <c r="D60" s="45"/>
    </row>
    <row r="61" spans="1:4" x14ac:dyDescent="0.3">
      <c r="A61" s="39"/>
      <c r="B61" s="45"/>
      <c r="C61" s="39"/>
      <c r="D61" s="45"/>
    </row>
    <row r="62" spans="1:4" x14ac:dyDescent="0.3">
      <c r="A62" s="39"/>
      <c r="B62" s="45"/>
      <c r="C62" s="39"/>
      <c r="D62" s="45"/>
    </row>
    <row r="63" spans="1:4" x14ac:dyDescent="0.3">
      <c r="A63" s="39"/>
      <c r="B63" s="45"/>
      <c r="C63" s="39"/>
      <c r="D63" s="45"/>
    </row>
    <row r="64" spans="1:4" x14ac:dyDescent="0.3">
      <c r="A64" s="39"/>
      <c r="B64" s="45"/>
      <c r="C64" s="39"/>
      <c r="D64" s="45"/>
    </row>
    <row r="65" spans="1:4" x14ac:dyDescent="0.3">
      <c r="A65" s="39"/>
      <c r="B65" s="45"/>
      <c r="C65" s="39"/>
      <c r="D65" s="45"/>
    </row>
    <row r="66" spans="1:4" x14ac:dyDescent="0.3">
      <c r="A66" s="39"/>
      <c r="B66" s="45"/>
      <c r="C66" s="39"/>
      <c r="D66" s="45"/>
    </row>
    <row r="67" spans="1:4" x14ac:dyDescent="0.3">
      <c r="A67" s="39"/>
      <c r="B67" s="45"/>
      <c r="C67" s="39"/>
      <c r="D67" s="45"/>
    </row>
    <row r="68" spans="1:4" x14ac:dyDescent="0.3">
      <c r="A68" s="39"/>
      <c r="B68" s="45"/>
      <c r="C68" s="39"/>
      <c r="D68" s="45"/>
    </row>
    <row r="69" spans="1:4" x14ac:dyDescent="0.3">
      <c r="A69" s="39"/>
      <c r="B69" s="45"/>
      <c r="C69" s="39"/>
      <c r="D69" s="45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EAFC-0CD7-4FCD-B61D-836EA9882B81}">
  <dimension ref="A1:J28"/>
  <sheetViews>
    <sheetView workbookViewId="0">
      <selection activeCell="L14" sqref="L14"/>
    </sheetView>
  </sheetViews>
  <sheetFormatPr defaultRowHeight="14.4" x14ac:dyDescent="0.3"/>
  <cols>
    <col min="2" max="2" width="21.88671875" customWidth="1"/>
    <col min="3" max="3" width="21.5546875" customWidth="1"/>
    <col min="4" max="4" width="9.88671875" customWidth="1"/>
  </cols>
  <sheetData>
    <row r="1" spans="1:10" ht="43.2" x14ac:dyDescent="0.3">
      <c r="A1" s="40" t="s">
        <v>80</v>
      </c>
      <c r="B1" s="38" t="s">
        <v>81</v>
      </c>
      <c r="C1" s="40" t="s">
        <v>82</v>
      </c>
      <c r="D1" s="38" t="s">
        <v>83</v>
      </c>
      <c r="E1" t="s">
        <v>51</v>
      </c>
    </row>
    <row r="2" spans="1:10" ht="18" x14ac:dyDescent="0.35">
      <c r="A2" s="48">
        <v>1</v>
      </c>
      <c r="B2" s="49" t="s">
        <v>4</v>
      </c>
      <c r="C2" s="48">
        <v>0.48599999999999999</v>
      </c>
      <c r="D2" s="49" t="s">
        <v>84</v>
      </c>
      <c r="E2" s="50" t="s">
        <v>87</v>
      </c>
      <c r="F2" s="51"/>
      <c r="G2" s="51"/>
      <c r="H2" s="51"/>
    </row>
    <row r="3" spans="1:10" ht="28.8" x14ac:dyDescent="0.3">
      <c r="A3" s="39">
        <v>2</v>
      </c>
      <c r="B3" s="45" t="s">
        <v>7</v>
      </c>
      <c r="C3" s="39">
        <v>0.33900000000000002</v>
      </c>
      <c r="D3" s="46" t="s">
        <v>85</v>
      </c>
    </row>
    <row r="4" spans="1:10" ht="43.2" x14ac:dyDescent="0.3">
      <c r="A4" s="39">
        <v>3</v>
      </c>
      <c r="B4" s="45" t="s">
        <v>3</v>
      </c>
      <c r="C4" s="39">
        <v>-0.29699999999999999</v>
      </c>
      <c r="D4" s="46" t="s">
        <v>85</v>
      </c>
    </row>
    <row r="5" spans="1:10" ht="28.8" x14ac:dyDescent="0.3">
      <c r="A5" s="39">
        <v>4</v>
      </c>
      <c r="B5" s="45" t="s">
        <v>6</v>
      </c>
      <c r="C5" s="39">
        <v>-0.251</v>
      </c>
      <c r="D5" s="46" t="s">
        <v>85</v>
      </c>
    </row>
    <row r="6" spans="1:10" x14ac:dyDescent="0.3">
      <c r="A6" s="39">
        <v>5</v>
      </c>
      <c r="B6" s="45" t="s">
        <v>5</v>
      </c>
      <c r="C6" s="39">
        <v>-0.219</v>
      </c>
      <c r="D6" s="46" t="s">
        <v>85</v>
      </c>
    </row>
    <row r="7" spans="1:10" ht="57.6" x14ac:dyDescent="0.3">
      <c r="A7" s="39">
        <v>6</v>
      </c>
      <c r="B7" s="45" t="s">
        <v>11</v>
      </c>
      <c r="C7" s="39">
        <v>-0.158</v>
      </c>
      <c r="D7" s="47" t="s">
        <v>86</v>
      </c>
    </row>
    <row r="8" spans="1:10" x14ac:dyDescent="0.3">
      <c r="A8" s="39">
        <v>7</v>
      </c>
      <c r="B8" s="45" t="s">
        <v>13</v>
      </c>
      <c r="C8" s="39">
        <v>0.158</v>
      </c>
      <c r="D8" s="47" t="s">
        <v>86</v>
      </c>
    </row>
    <row r="9" spans="1:10" ht="28.8" x14ac:dyDescent="0.3">
      <c r="A9" s="39">
        <v>8</v>
      </c>
      <c r="B9" s="45" t="s">
        <v>16</v>
      </c>
      <c r="C9" s="39">
        <v>0.153</v>
      </c>
      <c r="D9" s="47" t="s">
        <v>86</v>
      </c>
    </row>
    <row r="10" spans="1:10" x14ac:dyDescent="0.3">
      <c r="A10" s="39">
        <v>9</v>
      </c>
      <c r="B10" s="45" t="s">
        <v>10</v>
      </c>
      <c r="C10" s="39">
        <v>-0.152</v>
      </c>
      <c r="D10" s="47" t="s">
        <v>86</v>
      </c>
    </row>
    <row r="11" spans="1:10" x14ac:dyDescent="0.3">
      <c r="A11" s="39">
        <v>10</v>
      </c>
      <c r="B11" s="45" t="s">
        <v>18</v>
      </c>
      <c r="C11" s="39">
        <v>0.14399999999999999</v>
      </c>
      <c r="D11" s="47" t="s">
        <v>86</v>
      </c>
    </row>
    <row r="12" spans="1:10" x14ac:dyDescent="0.3">
      <c r="A12" s="39">
        <v>11</v>
      </c>
      <c r="B12" s="45" t="s">
        <v>29</v>
      </c>
      <c r="C12" s="39">
        <v>0.13300000000000001</v>
      </c>
      <c r="D12" s="47" t="s">
        <v>86</v>
      </c>
    </row>
    <row r="13" spans="1:10" x14ac:dyDescent="0.3">
      <c r="A13" s="39">
        <v>12</v>
      </c>
      <c r="B13" s="45" t="s">
        <v>26</v>
      </c>
      <c r="C13" s="39">
        <v>-0.11899999999999999</v>
      </c>
      <c r="D13" s="47" t="s">
        <v>86</v>
      </c>
      <c r="G13" s="35" t="s">
        <v>88</v>
      </c>
      <c r="H13" s="35"/>
      <c r="I13" s="35"/>
      <c r="J13" s="35"/>
    </row>
    <row r="14" spans="1:10" x14ac:dyDescent="0.3">
      <c r="A14" s="39">
        <v>13</v>
      </c>
      <c r="B14" s="45" t="s">
        <v>20</v>
      </c>
      <c r="C14" s="39">
        <v>0.11600000000000001</v>
      </c>
      <c r="D14" s="47" t="s">
        <v>86</v>
      </c>
    </row>
    <row r="15" spans="1:10" ht="28.8" x14ac:dyDescent="0.3">
      <c r="A15" s="39">
        <v>14</v>
      </c>
      <c r="B15" s="45" t="s">
        <v>25</v>
      </c>
      <c r="C15" s="39">
        <v>0.114</v>
      </c>
      <c r="D15" s="47" t="s">
        <v>86</v>
      </c>
    </row>
    <row r="16" spans="1:10" x14ac:dyDescent="0.3">
      <c r="A16" s="39">
        <v>15</v>
      </c>
      <c r="B16" s="45" t="s">
        <v>15</v>
      </c>
      <c r="C16" s="39">
        <v>0.112</v>
      </c>
      <c r="D16" s="47" t="s">
        <v>86</v>
      </c>
    </row>
    <row r="17" spans="1:4" x14ac:dyDescent="0.3">
      <c r="A17" s="39">
        <v>16</v>
      </c>
      <c r="B17" s="45" t="s">
        <v>21</v>
      </c>
      <c r="C17" s="39">
        <v>0.109</v>
      </c>
      <c r="D17" s="47" t="s">
        <v>86</v>
      </c>
    </row>
    <row r="18" spans="1:4" x14ac:dyDescent="0.3">
      <c r="A18" s="39">
        <v>17</v>
      </c>
      <c r="B18" s="45" t="s">
        <v>12</v>
      </c>
      <c r="C18" s="39">
        <v>-9.5000000000000001E-2</v>
      </c>
      <c r="D18" s="47" t="s">
        <v>86</v>
      </c>
    </row>
    <row r="19" spans="1:4" ht="28.8" x14ac:dyDescent="0.3">
      <c r="A19" s="39">
        <v>18</v>
      </c>
      <c r="B19" s="45" t="s">
        <v>24</v>
      </c>
      <c r="C19" s="39">
        <v>8.5999999999999993E-2</v>
      </c>
      <c r="D19" s="47" t="s">
        <v>86</v>
      </c>
    </row>
    <row r="20" spans="1:4" x14ac:dyDescent="0.3">
      <c r="A20" s="39">
        <v>19</v>
      </c>
      <c r="B20" s="45" t="s">
        <v>19</v>
      </c>
      <c r="C20" s="39">
        <v>8.1000000000000003E-2</v>
      </c>
      <c r="D20" s="47" t="s">
        <v>86</v>
      </c>
    </row>
    <row r="21" spans="1:4" x14ac:dyDescent="0.3">
      <c r="A21" s="39">
        <v>20</v>
      </c>
      <c r="B21" s="45" t="s">
        <v>28</v>
      </c>
      <c r="C21" s="39">
        <v>7.9000000000000001E-2</v>
      </c>
      <c r="D21" s="47" t="s">
        <v>86</v>
      </c>
    </row>
    <row r="22" spans="1:4" x14ac:dyDescent="0.3">
      <c r="A22" s="39">
        <v>21</v>
      </c>
      <c r="B22" s="45" t="s">
        <v>9</v>
      </c>
      <c r="C22" s="39">
        <v>7.0999999999999994E-2</v>
      </c>
      <c r="D22" s="47" t="s">
        <v>86</v>
      </c>
    </row>
    <row r="23" spans="1:4" ht="28.8" x14ac:dyDescent="0.3">
      <c r="A23" s="39">
        <v>22</v>
      </c>
      <c r="B23" s="45" t="s">
        <v>14</v>
      </c>
      <c r="C23" s="39">
        <v>6.9000000000000006E-2</v>
      </c>
      <c r="D23" s="47" t="s">
        <v>86</v>
      </c>
    </row>
    <row r="24" spans="1:4" x14ac:dyDescent="0.3">
      <c r="A24" s="39">
        <v>23</v>
      </c>
      <c r="B24" s="45" t="s">
        <v>23</v>
      </c>
      <c r="C24" s="39">
        <v>6.4000000000000001E-2</v>
      </c>
      <c r="D24" s="47" t="s">
        <v>86</v>
      </c>
    </row>
    <row r="25" spans="1:4" x14ac:dyDescent="0.3">
      <c r="A25" s="39">
        <v>24</v>
      </c>
      <c r="B25" s="45" t="s">
        <v>17</v>
      </c>
      <c r="C25" s="39">
        <v>5.0999999999999997E-2</v>
      </c>
      <c r="D25" s="47" t="s">
        <v>86</v>
      </c>
    </row>
    <row r="26" spans="1:4" ht="28.8" x14ac:dyDescent="0.3">
      <c r="A26" s="39">
        <v>25</v>
      </c>
      <c r="B26" s="45" t="s">
        <v>27</v>
      </c>
      <c r="C26" s="39">
        <v>3.2000000000000001E-2</v>
      </c>
      <c r="D26" s="47" t="s">
        <v>86</v>
      </c>
    </row>
    <row r="27" spans="1:4" ht="28.8" x14ac:dyDescent="0.3">
      <c r="A27" s="39">
        <v>26</v>
      </c>
      <c r="B27" s="45" t="s">
        <v>22</v>
      </c>
      <c r="C27" s="39">
        <v>-2.5000000000000001E-2</v>
      </c>
      <c r="D27" s="47" t="s">
        <v>86</v>
      </c>
    </row>
    <row r="28" spans="1:4" x14ac:dyDescent="0.3">
      <c r="A28" s="39">
        <v>27</v>
      </c>
      <c r="B28" s="45" t="s">
        <v>8</v>
      </c>
      <c r="C28" s="39">
        <v>1.6E-2</v>
      </c>
      <c r="D28" s="47" t="s">
        <v>86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AA4F29-140C-43D4-BC3B-2A407D06AD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Q3.1</vt:lpstr>
      <vt:lpstr>Cpi</vt:lpstr>
      <vt:lpstr>Q3.2</vt:lpstr>
      <vt:lpstr>Q4</vt:lpstr>
      <vt:lpstr>project all india cpi data</vt:lpstr>
      <vt:lpstr>Q5.1</vt:lpstr>
      <vt:lpstr>Q5.2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manish gupta</cp:lastModifiedBy>
  <dcterms:created xsi:type="dcterms:W3CDTF">2026-08-15T05:27:35Z</dcterms:created>
  <dcterms:modified xsi:type="dcterms:W3CDTF">2026-08-18T08:01:38Z</dcterms:modified>
</cp:coreProperties>
</file>